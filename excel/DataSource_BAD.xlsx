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300" yWindow="500" windowWidth="27200" windowHeight="19620" tabRatio="600" firstSheet="0" activeTab="0" autoFilterDateGrouping="1"/>
  </bookViews>
  <sheets>
    <sheet xmlns:r="http://schemas.openxmlformats.org/officeDocument/2006/relationships" name="DataRT" sheetId="1" state="visible" r:id="rId1"/>
    <sheet xmlns:r="http://schemas.openxmlformats.org/officeDocument/2006/relationships" name="TickerList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Dataload">TickerList!$B$2:$E$75</definedName>
    <definedName name="SelRow">5</definedName>
    <definedName name="SelRowNum">5</definedName>
    <definedName name="StripName">TickerList!$H$2:$H$96</definedName>
    <definedName name="StripTick">TickerList!$F$2:$F$75</definedName>
    <definedName name="T_List">TickerList!$A$2:$A$75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_(* #,##0.00000_);_(* \(#,##0.00000\);_(* &quot;-&quot;??_);_(@_)"/>
    <numFmt numFmtId="165" formatCode="0.00_);[Red]\(0.00\)"/>
    <numFmt numFmtId="166" formatCode="_(* #,##0_);_(* \(#,##0\);_(* &quot;-&quot;??_);_(@_)"/>
    <numFmt numFmtId="167" formatCode="_([$$-409]* #,##0.00_);_([$$-409]* \(#,##0.00\);_([$$-409]* &quot;-&quot;??_);_(@_)"/>
    <numFmt numFmtId="168" formatCode="[$-409]d\-mmm\-yy;@"/>
    <numFmt numFmtId="169" formatCode="0.0%;[Red]\-0.0%"/>
    <numFmt numFmtId="170" formatCode="0.000%"/>
    <numFmt numFmtId="171" formatCode="_-[$£-809]* #,##0.00_-;\-[$£-809]* #,##0.00_-;_-[$£-809]* &quot;-&quot;??_-;_-@_-"/>
    <numFmt numFmtId="172" formatCode="_([$€-2]\ * #,##0.00_);_([$€-2]\ * \(#,##0.00\);_([$€-2]\ * &quot;-&quot;??_);_(@_)"/>
    <numFmt numFmtId="173" formatCode="[$CAD]\ #,##0.00_);\([$CAD]\ #,##0.00\)"/>
    <numFmt numFmtId="174" formatCode="[$CHF-807]\ #,##0.00"/>
    <numFmt numFmtId="175" formatCode="_(&quot;$&quot;* #,##0_);_(&quot;$&quot;* \(#,##0\);_(&quot;$&quot;* &quot;-&quot;??_);_(@_)"/>
    <numFmt numFmtId="176" formatCode="_(* #,##0.0000_);_(* \(#,##0.0000\);_(* &quot;-&quot;??_);_(@_)"/>
    <numFmt numFmtId="177" formatCode="_ [$CHF-100C]\ * #,##0.00_ ;_ [$CHF-100C]\ * \-#,##0.00_ ;_ [$CHF-100C]\ * &quot;-&quot;??_ ;_ @_ "/>
    <numFmt numFmtId="178" formatCode="_([$£-809]* #,##0.00_);_([$£-809]* \(#,##0.00\);_([$£-809]* &quot;-&quot;??_);_(@_)"/>
    <numFmt numFmtId="179" formatCode="_([$¥-411]* #,##0.00_);_([$¥-411]* \(#,##0.00\);_([$¥-411]* &quot;-&quot;??_);_(@_)"/>
  </numFmts>
  <fonts count="28">
    <font>
      <name val="Aptos Narrow"/>
      <family val="2"/>
      <color theme="1"/>
      <sz val="16"/>
      <scheme val="minor"/>
    </font>
    <font>
      <name val="Aptos Narrow"/>
      <family val="2"/>
      <color theme="1"/>
      <sz val="16"/>
      <scheme val="minor"/>
    </font>
    <font>
      <name val="Aptos Narrow"/>
      <family val="2"/>
      <color rgb="FF9C0006"/>
      <sz val="16"/>
      <scheme val="minor"/>
    </font>
    <font>
      <name val="Aptos Narrow"/>
      <family val="2"/>
      <color rgb="FF3F3F76"/>
      <sz val="16"/>
      <scheme val="minor"/>
    </font>
    <font>
      <name val="Aptos Narrow"/>
      <family val="2"/>
      <color rgb="FFFF0000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6"/>
      <scheme val="minor"/>
    </font>
    <font>
      <name val="Calibri"/>
      <family val="2"/>
      <b val="1"/>
      <color rgb="FFFFFFFF"/>
      <sz val="20"/>
    </font>
    <font>
      <name val="Aptos Narrow"/>
      <family val="2"/>
      <color rgb="FF000000"/>
      <sz val="16"/>
      <scheme val="minor"/>
    </font>
    <font>
      <name val="Calibri"/>
      <family val="2"/>
      <b val="1"/>
      <color rgb="FF3F3F76"/>
      <sz val="16"/>
    </font>
    <font>
      <name val="Calibri"/>
      <family val="2"/>
      <b val="1"/>
      <color rgb="FF000000"/>
      <sz val="16"/>
    </font>
    <font>
      <name val="Calibri (Body)"/>
      <b val="1"/>
      <color rgb="FF000000"/>
      <sz val="20"/>
    </font>
    <font>
      <name val="Calibri (Body)"/>
      <color theme="1"/>
      <sz val="20"/>
    </font>
    <font>
      <name val="Aptos Narrow"/>
      <family val="2"/>
      <sz val="16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0000"/>
      <sz val="16"/>
      <scheme val="minor"/>
    </font>
    <font>
      <name val="Calibri"/>
      <family val="2"/>
      <color rgb="FFFF0000"/>
      <sz val="16"/>
    </font>
    <font>
      <name val="Aptos Narrow"/>
      <family val="2"/>
      <b val="1"/>
      <color rgb="FF00B050"/>
      <sz val="16"/>
      <scheme val="minor"/>
    </font>
    <font>
      <name val="Aptos Narrow"/>
      <family val="2"/>
      <color rgb="FF00B050"/>
      <sz val="16"/>
      <scheme val="minor"/>
    </font>
    <font>
      <name val="Calibri"/>
      <family val="2"/>
      <b val="1"/>
      <color rgb="FFFFFF00"/>
      <sz val="20"/>
    </font>
    <font>
      <name val="Calibri"/>
      <family val="2"/>
      <color theme="0" tint="-0.3499862666707358"/>
      <sz val="16"/>
    </font>
    <font>
      <name val="Calibri"/>
      <family val="2"/>
      <b val="1"/>
      <color rgb="FF000000"/>
      <sz val="12"/>
    </font>
    <font>
      <name val="Calibri (Body)"/>
      <b val="1"/>
      <color rgb="FFFFFFFF"/>
      <sz val="20"/>
    </font>
    <font>
      <name val="Calibri"/>
      <family val="2"/>
      <color rgb="FF000000"/>
      <sz val="16"/>
    </font>
    <font>
      <name val="Aptos Narrow"/>
      <family val="2"/>
      <b val="1"/>
      <color rgb="FF000000"/>
      <sz val="16"/>
      <scheme val="minor"/>
    </font>
    <font>
      <name val="Calibri"/>
      <family val="2"/>
      <b val="1"/>
      <color theme="0"/>
      <sz val="16"/>
    </font>
    <font>
      <name val="Calibri"/>
      <family val="2"/>
      <b val="1"/>
      <i val="1"/>
      <color theme="7" tint="0.5999938962981048"/>
      <sz val="16"/>
    </font>
    <font>
      <name val="Aptos Narrow"/>
      <family val="2"/>
      <b val="1"/>
      <color theme="7" tint="0.5999938962981048"/>
      <sz val="16"/>
      <scheme val="minor"/>
    </font>
  </fonts>
  <fills count="19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rgb="FF4472C4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8EA9DB"/>
      </left>
      <right/>
      <top style="double">
        <color rgb="FF4472C4"/>
      </top>
      <bottom style="thin">
        <color rgb="FF8EA9DB"/>
      </bottom>
      <diagonal/>
    </border>
    <border>
      <left/>
      <right/>
      <top style="double">
        <color rgb="FF4472C4"/>
      </top>
      <bottom style="thin">
        <color rgb="FF8EA9DB"/>
      </bottom>
      <diagonal/>
    </border>
    <border>
      <left/>
      <right style="thin">
        <color rgb="FF8EA9DB"/>
      </right>
      <top style="double">
        <color rgb="FF4472C4"/>
      </top>
      <bottom style="thin">
        <color rgb="FF8EA9DB"/>
      </bottom>
      <diagonal/>
    </border>
    <border>
      <left/>
      <right/>
      <top style="thin">
        <color theme="4" tint="0.3999755851924192"/>
      </top>
      <bottom/>
      <diagonal/>
    </border>
  </borders>
  <cellStyleXfs count="6">
    <xf numFmtId="0" fontId="1" fillId="0" borderId="0"/>
    <xf numFmtId="43" fontId="1" fillId="0" borderId="0"/>
    <xf numFmtId="9" fontId="1" fillId="0" borderId="0"/>
    <xf numFmtId="0" fontId="2" fillId="2" borderId="0"/>
    <xf numFmtId="0" fontId="3" fillId="3" borderId="1"/>
    <xf numFmtId="0" fontId="6" fillId="4" borderId="0"/>
  </cellStyleXfs>
  <cellXfs count="177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5" borderId="0" applyAlignment="1" pivotButton="0" quotePrefix="0" xfId="5">
      <alignment horizontal="center"/>
    </xf>
    <xf numFmtId="164" fontId="8" fillId="6" borderId="2" pivotButton="0" quotePrefix="0" xfId="1"/>
    <xf numFmtId="0" fontId="9" fillId="0" borderId="3" applyAlignment="1" pivotButton="0" quotePrefix="0" xfId="4">
      <alignment horizontal="center"/>
    </xf>
    <xf numFmtId="22" fontId="8" fillId="0" borderId="2" pivotButton="0" quotePrefix="0" xfId="0"/>
    <xf numFmtId="0" fontId="10" fillId="0" borderId="4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2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0" fontId="10" fillId="0" borderId="0" applyAlignment="1" pivotButton="0" quotePrefix="0" xfId="2">
      <alignment horizontal="center"/>
    </xf>
    <xf numFmtId="3" fontId="10" fillId="0" borderId="0" applyAlignment="1" pivotButton="0" quotePrefix="0" xfId="0">
      <alignment horizontal="center"/>
    </xf>
    <xf numFmtId="166" fontId="5" fillId="0" borderId="0" applyAlignment="1" pivotButton="0" quotePrefix="0" xfId="1">
      <alignment horizontal="center"/>
    </xf>
    <xf numFmtId="43" fontId="5" fillId="0" borderId="0" applyAlignment="1" pivotButton="0" quotePrefix="0" xfId="1">
      <alignment horizontal="center"/>
    </xf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0" fontId="0" fillId="0" borderId="0" pivotButton="0" quotePrefix="0" xfId="2"/>
    <xf numFmtId="3" fontId="0" fillId="0" borderId="0" pivotButton="0" quotePrefix="0" xfId="0"/>
    <xf numFmtId="9" fontId="0" fillId="0" borderId="0" pivotButton="0" quotePrefix="0" xfId="2"/>
    <xf numFmtId="0" fontId="13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43" fontId="0" fillId="0" borderId="0" pivotButton="0" quotePrefix="0" xfId="1"/>
    <xf numFmtId="166" fontId="0" fillId="0" borderId="0" pivotButton="0" quotePrefix="0" xfId="1"/>
    <xf numFmtId="43" fontId="0" fillId="0" borderId="0" applyAlignment="1" pivotButton="0" quotePrefix="0" xfId="1">
      <alignment horizontal="center"/>
    </xf>
    <xf numFmtId="9" fontId="15" fillId="0" borderId="0" applyAlignment="1" pivotButton="0" quotePrefix="0" xfId="2">
      <alignment horizontal="center"/>
    </xf>
    <xf numFmtId="9" fontId="4" fillId="0" borderId="0" applyAlignment="1" pivotButton="0" quotePrefix="0" xfId="2">
      <alignment horizontal="center"/>
    </xf>
    <xf numFmtId="9" fontId="4" fillId="0" borderId="0" pivotButton="0" quotePrefix="0" xfId="2"/>
    <xf numFmtId="0" fontId="17" fillId="0" borderId="0" applyAlignment="1" pivotButton="0" quotePrefix="0" xfId="0">
      <alignment horizontal="center"/>
    </xf>
    <xf numFmtId="0" fontId="18" fillId="0" borderId="0" pivotButton="0" quotePrefix="0" xfId="0"/>
    <xf numFmtId="0" fontId="18" fillId="8" borderId="0" pivotButton="0" quotePrefix="0" xfId="0"/>
    <xf numFmtId="0" fontId="12" fillId="0" borderId="0" pivotButton="0" quotePrefix="0" xfId="0"/>
    <xf numFmtId="22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43" fontId="0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14" borderId="0" pivotButton="0" quotePrefix="0" xfId="0"/>
    <xf numFmtId="10" fontId="0" fillId="14" borderId="0" pivotButton="0" quotePrefix="0" xfId="2"/>
    <xf numFmtId="0" fontId="0" fillId="14" borderId="0" applyAlignment="1" pivotButton="0" quotePrefix="0" xfId="0">
      <alignment horizontal="center"/>
    </xf>
    <xf numFmtId="168" fontId="0" fillId="0" borderId="0" applyAlignment="1" pivotButton="0" quotePrefix="0" xfId="2">
      <alignment horizontal="center"/>
    </xf>
    <xf numFmtId="14" fontId="22" fillId="16" borderId="7" applyAlignment="1" pivotButton="0" quotePrefix="0" xfId="5">
      <alignment horizontal="center"/>
    </xf>
    <xf numFmtId="14" fontId="11" fillId="16" borderId="7" applyAlignment="1" pivotButton="0" quotePrefix="0" xfId="5">
      <alignment horizontal="center"/>
    </xf>
    <xf numFmtId="0" fontId="11" fillId="16" borderId="7" applyAlignment="1" pivotButton="0" quotePrefix="0" xfId="0">
      <alignment horizontal="center"/>
    </xf>
    <xf numFmtId="0" fontId="11" fillId="16" borderId="8" applyAlignment="1" pivotButton="0" quotePrefix="0" xfId="0">
      <alignment horizontal="center"/>
    </xf>
    <xf numFmtId="2" fontId="11" fillId="16" borderId="7" applyAlignment="1" pivotButton="0" quotePrefix="0" xfId="0">
      <alignment horizontal="center"/>
    </xf>
    <xf numFmtId="165" fontId="11" fillId="16" borderId="7" applyAlignment="1" pivotButton="0" quotePrefix="0" xfId="0">
      <alignment horizontal="center"/>
    </xf>
    <xf numFmtId="10" fontId="11" fillId="16" borderId="7" applyAlignment="1" pivotButton="0" quotePrefix="0" xfId="2">
      <alignment horizontal="left"/>
    </xf>
    <xf numFmtId="0" fontId="11" fillId="16" borderId="7" applyAlignment="1" pivotButton="0" quotePrefix="0" xfId="0">
      <alignment horizontal="left"/>
    </xf>
    <xf numFmtId="3" fontId="11" fillId="16" borderId="7" applyAlignment="1" pivotButton="0" quotePrefix="0" xfId="0">
      <alignment horizontal="left"/>
    </xf>
    <xf numFmtId="43" fontId="11" fillId="16" borderId="7" applyAlignment="1" pivotButton="0" quotePrefix="0" xfId="1">
      <alignment horizontal="center"/>
    </xf>
    <xf numFmtId="9" fontId="11" fillId="16" borderId="7" applyAlignment="1" pivotButton="0" quotePrefix="0" xfId="2">
      <alignment horizontal="left"/>
    </xf>
    <xf numFmtId="0" fontId="19" fillId="16" borderId="7" applyAlignment="1" pivotButton="0" quotePrefix="0" xfId="0">
      <alignment horizontal="left"/>
    </xf>
    <xf numFmtId="0" fontId="19" fillId="16" borderId="7" applyAlignment="1" pivotButton="0" quotePrefix="0" xfId="0">
      <alignment horizontal="center"/>
    </xf>
    <xf numFmtId="0" fontId="21" fillId="16" borderId="7" applyAlignment="1" pivotButton="0" quotePrefix="0" xfId="0">
      <alignment horizontal="center"/>
    </xf>
    <xf numFmtId="169" fontId="11" fillId="16" borderId="7" applyAlignment="1" pivotButton="0" quotePrefix="0" xfId="1">
      <alignment horizontal="center"/>
    </xf>
    <xf numFmtId="165" fontId="23" fillId="6" borderId="7" pivotButton="0" quotePrefix="0" xfId="0"/>
    <xf numFmtId="166" fontId="8" fillId="6" borderId="7" pivotButton="0" quotePrefix="0" xfId="0"/>
    <xf numFmtId="167" fontId="8" fillId="15" borderId="7" pivotButton="0" quotePrefix="0" xfId="0"/>
    <xf numFmtId="22" fontId="8" fillId="6" borderId="7" pivotButton="0" quotePrefix="0" xfId="0"/>
    <xf numFmtId="167" fontId="8" fillId="6" borderId="4" pivotButton="0" quotePrefix="0" xfId="0"/>
    <xf numFmtId="167" fontId="8" fillId="6" borderId="7" pivotButton="0" quotePrefix="0" xfId="0"/>
    <xf numFmtId="4" fontId="8" fillId="6" borderId="7" pivotButton="0" quotePrefix="0" xfId="0"/>
    <xf numFmtId="165" fontId="0" fillId="6" borderId="7" pivotButton="0" quotePrefix="0" xfId="0"/>
    <xf numFmtId="10" fontId="8" fillId="6" borderId="7" pivotButton="0" quotePrefix="0" xfId="2"/>
    <xf numFmtId="3" fontId="8" fillId="6" borderId="7" pivotButton="0" quotePrefix="0" xfId="0"/>
    <xf numFmtId="0" fontId="8" fillId="6" borderId="7" pivotButton="0" quotePrefix="0" xfId="0"/>
    <xf numFmtId="170" fontId="8" fillId="6" borderId="7" pivotButton="0" quotePrefix="0" xfId="2"/>
    <xf numFmtId="9" fontId="8" fillId="6" borderId="7" pivotButton="0" quotePrefix="0" xfId="2"/>
    <xf numFmtId="2" fontId="18" fillId="7" borderId="7" pivotButton="0" quotePrefix="0" xfId="1"/>
    <xf numFmtId="168" fontId="16" fillId="11" borderId="7" pivotButton="0" quotePrefix="0" xfId="0"/>
    <xf numFmtId="10" fontId="20" fillId="11" borderId="7" pivotButton="0" quotePrefix="0" xfId="2"/>
    <xf numFmtId="10" fontId="20" fillId="11" borderId="6" pivotButton="0" quotePrefix="0" xfId="2"/>
    <xf numFmtId="10" fontId="8" fillId="12" borderId="7" pivotButton="0" quotePrefix="0" xfId="0"/>
    <xf numFmtId="0" fontId="18" fillId="7" borderId="7" pivotButton="0" quotePrefix="0" xfId="0"/>
    <xf numFmtId="169" fontId="18" fillId="12" borderId="7" pivotButton="0" quotePrefix="0" xfId="1"/>
    <xf numFmtId="165" fontId="23" fillId="0" borderId="7" pivotButton="0" quotePrefix="0" xfId="0"/>
    <xf numFmtId="0" fontId="23" fillId="0" borderId="7" pivotButton="0" quotePrefix="0" xfId="0"/>
    <xf numFmtId="22" fontId="8" fillId="0" borderId="7" pivotButton="0" quotePrefix="0" xfId="0"/>
    <xf numFmtId="167" fontId="8" fillId="0" borderId="7" pivotButton="0" quotePrefix="0" xfId="0"/>
    <xf numFmtId="4" fontId="8" fillId="0" borderId="7" pivotButton="0" quotePrefix="0" xfId="0"/>
    <xf numFmtId="165" fontId="0" fillId="0" borderId="7" pivotButton="0" quotePrefix="0" xfId="0"/>
    <xf numFmtId="10" fontId="8" fillId="0" borderId="7" pivotButton="0" quotePrefix="0" xfId="2"/>
    <xf numFmtId="3" fontId="8" fillId="0" borderId="7" pivotButton="0" quotePrefix="0" xfId="0"/>
    <xf numFmtId="0" fontId="8" fillId="0" borderId="7" pivotButton="0" quotePrefix="0" xfId="0"/>
    <xf numFmtId="9" fontId="8" fillId="0" borderId="7" pivotButton="0" quotePrefix="0" xfId="2"/>
    <xf numFmtId="43" fontId="18" fillId="7" borderId="7" pivotButton="0" quotePrefix="0" xfId="1"/>
    <xf numFmtId="0" fontId="23" fillId="6" borderId="7" pivotButton="0" quotePrefix="0" xfId="0"/>
    <xf numFmtId="171" fontId="8" fillId="6" borderId="7" pivotButton="0" quotePrefix="0" xfId="0"/>
    <xf numFmtId="40" fontId="0" fillId="0" borderId="7" pivotButton="0" quotePrefix="0" xfId="0"/>
    <xf numFmtId="165" fontId="2" fillId="2" borderId="7" pivotButton="0" quotePrefix="0" xfId="3"/>
    <xf numFmtId="172" fontId="8" fillId="6" borderId="7" pivotButton="0" quotePrefix="0" xfId="0"/>
    <xf numFmtId="172" fontId="8" fillId="0" borderId="7" pivotButton="0" quotePrefix="0" xfId="0"/>
    <xf numFmtId="9" fontId="8" fillId="13" borderId="7" pivotButton="0" quotePrefix="0" xfId="2"/>
    <xf numFmtId="165" fontId="10" fillId="0" borderId="7" pivotButton="0" quotePrefix="0" xfId="0"/>
    <xf numFmtId="167" fontId="13" fillId="15" borderId="7" pivotButton="0" quotePrefix="0" xfId="0"/>
    <xf numFmtId="22" fontId="13" fillId="6" borderId="7" pivotButton="0" quotePrefix="0" xfId="0"/>
    <xf numFmtId="167" fontId="13" fillId="6" borderId="7" pivotButton="0" quotePrefix="0" xfId="0"/>
    <xf numFmtId="165" fontId="13" fillId="6" borderId="7" pivotButton="0" quotePrefix="0" xfId="0"/>
    <xf numFmtId="10" fontId="13" fillId="6" borderId="7" pivotButton="0" quotePrefix="0" xfId="2"/>
    <xf numFmtId="3" fontId="13" fillId="6" borderId="7" pivotButton="0" quotePrefix="0" xfId="0"/>
    <xf numFmtId="0" fontId="13" fillId="6" borderId="7" pivotButton="0" quotePrefix="0" xfId="0"/>
    <xf numFmtId="9" fontId="13" fillId="6" borderId="7" pivotButton="0" quotePrefix="0" xfId="2"/>
    <xf numFmtId="173" fontId="8" fillId="6" borderId="7" pivotButton="0" quotePrefix="0" xfId="0"/>
    <xf numFmtId="174" fontId="8" fillId="7" borderId="7" pivotButton="0" quotePrefix="0" xfId="0"/>
    <xf numFmtId="174" fontId="8" fillId="0" borderId="7" pivotButton="0" quotePrefix="0" xfId="0"/>
    <xf numFmtId="165" fontId="10" fillId="14" borderId="7" pivotButton="0" quotePrefix="0" xfId="0"/>
    <xf numFmtId="167" fontId="8" fillId="10" borderId="7" pivotButton="0" quotePrefix="0" xfId="0"/>
    <xf numFmtId="22" fontId="8" fillId="10" borderId="7" pivotButton="0" quotePrefix="0" xfId="0"/>
    <xf numFmtId="172" fontId="8" fillId="10" borderId="7" pivotButton="0" quotePrefix="0" xfId="0"/>
    <xf numFmtId="4" fontId="8" fillId="10" borderId="7" pivotButton="0" quotePrefix="0" xfId="0"/>
    <xf numFmtId="165" fontId="0" fillId="10" borderId="7" pivotButton="0" quotePrefix="0" xfId="0"/>
    <xf numFmtId="10" fontId="8" fillId="10" borderId="7" pivotButton="0" quotePrefix="0" xfId="2"/>
    <xf numFmtId="3" fontId="8" fillId="10" borderId="7" pivotButton="0" quotePrefix="0" xfId="0"/>
    <xf numFmtId="0" fontId="8" fillId="10" borderId="7" pivotButton="0" quotePrefix="0" xfId="0"/>
    <xf numFmtId="9" fontId="8" fillId="10" borderId="7" pivotButton="0" quotePrefix="0" xfId="2"/>
    <xf numFmtId="165" fontId="10" fillId="6" borderId="7" pivotButton="0" quotePrefix="0" xfId="0"/>
    <xf numFmtId="165" fontId="10" fillId="9" borderId="7" pivotButton="0" quotePrefix="0" xfId="0"/>
    <xf numFmtId="165" fontId="23" fillId="9" borderId="7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0" applyAlignment="1" pivotButton="0" quotePrefix="0" xfId="0">
      <alignment horizontal="center"/>
    </xf>
    <xf numFmtId="0" fontId="24" fillId="0" borderId="10" pivotButton="0" quotePrefix="0" xfId="0"/>
    <xf numFmtId="175" fontId="24" fillId="0" borderId="10" pivotButton="0" quotePrefix="0" xfId="0"/>
    <xf numFmtId="165" fontId="5" fillId="0" borderId="10" pivotButton="0" quotePrefix="0" xfId="0"/>
    <xf numFmtId="10" fontId="24" fillId="0" borderId="10" pivotButton="0" quotePrefix="0" xfId="0"/>
    <xf numFmtId="3" fontId="24" fillId="0" borderId="10" pivotButton="0" quotePrefix="0" xfId="0"/>
    <xf numFmtId="9" fontId="24" fillId="0" borderId="10" pivotButton="0" quotePrefix="0" xfId="0"/>
    <xf numFmtId="0" fontId="17" fillId="0" borderId="10" pivotButton="0" quotePrefix="0" xfId="0"/>
    <xf numFmtId="0" fontId="15" fillId="0" borderId="2" pivotButton="0" quotePrefix="0" xfId="0"/>
    <xf numFmtId="0" fontId="24" fillId="0" borderId="2" pivotButton="0" quotePrefix="0" xfId="0"/>
    <xf numFmtId="169" fontId="5" fillId="0" borderId="10" pivotButton="0" quotePrefix="0" xfId="0"/>
    <xf numFmtId="0" fontId="24" fillId="0" borderId="11" pivotButton="0" quotePrefix="0" xfId="0"/>
    <xf numFmtId="176" fontId="0" fillId="18" borderId="12" pivotButton="0" quotePrefix="0" xfId="0"/>
    <xf numFmtId="167" fontId="0" fillId="18" borderId="12" applyAlignment="1" pivotButton="0" quotePrefix="0" xfId="0">
      <alignment horizontal="center"/>
    </xf>
    <xf numFmtId="176" fontId="0" fillId="0" borderId="12" pivotButton="0" quotePrefix="0" xfId="0"/>
    <xf numFmtId="177" fontId="0" fillId="0" borderId="12" applyAlignment="1" pivotButton="0" quotePrefix="0" xfId="0">
      <alignment horizontal="center"/>
    </xf>
    <xf numFmtId="178" fontId="0" fillId="18" borderId="12" applyAlignment="1" pivotButton="0" quotePrefix="0" xfId="0">
      <alignment horizontal="center"/>
    </xf>
    <xf numFmtId="167" fontId="0" fillId="0" borderId="12" applyAlignment="1" pivotButton="0" quotePrefix="0" xfId="0">
      <alignment horizontal="center"/>
    </xf>
    <xf numFmtId="179" fontId="0" fillId="0" borderId="12" applyAlignment="1" pivotButton="0" quotePrefix="0" xfId="0">
      <alignment horizontal="center"/>
    </xf>
    <xf numFmtId="177" fontId="0" fillId="18" borderId="12" applyAlignment="1" pivotButton="0" quotePrefix="0" xfId="0">
      <alignment horizontal="center"/>
    </xf>
    <xf numFmtId="0" fontId="0" fillId="18" borderId="12" pivotButton="0" quotePrefix="0" xfId="0"/>
    <xf numFmtId="0" fontId="0" fillId="0" borderId="12" pivotButton="0" quotePrefix="0" xfId="0"/>
    <xf numFmtId="167" fontId="0" fillId="18" borderId="12" pivotButton="0" quotePrefix="0" xfId="0"/>
    <xf numFmtId="167" fontId="0" fillId="0" borderId="12" pivotButton="0" quotePrefix="0" xfId="0"/>
    <xf numFmtId="0" fontId="25" fillId="17" borderId="0" pivotButton="0" quotePrefix="0" xfId="0"/>
    <xf numFmtId="0" fontId="25" fillId="17" borderId="0" applyAlignment="1" pivotButton="0" quotePrefix="0" xfId="0">
      <alignment horizontal="center"/>
    </xf>
    <xf numFmtId="49" fontId="26" fillId="17" borderId="0" applyAlignment="1" pivotButton="0" quotePrefix="0" xfId="0">
      <alignment horizontal="center"/>
    </xf>
    <xf numFmtId="17" fontId="27" fillId="17" borderId="0" applyAlignment="1" pivotButton="0" quotePrefix="0" xfId="0">
      <alignment horizontal="center"/>
    </xf>
    <xf numFmtId="178" fontId="0" fillId="0" borderId="12" applyAlignment="1" pivotButton="0" quotePrefix="0" xfId="0">
      <alignment horizontal="center"/>
    </xf>
    <xf numFmtId="165" fontId="23" fillId="6" borderId="4" pivotButton="0" quotePrefix="0" xfId="0"/>
    <xf numFmtId="165" fontId="23" fillId="14" borderId="7" pivotButton="0" quotePrefix="0" xfId="0"/>
    <xf numFmtId="169" fontId="17" fillId="12" borderId="7" pivotButton="0" quotePrefix="0" xfId="1"/>
    <xf numFmtId="169" fontId="11" fillId="16" borderId="7" applyAlignment="1" pivotButton="0" quotePrefix="0" xfId="1">
      <alignment horizontal="center"/>
    </xf>
    <xf numFmtId="170" fontId="8" fillId="6" borderId="7" pivotButton="0" quotePrefix="0" xfId="2"/>
    <xf numFmtId="168" fontId="16" fillId="11" borderId="7" pivotButton="0" quotePrefix="0" xfId="0"/>
    <xf numFmtId="169" fontId="18" fillId="12" borderId="7" pivotButton="0" quotePrefix="0" xfId="1"/>
    <xf numFmtId="169" fontId="17" fillId="12" borderId="7" pivotButton="0" quotePrefix="0" xfId="1"/>
    <xf numFmtId="171" fontId="8" fillId="6" borderId="7" pivotButton="0" quotePrefix="0" xfId="0"/>
    <xf numFmtId="172" fontId="8" fillId="6" borderId="7" pivotButton="0" quotePrefix="0" xfId="0"/>
    <xf numFmtId="172" fontId="8" fillId="0" borderId="7" pivotButton="0" quotePrefix="0" xfId="0"/>
    <xf numFmtId="173" fontId="8" fillId="6" borderId="7" pivotButton="0" quotePrefix="0" xfId="0"/>
    <xf numFmtId="174" fontId="8" fillId="7" borderId="7" pivotButton="0" quotePrefix="0" xfId="0"/>
    <xf numFmtId="174" fontId="8" fillId="0" borderId="7" pivotButton="0" quotePrefix="0" xfId="0"/>
    <xf numFmtId="172" fontId="8" fillId="10" borderId="7" pivotButton="0" quotePrefix="0" xfId="0"/>
    <xf numFmtId="175" fontId="24" fillId="0" borderId="10" pivotButton="0" quotePrefix="0" xfId="0"/>
    <xf numFmtId="169" fontId="5" fillId="0" borderId="10" pivotButton="0" quotePrefix="0" xfId="0"/>
    <xf numFmtId="176" fontId="0" fillId="18" borderId="12" pivotButton="0" quotePrefix="0" xfId="0"/>
    <xf numFmtId="176" fontId="0" fillId="0" borderId="12" pivotButton="0" quotePrefix="0" xfId="0"/>
    <xf numFmtId="177" fontId="0" fillId="0" borderId="12" applyAlignment="1" pivotButton="0" quotePrefix="0" xfId="0">
      <alignment horizontal="center"/>
    </xf>
    <xf numFmtId="178" fontId="0" fillId="18" borderId="12" applyAlignment="1" pivotButton="0" quotePrefix="0" xfId="0">
      <alignment horizontal="center"/>
    </xf>
    <xf numFmtId="179" fontId="0" fillId="0" borderId="12" applyAlignment="1" pivotButton="0" quotePrefix="0" xfId="0">
      <alignment horizontal="center"/>
    </xf>
    <xf numFmtId="177" fontId="0" fillId="18" borderId="12" applyAlignment="1" pivotButton="0" quotePrefix="0" xfId="0">
      <alignment horizontal="center"/>
    </xf>
    <xf numFmtId="178" fontId="0" fillId="0" borderId="12" applyAlignment="1" pivotButton="0" quotePrefix="0" xfId="0">
      <alignment horizontal="center"/>
    </xf>
    <xf numFmtId="168" fontId="0" fillId="0" borderId="0" applyAlignment="1" pivotButton="0" quotePrefix="0" xfId="2">
      <alignment horizontal="center"/>
    </xf>
  </cellXfs>
  <cellStyles count="6">
    <cellStyle name="Normal" xfId="0" builtinId="0"/>
    <cellStyle name="Comma" xfId="1" builtinId="3"/>
    <cellStyle name="Percent" xfId="2" builtinId="5"/>
    <cellStyle name="Bad" xfId="3" builtinId="27"/>
    <cellStyle name="Input" xfId="4" builtinId="20"/>
    <cellStyle name="Accent1" xfId="5" builtinId="29"/>
  </cellStyles>
  <dxfs count="35">
    <dxf>
      <font>
        <name val="Aptos Narrow"/>
        <family val="2"/>
        <b val="1"/>
        <strike val="0"/>
        <outline val="0"/>
        <shadow val="0"/>
        <condense val="0"/>
        <color rgb="FF00B050"/>
        <extend val="0"/>
        <sz val="16"/>
        <vertAlign val="baseline"/>
        <scheme val="minor"/>
      </font>
      <numFmt numFmtId="178" formatCode="0.0%;[Red]\-0.0%"/>
      <fill>
        <patternFill patternType="solid">
          <fgColor indexed="64"/>
          <bgColor theme="4" tint="0.7999816888943144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B050"/>
        <extend val="0"/>
        <sz val="16"/>
        <vertAlign val="baseline"/>
        <scheme val="minor"/>
      </font>
      <numFmt numFmtId="178" formatCode="0.0%;[Red]\-0.0%"/>
      <fill>
        <patternFill patternType="solid">
          <fgColor indexed="64"/>
          <bgColor theme="4" tint="0.7999816888943144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B050"/>
        <extend val="0"/>
        <sz val="16"/>
        <vertAlign val="baseline"/>
        <scheme val="minor"/>
      </font>
      <fill>
        <patternFill patternType="solid">
          <fgColor indexed="64"/>
          <bgColor rgb="FFFFFF00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numFmt numFmtId="14" formatCode="0.00%"/>
      <fill>
        <patternFill patternType="solid">
          <fgColor indexed="64"/>
          <bgColor theme="4" tint="0.7999816888943144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0" tint="-0.3499862666707358"/>
        <extend val="0"/>
        <sz val="16"/>
        <vertAlign val="baseline"/>
      </font>
      <numFmt numFmtId="14" formatCode="0.00%"/>
      <fill>
        <patternFill patternType="solid">
          <fgColor rgb="FF000000"/>
          <bgColor theme="4" tint="0.7999816888943144"/>
        </patternFill>
      </fill>
      <border>
        <left style="thin">
          <color rgb="FF8EA9DB"/>
        </left>
        <right/>
        <top style="thin">
          <color rgb="FF8EA9DB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0" tint="-0.3499862666707358"/>
        <extend val="0"/>
        <sz val="16"/>
        <vertAlign val="baseline"/>
      </font>
      <numFmt numFmtId="14" formatCode="0.00%"/>
      <fill>
        <patternFill patternType="solid">
          <fgColor rgb="FF000000"/>
          <bgColor theme="4" tint="0.7999816888943144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6"/>
        <vertAlign val="baseline"/>
      </font>
      <numFmt numFmtId="177" formatCode="[$-409]d\-mmm\-yy;@"/>
      <fill>
        <patternFill patternType="solid">
          <fgColor rgb="FF000000"/>
          <bgColor theme="4" tint="0.7999816888943144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6"/>
        <vertAlign val="baseline"/>
      </font>
      <numFmt numFmtId="177" formatCode="[$-409]d\-mmm\-yy;@"/>
      <fill>
        <patternFill patternType="solid">
          <fgColor rgb="FF000000"/>
          <bgColor theme="4" tint="0.7999816888943144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B050"/>
        <extend val="0"/>
        <sz val="16"/>
        <vertAlign val="baseline"/>
        <scheme val="minor"/>
      </font>
      <numFmt numFmtId="35" formatCode="_(* #,##0.00_);_(* \(#,##0.00\);_(* &quot;-&quot;??_);_(@_)"/>
      <fill>
        <patternFill patternType="solid">
          <fgColor indexed="64"/>
          <bgColor rgb="FFFFFF00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numFmt numFmtId="167" formatCode="_([$$-409]* #,##0.00_);_([$$-409]* \(#,##0.00\);_([$$-409]* &quot;-&quot;??_);_(@_)"/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numFmt numFmtId="3" formatCode="#,##0"/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numFmt numFmtId="3" formatCode="#,##0"/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numFmt numFmtId="14" formatCode="0.00%"/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numFmt numFmtId="165" formatCode="0.00_);[Red]\(0.00\)"/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numFmt numFmtId="4" formatCode="#,##0.00"/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numFmt numFmtId="27" formatCode="m/d/yy\ h:mm"/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numFmt numFmtId="167" formatCode="_([$$-409]* #,##0.00_);_([$$-409]* \(#,##0.00\);_([$$-409]* &quot;-&quot;??_);_(@_)"/>
      <fill>
        <patternFill patternType="solid">
          <fgColor indexed="64"/>
          <bgColor theme="9" tint="0.5999938962981048"/>
        </patternFill>
      </fill>
      <border>
        <left/>
        <right/>
        <top style="thin">
          <color rgb="FF8EA9DB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6"/>
        <vertAlign val="baseline"/>
        <scheme val="minor"/>
      </font>
      <border>
        <left/>
        <right/>
        <top style="thin">
          <color rgb="FF8EA9DB"/>
        </top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6"/>
        <vertAlign val="baseline"/>
      </font>
      <numFmt numFmtId="165" formatCode="0.00_);[Red]\(0.00\)"/>
      <border>
        <left/>
        <right/>
        <top style="thin">
          <color rgb="FF8EA9DB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numFmt numFmtId="167" formatCode="_([$$-409]* #,##0.00_);_([$$-409]* \(#,##0.00\);_([$$-409]* &quot;-&quot;??_);_(@_)"/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numFmt numFmtId="174" formatCode="_(* #,##0.0000_);_(* \(#,##0.0000\);_(* &quot;-&quot;??_);_(@_)"/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6"/>
        <vertAlign val="baseline"/>
        <scheme val="minor"/>
      </font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4472C4"/>
        </top>
      </border>
    </dxf>
    <dxf>
      <font>
        <b val="1"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tc={EFC0FF8B-9212-7140-90C2-017E2C13E675}</author>
  </authors>
  <commentList>
    <comment ref="AA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Dividend&gt;4%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kostayanev/NikyClean/Ticker_DataLocal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kostayanev/NikyClean/YahooDataOutput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1-Year Target Price</v>
          </cell>
          <cell r="C1" t="str">
            <v>Ex-Dividend Date</v>
          </cell>
          <cell r="D1" t="str">
            <v>Earnings Date</v>
          </cell>
          <cell r="E1" t="str">
            <v>Dividend Yield (%)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YData"/>
    </sheetNames>
    <sheetDataSet>
      <sheetData sheetId="0">
        <row r="2">
          <cell r="A2" t="str">
            <v>AAPL</v>
          </cell>
          <cell r="B2">
            <v>276.43097</v>
          </cell>
          <cell r="C2" t="str">
            <v>2025-11-10</v>
          </cell>
          <cell r="D2" t="str">
            <v>Jan 29, 2026</v>
          </cell>
          <cell r="E2">
            <v>3.8E-3</v>
          </cell>
        </row>
        <row r="3">
          <cell r="A3" t="str">
            <v>ADEA</v>
          </cell>
          <cell r="B3">
            <v>20.66667</v>
          </cell>
          <cell r="C3" t="str">
            <v>2025-08-26</v>
          </cell>
          <cell r="E3">
            <v>1.17E-2</v>
          </cell>
        </row>
        <row r="4">
          <cell r="A4" t="str">
            <v>AET.L</v>
          </cell>
          <cell r="B4">
            <v>96.66</v>
          </cell>
        </row>
        <row r="5">
          <cell r="A5" t="str">
            <v>AMZN</v>
          </cell>
          <cell r="B5">
            <v>288.42410000000001</v>
          </cell>
          <cell r="D5" t="str">
            <v>Oct 30, 2025</v>
          </cell>
        </row>
        <row r="6">
          <cell r="A6" t="str">
            <v>ALDNE.PA</v>
          </cell>
          <cell r="B6">
            <v>1.5333300000000001</v>
          </cell>
        </row>
        <row r="7">
          <cell r="A7" t="str">
            <v>ASML.AS</v>
          </cell>
          <cell r="B7">
            <v>941.90326000000005</v>
          </cell>
          <cell r="C7" t="str">
            <v>2025-10-28</v>
          </cell>
          <cell r="E7">
            <v>6.9999998000000001E-3</v>
          </cell>
        </row>
        <row r="8">
          <cell r="A8" t="str">
            <v>AVGO</v>
          </cell>
          <cell r="B8">
            <v>392.38164999999998</v>
          </cell>
          <cell r="C8" t="str">
            <v>2025-09-22</v>
          </cell>
          <cell r="D8" t="str">
            <v>Dec 11, 2025</v>
          </cell>
          <cell r="E8">
            <v>6.4000000000000003E-3</v>
          </cell>
        </row>
        <row r="9">
          <cell r="A9" t="str">
            <v>AZN</v>
          </cell>
          <cell r="B9">
            <v>93.25273</v>
          </cell>
          <cell r="C9" t="str">
            <v>2025-08-08</v>
          </cell>
          <cell r="D9" t="str">
            <v>Nov 6, 2025</v>
          </cell>
          <cell r="E9">
            <v>1.9E-2</v>
          </cell>
        </row>
        <row r="10">
          <cell r="A10" t="str">
            <v>BLDP</v>
          </cell>
          <cell r="B10">
            <v>2.75</v>
          </cell>
          <cell r="D10" t="str">
            <v>Nov 13, 2025</v>
          </cell>
        </row>
        <row r="11">
          <cell r="A11" t="str">
            <v>BMRA</v>
          </cell>
        </row>
        <row r="12">
          <cell r="A12" t="str">
            <v>C</v>
          </cell>
          <cell r="B12">
            <v>113.7619</v>
          </cell>
          <cell r="C12" t="str">
            <v>2025-11-03</v>
          </cell>
          <cell r="D12" t="str">
            <v>Jan 14, 2026</v>
          </cell>
          <cell r="E12">
            <v>2.3699998999999999E-2</v>
          </cell>
        </row>
        <row r="13">
          <cell r="A13" t="str">
            <v>CSCO</v>
          </cell>
          <cell r="B13">
            <v>76.290949999999995</v>
          </cell>
          <cell r="C13" t="str">
            <v>2025-10-03</v>
          </cell>
          <cell r="D13" t="str">
            <v>Nov 12, 2025</v>
          </cell>
          <cell r="E13">
            <v>2.24E-2</v>
          </cell>
        </row>
        <row r="14">
          <cell r="A14" t="str">
            <v>CVS</v>
          </cell>
          <cell r="B14">
            <v>90.48</v>
          </cell>
          <cell r="C14" t="str">
            <v>2025-10-23</v>
          </cell>
          <cell r="D14" t="str">
            <v>Oct 29, 2025</v>
          </cell>
          <cell r="E14">
            <v>3.4000000000000002E-2</v>
          </cell>
        </row>
        <row r="15">
          <cell r="A15" t="str">
            <v>DDD</v>
          </cell>
          <cell r="B15">
            <v>3.25</v>
          </cell>
          <cell r="D15" t="str">
            <v>Nov 4, 2025</v>
          </cell>
        </row>
        <row r="16">
          <cell r="A16" t="str">
            <v>DIS</v>
          </cell>
          <cell r="B16">
            <v>134.07239999999999</v>
          </cell>
          <cell r="C16" t="str">
            <v>2025-06-24</v>
          </cell>
          <cell r="D16" t="str">
            <v>Nov 13, 2025</v>
          </cell>
          <cell r="E16">
            <v>8.8999999999999999E-3</v>
          </cell>
        </row>
        <row r="17">
          <cell r="A17" t="str">
            <v>DSY.PA</v>
          </cell>
          <cell r="B17">
            <v>31.877780000000001</v>
          </cell>
          <cell r="C17" t="str">
            <v>2025-05-26</v>
          </cell>
          <cell r="E17">
            <v>1.06E-2</v>
          </cell>
        </row>
        <row r="18">
          <cell r="A18" t="str">
            <v>DVA</v>
          </cell>
          <cell r="B18">
            <v>147.125</v>
          </cell>
          <cell r="D18" t="str">
            <v>Oct 29, 2025</v>
          </cell>
        </row>
        <row r="19">
          <cell r="A19" t="str">
            <v>DXC</v>
          </cell>
          <cell r="B19">
            <v>14.5</v>
          </cell>
          <cell r="C19" t="str">
            <v>2020-03-24</v>
          </cell>
          <cell r="D19" t="str">
            <v>Oct 30, 2025</v>
          </cell>
        </row>
        <row r="20">
          <cell r="A20" t="str">
            <v>EOAN.DE</v>
          </cell>
          <cell r="B20">
            <v>16.919589999999999</v>
          </cell>
          <cell r="C20" t="str">
            <v>2025-05-16</v>
          </cell>
          <cell r="E20">
            <v>3.4099999999999998E-2</v>
          </cell>
        </row>
        <row r="21">
          <cell r="A21" t="str">
            <v>EPIX</v>
          </cell>
          <cell r="C21" t="str">
            <v>2025-08-25</v>
          </cell>
        </row>
        <row r="22">
          <cell r="A22" t="str">
            <v>GM</v>
          </cell>
          <cell r="B22">
            <v>73.153850000000006</v>
          </cell>
          <cell r="C22" t="str">
            <v>2025-12-05</v>
          </cell>
          <cell r="D22" t="str">
            <v>Oct 21, 2025</v>
          </cell>
          <cell r="E22">
            <v>8.6999999999999994E-3</v>
          </cell>
        </row>
        <row r="23">
          <cell r="A23" t="str">
            <v>HPE</v>
          </cell>
          <cell r="B23">
            <v>26.51211</v>
          </cell>
          <cell r="C23" t="str">
            <v>2025-09-18</v>
          </cell>
          <cell r="D23" t="str">
            <v>Dec 4, 2025</v>
          </cell>
          <cell r="E23">
            <v>2.1300000999999999E-2</v>
          </cell>
        </row>
        <row r="24">
          <cell r="A24" t="str">
            <v>HPQ</v>
          </cell>
          <cell r="B24">
            <v>28.282499999999999</v>
          </cell>
          <cell r="C24" t="str">
            <v>2025-09-10</v>
          </cell>
          <cell r="D24" t="str">
            <v>Nov 25, 2025</v>
          </cell>
          <cell r="E24">
            <v>4.1799999999999997E-2</v>
          </cell>
        </row>
        <row r="25">
          <cell r="A25" t="str">
            <v>IAG.L</v>
          </cell>
          <cell r="B25">
            <v>464.0942</v>
          </cell>
          <cell r="C25" t="str">
            <v>2025-06-26</v>
          </cell>
          <cell r="E25">
            <v>1.83E-2</v>
          </cell>
        </row>
        <row r="26">
          <cell r="A26" t="str">
            <v>KR</v>
          </cell>
          <cell r="B26">
            <v>76.045450000000002</v>
          </cell>
          <cell r="C26" t="str">
            <v>2025-11-14</v>
          </cell>
          <cell r="D26" t="str">
            <v>Dec 4, 2025</v>
          </cell>
          <cell r="E26">
            <v>2.1999999999999999E-2</v>
          </cell>
        </row>
        <row r="27">
          <cell r="A27" t="str">
            <v>LNSR</v>
          </cell>
          <cell r="B27">
            <v>15</v>
          </cell>
        </row>
        <row r="28">
          <cell r="A28" t="str">
            <v>LUMN</v>
          </cell>
          <cell r="B28">
            <v>5.9580000000000002</v>
          </cell>
          <cell r="C28" t="str">
            <v>2022-08-29</v>
          </cell>
          <cell r="D28" t="str">
            <v>Oct 30, 2025</v>
          </cell>
        </row>
        <row r="29">
          <cell r="A29" t="str">
            <v>MRNA</v>
          </cell>
          <cell r="B29">
            <v>40.299999999999997</v>
          </cell>
          <cell r="D29" t="str">
            <v>Nov 6, 2025</v>
          </cell>
        </row>
        <row r="30">
          <cell r="A30" t="str">
            <v>MSFT</v>
          </cell>
          <cell r="B30">
            <v>626.22655999999995</v>
          </cell>
          <cell r="C30" t="str">
            <v>2025-11-20</v>
          </cell>
          <cell r="D30" t="str">
            <v>Jan 28, 2026</v>
          </cell>
          <cell r="E30">
            <v>6.9999998000000001E-3</v>
          </cell>
        </row>
        <row r="31">
          <cell r="A31" t="str">
            <v>NEE</v>
          </cell>
          <cell r="B31">
            <v>91</v>
          </cell>
          <cell r="C31" t="str">
            <v>2025-11-21</v>
          </cell>
          <cell r="D31" t="str">
            <v>Oct 28, 2025</v>
          </cell>
          <cell r="E31">
            <v>2.7799999999999998E-2</v>
          </cell>
        </row>
        <row r="32">
          <cell r="A32" t="str">
            <v>NEM</v>
          </cell>
          <cell r="B32">
            <v>102.735</v>
          </cell>
          <cell r="C32" t="str">
            <v>2025-11-26</v>
          </cell>
          <cell r="D32" t="str">
            <v>Oct 23, 2025</v>
          </cell>
          <cell r="E32">
            <v>1.24E-2</v>
          </cell>
        </row>
        <row r="33">
          <cell r="A33" t="str">
            <v>NFLX</v>
          </cell>
          <cell r="B33">
            <v>1347.3231000000001</v>
          </cell>
          <cell r="D33" t="str">
            <v>Jan 20, 2026</v>
          </cell>
        </row>
        <row r="34">
          <cell r="A34" t="str">
            <v>NOTE</v>
          </cell>
          <cell r="B34">
            <v>31.501080000000002</v>
          </cell>
        </row>
        <row r="35">
          <cell r="A35" t="str">
            <v>PAAS</v>
          </cell>
          <cell r="B35">
            <v>46.875</v>
          </cell>
          <cell r="C35" t="str">
            <v>2025-08-18</v>
          </cell>
          <cell r="D35" t="str">
            <v>Nov 12, 2025</v>
          </cell>
          <cell r="E35">
            <v>1.3599999999999999E-2</v>
          </cell>
        </row>
        <row r="36">
          <cell r="A36" t="str">
            <v>PROF</v>
          </cell>
          <cell r="B36">
            <v>12.1</v>
          </cell>
        </row>
        <row r="37">
          <cell r="A37" t="str">
            <v>POET</v>
          </cell>
          <cell r="B37">
            <v>6.6333299999999999</v>
          </cell>
          <cell r="D37" t="str">
            <v>Nov 13, 2025</v>
          </cell>
        </row>
        <row r="38">
          <cell r="A38" t="str">
            <v>PW</v>
          </cell>
          <cell r="C38" t="str">
            <v>2013-01-10</v>
          </cell>
        </row>
        <row r="39">
          <cell r="A39" t="str">
            <v>RIGL</v>
          </cell>
          <cell r="B39">
            <v>38.333329999999997</v>
          </cell>
          <cell r="D39" t="str">
            <v>Nov 4, 2025</v>
          </cell>
        </row>
        <row r="40">
          <cell r="A40" t="str">
            <v>RWE.DE</v>
          </cell>
          <cell r="B40">
            <v>44.747059999999998</v>
          </cell>
          <cell r="C40" t="str">
            <v>2025-05-02</v>
          </cell>
          <cell r="E40">
            <v>2.5799999000000001E-2</v>
          </cell>
        </row>
        <row r="41">
          <cell r="A41" t="str">
            <v>SAP.DE</v>
          </cell>
          <cell r="B41">
            <v>288.66680000000002</v>
          </cell>
          <cell r="C41" t="str">
            <v>2025-05-14</v>
          </cell>
          <cell r="E41">
            <v>1.0500000000000001E-2</v>
          </cell>
        </row>
        <row r="42">
          <cell r="A42" t="str">
            <v>SHECY</v>
          </cell>
          <cell r="C42" t="str">
            <v>2025-03-31</v>
          </cell>
          <cell r="E42">
            <v>2.4500001E-2</v>
          </cell>
        </row>
        <row r="43">
          <cell r="A43" t="str">
            <v>SSYS</v>
          </cell>
          <cell r="B43">
            <v>13.33333</v>
          </cell>
          <cell r="D43" t="str">
            <v>Nov 13, 2025</v>
          </cell>
        </row>
        <row r="44">
          <cell r="A44" t="str">
            <v>TSLA</v>
          </cell>
          <cell r="B44">
            <v>391.31805000000003</v>
          </cell>
          <cell r="D44" t="str">
            <v>Jan 28, 2026</v>
          </cell>
        </row>
        <row r="45">
          <cell r="A45" t="str">
            <v>TSM</v>
          </cell>
          <cell r="B45">
            <v>335.39688000000001</v>
          </cell>
          <cell r="C45" t="str">
            <v>2025-12-11</v>
          </cell>
          <cell r="D45" t="str">
            <v>Jan 15, 2026</v>
          </cell>
          <cell r="E45">
            <v>1.11E-2</v>
          </cell>
        </row>
        <row r="46">
          <cell r="A46" t="str">
            <v>UN0</v>
          </cell>
        </row>
        <row r="47">
          <cell r="A47" t="str">
            <v>UNIT</v>
          </cell>
          <cell r="B47">
            <v>7.4222200000000003</v>
          </cell>
          <cell r="C47" t="str">
            <v>2024-06-14</v>
          </cell>
          <cell r="D47" t="str">
            <v>Nov 4, 2025</v>
          </cell>
        </row>
        <row r="48">
          <cell r="A48" t="str">
            <v>AVGO</v>
          </cell>
          <cell r="B48">
            <v>392.38164999999998</v>
          </cell>
          <cell r="C48" t="str">
            <v>2025-09-22</v>
          </cell>
          <cell r="D48" t="str">
            <v>Dec 11, 2025</v>
          </cell>
          <cell r="E48">
            <v>6.4000000000000003E-3</v>
          </cell>
        </row>
        <row r="49">
          <cell r="A49" t="str">
            <v>VLVLY</v>
          </cell>
          <cell r="B49">
            <v>34</v>
          </cell>
          <cell r="C49" t="str">
            <v>2025-04-04</v>
          </cell>
          <cell r="E49">
            <v>2.9100000000000001E-2</v>
          </cell>
        </row>
        <row r="50">
          <cell r="A50" t="str">
            <v>VONN.SW</v>
          </cell>
          <cell r="B50">
            <v>61.5</v>
          </cell>
          <cell r="C50" t="str">
            <v>2025-04-04</v>
          </cell>
          <cell r="D50" t="str">
            <v>--</v>
          </cell>
          <cell r="E50">
            <v>4.9200002E-2</v>
          </cell>
        </row>
        <row r="51">
          <cell r="A51" t="str">
            <v>VTRS</v>
          </cell>
          <cell r="B51">
            <v>12</v>
          </cell>
          <cell r="C51" t="str">
            <v>2025-08-22</v>
          </cell>
          <cell r="D51" t="str">
            <v>Nov 6, 2025</v>
          </cell>
          <cell r="E51">
            <v>4.6300000000000001E-2</v>
          </cell>
        </row>
        <row r="52">
          <cell r="A52" t="str">
            <v>WBA</v>
          </cell>
        </row>
        <row r="53">
          <cell r="A53" t="str">
            <v>XOM</v>
          </cell>
          <cell r="B53">
            <v>126.88</v>
          </cell>
          <cell r="C53" t="str">
            <v>2025-11-14</v>
          </cell>
          <cell r="D53" t="str">
            <v>Jan 30, 2026</v>
          </cell>
          <cell r="E53">
            <v>3.4599999999999999E-2</v>
          </cell>
        </row>
        <row r="54">
          <cell r="A54" t="str">
            <v>XPER</v>
          </cell>
          <cell r="B54">
            <v>11.4</v>
          </cell>
        </row>
        <row r="55">
          <cell r="A55" t="str">
            <v>BLNK</v>
          </cell>
          <cell r="B55">
            <v>2.4</v>
          </cell>
          <cell r="D55" t="str">
            <v>Nov 6, 2025</v>
          </cell>
        </row>
        <row r="56">
          <cell r="A56" t="str">
            <v>ENI.MI</v>
          </cell>
          <cell r="B56">
            <v>16.122730000000001</v>
          </cell>
          <cell r="C56" t="str">
            <v>2025-11-24</v>
          </cell>
          <cell r="E56">
            <v>6.5199999999999994E-2</v>
          </cell>
        </row>
        <row r="57">
          <cell r="A57" t="str">
            <v>EZJ.L</v>
          </cell>
          <cell r="B57">
            <v>626.25</v>
          </cell>
          <cell r="C57" t="str">
            <v>2025-02-20</v>
          </cell>
          <cell r="E57">
            <v>2.5000000000000001E-2</v>
          </cell>
        </row>
        <row r="58">
          <cell r="A58" t="str">
            <v>F</v>
          </cell>
          <cell r="B58">
            <v>12.265000000000001</v>
          </cell>
          <cell r="C58" t="str">
            <v>2025-11-07</v>
          </cell>
          <cell r="D58" t="str">
            <v>Oct 23, 2025</v>
          </cell>
          <cell r="E58">
            <v>4.5700002000000003E-2</v>
          </cell>
        </row>
        <row r="59">
          <cell r="A59" t="str">
            <v>GLE.PA</v>
          </cell>
          <cell r="B59">
            <v>64.686109999999999</v>
          </cell>
          <cell r="C59" t="str">
            <v>2025-10-07</v>
          </cell>
          <cell r="D59" t="str">
            <v>Oct 30, 2025</v>
          </cell>
          <cell r="E59">
            <v>3.1E-2</v>
          </cell>
        </row>
        <row r="60">
          <cell r="A60" t="str">
            <v>GNRC</v>
          </cell>
          <cell r="B60">
            <v>207.47059999999999</v>
          </cell>
          <cell r="C60" t="str">
            <v>2013-06-10</v>
          </cell>
          <cell r="D60" t="str">
            <v>Oct 29, 2025</v>
          </cell>
        </row>
        <row r="61">
          <cell r="A61" t="str">
            <v>GS</v>
          </cell>
          <cell r="B61">
            <v>801.84209999999996</v>
          </cell>
          <cell r="C61" t="str">
            <v>2025-12-02</v>
          </cell>
          <cell r="D61" t="str">
            <v>Jan 15, 2026</v>
          </cell>
          <cell r="E61">
            <v>2.0299998999999999E-2</v>
          </cell>
        </row>
        <row r="62">
          <cell r="A62" t="str">
            <v>LAZR</v>
          </cell>
          <cell r="B62">
            <v>2.5</v>
          </cell>
          <cell r="D62" t="str">
            <v>Nov 13, 2025</v>
          </cell>
        </row>
        <row r="63">
          <cell r="A63" t="str">
            <v>LUV</v>
          </cell>
          <cell r="B63">
            <v>34.073680000000003</v>
          </cell>
          <cell r="C63" t="str">
            <v>2025-09-03</v>
          </cell>
          <cell r="D63" t="str">
            <v>Oct 22, 2025</v>
          </cell>
          <cell r="E63">
            <v>2.3800000000000002E-2</v>
          </cell>
        </row>
        <row r="64">
          <cell r="A64" t="str">
            <v>MA</v>
          </cell>
          <cell r="B64">
            <v>655.20569999999998</v>
          </cell>
          <cell r="C64" t="str">
            <v>2025-10-09</v>
          </cell>
          <cell r="D64" t="str">
            <v>Jan 29, 2026</v>
          </cell>
          <cell r="E64">
            <v>5.4999999999999997E-3</v>
          </cell>
        </row>
        <row r="65">
          <cell r="A65" t="str">
            <v>NVAX</v>
          </cell>
          <cell r="B65">
            <v>12.612500000000001</v>
          </cell>
          <cell r="D65" t="str">
            <v>Nov 10, 2025</v>
          </cell>
        </row>
        <row r="66">
          <cell r="A66" t="str">
            <v>NVS</v>
          </cell>
          <cell r="B66">
            <v>127.45399999999999</v>
          </cell>
          <cell r="C66" t="str">
            <v>2025-03-12</v>
          </cell>
          <cell r="D66" t="str">
            <v>Oct 28, 2025</v>
          </cell>
          <cell r="E66">
            <v>3.2300000000000002E-2</v>
          </cell>
        </row>
        <row r="67">
          <cell r="A67" t="str">
            <v>ORA.PA</v>
          </cell>
          <cell r="B67">
            <v>15.32222</v>
          </cell>
          <cell r="C67" t="str">
            <v>2025-12-02</v>
          </cell>
          <cell r="E67">
            <v>5.4199999999999998E-2</v>
          </cell>
        </row>
        <row r="68">
          <cell r="A68" t="str">
            <v>OXY</v>
          </cell>
          <cell r="B68">
            <v>49.913040000000002</v>
          </cell>
          <cell r="C68" t="str">
            <v>2025-09-10</v>
          </cell>
          <cell r="D68" t="str">
            <v>Nov 10, 2025</v>
          </cell>
          <cell r="E68">
            <v>2.3300000000000001E-2</v>
          </cell>
        </row>
        <row r="69">
          <cell r="A69" t="str">
            <v>PFE</v>
          </cell>
          <cell r="B69">
            <v>28.751899999999999</v>
          </cell>
          <cell r="C69" t="str">
            <v>2025-11-07</v>
          </cell>
          <cell r="D69" t="str">
            <v>Nov 4, 2025</v>
          </cell>
          <cell r="E69">
            <v>6.9800000000000001E-2</v>
          </cell>
        </row>
        <row r="70">
          <cell r="A70" t="str">
            <v>RIG</v>
          </cell>
          <cell r="B70">
            <v>3.9538500000000001</v>
          </cell>
          <cell r="C70" t="str">
            <v>2015-08-21</v>
          </cell>
          <cell r="D70" t="str">
            <v>Oct 29, 2025</v>
          </cell>
        </row>
        <row r="71">
          <cell r="A71" t="str">
            <v>RRC</v>
          </cell>
          <cell r="B71">
            <v>41.415419999999997</v>
          </cell>
          <cell r="C71" t="str">
            <v>2025-09-12</v>
          </cell>
          <cell r="D71" t="str">
            <v>Oct 28, 2025</v>
          </cell>
          <cell r="E71">
            <v>1.01E-2</v>
          </cell>
        </row>
        <row r="72">
          <cell r="A72" t="str">
            <v>XYZ</v>
          </cell>
          <cell r="B72">
            <v>88.505260000000007</v>
          </cell>
          <cell r="D72" t="str">
            <v>Nov 6, 2025</v>
          </cell>
        </row>
        <row r="73">
          <cell r="A73" t="str">
            <v>THC</v>
          </cell>
          <cell r="B73">
            <v>229.61904999999999</v>
          </cell>
          <cell r="C73" t="str">
            <v>2000-03-13</v>
          </cell>
          <cell r="D73" t="str">
            <v>Oct 28, 2025</v>
          </cell>
        </row>
        <row r="74">
          <cell r="A74" t="str">
            <v>X</v>
          </cell>
        </row>
        <row r="75">
          <cell r="A75" t="str">
            <v>LOCK.L</v>
          </cell>
        </row>
      </sheetData>
    </sheetDataSet>
  </externalBook>
</externalLink>
</file>

<file path=xl/tables/table1.xml><?xml version="1.0" encoding="utf-8"?>
<table xmlns="http://schemas.openxmlformats.org/spreadsheetml/2006/main" id="1" name="RTExR" displayName="RTExR" ref="A98:D106" headerRowCount="1" totalsRowShown="0" tableBorderDxfId="26">
  <autoFilter ref="A98:D106"/>
  <tableColumns count="4">
    <tableColumn id="1" name="Couple" dataDxfId="25"/>
    <tableColumn id="2" name="RT" dataDxfId="24">
      <calculatedColumnFormula array="1">_FV(A99,"Price")</calculatedColumnFormula>
    </tableColumn>
    <tableColumn id="3" name="52 W High">
      <calculatedColumnFormula array="1">_FV(A99,"52 week high",TRUE)</calculatedColumnFormula>
    </tableColumn>
    <tableColumn id="4" name="1/RT" dataDxfId="23">
      <calculatedColumnFormula>1/DataRT!$B99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TData" displayName="RTData" ref="A2:AF96" headerRowCount="1" totalsRowShown="0" tableBorderDxfId="22">
  <autoFilter ref="A2:AF96"/>
  <tableColumns count="32">
    <tableColumn id="1" name="Ticker_Symbol" dataDxfId="21">
      <calculatedColumnFormula array="1">_xlfn.SINGLE(DataRT!$S$3:$S$96)&amp;_FV(DataRT!$C3,"Ticker symbol",TRUE)</calculatedColumnFormula>
    </tableColumn>
    <tableColumn id="2" name="ExchR"/>
    <tableColumn id="3" name="Company Name" dataDxfId="20"/>
    <tableColumn id="4" name="Currency" dataDxfId="19">
      <calculatedColumnFormula array="1">_FV(DataRT!$C3,"Currency")</calculatedColumnFormula>
    </tableColumn>
    <tableColumn id="5" name="Last_trade_time" dataDxfId="18">
      <calculatedColumnFormula array="1">_FV(DataRT!$C3,"Last trade time",TRUE)</calculatedColumnFormula>
    </tableColumn>
    <tableColumn id="6" name="Close">
      <calculatedColumnFormula array="1">_FV(DataRT!$C3,"Previous close",TRUE)</calculatedColumnFormula>
    </tableColumn>
    <tableColumn id="7" name="Open">
      <calculatedColumnFormula array="1">IFERROR(_FV(DataRT!$C3,"Open"),DataRT!$F3)</calculatedColumnFormula>
    </tableColumn>
    <tableColumn id="8" name="M_Price">
      <calculatedColumnFormula array="1">_FV(DataRT!$C3,"Price")</calculatedColumnFormula>
    </tableColumn>
    <tableColumn id="9" name="Low">
      <calculatedColumnFormula array="1">IFERROR(_FV(DataRT!$C3,"Low"),0)</calculatedColumnFormula>
    </tableColumn>
    <tableColumn id="10" name="High">
      <calculatedColumnFormula array="1">IFERROR(_FV(DataRT!$C3,"High"),0)</calculatedColumnFormula>
    </tableColumn>
    <tableColumn id="11" name="P/E" dataDxfId="17">
      <calculatedColumnFormula array="1">IFERROR(_FV(DataRT!$C3,"P/E",TRUE),99)</calculatedColumnFormula>
    </tableColumn>
    <tableColumn id="12" name="Change" dataDxfId="16">
      <calculatedColumnFormula array="1">_FV(DataRT!$C3,"Change")</calculatedColumnFormula>
    </tableColumn>
    <tableColumn id="13" name="Change%" dataDxfId="15" dataCellStyle="Percent">
      <calculatedColumnFormula array="1">_FV(DataRT!$C3,"Change (%)",TRUE)</calculatedColumnFormula>
    </tableColumn>
    <tableColumn id="14" name="52_week_low">
      <calculatedColumnFormula array="1">_FV(DataRT!$C3,"52 week low",TRUE)</calculatedColumnFormula>
    </tableColumn>
    <tableColumn id="15" name="52_week_high">
      <calculatedColumnFormula array="1">_FV(DataRT!$C3,"52 week high",TRUE)</calculatedColumnFormula>
    </tableColumn>
    <tableColumn id="16" name="Volume" dataDxfId="14">
      <calculatedColumnFormula array="1">_FV(DataRT!$C3,"Volume")</calculatedColumnFormula>
    </tableColumn>
    <tableColumn id="17" name="Volume average" dataDxfId="13">
      <calculatedColumnFormula array="1">_FV(DataRT!$C3,"Volume average",TRUE)</calculatedColumnFormula>
    </tableColumn>
    <tableColumn id="18" name="Beta" dataDxfId="12">
      <calculatedColumnFormula array="1">_FV(DataRT!$C3,"Beta")</calculatedColumnFormula>
    </tableColumn>
    <tableColumn id="19" name="suffix" dataDxfId="11"/>
    <tableColumn id="20" name="Custody2" dataDxfId="10"/>
    <tableColumn id="21" name="Exchange abbreviation" dataDxfId="9">
      <calculatedColumnFormula array="1">_FV(DataRT!$C3,"Exchange abbreviation",TRUE)</calculatedColumnFormula>
    </tableColumn>
    <tableColumn id="22" name="V/VA">
      <calculatedColumnFormula>IFERROR(DataRT!$P3/DataRT!$Q3,1)</calculatedColumnFormula>
    </tableColumn>
    <tableColumn id="23" name="Column1"/>
    <tableColumn id="24" name="1YT" dataDxfId="8" dataCellStyle="Comma">
      <calculatedColumnFormula>_xlfn.XLOOKUP(DataRT!$A3,TickerList!$G2:$G96,TickerList!L2:L96)</calculatedColumnFormula>
    </tableColumn>
    <tableColumn id="25" name="Ddate" dataDxfId="7">
      <calculatedColumnFormula>_xlfn.XLOOKUP(DataRT!$A3,TickerList!$G2:$G96,TickerList!M2:M96)</calculatedColumnFormula>
    </tableColumn>
    <tableColumn id="26" name="EarningDate" dataDxfId="6">
      <calculatedColumnFormula>_xlfn.XLOOKUP(DataRT!$A3,TickerList!$G2:$G96,TickerList!N2:N96)</calculatedColumnFormula>
    </tableColumn>
    <tableColumn id="27" name="RepDiv" dataDxfId="5" dataCellStyle="Percent">
      <calculatedColumnFormula>_xlfn.XLOOKUP(DataRT!$A3,TickerList!$G2:$G96,TickerList!O2:O96)</calculatedColumnFormula>
    </tableColumn>
    <tableColumn id="28" name="Broker" dataDxfId="4" dataCellStyle="Percent"/>
    <tableColumn id="29" name="Stamp" dataDxfId="3"/>
    <tableColumn id="30" name="Old1YT" dataDxfId="2"/>
    <tableColumn id="31" name="YTChange" dataDxfId="1" dataCellStyle="Comma">
      <calculatedColumnFormula>_xlfn.LET(_xlpm.New1YT,DataRT!$X3,        _xlpm.Old1YT,IF(ISNUMBER(DataRT!$AD3),DataRT!$AD3,VALUE(LEFT(DataRT!$AD3,FIND("/",DataRT!$AD3,1)-1))),       IF(OR(DataRT!$X3=0,_xlpm.Old1YT=0),0,(_xlpm.New1YT-_xlpm.Old1YT)/_xlpm.Old1YT))</calculatedColumnFormula>
    </tableColumn>
    <tableColumn id="32" name="Column2" dataDxfId="0" dataCellStyle="Comma">
      <calculatedColumnFormula>TEXT(DataRT!$X3,"#,#0.00")&amp;" &lt; "&amp;DataRT!$AD3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AH210"/>
  <sheetViews>
    <sheetView tabSelected="1" zoomScale="90" zoomScaleNormal="90" workbookViewId="0">
      <pane xSplit="1" ySplit="2" topLeftCell="AA82" activePane="bottomRight" state="frozen"/>
      <selection pane="topRight" activeCell="B1" sqref="B1"/>
      <selection pane="bottomLeft" activeCell="A3" sqref="A3"/>
      <selection pane="bottomRight" activeCell="AF103" sqref="AF103"/>
    </sheetView>
  </sheetViews>
  <sheetFormatPr baseColWidth="10" defaultColWidth="11.125" defaultRowHeight="22"/>
  <cols>
    <col width="22.25" customWidth="1" min="1" max="1"/>
    <col width="11" customWidth="1" style="15" min="2" max="2"/>
    <col width="61" customWidth="1" style="22" min="3" max="3"/>
    <col width="12.125" customWidth="1" min="4" max="4"/>
    <col width="19.625" customWidth="1" min="5" max="5"/>
    <col width="13.875" customWidth="1" min="6" max="6"/>
    <col width="14" customWidth="1" min="7" max="7"/>
    <col width="12.125" customWidth="1" min="8" max="8"/>
    <col width="14.875" customWidth="1" min="9" max="9"/>
    <col width="14.875" customWidth="1" style="23" min="10" max="10"/>
    <col width="14.25" customWidth="1" style="17" min="11" max="11"/>
    <col width="15" customWidth="1" style="18" min="12" max="12"/>
    <col width="16.75" customWidth="1" style="22" min="13" max="13"/>
    <col width="17" customWidth="1" min="14" max="14"/>
    <col width="17.75" customWidth="1" style="19" min="15" max="15"/>
    <col width="15.5" customWidth="1" style="19" min="16" max="16"/>
    <col width="19.75" customWidth="1" min="17" max="17"/>
    <col width="12.75" customWidth="1" style="25" min="18" max="18"/>
    <col width="11.125" customWidth="1" min="19" max="19"/>
    <col width="12.5" customWidth="1" min="20" max="20"/>
    <col width="26.5" customWidth="1" min="21" max="21"/>
    <col width="11.125" customWidth="1" style="31" min="22" max="22"/>
    <col width="12.125" customWidth="1" style="29" min="23" max="23"/>
    <col width="11.625" customWidth="1" style="26" min="24" max="24"/>
    <col width="12" bestFit="1" customWidth="1" min="25" max="25"/>
    <col width="15.375" customWidth="1" min="26" max="26"/>
    <col width="11.25" bestFit="1" customWidth="1" min="27" max="27"/>
    <col width="11.25" bestFit="1" customWidth="1" min="29" max="29"/>
    <col width="16.875" customWidth="1" min="30" max="30"/>
    <col width="13" customWidth="1" min="31" max="31"/>
    <col width="27.5" bestFit="1" customWidth="1" min="32" max="32"/>
  </cols>
  <sheetData>
    <row r="1" ht="27" customFormat="1" customHeight="1" s="1" thickBot="1">
      <c r="A1" s="34">
        <f>MAX(E3:E96)</f>
        <v/>
      </c>
      <c r="B1" s="2" t="inlineStr">
        <is>
          <t>Today</t>
        </is>
      </c>
      <c r="C1" s="2" t="n"/>
      <c r="D1" s="3" t="n"/>
      <c r="E1" s="4" t="inlineStr">
        <is>
          <t>Today</t>
        </is>
      </c>
      <c r="F1" s="5">
        <f>NOW()</f>
        <v/>
      </c>
      <c r="G1" s="6" t="n"/>
      <c r="H1" s="7" t="n"/>
      <c r="I1" s="8" t="n"/>
      <c r="J1" s="9" t="n"/>
      <c r="K1" s="10" t="n"/>
      <c r="L1" s="11" t="n"/>
      <c r="M1" s="8" t="n"/>
      <c r="N1" s="8" t="n"/>
      <c r="O1" s="12" t="n"/>
      <c r="P1" s="12" t="n">
        <v>58505147</v>
      </c>
      <c r="Q1" s="8" t="n"/>
      <c r="R1" s="13" t="n"/>
      <c r="V1" s="30" t="n"/>
      <c r="W1" s="27" t="n"/>
      <c r="X1" s="14" t="inlineStr">
        <is>
          <t>From DataLocal Sheet2</t>
        </is>
      </c>
    </row>
    <row r="2" ht="27" customFormat="1" customHeight="1" s="33" thickBot="1">
      <c r="A2" s="43" t="inlineStr">
        <is>
          <t>Ticker_Symbol</t>
        </is>
      </c>
      <c r="B2" s="43" t="inlineStr">
        <is>
          <t>ExchR</t>
        </is>
      </c>
      <c r="C2" s="44" t="inlineStr">
        <is>
          <t>Company Name</t>
        </is>
      </c>
      <c r="D2" s="45" t="inlineStr">
        <is>
          <t>Currency</t>
        </is>
      </c>
      <c r="E2" s="45" t="inlineStr">
        <is>
          <t>Last_trade_time</t>
        </is>
      </c>
      <c r="F2" s="46" t="inlineStr">
        <is>
          <t>Close</t>
        </is>
      </c>
      <c r="G2" s="45" t="inlineStr">
        <is>
          <t>Open</t>
        </is>
      </c>
      <c r="H2" s="45" t="inlineStr">
        <is>
          <t>M_Price</t>
        </is>
      </c>
      <c r="I2" s="45" t="inlineStr">
        <is>
          <t>Low</t>
        </is>
      </c>
      <c r="J2" s="45" t="inlineStr">
        <is>
          <t>High</t>
        </is>
      </c>
      <c r="K2" s="47" t="inlineStr">
        <is>
          <t>P/E</t>
        </is>
      </c>
      <c r="L2" s="48" t="inlineStr">
        <is>
          <t>Change</t>
        </is>
      </c>
      <c r="M2" s="49" t="inlineStr">
        <is>
          <t>Change%</t>
        </is>
      </c>
      <c r="N2" s="50" t="inlineStr">
        <is>
          <t>52_week_low</t>
        </is>
      </c>
      <c r="O2" s="50" t="inlineStr">
        <is>
          <t>52_week_high</t>
        </is>
      </c>
      <c r="P2" s="51" t="inlineStr">
        <is>
          <t>Volume</t>
        </is>
      </c>
      <c r="Q2" s="51" t="inlineStr">
        <is>
          <t>Volume average</t>
        </is>
      </c>
      <c r="R2" s="52" t="inlineStr">
        <is>
          <t>Beta</t>
        </is>
      </c>
      <c r="S2" s="45" t="inlineStr">
        <is>
          <t>suffix</t>
        </is>
      </c>
      <c r="T2" s="45" t="inlineStr">
        <is>
          <t>Custody2</t>
        </is>
      </c>
      <c r="U2" s="50" t="inlineStr">
        <is>
          <t>Exchange abbreviation</t>
        </is>
      </c>
      <c r="V2" s="53" t="inlineStr">
        <is>
          <t>V/VA</t>
        </is>
      </c>
      <c r="W2" s="53" t="inlineStr">
        <is>
          <t>Column1</t>
        </is>
      </c>
      <c r="X2" s="54" t="inlineStr">
        <is>
          <t>1YT</t>
        </is>
      </c>
      <c r="Y2" s="54" t="inlineStr">
        <is>
          <t>Ddate</t>
        </is>
      </c>
      <c r="Z2" s="54" t="inlineStr">
        <is>
          <t>EarningDate</t>
        </is>
      </c>
      <c r="AA2" s="55" t="inlineStr">
        <is>
          <t>RepDiv</t>
        </is>
      </c>
      <c r="AB2" s="55" t="inlineStr">
        <is>
          <t>Broker</t>
        </is>
      </c>
      <c r="AC2" s="56" t="inlineStr">
        <is>
          <t>Stamp</t>
        </is>
      </c>
      <c r="AD2" s="45" t="inlineStr">
        <is>
          <t>Old1YT</t>
        </is>
      </c>
      <c r="AE2" s="155" t="inlineStr">
        <is>
          <t>YTChange</t>
        </is>
      </c>
      <c r="AF2" s="155" t="inlineStr">
        <is>
          <t>Column2</t>
        </is>
      </c>
    </row>
    <row r="3">
      <c r="A3" s="152">
        <f t="array" ref="A3">_xlfn.SINGLE(DataRT!$S$3:$S$96)&amp;_FV(DataRT!$C3,"Ticker symbol",TRUE)</f>
        <v/>
      </c>
      <c r="B3" s="58">
        <f>D99</f>
        <v/>
      </c>
      <c r="C3" s="59" t="e">
        <v>#VALUE!</v>
      </c>
      <c r="D3" s="60">
        <f t="array" ref="D3">_FV(DataRT!$C3,"Currency")</f>
        <v/>
      </c>
      <c r="E3" s="61">
        <f t="array" ref="E3">_FV(DataRT!$C3,"Last trade time",TRUE)</f>
        <v/>
      </c>
      <c r="F3" s="62">
        <f t="array" ref="F3">_FV(DataRT!$C3,"Previous close",TRUE)</f>
        <v/>
      </c>
      <c r="G3" s="63">
        <f t="array" ref="G3">IFERROR(_FV(DataRT!$C3,"Open"),DataRT!$F3)</f>
        <v/>
      </c>
      <c r="H3" s="63">
        <f t="array" ref="H3">_FV(DataRT!$C3,"Price")</f>
        <v/>
      </c>
      <c r="I3" s="63">
        <f t="array" ref="I3">IFERROR(_FV(DataRT!$C3,"Low"),0)</f>
        <v/>
      </c>
      <c r="J3" s="63">
        <f t="array" ref="J3">IFERROR(_FV(DataRT!$C3,"High"),0)</f>
        <v/>
      </c>
      <c r="K3" s="64">
        <f t="array" ref="K3">IFERROR(_FV(DataRT!$C3,"P/E",TRUE),99)</f>
        <v/>
      </c>
      <c r="L3" s="65">
        <f t="array" ref="L3">_FV(DataRT!$C3,"Change")</f>
        <v/>
      </c>
      <c r="M3" s="66">
        <f t="array" ref="M3">_FV(DataRT!$C3,"Change (%)",TRUE)</f>
        <v/>
      </c>
      <c r="N3" s="63">
        <f t="array" ref="N3">_FV(DataRT!$C3,"52 week low",TRUE)</f>
        <v/>
      </c>
      <c r="O3" s="63">
        <f t="array" ref="O3">_FV(DataRT!$C3,"52 week high",TRUE)</f>
        <v/>
      </c>
      <c r="P3" s="67">
        <f t="array" ref="P3">_FV(DataRT!$C3,"Volume")</f>
        <v/>
      </c>
      <c r="Q3" s="67">
        <f t="array" ref="Q3">_FV(DataRT!$C3,"Volume average",TRUE)</f>
        <v/>
      </c>
      <c r="R3" s="63">
        <f t="array" ref="R3">_FV(DataRT!$C3,"Beta")</f>
        <v/>
      </c>
      <c r="S3" s="68" t="n"/>
      <c r="T3" s="68" t="inlineStr">
        <is>
          <t>V</t>
        </is>
      </c>
      <c r="U3" s="68">
        <f t="array" ref="U3">_FV(DataRT!$C3,"Exchange abbreviation",TRUE)</f>
        <v/>
      </c>
      <c r="V3" s="156">
        <f>IFERROR(DataRT!$P3/DataRT!$Q3,1)</f>
        <v/>
      </c>
      <c r="W3" s="70" t="n"/>
      <c r="X3" s="71">
        <f>_xlfn.XLOOKUP(DataRT!$A3,TickerList!$G2:$G96,TickerList!L2:L96)</f>
        <v/>
      </c>
      <c r="Y3" s="157">
        <f>_xlfn.XLOOKUP(DataRT!$A3,TickerList!$G2:$G96,TickerList!M2:M96)</f>
        <v/>
      </c>
      <c r="Z3" s="157">
        <f>_xlfn.XLOOKUP(DataRT!$A3,TickerList!$G2:$G96,TickerList!N2:N96)</f>
        <v/>
      </c>
      <c r="AA3" s="73">
        <f>_xlfn.XLOOKUP(DataRT!$A3,TickerList!$G2:$G96,TickerList!O2:O96)</f>
        <v/>
      </c>
      <c r="AB3" s="74" t="n">
        <v>0.0001</v>
      </c>
      <c r="AC3" s="75" t="n">
        <v>0.003</v>
      </c>
      <c r="AD3" s="76" t="n">
        <v>245.31</v>
      </c>
      <c r="AE3" s="158">
        <f>_xlfn.LET(_xlpm.New1YT,DataRT!$X3,        _xlpm.Old1YT,IF(ISNUMBER(DataRT!$AD3),DataRT!$AD3,VALUE(LEFT(DataRT!$AD3,FIND("/",DataRT!$AD3,1)-1))),       IF(OR(DataRT!$X3=0,_xlpm.Old1YT=0),0,(_xlpm.New1YT-_xlpm.Old1YT)/_xlpm.Old1YT))</f>
        <v/>
      </c>
      <c r="AF3" s="159">
        <f>TEXT(DataRT!$X3,"#,#0.00")&amp;" &lt; "&amp;DataRT!$AD3</f>
        <v/>
      </c>
    </row>
    <row r="4">
      <c r="A4" s="78">
        <f t="array" ref="A4">_xlfn.SINGLE(DataRT!$S$3:$S$96)&amp;_FV(DataRT!$C4,"Ticker symbol",TRUE)</f>
        <v/>
      </c>
      <c r="B4" s="78">
        <f>D99</f>
        <v/>
      </c>
      <c r="C4" s="79" t="e">
        <v>#VALUE!</v>
      </c>
      <c r="D4" s="60">
        <f t="array" ref="D4">_FV(DataRT!$C4,"Currency")</f>
        <v/>
      </c>
      <c r="E4" s="80">
        <f t="array" ref="E4">_FV(DataRT!$C4,"Last trade time",TRUE)</f>
        <v/>
      </c>
      <c r="F4" s="81">
        <f t="array" ref="F4">_FV(DataRT!$C4,"Previous close",TRUE)</f>
        <v/>
      </c>
      <c r="G4" s="81">
        <f t="array" ref="G4">IFERROR(_FV(DataRT!$C4,"Open"),DataRT!$F4)</f>
        <v/>
      </c>
      <c r="H4" s="81">
        <f t="array" ref="H4">_FV(DataRT!$C4,"Price")</f>
        <v/>
      </c>
      <c r="I4" s="81">
        <f t="array" ref="I4">IFERROR(_FV(DataRT!$C4,"Low"),0)</f>
        <v/>
      </c>
      <c r="J4" s="81">
        <f t="array" ref="J4">IFERROR(_FV(DataRT!$C4,"High"),0)</f>
        <v/>
      </c>
      <c r="K4" s="82">
        <f t="array" ref="K4">IFERROR(_FV(DataRT!$C4,"P/E",TRUE),99)</f>
        <v/>
      </c>
      <c r="L4" s="83">
        <f t="array" ref="L4">_FV(DataRT!$C4,"Change")</f>
        <v/>
      </c>
      <c r="M4" s="84">
        <f t="array" ref="M4">_FV(DataRT!$C4,"Change (%)",TRUE)</f>
        <v/>
      </c>
      <c r="N4" s="81">
        <f t="array" ref="N4">_FV(DataRT!$C4,"52 week low",TRUE)</f>
        <v/>
      </c>
      <c r="O4" s="81">
        <f t="array" ref="O4">_FV(DataRT!$C4,"52 week high",TRUE)</f>
        <v/>
      </c>
      <c r="P4" s="85">
        <f t="array" ref="P4">_FV(DataRT!$C4,"Volume")</f>
        <v/>
      </c>
      <c r="Q4" s="85">
        <f t="array" ref="Q4">_FV(DataRT!$C4,"Volume average",TRUE)</f>
        <v/>
      </c>
      <c r="R4" s="81">
        <f t="array" ref="R4">_FV(DataRT!$C4,"Beta")</f>
        <v/>
      </c>
      <c r="S4" s="86" t="n"/>
      <c r="T4" s="86" t="inlineStr">
        <is>
          <t>V</t>
        </is>
      </c>
      <c r="U4" s="86">
        <f t="array" ref="U4">_FV(DataRT!$C4,"Exchange abbreviation",TRUE)</f>
        <v/>
      </c>
      <c r="V4" s="87">
        <f>IFERROR(DataRT!$P4/DataRT!$Q4,1)</f>
        <v/>
      </c>
      <c r="W4" s="87" t="n"/>
      <c r="X4" s="88">
        <f>_xlfn.XLOOKUP(DataRT!$A4,TickerList!$G3:$G97,TickerList!L3:L97)</f>
        <v/>
      </c>
      <c r="Y4" s="157">
        <f>_xlfn.XLOOKUP(DataRT!$A4,TickerList!$G3:$G97,TickerList!M3:M97)</f>
        <v/>
      </c>
      <c r="Z4" s="157">
        <f>_xlfn.XLOOKUP(DataRT!$A4,TickerList!$G3:$G97,TickerList!N3:N97)</f>
        <v/>
      </c>
      <c r="AA4" s="73">
        <f>_xlfn.XLOOKUP(DataRT!$A4,TickerList!$G3:$G97,TickerList!O3:O97)</f>
        <v/>
      </c>
      <c r="AB4" s="74" t="n">
        <v>0.0001</v>
      </c>
      <c r="AC4" s="75" t="n">
        <v>0.003</v>
      </c>
      <c r="AD4" s="76" t="n">
        <v>15.33</v>
      </c>
      <c r="AE4" s="158">
        <f>_xlfn.LET(_xlpm.New1YT,DataRT!$X4,        _xlpm.Old1YT,IF(ISNUMBER(DataRT!$AD4),DataRT!$AD4,VALUE(LEFT(DataRT!$AD4,FIND("/",DataRT!$AD4,1)-1))),       IF(OR(DataRT!$X4=0,_xlpm.Old1YT=0),0,(_xlpm.New1YT-_xlpm.Old1YT)/_xlpm.Old1YT))</f>
        <v/>
      </c>
      <c r="AF4" s="159">
        <f>TEXT(DataRT!$X4,"#,#0.00")&amp;" &lt; "&amp;DataRT!$AD4</f>
        <v/>
      </c>
    </row>
    <row r="5" ht="23" customHeight="1">
      <c r="A5" s="58">
        <f t="array" ref="A5">_xlfn.SINGLE(DataRT!$S$3:$S$96)&amp;_FV(DataRT!$C5,"Ticker symbol",TRUE)</f>
        <v/>
      </c>
      <c r="B5" s="58">
        <f>D101/100</f>
        <v/>
      </c>
      <c r="C5" s="89" t="e">
        <v>#VALUE!</v>
      </c>
      <c r="D5" s="60">
        <f t="array" ref="D5">_FV(DataRT!$C5,"Currency")</f>
        <v/>
      </c>
      <c r="E5" s="61">
        <f t="array" ref="E5">_FV(DataRT!$C5,"Last trade time",TRUE)</f>
        <v/>
      </c>
      <c r="F5" s="63">
        <f t="array" ref="F5">_FV(DataRT!$C5,"Previous close",TRUE)</f>
        <v/>
      </c>
      <c r="G5" s="63">
        <f t="array" ref="G5">IFERROR(_FV(DataRT!$C5,"Open"),DataRT!$F5)</f>
        <v/>
      </c>
      <c r="H5" s="63">
        <f t="array" ref="H5">_FV(DataRT!$C5,"Price")</f>
        <v/>
      </c>
      <c r="I5" s="63">
        <f t="array" ref="I5">IFERROR(_FV(DataRT!$C5,"Low"),0)</f>
        <v/>
      </c>
      <c r="J5" s="63">
        <f t="array" ref="J5">IFERROR(_FV(DataRT!$C5,"High"),0)</f>
        <v/>
      </c>
      <c r="K5" s="64">
        <f t="array" ref="K5">IFERROR(_FV(DataRT!$C5,"P/E",TRUE),99)</f>
        <v/>
      </c>
      <c r="L5" s="65">
        <f t="array" ref="L5">_FV(DataRT!$C5,"Change")</f>
        <v/>
      </c>
      <c r="M5" s="66">
        <f t="array" ref="M5">_FV(DataRT!$C5,"Change (%)",TRUE)</f>
        <v/>
      </c>
      <c r="N5" s="160">
        <f t="array" ref="N5">_FV(DataRT!$C5,"52 week low",TRUE)</f>
        <v/>
      </c>
      <c r="O5" s="160">
        <f t="array" ref="O5">_FV(DataRT!$C5,"52 week high",TRUE)</f>
        <v/>
      </c>
      <c r="P5" s="67">
        <f t="array" ref="P5">_FV(DataRT!$C5,"Volume")</f>
        <v/>
      </c>
      <c r="Q5" s="67">
        <f t="array" ref="Q5">_FV(DataRT!$C5,"Volume average",TRUE)</f>
        <v/>
      </c>
      <c r="R5" s="63">
        <f t="array" ref="R5">_FV(DataRT!$C5,"Beta")</f>
        <v/>
      </c>
      <c r="S5" s="68" t="n"/>
      <c r="T5" s="68" t="inlineStr">
        <is>
          <t>V</t>
        </is>
      </c>
      <c r="U5" s="68">
        <f t="array" ref="U5">_FV(DataRT!$C5,"Exchange abbreviation",TRUE)</f>
        <v/>
      </c>
      <c r="V5" s="70">
        <f>IFERROR(DataRT!$P5/DataRT!$Q5,1)</f>
        <v/>
      </c>
      <c r="W5" s="70" t="n"/>
      <c r="X5" s="88">
        <f>_xlfn.XLOOKUP(DataRT!$A5,TickerList!$G4:$G98,TickerList!L4:L98)</f>
        <v/>
      </c>
      <c r="Y5" s="157">
        <f>_xlfn.XLOOKUP(DataRT!$A5,TickerList!$G4:$G98,TickerList!M4:M98)</f>
        <v/>
      </c>
      <c r="Z5" s="157">
        <f>_xlfn.XLOOKUP(DataRT!$A5,TickerList!$G4:$G98,TickerList!N4:N98)</f>
        <v/>
      </c>
      <c r="AA5" s="73">
        <f>_xlfn.XLOOKUP(DataRT!$A5,TickerList!$G4:$G98,TickerList!O4:O98)</f>
        <v/>
      </c>
      <c r="AB5" s="74" t="n"/>
      <c r="AC5" s="75" t="n">
        <v>0.003</v>
      </c>
      <c r="AD5" s="76" t="inlineStr">
        <is>
          <t>91.96/86.78</t>
        </is>
      </c>
      <c r="AE5" s="158">
        <f>_xlfn.LET(_xlpm.New1YT,DataRT!$X5,        _xlpm.Old1YT,IF(ISNUMBER(DataRT!$AD5),DataRT!$AD5,VALUE(LEFT(DataRT!$AD5,FIND("/",DataRT!$AD5,1)-1))),       IF(OR(DataRT!$X5=0,_xlpm.Old1YT=0),0,(_xlpm.New1YT-_xlpm.Old1YT)/_xlpm.Old1YT))</f>
        <v/>
      </c>
      <c r="AF5" s="159">
        <f>TEXT(DataRT!$X5,"#,#0.00")&amp;" &lt; "&amp;DataRT!$AD5</f>
        <v/>
      </c>
    </row>
    <row r="6">
      <c r="A6" s="78">
        <f t="array" ref="A6">_xlfn.SINGLE(DataRT!$S$3:$S$96)&amp;_FV(DataRT!$C6,"Ticker symbol",TRUE)</f>
        <v/>
      </c>
      <c r="B6" s="78">
        <f>D99</f>
        <v/>
      </c>
      <c r="C6" s="86" t="e">
        <v>#VALUE!</v>
      </c>
      <c r="D6" s="60">
        <f t="array" ref="D6">_FV(DataRT!$C6,"Currency")</f>
        <v/>
      </c>
      <c r="E6" s="80">
        <f t="array" ref="E6">_FV(DataRT!$C6,"Last trade time",TRUE)</f>
        <v/>
      </c>
      <c r="F6" s="81">
        <f t="array" ref="F6">_FV(DataRT!$C6,"Previous close",TRUE)</f>
        <v/>
      </c>
      <c r="G6" s="81">
        <f t="array" ref="G6">IFERROR(_FV(DataRT!$C6,"Open"),DataRT!$F6)</f>
        <v/>
      </c>
      <c r="H6" s="81">
        <f t="array" ref="H6">_FV(DataRT!$C6,"Price")</f>
        <v/>
      </c>
      <c r="I6" s="81">
        <f t="array" ref="I6">IFERROR(_FV(DataRT!$C6,"Low"),0)</f>
        <v/>
      </c>
      <c r="J6" s="91">
        <f t="array" ref="J6">IFERROR(_FV(DataRT!$C6,"High"),0)</f>
        <v/>
      </c>
      <c r="K6" s="82">
        <f t="array" ref="K6">IFERROR(_FV(DataRT!$C6,"P/E",TRUE),99)</f>
        <v/>
      </c>
      <c r="L6" s="83">
        <f t="array" ref="L6">_FV(DataRT!$C6,"Change")</f>
        <v/>
      </c>
      <c r="M6" s="84">
        <f t="array" ref="M6">_FV(DataRT!$C6,"Change (%)",TRUE)</f>
        <v/>
      </c>
      <c r="N6" s="81">
        <f t="array" ref="N6">_FV(DataRT!$C6,"52 week low",TRUE)</f>
        <v/>
      </c>
      <c r="O6" s="81">
        <f t="array" ref="O6">_FV(DataRT!$C6,"52 week high",TRUE)</f>
        <v/>
      </c>
      <c r="P6" s="85">
        <f t="array" ref="P6">_FV(DataRT!$C6,"Volume")</f>
        <v/>
      </c>
      <c r="Q6" s="85">
        <f t="array" ref="Q6">_FV(DataRT!$C6,"Volume average",TRUE)</f>
        <v/>
      </c>
      <c r="R6" s="81">
        <f t="array" ref="R6">_FV(DataRT!$C6,"Beta")</f>
        <v/>
      </c>
      <c r="S6" s="86" t="n"/>
      <c r="T6" s="86" t="inlineStr">
        <is>
          <t>V</t>
        </is>
      </c>
      <c r="U6" s="86">
        <f t="array" ref="U6">_FV(DataRT!$C6,"Exchange abbreviation",TRUE)</f>
        <v/>
      </c>
      <c r="V6" s="87">
        <f>IFERROR(DataRT!$P6/DataRT!$Q6,1)</f>
        <v/>
      </c>
      <c r="W6" s="87" t="n"/>
      <c r="X6" s="88">
        <f>_xlfn.XLOOKUP(DataRT!$A6,TickerList!$G5:$G99,TickerList!L5:L99)</f>
        <v/>
      </c>
      <c r="Y6" s="157">
        <f>_xlfn.XLOOKUP(DataRT!$A6,TickerList!$G5:$G99,TickerList!M5:M99)</f>
        <v/>
      </c>
      <c r="Z6" s="157">
        <f>_xlfn.XLOOKUP(DataRT!$A6,TickerList!$G5:$G99,TickerList!N5:N99)</f>
        <v/>
      </c>
      <c r="AA6" s="73">
        <f>_xlfn.XLOOKUP(DataRT!$A6,TickerList!$G5:$G99,TickerList!O5:O99)</f>
        <v/>
      </c>
      <c r="AB6" s="74" t="n">
        <v>0.0001</v>
      </c>
      <c r="AC6" s="75" t="n">
        <v>0.003</v>
      </c>
      <c r="AD6" s="76" t="inlineStr">
        <is>
          <t>238.96/218.19</t>
        </is>
      </c>
      <c r="AE6" s="158">
        <f>_xlfn.LET(_xlpm.New1YT,DataRT!$X6,        _xlpm.Old1YT,IF(ISNUMBER(DataRT!$AD6),DataRT!$AD6,VALUE(LEFT(DataRT!$AD6,FIND("/",DataRT!$AD6,1)-1))),       IF(OR(DataRT!$X6=0,_xlpm.Old1YT=0),0,(_xlpm.New1YT-_xlpm.Old1YT)/_xlpm.Old1YT))</f>
        <v/>
      </c>
      <c r="AF6" s="159">
        <f>TEXT(DataRT!$X6,"#,#0.00")&amp;" &lt; "&amp;DataRT!$AD6</f>
        <v/>
      </c>
    </row>
    <row r="7">
      <c r="A7" s="92">
        <f t="array" ref="A7">_xlfn.SINGLE(DataRT!$S$3:$S$96)&amp;_FV(DataRT!$C7,"Ticker symbol",TRUE)</f>
        <v/>
      </c>
      <c r="B7" s="92" t="n">
        <v>1</v>
      </c>
      <c r="C7" s="68" t="e">
        <v>#VALUE!</v>
      </c>
      <c r="D7" s="60">
        <f t="array" ref="D7">_FV(DataRT!$C7,"Currency")</f>
        <v/>
      </c>
      <c r="E7" s="61">
        <f t="array" ref="E7">_FV(DataRT!$C7,"Last trade time",TRUE)</f>
        <v/>
      </c>
      <c r="F7" s="161">
        <f t="array" ref="F7">_FV(DataRT!$C7,"Previous close",TRUE)</f>
        <v/>
      </c>
      <c r="G7" s="63">
        <f t="array" ref="G7">IFERROR(_FV(DataRT!$C7,"Open"),DataRT!$F7)</f>
        <v/>
      </c>
      <c r="H7" s="161">
        <f t="array" ref="H7">_FV(DataRT!$C7,"Price")</f>
        <v/>
      </c>
      <c r="I7" s="161">
        <f t="array" ref="I7">IFERROR(_FV(DataRT!$C7,"Low"),0)</f>
        <v/>
      </c>
      <c r="J7" s="161">
        <f t="array" ref="J7">IFERROR(_FV(DataRT!$C7,"High"),0)</f>
        <v/>
      </c>
      <c r="K7" s="64">
        <f t="array" ref="K7">IFERROR(_FV(DataRT!$C7,"P/E",TRUE),99)</f>
        <v/>
      </c>
      <c r="L7" s="65">
        <f t="array" ref="L7">_FV(DataRT!$C7,"Change")</f>
        <v/>
      </c>
      <c r="M7" s="66">
        <f t="array" ref="M7">_FV(DataRT!$C7,"Change (%)",TRUE)</f>
        <v/>
      </c>
      <c r="N7" s="161">
        <f t="array" ref="N7">_FV(DataRT!$C7,"52 week low",TRUE)</f>
        <v/>
      </c>
      <c r="O7" s="161">
        <f t="array" ref="O7">_FV(DataRT!$C7,"52 week high",TRUE)</f>
        <v/>
      </c>
      <c r="P7" s="67">
        <f t="array" ref="P7">_FV(DataRT!$C7,"Volume")</f>
        <v/>
      </c>
      <c r="Q7" s="67">
        <f t="array" ref="Q7">_FV(DataRT!$C7,"Volume average",TRUE)</f>
        <v/>
      </c>
      <c r="R7" s="63">
        <f t="array" ref="R7">_FV(DataRT!$C7,"Beta")</f>
        <v/>
      </c>
      <c r="S7" s="68" t="n"/>
      <c r="T7" s="68" t="inlineStr">
        <is>
          <t>V</t>
        </is>
      </c>
      <c r="U7" s="68">
        <f t="array" ref="U7">_FV(DataRT!$C7,"Exchange abbreviation",TRUE)</f>
        <v/>
      </c>
      <c r="V7" s="70">
        <f>IFERROR(DataRT!$P7/DataRT!$Q7,1)</f>
        <v/>
      </c>
      <c r="W7" s="70" t="n"/>
      <c r="X7" s="88">
        <f>_xlfn.XLOOKUP(DataRT!$A7,TickerList!$G6:$G100,TickerList!L6:L100)</f>
        <v/>
      </c>
      <c r="Y7" s="157">
        <f>_xlfn.XLOOKUP(DataRT!$A7,TickerList!$G6:$G100,TickerList!M6:M100)</f>
        <v/>
      </c>
      <c r="Z7" s="157">
        <f>_xlfn.XLOOKUP(DataRT!$A7,TickerList!$G6:$G100,TickerList!N6:N100)</f>
        <v/>
      </c>
      <c r="AA7" s="73">
        <f>_xlfn.XLOOKUP(DataRT!$A7,TickerList!$G6:$G100,TickerList!O6:O100)</f>
        <v/>
      </c>
      <c r="AB7" s="74" t="n"/>
      <c r="AC7" s="75" t="n">
        <v>0.003</v>
      </c>
      <c r="AD7" s="76" t="n">
        <v>3.87</v>
      </c>
      <c r="AE7" s="158">
        <f>_xlfn.LET(_xlpm.New1YT,DataRT!$X7,        _xlpm.Old1YT,IF(ISNUMBER(DataRT!$AD7),DataRT!$AD7,VALUE(LEFT(DataRT!$AD7,FIND("/",DataRT!$AD7,1)-1))),       IF(OR(DataRT!$X7=0,_xlpm.Old1YT=0),0,(_xlpm.New1YT-_xlpm.Old1YT)/_xlpm.Old1YT))</f>
        <v/>
      </c>
      <c r="AF7" s="159">
        <f>TEXT(DataRT!$X7,"#,#0.00")&amp;" &lt; "&amp;DataRT!$AD7</f>
        <v/>
      </c>
    </row>
    <row r="8">
      <c r="A8" s="78">
        <f t="array" ref="A8">_xlfn.SINGLE(DataRT!$S$3:$S$96)&amp;_FV(DataRT!$C8,"Ticker symbol",TRUE)</f>
        <v/>
      </c>
      <c r="B8" s="78" t="n">
        <v>1</v>
      </c>
      <c r="C8" s="86" t="e">
        <v>#VALUE!</v>
      </c>
      <c r="D8" s="60">
        <f t="array" ref="D8">_FV(DataRT!$C8,"Currency")</f>
        <v/>
      </c>
      <c r="E8" s="80">
        <f t="array" ref="E8">_FV(DataRT!$C8,"Last trade time",TRUE)</f>
        <v/>
      </c>
      <c r="F8" s="162">
        <f t="array" ref="F8">_FV(DataRT!$C8,"Previous close",TRUE)</f>
        <v/>
      </c>
      <c r="G8" s="162">
        <f t="array" ref="G8">IFERROR(_FV(DataRT!$C8,"Open"),DataRT!$F8)</f>
        <v/>
      </c>
      <c r="H8" s="162">
        <f t="array" ref="H8">_FV(DataRT!$C8,"Price")</f>
        <v/>
      </c>
      <c r="I8" s="162">
        <f t="array" ref="I8">IFERROR(_FV(DataRT!$C8,"Low"),0)</f>
        <v/>
      </c>
      <c r="J8" s="162">
        <f t="array" ref="J8">IFERROR(_FV(DataRT!$C8,"High"),0)</f>
        <v/>
      </c>
      <c r="K8" s="82">
        <f t="array" ref="K8">IFERROR(_FV(DataRT!$C8,"P/E",TRUE),99)</f>
        <v/>
      </c>
      <c r="L8" s="83">
        <f t="array" ref="L8">_FV(DataRT!$C8,"Change")</f>
        <v/>
      </c>
      <c r="M8" s="84">
        <f t="array" ref="M8">_FV(DataRT!$C8,"Change (%)",TRUE)</f>
        <v/>
      </c>
      <c r="N8" s="162">
        <f t="array" ref="N8">_FV(DataRT!$C8,"52 week low",TRUE)</f>
        <v/>
      </c>
      <c r="O8" s="162">
        <f t="array" ref="O8">_FV(DataRT!$C8,"52 week high",TRUE)</f>
        <v/>
      </c>
      <c r="P8" s="85">
        <f t="array" ref="P8">_FV(DataRT!$C8,"Volume")</f>
        <v/>
      </c>
      <c r="Q8" s="85">
        <f t="array" ref="Q8">_FV(DataRT!$C8,"Volume average",TRUE)</f>
        <v/>
      </c>
      <c r="R8" s="81">
        <f t="array" ref="R8">_FV(DataRT!$C8,"Beta")</f>
        <v/>
      </c>
      <c r="S8" s="86" t="n"/>
      <c r="T8" s="86" t="inlineStr">
        <is>
          <t>V</t>
        </is>
      </c>
      <c r="U8" s="86">
        <f t="array" ref="U8">_FV(DataRT!$C8,"Exchange abbreviation",TRUE)</f>
        <v/>
      </c>
      <c r="V8" s="87">
        <f>IFERROR(DataRT!$P8/DataRT!$Q8,1)</f>
        <v/>
      </c>
      <c r="W8" s="87" t="n"/>
      <c r="X8" s="88">
        <f>_xlfn.XLOOKUP(DataRT!$A8,TickerList!$G7:$G101,TickerList!L7:L101)</f>
        <v/>
      </c>
      <c r="Y8" s="157">
        <f>_xlfn.XLOOKUP(DataRT!$A8,TickerList!$G7:$G101,TickerList!M7:M101)</f>
        <v/>
      </c>
      <c r="Z8" s="157">
        <f>_xlfn.XLOOKUP(DataRT!$A8,TickerList!$G7:$G101,TickerList!N7:N101)</f>
        <v/>
      </c>
      <c r="AA8" s="73">
        <f>_xlfn.XLOOKUP(DataRT!$A8,TickerList!$G7:$G101,TickerList!O7:O101)</f>
        <v/>
      </c>
      <c r="AB8" s="74" t="n"/>
      <c r="AC8" s="75" t="n">
        <v>0.003</v>
      </c>
      <c r="AD8" s="76" t="n">
        <v>847.58</v>
      </c>
      <c r="AE8" s="158">
        <f>_xlfn.LET(_xlpm.New1YT,DataRT!$X8,        _xlpm.Old1YT,IF(ISNUMBER(DataRT!$AD8),DataRT!$AD8,VALUE(LEFT(DataRT!$AD8,FIND("/",DataRT!$AD8,1)-1))),       IF(OR(DataRT!$X8=0,_xlpm.Old1YT=0),0,(_xlpm.New1YT-_xlpm.Old1YT)/_xlpm.Old1YT))</f>
        <v/>
      </c>
      <c r="AF8" s="159">
        <f>TEXT(DataRT!$X8,"#,#0.00")&amp;" &lt; "&amp;DataRT!$AD8</f>
        <v/>
      </c>
    </row>
    <row r="9" customFormat="1" s="21">
      <c r="A9" s="118">
        <f t="array" ref="A9">_xlfn.SINGLE(DataRT!$S$3:$S$96)&amp;_FV(DataRT!$C9,"Ticker symbol",TRUE)</f>
        <v/>
      </c>
      <c r="B9" s="58" t="n">
        <v>1</v>
      </c>
      <c r="C9" s="68" t="e">
        <v>#VALUE!</v>
      </c>
      <c r="D9" s="60">
        <f t="array" ref="D9">_FV(DataRT!$C9,"Currency")</f>
        <v/>
      </c>
      <c r="E9" s="61">
        <f t="array" ref="E9">_FV(DataRT!$C9,"Last trade time",TRUE)</f>
        <v/>
      </c>
      <c r="F9" s="63">
        <f t="array" ref="F9">_FV(DataRT!$C9,"Previous close",TRUE)</f>
        <v/>
      </c>
      <c r="G9" s="63">
        <f t="array" ref="G9">IFERROR(_FV(DataRT!$C9,"Open"),DataRT!$F9)</f>
        <v/>
      </c>
      <c r="H9" s="63">
        <f t="array" ref="H9">_FV(DataRT!$C9,"Price")</f>
        <v/>
      </c>
      <c r="I9" s="63">
        <f t="array" ref="I9">IFERROR(_FV(DataRT!$C9,"Low"),0)</f>
        <v/>
      </c>
      <c r="J9" s="63">
        <f t="array" ref="J9">IFERROR(_FV(DataRT!$C9,"High"),0)</f>
        <v/>
      </c>
      <c r="K9" s="64">
        <f t="array" ref="K9">IFERROR(_FV(DataRT!$C9,"P/E",TRUE),99)</f>
        <v/>
      </c>
      <c r="L9" s="65">
        <f t="array" ref="L9">_FV(DataRT!$C9,"Change")</f>
        <v/>
      </c>
      <c r="M9" s="66">
        <f t="array" ref="M9">_FV(DataRT!$C9,"Change (%)",TRUE)</f>
        <v/>
      </c>
      <c r="N9" s="63">
        <f t="array" ref="N9">_FV(DataRT!$C9,"52 week low",TRUE)</f>
        <v/>
      </c>
      <c r="O9" s="63">
        <f t="array" ref="O9">_FV(DataRT!$C9,"52 week high",TRUE)</f>
        <v/>
      </c>
      <c r="P9" s="67">
        <f t="array" ref="P9">_FV(DataRT!$C9,"Volume")</f>
        <v/>
      </c>
      <c r="Q9" s="67">
        <f t="array" ref="Q9">_FV(DataRT!$C9,"Volume average",TRUE)</f>
        <v/>
      </c>
      <c r="R9" s="63">
        <f t="array" ref="R9">_FV(DataRT!$C9,"Beta")</f>
        <v/>
      </c>
      <c r="S9" s="68" t="n"/>
      <c r="T9" s="68" t="n"/>
      <c r="U9" s="68">
        <f t="array" ref="U9">_FV(DataRT!$C9,"Exchange abbreviation",TRUE)</f>
        <v/>
      </c>
      <c r="V9" s="95">
        <f>IFERROR(DataRT!$P9/DataRT!$Q9,1)</f>
        <v/>
      </c>
      <c r="W9" s="95" t="n"/>
      <c r="X9" s="88">
        <f>_xlfn.XLOOKUP(DataRT!$A9,TickerList!$G8:$G102,TickerList!L8:L102)</f>
        <v/>
      </c>
      <c r="Y9" s="157">
        <f>_xlfn.XLOOKUP(DataRT!$A9,TickerList!$G8:$G102,TickerList!M8:M102)</f>
        <v/>
      </c>
      <c r="Z9" s="157">
        <f>_xlfn.XLOOKUP(DataRT!$A9,TickerList!$G8:$G102,TickerList!N8:N102)</f>
        <v/>
      </c>
      <c r="AA9" s="73">
        <f>_xlfn.XLOOKUP(DataRT!$A9,TickerList!$G8:$G102,TickerList!O8:O102)</f>
        <v/>
      </c>
      <c r="AB9" s="74" t="n"/>
      <c r="AC9" s="75" t="n">
        <v>0.003</v>
      </c>
      <c r="AD9" s="76" t="n">
        <v>848.58</v>
      </c>
      <c r="AE9" s="158">
        <f>_xlfn.LET(_xlpm.New1YT,DataRT!$X9,        _xlpm.Old1YT,IF(ISNUMBER(DataRT!$AD9),DataRT!$AD9,VALUE(LEFT(DataRT!$AD9,FIND("/",DataRT!$AD9,1)-1))),       IF(OR(DataRT!$X9=0,_xlpm.Old1YT=0),0,(_xlpm.New1YT-_xlpm.Old1YT)/_xlpm.Old1YT))</f>
        <v/>
      </c>
      <c r="AF9" s="159">
        <f>TEXT(DataRT!$X9,"#,#0.00")&amp;" &lt; "&amp;DataRT!$AD9</f>
        <v/>
      </c>
    </row>
    <row r="10">
      <c r="A10" s="96">
        <f t="array" ref="A10">_xlfn.SINGLE(DataRT!$S$3:$S$96)&amp;_FV(DataRT!$C10,"Ticker symbol",TRUE)</f>
        <v/>
      </c>
      <c r="B10" s="96" t="n">
        <v>1</v>
      </c>
      <c r="C10" s="86" t="e">
        <v>#VALUE!</v>
      </c>
      <c r="D10" s="60">
        <f t="array" ref="D10">_FV(DataRT!$C10,"Currency")</f>
        <v/>
      </c>
      <c r="E10" s="80">
        <f t="array" ref="E10">_FV(DataRT!$C10,"Last trade time",TRUE)</f>
        <v/>
      </c>
      <c r="F10" s="81">
        <f t="array" ref="F10">_FV(DataRT!$C10,"Previous close",TRUE)</f>
        <v/>
      </c>
      <c r="G10" s="81">
        <f t="array" ref="G10">IFERROR(_FV(DataRT!$C10,"Open"),DataRT!$F10)</f>
        <v/>
      </c>
      <c r="H10" s="81">
        <f t="array" ref="H10">_FV(DataRT!$C10,"Price")</f>
        <v/>
      </c>
      <c r="I10" s="81">
        <f t="array" ref="I10">IFERROR(_FV(DataRT!$C10,"Low"),0)</f>
        <v/>
      </c>
      <c r="J10" s="81">
        <f t="array" ref="J10">IFERROR(_FV(DataRT!$C10,"High"),0)</f>
        <v/>
      </c>
      <c r="K10" s="82">
        <f t="array" ref="K10">IFERROR(_FV(DataRT!$C10,"P/E",TRUE),99)</f>
        <v/>
      </c>
      <c r="L10" s="83">
        <f t="array" ref="L10">_FV(DataRT!$C10,"Change")</f>
        <v/>
      </c>
      <c r="M10" s="84">
        <f t="array" ref="M10">_FV(DataRT!$C10,"Change (%)",TRUE)</f>
        <v/>
      </c>
      <c r="N10" s="81">
        <f t="array" ref="N10">_FV(DataRT!$C10,"52 week low",TRUE)</f>
        <v/>
      </c>
      <c r="O10" s="81">
        <f t="array" ref="O10">_FV(DataRT!$C10,"52 week high",TRUE)</f>
        <v/>
      </c>
      <c r="P10" s="85">
        <f t="array" ref="P10">_FV(DataRT!$C10,"Volume")</f>
        <v/>
      </c>
      <c r="Q10" s="85">
        <f t="array" ref="Q10">_FV(DataRT!$C10,"Volume average",TRUE)</f>
        <v/>
      </c>
      <c r="R10" s="81">
        <f t="array" ref="R10">_FV(DataRT!$C10,"Beta")</f>
        <v/>
      </c>
      <c r="S10" s="86" t="n"/>
      <c r="T10" s="86" t="n"/>
      <c r="U10" s="86">
        <f t="array" ref="U10">_FV(DataRT!$C10,"Exchange abbreviation",TRUE)</f>
        <v/>
      </c>
      <c r="V10" s="95">
        <f>IFERROR(DataRT!$P10/DataRT!$Q10,1)</f>
        <v/>
      </c>
      <c r="W10" s="95" t="n"/>
      <c r="X10" s="88">
        <f>_xlfn.XLOOKUP(DataRT!$A10,TickerList!$G9:$G103,TickerList!L9:L103)</f>
        <v/>
      </c>
      <c r="Y10" s="157">
        <f>_xlfn.XLOOKUP(DataRT!$A10,TickerList!$G9:$G103,TickerList!M9:M103)</f>
        <v/>
      </c>
      <c r="Z10" s="157">
        <f>_xlfn.XLOOKUP(DataRT!$A10,TickerList!$G9:$G103,TickerList!N9:N103)</f>
        <v/>
      </c>
      <c r="AA10" s="73">
        <f>_xlfn.XLOOKUP(DataRT!$A10,TickerList!$G9:$G103,TickerList!O9:O103)</f>
        <v/>
      </c>
      <c r="AB10" s="74" t="n"/>
      <c r="AC10" s="75" t="n">
        <v>0.003</v>
      </c>
      <c r="AD10" s="76" t="n">
        <v>849.58</v>
      </c>
      <c r="AE10" s="158">
        <f>_xlfn.LET(_xlpm.New1YT,DataRT!$X10,        _xlpm.Old1YT,IF(ISNUMBER(DataRT!$AD10),DataRT!$AD10,VALUE(LEFT(DataRT!$AD10,FIND("/",DataRT!$AD10,1)-1))),       IF(OR(DataRT!$X10=0,_xlpm.Old1YT=0),0,(_xlpm.New1YT-_xlpm.Old1YT)/_xlpm.Old1YT))</f>
        <v/>
      </c>
      <c r="AF10" s="159">
        <f>TEXT(DataRT!$X10,"#,#0.00")&amp;" &lt; "&amp;DataRT!$AD10</f>
        <v/>
      </c>
    </row>
    <row r="11">
      <c r="A11" s="58">
        <f t="array" ref="A11">_xlfn.SINGLE(DataRT!$S$3:$S$96)&amp;_FV(DataRT!$C11,"Ticker symbol",TRUE)</f>
        <v/>
      </c>
      <c r="B11" s="58">
        <f>D99</f>
        <v/>
      </c>
      <c r="C11" s="68" t="e">
        <v>#VALUE!</v>
      </c>
      <c r="D11" s="97">
        <f t="array" ref="D11">_FV(DataRT!$C11,"Currency")</f>
        <v/>
      </c>
      <c r="E11" s="98">
        <f t="array" ref="E11">_FV(DataRT!$C11,"Last trade time",TRUE)</f>
        <v/>
      </c>
      <c r="F11" s="63">
        <f t="array" ref="F11">_FV(DataRT!$C11,"Previous close",TRUE)</f>
        <v/>
      </c>
      <c r="G11" s="63">
        <f t="array" ref="G11">IFERROR(_FV(DataRT!$C11,"Open"),DataRT!$F11)</f>
        <v/>
      </c>
      <c r="H11" s="63">
        <f t="array" ref="H11">_FV(DataRT!$C11,"Price")</f>
        <v/>
      </c>
      <c r="I11" s="99">
        <f t="array" ref="I11">IFERROR(_FV(DataRT!$C11,"Low"),0)</f>
        <v/>
      </c>
      <c r="J11" s="99">
        <f t="array" ref="J11">IFERROR(_FV(DataRT!$C11,"High"),0)</f>
        <v/>
      </c>
      <c r="K11" s="64">
        <f t="array" ref="K11">IFERROR(_FV(DataRT!$C11,"P/E",TRUE),99)</f>
        <v/>
      </c>
      <c r="L11" s="100">
        <f t="array" ref="L11">_FV(DataRT!$C11,"Change")</f>
        <v/>
      </c>
      <c r="M11" s="101">
        <f t="array" ref="M11">_FV(DataRT!$C11,"Change (%)",TRUE)</f>
        <v/>
      </c>
      <c r="N11" s="99">
        <f t="array" ref="N11">_FV(DataRT!$C11,"52 week low",TRUE)</f>
        <v/>
      </c>
      <c r="O11" s="99">
        <f t="array" ref="O11">_FV(DataRT!$C11,"52 week high",TRUE)</f>
        <v/>
      </c>
      <c r="P11" s="102">
        <f t="array" ref="P11">_FV(DataRT!$C11,"Volume")</f>
        <v/>
      </c>
      <c r="Q11" s="102">
        <f t="array" ref="Q11">_FV(DataRT!$C11,"Volume average",TRUE)</f>
        <v/>
      </c>
      <c r="R11" s="99">
        <f t="array" ref="R11">_FV(DataRT!$C11,"Beta")</f>
        <v/>
      </c>
      <c r="S11" s="103" t="n"/>
      <c r="T11" s="68" t="inlineStr">
        <is>
          <t>V</t>
        </is>
      </c>
      <c r="U11" s="103">
        <f t="array" ref="U11">_FV(DataRT!$C11,"Exchange abbreviation",TRUE)</f>
        <v/>
      </c>
      <c r="V11" s="104">
        <f>IFERROR(DataRT!$P11/DataRT!$Q11,1)</f>
        <v/>
      </c>
      <c r="W11" s="104" t="n"/>
      <c r="X11" s="88">
        <f>_xlfn.XLOOKUP(DataRT!$A11,TickerList!$G10:$G104,TickerList!L10:L104)</f>
        <v/>
      </c>
      <c r="Y11" s="157">
        <f>_xlfn.XLOOKUP(DataRT!$A11,TickerList!$G10:$G104,TickerList!M10:M104)</f>
        <v/>
      </c>
      <c r="Z11" s="157">
        <f>_xlfn.XLOOKUP(DataRT!$A11,TickerList!$G10:$G104,TickerList!N10:N104)</f>
        <v/>
      </c>
      <c r="AA11" s="73">
        <f>_xlfn.XLOOKUP(DataRT!$A11,TickerList!$G10:$G104,TickerList!O10:O104)</f>
        <v/>
      </c>
      <c r="AB11" s="74" t="n">
        <v>0.0001</v>
      </c>
      <c r="AC11" s="75" t="n">
        <v>0.003</v>
      </c>
      <c r="AD11" s="76" t="n">
        <v>90.45999999999999</v>
      </c>
      <c r="AE11" s="158">
        <f>_xlfn.LET(_xlpm.New1YT,DataRT!$X11,        _xlpm.Old1YT,IF(ISNUMBER(DataRT!$AD11),DataRT!$AD11,VALUE(LEFT(DataRT!$AD11,FIND("/",DataRT!$AD11,1)-1))),       IF(OR(DataRT!$X11=0,_xlpm.Old1YT=0),0,(_xlpm.New1YT-_xlpm.Old1YT)/_xlpm.Old1YT))</f>
        <v/>
      </c>
      <c r="AF11" s="159">
        <f>TEXT(DataRT!$X11,"#,#0.00")&amp;" &lt; "&amp;DataRT!$AD11</f>
        <v/>
      </c>
    </row>
    <row r="12">
      <c r="A12" s="78">
        <f t="array" ref="A12">_xlfn.SINGLE(DataRT!$S$3:$S$96)&amp;_FV(DataRT!$C12,"Ticker symbol",TRUE)</f>
        <v/>
      </c>
      <c r="B12" s="78">
        <f>D99</f>
        <v/>
      </c>
      <c r="C12" s="86" t="e">
        <v>#VALUE!</v>
      </c>
      <c r="D12" s="60">
        <f t="array" ref="D12">_FV(DataRT!$C12,"Currency")</f>
        <v/>
      </c>
      <c r="E12" s="80">
        <f t="array" ref="E12">_FV(DataRT!$C12,"Last trade time",TRUE)</f>
        <v/>
      </c>
      <c r="F12" s="81">
        <f t="array" ref="F12">_FV(DataRT!$C12,"Previous close",TRUE)</f>
        <v/>
      </c>
      <c r="G12" s="81">
        <f t="array" ref="G12">IFERROR(_FV(DataRT!$C12,"Open"),DataRT!$F12)</f>
        <v/>
      </c>
      <c r="H12" s="81">
        <f t="array" ref="H12">_FV(DataRT!$C12,"Price")</f>
        <v/>
      </c>
      <c r="I12" s="81">
        <f t="array" ref="I12">IFERROR(_FV(DataRT!$C12,"Low"),0)</f>
        <v/>
      </c>
      <c r="J12" s="81">
        <f t="array" ref="J12">IFERROR(_FV(DataRT!$C12,"High"),0)</f>
        <v/>
      </c>
      <c r="K12" s="82">
        <f t="array" ref="K12">IFERROR(_FV(DataRT!$C12,"P/E",TRUE),99)</f>
        <v/>
      </c>
      <c r="L12" s="83">
        <f t="array" ref="L12">_FV(DataRT!$C12,"Change")</f>
        <v/>
      </c>
      <c r="M12" s="84">
        <f t="array" ref="M12">_FV(DataRT!$C12,"Change (%)",TRUE)</f>
        <v/>
      </c>
      <c r="N12" s="81">
        <f t="array" ref="N12">_FV(DataRT!$C12,"52 week low",TRUE)</f>
        <v/>
      </c>
      <c r="O12" s="81">
        <f t="array" ref="O12">_FV(DataRT!$C12,"52 week high",TRUE)</f>
        <v/>
      </c>
      <c r="P12" s="85">
        <f t="array" ref="P12">_FV(DataRT!$C12,"Volume")</f>
        <v/>
      </c>
      <c r="Q12" s="85">
        <f t="array" ref="Q12">_FV(DataRT!$C12,"Volume average",TRUE)</f>
        <v/>
      </c>
      <c r="R12" s="81">
        <f t="array" ref="R12">_FV(DataRT!$C12,"Beta")</f>
        <v/>
      </c>
      <c r="S12" s="86" t="n"/>
      <c r="T12" s="86" t="inlineStr">
        <is>
          <t>V</t>
        </is>
      </c>
      <c r="U12" s="86">
        <f t="array" ref="U12">_FV(DataRT!$C12,"Exchange abbreviation",TRUE)</f>
        <v/>
      </c>
      <c r="V12" s="87">
        <f>IFERROR(DataRT!$P12/DataRT!$Q12,1)</f>
        <v/>
      </c>
      <c r="W12" s="87" t="n"/>
      <c r="X12" s="88">
        <f>_xlfn.XLOOKUP(DataRT!$A12,TickerList!$G11:$G105,TickerList!L11:L105)</f>
        <v/>
      </c>
      <c r="Y12" s="157">
        <f>_xlfn.XLOOKUP(DataRT!$A12,TickerList!$G11:$G105,TickerList!M11:M105)</f>
        <v/>
      </c>
      <c r="Z12" s="157">
        <f>_xlfn.XLOOKUP(DataRT!$A12,TickerList!$G11:$G105,TickerList!N11:N105)</f>
        <v/>
      </c>
      <c r="AA12" s="73">
        <f>_xlfn.XLOOKUP(DataRT!$A12,TickerList!$G11:$G105,TickerList!O11:O105)</f>
        <v/>
      </c>
      <c r="AB12" s="74" t="n">
        <v>0.0001</v>
      </c>
      <c r="AC12" s="75" t="n">
        <v>0.003</v>
      </c>
      <c r="AD12" s="76" t="n">
        <v>2.73</v>
      </c>
      <c r="AE12" s="158">
        <f>_xlfn.LET(_xlpm.New1YT,DataRT!$X12,        _xlpm.Old1YT,IF(ISNUMBER(DataRT!$AD12),DataRT!$AD12,VALUE(LEFT(DataRT!$AD12,FIND("/",DataRT!$AD12,1)-1))),       IF(OR(DataRT!$X12=0,_xlpm.Old1YT=0),0,(_xlpm.New1YT-_xlpm.Old1YT)/_xlpm.Old1YT))</f>
        <v/>
      </c>
      <c r="AF12" s="159">
        <f>TEXT(DataRT!$X12,"#,#0.00")&amp;" &lt; "&amp;DataRT!$AD12</f>
        <v/>
      </c>
    </row>
    <row r="13">
      <c r="A13" s="58">
        <f t="array" ref="A13">_xlfn.SINGLE(DataRT!$S$3:$S$96)&amp;_FV(DataRT!$C13,"Ticker symbol",TRUE)</f>
        <v/>
      </c>
      <c r="B13" s="58">
        <f>D99</f>
        <v/>
      </c>
      <c r="C13" s="68" t="e">
        <v>#VALUE!</v>
      </c>
      <c r="D13" s="60">
        <f t="array" ref="D13">_FV(DataRT!$C13,"Currency")</f>
        <v/>
      </c>
      <c r="E13" s="61">
        <f t="array" ref="E13">_FV(DataRT!$C13,"Last trade time",TRUE)</f>
        <v/>
      </c>
      <c r="F13" s="63">
        <f t="array" ref="F13">_FV(DataRT!$C13,"Previous close",TRUE)</f>
        <v/>
      </c>
      <c r="G13" s="63">
        <f t="array" ref="G13">IFERROR(_FV(DataRT!$C13,"Open"),DataRT!$F13)</f>
        <v/>
      </c>
      <c r="H13" s="63">
        <f t="array" ref="H13">_FV(DataRT!$C13,"Price")</f>
        <v/>
      </c>
      <c r="I13" s="63">
        <f t="array" ref="I13">IFERROR(_FV(DataRT!$C13,"Low"),0)</f>
        <v/>
      </c>
      <c r="J13" s="63">
        <f t="array" ref="J13">IFERROR(_FV(DataRT!$C13,"High"),0)</f>
        <v/>
      </c>
      <c r="K13" s="64">
        <f t="array" ref="K13">IFERROR(_FV(DataRT!$C13,"P/E",TRUE),99)</f>
        <v/>
      </c>
      <c r="L13" s="65">
        <f t="array" ref="L13">_FV(DataRT!$C13,"Change")</f>
        <v/>
      </c>
      <c r="M13" s="66">
        <f t="array" ref="M13">_FV(DataRT!$C13,"Change (%)",TRUE)</f>
        <v/>
      </c>
      <c r="N13" s="63">
        <f t="array" ref="N13">_FV(DataRT!$C13,"52 week low",TRUE)</f>
        <v/>
      </c>
      <c r="O13" s="63">
        <f t="array" ref="O13">_FV(DataRT!$C13,"52 week high",TRUE)</f>
        <v/>
      </c>
      <c r="P13" s="67">
        <f t="array" ref="P13">_FV(DataRT!$C13,"Volume")</f>
        <v/>
      </c>
      <c r="Q13" s="67">
        <f t="array" ref="Q13">_FV(DataRT!$C13,"Volume average",TRUE)</f>
        <v/>
      </c>
      <c r="R13" s="63">
        <f t="array" ref="R13">_FV(DataRT!$C13,"Beta")</f>
        <v/>
      </c>
      <c r="S13" s="68" t="n"/>
      <c r="T13" s="68" t="inlineStr">
        <is>
          <t>V</t>
        </is>
      </c>
      <c r="U13" s="68">
        <f t="array" ref="U13">_FV(DataRT!$C13,"Exchange abbreviation",TRUE)</f>
        <v/>
      </c>
      <c r="V13" s="70">
        <f>IFERROR(DataRT!$P13/DataRT!$Q13,1)</f>
        <v/>
      </c>
      <c r="W13" s="70" t="n"/>
      <c r="X13" s="88">
        <f>_xlfn.XLOOKUP(DataRT!$A13,TickerList!$G12:$G106,TickerList!L12:L106)</f>
        <v/>
      </c>
      <c r="Y13" s="157">
        <f>_xlfn.XLOOKUP(DataRT!$A13,TickerList!$G12:$G106,TickerList!M12:M106)</f>
        <v/>
      </c>
      <c r="Z13" s="157">
        <f>_xlfn.XLOOKUP(DataRT!$A13,TickerList!$G12:$G106,TickerList!N12:N106)</f>
        <v/>
      </c>
      <c r="AA13" s="73">
        <f>_xlfn.XLOOKUP(DataRT!$A13,TickerList!$G12:$G106,TickerList!O12:O106)</f>
        <v/>
      </c>
      <c r="AB13" s="74" t="n">
        <v>0.0001</v>
      </c>
      <c r="AC13" s="75" t="n">
        <v>0.003</v>
      </c>
      <c r="AD13" s="76" t="n">
        <v>13.26</v>
      </c>
      <c r="AE13" s="158">
        <f>_xlfn.LET(_xlpm.New1YT,DataRT!$X13,        _xlpm.Old1YT,IF(ISNUMBER(DataRT!$AD13),DataRT!$AD13,VALUE(LEFT(DataRT!$AD13,FIND("/",DataRT!$AD13,1)-1))),       IF(OR(DataRT!$X13=0,_xlpm.Old1YT=0),0,(_xlpm.New1YT-_xlpm.Old1YT)/_xlpm.Old1YT))</f>
        <v/>
      </c>
      <c r="AF13" s="159">
        <f>TEXT(DataRT!$X13,"#,#0.00")&amp;" &lt; "&amp;DataRT!$AD13</f>
        <v/>
      </c>
    </row>
    <row r="14">
      <c r="A14" s="78">
        <f t="array" ref="A14">_xlfn.SINGLE(DataRT!$S$3:$S$96)&amp;_FV(DataRT!$C14,"Ticker symbol",TRUE)</f>
        <v/>
      </c>
      <c r="B14" s="78">
        <f>D99</f>
        <v/>
      </c>
      <c r="C14" s="86" t="e">
        <v>#VALUE!</v>
      </c>
      <c r="D14" s="60">
        <f t="array" ref="D14">_FV(DataRT!$C14,"Currency")</f>
        <v/>
      </c>
      <c r="E14" s="80">
        <f t="array" ref="E14">_FV(DataRT!$C14,"Last trade time",TRUE)</f>
        <v/>
      </c>
      <c r="F14" s="81">
        <f t="array" ref="F14">_FV(DataRT!$C14,"Previous close",TRUE)</f>
        <v/>
      </c>
      <c r="G14" s="81">
        <f t="array" ref="G14">IFERROR(_FV(DataRT!$C14,"Open"),DataRT!$F14)</f>
        <v/>
      </c>
      <c r="H14" s="81">
        <f t="array" ref="H14">_FV(DataRT!$C14,"Price")</f>
        <v/>
      </c>
      <c r="I14" s="81">
        <f t="array" ref="I14">IFERROR(_FV(DataRT!$C14,"Low"),0)</f>
        <v/>
      </c>
      <c r="J14" s="81">
        <f t="array" ref="J14">IFERROR(_FV(DataRT!$C14,"High"),0)</f>
        <v/>
      </c>
      <c r="K14" s="82">
        <f t="array" ref="K14">IFERROR(_FV(DataRT!$C14,"P/E",TRUE),99)</f>
        <v/>
      </c>
      <c r="L14" s="83">
        <f t="array" ref="L14">_FV(DataRT!$C14,"Change")</f>
        <v/>
      </c>
      <c r="M14" s="84">
        <f t="array" ref="M14">_FV(DataRT!$C14,"Change (%)",TRUE)</f>
        <v/>
      </c>
      <c r="N14" s="81">
        <f t="array" ref="N14">_FV(DataRT!$C14,"52 week low",TRUE)</f>
        <v/>
      </c>
      <c r="O14" s="81">
        <f t="array" ref="O14">_FV(DataRT!$C14,"52 week high",TRUE)</f>
        <v/>
      </c>
      <c r="P14" s="85">
        <f t="array" ref="P14">_FV(DataRT!$C14,"Volume")</f>
        <v/>
      </c>
      <c r="Q14" s="85">
        <f t="array" ref="Q14">_FV(DataRT!$C14,"Volume average",TRUE)</f>
        <v/>
      </c>
      <c r="R14" s="81">
        <f t="array" ref="R14">_FV(DataRT!$C14,"Beta")</f>
        <v/>
      </c>
      <c r="S14" s="86" t="n"/>
      <c r="T14" s="86" t="inlineStr">
        <is>
          <t>V</t>
        </is>
      </c>
      <c r="U14" s="86">
        <f t="array" ref="U14">_FV(DataRT!$C14,"Exchange abbreviation",TRUE)</f>
        <v/>
      </c>
      <c r="V14" s="87">
        <f>IFERROR(DataRT!$P14/DataRT!$Q14,1)</f>
        <v/>
      </c>
      <c r="W14" s="87" t="n"/>
      <c r="X14" s="88">
        <f>_xlfn.XLOOKUP(DataRT!$A14,TickerList!$G13:$G107,TickerList!L13:L107)</f>
        <v/>
      </c>
      <c r="Y14" s="157">
        <f>_xlfn.XLOOKUP(DataRT!$A14,TickerList!$G13:$G107,TickerList!M13:M107)</f>
        <v/>
      </c>
      <c r="Z14" s="157">
        <f>_xlfn.XLOOKUP(DataRT!$A14,TickerList!$G13:$G107,TickerList!N13:N107)</f>
        <v/>
      </c>
      <c r="AA14" s="73">
        <f>_xlfn.XLOOKUP(DataRT!$A14,TickerList!$G13:$G107,TickerList!O13:O107)</f>
        <v/>
      </c>
      <c r="AB14" s="74" t="n">
        <v>0.0001</v>
      </c>
      <c r="AC14" s="75" t="n">
        <v>0.003</v>
      </c>
      <c r="AD14" s="76" t="inlineStr">
        <is>
          <t>87.38/72.32</t>
        </is>
      </c>
      <c r="AE14" s="158">
        <f>_xlfn.LET(_xlpm.New1YT,DataRT!$X14,        _xlpm.Old1YT,IF(ISNUMBER(DataRT!$AD14),DataRT!$AD14,VALUE(LEFT(DataRT!$AD14,FIND("/",DataRT!$AD14,1)-1))),       IF(OR(DataRT!$X14=0,_xlpm.Old1YT=0),0,(_xlpm.New1YT-_xlpm.Old1YT)/_xlpm.Old1YT))</f>
        <v/>
      </c>
      <c r="AF14" s="159">
        <f>TEXT(DataRT!$X14,"#,#0.00")&amp;" &lt; "&amp;DataRT!$AD14</f>
        <v/>
      </c>
    </row>
    <row r="15">
      <c r="A15" s="58">
        <f t="array" ref="A15">_xlfn.SINGLE(DataRT!$S$3:$S$96)&amp;_FV(DataRT!$C15,"Ticker symbol",TRUE)</f>
        <v/>
      </c>
      <c r="B15" s="58">
        <f>D99</f>
        <v/>
      </c>
      <c r="C15" s="68" t="e">
        <v>#VALUE!</v>
      </c>
      <c r="D15" s="60">
        <f t="array" ref="D15">_FV(DataRT!$C15,"Currency")</f>
        <v/>
      </c>
      <c r="E15" s="61">
        <f t="array" ref="E15">_FV(DataRT!$C15,"Last trade time",TRUE)</f>
        <v/>
      </c>
      <c r="F15" s="63">
        <f t="array" ref="F15">_FV(DataRT!$C15,"Previous close",TRUE)</f>
        <v/>
      </c>
      <c r="G15" s="63">
        <f t="array" ref="G15">IFERROR(_FV(DataRT!$C15,"Open"),DataRT!$F15)</f>
        <v/>
      </c>
      <c r="H15" s="63">
        <f t="array" ref="H15">_FV(DataRT!$C15,"Price")</f>
        <v/>
      </c>
      <c r="I15" s="63">
        <f t="array" ref="I15">IFERROR(_FV(DataRT!$C15,"Low"),0)</f>
        <v/>
      </c>
      <c r="J15" s="63">
        <f t="array" ref="J15">IFERROR(_FV(DataRT!$C15,"High"),0)</f>
        <v/>
      </c>
      <c r="K15" s="64">
        <f t="array" ref="K15">IFERROR(_FV(DataRT!$C15,"P/E",TRUE),99)</f>
        <v/>
      </c>
      <c r="L15" s="65">
        <f t="array" ref="L15">_FV(DataRT!$C15,"Change")</f>
        <v/>
      </c>
      <c r="M15" s="66">
        <f t="array" ref="M15">_FV(DataRT!$C15,"Change (%)",TRUE)</f>
        <v/>
      </c>
      <c r="N15" s="63">
        <f t="array" ref="N15">_FV(DataRT!$C15,"52 week low",TRUE)</f>
        <v/>
      </c>
      <c r="O15" s="63">
        <f t="array" ref="O15">_FV(DataRT!$C15,"52 week high",TRUE)</f>
        <v/>
      </c>
      <c r="P15" s="67">
        <f t="array" ref="P15">_FV(DataRT!$C15,"Volume")</f>
        <v/>
      </c>
      <c r="Q15" s="67">
        <f t="array" ref="Q15">_FV(DataRT!$C15,"Volume average",TRUE)</f>
        <v/>
      </c>
      <c r="R15" s="63">
        <f t="array" ref="R15">_FV(DataRT!$C15,"Beta")</f>
        <v/>
      </c>
      <c r="S15" s="68" t="n"/>
      <c r="T15" s="68" t="inlineStr">
        <is>
          <t>V</t>
        </is>
      </c>
      <c r="U15" s="68">
        <f t="array" ref="U15">_FV(DataRT!$C15,"Exchange abbreviation",TRUE)</f>
        <v/>
      </c>
      <c r="V15" s="70">
        <f>IFERROR(DataRT!$P15/DataRT!$Q15,1)</f>
        <v/>
      </c>
      <c r="W15" s="70" t="n"/>
      <c r="X15" s="88">
        <f>_xlfn.XLOOKUP(DataRT!$A15,TickerList!$G14:$G108,TickerList!L14:L108)</f>
        <v/>
      </c>
      <c r="Y15" s="157">
        <f>_xlfn.XLOOKUP(DataRT!$A15,TickerList!$G14:$G108,TickerList!M14:M108)</f>
        <v/>
      </c>
      <c r="Z15" s="157">
        <f>_xlfn.XLOOKUP(DataRT!$A15,TickerList!$G14:$G108,TickerList!N14:N108)</f>
        <v/>
      </c>
      <c r="AA15" s="73">
        <f>_xlfn.XLOOKUP(DataRT!$A15,TickerList!$G14:$G108,TickerList!O14:O108)</f>
        <v/>
      </c>
      <c r="AB15" s="74" t="n">
        <v>0.0001</v>
      </c>
      <c r="AC15" s="75" t="n">
        <v>0.003</v>
      </c>
      <c r="AD15" s="76" t="inlineStr">
        <is>
          <t>75.81476/55.04</t>
        </is>
      </c>
      <c r="AE15" s="158">
        <f>_xlfn.LET(_xlpm.New1YT,DataRT!$X15,        _xlpm.Old1YT,IF(ISNUMBER(DataRT!$AD15),DataRT!$AD15,VALUE(LEFT(DataRT!$AD15,FIND("/",DataRT!$AD15,1)-1))),       IF(OR(DataRT!$X15=0,_xlpm.Old1YT=0),0,(_xlpm.New1YT-_xlpm.Old1YT)/_xlpm.Old1YT))</f>
        <v/>
      </c>
      <c r="AF15" s="159">
        <f>TEXT(DataRT!$X15,"#,#0.00")&amp;" &lt; "&amp;DataRT!$AD15</f>
        <v/>
      </c>
    </row>
    <row r="16">
      <c r="A16" s="78">
        <f t="array" ref="A16">_xlfn.SINGLE(DataRT!$S$3:$S$96)&amp;_FV(DataRT!$C16,"Ticker symbol",TRUE)</f>
        <v/>
      </c>
      <c r="B16" s="78">
        <f>D99</f>
        <v/>
      </c>
      <c r="C16" s="86" t="e">
        <v>#VALUE!</v>
      </c>
      <c r="D16" s="60">
        <f t="array" ref="D16">_FV(DataRT!$C16,"Currency")</f>
        <v/>
      </c>
      <c r="E16" s="80">
        <f t="array" ref="E16">_FV(DataRT!$C16,"Last trade time",TRUE)</f>
        <v/>
      </c>
      <c r="F16" s="81">
        <f t="array" ref="F16">_FV(DataRT!$C16,"Previous close",TRUE)</f>
        <v/>
      </c>
      <c r="G16" s="81">
        <f t="array" ref="G16">IFERROR(_FV(DataRT!$C16,"Open"),DataRT!$F16)</f>
        <v/>
      </c>
      <c r="H16" s="81">
        <f t="array" ref="H16">_FV(DataRT!$C16,"Price")</f>
        <v/>
      </c>
      <c r="I16" s="81">
        <f t="array" ref="I16">IFERROR(_FV(DataRT!$C16,"Low"),0)</f>
        <v/>
      </c>
      <c r="J16" s="81">
        <f t="array" ref="J16">IFERROR(_FV(DataRT!$C16,"High"),0)</f>
        <v/>
      </c>
      <c r="K16" s="82">
        <f t="array" ref="K16">IFERROR(_FV(DataRT!$C16,"P/E",TRUE),99)</f>
        <v/>
      </c>
      <c r="L16" s="83">
        <f t="array" ref="L16">_FV(DataRT!$C16,"Change")</f>
        <v/>
      </c>
      <c r="M16" s="84">
        <f t="array" ref="M16">_FV(DataRT!$C16,"Change (%)",TRUE)</f>
        <v/>
      </c>
      <c r="N16" s="81">
        <f t="array" ref="N16">_FV(DataRT!$C16,"52 week low",TRUE)</f>
        <v/>
      </c>
      <c r="O16" s="81">
        <f t="array" ref="O16">_FV(DataRT!$C16,"52 week high",TRUE)</f>
        <v/>
      </c>
      <c r="P16" s="85">
        <f t="array" ref="P16">_FV(DataRT!$C16,"Volume")</f>
        <v/>
      </c>
      <c r="Q16" s="85">
        <f t="array" ref="Q16">_FV(DataRT!$C16,"Volume average",TRUE)</f>
        <v/>
      </c>
      <c r="R16" s="81">
        <f t="array" ref="R16">_FV(DataRT!$C16,"Beta")</f>
        <v/>
      </c>
      <c r="S16" s="86" t="n"/>
      <c r="T16" s="86" t="inlineStr">
        <is>
          <t>V</t>
        </is>
      </c>
      <c r="U16" s="86">
        <f t="array" ref="U16">_FV(DataRT!$C16,"Exchange abbreviation",TRUE)</f>
        <v/>
      </c>
      <c r="V16" s="87">
        <f>IFERROR(DataRT!$P16/DataRT!$Q16,1)</f>
        <v/>
      </c>
      <c r="W16" s="87" t="n"/>
      <c r="X16" s="88">
        <f>_xlfn.XLOOKUP(DataRT!$A16,TickerList!$G15:$G109,TickerList!L15:L109)</f>
        <v/>
      </c>
      <c r="Y16" s="157">
        <f>_xlfn.XLOOKUP(DataRT!$A16,TickerList!$G15:$G109,TickerList!M15:M109)</f>
        <v/>
      </c>
      <c r="Z16" s="157">
        <f>_xlfn.XLOOKUP(DataRT!$A16,TickerList!$G15:$G109,TickerList!N15:N109)</f>
        <v/>
      </c>
      <c r="AA16" s="73">
        <f>_xlfn.XLOOKUP(DataRT!$A16,TickerList!$G15:$G109,TickerList!O15:O109)</f>
        <v/>
      </c>
      <c r="AB16" s="74" t="n">
        <v>0.0001</v>
      </c>
      <c r="AC16" s="75" t="n">
        <v>0.003</v>
      </c>
      <c r="AD16" s="76" t="n">
        <v>72.3</v>
      </c>
      <c r="AE16" s="158">
        <f>_xlfn.LET(_xlpm.New1YT,DataRT!$X16,        _xlpm.Old1YT,IF(ISNUMBER(DataRT!$AD16),DataRT!$AD16,VALUE(LEFT(DataRT!$AD16,FIND("/",DataRT!$AD16,1)-1))),       IF(OR(DataRT!$X16=0,_xlpm.Old1YT=0),0,(_xlpm.New1YT-_xlpm.Old1YT)/_xlpm.Old1YT))</f>
        <v/>
      </c>
      <c r="AF16" s="159">
        <f>TEXT(DataRT!$X16,"#,#0.00")&amp;" &lt; "&amp;DataRT!$AD16</f>
        <v/>
      </c>
    </row>
    <row r="17">
      <c r="A17" s="58">
        <f t="array" ref="A17">_xlfn.SINGLE(DataRT!$S$3:$S$96)&amp;_FV(DataRT!$C17,"Ticker symbol",TRUE)</f>
        <v/>
      </c>
      <c r="B17" s="58">
        <f>D99</f>
        <v/>
      </c>
      <c r="C17" s="68" t="e">
        <v>#VALUE!</v>
      </c>
      <c r="D17" s="60">
        <f t="array" ref="D17">_FV(DataRT!$C17,"Currency")</f>
        <v/>
      </c>
      <c r="E17" s="61">
        <f t="array" ref="E17">_FV(DataRT!$C17,"Last trade time",TRUE)</f>
        <v/>
      </c>
      <c r="F17" s="63">
        <f t="array" ref="F17">_FV(DataRT!$C17,"Previous close",TRUE)</f>
        <v/>
      </c>
      <c r="G17" s="63">
        <f t="array" ref="G17">IFERROR(_FV(DataRT!$C17,"Open"),DataRT!$F17)</f>
        <v/>
      </c>
      <c r="H17" s="63">
        <f t="array" ref="H17">_FV(DataRT!$C17,"Price")</f>
        <v/>
      </c>
      <c r="I17" s="63">
        <f t="array" ref="I17">IFERROR(_FV(DataRT!$C17,"Low"),0)</f>
        <v/>
      </c>
      <c r="J17" s="63">
        <f t="array" ref="J17">IFERROR(_FV(DataRT!$C17,"High"),0)</f>
        <v/>
      </c>
      <c r="K17" s="64">
        <f t="array" ref="K17">IFERROR(_FV(DataRT!$C17,"P/E",TRUE),99)</f>
        <v/>
      </c>
      <c r="L17" s="65">
        <f t="array" ref="L17">_FV(DataRT!$C17,"Change")</f>
        <v/>
      </c>
      <c r="M17" s="66">
        <f t="array" ref="M17">_FV(DataRT!$C17,"Change (%)",TRUE)</f>
        <v/>
      </c>
      <c r="N17" s="63">
        <f t="array" ref="N17">_FV(DataRT!$C17,"52 week low",TRUE)</f>
        <v/>
      </c>
      <c r="O17" s="63">
        <f t="array" ref="O17">_FV(DataRT!$C17,"52 week high",TRUE)</f>
        <v/>
      </c>
      <c r="P17" s="67">
        <f t="array" ref="P17">_FV(DataRT!$C17,"Volume")</f>
        <v/>
      </c>
      <c r="Q17" s="67">
        <f t="array" ref="Q17">_FV(DataRT!$C17,"Volume average",TRUE)</f>
        <v/>
      </c>
      <c r="R17" s="63">
        <f t="array" ref="R17">_FV(DataRT!$C17,"Beta")</f>
        <v/>
      </c>
      <c r="S17" s="68" t="n"/>
      <c r="T17" s="68" t="inlineStr">
        <is>
          <t>V</t>
        </is>
      </c>
      <c r="U17" s="68">
        <f t="array" ref="U17">_FV(DataRT!$C17,"Exchange abbreviation",TRUE)</f>
        <v/>
      </c>
      <c r="V17" s="70">
        <f>IFERROR(DataRT!$P17/DataRT!$Q17,1)</f>
        <v/>
      </c>
      <c r="W17" s="70" t="n"/>
      <c r="X17" s="88">
        <f>_xlfn.XLOOKUP(DataRT!$A17,TickerList!$G16:$G110,TickerList!L16:L110)</f>
        <v/>
      </c>
      <c r="Y17" s="157">
        <f>_xlfn.XLOOKUP(DataRT!$A17,TickerList!$G16:$G110,TickerList!M16:M110)</f>
        <v/>
      </c>
      <c r="Z17" s="157">
        <f>_xlfn.XLOOKUP(DataRT!$A17,TickerList!$G16:$G110,TickerList!N16:N110)</f>
        <v/>
      </c>
      <c r="AA17" s="73">
        <f>_xlfn.XLOOKUP(DataRT!$A17,TickerList!$G16:$G110,TickerList!O16:O110)</f>
        <v/>
      </c>
      <c r="AB17" s="74" t="n">
        <v>0.0001</v>
      </c>
      <c r="AC17" s="75" t="n">
        <v>0.003</v>
      </c>
      <c r="AD17" s="76" t="n">
        <v>3.94</v>
      </c>
      <c r="AE17" s="158">
        <f>_xlfn.LET(_xlpm.New1YT,DataRT!$X17,        _xlpm.Old1YT,IF(ISNUMBER(DataRT!$AD17),DataRT!$AD17,VALUE(LEFT(DataRT!$AD17,FIND("/",DataRT!$AD17,1)-1))),       IF(OR(DataRT!$X17=0,_xlpm.Old1YT=0),0,(_xlpm.New1YT-_xlpm.Old1YT)/_xlpm.Old1YT))</f>
        <v/>
      </c>
      <c r="AF17" s="159">
        <f>TEXT(DataRT!$X17,"#,#0.00")&amp;" &lt; "&amp;DataRT!$AD17</f>
        <v/>
      </c>
    </row>
    <row r="18">
      <c r="A18" s="78">
        <f t="array" ref="A18">_xlfn.SINGLE(DataRT!$S$3:$S$96)&amp;_FV(DataRT!$C18,"Ticker symbol",TRUE)</f>
        <v/>
      </c>
      <c r="B18" s="78">
        <f>D99</f>
        <v/>
      </c>
      <c r="C18" s="86" t="e">
        <v>#VALUE!</v>
      </c>
      <c r="D18" s="60">
        <f t="array" ref="D18">_FV(DataRT!$C18,"Currency")</f>
        <v/>
      </c>
      <c r="E18" s="80">
        <f t="array" ref="E18">_FV(DataRT!$C18,"Last trade time",TRUE)</f>
        <v/>
      </c>
      <c r="F18" s="81">
        <f t="array" ref="F18">_FV(DataRT!$C18,"Previous close",TRUE)</f>
        <v/>
      </c>
      <c r="G18" s="81">
        <f t="array" ref="G18">IFERROR(_FV(DataRT!$C18,"Open"),DataRT!$F18)</f>
        <v/>
      </c>
      <c r="H18" s="81">
        <f t="array" ref="H18">_FV(DataRT!$C18,"Price")</f>
        <v/>
      </c>
      <c r="I18" s="81">
        <f t="array" ref="I18">IFERROR(_FV(DataRT!$C18,"Low"),0)</f>
        <v/>
      </c>
      <c r="J18" s="81">
        <f t="array" ref="J18">IFERROR(_FV(DataRT!$C18,"High"),0)</f>
        <v/>
      </c>
      <c r="K18" s="82">
        <f t="array" ref="K18">IFERROR(_FV(DataRT!$C18,"P/E",TRUE),99)</f>
        <v/>
      </c>
      <c r="L18" s="83">
        <f t="array" ref="L18">_FV(DataRT!$C18,"Change")</f>
        <v/>
      </c>
      <c r="M18" s="84">
        <f t="array" ref="M18">_FV(DataRT!$C18,"Change (%)",TRUE)</f>
        <v/>
      </c>
      <c r="N18" s="81">
        <f t="array" ref="N18">_FV(DataRT!$C18,"52 week low",TRUE)</f>
        <v/>
      </c>
      <c r="O18" s="81">
        <f t="array" ref="O18">_FV(DataRT!$C18,"52 week high",TRUE)</f>
        <v/>
      </c>
      <c r="P18" s="85">
        <f t="array" ref="P18">_FV(DataRT!$C18,"Volume")</f>
        <v/>
      </c>
      <c r="Q18" s="85">
        <f t="array" ref="Q18">_FV(DataRT!$C18,"Volume average",TRUE)</f>
        <v/>
      </c>
      <c r="R18" s="81">
        <f t="array" ref="R18">_FV(DataRT!$C18,"Beta")</f>
        <v/>
      </c>
      <c r="S18" s="86" t="n"/>
      <c r="T18" s="86" t="inlineStr">
        <is>
          <t>V</t>
        </is>
      </c>
      <c r="U18" s="86">
        <f t="array" ref="U18">_FV(DataRT!$C18,"Exchange abbreviation",TRUE)</f>
        <v/>
      </c>
      <c r="V18" s="87">
        <f>IFERROR(DataRT!$P18/DataRT!$Q18,1)</f>
        <v/>
      </c>
      <c r="W18" s="87" t="n"/>
      <c r="X18" s="88">
        <f>_xlfn.XLOOKUP(DataRT!$A18,TickerList!$G17:$G111,TickerList!L17:L111)</f>
        <v/>
      </c>
      <c r="Y18" s="157">
        <f>_xlfn.XLOOKUP(DataRT!$A18,TickerList!$G17:$G111,TickerList!M17:M111)</f>
        <v/>
      </c>
      <c r="Z18" s="157">
        <f>_xlfn.XLOOKUP(DataRT!$A18,TickerList!$G17:$G111,TickerList!N17:N111)</f>
        <v/>
      </c>
      <c r="AA18" s="73">
        <f>_xlfn.XLOOKUP(DataRT!$A18,TickerList!$G17:$G111,TickerList!O17:O111)</f>
        <v/>
      </c>
      <c r="AB18" s="74" t="n">
        <v>0.0001</v>
      </c>
      <c r="AC18" s="75" t="n">
        <v>0.003</v>
      </c>
      <c r="AD18" s="76" t="n">
        <v>111.22</v>
      </c>
      <c r="AE18" s="158">
        <f>_xlfn.LET(_xlpm.New1YT,DataRT!$X18,        _xlpm.Old1YT,IF(ISNUMBER(DataRT!$AD18),DataRT!$AD18,VALUE(LEFT(DataRT!$AD18,FIND("/",DataRT!$AD18,1)-1))),       IF(OR(DataRT!$X18=0,_xlpm.Old1YT=0),0,(_xlpm.New1YT-_xlpm.Old1YT)/_xlpm.Old1YT))</f>
        <v/>
      </c>
      <c r="AF18" s="159">
        <f>TEXT(DataRT!$X18,"#,#0.00")&amp;" &lt; "&amp;DataRT!$AD18</f>
        <v/>
      </c>
    </row>
    <row r="19">
      <c r="A19" s="58">
        <f t="array" ref="A19">_xlfn.SINGLE(DataRT!$S$3:$S$96)&amp;_FV(DataRT!$C19,"Ticker symbol",TRUE)</f>
        <v/>
      </c>
      <c r="B19" s="58" t="n">
        <v>1</v>
      </c>
      <c r="C19" s="68" t="e">
        <v>#VALUE!</v>
      </c>
      <c r="D19" s="60">
        <f t="array" ref="D19">_FV(DataRT!$C19,"Currency")</f>
        <v/>
      </c>
      <c r="E19" s="61">
        <f t="array" ref="E19">_FV(DataRT!$C19,"Last trade time",TRUE)</f>
        <v/>
      </c>
      <c r="F19" s="161">
        <f t="array" ref="F19">_FV(DataRT!$C19,"Previous close",TRUE)</f>
        <v/>
      </c>
      <c r="G19" s="161">
        <f t="array" ref="G19">IFERROR(_FV(DataRT!$C19,"Open"),DataRT!$F19)</f>
        <v/>
      </c>
      <c r="H19" s="161">
        <f t="array" ref="H19">_FV(DataRT!$C19,"Price")</f>
        <v/>
      </c>
      <c r="I19" s="161">
        <f t="array" ref="I19">IFERROR(_FV(DataRT!$C19,"Low"),0)</f>
        <v/>
      </c>
      <c r="J19" s="161">
        <f t="array" ref="J19">IFERROR(_FV(DataRT!$C19,"High"),0)</f>
        <v/>
      </c>
      <c r="K19" s="64">
        <f t="array" ref="K19">IFERROR(_FV(DataRT!$C19,"P/E",TRUE),99)</f>
        <v/>
      </c>
      <c r="L19" s="65">
        <f t="array" ref="L19">_FV(DataRT!$C19,"Change")</f>
        <v/>
      </c>
      <c r="M19" s="66">
        <f t="array" ref="M19">_FV(DataRT!$C19,"Change (%)",TRUE)</f>
        <v/>
      </c>
      <c r="N19" s="161">
        <f t="array" ref="N19">_FV(DataRT!$C19,"52 week low",TRUE)</f>
        <v/>
      </c>
      <c r="O19" s="161">
        <f t="array" ref="O19">_FV(DataRT!$C19,"52 week high",TRUE)</f>
        <v/>
      </c>
      <c r="P19" s="67">
        <f t="array" ref="P19">_FV(DataRT!$C19,"Volume")</f>
        <v/>
      </c>
      <c r="Q19" s="67">
        <f t="array" ref="Q19">_FV(DataRT!$C19,"Volume average",TRUE)</f>
        <v/>
      </c>
      <c r="R19" s="161">
        <f t="array" ref="R19">_FV(DataRT!$C19,"Beta")</f>
        <v/>
      </c>
      <c r="S19" s="68" t="n"/>
      <c r="T19" s="68" t="inlineStr">
        <is>
          <t>V</t>
        </is>
      </c>
      <c r="U19" s="68">
        <f t="array" ref="U19">_FV(DataRT!$C19,"Exchange abbreviation",TRUE)</f>
        <v/>
      </c>
      <c r="V19" s="70">
        <f>IFERROR(DataRT!$P19/DataRT!$Q19,1)</f>
        <v/>
      </c>
      <c r="W19" s="70" t="n"/>
      <c r="X19" s="88">
        <f>_xlfn.XLOOKUP(DataRT!$A19,TickerList!$G18:$G112,TickerList!L18:L112)</f>
        <v/>
      </c>
      <c r="Y19" s="157">
        <f>_xlfn.XLOOKUP(DataRT!$A19,TickerList!$G18:$G112,TickerList!M18:M112)</f>
        <v/>
      </c>
      <c r="Z19" s="157">
        <f>_xlfn.XLOOKUP(DataRT!$A19,TickerList!$G18:$G112,TickerList!N18:N112)</f>
        <v/>
      </c>
      <c r="AA19" s="73">
        <f>_xlfn.XLOOKUP(DataRT!$A19,TickerList!$G18:$G112,TickerList!O18:O112)</f>
        <v/>
      </c>
      <c r="AB19" s="74" t="n"/>
      <c r="AC19" s="75" t="n">
        <v>0.003</v>
      </c>
      <c r="AD19" s="76" t="inlineStr">
        <is>
          <t>37.97/38.13/38.23</t>
        </is>
      </c>
      <c r="AE19" s="158">
        <f>_xlfn.LET(_xlpm.New1YT,DataRT!$X19,        _xlpm.Old1YT,IF(ISNUMBER(DataRT!$AD19),DataRT!$AD19,VALUE(LEFT(DataRT!$AD19,FIND("/",DataRT!$AD19,1)-1))),       IF(OR(DataRT!$X19=0,_xlpm.Old1YT=0),0,(_xlpm.New1YT-_xlpm.Old1YT)/_xlpm.Old1YT))</f>
        <v/>
      </c>
      <c r="AF19" s="159">
        <f>TEXT(DataRT!$X19,"#,#0.00")&amp;" &lt; "&amp;DataRT!$AD19</f>
        <v/>
      </c>
    </row>
    <row r="20">
      <c r="A20" s="78">
        <f t="array" ref="A20">_xlfn.SINGLE(DataRT!$S$3:$S$96)&amp;_FV(DataRT!$C20,"Ticker symbol",TRUE)</f>
        <v/>
      </c>
      <c r="B20" s="78">
        <f>D99</f>
        <v/>
      </c>
      <c r="C20" s="86" t="e">
        <v>#VALUE!</v>
      </c>
      <c r="D20" s="60">
        <f t="array" ref="D20">_FV(DataRT!$C20,"Currency")</f>
        <v/>
      </c>
      <c r="E20" s="80">
        <f t="array" ref="E20">_FV(DataRT!$C20,"Last trade time",TRUE)</f>
        <v/>
      </c>
      <c r="F20" s="81">
        <f t="array" ref="F20">_FV(DataRT!$C20,"Previous close",TRUE)</f>
        <v/>
      </c>
      <c r="G20" s="81">
        <f t="array" ref="G20">IFERROR(_FV(DataRT!$C20,"Open"),DataRT!$F20)</f>
        <v/>
      </c>
      <c r="H20" s="81">
        <f t="array" ref="H20">_FV(DataRT!$C20,"Price")</f>
        <v/>
      </c>
      <c r="I20" s="81">
        <f t="array" ref="I20">IFERROR(_FV(DataRT!$C20,"Low"),0)</f>
        <v/>
      </c>
      <c r="J20" s="81">
        <f t="array" ref="J20">IFERROR(_FV(DataRT!$C20,"High"),0)</f>
        <v/>
      </c>
      <c r="K20" s="82">
        <f t="array" ref="K20">IFERROR(_FV(DataRT!$C20,"P/E",TRUE),99)</f>
        <v/>
      </c>
      <c r="L20" s="83">
        <f t="array" ref="L20">_FV(DataRT!$C20,"Change")</f>
        <v/>
      </c>
      <c r="M20" s="84">
        <f t="array" ref="M20">_FV(DataRT!$C20,"Change (%)",TRUE)</f>
        <v/>
      </c>
      <c r="N20" s="81">
        <f t="array" ref="N20">_FV(DataRT!$C20,"52 week low",TRUE)</f>
        <v/>
      </c>
      <c r="O20" s="81">
        <f t="array" ref="O20">_FV(DataRT!$C20,"52 week high",TRUE)</f>
        <v/>
      </c>
      <c r="P20" s="85">
        <f t="array" ref="P20">_FV(DataRT!$C20,"Volume")</f>
        <v/>
      </c>
      <c r="Q20" s="85">
        <f t="array" ref="Q20">_FV(DataRT!$C20,"Volume average",TRUE)</f>
        <v/>
      </c>
      <c r="R20" s="81">
        <f t="array" ref="R20">_FV(DataRT!$C20,"Beta")</f>
        <v/>
      </c>
      <c r="S20" s="86" t="n"/>
      <c r="T20" s="86" t="inlineStr">
        <is>
          <t>V</t>
        </is>
      </c>
      <c r="U20" s="86">
        <f t="array" ref="U20">_FV(DataRT!$C20,"Exchange abbreviation",TRUE)</f>
        <v/>
      </c>
      <c r="V20" s="87">
        <f>IFERROR(DataRT!$P20/DataRT!$Q20,1)</f>
        <v/>
      </c>
      <c r="W20" s="87" t="n"/>
      <c r="X20" s="88">
        <f>_xlfn.XLOOKUP(DataRT!$A20,TickerList!$G19:$G113,TickerList!L19:L113)</f>
        <v/>
      </c>
      <c r="Y20" s="157">
        <f>_xlfn.XLOOKUP(DataRT!$A20,TickerList!$G19:$G113,TickerList!M19:M113)</f>
        <v/>
      </c>
      <c r="Z20" s="157">
        <f>_xlfn.XLOOKUP(DataRT!$A20,TickerList!$G19:$G113,TickerList!N19:N113)</f>
        <v/>
      </c>
      <c r="AA20" s="73">
        <f>_xlfn.XLOOKUP(DataRT!$A20,TickerList!$G19:$G113,TickerList!O19:O113)</f>
        <v/>
      </c>
      <c r="AB20" s="74" t="n">
        <v>0.0001</v>
      </c>
      <c r="AC20" s="75" t="n">
        <v>0.003</v>
      </c>
      <c r="AD20" s="76" t="n">
        <v>157.9</v>
      </c>
      <c r="AE20" s="158">
        <f>_xlfn.LET(_xlpm.New1YT,DataRT!$X20,        _xlpm.Old1YT,IF(ISNUMBER(DataRT!$AD20),DataRT!$AD20,VALUE(LEFT(DataRT!$AD20,FIND("/",DataRT!$AD20,1)-1))),       IF(OR(DataRT!$X20=0,_xlpm.Old1YT=0),0,(_xlpm.New1YT-_xlpm.Old1YT)/_xlpm.Old1YT))</f>
        <v/>
      </c>
      <c r="AF20" s="159">
        <f>TEXT(DataRT!$X20,"#,#0.00")&amp;" &lt; "&amp;DataRT!$AD20</f>
        <v/>
      </c>
    </row>
    <row r="21">
      <c r="A21" s="58">
        <f t="array" ref="A21">_xlfn.SINGLE(DataRT!$S$3:$S$96)&amp;_FV(DataRT!$C21,"Ticker symbol",TRUE)</f>
        <v/>
      </c>
      <c r="B21" s="58">
        <f>D99</f>
        <v/>
      </c>
      <c r="C21" s="68" t="e">
        <v>#VALUE!</v>
      </c>
      <c r="D21" s="60">
        <f t="array" ref="D21">_FV(DataRT!$C21,"Currency")</f>
        <v/>
      </c>
      <c r="E21" s="61">
        <f t="array" ref="E21">_FV(DataRT!$C21,"Last trade time",TRUE)</f>
        <v/>
      </c>
      <c r="F21" s="63">
        <f t="array" ref="F21">_FV(DataRT!$C21,"Previous close",TRUE)</f>
        <v/>
      </c>
      <c r="G21" s="63">
        <f t="array" ref="G21">IFERROR(_FV(DataRT!$C21,"Open"),DataRT!$F21)</f>
        <v/>
      </c>
      <c r="H21" s="63">
        <f t="array" ref="H21">_FV(DataRT!$C21,"Price")</f>
        <v/>
      </c>
      <c r="I21" s="63">
        <f t="array" ref="I21">IFERROR(_FV(DataRT!$C21,"Low"),0)</f>
        <v/>
      </c>
      <c r="J21" s="63">
        <f t="array" ref="J21">IFERROR(_FV(DataRT!$C21,"High"),0)</f>
        <v/>
      </c>
      <c r="K21" s="64">
        <f t="array" ref="K21">IFERROR(_FV(DataRT!$C21,"P/E",TRUE),99)</f>
        <v/>
      </c>
      <c r="L21" s="65">
        <f t="array" ref="L21">_FV(DataRT!$C21,"Change")</f>
        <v/>
      </c>
      <c r="M21" s="66">
        <f t="array" ref="M21">_FV(DataRT!$C21,"Change (%)",TRUE)</f>
        <v/>
      </c>
      <c r="N21" s="63">
        <f t="array" ref="N21">_FV(DataRT!$C21,"52 week low",TRUE)</f>
        <v/>
      </c>
      <c r="O21" s="63">
        <f t="array" ref="O21">_FV(DataRT!$C21,"52 week high",TRUE)</f>
        <v/>
      </c>
      <c r="P21" s="67">
        <f t="array" ref="P21">_FV(DataRT!$C21,"Volume")</f>
        <v/>
      </c>
      <c r="Q21" s="67">
        <f t="array" ref="Q21">_FV(DataRT!$C21,"Volume average",TRUE)</f>
        <v/>
      </c>
      <c r="R21" s="63">
        <f t="array" ref="R21">_FV(DataRT!$C21,"Beta")</f>
        <v/>
      </c>
      <c r="S21" s="68" t="n"/>
      <c r="T21" s="68" t="inlineStr">
        <is>
          <t>V</t>
        </is>
      </c>
      <c r="U21" s="68">
        <f t="array" ref="U21">_FV(DataRT!$C21,"Exchange abbreviation",TRUE)</f>
        <v/>
      </c>
      <c r="V21" s="70">
        <f>IFERROR(DataRT!$P21/DataRT!$Q21,1)</f>
        <v/>
      </c>
      <c r="W21" s="70" t="n"/>
      <c r="X21" s="88">
        <f>_xlfn.XLOOKUP(DataRT!$A21,TickerList!$G20:$G114,TickerList!L20:L114)</f>
        <v/>
      </c>
      <c r="Y21" s="157">
        <f>_xlfn.XLOOKUP(DataRT!$A21,TickerList!$G20:$G114,TickerList!M20:M114)</f>
        <v/>
      </c>
      <c r="Z21" s="157">
        <f>_xlfn.XLOOKUP(DataRT!$A21,TickerList!$G20:$G114,TickerList!N20:N114)</f>
        <v/>
      </c>
      <c r="AA21" s="73">
        <f>_xlfn.XLOOKUP(DataRT!$A21,TickerList!$G20:$G114,TickerList!O20:O114)</f>
        <v/>
      </c>
      <c r="AB21" s="74" t="n">
        <v>0.0001</v>
      </c>
      <c r="AC21" s="75" t="n">
        <v>0.003</v>
      </c>
      <c r="AD21" s="76" t="n">
        <v>19.77</v>
      </c>
      <c r="AE21" s="158">
        <f>_xlfn.LET(_xlpm.New1YT,DataRT!$X21,        _xlpm.Old1YT,IF(ISNUMBER(DataRT!$AD21),DataRT!$AD21,VALUE(LEFT(DataRT!$AD21,FIND("/",DataRT!$AD21,1)-1))),       IF(OR(DataRT!$X21=0,_xlpm.Old1YT=0),0,(_xlpm.New1YT-_xlpm.Old1YT)/_xlpm.Old1YT))</f>
        <v/>
      </c>
      <c r="AF21" s="159">
        <f>TEXT(DataRT!$X21,"#,#0.00")&amp;" &lt; "&amp;DataRT!$AD21</f>
        <v/>
      </c>
    </row>
    <row r="22">
      <c r="A22" s="78">
        <f t="array" ref="A22">_xlfn.SINGLE(DataRT!$S$3:$S$96)&amp;_FV(DataRT!$C22,"Ticker symbol",TRUE)</f>
        <v/>
      </c>
      <c r="B22" s="78" t="n">
        <v>1</v>
      </c>
      <c r="C22" s="86" t="e">
        <v>#VALUE!</v>
      </c>
      <c r="D22" s="60">
        <f t="array" ref="D22">_FV(DataRT!$C22,"Currency")</f>
        <v/>
      </c>
      <c r="E22" s="80">
        <f t="array" ref="E22">_FV(DataRT!$C22,"Last trade time",TRUE)</f>
        <v/>
      </c>
      <c r="F22" s="162">
        <f t="array" ref="F22">_FV(DataRT!$C22,"Previous close",TRUE)</f>
        <v/>
      </c>
      <c r="G22" s="162">
        <f t="array" ref="G22">IFERROR(_FV(DataRT!$C22,"Open"),DataRT!$F22)</f>
        <v/>
      </c>
      <c r="H22" s="162">
        <f t="array" ref="H22">_FV(DataRT!$C22,"Price")</f>
        <v/>
      </c>
      <c r="I22" s="162">
        <f t="array" ref="I22">IFERROR(_FV(DataRT!$C22,"Low"),0)</f>
        <v/>
      </c>
      <c r="J22" s="162">
        <f t="array" ref="J22">IFERROR(_FV(DataRT!$C22,"High"),0)</f>
        <v/>
      </c>
      <c r="K22" s="82">
        <f t="array" ref="K22">IFERROR(_FV(DataRT!$C22,"P/E",TRUE),99)</f>
        <v/>
      </c>
      <c r="L22" s="83">
        <f t="array" ref="L22">_FV(DataRT!$C22,"Change")</f>
        <v/>
      </c>
      <c r="M22" s="84">
        <f t="array" ref="M22">_FV(DataRT!$C22,"Change (%)",TRUE)</f>
        <v/>
      </c>
      <c r="N22" s="162">
        <f t="array" ref="N22">_FV(DataRT!$C22,"52 week low",TRUE)</f>
        <v/>
      </c>
      <c r="O22" s="162">
        <f t="array" ref="O22">_FV(DataRT!$C22,"52 week high",TRUE)</f>
        <v/>
      </c>
      <c r="P22" s="85">
        <f t="array" ref="P22">_FV(DataRT!$C22,"Volume")</f>
        <v/>
      </c>
      <c r="Q22" s="85">
        <f t="array" ref="Q22">_FV(DataRT!$C22,"Volume average",TRUE)</f>
        <v/>
      </c>
      <c r="R22" s="162">
        <f t="array" ref="R22">_FV(DataRT!$C22,"Beta")</f>
        <v/>
      </c>
      <c r="S22" s="86" t="n"/>
      <c r="T22" s="86" t="inlineStr">
        <is>
          <t>V</t>
        </is>
      </c>
      <c r="U22" s="86">
        <f t="array" ref="U22">_FV(DataRT!$C22,"Exchange abbreviation",TRUE)</f>
        <v/>
      </c>
      <c r="V22" s="87">
        <f>IFERROR(DataRT!$P22/DataRT!$Q22,1)</f>
        <v/>
      </c>
      <c r="W22" s="87" t="n"/>
      <c r="X22" s="88">
        <f>_xlfn.XLOOKUP(DataRT!$A22,TickerList!$G21:$G115,TickerList!L21:L115)</f>
        <v/>
      </c>
      <c r="Y22" s="157">
        <f>_xlfn.XLOOKUP(DataRT!$A22,TickerList!$G21:$G115,TickerList!M21:M115)</f>
        <v/>
      </c>
      <c r="Z22" s="157">
        <f>_xlfn.XLOOKUP(DataRT!$A22,TickerList!$G21:$G115,TickerList!N21:N115)</f>
        <v/>
      </c>
      <c r="AA22" s="73">
        <f>_xlfn.XLOOKUP(DataRT!$A22,TickerList!$G21:$G115,TickerList!O21:O115)</f>
        <v/>
      </c>
      <c r="AB22" s="74" t="n"/>
      <c r="AC22" s="75" t="n">
        <v>0.003</v>
      </c>
      <c r="AD22" s="76" t="inlineStr">
        <is>
          <t>16.71/16.47/14.8</t>
        </is>
      </c>
      <c r="AE22" s="158">
        <f>_xlfn.LET(_xlpm.New1YT,DataRT!$X22,        _xlpm.Old1YT,IF(ISNUMBER(DataRT!$AD22),DataRT!$AD22,VALUE(LEFT(DataRT!$AD22,FIND("/",DataRT!$AD22,1)-1))),       IF(OR(DataRT!$X22=0,_xlpm.Old1YT=0),0,(_xlpm.New1YT-_xlpm.Old1YT)/_xlpm.Old1YT))</f>
        <v/>
      </c>
      <c r="AF22" s="159">
        <f>TEXT(DataRT!$X22,"#,#0.00")&amp;" &lt; "&amp;DataRT!$AD22</f>
        <v/>
      </c>
    </row>
    <row r="23">
      <c r="A23" s="58">
        <f t="array" ref="A23">_xlfn.SINGLE(DataRT!$S$3:$S$96)&amp;_FV(DataRT!$C23,"Ticker symbol",TRUE)</f>
        <v/>
      </c>
      <c r="B23" s="58">
        <f>D99</f>
        <v/>
      </c>
      <c r="C23" s="68" t="e">
        <v>#VALUE!</v>
      </c>
      <c r="D23" s="60">
        <f t="array" ref="D23">_FV(DataRT!$C23,"Currency")</f>
        <v/>
      </c>
      <c r="E23" s="61">
        <f t="array" ref="E23">_FV(DataRT!$C23,"Last trade time",TRUE)</f>
        <v/>
      </c>
      <c r="F23" s="63">
        <f t="array" ref="F23">_FV(DataRT!$C23,"Previous close",TRUE)</f>
        <v/>
      </c>
      <c r="G23" s="63">
        <f t="array" ref="G23">IFERROR(_FV(DataRT!$C23,"Open"),DataRT!$F23)</f>
        <v/>
      </c>
      <c r="H23" s="63">
        <f t="array" ref="H23">_FV(DataRT!$C23,"Price")</f>
        <v/>
      </c>
      <c r="I23" s="63">
        <f t="array" ref="I23">IFERROR(_FV(DataRT!$C23,"Low"),0)</f>
        <v/>
      </c>
      <c r="J23" s="63">
        <f t="array" ref="J23">IFERROR(_FV(DataRT!$C23,"High"),0)</f>
        <v/>
      </c>
      <c r="K23" s="64">
        <f t="array" ref="K23">IFERROR(_FV(DataRT!$C23,"P/E",TRUE),99)</f>
        <v/>
      </c>
      <c r="L23" s="65">
        <f t="array" ref="L23">_FV(DataRT!$C23,"Change")</f>
        <v/>
      </c>
      <c r="M23" s="66">
        <f t="array" ref="M23">_FV(DataRT!$C23,"Change (%)",TRUE)</f>
        <v/>
      </c>
      <c r="N23" s="63">
        <f t="array" ref="N23">_FV(DataRT!$C23,"52 week low",TRUE)</f>
        <v/>
      </c>
      <c r="O23" s="63">
        <f t="array" ref="O23">_FV(DataRT!$C23,"52 week high",TRUE)</f>
        <v/>
      </c>
      <c r="P23" s="67">
        <f t="array" ref="P23">_FV(DataRT!$C23,"Volume")</f>
        <v/>
      </c>
      <c r="Q23" s="67">
        <f t="array" ref="Q23">_FV(DataRT!$C23,"Volume average",TRUE)</f>
        <v/>
      </c>
      <c r="R23" s="63">
        <f t="array" ref="R23">_FV(DataRT!$C23,"Beta")</f>
        <v/>
      </c>
      <c r="S23" s="68" t="n"/>
      <c r="T23" s="68" t="inlineStr">
        <is>
          <t>V</t>
        </is>
      </c>
      <c r="U23" s="68">
        <f t="array" ref="U23">_FV(DataRT!$C23,"Exchange abbreviation",TRUE)</f>
        <v/>
      </c>
      <c r="V23" s="70">
        <f>IFERROR(DataRT!$P23/DataRT!$Q23,1)</f>
        <v/>
      </c>
      <c r="W23" s="70" t="n"/>
      <c r="X23" s="88">
        <f>_xlfn.XLOOKUP(DataRT!$A23,TickerList!$G22:$G116,TickerList!L22:L116)</f>
        <v/>
      </c>
      <c r="Y23" s="157">
        <f>_xlfn.XLOOKUP(DataRT!$A23,TickerList!$G22:$G116,TickerList!M22:M116)</f>
        <v/>
      </c>
      <c r="Z23" s="157">
        <f>_xlfn.XLOOKUP(DataRT!$A23,TickerList!$G22:$G116,TickerList!N22:N116)</f>
        <v/>
      </c>
      <c r="AA23" s="73">
        <f>_xlfn.XLOOKUP(DataRT!$A23,TickerList!$G22:$G116,TickerList!O22:O116)</f>
        <v/>
      </c>
      <c r="AB23" s="74" t="n">
        <v>0.0001</v>
      </c>
      <c r="AC23" s="75" t="n">
        <v>0.003</v>
      </c>
      <c r="AD23" s="76" t="n">
        <v>9.32</v>
      </c>
      <c r="AE23" s="158">
        <f>_xlfn.LET(_xlpm.New1YT,DataRT!$X23,        _xlpm.Old1YT,IF(ISNUMBER(DataRT!$AD23),DataRT!$AD23,VALUE(LEFT(DataRT!$AD23,FIND("/",DataRT!$AD23,1)-1))),       IF(OR(DataRT!$X23=0,_xlpm.Old1YT=0),0,(_xlpm.New1YT-_xlpm.Old1YT)/_xlpm.Old1YT))</f>
        <v/>
      </c>
      <c r="AF23" s="159">
        <f>TEXT(DataRT!$X23,"#,#0.00")&amp;" &lt; "&amp;DataRT!$AD23</f>
        <v/>
      </c>
    </row>
    <row r="24">
      <c r="A24" s="78">
        <f t="array" ref="A24">_xlfn.SINGLE(DataRT!$S$3:$S$96)&amp;_FV(DataRT!$C24,"Ticker symbol",TRUE)</f>
        <v/>
      </c>
      <c r="B24" s="78">
        <f>D99</f>
        <v/>
      </c>
      <c r="C24" s="86" t="e">
        <v>#VALUE!</v>
      </c>
      <c r="D24" s="60">
        <f t="array" ref="D24">_FV(DataRT!$C24,"Currency")</f>
        <v/>
      </c>
      <c r="E24" s="80">
        <f t="array" ref="E24">_FV(DataRT!$C24,"Last trade time",TRUE)</f>
        <v/>
      </c>
      <c r="F24" s="81">
        <f t="array" ref="F24">_FV(DataRT!$C24,"Previous close",TRUE)</f>
        <v/>
      </c>
      <c r="G24" s="81">
        <f t="array" ref="G24">IFERROR(_FV(DataRT!$C24,"Open"),DataRT!$F24)</f>
        <v/>
      </c>
      <c r="H24" s="81">
        <f t="array" ref="H24">_FV(DataRT!$C24,"Price")</f>
        <v/>
      </c>
      <c r="I24" s="81">
        <f t="array" ref="I24">IFERROR(_FV(DataRT!$C24,"Low"),0)</f>
        <v/>
      </c>
      <c r="J24" s="81">
        <f t="array" ref="J24">IFERROR(_FV(DataRT!$C24,"High"),0)</f>
        <v/>
      </c>
      <c r="K24" s="82">
        <f t="array" ref="K24">IFERROR(_FV(DataRT!$C24,"P/E",TRUE),99)</f>
        <v/>
      </c>
      <c r="L24" s="83">
        <f t="array" ref="L24">_FV(DataRT!$C24,"Change")</f>
        <v/>
      </c>
      <c r="M24" s="84">
        <f t="array" ref="M24">_FV(DataRT!$C24,"Change (%)",TRUE)</f>
        <v/>
      </c>
      <c r="N24" s="81">
        <f t="array" ref="N24">_FV(DataRT!$C24,"52 week low",TRUE)</f>
        <v/>
      </c>
      <c r="O24" s="81">
        <f t="array" ref="O24">_FV(DataRT!$C24,"52 week high",TRUE)</f>
        <v/>
      </c>
      <c r="P24" s="85">
        <f t="array" ref="P24">_FV(DataRT!$C24,"Volume")</f>
        <v/>
      </c>
      <c r="Q24" s="85">
        <f t="array" ref="Q24">_FV(DataRT!$C24,"Volume average",TRUE)</f>
        <v/>
      </c>
      <c r="R24" s="81">
        <f t="array" ref="R24">_FV(DataRT!$C24,"Beta")</f>
        <v/>
      </c>
      <c r="S24" s="86" t="n"/>
      <c r="T24" s="86" t="inlineStr">
        <is>
          <t>V</t>
        </is>
      </c>
      <c r="U24" s="86">
        <f t="array" ref="U24">_FV(DataRT!$C24,"Exchange abbreviation",TRUE)</f>
        <v/>
      </c>
      <c r="V24" s="87">
        <f>IFERROR(DataRT!$P24/DataRT!$Q24,1)</f>
        <v/>
      </c>
      <c r="W24" s="87" t="n"/>
      <c r="X24" s="88">
        <f>_xlfn.XLOOKUP(DataRT!$A24,TickerList!$G23:$G117,TickerList!L23:L117)</f>
        <v/>
      </c>
      <c r="Y24" s="157">
        <f>_xlfn.XLOOKUP(DataRT!$A24,TickerList!$G23:$G117,TickerList!M23:M117)</f>
        <v/>
      </c>
      <c r="Z24" s="157">
        <f>_xlfn.XLOOKUP(DataRT!$A24,TickerList!$G23:$G117,TickerList!N23:N117)</f>
        <v/>
      </c>
      <c r="AA24" s="73">
        <f>_xlfn.XLOOKUP(DataRT!$A24,TickerList!$G23:$G117,TickerList!O23:O117)</f>
        <v/>
      </c>
      <c r="AB24" s="74" t="n">
        <v>0.0001</v>
      </c>
      <c r="AC24" s="75" t="n">
        <v>0.003</v>
      </c>
      <c r="AD24" s="76" t="n">
        <v>56.25</v>
      </c>
      <c r="AE24" s="158">
        <f>_xlfn.LET(_xlpm.New1YT,DataRT!$X24,        _xlpm.Old1YT,IF(ISNUMBER(DataRT!$AD24),DataRT!$AD24,VALUE(LEFT(DataRT!$AD24,FIND("/",DataRT!$AD24,1)-1))),       IF(OR(DataRT!$X24=0,_xlpm.Old1YT=0),0,(_xlpm.New1YT-_xlpm.Old1YT)/_xlpm.Old1YT))</f>
        <v/>
      </c>
      <c r="AF24" s="159">
        <f>TEXT(DataRT!$X24,"#,#0.00")&amp;" &lt; "&amp;DataRT!$AD24</f>
        <v/>
      </c>
    </row>
    <row r="25">
      <c r="A25" s="58">
        <f t="array" ref="A25">_xlfn.SINGLE(DataRT!$S$3:$S$96)&amp;_FV(DataRT!$C25,"Ticker symbol",TRUE)</f>
        <v/>
      </c>
      <c r="B25" s="58">
        <f>D99</f>
        <v/>
      </c>
      <c r="C25" s="68" t="e">
        <v>#VALUE!</v>
      </c>
      <c r="D25" s="60">
        <f t="array" ref="D25">_FV(DataRT!$C25,"Currency")</f>
        <v/>
      </c>
      <c r="E25" s="61">
        <f t="array" ref="E25">_FV(DataRT!$C25,"Last trade time",TRUE)</f>
        <v/>
      </c>
      <c r="F25" s="63">
        <f t="array" ref="F25">_FV(DataRT!$C25,"Previous close",TRUE)</f>
        <v/>
      </c>
      <c r="G25" s="63">
        <f t="array" ref="G25">IFERROR(_FV(DataRT!$C25,"Open"),DataRT!$F25)</f>
        <v/>
      </c>
      <c r="H25" s="63">
        <f t="array" ref="H25">_FV(DataRT!$C25,"Price")</f>
        <v/>
      </c>
      <c r="I25" s="63">
        <f t="array" ref="I25">IFERROR(_FV(DataRT!$C25,"Low"),0)</f>
        <v/>
      </c>
      <c r="J25" s="63">
        <f t="array" ref="J25">IFERROR(_FV(DataRT!$C25,"High"),0)</f>
        <v/>
      </c>
      <c r="K25" s="64">
        <f t="array" ref="K25">IFERROR(_FV(DataRT!$C25,"P/E",TRUE),99)</f>
        <v/>
      </c>
      <c r="L25" s="65">
        <f t="array" ref="L25">_FV(DataRT!$C25,"Change")</f>
        <v/>
      </c>
      <c r="M25" s="66">
        <f t="array" ref="M25">_FV(DataRT!$C25,"Change (%)",TRUE)</f>
        <v/>
      </c>
      <c r="N25" s="63">
        <f t="array" ref="N25">_FV(DataRT!$C25,"52 week low",TRUE)</f>
        <v/>
      </c>
      <c r="O25" s="63">
        <f t="array" ref="O25">_FV(DataRT!$C25,"52 week high",TRUE)</f>
        <v/>
      </c>
      <c r="P25" s="67">
        <f t="array" ref="P25">_FV(DataRT!$C25,"Volume")</f>
        <v/>
      </c>
      <c r="Q25" s="67">
        <f t="array" ref="Q25">_FV(DataRT!$C25,"Volume average",TRUE)</f>
        <v/>
      </c>
      <c r="R25" s="63">
        <f t="array" ref="R25">_FV(DataRT!$C25,"Beta")</f>
        <v/>
      </c>
      <c r="S25" s="68" t="n"/>
      <c r="T25" s="68" t="inlineStr">
        <is>
          <t>V</t>
        </is>
      </c>
      <c r="U25" s="68">
        <f t="array" ref="U25">_FV(DataRT!$C25,"Exchange abbreviation",TRUE)</f>
        <v/>
      </c>
      <c r="V25" s="70">
        <f>IFERROR(DataRT!$P25/DataRT!$Q25,1)</f>
        <v/>
      </c>
      <c r="W25" s="70" t="n"/>
      <c r="X25" s="88">
        <f>_xlfn.XLOOKUP(DataRT!$A25,TickerList!$G24:$G118,TickerList!L24:L118)</f>
        <v/>
      </c>
      <c r="Y25" s="157">
        <f>_xlfn.XLOOKUP(DataRT!$A25,TickerList!$G24:$G118,TickerList!M24:M118)</f>
        <v/>
      </c>
      <c r="Z25" s="157">
        <f>_xlfn.XLOOKUP(DataRT!$A25,TickerList!$G24:$G118,TickerList!N24:N118)</f>
        <v/>
      </c>
      <c r="AA25" s="73">
        <f>_xlfn.XLOOKUP(DataRT!$A25,TickerList!$G24:$G118,TickerList!O24:O118)</f>
        <v/>
      </c>
      <c r="AB25" s="74" t="n">
        <v>0.0001</v>
      </c>
      <c r="AC25" s="75" t="n">
        <v>0.003</v>
      </c>
      <c r="AD25" s="76" t="inlineStr">
        <is>
          <t>21.47/20.14</t>
        </is>
      </c>
      <c r="AE25" s="158">
        <f>_xlfn.LET(_xlpm.New1YT,DataRT!$X25,        _xlpm.Old1YT,IF(ISNUMBER(DataRT!$AD25),DataRT!$AD25,VALUE(LEFT(DataRT!$AD25,FIND("/",DataRT!$AD25,1)-1))),       IF(OR(DataRT!$X25=0,_xlpm.Old1YT=0),0,(_xlpm.New1YT-_xlpm.Old1YT)/_xlpm.Old1YT))</f>
        <v/>
      </c>
      <c r="AF25" s="159">
        <f>TEXT(DataRT!$X25,"#,#0.00")&amp;" &lt; "&amp;DataRT!$AD25</f>
        <v/>
      </c>
    </row>
    <row r="26">
      <c r="A26" s="78">
        <f t="array" ref="A26">_xlfn.SINGLE(DataRT!$S$3:$S$96)&amp;_FV(DataRT!$C26,"Ticker symbol",TRUE)</f>
        <v/>
      </c>
      <c r="B26" s="78">
        <f>D99</f>
        <v/>
      </c>
      <c r="C26" s="86" t="e">
        <v>#VALUE!</v>
      </c>
      <c r="D26" s="60">
        <f t="array" ref="D26">_FV(DataRT!$C26,"Currency")</f>
        <v/>
      </c>
      <c r="E26" s="80">
        <f t="array" ref="E26">_FV(DataRT!$C26,"Last trade time",TRUE)</f>
        <v/>
      </c>
      <c r="F26" s="81">
        <f t="array" ref="F26">_FV(DataRT!$C26,"Previous close",TRUE)</f>
        <v/>
      </c>
      <c r="G26" s="81">
        <f t="array" ref="G26">IFERROR(_FV(DataRT!$C26,"Open"),DataRT!$F26)</f>
        <v/>
      </c>
      <c r="H26" s="81">
        <f t="array" ref="H26">_FV(DataRT!$C26,"Price")</f>
        <v/>
      </c>
      <c r="I26" s="81">
        <f t="array" ref="I26">IFERROR(_FV(DataRT!$C26,"Low"),0)</f>
        <v/>
      </c>
      <c r="J26" s="81">
        <f t="array" ref="J26">IFERROR(_FV(DataRT!$C26,"High"),0)</f>
        <v/>
      </c>
      <c r="K26" s="82">
        <f t="array" ref="K26">IFERROR(_FV(DataRT!$C26,"P/E",TRUE),99)</f>
        <v/>
      </c>
      <c r="L26" s="83">
        <f t="array" ref="L26">_FV(DataRT!$C26,"Change")</f>
        <v/>
      </c>
      <c r="M26" s="84">
        <f t="array" ref="M26">_FV(DataRT!$C26,"Change (%)",TRUE)</f>
        <v/>
      </c>
      <c r="N26" s="81">
        <f t="array" ref="N26">_FV(DataRT!$C26,"52 week low",TRUE)</f>
        <v/>
      </c>
      <c r="O26" s="81">
        <f t="array" ref="O26">_FV(DataRT!$C26,"52 week high",TRUE)</f>
        <v/>
      </c>
      <c r="P26" s="85">
        <f t="array" ref="P26">_FV(DataRT!$C26,"Volume")</f>
        <v/>
      </c>
      <c r="Q26" s="85">
        <f t="array" ref="Q26">_FV(DataRT!$C26,"Volume average",TRUE)</f>
        <v/>
      </c>
      <c r="R26" s="81">
        <f t="array" ref="R26">_FV(DataRT!$C26,"Beta")</f>
        <v/>
      </c>
      <c r="S26" s="86" t="n"/>
      <c r="T26" s="86" t="inlineStr">
        <is>
          <t>V</t>
        </is>
      </c>
      <c r="U26" s="86">
        <f t="array" ref="U26">_FV(DataRT!$C26,"Exchange abbreviation",TRUE)</f>
        <v/>
      </c>
      <c r="V26" s="87">
        <f>IFERROR(DataRT!$P26/DataRT!$Q26,1)</f>
        <v/>
      </c>
      <c r="W26" s="87" t="n"/>
      <c r="X26" s="88">
        <f>_xlfn.XLOOKUP(DataRT!$A26,TickerList!$G25:$G119,TickerList!L25:L119)</f>
        <v/>
      </c>
      <c r="Y26" s="157">
        <f>_xlfn.XLOOKUP(DataRT!$A26,TickerList!$G25:$G119,TickerList!M25:M119)</f>
        <v/>
      </c>
      <c r="Z26" s="157">
        <f>_xlfn.XLOOKUP(DataRT!$A26,TickerList!$G25:$G119,TickerList!N25:N119)</f>
        <v/>
      </c>
      <c r="AA26" s="73">
        <f>_xlfn.XLOOKUP(DataRT!$A26,TickerList!$G25:$G119,TickerList!O25:O119)</f>
        <v/>
      </c>
      <c r="AB26" s="74" t="n">
        <v>0.0001</v>
      </c>
      <c r="AC26" s="75" t="n">
        <v>0.003</v>
      </c>
      <c r="AD26" s="76" t="n">
        <v>36.26</v>
      </c>
      <c r="AE26" s="158">
        <f>_xlfn.LET(_xlpm.New1YT,DataRT!$X26,        _xlpm.Old1YT,IF(ISNUMBER(DataRT!$AD26),DataRT!$AD26,VALUE(LEFT(DataRT!$AD26,FIND("/",DataRT!$AD26,1)-1))),       IF(OR(DataRT!$X26=0,_xlpm.Old1YT=0),0,(_xlpm.New1YT-_xlpm.Old1YT)/_xlpm.Old1YT))</f>
        <v/>
      </c>
      <c r="AF26" s="159">
        <f>TEXT(DataRT!$X26,"#,#0.00")&amp;" &lt; "&amp;DataRT!$AD26</f>
        <v/>
      </c>
    </row>
    <row r="27">
      <c r="A27" s="58">
        <f t="array" ref="A27">_xlfn.SINGLE(DataRT!$S$3:$S$96)&amp;_FV(DataRT!$C27,"Ticker symbol",TRUE)</f>
        <v/>
      </c>
      <c r="B27" s="58">
        <f>D101/100</f>
        <v/>
      </c>
      <c r="C27" s="68" t="e">
        <v>#VALUE!</v>
      </c>
      <c r="D27" s="60">
        <f t="array" ref="D27">_FV(DataRT!$C27,"Currency")</f>
        <v/>
      </c>
      <c r="E27" s="61">
        <f t="array" ref="E27">_FV(DataRT!$C27,"Last trade time",TRUE)</f>
        <v/>
      </c>
      <c r="F27" s="160">
        <f t="array" ref="F27">_FV(DataRT!$C27,"Previous close",TRUE)</f>
        <v/>
      </c>
      <c r="G27" s="160">
        <f t="array" ref="G27">IFERROR(_FV(DataRT!$C27,"Open"),DataRT!$F27)</f>
        <v/>
      </c>
      <c r="H27" s="160">
        <f t="array" ref="H27">_FV(DataRT!$C27,"Price")</f>
        <v/>
      </c>
      <c r="I27" s="160">
        <f t="array" ref="I27">IFERROR(_FV(DataRT!$C27,"Low"),0)</f>
        <v/>
      </c>
      <c r="J27" s="160">
        <f t="array" ref="J27">IFERROR(_FV(DataRT!$C27,"High"),0)</f>
        <v/>
      </c>
      <c r="K27" s="64">
        <f t="array" ref="K27">IFERROR(_FV(DataRT!$C27,"P/E",TRUE),99)</f>
        <v/>
      </c>
      <c r="L27" s="65">
        <f t="array" ref="L27">_FV(DataRT!$C27,"Change")</f>
        <v/>
      </c>
      <c r="M27" s="66">
        <f t="array" ref="M27">_FV(DataRT!$C27,"Change (%)",TRUE)</f>
        <v/>
      </c>
      <c r="N27" s="160">
        <f t="array" ref="N27">_FV(DataRT!$C27,"52 week low",TRUE)</f>
        <v/>
      </c>
      <c r="O27" s="160">
        <f t="array" ref="O27">_FV(DataRT!$C27,"52 week high",TRUE)</f>
        <v/>
      </c>
      <c r="P27" s="67">
        <f t="array" ref="P27">_FV(DataRT!$C27,"Volume")</f>
        <v/>
      </c>
      <c r="Q27" s="67">
        <f t="array" ref="Q27">_FV(DataRT!$C27,"Volume average",TRUE)</f>
        <v/>
      </c>
      <c r="R27" s="63">
        <f t="array" ref="R27">_FV(DataRT!$C27,"Beta")</f>
        <v/>
      </c>
      <c r="S27" s="68" t="n"/>
      <c r="T27" s="68" t="inlineStr">
        <is>
          <t>V</t>
        </is>
      </c>
      <c r="U27" s="68">
        <f t="array" ref="U27">_FV(DataRT!$C27,"Exchange abbreviation",TRUE)</f>
        <v/>
      </c>
      <c r="V27" s="70">
        <f>IFERROR(DataRT!$P27/DataRT!$Q27,1)</f>
        <v/>
      </c>
      <c r="W27" s="70" t="n"/>
      <c r="X27" s="88">
        <f>_xlfn.XLOOKUP(DataRT!$A27,TickerList!$G26:$G120,TickerList!L26:L120)</f>
        <v/>
      </c>
      <c r="Y27" s="157">
        <f>_xlfn.XLOOKUP(DataRT!$A27,TickerList!$G26:$G120,TickerList!M26:M120)</f>
        <v/>
      </c>
      <c r="Z27" s="157">
        <f>_xlfn.XLOOKUP(DataRT!$A27,TickerList!$G26:$G120,TickerList!N26:N120)</f>
        <v/>
      </c>
      <c r="AA27" s="73">
        <f>_xlfn.XLOOKUP(DataRT!$A27,TickerList!$G26:$G120,TickerList!O26:O120)</f>
        <v/>
      </c>
      <c r="AB27" s="74" t="n"/>
      <c r="AC27" s="75" t="n">
        <v>0.003</v>
      </c>
      <c r="AD27" s="76" t="n">
        <v>393.1</v>
      </c>
      <c r="AE27" s="158">
        <f>_xlfn.LET(_xlpm.New1YT,DataRT!$X27,        _xlpm.Old1YT,IF(ISNUMBER(DataRT!$AD27),DataRT!$AD27,VALUE(LEFT(DataRT!$AD27,FIND("/",DataRT!$AD27,1)-1))),       IF(OR(DataRT!$X27=0,_xlpm.Old1YT=0),0,(_xlpm.New1YT-_xlpm.Old1YT)/_xlpm.Old1YT))</f>
        <v/>
      </c>
      <c r="AF27" s="159">
        <f>TEXT(DataRT!$X27,"#,#0.00")&amp;" &lt; "&amp;DataRT!$AD27</f>
        <v/>
      </c>
    </row>
    <row r="28">
      <c r="A28" s="78">
        <f t="array" ref="A28">_xlfn.SINGLE(DataRT!$S$3:$S$96)&amp;_FV(DataRT!$C28,"Ticker symbol",TRUE)</f>
        <v/>
      </c>
      <c r="B28" s="78">
        <f>D99</f>
        <v/>
      </c>
      <c r="C28" s="86" t="e">
        <v>#VALUE!</v>
      </c>
      <c r="D28" s="60">
        <f t="array" ref="D28">_FV(DataRT!$C28,"Currency")</f>
        <v/>
      </c>
      <c r="E28" s="80">
        <f t="array" ref="E28">_FV(DataRT!$C28,"Last trade time",TRUE)</f>
        <v/>
      </c>
      <c r="F28" s="81">
        <f t="array" ref="F28">_FV(DataRT!$C28,"Previous close",TRUE)</f>
        <v/>
      </c>
      <c r="G28" s="81">
        <f t="array" ref="G28">IFERROR(_FV(DataRT!$C28,"Open"),DataRT!$F28)</f>
        <v/>
      </c>
      <c r="H28" s="81">
        <f t="array" ref="H28">_FV(DataRT!$C28,"Price")</f>
        <v/>
      </c>
      <c r="I28" s="81">
        <f t="array" ref="I28">IFERROR(_FV(DataRT!$C28,"Low"),0)</f>
        <v/>
      </c>
      <c r="J28" s="81">
        <f t="array" ref="J28">IFERROR(_FV(DataRT!$C28,"High"),0)</f>
        <v/>
      </c>
      <c r="K28" s="82">
        <f t="array" ref="K28">IFERROR(_FV(DataRT!$C28,"P/E",TRUE),99)</f>
        <v/>
      </c>
      <c r="L28" s="83">
        <f t="array" ref="L28">_FV(DataRT!$C28,"Change")</f>
        <v/>
      </c>
      <c r="M28" s="84">
        <f t="array" ref="M28">_FV(DataRT!$C28,"Change (%)",TRUE)</f>
        <v/>
      </c>
      <c r="N28" s="81">
        <f t="array" ref="N28">_FV(DataRT!$C28,"52 week low",TRUE)</f>
        <v/>
      </c>
      <c r="O28" s="81">
        <f t="array" ref="O28">_FV(DataRT!$C28,"52 week high",TRUE)</f>
        <v/>
      </c>
      <c r="P28" s="85">
        <f t="array" ref="P28">_FV(DataRT!$C28,"Volume")</f>
        <v/>
      </c>
      <c r="Q28" s="85">
        <f t="array" ref="Q28">_FV(DataRT!$C28,"Volume average",TRUE)</f>
        <v/>
      </c>
      <c r="R28" s="81">
        <f t="array" ref="R28">_FV(DataRT!$C28,"Beta")</f>
        <v/>
      </c>
      <c r="S28" s="86" t="n"/>
      <c r="T28" s="86" t="inlineStr">
        <is>
          <t>V</t>
        </is>
      </c>
      <c r="U28" s="86">
        <f t="array" ref="U28">_FV(DataRT!$C28,"Exchange abbreviation",TRUE)</f>
        <v/>
      </c>
      <c r="V28" s="87">
        <f>IFERROR(DataRT!$P28/DataRT!$Q28,1)</f>
        <v/>
      </c>
      <c r="W28" s="87" t="n"/>
      <c r="X28" s="88">
        <f>_xlfn.XLOOKUP(DataRT!$A28,TickerList!$G27:$G121,TickerList!L27:L121)</f>
        <v/>
      </c>
      <c r="Y28" s="157">
        <f>_xlfn.XLOOKUP(DataRT!$A28,TickerList!$G27:$G121,TickerList!M27:M121)</f>
        <v/>
      </c>
      <c r="Z28" s="157">
        <f>_xlfn.XLOOKUP(DataRT!$A28,TickerList!$G27:$G121,TickerList!N27:N121)</f>
        <v/>
      </c>
      <c r="AA28" s="73">
        <f>_xlfn.XLOOKUP(DataRT!$A28,TickerList!$G27:$G121,TickerList!O27:O121)</f>
        <v/>
      </c>
      <c r="AB28" s="74" t="n">
        <v>0.0001</v>
      </c>
      <c r="AC28" s="75" t="n">
        <v>0.003</v>
      </c>
      <c r="AD28" s="76" t="n">
        <v>66.5</v>
      </c>
      <c r="AE28" s="158">
        <f>_xlfn.LET(_xlpm.New1YT,DataRT!$X28,        _xlpm.Old1YT,IF(ISNUMBER(DataRT!$AD28),DataRT!$AD28,VALUE(LEFT(DataRT!$AD28,FIND("/",DataRT!$AD28,1)-1))),       IF(OR(DataRT!$X28=0,_xlpm.Old1YT=0),0,(_xlpm.New1YT-_xlpm.Old1YT)/_xlpm.Old1YT))</f>
        <v/>
      </c>
      <c r="AF28" s="159">
        <f>TEXT(DataRT!$X28,"#,#0.00")&amp;" &lt; "&amp;DataRT!$AD28</f>
        <v/>
      </c>
    </row>
    <row r="29">
      <c r="A29" s="58">
        <f t="array" ref="A29">_xlfn.SINGLE(DataRT!$S$3:$S$96)&amp;_FV(DataRT!$C29,"Ticker symbol",TRUE)</f>
        <v/>
      </c>
      <c r="B29" s="58">
        <f>D99</f>
        <v/>
      </c>
      <c r="C29" s="68" t="e">
        <v>#VALUE!</v>
      </c>
      <c r="D29" s="60">
        <f t="array" ref="D29">_FV(DataRT!$C29,"Currency")</f>
        <v/>
      </c>
      <c r="E29" s="61">
        <f t="array" ref="E29">_FV(DataRT!$C29,"Last trade time",TRUE)</f>
        <v/>
      </c>
      <c r="F29" s="63">
        <f t="array" ref="F29">_FV(DataRT!$C29,"Previous close",TRUE)</f>
        <v/>
      </c>
      <c r="G29" s="63">
        <f t="array" ref="G29">IFERROR(_FV(DataRT!$C29,"Open"),DataRT!$F29)</f>
        <v/>
      </c>
      <c r="H29" s="63">
        <f t="array" ref="H29">_FV(DataRT!$C29,"Price")</f>
        <v/>
      </c>
      <c r="I29" s="63">
        <f t="array" ref="I29">IFERROR(_FV(DataRT!$C29,"Low"),0)</f>
        <v/>
      </c>
      <c r="J29" s="63">
        <f t="array" ref="J29">IFERROR(_FV(DataRT!$C29,"High"),0)</f>
        <v/>
      </c>
      <c r="K29" s="64">
        <f t="array" ref="K29">IFERROR(_FV(DataRT!$C29,"P/E",TRUE),99)</f>
        <v/>
      </c>
      <c r="L29" s="65">
        <f t="array" ref="L29">_FV(DataRT!$C29,"Change")</f>
        <v/>
      </c>
      <c r="M29" s="66">
        <f t="array" ref="M29">_FV(DataRT!$C29,"Change (%)",TRUE)</f>
        <v/>
      </c>
      <c r="N29" s="63">
        <f t="array" ref="N29">_FV(DataRT!$C29,"52 week low",TRUE)</f>
        <v/>
      </c>
      <c r="O29" s="63">
        <f t="array" ref="O29">_FV(DataRT!$C29,"52 week high",TRUE)</f>
        <v/>
      </c>
      <c r="P29" s="67">
        <f t="array" ref="P29">_FV(DataRT!$C29,"Volume")</f>
        <v/>
      </c>
      <c r="Q29" s="67">
        <f t="array" ref="Q29">_FV(DataRT!$C29,"Volume average",TRUE)</f>
        <v/>
      </c>
      <c r="R29" s="63">
        <f t="array" ref="R29">_FV(DataRT!$C29,"Beta")</f>
        <v/>
      </c>
      <c r="S29" s="68" t="n"/>
      <c r="T29" s="68" t="inlineStr">
        <is>
          <t>V</t>
        </is>
      </c>
      <c r="U29" s="68">
        <f t="array" ref="U29">_FV(DataRT!$C29,"Exchange abbreviation",TRUE)</f>
        <v/>
      </c>
      <c r="V29" s="70">
        <f>IFERROR(DataRT!$P29/DataRT!$Q29,1)</f>
        <v/>
      </c>
      <c r="W29" s="70" t="n"/>
      <c r="X29" s="88">
        <f>_xlfn.XLOOKUP(DataRT!$A29,TickerList!$G28:$G122,TickerList!L28:L122)</f>
        <v/>
      </c>
      <c r="Y29" s="157">
        <f>_xlfn.XLOOKUP(DataRT!$A29,TickerList!$G28:$G122,TickerList!M28:M122)</f>
        <v/>
      </c>
      <c r="Z29" s="157">
        <f>_xlfn.XLOOKUP(DataRT!$A29,TickerList!$G28:$G122,TickerList!N28:N122)</f>
        <v/>
      </c>
      <c r="AA29" s="73">
        <f>_xlfn.XLOOKUP(DataRT!$A29,TickerList!$G28:$G122,TickerList!O28:O122)</f>
        <v/>
      </c>
      <c r="AB29" s="74" t="n">
        <v>0.0001</v>
      </c>
      <c r="AC29" s="75" t="n">
        <v>0.003</v>
      </c>
      <c r="AD29" s="76" t="n">
        <v>15.5</v>
      </c>
      <c r="AE29" s="158">
        <f>_xlfn.LET(_xlpm.New1YT,DataRT!$X29,        _xlpm.Old1YT,IF(ISNUMBER(DataRT!$AD29),DataRT!$AD29,VALUE(LEFT(DataRT!$AD29,FIND("/",DataRT!$AD29,1)-1))),       IF(OR(DataRT!$X29=0,_xlpm.Old1YT=0),0,(_xlpm.New1YT-_xlpm.Old1YT)/_xlpm.Old1YT))</f>
        <v/>
      </c>
      <c r="AF29" s="159">
        <f>TEXT(DataRT!$X29,"#,#0.00")&amp;" &lt; "&amp;DataRT!$AD29</f>
        <v/>
      </c>
    </row>
    <row r="30">
      <c r="A30" s="78">
        <f t="array" ref="A30">_xlfn.SINGLE(DataRT!$S$3:$S$96)&amp;_FV(DataRT!$C30,"Ticker symbol",TRUE)</f>
        <v/>
      </c>
      <c r="B30" s="78">
        <f>D99</f>
        <v/>
      </c>
      <c r="C30" s="86" t="e">
        <v>#VALUE!</v>
      </c>
      <c r="D30" s="60">
        <f t="array" ref="D30">_FV(DataRT!$C30,"Currency")</f>
        <v/>
      </c>
      <c r="E30" s="80">
        <f t="array" ref="E30">_FV(DataRT!$C30,"Last trade time",TRUE)</f>
        <v/>
      </c>
      <c r="F30" s="81">
        <f t="array" ref="F30">_FV(DataRT!$C30,"Previous close",TRUE)</f>
        <v/>
      </c>
      <c r="G30" s="81">
        <f t="array" ref="G30">IFERROR(_FV(DataRT!$C30,"Open"),DataRT!$F30)</f>
        <v/>
      </c>
      <c r="H30" s="81">
        <f t="array" ref="H30">_FV(DataRT!$C30,"Price")</f>
        <v/>
      </c>
      <c r="I30" s="81">
        <f t="array" ref="I30">IFERROR(_FV(DataRT!$C30,"Low"),0)</f>
        <v/>
      </c>
      <c r="J30" s="81">
        <f t="array" ref="J30">IFERROR(_FV(DataRT!$C30,"High"),0)</f>
        <v/>
      </c>
      <c r="K30" s="82">
        <f t="array" ref="K30">IFERROR(_FV(DataRT!$C30,"P/E",TRUE),99)</f>
        <v/>
      </c>
      <c r="L30" s="83">
        <f t="array" ref="L30">_FV(DataRT!$C30,"Change")</f>
        <v/>
      </c>
      <c r="M30" s="84">
        <f t="array" ref="M30">_FV(DataRT!$C30,"Change (%)",TRUE)</f>
        <v/>
      </c>
      <c r="N30" s="81">
        <f t="array" ref="N30">_FV(DataRT!$C30,"52 week low",TRUE)</f>
        <v/>
      </c>
      <c r="O30" s="81">
        <f t="array" ref="O30">_FV(DataRT!$C30,"52 week high",TRUE)</f>
        <v/>
      </c>
      <c r="P30" s="85">
        <f t="array" ref="P30">_FV(DataRT!$C30,"Volume")</f>
        <v/>
      </c>
      <c r="Q30" s="85">
        <f t="array" ref="Q30">_FV(DataRT!$C30,"Volume average",TRUE)</f>
        <v/>
      </c>
      <c r="R30" s="81">
        <f t="array" ref="R30">_FV(DataRT!$C30,"Beta")</f>
        <v/>
      </c>
      <c r="S30" s="86" t="n"/>
      <c r="T30" s="86" t="inlineStr">
        <is>
          <t>V</t>
        </is>
      </c>
      <c r="U30" s="86">
        <f t="array" ref="U30">_FV(DataRT!$C30,"Exchange abbreviation",TRUE)</f>
        <v/>
      </c>
      <c r="V30" s="87">
        <f>IFERROR(DataRT!$P30/DataRT!$Q30,1)</f>
        <v/>
      </c>
      <c r="W30" s="87" t="n"/>
      <c r="X30" s="88">
        <f>_xlfn.XLOOKUP(DataRT!$A30,TickerList!$G29:$G123,TickerList!L29:L123)</f>
        <v/>
      </c>
      <c r="Y30" s="157">
        <f>_xlfn.XLOOKUP(DataRT!$A30,TickerList!$G29:$G123,TickerList!M29:M123)</f>
        <v/>
      </c>
      <c r="Z30" s="157">
        <f>_xlfn.XLOOKUP(DataRT!$A30,TickerList!$G29:$G123,TickerList!N29:N123)</f>
        <v/>
      </c>
      <c r="AA30" s="73">
        <f>_xlfn.XLOOKUP(DataRT!$A30,TickerList!$G29:$G123,TickerList!O29:O123)</f>
        <v/>
      </c>
      <c r="AB30" s="74" t="n">
        <v>0.0001</v>
      </c>
      <c r="AC30" s="75" t="n">
        <v>0.003</v>
      </c>
      <c r="AD30" s="76" t="n">
        <v>4.62</v>
      </c>
      <c r="AE30" s="158">
        <f>_xlfn.LET(_xlpm.New1YT,DataRT!$X30,        _xlpm.Old1YT,IF(ISNUMBER(DataRT!$AD30),DataRT!$AD30,VALUE(LEFT(DataRT!$AD30,FIND("/",DataRT!$AD30,1)-1))),       IF(OR(DataRT!$X30=0,_xlpm.Old1YT=0),0,(_xlpm.New1YT-_xlpm.Old1YT)/_xlpm.Old1YT))</f>
        <v/>
      </c>
      <c r="AF30" s="159">
        <f>TEXT(DataRT!$X30,"#,#0.00")&amp;" &lt; "&amp;DataRT!$AD30</f>
        <v/>
      </c>
    </row>
    <row r="31">
      <c r="A31" s="58">
        <f t="array" ref="A31">_xlfn.SINGLE(DataRT!$S$3:$S$96)&amp;_FV(DataRT!$C31,"Ticker symbol",TRUE)</f>
        <v/>
      </c>
      <c r="B31" s="58">
        <f>D99</f>
        <v/>
      </c>
      <c r="C31" s="68" t="e">
        <v>#VALUE!</v>
      </c>
      <c r="D31" s="60">
        <f t="array" ref="D31">_FV(DataRT!$C31,"Currency")</f>
        <v/>
      </c>
      <c r="E31" s="61">
        <f t="array" ref="E31">_FV(DataRT!$C31,"Last trade time",TRUE)</f>
        <v/>
      </c>
      <c r="F31" s="63">
        <f t="array" ref="F31">_FV(DataRT!$C31,"Previous close",TRUE)</f>
        <v/>
      </c>
      <c r="G31" s="63">
        <f t="array" ref="G31">IFERROR(_FV(DataRT!$C31,"Open"),DataRT!$F31)</f>
        <v/>
      </c>
      <c r="H31" s="63">
        <f t="array" ref="H31">_FV(DataRT!$C31,"Price")</f>
        <v/>
      </c>
      <c r="I31" s="63">
        <f t="array" ref="I31">IFERROR(_FV(DataRT!$C31,"Low"),0)</f>
        <v/>
      </c>
      <c r="J31" s="63">
        <f t="array" ref="J31">IFERROR(_FV(DataRT!$C31,"High"),0)</f>
        <v/>
      </c>
      <c r="K31" s="64">
        <f t="array" ref="K31">IFERROR(_FV(DataRT!$C31,"P/E",TRUE),99)</f>
        <v/>
      </c>
      <c r="L31" s="65">
        <f t="array" ref="L31">_FV(DataRT!$C31,"Change")</f>
        <v/>
      </c>
      <c r="M31" s="66">
        <f t="array" ref="M31">_FV(DataRT!$C31,"Change (%)",TRUE)</f>
        <v/>
      </c>
      <c r="N31" s="63">
        <f t="array" ref="N31">_FV(DataRT!$C31,"52 week low",TRUE)</f>
        <v/>
      </c>
      <c r="O31" s="63">
        <f t="array" ref="O31">_FV(DataRT!$C31,"52 week high",TRUE)</f>
        <v/>
      </c>
      <c r="P31" s="67">
        <f t="array" ref="P31">_FV(DataRT!$C31,"Volume")</f>
        <v/>
      </c>
      <c r="Q31" s="67">
        <f t="array" ref="Q31">_FV(DataRT!$C31,"Volume average",TRUE)</f>
        <v/>
      </c>
      <c r="R31" s="63">
        <f t="array" ref="R31">_FV(DataRT!$C31,"Beta")</f>
        <v/>
      </c>
      <c r="S31" s="68" t="n"/>
      <c r="T31" s="68" t="inlineStr">
        <is>
          <t>V</t>
        </is>
      </c>
      <c r="U31" s="68">
        <f t="array" ref="U31">_FV(DataRT!$C31,"Exchange abbreviation",TRUE)</f>
        <v/>
      </c>
      <c r="V31" s="70">
        <f>IFERROR(DataRT!$P31/DataRT!$Q31,1)</f>
        <v/>
      </c>
      <c r="W31" s="70" t="n"/>
      <c r="X31" s="88">
        <f>_xlfn.XLOOKUP(DataRT!$A31,TickerList!$G30:$G124,TickerList!L30:L124)</f>
        <v/>
      </c>
      <c r="Y31" s="157">
        <f>_xlfn.XLOOKUP(DataRT!$A31,TickerList!$G30:$G124,TickerList!M30:M124)</f>
        <v/>
      </c>
      <c r="Z31" s="157">
        <f>_xlfn.XLOOKUP(DataRT!$A31,TickerList!$G30:$G124,TickerList!N30:N124)</f>
        <v/>
      </c>
      <c r="AA31" s="73">
        <f>_xlfn.XLOOKUP(DataRT!$A31,TickerList!$G30:$G124,TickerList!O30:O124)</f>
        <v/>
      </c>
      <c r="AB31" s="74" t="n">
        <v>0.0001</v>
      </c>
      <c r="AC31" s="75" t="n">
        <v>0.003</v>
      </c>
      <c r="AD31" s="76" t="n">
        <v>99.83</v>
      </c>
      <c r="AE31" s="158">
        <f>_xlfn.LET(_xlpm.New1YT,DataRT!$X31,        _xlpm.Old1YT,IF(ISNUMBER(DataRT!$AD31),DataRT!$AD31,VALUE(LEFT(DataRT!$AD31,FIND("/",DataRT!$AD31,1)-1))),       IF(OR(DataRT!$X31=0,_xlpm.Old1YT=0),0,(_xlpm.New1YT-_xlpm.Old1YT)/_xlpm.Old1YT))</f>
        <v/>
      </c>
      <c r="AF31" s="159">
        <f>TEXT(DataRT!$X31,"#,#0.00")&amp;" &lt; "&amp;DataRT!$AD31</f>
        <v/>
      </c>
    </row>
    <row r="32">
      <c r="A32" s="78">
        <f t="array" ref="A32">_xlfn.SINGLE(DataRT!$S$3:$S$96)&amp;_FV(DataRT!$C32,"Ticker symbol",TRUE)</f>
        <v/>
      </c>
      <c r="B32" s="78">
        <f>D99</f>
        <v/>
      </c>
      <c r="C32" s="86" t="e">
        <v>#VALUE!</v>
      </c>
      <c r="D32" s="60">
        <f t="array" ref="D32">_FV(DataRT!$C32,"Currency")</f>
        <v/>
      </c>
      <c r="E32" s="80">
        <f t="array" ref="E32">_FV(DataRT!$C32,"Last trade time",TRUE)</f>
        <v/>
      </c>
      <c r="F32" s="81">
        <f t="array" ref="F32">_FV(DataRT!$C32,"Previous close",TRUE)</f>
        <v/>
      </c>
      <c r="G32" s="81">
        <f t="array" ref="G32">IFERROR(_FV(DataRT!$C32,"Open"),DataRT!$F32)</f>
        <v/>
      </c>
      <c r="H32" s="81">
        <f t="array" ref="H32">_FV(DataRT!$C32,"Price")</f>
        <v/>
      </c>
      <c r="I32" s="81">
        <f t="array" ref="I32">IFERROR(_FV(DataRT!$C32,"Low"),0)</f>
        <v/>
      </c>
      <c r="J32" s="81">
        <f t="array" ref="J32">IFERROR(_FV(DataRT!$C32,"High"),0)</f>
        <v/>
      </c>
      <c r="K32" s="82">
        <f t="array" ref="K32">IFERROR(_FV(DataRT!$C32,"P/E",TRUE),99)</f>
        <v/>
      </c>
      <c r="L32" s="83">
        <f t="array" ref="L32">_FV(DataRT!$C32,"Change")</f>
        <v/>
      </c>
      <c r="M32" s="84">
        <f t="array" ref="M32">_FV(DataRT!$C32,"Change (%)",TRUE)</f>
        <v/>
      </c>
      <c r="N32" s="81">
        <f t="array" ref="N32">_FV(DataRT!$C32,"52 week low",TRUE)</f>
        <v/>
      </c>
      <c r="O32" s="81">
        <f t="array" ref="O32">_FV(DataRT!$C32,"52 week high",TRUE)</f>
        <v/>
      </c>
      <c r="P32" s="85">
        <f t="array" ref="P32">_FV(DataRT!$C32,"Volume")</f>
        <v/>
      </c>
      <c r="Q32" s="85">
        <f t="array" ref="Q32">_FV(DataRT!$C32,"Volume average",TRUE)</f>
        <v/>
      </c>
      <c r="R32" s="81">
        <f t="array" ref="R32">_FV(DataRT!$C32,"Beta")</f>
        <v/>
      </c>
      <c r="S32" s="86" t="n"/>
      <c r="T32" s="86" t="inlineStr">
        <is>
          <t>V</t>
        </is>
      </c>
      <c r="U32" s="86">
        <f t="array" ref="U32">_FV(DataRT!$C32,"Exchange abbreviation",TRUE)</f>
        <v/>
      </c>
      <c r="V32" s="87">
        <f>IFERROR(DataRT!$P32/DataRT!$Q32,1)</f>
        <v/>
      </c>
      <c r="W32" s="87" t="n"/>
      <c r="X32" s="88">
        <f>_xlfn.XLOOKUP(DataRT!$A32,TickerList!$G31:$G125,TickerList!L31:L125)</f>
        <v/>
      </c>
      <c r="Y32" s="157">
        <f>_xlfn.XLOOKUP(DataRT!$A32,TickerList!$G31:$G125,TickerList!M31:M125)</f>
        <v/>
      </c>
      <c r="Z32" s="157">
        <f>_xlfn.XLOOKUP(DataRT!$A32,TickerList!$G31:$G125,TickerList!N31:N125)</f>
        <v/>
      </c>
      <c r="AA32" s="73">
        <f>_xlfn.XLOOKUP(DataRT!$A32,TickerList!$G31:$G125,TickerList!O31:O125)</f>
        <v/>
      </c>
      <c r="AB32" s="74" t="n">
        <v>0.0001</v>
      </c>
      <c r="AC32" s="75" t="n">
        <v>0.003</v>
      </c>
      <c r="AD32" s="76" t="n">
        <v>505.94</v>
      </c>
      <c r="AE32" s="158">
        <f>_xlfn.LET(_xlpm.New1YT,DataRT!$X32,        _xlpm.Old1YT,IF(ISNUMBER(DataRT!$AD32),DataRT!$AD32,VALUE(LEFT(DataRT!$AD32,FIND("/",DataRT!$AD32,1)-1))),       IF(OR(DataRT!$X32=0,_xlpm.Old1YT=0),0,(_xlpm.New1YT-_xlpm.Old1YT)/_xlpm.Old1YT))</f>
        <v/>
      </c>
      <c r="AF32" s="159">
        <f>TEXT(DataRT!$X32,"#,#0.00")&amp;" &lt; "&amp;DataRT!$AD32</f>
        <v/>
      </c>
    </row>
    <row r="33">
      <c r="A33" s="58">
        <f t="array" ref="A33">_xlfn.SINGLE(DataRT!$S$3:$S$96)&amp;_FV(DataRT!$C33,"Ticker symbol",TRUE)</f>
        <v/>
      </c>
      <c r="B33" s="58">
        <f>D99</f>
        <v/>
      </c>
      <c r="C33" s="68" t="e">
        <v>#VALUE!</v>
      </c>
      <c r="D33" s="60">
        <f t="array" ref="D33">_FV(DataRT!$C33,"Currency")</f>
        <v/>
      </c>
      <c r="E33" s="61">
        <f t="array" ref="E33">_FV(DataRT!$C33,"Last trade time",TRUE)</f>
        <v/>
      </c>
      <c r="F33" s="63">
        <f t="array" ref="F33">_FV(DataRT!$C33,"Previous close",TRUE)</f>
        <v/>
      </c>
      <c r="G33" s="63">
        <f t="array" ref="G33">IFERROR(_FV(DataRT!$C33,"Open"),DataRT!$F33)</f>
        <v/>
      </c>
      <c r="H33" s="63">
        <f t="array" ref="H33">_FV(DataRT!$C33,"Price")</f>
        <v/>
      </c>
      <c r="I33" s="63">
        <f t="array" ref="I33">IFERROR(_FV(DataRT!$C33,"Low"),0)</f>
        <v/>
      </c>
      <c r="J33" s="63">
        <f t="array" ref="J33">IFERROR(_FV(DataRT!$C33,"High"),0)</f>
        <v/>
      </c>
      <c r="K33" s="64">
        <f t="array" ref="K33">IFERROR(_FV(DataRT!$C33,"P/E",TRUE),99)</f>
        <v/>
      </c>
      <c r="L33" s="65">
        <f t="array" ref="L33">_FV(DataRT!$C33,"Change")</f>
        <v/>
      </c>
      <c r="M33" s="66">
        <f t="array" ref="M33">_FV(DataRT!$C33,"Change (%)",TRUE)</f>
        <v/>
      </c>
      <c r="N33" s="63">
        <f t="array" ref="N33">_FV(DataRT!$C33,"52 week low",TRUE)</f>
        <v/>
      </c>
      <c r="O33" s="63">
        <f t="array" ref="O33">_FV(DataRT!$C33,"52 week high",TRUE)</f>
        <v/>
      </c>
      <c r="P33" s="67">
        <f t="array" ref="P33">_FV(DataRT!$C33,"Volume")</f>
        <v/>
      </c>
      <c r="Q33" s="67">
        <f t="array" ref="Q33">_FV(DataRT!$C33,"Volume average",TRUE)</f>
        <v/>
      </c>
      <c r="R33" s="63">
        <f t="array" ref="R33">_FV(DataRT!$C33,"Beta")</f>
        <v/>
      </c>
      <c r="S33" s="68" t="n"/>
      <c r="T33" s="68" t="inlineStr">
        <is>
          <t>V</t>
        </is>
      </c>
      <c r="U33" s="68">
        <f t="array" ref="U33">_FV(DataRT!$C33,"Exchange abbreviation",TRUE)</f>
        <v/>
      </c>
      <c r="V33" s="70">
        <f>IFERROR(DataRT!$P33/DataRT!$Q33,1)</f>
        <v/>
      </c>
      <c r="W33" s="70" t="n"/>
      <c r="X33" s="88">
        <f>_xlfn.XLOOKUP(DataRT!$A33,TickerList!$G32:$G126,TickerList!L32:L126)</f>
        <v/>
      </c>
      <c r="Y33" s="157">
        <f>_xlfn.XLOOKUP(DataRT!$A33,TickerList!$G32:$G126,TickerList!M32:M126)</f>
        <v/>
      </c>
      <c r="Z33" s="157">
        <f>_xlfn.XLOOKUP(DataRT!$A33,TickerList!$G32:$G126,TickerList!N32:N126)</f>
        <v/>
      </c>
      <c r="AA33" s="73">
        <f>_xlfn.XLOOKUP(DataRT!$A33,TickerList!$G32:$G126,TickerList!O32:O126)</f>
        <v/>
      </c>
      <c r="AB33" s="74" t="n">
        <v>0.0001</v>
      </c>
      <c r="AC33" s="75" t="n">
        <v>0.003</v>
      </c>
      <c r="AD33" s="76" t="inlineStr">
        <is>
          <t>81.10/84.6</t>
        </is>
      </c>
      <c r="AE33" s="158">
        <f>_xlfn.LET(_xlpm.New1YT,DataRT!$X33,        _xlpm.Old1YT,IF(ISNUMBER(DataRT!$AD33),DataRT!$AD33,VALUE(LEFT(DataRT!$AD33,FIND("/",DataRT!$AD33,1)-1))),       IF(OR(DataRT!$X33=0,_xlpm.Old1YT=0),0,(_xlpm.New1YT-_xlpm.Old1YT)/_xlpm.Old1YT))</f>
        <v/>
      </c>
      <c r="AF33" s="159">
        <f>TEXT(DataRT!$X33,"#,#0.00")&amp;" &lt; "&amp;DataRT!$AD33</f>
        <v/>
      </c>
    </row>
    <row r="34">
      <c r="A34" s="78">
        <f t="array" ref="A34">_xlfn.SINGLE(DataRT!$S$3:$S$96)&amp;_FV(DataRT!$C34,"Ticker symbol",TRUE)</f>
        <v/>
      </c>
      <c r="B34" s="78">
        <f>D99</f>
        <v/>
      </c>
      <c r="C34" s="86" t="e">
        <v>#VALUE!</v>
      </c>
      <c r="D34" s="60">
        <f t="array" ref="D34">_FV(DataRT!$C34,"Currency")</f>
        <v/>
      </c>
      <c r="E34" s="80">
        <f t="array" ref="E34">_FV(DataRT!$C34,"Last trade time",TRUE)</f>
        <v/>
      </c>
      <c r="F34" s="81">
        <f t="array" ref="F34">_FV(DataRT!$C34,"Previous close",TRUE)</f>
        <v/>
      </c>
      <c r="G34" s="81">
        <f t="array" ref="G34">IFERROR(_FV(DataRT!$C34,"Open"),DataRT!$F34)</f>
        <v/>
      </c>
      <c r="H34" s="81">
        <f t="array" ref="H34">_FV(DataRT!$C34,"Price")</f>
        <v/>
      </c>
      <c r="I34" s="81">
        <f t="array" ref="I34">IFERROR(_FV(DataRT!$C34,"Low"),0)</f>
        <v/>
      </c>
      <c r="J34" s="81">
        <f t="array" ref="J34">IFERROR(_FV(DataRT!$C34,"High"),0)</f>
        <v/>
      </c>
      <c r="K34" s="82">
        <f t="array" ref="K34">IFERROR(_FV(DataRT!$C34,"P/E",TRUE),99)</f>
        <v/>
      </c>
      <c r="L34" s="83">
        <f t="array" ref="L34">_FV(DataRT!$C34,"Change")</f>
        <v/>
      </c>
      <c r="M34" s="84">
        <f t="array" ref="M34">_FV(DataRT!$C34,"Change (%)",TRUE)</f>
        <v/>
      </c>
      <c r="N34" s="81">
        <f t="array" ref="N34">_FV(DataRT!$C34,"52 week low",TRUE)</f>
        <v/>
      </c>
      <c r="O34" s="81">
        <f t="array" ref="O34">_FV(DataRT!$C34,"52 week high",TRUE)</f>
        <v/>
      </c>
      <c r="P34" s="85">
        <f t="array" ref="P34">_FV(DataRT!$C34,"Volume")</f>
        <v/>
      </c>
      <c r="Q34" s="85">
        <f t="array" ref="Q34">_FV(DataRT!$C34,"Volume average",TRUE)</f>
        <v/>
      </c>
      <c r="R34" s="81">
        <f t="array" ref="R34">_FV(DataRT!$C34,"Beta")</f>
        <v/>
      </c>
      <c r="S34" s="86" t="n"/>
      <c r="T34" s="86" t="inlineStr">
        <is>
          <t>V</t>
        </is>
      </c>
      <c r="U34" s="86">
        <f t="array" ref="U34">_FV(DataRT!$C34,"Exchange abbreviation",TRUE)</f>
        <v/>
      </c>
      <c r="V34" s="87">
        <f>IFERROR(DataRT!$P34/DataRT!$Q34,1)</f>
        <v/>
      </c>
      <c r="W34" s="87" t="n"/>
      <c r="X34" s="88">
        <f>_xlfn.XLOOKUP(DataRT!$A34,TickerList!$G33:$G127,TickerList!L33:L127)</f>
        <v/>
      </c>
      <c r="Y34" s="157">
        <f>_xlfn.XLOOKUP(DataRT!$A34,TickerList!$G33:$G127,TickerList!M33:M127)</f>
        <v/>
      </c>
      <c r="Z34" s="157">
        <f>_xlfn.XLOOKUP(DataRT!$A34,TickerList!$G33:$G127,TickerList!N33:N127)</f>
        <v/>
      </c>
      <c r="AA34" s="73">
        <f>_xlfn.XLOOKUP(DataRT!$A34,TickerList!$G33:$G127,TickerList!O33:O127)</f>
        <v/>
      </c>
      <c r="AB34" s="74" t="n">
        <v>0.0001</v>
      </c>
      <c r="AC34" s="75" t="n">
        <v>0.003</v>
      </c>
      <c r="AD34" s="76" t="n">
        <v>59.51</v>
      </c>
      <c r="AE34" s="158">
        <f>_xlfn.LET(_xlpm.New1YT,DataRT!$X34,        _xlpm.Old1YT,IF(ISNUMBER(DataRT!$AD34),DataRT!$AD34,VALUE(LEFT(DataRT!$AD34,FIND("/",DataRT!$AD34,1)-1))),       IF(OR(DataRT!$X34=0,_xlpm.Old1YT=0),0,(_xlpm.New1YT-_xlpm.Old1YT)/_xlpm.Old1YT))</f>
        <v/>
      </c>
      <c r="AF34" s="159">
        <f>TEXT(DataRT!$X34,"#,#0.00")&amp;" &lt; "&amp;DataRT!$AD34</f>
        <v/>
      </c>
    </row>
    <row r="35">
      <c r="A35" s="58">
        <f t="array" ref="A35">_xlfn.SINGLE(DataRT!$S$3:$S$96)&amp;_FV(DataRT!$C35,"Ticker symbol",TRUE)</f>
        <v/>
      </c>
      <c r="B35" s="58">
        <f>D99</f>
        <v/>
      </c>
      <c r="C35" s="68" t="e">
        <v>#VALUE!</v>
      </c>
      <c r="D35" s="60">
        <f t="array" ref="D35">_FV(DataRT!$C35,"Currency")</f>
        <v/>
      </c>
      <c r="E35" s="61">
        <f t="array" ref="E35">_FV(DataRT!$C35,"Last trade time",TRUE)</f>
        <v/>
      </c>
      <c r="F35" s="63">
        <f t="array" ref="F35">_FV(DataRT!$C35,"Previous close",TRUE)</f>
        <v/>
      </c>
      <c r="G35" s="63">
        <f t="array" ref="G35">IFERROR(_FV(DataRT!$C35,"Open"),DataRT!$F35)</f>
        <v/>
      </c>
      <c r="H35" s="63">
        <f t="array" ref="H35">_FV(DataRT!$C35,"Price")</f>
        <v/>
      </c>
      <c r="I35" s="63">
        <f t="array" ref="I35">IFERROR(_FV(DataRT!$C35,"Low"),0)</f>
        <v/>
      </c>
      <c r="J35" s="63">
        <f t="array" ref="J35">IFERROR(_FV(DataRT!$C35,"High"),0)</f>
        <v/>
      </c>
      <c r="K35" s="64">
        <f t="array" ref="K35">IFERROR(_FV(DataRT!$C35,"P/E",TRUE),99)</f>
        <v/>
      </c>
      <c r="L35" s="65">
        <f t="array" ref="L35">_FV(DataRT!$C35,"Change")</f>
        <v/>
      </c>
      <c r="M35" s="66">
        <f t="array" ref="M35">_FV(DataRT!$C35,"Change (%)",TRUE)</f>
        <v/>
      </c>
      <c r="N35" s="63">
        <f t="array" ref="N35">_FV(DataRT!$C35,"52 week low",TRUE)</f>
        <v/>
      </c>
      <c r="O35" s="63">
        <f t="array" ref="O35">_FV(DataRT!$C35,"52 week high",TRUE)</f>
        <v/>
      </c>
      <c r="P35" s="67">
        <f t="array" ref="P35">_FV(DataRT!$C35,"Volume")</f>
        <v/>
      </c>
      <c r="Q35" s="67">
        <f t="array" ref="Q35">_FV(DataRT!$C35,"Volume average",TRUE)</f>
        <v/>
      </c>
      <c r="R35" s="63">
        <f t="array" ref="R35">_FV(DataRT!$C35,"Beta")</f>
        <v/>
      </c>
      <c r="S35" s="68" t="n"/>
      <c r="T35" s="68" t="inlineStr">
        <is>
          <t>V</t>
        </is>
      </c>
      <c r="U35" s="68">
        <f t="array" ref="U35">_FV(DataRT!$C35,"Exchange abbreviation",TRUE)</f>
        <v/>
      </c>
      <c r="V35" s="70">
        <f>IFERROR(DataRT!$P35/DataRT!$Q35,1)</f>
        <v/>
      </c>
      <c r="W35" s="70" t="n"/>
      <c r="X35" s="88">
        <f>_xlfn.XLOOKUP(DataRT!$A35,TickerList!$G34:$G128,TickerList!L34:L128)</f>
        <v/>
      </c>
      <c r="Y35" s="157">
        <f>_xlfn.XLOOKUP(DataRT!$A35,TickerList!$G34:$G128,TickerList!M34:M128)</f>
        <v/>
      </c>
      <c r="Z35" s="157">
        <f>_xlfn.XLOOKUP(DataRT!$A35,TickerList!$G34:$G128,TickerList!N34:N128)</f>
        <v/>
      </c>
      <c r="AA35" s="73">
        <f>_xlfn.XLOOKUP(DataRT!$A35,TickerList!$G34:$G128,TickerList!O34:O128)</f>
        <v/>
      </c>
      <c r="AB35" s="74" t="n">
        <v>0.0001</v>
      </c>
      <c r="AC35" s="75" t="n">
        <v>0.003</v>
      </c>
      <c r="AD35" s="76" t="n">
        <v>764.34</v>
      </c>
      <c r="AE35" s="158">
        <f>_xlfn.LET(_xlpm.New1YT,DataRT!$X35,        _xlpm.Old1YT,IF(ISNUMBER(DataRT!$AD35),DataRT!$AD35,VALUE(LEFT(DataRT!$AD35,FIND("/",DataRT!$AD35,1)-1))),       IF(OR(DataRT!$X35=0,_xlpm.Old1YT=0),0,(_xlpm.New1YT-_xlpm.Old1YT)/_xlpm.Old1YT))</f>
        <v/>
      </c>
      <c r="AF35" s="159">
        <f>TEXT(DataRT!$X35,"#,#0.00")&amp;" &lt; "&amp;DataRT!$AD35</f>
        <v/>
      </c>
    </row>
    <row r="36">
      <c r="A36" s="96">
        <f t="array" ref="A36">_xlfn.SINGLE(DataRT!$S$3:$S$96)&amp;_FV(DataRT!$C36,"Ticker symbol",TRUE)</f>
        <v/>
      </c>
      <c r="B36" s="96">
        <f>D99</f>
        <v/>
      </c>
      <c r="C36" s="86" t="e">
        <v>#VALUE!</v>
      </c>
      <c r="D36" s="60">
        <f t="array" ref="D36">_FV(DataRT!$C36,"Currency")</f>
        <v/>
      </c>
      <c r="E36" s="80">
        <f t="array" ref="E36">_FV(DataRT!$C36,"Last trade time",TRUE)</f>
        <v/>
      </c>
      <c r="F36" s="81">
        <f t="array" ref="F36">_FV(DataRT!$C36,"Previous close",TRUE)</f>
        <v/>
      </c>
      <c r="G36" s="81">
        <f t="array" ref="G36">IFERROR(_FV(DataRT!$C36,"Open"),DataRT!$F36)</f>
        <v/>
      </c>
      <c r="H36" s="81">
        <f t="array" ref="H36">_FV(DataRT!$C36,"Price")</f>
        <v/>
      </c>
      <c r="I36" s="81">
        <f t="array" ref="I36">IFERROR(_FV(DataRT!$C36,"Low"),0)</f>
        <v/>
      </c>
      <c r="J36" s="81">
        <f t="array" ref="J36">IFERROR(_FV(DataRT!$C36,"High"),0)</f>
        <v/>
      </c>
      <c r="K36" s="82">
        <f t="array" ref="K36">IFERROR(_FV(DataRT!$C36,"P/E",TRUE),99)</f>
        <v/>
      </c>
      <c r="L36" s="83">
        <f t="array" ref="L36">_FV(DataRT!$C36,"Change")</f>
        <v/>
      </c>
      <c r="M36" s="84">
        <f t="array" ref="M36">_FV(DataRT!$C36,"Change (%)",TRUE)</f>
        <v/>
      </c>
      <c r="N36" s="81">
        <f t="array" ref="N36">_FV(DataRT!$C36,"52 week low",TRUE)</f>
        <v/>
      </c>
      <c r="O36" s="81">
        <f t="array" ref="O36">_FV(DataRT!$C36,"52 week high",TRUE)</f>
        <v/>
      </c>
      <c r="P36" s="85">
        <f t="array" ref="P36">_FV(DataRT!$C36,"Volume")</f>
        <v/>
      </c>
      <c r="Q36" s="85">
        <f t="array" ref="Q36">_FV(DataRT!$C36,"Volume average",TRUE)</f>
        <v/>
      </c>
      <c r="R36" s="81">
        <f t="array" ref="R36">_FV(DataRT!$C36,"Beta")</f>
        <v/>
      </c>
      <c r="S36" s="86" t="n"/>
      <c r="T36" s="86" t="inlineStr">
        <is>
          <t>V</t>
        </is>
      </c>
      <c r="U36" s="86">
        <f t="array" ref="U36">_FV(DataRT!$C36,"Exchange abbreviation",TRUE)</f>
        <v/>
      </c>
      <c r="V36" s="87">
        <f>IFERROR(DataRT!$P36/DataRT!$Q36,1)</f>
        <v/>
      </c>
      <c r="W36" s="87" t="n"/>
      <c r="X36" s="88">
        <f>_xlfn.XLOOKUP(DataRT!$A36,TickerList!$G35:$G129,TickerList!L35:L129)</f>
        <v/>
      </c>
      <c r="Y36" s="157">
        <f>_xlfn.XLOOKUP(DataRT!$A36,TickerList!$G35:$G129,TickerList!M35:M129)</f>
        <v/>
      </c>
      <c r="Z36" s="157">
        <f>_xlfn.XLOOKUP(DataRT!$A36,TickerList!$G35:$G129,TickerList!N35:N129)</f>
        <v/>
      </c>
      <c r="AA36" s="73">
        <f>_xlfn.XLOOKUP(DataRT!$A36,TickerList!$G35:$G129,TickerList!O35:O129)</f>
        <v/>
      </c>
      <c r="AB36" s="74" t="n">
        <v>0.0001</v>
      </c>
      <c r="AC36" s="75" t="n">
        <v>0.003</v>
      </c>
      <c r="AD36" s="76" t="n">
        <v>31.5</v>
      </c>
      <c r="AE36" s="158">
        <f>_xlfn.LET(_xlpm.New1YT,DataRT!$X36,        _xlpm.Old1YT,IF(ISNUMBER(DataRT!$AD36),DataRT!$AD36,VALUE(LEFT(DataRT!$AD36,FIND("/",DataRT!$AD36,1)-1))),       IF(OR(DataRT!$X36=0,_xlpm.Old1YT=0),0,(_xlpm.New1YT-_xlpm.Old1YT)/_xlpm.Old1YT))</f>
        <v/>
      </c>
      <c r="AF36" s="159">
        <f>TEXT(DataRT!$X36,"#,#0.00")&amp;" &lt; "&amp;DataRT!$AD36</f>
        <v/>
      </c>
    </row>
    <row r="37">
      <c r="A37" s="58">
        <f t="array" ref="A37">_xlfn.SINGLE(DataRT!$S$3:$S$96)&amp;_FV(DataRT!$C37,"Ticker symbol",TRUE)</f>
        <v/>
      </c>
      <c r="B37" s="58">
        <f>D99</f>
        <v/>
      </c>
      <c r="C37" s="68" t="e">
        <v>#VALUE!</v>
      </c>
      <c r="D37" s="60">
        <f t="array" ref="D37">_FV(DataRT!$C37,"Currency")</f>
        <v/>
      </c>
      <c r="E37" s="61">
        <f t="array" ref="E37">_FV(DataRT!$C37,"Last trade time",TRUE)</f>
        <v/>
      </c>
      <c r="F37" s="63">
        <f t="array" ref="F37">_FV(DataRT!$C37,"Previous close",TRUE)</f>
        <v/>
      </c>
      <c r="G37" s="63">
        <f t="array" ref="G37">IFERROR(_FV(DataRT!$C37,"Open"),DataRT!$F37)</f>
        <v/>
      </c>
      <c r="H37" s="63">
        <f t="array" ref="H37">_FV(DataRT!$C37,"Price")</f>
        <v/>
      </c>
      <c r="I37" s="63">
        <f t="array" ref="I37">IFERROR(_FV(DataRT!$C37,"Low"),0)</f>
        <v/>
      </c>
      <c r="J37" s="63">
        <f t="array" ref="J37">IFERROR(_FV(DataRT!$C37,"High"),0)</f>
        <v/>
      </c>
      <c r="K37" s="64">
        <f t="array" ref="K37">IFERROR(_FV(DataRT!$C37,"P/E",TRUE),99)</f>
        <v/>
      </c>
      <c r="L37" s="65">
        <f t="array" ref="L37">_FV(DataRT!$C37,"Change")</f>
        <v/>
      </c>
      <c r="M37" s="66">
        <f t="array" ref="M37">_FV(DataRT!$C37,"Change (%)",TRUE)</f>
        <v/>
      </c>
      <c r="N37" s="63">
        <f t="array" ref="N37">_FV(DataRT!$C37,"52 week low",TRUE)</f>
        <v/>
      </c>
      <c r="O37" s="63">
        <f t="array" ref="O37">_FV(DataRT!$C37,"52 week high",TRUE)</f>
        <v/>
      </c>
      <c r="P37" s="67">
        <f t="array" ref="P37">_FV(DataRT!$C37,"Volume")</f>
        <v/>
      </c>
      <c r="Q37" s="67">
        <f t="array" ref="Q37">_FV(DataRT!$C37,"Volume average",TRUE)</f>
        <v/>
      </c>
      <c r="R37" s="63">
        <f t="array" ref="R37">_FV(DataRT!$C37,"Beta")</f>
        <v/>
      </c>
      <c r="S37" s="68" t="n"/>
      <c r="T37" s="68" t="inlineStr">
        <is>
          <t>V</t>
        </is>
      </c>
      <c r="U37" s="68">
        <f t="array" ref="U37">_FV(DataRT!$C37,"Exchange abbreviation",TRUE)</f>
        <v/>
      </c>
      <c r="V37" s="70">
        <f>IFERROR(DataRT!$P37/DataRT!$Q37,1)</f>
        <v/>
      </c>
      <c r="W37" s="70" t="n"/>
      <c r="X37" s="88">
        <f>_xlfn.XLOOKUP(DataRT!$A37,TickerList!$G36:$G130,TickerList!L36:L130)</f>
        <v/>
      </c>
      <c r="Y37" s="157">
        <f>_xlfn.XLOOKUP(DataRT!$A37,TickerList!$G36:$G130,TickerList!M36:M130)</f>
        <v/>
      </c>
      <c r="Z37" s="157">
        <f>_xlfn.XLOOKUP(DataRT!$A37,TickerList!$G36:$G130,TickerList!N36:N130)</f>
        <v/>
      </c>
      <c r="AA37" s="73">
        <f>_xlfn.XLOOKUP(DataRT!$A37,TickerList!$G36:$G130,TickerList!O36:O130)</f>
        <v/>
      </c>
      <c r="AB37" s="74" t="n">
        <v>0.0001</v>
      </c>
      <c r="AC37" s="75" t="n">
        <v>0.003</v>
      </c>
      <c r="AD37" s="76" t="n">
        <v>36.49</v>
      </c>
      <c r="AE37" s="158">
        <f>_xlfn.LET(_xlpm.New1YT,DataRT!$X37,        _xlpm.Old1YT,IF(ISNUMBER(DataRT!$AD37),DataRT!$AD37,VALUE(LEFT(DataRT!$AD37,FIND("/",DataRT!$AD37,1)-1))),       IF(OR(DataRT!$X37=0,_xlpm.Old1YT=0),0,(_xlpm.New1YT-_xlpm.Old1YT)/_xlpm.Old1YT))</f>
        <v/>
      </c>
      <c r="AF37" s="159">
        <f>TEXT(DataRT!$X37,"#,#0.00")&amp;" &lt; "&amp;DataRT!$AD37</f>
        <v/>
      </c>
    </row>
    <row r="38">
      <c r="A38" s="78">
        <f t="array" ref="A38">_xlfn.SINGLE(DataRT!$S$3:$S$96)&amp;_FV(DataRT!$C38,"Ticker symbol",TRUE)</f>
        <v/>
      </c>
      <c r="B38" s="78">
        <f>D99</f>
        <v/>
      </c>
      <c r="C38" s="86" t="e">
        <v>#VALUE!</v>
      </c>
      <c r="D38" s="60">
        <f t="array" ref="D38">_FV(DataRT!$C38,"Currency")</f>
        <v/>
      </c>
      <c r="E38" s="80">
        <f t="array" ref="E38">_FV(DataRT!$C38,"Last trade time",TRUE)</f>
        <v/>
      </c>
      <c r="F38" s="81">
        <f t="array" ref="F38">_FV(DataRT!$C38,"Previous close",TRUE)</f>
        <v/>
      </c>
      <c r="G38" s="81">
        <f t="array" ref="G38">IFERROR(_FV(DataRT!$C38,"Open"),DataRT!$F38)</f>
        <v/>
      </c>
      <c r="H38" s="81">
        <f t="array" ref="H38">_FV(DataRT!$C38,"Price")</f>
        <v/>
      </c>
      <c r="I38" s="81">
        <f t="array" ref="I38">IFERROR(_FV(DataRT!$C38,"Low"),0)</f>
        <v/>
      </c>
      <c r="J38" s="81">
        <f t="array" ref="J38">IFERROR(_FV(DataRT!$C38,"High"),0)</f>
        <v/>
      </c>
      <c r="K38" s="82">
        <f t="array" ref="K38">IFERROR(_FV(DataRT!$C38,"P/E",TRUE),99)</f>
        <v/>
      </c>
      <c r="L38" s="83">
        <f t="array" ref="L38">_FV(DataRT!$C38,"Change")</f>
        <v/>
      </c>
      <c r="M38" s="84">
        <f t="array" ref="M38">_FV(DataRT!$C38,"Change (%)",TRUE)</f>
        <v/>
      </c>
      <c r="N38" s="81">
        <f t="array" ref="N38">_FV(DataRT!$C38,"52 week low",TRUE)</f>
        <v/>
      </c>
      <c r="O38" s="81">
        <f t="array" ref="O38">_FV(DataRT!$C38,"52 week high",TRUE)</f>
        <v/>
      </c>
      <c r="P38" s="85">
        <f t="array" ref="P38">_FV(DataRT!$C38,"Volume")</f>
        <v/>
      </c>
      <c r="Q38" s="85">
        <f t="array" ref="Q38">_FV(DataRT!$C38,"Volume average",TRUE)</f>
        <v/>
      </c>
      <c r="R38" s="81">
        <f t="array" ref="R38">_FV(DataRT!$C38,"Beta")</f>
        <v/>
      </c>
      <c r="S38" s="86" t="n"/>
      <c r="T38" s="86" t="inlineStr">
        <is>
          <t>V</t>
        </is>
      </c>
      <c r="U38" s="86">
        <f t="array" ref="U38">_FV(DataRT!$C38,"Exchange abbreviation",TRUE)</f>
        <v/>
      </c>
      <c r="V38" s="87">
        <f>IFERROR(DataRT!$P38/DataRT!$Q38,1)</f>
        <v/>
      </c>
      <c r="W38" s="87" t="n"/>
      <c r="X38" s="88">
        <f>_xlfn.XLOOKUP(DataRT!$A38,TickerList!$G37:$G131,TickerList!L37:L131)</f>
        <v/>
      </c>
      <c r="Y38" s="157">
        <f>_xlfn.XLOOKUP(DataRT!$A38,TickerList!$G37:$G131,TickerList!M37:M131)</f>
        <v/>
      </c>
      <c r="Z38" s="157">
        <f>_xlfn.XLOOKUP(DataRT!$A38,TickerList!$G37:$G131,TickerList!N37:N131)</f>
        <v/>
      </c>
      <c r="AA38" s="73">
        <f>_xlfn.XLOOKUP(DataRT!$A38,TickerList!$G37:$G131,TickerList!O37:O131)</f>
        <v/>
      </c>
      <c r="AB38" s="74" t="n">
        <v>0.0001</v>
      </c>
      <c r="AC38" s="75" t="n">
        <v>0.003</v>
      </c>
      <c r="AD38" s="76" t="n">
        <v>15.17</v>
      </c>
      <c r="AE38" s="158">
        <f>_xlfn.LET(_xlpm.New1YT,DataRT!$X38,        _xlpm.Old1YT,IF(ISNUMBER(DataRT!$AD38),DataRT!$AD38,VALUE(LEFT(DataRT!$AD38,FIND("/",DataRT!$AD38,1)-1))),       IF(OR(DataRT!$X38=0,_xlpm.Old1YT=0),0,(_xlpm.New1YT-_xlpm.Old1YT)/_xlpm.Old1YT))</f>
        <v/>
      </c>
      <c r="AF38" s="159">
        <f>TEXT(DataRT!$X38,"#,#0.00")&amp;" &lt; "&amp;DataRT!$AD38</f>
        <v/>
      </c>
    </row>
    <row r="39">
      <c r="A39" s="58">
        <f t="array" ref="A39">_xlfn.SINGLE(DataRT!$S$3:$S$96)&amp;_FV(DataRT!$C39,"Ticker symbol",TRUE)</f>
        <v/>
      </c>
      <c r="B39" s="58">
        <f>D103</f>
        <v/>
      </c>
      <c r="C39" s="68" t="e">
        <v>#VALUE!</v>
      </c>
      <c r="D39" s="60">
        <f t="array" ref="D39">_FV(DataRT!$C39,"Currency")</f>
        <v/>
      </c>
      <c r="E39" s="61">
        <f t="array" ref="E39">_FV(DataRT!$C39,"Last trade time",TRUE)</f>
        <v/>
      </c>
      <c r="F39" s="163">
        <f t="array" ref="F39">_FV(DataRT!$C39,"Previous close",TRUE)</f>
        <v/>
      </c>
      <c r="G39" s="163">
        <f t="array" ref="G39">IFERROR(_FV(DataRT!$C39,"Open"),DataRT!$F39)</f>
        <v/>
      </c>
      <c r="H39" s="163">
        <f t="array" ref="H39">_FV(DataRT!$C39,"Price")</f>
        <v/>
      </c>
      <c r="I39" s="163">
        <f t="array" ref="I39">IFERROR(_FV(DataRT!$C39,"Low"),0)</f>
        <v/>
      </c>
      <c r="J39" s="163">
        <f t="array" ref="J39">IFERROR(_FV(DataRT!$C39,"High"),0)</f>
        <v/>
      </c>
      <c r="K39" s="64">
        <f t="array" ref="K39">IFERROR(_FV(DataRT!$C39,"P/E",TRUE),99)</f>
        <v/>
      </c>
      <c r="L39" s="65">
        <f t="array" ref="L39">_FV(DataRT!$C39,"Change")</f>
        <v/>
      </c>
      <c r="M39" s="66">
        <f t="array" ref="M39">_FV(DataRT!$C39,"Change (%)",TRUE)</f>
        <v/>
      </c>
      <c r="N39" s="163">
        <f t="array" ref="N39">_FV(DataRT!$C39,"52 week low",TRUE)</f>
        <v/>
      </c>
      <c r="O39" s="163">
        <f t="array" ref="O39">_FV(DataRT!$C39,"52 week high",TRUE)</f>
        <v/>
      </c>
      <c r="P39" s="67">
        <f t="array" ref="P39">_FV(DataRT!$C39,"Volume")</f>
        <v/>
      </c>
      <c r="Q39" s="67">
        <f t="array" ref="Q39">_FV(DataRT!$C39,"Volume average",TRUE)</f>
        <v/>
      </c>
      <c r="R39" s="63">
        <f t="array" ref="R39">_FV(DataRT!$C39,"Beta")</f>
        <v/>
      </c>
      <c r="S39" s="68" t="n"/>
      <c r="T39" s="68" t="inlineStr">
        <is>
          <t>V</t>
        </is>
      </c>
      <c r="U39" s="68">
        <f t="array" ref="U39">_FV(DataRT!$C39,"Exchange abbreviation",TRUE)</f>
        <v/>
      </c>
      <c r="V39" s="70">
        <f>IFERROR(DataRT!$P39/DataRT!$Q39,1)</f>
        <v/>
      </c>
      <c r="W39" s="70" t="n"/>
      <c r="X39" s="88">
        <f>_xlfn.XLOOKUP(DataRT!$A39,TickerList!$G38:$G132,TickerList!L38:L132)</f>
        <v/>
      </c>
      <c r="Y39" s="157">
        <f>_xlfn.XLOOKUP(DataRT!$A39,TickerList!$G38:$G132,TickerList!M38:M132)</f>
        <v/>
      </c>
      <c r="Z39" s="157">
        <f>_xlfn.XLOOKUP(DataRT!$A39,TickerList!$G38:$G132,TickerList!N38:N132)</f>
        <v/>
      </c>
      <c r="AA39" s="73">
        <f>_xlfn.XLOOKUP(DataRT!$A39,TickerList!$G38:$G132,TickerList!O38:O132)</f>
        <v/>
      </c>
      <c r="AB39" s="74" t="n">
        <v>0.0001</v>
      </c>
      <c r="AC39" s="75" t="n">
        <v>0.003</v>
      </c>
      <c r="AD39" s="76" t="n">
        <v>4.3</v>
      </c>
      <c r="AE39" s="158">
        <f>_xlfn.LET(_xlpm.New1YT,DataRT!$X39,        _xlpm.Old1YT,IF(ISNUMBER(DataRT!$AD39),DataRT!$AD39,VALUE(LEFT(DataRT!$AD39,FIND("/",DataRT!$AD39,1)-1))),       IF(OR(DataRT!$X39=0,_xlpm.Old1YT=0),0,(_xlpm.New1YT-_xlpm.Old1YT)/_xlpm.Old1YT))</f>
        <v/>
      </c>
      <c r="AF39" s="159">
        <f>TEXT(DataRT!$X39,"#,#0.00")&amp;" &lt; "&amp;DataRT!$AD39</f>
        <v/>
      </c>
    </row>
    <row r="40">
      <c r="A40" s="78">
        <f t="array" ref="A40">_xlfn.SINGLE(DataRT!$S$3:$S$96)&amp;_FV(DataRT!$C40,"Ticker symbol",TRUE)</f>
        <v/>
      </c>
      <c r="B40" s="78">
        <f>D99</f>
        <v/>
      </c>
      <c r="C40" s="86" t="e">
        <v>#VALUE!</v>
      </c>
      <c r="D40" s="60">
        <f t="array" ref="D40">_FV(DataRT!$C40,"Currency")</f>
        <v/>
      </c>
      <c r="E40" s="80">
        <f t="array" ref="E40">_FV(DataRT!$C40,"Last trade time",TRUE)</f>
        <v/>
      </c>
      <c r="F40" s="81">
        <f t="array" ref="F40">_FV(DataRT!$C40,"Previous close",TRUE)</f>
        <v/>
      </c>
      <c r="G40" s="81">
        <f t="array" ref="G40">IFERROR(_FV(DataRT!$C40,"Open"),DataRT!$F40)</f>
        <v/>
      </c>
      <c r="H40" s="81">
        <f t="array" ref="H40">_FV(DataRT!$C40,"Price")</f>
        <v/>
      </c>
      <c r="I40" s="81">
        <f t="array" ref="I40">IFERROR(_FV(DataRT!$C40,"Low"),0)</f>
        <v/>
      </c>
      <c r="J40" s="81">
        <f t="array" ref="J40">IFERROR(_FV(DataRT!$C40,"High"),0)</f>
        <v/>
      </c>
      <c r="K40" s="82">
        <f t="array" ref="K40">IFERROR(_FV(DataRT!$C40,"P/E",TRUE),99)</f>
        <v/>
      </c>
      <c r="L40" s="83">
        <f t="array" ref="L40">_FV(DataRT!$C40,"Change")</f>
        <v/>
      </c>
      <c r="M40" s="84">
        <f t="array" ref="M40">_FV(DataRT!$C40,"Change (%)",TRUE)</f>
        <v/>
      </c>
      <c r="N40" s="81">
        <f t="array" ref="N40">_FV(DataRT!$C40,"52 week low",TRUE)</f>
        <v/>
      </c>
      <c r="O40" s="81">
        <f t="array" ref="O40">_FV(DataRT!$C40,"52 week high",TRUE)</f>
        <v/>
      </c>
      <c r="P40" s="85">
        <f t="array" ref="P40">_FV(DataRT!$C40,"Volume")</f>
        <v/>
      </c>
      <c r="Q40" s="85">
        <f t="array" ref="Q40">_FV(DataRT!$C40,"Volume average",TRUE)</f>
        <v/>
      </c>
      <c r="R40" s="81">
        <f t="array" ref="R40">_FV(DataRT!$C40,"Beta")</f>
        <v/>
      </c>
      <c r="S40" s="86" t="n"/>
      <c r="T40" s="86" t="inlineStr">
        <is>
          <t>V</t>
        </is>
      </c>
      <c r="U40" s="86">
        <f t="array" ref="U40">_FV(DataRT!$C40,"Exchange abbreviation",TRUE)</f>
        <v/>
      </c>
      <c r="V40" s="87">
        <f>IFERROR(DataRT!$P40/DataRT!$Q40,1)</f>
        <v/>
      </c>
      <c r="W40" s="87" t="n"/>
      <c r="X40" s="88">
        <f>_xlfn.XLOOKUP(DataRT!$A40,TickerList!$G39:$G133,TickerList!L39:L133)</f>
        <v/>
      </c>
      <c r="Y40" s="157">
        <f>_xlfn.XLOOKUP(DataRT!$A40,TickerList!$G39:$G133,TickerList!M39:M133)</f>
        <v/>
      </c>
      <c r="Z40" s="157">
        <f>_xlfn.XLOOKUP(DataRT!$A40,TickerList!$G39:$G133,TickerList!N39:N133)</f>
        <v/>
      </c>
      <c r="AA40" s="73">
        <f>_xlfn.XLOOKUP(DataRT!$A40,TickerList!$G39:$G133,TickerList!O39:O133)</f>
        <v/>
      </c>
      <c r="AB40" s="74" t="n">
        <v>0.0001</v>
      </c>
      <c r="AC40" s="75" t="n">
        <v>0.003</v>
      </c>
      <c r="AD40" s="76" t="n">
        <v>0.5600000000000001</v>
      </c>
      <c r="AE40" s="158">
        <f>_xlfn.LET(_xlpm.New1YT,DataRT!$X40,        _xlpm.Old1YT,IF(ISNUMBER(DataRT!$AD40),DataRT!$AD40,VALUE(LEFT(DataRT!$AD40,FIND("/",DataRT!$AD40,1)-1))),       IF(OR(DataRT!$X40=0,_xlpm.Old1YT=0),0,(_xlpm.New1YT-_xlpm.Old1YT)/_xlpm.Old1YT))</f>
        <v/>
      </c>
      <c r="AF40" s="159">
        <f>TEXT(DataRT!$X40,"#,#0.00")&amp;" &lt; "&amp;DataRT!$AD40</f>
        <v/>
      </c>
    </row>
    <row r="41">
      <c r="A41" s="58">
        <f t="array" ref="A41">_xlfn.SINGLE(DataRT!$S$3:$S$96)&amp;_FV(DataRT!$C41,"Ticker symbol",TRUE)</f>
        <v/>
      </c>
      <c r="B41" s="58">
        <f>D99</f>
        <v/>
      </c>
      <c r="C41" s="68" t="e">
        <v>#VALUE!</v>
      </c>
      <c r="D41" s="60">
        <f t="array" ref="D41">_FV(DataRT!$C41,"Currency")</f>
        <v/>
      </c>
      <c r="E41" s="61">
        <f t="array" ref="E41">_FV(DataRT!$C41,"Last trade time",TRUE)</f>
        <v/>
      </c>
      <c r="F41" s="63">
        <f t="array" ref="F41">_FV(DataRT!$C41,"Previous close",TRUE)</f>
        <v/>
      </c>
      <c r="G41" s="63">
        <f t="array" ref="G41">IFERROR(_FV(DataRT!$C41,"Open"),DataRT!$F41)</f>
        <v/>
      </c>
      <c r="H41" s="63">
        <f t="array" ref="H41">_FV(DataRT!$C41,"Price")</f>
        <v/>
      </c>
      <c r="I41" s="63">
        <f t="array" ref="I41">IFERROR(_FV(DataRT!$C41,"Low"),0)</f>
        <v/>
      </c>
      <c r="J41" s="63">
        <f t="array" ref="J41">IFERROR(_FV(DataRT!$C41,"High"),0)</f>
        <v/>
      </c>
      <c r="K41" s="64">
        <f t="array" ref="K41">IFERROR(_FV(DataRT!$C41,"P/E",TRUE),99)</f>
        <v/>
      </c>
      <c r="L41" s="65">
        <f t="array" ref="L41">_FV(DataRT!$C41,"Change")</f>
        <v/>
      </c>
      <c r="M41" s="66">
        <f t="array" ref="M41">_FV(DataRT!$C41,"Change (%)",TRUE)</f>
        <v/>
      </c>
      <c r="N41" s="63">
        <f t="array" ref="N41">_FV(DataRT!$C41,"52 week low",TRUE)</f>
        <v/>
      </c>
      <c r="O41" s="63">
        <f t="array" ref="O41">_FV(DataRT!$C41,"52 week high",TRUE)</f>
        <v/>
      </c>
      <c r="P41" s="67">
        <f t="array" ref="P41">_FV(DataRT!$C41,"Volume")</f>
        <v/>
      </c>
      <c r="Q41" s="67">
        <f t="array" ref="Q41">_FV(DataRT!$C41,"Volume average",TRUE)</f>
        <v/>
      </c>
      <c r="R41" s="63">
        <f t="array" ref="R41">_FV(DataRT!$C41,"Beta")</f>
        <v/>
      </c>
      <c r="S41" s="68" t="n"/>
      <c r="T41" s="68" t="inlineStr">
        <is>
          <t>V</t>
        </is>
      </c>
      <c r="U41" s="68">
        <f t="array" ref="U41">_FV(DataRT!$C41,"Exchange abbreviation",TRUE)</f>
        <v/>
      </c>
      <c r="V41" s="70">
        <f>IFERROR(DataRT!$P41/DataRT!$Q41,1)</f>
        <v/>
      </c>
      <c r="W41" s="70" t="n"/>
      <c r="X41" s="88">
        <f>_xlfn.XLOOKUP(DataRT!$A41,TickerList!$G40:$G134,TickerList!L40:L134)</f>
        <v/>
      </c>
      <c r="Y41" s="157">
        <f>_xlfn.XLOOKUP(DataRT!$A41,TickerList!$G40:$G134,TickerList!M40:M134)</f>
        <v/>
      </c>
      <c r="Z41" s="157">
        <f>_xlfn.XLOOKUP(DataRT!$A41,TickerList!$G40:$G134,TickerList!N40:N134)</f>
        <v/>
      </c>
      <c r="AA41" s="73">
        <f>_xlfn.XLOOKUP(DataRT!$A41,TickerList!$G40:$G134,TickerList!O40:O134)</f>
        <v/>
      </c>
      <c r="AB41" s="74" t="n">
        <v>0.0001</v>
      </c>
      <c r="AC41" s="75" t="n">
        <v>0.003</v>
      </c>
      <c r="AD41" s="76" t="inlineStr">
        <is>
          <t>33.74/31.33</t>
        </is>
      </c>
      <c r="AE41" s="158">
        <f>_xlfn.LET(_xlpm.New1YT,DataRT!$X41,        _xlpm.Old1YT,IF(ISNUMBER(DataRT!$AD41),DataRT!$AD41,VALUE(LEFT(DataRT!$AD41,FIND("/",DataRT!$AD41,1)-1))),       IF(OR(DataRT!$X41=0,_xlpm.Old1YT=0),0,(_xlpm.New1YT-_xlpm.Old1YT)/_xlpm.Old1YT))</f>
        <v/>
      </c>
      <c r="AF41" s="159">
        <f>TEXT(DataRT!$X41,"#,#0.00")&amp;" &lt; "&amp;DataRT!$AD41</f>
        <v/>
      </c>
    </row>
    <row r="42">
      <c r="A42" s="78">
        <f t="array" ref="A42">_xlfn.SINGLE(DataRT!$S$3:$S$96)&amp;_FV(DataRT!$C42,"Ticker symbol",TRUE)</f>
        <v/>
      </c>
      <c r="B42" s="78" t="n">
        <v>1</v>
      </c>
      <c r="C42" s="86" t="e">
        <v>#VALUE!</v>
      </c>
      <c r="D42" s="60">
        <f t="array" ref="D42">_FV(DataRT!$C42,"Currency")</f>
        <v/>
      </c>
      <c r="E42" s="80">
        <f t="array" ref="E42">_FV(DataRT!$C42,"Last trade time",TRUE)</f>
        <v/>
      </c>
      <c r="F42" s="162">
        <f t="array" ref="F42">_FV(DataRT!$C42,"Previous close",TRUE)</f>
        <v/>
      </c>
      <c r="G42" s="162">
        <f t="array" ref="G42">IFERROR(_FV(DataRT!$C42,"Open"),DataRT!$F42)</f>
        <v/>
      </c>
      <c r="H42" s="162">
        <f t="array" ref="H42">_FV(DataRT!$C42,"Price")</f>
        <v/>
      </c>
      <c r="I42" s="162">
        <f t="array" ref="I42">IFERROR(_FV(DataRT!$C42,"Low"),0)</f>
        <v/>
      </c>
      <c r="J42" s="162">
        <f t="array" ref="J42">IFERROR(_FV(DataRT!$C42,"High"),0)</f>
        <v/>
      </c>
      <c r="K42" s="82">
        <f t="array" ref="K42">IFERROR(_FV(DataRT!$C42,"P/E",TRUE),99)</f>
        <v/>
      </c>
      <c r="L42" s="83">
        <f t="array" ref="L42">_FV(DataRT!$C42,"Change")</f>
        <v/>
      </c>
      <c r="M42" s="84">
        <f t="array" ref="M42">_FV(DataRT!$C42,"Change (%)",TRUE)</f>
        <v/>
      </c>
      <c r="N42" s="162">
        <f t="array" ref="N42">_FV(DataRT!$C42,"52 week low",TRUE)</f>
        <v/>
      </c>
      <c r="O42" s="162">
        <f t="array" ref="O42">_FV(DataRT!$C42,"52 week high",TRUE)</f>
        <v/>
      </c>
      <c r="P42" s="85">
        <f t="array" ref="P42">_FV(DataRT!$C42,"Volume")</f>
        <v/>
      </c>
      <c r="Q42" s="85">
        <f t="array" ref="Q42">_FV(DataRT!$C42,"Volume average",TRUE)</f>
        <v/>
      </c>
      <c r="R42" s="81">
        <f t="array" ref="R42">_FV(DataRT!$C42,"Beta")</f>
        <v/>
      </c>
      <c r="S42" s="86" t="n"/>
      <c r="T42" s="86" t="inlineStr">
        <is>
          <t>V</t>
        </is>
      </c>
      <c r="U42" s="86">
        <f t="array" ref="U42">_FV(DataRT!$C42,"Exchange abbreviation",TRUE)</f>
        <v/>
      </c>
      <c r="V42" s="87">
        <f>IFERROR(DataRT!$P42/DataRT!$Q42,1)</f>
        <v/>
      </c>
      <c r="W42" s="87" t="n"/>
      <c r="X42" s="88">
        <f>_xlfn.XLOOKUP(DataRT!$A42,TickerList!$G41:$G135,TickerList!L41:L135)</f>
        <v/>
      </c>
      <c r="Y42" s="157">
        <f>_xlfn.XLOOKUP(DataRT!$A42,TickerList!$G41:$G135,TickerList!M41:M135)</f>
        <v/>
      </c>
      <c r="Z42" s="157">
        <f>_xlfn.XLOOKUP(DataRT!$A42,TickerList!$G41:$G135,TickerList!N41:N135)</f>
        <v/>
      </c>
      <c r="AA42" s="73">
        <f>_xlfn.XLOOKUP(DataRT!$A42,TickerList!$G41:$G135,TickerList!O41:O135)</f>
        <v/>
      </c>
      <c r="AB42" s="74" t="n"/>
      <c r="AC42" s="75" t="n">
        <v>0.003</v>
      </c>
      <c r="AD42" s="76" t="n">
        <v>290</v>
      </c>
      <c r="AE42" s="158">
        <f>_xlfn.LET(_xlpm.New1YT,DataRT!$X42,        _xlpm.Old1YT,IF(ISNUMBER(DataRT!$AD42),DataRT!$AD42,VALUE(LEFT(DataRT!$AD42,FIND("/",DataRT!$AD42,1)-1))),       IF(OR(DataRT!$X42=0,_xlpm.Old1YT=0),0,(_xlpm.New1YT-_xlpm.Old1YT)/_xlpm.Old1YT))</f>
        <v/>
      </c>
      <c r="AF42" s="159">
        <f>TEXT(DataRT!$X42,"#,#0.00")&amp;" &lt; "&amp;DataRT!$AD42</f>
        <v/>
      </c>
    </row>
    <row r="43" ht="22" customHeight="1">
      <c r="A43" s="58">
        <f t="array" ref="A43">_xlfn.SINGLE(DataRT!$S$3:$S$96)&amp;_FV(DataRT!$C43,"Ticker symbol",TRUE)</f>
        <v/>
      </c>
      <c r="B43" s="58" t="n">
        <v>1</v>
      </c>
      <c r="C43" s="68" t="e">
        <v>#VALUE!</v>
      </c>
      <c r="D43" s="60">
        <f t="array" ref="D43">_FV(DataRT!$C43,"Currency")</f>
        <v/>
      </c>
      <c r="E43" s="61">
        <f t="array" ref="E43">_FV(DataRT!$C43,"Last trade time",TRUE)</f>
        <v/>
      </c>
      <c r="F43" s="161">
        <f t="array" ref="F43">_FV(DataRT!$C43,"Previous close",TRUE)</f>
        <v/>
      </c>
      <c r="G43" s="161">
        <f t="array" ref="G43">IFERROR(_FV(DataRT!$C43,"Open"),DataRT!$F43)</f>
        <v/>
      </c>
      <c r="H43" s="161">
        <f t="array" ref="H43">_FV(DataRT!$C43,"Price")</f>
        <v/>
      </c>
      <c r="I43" s="161">
        <f t="array" ref="I43">IFERROR(_FV(DataRT!$C43,"Low"),0)</f>
        <v/>
      </c>
      <c r="J43" s="161">
        <f t="array" ref="J43">IFERROR(_FV(DataRT!$C43,"High"),0)</f>
        <v/>
      </c>
      <c r="K43" s="64">
        <f t="array" ref="K43">IFERROR(_FV(DataRT!$C43,"P/E",TRUE),99)</f>
        <v/>
      </c>
      <c r="L43" s="65">
        <f t="array" ref="L43">_FV(DataRT!$C43,"Change")</f>
        <v/>
      </c>
      <c r="M43" s="66">
        <f t="array" ref="M43">_FV(DataRT!$C43,"Change (%)",TRUE)</f>
        <v/>
      </c>
      <c r="N43" s="161">
        <f t="array" ref="N43">_FV(DataRT!$C43,"52 week low",TRUE)</f>
        <v/>
      </c>
      <c r="O43" s="161">
        <f t="array" ref="O43">_FV(DataRT!$C43,"52 week high",TRUE)</f>
        <v/>
      </c>
      <c r="P43" s="67">
        <f t="array" ref="P43">_FV(DataRT!$C43,"Volume")</f>
        <v/>
      </c>
      <c r="Q43" s="67">
        <f t="array" ref="Q43">_FV(DataRT!$C43,"Volume average",TRUE)</f>
        <v/>
      </c>
      <c r="R43" s="161">
        <f t="array" ref="R43">_FV(DataRT!$C43,"Beta")</f>
        <v/>
      </c>
      <c r="S43" s="68" t="n"/>
      <c r="T43" s="68" t="inlineStr">
        <is>
          <t>V</t>
        </is>
      </c>
      <c r="U43" s="68">
        <f t="array" ref="U43">_FV(DataRT!$C43,"Exchange abbreviation",TRUE)</f>
        <v/>
      </c>
      <c r="V43" s="70">
        <f>IFERROR(DataRT!$P43/DataRT!$Q43,1)</f>
        <v/>
      </c>
      <c r="W43" s="70" t="n"/>
      <c r="X43" s="88">
        <f>_xlfn.XLOOKUP(DataRT!$A43,TickerList!$G42:$G136,TickerList!L42:L136)</f>
        <v/>
      </c>
      <c r="Y43" s="157">
        <f>_xlfn.XLOOKUP(DataRT!$A43,TickerList!$G42:$G136,TickerList!M42:M136)</f>
        <v/>
      </c>
      <c r="Z43" s="157">
        <f>_xlfn.XLOOKUP(DataRT!$A43,TickerList!$G42:$G136,TickerList!N42:N136)</f>
        <v/>
      </c>
      <c r="AA43" s="73">
        <f>_xlfn.XLOOKUP(DataRT!$A43,TickerList!$G42:$G136,TickerList!O42:O136)</f>
        <v/>
      </c>
      <c r="AB43" s="74" t="n"/>
      <c r="AC43" s="75" t="n">
        <v>0.003</v>
      </c>
      <c r="AD43" s="76" t="inlineStr">
        <is>
          <t>331.33/312.72</t>
        </is>
      </c>
      <c r="AE43" s="158">
        <f>_xlfn.LET(_xlpm.New1YT,DataRT!$X43,        _xlpm.Old1YT,IF(ISNUMBER(DataRT!$AD43),DataRT!$AD43,VALUE(LEFT(DataRT!$AD43,FIND("/",DataRT!$AD43,1)-1))),       IF(OR(DataRT!$X43=0,_xlpm.Old1YT=0),0,(_xlpm.New1YT-_xlpm.Old1YT)/_xlpm.Old1YT))</f>
        <v/>
      </c>
      <c r="AF43" s="159">
        <f>TEXT(DataRT!$X43,"#,#0.00")&amp;" &lt; "&amp;DataRT!$AD43</f>
        <v/>
      </c>
    </row>
    <row r="44">
      <c r="A44" s="78">
        <f t="array" ref="A44">_xlfn.SINGLE(DataRT!$S$3:$S$96)&amp;_FV(DataRT!$C44,"Ticker symbol",TRUE)</f>
        <v/>
      </c>
      <c r="B44" s="78">
        <f>D99</f>
        <v/>
      </c>
      <c r="C44" s="86" t="e">
        <v>#VALUE!</v>
      </c>
      <c r="D44" s="60">
        <f t="array" ref="D44">_FV(DataRT!$C44,"Currency")</f>
        <v/>
      </c>
      <c r="E44" s="80">
        <f t="array" ref="E44">_FV(DataRT!$C44,"Last trade time",TRUE)</f>
        <v/>
      </c>
      <c r="F44" s="81">
        <f t="array" ref="F44">_FV(DataRT!$C44,"Previous close",TRUE)</f>
        <v/>
      </c>
      <c r="G44" s="81">
        <f t="array" ref="G44">IFERROR(_FV(DataRT!$C44,"Open"),DataRT!$F44)</f>
        <v/>
      </c>
      <c r="H44" s="81">
        <f t="array" ref="H44">_FV(DataRT!$C44,"Price")</f>
        <v/>
      </c>
      <c r="I44" s="81">
        <f t="array" ref="I44">IFERROR(_FV(DataRT!$C44,"Low"),0)</f>
        <v/>
      </c>
      <c r="J44" s="81">
        <f t="array" ref="J44">IFERROR(_FV(DataRT!$C44,"High"),0)</f>
        <v/>
      </c>
      <c r="K44" s="82">
        <f t="array" ref="K44">IFERROR(_FV(DataRT!$C44,"P/E",TRUE),99)</f>
        <v/>
      </c>
      <c r="L44" s="83">
        <f t="array" ref="L44">_FV(DataRT!$C44,"Change")</f>
        <v/>
      </c>
      <c r="M44" s="84">
        <f t="array" ref="M44">_FV(DataRT!$C44,"Change (%)",TRUE)</f>
        <v/>
      </c>
      <c r="N44" s="81">
        <f t="array" ref="N44">_FV(DataRT!$C44,"52 week low",TRUE)</f>
        <v/>
      </c>
      <c r="O44" s="81">
        <f t="array" ref="O44">_FV(DataRT!$C44,"52 week high",TRUE)</f>
        <v/>
      </c>
      <c r="P44" s="85">
        <f t="array" ref="P44">_FV(DataRT!$C44,"Volume")</f>
        <v/>
      </c>
      <c r="Q44" s="85">
        <f t="array" ref="Q44">_FV(DataRT!$C44,"Volume average",TRUE)</f>
        <v/>
      </c>
      <c r="R44" s="81">
        <f t="array" ref="R44">_FV(DataRT!$C44,"Beta")</f>
        <v/>
      </c>
      <c r="S44" s="86" t="n"/>
      <c r="T44" s="86" t="inlineStr">
        <is>
          <t>V</t>
        </is>
      </c>
      <c r="U44" s="86">
        <f t="array" ref="U44">_FV(DataRT!$C44,"Exchange abbreviation",TRUE)</f>
        <v/>
      </c>
      <c r="V44" s="87">
        <f>IFERROR(DataRT!$P44/DataRT!$Q44,1)</f>
        <v/>
      </c>
      <c r="W44" s="87" t="n"/>
      <c r="X44" s="88">
        <f>_xlfn.XLOOKUP(DataRT!$A44,TickerList!$G43:$G137,TickerList!L43:L137)</f>
        <v/>
      </c>
      <c r="Y44" s="157">
        <f>_xlfn.XLOOKUP(DataRT!$A44,TickerList!$G43:$G137,TickerList!M43:M137)</f>
        <v/>
      </c>
      <c r="Z44" s="157">
        <f>_xlfn.XLOOKUP(DataRT!$A44,TickerList!$G43:$G137,TickerList!N43:N137)</f>
        <v/>
      </c>
      <c r="AA44" s="73">
        <f>_xlfn.XLOOKUP(DataRT!$A44,TickerList!$G43:$G137,TickerList!O43:O137)</f>
        <v/>
      </c>
      <c r="AB44" s="74" t="n">
        <v>0.0001</v>
      </c>
      <c r="AC44" s="75" t="n">
        <v>0.003</v>
      </c>
      <c r="AD44" s="76" t="n">
        <v>42.6</v>
      </c>
      <c r="AE44" s="158">
        <f>_xlfn.LET(_xlpm.New1YT,DataRT!$X44,        _xlpm.Old1YT,IF(ISNUMBER(DataRT!$AD44),DataRT!$AD44,VALUE(LEFT(DataRT!$AD44,FIND("/",DataRT!$AD44,1)-1))),       IF(OR(DataRT!$X44=0,_xlpm.Old1YT=0),0,(_xlpm.New1YT-_xlpm.Old1YT)/_xlpm.Old1YT))</f>
        <v/>
      </c>
      <c r="AF44" s="159">
        <f>TEXT(DataRT!$X44,"#,#0.00")&amp;" &lt; "&amp;DataRT!$AD44</f>
        <v/>
      </c>
    </row>
    <row r="45">
      <c r="A45" s="58">
        <f t="array" ref="A45">_xlfn.SINGLE(DataRT!$S$3:$S$96)&amp;_FV(DataRT!$C45,"Ticker symbol",TRUE)</f>
        <v/>
      </c>
      <c r="B45" s="58">
        <f>D99</f>
        <v/>
      </c>
      <c r="C45" s="68" t="e">
        <v>#VALUE!</v>
      </c>
      <c r="D45" s="60">
        <f t="array" ref="D45">_FV(DataRT!$C45,"Currency")</f>
        <v/>
      </c>
      <c r="E45" s="61">
        <f t="array" ref="E45">_FV(DataRT!$C45,"Last trade time",TRUE)</f>
        <v/>
      </c>
      <c r="F45" s="63">
        <f t="array" ref="F45">_FV(DataRT!$C45,"Previous close",TRUE)</f>
        <v/>
      </c>
      <c r="G45" s="63">
        <f t="array" ref="G45">IFERROR(_FV(DataRT!$C45,"Open"),DataRT!$F45)</f>
        <v/>
      </c>
      <c r="H45" s="63">
        <f t="array" ref="H45">_FV(DataRT!$C45,"Price")</f>
        <v/>
      </c>
      <c r="I45" s="63">
        <f t="array" ref="I45">IFERROR(_FV(DataRT!$C45,"Low"),0)</f>
        <v/>
      </c>
      <c r="J45" s="63">
        <f t="array" ref="J45">IFERROR(_FV(DataRT!$C45,"High"),0)</f>
        <v/>
      </c>
      <c r="K45" s="64">
        <f t="array" ref="K45">IFERROR(_FV(DataRT!$C45,"P/E",TRUE),99)</f>
        <v/>
      </c>
      <c r="L45" s="65">
        <f t="array" ref="L45">_FV(DataRT!$C45,"Change")</f>
        <v/>
      </c>
      <c r="M45" s="66">
        <f t="array" ref="M45">_FV(DataRT!$C45,"Change (%)",TRUE)</f>
        <v/>
      </c>
      <c r="N45" s="63">
        <f t="array" ref="N45">_FV(DataRT!$C45,"52 week low",TRUE)</f>
        <v/>
      </c>
      <c r="O45" s="63">
        <f t="array" ref="O45">_FV(DataRT!$C45,"52 week high",TRUE)</f>
        <v/>
      </c>
      <c r="P45" s="67">
        <f t="array" ref="P45">_FV(DataRT!$C45,"Volume")</f>
        <v/>
      </c>
      <c r="Q45" s="67">
        <f t="array" ref="Q45">_FV(DataRT!$C45,"Volume average",TRUE)</f>
        <v/>
      </c>
      <c r="R45" s="63">
        <f t="array" ref="R45">_FV(DataRT!$C45,"Beta")</f>
        <v/>
      </c>
      <c r="S45" s="68" t="n"/>
      <c r="T45" s="68" t="inlineStr">
        <is>
          <t>V</t>
        </is>
      </c>
      <c r="U45" s="68">
        <f t="array" ref="U45">_FV(DataRT!$C45,"Exchange abbreviation",TRUE)</f>
        <v/>
      </c>
      <c r="V45" s="70">
        <f>IFERROR(DataRT!$P45/DataRT!$Q45,1)</f>
        <v/>
      </c>
      <c r="W45" s="70" t="n"/>
      <c r="X45" s="88">
        <f>_xlfn.XLOOKUP(DataRT!$A45,TickerList!$G44:$G138,TickerList!L44:L138)</f>
        <v/>
      </c>
      <c r="Y45" s="157">
        <f>_xlfn.XLOOKUP(DataRT!$A45,TickerList!$G44:$G138,TickerList!M44:M138)</f>
        <v/>
      </c>
      <c r="Z45" s="157">
        <f>_xlfn.XLOOKUP(DataRT!$A45,TickerList!$G44:$G138,TickerList!N44:N138)</f>
        <v/>
      </c>
      <c r="AA45" s="73">
        <f>_xlfn.XLOOKUP(DataRT!$A45,TickerList!$G44:$G138,TickerList!O44:O138)</f>
        <v/>
      </c>
      <c r="AB45" s="74" t="n">
        <v>0.0001</v>
      </c>
      <c r="AC45" s="75" t="n">
        <v>0.003</v>
      </c>
      <c r="AD45" s="76" t="n">
        <v>11.8</v>
      </c>
      <c r="AE45" s="158">
        <f>_xlfn.LET(_xlpm.New1YT,DataRT!$X45,        _xlpm.Old1YT,IF(ISNUMBER(DataRT!$AD45),DataRT!$AD45,VALUE(LEFT(DataRT!$AD45,FIND("/",DataRT!$AD45,1)-1))),       IF(OR(DataRT!$X45=0,_xlpm.Old1YT=0),0,(_xlpm.New1YT-_xlpm.Old1YT)/_xlpm.Old1YT))</f>
        <v/>
      </c>
      <c r="AF45" s="159">
        <f>TEXT(DataRT!$X45,"#,#0.00")&amp;" &lt; "&amp;DataRT!$AD45</f>
        <v/>
      </c>
      <c r="AG45" s="26" t="n"/>
    </row>
    <row r="46">
      <c r="A46" s="78">
        <f t="array" ref="A46">_xlfn.SINGLE(DataRT!$S$3:$S$96)&amp;_FV(DataRT!$C46,"Ticker symbol",TRUE)</f>
        <v/>
      </c>
      <c r="B46" s="78">
        <f>D99</f>
        <v/>
      </c>
      <c r="C46" s="86" t="e">
        <v>#VALUE!</v>
      </c>
      <c r="D46" s="60">
        <f t="array" ref="D46">_FV(DataRT!$C46,"Currency")</f>
        <v/>
      </c>
      <c r="E46" s="80">
        <f t="array" ref="E46">_FV(DataRT!$C46,"Last trade time",TRUE)</f>
        <v/>
      </c>
      <c r="F46" s="81">
        <f t="array" ref="F46">_FV(DataRT!$C46,"Previous close",TRUE)</f>
        <v/>
      </c>
      <c r="G46" s="81">
        <f t="array" ref="G46">IFERROR(_FV(DataRT!$C46,"Open"),DataRT!$F46)</f>
        <v/>
      </c>
      <c r="H46" s="81">
        <f t="array" ref="H46">_FV(DataRT!$C46,"Price")</f>
        <v/>
      </c>
      <c r="I46" s="81">
        <f t="array" ref="I46">IFERROR(_FV(DataRT!$C46,"Low"),0)</f>
        <v/>
      </c>
      <c r="J46" s="81">
        <f t="array" ref="J46">IFERROR(_FV(DataRT!$C46,"High"),0)</f>
        <v/>
      </c>
      <c r="K46" s="82">
        <f t="array" ref="K46">IFERROR(_FV(DataRT!$C46,"P/E",TRUE),99)</f>
        <v/>
      </c>
      <c r="L46" s="83">
        <f t="array" ref="L46">_FV(DataRT!$C46,"Change")</f>
        <v/>
      </c>
      <c r="M46" s="84">
        <f t="array" ref="M46">_FV(DataRT!$C46,"Change (%)",TRUE)</f>
        <v/>
      </c>
      <c r="N46" s="81">
        <f t="array" ref="N46">_FV(DataRT!$C46,"52 week low",TRUE)</f>
        <v/>
      </c>
      <c r="O46" s="81">
        <f t="array" ref="O46">_FV(DataRT!$C46,"52 week high",TRUE)</f>
        <v/>
      </c>
      <c r="P46" s="85">
        <f t="array" ref="P46">_FV(DataRT!$C46,"Volume")</f>
        <v/>
      </c>
      <c r="Q46" s="85">
        <f t="array" ref="Q46">_FV(DataRT!$C46,"Volume average",TRUE)</f>
        <v/>
      </c>
      <c r="R46" s="81">
        <f t="array" ref="R46">_FV(DataRT!$C46,"Beta")</f>
        <v/>
      </c>
      <c r="S46" s="86" t="n"/>
      <c r="T46" s="86" t="inlineStr">
        <is>
          <t>V</t>
        </is>
      </c>
      <c r="U46" s="86">
        <f t="array" ref="U46">_FV(DataRT!$C46,"Exchange abbreviation",TRUE)</f>
        <v/>
      </c>
      <c r="V46" s="87">
        <f>IFERROR(DataRT!$P46/DataRT!$Q46,1)</f>
        <v/>
      </c>
      <c r="W46" s="87" t="n"/>
      <c r="X46" s="88">
        <f>_xlfn.XLOOKUP(DataRT!$A46,TickerList!$G45:$G139,TickerList!L45:L139)</f>
        <v/>
      </c>
      <c r="Y46" s="157">
        <f>_xlfn.XLOOKUP(DataRT!$A46,TickerList!$G45:$G139,TickerList!M45:M139)</f>
        <v/>
      </c>
      <c r="Z46" s="157">
        <f>_xlfn.XLOOKUP(DataRT!$A46,TickerList!$G45:$G139,TickerList!N45:N139)</f>
        <v/>
      </c>
      <c r="AA46" s="73">
        <f>_xlfn.XLOOKUP(DataRT!$A46,TickerList!$G45:$G139,TickerList!O45:O139)</f>
        <v/>
      </c>
      <c r="AB46" s="74" t="n">
        <v>0.0001</v>
      </c>
      <c r="AC46" s="75" t="n">
        <v>0.003</v>
      </c>
      <c r="AD46" s="76" t="n">
        <v>209.14</v>
      </c>
      <c r="AE46" s="158">
        <f>_xlfn.LET(_xlpm.New1YT,DataRT!$X46,        _xlpm.Old1YT,IF(ISNUMBER(DataRT!$AD46),DataRT!$AD46,VALUE(LEFT(DataRT!$AD46,FIND("/",DataRT!$AD46,1)-1))),       IF(OR(DataRT!$X46=0,_xlpm.Old1YT=0),0,(_xlpm.New1YT-_xlpm.Old1YT)/_xlpm.Old1YT))</f>
        <v/>
      </c>
      <c r="AF46" s="159">
        <f>TEXT(DataRT!$X46,"#,#0.00")&amp;" &lt; "&amp;DataRT!$AD46</f>
        <v/>
      </c>
    </row>
    <row r="47">
      <c r="A47" s="58">
        <f t="array" ref="A47">_xlfn.SINGLE(DataRT!$S$3:$S$96)&amp;_FV(DataRT!$C47,"Ticker symbol",TRUE)</f>
        <v/>
      </c>
      <c r="B47" s="58">
        <f>D99</f>
        <v/>
      </c>
      <c r="C47" s="68" t="e">
        <v>#VALUE!</v>
      </c>
      <c r="D47" s="60">
        <f t="array" ref="D47">_FV(DataRT!$C47,"Currency")</f>
        <v/>
      </c>
      <c r="E47" s="61">
        <f t="array" ref="E47">_FV(DataRT!$C47,"Last trade time",TRUE)</f>
        <v/>
      </c>
      <c r="F47" s="63">
        <f t="array" ref="F47">_FV(DataRT!$C47,"Previous close",TRUE)</f>
        <v/>
      </c>
      <c r="G47" s="63">
        <f t="array" ref="G47">IFERROR(_FV(DataRT!$C47,"Open"),DataRT!$F47)</f>
        <v/>
      </c>
      <c r="H47" s="63">
        <f t="array" ref="H47">_FV(DataRT!$C47,"Price")</f>
        <v/>
      </c>
      <c r="I47" s="63">
        <f t="array" ref="I47">IFERROR(_FV(DataRT!$C47,"Low"),0)</f>
        <v/>
      </c>
      <c r="J47" s="63">
        <f t="array" ref="J47">IFERROR(_FV(DataRT!$C47,"High"),0)</f>
        <v/>
      </c>
      <c r="K47" s="64">
        <f t="array" ref="K47">IFERROR(_FV(DataRT!$C47,"P/E",TRUE),99)</f>
        <v/>
      </c>
      <c r="L47" s="65">
        <f t="array" ref="L47">_FV(DataRT!$C47,"Change")</f>
        <v/>
      </c>
      <c r="M47" s="66">
        <f t="array" ref="M47">_FV(DataRT!$C47,"Change (%)",TRUE)</f>
        <v/>
      </c>
      <c r="N47" s="63">
        <f t="array" ref="N47">_FV(DataRT!$C47,"52 week low",TRUE)</f>
        <v/>
      </c>
      <c r="O47" s="63">
        <f t="array" ref="O47">_FV(DataRT!$C47,"52 week high",TRUE)</f>
        <v/>
      </c>
      <c r="P47" s="67">
        <f t="array" ref="P47">_FV(DataRT!$C47,"Volume")</f>
        <v/>
      </c>
      <c r="Q47" s="67">
        <f t="array" ref="Q47">_FV(DataRT!$C47,"Volume average",TRUE)</f>
        <v/>
      </c>
      <c r="R47" s="63">
        <f t="array" ref="R47">_FV(DataRT!$C47,"Beta")</f>
        <v/>
      </c>
      <c r="S47" s="68" t="n"/>
      <c r="T47" s="68" t="inlineStr">
        <is>
          <t>V</t>
        </is>
      </c>
      <c r="U47" s="68">
        <f t="array" ref="U47">_FV(DataRT!$C47,"Exchange abbreviation",TRUE)</f>
        <v/>
      </c>
      <c r="V47" s="70">
        <f>IFERROR(DataRT!$P47/DataRT!$Q47,1)</f>
        <v/>
      </c>
      <c r="W47" s="70" t="n"/>
      <c r="X47" s="88">
        <f>_xlfn.XLOOKUP(DataRT!$A47,TickerList!$G46:$G140,TickerList!L46:L140)</f>
        <v/>
      </c>
      <c r="Y47" s="157">
        <f>_xlfn.XLOOKUP(DataRT!$A47,TickerList!$G46:$G140,TickerList!M46:M140)</f>
        <v/>
      </c>
      <c r="Z47" s="157">
        <f>_xlfn.XLOOKUP(DataRT!$A47,TickerList!$G46:$G140,TickerList!N46:N140)</f>
        <v/>
      </c>
      <c r="AA47" s="73">
        <f>_xlfn.XLOOKUP(DataRT!$A47,TickerList!$G46:$G140,TickerList!O46:O140)</f>
        <v/>
      </c>
      <c r="AB47" s="74" t="n">
        <v>0.0001</v>
      </c>
      <c r="AC47" s="75" t="n">
        <v>0.003</v>
      </c>
      <c r="AD47" s="76" t="inlineStr">
        <is>
          <t>229.89/159.2</t>
        </is>
      </c>
      <c r="AE47" s="158">
        <f>_xlfn.LET(_xlpm.New1YT,DataRT!$X47,        _xlpm.Old1YT,IF(ISNUMBER(DataRT!$AD47),DataRT!$AD47,VALUE(LEFT(DataRT!$AD47,FIND("/",DataRT!$AD47,1)-1))),       IF(OR(DataRT!$X47=0,_xlpm.Old1YT=0),0,(_xlpm.New1YT-_xlpm.Old1YT)/_xlpm.Old1YT))</f>
        <v/>
      </c>
      <c r="AF47" s="159">
        <f>TEXT(DataRT!$X47,"#,#0.00")&amp;" &lt; "&amp;DataRT!$AD47</f>
        <v/>
      </c>
    </row>
    <row r="48">
      <c r="A48" s="78">
        <f t="array" ref="A48">_xlfn.SINGLE(DataRT!$S$3:$S$96)&amp;_FV(DataRT!$C48,"Ticker symbol",TRUE)</f>
        <v/>
      </c>
      <c r="B48" s="78" t="n">
        <v>1</v>
      </c>
      <c r="C48" s="86" t="e">
        <v>#VALUE!</v>
      </c>
      <c r="D48" s="60">
        <f t="array" ref="D48">_FV(DataRT!$C48,"Currency")</f>
        <v/>
      </c>
      <c r="E48" s="80">
        <f t="array" ref="E48">_FV(DataRT!$C48,"Last trade time",TRUE)</f>
        <v/>
      </c>
      <c r="F48" s="162">
        <f t="array" ref="F48">_FV(DataRT!$C48,"Previous close",TRUE)</f>
        <v/>
      </c>
      <c r="G48" s="162">
        <f t="array" ref="G48">IFERROR(_FV(DataRT!$C48,"Open"),DataRT!$F48)</f>
        <v/>
      </c>
      <c r="H48" s="162">
        <f t="array" ref="H48">_FV(DataRT!$C48,"Price")</f>
        <v/>
      </c>
      <c r="I48" s="162">
        <f t="array" ref="I48">IFERROR(_FV(DataRT!$C48,"Low"),0)</f>
        <v/>
      </c>
      <c r="J48" s="162">
        <f t="array" ref="J48">IFERROR(_FV(DataRT!$C48,"High"),0)</f>
        <v/>
      </c>
      <c r="K48" s="82">
        <f t="array" ref="K48">IFERROR(_FV(DataRT!$C48,"P/E",TRUE),99)</f>
        <v/>
      </c>
      <c r="L48" s="83">
        <f t="array" ref="L48">_FV(DataRT!$C48,"Change")</f>
        <v/>
      </c>
      <c r="M48" s="84">
        <f t="array" ref="M48">_FV(DataRT!$C48,"Change (%)",TRUE)</f>
        <v/>
      </c>
      <c r="N48" s="162">
        <f t="array" ref="N48">_FV(DataRT!$C48,"52 week low",TRUE)</f>
        <v/>
      </c>
      <c r="O48" s="162">
        <f t="array" ref="O48">_FV(DataRT!$C48,"52 week high",TRUE)</f>
        <v/>
      </c>
      <c r="P48" s="85">
        <f t="array" ref="P48">_FV(DataRT!$C48,"Volume")</f>
        <v/>
      </c>
      <c r="Q48" s="85">
        <f t="array" ref="Q48">_FV(DataRT!$C48,"Volume average",TRUE)</f>
        <v/>
      </c>
      <c r="R48" s="162">
        <f t="array" ref="R48">_FV(DataRT!$C48,"Beta")</f>
        <v/>
      </c>
      <c r="S48" s="86" t="n"/>
      <c r="T48" s="86" t="inlineStr">
        <is>
          <t>V</t>
        </is>
      </c>
      <c r="U48" s="86">
        <f t="array" ref="U48">_FV(DataRT!$C48,"Exchange abbreviation",TRUE)</f>
        <v/>
      </c>
      <c r="V48" s="87">
        <f>IFERROR(DataRT!$P48/DataRT!$Q48,1)</f>
        <v/>
      </c>
      <c r="W48" s="87" t="n"/>
      <c r="X48" s="88">
        <f>_xlfn.XLOOKUP(DataRT!$A48,TickerList!$G47:$G141,TickerList!L47:L141)</f>
        <v/>
      </c>
      <c r="Y48" s="157">
        <f>_xlfn.XLOOKUP(DataRT!$A48,TickerList!$G47:$G141,TickerList!M47:M141)</f>
        <v/>
      </c>
      <c r="Z48" s="157">
        <f>_xlfn.XLOOKUP(DataRT!$A48,TickerList!$G47:$G141,TickerList!N47:N141)</f>
        <v/>
      </c>
      <c r="AA48" s="73">
        <f>_xlfn.XLOOKUP(DataRT!$A48,TickerList!$G47:$G141,TickerList!O47:O141)</f>
        <v/>
      </c>
      <c r="AB48" s="74" t="n"/>
      <c r="AC48" s="75" t="n">
        <v>0.003</v>
      </c>
      <c r="AD48" s="76" t="n">
        <v>42.3</v>
      </c>
      <c r="AE48" s="158">
        <f>_xlfn.LET(_xlpm.New1YT,DataRT!$X48,        _xlpm.Old1YT,IF(ISNUMBER(DataRT!$AD48),DataRT!$AD48,VALUE(LEFT(DataRT!$AD48,FIND("/",DataRT!$AD48,1)-1))),       IF(OR(DataRT!$X48=0,_xlpm.Old1YT=0),0,(_xlpm.New1YT-_xlpm.Old1YT)/_xlpm.Old1YT))</f>
        <v/>
      </c>
      <c r="AF48" s="159">
        <f>TEXT(DataRT!$X48,"#,#0.00")&amp;" &lt; "&amp;DataRT!$AD48</f>
        <v/>
      </c>
    </row>
    <row r="49">
      <c r="A49" s="58">
        <f t="array" ref="A49">_xlfn.SINGLE(DataRT!$S$3:$S$96)&amp;_FV(DataRT!$C49,"Ticker symbol",TRUE)</f>
        <v/>
      </c>
      <c r="B49" s="58">
        <f>D99</f>
        <v/>
      </c>
      <c r="C49" s="68" t="e">
        <v>#VALUE!</v>
      </c>
      <c r="D49" s="60">
        <f t="array" ref="D49">_FV(DataRT!$C49,"Currency")</f>
        <v/>
      </c>
      <c r="E49" s="61">
        <f t="array" ref="E49">_FV(DataRT!$C49,"Last trade time",TRUE)</f>
        <v/>
      </c>
      <c r="F49" s="63">
        <f t="array" ref="F49">_FV(DataRT!$C49,"Previous close",TRUE)</f>
        <v/>
      </c>
      <c r="G49" s="63">
        <f t="array" ref="G49">IFERROR(_FV(DataRT!$C49,"Open"),DataRT!$F49)</f>
        <v/>
      </c>
      <c r="H49" s="63">
        <f t="array" ref="H49">_FV(DataRT!$C49,"Price")</f>
        <v/>
      </c>
      <c r="I49" s="63">
        <f t="array" ref="I49">IFERROR(_FV(DataRT!$C49,"Low"),0)</f>
        <v/>
      </c>
      <c r="J49" s="63">
        <f t="array" ref="J49">IFERROR(_FV(DataRT!$C49,"High"),0)</f>
        <v/>
      </c>
      <c r="K49" s="64">
        <f t="array" ref="K49">IFERROR(_FV(DataRT!$C49,"P/E",TRUE),99)</f>
        <v/>
      </c>
      <c r="L49" s="65">
        <f t="array" ref="L49">_FV(DataRT!$C49,"Change")</f>
        <v/>
      </c>
      <c r="M49" s="66">
        <f t="array" ref="M49">_FV(DataRT!$C49,"Change (%)",TRUE)</f>
        <v/>
      </c>
      <c r="N49" s="63">
        <f t="array" ref="N49">_FV(DataRT!$C49,"52 week low",TRUE)</f>
        <v/>
      </c>
      <c r="O49" s="63">
        <f t="array" ref="O49">_FV(DataRT!$C49,"52 week high",TRUE)</f>
        <v/>
      </c>
      <c r="P49" s="67">
        <f t="array" ref="P49">_FV(DataRT!$C49,"Volume")</f>
        <v/>
      </c>
      <c r="Q49" s="67">
        <f t="array" ref="Q49">_FV(DataRT!$C49,"Volume average",TRUE)</f>
        <v/>
      </c>
      <c r="R49" s="63">
        <f t="array" ref="R49">_FV(DataRT!$C49,"Beta")</f>
        <v/>
      </c>
      <c r="S49" s="68" t="n"/>
      <c r="T49" s="68" t="inlineStr">
        <is>
          <t>V</t>
        </is>
      </c>
      <c r="U49" s="68">
        <f t="array" ref="U49">_FV(DataRT!$C49,"Exchange abbreviation",TRUE)</f>
        <v/>
      </c>
      <c r="V49" s="70">
        <f>IFERROR(DataRT!$P49/DataRT!$Q49,1)</f>
        <v/>
      </c>
      <c r="W49" s="70" t="n"/>
      <c r="X49" s="88">
        <f>_xlfn.XLOOKUP(DataRT!$A49,TickerList!$G48:$G142,TickerList!L48:L142)</f>
        <v/>
      </c>
      <c r="Y49" s="157">
        <f>_xlfn.XLOOKUP(DataRT!$A49,TickerList!$G48:$G142,TickerList!M48:M142)</f>
        <v/>
      </c>
      <c r="Z49" s="157">
        <f>_xlfn.XLOOKUP(DataRT!$A49,TickerList!$G48:$G142,TickerList!N48:N142)</f>
        <v/>
      </c>
      <c r="AA49" s="73">
        <f>_xlfn.XLOOKUP(DataRT!$A49,TickerList!$G48:$G142,TickerList!O48:O142)</f>
        <v/>
      </c>
      <c r="AB49" s="74" t="n">
        <v>0.0001</v>
      </c>
      <c r="AC49" s="75" t="n">
        <v>0.003</v>
      </c>
      <c r="AD49" s="76" t="n">
        <v>29.73</v>
      </c>
      <c r="AE49" s="158">
        <f>_xlfn.LET(_xlpm.New1YT,DataRT!$X49,        _xlpm.Old1YT,IF(ISNUMBER(DataRT!$AD49),DataRT!$AD49,VALUE(LEFT(DataRT!$AD49,FIND("/",DataRT!$AD49,1)-1))),       IF(OR(DataRT!$X49=0,_xlpm.Old1YT=0),0,(_xlpm.New1YT-_xlpm.Old1YT)/_xlpm.Old1YT))</f>
        <v/>
      </c>
      <c r="AF49" s="159">
        <f>TEXT(DataRT!$X49,"#,#0.00")&amp;" &lt; "&amp;DataRT!$AD49</f>
        <v/>
      </c>
    </row>
    <row r="50">
      <c r="A50" s="78">
        <f t="array" ref="A50">_xlfn.SINGLE(DataRT!$S$3:$S$96)&amp;_FV(DataRT!$C50,"Ticker symbol",TRUE)</f>
        <v/>
      </c>
      <c r="B50" s="78">
        <f>D100</f>
        <v/>
      </c>
      <c r="C50" s="86" t="e">
        <v>#VALUE!</v>
      </c>
      <c r="D50" s="60">
        <f t="array" ref="D50">_FV(DataRT!$C50,"Currency")</f>
        <v/>
      </c>
      <c r="E50" s="80">
        <f t="array" ref="E50">_FV(DataRT!$C50,"Last trade time",TRUE)</f>
        <v/>
      </c>
      <c r="F50" s="164">
        <f t="array" ref="F50">_FV(DataRT!$C50,"Previous close",TRUE)</f>
        <v/>
      </c>
      <c r="G50" s="164">
        <f t="array" ref="G50">IFERROR(_FV(DataRT!$C50,"Open"),DataRT!$F50)</f>
        <v/>
      </c>
      <c r="H50" s="164">
        <f t="array" ref="H50">_FV(DataRT!$C50,"Price")</f>
        <v/>
      </c>
      <c r="I50" s="165">
        <f t="array" ref="I50">IFERROR(_FV(DataRT!$C50,"Low"),0)</f>
        <v/>
      </c>
      <c r="J50" s="165">
        <f t="array" ref="J50">IFERROR(_FV(DataRT!$C50,"High"),0)</f>
        <v/>
      </c>
      <c r="K50" s="82">
        <f t="array" ref="K50">IFERROR(_FV(DataRT!$C50,"P/E",TRUE),99)</f>
        <v/>
      </c>
      <c r="L50" s="83">
        <f t="array" ref="L50">_FV(DataRT!$C50,"Change")</f>
        <v/>
      </c>
      <c r="M50" s="84">
        <f t="array" ref="M50">_FV(DataRT!$C50,"Change (%)",TRUE)</f>
        <v/>
      </c>
      <c r="N50" s="165">
        <f t="array" ref="N50">_FV(DataRT!$C50,"52 week low",TRUE)</f>
        <v/>
      </c>
      <c r="O50" s="165">
        <f t="array" ref="O50">_FV(DataRT!$C50,"52 week high",TRUE)</f>
        <v/>
      </c>
      <c r="P50" s="85">
        <f t="array" ref="P50">_FV(DataRT!$C50,"Volume")</f>
        <v/>
      </c>
      <c r="Q50" s="85">
        <f t="array" ref="Q50">_FV(DataRT!$C50,"Volume average",TRUE)</f>
        <v/>
      </c>
      <c r="R50" s="81">
        <f t="array" ref="R50">_FV(DataRT!$C50,"Beta")</f>
        <v/>
      </c>
      <c r="S50" s="86" t="n"/>
      <c r="T50" s="86" t="inlineStr">
        <is>
          <t>V</t>
        </is>
      </c>
      <c r="U50" s="86">
        <f t="array" ref="U50">_FV(DataRT!$C50,"Exchange abbreviation",TRUE)</f>
        <v/>
      </c>
      <c r="V50" s="87">
        <f>IFERROR(DataRT!$P50/DataRT!$Q50,1)</f>
        <v/>
      </c>
      <c r="W50" s="87" t="n"/>
      <c r="X50" s="88">
        <f>_xlfn.XLOOKUP(DataRT!$A50,TickerList!$G49:$G143,TickerList!L49:L143)</f>
        <v/>
      </c>
      <c r="Y50" s="157">
        <f>_xlfn.XLOOKUP(DataRT!$A50,TickerList!$G49:$G143,TickerList!M49:M143)</f>
        <v/>
      </c>
      <c r="Z50" s="157">
        <f>_xlfn.XLOOKUP(DataRT!$A50,TickerList!$G49:$G143,TickerList!N49:N143)</f>
        <v/>
      </c>
      <c r="AA50" s="73">
        <f>_xlfn.XLOOKUP(DataRT!$A50,TickerList!$G49:$G143,TickerList!O49:O143)</f>
        <v/>
      </c>
      <c r="AB50" s="74" t="n"/>
      <c r="AC50" s="75" t="n">
        <v>0.003</v>
      </c>
      <c r="AD50" s="76" t="inlineStr">
        <is>
          <t>61/57</t>
        </is>
      </c>
      <c r="AE50" s="158">
        <f>_xlfn.LET(_xlpm.New1YT,DataRT!$X50,        _xlpm.Old1YT,IF(ISNUMBER(DataRT!$AD50),DataRT!$AD50,VALUE(LEFT(DataRT!$AD50,FIND("/",DataRT!$AD50,1)-1))),       IF(OR(DataRT!$X50=0,_xlpm.Old1YT=0),0,(_xlpm.New1YT-_xlpm.Old1YT)/_xlpm.Old1YT))</f>
        <v/>
      </c>
      <c r="AF50" s="159">
        <f>TEXT(DataRT!$X50,"#,#0.00")&amp;" &lt; "&amp;DataRT!$AD50</f>
        <v/>
      </c>
    </row>
    <row r="51">
      <c r="A51" s="58">
        <f t="array" ref="A51">_xlfn.SINGLE(DataRT!$S$3:$S$96)&amp;_FV(DataRT!$C51,"Ticker symbol",TRUE)</f>
        <v/>
      </c>
      <c r="B51" s="58">
        <f>D99</f>
        <v/>
      </c>
      <c r="C51" s="68" t="e">
        <v>#VALUE!</v>
      </c>
      <c r="D51" s="60">
        <f t="array" ref="D51">_FV(DataRT!$C51,"Currency")</f>
        <v/>
      </c>
      <c r="E51" s="61">
        <f t="array" ref="E51">_FV(DataRT!$C51,"Last trade time",TRUE)</f>
        <v/>
      </c>
      <c r="F51" s="63">
        <f t="array" ref="F51">_FV(DataRT!$C51,"Previous close",TRUE)</f>
        <v/>
      </c>
      <c r="G51" s="63">
        <f t="array" ref="G51">IFERROR(_FV(DataRT!$C51,"Open"),DataRT!$F51)</f>
        <v/>
      </c>
      <c r="H51" s="63">
        <f t="array" ref="H51">_FV(DataRT!$C51,"Price")</f>
        <v/>
      </c>
      <c r="I51" s="63">
        <f t="array" ref="I51">IFERROR(_FV(DataRT!$C51,"Low"),0)</f>
        <v/>
      </c>
      <c r="J51" s="63">
        <f t="array" ref="J51">IFERROR(_FV(DataRT!$C51,"High"),0)</f>
        <v/>
      </c>
      <c r="K51" s="64">
        <f t="array" ref="K51">IFERROR(_FV(DataRT!$C51,"P/E",TRUE),99)</f>
        <v/>
      </c>
      <c r="L51" s="65">
        <f t="array" ref="L51">_FV(DataRT!$C51,"Change")</f>
        <v/>
      </c>
      <c r="M51" s="66">
        <f t="array" ref="M51">_FV(DataRT!$C51,"Change (%)",TRUE)</f>
        <v/>
      </c>
      <c r="N51" s="63">
        <f t="array" ref="N51">_FV(DataRT!$C51,"52 week low",TRUE)</f>
        <v/>
      </c>
      <c r="O51" s="63">
        <f t="array" ref="O51">_FV(DataRT!$C51,"52 week high",TRUE)</f>
        <v/>
      </c>
      <c r="P51" s="67">
        <f t="array" ref="P51">_FV(DataRT!$C51,"Volume")</f>
        <v/>
      </c>
      <c r="Q51" s="67">
        <f t="array" ref="Q51">_FV(DataRT!$C51,"Volume average",TRUE)</f>
        <v/>
      </c>
      <c r="R51" s="63">
        <f t="array" ref="R51">_FV(DataRT!$C51,"Beta")</f>
        <v/>
      </c>
      <c r="S51" s="68" t="n"/>
      <c r="T51" s="68" t="inlineStr">
        <is>
          <t>V</t>
        </is>
      </c>
      <c r="U51" s="68">
        <f t="array" ref="U51">_FV(DataRT!$C51,"Exchange abbreviation",TRUE)</f>
        <v/>
      </c>
      <c r="V51" s="70">
        <f>IFERROR(DataRT!$P51/DataRT!$Q51,1)</f>
        <v/>
      </c>
      <c r="W51" s="70" t="n"/>
      <c r="X51" s="88">
        <f>_xlfn.XLOOKUP(DataRT!$A51,TickerList!$G50:$G144,TickerList!L50:L144)</f>
        <v/>
      </c>
      <c r="Y51" s="157">
        <f>_xlfn.XLOOKUP(DataRT!$A51,TickerList!$G50:$G144,TickerList!M50:M144)</f>
        <v/>
      </c>
      <c r="Z51" s="157">
        <f>_xlfn.XLOOKUP(DataRT!$A51,TickerList!$G50:$G144,TickerList!N50:N144)</f>
        <v/>
      </c>
      <c r="AA51" s="73">
        <f>_xlfn.XLOOKUP(DataRT!$A51,TickerList!$G50:$G144,TickerList!O50:O144)</f>
        <v/>
      </c>
      <c r="AB51" s="74" t="n">
        <v>0.0001</v>
      </c>
      <c r="AC51" s="75" t="n">
        <v>0.003</v>
      </c>
      <c r="AD51" s="76" t="inlineStr">
        <is>
          <t>11.38/11.59/15.57</t>
        </is>
      </c>
      <c r="AE51" s="158">
        <f>_xlfn.LET(_xlpm.New1YT,DataRT!$X51,        _xlpm.Old1YT,IF(ISNUMBER(DataRT!$AD51),DataRT!$AD51,VALUE(LEFT(DataRT!$AD51,FIND("/",DataRT!$AD51,1)-1))),       IF(OR(DataRT!$X51=0,_xlpm.Old1YT=0),0,(_xlpm.New1YT-_xlpm.Old1YT)/_xlpm.Old1YT))</f>
        <v/>
      </c>
      <c r="AF51" s="159">
        <f>TEXT(DataRT!$X51,"#,#0.00")&amp;" &lt; "&amp;DataRT!$AD51</f>
        <v/>
      </c>
    </row>
    <row r="52">
      <c r="A52" s="78">
        <f t="array" ref="A52">_xlfn.SINGLE(DataRT!$S$3:$S$96)&amp;_FV(DataRT!$C52,"Ticker symbol",TRUE)</f>
        <v/>
      </c>
      <c r="B52" s="78">
        <f>D99</f>
        <v/>
      </c>
      <c r="C52" s="86" t="e">
        <v>#VALUE!</v>
      </c>
      <c r="D52" s="60">
        <f t="array" ref="D52">_FV(DataRT!$C52,"Currency")</f>
        <v/>
      </c>
      <c r="E52" s="80">
        <f t="array" ref="E52">_FV(DataRT!$C52,"Last trade time",TRUE)</f>
        <v/>
      </c>
      <c r="F52" s="81">
        <f t="array" ref="F52">_FV(DataRT!$C52,"Previous close",TRUE)</f>
        <v/>
      </c>
      <c r="G52" s="81">
        <f t="array" ref="G52">IFERROR(_FV(DataRT!$C52,"Open"),DataRT!$F52)</f>
        <v/>
      </c>
      <c r="H52" s="81">
        <f t="array" ref="H52">_FV(DataRT!$C52,"Price")</f>
        <v/>
      </c>
      <c r="I52" s="81">
        <f t="array" ref="I52">IFERROR(_FV(DataRT!$C52,"Low"),0)</f>
        <v/>
      </c>
      <c r="J52" s="81">
        <f t="array" ref="J52">IFERROR(_FV(DataRT!$C52,"High"),0)</f>
        <v/>
      </c>
      <c r="K52" s="82">
        <f t="array" ref="K52">IFERROR(_FV(DataRT!$C52,"P/E",TRUE),99)</f>
        <v/>
      </c>
      <c r="L52" s="83">
        <f t="array" ref="L52">_FV(DataRT!$C52,"Change")</f>
        <v/>
      </c>
      <c r="M52" s="84">
        <f t="array" ref="M52">_FV(DataRT!$C52,"Change (%)",TRUE)</f>
        <v/>
      </c>
      <c r="N52" s="81">
        <f t="array" ref="N52">_FV(DataRT!$C52,"52 week low",TRUE)</f>
        <v/>
      </c>
      <c r="O52" s="81">
        <f t="array" ref="O52">_FV(DataRT!$C52,"52 week high",TRUE)</f>
        <v/>
      </c>
      <c r="P52" s="85">
        <f t="array" ref="P52">_FV(DataRT!$C52,"Volume")</f>
        <v/>
      </c>
      <c r="Q52" s="85">
        <f t="array" ref="Q52">_FV(DataRT!$C52,"Volume average",TRUE)</f>
        <v/>
      </c>
      <c r="R52" s="81">
        <f t="array" ref="R52">_FV(DataRT!$C52,"Beta")</f>
        <v/>
      </c>
      <c r="S52" s="86" t="n"/>
      <c r="T52" s="86" t="inlineStr">
        <is>
          <t>V</t>
        </is>
      </c>
      <c r="U52" s="86">
        <f t="array" ref="U52">_FV(DataRT!$C52,"Exchange abbreviation",TRUE)</f>
        <v/>
      </c>
      <c r="V52" s="87">
        <f>IFERROR(DataRT!$P52/DataRT!$Q52,1)</f>
        <v/>
      </c>
      <c r="W52" s="87" t="n"/>
      <c r="X52" s="88">
        <f>_xlfn.XLOOKUP(DataRT!$A52,TickerList!$G51:$G145,TickerList!L51:L145)</f>
        <v/>
      </c>
      <c r="Y52" s="157">
        <f>_xlfn.XLOOKUP(DataRT!$A52,TickerList!$G51:$G145,TickerList!M51:M145)</f>
        <v/>
      </c>
      <c r="Z52" s="157">
        <f>_xlfn.XLOOKUP(DataRT!$A52,TickerList!$G51:$G145,TickerList!N51:N145)</f>
        <v/>
      </c>
      <c r="AA52" s="73">
        <f>_xlfn.XLOOKUP(DataRT!$A52,TickerList!$G51:$G145,TickerList!O51:O145)</f>
        <v/>
      </c>
      <c r="AB52" s="74" t="n">
        <v>0.0001</v>
      </c>
      <c r="AC52" s="75" t="n">
        <v>0.003</v>
      </c>
      <c r="AD52" s="76" t="n">
        <v>21.58</v>
      </c>
      <c r="AE52" s="158">
        <f>_xlfn.LET(_xlpm.New1YT,DataRT!$X52,        _xlpm.Old1YT,IF(ISNUMBER(DataRT!$AD52),DataRT!$AD52,VALUE(LEFT(DataRT!$AD52,FIND("/",DataRT!$AD52,1)-1))),       IF(OR(DataRT!$X52=0,_xlpm.Old1YT=0),0,(_xlpm.New1YT-_xlpm.Old1YT)/_xlpm.Old1YT))</f>
        <v/>
      </c>
      <c r="AF52" s="159">
        <f>TEXT(DataRT!$X52,"#,#0.00")&amp;" &lt; "&amp;DataRT!$AD52</f>
        <v/>
      </c>
    </row>
    <row r="53">
      <c r="A53" s="58">
        <f t="array" ref="A53">_xlfn.SINGLE(DataRT!$S$3:$S$96)&amp;_FV(DataRT!$C53,"Ticker symbol",TRUE)</f>
        <v/>
      </c>
      <c r="B53" s="58">
        <f>D99</f>
        <v/>
      </c>
      <c r="C53" s="68" t="e">
        <v>#VALUE!</v>
      </c>
      <c r="D53" s="60">
        <f t="array" ref="D53">_FV(DataRT!$C53,"Currency")</f>
        <v/>
      </c>
      <c r="E53" s="61">
        <f t="array" ref="E53">_FV(DataRT!$C53,"Last trade time",TRUE)</f>
        <v/>
      </c>
      <c r="F53" s="63">
        <f t="array" ref="F53">_FV(DataRT!$C53,"Previous close",TRUE)</f>
        <v/>
      </c>
      <c r="G53" s="63">
        <f t="array" ref="G53">IFERROR(_FV(DataRT!$C53,"Open"),DataRT!$F53)</f>
        <v/>
      </c>
      <c r="H53" s="63">
        <f t="array" ref="H53">_FV(DataRT!$C53,"Price")</f>
        <v/>
      </c>
      <c r="I53" s="63">
        <f t="array" ref="I53">IFERROR(_FV(DataRT!$C53,"Low"),0)</f>
        <v/>
      </c>
      <c r="J53" s="63">
        <f t="array" ref="J53">IFERROR(_FV(DataRT!$C53,"High"),0)</f>
        <v/>
      </c>
      <c r="K53" s="64">
        <f t="array" ref="K53">IFERROR(_FV(DataRT!$C53,"P/E",TRUE),99)</f>
        <v/>
      </c>
      <c r="L53" s="65">
        <f t="array" ref="L53">_FV(DataRT!$C53,"Change")</f>
        <v/>
      </c>
      <c r="M53" s="66">
        <f t="array" ref="M53">_FV(DataRT!$C53,"Change (%)",TRUE)</f>
        <v/>
      </c>
      <c r="N53" s="63">
        <f t="array" ref="N53">_FV(DataRT!$C53,"52 week low",TRUE)</f>
        <v/>
      </c>
      <c r="O53" s="63">
        <f t="array" ref="O53">_FV(DataRT!$C53,"52 week high",TRUE)</f>
        <v/>
      </c>
      <c r="P53" s="67">
        <f t="array" ref="P53">_FV(DataRT!$C53,"Volume")</f>
        <v/>
      </c>
      <c r="Q53" s="67">
        <f t="array" ref="Q53">_FV(DataRT!$C53,"Volume average",TRUE)</f>
        <v/>
      </c>
      <c r="R53" s="63">
        <f t="array" ref="R53">_FV(DataRT!$C53,"Beta")</f>
        <v/>
      </c>
      <c r="S53" s="68" t="n"/>
      <c r="T53" s="68" t="inlineStr">
        <is>
          <t>V</t>
        </is>
      </c>
      <c r="U53" s="68">
        <f t="array" ref="U53">_FV(DataRT!$C53,"Exchange abbreviation",TRUE)</f>
        <v/>
      </c>
      <c r="V53" s="70">
        <f>IFERROR(DataRT!$P53/DataRT!$Q53,1)</f>
        <v/>
      </c>
      <c r="W53" s="70" t="n"/>
      <c r="X53" s="88">
        <f>_xlfn.XLOOKUP(DataRT!$A53,TickerList!$G52:$G146,TickerList!L52:L146)</f>
        <v/>
      </c>
      <c r="Y53" s="157">
        <f>_xlfn.XLOOKUP(DataRT!$A53,TickerList!$G52:$G146,TickerList!M52:M146)</f>
        <v/>
      </c>
      <c r="Z53" s="157">
        <f>_xlfn.XLOOKUP(DataRT!$A53,TickerList!$G52:$G146,TickerList!N52:N146)</f>
        <v/>
      </c>
      <c r="AA53" s="73">
        <f>_xlfn.XLOOKUP(DataRT!$A53,TickerList!$G52:$G146,TickerList!O52:O146)</f>
        <v/>
      </c>
      <c r="AB53" s="74" t="n">
        <v>0.0001</v>
      </c>
      <c r="AC53" s="75" t="n">
        <v>0.003</v>
      </c>
      <c r="AD53" s="76" t="n">
        <v>132.88</v>
      </c>
      <c r="AE53" s="158">
        <f>_xlfn.LET(_xlpm.New1YT,DataRT!$X53,        _xlpm.Old1YT,IF(ISNUMBER(DataRT!$AD53),DataRT!$AD53,VALUE(LEFT(DataRT!$AD53,FIND("/",DataRT!$AD53,1)-1))),       IF(OR(DataRT!$X53=0,_xlpm.Old1YT=0),0,(_xlpm.New1YT-_xlpm.Old1YT)/_xlpm.Old1YT))</f>
        <v/>
      </c>
      <c r="AF53" s="159">
        <f>TEXT(DataRT!$X53,"#,#0.00")&amp;" &lt; "&amp;DataRT!$AD53</f>
        <v/>
      </c>
    </row>
    <row r="54">
      <c r="A54" s="78">
        <f t="array" ref="A54">_xlfn.SINGLE(DataRT!$S$3:$S$96)&amp;_FV(DataRT!$C54,"Ticker symbol",TRUE)</f>
        <v/>
      </c>
      <c r="B54" s="78">
        <f>D99</f>
        <v/>
      </c>
      <c r="C54" s="86" t="e">
        <v>#VALUE!</v>
      </c>
      <c r="D54" s="60">
        <f t="array" ref="D54">_FV(DataRT!$C54,"Currency")</f>
        <v/>
      </c>
      <c r="E54" s="80">
        <f t="array" ref="E54">_FV(DataRT!$C54,"Last trade time",TRUE)</f>
        <v/>
      </c>
      <c r="F54" s="81">
        <f t="array" ref="F54">_FV(DataRT!$C54,"Previous close",TRUE)</f>
        <v/>
      </c>
      <c r="G54" s="81">
        <f t="array" ref="G54">IFERROR(_FV(DataRT!$C54,"Open"),DataRT!$F54)</f>
        <v/>
      </c>
      <c r="H54" s="81">
        <f t="array" ref="H54">_FV(DataRT!$C54,"Price")</f>
        <v/>
      </c>
      <c r="I54" s="81">
        <f t="array" ref="I54">IFERROR(_FV(DataRT!$C54,"Low"),0)</f>
        <v/>
      </c>
      <c r="J54" s="81">
        <f t="array" ref="J54">IFERROR(_FV(DataRT!$C54,"High"),0)</f>
        <v/>
      </c>
      <c r="K54" s="82">
        <f t="array" ref="K54">IFERROR(_FV(DataRT!$C54,"P/E",TRUE),99)</f>
        <v/>
      </c>
      <c r="L54" s="83">
        <f t="array" ref="L54">_FV(DataRT!$C54,"Change")</f>
        <v/>
      </c>
      <c r="M54" s="84">
        <f t="array" ref="M54">_FV(DataRT!$C54,"Change (%)",TRUE)</f>
        <v/>
      </c>
      <c r="N54" s="81">
        <f t="array" ref="N54">_FV(DataRT!$C54,"52 week low",TRUE)</f>
        <v/>
      </c>
      <c r="O54" s="81">
        <f t="array" ref="O54">_FV(DataRT!$C54,"52 week high",TRUE)</f>
        <v/>
      </c>
      <c r="P54" s="85">
        <f t="array" ref="P54">_FV(DataRT!$C54,"Volume")</f>
        <v/>
      </c>
      <c r="Q54" s="85">
        <f t="array" ref="Q54">_FV(DataRT!$C54,"Volume average",TRUE)</f>
        <v/>
      </c>
      <c r="R54" s="81">
        <f t="array" ref="R54">_FV(DataRT!$C54,"Beta")</f>
        <v/>
      </c>
      <c r="S54" s="86" t="n"/>
      <c r="T54" s="86" t="inlineStr">
        <is>
          <t>V</t>
        </is>
      </c>
      <c r="U54" s="86">
        <f t="array" ref="U54">_FV(DataRT!$C54,"Exchange abbreviation",TRUE)</f>
        <v/>
      </c>
      <c r="V54" s="87">
        <f>IFERROR(DataRT!$P54/DataRT!$Q54,1)</f>
        <v/>
      </c>
      <c r="W54" s="87" t="n"/>
      <c r="X54" s="88">
        <f>_xlfn.XLOOKUP(DataRT!$A54,TickerList!$G53:$G147,TickerList!L53:L147)</f>
        <v/>
      </c>
      <c r="Y54" s="157">
        <f>_xlfn.XLOOKUP(DataRT!$A54,TickerList!$G53:$G147,TickerList!M53:M147)</f>
        <v/>
      </c>
      <c r="Z54" s="157">
        <f>_xlfn.XLOOKUP(DataRT!$A54,TickerList!$G53:$G147,TickerList!N53:N147)</f>
        <v/>
      </c>
      <c r="AA54" s="73">
        <f>_xlfn.XLOOKUP(DataRT!$A54,TickerList!$G53:$G147,TickerList!O53:O147)</f>
        <v/>
      </c>
      <c r="AB54" s="74" t="n">
        <v>0.0001</v>
      </c>
      <c r="AC54" s="75" t="n">
        <v>0.003</v>
      </c>
      <c r="AD54" s="76" t="n">
        <v>18.75</v>
      </c>
      <c r="AE54" s="158">
        <f>_xlfn.LET(_xlpm.New1YT,DataRT!$X54,        _xlpm.Old1YT,IF(ISNUMBER(DataRT!$AD54),DataRT!$AD54,VALUE(LEFT(DataRT!$AD54,FIND("/",DataRT!$AD54,1)-1))),       IF(OR(DataRT!$X54=0,_xlpm.Old1YT=0),0,(_xlpm.New1YT-_xlpm.Old1YT)/_xlpm.Old1YT))</f>
        <v/>
      </c>
      <c r="AF54" s="159">
        <f>TEXT(DataRT!$X54,"#,#0.00")&amp;" &lt; "&amp;DataRT!$AD54</f>
        <v/>
      </c>
    </row>
    <row r="55">
      <c r="A55" s="153">
        <f t="array" ref="A55">_xlfn.SINGLE(DataRT!$S$3:$S$96)&amp;_FV(DataRT!$C55,"Ticker symbol",TRUE)</f>
        <v/>
      </c>
      <c r="B55" s="108" t="n">
        <v>1</v>
      </c>
      <c r="C55" s="68" t="e">
        <v>#VALUE!</v>
      </c>
      <c r="D55" s="109">
        <f t="array" ref="D55">_FV(DataRT!$C55,"Currency")</f>
        <v/>
      </c>
      <c r="E55" s="110">
        <f t="array" ref="E55">_FV(DataRT!$C55,"Last trade time",TRUE)</f>
        <v/>
      </c>
      <c r="F55" s="166">
        <f t="array" ref="F55">_FV(DataRT!$C55,"Previous close",TRUE)</f>
        <v/>
      </c>
      <c r="G55" s="166">
        <f t="array" ref="G55">IFERROR(_FV(DataRT!$C55,"Open"),DataRT!$F55)</f>
        <v/>
      </c>
      <c r="H55" s="166">
        <f t="array" ref="H55">_FV(DataRT!$C55,"Price")</f>
        <v/>
      </c>
      <c r="I55" s="166">
        <f t="array" ref="I55">IFERROR(_FV(DataRT!$C55,"Low"),0)</f>
        <v/>
      </c>
      <c r="J55" s="166">
        <f t="array" ref="J55">IFERROR(_FV(DataRT!$C55,"High"),0)</f>
        <v/>
      </c>
      <c r="K55" s="112">
        <f t="array" ref="K55">IFERROR(_FV(DataRT!$C55,"P/E",TRUE),99)</f>
        <v/>
      </c>
      <c r="L55" s="113">
        <f t="array" ref="L55">_FV(DataRT!$C55,"Change")</f>
        <v/>
      </c>
      <c r="M55" s="114">
        <f t="array" ref="M55">_FV(DataRT!$C55,"Change (%)",TRUE)</f>
        <v/>
      </c>
      <c r="N55" s="166">
        <f t="array" ref="N55">_FV(DataRT!$C55,"52 week low",TRUE)</f>
        <v/>
      </c>
      <c r="O55" s="166">
        <f t="array" ref="O55">_FV(DataRT!$C55,"52 week high",TRUE)</f>
        <v/>
      </c>
      <c r="P55" s="115">
        <f t="array" ref="P55">_FV(DataRT!$C55,"Volume")</f>
        <v/>
      </c>
      <c r="Q55" s="115">
        <f t="array" ref="Q55">_FV(DataRT!$C55,"Volume average",TRUE)</f>
        <v/>
      </c>
      <c r="R55" s="109">
        <f t="array" ref="R55">_FV(DataRT!$C55,"Beta")</f>
        <v/>
      </c>
      <c r="S55" s="116" t="inlineStr">
        <is>
          <t>MVE</t>
        </is>
      </c>
      <c r="T55" s="116" t="inlineStr">
        <is>
          <t>V</t>
        </is>
      </c>
      <c r="U55" s="116">
        <f t="array" ref="U55">_FV(DataRT!$C55,"Exchange abbreviation",TRUE)</f>
        <v/>
      </c>
      <c r="V55" s="117">
        <f>IFERROR(DataRT!$P55/DataRT!$Q55,1)</f>
        <v/>
      </c>
      <c r="W55" s="117" t="n"/>
      <c r="X55" s="88">
        <f>_xlfn.XLOOKUP(DataRT!$A55,TickerList!$G54:$G148,TickerList!L54:L148)</f>
        <v/>
      </c>
      <c r="Y55" s="157">
        <f>_xlfn.XLOOKUP(DataRT!$A55,TickerList!$G54:$G148,TickerList!M54:M148)</f>
        <v/>
      </c>
      <c r="Z55" s="157">
        <f>_xlfn.XLOOKUP(DataRT!$A55,TickerList!$G54:$G148,TickerList!N54:N148)</f>
        <v/>
      </c>
      <c r="AA55" s="73">
        <f>_xlfn.XLOOKUP(DataRT!$A55,TickerList!$G54:$G148,TickerList!O54:O148)</f>
        <v/>
      </c>
      <c r="AB55" s="74" t="n"/>
      <c r="AC55" s="75" t="n">
        <v>0.003</v>
      </c>
      <c r="AD55" s="76" t="n">
        <v>3.87</v>
      </c>
      <c r="AE55" s="158">
        <f>_xlfn.LET(_xlpm.New1YT,DataRT!$X55,        _xlpm.Old1YT,IF(ISNUMBER(DataRT!$AD55),DataRT!$AD55,VALUE(LEFT(DataRT!$AD55,FIND("/",DataRT!$AD55,1)-1))),       IF(OR(DataRT!$X55=0,_xlpm.Old1YT=0),0,(_xlpm.New1YT-_xlpm.Old1YT)/_xlpm.Old1YT))</f>
        <v/>
      </c>
      <c r="AF55" s="159">
        <f>TEXT(DataRT!$X55,"#,#0.00")&amp;" &lt; "&amp;DataRT!$AD55</f>
        <v/>
      </c>
      <c r="AG55" s="20" t="n"/>
      <c r="AH55" s="26" t="n"/>
    </row>
    <row r="56">
      <c r="A56" s="108">
        <f t="array" ref="A56">_xlfn.SINGLE(DataRT!$S$3:$S$96)&amp;_FV(DataRT!$C56,"Ticker symbol",TRUE)</f>
        <v/>
      </c>
      <c r="B56" s="108">
        <f>D99</f>
        <v/>
      </c>
      <c r="C56" s="86" t="e">
        <v>#VALUE!</v>
      </c>
      <c r="D56" s="109">
        <f t="array" ref="D56">_FV(DataRT!$C56,"Currency")</f>
        <v/>
      </c>
      <c r="E56" s="110">
        <f t="array" ref="E56">_FV(DataRT!$C56,"Last trade time",TRUE)</f>
        <v/>
      </c>
      <c r="F56" s="109">
        <f t="array" ref="F56">_FV(DataRT!$C56,"Previous close",TRUE)</f>
        <v/>
      </c>
      <c r="G56" s="109">
        <f t="array" ref="G56">IFERROR(_FV(DataRT!$C56,"Open"),DataRT!$F56)</f>
        <v/>
      </c>
      <c r="H56" s="109">
        <f t="array" ref="H56">_FV(DataRT!$C56,"Price")</f>
        <v/>
      </c>
      <c r="I56" s="109">
        <f t="array" ref="I56">IFERROR(_FV(DataRT!$C56,"Low"),0)</f>
        <v/>
      </c>
      <c r="J56" s="109">
        <f t="array" ref="J56">IFERROR(_FV(DataRT!$C56,"High"),0)</f>
        <v/>
      </c>
      <c r="K56" s="112">
        <f t="array" ref="K56">IFERROR(_FV(DataRT!$C56,"P/E",TRUE),99)</f>
        <v/>
      </c>
      <c r="L56" s="113">
        <f t="array" ref="L56">_FV(DataRT!$C56,"Change")</f>
        <v/>
      </c>
      <c r="M56" s="114">
        <f t="array" ref="M56">_FV(DataRT!$C56,"Change (%)",TRUE)</f>
        <v/>
      </c>
      <c r="N56" s="109">
        <f t="array" ref="N56">_FV(DataRT!$C56,"52 week low",TRUE)</f>
        <v/>
      </c>
      <c r="O56" s="109">
        <f t="array" ref="O56">_FV(DataRT!$C56,"52 week high",TRUE)</f>
        <v/>
      </c>
      <c r="P56" s="115">
        <f t="array" ref="P56">_FV(DataRT!$C56,"Volume")</f>
        <v/>
      </c>
      <c r="Q56" s="115">
        <f t="array" ref="Q56">_FV(DataRT!$C56,"Volume average",TRUE)</f>
        <v/>
      </c>
      <c r="R56" s="109">
        <f t="array" ref="R56">_FV(DataRT!$C56,"Beta")</f>
        <v/>
      </c>
      <c r="S56" s="116" t="inlineStr">
        <is>
          <t>MVE</t>
        </is>
      </c>
      <c r="T56" s="116" t="inlineStr">
        <is>
          <t>M</t>
        </is>
      </c>
      <c r="U56" s="116">
        <f t="array" ref="U56">_FV(DataRT!$C56,"Exchange abbreviation",TRUE)</f>
        <v/>
      </c>
      <c r="V56" s="117">
        <f>IFERROR(DataRT!$P56/DataRT!$Q56,1)</f>
        <v/>
      </c>
      <c r="W56" s="117" t="n"/>
      <c r="X56" s="88">
        <f>_xlfn.XLOOKUP(DataRT!$A56,TickerList!$G55:$G149,TickerList!L55:L149)</f>
        <v/>
      </c>
      <c r="Y56" s="157">
        <f>_xlfn.XLOOKUP(DataRT!$A56,TickerList!$G55:$G149,TickerList!M55:M149)</f>
        <v/>
      </c>
      <c r="Z56" s="157">
        <f>_xlfn.XLOOKUP(DataRT!$A56,TickerList!$G55:$G149,TickerList!N55:N149)</f>
        <v/>
      </c>
      <c r="AA56" s="73">
        <f>_xlfn.XLOOKUP(DataRT!$A56,TickerList!$G55:$G149,TickerList!O55:O149)</f>
        <v/>
      </c>
      <c r="AB56" s="74" t="n">
        <v>0.0001</v>
      </c>
      <c r="AC56" s="75" t="n">
        <v>0.003</v>
      </c>
      <c r="AD56" s="76" t="n">
        <v>3.94</v>
      </c>
      <c r="AE56" s="158">
        <f>_xlfn.LET(_xlpm.New1YT,DataRT!$X56,        _xlpm.Old1YT,IF(ISNUMBER(DataRT!$AD56),DataRT!$AD56,VALUE(LEFT(DataRT!$AD56,FIND("/",DataRT!$AD56,1)-1))),       IF(OR(DataRT!$X56=0,_xlpm.Old1YT=0),0,(_xlpm.New1YT-_xlpm.Old1YT)/_xlpm.Old1YT))</f>
        <v/>
      </c>
      <c r="AF56" s="159">
        <f>TEXT(DataRT!$X56,"#,#0.00")&amp;" &lt; "&amp;DataRT!$AD56</f>
        <v/>
      </c>
      <c r="AG56" s="26" t="n"/>
    </row>
    <row r="57">
      <c r="A57" s="108">
        <f t="array" ref="A57">_xlfn.SINGLE(DataRT!$S$3:$S$96)&amp;_FV(DataRT!$C57,"Ticker symbol",TRUE)</f>
        <v/>
      </c>
      <c r="B57" s="108" t="n">
        <v>1</v>
      </c>
      <c r="C57" s="68" t="e">
        <v>#VALUE!</v>
      </c>
      <c r="D57" s="109">
        <f t="array" ref="D57">_FV(DataRT!$C57,"Currency")</f>
        <v/>
      </c>
      <c r="E57" s="110">
        <f t="array" ref="E57">_FV(DataRT!$C57,"Last trade time",TRUE)</f>
        <v/>
      </c>
      <c r="F57" s="166">
        <f t="array" ref="F57">_FV(DataRT!$C57,"Previous close",TRUE)</f>
        <v/>
      </c>
      <c r="G57" s="166">
        <f t="array" ref="G57">IFERROR(_FV(DataRT!$C57,"Open"),DataRT!$F57)</f>
        <v/>
      </c>
      <c r="H57" s="166">
        <f t="array" ref="H57">_FV(DataRT!$C57,"Price")</f>
        <v/>
      </c>
      <c r="I57" s="166">
        <f t="array" ref="I57">IFERROR(_FV(DataRT!$C57,"Low"),0)</f>
        <v/>
      </c>
      <c r="J57" s="166">
        <f t="array" ref="J57">IFERROR(_FV(DataRT!$C57,"High"),0)</f>
        <v/>
      </c>
      <c r="K57" s="112">
        <f t="array" ref="K57">IFERROR(_FV(DataRT!$C57,"P/E",TRUE),99)</f>
        <v/>
      </c>
      <c r="L57" s="113">
        <f t="array" ref="L57">_FV(DataRT!$C57,"Change")</f>
        <v/>
      </c>
      <c r="M57" s="114">
        <f t="array" ref="M57">_FV(DataRT!$C57,"Change (%)",TRUE)</f>
        <v/>
      </c>
      <c r="N57" s="166">
        <f t="array" ref="N57">_FV(DataRT!$C57,"52 week low",TRUE)</f>
        <v/>
      </c>
      <c r="O57" s="166">
        <f t="array" ref="O57">_FV(DataRT!$C57,"52 week high",TRUE)</f>
        <v/>
      </c>
      <c r="P57" s="115">
        <f t="array" ref="P57">_FV(DataRT!$C57,"Volume")</f>
        <v/>
      </c>
      <c r="Q57" s="115">
        <f t="array" ref="Q57">_FV(DataRT!$C57,"Volume average",TRUE)</f>
        <v/>
      </c>
      <c r="R57" s="109">
        <f t="array" ref="R57">_FV(DataRT!$C57,"Beta")</f>
        <v/>
      </c>
      <c r="S57" s="116" t="inlineStr">
        <is>
          <t>MVE</t>
        </is>
      </c>
      <c r="T57" s="116" t="inlineStr">
        <is>
          <t>M</t>
        </is>
      </c>
      <c r="U57" s="116">
        <f t="array" ref="U57">_FV(DataRT!$C57,"Exchange abbreviation",TRUE)</f>
        <v/>
      </c>
      <c r="V57" s="117">
        <f>IFERROR(DataRT!$P57/DataRT!$Q57,1)</f>
        <v/>
      </c>
      <c r="W57" s="117" t="n"/>
      <c r="X57" s="88">
        <f>_xlfn.XLOOKUP(DataRT!$A57,TickerList!$G56:$G150,TickerList!L56:L150)</f>
        <v/>
      </c>
      <c r="Y57" s="157">
        <f>_xlfn.XLOOKUP(DataRT!$A57,TickerList!$G56:$G150,TickerList!M56:M150)</f>
        <v/>
      </c>
      <c r="Z57" s="157">
        <f>_xlfn.XLOOKUP(DataRT!$A57,TickerList!$G56:$G150,TickerList!N56:N150)</f>
        <v/>
      </c>
      <c r="AA57" s="73">
        <f>_xlfn.XLOOKUP(DataRT!$A57,TickerList!$G56:$G150,TickerList!O56:O150)</f>
        <v/>
      </c>
      <c r="AB57" s="74">
        <f>AB19</f>
        <v/>
      </c>
      <c r="AC57" s="75">
        <f>AC19</f>
        <v/>
      </c>
      <c r="AD57" s="76">
        <f>AD19</f>
        <v/>
      </c>
      <c r="AE57" s="158">
        <f>AE19</f>
        <v/>
      </c>
      <c r="AF57" s="159">
        <f>TEXT(DataRT!$X57,"#,#0.00")&amp;" &lt; "&amp;DataRT!$AD57</f>
        <v/>
      </c>
    </row>
    <row r="58">
      <c r="A58" s="108">
        <f t="array" ref="A58">_xlfn.SINGLE(DataRT!$S$3:$S$96)&amp;_FV(DataRT!$C58,"Ticker symbol",TRUE)</f>
        <v/>
      </c>
      <c r="B58" s="108" t="n">
        <v>1</v>
      </c>
      <c r="C58" s="86" t="e">
        <v>#VALUE!</v>
      </c>
      <c r="D58" s="109">
        <f t="array" ref="D58">_FV(DataRT!$C58,"Currency")</f>
        <v/>
      </c>
      <c r="E58" s="110">
        <f t="array" ref="E58">_FV(DataRT!$C58,"Last trade time",TRUE)</f>
        <v/>
      </c>
      <c r="F58" s="166">
        <f t="array" ref="F58">_FV(DataRT!$C58,"Previous close",TRUE)</f>
        <v/>
      </c>
      <c r="G58" s="166">
        <f t="array" ref="G58">IFERROR(_FV(DataRT!$C58,"Open"),DataRT!$F58)</f>
        <v/>
      </c>
      <c r="H58" s="166">
        <f t="array" ref="H58">_FV(DataRT!$C58,"Price")</f>
        <v/>
      </c>
      <c r="I58" s="166">
        <f t="array" ref="I58">IFERROR(_FV(DataRT!$C58,"Low"),0)</f>
        <v/>
      </c>
      <c r="J58" s="166">
        <f t="array" ref="J58">IFERROR(_FV(DataRT!$C58,"High"),0)</f>
        <v/>
      </c>
      <c r="K58" s="112">
        <f t="array" ref="K58">IFERROR(_FV(DataRT!$C58,"P/E",TRUE),99)</f>
        <v/>
      </c>
      <c r="L58" s="113">
        <f t="array" ref="L58">_FV(DataRT!$C58,"Change")</f>
        <v/>
      </c>
      <c r="M58" s="114">
        <f t="array" ref="M58">_FV(DataRT!$C58,"Change (%)",TRUE)</f>
        <v/>
      </c>
      <c r="N58" s="166">
        <f t="array" ref="N58">_FV(DataRT!$C58,"52 week low",TRUE)</f>
        <v/>
      </c>
      <c r="O58" s="166">
        <f t="array" ref="O58">_FV(DataRT!$C58,"52 week high",TRUE)</f>
        <v/>
      </c>
      <c r="P58" s="115">
        <f t="array" ref="P58">_FV(DataRT!$C58,"Volume")</f>
        <v/>
      </c>
      <c r="Q58" s="115">
        <f t="array" ref="Q58">_FV(DataRT!$C58,"Volume average",TRUE)</f>
        <v/>
      </c>
      <c r="R58" s="109">
        <f t="array" ref="R58">_FV(DataRT!$C58,"Beta")</f>
        <v/>
      </c>
      <c r="S58" s="116" t="inlineStr">
        <is>
          <t>MVE</t>
        </is>
      </c>
      <c r="T58" s="116" t="inlineStr">
        <is>
          <t>M</t>
        </is>
      </c>
      <c r="U58" s="116">
        <f t="array" ref="U58">_FV(DataRT!$C58,"Exchange abbreviation",TRUE)</f>
        <v/>
      </c>
      <c r="V58" s="117">
        <f>IFERROR(DataRT!$P58/DataRT!$Q58,1)</f>
        <v/>
      </c>
      <c r="W58" s="117" t="n"/>
      <c r="X58" s="88">
        <f>_xlfn.XLOOKUP(DataRT!$A58,TickerList!$G57:$G151,TickerList!L57:L151)</f>
        <v/>
      </c>
      <c r="Y58" s="157">
        <f>_xlfn.XLOOKUP(DataRT!$A58,TickerList!$G57:$G151,TickerList!M57:M151)</f>
        <v/>
      </c>
      <c r="Z58" s="157">
        <f>_xlfn.XLOOKUP(DataRT!$A58,TickerList!$G57:$G151,TickerList!N57:N151)</f>
        <v/>
      </c>
      <c r="AA58" s="73">
        <f>_xlfn.XLOOKUP(DataRT!$A58,TickerList!$G57:$G151,TickerList!O57:O151)</f>
        <v/>
      </c>
      <c r="AB58" s="74" t="n"/>
      <c r="AC58" s="75" t="n">
        <v>0.003</v>
      </c>
      <c r="AD58" s="76" t="n">
        <v>14.8</v>
      </c>
      <c r="AE58" s="158">
        <f>_xlfn.LET(_xlpm.New1YT,DataRT!$X58,        _xlpm.Old1YT,IF(ISNUMBER(DataRT!$AD58),DataRT!$AD58,VALUE(LEFT(DataRT!$AD58,FIND("/",DataRT!$AD58,1)-1))),       IF(OR(DataRT!$X58=0,_xlpm.Old1YT=0),0,(_xlpm.New1YT-_xlpm.Old1YT)/_xlpm.Old1YT))</f>
        <v/>
      </c>
      <c r="AF58" s="159">
        <f>TEXT(DataRT!$X58,"#,#0.00")&amp;" &lt; "&amp;DataRT!$AD58</f>
        <v/>
      </c>
    </row>
    <row r="59">
      <c r="A59" s="153">
        <f t="array" ref="A59">_xlfn.SINGLE(DataRT!$S$3:$S$96)&amp;_FV(DataRT!$C59,"Ticker symbol",TRUE)</f>
        <v/>
      </c>
      <c r="B59" s="108" t="n">
        <v>1</v>
      </c>
      <c r="C59" s="68" t="e">
        <v>#VALUE!</v>
      </c>
      <c r="D59" s="109">
        <f t="array" ref="D59">_FV(DataRT!$C59,"Currency")</f>
        <v/>
      </c>
      <c r="E59" s="110">
        <f t="array" ref="E59">_FV(DataRT!$C59,"Last trade time",TRUE)</f>
        <v/>
      </c>
      <c r="F59" s="166">
        <f t="array" ref="F59">_FV(DataRT!$C59,"Previous close",TRUE)</f>
        <v/>
      </c>
      <c r="G59" s="166">
        <f t="array" ref="G59">IFERROR(_FV(DataRT!$C59,"Open"),DataRT!$F59)</f>
        <v/>
      </c>
      <c r="H59" s="166">
        <f t="array" ref="H59">_FV(DataRT!$C59,"Price")</f>
        <v/>
      </c>
      <c r="I59" s="166">
        <f t="array" ref="I59">IFERROR(_FV(DataRT!$C59,"Low"),0)</f>
        <v/>
      </c>
      <c r="J59" s="166">
        <f t="array" ref="J59">IFERROR(_FV(DataRT!$C59,"High"),0)</f>
        <v/>
      </c>
      <c r="K59" s="112">
        <f t="array" ref="K59">IFERROR(_FV(DataRT!$C59,"P/E",TRUE),99)</f>
        <v/>
      </c>
      <c r="L59" s="113">
        <f t="array" ref="L59">_FV(DataRT!$C59,"Change")</f>
        <v/>
      </c>
      <c r="M59" s="114">
        <f t="array" ref="M59">_FV(DataRT!$C59,"Change (%)",TRUE)</f>
        <v/>
      </c>
      <c r="N59" s="166">
        <f t="array" ref="N59">_FV(DataRT!$C59,"52 week low",TRUE)</f>
        <v/>
      </c>
      <c r="O59" s="166">
        <f t="array" ref="O59">_FV(DataRT!$C59,"52 week high",TRUE)</f>
        <v/>
      </c>
      <c r="P59" s="115">
        <f t="array" ref="P59">_FV(DataRT!$C59,"Volume")</f>
        <v/>
      </c>
      <c r="Q59" s="115">
        <f t="array" ref="Q59">_FV(DataRT!$C59,"Volume average",TRUE)</f>
        <v/>
      </c>
      <c r="R59" s="109">
        <f t="array" ref="R59">_FV(DataRT!$C59,"Beta")</f>
        <v/>
      </c>
      <c r="S59" s="116" t="inlineStr">
        <is>
          <t>MVE</t>
        </is>
      </c>
      <c r="T59" s="116" t="inlineStr">
        <is>
          <t>M</t>
        </is>
      </c>
      <c r="U59" s="116">
        <f t="array" ref="U59">_FV(DataRT!$C59,"Exchange abbreviation",TRUE)</f>
        <v/>
      </c>
      <c r="V59" s="117">
        <f>IFERROR(DataRT!$P59/DataRT!$Q59,1)</f>
        <v/>
      </c>
      <c r="W59" s="117" t="n"/>
      <c r="X59" s="88">
        <f>_xlfn.XLOOKUP(DataRT!$A59,TickerList!$G58:$G152,TickerList!L58:L152)</f>
        <v/>
      </c>
      <c r="Y59" s="157">
        <f>_xlfn.XLOOKUP(DataRT!$A59,TickerList!$G58:$G152,TickerList!M58:M152)</f>
        <v/>
      </c>
      <c r="Z59" s="157">
        <f>_xlfn.XLOOKUP(DataRT!$A59,TickerList!$G58:$G152,TickerList!N58:N152)</f>
        <v/>
      </c>
      <c r="AA59" s="73">
        <f>_xlfn.XLOOKUP(DataRT!$A59,TickerList!$G58:$G152,TickerList!O58:O152)</f>
        <v/>
      </c>
      <c r="AB59" s="74">
        <f>AB75</f>
        <v/>
      </c>
      <c r="AC59" s="75">
        <f>AC75</f>
        <v/>
      </c>
      <c r="AD59" s="76">
        <f>AD75</f>
        <v/>
      </c>
      <c r="AE59" s="158">
        <f>_xlfn.LET(_xlpm.New1YT,DataRT!$X59,        _xlpm.Old1YT,IF(ISNUMBER(DataRT!$AD59),DataRT!$AD59,VALUE(LEFT(DataRT!$AD59,FIND("/",DataRT!$AD59,1)-1))),       IF(OR(DataRT!$X59=0,_xlpm.Old1YT=0),0,(_xlpm.New1YT-_xlpm.Old1YT)/_xlpm.Old1YT))</f>
        <v/>
      </c>
      <c r="AF59" s="159">
        <f>TEXT(DataRT!$X59,"#,#0.00")&amp;" &lt; "&amp;DataRT!$AD59</f>
        <v/>
      </c>
    </row>
    <row r="60">
      <c r="A60" s="108">
        <f t="array" ref="A60">_xlfn.SINGLE(DataRT!$S$3:$S$96)&amp;_FV(DataRT!$C60,"Ticker symbol",TRUE)</f>
        <v/>
      </c>
      <c r="B60" s="108">
        <f>D99</f>
        <v/>
      </c>
      <c r="C60" s="86" t="e">
        <v>#VALUE!</v>
      </c>
      <c r="D60" s="109">
        <f t="array" ref="D60">_FV(DataRT!$C60,"Currency")</f>
        <v/>
      </c>
      <c r="E60" s="110">
        <f t="array" ref="E60">_FV(DataRT!$C60,"Last trade time",TRUE)</f>
        <v/>
      </c>
      <c r="F60" s="109">
        <f t="array" ref="F60">_FV(DataRT!$C60,"Previous close",TRUE)</f>
        <v/>
      </c>
      <c r="G60" s="109">
        <f t="array" ref="G60">IFERROR(_FV(DataRT!$C60,"Open"),DataRT!$F60)</f>
        <v/>
      </c>
      <c r="H60" s="109">
        <f t="array" ref="H60">_FV(DataRT!$C60,"Price")</f>
        <v/>
      </c>
      <c r="I60" s="109">
        <f t="array" ref="I60">IFERROR(_FV(DataRT!$C60,"Low"),0)</f>
        <v/>
      </c>
      <c r="J60" s="109">
        <f t="array" ref="J60">IFERROR(_FV(DataRT!$C60,"High"),0)</f>
        <v/>
      </c>
      <c r="K60" s="112">
        <f t="array" ref="K60">IFERROR(_FV(DataRT!$C60,"P/E",TRUE),99)</f>
        <v/>
      </c>
      <c r="L60" s="113">
        <f t="array" ref="L60">_FV(DataRT!$C60,"Change")</f>
        <v/>
      </c>
      <c r="M60" s="114">
        <f t="array" ref="M60">_FV(DataRT!$C60,"Change (%)",TRUE)</f>
        <v/>
      </c>
      <c r="N60" s="109">
        <f t="array" ref="N60">_FV(DataRT!$C60,"52 week low",TRUE)</f>
        <v/>
      </c>
      <c r="O60" s="109">
        <f t="array" ref="O60">_FV(DataRT!$C60,"52 week high",TRUE)</f>
        <v/>
      </c>
      <c r="P60" s="115">
        <f t="array" ref="P60">_FV(DataRT!$C60,"Volume")</f>
        <v/>
      </c>
      <c r="Q60" s="115">
        <f t="array" ref="Q60">_FV(DataRT!$C60,"Volume average",TRUE)</f>
        <v/>
      </c>
      <c r="R60" s="109">
        <f t="array" ref="R60">_FV(DataRT!$C60,"Beta")</f>
        <v/>
      </c>
      <c r="S60" s="116" t="inlineStr">
        <is>
          <t>MVE</t>
        </is>
      </c>
      <c r="T60" s="116" t="inlineStr">
        <is>
          <t>M</t>
        </is>
      </c>
      <c r="U60" s="116">
        <f t="array" ref="U60">_FV(DataRT!$C60,"Exchange abbreviation",TRUE)</f>
        <v/>
      </c>
      <c r="V60" s="117">
        <f>IFERROR(DataRT!$P60/DataRT!$Q60,1)</f>
        <v/>
      </c>
      <c r="W60" s="117" t="n"/>
      <c r="X60" s="88">
        <f>_xlfn.XLOOKUP(DataRT!$A60,TickerList!$G59:$G153,TickerList!L59:L153)</f>
        <v/>
      </c>
      <c r="Y60" s="157">
        <f>_xlfn.XLOOKUP(DataRT!$A60,TickerList!$G59:$G153,TickerList!M59:M153)</f>
        <v/>
      </c>
      <c r="Z60" s="157">
        <f>_xlfn.XLOOKUP(DataRT!$A60,TickerList!$G59:$G153,TickerList!N59:N153)</f>
        <v/>
      </c>
      <c r="AA60" s="73">
        <f>_xlfn.XLOOKUP(DataRT!$A60,TickerList!$G59:$G153,TickerList!O59:O153)</f>
        <v/>
      </c>
      <c r="AB60" s="74" t="n">
        <v>0.0001</v>
      </c>
      <c r="AC60" s="75" t="n">
        <v>0.003</v>
      </c>
      <c r="AD60" s="76" t="n">
        <v>9.32</v>
      </c>
      <c r="AE60" s="158">
        <f>_xlfn.LET(_xlpm.New1YT,DataRT!$X60,        _xlpm.Old1YT,IF(ISNUMBER(DataRT!$AD60),DataRT!$AD60,VALUE(LEFT(DataRT!$AD60,FIND("/",DataRT!$AD60,1)-1))),       IF(OR(DataRT!$X60=0,_xlpm.Old1YT=0),0,(_xlpm.New1YT-_xlpm.Old1YT)/_xlpm.Old1YT))</f>
        <v/>
      </c>
      <c r="AF60" s="159">
        <f>TEXT(DataRT!$X60,"#,#0.00")&amp;" &lt; "&amp;DataRT!$AD60</f>
        <v/>
      </c>
    </row>
    <row r="61">
      <c r="A61" s="108">
        <f t="array" ref="A61">_xlfn.SINGLE(DataRT!$S$3:$S$96)&amp;_FV(DataRT!$C61,"Ticker symbol",TRUE)</f>
        <v/>
      </c>
      <c r="B61" s="108" t="n">
        <v>1</v>
      </c>
      <c r="C61" s="68" t="e">
        <v>#VALUE!</v>
      </c>
      <c r="D61" s="109">
        <f t="array" ref="D61">_FV(DataRT!$C61,"Currency")</f>
        <v/>
      </c>
      <c r="E61" s="110">
        <f t="array" ref="E61">_FV(DataRT!$C61,"Last trade time",TRUE)</f>
        <v/>
      </c>
      <c r="F61" s="166">
        <f t="array" ref="F61">_FV(DataRT!$C61,"Previous close",TRUE)</f>
        <v/>
      </c>
      <c r="G61" s="166">
        <f t="array" ref="G61">IFERROR(_FV(DataRT!$C61,"Open"),DataRT!$F61)</f>
        <v/>
      </c>
      <c r="H61" s="166">
        <f t="array" ref="H61">_FV(DataRT!$C61,"Price")</f>
        <v/>
      </c>
      <c r="I61" s="166">
        <f t="array" ref="I61">IFERROR(_FV(DataRT!$C61,"Low"),0)</f>
        <v/>
      </c>
      <c r="J61" s="166">
        <f t="array" ref="J61">IFERROR(_FV(DataRT!$C61,"High"),0)</f>
        <v/>
      </c>
      <c r="K61" s="112">
        <f t="array" ref="K61">IFERROR(_FV(DataRT!$C61,"P/E",TRUE),99)</f>
        <v/>
      </c>
      <c r="L61" s="113">
        <f t="array" ref="L61">_FV(DataRT!$C61,"Change")</f>
        <v/>
      </c>
      <c r="M61" s="114">
        <f t="array" ref="M61">_FV(DataRT!$C61,"Change (%)",TRUE)</f>
        <v/>
      </c>
      <c r="N61" s="166">
        <f t="array" ref="N61">_FV(DataRT!$C61,"52 week low",TRUE)</f>
        <v/>
      </c>
      <c r="O61" s="166">
        <f t="array" ref="O61">_FV(DataRT!$C61,"52 week high",TRUE)</f>
        <v/>
      </c>
      <c r="P61" s="115">
        <f t="array" ref="P61">_FV(DataRT!$C61,"Volume")</f>
        <v/>
      </c>
      <c r="Q61" s="115">
        <f t="array" ref="Q61">_FV(DataRT!$C61,"Volume average",TRUE)</f>
        <v/>
      </c>
      <c r="R61" s="109">
        <f t="array" ref="R61">_FV(DataRT!$C61,"Beta")</f>
        <v/>
      </c>
      <c r="S61" s="116" t="inlineStr">
        <is>
          <t>MVE</t>
        </is>
      </c>
      <c r="T61" s="116" t="inlineStr">
        <is>
          <t>M</t>
        </is>
      </c>
      <c r="U61" s="116">
        <f t="array" ref="U61">_FV(DataRT!$C61,"Exchange abbreviation",TRUE)</f>
        <v/>
      </c>
      <c r="V61" s="117">
        <f>IFERROR(DataRT!$P61/DataRT!$Q61,1)</f>
        <v/>
      </c>
      <c r="W61" s="117" t="n"/>
      <c r="X61" s="88">
        <f>_xlfn.XLOOKUP(DataRT!$A61,TickerList!$G60:$G154,TickerList!L60:L154)</f>
        <v/>
      </c>
      <c r="Y61" s="157">
        <f>_xlfn.XLOOKUP(DataRT!$A61,TickerList!$G60:$G154,TickerList!M60:M154)</f>
        <v/>
      </c>
      <c r="Z61" s="157">
        <f>_xlfn.XLOOKUP(DataRT!$A61,TickerList!$G60:$G154,TickerList!N60:N154)</f>
        <v/>
      </c>
      <c r="AA61" s="73">
        <f>_xlfn.XLOOKUP(DataRT!$A61,TickerList!$G60:$G154,TickerList!O60:O154)</f>
        <v/>
      </c>
      <c r="AB61" s="74">
        <f>AB78</f>
        <v/>
      </c>
      <c r="AC61" s="75">
        <f>AC78</f>
        <v/>
      </c>
      <c r="AD61" s="76">
        <f>AD78</f>
        <v/>
      </c>
      <c r="AE61" s="158">
        <f>_xlfn.LET(_xlpm.New1YT,DataRT!$X61,        _xlpm.Old1YT,IF(ISNUMBER(DataRT!$AD61),DataRT!$AD61,VALUE(LEFT(DataRT!$AD61,FIND("/",DataRT!$AD61,1)-1))),       IF(OR(DataRT!$X61=0,_xlpm.Old1YT=0),0,(_xlpm.New1YT-_xlpm.Old1YT)/_xlpm.Old1YT))</f>
        <v/>
      </c>
      <c r="AF61" s="159">
        <f>TEXT(DataRT!$X61,"#,#0.00")&amp;" &lt; "&amp;DataRT!$AD61</f>
        <v/>
      </c>
    </row>
    <row r="62">
      <c r="A62" s="108">
        <f t="array" ref="A62">_xlfn.SINGLE(DataRT!$S$3:$S$96)&amp;_FV(DataRT!$C62,"Ticker symbol",TRUE)</f>
        <v/>
      </c>
      <c r="B62" s="108" t="n">
        <v>1</v>
      </c>
      <c r="C62" s="86" t="e">
        <v>#VALUE!</v>
      </c>
      <c r="D62" s="109">
        <f t="array" ref="D62">_FV(DataRT!$C62,"Currency")</f>
        <v/>
      </c>
      <c r="E62" s="110">
        <f t="array" ref="E62">_FV(DataRT!$C62,"Last trade time",TRUE)</f>
        <v/>
      </c>
      <c r="F62" s="166">
        <f t="array" ref="F62">_FV(DataRT!$C62,"Previous close",TRUE)</f>
        <v/>
      </c>
      <c r="G62" s="166">
        <f t="array" ref="G62">IFERROR(_FV(DataRT!$C62,"Open"),DataRT!$F62)</f>
        <v/>
      </c>
      <c r="H62" s="166">
        <f t="array" ref="H62">_FV(DataRT!$C62,"Price")</f>
        <v/>
      </c>
      <c r="I62" s="166">
        <f t="array" ref="I62">IFERROR(_FV(DataRT!$C62,"Low"),0)</f>
        <v/>
      </c>
      <c r="J62" s="166">
        <f t="array" ref="J62">IFERROR(_FV(DataRT!$C62,"High"),0)</f>
        <v/>
      </c>
      <c r="K62" s="112">
        <f t="array" ref="K62">IFERROR(_FV(DataRT!$C62,"P/E",TRUE),99)</f>
        <v/>
      </c>
      <c r="L62" s="113">
        <f t="array" ref="L62">_FV(DataRT!$C62,"Change")</f>
        <v/>
      </c>
      <c r="M62" s="114">
        <f t="array" ref="M62">_FV(DataRT!$C62,"Change (%)",TRUE)</f>
        <v/>
      </c>
      <c r="N62" s="166">
        <f t="array" ref="N62">_FV(DataRT!$C62,"52 week low",TRUE)</f>
        <v/>
      </c>
      <c r="O62" s="166">
        <f t="array" ref="O62">_FV(DataRT!$C62,"52 week high",TRUE)</f>
        <v/>
      </c>
      <c r="P62" s="115">
        <f t="array" ref="P62">_FV(DataRT!$C62,"Volume")</f>
        <v/>
      </c>
      <c r="Q62" s="115">
        <f t="array" ref="Q62">_FV(DataRT!$C62,"Volume average",TRUE)</f>
        <v/>
      </c>
      <c r="R62" s="109">
        <f t="array" ref="R62">_FV(DataRT!$C62,"Beta")</f>
        <v/>
      </c>
      <c r="S62" s="116" t="inlineStr">
        <is>
          <t>MVE</t>
        </is>
      </c>
      <c r="T62" s="116" t="inlineStr">
        <is>
          <t>M</t>
        </is>
      </c>
      <c r="U62" s="116">
        <f t="array" ref="U62">_FV(DataRT!$C62,"Exchange abbreviation",TRUE)</f>
        <v/>
      </c>
      <c r="V62" s="117">
        <f>IFERROR(DataRT!$P62/DataRT!$Q62,1)</f>
        <v/>
      </c>
      <c r="W62" s="117" t="n"/>
      <c r="X62" s="88">
        <f>_xlfn.XLOOKUP(DataRT!$A62,TickerList!$G61:$G155,TickerList!L61:L155)</f>
        <v/>
      </c>
      <c r="Y62" s="157">
        <f>_xlfn.XLOOKUP(DataRT!$A62,TickerList!$G61:$G155,TickerList!M61:M155)</f>
        <v/>
      </c>
      <c r="Z62" s="157">
        <f>_xlfn.XLOOKUP(DataRT!$A62,TickerList!$G61:$G155,TickerList!N61:N155)</f>
        <v/>
      </c>
      <c r="AA62" s="73">
        <f>_xlfn.XLOOKUP(DataRT!$A62,TickerList!$G61:$G155,TickerList!O61:O155)</f>
        <v/>
      </c>
      <c r="AB62" s="74">
        <f>AB86</f>
        <v/>
      </c>
      <c r="AC62" s="75">
        <f>AC86</f>
        <v/>
      </c>
      <c r="AD62" s="76">
        <f>AD86</f>
        <v/>
      </c>
      <c r="AE62" s="158">
        <f>_xlfn.LET(_xlpm.New1YT,DataRT!$X62,        _xlpm.Old1YT,IF(ISNUMBER(DataRT!$AD62),DataRT!$AD62,VALUE(LEFT(DataRT!$AD62,FIND("/",DataRT!$AD62,1)-1))),       IF(OR(DataRT!$X62=0,_xlpm.Old1YT=0),0,(_xlpm.New1YT-_xlpm.Old1YT)/_xlpm.Old1YT))</f>
        <v/>
      </c>
      <c r="AF62" s="159">
        <f>TEXT(DataRT!$X62,"#,#0.00")&amp;" &lt; "&amp;DataRT!$AD62</f>
        <v/>
      </c>
    </row>
    <row r="63">
      <c r="A63" s="108">
        <f t="array" ref="A63">_xlfn.SINGLE(DataRT!$S$3:$S$96)&amp;_FV(DataRT!$C63,"Ticker symbol",TRUE)</f>
        <v/>
      </c>
      <c r="B63" s="108" t="n">
        <v>1</v>
      </c>
      <c r="C63" s="68" t="e">
        <v>#VALUE!</v>
      </c>
      <c r="D63" s="109">
        <f t="array" ref="D63">_FV(DataRT!$C63,"Currency")</f>
        <v/>
      </c>
      <c r="E63" s="110">
        <f t="array" ref="E63">_FV(DataRT!$C63,"Last trade time",TRUE)</f>
        <v/>
      </c>
      <c r="F63" s="166">
        <f t="array" ref="F63">_FV(DataRT!$C63,"Previous close",TRUE)</f>
        <v/>
      </c>
      <c r="G63" s="166">
        <f t="array" ref="G63">IFERROR(_FV(DataRT!$C63,"Open"),DataRT!$F63)</f>
        <v/>
      </c>
      <c r="H63" s="166">
        <f t="array" ref="H63">_FV(DataRT!$C63,"Price")</f>
        <v/>
      </c>
      <c r="I63" s="166">
        <f t="array" ref="I63">IFERROR(_FV(DataRT!$C63,"Low"),0)</f>
        <v/>
      </c>
      <c r="J63" s="166">
        <f t="array" ref="J63">IFERROR(_FV(DataRT!$C63,"High"),0)</f>
        <v/>
      </c>
      <c r="K63" s="112">
        <f t="array" ref="K63">IFERROR(_FV(DataRT!$C63,"P/E",TRUE),99)</f>
        <v/>
      </c>
      <c r="L63" s="113">
        <f t="array" ref="L63">_FV(DataRT!$C63,"Change")</f>
        <v/>
      </c>
      <c r="M63" s="114">
        <f t="array" ref="M63">_FV(DataRT!$C63,"Change (%)",TRUE)</f>
        <v/>
      </c>
      <c r="N63" s="166">
        <f t="array" ref="N63">_FV(DataRT!$C63,"52 week low",TRUE)</f>
        <v/>
      </c>
      <c r="O63" s="166">
        <f t="array" ref="O63">_FV(DataRT!$C63,"52 week high",TRUE)</f>
        <v/>
      </c>
      <c r="P63" s="115">
        <f t="array" ref="P63">_FV(DataRT!$C63,"Volume")</f>
        <v/>
      </c>
      <c r="Q63" s="115">
        <f t="array" ref="Q63">_FV(DataRT!$C63,"Volume average",TRUE)</f>
        <v/>
      </c>
      <c r="R63" s="109">
        <f t="array" ref="R63">_FV(DataRT!$C63,"Beta")</f>
        <v/>
      </c>
      <c r="S63" s="116" t="inlineStr">
        <is>
          <t>MVE</t>
        </is>
      </c>
      <c r="T63" s="116" t="inlineStr">
        <is>
          <t>M</t>
        </is>
      </c>
      <c r="U63" s="116">
        <f t="array" ref="U63">_FV(DataRT!$C63,"Exchange abbreviation",TRUE)</f>
        <v/>
      </c>
      <c r="V63" s="117">
        <f>IFERROR(DataRT!$P63/DataRT!$Q63,1)</f>
        <v/>
      </c>
      <c r="W63" s="117" t="n"/>
      <c r="X63" s="88">
        <f>_xlfn.XLOOKUP(DataRT!$A63,TickerList!$G62:$G156,TickerList!L62:L156)</f>
        <v/>
      </c>
      <c r="Y63" s="157">
        <f>_xlfn.XLOOKUP(DataRT!$A63,TickerList!$G62:$G156,TickerList!M62:M156)</f>
        <v/>
      </c>
      <c r="Z63" s="157">
        <f>_xlfn.XLOOKUP(DataRT!$A63,TickerList!$G62:$G156,TickerList!N62:N156)</f>
        <v/>
      </c>
      <c r="AA63" s="73">
        <f>_xlfn.XLOOKUP(DataRT!$A63,TickerList!$G62:$G156,TickerList!O62:O156)</f>
        <v/>
      </c>
      <c r="AB63" s="74" t="n"/>
      <c r="AC63" s="75" t="n">
        <v>0.003</v>
      </c>
      <c r="AD63" s="76" t="n">
        <v>44.4</v>
      </c>
      <c r="AE63" s="158">
        <f>_xlfn.LET(_xlpm.New1YT,DataRT!$X63,        _xlpm.Old1YT,IF(ISNUMBER(DataRT!$AD63),DataRT!$AD63,VALUE(LEFT(DataRT!$AD63,FIND("/",DataRT!$AD63,1)-1))),       IF(OR(DataRT!$X63=0,_xlpm.Old1YT=0),0,(_xlpm.New1YT-_xlpm.Old1YT)/_xlpm.Old1YT))</f>
        <v/>
      </c>
      <c r="AF63" s="159">
        <f>TEXT(DataRT!$X63,"#,#0.00")&amp;" &lt; "&amp;DataRT!$AD63</f>
        <v/>
      </c>
    </row>
    <row r="64">
      <c r="A64" s="108">
        <f t="array" ref="A64">_xlfn.SINGLE(DataRT!$S$3:$S$96)&amp;_FV(DataRT!$C64,"Ticker symbol",TRUE)</f>
        <v/>
      </c>
      <c r="B64" s="108" t="n">
        <v>1</v>
      </c>
      <c r="C64" s="86" t="e">
        <v>#VALUE!</v>
      </c>
      <c r="D64" s="109">
        <f t="array" ref="D64">_FV(DataRT!$C64,"Currency")</f>
        <v/>
      </c>
      <c r="E64" s="110">
        <f t="array" ref="E64">_FV(DataRT!$C64,"Last trade time",TRUE)</f>
        <v/>
      </c>
      <c r="F64" s="166">
        <f t="array" ref="F64">_FV(DataRT!$C64,"Previous close",TRUE)</f>
        <v/>
      </c>
      <c r="G64" s="166">
        <f t="array" ref="G64">IFERROR(_FV(DataRT!$C64,"Open"),DataRT!$F64)</f>
        <v/>
      </c>
      <c r="H64" s="166">
        <f t="array" ref="H64">_FV(DataRT!$C64,"Price")</f>
        <v/>
      </c>
      <c r="I64" s="166">
        <f t="array" ref="I64">IFERROR(_FV(DataRT!$C64,"Low"),0)</f>
        <v/>
      </c>
      <c r="J64" s="166">
        <f t="array" ref="J64">IFERROR(_FV(DataRT!$C64,"High"),0)</f>
        <v/>
      </c>
      <c r="K64" s="112">
        <f t="array" ref="K64">IFERROR(_FV(DataRT!$C64,"P/E",TRUE),99)</f>
        <v/>
      </c>
      <c r="L64" s="113">
        <f t="array" ref="L64">_FV(DataRT!$C64,"Change")</f>
        <v/>
      </c>
      <c r="M64" s="114">
        <f t="array" ref="M64">_FV(DataRT!$C64,"Change (%)",TRUE)</f>
        <v/>
      </c>
      <c r="N64" s="166">
        <f t="array" ref="N64">_FV(DataRT!$C64,"52 week low",TRUE)</f>
        <v/>
      </c>
      <c r="O64" s="166">
        <f t="array" ref="O64">_FV(DataRT!$C64,"52 week high",TRUE)</f>
        <v/>
      </c>
      <c r="P64" s="115">
        <f t="array" ref="P64">_FV(DataRT!$C64,"Volume")</f>
        <v/>
      </c>
      <c r="Q64" s="115">
        <f t="array" ref="Q64">_FV(DataRT!$C64,"Volume average",TRUE)</f>
        <v/>
      </c>
      <c r="R64" s="166">
        <f t="array" ref="R64">_FV(DataRT!$C64,"Beta")</f>
        <v/>
      </c>
      <c r="S64" s="116" t="inlineStr">
        <is>
          <t>MVE</t>
        </is>
      </c>
      <c r="T64" s="116" t="inlineStr">
        <is>
          <t>M</t>
        </is>
      </c>
      <c r="U64" s="116">
        <f t="array" ref="U64">_FV(DataRT!$C64,"Exchange abbreviation",TRUE)</f>
        <v/>
      </c>
      <c r="V64" s="117">
        <f>IFERROR(DataRT!$P64/DataRT!$Q64,1)</f>
        <v/>
      </c>
      <c r="W64" s="117" t="n"/>
      <c r="X64" s="88">
        <f>_xlfn.XLOOKUP(DataRT!$A64,TickerList!$G63:$G157,TickerList!L63:L157)</f>
        <v/>
      </c>
      <c r="Y64" s="157">
        <f>_xlfn.XLOOKUP(DataRT!$A64,TickerList!$G63:$G157,TickerList!M63:M157)</f>
        <v/>
      </c>
      <c r="Z64" s="157">
        <f>_xlfn.XLOOKUP(DataRT!$A64,TickerList!$G63:$G157,TickerList!N63:N157)</f>
        <v/>
      </c>
      <c r="AA64" s="73">
        <f>_xlfn.XLOOKUP(DataRT!$A64,TickerList!$G63:$G157,TickerList!O63:O157)</f>
        <v/>
      </c>
      <c r="AB64" s="74" t="n"/>
      <c r="AC64" s="75" t="n">
        <v>0.003</v>
      </c>
      <c r="AD64" s="76" t="n">
        <v>312.72</v>
      </c>
      <c r="AE64" s="158">
        <f>_xlfn.LET(_xlpm.New1YT,DataRT!$X64,        _xlpm.Old1YT,IF(ISNUMBER(DataRT!$AD64),DataRT!$AD64,VALUE(LEFT(DataRT!$AD64,FIND("/",DataRT!$AD64,1)-1))),       IF(OR(DataRT!$X64=0,_xlpm.Old1YT=0),0,(_xlpm.New1YT-_xlpm.Old1YT)/_xlpm.Old1YT))</f>
        <v/>
      </c>
      <c r="AF64" s="159">
        <f>TEXT(DataRT!$X64,"#,#0.00")&amp;" &lt; "&amp;DataRT!$AD64</f>
        <v/>
      </c>
    </row>
    <row r="65">
      <c r="A65" s="108">
        <f t="array" ref="A65">_xlfn.SINGLE(DataRT!$S$3:$S$96)&amp;_FV(DataRT!$C65,"Ticker symbol",TRUE)</f>
        <v/>
      </c>
      <c r="B65" s="108" t="n">
        <v>1</v>
      </c>
      <c r="C65" s="68" t="e">
        <v>#VALUE!</v>
      </c>
      <c r="D65" s="109">
        <f t="array" ref="D65">_FV(DataRT!$C65,"Currency")</f>
        <v/>
      </c>
      <c r="E65" s="110">
        <f t="array" ref="E65">_FV(DataRT!$C65,"Last trade time",TRUE)</f>
        <v/>
      </c>
      <c r="F65" s="166">
        <f t="array" ref="F65">_FV(DataRT!$C65,"Previous close",TRUE)</f>
        <v/>
      </c>
      <c r="G65" s="166">
        <f t="array" ref="G65">IFERROR(_FV(DataRT!$C65,"Open"),DataRT!$F65)</f>
        <v/>
      </c>
      <c r="H65" s="166">
        <f t="array" ref="H65">_FV(DataRT!$C65,"Price")</f>
        <v/>
      </c>
      <c r="I65" s="166">
        <f t="array" ref="I65">IFERROR(_FV(DataRT!$C65,"Low"),0)</f>
        <v/>
      </c>
      <c r="J65" s="166">
        <f t="array" ref="J65">IFERROR(_FV(DataRT!$C65,"High"),0)</f>
        <v/>
      </c>
      <c r="K65" s="112">
        <f t="array" ref="K65">IFERROR(_FV(DataRT!$C65,"P/E",TRUE),99)</f>
        <v/>
      </c>
      <c r="L65" s="113">
        <f t="array" ref="L65">_FV(DataRT!$C65,"Change")</f>
        <v/>
      </c>
      <c r="M65" s="114">
        <f t="array" ref="M65">_FV(DataRT!$C65,"Change (%)",TRUE)</f>
        <v/>
      </c>
      <c r="N65" s="166">
        <f t="array" ref="N65">_FV(DataRT!$C65,"52 week low",TRUE)</f>
        <v/>
      </c>
      <c r="O65" s="166">
        <f t="array" ref="O65">_FV(DataRT!$C65,"52 week high",TRUE)</f>
        <v/>
      </c>
      <c r="P65" s="115">
        <f t="array" ref="P65">_FV(DataRT!$C65,"Volume")</f>
        <v/>
      </c>
      <c r="Q65" s="115">
        <f t="array" ref="Q65">_FV(DataRT!$C65,"Volume average",TRUE)</f>
        <v/>
      </c>
      <c r="R65" s="109">
        <f t="array" ref="R65">_FV(DataRT!$C65,"Beta")</f>
        <v/>
      </c>
      <c r="S65" s="116" t="inlineStr">
        <is>
          <t>MVE</t>
        </is>
      </c>
      <c r="T65" s="116" t="inlineStr">
        <is>
          <t>M</t>
        </is>
      </c>
      <c r="U65" s="116">
        <f t="array" ref="U65">_FV(DataRT!$C65,"Exchange abbreviation",TRUE)</f>
        <v/>
      </c>
      <c r="V65" s="117">
        <f>IFERROR(DataRT!$P65/DataRT!$Q65,1)</f>
        <v/>
      </c>
      <c r="W65" s="117" t="n"/>
      <c r="X65" s="88">
        <f>_xlfn.XLOOKUP(DataRT!$A65,TickerList!$G64:$G158,TickerList!L64:L158)</f>
        <v/>
      </c>
      <c r="Y65" s="157">
        <f>_xlfn.XLOOKUP(DataRT!$A65,TickerList!$G64:$G158,TickerList!M64:M158)</f>
        <v/>
      </c>
      <c r="Z65" s="157">
        <f>_xlfn.XLOOKUP(DataRT!$A65,TickerList!$G64:$G158,TickerList!N64:N158)</f>
        <v/>
      </c>
      <c r="AA65" s="73">
        <f>_xlfn.XLOOKUP(DataRT!$A65,TickerList!$G64:$G158,TickerList!O64:O158)</f>
        <v/>
      </c>
      <c r="AB65" s="74">
        <f>AB48</f>
        <v/>
      </c>
      <c r="AC65" s="75">
        <f>AC48</f>
        <v/>
      </c>
      <c r="AD65" s="76" t="n">
        <v>45.9</v>
      </c>
      <c r="AE65" s="158">
        <f>_xlfn.LET(_xlpm.New1YT,DataRT!$X65,        _xlpm.Old1YT,IF(ISNUMBER(DataRT!$AD65),DataRT!$AD65,VALUE(LEFT(DataRT!$AD65,FIND("/",DataRT!$AD65,1)-1))),       IF(OR(DataRT!$X65=0,_xlpm.Old1YT=0),0,(_xlpm.New1YT-_xlpm.Old1YT)/_xlpm.Old1YT))</f>
        <v/>
      </c>
      <c r="AF65" s="159">
        <f>TEXT(DataRT!$X65,"#,#0.00")&amp;" &lt; "&amp;DataRT!$AD65</f>
        <v/>
      </c>
    </row>
    <row r="66">
      <c r="A66" s="96">
        <f t="array" ref="A66">_xlfn.SINGLE(DataRT!$S$3:$S$96)&amp;_FV(DataRT!$C66,"Ticker symbol",TRUE)</f>
        <v/>
      </c>
      <c r="B66" s="96">
        <f>D99</f>
        <v/>
      </c>
      <c r="C66" s="86" t="e">
        <v>#VALUE!</v>
      </c>
      <c r="D66" s="60">
        <f t="array" ref="D66">_FV(DataRT!$C66,"Currency")</f>
        <v/>
      </c>
      <c r="E66" s="80">
        <f t="array" ref="E66">_FV(DataRT!$C66,"Last trade time",TRUE)</f>
        <v/>
      </c>
      <c r="F66" s="81">
        <f t="array" ref="F66">_FV(DataRT!$C66,"Previous close",TRUE)</f>
        <v/>
      </c>
      <c r="G66" s="81">
        <f t="array" ref="G66">IFERROR(_FV(DataRT!$C66,"Open"),DataRT!$F66)</f>
        <v/>
      </c>
      <c r="H66" s="81">
        <f t="array" ref="H66">_FV(DataRT!$C66,"Price")</f>
        <v/>
      </c>
      <c r="I66" s="81">
        <f t="array" ref="I66">IFERROR(_FV(DataRT!$C66,"Low"),0)</f>
        <v/>
      </c>
      <c r="J66" s="81">
        <f t="array" ref="J66">IFERROR(_FV(DataRT!$C66,"High"),0)</f>
        <v/>
      </c>
      <c r="K66" s="82">
        <f t="array" ref="K66">IFERROR(_FV(DataRT!$C66,"P/E",TRUE),99)</f>
        <v/>
      </c>
      <c r="L66" s="83">
        <f t="array" ref="L66">_FV(DataRT!$C66,"Change")</f>
        <v/>
      </c>
      <c r="M66" s="84">
        <f t="array" ref="M66">_FV(DataRT!$C66,"Change (%)",TRUE)</f>
        <v/>
      </c>
      <c r="N66" s="81">
        <f t="array" ref="N66">_FV(DataRT!$C66,"52 week low",TRUE)</f>
        <v/>
      </c>
      <c r="O66" s="81">
        <f t="array" ref="O66">_FV(DataRT!$C66,"52 week high",TRUE)</f>
        <v/>
      </c>
      <c r="P66" s="85">
        <f t="array" ref="P66">_FV(DataRT!$C66,"Volume")</f>
        <v/>
      </c>
      <c r="Q66" s="85">
        <f t="array" ref="Q66">_FV(DataRT!$C66,"Volume average",TRUE)</f>
        <v/>
      </c>
      <c r="R66" s="81">
        <f t="array" ref="R66">_FV(DataRT!$C66,"Beta")</f>
        <v/>
      </c>
      <c r="S66" s="86" t="inlineStr">
        <is>
          <t>SAF</t>
        </is>
      </c>
      <c r="T66" s="86" t="inlineStr">
        <is>
          <t>S</t>
        </is>
      </c>
      <c r="U66" s="86">
        <f t="array" ref="U66">_FV(DataRT!$C66,"Exchange abbreviation",TRUE)</f>
        <v/>
      </c>
      <c r="V66" s="87">
        <f>IFERROR(DataRT!$P66/DataRT!$Q66,1)</f>
        <v/>
      </c>
      <c r="W66" s="87" t="n"/>
      <c r="X66" s="88">
        <f>_xlfn.XLOOKUP(DataRT!$A66,TickerList!$G65:$G159,TickerList!L65:L159)</f>
        <v/>
      </c>
      <c r="Y66" s="157">
        <f>_xlfn.XLOOKUP(DataRT!$A66,TickerList!$G65:$G159,TickerList!M65:M159)</f>
        <v/>
      </c>
      <c r="Z66" s="157">
        <f>_xlfn.XLOOKUP(DataRT!$A66,TickerList!$G65:$G159,TickerList!N65:N159)</f>
        <v/>
      </c>
      <c r="AA66" s="73">
        <f>_xlfn.XLOOKUP(DataRT!$A66,TickerList!$G65:$G159,TickerList!O65:O159)</f>
        <v/>
      </c>
      <c r="AB66" s="74" t="n">
        <v>0.0001</v>
      </c>
      <c r="AC66" s="75" t="n">
        <v>0.003</v>
      </c>
      <c r="AD66" s="76" t="n">
        <v>207.58</v>
      </c>
      <c r="AE66" s="158">
        <f>_xlfn.LET(_xlpm.New1YT,DataRT!$X66,        _xlpm.Old1YT,IF(ISNUMBER(DataRT!$AD66),DataRT!$AD66,VALUE(LEFT(DataRT!$AD66,FIND("/",DataRT!$AD66,1)-1))),       IF(OR(DataRT!$X66=0,_xlpm.Old1YT=0),0,(_xlpm.New1YT-_xlpm.Old1YT)/_xlpm.Old1YT))</f>
        <v/>
      </c>
      <c r="AF66" s="159">
        <f>TEXT(DataRT!$X66,"#,#0.00")&amp;" &lt; "&amp;DataRT!$AD66</f>
        <v/>
      </c>
    </row>
    <row r="67">
      <c r="A67" s="118">
        <f t="array" ref="A67">_xlfn.SINGLE(DataRT!$S$3:$S$96)&amp;_FV(DataRT!$C67,"Ticker symbol",TRUE)</f>
        <v/>
      </c>
      <c r="B67" s="118">
        <f>D99</f>
        <v/>
      </c>
      <c r="C67" s="68" t="e">
        <v>#VALUE!</v>
      </c>
      <c r="D67" s="60">
        <f t="array" ref="D67">_FV(DataRT!$C67,"Currency")</f>
        <v/>
      </c>
      <c r="E67" s="61">
        <f t="array" ref="E67">_FV(DataRT!$C67,"Last trade time",TRUE)</f>
        <v/>
      </c>
      <c r="F67" s="63">
        <f t="array" ref="F67">_FV(DataRT!$C67,"Previous close",TRUE)</f>
        <v/>
      </c>
      <c r="G67" s="63">
        <f t="array" ref="G67">IFERROR(_FV(DataRT!$C67,"Open"),DataRT!$F67)</f>
        <v/>
      </c>
      <c r="H67" s="63">
        <f t="array" ref="H67">_FV(DataRT!$C67,"Price")</f>
        <v/>
      </c>
      <c r="I67" s="63">
        <f t="array" ref="I67">IFERROR(_FV(DataRT!$C67,"Low"),0)</f>
        <v/>
      </c>
      <c r="J67" s="63">
        <f t="array" ref="J67">IFERROR(_FV(DataRT!$C67,"High"),0)</f>
        <v/>
      </c>
      <c r="K67" s="64">
        <f t="array" ref="K67">IFERROR(_FV(DataRT!$C67,"P/E",TRUE),99)</f>
        <v/>
      </c>
      <c r="L67" s="65">
        <f t="array" ref="L67">_FV(DataRT!$C67,"Change")</f>
        <v/>
      </c>
      <c r="M67" s="66">
        <f t="array" ref="M67">_FV(DataRT!$C67,"Change (%)",TRUE)</f>
        <v/>
      </c>
      <c r="N67" s="63">
        <f t="array" ref="N67">_FV(DataRT!$C67,"52 week low",TRUE)</f>
        <v/>
      </c>
      <c r="O67" s="63">
        <f t="array" ref="O67">_FV(DataRT!$C67,"52 week high",TRUE)</f>
        <v/>
      </c>
      <c r="P67" s="67">
        <f t="array" ref="P67">_FV(DataRT!$C67,"Volume")</f>
        <v/>
      </c>
      <c r="Q67" s="67">
        <f t="array" ref="Q67">_FV(DataRT!$C67,"Volume average",TRUE)</f>
        <v/>
      </c>
      <c r="R67" s="63">
        <f t="array" ref="R67">_FV(DataRT!$C67,"Beta")</f>
        <v/>
      </c>
      <c r="S67" s="68" t="inlineStr">
        <is>
          <t>SAF</t>
        </is>
      </c>
      <c r="T67" s="68" t="inlineStr">
        <is>
          <t>S</t>
        </is>
      </c>
      <c r="U67" s="68">
        <f t="array" ref="U67">_FV(DataRT!$C67,"Exchange abbreviation",TRUE)</f>
        <v/>
      </c>
      <c r="V67" s="70">
        <f>IFERROR(DataRT!$P67/DataRT!$Q67,1)</f>
        <v/>
      </c>
      <c r="W67" s="70" t="n"/>
      <c r="X67" s="88">
        <f>_xlfn.XLOOKUP(DataRT!$A67,TickerList!$G66:$G160,TickerList!L66:L160)</f>
        <v/>
      </c>
      <c r="Y67" s="157">
        <f>_xlfn.XLOOKUP(DataRT!$A67,TickerList!$G66:$G160,TickerList!M66:M160)</f>
        <v/>
      </c>
      <c r="Z67" s="157">
        <f>_xlfn.XLOOKUP(DataRT!$A67,TickerList!$G66:$G160,TickerList!N66:N160)</f>
        <v/>
      </c>
      <c r="AA67" s="73">
        <f>_xlfn.XLOOKUP(DataRT!$A67,TickerList!$G66:$G160,TickerList!O66:O160)</f>
        <v/>
      </c>
      <c r="AB67" s="74" t="n">
        <v>0.0001</v>
      </c>
      <c r="AC67" s="75" t="n">
        <v>0.003</v>
      </c>
      <c r="AD67" s="76" t="n">
        <v>227.1</v>
      </c>
      <c r="AE67" s="158">
        <f>_xlfn.LET(_xlpm.New1YT,DataRT!$X67,        _xlpm.Old1YT,IF(ISNUMBER(DataRT!$AD67),DataRT!$AD67,VALUE(LEFT(DataRT!$AD67,FIND("/",DataRT!$AD67,1)-1))),       IF(OR(DataRT!$X67=0,_xlpm.Old1YT=0),0,(_xlpm.New1YT-_xlpm.Old1YT)/_xlpm.Old1YT))</f>
        <v/>
      </c>
      <c r="AF67" s="159">
        <f>TEXT(DataRT!$X67,"#,#0.00")&amp;" &lt; "&amp;DataRT!$AD67</f>
        <v/>
      </c>
    </row>
    <row r="68">
      <c r="A68" s="96">
        <f t="array" ref="A68">_xlfn.SINGLE(DataRT!$S$3:$S$96)&amp;_FV(DataRT!$C68,"Ticker symbol",TRUE)</f>
        <v/>
      </c>
      <c r="B68" s="96" t="n">
        <v>1</v>
      </c>
      <c r="C68" s="86" t="e">
        <v>#VALUE!</v>
      </c>
      <c r="D68" s="60">
        <f t="array" ref="D68">_FV(DataRT!$C68,"Currency")</f>
        <v/>
      </c>
      <c r="E68" s="80">
        <f t="array" ref="E68">_FV(DataRT!$C68,"Last trade time",TRUE)</f>
        <v/>
      </c>
      <c r="F68" s="162">
        <f t="array" ref="F68">_FV(DataRT!$C68,"Previous close",TRUE)</f>
        <v/>
      </c>
      <c r="G68" s="162">
        <f t="array" ref="G68">IFERROR(_FV(DataRT!$C68,"Open"),DataRT!$F68)</f>
        <v/>
      </c>
      <c r="H68" s="162">
        <f t="array" ref="H68">_FV(DataRT!$C68,"Price")</f>
        <v/>
      </c>
      <c r="I68" s="162">
        <f t="array" ref="I68">IFERROR(_FV(DataRT!$C68,"Low"),0)</f>
        <v/>
      </c>
      <c r="J68" s="162">
        <f t="array" ref="J68">IFERROR(_FV(DataRT!$C68,"High"),0)</f>
        <v/>
      </c>
      <c r="K68" s="82">
        <f t="array" ref="K68">IFERROR(_FV(DataRT!$C68,"P/E",TRUE),99)</f>
        <v/>
      </c>
      <c r="L68" s="83">
        <f t="array" ref="L68">_FV(DataRT!$C68,"Change")</f>
        <v/>
      </c>
      <c r="M68" s="84">
        <f t="array" ref="M68">_FV(DataRT!$C68,"Change (%)",TRUE)</f>
        <v/>
      </c>
      <c r="N68" s="162">
        <f t="array" ref="N68">_FV(DataRT!$C68,"52 week low",TRUE)</f>
        <v/>
      </c>
      <c r="O68" s="162">
        <f t="array" ref="O68">_FV(DataRT!$C68,"52 week high",TRUE)</f>
        <v/>
      </c>
      <c r="P68" s="85">
        <f t="array" ref="P68">_FV(DataRT!$C68,"Volume")</f>
        <v/>
      </c>
      <c r="Q68" s="85">
        <f t="array" ref="Q68">_FV(DataRT!$C68,"Volume average",TRUE)</f>
        <v/>
      </c>
      <c r="R68" s="81">
        <f t="array" ref="R68">_FV(DataRT!$C68,"Beta")</f>
        <v/>
      </c>
      <c r="S68" s="86" t="inlineStr">
        <is>
          <t>SAF</t>
        </is>
      </c>
      <c r="T68" s="86" t="inlineStr">
        <is>
          <t>S</t>
        </is>
      </c>
      <c r="U68" s="86">
        <f t="array" ref="U68">_FV(DataRT!$C68,"Exchange abbreviation",TRUE)</f>
        <v/>
      </c>
      <c r="V68" s="87">
        <f>IFERROR(DataRT!$P68/DataRT!$Q68,1)</f>
        <v/>
      </c>
      <c r="W68" s="87" t="n"/>
      <c r="X68" s="88">
        <f>_xlfn.XLOOKUP(DataRT!$A68,TickerList!$G67:$G161,TickerList!L67:L161)</f>
        <v/>
      </c>
      <c r="Y68" s="157">
        <f>_xlfn.XLOOKUP(DataRT!$A68,TickerList!$G67:$G161,TickerList!M67:M161)</f>
        <v/>
      </c>
      <c r="Z68" s="157">
        <f>_xlfn.XLOOKUP(DataRT!$A68,TickerList!$G67:$G161,TickerList!N67:N161)</f>
        <v/>
      </c>
      <c r="AA68" s="73">
        <f>_xlfn.XLOOKUP(DataRT!$A68,TickerList!$G67:$G161,TickerList!O67:O161)</f>
        <v/>
      </c>
      <c r="AB68" s="74" t="n">
        <v>0.0001</v>
      </c>
      <c r="AC68" s="75" t="n">
        <v>0.003</v>
      </c>
      <c r="AD68" s="76">
        <f>AD8</f>
        <v/>
      </c>
      <c r="AE68" s="158">
        <f>_xlfn.LET(_xlpm.New1YT,DataRT!$X68,        _xlpm.Old1YT,IF(ISNUMBER(DataRT!$AD68),DataRT!$AD68,VALUE(LEFT(DataRT!$AD68,FIND("/",DataRT!$AD68,1)-1))),       IF(OR(DataRT!$X68=0,_xlpm.Old1YT=0),0,(_xlpm.New1YT-_xlpm.Old1YT)/_xlpm.Old1YT))</f>
        <v/>
      </c>
      <c r="AF68" s="159">
        <f>TEXT(DataRT!$X68,"#,#0.00")&amp;" &lt; "&amp;DataRT!$AD68</f>
        <v/>
      </c>
    </row>
    <row r="69" ht="22" customHeight="1">
      <c r="A69" s="118">
        <f t="array" ref="A69">_xlfn.SINGLE(DataRT!$S$3:$S$96)&amp;_FV(DataRT!$C69,"Ticker symbol",TRUE)</f>
        <v/>
      </c>
      <c r="B69" s="118">
        <f>D99</f>
        <v/>
      </c>
      <c r="C69" s="68" t="e">
        <v>#VALUE!</v>
      </c>
      <c r="D69" s="60">
        <f t="array" ref="D69">_FV(DataRT!$C69,"Currency")</f>
        <v/>
      </c>
      <c r="E69" s="61">
        <f t="array" ref="E69">_FV(DataRT!$C69,"Last trade time",TRUE)</f>
        <v/>
      </c>
      <c r="F69" s="63">
        <f t="array" ref="F69">_FV(DataRT!$C69,"Previous close",TRUE)</f>
        <v/>
      </c>
      <c r="G69" s="63">
        <f t="array" ref="G69">IFERROR(_FV(DataRT!$C69,"Open"),DataRT!$F69)</f>
        <v/>
      </c>
      <c r="H69" s="63">
        <f t="array" ref="H69">_FV(DataRT!$C69,"Price")</f>
        <v/>
      </c>
      <c r="I69" s="63">
        <f t="array" ref="I69">IFERROR(_FV(DataRT!$C69,"Low"),0)</f>
        <v/>
      </c>
      <c r="J69" s="63">
        <f t="array" ref="J69">IFERROR(_FV(DataRT!$C69,"High"),0)</f>
        <v/>
      </c>
      <c r="K69" s="64">
        <f t="array" ref="K69">IFERROR(_FV(DataRT!$C69,"P/E",TRUE),99)</f>
        <v/>
      </c>
      <c r="L69" s="65">
        <f t="array" ref="L69">_FV(DataRT!$C69,"Change")</f>
        <v/>
      </c>
      <c r="M69" s="66">
        <f t="array" ref="M69">_FV(DataRT!$C69,"Change (%)",TRUE)</f>
        <v/>
      </c>
      <c r="N69" s="63">
        <f t="array" ref="N69">_FV(DataRT!$C69,"52 week low",TRUE)</f>
        <v/>
      </c>
      <c r="O69" s="63">
        <f t="array" ref="O69">_FV(DataRT!$C69,"52 week high",TRUE)</f>
        <v/>
      </c>
      <c r="P69" s="67">
        <f t="array" ref="P69">_FV(DataRT!$C69,"Volume")</f>
        <v/>
      </c>
      <c r="Q69" s="67">
        <f t="array" ref="Q69">_FV(DataRT!$C69,"Volume average",TRUE)</f>
        <v/>
      </c>
      <c r="R69" s="63">
        <f t="array" ref="R69">_FV(DataRT!$C69,"Beta")</f>
        <v/>
      </c>
      <c r="S69" s="68" t="inlineStr">
        <is>
          <t>SAF</t>
        </is>
      </c>
      <c r="T69" s="68" t="inlineStr">
        <is>
          <t>S</t>
        </is>
      </c>
      <c r="U69" s="68">
        <f t="array" ref="U69">_FV(DataRT!$C69,"Exchange abbreviation",TRUE)</f>
        <v/>
      </c>
      <c r="V69" s="70">
        <f>IFERROR(DataRT!$P69/DataRT!$Q69,1)</f>
        <v/>
      </c>
      <c r="W69" s="70" t="n"/>
      <c r="X69" s="88">
        <f>_xlfn.XLOOKUP(DataRT!$A69,TickerList!$G68:$G162,TickerList!L68:L162)</f>
        <v/>
      </c>
      <c r="Y69" s="157">
        <f>_xlfn.XLOOKUP(DataRT!$A69,TickerList!$G68:$G162,TickerList!M68:M162)</f>
        <v/>
      </c>
      <c r="Z69" s="157">
        <f>_xlfn.XLOOKUP(DataRT!$A69,TickerList!$G68:$G162,TickerList!N68:N162)</f>
        <v/>
      </c>
      <c r="AA69" s="73">
        <f>_xlfn.XLOOKUP(DataRT!$A69,TickerList!$G68:$G162,TickerList!O68:O162)</f>
        <v/>
      </c>
      <c r="AB69" s="74" t="n">
        <v>0.0001</v>
      </c>
      <c r="AC69" s="75" t="n">
        <v>0.003</v>
      </c>
      <c r="AD69" s="76" t="n">
        <v>5.45</v>
      </c>
      <c r="AE69" s="158">
        <f>_xlfn.LET(_xlpm.New1YT,DataRT!$X69,        _xlpm.Old1YT,IF(ISNUMBER(DataRT!$AD69),DataRT!$AD69,VALUE(LEFT(DataRT!$AD69,FIND("/",DataRT!$AD69,1)-1))),       IF(OR(DataRT!$X69=0,_xlpm.Old1YT=0),0,(_xlpm.New1YT-_xlpm.Old1YT)/_xlpm.Old1YT))</f>
        <v/>
      </c>
      <c r="AF69" s="159">
        <f>TEXT(DataRT!$X69,"#,#0.00")&amp;" &lt; "&amp;DataRT!$AD69</f>
        <v/>
      </c>
    </row>
    <row r="70">
      <c r="A70" s="96">
        <f t="array" ref="A70">_xlfn.SINGLE(DataRT!$S$3:$S$96)&amp;_FV(DataRT!$C70,"Ticker symbol",TRUE)</f>
        <v/>
      </c>
      <c r="B70" s="96">
        <f>D99</f>
        <v/>
      </c>
      <c r="C70" s="86" t="e">
        <v>#VALUE!</v>
      </c>
      <c r="D70" s="60">
        <f t="array" ref="D70">_FV(DataRT!$C70,"Currency")</f>
        <v/>
      </c>
      <c r="E70" s="80">
        <f t="array" ref="E70">_FV(DataRT!$C70,"Last trade time",TRUE)</f>
        <v/>
      </c>
      <c r="F70" s="81">
        <f t="array" ref="F70">_FV(DataRT!$C70,"Previous close",TRUE)</f>
        <v/>
      </c>
      <c r="G70" s="81">
        <f t="array" ref="G70">IFERROR(_FV(DataRT!$C70,"Open"),DataRT!$F70)</f>
        <v/>
      </c>
      <c r="H70" s="81">
        <f t="array" ref="H70">_FV(DataRT!$C70,"Price")</f>
        <v/>
      </c>
      <c r="I70" s="81">
        <f t="array" ref="I70">IFERROR(_FV(DataRT!$C70,"Low"),0)</f>
        <v/>
      </c>
      <c r="J70" s="81">
        <f t="array" ref="J70">IFERROR(_FV(DataRT!$C70,"High"),0)</f>
        <v/>
      </c>
      <c r="K70" s="82">
        <f t="array" ref="K70">IFERROR(_FV(DataRT!$C70,"P/E",TRUE),99)</f>
        <v/>
      </c>
      <c r="L70" s="83">
        <f t="array" ref="L70">_FV(DataRT!$C70,"Change")</f>
        <v/>
      </c>
      <c r="M70" s="84">
        <f t="array" ref="M70">_FV(DataRT!$C70,"Change (%)",TRUE)</f>
        <v/>
      </c>
      <c r="N70" s="81">
        <f t="array" ref="N70">_FV(DataRT!$C70,"52 week low",TRUE)</f>
        <v/>
      </c>
      <c r="O70" s="81">
        <f t="array" ref="O70">_FV(DataRT!$C70,"52 week high",TRUE)</f>
        <v/>
      </c>
      <c r="P70" s="85">
        <f t="array" ref="P70">_FV(DataRT!$C70,"Volume")</f>
        <v/>
      </c>
      <c r="Q70" s="85">
        <f t="array" ref="Q70">_FV(DataRT!$C70,"Volume average",TRUE)</f>
        <v/>
      </c>
      <c r="R70" s="81">
        <f t="array" ref="R70">_FV(DataRT!$C70,"Beta")</f>
        <v/>
      </c>
      <c r="S70" s="86" t="inlineStr">
        <is>
          <t>SAF</t>
        </is>
      </c>
      <c r="T70" s="86" t="inlineStr">
        <is>
          <t>S</t>
        </is>
      </c>
      <c r="U70" s="86">
        <f t="array" ref="U70">_FV(DataRT!$C70,"Exchange abbreviation",TRUE)</f>
        <v/>
      </c>
      <c r="V70" s="87">
        <f>IFERROR(DataRT!$P70/DataRT!$Q70,1)</f>
        <v/>
      </c>
      <c r="W70" s="87" t="n"/>
      <c r="X70" s="88">
        <f>_xlfn.XLOOKUP(DataRT!$A70,TickerList!$G69:$G163,TickerList!L69:L163)</f>
        <v/>
      </c>
      <c r="Y70" s="157">
        <f>_xlfn.XLOOKUP(DataRT!$A70,TickerList!$G69:$G163,TickerList!M69:M163)</f>
        <v/>
      </c>
      <c r="Z70" s="157">
        <f>_xlfn.XLOOKUP(DataRT!$A70,TickerList!$G69:$G163,TickerList!N69:N163)</f>
        <v/>
      </c>
      <c r="AA70" s="73">
        <f>_xlfn.XLOOKUP(DataRT!$A70,TickerList!$G69:$G163,TickerList!O69:O163)</f>
        <v/>
      </c>
      <c r="AB70" s="74" t="n">
        <v>0.0001</v>
      </c>
      <c r="AC70" s="75" t="n">
        <v>0.003</v>
      </c>
      <c r="AD70" s="76" t="n">
        <v>124.75</v>
      </c>
      <c r="AE70" s="158">
        <f>_xlfn.LET(_xlpm.New1YT,DataRT!$X70,        _xlpm.Old1YT,IF(ISNUMBER(DataRT!$AD70),DataRT!$AD70,VALUE(LEFT(DataRT!$AD70,FIND("/",DataRT!$AD70,1)-1))),       IF(OR(DataRT!$X70=0,_xlpm.Old1YT=0),0,(_xlpm.New1YT-_xlpm.Old1YT)/_xlpm.Old1YT))</f>
        <v/>
      </c>
      <c r="AF70" s="159">
        <f>TEXT(DataRT!$X70,"#,#0.00")&amp;" &lt; "&amp;DataRT!$AD70</f>
        <v/>
      </c>
    </row>
    <row r="71">
      <c r="A71" s="118">
        <f t="array" ref="A71">_xlfn.SINGLE(DataRT!$S$3:$S$96)&amp;_FV(DataRT!$C71,"Ticker symbol",TRUE)</f>
        <v/>
      </c>
      <c r="B71" s="118">
        <f>D99</f>
        <v/>
      </c>
      <c r="C71" s="68" t="e">
        <v>#VALUE!</v>
      </c>
      <c r="D71" s="60">
        <f t="array" ref="D71">_FV(DataRT!$C71,"Currency")</f>
        <v/>
      </c>
      <c r="E71" s="61">
        <f t="array" ref="E71">_FV(DataRT!$C71,"Last trade time",TRUE)</f>
        <v/>
      </c>
      <c r="F71" s="63">
        <f t="array" ref="F71">_FV(DataRT!$C71,"Previous close",TRUE)</f>
        <v/>
      </c>
      <c r="G71" s="63">
        <f t="array" ref="G71">IFERROR(_FV(DataRT!$C71,"Open"),DataRT!$F71)</f>
        <v/>
      </c>
      <c r="H71" s="63">
        <f t="array" ref="H71">_FV(DataRT!$C71,"Price")</f>
        <v/>
      </c>
      <c r="I71" s="63">
        <f t="array" ref="I71">IFERROR(_FV(DataRT!$C71,"Low"),0)</f>
        <v/>
      </c>
      <c r="J71" s="63">
        <f t="array" ref="J71">IFERROR(_FV(DataRT!$C71,"High"),0)</f>
        <v/>
      </c>
      <c r="K71" s="64">
        <f t="array" ref="K71">IFERROR(_FV(DataRT!$C71,"P/E",TRUE),99)</f>
        <v/>
      </c>
      <c r="L71" s="65">
        <f t="array" ref="L71">_FV(DataRT!$C71,"Change")</f>
        <v/>
      </c>
      <c r="M71" s="66">
        <f t="array" ref="M71">_FV(DataRT!$C71,"Change (%)",TRUE)</f>
        <v/>
      </c>
      <c r="N71" s="63">
        <f t="array" ref="N71">_FV(DataRT!$C71,"52 week low",TRUE)</f>
        <v/>
      </c>
      <c r="O71" s="63">
        <f t="array" ref="O71">_FV(DataRT!$C71,"52 week high",TRUE)</f>
        <v/>
      </c>
      <c r="P71" s="67">
        <f t="array" ref="P71">_FV(DataRT!$C71,"Volume")</f>
        <v/>
      </c>
      <c r="Q71" s="67">
        <f t="array" ref="Q71">_FV(DataRT!$C71,"Volume average",TRUE)</f>
        <v/>
      </c>
      <c r="R71" s="63">
        <f t="array" ref="R71">_FV(DataRT!$C71,"Beta")</f>
        <v/>
      </c>
      <c r="S71" s="68" t="inlineStr">
        <is>
          <t>SAF</t>
        </is>
      </c>
      <c r="T71" s="68" t="inlineStr">
        <is>
          <t>S</t>
        </is>
      </c>
      <c r="U71" s="68">
        <f t="array" ref="U71">_FV(DataRT!$C71,"Exchange abbreviation",TRUE)</f>
        <v/>
      </c>
      <c r="V71" s="70">
        <f>IFERROR(DataRT!$P71/DataRT!$Q71,1)</f>
        <v/>
      </c>
      <c r="W71" s="70" t="n"/>
      <c r="X71" s="88">
        <f>_xlfn.XLOOKUP(DataRT!$A71,TickerList!$G70:$G164,TickerList!L70:L164)</f>
        <v/>
      </c>
      <c r="Y71" s="157">
        <f>_xlfn.XLOOKUP(DataRT!$A71,TickerList!$G70:$G164,TickerList!M70:M164)</f>
        <v/>
      </c>
      <c r="Z71" s="157">
        <f>_xlfn.XLOOKUP(DataRT!$A71,TickerList!$G70:$G164,TickerList!N70:N164)</f>
        <v/>
      </c>
      <c r="AA71" s="73">
        <f>_xlfn.XLOOKUP(DataRT!$A71,TickerList!$G70:$G164,TickerList!O70:O164)</f>
        <v/>
      </c>
      <c r="AB71" s="74" t="n">
        <v>0.0001</v>
      </c>
      <c r="AC71" s="75" t="n">
        <v>0.003</v>
      </c>
      <c r="AD71" s="76" t="n">
        <v>54.06</v>
      </c>
      <c r="AE71" s="158">
        <f>_xlfn.LET(_xlpm.New1YT,DataRT!$X71,        _xlpm.Old1YT,IF(ISNUMBER(DataRT!$AD71),DataRT!$AD71,VALUE(LEFT(DataRT!$AD71,FIND("/",DataRT!$AD71,1)-1))),       IF(OR(DataRT!$X71=0,_xlpm.Old1YT=0),0,(_xlpm.New1YT-_xlpm.Old1YT)/_xlpm.Old1YT))</f>
        <v/>
      </c>
      <c r="AF71" s="159">
        <f>TEXT(DataRT!$X71,"#,#0.00")&amp;" &lt; "&amp;DataRT!$AD71</f>
        <v/>
      </c>
    </row>
    <row r="72">
      <c r="A72" s="96">
        <f t="array" ref="A72">_xlfn.SINGLE(DataRT!$S$3:$S$96)&amp;_FV(DataRT!$C72,"Ticker symbol",TRUE)</f>
        <v/>
      </c>
      <c r="B72" s="96">
        <f>D101/100</f>
        <v/>
      </c>
      <c r="C72" s="86" t="e">
        <v>#VALUE!</v>
      </c>
      <c r="D72" s="60">
        <f t="array" ref="D72">_FV(DataRT!$C72,"Currency")</f>
        <v/>
      </c>
      <c r="E72" s="80">
        <f t="array" ref="E72">_FV(DataRT!$C72,"Last trade time",TRUE)</f>
        <v/>
      </c>
      <c r="F72" s="81">
        <f t="array" ref="F72">_FV(DataRT!$C72,"Previous close",TRUE)</f>
        <v/>
      </c>
      <c r="G72" s="81">
        <f t="array" ref="G72">IFERROR(_FV(DataRT!$C72,"Open"),DataRT!$F72)</f>
        <v/>
      </c>
      <c r="H72" s="81">
        <f t="array" ref="H72">_FV(DataRT!$C72,"Price")</f>
        <v/>
      </c>
      <c r="I72" s="81">
        <f t="array" ref="I72">IFERROR(_FV(DataRT!$C72,"Low"),0)</f>
        <v/>
      </c>
      <c r="J72" s="81">
        <f t="array" ref="J72">IFERROR(_FV(DataRT!$C72,"High"),0)</f>
        <v/>
      </c>
      <c r="K72" s="82">
        <f t="array" ref="K72">IFERROR(_FV(DataRT!$C72,"P/E",TRUE),99)</f>
        <v/>
      </c>
      <c r="L72" s="83">
        <f t="array" ref="L72">_FV(DataRT!$C72,"Change")</f>
        <v/>
      </c>
      <c r="M72" s="84">
        <f t="array" ref="M72">_FV(DataRT!$C72,"Change (%)",TRUE)</f>
        <v/>
      </c>
      <c r="N72" s="81">
        <f t="array" ref="N72">_FV(DataRT!$C72,"52 week low",TRUE)</f>
        <v/>
      </c>
      <c r="O72" s="81">
        <f t="array" ref="O72">_FV(DataRT!$C72,"52 week high",TRUE)</f>
        <v/>
      </c>
      <c r="P72" s="85">
        <f t="array" ref="P72">_FV(DataRT!$C72,"Volume")</f>
        <v/>
      </c>
      <c r="Q72" s="85">
        <f t="array" ref="Q72">_FV(DataRT!$C72,"Volume average",TRUE)</f>
        <v/>
      </c>
      <c r="R72" s="81">
        <f t="array" ref="R72">_FV(DataRT!$C72,"Beta")</f>
        <v/>
      </c>
      <c r="S72" s="86" t="inlineStr">
        <is>
          <t>SAF</t>
        </is>
      </c>
      <c r="T72" s="86" t="inlineStr">
        <is>
          <t>S</t>
        </is>
      </c>
      <c r="U72" s="86">
        <f t="array" ref="U72">_FV(DataRT!$C72,"Exchange abbreviation",TRUE)</f>
        <v/>
      </c>
      <c r="V72" s="87">
        <f>IFERROR(DataRT!$P72/DataRT!$Q72,1)</f>
        <v/>
      </c>
      <c r="W72" s="87" t="n"/>
      <c r="X72" s="88">
        <f>_xlfn.XLOOKUP(DataRT!$A72,TickerList!$G71:$G165,TickerList!L71:L165)</f>
        <v/>
      </c>
      <c r="Y72" s="157">
        <f>_xlfn.XLOOKUP(DataRT!$A72,TickerList!$G71:$G165,TickerList!M71:M165)</f>
        <v/>
      </c>
      <c r="Z72" s="157">
        <f>_xlfn.XLOOKUP(DataRT!$A72,TickerList!$G71:$G165,TickerList!N71:N165)</f>
        <v/>
      </c>
      <c r="AA72" s="73">
        <f>_xlfn.XLOOKUP(DataRT!$A72,TickerList!$G71:$G165,TickerList!O71:O165)</f>
        <v/>
      </c>
      <c r="AB72" s="74" t="n">
        <v>0.0001</v>
      </c>
      <c r="AC72" s="75" t="n">
        <v>0.003</v>
      </c>
      <c r="AD72" s="76" t="n">
        <v>293.75</v>
      </c>
      <c r="AE72" s="158">
        <f>_xlfn.LET(_xlpm.New1YT,DataRT!$X72,        _xlpm.Old1YT,IF(ISNUMBER(DataRT!$AD72),DataRT!$AD72,VALUE(LEFT(DataRT!$AD72,FIND("/",DataRT!$AD72,1)-1))),       IF(OR(DataRT!$X72=0,_xlpm.Old1YT=0),0,(_xlpm.New1YT-_xlpm.Old1YT)/_xlpm.Old1YT))</f>
        <v/>
      </c>
      <c r="AF72" s="159">
        <f>TEXT(DataRT!$X72,"#,#0.00")&amp;" &lt; "&amp;DataRT!$AD72</f>
        <v/>
      </c>
    </row>
    <row r="73">
      <c r="A73" s="118">
        <f t="array" ref="A73">_xlfn.SINGLE(DataRT!$S$3:$S$96)&amp;_FV(DataRT!$C73,"Ticker symbol",TRUE)</f>
        <v/>
      </c>
      <c r="B73" s="118">
        <f>D99</f>
        <v/>
      </c>
      <c r="C73" s="68" t="e">
        <v>#VALUE!</v>
      </c>
      <c r="D73" s="60">
        <f t="array" ref="D73">_FV(DataRT!$C73,"Currency")</f>
        <v/>
      </c>
      <c r="E73" s="61">
        <f t="array" ref="E73">_FV(DataRT!$C73,"Last trade time",TRUE)</f>
        <v/>
      </c>
      <c r="F73" s="63">
        <f t="array" ref="F73">_FV(DataRT!$C73,"Previous close",TRUE)</f>
        <v/>
      </c>
      <c r="G73" s="63">
        <f t="array" ref="G73">IFERROR(_FV(DataRT!$C73,"Open"),DataRT!$F73)</f>
        <v/>
      </c>
      <c r="H73" s="63">
        <f t="array" ref="H73">_FV(DataRT!$C73,"Price")</f>
        <v/>
      </c>
      <c r="I73" s="63">
        <f t="array" ref="I73">IFERROR(_FV(DataRT!$C73,"Low"),0)</f>
        <v/>
      </c>
      <c r="J73" s="63">
        <f t="array" ref="J73">IFERROR(_FV(DataRT!$C73,"High"),0)</f>
        <v/>
      </c>
      <c r="K73" s="64">
        <f t="array" ref="K73">IFERROR(_FV(DataRT!$C73,"P/E",TRUE),99)</f>
        <v/>
      </c>
      <c r="L73" s="65">
        <f t="array" ref="L73">_FV(DataRT!$C73,"Change")</f>
        <v/>
      </c>
      <c r="M73" s="66">
        <f t="array" ref="M73">_FV(DataRT!$C73,"Change (%)",TRUE)</f>
        <v/>
      </c>
      <c r="N73" s="63">
        <f t="array" ref="N73">_FV(DataRT!$C73,"52 week low",TRUE)</f>
        <v/>
      </c>
      <c r="O73" s="63">
        <f t="array" ref="O73">_FV(DataRT!$C73,"52 week high",TRUE)</f>
        <v/>
      </c>
      <c r="P73" s="67">
        <f t="array" ref="P73">_FV(DataRT!$C73,"Volume")</f>
        <v/>
      </c>
      <c r="Q73" s="67">
        <f t="array" ref="Q73">_FV(DataRT!$C73,"Volume average",TRUE)</f>
        <v/>
      </c>
      <c r="R73" s="63">
        <f t="array" ref="R73">_FV(DataRT!$C73,"Beta")</f>
        <v/>
      </c>
      <c r="S73" s="68" t="inlineStr">
        <is>
          <t>SAF</t>
        </is>
      </c>
      <c r="T73" s="68" t="inlineStr">
        <is>
          <t>S</t>
        </is>
      </c>
      <c r="U73" s="68">
        <f t="array" ref="U73">_FV(DataRT!$C73,"Exchange abbreviation",TRUE)</f>
        <v/>
      </c>
      <c r="V73" s="70">
        <f>IFERROR(DataRT!$P73/DataRT!$Q73,1)</f>
        <v/>
      </c>
      <c r="W73" s="70" t="n"/>
      <c r="X73" s="88">
        <f>_xlfn.XLOOKUP(DataRT!$A73,TickerList!$G72:$G166,TickerList!L72:L166)</f>
        <v/>
      </c>
      <c r="Y73" s="157">
        <f>_xlfn.XLOOKUP(DataRT!$A73,TickerList!$G72:$G166,TickerList!M72:M166)</f>
        <v/>
      </c>
      <c r="Z73" s="157">
        <f>_xlfn.XLOOKUP(DataRT!$A73,TickerList!$G72:$G166,TickerList!N72:N166)</f>
        <v/>
      </c>
      <c r="AA73" s="73">
        <f>_xlfn.XLOOKUP(DataRT!$A73,TickerList!$G72:$G166,TickerList!O72:O166)</f>
        <v/>
      </c>
      <c r="AB73" s="74" t="n">
        <v>0.0001</v>
      </c>
      <c r="AC73" s="75" t="n">
        <v>0.003</v>
      </c>
      <c r="AD73" s="76" t="n">
        <v>99.83</v>
      </c>
      <c r="AE73" s="158">
        <f>_xlfn.LET(_xlpm.New1YT,DataRT!$X73,        _xlpm.Old1YT,IF(ISNUMBER(DataRT!$AD73),DataRT!$AD73,VALUE(LEFT(DataRT!$AD73,FIND("/",DataRT!$AD73,1)-1))),       IF(OR(DataRT!$X73=0,_xlpm.Old1YT=0),0,(_xlpm.New1YT-_xlpm.Old1YT)/_xlpm.Old1YT))</f>
        <v/>
      </c>
      <c r="AF73" s="159">
        <f>TEXT(DataRT!$X73,"#,#0.00")&amp;" &lt; "&amp;DataRT!$AD73</f>
        <v/>
      </c>
    </row>
    <row r="74">
      <c r="A74" s="96">
        <f t="array" ref="A74">_xlfn.SINGLE(DataRT!$S$3:$S$96)&amp;_FV(DataRT!$C74,"Ticker symbol",TRUE)</f>
        <v/>
      </c>
      <c r="B74" s="96">
        <f>D99</f>
        <v/>
      </c>
      <c r="C74" s="86" t="e">
        <v>#VALUE!</v>
      </c>
      <c r="D74" s="60">
        <f t="array" ref="D74">_FV(DataRT!$C74,"Currency")</f>
        <v/>
      </c>
      <c r="E74" s="80">
        <f t="array" ref="E74">_FV(DataRT!$C74,"Last trade time",TRUE)</f>
        <v/>
      </c>
      <c r="F74" s="81">
        <f t="array" ref="F74">_FV(DataRT!$C74,"Previous close",TRUE)</f>
        <v/>
      </c>
      <c r="G74" s="81">
        <f t="array" ref="G74">IFERROR(_FV(DataRT!$C74,"Open"),DataRT!$F74)</f>
        <v/>
      </c>
      <c r="H74" s="81">
        <f t="array" ref="H74">_FV(DataRT!$C74,"Price")</f>
        <v/>
      </c>
      <c r="I74" s="81">
        <f t="array" ref="I74">IFERROR(_FV(DataRT!$C74,"Low"),0)</f>
        <v/>
      </c>
      <c r="J74" s="81">
        <f t="array" ref="J74">IFERROR(_FV(DataRT!$C74,"High"),0)</f>
        <v/>
      </c>
      <c r="K74" s="82">
        <f t="array" ref="K74">IFERROR(_FV(DataRT!$C74,"P/E",TRUE),99)</f>
        <v/>
      </c>
      <c r="L74" s="83">
        <f t="array" ref="L74">_FV(DataRT!$C74,"Change")</f>
        <v/>
      </c>
      <c r="M74" s="84">
        <f t="array" ref="M74">_FV(DataRT!$C74,"Change (%)",TRUE)</f>
        <v/>
      </c>
      <c r="N74" s="81">
        <f t="array" ref="N74">_FV(DataRT!$C74,"52 week low",TRUE)</f>
        <v/>
      </c>
      <c r="O74" s="81">
        <f t="array" ref="O74">_FV(DataRT!$C74,"52 week high",TRUE)</f>
        <v/>
      </c>
      <c r="P74" s="85">
        <f t="array" ref="P74">_FV(DataRT!$C74,"Volume")</f>
        <v/>
      </c>
      <c r="Q74" s="85">
        <f t="array" ref="Q74">_FV(DataRT!$C74,"Volume average",TRUE)</f>
        <v/>
      </c>
      <c r="R74" s="81">
        <f t="array" ref="R74">_FV(DataRT!$C74,"Beta")</f>
        <v/>
      </c>
      <c r="S74" s="86" t="n"/>
      <c r="T74" s="86" t="inlineStr">
        <is>
          <t>S</t>
        </is>
      </c>
      <c r="U74" s="86">
        <f t="array" ref="U74">_FV(DataRT!$C74,"Exchange abbreviation",TRUE)</f>
        <v/>
      </c>
      <c r="V74" s="87">
        <f>IFERROR(DataRT!$P74/DataRT!$Q74,1)</f>
        <v/>
      </c>
      <c r="W74" s="87" t="n"/>
      <c r="X74" s="88">
        <f>_xlfn.XLOOKUP(DataRT!$A74,TickerList!$G73:$G167,TickerList!L73:L167)</f>
        <v/>
      </c>
      <c r="Y74" s="157">
        <f>_xlfn.XLOOKUP(DataRT!$A74,TickerList!$G73:$G167,TickerList!M73:M167)</f>
        <v/>
      </c>
      <c r="Z74" s="157">
        <f>_xlfn.XLOOKUP(DataRT!$A74,TickerList!$G73:$G167,TickerList!N73:N167)</f>
        <v/>
      </c>
      <c r="AA74" s="73">
        <f>_xlfn.XLOOKUP(DataRT!$A74,TickerList!$G73:$G167,TickerList!O73:O167)</f>
        <v/>
      </c>
      <c r="AB74" s="74" t="n">
        <v>0.0001</v>
      </c>
      <c r="AC74" s="75" t="n">
        <v>0.003</v>
      </c>
      <c r="AD74" s="76" t="inlineStr">
        <is>
          <t>2.25/3.94</t>
        </is>
      </c>
      <c r="AE74" s="158">
        <f>_xlfn.LET(_xlpm.New1YT,DataRT!$X74,        _xlpm.Old1YT,IF(ISNUMBER(DataRT!$AD74),DataRT!$AD74,VALUE(LEFT(DataRT!$AD74,FIND("/",DataRT!$AD74,1)-1))),       IF(OR(DataRT!$X74=0,_xlpm.Old1YT=0),0,(_xlpm.New1YT-_xlpm.Old1YT)/_xlpm.Old1YT))</f>
        <v/>
      </c>
      <c r="AF74" s="159">
        <f>TEXT(DataRT!$X74,"#,#0.00")&amp;" &lt; "&amp;DataRT!$AD74</f>
        <v/>
      </c>
    </row>
    <row r="75">
      <c r="A75" s="118">
        <f t="array" ref="A75">_xlfn.SINGLE(DataRT!$S$3:$S$96)&amp;_FV(DataRT!$C75,"Ticker symbol",TRUE)</f>
        <v/>
      </c>
      <c r="B75" s="118" t="n">
        <v>1</v>
      </c>
      <c r="C75" s="68" t="e">
        <v>#VALUE!</v>
      </c>
      <c r="D75" s="60">
        <f t="array" ref="D75">_FV(DataRT!$C75,"Currency")</f>
        <v/>
      </c>
      <c r="E75" s="61">
        <f t="array" ref="E75">_FV(DataRT!$C75,"Last trade time",TRUE)</f>
        <v/>
      </c>
      <c r="F75" s="63">
        <f t="array" ref="F75">_FV(DataRT!$C75,"Previous close",TRUE)</f>
        <v/>
      </c>
      <c r="G75" s="63">
        <f t="array" ref="G75">IFERROR(_FV(DataRT!$C75,"Open"),DataRT!$F75)</f>
        <v/>
      </c>
      <c r="H75" s="63">
        <f t="array" ref="H75">_FV(DataRT!$C75,"Price")</f>
        <v/>
      </c>
      <c r="I75" s="63">
        <f t="array" ref="I75">IFERROR(_FV(DataRT!$C75,"Low"),0)</f>
        <v/>
      </c>
      <c r="J75" s="63">
        <f t="array" ref="J75">IFERROR(_FV(DataRT!$C75,"High"),0)</f>
        <v/>
      </c>
      <c r="K75" s="64">
        <f t="array" ref="K75">IFERROR(_FV(DataRT!$C75,"P/E",TRUE),99)</f>
        <v/>
      </c>
      <c r="L75" s="65">
        <f t="array" ref="L75">_FV(DataRT!$C75,"Change")</f>
        <v/>
      </c>
      <c r="M75" s="66">
        <f t="array" ref="M75">_FV(DataRT!$C75,"Change (%)",TRUE)</f>
        <v/>
      </c>
      <c r="N75" s="63">
        <f t="array" ref="N75">_FV(DataRT!$C75,"52 week low",TRUE)</f>
        <v/>
      </c>
      <c r="O75" s="63">
        <f t="array" ref="O75">_FV(DataRT!$C75,"52 week high",TRUE)</f>
        <v/>
      </c>
      <c r="P75" s="67">
        <f t="array" ref="P75">_FV(DataRT!$C75,"Volume")</f>
        <v/>
      </c>
      <c r="Q75" s="67">
        <f t="array" ref="Q75">_FV(DataRT!$C75,"Volume average",TRUE)</f>
        <v/>
      </c>
      <c r="R75" s="63">
        <f t="array" ref="R75">_FV(DataRT!$C75,"Beta")</f>
        <v/>
      </c>
      <c r="S75" s="68" t="n"/>
      <c r="T75" s="68" t="inlineStr">
        <is>
          <t>S</t>
        </is>
      </c>
      <c r="U75" s="68">
        <f t="array" ref="U75">_FV(DataRT!$C75,"Exchange abbreviation",TRUE)</f>
        <v/>
      </c>
      <c r="V75" s="70">
        <f>IFERROR(DataRT!$P75/DataRT!$Q75,1)</f>
        <v/>
      </c>
      <c r="W75" s="70" t="n"/>
      <c r="X75" s="88">
        <f>_xlfn.XLOOKUP(DataRT!$A75,TickerList!$G74:$G168,TickerList!L74:L168)</f>
        <v/>
      </c>
      <c r="Y75" s="157">
        <f>_xlfn.XLOOKUP(DataRT!$A75,TickerList!$G74:$G168,TickerList!M74:M168)</f>
        <v/>
      </c>
      <c r="Z75" s="157">
        <f>_xlfn.XLOOKUP(DataRT!$A75,TickerList!$G74:$G168,TickerList!N74:N168)</f>
        <v/>
      </c>
      <c r="AA75" s="73">
        <f>_xlfn.XLOOKUP(DataRT!$A75,TickerList!$G74:$G168,TickerList!O74:O168)</f>
        <v/>
      </c>
      <c r="AB75" s="74" t="n"/>
      <c r="AC75" s="75" t="n">
        <v>0.003</v>
      </c>
      <c r="AD75" s="76" t="inlineStr">
        <is>
          <t>14.71/14.81/16.46</t>
        </is>
      </c>
      <c r="AE75" s="158">
        <f>_xlfn.LET(_xlpm.New1YT,DataRT!$X75,        _xlpm.Old1YT,IF(ISNUMBER(DataRT!$AD75),DataRT!$AD75,VALUE(LEFT(DataRT!$AD75,FIND("/",DataRT!$AD75,1)-1))),       IF(OR(DataRT!$X75=0,_xlpm.Old1YT=0),0,(_xlpm.New1YT-_xlpm.Old1YT)/_xlpm.Old1YT))</f>
        <v/>
      </c>
      <c r="AF75" s="159">
        <f>TEXT(DataRT!$X75,"#,#0.00")&amp;" &lt; "&amp;DataRT!$AD75</f>
        <v/>
      </c>
    </row>
    <row r="76" ht="22" customHeight="1">
      <c r="A76" s="96">
        <f t="array" ref="A76">_xlfn.SINGLE(DataRT!$S$3:$S$96)&amp;_FV(DataRT!$C76,"Ticker symbol",TRUE)</f>
        <v/>
      </c>
      <c r="B76" s="78">
        <f>D101/100</f>
        <v/>
      </c>
      <c r="C76" s="86" t="e">
        <v>#VALUE!</v>
      </c>
      <c r="D76" s="60">
        <f t="array" ref="D76">_FV(DataRT!$C76,"Currency")</f>
        <v/>
      </c>
      <c r="E76" s="80">
        <f t="array" ref="E76">_FV(DataRT!$C76,"Last trade time",TRUE)</f>
        <v/>
      </c>
      <c r="F76" s="81">
        <f t="array" ref="F76">_FV(DataRT!$C76,"Previous close",TRUE)</f>
        <v/>
      </c>
      <c r="G76" s="81">
        <f t="array" ref="G76">IFERROR(_FV(DataRT!$C76,"Open"),DataRT!$F76)</f>
        <v/>
      </c>
      <c r="H76" s="81">
        <f t="array" ref="H76">_FV(DataRT!$C76,"Price")</f>
        <v/>
      </c>
      <c r="I76" s="81">
        <f t="array" ref="I76">IFERROR(_FV(DataRT!$C76,"Low"),0)</f>
        <v/>
      </c>
      <c r="J76" s="81">
        <f t="array" ref="J76">IFERROR(_FV(DataRT!$C76,"High"),0)</f>
        <v/>
      </c>
      <c r="K76" s="82">
        <f t="array" ref="K76">IFERROR(_FV(DataRT!$C76,"P/E",TRUE),99)</f>
        <v/>
      </c>
      <c r="L76" s="83">
        <f t="array" ref="L76">_FV(DataRT!$C76,"Change")</f>
        <v/>
      </c>
      <c r="M76" s="84">
        <f t="array" ref="M76">_FV(DataRT!$C76,"Change (%)",TRUE)</f>
        <v/>
      </c>
      <c r="N76" s="81">
        <f t="array" ref="N76">_FV(DataRT!$C76,"52 week low",TRUE)</f>
        <v/>
      </c>
      <c r="O76" s="81">
        <f t="array" ref="O76">_FV(DataRT!$C76,"52 week high",TRUE)</f>
        <v/>
      </c>
      <c r="P76" s="85">
        <f t="array" ref="P76">_FV(DataRT!$C76,"Volume")</f>
        <v/>
      </c>
      <c r="Q76" s="85">
        <f t="array" ref="Q76">_FV(DataRT!$C76,"Volume average",TRUE)</f>
        <v/>
      </c>
      <c r="R76" s="81">
        <f t="array" ref="R76">_FV(DataRT!$C76,"Beta")</f>
        <v/>
      </c>
      <c r="S76" s="86" t="n"/>
      <c r="T76" s="86" t="inlineStr">
        <is>
          <t>S</t>
        </is>
      </c>
      <c r="U76" s="86">
        <f t="array" ref="U76">_FV(DataRT!$C76,"Exchange abbreviation",TRUE)</f>
        <v/>
      </c>
      <c r="V76" s="87">
        <f>IFERROR(DataRT!$P76/DataRT!$Q76,1)</f>
        <v/>
      </c>
      <c r="W76" s="87" t="n"/>
      <c r="X76" s="88">
        <f>_xlfn.XLOOKUP(DataRT!$A76,TickerList!$G75:$G169,TickerList!L75:L169)</f>
        <v/>
      </c>
      <c r="Y76" s="157">
        <f>_xlfn.XLOOKUP(DataRT!$A76,TickerList!$G75:$G169,TickerList!M75:M169)</f>
        <v/>
      </c>
      <c r="Z76" s="157">
        <f>_xlfn.XLOOKUP(DataRT!$A76,TickerList!$G75:$G169,TickerList!N75:N169)</f>
        <v/>
      </c>
      <c r="AA76" s="73">
        <f>_xlfn.XLOOKUP(DataRT!$A76,TickerList!$G75:$G169,TickerList!O75:O169)</f>
        <v/>
      </c>
      <c r="AB76" s="74" t="n"/>
      <c r="AC76" s="75" t="n">
        <v>0.003</v>
      </c>
      <c r="AD76" s="76" t="inlineStr">
        <is>
          <t>697.31/682.94</t>
        </is>
      </c>
      <c r="AE76" s="158">
        <f>_xlfn.LET(_xlpm.New1YT,DataRT!$X76,        _xlpm.Old1YT,IF(ISNUMBER(DataRT!$AD76),DataRT!$AD76,VALUE(LEFT(DataRT!$AD76,FIND("/",DataRT!$AD76,1)-1))),       IF(OR(DataRT!$X76=0,_xlpm.Old1YT=0),0,(_xlpm.New1YT-_xlpm.Old1YT)/_xlpm.Old1YT))</f>
        <v/>
      </c>
      <c r="AF76" s="159">
        <f>TEXT(DataRT!$X76,"#,#0.00")&amp;" &lt; "&amp;DataRT!$AD76</f>
        <v/>
      </c>
    </row>
    <row r="77" ht="22" customHeight="1">
      <c r="A77" s="118">
        <f t="array" ref="A77">_xlfn.SINGLE(DataRT!$S$3:$S$96)&amp;_FV(DataRT!$C77,"Ticker symbol",TRUE)</f>
        <v/>
      </c>
      <c r="B77" s="118">
        <f>D99</f>
        <v/>
      </c>
      <c r="C77" s="68" t="e">
        <v>#VALUE!</v>
      </c>
      <c r="D77" s="60">
        <f t="array" ref="D77">_FV(DataRT!$C77,"Currency")</f>
        <v/>
      </c>
      <c r="E77" s="61">
        <f t="array" ref="E77">_FV(DataRT!$C77,"Last trade time",TRUE)</f>
        <v/>
      </c>
      <c r="F77" s="63">
        <f t="array" ref="F77">_FV(DataRT!$C77,"Previous close",TRUE)</f>
        <v/>
      </c>
      <c r="G77" s="63">
        <f t="array" ref="G77">IFERROR(_FV(DataRT!$C77,"Open"),DataRT!$F77)</f>
        <v/>
      </c>
      <c r="H77" s="63">
        <f t="array" ref="H77">_FV(DataRT!$C77,"Price")</f>
        <v/>
      </c>
      <c r="I77" s="63">
        <f t="array" ref="I77">IFERROR(_FV(DataRT!$C77,"Low"),0)</f>
        <v/>
      </c>
      <c r="J77" s="63">
        <f t="array" ref="J77">IFERROR(_FV(DataRT!$C77,"High"),0)</f>
        <v/>
      </c>
      <c r="K77" s="64">
        <f t="array" ref="K77">IFERROR(_FV(DataRT!$C77,"P/E",TRUE),99)</f>
        <v/>
      </c>
      <c r="L77" s="65">
        <f t="array" ref="L77">_FV(DataRT!$C77,"Change")</f>
        <v/>
      </c>
      <c r="M77" s="66">
        <f t="array" ref="M77">_FV(DataRT!$C77,"Change (%)",TRUE)</f>
        <v/>
      </c>
      <c r="N77" s="63">
        <f t="array" ref="N77">_FV(DataRT!$C77,"52 week low",TRUE)</f>
        <v/>
      </c>
      <c r="O77" s="63">
        <f t="array" ref="O77">_FV(DataRT!$C77,"52 week high",TRUE)</f>
        <v/>
      </c>
      <c r="P77" s="67">
        <f t="array" ref="P77">_FV(DataRT!$C77,"Volume")</f>
        <v/>
      </c>
      <c r="Q77" s="67">
        <f t="array" ref="Q77">_FV(DataRT!$C77,"Volume average",TRUE)</f>
        <v/>
      </c>
      <c r="R77" s="63">
        <f t="array" ref="R77">_FV(DataRT!$C77,"Beta")</f>
        <v/>
      </c>
      <c r="S77" s="68" t="n"/>
      <c r="T77" s="68" t="inlineStr">
        <is>
          <t>S</t>
        </is>
      </c>
      <c r="U77" s="68">
        <f t="array" ref="U77">_FV(DataRT!$C77,"Exchange abbreviation",TRUE)</f>
        <v/>
      </c>
      <c r="V77" s="70">
        <f>IFERROR(DataRT!$P77/DataRT!$Q77,1)</f>
        <v/>
      </c>
      <c r="W77" s="70" t="n"/>
      <c r="X77" s="88">
        <f>_xlfn.XLOOKUP(DataRT!$A77,TickerList!$G76:$G170,TickerList!L76:L170)</f>
        <v/>
      </c>
      <c r="Y77" s="157">
        <f>_xlfn.XLOOKUP(DataRT!$A77,TickerList!$G76:$G170,TickerList!M76:M170)</f>
        <v/>
      </c>
      <c r="Z77" s="157">
        <f>_xlfn.XLOOKUP(DataRT!$A77,TickerList!$G76:$G170,TickerList!N76:N170)</f>
        <v/>
      </c>
      <c r="AA77" s="73">
        <f>_xlfn.XLOOKUP(DataRT!$A77,TickerList!$G76:$G170,TickerList!O76:O170)</f>
        <v/>
      </c>
      <c r="AB77" s="74" t="n">
        <v>0.0001</v>
      </c>
      <c r="AC77" s="75" t="n">
        <v>0.003</v>
      </c>
      <c r="AD77" s="76" t="inlineStr">
        <is>
          <t>10.37/12.18</t>
        </is>
      </c>
      <c r="AE77" s="158">
        <f>_xlfn.LET(_xlpm.New1YT,DataRT!$X77,        _xlpm.Old1YT,IF(ISNUMBER(DataRT!$AD77),DataRT!$AD77,VALUE(LEFT(DataRT!$AD77,FIND("/",DataRT!$AD77,1)-1))),       IF(OR(DataRT!$X77=0,_xlpm.Old1YT=0),0,(_xlpm.New1YT-_xlpm.Old1YT)/_xlpm.Old1YT))</f>
        <v/>
      </c>
      <c r="AF77" s="159">
        <f>TEXT(DataRT!$X77,"#,#0.00")&amp;" &lt; "&amp;DataRT!$AD77</f>
        <v/>
      </c>
    </row>
    <row r="78" ht="22" customHeight="1">
      <c r="A78" s="96">
        <f t="array" ref="A78">_xlfn.SINGLE(DataRT!$S$3:$S$96)&amp;_FV(DataRT!$C78,"Ticker symbol",TRUE)</f>
        <v/>
      </c>
      <c r="B78" s="96" t="n">
        <v>1</v>
      </c>
      <c r="C78" s="86" t="e">
        <v>#VALUE!</v>
      </c>
      <c r="D78" s="60">
        <f t="array" ref="D78">_FV(DataRT!$C78,"Currency")</f>
        <v/>
      </c>
      <c r="E78" s="80">
        <f t="array" ref="E78">_FV(DataRT!$C78,"Last trade time",TRUE)</f>
        <v/>
      </c>
      <c r="F78" s="162">
        <f t="array" ref="F78">_FV(DataRT!$C78,"Previous close",TRUE)</f>
        <v/>
      </c>
      <c r="G78" s="162">
        <f t="array" ref="G78">IFERROR(_FV(DataRT!$C78,"Open"),DataRT!$F78)</f>
        <v/>
      </c>
      <c r="H78" s="162">
        <f t="array" ref="H78">_FV(DataRT!$C78,"Price")</f>
        <v/>
      </c>
      <c r="I78" s="162">
        <f t="array" ref="I78">IFERROR(_FV(DataRT!$C78,"Low"),0)</f>
        <v/>
      </c>
      <c r="J78" s="162">
        <f t="array" ref="J78">IFERROR(_FV(DataRT!$C78,"High"),0)</f>
        <v/>
      </c>
      <c r="K78" s="82">
        <f t="array" ref="K78">IFERROR(_FV(DataRT!$C78,"P/E",TRUE),99)</f>
        <v/>
      </c>
      <c r="L78" s="83">
        <f t="array" ref="L78">_FV(DataRT!$C78,"Change")</f>
        <v/>
      </c>
      <c r="M78" s="84">
        <f t="array" ref="M78">_FV(DataRT!$C78,"Change (%)",TRUE)</f>
        <v/>
      </c>
      <c r="N78" s="162">
        <f t="array" ref="N78">_FV(DataRT!$C78,"52 week low",TRUE)</f>
        <v/>
      </c>
      <c r="O78" s="162">
        <f t="array" ref="O78">_FV(DataRT!$C78,"52 week high",TRUE)</f>
        <v/>
      </c>
      <c r="P78" s="85">
        <f t="array" ref="P78">_FV(DataRT!$C78,"Volume")</f>
        <v/>
      </c>
      <c r="Q78" s="85">
        <f t="array" ref="Q78">_FV(DataRT!$C78,"Volume average",TRUE)</f>
        <v/>
      </c>
      <c r="R78" s="81">
        <f t="array" ref="R78">_FV(DataRT!$C78,"Beta")</f>
        <v/>
      </c>
      <c r="S78" s="86" t="n"/>
      <c r="T78" s="86" t="inlineStr">
        <is>
          <t>S</t>
        </is>
      </c>
      <c r="U78" s="86">
        <f t="array" ref="U78">_FV(DataRT!$C78,"Exchange abbreviation",TRUE)</f>
        <v/>
      </c>
      <c r="V78" s="87">
        <f>IFERROR(DataRT!$P78/DataRT!$Q78,1)</f>
        <v/>
      </c>
      <c r="W78" s="87" t="n"/>
      <c r="X78" s="88">
        <f>_xlfn.XLOOKUP(DataRT!$A78,TickerList!$G77:$G171,TickerList!L77:L171)</f>
        <v/>
      </c>
      <c r="Y78" s="157">
        <f>_xlfn.XLOOKUP(DataRT!$A78,TickerList!$G77:$G171,TickerList!M77:M171)</f>
        <v/>
      </c>
      <c r="Z78" s="157">
        <f>_xlfn.XLOOKUP(DataRT!$A78,TickerList!$G77:$G171,TickerList!N77:N171)</f>
        <v/>
      </c>
      <c r="AA78" s="73">
        <f>_xlfn.XLOOKUP(DataRT!$A78,TickerList!$G77:$G171,TickerList!O77:O171)</f>
        <v/>
      </c>
      <c r="AB78" s="74" t="n"/>
      <c r="AC78" s="75" t="n">
        <v>0.003</v>
      </c>
      <c r="AD78" s="76" t="inlineStr">
        <is>
          <t>59.77/51.92/30.4</t>
        </is>
      </c>
      <c r="AE78" s="158">
        <f>_xlfn.LET(_xlpm.New1YT,DataRT!$X78,        _xlpm.Old1YT,IF(ISNUMBER(DataRT!$AD78),DataRT!$AD78,VALUE(LEFT(DataRT!$AD78,FIND("/",DataRT!$AD78,1)-1))),       IF(OR(DataRT!$X78=0,_xlpm.Old1YT=0),0,(_xlpm.New1YT-_xlpm.Old1YT)/_xlpm.Old1YT))</f>
        <v/>
      </c>
      <c r="AF78" s="159">
        <f>TEXT(DataRT!$X78,"#,#0.00")&amp;" &lt; "&amp;DataRT!$AD78</f>
        <v/>
      </c>
    </row>
    <row r="79" ht="22" customHeight="1">
      <c r="A79" s="118">
        <f t="array" ref="A79">_xlfn.SINGLE(DataRT!$S$3:$S$96)&amp;_FV(DataRT!$C79,"Ticker symbol",TRUE)</f>
        <v/>
      </c>
      <c r="B79" s="118">
        <f>D99</f>
        <v/>
      </c>
      <c r="C79" s="68" t="e">
        <v>#VALUE!</v>
      </c>
      <c r="D79" s="60">
        <f t="array" ref="D79">_FV(DataRT!$C79,"Currency")</f>
        <v/>
      </c>
      <c r="E79" s="61">
        <f t="array" ref="E79">_FV(DataRT!$C79,"Last trade time",TRUE)</f>
        <v/>
      </c>
      <c r="F79" s="63">
        <f t="array" ref="F79">_FV(DataRT!$C79,"Previous close",TRUE)</f>
        <v/>
      </c>
      <c r="G79" s="63">
        <f t="array" ref="G79">IFERROR(_FV(DataRT!$C79,"Open"),DataRT!$F79)</f>
        <v/>
      </c>
      <c r="H79" s="63">
        <f t="array" ref="H79">_FV(DataRT!$C79,"Price")</f>
        <v/>
      </c>
      <c r="I79" s="63">
        <f t="array" ref="I79">IFERROR(_FV(DataRT!$C79,"Low"),0)</f>
        <v/>
      </c>
      <c r="J79" s="63">
        <f t="array" ref="J79">IFERROR(_FV(DataRT!$C79,"High"),0)</f>
        <v/>
      </c>
      <c r="K79" s="64">
        <f t="array" ref="K79">IFERROR(_FV(DataRT!$C79,"P/E",TRUE),99)</f>
        <v/>
      </c>
      <c r="L79" s="65">
        <f t="array" ref="L79">_FV(DataRT!$C79,"Change")</f>
        <v/>
      </c>
      <c r="M79" s="66">
        <f t="array" ref="M79">_FV(DataRT!$C79,"Change (%)",TRUE)</f>
        <v/>
      </c>
      <c r="N79" s="63">
        <f t="array" ref="N79">_FV(DataRT!$C79,"52 week low",TRUE)</f>
        <v/>
      </c>
      <c r="O79" s="63">
        <f t="array" ref="O79">_FV(DataRT!$C79,"52 week high",TRUE)</f>
        <v/>
      </c>
      <c r="P79" s="67">
        <f t="array" ref="P79">_FV(DataRT!$C79,"Volume")</f>
        <v/>
      </c>
      <c r="Q79" s="67">
        <f t="array" ref="Q79">_FV(DataRT!$C79,"Volume average",TRUE)</f>
        <v/>
      </c>
      <c r="R79" s="63">
        <f t="array" ref="R79">_FV(DataRT!$C79,"Beta")</f>
        <v/>
      </c>
      <c r="S79" s="68" t="n"/>
      <c r="T79" s="68" t="inlineStr">
        <is>
          <t>S</t>
        </is>
      </c>
      <c r="U79" s="68">
        <f t="array" ref="U79">_FV(DataRT!$C79,"Exchange abbreviation",TRUE)</f>
        <v/>
      </c>
      <c r="V79" s="70">
        <f>IFERROR(DataRT!$P79/DataRT!$Q79,1)</f>
        <v/>
      </c>
      <c r="W79" s="70" t="n"/>
      <c r="X79" s="88">
        <f>_xlfn.XLOOKUP(DataRT!$A79,TickerList!$G78:$G172,TickerList!L78:L172)</f>
        <v/>
      </c>
      <c r="Y79" s="157">
        <f>_xlfn.XLOOKUP(DataRT!$A79,TickerList!$G78:$G172,TickerList!M78:M172)</f>
        <v/>
      </c>
      <c r="Z79" s="157">
        <f>_xlfn.XLOOKUP(DataRT!$A79,TickerList!$G78:$G172,TickerList!N78:N172)</f>
        <v/>
      </c>
      <c r="AA79" s="73">
        <f>_xlfn.XLOOKUP(DataRT!$A79,TickerList!$G78:$G172,TickerList!O78:O172)</f>
        <v/>
      </c>
      <c r="AB79" s="74" t="n">
        <v>0.0001</v>
      </c>
      <c r="AC79" s="75" t="n">
        <v>0.003</v>
      </c>
      <c r="AD79" s="76" t="n">
        <v>157.18</v>
      </c>
      <c r="AE79" s="158">
        <f>_xlfn.LET(_xlpm.New1YT,DataRT!$X79,        _xlpm.Old1YT,IF(ISNUMBER(DataRT!$AD79),DataRT!$AD79,VALUE(LEFT(DataRT!$AD79,FIND("/",DataRT!$AD79,1)-1))),       IF(OR(DataRT!$X79=0,_xlpm.Old1YT=0),0,(_xlpm.New1YT-_xlpm.Old1YT)/_xlpm.Old1YT))</f>
        <v/>
      </c>
      <c r="AF79" s="159">
        <f>TEXT(DataRT!$X79,"#,#0.00")&amp;" &lt; "&amp;DataRT!$AD79</f>
        <v/>
      </c>
    </row>
    <row r="80" ht="22" customHeight="1">
      <c r="A80" s="96">
        <f t="array" ref="A80">_xlfn.SINGLE(DataRT!$S$3:$S$96)&amp;_FV(DataRT!$C80,"Ticker symbol",TRUE)</f>
        <v/>
      </c>
      <c r="B80" s="96">
        <f>D99</f>
        <v/>
      </c>
      <c r="C80" s="86" t="e">
        <v>#VALUE!</v>
      </c>
      <c r="D80" s="60">
        <f t="array" ref="D80">_FV(DataRT!$C80,"Currency")</f>
        <v/>
      </c>
      <c r="E80" s="80">
        <f t="array" ref="E80">_FV(DataRT!$C80,"Last trade time",TRUE)</f>
        <v/>
      </c>
      <c r="F80" s="81">
        <f t="array" ref="F80">_FV(DataRT!$C80,"Previous close",TRUE)</f>
        <v/>
      </c>
      <c r="G80" s="81">
        <f t="array" ref="G80">IFERROR(_FV(DataRT!$C80,"Open"),DataRT!$F80)</f>
        <v/>
      </c>
      <c r="H80" s="81">
        <f t="array" ref="H80">_FV(DataRT!$C80,"Price")</f>
        <v/>
      </c>
      <c r="I80" s="81">
        <f t="array" ref="I80">IFERROR(_FV(DataRT!$C80,"Low"),0)</f>
        <v/>
      </c>
      <c r="J80" s="81">
        <f t="array" ref="J80">IFERROR(_FV(DataRT!$C80,"High"),0)</f>
        <v/>
      </c>
      <c r="K80" s="82">
        <f t="array" ref="K80">IFERROR(_FV(DataRT!$C80,"P/E",TRUE),99)</f>
        <v/>
      </c>
      <c r="L80" s="83">
        <f t="array" ref="L80">_FV(DataRT!$C80,"Change")</f>
        <v/>
      </c>
      <c r="M80" s="84">
        <f t="array" ref="M80">_FV(DataRT!$C80,"Change (%)",TRUE)</f>
        <v/>
      </c>
      <c r="N80" s="81">
        <f t="array" ref="N80">_FV(DataRT!$C80,"52 week low",TRUE)</f>
        <v/>
      </c>
      <c r="O80" s="81">
        <f t="array" ref="O80">_FV(DataRT!$C80,"52 week high",TRUE)</f>
        <v/>
      </c>
      <c r="P80" s="85">
        <f t="array" ref="P80">_FV(DataRT!$C80,"Volume")</f>
        <v/>
      </c>
      <c r="Q80" s="85">
        <f t="array" ref="Q80">_FV(DataRT!$C80,"Volume average",TRUE)</f>
        <v/>
      </c>
      <c r="R80" s="81">
        <f t="array" ref="R80">_FV(DataRT!$C80,"Beta")</f>
        <v/>
      </c>
      <c r="S80" s="86" t="n"/>
      <c r="T80" s="86" t="inlineStr">
        <is>
          <t>S</t>
        </is>
      </c>
      <c r="U80" s="86">
        <f t="array" ref="U80">_FV(DataRT!$C80,"Exchange abbreviation",TRUE)</f>
        <v/>
      </c>
      <c r="V80" s="87">
        <f>IFERROR(DataRT!$P80/DataRT!$Q80,1)</f>
        <v/>
      </c>
      <c r="W80" s="87" t="n"/>
      <c r="X80" s="88">
        <f>_xlfn.XLOOKUP(DataRT!$A80,TickerList!$G79:$G173,TickerList!L79:L173)</f>
        <v/>
      </c>
      <c r="Y80" s="157">
        <f>_xlfn.XLOOKUP(DataRT!$A80,TickerList!$G79:$G173,TickerList!M79:M173)</f>
        <v/>
      </c>
      <c r="Z80" s="157">
        <f>_xlfn.XLOOKUP(DataRT!$A80,TickerList!$G79:$G173,TickerList!N79:N173)</f>
        <v/>
      </c>
      <c r="AA80" s="73">
        <f>_xlfn.XLOOKUP(DataRT!$A80,TickerList!$G79:$G173,TickerList!O79:O173)</f>
        <v/>
      </c>
      <c r="AB80" s="74" t="n">
        <v>0.0001</v>
      </c>
      <c r="AC80" s="75" t="n">
        <v>0.003</v>
      </c>
      <c r="AD80" s="76" t="n">
        <v>453.91</v>
      </c>
      <c r="AE80" s="158">
        <f>_xlfn.LET(_xlpm.New1YT,DataRT!$X80,        _xlpm.Old1YT,IF(ISNUMBER(DataRT!$AD80),DataRT!$AD80,VALUE(LEFT(DataRT!$AD80,FIND("/",DataRT!$AD80,1)-1))),       IF(OR(DataRT!$X80=0,_xlpm.Old1YT=0),0,(_xlpm.New1YT-_xlpm.Old1YT)/_xlpm.Old1YT))</f>
        <v/>
      </c>
      <c r="AF80" s="159">
        <f>TEXT(DataRT!$X80,"#,#0.00")&amp;" &lt; "&amp;DataRT!$AD80</f>
        <v/>
      </c>
    </row>
    <row r="81">
      <c r="A81" s="118">
        <f t="array" ref="A81">_xlfn.SINGLE(DataRT!$S$3:$S$96)&amp;_FV(DataRT!$C81,"Ticker symbol",TRUE)</f>
        <v/>
      </c>
      <c r="B81" s="118">
        <f>D99</f>
        <v/>
      </c>
      <c r="C81" s="68" t="e">
        <v>#VALUE!</v>
      </c>
      <c r="D81" s="60">
        <f t="array" ref="D81">_FV(DataRT!$C81,"Currency")</f>
        <v/>
      </c>
      <c r="E81" s="61">
        <f t="array" ref="E81">_FV(DataRT!$C81,"Last trade time",TRUE)</f>
        <v/>
      </c>
      <c r="F81" s="63">
        <f t="array" ref="F81">_FV(DataRT!$C81,"Previous close",TRUE)</f>
        <v/>
      </c>
      <c r="G81" s="63">
        <f t="array" ref="G81">IFERROR(_FV(DataRT!$C81,"Open"),DataRT!$F81)</f>
        <v/>
      </c>
      <c r="H81" s="63">
        <f t="array" ref="H81">_FV(DataRT!$C81,"Price")</f>
        <v/>
      </c>
      <c r="I81" s="63">
        <f t="array" ref="I81">IFERROR(_FV(DataRT!$C81,"Low"),0)</f>
        <v/>
      </c>
      <c r="J81" s="63">
        <f t="array" ref="J81">IFERROR(_FV(DataRT!$C81,"High"),0)</f>
        <v/>
      </c>
      <c r="K81" s="64">
        <f t="array" ref="K81">IFERROR(_FV(DataRT!$C81,"P/E",TRUE),99)</f>
        <v/>
      </c>
      <c r="L81" s="65">
        <f t="array" ref="L81">_FV(DataRT!$C81,"Change")</f>
        <v/>
      </c>
      <c r="M81" s="66">
        <f t="array" ref="M81">_FV(DataRT!$C81,"Change (%)",TRUE)</f>
        <v/>
      </c>
      <c r="N81" s="63">
        <f t="array" ref="N81">_FV(DataRT!$C81,"52 week low",TRUE)</f>
        <v/>
      </c>
      <c r="O81" s="63">
        <f t="array" ref="O81">_FV(DataRT!$C81,"52 week high",TRUE)</f>
        <v/>
      </c>
      <c r="P81" s="67">
        <f t="array" ref="P81">_FV(DataRT!$C81,"Volume")</f>
        <v/>
      </c>
      <c r="Q81" s="67">
        <f t="array" ref="Q81">_FV(DataRT!$C81,"Volume average",TRUE)</f>
        <v/>
      </c>
      <c r="R81" s="63">
        <f t="array" ref="R81">_FV(DataRT!$C81,"Beta")</f>
        <v/>
      </c>
      <c r="S81" s="68" t="n"/>
      <c r="T81" s="68" t="inlineStr">
        <is>
          <t>S</t>
        </is>
      </c>
      <c r="U81" s="68">
        <f t="array" ref="U81">_FV(DataRT!$C81,"Exchange abbreviation",TRUE)</f>
        <v/>
      </c>
      <c r="V81" s="70">
        <f>IFERROR(DataRT!$P81/DataRT!$Q81,1)</f>
        <v/>
      </c>
      <c r="W81" s="70" t="n"/>
      <c r="X81" s="88">
        <f>_xlfn.XLOOKUP(DataRT!$A81,TickerList!$G80:$G174,TickerList!L80:L174)</f>
        <v/>
      </c>
      <c r="Y81" s="157">
        <f>_xlfn.XLOOKUP(DataRT!$A81,TickerList!$G80:$G174,TickerList!M80:M174)</f>
        <v/>
      </c>
      <c r="Z81" s="157">
        <f>_xlfn.XLOOKUP(DataRT!$A81,TickerList!$G80:$G174,TickerList!N80:N174)</f>
        <v/>
      </c>
      <c r="AA81" s="73">
        <f>_xlfn.XLOOKUP(DataRT!$A81,TickerList!$G80:$G174,TickerList!O80:O174)</f>
        <v/>
      </c>
      <c r="AB81" s="74" t="n">
        <v>0.0001</v>
      </c>
      <c r="AC81" s="75" t="n">
        <v>0.003</v>
      </c>
      <c r="AD81" s="76" t="inlineStr">
        <is>
          <t>4.32/2.59</t>
        </is>
      </c>
      <c r="AE81" s="158">
        <f>_xlfn.LET(_xlpm.New1YT,DataRT!$X81,        _xlpm.Old1YT,IF(ISNUMBER(DataRT!$AD81),DataRT!$AD81,VALUE(LEFT(DataRT!$AD81,FIND("/",DataRT!$AD81,1)-1))),       IF(OR(DataRT!$X81=0,_xlpm.Old1YT=0),0,(_xlpm.New1YT-_xlpm.Old1YT)/_xlpm.Old1YT))</f>
        <v/>
      </c>
      <c r="AF81" s="159">
        <f>TEXT(DataRT!$X81,"#,#0.00")&amp;" &lt; "&amp;DataRT!$AD81</f>
        <v/>
      </c>
    </row>
    <row r="82" ht="22" customHeight="1">
      <c r="A82" s="96">
        <f t="array" ref="A82">_xlfn.SINGLE(DataRT!$S$3:$S$96)&amp;_FV(DataRT!$C82,"Ticker symbol",TRUE)</f>
        <v/>
      </c>
      <c r="B82" s="96">
        <f>D99</f>
        <v/>
      </c>
      <c r="C82" s="86" t="e">
        <v>#VALUE!</v>
      </c>
      <c r="D82" s="60">
        <f t="array" ref="D82">_FV(DataRT!$C82,"Currency")</f>
        <v/>
      </c>
      <c r="E82" s="80">
        <f t="array" ref="E82">_FV(DataRT!$C82,"Last trade time",TRUE)</f>
        <v/>
      </c>
      <c r="F82" s="81">
        <f t="array" ref="F82">_FV(DataRT!$C82,"Previous close",TRUE)</f>
        <v/>
      </c>
      <c r="G82" s="81">
        <f t="array" ref="G82">IFERROR(_FV(DataRT!$C82,"Open"),DataRT!$F82)</f>
        <v/>
      </c>
      <c r="H82" s="81">
        <f t="array" ref="H82">_FV(DataRT!$C82,"Price")</f>
        <v/>
      </c>
      <c r="I82" s="81">
        <f t="array" ref="I82">IFERROR(_FV(DataRT!$C82,"Low"),0)</f>
        <v/>
      </c>
      <c r="J82" s="81">
        <f t="array" ref="J82">IFERROR(_FV(DataRT!$C82,"High"),0)</f>
        <v/>
      </c>
      <c r="K82" s="82">
        <f t="array" ref="K82">IFERROR(_FV(DataRT!$C82,"P/E",TRUE),99)</f>
        <v/>
      </c>
      <c r="L82" s="83">
        <f t="array" ref="L82">_FV(DataRT!$C82,"Change")</f>
        <v/>
      </c>
      <c r="M82" s="84">
        <f t="array" ref="M82">_FV(DataRT!$C82,"Change (%)",TRUE)</f>
        <v/>
      </c>
      <c r="N82" s="81">
        <f t="array" ref="N82">_FV(DataRT!$C82,"52 week low",TRUE)</f>
        <v/>
      </c>
      <c r="O82" s="81">
        <f t="array" ref="O82">_FV(DataRT!$C82,"52 week high",TRUE)</f>
        <v/>
      </c>
      <c r="P82" s="85">
        <f t="array" ref="P82">_FV(DataRT!$C82,"Volume")</f>
        <v/>
      </c>
      <c r="Q82" s="85">
        <f t="array" ref="Q82">_FV(DataRT!$C82,"Volume average",TRUE)</f>
        <v/>
      </c>
      <c r="R82" s="81">
        <f t="array" ref="R82">_FV(DataRT!$C82,"Beta")</f>
        <v/>
      </c>
      <c r="S82" s="86" t="n"/>
      <c r="T82" s="86" t="inlineStr">
        <is>
          <t>S</t>
        </is>
      </c>
      <c r="U82" s="86">
        <f t="array" ref="U82">_FV(DataRT!$C82,"Exchange abbreviation",TRUE)</f>
        <v/>
      </c>
      <c r="V82" s="87">
        <f>IFERROR(DataRT!$P82/DataRT!$Q82,1)</f>
        <v/>
      </c>
      <c r="W82" s="87" t="n"/>
      <c r="X82" s="88">
        <f>_xlfn.XLOOKUP(DataRT!$A82,TickerList!$G81:$G175,TickerList!L81:L175)</f>
        <v/>
      </c>
      <c r="Y82" s="157">
        <f>_xlfn.XLOOKUP(DataRT!$A82,TickerList!$G81:$G175,TickerList!M81:M175)</f>
        <v/>
      </c>
      <c r="Z82" s="157">
        <f>_xlfn.XLOOKUP(DataRT!$A82,TickerList!$G81:$G175,TickerList!N81:N175)</f>
        <v/>
      </c>
      <c r="AA82" s="73">
        <f>_xlfn.XLOOKUP(DataRT!$A82,TickerList!$G81:$G175,TickerList!O81:O175)</f>
        <v/>
      </c>
      <c r="AB82" s="74" t="n">
        <v>0.0001</v>
      </c>
      <c r="AC82" s="75" t="n">
        <v>0.003</v>
      </c>
      <c r="AD82" s="76" t="n">
        <v>28.04</v>
      </c>
      <c r="AE82" s="158">
        <f>_xlfn.LET(_xlpm.New1YT,DataRT!$X82,        _xlpm.Old1YT,IF(ISNUMBER(DataRT!$AD82),DataRT!$AD82,VALUE(LEFT(DataRT!$AD82,FIND("/",DataRT!$AD82,1)-1))),       IF(OR(DataRT!$X82=0,_xlpm.Old1YT=0),0,(_xlpm.New1YT-_xlpm.Old1YT)/_xlpm.Old1YT))</f>
        <v/>
      </c>
      <c r="AF82" s="159">
        <f>TEXT(DataRT!$X82,"#,#0.00")&amp;" &lt; "&amp;DataRT!$AD82</f>
        <v/>
      </c>
    </row>
    <row r="83" ht="22" customHeight="1">
      <c r="A83" s="118">
        <f t="array" ref="A83">_xlfn.SINGLE(DataRT!$S$3:$S$96)&amp;_FV(DataRT!$C83,"Ticker symbol",TRUE)</f>
        <v/>
      </c>
      <c r="B83" s="118">
        <f>D99</f>
        <v/>
      </c>
      <c r="C83" s="68" t="e">
        <v>#VALUE!</v>
      </c>
      <c r="D83" s="60">
        <f t="array" ref="D83">_FV(DataRT!$C83,"Currency")</f>
        <v/>
      </c>
      <c r="E83" s="61">
        <f t="array" ref="E83">_FV(DataRT!$C83,"Last trade time",TRUE)</f>
        <v/>
      </c>
      <c r="F83" s="63">
        <f t="array" ref="F83">_FV(DataRT!$C83,"Previous close",TRUE)</f>
        <v/>
      </c>
      <c r="G83" s="63">
        <f t="array" ref="G83">IFERROR(_FV(DataRT!$C83,"Open"),DataRT!$F83)</f>
        <v/>
      </c>
      <c r="H83" s="63">
        <f t="array" ref="H83">_FV(DataRT!$C83,"Price")</f>
        <v/>
      </c>
      <c r="I83" s="63">
        <f t="array" ref="I83">IFERROR(_FV(DataRT!$C83,"Low"),0)</f>
        <v/>
      </c>
      <c r="J83" s="63">
        <f t="array" ref="J83">IFERROR(_FV(DataRT!$C83,"High"),0)</f>
        <v/>
      </c>
      <c r="K83" s="64">
        <f t="array" ref="K83">IFERROR(_FV(DataRT!$C83,"P/E",TRUE),99)</f>
        <v/>
      </c>
      <c r="L83" s="65">
        <f t="array" ref="L83">_FV(DataRT!$C83,"Change")</f>
        <v/>
      </c>
      <c r="M83" s="66">
        <f t="array" ref="M83">_FV(DataRT!$C83,"Change (%)",TRUE)</f>
        <v/>
      </c>
      <c r="N83" s="63">
        <f t="array" ref="N83">_FV(DataRT!$C83,"52 week low",TRUE)</f>
        <v/>
      </c>
      <c r="O83" s="63">
        <f t="array" ref="O83">_FV(DataRT!$C83,"52 week high",TRUE)</f>
        <v/>
      </c>
      <c r="P83" s="67">
        <f t="array" ref="P83">_FV(DataRT!$C83,"Volume")</f>
        <v/>
      </c>
      <c r="Q83" s="67">
        <f t="array" ref="Q83">_FV(DataRT!$C83,"Volume average",TRUE)</f>
        <v/>
      </c>
      <c r="R83" s="63">
        <f t="array" ref="R83">_FV(DataRT!$C83,"Beta")</f>
        <v/>
      </c>
      <c r="S83" s="68" t="n"/>
      <c r="T83" s="68" t="inlineStr">
        <is>
          <t>S</t>
        </is>
      </c>
      <c r="U83" s="68">
        <f t="array" ref="U83">_FV(DataRT!$C83,"Exchange abbreviation",TRUE)</f>
        <v/>
      </c>
      <c r="V83" s="70">
        <f>IFERROR(DataRT!$P83/DataRT!$Q83,1)</f>
        <v/>
      </c>
      <c r="W83" s="70" t="n"/>
      <c r="X83" s="88">
        <f>_xlfn.XLOOKUP(DataRT!$A83,TickerList!$G82:$G176,TickerList!L82:L176)</f>
        <v/>
      </c>
      <c r="Y83" s="157">
        <f>_xlfn.XLOOKUP(DataRT!$A83,TickerList!$G82:$G176,TickerList!M82:M176)</f>
        <v/>
      </c>
      <c r="Z83" s="157">
        <f>_xlfn.XLOOKUP(DataRT!$A83,TickerList!$G82:$G176,TickerList!N82:N176)</f>
        <v/>
      </c>
      <c r="AA83" s="73">
        <f>_xlfn.XLOOKUP(DataRT!$A83,TickerList!$G82:$G176,TickerList!O82:O176)</f>
        <v/>
      </c>
      <c r="AB83" s="74" t="n">
        <v>0.0001</v>
      </c>
      <c r="AC83" s="75" t="n">
        <v>0.003</v>
      </c>
      <c r="AD83" s="76" t="n">
        <v>549.3099999999999</v>
      </c>
      <c r="AE83" s="158">
        <f>_xlfn.LET(_xlpm.New1YT,DataRT!$X83,        _xlpm.Old1YT,IF(ISNUMBER(DataRT!$AD83),DataRT!$AD83,VALUE(LEFT(DataRT!$AD83,FIND("/",DataRT!$AD83,1)-1))),       IF(OR(DataRT!$X83=0,_xlpm.Old1YT=0),0,(_xlpm.New1YT-_xlpm.Old1YT)/_xlpm.Old1YT))</f>
        <v/>
      </c>
      <c r="AF83" s="159">
        <f>TEXT(DataRT!$X83,"#,#0.00")&amp;" &lt; "&amp;DataRT!$AD83</f>
        <v/>
      </c>
    </row>
    <row r="84" ht="22" customHeight="1">
      <c r="A84" s="96">
        <f t="array" ref="A84">_xlfn.SINGLE(DataRT!$S$3:$S$96)&amp;_FV(DataRT!$C84,"Ticker symbol",TRUE)</f>
        <v/>
      </c>
      <c r="B84" s="96">
        <f>D99</f>
        <v/>
      </c>
      <c r="C84" s="86" t="e">
        <v>#VALUE!</v>
      </c>
      <c r="D84" s="60">
        <f t="array" ref="D84">_FV(DataRT!$C84,"Currency")</f>
        <v/>
      </c>
      <c r="E84" s="80">
        <f t="array" ref="E84">_FV(DataRT!$C84,"Last trade time",TRUE)</f>
        <v/>
      </c>
      <c r="F84" s="81">
        <f t="array" ref="F84">_FV(DataRT!$C84,"Previous close",TRUE)</f>
        <v/>
      </c>
      <c r="G84" s="81">
        <f t="array" ref="G84">IFERROR(_FV(DataRT!$C84,"Open"),DataRT!$F84)</f>
        <v/>
      </c>
      <c r="H84" s="81">
        <f t="array" ref="H84">_FV(DataRT!$C84,"Price")</f>
        <v/>
      </c>
      <c r="I84" s="81">
        <f t="array" ref="I84">IFERROR(_FV(DataRT!$C84,"Low"),0)</f>
        <v/>
      </c>
      <c r="J84" s="81">
        <f t="array" ref="J84">IFERROR(_FV(DataRT!$C84,"High"),0)</f>
        <v/>
      </c>
      <c r="K84" s="82">
        <f t="array" ref="K84">IFERROR(_FV(DataRT!$C84,"P/E",TRUE),99)</f>
        <v/>
      </c>
      <c r="L84" s="83">
        <f t="array" ref="L84">_FV(DataRT!$C84,"Change")</f>
        <v/>
      </c>
      <c r="M84" s="84">
        <f t="array" ref="M84">_FV(DataRT!$C84,"Change (%)",TRUE)</f>
        <v/>
      </c>
      <c r="N84" s="81">
        <f t="array" ref="N84">_FV(DataRT!$C84,"52 week low",TRUE)</f>
        <v/>
      </c>
      <c r="O84" s="81">
        <f t="array" ref="O84">_FV(DataRT!$C84,"52 week high",TRUE)</f>
        <v/>
      </c>
      <c r="P84" s="85">
        <f t="array" ref="P84">_FV(DataRT!$C84,"Volume")</f>
        <v/>
      </c>
      <c r="Q84" s="85">
        <f t="array" ref="Q84">_FV(DataRT!$C84,"Volume average",TRUE)</f>
        <v/>
      </c>
      <c r="R84" s="81">
        <f t="array" ref="R84">_FV(DataRT!$C84,"Beta")</f>
        <v/>
      </c>
      <c r="S84" s="86" t="n"/>
      <c r="T84" s="86" t="inlineStr">
        <is>
          <t>S</t>
        </is>
      </c>
      <c r="U84" s="86">
        <f t="array" ref="U84">_FV(DataRT!$C84,"Exchange abbreviation",TRUE)</f>
        <v/>
      </c>
      <c r="V84" s="87">
        <f>IFERROR(DataRT!$P84/DataRT!$Q84,1)</f>
        <v/>
      </c>
      <c r="W84" s="87" t="n"/>
      <c r="X84" s="88">
        <f>_xlfn.XLOOKUP(DataRT!$A84,TickerList!$G83:$G177,TickerList!L83:L177)</f>
        <v/>
      </c>
      <c r="Y84" s="157">
        <f>_xlfn.XLOOKUP(DataRT!$A84,TickerList!$G83:$G177,TickerList!M83:M177)</f>
        <v/>
      </c>
      <c r="Z84" s="157">
        <f>_xlfn.XLOOKUP(DataRT!$A84,TickerList!$G83:$G177,TickerList!N83:N177)</f>
        <v/>
      </c>
      <c r="AA84" s="73">
        <f>_xlfn.XLOOKUP(DataRT!$A84,TickerList!$G83:$G177,TickerList!O83:O177)</f>
        <v/>
      </c>
      <c r="AB84" s="74" t="n">
        <v>0.0001</v>
      </c>
      <c r="AC84" s="75" t="n">
        <v>0.003</v>
      </c>
      <c r="AD84" s="76" t="inlineStr">
        <is>
          <t>14.67/16.14/20.8</t>
        </is>
      </c>
      <c r="AE84" s="158">
        <f>_xlfn.LET(_xlpm.New1YT,DataRT!$X84,        _xlpm.Old1YT,IF(ISNUMBER(DataRT!$AD84),DataRT!$AD84,VALUE(LEFT(DataRT!$AD84,FIND("/",DataRT!$AD84,1)-1))),       IF(OR(DataRT!$X84=0,_xlpm.Old1YT=0),0,(_xlpm.New1YT-_xlpm.Old1YT)/_xlpm.Old1YT))</f>
        <v/>
      </c>
      <c r="AF84" s="159">
        <f>TEXT(DataRT!$X84,"#,#0.00")&amp;" &lt; "&amp;DataRT!$AD84</f>
        <v/>
      </c>
    </row>
    <row r="85" ht="22" customHeight="1">
      <c r="A85" s="118">
        <f t="array" ref="A85">_xlfn.SINGLE(DataRT!$S$3:$S$96)&amp;_FV(DataRT!$C85,"Ticker symbol",TRUE)</f>
        <v/>
      </c>
      <c r="B85" s="118">
        <f>D99</f>
        <v/>
      </c>
      <c r="C85" s="68" t="e">
        <v>#VALUE!</v>
      </c>
      <c r="D85" s="60">
        <f t="array" ref="D85">_FV(DataRT!$C85,"Currency")</f>
        <v/>
      </c>
      <c r="E85" s="61">
        <f t="array" ref="E85">_FV(DataRT!$C85,"Last trade time",TRUE)</f>
        <v/>
      </c>
      <c r="F85" s="63">
        <f t="array" ref="F85">_FV(DataRT!$C85,"Previous close",TRUE)</f>
        <v/>
      </c>
      <c r="G85" s="63">
        <f t="array" ref="G85">IFERROR(_FV(DataRT!$C85,"Open"),DataRT!$F85)</f>
        <v/>
      </c>
      <c r="H85" s="63">
        <f t="array" ref="H85">_FV(DataRT!$C85,"Price")</f>
        <v/>
      </c>
      <c r="I85" s="63">
        <f t="array" ref="I85">IFERROR(_FV(DataRT!$C85,"Low"),0)</f>
        <v/>
      </c>
      <c r="J85" s="63">
        <f t="array" ref="J85">IFERROR(_FV(DataRT!$C85,"High"),0)</f>
        <v/>
      </c>
      <c r="K85" s="64">
        <f t="array" ref="K85">IFERROR(_FV(DataRT!$C85,"P/E",TRUE),99)</f>
        <v/>
      </c>
      <c r="L85" s="65">
        <f t="array" ref="L85">_FV(DataRT!$C85,"Change")</f>
        <v/>
      </c>
      <c r="M85" s="66">
        <f t="array" ref="M85">_FV(DataRT!$C85,"Change (%)",TRUE)</f>
        <v/>
      </c>
      <c r="N85" s="63">
        <f t="array" ref="N85">_FV(DataRT!$C85,"52 week low",TRUE)</f>
        <v/>
      </c>
      <c r="O85" s="63">
        <f t="array" ref="O85">_FV(DataRT!$C85,"52 week high",TRUE)</f>
        <v/>
      </c>
      <c r="P85" s="67">
        <f t="array" ref="P85">_FV(DataRT!$C85,"Volume")</f>
        <v/>
      </c>
      <c r="Q85" s="67">
        <f t="array" ref="Q85">_FV(DataRT!$C85,"Volume average",TRUE)</f>
        <v/>
      </c>
      <c r="R85" s="63">
        <f t="array" ref="R85">_FV(DataRT!$C85,"Beta")</f>
        <v/>
      </c>
      <c r="S85" s="68" t="n"/>
      <c r="T85" s="68" t="inlineStr">
        <is>
          <t>S</t>
        </is>
      </c>
      <c r="U85" s="68">
        <f t="array" ref="U85">_FV(DataRT!$C85,"Exchange abbreviation",TRUE)</f>
        <v/>
      </c>
      <c r="V85" s="70">
        <f>IFERROR(DataRT!$P85/DataRT!$Q85,1)</f>
        <v/>
      </c>
      <c r="W85" s="70" t="n"/>
      <c r="X85" s="88">
        <f>_xlfn.XLOOKUP(DataRT!$A85,TickerList!$G84:$G178,TickerList!L84:L178)</f>
        <v/>
      </c>
      <c r="Y85" s="157">
        <f>_xlfn.XLOOKUP(DataRT!$A85,TickerList!$G84:$G178,TickerList!M84:M178)</f>
        <v/>
      </c>
      <c r="Z85" s="157">
        <f>_xlfn.XLOOKUP(DataRT!$A85,TickerList!$G84:$G178,TickerList!N84:N178)</f>
        <v/>
      </c>
      <c r="AA85" s="73">
        <f>_xlfn.XLOOKUP(DataRT!$A85,TickerList!$G84:$G178,TickerList!O84:O178)</f>
        <v/>
      </c>
      <c r="AB85" s="74" t="n">
        <v>0.0001</v>
      </c>
      <c r="AC85" s="75" t="n">
        <v>0.003</v>
      </c>
      <c r="AD85" s="76" t="n">
        <v>115.66</v>
      </c>
      <c r="AE85" s="158">
        <f>_xlfn.LET(_xlpm.New1YT,DataRT!$X85,        _xlpm.Old1YT,IF(ISNUMBER(DataRT!$AD85),DataRT!$AD85,VALUE(LEFT(DataRT!$AD85,FIND("/",DataRT!$AD85,1)-1))),       IF(OR(DataRT!$X85=0,_xlpm.Old1YT=0),0,(_xlpm.New1YT-_xlpm.Old1YT)/_xlpm.Old1YT))</f>
        <v/>
      </c>
      <c r="AF85" s="159">
        <f>TEXT(DataRT!$X85,"#,#0.00")&amp;" &lt; "&amp;DataRT!$AD85</f>
        <v/>
      </c>
    </row>
    <row r="86">
      <c r="A86" s="96">
        <f t="array" ref="A86">_xlfn.SINGLE(DataRT!$S$3:$S$96)&amp;_FV(DataRT!$C86,"Ticker symbol",TRUE)</f>
        <v/>
      </c>
      <c r="B86" s="96" t="n">
        <v>1</v>
      </c>
      <c r="C86" s="86" t="e">
        <v>#VALUE!</v>
      </c>
      <c r="D86" s="60">
        <f t="array" ref="D86">_FV(DataRT!$C86,"Currency")</f>
        <v/>
      </c>
      <c r="E86" s="80">
        <f t="array" ref="E86">_FV(DataRT!$C86,"Last trade time",TRUE)</f>
        <v/>
      </c>
      <c r="F86" s="162">
        <f t="array" ref="F86">_FV(DataRT!$C86,"Previous close",TRUE)</f>
        <v/>
      </c>
      <c r="G86" s="162">
        <f t="array" ref="G86">IFERROR(_FV(DataRT!$C86,"Open"),DataRT!$F86)</f>
        <v/>
      </c>
      <c r="H86" s="162">
        <f t="array" ref="H86">_FV(DataRT!$C86,"Price")</f>
        <v/>
      </c>
      <c r="I86" s="162">
        <f t="array" ref="I86">IFERROR(_FV(DataRT!$C86,"Low"),0)</f>
        <v/>
      </c>
      <c r="J86" s="162">
        <f t="array" ref="J86">IFERROR(_FV(DataRT!$C86,"High"),0)</f>
        <v/>
      </c>
      <c r="K86" s="82">
        <f t="array" ref="K86">IFERROR(_FV(DataRT!$C86,"P/E",TRUE),99)</f>
        <v/>
      </c>
      <c r="L86" s="83">
        <f t="array" ref="L86">_FV(DataRT!$C86,"Change")</f>
        <v/>
      </c>
      <c r="M86" s="84">
        <f t="array" ref="M86">_FV(DataRT!$C86,"Change (%)",TRUE)</f>
        <v/>
      </c>
      <c r="N86" s="162">
        <f t="array" ref="N86">_FV(DataRT!$C86,"52 week low",TRUE)</f>
        <v/>
      </c>
      <c r="O86" s="162">
        <f t="array" ref="O86">_FV(DataRT!$C86,"52 week high",TRUE)</f>
        <v/>
      </c>
      <c r="P86" s="85">
        <f t="array" ref="P86">_FV(DataRT!$C86,"Volume")</f>
        <v/>
      </c>
      <c r="Q86" s="85">
        <f t="array" ref="Q86">_FV(DataRT!$C86,"Volume average",TRUE)</f>
        <v/>
      </c>
      <c r="R86" s="81">
        <f t="array" ref="R86">_FV(DataRT!$C86,"Beta")</f>
        <v/>
      </c>
      <c r="S86" s="86" t="n"/>
      <c r="T86" s="86" t="inlineStr">
        <is>
          <t>S</t>
        </is>
      </c>
      <c r="U86" s="86">
        <f t="array" ref="U86">_FV(DataRT!$C86,"Exchange abbreviation",TRUE)</f>
        <v/>
      </c>
      <c r="V86" s="87">
        <f>IFERROR(DataRT!$P86/DataRT!$Q86,1)</f>
        <v/>
      </c>
      <c r="W86" s="87" t="n"/>
      <c r="X86" s="88">
        <f>_xlfn.XLOOKUP(DataRT!$A86,TickerList!$G85:$G179,TickerList!L85:L179)</f>
        <v/>
      </c>
      <c r="Y86" s="157">
        <f>_xlfn.XLOOKUP(DataRT!$A86,TickerList!$G85:$G179,TickerList!M85:M179)</f>
        <v/>
      </c>
      <c r="Z86" s="157">
        <f>_xlfn.XLOOKUP(DataRT!$A86,TickerList!$G85:$G179,TickerList!N85:N179)</f>
        <v/>
      </c>
      <c r="AA86" s="73">
        <f>_xlfn.XLOOKUP(DataRT!$A86,TickerList!$G85:$G179,TickerList!O85:O179)</f>
        <v/>
      </c>
      <c r="AB86" s="74" t="n"/>
      <c r="AC86" s="75" t="n">
        <v>0.003</v>
      </c>
      <c r="AD86" s="76" t="inlineStr">
        <is>
          <t>14.83/14/12.94</t>
        </is>
      </c>
      <c r="AE86" s="158">
        <f>_xlfn.LET(_xlpm.New1YT,DataRT!$X86,        _xlpm.Old1YT,IF(ISNUMBER(DataRT!$AD86),DataRT!$AD86,VALUE(LEFT(DataRT!$AD86,FIND("/",DataRT!$AD86,1)-1))),       IF(OR(DataRT!$X86=0,_xlpm.Old1YT=0),0,(_xlpm.New1YT-_xlpm.Old1YT)/_xlpm.Old1YT))</f>
        <v/>
      </c>
      <c r="AF86" s="159">
        <f>TEXT(DataRT!$X86,"#,#0.00")&amp;" &lt; "&amp;DataRT!$AD86</f>
        <v/>
      </c>
    </row>
    <row r="87" ht="22" customHeight="1">
      <c r="A87" s="118">
        <f t="array" ref="A87">_xlfn.SINGLE(DataRT!$S$3:$S$96)&amp;_FV(DataRT!$C87,"Ticker symbol",TRUE)</f>
        <v/>
      </c>
      <c r="B87" s="118">
        <f>D99</f>
        <v/>
      </c>
      <c r="C87" s="68" t="e">
        <v>#VALUE!</v>
      </c>
      <c r="D87" s="60">
        <f t="array" ref="D87">_FV(DataRT!$C87,"Currency")</f>
        <v/>
      </c>
      <c r="E87" s="61">
        <f t="array" ref="E87">_FV(DataRT!$C87,"Last trade time",TRUE)</f>
        <v/>
      </c>
      <c r="F87" s="63">
        <f t="array" ref="F87">_FV(DataRT!$C87,"Previous close",TRUE)</f>
        <v/>
      </c>
      <c r="G87" s="63">
        <f t="array" ref="G87">IFERROR(_FV(DataRT!$C87,"Open"),DataRT!$F87)</f>
        <v/>
      </c>
      <c r="H87" s="63">
        <f t="array" ref="H87">_FV(DataRT!$C87,"Price")</f>
        <v/>
      </c>
      <c r="I87" s="63">
        <f t="array" ref="I87">IFERROR(_FV(DataRT!$C87,"Low"),0)</f>
        <v/>
      </c>
      <c r="J87" s="63">
        <f t="array" ref="J87">IFERROR(_FV(DataRT!$C87,"High"),0)</f>
        <v/>
      </c>
      <c r="K87" s="64">
        <f t="array" ref="K87">IFERROR(_FV(DataRT!$C87,"P/E",TRUE),99)</f>
        <v/>
      </c>
      <c r="L87" s="65">
        <f t="array" ref="L87">_FV(DataRT!$C87,"Change")</f>
        <v/>
      </c>
      <c r="M87" s="66">
        <f t="array" ref="M87">_FV(DataRT!$C87,"Change (%)",TRUE)</f>
        <v/>
      </c>
      <c r="N87" s="63">
        <f t="array" ref="N87">_FV(DataRT!$C87,"52 week low",TRUE)</f>
        <v/>
      </c>
      <c r="O87" s="63">
        <f t="array" ref="O87">_FV(DataRT!$C87,"52 week high",TRUE)</f>
        <v/>
      </c>
      <c r="P87" s="67">
        <f t="array" ref="P87">_FV(DataRT!$C87,"Volume")</f>
        <v/>
      </c>
      <c r="Q87" s="67">
        <f t="array" ref="Q87">_FV(DataRT!$C87,"Volume average",TRUE)</f>
        <v/>
      </c>
      <c r="R87" s="63">
        <f t="array" ref="R87">_FV(DataRT!$C87,"Beta")</f>
        <v/>
      </c>
      <c r="S87" s="68" t="n"/>
      <c r="T87" s="68" t="inlineStr">
        <is>
          <t>S</t>
        </is>
      </c>
      <c r="U87" s="68">
        <f t="array" ref="U87">_FV(DataRT!$C87,"Exchange abbreviation",TRUE)</f>
        <v/>
      </c>
      <c r="V87" s="70">
        <f>IFERROR(DataRT!$P87/DataRT!$Q87,1)</f>
        <v/>
      </c>
      <c r="W87" s="70" t="n"/>
      <c r="X87" s="88">
        <f>_xlfn.XLOOKUP(DataRT!$A87,TickerList!$G86:$G180,TickerList!L86:L180)</f>
        <v/>
      </c>
      <c r="Y87" s="157">
        <f>_xlfn.XLOOKUP(DataRT!$A87,TickerList!$G86:$G180,TickerList!M86:M180)</f>
        <v/>
      </c>
      <c r="Z87" s="157">
        <f>_xlfn.XLOOKUP(DataRT!$A87,TickerList!$G86:$G180,TickerList!N86:N180)</f>
        <v/>
      </c>
      <c r="AA87" s="73">
        <f>_xlfn.XLOOKUP(DataRT!$A87,TickerList!$G86:$G180,TickerList!O86:O180)</f>
        <v/>
      </c>
      <c r="AB87" s="74" t="n">
        <v>0.0001</v>
      </c>
      <c r="AC87" s="75" t="n">
        <v>0.003</v>
      </c>
      <c r="AD87" s="76" t="n">
        <v>71.72</v>
      </c>
      <c r="AE87" s="158">
        <f>_xlfn.LET(_xlpm.New1YT,DataRT!$X87,        _xlpm.Old1YT,IF(ISNUMBER(DataRT!$AD87),DataRT!$AD87,VALUE(LEFT(DataRT!$AD87,FIND("/",DataRT!$AD87,1)-1))),       IF(OR(DataRT!$X87=0,_xlpm.Old1YT=0),0,(_xlpm.New1YT-_xlpm.Old1YT)/_xlpm.Old1YT))</f>
        <v/>
      </c>
      <c r="AF87" s="159">
        <f>TEXT(DataRT!$X87,"#,#0.00")&amp;" &lt; "&amp;DataRT!$AD87</f>
        <v/>
      </c>
    </row>
    <row r="88" ht="22" customHeight="1">
      <c r="A88" s="96">
        <f t="array" ref="A88">_xlfn.SINGLE(DataRT!$S$3:$S$96)&amp;_FV(DataRT!$C88,"Ticker symbol",TRUE)</f>
        <v/>
      </c>
      <c r="B88" s="96">
        <f>D99</f>
        <v/>
      </c>
      <c r="C88" s="86" t="e">
        <v>#VALUE!</v>
      </c>
      <c r="D88" s="60">
        <f t="array" ref="D88">_FV(DataRT!$C88,"Currency")</f>
        <v/>
      </c>
      <c r="E88" s="80">
        <f t="array" ref="E88">_FV(DataRT!$C88,"Last trade time",TRUE)</f>
        <v/>
      </c>
      <c r="F88" s="81">
        <f t="array" ref="F88">_FV(DataRT!$C88,"Previous close",TRUE)</f>
        <v/>
      </c>
      <c r="G88" s="81">
        <f t="array" ref="G88">IFERROR(_FV(DataRT!$C88,"Open"),DataRT!$F88)</f>
        <v/>
      </c>
      <c r="H88" s="81">
        <f t="array" ref="H88">_FV(DataRT!$C88,"Price")</f>
        <v/>
      </c>
      <c r="I88" s="81">
        <f t="array" ref="I88">IFERROR(_FV(DataRT!$C88,"Low"),0)</f>
        <v/>
      </c>
      <c r="J88" s="81">
        <f t="array" ref="J88">IFERROR(_FV(DataRT!$C88,"High"),0)</f>
        <v/>
      </c>
      <c r="K88" s="82">
        <f t="array" ref="K88">IFERROR(_FV(DataRT!$C88,"P/E",TRUE),99)</f>
        <v/>
      </c>
      <c r="L88" s="83">
        <f t="array" ref="L88">_FV(DataRT!$C88,"Change")</f>
        <v/>
      </c>
      <c r="M88" s="84">
        <f t="array" ref="M88">_FV(DataRT!$C88,"Change (%)",TRUE)</f>
        <v/>
      </c>
      <c r="N88" s="81">
        <f t="array" ref="N88">_FV(DataRT!$C88,"52 week low",TRUE)</f>
        <v/>
      </c>
      <c r="O88" s="81">
        <f t="array" ref="O88">_FV(DataRT!$C88,"52 week high",TRUE)</f>
        <v/>
      </c>
      <c r="P88" s="85">
        <f t="array" ref="P88">_FV(DataRT!$C88,"Volume")</f>
        <v/>
      </c>
      <c r="Q88" s="85">
        <f t="array" ref="Q88">_FV(DataRT!$C88,"Volume average",TRUE)</f>
        <v/>
      </c>
      <c r="R88" s="81">
        <f t="array" ref="R88">_FV(DataRT!$C88,"Beta")</f>
        <v/>
      </c>
      <c r="S88" s="86" t="n"/>
      <c r="T88" s="86" t="inlineStr">
        <is>
          <t>S</t>
        </is>
      </c>
      <c r="U88" s="86">
        <f t="array" ref="U88">_FV(DataRT!$C88,"Exchange abbreviation",TRUE)</f>
        <v/>
      </c>
      <c r="V88" s="87">
        <f>IFERROR(DataRT!$P88/DataRT!$Q88,1)</f>
        <v/>
      </c>
      <c r="W88" s="87" t="n"/>
      <c r="X88" s="88">
        <f>_xlfn.XLOOKUP(DataRT!$A88,TickerList!$G87:$G181,TickerList!L87:L181)</f>
        <v/>
      </c>
      <c r="Y88" s="157">
        <f>_xlfn.XLOOKUP(DataRT!$A88,TickerList!$G87:$G181,TickerList!M87:M181)</f>
        <v/>
      </c>
      <c r="Z88" s="157">
        <f>_xlfn.XLOOKUP(DataRT!$A88,TickerList!$G87:$G181,TickerList!N87:N181)</f>
        <v/>
      </c>
      <c r="AA88" s="73">
        <f>_xlfn.XLOOKUP(DataRT!$A88,TickerList!$G87:$G181,TickerList!O87:O181)</f>
        <v/>
      </c>
      <c r="AB88" s="74" t="n">
        <v>0.0001</v>
      </c>
      <c r="AC88" s="75" t="n">
        <v>0.003</v>
      </c>
      <c r="AD88" s="76" t="n">
        <v>33.15</v>
      </c>
      <c r="AE88" s="158">
        <f>_xlfn.LET(_xlpm.New1YT,DataRT!$X88,        _xlpm.Old1YT,IF(ISNUMBER(DataRT!$AD88),DataRT!$AD88,VALUE(LEFT(DataRT!$AD88,FIND("/",DataRT!$AD88,1)-1))),       IF(OR(DataRT!$X88=0,_xlpm.Old1YT=0),0,(_xlpm.New1YT-_xlpm.Old1YT)/_xlpm.Old1YT))</f>
        <v/>
      </c>
      <c r="AF88" s="159">
        <f>TEXT(DataRT!$X88,"#,#0.00")&amp;" &lt; "&amp;DataRT!$AD88</f>
        <v/>
      </c>
    </row>
    <row r="89" ht="22" customHeight="1">
      <c r="A89" s="118">
        <f t="array" ref="A89">_xlfn.SINGLE(DataRT!$S$3:$S$96)&amp;_FV(DataRT!$C89,"Ticker symbol",TRUE)</f>
        <v/>
      </c>
      <c r="B89" s="118">
        <f>D99</f>
        <v/>
      </c>
      <c r="C89" s="68" t="e">
        <v>#VALUE!</v>
      </c>
      <c r="D89" s="60">
        <f t="array" ref="D89">_FV(DataRT!$C89,"Currency")</f>
        <v/>
      </c>
      <c r="E89" s="61">
        <f t="array" ref="E89">_FV(DataRT!$C89,"Last trade time",TRUE)</f>
        <v/>
      </c>
      <c r="F89" s="63">
        <f t="array" ref="F89">_FV(DataRT!$C89,"Previous close",TRUE)</f>
        <v/>
      </c>
      <c r="G89" s="63">
        <f t="array" ref="G89">IFERROR(_FV(DataRT!$C89,"Open"),DataRT!$F89)</f>
        <v/>
      </c>
      <c r="H89" s="63">
        <f t="array" ref="H89">_FV(DataRT!$C89,"Price")</f>
        <v/>
      </c>
      <c r="I89" s="63">
        <f t="array" ref="I89">IFERROR(_FV(DataRT!$C89,"Low"),0)</f>
        <v/>
      </c>
      <c r="J89" s="63">
        <f t="array" ref="J89">IFERROR(_FV(DataRT!$C89,"High"),0)</f>
        <v/>
      </c>
      <c r="K89" s="64">
        <f t="array" ref="K89">IFERROR(_FV(DataRT!$C89,"P/E",TRUE),99)</f>
        <v/>
      </c>
      <c r="L89" s="65">
        <f t="array" ref="L89">_FV(DataRT!$C89,"Change")</f>
        <v/>
      </c>
      <c r="M89" s="66">
        <f t="array" ref="M89">_FV(DataRT!$C89,"Change (%)",TRUE)</f>
        <v/>
      </c>
      <c r="N89" s="63">
        <f t="array" ref="N89">_FV(DataRT!$C89,"52 week low",TRUE)</f>
        <v/>
      </c>
      <c r="O89" s="63">
        <f t="array" ref="O89">_FV(DataRT!$C89,"52 week high",TRUE)</f>
        <v/>
      </c>
      <c r="P89" s="67">
        <f t="array" ref="P89">_FV(DataRT!$C89,"Volume")</f>
        <v/>
      </c>
      <c r="Q89" s="67">
        <f t="array" ref="Q89">_FV(DataRT!$C89,"Volume average",TRUE)</f>
        <v/>
      </c>
      <c r="R89" s="63">
        <f t="array" ref="R89">_FV(DataRT!$C89,"Beta")</f>
        <v/>
      </c>
      <c r="S89" s="68" t="n"/>
      <c r="T89" s="68" t="inlineStr">
        <is>
          <t>S</t>
        </is>
      </c>
      <c r="U89" s="68">
        <f t="array" ref="U89">_FV(DataRT!$C89,"Exchange abbreviation",TRUE)</f>
        <v/>
      </c>
      <c r="V89" s="70">
        <f>IFERROR(DataRT!$P89/DataRT!$Q89,1)</f>
        <v/>
      </c>
      <c r="W89" s="70" t="n"/>
      <c r="X89" s="88">
        <f>_xlfn.XLOOKUP(DataRT!$A89,TickerList!$G88:$G182,TickerList!L88:L182)</f>
        <v/>
      </c>
      <c r="Y89" s="157">
        <f>_xlfn.XLOOKUP(DataRT!$A89,TickerList!$G88:$G182,TickerList!M88:M182)</f>
        <v/>
      </c>
      <c r="Z89" s="157">
        <f>_xlfn.XLOOKUP(DataRT!$A89,TickerList!$G88:$G182,TickerList!N88:N182)</f>
        <v/>
      </c>
      <c r="AA89" s="73">
        <f>_xlfn.XLOOKUP(DataRT!$A89,TickerList!$G88:$G182,TickerList!O88:O182)</f>
        <v/>
      </c>
      <c r="AB89" s="74" t="n">
        <v>0.0001</v>
      </c>
      <c r="AC89" s="75" t="n">
        <v>0.003</v>
      </c>
      <c r="AD89" s="76" t="inlineStr">
        <is>
          <t>4.08/5.31</t>
        </is>
      </c>
      <c r="AE89" s="158">
        <f>_xlfn.LET(_xlpm.New1YT,DataRT!$X89,        _xlpm.Old1YT,IF(ISNUMBER(DataRT!$AD89),DataRT!$AD89,VALUE(LEFT(DataRT!$AD89,FIND("/",DataRT!$AD89,1)-1))),       IF(OR(DataRT!$X89=0,_xlpm.Old1YT=0),0,(_xlpm.New1YT-_xlpm.Old1YT)/_xlpm.Old1YT))</f>
        <v/>
      </c>
      <c r="AF89" s="159">
        <f>TEXT(DataRT!$X89,"#,#0.00")&amp;" &lt; "&amp;DataRT!$AD89</f>
        <v/>
      </c>
    </row>
    <row r="90">
      <c r="A90" s="96">
        <f t="array" ref="A90">_xlfn.SINGLE(DataRT!$S$3:$S$96)&amp;_FV(DataRT!$C90,"Ticker symbol",TRUE)</f>
        <v/>
      </c>
      <c r="B90" s="96">
        <f>D99</f>
        <v/>
      </c>
      <c r="C90" s="86" t="e">
        <v>#VALUE!</v>
      </c>
      <c r="D90" s="60">
        <f t="array" ref="D90">_FV(DataRT!$C90,"Currency")</f>
        <v/>
      </c>
      <c r="E90" s="80">
        <f t="array" ref="E90">_FV(DataRT!$C90,"Last trade time",TRUE)</f>
        <v/>
      </c>
      <c r="F90" s="81">
        <f t="array" ref="F90">_FV(DataRT!$C90,"Previous close",TRUE)</f>
        <v/>
      </c>
      <c r="G90" s="81">
        <f t="array" ref="G90">IFERROR(_FV(DataRT!$C90,"Open"),DataRT!$F90)</f>
        <v/>
      </c>
      <c r="H90" s="81">
        <f t="array" ref="H90">_FV(DataRT!$C90,"Price")</f>
        <v/>
      </c>
      <c r="I90" s="81">
        <f t="array" ref="I90">IFERROR(_FV(DataRT!$C90,"Low"),0)</f>
        <v/>
      </c>
      <c r="J90" s="81">
        <f t="array" ref="J90">IFERROR(_FV(DataRT!$C90,"High"),0)</f>
        <v/>
      </c>
      <c r="K90" s="82">
        <f t="array" ref="K90">IFERROR(_FV(DataRT!$C90,"P/E",TRUE),99)</f>
        <v/>
      </c>
      <c r="L90" s="83">
        <f t="array" ref="L90">_FV(DataRT!$C90,"Change")</f>
        <v/>
      </c>
      <c r="M90" s="84">
        <f t="array" ref="M90">_FV(DataRT!$C90,"Change (%)",TRUE)</f>
        <v/>
      </c>
      <c r="N90" s="81">
        <f t="array" ref="N90">_FV(DataRT!$C90,"52 week low",TRUE)</f>
        <v/>
      </c>
      <c r="O90" s="81">
        <f t="array" ref="O90">_FV(DataRT!$C90,"52 week high",TRUE)</f>
        <v/>
      </c>
      <c r="P90" s="85">
        <f t="array" ref="P90">_FV(DataRT!$C90,"Volume")</f>
        <v/>
      </c>
      <c r="Q90" s="85">
        <f t="array" ref="Q90">_FV(DataRT!$C90,"Volume average",TRUE)</f>
        <v/>
      </c>
      <c r="R90" s="81">
        <f t="array" ref="R90">_FV(DataRT!$C90,"Beta")</f>
        <v/>
      </c>
      <c r="S90" s="86" t="n"/>
      <c r="T90" s="86" t="inlineStr">
        <is>
          <t>S</t>
        </is>
      </c>
      <c r="U90" s="86">
        <f t="array" ref="U90">_FV(DataRT!$C90,"Exchange abbreviation",TRUE)</f>
        <v/>
      </c>
      <c r="V90" s="87">
        <f>IFERROR(DataRT!$P90/DataRT!$Q90,1)</f>
        <v/>
      </c>
      <c r="W90" s="87" t="n"/>
      <c r="X90" s="88">
        <f>_xlfn.XLOOKUP(DataRT!$A90,TickerList!$G89:$G183,TickerList!L89:L183)</f>
        <v/>
      </c>
      <c r="Y90" s="157">
        <f>_xlfn.XLOOKUP(DataRT!$A90,TickerList!$G89:$G183,TickerList!M89:M183)</f>
        <v/>
      </c>
      <c r="Z90" s="157">
        <f>_xlfn.XLOOKUP(DataRT!$A90,TickerList!$G89:$G183,TickerList!N89:N183)</f>
        <v/>
      </c>
      <c r="AA90" s="73">
        <f>_xlfn.XLOOKUP(DataRT!$A90,TickerList!$G89:$G183,TickerList!O89:O183)</f>
        <v/>
      </c>
      <c r="AB90" s="74" t="n">
        <v>0.0001</v>
      </c>
      <c r="AC90" s="75" t="n">
        <v>0.003</v>
      </c>
      <c r="AD90" s="76" t="inlineStr">
        <is>
          <t>41.102/38.77</t>
        </is>
      </c>
      <c r="AE90" s="158">
        <f>_xlfn.LET(_xlpm.New1YT,DataRT!$X90,        _xlpm.Old1YT,IF(ISNUMBER(DataRT!$AD90),DataRT!$AD90,VALUE(LEFT(DataRT!$AD90,FIND("/",DataRT!$AD90,1)-1))),       IF(OR(DataRT!$X90=0,_xlpm.Old1YT=0),0,(_xlpm.New1YT-_xlpm.Old1YT)/_xlpm.Old1YT))</f>
        <v/>
      </c>
      <c r="AF90" s="159">
        <f>TEXT(DataRT!$X90,"#,#0.00")&amp;" &lt; "&amp;DataRT!$AD90</f>
        <v/>
      </c>
    </row>
    <row r="91" ht="22" customHeight="1">
      <c r="A91" s="118">
        <f t="array" ref="A91">_xlfn.SINGLE(DataRT!$S$3:$S$96)&amp;_FV(DataRT!$C91,"Ticker symbol",TRUE)</f>
        <v/>
      </c>
      <c r="B91" s="118">
        <f>D99</f>
        <v/>
      </c>
      <c r="C91" s="68" t="e">
        <v>#VALUE!</v>
      </c>
      <c r="D91" s="60">
        <f t="array" ref="D91">_FV(DataRT!$C91,"Currency")</f>
        <v/>
      </c>
      <c r="E91" s="61">
        <f t="array" ref="E91">_FV(DataRT!$C91,"Last trade time",TRUE)</f>
        <v/>
      </c>
      <c r="F91" s="63">
        <f t="array" ref="F91">_FV(DataRT!$C91,"Previous close",TRUE)</f>
        <v/>
      </c>
      <c r="G91" s="63">
        <f t="array" ref="G91">IFERROR(_FV(DataRT!$C91,"Open"),DataRT!$F91)</f>
        <v/>
      </c>
      <c r="H91" s="63">
        <f t="array" ref="H91">_FV(DataRT!$C91,"Price")</f>
        <v/>
      </c>
      <c r="I91" s="63">
        <f t="array" ref="I91">IFERROR(_FV(DataRT!$C91,"Low"),0)</f>
        <v/>
      </c>
      <c r="J91" s="63">
        <f t="array" ref="J91">IFERROR(_FV(DataRT!$C91,"High"),0)</f>
        <v/>
      </c>
      <c r="K91" s="64">
        <f t="array" ref="K91">IFERROR(_FV(DataRT!$C91,"P/E",TRUE),99)</f>
        <v/>
      </c>
      <c r="L91" s="65">
        <f t="array" ref="L91">_FV(DataRT!$C91,"Change")</f>
        <v/>
      </c>
      <c r="M91" s="66">
        <f t="array" ref="M91">_FV(DataRT!$C91,"Change (%)",TRUE)</f>
        <v/>
      </c>
      <c r="N91" s="63">
        <f t="array" ref="N91">_FV(DataRT!$C91,"52 week low",TRUE)</f>
        <v/>
      </c>
      <c r="O91" s="63">
        <f t="array" ref="O91">_FV(DataRT!$C91,"52 week high",TRUE)</f>
        <v/>
      </c>
      <c r="P91" s="67">
        <f t="array" ref="P91">_FV(DataRT!$C91,"Volume")</f>
        <v/>
      </c>
      <c r="Q91" s="67">
        <f t="array" ref="Q91">_FV(DataRT!$C91,"Volume average",TRUE)</f>
        <v/>
      </c>
      <c r="R91" s="63">
        <f t="array" ref="R91">_FV(DataRT!$C91,"Beta")</f>
        <v/>
      </c>
      <c r="S91" s="68" t="n"/>
      <c r="T91" s="68" t="inlineStr">
        <is>
          <t>S</t>
        </is>
      </c>
      <c r="U91" s="68">
        <f t="array" ref="U91">_FV(DataRT!$C91,"Exchange abbreviation",TRUE)</f>
        <v/>
      </c>
      <c r="V91" s="70">
        <f>IFERROR(DataRT!$P91/DataRT!$Q91,1)</f>
        <v/>
      </c>
      <c r="W91" s="70" t="n"/>
      <c r="X91" s="88">
        <f>_xlfn.XLOOKUP(DataRT!$A91,TickerList!$G90:$G184,TickerList!L90:L184)</f>
        <v/>
      </c>
      <c r="Y91" s="157">
        <f>_xlfn.XLOOKUP(DataRT!$A91,TickerList!$G90:$G184,TickerList!M90:M184)</f>
        <v/>
      </c>
      <c r="Z91" s="157">
        <f>_xlfn.XLOOKUP(DataRT!$A91,TickerList!$G90:$G184,TickerList!N90:N184)</f>
        <v/>
      </c>
      <c r="AA91" s="73">
        <f>_xlfn.XLOOKUP(DataRT!$A91,TickerList!$G90:$G184,TickerList!O90:O184)</f>
        <v/>
      </c>
      <c r="AB91" s="74" t="n">
        <v>0.0001</v>
      </c>
      <c r="AC91" s="75" t="n">
        <v>0.003</v>
      </c>
      <c r="AD91" s="76" t="inlineStr">
        <is>
          <t>75.65/69.81/87.12</t>
        </is>
      </c>
      <c r="AE91" s="158">
        <f>_xlfn.LET(_xlpm.New1YT,DataRT!$X91,        _xlpm.Old1YT,IF(ISNUMBER(DataRT!$AD91),DataRT!$AD91,VALUE(LEFT(DataRT!$AD91,FIND("/",DataRT!$AD91,1)-1))),       IF(OR(DataRT!$X91=0,_xlpm.Old1YT=0),0,(_xlpm.New1YT-_xlpm.Old1YT)/_xlpm.Old1YT))</f>
        <v/>
      </c>
      <c r="AF91" s="159">
        <f>TEXT(DataRT!$X91,"#,#0.00")&amp;" &lt; "&amp;DataRT!$AD91</f>
        <v/>
      </c>
    </row>
    <row r="92" ht="22" customHeight="1">
      <c r="A92" s="96">
        <f t="array" ref="A92">_xlfn.SINGLE(DataRT!$S$3:$S$96)&amp;_FV(DataRT!$C92,"Ticker symbol",TRUE)</f>
        <v/>
      </c>
      <c r="B92" s="96">
        <f>D99</f>
        <v/>
      </c>
      <c r="C92" s="86" t="e">
        <v>#VALUE!</v>
      </c>
      <c r="D92" s="60">
        <f t="array" ref="D92">_FV(DataRT!$C92,"Currency")</f>
        <v/>
      </c>
      <c r="E92" s="80">
        <f t="array" ref="E92">_FV(DataRT!$C92,"Last trade time",TRUE)</f>
        <v/>
      </c>
      <c r="F92" s="81">
        <f t="array" ref="F92">_FV(DataRT!$C92,"Previous close",TRUE)</f>
        <v/>
      </c>
      <c r="G92" s="81">
        <f t="array" ref="G92">IFERROR(_FV(DataRT!$C92,"Open"),DataRT!$F92)</f>
        <v/>
      </c>
      <c r="H92" s="81">
        <f t="array" ref="H92">_FV(DataRT!$C92,"Price")</f>
        <v/>
      </c>
      <c r="I92" s="81">
        <f t="array" ref="I92">IFERROR(_FV(DataRT!$C92,"Low"),0)</f>
        <v/>
      </c>
      <c r="J92" s="81">
        <f t="array" ref="J92">IFERROR(_FV(DataRT!$C92,"High"),0)</f>
        <v/>
      </c>
      <c r="K92" s="82">
        <f t="array" ref="K92">IFERROR(_FV(DataRT!$C92,"P/E",TRUE),99)</f>
        <v/>
      </c>
      <c r="L92" s="83">
        <f t="array" ref="L92">_FV(DataRT!$C92,"Change")</f>
        <v/>
      </c>
      <c r="M92" s="84">
        <f t="array" ref="M92">_FV(DataRT!$C92,"Change (%)",TRUE)</f>
        <v/>
      </c>
      <c r="N92" s="81">
        <f t="array" ref="N92">_FV(DataRT!$C92,"52 week low",TRUE)</f>
        <v/>
      </c>
      <c r="O92" s="81">
        <f t="array" ref="O92">_FV(DataRT!$C92,"52 week high",TRUE)</f>
        <v/>
      </c>
      <c r="P92" s="85">
        <f t="array" ref="P92">_FV(DataRT!$C92,"Volume")</f>
        <v/>
      </c>
      <c r="Q92" s="85">
        <f t="array" ref="Q92">_FV(DataRT!$C92,"Volume average",TRUE)</f>
        <v/>
      </c>
      <c r="R92" s="81">
        <f t="array" ref="R92">_FV(DataRT!$C92,"Beta")</f>
        <v/>
      </c>
      <c r="S92" s="86" t="n"/>
      <c r="T92" s="86" t="inlineStr">
        <is>
          <t>S</t>
        </is>
      </c>
      <c r="U92" s="86">
        <f t="array" ref="U92">_FV(DataRT!$C92,"Exchange abbreviation",TRUE)</f>
        <v/>
      </c>
      <c r="V92" s="87">
        <f>IFERROR(DataRT!$P92/DataRT!$Q92,1)</f>
        <v/>
      </c>
      <c r="W92" s="87" t="n"/>
      <c r="X92" s="88">
        <f>_xlfn.XLOOKUP(DataRT!$A92,TickerList!$G91:$G185,TickerList!L91:L185)</f>
        <v/>
      </c>
      <c r="Y92" s="157">
        <f>_xlfn.XLOOKUP(DataRT!$A92,TickerList!$G91:$G185,TickerList!M91:M185)</f>
        <v/>
      </c>
      <c r="Z92" s="157">
        <f>_xlfn.XLOOKUP(DataRT!$A92,TickerList!$G91:$G185,TickerList!N91:N185)</f>
        <v/>
      </c>
      <c r="AA92" s="73">
        <f>_xlfn.XLOOKUP(DataRT!$A92,TickerList!$G91:$G185,TickerList!O91:O185)</f>
        <v/>
      </c>
      <c r="AB92" s="74" t="n">
        <v>0.0001</v>
      </c>
      <c r="AC92" s="75" t="n">
        <v>0.003</v>
      </c>
      <c r="AD92" s="76" t="n">
        <v>177.21</v>
      </c>
      <c r="AE92" s="158">
        <f>_xlfn.LET(_xlpm.New1YT,DataRT!$X92,        _xlpm.Old1YT,IF(ISNUMBER(DataRT!$AD92),DataRT!$AD92,VALUE(LEFT(DataRT!$AD92,FIND("/",DataRT!$AD92,1)-1))),       IF(OR(DataRT!$X92=0,_xlpm.Old1YT=0),0,(_xlpm.New1YT-_xlpm.Old1YT)/_xlpm.Old1YT))</f>
        <v/>
      </c>
      <c r="AF92" s="159">
        <f>TEXT(DataRT!$X92,"#,#0.00")&amp;" &lt; "&amp;DataRT!$AD92</f>
        <v/>
      </c>
    </row>
    <row r="93" ht="22" customHeight="1">
      <c r="A93" s="118">
        <f t="array" ref="A93">_xlfn.SINGLE(DataRT!$S$3:$S$96)&amp;_FV(DataRT!$C93,"Ticker symbol",TRUE)</f>
        <v/>
      </c>
      <c r="B93" s="118">
        <f>D99</f>
        <v/>
      </c>
      <c r="C93" s="68" t="e">
        <v>#VALUE!</v>
      </c>
      <c r="D93" s="60">
        <f t="array" ref="D93">_FV(DataRT!$C93,"Currency")</f>
        <v/>
      </c>
      <c r="E93" s="61">
        <f t="array" ref="E93">_FV(DataRT!$C93,"Last trade time",TRUE)</f>
        <v/>
      </c>
      <c r="F93" s="63">
        <f t="array" ref="F93">_FV(DataRT!$C93,"Previous close",TRUE)</f>
        <v/>
      </c>
      <c r="G93" s="63">
        <f t="array" ref="G93">IFERROR(_FV(DataRT!$C93,"Open"),DataRT!$F93)</f>
        <v/>
      </c>
      <c r="H93" s="63">
        <f t="array" ref="H93">_FV(DataRT!$C93,"Price")</f>
        <v/>
      </c>
      <c r="I93" s="63">
        <f t="array" ref="I93">IFERROR(_FV(DataRT!$C93,"Low"),0)</f>
        <v/>
      </c>
      <c r="J93" s="63">
        <f t="array" ref="J93">IFERROR(_FV(DataRT!$C93,"High"),0)</f>
        <v/>
      </c>
      <c r="K93" s="64">
        <f t="array" ref="K93">IFERROR(_FV(DataRT!$C93,"P/E",TRUE),99)</f>
        <v/>
      </c>
      <c r="L93" s="65">
        <f t="array" ref="L93">_FV(DataRT!$C93,"Change")</f>
        <v/>
      </c>
      <c r="M93" s="66">
        <f t="array" ref="M93">_FV(DataRT!$C93,"Change (%)",TRUE)</f>
        <v/>
      </c>
      <c r="N93" s="63">
        <f t="array" ref="N93">_FV(DataRT!$C93,"52 week low",TRUE)</f>
        <v/>
      </c>
      <c r="O93" s="63">
        <f t="array" ref="O93">_FV(DataRT!$C93,"52 week high",TRUE)</f>
        <v/>
      </c>
      <c r="P93" s="67">
        <f t="array" ref="P93">_FV(DataRT!$C93,"Volume")</f>
        <v/>
      </c>
      <c r="Q93" s="67">
        <f t="array" ref="Q93">_FV(DataRT!$C93,"Volume average",TRUE)</f>
        <v/>
      </c>
      <c r="R93" s="63">
        <f t="array" ref="R93">_FV(DataRT!$C93,"Beta")</f>
        <v/>
      </c>
      <c r="S93" s="68" t="n"/>
      <c r="T93" s="68" t="inlineStr">
        <is>
          <t>S</t>
        </is>
      </c>
      <c r="U93" s="68">
        <f t="array" ref="U93">_FV(DataRT!$C93,"Exchange abbreviation",TRUE)</f>
        <v/>
      </c>
      <c r="V93" s="70">
        <f>IFERROR(DataRT!$P93/DataRT!$Q93,1)</f>
        <v/>
      </c>
      <c r="W93" s="70" t="n"/>
      <c r="X93" s="88">
        <f>_xlfn.XLOOKUP(DataRT!$A93,TickerList!$G92:$G186,TickerList!L92:L186)</f>
        <v/>
      </c>
      <c r="Y93" s="157">
        <f>_xlfn.XLOOKUP(DataRT!$A93,TickerList!$G92:$G186,TickerList!M92:M186)</f>
        <v/>
      </c>
      <c r="Z93" s="157">
        <f>_xlfn.XLOOKUP(DataRT!$A93,TickerList!$G92:$G186,TickerList!N92:N186)</f>
        <v/>
      </c>
      <c r="AA93" s="73">
        <f>_xlfn.XLOOKUP(DataRT!$A93,TickerList!$G92:$G186,TickerList!O92:O186)</f>
        <v/>
      </c>
      <c r="AB93" s="74" t="n">
        <v>0.0001</v>
      </c>
      <c r="AC93" s="75" t="n">
        <v>0.003</v>
      </c>
      <c r="AD93" s="76" t="n">
        <v>39.13</v>
      </c>
      <c r="AE93" s="158">
        <f>_xlfn.LET(_xlpm.New1YT,DataRT!$X93,        _xlpm.Old1YT,IF(ISNUMBER(DataRT!$AD93),DataRT!$AD93,VALUE(LEFT(DataRT!$AD93,FIND("/",DataRT!$AD93,1)-1))),       IF(OR(DataRT!$X93=0,_xlpm.Old1YT=0),0,(_xlpm.New1YT-_xlpm.Old1YT)/_xlpm.Old1YT))</f>
        <v/>
      </c>
      <c r="AF93" s="159">
        <f>TEXT(DataRT!$X93,"#,#0.00")&amp;" &lt; "&amp;DataRT!$AD93</f>
        <v/>
      </c>
    </row>
    <row r="94">
      <c r="A94" s="96">
        <f t="array" ref="A94">_xlfn.SINGLE(DataRT!$S$3:$S$96)&amp;_FV(DataRT!$C94,"Ticker symbol",TRUE)</f>
        <v/>
      </c>
      <c r="B94" s="119" t="n">
        <v>1</v>
      </c>
      <c r="C94" s="86" t="e">
        <v>#VALUE!</v>
      </c>
      <c r="D94" s="60">
        <f t="array" ref="D94">_FV(DataRT!$C94,"Currency")</f>
        <v/>
      </c>
      <c r="E94" s="80">
        <f t="array" ref="E94">_FV(DataRT!$C94,"Last trade time",TRUE)</f>
        <v/>
      </c>
      <c r="F94" s="162">
        <f t="array" ref="F94">_FV(DataRT!$C94,"Previous close",TRUE)</f>
        <v/>
      </c>
      <c r="G94" s="162">
        <f t="array" ref="G94">IFERROR(_FV(DataRT!$C94,"Open"),DataRT!$F94)</f>
        <v/>
      </c>
      <c r="H94" s="162">
        <f t="array" ref="H94">_FV(DataRT!$C94,"Price")</f>
        <v/>
      </c>
      <c r="I94" s="162">
        <f t="array" ref="I94">IFERROR(_FV(DataRT!$C94,"Low"),0)</f>
        <v/>
      </c>
      <c r="J94" s="162">
        <f t="array" ref="J94">IFERROR(_FV(DataRT!$C94,"High"),0)</f>
        <v/>
      </c>
      <c r="K94" s="82">
        <f t="array" ref="K94">IFERROR(_FV(DataRT!$C94,"P/E",TRUE),99)</f>
        <v/>
      </c>
      <c r="L94" s="83">
        <f t="array" ref="L94">_FV(DataRT!$C94,"Change")</f>
        <v/>
      </c>
      <c r="M94" s="84">
        <f t="array" ref="M94">_FV(DataRT!$C94,"Change (%)",TRUE)</f>
        <v/>
      </c>
      <c r="N94" s="81">
        <f t="array" ref="N94">_FV(DataRT!$C94,"52 week low",TRUE)</f>
        <v/>
      </c>
      <c r="O94" s="81">
        <f t="array" ref="O94">_FV(DataRT!$C94,"52 week high",TRUE)</f>
        <v/>
      </c>
      <c r="P94" s="85">
        <f t="array" ref="P94">_FV(DataRT!$C94,"Volume")</f>
        <v/>
      </c>
      <c r="Q94" s="85">
        <f t="array" ref="Q94">_FV(DataRT!$C94,"Volume average",TRUE)</f>
        <v/>
      </c>
      <c r="R94" s="81">
        <f t="array" ref="R94">_FV(DataRT!$C94,"Beta")</f>
        <v/>
      </c>
      <c r="S94" s="86" t="n"/>
      <c r="T94" s="86" t="inlineStr">
        <is>
          <t>S</t>
        </is>
      </c>
      <c r="U94" s="86">
        <f t="array" ref="U94">_FV(DataRT!$C94,"Exchange abbreviation",TRUE)</f>
        <v/>
      </c>
      <c r="V94" s="87">
        <f>IFERROR(DataRT!$P94/DataRT!$Q94,1)</f>
        <v/>
      </c>
      <c r="W94" s="87" t="n"/>
      <c r="X94" s="88">
        <f>_xlfn.XLOOKUP(DataRT!$A94,TickerList!$G93:$G187,TickerList!L93:L187)</f>
        <v/>
      </c>
      <c r="Y94" s="157">
        <f>_xlfn.XLOOKUP(DataRT!$A94,TickerList!$G93:$G187,TickerList!M93:M187)</f>
        <v/>
      </c>
      <c r="Z94" s="157">
        <f>_xlfn.XLOOKUP(DataRT!$A94,TickerList!$G93:$G187,TickerList!N93:N187)</f>
        <v/>
      </c>
      <c r="AA94" s="73">
        <f>_xlfn.XLOOKUP(DataRT!$A94,TickerList!$G93:$G187,TickerList!O93:O187)</f>
        <v/>
      </c>
      <c r="AB94" s="74">
        <f>[1]Sheet2!H93</f>
        <v/>
      </c>
      <c r="AC94" s="75">
        <f>[1]Sheet2!I93</f>
        <v/>
      </c>
      <c r="AD94" s="76" t="n">
        <v>10.58</v>
      </c>
      <c r="AE94" s="158">
        <f>_xlfn.LET(_xlpm.New1YT,DataRT!$X94,        _xlpm.Old1YT,IF(ISNUMBER(DataRT!$AD94),DataRT!$AD94,VALUE(LEFT(DataRT!$AD94,FIND("/",DataRT!$AD94,1)-1))),       IF(OR(DataRT!$X94=0,_xlpm.Old1YT=0),0,(_xlpm.New1YT-_xlpm.Old1YT)/_xlpm.Old1YT))</f>
        <v/>
      </c>
      <c r="AF94" s="159">
        <f>TEXT(DataRT!$X94,"#,#0.00")&amp;" &lt; "&amp;DataRT!$AD94</f>
        <v/>
      </c>
      <c r="AG94" s="26" t="n"/>
    </row>
    <row r="95" ht="22" customHeight="1">
      <c r="A95" s="118">
        <f t="array" ref="A95">_xlfn.SINGLE(DataRT!$S$3:$S$96)&amp;_FV(DataRT!$C95,"Ticker symbol",TRUE)</f>
        <v/>
      </c>
      <c r="B95" s="119" t="n">
        <v>1</v>
      </c>
      <c r="C95" s="68" t="e">
        <v>#VALUE!</v>
      </c>
      <c r="D95" s="60">
        <f t="array" ref="D95">_FV(DataRT!$C95,"Currency")</f>
        <v/>
      </c>
      <c r="E95" s="61">
        <f t="array" ref="E95">_FV(DataRT!$C95,"Last trade time",TRUE)</f>
        <v/>
      </c>
      <c r="F95" s="161">
        <f t="array" ref="F95">_FV(DataRT!$C95,"Previous close",TRUE)</f>
        <v/>
      </c>
      <c r="G95" s="161">
        <f t="array" ref="G95">IFERROR(_FV(DataRT!$C95,"Open"),DataRT!$F95)</f>
        <v/>
      </c>
      <c r="H95" s="161">
        <f t="array" ref="H95">_FV(DataRT!$C95,"Price")</f>
        <v/>
      </c>
      <c r="I95" s="161">
        <f t="array" ref="I95">IFERROR(_FV(DataRT!$C95,"Low"),0)</f>
        <v/>
      </c>
      <c r="J95" s="161">
        <f t="array" ref="J95">IFERROR(_FV(DataRT!$C95,"High"),0)</f>
        <v/>
      </c>
      <c r="K95" s="64">
        <f t="array" ref="K95">IFERROR(_FV(DataRT!$C95,"P/E",TRUE),99)</f>
        <v/>
      </c>
      <c r="L95" s="65">
        <f t="array" ref="L95">_FV(DataRT!$C95,"Change")</f>
        <v/>
      </c>
      <c r="M95" s="66">
        <f t="array" ref="M95">_FV(DataRT!$C95,"Change (%)",TRUE)</f>
        <v/>
      </c>
      <c r="N95" s="161">
        <f t="array" ref="N95">_FV(DataRT!$C95,"52 week low",TRUE)</f>
        <v/>
      </c>
      <c r="O95" s="161">
        <f t="array" ref="O95">_FV(DataRT!$C95,"52 week high",TRUE)</f>
        <v/>
      </c>
      <c r="P95" s="67">
        <f t="array" ref="P95">_FV(DataRT!$C95,"Volume")</f>
        <v/>
      </c>
      <c r="Q95" s="67">
        <f t="array" ref="Q95">_FV(DataRT!$C95,"Volume average",TRUE)</f>
        <v/>
      </c>
      <c r="R95" s="63">
        <f t="array" ref="R95">_FV(DataRT!$C95,"Beta")</f>
        <v/>
      </c>
      <c r="S95" s="68" t="inlineStr">
        <is>
          <t>JB</t>
        </is>
      </c>
      <c r="T95" s="68" t="inlineStr">
        <is>
          <t>J</t>
        </is>
      </c>
      <c r="U95" s="68">
        <f t="array" ref="U95">_FV(DataRT!$C95,"Exchange abbreviation",TRUE)</f>
        <v/>
      </c>
      <c r="V95" s="70">
        <f>IFERROR(DataRT!$P95/DataRT!$Q95,1)</f>
        <v/>
      </c>
      <c r="W95" s="70" t="n"/>
      <c r="X95" s="88">
        <f>_xlfn.XLOOKUP(DataRT!$A95,TickerList!$G94:$G188,TickerList!L94:L188)</f>
        <v/>
      </c>
      <c r="Y95" s="157">
        <f>_xlfn.XLOOKUP(DataRT!$A95,TickerList!$G94:$G188,TickerList!M94:M188)</f>
        <v/>
      </c>
      <c r="Z95" s="157">
        <f>_xlfn.XLOOKUP(DataRT!$A95,TickerList!$G94:$G188,TickerList!N94:N188)</f>
        <v/>
      </c>
      <c r="AA95" s="73">
        <f>_xlfn.XLOOKUP(DataRT!$A95,TickerList!$G94:$G188,TickerList!O94:O188)</f>
        <v/>
      </c>
      <c r="AB95" s="74">
        <f>[1]Sheet2!H94</f>
        <v/>
      </c>
      <c r="AC95" s="75">
        <f>[1]Sheet2!I94</f>
        <v/>
      </c>
      <c r="AD95" s="76" t="n">
        <v>847.58</v>
      </c>
      <c r="AE95" s="158">
        <f>_xlfn.LET(_xlpm.New1YT,DataRT!$X95,        _xlpm.Old1YT,IF(ISNUMBER(DataRT!$AD95),DataRT!$AD95,VALUE(LEFT(DataRT!$AD95,FIND("/",DataRT!$AD95,1)-1))),       IF(OR(DataRT!$X95=0,_xlpm.Old1YT=0),0,(_xlpm.New1YT-_xlpm.Old1YT)/_xlpm.Old1YT))</f>
        <v/>
      </c>
      <c r="AF95" s="159">
        <f>TEXT(DataRT!$X95,"#,#0.00")&amp;" &lt; "&amp;DataRT!$AD95</f>
        <v/>
      </c>
    </row>
    <row r="96" ht="23" customHeight="1" thickBot="1">
      <c r="A96" s="96">
        <f t="array" ref="A96">_xlfn.SINGLE(DataRT!$S$3:$S$96)&amp;_FV(DataRT!$C96,"Ticker symbol",TRUE)</f>
        <v/>
      </c>
      <c r="B96" s="120" t="n">
        <v>1</v>
      </c>
      <c r="C96" s="86" t="e">
        <v>#VALUE!</v>
      </c>
      <c r="D96" s="60">
        <f t="array" ref="D96">_FV(DataRT!$C96,"Currency")</f>
        <v/>
      </c>
      <c r="E96" s="80">
        <f t="array" ref="E96">_FV(DataRT!$C96,"Last trade time",TRUE)</f>
        <v/>
      </c>
      <c r="F96" s="81">
        <f t="array" ref="F96">_FV(DataRT!$C96,"Previous close",TRUE)</f>
        <v/>
      </c>
      <c r="G96" s="81">
        <f t="array" ref="G96">IFERROR(_FV(DataRT!$C96,"Open"),DataRT!$F96)</f>
        <v/>
      </c>
      <c r="H96" s="81">
        <f t="array" ref="H96">_FV(DataRT!$C96,"Price")</f>
        <v/>
      </c>
      <c r="I96" s="81">
        <f t="array" ref="I96">IFERROR(_FV(DataRT!$C96,"Low"),0)</f>
        <v/>
      </c>
      <c r="J96" s="81">
        <f t="array" ref="J96">IFERROR(_FV(DataRT!$C96,"High"),0)</f>
        <v/>
      </c>
      <c r="K96" s="82">
        <f t="array" ref="K96">IFERROR(_FV(DataRT!$C96,"P/E",TRUE),99)</f>
        <v/>
      </c>
      <c r="L96" s="83">
        <f t="array" ref="L96">_FV(DataRT!$C96,"Change")</f>
        <v/>
      </c>
      <c r="M96" s="84">
        <f t="array" ref="M96">_FV(DataRT!$C96,"Change (%)",TRUE)</f>
        <v/>
      </c>
      <c r="N96" s="162">
        <f t="array" ref="N96">_FV(DataRT!$C96,"52 week low",TRUE)</f>
        <v/>
      </c>
      <c r="O96" s="162">
        <f t="array" ref="O96">_FV(DataRT!$C96,"52 week high",TRUE)</f>
        <v/>
      </c>
      <c r="P96" s="85">
        <f t="array" ref="P96">_FV(DataRT!$C96,"Volume")</f>
        <v/>
      </c>
      <c r="Q96" s="85">
        <f t="array" ref="Q96">_FV(DataRT!$C96,"Volume average",TRUE)</f>
        <v/>
      </c>
      <c r="R96" s="81">
        <f t="array" ref="R96">_FV(DataRT!$C96,"Beta")</f>
        <v/>
      </c>
      <c r="S96" s="86" t="inlineStr">
        <is>
          <t>JB</t>
        </is>
      </c>
      <c r="T96" s="86" t="inlineStr">
        <is>
          <t>J</t>
        </is>
      </c>
      <c r="U96" s="86">
        <f t="array" ref="U96">_FV(DataRT!$C96,"Exchange abbreviation",TRUE)</f>
        <v/>
      </c>
      <c r="V96" s="95">
        <f>IFERROR(DataRT!$P96/DataRT!$Q96,1)</f>
        <v/>
      </c>
      <c r="W96" s="95" t="n"/>
      <c r="X96" s="88">
        <f>_xlfn.XLOOKUP(DataRT!$A96,TickerList!$G95:$G189,TickerList!L95:L189)</f>
        <v/>
      </c>
      <c r="Y96" s="157">
        <f>_xlfn.XLOOKUP(DataRT!$A96,TickerList!$G95:$G189,TickerList!M95:M189)</f>
        <v/>
      </c>
      <c r="Z96" s="157">
        <f>_xlfn.XLOOKUP(DataRT!$A96,TickerList!$G95:$G189,TickerList!N95:N189)</f>
        <v/>
      </c>
      <c r="AA96" s="73">
        <f>_xlfn.XLOOKUP(DataRT!$A96,TickerList!$G95:$G189,TickerList!O95:O189)</f>
        <v/>
      </c>
      <c r="AB96" s="74">
        <f>[1]Sheet2!H95</f>
        <v/>
      </c>
      <c r="AC96" s="75">
        <f>[1]Sheet2!I95</f>
        <v/>
      </c>
      <c r="AD96" s="88" t="n">
        <v>16.3</v>
      </c>
      <c r="AE96" s="158">
        <f>_xlfn.LET(_xlpm.New1YT,DataRT!$X96,        _xlpm.Old1YT,IF(ISNUMBER(DataRT!$AD96),DataRT!$AD96,VALUE(LEFT(DataRT!$AD96,FIND("/",DataRT!$AD96,1)-1))),       IF(OR(DataRT!$X96=0,_xlpm.Old1YT=0),0,(_xlpm.New1YT-_xlpm.Old1YT)/_xlpm.Old1YT))</f>
        <v/>
      </c>
      <c r="AF96" s="159">
        <f>TEXT(DataRT!$X96,"#,#0.00")&amp;" &lt; "&amp;DataRT!$AD96</f>
        <v/>
      </c>
    </row>
    <row r="97" ht="23" customHeight="1" thickTop="1">
      <c r="A97" s="121" t="inlineStr">
        <is>
          <t>Total</t>
        </is>
      </c>
      <c r="B97" s="122" t="n"/>
      <c r="C97" s="123" t="n"/>
      <c r="D97" s="122" t="n"/>
      <c r="E97" s="124" t="n"/>
      <c r="F97" s="124" t="n"/>
      <c r="G97" s="124" t="n"/>
      <c r="H97" s="124" t="n"/>
      <c r="I97" s="124" t="n"/>
      <c r="J97" s="167" t="n"/>
      <c r="K97" s="124" t="n"/>
      <c r="L97" s="126">
        <f>SUBTOTAL(101,DataRT!$L$3:$L$96)</f>
        <v/>
      </c>
      <c r="M97" s="127">
        <f>SUBTOTAL(104,DataRT!$M$3:$M$96)</f>
        <v/>
      </c>
      <c r="N97" s="124" t="n"/>
      <c r="O97" s="124" t="n"/>
      <c r="P97" s="128">
        <f>SUBTOTAL(104,DataRT!$P$3:$P$96)</f>
        <v/>
      </c>
      <c r="Q97" s="128">
        <f>SUBTOTAL(101,DataRT!$Q$3:$Q$96)</f>
        <v/>
      </c>
      <c r="R97" s="124" t="n"/>
      <c r="S97" s="124" t="n"/>
      <c r="T97" s="124" t="n"/>
      <c r="U97" s="124" t="n"/>
      <c r="V97" s="129" t="n"/>
      <c r="W97" s="124" t="n"/>
      <c r="X97" s="130" t="n"/>
      <c r="Y97" s="131" t="n"/>
      <c r="Z97" s="131" t="n"/>
      <c r="AA97" s="132" t="n"/>
      <c r="AB97" s="124" t="n"/>
      <c r="AC97" s="124" t="n"/>
      <c r="AD97" s="124" t="n"/>
      <c r="AE97" s="168" t="n"/>
      <c r="AF97" s="134" t="n"/>
    </row>
    <row r="98">
      <c r="A98" s="147" t="inlineStr">
        <is>
          <t>Couple</t>
        </is>
      </c>
      <c r="B98" s="148" t="inlineStr">
        <is>
          <t>RT</t>
        </is>
      </c>
      <c r="C98" s="149" t="inlineStr">
        <is>
          <t>52 W High</t>
        </is>
      </c>
      <c r="D98" s="150" t="inlineStr">
        <is>
          <t>1/RT</t>
        </is>
      </c>
      <c r="M98" s="19" t="n"/>
      <c r="P98" s="22" t="n"/>
      <c r="R98" s="22" t="n"/>
      <c r="V98" s="32" t="n"/>
      <c r="W98" s="28" t="n"/>
      <c r="X98" s="24" t="n"/>
    </row>
    <row r="99">
      <c r="A99" s="143" t="e">
        <v>#VALUE!</v>
      </c>
      <c r="B99" s="169">
        <f t="array" ref="B99">_FV(A99,"Price")</f>
        <v/>
      </c>
      <c r="C99" s="136">
        <f t="array" ref="C99">_FV(A99,"52 week high",TRUE)</f>
        <v/>
      </c>
      <c r="D99" s="145">
        <f>1/DataRT!$B99</f>
        <v/>
      </c>
      <c r="P99" s="25" t="n"/>
      <c r="W99" s="28" t="n"/>
      <c r="X99" s="24" t="n"/>
    </row>
    <row r="100">
      <c r="A100" s="144" t="e">
        <v>#VALUE!</v>
      </c>
      <c r="B100" s="170">
        <f t="array" ref="B100">_FV(A100,"Price")</f>
        <v/>
      </c>
      <c r="C100" s="171">
        <f t="array" ref="C100">_FV(A100,"52 week high",TRUE)</f>
        <v/>
      </c>
      <c r="D100" s="146">
        <f>1/DataRT!$B100</f>
        <v/>
      </c>
      <c r="P100" s="25" t="n"/>
    </row>
    <row r="101">
      <c r="A101" s="143" t="e">
        <v>#VALUE!</v>
      </c>
      <c r="B101" s="169">
        <f t="array" ref="B101">_FV(A101,"Price")</f>
        <v/>
      </c>
      <c r="C101" s="172">
        <f t="array" ref="C101">_FV(A101,"52 week high",TRUE)</f>
        <v/>
      </c>
      <c r="D101" s="145">
        <f>1/DataRT!$B101</f>
        <v/>
      </c>
      <c r="P101" s="25" t="n"/>
    </row>
    <row r="102">
      <c r="A102" s="144" t="e">
        <v>#VALUE!</v>
      </c>
      <c r="B102" s="170">
        <f t="array" ref="B102">_FV(A102,"Price")</f>
        <v/>
      </c>
      <c r="C102" s="140">
        <f t="array" ref="C102">_FV(A102,"52 week high",TRUE)</f>
        <v/>
      </c>
      <c r="D102" s="146">
        <f>1/DataRT!$B102</f>
        <v/>
      </c>
      <c r="P102" s="25" t="n"/>
    </row>
    <row r="103">
      <c r="A103" s="143" t="e">
        <v>#VALUE!</v>
      </c>
      <c r="B103" s="169">
        <f t="array" ref="B103">_FV(A103,"Price")</f>
        <v/>
      </c>
      <c r="C103" s="136">
        <f t="array" ref="C103">_FV(A103,"52 week high",TRUE)</f>
        <v/>
      </c>
      <c r="D103" s="145">
        <f>1/DataRT!$B103</f>
        <v/>
      </c>
      <c r="P103" s="25" t="n"/>
    </row>
    <row r="104">
      <c r="A104" s="144" t="e">
        <v>#VALUE!</v>
      </c>
      <c r="B104" s="170">
        <f t="array" ref="B104">_FV(A104,"Price")</f>
        <v/>
      </c>
      <c r="C104" s="173">
        <f t="array" ref="C104">_FV(A104,"52 week high",TRUE)</f>
        <v/>
      </c>
      <c r="D104" s="146">
        <f>1/DataRT!$B104</f>
        <v/>
      </c>
      <c r="P104" s="25" t="n"/>
    </row>
    <row r="105">
      <c r="A105" s="143" t="e">
        <v>#VALUE!</v>
      </c>
      <c r="B105" s="169">
        <f t="array" ref="B105">_FV(A105,"Price")</f>
        <v/>
      </c>
      <c r="C105" s="174">
        <f t="array" ref="C105">_FV(A105,"52 week high",TRUE)</f>
        <v/>
      </c>
      <c r="D105" s="145">
        <f>1/DataRT!$B105</f>
        <v/>
      </c>
    </row>
    <row r="106">
      <c r="A106" s="144" t="e">
        <v>#VALUE!</v>
      </c>
      <c r="B106" s="170">
        <f t="array" ref="B106">_FV(A106,"Price")</f>
        <v/>
      </c>
      <c r="C106" s="175">
        <f t="array" ref="C106">_FV(A106,"52 week high",TRUE)</f>
        <v/>
      </c>
      <c r="D106" s="146">
        <f>1/DataRT!$B106</f>
        <v/>
      </c>
    </row>
    <row r="107">
      <c r="C107" s="35" t="inlineStr">
        <is>
          <t>iShs Digtl Sec UCITS ETF USD A (XLON:LOCK)</t>
        </is>
      </c>
      <c r="E107" s="37" t="inlineStr">
        <is>
          <t>Open</t>
        </is>
      </c>
      <c r="F107" s="37" t="inlineStr">
        <is>
          <t>Price</t>
        </is>
      </c>
    </row>
    <row r="108">
      <c r="A108" s="15" t="n"/>
      <c r="C108" s="22" t="e">
        <v>#VALUE!</v>
      </c>
      <c r="D108" s="36" t="inlineStr">
        <is>
          <t>Previous Close</t>
        </is>
      </c>
      <c r="E108" s="16">
        <f t="array" ref="E108">_FV(C109,"Open")</f>
        <v/>
      </c>
      <c r="F108" s="16">
        <f t="array" ref="F108">_FV(C109,"Price")</f>
        <v/>
      </c>
      <c r="X108" s="16" t="n"/>
      <c r="Y108" s="16" t="n"/>
      <c r="Z108" s="16" t="n"/>
    </row>
    <row r="109">
      <c r="C109" t="e">
        <v>#VALUE!</v>
      </c>
      <c r="D109" s="16">
        <f t="array" ref="D109">_FV(C109,"Previous close",TRUE)</f>
        <v/>
      </c>
      <c r="E109" s="16">
        <f t="array" ref="E109">_FV(C110,"Open")</f>
        <v/>
      </c>
      <c r="F109" s="16">
        <f t="array" ref="F109">_FV(C110,"Price")</f>
        <v/>
      </c>
    </row>
    <row r="110">
      <c r="C110" s="22" t="e">
        <v>#VALUE!</v>
      </c>
      <c r="D110" s="16">
        <f t="array" ref="D110">_FV(C110,"Previous close",TRUE)</f>
        <v/>
      </c>
    </row>
    <row r="111">
      <c r="C111" s="22" t="inlineStr">
        <is>
          <t>FTSE 100</t>
        </is>
      </c>
      <c r="D111">
        <f t="array" ref="D111">_FV(C111,"Instrument type",TRUE)</f>
        <v/>
      </c>
      <c r="E111" s="16">
        <f t="array" ref="E111">_FV(C112,"Open")</f>
        <v/>
      </c>
      <c r="F111" s="16">
        <f t="array" ref="F111">_FV(C112,"Price")</f>
        <v/>
      </c>
    </row>
    <row r="112">
      <c r="C112" s="22" t="e">
        <v>#VALUE!</v>
      </c>
      <c r="D112" s="16">
        <f t="array" ref="D112">_FV(C112,"Previous close",TRUE)</f>
        <v/>
      </c>
    </row>
    <row r="113">
      <c r="A113" s="22" t="n"/>
      <c r="C113" s="22" t="inlineStr">
        <is>
          <t>^FTSE</t>
        </is>
      </c>
    </row>
    <row r="114">
      <c r="D114" s="22" t="n"/>
    </row>
    <row r="115">
      <c r="A115" s="38" t="e">
        <v>#VALUE!</v>
      </c>
      <c r="C115" s="35" t="e">
        <v>#VALUE!</v>
      </c>
    </row>
    <row r="116">
      <c r="A116" s="38" t="e">
        <v>#VALUE!</v>
      </c>
      <c r="C116" s="22" t="e">
        <v>#VALUE!</v>
      </c>
    </row>
    <row r="117">
      <c r="A117" s="38" t="e">
        <v>#VALUE!</v>
      </c>
      <c r="C117" s="22" t="e">
        <v>#VALUE!</v>
      </c>
    </row>
    <row r="118">
      <c r="A118" s="38" t="e">
        <v>#VALUE!</v>
      </c>
      <c r="C118" s="22" t="e">
        <v>#VALUE!</v>
      </c>
    </row>
    <row r="119">
      <c r="A119" s="38" t="e">
        <v>#VALUE!</v>
      </c>
      <c r="C119" s="22" t="e">
        <v>#VALUE!</v>
      </c>
    </row>
    <row r="120">
      <c r="A120" s="38" t="e">
        <v>#VALUE!</v>
      </c>
      <c r="C120" s="22" t="e">
        <v>#VALUE!</v>
      </c>
    </row>
    <row r="121">
      <c r="A121" s="38" t="e">
        <v>#VALUE!</v>
      </c>
      <c r="C121" s="22" t="e">
        <v>#VALUE!</v>
      </c>
    </row>
    <row r="122">
      <c r="A122" s="38" t="e">
        <v>#VALUE!</v>
      </c>
      <c r="C122" s="22" t="e">
        <v>#VALUE!</v>
      </c>
    </row>
    <row r="123">
      <c r="A123" s="38" t="e">
        <v>#VALUE!</v>
      </c>
      <c r="C123" s="22" t="e">
        <v>#VALUE!</v>
      </c>
    </row>
    <row r="124">
      <c r="A124" s="38" t="e">
        <v>#VALUE!</v>
      </c>
      <c r="C124" s="22" t="e">
        <v>#VALUE!</v>
      </c>
    </row>
    <row r="125">
      <c r="A125" s="38" t="e">
        <v>#VALUE!</v>
      </c>
      <c r="C125" s="22" t="e">
        <v>#VALUE!</v>
      </c>
    </row>
    <row r="126">
      <c r="A126" s="38" t="e">
        <v>#VALUE!</v>
      </c>
      <c r="C126" s="22" t="e">
        <v>#VALUE!</v>
      </c>
    </row>
    <row r="127">
      <c r="A127" s="38" t="e">
        <v>#VALUE!</v>
      </c>
      <c r="C127" s="22" t="e">
        <v>#VALUE!</v>
      </c>
    </row>
    <row r="128">
      <c r="A128" s="38" t="e">
        <v>#VALUE!</v>
      </c>
      <c r="C128" s="22" t="e">
        <v>#VALUE!</v>
      </c>
    </row>
    <row r="129">
      <c r="A129" s="38" t="e">
        <v>#VALUE!</v>
      </c>
      <c r="C129" s="22" t="e">
        <v>#VALUE!</v>
      </c>
    </row>
    <row r="130">
      <c r="A130" s="38" t="e">
        <v>#VALUE!</v>
      </c>
      <c r="C130" s="22" t="e">
        <v>#VALUE!</v>
      </c>
    </row>
    <row r="131">
      <c r="A131" s="38" t="e">
        <v>#VALUE!</v>
      </c>
      <c r="C131" s="22" t="e">
        <v>#VALUE!</v>
      </c>
    </row>
    <row r="132">
      <c r="A132" s="38" t="e">
        <v>#VALUE!</v>
      </c>
      <c r="C132" s="22" t="e">
        <v>#VALUE!</v>
      </c>
    </row>
    <row r="133">
      <c r="A133" s="38" t="e">
        <v>#VALUE!</v>
      </c>
      <c r="C133" s="22" t="e">
        <v>#VALUE!</v>
      </c>
    </row>
    <row r="134">
      <c r="A134" s="38" t="e">
        <v>#VALUE!</v>
      </c>
      <c r="C134" s="22" t="e">
        <v>#VALUE!</v>
      </c>
    </row>
    <row r="135">
      <c r="A135" s="38" t="e">
        <v>#VALUE!</v>
      </c>
      <c r="C135" s="22" t="e">
        <v>#VALUE!</v>
      </c>
    </row>
    <row r="136">
      <c r="A136" s="38" t="e">
        <v>#VALUE!</v>
      </c>
      <c r="C136" s="22" t="e">
        <v>#VALUE!</v>
      </c>
    </row>
    <row r="137">
      <c r="A137" s="38" t="e">
        <v>#VALUE!</v>
      </c>
      <c r="C137" s="22" t="e">
        <v>#VALUE!</v>
      </c>
    </row>
    <row r="138">
      <c r="A138" s="38" t="e">
        <v>#VALUE!</v>
      </c>
      <c r="C138" s="22" t="e">
        <v>#VALUE!</v>
      </c>
    </row>
    <row r="139">
      <c r="A139" s="38" t="e">
        <v>#VALUE!</v>
      </c>
      <c r="C139" s="22" t="e">
        <v>#VALUE!</v>
      </c>
    </row>
    <row r="140">
      <c r="A140" s="38" t="e">
        <v>#VALUE!</v>
      </c>
      <c r="C140" s="22" t="e">
        <v>#VALUE!</v>
      </c>
    </row>
    <row r="141">
      <c r="A141" s="38" t="e">
        <v>#VALUE!</v>
      </c>
      <c r="C141" s="22" t="e">
        <v>#VALUE!</v>
      </c>
    </row>
    <row r="142">
      <c r="A142" s="38" t="e">
        <v>#VALUE!</v>
      </c>
      <c r="C142" s="22" t="e">
        <v>#VALUE!</v>
      </c>
    </row>
    <row r="143">
      <c r="A143" s="38" t="e">
        <v>#VALUE!</v>
      </c>
      <c r="C143" s="22" t="e">
        <v>#VALUE!</v>
      </c>
    </row>
    <row r="144">
      <c r="A144" s="38" t="e">
        <v>#VALUE!</v>
      </c>
      <c r="C144" s="22" t="e">
        <v>#VALUE!</v>
      </c>
    </row>
    <row r="145">
      <c r="A145" s="38" t="e">
        <v>#VALUE!</v>
      </c>
      <c r="C145" s="22" t="e">
        <v>#VALUE!</v>
      </c>
    </row>
    <row r="146">
      <c r="A146" s="38" t="e">
        <v>#VALUE!</v>
      </c>
      <c r="C146" s="22" t="e">
        <v>#VALUE!</v>
      </c>
    </row>
    <row r="147">
      <c r="A147" s="38" t="e">
        <v>#VALUE!</v>
      </c>
      <c r="C147" s="22" t="e">
        <v>#VALUE!</v>
      </c>
    </row>
    <row r="148">
      <c r="A148" s="38" t="e">
        <v>#VALUE!</v>
      </c>
      <c r="C148" s="22" t="e">
        <v>#VALUE!</v>
      </c>
    </row>
    <row r="149">
      <c r="A149" s="38" t="e">
        <v>#VALUE!</v>
      </c>
      <c r="C149" s="22" t="e">
        <v>#VALUE!</v>
      </c>
    </row>
    <row r="150">
      <c r="A150" s="38" t="e">
        <v>#VALUE!</v>
      </c>
      <c r="C150" s="22" t="e">
        <v>#VALUE!</v>
      </c>
    </row>
    <row r="151">
      <c r="A151" s="38" t="e">
        <v>#VALUE!</v>
      </c>
      <c r="C151" s="22" t="e">
        <v>#VALUE!</v>
      </c>
    </row>
    <row r="152">
      <c r="A152" s="38" t="e">
        <v>#VALUE!</v>
      </c>
      <c r="C152" s="22" t="e">
        <v>#VALUE!</v>
      </c>
    </row>
    <row r="153">
      <c r="A153" s="38" t="e">
        <v>#VALUE!</v>
      </c>
      <c r="C153" s="22" t="e">
        <v>#VALUE!</v>
      </c>
    </row>
    <row r="154">
      <c r="A154" s="38" t="e">
        <v>#VALUE!</v>
      </c>
      <c r="C154" s="22" t="e">
        <v>#VALUE!</v>
      </c>
    </row>
    <row r="155">
      <c r="A155" s="38" t="e">
        <v>#VALUE!</v>
      </c>
      <c r="C155" s="22" t="e">
        <v>#VALUE!</v>
      </c>
    </row>
    <row r="156">
      <c r="A156" s="38" t="e">
        <v>#VALUE!</v>
      </c>
      <c r="C156" s="22" t="e">
        <v>#VALUE!</v>
      </c>
    </row>
    <row r="157">
      <c r="A157" s="38" t="e">
        <v>#VALUE!</v>
      </c>
      <c r="C157" s="22" t="e">
        <v>#VALUE!</v>
      </c>
    </row>
    <row r="158">
      <c r="A158" s="38" t="e">
        <v>#VALUE!</v>
      </c>
      <c r="C158" s="22" t="e">
        <v>#VALUE!</v>
      </c>
    </row>
    <row r="159">
      <c r="A159" s="38" t="e">
        <v>#VALUE!</v>
      </c>
      <c r="C159" s="22" t="e">
        <v>#VALUE!</v>
      </c>
    </row>
    <row r="160">
      <c r="A160" s="38" t="e">
        <v>#VALUE!</v>
      </c>
      <c r="C160" s="22" t="e">
        <v>#VALUE!</v>
      </c>
    </row>
    <row r="161">
      <c r="A161" s="38" t="e">
        <v>#VALUE!</v>
      </c>
      <c r="C161" s="22" t="e">
        <v>#VALUE!</v>
      </c>
    </row>
    <row r="162">
      <c r="A162" s="38" t="e">
        <v>#VALUE!</v>
      </c>
      <c r="C162" s="22" t="e">
        <v>#VALUE!</v>
      </c>
    </row>
    <row r="163">
      <c r="A163" s="38" t="e">
        <v>#VALUE!</v>
      </c>
      <c r="C163" s="22" t="e">
        <v>#VALUE!</v>
      </c>
    </row>
    <row r="164">
      <c r="A164" s="38" t="e">
        <v>#VALUE!</v>
      </c>
      <c r="C164" s="22" t="e">
        <v>#VALUE!</v>
      </c>
    </row>
    <row r="165">
      <c r="A165" s="38" t="e">
        <v>#VALUE!</v>
      </c>
      <c r="C165" s="22" t="e">
        <v>#VALUE!</v>
      </c>
    </row>
    <row r="166">
      <c r="A166" s="38" t="e">
        <v>#VALUE!</v>
      </c>
      <c r="C166" s="22" t="e">
        <v>#VALUE!</v>
      </c>
    </row>
    <row r="167">
      <c r="A167" s="38" t="e">
        <v>#VALUE!</v>
      </c>
      <c r="C167" s="22" t="e">
        <v>#VALUE!</v>
      </c>
    </row>
    <row r="168">
      <c r="A168" s="38" t="e">
        <v>#VALUE!</v>
      </c>
      <c r="C168" s="22" t="e">
        <v>#VALUE!</v>
      </c>
    </row>
    <row r="169">
      <c r="A169" s="38" t="e">
        <v>#VALUE!</v>
      </c>
      <c r="C169" s="22" t="e">
        <v>#VALUE!</v>
      </c>
    </row>
    <row r="170">
      <c r="A170" s="38" t="e">
        <v>#VALUE!</v>
      </c>
      <c r="C170" s="22" t="e">
        <v>#VALUE!</v>
      </c>
    </row>
    <row r="171">
      <c r="A171" s="38" t="e">
        <v>#VALUE!</v>
      </c>
      <c r="C171" s="22" t="e">
        <v>#VALUE!</v>
      </c>
    </row>
    <row r="172">
      <c r="A172" s="38" t="e">
        <v>#VALUE!</v>
      </c>
      <c r="C172" s="22" t="e">
        <v>#VALUE!</v>
      </c>
    </row>
    <row r="173">
      <c r="A173" s="38" t="e">
        <v>#VALUE!</v>
      </c>
      <c r="C173" s="22" t="e">
        <v>#VALUE!</v>
      </c>
    </row>
    <row r="174">
      <c r="A174" s="38" t="e">
        <v>#VALUE!</v>
      </c>
      <c r="C174" s="22" t="e">
        <v>#VALUE!</v>
      </c>
    </row>
    <row r="175">
      <c r="A175" s="38" t="e">
        <v>#VALUE!</v>
      </c>
      <c r="C175" s="22" t="e">
        <v>#VALUE!</v>
      </c>
    </row>
    <row r="176">
      <c r="A176" s="38" t="e">
        <v>#VALUE!</v>
      </c>
      <c r="C176" s="22" t="e">
        <v>#VALUE!</v>
      </c>
    </row>
    <row r="177">
      <c r="A177" s="38" t="e">
        <v>#VALUE!</v>
      </c>
      <c r="C177" s="22" t="e">
        <v>#VALUE!</v>
      </c>
    </row>
    <row r="178">
      <c r="A178" s="38" t="e">
        <v>#VALUE!</v>
      </c>
      <c r="C178" s="22" t="e">
        <v>#VALUE!</v>
      </c>
    </row>
    <row r="179">
      <c r="A179" s="38" t="e">
        <v>#VALUE!</v>
      </c>
      <c r="C179" s="22" t="e">
        <v>#VALUE!</v>
      </c>
    </row>
    <row r="180">
      <c r="A180" s="38" t="e">
        <v>#VALUE!</v>
      </c>
      <c r="C180" s="22" t="e">
        <v>#VALUE!</v>
      </c>
    </row>
    <row r="181">
      <c r="A181" s="38" t="e">
        <v>#VALUE!</v>
      </c>
      <c r="C181" s="22" t="e">
        <v>#VALUE!</v>
      </c>
    </row>
    <row r="182">
      <c r="A182" s="38" t="e">
        <v>#VALUE!</v>
      </c>
      <c r="C182" s="22" t="e">
        <v>#VALUE!</v>
      </c>
    </row>
    <row r="183">
      <c r="A183" s="38" t="e">
        <v>#VALUE!</v>
      </c>
      <c r="C183" s="22" t="e">
        <v>#VALUE!</v>
      </c>
    </row>
    <row r="184">
      <c r="A184" s="38" t="e">
        <v>#VALUE!</v>
      </c>
      <c r="C184" s="22" t="e">
        <v>#VALUE!</v>
      </c>
    </row>
    <row r="185">
      <c r="A185" s="38" t="e">
        <v>#VALUE!</v>
      </c>
      <c r="C185" s="22" t="e">
        <v>#VALUE!</v>
      </c>
    </row>
    <row r="186">
      <c r="A186" s="38" t="e">
        <v>#VALUE!</v>
      </c>
      <c r="C186" s="22" t="e">
        <v>#VALUE!</v>
      </c>
    </row>
    <row r="187">
      <c r="A187" s="38" t="e">
        <v>#VALUE!</v>
      </c>
      <c r="C187" s="22" t="e">
        <v>#VALUE!</v>
      </c>
    </row>
    <row r="188">
      <c r="A188" s="38" t="e">
        <v>#VALUE!</v>
      </c>
      <c r="C188" s="22" t="e">
        <v>#VALUE!</v>
      </c>
    </row>
    <row r="189">
      <c r="A189" s="38" t="e">
        <v>#VALUE!</v>
      </c>
      <c r="C189" s="22" t="e">
        <v>#VALUE!</v>
      </c>
    </row>
    <row r="190">
      <c r="A190" s="38" t="e">
        <v>#VALUE!</v>
      </c>
      <c r="C190" s="22" t="e">
        <v>#VALUE!</v>
      </c>
    </row>
    <row r="191">
      <c r="A191" s="38" t="e">
        <v>#VALUE!</v>
      </c>
      <c r="C191" s="22" t="e">
        <v>#VALUE!</v>
      </c>
    </row>
    <row r="192">
      <c r="A192" s="38" t="e">
        <v>#VALUE!</v>
      </c>
      <c r="C192" s="22" t="e">
        <v>#VALUE!</v>
      </c>
    </row>
    <row r="193">
      <c r="A193" s="38" t="e">
        <v>#VALUE!</v>
      </c>
      <c r="C193" s="22" t="e">
        <v>#VALUE!</v>
      </c>
    </row>
    <row r="194">
      <c r="A194" s="38" t="e">
        <v>#VALUE!</v>
      </c>
      <c r="C194" s="22" t="e">
        <v>#VALUE!</v>
      </c>
    </row>
    <row r="195">
      <c r="A195" s="38" t="e">
        <v>#VALUE!</v>
      </c>
      <c r="C195" s="22" t="e">
        <v>#VALUE!</v>
      </c>
    </row>
    <row r="196">
      <c r="A196" s="38" t="e">
        <v>#VALUE!</v>
      </c>
      <c r="C196" s="22" t="e">
        <v>#VALUE!</v>
      </c>
    </row>
    <row r="197">
      <c r="A197" s="38" t="e">
        <v>#VALUE!</v>
      </c>
      <c r="C197" s="22" t="e">
        <v>#VALUE!</v>
      </c>
    </row>
    <row r="198">
      <c r="A198" s="38" t="e">
        <v>#VALUE!</v>
      </c>
      <c r="C198" s="22" t="e">
        <v>#VALUE!</v>
      </c>
    </row>
    <row r="199">
      <c r="A199" s="38" t="e">
        <v>#VALUE!</v>
      </c>
      <c r="C199" s="22" t="e">
        <v>#VALUE!</v>
      </c>
    </row>
    <row r="200">
      <c r="A200" s="38" t="e">
        <v>#VALUE!</v>
      </c>
      <c r="C200" s="22" t="e">
        <v>#VALUE!</v>
      </c>
    </row>
    <row r="201">
      <c r="A201" s="38" t="e">
        <v>#VALUE!</v>
      </c>
      <c r="C201" s="22" t="e">
        <v>#VALUE!</v>
      </c>
    </row>
    <row r="202">
      <c r="A202" s="38" t="e">
        <v>#VALUE!</v>
      </c>
      <c r="C202" s="22" t="e">
        <v>#VALUE!</v>
      </c>
    </row>
    <row r="203">
      <c r="A203" s="38" t="e">
        <v>#VALUE!</v>
      </c>
      <c r="C203" s="22" t="e">
        <v>#VALUE!</v>
      </c>
    </row>
    <row r="204">
      <c r="A204" s="38" t="e">
        <v>#VALUE!</v>
      </c>
      <c r="C204" s="22" t="e">
        <v>#VALUE!</v>
      </c>
    </row>
    <row r="205">
      <c r="A205" s="38" t="e">
        <v>#VALUE!</v>
      </c>
      <c r="C205" s="22" t="e">
        <v>#VALUE!</v>
      </c>
    </row>
    <row r="206">
      <c r="A206" s="38" t="e">
        <v>#VALUE!</v>
      </c>
      <c r="C206" s="22" t="e">
        <v>#VALUE!</v>
      </c>
    </row>
    <row r="207">
      <c r="A207" s="38" t="e">
        <v>#VALUE!</v>
      </c>
      <c r="C207" s="22" t="e">
        <v>#VALUE!</v>
      </c>
    </row>
    <row r="208">
      <c r="A208" s="38" t="e">
        <v>#VALUE!</v>
      </c>
      <c r="C208" s="22" t="e">
        <v>#VALUE!</v>
      </c>
    </row>
    <row r="210">
      <c r="C210" s="22" t="e">
        <v>#VALUE!</v>
      </c>
    </row>
  </sheetData>
  <conditionalFormatting sqref="AA3:AA96">
    <cfRule type="cellIs" priority="1" operator="greaterThan" dxfId="27">
      <formula>0.04</formula>
    </cfRule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97"/>
  <sheetViews>
    <sheetView showZeros="0" zoomScaleNormal="70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22"/>
  <cols>
    <col width="9.375" bestFit="1" customWidth="1" min="1" max="1"/>
    <col width="16.125" bestFit="1" customWidth="1" min="2" max="2"/>
    <col width="14.625" bestFit="1" customWidth="1" min="3" max="3"/>
    <col width="12" bestFit="1" customWidth="1" min="4" max="4"/>
    <col width="15.5" bestFit="1" customWidth="1" style="18" min="5" max="5"/>
    <col width="12.375" bestFit="1" customWidth="1" style="22" min="6" max="6"/>
    <col width="10.25" bestFit="1" customWidth="1" min="7" max="7"/>
    <col width="12.375" bestFit="1" customWidth="1" style="22" min="8" max="8"/>
    <col width="10.625" customWidth="1" min="9" max="9"/>
    <col hidden="1" min="11" max="11"/>
  </cols>
  <sheetData>
    <row r="1">
      <c r="A1" s="39" t="inlineStr">
        <is>
          <t>Tickers</t>
        </is>
      </c>
      <c r="B1" s="39">
        <f>[1]Sheet1!B1</f>
        <v/>
      </c>
      <c r="C1" s="39">
        <f>[1]Sheet1!C1</f>
        <v/>
      </c>
      <c r="D1" s="39">
        <f>[1]Sheet1!D1</f>
        <v/>
      </c>
      <c r="E1" s="40">
        <f>[1]Sheet1!E1</f>
        <v/>
      </c>
      <c r="F1" s="41" t="inlineStr">
        <is>
          <t>Striped_Ticker</t>
        </is>
      </c>
      <c r="G1" s="39" t="inlineStr">
        <is>
          <t>Names</t>
        </is>
      </c>
      <c r="H1" s="41" t="inlineStr">
        <is>
          <t>Striped_Name</t>
        </is>
      </c>
      <c r="I1" s="39" t="n"/>
      <c r="J1" s="39" t="n"/>
      <c r="K1" s="39" t="inlineStr">
        <is>
          <t>Ordered?</t>
        </is>
      </c>
    </row>
    <row r="2">
      <c r="A2">
        <f>[2]YData!A2</f>
        <v/>
      </c>
      <c r="B2">
        <f>[2]YData!B2</f>
        <v/>
      </c>
      <c r="C2" s="176">
        <f>VALUE([2]YData!C2)</f>
        <v/>
      </c>
      <c r="D2">
        <f>[2]YData!D2</f>
        <v/>
      </c>
      <c r="E2" s="18">
        <f>[2]YData!E2</f>
        <v/>
      </c>
      <c r="F2" s="22">
        <f>_xlfn.LET(_xlpm.Tick,A2,IFERROR(LEFT(_xlpm.Tick,FIND(".",_xlpm.Tick)-1),_xlpm.Tick))</f>
        <v/>
      </c>
      <c r="G2" t="inlineStr">
        <is>
          <t>AAPL</t>
        </is>
      </c>
      <c r="H2" s="22">
        <f t="array" ref="H2">_xlfn.IFS(OR(LEFT(G2,3)="SAF",LEFT(G2,3)="MVE"), RIGHT(G2,LEN(G2)-3),     LEFT(G2,2)="JB",  RIGHT(G2,LEN(G2)-2), TRUE,     G2)</f>
        <v/>
      </c>
      <c r="K2">
        <f>_xlfn.LET(_xlpm.Tick,[2]YData!$A2,IFERROR(LEFT(_xlpm.Tick,FIND(".",_xlpm.Tick)-1),_xlpm.Tick))</f>
        <v/>
      </c>
      <c r="L2">
        <f t="array" ref="L2:O96">IFERROR(
    INDEX(Dataload, MATCH(StripName, StripTick, 0), _xlfn.SEQUENCE(1, COLUMNS(Dataload))),
    ""
)</f>
        <v/>
      </c>
      <c r="M2" t="n">
        <v>45971</v>
      </c>
      <c r="N2" t="inlineStr">
        <is>
          <t>Jan 29, 2026</t>
        </is>
      </c>
      <c r="O2" t="n">
        <v>0.0038</v>
      </c>
    </row>
    <row r="3">
      <c r="A3">
        <f>[2]YData!A3</f>
        <v/>
      </c>
      <c r="B3">
        <f>[2]YData!B3</f>
        <v/>
      </c>
      <c r="C3" s="176">
        <f>VALUE([2]YData!C3)</f>
        <v/>
      </c>
      <c r="D3">
        <f>[2]YData!D3</f>
        <v/>
      </c>
      <c r="E3" s="18">
        <f>[2]YData!E3</f>
        <v/>
      </c>
      <c r="F3" s="22">
        <f>_xlfn.LET(_xlpm.Tick,A3,IFERROR(LEFT(_xlpm.Tick,FIND(".",_xlpm.Tick)-1),_xlpm.Tick))</f>
        <v/>
      </c>
      <c r="G3" t="inlineStr">
        <is>
          <t>ADEA</t>
        </is>
      </c>
      <c r="H3" s="22">
        <f t="array" ref="H3">_xlfn.IFS(OR(LEFT(G3,3)="SAF",LEFT(G3,3)="MVE"), RIGHT(G3,LEN(G3)-3),     LEFT(G3,2)="JB",  RIGHT(G3,LEN(G3)-2), TRUE,     G3)</f>
        <v/>
      </c>
      <c r="K3">
        <f>_xlfn.LET(_xlpm.Tick,[2]YData!$A3,IFERROR(LEFT(_xlpm.Tick,FIND(".",_xlpm.Tick)-1),_xlpm.Tick))</f>
        <v/>
      </c>
      <c r="L3" t="n">
        <v>20.66667</v>
      </c>
      <c r="M3" t="n">
        <v>45895</v>
      </c>
      <c r="N3" t="n">
        <v>0</v>
      </c>
      <c r="O3" t="n">
        <v>0.0117</v>
      </c>
    </row>
    <row r="4">
      <c r="A4">
        <f>[2]YData!A4</f>
        <v/>
      </c>
      <c r="B4">
        <f>[2]YData!B4</f>
        <v/>
      </c>
      <c r="C4" s="176">
        <f>VALUE([2]YData!C4)</f>
        <v/>
      </c>
      <c r="D4">
        <f>[2]YData!D4</f>
        <v/>
      </c>
      <c r="E4" s="18">
        <f>[2]YData!E4</f>
        <v/>
      </c>
      <c r="F4" s="22">
        <f>_xlfn.LET(_xlpm.Tick,A4,IFERROR(LEFT(_xlpm.Tick,FIND(".",_xlpm.Tick)-1),_xlpm.Tick))</f>
        <v/>
      </c>
      <c r="G4" t="inlineStr">
        <is>
          <t>AET</t>
        </is>
      </c>
      <c r="H4" s="22">
        <f t="array" ref="H4">_xlfn.IFS(OR(LEFT(G4,3)="SAF",LEFT(G4,3)="MVE"), RIGHT(G4,LEN(G4)-3),     LEFT(G4,2)="JB",  RIGHT(G4,LEN(G4)-2), TRUE,     G4)</f>
        <v/>
      </c>
      <c r="K4">
        <f>_xlfn.LET(_xlpm.Tick,[2]YData!$A4,IFERROR(LEFT(_xlpm.Tick,FIND(".",_xlpm.Tick)-1),_xlpm.Tick))</f>
        <v/>
      </c>
      <c r="L4" t="n">
        <v>96.66</v>
      </c>
      <c r="M4" t="n">
        <v>0</v>
      </c>
      <c r="N4" t="n">
        <v>0</v>
      </c>
      <c r="O4" t="n">
        <v>0</v>
      </c>
    </row>
    <row r="5">
      <c r="A5">
        <f>[2]YData!A5</f>
        <v/>
      </c>
      <c r="B5">
        <f>[2]YData!B5</f>
        <v/>
      </c>
      <c r="C5" s="176">
        <f>VALUE([2]YData!C5)</f>
        <v/>
      </c>
      <c r="D5">
        <f>[2]YData!D5</f>
        <v/>
      </c>
      <c r="E5" s="18">
        <f>[2]YData!E5</f>
        <v/>
      </c>
      <c r="F5" s="22">
        <f>_xlfn.LET(_xlpm.Tick,A5,IFERROR(LEFT(_xlpm.Tick,FIND(".",_xlpm.Tick)-1),_xlpm.Tick))</f>
        <v/>
      </c>
      <c r="G5" t="inlineStr">
        <is>
          <t>AMZN</t>
        </is>
      </c>
      <c r="H5" s="22">
        <f t="array" ref="H5">_xlfn.IFS(OR(LEFT(G5,3)="SAF",LEFT(G5,3)="MVE"), RIGHT(G5,LEN(G5)-3),     LEFT(G5,2)="JB",  RIGHT(G5,LEN(G5)-2), TRUE,     G5)</f>
        <v/>
      </c>
      <c r="K5">
        <f>_xlfn.LET(_xlpm.Tick,[2]YData!$A5,IFERROR(LEFT(_xlpm.Tick,FIND(".",_xlpm.Tick)-1),_xlpm.Tick))</f>
        <v/>
      </c>
      <c r="L5" t="n">
        <v>288.4241</v>
      </c>
      <c r="M5" t="n">
        <v>0</v>
      </c>
      <c r="N5" t="inlineStr">
        <is>
          <t>Oct 30, 2025</t>
        </is>
      </c>
      <c r="O5" t="n">
        <v>0</v>
      </c>
    </row>
    <row r="6">
      <c r="A6">
        <f>[2]YData!A6</f>
        <v/>
      </c>
      <c r="B6">
        <f>[2]YData!B6</f>
        <v/>
      </c>
      <c r="C6" s="176">
        <f>VALUE([2]YData!C6)</f>
        <v/>
      </c>
      <c r="D6">
        <f>[2]YData!D6</f>
        <v/>
      </c>
      <c r="E6" s="18">
        <f>[2]YData!E6</f>
        <v/>
      </c>
      <c r="F6" s="22">
        <f>_xlfn.LET(_xlpm.Tick,A6,IFERROR(LEFT(_xlpm.Tick,FIND(".",_xlpm.Tick)-1),_xlpm.Tick))</f>
        <v/>
      </c>
      <c r="G6" t="inlineStr">
        <is>
          <t>ALDNE</t>
        </is>
      </c>
      <c r="H6" s="22">
        <f t="array" ref="H6">_xlfn.IFS(OR(LEFT(G6,3)="SAF",LEFT(G6,3)="MVE"), RIGHT(G6,LEN(G6)-3),     LEFT(G6,2)="JB",  RIGHT(G6,LEN(G6)-2), TRUE,     G6)</f>
        <v/>
      </c>
      <c r="K6">
        <f>_xlfn.LET(_xlpm.Tick,[2]YData!$A6,IFERROR(LEFT(_xlpm.Tick,FIND(".",_xlpm.Tick)-1),_xlpm.Tick))</f>
        <v/>
      </c>
      <c r="L6" t="n">
        <v>1.53333</v>
      </c>
      <c r="M6" t="n">
        <v>0</v>
      </c>
      <c r="N6" t="n">
        <v>0</v>
      </c>
      <c r="O6" t="n">
        <v>0</v>
      </c>
    </row>
    <row r="7">
      <c r="A7">
        <f>[2]YData!A7</f>
        <v/>
      </c>
      <c r="B7">
        <f>[2]YData!B7</f>
        <v/>
      </c>
      <c r="C7" s="176">
        <f>VALUE([2]YData!C7)</f>
        <v/>
      </c>
      <c r="D7">
        <f>[2]YData!D7</f>
        <v/>
      </c>
      <c r="E7" s="18">
        <f>[2]YData!E7</f>
        <v/>
      </c>
      <c r="F7" s="22">
        <f>_xlfn.LET(_xlpm.Tick,A7,IFERROR(LEFT(_xlpm.Tick,FIND(".",_xlpm.Tick)-1),_xlpm.Tick))</f>
        <v/>
      </c>
      <c r="G7" t="inlineStr">
        <is>
          <t>ASML</t>
        </is>
      </c>
      <c r="H7" s="22">
        <f t="array" ref="H7">_xlfn.IFS(OR(LEFT(G7,3)="SAF",LEFT(G7,3)="MVE"), RIGHT(G7,LEN(G7)-3),     LEFT(G7,2)="JB",  RIGHT(G7,LEN(G7)-2), TRUE,     G7)</f>
        <v/>
      </c>
      <c r="K7">
        <f>_xlfn.LET(_xlpm.Tick,[2]YData!$A7,IFERROR(LEFT(_xlpm.Tick,FIND(".",_xlpm.Tick)-1),_xlpm.Tick))</f>
        <v/>
      </c>
      <c r="L7" t="n">
        <v>941.90326</v>
      </c>
      <c r="M7" t="n">
        <v>45958</v>
      </c>
      <c r="N7" t="n">
        <v>0</v>
      </c>
      <c r="O7" t="n">
        <v>0.0069999998</v>
      </c>
    </row>
    <row r="8">
      <c r="A8">
        <f>[2]YData!A8</f>
        <v/>
      </c>
      <c r="B8">
        <f>[2]YData!B8</f>
        <v/>
      </c>
      <c r="C8" s="176">
        <f>VALUE([2]YData!C8)</f>
        <v/>
      </c>
      <c r="D8">
        <f>[2]YData!D8</f>
        <v/>
      </c>
      <c r="E8" s="18">
        <f>[2]YData!E8</f>
        <v/>
      </c>
      <c r="F8" s="22">
        <f>_xlfn.LET(_xlpm.Tick,A8,IFERROR(LEFT(_xlpm.Tick,FIND(".",_xlpm.Tick)-1),_xlpm.Tick))</f>
        <v/>
      </c>
      <c r="G8" t="inlineStr">
        <is>
          <t>AVGO</t>
        </is>
      </c>
      <c r="H8" s="22">
        <f t="array" ref="H8">_xlfn.IFS(OR(LEFT(G8,3)="SAF",LEFT(G8,3)="MVE"), RIGHT(G8,LEN(G8)-3),     LEFT(G8,2)="JB",  RIGHT(G8,LEN(G8)-2), TRUE,     G8)</f>
        <v/>
      </c>
      <c r="K8">
        <f>_xlfn.LET(_xlpm.Tick,[2]YData!$A8,IFERROR(LEFT(_xlpm.Tick,FIND(".",_xlpm.Tick)-1),_xlpm.Tick))</f>
        <v/>
      </c>
      <c r="L8" t="n">
        <v>392.38165</v>
      </c>
      <c r="M8" t="n">
        <v>45922</v>
      </c>
      <c r="N8" t="inlineStr">
        <is>
          <t>Dec 11, 2025</t>
        </is>
      </c>
      <c r="O8" t="n">
        <v>0.0064</v>
      </c>
    </row>
    <row r="9">
      <c r="A9">
        <f>[2]YData!A9</f>
        <v/>
      </c>
      <c r="B9">
        <f>[2]YData!B9</f>
        <v/>
      </c>
      <c r="C9" s="176">
        <f>VALUE([2]YData!C9)</f>
        <v/>
      </c>
      <c r="D9">
        <f>[2]YData!D9</f>
        <v/>
      </c>
      <c r="E9" s="18">
        <f>[2]YData!E9</f>
        <v/>
      </c>
      <c r="F9" s="22">
        <f>_xlfn.LET(_xlpm.Tick,A9,IFERROR(LEFT(_xlpm.Tick,FIND(".",_xlpm.Tick)-1),_xlpm.Tick))</f>
        <v/>
      </c>
      <c r="G9" t="inlineStr">
        <is>
          <t>AZN</t>
        </is>
      </c>
      <c r="H9" s="22">
        <f t="array" ref="H9">_xlfn.IFS(OR(LEFT(G9,3)="SAF",LEFT(G9,3)="MVE"), RIGHT(G9,LEN(G9)-3),     LEFT(G9,2)="JB",  RIGHT(G9,LEN(G9)-2), TRUE,     G9)</f>
        <v/>
      </c>
      <c r="K9">
        <f>_xlfn.LET(_xlpm.Tick,[2]YData!$A9,IFERROR(LEFT(_xlpm.Tick,FIND(".",_xlpm.Tick)-1),_xlpm.Tick))</f>
        <v/>
      </c>
      <c r="L9" t="n">
        <v>93.25273</v>
      </c>
      <c r="M9" t="n">
        <v>45877</v>
      </c>
      <c r="N9" t="inlineStr">
        <is>
          <t>Nov 6, 2025</t>
        </is>
      </c>
      <c r="O9" t="n">
        <v>0.019</v>
      </c>
    </row>
    <row r="10">
      <c r="A10">
        <f>[2]YData!A10</f>
        <v/>
      </c>
      <c r="B10">
        <f>[2]YData!B10</f>
        <v/>
      </c>
      <c r="C10" s="176">
        <f>VALUE([2]YData!C10)</f>
        <v/>
      </c>
      <c r="D10">
        <f>[2]YData!D10</f>
        <v/>
      </c>
      <c r="E10" s="18">
        <f>[2]YData!E10</f>
        <v/>
      </c>
      <c r="F10" s="22">
        <f>_xlfn.LET(_xlpm.Tick,A10,IFERROR(LEFT(_xlpm.Tick,FIND(".",_xlpm.Tick)-1),_xlpm.Tick))</f>
        <v/>
      </c>
      <c r="G10" t="inlineStr">
        <is>
          <t>BLDP</t>
        </is>
      </c>
      <c r="H10" s="22">
        <f t="array" ref="H10">_xlfn.IFS(OR(LEFT(G10,3)="SAF",LEFT(G10,3)="MVE"), RIGHT(G10,LEN(G10)-3),     LEFT(G10,2)="JB",  RIGHT(G10,LEN(G10)-2), TRUE,     G10)</f>
        <v/>
      </c>
      <c r="K10">
        <f>_xlfn.LET(_xlpm.Tick,[2]YData!$A10,IFERROR(LEFT(_xlpm.Tick,FIND(".",_xlpm.Tick)-1),_xlpm.Tick))</f>
        <v/>
      </c>
      <c r="L10" t="n">
        <v>2.75</v>
      </c>
      <c r="M10" t="n">
        <v>0</v>
      </c>
      <c r="N10" t="inlineStr">
        <is>
          <t>Nov 13, 2025</t>
        </is>
      </c>
      <c r="O10" t="n">
        <v>0</v>
      </c>
    </row>
    <row r="11">
      <c r="A11">
        <f>[2]YData!A11</f>
        <v/>
      </c>
      <c r="B11">
        <f>[2]YData!B11</f>
        <v/>
      </c>
      <c r="C11" s="176">
        <f>VALUE([2]YData!C11)</f>
        <v/>
      </c>
      <c r="D11">
        <f>[2]YData!D11</f>
        <v/>
      </c>
      <c r="E11" s="18">
        <f>[2]YData!E11</f>
        <v/>
      </c>
      <c r="F11" s="22">
        <f>_xlfn.LET(_xlpm.Tick,A11,IFERROR(LEFT(_xlpm.Tick,FIND(".",_xlpm.Tick)-1),_xlpm.Tick))</f>
        <v/>
      </c>
      <c r="G11" t="inlineStr">
        <is>
          <t>BMRA</t>
        </is>
      </c>
      <c r="H11" s="22">
        <f t="array" ref="H11">_xlfn.IFS(OR(LEFT(G11,3)="SAF",LEFT(G11,3)="MVE"), RIGHT(G11,LEN(G11)-3),     LEFT(G11,2)="JB",  RIGHT(G11,LEN(G11)-2), TRUE,     G11)</f>
        <v/>
      </c>
      <c r="K11">
        <f>_xlfn.LET(_xlpm.Tick,[2]YData!$A11,IFERROR(LEFT(_xlpm.Tick,FIND(".",_xlpm.Tick)-1),_xlpm.Tick))</f>
        <v/>
      </c>
      <c r="L11" t="n">
        <v>0</v>
      </c>
      <c r="M11" t="n">
        <v>0</v>
      </c>
      <c r="N11" t="n">
        <v>0</v>
      </c>
      <c r="O11" t="n">
        <v>0</v>
      </c>
    </row>
    <row r="12">
      <c r="A12">
        <f>[2]YData!A12</f>
        <v/>
      </c>
      <c r="B12">
        <f>[2]YData!B12</f>
        <v/>
      </c>
      <c r="C12" s="176">
        <f>VALUE([2]YData!C12)</f>
        <v/>
      </c>
      <c r="D12">
        <f>[2]YData!D12</f>
        <v/>
      </c>
      <c r="E12" s="18">
        <f>[2]YData!E12</f>
        <v/>
      </c>
      <c r="F12" s="22">
        <f>_xlfn.LET(_xlpm.Tick,A12,IFERROR(LEFT(_xlpm.Tick,FIND(".",_xlpm.Tick)-1),_xlpm.Tick))</f>
        <v/>
      </c>
      <c r="G12" t="inlineStr">
        <is>
          <t>C</t>
        </is>
      </c>
      <c r="H12" s="22">
        <f t="array" ref="H12">_xlfn.IFS(OR(LEFT(G12,3)="SAF",LEFT(G12,3)="MVE"), RIGHT(G12,LEN(G12)-3),     LEFT(G12,2)="JB",  RIGHT(G12,LEN(G12)-2), TRUE,     G12)</f>
        <v/>
      </c>
      <c r="K12">
        <f>_xlfn.LET(_xlpm.Tick,[2]YData!$A12,IFERROR(LEFT(_xlpm.Tick,FIND(".",_xlpm.Tick)-1),_xlpm.Tick))</f>
        <v/>
      </c>
      <c r="L12" t="n">
        <v>113.7619</v>
      </c>
      <c r="M12" t="n">
        <v>45964</v>
      </c>
      <c r="N12" t="inlineStr">
        <is>
          <t>Jan 14, 2026</t>
        </is>
      </c>
      <c r="O12" t="n">
        <v>0.023699999</v>
      </c>
    </row>
    <row r="13">
      <c r="A13">
        <f>[2]YData!A13</f>
        <v/>
      </c>
      <c r="B13">
        <f>[2]YData!B13</f>
        <v/>
      </c>
      <c r="C13" s="176">
        <f>VALUE([2]YData!C13)</f>
        <v/>
      </c>
      <c r="D13">
        <f>[2]YData!D13</f>
        <v/>
      </c>
      <c r="E13" s="18">
        <f>[2]YData!E13</f>
        <v/>
      </c>
      <c r="F13" s="22">
        <f>_xlfn.LET(_xlpm.Tick,A13,IFERROR(LEFT(_xlpm.Tick,FIND(".",_xlpm.Tick)-1),_xlpm.Tick))</f>
        <v/>
      </c>
      <c r="G13" t="inlineStr">
        <is>
          <t>CSCO</t>
        </is>
      </c>
      <c r="H13" s="22">
        <f t="array" ref="H13">_xlfn.IFS(OR(LEFT(G13,3)="SAF",LEFT(G13,3)="MVE"), RIGHT(G13,LEN(G13)-3),     LEFT(G13,2)="JB",  RIGHT(G13,LEN(G13)-2), TRUE,     G13)</f>
        <v/>
      </c>
      <c r="K13">
        <f>_xlfn.LET(_xlpm.Tick,[2]YData!$A13,IFERROR(LEFT(_xlpm.Tick,FIND(".",_xlpm.Tick)-1),_xlpm.Tick))</f>
        <v/>
      </c>
      <c r="L13" t="n">
        <v>76.29095</v>
      </c>
      <c r="M13" t="n">
        <v>45933</v>
      </c>
      <c r="N13" t="inlineStr">
        <is>
          <t>Nov 12, 2025</t>
        </is>
      </c>
      <c r="O13" t="n">
        <v>0.0224</v>
      </c>
    </row>
    <row r="14">
      <c r="A14">
        <f>[2]YData!A14</f>
        <v/>
      </c>
      <c r="B14">
        <f>[2]YData!B14</f>
        <v/>
      </c>
      <c r="C14" s="176">
        <f>VALUE([2]YData!C14)</f>
        <v/>
      </c>
      <c r="D14">
        <f>[2]YData!D14</f>
        <v/>
      </c>
      <c r="E14" s="18">
        <f>[2]YData!E14</f>
        <v/>
      </c>
      <c r="F14" s="22">
        <f>_xlfn.LET(_xlpm.Tick,A14,IFERROR(LEFT(_xlpm.Tick,FIND(".",_xlpm.Tick)-1),_xlpm.Tick))</f>
        <v/>
      </c>
      <c r="G14" t="inlineStr">
        <is>
          <t>CVS</t>
        </is>
      </c>
      <c r="H14" s="22">
        <f t="array" ref="H14">_xlfn.IFS(OR(LEFT(G14,3)="SAF",LEFT(G14,3)="MVE"), RIGHT(G14,LEN(G14)-3),     LEFT(G14,2)="JB",  RIGHT(G14,LEN(G14)-2), TRUE,     G14)</f>
        <v/>
      </c>
      <c r="K14">
        <f>_xlfn.LET(_xlpm.Tick,[2]YData!$A14,IFERROR(LEFT(_xlpm.Tick,FIND(".",_xlpm.Tick)-1),_xlpm.Tick))</f>
        <v/>
      </c>
      <c r="L14" t="n">
        <v>90.48</v>
      </c>
      <c r="M14" t="n">
        <v>45953</v>
      </c>
      <c r="N14" t="inlineStr">
        <is>
          <t>Oct 29, 2025</t>
        </is>
      </c>
      <c r="O14" t="n">
        <v>0.034</v>
      </c>
    </row>
    <row r="15">
      <c r="A15">
        <f>[2]YData!A15</f>
        <v/>
      </c>
      <c r="B15">
        <f>[2]YData!B15</f>
        <v/>
      </c>
      <c r="C15" s="176">
        <f>VALUE([2]YData!C15)</f>
        <v/>
      </c>
      <c r="D15">
        <f>[2]YData!D15</f>
        <v/>
      </c>
      <c r="E15" s="18">
        <f>[2]YData!E15</f>
        <v/>
      </c>
      <c r="F15" s="22">
        <f>_xlfn.LET(_xlpm.Tick,A15,IFERROR(LEFT(_xlpm.Tick,FIND(".",_xlpm.Tick)-1),_xlpm.Tick))</f>
        <v/>
      </c>
      <c r="G15" t="inlineStr">
        <is>
          <t>DDD</t>
        </is>
      </c>
      <c r="H15" s="22">
        <f t="array" ref="H15">_xlfn.IFS(OR(LEFT(G15,3)="SAF",LEFT(G15,3)="MVE"), RIGHT(G15,LEN(G15)-3),     LEFT(G15,2)="JB",  RIGHT(G15,LEN(G15)-2), TRUE,     G15)</f>
        <v/>
      </c>
      <c r="K15">
        <f>_xlfn.LET(_xlpm.Tick,[2]YData!$A15,IFERROR(LEFT(_xlpm.Tick,FIND(".",_xlpm.Tick)-1),_xlpm.Tick))</f>
        <v/>
      </c>
      <c r="L15" t="n">
        <v>3.25</v>
      </c>
      <c r="M15" t="n">
        <v>0</v>
      </c>
      <c r="N15" t="inlineStr">
        <is>
          <t>Nov 4, 2025</t>
        </is>
      </c>
      <c r="O15" t="n">
        <v>0</v>
      </c>
    </row>
    <row r="16">
      <c r="A16">
        <f>[2]YData!A16</f>
        <v/>
      </c>
      <c r="B16">
        <f>[2]YData!B16</f>
        <v/>
      </c>
      <c r="C16" s="176">
        <f>VALUE([2]YData!C16)</f>
        <v/>
      </c>
      <c r="D16">
        <f>[2]YData!D16</f>
        <v/>
      </c>
      <c r="E16" s="18">
        <f>[2]YData!E16</f>
        <v/>
      </c>
      <c r="F16" s="22">
        <f>_xlfn.LET(_xlpm.Tick,A16,IFERROR(LEFT(_xlpm.Tick,FIND(".",_xlpm.Tick)-1),_xlpm.Tick))</f>
        <v/>
      </c>
      <c r="G16" t="inlineStr">
        <is>
          <t>DIS</t>
        </is>
      </c>
      <c r="H16" s="22">
        <f t="array" ref="H16">_xlfn.IFS(OR(LEFT(G16,3)="SAF",LEFT(G16,3)="MVE"), RIGHT(G16,LEN(G16)-3),     LEFT(G16,2)="JB",  RIGHT(G16,LEN(G16)-2), TRUE,     G16)</f>
        <v/>
      </c>
      <c r="K16">
        <f>_xlfn.LET(_xlpm.Tick,[2]YData!$A16,IFERROR(LEFT(_xlpm.Tick,FIND(".",_xlpm.Tick)-1),_xlpm.Tick))</f>
        <v/>
      </c>
      <c r="L16" t="n">
        <v>134.0724</v>
      </c>
      <c r="M16" t="n">
        <v>45832</v>
      </c>
      <c r="N16" t="inlineStr">
        <is>
          <t>Nov 13, 2025</t>
        </is>
      </c>
      <c r="O16" t="n">
        <v>0.0089</v>
      </c>
    </row>
    <row r="17">
      <c r="A17">
        <f>[2]YData!A17</f>
        <v/>
      </c>
      <c r="B17">
        <f>[2]YData!B17</f>
        <v/>
      </c>
      <c r="C17" s="176">
        <f>VALUE([2]YData!C17)</f>
        <v/>
      </c>
      <c r="D17">
        <f>[2]YData!D17</f>
        <v/>
      </c>
      <c r="E17" s="18">
        <f>[2]YData!E17</f>
        <v/>
      </c>
      <c r="F17" s="22">
        <f>_xlfn.LET(_xlpm.Tick,A17,IFERROR(LEFT(_xlpm.Tick,FIND(".",_xlpm.Tick)-1),_xlpm.Tick))</f>
        <v/>
      </c>
      <c r="G17" t="inlineStr">
        <is>
          <t>DSY</t>
        </is>
      </c>
      <c r="H17" s="22">
        <f t="array" ref="H17">_xlfn.IFS(OR(LEFT(G17,3)="SAF",LEFT(G17,3)="MVE"), RIGHT(G17,LEN(G17)-3),     LEFT(G17,2)="JB",  RIGHT(G17,LEN(G17)-2), TRUE,     G17)</f>
        <v/>
      </c>
      <c r="K17">
        <f>_xlfn.LET(_xlpm.Tick,[2]YData!$A17,IFERROR(LEFT(_xlpm.Tick,FIND(".",_xlpm.Tick)-1),_xlpm.Tick))</f>
        <v/>
      </c>
      <c r="L17" t="n">
        <v>31.87778</v>
      </c>
      <c r="M17" t="n">
        <v>45803</v>
      </c>
      <c r="N17" t="n">
        <v>0</v>
      </c>
      <c r="O17" t="n">
        <v>0.0106</v>
      </c>
    </row>
    <row r="18">
      <c r="A18">
        <f>[2]YData!A18</f>
        <v/>
      </c>
      <c r="B18">
        <f>[2]YData!B18</f>
        <v/>
      </c>
      <c r="C18" s="176">
        <f>VALUE([2]YData!C18)</f>
        <v/>
      </c>
      <c r="D18">
        <f>[2]YData!D18</f>
        <v/>
      </c>
      <c r="E18" s="18">
        <f>[2]YData!E18</f>
        <v/>
      </c>
      <c r="F18" s="22">
        <f>_xlfn.LET(_xlpm.Tick,A18,IFERROR(LEFT(_xlpm.Tick,FIND(".",_xlpm.Tick)-1),_xlpm.Tick))</f>
        <v/>
      </c>
      <c r="G18" t="inlineStr">
        <is>
          <t>DVA</t>
        </is>
      </c>
      <c r="H18" s="22">
        <f t="array" ref="H18">_xlfn.IFS(OR(LEFT(G18,3)="SAF",LEFT(G18,3)="MVE"), RIGHT(G18,LEN(G18)-3),     LEFT(G18,2)="JB",  RIGHT(G18,LEN(G18)-2), TRUE,     G18)</f>
        <v/>
      </c>
      <c r="K18">
        <f>_xlfn.LET(_xlpm.Tick,[2]YData!$A18,IFERROR(LEFT(_xlpm.Tick,FIND(".",_xlpm.Tick)-1),_xlpm.Tick))</f>
        <v/>
      </c>
      <c r="L18" t="n">
        <v>147.125</v>
      </c>
      <c r="M18" t="n">
        <v>0</v>
      </c>
      <c r="N18" t="inlineStr">
        <is>
          <t>Oct 29, 2025</t>
        </is>
      </c>
      <c r="O18" t="n">
        <v>0</v>
      </c>
    </row>
    <row r="19">
      <c r="A19">
        <f>[2]YData!A19</f>
        <v/>
      </c>
      <c r="B19">
        <f>[2]YData!B19</f>
        <v/>
      </c>
      <c r="C19" s="176">
        <f>VALUE([2]YData!C19)</f>
        <v/>
      </c>
      <c r="D19">
        <f>[2]YData!D19</f>
        <v/>
      </c>
      <c r="E19" s="18">
        <f>[2]YData!E19</f>
        <v/>
      </c>
      <c r="F19" s="22">
        <f>_xlfn.LET(_xlpm.Tick,A19,IFERROR(LEFT(_xlpm.Tick,FIND(".",_xlpm.Tick)-1),_xlpm.Tick))</f>
        <v/>
      </c>
      <c r="G19" t="inlineStr">
        <is>
          <t>DXC</t>
        </is>
      </c>
      <c r="H19" s="22">
        <f t="array" ref="H19">_xlfn.IFS(OR(LEFT(G19,3)="SAF",LEFT(G19,3)="MVE"), RIGHT(G19,LEN(G19)-3),     LEFT(G19,2)="JB",  RIGHT(G19,LEN(G19)-2), TRUE,     G19)</f>
        <v/>
      </c>
      <c r="K19">
        <f>_xlfn.LET(_xlpm.Tick,[2]YData!$A19,IFERROR(LEFT(_xlpm.Tick,FIND(".",_xlpm.Tick)-1),_xlpm.Tick))</f>
        <v/>
      </c>
      <c r="L19" t="n">
        <v>14.5</v>
      </c>
      <c r="M19" t="n">
        <v>43914</v>
      </c>
      <c r="N19" t="inlineStr">
        <is>
          <t>Oct 30, 2025</t>
        </is>
      </c>
      <c r="O19" t="n">
        <v>0</v>
      </c>
    </row>
    <row r="20">
      <c r="A20">
        <f>[2]YData!A20</f>
        <v/>
      </c>
      <c r="B20">
        <f>[2]YData!B20</f>
        <v/>
      </c>
      <c r="C20" s="176">
        <f>VALUE([2]YData!C20)</f>
        <v/>
      </c>
      <c r="D20">
        <f>[2]YData!D20</f>
        <v/>
      </c>
      <c r="E20" s="18">
        <f>[2]YData!E20</f>
        <v/>
      </c>
      <c r="F20" s="22">
        <f>_xlfn.LET(_xlpm.Tick,A20,IFERROR(LEFT(_xlpm.Tick,FIND(".",_xlpm.Tick)-1),_xlpm.Tick))</f>
        <v/>
      </c>
      <c r="G20" t="inlineStr">
        <is>
          <t>EOAN</t>
        </is>
      </c>
      <c r="H20" s="22">
        <f t="array" ref="H20">_xlfn.IFS(OR(LEFT(G20,3)="SAF",LEFT(G20,3)="MVE"), RIGHT(G20,LEN(G20)-3),     LEFT(G20,2)="JB",  RIGHT(G20,LEN(G20)-2), TRUE,     G20)</f>
        <v/>
      </c>
      <c r="K20">
        <f>_xlfn.LET(_xlpm.Tick,[2]YData!$A20,IFERROR(LEFT(_xlpm.Tick,FIND(".",_xlpm.Tick)-1),_xlpm.Tick))</f>
        <v/>
      </c>
      <c r="L20" t="n">
        <v>16.91959</v>
      </c>
      <c r="M20" t="n">
        <v>45793</v>
      </c>
      <c r="N20" t="n">
        <v>0</v>
      </c>
      <c r="O20" t="n">
        <v>0.0341</v>
      </c>
    </row>
    <row r="21">
      <c r="A21">
        <f>[2]YData!A21</f>
        <v/>
      </c>
      <c r="B21">
        <f>[2]YData!B21</f>
        <v/>
      </c>
      <c r="C21" s="176">
        <f>VALUE([2]YData!C21)</f>
        <v/>
      </c>
      <c r="D21">
        <f>[2]YData!D21</f>
        <v/>
      </c>
      <c r="E21" s="18">
        <f>[2]YData!E21</f>
        <v/>
      </c>
      <c r="F21" s="22">
        <f>_xlfn.LET(_xlpm.Tick,A21,IFERROR(LEFT(_xlpm.Tick,FIND(".",_xlpm.Tick)-1),_xlpm.Tick))</f>
        <v/>
      </c>
      <c r="G21" t="inlineStr">
        <is>
          <t>EPIX</t>
        </is>
      </c>
      <c r="H21" s="22">
        <f t="array" ref="H21">_xlfn.IFS(OR(LEFT(G21,3)="SAF",LEFT(G21,3)="MVE"), RIGHT(G21,LEN(G21)-3),     LEFT(G21,2)="JB",  RIGHT(G21,LEN(G21)-2), TRUE,     G21)</f>
        <v/>
      </c>
      <c r="K21">
        <f>_xlfn.LET(_xlpm.Tick,[2]YData!$A21,IFERROR(LEFT(_xlpm.Tick,FIND(".",_xlpm.Tick)-1),_xlpm.Tick))</f>
        <v/>
      </c>
      <c r="L21" t="n">
        <v>0</v>
      </c>
      <c r="M21" t="n">
        <v>45894</v>
      </c>
      <c r="N21" t="n">
        <v>0</v>
      </c>
      <c r="O21" t="n">
        <v>0</v>
      </c>
    </row>
    <row r="22">
      <c r="A22">
        <f>[2]YData!A22</f>
        <v/>
      </c>
      <c r="B22">
        <f>[2]YData!B22</f>
        <v/>
      </c>
      <c r="C22" s="176">
        <f>VALUE([2]YData!C22)</f>
        <v/>
      </c>
      <c r="D22">
        <f>[2]YData!D22</f>
        <v/>
      </c>
      <c r="E22" s="18">
        <f>[2]YData!E22</f>
        <v/>
      </c>
      <c r="F22" s="22">
        <f>_xlfn.LET(_xlpm.Tick,A22,IFERROR(LEFT(_xlpm.Tick,FIND(".",_xlpm.Tick)-1),_xlpm.Tick))</f>
        <v/>
      </c>
      <c r="G22" t="inlineStr">
        <is>
          <t>GM</t>
        </is>
      </c>
      <c r="H22" s="22">
        <f t="array" ref="H22">_xlfn.IFS(OR(LEFT(G22,3)="SAF",LEFT(G22,3)="MVE"), RIGHT(G22,LEN(G22)-3),     LEFT(G22,2)="JB",  RIGHT(G22,LEN(G22)-2), TRUE,     G22)</f>
        <v/>
      </c>
      <c r="K22">
        <f>_xlfn.LET(_xlpm.Tick,[2]YData!$A22,IFERROR(LEFT(_xlpm.Tick,FIND(".",_xlpm.Tick)-1),_xlpm.Tick))</f>
        <v/>
      </c>
      <c r="L22" t="n">
        <v>73.15385000000001</v>
      </c>
      <c r="M22" t="n">
        <v>45996</v>
      </c>
      <c r="N22" t="inlineStr">
        <is>
          <t>Oct 21, 2025</t>
        </is>
      </c>
      <c r="O22" t="n">
        <v>0.008699999999999999</v>
      </c>
    </row>
    <row r="23">
      <c r="A23">
        <f>[2]YData!A23</f>
        <v/>
      </c>
      <c r="B23">
        <f>[2]YData!B23</f>
        <v/>
      </c>
      <c r="C23" s="176">
        <f>VALUE([2]YData!C23)</f>
        <v/>
      </c>
      <c r="D23">
        <f>[2]YData!D23</f>
        <v/>
      </c>
      <c r="E23" s="18">
        <f>[2]YData!E23</f>
        <v/>
      </c>
      <c r="F23" s="22">
        <f>_xlfn.LET(_xlpm.Tick,A23,IFERROR(LEFT(_xlpm.Tick,FIND(".",_xlpm.Tick)-1),_xlpm.Tick))</f>
        <v/>
      </c>
      <c r="G23" t="inlineStr">
        <is>
          <t>HPE</t>
        </is>
      </c>
      <c r="H23" s="22">
        <f t="array" ref="H23">_xlfn.IFS(OR(LEFT(G23,3)="SAF",LEFT(G23,3)="MVE"), RIGHT(G23,LEN(G23)-3),     LEFT(G23,2)="JB",  RIGHT(G23,LEN(G23)-2), TRUE,     G23)</f>
        <v/>
      </c>
      <c r="K23">
        <f>_xlfn.LET(_xlpm.Tick,[2]YData!$A23,IFERROR(LEFT(_xlpm.Tick,FIND(".",_xlpm.Tick)-1),_xlpm.Tick))</f>
        <v/>
      </c>
      <c r="L23" t="n">
        <v>26.51211</v>
      </c>
      <c r="M23" t="n">
        <v>45918</v>
      </c>
      <c r="N23" t="inlineStr">
        <is>
          <t>Dec 4, 2025</t>
        </is>
      </c>
      <c r="O23" t="n">
        <v>0.021300001</v>
      </c>
    </row>
    <row r="24">
      <c r="A24">
        <f>[2]YData!A24</f>
        <v/>
      </c>
      <c r="B24">
        <f>[2]YData!B24</f>
        <v/>
      </c>
      <c r="C24" s="176">
        <f>VALUE([2]YData!C24)</f>
        <v/>
      </c>
      <c r="D24">
        <f>[2]YData!D24</f>
        <v/>
      </c>
      <c r="E24" s="18">
        <f>[2]YData!E24</f>
        <v/>
      </c>
      <c r="F24" s="22">
        <f>_xlfn.LET(_xlpm.Tick,A24,IFERROR(LEFT(_xlpm.Tick,FIND(".",_xlpm.Tick)-1),_xlpm.Tick))</f>
        <v/>
      </c>
      <c r="G24" t="inlineStr">
        <is>
          <t>HPQ</t>
        </is>
      </c>
      <c r="H24" s="22">
        <f t="array" ref="H24">_xlfn.IFS(OR(LEFT(G24,3)="SAF",LEFT(G24,3)="MVE"), RIGHT(G24,LEN(G24)-3),     LEFT(G24,2)="JB",  RIGHT(G24,LEN(G24)-2), TRUE,     G24)</f>
        <v/>
      </c>
      <c r="K24">
        <f>_xlfn.LET(_xlpm.Tick,[2]YData!$A24,IFERROR(LEFT(_xlpm.Tick,FIND(".",_xlpm.Tick)-1),_xlpm.Tick))</f>
        <v/>
      </c>
      <c r="L24" t="n">
        <v>28.2825</v>
      </c>
      <c r="M24" t="n">
        <v>45910</v>
      </c>
      <c r="N24" t="inlineStr">
        <is>
          <t>Nov 25, 2025</t>
        </is>
      </c>
      <c r="O24" t="n">
        <v>0.0418</v>
      </c>
    </row>
    <row r="25">
      <c r="A25">
        <f>[2]YData!A25</f>
        <v/>
      </c>
      <c r="B25">
        <f>[2]YData!B25</f>
        <v/>
      </c>
      <c r="C25" s="176">
        <f>VALUE([2]YData!C25)</f>
        <v/>
      </c>
      <c r="D25">
        <f>[2]YData!D25</f>
        <v/>
      </c>
      <c r="E25" s="18">
        <f>[2]YData!E25</f>
        <v/>
      </c>
      <c r="F25" s="22">
        <f>_xlfn.LET(_xlpm.Tick,A25,IFERROR(LEFT(_xlpm.Tick,FIND(".",_xlpm.Tick)-1),_xlpm.Tick))</f>
        <v/>
      </c>
      <c r="G25" t="inlineStr">
        <is>
          <t>IAG</t>
        </is>
      </c>
      <c r="H25" s="22">
        <f t="array" ref="H25">_xlfn.IFS(OR(LEFT(G25,3)="SAF",LEFT(G25,3)="MVE"), RIGHT(G25,LEN(G25)-3),     LEFT(G25,2)="JB",  RIGHT(G25,LEN(G25)-2), TRUE,     G25)</f>
        <v/>
      </c>
      <c r="K25">
        <f>_xlfn.LET(_xlpm.Tick,[2]YData!$A25,IFERROR(LEFT(_xlpm.Tick,FIND(".",_xlpm.Tick)-1),_xlpm.Tick))</f>
        <v/>
      </c>
      <c r="L25" t="n">
        <v>464.0942</v>
      </c>
      <c r="M25" t="n">
        <v>45834</v>
      </c>
      <c r="N25" t="n">
        <v>0</v>
      </c>
      <c r="O25" t="n">
        <v>0.0183</v>
      </c>
    </row>
    <row r="26">
      <c r="A26">
        <f>[2]YData!A26</f>
        <v/>
      </c>
      <c r="B26">
        <f>[2]YData!B26</f>
        <v/>
      </c>
      <c r="C26" s="176">
        <f>VALUE([2]YData!C26)</f>
        <v/>
      </c>
      <c r="D26">
        <f>[2]YData!D26</f>
        <v/>
      </c>
      <c r="E26" s="18">
        <f>[2]YData!E26</f>
        <v/>
      </c>
      <c r="F26" s="22">
        <f>_xlfn.LET(_xlpm.Tick,A26,IFERROR(LEFT(_xlpm.Tick,FIND(".",_xlpm.Tick)-1),_xlpm.Tick))</f>
        <v/>
      </c>
      <c r="G26" t="inlineStr">
        <is>
          <t>KR</t>
        </is>
      </c>
      <c r="H26" s="22">
        <f t="array" ref="H26">_xlfn.IFS(OR(LEFT(G26,3)="SAF",LEFT(G26,3)="MVE"), RIGHT(G26,LEN(G26)-3),     LEFT(G26,2)="JB",  RIGHT(G26,LEN(G26)-2), TRUE,     G26)</f>
        <v/>
      </c>
      <c r="K26">
        <f>_xlfn.LET(_xlpm.Tick,[2]YData!$A26,IFERROR(LEFT(_xlpm.Tick,FIND(".",_xlpm.Tick)-1),_xlpm.Tick))</f>
        <v/>
      </c>
      <c r="L26" t="n">
        <v>76.04545</v>
      </c>
      <c r="M26" t="n">
        <v>45975</v>
      </c>
      <c r="N26" t="inlineStr">
        <is>
          <t>Dec 4, 2025</t>
        </is>
      </c>
      <c r="O26" t="n">
        <v>0.022</v>
      </c>
    </row>
    <row r="27">
      <c r="A27">
        <f>[2]YData!A27</f>
        <v/>
      </c>
      <c r="B27">
        <f>[2]YData!B27</f>
        <v/>
      </c>
      <c r="C27" s="176">
        <f>VALUE([2]YData!C27)</f>
        <v/>
      </c>
      <c r="D27">
        <f>[2]YData!D27</f>
        <v/>
      </c>
      <c r="E27" s="18">
        <f>[2]YData!E27</f>
        <v/>
      </c>
      <c r="F27" s="22">
        <f>_xlfn.LET(_xlpm.Tick,A27,IFERROR(LEFT(_xlpm.Tick,FIND(".",_xlpm.Tick)-1),_xlpm.Tick))</f>
        <v/>
      </c>
      <c r="G27" t="inlineStr">
        <is>
          <t>LNSR</t>
        </is>
      </c>
      <c r="H27" s="22">
        <f t="array" ref="H27">_xlfn.IFS(OR(LEFT(G27,3)="SAF",LEFT(G27,3)="MVE"), RIGHT(G27,LEN(G27)-3),     LEFT(G27,2)="JB",  RIGHT(G27,LEN(G27)-2), TRUE,     G27)</f>
        <v/>
      </c>
      <c r="K27">
        <f>_xlfn.LET(_xlpm.Tick,[2]YData!$A27,IFERROR(LEFT(_xlpm.Tick,FIND(".",_xlpm.Tick)-1),_xlpm.Tick))</f>
        <v/>
      </c>
      <c r="L27" t="n">
        <v>15</v>
      </c>
      <c r="M27" t="n">
        <v>0</v>
      </c>
      <c r="N27" t="n">
        <v>0</v>
      </c>
      <c r="O27" t="n">
        <v>0</v>
      </c>
    </row>
    <row r="28">
      <c r="A28">
        <f>[2]YData!A28</f>
        <v/>
      </c>
      <c r="B28">
        <f>[2]YData!B28</f>
        <v/>
      </c>
      <c r="C28" s="176">
        <f>VALUE([2]YData!C28)</f>
        <v/>
      </c>
      <c r="D28">
        <f>[2]YData!D28</f>
        <v/>
      </c>
      <c r="E28" s="18">
        <f>[2]YData!E28</f>
        <v/>
      </c>
      <c r="F28" s="22">
        <f>_xlfn.LET(_xlpm.Tick,A28,IFERROR(LEFT(_xlpm.Tick,FIND(".",_xlpm.Tick)-1),_xlpm.Tick))</f>
        <v/>
      </c>
      <c r="G28" t="inlineStr">
        <is>
          <t>LUMN</t>
        </is>
      </c>
      <c r="H28" s="22">
        <f t="array" ref="H28">_xlfn.IFS(OR(LEFT(G28,3)="SAF",LEFT(G28,3)="MVE"), RIGHT(G28,LEN(G28)-3),     LEFT(G28,2)="JB",  RIGHT(G28,LEN(G28)-2), TRUE,     G28)</f>
        <v/>
      </c>
      <c r="K28">
        <f>_xlfn.LET(_xlpm.Tick,[2]YData!$A28,IFERROR(LEFT(_xlpm.Tick,FIND(".",_xlpm.Tick)-1),_xlpm.Tick))</f>
        <v/>
      </c>
      <c r="L28" t="n">
        <v>5.958</v>
      </c>
      <c r="M28" t="n">
        <v>44802</v>
      </c>
      <c r="N28" t="inlineStr">
        <is>
          <t>Oct 30, 2025</t>
        </is>
      </c>
      <c r="O28" t="n">
        <v>0</v>
      </c>
    </row>
    <row r="29">
      <c r="A29">
        <f>[2]YData!A29</f>
        <v/>
      </c>
      <c r="B29">
        <f>[2]YData!B29</f>
        <v/>
      </c>
      <c r="C29" s="176">
        <f>VALUE([2]YData!C29)</f>
        <v/>
      </c>
      <c r="D29">
        <f>[2]YData!D29</f>
        <v/>
      </c>
      <c r="E29" s="18">
        <f>[2]YData!E29</f>
        <v/>
      </c>
      <c r="F29" s="22">
        <f>_xlfn.LET(_xlpm.Tick,A29,IFERROR(LEFT(_xlpm.Tick,FIND(".",_xlpm.Tick)-1),_xlpm.Tick))</f>
        <v/>
      </c>
      <c r="G29" t="inlineStr">
        <is>
          <t>MRNA</t>
        </is>
      </c>
      <c r="H29" s="22">
        <f t="array" ref="H29">_xlfn.IFS(OR(LEFT(G29,3)="SAF",LEFT(G29,3)="MVE"), RIGHT(G29,LEN(G29)-3),     LEFT(G29,2)="JB",  RIGHT(G29,LEN(G29)-2), TRUE,     G29)</f>
        <v/>
      </c>
      <c r="K29">
        <f>_xlfn.LET(_xlpm.Tick,[2]YData!$A29,IFERROR(LEFT(_xlpm.Tick,FIND(".",_xlpm.Tick)-1),_xlpm.Tick))</f>
        <v/>
      </c>
      <c r="L29" t="n">
        <v>40.3</v>
      </c>
      <c r="M29" t="n">
        <v>0</v>
      </c>
      <c r="N29" t="inlineStr">
        <is>
          <t>Nov 6, 2025</t>
        </is>
      </c>
      <c r="O29" t="n">
        <v>0</v>
      </c>
    </row>
    <row r="30">
      <c r="A30">
        <f>[2]YData!A30</f>
        <v/>
      </c>
      <c r="B30">
        <f>[2]YData!B30</f>
        <v/>
      </c>
      <c r="C30" s="176">
        <f>VALUE([2]YData!C30)</f>
        <v/>
      </c>
      <c r="D30">
        <f>[2]YData!D30</f>
        <v/>
      </c>
      <c r="E30" s="18">
        <f>[2]YData!E30</f>
        <v/>
      </c>
      <c r="F30" s="22">
        <f>_xlfn.LET(_xlpm.Tick,A30,IFERROR(LEFT(_xlpm.Tick,FIND(".",_xlpm.Tick)-1),_xlpm.Tick))</f>
        <v/>
      </c>
      <c r="G30" t="inlineStr">
        <is>
          <t>MSFT</t>
        </is>
      </c>
      <c r="H30" s="22">
        <f t="array" ref="H30">_xlfn.IFS(OR(LEFT(G30,3)="SAF",LEFT(G30,3)="MVE"), RIGHT(G30,LEN(G30)-3),     LEFT(G30,2)="JB",  RIGHT(G30,LEN(G30)-2), TRUE,     G30)</f>
        <v/>
      </c>
      <c r="K30">
        <f>_xlfn.LET(_xlpm.Tick,[2]YData!$A30,IFERROR(LEFT(_xlpm.Tick,FIND(".",_xlpm.Tick)-1),_xlpm.Tick))</f>
        <v/>
      </c>
      <c r="L30" t="n">
        <v>626.2265599999999</v>
      </c>
      <c r="M30" t="n">
        <v>45981</v>
      </c>
      <c r="N30" t="inlineStr">
        <is>
          <t>Jan 28, 2026</t>
        </is>
      </c>
      <c r="O30" t="n">
        <v>0.0069999998</v>
      </c>
    </row>
    <row r="31">
      <c r="A31">
        <f>[2]YData!A31</f>
        <v/>
      </c>
      <c r="B31">
        <f>[2]YData!B31</f>
        <v/>
      </c>
      <c r="C31" s="176">
        <f>VALUE([2]YData!C31)</f>
        <v/>
      </c>
      <c r="D31">
        <f>[2]YData!D31</f>
        <v/>
      </c>
      <c r="E31" s="18">
        <f>[2]YData!E31</f>
        <v/>
      </c>
      <c r="F31" s="22">
        <f>_xlfn.LET(_xlpm.Tick,A31,IFERROR(LEFT(_xlpm.Tick,FIND(".",_xlpm.Tick)-1),_xlpm.Tick))</f>
        <v/>
      </c>
      <c r="G31" t="inlineStr">
        <is>
          <t>NEE</t>
        </is>
      </c>
      <c r="H31" s="22">
        <f t="array" ref="H31">_xlfn.IFS(OR(LEFT(G31,3)="SAF",LEFT(G31,3)="MVE"), RIGHT(G31,LEN(G31)-3),     LEFT(G31,2)="JB",  RIGHT(G31,LEN(G31)-2), TRUE,     G31)</f>
        <v/>
      </c>
      <c r="K31">
        <f>_xlfn.LET(_xlpm.Tick,[2]YData!$A31,IFERROR(LEFT(_xlpm.Tick,FIND(".",_xlpm.Tick)-1),_xlpm.Tick))</f>
        <v/>
      </c>
      <c r="L31" t="n">
        <v>91</v>
      </c>
      <c r="M31" t="n">
        <v>45982</v>
      </c>
      <c r="N31" t="inlineStr">
        <is>
          <t>Oct 28, 2025</t>
        </is>
      </c>
      <c r="O31" t="n">
        <v>0.0278</v>
      </c>
    </row>
    <row r="32">
      <c r="A32">
        <f>[2]YData!A32</f>
        <v/>
      </c>
      <c r="B32">
        <f>[2]YData!B32</f>
        <v/>
      </c>
      <c r="C32" s="176">
        <f>VALUE([2]YData!C32)</f>
        <v/>
      </c>
      <c r="D32">
        <f>[2]YData!D32</f>
        <v/>
      </c>
      <c r="E32" s="18">
        <f>[2]YData!E32</f>
        <v/>
      </c>
      <c r="F32" s="22">
        <f>_xlfn.LET(_xlpm.Tick,A32,IFERROR(LEFT(_xlpm.Tick,FIND(".",_xlpm.Tick)-1),_xlpm.Tick))</f>
        <v/>
      </c>
      <c r="G32" t="inlineStr">
        <is>
          <t>NEM</t>
        </is>
      </c>
      <c r="H32" s="22">
        <f t="array" ref="H32">_xlfn.IFS(OR(LEFT(G32,3)="SAF",LEFT(G32,3)="MVE"), RIGHT(G32,LEN(G32)-3),     LEFT(G32,2)="JB",  RIGHT(G32,LEN(G32)-2), TRUE,     G32)</f>
        <v/>
      </c>
      <c r="K32">
        <f>_xlfn.LET(_xlpm.Tick,[2]YData!$A32,IFERROR(LEFT(_xlpm.Tick,FIND(".",_xlpm.Tick)-1),_xlpm.Tick))</f>
        <v/>
      </c>
      <c r="L32" t="n">
        <v>102.735</v>
      </c>
      <c r="M32" t="n">
        <v>45987</v>
      </c>
      <c r="N32" t="inlineStr">
        <is>
          <t>Oct 23, 2025</t>
        </is>
      </c>
      <c r="O32" t="n">
        <v>0.0124</v>
      </c>
    </row>
    <row r="33">
      <c r="A33">
        <f>[2]YData!A33</f>
        <v/>
      </c>
      <c r="B33">
        <f>[2]YData!B33</f>
        <v/>
      </c>
      <c r="C33" s="176">
        <f>VALUE([2]YData!C33)</f>
        <v/>
      </c>
      <c r="D33">
        <f>[2]YData!D33</f>
        <v/>
      </c>
      <c r="E33" s="18">
        <f>[2]YData!E33</f>
        <v/>
      </c>
      <c r="F33" s="22">
        <f>_xlfn.LET(_xlpm.Tick,A33,IFERROR(LEFT(_xlpm.Tick,FIND(".",_xlpm.Tick)-1),_xlpm.Tick))</f>
        <v/>
      </c>
      <c r="G33" t="inlineStr">
        <is>
          <t>NFLX</t>
        </is>
      </c>
      <c r="H33" s="22">
        <f t="array" ref="H33">_xlfn.IFS(OR(LEFT(G33,3)="SAF",LEFT(G33,3)="MVE"), RIGHT(G33,LEN(G33)-3),     LEFT(G33,2)="JB",  RIGHT(G33,LEN(G33)-2), TRUE,     G33)</f>
        <v/>
      </c>
      <c r="K33">
        <f>_xlfn.LET(_xlpm.Tick,[2]YData!$A33,IFERROR(LEFT(_xlpm.Tick,FIND(".",_xlpm.Tick)-1),_xlpm.Tick))</f>
        <v/>
      </c>
      <c r="L33" t="n">
        <v>1347.3231</v>
      </c>
      <c r="M33" t="n">
        <v>0</v>
      </c>
      <c r="N33" t="inlineStr">
        <is>
          <t>Jan 20, 2026</t>
        </is>
      </c>
      <c r="O33" t="n">
        <v>0</v>
      </c>
    </row>
    <row r="34">
      <c r="A34">
        <f>[2]YData!A34</f>
        <v/>
      </c>
      <c r="B34">
        <f>[2]YData!B34</f>
        <v/>
      </c>
      <c r="C34" s="176">
        <f>VALUE([2]YData!C34)</f>
        <v/>
      </c>
      <c r="D34">
        <f>[2]YData!D34</f>
        <v/>
      </c>
      <c r="E34" s="18">
        <f>[2]YData!E34</f>
        <v/>
      </c>
      <c r="F34" s="22">
        <f>_xlfn.LET(_xlpm.Tick,A34,IFERROR(LEFT(_xlpm.Tick,FIND(".",_xlpm.Tick)-1),_xlpm.Tick))</f>
        <v/>
      </c>
      <c r="G34" t="inlineStr">
        <is>
          <t>NOTE</t>
        </is>
      </c>
      <c r="H34" s="22">
        <f t="array" ref="H34">_xlfn.IFS(OR(LEFT(G34,3)="SAF",LEFT(G34,3)="MVE"), RIGHT(G34,LEN(G34)-3),     LEFT(G34,2)="JB",  RIGHT(G34,LEN(G34)-2), TRUE,     G34)</f>
        <v/>
      </c>
      <c r="K34">
        <f>_xlfn.LET(_xlpm.Tick,[2]YData!$A34,IFERROR(LEFT(_xlpm.Tick,FIND(".",_xlpm.Tick)-1),_xlpm.Tick))</f>
        <v/>
      </c>
      <c r="L34" t="n">
        <v>31.50108</v>
      </c>
      <c r="M34" t="n">
        <v>0</v>
      </c>
      <c r="N34" t="n">
        <v>0</v>
      </c>
      <c r="O34" t="n">
        <v>0</v>
      </c>
    </row>
    <row r="35">
      <c r="A35">
        <f>[2]YData!A35</f>
        <v/>
      </c>
      <c r="B35">
        <f>[2]YData!B35</f>
        <v/>
      </c>
      <c r="C35" s="176">
        <f>VALUE([2]YData!C35)</f>
        <v/>
      </c>
      <c r="D35">
        <f>[2]YData!D35</f>
        <v/>
      </c>
      <c r="E35" s="18">
        <f>[2]YData!E35</f>
        <v/>
      </c>
      <c r="F35" s="22">
        <f>_xlfn.LET(_xlpm.Tick,A35,IFERROR(LEFT(_xlpm.Tick,FIND(".",_xlpm.Tick)-1),_xlpm.Tick))</f>
        <v/>
      </c>
      <c r="G35" t="inlineStr">
        <is>
          <t>PAAS</t>
        </is>
      </c>
      <c r="H35" s="22">
        <f t="array" ref="H35">_xlfn.IFS(OR(LEFT(G35,3)="SAF",LEFT(G35,3)="MVE"), RIGHT(G35,LEN(G35)-3),     LEFT(G35,2)="JB",  RIGHT(G35,LEN(G35)-2), TRUE,     G35)</f>
        <v/>
      </c>
      <c r="K35">
        <f>_xlfn.LET(_xlpm.Tick,[2]YData!$A35,IFERROR(LEFT(_xlpm.Tick,FIND(".",_xlpm.Tick)-1),_xlpm.Tick))</f>
        <v/>
      </c>
      <c r="L35" t="n">
        <v>46.875</v>
      </c>
      <c r="M35" t="n">
        <v>45887</v>
      </c>
      <c r="N35" t="inlineStr">
        <is>
          <t>Nov 12, 2025</t>
        </is>
      </c>
      <c r="O35" t="n">
        <v>0.0136</v>
      </c>
    </row>
    <row r="36">
      <c r="A36">
        <f>[2]YData!A36</f>
        <v/>
      </c>
      <c r="B36">
        <f>[2]YData!B36</f>
        <v/>
      </c>
      <c r="C36" s="176">
        <f>VALUE([2]YData!C36)</f>
        <v/>
      </c>
      <c r="D36">
        <f>[2]YData!D36</f>
        <v/>
      </c>
      <c r="E36" s="18">
        <f>[2]YData!E36</f>
        <v/>
      </c>
      <c r="F36" s="22">
        <f>_xlfn.LET(_xlpm.Tick,A36,IFERROR(LEFT(_xlpm.Tick,FIND(".",_xlpm.Tick)-1),_xlpm.Tick))</f>
        <v/>
      </c>
      <c r="G36" t="inlineStr">
        <is>
          <t>PROF</t>
        </is>
      </c>
      <c r="H36" s="22">
        <f t="array" ref="H36">_xlfn.IFS(OR(LEFT(G36,3)="SAF",LEFT(G36,3)="MVE"), RIGHT(G36,LEN(G36)-3),     LEFT(G36,2)="JB",  RIGHT(G36,LEN(G36)-2), TRUE,     G36)</f>
        <v/>
      </c>
      <c r="K36">
        <f>_xlfn.LET(_xlpm.Tick,[2]YData!$A36,IFERROR(LEFT(_xlpm.Tick,FIND(".",_xlpm.Tick)-1),_xlpm.Tick))</f>
        <v/>
      </c>
      <c r="L36" t="n">
        <v>12.1</v>
      </c>
      <c r="M36" t="n">
        <v>0</v>
      </c>
      <c r="N36" t="n">
        <v>0</v>
      </c>
      <c r="O36" t="n">
        <v>0</v>
      </c>
    </row>
    <row r="37">
      <c r="A37">
        <f>[2]YData!A37</f>
        <v/>
      </c>
      <c r="B37">
        <f>[2]YData!B37</f>
        <v/>
      </c>
      <c r="C37" s="176">
        <f>VALUE([2]YData!C37)</f>
        <v/>
      </c>
      <c r="D37">
        <f>[2]YData!D37</f>
        <v/>
      </c>
      <c r="E37" s="18">
        <f>[2]YData!E37</f>
        <v/>
      </c>
      <c r="F37" s="22">
        <f>_xlfn.LET(_xlpm.Tick,A37,IFERROR(LEFT(_xlpm.Tick,FIND(".",_xlpm.Tick)-1),_xlpm.Tick))</f>
        <v/>
      </c>
      <c r="G37" t="inlineStr">
        <is>
          <t>POET</t>
        </is>
      </c>
      <c r="H37" s="22">
        <f t="array" ref="H37">_xlfn.IFS(OR(LEFT(G37,3)="SAF",LEFT(G37,3)="MVE"), RIGHT(G37,LEN(G37)-3),     LEFT(G37,2)="JB",  RIGHT(G37,LEN(G37)-2), TRUE,     G37)</f>
        <v/>
      </c>
      <c r="K37">
        <f>_xlfn.LET(_xlpm.Tick,[2]YData!$A37,IFERROR(LEFT(_xlpm.Tick,FIND(".",_xlpm.Tick)-1),_xlpm.Tick))</f>
        <v/>
      </c>
      <c r="L37" t="n">
        <v>6.63333</v>
      </c>
      <c r="M37" t="n">
        <v>0</v>
      </c>
      <c r="N37" t="inlineStr">
        <is>
          <t>Nov 13, 2025</t>
        </is>
      </c>
      <c r="O37" t="n">
        <v>0</v>
      </c>
    </row>
    <row r="38">
      <c r="A38">
        <f>[2]YData!A38</f>
        <v/>
      </c>
      <c r="B38">
        <f>[2]YData!B38</f>
        <v/>
      </c>
      <c r="C38" s="176">
        <f>VALUE([2]YData!C38)</f>
        <v/>
      </c>
      <c r="D38">
        <f>[2]YData!D38</f>
        <v/>
      </c>
      <c r="E38" s="18">
        <f>[2]YData!E38</f>
        <v/>
      </c>
      <c r="F38" s="22">
        <f>_xlfn.LET(_xlpm.Tick,A38,IFERROR(LEFT(_xlpm.Tick,FIND(".",_xlpm.Tick)-1),_xlpm.Tick))</f>
        <v/>
      </c>
      <c r="G38" t="inlineStr">
        <is>
          <t>PW</t>
        </is>
      </c>
      <c r="H38" s="22">
        <f t="array" ref="H38">_xlfn.IFS(OR(LEFT(G38,3)="SAF",LEFT(G38,3)="MVE"), RIGHT(G38,LEN(G38)-3),     LEFT(G38,2)="JB",  RIGHT(G38,LEN(G38)-2), TRUE,     G38)</f>
        <v/>
      </c>
      <c r="K38">
        <f>_xlfn.LET(_xlpm.Tick,[2]YData!$A38,IFERROR(LEFT(_xlpm.Tick,FIND(".",_xlpm.Tick)-1),_xlpm.Tick))</f>
        <v/>
      </c>
      <c r="L38" t="n">
        <v>0</v>
      </c>
      <c r="M38" t="n">
        <v>41284</v>
      </c>
      <c r="N38" t="n">
        <v>0</v>
      </c>
      <c r="O38" t="n">
        <v>0</v>
      </c>
    </row>
    <row r="39">
      <c r="A39">
        <f>[2]YData!A39</f>
        <v/>
      </c>
      <c r="B39">
        <f>[2]YData!B39</f>
        <v/>
      </c>
      <c r="C39" s="176">
        <f>VALUE([2]YData!C39)</f>
        <v/>
      </c>
      <c r="D39">
        <f>[2]YData!D39</f>
        <v/>
      </c>
      <c r="E39" s="18">
        <f>[2]YData!E39</f>
        <v/>
      </c>
      <c r="F39" s="22">
        <f>_xlfn.LET(_xlpm.Tick,A39,IFERROR(LEFT(_xlpm.Tick,FIND(".",_xlpm.Tick)-1),_xlpm.Tick))</f>
        <v/>
      </c>
      <c r="G39" t="inlineStr">
        <is>
          <t>RIGL</t>
        </is>
      </c>
      <c r="H39" s="22">
        <f t="array" ref="H39">_xlfn.IFS(OR(LEFT(G39,3)="SAF",LEFT(G39,3)="MVE"), RIGHT(G39,LEN(G39)-3),     LEFT(G39,2)="JB",  RIGHT(G39,LEN(G39)-2), TRUE,     G39)</f>
        <v/>
      </c>
      <c r="K39">
        <f>_xlfn.LET(_xlpm.Tick,[2]YData!$A39,IFERROR(LEFT(_xlpm.Tick,FIND(".",_xlpm.Tick)-1),_xlpm.Tick))</f>
        <v/>
      </c>
      <c r="L39" t="n">
        <v>38.33333</v>
      </c>
      <c r="M39" t="n">
        <v>0</v>
      </c>
      <c r="N39" t="inlineStr">
        <is>
          <t>Nov 4, 2025</t>
        </is>
      </c>
      <c r="O39" t="n">
        <v>0</v>
      </c>
    </row>
    <row r="40">
      <c r="A40">
        <f>[2]YData!A40</f>
        <v/>
      </c>
      <c r="B40">
        <f>[2]YData!B40</f>
        <v/>
      </c>
      <c r="C40" s="176">
        <f>VALUE([2]YData!C40)</f>
        <v/>
      </c>
      <c r="D40">
        <f>[2]YData!D40</f>
        <v/>
      </c>
      <c r="E40" s="18">
        <f>[2]YData!E40</f>
        <v/>
      </c>
      <c r="F40" s="22">
        <f>_xlfn.LET(_xlpm.Tick,A40,IFERROR(LEFT(_xlpm.Tick,FIND(".",_xlpm.Tick)-1),_xlpm.Tick))</f>
        <v/>
      </c>
      <c r="G40" t="inlineStr">
        <is>
          <t>RWE</t>
        </is>
      </c>
      <c r="H40" s="22">
        <f t="array" ref="H40">_xlfn.IFS(OR(LEFT(G40,3)="SAF",LEFT(G40,3)="MVE"), RIGHT(G40,LEN(G40)-3),     LEFT(G40,2)="JB",  RIGHT(G40,LEN(G40)-2), TRUE,     G40)</f>
        <v/>
      </c>
      <c r="K40">
        <f>_xlfn.LET(_xlpm.Tick,[2]YData!$A40,IFERROR(LEFT(_xlpm.Tick,FIND(".",_xlpm.Tick)-1),_xlpm.Tick))</f>
        <v/>
      </c>
      <c r="L40" t="n">
        <v>44.74706</v>
      </c>
      <c r="M40" t="n">
        <v>45779</v>
      </c>
      <c r="N40" t="n">
        <v>0</v>
      </c>
      <c r="O40" t="n">
        <v>0.025799999</v>
      </c>
    </row>
    <row r="41">
      <c r="A41">
        <f>[2]YData!A41</f>
        <v/>
      </c>
      <c r="B41">
        <f>[2]YData!B41</f>
        <v/>
      </c>
      <c r="C41" s="176">
        <f>VALUE([2]YData!C41)</f>
        <v/>
      </c>
      <c r="D41">
        <f>[2]YData!D41</f>
        <v/>
      </c>
      <c r="E41" s="18">
        <f>[2]YData!E41</f>
        <v/>
      </c>
      <c r="F41" s="22">
        <f>_xlfn.LET(_xlpm.Tick,A41,IFERROR(LEFT(_xlpm.Tick,FIND(".",_xlpm.Tick)-1),_xlpm.Tick))</f>
        <v/>
      </c>
      <c r="G41" t="inlineStr">
        <is>
          <t>SAP</t>
        </is>
      </c>
      <c r="H41" s="22">
        <f t="array" ref="H41">_xlfn.IFS(OR(LEFT(G41,3)="SAF",LEFT(G41,3)="MVE"), RIGHT(G41,LEN(G41)-3),     LEFT(G41,2)="JB",  RIGHT(G41,LEN(G41)-2), TRUE,     G41)</f>
        <v/>
      </c>
      <c r="K41">
        <f>_xlfn.LET(_xlpm.Tick,[2]YData!$A41,IFERROR(LEFT(_xlpm.Tick,FIND(".",_xlpm.Tick)-1),_xlpm.Tick))</f>
        <v/>
      </c>
      <c r="L41" t="n">
        <v>288.6668</v>
      </c>
      <c r="M41" t="n">
        <v>45791</v>
      </c>
      <c r="N41" t="n">
        <v>0</v>
      </c>
      <c r="O41" t="n">
        <v>0.0105</v>
      </c>
    </row>
    <row r="42">
      <c r="A42">
        <f>[2]YData!A42</f>
        <v/>
      </c>
      <c r="B42">
        <f>[2]YData!B42</f>
        <v/>
      </c>
      <c r="C42" s="176">
        <f>VALUE([2]YData!C42)</f>
        <v/>
      </c>
      <c r="D42">
        <f>[2]YData!D42</f>
        <v/>
      </c>
      <c r="E42" s="18">
        <f>[2]YData!E42</f>
        <v/>
      </c>
      <c r="F42" s="22">
        <f>_xlfn.LET(_xlpm.Tick,A42,IFERROR(LEFT(_xlpm.Tick,FIND(".",_xlpm.Tick)-1),_xlpm.Tick))</f>
        <v/>
      </c>
      <c r="G42" t="inlineStr">
        <is>
          <t>SHECY</t>
        </is>
      </c>
      <c r="H42" s="22">
        <f t="array" ref="H42">_xlfn.IFS(OR(LEFT(G42,3)="SAF",LEFT(G42,3)="MVE"), RIGHT(G42,LEN(G42)-3),     LEFT(G42,2)="JB",  RIGHT(G42,LEN(G42)-2), TRUE,     G42)</f>
        <v/>
      </c>
      <c r="K42">
        <f>_xlfn.LET(_xlpm.Tick,[2]YData!$A42,IFERROR(LEFT(_xlpm.Tick,FIND(".",_xlpm.Tick)-1),_xlpm.Tick))</f>
        <v/>
      </c>
      <c r="L42" t="n">
        <v>0</v>
      </c>
      <c r="M42" t="n">
        <v>45747</v>
      </c>
      <c r="N42" t="n">
        <v>0</v>
      </c>
      <c r="O42" t="n">
        <v>0.024500001</v>
      </c>
    </row>
    <row r="43">
      <c r="A43">
        <f>[2]YData!A43</f>
        <v/>
      </c>
      <c r="B43">
        <f>[2]YData!B43</f>
        <v/>
      </c>
      <c r="C43" s="176">
        <f>VALUE([2]YData!C43)</f>
        <v/>
      </c>
      <c r="D43">
        <f>[2]YData!D43</f>
        <v/>
      </c>
      <c r="E43" s="18">
        <f>[2]YData!E43</f>
        <v/>
      </c>
      <c r="F43" s="22">
        <f>_xlfn.LET(_xlpm.Tick,A43,IFERROR(LEFT(_xlpm.Tick,FIND(".",_xlpm.Tick)-1),_xlpm.Tick))</f>
        <v/>
      </c>
      <c r="G43" t="inlineStr">
        <is>
          <t>SSYS</t>
        </is>
      </c>
      <c r="H43" s="22">
        <f t="array" ref="H43">_xlfn.IFS(OR(LEFT(G43,3)="SAF",LEFT(G43,3)="MVE"), RIGHT(G43,LEN(G43)-3),     LEFT(G43,2)="JB",  RIGHT(G43,LEN(G43)-2), TRUE,     G43)</f>
        <v/>
      </c>
      <c r="K43">
        <f>_xlfn.LET(_xlpm.Tick,[2]YData!$A43,IFERROR(LEFT(_xlpm.Tick,FIND(".",_xlpm.Tick)-1),_xlpm.Tick))</f>
        <v/>
      </c>
      <c r="L43" t="n">
        <v>13.33333</v>
      </c>
      <c r="M43" t="n">
        <v>0</v>
      </c>
      <c r="N43" t="inlineStr">
        <is>
          <t>Nov 13, 2025</t>
        </is>
      </c>
      <c r="O43" t="n">
        <v>0</v>
      </c>
    </row>
    <row r="44">
      <c r="A44">
        <f>[2]YData!A44</f>
        <v/>
      </c>
      <c r="B44">
        <f>[2]YData!B44</f>
        <v/>
      </c>
      <c r="C44" s="176">
        <f>VALUE([2]YData!C44)</f>
        <v/>
      </c>
      <c r="D44">
        <f>[2]YData!D44</f>
        <v/>
      </c>
      <c r="E44" s="18">
        <f>[2]YData!E44</f>
        <v/>
      </c>
      <c r="F44" s="22">
        <f>_xlfn.LET(_xlpm.Tick,A44,IFERROR(LEFT(_xlpm.Tick,FIND(".",_xlpm.Tick)-1),_xlpm.Tick))</f>
        <v/>
      </c>
      <c r="G44" t="inlineStr">
        <is>
          <t>TSLA</t>
        </is>
      </c>
      <c r="H44" s="22">
        <f t="array" ref="H44">_xlfn.IFS(OR(LEFT(G44,3)="SAF",LEFT(G44,3)="MVE"), RIGHT(G44,LEN(G44)-3),     LEFT(G44,2)="JB",  RIGHT(G44,LEN(G44)-2), TRUE,     G44)</f>
        <v/>
      </c>
      <c r="K44">
        <f>_xlfn.LET(_xlpm.Tick,[2]YData!$A44,IFERROR(LEFT(_xlpm.Tick,FIND(".",_xlpm.Tick)-1),_xlpm.Tick))</f>
        <v/>
      </c>
      <c r="L44" t="n">
        <v>391.31805</v>
      </c>
      <c r="M44" t="n">
        <v>0</v>
      </c>
      <c r="N44" t="inlineStr">
        <is>
          <t>Jan 28, 2026</t>
        </is>
      </c>
      <c r="O44" t="n">
        <v>0</v>
      </c>
    </row>
    <row r="45">
      <c r="A45">
        <f>[2]YData!A45</f>
        <v/>
      </c>
      <c r="B45">
        <f>[2]YData!B45</f>
        <v/>
      </c>
      <c r="C45" s="176">
        <f>VALUE([2]YData!C45)</f>
        <v/>
      </c>
      <c r="D45">
        <f>[2]YData!D45</f>
        <v/>
      </c>
      <c r="E45" s="18">
        <f>[2]YData!E45</f>
        <v/>
      </c>
      <c r="F45" s="22">
        <f>_xlfn.LET(_xlpm.Tick,A45,IFERROR(LEFT(_xlpm.Tick,FIND(".",_xlpm.Tick)-1),_xlpm.Tick))</f>
        <v/>
      </c>
      <c r="G45" t="inlineStr">
        <is>
          <t>TSM</t>
        </is>
      </c>
      <c r="H45" s="22">
        <f t="array" ref="H45">_xlfn.IFS(OR(LEFT(G45,3)="SAF",LEFT(G45,3)="MVE"), RIGHT(G45,LEN(G45)-3),     LEFT(G45,2)="JB",  RIGHT(G45,LEN(G45)-2), TRUE,     G45)</f>
        <v/>
      </c>
      <c r="K45">
        <f>_xlfn.LET(_xlpm.Tick,[2]YData!$A45,IFERROR(LEFT(_xlpm.Tick,FIND(".",_xlpm.Tick)-1),_xlpm.Tick))</f>
        <v/>
      </c>
      <c r="L45" t="n">
        <v>335.39688</v>
      </c>
      <c r="M45" t="n">
        <v>46002</v>
      </c>
      <c r="N45" t="inlineStr">
        <is>
          <t>Jan 15, 2026</t>
        </is>
      </c>
      <c r="O45" t="n">
        <v>0.0111</v>
      </c>
    </row>
    <row r="46">
      <c r="A46">
        <f>[2]YData!A46</f>
        <v/>
      </c>
      <c r="B46">
        <f>[2]YData!B46</f>
        <v/>
      </c>
      <c r="C46" s="176">
        <f>VALUE([2]YData!C46)</f>
        <v/>
      </c>
      <c r="D46">
        <f>[2]YData!D46</f>
        <v/>
      </c>
      <c r="E46" s="18">
        <f>[2]YData!E46</f>
        <v/>
      </c>
      <c r="F46" s="22">
        <f>_xlfn.LET(_xlpm.Tick,A46,IFERROR(LEFT(_xlpm.Tick,FIND(".",_xlpm.Tick)-1),_xlpm.Tick))</f>
        <v/>
      </c>
      <c r="G46" t="inlineStr">
        <is>
          <t>UN0</t>
        </is>
      </c>
      <c r="H46" s="22">
        <f t="array" ref="H46">_xlfn.IFS(OR(LEFT(G46,3)="SAF",LEFT(G46,3)="MVE"), RIGHT(G46,LEN(G46)-3),     LEFT(G46,2)="JB",  RIGHT(G46,LEN(G46)-2), TRUE,     G46)</f>
        <v/>
      </c>
      <c r="K46">
        <f>_xlfn.LET(_xlpm.Tick,[2]YData!$A46,IFERROR(LEFT(_xlpm.Tick,FIND(".",_xlpm.Tick)-1),_xlpm.Tick))</f>
        <v/>
      </c>
      <c r="L46" t="n">
        <v>0</v>
      </c>
      <c r="M46" t="n">
        <v>0</v>
      </c>
      <c r="N46" t="n">
        <v>0</v>
      </c>
      <c r="O46" t="n">
        <v>0</v>
      </c>
    </row>
    <row r="47">
      <c r="A47">
        <f>[2]YData!A47</f>
        <v/>
      </c>
      <c r="B47">
        <f>[2]YData!B47</f>
        <v/>
      </c>
      <c r="C47" s="176">
        <f>VALUE([2]YData!C47)</f>
        <v/>
      </c>
      <c r="D47">
        <f>[2]YData!D47</f>
        <v/>
      </c>
      <c r="E47" s="18">
        <f>[2]YData!E47</f>
        <v/>
      </c>
      <c r="F47" s="22">
        <f>_xlfn.LET(_xlpm.Tick,A47,IFERROR(LEFT(_xlpm.Tick,FIND(".",_xlpm.Tick)-1),_xlpm.Tick))</f>
        <v/>
      </c>
      <c r="G47" t="inlineStr">
        <is>
          <t>UNIT</t>
        </is>
      </c>
      <c r="H47" s="22">
        <f t="array" ref="H47">_xlfn.IFS(OR(LEFT(G47,3)="SAF",LEFT(G47,3)="MVE"), RIGHT(G47,LEN(G47)-3),     LEFT(G47,2)="JB",  RIGHT(G47,LEN(G47)-2), TRUE,     G47)</f>
        <v/>
      </c>
      <c r="K47">
        <f>_xlfn.LET(_xlpm.Tick,[2]YData!$A47,IFERROR(LEFT(_xlpm.Tick,FIND(".",_xlpm.Tick)-1),_xlpm.Tick))</f>
        <v/>
      </c>
      <c r="L47" t="n">
        <v>7.42222</v>
      </c>
      <c r="M47" t="n">
        <v>45457</v>
      </c>
      <c r="N47" t="inlineStr">
        <is>
          <t>Nov 4, 2025</t>
        </is>
      </c>
      <c r="O47" t="n">
        <v>0</v>
      </c>
    </row>
    <row r="48">
      <c r="A48">
        <f>[2]YData!A48</f>
        <v/>
      </c>
      <c r="B48">
        <f>[2]YData!B48</f>
        <v/>
      </c>
      <c r="C48" s="176">
        <f>VALUE([2]YData!C48)</f>
        <v/>
      </c>
      <c r="D48">
        <f>[2]YData!D48</f>
        <v/>
      </c>
      <c r="E48" s="18">
        <f>[2]YData!E48</f>
        <v/>
      </c>
      <c r="F48" s="22">
        <f>_xlfn.LET(_xlpm.Tick,A48,IFERROR(LEFT(_xlpm.Tick,FIND(".",_xlpm.Tick)-1),_xlpm.Tick))</f>
        <v/>
      </c>
      <c r="G48" t="inlineStr">
        <is>
          <t>AVGO</t>
        </is>
      </c>
      <c r="H48" s="22">
        <f t="array" ref="H48">_xlfn.IFS(OR(LEFT(G48,3)="SAF",LEFT(G48,3)="MVE"), RIGHT(G48,LEN(G48)-3),     LEFT(G48,2)="JB",  RIGHT(G48,LEN(G48)-2), TRUE,     G48)</f>
        <v/>
      </c>
      <c r="K48">
        <f>_xlfn.LET(_xlpm.Tick,[2]YData!$A48,IFERROR(LEFT(_xlpm.Tick,FIND(".",_xlpm.Tick)-1),_xlpm.Tick))</f>
        <v/>
      </c>
      <c r="L48" t="n">
        <v>392.38165</v>
      </c>
      <c r="M48" t="n">
        <v>45922</v>
      </c>
      <c r="N48" t="inlineStr">
        <is>
          <t>Dec 11, 2025</t>
        </is>
      </c>
      <c r="O48" t="n">
        <v>0.0064</v>
      </c>
    </row>
    <row r="49">
      <c r="A49">
        <f>[2]YData!A49</f>
        <v/>
      </c>
      <c r="B49">
        <f>[2]YData!B49</f>
        <v/>
      </c>
      <c r="C49" s="176">
        <f>VALUE([2]YData!C49)</f>
        <v/>
      </c>
      <c r="D49">
        <f>[2]YData!D49</f>
        <v/>
      </c>
      <c r="E49" s="18">
        <f>[2]YData!E49</f>
        <v/>
      </c>
      <c r="F49" s="22">
        <f>_xlfn.LET(_xlpm.Tick,A49,IFERROR(LEFT(_xlpm.Tick,FIND(".",_xlpm.Tick)-1),_xlpm.Tick))</f>
        <v/>
      </c>
      <c r="G49" t="inlineStr">
        <is>
          <t>VLVLY</t>
        </is>
      </c>
      <c r="H49" s="22">
        <f t="array" ref="H49">_xlfn.IFS(OR(LEFT(G49,3)="SAF",LEFT(G49,3)="MVE"), RIGHT(G49,LEN(G49)-3),     LEFT(G49,2)="JB",  RIGHT(G49,LEN(G49)-2), TRUE,     G49)</f>
        <v/>
      </c>
      <c r="K49">
        <f>_xlfn.LET(_xlpm.Tick,[2]YData!$A49,IFERROR(LEFT(_xlpm.Tick,FIND(".",_xlpm.Tick)-1),_xlpm.Tick))</f>
        <v/>
      </c>
      <c r="L49" t="n">
        <v>34</v>
      </c>
      <c r="M49" t="n">
        <v>45751</v>
      </c>
      <c r="N49" t="n">
        <v>0</v>
      </c>
      <c r="O49" t="n">
        <v>0.0291</v>
      </c>
    </row>
    <row r="50">
      <c r="A50">
        <f>[2]YData!A50</f>
        <v/>
      </c>
      <c r="B50">
        <f>[2]YData!B50</f>
        <v/>
      </c>
      <c r="C50" s="176">
        <f>VALUE([2]YData!C50)</f>
        <v/>
      </c>
      <c r="D50">
        <f>[2]YData!D50</f>
        <v/>
      </c>
      <c r="E50" s="18">
        <f>[2]YData!E50</f>
        <v/>
      </c>
      <c r="F50" s="22">
        <f>_xlfn.LET(_xlpm.Tick,A50,IFERROR(LEFT(_xlpm.Tick,FIND(".",_xlpm.Tick)-1),_xlpm.Tick))</f>
        <v/>
      </c>
      <c r="G50" t="inlineStr">
        <is>
          <t>VONN</t>
        </is>
      </c>
      <c r="H50" s="22">
        <f t="array" ref="H50">_xlfn.IFS(OR(LEFT(G50,3)="SAF",LEFT(G50,3)="MVE"), RIGHT(G50,LEN(G50)-3),     LEFT(G50,2)="JB",  RIGHT(G50,LEN(G50)-2), TRUE,     G50)</f>
        <v/>
      </c>
      <c r="K50">
        <f>_xlfn.LET(_xlpm.Tick,[2]YData!$A50,IFERROR(LEFT(_xlpm.Tick,FIND(".",_xlpm.Tick)-1),_xlpm.Tick))</f>
        <v/>
      </c>
      <c r="L50" t="n">
        <v>61.5</v>
      </c>
      <c r="M50" t="n">
        <v>45751</v>
      </c>
      <c r="N50" t="inlineStr">
        <is>
          <t>--</t>
        </is>
      </c>
      <c r="O50" t="n">
        <v>0.049200002</v>
      </c>
    </row>
    <row r="51">
      <c r="A51">
        <f>[2]YData!A51</f>
        <v/>
      </c>
      <c r="B51">
        <f>[2]YData!B51</f>
        <v/>
      </c>
      <c r="C51" s="176">
        <f>VALUE([2]YData!C51)</f>
        <v/>
      </c>
      <c r="D51">
        <f>[2]YData!D51</f>
        <v/>
      </c>
      <c r="E51" s="18">
        <f>[2]YData!E51</f>
        <v/>
      </c>
      <c r="F51" s="22">
        <f>_xlfn.LET(_xlpm.Tick,A51,IFERROR(LEFT(_xlpm.Tick,FIND(".",_xlpm.Tick)-1),_xlpm.Tick))</f>
        <v/>
      </c>
      <c r="G51" t="inlineStr">
        <is>
          <t>VTRS</t>
        </is>
      </c>
      <c r="H51" s="22">
        <f t="array" ref="H51">_xlfn.IFS(OR(LEFT(G51,3)="SAF",LEFT(G51,3)="MVE"), RIGHT(G51,LEN(G51)-3),     LEFT(G51,2)="JB",  RIGHT(G51,LEN(G51)-2), TRUE,     G51)</f>
        <v/>
      </c>
      <c r="K51">
        <f>_xlfn.LET(_xlpm.Tick,[2]YData!$A51,IFERROR(LEFT(_xlpm.Tick,FIND(".",_xlpm.Tick)-1),_xlpm.Tick))</f>
        <v/>
      </c>
      <c r="L51" t="n">
        <v>12</v>
      </c>
      <c r="M51" t="n">
        <v>45891</v>
      </c>
      <c r="N51" t="inlineStr">
        <is>
          <t>Nov 6, 2025</t>
        </is>
      </c>
      <c r="O51" t="n">
        <v>0.0463</v>
      </c>
    </row>
    <row r="52">
      <c r="A52">
        <f>[2]YData!A52</f>
        <v/>
      </c>
      <c r="B52">
        <f>[2]YData!B52</f>
        <v/>
      </c>
      <c r="C52" s="176">
        <f>VALUE([2]YData!C52)</f>
        <v/>
      </c>
      <c r="D52">
        <f>[2]YData!D52</f>
        <v/>
      </c>
      <c r="E52" s="18">
        <f>[2]YData!E52</f>
        <v/>
      </c>
      <c r="F52" s="22">
        <f>_xlfn.LET(_xlpm.Tick,A52,IFERROR(LEFT(_xlpm.Tick,FIND(".",_xlpm.Tick)-1),_xlpm.Tick))</f>
        <v/>
      </c>
      <c r="G52" t="inlineStr">
        <is>
          <t>WBA</t>
        </is>
      </c>
      <c r="H52" s="22">
        <f t="array" ref="H52">_xlfn.IFS(OR(LEFT(G52,3)="SAF",LEFT(G52,3)="MVE"), RIGHT(G52,LEN(G52)-3),     LEFT(G52,2)="JB",  RIGHT(G52,LEN(G52)-2), TRUE,     G52)</f>
        <v/>
      </c>
      <c r="K52">
        <f>_xlfn.LET(_xlpm.Tick,[2]YData!$A52,IFERROR(LEFT(_xlpm.Tick,FIND(".",_xlpm.Tick)-1),_xlpm.Tick))</f>
        <v/>
      </c>
      <c r="L52" t="n">
        <v>0</v>
      </c>
      <c r="M52" t="n">
        <v>0</v>
      </c>
      <c r="N52" t="n">
        <v>0</v>
      </c>
      <c r="O52" t="n">
        <v>0</v>
      </c>
    </row>
    <row r="53">
      <c r="A53">
        <f>[2]YData!A53</f>
        <v/>
      </c>
      <c r="B53">
        <f>[2]YData!B53</f>
        <v/>
      </c>
      <c r="C53" s="176">
        <f>VALUE([2]YData!C53)</f>
        <v/>
      </c>
      <c r="D53">
        <f>[2]YData!D53</f>
        <v/>
      </c>
      <c r="E53" s="18">
        <f>[2]YData!E53</f>
        <v/>
      </c>
      <c r="F53" s="22">
        <f>_xlfn.LET(_xlpm.Tick,A53,IFERROR(LEFT(_xlpm.Tick,FIND(".",_xlpm.Tick)-1),_xlpm.Tick))</f>
        <v/>
      </c>
      <c r="G53" t="inlineStr">
        <is>
          <t>XOM</t>
        </is>
      </c>
      <c r="H53" s="22">
        <f t="array" ref="H53">_xlfn.IFS(OR(LEFT(G53,3)="SAF",LEFT(G53,3)="MVE"), RIGHT(G53,LEN(G53)-3),     LEFT(G53,2)="JB",  RIGHT(G53,LEN(G53)-2), TRUE,     G53)</f>
        <v/>
      </c>
      <c r="K53">
        <f>_xlfn.LET(_xlpm.Tick,[2]YData!$A53,IFERROR(LEFT(_xlpm.Tick,FIND(".",_xlpm.Tick)-1),_xlpm.Tick))</f>
        <v/>
      </c>
      <c r="L53" t="n">
        <v>126.88</v>
      </c>
      <c r="M53" t="n">
        <v>45975</v>
      </c>
      <c r="N53" t="inlineStr">
        <is>
          <t>Jan 30, 2026</t>
        </is>
      </c>
      <c r="O53" t="n">
        <v>0.0346</v>
      </c>
    </row>
    <row r="54">
      <c r="A54">
        <f>[2]YData!A54</f>
        <v/>
      </c>
      <c r="B54">
        <f>[2]YData!B54</f>
        <v/>
      </c>
      <c r="C54" s="176">
        <f>VALUE([2]YData!C54)</f>
        <v/>
      </c>
      <c r="D54">
        <f>[2]YData!D54</f>
        <v/>
      </c>
      <c r="E54" s="18">
        <f>[2]YData!E54</f>
        <v/>
      </c>
      <c r="F54" s="22">
        <f>_xlfn.LET(_xlpm.Tick,A54,IFERROR(LEFT(_xlpm.Tick,FIND(".",_xlpm.Tick)-1),_xlpm.Tick))</f>
        <v/>
      </c>
      <c r="G54" t="inlineStr">
        <is>
          <t>XPER</t>
        </is>
      </c>
      <c r="H54" s="22">
        <f t="array" ref="H54">_xlfn.IFS(OR(LEFT(G54,3)="SAF",LEFT(G54,3)="MVE"), RIGHT(G54,LEN(G54)-3),     LEFT(G54,2)="JB",  RIGHT(G54,LEN(G54)-2), TRUE,     G54)</f>
        <v/>
      </c>
      <c r="K54">
        <f>_xlfn.LET(_xlpm.Tick,[2]YData!$A54,IFERROR(LEFT(_xlpm.Tick,FIND(".",_xlpm.Tick)-1),_xlpm.Tick))</f>
        <v/>
      </c>
      <c r="L54" t="n">
        <v>11.4</v>
      </c>
      <c r="M54" t="n">
        <v>0</v>
      </c>
      <c r="N54" t="n">
        <v>0</v>
      </c>
      <c r="O54" t="n">
        <v>0</v>
      </c>
    </row>
    <row r="55">
      <c r="A55">
        <f>[2]YData!A55</f>
        <v/>
      </c>
      <c r="B55">
        <f>[2]YData!B55</f>
        <v/>
      </c>
      <c r="C55" s="176">
        <f>VALUE([2]YData!C55)</f>
        <v/>
      </c>
      <c r="D55">
        <f>[2]YData!D55</f>
        <v/>
      </c>
      <c r="E55" s="18">
        <f>[2]YData!E55</f>
        <v/>
      </c>
      <c r="F55" s="22">
        <f>_xlfn.LET(_xlpm.Tick,A55,IFERROR(LEFT(_xlpm.Tick,FIND(".",_xlpm.Tick)-1),_xlpm.Tick))</f>
        <v/>
      </c>
      <c r="G55" t="inlineStr">
        <is>
          <t>MVEALDNE</t>
        </is>
      </c>
      <c r="H55" s="22">
        <f t="array" ref="H55">_xlfn.IFS(OR(LEFT(G55,3)="SAF",LEFT(G55,3)="MVE"), RIGHT(G55,LEN(G55)-3),     LEFT(G55,2)="JB",  RIGHT(G55,LEN(G55)-2), TRUE,     G55)</f>
        <v/>
      </c>
      <c r="K55">
        <f>_xlfn.LET(_xlpm.Tick,[2]YData!$A55,IFERROR(LEFT(_xlpm.Tick,FIND(".",_xlpm.Tick)-1),_xlpm.Tick))</f>
        <v/>
      </c>
      <c r="L55" t="n">
        <v>1.53333</v>
      </c>
      <c r="M55" t="n">
        <v>0</v>
      </c>
      <c r="N55" t="n">
        <v>0</v>
      </c>
      <c r="O55" t="n">
        <v>0</v>
      </c>
    </row>
    <row r="56">
      <c r="A56">
        <f>[2]YData!A56</f>
        <v/>
      </c>
      <c r="B56">
        <f>[2]YData!B56</f>
        <v/>
      </c>
      <c r="C56" s="176">
        <f>VALUE([2]YData!C56)</f>
        <v/>
      </c>
      <c r="D56">
        <f>[2]YData!D56</f>
        <v/>
      </c>
      <c r="E56" s="18">
        <f>[2]YData!E56</f>
        <v/>
      </c>
      <c r="F56" s="22">
        <f>_xlfn.LET(_xlpm.Tick,A56,IFERROR(LEFT(_xlpm.Tick,FIND(".",_xlpm.Tick)-1),_xlpm.Tick))</f>
        <v/>
      </c>
      <c r="G56" t="inlineStr">
        <is>
          <t>MVEDDD</t>
        </is>
      </c>
      <c r="H56" s="22">
        <f t="array" ref="H56">_xlfn.IFS(OR(LEFT(G56,3)="SAF",LEFT(G56,3)="MVE"), RIGHT(G56,LEN(G56)-3),     LEFT(G56,2)="JB",  RIGHT(G56,LEN(G56)-2), TRUE,     G56)</f>
        <v/>
      </c>
      <c r="K56">
        <f>_xlfn.LET(_xlpm.Tick,[2]YData!$A56,IFERROR(LEFT(_xlpm.Tick,FIND(".",_xlpm.Tick)-1),_xlpm.Tick))</f>
        <v/>
      </c>
      <c r="L56" t="n">
        <v>3.25</v>
      </c>
      <c r="M56" t="n">
        <v>0</v>
      </c>
      <c r="N56" t="inlineStr">
        <is>
          <t>Nov 4, 2025</t>
        </is>
      </c>
      <c r="O56" t="n">
        <v>0</v>
      </c>
    </row>
    <row r="57">
      <c r="A57">
        <f>[2]YData!A57</f>
        <v/>
      </c>
      <c r="B57">
        <f>[2]YData!B57</f>
        <v/>
      </c>
      <c r="C57" s="176">
        <f>VALUE([2]YData!C57)</f>
        <v/>
      </c>
      <c r="D57">
        <f>[2]YData!D57</f>
        <v/>
      </c>
      <c r="E57" s="18">
        <f>[2]YData!E57</f>
        <v/>
      </c>
      <c r="F57" s="22">
        <f>_xlfn.LET(_xlpm.Tick,A57,IFERROR(LEFT(_xlpm.Tick,FIND(".",_xlpm.Tick)-1),_xlpm.Tick))</f>
        <v/>
      </c>
      <c r="G57" t="inlineStr">
        <is>
          <t>MVEDSY</t>
        </is>
      </c>
      <c r="H57" s="22">
        <f t="array" ref="H57">_xlfn.IFS(OR(LEFT(G57,3)="SAF",LEFT(G57,3)="MVE"), RIGHT(G57,LEN(G57)-3),     LEFT(G57,2)="JB",  RIGHT(G57,LEN(G57)-2), TRUE,     G57)</f>
        <v/>
      </c>
      <c r="K57">
        <f>_xlfn.LET(_xlpm.Tick,[2]YData!$A57,IFERROR(LEFT(_xlpm.Tick,FIND(".",_xlpm.Tick)-1),_xlpm.Tick))</f>
        <v/>
      </c>
      <c r="L57" t="n">
        <v>31.87778</v>
      </c>
      <c r="M57" t="n">
        <v>45803</v>
      </c>
      <c r="N57" t="n">
        <v>0</v>
      </c>
      <c r="O57" t="n">
        <v>0.0106</v>
      </c>
    </row>
    <row r="58">
      <c r="A58">
        <f>[2]YData!A58</f>
        <v/>
      </c>
      <c r="B58">
        <f>[2]YData!B58</f>
        <v/>
      </c>
      <c r="C58" s="176">
        <f>VALUE([2]YData!C58)</f>
        <v/>
      </c>
      <c r="D58">
        <f>[2]YData!D58</f>
        <v/>
      </c>
      <c r="E58" s="18">
        <f>[2]YData!E58</f>
        <v/>
      </c>
      <c r="F58" s="22">
        <f>_xlfn.LET(_xlpm.Tick,A58,IFERROR(LEFT(_xlpm.Tick,FIND(".",_xlpm.Tick)-1),_xlpm.Tick))</f>
        <v/>
      </c>
      <c r="G58" t="inlineStr">
        <is>
          <t>MVEEOAN</t>
        </is>
      </c>
      <c r="H58" s="22">
        <f t="array" ref="H58">_xlfn.IFS(OR(LEFT(G58,3)="SAF",LEFT(G58,3)="MVE"), RIGHT(G58,LEN(G58)-3),     LEFT(G58,2)="JB",  RIGHT(G58,LEN(G58)-2), TRUE,     G58)</f>
        <v/>
      </c>
      <c r="K58">
        <f>_xlfn.LET(_xlpm.Tick,[2]YData!$A58,IFERROR(LEFT(_xlpm.Tick,FIND(".",_xlpm.Tick)-1),_xlpm.Tick))</f>
        <v/>
      </c>
      <c r="L58" t="n">
        <v>16.91959</v>
      </c>
      <c r="M58" t="n">
        <v>45793</v>
      </c>
      <c r="N58" t="n">
        <v>0</v>
      </c>
      <c r="O58" t="n">
        <v>0.0341</v>
      </c>
    </row>
    <row r="59">
      <c r="A59">
        <f>[2]YData!A59</f>
        <v/>
      </c>
      <c r="B59">
        <f>[2]YData!B59</f>
        <v/>
      </c>
      <c r="C59" s="176">
        <f>VALUE([2]YData!C59)</f>
        <v/>
      </c>
      <c r="D59">
        <f>[2]YData!D59</f>
        <v/>
      </c>
      <c r="E59" s="18">
        <f>[2]YData!E59</f>
        <v/>
      </c>
      <c r="F59" s="22">
        <f>_xlfn.LET(_xlpm.Tick,A59,IFERROR(LEFT(_xlpm.Tick,FIND(".",_xlpm.Tick)-1),_xlpm.Tick))</f>
        <v/>
      </c>
      <c r="G59" t="inlineStr">
        <is>
          <t>MVEENI</t>
        </is>
      </c>
      <c r="H59" s="22">
        <f t="array" ref="H59">_xlfn.IFS(OR(LEFT(G59,3)="SAF",LEFT(G59,3)="MVE"), RIGHT(G59,LEN(G59)-3),     LEFT(G59,2)="JB",  RIGHT(G59,LEN(G59)-2), TRUE,     G59)</f>
        <v/>
      </c>
      <c r="K59">
        <f>_xlfn.LET(_xlpm.Tick,[2]YData!$A59,IFERROR(LEFT(_xlpm.Tick,FIND(".",_xlpm.Tick)-1),_xlpm.Tick))</f>
        <v/>
      </c>
      <c r="L59" t="n">
        <v>16.12273</v>
      </c>
      <c r="M59" t="n">
        <v>45985</v>
      </c>
      <c r="N59" t="n">
        <v>0</v>
      </c>
      <c r="O59" t="n">
        <v>0.06519999999999999</v>
      </c>
    </row>
    <row r="60">
      <c r="A60">
        <f>[2]YData!A60</f>
        <v/>
      </c>
      <c r="B60">
        <f>[2]YData!B60</f>
        <v/>
      </c>
      <c r="C60" s="176">
        <f>VALUE([2]YData!C60)</f>
        <v/>
      </c>
      <c r="D60">
        <f>[2]YData!D60</f>
        <v/>
      </c>
      <c r="E60" s="18">
        <f>[2]YData!E60</f>
        <v/>
      </c>
      <c r="F60" s="22">
        <f>_xlfn.LET(_xlpm.Tick,A60,IFERROR(LEFT(_xlpm.Tick,FIND(".",_xlpm.Tick)-1),_xlpm.Tick))</f>
        <v/>
      </c>
      <c r="G60" t="inlineStr">
        <is>
          <t>MVEEPIX</t>
        </is>
      </c>
      <c r="H60" s="22">
        <f t="array" ref="H60">_xlfn.IFS(OR(LEFT(G60,3)="SAF",LEFT(G60,3)="MVE"), RIGHT(G60,LEN(G60)-3),     LEFT(G60,2)="JB",  RIGHT(G60,LEN(G60)-2), TRUE,     G60)</f>
        <v/>
      </c>
      <c r="K60">
        <f>_xlfn.LET(_xlpm.Tick,[2]YData!$A60,IFERROR(LEFT(_xlpm.Tick,FIND(".",_xlpm.Tick)-1),_xlpm.Tick))</f>
        <v/>
      </c>
      <c r="L60" t="n">
        <v>0</v>
      </c>
      <c r="M60" t="n">
        <v>45894</v>
      </c>
      <c r="N60" t="n">
        <v>0</v>
      </c>
      <c r="O60" t="n">
        <v>0</v>
      </c>
    </row>
    <row r="61">
      <c r="A61">
        <f>[2]YData!A61</f>
        <v/>
      </c>
      <c r="B61">
        <f>[2]YData!B61</f>
        <v/>
      </c>
      <c r="C61" s="176">
        <f>VALUE([2]YData!C61)</f>
        <v/>
      </c>
      <c r="D61">
        <f>[2]YData!D61</f>
        <v/>
      </c>
      <c r="E61" s="18">
        <f>[2]YData!E61</f>
        <v/>
      </c>
      <c r="F61" s="22">
        <f>_xlfn.LET(_xlpm.Tick,A61,IFERROR(LEFT(_xlpm.Tick,FIND(".",_xlpm.Tick)-1),_xlpm.Tick))</f>
        <v/>
      </c>
      <c r="G61" t="inlineStr">
        <is>
          <t>MVEGLE</t>
        </is>
      </c>
      <c r="H61" s="22">
        <f t="array" ref="H61">_xlfn.IFS(OR(LEFT(G61,3)="SAF",LEFT(G61,3)="MVE"), RIGHT(G61,LEN(G61)-3),     LEFT(G61,2)="JB",  RIGHT(G61,LEN(G61)-2), TRUE,     G61)</f>
        <v/>
      </c>
      <c r="K61">
        <f>_xlfn.LET(_xlpm.Tick,[2]YData!$A61,IFERROR(LEFT(_xlpm.Tick,FIND(".",_xlpm.Tick)-1),_xlpm.Tick))</f>
        <v/>
      </c>
      <c r="L61" t="n">
        <v>64.68611</v>
      </c>
      <c r="M61" t="n">
        <v>45937</v>
      </c>
      <c r="N61" t="inlineStr">
        <is>
          <t>Oct 30, 2025</t>
        </is>
      </c>
      <c r="O61" t="n">
        <v>0.031</v>
      </c>
    </row>
    <row r="62">
      <c r="A62">
        <f>[2]YData!A62</f>
        <v/>
      </c>
      <c r="B62">
        <f>[2]YData!B62</f>
        <v/>
      </c>
      <c r="C62" s="176">
        <f>VALUE([2]YData!C62)</f>
        <v/>
      </c>
      <c r="D62">
        <f>[2]YData!D62</f>
        <v/>
      </c>
      <c r="E62" s="18">
        <f>[2]YData!E62</f>
        <v/>
      </c>
      <c r="F62" s="22">
        <f>_xlfn.LET(_xlpm.Tick,A62,IFERROR(LEFT(_xlpm.Tick,FIND(".",_xlpm.Tick)-1),_xlpm.Tick))</f>
        <v/>
      </c>
      <c r="G62" t="inlineStr">
        <is>
          <t>MVEORA</t>
        </is>
      </c>
      <c r="H62" s="22">
        <f t="array" ref="H62">_xlfn.IFS(OR(LEFT(G62,3)="SAF",LEFT(G62,3)="MVE"), RIGHT(G62,LEN(G62)-3),     LEFT(G62,2)="JB",  RIGHT(G62,LEN(G62)-2), TRUE,     G62)</f>
        <v/>
      </c>
      <c r="K62">
        <f>_xlfn.LET(_xlpm.Tick,[2]YData!$A62,IFERROR(LEFT(_xlpm.Tick,FIND(".",_xlpm.Tick)-1),_xlpm.Tick))</f>
        <v/>
      </c>
      <c r="L62" t="n">
        <v>15.32222</v>
      </c>
      <c r="M62" t="n">
        <v>45993</v>
      </c>
      <c r="N62" t="n">
        <v>0</v>
      </c>
      <c r="O62" t="n">
        <v>0.0542</v>
      </c>
    </row>
    <row r="63">
      <c r="A63">
        <f>[2]YData!A63</f>
        <v/>
      </c>
      <c r="B63">
        <f>[2]YData!B63</f>
        <v/>
      </c>
      <c r="C63" s="176">
        <f>VALUE([2]YData!C63)</f>
        <v/>
      </c>
      <c r="D63">
        <f>[2]YData!D63</f>
        <v/>
      </c>
      <c r="E63" s="18">
        <f>[2]YData!E63</f>
        <v/>
      </c>
      <c r="F63" s="22">
        <f>_xlfn.LET(_xlpm.Tick,A63,IFERROR(LEFT(_xlpm.Tick,FIND(".",_xlpm.Tick)-1),_xlpm.Tick))</f>
        <v/>
      </c>
      <c r="G63" t="inlineStr">
        <is>
          <t>MVERWE</t>
        </is>
      </c>
      <c r="H63" s="22">
        <f t="array" ref="H63">_xlfn.IFS(OR(LEFT(G63,3)="SAF",LEFT(G63,3)="MVE"), RIGHT(G63,LEN(G63)-3),     LEFT(G63,2)="JB",  RIGHT(G63,LEN(G63)-2), TRUE,     G63)</f>
        <v/>
      </c>
      <c r="K63">
        <f>_xlfn.LET(_xlpm.Tick,[2]YData!$A63,IFERROR(LEFT(_xlpm.Tick,FIND(".",_xlpm.Tick)-1),_xlpm.Tick))</f>
        <v/>
      </c>
      <c r="L63" t="n">
        <v>44.74706</v>
      </c>
      <c r="M63" t="n">
        <v>45779</v>
      </c>
      <c r="N63" t="n">
        <v>0</v>
      </c>
      <c r="O63" t="n">
        <v>0.025799999</v>
      </c>
    </row>
    <row r="64">
      <c r="A64">
        <f>[2]YData!A64</f>
        <v/>
      </c>
      <c r="B64">
        <f>[2]YData!B64</f>
        <v/>
      </c>
      <c r="C64" s="176">
        <f>VALUE([2]YData!C64)</f>
        <v/>
      </c>
      <c r="D64">
        <f>[2]YData!D64</f>
        <v/>
      </c>
      <c r="E64" s="18">
        <f>[2]YData!E64</f>
        <v/>
      </c>
      <c r="F64" s="22">
        <f>_xlfn.LET(_xlpm.Tick,A64,IFERROR(LEFT(_xlpm.Tick,FIND(".",_xlpm.Tick)-1),_xlpm.Tick))</f>
        <v/>
      </c>
      <c r="G64" t="inlineStr">
        <is>
          <t>MVESAP</t>
        </is>
      </c>
      <c r="H64" s="22">
        <f t="array" ref="H64">_xlfn.IFS(OR(LEFT(G64,3)="SAF",LEFT(G64,3)="MVE"), RIGHT(G64,LEN(G64)-3),     LEFT(G64,2)="JB",  RIGHT(G64,LEN(G64)-2), TRUE,     G64)</f>
        <v/>
      </c>
      <c r="K64">
        <f>_xlfn.LET(_xlpm.Tick,[2]YData!$A64,IFERROR(LEFT(_xlpm.Tick,FIND(".",_xlpm.Tick)-1),_xlpm.Tick))</f>
        <v/>
      </c>
      <c r="L64" t="n">
        <v>288.6668</v>
      </c>
      <c r="M64" t="n">
        <v>45791</v>
      </c>
      <c r="N64" t="n">
        <v>0</v>
      </c>
      <c r="O64" t="n">
        <v>0.0105</v>
      </c>
    </row>
    <row r="65">
      <c r="A65">
        <f>[2]YData!A65</f>
        <v/>
      </c>
      <c r="B65">
        <f>[2]YData!B65</f>
        <v/>
      </c>
      <c r="C65" s="176">
        <f>VALUE([2]YData!C65)</f>
        <v/>
      </c>
      <c r="D65">
        <f>[2]YData!D65</f>
        <v/>
      </c>
      <c r="E65" s="18">
        <f>[2]YData!E65</f>
        <v/>
      </c>
      <c r="F65" s="22">
        <f>_xlfn.LET(_xlpm.Tick,A65,IFERROR(LEFT(_xlpm.Tick,FIND(".",_xlpm.Tick)-1),_xlpm.Tick))</f>
        <v/>
      </c>
      <c r="G65" t="inlineStr">
        <is>
          <t>MVEUN0</t>
        </is>
      </c>
      <c r="H65" s="22">
        <f t="array" ref="H65">_xlfn.IFS(OR(LEFT(G65,3)="SAF",LEFT(G65,3)="MVE"), RIGHT(G65,LEN(G65)-3),     LEFT(G65,2)="JB",  RIGHT(G65,LEN(G65)-2), TRUE,     G65)</f>
        <v/>
      </c>
      <c r="K65">
        <f>_xlfn.LET(_xlpm.Tick,[2]YData!$A65,IFERROR(LEFT(_xlpm.Tick,FIND(".",_xlpm.Tick)-1),_xlpm.Tick))</f>
        <v/>
      </c>
      <c r="L65" t="n">
        <v>0</v>
      </c>
      <c r="M65" t="n">
        <v>0</v>
      </c>
      <c r="N65" t="n">
        <v>0</v>
      </c>
      <c r="O65" t="n">
        <v>0</v>
      </c>
    </row>
    <row r="66">
      <c r="A66">
        <f>[2]YData!A66</f>
        <v/>
      </c>
      <c r="B66">
        <f>[2]YData!B66</f>
        <v/>
      </c>
      <c r="C66" s="176">
        <f>VALUE([2]YData!C66)</f>
        <v/>
      </c>
      <c r="D66">
        <f>[2]YData!D66</f>
        <v/>
      </c>
      <c r="E66" s="18">
        <f>[2]YData!E66</f>
        <v/>
      </c>
      <c r="F66" s="22">
        <f>_xlfn.LET(_xlpm.Tick,A66,IFERROR(LEFT(_xlpm.Tick,FIND(".",_xlpm.Tick)-1),_xlpm.Tick))</f>
        <v/>
      </c>
      <c r="G66" t="inlineStr">
        <is>
          <t>SAFAAPL</t>
        </is>
      </c>
      <c r="H66" s="22">
        <f t="array" ref="H66">_xlfn.IFS(OR(LEFT(G66,3)="SAF",LEFT(G66,3)="MVE"), RIGHT(G66,LEN(G66)-3),     LEFT(G66,2)="JB",  RIGHT(G66,LEN(G66)-2), TRUE,     G66)</f>
        <v/>
      </c>
      <c r="K66">
        <f>_xlfn.LET(_xlpm.Tick,[2]YData!$A66,IFERROR(LEFT(_xlpm.Tick,FIND(".",_xlpm.Tick)-1),_xlpm.Tick))</f>
        <v/>
      </c>
      <c r="L66" t="n">
        <v>276.43097</v>
      </c>
      <c r="M66" t="n">
        <v>45971</v>
      </c>
      <c r="N66" t="inlineStr">
        <is>
          <t>Jan 29, 2026</t>
        </is>
      </c>
      <c r="O66" t="n">
        <v>0.0038</v>
      </c>
    </row>
    <row r="67">
      <c r="A67">
        <f>[2]YData!A67</f>
        <v/>
      </c>
      <c r="B67">
        <f>[2]YData!B67</f>
        <v/>
      </c>
      <c r="C67" s="176">
        <f>VALUE([2]YData!C67)</f>
        <v/>
      </c>
      <c r="D67">
        <f>[2]YData!D67</f>
        <v/>
      </c>
      <c r="E67" s="18">
        <f>[2]YData!E67</f>
        <v/>
      </c>
      <c r="F67" s="22">
        <f>_xlfn.LET(_xlpm.Tick,A67,IFERROR(LEFT(_xlpm.Tick,FIND(".",_xlpm.Tick)-1),_xlpm.Tick))</f>
        <v/>
      </c>
      <c r="G67" t="inlineStr">
        <is>
          <t>SAFAMZN</t>
        </is>
      </c>
      <c r="H67" s="22">
        <f t="array" ref="H67">_xlfn.IFS(OR(LEFT(G67,3)="SAF",LEFT(G67,3)="MVE"), RIGHT(G67,LEN(G67)-3),     LEFT(G67,2)="JB",  RIGHT(G67,LEN(G67)-2), TRUE,     G67)</f>
        <v/>
      </c>
      <c r="K67">
        <f>_xlfn.LET(_xlpm.Tick,[2]YData!$A67,IFERROR(LEFT(_xlpm.Tick,FIND(".",_xlpm.Tick)-1),_xlpm.Tick))</f>
        <v/>
      </c>
      <c r="L67" t="n">
        <v>288.4241</v>
      </c>
      <c r="M67" t="n">
        <v>0</v>
      </c>
      <c r="N67" t="inlineStr">
        <is>
          <t>Oct 30, 2025</t>
        </is>
      </c>
      <c r="O67" t="n">
        <v>0</v>
      </c>
    </row>
    <row r="68">
      <c r="A68">
        <f>[2]YData!A68</f>
        <v/>
      </c>
      <c r="B68">
        <f>[2]YData!B68</f>
        <v/>
      </c>
      <c r="C68" s="176">
        <f>VALUE([2]YData!C68)</f>
        <v/>
      </c>
      <c r="D68">
        <f>[2]YData!D68</f>
        <v/>
      </c>
      <c r="E68" s="18">
        <f>[2]YData!E68</f>
        <v/>
      </c>
      <c r="F68" s="22">
        <f>_xlfn.LET(_xlpm.Tick,A68,IFERROR(LEFT(_xlpm.Tick,FIND(".",_xlpm.Tick)-1),_xlpm.Tick))</f>
        <v/>
      </c>
      <c r="G68" t="inlineStr">
        <is>
          <t>SAFASML</t>
        </is>
      </c>
      <c r="H68" s="22">
        <f t="array" ref="H68">_xlfn.IFS(OR(LEFT(G68,3)="SAF",LEFT(G68,3)="MVE"), RIGHT(G68,LEN(G68)-3),     LEFT(G68,2)="JB",  RIGHT(G68,LEN(G68)-2), TRUE,     G68)</f>
        <v/>
      </c>
      <c r="K68">
        <f>_xlfn.LET(_xlpm.Tick,[2]YData!$A68,IFERROR(LEFT(_xlpm.Tick,FIND(".",_xlpm.Tick)-1),_xlpm.Tick))</f>
        <v/>
      </c>
      <c r="L68" t="n">
        <v>941.90326</v>
      </c>
      <c r="M68" t="n">
        <v>45958</v>
      </c>
      <c r="N68" t="n">
        <v>0</v>
      </c>
      <c r="O68" t="n">
        <v>0.0069999998</v>
      </c>
    </row>
    <row r="69">
      <c r="A69">
        <f>[2]YData!A69</f>
        <v/>
      </c>
      <c r="B69">
        <f>[2]YData!B69</f>
        <v/>
      </c>
      <c r="C69" s="176">
        <f>VALUE([2]YData!C69)</f>
        <v/>
      </c>
      <c r="D69">
        <f>[2]YData!D69</f>
        <v/>
      </c>
      <c r="E69" s="18">
        <f>[2]YData!E69</f>
        <v/>
      </c>
      <c r="F69" s="22">
        <f>_xlfn.LET(_xlpm.Tick,A69,IFERROR(LEFT(_xlpm.Tick,FIND(".",_xlpm.Tick)-1),_xlpm.Tick))</f>
        <v/>
      </c>
      <c r="G69" t="inlineStr">
        <is>
          <t>SAFDDD</t>
        </is>
      </c>
      <c r="H69" s="22">
        <f t="array" ref="H69">_xlfn.IFS(OR(LEFT(G69,3)="SAF",LEFT(G69,3)="MVE"), RIGHT(G69,LEN(G69)-3),     LEFT(G69,2)="JB",  RIGHT(G69,LEN(G69)-2), TRUE,     G69)</f>
        <v/>
      </c>
      <c r="K69">
        <f>_xlfn.LET(_xlpm.Tick,[2]YData!$A69,IFERROR(LEFT(_xlpm.Tick,FIND(".",_xlpm.Tick)-1),_xlpm.Tick))</f>
        <v/>
      </c>
      <c r="L69" t="n">
        <v>3.25</v>
      </c>
      <c r="M69" t="n">
        <v>0</v>
      </c>
      <c r="N69" t="inlineStr">
        <is>
          <t>Nov 4, 2025</t>
        </is>
      </c>
      <c r="O69" t="n">
        <v>0</v>
      </c>
    </row>
    <row r="70">
      <c r="A70">
        <f>[2]YData!A70</f>
        <v/>
      </c>
      <c r="B70">
        <f>[2]YData!B70</f>
        <v/>
      </c>
      <c r="C70" s="176">
        <f>VALUE([2]YData!C70)</f>
        <v/>
      </c>
      <c r="D70">
        <f>[2]YData!D70</f>
        <v/>
      </c>
      <c r="E70" s="18">
        <f>[2]YData!E70</f>
        <v/>
      </c>
      <c r="F70" s="22">
        <f>_xlfn.LET(_xlpm.Tick,A70,IFERROR(LEFT(_xlpm.Tick,FIND(".",_xlpm.Tick)-1),_xlpm.Tick))</f>
        <v/>
      </c>
      <c r="G70" t="inlineStr">
        <is>
          <t>SAFDIS</t>
        </is>
      </c>
      <c r="H70" s="22">
        <f t="array" ref="H70">_xlfn.IFS(OR(LEFT(G70,3)="SAF",LEFT(G70,3)="MVE"), RIGHT(G70,LEN(G70)-3),     LEFT(G70,2)="JB",  RIGHT(G70,LEN(G70)-2), TRUE,     G70)</f>
        <v/>
      </c>
      <c r="K70">
        <f>_xlfn.LET(_xlpm.Tick,[2]YData!$A70,IFERROR(LEFT(_xlpm.Tick,FIND(".",_xlpm.Tick)-1),_xlpm.Tick))</f>
        <v/>
      </c>
      <c r="L70" t="n">
        <v>134.0724</v>
      </c>
      <c r="M70" t="n">
        <v>45832</v>
      </c>
      <c r="N70" t="inlineStr">
        <is>
          <t>Nov 13, 2025</t>
        </is>
      </c>
      <c r="O70" t="n">
        <v>0.0089</v>
      </c>
    </row>
    <row r="71">
      <c r="A71">
        <f>[2]YData!A71</f>
        <v/>
      </c>
      <c r="B71">
        <f>[2]YData!B71</f>
        <v/>
      </c>
      <c r="C71" s="176">
        <f>VALUE([2]YData!C71)</f>
        <v/>
      </c>
      <c r="D71">
        <f>[2]YData!D71</f>
        <v/>
      </c>
      <c r="E71" s="18">
        <f>[2]YData!E71</f>
        <v/>
      </c>
      <c r="F71" s="22">
        <f>_xlfn.LET(_xlpm.Tick,A71,IFERROR(LEFT(_xlpm.Tick,FIND(".",_xlpm.Tick)-1),_xlpm.Tick))</f>
        <v/>
      </c>
      <c r="G71" t="inlineStr">
        <is>
          <t>SAFGM</t>
        </is>
      </c>
      <c r="H71" s="22">
        <f t="array" ref="H71">_xlfn.IFS(OR(LEFT(G71,3)="SAF",LEFT(G71,3)="MVE"), RIGHT(G71,LEN(G71)-3),     LEFT(G71,2)="JB",  RIGHT(G71,LEN(G71)-2), TRUE,     G71)</f>
        <v/>
      </c>
      <c r="K71">
        <f>_xlfn.LET(_xlpm.Tick,[2]YData!$A71,IFERROR(LEFT(_xlpm.Tick,FIND(".",_xlpm.Tick)-1),_xlpm.Tick))</f>
        <v/>
      </c>
      <c r="L71" t="n">
        <v>73.15385000000001</v>
      </c>
      <c r="M71" t="n">
        <v>45996</v>
      </c>
      <c r="N71" t="inlineStr">
        <is>
          <t>Oct 21, 2025</t>
        </is>
      </c>
      <c r="O71" t="n">
        <v>0.008699999999999999</v>
      </c>
    </row>
    <row r="72">
      <c r="A72">
        <f>[2]YData!A72</f>
        <v/>
      </c>
      <c r="B72">
        <f>[2]YData!B72</f>
        <v/>
      </c>
      <c r="C72" s="176">
        <f>VALUE([2]YData!C72)</f>
        <v/>
      </c>
      <c r="D72">
        <f>[2]YData!D72</f>
        <v/>
      </c>
      <c r="E72" s="18">
        <f>[2]YData!E72</f>
        <v/>
      </c>
      <c r="F72" s="22">
        <f>_xlfn.LET(_xlpm.Tick,A72,IFERROR(LEFT(_xlpm.Tick,FIND(".",_xlpm.Tick)-1),_xlpm.Tick))</f>
        <v/>
      </c>
      <c r="G72" t="inlineStr">
        <is>
          <t>SAFIAG</t>
        </is>
      </c>
      <c r="H72" s="22">
        <f t="array" ref="H72">_xlfn.IFS(OR(LEFT(G72,3)="SAF",LEFT(G72,3)="MVE"), RIGHT(G72,LEN(G72)-3),     LEFT(G72,2)="JB",  RIGHT(G72,LEN(G72)-2), TRUE,     G72)</f>
        <v/>
      </c>
      <c r="K72">
        <f>_xlfn.LET(_xlpm.Tick,[2]YData!$A72,IFERROR(LEFT(_xlpm.Tick,FIND(".",_xlpm.Tick)-1),_xlpm.Tick))</f>
        <v/>
      </c>
      <c r="L72" t="n">
        <v>464.0942</v>
      </c>
      <c r="M72" t="n">
        <v>45834</v>
      </c>
      <c r="N72" t="n">
        <v>0</v>
      </c>
      <c r="O72" t="n">
        <v>0.0183</v>
      </c>
    </row>
    <row r="73">
      <c r="A73">
        <f>[2]YData!A73</f>
        <v/>
      </c>
      <c r="B73">
        <f>[2]YData!B73</f>
        <v/>
      </c>
      <c r="C73" s="176">
        <f>VALUE([2]YData!C73)</f>
        <v/>
      </c>
      <c r="D73">
        <f>[2]YData!D73</f>
        <v/>
      </c>
      <c r="E73" s="18">
        <f>[2]YData!E73</f>
        <v/>
      </c>
      <c r="F73" s="22">
        <f>_xlfn.LET(_xlpm.Tick,A73,IFERROR(LEFT(_xlpm.Tick,FIND(".",_xlpm.Tick)-1),_xlpm.Tick))</f>
        <v/>
      </c>
      <c r="G73" t="inlineStr">
        <is>
          <t>SAFMRNA</t>
        </is>
      </c>
      <c r="H73" s="22">
        <f t="array" ref="H73">_xlfn.IFS(OR(LEFT(G73,3)="SAF",LEFT(G73,3)="MVE"), RIGHT(G73,LEN(G73)-3),     LEFT(G73,2)="JB",  RIGHT(G73,LEN(G73)-2), TRUE,     G73)</f>
        <v/>
      </c>
      <c r="K73">
        <f>_xlfn.LET(_xlpm.Tick,[2]YData!$A73,IFERROR(LEFT(_xlpm.Tick,FIND(".",_xlpm.Tick)-1),_xlpm.Tick))</f>
        <v/>
      </c>
      <c r="L73" t="n">
        <v>40.3</v>
      </c>
      <c r="M73" t="n">
        <v>0</v>
      </c>
      <c r="N73" t="inlineStr">
        <is>
          <t>Nov 6, 2025</t>
        </is>
      </c>
      <c r="O73" t="n">
        <v>0</v>
      </c>
    </row>
    <row r="74">
      <c r="A74">
        <f>[2]YData!A74</f>
        <v/>
      </c>
      <c r="B74">
        <f>[2]YData!B74</f>
        <v/>
      </c>
      <c r="C74" s="176">
        <f>VALUE([2]YData!C74)</f>
        <v/>
      </c>
      <c r="D74">
        <f>[2]YData!D74</f>
        <v/>
      </c>
      <c r="E74" s="18">
        <f>[2]YData!E74</f>
        <v/>
      </c>
      <c r="F74" s="22">
        <f>_xlfn.LET(_xlpm.Tick,A74,IFERROR(LEFT(_xlpm.Tick,FIND(".",_xlpm.Tick)-1),_xlpm.Tick))</f>
        <v/>
      </c>
      <c r="G74" t="inlineStr">
        <is>
          <t>BLNK</t>
        </is>
      </c>
      <c r="H74" s="22">
        <f t="array" ref="H74">_xlfn.IFS(OR(LEFT(G74,3)="SAF",LEFT(G74,3)="MVE"), RIGHT(G74,LEN(G74)-3),     LEFT(G74,2)="JB",  RIGHT(G74,LEN(G74)-2), TRUE,     G74)</f>
        <v/>
      </c>
      <c r="K74">
        <f>_xlfn.LET(_xlpm.Tick,[2]YData!$A74,IFERROR(LEFT(_xlpm.Tick,FIND(".",_xlpm.Tick)-1),_xlpm.Tick))</f>
        <v/>
      </c>
      <c r="L74" t="n">
        <v>2.4</v>
      </c>
      <c r="M74" t="n">
        <v>0</v>
      </c>
      <c r="N74" t="inlineStr">
        <is>
          <t>Nov 6, 2025</t>
        </is>
      </c>
      <c r="O74" t="n">
        <v>0</v>
      </c>
    </row>
    <row r="75">
      <c r="A75">
        <f>[2]YData!A75</f>
        <v/>
      </c>
      <c r="B75">
        <f>[2]YData!B75</f>
        <v/>
      </c>
      <c r="C75" s="176">
        <f>VALUE([2]YData!C75)</f>
        <v/>
      </c>
      <c r="D75">
        <f>[2]YData!D75</f>
        <v/>
      </c>
      <c r="E75" s="18">
        <f>[2]YData!E75</f>
        <v/>
      </c>
      <c r="F75" s="22">
        <f>_xlfn.LET(_xlpm.Tick,A75,IFERROR(LEFT(_xlpm.Tick,FIND(".",_xlpm.Tick)-1),_xlpm.Tick))</f>
        <v/>
      </c>
      <c r="G75" t="inlineStr">
        <is>
          <t>ENI</t>
        </is>
      </c>
      <c r="H75" s="22">
        <f t="array" ref="H75">_xlfn.IFS(OR(LEFT(G75,3)="SAF",LEFT(G75,3)="MVE"), RIGHT(G75,LEN(G75)-3),     LEFT(G75,2)="JB",  RIGHT(G75,LEN(G75)-2), TRUE,     G75)</f>
        <v/>
      </c>
      <c r="K75">
        <f>_xlfn.LET(_xlpm.Tick,[2]YData!$A75,IFERROR(LEFT(_xlpm.Tick,FIND(".",_xlpm.Tick)-1),_xlpm.Tick))</f>
        <v/>
      </c>
      <c r="L75" t="n">
        <v>16.12273</v>
      </c>
      <c r="M75" t="n">
        <v>45985</v>
      </c>
      <c r="N75" t="n">
        <v>0</v>
      </c>
      <c r="O75" t="n">
        <v>0.06519999999999999</v>
      </c>
    </row>
    <row r="76">
      <c r="A76">
        <f>G76</f>
        <v/>
      </c>
      <c r="B76">
        <f>_xlfn.XLOOKUP($H76,$F$2:$F$75,B$2:B$75)</f>
        <v/>
      </c>
      <c r="C76" s="176">
        <f>_xlfn.XLOOKUP($H76,$F$2:$F$75,C$2:C$75)</f>
        <v/>
      </c>
      <c r="D76" s="18">
        <f>_xlfn.XLOOKUP($H76,$F$2:$F$75,D$2:D$75)</f>
        <v/>
      </c>
      <c r="E76" s="18">
        <f>_xlfn.XLOOKUP($H76,$F$2:$F$75,E$2:E$75)</f>
        <v/>
      </c>
      <c r="G76" t="inlineStr">
        <is>
          <t>EZJ</t>
        </is>
      </c>
      <c r="H76" s="22">
        <f t="array" ref="H76">_xlfn.IFS(OR(LEFT(G76,3)="SAF",LEFT(G76,3)="MVE"), RIGHT(G76,LEN(G76)-3),     LEFT(G76,2)="JB",  RIGHT(G76,LEN(G76)-2), TRUE,     G76)</f>
        <v/>
      </c>
      <c r="L76" t="n">
        <v>626.25</v>
      </c>
      <c r="M76" t="n">
        <v>45708</v>
      </c>
      <c r="N76" t="n">
        <v>0</v>
      </c>
      <c r="O76" t="n">
        <v>0.025</v>
      </c>
    </row>
    <row r="77">
      <c r="A77">
        <f>G77</f>
        <v/>
      </c>
      <c r="B77">
        <f>_xlfn.XLOOKUP($H77,$F$2:$F$75,B$2:B$75)</f>
        <v/>
      </c>
      <c r="C77" s="176">
        <f>_xlfn.XLOOKUP($H77,$F$2:$F$75,C$2:C$75)</f>
        <v/>
      </c>
      <c r="D77" s="18">
        <f>_xlfn.XLOOKUP($H77,$F$2:$F$75,D$2:D$75)</f>
        <v/>
      </c>
      <c r="E77" s="18">
        <f>_xlfn.XLOOKUP($H77,$F$2:$F$75,E$2:E$75)</f>
        <v/>
      </c>
      <c r="G77" t="inlineStr">
        <is>
          <t>F</t>
        </is>
      </c>
      <c r="H77" s="22">
        <f t="array" ref="H77">_xlfn.IFS(OR(LEFT(G77,3)="SAF",LEFT(G77,3)="MVE"), RIGHT(G77,LEN(G77)-3),     LEFT(G77,2)="JB",  RIGHT(G77,LEN(G77)-2), TRUE,     G77)</f>
        <v/>
      </c>
      <c r="L77" t="n">
        <v>12.265</v>
      </c>
      <c r="M77" t="n">
        <v>45968</v>
      </c>
      <c r="N77" t="inlineStr">
        <is>
          <t>Oct 23, 2025</t>
        </is>
      </c>
      <c r="O77" t="n">
        <v>0.045700002</v>
      </c>
    </row>
    <row r="78">
      <c r="A78">
        <f>G78</f>
        <v/>
      </c>
      <c r="B78">
        <f>_xlfn.XLOOKUP($H78,$F$2:$F$75,B$2:B$75)</f>
        <v/>
      </c>
      <c r="C78" s="176">
        <f>_xlfn.XLOOKUP($H78,$F$2:$F$75,C$2:C$75)</f>
        <v/>
      </c>
      <c r="D78" s="18">
        <f>_xlfn.XLOOKUP($H78,$F$2:$F$75,D$2:D$75)</f>
        <v/>
      </c>
      <c r="E78" s="18">
        <f>_xlfn.XLOOKUP($H78,$F$2:$F$75,E$2:E$75)</f>
        <v/>
      </c>
      <c r="G78" t="inlineStr">
        <is>
          <t>GLE</t>
        </is>
      </c>
      <c r="H78" s="22">
        <f t="array" ref="H78">_xlfn.IFS(OR(LEFT(G78,3)="SAF",LEFT(G78,3)="MVE"), RIGHT(G78,LEN(G78)-3),     LEFT(G78,2)="JB",  RIGHT(G78,LEN(G78)-2), TRUE,     G78)</f>
        <v/>
      </c>
      <c r="L78" t="n">
        <v>64.68611</v>
      </c>
      <c r="M78" t="n">
        <v>45937</v>
      </c>
      <c r="N78" t="inlineStr">
        <is>
          <t>Oct 30, 2025</t>
        </is>
      </c>
      <c r="O78" t="n">
        <v>0.031</v>
      </c>
    </row>
    <row r="79">
      <c r="A79">
        <f>G79</f>
        <v/>
      </c>
      <c r="B79">
        <f>_xlfn.XLOOKUP($H79,$F$2:$F$75,B$2:B$75)</f>
        <v/>
      </c>
      <c r="C79" s="176">
        <f>_xlfn.XLOOKUP($H79,$F$2:$F$75,C$2:C$75)</f>
        <v/>
      </c>
      <c r="D79" s="18">
        <f>_xlfn.XLOOKUP($H79,$F$2:$F$75,D$2:D$75)</f>
        <v/>
      </c>
      <c r="E79" s="18">
        <f>_xlfn.XLOOKUP($H79,$F$2:$F$75,E$2:E$75)</f>
        <v/>
      </c>
      <c r="G79" t="inlineStr">
        <is>
          <t>GNRC</t>
        </is>
      </c>
      <c r="H79" s="22">
        <f t="array" ref="H79">_xlfn.IFS(OR(LEFT(G79,3)="SAF",LEFT(G79,3)="MVE"), RIGHT(G79,LEN(G79)-3),     LEFT(G79,2)="JB",  RIGHT(G79,LEN(G79)-2), TRUE,     G79)</f>
        <v/>
      </c>
      <c r="L79" t="n">
        <v>207.4706</v>
      </c>
      <c r="M79" t="n">
        <v>41435</v>
      </c>
      <c r="N79" t="inlineStr">
        <is>
          <t>Oct 29, 2025</t>
        </is>
      </c>
      <c r="O79" t="n">
        <v>0</v>
      </c>
    </row>
    <row r="80">
      <c r="A80">
        <f>G80</f>
        <v/>
      </c>
      <c r="B80">
        <f>_xlfn.XLOOKUP($H80,$F$2:$F$75,B$2:B$75)</f>
        <v/>
      </c>
      <c r="C80" s="176">
        <f>_xlfn.XLOOKUP($H80,$F$2:$F$75,C$2:C$75)</f>
        <v/>
      </c>
      <c r="D80" s="18">
        <f>_xlfn.XLOOKUP($H80,$F$2:$F$75,D$2:D$75)</f>
        <v/>
      </c>
      <c r="E80" s="18">
        <f>_xlfn.XLOOKUP($H80,$F$2:$F$75,E$2:E$75)</f>
        <v/>
      </c>
      <c r="G80" t="inlineStr">
        <is>
          <t>GS</t>
        </is>
      </c>
      <c r="H80" s="22">
        <f t="array" ref="H80">_xlfn.IFS(OR(LEFT(G80,3)="SAF",LEFT(G80,3)="MVE"), RIGHT(G80,LEN(G80)-3),     LEFT(G80,2)="JB",  RIGHT(G80,LEN(G80)-2), TRUE,     G80)</f>
        <v/>
      </c>
      <c r="L80" t="n">
        <v>801.8421</v>
      </c>
      <c r="M80" t="n">
        <v>45993</v>
      </c>
      <c r="N80" t="inlineStr">
        <is>
          <t>Jan 15, 2026</t>
        </is>
      </c>
      <c r="O80" t="n">
        <v>0.020299999</v>
      </c>
    </row>
    <row r="81">
      <c r="A81">
        <f>G81</f>
        <v/>
      </c>
      <c r="B81">
        <f>_xlfn.XLOOKUP($H81,$F$2:$F$75,B$2:B$75)</f>
        <v/>
      </c>
      <c r="C81" s="176">
        <f>_xlfn.XLOOKUP($H81,$F$2:$F$75,C$2:C$75)</f>
        <v/>
      </c>
      <c r="D81" s="18">
        <f>_xlfn.XLOOKUP($H81,$F$2:$F$75,D$2:D$75)</f>
        <v/>
      </c>
      <c r="E81" s="18">
        <f>_xlfn.XLOOKUP($H81,$F$2:$F$75,E$2:E$75)</f>
        <v/>
      </c>
      <c r="G81" t="inlineStr">
        <is>
          <t>LAZR</t>
        </is>
      </c>
      <c r="H81" s="22">
        <f t="array" ref="H81">_xlfn.IFS(OR(LEFT(G81,3)="SAF",LEFT(G81,3)="MVE"), RIGHT(G81,LEN(G81)-3),     LEFT(G81,2)="JB",  RIGHT(G81,LEN(G81)-2), TRUE,     G81)</f>
        <v/>
      </c>
      <c r="L81" t="n">
        <v>2.5</v>
      </c>
      <c r="M81" t="n">
        <v>0</v>
      </c>
      <c r="N81" t="inlineStr">
        <is>
          <t>Nov 13, 2025</t>
        </is>
      </c>
      <c r="O81" t="n">
        <v>0</v>
      </c>
    </row>
    <row r="82">
      <c r="A82">
        <f>G82</f>
        <v/>
      </c>
      <c r="B82">
        <f>_xlfn.XLOOKUP($H82,$F$2:$F$75,B$2:B$75)</f>
        <v/>
      </c>
      <c r="C82" s="176">
        <f>_xlfn.XLOOKUP($H82,$F$2:$F$75,C$2:C$75)</f>
        <v/>
      </c>
      <c r="D82" s="18">
        <f>_xlfn.XLOOKUP($H82,$F$2:$F$75,D$2:D$75)</f>
        <v/>
      </c>
      <c r="E82" s="18">
        <f>_xlfn.XLOOKUP($H82,$F$2:$F$75,E$2:E$75)</f>
        <v/>
      </c>
      <c r="G82" t="inlineStr">
        <is>
          <t>LUV</t>
        </is>
      </c>
      <c r="H82" s="22">
        <f t="array" ref="H82">_xlfn.IFS(OR(LEFT(G82,3)="SAF",LEFT(G82,3)="MVE"), RIGHT(G82,LEN(G82)-3),     LEFT(G82,2)="JB",  RIGHT(G82,LEN(G82)-2), TRUE,     G82)</f>
        <v/>
      </c>
      <c r="L82" t="n">
        <v>34.07368</v>
      </c>
      <c r="M82" t="n">
        <v>45903</v>
      </c>
      <c r="N82" t="inlineStr">
        <is>
          <t>Oct 22, 2025</t>
        </is>
      </c>
      <c r="O82" t="n">
        <v>0.0238</v>
      </c>
    </row>
    <row r="83">
      <c r="A83">
        <f>G83</f>
        <v/>
      </c>
      <c r="B83">
        <f>_xlfn.XLOOKUP($H83,$F$2:$F$75,B$2:B$75)</f>
        <v/>
      </c>
      <c r="C83" s="176">
        <f>_xlfn.XLOOKUP($H83,$F$2:$F$75,C$2:C$75)</f>
        <v/>
      </c>
      <c r="D83" s="18">
        <f>_xlfn.XLOOKUP($H83,$F$2:$F$75,D$2:D$75)</f>
        <v/>
      </c>
      <c r="E83" s="18">
        <f>_xlfn.XLOOKUP($H83,$F$2:$F$75,E$2:E$75)</f>
        <v/>
      </c>
      <c r="G83" t="inlineStr">
        <is>
          <t>MA</t>
        </is>
      </c>
      <c r="H83" s="22">
        <f t="array" ref="H83">_xlfn.IFS(OR(LEFT(G83,3)="SAF",LEFT(G83,3)="MVE"), RIGHT(G83,LEN(G83)-3),     LEFT(G83,2)="JB",  RIGHT(G83,LEN(G83)-2), TRUE,     G83)</f>
        <v/>
      </c>
      <c r="L83" t="n">
        <v>655.2057</v>
      </c>
      <c r="M83" t="n">
        <v>45939</v>
      </c>
      <c r="N83" t="inlineStr">
        <is>
          <t>Jan 29, 2026</t>
        </is>
      </c>
      <c r="O83" t="n">
        <v>0.0055</v>
      </c>
    </row>
    <row r="84">
      <c r="A84">
        <f>G84</f>
        <v/>
      </c>
      <c r="B84">
        <f>_xlfn.XLOOKUP($H84,$F$2:$F$75,B$2:B$75)</f>
        <v/>
      </c>
      <c r="C84" s="176">
        <f>_xlfn.XLOOKUP($H84,$F$2:$F$75,C$2:C$75)</f>
        <v/>
      </c>
      <c r="D84" s="18">
        <f>_xlfn.XLOOKUP($H84,$F$2:$F$75,D$2:D$75)</f>
        <v/>
      </c>
      <c r="E84" s="18">
        <f>_xlfn.XLOOKUP($H84,$F$2:$F$75,E$2:E$75)</f>
        <v/>
      </c>
      <c r="G84" t="inlineStr">
        <is>
          <t>NVAX</t>
        </is>
      </c>
      <c r="H84" s="22">
        <f t="array" ref="H84">_xlfn.IFS(OR(LEFT(G84,3)="SAF",LEFT(G84,3)="MVE"), RIGHT(G84,LEN(G84)-3),     LEFT(G84,2)="JB",  RIGHT(G84,LEN(G84)-2), TRUE,     G84)</f>
        <v/>
      </c>
      <c r="L84" t="n">
        <v>12.6125</v>
      </c>
      <c r="M84" t="n">
        <v>0</v>
      </c>
      <c r="N84" t="inlineStr">
        <is>
          <t>Nov 10, 2025</t>
        </is>
      </c>
      <c r="O84" t="n">
        <v>0</v>
      </c>
    </row>
    <row r="85">
      <c r="A85">
        <f>G85</f>
        <v/>
      </c>
      <c r="B85">
        <f>_xlfn.XLOOKUP($H85,$F$2:$F$75,B$2:B$75)</f>
        <v/>
      </c>
      <c r="C85" s="176">
        <f>_xlfn.XLOOKUP($H85,$F$2:$F$75,C$2:C$75)</f>
        <v/>
      </c>
      <c r="D85" s="18">
        <f>_xlfn.XLOOKUP($H85,$F$2:$F$75,D$2:D$75)</f>
        <v/>
      </c>
      <c r="E85" s="18">
        <f>_xlfn.XLOOKUP($H85,$F$2:$F$75,E$2:E$75)</f>
        <v/>
      </c>
      <c r="G85" t="inlineStr">
        <is>
          <t>NVS</t>
        </is>
      </c>
      <c r="H85" s="22">
        <f t="array" ref="H85">_xlfn.IFS(OR(LEFT(G85,3)="SAF",LEFT(G85,3)="MVE"), RIGHT(G85,LEN(G85)-3),     LEFT(G85,2)="JB",  RIGHT(G85,LEN(G85)-2), TRUE,     G85)</f>
        <v/>
      </c>
      <c r="L85" t="n">
        <v>127.454</v>
      </c>
      <c r="M85" t="n">
        <v>45728</v>
      </c>
      <c r="N85" t="inlineStr">
        <is>
          <t>Oct 28, 2025</t>
        </is>
      </c>
      <c r="O85" t="n">
        <v>0.0323</v>
      </c>
    </row>
    <row r="86">
      <c r="A86">
        <f>G86</f>
        <v/>
      </c>
      <c r="B86">
        <f>_xlfn.XLOOKUP($H86,$F$2:$F$75,B$2:B$75)</f>
        <v/>
      </c>
      <c r="C86" s="176">
        <f>_xlfn.XLOOKUP($H86,$F$2:$F$75,C$2:C$75)</f>
        <v/>
      </c>
      <c r="D86" s="18">
        <f>_xlfn.XLOOKUP($H86,$F$2:$F$75,D$2:D$75)</f>
        <v/>
      </c>
      <c r="E86" s="18">
        <f>_xlfn.XLOOKUP($H86,$F$2:$F$75,E$2:E$75)</f>
        <v/>
      </c>
      <c r="G86" t="inlineStr">
        <is>
          <t>ORA</t>
        </is>
      </c>
      <c r="H86" s="22">
        <f t="array" ref="H86">_xlfn.IFS(OR(LEFT(G86,3)="SAF",LEFT(G86,3)="MVE"), RIGHT(G86,LEN(G86)-3),     LEFT(G86,2)="JB",  RIGHT(G86,LEN(G86)-2), TRUE,     G86)</f>
        <v/>
      </c>
      <c r="L86" t="n">
        <v>15.32222</v>
      </c>
      <c r="M86" t="n">
        <v>45993</v>
      </c>
      <c r="N86" t="n">
        <v>0</v>
      </c>
      <c r="O86" t="n">
        <v>0.0542</v>
      </c>
    </row>
    <row r="87">
      <c r="A87">
        <f>G87</f>
        <v/>
      </c>
      <c r="B87">
        <f>_xlfn.XLOOKUP($H87,$F$2:$F$75,B$2:B$75)</f>
        <v/>
      </c>
      <c r="C87" s="176">
        <f>_xlfn.XLOOKUP($H87,$F$2:$F$75,C$2:C$75)</f>
        <v/>
      </c>
      <c r="D87" s="18">
        <f>_xlfn.XLOOKUP($H87,$F$2:$F$75,D$2:D$75)</f>
        <v/>
      </c>
      <c r="E87" s="18">
        <f>_xlfn.XLOOKUP($H87,$F$2:$F$75,E$2:E$75)</f>
        <v/>
      </c>
      <c r="G87" t="inlineStr">
        <is>
          <t>OXY</t>
        </is>
      </c>
      <c r="H87" s="22">
        <f t="array" ref="H87">_xlfn.IFS(OR(LEFT(G87,3)="SAF",LEFT(G87,3)="MVE"), RIGHT(G87,LEN(G87)-3),     LEFT(G87,2)="JB",  RIGHT(G87,LEN(G87)-2), TRUE,     G87)</f>
        <v/>
      </c>
      <c r="L87" t="n">
        <v>49.91304</v>
      </c>
      <c r="M87" t="n">
        <v>45910</v>
      </c>
      <c r="N87" t="inlineStr">
        <is>
          <t>Nov 10, 2025</t>
        </is>
      </c>
      <c r="O87" t="n">
        <v>0.0233</v>
      </c>
    </row>
    <row r="88">
      <c r="A88">
        <f>G88</f>
        <v/>
      </c>
      <c r="B88">
        <f>_xlfn.XLOOKUP($H88,$F$2:$F$75,B$2:B$75)</f>
        <v/>
      </c>
      <c r="C88" s="176">
        <f>_xlfn.XLOOKUP($H88,$F$2:$F$75,C$2:C$75)</f>
        <v/>
      </c>
      <c r="D88" s="18">
        <f>_xlfn.XLOOKUP($H88,$F$2:$F$75,D$2:D$75)</f>
        <v/>
      </c>
      <c r="E88" s="18">
        <f>_xlfn.XLOOKUP($H88,$F$2:$F$75,E$2:E$75)</f>
        <v/>
      </c>
      <c r="G88" t="inlineStr">
        <is>
          <t>PFE</t>
        </is>
      </c>
      <c r="H88" s="22">
        <f t="array" ref="H88">_xlfn.IFS(OR(LEFT(G88,3)="SAF",LEFT(G88,3)="MVE"), RIGHT(G88,LEN(G88)-3),     LEFT(G88,2)="JB",  RIGHT(G88,LEN(G88)-2), TRUE,     G88)</f>
        <v/>
      </c>
      <c r="L88" t="n">
        <v>28.7519</v>
      </c>
      <c r="M88" t="n">
        <v>45968</v>
      </c>
      <c r="N88" t="inlineStr">
        <is>
          <t>Nov 4, 2025</t>
        </is>
      </c>
      <c r="O88" t="n">
        <v>0.0698</v>
      </c>
    </row>
    <row r="89">
      <c r="A89">
        <f>G89</f>
        <v/>
      </c>
      <c r="B89">
        <f>_xlfn.XLOOKUP($H89,$F$2:$F$75,B$2:B$75)</f>
        <v/>
      </c>
      <c r="C89" s="176">
        <f>_xlfn.XLOOKUP($H89,$F$2:$F$75,C$2:C$75)</f>
        <v/>
      </c>
      <c r="D89" s="18">
        <f>_xlfn.XLOOKUP($H89,$F$2:$F$75,D$2:D$75)</f>
        <v/>
      </c>
      <c r="E89" s="18">
        <f>_xlfn.XLOOKUP($H89,$F$2:$F$75,E$2:E$75)</f>
        <v/>
      </c>
      <c r="G89" t="inlineStr">
        <is>
          <t>RIG</t>
        </is>
      </c>
      <c r="H89" s="22">
        <f t="array" ref="H89">_xlfn.IFS(OR(LEFT(G89,3)="SAF",LEFT(G89,3)="MVE"), RIGHT(G89,LEN(G89)-3),     LEFT(G89,2)="JB",  RIGHT(G89,LEN(G89)-2), TRUE,     G89)</f>
        <v/>
      </c>
      <c r="L89" t="n">
        <v>3.95385</v>
      </c>
      <c r="M89" t="n">
        <v>42237</v>
      </c>
      <c r="N89" t="inlineStr">
        <is>
          <t>Oct 29, 2025</t>
        </is>
      </c>
      <c r="O89" t="n">
        <v>0</v>
      </c>
    </row>
    <row r="90">
      <c r="A90">
        <f>G90</f>
        <v/>
      </c>
      <c r="B90">
        <f>_xlfn.XLOOKUP($H90,$F$2:$F$75,B$2:B$75)</f>
        <v/>
      </c>
      <c r="C90" s="176">
        <f>_xlfn.XLOOKUP($H90,$F$2:$F$75,C$2:C$75)</f>
        <v/>
      </c>
      <c r="D90" s="18">
        <f>_xlfn.XLOOKUP($H90,$F$2:$F$75,D$2:D$75)</f>
        <v/>
      </c>
      <c r="E90" s="18">
        <f>_xlfn.XLOOKUP($H90,$F$2:$F$75,E$2:E$75)</f>
        <v/>
      </c>
      <c r="G90" t="inlineStr">
        <is>
          <t>RRC</t>
        </is>
      </c>
      <c r="H90" s="22">
        <f t="array" ref="H90">_xlfn.IFS(OR(LEFT(G90,3)="SAF",LEFT(G90,3)="MVE"), RIGHT(G90,LEN(G90)-3),     LEFT(G90,2)="JB",  RIGHT(G90,LEN(G90)-2), TRUE,     G90)</f>
        <v/>
      </c>
      <c r="L90" t="n">
        <v>41.41542</v>
      </c>
      <c r="M90" t="n">
        <v>45912</v>
      </c>
      <c r="N90" t="inlineStr">
        <is>
          <t>Oct 28, 2025</t>
        </is>
      </c>
      <c r="O90" t="n">
        <v>0.0101</v>
      </c>
    </row>
    <row r="91">
      <c r="A91">
        <f>G91</f>
        <v/>
      </c>
      <c r="B91">
        <f>_xlfn.XLOOKUP($H91,$F$2:$F$75,B$2:B$75)</f>
        <v/>
      </c>
      <c r="C91" s="176">
        <f>_xlfn.XLOOKUP($H91,$F$2:$F$75,C$2:C$75)</f>
        <v/>
      </c>
      <c r="D91" s="18">
        <f>_xlfn.XLOOKUP($H91,$F$2:$F$75,D$2:D$75)</f>
        <v/>
      </c>
      <c r="E91" s="18">
        <f>_xlfn.XLOOKUP($H91,$F$2:$F$75,E$2:E$75)</f>
        <v/>
      </c>
      <c r="G91" t="inlineStr">
        <is>
          <t>XYZ</t>
        </is>
      </c>
      <c r="H91" s="22">
        <f t="array" ref="H91">_xlfn.IFS(OR(LEFT(G91,3)="SAF",LEFT(G91,3)="MVE"), RIGHT(G91,LEN(G91)-3),     LEFT(G91,2)="JB",  RIGHT(G91,LEN(G91)-2), TRUE,     G91)</f>
        <v/>
      </c>
      <c r="L91" t="n">
        <v>88.50526000000001</v>
      </c>
      <c r="M91" t="n">
        <v>0</v>
      </c>
      <c r="N91" t="inlineStr">
        <is>
          <t>Nov 6, 2025</t>
        </is>
      </c>
      <c r="O91" t="n">
        <v>0</v>
      </c>
    </row>
    <row r="92">
      <c r="A92">
        <f>G92</f>
        <v/>
      </c>
      <c r="B92">
        <f>_xlfn.XLOOKUP($H92,$F$2:$F$75,B$2:B$75)</f>
        <v/>
      </c>
      <c r="C92" s="176">
        <f>_xlfn.XLOOKUP($H92,$F$2:$F$75,C$2:C$75)</f>
        <v/>
      </c>
      <c r="D92" s="18">
        <f>_xlfn.XLOOKUP($H92,$F$2:$F$75,D$2:D$75)</f>
        <v/>
      </c>
      <c r="E92" s="18">
        <f>_xlfn.XLOOKUP($H92,$F$2:$F$75,E$2:E$75)</f>
        <v/>
      </c>
      <c r="G92" t="inlineStr">
        <is>
          <t>THC</t>
        </is>
      </c>
      <c r="H92" s="22">
        <f t="array" ref="H92">_xlfn.IFS(OR(LEFT(G92,3)="SAF",LEFT(G92,3)="MVE"), RIGHT(G92,LEN(G92)-3),     LEFT(G92,2)="JB",  RIGHT(G92,LEN(G92)-2), TRUE,     G92)</f>
        <v/>
      </c>
      <c r="L92" t="n">
        <v>229.61905</v>
      </c>
      <c r="M92" t="n">
        <v>36598</v>
      </c>
      <c r="N92" t="inlineStr">
        <is>
          <t>Oct 28, 2025</t>
        </is>
      </c>
      <c r="O92" t="n">
        <v>0</v>
      </c>
    </row>
    <row r="93">
      <c r="A93">
        <f>G93</f>
        <v/>
      </c>
      <c r="B93">
        <f>_xlfn.XLOOKUP($H93,$F$2:$F$75,B$2:B$75)</f>
        <v/>
      </c>
      <c r="C93" s="176">
        <f>_xlfn.XLOOKUP($H93,$F$2:$F$75,C$2:C$75)</f>
        <v/>
      </c>
      <c r="D93" s="18">
        <f>_xlfn.XLOOKUP($H93,$F$2:$F$75,D$2:D$75)</f>
        <v/>
      </c>
      <c r="E93" s="18">
        <f>_xlfn.XLOOKUP($H93,$F$2:$F$75,E$2:E$75)</f>
        <v/>
      </c>
      <c r="G93" t="inlineStr">
        <is>
          <t>X</t>
        </is>
      </c>
      <c r="H93" s="22">
        <f t="array" ref="H93">_xlfn.IFS(OR(LEFT(G93,3)="SAF",LEFT(G93,3)="MVE"), RIGHT(G93,LEN(G93)-3),     LEFT(G93,2)="JB",  RIGHT(G93,LEN(G93)-2), TRUE,     G93)</f>
        <v/>
      </c>
      <c r="L93" t="n">
        <v>0</v>
      </c>
      <c r="M93" t="n">
        <v>0</v>
      </c>
      <c r="N93" t="n">
        <v>0</v>
      </c>
      <c r="O93" t="n">
        <v>0</v>
      </c>
    </row>
    <row r="94">
      <c r="A94">
        <f>G94</f>
        <v/>
      </c>
      <c r="B94">
        <f>_xlfn.XLOOKUP($H94,$F$2:$F$75,B$2:B$75)</f>
        <v/>
      </c>
      <c r="C94" s="176">
        <f>_xlfn.XLOOKUP($H94,$F$2:$F$75,C$2:C$75)</f>
        <v/>
      </c>
      <c r="D94" s="18">
        <f>_xlfn.XLOOKUP($H94,$F$2:$F$75,D$2:D$75)</f>
        <v/>
      </c>
      <c r="E94" s="18">
        <f>_xlfn.XLOOKUP($H94,$F$2:$F$75,E$2:E$75)</f>
        <v/>
      </c>
      <c r="G94" t="inlineStr">
        <is>
          <t>LOCK</t>
        </is>
      </c>
      <c r="H94" s="22">
        <f t="array" ref="H94">_xlfn.IFS(OR(LEFT(G94,3)="SAF",LEFT(G94,3)="MVE"), RIGHT(G94,LEN(G94)-3),     LEFT(G94,2)="JB",  RIGHT(G94,LEN(G94)-2), TRUE,     G94)</f>
        <v/>
      </c>
      <c r="L94" t="n">
        <v>0</v>
      </c>
      <c r="M94" t="n">
        <v>0</v>
      </c>
      <c r="N94" t="n">
        <v>0</v>
      </c>
      <c r="O94" t="n">
        <v>0</v>
      </c>
    </row>
    <row r="95">
      <c r="A95">
        <f>G95</f>
        <v/>
      </c>
      <c r="B95">
        <f>_xlfn.XLOOKUP($H95,$F$2:$F$75,B$2:B$75)</f>
        <v/>
      </c>
      <c r="C95" s="176">
        <f>_xlfn.XLOOKUP($H95,$F$2:$F$75,C$2:C$75)</f>
        <v/>
      </c>
      <c r="D95" s="18">
        <f>_xlfn.XLOOKUP($H95,$F$2:$F$75,D$2:D$75)</f>
        <v/>
      </c>
      <c r="E95" s="18">
        <f>_xlfn.XLOOKUP($H95,$F$2:$F$75,E$2:E$75)</f>
        <v/>
      </c>
      <c r="G95" t="inlineStr">
        <is>
          <t>JBASML</t>
        </is>
      </c>
      <c r="H95" s="22">
        <f t="array" ref="H95">_xlfn.IFS(OR(LEFT(G95,3)="SAF",LEFT(G95,3)="MVE"), RIGHT(G95,LEN(G95)-3),     LEFT(G95,2)="JB",  RIGHT(G95,LEN(G95)-2), TRUE,     G95)</f>
        <v/>
      </c>
      <c r="L95" t="n">
        <v>941.90326</v>
      </c>
      <c r="M95" t="n">
        <v>45958</v>
      </c>
      <c r="N95" t="n">
        <v>0</v>
      </c>
      <c r="O95" t="n">
        <v>0.0069999998</v>
      </c>
    </row>
    <row r="96">
      <c r="A96">
        <f>G96</f>
        <v/>
      </c>
      <c r="B96">
        <f>_xlfn.XLOOKUP($H96,$F$2:$F$75,B$2:B$75)</f>
        <v/>
      </c>
      <c r="C96" s="176">
        <f>_xlfn.XLOOKUP($H96,$F$2:$F$75,C$2:C$75)</f>
        <v/>
      </c>
      <c r="D96" s="18">
        <f>_xlfn.XLOOKUP($H96,$F$2:$F$75,D$2:D$75)</f>
        <v/>
      </c>
      <c r="E96" s="18">
        <f>_xlfn.XLOOKUP($H96,$F$2:$F$75,E$2:E$75)</f>
        <v/>
      </c>
      <c r="G96" t="inlineStr">
        <is>
          <t>JBEOAN</t>
        </is>
      </c>
      <c r="H96" s="22">
        <f t="array" ref="H96">_xlfn.IFS(OR(LEFT(G96,3)="SAF",LEFT(G96,3)="MVE"), RIGHT(G96,LEN(G96)-3),     LEFT(G96,2)="JB",  RIGHT(G96,LEN(G96)-2), TRUE,     G96)</f>
        <v/>
      </c>
      <c r="L96" t="n">
        <v>16.91959</v>
      </c>
      <c r="M96" t="n">
        <v>45793</v>
      </c>
      <c r="N96" t="n">
        <v>0</v>
      </c>
      <c r="O96" t="n">
        <v>0.0341</v>
      </c>
    </row>
    <row r="97">
      <c r="B97">
        <f>IFERROR(VALUE(_xlfn.XLOOKUP($H97,$A$2:$A$74,[2]YData!B$2:B$74)),"")</f>
        <v/>
      </c>
      <c r="C97">
        <f>IFERROR(VALUE(_xlfn.XLOOKUP($H97,$A$2:$A$74,[2]YData!C$2:C$74)),"")</f>
        <v/>
      </c>
      <c r="D97">
        <f>IFERROR(VALUE(_xlfn.XLOOKUP($H97,$A$2:$A$74,[2]YData!D$2:D$74)),"")</f>
        <v/>
      </c>
      <c r="E97" s="18">
        <f>IFERROR(VALUE(_xlfn.XLOOKUP($H97,$A$2:$A$74,[2]YData!E$2:E$74)),"")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Kosta Yanev</dc:creator>
  <dcterms:created xmlns:dcterms="http://purl.org/dc/terms/" xmlns:xsi="http://www.w3.org/2001/XMLSchema-instance" xsi:type="dcterms:W3CDTF">2024-12-14T19:28:09Z</dcterms:created>
  <dcterms:modified xmlns:dcterms="http://purl.org/dc/terms/" xmlns:xsi="http://www.w3.org/2001/XMLSchema-instance" xsi:type="dcterms:W3CDTF">2025-11-14T17:09:18Z</dcterms:modified>
  <cp:lastModifiedBy>Kosta Yanev</cp:lastModifiedBy>
</cp:coreProperties>
</file>