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yanev/NikyClean/"/>
    </mc:Choice>
  </mc:AlternateContent>
  <xr:revisionPtr revIDLastSave="0" documentId="8_{3EFC9BEC-7471-BA4E-9DBB-A9D9E196C836}" xr6:coauthVersionLast="47" xr6:coauthVersionMax="47" xr10:uidLastSave="{00000000-0000-0000-0000-000000000000}"/>
  <bookViews>
    <workbookView xWindow="-19160" yWindow="-21600" windowWidth="38400" windowHeight="21600" xr2:uid="{B3EB4A05-3866-2148-9B9C-2C15FA4C806A}"/>
  </bookViews>
  <sheets>
    <sheet name="Sheet1" sheetId="1" r:id="rId1"/>
  </sheets>
  <definedNames>
    <definedName name="O">Sheet1!$A$2:$A$95</definedName>
    <definedName name="P">Sheet1!$B$2:$B$95</definedName>
    <definedName name="Q">Sheet1!$C$2:$C$95</definedName>
    <definedName name="RR">Sheet1!$E$2:$E$95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1" l="1" a="1"/>
  <c r="Q24" i="1" s="1"/>
  <c r="Q2" i="1" a="1"/>
  <c r="Q2" i="1" s="1"/>
  <c r="F24" i="1" a="1"/>
  <c r="F24" i="1" s="1"/>
  <c r="E2" i="1" a="1"/>
  <c r="E2" i="1" s="1"/>
  <c r="F2" i="1" a="1"/>
  <c r="F2" i="1" s="1"/>
  <c r="F13" i="1" s="1"/>
  <c r="F14" i="1"/>
  <c r="G14" i="1"/>
  <c r="H14" i="1"/>
  <c r="I14" i="1"/>
  <c r="J14" i="1"/>
  <c r="K14" i="1"/>
  <c r="L14" i="1"/>
  <c r="M14" i="1"/>
  <c r="N14" i="1"/>
  <c r="O14" i="1"/>
  <c r="F15" i="1"/>
  <c r="G15" i="1"/>
  <c r="H15" i="1"/>
  <c r="I15" i="1"/>
  <c r="J15" i="1"/>
  <c r="K15" i="1"/>
  <c r="L15" i="1"/>
  <c r="M15" i="1"/>
  <c r="N15" i="1"/>
  <c r="O15" i="1"/>
  <c r="F16" i="1"/>
  <c r="G16" i="1"/>
  <c r="H16" i="1"/>
  <c r="I16" i="1"/>
  <c r="J16" i="1"/>
  <c r="K16" i="1"/>
  <c r="L16" i="1"/>
  <c r="M16" i="1"/>
  <c r="N16" i="1"/>
  <c r="O16" i="1"/>
  <c r="F17" i="1"/>
  <c r="G17" i="1"/>
  <c r="H17" i="1"/>
  <c r="I17" i="1"/>
  <c r="J17" i="1"/>
  <c r="K17" i="1"/>
  <c r="L17" i="1"/>
  <c r="M17" i="1"/>
  <c r="N17" i="1"/>
  <c r="O17" i="1"/>
  <c r="F18" i="1"/>
  <c r="G18" i="1"/>
  <c r="H18" i="1"/>
  <c r="I18" i="1"/>
  <c r="J18" i="1"/>
  <c r="K18" i="1"/>
  <c r="L18" i="1"/>
  <c r="M18" i="1"/>
  <c r="N18" i="1"/>
  <c r="O18" i="1"/>
  <c r="F19" i="1"/>
  <c r="G19" i="1"/>
  <c r="H19" i="1"/>
  <c r="I19" i="1"/>
  <c r="J19" i="1"/>
  <c r="K19" i="1"/>
  <c r="L19" i="1"/>
  <c r="M19" i="1"/>
  <c r="N19" i="1"/>
  <c r="O19" i="1"/>
  <c r="F20" i="1"/>
  <c r="G20" i="1"/>
  <c r="H20" i="1"/>
  <c r="I20" i="1"/>
  <c r="J20" i="1"/>
  <c r="K20" i="1"/>
  <c r="L20" i="1"/>
  <c r="M20" i="1"/>
  <c r="N20" i="1"/>
  <c r="O20" i="1"/>
  <c r="F21" i="1"/>
  <c r="G21" i="1"/>
  <c r="H21" i="1"/>
  <c r="I21" i="1"/>
  <c r="J21" i="1"/>
  <c r="K21" i="1"/>
  <c r="L21" i="1"/>
  <c r="M21" i="1"/>
  <c r="N21" i="1"/>
  <c r="O21" i="1"/>
  <c r="F22" i="1"/>
  <c r="G22" i="1"/>
  <c r="H22" i="1"/>
  <c r="I22" i="1"/>
  <c r="J22" i="1"/>
  <c r="K22" i="1"/>
  <c r="L22" i="1"/>
  <c r="M22" i="1"/>
  <c r="N22" i="1"/>
  <c r="O22" i="1"/>
  <c r="G13" i="1"/>
  <c r="H13" i="1"/>
  <c r="I13" i="1"/>
  <c r="J13" i="1"/>
  <c r="K13" i="1"/>
  <c r="L13" i="1"/>
  <c r="M13" i="1"/>
  <c r="N13" i="1"/>
  <c r="O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tc={144CA013-AA89-C847-830C-95B1A13A4C03}</author>
  </authors>
  <commentList>
    <comment ref="A34" authorId="0" shapeId="0" xr:uid="{144CA013-AA89-C847-830C-95B1A13A4C03}">
      <text>
        <t>[Threaded comment]
Your version of Excel allows you to read this threaded comment; however, any edits to it will get removed if the file is opened in a newer version of Excel. Learn more: https://go.microsoft.com/fwlink/?linkid=870924
Comment:
    Liquidated position with loss reduced by 2K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<sst xmlns="http://schemas.openxmlformats.org/spreadsheetml/2006/main" count="99" uniqueCount="99">
  <si>
    <t>Ticker</t>
  </si>
  <si>
    <t>M</t>
  </si>
  <si>
    <t>A</t>
  </si>
  <si>
    <t>Y</t>
  </si>
  <si>
    <t>AAPL</t>
  </si>
  <si>
    <t>ADEA</t>
  </si>
  <si>
    <t>AET</t>
  </si>
  <si>
    <t>AMZN</t>
  </si>
  <si>
    <t>ALDNE</t>
  </si>
  <si>
    <t>ASML</t>
  </si>
  <si>
    <t>AVGO</t>
  </si>
  <si>
    <t>AZN</t>
  </si>
  <si>
    <t>BLDP</t>
  </si>
  <si>
    <t>BMRA</t>
  </si>
  <si>
    <t>C</t>
  </si>
  <si>
    <t>CSCO</t>
  </si>
  <si>
    <t>CVS</t>
  </si>
  <si>
    <t>DDD</t>
  </si>
  <si>
    <t>DIS</t>
  </si>
  <si>
    <t>DSY</t>
  </si>
  <si>
    <t>DVA</t>
  </si>
  <si>
    <t>DXC</t>
  </si>
  <si>
    <t>EOAN</t>
  </si>
  <si>
    <t>EPIX</t>
  </si>
  <si>
    <t>GM</t>
  </si>
  <si>
    <t>HPE</t>
  </si>
  <si>
    <t>HPQ</t>
  </si>
  <si>
    <t>IAG</t>
  </si>
  <si>
    <t>KR</t>
  </si>
  <si>
    <t>LNSR</t>
  </si>
  <si>
    <t>LUMN</t>
  </si>
  <si>
    <t>MRNA</t>
  </si>
  <si>
    <t>MSFT</t>
  </si>
  <si>
    <t>NEE</t>
  </si>
  <si>
    <t>NEM</t>
  </si>
  <si>
    <t>NFLX</t>
  </si>
  <si>
    <t>NOTE</t>
  </si>
  <si>
    <t>PAAS</t>
  </si>
  <si>
    <t>PROF</t>
  </si>
  <si>
    <t>POET</t>
  </si>
  <si>
    <t>PW</t>
  </si>
  <si>
    <t>RIGL</t>
  </si>
  <si>
    <t>RWE</t>
  </si>
  <si>
    <t>SAP</t>
  </si>
  <si>
    <t>SHECY</t>
  </si>
  <si>
    <t>SSYS</t>
  </si>
  <si>
    <t>TSLA</t>
  </si>
  <si>
    <t>TSM</t>
  </si>
  <si>
    <t>UN0</t>
  </si>
  <si>
    <t>UNIT</t>
  </si>
  <si>
    <t>VLVLY</t>
  </si>
  <si>
    <t>VONN</t>
  </si>
  <si>
    <t>VTRS</t>
  </si>
  <si>
    <t>WBA</t>
  </si>
  <si>
    <t>XOM</t>
  </si>
  <si>
    <t>XPER</t>
  </si>
  <si>
    <t>MVEALDNE</t>
  </si>
  <si>
    <t>MVEDDD</t>
  </si>
  <si>
    <t>MVEDSY</t>
  </si>
  <si>
    <t>MVEEOAN</t>
  </si>
  <si>
    <t>MVEENI</t>
  </si>
  <si>
    <t>MVEEPIX</t>
  </si>
  <si>
    <t>MVEGLE</t>
  </si>
  <si>
    <t>MVEORA</t>
  </si>
  <si>
    <t>MVERWE</t>
  </si>
  <si>
    <t>MVESAP</t>
  </si>
  <si>
    <t>MVEUN0</t>
  </si>
  <si>
    <t>SAFAAPL</t>
  </si>
  <si>
    <t>SAFAMZN</t>
  </si>
  <si>
    <t>SAFASML</t>
  </si>
  <si>
    <t>SAFDDD</t>
  </si>
  <si>
    <t>SAFDIS</t>
  </si>
  <si>
    <t>SAFGM</t>
  </si>
  <si>
    <t>SAFIAG</t>
  </si>
  <si>
    <t>SAFMRNA</t>
  </si>
  <si>
    <t>BLNK</t>
  </si>
  <si>
    <t>ENI</t>
  </si>
  <si>
    <t>EZJ</t>
  </si>
  <si>
    <t>F</t>
  </si>
  <si>
    <t>GLE</t>
  </si>
  <si>
    <t>GNRC</t>
  </si>
  <si>
    <t>GS</t>
  </si>
  <si>
    <t>LAZR</t>
  </si>
  <si>
    <t>LUV</t>
  </si>
  <si>
    <t>MA</t>
  </si>
  <si>
    <t>NVAX</t>
  </si>
  <si>
    <t>NVS</t>
  </si>
  <si>
    <t>ORA</t>
  </si>
  <si>
    <t>OXY</t>
  </si>
  <si>
    <t>PFE</t>
  </si>
  <si>
    <t>RIG</t>
  </si>
  <si>
    <t>RRC</t>
  </si>
  <si>
    <t>XYZ</t>
  </si>
  <si>
    <t>THC</t>
  </si>
  <si>
    <t>X</t>
  </si>
  <si>
    <t>LOCK</t>
  </si>
  <si>
    <t>JBASML</t>
  </si>
  <si>
    <t>JBEOAN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</si>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</sst>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color theme="1"/>
      <name val="Calibri"/>
      <family val="2"/>
    </font>
    <font>
      <sz val="16"/>
      <color theme="0"/>
      <name val="Calibri"/>
      <family val="2"/>
    </font>
    <font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D9E1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14">
    <xf numFmtId="0" fontId="0" fillId="0" borderId="0" xfId="0"/>
    <xf numFmtId="0" fontId="3" fillId="3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38" fontId="2" fillId="4" borderId="4" xfId="2" applyNumberForma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40" fontId="6" fillId="6" borderId="6" xfId="0" applyNumberFormat="1" applyFont="1" applyFill="1" applyBorder="1"/>
    <xf numFmtId="40" fontId="0" fillId="7" borderId="2" xfId="1" applyNumberFormat="1" applyFont="1" applyFill="1" applyBorder="1" applyAlignment="1">
      <alignment horizontal="right"/>
    </xf>
    <xf numFmtId="40" fontId="6" fillId="8" borderId="7" xfId="0" applyNumberFormat="1" applyFont="1" applyFill="1" applyBorder="1"/>
    <xf numFmtId="40" fontId="0" fillId="0" borderId="2" xfId="1" applyNumberFormat="1" applyFont="1" applyBorder="1" applyAlignment="1">
      <alignment horizontal="right"/>
    </xf>
    <xf numFmtId="3" fontId="4" fillId="5" borderId="2" xfId="0" applyNumberFormat="1" applyFont="1" applyFill="1" applyBorder="1" applyAlignment="1">
      <alignment horizontal="center"/>
    </xf>
    <xf numFmtId="40" fontId="7" fillId="6" borderId="6" xfId="0" applyNumberFormat="1" applyFont="1" applyFill="1" applyBorder="1" applyAlignment="1">
      <alignment horizontal="center"/>
    </xf>
    <xf numFmtId="40" fontId="6" fillId="6" borderId="2" xfId="1" applyNumberFormat="1" applyFont="1" applyFill="1" applyBorder="1" applyAlignment="1">
      <alignment horizontal="right"/>
    </xf>
    <xf numFmtId="43" fontId="0" fillId="0" borderId="0" xfId="1" applyFont="1"/>
  </cellXfs>
  <cellStyles count="3">
    <cellStyle name="Calculation" xfId="2" builtinId="22"/>
    <cellStyle name="Comma" xfId="1" builtinId="3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u val="none"/>
        <color rgb="FF00B050"/>
      </font>
    </dxf>
    <dxf>
      <font>
        <u val="double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u val="double"/>
        <color theme="0"/>
      </font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rgb="FF00B050"/>
      </font>
    </dxf>
    <dxf>
      <font>
        <u val="double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u val="double"/>
        <color theme="0"/>
      </font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rgb="FF00B050"/>
      </font>
    </dxf>
    <dxf>
      <font>
        <u val="double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u val="double"/>
        <color theme="0"/>
      </font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rgb="FF00B050"/>
      </font>
    </dxf>
    <dxf>
      <font>
        <u val="double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u val="double"/>
        <color theme="0"/>
      </font>
      <fill>
        <patternFill>
          <bgColor rgb="FF00B05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osta Yanev" id="{54125019-F553-1143-BF81-A4B9BD98B37B}" userId="308f790edeb48a0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4" dT="2025-02-20T17:48:10.08" personId="{54125019-F553-1143-BF81-A4B9BD98B37B}" id="{144CA013-AA89-C847-830C-95B1A13A4C03}">
    <text>Liquidated position with loss reduced by 2K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C0DD-1046-A54F-9119-33210027F8E3}">
  <dimension ref="A1:Z95"/>
  <sheetViews>
    <sheetView tabSelected="1" topLeftCell="H21" workbookViewId="0">
      <selection activeCell="AA30" sqref="AA30"/>
    </sheetView>
  </sheetViews>
  <sheetFormatPr baseColWidth="10" defaultRowHeight="22" x14ac:dyDescent="0.3"/>
  <cols>
    <col min="5" max="5" width="10.625" style="13"/>
  </cols>
  <sheetData>
    <row r="1" spans="1:26" ht="23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13" t="s">
        <v>98</v>
      </c>
    </row>
    <row r="2" spans="1:26" x14ac:dyDescent="0.3">
      <c r="A2" s="5" t="s">
        <v>4</v>
      </c>
      <c r="B2" s="6">
        <v>283.10000000000002</v>
      </c>
      <c r="C2" s="7">
        <v>212.01869578947367</v>
      </c>
      <c r="D2" s="8">
        <v>281.74804999999998</v>
      </c>
      <c r="E2" s="13" cm="1">
        <f t="array" ref="E2:E95">P-Q</f>
        <v>71.081304210526355</v>
      </c>
      <c r="F2" t="str" cm="1">
        <f t="array" ref="F2:O11">_xlfn.LET(
    _xlpm.Ovals, O,
    _xlpm.Pvals, P,
    _xlpm.Qvals, Q,
    _xlpm.l, ROWS(_xlpm.Ovals),
    _xlpm.SortKey, _xlpm.Pvals - _xlpm.Qvals,
    _xlpm.v, _xlfn.SORTBY(_xlpm.Ovals, _xlpm.SortKey, -1),
    _xlpm.n, INT(SQRT(_xlpm.l)) + 1,
    _xlpm.seq, _xlfn.SEQUENCE(_xlpm.n^2),
    _xlpm.flat, IF(_xlpm.seq &lt;= _xlpm.l, INDEX(_xlpm.v, _xlpm.seq), ""),
    _xlfn.WRAPROWS(_xlpm.flat, _xlpm.n)
)</f>
        <v>GS</v>
      </c>
      <c r="G2" t="str">
        <v>SAFIAG</v>
      </c>
      <c r="H2" t="str">
        <v>SAFASML</v>
      </c>
      <c r="I2" t="str">
        <v>ASML</v>
      </c>
      <c r="J2" t="str">
        <v>JBASML</v>
      </c>
      <c r="K2" t="str">
        <v>MSFT</v>
      </c>
      <c r="L2" t="str">
        <v>IAG</v>
      </c>
      <c r="M2" t="str">
        <v>TSLA</v>
      </c>
      <c r="N2" t="str">
        <v>SAFAAPL</v>
      </c>
      <c r="O2" t="str">
        <v>TSM</v>
      </c>
      <c r="Q2" t="str" cm="1">
        <f t="array" ref="Q2:Z11">_xlfn.LET(
    _xlpm.Ovals, O,
    _xlpm.Pvals, P,
    _xlpm.Qvals, Q,
    _xlpm.l, ROWS(_xlpm.Ovals),
    _xlpm.SortKey, _xlpm.Pvals - _xlpm.Qvals,
    _xlpm.v, _xlfn.SORTBY(_xlpm.Ovals, _xlpm.SortKey, -1, _xlfn.SEQUENCE(_xlpm.l), 1),
    _xlpm.n, INT(SQRT(_xlpm.l)) + 1,
    _xlpm.rows, _xlfn.SEQUENCE(_xlpm.n),
    _xlpm.cols, _xlfn.SEQUENCE(,_xlpm.n),
    _xlpm.d, MAX(_xlpm.rows, _xlpm.cols),
        _xlpm.layerIndex, _xlfn.SORTBY(_xlfn.SEQUENCE(_xlpm.n*_xlpm.n), _xlfn.LET(_xlpm.z, _xlfn.WRAPROWS(_xlpm.d, _xlpm.n), INDEX(_xlpm.z, _xlfn.SEQUENCE(_xlpm.n*_xlpm.n))), 1),
    _xlpm.flat, IF(_xlpm.layerIndex &lt;= _xlpm.l, INDEX(_xlpm.v, _xlpm.layerIndex), ""),
    _xlfn.WRAPROWS(_xlpm.flat, _xlpm.n)
)</f>
        <v>GS</v>
      </c>
      <c r="R2" t="str">
        <v>SAFIAG</v>
      </c>
      <c r="S2" t="str">
        <v>SAFASML</v>
      </c>
      <c r="T2" t="str">
        <v>ASML</v>
      </c>
      <c r="U2" t="str">
        <v>JBASML</v>
      </c>
      <c r="V2" t="str">
        <v>MSFT</v>
      </c>
      <c r="W2" t="str">
        <v>IAG</v>
      </c>
      <c r="X2" t="str">
        <v>TSLA</v>
      </c>
      <c r="Y2" t="str">
        <v>SAFAAPL</v>
      </c>
      <c r="Z2" t="str">
        <v>TSM</v>
      </c>
    </row>
    <row r="3" spans="1:26" x14ac:dyDescent="0.3">
      <c r="A3" s="5" t="s">
        <v>5</v>
      </c>
      <c r="B3" s="6">
        <v>12.39</v>
      </c>
      <c r="C3" s="9">
        <v>13.074779999999999</v>
      </c>
      <c r="D3" s="8">
        <v>19.75</v>
      </c>
      <c r="E3" s="13">
        <v>-0.68477999999999817</v>
      </c>
      <c r="F3" t="str">
        <v>AAPL</v>
      </c>
      <c r="G3" t="str">
        <v>SAFGM</v>
      </c>
      <c r="H3" t="str">
        <v>THC</v>
      </c>
      <c r="I3" t="str">
        <v>AVGO</v>
      </c>
      <c r="J3" t="str">
        <v>AMZN</v>
      </c>
      <c r="K3" t="str">
        <v>NEM</v>
      </c>
      <c r="L3" t="str">
        <v>SAFAMZN</v>
      </c>
      <c r="M3" t="str">
        <v>EZJ</v>
      </c>
      <c r="N3" t="str">
        <v>GM</v>
      </c>
      <c r="O3" t="str">
        <v>X</v>
      </c>
      <c r="Q3" t="str">
        <v>AAPL</v>
      </c>
      <c r="R3" t="str">
        <v>SAFGM</v>
      </c>
      <c r="S3" t="str">
        <v>THC</v>
      </c>
      <c r="T3" t="str">
        <v>AVGO</v>
      </c>
      <c r="U3" t="str">
        <v>AMZN</v>
      </c>
      <c r="V3" t="str">
        <v>NEM</v>
      </c>
      <c r="W3" t="str">
        <v>SAFAMZN</v>
      </c>
      <c r="X3" t="str">
        <v>EZJ</v>
      </c>
      <c r="Y3" t="str">
        <v>GM</v>
      </c>
      <c r="Z3" t="str">
        <v>X</v>
      </c>
    </row>
    <row r="4" spans="1:26" x14ac:dyDescent="0.3">
      <c r="A4" s="5" t="s">
        <v>6</v>
      </c>
      <c r="B4" s="6">
        <v>38.950000000000003</v>
      </c>
      <c r="C4" s="7">
        <v>49.237027903292685</v>
      </c>
      <c r="D4" s="8">
        <v>95.26</v>
      </c>
      <c r="E4" s="13">
        <v>-10.287027903292682</v>
      </c>
      <c r="F4" t="str">
        <v>CVS</v>
      </c>
      <c r="G4" t="str">
        <v>AZN</v>
      </c>
      <c r="H4" t="str">
        <v>RIGL</v>
      </c>
      <c r="I4" t="str">
        <v>RWE</v>
      </c>
      <c r="J4" t="str">
        <v>RRC</v>
      </c>
      <c r="K4" t="str">
        <v>NEE</v>
      </c>
      <c r="L4" t="str">
        <v>PAAS</v>
      </c>
      <c r="M4" t="str">
        <v>MVERWE</v>
      </c>
      <c r="N4" t="str">
        <v>CSCO</v>
      </c>
      <c r="O4" t="str">
        <v>LOCK</v>
      </c>
      <c r="Q4" t="str">
        <v>CVS</v>
      </c>
      <c r="R4" t="str">
        <v>AZN</v>
      </c>
      <c r="S4" t="str">
        <v>RIGL</v>
      </c>
      <c r="T4" t="str">
        <v>RWE</v>
      </c>
      <c r="U4" t="str">
        <v>RRC</v>
      </c>
      <c r="V4" t="str">
        <v>NEE</v>
      </c>
      <c r="W4" t="str">
        <v>PAAS</v>
      </c>
      <c r="X4" t="str">
        <v>MVERWE</v>
      </c>
      <c r="Y4" t="str">
        <v>CSCO</v>
      </c>
      <c r="Z4" t="str">
        <v>LOCK</v>
      </c>
    </row>
    <row r="5" spans="1:26" x14ac:dyDescent="0.3">
      <c r="A5" s="5" t="s">
        <v>7</v>
      </c>
      <c r="B5" s="6">
        <v>233.88</v>
      </c>
      <c r="C5" s="9">
        <v>203.15856500000001</v>
      </c>
      <c r="D5" s="8">
        <v>294.64783</v>
      </c>
      <c r="E5" s="13">
        <v>30.721434999999985</v>
      </c>
      <c r="F5" t="str">
        <v>MVEEOAN</v>
      </c>
      <c r="G5" t="str">
        <v>LUV</v>
      </c>
      <c r="H5" t="str">
        <v>F</v>
      </c>
      <c r="I5" t="str">
        <v>VLVLY</v>
      </c>
      <c r="J5" t="str">
        <v>XOM</v>
      </c>
      <c r="K5" t="str">
        <v>C</v>
      </c>
      <c r="L5" t="str">
        <v>MVEGLE</v>
      </c>
      <c r="M5" t="str">
        <v>LUMN</v>
      </c>
      <c r="N5" t="str">
        <v>MVEENI</v>
      </c>
      <c r="O5" t="str">
        <v>WBA</v>
      </c>
      <c r="Q5" t="str">
        <v>MVEEOAN</v>
      </c>
      <c r="R5" t="str">
        <v>LUV</v>
      </c>
      <c r="S5" t="str">
        <v>F</v>
      </c>
      <c r="T5" t="str">
        <v>VLVLY</v>
      </c>
      <c r="U5" t="str">
        <v>XOM</v>
      </c>
      <c r="V5" t="str">
        <v>C</v>
      </c>
      <c r="W5" t="str">
        <v>MVEGLE</v>
      </c>
      <c r="X5" t="str">
        <v>LUMN</v>
      </c>
      <c r="Y5" t="str">
        <v>MVEENI</v>
      </c>
      <c r="Z5" t="str">
        <v>WBA</v>
      </c>
    </row>
    <row r="6" spans="1:26" x14ac:dyDescent="0.3">
      <c r="A6" s="5" t="s">
        <v>8</v>
      </c>
      <c r="B6" s="6">
        <v>0.628</v>
      </c>
      <c r="C6" s="7">
        <v>1.1669648384441569</v>
      </c>
      <c r="D6" s="8">
        <v>1.56667</v>
      </c>
      <c r="E6" s="13">
        <v>-0.53896483844415688</v>
      </c>
      <c r="F6" t="str">
        <v>VONN</v>
      </c>
      <c r="G6" t="str">
        <v>MVEORA</v>
      </c>
      <c r="H6" t="str">
        <v>HPE</v>
      </c>
      <c r="I6" t="str">
        <v>ENI</v>
      </c>
      <c r="J6" t="str">
        <v>VTRS</v>
      </c>
      <c r="K6" t="str">
        <v>PROF</v>
      </c>
      <c r="L6" t="str">
        <v>RIG</v>
      </c>
      <c r="M6" t="str">
        <v>KR</v>
      </c>
      <c r="N6" t="str">
        <v>JBEOAN</v>
      </c>
      <c r="O6" t="str">
        <v>BLDP</v>
      </c>
      <c r="Q6" t="str">
        <v>VONN</v>
      </c>
      <c r="R6" t="str">
        <v>MVEORA</v>
      </c>
      <c r="S6" t="str">
        <v>HPE</v>
      </c>
      <c r="T6" t="str">
        <v>ENI</v>
      </c>
      <c r="U6" t="str">
        <v>VTRS</v>
      </c>
      <c r="V6" t="str">
        <v>PROF</v>
      </c>
      <c r="W6" t="str">
        <v>RIG</v>
      </c>
      <c r="X6" t="str">
        <v>KR</v>
      </c>
      <c r="Y6" t="str">
        <v>JBEOAN</v>
      </c>
      <c r="Z6" t="str">
        <v>BLDP</v>
      </c>
    </row>
    <row r="7" spans="1:26" x14ac:dyDescent="0.3">
      <c r="A7" s="5" t="s">
        <v>9</v>
      </c>
      <c r="B7" s="6">
        <v>932.5</v>
      </c>
      <c r="C7" s="9">
        <v>659.16250000000002</v>
      </c>
      <c r="D7" s="8">
        <v>953.67740000000003</v>
      </c>
      <c r="E7" s="13">
        <v>273.33749999999998</v>
      </c>
      <c r="F7" t="str">
        <v>ORA</v>
      </c>
      <c r="G7" t="str">
        <v>PW</v>
      </c>
      <c r="H7" t="str">
        <v>PFE</v>
      </c>
      <c r="I7" t="str">
        <v>MVEDDD</v>
      </c>
      <c r="J7" t="str">
        <v>ALDNE</v>
      </c>
      <c r="K7" t="str">
        <v>MVEALDNE</v>
      </c>
      <c r="L7" t="str">
        <v>ADEA</v>
      </c>
      <c r="M7" t="str">
        <v>EOAN</v>
      </c>
      <c r="N7" t="str">
        <v>DVA</v>
      </c>
      <c r="O7" t="str">
        <v>BLNK</v>
      </c>
      <c r="Q7" t="str">
        <v>ORA</v>
      </c>
      <c r="R7" t="str">
        <v>PW</v>
      </c>
      <c r="S7" t="str">
        <v>PFE</v>
      </c>
      <c r="T7" t="str">
        <v>MVEDDD</v>
      </c>
      <c r="U7" t="str">
        <v>ALDNE</v>
      </c>
      <c r="V7" t="str">
        <v>MVEALDNE</v>
      </c>
      <c r="W7" t="str">
        <v>ADEA</v>
      </c>
      <c r="X7" t="str">
        <v>EOAN</v>
      </c>
      <c r="Y7" t="str">
        <v>DVA</v>
      </c>
      <c r="Z7" t="str">
        <v>BLNK</v>
      </c>
    </row>
    <row r="8" spans="1:26" x14ac:dyDescent="0.3">
      <c r="A8" s="10" t="s">
        <v>10</v>
      </c>
      <c r="B8" s="11">
        <v>386.08</v>
      </c>
      <c r="C8" s="12">
        <v>331.63</v>
      </c>
      <c r="D8" s="8">
        <v>401.27733999999998</v>
      </c>
      <c r="E8" s="13">
        <v>54.449999999999989</v>
      </c>
      <c r="F8" t="str">
        <v>DDD</v>
      </c>
      <c r="G8" t="str">
        <v>POET</v>
      </c>
      <c r="H8" t="str">
        <v>SAFDDD</v>
      </c>
      <c r="I8" t="str">
        <v>HPQ</v>
      </c>
      <c r="J8" t="str">
        <v>EPIX</v>
      </c>
      <c r="K8" t="str">
        <v>SHECY</v>
      </c>
      <c r="L8" t="str">
        <v>MVEEPIX</v>
      </c>
      <c r="M8" t="str">
        <v>DXC</v>
      </c>
      <c r="N8" t="str">
        <v>XPER</v>
      </c>
      <c r="O8" t="str">
        <v>UNIT</v>
      </c>
      <c r="Q8" t="str">
        <v>DDD</v>
      </c>
      <c r="R8" t="str">
        <v>POET</v>
      </c>
      <c r="S8" t="str">
        <v>SAFDDD</v>
      </c>
      <c r="T8" t="str">
        <v>HPQ</v>
      </c>
      <c r="U8" t="str">
        <v>EPIX</v>
      </c>
      <c r="V8" t="str">
        <v>SHECY</v>
      </c>
      <c r="W8" t="str">
        <v>MVEEPIX</v>
      </c>
      <c r="X8" t="str">
        <v>DXC</v>
      </c>
      <c r="Y8" t="str">
        <v>XPER</v>
      </c>
      <c r="Z8" t="str">
        <v>UNIT</v>
      </c>
    </row>
    <row r="9" spans="1:26" x14ac:dyDescent="0.3">
      <c r="A9" s="10" t="s">
        <v>11</v>
      </c>
      <c r="B9" s="11">
        <v>90.52</v>
      </c>
      <c r="C9" s="12">
        <v>69.84</v>
      </c>
      <c r="D9" s="8">
        <v>94.682730000000006</v>
      </c>
      <c r="E9" s="13">
        <v>20.679999999999993</v>
      </c>
      <c r="F9" t="str">
        <v>NVAX</v>
      </c>
      <c r="G9" t="str">
        <v>NFLX</v>
      </c>
      <c r="H9" t="str">
        <v>SAFDIS</v>
      </c>
      <c r="I9" t="str">
        <v>DSY</v>
      </c>
      <c r="J9" t="str">
        <v>NOTE</v>
      </c>
      <c r="K9" t="str">
        <v>DIS</v>
      </c>
      <c r="L9" t="str">
        <v>UN0</v>
      </c>
      <c r="M9" t="str">
        <v>MVEUN0</v>
      </c>
      <c r="N9" t="str">
        <v>MVEDSY</v>
      </c>
      <c r="O9" t="str">
        <v>AET</v>
      </c>
      <c r="Q9" t="str">
        <v>NVAX</v>
      </c>
      <c r="R9" t="str">
        <v>NFLX</v>
      </c>
      <c r="S9" t="str">
        <v>SAFDIS</v>
      </c>
      <c r="T9" t="str">
        <v>DSY</v>
      </c>
      <c r="U9" t="str">
        <v>NOTE</v>
      </c>
      <c r="V9" t="str">
        <v>DIS</v>
      </c>
      <c r="W9" t="str">
        <v>UN0</v>
      </c>
      <c r="X9" t="str">
        <v>MVEUN0</v>
      </c>
      <c r="Y9" t="str">
        <v>MVEDSY</v>
      </c>
      <c r="Z9" t="str">
        <v>AET</v>
      </c>
    </row>
    <row r="10" spans="1:26" x14ac:dyDescent="0.3">
      <c r="A10" s="5" t="s">
        <v>12</v>
      </c>
      <c r="B10" s="6">
        <v>2.68</v>
      </c>
      <c r="C10" s="7">
        <v>2.1440000000000001</v>
      </c>
      <c r="D10" s="8">
        <v>2.9874999999999998</v>
      </c>
      <c r="E10" s="13">
        <v>0.53600000000000003</v>
      </c>
      <c r="F10" t="str">
        <v>BMRA</v>
      </c>
      <c r="G10" t="str">
        <v>OXY</v>
      </c>
      <c r="H10" t="str">
        <v>MA</v>
      </c>
      <c r="I10" t="str">
        <v>XYZ</v>
      </c>
      <c r="J10" t="str">
        <v>SSYS</v>
      </c>
      <c r="K10" t="str">
        <v>LAZR</v>
      </c>
      <c r="L10" t="str">
        <v>GNRC</v>
      </c>
      <c r="M10" t="str">
        <v>SAP</v>
      </c>
      <c r="N10" t="str">
        <v>SAFMRNA</v>
      </c>
      <c r="O10" t="str">
        <v>MVESAP</v>
      </c>
      <c r="Q10" t="str">
        <v>BMRA</v>
      </c>
      <c r="R10" t="str">
        <v>OXY</v>
      </c>
      <c r="S10" t="str">
        <v>MA</v>
      </c>
      <c r="T10" t="str">
        <v>XYZ</v>
      </c>
      <c r="U10" t="str">
        <v>SSYS</v>
      </c>
      <c r="V10" t="str">
        <v>LAZR</v>
      </c>
      <c r="W10" t="str">
        <v>GNRC</v>
      </c>
      <c r="X10" t="str">
        <v>SAP</v>
      </c>
      <c r="Y10" t="str">
        <v>SAFMRNA</v>
      </c>
      <c r="Z10" t="str">
        <v>MVESAP</v>
      </c>
    </row>
    <row r="11" spans="1:26" x14ac:dyDescent="0.3">
      <c r="A11" s="5" t="s">
        <v>13</v>
      </c>
      <c r="B11" s="6">
        <v>2.2599999999999998</v>
      </c>
      <c r="C11" s="9">
        <v>12.7196</v>
      </c>
      <c r="D11" s="8">
        <v>0</v>
      </c>
      <c r="E11" s="13">
        <v>-10.4596</v>
      </c>
      <c r="F11" t="str">
        <v>MRNA</v>
      </c>
      <c r="G11" t="str">
        <v>LNSR</v>
      </c>
      <c r="H11" t="str">
        <v>NVS</v>
      </c>
      <c r="I11" t="str">
        <v>GLE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Q11" t="str">
        <v>MRNA</v>
      </c>
      <c r="R11" t="str">
        <v>LNSR</v>
      </c>
      <c r="S11" t="str">
        <v>NVS</v>
      </c>
      <c r="T11" t="str">
        <v>GLE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 spans="1:26" x14ac:dyDescent="0.3">
      <c r="A12" s="5" t="s">
        <v>14</v>
      </c>
      <c r="B12" s="6">
        <v>102.68</v>
      </c>
      <c r="C12" s="7">
        <v>99.111904761904768</v>
      </c>
      <c r="D12" s="8">
        <v>114.33333</v>
      </c>
      <c r="E12" s="13">
        <v>3.5680952380952391</v>
      </c>
    </row>
    <row r="13" spans="1:26" x14ac:dyDescent="0.3">
      <c r="A13" s="5" t="s">
        <v>15</v>
      </c>
      <c r="B13" s="6">
        <v>76.040000000000006</v>
      </c>
      <c r="C13" s="9">
        <v>67.2</v>
      </c>
      <c r="D13" s="8">
        <v>84.814760000000007</v>
      </c>
      <c r="E13" s="13">
        <v>8.8400000000000034</v>
      </c>
      <c r="F13">
        <f>IFERROR(_xlfn.XLOOKUP(F2,O,P),"")</f>
        <v>810.84</v>
      </c>
      <c r="G13">
        <f>IFERROR(_xlfn.XLOOKUP(G2,O,P),"")</f>
        <v>392.7</v>
      </c>
      <c r="H13">
        <f>IFERROR(_xlfn.XLOOKUP(H2,O,P),"")</f>
        <v>932.5</v>
      </c>
      <c r="I13">
        <f>IFERROR(_xlfn.XLOOKUP(I2,O,P),"")</f>
        <v>932.5</v>
      </c>
      <c r="J13">
        <f>IFERROR(_xlfn.XLOOKUP(J2,O,P),"")</f>
        <v>932.5</v>
      </c>
      <c r="K13">
        <f>IFERROR(_xlfn.XLOOKUP(K2,O,P),"")</f>
        <v>486.74</v>
      </c>
      <c r="L13">
        <f>IFERROR(_xlfn.XLOOKUP(L2,O,P),"")</f>
        <v>392.7</v>
      </c>
      <c r="M13">
        <f>IFERROR(_xlfn.XLOOKUP(M2,O,P),"")</f>
        <v>430.14</v>
      </c>
      <c r="N13">
        <f>IFERROR(_xlfn.XLOOKUP(N2,O,P),"")</f>
        <v>283.10000000000002</v>
      </c>
      <c r="O13">
        <f>IFERROR(_xlfn.XLOOKUP(O2,O,P),"")</f>
        <v>287.91000000000003</v>
      </c>
    </row>
    <row r="14" spans="1:26" x14ac:dyDescent="0.3">
      <c r="A14" s="5" t="s">
        <v>16</v>
      </c>
      <c r="B14" s="6">
        <v>79.12</v>
      </c>
      <c r="C14" s="7">
        <v>56.056190000000001</v>
      </c>
      <c r="D14" s="8">
        <v>91.48</v>
      </c>
      <c r="E14" s="13">
        <v>23.063810000000004</v>
      </c>
      <c r="F14">
        <f>IFERROR(_xlfn.XLOOKUP(F3,O,P),"")</f>
        <v>283.10000000000002</v>
      </c>
      <c r="G14">
        <f>IFERROR(_xlfn.XLOOKUP(G3,O,P),"")</f>
        <v>72.95</v>
      </c>
      <c r="H14">
        <f>IFERROR(_xlfn.XLOOKUP(H3,O,P),"")</f>
        <v>215.13</v>
      </c>
      <c r="I14">
        <f>IFERROR(_xlfn.XLOOKUP(I3,O,P),"")</f>
        <v>386.08</v>
      </c>
      <c r="J14">
        <f>IFERROR(_xlfn.XLOOKUP(J3,O,P),"")</f>
        <v>233.88</v>
      </c>
      <c r="K14">
        <f>IFERROR(_xlfn.XLOOKUP(K3,O,P),"")</f>
        <v>91.83</v>
      </c>
      <c r="L14">
        <f>IFERROR(_xlfn.XLOOKUP(L3,O,P),"")</f>
        <v>233.88</v>
      </c>
      <c r="M14">
        <f>IFERROR(_xlfn.XLOOKUP(M3,O,P),"")</f>
        <v>489.96899999999999</v>
      </c>
      <c r="N14">
        <f>IFERROR(_xlfn.XLOOKUP(N3,O,P),"")</f>
        <v>72.95</v>
      </c>
      <c r="O14">
        <f>IFERROR(_xlfn.XLOOKUP(O3,O,P),"")</f>
        <v>54.84</v>
      </c>
    </row>
    <row r="15" spans="1:26" x14ac:dyDescent="0.3">
      <c r="A15" s="5" t="s">
        <v>17</v>
      </c>
      <c r="B15" s="6">
        <v>2</v>
      </c>
      <c r="C15" s="9">
        <v>2.9870588235294115</v>
      </c>
      <c r="D15" s="8">
        <v>3.625</v>
      </c>
      <c r="E15" s="13">
        <v>-0.98705882352941154</v>
      </c>
      <c r="F15">
        <f>IFERROR(_xlfn.XLOOKUP(F4,O,P),"")</f>
        <v>79.12</v>
      </c>
      <c r="G15">
        <f>IFERROR(_xlfn.XLOOKUP(G4,O,P),"")</f>
        <v>90.52</v>
      </c>
      <c r="H15">
        <f>IFERROR(_xlfn.XLOOKUP(H4,O,P),"")</f>
        <v>47.26</v>
      </c>
      <c r="I15">
        <f>IFERROR(_xlfn.XLOOKUP(I4,O,P),"")</f>
        <v>43.24</v>
      </c>
      <c r="J15">
        <f>IFERROR(_xlfn.XLOOKUP(J4,O,P),"")</f>
        <v>39.26</v>
      </c>
      <c r="K15">
        <f>IFERROR(_xlfn.XLOOKUP(K4,O,P),"")</f>
        <v>84.65</v>
      </c>
      <c r="L15">
        <f>IFERROR(_xlfn.XLOOKUP(L4,O,P),"")</f>
        <v>46.08</v>
      </c>
      <c r="M15">
        <f>IFERROR(_xlfn.XLOOKUP(M4,O,P),"")</f>
        <v>43.24</v>
      </c>
      <c r="N15">
        <f>IFERROR(_xlfn.XLOOKUP(N4,O,P),"")</f>
        <v>76.040000000000006</v>
      </c>
      <c r="O15">
        <f>IFERROR(_xlfn.XLOOKUP(O4,O,P),"")</f>
        <v>9.9290000000000003</v>
      </c>
    </row>
    <row r="16" spans="1:26" x14ac:dyDescent="0.3">
      <c r="A16" s="5" t="s">
        <v>18</v>
      </c>
      <c r="B16" s="6">
        <v>106.77</v>
      </c>
      <c r="C16" s="7">
        <v>114.574</v>
      </c>
      <c r="D16" s="8">
        <v>132.50357</v>
      </c>
      <c r="E16" s="13">
        <v>-7.804000000000002</v>
      </c>
      <c r="F16">
        <f>IFERROR(_xlfn.XLOOKUP(F5,O,P),"")</f>
        <v>15.255000000000001</v>
      </c>
      <c r="G16">
        <f>IFERROR(_xlfn.XLOOKUP(G5,O,P),"")</f>
        <v>34.770000000000003</v>
      </c>
      <c r="H16">
        <f>IFERROR(_xlfn.XLOOKUP(H5,O,P),"")</f>
        <v>13.157</v>
      </c>
      <c r="I16">
        <f>IFERROR(_xlfn.XLOOKUP(I5,O,P),"")</f>
        <v>29.87</v>
      </c>
      <c r="J16">
        <f>IFERROR(_xlfn.XLOOKUP(J5,O,P),"")</f>
        <v>116.66500000000001</v>
      </c>
      <c r="K16">
        <f>IFERROR(_xlfn.XLOOKUP(K5,O,P),"")</f>
        <v>102.68</v>
      </c>
      <c r="L16">
        <f>IFERROR(_xlfn.XLOOKUP(L5,O,P),"")</f>
        <v>60.62</v>
      </c>
      <c r="M16">
        <f>IFERROR(_xlfn.XLOOKUP(M5,O,P),"")</f>
        <v>8.2899999999999991</v>
      </c>
      <c r="N16">
        <f>IFERROR(_xlfn.XLOOKUP(N5,O,P),"")</f>
        <v>16.146000000000001</v>
      </c>
      <c r="O16">
        <f>IFERROR(_xlfn.XLOOKUP(O5,O,P),"")</f>
        <v>11.98</v>
      </c>
    </row>
    <row r="17" spans="1:26" x14ac:dyDescent="0.3">
      <c r="A17" s="5" t="s">
        <v>19</v>
      </c>
      <c r="B17" s="6">
        <v>23.58</v>
      </c>
      <c r="C17" s="9">
        <v>30.072500000000002</v>
      </c>
      <c r="D17" s="8">
        <v>31.877780000000001</v>
      </c>
      <c r="E17" s="13">
        <v>-6.4925000000000033</v>
      </c>
      <c r="F17">
        <f>IFERROR(_xlfn.XLOOKUP(F6,O,P),"")</f>
        <v>61.2</v>
      </c>
      <c r="G17">
        <f>IFERROR(_xlfn.XLOOKUP(G6,O,P),"")</f>
        <v>13.785</v>
      </c>
      <c r="H17">
        <f>IFERROR(_xlfn.XLOOKUP(H6,O,P),"")</f>
        <v>21.97</v>
      </c>
      <c r="I17">
        <f>IFERROR(_xlfn.XLOOKUP(I6,O,P),"")</f>
        <v>16.146000000000001</v>
      </c>
      <c r="J17">
        <f>IFERROR(_xlfn.XLOOKUP(J6,O,P),"")</f>
        <v>10.7</v>
      </c>
      <c r="K17">
        <f>IFERROR(_xlfn.XLOOKUP(K6,O,P),"")</f>
        <v>6.42</v>
      </c>
      <c r="L17">
        <f>IFERROR(_xlfn.XLOOKUP(L6,O,P),"")</f>
        <v>4.3499999999999996</v>
      </c>
      <c r="M17">
        <f>IFERROR(_xlfn.XLOOKUP(M6,O,P),"")</f>
        <v>67.55</v>
      </c>
      <c r="N17">
        <f>IFERROR(_xlfn.XLOOKUP(N6,O,P),"")</f>
        <v>15.255000000000001</v>
      </c>
      <c r="O17">
        <f>IFERROR(_xlfn.XLOOKUP(O6,O,P),"")</f>
        <v>2.68</v>
      </c>
    </row>
    <row r="18" spans="1:26" x14ac:dyDescent="0.3">
      <c r="A18" s="5" t="s">
        <v>20</v>
      </c>
      <c r="B18" s="6">
        <v>119.24</v>
      </c>
      <c r="C18" s="7">
        <v>120.14</v>
      </c>
      <c r="D18" s="8">
        <v>144.5</v>
      </c>
      <c r="E18" s="13">
        <v>-0.90000000000000568</v>
      </c>
      <c r="F18">
        <f>IFERROR(_xlfn.XLOOKUP(F7,O,P),"")</f>
        <v>13.785</v>
      </c>
      <c r="G18">
        <f>IFERROR(_xlfn.XLOOKUP(G7,O,P),"")</f>
        <v>0.83</v>
      </c>
      <c r="H18">
        <f>IFERROR(_xlfn.XLOOKUP(H7,O,P),"")</f>
        <v>25.29</v>
      </c>
      <c r="I18">
        <f>IFERROR(_xlfn.XLOOKUP(I7,O,P),"")</f>
        <v>2</v>
      </c>
      <c r="J18">
        <f>IFERROR(_xlfn.XLOOKUP(J7,O,P),"")</f>
        <v>0.628</v>
      </c>
      <c r="K18">
        <f>IFERROR(_xlfn.XLOOKUP(K7,O,P),"")</f>
        <v>0.628</v>
      </c>
      <c r="L18">
        <f>IFERROR(_xlfn.XLOOKUP(L7,O,P),"")</f>
        <v>12.39</v>
      </c>
      <c r="M18">
        <f>IFERROR(_xlfn.XLOOKUP(M7,O,P),"")</f>
        <v>15.255000000000001</v>
      </c>
      <c r="N18">
        <f>IFERROR(_xlfn.XLOOKUP(N7,O,P),"")</f>
        <v>119.24</v>
      </c>
      <c r="O18">
        <f>IFERROR(_xlfn.XLOOKUP(O7,O,P),"")</f>
        <v>1.26</v>
      </c>
    </row>
    <row r="19" spans="1:26" x14ac:dyDescent="0.3">
      <c r="A19" s="5" t="s">
        <v>21</v>
      </c>
      <c r="B19" s="6">
        <v>13.44</v>
      </c>
      <c r="C19" s="9">
        <v>15.842499999999999</v>
      </c>
      <c r="D19" s="8">
        <v>14.5</v>
      </c>
      <c r="E19" s="13">
        <v>-2.4024999999999999</v>
      </c>
      <c r="F19">
        <f>IFERROR(_xlfn.XLOOKUP(F8,O,P),"")</f>
        <v>2</v>
      </c>
      <c r="G19">
        <f>IFERROR(_xlfn.XLOOKUP(G8,O,P),"")</f>
        <v>4.6100000000000003</v>
      </c>
      <c r="H19">
        <f>IFERROR(_xlfn.XLOOKUP(H8,O,P),"")</f>
        <v>2</v>
      </c>
      <c r="I19">
        <f>IFERROR(_xlfn.XLOOKUP(I8,O,P),"")</f>
        <v>24.39</v>
      </c>
      <c r="J19">
        <f>IFERROR(_xlfn.XLOOKUP(J8,O,P),"")</f>
        <v>0.20119999999999999</v>
      </c>
      <c r="K19">
        <f>IFERROR(_xlfn.XLOOKUP(K8,O,P),"")</f>
        <v>14.88</v>
      </c>
      <c r="L19">
        <f>IFERROR(_xlfn.XLOOKUP(L8,O,P),"")</f>
        <v>0.20119999999999999</v>
      </c>
      <c r="M19">
        <f>IFERROR(_xlfn.XLOOKUP(M8,O,P),"")</f>
        <v>13.44</v>
      </c>
      <c r="N19">
        <f>IFERROR(_xlfn.XLOOKUP(N8,O,P),"")</f>
        <v>5.7</v>
      </c>
      <c r="O19">
        <f>IFERROR(_xlfn.XLOOKUP(O8,O,P),"")</f>
        <v>6.43</v>
      </c>
    </row>
    <row r="20" spans="1:26" x14ac:dyDescent="0.3">
      <c r="A20" s="5" t="s">
        <v>22</v>
      </c>
      <c r="B20" s="6">
        <v>15.255000000000001</v>
      </c>
      <c r="C20" s="7">
        <v>15.9938</v>
      </c>
      <c r="D20" s="8">
        <v>16.934180000000001</v>
      </c>
      <c r="E20" s="13">
        <v>-0.73879999999999946</v>
      </c>
      <c r="F20">
        <f>IFERROR(_xlfn.XLOOKUP(F9,O,P),"")</f>
        <v>6.69</v>
      </c>
      <c r="G20">
        <f>IFERROR(_xlfn.XLOOKUP(G9,O,P),"")</f>
        <v>109.13</v>
      </c>
      <c r="H20">
        <f>IFERROR(_xlfn.XLOOKUP(H9,O,P),"")</f>
        <v>106.77</v>
      </c>
      <c r="I20">
        <f>IFERROR(_xlfn.XLOOKUP(I9,O,P),"")</f>
        <v>23.58</v>
      </c>
      <c r="J20">
        <f>IFERROR(_xlfn.XLOOKUP(J9,O,P),"")</f>
        <v>2.19</v>
      </c>
      <c r="K20">
        <f>IFERROR(_xlfn.XLOOKUP(K9,O,P),"")</f>
        <v>106.77</v>
      </c>
      <c r="L20">
        <f>IFERROR(_xlfn.XLOOKUP(L9,O,P),"")</f>
        <v>32.9</v>
      </c>
      <c r="M20">
        <f>IFERROR(_xlfn.XLOOKUP(M9,O,P),"")</f>
        <v>32.9</v>
      </c>
      <c r="N20">
        <f>IFERROR(_xlfn.XLOOKUP(N9,O,P),"")</f>
        <v>23.58</v>
      </c>
      <c r="O20">
        <f>IFERROR(_xlfn.XLOOKUP(O9,O,P),"")</f>
        <v>38.950000000000003</v>
      </c>
    </row>
    <row r="21" spans="1:26" x14ac:dyDescent="0.3">
      <c r="A21" s="5" t="s">
        <v>23</v>
      </c>
      <c r="B21" s="6">
        <v>0.20119999999999999</v>
      </c>
      <c r="C21" s="9">
        <v>2.1268799999999999</v>
      </c>
      <c r="D21" s="8">
        <v>0</v>
      </c>
      <c r="E21" s="13">
        <v>-1.9256799999999998</v>
      </c>
      <c r="F21">
        <f>IFERROR(_xlfn.XLOOKUP(F10,O,P),"")</f>
        <v>2.2599999999999998</v>
      </c>
      <c r="G21">
        <f>IFERROR(_xlfn.XLOOKUP(G10,O,P),"")</f>
        <v>42.35</v>
      </c>
      <c r="H21">
        <f>IFERROR(_xlfn.XLOOKUP(H10,O,P),"")</f>
        <v>543.97</v>
      </c>
      <c r="I21">
        <f>IFERROR(_xlfn.XLOOKUP(I10,O,P),"")</f>
        <v>64.349999999999994</v>
      </c>
      <c r="J21">
        <f>IFERROR(_xlfn.XLOOKUP(J10,O,P),"")</f>
        <v>8.6300000000000008</v>
      </c>
      <c r="K21">
        <f>IFERROR(_xlfn.XLOOKUP(K10,O,P),"")</f>
        <v>0.86</v>
      </c>
      <c r="L21">
        <f>IFERROR(_xlfn.XLOOKUP(L10,O,P),"")</f>
        <v>149.22</v>
      </c>
      <c r="M21">
        <f>IFERROR(_xlfn.XLOOKUP(M10,O,P),"")</f>
        <v>208.1</v>
      </c>
      <c r="N21">
        <f>IFERROR(_xlfn.XLOOKUP(N10,O,P),"")</f>
        <v>24.16</v>
      </c>
      <c r="O21">
        <f>IFERROR(_xlfn.XLOOKUP(O10,O,P),"")</f>
        <v>208.1</v>
      </c>
    </row>
    <row r="22" spans="1:26" x14ac:dyDescent="0.3">
      <c r="A22" s="5" t="s">
        <v>24</v>
      </c>
      <c r="B22" s="6">
        <v>72.95</v>
      </c>
      <c r="C22" s="7">
        <v>46.676000000000002</v>
      </c>
      <c r="D22" s="8">
        <v>74.153850000000006</v>
      </c>
      <c r="E22" s="13">
        <v>26.274000000000001</v>
      </c>
      <c r="F22">
        <f>IFERROR(_xlfn.XLOOKUP(F11,O,P),"")</f>
        <v>24.16</v>
      </c>
      <c r="G22">
        <f>IFERROR(_xlfn.XLOOKUP(G11,O,P),"")</f>
        <v>10.25</v>
      </c>
      <c r="H22">
        <f>IFERROR(_xlfn.XLOOKUP(H11,O,P),"")</f>
        <v>128.97</v>
      </c>
      <c r="I22">
        <f>IFERROR(_xlfn.XLOOKUP(I11,O,P),"")</f>
        <v>60.62</v>
      </c>
      <c r="J22" t="str">
        <f>IFERROR(_xlfn.XLOOKUP(J11,O,P),"")</f>
        <v/>
      </c>
      <c r="K22" t="str">
        <f>IFERROR(_xlfn.XLOOKUP(K11,O,P),"")</f>
        <v/>
      </c>
      <c r="L22" t="str">
        <f>IFERROR(_xlfn.XLOOKUP(L11,O,P),"")</f>
        <v/>
      </c>
      <c r="M22" t="str">
        <f>IFERROR(_xlfn.XLOOKUP(M11,O,P),"")</f>
        <v/>
      </c>
      <c r="N22" t="str">
        <f>IFERROR(_xlfn.XLOOKUP(N11,O,P),"")</f>
        <v/>
      </c>
      <c r="O22" t="str">
        <f>IFERROR(_xlfn.XLOOKUP(O11,O,P),"")</f>
        <v/>
      </c>
    </row>
    <row r="23" spans="1:26" x14ac:dyDescent="0.3">
      <c r="A23" s="5" t="s">
        <v>25</v>
      </c>
      <c r="B23" s="6">
        <v>21.97</v>
      </c>
      <c r="C23" s="9">
        <v>20.386068695652174</v>
      </c>
      <c r="D23" s="8">
        <v>26.5</v>
      </c>
      <c r="E23" s="13">
        <v>1.5839313043478249</v>
      </c>
    </row>
    <row r="24" spans="1:26" x14ac:dyDescent="0.3">
      <c r="A24" s="5" t="s">
        <v>26</v>
      </c>
      <c r="B24" s="6">
        <v>24.39</v>
      </c>
      <c r="C24" s="7">
        <v>26.097999999999999</v>
      </c>
      <c r="D24" s="8">
        <v>27.737500000000001</v>
      </c>
      <c r="E24" s="13">
        <v>-1.7079999999999984</v>
      </c>
      <c r="F24" s="13" cm="1">
        <f t="array" ref="F24:O33">_xlfn.LET(
    _xlpm.Ovals, RR,
    _xlpm.Pvals, P,
    _xlpm.Qvals, Q,
    _xlpm.l, ROWS(_xlpm.Ovals),
    _xlpm.SortKey, _xlpm.Pvals - _xlpm.Qvals,
    _xlpm.v, _xlfn.SORTBY(_xlpm.Ovals, _xlpm.SortKey, -1),
    _xlpm.n, INT(SQRT(_xlpm.l)) + 1,
    _xlpm.seq, _xlfn.SEQUENCE(_xlpm.n^2),
    _xlpm.flat, IF(_xlpm.seq &lt;= _xlpm.l, INDEX(_xlpm.v, _xlpm.seq), ""),
    _xlfn.WRAPROWS(_xlpm.flat, _xlpm.n)
)</f>
        <v>810.84</v>
      </c>
      <c r="G24" s="13">
        <v>284.08999999999997</v>
      </c>
      <c r="H24" s="13">
        <v>278.12704799999995</v>
      </c>
      <c r="I24" s="13">
        <v>273.33749999999998</v>
      </c>
      <c r="J24" s="13">
        <v>208.76</v>
      </c>
      <c r="K24" s="13">
        <v>152.75902040816328</v>
      </c>
      <c r="L24" s="13">
        <v>98.810020000000009</v>
      </c>
      <c r="M24" s="13">
        <v>93.63</v>
      </c>
      <c r="N24" s="13">
        <v>83.245830857142892</v>
      </c>
      <c r="O24" s="13">
        <v>82.05955555555559</v>
      </c>
      <c r="Q24" s="13" cm="1">
        <f t="array" ref="Q24:Z33">_xlfn.LET(
    _xlpm.Ovals, RR,
    _xlpm.Pvals, P,
    _xlpm.Qvals, Q,
    _xlpm.l, ROWS(_xlpm.Ovals),
    _xlpm.SortKey, _xlpm.Pvals - _xlpm.Qvals,
    _xlpm.v, _xlfn.SORTBY(_xlpm.Ovals, _xlpm.SortKey, -1, _xlfn.SEQUENCE(_xlpm.l), 1),
    _xlpm.n, INT(SQRT(_xlpm.l)) + 1,
    _xlpm.rows, _xlfn.SEQUENCE(_xlpm.n),
    _xlpm.cols, _xlfn.SEQUENCE(,_xlpm.n),
    _xlpm.d, MAX(_xlpm.rows, _xlpm.cols),
        _xlpm.layerIndex, _xlfn.SORTBY(_xlfn.SEQUENCE(_xlpm.n*_xlpm.n), _xlfn.LET(_xlpm.z, _xlfn.WRAPROWS(_xlpm.d, _xlpm.n), INDEX(_xlpm.z, _xlfn.SEQUENCE(_xlpm.n*_xlpm.n))), 1),
    _xlpm.flat, IF(_xlpm.layerIndex &lt;= _xlpm.l, INDEX(_xlpm.v, _xlpm.layerIndex), ""),
    _xlfn.WRAPROWS(_xlpm.flat, _xlpm.n)
)</f>
        <v>810.84</v>
      </c>
      <c r="R24" s="13">
        <v>284.08999999999997</v>
      </c>
      <c r="S24" s="13">
        <v>278.12704799999995</v>
      </c>
      <c r="T24" s="13">
        <v>273.33749999999998</v>
      </c>
      <c r="U24" s="13">
        <v>208.76</v>
      </c>
      <c r="V24" s="13">
        <v>152.75902040816328</v>
      </c>
      <c r="W24" s="13">
        <v>98.810020000000009</v>
      </c>
      <c r="X24" s="13">
        <v>93.63</v>
      </c>
      <c r="Y24" s="13">
        <v>83.245830857142892</v>
      </c>
      <c r="Z24" s="13">
        <v>82.05955555555559</v>
      </c>
    </row>
    <row r="25" spans="1:26" x14ac:dyDescent="0.3">
      <c r="A25" s="5" t="s">
        <v>27</v>
      </c>
      <c r="B25" s="6">
        <v>392.7</v>
      </c>
      <c r="C25" s="9">
        <v>293.88997999999998</v>
      </c>
      <c r="D25" s="8">
        <v>463.65366</v>
      </c>
      <c r="E25" s="13">
        <v>98.810020000000009</v>
      </c>
      <c r="F25" s="13">
        <v>71.081304210526355</v>
      </c>
      <c r="G25" s="13">
        <v>69.610083842975214</v>
      </c>
      <c r="H25" s="13">
        <v>54.648743333333329</v>
      </c>
      <c r="I25" s="13">
        <v>54.449999999999989</v>
      </c>
      <c r="J25" s="13">
        <v>30.721434999999985</v>
      </c>
      <c r="K25" s="13">
        <v>29.442395500000003</v>
      </c>
      <c r="L25" s="13">
        <v>29.180000000000007</v>
      </c>
      <c r="M25" s="13">
        <v>28.995666666666637</v>
      </c>
      <c r="N25" s="13">
        <v>26.274000000000001</v>
      </c>
      <c r="O25" s="13">
        <v>23.882794000000008</v>
      </c>
      <c r="Q25" s="13">
        <v>71.081304210526355</v>
      </c>
      <c r="R25" s="13">
        <v>69.610083842975214</v>
      </c>
      <c r="S25" s="13">
        <v>54.648743333333329</v>
      </c>
      <c r="T25" s="13">
        <v>54.449999999999989</v>
      </c>
      <c r="U25" s="13">
        <v>30.721434999999985</v>
      </c>
      <c r="V25" s="13">
        <v>29.442395500000003</v>
      </c>
      <c r="W25" s="13">
        <v>29.180000000000007</v>
      </c>
      <c r="X25" s="13">
        <v>28.995666666666637</v>
      </c>
      <c r="Y25" s="13">
        <v>26.274000000000001</v>
      </c>
      <c r="Z25" s="13">
        <v>23.882794000000008</v>
      </c>
    </row>
    <row r="26" spans="1:26" x14ac:dyDescent="0.3">
      <c r="A26" s="5" t="s">
        <v>28</v>
      </c>
      <c r="B26" s="6">
        <v>67.55</v>
      </c>
      <c r="C26" s="7">
        <v>66.59108333333333</v>
      </c>
      <c r="D26" s="8">
        <v>75.954549999999998</v>
      </c>
      <c r="E26" s="13">
        <v>0.95891666666666708</v>
      </c>
      <c r="F26" s="13">
        <v>23.063810000000004</v>
      </c>
      <c r="G26" s="13">
        <v>20.679999999999993</v>
      </c>
      <c r="H26" s="13">
        <v>18.93</v>
      </c>
      <c r="I26" s="13">
        <v>14.870000000000001</v>
      </c>
      <c r="J26" s="13">
        <v>14.319999999999997</v>
      </c>
      <c r="K26" s="13">
        <v>13.649557000000001</v>
      </c>
      <c r="L26" s="13">
        <v>12.407499999999999</v>
      </c>
      <c r="M26" s="13">
        <v>10.145000000000003</v>
      </c>
      <c r="N26" s="13">
        <v>8.8400000000000034</v>
      </c>
      <c r="O26" s="13">
        <v>4.5890000000000004</v>
      </c>
      <c r="Q26" s="13">
        <v>23.063810000000004</v>
      </c>
      <c r="R26" s="13">
        <v>20.679999999999993</v>
      </c>
      <c r="S26" s="13">
        <v>18.93</v>
      </c>
      <c r="T26" s="13">
        <v>14.870000000000001</v>
      </c>
      <c r="U26" s="13">
        <v>14.319999999999997</v>
      </c>
      <c r="V26" s="13">
        <v>13.649557000000001</v>
      </c>
      <c r="W26" s="13">
        <v>12.407499999999999</v>
      </c>
      <c r="X26" s="13">
        <v>10.145000000000003</v>
      </c>
      <c r="Y26" s="13">
        <v>8.8400000000000034</v>
      </c>
      <c r="Z26" s="13">
        <v>4.5890000000000004</v>
      </c>
    </row>
    <row r="27" spans="1:26" x14ac:dyDescent="0.3">
      <c r="A27" s="5" t="s">
        <v>29</v>
      </c>
      <c r="B27" s="6">
        <v>10.25</v>
      </c>
      <c r="C27" s="9">
        <v>68.096917293233076</v>
      </c>
      <c r="D27" s="8">
        <v>15</v>
      </c>
      <c r="E27" s="13">
        <v>-57.846917293233076</v>
      </c>
      <c r="F27" s="13">
        <v>4.1950000000000003</v>
      </c>
      <c r="G27" s="13">
        <v>4.0726000000000049</v>
      </c>
      <c r="H27" s="13">
        <v>3.9220000000000006</v>
      </c>
      <c r="I27" s="13">
        <v>3.7950000000000017</v>
      </c>
      <c r="J27" s="13">
        <v>3.7349999999999994</v>
      </c>
      <c r="K27" s="13">
        <v>3.5680952380952391</v>
      </c>
      <c r="L27" s="13">
        <v>3.2849999999999966</v>
      </c>
      <c r="M27" s="13">
        <v>3.2216999999999993</v>
      </c>
      <c r="N27" s="13">
        <v>2.7174777777777788</v>
      </c>
      <c r="O27" s="13">
        <v>1.9200999999999997</v>
      </c>
      <c r="Q27" s="13">
        <v>4.1950000000000003</v>
      </c>
      <c r="R27" s="13">
        <v>4.0726000000000049</v>
      </c>
      <c r="S27" s="13">
        <v>3.9220000000000006</v>
      </c>
      <c r="T27" s="13">
        <v>3.7950000000000017</v>
      </c>
      <c r="U27" s="13">
        <v>3.7349999999999994</v>
      </c>
      <c r="V27" s="13">
        <v>3.5680952380952391</v>
      </c>
      <c r="W27" s="13">
        <v>3.2849999999999966</v>
      </c>
      <c r="X27" s="13">
        <v>3.2216999999999993</v>
      </c>
      <c r="Y27" s="13">
        <v>2.7174777777777788</v>
      </c>
      <c r="Z27" s="13">
        <v>1.9200999999999997</v>
      </c>
    </row>
    <row r="28" spans="1:26" x14ac:dyDescent="0.3">
      <c r="A28" s="5" t="s">
        <v>30</v>
      </c>
      <c r="B28" s="6">
        <v>8.2899999999999991</v>
      </c>
      <c r="C28" s="7">
        <v>5.0682999999999998</v>
      </c>
      <c r="D28" s="8">
        <v>7.2329999999999997</v>
      </c>
      <c r="E28" s="13">
        <v>3.2216999999999993</v>
      </c>
      <c r="F28" s="13">
        <v>1.8588541666666671</v>
      </c>
      <c r="G28" s="13">
        <v>1.6701515151515149</v>
      </c>
      <c r="H28" s="13">
        <v>1.5839313043478249</v>
      </c>
      <c r="I28" s="13">
        <v>1.2593666666666667</v>
      </c>
      <c r="J28" s="13">
        <v>1.2399999999999984</v>
      </c>
      <c r="K28" s="13">
        <v>1.2299999999999995</v>
      </c>
      <c r="L28" s="13">
        <v>1.1837142857142853</v>
      </c>
      <c r="M28" s="13">
        <v>0.95891666666666708</v>
      </c>
      <c r="N28" s="13">
        <v>0.80178385714285838</v>
      </c>
      <c r="O28" s="13">
        <v>0.53600000000000003</v>
      </c>
      <c r="Q28" s="13">
        <v>1.8588541666666671</v>
      </c>
      <c r="R28" s="13">
        <v>1.6701515151515149</v>
      </c>
      <c r="S28" s="13">
        <v>1.5839313043478249</v>
      </c>
      <c r="T28" s="13">
        <v>1.2593666666666667</v>
      </c>
      <c r="U28" s="13">
        <v>1.2399999999999984</v>
      </c>
      <c r="V28" s="13">
        <v>1.2299999999999995</v>
      </c>
      <c r="W28" s="13">
        <v>1.1837142857142853</v>
      </c>
      <c r="X28" s="13">
        <v>0.95891666666666708</v>
      </c>
      <c r="Y28" s="13">
        <v>0.80178385714285838</v>
      </c>
      <c r="Z28" s="13">
        <v>0.53600000000000003</v>
      </c>
    </row>
    <row r="29" spans="1:26" x14ac:dyDescent="0.3">
      <c r="A29" s="5" t="s">
        <v>31</v>
      </c>
      <c r="B29" s="6">
        <v>24.16</v>
      </c>
      <c r="C29" s="9">
        <v>71.645336666666665</v>
      </c>
      <c r="D29" s="8">
        <v>37.31579</v>
      </c>
      <c r="E29" s="13">
        <v>-47.485336666666669</v>
      </c>
      <c r="F29" s="13">
        <v>4.0000000000000924E-2</v>
      </c>
      <c r="G29" s="13">
        <v>-0.23634001999999998</v>
      </c>
      <c r="H29" s="13">
        <v>-0.44000000000000128</v>
      </c>
      <c r="I29" s="13">
        <v>-0.45000000000000018</v>
      </c>
      <c r="J29" s="13">
        <v>-0.53896483844415688</v>
      </c>
      <c r="K29" s="13">
        <v>-0.63620751895841587</v>
      </c>
      <c r="L29" s="13">
        <v>-0.68477999999999817</v>
      </c>
      <c r="M29" s="13">
        <v>-0.73879999999999946</v>
      </c>
      <c r="N29" s="13">
        <v>-0.90000000000000568</v>
      </c>
      <c r="O29" s="13">
        <v>-0.9367833333333333</v>
      </c>
      <c r="Q29" s="13">
        <v>4.0000000000000924E-2</v>
      </c>
      <c r="R29" s="13">
        <v>-0.23634001999999998</v>
      </c>
      <c r="S29" s="13">
        <v>-0.44000000000000128</v>
      </c>
      <c r="T29" s="13">
        <v>-0.45000000000000018</v>
      </c>
      <c r="U29" s="13">
        <v>-0.53896483844415688</v>
      </c>
      <c r="V29" s="13">
        <v>-0.63620751895841587</v>
      </c>
      <c r="W29" s="13">
        <v>-0.68477999999999817</v>
      </c>
      <c r="X29" s="13">
        <v>-0.73879999999999946</v>
      </c>
      <c r="Y29" s="13">
        <v>-0.90000000000000568</v>
      </c>
      <c r="Z29" s="13">
        <v>-0.9367833333333333</v>
      </c>
    </row>
    <row r="30" spans="1:26" x14ac:dyDescent="0.3">
      <c r="A30" s="5" t="s">
        <v>32</v>
      </c>
      <c r="B30" s="6">
        <v>486.74</v>
      </c>
      <c r="C30" s="7">
        <v>333.98097959183673</v>
      </c>
      <c r="D30" s="8">
        <v>625.40959999999995</v>
      </c>
      <c r="E30" s="13">
        <v>152.75902040816328</v>
      </c>
      <c r="F30" s="13">
        <v>-0.98705882352941154</v>
      </c>
      <c r="G30" s="13">
        <v>-1.0759211929824559</v>
      </c>
      <c r="H30" s="13">
        <v>-1.2831954545454547</v>
      </c>
      <c r="I30" s="13">
        <v>-1.7079999999999984</v>
      </c>
      <c r="J30" s="13">
        <v>-1.9256799999999998</v>
      </c>
      <c r="K30" s="13">
        <v>-1.9349344000000013</v>
      </c>
      <c r="L30" s="13">
        <v>-2.3871333333333333</v>
      </c>
      <c r="M30" s="13">
        <v>-2.4024999999999999</v>
      </c>
      <c r="N30" s="13">
        <v>-2.5667999999999997</v>
      </c>
      <c r="O30" s="13">
        <v>-2.870000000000001</v>
      </c>
      <c r="Q30" s="13">
        <v>-0.98705882352941154</v>
      </c>
      <c r="R30" s="13">
        <v>-1.0759211929824559</v>
      </c>
      <c r="S30" s="13">
        <v>-1.2831954545454547</v>
      </c>
      <c r="T30" s="13">
        <v>-1.7079999999999984</v>
      </c>
      <c r="U30" s="13">
        <v>-1.9256799999999998</v>
      </c>
      <c r="V30" s="13">
        <v>-1.9349344000000013</v>
      </c>
      <c r="W30" s="13">
        <v>-2.3871333333333333</v>
      </c>
      <c r="X30" s="13">
        <v>-2.4024999999999999</v>
      </c>
      <c r="Y30" s="13">
        <v>-2.5667999999999997</v>
      </c>
      <c r="Z30" s="13">
        <v>-2.870000000000001</v>
      </c>
    </row>
    <row r="31" spans="1:26" x14ac:dyDescent="0.3">
      <c r="A31" s="5" t="s">
        <v>33</v>
      </c>
      <c r="B31" s="6">
        <v>84.65</v>
      </c>
      <c r="C31" s="9">
        <v>71.000443000000004</v>
      </c>
      <c r="D31" s="8">
        <v>91</v>
      </c>
      <c r="E31" s="13">
        <v>13.649557000000001</v>
      </c>
      <c r="F31" s="13">
        <v>-3.0587999999999989</v>
      </c>
      <c r="G31" s="13">
        <v>-3.2398437500000057</v>
      </c>
      <c r="H31" s="13">
        <v>-3.7700833333333463</v>
      </c>
      <c r="I31" s="13">
        <v>-6.4925000000000033</v>
      </c>
      <c r="J31" s="13">
        <v>-6.5034815833333326</v>
      </c>
      <c r="K31" s="13">
        <v>-7.804000000000002</v>
      </c>
      <c r="L31" s="13">
        <v>-8.6993500000000026</v>
      </c>
      <c r="M31" s="13">
        <v>-9.040633928571431</v>
      </c>
      <c r="N31" s="13">
        <v>-10.057500000000005</v>
      </c>
      <c r="O31" s="13">
        <v>-10.287027903292682</v>
      </c>
      <c r="Q31" s="13">
        <v>-3.0587999999999989</v>
      </c>
      <c r="R31" s="13">
        <v>-3.2398437500000057</v>
      </c>
      <c r="S31" s="13">
        <v>-3.7700833333333463</v>
      </c>
      <c r="T31" s="13">
        <v>-6.4925000000000033</v>
      </c>
      <c r="U31" s="13">
        <v>-6.5034815833333326</v>
      </c>
      <c r="V31" s="13">
        <v>-7.804000000000002</v>
      </c>
      <c r="W31" s="13">
        <v>-8.6993500000000026</v>
      </c>
      <c r="X31" s="13">
        <v>-9.040633928571431</v>
      </c>
      <c r="Y31" s="13">
        <v>-10.057500000000005</v>
      </c>
      <c r="Z31" s="13">
        <v>-10.287027903292682</v>
      </c>
    </row>
    <row r="32" spans="1:26" x14ac:dyDescent="0.3">
      <c r="A32" s="5" t="s">
        <v>34</v>
      </c>
      <c r="B32" s="6">
        <v>91.83</v>
      </c>
      <c r="C32" s="7">
        <v>62.387604499999995</v>
      </c>
      <c r="D32" s="8">
        <v>103.57</v>
      </c>
      <c r="E32" s="13">
        <v>29.442395500000003</v>
      </c>
      <c r="F32" s="13">
        <v>-10.4596</v>
      </c>
      <c r="G32" s="13">
        <v>-11.984474999999996</v>
      </c>
      <c r="H32" s="13">
        <v>-12.379999999999995</v>
      </c>
      <c r="I32" s="13">
        <v>-12.590000000000003</v>
      </c>
      <c r="J32" s="13">
        <v>-20.566618124999998</v>
      </c>
      <c r="K32" s="13">
        <v>-20.817332130429179</v>
      </c>
      <c r="L32" s="13">
        <v>-31.717777777777769</v>
      </c>
      <c r="M32" s="13">
        <v>-32.43301315789472</v>
      </c>
      <c r="N32" s="13">
        <v>-37.5741151</v>
      </c>
      <c r="O32" s="13">
        <v>-47.169027431421455</v>
      </c>
      <c r="Q32" s="13">
        <v>-10.4596</v>
      </c>
      <c r="R32" s="13">
        <v>-11.984474999999996</v>
      </c>
      <c r="S32" s="13">
        <v>-12.379999999999995</v>
      </c>
      <c r="T32" s="13">
        <v>-12.590000000000003</v>
      </c>
      <c r="U32" s="13">
        <v>-20.566618124999998</v>
      </c>
      <c r="V32" s="13">
        <v>-20.817332130429179</v>
      </c>
      <c r="W32" s="13">
        <v>-31.717777777777769</v>
      </c>
      <c r="X32" s="13">
        <v>-32.43301315789472</v>
      </c>
      <c r="Y32" s="13">
        <v>-37.5741151</v>
      </c>
      <c r="Z32" s="13">
        <v>-47.169027431421455</v>
      </c>
    </row>
    <row r="33" spans="1:26" x14ac:dyDescent="0.3">
      <c r="A33" s="5" t="s">
        <v>35</v>
      </c>
      <c r="B33" s="6">
        <v>109.13</v>
      </c>
      <c r="C33" s="9">
        <v>112.36984375</v>
      </c>
      <c r="D33" s="8">
        <v>134.65277</v>
      </c>
      <c r="E33" s="13">
        <v>-3.2398437500000057</v>
      </c>
      <c r="F33" s="13">
        <v>-47.485336666666669</v>
      </c>
      <c r="G33" s="13">
        <v>-57.846917293233076</v>
      </c>
      <c r="H33" s="13">
        <v>-417.83999999999992</v>
      </c>
      <c r="I33" s="13">
        <v>-441.93</v>
      </c>
      <c r="J33" s="13" t="str">
        <v/>
      </c>
      <c r="K33" s="13" t="str">
        <v/>
      </c>
      <c r="L33" s="13" t="str">
        <v/>
      </c>
      <c r="M33" s="13" t="str">
        <v/>
      </c>
      <c r="N33" s="13" t="str">
        <v/>
      </c>
      <c r="O33" s="13" t="str">
        <v/>
      </c>
      <c r="Q33" s="13">
        <v>-47.485336666666669</v>
      </c>
      <c r="R33" s="13">
        <v>-57.846917293233076</v>
      </c>
      <c r="S33" s="13">
        <v>-417.83999999999992</v>
      </c>
      <c r="T33" s="13">
        <v>-441.93</v>
      </c>
      <c r="U33" s="13" t="str">
        <v/>
      </c>
      <c r="V33" s="13" t="str">
        <v/>
      </c>
      <c r="W33" s="13" t="str">
        <v/>
      </c>
      <c r="X33" s="13" t="str">
        <v/>
      </c>
      <c r="Y33" s="13" t="str">
        <v/>
      </c>
      <c r="Z33" s="13" t="str">
        <v/>
      </c>
    </row>
    <row r="34" spans="1:26" x14ac:dyDescent="0.3">
      <c r="A34" s="5" t="s">
        <v>36</v>
      </c>
      <c r="B34" s="6">
        <v>2.19</v>
      </c>
      <c r="C34" s="7">
        <v>8.6934815833333321</v>
      </c>
      <c r="D34" s="8">
        <v>19.250540000000001</v>
      </c>
      <c r="E34" s="13">
        <v>-6.5034815833333326</v>
      </c>
    </row>
    <row r="35" spans="1:26" x14ac:dyDescent="0.3">
      <c r="A35" s="5" t="s">
        <v>37</v>
      </c>
      <c r="B35" s="6">
        <v>46.08</v>
      </c>
      <c r="C35" s="9">
        <v>33.672499999999999</v>
      </c>
      <c r="D35" s="8">
        <v>47.125</v>
      </c>
      <c r="E35" s="13">
        <v>12.407499999999999</v>
      </c>
    </row>
    <row r="36" spans="1:26" x14ac:dyDescent="0.3">
      <c r="A36" s="5" t="s">
        <v>38</v>
      </c>
      <c r="B36" s="6">
        <v>6.42</v>
      </c>
      <c r="C36" s="7">
        <v>5.19</v>
      </c>
      <c r="D36" s="8">
        <v>12.1</v>
      </c>
      <c r="E36" s="13">
        <v>1.2299999999999995</v>
      </c>
    </row>
    <row r="37" spans="1:26" x14ac:dyDescent="0.3">
      <c r="A37" s="5" t="s">
        <v>39</v>
      </c>
      <c r="B37" s="6">
        <v>4.6100000000000003</v>
      </c>
      <c r="C37" s="9">
        <v>5.6859211929824562</v>
      </c>
      <c r="D37" s="8">
        <v>6.6</v>
      </c>
      <c r="E37" s="13">
        <v>-1.0759211929824559</v>
      </c>
    </row>
    <row r="38" spans="1:26" x14ac:dyDescent="0.3">
      <c r="A38" s="5" t="s">
        <v>40</v>
      </c>
      <c r="B38" s="6">
        <v>0.83</v>
      </c>
      <c r="C38" s="7">
        <v>1.0663400199999999</v>
      </c>
      <c r="D38" s="8">
        <v>0</v>
      </c>
      <c r="E38" s="13">
        <v>-0.23634001999999998</v>
      </c>
    </row>
    <row r="39" spans="1:26" x14ac:dyDescent="0.3">
      <c r="A39" s="5" t="s">
        <v>41</v>
      </c>
      <c r="B39" s="6">
        <v>47.26</v>
      </c>
      <c r="C39" s="9">
        <v>28.33</v>
      </c>
      <c r="D39" s="8">
        <v>49.6</v>
      </c>
      <c r="E39" s="13">
        <v>18.93</v>
      </c>
    </row>
    <row r="40" spans="1:26" x14ac:dyDescent="0.3">
      <c r="A40" s="5" t="s">
        <v>42</v>
      </c>
      <c r="B40" s="6">
        <v>43.24</v>
      </c>
      <c r="C40" s="7">
        <v>28.37</v>
      </c>
      <c r="D40" s="8">
        <v>47.235289999999999</v>
      </c>
      <c r="E40" s="13">
        <v>14.870000000000001</v>
      </c>
    </row>
    <row r="41" spans="1:26" x14ac:dyDescent="0.3">
      <c r="A41" s="5" t="s">
        <v>43</v>
      </c>
      <c r="B41" s="6">
        <v>208.1</v>
      </c>
      <c r="C41" s="9">
        <v>240.53301315789471</v>
      </c>
      <c r="D41" s="8">
        <v>287.58334000000002</v>
      </c>
      <c r="E41" s="13">
        <v>-32.43301315789472</v>
      </c>
    </row>
    <row r="42" spans="1:26" x14ac:dyDescent="0.3">
      <c r="A42" s="5" t="s">
        <v>44</v>
      </c>
      <c r="B42" s="6">
        <v>14.88</v>
      </c>
      <c r="C42" s="7">
        <v>16.814934400000002</v>
      </c>
      <c r="D42" s="8">
        <v>0</v>
      </c>
      <c r="E42" s="13">
        <v>-1.9349344000000013</v>
      </c>
    </row>
    <row r="43" spans="1:26" x14ac:dyDescent="0.3">
      <c r="A43" s="5" t="s">
        <v>45</v>
      </c>
      <c r="B43" s="6">
        <v>8.6300000000000008</v>
      </c>
      <c r="C43" s="9">
        <v>29.196618125000001</v>
      </c>
      <c r="D43" s="8">
        <v>13.16667</v>
      </c>
      <c r="E43" s="13">
        <v>-20.566618124999998</v>
      </c>
    </row>
    <row r="44" spans="1:26" x14ac:dyDescent="0.3">
      <c r="A44" s="5" t="s">
        <v>46</v>
      </c>
      <c r="B44" s="6">
        <v>430.14</v>
      </c>
      <c r="C44" s="7">
        <v>336.51</v>
      </c>
      <c r="D44" s="8">
        <v>392.92779999999999</v>
      </c>
      <c r="E44" s="13">
        <v>93.63</v>
      </c>
    </row>
    <row r="45" spans="1:26" x14ac:dyDescent="0.3">
      <c r="A45" s="5" t="s">
        <v>47</v>
      </c>
      <c r="B45" s="6">
        <v>287.91000000000003</v>
      </c>
      <c r="C45" s="9">
        <v>205.85044444444443</v>
      </c>
      <c r="D45" s="8">
        <v>341.90667999999999</v>
      </c>
      <c r="E45" s="13">
        <v>82.05955555555559</v>
      </c>
    </row>
    <row r="46" spans="1:26" x14ac:dyDescent="0.3">
      <c r="A46" s="5" t="s">
        <v>48</v>
      </c>
      <c r="B46" s="6">
        <v>32.9</v>
      </c>
      <c r="C46" s="7">
        <v>41.599350000000001</v>
      </c>
      <c r="D46" s="8">
        <v>0</v>
      </c>
      <c r="E46" s="13">
        <v>-8.6993500000000026</v>
      </c>
    </row>
    <row r="47" spans="1:26" x14ac:dyDescent="0.3">
      <c r="A47" s="5" t="s">
        <v>49</v>
      </c>
      <c r="B47" s="6">
        <v>6.43</v>
      </c>
      <c r="C47" s="9">
        <v>9.3000000000000007</v>
      </c>
      <c r="D47" s="8">
        <v>7.2</v>
      </c>
      <c r="E47" s="13">
        <v>-2.870000000000001</v>
      </c>
    </row>
    <row r="48" spans="1:26" x14ac:dyDescent="0.3">
      <c r="A48" s="5" t="s">
        <v>50</v>
      </c>
      <c r="B48" s="6">
        <v>29.87</v>
      </c>
      <c r="C48" s="7">
        <v>26.074999999999999</v>
      </c>
      <c r="D48" s="8">
        <v>34</v>
      </c>
      <c r="E48" s="13">
        <v>3.7950000000000017</v>
      </c>
    </row>
    <row r="49" spans="1:5" x14ac:dyDescent="0.3">
      <c r="A49" s="5" t="s">
        <v>51</v>
      </c>
      <c r="B49" s="6">
        <v>61.2</v>
      </c>
      <c r="C49" s="9">
        <v>59.341145833333336</v>
      </c>
      <c r="D49" s="8">
        <v>62.666670000000003</v>
      </c>
      <c r="E49" s="13">
        <v>1.8588541666666671</v>
      </c>
    </row>
    <row r="50" spans="1:5" x14ac:dyDescent="0.3">
      <c r="A50" s="5" t="s">
        <v>52</v>
      </c>
      <c r="B50" s="6">
        <v>10.7</v>
      </c>
      <c r="C50" s="7">
        <v>9.4600000000000009</v>
      </c>
      <c r="D50" s="8">
        <v>12.125</v>
      </c>
      <c r="E50" s="13">
        <v>1.2399999999999984</v>
      </c>
    </row>
    <row r="51" spans="1:5" x14ac:dyDescent="0.3">
      <c r="A51" s="5" t="s">
        <v>53</v>
      </c>
      <c r="B51" s="6">
        <v>11.98</v>
      </c>
      <c r="C51" s="9">
        <v>10.059900000000001</v>
      </c>
      <c r="D51" s="8">
        <v>0</v>
      </c>
      <c r="E51" s="13">
        <v>1.9200999999999997</v>
      </c>
    </row>
    <row r="52" spans="1:5" x14ac:dyDescent="0.3">
      <c r="A52" s="5" t="s">
        <v>54</v>
      </c>
      <c r="B52" s="6">
        <v>116.66500000000001</v>
      </c>
      <c r="C52" s="7">
        <v>112.93</v>
      </c>
      <c r="D52" s="8">
        <v>128.72</v>
      </c>
      <c r="E52" s="13">
        <v>3.7349999999999994</v>
      </c>
    </row>
    <row r="53" spans="1:5" x14ac:dyDescent="0.3">
      <c r="A53" s="5" t="s">
        <v>55</v>
      </c>
      <c r="B53" s="6">
        <v>5.7</v>
      </c>
      <c r="C53" s="9">
        <v>8.2667999999999999</v>
      </c>
      <c r="D53" s="8">
        <v>11.4</v>
      </c>
      <c r="E53" s="13">
        <v>-2.5667999999999997</v>
      </c>
    </row>
    <row r="54" spans="1:5" x14ac:dyDescent="0.3">
      <c r="A54" s="5" t="s">
        <v>56</v>
      </c>
      <c r="B54" s="6">
        <v>0.628</v>
      </c>
      <c r="C54" s="7">
        <v>1.2642075189584159</v>
      </c>
      <c r="D54" s="8">
        <v>1.56667</v>
      </c>
      <c r="E54" s="13">
        <v>-0.63620751895841587</v>
      </c>
    </row>
    <row r="55" spans="1:5" x14ac:dyDescent="0.3">
      <c r="A55" s="5" t="s">
        <v>57</v>
      </c>
      <c r="B55" s="6">
        <v>2</v>
      </c>
      <c r="C55" s="9">
        <v>2.4500000000000002</v>
      </c>
      <c r="D55" s="8">
        <v>3.625</v>
      </c>
      <c r="E55" s="13">
        <v>-0.45000000000000018</v>
      </c>
    </row>
    <row r="56" spans="1:5" x14ac:dyDescent="0.3">
      <c r="A56" s="5" t="s">
        <v>58</v>
      </c>
      <c r="B56" s="6">
        <v>23.58</v>
      </c>
      <c r="C56" s="7">
        <v>33.637500000000003</v>
      </c>
      <c r="D56" s="8">
        <v>31.877780000000001</v>
      </c>
      <c r="E56" s="13">
        <v>-10.057500000000005</v>
      </c>
    </row>
    <row r="57" spans="1:5" x14ac:dyDescent="0.3">
      <c r="A57" s="5" t="s">
        <v>59</v>
      </c>
      <c r="B57" s="6">
        <v>15.255000000000001</v>
      </c>
      <c r="C57" s="9">
        <v>11.06</v>
      </c>
      <c r="D57" s="8">
        <v>16.934180000000001</v>
      </c>
      <c r="E57" s="13">
        <v>4.1950000000000003</v>
      </c>
    </row>
    <row r="58" spans="1:5" x14ac:dyDescent="0.3">
      <c r="A58" s="5" t="s">
        <v>60</v>
      </c>
      <c r="B58" s="6">
        <v>16.146000000000001</v>
      </c>
      <c r="C58" s="7">
        <v>13.428522222222222</v>
      </c>
      <c r="D58" s="8">
        <v>16.309090000000001</v>
      </c>
      <c r="E58" s="13">
        <v>2.7174777777777788</v>
      </c>
    </row>
    <row r="59" spans="1:5" x14ac:dyDescent="0.3">
      <c r="A59" s="5" t="s">
        <v>61</v>
      </c>
      <c r="B59" s="6">
        <v>0.20119999999999999</v>
      </c>
      <c r="C59" s="9">
        <v>2.5883333333333334</v>
      </c>
      <c r="D59" s="8">
        <v>0</v>
      </c>
      <c r="E59" s="13">
        <v>-2.3871333333333333</v>
      </c>
    </row>
    <row r="60" spans="1:5" x14ac:dyDescent="0.3">
      <c r="A60" s="5" t="s">
        <v>62</v>
      </c>
      <c r="B60" s="6">
        <v>60.62</v>
      </c>
      <c r="C60" s="7">
        <v>57.335000000000001</v>
      </c>
      <c r="D60" s="8">
        <v>65.352779999999996</v>
      </c>
      <c r="E60" s="13">
        <v>3.2849999999999966</v>
      </c>
    </row>
    <row r="61" spans="1:5" x14ac:dyDescent="0.3">
      <c r="A61" s="5" t="s">
        <v>63</v>
      </c>
      <c r="B61" s="6">
        <v>13.785</v>
      </c>
      <c r="C61" s="9">
        <v>12.114848484848485</v>
      </c>
      <c r="D61" s="8">
        <v>15.476470000000001</v>
      </c>
      <c r="E61" s="13">
        <v>1.6701515151515149</v>
      </c>
    </row>
    <row r="62" spans="1:5" x14ac:dyDescent="0.3">
      <c r="A62" s="5" t="s">
        <v>64</v>
      </c>
      <c r="B62" s="6">
        <v>43.24</v>
      </c>
      <c r="C62" s="7">
        <v>33.094999999999999</v>
      </c>
      <c r="D62" s="8">
        <v>47.235289999999999</v>
      </c>
      <c r="E62" s="13">
        <v>10.145000000000003</v>
      </c>
    </row>
    <row r="63" spans="1:5" x14ac:dyDescent="0.3">
      <c r="A63" s="5" t="s">
        <v>65</v>
      </c>
      <c r="B63" s="6">
        <v>208.1</v>
      </c>
      <c r="C63" s="9">
        <v>255.26902743142145</v>
      </c>
      <c r="D63" s="8">
        <v>287.58334000000002</v>
      </c>
      <c r="E63" s="13">
        <v>-47.169027431421455</v>
      </c>
    </row>
    <row r="64" spans="1:5" x14ac:dyDescent="0.3">
      <c r="A64" s="5" t="s">
        <v>66</v>
      </c>
      <c r="B64" s="6">
        <v>32.9</v>
      </c>
      <c r="C64" s="7">
        <v>41.94063392857143</v>
      </c>
      <c r="D64" s="8">
        <v>0</v>
      </c>
      <c r="E64" s="13">
        <v>-9.040633928571431</v>
      </c>
    </row>
    <row r="65" spans="1:5" x14ac:dyDescent="0.3">
      <c r="A65" s="5" t="s">
        <v>67</v>
      </c>
      <c r="B65" s="6">
        <v>283.10000000000002</v>
      </c>
      <c r="C65" s="9">
        <v>199.85416914285713</v>
      </c>
      <c r="D65" s="8">
        <v>281.74804999999998</v>
      </c>
      <c r="E65" s="13">
        <v>83.245830857142892</v>
      </c>
    </row>
    <row r="66" spans="1:5" x14ac:dyDescent="0.3">
      <c r="A66" s="5" t="s">
        <v>68</v>
      </c>
      <c r="B66" s="6">
        <v>233.88</v>
      </c>
      <c r="C66" s="7">
        <v>204.7</v>
      </c>
      <c r="D66" s="8">
        <v>294.64783</v>
      </c>
      <c r="E66" s="13">
        <v>29.180000000000007</v>
      </c>
    </row>
    <row r="67" spans="1:5" x14ac:dyDescent="0.3">
      <c r="A67" s="5" t="s">
        <v>69</v>
      </c>
      <c r="B67" s="6">
        <v>932.5</v>
      </c>
      <c r="C67" s="9">
        <v>654.37295200000005</v>
      </c>
      <c r="D67" s="8">
        <v>953.67740000000003</v>
      </c>
      <c r="E67" s="13">
        <v>278.12704799999995</v>
      </c>
    </row>
    <row r="68" spans="1:5" x14ac:dyDescent="0.3">
      <c r="A68" s="5" t="s">
        <v>70</v>
      </c>
      <c r="B68" s="6">
        <v>2</v>
      </c>
      <c r="C68" s="7">
        <v>3.2831954545454547</v>
      </c>
      <c r="D68" s="8">
        <v>3.625</v>
      </c>
      <c r="E68" s="13">
        <v>-1.2831954545454547</v>
      </c>
    </row>
    <row r="69" spans="1:5" x14ac:dyDescent="0.3">
      <c r="A69" s="5" t="s">
        <v>71</v>
      </c>
      <c r="B69" s="6">
        <v>106.77</v>
      </c>
      <c r="C69" s="9">
        <v>110.54008333333334</v>
      </c>
      <c r="D69" s="8">
        <v>132.50357</v>
      </c>
      <c r="E69" s="13">
        <v>-3.7700833333333463</v>
      </c>
    </row>
    <row r="70" spans="1:5" x14ac:dyDescent="0.3">
      <c r="A70" s="5" t="s">
        <v>72</v>
      </c>
      <c r="B70" s="6">
        <v>72.95</v>
      </c>
      <c r="C70" s="7">
        <v>3.3399161570247933</v>
      </c>
      <c r="D70" s="8">
        <v>74.153850000000006</v>
      </c>
      <c r="E70" s="13">
        <v>69.610083842975214</v>
      </c>
    </row>
    <row r="71" spans="1:5" x14ac:dyDescent="0.3">
      <c r="A71" s="5" t="s">
        <v>73</v>
      </c>
      <c r="B71" s="6">
        <v>392.7</v>
      </c>
      <c r="C71" s="9">
        <v>108.61</v>
      </c>
      <c r="D71" s="8">
        <v>463.65366</v>
      </c>
      <c r="E71" s="13">
        <v>284.08999999999997</v>
      </c>
    </row>
    <row r="72" spans="1:5" x14ac:dyDescent="0.3">
      <c r="A72" s="5" t="s">
        <v>74</v>
      </c>
      <c r="B72" s="6">
        <v>24.16</v>
      </c>
      <c r="C72" s="7">
        <v>61.734115100000004</v>
      </c>
      <c r="D72" s="8">
        <v>37.31579</v>
      </c>
      <c r="E72" s="13">
        <v>-37.5741151</v>
      </c>
    </row>
    <row r="73" spans="1:5" x14ac:dyDescent="0.3">
      <c r="A73" s="5" t="s">
        <v>75</v>
      </c>
      <c r="B73" s="6">
        <v>1.26</v>
      </c>
      <c r="C73" s="9">
        <v>2.1967833333333333</v>
      </c>
      <c r="D73" s="8">
        <v>2.4</v>
      </c>
      <c r="E73" s="13">
        <v>-0.9367833333333333</v>
      </c>
    </row>
    <row r="74" spans="1:5" x14ac:dyDescent="0.3">
      <c r="A74" s="5" t="s">
        <v>76</v>
      </c>
      <c r="B74" s="6">
        <v>16.146000000000001</v>
      </c>
      <c r="C74" s="7">
        <v>14.886633333333334</v>
      </c>
      <c r="D74" s="8">
        <v>16.309090000000001</v>
      </c>
      <c r="E74" s="13">
        <v>1.2593666666666667</v>
      </c>
    </row>
    <row r="75" spans="1:5" x14ac:dyDescent="0.3">
      <c r="A75" s="5" t="s">
        <v>77</v>
      </c>
      <c r="B75" s="6">
        <v>489.96899999999999</v>
      </c>
      <c r="C75" s="9">
        <v>460.97333333333336</v>
      </c>
      <c r="D75" s="8">
        <v>630.25</v>
      </c>
      <c r="E75" s="13">
        <v>28.995666666666637</v>
      </c>
    </row>
    <row r="76" spans="1:5" x14ac:dyDescent="0.3">
      <c r="A76" s="5" t="s">
        <v>78</v>
      </c>
      <c r="B76" s="6">
        <v>13.157</v>
      </c>
      <c r="C76" s="7">
        <v>9.2349999999999994</v>
      </c>
      <c r="D76" s="8">
        <v>12.515000000000001</v>
      </c>
      <c r="E76" s="13">
        <v>3.9220000000000006</v>
      </c>
    </row>
    <row r="77" spans="1:5" x14ac:dyDescent="0.3">
      <c r="A77" s="5" t="s">
        <v>79</v>
      </c>
      <c r="B77" s="6">
        <v>60.62</v>
      </c>
      <c r="C77" s="9">
        <v>502.55</v>
      </c>
      <c r="D77" s="8">
        <v>65.352779999999996</v>
      </c>
      <c r="E77" s="13">
        <v>-441.93</v>
      </c>
    </row>
    <row r="78" spans="1:5" x14ac:dyDescent="0.3">
      <c r="A78" s="5" t="s">
        <v>80</v>
      </c>
      <c r="B78" s="6">
        <v>149.22</v>
      </c>
      <c r="C78" s="7">
        <v>180.93777777777777</v>
      </c>
      <c r="D78" s="8">
        <v>206</v>
      </c>
      <c r="E78" s="13">
        <v>-31.717777777777769</v>
      </c>
    </row>
    <row r="79" spans="1:5" x14ac:dyDescent="0.3">
      <c r="A79" s="5" t="s">
        <v>81</v>
      </c>
      <c r="B79" s="6">
        <v>810.84</v>
      </c>
      <c r="C79" s="9">
        <v>0</v>
      </c>
      <c r="D79" s="8">
        <v>802.52629999999999</v>
      </c>
      <c r="E79" s="13">
        <v>810.84</v>
      </c>
    </row>
    <row r="80" spans="1:5" x14ac:dyDescent="0.3">
      <c r="A80" s="5" t="s">
        <v>82</v>
      </c>
      <c r="B80" s="6">
        <v>0.86</v>
      </c>
      <c r="C80" s="7">
        <v>21.677332130429178</v>
      </c>
      <c r="D80" s="8">
        <v>14.99999</v>
      </c>
      <c r="E80" s="13">
        <v>-20.817332130429179</v>
      </c>
    </row>
    <row r="81" spans="1:5" x14ac:dyDescent="0.3">
      <c r="A81" s="5" t="s">
        <v>83</v>
      </c>
      <c r="B81" s="6">
        <v>34.770000000000003</v>
      </c>
      <c r="C81" s="9">
        <v>30.697399999999998</v>
      </c>
      <c r="D81" s="8">
        <v>34.231580000000001</v>
      </c>
      <c r="E81" s="13">
        <v>4.0726000000000049</v>
      </c>
    </row>
    <row r="82" spans="1:5" x14ac:dyDescent="0.3">
      <c r="A82" s="5" t="s">
        <v>84</v>
      </c>
      <c r="B82" s="6">
        <v>543.97</v>
      </c>
      <c r="C82" s="7">
        <v>556.35</v>
      </c>
      <c r="D82" s="8">
        <v>656.50554999999997</v>
      </c>
      <c r="E82" s="13">
        <v>-12.379999999999995</v>
      </c>
    </row>
    <row r="83" spans="1:5" x14ac:dyDescent="0.3">
      <c r="A83" s="5" t="s">
        <v>85</v>
      </c>
      <c r="B83" s="6">
        <v>6.69</v>
      </c>
      <c r="C83" s="9">
        <v>9.7487999999999992</v>
      </c>
      <c r="D83" s="8">
        <v>12.66667</v>
      </c>
      <c r="E83" s="13">
        <v>-3.0587999999999989</v>
      </c>
    </row>
    <row r="84" spans="1:5" x14ac:dyDescent="0.3">
      <c r="A84" s="5" t="s">
        <v>86</v>
      </c>
      <c r="B84" s="6">
        <v>128.97</v>
      </c>
      <c r="C84" s="7">
        <v>546.80999999999995</v>
      </c>
      <c r="D84" s="8">
        <v>132.77109999999999</v>
      </c>
      <c r="E84" s="13">
        <v>-417.83999999999992</v>
      </c>
    </row>
    <row r="85" spans="1:5" x14ac:dyDescent="0.3">
      <c r="A85" s="5" t="s">
        <v>87</v>
      </c>
      <c r="B85" s="6">
        <v>13.785</v>
      </c>
      <c r="C85" s="9">
        <v>13.744999999999999</v>
      </c>
      <c r="D85" s="8">
        <v>15.476470000000001</v>
      </c>
      <c r="E85" s="13">
        <v>4.0000000000000924E-2</v>
      </c>
    </row>
    <row r="86" spans="1:5" x14ac:dyDescent="0.3">
      <c r="A86" s="5" t="s">
        <v>88</v>
      </c>
      <c r="B86" s="6">
        <v>42.35</v>
      </c>
      <c r="C86" s="7">
        <v>54.334474999999998</v>
      </c>
      <c r="D86" s="8">
        <v>50.416670000000003</v>
      </c>
      <c r="E86" s="13">
        <v>-11.984474999999996</v>
      </c>
    </row>
    <row r="87" spans="1:5" x14ac:dyDescent="0.3">
      <c r="A87" s="5" t="s">
        <v>89</v>
      </c>
      <c r="B87" s="6">
        <v>25.29</v>
      </c>
      <c r="C87" s="9">
        <v>25.73</v>
      </c>
      <c r="D87" s="8">
        <v>29.039580000000001</v>
      </c>
      <c r="E87" s="13">
        <v>-0.44000000000000128</v>
      </c>
    </row>
    <row r="88" spans="1:5" x14ac:dyDescent="0.3">
      <c r="A88" s="5" t="s">
        <v>90</v>
      </c>
      <c r="B88" s="6">
        <v>4.3499999999999996</v>
      </c>
      <c r="C88" s="7">
        <v>3.1662857142857144</v>
      </c>
      <c r="D88" s="8">
        <v>4.1653799999999999</v>
      </c>
      <c r="E88" s="13">
        <v>1.1837142857142853</v>
      </c>
    </row>
    <row r="89" spans="1:5" x14ac:dyDescent="0.3">
      <c r="A89" s="5" t="s">
        <v>91</v>
      </c>
      <c r="B89" s="6">
        <v>39.26</v>
      </c>
      <c r="C89" s="9">
        <v>24.94</v>
      </c>
      <c r="D89" s="8">
        <v>42.043480000000002</v>
      </c>
      <c r="E89" s="13">
        <v>14.319999999999997</v>
      </c>
    </row>
    <row r="90" spans="1:5" x14ac:dyDescent="0.3">
      <c r="A90" s="5" t="s">
        <v>92</v>
      </c>
      <c r="B90" s="6">
        <v>64.349999999999994</v>
      </c>
      <c r="C90" s="7">
        <v>76.94</v>
      </c>
      <c r="D90" s="8">
        <v>84.005260000000007</v>
      </c>
      <c r="E90" s="13">
        <v>-12.590000000000003</v>
      </c>
    </row>
    <row r="91" spans="1:5" x14ac:dyDescent="0.3">
      <c r="A91" s="5" t="s">
        <v>93</v>
      </c>
      <c r="B91" s="6">
        <v>215.13</v>
      </c>
      <c r="C91" s="9">
        <v>160.48125666666667</v>
      </c>
      <c r="D91" s="8">
        <v>233.42857000000001</v>
      </c>
      <c r="E91" s="13">
        <v>54.648743333333329</v>
      </c>
    </row>
    <row r="92" spans="1:5" x14ac:dyDescent="0.3">
      <c r="A92" s="5" t="s">
        <v>94</v>
      </c>
      <c r="B92" s="6">
        <v>54.84</v>
      </c>
      <c r="C92" s="7">
        <v>30.957205999999996</v>
      </c>
      <c r="D92" s="8">
        <v>0</v>
      </c>
      <c r="E92" s="13">
        <v>23.882794000000008</v>
      </c>
    </row>
    <row r="93" spans="1:5" x14ac:dyDescent="0.3">
      <c r="A93" s="5" t="s">
        <v>95</v>
      </c>
      <c r="B93" s="6">
        <v>9.9290000000000003</v>
      </c>
      <c r="C93" s="9">
        <v>5.34</v>
      </c>
      <c r="D93" s="8">
        <v>0</v>
      </c>
      <c r="E93" s="13">
        <v>4.5890000000000004</v>
      </c>
    </row>
    <row r="94" spans="1:5" x14ac:dyDescent="0.3">
      <c r="A94" s="5" t="s">
        <v>96</v>
      </c>
      <c r="B94" s="6">
        <v>932.5</v>
      </c>
      <c r="C94" s="7">
        <v>723.74</v>
      </c>
      <c r="D94" s="8">
        <v>953.67740000000003</v>
      </c>
      <c r="E94" s="13">
        <v>208.76</v>
      </c>
    </row>
    <row r="95" spans="1:5" x14ac:dyDescent="0.3">
      <c r="A95" s="5" t="s">
        <v>97</v>
      </c>
      <c r="B95" s="6">
        <v>15.255000000000001</v>
      </c>
      <c r="C95" s="9">
        <v>14.453216142857142</v>
      </c>
      <c r="D95" s="8">
        <v>16.934180000000001</v>
      </c>
      <c r="E95" s="13">
        <v>0.80178385714285838</v>
      </c>
    </row>
  </sheetData>
  <conditionalFormatting sqref="B26:C26">
    <cfRule type="expression" dxfId="17" priority="4">
      <formula>ROW()=CELL("row")</formula>
    </cfRule>
  </conditionalFormatting>
  <conditionalFormatting sqref="A2:C95">
    <cfRule type="expression" dxfId="16" priority="13">
      <formula>#REF!&gt;0</formula>
    </cfRule>
  </conditionalFormatting>
  <conditionalFormatting sqref="D2:D95">
    <cfRule type="expression" dxfId="15" priority="14">
      <formula>#REF!&gt;MAX(ABS(#REF!),$I2)</formula>
    </cfRule>
    <cfRule type="expression" dxfId="14" priority="15" stopIfTrue="1">
      <formula>$I2&gt;#REF!</formula>
    </cfRule>
    <cfRule type="expression" dxfId="13" priority="16">
      <formula>#REF!&lt;MIN(ABS(#REF!),$I2)</formula>
    </cfRule>
  </conditionalFormatting>
  <conditionalFormatting sqref="C2:C95">
    <cfRule type="expression" dxfId="12" priority="17">
      <formula>ABS(#REF!)&lt;MIN($I2,#REF!)</formula>
    </cfRule>
    <cfRule type="expression" dxfId="11" priority="18" stopIfTrue="1">
      <formula>$I2&gt;#REF!</formula>
    </cfRule>
    <cfRule type="expression" dxfId="10" priority="19" stopIfTrue="1">
      <formula>ABS(#REF!)&gt;$I2</formula>
    </cfRule>
    <cfRule type="expression" dxfId="9" priority="20">
      <formula>ABS(#REF!)&gt;MAX($I2,#REF!)</formula>
    </cfRule>
  </conditionalFormatting>
  <conditionalFormatting sqref="F13:O22 F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:O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:Z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O</vt:lpstr>
      <vt:lpstr>P</vt:lpstr>
      <vt:lpstr>Q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Yanev</dc:creator>
  <cp:lastModifiedBy>Kosta Yanev</cp:lastModifiedBy>
  <dcterms:created xsi:type="dcterms:W3CDTF">2025-12-02T10:30:24Z</dcterms:created>
  <dcterms:modified xsi:type="dcterms:W3CDTF">2025-12-02T11:45:43Z</dcterms:modified>
</cp:coreProperties>
</file>