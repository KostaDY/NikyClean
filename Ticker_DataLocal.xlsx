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13_ncr:1_{F7D1020B-0EC5-584F-AF86-3945BC48BCBA}" xr6:coauthVersionLast="47" xr6:coauthVersionMax="47" xr10:uidLastSave="{00000000-0000-0000-0000-000000000000}"/>
  <bookViews>
    <workbookView minimized="1" xWindow="0" yWindow="760" windowWidth="14400" windowHeight="176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2" l="1"/>
  <c r="C94" i="2"/>
  <c r="A3" i="1"/>
  <c r="B3" i="1"/>
  <c r="C3" i="1"/>
  <c r="D3" i="1"/>
  <c r="E3" i="1"/>
  <c r="F3" i="1"/>
  <c r="A4" i="1"/>
  <c r="A4" i="2" s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A8" i="2" s="1"/>
  <c r="B8" i="1"/>
  <c r="C8" i="1"/>
  <c r="D8" i="1"/>
  <c r="E8" i="1"/>
  <c r="F8" i="1"/>
  <c r="A9" i="1"/>
  <c r="B9" i="1"/>
  <c r="C9" i="1"/>
  <c r="D9" i="1"/>
  <c r="E9" i="1"/>
  <c r="F9" i="1"/>
  <c r="A10" i="1"/>
  <c r="A10" i="2" s="1"/>
  <c r="B10" i="1"/>
  <c r="C10" i="1"/>
  <c r="D10" i="1"/>
  <c r="E10" i="1"/>
  <c r="F10" i="1"/>
  <c r="A11" i="1"/>
  <c r="A11" i="2" s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A15" i="2" s="1"/>
  <c r="B15" i="1"/>
  <c r="C15" i="1"/>
  <c r="D15" i="1"/>
  <c r="E15" i="1"/>
  <c r="F15" i="1"/>
  <c r="A16" i="1"/>
  <c r="A16" i="2" s="1"/>
  <c r="B16" i="1"/>
  <c r="C16" i="1"/>
  <c r="D16" i="1"/>
  <c r="E16" i="1"/>
  <c r="F16" i="1"/>
  <c r="A17" i="1"/>
  <c r="B17" i="1"/>
  <c r="C17" i="1"/>
  <c r="D17" i="1"/>
  <c r="E17" i="1"/>
  <c r="F17" i="1"/>
  <c r="A18" i="1"/>
  <c r="A18" i="2" s="1"/>
  <c r="B18" i="1"/>
  <c r="C18" i="1"/>
  <c r="D18" i="1"/>
  <c r="E18" i="1"/>
  <c r="F18" i="1"/>
  <c r="A19" i="1"/>
  <c r="B19" i="1"/>
  <c r="C19" i="1"/>
  <c r="D19" i="1"/>
  <c r="E19" i="1"/>
  <c r="F19" i="1"/>
  <c r="A20" i="1"/>
  <c r="A20" i="2" s="1"/>
  <c r="B20" i="1"/>
  <c r="C20" i="1"/>
  <c r="D20" i="1"/>
  <c r="E20" i="1"/>
  <c r="F20" i="1"/>
  <c r="A21" i="1"/>
  <c r="A21" i="2" s="1"/>
  <c r="B21" i="1"/>
  <c r="C21" i="1"/>
  <c r="D21" i="1"/>
  <c r="E21" i="1"/>
  <c r="F21" i="1"/>
  <c r="A22" i="1"/>
  <c r="A22" i="2" s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A25" i="2" s="1"/>
  <c r="B25" i="1"/>
  <c r="C25" i="1"/>
  <c r="D25" i="1"/>
  <c r="E25" i="1"/>
  <c r="F25" i="1"/>
  <c r="A26" i="1"/>
  <c r="A26" i="2" s="1"/>
  <c r="B26" i="1"/>
  <c r="C26" i="1"/>
  <c r="D26" i="1"/>
  <c r="E26" i="1"/>
  <c r="F26" i="1"/>
  <c r="A27" i="1"/>
  <c r="A27" i="2" s="1"/>
  <c r="B27" i="1"/>
  <c r="C27" i="1"/>
  <c r="D27" i="1"/>
  <c r="E27" i="1"/>
  <c r="F27" i="1"/>
  <c r="A28" i="1"/>
  <c r="A28" i="2" s="1"/>
  <c r="B28" i="1"/>
  <c r="C28" i="1"/>
  <c r="D28" i="1"/>
  <c r="E28" i="1"/>
  <c r="F28" i="1"/>
  <c r="A29" i="1"/>
  <c r="A29" i="2" s="1"/>
  <c r="B29" i="1"/>
  <c r="C29" i="1"/>
  <c r="D29" i="1"/>
  <c r="E29" i="1"/>
  <c r="F29" i="1"/>
  <c r="A30" i="1"/>
  <c r="A30" i="2" s="1"/>
  <c r="B30" i="1"/>
  <c r="C30" i="1"/>
  <c r="D30" i="1"/>
  <c r="E30" i="1"/>
  <c r="F30" i="1"/>
  <c r="A31" i="1"/>
  <c r="B31" i="1"/>
  <c r="C31" i="1"/>
  <c r="D31" i="1"/>
  <c r="E31" i="1"/>
  <c r="F31" i="1"/>
  <c r="A32" i="1"/>
  <c r="A32" i="2" s="1"/>
  <c r="B32" i="1"/>
  <c r="C32" i="1"/>
  <c r="D32" i="1"/>
  <c r="E32" i="1"/>
  <c r="F32" i="1"/>
  <c r="A33" i="1"/>
  <c r="A33" i="2" s="1"/>
  <c r="B33" i="1"/>
  <c r="C33" i="1"/>
  <c r="D33" i="1"/>
  <c r="E33" i="1"/>
  <c r="F33" i="1"/>
  <c r="A34" i="1"/>
  <c r="A34" i="2" s="1"/>
  <c r="B34" i="1"/>
  <c r="C34" i="1"/>
  <c r="D34" i="1"/>
  <c r="E34" i="1"/>
  <c r="F34" i="1"/>
  <c r="A35" i="1"/>
  <c r="A35" i="2" s="1"/>
  <c r="B35" i="1"/>
  <c r="C35" i="1"/>
  <c r="D35" i="1"/>
  <c r="E35" i="1"/>
  <c r="F35" i="1"/>
  <c r="A36" i="1"/>
  <c r="B36" i="1"/>
  <c r="C36" i="1"/>
  <c r="D36" i="1"/>
  <c r="E36" i="1"/>
  <c r="F36" i="1"/>
  <c r="A37" i="1"/>
  <c r="A37" i="2" s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A40" i="2" s="1"/>
  <c r="B40" i="1"/>
  <c r="C40" i="1"/>
  <c r="D40" i="1"/>
  <c r="E40" i="1"/>
  <c r="F40" i="1"/>
  <c r="A41" i="1"/>
  <c r="A41" i="2" s="1"/>
  <c r="B41" i="1"/>
  <c r="C41" i="1"/>
  <c r="D41" i="1"/>
  <c r="E41" i="1"/>
  <c r="F41" i="1"/>
  <c r="A42" i="1"/>
  <c r="A42" i="2" s="1"/>
  <c r="B42" i="1"/>
  <c r="C42" i="1"/>
  <c r="D42" i="1"/>
  <c r="E42" i="1"/>
  <c r="F42" i="1"/>
  <c r="A43" i="1"/>
  <c r="B43" i="1"/>
  <c r="C43" i="1"/>
  <c r="D43" i="1"/>
  <c r="E43" i="1"/>
  <c r="F43" i="1"/>
  <c r="A44" i="1"/>
  <c r="A44" i="2" s="1"/>
  <c r="B44" i="1"/>
  <c r="C44" i="1"/>
  <c r="D44" i="1"/>
  <c r="E44" i="1"/>
  <c r="F44" i="1"/>
  <c r="A45" i="1"/>
  <c r="A45" i="2" s="1"/>
  <c r="B45" i="1"/>
  <c r="C45" i="1"/>
  <c r="D45" i="1"/>
  <c r="E45" i="1"/>
  <c r="F45" i="1"/>
  <c r="A46" i="1"/>
  <c r="A46" i="2" s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A49" i="2" s="1"/>
  <c r="B49" i="1"/>
  <c r="C49" i="1"/>
  <c r="D49" i="1"/>
  <c r="E49" i="1"/>
  <c r="F49" i="1"/>
  <c r="A50" i="1"/>
  <c r="A50" i="2" s="1"/>
  <c r="B50" i="1"/>
  <c r="C50" i="1"/>
  <c r="D50" i="1"/>
  <c r="E50" i="1"/>
  <c r="F50" i="1"/>
  <c r="A51" i="1"/>
  <c r="A51" i="2" s="1"/>
  <c r="B51" i="1"/>
  <c r="C51" i="1"/>
  <c r="D51" i="1"/>
  <c r="E51" i="1"/>
  <c r="F51" i="1"/>
  <c r="A52" i="1"/>
  <c r="A52" i="2" s="1"/>
  <c r="B52" i="1"/>
  <c r="C52" i="1"/>
  <c r="D52" i="1"/>
  <c r="E52" i="1"/>
  <c r="F52" i="1"/>
  <c r="A53" i="1"/>
  <c r="A53" i="2" s="1"/>
  <c r="B53" i="1"/>
  <c r="C53" i="1"/>
  <c r="D53" i="1"/>
  <c r="E53" i="1"/>
  <c r="F53" i="1"/>
  <c r="A54" i="1"/>
  <c r="A54" i="2" s="1"/>
  <c r="B54" i="1"/>
  <c r="C54" i="1"/>
  <c r="D54" i="1"/>
  <c r="E54" i="1"/>
  <c r="F54" i="1"/>
  <c r="A55" i="1"/>
  <c r="B55" i="1"/>
  <c r="C55" i="1"/>
  <c r="D55" i="1"/>
  <c r="E55" i="1"/>
  <c r="F55" i="1"/>
  <c r="A56" i="1"/>
  <c r="A56" i="2" s="1"/>
  <c r="B56" i="1"/>
  <c r="C56" i="1"/>
  <c r="D56" i="1"/>
  <c r="E56" i="1"/>
  <c r="F56" i="1"/>
  <c r="A57" i="1"/>
  <c r="A57" i="2" s="1"/>
  <c r="B57" i="1"/>
  <c r="C57" i="1"/>
  <c r="D57" i="1"/>
  <c r="E57" i="1"/>
  <c r="F57" i="1"/>
  <c r="A58" i="1"/>
  <c r="A58" i="2" s="1"/>
  <c r="B58" i="1"/>
  <c r="C58" i="1"/>
  <c r="D58" i="1"/>
  <c r="E58" i="1"/>
  <c r="F58" i="1"/>
  <c r="A59" i="1"/>
  <c r="A59" i="2" s="1"/>
  <c r="B59" i="1"/>
  <c r="C59" i="1"/>
  <c r="D59" i="1"/>
  <c r="E59" i="1"/>
  <c r="F59" i="1"/>
  <c r="A60" i="1"/>
  <c r="B60" i="1"/>
  <c r="C60" i="1"/>
  <c r="D60" i="1"/>
  <c r="E60" i="1"/>
  <c r="F60" i="1"/>
  <c r="A61" i="1"/>
  <c r="B61" i="1"/>
  <c r="C61" i="1"/>
  <c r="D61" i="1"/>
  <c r="E61" i="1"/>
  <c r="F61" i="1"/>
  <c r="A62" i="1"/>
  <c r="A62" i="2" s="1"/>
  <c r="B62" i="1"/>
  <c r="C62" i="1"/>
  <c r="D62" i="1"/>
  <c r="E62" i="1"/>
  <c r="F62" i="1"/>
  <c r="A63" i="1"/>
  <c r="A63" i="2" s="1"/>
  <c r="B63" i="1"/>
  <c r="C63" i="1"/>
  <c r="D63" i="1"/>
  <c r="E63" i="1"/>
  <c r="F63" i="1"/>
  <c r="A64" i="1"/>
  <c r="A64" i="2" s="1"/>
  <c r="B64" i="1"/>
  <c r="C64" i="1"/>
  <c r="D64" i="1"/>
  <c r="E64" i="1"/>
  <c r="F64" i="1"/>
  <c r="A65" i="1"/>
  <c r="A65" i="2" s="1"/>
  <c r="B65" i="1"/>
  <c r="C65" i="1"/>
  <c r="D65" i="1"/>
  <c r="E65" i="1"/>
  <c r="F65" i="1"/>
  <c r="A66" i="1"/>
  <c r="A66" i="2" s="1"/>
  <c r="B66" i="1"/>
  <c r="C66" i="1"/>
  <c r="D66" i="1"/>
  <c r="E66" i="1"/>
  <c r="F66" i="1"/>
  <c r="A67" i="1"/>
  <c r="B67" i="1"/>
  <c r="C67" i="1"/>
  <c r="D67" i="1"/>
  <c r="E67" i="1"/>
  <c r="F67" i="1"/>
  <c r="A68" i="1"/>
  <c r="A68" i="2" s="1"/>
  <c r="B68" i="1"/>
  <c r="C68" i="1"/>
  <c r="D68" i="1"/>
  <c r="E68" i="1"/>
  <c r="F68" i="1"/>
  <c r="A69" i="1"/>
  <c r="A69" i="2" s="1"/>
  <c r="B69" i="1"/>
  <c r="C69" i="1"/>
  <c r="D69" i="1"/>
  <c r="E69" i="1"/>
  <c r="F69" i="1"/>
  <c r="A70" i="1"/>
  <c r="A70" i="2" s="1"/>
  <c r="B70" i="1"/>
  <c r="C70" i="1"/>
  <c r="D70" i="1"/>
  <c r="E70" i="1"/>
  <c r="F70" i="1"/>
  <c r="A71" i="1"/>
  <c r="B71" i="1"/>
  <c r="C71" i="1"/>
  <c r="D71" i="1"/>
  <c r="E71" i="1"/>
  <c r="F71" i="1"/>
  <c r="A72" i="1"/>
  <c r="A72" i="2" s="1"/>
  <c r="B72" i="1"/>
  <c r="C72" i="1"/>
  <c r="D72" i="1"/>
  <c r="E72" i="1"/>
  <c r="F72" i="1"/>
  <c r="A73" i="1"/>
  <c r="A73" i="2" s="1"/>
  <c r="B73" i="1"/>
  <c r="C73" i="1"/>
  <c r="D73" i="1"/>
  <c r="E73" i="1"/>
  <c r="F73" i="1"/>
  <c r="A74" i="1"/>
  <c r="B74" i="1"/>
  <c r="C74" i="1"/>
  <c r="D74" i="1"/>
  <c r="E74" i="1"/>
  <c r="F74" i="1"/>
  <c r="B2" i="1"/>
  <c r="C2" i="1"/>
  <c r="D2" i="1"/>
  <c r="E2" i="1"/>
  <c r="F2" i="1"/>
  <c r="A2" i="1"/>
  <c r="A2" i="2" s="1"/>
  <c r="A14" i="2"/>
  <c r="C93" i="2"/>
  <c r="A93" i="2"/>
  <c r="C95" i="2"/>
  <c r="A95" i="2"/>
  <c r="C92" i="2"/>
  <c r="A92" i="2"/>
  <c r="C91" i="2"/>
  <c r="A91" i="2"/>
  <c r="C90" i="2"/>
  <c r="A90" i="2"/>
  <c r="C89" i="2"/>
  <c r="A89" i="2"/>
  <c r="C88" i="2"/>
  <c r="A88" i="2"/>
  <c r="C87" i="2"/>
  <c r="A87" i="2"/>
  <c r="C86" i="2"/>
  <c r="A86" i="2"/>
  <c r="C85" i="2"/>
  <c r="A85" i="2"/>
  <c r="C84" i="2"/>
  <c r="A84" i="2"/>
  <c r="C83" i="2"/>
  <c r="A83" i="2"/>
  <c r="C82" i="2"/>
  <c r="A82" i="2"/>
  <c r="C81" i="2"/>
  <c r="A81" i="2"/>
  <c r="C80" i="2"/>
  <c r="A80" i="2"/>
  <c r="C79" i="2"/>
  <c r="A79" i="2"/>
  <c r="C78" i="2"/>
  <c r="A78" i="2"/>
  <c r="C77" i="2"/>
  <c r="A77" i="2"/>
  <c r="C76" i="2"/>
  <c r="A76" i="2"/>
  <c r="C75" i="2"/>
  <c r="A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A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A17" i="2"/>
  <c r="C16" i="2"/>
  <c r="C15" i="2"/>
  <c r="C14" i="2"/>
  <c r="C13" i="2"/>
  <c r="C12" i="2"/>
  <c r="C11" i="2"/>
  <c r="C10" i="2"/>
  <c r="C9" i="2"/>
  <c r="C8" i="2"/>
  <c r="C7" i="2"/>
  <c r="C6" i="2"/>
  <c r="C5" i="2"/>
  <c r="A5" i="2"/>
  <c r="C4" i="2"/>
  <c r="C3" i="2"/>
  <c r="A3" i="2"/>
  <c r="C2" i="2"/>
  <c r="H1" i="2"/>
  <c r="G1" i="2"/>
  <c r="F1" i="2"/>
  <c r="E1" i="2"/>
  <c r="G65" i="2" l="1"/>
  <c r="G66" i="2"/>
  <c r="G3" i="2"/>
  <c r="G2" i="2"/>
  <c r="G4" i="2"/>
  <c r="G5" i="2"/>
  <c r="G6" i="2"/>
  <c r="A13" i="2"/>
  <c r="A23" i="2"/>
  <c r="A71" i="2"/>
  <c r="A38" i="2"/>
  <c r="A74" i="2"/>
  <c r="A61" i="2"/>
  <c r="A6" i="2"/>
  <c r="A47" i="2"/>
  <c r="A9" i="2"/>
  <c r="A24" i="2"/>
  <c r="A48" i="2"/>
  <c r="A60" i="2"/>
  <c r="A7" i="2"/>
  <c r="A43" i="2"/>
  <c r="A67" i="2"/>
  <c r="A12" i="2"/>
  <c r="A36" i="2"/>
  <c r="A19" i="2"/>
  <c r="A31" i="2"/>
  <c r="A55" i="2"/>
  <c r="H65" i="2"/>
  <c r="E2" i="2"/>
  <c r="K2" i="2" s="1"/>
  <c r="E65" i="2"/>
  <c r="F2" i="2"/>
  <c r="J2" i="2" s="1"/>
  <c r="F65" i="2"/>
  <c r="H2" i="2"/>
  <c r="G94" i="2" l="1"/>
  <c r="E94" i="2"/>
  <c r="H94" i="2"/>
  <c r="F94" i="2"/>
  <c r="G85" i="2"/>
  <c r="F54" i="2"/>
  <c r="G27" i="2"/>
  <c r="G70" i="2"/>
  <c r="G24" i="2"/>
  <c r="G84" i="2"/>
  <c r="G64" i="2"/>
  <c r="G9" i="2"/>
  <c r="G43" i="2"/>
  <c r="G83" i="2"/>
  <c r="G7" i="2"/>
  <c r="G52" i="2"/>
  <c r="G28" i="2"/>
  <c r="G71" i="2"/>
  <c r="G68" i="2"/>
  <c r="G13" i="2"/>
  <c r="G47" i="2"/>
  <c r="G95" i="2"/>
  <c r="G44" i="2"/>
  <c r="G90" i="2"/>
  <c r="G41" i="2"/>
  <c r="G87" i="2"/>
  <c r="G73" i="2"/>
  <c r="G55" i="2"/>
  <c r="G61" i="2"/>
  <c r="G92" i="2"/>
  <c r="G49" i="2"/>
  <c r="G77" i="2"/>
  <c r="G37" i="2"/>
  <c r="G22" i="2"/>
  <c r="G59" i="2"/>
  <c r="G35" i="2"/>
  <c r="G81" i="2"/>
  <c r="G32" i="2"/>
  <c r="G78" i="2"/>
  <c r="G29" i="2"/>
  <c r="G75" i="2"/>
  <c r="G80" i="2"/>
  <c r="G25" i="2"/>
  <c r="G86" i="2"/>
  <c r="G53" i="2"/>
  <c r="G26" i="2"/>
  <c r="G23" i="2"/>
  <c r="G20" i="2"/>
  <c r="G63" i="2"/>
  <c r="G67" i="2"/>
  <c r="G58" i="2"/>
  <c r="G40" i="2"/>
  <c r="G19" i="2"/>
  <c r="G16" i="2"/>
  <c r="H71" i="2"/>
  <c r="G50" i="2"/>
  <c r="G38" i="2"/>
  <c r="G60" i="2"/>
  <c r="G14" i="2"/>
  <c r="G57" i="2"/>
  <c r="G11" i="2"/>
  <c r="G54" i="2"/>
  <c r="G8" i="2"/>
  <c r="G51" i="2"/>
  <c r="G12" i="2"/>
  <c r="G89" i="2"/>
  <c r="G34" i="2"/>
  <c r="G10" i="2"/>
  <c r="G74" i="2"/>
  <c r="G62" i="2"/>
  <c r="G69" i="2"/>
  <c r="G17" i="2"/>
  <c r="G48" i="2"/>
  <c r="G93" i="2"/>
  <c r="G45" i="2"/>
  <c r="G91" i="2"/>
  <c r="G42" i="2"/>
  <c r="G88" i="2"/>
  <c r="G39" i="2"/>
  <c r="G21" i="2"/>
  <c r="G15" i="2"/>
  <c r="G46" i="2"/>
  <c r="G18" i="2"/>
  <c r="G31" i="2"/>
  <c r="G56" i="2"/>
  <c r="G72" i="2"/>
  <c r="G36" i="2"/>
  <c r="G82" i="2"/>
  <c r="G33" i="2"/>
  <c r="G79" i="2"/>
  <c r="G30" i="2"/>
  <c r="G76" i="2"/>
  <c r="E34" i="2"/>
  <c r="H64" i="2"/>
  <c r="F75" i="2"/>
  <c r="F73" i="2"/>
  <c r="E48" i="2"/>
  <c r="H79" i="2"/>
  <c r="H85" i="2"/>
  <c r="F15" i="2"/>
  <c r="E14" i="2"/>
  <c r="H32" i="2"/>
  <c r="F48" i="2"/>
  <c r="E60" i="2"/>
  <c r="H78" i="2"/>
  <c r="E57" i="2"/>
  <c r="F79" i="2"/>
  <c r="F25" i="2"/>
  <c r="F52" i="2"/>
  <c r="F28" i="2"/>
  <c r="F32" i="2"/>
  <c r="H77" i="2"/>
  <c r="F69" i="2"/>
  <c r="H44" i="2"/>
  <c r="H72" i="2"/>
  <c r="E53" i="2"/>
  <c r="E15" i="2"/>
  <c r="F20" i="2"/>
  <c r="H41" i="2"/>
  <c r="F80" i="2"/>
  <c r="F57" i="2"/>
  <c r="F7" i="2"/>
  <c r="E44" i="2"/>
  <c r="E41" i="2"/>
  <c r="F88" i="2"/>
  <c r="H45" i="2"/>
  <c r="F81" i="2"/>
  <c r="H18" i="2"/>
  <c r="E33" i="2"/>
  <c r="F14" i="2"/>
  <c r="H51" i="2"/>
  <c r="E72" i="2"/>
  <c r="H29" i="2"/>
  <c r="H42" i="2"/>
  <c r="H86" i="2"/>
  <c r="H74" i="2"/>
  <c r="H83" i="2"/>
  <c r="F84" i="2"/>
  <c r="H68" i="2"/>
  <c r="H56" i="2"/>
  <c r="F21" i="2"/>
  <c r="E80" i="2"/>
  <c r="E95" i="2"/>
  <c r="H27" i="2"/>
  <c r="E70" i="2"/>
  <c r="E58" i="2"/>
  <c r="F82" i="2"/>
  <c r="H36" i="2"/>
  <c r="H92" i="2"/>
  <c r="F44" i="2"/>
  <c r="E86" i="2"/>
  <c r="E4" i="2"/>
  <c r="E83" i="2"/>
  <c r="H10" i="2"/>
  <c r="H21" i="2"/>
  <c r="F37" i="2"/>
  <c r="F8" i="2"/>
  <c r="F38" i="2"/>
  <c r="F86" i="2"/>
  <c r="E23" i="2"/>
  <c r="F93" i="2"/>
  <c r="F19" i="2"/>
  <c r="E54" i="2"/>
  <c r="H62" i="2"/>
  <c r="E36" i="2"/>
  <c r="E38" i="2"/>
  <c r="F39" i="2"/>
  <c r="E10" i="2"/>
  <c r="E43" i="2"/>
  <c r="E17" i="2"/>
  <c r="H43" i="2"/>
  <c r="E62" i="2"/>
  <c r="E81" i="2"/>
  <c r="E67" i="2"/>
  <c r="E47" i="2"/>
  <c r="E50" i="2"/>
  <c r="E3" i="2"/>
  <c r="E27" i="2"/>
  <c r="E51" i="2"/>
  <c r="H73" i="2"/>
  <c r="H58" i="2"/>
  <c r="H40" i="2"/>
  <c r="F59" i="2"/>
  <c r="H17" i="2"/>
  <c r="F70" i="2"/>
  <c r="F95" i="2"/>
  <c r="F6" i="2"/>
  <c r="E75" i="2"/>
  <c r="H87" i="2"/>
  <c r="H53" i="2"/>
  <c r="F43" i="2"/>
  <c r="H23" i="2"/>
  <c r="E76" i="2"/>
  <c r="H89" i="2"/>
  <c r="E84" i="2"/>
  <c r="H12" i="2"/>
  <c r="H30" i="2"/>
  <c r="E88" i="2"/>
  <c r="E32" i="2"/>
  <c r="E31" i="2"/>
  <c r="F24" i="2"/>
  <c r="F89" i="2"/>
  <c r="H22" i="2"/>
  <c r="F34" i="2"/>
  <c r="H50" i="2"/>
  <c r="E29" i="2"/>
  <c r="F91" i="2"/>
  <c r="E68" i="2"/>
  <c r="E89" i="2"/>
  <c r="H35" i="2"/>
  <c r="H8" i="2"/>
  <c r="E6" i="2"/>
  <c r="E59" i="2"/>
  <c r="H67" i="2"/>
  <c r="H47" i="2"/>
  <c r="F67" i="2"/>
  <c r="H11" i="2"/>
  <c r="F18" i="2"/>
  <c r="H63" i="2"/>
  <c r="F53" i="2"/>
  <c r="F33" i="2"/>
  <c r="H24" i="2"/>
  <c r="F9" i="2"/>
  <c r="H38" i="2"/>
  <c r="H52" i="2"/>
  <c r="F74" i="2"/>
  <c r="H5" i="2"/>
  <c r="E91" i="2"/>
  <c r="F60" i="2"/>
  <c r="F40" i="2"/>
  <c r="E55" i="2"/>
  <c r="E26" i="2"/>
  <c r="F27" i="2"/>
  <c r="E69" i="2"/>
  <c r="H59" i="2"/>
  <c r="E85" i="2"/>
  <c r="E63" i="2"/>
  <c r="E24" i="2"/>
  <c r="H46" i="2"/>
  <c r="F30" i="2"/>
  <c r="F10" i="2"/>
  <c r="F29" i="2"/>
  <c r="E20" i="2"/>
  <c r="H49" i="2"/>
  <c r="H66" i="2"/>
  <c r="H26" i="2"/>
  <c r="E90" i="2"/>
  <c r="H70" i="2"/>
  <c r="E8" i="2"/>
  <c r="F41" i="2"/>
  <c r="E49" i="2"/>
  <c r="E9" i="2"/>
  <c r="F42" i="2"/>
  <c r="F12" i="2"/>
  <c r="H7" i="2"/>
  <c r="E7" i="2"/>
  <c r="H9" i="2"/>
  <c r="F16" i="2"/>
  <c r="H75" i="2"/>
  <c r="H54" i="2"/>
  <c r="E30" i="2"/>
  <c r="F62" i="2"/>
  <c r="H28" i="2"/>
  <c r="H25" i="2"/>
  <c r="E78" i="2"/>
  <c r="E18" i="2"/>
  <c r="H60" i="2"/>
  <c r="F56" i="2"/>
  <c r="F87" i="2"/>
  <c r="F71" i="2"/>
  <c r="F46" i="2"/>
  <c r="E37" i="2"/>
  <c r="F78" i="2"/>
  <c r="F61" i="2"/>
  <c r="H91" i="2"/>
  <c r="H80" i="2"/>
  <c r="F55" i="2"/>
  <c r="E40" i="2"/>
  <c r="F5" i="2"/>
  <c r="E42" i="2"/>
  <c r="H88" i="2"/>
  <c r="F45" i="2"/>
  <c r="H33" i="2"/>
  <c r="H76" i="2"/>
  <c r="H48" i="2"/>
  <c r="E87" i="2"/>
  <c r="H55" i="2"/>
  <c r="F49" i="2"/>
  <c r="F63" i="2"/>
  <c r="H16" i="2"/>
  <c r="E39" i="2"/>
  <c r="H34" i="2"/>
  <c r="F50" i="2"/>
  <c r="H37" i="2"/>
  <c r="E77" i="2"/>
  <c r="E82" i="2"/>
  <c r="F31" i="2"/>
  <c r="F77" i="2"/>
  <c r="E21" i="2"/>
  <c r="F26" i="2"/>
  <c r="E45" i="2"/>
  <c r="F23" i="2"/>
  <c r="F3" i="2"/>
  <c r="H57" i="2"/>
  <c r="F92" i="2"/>
  <c r="E66" i="2"/>
  <c r="F11" i="2"/>
  <c r="F68" i="2"/>
  <c r="H93" i="2"/>
  <c r="H14" i="2"/>
  <c r="H31" i="2"/>
  <c r="H61" i="2"/>
  <c r="E28" i="2"/>
  <c r="H19" i="2"/>
  <c r="H82" i="2"/>
  <c r="F22" i="2"/>
  <c r="E71" i="2"/>
  <c r="E25" i="2"/>
  <c r="H3" i="2"/>
  <c r="E46" i="2"/>
  <c r="F72" i="2"/>
  <c r="E64" i="2"/>
  <c r="E73" i="2"/>
  <c r="F4" i="2"/>
  <c r="H69" i="2"/>
  <c r="H6" i="2"/>
  <c r="H39" i="2"/>
  <c r="F76" i="2"/>
  <c r="E93" i="2"/>
  <c r="F51" i="2"/>
  <c r="H81" i="2"/>
  <c r="E61" i="2"/>
  <c r="F35" i="2"/>
  <c r="E12" i="2"/>
  <c r="F13" i="2"/>
  <c r="F85" i="2"/>
  <c r="E5" i="2"/>
  <c r="E74" i="2"/>
  <c r="F66" i="2"/>
  <c r="F90" i="2"/>
  <c r="E11" i="2"/>
  <c r="F58" i="2"/>
  <c r="E56" i="2"/>
  <c r="H90" i="2"/>
  <c r="E16" i="2"/>
  <c r="E19" i="2"/>
  <c r="F83" i="2"/>
  <c r="E79" i="2"/>
  <c r="E22" i="2"/>
  <c r="H15" i="2"/>
  <c r="H20" i="2"/>
  <c r="E35" i="2"/>
  <c r="E13" i="2"/>
  <c r="H95" i="2"/>
  <c r="F47" i="2"/>
  <c r="F36" i="2"/>
  <c r="H84" i="2"/>
  <c r="E52" i="2"/>
  <c r="F64" i="2"/>
  <c r="H4" i="2"/>
  <c r="H13" i="2"/>
  <c r="E92" i="2"/>
  <c r="F17" i="2"/>
</calcChain>
</file>

<file path=xl/sharedStrings.xml><?xml version="1.0" encoding="utf-8"?>
<sst xmlns="http://schemas.openxmlformats.org/spreadsheetml/2006/main" count="103" uniqueCount="103">
  <si>
    <t>Ticker</t>
  </si>
  <si>
    <t>1-Year Target Price</t>
  </si>
  <si>
    <t>Ex-Dividend Date</t>
  </si>
  <si>
    <t>Earnings Date</t>
  </si>
  <si>
    <t>Dividend Yield (%)</t>
  </si>
  <si>
    <t>Currency</t>
  </si>
  <si>
    <t>AAPL</t>
  </si>
  <si>
    <t>ADEA</t>
  </si>
  <si>
    <t>AMZN</t>
  </si>
  <si>
    <t>AZN</t>
  </si>
  <si>
    <t>BLDP</t>
  </si>
  <si>
    <t>BMRA</t>
  </si>
  <si>
    <t>C</t>
  </si>
  <si>
    <t>CSCO</t>
  </si>
  <si>
    <t>CVS</t>
  </si>
  <si>
    <t>DDD</t>
  </si>
  <si>
    <t>DIS</t>
  </si>
  <si>
    <t>DVA</t>
  </si>
  <si>
    <t>DXC</t>
  </si>
  <si>
    <t>EPIX</t>
  </si>
  <si>
    <t>GM</t>
  </si>
  <si>
    <t>HPE</t>
  </si>
  <si>
    <t>HPQ</t>
  </si>
  <si>
    <t>KR</t>
  </si>
  <si>
    <t>LNSR</t>
  </si>
  <si>
    <t>LUMN</t>
  </si>
  <si>
    <t>MRNA</t>
  </si>
  <si>
    <t>MSFT</t>
  </si>
  <si>
    <t>NEE</t>
  </si>
  <si>
    <t>NEM</t>
  </si>
  <si>
    <t>NFLX</t>
  </si>
  <si>
    <t>NOTE</t>
  </si>
  <si>
    <t>PAAS</t>
  </si>
  <si>
    <t>PROF</t>
  </si>
  <si>
    <t>POET</t>
  </si>
  <si>
    <t>PW</t>
  </si>
  <si>
    <t>RIGL</t>
  </si>
  <si>
    <t>SHECY</t>
  </si>
  <si>
    <t>SSYS</t>
  </si>
  <si>
    <t>TSLA</t>
  </si>
  <si>
    <t>TSM</t>
  </si>
  <si>
    <t>UN0</t>
  </si>
  <si>
    <t>UNIT</t>
  </si>
  <si>
    <t>AVGO</t>
  </si>
  <si>
    <t>VLVLY</t>
  </si>
  <si>
    <t>VTRS</t>
  </si>
  <si>
    <t>WBA</t>
  </si>
  <si>
    <t>XOM</t>
  </si>
  <si>
    <t>XPER</t>
  </si>
  <si>
    <t>BLNK</t>
  </si>
  <si>
    <t>F</t>
  </si>
  <si>
    <t>GNRC</t>
  </si>
  <si>
    <t>GS</t>
  </si>
  <si>
    <t>LAZR</t>
  </si>
  <si>
    <t>LUV</t>
  </si>
  <si>
    <t>MA</t>
  </si>
  <si>
    <t>NVAX</t>
  </si>
  <si>
    <t>NVS</t>
  </si>
  <si>
    <t>OXY</t>
  </si>
  <si>
    <t>PFE</t>
  </si>
  <si>
    <t>RIG</t>
  </si>
  <si>
    <t>RRC</t>
  </si>
  <si>
    <t>XYZ</t>
  </si>
  <si>
    <t>THC</t>
  </si>
  <si>
    <t>X</t>
  </si>
  <si>
    <t>AET</t>
  </si>
  <si>
    <t>ALDNE</t>
  </si>
  <si>
    <t>ASML</t>
  </si>
  <si>
    <t>DSY</t>
  </si>
  <si>
    <t>EOAN</t>
  </si>
  <si>
    <t>IAG</t>
  </si>
  <si>
    <t>RWE</t>
  </si>
  <si>
    <t>SAP</t>
  </si>
  <si>
    <t>VONN</t>
  </si>
  <si>
    <t>MVEALDNE</t>
  </si>
  <si>
    <t>MVEDDD</t>
  </si>
  <si>
    <t>MVEDSY</t>
  </si>
  <si>
    <t>MVEEOAN</t>
  </si>
  <si>
    <t>MVEENI</t>
  </si>
  <si>
    <t>MVEEPIX</t>
  </si>
  <si>
    <t>MVEGLE</t>
  </si>
  <si>
    <t>MVEORA</t>
  </si>
  <si>
    <t>MVERWE</t>
  </si>
  <si>
    <t>MVESAP</t>
  </si>
  <si>
    <t>MVEUN0</t>
  </si>
  <si>
    <t>SAFAAPL</t>
  </si>
  <si>
    <t>SAFAMZN</t>
  </si>
  <si>
    <t>SAFASML</t>
  </si>
  <si>
    <t>SAFDDD</t>
  </si>
  <si>
    <t>SAFDIS</t>
  </si>
  <si>
    <t>SAFGM</t>
  </si>
  <si>
    <t>SAFIAG</t>
  </si>
  <si>
    <t>SAFMRNA</t>
  </si>
  <si>
    <t>ENI</t>
  </si>
  <si>
    <t>EZJ</t>
  </si>
  <si>
    <t>GLE</t>
  </si>
  <si>
    <t>ORA</t>
  </si>
  <si>
    <t>JBEOAN</t>
  </si>
  <si>
    <t>LOCK</t>
  </si>
  <si>
    <t>No Suffix</t>
  </si>
  <si>
    <t>Portfolio</t>
  </si>
  <si>
    <t>MVE, SAF</t>
  </si>
  <si>
    <t>JBASML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</si>
</sst>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stayanev/NikyClean/YahooDataOutput.xlsx" TargetMode="External"/><Relationship Id="rId1" Type="http://schemas.openxmlformats.org/officeDocument/2006/relationships/externalLinkPath" Target="YahooData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2">
          <cell r="A2" t="str">
            <v>AAPL</v>
          </cell>
          <cell r="B2">
            <v>235.52553</v>
          </cell>
          <cell r="C2" t="str">
            <v>2025-08-11</v>
          </cell>
          <cell r="D2" t="str">
            <v>Oct 30, 2025</v>
          </cell>
          <cell r="E2">
            <v>4.3E-3</v>
          </cell>
          <cell r="F2" t="str">
            <v>USD</v>
          </cell>
        </row>
        <row r="3">
          <cell r="A3" t="str">
            <v>ADEA</v>
          </cell>
          <cell r="B3">
            <v>20.66667</v>
          </cell>
          <cell r="C3" t="str">
            <v>2025-08-26</v>
          </cell>
          <cell r="E3">
            <v>1.2999999E-2</v>
          </cell>
          <cell r="F3" t="str">
            <v>USD</v>
          </cell>
        </row>
        <row r="4">
          <cell r="A4" t="str">
            <v>AET.L</v>
          </cell>
          <cell r="B4">
            <v>95.060005000000004</v>
          </cell>
          <cell r="F4" t="str">
            <v>GBp</v>
          </cell>
        </row>
        <row r="5">
          <cell r="A5" t="str">
            <v>AMZN</v>
          </cell>
          <cell r="B5">
            <v>263.18033000000003</v>
          </cell>
          <cell r="D5" t="str">
            <v>Oct 30, 2025</v>
          </cell>
          <cell r="F5" t="str">
            <v>USD</v>
          </cell>
        </row>
        <row r="6">
          <cell r="A6" t="str">
            <v>ALDNE.PA</v>
          </cell>
          <cell r="B6">
            <v>1.5333300000000001</v>
          </cell>
          <cell r="F6" t="str">
            <v>EUR</v>
          </cell>
        </row>
        <row r="7">
          <cell r="A7" t="str">
            <v>ASML.AS</v>
          </cell>
          <cell r="B7">
            <v>758</v>
          </cell>
          <cell r="C7" t="str">
            <v>2025-07-28</v>
          </cell>
          <cell r="E7">
            <v>9.7999999999999997E-3</v>
          </cell>
          <cell r="F7" t="str">
            <v>EUR</v>
          </cell>
        </row>
        <row r="8">
          <cell r="A8" t="str">
            <v>AZN</v>
          </cell>
          <cell r="B8">
            <v>87.27</v>
          </cell>
          <cell r="C8" t="str">
            <v>2025-08-08</v>
          </cell>
          <cell r="D8" t="str">
            <v>Jul 29, 2025</v>
          </cell>
          <cell r="E8">
            <v>1.9199998999999999E-2</v>
          </cell>
          <cell r="F8" t="str">
            <v>USD</v>
          </cell>
        </row>
        <row r="9">
          <cell r="A9" t="str">
            <v>BLDP</v>
          </cell>
          <cell r="B9">
            <v>2.3158300000000001</v>
          </cell>
          <cell r="D9" t="str">
            <v>Nov 4, 2025</v>
          </cell>
          <cell r="F9" t="str">
            <v>USD</v>
          </cell>
        </row>
        <row r="10">
          <cell r="A10" t="str">
            <v>BMRA</v>
          </cell>
          <cell r="D10" t="str">
            <v>Aug 26, 2025 - Sep 1, 2025</v>
          </cell>
          <cell r="F10" t="str">
            <v>USD</v>
          </cell>
        </row>
        <row r="11">
          <cell r="A11" t="str">
            <v>C</v>
          </cell>
          <cell r="B11">
            <v>101.54761999999999</v>
          </cell>
          <cell r="C11" t="str">
            <v>2025-08-04</v>
          </cell>
          <cell r="D11" t="str">
            <v>Oct 14, 2025</v>
          </cell>
          <cell r="E11">
            <v>2.52E-2</v>
          </cell>
          <cell r="F11" t="str">
            <v>USD</v>
          </cell>
        </row>
        <row r="12">
          <cell r="A12" t="str">
            <v>CSCO</v>
          </cell>
          <cell r="B12">
            <v>75.814760000000007</v>
          </cell>
          <cell r="C12" t="str">
            <v>2025-10-03</v>
          </cell>
          <cell r="D12" t="str">
            <v>Nov 12, 2025</v>
          </cell>
          <cell r="E12">
            <v>2.4500001E-2</v>
          </cell>
          <cell r="F12" t="str">
            <v>USD</v>
          </cell>
        </row>
        <row r="13">
          <cell r="A13" t="str">
            <v>CVS</v>
          </cell>
          <cell r="B13">
            <v>82.072500000000005</v>
          </cell>
          <cell r="C13" t="str">
            <v>2025-07-22</v>
          </cell>
          <cell r="D13" t="str">
            <v>Jul 31, 2025</v>
          </cell>
          <cell r="E13">
            <v>3.61E-2</v>
          </cell>
          <cell r="F13" t="str">
            <v>USD</v>
          </cell>
        </row>
        <row r="14">
          <cell r="A14" t="str">
            <v>DDD</v>
          </cell>
          <cell r="B14">
            <v>3.25</v>
          </cell>
          <cell r="D14" t="str">
            <v>Nov 10, 2025</v>
          </cell>
          <cell r="F14" t="str">
            <v>USD</v>
          </cell>
        </row>
        <row r="15">
          <cell r="A15" t="str">
            <v>DIS</v>
          </cell>
          <cell r="B15">
            <v>132.22594000000001</v>
          </cell>
          <cell r="C15" t="str">
            <v>2025-06-24</v>
          </cell>
          <cell r="D15" t="str">
            <v>Aug 6, 2025</v>
          </cell>
          <cell r="E15">
            <v>8.5000000000000006E-3</v>
          </cell>
          <cell r="F15" t="str">
            <v>USD</v>
          </cell>
        </row>
        <row r="16">
          <cell r="A16" t="str">
            <v>DSY.PA</v>
          </cell>
          <cell r="B16">
            <v>35.563890000000001</v>
          </cell>
          <cell r="C16" t="str">
            <v>2025-05-26</v>
          </cell>
          <cell r="E16">
            <v>9.7000000000000003E-3</v>
          </cell>
          <cell r="F16" t="str">
            <v>EUR</v>
          </cell>
        </row>
        <row r="17">
          <cell r="A17" t="str">
            <v>DVA</v>
          </cell>
          <cell r="B17">
            <v>153.5</v>
          </cell>
          <cell r="D17" t="str">
            <v>Oct 28, 2025</v>
          </cell>
          <cell r="F17" t="str">
            <v>USD</v>
          </cell>
        </row>
        <row r="18">
          <cell r="A18" t="str">
            <v>DXC</v>
          </cell>
          <cell r="B18">
            <v>15.125</v>
          </cell>
          <cell r="C18" t="str">
            <v>2020-03-24</v>
          </cell>
          <cell r="D18" t="str">
            <v>Jul 31, 2025</v>
          </cell>
          <cell r="F18" t="str">
            <v>USD</v>
          </cell>
        </row>
        <row r="19">
          <cell r="A19" t="str">
            <v>EOAN.DE</v>
          </cell>
          <cell r="B19">
            <v>16.88824</v>
          </cell>
          <cell r="C19" t="str">
            <v>2025-05-16</v>
          </cell>
          <cell r="E19">
            <v>3.6199997999999997E-2</v>
          </cell>
          <cell r="F19" t="str">
            <v>EUR</v>
          </cell>
        </row>
        <row r="20">
          <cell r="A20" t="str">
            <v>EPIX</v>
          </cell>
          <cell r="C20" t="str">
            <v>2025-08-25</v>
          </cell>
          <cell r="D20" t="str">
            <v>Aug 7, 2025</v>
          </cell>
          <cell r="F20" t="str">
            <v>USD</v>
          </cell>
        </row>
        <row r="21">
          <cell r="A21" t="str">
            <v>GM</v>
          </cell>
          <cell r="B21">
            <v>57.2</v>
          </cell>
          <cell r="C21" t="str">
            <v>2025-09-05</v>
          </cell>
          <cell r="D21" t="str">
            <v>Oct 21, 2025</v>
          </cell>
          <cell r="E21">
            <v>1.0299999000000001E-2</v>
          </cell>
          <cell r="F21" t="str">
            <v>USD</v>
          </cell>
        </row>
        <row r="22">
          <cell r="A22" t="str">
            <v>HPE</v>
          </cell>
          <cell r="B22">
            <v>24.984120000000001</v>
          </cell>
          <cell r="C22" t="str">
            <v>2025-09-18</v>
          </cell>
          <cell r="D22" t="str">
            <v>Dec 4, 2025</v>
          </cell>
          <cell r="E22">
            <v>2.2100000000000002E-2</v>
          </cell>
          <cell r="F22" t="str">
            <v>USD</v>
          </cell>
        </row>
        <row r="23">
          <cell r="A23" t="str">
            <v>HPQ</v>
          </cell>
          <cell r="B23">
            <v>27.968</v>
          </cell>
          <cell r="C23" t="str">
            <v>2025-09-10</v>
          </cell>
          <cell r="D23" t="str">
            <v>Nov 25, 2025</v>
          </cell>
          <cell r="E23">
            <v>3.95E-2</v>
          </cell>
          <cell r="F23" t="str">
            <v>USD</v>
          </cell>
        </row>
        <row r="24">
          <cell r="A24" t="str">
            <v>IAG.L</v>
          </cell>
          <cell r="B24">
            <v>435.83789999999999</v>
          </cell>
          <cell r="C24" t="str">
            <v>2025-06-26</v>
          </cell>
          <cell r="E24">
            <v>1.9599999999999999E-2</v>
          </cell>
          <cell r="F24" t="str">
            <v>GBp</v>
          </cell>
        </row>
        <row r="25">
          <cell r="A25" t="str">
            <v>KR</v>
          </cell>
          <cell r="B25">
            <v>75.727270000000004</v>
          </cell>
          <cell r="C25" t="str">
            <v>2025-08-15</v>
          </cell>
          <cell r="D25" t="str">
            <v>Sep 10, 2025 - Sep 15, 2025</v>
          </cell>
          <cell r="E25">
            <v>2.07E-2</v>
          </cell>
          <cell r="F25" t="str">
            <v>USD</v>
          </cell>
        </row>
        <row r="26">
          <cell r="A26" t="str">
            <v>LNSR</v>
          </cell>
          <cell r="B26">
            <v>15</v>
          </cell>
          <cell r="D26" t="str">
            <v>Nov 6, 2025</v>
          </cell>
          <cell r="F26" t="str">
            <v>USD</v>
          </cell>
        </row>
        <row r="27">
          <cell r="A27" t="str">
            <v>LUMN</v>
          </cell>
          <cell r="B27">
            <v>5.06182</v>
          </cell>
          <cell r="C27" t="str">
            <v>2022-08-29</v>
          </cell>
          <cell r="D27" t="str">
            <v>Jul 31, 2025</v>
          </cell>
          <cell r="F27" t="str">
            <v>USD</v>
          </cell>
        </row>
        <row r="28">
          <cell r="A28" t="str">
            <v>MRNA</v>
          </cell>
          <cell r="B28">
            <v>44.25</v>
          </cell>
          <cell r="D28" t="str">
            <v>Aug 1, 2025</v>
          </cell>
          <cell r="F28" t="str">
            <v>USD</v>
          </cell>
        </row>
        <row r="29">
          <cell r="A29" t="str">
            <v>MSFT</v>
          </cell>
          <cell r="B29">
            <v>613.89160000000004</v>
          </cell>
          <cell r="C29" t="str">
            <v>2025-08-21</v>
          </cell>
          <cell r="D29" t="str">
            <v>Oct 29, 2025</v>
          </cell>
          <cell r="E29">
            <v>6.7000002999999999E-3</v>
          </cell>
          <cell r="F29" t="str">
            <v>USD</v>
          </cell>
        </row>
        <row r="30">
          <cell r="A30" t="str">
            <v>NEE</v>
          </cell>
          <cell r="B30">
            <v>82.294120000000007</v>
          </cell>
          <cell r="C30" t="str">
            <v>2025-08-28</v>
          </cell>
          <cell r="D30" t="str">
            <v>Oct 23, 2025</v>
          </cell>
          <cell r="E30">
            <v>3.2000000000000001E-2</v>
          </cell>
          <cell r="F30" t="str">
            <v>USD</v>
          </cell>
        </row>
        <row r="31">
          <cell r="A31" t="str">
            <v>NEM</v>
          </cell>
          <cell r="B31">
            <v>73.224739999999997</v>
          </cell>
          <cell r="C31" t="str">
            <v>2025-09-04</v>
          </cell>
          <cell r="D31" t="str">
            <v>Oct 22, 2025</v>
          </cell>
          <cell r="E31">
            <v>1.3099998999999999E-2</v>
          </cell>
          <cell r="F31" t="str">
            <v>USD</v>
          </cell>
        </row>
        <row r="32">
          <cell r="A32" t="str">
            <v>NFLX</v>
          </cell>
          <cell r="B32">
            <v>1350.316</v>
          </cell>
          <cell r="D32" t="str">
            <v>Oct 16, 2025</v>
          </cell>
          <cell r="F32" t="str">
            <v>USD</v>
          </cell>
        </row>
        <row r="33">
          <cell r="A33" t="str">
            <v>NOTE</v>
          </cell>
          <cell r="B33">
            <v>31.501259999999998</v>
          </cell>
          <cell r="F33" t="str">
            <v>USD</v>
          </cell>
        </row>
        <row r="34">
          <cell r="A34" t="str">
            <v>PAAS</v>
          </cell>
          <cell r="B34">
            <v>37.375</v>
          </cell>
          <cell r="C34" t="str">
            <v>2025-08-18</v>
          </cell>
          <cell r="D34" t="str">
            <v>Aug 6, 2025</v>
          </cell>
          <cell r="E34">
            <v>1.3899999999999999E-2</v>
          </cell>
          <cell r="F34" t="str">
            <v>USD</v>
          </cell>
        </row>
        <row r="35">
          <cell r="A35" t="str">
            <v>PROF</v>
          </cell>
          <cell r="B35">
            <v>12.1</v>
          </cell>
          <cell r="F35" t="str">
            <v>USD</v>
          </cell>
        </row>
        <row r="36">
          <cell r="A36" t="str">
            <v>POET</v>
          </cell>
          <cell r="B36">
            <v>6.6333299999999999</v>
          </cell>
          <cell r="D36" t="str">
            <v>Aug 14, 2025</v>
          </cell>
          <cell r="F36" t="str">
            <v>USD</v>
          </cell>
        </row>
        <row r="37">
          <cell r="A37" t="str">
            <v>PW</v>
          </cell>
          <cell r="C37" t="str">
            <v>2013-01-10</v>
          </cell>
          <cell r="F37" t="str">
            <v>USD</v>
          </cell>
        </row>
        <row r="38">
          <cell r="A38" t="str">
            <v>RIGL</v>
          </cell>
          <cell r="B38">
            <v>38.333329999999997</v>
          </cell>
          <cell r="D38" t="str">
            <v>Nov 6, 2025</v>
          </cell>
          <cell r="F38" t="str">
            <v>USD</v>
          </cell>
        </row>
        <row r="39">
          <cell r="A39" t="str">
            <v>RWE.DE</v>
          </cell>
          <cell r="B39">
            <v>43.26</v>
          </cell>
          <cell r="C39" t="str">
            <v>2025-05-02</v>
          </cell>
          <cell r="E39">
            <v>3.1400003000000003E-2</v>
          </cell>
          <cell r="F39" t="str">
            <v>EUR</v>
          </cell>
        </row>
        <row r="40">
          <cell r="A40" t="str">
            <v>SAP.DE</v>
          </cell>
          <cell r="B40">
            <v>291.91037</v>
          </cell>
          <cell r="C40" t="str">
            <v>2025-05-14</v>
          </cell>
          <cell r="E40">
            <v>1.0299999000000001E-2</v>
          </cell>
          <cell r="F40" t="str">
            <v>EUR</v>
          </cell>
        </row>
        <row r="41">
          <cell r="A41" t="str">
            <v>SHECY</v>
          </cell>
          <cell r="C41" t="str">
            <v>2025-03-31</v>
          </cell>
          <cell r="E41">
            <v>2.47E-2</v>
          </cell>
          <cell r="F41" t="str">
            <v>USD</v>
          </cell>
        </row>
        <row r="42">
          <cell r="A42" t="str">
            <v>SSYS</v>
          </cell>
          <cell r="B42">
            <v>13.33333</v>
          </cell>
          <cell r="D42" t="str">
            <v>Nov 12, 2025</v>
          </cell>
          <cell r="F42" t="str">
            <v>USD</v>
          </cell>
        </row>
        <row r="43">
          <cell r="A43" t="str">
            <v>TSLA</v>
          </cell>
          <cell r="B43">
            <v>310.53410000000002</v>
          </cell>
          <cell r="D43" t="str">
            <v>Oct 22, 2025</v>
          </cell>
          <cell r="F43" t="str">
            <v>USD</v>
          </cell>
        </row>
        <row r="44">
          <cell r="A44" t="str">
            <v>TSM</v>
          </cell>
          <cell r="B44">
            <v>274.15667999999999</v>
          </cell>
          <cell r="C44" t="str">
            <v>2025-09-16</v>
          </cell>
          <cell r="D44" t="str">
            <v>Oct 16, 2025</v>
          </cell>
          <cell r="E44">
            <v>1.37E-2</v>
          </cell>
          <cell r="F44" t="str">
            <v>USD</v>
          </cell>
        </row>
        <row r="45">
          <cell r="A45" t="str">
            <v>UN0</v>
          </cell>
        </row>
        <row r="46">
          <cell r="A46" t="str">
            <v>UNIT</v>
          </cell>
          <cell r="B46">
            <v>8.2502700000000004</v>
          </cell>
          <cell r="C46" t="str">
            <v>2024-06-14</v>
          </cell>
          <cell r="D46" t="str">
            <v>Oct 30, 2025</v>
          </cell>
          <cell r="F46" t="str">
            <v>USD</v>
          </cell>
        </row>
        <row r="47">
          <cell r="A47" t="str">
            <v>AVGO</v>
          </cell>
          <cell r="B47">
            <v>355.06</v>
          </cell>
          <cell r="C47" t="str">
            <v>2025-09-22</v>
          </cell>
          <cell r="D47" t="str">
            <v>Sep 4, 2025</v>
          </cell>
          <cell r="E47">
            <v>6.9999998000000001E-3</v>
          </cell>
          <cell r="F47" t="str">
            <v>USD</v>
          </cell>
        </row>
        <row r="48">
          <cell r="A48" t="str">
            <v>VLVLY</v>
          </cell>
          <cell r="B48">
            <v>36</v>
          </cell>
          <cell r="C48" t="str">
            <v>2025-04-04</v>
          </cell>
          <cell r="E48">
            <v>2.7099999999999999E-2</v>
          </cell>
          <cell r="F48" t="str">
            <v>USD</v>
          </cell>
        </row>
        <row r="49">
          <cell r="A49" t="str">
            <v>VONN.SW</v>
          </cell>
          <cell r="B49">
            <v>63.325000000000003</v>
          </cell>
          <cell r="C49" t="str">
            <v>2025-04-04</v>
          </cell>
          <cell r="D49" t="str">
            <v>Jul 24, 2025</v>
          </cell>
          <cell r="E49">
            <v>4.8800003000000002E-2</v>
          </cell>
          <cell r="F49" t="str">
            <v>CHF</v>
          </cell>
        </row>
        <row r="50">
          <cell r="A50" t="str">
            <v>VTRS</v>
          </cell>
          <cell r="B50">
            <v>11.428570000000001</v>
          </cell>
          <cell r="C50" t="str">
            <v>2025-08-22</v>
          </cell>
          <cell r="D50" t="str">
            <v>Nov 6, 2025</v>
          </cell>
          <cell r="E50">
            <v>4.5700002000000003E-2</v>
          </cell>
          <cell r="F50" t="str">
            <v>USD</v>
          </cell>
        </row>
        <row r="51">
          <cell r="A51" t="str">
            <v>WBA</v>
          </cell>
          <cell r="B51">
            <v>12.11429</v>
          </cell>
          <cell r="C51" t="str">
            <v>2024-11-18</v>
          </cell>
          <cell r="E51">
            <v>8.3500005000000002E-2</v>
          </cell>
          <cell r="F51" t="str">
            <v>USD</v>
          </cell>
        </row>
        <row r="52">
          <cell r="A52" t="str">
            <v>XOM</v>
          </cell>
          <cell r="B52">
            <v>124.79167</v>
          </cell>
          <cell r="C52" t="str">
            <v>2025-08-15</v>
          </cell>
          <cell r="D52" t="str">
            <v>Oct 31, 2025</v>
          </cell>
          <cell r="E52">
            <v>3.6299999999999999E-2</v>
          </cell>
          <cell r="F52" t="str">
            <v>USD</v>
          </cell>
        </row>
        <row r="53">
          <cell r="A53" t="str">
            <v>XPER</v>
          </cell>
          <cell r="B53">
            <v>11</v>
          </cell>
          <cell r="F53" t="str">
            <v>USD</v>
          </cell>
        </row>
        <row r="54">
          <cell r="A54" t="str">
            <v>BLNK</v>
          </cell>
          <cell r="B54">
            <v>2.4</v>
          </cell>
          <cell r="D54" t="str">
            <v>Nov 6, 2025</v>
          </cell>
          <cell r="F54" t="str">
            <v>USD</v>
          </cell>
        </row>
        <row r="55">
          <cell r="A55" t="str">
            <v>ENI.MI</v>
          </cell>
          <cell r="B55">
            <v>15.5</v>
          </cell>
          <cell r="C55" t="str">
            <v>2025-09-22</v>
          </cell>
          <cell r="E55">
            <v>7.1100003999999994E-2</v>
          </cell>
          <cell r="F55" t="str">
            <v>EUR</v>
          </cell>
        </row>
        <row r="56">
          <cell r="A56" t="str">
            <v>EZJ.L</v>
          </cell>
          <cell r="B56">
            <v>658.68399999999997</v>
          </cell>
          <cell r="C56" t="str">
            <v>2025-02-20</v>
          </cell>
          <cell r="E56">
            <v>2.5799999000000001E-2</v>
          </cell>
          <cell r="F56" t="str">
            <v>GBp</v>
          </cell>
        </row>
        <row r="57">
          <cell r="A57" t="str">
            <v>F</v>
          </cell>
          <cell r="B57">
            <v>10.8</v>
          </cell>
          <cell r="C57" t="str">
            <v>2025-08-11</v>
          </cell>
          <cell r="D57" t="str">
            <v>Oct 29, 2025</v>
          </cell>
          <cell r="E57">
            <v>5.11E-2</v>
          </cell>
          <cell r="F57" t="str">
            <v>USD</v>
          </cell>
        </row>
        <row r="58">
          <cell r="A58" t="str">
            <v>GLE.PA</v>
          </cell>
          <cell r="B58">
            <v>61.800559999999997</v>
          </cell>
          <cell r="C58" t="str">
            <v>2025-10-07</v>
          </cell>
          <cell r="D58" t="str">
            <v>Oct 30, 2025</v>
          </cell>
          <cell r="E58">
            <v>3.2099999999999997E-2</v>
          </cell>
          <cell r="F58" t="str">
            <v>EUR</v>
          </cell>
        </row>
        <row r="59">
          <cell r="A59" t="str">
            <v>GNRC</v>
          </cell>
          <cell r="B59">
            <v>204.5</v>
          </cell>
          <cell r="C59" t="str">
            <v>2013-06-10</v>
          </cell>
          <cell r="D59" t="str">
            <v>Oct 30, 2025</v>
          </cell>
          <cell r="F59" t="str">
            <v>USD</v>
          </cell>
        </row>
        <row r="60">
          <cell r="A60" t="str">
            <v>GS</v>
          </cell>
          <cell r="B60">
            <v>710.57899999999995</v>
          </cell>
          <cell r="C60" t="str">
            <v>2025-08-29</v>
          </cell>
          <cell r="D60" t="str">
            <v>Oct 14, 2025</v>
          </cell>
          <cell r="E60">
            <v>2.1700000000000001E-2</v>
          </cell>
          <cell r="F60" t="str">
            <v>USD</v>
          </cell>
        </row>
        <row r="61">
          <cell r="A61" t="str">
            <v>LAZR</v>
          </cell>
          <cell r="B61">
            <v>2.6666699999999999</v>
          </cell>
          <cell r="D61" t="str">
            <v>Aug 12, 2025</v>
          </cell>
          <cell r="F61" t="str">
            <v>USD</v>
          </cell>
        </row>
        <row r="62">
          <cell r="A62" t="str">
            <v>LUV</v>
          </cell>
          <cell r="B62">
            <v>32.06</v>
          </cell>
          <cell r="C62" t="str">
            <v>2025-09-03</v>
          </cell>
          <cell r="D62" t="str">
            <v>Oct 22, 2025</v>
          </cell>
          <cell r="E62">
            <v>2.29E-2</v>
          </cell>
          <cell r="F62" t="str">
            <v>USD</v>
          </cell>
        </row>
        <row r="63">
          <cell r="A63" t="str">
            <v>MA</v>
          </cell>
          <cell r="B63">
            <v>644.55150000000003</v>
          </cell>
          <cell r="C63" t="str">
            <v>2025-07-09</v>
          </cell>
          <cell r="D63" t="str">
            <v>Oct 30, 2025</v>
          </cell>
          <cell r="E63">
            <v>5.1999999999999998E-3</v>
          </cell>
          <cell r="F63" t="str">
            <v>USD</v>
          </cell>
        </row>
        <row r="64">
          <cell r="A64" t="str">
            <v>NVAX</v>
          </cell>
          <cell r="B64">
            <v>12.5</v>
          </cell>
          <cell r="D64" t="str">
            <v>Aug 6, 2025</v>
          </cell>
          <cell r="F64" t="str">
            <v>USD</v>
          </cell>
        </row>
        <row r="65">
          <cell r="A65" t="str">
            <v>NVS</v>
          </cell>
          <cell r="B65">
            <v>118.545</v>
          </cell>
          <cell r="C65" t="str">
            <v>2025-03-12</v>
          </cell>
          <cell r="D65" t="str">
            <v>Jul 17, 2025</v>
          </cell>
          <cell r="E65">
            <v>3.0800000000000001E-2</v>
          </cell>
          <cell r="F65" t="str">
            <v>USD</v>
          </cell>
        </row>
        <row r="66">
          <cell r="A66" t="str">
            <v>ORA.PA</v>
          </cell>
          <cell r="B66">
            <v>14.994440000000001</v>
          </cell>
          <cell r="C66" t="str">
            <v>2025-12-02</v>
          </cell>
          <cell r="E66">
            <v>5.5E-2</v>
          </cell>
          <cell r="F66" t="str">
            <v>EUR</v>
          </cell>
        </row>
        <row r="67">
          <cell r="A67" t="str">
            <v>OXY</v>
          </cell>
          <cell r="B67">
            <v>50.78</v>
          </cell>
          <cell r="C67" t="str">
            <v>2025-09-10</v>
          </cell>
          <cell r="D67" t="str">
            <v>Aug 6, 2025</v>
          </cell>
          <cell r="E67">
            <v>2.0899999999999998E-2</v>
          </cell>
          <cell r="F67" t="str">
            <v>USD</v>
          </cell>
        </row>
        <row r="68">
          <cell r="A68" t="str">
            <v>PFE</v>
          </cell>
          <cell r="B68">
            <v>28.857140000000001</v>
          </cell>
          <cell r="C68" t="str">
            <v>2025-07-25</v>
          </cell>
          <cell r="D68" t="str">
            <v>Nov 4, 2025</v>
          </cell>
          <cell r="E68">
            <v>6.9099999999999995E-2</v>
          </cell>
          <cell r="F68" t="str">
            <v>USD</v>
          </cell>
        </row>
        <row r="69">
          <cell r="A69" t="str">
            <v>RIG</v>
          </cell>
          <cell r="B69">
            <v>3.8769200000000001</v>
          </cell>
          <cell r="C69" t="str">
            <v>2015-08-21</v>
          </cell>
          <cell r="D69" t="str">
            <v>Nov 3, 2025</v>
          </cell>
          <cell r="F69" t="str">
            <v>USD</v>
          </cell>
        </row>
        <row r="70">
          <cell r="A70" t="str">
            <v>RRC</v>
          </cell>
          <cell r="B70">
            <v>42.625</v>
          </cell>
          <cell r="C70" t="str">
            <v>2025-09-12</v>
          </cell>
          <cell r="D70" t="str">
            <v>Oct 21, 2025</v>
          </cell>
          <cell r="E70">
            <v>1.04E-2</v>
          </cell>
          <cell r="F70" t="str">
            <v>USD</v>
          </cell>
        </row>
        <row r="71">
          <cell r="A71" t="str">
            <v>XYZ</v>
          </cell>
          <cell r="B71">
            <v>85.644440000000003</v>
          </cell>
          <cell r="D71" t="str">
            <v>Nov 6, 2025</v>
          </cell>
          <cell r="F71" t="str">
            <v>USD</v>
          </cell>
        </row>
        <row r="72">
          <cell r="A72" t="str">
            <v>THC</v>
          </cell>
          <cell r="B72">
            <v>197.52379999999999</v>
          </cell>
          <cell r="C72" t="str">
            <v>2000-03-13</v>
          </cell>
          <cell r="D72" t="str">
            <v>Jul 22, 2025</v>
          </cell>
          <cell r="F72" t="str">
            <v>USD</v>
          </cell>
        </row>
        <row r="73">
          <cell r="A73" t="str">
            <v>X</v>
          </cell>
        </row>
        <row r="74">
          <cell r="A74" t="str">
            <v>LOCK.L</v>
          </cell>
          <cell r="F74" t="str">
            <v>USD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4"/>
  <sheetViews>
    <sheetView tabSelected="1" topLeftCell="A48" zoomScale="150" workbookViewId="0">
      <selection activeCell="B55" sqref="B55"/>
    </sheetView>
  </sheetViews>
  <sheetFormatPr baseColWidth="10" defaultColWidth="8.83203125" defaultRowHeight="15" x14ac:dyDescent="0.2"/>
  <cols>
    <col min="3" max="3" width="14.6640625" bestFit="1" customWidth="1"/>
    <col min="4" max="4" width="21.33203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tr">
        <f>[1]Data!A2</f>
        <v>AAPL</v>
      </c>
      <c r="B2">
        <f>[1]Data!B2</f>
        <v>235.52553</v>
      </c>
      <c r="C2" t="str">
        <f>[1]Data!C2</f>
        <v>2025-08-11</v>
      </c>
      <c r="D2" t="str">
        <f>[1]Data!D2</f>
        <v>Oct 30, 2025</v>
      </c>
      <c r="E2">
        <f>[1]Data!E2</f>
        <v>4.3E-3</v>
      </c>
      <c r="F2" t="str">
        <f>[1]Data!F2</f>
        <v>USD</v>
      </c>
    </row>
    <row r="3" spans="1:6" x14ac:dyDescent="0.2">
      <c r="A3" t="str">
        <f>[1]Data!A3</f>
        <v>ADEA</v>
      </c>
      <c r="B3">
        <f>[1]Data!B3</f>
        <v>20.66667</v>
      </c>
      <c r="C3" t="str">
        <f>[1]Data!C3</f>
        <v>2025-08-26</v>
      </c>
      <c r="D3">
        <f>[1]Data!D3</f>
        <v>0</v>
      </c>
      <c r="E3">
        <f>[1]Data!E3</f>
        <v>1.2999999E-2</v>
      </c>
      <c r="F3" t="str">
        <f>[1]Data!F3</f>
        <v>USD</v>
      </c>
    </row>
    <row r="4" spans="1:6" x14ac:dyDescent="0.2">
      <c r="A4" t="str">
        <f>[1]Data!A4</f>
        <v>AET.L</v>
      </c>
      <c r="B4">
        <f>[1]Data!B4</f>
        <v>95.060005000000004</v>
      </c>
      <c r="C4">
        <f>[1]Data!C4</f>
        <v>0</v>
      </c>
      <c r="D4">
        <f>[1]Data!D4</f>
        <v>0</v>
      </c>
      <c r="E4">
        <f>[1]Data!E4</f>
        <v>0</v>
      </c>
      <c r="F4" t="str">
        <f>[1]Data!F4</f>
        <v>GBp</v>
      </c>
    </row>
    <row r="5" spans="1:6" x14ac:dyDescent="0.2">
      <c r="A5" t="str">
        <f>[1]Data!A5</f>
        <v>AMZN</v>
      </c>
      <c r="B5">
        <f>[1]Data!B5</f>
        <v>263.18033000000003</v>
      </c>
      <c r="C5">
        <f>[1]Data!C5</f>
        <v>0</v>
      </c>
      <c r="D5" t="str">
        <f>[1]Data!D5</f>
        <v>Oct 30, 2025</v>
      </c>
      <c r="E5">
        <f>[1]Data!E5</f>
        <v>0</v>
      </c>
      <c r="F5" t="str">
        <f>[1]Data!F5</f>
        <v>USD</v>
      </c>
    </row>
    <row r="6" spans="1:6" x14ac:dyDescent="0.2">
      <c r="A6" t="str">
        <f>[1]Data!A6</f>
        <v>ALDNE.PA</v>
      </c>
      <c r="B6">
        <f>[1]Data!B6</f>
        <v>1.5333300000000001</v>
      </c>
      <c r="C6">
        <f>[1]Data!C6</f>
        <v>0</v>
      </c>
      <c r="D6">
        <f>[1]Data!D6</f>
        <v>0</v>
      </c>
      <c r="E6">
        <f>[1]Data!E6</f>
        <v>0</v>
      </c>
      <c r="F6" t="str">
        <f>[1]Data!F6</f>
        <v>EUR</v>
      </c>
    </row>
    <row r="7" spans="1:6" x14ac:dyDescent="0.2">
      <c r="A7" t="str">
        <f>[1]Data!A7</f>
        <v>ASML.AS</v>
      </c>
      <c r="B7">
        <f>[1]Data!B7</f>
        <v>758</v>
      </c>
      <c r="C7" t="str">
        <f>[1]Data!C7</f>
        <v>2025-07-28</v>
      </c>
      <c r="D7">
        <f>[1]Data!D7</f>
        <v>0</v>
      </c>
      <c r="E7">
        <f>[1]Data!E7</f>
        <v>9.7999999999999997E-3</v>
      </c>
      <c r="F7" t="str">
        <f>[1]Data!F7</f>
        <v>EUR</v>
      </c>
    </row>
    <row r="8" spans="1:6" x14ac:dyDescent="0.2">
      <c r="A8" t="str">
        <f>[1]Data!A8</f>
        <v>AZN</v>
      </c>
      <c r="B8">
        <f>[1]Data!B8</f>
        <v>87.27</v>
      </c>
      <c r="C8" t="str">
        <f>[1]Data!C8</f>
        <v>2025-08-08</v>
      </c>
      <c r="D8" t="str">
        <f>[1]Data!D8</f>
        <v>Jul 29, 2025</v>
      </c>
      <c r="E8">
        <f>[1]Data!E8</f>
        <v>1.9199998999999999E-2</v>
      </c>
      <c r="F8" t="str">
        <f>[1]Data!F8</f>
        <v>USD</v>
      </c>
    </row>
    <row r="9" spans="1:6" x14ac:dyDescent="0.2">
      <c r="A9" t="str">
        <f>[1]Data!A9</f>
        <v>BLDP</v>
      </c>
      <c r="B9">
        <f>[1]Data!B9</f>
        <v>2.3158300000000001</v>
      </c>
      <c r="C9">
        <f>[1]Data!C9</f>
        <v>0</v>
      </c>
      <c r="D9" t="str">
        <f>[1]Data!D9</f>
        <v>Nov 4, 2025</v>
      </c>
      <c r="E9">
        <f>[1]Data!E9</f>
        <v>0</v>
      </c>
      <c r="F9" t="str">
        <f>[1]Data!F9</f>
        <v>USD</v>
      </c>
    </row>
    <row r="10" spans="1:6" x14ac:dyDescent="0.2">
      <c r="A10" t="str">
        <f>[1]Data!A10</f>
        <v>BMRA</v>
      </c>
      <c r="B10">
        <f>[1]Data!B10</f>
        <v>0</v>
      </c>
      <c r="C10">
        <f>[1]Data!C10</f>
        <v>0</v>
      </c>
      <c r="D10" t="str">
        <f>[1]Data!D10</f>
        <v>Aug 26, 2025 - Sep 1, 2025</v>
      </c>
      <c r="E10">
        <f>[1]Data!E10</f>
        <v>0</v>
      </c>
      <c r="F10" t="str">
        <f>[1]Data!F10</f>
        <v>USD</v>
      </c>
    </row>
    <row r="11" spans="1:6" x14ac:dyDescent="0.2">
      <c r="A11" t="str">
        <f>[1]Data!A11</f>
        <v>C</v>
      </c>
      <c r="B11">
        <f>[1]Data!B11</f>
        <v>101.54761999999999</v>
      </c>
      <c r="C11" t="str">
        <f>[1]Data!C11</f>
        <v>2025-08-04</v>
      </c>
      <c r="D11" t="str">
        <f>[1]Data!D11</f>
        <v>Oct 14, 2025</v>
      </c>
      <c r="E11">
        <f>[1]Data!E11</f>
        <v>2.52E-2</v>
      </c>
      <c r="F11" t="str">
        <f>[1]Data!F11</f>
        <v>USD</v>
      </c>
    </row>
    <row r="12" spans="1:6" x14ac:dyDescent="0.2">
      <c r="A12" t="str">
        <f>[1]Data!A12</f>
        <v>CSCO</v>
      </c>
      <c r="B12">
        <f>[1]Data!B12</f>
        <v>75.814760000000007</v>
      </c>
      <c r="C12" t="str">
        <f>[1]Data!C12</f>
        <v>2025-10-03</v>
      </c>
      <c r="D12" t="str">
        <f>[1]Data!D12</f>
        <v>Nov 12, 2025</v>
      </c>
      <c r="E12">
        <f>[1]Data!E12</f>
        <v>2.4500001E-2</v>
      </c>
      <c r="F12" t="str">
        <f>[1]Data!F12</f>
        <v>USD</v>
      </c>
    </row>
    <row r="13" spans="1:6" x14ac:dyDescent="0.2">
      <c r="A13" t="str">
        <f>[1]Data!A13</f>
        <v>CVS</v>
      </c>
      <c r="B13">
        <f>[1]Data!B13</f>
        <v>82.072500000000005</v>
      </c>
      <c r="C13" t="str">
        <f>[1]Data!C13</f>
        <v>2025-07-22</v>
      </c>
      <c r="D13" t="str">
        <f>[1]Data!D13</f>
        <v>Jul 31, 2025</v>
      </c>
      <c r="E13">
        <f>[1]Data!E13</f>
        <v>3.61E-2</v>
      </c>
      <c r="F13" t="str">
        <f>[1]Data!F13</f>
        <v>USD</v>
      </c>
    </row>
    <row r="14" spans="1:6" x14ac:dyDescent="0.2">
      <c r="A14" t="str">
        <f>[1]Data!A14</f>
        <v>DDD</v>
      </c>
      <c r="B14">
        <f>[1]Data!B14</f>
        <v>3.25</v>
      </c>
      <c r="C14">
        <f>[1]Data!C14</f>
        <v>0</v>
      </c>
      <c r="D14" t="str">
        <f>[1]Data!D14</f>
        <v>Nov 10, 2025</v>
      </c>
      <c r="E14">
        <f>[1]Data!E14</f>
        <v>0</v>
      </c>
      <c r="F14" t="str">
        <f>[1]Data!F14</f>
        <v>USD</v>
      </c>
    </row>
    <row r="15" spans="1:6" x14ac:dyDescent="0.2">
      <c r="A15" t="str">
        <f>[1]Data!A15</f>
        <v>DIS</v>
      </c>
      <c r="B15">
        <f>[1]Data!B15</f>
        <v>132.22594000000001</v>
      </c>
      <c r="C15" t="str">
        <f>[1]Data!C15</f>
        <v>2025-06-24</v>
      </c>
      <c r="D15" t="str">
        <f>[1]Data!D15</f>
        <v>Aug 6, 2025</v>
      </c>
      <c r="E15">
        <f>[1]Data!E15</f>
        <v>8.5000000000000006E-3</v>
      </c>
      <c r="F15" t="str">
        <f>[1]Data!F15</f>
        <v>USD</v>
      </c>
    </row>
    <row r="16" spans="1:6" x14ac:dyDescent="0.2">
      <c r="A16" t="str">
        <f>[1]Data!A16</f>
        <v>DSY.PA</v>
      </c>
      <c r="B16">
        <f>[1]Data!B16</f>
        <v>35.563890000000001</v>
      </c>
      <c r="C16" t="str">
        <f>[1]Data!C16</f>
        <v>2025-05-26</v>
      </c>
      <c r="D16">
        <f>[1]Data!D16</f>
        <v>0</v>
      </c>
      <c r="E16">
        <f>[1]Data!E16</f>
        <v>9.7000000000000003E-3</v>
      </c>
      <c r="F16" t="str">
        <f>[1]Data!F16</f>
        <v>EUR</v>
      </c>
    </row>
    <row r="17" spans="1:6" x14ac:dyDescent="0.2">
      <c r="A17" t="str">
        <f>[1]Data!A17</f>
        <v>DVA</v>
      </c>
      <c r="B17">
        <f>[1]Data!B17</f>
        <v>153.5</v>
      </c>
      <c r="C17">
        <f>[1]Data!C17</f>
        <v>0</v>
      </c>
      <c r="D17" t="str">
        <f>[1]Data!D17</f>
        <v>Oct 28, 2025</v>
      </c>
      <c r="E17">
        <f>[1]Data!E17</f>
        <v>0</v>
      </c>
      <c r="F17" t="str">
        <f>[1]Data!F17</f>
        <v>USD</v>
      </c>
    </row>
    <row r="18" spans="1:6" x14ac:dyDescent="0.2">
      <c r="A18" t="str">
        <f>[1]Data!A18</f>
        <v>DXC</v>
      </c>
      <c r="B18">
        <f>[1]Data!B18</f>
        <v>15.125</v>
      </c>
      <c r="C18" t="str">
        <f>[1]Data!C18</f>
        <v>2020-03-24</v>
      </c>
      <c r="D18" t="str">
        <f>[1]Data!D18</f>
        <v>Jul 31, 2025</v>
      </c>
      <c r="E18">
        <f>[1]Data!E18</f>
        <v>0</v>
      </c>
      <c r="F18" t="str">
        <f>[1]Data!F18</f>
        <v>USD</v>
      </c>
    </row>
    <row r="19" spans="1:6" x14ac:dyDescent="0.2">
      <c r="A19" t="str">
        <f>[1]Data!A19</f>
        <v>EOAN.DE</v>
      </c>
      <c r="B19">
        <f>[1]Data!B19</f>
        <v>16.88824</v>
      </c>
      <c r="C19" t="str">
        <f>[1]Data!C19</f>
        <v>2025-05-16</v>
      </c>
      <c r="D19">
        <f>[1]Data!D19</f>
        <v>0</v>
      </c>
      <c r="E19">
        <f>[1]Data!E19</f>
        <v>3.6199997999999997E-2</v>
      </c>
      <c r="F19" t="str">
        <f>[1]Data!F19</f>
        <v>EUR</v>
      </c>
    </row>
    <row r="20" spans="1:6" x14ac:dyDescent="0.2">
      <c r="A20" t="str">
        <f>[1]Data!A20</f>
        <v>EPIX</v>
      </c>
      <c r="B20">
        <f>[1]Data!B20</f>
        <v>0</v>
      </c>
      <c r="C20" t="str">
        <f>[1]Data!C20</f>
        <v>2025-08-25</v>
      </c>
      <c r="D20" t="str">
        <f>[1]Data!D20</f>
        <v>Aug 7, 2025</v>
      </c>
      <c r="E20">
        <f>[1]Data!E20</f>
        <v>0</v>
      </c>
      <c r="F20" t="str">
        <f>[1]Data!F20</f>
        <v>USD</v>
      </c>
    </row>
    <row r="21" spans="1:6" x14ac:dyDescent="0.2">
      <c r="A21" t="str">
        <f>[1]Data!A21</f>
        <v>GM</v>
      </c>
      <c r="B21">
        <f>[1]Data!B21</f>
        <v>57.2</v>
      </c>
      <c r="C21" t="str">
        <f>[1]Data!C21</f>
        <v>2025-09-05</v>
      </c>
      <c r="D21" t="str">
        <f>[1]Data!D21</f>
        <v>Oct 21, 2025</v>
      </c>
      <c r="E21">
        <f>[1]Data!E21</f>
        <v>1.0299999000000001E-2</v>
      </c>
      <c r="F21" t="str">
        <f>[1]Data!F21</f>
        <v>USD</v>
      </c>
    </row>
    <row r="22" spans="1:6" x14ac:dyDescent="0.2">
      <c r="A22" t="str">
        <f>[1]Data!A22</f>
        <v>HPE</v>
      </c>
      <c r="B22">
        <f>[1]Data!B22</f>
        <v>24.984120000000001</v>
      </c>
      <c r="C22" t="str">
        <f>[1]Data!C22</f>
        <v>2025-09-18</v>
      </c>
      <c r="D22" t="str">
        <f>[1]Data!D22</f>
        <v>Dec 4, 2025</v>
      </c>
      <c r="E22">
        <f>[1]Data!E22</f>
        <v>2.2100000000000002E-2</v>
      </c>
      <c r="F22" t="str">
        <f>[1]Data!F22</f>
        <v>USD</v>
      </c>
    </row>
    <row r="23" spans="1:6" x14ac:dyDescent="0.2">
      <c r="A23" t="str">
        <f>[1]Data!A23</f>
        <v>HPQ</v>
      </c>
      <c r="B23">
        <f>[1]Data!B23</f>
        <v>27.968</v>
      </c>
      <c r="C23" t="str">
        <f>[1]Data!C23</f>
        <v>2025-09-10</v>
      </c>
      <c r="D23" t="str">
        <f>[1]Data!D23</f>
        <v>Nov 25, 2025</v>
      </c>
      <c r="E23">
        <f>[1]Data!E23</f>
        <v>3.95E-2</v>
      </c>
      <c r="F23" t="str">
        <f>[1]Data!F23</f>
        <v>USD</v>
      </c>
    </row>
    <row r="24" spans="1:6" x14ac:dyDescent="0.2">
      <c r="A24" t="str">
        <f>[1]Data!A24</f>
        <v>IAG.L</v>
      </c>
      <c r="B24">
        <f>[1]Data!B24</f>
        <v>435.83789999999999</v>
      </c>
      <c r="C24" t="str">
        <f>[1]Data!C24</f>
        <v>2025-06-26</v>
      </c>
      <c r="D24">
        <f>[1]Data!D24</f>
        <v>0</v>
      </c>
      <c r="E24">
        <f>[1]Data!E24</f>
        <v>1.9599999999999999E-2</v>
      </c>
      <c r="F24" t="str">
        <f>[1]Data!F24</f>
        <v>GBp</v>
      </c>
    </row>
    <row r="25" spans="1:6" x14ac:dyDescent="0.2">
      <c r="A25" t="str">
        <f>[1]Data!A25</f>
        <v>KR</v>
      </c>
      <c r="B25">
        <f>[1]Data!B25</f>
        <v>75.727270000000004</v>
      </c>
      <c r="C25" t="str">
        <f>[1]Data!C25</f>
        <v>2025-08-15</v>
      </c>
      <c r="D25" t="str">
        <f>[1]Data!D25</f>
        <v>Sep 10, 2025 - Sep 15, 2025</v>
      </c>
      <c r="E25">
        <f>[1]Data!E25</f>
        <v>2.07E-2</v>
      </c>
      <c r="F25" t="str">
        <f>[1]Data!F25</f>
        <v>USD</v>
      </c>
    </row>
    <row r="26" spans="1:6" x14ac:dyDescent="0.2">
      <c r="A26" t="str">
        <f>[1]Data!A26</f>
        <v>LNSR</v>
      </c>
      <c r="B26">
        <f>[1]Data!B26</f>
        <v>15</v>
      </c>
      <c r="C26">
        <f>[1]Data!C26</f>
        <v>0</v>
      </c>
      <c r="D26" t="str">
        <f>[1]Data!D26</f>
        <v>Nov 6, 2025</v>
      </c>
      <c r="E26">
        <f>[1]Data!E26</f>
        <v>0</v>
      </c>
      <c r="F26" t="str">
        <f>[1]Data!F26</f>
        <v>USD</v>
      </c>
    </row>
    <row r="27" spans="1:6" x14ac:dyDescent="0.2">
      <c r="A27" t="str">
        <f>[1]Data!A27</f>
        <v>LUMN</v>
      </c>
      <c r="B27">
        <f>[1]Data!B27</f>
        <v>5.06182</v>
      </c>
      <c r="C27" t="str">
        <f>[1]Data!C27</f>
        <v>2022-08-29</v>
      </c>
      <c r="D27" t="str">
        <f>[1]Data!D27</f>
        <v>Jul 31, 2025</v>
      </c>
      <c r="E27">
        <f>[1]Data!E27</f>
        <v>0</v>
      </c>
      <c r="F27" t="str">
        <f>[1]Data!F27</f>
        <v>USD</v>
      </c>
    </row>
    <row r="28" spans="1:6" x14ac:dyDescent="0.2">
      <c r="A28" t="str">
        <f>[1]Data!A28</f>
        <v>MRNA</v>
      </c>
      <c r="B28">
        <f>[1]Data!B28</f>
        <v>44.25</v>
      </c>
      <c r="C28">
        <f>[1]Data!C28</f>
        <v>0</v>
      </c>
      <c r="D28" t="str">
        <f>[1]Data!D28</f>
        <v>Aug 1, 2025</v>
      </c>
      <c r="E28">
        <f>[1]Data!E28</f>
        <v>0</v>
      </c>
      <c r="F28" t="str">
        <f>[1]Data!F28</f>
        <v>USD</v>
      </c>
    </row>
    <row r="29" spans="1:6" x14ac:dyDescent="0.2">
      <c r="A29" t="str">
        <f>[1]Data!A29</f>
        <v>MSFT</v>
      </c>
      <c r="B29">
        <f>[1]Data!B29</f>
        <v>613.89160000000004</v>
      </c>
      <c r="C29" t="str">
        <f>[1]Data!C29</f>
        <v>2025-08-21</v>
      </c>
      <c r="D29" t="str">
        <f>[1]Data!D29</f>
        <v>Oct 29, 2025</v>
      </c>
      <c r="E29">
        <f>[1]Data!E29</f>
        <v>6.7000002999999999E-3</v>
      </c>
      <c r="F29" t="str">
        <f>[1]Data!F29</f>
        <v>USD</v>
      </c>
    </row>
    <row r="30" spans="1:6" x14ac:dyDescent="0.2">
      <c r="A30" t="str">
        <f>[1]Data!A30</f>
        <v>NEE</v>
      </c>
      <c r="B30">
        <f>[1]Data!B30</f>
        <v>82.294120000000007</v>
      </c>
      <c r="C30" t="str">
        <f>[1]Data!C30</f>
        <v>2025-08-28</v>
      </c>
      <c r="D30" t="str">
        <f>[1]Data!D30</f>
        <v>Oct 23, 2025</v>
      </c>
      <c r="E30">
        <f>[1]Data!E30</f>
        <v>3.2000000000000001E-2</v>
      </c>
      <c r="F30" t="str">
        <f>[1]Data!F30</f>
        <v>USD</v>
      </c>
    </row>
    <row r="31" spans="1:6" x14ac:dyDescent="0.2">
      <c r="A31" t="str">
        <f>[1]Data!A31</f>
        <v>NEM</v>
      </c>
      <c r="B31">
        <f>[1]Data!B31</f>
        <v>73.224739999999997</v>
      </c>
      <c r="C31" t="str">
        <f>[1]Data!C31</f>
        <v>2025-09-04</v>
      </c>
      <c r="D31" t="str">
        <f>[1]Data!D31</f>
        <v>Oct 22, 2025</v>
      </c>
      <c r="E31">
        <f>[1]Data!E31</f>
        <v>1.3099998999999999E-2</v>
      </c>
      <c r="F31" t="str">
        <f>[1]Data!F31</f>
        <v>USD</v>
      </c>
    </row>
    <row r="32" spans="1:6" x14ac:dyDescent="0.2">
      <c r="A32" t="str">
        <f>[1]Data!A32</f>
        <v>NFLX</v>
      </c>
      <c r="B32">
        <f>[1]Data!B32</f>
        <v>1350.316</v>
      </c>
      <c r="C32">
        <f>[1]Data!C32</f>
        <v>0</v>
      </c>
      <c r="D32" t="str">
        <f>[1]Data!D32</f>
        <v>Oct 16, 2025</v>
      </c>
      <c r="E32">
        <f>[1]Data!E32</f>
        <v>0</v>
      </c>
      <c r="F32" t="str">
        <f>[1]Data!F32</f>
        <v>USD</v>
      </c>
    </row>
    <row r="33" spans="1:6" x14ac:dyDescent="0.2">
      <c r="A33" t="str">
        <f>[1]Data!A33</f>
        <v>NOTE</v>
      </c>
      <c r="B33">
        <f>[1]Data!B33</f>
        <v>31.501259999999998</v>
      </c>
      <c r="C33">
        <f>[1]Data!C33</f>
        <v>0</v>
      </c>
      <c r="D33">
        <f>[1]Data!D33</f>
        <v>0</v>
      </c>
      <c r="E33">
        <f>[1]Data!E33</f>
        <v>0</v>
      </c>
      <c r="F33" t="str">
        <f>[1]Data!F33</f>
        <v>USD</v>
      </c>
    </row>
    <row r="34" spans="1:6" x14ac:dyDescent="0.2">
      <c r="A34" t="str">
        <f>[1]Data!A34</f>
        <v>PAAS</v>
      </c>
      <c r="B34">
        <f>[1]Data!B34</f>
        <v>37.375</v>
      </c>
      <c r="C34" t="str">
        <f>[1]Data!C34</f>
        <v>2025-08-18</v>
      </c>
      <c r="D34" t="str">
        <f>[1]Data!D34</f>
        <v>Aug 6, 2025</v>
      </c>
      <c r="E34">
        <f>[1]Data!E34</f>
        <v>1.3899999999999999E-2</v>
      </c>
      <c r="F34" t="str">
        <f>[1]Data!F34</f>
        <v>USD</v>
      </c>
    </row>
    <row r="35" spans="1:6" x14ac:dyDescent="0.2">
      <c r="A35" t="str">
        <f>[1]Data!A35</f>
        <v>PROF</v>
      </c>
      <c r="B35">
        <f>[1]Data!B35</f>
        <v>12.1</v>
      </c>
      <c r="C35">
        <f>[1]Data!C35</f>
        <v>0</v>
      </c>
      <c r="D35">
        <f>[1]Data!D35</f>
        <v>0</v>
      </c>
      <c r="E35">
        <f>[1]Data!E35</f>
        <v>0</v>
      </c>
      <c r="F35" t="str">
        <f>[1]Data!F35</f>
        <v>USD</v>
      </c>
    </row>
    <row r="36" spans="1:6" x14ac:dyDescent="0.2">
      <c r="A36" t="str">
        <f>[1]Data!A36</f>
        <v>POET</v>
      </c>
      <c r="B36">
        <f>[1]Data!B36</f>
        <v>6.6333299999999999</v>
      </c>
      <c r="C36">
        <f>[1]Data!C36</f>
        <v>0</v>
      </c>
      <c r="D36" t="str">
        <f>[1]Data!D36</f>
        <v>Aug 14, 2025</v>
      </c>
      <c r="E36">
        <f>[1]Data!E36</f>
        <v>0</v>
      </c>
      <c r="F36" t="str">
        <f>[1]Data!F36</f>
        <v>USD</v>
      </c>
    </row>
    <row r="37" spans="1:6" x14ac:dyDescent="0.2">
      <c r="A37" t="str">
        <f>[1]Data!A37</f>
        <v>PW</v>
      </c>
      <c r="B37">
        <f>[1]Data!B37</f>
        <v>0</v>
      </c>
      <c r="C37" t="str">
        <f>[1]Data!C37</f>
        <v>2013-01-10</v>
      </c>
      <c r="D37">
        <f>[1]Data!D37</f>
        <v>0</v>
      </c>
      <c r="E37">
        <f>[1]Data!E37</f>
        <v>0</v>
      </c>
      <c r="F37" t="str">
        <f>[1]Data!F37</f>
        <v>USD</v>
      </c>
    </row>
    <row r="38" spans="1:6" x14ac:dyDescent="0.2">
      <c r="A38" t="str">
        <f>[1]Data!A38</f>
        <v>RIGL</v>
      </c>
      <c r="B38">
        <f>[1]Data!B38</f>
        <v>38.333329999999997</v>
      </c>
      <c r="C38">
        <f>[1]Data!C38</f>
        <v>0</v>
      </c>
      <c r="D38" t="str">
        <f>[1]Data!D38</f>
        <v>Nov 6, 2025</v>
      </c>
      <c r="E38">
        <f>[1]Data!E38</f>
        <v>0</v>
      </c>
      <c r="F38" t="str">
        <f>[1]Data!F38</f>
        <v>USD</v>
      </c>
    </row>
    <row r="39" spans="1:6" x14ac:dyDescent="0.2">
      <c r="A39" t="str">
        <f>[1]Data!A39</f>
        <v>RWE.DE</v>
      </c>
      <c r="B39">
        <f>[1]Data!B39</f>
        <v>43.26</v>
      </c>
      <c r="C39" t="str">
        <f>[1]Data!C39</f>
        <v>2025-05-02</v>
      </c>
      <c r="D39">
        <f>[1]Data!D39</f>
        <v>0</v>
      </c>
      <c r="E39">
        <f>[1]Data!E39</f>
        <v>3.1400003000000003E-2</v>
      </c>
      <c r="F39" t="str">
        <f>[1]Data!F39</f>
        <v>EUR</v>
      </c>
    </row>
    <row r="40" spans="1:6" x14ac:dyDescent="0.2">
      <c r="A40" t="str">
        <f>[1]Data!A40</f>
        <v>SAP.DE</v>
      </c>
      <c r="B40">
        <f>[1]Data!B40</f>
        <v>291.91037</v>
      </c>
      <c r="C40" t="str">
        <f>[1]Data!C40</f>
        <v>2025-05-14</v>
      </c>
      <c r="D40">
        <f>[1]Data!D40</f>
        <v>0</v>
      </c>
      <c r="E40">
        <f>[1]Data!E40</f>
        <v>1.0299999000000001E-2</v>
      </c>
      <c r="F40" t="str">
        <f>[1]Data!F40</f>
        <v>EUR</v>
      </c>
    </row>
    <row r="41" spans="1:6" x14ac:dyDescent="0.2">
      <c r="A41" t="str">
        <f>[1]Data!A41</f>
        <v>SHECY</v>
      </c>
      <c r="B41">
        <f>[1]Data!B41</f>
        <v>0</v>
      </c>
      <c r="C41" t="str">
        <f>[1]Data!C41</f>
        <v>2025-03-31</v>
      </c>
      <c r="D41">
        <f>[1]Data!D41</f>
        <v>0</v>
      </c>
      <c r="E41">
        <f>[1]Data!E41</f>
        <v>2.47E-2</v>
      </c>
      <c r="F41" t="str">
        <f>[1]Data!F41</f>
        <v>USD</v>
      </c>
    </row>
    <row r="42" spans="1:6" x14ac:dyDescent="0.2">
      <c r="A42" t="str">
        <f>[1]Data!A42</f>
        <v>SSYS</v>
      </c>
      <c r="B42">
        <f>[1]Data!B42</f>
        <v>13.33333</v>
      </c>
      <c r="C42">
        <f>[1]Data!C42</f>
        <v>0</v>
      </c>
      <c r="D42" t="str">
        <f>[1]Data!D42</f>
        <v>Nov 12, 2025</v>
      </c>
      <c r="E42">
        <f>[1]Data!E42</f>
        <v>0</v>
      </c>
      <c r="F42" t="str">
        <f>[1]Data!F42</f>
        <v>USD</v>
      </c>
    </row>
    <row r="43" spans="1:6" x14ac:dyDescent="0.2">
      <c r="A43" t="str">
        <f>[1]Data!A43</f>
        <v>TSLA</v>
      </c>
      <c r="B43">
        <f>[1]Data!B43</f>
        <v>310.53410000000002</v>
      </c>
      <c r="C43">
        <f>[1]Data!C43</f>
        <v>0</v>
      </c>
      <c r="D43" t="str">
        <f>[1]Data!D43</f>
        <v>Oct 22, 2025</v>
      </c>
      <c r="E43">
        <f>[1]Data!E43</f>
        <v>0</v>
      </c>
      <c r="F43" t="str">
        <f>[1]Data!F43</f>
        <v>USD</v>
      </c>
    </row>
    <row r="44" spans="1:6" x14ac:dyDescent="0.2">
      <c r="A44" t="str">
        <f>[1]Data!A44</f>
        <v>TSM</v>
      </c>
      <c r="B44">
        <f>[1]Data!B44</f>
        <v>274.15667999999999</v>
      </c>
      <c r="C44" t="str">
        <f>[1]Data!C44</f>
        <v>2025-09-16</v>
      </c>
      <c r="D44" t="str">
        <f>[1]Data!D44</f>
        <v>Oct 16, 2025</v>
      </c>
      <c r="E44">
        <f>[1]Data!E44</f>
        <v>1.37E-2</v>
      </c>
      <c r="F44" t="str">
        <f>[1]Data!F44</f>
        <v>USD</v>
      </c>
    </row>
    <row r="45" spans="1:6" x14ac:dyDescent="0.2">
      <c r="A45" t="str">
        <f>[1]Data!A45</f>
        <v>UN0</v>
      </c>
      <c r="B45">
        <f>[1]Data!B45</f>
        <v>0</v>
      </c>
      <c r="C45">
        <f>[1]Data!C45</f>
        <v>0</v>
      </c>
      <c r="D45">
        <f>[1]Data!D45</f>
        <v>0</v>
      </c>
      <c r="E45">
        <f>[1]Data!E45</f>
        <v>0</v>
      </c>
      <c r="F45">
        <f>[1]Data!F45</f>
        <v>0</v>
      </c>
    </row>
    <row r="46" spans="1:6" x14ac:dyDescent="0.2">
      <c r="A46" t="str">
        <f>[1]Data!A46</f>
        <v>UNIT</v>
      </c>
      <c r="B46">
        <f>[1]Data!B46</f>
        <v>8.2502700000000004</v>
      </c>
      <c r="C46" t="str">
        <f>[1]Data!C46</f>
        <v>2024-06-14</v>
      </c>
      <c r="D46" t="str">
        <f>[1]Data!D46</f>
        <v>Oct 30, 2025</v>
      </c>
      <c r="E46">
        <f>[1]Data!E46</f>
        <v>0</v>
      </c>
      <c r="F46" t="str">
        <f>[1]Data!F46</f>
        <v>USD</v>
      </c>
    </row>
    <row r="47" spans="1:6" x14ac:dyDescent="0.2">
      <c r="A47" t="str">
        <f>[1]Data!A47</f>
        <v>AVGO</v>
      </c>
      <c r="B47">
        <f>[1]Data!B47</f>
        <v>355.06</v>
      </c>
      <c r="C47" t="str">
        <f>[1]Data!C47</f>
        <v>2025-09-22</v>
      </c>
      <c r="D47" t="str">
        <f>[1]Data!D47</f>
        <v>Sep 4, 2025</v>
      </c>
      <c r="E47">
        <f>[1]Data!E47</f>
        <v>6.9999998000000001E-3</v>
      </c>
      <c r="F47" t="str">
        <f>[1]Data!F47</f>
        <v>USD</v>
      </c>
    </row>
    <row r="48" spans="1:6" x14ac:dyDescent="0.2">
      <c r="A48" t="str">
        <f>[1]Data!A48</f>
        <v>VLVLY</v>
      </c>
      <c r="B48">
        <f>[1]Data!B48</f>
        <v>36</v>
      </c>
      <c r="C48" t="str">
        <f>[1]Data!C48</f>
        <v>2025-04-04</v>
      </c>
      <c r="D48">
        <f>[1]Data!D48</f>
        <v>0</v>
      </c>
      <c r="E48">
        <f>[1]Data!E48</f>
        <v>2.7099999999999999E-2</v>
      </c>
      <c r="F48" t="str">
        <f>[1]Data!F48</f>
        <v>USD</v>
      </c>
    </row>
    <row r="49" spans="1:6" x14ac:dyDescent="0.2">
      <c r="A49" t="str">
        <f>[1]Data!A49</f>
        <v>VONN.SW</v>
      </c>
      <c r="B49">
        <f>[1]Data!B49</f>
        <v>63.325000000000003</v>
      </c>
      <c r="C49" t="str">
        <f>[1]Data!C49</f>
        <v>2025-04-04</v>
      </c>
      <c r="D49" t="str">
        <f>[1]Data!D49</f>
        <v>Jul 24, 2025</v>
      </c>
      <c r="E49">
        <f>[1]Data!E49</f>
        <v>4.8800003000000002E-2</v>
      </c>
      <c r="F49" t="str">
        <f>[1]Data!F49</f>
        <v>CHF</v>
      </c>
    </row>
    <row r="50" spans="1:6" x14ac:dyDescent="0.2">
      <c r="A50" t="str">
        <f>[1]Data!A50</f>
        <v>VTRS</v>
      </c>
      <c r="B50">
        <f>[1]Data!B50</f>
        <v>11.428570000000001</v>
      </c>
      <c r="C50" t="str">
        <f>[1]Data!C50</f>
        <v>2025-08-22</v>
      </c>
      <c r="D50" t="str">
        <f>[1]Data!D50</f>
        <v>Nov 6, 2025</v>
      </c>
      <c r="E50">
        <f>[1]Data!E50</f>
        <v>4.5700002000000003E-2</v>
      </c>
      <c r="F50" t="str">
        <f>[1]Data!F50</f>
        <v>USD</v>
      </c>
    </row>
    <row r="51" spans="1:6" x14ac:dyDescent="0.2">
      <c r="A51" t="str">
        <f>[1]Data!A51</f>
        <v>WBA</v>
      </c>
      <c r="B51">
        <f>[1]Data!B51</f>
        <v>12.11429</v>
      </c>
      <c r="C51" t="str">
        <f>[1]Data!C51</f>
        <v>2024-11-18</v>
      </c>
      <c r="D51">
        <f>[1]Data!D51</f>
        <v>0</v>
      </c>
      <c r="E51">
        <f>[1]Data!E51</f>
        <v>8.3500005000000002E-2</v>
      </c>
      <c r="F51" t="str">
        <f>[1]Data!F51</f>
        <v>USD</v>
      </c>
    </row>
    <row r="52" spans="1:6" x14ac:dyDescent="0.2">
      <c r="A52" t="str">
        <f>[1]Data!A52</f>
        <v>XOM</v>
      </c>
      <c r="B52">
        <f>[1]Data!B52</f>
        <v>124.79167</v>
      </c>
      <c r="C52" t="str">
        <f>[1]Data!C52</f>
        <v>2025-08-15</v>
      </c>
      <c r="D52" t="str">
        <f>[1]Data!D52</f>
        <v>Oct 31, 2025</v>
      </c>
      <c r="E52">
        <f>[1]Data!E52</f>
        <v>3.6299999999999999E-2</v>
      </c>
      <c r="F52" t="str">
        <f>[1]Data!F52</f>
        <v>USD</v>
      </c>
    </row>
    <row r="53" spans="1:6" x14ac:dyDescent="0.2">
      <c r="A53" t="str">
        <f>[1]Data!A53</f>
        <v>XPER</v>
      </c>
      <c r="B53">
        <f>[1]Data!B53</f>
        <v>11</v>
      </c>
      <c r="C53">
        <f>[1]Data!C53</f>
        <v>0</v>
      </c>
      <c r="D53">
        <f>[1]Data!D53</f>
        <v>0</v>
      </c>
      <c r="E53">
        <f>[1]Data!E53</f>
        <v>0</v>
      </c>
      <c r="F53" t="str">
        <f>[1]Data!F53</f>
        <v>USD</v>
      </c>
    </row>
    <row r="54" spans="1:6" x14ac:dyDescent="0.2">
      <c r="A54" t="str">
        <f>[1]Data!A54</f>
        <v>BLNK</v>
      </c>
      <c r="B54">
        <f>[1]Data!B54</f>
        <v>2.4</v>
      </c>
      <c r="C54">
        <f>[1]Data!C54</f>
        <v>0</v>
      </c>
      <c r="D54" t="str">
        <f>[1]Data!D54</f>
        <v>Nov 6, 2025</v>
      </c>
      <c r="E54">
        <f>[1]Data!E54</f>
        <v>0</v>
      </c>
      <c r="F54" t="str">
        <f>[1]Data!F54</f>
        <v>USD</v>
      </c>
    </row>
    <row r="55" spans="1:6" x14ac:dyDescent="0.2">
      <c r="A55" t="str">
        <f>[1]Data!A55</f>
        <v>ENI.MI</v>
      </c>
      <c r="B55">
        <f>[1]Data!B55</f>
        <v>15.5</v>
      </c>
      <c r="C55" t="str">
        <f>[1]Data!C55</f>
        <v>2025-09-22</v>
      </c>
      <c r="D55">
        <f>[1]Data!D55</f>
        <v>0</v>
      </c>
      <c r="E55">
        <f>[1]Data!E55</f>
        <v>7.1100003999999994E-2</v>
      </c>
      <c r="F55" t="str">
        <f>[1]Data!F55</f>
        <v>EUR</v>
      </c>
    </row>
    <row r="56" spans="1:6" x14ac:dyDescent="0.2">
      <c r="A56" t="str">
        <f>[1]Data!A56</f>
        <v>EZJ.L</v>
      </c>
      <c r="B56">
        <f>[1]Data!B56</f>
        <v>658.68399999999997</v>
      </c>
      <c r="C56" t="str">
        <f>[1]Data!C56</f>
        <v>2025-02-20</v>
      </c>
      <c r="D56">
        <f>[1]Data!D56</f>
        <v>0</v>
      </c>
      <c r="E56">
        <f>[1]Data!E56</f>
        <v>2.5799999000000001E-2</v>
      </c>
      <c r="F56" t="str">
        <f>[1]Data!F56</f>
        <v>GBp</v>
      </c>
    </row>
    <row r="57" spans="1:6" x14ac:dyDescent="0.2">
      <c r="A57" t="str">
        <f>[1]Data!A57</f>
        <v>F</v>
      </c>
      <c r="B57">
        <f>[1]Data!B57</f>
        <v>10.8</v>
      </c>
      <c r="C57" t="str">
        <f>[1]Data!C57</f>
        <v>2025-08-11</v>
      </c>
      <c r="D57" t="str">
        <f>[1]Data!D57</f>
        <v>Oct 29, 2025</v>
      </c>
      <c r="E57">
        <f>[1]Data!E57</f>
        <v>5.11E-2</v>
      </c>
      <c r="F57" t="str">
        <f>[1]Data!F57</f>
        <v>USD</v>
      </c>
    </row>
    <row r="58" spans="1:6" x14ac:dyDescent="0.2">
      <c r="A58" t="str">
        <f>[1]Data!A58</f>
        <v>GLE.PA</v>
      </c>
      <c r="B58">
        <f>[1]Data!B58</f>
        <v>61.800559999999997</v>
      </c>
      <c r="C58" t="str">
        <f>[1]Data!C58</f>
        <v>2025-10-07</v>
      </c>
      <c r="D58" t="str">
        <f>[1]Data!D58</f>
        <v>Oct 30, 2025</v>
      </c>
      <c r="E58">
        <f>[1]Data!E58</f>
        <v>3.2099999999999997E-2</v>
      </c>
      <c r="F58" t="str">
        <f>[1]Data!F58</f>
        <v>EUR</v>
      </c>
    </row>
    <row r="59" spans="1:6" x14ac:dyDescent="0.2">
      <c r="A59" t="str">
        <f>[1]Data!A59</f>
        <v>GNRC</v>
      </c>
      <c r="B59">
        <f>[1]Data!B59</f>
        <v>204.5</v>
      </c>
      <c r="C59" t="str">
        <f>[1]Data!C59</f>
        <v>2013-06-10</v>
      </c>
      <c r="D59" t="str">
        <f>[1]Data!D59</f>
        <v>Oct 30, 2025</v>
      </c>
      <c r="E59">
        <f>[1]Data!E59</f>
        <v>0</v>
      </c>
      <c r="F59" t="str">
        <f>[1]Data!F59</f>
        <v>USD</v>
      </c>
    </row>
    <row r="60" spans="1:6" x14ac:dyDescent="0.2">
      <c r="A60" t="str">
        <f>[1]Data!A60</f>
        <v>GS</v>
      </c>
      <c r="B60">
        <f>[1]Data!B60</f>
        <v>710.57899999999995</v>
      </c>
      <c r="C60" t="str">
        <f>[1]Data!C60</f>
        <v>2025-08-29</v>
      </c>
      <c r="D60" t="str">
        <f>[1]Data!D60</f>
        <v>Oct 14, 2025</v>
      </c>
      <c r="E60">
        <f>[1]Data!E60</f>
        <v>2.1700000000000001E-2</v>
      </c>
      <c r="F60" t="str">
        <f>[1]Data!F60</f>
        <v>USD</v>
      </c>
    </row>
    <row r="61" spans="1:6" x14ac:dyDescent="0.2">
      <c r="A61" t="str">
        <f>[1]Data!A61</f>
        <v>LAZR</v>
      </c>
      <c r="B61">
        <f>[1]Data!B61</f>
        <v>2.6666699999999999</v>
      </c>
      <c r="C61">
        <f>[1]Data!C61</f>
        <v>0</v>
      </c>
      <c r="D61" t="str">
        <f>[1]Data!D61</f>
        <v>Aug 12, 2025</v>
      </c>
      <c r="E61">
        <f>[1]Data!E61</f>
        <v>0</v>
      </c>
      <c r="F61" t="str">
        <f>[1]Data!F61</f>
        <v>USD</v>
      </c>
    </row>
    <row r="62" spans="1:6" x14ac:dyDescent="0.2">
      <c r="A62" t="str">
        <f>[1]Data!A62</f>
        <v>LUV</v>
      </c>
      <c r="B62">
        <f>[1]Data!B62</f>
        <v>32.06</v>
      </c>
      <c r="C62" t="str">
        <f>[1]Data!C62</f>
        <v>2025-09-03</v>
      </c>
      <c r="D62" t="str">
        <f>[1]Data!D62</f>
        <v>Oct 22, 2025</v>
      </c>
      <c r="E62">
        <f>[1]Data!E62</f>
        <v>2.29E-2</v>
      </c>
      <c r="F62" t="str">
        <f>[1]Data!F62</f>
        <v>USD</v>
      </c>
    </row>
    <row r="63" spans="1:6" x14ac:dyDescent="0.2">
      <c r="A63" t="str">
        <f>[1]Data!A63</f>
        <v>MA</v>
      </c>
      <c r="B63">
        <f>[1]Data!B63</f>
        <v>644.55150000000003</v>
      </c>
      <c r="C63" t="str">
        <f>[1]Data!C63</f>
        <v>2025-07-09</v>
      </c>
      <c r="D63" t="str">
        <f>[1]Data!D63</f>
        <v>Oct 30, 2025</v>
      </c>
      <c r="E63">
        <f>[1]Data!E63</f>
        <v>5.1999999999999998E-3</v>
      </c>
      <c r="F63" t="str">
        <f>[1]Data!F63</f>
        <v>USD</v>
      </c>
    </row>
    <row r="64" spans="1:6" x14ac:dyDescent="0.2">
      <c r="A64" t="str">
        <f>[1]Data!A64</f>
        <v>NVAX</v>
      </c>
      <c r="B64">
        <f>[1]Data!B64</f>
        <v>12.5</v>
      </c>
      <c r="C64">
        <f>[1]Data!C64</f>
        <v>0</v>
      </c>
      <c r="D64" t="str">
        <f>[1]Data!D64</f>
        <v>Aug 6, 2025</v>
      </c>
      <c r="E64">
        <f>[1]Data!E64</f>
        <v>0</v>
      </c>
      <c r="F64" t="str">
        <f>[1]Data!F64</f>
        <v>USD</v>
      </c>
    </row>
    <row r="65" spans="1:6" x14ac:dyDescent="0.2">
      <c r="A65" t="str">
        <f>[1]Data!A65</f>
        <v>NVS</v>
      </c>
      <c r="B65">
        <f>[1]Data!B65</f>
        <v>118.545</v>
      </c>
      <c r="C65" t="str">
        <f>[1]Data!C65</f>
        <v>2025-03-12</v>
      </c>
      <c r="D65" t="str">
        <f>[1]Data!D65</f>
        <v>Jul 17, 2025</v>
      </c>
      <c r="E65">
        <f>[1]Data!E65</f>
        <v>3.0800000000000001E-2</v>
      </c>
      <c r="F65" t="str">
        <f>[1]Data!F65</f>
        <v>USD</v>
      </c>
    </row>
    <row r="66" spans="1:6" x14ac:dyDescent="0.2">
      <c r="A66" t="str">
        <f>[1]Data!A66</f>
        <v>ORA.PA</v>
      </c>
      <c r="B66">
        <f>[1]Data!B66</f>
        <v>14.994440000000001</v>
      </c>
      <c r="C66" t="str">
        <f>[1]Data!C66</f>
        <v>2025-12-02</v>
      </c>
      <c r="D66">
        <f>[1]Data!D66</f>
        <v>0</v>
      </c>
      <c r="E66">
        <f>[1]Data!E66</f>
        <v>5.5E-2</v>
      </c>
      <c r="F66" t="str">
        <f>[1]Data!F66</f>
        <v>EUR</v>
      </c>
    </row>
    <row r="67" spans="1:6" x14ac:dyDescent="0.2">
      <c r="A67" t="str">
        <f>[1]Data!A67</f>
        <v>OXY</v>
      </c>
      <c r="B67">
        <f>[1]Data!B67</f>
        <v>50.78</v>
      </c>
      <c r="C67" t="str">
        <f>[1]Data!C67</f>
        <v>2025-09-10</v>
      </c>
      <c r="D67" t="str">
        <f>[1]Data!D67</f>
        <v>Aug 6, 2025</v>
      </c>
      <c r="E67">
        <f>[1]Data!E67</f>
        <v>2.0899999999999998E-2</v>
      </c>
      <c r="F67" t="str">
        <f>[1]Data!F67</f>
        <v>USD</v>
      </c>
    </row>
    <row r="68" spans="1:6" x14ac:dyDescent="0.2">
      <c r="A68" t="str">
        <f>[1]Data!A68</f>
        <v>PFE</v>
      </c>
      <c r="B68">
        <f>[1]Data!B68</f>
        <v>28.857140000000001</v>
      </c>
      <c r="C68" t="str">
        <f>[1]Data!C68</f>
        <v>2025-07-25</v>
      </c>
      <c r="D68" t="str">
        <f>[1]Data!D68</f>
        <v>Nov 4, 2025</v>
      </c>
      <c r="E68">
        <f>[1]Data!E68</f>
        <v>6.9099999999999995E-2</v>
      </c>
      <c r="F68" t="str">
        <f>[1]Data!F68</f>
        <v>USD</v>
      </c>
    </row>
    <row r="69" spans="1:6" x14ac:dyDescent="0.2">
      <c r="A69" t="str">
        <f>[1]Data!A69</f>
        <v>RIG</v>
      </c>
      <c r="B69">
        <f>[1]Data!B69</f>
        <v>3.8769200000000001</v>
      </c>
      <c r="C69" t="str">
        <f>[1]Data!C69</f>
        <v>2015-08-21</v>
      </c>
      <c r="D69" t="str">
        <f>[1]Data!D69</f>
        <v>Nov 3, 2025</v>
      </c>
      <c r="E69">
        <f>[1]Data!E69</f>
        <v>0</v>
      </c>
      <c r="F69" t="str">
        <f>[1]Data!F69</f>
        <v>USD</v>
      </c>
    </row>
    <row r="70" spans="1:6" x14ac:dyDescent="0.2">
      <c r="A70" t="str">
        <f>[1]Data!A70</f>
        <v>RRC</v>
      </c>
      <c r="B70">
        <f>[1]Data!B70</f>
        <v>42.625</v>
      </c>
      <c r="C70" t="str">
        <f>[1]Data!C70</f>
        <v>2025-09-12</v>
      </c>
      <c r="D70" t="str">
        <f>[1]Data!D70</f>
        <v>Oct 21, 2025</v>
      </c>
      <c r="E70">
        <f>[1]Data!E70</f>
        <v>1.04E-2</v>
      </c>
      <c r="F70" t="str">
        <f>[1]Data!F70</f>
        <v>USD</v>
      </c>
    </row>
    <row r="71" spans="1:6" x14ac:dyDescent="0.2">
      <c r="A71" t="str">
        <f>[1]Data!A71</f>
        <v>XYZ</v>
      </c>
      <c r="B71">
        <f>[1]Data!B71</f>
        <v>85.644440000000003</v>
      </c>
      <c r="C71">
        <f>[1]Data!C71</f>
        <v>0</v>
      </c>
      <c r="D71" t="str">
        <f>[1]Data!D71</f>
        <v>Nov 6, 2025</v>
      </c>
      <c r="E71">
        <f>[1]Data!E71</f>
        <v>0</v>
      </c>
      <c r="F71" t="str">
        <f>[1]Data!F71</f>
        <v>USD</v>
      </c>
    </row>
    <row r="72" spans="1:6" x14ac:dyDescent="0.2">
      <c r="A72" t="str">
        <f>[1]Data!A72</f>
        <v>THC</v>
      </c>
      <c r="B72">
        <f>[1]Data!B72</f>
        <v>197.52379999999999</v>
      </c>
      <c r="C72" t="str">
        <f>[1]Data!C72</f>
        <v>2000-03-13</v>
      </c>
      <c r="D72" t="str">
        <f>[1]Data!D72</f>
        <v>Jul 22, 2025</v>
      </c>
      <c r="E72">
        <f>[1]Data!E72</f>
        <v>0</v>
      </c>
      <c r="F72" t="str">
        <f>[1]Data!F72</f>
        <v>USD</v>
      </c>
    </row>
    <row r="73" spans="1:6" x14ac:dyDescent="0.2">
      <c r="A73" t="str">
        <f>[1]Data!A73</f>
        <v>X</v>
      </c>
      <c r="B73">
        <f>[1]Data!B73</f>
        <v>0</v>
      </c>
      <c r="C73">
        <f>[1]Data!C73</f>
        <v>0</v>
      </c>
      <c r="D73">
        <f>[1]Data!D73</f>
        <v>0</v>
      </c>
      <c r="E73">
        <f>[1]Data!E73</f>
        <v>0</v>
      </c>
      <c r="F73">
        <f>[1]Data!F73</f>
        <v>0</v>
      </c>
    </row>
    <row r="74" spans="1:6" x14ac:dyDescent="0.2">
      <c r="A74" t="str">
        <f>[1]Data!A74</f>
        <v>LOCK.L</v>
      </c>
      <c r="B74">
        <f>[1]Data!B74</f>
        <v>0</v>
      </c>
      <c r="C74">
        <f>[1]Data!C74</f>
        <v>0</v>
      </c>
      <c r="D74">
        <f>[1]Data!D74</f>
        <v>0</v>
      </c>
      <c r="E74">
        <f>[1]Data!E74</f>
        <v>0</v>
      </c>
      <c r="F74" t="str">
        <f>[1]Data!F74</f>
        <v>USD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5AB8-8038-8C4C-A651-D274FEBDAB5A}">
  <sheetPr codeName="Sheet2"/>
  <dimension ref="A1:K95"/>
  <sheetViews>
    <sheetView topLeftCell="A51" workbookViewId="0">
      <selection activeCell="E55" sqref="E55"/>
    </sheetView>
  </sheetViews>
  <sheetFormatPr baseColWidth="10" defaultRowHeight="15" x14ac:dyDescent="0.2"/>
  <cols>
    <col min="5" max="5" width="15.6640625" bestFit="1" customWidth="1"/>
    <col min="6" max="6" width="14.33203125" style="4" bestFit="1" customWidth="1"/>
    <col min="7" max="7" width="22.6640625" style="4" bestFit="1" customWidth="1"/>
    <col min="8" max="8" width="15.1640625" bestFit="1" customWidth="1"/>
  </cols>
  <sheetData>
    <row r="1" spans="1:11" x14ac:dyDescent="0.2">
      <c r="A1" s="1" t="s">
        <v>99</v>
      </c>
      <c r="B1" s="1" t="s">
        <v>100</v>
      </c>
      <c r="C1" s="2" t="s">
        <v>101</v>
      </c>
      <c r="D1" s="2"/>
      <c r="E1" s="2" t="str">
        <f>Sheet1!B1</f>
        <v>1-Year Target Price</v>
      </c>
      <c r="F1" s="3" t="str">
        <f>Sheet1!C1</f>
        <v>Ex-Dividend Date</v>
      </c>
      <c r="G1" s="3" t="str">
        <f>Sheet1!D1</f>
        <v>Earnings Date</v>
      </c>
      <c r="H1" s="2" t="str">
        <f>Sheet1!E1</f>
        <v>Dividend Yield (%)</v>
      </c>
    </row>
    <row r="2" spans="1:11" x14ac:dyDescent="0.2">
      <c r="A2" t="str">
        <f>IFERROR(LEFT(Sheet1!A2, FIND(".", Sheet1!A2) - 1),Sheet1!A2)</f>
        <v>AAPL</v>
      </c>
      <c r="B2" t="s">
        <v>6</v>
      </c>
      <c r="C2" t="str">
        <f t="shared" ref="C2:C33" si="0">IF(OR(LEFT(B2,3)="MVE",LEFT(B2,3)="SAF"),RIGHT(B2, LEN(B2) - 3),                IF(LEFT(B2,2)="JB",RIGHT(B2,LEN(B2)-2),B2))</f>
        <v>AAPL</v>
      </c>
      <c r="E2">
        <f>VALUE(_xlfn.XLOOKUP($C2,$A$2:$A$74,Sheet1!B$2:B$74))</f>
        <v>235.52553</v>
      </c>
      <c r="F2" s="4">
        <f>VALUE(_xlfn.XLOOKUP($C2,$A$2:$A$74,Sheet1!C$2:C$74))</f>
        <v>45880</v>
      </c>
      <c r="G2" s="4" t="str">
        <f>_xlfn.XLOOKUP($C2,$A$2:$A$74,Sheet1!D$2:D$74)</f>
        <v>Oct 30, 2025</v>
      </c>
      <c r="H2" s="5">
        <f>VALUE(_xlfn.XLOOKUP($C2,$A$2:$A$74,Sheet1!E$2:E$74))</f>
        <v>4.3E-3</v>
      </c>
      <c r="J2" t="b">
        <f>ISNUMBER(F2)</f>
        <v>1</v>
      </c>
      <c r="K2">
        <f>VALUE(E2)</f>
        <v>235.52553</v>
      </c>
    </row>
    <row r="3" spans="1:11" x14ac:dyDescent="0.2">
      <c r="A3" t="str">
        <f>IFERROR(LEFT(Sheet1!A3, FIND(".", Sheet1!A3) - 1),Sheet1!A3)</f>
        <v>ADEA</v>
      </c>
      <c r="B3" t="s">
        <v>7</v>
      </c>
      <c r="C3" t="str">
        <f t="shared" si="0"/>
        <v>ADEA</v>
      </c>
      <c r="E3">
        <f>VALUE(_xlfn.XLOOKUP($C3,$A$2:$A$74,Sheet1!B$2:B$74))</f>
        <v>20.66667</v>
      </c>
      <c r="F3" s="4">
        <f>VALUE(_xlfn.XLOOKUP($C3,$A$2:$A$74,Sheet1!C$2:C$74))</f>
        <v>45895</v>
      </c>
      <c r="G3" s="4">
        <f>_xlfn.XLOOKUP($C3,$A$2:$A$74,Sheet1!D$2:D$74)</f>
        <v>0</v>
      </c>
      <c r="H3" s="5">
        <f>VALUE(_xlfn.XLOOKUP($C3,$A$2:$A$74,Sheet1!E$2:E$74))</f>
        <v>1.2999999E-2</v>
      </c>
    </row>
    <row r="4" spans="1:11" x14ac:dyDescent="0.2">
      <c r="A4" t="str">
        <f>IFERROR(LEFT(Sheet1!A4, FIND(".", Sheet1!A4) - 1),Sheet1!A4)</f>
        <v>AET</v>
      </c>
      <c r="B4" t="s">
        <v>65</v>
      </c>
      <c r="C4" t="str">
        <f t="shared" si="0"/>
        <v>AET</v>
      </c>
      <c r="E4">
        <f>VALUE(_xlfn.XLOOKUP($C4,$A$2:$A$74,Sheet1!B$2:B$74))</f>
        <v>95.060005000000004</v>
      </c>
      <c r="F4" s="4">
        <f>VALUE(_xlfn.XLOOKUP($C4,$A$2:$A$74,Sheet1!C$2:C$74))</f>
        <v>0</v>
      </c>
      <c r="G4" s="4">
        <f>_xlfn.XLOOKUP($C4,$A$2:$A$74,Sheet1!D$2:D$74)</f>
        <v>0</v>
      </c>
      <c r="H4" s="5">
        <f>VALUE(_xlfn.XLOOKUP($C4,$A$2:$A$74,Sheet1!E$2:E$74))</f>
        <v>0</v>
      </c>
    </row>
    <row r="5" spans="1:11" x14ac:dyDescent="0.2">
      <c r="A5" t="str">
        <f>IFERROR(LEFT(Sheet1!A5, FIND(".", Sheet1!A5) - 1),Sheet1!A5)</f>
        <v>AMZN</v>
      </c>
      <c r="B5" t="s">
        <v>8</v>
      </c>
      <c r="C5" t="str">
        <f t="shared" si="0"/>
        <v>AMZN</v>
      </c>
      <c r="E5">
        <f>VALUE(_xlfn.XLOOKUP($C5,$A$2:$A$74,Sheet1!B$2:B$74))</f>
        <v>263.18033000000003</v>
      </c>
      <c r="F5" s="4">
        <f>VALUE(_xlfn.XLOOKUP($C5,$A$2:$A$74,Sheet1!C$2:C$74))</f>
        <v>0</v>
      </c>
      <c r="G5" s="4" t="str">
        <f>_xlfn.XLOOKUP($C5,$A$2:$A$74,Sheet1!D$2:D$74)</f>
        <v>Oct 30, 2025</v>
      </c>
      <c r="H5" s="5">
        <f>VALUE(_xlfn.XLOOKUP($C5,$A$2:$A$74,Sheet1!E$2:E$74))</f>
        <v>0</v>
      </c>
    </row>
    <row r="6" spans="1:11" x14ac:dyDescent="0.2">
      <c r="A6" t="str">
        <f>IFERROR(LEFT(Sheet1!A6, FIND(".", Sheet1!A6) - 1),Sheet1!A6)</f>
        <v>ALDNE</v>
      </c>
      <c r="B6" t="s">
        <v>66</v>
      </c>
      <c r="C6" t="str">
        <f t="shared" si="0"/>
        <v>ALDNE</v>
      </c>
      <c r="E6">
        <f>VALUE(_xlfn.XLOOKUP($C6,$A$2:$A$74,Sheet1!B$2:B$74))</f>
        <v>1.5333300000000001</v>
      </c>
      <c r="F6" s="4">
        <f>VALUE(_xlfn.XLOOKUP($C6,$A$2:$A$74,Sheet1!C$2:C$74))</f>
        <v>0</v>
      </c>
      <c r="G6" s="4">
        <f>_xlfn.XLOOKUP($C6,$A$2:$A$74,Sheet1!D$2:D$74)</f>
        <v>0</v>
      </c>
      <c r="H6" s="5">
        <f>VALUE(_xlfn.XLOOKUP($C6,$A$2:$A$74,Sheet1!E$2:E$74))</f>
        <v>0</v>
      </c>
    </row>
    <row r="7" spans="1:11" x14ac:dyDescent="0.2">
      <c r="A7" t="str">
        <f>IFERROR(LEFT(Sheet1!A7, FIND(".", Sheet1!A7) - 1),Sheet1!A7)</f>
        <v>ASML</v>
      </c>
      <c r="B7" t="s">
        <v>67</v>
      </c>
      <c r="C7" t="str">
        <f t="shared" si="0"/>
        <v>ASML</v>
      </c>
      <c r="E7">
        <f>VALUE(_xlfn.XLOOKUP($C7,$A$2:$A$74,Sheet1!B$2:B$74))</f>
        <v>758</v>
      </c>
      <c r="F7" s="4">
        <f>VALUE(_xlfn.XLOOKUP($C7,$A$2:$A$74,Sheet1!C$2:C$74))</f>
        <v>45866</v>
      </c>
      <c r="G7" s="4">
        <f>_xlfn.XLOOKUP($C7,$A$2:$A$74,Sheet1!D$2:D$74)</f>
        <v>0</v>
      </c>
      <c r="H7" s="5">
        <f>VALUE(_xlfn.XLOOKUP($C7,$A$2:$A$74,Sheet1!E$2:E$74))</f>
        <v>9.7999999999999997E-3</v>
      </c>
    </row>
    <row r="8" spans="1:11" x14ac:dyDescent="0.2">
      <c r="A8" t="str">
        <f>IFERROR(LEFT(Sheet1!A8, FIND(".", Sheet1!A8) - 1),Sheet1!A8)</f>
        <v>AZN</v>
      </c>
      <c r="B8" t="s">
        <v>9</v>
      </c>
      <c r="C8" t="str">
        <f t="shared" si="0"/>
        <v>AZN</v>
      </c>
      <c r="E8">
        <f>VALUE(_xlfn.XLOOKUP($C8,$A$2:$A$74,Sheet1!B$2:B$74))</f>
        <v>87.27</v>
      </c>
      <c r="F8" s="4">
        <f>VALUE(_xlfn.XLOOKUP($C8,$A$2:$A$74,Sheet1!C$2:C$74))</f>
        <v>45877</v>
      </c>
      <c r="G8" s="4" t="str">
        <f>_xlfn.XLOOKUP($C8,$A$2:$A$74,Sheet1!D$2:D$74)</f>
        <v>Jul 29, 2025</v>
      </c>
      <c r="H8" s="5">
        <f>VALUE(_xlfn.XLOOKUP($C8,$A$2:$A$74,Sheet1!E$2:E$74))</f>
        <v>1.9199998999999999E-2</v>
      </c>
    </row>
    <row r="9" spans="1:11" x14ac:dyDescent="0.2">
      <c r="A9" t="str">
        <f>IFERROR(LEFT(Sheet1!A9, FIND(".", Sheet1!A9) - 1),Sheet1!A9)</f>
        <v>BLDP</v>
      </c>
      <c r="B9" t="s">
        <v>10</v>
      </c>
      <c r="C9" t="str">
        <f t="shared" si="0"/>
        <v>BLDP</v>
      </c>
      <c r="E9">
        <f>VALUE(_xlfn.XLOOKUP($C9,$A$2:$A$74,Sheet1!B$2:B$74))</f>
        <v>2.3158300000000001</v>
      </c>
      <c r="F9" s="4">
        <f>VALUE(_xlfn.XLOOKUP($C9,$A$2:$A$74,Sheet1!C$2:C$74))</f>
        <v>0</v>
      </c>
      <c r="G9" s="4" t="str">
        <f>_xlfn.XLOOKUP($C9,$A$2:$A$74,Sheet1!D$2:D$74)</f>
        <v>Nov 4, 2025</v>
      </c>
      <c r="H9" s="5">
        <f>VALUE(_xlfn.XLOOKUP($C9,$A$2:$A$74,Sheet1!E$2:E$74))</f>
        <v>0</v>
      </c>
    </row>
    <row r="10" spans="1:11" x14ac:dyDescent="0.2">
      <c r="A10" t="str">
        <f>IFERROR(LEFT(Sheet1!A10, FIND(".", Sheet1!A10) - 1),Sheet1!A10)</f>
        <v>BMRA</v>
      </c>
      <c r="B10" t="s">
        <v>11</v>
      </c>
      <c r="C10" t="str">
        <f t="shared" si="0"/>
        <v>BMRA</v>
      </c>
      <c r="E10">
        <f>VALUE(_xlfn.XLOOKUP($C10,$A$2:$A$74,Sheet1!B$2:B$74))</f>
        <v>0</v>
      </c>
      <c r="F10" s="4">
        <f>VALUE(_xlfn.XLOOKUP($C10,$A$2:$A$74,Sheet1!C$2:C$74))</f>
        <v>0</v>
      </c>
      <c r="G10" s="4" t="str">
        <f>_xlfn.XLOOKUP($C10,$A$2:$A$74,Sheet1!D$2:D$74)</f>
        <v>Aug 26, 2025 - Sep 1, 2025</v>
      </c>
      <c r="H10" s="5">
        <f>VALUE(_xlfn.XLOOKUP($C10,$A$2:$A$74,Sheet1!E$2:E$74))</f>
        <v>0</v>
      </c>
    </row>
    <row r="11" spans="1:11" x14ac:dyDescent="0.2">
      <c r="A11" t="str">
        <f>IFERROR(LEFT(Sheet1!A11, FIND(".", Sheet1!A11) - 1),Sheet1!A11)</f>
        <v>C</v>
      </c>
      <c r="B11" t="s">
        <v>12</v>
      </c>
      <c r="C11" t="str">
        <f t="shared" si="0"/>
        <v>C</v>
      </c>
      <c r="E11">
        <f>VALUE(_xlfn.XLOOKUP($C11,$A$2:$A$74,Sheet1!B$2:B$74))</f>
        <v>101.54761999999999</v>
      </c>
      <c r="F11" s="4">
        <f>VALUE(_xlfn.XLOOKUP($C11,$A$2:$A$74,Sheet1!C$2:C$74))</f>
        <v>45873</v>
      </c>
      <c r="G11" s="4" t="str">
        <f>_xlfn.XLOOKUP($C11,$A$2:$A$74,Sheet1!D$2:D$74)</f>
        <v>Oct 14, 2025</v>
      </c>
      <c r="H11" s="5">
        <f>VALUE(_xlfn.XLOOKUP($C11,$A$2:$A$74,Sheet1!E$2:E$74))</f>
        <v>2.52E-2</v>
      </c>
    </row>
    <row r="12" spans="1:11" x14ac:dyDescent="0.2">
      <c r="A12" t="str">
        <f>IFERROR(LEFT(Sheet1!A12, FIND(".", Sheet1!A12) - 1),Sheet1!A12)</f>
        <v>CSCO</v>
      </c>
      <c r="B12" t="s">
        <v>13</v>
      </c>
      <c r="C12" t="str">
        <f t="shared" si="0"/>
        <v>CSCO</v>
      </c>
      <c r="E12">
        <f>VALUE(_xlfn.XLOOKUP($C12,$A$2:$A$74,Sheet1!B$2:B$74))</f>
        <v>75.814760000000007</v>
      </c>
      <c r="F12" s="4">
        <f>VALUE(_xlfn.XLOOKUP($C12,$A$2:$A$74,Sheet1!C$2:C$74))</f>
        <v>45933</v>
      </c>
      <c r="G12" s="4" t="str">
        <f>_xlfn.XLOOKUP($C12,$A$2:$A$74,Sheet1!D$2:D$74)</f>
        <v>Nov 12, 2025</v>
      </c>
      <c r="H12" s="5">
        <f>VALUE(_xlfn.XLOOKUP($C12,$A$2:$A$74,Sheet1!E$2:E$74))</f>
        <v>2.4500001E-2</v>
      </c>
    </row>
    <row r="13" spans="1:11" x14ac:dyDescent="0.2">
      <c r="A13" t="str">
        <f>IFERROR(LEFT(Sheet1!A13, FIND(".", Sheet1!A13) - 1),Sheet1!A13)</f>
        <v>CVS</v>
      </c>
      <c r="B13" t="s">
        <v>14</v>
      </c>
      <c r="C13" t="str">
        <f t="shared" si="0"/>
        <v>CVS</v>
      </c>
      <c r="E13">
        <f>VALUE(_xlfn.XLOOKUP($C13,$A$2:$A$74,Sheet1!B$2:B$74))</f>
        <v>82.072500000000005</v>
      </c>
      <c r="F13" s="4">
        <f>VALUE(_xlfn.XLOOKUP($C13,$A$2:$A$74,Sheet1!C$2:C$74))</f>
        <v>45860</v>
      </c>
      <c r="G13" s="4" t="str">
        <f>_xlfn.XLOOKUP($C13,$A$2:$A$74,Sheet1!D$2:D$74)</f>
        <v>Jul 31, 2025</v>
      </c>
      <c r="H13" s="5">
        <f>VALUE(_xlfn.XLOOKUP($C13,$A$2:$A$74,Sheet1!E$2:E$74))</f>
        <v>3.61E-2</v>
      </c>
    </row>
    <row r="14" spans="1:11" x14ac:dyDescent="0.2">
      <c r="A14" t="str">
        <f>IFERROR(LEFT(Sheet1!A14, FIND(".", Sheet1!A14) - 1),Sheet1!A14)</f>
        <v>DDD</v>
      </c>
      <c r="B14" t="s">
        <v>15</v>
      </c>
      <c r="C14" t="str">
        <f t="shared" si="0"/>
        <v>DDD</v>
      </c>
      <c r="E14">
        <f>VALUE(_xlfn.XLOOKUP($C14,$A$2:$A$74,Sheet1!B$2:B$74))</f>
        <v>3.25</v>
      </c>
      <c r="F14" s="4">
        <f>VALUE(_xlfn.XLOOKUP($C14,$A$2:$A$74,Sheet1!C$2:C$74))</f>
        <v>0</v>
      </c>
      <c r="G14" s="4" t="str">
        <f>_xlfn.XLOOKUP($C14,$A$2:$A$74,Sheet1!D$2:D$74)</f>
        <v>Nov 10, 2025</v>
      </c>
      <c r="H14" s="5">
        <f>VALUE(_xlfn.XLOOKUP($C14,$A$2:$A$74,Sheet1!E$2:E$74))</f>
        <v>0</v>
      </c>
    </row>
    <row r="15" spans="1:11" x14ac:dyDescent="0.2">
      <c r="A15" t="str">
        <f>IFERROR(LEFT(Sheet1!A15, FIND(".", Sheet1!A15) - 1),Sheet1!A15)</f>
        <v>DIS</v>
      </c>
      <c r="B15" t="s">
        <v>16</v>
      </c>
      <c r="C15" t="str">
        <f t="shared" si="0"/>
        <v>DIS</v>
      </c>
      <c r="E15">
        <f>VALUE(_xlfn.XLOOKUP($C15,$A$2:$A$74,Sheet1!B$2:B$74))</f>
        <v>132.22594000000001</v>
      </c>
      <c r="F15" s="4">
        <f>VALUE(_xlfn.XLOOKUP($C15,$A$2:$A$74,Sheet1!C$2:C$74))</f>
        <v>45832</v>
      </c>
      <c r="G15" s="4" t="str">
        <f>_xlfn.XLOOKUP($C15,$A$2:$A$74,Sheet1!D$2:D$74)</f>
        <v>Aug 6, 2025</v>
      </c>
      <c r="H15" s="5">
        <f>VALUE(_xlfn.XLOOKUP($C15,$A$2:$A$74,Sheet1!E$2:E$74))</f>
        <v>8.5000000000000006E-3</v>
      </c>
    </row>
    <row r="16" spans="1:11" x14ac:dyDescent="0.2">
      <c r="A16" t="str">
        <f>IFERROR(LEFT(Sheet1!A16, FIND(".", Sheet1!A16) - 1),Sheet1!A16)</f>
        <v>DSY</v>
      </c>
      <c r="B16" t="s">
        <v>68</v>
      </c>
      <c r="C16" t="str">
        <f t="shared" si="0"/>
        <v>DSY</v>
      </c>
      <c r="E16">
        <f>VALUE(_xlfn.XLOOKUP($C16,$A$2:$A$74,Sheet1!B$2:B$74))</f>
        <v>35.563890000000001</v>
      </c>
      <c r="F16" s="4">
        <f>VALUE(_xlfn.XLOOKUP($C16,$A$2:$A$74,Sheet1!C$2:C$74))</f>
        <v>45803</v>
      </c>
      <c r="G16" s="4">
        <f>_xlfn.XLOOKUP($C16,$A$2:$A$74,Sheet1!D$2:D$74)</f>
        <v>0</v>
      </c>
      <c r="H16" s="5">
        <f>VALUE(_xlfn.XLOOKUP($C16,$A$2:$A$74,Sheet1!E$2:E$74))</f>
        <v>9.7000000000000003E-3</v>
      </c>
    </row>
    <row r="17" spans="1:8" x14ac:dyDescent="0.2">
      <c r="A17" t="str">
        <f>IFERROR(LEFT(Sheet1!A17, FIND(".", Sheet1!A17) - 1),Sheet1!A17)</f>
        <v>DVA</v>
      </c>
      <c r="B17" t="s">
        <v>17</v>
      </c>
      <c r="C17" t="str">
        <f t="shared" si="0"/>
        <v>DVA</v>
      </c>
      <c r="E17">
        <f>VALUE(_xlfn.XLOOKUP($C17,$A$2:$A$74,Sheet1!B$2:B$74))</f>
        <v>153.5</v>
      </c>
      <c r="F17" s="4">
        <f>VALUE(_xlfn.XLOOKUP($C17,$A$2:$A$74,Sheet1!C$2:C$74))</f>
        <v>0</v>
      </c>
      <c r="G17" s="4" t="str">
        <f>_xlfn.XLOOKUP($C17,$A$2:$A$74,Sheet1!D$2:D$74)</f>
        <v>Oct 28, 2025</v>
      </c>
      <c r="H17" s="5">
        <f>VALUE(_xlfn.XLOOKUP($C17,$A$2:$A$74,Sheet1!E$2:E$74))</f>
        <v>0</v>
      </c>
    </row>
    <row r="18" spans="1:8" x14ac:dyDescent="0.2">
      <c r="A18" t="str">
        <f>IFERROR(LEFT(Sheet1!A18, FIND(".", Sheet1!A18) - 1),Sheet1!A18)</f>
        <v>DXC</v>
      </c>
      <c r="B18" t="s">
        <v>18</v>
      </c>
      <c r="C18" t="str">
        <f t="shared" si="0"/>
        <v>DXC</v>
      </c>
      <c r="E18">
        <f>VALUE(_xlfn.XLOOKUP($C18,$A$2:$A$74,Sheet1!B$2:B$74))</f>
        <v>15.125</v>
      </c>
      <c r="F18" s="4">
        <f>VALUE(_xlfn.XLOOKUP($C18,$A$2:$A$74,Sheet1!C$2:C$74))</f>
        <v>43914</v>
      </c>
      <c r="G18" s="4" t="str">
        <f>_xlfn.XLOOKUP($C18,$A$2:$A$74,Sheet1!D$2:D$74)</f>
        <v>Jul 31, 2025</v>
      </c>
      <c r="H18" s="5">
        <f>VALUE(_xlfn.XLOOKUP($C18,$A$2:$A$74,Sheet1!E$2:E$74))</f>
        <v>0</v>
      </c>
    </row>
    <row r="19" spans="1:8" x14ac:dyDescent="0.2">
      <c r="A19" t="str">
        <f>IFERROR(LEFT(Sheet1!A19, FIND(".", Sheet1!A19) - 1),Sheet1!A19)</f>
        <v>EOAN</v>
      </c>
      <c r="B19" t="s">
        <v>69</v>
      </c>
      <c r="C19" t="str">
        <f t="shared" si="0"/>
        <v>EOAN</v>
      </c>
      <c r="E19">
        <f>VALUE(_xlfn.XLOOKUP($C19,$A$2:$A$74,Sheet1!B$2:B$74))</f>
        <v>16.88824</v>
      </c>
      <c r="F19" s="4">
        <f>VALUE(_xlfn.XLOOKUP($C19,$A$2:$A$74,Sheet1!C$2:C$74))</f>
        <v>45793</v>
      </c>
      <c r="G19" s="4">
        <f>_xlfn.XLOOKUP($C19,$A$2:$A$74,Sheet1!D$2:D$74)</f>
        <v>0</v>
      </c>
      <c r="H19" s="5">
        <f>VALUE(_xlfn.XLOOKUP($C19,$A$2:$A$74,Sheet1!E$2:E$74))</f>
        <v>3.6199997999999997E-2</v>
      </c>
    </row>
    <row r="20" spans="1:8" x14ac:dyDescent="0.2">
      <c r="A20" t="str">
        <f>IFERROR(LEFT(Sheet1!A20, FIND(".", Sheet1!A20) - 1),Sheet1!A20)</f>
        <v>EPIX</v>
      </c>
      <c r="B20" t="s">
        <v>19</v>
      </c>
      <c r="C20" t="str">
        <f t="shared" si="0"/>
        <v>EPIX</v>
      </c>
      <c r="E20">
        <f>VALUE(_xlfn.XLOOKUP($C20,$A$2:$A$74,Sheet1!B$2:B$74))</f>
        <v>0</v>
      </c>
      <c r="F20" s="4">
        <f>VALUE(_xlfn.XLOOKUP($C20,$A$2:$A$74,Sheet1!C$2:C$74))</f>
        <v>45894</v>
      </c>
      <c r="G20" s="4" t="str">
        <f>_xlfn.XLOOKUP($C20,$A$2:$A$74,Sheet1!D$2:D$74)</f>
        <v>Aug 7, 2025</v>
      </c>
      <c r="H20" s="5">
        <f>VALUE(_xlfn.XLOOKUP($C20,$A$2:$A$74,Sheet1!E$2:E$74))</f>
        <v>0</v>
      </c>
    </row>
    <row r="21" spans="1:8" x14ac:dyDescent="0.2">
      <c r="A21" t="str">
        <f>IFERROR(LEFT(Sheet1!A21, FIND(".", Sheet1!A21) - 1),Sheet1!A21)</f>
        <v>GM</v>
      </c>
      <c r="B21" t="s">
        <v>20</v>
      </c>
      <c r="C21" t="str">
        <f t="shared" si="0"/>
        <v>GM</v>
      </c>
      <c r="E21">
        <f>VALUE(_xlfn.XLOOKUP($C21,$A$2:$A$74,Sheet1!B$2:B$74))</f>
        <v>57.2</v>
      </c>
      <c r="F21" s="4">
        <f>VALUE(_xlfn.XLOOKUP($C21,$A$2:$A$74,Sheet1!C$2:C$74))</f>
        <v>45905</v>
      </c>
      <c r="G21" s="4" t="str">
        <f>_xlfn.XLOOKUP($C21,$A$2:$A$74,Sheet1!D$2:D$74)</f>
        <v>Oct 21, 2025</v>
      </c>
      <c r="H21" s="5">
        <f>VALUE(_xlfn.XLOOKUP($C21,$A$2:$A$74,Sheet1!E$2:E$74))</f>
        <v>1.0299999000000001E-2</v>
      </c>
    </row>
    <row r="22" spans="1:8" x14ac:dyDescent="0.2">
      <c r="A22" t="str">
        <f>IFERROR(LEFT(Sheet1!A22, FIND(".", Sheet1!A22) - 1),Sheet1!A22)</f>
        <v>HPE</v>
      </c>
      <c r="B22" t="s">
        <v>21</v>
      </c>
      <c r="C22" t="str">
        <f t="shared" si="0"/>
        <v>HPE</v>
      </c>
      <c r="E22">
        <f>VALUE(_xlfn.XLOOKUP($C22,$A$2:$A$74,Sheet1!B$2:B$74))</f>
        <v>24.984120000000001</v>
      </c>
      <c r="F22" s="4">
        <f>VALUE(_xlfn.XLOOKUP($C22,$A$2:$A$74,Sheet1!C$2:C$74))</f>
        <v>45918</v>
      </c>
      <c r="G22" s="4" t="str">
        <f>_xlfn.XLOOKUP($C22,$A$2:$A$74,Sheet1!D$2:D$74)</f>
        <v>Dec 4, 2025</v>
      </c>
      <c r="H22" s="5">
        <f>VALUE(_xlfn.XLOOKUP($C22,$A$2:$A$74,Sheet1!E$2:E$74))</f>
        <v>2.2100000000000002E-2</v>
      </c>
    </row>
    <row r="23" spans="1:8" x14ac:dyDescent="0.2">
      <c r="A23" t="str">
        <f>IFERROR(LEFT(Sheet1!A23, FIND(".", Sheet1!A23) - 1),Sheet1!A23)</f>
        <v>HPQ</v>
      </c>
      <c r="B23" t="s">
        <v>22</v>
      </c>
      <c r="C23" t="str">
        <f t="shared" si="0"/>
        <v>HPQ</v>
      </c>
      <c r="E23">
        <f>VALUE(_xlfn.XLOOKUP($C23,$A$2:$A$74,Sheet1!B$2:B$74))</f>
        <v>27.968</v>
      </c>
      <c r="F23" s="4">
        <f>VALUE(_xlfn.XLOOKUP($C23,$A$2:$A$74,Sheet1!C$2:C$74))</f>
        <v>45910</v>
      </c>
      <c r="G23" s="4" t="str">
        <f>_xlfn.XLOOKUP($C23,$A$2:$A$74,Sheet1!D$2:D$74)</f>
        <v>Nov 25, 2025</v>
      </c>
      <c r="H23" s="5">
        <f>VALUE(_xlfn.XLOOKUP($C23,$A$2:$A$74,Sheet1!E$2:E$74))</f>
        <v>3.95E-2</v>
      </c>
    </row>
    <row r="24" spans="1:8" x14ac:dyDescent="0.2">
      <c r="A24" t="str">
        <f>IFERROR(LEFT(Sheet1!A24, FIND(".", Sheet1!A24) - 1),Sheet1!A24)</f>
        <v>IAG</v>
      </c>
      <c r="B24" t="s">
        <v>70</v>
      </c>
      <c r="C24" t="str">
        <f t="shared" si="0"/>
        <v>IAG</v>
      </c>
      <c r="E24">
        <f>VALUE(_xlfn.XLOOKUP($C24,$A$2:$A$74,Sheet1!B$2:B$74))</f>
        <v>435.83789999999999</v>
      </c>
      <c r="F24" s="4">
        <f>VALUE(_xlfn.XLOOKUP($C24,$A$2:$A$74,Sheet1!C$2:C$74))</f>
        <v>45834</v>
      </c>
      <c r="G24" s="4">
        <f>_xlfn.XLOOKUP($C24,$A$2:$A$74,Sheet1!D$2:D$74)</f>
        <v>0</v>
      </c>
      <c r="H24" s="5">
        <f>VALUE(_xlfn.XLOOKUP($C24,$A$2:$A$74,Sheet1!E$2:E$74))</f>
        <v>1.9599999999999999E-2</v>
      </c>
    </row>
    <row r="25" spans="1:8" x14ac:dyDescent="0.2">
      <c r="A25" t="str">
        <f>IFERROR(LEFT(Sheet1!A25, FIND(".", Sheet1!A25) - 1),Sheet1!A25)</f>
        <v>KR</v>
      </c>
      <c r="B25" t="s">
        <v>23</v>
      </c>
      <c r="C25" t="str">
        <f t="shared" si="0"/>
        <v>KR</v>
      </c>
      <c r="E25">
        <f>VALUE(_xlfn.XLOOKUP($C25,$A$2:$A$74,Sheet1!B$2:B$74))</f>
        <v>75.727270000000004</v>
      </c>
      <c r="F25" s="4">
        <f>VALUE(_xlfn.XLOOKUP($C25,$A$2:$A$74,Sheet1!C$2:C$74))</f>
        <v>45884</v>
      </c>
      <c r="G25" s="4" t="str">
        <f>_xlfn.XLOOKUP($C25,$A$2:$A$74,Sheet1!D$2:D$74)</f>
        <v>Sep 10, 2025 - Sep 15, 2025</v>
      </c>
      <c r="H25" s="5">
        <f>VALUE(_xlfn.XLOOKUP($C25,$A$2:$A$74,Sheet1!E$2:E$74))</f>
        <v>2.07E-2</v>
      </c>
    </row>
    <row r="26" spans="1:8" x14ac:dyDescent="0.2">
      <c r="A26" t="str">
        <f>IFERROR(LEFT(Sheet1!A26, FIND(".", Sheet1!A26) - 1),Sheet1!A26)</f>
        <v>LNSR</v>
      </c>
      <c r="B26" t="s">
        <v>24</v>
      </c>
      <c r="C26" t="str">
        <f t="shared" si="0"/>
        <v>LNSR</v>
      </c>
      <c r="E26">
        <f>VALUE(_xlfn.XLOOKUP($C26,$A$2:$A$74,Sheet1!B$2:B$74))</f>
        <v>15</v>
      </c>
      <c r="F26" s="4">
        <f>VALUE(_xlfn.XLOOKUP($C26,$A$2:$A$74,Sheet1!C$2:C$74))</f>
        <v>0</v>
      </c>
      <c r="G26" s="4" t="str">
        <f>_xlfn.XLOOKUP($C26,$A$2:$A$74,Sheet1!D$2:D$74)</f>
        <v>Nov 6, 2025</v>
      </c>
      <c r="H26" s="5">
        <f>VALUE(_xlfn.XLOOKUP($C26,$A$2:$A$74,Sheet1!E$2:E$74))</f>
        <v>0</v>
      </c>
    </row>
    <row r="27" spans="1:8" x14ac:dyDescent="0.2">
      <c r="A27" t="str">
        <f>IFERROR(LEFT(Sheet1!A27, FIND(".", Sheet1!A27) - 1),Sheet1!A27)</f>
        <v>LUMN</v>
      </c>
      <c r="B27" t="s">
        <v>25</v>
      </c>
      <c r="C27" t="str">
        <f t="shared" si="0"/>
        <v>LUMN</v>
      </c>
      <c r="E27">
        <f>VALUE(_xlfn.XLOOKUP($C27,$A$2:$A$74,Sheet1!B$2:B$74))</f>
        <v>5.06182</v>
      </c>
      <c r="F27" s="4">
        <f>VALUE(_xlfn.XLOOKUP($C27,$A$2:$A$74,Sheet1!C$2:C$74))</f>
        <v>44802</v>
      </c>
      <c r="G27" s="4" t="str">
        <f>_xlfn.XLOOKUP($C27,$A$2:$A$74,Sheet1!D$2:D$74)</f>
        <v>Jul 31, 2025</v>
      </c>
      <c r="H27" s="5">
        <f>VALUE(_xlfn.XLOOKUP($C27,$A$2:$A$74,Sheet1!E$2:E$74))</f>
        <v>0</v>
      </c>
    </row>
    <row r="28" spans="1:8" x14ac:dyDescent="0.2">
      <c r="A28" t="str">
        <f>IFERROR(LEFT(Sheet1!A28, FIND(".", Sheet1!A28) - 1),Sheet1!A28)</f>
        <v>MRNA</v>
      </c>
      <c r="B28" t="s">
        <v>26</v>
      </c>
      <c r="C28" t="str">
        <f t="shared" si="0"/>
        <v>MRNA</v>
      </c>
      <c r="E28">
        <f>VALUE(_xlfn.XLOOKUP($C28,$A$2:$A$74,Sheet1!B$2:B$74))</f>
        <v>44.25</v>
      </c>
      <c r="F28" s="4">
        <f>VALUE(_xlfn.XLOOKUP($C28,$A$2:$A$74,Sheet1!C$2:C$74))</f>
        <v>0</v>
      </c>
      <c r="G28" s="4" t="str">
        <f>_xlfn.XLOOKUP($C28,$A$2:$A$74,Sheet1!D$2:D$74)</f>
        <v>Aug 1, 2025</v>
      </c>
      <c r="H28" s="5">
        <f>VALUE(_xlfn.XLOOKUP($C28,$A$2:$A$74,Sheet1!E$2:E$74))</f>
        <v>0</v>
      </c>
    </row>
    <row r="29" spans="1:8" x14ac:dyDescent="0.2">
      <c r="A29" t="str">
        <f>IFERROR(LEFT(Sheet1!A29, FIND(".", Sheet1!A29) - 1),Sheet1!A29)</f>
        <v>MSFT</v>
      </c>
      <c r="B29" t="s">
        <v>27</v>
      </c>
      <c r="C29" t="str">
        <f t="shared" si="0"/>
        <v>MSFT</v>
      </c>
      <c r="E29">
        <f>VALUE(_xlfn.XLOOKUP($C29,$A$2:$A$74,Sheet1!B$2:B$74))</f>
        <v>613.89160000000004</v>
      </c>
      <c r="F29" s="4">
        <f>VALUE(_xlfn.XLOOKUP($C29,$A$2:$A$74,Sheet1!C$2:C$74))</f>
        <v>45890</v>
      </c>
      <c r="G29" s="4" t="str">
        <f>_xlfn.XLOOKUP($C29,$A$2:$A$74,Sheet1!D$2:D$74)</f>
        <v>Oct 29, 2025</v>
      </c>
      <c r="H29" s="5">
        <f>VALUE(_xlfn.XLOOKUP($C29,$A$2:$A$74,Sheet1!E$2:E$74))</f>
        <v>6.7000002999999999E-3</v>
      </c>
    </row>
    <row r="30" spans="1:8" x14ac:dyDescent="0.2">
      <c r="A30" t="str">
        <f>IFERROR(LEFT(Sheet1!A30, FIND(".", Sheet1!A30) - 1),Sheet1!A30)</f>
        <v>NEE</v>
      </c>
      <c r="B30" t="s">
        <v>28</v>
      </c>
      <c r="C30" t="str">
        <f t="shared" si="0"/>
        <v>NEE</v>
      </c>
      <c r="E30">
        <f>VALUE(_xlfn.XLOOKUP($C30,$A$2:$A$74,Sheet1!B$2:B$74))</f>
        <v>82.294120000000007</v>
      </c>
      <c r="F30" s="4">
        <f>VALUE(_xlfn.XLOOKUP($C30,$A$2:$A$74,Sheet1!C$2:C$74))</f>
        <v>45897</v>
      </c>
      <c r="G30" s="4" t="str">
        <f>_xlfn.XLOOKUP($C30,$A$2:$A$74,Sheet1!D$2:D$74)</f>
        <v>Oct 23, 2025</v>
      </c>
      <c r="H30" s="5">
        <f>VALUE(_xlfn.XLOOKUP($C30,$A$2:$A$74,Sheet1!E$2:E$74))</f>
        <v>3.2000000000000001E-2</v>
      </c>
    </row>
    <row r="31" spans="1:8" x14ac:dyDescent="0.2">
      <c r="A31" t="str">
        <f>IFERROR(LEFT(Sheet1!A31, FIND(".", Sheet1!A31) - 1),Sheet1!A31)</f>
        <v>NEM</v>
      </c>
      <c r="B31" t="s">
        <v>29</v>
      </c>
      <c r="C31" t="str">
        <f t="shared" si="0"/>
        <v>NEM</v>
      </c>
      <c r="E31">
        <f>VALUE(_xlfn.XLOOKUP($C31,$A$2:$A$74,Sheet1!B$2:B$74))</f>
        <v>73.224739999999997</v>
      </c>
      <c r="F31" s="4">
        <f>VALUE(_xlfn.XLOOKUP($C31,$A$2:$A$74,Sheet1!C$2:C$74))</f>
        <v>45904</v>
      </c>
      <c r="G31" s="4" t="str">
        <f>_xlfn.XLOOKUP($C31,$A$2:$A$74,Sheet1!D$2:D$74)</f>
        <v>Oct 22, 2025</v>
      </c>
      <c r="H31" s="5">
        <f>VALUE(_xlfn.XLOOKUP($C31,$A$2:$A$74,Sheet1!E$2:E$74))</f>
        <v>1.3099998999999999E-2</v>
      </c>
    </row>
    <row r="32" spans="1:8" x14ac:dyDescent="0.2">
      <c r="A32" t="str">
        <f>IFERROR(LEFT(Sheet1!A32, FIND(".", Sheet1!A32) - 1),Sheet1!A32)</f>
        <v>NFLX</v>
      </c>
      <c r="B32" t="s">
        <v>30</v>
      </c>
      <c r="C32" t="str">
        <f t="shared" si="0"/>
        <v>NFLX</v>
      </c>
      <c r="E32">
        <f>VALUE(_xlfn.XLOOKUP($C32,$A$2:$A$74,Sheet1!B$2:B$74))</f>
        <v>1350.316</v>
      </c>
      <c r="F32" s="4">
        <f>VALUE(_xlfn.XLOOKUP($C32,$A$2:$A$74,Sheet1!C$2:C$74))</f>
        <v>0</v>
      </c>
      <c r="G32" s="4" t="str">
        <f>_xlfn.XLOOKUP($C32,$A$2:$A$74,Sheet1!D$2:D$74)</f>
        <v>Oct 16, 2025</v>
      </c>
      <c r="H32" s="5">
        <f>VALUE(_xlfn.XLOOKUP($C32,$A$2:$A$74,Sheet1!E$2:E$74))</f>
        <v>0</v>
      </c>
    </row>
    <row r="33" spans="1:8" x14ac:dyDescent="0.2">
      <c r="A33" t="str">
        <f>IFERROR(LEFT(Sheet1!A33, FIND(".", Sheet1!A33) - 1),Sheet1!A33)</f>
        <v>NOTE</v>
      </c>
      <c r="B33" t="s">
        <v>31</v>
      </c>
      <c r="C33" t="str">
        <f t="shared" si="0"/>
        <v>NOTE</v>
      </c>
      <c r="E33">
        <f>VALUE(_xlfn.XLOOKUP($C33,$A$2:$A$74,Sheet1!B$2:B$74))</f>
        <v>31.501259999999998</v>
      </c>
      <c r="F33" s="4">
        <f>VALUE(_xlfn.XLOOKUP($C33,$A$2:$A$74,Sheet1!C$2:C$74))</f>
        <v>0</v>
      </c>
      <c r="G33" s="4">
        <f>_xlfn.XLOOKUP($C33,$A$2:$A$74,Sheet1!D$2:D$74)</f>
        <v>0</v>
      </c>
      <c r="H33" s="5">
        <f>VALUE(_xlfn.XLOOKUP($C33,$A$2:$A$74,Sheet1!E$2:E$74))</f>
        <v>0</v>
      </c>
    </row>
    <row r="34" spans="1:8" x14ac:dyDescent="0.2">
      <c r="A34" t="str">
        <f>IFERROR(LEFT(Sheet1!A34, FIND(".", Sheet1!A34) - 1),Sheet1!A34)</f>
        <v>PAAS</v>
      </c>
      <c r="B34" t="s">
        <v>32</v>
      </c>
      <c r="C34" t="str">
        <f t="shared" ref="C34:C65" si="1">IF(OR(LEFT(B34,3)="MVE",LEFT(B34,3)="SAF"),RIGHT(B34, LEN(B34) - 3),                IF(LEFT(B34,2)="JB",RIGHT(B34,LEN(B34)-2),B34))</f>
        <v>PAAS</v>
      </c>
      <c r="E34">
        <f>VALUE(_xlfn.XLOOKUP($C34,$A$2:$A$74,Sheet1!B$2:B$74))</f>
        <v>37.375</v>
      </c>
      <c r="F34" s="4">
        <f>VALUE(_xlfn.XLOOKUP($C34,$A$2:$A$74,Sheet1!C$2:C$74))</f>
        <v>45887</v>
      </c>
      <c r="G34" s="4" t="str">
        <f>_xlfn.XLOOKUP($C34,$A$2:$A$74,Sheet1!D$2:D$74)</f>
        <v>Aug 6, 2025</v>
      </c>
      <c r="H34" s="5">
        <f>VALUE(_xlfn.XLOOKUP($C34,$A$2:$A$74,Sheet1!E$2:E$74))</f>
        <v>1.3899999999999999E-2</v>
      </c>
    </row>
    <row r="35" spans="1:8" x14ac:dyDescent="0.2">
      <c r="A35" t="str">
        <f>IFERROR(LEFT(Sheet1!A35, FIND(".", Sheet1!A35) - 1),Sheet1!A35)</f>
        <v>PROF</v>
      </c>
      <c r="B35" t="s">
        <v>33</v>
      </c>
      <c r="C35" t="str">
        <f t="shared" si="1"/>
        <v>PROF</v>
      </c>
      <c r="E35">
        <f>VALUE(_xlfn.XLOOKUP($C35,$A$2:$A$74,Sheet1!B$2:B$74))</f>
        <v>12.1</v>
      </c>
      <c r="F35" s="4">
        <f>VALUE(_xlfn.XLOOKUP($C35,$A$2:$A$74,Sheet1!C$2:C$74))</f>
        <v>0</v>
      </c>
      <c r="G35" s="4">
        <f>_xlfn.XLOOKUP($C35,$A$2:$A$74,Sheet1!D$2:D$74)</f>
        <v>0</v>
      </c>
      <c r="H35" s="5">
        <f>VALUE(_xlfn.XLOOKUP($C35,$A$2:$A$74,Sheet1!E$2:E$74))</f>
        <v>0</v>
      </c>
    </row>
    <row r="36" spans="1:8" x14ac:dyDescent="0.2">
      <c r="A36" t="str">
        <f>IFERROR(LEFT(Sheet1!A36, FIND(".", Sheet1!A36) - 1),Sheet1!A36)</f>
        <v>POET</v>
      </c>
      <c r="B36" t="s">
        <v>34</v>
      </c>
      <c r="C36" t="str">
        <f t="shared" si="1"/>
        <v>POET</v>
      </c>
      <c r="E36">
        <f>VALUE(_xlfn.XLOOKUP($C36,$A$2:$A$74,Sheet1!B$2:B$74))</f>
        <v>6.6333299999999999</v>
      </c>
      <c r="F36" s="4">
        <f>VALUE(_xlfn.XLOOKUP($C36,$A$2:$A$74,Sheet1!C$2:C$74))</f>
        <v>0</v>
      </c>
      <c r="G36" s="4" t="str">
        <f>_xlfn.XLOOKUP($C36,$A$2:$A$74,Sheet1!D$2:D$74)</f>
        <v>Aug 14, 2025</v>
      </c>
      <c r="H36" s="5">
        <f>VALUE(_xlfn.XLOOKUP($C36,$A$2:$A$74,Sheet1!E$2:E$74))</f>
        <v>0</v>
      </c>
    </row>
    <row r="37" spans="1:8" x14ac:dyDescent="0.2">
      <c r="A37" t="str">
        <f>IFERROR(LEFT(Sheet1!A37, FIND(".", Sheet1!A37) - 1),Sheet1!A37)</f>
        <v>PW</v>
      </c>
      <c r="B37" t="s">
        <v>35</v>
      </c>
      <c r="C37" t="str">
        <f t="shared" si="1"/>
        <v>PW</v>
      </c>
      <c r="E37">
        <f>VALUE(_xlfn.XLOOKUP($C37,$A$2:$A$74,Sheet1!B$2:B$74))</f>
        <v>0</v>
      </c>
      <c r="F37" s="4">
        <f>VALUE(_xlfn.XLOOKUP($C37,$A$2:$A$74,Sheet1!C$2:C$74))</f>
        <v>41284</v>
      </c>
      <c r="G37" s="4">
        <f>_xlfn.XLOOKUP($C37,$A$2:$A$74,Sheet1!D$2:D$74)</f>
        <v>0</v>
      </c>
      <c r="H37" s="5">
        <f>VALUE(_xlfn.XLOOKUP($C37,$A$2:$A$74,Sheet1!E$2:E$74))</f>
        <v>0</v>
      </c>
    </row>
    <row r="38" spans="1:8" x14ac:dyDescent="0.2">
      <c r="A38" t="str">
        <f>IFERROR(LEFT(Sheet1!A38, FIND(".", Sheet1!A38) - 1),Sheet1!A38)</f>
        <v>RIGL</v>
      </c>
      <c r="B38" t="s">
        <v>36</v>
      </c>
      <c r="C38" t="str">
        <f t="shared" si="1"/>
        <v>RIGL</v>
      </c>
      <c r="E38">
        <f>VALUE(_xlfn.XLOOKUP($C38,$A$2:$A$74,Sheet1!B$2:B$74))</f>
        <v>38.333329999999997</v>
      </c>
      <c r="F38" s="4">
        <f>VALUE(_xlfn.XLOOKUP($C38,$A$2:$A$74,Sheet1!C$2:C$74))</f>
        <v>0</v>
      </c>
      <c r="G38" s="4" t="str">
        <f>_xlfn.XLOOKUP($C38,$A$2:$A$74,Sheet1!D$2:D$74)</f>
        <v>Nov 6, 2025</v>
      </c>
      <c r="H38" s="5">
        <f>VALUE(_xlfn.XLOOKUP($C38,$A$2:$A$74,Sheet1!E$2:E$74))</f>
        <v>0</v>
      </c>
    </row>
    <row r="39" spans="1:8" x14ac:dyDescent="0.2">
      <c r="A39" t="str">
        <f>IFERROR(LEFT(Sheet1!A39, FIND(".", Sheet1!A39) - 1),Sheet1!A39)</f>
        <v>RWE</v>
      </c>
      <c r="B39" t="s">
        <v>71</v>
      </c>
      <c r="C39" t="str">
        <f t="shared" si="1"/>
        <v>RWE</v>
      </c>
      <c r="E39">
        <f>VALUE(_xlfn.XLOOKUP($C39,$A$2:$A$74,Sheet1!B$2:B$74))</f>
        <v>43.26</v>
      </c>
      <c r="F39" s="4">
        <f>VALUE(_xlfn.XLOOKUP($C39,$A$2:$A$74,Sheet1!C$2:C$74))</f>
        <v>45779</v>
      </c>
      <c r="G39" s="4">
        <f>_xlfn.XLOOKUP($C39,$A$2:$A$74,Sheet1!D$2:D$74)</f>
        <v>0</v>
      </c>
      <c r="H39" s="5">
        <f>VALUE(_xlfn.XLOOKUP($C39,$A$2:$A$74,Sheet1!E$2:E$74))</f>
        <v>3.1400003000000003E-2</v>
      </c>
    </row>
    <row r="40" spans="1:8" x14ac:dyDescent="0.2">
      <c r="A40" t="str">
        <f>IFERROR(LEFT(Sheet1!A40, FIND(".", Sheet1!A40) - 1),Sheet1!A40)</f>
        <v>SAP</v>
      </c>
      <c r="B40" t="s">
        <v>72</v>
      </c>
      <c r="C40" t="str">
        <f t="shared" si="1"/>
        <v>SAP</v>
      </c>
      <c r="E40">
        <f>VALUE(_xlfn.XLOOKUP($C40,$A$2:$A$74,Sheet1!B$2:B$74))</f>
        <v>291.91037</v>
      </c>
      <c r="F40" s="4">
        <f>VALUE(_xlfn.XLOOKUP($C40,$A$2:$A$74,Sheet1!C$2:C$74))</f>
        <v>45791</v>
      </c>
      <c r="G40" s="4">
        <f>_xlfn.XLOOKUP($C40,$A$2:$A$74,Sheet1!D$2:D$74)</f>
        <v>0</v>
      </c>
      <c r="H40" s="5">
        <f>VALUE(_xlfn.XLOOKUP($C40,$A$2:$A$74,Sheet1!E$2:E$74))</f>
        <v>1.0299999000000001E-2</v>
      </c>
    </row>
    <row r="41" spans="1:8" x14ac:dyDescent="0.2">
      <c r="A41" t="str">
        <f>IFERROR(LEFT(Sheet1!A41, FIND(".", Sheet1!A41) - 1),Sheet1!A41)</f>
        <v>SHECY</v>
      </c>
      <c r="B41" t="s">
        <v>37</v>
      </c>
      <c r="C41" t="str">
        <f t="shared" si="1"/>
        <v>SHECY</v>
      </c>
      <c r="E41">
        <f>VALUE(_xlfn.XLOOKUP($C41,$A$2:$A$74,Sheet1!B$2:B$74))</f>
        <v>0</v>
      </c>
      <c r="F41" s="4">
        <f>VALUE(_xlfn.XLOOKUP($C41,$A$2:$A$74,Sheet1!C$2:C$74))</f>
        <v>45747</v>
      </c>
      <c r="G41" s="4">
        <f>_xlfn.XLOOKUP($C41,$A$2:$A$74,Sheet1!D$2:D$74)</f>
        <v>0</v>
      </c>
      <c r="H41" s="5">
        <f>VALUE(_xlfn.XLOOKUP($C41,$A$2:$A$74,Sheet1!E$2:E$74))</f>
        <v>2.47E-2</v>
      </c>
    </row>
    <row r="42" spans="1:8" x14ac:dyDescent="0.2">
      <c r="A42" t="str">
        <f>IFERROR(LEFT(Sheet1!A42, FIND(".", Sheet1!A42) - 1),Sheet1!A42)</f>
        <v>SSYS</v>
      </c>
      <c r="B42" t="s">
        <v>38</v>
      </c>
      <c r="C42" t="str">
        <f t="shared" si="1"/>
        <v>SSYS</v>
      </c>
      <c r="E42">
        <f>VALUE(_xlfn.XLOOKUP($C42,$A$2:$A$74,Sheet1!B$2:B$74))</f>
        <v>13.33333</v>
      </c>
      <c r="F42" s="4">
        <f>VALUE(_xlfn.XLOOKUP($C42,$A$2:$A$74,Sheet1!C$2:C$74))</f>
        <v>0</v>
      </c>
      <c r="G42" s="4" t="str">
        <f>_xlfn.XLOOKUP($C42,$A$2:$A$74,Sheet1!D$2:D$74)</f>
        <v>Nov 12, 2025</v>
      </c>
      <c r="H42" s="5">
        <f>VALUE(_xlfn.XLOOKUP($C42,$A$2:$A$74,Sheet1!E$2:E$74))</f>
        <v>0</v>
      </c>
    </row>
    <row r="43" spans="1:8" x14ac:dyDescent="0.2">
      <c r="A43" t="str">
        <f>IFERROR(LEFT(Sheet1!A43, FIND(".", Sheet1!A43) - 1),Sheet1!A43)</f>
        <v>TSLA</v>
      </c>
      <c r="B43" t="s">
        <v>39</v>
      </c>
      <c r="C43" t="str">
        <f t="shared" si="1"/>
        <v>TSLA</v>
      </c>
      <c r="E43">
        <f>VALUE(_xlfn.XLOOKUP($C43,$A$2:$A$74,Sheet1!B$2:B$74))</f>
        <v>310.53410000000002</v>
      </c>
      <c r="F43" s="4">
        <f>VALUE(_xlfn.XLOOKUP($C43,$A$2:$A$74,Sheet1!C$2:C$74))</f>
        <v>0</v>
      </c>
      <c r="G43" s="4" t="str">
        <f>_xlfn.XLOOKUP($C43,$A$2:$A$74,Sheet1!D$2:D$74)</f>
        <v>Oct 22, 2025</v>
      </c>
      <c r="H43" s="5">
        <f>VALUE(_xlfn.XLOOKUP($C43,$A$2:$A$74,Sheet1!E$2:E$74))</f>
        <v>0</v>
      </c>
    </row>
    <row r="44" spans="1:8" x14ac:dyDescent="0.2">
      <c r="A44" t="str">
        <f>IFERROR(LEFT(Sheet1!A44, FIND(".", Sheet1!A44) - 1),Sheet1!A44)</f>
        <v>TSM</v>
      </c>
      <c r="B44" t="s">
        <v>40</v>
      </c>
      <c r="C44" t="str">
        <f t="shared" si="1"/>
        <v>TSM</v>
      </c>
      <c r="E44">
        <f>VALUE(_xlfn.XLOOKUP($C44,$A$2:$A$74,Sheet1!B$2:B$74))</f>
        <v>274.15667999999999</v>
      </c>
      <c r="F44" s="4">
        <f>VALUE(_xlfn.XLOOKUP($C44,$A$2:$A$74,Sheet1!C$2:C$74))</f>
        <v>45916</v>
      </c>
      <c r="G44" s="4" t="str">
        <f>_xlfn.XLOOKUP($C44,$A$2:$A$74,Sheet1!D$2:D$74)</f>
        <v>Oct 16, 2025</v>
      </c>
      <c r="H44" s="5">
        <f>VALUE(_xlfn.XLOOKUP($C44,$A$2:$A$74,Sheet1!E$2:E$74))</f>
        <v>1.37E-2</v>
      </c>
    </row>
    <row r="45" spans="1:8" x14ac:dyDescent="0.2">
      <c r="A45" t="str">
        <f>IFERROR(LEFT(Sheet1!A45, FIND(".", Sheet1!A45) - 1),Sheet1!A45)</f>
        <v>UN0</v>
      </c>
      <c r="B45" t="s">
        <v>41</v>
      </c>
      <c r="C45" t="str">
        <f t="shared" si="1"/>
        <v>UN0</v>
      </c>
      <c r="E45">
        <f>VALUE(_xlfn.XLOOKUP($C45,$A$2:$A$74,Sheet1!B$2:B$74))</f>
        <v>0</v>
      </c>
      <c r="F45" s="4">
        <f>VALUE(_xlfn.XLOOKUP($C45,$A$2:$A$74,Sheet1!C$2:C$74))</f>
        <v>0</v>
      </c>
      <c r="G45" s="4">
        <f>_xlfn.XLOOKUP($C45,$A$2:$A$74,Sheet1!D$2:D$74)</f>
        <v>0</v>
      </c>
      <c r="H45" s="5">
        <f>VALUE(_xlfn.XLOOKUP($C45,$A$2:$A$74,Sheet1!E$2:E$74))</f>
        <v>0</v>
      </c>
    </row>
    <row r="46" spans="1:8" x14ac:dyDescent="0.2">
      <c r="A46" t="str">
        <f>IFERROR(LEFT(Sheet1!A46, FIND(".", Sheet1!A46) - 1),Sheet1!A46)</f>
        <v>UNIT</v>
      </c>
      <c r="B46" t="s">
        <v>42</v>
      </c>
      <c r="C46" t="str">
        <f t="shared" si="1"/>
        <v>UNIT</v>
      </c>
      <c r="E46">
        <f>VALUE(_xlfn.XLOOKUP($C46,$A$2:$A$74,Sheet1!B$2:B$74))</f>
        <v>8.2502700000000004</v>
      </c>
      <c r="F46" s="4">
        <f>VALUE(_xlfn.XLOOKUP($C46,$A$2:$A$74,Sheet1!C$2:C$74))</f>
        <v>45457</v>
      </c>
      <c r="G46" s="4" t="str">
        <f>_xlfn.XLOOKUP($C46,$A$2:$A$74,Sheet1!D$2:D$74)</f>
        <v>Oct 30, 2025</v>
      </c>
      <c r="H46" s="5">
        <f>VALUE(_xlfn.XLOOKUP($C46,$A$2:$A$74,Sheet1!E$2:E$74))</f>
        <v>0</v>
      </c>
    </row>
    <row r="47" spans="1:8" x14ac:dyDescent="0.2">
      <c r="A47" t="str">
        <f>IFERROR(LEFT(Sheet1!A47, FIND(".", Sheet1!A47) - 1),Sheet1!A47)</f>
        <v>AVGO</v>
      </c>
      <c r="B47" t="s">
        <v>43</v>
      </c>
      <c r="C47" t="str">
        <f t="shared" si="1"/>
        <v>AVGO</v>
      </c>
      <c r="E47">
        <f>VALUE(_xlfn.XLOOKUP($C47,$A$2:$A$74,Sheet1!B$2:B$74))</f>
        <v>355.06</v>
      </c>
      <c r="F47" s="4">
        <f>VALUE(_xlfn.XLOOKUP($C47,$A$2:$A$74,Sheet1!C$2:C$74))</f>
        <v>45922</v>
      </c>
      <c r="G47" s="4" t="str">
        <f>_xlfn.XLOOKUP($C47,$A$2:$A$74,Sheet1!D$2:D$74)</f>
        <v>Sep 4, 2025</v>
      </c>
      <c r="H47" s="5">
        <f>VALUE(_xlfn.XLOOKUP($C47,$A$2:$A$74,Sheet1!E$2:E$74))</f>
        <v>6.9999998000000001E-3</v>
      </c>
    </row>
    <row r="48" spans="1:8" x14ac:dyDescent="0.2">
      <c r="A48" t="str">
        <f>IFERROR(LEFT(Sheet1!A48, FIND(".", Sheet1!A48) - 1),Sheet1!A48)</f>
        <v>VLVLY</v>
      </c>
      <c r="B48" t="s">
        <v>44</v>
      </c>
      <c r="C48" t="str">
        <f t="shared" si="1"/>
        <v>VLVLY</v>
      </c>
      <c r="E48">
        <f>VALUE(_xlfn.XLOOKUP($C48,$A$2:$A$74,Sheet1!B$2:B$74))</f>
        <v>36</v>
      </c>
      <c r="F48" s="4">
        <f>VALUE(_xlfn.XLOOKUP($C48,$A$2:$A$74,Sheet1!C$2:C$74))</f>
        <v>45751</v>
      </c>
      <c r="G48" s="4">
        <f>_xlfn.XLOOKUP($C48,$A$2:$A$74,Sheet1!D$2:D$74)</f>
        <v>0</v>
      </c>
      <c r="H48" s="5">
        <f>VALUE(_xlfn.XLOOKUP($C48,$A$2:$A$74,Sheet1!E$2:E$74))</f>
        <v>2.7099999999999999E-2</v>
      </c>
    </row>
    <row r="49" spans="1:8" x14ac:dyDescent="0.2">
      <c r="A49" t="str">
        <f>IFERROR(LEFT(Sheet1!A49, FIND(".", Sheet1!A49) - 1),Sheet1!A49)</f>
        <v>VONN</v>
      </c>
      <c r="B49" t="s">
        <v>73</v>
      </c>
      <c r="C49" t="str">
        <f t="shared" si="1"/>
        <v>VONN</v>
      </c>
      <c r="E49">
        <f>VALUE(_xlfn.XLOOKUP($C49,$A$2:$A$74,Sheet1!B$2:B$74))</f>
        <v>63.325000000000003</v>
      </c>
      <c r="F49" s="4">
        <f>VALUE(_xlfn.XLOOKUP($C49,$A$2:$A$74,Sheet1!C$2:C$74))</f>
        <v>45751</v>
      </c>
      <c r="G49" s="4" t="str">
        <f>_xlfn.XLOOKUP($C49,$A$2:$A$74,Sheet1!D$2:D$74)</f>
        <v>Jul 24, 2025</v>
      </c>
      <c r="H49" s="5">
        <f>VALUE(_xlfn.XLOOKUP($C49,$A$2:$A$74,Sheet1!E$2:E$74))</f>
        <v>4.8800003000000002E-2</v>
      </c>
    </row>
    <row r="50" spans="1:8" x14ac:dyDescent="0.2">
      <c r="A50" t="str">
        <f>IFERROR(LEFT(Sheet1!A50, FIND(".", Sheet1!A50) - 1),Sheet1!A50)</f>
        <v>VTRS</v>
      </c>
      <c r="B50" t="s">
        <v>45</v>
      </c>
      <c r="C50" t="str">
        <f t="shared" si="1"/>
        <v>VTRS</v>
      </c>
      <c r="E50">
        <f>VALUE(_xlfn.XLOOKUP($C50,$A$2:$A$74,Sheet1!B$2:B$74))</f>
        <v>11.428570000000001</v>
      </c>
      <c r="F50" s="4">
        <f>VALUE(_xlfn.XLOOKUP($C50,$A$2:$A$74,Sheet1!C$2:C$74))</f>
        <v>45891</v>
      </c>
      <c r="G50" s="4" t="str">
        <f>_xlfn.XLOOKUP($C50,$A$2:$A$74,Sheet1!D$2:D$74)</f>
        <v>Nov 6, 2025</v>
      </c>
      <c r="H50" s="5">
        <f>VALUE(_xlfn.XLOOKUP($C50,$A$2:$A$74,Sheet1!E$2:E$74))</f>
        <v>4.5700002000000003E-2</v>
      </c>
    </row>
    <row r="51" spans="1:8" x14ac:dyDescent="0.2">
      <c r="A51" t="str">
        <f>IFERROR(LEFT(Sheet1!A51, FIND(".", Sheet1!A51) - 1),Sheet1!A51)</f>
        <v>WBA</v>
      </c>
      <c r="B51" t="s">
        <v>46</v>
      </c>
      <c r="C51" t="str">
        <f t="shared" si="1"/>
        <v>WBA</v>
      </c>
      <c r="E51">
        <f>VALUE(_xlfn.XLOOKUP($C51,$A$2:$A$74,Sheet1!B$2:B$74))</f>
        <v>12.11429</v>
      </c>
      <c r="F51" s="4">
        <f>VALUE(_xlfn.XLOOKUP($C51,$A$2:$A$74,Sheet1!C$2:C$74))</f>
        <v>45614</v>
      </c>
      <c r="G51" s="4">
        <f>_xlfn.XLOOKUP($C51,$A$2:$A$74,Sheet1!D$2:D$74)</f>
        <v>0</v>
      </c>
      <c r="H51" s="5">
        <f>VALUE(_xlfn.XLOOKUP($C51,$A$2:$A$74,Sheet1!E$2:E$74))</f>
        <v>8.3500005000000002E-2</v>
      </c>
    </row>
    <row r="52" spans="1:8" x14ac:dyDescent="0.2">
      <c r="A52" t="str">
        <f>IFERROR(LEFT(Sheet1!A52, FIND(".", Sheet1!A52) - 1),Sheet1!A52)</f>
        <v>XOM</v>
      </c>
      <c r="B52" t="s">
        <v>47</v>
      </c>
      <c r="C52" t="str">
        <f t="shared" si="1"/>
        <v>XOM</v>
      </c>
      <c r="E52">
        <f>VALUE(_xlfn.XLOOKUP($C52,$A$2:$A$74,Sheet1!B$2:B$74))</f>
        <v>124.79167</v>
      </c>
      <c r="F52" s="4">
        <f>VALUE(_xlfn.XLOOKUP($C52,$A$2:$A$74,Sheet1!C$2:C$74))</f>
        <v>45884</v>
      </c>
      <c r="G52" s="4" t="str">
        <f>_xlfn.XLOOKUP($C52,$A$2:$A$74,Sheet1!D$2:D$74)</f>
        <v>Oct 31, 2025</v>
      </c>
      <c r="H52" s="5">
        <f>VALUE(_xlfn.XLOOKUP($C52,$A$2:$A$74,Sheet1!E$2:E$74))</f>
        <v>3.6299999999999999E-2</v>
      </c>
    </row>
    <row r="53" spans="1:8" x14ac:dyDescent="0.2">
      <c r="A53" t="str">
        <f>IFERROR(LEFT(Sheet1!A53, FIND(".", Sheet1!A53) - 1),Sheet1!A53)</f>
        <v>XPER</v>
      </c>
      <c r="B53" t="s">
        <v>48</v>
      </c>
      <c r="C53" t="str">
        <f t="shared" si="1"/>
        <v>XPER</v>
      </c>
      <c r="E53">
        <f>VALUE(_xlfn.XLOOKUP($C53,$A$2:$A$74,Sheet1!B$2:B$74))</f>
        <v>11</v>
      </c>
      <c r="F53" s="4">
        <f>VALUE(_xlfn.XLOOKUP($C53,$A$2:$A$74,Sheet1!C$2:C$74))</f>
        <v>0</v>
      </c>
      <c r="G53" s="4">
        <f>_xlfn.XLOOKUP($C53,$A$2:$A$74,Sheet1!D$2:D$74)</f>
        <v>0</v>
      </c>
      <c r="H53" s="5">
        <f>VALUE(_xlfn.XLOOKUP($C53,$A$2:$A$74,Sheet1!E$2:E$74))</f>
        <v>0</v>
      </c>
    </row>
    <row r="54" spans="1:8" x14ac:dyDescent="0.2">
      <c r="A54" t="str">
        <f>IFERROR(LEFT(Sheet1!A54, FIND(".", Sheet1!A54) - 1),Sheet1!A54)</f>
        <v>BLNK</v>
      </c>
      <c r="B54" t="s">
        <v>74</v>
      </c>
      <c r="C54" t="str">
        <f t="shared" si="1"/>
        <v>ALDNE</v>
      </c>
      <c r="E54">
        <f>VALUE(_xlfn.XLOOKUP($C54,$A$2:$A$74,Sheet1!B$2:B$74))</f>
        <v>1.5333300000000001</v>
      </c>
      <c r="F54" s="4">
        <f>VALUE(_xlfn.XLOOKUP($C54,$A$2:$A$74,Sheet1!C$2:C$74))</f>
        <v>0</v>
      </c>
      <c r="G54" s="4">
        <f>_xlfn.XLOOKUP($C54,$A$2:$A$74,Sheet1!D$2:D$74)</f>
        <v>0</v>
      </c>
      <c r="H54" s="5">
        <f>VALUE(_xlfn.XLOOKUP($C54,$A$2:$A$74,Sheet1!E$2:E$74))</f>
        <v>0</v>
      </c>
    </row>
    <row r="55" spans="1:8" x14ac:dyDescent="0.2">
      <c r="A55" t="str">
        <f>IFERROR(LEFT(Sheet1!A55, FIND(".", Sheet1!A55) - 1),Sheet1!A55)</f>
        <v>ENI</v>
      </c>
      <c r="B55" t="s">
        <v>75</v>
      </c>
      <c r="C55" t="str">
        <f t="shared" si="1"/>
        <v>DDD</v>
      </c>
      <c r="E55">
        <f>VALUE(_xlfn.XLOOKUP($C55,$A$2:$A$74,Sheet1!B$2:B$74))</f>
        <v>3.25</v>
      </c>
      <c r="F55" s="4">
        <f>VALUE(_xlfn.XLOOKUP($C55,$A$2:$A$74,Sheet1!C$2:C$74))</f>
        <v>0</v>
      </c>
      <c r="G55" s="4" t="str">
        <f>_xlfn.XLOOKUP($C55,$A$2:$A$74,Sheet1!D$2:D$74)</f>
        <v>Nov 10, 2025</v>
      </c>
      <c r="H55" s="5">
        <f>VALUE(_xlfn.XLOOKUP($C55,$A$2:$A$74,Sheet1!E$2:E$74))</f>
        <v>0</v>
      </c>
    </row>
    <row r="56" spans="1:8" x14ac:dyDescent="0.2">
      <c r="A56" t="str">
        <f>IFERROR(LEFT(Sheet1!A56, FIND(".", Sheet1!A56) - 1),Sheet1!A56)</f>
        <v>EZJ</v>
      </c>
      <c r="B56" t="s">
        <v>76</v>
      </c>
      <c r="C56" t="str">
        <f t="shared" si="1"/>
        <v>DSY</v>
      </c>
      <c r="E56">
        <f>VALUE(_xlfn.XLOOKUP($C56,$A$2:$A$74,Sheet1!B$2:B$74))</f>
        <v>35.563890000000001</v>
      </c>
      <c r="F56" s="4">
        <f>VALUE(_xlfn.XLOOKUP($C56,$A$2:$A$74,Sheet1!C$2:C$74))</f>
        <v>45803</v>
      </c>
      <c r="G56" s="4">
        <f>_xlfn.XLOOKUP($C56,$A$2:$A$74,Sheet1!D$2:D$74)</f>
        <v>0</v>
      </c>
      <c r="H56" s="5">
        <f>VALUE(_xlfn.XLOOKUP($C56,$A$2:$A$74,Sheet1!E$2:E$74))</f>
        <v>9.7000000000000003E-3</v>
      </c>
    </row>
    <row r="57" spans="1:8" x14ac:dyDescent="0.2">
      <c r="A57" t="str">
        <f>IFERROR(LEFT(Sheet1!A57, FIND(".", Sheet1!A57) - 1),Sheet1!A57)</f>
        <v>F</v>
      </c>
      <c r="B57" t="s">
        <v>77</v>
      </c>
      <c r="C57" t="str">
        <f t="shared" si="1"/>
        <v>EOAN</v>
      </c>
      <c r="E57">
        <f>VALUE(_xlfn.XLOOKUP($C57,$A$2:$A$74,Sheet1!B$2:B$74))</f>
        <v>16.88824</v>
      </c>
      <c r="F57" s="4">
        <f>VALUE(_xlfn.XLOOKUP($C57,$A$2:$A$74,Sheet1!C$2:C$74))</f>
        <v>45793</v>
      </c>
      <c r="G57" s="4">
        <f>_xlfn.XLOOKUP($C57,$A$2:$A$74,Sheet1!D$2:D$74)</f>
        <v>0</v>
      </c>
      <c r="H57" s="5">
        <f>VALUE(_xlfn.XLOOKUP($C57,$A$2:$A$74,Sheet1!E$2:E$74))</f>
        <v>3.6199997999999997E-2</v>
      </c>
    </row>
    <row r="58" spans="1:8" x14ac:dyDescent="0.2">
      <c r="A58" t="str">
        <f>IFERROR(LEFT(Sheet1!A58, FIND(".", Sheet1!A58) - 1),Sheet1!A58)</f>
        <v>GLE</v>
      </c>
      <c r="B58" t="s">
        <v>78</v>
      </c>
      <c r="C58" t="str">
        <f t="shared" si="1"/>
        <v>ENI</v>
      </c>
      <c r="E58">
        <f>VALUE(_xlfn.XLOOKUP($C58,$A$2:$A$74,Sheet1!B$2:B$74))</f>
        <v>15.5</v>
      </c>
      <c r="F58" s="4">
        <f>VALUE(_xlfn.XLOOKUP($C58,$A$2:$A$74,Sheet1!C$2:C$74))</f>
        <v>45922</v>
      </c>
      <c r="G58" s="4">
        <f>_xlfn.XLOOKUP($C58,$A$2:$A$74,Sheet1!D$2:D$74)</f>
        <v>0</v>
      </c>
      <c r="H58" s="5">
        <f>VALUE(_xlfn.XLOOKUP($C58,$A$2:$A$74,Sheet1!E$2:E$74))</f>
        <v>7.1100003999999994E-2</v>
      </c>
    </row>
    <row r="59" spans="1:8" x14ac:dyDescent="0.2">
      <c r="A59" t="str">
        <f>IFERROR(LEFT(Sheet1!A59, FIND(".", Sheet1!A59) - 1),Sheet1!A59)</f>
        <v>GNRC</v>
      </c>
      <c r="B59" t="s">
        <v>79</v>
      </c>
      <c r="C59" t="str">
        <f t="shared" si="1"/>
        <v>EPIX</v>
      </c>
      <c r="E59">
        <f>VALUE(_xlfn.XLOOKUP($C59,$A$2:$A$74,Sheet1!B$2:B$74))</f>
        <v>0</v>
      </c>
      <c r="F59" s="4">
        <f>VALUE(_xlfn.XLOOKUP($C59,$A$2:$A$74,Sheet1!C$2:C$74))</f>
        <v>45894</v>
      </c>
      <c r="G59" s="4" t="str">
        <f>_xlfn.XLOOKUP($C59,$A$2:$A$74,Sheet1!D$2:D$74)</f>
        <v>Aug 7, 2025</v>
      </c>
      <c r="H59" s="5">
        <f>VALUE(_xlfn.XLOOKUP($C59,$A$2:$A$74,Sheet1!E$2:E$74))</f>
        <v>0</v>
      </c>
    </row>
    <row r="60" spans="1:8" x14ac:dyDescent="0.2">
      <c r="A60" t="str">
        <f>IFERROR(LEFT(Sheet1!A60, FIND(".", Sheet1!A60) - 1),Sheet1!A60)</f>
        <v>GS</v>
      </c>
      <c r="B60" t="s">
        <v>80</v>
      </c>
      <c r="C60" t="str">
        <f t="shared" si="1"/>
        <v>GLE</v>
      </c>
      <c r="E60">
        <f>VALUE(_xlfn.XLOOKUP($C60,$A$2:$A$74,Sheet1!B$2:B$74))</f>
        <v>61.800559999999997</v>
      </c>
      <c r="F60" s="4">
        <f>VALUE(_xlfn.XLOOKUP($C60,$A$2:$A$74,Sheet1!C$2:C$74))</f>
        <v>45937</v>
      </c>
      <c r="G60" s="4" t="str">
        <f>_xlfn.XLOOKUP($C60,$A$2:$A$74,Sheet1!D$2:D$74)</f>
        <v>Oct 30, 2025</v>
      </c>
      <c r="H60" s="5">
        <f>VALUE(_xlfn.XLOOKUP($C60,$A$2:$A$74,Sheet1!E$2:E$74))</f>
        <v>3.2099999999999997E-2</v>
      </c>
    </row>
    <row r="61" spans="1:8" x14ac:dyDescent="0.2">
      <c r="A61" t="str">
        <f>IFERROR(LEFT(Sheet1!A61, FIND(".", Sheet1!A61) - 1),Sheet1!A61)</f>
        <v>LAZR</v>
      </c>
      <c r="B61" t="s">
        <v>81</v>
      </c>
      <c r="C61" t="str">
        <f t="shared" si="1"/>
        <v>ORA</v>
      </c>
      <c r="E61">
        <f>VALUE(_xlfn.XLOOKUP($C61,$A$2:$A$74,Sheet1!B$2:B$74))</f>
        <v>14.994440000000001</v>
      </c>
      <c r="F61" s="4">
        <f>VALUE(_xlfn.XLOOKUP($C61,$A$2:$A$74,Sheet1!C$2:C$74))</f>
        <v>45993</v>
      </c>
      <c r="G61" s="4">
        <f>_xlfn.XLOOKUP($C61,$A$2:$A$74,Sheet1!D$2:D$74)</f>
        <v>0</v>
      </c>
      <c r="H61" s="5">
        <f>VALUE(_xlfn.XLOOKUP($C61,$A$2:$A$74,Sheet1!E$2:E$74))</f>
        <v>5.5E-2</v>
      </c>
    </row>
    <row r="62" spans="1:8" x14ac:dyDescent="0.2">
      <c r="A62" t="str">
        <f>IFERROR(LEFT(Sheet1!A62, FIND(".", Sheet1!A62) - 1),Sheet1!A62)</f>
        <v>LUV</v>
      </c>
      <c r="B62" t="s">
        <v>82</v>
      </c>
      <c r="C62" t="str">
        <f t="shared" si="1"/>
        <v>RWE</v>
      </c>
      <c r="E62">
        <f>VALUE(_xlfn.XLOOKUP($C62,$A$2:$A$74,Sheet1!B$2:B$74))</f>
        <v>43.26</v>
      </c>
      <c r="F62" s="4">
        <f>VALUE(_xlfn.XLOOKUP($C62,$A$2:$A$74,Sheet1!C$2:C$74))</f>
        <v>45779</v>
      </c>
      <c r="G62" s="4">
        <f>_xlfn.XLOOKUP($C62,$A$2:$A$74,Sheet1!D$2:D$74)</f>
        <v>0</v>
      </c>
      <c r="H62" s="5">
        <f>VALUE(_xlfn.XLOOKUP($C62,$A$2:$A$74,Sheet1!E$2:E$74))</f>
        <v>3.1400003000000003E-2</v>
      </c>
    </row>
    <row r="63" spans="1:8" x14ac:dyDescent="0.2">
      <c r="A63" t="str">
        <f>IFERROR(LEFT(Sheet1!A63, FIND(".", Sheet1!A63) - 1),Sheet1!A63)</f>
        <v>MA</v>
      </c>
      <c r="B63" t="s">
        <v>83</v>
      </c>
      <c r="C63" t="str">
        <f t="shared" si="1"/>
        <v>SAP</v>
      </c>
      <c r="E63">
        <f>VALUE(_xlfn.XLOOKUP($C63,$A$2:$A$74,Sheet1!B$2:B$74))</f>
        <v>291.91037</v>
      </c>
      <c r="F63" s="4">
        <f>VALUE(_xlfn.XLOOKUP($C63,$A$2:$A$74,Sheet1!C$2:C$74))</f>
        <v>45791</v>
      </c>
      <c r="G63" s="4">
        <f>_xlfn.XLOOKUP($C63,$A$2:$A$74,Sheet1!D$2:D$74)</f>
        <v>0</v>
      </c>
      <c r="H63" s="5">
        <f>VALUE(_xlfn.XLOOKUP($C63,$A$2:$A$74,Sheet1!E$2:E$74))</f>
        <v>1.0299999000000001E-2</v>
      </c>
    </row>
    <row r="64" spans="1:8" x14ac:dyDescent="0.2">
      <c r="A64" t="str">
        <f>IFERROR(LEFT(Sheet1!A64, FIND(".", Sheet1!A64) - 1),Sheet1!A64)</f>
        <v>NVAX</v>
      </c>
      <c r="B64" t="s">
        <v>84</v>
      </c>
      <c r="C64" t="str">
        <f t="shared" si="1"/>
        <v>UN0</v>
      </c>
      <c r="E64">
        <f>VALUE(_xlfn.XLOOKUP($C64,$A$2:$A$74,Sheet1!B$2:B$74))</f>
        <v>0</v>
      </c>
      <c r="F64" s="4">
        <f>VALUE(_xlfn.XLOOKUP($C64,$A$2:$A$74,Sheet1!C$2:C$74))</f>
        <v>0</v>
      </c>
      <c r="G64" s="4">
        <f>_xlfn.XLOOKUP($C64,$A$2:$A$74,Sheet1!D$2:D$74)</f>
        <v>0</v>
      </c>
      <c r="H64" s="5">
        <f>VALUE(_xlfn.XLOOKUP($C64,$A$2:$A$74,Sheet1!E$2:E$74))</f>
        <v>0</v>
      </c>
    </row>
    <row r="65" spans="1:8" x14ac:dyDescent="0.2">
      <c r="A65" t="str">
        <f>IFERROR(LEFT(Sheet1!A65, FIND(".", Sheet1!A65) - 1),Sheet1!A65)</f>
        <v>NVS</v>
      </c>
      <c r="B65" t="s">
        <v>85</v>
      </c>
      <c r="C65" t="str">
        <f t="shared" si="1"/>
        <v>AAPL</v>
      </c>
      <c r="E65">
        <f>VALUE(_xlfn.XLOOKUP($C65,$A$2:$A$74,Sheet1!B$2:B$74))</f>
        <v>235.52553</v>
      </c>
      <c r="F65" s="4">
        <f>VALUE(_xlfn.XLOOKUP($C65,$A$2:$A$74,Sheet1!C$2:C$74))</f>
        <v>45880</v>
      </c>
      <c r="G65" s="4" t="str">
        <f>_xlfn.XLOOKUP($C65,$A$2:$A$74,Sheet1!D$2:D$74)</f>
        <v>Oct 30, 2025</v>
      </c>
      <c r="H65" s="5">
        <f>VALUE(_xlfn.XLOOKUP($C65,$A$2:$A$74,Sheet1!E$2:E$74))</f>
        <v>4.3E-3</v>
      </c>
    </row>
    <row r="66" spans="1:8" x14ac:dyDescent="0.2">
      <c r="A66" t="str">
        <f>IFERROR(LEFT(Sheet1!A66, FIND(".", Sheet1!A66) - 1),Sheet1!A66)</f>
        <v>ORA</v>
      </c>
      <c r="B66" t="s">
        <v>86</v>
      </c>
      <c r="C66" t="str">
        <f t="shared" ref="C66:C92" si="2">IF(OR(LEFT(B66,3)="MVE",LEFT(B66,3)="SAF"),RIGHT(B66, LEN(B66) - 3),                IF(LEFT(B66,2)="JB",RIGHT(B66,LEN(B66)-2),B66))</f>
        <v>AMZN</v>
      </c>
      <c r="E66">
        <f>VALUE(_xlfn.XLOOKUP($C66,$A$2:$A$74,Sheet1!B$2:B$74))</f>
        <v>263.18033000000003</v>
      </c>
      <c r="F66" s="4">
        <f>VALUE(_xlfn.XLOOKUP($C66,$A$2:$A$74,Sheet1!C$2:C$74))</f>
        <v>0</v>
      </c>
      <c r="G66" s="4" t="str">
        <f>_xlfn.XLOOKUP($C66,$A$2:$A$74,Sheet1!D$2:D$74)</f>
        <v>Oct 30, 2025</v>
      </c>
      <c r="H66" s="5">
        <f>VALUE(_xlfn.XLOOKUP($C66,$A$2:$A$74,Sheet1!E$2:E$74))</f>
        <v>0</v>
      </c>
    </row>
    <row r="67" spans="1:8" x14ac:dyDescent="0.2">
      <c r="A67" t="str">
        <f>IFERROR(LEFT(Sheet1!A67, FIND(".", Sheet1!A67) - 1),Sheet1!A67)</f>
        <v>OXY</v>
      </c>
      <c r="B67" t="s">
        <v>87</v>
      </c>
      <c r="C67" t="str">
        <f t="shared" si="2"/>
        <v>ASML</v>
      </c>
      <c r="E67">
        <f>VALUE(_xlfn.XLOOKUP($C67,$A$2:$A$74,Sheet1!B$2:B$74))</f>
        <v>758</v>
      </c>
      <c r="F67" s="4">
        <f>VALUE(_xlfn.XLOOKUP($C67,$A$2:$A$74,Sheet1!C$2:C$74))</f>
        <v>45866</v>
      </c>
      <c r="G67" s="4">
        <f>_xlfn.XLOOKUP($C67,$A$2:$A$74,Sheet1!D$2:D$74)</f>
        <v>0</v>
      </c>
      <c r="H67" s="5">
        <f>VALUE(_xlfn.XLOOKUP($C67,$A$2:$A$74,Sheet1!E$2:E$74))</f>
        <v>9.7999999999999997E-3</v>
      </c>
    </row>
    <row r="68" spans="1:8" x14ac:dyDescent="0.2">
      <c r="A68" t="str">
        <f>IFERROR(LEFT(Sheet1!A68, FIND(".", Sheet1!A68) - 1),Sheet1!A68)</f>
        <v>PFE</v>
      </c>
      <c r="B68" t="s">
        <v>88</v>
      </c>
      <c r="C68" t="str">
        <f t="shared" si="2"/>
        <v>DDD</v>
      </c>
      <c r="E68">
        <f>VALUE(_xlfn.XLOOKUP($C68,$A$2:$A$74,Sheet1!B$2:B$74))</f>
        <v>3.25</v>
      </c>
      <c r="F68" s="4">
        <f>VALUE(_xlfn.XLOOKUP($C68,$A$2:$A$74,Sheet1!C$2:C$74))</f>
        <v>0</v>
      </c>
      <c r="G68" s="4" t="str">
        <f>_xlfn.XLOOKUP($C68,$A$2:$A$74,Sheet1!D$2:D$74)</f>
        <v>Nov 10, 2025</v>
      </c>
      <c r="H68" s="5">
        <f>VALUE(_xlfn.XLOOKUP($C68,$A$2:$A$74,Sheet1!E$2:E$74))</f>
        <v>0</v>
      </c>
    </row>
    <row r="69" spans="1:8" x14ac:dyDescent="0.2">
      <c r="A69" t="str">
        <f>IFERROR(LEFT(Sheet1!A69, FIND(".", Sheet1!A69) - 1),Sheet1!A69)</f>
        <v>RIG</v>
      </c>
      <c r="B69" t="s">
        <v>89</v>
      </c>
      <c r="C69" t="str">
        <f t="shared" si="2"/>
        <v>DIS</v>
      </c>
      <c r="E69">
        <f>VALUE(_xlfn.XLOOKUP($C69,$A$2:$A$74,Sheet1!B$2:B$74))</f>
        <v>132.22594000000001</v>
      </c>
      <c r="F69" s="4">
        <f>VALUE(_xlfn.XLOOKUP($C69,$A$2:$A$74,Sheet1!C$2:C$74))</f>
        <v>45832</v>
      </c>
      <c r="G69" s="4" t="str">
        <f>_xlfn.XLOOKUP($C69,$A$2:$A$74,Sheet1!D$2:D$74)</f>
        <v>Aug 6, 2025</v>
      </c>
      <c r="H69" s="5">
        <f>VALUE(_xlfn.XLOOKUP($C69,$A$2:$A$74,Sheet1!E$2:E$74))</f>
        <v>8.5000000000000006E-3</v>
      </c>
    </row>
    <row r="70" spans="1:8" x14ac:dyDescent="0.2">
      <c r="A70" t="str">
        <f>IFERROR(LEFT(Sheet1!A70, FIND(".", Sheet1!A70) - 1),Sheet1!A70)</f>
        <v>RRC</v>
      </c>
      <c r="B70" t="s">
        <v>90</v>
      </c>
      <c r="C70" t="str">
        <f t="shared" si="2"/>
        <v>GM</v>
      </c>
      <c r="E70">
        <f>VALUE(_xlfn.XLOOKUP($C70,$A$2:$A$74,Sheet1!B$2:B$74))</f>
        <v>57.2</v>
      </c>
      <c r="F70" s="4">
        <f>VALUE(_xlfn.XLOOKUP($C70,$A$2:$A$74,Sheet1!C$2:C$74))</f>
        <v>45905</v>
      </c>
      <c r="G70" s="4" t="str">
        <f>_xlfn.XLOOKUP($C70,$A$2:$A$74,Sheet1!D$2:D$74)</f>
        <v>Oct 21, 2025</v>
      </c>
      <c r="H70" s="5">
        <f>VALUE(_xlfn.XLOOKUP($C70,$A$2:$A$74,Sheet1!E$2:E$74))</f>
        <v>1.0299999000000001E-2</v>
      </c>
    </row>
    <row r="71" spans="1:8" x14ac:dyDescent="0.2">
      <c r="A71" t="str">
        <f>IFERROR(LEFT(Sheet1!A71, FIND(".", Sheet1!A71) - 1),Sheet1!A71)</f>
        <v>XYZ</v>
      </c>
      <c r="B71" t="s">
        <v>91</v>
      </c>
      <c r="C71" t="str">
        <f t="shared" si="2"/>
        <v>IAG</v>
      </c>
      <c r="E71">
        <f>VALUE(_xlfn.XLOOKUP($C71,$A$2:$A$74,Sheet1!B$2:B$74))</f>
        <v>435.83789999999999</v>
      </c>
      <c r="F71" s="4">
        <f>VALUE(_xlfn.XLOOKUP($C71,$A$2:$A$74,Sheet1!C$2:C$74))</f>
        <v>45834</v>
      </c>
      <c r="G71" s="4">
        <f>_xlfn.XLOOKUP($C71,$A$2:$A$74,Sheet1!D$2:D$74)</f>
        <v>0</v>
      </c>
      <c r="H71" s="5">
        <f>VALUE(_xlfn.XLOOKUP($C71,$A$2:$A$74,Sheet1!E$2:E$74))</f>
        <v>1.9599999999999999E-2</v>
      </c>
    </row>
    <row r="72" spans="1:8" x14ac:dyDescent="0.2">
      <c r="A72" t="str">
        <f>IFERROR(LEFT(Sheet1!A72, FIND(".", Sheet1!A72) - 1),Sheet1!A72)</f>
        <v>THC</v>
      </c>
      <c r="B72" t="s">
        <v>92</v>
      </c>
      <c r="C72" t="str">
        <f t="shared" si="2"/>
        <v>MRNA</v>
      </c>
      <c r="E72">
        <f>VALUE(_xlfn.XLOOKUP($C72,$A$2:$A$74,Sheet1!B$2:B$74))</f>
        <v>44.25</v>
      </c>
      <c r="F72" s="4">
        <f>VALUE(_xlfn.XLOOKUP($C72,$A$2:$A$74,Sheet1!C$2:C$74))</f>
        <v>0</v>
      </c>
      <c r="G72" s="4" t="str">
        <f>_xlfn.XLOOKUP($C72,$A$2:$A$74,Sheet1!D$2:D$74)</f>
        <v>Aug 1, 2025</v>
      </c>
      <c r="H72" s="5">
        <f>VALUE(_xlfn.XLOOKUP($C72,$A$2:$A$74,Sheet1!E$2:E$74))</f>
        <v>0</v>
      </c>
    </row>
    <row r="73" spans="1:8" x14ac:dyDescent="0.2">
      <c r="A73" t="str">
        <f>IFERROR(LEFT(Sheet1!A73, FIND(".", Sheet1!A73) - 1),Sheet1!A73)</f>
        <v>X</v>
      </c>
      <c r="B73" t="s">
        <v>49</v>
      </c>
      <c r="C73" t="str">
        <f t="shared" si="2"/>
        <v>BLNK</v>
      </c>
      <c r="E73">
        <f>VALUE(_xlfn.XLOOKUP($C73,$A$2:$A$74,Sheet1!B$2:B$74))</f>
        <v>2.4</v>
      </c>
      <c r="F73" s="4">
        <f>VALUE(_xlfn.XLOOKUP($C73,$A$2:$A$74,Sheet1!C$2:C$74))</f>
        <v>0</v>
      </c>
      <c r="G73" s="4" t="str">
        <f>_xlfn.XLOOKUP($C73,$A$2:$A$74,Sheet1!D$2:D$74)</f>
        <v>Nov 6, 2025</v>
      </c>
      <c r="H73" s="5">
        <f>VALUE(_xlfn.XLOOKUP($C73,$A$2:$A$74,Sheet1!E$2:E$74))</f>
        <v>0</v>
      </c>
    </row>
    <row r="74" spans="1:8" x14ac:dyDescent="0.2">
      <c r="A74" t="str">
        <f>IFERROR(LEFT(Sheet1!A74, FIND(".", Sheet1!A74) - 1),Sheet1!A74)</f>
        <v>LOCK</v>
      </c>
      <c r="B74" t="s">
        <v>93</v>
      </c>
      <c r="C74" t="str">
        <f t="shared" si="2"/>
        <v>ENI</v>
      </c>
      <c r="E74">
        <f>VALUE(_xlfn.XLOOKUP($C74,$A$2:$A$74,Sheet1!B$2:B$74))</f>
        <v>15.5</v>
      </c>
      <c r="F74" s="4">
        <f>VALUE(_xlfn.XLOOKUP($C74,$A$2:$A$74,Sheet1!C$2:C$74))</f>
        <v>45922</v>
      </c>
      <c r="G74" s="4">
        <f>_xlfn.XLOOKUP($C74,$A$2:$A$74,Sheet1!D$2:D$74)</f>
        <v>0</v>
      </c>
      <c r="H74" s="5">
        <f>VALUE(_xlfn.XLOOKUP($C74,$A$2:$A$74,Sheet1!E$2:E$74))</f>
        <v>7.1100003999999994E-2</v>
      </c>
    </row>
    <row r="75" spans="1:8" x14ac:dyDescent="0.2">
      <c r="A75">
        <f>IF(ISNUMBER(SEARCH(".", Sheet1!A75)),LEFT(Sheet1!A75,LEN(Sheet1!A75)-3),Sheet1!A75)</f>
        <v>0</v>
      </c>
      <c r="B75" t="s">
        <v>94</v>
      </c>
      <c r="C75" t="str">
        <f t="shared" si="2"/>
        <v>EZJ</v>
      </c>
      <c r="E75">
        <f>VALUE(_xlfn.XLOOKUP($C75,$A$2:$A$74,Sheet1!B$2:B$74))</f>
        <v>658.68399999999997</v>
      </c>
      <c r="F75" s="4">
        <f>VALUE(_xlfn.XLOOKUP($C75,$A$2:$A$74,Sheet1!C$2:C$74))</f>
        <v>45708</v>
      </c>
      <c r="G75" s="4">
        <f>_xlfn.XLOOKUP($C75,$A$2:$A$74,Sheet1!D$2:D$74)</f>
        <v>0</v>
      </c>
      <c r="H75" s="5">
        <f>VALUE(_xlfn.XLOOKUP($C75,$A$2:$A$74,Sheet1!E$2:E$74))</f>
        <v>2.5799999000000001E-2</v>
      </c>
    </row>
    <row r="76" spans="1:8" x14ac:dyDescent="0.2">
      <c r="A76">
        <f>IF(ISNUMBER(SEARCH(".", Sheet1!A76)),LEFT(Sheet1!A76,LEN(Sheet1!A76)-3),Sheet1!A76)</f>
        <v>0</v>
      </c>
      <c r="B76" t="s">
        <v>50</v>
      </c>
      <c r="C76" t="str">
        <f t="shared" si="2"/>
        <v>F</v>
      </c>
      <c r="E76">
        <f>VALUE(_xlfn.XLOOKUP($C76,$A$2:$A$74,Sheet1!B$2:B$74))</f>
        <v>10.8</v>
      </c>
      <c r="F76" s="4">
        <f>VALUE(_xlfn.XLOOKUP($C76,$A$2:$A$74,Sheet1!C$2:C$74))</f>
        <v>45880</v>
      </c>
      <c r="G76" s="4" t="str">
        <f>_xlfn.XLOOKUP($C76,$A$2:$A$74,Sheet1!D$2:D$74)</f>
        <v>Oct 29, 2025</v>
      </c>
      <c r="H76" s="5">
        <f>VALUE(_xlfn.XLOOKUP($C76,$A$2:$A$74,Sheet1!E$2:E$74))</f>
        <v>5.11E-2</v>
      </c>
    </row>
    <row r="77" spans="1:8" x14ac:dyDescent="0.2">
      <c r="A77">
        <f>IF(ISNUMBER(SEARCH(".", Sheet1!A77)),LEFT(Sheet1!A77,LEN(Sheet1!A77)-3),Sheet1!A77)</f>
        <v>0</v>
      </c>
      <c r="B77" t="s">
        <v>95</v>
      </c>
      <c r="C77" t="str">
        <f t="shared" si="2"/>
        <v>GLE</v>
      </c>
      <c r="E77">
        <f>VALUE(_xlfn.XLOOKUP($C77,$A$2:$A$74,Sheet1!B$2:B$74))</f>
        <v>61.800559999999997</v>
      </c>
      <c r="F77" s="4">
        <f>VALUE(_xlfn.XLOOKUP($C77,$A$2:$A$74,Sheet1!C$2:C$74))</f>
        <v>45937</v>
      </c>
      <c r="G77" s="4" t="str">
        <f>_xlfn.XLOOKUP($C77,$A$2:$A$74,Sheet1!D$2:D$74)</f>
        <v>Oct 30, 2025</v>
      </c>
      <c r="H77" s="5">
        <f>VALUE(_xlfn.XLOOKUP($C77,$A$2:$A$74,Sheet1!E$2:E$74))</f>
        <v>3.2099999999999997E-2</v>
      </c>
    </row>
    <row r="78" spans="1:8" x14ac:dyDescent="0.2">
      <c r="A78">
        <f>IF(ISNUMBER(SEARCH(".", Sheet1!A78)),LEFT(Sheet1!A78,LEN(Sheet1!A78)-3),Sheet1!A78)</f>
        <v>0</v>
      </c>
      <c r="B78" t="s">
        <v>51</v>
      </c>
      <c r="C78" t="str">
        <f t="shared" si="2"/>
        <v>GNRC</v>
      </c>
      <c r="E78">
        <f>VALUE(_xlfn.XLOOKUP($C78,$A$2:$A$74,Sheet1!B$2:B$74))</f>
        <v>204.5</v>
      </c>
      <c r="F78" s="4">
        <f>VALUE(_xlfn.XLOOKUP($C78,$A$2:$A$74,Sheet1!C$2:C$74))</f>
        <v>41435</v>
      </c>
      <c r="G78" s="4" t="str">
        <f>_xlfn.XLOOKUP($C78,$A$2:$A$74,Sheet1!D$2:D$74)</f>
        <v>Oct 30, 2025</v>
      </c>
      <c r="H78" s="5">
        <f>VALUE(_xlfn.XLOOKUP($C78,$A$2:$A$74,Sheet1!E$2:E$74))</f>
        <v>0</v>
      </c>
    </row>
    <row r="79" spans="1:8" x14ac:dyDescent="0.2">
      <c r="A79">
        <f>IF(ISNUMBER(SEARCH(".", Sheet1!A79)),LEFT(Sheet1!A79,LEN(Sheet1!A79)-3),Sheet1!A79)</f>
        <v>0</v>
      </c>
      <c r="B79" t="s">
        <v>52</v>
      </c>
      <c r="C79" t="str">
        <f t="shared" si="2"/>
        <v>GS</v>
      </c>
      <c r="E79">
        <f>VALUE(_xlfn.XLOOKUP($C79,$A$2:$A$74,Sheet1!B$2:B$74))</f>
        <v>710.57899999999995</v>
      </c>
      <c r="F79" s="4">
        <f>VALUE(_xlfn.XLOOKUP($C79,$A$2:$A$74,Sheet1!C$2:C$74))</f>
        <v>45898</v>
      </c>
      <c r="G79" s="4" t="str">
        <f>_xlfn.XLOOKUP($C79,$A$2:$A$74,Sheet1!D$2:D$74)</f>
        <v>Oct 14, 2025</v>
      </c>
      <c r="H79" s="5">
        <f>VALUE(_xlfn.XLOOKUP($C79,$A$2:$A$74,Sheet1!E$2:E$74))</f>
        <v>2.1700000000000001E-2</v>
      </c>
    </row>
    <row r="80" spans="1:8" x14ac:dyDescent="0.2">
      <c r="A80">
        <f>IF(ISNUMBER(SEARCH(".", Sheet1!A80)),LEFT(Sheet1!A80,LEN(Sheet1!A80)-3),Sheet1!A80)</f>
        <v>0</v>
      </c>
      <c r="B80" t="s">
        <v>53</v>
      </c>
      <c r="C80" t="str">
        <f t="shared" si="2"/>
        <v>LAZR</v>
      </c>
      <c r="E80">
        <f>VALUE(_xlfn.XLOOKUP($C80,$A$2:$A$74,Sheet1!B$2:B$74))</f>
        <v>2.6666699999999999</v>
      </c>
      <c r="F80" s="4">
        <f>VALUE(_xlfn.XLOOKUP($C80,$A$2:$A$74,Sheet1!C$2:C$74))</f>
        <v>0</v>
      </c>
      <c r="G80" s="4" t="str">
        <f>_xlfn.XLOOKUP($C80,$A$2:$A$74,Sheet1!D$2:D$74)</f>
        <v>Aug 12, 2025</v>
      </c>
      <c r="H80" s="5">
        <f>VALUE(_xlfn.XLOOKUP($C80,$A$2:$A$74,Sheet1!E$2:E$74))</f>
        <v>0</v>
      </c>
    </row>
    <row r="81" spans="1:8" x14ac:dyDescent="0.2">
      <c r="A81">
        <f>IF(ISNUMBER(SEARCH(".", Sheet1!A81)),LEFT(Sheet1!A81,LEN(Sheet1!A81)-3),Sheet1!A81)</f>
        <v>0</v>
      </c>
      <c r="B81" t="s">
        <v>54</v>
      </c>
      <c r="C81" t="str">
        <f t="shared" si="2"/>
        <v>LUV</v>
      </c>
      <c r="E81">
        <f>VALUE(_xlfn.XLOOKUP($C81,$A$2:$A$74,Sheet1!B$2:B$74))</f>
        <v>32.06</v>
      </c>
      <c r="F81" s="4">
        <f>VALUE(_xlfn.XLOOKUP($C81,$A$2:$A$74,Sheet1!C$2:C$74))</f>
        <v>45903</v>
      </c>
      <c r="G81" s="4" t="str">
        <f>_xlfn.XLOOKUP($C81,$A$2:$A$74,Sheet1!D$2:D$74)</f>
        <v>Oct 22, 2025</v>
      </c>
      <c r="H81" s="5">
        <f>VALUE(_xlfn.XLOOKUP($C81,$A$2:$A$74,Sheet1!E$2:E$74))</f>
        <v>2.29E-2</v>
      </c>
    </row>
    <row r="82" spans="1:8" x14ac:dyDescent="0.2">
      <c r="A82">
        <f>IF(ISNUMBER(SEARCH(".", Sheet1!A82)),LEFT(Sheet1!A82,LEN(Sheet1!A82)-3),Sheet1!A82)</f>
        <v>0</v>
      </c>
      <c r="B82" t="s">
        <v>55</v>
      </c>
      <c r="C82" t="str">
        <f t="shared" si="2"/>
        <v>MA</v>
      </c>
      <c r="E82">
        <f>VALUE(_xlfn.XLOOKUP($C82,$A$2:$A$74,Sheet1!B$2:B$74))</f>
        <v>644.55150000000003</v>
      </c>
      <c r="F82" s="4">
        <f>VALUE(_xlfn.XLOOKUP($C82,$A$2:$A$74,Sheet1!C$2:C$74))</f>
        <v>45847</v>
      </c>
      <c r="G82" s="4" t="str">
        <f>_xlfn.XLOOKUP($C82,$A$2:$A$74,Sheet1!D$2:D$74)</f>
        <v>Oct 30, 2025</v>
      </c>
      <c r="H82" s="5">
        <f>VALUE(_xlfn.XLOOKUP($C82,$A$2:$A$74,Sheet1!E$2:E$74))</f>
        <v>5.1999999999999998E-3</v>
      </c>
    </row>
    <row r="83" spans="1:8" x14ac:dyDescent="0.2">
      <c r="A83">
        <f>IF(ISNUMBER(SEARCH(".", Sheet1!A83)),LEFT(Sheet1!A83,LEN(Sheet1!A83)-3),Sheet1!A83)</f>
        <v>0</v>
      </c>
      <c r="B83" t="s">
        <v>56</v>
      </c>
      <c r="C83" t="str">
        <f t="shared" si="2"/>
        <v>NVAX</v>
      </c>
      <c r="E83">
        <f>VALUE(_xlfn.XLOOKUP($C83,$A$2:$A$74,Sheet1!B$2:B$74))</f>
        <v>12.5</v>
      </c>
      <c r="F83" s="4">
        <f>VALUE(_xlfn.XLOOKUP($C83,$A$2:$A$74,Sheet1!C$2:C$74))</f>
        <v>0</v>
      </c>
      <c r="G83" s="4" t="str">
        <f>_xlfn.XLOOKUP($C83,$A$2:$A$74,Sheet1!D$2:D$74)</f>
        <v>Aug 6, 2025</v>
      </c>
      <c r="H83" s="5">
        <f>VALUE(_xlfn.XLOOKUP($C83,$A$2:$A$74,Sheet1!E$2:E$74))</f>
        <v>0</v>
      </c>
    </row>
    <row r="84" spans="1:8" x14ac:dyDescent="0.2">
      <c r="A84">
        <f>IF(ISNUMBER(SEARCH(".", Sheet1!A84)),LEFT(Sheet1!A84,LEN(Sheet1!A84)-3),Sheet1!A84)</f>
        <v>0</v>
      </c>
      <c r="B84" t="s">
        <v>57</v>
      </c>
      <c r="C84" t="str">
        <f t="shared" si="2"/>
        <v>NVS</v>
      </c>
      <c r="E84">
        <f>VALUE(_xlfn.XLOOKUP($C84,$A$2:$A$74,Sheet1!B$2:B$74))</f>
        <v>118.545</v>
      </c>
      <c r="F84" s="4">
        <f>VALUE(_xlfn.XLOOKUP($C84,$A$2:$A$74,Sheet1!C$2:C$74))</f>
        <v>45728</v>
      </c>
      <c r="G84" s="4" t="str">
        <f>_xlfn.XLOOKUP($C84,$A$2:$A$74,Sheet1!D$2:D$74)</f>
        <v>Jul 17, 2025</v>
      </c>
      <c r="H84" s="5">
        <f>VALUE(_xlfn.XLOOKUP($C84,$A$2:$A$74,Sheet1!E$2:E$74))</f>
        <v>3.0800000000000001E-2</v>
      </c>
    </row>
    <row r="85" spans="1:8" x14ac:dyDescent="0.2">
      <c r="A85">
        <f>IF(ISNUMBER(SEARCH(".", Sheet1!A85)),LEFT(Sheet1!A85,LEN(Sheet1!A85)-3),Sheet1!A85)</f>
        <v>0</v>
      </c>
      <c r="B85" t="s">
        <v>96</v>
      </c>
      <c r="C85" t="str">
        <f t="shared" si="2"/>
        <v>ORA</v>
      </c>
      <c r="E85">
        <f>VALUE(_xlfn.XLOOKUP($C85,$A$2:$A$74,Sheet1!B$2:B$74))</f>
        <v>14.994440000000001</v>
      </c>
      <c r="F85" s="4">
        <f>VALUE(_xlfn.XLOOKUP($C85,$A$2:$A$74,Sheet1!C$2:C$74))</f>
        <v>45993</v>
      </c>
      <c r="G85" s="4">
        <f>_xlfn.XLOOKUP($C85,$A$2:$A$74,Sheet1!D$2:D$74)</f>
        <v>0</v>
      </c>
      <c r="H85" s="5">
        <f>VALUE(_xlfn.XLOOKUP($C85,$A$2:$A$74,Sheet1!E$2:E$74))</f>
        <v>5.5E-2</v>
      </c>
    </row>
    <row r="86" spans="1:8" x14ac:dyDescent="0.2">
      <c r="A86">
        <f>IF(ISNUMBER(SEARCH(".", Sheet1!A86)),LEFT(Sheet1!A86,LEN(Sheet1!A86)-3),Sheet1!A86)</f>
        <v>0</v>
      </c>
      <c r="B86" t="s">
        <v>58</v>
      </c>
      <c r="C86" t="str">
        <f t="shared" si="2"/>
        <v>OXY</v>
      </c>
      <c r="E86">
        <f>VALUE(_xlfn.XLOOKUP($C86,$A$2:$A$74,Sheet1!B$2:B$74))</f>
        <v>50.78</v>
      </c>
      <c r="F86" s="4">
        <f>VALUE(_xlfn.XLOOKUP($C86,$A$2:$A$74,Sheet1!C$2:C$74))</f>
        <v>45910</v>
      </c>
      <c r="G86" s="4" t="str">
        <f>_xlfn.XLOOKUP($C86,$A$2:$A$74,Sheet1!D$2:D$74)</f>
        <v>Aug 6, 2025</v>
      </c>
      <c r="H86" s="5">
        <f>VALUE(_xlfn.XLOOKUP($C86,$A$2:$A$74,Sheet1!E$2:E$74))</f>
        <v>2.0899999999999998E-2</v>
      </c>
    </row>
    <row r="87" spans="1:8" x14ac:dyDescent="0.2">
      <c r="A87">
        <f>IF(ISNUMBER(SEARCH(".", Sheet1!A87)),LEFT(Sheet1!A87,LEN(Sheet1!A87)-3),Sheet1!A87)</f>
        <v>0</v>
      </c>
      <c r="B87" t="s">
        <v>59</v>
      </c>
      <c r="C87" t="str">
        <f t="shared" si="2"/>
        <v>PFE</v>
      </c>
      <c r="E87">
        <f>VALUE(_xlfn.XLOOKUP($C87,$A$2:$A$74,Sheet1!B$2:B$74))</f>
        <v>28.857140000000001</v>
      </c>
      <c r="F87" s="4">
        <f>VALUE(_xlfn.XLOOKUP($C87,$A$2:$A$74,Sheet1!C$2:C$74))</f>
        <v>45863</v>
      </c>
      <c r="G87" s="4" t="str">
        <f>_xlfn.XLOOKUP($C87,$A$2:$A$74,Sheet1!D$2:D$74)</f>
        <v>Nov 4, 2025</v>
      </c>
      <c r="H87" s="5">
        <f>VALUE(_xlfn.XLOOKUP($C87,$A$2:$A$74,Sheet1!E$2:E$74))</f>
        <v>6.9099999999999995E-2</v>
      </c>
    </row>
    <row r="88" spans="1:8" x14ac:dyDescent="0.2">
      <c r="A88">
        <f>IF(ISNUMBER(SEARCH(".", Sheet1!A88)),LEFT(Sheet1!A88,LEN(Sheet1!A88)-3),Sheet1!A88)</f>
        <v>0</v>
      </c>
      <c r="B88" t="s">
        <v>60</v>
      </c>
      <c r="C88" t="str">
        <f t="shared" si="2"/>
        <v>RIG</v>
      </c>
      <c r="E88">
        <f>VALUE(_xlfn.XLOOKUP($C88,$A$2:$A$74,Sheet1!B$2:B$74))</f>
        <v>3.8769200000000001</v>
      </c>
      <c r="F88" s="4">
        <f>VALUE(_xlfn.XLOOKUP($C88,$A$2:$A$74,Sheet1!C$2:C$74))</f>
        <v>42237</v>
      </c>
      <c r="G88" s="4" t="str">
        <f>_xlfn.XLOOKUP($C88,$A$2:$A$74,Sheet1!D$2:D$74)</f>
        <v>Nov 3, 2025</v>
      </c>
      <c r="H88" s="5">
        <f>VALUE(_xlfn.XLOOKUP($C88,$A$2:$A$74,Sheet1!E$2:E$74))</f>
        <v>0</v>
      </c>
    </row>
    <row r="89" spans="1:8" x14ac:dyDescent="0.2">
      <c r="A89">
        <f>IF(ISNUMBER(SEARCH(".", Sheet1!A89)),LEFT(Sheet1!A89,LEN(Sheet1!A89)-3),Sheet1!A89)</f>
        <v>0</v>
      </c>
      <c r="B89" t="s">
        <v>61</v>
      </c>
      <c r="C89" t="str">
        <f t="shared" si="2"/>
        <v>RRC</v>
      </c>
      <c r="E89">
        <f>VALUE(_xlfn.XLOOKUP($C89,$A$2:$A$74,Sheet1!B$2:B$74))</f>
        <v>42.625</v>
      </c>
      <c r="F89" s="4">
        <f>VALUE(_xlfn.XLOOKUP($C89,$A$2:$A$74,Sheet1!C$2:C$74))</f>
        <v>45912</v>
      </c>
      <c r="G89" s="4" t="str">
        <f>_xlfn.XLOOKUP($C89,$A$2:$A$74,Sheet1!D$2:D$74)</f>
        <v>Oct 21, 2025</v>
      </c>
      <c r="H89" s="5">
        <f>VALUE(_xlfn.XLOOKUP($C89,$A$2:$A$74,Sheet1!E$2:E$74))</f>
        <v>1.04E-2</v>
      </c>
    </row>
    <row r="90" spans="1:8" x14ac:dyDescent="0.2">
      <c r="A90">
        <f>IF(ISNUMBER(SEARCH(".", Sheet1!A90)),LEFT(Sheet1!A90,LEN(Sheet1!A90)-3),Sheet1!A90)</f>
        <v>0</v>
      </c>
      <c r="B90" t="s">
        <v>62</v>
      </c>
      <c r="C90" t="str">
        <f t="shared" si="2"/>
        <v>XYZ</v>
      </c>
      <c r="E90">
        <f>VALUE(_xlfn.XLOOKUP($C90,$A$2:$A$74,Sheet1!B$2:B$74))</f>
        <v>85.644440000000003</v>
      </c>
      <c r="F90" s="4">
        <f>VALUE(_xlfn.XLOOKUP($C90,$A$2:$A$74,Sheet1!C$2:C$74))</f>
        <v>0</v>
      </c>
      <c r="G90" s="4" t="str">
        <f>_xlfn.XLOOKUP($C90,$A$2:$A$74,Sheet1!D$2:D$74)</f>
        <v>Nov 6, 2025</v>
      </c>
      <c r="H90" s="5">
        <f>VALUE(_xlfn.XLOOKUP($C90,$A$2:$A$74,Sheet1!E$2:E$74))</f>
        <v>0</v>
      </c>
    </row>
    <row r="91" spans="1:8" x14ac:dyDescent="0.2">
      <c r="A91">
        <f>IF(ISNUMBER(SEARCH(".", Sheet1!A91)),LEFT(Sheet1!A91,LEN(Sheet1!A91)-3),Sheet1!A91)</f>
        <v>0</v>
      </c>
      <c r="B91" t="s">
        <v>63</v>
      </c>
      <c r="C91" t="str">
        <f t="shared" si="2"/>
        <v>THC</v>
      </c>
      <c r="E91">
        <f>VALUE(_xlfn.XLOOKUP($C91,$A$2:$A$74,Sheet1!B$2:B$74))</f>
        <v>197.52379999999999</v>
      </c>
      <c r="F91" s="4">
        <f>VALUE(_xlfn.XLOOKUP($C91,$A$2:$A$74,Sheet1!C$2:C$74))</f>
        <v>36598</v>
      </c>
      <c r="G91" s="4" t="str">
        <f>_xlfn.XLOOKUP($C91,$A$2:$A$74,Sheet1!D$2:D$74)</f>
        <v>Jul 22, 2025</v>
      </c>
      <c r="H91" s="5">
        <f>VALUE(_xlfn.XLOOKUP($C91,$A$2:$A$74,Sheet1!E$2:E$74))</f>
        <v>0</v>
      </c>
    </row>
    <row r="92" spans="1:8" x14ac:dyDescent="0.2">
      <c r="A92">
        <f>IF(ISNUMBER(SEARCH(".", Sheet1!A92)),LEFT(Sheet1!A92,LEN(Sheet1!A92)-3),Sheet1!A92)</f>
        <v>0</v>
      </c>
      <c r="B92" t="s">
        <v>64</v>
      </c>
      <c r="C92" t="str">
        <f t="shared" si="2"/>
        <v>X</v>
      </c>
      <c r="E92">
        <f>VALUE(_xlfn.XLOOKUP($C92,$A$2:$A$74,Sheet1!B$2:B$74))</f>
        <v>0</v>
      </c>
      <c r="F92" s="4">
        <f>VALUE(_xlfn.XLOOKUP($C92,$A$2:$A$74,Sheet1!C$2:C$74))</f>
        <v>0</v>
      </c>
      <c r="G92" s="4">
        <f>_xlfn.XLOOKUP($C92,$A$2:$A$74,Sheet1!D$2:D$74)</f>
        <v>0</v>
      </c>
      <c r="H92" s="5">
        <f>VALUE(_xlfn.XLOOKUP($C92,$A$2:$A$74,Sheet1!E$2:E$74))</f>
        <v>0</v>
      </c>
    </row>
    <row r="93" spans="1:8" x14ac:dyDescent="0.2">
      <c r="A93">
        <f>IF(ISNUMBER(SEARCH(".", Sheet1!A94)),LEFT(Sheet1!A94,LEN(Sheet1!A94)-3),Sheet1!A94)</f>
        <v>0</v>
      </c>
      <c r="B93" t="s">
        <v>98</v>
      </c>
      <c r="C93" t="str">
        <f>IF(OR(LEFT(B93,3)="MVE",LEFT(B93,3)="SAF"),RIGHT(B93, LEN(B93) - 3),                IF(LEFT(B93,2)="JB",RIGHT(B93,LEN(B93)-2),B93))</f>
        <v>LOCK</v>
      </c>
      <c r="E93">
        <f>VALUE(_xlfn.XLOOKUP($C93,$A$2:$A$74,Sheet1!B$2:B$74))</f>
        <v>0</v>
      </c>
      <c r="F93" s="4">
        <f>VALUE(_xlfn.XLOOKUP($C93,$A$2:$A$74,Sheet1!C$2:C$74))</f>
        <v>0</v>
      </c>
      <c r="G93" s="4">
        <f>_xlfn.XLOOKUP($C93,$A$2:$A$74,Sheet1!D$2:D$74)</f>
        <v>0</v>
      </c>
      <c r="H93" s="5">
        <f>VALUE(_xlfn.XLOOKUP($C93,$A$2:$A$74,Sheet1!E$2:E$74))</f>
        <v>0</v>
      </c>
    </row>
    <row r="94" spans="1:8" x14ac:dyDescent="0.2">
      <c r="A94">
        <f>IF(ISNUMBER(SEARCH(".", Sheet1!A95)),LEFT(Sheet1!A95,LEN(Sheet1!A95)-3),Sheet1!A95)</f>
        <v>0</v>
      </c>
      <c r="B94" t="s">
        <v>102</v>
      </c>
      <c r="C94" t="str">
        <f>IF(OR(LEFT(B94,3)="MVE",LEFT(B94,3)="SAF"),RIGHT(B94, LEN(B94) - 3),                IF(LEFT(B94,2)="JB",RIGHT(B94,LEN(B94)-2),B94))</f>
        <v>ASML</v>
      </c>
      <c r="E94">
        <f>VALUE(_xlfn.XLOOKUP($C94,$A$2:$A$74,Sheet1!B$2:B$74))</f>
        <v>758</v>
      </c>
      <c r="F94" s="4">
        <f>VALUE(_xlfn.XLOOKUP($C94,$A$2:$A$74,Sheet1!C$2:C$74))</f>
        <v>45866</v>
      </c>
      <c r="G94" s="4">
        <f>_xlfn.XLOOKUP($C94,$A$2:$A$74,Sheet1!D$2:D$74)</f>
        <v>0</v>
      </c>
      <c r="H94" s="5">
        <f>VALUE(_xlfn.XLOOKUP($C94,$A$2:$A$74,Sheet1!E$2:E$74))</f>
        <v>9.7999999999999997E-3</v>
      </c>
    </row>
    <row r="95" spans="1:8" x14ac:dyDescent="0.2">
      <c r="A95">
        <f>IF(ISNUMBER(SEARCH(".", Sheet1!A93)),LEFT(Sheet1!A93,LEN(Sheet1!A93)-3),Sheet1!A93)</f>
        <v>0</v>
      </c>
      <c r="B95" t="s">
        <v>97</v>
      </c>
      <c r="C95" t="str">
        <f>IF(OR(LEFT(B95,3)="MVE",LEFT(B95,3)="SAF"),RIGHT(B95, LEN(B95) - 3),                IF(LEFT(B95,2)="JB",RIGHT(B95,LEN(B95)-2),B95))</f>
        <v>EOAN</v>
      </c>
      <c r="E95">
        <f>VALUE(_xlfn.XLOOKUP($C95,$A$2:$A$74,Sheet1!B$2:B$74))</f>
        <v>16.88824</v>
      </c>
      <c r="F95" s="4">
        <f>VALUE(_xlfn.XLOOKUP($C95,$A$2:$A$74,Sheet1!C$2:C$74))</f>
        <v>45793</v>
      </c>
      <c r="G95" s="4">
        <f>_xlfn.XLOOKUP($C95,$A$2:$A$74,Sheet1!D$2:D$74)</f>
        <v>0</v>
      </c>
      <c r="H95" s="5">
        <f>VALUE(_xlfn.XLOOKUP($C95,$A$2:$A$74,Sheet1!E$2:E$74))</f>
        <v>3.6199997999999997E-2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Kosta Yanev</cp:lastModifiedBy>
  <dcterms:created xsi:type="dcterms:W3CDTF">2025-05-26T09:42:11Z</dcterms:created>
  <dcterms:modified xsi:type="dcterms:W3CDTF">2025-09-29T17:19:40Z</dcterms:modified>
</cp:coreProperties>
</file>