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/>
  <mc:AlternateContent xmlns:mc="http://schemas.openxmlformats.org/markup-compatibility/2006">
    <mc:Choice Requires="x15">
      <x15ac:absPath xmlns:x15ac="http://schemas.microsoft.com/office/spreadsheetml/2010/11/ac" url="/Users/kostayanev/NikyClean/"/>
    </mc:Choice>
  </mc:AlternateContent>
  <xr:revisionPtr revIDLastSave="0" documentId="8_{C81918C7-8433-8F46-BE8A-EAA459C399DE}" xr6:coauthVersionLast="47" xr6:coauthVersionMax="47" xr10:uidLastSave="{00000000-0000-0000-0000-000000000000}"/>
  <bookViews>
    <workbookView xWindow="-38400" yWindow="500" windowWidth="38400" windowHeight="19680" xr2:uid="{00000000-000D-0000-FFFF-FFFF00000000}"/>
  </bookViews>
  <sheets>
    <sheet name="Transactions" sheetId="1" r:id="rId1"/>
    <sheet name="Stock" sheetId="2" r:id="rId2"/>
    <sheet name="Log" sheetId="3" r:id="rId3"/>
    <sheet name="SumT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278" i="4" l="1" a="1"/>
  <c r="J1278" i="4" s="1"/>
  <c r="I1278" i="4" a="1"/>
  <c r="I1278" i="4"/>
  <c r="J1277" i="4" a="1"/>
  <c r="J1277" i="4"/>
  <c r="I1277" i="4" a="1"/>
  <c r="I1277" i="4" s="1"/>
  <c r="J1276" i="4" a="1"/>
  <c r="J1276" i="4"/>
  <c r="I1276" i="4" a="1"/>
  <c r="I1276" i="4"/>
  <c r="J1275" i="4" a="1"/>
  <c r="J1275" i="4" s="1"/>
  <c r="I1275" i="4" a="1"/>
  <c r="I1275" i="4"/>
  <c r="J1274" i="4" a="1"/>
  <c r="J1274" i="4"/>
  <c r="I1274" i="4" a="1"/>
  <c r="I1274" i="4" s="1"/>
  <c r="J1273" i="4" a="1"/>
  <c r="J1273" i="4" s="1"/>
  <c r="I1273" i="4" a="1"/>
  <c r="I1273" i="4"/>
  <c r="J1272" i="4" a="1"/>
  <c r="J1272" i="4" s="1"/>
  <c r="I1272" i="4" a="1"/>
  <c r="I1272" i="4" s="1"/>
  <c r="J1271" i="4" a="1"/>
  <c r="J1271" i="4"/>
  <c r="I1271" i="4" a="1"/>
  <c r="I1271" i="4"/>
  <c r="J1270" i="4" a="1"/>
  <c r="J1270" i="4"/>
  <c r="I1270" i="4" a="1"/>
  <c r="I1270" i="4"/>
  <c r="J1269" i="4" a="1"/>
  <c r="J1269" i="4" s="1"/>
  <c r="I1269" i="4" a="1"/>
  <c r="I1269" i="4"/>
  <c r="J1268" i="4" a="1"/>
  <c r="J1268" i="4"/>
  <c r="I1268" i="4" a="1"/>
  <c r="I1268" i="4"/>
  <c r="J1267" i="4" a="1"/>
  <c r="J1267" i="4"/>
  <c r="I1267" i="4" a="1"/>
  <c r="I1267" i="4" s="1"/>
  <c r="J1266" i="4" a="1"/>
  <c r="J1266" i="4" s="1"/>
  <c r="I1266" i="4" a="1"/>
  <c r="I1266" i="4" s="1"/>
  <c r="J1265" i="4" a="1"/>
  <c r="J1265" i="4" s="1"/>
  <c r="I1265" i="4" a="1"/>
  <c r="I1265" i="4"/>
  <c r="J1264" i="4" a="1"/>
  <c r="J1264" i="4" s="1"/>
  <c r="I1264" i="4" a="1"/>
  <c r="I1264" i="4"/>
  <c r="J1263" i="4" a="1"/>
  <c r="J1263" i="4" s="1"/>
  <c r="I1263" i="4" a="1"/>
  <c r="I1263" i="4"/>
  <c r="J1262" i="4" a="1"/>
  <c r="J1262" i="4" s="1"/>
  <c r="I1262" i="4" a="1"/>
  <c r="I1262" i="4"/>
  <c r="J1261" i="4" a="1"/>
  <c r="J1261" i="4"/>
  <c r="I1261" i="4" a="1"/>
  <c r="I1261" i="4"/>
  <c r="J1260" i="4" a="1"/>
  <c r="J1260" i="4" s="1"/>
  <c r="I1260" i="4" a="1"/>
  <c r="I1260" i="4"/>
  <c r="J1259" i="4" a="1"/>
  <c r="J1259" i="4"/>
  <c r="I1259" i="4" a="1"/>
  <c r="I1259" i="4" s="1"/>
  <c r="J1258" i="4" a="1"/>
  <c r="J1258" i="4"/>
  <c r="I1258" i="4" a="1"/>
  <c r="I1258" i="4"/>
  <c r="J1257" i="4" a="1"/>
  <c r="J1257" i="4" s="1"/>
  <c r="I1257" i="4" a="1"/>
  <c r="I1257" i="4" s="1"/>
  <c r="J1256" i="4" a="1"/>
  <c r="J1256" i="4"/>
  <c r="I1256" i="4" a="1"/>
  <c r="I1256" i="4"/>
  <c r="J1255" i="4" a="1"/>
  <c r="J1255" i="4"/>
  <c r="I1255" i="4" a="1"/>
  <c r="I1255" i="4"/>
  <c r="J1254" i="4" a="1"/>
  <c r="J1254" i="4" s="1"/>
  <c r="I1254" i="4" a="1"/>
  <c r="I1254" i="4" s="1"/>
  <c r="J1253" i="4" a="1"/>
  <c r="J1253" i="4"/>
  <c r="I1253" i="4" a="1"/>
  <c r="I1253" i="4"/>
  <c r="J1252" i="4" a="1"/>
  <c r="J1252" i="4" s="1"/>
  <c r="I1252" i="4" a="1"/>
  <c r="I1252" i="4"/>
  <c r="J1251" i="4" a="1"/>
  <c r="J1251" i="4" s="1"/>
  <c r="I1251" i="4" a="1"/>
  <c r="I1251" i="4" s="1"/>
  <c r="J1250" i="4" a="1"/>
  <c r="J1250" i="4" s="1"/>
  <c r="I1250" i="4" a="1"/>
  <c r="I1250" i="4"/>
  <c r="J1249" i="4" a="1"/>
  <c r="J1249" i="4"/>
  <c r="I1249" i="4" a="1"/>
  <c r="I1249" i="4"/>
  <c r="J1248" i="4" a="1"/>
  <c r="J1248" i="4" s="1"/>
  <c r="I1248" i="4" a="1"/>
  <c r="I1248" i="4"/>
  <c r="J1247" i="4" a="1"/>
  <c r="J1247" i="4" s="1"/>
  <c r="I1247" i="4" a="1"/>
  <c r="I1247" i="4"/>
  <c r="J1246" i="4" a="1"/>
  <c r="J1246" i="4"/>
  <c r="I1246" i="4" a="1"/>
  <c r="I1246" i="4" s="1"/>
  <c r="J1245" i="4" a="1"/>
  <c r="J1245" i="4" s="1"/>
  <c r="I1245" i="4" a="1"/>
  <c r="I1245" i="4"/>
  <c r="J1244" i="4" a="1"/>
  <c r="J1244" i="4"/>
  <c r="I1244" i="4" a="1"/>
  <c r="I1244" i="4" s="1"/>
  <c r="J1243" i="4" a="1"/>
  <c r="J1243" i="4" s="1"/>
  <c r="I1243" i="4" a="1"/>
  <c r="I1243" i="4"/>
  <c r="J1242" i="4" a="1"/>
  <c r="J1242" i="4" s="1"/>
  <c r="I1242" i="4" a="1"/>
  <c r="I1242" i="4"/>
  <c r="J1241" i="4" a="1"/>
  <c r="J1241" i="4"/>
  <c r="I1241" i="4" a="1"/>
  <c r="I1241" i="4"/>
  <c r="J1240" i="4" a="1"/>
  <c r="J1240" i="4"/>
  <c r="I1240" i="4" a="1"/>
  <c r="I1240" i="4" s="1"/>
  <c r="J1239" i="4" a="1"/>
  <c r="J1239" i="4" s="1"/>
  <c r="I1239" i="4" a="1"/>
  <c r="I1239" i="4"/>
  <c r="J1238" i="4" a="1"/>
  <c r="J1238" i="4"/>
  <c r="I1238" i="4" a="1"/>
  <c r="I1238" i="4" s="1"/>
  <c r="J1237" i="4" a="1"/>
  <c r="J1237" i="4" s="1"/>
  <c r="I1237" i="4" a="1"/>
  <c r="I1237" i="4"/>
  <c r="J1236" i="4" a="1"/>
  <c r="J1236" i="4" s="1"/>
  <c r="I1236" i="4" a="1"/>
  <c r="I1236" i="4" s="1"/>
  <c r="J1235" i="4" a="1"/>
  <c r="J1235" i="4"/>
  <c r="I1235" i="4" a="1"/>
  <c r="I1235" i="4"/>
  <c r="J1234" i="4" a="1"/>
  <c r="J1234" i="4" s="1"/>
  <c r="I1234" i="4" a="1"/>
  <c r="I1234" i="4"/>
  <c r="J1233" i="4" a="1"/>
  <c r="J1233" i="4" s="1"/>
  <c r="I1233" i="4" a="1"/>
  <c r="I1233" i="4"/>
  <c r="J1232" i="4" a="1"/>
  <c r="J1232" i="4"/>
  <c r="I1232" i="4" a="1"/>
  <c r="I1232" i="4"/>
  <c r="J1231" i="4" a="1"/>
  <c r="J1231" i="4"/>
  <c r="I1231" i="4" a="1"/>
  <c r="I1231" i="4" s="1"/>
  <c r="J1230" i="4" a="1"/>
  <c r="J1230" i="4" s="1"/>
  <c r="I1230" i="4" a="1"/>
  <c r="I1230" i="4"/>
  <c r="J1229" i="4" a="1"/>
  <c r="J1229" i="4" s="1"/>
  <c r="I1229" i="4" a="1"/>
  <c r="I1229" i="4"/>
  <c r="J1228" i="4" a="1"/>
  <c r="J1228" i="4"/>
  <c r="I1228" i="4" a="1"/>
  <c r="I1228" i="4"/>
  <c r="J1227" i="4" a="1"/>
  <c r="J1227" i="4" s="1"/>
  <c r="I1227" i="4" a="1"/>
  <c r="I1227" i="4" s="1"/>
  <c r="J1226" i="4" a="1"/>
  <c r="J1226" i="4"/>
  <c r="I1226" i="4" a="1"/>
  <c r="I1226" i="4"/>
  <c r="J1225" i="4" a="1"/>
  <c r="J1225" i="4"/>
  <c r="I1225" i="4" a="1"/>
  <c r="I1225" i="4"/>
  <c r="J1224" i="4" a="1"/>
  <c r="J1224" i="4" s="1"/>
  <c r="I1224" i="4" a="1"/>
  <c r="I1224" i="4"/>
  <c r="J1223" i="4" a="1"/>
  <c r="J1223" i="4"/>
  <c r="I1223" i="4" a="1"/>
  <c r="I1223" i="4" s="1"/>
  <c r="J1222" i="4" a="1"/>
  <c r="J1222" i="4"/>
  <c r="I1222" i="4" a="1"/>
  <c r="I1222" i="4"/>
  <c r="J1221" i="4" a="1"/>
  <c r="J1221" i="4" s="1"/>
  <c r="I1221" i="4" a="1"/>
  <c r="I1221" i="4" s="1"/>
  <c r="J1220" i="4" a="1"/>
  <c r="J1220" i="4"/>
  <c r="I1220" i="4" a="1"/>
  <c r="I1220" i="4" s="1"/>
  <c r="J1219" i="4" a="1"/>
  <c r="J1219" i="4"/>
  <c r="I1219" i="4" a="1"/>
  <c r="I1219" i="4"/>
  <c r="J1218" i="4" a="1"/>
  <c r="J1218" i="4" s="1"/>
  <c r="I1218" i="4" a="1"/>
  <c r="I1218" i="4"/>
  <c r="J1217" i="4" a="1"/>
  <c r="J1217" i="4"/>
  <c r="I1217" i="4" a="1"/>
  <c r="I1217" i="4"/>
  <c r="J1216" i="4" a="1"/>
  <c r="J1216" i="4" s="1"/>
  <c r="I1216" i="4" a="1"/>
  <c r="I1216" i="4"/>
  <c r="J1215" i="4" a="1"/>
  <c r="J1215" i="4" s="1"/>
  <c r="I1215" i="4" a="1"/>
  <c r="I1215" i="4" s="1"/>
  <c r="J1214" i="4" a="1"/>
  <c r="J1214" i="4" s="1"/>
  <c r="I1214" i="4" a="1"/>
  <c r="I1214" i="4"/>
  <c r="J1213" i="4" a="1"/>
  <c r="J1213" i="4"/>
  <c r="I1213" i="4" a="1"/>
  <c r="I1213" i="4"/>
  <c r="J1212" i="4" a="1"/>
  <c r="J1212" i="4" s="1"/>
  <c r="I1212" i="4" a="1"/>
  <c r="I1212" i="4"/>
  <c r="J1211" i="4" a="1"/>
  <c r="J1211" i="4" s="1"/>
  <c r="I1211" i="4" a="1"/>
  <c r="I1211" i="4"/>
  <c r="J1210" i="4" a="1"/>
  <c r="J1210" i="4"/>
  <c r="I1210" i="4" a="1"/>
  <c r="I1210" i="4" s="1"/>
  <c r="J1209" i="4" a="1"/>
  <c r="J1209" i="4" s="1"/>
  <c r="I1209" i="4" a="1"/>
  <c r="I1209" i="4"/>
  <c r="J1208" i="4" a="1"/>
  <c r="J1208" i="4" s="1"/>
  <c r="I1208" i="4" a="1"/>
  <c r="I1208" i="4" s="1"/>
  <c r="J1207" i="4" a="1"/>
  <c r="J1207" i="4"/>
  <c r="I1207" i="4" a="1"/>
  <c r="I1207" i="4"/>
  <c r="J1206" i="4" a="1"/>
  <c r="J1206" i="4" s="1"/>
  <c r="I1206" i="4" a="1"/>
  <c r="I1206" i="4"/>
  <c r="J1205" i="4" a="1"/>
  <c r="J1205" i="4"/>
  <c r="I1205" i="4" a="1"/>
  <c r="I1205" i="4" s="1"/>
  <c r="J1204" i="4" a="1"/>
  <c r="J1204" i="4"/>
  <c r="I1204" i="4" a="1"/>
  <c r="I1204" i="4"/>
  <c r="J1203" i="4" a="1"/>
  <c r="J1203" i="4" s="1"/>
  <c r="I1203" i="4" a="1"/>
  <c r="I1203" i="4"/>
  <c r="J1202" i="4" a="1"/>
  <c r="J1202" i="4"/>
  <c r="I1202" i="4" a="1"/>
  <c r="I1202" i="4" s="1"/>
  <c r="J1201" i="4" a="1"/>
  <c r="J1201" i="4" s="1"/>
  <c r="I1201" i="4" a="1"/>
  <c r="I1201" i="4" s="1"/>
  <c r="J1200" i="4" a="1"/>
  <c r="J1200" i="4" s="1"/>
  <c r="I1200" i="4" a="1"/>
  <c r="I1200" i="4" s="1"/>
  <c r="J1199" i="4" a="1"/>
  <c r="J1199" i="4"/>
  <c r="I1199" i="4" a="1"/>
  <c r="I1199" i="4" s="1"/>
  <c r="J1198" i="4" a="1"/>
  <c r="J1198" i="4"/>
  <c r="I1198" i="4" a="1"/>
  <c r="I1198" i="4"/>
  <c r="J1197" i="4" a="1"/>
  <c r="J1197" i="4" s="1"/>
  <c r="I1197" i="4" a="1"/>
  <c r="I1197" i="4"/>
  <c r="J1196" i="4" a="1"/>
  <c r="J1196" i="4"/>
  <c r="I1196" i="4" a="1"/>
  <c r="I1196" i="4"/>
  <c r="J1195" i="4" a="1"/>
  <c r="J1195" i="4" s="1"/>
  <c r="I1195" i="4" a="1"/>
  <c r="I1195" i="4" s="1"/>
  <c r="J1194" i="4" a="1"/>
  <c r="J1194" i="4" s="1"/>
  <c r="I1194" i="4" a="1"/>
  <c r="I1194" i="4" s="1"/>
  <c r="J1193" i="4" a="1"/>
  <c r="J1193" i="4" s="1"/>
  <c r="I1193" i="4" a="1"/>
  <c r="I1193" i="4"/>
  <c r="J1192" i="4" a="1"/>
  <c r="J1192" i="4"/>
  <c r="I1192" i="4" a="1"/>
  <c r="I1192" i="4"/>
  <c r="J1191" i="4" a="1"/>
  <c r="J1191" i="4" s="1"/>
  <c r="I1191" i="4" a="1"/>
  <c r="I1191" i="4"/>
  <c r="J1190" i="4" a="1"/>
  <c r="J1190" i="4" s="1"/>
  <c r="I1190" i="4" a="1"/>
  <c r="I1190" i="4"/>
  <c r="J1189" i="4" a="1"/>
  <c r="J1189" i="4"/>
  <c r="I1189" i="4" a="1"/>
  <c r="I1189" i="4" s="1"/>
  <c r="J1188" i="4" a="1"/>
  <c r="J1188" i="4" s="1"/>
  <c r="I1188" i="4" a="1"/>
  <c r="I1188" i="4"/>
  <c r="J1187" i="4" a="1"/>
  <c r="J1187" i="4" s="1"/>
  <c r="I1187" i="4" a="1"/>
  <c r="I1187" i="4" s="1"/>
  <c r="J1186" i="4" a="1"/>
  <c r="J1186" i="4"/>
  <c r="I1186" i="4" a="1"/>
  <c r="I1186" i="4"/>
  <c r="J1185" i="4" a="1"/>
  <c r="J1185" i="4" s="1"/>
  <c r="I1185" i="4" a="1"/>
  <c r="I1185" i="4" s="1"/>
  <c r="J1184" i="4" a="1"/>
  <c r="J1184" i="4" s="1"/>
  <c r="I1184" i="4" a="1"/>
  <c r="I1184" i="4"/>
  <c r="J1183" i="4" a="1"/>
  <c r="J1183" i="4"/>
  <c r="I1183" i="4" a="1"/>
  <c r="I1183" i="4"/>
  <c r="J1182" i="4" a="1"/>
  <c r="J1182" i="4" s="1"/>
  <c r="I1182" i="4" a="1"/>
  <c r="I1182" i="4"/>
  <c r="J1181" i="4" a="1"/>
  <c r="J1181" i="4"/>
  <c r="I1181" i="4" a="1"/>
  <c r="I1181" i="4"/>
  <c r="J1180" i="4" a="1"/>
  <c r="J1180" i="4" s="1"/>
  <c r="I1180" i="4" a="1"/>
  <c r="I1180" i="4"/>
  <c r="J1179" i="4" a="1"/>
  <c r="J1179" i="4" s="1"/>
  <c r="I1179" i="4" a="1"/>
  <c r="I1179" i="4"/>
  <c r="J1178" i="4" a="1"/>
  <c r="J1178" i="4" s="1"/>
  <c r="I1178" i="4" a="1"/>
  <c r="I1178" i="4"/>
  <c r="J1177" i="4" a="1"/>
  <c r="J1177" i="4" s="1"/>
  <c r="I1177" i="4" a="1"/>
  <c r="I1177" i="4"/>
  <c r="J1176" i="4" a="1"/>
  <c r="J1176" i="4" s="1"/>
  <c r="I1176" i="4" a="1"/>
  <c r="I1176" i="4" s="1"/>
  <c r="J1175" i="4" a="1"/>
  <c r="J1175" i="4"/>
  <c r="I1175" i="4" a="1"/>
  <c r="I1175" i="4"/>
  <c r="J1174" i="4" a="1"/>
  <c r="J1174" i="4"/>
  <c r="I1174" i="4" a="1"/>
  <c r="I1174" i="4" s="1"/>
  <c r="J1173" i="4" a="1"/>
  <c r="J1173" i="4" s="1"/>
  <c r="I1173" i="4" a="1"/>
  <c r="I1173" i="4"/>
  <c r="J1172" i="4" a="1"/>
  <c r="J1172" i="4" s="1"/>
  <c r="I1172" i="4" a="1"/>
  <c r="I1172" i="4" s="1"/>
  <c r="J1171" i="4" a="1"/>
  <c r="J1171" i="4"/>
  <c r="I1171" i="4" a="1"/>
  <c r="I1171" i="4"/>
  <c r="J1170" i="4" a="1"/>
  <c r="J1170" i="4" s="1"/>
  <c r="I1170" i="4" a="1"/>
  <c r="I1170" i="4"/>
  <c r="J1169" i="4" a="1"/>
  <c r="J1169" i="4"/>
  <c r="I1169" i="4" a="1"/>
  <c r="I1169" i="4" s="1"/>
  <c r="J1168" i="4" a="1"/>
  <c r="J1168" i="4"/>
  <c r="I1168" i="4" a="1"/>
  <c r="I1168" i="4"/>
  <c r="J1167" i="4" a="1"/>
  <c r="J1167" i="4" s="1"/>
  <c r="I1167" i="4" a="1"/>
  <c r="I1167" i="4"/>
  <c r="J1166" i="4" a="1"/>
  <c r="J1166" i="4"/>
  <c r="I1166" i="4" a="1"/>
  <c r="I1166" i="4"/>
  <c r="J1165" i="4" a="1"/>
  <c r="J1165" i="4" s="1"/>
  <c r="I1165" i="4" a="1"/>
  <c r="I1165" i="4"/>
  <c r="J1164" i="4" a="1"/>
  <c r="J1164" i="4" s="1"/>
  <c r="I1164" i="4" a="1"/>
  <c r="I1164" i="4" s="1"/>
  <c r="J1163" i="4" a="1"/>
  <c r="J1163" i="4"/>
  <c r="I1163" i="4" a="1"/>
  <c r="I1163" i="4"/>
  <c r="J1162" i="4" a="1"/>
  <c r="J1162" i="4" s="1"/>
  <c r="I1162" i="4" a="1"/>
  <c r="I1162" i="4"/>
  <c r="J1161" i="4" a="1"/>
  <c r="J1161" i="4" s="1"/>
  <c r="I1161" i="4" a="1"/>
  <c r="I1161" i="4"/>
  <c r="J1160" i="4" a="1"/>
  <c r="J1160" i="4"/>
  <c r="I1160" i="4" a="1"/>
  <c r="I1160" i="4"/>
  <c r="J1159" i="4" a="1"/>
  <c r="J1159" i="4"/>
  <c r="I1159" i="4" a="1"/>
  <c r="I1159" i="4" s="1"/>
  <c r="J1158" i="4" a="1"/>
  <c r="J1158" i="4" s="1"/>
  <c r="I1158" i="4" a="1"/>
  <c r="I1158" i="4"/>
  <c r="J1157" i="4" a="1"/>
  <c r="J1157" i="4" s="1"/>
  <c r="I1157" i="4" a="1"/>
  <c r="I1157" i="4"/>
  <c r="J1156" i="4" a="1"/>
  <c r="J1156" i="4"/>
  <c r="I1156" i="4" a="1"/>
  <c r="I1156" i="4"/>
  <c r="J1155" i="4" a="1"/>
  <c r="J1155" i="4" s="1"/>
  <c r="I1155" i="4" a="1"/>
  <c r="I1155" i="4"/>
  <c r="J1154" i="4" a="1"/>
  <c r="J1154" i="4"/>
  <c r="I1154" i="4" a="1"/>
  <c r="I1154" i="4"/>
  <c r="J1153" i="4" a="1"/>
  <c r="J1153" i="4"/>
  <c r="I1153" i="4" a="1"/>
  <c r="I1153" i="4" s="1"/>
  <c r="J1152" i="4" a="1"/>
  <c r="J1152" i="4" s="1"/>
  <c r="I1152" i="4" a="1"/>
  <c r="I1152" i="4"/>
  <c r="J1151" i="4" a="1"/>
  <c r="J1151" i="4" s="1"/>
  <c r="I1151" i="4" a="1"/>
  <c r="I1151" i="4" s="1"/>
  <c r="J1150" i="4" a="1"/>
  <c r="J1150" i="4"/>
  <c r="I1150" i="4" a="1"/>
  <c r="I1150" i="4" s="1"/>
  <c r="J1149" i="4" a="1"/>
  <c r="J1149" i="4" s="1"/>
  <c r="I1149" i="4" a="1"/>
  <c r="I1149" i="4" s="1"/>
  <c r="J1148" i="4" a="1"/>
  <c r="J1148" i="4"/>
  <c r="I1148" i="4" a="1"/>
  <c r="I1148" i="4"/>
  <c r="J1147" i="4" a="1"/>
  <c r="J1147" i="4"/>
  <c r="I1147" i="4" a="1"/>
  <c r="I1147" i="4"/>
  <c r="J1146" i="4" a="1"/>
  <c r="J1146" i="4" s="1"/>
  <c r="I1146" i="4" a="1"/>
  <c r="I1146" i="4"/>
  <c r="J1145" i="4" a="1"/>
  <c r="J1145" i="4"/>
  <c r="I1145" i="4" a="1"/>
  <c r="I1145" i="4"/>
  <c r="J1144" i="4" a="1"/>
  <c r="J1144" i="4" s="1"/>
  <c r="I1144" i="4" a="1"/>
  <c r="I1144" i="4"/>
  <c r="J1143" i="4" a="1"/>
  <c r="J1143" i="4" s="1"/>
  <c r="I1143" i="4" a="1"/>
  <c r="I1143" i="4"/>
  <c r="J1142" i="4" a="1"/>
  <c r="J1142" i="4" s="1"/>
  <c r="I1142" i="4" a="1"/>
  <c r="I1142" i="4" s="1"/>
  <c r="J1141" i="4" a="1"/>
  <c r="J1141" i="4"/>
  <c r="I1141" i="4" a="1"/>
  <c r="I1141" i="4"/>
  <c r="J1140" i="4" a="1"/>
  <c r="J1140" i="4" s="1"/>
  <c r="I1140" i="4" a="1"/>
  <c r="I1140" i="4"/>
  <c r="J1139" i="4" a="1"/>
  <c r="J1139" i="4"/>
  <c r="I1139" i="4" a="1"/>
  <c r="I1139" i="4"/>
  <c r="J1138" i="4" a="1"/>
  <c r="J1138" i="4"/>
  <c r="I1138" i="4" a="1"/>
  <c r="I1138" i="4" s="1"/>
  <c r="J1137" i="4" a="1"/>
  <c r="J1137" i="4" s="1"/>
  <c r="I1137" i="4" a="1"/>
  <c r="I1137" i="4"/>
  <c r="J1136" i="4" a="1"/>
  <c r="J1136" i="4"/>
  <c r="I1136" i="4" a="1"/>
  <c r="I1136" i="4" s="1"/>
  <c r="J1135" i="4" a="1"/>
  <c r="J1135" i="4"/>
  <c r="I1135" i="4" a="1"/>
  <c r="I1135" i="4" s="1"/>
  <c r="J1134" i="4" a="1"/>
  <c r="J1134" i="4" s="1"/>
  <c r="I1134" i="4" a="1"/>
  <c r="I1134" i="4"/>
  <c r="J1133" i="4" a="1"/>
  <c r="J1133" i="4" s="1"/>
  <c r="I1133" i="4" a="1"/>
  <c r="I1133" i="4"/>
  <c r="J1132" i="4" a="1"/>
  <c r="J1132" i="4"/>
  <c r="I1132" i="4" a="1"/>
  <c r="I1132" i="4"/>
  <c r="J1131" i="4" a="1"/>
  <c r="J1131" i="4" s="1"/>
  <c r="I1131" i="4" a="1"/>
  <c r="I1131" i="4"/>
  <c r="J1130" i="4" a="1"/>
  <c r="J1130" i="4"/>
  <c r="I1130" i="4" a="1"/>
  <c r="I1130" i="4"/>
  <c r="J1129" i="4" a="1"/>
  <c r="J1129" i="4" s="1"/>
  <c r="I1129" i="4" a="1"/>
  <c r="I1129" i="4"/>
  <c r="J1128" i="4" a="1"/>
  <c r="J1128" i="4" s="1"/>
  <c r="I1128" i="4" a="1"/>
  <c r="I1128" i="4" s="1"/>
  <c r="J1127" i="4" a="1"/>
  <c r="J1127" i="4"/>
  <c r="I1127" i="4" a="1"/>
  <c r="I1127" i="4" s="1"/>
  <c r="J1126" i="4" a="1"/>
  <c r="J1126" i="4" s="1"/>
  <c r="I1126" i="4" a="1"/>
  <c r="I1126" i="4"/>
  <c r="J1125" i="4" a="1"/>
  <c r="J1125" i="4" s="1"/>
  <c r="I1125" i="4" a="1"/>
  <c r="I1125" i="4" s="1"/>
  <c r="J1124" i="4" a="1"/>
  <c r="J1124" i="4"/>
  <c r="I1124" i="4" a="1"/>
  <c r="I1124" i="4"/>
  <c r="J1123" i="4" a="1"/>
  <c r="J1123" i="4" s="1"/>
  <c r="I1123" i="4" a="1"/>
  <c r="I1123" i="4" s="1"/>
  <c r="J1122" i="4" a="1"/>
  <c r="J1122" i="4" s="1"/>
  <c r="I1122" i="4" a="1"/>
  <c r="I1122" i="4"/>
  <c r="J1121" i="4" a="1"/>
  <c r="J1121" i="4" s="1"/>
  <c r="I1121" i="4" a="1"/>
  <c r="I1121" i="4"/>
  <c r="J1120" i="4" a="1"/>
  <c r="J1120" i="4"/>
  <c r="I1120" i="4" a="1"/>
  <c r="I1120" i="4"/>
  <c r="J1119" i="4" a="1"/>
  <c r="J1119" i="4" s="1"/>
  <c r="I1119" i="4" a="1"/>
  <c r="I1119" i="4"/>
  <c r="J1118" i="4" a="1"/>
  <c r="J1118" i="4"/>
  <c r="I1118" i="4" a="1"/>
  <c r="I1118" i="4"/>
  <c r="J1117" i="4" a="1"/>
  <c r="J1117" i="4"/>
  <c r="I1117" i="4" a="1"/>
  <c r="I1117" i="4"/>
  <c r="J1116" i="4" a="1"/>
  <c r="J1116" i="4" s="1"/>
  <c r="I1116" i="4" a="1"/>
  <c r="I1116" i="4"/>
  <c r="J1115" i="4" a="1"/>
  <c r="J1115" i="4"/>
  <c r="I1115" i="4" a="1"/>
  <c r="I1115" i="4" s="1"/>
  <c r="J1114" i="4" a="1"/>
  <c r="J1114" i="4"/>
  <c r="I1114" i="4" a="1"/>
  <c r="I1114" i="4" s="1"/>
  <c r="J1113" i="4" a="1"/>
  <c r="J1113" i="4" s="1"/>
  <c r="I1113" i="4" a="1"/>
  <c r="I1113" i="4" s="1"/>
  <c r="J1112" i="4" a="1"/>
  <c r="J1112" i="4"/>
  <c r="I1112" i="4" a="1"/>
  <c r="I1112" i="4"/>
  <c r="J1111" i="4" a="1"/>
  <c r="J1111" i="4" s="1"/>
  <c r="I1111" i="4" a="1"/>
  <c r="I1111" i="4"/>
  <c r="J1110" i="4" a="1"/>
  <c r="J1110" i="4" s="1"/>
  <c r="I1110" i="4" a="1"/>
  <c r="I1110" i="4" s="1"/>
  <c r="J1109" i="4" a="1"/>
  <c r="J1109" i="4"/>
  <c r="I1109" i="4" a="1"/>
  <c r="I1109" i="4"/>
  <c r="J1108" i="4" a="1"/>
  <c r="J1108" i="4" s="1"/>
  <c r="I1108" i="4" a="1"/>
  <c r="I1108" i="4"/>
  <c r="J1107" i="4" a="1"/>
  <c r="J1107" i="4" s="1"/>
  <c r="I1107" i="4" a="1"/>
  <c r="I1107" i="4"/>
  <c r="J1106" i="4" a="1"/>
  <c r="J1106" i="4" s="1"/>
  <c r="I1106" i="4" a="1"/>
  <c r="I1106" i="4"/>
  <c r="J1105" i="4" a="1"/>
  <c r="J1105" i="4"/>
  <c r="I1105" i="4" a="1"/>
  <c r="I1105" i="4" s="1"/>
  <c r="J1104" i="4" a="1"/>
  <c r="J1104" i="4" s="1"/>
  <c r="I1104" i="4" a="1"/>
  <c r="I1104" i="4"/>
  <c r="J1103" i="4" a="1"/>
  <c r="J1103" i="4"/>
  <c r="I1103" i="4" a="1"/>
  <c r="I1103" i="4"/>
  <c r="J1102" i="4" a="1"/>
  <c r="J1102" i="4"/>
  <c r="I1102" i="4" a="1"/>
  <c r="I1102" i="4" s="1"/>
  <c r="J1101" i="4" a="1"/>
  <c r="J1101" i="4" s="1"/>
  <c r="I1101" i="4" a="1"/>
  <c r="I1101" i="4"/>
  <c r="J1100" i="4" a="1"/>
  <c r="J1100" i="4"/>
  <c r="I1100" i="4" a="1"/>
  <c r="I1100" i="4" s="1"/>
  <c r="J1099" i="4" a="1"/>
  <c r="J1099" i="4"/>
  <c r="I1099" i="4" a="1"/>
  <c r="I1099" i="4" s="1"/>
  <c r="J1098" i="4" a="1"/>
  <c r="J1098" i="4" s="1"/>
  <c r="I1098" i="4" a="1"/>
  <c r="I1098" i="4"/>
  <c r="J1097" i="4" a="1"/>
  <c r="J1097" i="4" s="1"/>
  <c r="I1097" i="4" a="1"/>
  <c r="I1097" i="4"/>
  <c r="J1096" i="4" a="1"/>
  <c r="J1096" i="4"/>
  <c r="I1096" i="4" a="1"/>
  <c r="I1096" i="4"/>
  <c r="J1095" i="4" a="1"/>
  <c r="J1095" i="4" s="1"/>
  <c r="I1095" i="4" a="1"/>
  <c r="I1095" i="4" s="1"/>
  <c r="J1094" i="4" a="1"/>
  <c r="J1094" i="4"/>
  <c r="I1094" i="4" a="1"/>
  <c r="I1094" i="4" s="1"/>
  <c r="J1093" i="4" a="1"/>
  <c r="J1093" i="4" s="1"/>
  <c r="I1093" i="4" a="1"/>
  <c r="I1093" i="4"/>
  <c r="J1092" i="4" a="1"/>
  <c r="J1092" i="4" s="1"/>
  <c r="I1092" i="4" a="1"/>
  <c r="I1092" i="4" s="1"/>
  <c r="J1091" i="4" a="1"/>
  <c r="J1091" i="4"/>
  <c r="I1091" i="4" a="1"/>
  <c r="I1091" i="4"/>
  <c r="J1090" i="4" a="1"/>
  <c r="J1090" i="4" s="1"/>
  <c r="I1090" i="4" a="1"/>
  <c r="I1090" i="4"/>
  <c r="J1089" i="4" a="1"/>
  <c r="J1089" i="4" s="1"/>
  <c r="I1089" i="4" a="1"/>
  <c r="I1089" i="4"/>
  <c r="J1088" i="4" a="1"/>
  <c r="J1088" i="4" s="1"/>
  <c r="I1088" i="4" a="1"/>
  <c r="I1088" i="4"/>
  <c r="J1087" i="4" a="1"/>
  <c r="J1087" i="4"/>
  <c r="I1087" i="4" a="1"/>
  <c r="I1087" i="4" s="1"/>
  <c r="J1086" i="4" a="1"/>
  <c r="J1086" i="4" s="1"/>
  <c r="I1086" i="4" a="1"/>
  <c r="I1086" i="4"/>
  <c r="J1085" i="4" a="1"/>
  <c r="J1085" i="4" s="1"/>
  <c r="I1085" i="4" a="1"/>
  <c r="I1085" i="4"/>
  <c r="J1084" i="4" a="1"/>
  <c r="J1084" i="4"/>
  <c r="I1084" i="4" a="1"/>
  <c r="I1084" i="4"/>
  <c r="J1083" i="4" a="1"/>
  <c r="J1083" i="4" s="1"/>
  <c r="I1083" i="4" a="1"/>
  <c r="I1083" i="4" s="1"/>
  <c r="J1082" i="4" a="1"/>
  <c r="J1082" i="4"/>
  <c r="I1082" i="4" a="1"/>
  <c r="I1082" i="4" s="1"/>
  <c r="J1081" i="4" a="1"/>
  <c r="J1081" i="4"/>
  <c r="I1081" i="4" a="1"/>
  <c r="I1081" i="4"/>
  <c r="J1080" i="4" a="1"/>
  <c r="J1080" i="4" s="1"/>
  <c r="I1080" i="4" a="1"/>
  <c r="I1080" i="4"/>
  <c r="J1079" i="4" a="1"/>
  <c r="J1079" i="4" s="1"/>
  <c r="I1079" i="4" a="1"/>
  <c r="I1079" i="4" s="1"/>
  <c r="J1078" i="4" a="1"/>
  <c r="J1078" i="4"/>
  <c r="I1078" i="4" a="1"/>
  <c r="I1078" i="4"/>
  <c r="J1077" i="4" a="1"/>
  <c r="J1077" i="4" s="1"/>
  <c r="I1077" i="4" a="1"/>
  <c r="I1077" i="4" s="1"/>
  <c r="J1076" i="4" a="1"/>
  <c r="J1076" i="4"/>
  <c r="I1076" i="4" a="1"/>
  <c r="I1076" i="4"/>
  <c r="J1075" i="4" a="1"/>
  <c r="J1075" i="4" s="1"/>
  <c r="I1075" i="4" a="1"/>
  <c r="I1075" i="4"/>
  <c r="J1074" i="4" a="1"/>
  <c r="J1074" i="4" s="1"/>
  <c r="I1074" i="4" a="1"/>
  <c r="I1074" i="4"/>
  <c r="J1073" i="4" a="1"/>
  <c r="J1073" i="4"/>
  <c r="I1073" i="4" a="1"/>
  <c r="I1073" i="4"/>
  <c r="J1072" i="4" a="1"/>
  <c r="J1072" i="4" s="1"/>
  <c r="I1072" i="4" a="1"/>
  <c r="I1072" i="4"/>
  <c r="J1071" i="4" a="1"/>
  <c r="J1071" i="4" s="1"/>
  <c r="I1071" i="4" a="1"/>
  <c r="I1071" i="4"/>
  <c r="J1070" i="4" a="1"/>
  <c r="J1070" i="4" s="1"/>
  <c r="I1070" i="4" a="1"/>
  <c r="I1070" i="4"/>
  <c r="J1069" i="4" a="1"/>
  <c r="J1069" i="4" s="1"/>
  <c r="I1069" i="4" a="1"/>
  <c r="I1069" i="4"/>
  <c r="J1068" i="4" a="1"/>
  <c r="J1068" i="4" s="1"/>
  <c r="I1068" i="4" a="1"/>
  <c r="I1068" i="4" s="1"/>
  <c r="J1067" i="4" a="1"/>
  <c r="J1067" i="4"/>
  <c r="I1067" i="4" a="1"/>
  <c r="I1067" i="4"/>
  <c r="J1066" i="4" a="1"/>
  <c r="J1066" i="4" s="1"/>
  <c r="I1066" i="4" a="1"/>
  <c r="I1066" i="4" s="1"/>
  <c r="J1065" i="4" a="1"/>
  <c r="J1065" i="4" s="1"/>
  <c r="I1065" i="4" a="1"/>
  <c r="I1065" i="4"/>
  <c r="J1064" i="4" a="1"/>
  <c r="J1064" i="4" s="1"/>
  <c r="I1064" i="4" a="1"/>
  <c r="I1064" i="4" s="1"/>
  <c r="J1063" i="4" a="1"/>
  <c r="J1063" i="4"/>
  <c r="I1063" i="4" a="1"/>
  <c r="I1063" i="4"/>
  <c r="J1062" i="4" a="1"/>
  <c r="J1062" i="4" s="1"/>
  <c r="I1062" i="4" a="1"/>
  <c r="I1062" i="4"/>
  <c r="J1061" i="4" a="1"/>
  <c r="J1061" i="4"/>
  <c r="I1061" i="4" a="1"/>
  <c r="I1061" i="4" s="1"/>
  <c r="J1060" i="4" a="1"/>
  <c r="J1060" i="4"/>
  <c r="I1060" i="4" a="1"/>
  <c r="I1060" i="4"/>
  <c r="J1059" i="4" a="1"/>
  <c r="J1059" i="4" s="1"/>
  <c r="I1059" i="4" a="1"/>
  <c r="I1059" i="4"/>
  <c r="J1058" i="4" a="1"/>
  <c r="J1058" i="4"/>
  <c r="I1058" i="4" a="1"/>
  <c r="I1058" i="4"/>
  <c r="J1057" i="4" a="1"/>
  <c r="J1057" i="4" s="1"/>
  <c r="I1057" i="4" a="1"/>
  <c r="I1057" i="4"/>
  <c r="J1056" i="4" a="1"/>
  <c r="J1056" i="4" s="1"/>
  <c r="I1056" i="4" a="1"/>
  <c r="I1056" i="4" s="1"/>
  <c r="J1055" i="4" a="1"/>
  <c r="J1055" i="4"/>
  <c r="I1055" i="4" a="1"/>
  <c r="I1055" i="4"/>
  <c r="J1054" i="4" a="1"/>
  <c r="J1054" i="4"/>
  <c r="I1054" i="4" a="1"/>
  <c r="I1054" i="4"/>
  <c r="J1053" i="4" a="1"/>
  <c r="J1053" i="4" s="1"/>
  <c r="I1053" i="4" a="1"/>
  <c r="I1053" i="4"/>
  <c r="J1052" i="4" a="1"/>
  <c r="J1052" i="4"/>
  <c r="I1052" i="4" a="1"/>
  <c r="I1052" i="4"/>
  <c r="J1051" i="4" a="1"/>
  <c r="J1051" i="4"/>
  <c r="I1051" i="4" a="1"/>
  <c r="I1051" i="4" s="1"/>
  <c r="J1050" i="4" a="1"/>
  <c r="J1050" i="4" s="1"/>
  <c r="I1050" i="4" a="1"/>
  <c r="I1050" i="4"/>
  <c r="J1049" i="4" a="1"/>
  <c r="J1049" i="4" s="1"/>
  <c r="I1049" i="4" a="1"/>
  <c r="I1049" i="4"/>
  <c r="J1048" i="4" a="1"/>
  <c r="J1048" i="4"/>
  <c r="I1048" i="4" a="1"/>
  <c r="I1048" i="4"/>
  <c r="J1047" i="4" a="1"/>
  <c r="J1047" i="4" s="1"/>
  <c r="I1047" i="4" a="1"/>
  <c r="I1047" i="4"/>
  <c r="J1046" i="4" a="1"/>
  <c r="J1046" i="4"/>
  <c r="I1046" i="4" a="1"/>
  <c r="I1046" i="4" s="1"/>
  <c r="J1045" i="4" a="1"/>
  <c r="J1045" i="4"/>
  <c r="I1045" i="4" a="1"/>
  <c r="I1045" i="4"/>
  <c r="J1044" i="4" a="1"/>
  <c r="J1044" i="4" s="1"/>
  <c r="I1044" i="4" a="1"/>
  <c r="I1044" i="4"/>
  <c r="J1043" i="4" a="1"/>
  <c r="J1043" i="4"/>
  <c r="I1043" i="4" a="1"/>
  <c r="I1043" i="4" s="1"/>
  <c r="J1042" i="4" a="1"/>
  <c r="J1042" i="4"/>
  <c r="I1042" i="4" a="1"/>
  <c r="I1042" i="4"/>
  <c r="J1041" i="4" a="1"/>
  <c r="J1041" i="4" s="1"/>
  <c r="I1041" i="4" a="1"/>
  <c r="I1041" i="4" s="1"/>
  <c r="J1040" i="4" a="1"/>
  <c r="J1040" i="4"/>
  <c r="I1040" i="4" a="1"/>
  <c r="I1040" i="4"/>
  <c r="J1039" i="4" a="1"/>
  <c r="J1039" i="4" s="1"/>
  <c r="I1039" i="4" a="1"/>
  <c r="I1039" i="4"/>
  <c r="J1038" i="4" a="1"/>
  <c r="J1038" i="4" s="1"/>
  <c r="I1038" i="4" a="1"/>
  <c r="I1038" i="4"/>
  <c r="J1037" i="4" a="1"/>
  <c r="J1037" i="4"/>
  <c r="I1037" i="4" a="1"/>
  <c r="I1037" i="4"/>
  <c r="J1036" i="4" a="1"/>
  <c r="J1036" i="4" s="1"/>
  <c r="I1036" i="4" a="1"/>
  <c r="I1036" i="4"/>
  <c r="J1035" i="4" a="1"/>
  <c r="J1035" i="4" s="1"/>
  <c r="I1035" i="4" a="1"/>
  <c r="I1035" i="4"/>
  <c r="J1034" i="4" a="1"/>
  <c r="J1034" i="4" s="1"/>
  <c r="I1034" i="4" a="1"/>
  <c r="I1034" i="4"/>
  <c r="J1033" i="4" a="1"/>
  <c r="J1033" i="4" s="1"/>
  <c r="I1033" i="4" a="1"/>
  <c r="I1033" i="4" s="1"/>
  <c r="J1032" i="4" a="1"/>
  <c r="J1032" i="4" s="1"/>
  <c r="I1032" i="4" a="1"/>
  <c r="I1032" i="4"/>
  <c r="J1031" i="4" a="1"/>
  <c r="J1031" i="4"/>
  <c r="I1031" i="4" a="1"/>
  <c r="I1031" i="4"/>
  <c r="J1030" i="4" a="1"/>
  <c r="J1030" i="4"/>
  <c r="I1030" i="4" a="1"/>
  <c r="I1030" i="4" s="1"/>
  <c r="J1029" i="4" a="1"/>
  <c r="J1029" i="4" s="1"/>
  <c r="I1029" i="4" a="1"/>
  <c r="I1029" i="4"/>
  <c r="J1028" i="4" a="1"/>
  <c r="J1028" i="4"/>
  <c r="I1028" i="4" a="1"/>
  <c r="I1028" i="4" s="1"/>
  <c r="J1027" i="4" a="1"/>
  <c r="J1027" i="4"/>
  <c r="I1027" i="4" a="1"/>
  <c r="I1027" i="4" s="1"/>
  <c r="J1026" i="4" a="1"/>
  <c r="J1026" i="4" s="1"/>
  <c r="I1026" i="4" a="1"/>
  <c r="I1026" i="4"/>
  <c r="J1025" i="4" a="1"/>
  <c r="J1025" i="4" s="1"/>
  <c r="I1025" i="4" a="1"/>
  <c r="I1025" i="4"/>
  <c r="J1024" i="4" a="1"/>
  <c r="J1024" i="4"/>
  <c r="I1024" i="4" a="1"/>
  <c r="I1024" i="4"/>
  <c r="J1023" i="4" a="1"/>
  <c r="J1023" i="4" s="1"/>
  <c r="I1023" i="4" a="1"/>
  <c r="I1023" i="4" s="1"/>
  <c r="J1022" i="4" a="1"/>
  <c r="J1022" i="4" s="1"/>
  <c r="I1022" i="4" a="1"/>
  <c r="I1022" i="4"/>
  <c r="J1021" i="4" a="1"/>
  <c r="J1021" i="4"/>
  <c r="I1021" i="4" a="1"/>
  <c r="I1021" i="4"/>
  <c r="J1020" i="4" a="1"/>
  <c r="J1020" i="4" s="1"/>
  <c r="I1020" i="4" a="1"/>
  <c r="I1020" i="4" s="1"/>
  <c r="J1019" i="4" a="1"/>
  <c r="J1019" i="4" s="1"/>
  <c r="I1019" i="4" a="1"/>
  <c r="I1019" i="4" s="1"/>
  <c r="J1018" i="4" a="1"/>
  <c r="J1018" i="4"/>
  <c r="I1018" i="4" a="1"/>
  <c r="I1018" i="4" s="1"/>
  <c r="J1017" i="4" a="1"/>
  <c r="J1017" i="4" s="1"/>
  <c r="I1017" i="4" a="1"/>
  <c r="I1017" i="4" s="1"/>
  <c r="J1016" i="4" a="1"/>
  <c r="J1016" i="4"/>
  <c r="I1016" i="4" a="1"/>
  <c r="I1016" i="4"/>
  <c r="J1015" i="4" a="1"/>
  <c r="J1015" i="4"/>
  <c r="I1015" i="4" a="1"/>
  <c r="I1015" i="4" s="1"/>
  <c r="J1014" i="4" a="1"/>
  <c r="J1014" i="4" s="1"/>
  <c r="I1014" i="4" a="1"/>
  <c r="I1014" i="4" s="1"/>
  <c r="J1013" i="4" a="1"/>
  <c r="J1013" i="4"/>
  <c r="I1013" i="4" a="1"/>
  <c r="I1013" i="4"/>
  <c r="J1012" i="4" a="1"/>
  <c r="J1012" i="4"/>
  <c r="I1012" i="4" a="1"/>
  <c r="I1012" i="4" s="1"/>
  <c r="J1011" i="4" a="1"/>
  <c r="J1011" i="4" s="1"/>
  <c r="I1011" i="4" a="1"/>
  <c r="I1011" i="4" s="1"/>
  <c r="J1010" i="4" a="1"/>
  <c r="J1010" i="4"/>
  <c r="I1010" i="4" a="1"/>
  <c r="I1010" i="4"/>
  <c r="J1009" i="4" a="1"/>
  <c r="J1009" i="4"/>
  <c r="I1009" i="4" a="1"/>
  <c r="I1009" i="4"/>
  <c r="J1008" i="4" a="1"/>
  <c r="J1008" i="4" s="1"/>
  <c r="I1008" i="4" a="1"/>
  <c r="I1008" i="4" s="1"/>
  <c r="J1007" i="4" a="1"/>
  <c r="J1007" i="4"/>
  <c r="I1007" i="4" a="1"/>
  <c r="I1007" i="4"/>
  <c r="J1006" i="4" a="1"/>
  <c r="J1006" i="4"/>
  <c r="I1006" i="4" a="1"/>
  <c r="I1006" i="4"/>
  <c r="J1005" i="4" a="1"/>
  <c r="J1005" i="4" s="1"/>
  <c r="I1005" i="4" a="1"/>
  <c r="I1005" i="4" s="1"/>
  <c r="J1004" i="4" a="1"/>
  <c r="J1004" i="4" s="1"/>
  <c r="I1004" i="4" a="1"/>
  <c r="I1004" i="4"/>
  <c r="J1003" i="4" a="1"/>
  <c r="J1003" i="4"/>
  <c r="I1003" i="4" a="1"/>
  <c r="I1003" i="4"/>
  <c r="J1002" i="4" a="1"/>
  <c r="J1002" i="4" s="1"/>
  <c r="I1002" i="4" a="1"/>
  <c r="I1002" i="4" s="1"/>
  <c r="M1001" i="4"/>
  <c r="J1001" i="4" a="1"/>
  <c r="J1001" i="4" s="1"/>
  <c r="I1001" i="4" a="1"/>
  <c r="I1001" i="4"/>
  <c r="L1001" i="4" s="1"/>
  <c r="H1001" i="4" a="1"/>
  <c r="H1001" i="4" s="1"/>
  <c r="K1001" i="4" s="1"/>
  <c r="J1000" i="4" a="1"/>
  <c r="J1000" i="4"/>
  <c r="M1000" i="4" s="1"/>
  <c r="I1000" i="4" a="1"/>
  <c r="I1000" i="4"/>
  <c r="L1000" i="4" s="1"/>
  <c r="H1000" i="4" a="1"/>
  <c r="H1000" i="4"/>
  <c r="K1000" i="4" s="1"/>
  <c r="M999" i="4"/>
  <c r="L999" i="4"/>
  <c r="K999" i="4"/>
  <c r="J999" i="4" a="1"/>
  <c r="J999" i="4"/>
  <c r="I999" i="4" a="1"/>
  <c r="I999" i="4"/>
  <c r="H999" i="4" a="1"/>
  <c r="H999" i="4"/>
  <c r="K998" i="4"/>
  <c r="J998" i="4" a="1"/>
  <c r="J998" i="4"/>
  <c r="M998" i="4" s="1"/>
  <c r="I998" i="4" a="1"/>
  <c r="I998" i="4" s="1"/>
  <c r="L998" i="4" s="1"/>
  <c r="H998" i="4" a="1"/>
  <c r="H998" i="4" s="1"/>
  <c r="M997" i="4"/>
  <c r="L997" i="4"/>
  <c r="K997" i="4"/>
  <c r="J997" i="4" a="1"/>
  <c r="J997" i="4" s="1"/>
  <c r="I997" i="4" a="1"/>
  <c r="I997" i="4"/>
  <c r="H997" i="4" a="1"/>
  <c r="H997" i="4"/>
  <c r="J996" i="4" a="1"/>
  <c r="J996" i="4"/>
  <c r="M996" i="4" s="1"/>
  <c r="I996" i="4" a="1"/>
  <c r="I996" i="4"/>
  <c r="L996" i="4" s="1"/>
  <c r="H996" i="4" a="1"/>
  <c r="H996" i="4"/>
  <c r="K996" i="4" s="1"/>
  <c r="M995" i="4"/>
  <c r="J995" i="4" a="1"/>
  <c r="J995" i="4"/>
  <c r="I995" i="4" a="1"/>
  <c r="I995" i="4"/>
  <c r="L995" i="4" s="1"/>
  <c r="H995" i="4" a="1"/>
  <c r="H995" i="4" s="1"/>
  <c r="K995" i="4" s="1"/>
  <c r="K994" i="4"/>
  <c r="J994" i="4" a="1"/>
  <c r="J994" i="4" s="1"/>
  <c r="M994" i="4" s="1"/>
  <c r="I994" i="4" a="1"/>
  <c r="I994" i="4" s="1"/>
  <c r="L994" i="4" s="1"/>
  <c r="H994" i="4" a="1"/>
  <c r="H994" i="4" s="1"/>
  <c r="L993" i="4"/>
  <c r="K993" i="4"/>
  <c r="J993" i="4" a="1"/>
  <c r="J993" i="4" s="1"/>
  <c r="M993" i="4" s="1"/>
  <c r="I993" i="4" a="1"/>
  <c r="I993" i="4" s="1"/>
  <c r="H993" i="4" a="1"/>
  <c r="H993" i="4"/>
  <c r="J992" i="4" a="1"/>
  <c r="J992" i="4" s="1"/>
  <c r="M992" i="4" s="1"/>
  <c r="I992" i="4" a="1"/>
  <c r="I992" i="4"/>
  <c r="L992" i="4" s="1"/>
  <c r="H992" i="4" a="1"/>
  <c r="H992" i="4"/>
  <c r="K992" i="4" s="1"/>
  <c r="M991" i="4"/>
  <c r="J991" i="4" a="1"/>
  <c r="J991" i="4"/>
  <c r="I991" i="4" a="1"/>
  <c r="I991" i="4"/>
  <c r="L991" i="4" s="1"/>
  <c r="H991" i="4" a="1"/>
  <c r="H991" i="4" s="1"/>
  <c r="K991" i="4" s="1"/>
  <c r="J990" i="4" a="1"/>
  <c r="J990" i="4" s="1"/>
  <c r="M990" i="4" s="1"/>
  <c r="I990" i="4" a="1"/>
  <c r="I990" i="4" s="1"/>
  <c r="L990" i="4" s="1"/>
  <c r="H990" i="4" a="1"/>
  <c r="H990" i="4" s="1"/>
  <c r="K990" i="4" s="1"/>
  <c r="L989" i="4"/>
  <c r="K989" i="4"/>
  <c r="J989" i="4" a="1"/>
  <c r="J989" i="4" s="1"/>
  <c r="M989" i="4" s="1"/>
  <c r="I989" i="4" a="1"/>
  <c r="I989" i="4" s="1"/>
  <c r="H989" i="4" a="1"/>
  <c r="H989" i="4"/>
  <c r="J988" i="4" a="1"/>
  <c r="J988" i="4"/>
  <c r="M988" i="4" s="1"/>
  <c r="I988" i="4" a="1"/>
  <c r="I988" i="4" s="1"/>
  <c r="L988" i="4" s="1"/>
  <c r="H988" i="4" a="1"/>
  <c r="H988" i="4"/>
  <c r="K988" i="4" s="1"/>
  <c r="M987" i="4"/>
  <c r="L987" i="4"/>
  <c r="J987" i="4" a="1"/>
  <c r="J987" i="4"/>
  <c r="I987" i="4" a="1"/>
  <c r="I987" i="4"/>
  <c r="H987" i="4" a="1"/>
  <c r="H987" i="4"/>
  <c r="K987" i="4" s="1"/>
  <c r="J986" i="4" a="1"/>
  <c r="J986" i="4"/>
  <c r="M986" i="4" s="1"/>
  <c r="I986" i="4" a="1"/>
  <c r="I986" i="4" s="1"/>
  <c r="L986" i="4" s="1"/>
  <c r="H986" i="4" a="1"/>
  <c r="H986" i="4" s="1"/>
  <c r="K986" i="4" s="1"/>
  <c r="J985" i="4" a="1"/>
  <c r="J985" i="4" s="1"/>
  <c r="M985" i="4" s="1"/>
  <c r="I985" i="4" a="1"/>
  <c r="I985" i="4"/>
  <c r="L985" i="4" s="1"/>
  <c r="H985" i="4" a="1"/>
  <c r="H985" i="4" s="1"/>
  <c r="K985" i="4" s="1"/>
  <c r="J984" i="4" a="1"/>
  <c r="J984" i="4" s="1"/>
  <c r="M984" i="4" s="1"/>
  <c r="I984" i="4" a="1"/>
  <c r="I984" i="4" s="1"/>
  <c r="L984" i="4" s="1"/>
  <c r="H984" i="4" a="1"/>
  <c r="H984" i="4"/>
  <c r="K984" i="4" s="1"/>
  <c r="M983" i="4"/>
  <c r="J983" i="4" a="1"/>
  <c r="J983" i="4"/>
  <c r="I983" i="4" a="1"/>
  <c r="I983" i="4"/>
  <c r="L983" i="4" s="1"/>
  <c r="H983" i="4" a="1"/>
  <c r="H983" i="4"/>
  <c r="K983" i="4" s="1"/>
  <c r="M982" i="4"/>
  <c r="J982" i="4" a="1"/>
  <c r="J982" i="4"/>
  <c r="I982" i="4" a="1"/>
  <c r="I982" i="4" s="1"/>
  <c r="L982" i="4" s="1"/>
  <c r="H982" i="4" a="1"/>
  <c r="H982" i="4" s="1"/>
  <c r="K982" i="4" s="1"/>
  <c r="J981" i="4" a="1"/>
  <c r="J981" i="4" s="1"/>
  <c r="M981" i="4" s="1"/>
  <c r="I981" i="4" a="1"/>
  <c r="I981" i="4"/>
  <c r="L981" i="4" s="1"/>
  <c r="H981" i="4" a="1"/>
  <c r="H981" i="4" s="1"/>
  <c r="K981" i="4" s="1"/>
  <c r="J980" i="4" a="1"/>
  <c r="J980" i="4" s="1"/>
  <c r="M980" i="4" s="1"/>
  <c r="I980" i="4" a="1"/>
  <c r="I980" i="4"/>
  <c r="L980" i="4" s="1"/>
  <c r="H980" i="4" a="1"/>
  <c r="H980" i="4"/>
  <c r="K980" i="4" s="1"/>
  <c r="L979" i="4"/>
  <c r="J979" i="4" a="1"/>
  <c r="J979" i="4" s="1"/>
  <c r="M979" i="4" s="1"/>
  <c r="I979" i="4" a="1"/>
  <c r="I979" i="4"/>
  <c r="H979" i="4" a="1"/>
  <c r="H979" i="4" s="1"/>
  <c r="K979" i="4" s="1"/>
  <c r="K978" i="4"/>
  <c r="J978" i="4" a="1"/>
  <c r="J978" i="4"/>
  <c r="M978" i="4" s="1"/>
  <c r="I978" i="4" a="1"/>
  <c r="I978" i="4" s="1"/>
  <c r="L978" i="4" s="1"/>
  <c r="H978" i="4" a="1"/>
  <c r="H978" i="4" s="1"/>
  <c r="M977" i="4"/>
  <c r="J977" i="4" a="1"/>
  <c r="J977" i="4" s="1"/>
  <c r="I977" i="4" a="1"/>
  <c r="I977" i="4" s="1"/>
  <c r="L977" i="4" s="1"/>
  <c r="H977" i="4" a="1"/>
  <c r="H977" i="4" s="1"/>
  <c r="K977" i="4" s="1"/>
  <c r="J976" i="4" a="1"/>
  <c r="J976" i="4" s="1"/>
  <c r="M976" i="4" s="1"/>
  <c r="I976" i="4" a="1"/>
  <c r="I976" i="4"/>
  <c r="L976" i="4" s="1"/>
  <c r="H976" i="4" a="1"/>
  <c r="H976" i="4"/>
  <c r="K976" i="4" s="1"/>
  <c r="M975" i="4"/>
  <c r="J975" i="4" a="1"/>
  <c r="J975" i="4" s="1"/>
  <c r="I975" i="4" a="1"/>
  <c r="I975" i="4"/>
  <c r="L975" i="4" s="1"/>
  <c r="H975" i="4" a="1"/>
  <c r="H975" i="4"/>
  <c r="K975" i="4" s="1"/>
  <c r="K974" i="4"/>
  <c r="J974" i="4" a="1"/>
  <c r="J974" i="4"/>
  <c r="M974" i="4" s="1"/>
  <c r="I974" i="4" a="1"/>
  <c r="I974" i="4" s="1"/>
  <c r="L974" i="4" s="1"/>
  <c r="H974" i="4" a="1"/>
  <c r="H974" i="4" s="1"/>
  <c r="K973" i="4"/>
  <c r="J973" i="4" a="1"/>
  <c r="J973" i="4" s="1"/>
  <c r="M973" i="4" s="1"/>
  <c r="I973" i="4" a="1"/>
  <c r="I973" i="4"/>
  <c r="L973" i="4" s="1"/>
  <c r="H973" i="4" a="1"/>
  <c r="H973" i="4"/>
  <c r="J972" i="4" a="1"/>
  <c r="J972" i="4" s="1"/>
  <c r="M972" i="4" s="1"/>
  <c r="I972" i="4" a="1"/>
  <c r="I972" i="4" s="1"/>
  <c r="L972" i="4" s="1"/>
  <c r="H972" i="4" a="1"/>
  <c r="H972" i="4"/>
  <c r="K972" i="4" s="1"/>
  <c r="M971" i="4"/>
  <c r="L971" i="4"/>
  <c r="J971" i="4" a="1"/>
  <c r="J971" i="4" s="1"/>
  <c r="I971" i="4" a="1"/>
  <c r="I971" i="4"/>
  <c r="H971" i="4" a="1"/>
  <c r="H971" i="4"/>
  <c r="K971" i="4" s="1"/>
  <c r="M970" i="4"/>
  <c r="J970" i="4" a="1"/>
  <c r="J970" i="4" s="1"/>
  <c r="I970" i="4" a="1"/>
  <c r="I970" i="4" s="1"/>
  <c r="L970" i="4" s="1"/>
  <c r="H970" i="4" a="1"/>
  <c r="H970" i="4" s="1"/>
  <c r="K970" i="4" s="1"/>
  <c r="M969" i="4"/>
  <c r="L969" i="4"/>
  <c r="J969" i="4" a="1"/>
  <c r="J969" i="4" s="1"/>
  <c r="I969" i="4" a="1"/>
  <c r="I969" i="4" s="1"/>
  <c r="H969" i="4" a="1"/>
  <c r="H969" i="4" s="1"/>
  <c r="K969" i="4" s="1"/>
  <c r="J968" i="4" a="1"/>
  <c r="J968" i="4" s="1"/>
  <c r="M968" i="4" s="1"/>
  <c r="I968" i="4" a="1"/>
  <c r="I968" i="4"/>
  <c r="L968" i="4" s="1"/>
  <c r="H968" i="4" a="1"/>
  <c r="H968" i="4"/>
  <c r="K968" i="4" s="1"/>
  <c r="L967" i="4"/>
  <c r="K967" i="4"/>
  <c r="J967" i="4" a="1"/>
  <c r="J967" i="4" s="1"/>
  <c r="M967" i="4" s="1"/>
  <c r="I967" i="4" a="1"/>
  <c r="I967" i="4"/>
  <c r="H967" i="4" a="1"/>
  <c r="H967" i="4" s="1"/>
  <c r="J966" i="4" a="1"/>
  <c r="J966" i="4"/>
  <c r="M966" i="4" s="1"/>
  <c r="I966" i="4" a="1"/>
  <c r="I966" i="4" s="1"/>
  <c r="L966" i="4" s="1"/>
  <c r="H966" i="4" a="1"/>
  <c r="H966" i="4" s="1"/>
  <c r="K966" i="4" s="1"/>
  <c r="M965" i="4"/>
  <c r="L965" i="4"/>
  <c r="K965" i="4"/>
  <c r="J965" i="4" a="1"/>
  <c r="J965" i="4" s="1"/>
  <c r="I965" i="4" a="1"/>
  <c r="I965" i="4" s="1"/>
  <c r="H965" i="4" a="1"/>
  <c r="H965" i="4"/>
  <c r="J964" i="4" a="1"/>
  <c r="J964" i="4"/>
  <c r="M964" i="4" s="1"/>
  <c r="I964" i="4" a="1"/>
  <c r="I964" i="4"/>
  <c r="L964" i="4" s="1"/>
  <c r="H964" i="4" a="1"/>
  <c r="H964" i="4"/>
  <c r="K964" i="4" s="1"/>
  <c r="M963" i="4"/>
  <c r="J963" i="4" a="1"/>
  <c r="J963" i="4"/>
  <c r="I963" i="4" a="1"/>
  <c r="I963" i="4"/>
  <c r="L963" i="4" s="1"/>
  <c r="H963" i="4" a="1"/>
  <c r="H963" i="4" s="1"/>
  <c r="K963" i="4" s="1"/>
  <c r="K962" i="4"/>
  <c r="J962" i="4" a="1"/>
  <c r="J962" i="4" s="1"/>
  <c r="M962" i="4" s="1"/>
  <c r="I962" i="4" a="1"/>
  <c r="I962" i="4" s="1"/>
  <c r="L962" i="4" s="1"/>
  <c r="H962" i="4" a="1"/>
  <c r="H962" i="4" s="1"/>
  <c r="L961" i="4"/>
  <c r="K961" i="4"/>
  <c r="J961" i="4" a="1"/>
  <c r="J961" i="4" s="1"/>
  <c r="M961" i="4" s="1"/>
  <c r="I961" i="4" a="1"/>
  <c r="I961" i="4" s="1"/>
  <c r="H961" i="4" a="1"/>
  <c r="H961" i="4"/>
  <c r="J960" i="4" a="1"/>
  <c r="J960" i="4" s="1"/>
  <c r="M960" i="4" s="1"/>
  <c r="I960" i="4" a="1"/>
  <c r="I960" i="4"/>
  <c r="L960" i="4" s="1"/>
  <c r="H960" i="4" a="1"/>
  <c r="H960" i="4"/>
  <c r="K960" i="4" s="1"/>
  <c r="M959" i="4"/>
  <c r="L959" i="4"/>
  <c r="J959" i="4" a="1"/>
  <c r="J959" i="4" s="1"/>
  <c r="I959" i="4" a="1"/>
  <c r="I959" i="4"/>
  <c r="H959" i="4" a="1"/>
  <c r="H959" i="4"/>
  <c r="K959" i="4" s="1"/>
  <c r="J958" i="4" a="1"/>
  <c r="J958" i="4"/>
  <c r="M958" i="4" s="1"/>
  <c r="I958" i="4" a="1"/>
  <c r="I958" i="4" s="1"/>
  <c r="L958" i="4" s="1"/>
  <c r="H958" i="4" a="1"/>
  <c r="H958" i="4" s="1"/>
  <c r="K958" i="4" s="1"/>
  <c r="M957" i="4"/>
  <c r="K957" i="4"/>
  <c r="J957" i="4" a="1"/>
  <c r="J957" i="4" s="1"/>
  <c r="I957" i="4" a="1"/>
  <c r="I957" i="4" s="1"/>
  <c r="L957" i="4" s="1"/>
  <c r="H957" i="4" a="1"/>
  <c r="H957" i="4"/>
  <c r="J956" i="4" a="1"/>
  <c r="J956" i="4"/>
  <c r="M956" i="4" s="1"/>
  <c r="I956" i="4" a="1"/>
  <c r="I956" i="4"/>
  <c r="L956" i="4" s="1"/>
  <c r="H956" i="4" a="1"/>
  <c r="H956" i="4"/>
  <c r="K956" i="4" s="1"/>
  <c r="M955" i="4"/>
  <c r="L955" i="4"/>
  <c r="J955" i="4" a="1"/>
  <c r="J955" i="4" s="1"/>
  <c r="I955" i="4" a="1"/>
  <c r="I955" i="4"/>
  <c r="H955" i="4" a="1"/>
  <c r="H955" i="4"/>
  <c r="K955" i="4" s="1"/>
  <c r="K954" i="4"/>
  <c r="J954" i="4" a="1"/>
  <c r="J954" i="4" s="1"/>
  <c r="M954" i="4" s="1"/>
  <c r="I954" i="4" a="1"/>
  <c r="I954" i="4" s="1"/>
  <c r="L954" i="4" s="1"/>
  <c r="H954" i="4" a="1"/>
  <c r="H954" i="4" s="1"/>
  <c r="M953" i="4"/>
  <c r="J953" i="4" a="1"/>
  <c r="J953" i="4" s="1"/>
  <c r="I953" i="4" a="1"/>
  <c r="I953" i="4"/>
  <c r="L953" i="4" s="1"/>
  <c r="H953" i="4" a="1"/>
  <c r="H953" i="4"/>
  <c r="K953" i="4" s="1"/>
  <c r="J952" i="4" a="1"/>
  <c r="J952" i="4" s="1"/>
  <c r="M952" i="4" s="1"/>
  <c r="I952" i="4" a="1"/>
  <c r="I952" i="4"/>
  <c r="L952" i="4" s="1"/>
  <c r="H952" i="4" a="1"/>
  <c r="H952" i="4"/>
  <c r="K952" i="4" s="1"/>
  <c r="J951" i="4" a="1"/>
  <c r="J951" i="4" s="1"/>
  <c r="M951" i="4" s="1"/>
  <c r="I951" i="4" a="1"/>
  <c r="I951" i="4"/>
  <c r="L951" i="4" s="1"/>
  <c r="H951" i="4" a="1"/>
  <c r="H951" i="4" s="1"/>
  <c r="K951" i="4" s="1"/>
  <c r="K950" i="4"/>
  <c r="J950" i="4" a="1"/>
  <c r="J950" i="4" s="1"/>
  <c r="M950" i="4" s="1"/>
  <c r="I950" i="4" a="1"/>
  <c r="I950" i="4" s="1"/>
  <c r="L950" i="4" s="1"/>
  <c r="H950" i="4" a="1"/>
  <c r="H950" i="4" s="1"/>
  <c r="L949" i="4"/>
  <c r="K949" i="4"/>
  <c r="J949" i="4" a="1"/>
  <c r="J949" i="4" s="1"/>
  <c r="M949" i="4" s="1"/>
  <c r="I949" i="4" a="1"/>
  <c r="I949" i="4" s="1"/>
  <c r="H949" i="4" a="1"/>
  <c r="H949" i="4"/>
  <c r="J948" i="4" a="1"/>
  <c r="J948" i="4"/>
  <c r="M948" i="4" s="1"/>
  <c r="I948" i="4" a="1"/>
  <c r="I948" i="4"/>
  <c r="L948" i="4" s="1"/>
  <c r="H948" i="4" a="1"/>
  <c r="H948" i="4"/>
  <c r="K948" i="4" s="1"/>
  <c r="M947" i="4"/>
  <c r="L947" i="4"/>
  <c r="J947" i="4" a="1"/>
  <c r="J947" i="4" s="1"/>
  <c r="I947" i="4" a="1"/>
  <c r="I947" i="4"/>
  <c r="H947" i="4" a="1"/>
  <c r="H947" i="4" s="1"/>
  <c r="K947" i="4" s="1"/>
  <c r="J946" i="4" a="1"/>
  <c r="J946" i="4"/>
  <c r="M946" i="4" s="1"/>
  <c r="I946" i="4" a="1"/>
  <c r="I946" i="4" s="1"/>
  <c r="L946" i="4" s="1"/>
  <c r="H946" i="4" a="1"/>
  <c r="H946" i="4" s="1"/>
  <c r="K946" i="4" s="1"/>
  <c r="M945" i="4"/>
  <c r="K945" i="4"/>
  <c r="J945" i="4" a="1"/>
  <c r="J945" i="4" s="1"/>
  <c r="I945" i="4" a="1"/>
  <c r="I945" i="4" s="1"/>
  <c r="L945" i="4" s="1"/>
  <c r="H945" i="4" a="1"/>
  <c r="H945" i="4"/>
  <c r="J944" i="4" a="1"/>
  <c r="J944" i="4"/>
  <c r="M944" i="4" s="1"/>
  <c r="I944" i="4" a="1"/>
  <c r="I944" i="4"/>
  <c r="L944" i="4" s="1"/>
  <c r="H944" i="4" a="1"/>
  <c r="H944" i="4"/>
  <c r="K944" i="4" s="1"/>
  <c r="M943" i="4"/>
  <c r="L943" i="4"/>
  <c r="J943" i="4" a="1"/>
  <c r="J943" i="4"/>
  <c r="I943" i="4" a="1"/>
  <c r="I943" i="4"/>
  <c r="H943" i="4" a="1"/>
  <c r="H943" i="4" s="1"/>
  <c r="K943" i="4" s="1"/>
  <c r="K942" i="4"/>
  <c r="J942" i="4" a="1"/>
  <c r="J942" i="4"/>
  <c r="M942" i="4" s="1"/>
  <c r="I942" i="4" a="1"/>
  <c r="I942" i="4" s="1"/>
  <c r="L942" i="4" s="1"/>
  <c r="H942" i="4" a="1"/>
  <c r="H942" i="4" s="1"/>
  <c r="M941" i="4"/>
  <c r="J941" i="4" a="1"/>
  <c r="J941" i="4" s="1"/>
  <c r="I941" i="4" a="1"/>
  <c r="I941" i="4"/>
  <c r="L941" i="4" s="1"/>
  <c r="H941" i="4" a="1"/>
  <c r="H941" i="4" s="1"/>
  <c r="K941" i="4" s="1"/>
  <c r="J940" i="4" a="1"/>
  <c r="J940" i="4"/>
  <c r="M940" i="4" s="1"/>
  <c r="I940" i="4" a="1"/>
  <c r="I940" i="4"/>
  <c r="L940" i="4" s="1"/>
  <c r="H940" i="4" a="1"/>
  <c r="H940" i="4"/>
  <c r="K940" i="4" s="1"/>
  <c r="J939" i="4" a="1"/>
  <c r="J939" i="4" s="1"/>
  <c r="M939" i="4" s="1"/>
  <c r="I939" i="4" a="1"/>
  <c r="I939" i="4"/>
  <c r="L939" i="4" s="1"/>
  <c r="H939" i="4" a="1"/>
  <c r="H939" i="4"/>
  <c r="K939" i="4" s="1"/>
  <c r="M938" i="4"/>
  <c r="K938" i="4"/>
  <c r="J938" i="4" a="1"/>
  <c r="J938" i="4" s="1"/>
  <c r="I938" i="4" a="1"/>
  <c r="I938" i="4" s="1"/>
  <c r="L938" i="4" s="1"/>
  <c r="H938" i="4" a="1"/>
  <c r="H938" i="4" s="1"/>
  <c r="J937" i="4" a="1"/>
  <c r="J937" i="4" s="1"/>
  <c r="M937" i="4" s="1"/>
  <c r="I937" i="4" a="1"/>
  <c r="I937" i="4"/>
  <c r="L937" i="4" s="1"/>
  <c r="H937" i="4" a="1"/>
  <c r="H937" i="4"/>
  <c r="K937" i="4" s="1"/>
  <c r="J936" i="4" a="1"/>
  <c r="J936" i="4" s="1"/>
  <c r="M936" i="4" s="1"/>
  <c r="I936" i="4" a="1"/>
  <c r="I936" i="4" s="1"/>
  <c r="L936" i="4" s="1"/>
  <c r="H936" i="4" a="1"/>
  <c r="H936" i="4"/>
  <c r="K936" i="4" s="1"/>
  <c r="J935" i="4" a="1"/>
  <c r="J935" i="4" s="1"/>
  <c r="M935" i="4" s="1"/>
  <c r="I935" i="4" a="1"/>
  <c r="I935" i="4"/>
  <c r="L935" i="4" s="1"/>
  <c r="H935" i="4" a="1"/>
  <c r="H935" i="4" s="1"/>
  <c r="K935" i="4" s="1"/>
  <c r="J934" i="4" a="1"/>
  <c r="J934" i="4"/>
  <c r="M934" i="4" s="1"/>
  <c r="I934" i="4" a="1"/>
  <c r="I934" i="4" s="1"/>
  <c r="L934" i="4" s="1"/>
  <c r="H934" i="4" a="1"/>
  <c r="H934" i="4" s="1"/>
  <c r="K934" i="4" s="1"/>
  <c r="L933" i="4"/>
  <c r="J933" i="4" a="1"/>
  <c r="J933" i="4" s="1"/>
  <c r="M933" i="4" s="1"/>
  <c r="I933" i="4" a="1"/>
  <c r="I933" i="4" s="1"/>
  <c r="H933" i="4" a="1"/>
  <c r="H933" i="4" s="1"/>
  <c r="K933" i="4" s="1"/>
  <c r="J932" i="4" a="1"/>
  <c r="J932" i="4"/>
  <c r="M932" i="4" s="1"/>
  <c r="I932" i="4" a="1"/>
  <c r="I932" i="4" s="1"/>
  <c r="L932" i="4" s="1"/>
  <c r="H932" i="4" a="1"/>
  <c r="H932" i="4"/>
  <c r="K932" i="4" s="1"/>
  <c r="M931" i="4"/>
  <c r="L931" i="4"/>
  <c r="J931" i="4" a="1"/>
  <c r="J931" i="4" s="1"/>
  <c r="I931" i="4" a="1"/>
  <c r="I931" i="4"/>
  <c r="H931" i="4" a="1"/>
  <c r="H931" i="4" s="1"/>
  <c r="K931" i="4" s="1"/>
  <c r="J930" i="4" a="1"/>
  <c r="J930" i="4"/>
  <c r="M930" i="4" s="1"/>
  <c r="I930" i="4" a="1"/>
  <c r="I930" i="4" s="1"/>
  <c r="L930" i="4" s="1"/>
  <c r="H930" i="4" a="1"/>
  <c r="H930" i="4" s="1"/>
  <c r="K930" i="4" s="1"/>
  <c r="M929" i="4"/>
  <c r="J929" i="4" a="1"/>
  <c r="J929" i="4" s="1"/>
  <c r="I929" i="4" a="1"/>
  <c r="I929" i="4"/>
  <c r="L929" i="4" s="1"/>
  <c r="H929" i="4" a="1"/>
  <c r="H929" i="4"/>
  <c r="K929" i="4" s="1"/>
  <c r="J928" i="4" a="1"/>
  <c r="J928" i="4"/>
  <c r="M928" i="4" s="1"/>
  <c r="I928" i="4" a="1"/>
  <c r="I928" i="4"/>
  <c r="L928" i="4" s="1"/>
  <c r="H928" i="4" a="1"/>
  <c r="H928" i="4"/>
  <c r="K928" i="4" s="1"/>
  <c r="M927" i="4"/>
  <c r="J927" i="4" a="1"/>
  <c r="J927" i="4"/>
  <c r="I927" i="4" a="1"/>
  <c r="I927" i="4"/>
  <c r="L927" i="4" s="1"/>
  <c r="H927" i="4" a="1"/>
  <c r="H927" i="4" s="1"/>
  <c r="K927" i="4" s="1"/>
  <c r="M926" i="4"/>
  <c r="J926" i="4" a="1"/>
  <c r="J926" i="4" s="1"/>
  <c r="I926" i="4" a="1"/>
  <c r="I926" i="4" s="1"/>
  <c r="L926" i="4" s="1"/>
  <c r="H926" i="4" a="1"/>
  <c r="H926" i="4" s="1"/>
  <c r="K926" i="4" s="1"/>
  <c r="K925" i="4"/>
  <c r="J925" i="4" a="1"/>
  <c r="J925" i="4"/>
  <c r="M925" i="4" s="1"/>
  <c r="I925" i="4" a="1"/>
  <c r="I925" i="4" s="1"/>
  <c r="L925" i="4" s="1"/>
  <c r="H925" i="4" a="1"/>
  <c r="H925" i="4"/>
  <c r="J924" i="4" a="1"/>
  <c r="J924" i="4"/>
  <c r="M924" i="4" s="1"/>
  <c r="I924" i="4" a="1"/>
  <c r="I924" i="4"/>
  <c r="L924" i="4" s="1"/>
  <c r="H924" i="4" a="1"/>
  <c r="H924" i="4" s="1"/>
  <c r="K924" i="4" s="1"/>
  <c r="L923" i="4"/>
  <c r="K923" i="4"/>
  <c r="J923" i="4" a="1"/>
  <c r="J923" i="4" s="1"/>
  <c r="M923" i="4" s="1"/>
  <c r="I923" i="4" a="1"/>
  <c r="I923" i="4"/>
  <c r="H923" i="4" a="1"/>
  <c r="H923" i="4"/>
  <c r="M922" i="4"/>
  <c r="J922" i="4" a="1"/>
  <c r="J922" i="4"/>
  <c r="I922" i="4" a="1"/>
  <c r="I922" i="4" s="1"/>
  <c r="L922" i="4" s="1"/>
  <c r="H922" i="4" a="1"/>
  <c r="H922" i="4" s="1"/>
  <c r="K922" i="4" s="1"/>
  <c r="J921" i="4" a="1"/>
  <c r="J921" i="4"/>
  <c r="M921" i="4" s="1"/>
  <c r="I921" i="4" a="1"/>
  <c r="I921" i="4"/>
  <c r="L921" i="4" s="1"/>
  <c r="H921" i="4" a="1"/>
  <c r="H921" i="4" s="1"/>
  <c r="K921" i="4" s="1"/>
  <c r="J920" i="4" a="1"/>
  <c r="J920" i="4"/>
  <c r="M920" i="4" s="1"/>
  <c r="I920" i="4" a="1"/>
  <c r="I920" i="4"/>
  <c r="L920" i="4" s="1"/>
  <c r="H920" i="4" a="1"/>
  <c r="H920" i="4"/>
  <c r="K920" i="4" s="1"/>
  <c r="L919" i="4"/>
  <c r="J919" i="4" a="1"/>
  <c r="J919" i="4" s="1"/>
  <c r="M919" i="4" s="1"/>
  <c r="I919" i="4" a="1"/>
  <c r="I919" i="4"/>
  <c r="H919" i="4" a="1"/>
  <c r="H919" i="4" s="1"/>
  <c r="K919" i="4" s="1"/>
  <c r="J918" i="4" a="1"/>
  <c r="J918" i="4" s="1"/>
  <c r="M918" i="4" s="1"/>
  <c r="I918" i="4" a="1"/>
  <c r="I918" i="4" s="1"/>
  <c r="L918" i="4" s="1"/>
  <c r="H918" i="4" a="1"/>
  <c r="H918" i="4" s="1"/>
  <c r="K918" i="4" s="1"/>
  <c r="K917" i="4"/>
  <c r="J917" i="4" a="1"/>
  <c r="J917" i="4"/>
  <c r="M917" i="4" s="1"/>
  <c r="I917" i="4" a="1"/>
  <c r="I917" i="4" s="1"/>
  <c r="L917" i="4" s="1"/>
  <c r="H917" i="4" a="1"/>
  <c r="H917" i="4"/>
  <c r="J916" i="4" a="1"/>
  <c r="J916" i="4"/>
  <c r="M916" i="4" s="1"/>
  <c r="I916" i="4" a="1"/>
  <c r="I916" i="4"/>
  <c r="L916" i="4" s="1"/>
  <c r="H916" i="4" a="1"/>
  <c r="H916" i="4"/>
  <c r="K916" i="4" s="1"/>
  <c r="M915" i="4"/>
  <c r="L915" i="4"/>
  <c r="J915" i="4" a="1"/>
  <c r="J915" i="4" s="1"/>
  <c r="I915" i="4" a="1"/>
  <c r="I915" i="4"/>
  <c r="H915" i="4" a="1"/>
  <c r="H915" i="4"/>
  <c r="K915" i="4" s="1"/>
  <c r="M914" i="4"/>
  <c r="L914" i="4"/>
  <c r="K914" i="4"/>
  <c r="J914" i="4" a="1"/>
  <c r="J914" i="4"/>
  <c r="I914" i="4" a="1"/>
  <c r="I914" i="4"/>
  <c r="H914" i="4" a="1"/>
  <c r="H914" i="4" s="1"/>
  <c r="J913" i="4" a="1"/>
  <c r="J913" i="4"/>
  <c r="M913" i="4" s="1"/>
  <c r="I913" i="4" a="1"/>
  <c r="I913" i="4" s="1"/>
  <c r="L913" i="4" s="1"/>
  <c r="H913" i="4" a="1"/>
  <c r="H913" i="4"/>
  <c r="K913" i="4" s="1"/>
  <c r="M912" i="4"/>
  <c r="L912" i="4"/>
  <c r="J912" i="4" a="1"/>
  <c r="J912" i="4"/>
  <c r="I912" i="4" a="1"/>
  <c r="I912" i="4"/>
  <c r="H912" i="4" a="1"/>
  <c r="H912" i="4" s="1"/>
  <c r="K912" i="4" s="1"/>
  <c r="M911" i="4"/>
  <c r="L911" i="4"/>
  <c r="J911" i="4" a="1"/>
  <c r="J911" i="4" s="1"/>
  <c r="I911" i="4" a="1"/>
  <c r="I911" i="4"/>
  <c r="H911" i="4" a="1"/>
  <c r="H911" i="4" s="1"/>
  <c r="K911" i="4" s="1"/>
  <c r="M910" i="4"/>
  <c r="J910" i="4" a="1"/>
  <c r="J910" i="4" s="1"/>
  <c r="I910" i="4" a="1"/>
  <c r="I910" i="4"/>
  <c r="L910" i="4" s="1"/>
  <c r="H910" i="4" a="1"/>
  <c r="H910" i="4" s="1"/>
  <c r="K910" i="4" s="1"/>
  <c r="M909" i="4"/>
  <c r="J909" i="4" a="1"/>
  <c r="J909" i="4"/>
  <c r="I909" i="4" a="1"/>
  <c r="I909" i="4"/>
  <c r="L909" i="4" s="1"/>
  <c r="H909" i="4" a="1"/>
  <c r="H909" i="4" s="1"/>
  <c r="K909" i="4" s="1"/>
  <c r="L908" i="4"/>
  <c r="J908" i="4" a="1"/>
  <c r="J908" i="4"/>
  <c r="M908" i="4" s="1"/>
  <c r="I908" i="4" a="1"/>
  <c r="I908" i="4"/>
  <c r="H908" i="4" a="1"/>
  <c r="H908" i="4"/>
  <c r="K908" i="4" s="1"/>
  <c r="M907" i="4"/>
  <c r="L907" i="4"/>
  <c r="K907" i="4"/>
  <c r="J907" i="4" a="1"/>
  <c r="J907" i="4"/>
  <c r="I907" i="4" a="1"/>
  <c r="I907" i="4"/>
  <c r="H907" i="4" a="1"/>
  <c r="H907" i="4" s="1"/>
  <c r="J906" i="4" a="1"/>
  <c r="J906" i="4"/>
  <c r="M906" i="4" s="1"/>
  <c r="I906" i="4" a="1"/>
  <c r="I906" i="4" s="1"/>
  <c r="L906" i="4" s="1"/>
  <c r="H906" i="4" a="1"/>
  <c r="H906" i="4" s="1"/>
  <c r="K906" i="4" s="1"/>
  <c r="M905" i="4"/>
  <c r="L905" i="4"/>
  <c r="K905" i="4"/>
  <c r="J905" i="4" a="1"/>
  <c r="J905" i="4"/>
  <c r="I905" i="4" a="1"/>
  <c r="I905" i="4"/>
  <c r="H905" i="4" a="1"/>
  <c r="H905" i="4"/>
  <c r="J904" i="4" a="1"/>
  <c r="J904" i="4"/>
  <c r="M904" i="4" s="1"/>
  <c r="I904" i="4" a="1"/>
  <c r="I904" i="4"/>
  <c r="L904" i="4" s="1"/>
  <c r="H904" i="4" a="1"/>
  <c r="H904" i="4"/>
  <c r="K904" i="4" s="1"/>
  <c r="J903" i="4" a="1"/>
  <c r="J903" i="4" s="1"/>
  <c r="M903" i="4" s="1"/>
  <c r="I903" i="4" a="1"/>
  <c r="I903" i="4"/>
  <c r="L903" i="4" s="1"/>
  <c r="H903" i="4" a="1"/>
  <c r="H903" i="4"/>
  <c r="K903" i="4" s="1"/>
  <c r="M902" i="4"/>
  <c r="J902" i="4" a="1"/>
  <c r="J902" i="4"/>
  <c r="I902" i="4" a="1"/>
  <c r="I902" i="4"/>
  <c r="L902" i="4" s="1"/>
  <c r="H902" i="4" a="1"/>
  <c r="H902" i="4" s="1"/>
  <c r="K902" i="4" s="1"/>
  <c r="L901" i="4"/>
  <c r="J901" i="4" a="1"/>
  <c r="J901" i="4"/>
  <c r="M901" i="4" s="1"/>
  <c r="I901" i="4" a="1"/>
  <c r="I901" i="4"/>
  <c r="H901" i="4" a="1"/>
  <c r="H901" i="4"/>
  <c r="K901" i="4" s="1"/>
  <c r="M900" i="4"/>
  <c r="J900" i="4" a="1"/>
  <c r="J900" i="4" s="1"/>
  <c r="I900" i="4" a="1"/>
  <c r="I900" i="4"/>
  <c r="L900" i="4" s="1"/>
  <c r="H900" i="4" a="1"/>
  <c r="H900" i="4" s="1"/>
  <c r="K900" i="4" s="1"/>
  <c r="J899" i="4" a="1"/>
  <c r="J899" i="4" s="1"/>
  <c r="M899" i="4" s="1"/>
  <c r="I899" i="4" a="1"/>
  <c r="I899" i="4"/>
  <c r="L899" i="4" s="1"/>
  <c r="H899" i="4" a="1"/>
  <c r="H899" i="4"/>
  <c r="K899" i="4" s="1"/>
  <c r="M898" i="4"/>
  <c r="K898" i="4"/>
  <c r="J898" i="4" a="1"/>
  <c r="J898" i="4"/>
  <c r="I898" i="4" a="1"/>
  <c r="I898" i="4"/>
  <c r="L898" i="4" s="1"/>
  <c r="H898" i="4" a="1"/>
  <c r="H898" i="4" s="1"/>
  <c r="K897" i="4"/>
  <c r="J897" i="4" a="1"/>
  <c r="J897" i="4" s="1"/>
  <c r="M897" i="4" s="1"/>
  <c r="I897" i="4" a="1"/>
  <c r="I897" i="4" s="1"/>
  <c r="L897" i="4" s="1"/>
  <c r="H897" i="4" a="1"/>
  <c r="H897" i="4"/>
  <c r="J896" i="4" a="1"/>
  <c r="J896" i="4" s="1"/>
  <c r="M896" i="4" s="1"/>
  <c r="I896" i="4" a="1"/>
  <c r="I896" i="4" s="1"/>
  <c r="L896" i="4" s="1"/>
  <c r="H896" i="4" a="1"/>
  <c r="H896" i="4" s="1"/>
  <c r="K896" i="4" s="1"/>
  <c r="M895" i="4"/>
  <c r="J895" i="4" a="1"/>
  <c r="J895" i="4"/>
  <c r="I895" i="4" a="1"/>
  <c r="I895" i="4"/>
  <c r="L895" i="4" s="1"/>
  <c r="H895" i="4" a="1"/>
  <c r="H895" i="4" s="1"/>
  <c r="K895" i="4" s="1"/>
  <c r="L894" i="4"/>
  <c r="K894" i="4"/>
  <c r="J894" i="4" a="1"/>
  <c r="J894" i="4"/>
  <c r="M894" i="4" s="1"/>
  <c r="I894" i="4" a="1"/>
  <c r="I894" i="4"/>
  <c r="H894" i="4" a="1"/>
  <c r="H894" i="4" s="1"/>
  <c r="K893" i="4"/>
  <c r="J893" i="4" a="1"/>
  <c r="J893" i="4" s="1"/>
  <c r="M893" i="4" s="1"/>
  <c r="I893" i="4" a="1"/>
  <c r="I893" i="4" s="1"/>
  <c r="L893" i="4" s="1"/>
  <c r="H893" i="4" a="1"/>
  <c r="H893" i="4"/>
  <c r="J892" i="4" a="1"/>
  <c r="J892" i="4"/>
  <c r="M892" i="4" s="1"/>
  <c r="I892" i="4" a="1"/>
  <c r="I892" i="4"/>
  <c r="L892" i="4" s="1"/>
  <c r="H892" i="4" a="1"/>
  <c r="H892" i="4" s="1"/>
  <c r="K892" i="4" s="1"/>
  <c r="L891" i="4"/>
  <c r="J891" i="4" a="1"/>
  <c r="J891" i="4" s="1"/>
  <c r="M891" i="4" s="1"/>
  <c r="I891" i="4" a="1"/>
  <c r="I891" i="4"/>
  <c r="H891" i="4" a="1"/>
  <c r="H891" i="4"/>
  <c r="K891" i="4" s="1"/>
  <c r="M890" i="4"/>
  <c r="K890" i="4"/>
  <c r="J890" i="4" a="1"/>
  <c r="J890" i="4"/>
  <c r="I890" i="4" a="1"/>
  <c r="I890" i="4"/>
  <c r="L890" i="4" s="1"/>
  <c r="H890" i="4" a="1"/>
  <c r="H890" i="4"/>
  <c r="L889" i="4"/>
  <c r="K889" i="4"/>
  <c r="J889" i="4" a="1"/>
  <c r="J889" i="4"/>
  <c r="M889" i="4" s="1"/>
  <c r="I889" i="4" a="1"/>
  <c r="I889" i="4"/>
  <c r="H889" i="4" a="1"/>
  <c r="H889" i="4"/>
  <c r="J888" i="4" a="1"/>
  <c r="J888" i="4"/>
  <c r="M888" i="4" s="1"/>
  <c r="I888" i="4" a="1"/>
  <c r="I888" i="4"/>
  <c r="L888" i="4" s="1"/>
  <c r="H888" i="4" a="1"/>
  <c r="H888" i="4" s="1"/>
  <c r="K888" i="4" s="1"/>
  <c r="M887" i="4"/>
  <c r="L887" i="4"/>
  <c r="J887" i="4" a="1"/>
  <c r="J887" i="4" s="1"/>
  <c r="I887" i="4" a="1"/>
  <c r="I887" i="4"/>
  <c r="H887" i="4" a="1"/>
  <c r="H887" i="4"/>
  <c r="K887" i="4" s="1"/>
  <c r="K886" i="4"/>
  <c r="J886" i="4" a="1"/>
  <c r="J886" i="4" s="1"/>
  <c r="M886" i="4" s="1"/>
  <c r="I886" i="4" a="1"/>
  <c r="I886" i="4" s="1"/>
  <c r="L886" i="4" s="1"/>
  <c r="H886" i="4" a="1"/>
  <c r="H886" i="4"/>
  <c r="L885" i="4"/>
  <c r="K885" i="4"/>
  <c r="J885" i="4" a="1"/>
  <c r="J885" i="4"/>
  <c r="M885" i="4" s="1"/>
  <c r="I885" i="4" a="1"/>
  <c r="I885" i="4"/>
  <c r="H885" i="4" a="1"/>
  <c r="H885" i="4"/>
  <c r="M884" i="4"/>
  <c r="J884" i="4" a="1"/>
  <c r="J884" i="4"/>
  <c r="I884" i="4" a="1"/>
  <c r="I884" i="4"/>
  <c r="L884" i="4" s="1"/>
  <c r="H884" i="4" a="1"/>
  <c r="H884" i="4" s="1"/>
  <c r="K884" i="4" s="1"/>
  <c r="L883" i="4"/>
  <c r="J883" i="4" a="1"/>
  <c r="J883" i="4" s="1"/>
  <c r="M883" i="4" s="1"/>
  <c r="I883" i="4" a="1"/>
  <c r="I883" i="4"/>
  <c r="H883" i="4" a="1"/>
  <c r="H883" i="4" s="1"/>
  <c r="K883" i="4" s="1"/>
  <c r="K882" i="4"/>
  <c r="J882" i="4" a="1"/>
  <c r="J882" i="4"/>
  <c r="M882" i="4" s="1"/>
  <c r="I882" i="4" a="1"/>
  <c r="I882" i="4" s="1"/>
  <c r="L882" i="4" s="1"/>
  <c r="H882" i="4" a="1"/>
  <c r="H882" i="4"/>
  <c r="J881" i="4" a="1"/>
  <c r="J881" i="4"/>
  <c r="M881" i="4" s="1"/>
  <c r="I881" i="4" a="1"/>
  <c r="I881" i="4"/>
  <c r="L881" i="4" s="1"/>
  <c r="H881" i="4" a="1"/>
  <c r="H881" i="4" s="1"/>
  <c r="K881" i="4" s="1"/>
  <c r="J880" i="4" a="1"/>
  <c r="J880" i="4"/>
  <c r="M880" i="4" s="1"/>
  <c r="I880" i="4" a="1"/>
  <c r="I880" i="4" s="1"/>
  <c r="L880" i="4" s="1"/>
  <c r="H880" i="4" a="1"/>
  <c r="H880" i="4" s="1"/>
  <c r="K880" i="4" s="1"/>
  <c r="L879" i="4"/>
  <c r="J879" i="4" a="1"/>
  <c r="J879" i="4" s="1"/>
  <c r="M879" i="4" s="1"/>
  <c r="I879" i="4" a="1"/>
  <c r="I879" i="4"/>
  <c r="H879" i="4" a="1"/>
  <c r="H879" i="4" s="1"/>
  <c r="K879" i="4" s="1"/>
  <c r="L878" i="4"/>
  <c r="K878" i="4"/>
  <c r="J878" i="4" a="1"/>
  <c r="J878" i="4" s="1"/>
  <c r="M878" i="4" s="1"/>
  <c r="I878" i="4" a="1"/>
  <c r="I878" i="4"/>
  <c r="H878" i="4" a="1"/>
  <c r="H878" i="4"/>
  <c r="K877" i="4"/>
  <c r="J877" i="4" a="1"/>
  <c r="J877" i="4"/>
  <c r="M877" i="4" s="1"/>
  <c r="I877" i="4" a="1"/>
  <c r="I877" i="4"/>
  <c r="L877" i="4" s="1"/>
  <c r="H877" i="4" a="1"/>
  <c r="H877" i="4" s="1"/>
  <c r="J876" i="4" a="1"/>
  <c r="J876" i="4"/>
  <c r="M876" i="4" s="1"/>
  <c r="I876" i="4" a="1"/>
  <c r="I876" i="4"/>
  <c r="L876" i="4" s="1"/>
  <c r="H876" i="4" a="1"/>
  <c r="H876" i="4" s="1"/>
  <c r="K876" i="4" s="1"/>
  <c r="L875" i="4"/>
  <c r="K875" i="4"/>
  <c r="J875" i="4" a="1"/>
  <c r="J875" i="4" s="1"/>
  <c r="M875" i="4" s="1"/>
  <c r="I875" i="4" a="1"/>
  <c r="I875" i="4"/>
  <c r="H875" i="4" a="1"/>
  <c r="H875" i="4" s="1"/>
  <c r="M874" i="4"/>
  <c r="L874" i="4"/>
  <c r="K874" i="4"/>
  <c r="J874" i="4" a="1"/>
  <c r="J874" i="4" s="1"/>
  <c r="I874" i="4" a="1"/>
  <c r="I874" i="4"/>
  <c r="H874" i="4" a="1"/>
  <c r="H874" i="4"/>
  <c r="J873" i="4" a="1"/>
  <c r="J873" i="4"/>
  <c r="M873" i="4" s="1"/>
  <c r="I873" i="4" a="1"/>
  <c r="I873" i="4"/>
  <c r="L873" i="4" s="1"/>
  <c r="H873" i="4" a="1"/>
  <c r="H873" i="4" s="1"/>
  <c r="K873" i="4" s="1"/>
  <c r="M872" i="4"/>
  <c r="J872" i="4" a="1"/>
  <c r="J872" i="4"/>
  <c r="I872" i="4" a="1"/>
  <c r="I872" i="4" s="1"/>
  <c r="L872" i="4" s="1"/>
  <c r="H872" i="4" a="1"/>
  <c r="H872" i="4" s="1"/>
  <c r="K872" i="4" s="1"/>
  <c r="L871" i="4"/>
  <c r="K871" i="4"/>
  <c r="J871" i="4" a="1"/>
  <c r="J871" i="4" s="1"/>
  <c r="M871" i="4" s="1"/>
  <c r="I871" i="4" a="1"/>
  <c r="I871" i="4"/>
  <c r="H871" i="4" a="1"/>
  <c r="H871" i="4"/>
  <c r="M870" i="4"/>
  <c r="L870" i="4"/>
  <c r="K870" i="4"/>
  <c r="J870" i="4" a="1"/>
  <c r="J870" i="4" s="1"/>
  <c r="I870" i="4" a="1"/>
  <c r="I870" i="4"/>
  <c r="H870" i="4" a="1"/>
  <c r="H870" i="4"/>
  <c r="L869" i="4"/>
  <c r="K869" i="4"/>
  <c r="J869" i="4" a="1"/>
  <c r="J869" i="4"/>
  <c r="M869" i="4" s="1"/>
  <c r="I869" i="4" a="1"/>
  <c r="I869" i="4"/>
  <c r="H869" i="4" a="1"/>
  <c r="H869" i="4" s="1"/>
  <c r="J868" i="4" a="1"/>
  <c r="J868" i="4"/>
  <c r="M868" i="4" s="1"/>
  <c r="I868" i="4" a="1"/>
  <c r="I868" i="4" s="1"/>
  <c r="L868" i="4" s="1"/>
  <c r="H868" i="4" a="1"/>
  <c r="H868" i="4" s="1"/>
  <c r="K868" i="4" s="1"/>
  <c r="M867" i="4"/>
  <c r="L867" i="4"/>
  <c r="K867" i="4"/>
  <c r="J867" i="4" a="1"/>
  <c r="J867" i="4" s="1"/>
  <c r="I867" i="4" a="1"/>
  <c r="I867" i="4"/>
  <c r="H867" i="4" a="1"/>
  <c r="H867" i="4"/>
  <c r="K866" i="4"/>
  <c r="J866" i="4" a="1"/>
  <c r="J866" i="4" s="1"/>
  <c r="M866" i="4" s="1"/>
  <c r="I866" i="4" a="1"/>
  <c r="I866" i="4"/>
  <c r="L866" i="4" s="1"/>
  <c r="H866" i="4" a="1"/>
  <c r="H866" i="4"/>
  <c r="L865" i="4"/>
  <c r="J865" i="4" a="1"/>
  <c r="J865" i="4"/>
  <c r="M865" i="4" s="1"/>
  <c r="I865" i="4" a="1"/>
  <c r="I865" i="4"/>
  <c r="H865" i="4" a="1"/>
  <c r="H865" i="4"/>
  <c r="K865" i="4" s="1"/>
  <c r="M864" i="4"/>
  <c r="J864" i="4" a="1"/>
  <c r="J864" i="4"/>
  <c r="I864" i="4" a="1"/>
  <c r="I864" i="4" s="1"/>
  <c r="L864" i="4" s="1"/>
  <c r="H864" i="4" a="1"/>
  <c r="H864" i="4" s="1"/>
  <c r="K864" i="4" s="1"/>
  <c r="M863" i="4"/>
  <c r="L863" i="4"/>
  <c r="J863" i="4" a="1"/>
  <c r="J863" i="4" s="1"/>
  <c r="I863" i="4" a="1"/>
  <c r="I863" i="4"/>
  <c r="H863" i="4" a="1"/>
  <c r="H863" i="4" s="1"/>
  <c r="K863" i="4" s="1"/>
  <c r="K862" i="4"/>
  <c r="J862" i="4" a="1"/>
  <c r="J862" i="4"/>
  <c r="M862" i="4" s="1"/>
  <c r="I862" i="4" a="1"/>
  <c r="I862" i="4" s="1"/>
  <c r="L862" i="4" s="1"/>
  <c r="H862" i="4" a="1"/>
  <c r="H862" i="4"/>
  <c r="L861" i="4"/>
  <c r="J861" i="4" a="1"/>
  <c r="J861" i="4" s="1"/>
  <c r="M861" i="4" s="1"/>
  <c r="I861" i="4" a="1"/>
  <c r="I861" i="4"/>
  <c r="H861" i="4" a="1"/>
  <c r="H861" i="4"/>
  <c r="K861" i="4" s="1"/>
  <c r="M860" i="4"/>
  <c r="J860" i="4" a="1"/>
  <c r="J860" i="4"/>
  <c r="I860" i="4" a="1"/>
  <c r="I860" i="4"/>
  <c r="L860" i="4" s="1"/>
  <c r="H860" i="4" a="1"/>
  <c r="H860" i="4" s="1"/>
  <c r="K860" i="4" s="1"/>
  <c r="M859" i="4"/>
  <c r="L859" i="4"/>
  <c r="J859" i="4" a="1"/>
  <c r="J859" i="4" s="1"/>
  <c r="I859" i="4" a="1"/>
  <c r="I859" i="4"/>
  <c r="H859" i="4" a="1"/>
  <c r="H859" i="4" s="1"/>
  <c r="K859" i="4" s="1"/>
  <c r="L858" i="4"/>
  <c r="K858" i="4"/>
  <c r="J858" i="4" a="1"/>
  <c r="J858" i="4"/>
  <c r="M858" i="4" s="1"/>
  <c r="I858" i="4" a="1"/>
  <c r="I858" i="4"/>
  <c r="H858" i="4" a="1"/>
  <c r="H858" i="4"/>
  <c r="K857" i="4"/>
  <c r="J857" i="4" a="1"/>
  <c r="J857" i="4" s="1"/>
  <c r="M857" i="4" s="1"/>
  <c r="I857" i="4" a="1"/>
  <c r="I857" i="4"/>
  <c r="L857" i="4" s="1"/>
  <c r="H857" i="4" a="1"/>
  <c r="H857" i="4"/>
  <c r="J856" i="4" a="1"/>
  <c r="J856" i="4"/>
  <c r="M856" i="4" s="1"/>
  <c r="I856" i="4" a="1"/>
  <c r="I856" i="4"/>
  <c r="L856" i="4" s="1"/>
  <c r="H856" i="4" a="1"/>
  <c r="H856" i="4" s="1"/>
  <c r="K856" i="4" s="1"/>
  <c r="L855" i="4"/>
  <c r="K855" i="4"/>
  <c r="J855" i="4" a="1"/>
  <c r="J855" i="4" s="1"/>
  <c r="M855" i="4" s="1"/>
  <c r="I855" i="4" a="1"/>
  <c r="I855" i="4"/>
  <c r="H855" i="4" a="1"/>
  <c r="H855" i="4"/>
  <c r="K854" i="4"/>
  <c r="J854" i="4" a="1"/>
  <c r="J854" i="4" s="1"/>
  <c r="M854" i="4" s="1"/>
  <c r="I854" i="4" a="1"/>
  <c r="I854" i="4"/>
  <c r="L854" i="4" s="1"/>
  <c r="H854" i="4" a="1"/>
  <c r="H854" i="4"/>
  <c r="L853" i="4"/>
  <c r="J853" i="4" a="1"/>
  <c r="J853" i="4" s="1"/>
  <c r="M853" i="4" s="1"/>
  <c r="I853" i="4" a="1"/>
  <c r="I853" i="4"/>
  <c r="H853" i="4" a="1"/>
  <c r="H853" i="4"/>
  <c r="K853" i="4" s="1"/>
  <c r="J852" i="4" a="1"/>
  <c r="J852" i="4"/>
  <c r="M852" i="4" s="1"/>
  <c r="I852" i="4" a="1"/>
  <c r="I852" i="4"/>
  <c r="L852" i="4" s="1"/>
  <c r="H852" i="4" a="1"/>
  <c r="H852" i="4" s="1"/>
  <c r="K852" i="4" s="1"/>
  <c r="L851" i="4"/>
  <c r="K851" i="4"/>
  <c r="J851" i="4" a="1"/>
  <c r="J851" i="4" s="1"/>
  <c r="M851" i="4" s="1"/>
  <c r="I851" i="4" a="1"/>
  <c r="I851" i="4"/>
  <c r="H851" i="4" a="1"/>
  <c r="H851" i="4"/>
  <c r="M850" i="4"/>
  <c r="K850" i="4"/>
  <c r="J850" i="4" a="1"/>
  <c r="J850" i="4"/>
  <c r="I850" i="4" a="1"/>
  <c r="I850" i="4"/>
  <c r="L850" i="4" s="1"/>
  <c r="H850" i="4" a="1"/>
  <c r="H850" i="4"/>
  <c r="K849" i="4"/>
  <c r="J849" i="4" a="1"/>
  <c r="J849" i="4" s="1"/>
  <c r="M849" i="4" s="1"/>
  <c r="I849" i="4" a="1"/>
  <c r="I849" i="4"/>
  <c r="L849" i="4" s="1"/>
  <c r="H849" i="4" a="1"/>
  <c r="H849" i="4"/>
  <c r="J848" i="4" a="1"/>
  <c r="J848" i="4"/>
  <c r="M848" i="4" s="1"/>
  <c r="I848" i="4" a="1"/>
  <c r="I848" i="4"/>
  <c r="L848" i="4" s="1"/>
  <c r="H848" i="4" a="1"/>
  <c r="H848" i="4" s="1"/>
  <c r="K848" i="4" s="1"/>
  <c r="L847" i="4"/>
  <c r="K847" i="4"/>
  <c r="J847" i="4" a="1"/>
  <c r="J847" i="4" s="1"/>
  <c r="M847" i="4" s="1"/>
  <c r="I847" i="4" a="1"/>
  <c r="I847" i="4"/>
  <c r="H847" i="4" a="1"/>
  <c r="H847" i="4"/>
  <c r="M846" i="4"/>
  <c r="K846" i="4"/>
  <c r="J846" i="4" a="1"/>
  <c r="J846" i="4"/>
  <c r="I846" i="4" a="1"/>
  <c r="I846" i="4"/>
  <c r="L846" i="4" s="1"/>
  <c r="H846" i="4" a="1"/>
  <c r="H846" i="4"/>
  <c r="J845" i="4" a="1"/>
  <c r="J845" i="4"/>
  <c r="M845" i="4" s="1"/>
  <c r="I845" i="4" a="1"/>
  <c r="I845" i="4"/>
  <c r="L845" i="4" s="1"/>
  <c r="H845" i="4" a="1"/>
  <c r="H845" i="4"/>
  <c r="K845" i="4" s="1"/>
  <c r="J844" i="4" a="1"/>
  <c r="J844" i="4"/>
  <c r="M844" i="4" s="1"/>
  <c r="I844" i="4" a="1"/>
  <c r="I844" i="4"/>
  <c r="L844" i="4" s="1"/>
  <c r="H844" i="4" a="1"/>
  <c r="H844" i="4" s="1"/>
  <c r="K844" i="4" s="1"/>
  <c r="L843" i="4"/>
  <c r="K843" i="4"/>
  <c r="J843" i="4" a="1"/>
  <c r="J843" i="4" s="1"/>
  <c r="M843" i="4" s="1"/>
  <c r="I843" i="4" a="1"/>
  <c r="I843" i="4"/>
  <c r="H843" i="4" a="1"/>
  <c r="H843" i="4"/>
  <c r="M842" i="4"/>
  <c r="K842" i="4"/>
  <c r="J842" i="4" a="1"/>
  <c r="J842" i="4"/>
  <c r="I842" i="4" a="1"/>
  <c r="I842" i="4"/>
  <c r="L842" i="4" s="1"/>
  <c r="H842" i="4" a="1"/>
  <c r="H842" i="4"/>
  <c r="L841" i="4"/>
  <c r="J841" i="4" a="1"/>
  <c r="J841" i="4"/>
  <c r="M841" i="4" s="1"/>
  <c r="I841" i="4" a="1"/>
  <c r="I841" i="4"/>
  <c r="H841" i="4" a="1"/>
  <c r="H841" i="4"/>
  <c r="K841" i="4" s="1"/>
  <c r="J840" i="4" a="1"/>
  <c r="J840" i="4"/>
  <c r="M840" i="4" s="1"/>
  <c r="I840" i="4" a="1"/>
  <c r="I840" i="4"/>
  <c r="L840" i="4" s="1"/>
  <c r="H840" i="4" a="1"/>
  <c r="H840" i="4" s="1"/>
  <c r="K840" i="4" s="1"/>
  <c r="M839" i="4"/>
  <c r="L839" i="4"/>
  <c r="J839" i="4" a="1"/>
  <c r="J839" i="4" s="1"/>
  <c r="I839" i="4" a="1"/>
  <c r="I839" i="4"/>
  <c r="H839" i="4" a="1"/>
  <c r="H839" i="4"/>
  <c r="K839" i="4" s="1"/>
  <c r="M838" i="4"/>
  <c r="K838" i="4"/>
  <c r="J838" i="4" a="1"/>
  <c r="J838" i="4" s="1"/>
  <c r="I838" i="4" a="1"/>
  <c r="I838" i="4" s="1"/>
  <c r="L838" i="4" s="1"/>
  <c r="H838" i="4" a="1"/>
  <c r="H838" i="4"/>
  <c r="J837" i="4" a="1"/>
  <c r="J837" i="4" s="1"/>
  <c r="M837" i="4" s="1"/>
  <c r="I837" i="4" a="1"/>
  <c r="I837" i="4"/>
  <c r="L837" i="4" s="1"/>
  <c r="H837" i="4" a="1"/>
  <c r="H837" i="4"/>
  <c r="K837" i="4" s="1"/>
  <c r="M836" i="4"/>
  <c r="J836" i="4" a="1"/>
  <c r="J836" i="4"/>
  <c r="I836" i="4" a="1"/>
  <c r="I836" i="4"/>
  <c r="L836" i="4" s="1"/>
  <c r="H836" i="4" a="1"/>
  <c r="H836" i="4" s="1"/>
  <c r="K836" i="4" s="1"/>
  <c r="M835" i="4"/>
  <c r="L835" i="4"/>
  <c r="J835" i="4" a="1"/>
  <c r="J835" i="4" s="1"/>
  <c r="I835" i="4" a="1"/>
  <c r="I835" i="4"/>
  <c r="H835" i="4" a="1"/>
  <c r="H835" i="4" s="1"/>
  <c r="K835" i="4" s="1"/>
  <c r="K834" i="4"/>
  <c r="J834" i="4" a="1"/>
  <c r="J834" i="4"/>
  <c r="M834" i="4" s="1"/>
  <c r="I834" i="4" a="1"/>
  <c r="I834" i="4" s="1"/>
  <c r="L834" i="4" s="1"/>
  <c r="H834" i="4" a="1"/>
  <c r="H834" i="4"/>
  <c r="K833" i="4"/>
  <c r="J833" i="4" a="1"/>
  <c r="J833" i="4"/>
  <c r="M833" i="4" s="1"/>
  <c r="I833" i="4" a="1"/>
  <c r="I833" i="4"/>
  <c r="L833" i="4" s="1"/>
  <c r="H833" i="4" a="1"/>
  <c r="H833" i="4"/>
  <c r="J832" i="4" a="1"/>
  <c r="J832" i="4"/>
  <c r="M832" i="4" s="1"/>
  <c r="I832" i="4" a="1"/>
  <c r="I832" i="4"/>
  <c r="L832" i="4" s="1"/>
  <c r="H832" i="4" a="1"/>
  <c r="H832" i="4" s="1"/>
  <c r="K832" i="4" s="1"/>
  <c r="L831" i="4"/>
  <c r="J831" i="4" a="1"/>
  <c r="J831" i="4" s="1"/>
  <c r="M831" i="4" s="1"/>
  <c r="I831" i="4" a="1"/>
  <c r="I831" i="4"/>
  <c r="H831" i="4" a="1"/>
  <c r="H831" i="4" s="1"/>
  <c r="K831" i="4" s="1"/>
  <c r="K830" i="4"/>
  <c r="J830" i="4" a="1"/>
  <c r="J830" i="4" s="1"/>
  <c r="M830" i="4" s="1"/>
  <c r="I830" i="4" a="1"/>
  <c r="I830" i="4" s="1"/>
  <c r="L830" i="4" s="1"/>
  <c r="H830" i="4" a="1"/>
  <c r="H830" i="4"/>
  <c r="L829" i="4"/>
  <c r="K829" i="4"/>
  <c r="J829" i="4" a="1"/>
  <c r="J829" i="4"/>
  <c r="M829" i="4" s="1"/>
  <c r="I829" i="4" a="1"/>
  <c r="I829" i="4"/>
  <c r="H829" i="4" a="1"/>
  <c r="H829" i="4" s="1"/>
  <c r="J828" i="4" a="1"/>
  <c r="J828" i="4"/>
  <c r="M828" i="4" s="1"/>
  <c r="I828" i="4" a="1"/>
  <c r="I828" i="4" s="1"/>
  <c r="L828" i="4" s="1"/>
  <c r="H828" i="4" a="1"/>
  <c r="H828" i="4" s="1"/>
  <c r="K828" i="4" s="1"/>
  <c r="L827" i="4"/>
  <c r="K827" i="4"/>
  <c r="J827" i="4" a="1"/>
  <c r="J827" i="4" s="1"/>
  <c r="M827" i="4" s="1"/>
  <c r="I827" i="4" a="1"/>
  <c r="I827" i="4"/>
  <c r="H827" i="4" a="1"/>
  <c r="H827" i="4" s="1"/>
  <c r="K826" i="4"/>
  <c r="J826" i="4" a="1"/>
  <c r="J826" i="4" s="1"/>
  <c r="M826" i="4" s="1"/>
  <c r="I826" i="4" a="1"/>
  <c r="I826" i="4" s="1"/>
  <c r="L826" i="4" s="1"/>
  <c r="H826" i="4" a="1"/>
  <c r="H826" i="4"/>
  <c r="J825" i="4" a="1"/>
  <c r="J825" i="4"/>
  <c r="M825" i="4" s="1"/>
  <c r="I825" i="4" a="1"/>
  <c r="I825" i="4"/>
  <c r="L825" i="4" s="1"/>
  <c r="H825" i="4" a="1"/>
  <c r="H825" i="4" s="1"/>
  <c r="K825" i="4" s="1"/>
  <c r="J824" i="4" a="1"/>
  <c r="J824" i="4"/>
  <c r="M824" i="4" s="1"/>
  <c r="I824" i="4" a="1"/>
  <c r="I824" i="4" s="1"/>
  <c r="L824" i="4" s="1"/>
  <c r="H824" i="4" a="1"/>
  <c r="H824" i="4" s="1"/>
  <c r="K824" i="4" s="1"/>
  <c r="L823" i="4"/>
  <c r="K823" i="4"/>
  <c r="J823" i="4" a="1"/>
  <c r="J823" i="4" s="1"/>
  <c r="M823" i="4" s="1"/>
  <c r="I823" i="4" a="1"/>
  <c r="I823" i="4"/>
  <c r="H823" i="4" a="1"/>
  <c r="H823" i="4"/>
  <c r="L822" i="4"/>
  <c r="K822" i="4"/>
  <c r="J822" i="4" a="1"/>
  <c r="J822" i="4" s="1"/>
  <c r="M822" i="4" s="1"/>
  <c r="I822" i="4" a="1"/>
  <c r="I822" i="4"/>
  <c r="H822" i="4" a="1"/>
  <c r="H822" i="4"/>
  <c r="L821" i="4"/>
  <c r="J821" i="4" a="1"/>
  <c r="J821" i="4"/>
  <c r="M821" i="4" s="1"/>
  <c r="I821" i="4" a="1"/>
  <c r="I821" i="4"/>
  <c r="H821" i="4" a="1"/>
  <c r="H821" i="4" s="1"/>
  <c r="K821" i="4" s="1"/>
  <c r="M820" i="4"/>
  <c r="J820" i="4" a="1"/>
  <c r="J820" i="4"/>
  <c r="I820" i="4" a="1"/>
  <c r="I820" i="4" s="1"/>
  <c r="L820" i="4" s="1"/>
  <c r="H820" i="4" a="1"/>
  <c r="H820" i="4" s="1"/>
  <c r="K820" i="4" s="1"/>
  <c r="M819" i="4"/>
  <c r="L819" i="4"/>
  <c r="J819" i="4" a="1"/>
  <c r="J819" i="4" s="1"/>
  <c r="I819" i="4" a="1"/>
  <c r="I819" i="4"/>
  <c r="H819" i="4" a="1"/>
  <c r="H819" i="4"/>
  <c r="K819" i="4" s="1"/>
  <c r="L818" i="4"/>
  <c r="K818" i="4"/>
  <c r="J818" i="4" a="1"/>
  <c r="J818" i="4"/>
  <c r="M818" i="4" s="1"/>
  <c r="I818" i="4" a="1"/>
  <c r="I818" i="4"/>
  <c r="H818" i="4" a="1"/>
  <c r="H818" i="4"/>
  <c r="J817" i="4" a="1"/>
  <c r="J817" i="4"/>
  <c r="M817" i="4" s="1"/>
  <c r="I817" i="4" a="1"/>
  <c r="I817" i="4"/>
  <c r="L817" i="4" s="1"/>
  <c r="H817" i="4" a="1"/>
  <c r="H817" i="4"/>
  <c r="K817" i="4" s="1"/>
  <c r="M816" i="4"/>
  <c r="J816" i="4" a="1"/>
  <c r="J816" i="4"/>
  <c r="I816" i="4" a="1"/>
  <c r="I816" i="4" s="1"/>
  <c r="L816" i="4" s="1"/>
  <c r="H816" i="4" a="1"/>
  <c r="H816" i="4" s="1"/>
  <c r="K816" i="4" s="1"/>
  <c r="M815" i="4"/>
  <c r="L815" i="4"/>
  <c r="J815" i="4" a="1"/>
  <c r="J815" i="4" s="1"/>
  <c r="I815" i="4" a="1"/>
  <c r="I815" i="4"/>
  <c r="H815" i="4" a="1"/>
  <c r="H815" i="4"/>
  <c r="K815" i="4" s="1"/>
  <c r="K814" i="4"/>
  <c r="J814" i="4" a="1"/>
  <c r="J814" i="4"/>
  <c r="M814" i="4" s="1"/>
  <c r="I814" i="4" a="1"/>
  <c r="I814" i="4"/>
  <c r="L814" i="4" s="1"/>
  <c r="H814" i="4" a="1"/>
  <c r="H814" i="4"/>
  <c r="L813" i="4"/>
  <c r="K813" i="4"/>
  <c r="J813" i="4" a="1"/>
  <c r="J813" i="4" s="1"/>
  <c r="M813" i="4" s="1"/>
  <c r="I813" i="4" a="1"/>
  <c r="I813" i="4"/>
  <c r="H813" i="4" a="1"/>
  <c r="H813" i="4"/>
  <c r="M812" i="4"/>
  <c r="J812" i="4" a="1"/>
  <c r="J812" i="4"/>
  <c r="I812" i="4" a="1"/>
  <c r="I812" i="4"/>
  <c r="L812" i="4" s="1"/>
  <c r="H812" i="4" a="1"/>
  <c r="H812" i="4" s="1"/>
  <c r="K812" i="4" s="1"/>
  <c r="M811" i="4"/>
  <c r="L811" i="4"/>
  <c r="J811" i="4" a="1"/>
  <c r="J811" i="4" s="1"/>
  <c r="I811" i="4" a="1"/>
  <c r="I811" i="4"/>
  <c r="H811" i="4" a="1"/>
  <c r="H811" i="4"/>
  <c r="K811" i="4" s="1"/>
  <c r="L810" i="4"/>
  <c r="K810" i="4"/>
  <c r="J810" i="4" a="1"/>
  <c r="J810" i="4"/>
  <c r="M810" i="4" s="1"/>
  <c r="I810" i="4" a="1"/>
  <c r="I810" i="4"/>
  <c r="H810" i="4" a="1"/>
  <c r="H810" i="4"/>
  <c r="L809" i="4"/>
  <c r="J809" i="4" a="1"/>
  <c r="J809" i="4" s="1"/>
  <c r="M809" i="4" s="1"/>
  <c r="I809" i="4" a="1"/>
  <c r="I809" i="4"/>
  <c r="H809" i="4" a="1"/>
  <c r="H809" i="4"/>
  <c r="K809" i="4" s="1"/>
  <c r="J808" i="4" a="1"/>
  <c r="J808" i="4"/>
  <c r="M808" i="4" s="1"/>
  <c r="I808" i="4" a="1"/>
  <c r="I808" i="4"/>
  <c r="L808" i="4" s="1"/>
  <c r="H808" i="4" a="1"/>
  <c r="H808" i="4" s="1"/>
  <c r="K808" i="4" s="1"/>
  <c r="M807" i="4"/>
  <c r="L807" i="4"/>
  <c r="K807" i="4"/>
  <c r="J807" i="4" a="1"/>
  <c r="J807" i="4" s="1"/>
  <c r="I807" i="4" a="1"/>
  <c r="I807" i="4"/>
  <c r="H807" i="4" a="1"/>
  <c r="H807" i="4"/>
  <c r="L806" i="4"/>
  <c r="K806" i="4"/>
  <c r="J806" i="4" a="1"/>
  <c r="J806" i="4" s="1"/>
  <c r="M806" i="4" s="1"/>
  <c r="I806" i="4" a="1"/>
  <c r="I806" i="4"/>
  <c r="H806" i="4" a="1"/>
  <c r="H806" i="4"/>
  <c r="L805" i="4"/>
  <c r="J805" i="4" a="1"/>
  <c r="J805" i="4"/>
  <c r="M805" i="4" s="1"/>
  <c r="I805" i="4" a="1"/>
  <c r="I805" i="4"/>
  <c r="H805" i="4" a="1"/>
  <c r="H805" i="4"/>
  <c r="K805" i="4" s="1"/>
  <c r="J804" i="4" a="1"/>
  <c r="J804" i="4"/>
  <c r="M804" i="4" s="1"/>
  <c r="I804" i="4" a="1"/>
  <c r="I804" i="4"/>
  <c r="L804" i="4" s="1"/>
  <c r="H804" i="4" a="1"/>
  <c r="H804" i="4" s="1"/>
  <c r="K804" i="4" s="1"/>
  <c r="L803" i="4"/>
  <c r="J803" i="4" a="1"/>
  <c r="J803" i="4" s="1"/>
  <c r="M803" i="4" s="1"/>
  <c r="I803" i="4" a="1"/>
  <c r="I803" i="4"/>
  <c r="H803" i="4" a="1"/>
  <c r="H803" i="4"/>
  <c r="K803" i="4" s="1"/>
  <c r="M802" i="4"/>
  <c r="L802" i="4"/>
  <c r="K802" i="4"/>
  <c r="J802" i="4" a="1"/>
  <c r="J802" i="4"/>
  <c r="I802" i="4" a="1"/>
  <c r="I802" i="4"/>
  <c r="H802" i="4" a="1"/>
  <c r="H802" i="4"/>
  <c r="L801" i="4"/>
  <c r="K801" i="4"/>
  <c r="J801" i="4" a="1"/>
  <c r="J801" i="4" s="1"/>
  <c r="M801" i="4" s="1"/>
  <c r="I801" i="4" a="1"/>
  <c r="I801" i="4"/>
  <c r="H801" i="4" a="1"/>
  <c r="H801" i="4"/>
  <c r="J800" i="4" a="1"/>
  <c r="J800" i="4"/>
  <c r="M800" i="4" s="1"/>
  <c r="I800" i="4" a="1"/>
  <c r="I800" i="4"/>
  <c r="L800" i="4" s="1"/>
  <c r="H800" i="4" a="1"/>
  <c r="H800" i="4" s="1"/>
  <c r="K800" i="4" s="1"/>
  <c r="L799" i="4"/>
  <c r="K799" i="4"/>
  <c r="J799" i="4" a="1"/>
  <c r="J799" i="4" s="1"/>
  <c r="M799" i="4" s="1"/>
  <c r="I799" i="4" a="1"/>
  <c r="I799" i="4"/>
  <c r="H799" i="4" a="1"/>
  <c r="H799" i="4"/>
  <c r="M798" i="4"/>
  <c r="K798" i="4"/>
  <c r="J798" i="4" a="1"/>
  <c r="J798" i="4"/>
  <c r="I798" i="4" a="1"/>
  <c r="I798" i="4"/>
  <c r="L798" i="4" s="1"/>
  <c r="H798" i="4" a="1"/>
  <c r="H798" i="4"/>
  <c r="J797" i="4" a="1"/>
  <c r="J797" i="4"/>
  <c r="M797" i="4" s="1"/>
  <c r="I797" i="4" a="1"/>
  <c r="I797" i="4"/>
  <c r="L797" i="4" s="1"/>
  <c r="H797" i="4" a="1"/>
  <c r="H797" i="4"/>
  <c r="K797" i="4" s="1"/>
  <c r="J796" i="4" a="1"/>
  <c r="J796" i="4"/>
  <c r="M796" i="4" s="1"/>
  <c r="I796" i="4" a="1"/>
  <c r="I796" i="4"/>
  <c r="L796" i="4" s="1"/>
  <c r="H796" i="4" a="1"/>
  <c r="H796" i="4" s="1"/>
  <c r="K796" i="4" s="1"/>
  <c r="L795" i="4"/>
  <c r="J795" i="4" a="1"/>
  <c r="J795" i="4" s="1"/>
  <c r="M795" i="4" s="1"/>
  <c r="I795" i="4" a="1"/>
  <c r="I795" i="4"/>
  <c r="H795" i="4" a="1"/>
  <c r="H795" i="4"/>
  <c r="K795" i="4" s="1"/>
  <c r="M794" i="4"/>
  <c r="K794" i="4"/>
  <c r="J794" i="4" a="1"/>
  <c r="J794" i="4"/>
  <c r="I794" i="4" a="1"/>
  <c r="I794" i="4"/>
  <c r="L794" i="4" s="1"/>
  <c r="H794" i="4" a="1"/>
  <c r="H794" i="4"/>
  <c r="L793" i="4"/>
  <c r="K793" i="4"/>
  <c r="J793" i="4" a="1"/>
  <c r="J793" i="4"/>
  <c r="M793" i="4" s="1"/>
  <c r="I793" i="4" a="1"/>
  <c r="I793" i="4"/>
  <c r="H793" i="4" a="1"/>
  <c r="H793" i="4"/>
  <c r="J792" i="4" a="1"/>
  <c r="J792" i="4"/>
  <c r="M792" i="4" s="1"/>
  <c r="I792" i="4" a="1"/>
  <c r="I792" i="4"/>
  <c r="L792" i="4" s="1"/>
  <c r="H792" i="4" a="1"/>
  <c r="H792" i="4" s="1"/>
  <c r="K792" i="4" s="1"/>
  <c r="M791" i="4"/>
  <c r="L791" i="4"/>
  <c r="J791" i="4" a="1"/>
  <c r="J791" i="4" s="1"/>
  <c r="I791" i="4" a="1"/>
  <c r="I791" i="4"/>
  <c r="H791" i="4" a="1"/>
  <c r="H791" i="4"/>
  <c r="K791" i="4" s="1"/>
  <c r="K790" i="4"/>
  <c r="J790" i="4" a="1"/>
  <c r="J790" i="4"/>
  <c r="M790" i="4" s="1"/>
  <c r="I790" i="4" a="1"/>
  <c r="I790" i="4" s="1"/>
  <c r="L790" i="4" s="1"/>
  <c r="H790" i="4" a="1"/>
  <c r="H790" i="4"/>
  <c r="L789" i="4"/>
  <c r="J789" i="4" a="1"/>
  <c r="J789" i="4" s="1"/>
  <c r="M789" i="4" s="1"/>
  <c r="I789" i="4" a="1"/>
  <c r="I789" i="4"/>
  <c r="H789" i="4" a="1"/>
  <c r="H789" i="4"/>
  <c r="K789" i="4" s="1"/>
  <c r="M788" i="4"/>
  <c r="J788" i="4" a="1"/>
  <c r="J788" i="4"/>
  <c r="I788" i="4" a="1"/>
  <c r="I788" i="4"/>
  <c r="L788" i="4" s="1"/>
  <c r="H788" i="4" a="1"/>
  <c r="H788" i="4" s="1"/>
  <c r="K788" i="4" s="1"/>
  <c r="M787" i="4"/>
  <c r="L787" i="4"/>
  <c r="J787" i="4" a="1"/>
  <c r="J787" i="4" s="1"/>
  <c r="I787" i="4" a="1"/>
  <c r="I787" i="4"/>
  <c r="H787" i="4" a="1"/>
  <c r="H787" i="4" s="1"/>
  <c r="K787" i="4" s="1"/>
  <c r="K786" i="4"/>
  <c r="J786" i="4" a="1"/>
  <c r="J786" i="4" s="1"/>
  <c r="M786" i="4" s="1"/>
  <c r="I786" i="4" a="1"/>
  <c r="I786" i="4" s="1"/>
  <c r="L786" i="4" s="1"/>
  <c r="H786" i="4" a="1"/>
  <c r="H786" i="4"/>
  <c r="J785" i="4" a="1"/>
  <c r="J785" i="4"/>
  <c r="M785" i="4" s="1"/>
  <c r="I785" i="4" a="1"/>
  <c r="I785" i="4"/>
  <c r="L785" i="4" s="1"/>
  <c r="H785" i="4" a="1"/>
  <c r="H785" i="4"/>
  <c r="K785" i="4" s="1"/>
  <c r="J784" i="4" a="1"/>
  <c r="J784" i="4"/>
  <c r="M784" i="4" s="1"/>
  <c r="I784" i="4" a="1"/>
  <c r="I784" i="4"/>
  <c r="L784" i="4" s="1"/>
  <c r="H784" i="4" a="1"/>
  <c r="H784" i="4" s="1"/>
  <c r="K784" i="4" s="1"/>
  <c r="L783" i="4"/>
  <c r="J783" i="4" a="1"/>
  <c r="J783" i="4" s="1"/>
  <c r="M783" i="4" s="1"/>
  <c r="I783" i="4" a="1"/>
  <c r="I783" i="4"/>
  <c r="H783" i="4" a="1"/>
  <c r="H783" i="4" s="1"/>
  <c r="K783" i="4" s="1"/>
  <c r="L782" i="4"/>
  <c r="K782" i="4"/>
  <c r="J782" i="4" a="1"/>
  <c r="J782" i="4" s="1"/>
  <c r="M782" i="4" s="1"/>
  <c r="I782" i="4" a="1"/>
  <c r="I782" i="4"/>
  <c r="H782" i="4" a="1"/>
  <c r="H782" i="4"/>
  <c r="J781" i="4" a="1"/>
  <c r="J781" i="4"/>
  <c r="M781" i="4" s="1"/>
  <c r="I781" i="4" a="1"/>
  <c r="I781" i="4"/>
  <c r="L781" i="4" s="1"/>
  <c r="H781" i="4" a="1"/>
  <c r="H781" i="4" s="1"/>
  <c r="K781" i="4" s="1"/>
  <c r="J780" i="4" a="1"/>
  <c r="J780" i="4"/>
  <c r="M780" i="4" s="1"/>
  <c r="I780" i="4" a="1"/>
  <c r="I780" i="4" s="1"/>
  <c r="L780" i="4" s="1"/>
  <c r="H780" i="4" a="1"/>
  <c r="H780" i="4" s="1"/>
  <c r="K780" i="4" s="1"/>
  <c r="L779" i="4"/>
  <c r="K779" i="4"/>
  <c r="J779" i="4" a="1"/>
  <c r="J779" i="4" s="1"/>
  <c r="M779" i="4" s="1"/>
  <c r="I779" i="4" a="1"/>
  <c r="I779" i="4"/>
  <c r="H779" i="4" a="1"/>
  <c r="H779" i="4"/>
  <c r="M778" i="4"/>
  <c r="L778" i="4"/>
  <c r="K778" i="4"/>
  <c r="J778" i="4" a="1"/>
  <c r="J778" i="4" s="1"/>
  <c r="I778" i="4" a="1"/>
  <c r="I778" i="4"/>
  <c r="H778" i="4" a="1"/>
  <c r="H778" i="4"/>
  <c r="J777" i="4" a="1"/>
  <c r="J777" i="4"/>
  <c r="M777" i="4" s="1"/>
  <c r="I777" i="4" a="1"/>
  <c r="I777" i="4"/>
  <c r="L777" i="4" s="1"/>
  <c r="H777" i="4" a="1"/>
  <c r="H777" i="4" s="1"/>
  <c r="K777" i="4" s="1"/>
  <c r="M776" i="4"/>
  <c r="J776" i="4" a="1"/>
  <c r="J776" i="4"/>
  <c r="I776" i="4" a="1"/>
  <c r="I776" i="4" s="1"/>
  <c r="L776" i="4" s="1"/>
  <c r="H776" i="4" a="1"/>
  <c r="H776" i="4" s="1"/>
  <c r="K776" i="4" s="1"/>
  <c r="L775" i="4"/>
  <c r="J775" i="4" a="1"/>
  <c r="J775" i="4" s="1"/>
  <c r="M775" i="4" s="1"/>
  <c r="I775" i="4" a="1"/>
  <c r="I775" i="4"/>
  <c r="H775" i="4" a="1"/>
  <c r="H775" i="4"/>
  <c r="K775" i="4" s="1"/>
  <c r="M774" i="4"/>
  <c r="L774" i="4"/>
  <c r="K774" i="4"/>
  <c r="J774" i="4" a="1"/>
  <c r="J774" i="4"/>
  <c r="I774" i="4" a="1"/>
  <c r="I774" i="4"/>
  <c r="H774" i="4" a="1"/>
  <c r="H774" i="4"/>
  <c r="L773" i="4"/>
  <c r="K773" i="4"/>
  <c r="J773" i="4" a="1"/>
  <c r="J773" i="4" s="1"/>
  <c r="M773" i="4" s="1"/>
  <c r="I773" i="4" a="1"/>
  <c r="I773" i="4"/>
  <c r="H773" i="4" a="1"/>
  <c r="H773" i="4"/>
  <c r="J772" i="4" a="1"/>
  <c r="J772" i="4"/>
  <c r="M772" i="4" s="1"/>
  <c r="I772" i="4" a="1"/>
  <c r="I772" i="4" s="1"/>
  <c r="L772" i="4" s="1"/>
  <c r="H772" i="4" a="1"/>
  <c r="H772" i="4" s="1"/>
  <c r="K772" i="4" s="1"/>
  <c r="M771" i="4"/>
  <c r="L771" i="4"/>
  <c r="K771" i="4"/>
  <c r="J771" i="4" a="1"/>
  <c r="J771" i="4" s="1"/>
  <c r="I771" i="4" a="1"/>
  <c r="I771" i="4"/>
  <c r="H771" i="4" a="1"/>
  <c r="H771" i="4"/>
  <c r="M770" i="4"/>
  <c r="K770" i="4"/>
  <c r="J770" i="4" a="1"/>
  <c r="J770" i="4"/>
  <c r="I770" i="4" a="1"/>
  <c r="I770" i="4"/>
  <c r="L770" i="4" s="1"/>
  <c r="H770" i="4" a="1"/>
  <c r="H770" i="4"/>
  <c r="L769" i="4"/>
  <c r="J769" i="4" a="1"/>
  <c r="J769" i="4"/>
  <c r="M769" i="4" s="1"/>
  <c r="I769" i="4" a="1"/>
  <c r="I769" i="4"/>
  <c r="H769" i="4" a="1"/>
  <c r="H769" i="4"/>
  <c r="K769" i="4" s="1"/>
  <c r="M768" i="4"/>
  <c r="J768" i="4" a="1"/>
  <c r="J768" i="4"/>
  <c r="I768" i="4" a="1"/>
  <c r="I768" i="4" s="1"/>
  <c r="L768" i="4" s="1"/>
  <c r="H768" i="4" a="1"/>
  <c r="H768" i="4" s="1"/>
  <c r="K768" i="4" s="1"/>
  <c r="M767" i="4"/>
  <c r="L767" i="4"/>
  <c r="K767" i="4"/>
  <c r="J767" i="4" a="1"/>
  <c r="J767" i="4" s="1"/>
  <c r="I767" i="4" a="1"/>
  <c r="I767" i="4"/>
  <c r="H767" i="4" a="1"/>
  <c r="H767" i="4"/>
  <c r="K766" i="4"/>
  <c r="J766" i="4" a="1"/>
  <c r="J766" i="4" s="1"/>
  <c r="M766" i="4" s="1"/>
  <c r="I766" i="4" a="1"/>
  <c r="I766" i="4"/>
  <c r="L766" i="4" s="1"/>
  <c r="H766" i="4" a="1"/>
  <c r="H766" i="4"/>
  <c r="L765" i="4"/>
  <c r="J765" i="4" a="1"/>
  <c r="J765" i="4" s="1"/>
  <c r="M765" i="4" s="1"/>
  <c r="I765" i="4" a="1"/>
  <c r="I765" i="4"/>
  <c r="H765" i="4" a="1"/>
  <c r="H765" i="4"/>
  <c r="K765" i="4" s="1"/>
  <c r="M764" i="4"/>
  <c r="J764" i="4" a="1"/>
  <c r="J764" i="4"/>
  <c r="I764" i="4" a="1"/>
  <c r="I764" i="4"/>
  <c r="L764" i="4" s="1"/>
  <c r="H764" i="4" a="1"/>
  <c r="H764" i="4" s="1"/>
  <c r="K764" i="4" s="1"/>
  <c r="M763" i="4"/>
  <c r="L763" i="4"/>
  <c r="J763" i="4" a="1"/>
  <c r="J763" i="4" s="1"/>
  <c r="I763" i="4" a="1"/>
  <c r="I763" i="4"/>
  <c r="H763" i="4" a="1"/>
  <c r="H763" i="4" s="1"/>
  <c r="K763" i="4" s="1"/>
  <c r="L762" i="4"/>
  <c r="K762" i="4"/>
  <c r="J762" i="4" a="1"/>
  <c r="J762" i="4"/>
  <c r="M762" i="4" s="1"/>
  <c r="I762" i="4" a="1"/>
  <c r="I762" i="4"/>
  <c r="H762" i="4" a="1"/>
  <c r="H762" i="4"/>
  <c r="L761" i="4"/>
  <c r="K761" i="4"/>
  <c r="J761" i="4" a="1"/>
  <c r="J761" i="4" s="1"/>
  <c r="M761" i="4" s="1"/>
  <c r="I761" i="4" a="1"/>
  <c r="I761" i="4"/>
  <c r="H761" i="4" a="1"/>
  <c r="H761" i="4"/>
  <c r="J760" i="4" a="1"/>
  <c r="J760" i="4"/>
  <c r="M760" i="4" s="1"/>
  <c r="I760" i="4" a="1"/>
  <c r="I760" i="4" s="1"/>
  <c r="L760" i="4" s="1"/>
  <c r="H760" i="4" a="1"/>
  <c r="H760" i="4"/>
  <c r="K760" i="4" s="1"/>
  <c r="L759" i="4"/>
  <c r="K759" i="4"/>
  <c r="J759" i="4" a="1"/>
  <c r="J759" i="4" s="1"/>
  <c r="M759" i="4" s="1"/>
  <c r="I759" i="4" a="1"/>
  <c r="I759" i="4"/>
  <c r="H759" i="4" a="1"/>
  <c r="H759" i="4" s="1"/>
  <c r="M758" i="4"/>
  <c r="L758" i="4"/>
  <c r="K758" i="4"/>
  <c r="J758" i="4" a="1"/>
  <c r="J758" i="4" s="1"/>
  <c r="I758" i="4" a="1"/>
  <c r="I758" i="4"/>
  <c r="H758" i="4" a="1"/>
  <c r="H758" i="4"/>
  <c r="J757" i="4" a="1"/>
  <c r="J757" i="4"/>
  <c r="M757" i="4" s="1"/>
  <c r="I757" i="4" a="1"/>
  <c r="I757" i="4"/>
  <c r="L757" i="4" s="1"/>
  <c r="H757" i="4" a="1"/>
  <c r="H757" i="4" s="1"/>
  <c r="K757" i="4" s="1"/>
  <c r="M756" i="4"/>
  <c r="J756" i="4" a="1"/>
  <c r="J756" i="4"/>
  <c r="I756" i="4" a="1"/>
  <c r="I756" i="4" s="1"/>
  <c r="L756" i="4" s="1"/>
  <c r="H756" i="4" a="1"/>
  <c r="H756" i="4" s="1"/>
  <c r="K756" i="4" s="1"/>
  <c r="M755" i="4"/>
  <c r="L755" i="4"/>
  <c r="J755" i="4" a="1"/>
  <c r="J755" i="4" s="1"/>
  <c r="I755" i="4" a="1"/>
  <c r="I755" i="4"/>
  <c r="H755" i="4" a="1"/>
  <c r="H755" i="4" s="1"/>
  <c r="K755" i="4" s="1"/>
  <c r="K754" i="4"/>
  <c r="J754" i="4" a="1"/>
  <c r="J754" i="4"/>
  <c r="M754" i="4" s="1"/>
  <c r="I754" i="4" a="1"/>
  <c r="I754" i="4"/>
  <c r="L754" i="4" s="1"/>
  <c r="H754" i="4" a="1"/>
  <c r="H754" i="4"/>
  <c r="L753" i="4"/>
  <c r="J753" i="4" a="1"/>
  <c r="J753" i="4" s="1"/>
  <c r="M753" i="4" s="1"/>
  <c r="I753" i="4" a="1"/>
  <c r="I753" i="4"/>
  <c r="H753" i="4" a="1"/>
  <c r="H753" i="4"/>
  <c r="K753" i="4" s="1"/>
  <c r="M752" i="4"/>
  <c r="J752" i="4" a="1"/>
  <c r="J752" i="4" s="1"/>
  <c r="I752" i="4" a="1"/>
  <c r="I752" i="4"/>
  <c r="L752" i="4" s="1"/>
  <c r="H752" i="4" a="1"/>
  <c r="H752" i="4"/>
  <c r="K752" i="4" s="1"/>
  <c r="M751" i="4"/>
  <c r="J751" i="4" a="1"/>
  <c r="J751" i="4" s="1"/>
  <c r="I751" i="4" a="1"/>
  <c r="I751" i="4"/>
  <c r="L751" i="4" s="1"/>
  <c r="H751" i="4" a="1"/>
  <c r="H751" i="4" s="1"/>
  <c r="K751" i="4" s="1"/>
  <c r="L750" i="4"/>
  <c r="J750" i="4" a="1"/>
  <c r="J750" i="4"/>
  <c r="M750" i="4" s="1"/>
  <c r="I750" i="4" a="1"/>
  <c r="I750" i="4"/>
  <c r="H750" i="4" a="1"/>
  <c r="H750" i="4"/>
  <c r="K750" i="4" s="1"/>
  <c r="L749" i="4"/>
  <c r="K749" i="4"/>
  <c r="J749" i="4" a="1"/>
  <c r="J749" i="4"/>
  <c r="M749" i="4" s="1"/>
  <c r="I749" i="4" a="1"/>
  <c r="I749" i="4"/>
  <c r="H749" i="4" a="1"/>
  <c r="H749" i="4" s="1"/>
  <c r="J748" i="4" a="1"/>
  <c r="J748" i="4"/>
  <c r="M748" i="4" s="1"/>
  <c r="I748" i="4" a="1"/>
  <c r="I748" i="4" s="1"/>
  <c r="L748" i="4" s="1"/>
  <c r="H748" i="4" a="1"/>
  <c r="H748" i="4"/>
  <c r="K748" i="4" s="1"/>
  <c r="M747" i="4"/>
  <c r="L747" i="4"/>
  <c r="J747" i="4" a="1"/>
  <c r="J747" i="4" s="1"/>
  <c r="I747" i="4" a="1"/>
  <c r="I747" i="4"/>
  <c r="H747" i="4" a="1"/>
  <c r="H747" i="4" s="1"/>
  <c r="K747" i="4" s="1"/>
  <c r="K746" i="4"/>
  <c r="J746" i="4" a="1"/>
  <c r="J746" i="4"/>
  <c r="M746" i="4" s="1"/>
  <c r="I746" i="4" a="1"/>
  <c r="I746" i="4" s="1"/>
  <c r="L746" i="4" s="1"/>
  <c r="H746" i="4" a="1"/>
  <c r="H746" i="4"/>
  <c r="K745" i="4"/>
  <c r="J745" i="4" a="1"/>
  <c r="J745" i="4" s="1"/>
  <c r="M745" i="4" s="1"/>
  <c r="I745" i="4" a="1"/>
  <c r="I745" i="4" s="1"/>
  <c r="L745" i="4" s="1"/>
  <c r="H745" i="4" a="1"/>
  <c r="H745" i="4"/>
  <c r="J744" i="4" a="1"/>
  <c r="J744" i="4"/>
  <c r="M744" i="4" s="1"/>
  <c r="I744" i="4" a="1"/>
  <c r="I744" i="4"/>
  <c r="L744" i="4" s="1"/>
  <c r="H744" i="4" a="1"/>
  <c r="H744" i="4"/>
  <c r="K744" i="4" s="1"/>
  <c r="L743" i="4"/>
  <c r="K743" i="4"/>
  <c r="J743" i="4" a="1"/>
  <c r="J743" i="4" s="1"/>
  <c r="M743" i="4" s="1"/>
  <c r="I743" i="4" a="1"/>
  <c r="I743" i="4" s="1"/>
  <c r="H743" i="4" a="1"/>
  <c r="H743" i="4"/>
  <c r="J742" i="4" a="1"/>
  <c r="J742" i="4"/>
  <c r="M742" i="4" s="1"/>
  <c r="I742" i="4" a="1"/>
  <c r="I742" i="4"/>
  <c r="L742" i="4" s="1"/>
  <c r="H742" i="4" a="1"/>
  <c r="H742" i="4"/>
  <c r="K742" i="4" s="1"/>
  <c r="L741" i="4"/>
  <c r="J741" i="4" a="1"/>
  <c r="J741" i="4"/>
  <c r="M741" i="4" s="1"/>
  <c r="I741" i="4" a="1"/>
  <c r="I741" i="4"/>
  <c r="H741" i="4" a="1"/>
  <c r="H741" i="4"/>
  <c r="K741" i="4" s="1"/>
  <c r="K740" i="4"/>
  <c r="J740" i="4" a="1"/>
  <c r="J740" i="4" s="1"/>
  <c r="M740" i="4" s="1"/>
  <c r="I740" i="4" a="1"/>
  <c r="I740" i="4"/>
  <c r="L740" i="4" s="1"/>
  <c r="H740" i="4" a="1"/>
  <c r="H740" i="4"/>
  <c r="L739" i="4"/>
  <c r="J739" i="4" a="1"/>
  <c r="J739" i="4" s="1"/>
  <c r="M739" i="4" s="1"/>
  <c r="I739" i="4" a="1"/>
  <c r="I739" i="4" s="1"/>
  <c r="H739" i="4" a="1"/>
  <c r="H739" i="4" s="1"/>
  <c r="K739" i="4" s="1"/>
  <c r="M738" i="4"/>
  <c r="K738" i="4"/>
  <c r="J738" i="4" a="1"/>
  <c r="J738" i="4"/>
  <c r="I738" i="4" a="1"/>
  <c r="I738" i="4"/>
  <c r="L738" i="4" s="1"/>
  <c r="H738" i="4" a="1"/>
  <c r="H738" i="4"/>
  <c r="J737" i="4" a="1"/>
  <c r="J737" i="4"/>
  <c r="M737" i="4" s="1"/>
  <c r="I737" i="4" a="1"/>
  <c r="I737" i="4"/>
  <c r="L737" i="4" s="1"/>
  <c r="H737" i="4" a="1"/>
  <c r="H737" i="4"/>
  <c r="K737" i="4" s="1"/>
  <c r="K736" i="4"/>
  <c r="J736" i="4" a="1"/>
  <c r="J736" i="4" s="1"/>
  <c r="M736" i="4" s="1"/>
  <c r="I736" i="4" a="1"/>
  <c r="I736" i="4" s="1"/>
  <c r="L736" i="4" s="1"/>
  <c r="H736" i="4" a="1"/>
  <c r="H736" i="4"/>
  <c r="M735" i="4"/>
  <c r="L735" i="4"/>
  <c r="K735" i="4"/>
  <c r="J735" i="4" a="1"/>
  <c r="J735" i="4" s="1"/>
  <c r="I735" i="4" a="1"/>
  <c r="I735" i="4"/>
  <c r="H735" i="4" a="1"/>
  <c r="H735" i="4"/>
  <c r="M734" i="4"/>
  <c r="K734" i="4"/>
  <c r="J734" i="4" a="1"/>
  <c r="J734" i="4"/>
  <c r="I734" i="4" a="1"/>
  <c r="I734" i="4"/>
  <c r="L734" i="4" s="1"/>
  <c r="H734" i="4" a="1"/>
  <c r="H734" i="4"/>
  <c r="J733" i="4" a="1"/>
  <c r="J733" i="4" s="1"/>
  <c r="M733" i="4" s="1"/>
  <c r="I733" i="4" a="1"/>
  <c r="I733" i="4"/>
  <c r="L733" i="4" s="1"/>
  <c r="H733" i="4" a="1"/>
  <c r="H733" i="4"/>
  <c r="K733" i="4" s="1"/>
  <c r="J732" i="4" a="1"/>
  <c r="J732" i="4" s="1"/>
  <c r="M732" i="4" s="1"/>
  <c r="I732" i="4" a="1"/>
  <c r="I732" i="4"/>
  <c r="L732" i="4" s="1"/>
  <c r="H732" i="4" a="1"/>
  <c r="H732" i="4" s="1"/>
  <c r="K732" i="4" s="1"/>
  <c r="M731" i="4"/>
  <c r="K731" i="4"/>
  <c r="J731" i="4" a="1"/>
  <c r="J731" i="4" s="1"/>
  <c r="I731" i="4" a="1"/>
  <c r="I731" i="4"/>
  <c r="L731" i="4" s="1"/>
  <c r="H731" i="4" a="1"/>
  <c r="H731" i="4"/>
  <c r="J730" i="4" a="1"/>
  <c r="J730" i="4"/>
  <c r="M730" i="4" s="1"/>
  <c r="I730" i="4" a="1"/>
  <c r="I730" i="4" s="1"/>
  <c r="L730" i="4" s="1"/>
  <c r="H730" i="4" a="1"/>
  <c r="H730" i="4"/>
  <c r="K730" i="4" s="1"/>
  <c r="M729" i="4"/>
  <c r="L729" i="4"/>
  <c r="K729" i="4"/>
  <c r="J729" i="4" a="1"/>
  <c r="J729" i="4"/>
  <c r="I729" i="4" a="1"/>
  <c r="I729" i="4" s="1"/>
  <c r="H729" i="4" a="1"/>
  <c r="H729" i="4"/>
  <c r="M728" i="4"/>
  <c r="K728" i="4"/>
  <c r="J728" i="4" a="1"/>
  <c r="J728" i="4"/>
  <c r="I728" i="4" a="1"/>
  <c r="I728" i="4" s="1"/>
  <c r="L728" i="4" s="1"/>
  <c r="H728" i="4" a="1"/>
  <c r="H728" i="4" s="1"/>
  <c r="J727" i="4" a="1"/>
  <c r="J727" i="4" s="1"/>
  <c r="M727" i="4" s="1"/>
  <c r="I727" i="4" a="1"/>
  <c r="I727" i="4"/>
  <c r="L727" i="4" s="1"/>
  <c r="H727" i="4" a="1"/>
  <c r="H727" i="4" s="1"/>
  <c r="K727" i="4" s="1"/>
  <c r="L726" i="4"/>
  <c r="K726" i="4"/>
  <c r="J726" i="4" a="1"/>
  <c r="J726" i="4" s="1"/>
  <c r="M726" i="4" s="1"/>
  <c r="I726" i="4" a="1"/>
  <c r="I726" i="4"/>
  <c r="H726" i="4" a="1"/>
  <c r="H726" i="4"/>
  <c r="M725" i="4"/>
  <c r="K725" i="4"/>
  <c r="J725" i="4" a="1"/>
  <c r="J725" i="4"/>
  <c r="I725" i="4" a="1"/>
  <c r="I725" i="4" s="1"/>
  <c r="L725" i="4" s="1"/>
  <c r="H725" i="4" a="1"/>
  <c r="H725" i="4" s="1"/>
  <c r="J724" i="4" a="1"/>
  <c r="J724" i="4"/>
  <c r="M724" i="4" s="1"/>
  <c r="I724" i="4" a="1"/>
  <c r="I724" i="4"/>
  <c r="L724" i="4" s="1"/>
  <c r="H724" i="4" a="1"/>
  <c r="H724" i="4"/>
  <c r="K724" i="4" s="1"/>
  <c r="M723" i="4"/>
  <c r="L723" i="4"/>
  <c r="J723" i="4" a="1"/>
  <c r="J723" i="4" s="1"/>
  <c r="I723" i="4" a="1"/>
  <c r="I723" i="4"/>
  <c r="H723" i="4" a="1"/>
  <c r="H723" i="4"/>
  <c r="K723" i="4" s="1"/>
  <c r="M722" i="4"/>
  <c r="L722" i="4"/>
  <c r="K722" i="4"/>
  <c r="J722" i="4" a="1"/>
  <c r="J722" i="4"/>
  <c r="I722" i="4" a="1"/>
  <c r="I722" i="4"/>
  <c r="H722" i="4" a="1"/>
  <c r="H722" i="4"/>
  <c r="K721" i="4"/>
  <c r="J721" i="4" a="1"/>
  <c r="J721" i="4"/>
  <c r="M721" i="4" s="1"/>
  <c r="I721" i="4" a="1"/>
  <c r="I721" i="4"/>
  <c r="L721" i="4" s="1"/>
  <c r="H721" i="4" a="1"/>
  <c r="H721" i="4"/>
  <c r="M720" i="4"/>
  <c r="J720" i="4" a="1"/>
  <c r="J720" i="4"/>
  <c r="I720" i="4" a="1"/>
  <c r="I720" i="4"/>
  <c r="L720" i="4" s="1"/>
  <c r="H720" i="4" a="1"/>
  <c r="H720" i="4"/>
  <c r="K720" i="4" s="1"/>
  <c r="K719" i="4"/>
  <c r="J719" i="4" a="1"/>
  <c r="J719" i="4" s="1"/>
  <c r="M719" i="4" s="1"/>
  <c r="I719" i="4" a="1"/>
  <c r="I719" i="4" s="1"/>
  <c r="L719" i="4" s="1"/>
  <c r="H719" i="4" a="1"/>
  <c r="H719" i="4" s="1"/>
  <c r="J718" i="4" a="1"/>
  <c r="J718" i="4"/>
  <c r="M718" i="4" s="1"/>
  <c r="I718" i="4" a="1"/>
  <c r="I718" i="4" s="1"/>
  <c r="L718" i="4" s="1"/>
  <c r="H718" i="4" a="1"/>
  <c r="H718" i="4"/>
  <c r="K718" i="4" s="1"/>
  <c r="L717" i="4"/>
  <c r="K717" i="4"/>
  <c r="J717" i="4" a="1"/>
  <c r="J717" i="4"/>
  <c r="M717" i="4" s="1"/>
  <c r="I717" i="4" a="1"/>
  <c r="I717" i="4"/>
  <c r="H717" i="4" a="1"/>
  <c r="H717" i="4"/>
  <c r="M716" i="4"/>
  <c r="J716" i="4" a="1"/>
  <c r="J716" i="4" s="1"/>
  <c r="I716" i="4" a="1"/>
  <c r="I716" i="4" s="1"/>
  <c r="L716" i="4" s="1"/>
  <c r="H716" i="4" a="1"/>
  <c r="H716" i="4" s="1"/>
  <c r="K716" i="4" s="1"/>
  <c r="K715" i="4"/>
  <c r="J715" i="4" a="1"/>
  <c r="J715" i="4" s="1"/>
  <c r="M715" i="4" s="1"/>
  <c r="I715" i="4" a="1"/>
  <c r="I715" i="4" s="1"/>
  <c r="L715" i="4" s="1"/>
  <c r="H715" i="4" a="1"/>
  <c r="H715" i="4" s="1"/>
  <c r="L714" i="4"/>
  <c r="J714" i="4" a="1"/>
  <c r="J714" i="4" s="1"/>
  <c r="M714" i="4" s="1"/>
  <c r="I714" i="4" a="1"/>
  <c r="I714" i="4"/>
  <c r="H714" i="4" a="1"/>
  <c r="H714" i="4"/>
  <c r="K714" i="4" s="1"/>
  <c r="M713" i="4"/>
  <c r="L713" i="4"/>
  <c r="J713" i="4" a="1"/>
  <c r="J713" i="4"/>
  <c r="I713" i="4" a="1"/>
  <c r="I713" i="4"/>
  <c r="H713" i="4" a="1"/>
  <c r="H713" i="4" s="1"/>
  <c r="K713" i="4" s="1"/>
  <c r="J712" i="4" a="1"/>
  <c r="J712" i="4"/>
  <c r="M712" i="4" s="1"/>
  <c r="I712" i="4" a="1"/>
  <c r="I712" i="4" s="1"/>
  <c r="L712" i="4" s="1"/>
  <c r="H712" i="4" a="1"/>
  <c r="H712" i="4" s="1"/>
  <c r="K712" i="4" s="1"/>
  <c r="M711" i="4"/>
  <c r="L711" i="4"/>
  <c r="K711" i="4"/>
  <c r="J711" i="4" a="1"/>
  <c r="J711" i="4" s="1"/>
  <c r="I711" i="4" a="1"/>
  <c r="I711" i="4"/>
  <c r="H711" i="4" a="1"/>
  <c r="H711" i="4"/>
  <c r="M710" i="4"/>
  <c r="J710" i="4" a="1"/>
  <c r="J710" i="4" s="1"/>
  <c r="I710" i="4" a="1"/>
  <c r="I710" i="4"/>
  <c r="L710" i="4" s="1"/>
  <c r="H710" i="4" a="1"/>
  <c r="H710" i="4"/>
  <c r="K710" i="4" s="1"/>
  <c r="J709" i="4" a="1"/>
  <c r="J709" i="4" s="1"/>
  <c r="M709" i="4" s="1"/>
  <c r="I709" i="4" a="1"/>
  <c r="I709" i="4"/>
  <c r="L709" i="4" s="1"/>
  <c r="H709" i="4" a="1"/>
  <c r="H709" i="4" s="1"/>
  <c r="K709" i="4" s="1"/>
  <c r="K708" i="4"/>
  <c r="J708" i="4" a="1"/>
  <c r="J708" i="4" s="1"/>
  <c r="M708" i="4" s="1"/>
  <c r="I708" i="4" a="1"/>
  <c r="I708" i="4"/>
  <c r="L708" i="4" s="1"/>
  <c r="H708" i="4" a="1"/>
  <c r="H708" i="4" s="1"/>
  <c r="M707" i="4"/>
  <c r="J707" i="4" a="1"/>
  <c r="J707" i="4" s="1"/>
  <c r="I707" i="4" a="1"/>
  <c r="I707" i="4"/>
  <c r="L707" i="4" s="1"/>
  <c r="H707" i="4" a="1"/>
  <c r="H707" i="4"/>
  <c r="K707" i="4" s="1"/>
  <c r="J706" i="4" a="1"/>
  <c r="J706" i="4"/>
  <c r="M706" i="4" s="1"/>
  <c r="I706" i="4" a="1"/>
  <c r="I706" i="4"/>
  <c r="L706" i="4" s="1"/>
  <c r="H706" i="4" a="1"/>
  <c r="H706" i="4"/>
  <c r="K706" i="4" s="1"/>
  <c r="L705" i="4"/>
  <c r="J705" i="4" a="1"/>
  <c r="J705" i="4" s="1"/>
  <c r="M705" i="4" s="1"/>
  <c r="I705" i="4" a="1"/>
  <c r="I705" i="4" s="1"/>
  <c r="H705" i="4" a="1"/>
  <c r="H705" i="4"/>
  <c r="K705" i="4" s="1"/>
  <c r="M704" i="4"/>
  <c r="L704" i="4"/>
  <c r="J704" i="4" a="1"/>
  <c r="J704" i="4"/>
  <c r="I704" i="4" a="1"/>
  <c r="I704" i="4"/>
  <c r="H704" i="4" a="1"/>
  <c r="H704" i="4" s="1"/>
  <c r="K704" i="4" s="1"/>
  <c r="J703" i="4" a="1"/>
  <c r="J703" i="4"/>
  <c r="M703" i="4" s="1"/>
  <c r="I703" i="4" a="1"/>
  <c r="I703" i="4"/>
  <c r="L703" i="4" s="1"/>
  <c r="H703" i="4" a="1"/>
  <c r="H703" i="4"/>
  <c r="K703" i="4" s="1"/>
  <c r="M702" i="4"/>
  <c r="J702" i="4" a="1"/>
  <c r="J702" i="4"/>
  <c r="I702" i="4" a="1"/>
  <c r="I702" i="4"/>
  <c r="L702" i="4" s="1"/>
  <c r="H702" i="4" a="1"/>
  <c r="H702" i="4" s="1"/>
  <c r="K702" i="4" s="1"/>
  <c r="K701" i="4"/>
  <c r="J701" i="4" a="1"/>
  <c r="J701" i="4" s="1"/>
  <c r="M701" i="4" s="1"/>
  <c r="I701" i="4" a="1"/>
  <c r="I701" i="4" s="1"/>
  <c r="L701" i="4" s="1"/>
  <c r="H701" i="4" a="1"/>
  <c r="H701" i="4"/>
  <c r="J700" i="4" a="1"/>
  <c r="J700" i="4"/>
  <c r="M700" i="4" s="1"/>
  <c r="I700" i="4" a="1"/>
  <c r="I700" i="4"/>
  <c r="L700" i="4" s="1"/>
  <c r="H700" i="4" a="1"/>
  <c r="H700" i="4"/>
  <c r="K700" i="4" s="1"/>
  <c r="L699" i="4"/>
  <c r="J699" i="4" a="1"/>
  <c r="J699" i="4"/>
  <c r="M699" i="4" s="1"/>
  <c r="I699" i="4" a="1"/>
  <c r="I699" i="4"/>
  <c r="H699" i="4" a="1"/>
  <c r="H699" i="4" s="1"/>
  <c r="K699" i="4" s="1"/>
  <c r="L698" i="4"/>
  <c r="K698" i="4"/>
  <c r="J698" i="4" a="1"/>
  <c r="J698" i="4"/>
  <c r="M698" i="4" s="1"/>
  <c r="I698" i="4" a="1"/>
  <c r="I698" i="4"/>
  <c r="H698" i="4" a="1"/>
  <c r="H698" i="4"/>
  <c r="L697" i="4"/>
  <c r="J697" i="4" a="1"/>
  <c r="J697" i="4"/>
  <c r="M697" i="4" s="1"/>
  <c r="I697" i="4" a="1"/>
  <c r="I697" i="4" s="1"/>
  <c r="H697" i="4" a="1"/>
  <c r="H697" i="4"/>
  <c r="K697" i="4" s="1"/>
  <c r="J696" i="4" a="1"/>
  <c r="J696" i="4"/>
  <c r="M696" i="4" s="1"/>
  <c r="I696" i="4" a="1"/>
  <c r="I696" i="4"/>
  <c r="L696" i="4" s="1"/>
  <c r="H696" i="4" a="1"/>
  <c r="H696" i="4"/>
  <c r="K696" i="4" s="1"/>
  <c r="L695" i="4"/>
  <c r="J695" i="4" a="1"/>
  <c r="J695" i="4" s="1"/>
  <c r="M695" i="4" s="1"/>
  <c r="I695" i="4" a="1"/>
  <c r="I695" i="4"/>
  <c r="H695" i="4" a="1"/>
  <c r="H695" i="4" s="1"/>
  <c r="K695" i="4" s="1"/>
  <c r="M694" i="4"/>
  <c r="K694" i="4"/>
  <c r="J694" i="4" a="1"/>
  <c r="J694" i="4"/>
  <c r="I694" i="4" a="1"/>
  <c r="I694" i="4"/>
  <c r="L694" i="4" s="1"/>
  <c r="H694" i="4" a="1"/>
  <c r="H694" i="4"/>
  <c r="L693" i="4"/>
  <c r="K693" i="4"/>
  <c r="J693" i="4" a="1"/>
  <c r="J693" i="4" s="1"/>
  <c r="M693" i="4" s="1"/>
  <c r="I693" i="4" a="1"/>
  <c r="I693" i="4" s="1"/>
  <c r="H693" i="4" a="1"/>
  <c r="H693" i="4"/>
  <c r="M692" i="4"/>
  <c r="J692" i="4" a="1"/>
  <c r="J692" i="4"/>
  <c r="I692" i="4" a="1"/>
  <c r="I692" i="4"/>
  <c r="L692" i="4" s="1"/>
  <c r="H692" i="4" a="1"/>
  <c r="H692" i="4"/>
  <c r="K692" i="4" s="1"/>
  <c r="K691" i="4"/>
  <c r="J691" i="4" a="1"/>
  <c r="J691" i="4"/>
  <c r="M691" i="4" s="1"/>
  <c r="I691" i="4" a="1"/>
  <c r="I691" i="4" s="1"/>
  <c r="L691" i="4" s="1"/>
  <c r="H691" i="4" a="1"/>
  <c r="H691" i="4"/>
  <c r="M690" i="4"/>
  <c r="K690" i="4"/>
  <c r="J690" i="4" a="1"/>
  <c r="J690" i="4"/>
  <c r="I690" i="4" a="1"/>
  <c r="I690" i="4" s="1"/>
  <c r="L690" i="4" s="1"/>
  <c r="H690" i="4" a="1"/>
  <c r="H690" i="4"/>
  <c r="J689" i="4" a="1"/>
  <c r="J689" i="4"/>
  <c r="M689" i="4" s="1"/>
  <c r="I689" i="4" a="1"/>
  <c r="I689" i="4" s="1"/>
  <c r="L689" i="4" s="1"/>
  <c r="H689" i="4" a="1"/>
  <c r="H689" i="4" s="1"/>
  <c r="K689" i="4" s="1"/>
  <c r="L688" i="4"/>
  <c r="K688" i="4"/>
  <c r="J688" i="4" a="1"/>
  <c r="J688" i="4" s="1"/>
  <c r="M688" i="4" s="1"/>
  <c r="I688" i="4" a="1"/>
  <c r="I688" i="4"/>
  <c r="H688" i="4" a="1"/>
  <c r="H688" i="4"/>
  <c r="J687" i="4" a="1"/>
  <c r="J687" i="4"/>
  <c r="M687" i="4" s="1"/>
  <c r="I687" i="4" a="1"/>
  <c r="I687" i="4" s="1"/>
  <c r="L687" i="4" s="1"/>
  <c r="H687" i="4" a="1"/>
  <c r="H687" i="4" s="1"/>
  <c r="K687" i="4" s="1"/>
  <c r="K686" i="4"/>
  <c r="J686" i="4" a="1"/>
  <c r="J686" i="4"/>
  <c r="M686" i="4" s="1"/>
  <c r="I686" i="4" a="1"/>
  <c r="I686" i="4" s="1"/>
  <c r="L686" i="4" s="1"/>
  <c r="H686" i="4" a="1"/>
  <c r="H686" i="4"/>
  <c r="M685" i="4"/>
  <c r="L685" i="4"/>
  <c r="J685" i="4" a="1"/>
  <c r="J685" i="4"/>
  <c r="I685" i="4" a="1"/>
  <c r="I685" i="4" s="1"/>
  <c r="H685" i="4" a="1"/>
  <c r="H685" i="4"/>
  <c r="K685" i="4" s="1"/>
  <c r="M684" i="4"/>
  <c r="K684" i="4"/>
  <c r="J684" i="4" a="1"/>
  <c r="J684" i="4"/>
  <c r="I684" i="4" a="1"/>
  <c r="I684" i="4" s="1"/>
  <c r="L684" i="4" s="1"/>
  <c r="H684" i="4" a="1"/>
  <c r="H684" i="4"/>
  <c r="L683" i="4"/>
  <c r="J683" i="4" a="1"/>
  <c r="J683" i="4"/>
  <c r="M683" i="4" s="1"/>
  <c r="I683" i="4" a="1"/>
  <c r="I683" i="4"/>
  <c r="H683" i="4" a="1"/>
  <c r="H683" i="4" s="1"/>
  <c r="K683" i="4" s="1"/>
  <c r="J682" i="4" a="1"/>
  <c r="J682" i="4"/>
  <c r="M682" i="4" s="1"/>
  <c r="I682" i="4" a="1"/>
  <c r="I682" i="4"/>
  <c r="L682" i="4" s="1"/>
  <c r="H682" i="4" a="1"/>
  <c r="H682" i="4" s="1"/>
  <c r="K682" i="4" s="1"/>
  <c r="L681" i="4"/>
  <c r="K681" i="4"/>
  <c r="J681" i="4" a="1"/>
  <c r="J681" i="4" s="1"/>
  <c r="M681" i="4" s="1"/>
  <c r="I681" i="4" a="1"/>
  <c r="I681" i="4" s="1"/>
  <c r="H681" i="4" a="1"/>
  <c r="H681" i="4"/>
  <c r="J680" i="4" a="1"/>
  <c r="J680" i="4"/>
  <c r="M680" i="4" s="1"/>
  <c r="I680" i="4" a="1"/>
  <c r="I680" i="4"/>
  <c r="L680" i="4" s="1"/>
  <c r="H680" i="4" a="1"/>
  <c r="H680" i="4" s="1"/>
  <c r="K680" i="4" s="1"/>
  <c r="J679" i="4" a="1"/>
  <c r="J679" i="4" s="1"/>
  <c r="M679" i="4" s="1"/>
  <c r="I679" i="4" a="1"/>
  <c r="I679" i="4"/>
  <c r="L679" i="4" s="1"/>
  <c r="H679" i="4" a="1"/>
  <c r="H679" i="4"/>
  <c r="K679" i="4" s="1"/>
  <c r="M678" i="4"/>
  <c r="K678" i="4"/>
  <c r="J678" i="4" a="1"/>
  <c r="J678" i="4"/>
  <c r="I678" i="4" a="1"/>
  <c r="I678" i="4"/>
  <c r="L678" i="4" s="1"/>
  <c r="H678" i="4" a="1"/>
  <c r="H678" i="4" s="1"/>
  <c r="K677" i="4"/>
  <c r="J677" i="4" a="1"/>
  <c r="J677" i="4"/>
  <c r="M677" i="4" s="1"/>
  <c r="I677" i="4" a="1"/>
  <c r="I677" i="4" s="1"/>
  <c r="L677" i="4" s="1"/>
  <c r="H677" i="4" a="1"/>
  <c r="H677" i="4"/>
  <c r="L676" i="4"/>
  <c r="K676" i="4"/>
  <c r="J676" i="4" a="1"/>
  <c r="J676" i="4"/>
  <c r="M676" i="4" s="1"/>
  <c r="I676" i="4" a="1"/>
  <c r="I676" i="4"/>
  <c r="H676" i="4" a="1"/>
  <c r="H676" i="4"/>
  <c r="J675" i="4" a="1"/>
  <c r="J675" i="4"/>
  <c r="M675" i="4" s="1"/>
  <c r="I675" i="4" a="1"/>
  <c r="I675" i="4"/>
  <c r="L675" i="4" s="1"/>
  <c r="H675" i="4" a="1"/>
  <c r="H675" i="4"/>
  <c r="K675" i="4" s="1"/>
  <c r="L674" i="4"/>
  <c r="J674" i="4" a="1"/>
  <c r="J674" i="4"/>
  <c r="M674" i="4" s="1"/>
  <c r="I674" i="4" a="1"/>
  <c r="I674" i="4"/>
  <c r="H674" i="4" a="1"/>
  <c r="H674" i="4"/>
  <c r="K674" i="4" s="1"/>
  <c r="L673" i="4"/>
  <c r="K673" i="4"/>
  <c r="J673" i="4" a="1"/>
  <c r="J673" i="4"/>
  <c r="M673" i="4" s="1"/>
  <c r="I673" i="4" a="1"/>
  <c r="I673" i="4" s="1"/>
  <c r="H673" i="4" a="1"/>
  <c r="H673" i="4"/>
  <c r="J672" i="4" a="1"/>
  <c r="J672" i="4"/>
  <c r="M672" i="4" s="1"/>
  <c r="I672" i="4" a="1"/>
  <c r="I672" i="4"/>
  <c r="L672" i="4" s="1"/>
  <c r="H672" i="4" a="1"/>
  <c r="H672" i="4"/>
  <c r="K672" i="4" s="1"/>
  <c r="L671" i="4"/>
  <c r="K671" i="4"/>
  <c r="J671" i="4" a="1"/>
  <c r="J671" i="4" s="1"/>
  <c r="M671" i="4" s="1"/>
  <c r="I671" i="4" a="1"/>
  <c r="I671" i="4"/>
  <c r="H671" i="4" a="1"/>
  <c r="H671" i="4"/>
  <c r="K670" i="4"/>
  <c r="J670" i="4" a="1"/>
  <c r="J670" i="4"/>
  <c r="M670" i="4" s="1"/>
  <c r="I670" i="4" a="1"/>
  <c r="I670" i="4"/>
  <c r="L670" i="4" s="1"/>
  <c r="H670" i="4" a="1"/>
  <c r="H670" i="4"/>
  <c r="L669" i="4"/>
  <c r="J669" i="4" a="1"/>
  <c r="J669" i="4"/>
  <c r="M669" i="4" s="1"/>
  <c r="I669" i="4" a="1"/>
  <c r="I669" i="4" s="1"/>
  <c r="H669" i="4" a="1"/>
  <c r="H669" i="4" s="1"/>
  <c r="K669" i="4" s="1"/>
  <c r="M668" i="4"/>
  <c r="L668" i="4"/>
  <c r="J668" i="4" a="1"/>
  <c r="J668" i="4"/>
  <c r="I668" i="4" a="1"/>
  <c r="I668" i="4"/>
  <c r="H668" i="4" a="1"/>
  <c r="H668" i="4"/>
  <c r="K668" i="4" s="1"/>
  <c r="K667" i="4"/>
  <c r="J667" i="4" a="1"/>
  <c r="J667" i="4"/>
  <c r="M667" i="4" s="1"/>
  <c r="I667" i="4" a="1"/>
  <c r="I667" i="4" s="1"/>
  <c r="L667" i="4" s="1"/>
  <c r="H667" i="4" a="1"/>
  <c r="H667" i="4"/>
  <c r="M666" i="4"/>
  <c r="J666" i="4" a="1"/>
  <c r="J666" i="4"/>
  <c r="I666" i="4" a="1"/>
  <c r="I666" i="4"/>
  <c r="L666" i="4" s="1"/>
  <c r="H666" i="4" a="1"/>
  <c r="H666" i="4" s="1"/>
  <c r="K666" i="4" s="1"/>
  <c r="J665" i="4" a="1"/>
  <c r="J665" i="4"/>
  <c r="M665" i="4" s="1"/>
  <c r="I665" i="4" a="1"/>
  <c r="I665" i="4" s="1"/>
  <c r="L665" i="4" s="1"/>
  <c r="H665" i="4" a="1"/>
  <c r="H665" i="4" s="1"/>
  <c r="K665" i="4" s="1"/>
  <c r="M664" i="4"/>
  <c r="L664" i="4"/>
  <c r="J664" i="4" a="1"/>
  <c r="J664" i="4" s="1"/>
  <c r="I664" i="4" a="1"/>
  <c r="I664" i="4"/>
  <c r="H664" i="4" a="1"/>
  <c r="H664" i="4"/>
  <c r="K664" i="4" s="1"/>
  <c r="K663" i="4"/>
  <c r="J663" i="4" a="1"/>
  <c r="J663" i="4"/>
  <c r="M663" i="4" s="1"/>
  <c r="I663" i="4" a="1"/>
  <c r="I663" i="4" s="1"/>
  <c r="L663" i="4" s="1"/>
  <c r="H663" i="4" a="1"/>
  <c r="H663" i="4" s="1"/>
  <c r="J662" i="4" a="1"/>
  <c r="J662" i="4"/>
  <c r="M662" i="4" s="1"/>
  <c r="I662" i="4" a="1"/>
  <c r="I662" i="4" s="1"/>
  <c r="L662" i="4" s="1"/>
  <c r="H662" i="4" a="1"/>
  <c r="H662" i="4" s="1"/>
  <c r="K662" i="4" s="1"/>
  <c r="L661" i="4"/>
  <c r="J661" i="4" a="1"/>
  <c r="J661" i="4" s="1"/>
  <c r="M661" i="4" s="1"/>
  <c r="I661" i="4" a="1"/>
  <c r="I661" i="4" s="1"/>
  <c r="H661" i="4" a="1"/>
  <c r="H661" i="4"/>
  <c r="K661" i="4" s="1"/>
  <c r="K660" i="4"/>
  <c r="J660" i="4" a="1"/>
  <c r="J660" i="4"/>
  <c r="M660" i="4" s="1"/>
  <c r="I660" i="4" a="1"/>
  <c r="I660" i="4" s="1"/>
  <c r="L660" i="4" s="1"/>
  <c r="H660" i="4" a="1"/>
  <c r="H660" i="4" s="1"/>
  <c r="L659" i="4"/>
  <c r="K659" i="4"/>
  <c r="J659" i="4" a="1"/>
  <c r="J659" i="4"/>
  <c r="M659" i="4" s="1"/>
  <c r="I659" i="4" a="1"/>
  <c r="I659" i="4"/>
  <c r="H659" i="4" a="1"/>
  <c r="H659" i="4"/>
  <c r="J658" i="4" a="1"/>
  <c r="J658" i="4"/>
  <c r="M658" i="4" s="1"/>
  <c r="I658" i="4" a="1"/>
  <c r="I658" i="4"/>
  <c r="L658" i="4" s="1"/>
  <c r="H658" i="4" a="1"/>
  <c r="H658" i="4" s="1"/>
  <c r="K658" i="4" s="1"/>
  <c r="M657" i="4"/>
  <c r="L657" i="4"/>
  <c r="J657" i="4" a="1"/>
  <c r="J657" i="4" s="1"/>
  <c r="I657" i="4" a="1"/>
  <c r="I657" i="4" s="1"/>
  <c r="H657" i="4" a="1"/>
  <c r="H657" i="4"/>
  <c r="K657" i="4" s="1"/>
  <c r="K656" i="4"/>
  <c r="J656" i="4" a="1"/>
  <c r="J656" i="4"/>
  <c r="M656" i="4" s="1"/>
  <c r="I656" i="4" a="1"/>
  <c r="I656" i="4"/>
  <c r="L656" i="4" s="1"/>
  <c r="H656" i="4" a="1"/>
  <c r="H656" i="4" s="1"/>
  <c r="J655" i="4" a="1"/>
  <c r="J655" i="4"/>
  <c r="M655" i="4" s="1"/>
  <c r="I655" i="4" a="1"/>
  <c r="I655" i="4"/>
  <c r="L655" i="4" s="1"/>
  <c r="H655" i="4" a="1"/>
  <c r="H655" i="4"/>
  <c r="K655" i="4" s="1"/>
  <c r="M654" i="4"/>
  <c r="L654" i="4"/>
  <c r="K654" i="4"/>
  <c r="J654" i="4" a="1"/>
  <c r="J654" i="4"/>
  <c r="I654" i="4" a="1"/>
  <c r="I654" i="4"/>
  <c r="H654" i="4" a="1"/>
  <c r="H654" i="4"/>
  <c r="M653" i="4"/>
  <c r="K653" i="4"/>
  <c r="J653" i="4" a="1"/>
  <c r="J653" i="4" s="1"/>
  <c r="I653" i="4" a="1"/>
  <c r="I653" i="4" s="1"/>
  <c r="L653" i="4" s="1"/>
  <c r="H653" i="4" a="1"/>
  <c r="H653" i="4"/>
  <c r="L652" i="4"/>
  <c r="J652" i="4" a="1"/>
  <c r="J652" i="4"/>
  <c r="M652" i="4" s="1"/>
  <c r="I652" i="4" a="1"/>
  <c r="I652" i="4"/>
  <c r="H652" i="4" a="1"/>
  <c r="H652" i="4"/>
  <c r="K652" i="4" s="1"/>
  <c r="J651" i="4" a="1"/>
  <c r="J651" i="4"/>
  <c r="M651" i="4" s="1"/>
  <c r="I651" i="4" a="1"/>
  <c r="I651" i="4"/>
  <c r="L651" i="4" s="1"/>
  <c r="H651" i="4" a="1"/>
  <c r="H651" i="4"/>
  <c r="K651" i="4" s="1"/>
  <c r="L650" i="4"/>
  <c r="J650" i="4" a="1"/>
  <c r="J650" i="4"/>
  <c r="M650" i="4" s="1"/>
  <c r="I650" i="4" a="1"/>
  <c r="I650" i="4"/>
  <c r="H650" i="4" a="1"/>
  <c r="H650" i="4"/>
  <c r="K650" i="4" s="1"/>
  <c r="M649" i="4"/>
  <c r="L649" i="4"/>
  <c r="J649" i="4" a="1"/>
  <c r="J649" i="4"/>
  <c r="I649" i="4" a="1"/>
  <c r="I649" i="4" s="1"/>
  <c r="H649" i="4" a="1"/>
  <c r="H649" i="4"/>
  <c r="K649" i="4" s="1"/>
  <c r="J648" i="4" a="1"/>
  <c r="J648" i="4" s="1"/>
  <c r="M648" i="4" s="1"/>
  <c r="I648" i="4" a="1"/>
  <c r="I648" i="4"/>
  <c r="L648" i="4" s="1"/>
  <c r="H648" i="4" a="1"/>
  <c r="H648" i="4"/>
  <c r="K648" i="4" s="1"/>
  <c r="L647" i="4"/>
  <c r="J647" i="4" a="1"/>
  <c r="J647" i="4" s="1"/>
  <c r="M647" i="4" s="1"/>
  <c r="I647" i="4" a="1"/>
  <c r="I647" i="4"/>
  <c r="H647" i="4" a="1"/>
  <c r="H647" i="4"/>
  <c r="K647" i="4" s="1"/>
  <c r="L646" i="4"/>
  <c r="K646" i="4"/>
  <c r="J646" i="4" a="1"/>
  <c r="J646" i="4"/>
  <c r="M646" i="4" s="1"/>
  <c r="I646" i="4" a="1"/>
  <c r="I646" i="4"/>
  <c r="H646" i="4" a="1"/>
  <c r="H646" i="4"/>
  <c r="L645" i="4"/>
  <c r="J645" i="4" a="1"/>
  <c r="J645" i="4" s="1"/>
  <c r="M645" i="4" s="1"/>
  <c r="I645" i="4" a="1"/>
  <c r="I645" i="4" s="1"/>
  <c r="H645" i="4" a="1"/>
  <c r="H645" i="4" s="1"/>
  <c r="K645" i="4" s="1"/>
  <c r="M644" i="4"/>
  <c r="J644" i="4" a="1"/>
  <c r="J644" i="4" s="1"/>
  <c r="I644" i="4" a="1"/>
  <c r="I644" i="4"/>
  <c r="L644" i="4" s="1"/>
  <c r="H644" i="4" a="1"/>
  <c r="H644" i="4"/>
  <c r="K644" i="4" s="1"/>
  <c r="K643" i="4"/>
  <c r="J643" i="4" a="1"/>
  <c r="J643" i="4"/>
  <c r="M643" i="4" s="1"/>
  <c r="I643" i="4" a="1"/>
  <c r="I643" i="4" s="1"/>
  <c r="L643" i="4" s="1"/>
  <c r="H643" i="4" a="1"/>
  <c r="H643" i="4" s="1"/>
  <c r="M642" i="4"/>
  <c r="J642" i="4" a="1"/>
  <c r="J642" i="4"/>
  <c r="I642" i="4" a="1"/>
  <c r="I642" i="4" s="1"/>
  <c r="L642" i="4" s="1"/>
  <c r="H642" i="4" a="1"/>
  <c r="H642" i="4" s="1"/>
  <c r="K642" i="4" s="1"/>
  <c r="J641" i="4" a="1"/>
  <c r="J641" i="4"/>
  <c r="M641" i="4" s="1"/>
  <c r="I641" i="4" a="1"/>
  <c r="I641" i="4" s="1"/>
  <c r="L641" i="4" s="1"/>
  <c r="H641" i="4" a="1"/>
  <c r="H641" i="4" s="1"/>
  <c r="K641" i="4" s="1"/>
  <c r="J640" i="4" a="1"/>
  <c r="J640" i="4" s="1"/>
  <c r="M640" i="4" s="1"/>
  <c r="I640" i="4" a="1"/>
  <c r="I640" i="4" s="1"/>
  <c r="L640" i="4" s="1"/>
  <c r="H640" i="4" a="1"/>
  <c r="H640" i="4"/>
  <c r="K640" i="4" s="1"/>
  <c r="K639" i="4"/>
  <c r="J639" i="4" a="1"/>
  <c r="J639" i="4"/>
  <c r="M639" i="4" s="1"/>
  <c r="I639" i="4" a="1"/>
  <c r="I639" i="4" s="1"/>
  <c r="L639" i="4" s="1"/>
  <c r="H639" i="4" a="1"/>
  <c r="H639" i="4" s="1"/>
  <c r="J638" i="4" a="1"/>
  <c r="J638" i="4"/>
  <c r="M638" i="4" s="1"/>
  <c r="I638" i="4" a="1"/>
  <c r="I638" i="4" s="1"/>
  <c r="L638" i="4" s="1"/>
  <c r="H638" i="4" a="1"/>
  <c r="H638" i="4" s="1"/>
  <c r="K638" i="4" s="1"/>
  <c r="M637" i="4"/>
  <c r="J637" i="4" a="1"/>
  <c r="J637" i="4" s="1"/>
  <c r="I637" i="4" a="1"/>
  <c r="I637" i="4" s="1"/>
  <c r="L637" i="4" s="1"/>
  <c r="H637" i="4" a="1"/>
  <c r="H637" i="4"/>
  <c r="K637" i="4" s="1"/>
  <c r="K636" i="4"/>
  <c r="J636" i="4" a="1"/>
  <c r="J636" i="4"/>
  <c r="M636" i="4" s="1"/>
  <c r="I636" i="4" a="1"/>
  <c r="I636" i="4" s="1"/>
  <c r="L636" i="4" s="1"/>
  <c r="H636" i="4" a="1"/>
  <c r="H636" i="4" s="1"/>
  <c r="L635" i="4"/>
  <c r="K635" i="4"/>
  <c r="J635" i="4" a="1"/>
  <c r="J635" i="4"/>
  <c r="M635" i="4" s="1"/>
  <c r="I635" i="4" a="1"/>
  <c r="I635" i="4"/>
  <c r="H635" i="4" a="1"/>
  <c r="H635" i="4"/>
  <c r="J634" i="4" a="1"/>
  <c r="J634" i="4"/>
  <c r="M634" i="4" s="1"/>
  <c r="I634" i="4" a="1"/>
  <c r="I634" i="4"/>
  <c r="L634" i="4" s="1"/>
  <c r="H634" i="4" a="1"/>
  <c r="H634" i="4" s="1"/>
  <c r="K634" i="4" s="1"/>
  <c r="M633" i="4"/>
  <c r="L633" i="4"/>
  <c r="J633" i="4" a="1"/>
  <c r="J633" i="4" s="1"/>
  <c r="I633" i="4" a="1"/>
  <c r="I633" i="4" s="1"/>
  <c r="H633" i="4" a="1"/>
  <c r="H633" i="4"/>
  <c r="K633" i="4" s="1"/>
  <c r="K632" i="4"/>
  <c r="J632" i="4" a="1"/>
  <c r="J632" i="4"/>
  <c r="M632" i="4" s="1"/>
  <c r="I632" i="4" a="1"/>
  <c r="I632" i="4" s="1"/>
  <c r="L632" i="4" s="1"/>
  <c r="H632" i="4" a="1"/>
  <c r="H632" i="4" s="1"/>
  <c r="J631" i="4" a="1"/>
  <c r="J631" i="4"/>
  <c r="M631" i="4" s="1"/>
  <c r="I631" i="4" a="1"/>
  <c r="I631" i="4"/>
  <c r="L631" i="4" s="1"/>
  <c r="H631" i="4" a="1"/>
  <c r="H631" i="4"/>
  <c r="K631" i="4" s="1"/>
  <c r="M630" i="4"/>
  <c r="L630" i="4"/>
  <c r="K630" i="4"/>
  <c r="J630" i="4" a="1"/>
  <c r="J630" i="4"/>
  <c r="I630" i="4" a="1"/>
  <c r="I630" i="4"/>
  <c r="H630" i="4" a="1"/>
  <c r="H630" i="4"/>
  <c r="K629" i="4"/>
  <c r="J629" i="4" a="1"/>
  <c r="J629" i="4" s="1"/>
  <c r="M629" i="4" s="1"/>
  <c r="I629" i="4" a="1"/>
  <c r="I629" i="4" s="1"/>
  <c r="L629" i="4" s="1"/>
  <c r="H629" i="4" a="1"/>
  <c r="H629" i="4"/>
  <c r="L628" i="4"/>
  <c r="J628" i="4" a="1"/>
  <c r="J628" i="4" s="1"/>
  <c r="M628" i="4" s="1"/>
  <c r="I628" i="4" a="1"/>
  <c r="I628" i="4"/>
  <c r="H628" i="4" a="1"/>
  <c r="H628" i="4" s="1"/>
  <c r="K628" i="4" s="1"/>
  <c r="J627" i="4" a="1"/>
  <c r="J627" i="4"/>
  <c r="M627" i="4" s="1"/>
  <c r="I627" i="4" a="1"/>
  <c r="I627" i="4" s="1"/>
  <c r="L627" i="4" s="1"/>
  <c r="H627" i="4" a="1"/>
  <c r="H627" i="4"/>
  <c r="K627" i="4" s="1"/>
  <c r="G627" i="4"/>
  <c r="I626" i="4" s="1" a="1"/>
  <c r="I626" i="4" s="1"/>
  <c r="G626" i="4"/>
  <c r="H626" i="4" s="1" a="1"/>
  <c r="H626" i="4" s="1"/>
  <c r="L625" i="4"/>
  <c r="J625" i="4" a="1"/>
  <c r="J625" i="4" s="1"/>
  <c r="M625" i="4" s="1"/>
  <c r="I625" i="4" a="1"/>
  <c r="I625" i="4"/>
  <c r="H625" i="4" a="1"/>
  <c r="H625" i="4" s="1"/>
  <c r="K625" i="4" s="1"/>
  <c r="G625" i="4"/>
  <c r="J624" i="4" a="1"/>
  <c r="J624" i="4" s="1"/>
  <c r="G624" i="4"/>
  <c r="I624" i="4" s="1" a="1"/>
  <c r="I624" i="4" s="1"/>
  <c r="M623" i="4"/>
  <c r="J623" i="4" a="1"/>
  <c r="J623" i="4"/>
  <c r="I623" i="4" a="1"/>
  <c r="I623" i="4"/>
  <c r="H623" i="4" a="1"/>
  <c r="H623" i="4" s="1"/>
  <c r="G623" i="4"/>
  <c r="J622" i="4" a="1"/>
  <c r="J622" i="4" s="1"/>
  <c r="I622" i="4" a="1"/>
  <c r="I622" i="4"/>
  <c r="L622" i="4" s="1"/>
  <c r="G622" i="4"/>
  <c r="H622" i="4" s="1" a="1"/>
  <c r="H622" i="4" s="1"/>
  <c r="J621" i="4" a="1"/>
  <c r="J621" i="4"/>
  <c r="M621" i="4" s="1"/>
  <c r="G621" i="4"/>
  <c r="H621" i="4" s="1" a="1"/>
  <c r="H621" i="4" s="1"/>
  <c r="L620" i="4"/>
  <c r="J620" i="4" a="1"/>
  <c r="J620" i="4" s="1"/>
  <c r="M620" i="4" s="1"/>
  <c r="I620" i="4" a="1"/>
  <c r="I620" i="4"/>
  <c r="H620" i="4" a="1"/>
  <c r="H620" i="4" s="1"/>
  <c r="K620" i="4" s="1"/>
  <c r="G620" i="4"/>
  <c r="I619" i="4" a="1"/>
  <c r="I619" i="4"/>
  <c r="H619" i="4" a="1"/>
  <c r="H619" i="4" s="1"/>
  <c r="G619" i="4"/>
  <c r="J619" i="4" s="1" a="1"/>
  <c r="J619" i="4" s="1"/>
  <c r="M618" i="4"/>
  <c r="J618" i="4" a="1"/>
  <c r="J618" i="4"/>
  <c r="I618" i="4" a="1"/>
  <c r="I618" i="4" s="1"/>
  <c r="L618" i="4" s="1"/>
  <c r="H618" i="4" a="1"/>
  <c r="H618" i="4" s="1"/>
  <c r="K618" i="4" s="1"/>
  <c r="G618" i="4"/>
  <c r="K617" i="4"/>
  <c r="J617" i="4" a="1"/>
  <c r="J617" i="4" s="1"/>
  <c r="M617" i="4" s="1"/>
  <c r="I617" i="4" a="1"/>
  <c r="I617" i="4" s="1"/>
  <c r="L617" i="4" s="1"/>
  <c r="H617" i="4" a="1"/>
  <c r="H617" i="4" s="1"/>
  <c r="G617" i="4"/>
  <c r="M616" i="4"/>
  <c r="J616" i="4" a="1"/>
  <c r="J616" i="4" s="1"/>
  <c r="I616" i="4" a="1"/>
  <c r="I616" i="4" s="1"/>
  <c r="L616" i="4" s="1"/>
  <c r="H616" i="4" a="1"/>
  <c r="H616" i="4"/>
  <c r="K616" i="4" s="1"/>
  <c r="G616" i="4"/>
  <c r="J615" i="4" a="1"/>
  <c r="J615" i="4"/>
  <c r="M615" i="4" s="1"/>
  <c r="I615" i="4" a="1"/>
  <c r="I615" i="4" s="1"/>
  <c r="L615" i="4" s="1"/>
  <c r="H615" i="4" a="1"/>
  <c r="H615" i="4"/>
  <c r="K615" i="4" s="1"/>
  <c r="G615" i="4"/>
  <c r="I614" i="4" a="1"/>
  <c r="I614" i="4" s="1"/>
  <c r="G614" i="4"/>
  <c r="J613" i="4" a="1"/>
  <c r="J613" i="4" s="1"/>
  <c r="M613" i="4" s="1"/>
  <c r="G613" i="4"/>
  <c r="M612" i="4"/>
  <c r="J612" i="4" a="1"/>
  <c r="J612" i="4"/>
  <c r="I612" i="4" a="1"/>
  <c r="I612" i="4" s="1"/>
  <c r="H612" i="4" a="1"/>
  <c r="H612" i="4" s="1"/>
  <c r="G612" i="4"/>
  <c r="K611" i="4"/>
  <c r="J611" i="4" a="1"/>
  <c r="J611" i="4" s="1"/>
  <c r="M611" i="4" s="1"/>
  <c r="I611" i="4" a="1"/>
  <c r="I611" i="4" s="1"/>
  <c r="L611" i="4" s="1"/>
  <c r="H611" i="4" a="1"/>
  <c r="H611" i="4" s="1"/>
  <c r="G611" i="4"/>
  <c r="J610" i="4" a="1"/>
  <c r="J610" i="4"/>
  <c r="M610" i="4" s="1"/>
  <c r="I610" i="4" a="1"/>
  <c r="I610" i="4" s="1"/>
  <c r="L610" i="4" s="1"/>
  <c r="H610" i="4" a="1"/>
  <c r="H610" i="4"/>
  <c r="K610" i="4" s="1"/>
  <c r="G610" i="4"/>
  <c r="L609" i="4"/>
  <c r="J609" i="4" a="1"/>
  <c r="J609" i="4"/>
  <c r="M609" i="4" s="1"/>
  <c r="I609" i="4" a="1"/>
  <c r="I609" i="4"/>
  <c r="H609" i="4" a="1"/>
  <c r="H609" i="4"/>
  <c r="K609" i="4" s="1"/>
  <c r="G609" i="4"/>
  <c r="M608" i="4"/>
  <c r="L608" i="4"/>
  <c r="J608" i="4" a="1"/>
  <c r="J608" i="4"/>
  <c r="I608" i="4" a="1"/>
  <c r="I608" i="4"/>
  <c r="H608" i="4" a="1"/>
  <c r="H608" i="4" s="1"/>
  <c r="K608" i="4" s="1"/>
  <c r="G608" i="4"/>
  <c r="J607" i="4" a="1"/>
  <c r="J607" i="4" s="1"/>
  <c r="G607" i="4"/>
  <c r="I607" i="4" s="1" a="1"/>
  <c r="I607" i="4" s="1"/>
  <c r="J606" i="4" a="1"/>
  <c r="J606" i="4"/>
  <c r="M606" i="4" s="1"/>
  <c r="I606" i="4" a="1"/>
  <c r="I606" i="4" s="1"/>
  <c r="L606" i="4" s="1"/>
  <c r="H606" i="4" a="1"/>
  <c r="H606" i="4"/>
  <c r="K606" i="4" s="1"/>
  <c r="G606" i="4"/>
  <c r="I605" i="4" s="1" a="1"/>
  <c r="J605" i="4" a="1"/>
  <c r="J605" i="4" s="1"/>
  <c r="I605" i="4"/>
  <c r="G605" i="4"/>
  <c r="H605" i="4" s="1" a="1"/>
  <c r="H605" i="4" s="1"/>
  <c r="L604" i="4"/>
  <c r="K604" i="4"/>
  <c r="J604" i="4" a="1"/>
  <c r="J604" i="4" s="1"/>
  <c r="M604" i="4" s="1"/>
  <c r="I604" i="4" a="1"/>
  <c r="I604" i="4"/>
  <c r="H604" i="4" a="1"/>
  <c r="H604" i="4"/>
  <c r="G604" i="4"/>
  <c r="J603" i="4" a="1"/>
  <c r="J603" i="4"/>
  <c r="M603" i="4" s="1"/>
  <c r="I603" i="4" a="1"/>
  <c r="I603" i="4"/>
  <c r="L603" i="4" s="1"/>
  <c r="H603" i="4" a="1"/>
  <c r="H603" i="4" s="1"/>
  <c r="K603" i="4" s="1"/>
  <c r="G603" i="4"/>
  <c r="J602" i="4" a="1"/>
  <c r="J602" i="4"/>
  <c r="M602" i="4" s="1"/>
  <c r="I602" i="4" a="1"/>
  <c r="I602" i="4" s="1"/>
  <c r="L602" i="4" s="1"/>
  <c r="H602" i="4" a="1"/>
  <c r="H602" i="4" s="1"/>
  <c r="K602" i="4" s="1"/>
  <c r="G602" i="4"/>
  <c r="M601" i="4"/>
  <c r="L601" i="4"/>
  <c r="K601" i="4"/>
  <c r="J601" i="4" a="1"/>
  <c r="J601" i="4" s="1"/>
  <c r="I601" i="4" a="1"/>
  <c r="I601" i="4"/>
  <c r="H601" i="4" a="1"/>
  <c r="H601" i="4" s="1"/>
  <c r="G601" i="4"/>
  <c r="G600" i="4"/>
  <c r="K599" i="4"/>
  <c r="J599" i="4" a="1"/>
  <c r="J599" i="4" s="1"/>
  <c r="M599" i="4" s="1"/>
  <c r="I599" i="4" a="1"/>
  <c r="I599" i="4" s="1"/>
  <c r="L599" i="4" s="1"/>
  <c r="H599" i="4" a="1"/>
  <c r="H599" i="4" s="1"/>
  <c r="G599" i="4"/>
  <c r="J598" i="4" a="1"/>
  <c r="J598" i="4"/>
  <c r="M598" i="4" s="1"/>
  <c r="I598" i="4" a="1"/>
  <c r="I598" i="4" s="1"/>
  <c r="L598" i="4" s="1"/>
  <c r="H598" i="4" a="1"/>
  <c r="H598" i="4"/>
  <c r="K598" i="4" s="1"/>
  <c r="G598" i="4"/>
  <c r="I593" i="4" s="1" a="1"/>
  <c r="I593" i="4" s="1"/>
  <c r="L597" i="4"/>
  <c r="K597" i="4"/>
  <c r="J597" i="4" a="1"/>
  <c r="J597" i="4"/>
  <c r="M597" i="4" s="1"/>
  <c r="I597" i="4" a="1"/>
  <c r="I597" i="4"/>
  <c r="H597" i="4" a="1"/>
  <c r="H597" i="4"/>
  <c r="G597" i="4"/>
  <c r="J596" i="4" a="1"/>
  <c r="J596" i="4"/>
  <c r="M596" i="4" s="1"/>
  <c r="I596" i="4" a="1"/>
  <c r="I596" i="4" s="1"/>
  <c r="L596" i="4" s="1"/>
  <c r="H596" i="4" a="1"/>
  <c r="H596" i="4"/>
  <c r="K596" i="4" s="1"/>
  <c r="G596" i="4"/>
  <c r="M595" i="4"/>
  <c r="J595" i="4" a="1"/>
  <c r="J595" i="4" s="1"/>
  <c r="I595" i="4" a="1"/>
  <c r="I595" i="4" s="1"/>
  <c r="L595" i="4" s="1"/>
  <c r="H595" i="4" a="1"/>
  <c r="H595" i="4"/>
  <c r="K595" i="4" s="1"/>
  <c r="G595" i="4"/>
  <c r="J594" i="4" a="1"/>
  <c r="J594" i="4"/>
  <c r="M594" i="4" s="1"/>
  <c r="I594" i="4" a="1"/>
  <c r="I594" i="4" s="1"/>
  <c r="L594" i="4" s="1"/>
  <c r="H594" i="4" a="1"/>
  <c r="H594" i="4"/>
  <c r="K594" i="4" s="1"/>
  <c r="G594" i="4"/>
  <c r="G593" i="4"/>
  <c r="L592" i="4"/>
  <c r="K592" i="4"/>
  <c r="J592" i="4" a="1"/>
  <c r="J592" i="4" s="1"/>
  <c r="M592" i="4" s="1"/>
  <c r="I592" i="4" a="1"/>
  <c r="I592" i="4"/>
  <c r="H592" i="4" a="1"/>
  <c r="H592" i="4"/>
  <c r="G592" i="4"/>
  <c r="J591" i="4" s="1" a="1"/>
  <c r="J591" i="4" s="1"/>
  <c r="I591" i="4" a="1"/>
  <c r="I591" i="4"/>
  <c r="L591" i="4" s="1"/>
  <c r="H591" i="4" a="1"/>
  <c r="H591" i="4" s="1"/>
  <c r="G591" i="4"/>
  <c r="M590" i="4"/>
  <c r="J590" i="4" a="1"/>
  <c r="J590" i="4" s="1"/>
  <c r="I590" i="4" a="1"/>
  <c r="I590" i="4" s="1"/>
  <c r="L590" i="4" s="1"/>
  <c r="H590" i="4" a="1"/>
  <c r="H590" i="4" s="1"/>
  <c r="K590" i="4" s="1"/>
  <c r="G590" i="4"/>
  <c r="J588" i="4" s="1" a="1"/>
  <c r="J588" i="4" s="1"/>
  <c r="J589" i="4" a="1"/>
  <c r="J589" i="4" s="1"/>
  <c r="M589" i="4" s="1"/>
  <c r="I589" i="4" a="1"/>
  <c r="I589" i="4"/>
  <c r="L589" i="4" s="1"/>
  <c r="H589" i="4" a="1"/>
  <c r="H589" i="4" s="1"/>
  <c r="K589" i="4" s="1"/>
  <c r="G589" i="4"/>
  <c r="G588" i="4"/>
  <c r="J587" i="4" a="1"/>
  <c r="J587" i="4" s="1"/>
  <c r="M587" i="4" s="1"/>
  <c r="I587" i="4" a="1"/>
  <c r="I587" i="4" s="1"/>
  <c r="G587" i="4"/>
  <c r="H587" i="4" s="1" a="1"/>
  <c r="H587" i="4" s="1"/>
  <c r="J586" i="4" a="1"/>
  <c r="J586" i="4"/>
  <c r="M586" i="4" s="1"/>
  <c r="I586" i="4" a="1"/>
  <c r="I586" i="4"/>
  <c r="L586" i="4" s="1"/>
  <c r="H586" i="4" a="1"/>
  <c r="H586" i="4" s="1"/>
  <c r="K586" i="4" s="1"/>
  <c r="G586" i="4"/>
  <c r="J585" i="4" a="1"/>
  <c r="J585" i="4"/>
  <c r="M585" i="4" s="1"/>
  <c r="I585" i="4" a="1"/>
  <c r="I585" i="4" s="1"/>
  <c r="L585" i="4" s="1"/>
  <c r="H585" i="4" a="1"/>
  <c r="H585" i="4" s="1"/>
  <c r="K585" i="4" s="1"/>
  <c r="G585" i="4"/>
  <c r="J584" i="4" a="1"/>
  <c r="J584" i="4" s="1"/>
  <c r="G584" i="4"/>
  <c r="M583" i="4"/>
  <c r="K583" i="4"/>
  <c r="J583" i="4" a="1"/>
  <c r="J583" i="4" s="1"/>
  <c r="I583" i="4" a="1"/>
  <c r="I583" i="4"/>
  <c r="L583" i="4" s="1"/>
  <c r="H583" i="4" a="1"/>
  <c r="H583" i="4"/>
  <c r="G583" i="4"/>
  <c r="H582" i="4" s="1" a="1"/>
  <c r="H582" i="4" s="1"/>
  <c r="J582" i="4" a="1"/>
  <c r="J582" i="4" s="1"/>
  <c r="I582" i="4" a="1"/>
  <c r="I582" i="4" s="1"/>
  <c r="G582" i="4"/>
  <c r="L581" i="4"/>
  <c r="J581" i="4" a="1"/>
  <c r="J581" i="4"/>
  <c r="M581" i="4" s="1"/>
  <c r="I581" i="4" a="1"/>
  <c r="I581" i="4" s="1"/>
  <c r="H581" i="4" a="1"/>
  <c r="H581" i="4"/>
  <c r="K581" i="4" s="1"/>
  <c r="G581" i="4"/>
  <c r="H579" i="4" s="1" a="1"/>
  <c r="H579" i="4" s="1"/>
  <c r="M580" i="4"/>
  <c r="J580" i="4" a="1"/>
  <c r="J580" i="4"/>
  <c r="I580" i="4" a="1"/>
  <c r="I580" i="4"/>
  <c r="L580" i="4" s="1"/>
  <c r="H580" i="4" a="1"/>
  <c r="H580" i="4" s="1"/>
  <c r="K580" i="4" s="1"/>
  <c r="G580" i="4"/>
  <c r="I579" i="4" a="1"/>
  <c r="I579" i="4" s="1"/>
  <c r="L579" i="4" s="1"/>
  <c r="G579" i="4"/>
  <c r="L578" i="4"/>
  <c r="J578" i="4" a="1"/>
  <c r="J578" i="4"/>
  <c r="M578" i="4" s="1"/>
  <c r="I578" i="4" a="1"/>
  <c r="I578" i="4"/>
  <c r="H578" i="4" a="1"/>
  <c r="H578" i="4"/>
  <c r="K578" i="4" s="1"/>
  <c r="G578" i="4"/>
  <c r="M577" i="4"/>
  <c r="J577" i="4" a="1"/>
  <c r="J577" i="4"/>
  <c r="I577" i="4" a="1"/>
  <c r="I577" i="4" s="1"/>
  <c r="L577" i="4" s="1"/>
  <c r="H577" i="4" a="1"/>
  <c r="H577" i="4"/>
  <c r="K577" i="4" s="1"/>
  <c r="G577" i="4"/>
  <c r="L576" i="4"/>
  <c r="J576" i="4" a="1"/>
  <c r="J576" i="4" s="1"/>
  <c r="M576" i="4" s="1"/>
  <c r="I576" i="4" a="1"/>
  <c r="I576" i="4"/>
  <c r="H576" i="4" a="1"/>
  <c r="H576" i="4"/>
  <c r="K576" i="4" s="1"/>
  <c r="G576" i="4"/>
  <c r="J575" i="4" a="1"/>
  <c r="J575" i="4"/>
  <c r="M575" i="4" s="1"/>
  <c r="I575" i="4" a="1"/>
  <c r="I575" i="4" s="1"/>
  <c r="L575" i="4" s="1"/>
  <c r="H575" i="4" a="1"/>
  <c r="H575" i="4"/>
  <c r="K575" i="4" s="1"/>
  <c r="G575" i="4"/>
  <c r="J574" i="4" a="1"/>
  <c r="J574" i="4"/>
  <c r="G574" i="4"/>
  <c r="M573" i="4"/>
  <c r="L573" i="4"/>
  <c r="J573" i="4" a="1"/>
  <c r="J573" i="4"/>
  <c r="I573" i="4" a="1"/>
  <c r="I573" i="4"/>
  <c r="H573" i="4" a="1"/>
  <c r="H573" i="4"/>
  <c r="K573" i="4" s="1"/>
  <c r="G573" i="4"/>
  <c r="I572" i="4" s="1" a="1"/>
  <c r="I572" i="4" s="1"/>
  <c r="J572" i="4" a="1"/>
  <c r="J572" i="4"/>
  <c r="H572" i="4" a="1"/>
  <c r="H572" i="4"/>
  <c r="G572" i="4"/>
  <c r="J571" i="4" a="1"/>
  <c r="J571" i="4"/>
  <c r="M571" i="4" s="1"/>
  <c r="I571" i="4" a="1"/>
  <c r="I571" i="4"/>
  <c r="L571" i="4" s="1"/>
  <c r="H571" i="4" a="1"/>
  <c r="H571" i="4"/>
  <c r="K571" i="4" s="1"/>
  <c r="G571" i="4"/>
  <c r="M570" i="4"/>
  <c r="L570" i="4"/>
  <c r="J570" i="4" a="1"/>
  <c r="J570" i="4" s="1"/>
  <c r="I570" i="4" a="1"/>
  <c r="I570" i="4"/>
  <c r="H570" i="4" a="1"/>
  <c r="H570" i="4"/>
  <c r="K570" i="4" s="1"/>
  <c r="G570" i="4"/>
  <c r="K569" i="4"/>
  <c r="J569" i="4" a="1"/>
  <c r="J569" i="4" s="1"/>
  <c r="M569" i="4" s="1"/>
  <c r="I569" i="4" a="1"/>
  <c r="I569" i="4" s="1"/>
  <c r="L569" i="4" s="1"/>
  <c r="H569" i="4" a="1"/>
  <c r="H569" i="4"/>
  <c r="G569" i="4"/>
  <c r="J568" i="4" a="1"/>
  <c r="J568" i="4"/>
  <c r="M568" i="4" s="1"/>
  <c r="I568" i="4" a="1"/>
  <c r="I568" i="4" s="1"/>
  <c r="L568" i="4" s="1"/>
  <c r="H568" i="4" a="1"/>
  <c r="H568" i="4" s="1"/>
  <c r="K568" i="4" s="1"/>
  <c r="G568" i="4"/>
  <c r="J567" i="4" s="1" a="1"/>
  <c r="J567" i="4" s="1"/>
  <c r="G567" i="4"/>
  <c r="I567" i="4" s="1" a="1"/>
  <c r="I567" i="4" s="1"/>
  <c r="L566" i="4"/>
  <c r="J566" i="4" a="1"/>
  <c r="J566" i="4"/>
  <c r="M566" i="4" s="1"/>
  <c r="I566" i="4" a="1"/>
  <c r="I566" i="4"/>
  <c r="H566" i="4" a="1"/>
  <c r="H566" i="4"/>
  <c r="K566" i="4" s="1"/>
  <c r="G566" i="4"/>
  <c r="J565" i="4" a="1"/>
  <c r="J565" i="4"/>
  <c r="M565" i="4" s="1"/>
  <c r="I565" i="4" a="1"/>
  <c r="I565" i="4"/>
  <c r="L565" i="4" s="1"/>
  <c r="H565" i="4" a="1"/>
  <c r="H565" i="4"/>
  <c r="K565" i="4" s="1"/>
  <c r="G565" i="4"/>
  <c r="J564" i="4" a="1"/>
  <c r="J564" i="4" s="1"/>
  <c r="M564" i="4" s="1"/>
  <c r="I564" i="4" a="1"/>
  <c r="I564" i="4"/>
  <c r="L564" i="4" s="1"/>
  <c r="H564" i="4" a="1"/>
  <c r="H564" i="4" s="1"/>
  <c r="K564" i="4" s="1"/>
  <c r="G564" i="4"/>
  <c r="L563" i="4"/>
  <c r="J563" i="4" a="1"/>
  <c r="J563" i="4" s="1"/>
  <c r="M563" i="4" s="1"/>
  <c r="I563" i="4" a="1"/>
  <c r="I563" i="4" s="1"/>
  <c r="H563" i="4" a="1"/>
  <c r="H563" i="4"/>
  <c r="K563" i="4" s="1"/>
  <c r="G563" i="4"/>
  <c r="J562" i="4" a="1"/>
  <c r="J562" i="4" s="1"/>
  <c r="I562" i="4" a="1"/>
  <c r="I562" i="4" s="1"/>
  <c r="G562" i="4"/>
  <c r="M561" i="4"/>
  <c r="J561" i="4" a="1"/>
  <c r="J561" i="4"/>
  <c r="I561" i="4" a="1"/>
  <c r="I561" i="4"/>
  <c r="L561" i="4" s="1"/>
  <c r="H561" i="4" a="1"/>
  <c r="H561" i="4"/>
  <c r="K561" i="4" s="1"/>
  <c r="G561" i="4"/>
  <c r="L560" i="4"/>
  <c r="J560" i="4" a="1"/>
  <c r="J560" i="4"/>
  <c r="M560" i="4" s="1"/>
  <c r="I560" i="4" a="1"/>
  <c r="I560" i="4"/>
  <c r="H560" i="4" a="1"/>
  <c r="H560" i="4"/>
  <c r="K560" i="4" s="1"/>
  <c r="G560" i="4"/>
  <c r="I557" i="4" s="1" a="1"/>
  <c r="I557" i="4" s="1"/>
  <c r="L559" i="4"/>
  <c r="J559" i="4" a="1"/>
  <c r="J559" i="4"/>
  <c r="M559" i="4" s="1"/>
  <c r="I559" i="4" a="1"/>
  <c r="I559" i="4" s="1"/>
  <c r="H559" i="4" a="1"/>
  <c r="H559" i="4"/>
  <c r="K559" i="4" s="1"/>
  <c r="G559" i="4"/>
  <c r="M558" i="4"/>
  <c r="J558" i="4" a="1"/>
  <c r="J558" i="4" s="1"/>
  <c r="I558" i="4" a="1"/>
  <c r="I558" i="4"/>
  <c r="L558" i="4" s="1"/>
  <c r="H558" i="4" a="1"/>
  <c r="H558" i="4" s="1"/>
  <c r="K558" i="4" s="1"/>
  <c r="G558" i="4"/>
  <c r="H557" i="4" a="1"/>
  <c r="H557" i="4" s="1"/>
  <c r="G557" i="4"/>
  <c r="J557" i="4" s="1" a="1"/>
  <c r="J557" i="4" s="1"/>
  <c r="J556" i="4" a="1"/>
  <c r="J556" i="4"/>
  <c r="M556" i="4" s="1"/>
  <c r="I556" i="4" a="1"/>
  <c r="I556" i="4"/>
  <c r="L556" i="4" s="1"/>
  <c r="H556" i="4" a="1"/>
  <c r="H556" i="4" s="1"/>
  <c r="K556" i="4" s="1"/>
  <c r="G556" i="4"/>
  <c r="J553" i="4" s="1" a="1"/>
  <c r="J553" i="4" s="1"/>
  <c r="M555" i="4"/>
  <c r="J555" i="4" a="1"/>
  <c r="J555" i="4"/>
  <c r="I555" i="4" a="1"/>
  <c r="I555" i="4"/>
  <c r="L555" i="4" s="1"/>
  <c r="H555" i="4" a="1"/>
  <c r="H555" i="4" s="1"/>
  <c r="K555" i="4" s="1"/>
  <c r="G555" i="4"/>
  <c r="L554" i="4"/>
  <c r="K554" i="4"/>
  <c r="J554" i="4" a="1"/>
  <c r="J554" i="4" s="1"/>
  <c r="M554" i="4" s="1"/>
  <c r="I554" i="4" a="1"/>
  <c r="I554" i="4"/>
  <c r="H554" i="4" a="1"/>
  <c r="H554" i="4" s="1"/>
  <c r="G554" i="4"/>
  <c r="G553" i="4"/>
  <c r="H553" i="4" s="1" a="1"/>
  <c r="H553" i="4" s="1"/>
  <c r="M552" i="4"/>
  <c r="K552" i="4"/>
  <c r="J552" i="4" a="1"/>
  <c r="J552" i="4" s="1"/>
  <c r="I552" i="4" a="1"/>
  <c r="I552" i="4"/>
  <c r="L552" i="4" s="1"/>
  <c r="H552" i="4" a="1"/>
  <c r="H552" i="4"/>
  <c r="G552" i="4"/>
  <c r="L551" i="4"/>
  <c r="K551" i="4"/>
  <c r="J551" i="4" a="1"/>
  <c r="J551" i="4"/>
  <c r="M551" i="4" s="1"/>
  <c r="I551" i="4" a="1"/>
  <c r="I551" i="4" s="1"/>
  <c r="H551" i="4" a="1"/>
  <c r="H551" i="4" s="1"/>
  <c r="G551" i="4"/>
  <c r="M550" i="4"/>
  <c r="J550" i="4" a="1"/>
  <c r="J550" i="4"/>
  <c r="I550" i="4" a="1"/>
  <c r="I550" i="4"/>
  <c r="L550" i="4" s="1"/>
  <c r="H550" i="4" a="1"/>
  <c r="H550" i="4" s="1"/>
  <c r="K550" i="4" s="1"/>
  <c r="G550" i="4"/>
  <c r="M549" i="4"/>
  <c r="K549" i="4"/>
  <c r="J549" i="4" a="1"/>
  <c r="J549" i="4"/>
  <c r="I549" i="4" a="1"/>
  <c r="I549" i="4" s="1"/>
  <c r="L549" i="4" s="1"/>
  <c r="H549" i="4" a="1"/>
  <c r="H549" i="4" s="1"/>
  <c r="G549" i="4"/>
  <c r="L548" i="4"/>
  <c r="J548" i="4" a="1"/>
  <c r="J548" i="4" s="1"/>
  <c r="M548" i="4" s="1"/>
  <c r="I548" i="4" a="1"/>
  <c r="I548" i="4"/>
  <c r="H548" i="4" a="1"/>
  <c r="H548" i="4" s="1"/>
  <c r="K548" i="4" s="1"/>
  <c r="G548" i="4"/>
  <c r="J547" i="4" a="1"/>
  <c r="J547" i="4" s="1"/>
  <c r="G547" i="4"/>
  <c r="L546" i="4"/>
  <c r="K546" i="4"/>
  <c r="J546" i="4" a="1"/>
  <c r="J546" i="4" s="1"/>
  <c r="M546" i="4" s="1"/>
  <c r="I546" i="4" a="1"/>
  <c r="I546" i="4"/>
  <c r="H546" i="4" a="1"/>
  <c r="H546" i="4"/>
  <c r="G546" i="4"/>
  <c r="J545" i="4" a="1"/>
  <c r="J545" i="4"/>
  <c r="M545" i="4" s="1"/>
  <c r="I545" i="4" a="1"/>
  <c r="I545" i="4" s="1"/>
  <c r="L545" i="4" s="1"/>
  <c r="H545" i="4" a="1"/>
  <c r="H545" i="4" s="1"/>
  <c r="K545" i="4" s="1"/>
  <c r="G545" i="4"/>
  <c r="J544" i="4" a="1"/>
  <c r="J544" i="4"/>
  <c r="M544" i="4" s="1"/>
  <c r="I544" i="4" a="1"/>
  <c r="I544" i="4" s="1"/>
  <c r="L544" i="4" s="1"/>
  <c r="H544" i="4" a="1"/>
  <c r="H544" i="4" s="1"/>
  <c r="K544" i="4" s="1"/>
  <c r="G544" i="4"/>
  <c r="M543" i="4"/>
  <c r="J543" i="4" a="1"/>
  <c r="J543" i="4"/>
  <c r="I543" i="4" a="1"/>
  <c r="I543" i="4" s="1"/>
  <c r="L543" i="4" s="1"/>
  <c r="H543" i="4" a="1"/>
  <c r="H543" i="4" s="1"/>
  <c r="K543" i="4" s="1"/>
  <c r="G543" i="4"/>
  <c r="L542" i="4"/>
  <c r="J542" i="4" a="1"/>
  <c r="J542" i="4"/>
  <c r="I542" i="4" a="1"/>
  <c r="I542" i="4"/>
  <c r="G542" i="4"/>
  <c r="H542" i="4" s="1" a="1"/>
  <c r="H542" i="4" s="1"/>
  <c r="L541" i="4"/>
  <c r="J541" i="4" a="1"/>
  <c r="J541" i="4"/>
  <c r="M541" i="4" s="1"/>
  <c r="I541" i="4" a="1"/>
  <c r="I541" i="4"/>
  <c r="H541" i="4" a="1"/>
  <c r="H541" i="4"/>
  <c r="K541" i="4" s="1"/>
  <c r="G541" i="4"/>
  <c r="J540" i="4" s="1" a="1"/>
  <c r="J540" i="4" s="1"/>
  <c r="I540" i="4" a="1"/>
  <c r="I540" i="4"/>
  <c r="L540" i="4" s="1"/>
  <c r="H540" i="4" a="1"/>
  <c r="H540" i="4" s="1"/>
  <c r="G540" i="4"/>
  <c r="L539" i="4"/>
  <c r="K539" i="4"/>
  <c r="J539" i="4" a="1"/>
  <c r="J539" i="4" s="1"/>
  <c r="M539" i="4" s="1"/>
  <c r="I539" i="4" a="1"/>
  <c r="I539" i="4" s="1"/>
  <c r="H539" i="4" a="1"/>
  <c r="H539" i="4"/>
  <c r="G539" i="4"/>
  <c r="J538" i="4" a="1"/>
  <c r="J538" i="4" s="1"/>
  <c r="M538" i="4" s="1"/>
  <c r="I538" i="4" a="1"/>
  <c r="I538" i="4"/>
  <c r="L538" i="4" s="1"/>
  <c r="H538" i="4" a="1"/>
  <c r="H538" i="4" s="1"/>
  <c r="K538" i="4" s="1"/>
  <c r="G538" i="4"/>
  <c r="J537" i="4" a="1"/>
  <c r="J537" i="4" s="1"/>
  <c r="M537" i="4" s="1"/>
  <c r="I537" i="4" a="1"/>
  <c r="I537" i="4" s="1"/>
  <c r="G537" i="4"/>
  <c r="H537" i="4" s="1" a="1"/>
  <c r="H537" i="4" s="1"/>
  <c r="L536" i="4"/>
  <c r="J536" i="4" a="1"/>
  <c r="J536" i="4" s="1"/>
  <c r="M536" i="4" s="1"/>
  <c r="I536" i="4" a="1"/>
  <c r="I536" i="4" s="1"/>
  <c r="H536" i="4" a="1"/>
  <c r="H536" i="4"/>
  <c r="K536" i="4" s="1"/>
  <c r="G536" i="4"/>
  <c r="M535" i="4"/>
  <c r="J535" i="4" a="1"/>
  <c r="J535" i="4"/>
  <c r="I535" i="4" a="1"/>
  <c r="I535" i="4"/>
  <c r="L535" i="4" s="1"/>
  <c r="H535" i="4" a="1"/>
  <c r="H535" i="4" s="1"/>
  <c r="K535" i="4" s="1"/>
  <c r="G535" i="4"/>
  <c r="J534" i="4" a="1"/>
  <c r="J534" i="4" s="1"/>
  <c r="M534" i="4" s="1"/>
  <c r="I534" i="4" a="1"/>
  <c r="I534" i="4"/>
  <c r="L534" i="4" s="1"/>
  <c r="H534" i="4" a="1"/>
  <c r="H534" i="4"/>
  <c r="K534" i="4" s="1"/>
  <c r="G534" i="4"/>
  <c r="J533" i="4" a="1"/>
  <c r="J533" i="4"/>
  <c r="G533" i="4"/>
  <c r="M532" i="4"/>
  <c r="J532" i="4" a="1"/>
  <c r="J532" i="4" s="1"/>
  <c r="I532" i="4" a="1"/>
  <c r="I532" i="4" s="1"/>
  <c r="G532" i="4"/>
  <c r="H532" i="4" s="1" a="1"/>
  <c r="H532" i="4" s="1"/>
  <c r="K531" i="4"/>
  <c r="J531" i="4" a="1"/>
  <c r="J531" i="4" s="1"/>
  <c r="M531" i="4" s="1"/>
  <c r="I531" i="4" a="1"/>
  <c r="I531" i="4" s="1"/>
  <c r="L531" i="4" s="1"/>
  <c r="H531" i="4" a="1"/>
  <c r="H531" i="4"/>
  <c r="G531" i="4"/>
  <c r="H530" i="4" s="1" a="1"/>
  <c r="H530" i="4" s="1"/>
  <c r="I530" i="4" a="1"/>
  <c r="I530" i="4" s="1"/>
  <c r="G530" i="4"/>
  <c r="J530" i="4" s="1" a="1"/>
  <c r="J530" i="4" s="1"/>
  <c r="J529" i="4" a="1"/>
  <c r="J529" i="4" s="1"/>
  <c r="M529" i="4" s="1"/>
  <c r="I529" i="4" a="1"/>
  <c r="I529" i="4" s="1"/>
  <c r="L529" i="4" s="1"/>
  <c r="H529" i="4" a="1"/>
  <c r="H529" i="4" s="1"/>
  <c r="K529" i="4" s="1"/>
  <c r="G529" i="4"/>
  <c r="L528" i="4"/>
  <c r="K528" i="4"/>
  <c r="J528" i="4" a="1"/>
  <c r="J528" i="4" s="1"/>
  <c r="M528" i="4" s="1"/>
  <c r="I528" i="4" a="1"/>
  <c r="I528" i="4"/>
  <c r="H528" i="4" a="1"/>
  <c r="H528" i="4"/>
  <c r="G528" i="4"/>
  <c r="J527" i="4" a="1"/>
  <c r="J527" i="4"/>
  <c r="M527" i="4" s="1"/>
  <c r="I527" i="4" a="1"/>
  <c r="I527" i="4" s="1"/>
  <c r="L527" i="4" s="1"/>
  <c r="H527" i="4" a="1"/>
  <c r="H527" i="4"/>
  <c r="K527" i="4" s="1"/>
  <c r="G527" i="4"/>
  <c r="M526" i="4"/>
  <c r="L526" i="4"/>
  <c r="J526" i="4" a="1"/>
  <c r="J526" i="4"/>
  <c r="I526" i="4" a="1"/>
  <c r="I526" i="4"/>
  <c r="H526" i="4" a="1"/>
  <c r="H526" i="4" s="1"/>
  <c r="K526" i="4" s="1"/>
  <c r="G526" i="4"/>
  <c r="M525" i="4"/>
  <c r="K525" i="4"/>
  <c r="J525" i="4" a="1"/>
  <c r="J525" i="4" s="1"/>
  <c r="I525" i="4" a="1"/>
  <c r="I525" i="4" s="1"/>
  <c r="L525" i="4" s="1"/>
  <c r="H525" i="4" a="1"/>
  <c r="H525" i="4"/>
  <c r="G525" i="4"/>
  <c r="J524" i="4" a="1"/>
  <c r="J524" i="4"/>
  <c r="M524" i="4" s="1"/>
  <c r="I524" i="4" a="1"/>
  <c r="I524" i="4" s="1"/>
  <c r="L524" i="4" s="1"/>
  <c r="H524" i="4" a="1"/>
  <c r="H524" i="4" s="1"/>
  <c r="K524" i="4" s="1"/>
  <c r="G524" i="4"/>
  <c r="L523" i="4"/>
  <c r="J523" i="4" a="1"/>
  <c r="J523" i="4" s="1"/>
  <c r="M523" i="4" s="1"/>
  <c r="I523" i="4" a="1"/>
  <c r="I523" i="4" s="1"/>
  <c r="H523" i="4" a="1"/>
  <c r="H523" i="4" s="1"/>
  <c r="K523" i="4" s="1"/>
  <c r="G523" i="4"/>
  <c r="I519" i="4" s="1" a="1"/>
  <c r="I519" i="4" s="1"/>
  <c r="M522" i="4"/>
  <c r="J522" i="4" a="1"/>
  <c r="J522" i="4" s="1"/>
  <c r="I522" i="4" a="1"/>
  <c r="I522" i="4"/>
  <c r="L522" i="4" s="1"/>
  <c r="H522" i="4" a="1"/>
  <c r="H522" i="4" s="1"/>
  <c r="K522" i="4" s="1"/>
  <c r="G522" i="4"/>
  <c r="J521" i="4" a="1"/>
  <c r="J521" i="4" s="1"/>
  <c r="M521" i="4" s="1"/>
  <c r="I521" i="4" a="1"/>
  <c r="I521" i="4" s="1"/>
  <c r="L521" i="4" s="1"/>
  <c r="H521" i="4" a="1"/>
  <c r="H521" i="4"/>
  <c r="K521" i="4" s="1"/>
  <c r="G521" i="4"/>
  <c r="M520" i="4"/>
  <c r="J520" i="4" a="1"/>
  <c r="J520" i="4"/>
  <c r="I520" i="4" a="1"/>
  <c r="I520" i="4"/>
  <c r="L520" i="4" s="1"/>
  <c r="H520" i="4" a="1"/>
  <c r="H520" i="4" s="1"/>
  <c r="K520" i="4" s="1"/>
  <c r="G520" i="4"/>
  <c r="J519" i="4" a="1"/>
  <c r="J519" i="4" s="1"/>
  <c r="G519" i="4"/>
  <c r="L518" i="4"/>
  <c r="K518" i="4"/>
  <c r="J518" i="4" a="1"/>
  <c r="J518" i="4" s="1"/>
  <c r="M518" i="4" s="1"/>
  <c r="I518" i="4" a="1"/>
  <c r="I518" i="4" s="1"/>
  <c r="H518" i="4" a="1"/>
  <c r="H518" i="4"/>
  <c r="G518" i="4"/>
  <c r="M517" i="4"/>
  <c r="J517" i="4" a="1"/>
  <c r="J517" i="4" s="1"/>
  <c r="I517" i="4" a="1"/>
  <c r="I517" i="4"/>
  <c r="L517" i="4" s="1"/>
  <c r="H517" i="4" a="1"/>
  <c r="H517" i="4" s="1"/>
  <c r="K517" i="4" s="1"/>
  <c r="G517" i="4"/>
  <c r="L516" i="4"/>
  <c r="K516" i="4"/>
  <c r="J516" i="4" a="1"/>
  <c r="J516" i="4" s="1"/>
  <c r="M516" i="4" s="1"/>
  <c r="I516" i="4" a="1"/>
  <c r="I516" i="4" s="1"/>
  <c r="H516" i="4" a="1"/>
  <c r="H516" i="4" s="1"/>
  <c r="G516" i="4"/>
  <c r="I513" i="4" s="1" a="1"/>
  <c r="I513" i="4" s="1"/>
  <c r="J515" i="4" a="1"/>
  <c r="J515" i="4" s="1"/>
  <c r="M515" i="4" s="1"/>
  <c r="I515" i="4" a="1"/>
  <c r="I515" i="4" s="1"/>
  <c r="L515" i="4" s="1"/>
  <c r="H515" i="4" a="1"/>
  <c r="H515" i="4" s="1"/>
  <c r="K515" i="4" s="1"/>
  <c r="G515" i="4"/>
  <c r="J514" i="4" a="1"/>
  <c r="J514" i="4"/>
  <c r="M514" i="4" s="1"/>
  <c r="I514" i="4" a="1"/>
  <c r="I514" i="4" s="1"/>
  <c r="L514" i="4" s="1"/>
  <c r="H514" i="4" a="1"/>
  <c r="H514" i="4" s="1"/>
  <c r="K514" i="4" s="1"/>
  <c r="G514" i="4"/>
  <c r="G513" i="4"/>
  <c r="H513" i="4" s="1" a="1"/>
  <c r="H513" i="4" s="1"/>
  <c r="L512" i="4"/>
  <c r="K512" i="4"/>
  <c r="J512" i="4" a="1"/>
  <c r="J512" i="4"/>
  <c r="M512" i="4" s="1"/>
  <c r="I512" i="4" a="1"/>
  <c r="I512" i="4" s="1"/>
  <c r="H512" i="4" a="1"/>
  <c r="H512" i="4" s="1"/>
  <c r="G512" i="4"/>
  <c r="J511" i="4" a="1"/>
  <c r="J511" i="4"/>
  <c r="M511" i="4" s="1"/>
  <c r="I511" i="4" a="1"/>
  <c r="I511" i="4" s="1"/>
  <c r="L511" i="4" s="1"/>
  <c r="H511" i="4" a="1"/>
  <c r="H511" i="4" s="1"/>
  <c r="K511" i="4" s="1"/>
  <c r="G511" i="4"/>
  <c r="M510" i="4"/>
  <c r="L510" i="4"/>
  <c r="J510" i="4" a="1"/>
  <c r="J510" i="4" s="1"/>
  <c r="I510" i="4" a="1"/>
  <c r="I510" i="4"/>
  <c r="H510" i="4" a="1"/>
  <c r="H510" i="4"/>
  <c r="K510" i="4" s="1"/>
  <c r="G510" i="4"/>
  <c r="L509" i="4"/>
  <c r="J509" i="4" a="1"/>
  <c r="J509" i="4"/>
  <c r="M509" i="4" s="1"/>
  <c r="I509" i="4" a="1"/>
  <c r="I509" i="4" s="1"/>
  <c r="H509" i="4" a="1"/>
  <c r="H509" i="4" s="1"/>
  <c r="K509" i="4" s="1"/>
  <c r="G509" i="4"/>
  <c r="L508" i="4"/>
  <c r="I508" i="4" a="1"/>
  <c r="I508" i="4" s="1"/>
  <c r="G508" i="4"/>
  <c r="M507" i="4"/>
  <c r="L507" i="4"/>
  <c r="J507" i="4" a="1"/>
  <c r="J507" i="4" s="1"/>
  <c r="I507" i="4" a="1"/>
  <c r="I507" i="4"/>
  <c r="H507" i="4" a="1"/>
  <c r="H507" i="4"/>
  <c r="K507" i="4" s="1"/>
  <c r="G507" i="4"/>
  <c r="K506" i="4"/>
  <c r="J506" i="4" a="1"/>
  <c r="J506" i="4" s="1"/>
  <c r="M506" i="4" s="1"/>
  <c r="I506" i="4" a="1"/>
  <c r="I506" i="4" s="1"/>
  <c r="L506" i="4" s="1"/>
  <c r="H506" i="4" a="1"/>
  <c r="H506" i="4"/>
  <c r="G506" i="4"/>
  <c r="J505" i="4" a="1"/>
  <c r="J505" i="4"/>
  <c r="M505" i="4" s="1"/>
  <c r="I505" i="4" a="1"/>
  <c r="I505" i="4"/>
  <c r="L505" i="4" s="1"/>
  <c r="H505" i="4" a="1"/>
  <c r="H505" i="4" s="1"/>
  <c r="K505" i="4" s="1"/>
  <c r="G505" i="4"/>
  <c r="M504" i="4"/>
  <c r="J504" i="4" a="1"/>
  <c r="J504" i="4" s="1"/>
  <c r="I504" i="4" a="1"/>
  <c r="I504" i="4"/>
  <c r="L504" i="4" s="1"/>
  <c r="H504" i="4" a="1"/>
  <c r="H504" i="4"/>
  <c r="K504" i="4" s="1"/>
  <c r="G504" i="4"/>
  <c r="L503" i="4"/>
  <c r="K503" i="4"/>
  <c r="J503" i="4" a="1"/>
  <c r="J503" i="4"/>
  <c r="M503" i="4" s="1"/>
  <c r="I503" i="4" a="1"/>
  <c r="I503" i="4" s="1"/>
  <c r="H503" i="4" a="1"/>
  <c r="H503" i="4"/>
  <c r="G503" i="4"/>
  <c r="H499" i="4" s="1" a="1"/>
  <c r="H499" i="4" s="1"/>
  <c r="M502" i="4"/>
  <c r="J502" i="4" a="1"/>
  <c r="J502" i="4" s="1"/>
  <c r="I502" i="4" a="1"/>
  <c r="I502" i="4"/>
  <c r="L502" i="4" s="1"/>
  <c r="H502" i="4" a="1"/>
  <c r="H502" i="4" s="1"/>
  <c r="K502" i="4" s="1"/>
  <c r="G502" i="4"/>
  <c r="J501" i="4" a="1"/>
  <c r="J501" i="4" s="1"/>
  <c r="M501" i="4" s="1"/>
  <c r="I501" i="4" a="1"/>
  <c r="I501" i="4"/>
  <c r="L501" i="4" s="1"/>
  <c r="H501" i="4" a="1"/>
  <c r="H501" i="4" s="1"/>
  <c r="K501" i="4" s="1"/>
  <c r="G501" i="4"/>
  <c r="L500" i="4"/>
  <c r="J500" i="4" a="1"/>
  <c r="J500" i="4" s="1"/>
  <c r="M500" i="4" s="1"/>
  <c r="I500" i="4" a="1"/>
  <c r="I500" i="4" s="1"/>
  <c r="H500" i="4" a="1"/>
  <c r="H500" i="4"/>
  <c r="K500" i="4" s="1"/>
  <c r="G500" i="4"/>
  <c r="I499" i="4" a="1"/>
  <c r="I499" i="4" s="1"/>
  <c r="G499" i="4"/>
  <c r="J498" i="4" a="1"/>
  <c r="J498" i="4" s="1"/>
  <c r="M498" i="4" s="1"/>
  <c r="I498" i="4" a="1"/>
  <c r="I498" i="4" s="1"/>
  <c r="L498" i="4" s="1"/>
  <c r="H498" i="4" a="1"/>
  <c r="H498" i="4"/>
  <c r="K498" i="4" s="1"/>
  <c r="G498" i="4"/>
  <c r="L497" i="4"/>
  <c r="I497" i="4" a="1"/>
  <c r="I497" i="4" s="1"/>
  <c r="H497" i="4" a="1"/>
  <c r="H497" i="4" s="1"/>
  <c r="G497" i="4"/>
  <c r="K496" i="4"/>
  <c r="J496" i="4" a="1"/>
  <c r="J496" i="4"/>
  <c r="M496" i="4" s="1"/>
  <c r="I496" i="4" a="1"/>
  <c r="I496" i="4" s="1"/>
  <c r="L496" i="4" s="1"/>
  <c r="H496" i="4" a="1"/>
  <c r="H496" i="4" s="1"/>
  <c r="G496" i="4"/>
  <c r="J495" i="4" a="1"/>
  <c r="J495" i="4" s="1"/>
  <c r="I495" i="4" a="1"/>
  <c r="I495" i="4"/>
  <c r="H495" i="4" a="1"/>
  <c r="H495" i="4" s="1"/>
  <c r="G495" i="4"/>
  <c r="I494" i="4" a="1"/>
  <c r="I494" i="4" s="1"/>
  <c r="L494" i="4" s="1"/>
  <c r="H494" i="4"/>
  <c r="G494" i="4"/>
  <c r="H494" i="4" s="1" a="1"/>
  <c r="M493" i="4"/>
  <c r="J493" i="4" a="1"/>
  <c r="J493" i="4"/>
  <c r="I493" i="4" a="1"/>
  <c r="I493" i="4"/>
  <c r="L493" i="4" s="1"/>
  <c r="H493" i="4" a="1"/>
  <c r="H493" i="4"/>
  <c r="K493" i="4" s="1"/>
  <c r="G493" i="4"/>
  <c r="L492" i="4"/>
  <c r="K492" i="4"/>
  <c r="J492" i="4" a="1"/>
  <c r="J492" i="4" s="1"/>
  <c r="M492" i="4" s="1"/>
  <c r="I492" i="4" a="1"/>
  <c r="I492" i="4" s="1"/>
  <c r="H492" i="4" a="1"/>
  <c r="H492" i="4"/>
  <c r="G492" i="4"/>
  <c r="J491" i="4" a="1"/>
  <c r="J491" i="4"/>
  <c r="M491" i="4" s="1"/>
  <c r="I491" i="4" a="1"/>
  <c r="I491" i="4" s="1"/>
  <c r="L491" i="4" s="1"/>
  <c r="H491" i="4" a="1"/>
  <c r="H491" i="4"/>
  <c r="K491" i="4" s="1"/>
  <c r="G491" i="4"/>
  <c r="I490" i="4" a="1"/>
  <c r="I490" i="4" s="1"/>
  <c r="L490" i="4" s="1"/>
  <c r="G490" i="4"/>
  <c r="M489" i="4"/>
  <c r="L489" i="4"/>
  <c r="J489" i="4" a="1"/>
  <c r="J489" i="4"/>
  <c r="I489" i="4" a="1"/>
  <c r="I489" i="4" s="1"/>
  <c r="H489" i="4" a="1"/>
  <c r="H489" i="4"/>
  <c r="K489" i="4" s="1"/>
  <c r="G489" i="4"/>
  <c r="L488" i="4"/>
  <c r="J488" i="4" a="1"/>
  <c r="J488" i="4" s="1"/>
  <c r="M488" i="4" s="1"/>
  <c r="I488" i="4" a="1"/>
  <c r="I488" i="4"/>
  <c r="H488" i="4" a="1"/>
  <c r="H488" i="4"/>
  <c r="K488" i="4" s="1"/>
  <c r="G488" i="4"/>
  <c r="J485" i="4" s="1" a="1"/>
  <c r="J487" i="4" a="1"/>
  <c r="J487" i="4"/>
  <c r="M487" i="4" s="1"/>
  <c r="I487" i="4" a="1"/>
  <c r="I487" i="4"/>
  <c r="L487" i="4" s="1"/>
  <c r="H487" i="4" a="1"/>
  <c r="H487" i="4" s="1"/>
  <c r="K487" i="4" s="1"/>
  <c r="G487" i="4"/>
  <c r="L486" i="4"/>
  <c r="K486" i="4"/>
  <c r="J486" i="4" a="1"/>
  <c r="J486" i="4" s="1"/>
  <c r="M486" i="4" s="1"/>
  <c r="I486" i="4" a="1"/>
  <c r="I486" i="4" s="1"/>
  <c r="H486" i="4" a="1"/>
  <c r="H486" i="4"/>
  <c r="G486" i="4"/>
  <c r="H485" i="4" s="1" a="1"/>
  <c r="H485" i="4" s="1"/>
  <c r="J485" i="4"/>
  <c r="I485" i="4" a="1"/>
  <c r="I485" i="4" s="1"/>
  <c r="G485" i="4"/>
  <c r="M484" i="4"/>
  <c r="L484" i="4"/>
  <c r="J484" i="4" a="1"/>
  <c r="J484" i="4" s="1"/>
  <c r="I484" i="4" a="1"/>
  <c r="I484" i="4"/>
  <c r="H484" i="4" a="1"/>
  <c r="H484" i="4" s="1"/>
  <c r="K484" i="4" s="1"/>
  <c r="G484" i="4"/>
  <c r="J483" i="4" a="1"/>
  <c r="J483" i="4"/>
  <c r="M483" i="4" s="1"/>
  <c r="I483" i="4" a="1"/>
  <c r="I483" i="4" s="1"/>
  <c r="L483" i="4" s="1"/>
  <c r="H483" i="4" a="1"/>
  <c r="H483" i="4"/>
  <c r="K483" i="4" s="1"/>
  <c r="G483" i="4"/>
  <c r="L482" i="4"/>
  <c r="J482" i="4" a="1"/>
  <c r="J482" i="4"/>
  <c r="M482" i="4" s="1"/>
  <c r="I482" i="4" a="1"/>
  <c r="I482" i="4"/>
  <c r="H482" i="4" a="1"/>
  <c r="H482" i="4" s="1"/>
  <c r="K482" i="4" s="1"/>
  <c r="G482" i="4"/>
  <c r="J481" i="4" a="1"/>
  <c r="J481" i="4"/>
  <c r="M481" i="4" s="1"/>
  <c r="I481" i="4" a="1"/>
  <c r="I481" i="4"/>
  <c r="L481" i="4" s="1"/>
  <c r="H481" i="4" a="1"/>
  <c r="H481" i="4" s="1"/>
  <c r="K481" i="4" s="1"/>
  <c r="G481" i="4"/>
  <c r="J478" i="4" s="1" a="1"/>
  <c r="J478" i="4" s="1"/>
  <c r="M480" i="4"/>
  <c r="L480" i="4"/>
  <c r="J480" i="4" a="1"/>
  <c r="J480" i="4" s="1"/>
  <c r="I480" i="4" a="1"/>
  <c r="I480" i="4"/>
  <c r="H480" i="4" a="1"/>
  <c r="H480" i="4" s="1"/>
  <c r="K480" i="4" s="1"/>
  <c r="G480" i="4"/>
  <c r="K479" i="4"/>
  <c r="J479" i="4" a="1"/>
  <c r="J479" i="4"/>
  <c r="M479" i="4" s="1"/>
  <c r="I479" i="4" a="1"/>
  <c r="I479" i="4" s="1"/>
  <c r="L479" i="4" s="1"/>
  <c r="H479" i="4" a="1"/>
  <c r="H479" i="4"/>
  <c r="G479" i="4"/>
  <c r="G478" i="4"/>
  <c r="J477" i="4" a="1"/>
  <c r="J477" i="4" s="1"/>
  <c r="M477" i="4" s="1"/>
  <c r="I477" i="4" a="1"/>
  <c r="I477" i="4"/>
  <c r="L477" i="4" s="1"/>
  <c r="H477" i="4" a="1"/>
  <c r="H477" i="4"/>
  <c r="K477" i="4" s="1"/>
  <c r="G477" i="4"/>
  <c r="J476" i="4" a="1"/>
  <c r="J476" i="4"/>
  <c r="M476" i="4" s="1"/>
  <c r="I476" i="4" a="1"/>
  <c r="I476" i="4"/>
  <c r="L476" i="4" s="1"/>
  <c r="H476" i="4" a="1"/>
  <c r="H476" i="4" s="1"/>
  <c r="K476" i="4" s="1"/>
  <c r="G476" i="4"/>
  <c r="I475" i="4" s="1" a="1"/>
  <c r="I475" i="4" s="1"/>
  <c r="G475" i="4"/>
  <c r="M474" i="4"/>
  <c r="J474" i="4" a="1"/>
  <c r="J474" i="4" s="1"/>
  <c r="I474" i="4" a="1"/>
  <c r="I474" i="4" s="1"/>
  <c r="L474" i="4" s="1"/>
  <c r="H474" i="4" a="1"/>
  <c r="H474" i="4"/>
  <c r="K474" i="4" s="1"/>
  <c r="G474" i="4"/>
  <c r="J473" i="4" a="1"/>
  <c r="J473" i="4"/>
  <c r="M473" i="4" s="1"/>
  <c r="I473" i="4" a="1"/>
  <c r="I473" i="4" s="1"/>
  <c r="L473" i="4" s="1"/>
  <c r="H473" i="4" a="1"/>
  <c r="H473" i="4"/>
  <c r="K473" i="4" s="1"/>
  <c r="G473" i="4"/>
  <c r="I471" i="4" s="1" a="1"/>
  <c r="I471" i="4" s="1"/>
  <c r="M472" i="4"/>
  <c r="J472" i="4" a="1"/>
  <c r="J472" i="4"/>
  <c r="I472" i="4" a="1"/>
  <c r="I472" i="4" s="1"/>
  <c r="L472" i="4" s="1"/>
  <c r="H472" i="4" a="1"/>
  <c r="H472" i="4" s="1"/>
  <c r="K472" i="4" s="1"/>
  <c r="G472" i="4"/>
  <c r="J471" i="4" a="1"/>
  <c r="J471" i="4"/>
  <c r="H471" i="4"/>
  <c r="G471" i="4"/>
  <c r="H471" i="4" s="1" a="1"/>
  <c r="M470" i="4"/>
  <c r="J470" i="4" a="1"/>
  <c r="J470" i="4" s="1"/>
  <c r="I470" i="4" a="1"/>
  <c r="I470" i="4"/>
  <c r="L470" i="4" s="1"/>
  <c r="H470" i="4" a="1"/>
  <c r="H470" i="4"/>
  <c r="K470" i="4" s="1"/>
  <c r="G470" i="4"/>
  <c r="M469" i="4"/>
  <c r="K469" i="4"/>
  <c r="J469" i="4" a="1"/>
  <c r="J469" i="4" s="1"/>
  <c r="I469" i="4" a="1"/>
  <c r="I469" i="4" s="1"/>
  <c r="L469" i="4" s="1"/>
  <c r="H469" i="4" a="1"/>
  <c r="H469" i="4"/>
  <c r="G469" i="4"/>
  <c r="I468" i="4" a="1"/>
  <c r="I468" i="4" s="1"/>
  <c r="G468" i="4"/>
  <c r="J467" i="4" a="1"/>
  <c r="J467" i="4"/>
  <c r="M467" i="4" s="1"/>
  <c r="I467" i="4" a="1"/>
  <c r="I467" i="4" s="1"/>
  <c r="L467" i="4" s="1"/>
  <c r="H467" i="4" a="1"/>
  <c r="H467" i="4" s="1"/>
  <c r="K467" i="4" s="1"/>
  <c r="G467" i="4"/>
  <c r="M466" i="4"/>
  <c r="J466" i="4" a="1"/>
  <c r="J466" i="4"/>
  <c r="I466" i="4" a="1"/>
  <c r="I466" i="4" s="1"/>
  <c r="L466" i="4" s="1"/>
  <c r="H466" i="4" a="1"/>
  <c r="H466" i="4"/>
  <c r="K466" i="4" s="1"/>
  <c r="G466" i="4"/>
  <c r="L465" i="4"/>
  <c r="K465" i="4"/>
  <c r="J465" i="4" a="1"/>
  <c r="J465" i="4" s="1"/>
  <c r="M465" i="4" s="1"/>
  <c r="I465" i="4" a="1"/>
  <c r="I465" i="4"/>
  <c r="H465" i="4" a="1"/>
  <c r="H465" i="4" s="1"/>
  <c r="G465" i="4"/>
  <c r="L464" i="4"/>
  <c r="J464" i="4" a="1"/>
  <c r="J464" i="4" s="1"/>
  <c r="M464" i="4" s="1"/>
  <c r="I464" i="4" a="1"/>
  <c r="I464" i="4" s="1"/>
  <c r="H464" i="4" a="1"/>
  <c r="H464" i="4"/>
  <c r="K464" i="4" s="1"/>
  <c r="G464" i="4"/>
  <c r="M463" i="4"/>
  <c r="J463" i="4" a="1"/>
  <c r="J463" i="4" s="1"/>
  <c r="I463" i="4" a="1"/>
  <c r="I463" i="4"/>
  <c r="L463" i="4" s="1"/>
  <c r="H463" i="4" a="1"/>
  <c r="H463" i="4"/>
  <c r="K463" i="4" s="1"/>
  <c r="G463" i="4"/>
  <c r="L462" i="4"/>
  <c r="K462" i="4"/>
  <c r="J462" i="4" a="1"/>
  <c r="J462" i="4"/>
  <c r="M462" i="4" s="1"/>
  <c r="I462" i="4" a="1"/>
  <c r="I462" i="4" s="1"/>
  <c r="H462" i="4" a="1"/>
  <c r="H462" i="4"/>
  <c r="G462" i="4"/>
  <c r="J461" i="4" a="1"/>
  <c r="J461" i="4"/>
  <c r="M461" i="4" s="1"/>
  <c r="I461" i="4" a="1"/>
  <c r="I461" i="4"/>
  <c r="L461" i="4" s="1"/>
  <c r="H461" i="4" a="1"/>
  <c r="H461" i="4" s="1"/>
  <c r="K461" i="4" s="1"/>
  <c r="G461" i="4"/>
  <c r="M460" i="4"/>
  <c r="J460" i="4" a="1"/>
  <c r="J460" i="4"/>
  <c r="I460" i="4" a="1"/>
  <c r="I460" i="4" s="1"/>
  <c r="L460" i="4" s="1"/>
  <c r="H460" i="4" a="1"/>
  <c r="H460" i="4"/>
  <c r="K460" i="4" s="1"/>
  <c r="G460" i="4"/>
  <c r="J459" i="4" a="1"/>
  <c r="J459" i="4" s="1"/>
  <c r="G459" i="4"/>
  <c r="J458" i="4" a="1"/>
  <c r="J458" i="4"/>
  <c r="M458" i="4" s="1"/>
  <c r="I458" i="4" a="1"/>
  <c r="I458" i="4" s="1"/>
  <c r="L458" i="4" s="1"/>
  <c r="H458" i="4" a="1"/>
  <c r="H458" i="4" s="1"/>
  <c r="K458" i="4" s="1"/>
  <c r="G458" i="4"/>
  <c r="H457" i="4" s="1" a="1"/>
  <c r="J457" i="4" a="1"/>
  <c r="J457" i="4" s="1"/>
  <c r="I457" i="4" a="1"/>
  <c r="I457" i="4" s="1"/>
  <c r="L457" i="4" s="1"/>
  <c r="H457" i="4"/>
  <c r="G457" i="4"/>
  <c r="J456" i="4" a="1"/>
  <c r="J456" i="4" s="1"/>
  <c r="M456" i="4" s="1"/>
  <c r="G456" i="4"/>
  <c r="J455" i="4" a="1"/>
  <c r="J455" i="4"/>
  <c r="M455" i="4" s="1"/>
  <c r="I455" i="4" a="1"/>
  <c r="I455" i="4"/>
  <c r="L455" i="4" s="1"/>
  <c r="H455" i="4" a="1"/>
  <c r="H455" i="4" s="1"/>
  <c r="K455" i="4" s="1"/>
  <c r="G455" i="4"/>
  <c r="J453" i="4" s="1" a="1"/>
  <c r="J453" i="4" s="1"/>
  <c r="J454" i="4" a="1"/>
  <c r="J454" i="4" s="1"/>
  <c r="M454" i="4" s="1"/>
  <c r="I454" i="4" a="1"/>
  <c r="I454" i="4" s="1"/>
  <c r="L454" i="4" s="1"/>
  <c r="H454" i="4" a="1"/>
  <c r="H454" i="4"/>
  <c r="K454" i="4" s="1"/>
  <c r="G454" i="4"/>
  <c r="L453" i="4"/>
  <c r="I453" i="4" a="1"/>
  <c r="I453" i="4" s="1"/>
  <c r="G453" i="4"/>
  <c r="L452" i="4"/>
  <c r="J452" i="4" a="1"/>
  <c r="J452" i="4" s="1"/>
  <c r="M452" i="4" s="1"/>
  <c r="I452" i="4" a="1"/>
  <c r="I452" i="4"/>
  <c r="H452" i="4" a="1"/>
  <c r="H452" i="4" s="1"/>
  <c r="K452" i="4" s="1"/>
  <c r="G452" i="4"/>
  <c r="J451" i="4" a="1"/>
  <c r="J451" i="4" s="1"/>
  <c r="M451" i="4" s="1"/>
  <c r="I451" i="4" a="1"/>
  <c r="I451" i="4"/>
  <c r="L451" i="4" s="1"/>
  <c r="H451" i="4" a="1"/>
  <c r="H451" i="4"/>
  <c r="K451" i="4" s="1"/>
  <c r="G451" i="4"/>
  <c r="L450" i="4"/>
  <c r="K450" i="4"/>
  <c r="J450" i="4" a="1"/>
  <c r="J450" i="4"/>
  <c r="M450" i="4" s="1"/>
  <c r="I450" i="4" a="1"/>
  <c r="I450" i="4" s="1"/>
  <c r="H450" i="4" a="1"/>
  <c r="H450" i="4"/>
  <c r="G450" i="4"/>
  <c r="J449" i="4" a="1"/>
  <c r="J449" i="4"/>
  <c r="I449" i="4" a="1"/>
  <c r="I449" i="4" s="1"/>
  <c r="H449" i="4" a="1"/>
  <c r="H449" i="4" s="1"/>
  <c r="G449" i="4"/>
  <c r="J448" i="4" a="1"/>
  <c r="J448" i="4" s="1"/>
  <c r="M448" i="4" s="1"/>
  <c r="I448" i="4" a="1"/>
  <c r="I448" i="4"/>
  <c r="L448" i="4" s="1"/>
  <c r="H448" i="4" a="1"/>
  <c r="H448" i="4"/>
  <c r="K448" i="4" s="1"/>
  <c r="G448" i="4"/>
  <c r="L447" i="4"/>
  <c r="I447" i="4" a="1"/>
  <c r="I447" i="4" s="1"/>
  <c r="H447" i="4" a="1"/>
  <c r="H447" i="4"/>
  <c r="G447" i="4"/>
  <c r="J447" i="4" s="1" a="1"/>
  <c r="J447" i="4" s="1"/>
  <c r="J446" i="4" a="1"/>
  <c r="J446" i="4"/>
  <c r="M446" i="4" s="1"/>
  <c r="I446" i="4" a="1"/>
  <c r="I446" i="4" s="1"/>
  <c r="L446" i="4" s="1"/>
  <c r="H446" i="4" a="1"/>
  <c r="H446" i="4" s="1"/>
  <c r="K446" i="4" s="1"/>
  <c r="G446" i="4"/>
  <c r="I445" i="4" a="1"/>
  <c r="I445" i="4" s="1"/>
  <c r="L445" i="4" s="1"/>
  <c r="G445" i="4"/>
  <c r="J445" i="4" s="1" a="1"/>
  <c r="J445" i="4" s="1"/>
  <c r="J444" i="4" a="1"/>
  <c r="J444" i="4"/>
  <c r="M444" i="4" s="1"/>
  <c r="I444" i="4" a="1"/>
  <c r="I444" i="4" s="1"/>
  <c r="L444" i="4" s="1"/>
  <c r="H444" i="4" a="1"/>
  <c r="H444" i="4" s="1"/>
  <c r="K444" i="4" s="1"/>
  <c r="G444" i="4"/>
  <c r="I441" i="4" s="1" a="1"/>
  <c r="I441" i="4" s="1"/>
  <c r="L443" i="4"/>
  <c r="J443" i="4" a="1"/>
  <c r="J443" i="4" s="1"/>
  <c r="M443" i="4" s="1"/>
  <c r="I443" i="4" a="1"/>
  <c r="I443" i="4" s="1"/>
  <c r="H443" i="4" a="1"/>
  <c r="H443" i="4" s="1"/>
  <c r="K443" i="4" s="1"/>
  <c r="G443" i="4"/>
  <c r="J442" i="4" a="1"/>
  <c r="J442" i="4" s="1"/>
  <c r="M442" i="4" s="1"/>
  <c r="I442" i="4" a="1"/>
  <c r="I442" i="4" s="1"/>
  <c r="L442" i="4" s="1"/>
  <c r="H442" i="4" a="1"/>
  <c r="H442" i="4"/>
  <c r="K442" i="4" s="1"/>
  <c r="G442" i="4"/>
  <c r="G441" i="4"/>
  <c r="J440" i="4" a="1"/>
  <c r="J440" i="4" s="1"/>
  <c r="I440" i="4" a="1"/>
  <c r="I440" i="4" s="1"/>
  <c r="L440" i="4" s="1"/>
  <c r="G440" i="4"/>
  <c r="H440" i="4" s="1" a="1"/>
  <c r="H440" i="4" s="1"/>
  <c r="J439" i="4" a="1"/>
  <c r="J439" i="4" s="1"/>
  <c r="I439" i="4" a="1"/>
  <c r="I439" i="4"/>
  <c r="L439" i="4" s="1"/>
  <c r="H439" i="4" a="1"/>
  <c r="H439" i="4"/>
  <c r="G439" i="4"/>
  <c r="J438" i="4" a="1"/>
  <c r="J438" i="4" s="1"/>
  <c r="I438" i="4" a="1"/>
  <c r="I438" i="4" s="1"/>
  <c r="L438" i="4" s="1"/>
  <c r="H438" i="4" a="1"/>
  <c r="H438" i="4"/>
  <c r="G438" i="4"/>
  <c r="L437" i="4"/>
  <c r="I437" i="4" a="1"/>
  <c r="I437" i="4"/>
  <c r="G437" i="4"/>
  <c r="K436" i="4"/>
  <c r="J436" i="4" a="1"/>
  <c r="J436" i="4" s="1"/>
  <c r="M436" i="4" s="1"/>
  <c r="I436" i="4" a="1"/>
  <c r="I436" i="4" s="1"/>
  <c r="L436" i="4" s="1"/>
  <c r="H436" i="4" a="1"/>
  <c r="H436" i="4" s="1"/>
  <c r="G436" i="4"/>
  <c r="K435" i="4"/>
  <c r="J435" i="4" a="1"/>
  <c r="J435" i="4" s="1"/>
  <c r="M435" i="4" s="1"/>
  <c r="I435" i="4" a="1"/>
  <c r="I435" i="4" s="1"/>
  <c r="L435" i="4" s="1"/>
  <c r="H435" i="4" a="1"/>
  <c r="H435" i="4"/>
  <c r="G435" i="4"/>
  <c r="L434" i="4"/>
  <c r="J434" i="4" a="1"/>
  <c r="J434" i="4" s="1"/>
  <c r="M434" i="4" s="1"/>
  <c r="I434" i="4" a="1"/>
  <c r="I434" i="4"/>
  <c r="H434" i="4" a="1"/>
  <c r="H434" i="4" s="1"/>
  <c r="K434" i="4" s="1"/>
  <c r="G434" i="4"/>
  <c r="J433" i="4" a="1"/>
  <c r="J433" i="4" s="1"/>
  <c r="M433" i="4" s="1"/>
  <c r="I433" i="4" a="1"/>
  <c r="I433" i="4" s="1"/>
  <c r="G433" i="4"/>
  <c r="H433" i="4" s="1" a="1"/>
  <c r="H433" i="4" s="1"/>
  <c r="L432" i="4"/>
  <c r="J432" i="4" a="1"/>
  <c r="J432" i="4"/>
  <c r="M432" i="4" s="1"/>
  <c r="I432" i="4" a="1"/>
  <c r="I432" i="4" s="1"/>
  <c r="H432" i="4" a="1"/>
  <c r="H432" i="4"/>
  <c r="K432" i="4" s="1"/>
  <c r="G432" i="4"/>
  <c r="J431" i="4" s="1" a="1"/>
  <c r="J431" i="4" s="1"/>
  <c r="G431" i="4"/>
  <c r="H431" i="4" s="1" a="1"/>
  <c r="H431" i="4" s="1"/>
  <c r="I430" i="4" a="1"/>
  <c r="I430" i="4" s="1"/>
  <c r="L430" i="4" s="1"/>
  <c r="G430" i="4"/>
  <c r="L429" i="4"/>
  <c r="J429" i="4" a="1"/>
  <c r="J429" i="4"/>
  <c r="M429" i="4" s="1"/>
  <c r="I429" i="4" a="1"/>
  <c r="I429" i="4" s="1"/>
  <c r="H429" i="4" a="1"/>
  <c r="H429" i="4"/>
  <c r="K429" i="4" s="1"/>
  <c r="G429" i="4"/>
  <c r="J428" i="4" a="1"/>
  <c r="J428" i="4"/>
  <c r="M428" i="4" s="1"/>
  <c r="I428" i="4" a="1"/>
  <c r="I428" i="4" s="1"/>
  <c r="L428" i="4" s="1"/>
  <c r="H428" i="4" a="1"/>
  <c r="H428" i="4" s="1"/>
  <c r="K428" i="4" s="1"/>
  <c r="G428" i="4"/>
  <c r="J427" i="4" s="1" a="1"/>
  <c r="J427" i="4" s="1"/>
  <c r="G427" i="4"/>
  <c r="K426" i="4"/>
  <c r="J426" i="4" a="1"/>
  <c r="J426" i="4" s="1"/>
  <c r="M426" i="4" s="1"/>
  <c r="I426" i="4" a="1"/>
  <c r="I426" i="4" s="1"/>
  <c r="L426" i="4" s="1"/>
  <c r="H426" i="4" a="1"/>
  <c r="H426" i="4"/>
  <c r="G426" i="4"/>
  <c r="J425" i="4" a="1"/>
  <c r="J425" i="4"/>
  <c r="M425" i="4" s="1"/>
  <c r="I425" i="4" a="1"/>
  <c r="I425" i="4"/>
  <c r="L425" i="4" s="1"/>
  <c r="H425" i="4" a="1"/>
  <c r="H425" i="4" s="1"/>
  <c r="K425" i="4" s="1"/>
  <c r="G425" i="4"/>
  <c r="H424" i="4" s="1" a="1"/>
  <c r="H424" i="4" s="1"/>
  <c r="L424" i="4"/>
  <c r="I424" i="4" a="1"/>
  <c r="I424" i="4"/>
  <c r="G424" i="4"/>
  <c r="L423" i="4"/>
  <c r="J423" i="4" a="1"/>
  <c r="J423" i="4" s="1"/>
  <c r="I423" i="4" a="1"/>
  <c r="I423" i="4" s="1"/>
  <c r="G423" i="4"/>
  <c r="L422" i="4"/>
  <c r="J422" i="4" a="1"/>
  <c r="J422" i="4" s="1"/>
  <c r="M422" i="4" s="1"/>
  <c r="I422" i="4" a="1"/>
  <c r="I422" i="4" s="1"/>
  <c r="H422" i="4" a="1"/>
  <c r="H422" i="4" s="1"/>
  <c r="K422" i="4" s="1"/>
  <c r="G422" i="4"/>
  <c r="M421" i="4"/>
  <c r="L421" i="4"/>
  <c r="J421" i="4" a="1"/>
  <c r="J421" i="4" s="1"/>
  <c r="I421" i="4" a="1"/>
  <c r="I421" i="4"/>
  <c r="H421" i="4" a="1"/>
  <c r="H421" i="4" s="1"/>
  <c r="K421" i="4" s="1"/>
  <c r="G421" i="4"/>
  <c r="J420" i="4" s="1" a="1"/>
  <c r="J420" i="4" s="1"/>
  <c r="G420" i="4"/>
  <c r="M419" i="4"/>
  <c r="J419" i="4" a="1"/>
  <c r="J419" i="4"/>
  <c r="I419" i="4" a="1"/>
  <c r="I419" i="4"/>
  <c r="L419" i="4" s="1"/>
  <c r="H419" i="4" a="1"/>
  <c r="H419" i="4" s="1"/>
  <c r="K419" i="4" s="1"/>
  <c r="G419" i="4"/>
  <c r="J416" i="4" s="1" a="1"/>
  <c r="J416" i="4" s="1"/>
  <c r="M418" i="4"/>
  <c r="J418" i="4" a="1"/>
  <c r="J418" i="4" s="1"/>
  <c r="I418" i="4" a="1"/>
  <c r="I418" i="4" s="1"/>
  <c r="L418" i="4" s="1"/>
  <c r="H418" i="4" a="1"/>
  <c r="H418" i="4"/>
  <c r="K418" i="4" s="1"/>
  <c r="G418" i="4"/>
  <c r="L417" i="4"/>
  <c r="K417" i="4"/>
  <c r="J417" i="4" a="1"/>
  <c r="J417" i="4" s="1"/>
  <c r="M417" i="4" s="1"/>
  <c r="I417" i="4" a="1"/>
  <c r="I417" i="4" s="1"/>
  <c r="H417" i="4" a="1"/>
  <c r="H417" i="4"/>
  <c r="G417" i="4"/>
  <c r="I416" i="4" a="1"/>
  <c r="I416" i="4" s="1"/>
  <c r="L416" i="4" s="1"/>
  <c r="G416" i="4"/>
  <c r="J415" i="4" a="1"/>
  <c r="J415" i="4" s="1"/>
  <c r="M415" i="4" s="1"/>
  <c r="I415" i="4" a="1"/>
  <c r="I415" i="4" s="1"/>
  <c r="L415" i="4" s="1"/>
  <c r="H415" i="4" a="1"/>
  <c r="H415" i="4"/>
  <c r="K415" i="4" s="1"/>
  <c r="G415" i="4"/>
  <c r="L414" i="4"/>
  <c r="K414" i="4"/>
  <c r="J414" i="4" a="1"/>
  <c r="J414" i="4" s="1"/>
  <c r="M414" i="4" s="1"/>
  <c r="I414" i="4" a="1"/>
  <c r="I414" i="4" s="1"/>
  <c r="H414" i="4" a="1"/>
  <c r="H414" i="4"/>
  <c r="G414" i="4"/>
  <c r="J413" i="4" a="1"/>
  <c r="J413" i="4" s="1"/>
  <c r="M413" i="4" s="1"/>
  <c r="I413" i="4" a="1"/>
  <c r="I413" i="4" s="1"/>
  <c r="L413" i="4" s="1"/>
  <c r="H413" i="4" a="1"/>
  <c r="H413" i="4" s="1"/>
  <c r="K413" i="4" s="1"/>
  <c r="G413" i="4"/>
  <c r="K412" i="4"/>
  <c r="J412" i="4" a="1"/>
  <c r="J412" i="4" s="1"/>
  <c r="M412" i="4" s="1"/>
  <c r="I412" i="4" a="1"/>
  <c r="I412" i="4"/>
  <c r="L412" i="4" s="1"/>
  <c r="H412" i="4" a="1"/>
  <c r="H412" i="4"/>
  <c r="G412" i="4"/>
  <c r="H411" i="4" s="1" a="1"/>
  <c r="L411" i="4"/>
  <c r="I411" i="4" a="1"/>
  <c r="I411" i="4" s="1"/>
  <c r="H411" i="4"/>
  <c r="G411" i="4"/>
  <c r="J411" i="4" s="1" a="1"/>
  <c r="J411" i="4" s="1"/>
  <c r="M410" i="4"/>
  <c r="J410" i="4" a="1"/>
  <c r="J410" i="4"/>
  <c r="I410" i="4" a="1"/>
  <c r="I410" i="4"/>
  <c r="L410" i="4" s="1"/>
  <c r="H410" i="4" a="1"/>
  <c r="H410" i="4" s="1"/>
  <c r="K410" i="4" s="1"/>
  <c r="G410" i="4"/>
  <c r="K409" i="4"/>
  <c r="J409" i="4" a="1"/>
  <c r="J409" i="4" s="1"/>
  <c r="M409" i="4" s="1"/>
  <c r="I409" i="4" a="1"/>
  <c r="I409" i="4" s="1"/>
  <c r="L409" i="4" s="1"/>
  <c r="H409" i="4" a="1"/>
  <c r="H409" i="4"/>
  <c r="G409" i="4"/>
  <c r="L408" i="4"/>
  <c r="J408" i="4" a="1"/>
  <c r="J408" i="4"/>
  <c r="M408" i="4" s="1"/>
  <c r="I408" i="4" a="1"/>
  <c r="I408" i="4" s="1"/>
  <c r="H408" i="4" a="1"/>
  <c r="H408" i="4" s="1"/>
  <c r="K408" i="4" s="1"/>
  <c r="G408" i="4"/>
  <c r="L407" i="4"/>
  <c r="J407" i="4" a="1"/>
  <c r="J407" i="4" s="1"/>
  <c r="I407" i="4" a="1"/>
  <c r="I407" i="4" s="1"/>
  <c r="G407" i="4"/>
  <c r="H407" i="4" s="1" a="1"/>
  <c r="H407" i="4" s="1"/>
  <c r="M406" i="4"/>
  <c r="L406" i="4"/>
  <c r="J406" i="4" a="1"/>
  <c r="J406" i="4" s="1"/>
  <c r="I406" i="4" a="1"/>
  <c r="I406" i="4" s="1"/>
  <c r="H406" i="4" a="1"/>
  <c r="H406" i="4"/>
  <c r="K406" i="4" s="1"/>
  <c r="G406" i="4"/>
  <c r="J405" i="4" a="1"/>
  <c r="J405" i="4"/>
  <c r="M405" i="4" s="1"/>
  <c r="G405" i="4"/>
  <c r="M404" i="4"/>
  <c r="J404" i="4" a="1"/>
  <c r="J404" i="4" s="1"/>
  <c r="G404" i="4"/>
  <c r="J403" i="4" a="1"/>
  <c r="J403" i="4" s="1"/>
  <c r="M403" i="4" s="1"/>
  <c r="I403" i="4" a="1"/>
  <c r="I403" i="4"/>
  <c r="L403" i="4" s="1"/>
  <c r="H403" i="4" a="1"/>
  <c r="H403" i="4"/>
  <c r="K403" i="4" s="1"/>
  <c r="G403" i="4"/>
  <c r="J402" i="4" a="1"/>
  <c r="J402" i="4"/>
  <c r="G402" i="4"/>
  <c r="M401" i="4"/>
  <c r="J401" i="4" a="1"/>
  <c r="J401" i="4" s="1"/>
  <c r="G401" i="4"/>
  <c r="J400" i="4" a="1"/>
  <c r="J400" i="4" s="1"/>
  <c r="I400" i="4" a="1"/>
  <c r="I400" i="4" s="1"/>
  <c r="L400" i="4" s="1"/>
  <c r="H400" i="4" a="1"/>
  <c r="H400" i="4" s="1"/>
  <c r="G400" i="4"/>
  <c r="J399" i="4" a="1"/>
  <c r="J399" i="4" s="1"/>
  <c r="I399" i="4" a="1"/>
  <c r="I399" i="4" s="1"/>
  <c r="L399" i="4" s="1"/>
  <c r="G399" i="4"/>
  <c r="H399" i="4" s="1" a="1"/>
  <c r="H399" i="4" s="1"/>
  <c r="M398" i="4"/>
  <c r="J398" i="4" a="1"/>
  <c r="J398" i="4" s="1"/>
  <c r="I398" i="4" a="1"/>
  <c r="I398" i="4"/>
  <c r="L398" i="4" s="1"/>
  <c r="H398" i="4" a="1"/>
  <c r="H398" i="4" s="1"/>
  <c r="K398" i="4" s="1"/>
  <c r="G398" i="4"/>
  <c r="J397" i="4" a="1"/>
  <c r="J397" i="4" s="1"/>
  <c r="M397" i="4" s="1"/>
  <c r="I397" i="4" a="1"/>
  <c r="I397" i="4"/>
  <c r="G397" i="4"/>
  <c r="H397" i="4" s="1" a="1"/>
  <c r="H397" i="4" s="1"/>
  <c r="L396" i="4"/>
  <c r="J396" i="4" a="1"/>
  <c r="J396" i="4"/>
  <c r="M396" i="4" s="1"/>
  <c r="I396" i="4" a="1"/>
  <c r="I396" i="4" s="1"/>
  <c r="H396" i="4" a="1"/>
  <c r="H396" i="4" s="1"/>
  <c r="K396" i="4" s="1"/>
  <c r="G396" i="4"/>
  <c r="M395" i="4"/>
  <c r="J395" i="4" a="1"/>
  <c r="J395" i="4"/>
  <c r="G395" i="4"/>
  <c r="L394" i="4"/>
  <c r="K394" i="4"/>
  <c r="J394" i="4" a="1"/>
  <c r="J394" i="4" s="1"/>
  <c r="M394" i="4" s="1"/>
  <c r="I394" i="4" a="1"/>
  <c r="I394" i="4" s="1"/>
  <c r="H394" i="4" a="1"/>
  <c r="H394" i="4"/>
  <c r="G394" i="4"/>
  <c r="L393" i="4"/>
  <c r="J393" i="4" a="1"/>
  <c r="J393" i="4"/>
  <c r="M393" i="4" s="1"/>
  <c r="I393" i="4" a="1"/>
  <c r="I393" i="4" s="1"/>
  <c r="H393" i="4" a="1"/>
  <c r="H393" i="4"/>
  <c r="K393" i="4" s="1"/>
  <c r="G393" i="4"/>
  <c r="G392" i="4"/>
  <c r="J391" i="4" a="1"/>
  <c r="J391" i="4" s="1"/>
  <c r="M391" i="4" s="1"/>
  <c r="G391" i="4"/>
  <c r="J390" i="4" a="1"/>
  <c r="J390" i="4" s="1"/>
  <c r="M390" i="4" s="1"/>
  <c r="I390" i="4" a="1"/>
  <c r="I390" i="4" s="1"/>
  <c r="L390" i="4" s="1"/>
  <c r="H390" i="4" a="1"/>
  <c r="H390" i="4"/>
  <c r="K390" i="4" s="1"/>
  <c r="G390" i="4"/>
  <c r="J389" i="4" a="1"/>
  <c r="J389" i="4" s="1"/>
  <c r="M389" i="4" s="1"/>
  <c r="I389" i="4" a="1"/>
  <c r="I389" i="4"/>
  <c r="L389" i="4" s="1"/>
  <c r="H389" i="4" a="1"/>
  <c r="H389" i="4" s="1"/>
  <c r="K389" i="4" s="1"/>
  <c r="G389" i="4"/>
  <c r="H387" i="4" s="1" a="1"/>
  <c r="H387" i="4" s="1"/>
  <c r="M388" i="4"/>
  <c r="L388" i="4"/>
  <c r="J388" i="4" a="1"/>
  <c r="J388" i="4" s="1"/>
  <c r="I388" i="4" a="1"/>
  <c r="I388" i="4"/>
  <c r="H388" i="4" a="1"/>
  <c r="H388" i="4" s="1"/>
  <c r="K388" i="4" s="1"/>
  <c r="G388" i="4"/>
  <c r="J387" i="4" a="1"/>
  <c r="J387" i="4"/>
  <c r="G387" i="4"/>
  <c r="L386" i="4"/>
  <c r="J386" i="4" a="1"/>
  <c r="J386" i="4"/>
  <c r="M386" i="4" s="1"/>
  <c r="I386" i="4" a="1"/>
  <c r="I386" i="4"/>
  <c r="H386" i="4" a="1"/>
  <c r="H386" i="4" s="1"/>
  <c r="K386" i="4" s="1"/>
  <c r="G386" i="4"/>
  <c r="M385" i="4"/>
  <c r="L385" i="4"/>
  <c r="J385" i="4" a="1"/>
  <c r="J385" i="4" s="1"/>
  <c r="I385" i="4" a="1"/>
  <c r="I385" i="4"/>
  <c r="H385" i="4" a="1"/>
  <c r="H385" i="4" s="1"/>
  <c r="K385" i="4" s="1"/>
  <c r="G385" i="4"/>
  <c r="J384" i="4" s="1" a="1"/>
  <c r="J384" i="4" s="1"/>
  <c r="I384" i="4" a="1"/>
  <c r="I384" i="4" s="1"/>
  <c r="G384" i="4"/>
  <c r="M383" i="4"/>
  <c r="J383" i="4" a="1"/>
  <c r="J383" i="4"/>
  <c r="I383" i="4" a="1"/>
  <c r="I383" i="4" s="1"/>
  <c r="L383" i="4" s="1"/>
  <c r="H383" i="4" a="1"/>
  <c r="H383" i="4" s="1"/>
  <c r="K383" i="4" s="1"/>
  <c r="G383" i="4"/>
  <c r="M382" i="4"/>
  <c r="J382" i="4" a="1"/>
  <c r="J382" i="4" s="1"/>
  <c r="I382" i="4" a="1"/>
  <c r="I382" i="4"/>
  <c r="L382" i="4" s="1"/>
  <c r="H382" i="4" a="1"/>
  <c r="H382" i="4" s="1"/>
  <c r="K382" i="4" s="1"/>
  <c r="G382" i="4"/>
  <c r="J381" i="4" a="1"/>
  <c r="J381" i="4" s="1"/>
  <c r="M381" i="4" s="1"/>
  <c r="G381" i="4"/>
  <c r="J380" i="4" a="1"/>
  <c r="J380" i="4" s="1"/>
  <c r="M380" i="4" s="1"/>
  <c r="G380" i="4"/>
  <c r="H380" i="4" s="1" a="1"/>
  <c r="H380" i="4" s="1"/>
  <c r="J379" i="4" a="1"/>
  <c r="J379" i="4" s="1"/>
  <c r="M379" i="4" s="1"/>
  <c r="I379" i="4" a="1"/>
  <c r="I379" i="4" s="1"/>
  <c r="L379" i="4" s="1"/>
  <c r="H379" i="4" a="1"/>
  <c r="H379" i="4" s="1"/>
  <c r="K379" i="4" s="1"/>
  <c r="G379" i="4"/>
  <c r="J378" i="4" a="1"/>
  <c r="J378" i="4" s="1"/>
  <c r="M378" i="4" s="1"/>
  <c r="G378" i="4"/>
  <c r="M377" i="4"/>
  <c r="J377" i="4" a="1"/>
  <c r="J377" i="4" s="1"/>
  <c r="I377" i="4" a="1"/>
  <c r="I377" i="4" s="1"/>
  <c r="L377" i="4" s="1"/>
  <c r="H377" i="4" a="1"/>
  <c r="H377" i="4" s="1"/>
  <c r="K377" i="4" s="1"/>
  <c r="G377" i="4"/>
  <c r="J376" i="4" a="1"/>
  <c r="J376" i="4" s="1"/>
  <c r="M376" i="4" s="1"/>
  <c r="I376" i="4" a="1"/>
  <c r="I376" i="4"/>
  <c r="L376" i="4" s="1"/>
  <c r="H376" i="4" a="1"/>
  <c r="H376" i="4" s="1"/>
  <c r="K376" i="4" s="1"/>
  <c r="G376" i="4"/>
  <c r="L375" i="4"/>
  <c r="J375" i="4" a="1"/>
  <c r="J375" i="4" s="1"/>
  <c r="M375" i="4" s="1"/>
  <c r="I375" i="4" a="1"/>
  <c r="I375" i="4" s="1"/>
  <c r="H375" i="4" a="1"/>
  <c r="H375" i="4" s="1"/>
  <c r="K375" i="4" s="1"/>
  <c r="G375" i="4"/>
  <c r="J374" i="4" a="1"/>
  <c r="J374" i="4" s="1"/>
  <c r="M374" i="4" s="1"/>
  <c r="I374" i="4" a="1"/>
  <c r="I374" i="4" s="1"/>
  <c r="L374" i="4" s="1"/>
  <c r="H374" i="4" a="1"/>
  <c r="H374" i="4" s="1"/>
  <c r="K374" i="4" s="1"/>
  <c r="G374" i="4"/>
  <c r="K373" i="4"/>
  <c r="J373" i="4" a="1"/>
  <c r="J373" i="4" s="1"/>
  <c r="M373" i="4" s="1"/>
  <c r="I373" i="4" a="1"/>
  <c r="I373" i="4" s="1"/>
  <c r="L373" i="4" s="1"/>
  <c r="H373" i="4" a="1"/>
  <c r="H373" i="4"/>
  <c r="G373" i="4"/>
  <c r="J372" i="4" a="1"/>
  <c r="J372" i="4"/>
  <c r="M372" i="4" s="1"/>
  <c r="G372" i="4"/>
  <c r="M371" i="4"/>
  <c r="J371" i="4" a="1"/>
  <c r="J371" i="4"/>
  <c r="I371" i="4" a="1"/>
  <c r="I371" i="4" s="1"/>
  <c r="L371" i="4" s="1"/>
  <c r="H371" i="4" a="1"/>
  <c r="H371" i="4" s="1"/>
  <c r="K371" i="4" s="1"/>
  <c r="G371" i="4"/>
  <c r="J370" i="4" a="1"/>
  <c r="J370" i="4" s="1"/>
  <c r="M370" i="4" s="1"/>
  <c r="I370" i="4" a="1"/>
  <c r="I370" i="4" s="1"/>
  <c r="L370" i="4" s="1"/>
  <c r="H370" i="4" a="1"/>
  <c r="H370" i="4"/>
  <c r="K370" i="4" s="1"/>
  <c r="G370" i="4"/>
  <c r="I364" i="4" s="1" a="1"/>
  <c r="I364" i="4" s="1"/>
  <c r="J369" i="4" a="1"/>
  <c r="J369" i="4"/>
  <c r="M369" i="4" s="1"/>
  <c r="I369" i="4" a="1"/>
  <c r="I369" i="4" s="1"/>
  <c r="L369" i="4" s="1"/>
  <c r="H369" i="4" a="1"/>
  <c r="H369" i="4" s="1"/>
  <c r="K369" i="4" s="1"/>
  <c r="G369" i="4"/>
  <c r="L368" i="4"/>
  <c r="J368" i="4" a="1"/>
  <c r="J368" i="4" s="1"/>
  <c r="M368" i="4" s="1"/>
  <c r="I368" i="4" a="1"/>
  <c r="I368" i="4" s="1"/>
  <c r="H368" i="4" a="1"/>
  <c r="H368" i="4" s="1"/>
  <c r="K368" i="4" s="1"/>
  <c r="G368" i="4"/>
  <c r="M367" i="4"/>
  <c r="J367" i="4" a="1"/>
  <c r="J367" i="4" s="1"/>
  <c r="I367" i="4" a="1"/>
  <c r="I367" i="4"/>
  <c r="L367" i="4" s="1"/>
  <c r="H367" i="4" a="1"/>
  <c r="H367" i="4" s="1"/>
  <c r="K367" i="4" s="1"/>
  <c r="G367" i="4"/>
  <c r="J366" i="4" a="1"/>
  <c r="J366" i="4"/>
  <c r="M366" i="4" s="1"/>
  <c r="I366" i="4" a="1"/>
  <c r="I366" i="4" s="1"/>
  <c r="L366" i="4" s="1"/>
  <c r="H366" i="4" a="1"/>
  <c r="H366" i="4" s="1"/>
  <c r="K366" i="4" s="1"/>
  <c r="G366" i="4"/>
  <c r="L365" i="4"/>
  <c r="J365" i="4" a="1"/>
  <c r="J365" i="4" s="1"/>
  <c r="M365" i="4" s="1"/>
  <c r="I365" i="4" a="1"/>
  <c r="I365" i="4"/>
  <c r="H365" i="4" a="1"/>
  <c r="H365" i="4" s="1"/>
  <c r="K365" i="4" s="1"/>
  <c r="G365" i="4"/>
  <c r="G364" i="4"/>
  <c r="J363" i="4" a="1"/>
  <c r="J363" i="4" s="1"/>
  <c r="I363" i="4" a="1"/>
  <c r="I363" i="4" s="1"/>
  <c r="L363" i="4" s="1"/>
  <c r="H363" i="4" a="1"/>
  <c r="H363" i="4" s="1"/>
  <c r="G363" i="4"/>
  <c r="L362" i="4"/>
  <c r="J362" i="4" a="1"/>
  <c r="J362" i="4" s="1"/>
  <c r="M362" i="4" s="1"/>
  <c r="I362" i="4" a="1"/>
  <c r="I362" i="4"/>
  <c r="H362" i="4" a="1"/>
  <c r="H362" i="4" s="1"/>
  <c r="K362" i="4" s="1"/>
  <c r="G362" i="4"/>
  <c r="J361" i="4" a="1"/>
  <c r="J361" i="4" s="1"/>
  <c r="I361" i="4" a="1"/>
  <c r="I361" i="4" s="1"/>
  <c r="G361" i="4"/>
  <c r="H361" i="4" s="1" a="1"/>
  <c r="H361" i="4" s="1"/>
  <c r="J360" i="4" a="1"/>
  <c r="J360" i="4"/>
  <c r="M360" i="4" s="1"/>
  <c r="I360" i="4" a="1"/>
  <c r="I360" i="4" s="1"/>
  <c r="L360" i="4" s="1"/>
  <c r="H360" i="4" a="1"/>
  <c r="H360" i="4"/>
  <c r="K360" i="4" s="1"/>
  <c r="G360" i="4"/>
  <c r="J359" i="4" s="1" a="1"/>
  <c r="J359" i="4" s="1"/>
  <c r="I359" i="4" a="1"/>
  <c r="I359" i="4" s="1"/>
  <c r="H359" i="4" a="1"/>
  <c r="H359" i="4" s="1"/>
  <c r="G359" i="4"/>
  <c r="L358" i="4"/>
  <c r="J358" i="4" a="1"/>
  <c r="J358" i="4" s="1"/>
  <c r="I358" i="4" a="1"/>
  <c r="I358" i="4" s="1"/>
  <c r="G358" i="4"/>
  <c r="H358" i="4" s="1" a="1"/>
  <c r="H358" i="4" s="1"/>
  <c r="I357" i="4" a="1"/>
  <c r="I357" i="4" s="1"/>
  <c r="L357" i="4" s="1"/>
  <c r="G357" i="4"/>
  <c r="H357" i="4" s="1" a="1"/>
  <c r="H357" i="4" s="1"/>
  <c r="J356" i="4"/>
  <c r="I356" i="4" a="1"/>
  <c r="I356" i="4" s="1"/>
  <c r="L356" i="4" s="1"/>
  <c r="G356" i="4"/>
  <c r="J356" i="4" s="1" a="1"/>
  <c r="L355" i="4"/>
  <c r="I355" i="4" a="1"/>
  <c r="I355" i="4" s="1"/>
  <c r="G355" i="4"/>
  <c r="H355" i="4" s="1" a="1"/>
  <c r="H355" i="4" s="1"/>
  <c r="J354" i="4" a="1"/>
  <c r="J354" i="4"/>
  <c r="M354" i="4" s="1"/>
  <c r="I354" i="4" a="1"/>
  <c r="I354" i="4" s="1"/>
  <c r="H354" i="4" a="1"/>
  <c r="H354" i="4"/>
  <c r="G354" i="4"/>
  <c r="J353" i="4" a="1"/>
  <c r="J353" i="4" s="1"/>
  <c r="M353" i="4" s="1"/>
  <c r="I353" i="4" a="1"/>
  <c r="I353" i="4"/>
  <c r="L353" i="4" s="1"/>
  <c r="H353" i="4" a="1"/>
  <c r="H353" i="4" s="1"/>
  <c r="K353" i="4" s="1"/>
  <c r="G353" i="4"/>
  <c r="M352" i="4"/>
  <c r="L352" i="4"/>
  <c r="K352" i="4"/>
  <c r="J352" i="4" a="1"/>
  <c r="J352" i="4" s="1"/>
  <c r="I352" i="4" a="1"/>
  <c r="I352" i="4"/>
  <c r="H352" i="4" a="1"/>
  <c r="H352" i="4" s="1"/>
  <c r="G352" i="4"/>
  <c r="L351" i="4"/>
  <c r="J351" i="4" a="1"/>
  <c r="J351" i="4" s="1"/>
  <c r="M351" i="4" s="1"/>
  <c r="I351" i="4" a="1"/>
  <c r="I351" i="4" s="1"/>
  <c r="H351" i="4" a="1"/>
  <c r="H351" i="4" s="1"/>
  <c r="K351" i="4" s="1"/>
  <c r="G351" i="4"/>
  <c r="L350" i="4"/>
  <c r="J350" i="4" a="1"/>
  <c r="J350" i="4"/>
  <c r="M350" i="4" s="1"/>
  <c r="I350" i="4" a="1"/>
  <c r="I350" i="4" s="1"/>
  <c r="H350" i="4" a="1"/>
  <c r="H350" i="4" s="1"/>
  <c r="K350" i="4" s="1"/>
  <c r="G350" i="4"/>
  <c r="J349" i="4" s="1" a="1"/>
  <c r="J349" i="4" s="1"/>
  <c r="G349" i="4"/>
  <c r="J348" i="4" a="1"/>
  <c r="J348" i="4" s="1"/>
  <c r="M348" i="4" s="1"/>
  <c r="I348" i="4" a="1"/>
  <c r="I348" i="4" s="1"/>
  <c r="L348" i="4" s="1"/>
  <c r="H348" i="4" a="1"/>
  <c r="H348" i="4" s="1"/>
  <c r="K348" i="4" s="1"/>
  <c r="G348" i="4"/>
  <c r="L347" i="4"/>
  <c r="J347" i="4" a="1"/>
  <c r="J347" i="4" s="1"/>
  <c r="M347" i="4" s="1"/>
  <c r="I347" i="4" a="1"/>
  <c r="I347" i="4" s="1"/>
  <c r="H347" i="4" a="1"/>
  <c r="H347" i="4" s="1"/>
  <c r="K347" i="4" s="1"/>
  <c r="G347" i="4"/>
  <c r="M346" i="4"/>
  <c r="J346" i="4" a="1"/>
  <c r="J346" i="4" s="1"/>
  <c r="I346" i="4" a="1"/>
  <c r="I346" i="4" s="1"/>
  <c r="L346" i="4" s="1"/>
  <c r="H346" i="4" a="1"/>
  <c r="H346" i="4"/>
  <c r="K346" i="4" s="1"/>
  <c r="G346" i="4"/>
  <c r="L345" i="4"/>
  <c r="K345" i="4"/>
  <c r="J345" i="4" a="1"/>
  <c r="J345" i="4"/>
  <c r="M345" i="4" s="1"/>
  <c r="I345" i="4" a="1"/>
  <c r="I345" i="4" s="1"/>
  <c r="H345" i="4" a="1"/>
  <c r="H345" i="4"/>
  <c r="G345" i="4"/>
  <c r="M344" i="4"/>
  <c r="J344" i="4" a="1"/>
  <c r="J344" i="4"/>
  <c r="I344" i="4" a="1"/>
  <c r="I344" i="4"/>
  <c r="L344" i="4" s="1"/>
  <c r="H344" i="4" a="1"/>
  <c r="H344" i="4" s="1"/>
  <c r="K344" i="4" s="1"/>
  <c r="G344" i="4"/>
  <c r="J343" i="4" a="1"/>
  <c r="J343" i="4" s="1"/>
  <c r="M343" i="4" s="1"/>
  <c r="I343" i="4" a="1"/>
  <c r="I343" i="4"/>
  <c r="L343" i="4" s="1"/>
  <c r="H343" i="4" a="1"/>
  <c r="H343" i="4"/>
  <c r="K343" i="4" s="1"/>
  <c r="G343" i="4"/>
  <c r="L342" i="4"/>
  <c r="K342" i="4"/>
  <c r="J342" i="4" a="1"/>
  <c r="J342" i="4" s="1"/>
  <c r="M342" i="4" s="1"/>
  <c r="I342" i="4" a="1"/>
  <c r="I342" i="4" s="1"/>
  <c r="H342" i="4" a="1"/>
  <c r="H342" i="4"/>
  <c r="G342" i="4"/>
  <c r="J341" i="4" a="1"/>
  <c r="J341" i="4" s="1"/>
  <c r="M341" i="4" s="1"/>
  <c r="I341" i="4" a="1"/>
  <c r="I341" i="4"/>
  <c r="L341" i="4" s="1"/>
  <c r="H341" i="4" a="1"/>
  <c r="H341" i="4" s="1"/>
  <c r="K341" i="4" s="1"/>
  <c r="G341" i="4"/>
  <c r="K340" i="4"/>
  <c r="J340" i="4" a="1"/>
  <c r="J340" i="4" s="1"/>
  <c r="M340" i="4" s="1"/>
  <c r="I340" i="4" a="1"/>
  <c r="I340" i="4" s="1"/>
  <c r="L340" i="4" s="1"/>
  <c r="H340" i="4" a="1"/>
  <c r="H340" i="4"/>
  <c r="G340" i="4"/>
  <c r="L339" i="4"/>
  <c r="J339" i="4" a="1"/>
  <c r="J339" i="4" s="1"/>
  <c r="M339" i="4" s="1"/>
  <c r="I339" i="4" a="1"/>
  <c r="I339" i="4" s="1"/>
  <c r="H339" i="4" a="1"/>
  <c r="H339" i="4" s="1"/>
  <c r="K339" i="4" s="1"/>
  <c r="G339" i="4"/>
  <c r="M338" i="4"/>
  <c r="J338" i="4" a="1"/>
  <c r="J338" i="4"/>
  <c r="I338" i="4" a="1"/>
  <c r="I338" i="4"/>
  <c r="L338" i="4" s="1"/>
  <c r="H338" i="4" a="1"/>
  <c r="H338" i="4" s="1"/>
  <c r="K338" i="4" s="1"/>
  <c r="G338" i="4"/>
  <c r="K337" i="4"/>
  <c r="J337" i="4" a="1"/>
  <c r="J337" i="4" s="1"/>
  <c r="M337" i="4" s="1"/>
  <c r="I337" i="4" a="1"/>
  <c r="I337" i="4"/>
  <c r="L337" i="4" s="1"/>
  <c r="H337" i="4" a="1"/>
  <c r="H337" i="4" s="1"/>
  <c r="G337" i="4"/>
  <c r="I336" i="4" a="1"/>
  <c r="I336" i="4" s="1"/>
  <c r="G336" i="4"/>
  <c r="M335" i="4"/>
  <c r="L335" i="4"/>
  <c r="J335" i="4" a="1"/>
  <c r="J335" i="4"/>
  <c r="I335" i="4" a="1"/>
  <c r="I335" i="4" s="1"/>
  <c r="H335" i="4" a="1"/>
  <c r="H335" i="4" s="1"/>
  <c r="K335" i="4" s="1"/>
  <c r="G335" i="4"/>
  <c r="M334" i="4"/>
  <c r="J334" i="4" a="1"/>
  <c r="J334" i="4" s="1"/>
  <c r="I334" i="4" a="1"/>
  <c r="I334" i="4" s="1"/>
  <c r="H334" i="4" a="1"/>
  <c r="H334" i="4" s="1"/>
  <c r="G334" i="4"/>
  <c r="J333" i="4" a="1"/>
  <c r="J333" i="4"/>
  <c r="M333" i="4" s="1"/>
  <c r="I333" i="4" a="1"/>
  <c r="I333" i="4" s="1"/>
  <c r="L333" i="4" s="1"/>
  <c r="H333" i="4" a="1"/>
  <c r="H333" i="4" s="1"/>
  <c r="K333" i="4" s="1"/>
  <c r="G333" i="4"/>
  <c r="J332" i="4" a="1"/>
  <c r="J332" i="4" s="1"/>
  <c r="M332" i="4" s="1"/>
  <c r="G332" i="4"/>
  <c r="J331" i="4" a="1"/>
  <c r="J331" i="4" s="1"/>
  <c r="M331" i="4" s="1"/>
  <c r="I331" i="4" a="1"/>
  <c r="I331" i="4" s="1"/>
  <c r="L331" i="4" s="1"/>
  <c r="H331" i="4" a="1"/>
  <c r="H331" i="4" s="1"/>
  <c r="K331" i="4" s="1"/>
  <c r="G331" i="4"/>
  <c r="L330" i="4"/>
  <c r="J330" i="4" a="1"/>
  <c r="J330" i="4"/>
  <c r="M330" i="4" s="1"/>
  <c r="I330" i="4" a="1"/>
  <c r="I330" i="4" s="1"/>
  <c r="H330" i="4" a="1"/>
  <c r="H330" i="4"/>
  <c r="K330" i="4" s="1"/>
  <c r="G330" i="4"/>
  <c r="I328" i="4" s="1" a="1"/>
  <c r="I328" i="4" s="1"/>
  <c r="M329" i="4"/>
  <c r="J329" i="4" a="1"/>
  <c r="J329" i="4"/>
  <c r="I329" i="4" a="1"/>
  <c r="I329" i="4" s="1"/>
  <c r="L329" i="4" s="1"/>
  <c r="H329" i="4" a="1"/>
  <c r="H329" i="4" s="1"/>
  <c r="K329" i="4" s="1"/>
  <c r="G329" i="4"/>
  <c r="J328" i="4" a="1"/>
  <c r="J328" i="4" s="1"/>
  <c r="G328" i="4"/>
  <c r="J327" i="4" a="1"/>
  <c r="J327" i="4"/>
  <c r="M327" i="4" s="1"/>
  <c r="I327" i="4" a="1"/>
  <c r="I327" i="4"/>
  <c r="G327" i="4"/>
  <c r="H327" i="4" s="1" a="1"/>
  <c r="H327" i="4" s="1"/>
  <c r="J326" i="4" a="1"/>
  <c r="J326" i="4" s="1"/>
  <c r="M326" i="4" s="1"/>
  <c r="I326" i="4"/>
  <c r="G326" i="4"/>
  <c r="I326" i="4" s="1" a="1"/>
  <c r="J325" i="4" a="1"/>
  <c r="J325" i="4" s="1"/>
  <c r="M325" i="4" s="1"/>
  <c r="I325" i="4" a="1"/>
  <c r="I325" i="4" s="1"/>
  <c r="L325" i="4" s="1"/>
  <c r="H325" i="4" a="1"/>
  <c r="H325" i="4"/>
  <c r="K325" i="4" s="1"/>
  <c r="G325" i="4"/>
  <c r="L324" i="4"/>
  <c r="J324" i="4" a="1"/>
  <c r="J324" i="4" s="1"/>
  <c r="M324" i="4" s="1"/>
  <c r="I324" i="4" a="1"/>
  <c r="I324" i="4" s="1"/>
  <c r="H324" i="4" a="1"/>
  <c r="H324" i="4" s="1"/>
  <c r="K324" i="4" s="1"/>
  <c r="G324" i="4"/>
  <c r="L323" i="4"/>
  <c r="K323" i="4"/>
  <c r="J323" i="4" a="1"/>
  <c r="J323" i="4"/>
  <c r="M323" i="4" s="1"/>
  <c r="I323" i="4" a="1"/>
  <c r="I323" i="4" s="1"/>
  <c r="H323" i="4" a="1"/>
  <c r="H323" i="4" s="1"/>
  <c r="G323" i="4"/>
  <c r="L322" i="4"/>
  <c r="J322" i="4" a="1"/>
  <c r="J322" i="4"/>
  <c r="M322" i="4" s="1"/>
  <c r="I322" i="4" a="1"/>
  <c r="I322" i="4"/>
  <c r="H322" i="4" a="1"/>
  <c r="H322" i="4" s="1"/>
  <c r="K322" i="4" s="1"/>
  <c r="G322" i="4"/>
  <c r="J321" i="4" a="1"/>
  <c r="J321" i="4"/>
  <c r="M321" i="4" s="1"/>
  <c r="I321" i="4" a="1"/>
  <c r="I321" i="4" s="1"/>
  <c r="L321" i="4" s="1"/>
  <c r="H321" i="4" a="1"/>
  <c r="H321" i="4"/>
  <c r="K321" i="4" s="1"/>
  <c r="G321" i="4"/>
  <c r="G320" i="4"/>
  <c r="I319" i="4" a="1"/>
  <c r="I319" i="4" s="1"/>
  <c r="L319" i="4" s="1"/>
  <c r="G319" i="4"/>
  <c r="L318" i="4"/>
  <c r="J318" i="4" a="1"/>
  <c r="J318" i="4" s="1"/>
  <c r="M318" i="4" s="1"/>
  <c r="I318" i="4" a="1"/>
  <c r="I318" i="4" s="1"/>
  <c r="H318" i="4" a="1"/>
  <c r="H318" i="4"/>
  <c r="K318" i="4" s="1"/>
  <c r="G318" i="4"/>
  <c r="J317" i="4" a="1"/>
  <c r="J317" i="4" s="1"/>
  <c r="M317" i="4" s="1"/>
  <c r="I317" i="4"/>
  <c r="H317" i="4" a="1"/>
  <c r="H317" i="4" s="1"/>
  <c r="G317" i="4"/>
  <c r="I317" i="4" s="1" a="1"/>
  <c r="M316" i="4"/>
  <c r="J316" i="4" a="1"/>
  <c r="J316" i="4"/>
  <c r="I316" i="4" a="1"/>
  <c r="I316" i="4" s="1"/>
  <c r="L316" i="4" s="1"/>
  <c r="H316" i="4" a="1"/>
  <c r="H316" i="4" s="1"/>
  <c r="K316" i="4" s="1"/>
  <c r="G316" i="4"/>
  <c r="L315" i="4"/>
  <c r="K315" i="4"/>
  <c r="J315" i="4" a="1"/>
  <c r="J315" i="4" s="1"/>
  <c r="M315" i="4" s="1"/>
  <c r="I315" i="4" a="1"/>
  <c r="I315" i="4" s="1"/>
  <c r="H315" i="4" a="1"/>
  <c r="H315" i="4"/>
  <c r="G315" i="4"/>
  <c r="J314" i="4" a="1"/>
  <c r="J314" i="4" s="1"/>
  <c r="M314" i="4" s="1"/>
  <c r="G314" i="4"/>
  <c r="J313" i="4" a="1"/>
  <c r="J313" i="4" s="1"/>
  <c r="I313" i="4" a="1"/>
  <c r="I313" i="4" s="1"/>
  <c r="L313" i="4" s="1"/>
  <c r="H313" i="4" a="1"/>
  <c r="H313" i="4"/>
  <c r="G313" i="4"/>
  <c r="M312" i="4"/>
  <c r="J312" i="4" a="1"/>
  <c r="J312" i="4"/>
  <c r="I312" i="4" a="1"/>
  <c r="I312" i="4" s="1"/>
  <c r="L312" i="4" s="1"/>
  <c r="H312" i="4" a="1"/>
  <c r="H312" i="4"/>
  <c r="K312" i="4" s="1"/>
  <c r="G312" i="4"/>
  <c r="I307" i="4" s="1" a="1"/>
  <c r="I307" i="4" s="1"/>
  <c r="L311" i="4"/>
  <c r="J311" i="4" a="1"/>
  <c r="J311" i="4" s="1"/>
  <c r="M311" i="4" s="1"/>
  <c r="I311" i="4" a="1"/>
  <c r="I311" i="4"/>
  <c r="H311" i="4" a="1"/>
  <c r="H311" i="4" s="1"/>
  <c r="K311" i="4" s="1"/>
  <c r="G311" i="4"/>
  <c r="K310" i="4"/>
  <c r="J310" i="4" a="1"/>
  <c r="J310" i="4"/>
  <c r="M310" i="4" s="1"/>
  <c r="I310" i="4" a="1"/>
  <c r="I310" i="4"/>
  <c r="L310" i="4" s="1"/>
  <c r="H310" i="4" a="1"/>
  <c r="H310" i="4" s="1"/>
  <c r="G310" i="4"/>
  <c r="L309" i="4"/>
  <c r="K309" i="4"/>
  <c r="J309" i="4" a="1"/>
  <c r="J309" i="4" s="1"/>
  <c r="M309" i="4" s="1"/>
  <c r="I309" i="4" a="1"/>
  <c r="I309" i="4"/>
  <c r="H309" i="4" a="1"/>
  <c r="H309" i="4"/>
  <c r="G309" i="4"/>
  <c r="J308" i="4" a="1"/>
  <c r="J308" i="4"/>
  <c r="M308" i="4" s="1"/>
  <c r="I308" i="4" a="1"/>
  <c r="I308" i="4"/>
  <c r="L308" i="4" s="1"/>
  <c r="H308" i="4" a="1"/>
  <c r="H308" i="4" s="1"/>
  <c r="K308" i="4" s="1"/>
  <c r="G308" i="4"/>
  <c r="G307" i="4"/>
  <c r="J307" i="4" s="1" a="1"/>
  <c r="J307" i="4" s="1"/>
  <c r="L306" i="4"/>
  <c r="J306" i="4" a="1"/>
  <c r="J306" i="4" s="1"/>
  <c r="M306" i="4" s="1"/>
  <c r="I306" i="4" a="1"/>
  <c r="I306" i="4" s="1"/>
  <c r="H306" i="4" a="1"/>
  <c r="H306" i="4" s="1"/>
  <c r="K306" i="4" s="1"/>
  <c r="G306" i="4"/>
  <c r="J305" i="4" a="1"/>
  <c r="J305" i="4"/>
  <c r="M305" i="4" s="1"/>
  <c r="I305" i="4" a="1"/>
  <c r="I305" i="4"/>
  <c r="L305" i="4" s="1"/>
  <c r="H305" i="4" a="1"/>
  <c r="H305" i="4" s="1"/>
  <c r="K305" i="4" s="1"/>
  <c r="G305" i="4"/>
  <c r="J304" i="4" a="1"/>
  <c r="J304" i="4"/>
  <c r="M304" i="4" s="1"/>
  <c r="I304" i="4" a="1"/>
  <c r="I304" i="4" s="1"/>
  <c r="L304" i="4" s="1"/>
  <c r="H304" i="4" a="1"/>
  <c r="H304" i="4" s="1"/>
  <c r="K304" i="4" s="1"/>
  <c r="G304" i="4"/>
  <c r="J303" i="4" a="1"/>
  <c r="J303" i="4" s="1"/>
  <c r="M303" i="4" s="1"/>
  <c r="I303" i="4" a="1"/>
  <c r="I303" i="4"/>
  <c r="L303" i="4" s="1"/>
  <c r="H303" i="4" a="1"/>
  <c r="H303" i="4"/>
  <c r="K303" i="4" s="1"/>
  <c r="G303" i="4"/>
  <c r="L302" i="4"/>
  <c r="J302" i="4" a="1"/>
  <c r="J302" i="4"/>
  <c r="M302" i="4" s="1"/>
  <c r="I302" i="4" a="1"/>
  <c r="I302" i="4" s="1"/>
  <c r="H302" i="4" a="1"/>
  <c r="H302" i="4"/>
  <c r="K302" i="4" s="1"/>
  <c r="G302" i="4"/>
  <c r="J301" i="4" a="1"/>
  <c r="J301" i="4" s="1"/>
  <c r="M301" i="4" s="1"/>
  <c r="I301" i="4" a="1"/>
  <c r="I301" i="4" s="1"/>
  <c r="L301" i="4" s="1"/>
  <c r="H301" i="4" a="1"/>
  <c r="H301" i="4"/>
  <c r="K301" i="4" s="1"/>
  <c r="G301" i="4"/>
  <c r="L300" i="4"/>
  <c r="J300" i="4" a="1"/>
  <c r="J300" i="4" s="1"/>
  <c r="M300" i="4" s="1"/>
  <c r="I300" i="4" a="1"/>
  <c r="I300" i="4" s="1"/>
  <c r="H300" i="4" a="1"/>
  <c r="H300" i="4"/>
  <c r="K300" i="4" s="1"/>
  <c r="G300" i="4"/>
  <c r="M299" i="4"/>
  <c r="J299" i="4" a="1"/>
  <c r="J299" i="4"/>
  <c r="G299" i="4"/>
  <c r="L298" i="4"/>
  <c r="J298" i="4" a="1"/>
  <c r="J298" i="4" s="1"/>
  <c r="M298" i="4" s="1"/>
  <c r="I298" i="4" a="1"/>
  <c r="I298" i="4"/>
  <c r="H298" i="4" a="1"/>
  <c r="H298" i="4" s="1"/>
  <c r="K298" i="4" s="1"/>
  <c r="G298" i="4"/>
  <c r="J296" i="4" s="1" a="1"/>
  <c r="J296" i="4" s="1"/>
  <c r="J297" i="4" a="1"/>
  <c r="J297" i="4"/>
  <c r="M297" i="4" s="1"/>
  <c r="I297" i="4" a="1"/>
  <c r="I297" i="4" s="1"/>
  <c r="L297" i="4" s="1"/>
  <c r="H297" i="4" a="1"/>
  <c r="H297" i="4" s="1"/>
  <c r="K297" i="4" s="1"/>
  <c r="G297" i="4"/>
  <c r="I296" i="4" a="1"/>
  <c r="I296" i="4" s="1"/>
  <c r="G296" i="4"/>
  <c r="I295" i="4" a="1"/>
  <c r="I295" i="4"/>
  <c r="L295" i="4" s="1"/>
  <c r="G295" i="4"/>
  <c r="M294" i="4"/>
  <c r="L294" i="4"/>
  <c r="J294" i="4" a="1"/>
  <c r="J294" i="4" s="1"/>
  <c r="I294" i="4" a="1"/>
  <c r="I294" i="4" s="1"/>
  <c r="H294" i="4" a="1"/>
  <c r="H294" i="4" s="1"/>
  <c r="K294" i="4" s="1"/>
  <c r="G294" i="4"/>
  <c r="K293" i="4"/>
  <c r="J293" i="4" a="1"/>
  <c r="J293" i="4"/>
  <c r="M293" i="4" s="1"/>
  <c r="I293" i="4" a="1"/>
  <c r="I293" i="4" s="1"/>
  <c r="L293" i="4" s="1"/>
  <c r="H293" i="4" a="1"/>
  <c r="H293" i="4" s="1"/>
  <c r="G293" i="4"/>
  <c r="J292" i="4" a="1"/>
  <c r="J292" i="4"/>
  <c r="M292" i="4" s="1"/>
  <c r="I292" i="4" a="1"/>
  <c r="I292" i="4"/>
  <c r="L292" i="4" s="1"/>
  <c r="H292" i="4" a="1"/>
  <c r="H292" i="4"/>
  <c r="K292" i="4" s="1"/>
  <c r="G292" i="4"/>
  <c r="J291" i="4" a="1"/>
  <c r="J291" i="4"/>
  <c r="M291" i="4" s="1"/>
  <c r="I291" i="4" a="1"/>
  <c r="I291" i="4"/>
  <c r="L291" i="4" s="1"/>
  <c r="H291" i="4" a="1"/>
  <c r="H291" i="4"/>
  <c r="K291" i="4" s="1"/>
  <c r="G291" i="4"/>
  <c r="L290" i="4"/>
  <c r="J290" i="4" a="1"/>
  <c r="J290" i="4" s="1"/>
  <c r="M290" i="4" s="1"/>
  <c r="I290" i="4" a="1"/>
  <c r="I290" i="4"/>
  <c r="H290" i="4" a="1"/>
  <c r="H290" i="4" s="1"/>
  <c r="K290" i="4" s="1"/>
  <c r="G290" i="4"/>
  <c r="M289" i="4"/>
  <c r="L289" i="4"/>
  <c r="K289" i="4"/>
  <c r="J289" i="4" a="1"/>
  <c r="J289" i="4" s="1"/>
  <c r="I289" i="4" a="1"/>
  <c r="I289" i="4"/>
  <c r="H289" i="4" a="1"/>
  <c r="H289" i="4"/>
  <c r="G289" i="4"/>
  <c r="M288" i="4"/>
  <c r="L288" i="4"/>
  <c r="K288" i="4"/>
  <c r="J288" i="4" a="1"/>
  <c r="J288" i="4"/>
  <c r="I288" i="4" a="1"/>
  <c r="I288" i="4" s="1"/>
  <c r="H288" i="4" a="1"/>
  <c r="H288" i="4" s="1"/>
  <c r="G288" i="4"/>
  <c r="J287" i="4" a="1"/>
  <c r="J287" i="4" s="1"/>
  <c r="M287" i="4" s="1"/>
  <c r="I287" i="4" a="1"/>
  <c r="I287" i="4"/>
  <c r="L287" i="4" s="1"/>
  <c r="H287" i="4" a="1"/>
  <c r="H287" i="4" s="1"/>
  <c r="K287" i="4" s="1"/>
  <c r="G287" i="4"/>
  <c r="H286" i="4" s="1" a="1"/>
  <c r="H286" i="4" s="1"/>
  <c r="G286" i="4"/>
  <c r="L285" i="4"/>
  <c r="J285" i="4" a="1"/>
  <c r="J285" i="4" s="1"/>
  <c r="I285" i="4" a="1"/>
  <c r="I285" i="4" s="1"/>
  <c r="H285" i="4"/>
  <c r="G285" i="4"/>
  <c r="H285" i="4" s="1" a="1"/>
  <c r="J284" i="4" a="1"/>
  <c r="J284" i="4" s="1"/>
  <c r="M284" i="4" s="1"/>
  <c r="I284" i="4" a="1"/>
  <c r="I284" i="4"/>
  <c r="L284" i="4" s="1"/>
  <c r="H284" i="4" a="1"/>
  <c r="H284" i="4"/>
  <c r="K284" i="4" s="1"/>
  <c r="G284" i="4"/>
  <c r="L283" i="4"/>
  <c r="K283" i="4"/>
  <c r="J283" i="4" a="1"/>
  <c r="J283" i="4" s="1"/>
  <c r="M283" i="4" s="1"/>
  <c r="I283" i="4" a="1"/>
  <c r="I283" i="4" s="1"/>
  <c r="H283" i="4" a="1"/>
  <c r="H283" i="4" s="1"/>
  <c r="G283" i="4"/>
  <c r="L282" i="4"/>
  <c r="J282" i="4" a="1"/>
  <c r="J282" i="4"/>
  <c r="M282" i="4" s="1"/>
  <c r="I282" i="4" a="1"/>
  <c r="I282" i="4" s="1"/>
  <c r="H282" i="4" a="1"/>
  <c r="H282" i="4"/>
  <c r="K282" i="4" s="1"/>
  <c r="G282" i="4"/>
  <c r="J281" i="4" a="1"/>
  <c r="J281" i="4" s="1"/>
  <c r="M281" i="4" s="1"/>
  <c r="I281" i="4" a="1"/>
  <c r="I281" i="4" s="1"/>
  <c r="L281" i="4" s="1"/>
  <c r="H281" i="4" a="1"/>
  <c r="H281" i="4" s="1"/>
  <c r="K281" i="4" s="1"/>
  <c r="G281" i="4"/>
  <c r="L280" i="4"/>
  <c r="J280" i="4" a="1"/>
  <c r="J280" i="4" s="1"/>
  <c r="M280" i="4" s="1"/>
  <c r="I280" i="4" a="1"/>
  <c r="I280" i="4" s="1"/>
  <c r="H280" i="4" a="1"/>
  <c r="H280" i="4"/>
  <c r="K280" i="4" s="1"/>
  <c r="G280" i="4"/>
  <c r="J279" i="4" a="1"/>
  <c r="J279" i="4"/>
  <c r="M279" i="4" s="1"/>
  <c r="I279" i="4" a="1"/>
  <c r="I279" i="4" s="1"/>
  <c r="L279" i="4" s="1"/>
  <c r="H279" i="4" a="1"/>
  <c r="H279" i="4"/>
  <c r="K279" i="4" s="1"/>
  <c r="G279" i="4"/>
  <c r="L278" i="4"/>
  <c r="J278" i="4" a="1"/>
  <c r="J278" i="4"/>
  <c r="M278" i="4" s="1"/>
  <c r="I278" i="4" a="1"/>
  <c r="I278" i="4" s="1"/>
  <c r="H278" i="4" a="1"/>
  <c r="H278" i="4" s="1"/>
  <c r="K278" i="4" s="1"/>
  <c r="G278" i="4"/>
  <c r="L277" i="4"/>
  <c r="J277" i="4" a="1"/>
  <c r="J277" i="4" s="1"/>
  <c r="M277" i="4" s="1"/>
  <c r="I277" i="4" a="1"/>
  <c r="I277" i="4"/>
  <c r="H277" i="4" a="1"/>
  <c r="H277" i="4" s="1"/>
  <c r="K277" i="4" s="1"/>
  <c r="G277" i="4"/>
  <c r="L276" i="4"/>
  <c r="J276" i="4" a="1"/>
  <c r="J276" i="4"/>
  <c r="M276" i="4" s="1"/>
  <c r="I276" i="4" a="1"/>
  <c r="I276" i="4" s="1"/>
  <c r="H276" i="4" a="1"/>
  <c r="H276" i="4" s="1"/>
  <c r="K276" i="4" s="1"/>
  <c r="G276" i="4"/>
  <c r="J275" i="4" a="1"/>
  <c r="J275" i="4" s="1"/>
  <c r="M275" i="4" s="1"/>
  <c r="I275" i="4" a="1"/>
  <c r="I275" i="4" s="1"/>
  <c r="L275" i="4" s="1"/>
  <c r="H275" i="4" a="1"/>
  <c r="H275" i="4" s="1"/>
  <c r="K275" i="4" s="1"/>
  <c r="G275" i="4"/>
  <c r="M274" i="4"/>
  <c r="L274" i="4"/>
  <c r="J274" i="4" a="1"/>
  <c r="J274" i="4"/>
  <c r="I274" i="4" a="1"/>
  <c r="I274" i="4"/>
  <c r="H274" i="4" a="1"/>
  <c r="H274" i="4" s="1"/>
  <c r="K274" i="4" s="1"/>
  <c r="G274" i="4"/>
  <c r="K273" i="4"/>
  <c r="J273" i="4" a="1"/>
  <c r="J273" i="4" s="1"/>
  <c r="M273" i="4" s="1"/>
  <c r="I273" i="4" a="1"/>
  <c r="I273" i="4" s="1"/>
  <c r="L273" i="4" s="1"/>
  <c r="H273" i="4" a="1"/>
  <c r="H273" i="4" s="1"/>
  <c r="G273" i="4"/>
  <c r="L272" i="4"/>
  <c r="J272" i="4" a="1"/>
  <c r="J272" i="4"/>
  <c r="M272" i="4" s="1"/>
  <c r="I272" i="4" a="1"/>
  <c r="I272" i="4"/>
  <c r="H272" i="4" a="1"/>
  <c r="H272" i="4" s="1"/>
  <c r="K272" i="4" s="1"/>
  <c r="G272" i="4"/>
  <c r="J271" i="4" a="1"/>
  <c r="J271" i="4" s="1"/>
  <c r="M271" i="4" s="1"/>
  <c r="I271" i="4" a="1"/>
  <c r="I271" i="4" s="1"/>
  <c r="L271" i="4" s="1"/>
  <c r="H271" i="4" a="1"/>
  <c r="H271" i="4" s="1"/>
  <c r="K271" i="4" s="1"/>
  <c r="G271" i="4"/>
  <c r="M270" i="4"/>
  <c r="L270" i="4"/>
  <c r="K270" i="4"/>
  <c r="J270" i="4" a="1"/>
  <c r="J270" i="4" s="1"/>
  <c r="I270" i="4" a="1"/>
  <c r="I270" i="4" s="1"/>
  <c r="H270" i="4" a="1"/>
  <c r="H270" i="4"/>
  <c r="G270" i="4"/>
  <c r="L269" i="4"/>
  <c r="J269" i="4" a="1"/>
  <c r="J269" i="4" s="1"/>
  <c r="I269" i="4" a="1"/>
  <c r="I269" i="4" s="1"/>
  <c r="G269" i="4"/>
  <c r="J268" i="4" a="1"/>
  <c r="J268" i="4"/>
  <c r="M268" i="4" s="1"/>
  <c r="I268" i="4" a="1"/>
  <c r="I268" i="4"/>
  <c r="L268" i="4" s="1"/>
  <c r="H268" i="4" a="1"/>
  <c r="H268" i="4"/>
  <c r="K268" i="4" s="1"/>
  <c r="G268" i="4"/>
  <c r="H266" i="4" s="1" a="1"/>
  <c r="H266" i="4" s="1"/>
  <c r="K267" i="4"/>
  <c r="J267" i="4" a="1"/>
  <c r="J267" i="4" s="1"/>
  <c r="M267" i="4" s="1"/>
  <c r="I267" i="4" a="1"/>
  <c r="I267" i="4"/>
  <c r="L267" i="4" s="1"/>
  <c r="H267" i="4" a="1"/>
  <c r="H267" i="4"/>
  <c r="G267" i="4"/>
  <c r="J266" i="4" a="1"/>
  <c r="J266" i="4" s="1"/>
  <c r="I266" i="4" a="1"/>
  <c r="I266" i="4"/>
  <c r="G266" i="4"/>
  <c r="I265" i="4" a="1"/>
  <c r="I265" i="4"/>
  <c r="L265" i="4" s="1"/>
  <c r="G265" i="4"/>
  <c r="K264" i="4"/>
  <c r="J264" i="4" a="1"/>
  <c r="J264" i="4" s="1"/>
  <c r="M264" i="4" s="1"/>
  <c r="I264" i="4" a="1"/>
  <c r="I264" i="4" s="1"/>
  <c r="L264" i="4" s="1"/>
  <c r="H264" i="4" a="1"/>
  <c r="H264" i="4"/>
  <c r="G264" i="4"/>
  <c r="I263" i="4" a="1"/>
  <c r="I263" i="4" s="1"/>
  <c r="L263" i="4" s="1"/>
  <c r="H263" i="4" a="1"/>
  <c r="H263" i="4" s="1"/>
  <c r="G263" i="4"/>
  <c r="J263" i="4" s="1" a="1"/>
  <c r="J263" i="4" s="1"/>
  <c r="J262" i="4" a="1"/>
  <c r="J262" i="4"/>
  <c r="M262" i="4" s="1"/>
  <c r="I262" i="4" a="1"/>
  <c r="I262" i="4"/>
  <c r="L262" i="4" s="1"/>
  <c r="H262" i="4" a="1"/>
  <c r="H262" i="4"/>
  <c r="K262" i="4" s="1"/>
  <c r="G262" i="4"/>
  <c r="L261" i="4"/>
  <c r="J261" i="4" a="1"/>
  <c r="J261" i="4"/>
  <c r="M261" i="4" s="1"/>
  <c r="I261" i="4" a="1"/>
  <c r="I261" i="4" s="1"/>
  <c r="H261" i="4" a="1"/>
  <c r="H261" i="4"/>
  <c r="K261" i="4" s="1"/>
  <c r="G261" i="4"/>
  <c r="L260" i="4"/>
  <c r="J260" i="4" a="1"/>
  <c r="J260" i="4" s="1"/>
  <c r="M260" i="4" s="1"/>
  <c r="I260" i="4" a="1"/>
  <c r="I260" i="4" s="1"/>
  <c r="H260" i="4" a="1"/>
  <c r="H260" i="4" s="1"/>
  <c r="K260" i="4" s="1"/>
  <c r="G260" i="4"/>
  <c r="J259" i="4" a="1"/>
  <c r="J259" i="4" s="1"/>
  <c r="M259" i="4" s="1"/>
  <c r="I259" i="4" a="1"/>
  <c r="I259" i="4" s="1"/>
  <c r="L259" i="4" s="1"/>
  <c r="H259" i="4" a="1"/>
  <c r="H259" i="4" s="1"/>
  <c r="K259" i="4" s="1"/>
  <c r="G259" i="4"/>
  <c r="J258" i="4" a="1"/>
  <c r="J258" i="4" s="1"/>
  <c r="M258" i="4" s="1"/>
  <c r="G258" i="4"/>
  <c r="L257" i="4"/>
  <c r="J257" i="4" a="1"/>
  <c r="J257" i="4"/>
  <c r="M257" i="4" s="1"/>
  <c r="I257" i="4" a="1"/>
  <c r="I257" i="4" s="1"/>
  <c r="H257" i="4" a="1"/>
  <c r="H257" i="4"/>
  <c r="K257" i="4" s="1"/>
  <c r="G257" i="4"/>
  <c r="L256" i="4"/>
  <c r="J256" i="4" a="1"/>
  <c r="J256" i="4" s="1"/>
  <c r="M256" i="4" s="1"/>
  <c r="I256" i="4" a="1"/>
  <c r="I256" i="4"/>
  <c r="H256" i="4" a="1"/>
  <c r="H256" i="4" s="1"/>
  <c r="K256" i="4" s="1"/>
  <c r="G256" i="4"/>
  <c r="H255" i="4" s="1" a="1"/>
  <c r="J255" i="4" a="1"/>
  <c r="J255" i="4"/>
  <c r="H255" i="4"/>
  <c r="G255" i="4"/>
  <c r="J254" i="4" a="1"/>
  <c r="J254" i="4" s="1"/>
  <c r="M254" i="4" s="1"/>
  <c r="I254" i="4" a="1"/>
  <c r="I254" i="4"/>
  <c r="G254" i="4"/>
  <c r="H254" i="4" s="1" a="1"/>
  <c r="H254" i="4" s="1"/>
  <c r="J253" i="4" a="1"/>
  <c r="J253" i="4" s="1"/>
  <c r="M253" i="4" s="1"/>
  <c r="I253" i="4" a="1"/>
  <c r="I253" i="4" s="1"/>
  <c r="L253" i="4" s="1"/>
  <c r="H253" i="4" a="1"/>
  <c r="H253" i="4" s="1"/>
  <c r="K253" i="4" s="1"/>
  <c r="G253" i="4"/>
  <c r="L252" i="4"/>
  <c r="J252" i="4" a="1"/>
  <c r="J252" i="4" s="1"/>
  <c r="M252" i="4" s="1"/>
  <c r="I252" i="4" a="1"/>
  <c r="I252" i="4" s="1"/>
  <c r="H252" i="4" a="1"/>
  <c r="H252" i="4" s="1"/>
  <c r="K252" i="4" s="1"/>
  <c r="G252" i="4"/>
  <c r="I243" i="4" s="1" a="1"/>
  <c r="I243" i="4" s="1"/>
  <c r="J251" i="4" a="1"/>
  <c r="J251" i="4" s="1"/>
  <c r="M251" i="4" s="1"/>
  <c r="I251" i="4" a="1"/>
  <c r="I251" i="4" s="1"/>
  <c r="L251" i="4" s="1"/>
  <c r="H251" i="4" a="1"/>
  <c r="H251" i="4"/>
  <c r="K251" i="4" s="1"/>
  <c r="G251" i="4"/>
  <c r="H243" i="4" s="1" a="1"/>
  <c r="H243" i="4" s="1"/>
  <c r="J250" i="4" a="1"/>
  <c r="J250" i="4" s="1"/>
  <c r="M250" i="4" s="1"/>
  <c r="I250" i="4" a="1"/>
  <c r="I250" i="4"/>
  <c r="L250" i="4" s="1"/>
  <c r="H250" i="4" a="1"/>
  <c r="H250" i="4" s="1"/>
  <c r="K250" i="4" s="1"/>
  <c r="G250" i="4"/>
  <c r="J249" i="4" a="1"/>
  <c r="J249" i="4" s="1"/>
  <c r="M249" i="4" s="1"/>
  <c r="I249" i="4" a="1"/>
  <c r="I249" i="4" s="1"/>
  <c r="L249" i="4" s="1"/>
  <c r="H249" i="4" a="1"/>
  <c r="H249" i="4"/>
  <c r="K249" i="4" s="1"/>
  <c r="G249" i="4"/>
  <c r="L248" i="4"/>
  <c r="J248" i="4" a="1"/>
  <c r="J248" i="4"/>
  <c r="M248" i="4" s="1"/>
  <c r="I248" i="4" a="1"/>
  <c r="I248" i="4"/>
  <c r="H248" i="4" a="1"/>
  <c r="H248" i="4" s="1"/>
  <c r="K248" i="4" s="1"/>
  <c r="G248" i="4"/>
  <c r="J247" i="4" a="1"/>
  <c r="J247" i="4" s="1"/>
  <c r="M247" i="4" s="1"/>
  <c r="I247" i="4" a="1"/>
  <c r="I247" i="4" s="1"/>
  <c r="L247" i="4" s="1"/>
  <c r="H247" i="4" a="1"/>
  <c r="H247" i="4"/>
  <c r="K247" i="4" s="1"/>
  <c r="G247" i="4"/>
  <c r="L246" i="4"/>
  <c r="J246" i="4" a="1"/>
  <c r="J246" i="4" s="1"/>
  <c r="M246" i="4" s="1"/>
  <c r="I246" i="4" a="1"/>
  <c r="I246" i="4"/>
  <c r="H246" i="4" a="1"/>
  <c r="H246" i="4"/>
  <c r="K246" i="4" s="1"/>
  <c r="G246" i="4"/>
  <c r="L245" i="4"/>
  <c r="J245" i="4" a="1"/>
  <c r="J245" i="4"/>
  <c r="M245" i="4" s="1"/>
  <c r="I245" i="4" a="1"/>
  <c r="I245" i="4" s="1"/>
  <c r="H245" i="4" a="1"/>
  <c r="H245" i="4" s="1"/>
  <c r="K245" i="4" s="1"/>
  <c r="G245" i="4"/>
  <c r="L244" i="4"/>
  <c r="J244" i="4" a="1"/>
  <c r="J244" i="4"/>
  <c r="M244" i="4" s="1"/>
  <c r="I244" i="4" a="1"/>
  <c r="I244" i="4"/>
  <c r="H244" i="4" a="1"/>
  <c r="H244" i="4" s="1"/>
  <c r="K244" i="4" s="1"/>
  <c r="G244" i="4"/>
  <c r="G243" i="4"/>
  <c r="L242" i="4"/>
  <c r="J242" i="4" a="1"/>
  <c r="J242" i="4" s="1"/>
  <c r="I242" i="4" a="1"/>
  <c r="I242" i="4" s="1"/>
  <c r="H242" i="4" a="1"/>
  <c r="H242" i="4" s="1"/>
  <c r="G242" i="4"/>
  <c r="J241" i="4" a="1"/>
  <c r="J241" i="4"/>
  <c r="M241" i="4" s="1"/>
  <c r="I241" i="4" a="1"/>
  <c r="I241" i="4"/>
  <c r="L241" i="4" s="1"/>
  <c r="H241" i="4" a="1"/>
  <c r="H241" i="4"/>
  <c r="K241" i="4" s="1"/>
  <c r="G241" i="4"/>
  <c r="J240" i="4" a="1"/>
  <c r="J240" i="4" s="1"/>
  <c r="H240" i="4" a="1"/>
  <c r="H240" i="4" s="1"/>
  <c r="G240" i="4"/>
  <c r="I240" i="4" s="1" a="1"/>
  <c r="I240" i="4" s="1"/>
  <c r="L239" i="4"/>
  <c r="J239" i="4" a="1"/>
  <c r="J239" i="4" s="1"/>
  <c r="M239" i="4" s="1"/>
  <c r="I239" i="4" a="1"/>
  <c r="I239" i="4" s="1"/>
  <c r="H239" i="4" a="1"/>
  <c r="H239" i="4" s="1"/>
  <c r="K239" i="4" s="1"/>
  <c r="G239" i="4"/>
  <c r="J238" i="4" a="1"/>
  <c r="J238" i="4"/>
  <c r="M238" i="4" s="1"/>
  <c r="I238" i="4" a="1"/>
  <c r="I238" i="4"/>
  <c r="H238" i="4" a="1"/>
  <c r="H238" i="4" s="1"/>
  <c r="G238" i="4"/>
  <c r="J237" i="4" a="1"/>
  <c r="J237" i="4" s="1"/>
  <c r="M237" i="4" s="1"/>
  <c r="I237" i="4"/>
  <c r="G237" i="4"/>
  <c r="I237" i="4" s="1" a="1"/>
  <c r="J236" i="4" a="1"/>
  <c r="J236" i="4" s="1"/>
  <c r="M236" i="4" s="1"/>
  <c r="I236" i="4" a="1"/>
  <c r="I236" i="4"/>
  <c r="L236" i="4" s="1"/>
  <c r="H236" i="4" a="1"/>
  <c r="H236" i="4"/>
  <c r="K236" i="4" s="1"/>
  <c r="G236" i="4"/>
  <c r="J235" i="4" a="1"/>
  <c r="J235" i="4" s="1"/>
  <c r="M235" i="4" s="1"/>
  <c r="I235" i="4" a="1"/>
  <c r="I235" i="4"/>
  <c r="L235" i="4" s="1"/>
  <c r="H235" i="4" a="1"/>
  <c r="H235" i="4"/>
  <c r="K235" i="4" s="1"/>
  <c r="G235" i="4"/>
  <c r="K234" i="4"/>
  <c r="J234" i="4" a="1"/>
  <c r="J234" i="4" s="1"/>
  <c r="M234" i="4" s="1"/>
  <c r="I234" i="4" a="1"/>
  <c r="I234" i="4" s="1"/>
  <c r="L234" i="4" s="1"/>
  <c r="H234" i="4" a="1"/>
  <c r="H234" i="4" s="1"/>
  <c r="G234" i="4"/>
  <c r="H233" i="4" s="1" a="1"/>
  <c r="H233" i="4" s="1"/>
  <c r="J233" i="4" a="1"/>
  <c r="J233" i="4"/>
  <c r="M233" i="4" s="1"/>
  <c r="I233" i="4" a="1"/>
  <c r="I233" i="4" s="1"/>
  <c r="G233" i="4"/>
  <c r="M232" i="4"/>
  <c r="K232" i="4"/>
  <c r="J232" i="4" a="1"/>
  <c r="J232" i="4"/>
  <c r="I232" i="4" a="1"/>
  <c r="I232" i="4" s="1"/>
  <c r="L232" i="4" s="1"/>
  <c r="H232" i="4" a="1"/>
  <c r="H232" i="4" s="1"/>
  <c r="G232" i="4"/>
  <c r="H229" i="4" s="1" a="1"/>
  <c r="H229" i="4" s="1"/>
  <c r="M231" i="4"/>
  <c r="L231" i="4"/>
  <c r="J231" i="4" a="1"/>
  <c r="J231" i="4" s="1"/>
  <c r="I231" i="4" a="1"/>
  <c r="I231" i="4" s="1"/>
  <c r="H231" i="4" a="1"/>
  <c r="H231" i="4"/>
  <c r="K231" i="4" s="1"/>
  <c r="G231" i="4"/>
  <c r="K230" i="4"/>
  <c r="J230" i="4" a="1"/>
  <c r="J230" i="4" s="1"/>
  <c r="M230" i="4" s="1"/>
  <c r="I230" i="4" a="1"/>
  <c r="I230" i="4" s="1"/>
  <c r="L230" i="4" s="1"/>
  <c r="H230" i="4" a="1"/>
  <c r="H230" i="4"/>
  <c r="G230" i="4"/>
  <c r="J229" i="4" a="1"/>
  <c r="J229" i="4"/>
  <c r="M229" i="4" s="1"/>
  <c r="I229" i="4" a="1"/>
  <c r="I229" i="4" s="1"/>
  <c r="G229" i="4"/>
  <c r="J228" i="4" a="1"/>
  <c r="J228" i="4" s="1"/>
  <c r="M228" i="4" s="1"/>
  <c r="G228" i="4"/>
  <c r="J227" i="4" a="1"/>
  <c r="J227" i="4"/>
  <c r="M227" i="4" s="1"/>
  <c r="H227" i="4" a="1"/>
  <c r="H227" i="4"/>
  <c r="G227" i="4"/>
  <c r="J226" i="4" a="1"/>
  <c r="J226" i="4"/>
  <c r="M226" i="4" s="1"/>
  <c r="I226" i="4" a="1"/>
  <c r="I226" i="4" s="1"/>
  <c r="H226" i="4" a="1"/>
  <c r="H226" i="4" s="1"/>
  <c r="G226" i="4"/>
  <c r="J225" i="4" a="1"/>
  <c r="J225" i="4"/>
  <c r="M225" i="4" s="1"/>
  <c r="I225" i="4" a="1"/>
  <c r="I225" i="4" s="1"/>
  <c r="L225" i="4" s="1"/>
  <c r="H225" i="4" a="1"/>
  <c r="H225" i="4" s="1"/>
  <c r="K225" i="4" s="1"/>
  <c r="G225" i="4"/>
  <c r="J224" i="4" a="1"/>
  <c r="J224" i="4" s="1"/>
  <c r="G224" i="4"/>
  <c r="I224" i="4" s="1" a="1"/>
  <c r="I224" i="4" s="1"/>
  <c r="M223" i="4"/>
  <c r="J223" i="4" a="1"/>
  <c r="J223" i="4"/>
  <c r="I223" i="4" a="1"/>
  <c r="I223" i="4"/>
  <c r="L223" i="4" s="1"/>
  <c r="H223" i="4" a="1"/>
  <c r="H223" i="4" s="1"/>
  <c r="K223" i="4" s="1"/>
  <c r="G223" i="4"/>
  <c r="M222" i="4"/>
  <c r="J222" i="4" a="1"/>
  <c r="J222" i="4" s="1"/>
  <c r="I222" i="4" a="1"/>
  <c r="I222" i="4" s="1"/>
  <c r="L222" i="4" s="1"/>
  <c r="H222" i="4" a="1"/>
  <c r="H222" i="4" s="1"/>
  <c r="K222" i="4" s="1"/>
  <c r="G222" i="4"/>
  <c r="J221" i="4" a="1"/>
  <c r="J221" i="4"/>
  <c r="M221" i="4" s="1"/>
  <c r="I221" i="4" a="1"/>
  <c r="I221" i="4" s="1"/>
  <c r="L221" i="4" s="1"/>
  <c r="H221" i="4" a="1"/>
  <c r="H221" i="4" s="1"/>
  <c r="K221" i="4" s="1"/>
  <c r="G221" i="4"/>
  <c r="I220" i="4" a="1"/>
  <c r="I220" i="4" s="1"/>
  <c r="L220" i="4" s="1"/>
  <c r="G220" i="4"/>
  <c r="J219" i="4" a="1"/>
  <c r="J219" i="4" s="1"/>
  <c r="M219" i="4" s="1"/>
  <c r="I219" i="4" a="1"/>
  <c r="I219" i="4"/>
  <c r="L219" i="4" s="1"/>
  <c r="H219" i="4" a="1"/>
  <c r="H219" i="4"/>
  <c r="K219" i="4" s="1"/>
  <c r="G219" i="4"/>
  <c r="J218" i="4" a="1"/>
  <c r="J218" i="4" s="1"/>
  <c r="M218" i="4" s="1"/>
  <c r="G218" i="4"/>
  <c r="J217" i="4" a="1"/>
  <c r="J217" i="4"/>
  <c r="M217" i="4" s="1"/>
  <c r="G217" i="4"/>
  <c r="J216" i="4" a="1"/>
  <c r="J216" i="4" s="1"/>
  <c r="M216" i="4" s="1"/>
  <c r="G216" i="4"/>
  <c r="J215" i="4" a="1"/>
  <c r="J215" i="4"/>
  <c r="M215" i="4" s="1"/>
  <c r="I215" i="4" a="1"/>
  <c r="I215" i="4" s="1"/>
  <c r="H215" i="4"/>
  <c r="G215" i="4"/>
  <c r="H215" i="4" s="1" a="1"/>
  <c r="M214" i="4"/>
  <c r="J214" i="4" a="1"/>
  <c r="J214" i="4" s="1"/>
  <c r="I214" i="4" a="1"/>
  <c r="I214" i="4"/>
  <c r="L214" i="4" s="1"/>
  <c r="H214" i="4" a="1"/>
  <c r="H214" i="4" s="1"/>
  <c r="K214" i="4" s="1"/>
  <c r="G214" i="4"/>
  <c r="J213" i="4" a="1"/>
  <c r="J213" i="4"/>
  <c r="I213" i="4" a="1"/>
  <c r="I213" i="4" s="1"/>
  <c r="G213" i="4"/>
  <c r="J212" i="4" a="1"/>
  <c r="J212" i="4"/>
  <c r="M212" i="4" s="1"/>
  <c r="I212" i="4" a="1"/>
  <c r="I212" i="4"/>
  <c r="L212" i="4" s="1"/>
  <c r="H212" i="4" a="1"/>
  <c r="H212" i="4" s="1"/>
  <c r="K212" i="4" s="1"/>
  <c r="G212" i="4"/>
  <c r="L211" i="4"/>
  <c r="J211" i="4" a="1"/>
  <c r="J211" i="4" s="1"/>
  <c r="M211" i="4" s="1"/>
  <c r="I211" i="4" a="1"/>
  <c r="I211" i="4" s="1"/>
  <c r="H211" i="4" a="1"/>
  <c r="H211" i="4"/>
  <c r="K211" i="4" s="1"/>
  <c r="G211" i="4"/>
  <c r="I208" i="4" s="1" a="1"/>
  <c r="I208" i="4" s="1"/>
  <c r="M210" i="4"/>
  <c r="J210" i="4" a="1"/>
  <c r="J210" i="4" s="1"/>
  <c r="I210" i="4" a="1"/>
  <c r="I210" i="4" s="1"/>
  <c r="L210" i="4" s="1"/>
  <c r="H210" i="4" a="1"/>
  <c r="H210" i="4" s="1"/>
  <c r="K210" i="4" s="1"/>
  <c r="G210" i="4"/>
  <c r="L209" i="4"/>
  <c r="K209" i="4"/>
  <c r="J209" i="4" a="1"/>
  <c r="J209" i="4" s="1"/>
  <c r="M209" i="4" s="1"/>
  <c r="I209" i="4" a="1"/>
  <c r="I209" i="4" s="1"/>
  <c r="H209" i="4" a="1"/>
  <c r="H209" i="4"/>
  <c r="G209" i="4"/>
  <c r="J208" i="4" s="1" a="1"/>
  <c r="J208" i="4" s="1"/>
  <c r="G208" i="4"/>
  <c r="L207" i="4"/>
  <c r="J207" i="4" a="1"/>
  <c r="J207" i="4"/>
  <c r="M207" i="4" s="1"/>
  <c r="I207" i="4" a="1"/>
  <c r="I207" i="4"/>
  <c r="H207" i="4" a="1"/>
  <c r="H207" i="4" s="1"/>
  <c r="K207" i="4" s="1"/>
  <c r="G207" i="4"/>
  <c r="L206" i="4"/>
  <c r="I206" i="4" a="1"/>
  <c r="I206" i="4"/>
  <c r="G206" i="4"/>
  <c r="M205" i="4"/>
  <c r="L205" i="4"/>
  <c r="J205" i="4" a="1"/>
  <c r="J205" i="4"/>
  <c r="I205" i="4" a="1"/>
  <c r="I205" i="4" s="1"/>
  <c r="H205" i="4" a="1"/>
  <c r="H205" i="4"/>
  <c r="K205" i="4" s="1"/>
  <c r="G205" i="4"/>
  <c r="J204" i="4" a="1"/>
  <c r="J204" i="4" s="1"/>
  <c r="M204" i="4" s="1"/>
  <c r="I204" i="4" a="1"/>
  <c r="I204" i="4"/>
  <c r="L204" i="4" s="1"/>
  <c r="H204" i="4" a="1"/>
  <c r="H204" i="4" s="1"/>
  <c r="K204" i="4" s="1"/>
  <c r="G204" i="4"/>
  <c r="J203" i="4" a="1"/>
  <c r="J203" i="4" s="1"/>
  <c r="M203" i="4" s="1"/>
  <c r="I203" i="4" a="1"/>
  <c r="I203" i="4" s="1"/>
  <c r="L203" i="4" s="1"/>
  <c r="H203" i="4" a="1"/>
  <c r="H203" i="4"/>
  <c r="K203" i="4" s="1"/>
  <c r="G203" i="4"/>
  <c r="J202" i="4" a="1"/>
  <c r="J202" i="4"/>
  <c r="M202" i="4" s="1"/>
  <c r="I202" i="4" a="1"/>
  <c r="I202" i="4"/>
  <c r="L202" i="4" s="1"/>
  <c r="H202" i="4" a="1"/>
  <c r="H202" i="4" s="1"/>
  <c r="K202" i="4" s="1"/>
  <c r="G202" i="4"/>
  <c r="H201" i="4" s="1" a="1"/>
  <c r="H201" i="4" s="1"/>
  <c r="J201" i="4" a="1"/>
  <c r="J201" i="4" s="1"/>
  <c r="G201" i="4"/>
  <c r="J200" i="4" a="1"/>
  <c r="J200" i="4" s="1"/>
  <c r="M200" i="4" s="1"/>
  <c r="I200" i="4" a="1"/>
  <c r="I200" i="4" s="1"/>
  <c r="G200" i="4"/>
  <c r="H200" i="4" s="1" a="1"/>
  <c r="H200" i="4" s="1"/>
  <c r="J199" i="4" a="1"/>
  <c r="J199" i="4" s="1"/>
  <c r="M199" i="4" s="1"/>
  <c r="I199" i="4" a="1"/>
  <c r="I199" i="4" s="1"/>
  <c r="H199" i="4" a="1"/>
  <c r="H199" i="4" s="1"/>
  <c r="G199" i="4"/>
  <c r="J198" i="4" a="1"/>
  <c r="J198" i="4" s="1"/>
  <c r="M198" i="4" s="1"/>
  <c r="I198" i="4" a="1"/>
  <c r="I198" i="4"/>
  <c r="L198" i="4" s="1"/>
  <c r="H198" i="4" a="1"/>
  <c r="H198" i="4"/>
  <c r="K198" i="4" s="1"/>
  <c r="G198" i="4"/>
  <c r="L197" i="4"/>
  <c r="I197" i="4" a="1"/>
  <c r="I197" i="4" s="1"/>
  <c r="G197" i="4"/>
  <c r="K196" i="4"/>
  <c r="J196" i="4" a="1"/>
  <c r="J196" i="4"/>
  <c r="M196" i="4" s="1"/>
  <c r="I196" i="4" a="1"/>
  <c r="I196" i="4" s="1"/>
  <c r="L196" i="4" s="1"/>
  <c r="H196" i="4" a="1"/>
  <c r="H196" i="4" s="1"/>
  <c r="G196" i="4"/>
  <c r="M195" i="4"/>
  <c r="J195" i="4" a="1"/>
  <c r="J195" i="4"/>
  <c r="I195" i="4" a="1"/>
  <c r="I195" i="4" s="1"/>
  <c r="L195" i="4" s="1"/>
  <c r="H195" i="4" a="1"/>
  <c r="H195" i="4"/>
  <c r="K195" i="4" s="1"/>
  <c r="G195" i="4"/>
  <c r="J194" i="4" a="1"/>
  <c r="J194" i="4" s="1"/>
  <c r="M194" i="4" s="1"/>
  <c r="G194" i="4"/>
  <c r="M193" i="4"/>
  <c r="J193" i="4" a="1"/>
  <c r="J193" i="4" s="1"/>
  <c r="I193" i="4" a="1"/>
  <c r="I193" i="4"/>
  <c r="L193" i="4" s="1"/>
  <c r="H193" i="4" a="1"/>
  <c r="H193" i="4" s="1"/>
  <c r="K193" i="4" s="1"/>
  <c r="G193" i="4"/>
  <c r="J192" i="4" a="1"/>
  <c r="J192" i="4" s="1"/>
  <c r="I192" i="4" a="1"/>
  <c r="I192" i="4" s="1"/>
  <c r="L192" i="4" s="1"/>
  <c r="H192" i="4"/>
  <c r="G192" i="4"/>
  <c r="H192" i="4" s="1" a="1"/>
  <c r="J191" i="4" a="1"/>
  <c r="J191" i="4"/>
  <c r="M191" i="4" s="1"/>
  <c r="I191" i="4" a="1"/>
  <c r="I191" i="4" s="1"/>
  <c r="L191" i="4" s="1"/>
  <c r="H191" i="4" a="1"/>
  <c r="H191" i="4"/>
  <c r="K191" i="4" s="1"/>
  <c r="G191" i="4"/>
  <c r="J190" i="4" a="1"/>
  <c r="J190" i="4" s="1"/>
  <c r="M190" i="4" s="1"/>
  <c r="I190" i="4"/>
  <c r="H190" i="4" a="1"/>
  <c r="H190" i="4" s="1"/>
  <c r="G190" i="4"/>
  <c r="I190" i="4" s="1" a="1"/>
  <c r="M189" i="4"/>
  <c r="L189" i="4"/>
  <c r="J189" i="4" a="1"/>
  <c r="J189" i="4"/>
  <c r="I189" i="4" a="1"/>
  <c r="I189" i="4"/>
  <c r="H189" i="4" a="1"/>
  <c r="H189" i="4" s="1"/>
  <c r="K189" i="4" s="1"/>
  <c r="G189" i="4"/>
  <c r="H187" i="4" s="1" a="1"/>
  <c r="H187" i="4" s="1"/>
  <c r="J188" i="4" a="1"/>
  <c r="J188" i="4"/>
  <c r="M188" i="4" s="1"/>
  <c r="I188" i="4" a="1"/>
  <c r="I188" i="4" s="1"/>
  <c r="L188" i="4" s="1"/>
  <c r="H188" i="4" a="1"/>
  <c r="H188" i="4" s="1"/>
  <c r="K188" i="4" s="1"/>
  <c r="G188" i="4"/>
  <c r="J187" i="4" a="1"/>
  <c r="J187" i="4" s="1"/>
  <c r="I187" i="4" a="1"/>
  <c r="I187" i="4" s="1"/>
  <c r="L187" i="4" s="1"/>
  <c r="G187" i="4"/>
  <c r="M186" i="4"/>
  <c r="L186" i="4"/>
  <c r="J186" i="4" a="1"/>
  <c r="J186" i="4" s="1"/>
  <c r="I186" i="4" a="1"/>
  <c r="I186" i="4"/>
  <c r="H186" i="4" a="1"/>
  <c r="H186" i="4" s="1"/>
  <c r="K186" i="4" s="1"/>
  <c r="G186" i="4"/>
  <c r="J185" i="4" a="1"/>
  <c r="J185" i="4" s="1"/>
  <c r="M185" i="4" s="1"/>
  <c r="I185" i="4" a="1"/>
  <c r="I185" i="4" s="1"/>
  <c r="H185" i="4" a="1"/>
  <c r="H185" i="4" s="1"/>
  <c r="G185" i="4"/>
  <c r="K184" i="4"/>
  <c r="J184" i="4" a="1"/>
  <c r="J184" i="4" s="1"/>
  <c r="M184" i="4" s="1"/>
  <c r="I184" i="4" a="1"/>
  <c r="I184" i="4"/>
  <c r="L184" i="4" s="1"/>
  <c r="H184" i="4" a="1"/>
  <c r="H184" i="4" s="1"/>
  <c r="G184" i="4"/>
  <c r="K183" i="4"/>
  <c r="J183" i="4" a="1"/>
  <c r="J183" i="4"/>
  <c r="M183" i="4" s="1"/>
  <c r="I183" i="4" a="1"/>
  <c r="I183" i="4"/>
  <c r="L183" i="4" s="1"/>
  <c r="H183" i="4" a="1"/>
  <c r="H183" i="4" s="1"/>
  <c r="G183" i="4"/>
  <c r="G182" i="4"/>
  <c r="J182" i="4" s="1" a="1"/>
  <c r="J182" i="4" s="1"/>
  <c r="J181" i="4" a="1"/>
  <c r="J181" i="4"/>
  <c r="M181" i="4" s="1"/>
  <c r="I181" i="4" a="1"/>
  <c r="I181" i="4"/>
  <c r="L181" i="4" s="1"/>
  <c r="H181" i="4" a="1"/>
  <c r="H181" i="4"/>
  <c r="K181" i="4" s="1"/>
  <c r="G181" i="4"/>
  <c r="M180" i="4"/>
  <c r="L180" i="4"/>
  <c r="J180" i="4" a="1"/>
  <c r="J180" i="4" s="1"/>
  <c r="I180" i="4" a="1"/>
  <c r="I180" i="4"/>
  <c r="H180" i="4" a="1"/>
  <c r="H180" i="4" s="1"/>
  <c r="K180" i="4" s="1"/>
  <c r="G180" i="4"/>
  <c r="J179" i="4" a="1"/>
  <c r="J179" i="4"/>
  <c r="M179" i="4" s="1"/>
  <c r="I179" i="4" a="1"/>
  <c r="I179" i="4" s="1"/>
  <c r="L179" i="4" s="1"/>
  <c r="H179" i="4" a="1"/>
  <c r="H179" i="4" s="1"/>
  <c r="K179" i="4" s="1"/>
  <c r="G179" i="4"/>
  <c r="K178" i="4"/>
  <c r="J178" i="4" a="1"/>
  <c r="J178" i="4"/>
  <c r="M178" i="4" s="1"/>
  <c r="I178" i="4" a="1"/>
  <c r="I178" i="4" s="1"/>
  <c r="L178" i="4" s="1"/>
  <c r="H178" i="4" a="1"/>
  <c r="H178" i="4" s="1"/>
  <c r="G178" i="4"/>
  <c r="K177" i="4"/>
  <c r="J177" i="4" a="1"/>
  <c r="J177" i="4"/>
  <c r="M177" i="4" s="1"/>
  <c r="I177" i="4" a="1"/>
  <c r="I177" i="4" s="1"/>
  <c r="L177" i="4" s="1"/>
  <c r="H177" i="4" a="1"/>
  <c r="H177" i="4"/>
  <c r="G177" i="4"/>
  <c r="L176" i="4"/>
  <c r="J176" i="4" a="1"/>
  <c r="J176" i="4" s="1"/>
  <c r="M176" i="4" s="1"/>
  <c r="I176" i="4" a="1"/>
  <c r="I176" i="4"/>
  <c r="H176" i="4" a="1"/>
  <c r="H176" i="4"/>
  <c r="K176" i="4" s="1"/>
  <c r="G176" i="4"/>
  <c r="M175" i="4"/>
  <c r="J175" i="4" a="1"/>
  <c r="J175" i="4" s="1"/>
  <c r="I175" i="4" a="1"/>
  <c r="I175" i="4" s="1"/>
  <c r="L175" i="4" s="1"/>
  <c r="H175" i="4" a="1"/>
  <c r="H175" i="4"/>
  <c r="K175" i="4" s="1"/>
  <c r="G175" i="4"/>
  <c r="J174" i="4" a="1"/>
  <c r="J174" i="4" s="1"/>
  <c r="I174" i="4" a="1"/>
  <c r="I174" i="4" s="1"/>
  <c r="G174" i="4"/>
  <c r="L173" i="4"/>
  <c r="J173" i="4" a="1"/>
  <c r="J173" i="4" s="1"/>
  <c r="M173" i="4" s="1"/>
  <c r="I173" i="4" a="1"/>
  <c r="I173" i="4" s="1"/>
  <c r="H173" i="4" a="1"/>
  <c r="H173" i="4" s="1"/>
  <c r="K173" i="4" s="1"/>
  <c r="G173" i="4"/>
  <c r="M172" i="4"/>
  <c r="J172" i="4" a="1"/>
  <c r="J172" i="4"/>
  <c r="I172" i="4" a="1"/>
  <c r="I172" i="4"/>
  <c r="L172" i="4" s="1"/>
  <c r="H172" i="4" a="1"/>
  <c r="H172" i="4" s="1"/>
  <c r="K172" i="4" s="1"/>
  <c r="G172" i="4"/>
  <c r="L171" i="4"/>
  <c r="K171" i="4"/>
  <c r="J171" i="4" a="1"/>
  <c r="J171" i="4" s="1"/>
  <c r="M171" i="4" s="1"/>
  <c r="I171" i="4" a="1"/>
  <c r="I171" i="4" s="1"/>
  <c r="H171" i="4" a="1"/>
  <c r="H171" i="4" s="1"/>
  <c r="G171" i="4"/>
  <c r="L170" i="4"/>
  <c r="J170" i="4" a="1"/>
  <c r="J170" i="4" s="1"/>
  <c r="M170" i="4" s="1"/>
  <c r="I170" i="4" a="1"/>
  <c r="I170" i="4" s="1"/>
  <c r="H170" i="4" a="1"/>
  <c r="H170" i="4" s="1"/>
  <c r="K170" i="4" s="1"/>
  <c r="G170" i="4"/>
  <c r="G169" i="4"/>
  <c r="J168" i="4" a="1"/>
  <c r="J168" i="4" s="1"/>
  <c r="M168" i="4" s="1"/>
  <c r="I168" i="4" a="1"/>
  <c r="I168" i="4" s="1"/>
  <c r="H168" i="4" a="1"/>
  <c r="H168" i="4" s="1"/>
  <c r="G168" i="4"/>
  <c r="J167" i="4" a="1"/>
  <c r="J167" i="4" s="1"/>
  <c r="M167" i="4" s="1"/>
  <c r="G167" i="4"/>
  <c r="M166" i="4"/>
  <c r="L166" i="4"/>
  <c r="K166" i="4"/>
  <c r="J166" i="4" a="1"/>
  <c r="J166" i="4"/>
  <c r="I166" i="4" a="1"/>
  <c r="I166" i="4"/>
  <c r="H166" i="4" a="1"/>
  <c r="H166" i="4" s="1"/>
  <c r="G166" i="4"/>
  <c r="J165" i="4" a="1"/>
  <c r="J165" i="4" s="1"/>
  <c r="M165" i="4" s="1"/>
  <c r="I165" i="4" a="1"/>
  <c r="I165" i="4" s="1"/>
  <c r="L165" i="4" s="1"/>
  <c r="H165" i="4" a="1"/>
  <c r="H165" i="4" s="1"/>
  <c r="K165" i="4" s="1"/>
  <c r="G165" i="4"/>
  <c r="I159" i="4" s="1" a="1"/>
  <c r="I159" i="4" s="1"/>
  <c r="J164" i="4" a="1"/>
  <c r="J164" i="4" s="1"/>
  <c r="M164" i="4" s="1"/>
  <c r="I164" i="4" a="1"/>
  <c r="I164" i="4"/>
  <c r="L164" i="4" s="1"/>
  <c r="H164" i="4" a="1"/>
  <c r="H164" i="4" s="1"/>
  <c r="K164" i="4" s="1"/>
  <c r="G164" i="4"/>
  <c r="M163" i="4"/>
  <c r="J163" i="4" a="1"/>
  <c r="J163" i="4" s="1"/>
  <c r="I163" i="4" a="1"/>
  <c r="I163" i="4"/>
  <c r="L163" i="4" s="1"/>
  <c r="H163" i="4" a="1"/>
  <c r="H163" i="4" s="1"/>
  <c r="K163" i="4" s="1"/>
  <c r="G163" i="4"/>
  <c r="L162" i="4"/>
  <c r="K162" i="4"/>
  <c r="J162" i="4" a="1"/>
  <c r="J162" i="4" s="1"/>
  <c r="M162" i="4" s="1"/>
  <c r="I162" i="4" a="1"/>
  <c r="I162" i="4" s="1"/>
  <c r="H162" i="4" a="1"/>
  <c r="H162" i="4" s="1"/>
  <c r="G162" i="4"/>
  <c r="M161" i="4"/>
  <c r="L161" i="4"/>
  <c r="J161" i="4" a="1"/>
  <c r="J161" i="4"/>
  <c r="I161" i="4" a="1"/>
  <c r="I161" i="4" s="1"/>
  <c r="H161" i="4" a="1"/>
  <c r="H161" i="4" s="1"/>
  <c r="K161" i="4" s="1"/>
  <c r="G161" i="4"/>
  <c r="J160" i="4" a="1"/>
  <c r="J160" i="4" s="1"/>
  <c r="M160" i="4" s="1"/>
  <c r="I160" i="4" a="1"/>
  <c r="I160" i="4" s="1"/>
  <c r="L160" i="4" s="1"/>
  <c r="H160" i="4" a="1"/>
  <c r="H160" i="4" s="1"/>
  <c r="K160" i="4" s="1"/>
  <c r="G160" i="4"/>
  <c r="G159" i="4"/>
  <c r="J158" i="4" a="1"/>
  <c r="J158" i="4" s="1"/>
  <c r="M158" i="4" s="1"/>
  <c r="I158" i="4" a="1"/>
  <c r="I158" i="4" s="1"/>
  <c r="L158" i="4" s="1"/>
  <c r="H158" i="4" a="1"/>
  <c r="H158" i="4"/>
  <c r="K158" i="4" s="1"/>
  <c r="G158" i="4"/>
  <c r="M157" i="4"/>
  <c r="J157" i="4" a="1"/>
  <c r="J157" i="4" s="1"/>
  <c r="I157" i="4" a="1"/>
  <c r="I157" i="4"/>
  <c r="L157" i="4" s="1"/>
  <c r="H157" i="4" a="1"/>
  <c r="H157" i="4" s="1"/>
  <c r="K157" i="4" s="1"/>
  <c r="G157" i="4"/>
  <c r="J156" i="4" a="1"/>
  <c r="J156" i="4" s="1"/>
  <c r="M156" i="4" s="1"/>
  <c r="I156" i="4" a="1"/>
  <c r="I156" i="4" s="1"/>
  <c r="L156" i="4" s="1"/>
  <c r="H156" i="4" a="1"/>
  <c r="H156" i="4" s="1"/>
  <c r="K156" i="4" s="1"/>
  <c r="G156" i="4"/>
  <c r="J155" i="4" a="1"/>
  <c r="J155" i="4"/>
  <c r="M155" i="4" s="1"/>
  <c r="I155" i="4" a="1"/>
  <c r="I155" i="4" s="1"/>
  <c r="L155" i="4" s="1"/>
  <c r="H155" i="4" a="1"/>
  <c r="H155" i="4" s="1"/>
  <c r="K155" i="4" s="1"/>
  <c r="G155" i="4"/>
  <c r="G154" i="4"/>
  <c r="L153" i="4"/>
  <c r="K153" i="4"/>
  <c r="J153" i="4" a="1"/>
  <c r="J153" i="4" s="1"/>
  <c r="M153" i="4" s="1"/>
  <c r="I153" i="4" a="1"/>
  <c r="I153" i="4"/>
  <c r="H153" i="4" a="1"/>
  <c r="H153" i="4" s="1"/>
  <c r="G153" i="4"/>
  <c r="L152" i="4"/>
  <c r="J152" i="4" a="1"/>
  <c r="J152" i="4"/>
  <c r="M152" i="4" s="1"/>
  <c r="I152" i="4" a="1"/>
  <c r="I152" i="4" s="1"/>
  <c r="H152" i="4" a="1"/>
  <c r="H152" i="4"/>
  <c r="K152" i="4" s="1"/>
  <c r="G152" i="4"/>
  <c r="J151" i="4" a="1"/>
  <c r="J151" i="4"/>
  <c r="M151" i="4" s="1"/>
  <c r="I151" i="4" a="1"/>
  <c r="I151" i="4" s="1"/>
  <c r="L151" i="4" s="1"/>
  <c r="H151" i="4" a="1"/>
  <c r="H151" i="4"/>
  <c r="K151" i="4" s="1"/>
  <c r="G151" i="4"/>
  <c r="L150" i="4"/>
  <c r="I150" i="4" a="1"/>
  <c r="I150" i="4" s="1"/>
  <c r="G150" i="4"/>
  <c r="J149" i="4" a="1"/>
  <c r="J149" i="4"/>
  <c r="M149" i="4" s="1"/>
  <c r="I149" i="4" a="1"/>
  <c r="I149" i="4" s="1"/>
  <c r="L149" i="4" s="1"/>
  <c r="H149" i="4" a="1"/>
  <c r="H149" i="4" s="1"/>
  <c r="K149" i="4" s="1"/>
  <c r="G149" i="4"/>
  <c r="J148" i="4" a="1"/>
  <c r="J148" i="4" s="1"/>
  <c r="M148" i="4" s="1"/>
  <c r="I148" i="4" a="1"/>
  <c r="I148" i="4"/>
  <c r="L148" i="4" s="1"/>
  <c r="H148" i="4" a="1"/>
  <c r="H148" i="4" s="1"/>
  <c r="K148" i="4" s="1"/>
  <c r="G148" i="4"/>
  <c r="J147" i="4" a="1"/>
  <c r="J147" i="4" s="1"/>
  <c r="M147" i="4" s="1"/>
  <c r="I147" i="4" a="1"/>
  <c r="I147" i="4" s="1"/>
  <c r="L147" i="4" s="1"/>
  <c r="H147" i="4" a="1"/>
  <c r="H147" i="4" s="1"/>
  <c r="K147" i="4" s="1"/>
  <c r="G147" i="4"/>
  <c r="K146" i="4"/>
  <c r="J146" i="4" a="1"/>
  <c r="J146" i="4" s="1"/>
  <c r="M146" i="4" s="1"/>
  <c r="I146" i="4" a="1"/>
  <c r="I146" i="4"/>
  <c r="L146" i="4" s="1"/>
  <c r="H146" i="4" a="1"/>
  <c r="H146" i="4" s="1"/>
  <c r="G146" i="4"/>
  <c r="L145" i="4"/>
  <c r="J145" i="4" a="1"/>
  <c r="J145" i="4"/>
  <c r="M145" i="4" s="1"/>
  <c r="I145" i="4" a="1"/>
  <c r="I145" i="4"/>
  <c r="H145" i="4" a="1"/>
  <c r="H145" i="4" s="1"/>
  <c r="K145" i="4" s="1"/>
  <c r="G145" i="4"/>
  <c r="H144" i="4" s="1" a="1"/>
  <c r="H144" i="4" s="1"/>
  <c r="G144" i="4"/>
  <c r="K143" i="4"/>
  <c r="J143" i="4" a="1"/>
  <c r="J143" i="4"/>
  <c r="M143" i="4" s="1"/>
  <c r="I143" i="4" a="1"/>
  <c r="I143" i="4" s="1"/>
  <c r="L143" i="4" s="1"/>
  <c r="H143" i="4" a="1"/>
  <c r="H143" i="4" s="1"/>
  <c r="G143" i="4"/>
  <c r="L142" i="4"/>
  <c r="J142" i="4" a="1"/>
  <c r="J142" i="4" s="1"/>
  <c r="M142" i="4" s="1"/>
  <c r="I142" i="4" a="1"/>
  <c r="I142" i="4"/>
  <c r="H142" i="4" a="1"/>
  <c r="H142" i="4" s="1"/>
  <c r="K142" i="4" s="1"/>
  <c r="G142" i="4"/>
  <c r="M141" i="4"/>
  <c r="L141" i="4"/>
  <c r="J141" i="4" a="1"/>
  <c r="J141" i="4" s="1"/>
  <c r="I141" i="4" a="1"/>
  <c r="I141" i="4" s="1"/>
  <c r="H141" i="4" a="1"/>
  <c r="H141" i="4"/>
  <c r="K141" i="4" s="1"/>
  <c r="G141" i="4"/>
  <c r="K140" i="4"/>
  <c r="J140" i="4" a="1"/>
  <c r="J140" i="4" s="1"/>
  <c r="M140" i="4" s="1"/>
  <c r="I140" i="4" a="1"/>
  <c r="I140" i="4" s="1"/>
  <c r="L140" i="4" s="1"/>
  <c r="H140" i="4" a="1"/>
  <c r="H140" i="4" s="1"/>
  <c r="G140" i="4"/>
  <c r="J139" i="4" a="1"/>
  <c r="J139" i="4" s="1"/>
  <c r="M139" i="4" s="1"/>
  <c r="I139" i="4" a="1"/>
  <c r="I139" i="4"/>
  <c r="L139" i="4" s="1"/>
  <c r="H139" i="4" a="1"/>
  <c r="H139" i="4" s="1"/>
  <c r="K139" i="4" s="1"/>
  <c r="G139" i="4"/>
  <c r="G138" i="4"/>
  <c r="M137" i="4"/>
  <c r="L137" i="4"/>
  <c r="K137" i="4"/>
  <c r="J137" i="4" a="1"/>
  <c r="J137" i="4"/>
  <c r="I137" i="4" a="1"/>
  <c r="I137" i="4" s="1"/>
  <c r="H137" i="4" a="1"/>
  <c r="H137" i="4"/>
  <c r="G137" i="4"/>
  <c r="L136" i="4"/>
  <c r="J136" i="4" a="1"/>
  <c r="J136" i="4"/>
  <c r="M136" i="4" s="1"/>
  <c r="I136" i="4" a="1"/>
  <c r="I136" i="4" s="1"/>
  <c r="H136" i="4" a="1"/>
  <c r="H136" i="4" s="1"/>
  <c r="K136" i="4" s="1"/>
  <c r="G136" i="4"/>
  <c r="J135" i="4" a="1"/>
  <c r="J135" i="4" s="1"/>
  <c r="M135" i="4" s="1"/>
  <c r="I135" i="4" a="1"/>
  <c r="I135" i="4" s="1"/>
  <c r="L135" i="4" s="1"/>
  <c r="H135" i="4" a="1"/>
  <c r="H135" i="4" s="1"/>
  <c r="K135" i="4" s="1"/>
  <c r="G135" i="4"/>
  <c r="I131" i="4" s="1" a="1"/>
  <c r="I131" i="4" s="1"/>
  <c r="L134" i="4"/>
  <c r="J134" i="4" a="1"/>
  <c r="J134" i="4"/>
  <c r="M134" i="4" s="1"/>
  <c r="I134" i="4" a="1"/>
  <c r="I134" i="4" s="1"/>
  <c r="H134" i="4" a="1"/>
  <c r="H134" i="4"/>
  <c r="K134" i="4" s="1"/>
  <c r="G134" i="4"/>
  <c r="J131" i="4" s="1" a="1"/>
  <c r="J131" i="4" s="1"/>
  <c r="J133" i="4" a="1"/>
  <c r="J133" i="4"/>
  <c r="M133" i="4" s="1"/>
  <c r="I133" i="4" a="1"/>
  <c r="I133" i="4" s="1"/>
  <c r="L133" i="4" s="1"/>
  <c r="H133" i="4" a="1"/>
  <c r="H133" i="4" s="1"/>
  <c r="K133" i="4" s="1"/>
  <c r="G133" i="4"/>
  <c r="J132" i="4" a="1"/>
  <c r="J132" i="4" s="1"/>
  <c r="M132" i="4" s="1"/>
  <c r="I132" i="4" a="1"/>
  <c r="I132" i="4"/>
  <c r="L132" i="4" s="1"/>
  <c r="H132" i="4" a="1"/>
  <c r="H132" i="4" s="1"/>
  <c r="K132" i="4" s="1"/>
  <c r="G132" i="4"/>
  <c r="H131" i="4" a="1"/>
  <c r="H131" i="4"/>
  <c r="G131" i="4"/>
  <c r="J130" i="4" a="1"/>
  <c r="J130" i="4"/>
  <c r="M130" i="4" s="1"/>
  <c r="I130" i="4" a="1"/>
  <c r="I130" i="4" s="1"/>
  <c r="L130" i="4" s="1"/>
  <c r="H130" i="4" a="1"/>
  <c r="H130" i="4" s="1"/>
  <c r="K130" i="4" s="1"/>
  <c r="G130" i="4"/>
  <c r="J129" i="4" a="1"/>
  <c r="J129" i="4" s="1"/>
  <c r="M129" i="4" s="1"/>
  <c r="I129" i="4" a="1"/>
  <c r="I129" i="4"/>
  <c r="L129" i="4" s="1"/>
  <c r="H129" i="4" a="1"/>
  <c r="H129" i="4" s="1"/>
  <c r="K129" i="4" s="1"/>
  <c r="G129" i="4"/>
  <c r="J128" i="4" a="1"/>
  <c r="J128" i="4" s="1"/>
  <c r="M128" i="4" s="1"/>
  <c r="I128" i="4" a="1"/>
  <c r="I128" i="4"/>
  <c r="L128" i="4" s="1"/>
  <c r="H128" i="4" a="1"/>
  <c r="H128" i="4" s="1"/>
  <c r="K128" i="4" s="1"/>
  <c r="G128" i="4"/>
  <c r="L127" i="4"/>
  <c r="J127" i="4" a="1"/>
  <c r="J127" i="4" s="1"/>
  <c r="M127" i="4" s="1"/>
  <c r="I127" i="4" a="1"/>
  <c r="I127" i="4" s="1"/>
  <c r="H127" i="4" a="1"/>
  <c r="H127" i="4" s="1"/>
  <c r="K127" i="4" s="1"/>
  <c r="G127" i="4"/>
  <c r="J126" i="4" a="1"/>
  <c r="J126" i="4" s="1"/>
  <c r="M126" i="4" s="1"/>
  <c r="I126" i="4" a="1"/>
  <c r="I126" i="4"/>
  <c r="L126" i="4" s="1"/>
  <c r="H126" i="4" a="1"/>
  <c r="H126" i="4" s="1"/>
  <c r="K126" i="4" s="1"/>
  <c r="G126" i="4"/>
  <c r="G125" i="4"/>
  <c r="L124" i="4"/>
  <c r="K124" i="4"/>
  <c r="J124" i="4" a="1"/>
  <c r="J124" i="4" s="1"/>
  <c r="M124" i="4" s="1"/>
  <c r="I124" i="4" a="1"/>
  <c r="I124" i="4"/>
  <c r="H124" i="4" a="1"/>
  <c r="H124" i="4" s="1"/>
  <c r="G124" i="4"/>
  <c r="J123" i="4" a="1"/>
  <c r="J123" i="4" s="1"/>
  <c r="I123" i="4" a="1"/>
  <c r="I123" i="4"/>
  <c r="H123" i="4" a="1"/>
  <c r="H123" i="4" s="1"/>
  <c r="G123" i="4"/>
  <c r="J122" i="4" a="1"/>
  <c r="J122" i="4" s="1"/>
  <c r="M122" i="4" s="1"/>
  <c r="I122" i="4" a="1"/>
  <c r="I122" i="4" s="1"/>
  <c r="L122" i="4" s="1"/>
  <c r="H122" i="4" a="1"/>
  <c r="H122" i="4" s="1"/>
  <c r="K122" i="4" s="1"/>
  <c r="G122" i="4"/>
  <c r="M121" i="4"/>
  <c r="J121" i="4" a="1"/>
  <c r="J121" i="4" s="1"/>
  <c r="I121" i="4" a="1"/>
  <c r="I121" i="4" s="1"/>
  <c r="L121" i="4" s="1"/>
  <c r="H121" i="4" a="1"/>
  <c r="H121" i="4"/>
  <c r="K121" i="4" s="1"/>
  <c r="G121" i="4"/>
  <c r="L120" i="4"/>
  <c r="K120" i="4"/>
  <c r="J120" i="4" a="1"/>
  <c r="J120" i="4" s="1"/>
  <c r="M120" i="4" s="1"/>
  <c r="I120" i="4" a="1"/>
  <c r="I120" i="4"/>
  <c r="H120" i="4" a="1"/>
  <c r="H120" i="4"/>
  <c r="G120" i="4"/>
  <c r="K119" i="4"/>
  <c r="J119" i="4" a="1"/>
  <c r="J119" i="4"/>
  <c r="M119" i="4" s="1"/>
  <c r="I119" i="4" a="1"/>
  <c r="I119" i="4" s="1"/>
  <c r="L119" i="4" s="1"/>
  <c r="H119" i="4" a="1"/>
  <c r="H119" i="4" s="1"/>
  <c r="G119" i="4"/>
  <c r="K118" i="4"/>
  <c r="J118" i="4" a="1"/>
  <c r="J118" i="4"/>
  <c r="M118" i="4" s="1"/>
  <c r="I118" i="4" a="1"/>
  <c r="I118" i="4" s="1"/>
  <c r="L118" i="4" s="1"/>
  <c r="H118" i="4" a="1"/>
  <c r="H118" i="4" s="1"/>
  <c r="G118" i="4"/>
  <c r="M117" i="4"/>
  <c r="L117" i="4"/>
  <c r="J117" i="4" a="1"/>
  <c r="J117" i="4"/>
  <c r="I117" i="4" a="1"/>
  <c r="I117" i="4" s="1"/>
  <c r="H117" i="4" a="1"/>
  <c r="H117" i="4" s="1"/>
  <c r="K117" i="4" s="1"/>
  <c r="G117" i="4"/>
  <c r="J116" i="4" a="1"/>
  <c r="J116" i="4" s="1"/>
  <c r="M116" i="4" s="1"/>
  <c r="I116" i="4" a="1"/>
  <c r="I116" i="4" s="1"/>
  <c r="L116" i="4" s="1"/>
  <c r="H116" i="4" a="1"/>
  <c r="H116" i="4" s="1"/>
  <c r="K116" i="4" s="1"/>
  <c r="G116" i="4"/>
  <c r="J115" i="4" a="1"/>
  <c r="J115" i="4" s="1"/>
  <c r="M115" i="4" s="1"/>
  <c r="I115" i="4" a="1"/>
  <c r="I115" i="4"/>
  <c r="L115" i="4" s="1"/>
  <c r="H115" i="4" a="1"/>
  <c r="H115" i="4"/>
  <c r="K115" i="4" s="1"/>
  <c r="G115" i="4"/>
  <c r="M114" i="4"/>
  <c r="J114" i="4" a="1"/>
  <c r="J114" i="4" s="1"/>
  <c r="I114" i="4" a="1"/>
  <c r="I114" i="4" s="1"/>
  <c r="L114" i="4" s="1"/>
  <c r="H114" i="4" a="1"/>
  <c r="H114" i="4" s="1"/>
  <c r="K114" i="4" s="1"/>
  <c r="G114" i="4"/>
  <c r="G113" i="4"/>
  <c r="L112" i="4"/>
  <c r="J112" i="4" a="1"/>
  <c r="J112" i="4" s="1"/>
  <c r="M112" i="4" s="1"/>
  <c r="I112" i="4" a="1"/>
  <c r="I112" i="4"/>
  <c r="H112" i="4" a="1"/>
  <c r="H112" i="4" s="1"/>
  <c r="K112" i="4" s="1"/>
  <c r="G112" i="4"/>
  <c r="J111" i="4" a="1"/>
  <c r="J111" i="4"/>
  <c r="M111" i="4" s="1"/>
  <c r="I111" i="4" a="1"/>
  <c r="I111" i="4"/>
  <c r="L111" i="4" s="1"/>
  <c r="H111" i="4" a="1"/>
  <c r="H111" i="4" s="1"/>
  <c r="K111" i="4" s="1"/>
  <c r="G111" i="4"/>
  <c r="L110" i="4"/>
  <c r="J110" i="4" a="1"/>
  <c r="J110" i="4"/>
  <c r="M110" i="4" s="1"/>
  <c r="I110" i="4" a="1"/>
  <c r="I110" i="4"/>
  <c r="H110" i="4" a="1"/>
  <c r="H110" i="4"/>
  <c r="K110" i="4" s="1"/>
  <c r="G110" i="4"/>
  <c r="J109" i="4" a="1"/>
  <c r="J109" i="4" s="1"/>
  <c r="M109" i="4" s="1"/>
  <c r="I109" i="4" a="1"/>
  <c r="I109" i="4" s="1"/>
  <c r="L109" i="4" s="1"/>
  <c r="H109" i="4" a="1"/>
  <c r="H109" i="4"/>
  <c r="K109" i="4" s="1"/>
  <c r="G109" i="4"/>
  <c r="M108" i="4"/>
  <c r="J108" i="4" a="1"/>
  <c r="J108" i="4" s="1"/>
  <c r="I108" i="4" a="1"/>
  <c r="I108" i="4"/>
  <c r="L108" i="4" s="1"/>
  <c r="H108" i="4" a="1"/>
  <c r="H108" i="4" s="1"/>
  <c r="K108" i="4" s="1"/>
  <c r="G108" i="4"/>
  <c r="K107" i="4"/>
  <c r="J107" i="4" a="1"/>
  <c r="J107" i="4" s="1"/>
  <c r="M107" i="4" s="1"/>
  <c r="I107" i="4" a="1"/>
  <c r="I107" i="4" s="1"/>
  <c r="L107" i="4" s="1"/>
  <c r="H107" i="4" a="1"/>
  <c r="H107" i="4" s="1"/>
  <c r="G107" i="4"/>
  <c r="J101" i="4" s="1" a="1"/>
  <c r="J101" i="4" s="1"/>
  <c r="L106" i="4"/>
  <c r="K106" i="4"/>
  <c r="J106" i="4" a="1"/>
  <c r="J106" i="4" s="1"/>
  <c r="M106" i="4" s="1"/>
  <c r="I106" i="4" a="1"/>
  <c r="I106" i="4" s="1"/>
  <c r="H106" i="4" a="1"/>
  <c r="H106" i="4" s="1"/>
  <c r="G106" i="4"/>
  <c r="M105" i="4"/>
  <c r="J105" i="4" a="1"/>
  <c r="J105" i="4" s="1"/>
  <c r="I105" i="4" a="1"/>
  <c r="I105" i="4"/>
  <c r="L105" i="4" s="1"/>
  <c r="H105" i="4" a="1"/>
  <c r="H105" i="4" s="1"/>
  <c r="K105" i="4" s="1"/>
  <c r="G105" i="4"/>
  <c r="K104" i="4"/>
  <c r="J104" i="4" a="1"/>
  <c r="J104" i="4" s="1"/>
  <c r="M104" i="4" s="1"/>
  <c r="I104" i="4" a="1"/>
  <c r="I104" i="4" s="1"/>
  <c r="L104" i="4" s="1"/>
  <c r="H104" i="4" a="1"/>
  <c r="H104" i="4" s="1"/>
  <c r="G104" i="4"/>
  <c r="M103" i="4"/>
  <c r="J103" i="4" a="1"/>
  <c r="J103" i="4"/>
  <c r="I103" i="4" a="1"/>
  <c r="I103" i="4"/>
  <c r="L103" i="4" s="1"/>
  <c r="H103" i="4" a="1"/>
  <c r="H103" i="4"/>
  <c r="K103" i="4" s="1"/>
  <c r="G103" i="4"/>
  <c r="K102" i="4"/>
  <c r="J102" i="4" a="1"/>
  <c r="J102" i="4" s="1"/>
  <c r="M102" i="4" s="1"/>
  <c r="I102" i="4" a="1"/>
  <c r="I102" i="4" s="1"/>
  <c r="L102" i="4" s="1"/>
  <c r="H102" i="4" a="1"/>
  <c r="H102" i="4" s="1"/>
  <c r="G102" i="4"/>
  <c r="I101" i="4" a="1"/>
  <c r="I101" i="4" s="1"/>
  <c r="H101" i="4" a="1"/>
  <c r="H101" i="4" s="1"/>
  <c r="G101" i="4"/>
  <c r="J100" i="4" a="1"/>
  <c r="J100" i="4"/>
  <c r="M100" i="4" s="1"/>
  <c r="G100" i="4"/>
  <c r="M99" i="4"/>
  <c r="L99" i="4"/>
  <c r="J99" i="4" a="1"/>
  <c r="J99" i="4"/>
  <c r="I99" i="4" a="1"/>
  <c r="I99" i="4" s="1"/>
  <c r="H99" i="4" a="1"/>
  <c r="H99" i="4"/>
  <c r="K99" i="4" s="1"/>
  <c r="G99" i="4"/>
  <c r="I90" i="4" s="1" a="1"/>
  <c r="K98" i="4"/>
  <c r="J98" i="4" a="1"/>
  <c r="J98" i="4"/>
  <c r="M98" i="4" s="1"/>
  <c r="I98" i="4" a="1"/>
  <c r="I98" i="4" s="1"/>
  <c r="L98" i="4" s="1"/>
  <c r="H98" i="4" a="1"/>
  <c r="H98" i="4"/>
  <c r="G98" i="4"/>
  <c r="J97" i="4" a="1"/>
  <c r="J97" i="4" s="1"/>
  <c r="M97" i="4" s="1"/>
  <c r="I97" i="4" a="1"/>
  <c r="I97" i="4"/>
  <c r="L97" i="4" s="1"/>
  <c r="H97" i="4" a="1"/>
  <c r="H97" i="4"/>
  <c r="K97" i="4" s="1"/>
  <c r="G97" i="4"/>
  <c r="J90" i="4" s="1" a="1"/>
  <c r="J90" i="4" s="1"/>
  <c r="M96" i="4"/>
  <c r="J96" i="4" a="1"/>
  <c r="J96" i="4" s="1"/>
  <c r="I96" i="4" a="1"/>
  <c r="I96" i="4" s="1"/>
  <c r="L96" i="4" s="1"/>
  <c r="H96" i="4" a="1"/>
  <c r="H96" i="4" s="1"/>
  <c r="K96" i="4" s="1"/>
  <c r="G96" i="4"/>
  <c r="M95" i="4"/>
  <c r="L95" i="4"/>
  <c r="J95" i="4" a="1"/>
  <c r="J95" i="4" s="1"/>
  <c r="I95" i="4" a="1"/>
  <c r="I95" i="4" s="1"/>
  <c r="H95" i="4" a="1"/>
  <c r="H95" i="4"/>
  <c r="K95" i="4" s="1"/>
  <c r="G95" i="4"/>
  <c r="K94" i="4"/>
  <c r="J94" i="4" a="1"/>
  <c r="J94" i="4" s="1"/>
  <c r="M94" i="4" s="1"/>
  <c r="I94" i="4" a="1"/>
  <c r="I94" i="4"/>
  <c r="L94" i="4" s="1"/>
  <c r="H94" i="4" a="1"/>
  <c r="H94" i="4" s="1"/>
  <c r="G94" i="4"/>
  <c r="L93" i="4"/>
  <c r="K93" i="4"/>
  <c r="J93" i="4" a="1"/>
  <c r="J93" i="4" s="1"/>
  <c r="M93" i="4" s="1"/>
  <c r="I93" i="4" a="1"/>
  <c r="I93" i="4" s="1"/>
  <c r="H93" i="4" a="1"/>
  <c r="H93" i="4" s="1"/>
  <c r="G93" i="4"/>
  <c r="J92" i="4" a="1"/>
  <c r="J92" i="4" s="1"/>
  <c r="M92" i="4" s="1"/>
  <c r="I92" i="4" a="1"/>
  <c r="I92" i="4"/>
  <c r="L92" i="4" s="1"/>
  <c r="H92" i="4" a="1"/>
  <c r="H92" i="4" s="1"/>
  <c r="K92" i="4" s="1"/>
  <c r="G92" i="4"/>
  <c r="L91" i="4"/>
  <c r="J91" i="4" a="1"/>
  <c r="J91" i="4" s="1"/>
  <c r="M91" i="4" s="1"/>
  <c r="I91" i="4" a="1"/>
  <c r="I91" i="4"/>
  <c r="H91" i="4" a="1"/>
  <c r="H91" i="4"/>
  <c r="K91" i="4" s="1"/>
  <c r="G91" i="4"/>
  <c r="I90" i="4"/>
  <c r="H90" i="4" a="1"/>
  <c r="H90" i="4" s="1"/>
  <c r="G90" i="4"/>
  <c r="K89" i="4"/>
  <c r="J89" i="4" a="1"/>
  <c r="J89" i="4" s="1"/>
  <c r="M89" i="4" s="1"/>
  <c r="I89" i="4" a="1"/>
  <c r="I89" i="4" s="1"/>
  <c r="L89" i="4" s="1"/>
  <c r="H89" i="4" a="1"/>
  <c r="H89" i="4"/>
  <c r="G89" i="4"/>
  <c r="M88" i="4"/>
  <c r="K88" i="4"/>
  <c r="J88" i="4" a="1"/>
  <c r="J88" i="4"/>
  <c r="I88" i="4" a="1"/>
  <c r="I88" i="4"/>
  <c r="L88" i="4" s="1"/>
  <c r="H88" i="4" a="1"/>
  <c r="H88" i="4" s="1"/>
  <c r="G88" i="4"/>
  <c r="K87" i="4"/>
  <c r="J87" i="4" a="1"/>
  <c r="J87" i="4" s="1"/>
  <c r="M87" i="4" s="1"/>
  <c r="I87" i="4" a="1"/>
  <c r="I87" i="4"/>
  <c r="L87" i="4" s="1"/>
  <c r="H87" i="4" a="1"/>
  <c r="H87" i="4"/>
  <c r="G87" i="4"/>
  <c r="L86" i="4"/>
  <c r="K86" i="4"/>
  <c r="J86" i="4" a="1"/>
  <c r="J86" i="4" s="1"/>
  <c r="M86" i="4" s="1"/>
  <c r="I86" i="4" a="1"/>
  <c r="I86" i="4"/>
  <c r="H86" i="4" a="1"/>
  <c r="H86" i="4"/>
  <c r="G86" i="4"/>
  <c r="J85" i="4" a="1"/>
  <c r="J85" i="4"/>
  <c r="M85" i="4" s="1"/>
  <c r="I85" i="4" a="1"/>
  <c r="I85" i="4"/>
  <c r="L85" i="4" s="1"/>
  <c r="H85" i="4" a="1"/>
  <c r="H85" i="4"/>
  <c r="K85" i="4" s="1"/>
  <c r="G85" i="4"/>
  <c r="L84" i="4"/>
  <c r="J84" i="4" a="1"/>
  <c r="J84" i="4" s="1"/>
  <c r="M84" i="4" s="1"/>
  <c r="I84" i="4" a="1"/>
  <c r="I84" i="4"/>
  <c r="H84" i="4" a="1"/>
  <c r="H84" i="4"/>
  <c r="K84" i="4" s="1"/>
  <c r="G84" i="4"/>
  <c r="M83" i="4"/>
  <c r="K83" i="4"/>
  <c r="J83" i="4" a="1"/>
  <c r="J83" i="4"/>
  <c r="I83" i="4" a="1"/>
  <c r="I83" i="4" s="1"/>
  <c r="L83" i="4" s="1"/>
  <c r="H83" i="4" a="1"/>
  <c r="H83" i="4" s="1"/>
  <c r="G83" i="4"/>
  <c r="L82" i="4"/>
  <c r="J82" i="4" a="1"/>
  <c r="J82" i="4" s="1"/>
  <c r="M82" i="4" s="1"/>
  <c r="I82" i="4" a="1"/>
  <c r="I82" i="4" s="1"/>
  <c r="H82" i="4" a="1"/>
  <c r="H82" i="4" s="1"/>
  <c r="K82" i="4" s="1"/>
  <c r="G82" i="4"/>
  <c r="I79" i="4" s="1" a="1"/>
  <c r="I79" i="4" s="1"/>
  <c r="M81" i="4"/>
  <c r="L81" i="4"/>
  <c r="J81" i="4" a="1"/>
  <c r="J81" i="4" s="1"/>
  <c r="I81" i="4" a="1"/>
  <c r="I81" i="4"/>
  <c r="H81" i="4" a="1"/>
  <c r="H81" i="4" s="1"/>
  <c r="K81" i="4" s="1"/>
  <c r="G81" i="4"/>
  <c r="L80" i="4"/>
  <c r="K80" i="4"/>
  <c r="J80" i="4" a="1"/>
  <c r="J80" i="4"/>
  <c r="M80" i="4" s="1"/>
  <c r="I80" i="4" a="1"/>
  <c r="I80" i="4"/>
  <c r="H80" i="4" a="1"/>
  <c r="H80" i="4"/>
  <c r="G80" i="4"/>
  <c r="G79" i="4"/>
  <c r="K78" i="4"/>
  <c r="J78" i="4" a="1"/>
  <c r="J78" i="4" s="1"/>
  <c r="M78" i="4" s="1"/>
  <c r="I78" i="4" a="1"/>
  <c r="I78" i="4" s="1"/>
  <c r="L78" i="4" s="1"/>
  <c r="H78" i="4" a="1"/>
  <c r="H78" i="4"/>
  <c r="G78" i="4"/>
  <c r="M77" i="4"/>
  <c r="L77" i="4"/>
  <c r="J77" i="4" a="1"/>
  <c r="J77" i="4"/>
  <c r="I77" i="4" a="1"/>
  <c r="I77" i="4" s="1"/>
  <c r="H77" i="4" a="1"/>
  <c r="H77" i="4"/>
  <c r="K77" i="4" s="1"/>
  <c r="G77" i="4"/>
  <c r="K76" i="4"/>
  <c r="J76" i="4" a="1"/>
  <c r="J76" i="4"/>
  <c r="M76" i="4" s="1"/>
  <c r="I76" i="4" a="1"/>
  <c r="I76" i="4" s="1"/>
  <c r="L76" i="4" s="1"/>
  <c r="H76" i="4" a="1"/>
  <c r="H76" i="4" s="1"/>
  <c r="G76" i="4"/>
  <c r="J75" i="4" a="1"/>
  <c r="J75" i="4" s="1"/>
  <c r="M75" i="4" s="1"/>
  <c r="I75" i="4" a="1"/>
  <c r="I75" i="4"/>
  <c r="L75" i="4" s="1"/>
  <c r="H75" i="4" a="1"/>
  <c r="H75" i="4" s="1"/>
  <c r="K75" i="4" s="1"/>
  <c r="G75" i="4"/>
  <c r="J69" i="4" s="1" a="1"/>
  <c r="J69" i="4" s="1"/>
  <c r="J74" i="4" a="1"/>
  <c r="J74" i="4"/>
  <c r="M74" i="4" s="1"/>
  <c r="I74" i="4" a="1"/>
  <c r="I74" i="4"/>
  <c r="L74" i="4" s="1"/>
  <c r="H74" i="4" a="1"/>
  <c r="H74" i="4"/>
  <c r="K74" i="4" s="1"/>
  <c r="G74" i="4"/>
  <c r="M73" i="4"/>
  <c r="L73" i="4"/>
  <c r="J73" i="4" a="1"/>
  <c r="J73" i="4" s="1"/>
  <c r="I73" i="4" a="1"/>
  <c r="I73" i="4" s="1"/>
  <c r="H73" i="4" a="1"/>
  <c r="H73" i="4" s="1"/>
  <c r="K73" i="4" s="1"/>
  <c r="G73" i="4"/>
  <c r="I69" i="4" s="1" a="1"/>
  <c r="I69" i="4" s="1"/>
  <c r="M72" i="4"/>
  <c r="J72" i="4" a="1"/>
  <c r="J72" i="4" s="1"/>
  <c r="I72" i="4" a="1"/>
  <c r="I72" i="4" s="1"/>
  <c r="L72" i="4" s="1"/>
  <c r="H72" i="4" a="1"/>
  <c r="H72" i="4" s="1"/>
  <c r="K72" i="4" s="1"/>
  <c r="G72" i="4"/>
  <c r="J71" i="4" a="1"/>
  <c r="J71" i="4" s="1"/>
  <c r="M71" i="4" s="1"/>
  <c r="I71" i="4" a="1"/>
  <c r="I71" i="4" s="1"/>
  <c r="L71" i="4" s="1"/>
  <c r="H71" i="4" a="1"/>
  <c r="H71" i="4"/>
  <c r="K71" i="4" s="1"/>
  <c r="G71" i="4"/>
  <c r="M70" i="4"/>
  <c r="L70" i="4"/>
  <c r="J70" i="4" a="1"/>
  <c r="J70" i="4" s="1"/>
  <c r="I70" i="4" a="1"/>
  <c r="I70" i="4"/>
  <c r="H70" i="4" a="1"/>
  <c r="H70" i="4" s="1"/>
  <c r="K70" i="4" s="1"/>
  <c r="G70" i="4"/>
  <c r="G69" i="4"/>
  <c r="K68" i="4"/>
  <c r="J68" i="4" a="1"/>
  <c r="J68" i="4" s="1"/>
  <c r="M68" i="4" s="1"/>
  <c r="I68" i="4" a="1"/>
  <c r="I68" i="4" s="1"/>
  <c r="L68" i="4" s="1"/>
  <c r="H68" i="4" a="1"/>
  <c r="H68" i="4" s="1"/>
  <c r="G68" i="4"/>
  <c r="I67" i="4" s="1" a="1"/>
  <c r="I67" i="4" s="1"/>
  <c r="G67" i="4"/>
  <c r="J66" i="4" a="1"/>
  <c r="J66" i="4" s="1"/>
  <c r="M66" i="4" s="1"/>
  <c r="G66" i="4"/>
  <c r="J65" i="4" a="1"/>
  <c r="J65" i="4"/>
  <c r="M65" i="4" s="1"/>
  <c r="I65" i="4" a="1"/>
  <c r="I65" i="4" s="1"/>
  <c r="L65" i="4" s="1"/>
  <c r="H65" i="4" a="1"/>
  <c r="H65" i="4" s="1"/>
  <c r="K65" i="4" s="1"/>
  <c r="G65" i="4"/>
  <c r="K64" i="4"/>
  <c r="J64" i="4" a="1"/>
  <c r="J64" i="4" s="1"/>
  <c r="M64" i="4" s="1"/>
  <c r="I64" i="4" a="1"/>
  <c r="I64" i="4" s="1"/>
  <c r="L64" i="4" s="1"/>
  <c r="H64" i="4" a="1"/>
  <c r="H64" i="4" s="1"/>
  <c r="G64" i="4"/>
  <c r="J63" i="4" a="1"/>
  <c r="J63" i="4"/>
  <c r="M63" i="4" s="1"/>
  <c r="I63" i="4" a="1"/>
  <c r="I63" i="4" s="1"/>
  <c r="L63" i="4" s="1"/>
  <c r="H63" i="4" a="1"/>
  <c r="H63" i="4"/>
  <c r="K63" i="4" s="1"/>
  <c r="G63" i="4"/>
  <c r="I61" i="4" s="1" a="1"/>
  <c r="I61" i="4" s="1"/>
  <c r="L62" i="4"/>
  <c r="J62" i="4" a="1"/>
  <c r="J62" i="4" s="1"/>
  <c r="M62" i="4" s="1"/>
  <c r="I62" i="4" a="1"/>
  <c r="I62" i="4" s="1"/>
  <c r="H62" i="4" a="1"/>
  <c r="H62" i="4" s="1"/>
  <c r="K62" i="4" s="1"/>
  <c r="G62" i="4"/>
  <c r="J61" i="4" a="1"/>
  <c r="J61" i="4" s="1"/>
  <c r="G61" i="4"/>
  <c r="M60" i="4"/>
  <c r="K60" i="4"/>
  <c r="J60" i="4" a="1"/>
  <c r="J60" i="4" s="1"/>
  <c r="I60" i="4" a="1"/>
  <c r="I60" i="4" s="1"/>
  <c r="L60" i="4" s="1"/>
  <c r="H60" i="4" a="1"/>
  <c r="H60" i="4"/>
  <c r="G60" i="4"/>
  <c r="J59" i="4" a="1"/>
  <c r="J59" i="4"/>
  <c r="M59" i="4" s="1"/>
  <c r="I59" i="4" a="1"/>
  <c r="I59" i="4" s="1"/>
  <c r="L59" i="4" s="1"/>
  <c r="H59" i="4" a="1"/>
  <c r="H59" i="4"/>
  <c r="K59" i="4" s="1"/>
  <c r="G59" i="4"/>
  <c r="M58" i="4"/>
  <c r="J58" i="4" a="1"/>
  <c r="J58" i="4"/>
  <c r="I58" i="4" a="1"/>
  <c r="I58" i="4"/>
  <c r="L58" i="4" s="1"/>
  <c r="H58" i="4" a="1"/>
  <c r="H58" i="4" s="1"/>
  <c r="K58" i="4" s="1"/>
  <c r="G58" i="4"/>
  <c r="J57" i="4" a="1"/>
  <c r="J57" i="4"/>
  <c r="M57" i="4" s="1"/>
  <c r="I57" i="4" a="1"/>
  <c r="I57" i="4" s="1"/>
  <c r="L57" i="4" s="1"/>
  <c r="H57" i="4" a="1"/>
  <c r="H57" i="4" s="1"/>
  <c r="K57" i="4" s="1"/>
  <c r="G57" i="4"/>
  <c r="J56" i="4" a="1"/>
  <c r="J56" i="4"/>
  <c r="M56" i="4" s="1"/>
  <c r="I56" i="4" a="1"/>
  <c r="I56" i="4" s="1"/>
  <c r="L56" i="4" s="1"/>
  <c r="H56" i="4" a="1"/>
  <c r="H56" i="4"/>
  <c r="K56" i="4" s="1"/>
  <c r="G56" i="4"/>
  <c r="J55" i="4" a="1"/>
  <c r="J55" i="4" s="1"/>
  <c r="M55" i="4" s="1"/>
  <c r="I55" i="4" a="1"/>
  <c r="I55" i="4" s="1"/>
  <c r="L55" i="4" s="1"/>
  <c r="H55" i="4" a="1"/>
  <c r="H55" i="4" s="1"/>
  <c r="K55" i="4" s="1"/>
  <c r="G55" i="4"/>
  <c r="M54" i="4"/>
  <c r="J54" i="4" a="1"/>
  <c r="J54" i="4" s="1"/>
  <c r="I54" i="4" a="1"/>
  <c r="I54" i="4"/>
  <c r="L54" i="4" s="1"/>
  <c r="H54" i="4" a="1"/>
  <c r="H54" i="4" s="1"/>
  <c r="K54" i="4" s="1"/>
  <c r="G54" i="4"/>
  <c r="M53" i="4"/>
  <c r="L53" i="4"/>
  <c r="K53" i="4"/>
  <c r="J53" i="4" a="1"/>
  <c r="J53" i="4"/>
  <c r="I53" i="4" a="1"/>
  <c r="I53" i="4" s="1"/>
  <c r="H53" i="4" a="1"/>
  <c r="H53" i="4" s="1"/>
  <c r="G53" i="4"/>
  <c r="L52" i="4"/>
  <c r="J52" i="4" a="1"/>
  <c r="J52" i="4" s="1"/>
  <c r="M52" i="4" s="1"/>
  <c r="I52" i="4" a="1"/>
  <c r="I52" i="4" s="1"/>
  <c r="H52" i="4" a="1"/>
  <c r="H52" i="4" s="1"/>
  <c r="K52" i="4" s="1"/>
  <c r="G52" i="4"/>
  <c r="J51" i="4" a="1"/>
  <c r="J51" i="4" s="1"/>
  <c r="M51" i="4" s="1"/>
  <c r="I51" i="4" a="1"/>
  <c r="I51" i="4"/>
  <c r="L51" i="4" s="1"/>
  <c r="H51" i="4" a="1"/>
  <c r="H51" i="4"/>
  <c r="K51" i="4" s="1"/>
  <c r="G51" i="4"/>
  <c r="I50" i="4" a="1"/>
  <c r="I50" i="4" s="1"/>
  <c r="G50" i="4"/>
  <c r="L49" i="4"/>
  <c r="J49" i="4" a="1"/>
  <c r="J49" i="4"/>
  <c r="M49" i="4" s="1"/>
  <c r="I49" i="4" a="1"/>
  <c r="I49" i="4"/>
  <c r="H49" i="4" a="1"/>
  <c r="H49" i="4"/>
  <c r="K49" i="4" s="1"/>
  <c r="G49" i="4"/>
  <c r="M48" i="4"/>
  <c r="K48" i="4"/>
  <c r="J48" i="4" a="1"/>
  <c r="J48" i="4" s="1"/>
  <c r="I48" i="4" a="1"/>
  <c r="I48" i="4" s="1"/>
  <c r="L48" i="4" s="1"/>
  <c r="H48" i="4" a="1"/>
  <c r="H48" i="4" s="1"/>
  <c r="G48" i="4"/>
  <c r="J47" i="4" a="1"/>
  <c r="J47" i="4" s="1"/>
  <c r="M47" i="4" s="1"/>
  <c r="I47" i="4" a="1"/>
  <c r="I47" i="4" s="1"/>
  <c r="L47" i="4" s="1"/>
  <c r="H47" i="4" a="1"/>
  <c r="H47" i="4" s="1"/>
  <c r="K47" i="4" s="1"/>
  <c r="G47" i="4"/>
  <c r="M46" i="4"/>
  <c r="K46" i="4"/>
  <c r="J46" i="4" a="1"/>
  <c r="J46" i="4"/>
  <c r="I46" i="4" a="1"/>
  <c r="I46" i="4"/>
  <c r="L46" i="4" s="1"/>
  <c r="H46" i="4" a="1"/>
  <c r="H46" i="4" s="1"/>
  <c r="G46" i="4"/>
  <c r="M45" i="4"/>
  <c r="L45" i="4"/>
  <c r="K45" i="4"/>
  <c r="J45" i="4" a="1"/>
  <c r="J45" i="4" s="1"/>
  <c r="I45" i="4" a="1"/>
  <c r="I45" i="4" s="1"/>
  <c r="H45" i="4" a="1"/>
  <c r="H45" i="4" s="1"/>
  <c r="G45" i="4"/>
  <c r="J44" i="4" a="1"/>
  <c r="J44" i="4"/>
  <c r="M44" i="4" s="1"/>
  <c r="I44" i="4" a="1"/>
  <c r="I44" i="4"/>
  <c r="L44" i="4" s="1"/>
  <c r="H44" i="4" a="1"/>
  <c r="H44" i="4"/>
  <c r="K44" i="4" s="1"/>
  <c r="G44" i="4"/>
  <c r="M43" i="4"/>
  <c r="J43" i="4" a="1"/>
  <c r="J43" i="4" s="1"/>
  <c r="I43" i="4" a="1"/>
  <c r="I43" i="4"/>
  <c r="L43" i="4" s="1"/>
  <c r="H43" i="4" a="1"/>
  <c r="H43" i="4"/>
  <c r="K43" i="4" s="1"/>
  <c r="G43" i="4"/>
  <c r="L42" i="4"/>
  <c r="J42" i="4" a="1"/>
  <c r="J42" i="4" s="1"/>
  <c r="M42" i="4" s="1"/>
  <c r="I42" i="4" a="1"/>
  <c r="I42" i="4"/>
  <c r="H42" i="4" a="1"/>
  <c r="H42" i="4"/>
  <c r="K42" i="4" s="1"/>
  <c r="G42" i="4"/>
  <c r="L41" i="4"/>
  <c r="J41" i="4" a="1"/>
  <c r="J41" i="4"/>
  <c r="M41" i="4" s="1"/>
  <c r="I41" i="4" a="1"/>
  <c r="I41" i="4" s="1"/>
  <c r="H41" i="4" a="1"/>
  <c r="H41" i="4" s="1"/>
  <c r="K41" i="4" s="1"/>
  <c r="G41" i="4"/>
  <c r="I40" i="4" a="1"/>
  <c r="I40" i="4" s="1"/>
  <c r="G40" i="4"/>
  <c r="J39" i="4" a="1"/>
  <c r="J39" i="4"/>
  <c r="M39" i="4" s="1"/>
  <c r="I39" i="4" a="1"/>
  <c r="I39" i="4"/>
  <c r="L39" i="4" s="1"/>
  <c r="H39" i="4" a="1"/>
  <c r="H39" i="4" s="1"/>
  <c r="K39" i="4" s="1"/>
  <c r="G39" i="4"/>
  <c r="J38" i="4" a="1"/>
  <c r="J38" i="4"/>
  <c r="M38" i="4" s="1"/>
  <c r="I38" i="4" a="1"/>
  <c r="I38" i="4" s="1"/>
  <c r="L38" i="4" s="1"/>
  <c r="H38" i="4" a="1"/>
  <c r="H38" i="4"/>
  <c r="K38" i="4" s="1"/>
  <c r="G38" i="4"/>
  <c r="J35" i="4" s="1" a="1"/>
  <c r="J35" i="4" s="1"/>
  <c r="M37" i="4"/>
  <c r="L37" i="4"/>
  <c r="J37" i="4" a="1"/>
  <c r="J37" i="4"/>
  <c r="I37" i="4" a="1"/>
  <c r="I37" i="4"/>
  <c r="H37" i="4" a="1"/>
  <c r="H37" i="4"/>
  <c r="K37" i="4" s="1"/>
  <c r="G37" i="4"/>
  <c r="K36" i="4"/>
  <c r="J36" i="4" a="1"/>
  <c r="J36" i="4" s="1"/>
  <c r="M36" i="4" s="1"/>
  <c r="I36" i="4" a="1"/>
  <c r="I36" i="4" s="1"/>
  <c r="L36" i="4" s="1"/>
  <c r="H36" i="4" a="1"/>
  <c r="H36" i="4" s="1"/>
  <c r="G36" i="4"/>
  <c r="I35" i="4" a="1"/>
  <c r="I35" i="4" s="1"/>
  <c r="G35" i="4"/>
  <c r="M34" i="4"/>
  <c r="K34" i="4"/>
  <c r="J34" i="4" a="1"/>
  <c r="J34" i="4" s="1"/>
  <c r="I34" i="4" a="1"/>
  <c r="I34" i="4"/>
  <c r="L34" i="4" s="1"/>
  <c r="H34" i="4" a="1"/>
  <c r="H34" i="4" s="1"/>
  <c r="G34" i="4"/>
  <c r="J33" i="4" a="1"/>
  <c r="J33" i="4" s="1"/>
  <c r="M33" i="4" s="1"/>
  <c r="I33" i="4" a="1"/>
  <c r="I33" i="4" s="1"/>
  <c r="L33" i="4" s="1"/>
  <c r="H33" i="4" a="1"/>
  <c r="H33" i="4" s="1"/>
  <c r="K33" i="4" s="1"/>
  <c r="G33" i="4"/>
  <c r="K32" i="4"/>
  <c r="J32" i="4" a="1"/>
  <c r="J32" i="4" s="1"/>
  <c r="M32" i="4" s="1"/>
  <c r="I32" i="4" a="1"/>
  <c r="I32" i="4"/>
  <c r="L32" i="4" s="1"/>
  <c r="H32" i="4" a="1"/>
  <c r="H32" i="4"/>
  <c r="G32" i="4"/>
  <c r="J30" i="4" s="1" a="1"/>
  <c r="J30" i="4" s="1"/>
  <c r="M31" i="4"/>
  <c r="J31" i="4" a="1"/>
  <c r="J31" i="4" s="1"/>
  <c r="I31" i="4" a="1"/>
  <c r="I31" i="4"/>
  <c r="L31" i="4" s="1"/>
  <c r="H31" i="4" a="1"/>
  <c r="H31" i="4" s="1"/>
  <c r="K31" i="4" s="1"/>
  <c r="G31" i="4"/>
  <c r="G30" i="4"/>
  <c r="J29" i="4" a="1"/>
  <c r="J29" i="4"/>
  <c r="M29" i="4" s="1"/>
  <c r="I29" i="4" a="1"/>
  <c r="I29" i="4" s="1"/>
  <c r="H29" i="4" a="1"/>
  <c r="H29" i="4" s="1"/>
  <c r="G29" i="4"/>
  <c r="K28" i="4"/>
  <c r="J28" i="4" a="1"/>
  <c r="J28" i="4" s="1"/>
  <c r="M28" i="4" s="1"/>
  <c r="I28" i="4" a="1"/>
  <c r="I28" i="4" s="1"/>
  <c r="L28" i="4" s="1"/>
  <c r="H28" i="4" a="1"/>
  <c r="H28" i="4" s="1"/>
  <c r="G28" i="4"/>
  <c r="K27" i="4"/>
  <c r="J27" i="4" a="1"/>
  <c r="J27" i="4" s="1"/>
  <c r="M27" i="4" s="1"/>
  <c r="I27" i="4" a="1"/>
  <c r="I27" i="4" s="1"/>
  <c r="L27" i="4" s="1"/>
  <c r="H27" i="4" a="1"/>
  <c r="H27" i="4"/>
  <c r="G27" i="4"/>
  <c r="J26" i="4" a="1"/>
  <c r="J26" i="4" s="1"/>
  <c r="M26" i="4" s="1"/>
  <c r="I26" i="4" a="1"/>
  <c r="I26" i="4" s="1"/>
  <c r="L26" i="4" s="1"/>
  <c r="H26" i="4" a="1"/>
  <c r="H26" i="4" s="1"/>
  <c r="K26" i="4" s="1"/>
  <c r="G26" i="4"/>
  <c r="J21" i="4" s="1" a="1"/>
  <c r="L25" i="4"/>
  <c r="J25" i="4" a="1"/>
  <c r="J25" i="4"/>
  <c r="M25" i="4" s="1"/>
  <c r="I25" i="4" a="1"/>
  <c r="I25" i="4"/>
  <c r="H25" i="4" a="1"/>
  <c r="H25" i="4"/>
  <c r="K25" i="4" s="1"/>
  <c r="G25" i="4"/>
  <c r="M24" i="4"/>
  <c r="J24" i="4" a="1"/>
  <c r="J24" i="4" s="1"/>
  <c r="I24" i="4" a="1"/>
  <c r="I24" i="4" s="1"/>
  <c r="L24" i="4" s="1"/>
  <c r="H24" i="4" a="1"/>
  <c r="H24" i="4" s="1"/>
  <c r="K24" i="4" s="1"/>
  <c r="G24" i="4"/>
  <c r="J23" i="4" a="1"/>
  <c r="J23" i="4"/>
  <c r="M23" i="4" s="1"/>
  <c r="I23" i="4" a="1"/>
  <c r="I23" i="4" s="1"/>
  <c r="L23" i="4" s="1"/>
  <c r="H23" i="4" a="1"/>
  <c r="H23" i="4"/>
  <c r="K23" i="4" s="1"/>
  <c r="G23" i="4"/>
  <c r="M22" i="4"/>
  <c r="L22" i="4"/>
  <c r="J22" i="4" a="1"/>
  <c r="J22" i="4"/>
  <c r="I22" i="4" a="1"/>
  <c r="I22" i="4" s="1"/>
  <c r="H22" i="4" a="1"/>
  <c r="H22" i="4" s="1"/>
  <c r="K22" i="4" s="1"/>
  <c r="G22" i="4"/>
  <c r="J21" i="4"/>
  <c r="I21" i="4" a="1"/>
  <c r="I21" i="4" s="1"/>
  <c r="G21" i="4"/>
  <c r="J20" i="4" a="1"/>
  <c r="J20" i="4"/>
  <c r="M20" i="4" s="1"/>
  <c r="I20" i="4" a="1"/>
  <c r="I20" i="4"/>
  <c r="L20" i="4" s="1"/>
  <c r="H20" i="4" a="1"/>
  <c r="H20" i="4" s="1"/>
  <c r="K20" i="4" s="1"/>
  <c r="G20" i="4"/>
  <c r="M19" i="4"/>
  <c r="L19" i="4"/>
  <c r="J19" i="4" a="1"/>
  <c r="J19" i="4" s="1"/>
  <c r="I19" i="4" a="1"/>
  <c r="I19" i="4" s="1"/>
  <c r="H19" i="4" a="1"/>
  <c r="H19" i="4" s="1"/>
  <c r="K19" i="4" s="1"/>
  <c r="G19" i="4"/>
  <c r="J18" i="4" a="1"/>
  <c r="J18" i="4" s="1"/>
  <c r="M18" i="4" s="1"/>
  <c r="I18" i="4" a="1"/>
  <c r="I18" i="4"/>
  <c r="L18" i="4" s="1"/>
  <c r="H18" i="4" a="1"/>
  <c r="H18" i="4"/>
  <c r="K18" i="4" s="1"/>
  <c r="G18" i="4"/>
  <c r="L17" i="4"/>
  <c r="J17" i="4" a="1"/>
  <c r="J17" i="4"/>
  <c r="M17" i="4" s="1"/>
  <c r="I17" i="4" a="1"/>
  <c r="I17" i="4" s="1"/>
  <c r="H17" i="4" a="1"/>
  <c r="H17" i="4"/>
  <c r="K17" i="4" s="1"/>
  <c r="G17" i="4"/>
  <c r="L16" i="4"/>
  <c r="K16" i="4"/>
  <c r="J16" i="4" a="1"/>
  <c r="J16" i="4" s="1"/>
  <c r="M16" i="4" s="1"/>
  <c r="I16" i="4" a="1"/>
  <c r="I16" i="4" s="1"/>
  <c r="H16" i="4" a="1"/>
  <c r="H16" i="4" s="1"/>
  <c r="G16" i="4"/>
  <c r="K15" i="4"/>
  <c r="J15" i="4" a="1"/>
  <c r="J15" i="4" s="1"/>
  <c r="M15" i="4" s="1"/>
  <c r="I15" i="4" a="1"/>
  <c r="I15" i="4"/>
  <c r="L15" i="4" s="1"/>
  <c r="H15" i="4" a="1"/>
  <c r="H15" i="4"/>
  <c r="G15" i="4"/>
  <c r="I14" i="4" a="1"/>
  <c r="I14" i="4" s="1"/>
  <c r="G14" i="4"/>
  <c r="L13" i="4"/>
  <c r="J13" i="4" a="1"/>
  <c r="J13" i="4" s="1"/>
  <c r="M13" i="4" s="1"/>
  <c r="I13" i="4" a="1"/>
  <c r="I13" i="4"/>
  <c r="H13" i="4" a="1"/>
  <c r="H13" i="4" s="1"/>
  <c r="K13" i="4" s="1"/>
  <c r="G13" i="4"/>
  <c r="M12" i="4"/>
  <c r="K12" i="4"/>
  <c r="J12" i="4" a="1"/>
  <c r="J12" i="4" s="1"/>
  <c r="I12" i="4" a="1"/>
  <c r="I12" i="4"/>
  <c r="L12" i="4" s="1"/>
  <c r="H12" i="4" a="1"/>
  <c r="H12" i="4" s="1"/>
  <c r="G12" i="4"/>
  <c r="J11" i="4" a="1"/>
  <c r="J11" i="4"/>
  <c r="M11" i="4" s="1"/>
  <c r="I11" i="4" a="1"/>
  <c r="I11" i="4" s="1"/>
  <c r="L11" i="4" s="1"/>
  <c r="H11" i="4" a="1"/>
  <c r="H11" i="4"/>
  <c r="K11" i="4" s="1"/>
  <c r="G11" i="4"/>
  <c r="J10" i="4" a="1"/>
  <c r="J10" i="4"/>
  <c r="M10" i="4" s="1"/>
  <c r="I10" i="4" a="1"/>
  <c r="I10" i="4" s="1"/>
  <c r="L10" i="4" s="1"/>
  <c r="H10" i="4" a="1"/>
  <c r="H10" i="4" s="1"/>
  <c r="K10" i="4" s="1"/>
  <c r="G10" i="4"/>
  <c r="J9" i="4" a="1"/>
  <c r="J9" i="4" s="1"/>
  <c r="M9" i="4" s="1"/>
  <c r="I9" i="4" a="1"/>
  <c r="I9" i="4"/>
  <c r="L9" i="4" s="1"/>
  <c r="H9" i="4" a="1"/>
  <c r="H9" i="4" s="1"/>
  <c r="K9" i="4" s="1"/>
  <c r="G9" i="4"/>
  <c r="L8" i="4"/>
  <c r="J8" i="4" a="1"/>
  <c r="J8" i="4"/>
  <c r="M8" i="4" s="1"/>
  <c r="I8" i="4" a="1"/>
  <c r="I8" i="4"/>
  <c r="H8" i="4" a="1"/>
  <c r="H8" i="4"/>
  <c r="K8" i="4" s="1"/>
  <c r="G8" i="4"/>
  <c r="J7" i="4" a="1"/>
  <c r="J7" i="4" s="1"/>
  <c r="M7" i="4" s="1"/>
  <c r="I7" i="4" a="1"/>
  <c r="I7" i="4" s="1"/>
  <c r="L7" i="4" s="1"/>
  <c r="H7" i="4" a="1"/>
  <c r="H7" i="4" s="1"/>
  <c r="K7" i="4" s="1"/>
  <c r="G7" i="4"/>
  <c r="J6" i="4" a="1"/>
  <c r="J6" i="4" s="1"/>
  <c r="M6" i="4" s="1"/>
  <c r="I6" i="4" a="1"/>
  <c r="I6" i="4" s="1"/>
  <c r="L6" i="4" s="1"/>
  <c r="H6" i="4" a="1"/>
  <c r="H6" i="4"/>
  <c r="K6" i="4" s="1"/>
  <c r="G6" i="4"/>
  <c r="M5" i="4"/>
  <c r="L5" i="4"/>
  <c r="K5" i="4"/>
  <c r="J5" i="4" a="1"/>
  <c r="J5" i="4"/>
  <c r="I5" i="4" a="1"/>
  <c r="I5" i="4" s="1"/>
  <c r="H5" i="4" a="1"/>
  <c r="H5" i="4"/>
  <c r="G5" i="4"/>
  <c r="J4" i="4" a="1"/>
  <c r="J4" i="4"/>
  <c r="M4" i="4" s="1"/>
  <c r="I4" i="4" a="1"/>
  <c r="I4" i="4" s="1"/>
  <c r="L4" i="4" s="1"/>
  <c r="H4" i="4" a="1"/>
  <c r="H4" i="4" s="1"/>
  <c r="K4" i="4" s="1"/>
  <c r="G4" i="4"/>
  <c r="J3" i="4" a="1"/>
  <c r="J3" i="4" s="1"/>
  <c r="M3" i="4" s="1"/>
  <c r="I3" i="4" a="1"/>
  <c r="I3" i="4"/>
  <c r="L3" i="4" s="1"/>
  <c r="H3" i="4" a="1"/>
  <c r="H3" i="4" s="1"/>
  <c r="K3" i="4" s="1"/>
  <c r="G3" i="4"/>
  <c r="J2" i="4" a="1"/>
  <c r="J2" i="4" s="1"/>
  <c r="G2" i="4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D68" i="2"/>
  <c r="D67" i="2"/>
  <c r="D66" i="2"/>
  <c r="D65" i="2"/>
  <c r="D52" i="2"/>
  <c r="D51" i="2"/>
  <c r="D50" i="2"/>
  <c r="D49" i="2"/>
  <c r="D35" i="2"/>
  <c r="D34" i="2"/>
  <c r="D30" i="2"/>
  <c r="D29" i="2"/>
  <c r="D16" i="2"/>
  <c r="D15" i="2"/>
  <c r="D14" i="2"/>
  <c r="D13" i="2"/>
  <c r="D2" i="2" a="1"/>
  <c r="D69" i="2" s="1"/>
  <c r="C2" i="2"/>
  <c r="I628" i="1" a="1"/>
  <c r="I628" i="1" s="1"/>
  <c r="L628" i="1" s="1"/>
  <c r="H628" i="1"/>
  <c r="G628" i="1"/>
  <c r="H628" i="1" s="1" a="1"/>
  <c r="K627" i="1"/>
  <c r="J627" i="1" a="1"/>
  <c r="J627" i="1" s="1"/>
  <c r="M627" i="1" s="1"/>
  <c r="I627" i="1" a="1"/>
  <c r="I627" i="1" s="1"/>
  <c r="L627" i="1" s="1"/>
  <c r="H627" i="1" a="1"/>
  <c r="H627" i="1" s="1"/>
  <c r="G627" i="1"/>
  <c r="J626" i="1" a="1"/>
  <c r="J626" i="1" s="1"/>
  <c r="I626" i="1" a="1"/>
  <c r="I626" i="1" s="1"/>
  <c r="L626" i="1" s="1"/>
  <c r="G626" i="1"/>
  <c r="H626" i="1" s="1" a="1"/>
  <c r="H626" i="1" s="1"/>
  <c r="J625" i="1" a="1"/>
  <c r="J625" i="1"/>
  <c r="M625" i="1" s="1"/>
  <c r="I625" i="1" a="1"/>
  <c r="I625" i="1" s="1"/>
  <c r="L625" i="1" s="1"/>
  <c r="H625" i="1" a="1"/>
  <c r="H625" i="1" s="1"/>
  <c r="K625" i="1" s="1"/>
  <c r="G625" i="1"/>
  <c r="L624" i="1"/>
  <c r="I624" i="1" a="1"/>
  <c r="I624" i="1" s="1"/>
  <c r="G624" i="1"/>
  <c r="J624" i="1" s="1" a="1"/>
  <c r="J624" i="1" s="1"/>
  <c r="I623" i="1" a="1"/>
  <c r="I623" i="1" s="1"/>
  <c r="L623" i="1" s="1"/>
  <c r="H623" i="1" a="1"/>
  <c r="H623" i="1" s="1"/>
  <c r="G623" i="1"/>
  <c r="J623" i="1" s="1" a="1"/>
  <c r="J623" i="1" s="1"/>
  <c r="I622" i="1" a="1"/>
  <c r="I622" i="1" s="1"/>
  <c r="L622" i="1" s="1"/>
  <c r="G622" i="1"/>
  <c r="I621" i="1" a="1"/>
  <c r="I621" i="1" s="1"/>
  <c r="L621" i="1" s="1"/>
  <c r="G621" i="1"/>
  <c r="H621" i="1" s="1" a="1"/>
  <c r="H621" i="1" s="1"/>
  <c r="J620" i="1" a="1"/>
  <c r="J620" i="1" s="1"/>
  <c r="M620" i="1" s="1"/>
  <c r="I620" i="1" a="1"/>
  <c r="I620" i="1"/>
  <c r="L620" i="1" s="1"/>
  <c r="H620" i="1" a="1"/>
  <c r="H620" i="1" s="1"/>
  <c r="K620" i="1" s="1"/>
  <c r="G620" i="1"/>
  <c r="I619" i="1" a="1"/>
  <c r="I619" i="1" s="1"/>
  <c r="L619" i="1" s="1"/>
  <c r="G619" i="1"/>
  <c r="J618" i="1" a="1"/>
  <c r="J618" i="1" s="1"/>
  <c r="M618" i="1" s="1"/>
  <c r="I618" i="1" a="1"/>
  <c r="I618" i="1" s="1"/>
  <c r="L618" i="1" s="1"/>
  <c r="H618" i="1" a="1"/>
  <c r="H618" i="1"/>
  <c r="K618" i="1" s="1"/>
  <c r="G618" i="1"/>
  <c r="J617" i="1" a="1"/>
  <c r="J617" i="1" s="1"/>
  <c r="M617" i="1" s="1"/>
  <c r="I617" i="1" a="1"/>
  <c r="I617" i="1" s="1"/>
  <c r="L617" i="1" s="1"/>
  <c r="H617" i="1" a="1"/>
  <c r="H617" i="1" s="1"/>
  <c r="K617" i="1" s="1"/>
  <c r="G617" i="1"/>
  <c r="M616" i="1"/>
  <c r="J616" i="1" a="1"/>
  <c r="J616" i="1" s="1"/>
  <c r="I616" i="1" a="1"/>
  <c r="I616" i="1"/>
  <c r="L616" i="1" s="1"/>
  <c r="H616" i="1" a="1"/>
  <c r="H616" i="1"/>
  <c r="K616" i="1" s="1"/>
  <c r="G616" i="1"/>
  <c r="J615" i="1" a="1"/>
  <c r="J615" i="1" s="1"/>
  <c r="M615" i="1" s="1"/>
  <c r="I615" i="1" a="1"/>
  <c r="I615" i="1" s="1"/>
  <c r="L615" i="1" s="1"/>
  <c r="H615" i="1" a="1"/>
  <c r="H615" i="1" s="1"/>
  <c r="K615" i="1" s="1"/>
  <c r="G615" i="1"/>
  <c r="H614" i="1" s="1" a="1"/>
  <c r="H614" i="1" s="1"/>
  <c r="I614" i="1" a="1"/>
  <c r="I614" i="1" s="1"/>
  <c r="L614" i="1" s="1"/>
  <c r="G614" i="1"/>
  <c r="I613" i="1" a="1"/>
  <c r="I613" i="1" s="1"/>
  <c r="L613" i="1" s="1"/>
  <c r="H613" i="1" a="1"/>
  <c r="H613" i="1" s="1"/>
  <c r="G613" i="1"/>
  <c r="J613" i="1" s="1" a="1"/>
  <c r="J613" i="1" s="1"/>
  <c r="L612" i="1"/>
  <c r="I612" i="1" a="1"/>
  <c r="I612" i="1" s="1"/>
  <c r="G612" i="1"/>
  <c r="J611" i="1" a="1"/>
  <c r="J611" i="1" s="1"/>
  <c r="M611" i="1" s="1"/>
  <c r="I611" i="1" a="1"/>
  <c r="I611" i="1"/>
  <c r="L611" i="1" s="1"/>
  <c r="H611" i="1" a="1"/>
  <c r="H611" i="1"/>
  <c r="K611" i="1" s="1"/>
  <c r="G611" i="1"/>
  <c r="J610" i="1" a="1"/>
  <c r="J610" i="1" s="1"/>
  <c r="M610" i="1" s="1"/>
  <c r="I610" i="1" a="1"/>
  <c r="I610" i="1"/>
  <c r="L610" i="1" s="1"/>
  <c r="H610" i="1" a="1"/>
  <c r="H610" i="1" s="1"/>
  <c r="K610" i="1" s="1"/>
  <c r="G610" i="1"/>
  <c r="J609" i="1" a="1"/>
  <c r="J609" i="1"/>
  <c r="M609" i="1" s="1"/>
  <c r="I609" i="1" a="1"/>
  <c r="I609" i="1" s="1"/>
  <c r="L609" i="1" s="1"/>
  <c r="H609" i="1" a="1"/>
  <c r="H609" i="1" s="1"/>
  <c r="K609" i="1" s="1"/>
  <c r="G609" i="1"/>
  <c r="K608" i="1"/>
  <c r="J608" i="1" a="1"/>
  <c r="J608" i="1"/>
  <c r="M608" i="1" s="1"/>
  <c r="I608" i="1" a="1"/>
  <c r="I608" i="1" s="1"/>
  <c r="L608" i="1" s="1"/>
  <c r="H608" i="1" a="1"/>
  <c r="H608" i="1" s="1"/>
  <c r="G608" i="1"/>
  <c r="I607" i="1" a="1"/>
  <c r="I607" i="1" s="1"/>
  <c r="L607" i="1" s="1"/>
  <c r="G607" i="1"/>
  <c r="H607" i="1" s="1" a="1"/>
  <c r="H607" i="1" s="1"/>
  <c r="J606" i="1" a="1"/>
  <c r="J606" i="1"/>
  <c r="M606" i="1" s="1"/>
  <c r="I606" i="1" a="1"/>
  <c r="I606" i="1" s="1"/>
  <c r="L606" i="1" s="1"/>
  <c r="H606" i="1" a="1"/>
  <c r="H606" i="1"/>
  <c r="K606" i="1" s="1"/>
  <c r="G606" i="1"/>
  <c r="I605" i="1" a="1"/>
  <c r="I605" i="1" s="1"/>
  <c r="L605" i="1" s="1"/>
  <c r="G605" i="1"/>
  <c r="J605" i="1" s="1" a="1"/>
  <c r="J605" i="1" s="1"/>
  <c r="J604" i="1" a="1"/>
  <c r="J604" i="1" s="1"/>
  <c r="M604" i="1" s="1"/>
  <c r="I604" i="1" a="1"/>
  <c r="I604" i="1" s="1"/>
  <c r="L604" i="1" s="1"/>
  <c r="H604" i="1" a="1"/>
  <c r="H604" i="1" s="1"/>
  <c r="K604" i="1" s="1"/>
  <c r="G604" i="1"/>
  <c r="L603" i="1"/>
  <c r="J603" i="1" a="1"/>
  <c r="J603" i="1" s="1"/>
  <c r="M603" i="1" s="1"/>
  <c r="I603" i="1" a="1"/>
  <c r="I603" i="1" s="1"/>
  <c r="H603" i="1" a="1"/>
  <c r="H603" i="1" s="1"/>
  <c r="K603" i="1" s="1"/>
  <c r="G603" i="1"/>
  <c r="J602" i="1" a="1"/>
  <c r="J602" i="1"/>
  <c r="M602" i="1" s="1"/>
  <c r="I602" i="1" a="1"/>
  <c r="I602" i="1" s="1"/>
  <c r="L602" i="1" s="1"/>
  <c r="H602" i="1" a="1"/>
  <c r="H602" i="1" s="1"/>
  <c r="K602" i="1" s="1"/>
  <c r="G602" i="1"/>
  <c r="M601" i="1"/>
  <c r="L601" i="1"/>
  <c r="J601" i="1" a="1"/>
  <c r="J601" i="1" s="1"/>
  <c r="I601" i="1" a="1"/>
  <c r="I601" i="1"/>
  <c r="H601" i="1" a="1"/>
  <c r="H601" i="1"/>
  <c r="K601" i="1" s="1"/>
  <c r="G601" i="1"/>
  <c r="L600" i="1"/>
  <c r="I600" i="1" a="1"/>
  <c r="I600" i="1" s="1"/>
  <c r="H600" i="1" a="1"/>
  <c r="H600" i="1" s="1"/>
  <c r="G600" i="1"/>
  <c r="J600" i="1" s="1" a="1"/>
  <c r="J600" i="1" s="1"/>
  <c r="J599" i="1" a="1"/>
  <c r="J599" i="1" s="1"/>
  <c r="M599" i="1" s="1"/>
  <c r="I599" i="1" a="1"/>
  <c r="I599" i="1" s="1"/>
  <c r="L599" i="1" s="1"/>
  <c r="H599" i="1" a="1"/>
  <c r="H599" i="1" s="1"/>
  <c r="K599" i="1" s="1"/>
  <c r="G599" i="1"/>
  <c r="J598" i="1" a="1"/>
  <c r="J598" i="1" s="1"/>
  <c r="M598" i="1" s="1"/>
  <c r="I598" i="1" a="1"/>
  <c r="I598" i="1" s="1"/>
  <c r="L598" i="1" s="1"/>
  <c r="H598" i="1" a="1"/>
  <c r="H598" i="1" s="1"/>
  <c r="K598" i="1" s="1"/>
  <c r="G598" i="1"/>
  <c r="L597" i="1"/>
  <c r="K597" i="1"/>
  <c r="J597" i="1" a="1"/>
  <c r="J597" i="1" s="1"/>
  <c r="M597" i="1" s="1"/>
  <c r="I597" i="1" a="1"/>
  <c r="I597" i="1" s="1"/>
  <c r="H597" i="1" a="1"/>
  <c r="H597" i="1"/>
  <c r="G597" i="1"/>
  <c r="K596" i="1"/>
  <c r="J596" i="1" a="1"/>
  <c r="J596" i="1"/>
  <c r="M596" i="1" s="1"/>
  <c r="I596" i="1" a="1"/>
  <c r="I596" i="1" s="1"/>
  <c r="L596" i="1" s="1"/>
  <c r="H596" i="1" a="1"/>
  <c r="H596" i="1" s="1"/>
  <c r="G596" i="1"/>
  <c r="J595" i="1" a="1"/>
  <c r="J595" i="1" s="1"/>
  <c r="M595" i="1" s="1"/>
  <c r="I595" i="1" a="1"/>
  <c r="I595" i="1" s="1"/>
  <c r="L595" i="1" s="1"/>
  <c r="H595" i="1" a="1"/>
  <c r="H595" i="1" s="1"/>
  <c r="K595" i="1" s="1"/>
  <c r="G595" i="1"/>
  <c r="L594" i="1"/>
  <c r="J594" i="1" a="1"/>
  <c r="J594" i="1" s="1"/>
  <c r="M594" i="1" s="1"/>
  <c r="I594" i="1" a="1"/>
  <c r="I594" i="1"/>
  <c r="H594" i="1" a="1"/>
  <c r="H594" i="1" s="1"/>
  <c r="K594" i="1" s="1"/>
  <c r="G594" i="1"/>
  <c r="I593" i="1" a="1"/>
  <c r="I593" i="1" s="1"/>
  <c r="L593" i="1" s="1"/>
  <c r="G593" i="1"/>
  <c r="J592" i="1" a="1"/>
  <c r="J592" i="1" s="1"/>
  <c r="M592" i="1" s="1"/>
  <c r="I592" i="1" a="1"/>
  <c r="I592" i="1"/>
  <c r="L592" i="1" s="1"/>
  <c r="H592" i="1" a="1"/>
  <c r="H592" i="1" s="1"/>
  <c r="K592" i="1" s="1"/>
  <c r="G592" i="1"/>
  <c r="I591" i="1" a="1"/>
  <c r="I591" i="1" s="1"/>
  <c r="L591" i="1" s="1"/>
  <c r="G591" i="1"/>
  <c r="J591" i="1" s="1" a="1"/>
  <c r="J591" i="1" s="1"/>
  <c r="L590" i="1"/>
  <c r="J590" i="1" a="1"/>
  <c r="J590" i="1" s="1"/>
  <c r="M590" i="1" s="1"/>
  <c r="I590" i="1" a="1"/>
  <c r="I590" i="1" s="1"/>
  <c r="H590" i="1" a="1"/>
  <c r="H590" i="1" s="1"/>
  <c r="K590" i="1" s="1"/>
  <c r="G590" i="1"/>
  <c r="M589" i="1"/>
  <c r="J589" i="1" a="1"/>
  <c r="J589" i="1"/>
  <c r="I589" i="1" a="1"/>
  <c r="I589" i="1" s="1"/>
  <c r="L589" i="1" s="1"/>
  <c r="H589" i="1" a="1"/>
  <c r="H589" i="1"/>
  <c r="K589" i="1" s="1"/>
  <c r="G589" i="1"/>
  <c r="J588" i="1" a="1"/>
  <c r="J588" i="1" s="1"/>
  <c r="I588" i="1" a="1"/>
  <c r="I588" i="1" s="1"/>
  <c r="L588" i="1" s="1"/>
  <c r="H588" i="1" a="1"/>
  <c r="H588" i="1" s="1"/>
  <c r="G588" i="1"/>
  <c r="I587" i="1" a="1"/>
  <c r="I587" i="1" s="1"/>
  <c r="L587" i="1" s="1"/>
  <c r="G587" i="1"/>
  <c r="L586" i="1"/>
  <c r="K586" i="1"/>
  <c r="J586" i="1" a="1"/>
  <c r="J586" i="1" s="1"/>
  <c r="M586" i="1" s="1"/>
  <c r="I586" i="1" a="1"/>
  <c r="I586" i="1" s="1"/>
  <c r="H586" i="1" a="1"/>
  <c r="H586" i="1" s="1"/>
  <c r="G586" i="1"/>
  <c r="J585" i="1" a="1"/>
  <c r="J585" i="1"/>
  <c r="M585" i="1" s="1"/>
  <c r="I585" i="1" a="1"/>
  <c r="I585" i="1" s="1"/>
  <c r="L585" i="1" s="1"/>
  <c r="H585" i="1" a="1"/>
  <c r="H585" i="1" s="1"/>
  <c r="K585" i="1" s="1"/>
  <c r="G585" i="1"/>
  <c r="H584" i="1" s="1" a="1"/>
  <c r="H584" i="1" s="1"/>
  <c r="I584" i="1" a="1"/>
  <c r="I584" i="1" s="1"/>
  <c r="L584" i="1" s="1"/>
  <c r="G584" i="1"/>
  <c r="J583" i="1" a="1"/>
  <c r="J583" i="1" s="1"/>
  <c r="M583" i="1" s="1"/>
  <c r="I583" i="1" a="1"/>
  <c r="I583" i="1" s="1"/>
  <c r="L583" i="1" s="1"/>
  <c r="H583" i="1" a="1"/>
  <c r="H583" i="1" s="1"/>
  <c r="K583" i="1" s="1"/>
  <c r="G583" i="1"/>
  <c r="I582" i="1" a="1"/>
  <c r="I582" i="1" s="1"/>
  <c r="L582" i="1" s="1"/>
  <c r="G582" i="1"/>
  <c r="H582" i="1" s="1" a="1"/>
  <c r="H582" i="1" s="1"/>
  <c r="J581" i="1" a="1"/>
  <c r="J581" i="1" s="1"/>
  <c r="M581" i="1" s="1"/>
  <c r="I581" i="1" a="1"/>
  <c r="I581" i="1" s="1"/>
  <c r="L581" i="1" s="1"/>
  <c r="H581" i="1" a="1"/>
  <c r="H581" i="1" s="1"/>
  <c r="K581" i="1" s="1"/>
  <c r="G581" i="1"/>
  <c r="J580" i="1" a="1"/>
  <c r="J580" i="1" s="1"/>
  <c r="M580" i="1" s="1"/>
  <c r="I580" i="1" a="1"/>
  <c r="I580" i="1" s="1"/>
  <c r="L580" i="1" s="1"/>
  <c r="H580" i="1" a="1"/>
  <c r="H580" i="1"/>
  <c r="K580" i="1" s="1"/>
  <c r="G580" i="1"/>
  <c r="J579" i="1" s="1" a="1"/>
  <c r="J579" i="1" s="1"/>
  <c r="I579" i="1" a="1"/>
  <c r="I579" i="1" s="1"/>
  <c r="L579" i="1" s="1"/>
  <c r="G579" i="1"/>
  <c r="J578" i="1" a="1"/>
  <c r="J578" i="1" s="1"/>
  <c r="M578" i="1" s="1"/>
  <c r="I578" i="1" a="1"/>
  <c r="I578" i="1" s="1"/>
  <c r="L578" i="1" s="1"/>
  <c r="H578" i="1" a="1"/>
  <c r="H578" i="1" s="1"/>
  <c r="K578" i="1" s="1"/>
  <c r="G578" i="1"/>
  <c r="J577" i="1" a="1"/>
  <c r="J577" i="1"/>
  <c r="M577" i="1" s="1"/>
  <c r="I577" i="1" a="1"/>
  <c r="I577" i="1" s="1"/>
  <c r="L577" i="1" s="1"/>
  <c r="H577" i="1" a="1"/>
  <c r="H577" i="1" s="1"/>
  <c r="K577" i="1" s="1"/>
  <c r="G577" i="1"/>
  <c r="J576" i="1" a="1"/>
  <c r="J576" i="1" s="1"/>
  <c r="M576" i="1" s="1"/>
  <c r="I576" i="1" a="1"/>
  <c r="I576" i="1" s="1"/>
  <c r="L576" i="1" s="1"/>
  <c r="H576" i="1" a="1"/>
  <c r="H576" i="1" s="1"/>
  <c r="K576" i="1" s="1"/>
  <c r="G576" i="1"/>
  <c r="J575" i="1" a="1"/>
  <c r="J575" i="1" s="1"/>
  <c r="M575" i="1" s="1"/>
  <c r="I575" i="1" a="1"/>
  <c r="I575" i="1" s="1"/>
  <c r="L575" i="1" s="1"/>
  <c r="H575" i="1" a="1"/>
  <c r="H575" i="1" s="1"/>
  <c r="K575" i="1" s="1"/>
  <c r="G575" i="1"/>
  <c r="I574" i="1" a="1"/>
  <c r="I574" i="1" s="1"/>
  <c r="L574" i="1" s="1"/>
  <c r="G574" i="1"/>
  <c r="J573" i="1" a="1"/>
  <c r="J573" i="1" s="1"/>
  <c r="M573" i="1" s="1"/>
  <c r="I573" i="1" a="1"/>
  <c r="I573" i="1" s="1"/>
  <c r="L573" i="1" s="1"/>
  <c r="H573" i="1" a="1"/>
  <c r="H573" i="1" s="1"/>
  <c r="K573" i="1" s="1"/>
  <c r="G573" i="1"/>
  <c r="I572" i="1" a="1"/>
  <c r="I572" i="1" s="1"/>
  <c r="L572" i="1" s="1"/>
  <c r="G572" i="1"/>
  <c r="J571" i="1" a="1"/>
  <c r="J571" i="1" s="1"/>
  <c r="M571" i="1" s="1"/>
  <c r="I571" i="1" a="1"/>
  <c r="I571" i="1" s="1"/>
  <c r="L571" i="1" s="1"/>
  <c r="H571" i="1" a="1"/>
  <c r="H571" i="1"/>
  <c r="K571" i="1" s="1"/>
  <c r="G571" i="1"/>
  <c r="J570" i="1" a="1"/>
  <c r="J570" i="1"/>
  <c r="M570" i="1" s="1"/>
  <c r="I570" i="1" a="1"/>
  <c r="I570" i="1" s="1"/>
  <c r="L570" i="1" s="1"/>
  <c r="H570" i="1" a="1"/>
  <c r="H570" i="1" s="1"/>
  <c r="K570" i="1" s="1"/>
  <c r="G570" i="1"/>
  <c r="J569" i="1" a="1"/>
  <c r="J569" i="1"/>
  <c r="M569" i="1" s="1"/>
  <c r="I569" i="1" a="1"/>
  <c r="I569" i="1" s="1"/>
  <c r="L569" i="1" s="1"/>
  <c r="H569" i="1" a="1"/>
  <c r="H569" i="1" s="1"/>
  <c r="K569" i="1" s="1"/>
  <c r="G569" i="1"/>
  <c r="J568" i="1" a="1"/>
  <c r="J568" i="1" s="1"/>
  <c r="M568" i="1" s="1"/>
  <c r="I568" i="1" a="1"/>
  <c r="I568" i="1"/>
  <c r="L568" i="1" s="1"/>
  <c r="H568" i="1" a="1"/>
  <c r="H568" i="1" s="1"/>
  <c r="K568" i="1" s="1"/>
  <c r="G568" i="1"/>
  <c r="J567" i="1" a="1"/>
  <c r="J567" i="1" s="1"/>
  <c r="I567" i="1" a="1"/>
  <c r="I567" i="1" s="1"/>
  <c r="L567" i="1" s="1"/>
  <c r="G567" i="1"/>
  <c r="H567" i="1" s="1" a="1"/>
  <c r="H567" i="1" s="1"/>
  <c r="J566" i="1" a="1"/>
  <c r="J566" i="1" s="1"/>
  <c r="M566" i="1" s="1"/>
  <c r="I566" i="1" a="1"/>
  <c r="I566" i="1" s="1"/>
  <c r="L566" i="1" s="1"/>
  <c r="H566" i="1" a="1"/>
  <c r="H566" i="1" s="1"/>
  <c r="K566" i="1" s="1"/>
  <c r="G566" i="1"/>
  <c r="J565" i="1" a="1"/>
  <c r="J565" i="1" s="1"/>
  <c r="M565" i="1" s="1"/>
  <c r="I565" i="1" a="1"/>
  <c r="I565" i="1" s="1"/>
  <c r="L565" i="1" s="1"/>
  <c r="H565" i="1" a="1"/>
  <c r="H565" i="1" s="1"/>
  <c r="K565" i="1" s="1"/>
  <c r="G565" i="1"/>
  <c r="H562" i="1" s="1" a="1"/>
  <c r="H562" i="1" s="1"/>
  <c r="J564" i="1" a="1"/>
  <c r="J564" i="1"/>
  <c r="M564" i="1" s="1"/>
  <c r="I564" i="1" a="1"/>
  <c r="I564" i="1"/>
  <c r="L564" i="1" s="1"/>
  <c r="H564" i="1" a="1"/>
  <c r="H564" i="1" s="1"/>
  <c r="K564" i="1" s="1"/>
  <c r="G564" i="1"/>
  <c r="J563" i="1" a="1"/>
  <c r="J563" i="1" s="1"/>
  <c r="M563" i="1" s="1"/>
  <c r="I563" i="1" a="1"/>
  <c r="I563" i="1" s="1"/>
  <c r="L563" i="1" s="1"/>
  <c r="H563" i="1" a="1"/>
  <c r="H563" i="1" s="1"/>
  <c r="K563" i="1" s="1"/>
  <c r="G563" i="1"/>
  <c r="I562" i="1" a="1"/>
  <c r="I562" i="1" s="1"/>
  <c r="L562" i="1" s="1"/>
  <c r="G562" i="1"/>
  <c r="M561" i="1"/>
  <c r="L561" i="1"/>
  <c r="J561" i="1" a="1"/>
  <c r="J561" i="1" s="1"/>
  <c r="I561" i="1" a="1"/>
  <c r="I561" i="1" s="1"/>
  <c r="H561" i="1" a="1"/>
  <c r="H561" i="1"/>
  <c r="K561" i="1" s="1"/>
  <c r="G561" i="1"/>
  <c r="K560" i="1"/>
  <c r="J560" i="1" a="1"/>
  <c r="J560" i="1" s="1"/>
  <c r="M560" i="1" s="1"/>
  <c r="I560" i="1" a="1"/>
  <c r="I560" i="1" s="1"/>
  <c r="L560" i="1" s="1"/>
  <c r="H560" i="1" a="1"/>
  <c r="H560" i="1" s="1"/>
  <c r="G560" i="1"/>
  <c r="J559" i="1" a="1"/>
  <c r="J559" i="1"/>
  <c r="M559" i="1" s="1"/>
  <c r="I559" i="1" a="1"/>
  <c r="I559" i="1" s="1"/>
  <c r="L559" i="1" s="1"/>
  <c r="H559" i="1" a="1"/>
  <c r="H559" i="1" s="1"/>
  <c r="K559" i="1" s="1"/>
  <c r="G559" i="1"/>
  <c r="J558" i="1" a="1"/>
  <c r="J558" i="1" s="1"/>
  <c r="M558" i="1" s="1"/>
  <c r="I558" i="1" a="1"/>
  <c r="I558" i="1" s="1"/>
  <c r="L558" i="1" s="1"/>
  <c r="H558" i="1" a="1"/>
  <c r="H558" i="1" s="1"/>
  <c r="K558" i="1" s="1"/>
  <c r="G558" i="1"/>
  <c r="I557" i="1" a="1"/>
  <c r="I557" i="1" s="1"/>
  <c r="L557" i="1" s="1"/>
  <c r="G557" i="1"/>
  <c r="J556" i="1" a="1"/>
  <c r="J556" i="1" s="1"/>
  <c r="M556" i="1" s="1"/>
  <c r="I556" i="1" a="1"/>
  <c r="I556" i="1" s="1"/>
  <c r="L556" i="1" s="1"/>
  <c r="H556" i="1" a="1"/>
  <c r="H556" i="1" s="1"/>
  <c r="K556" i="1" s="1"/>
  <c r="G556" i="1"/>
  <c r="L555" i="1"/>
  <c r="J555" i="1" a="1"/>
  <c r="J555" i="1" s="1"/>
  <c r="M555" i="1" s="1"/>
  <c r="I555" i="1" a="1"/>
  <c r="I555" i="1" s="1"/>
  <c r="H555" i="1" a="1"/>
  <c r="H555" i="1" s="1"/>
  <c r="K555" i="1" s="1"/>
  <c r="G555" i="1"/>
  <c r="J554" i="1" a="1"/>
  <c r="J554" i="1"/>
  <c r="M554" i="1" s="1"/>
  <c r="I554" i="1" a="1"/>
  <c r="I554" i="1" s="1"/>
  <c r="L554" i="1" s="1"/>
  <c r="H554" i="1" a="1"/>
  <c r="H554" i="1" s="1"/>
  <c r="K554" i="1" s="1"/>
  <c r="G554" i="1"/>
  <c r="I553" i="1" a="1"/>
  <c r="I553" i="1" s="1"/>
  <c r="L553" i="1" s="1"/>
  <c r="G553" i="1"/>
  <c r="J552" i="1" a="1"/>
  <c r="J552" i="1" s="1"/>
  <c r="M552" i="1" s="1"/>
  <c r="I552" i="1" a="1"/>
  <c r="I552" i="1" s="1"/>
  <c r="L552" i="1" s="1"/>
  <c r="H552" i="1" a="1"/>
  <c r="H552" i="1" s="1"/>
  <c r="K552" i="1" s="1"/>
  <c r="G552" i="1"/>
  <c r="J551" i="1" a="1"/>
  <c r="J551" i="1" s="1"/>
  <c r="M551" i="1" s="1"/>
  <c r="I551" i="1" a="1"/>
  <c r="I551" i="1" s="1"/>
  <c r="L551" i="1" s="1"/>
  <c r="H551" i="1" a="1"/>
  <c r="H551" i="1" s="1"/>
  <c r="K551" i="1" s="1"/>
  <c r="G551" i="1"/>
  <c r="J550" i="1" a="1"/>
  <c r="J550" i="1" s="1"/>
  <c r="M550" i="1" s="1"/>
  <c r="I550" i="1" a="1"/>
  <c r="I550" i="1" s="1"/>
  <c r="L550" i="1" s="1"/>
  <c r="H550" i="1" a="1"/>
  <c r="H550" i="1" s="1"/>
  <c r="K550" i="1" s="1"/>
  <c r="G550" i="1"/>
  <c r="J549" i="1" a="1"/>
  <c r="J549" i="1" s="1"/>
  <c r="M549" i="1" s="1"/>
  <c r="I549" i="1" a="1"/>
  <c r="I549" i="1" s="1"/>
  <c r="L549" i="1" s="1"/>
  <c r="H549" i="1" a="1"/>
  <c r="H549" i="1" s="1"/>
  <c r="K549" i="1" s="1"/>
  <c r="G549" i="1"/>
  <c r="J548" i="1" a="1"/>
  <c r="J548" i="1" s="1"/>
  <c r="M548" i="1" s="1"/>
  <c r="I548" i="1" a="1"/>
  <c r="I548" i="1" s="1"/>
  <c r="L548" i="1" s="1"/>
  <c r="H548" i="1" a="1"/>
  <c r="H548" i="1" s="1"/>
  <c r="K548" i="1" s="1"/>
  <c r="G548" i="1"/>
  <c r="I547" i="1" a="1"/>
  <c r="I547" i="1" s="1"/>
  <c r="L547" i="1" s="1"/>
  <c r="G547" i="1"/>
  <c r="J546" i="1" a="1"/>
  <c r="J546" i="1" s="1"/>
  <c r="M546" i="1" s="1"/>
  <c r="I546" i="1" a="1"/>
  <c r="I546" i="1" s="1"/>
  <c r="L546" i="1" s="1"/>
  <c r="H546" i="1" a="1"/>
  <c r="H546" i="1" s="1"/>
  <c r="K546" i="1" s="1"/>
  <c r="G546" i="1"/>
  <c r="J545" i="1" a="1"/>
  <c r="J545" i="1" s="1"/>
  <c r="M545" i="1" s="1"/>
  <c r="I545" i="1" a="1"/>
  <c r="I545" i="1" s="1"/>
  <c r="L545" i="1" s="1"/>
  <c r="H545" i="1" a="1"/>
  <c r="H545" i="1" s="1"/>
  <c r="K545" i="1" s="1"/>
  <c r="G545" i="1"/>
  <c r="J544" i="1" a="1"/>
  <c r="J544" i="1" s="1"/>
  <c r="M544" i="1" s="1"/>
  <c r="I544" i="1" a="1"/>
  <c r="I544" i="1" s="1"/>
  <c r="L544" i="1" s="1"/>
  <c r="H544" i="1" a="1"/>
  <c r="H544" i="1" s="1"/>
  <c r="K544" i="1" s="1"/>
  <c r="G544" i="1"/>
  <c r="J543" i="1" a="1"/>
  <c r="J543" i="1" s="1"/>
  <c r="M543" i="1" s="1"/>
  <c r="I543" i="1" a="1"/>
  <c r="I543" i="1" s="1"/>
  <c r="L543" i="1" s="1"/>
  <c r="H543" i="1" a="1"/>
  <c r="H543" i="1" s="1"/>
  <c r="K543" i="1" s="1"/>
  <c r="G543" i="1"/>
  <c r="I542" i="1" a="1"/>
  <c r="I542" i="1" s="1"/>
  <c r="L542" i="1" s="1"/>
  <c r="G542" i="1"/>
  <c r="J541" i="1" a="1"/>
  <c r="J541" i="1" s="1"/>
  <c r="M541" i="1" s="1"/>
  <c r="I541" i="1" a="1"/>
  <c r="I541" i="1" s="1"/>
  <c r="L541" i="1" s="1"/>
  <c r="H541" i="1" a="1"/>
  <c r="H541" i="1" s="1"/>
  <c r="K541" i="1" s="1"/>
  <c r="G541" i="1"/>
  <c r="L540" i="1"/>
  <c r="I540" i="1" a="1"/>
  <c r="I540" i="1" s="1"/>
  <c r="H540" i="1" a="1"/>
  <c r="H540" i="1" s="1"/>
  <c r="G540" i="1"/>
  <c r="J540" i="1" s="1" a="1"/>
  <c r="J540" i="1" s="1"/>
  <c r="J539" i="1" a="1"/>
  <c r="J539" i="1" s="1"/>
  <c r="M539" i="1" s="1"/>
  <c r="I539" i="1" a="1"/>
  <c r="I539" i="1" s="1"/>
  <c r="L539" i="1" s="1"/>
  <c r="H539" i="1" a="1"/>
  <c r="H539" i="1"/>
  <c r="K539" i="1" s="1"/>
  <c r="G539" i="1"/>
  <c r="M538" i="1"/>
  <c r="J538" i="1" a="1"/>
  <c r="J538" i="1"/>
  <c r="I538" i="1" a="1"/>
  <c r="I538" i="1" s="1"/>
  <c r="L538" i="1" s="1"/>
  <c r="H538" i="1" a="1"/>
  <c r="H538" i="1" s="1"/>
  <c r="K538" i="1" s="1"/>
  <c r="G538" i="1"/>
  <c r="I537" i="1" a="1"/>
  <c r="I537" i="1"/>
  <c r="L537" i="1" s="1"/>
  <c r="G537" i="1"/>
  <c r="J536" i="1" a="1"/>
  <c r="J536" i="1" s="1"/>
  <c r="M536" i="1" s="1"/>
  <c r="I536" i="1" a="1"/>
  <c r="I536" i="1" s="1"/>
  <c r="L536" i="1" s="1"/>
  <c r="H536" i="1" a="1"/>
  <c r="H536" i="1" s="1"/>
  <c r="K536" i="1" s="1"/>
  <c r="G536" i="1"/>
  <c r="J535" i="1" a="1"/>
  <c r="J535" i="1"/>
  <c r="M535" i="1" s="1"/>
  <c r="I535" i="1" a="1"/>
  <c r="I535" i="1" s="1"/>
  <c r="L535" i="1" s="1"/>
  <c r="H535" i="1" a="1"/>
  <c r="H535" i="1"/>
  <c r="K535" i="1" s="1"/>
  <c r="G535" i="1"/>
  <c r="L534" i="1"/>
  <c r="J534" i="1" a="1"/>
  <c r="J534" i="1" s="1"/>
  <c r="M534" i="1" s="1"/>
  <c r="I534" i="1" a="1"/>
  <c r="I534" i="1"/>
  <c r="H534" i="1" a="1"/>
  <c r="H534" i="1" s="1"/>
  <c r="K534" i="1" s="1"/>
  <c r="G534" i="1"/>
  <c r="I533" i="1" a="1"/>
  <c r="I533" i="1" s="1"/>
  <c r="L533" i="1" s="1"/>
  <c r="G533" i="1"/>
  <c r="I532" i="1" a="1"/>
  <c r="I532" i="1" s="1"/>
  <c r="L532" i="1" s="1"/>
  <c r="G532" i="1"/>
  <c r="H532" i="1" s="1" a="1"/>
  <c r="H532" i="1" s="1"/>
  <c r="J531" i="1" a="1"/>
  <c r="J531" i="1" s="1"/>
  <c r="M531" i="1" s="1"/>
  <c r="I531" i="1" a="1"/>
  <c r="I531" i="1"/>
  <c r="L531" i="1" s="1"/>
  <c r="H531" i="1" a="1"/>
  <c r="H531" i="1" s="1"/>
  <c r="K531" i="1" s="1"/>
  <c r="G531" i="1"/>
  <c r="I530" i="1" a="1"/>
  <c r="I530" i="1"/>
  <c r="L530" i="1" s="1"/>
  <c r="G530" i="1"/>
  <c r="J529" i="1" a="1"/>
  <c r="J529" i="1"/>
  <c r="M529" i="1" s="1"/>
  <c r="I529" i="1" a="1"/>
  <c r="I529" i="1" s="1"/>
  <c r="L529" i="1" s="1"/>
  <c r="H529" i="1" a="1"/>
  <c r="H529" i="1"/>
  <c r="K529" i="1" s="1"/>
  <c r="G529" i="1"/>
  <c r="J528" i="1" a="1"/>
  <c r="J528" i="1" s="1"/>
  <c r="M528" i="1" s="1"/>
  <c r="I528" i="1" a="1"/>
  <c r="I528" i="1" s="1"/>
  <c r="L528" i="1" s="1"/>
  <c r="H528" i="1" a="1"/>
  <c r="H528" i="1" s="1"/>
  <c r="K528" i="1" s="1"/>
  <c r="G528" i="1"/>
  <c r="J527" i="1" a="1"/>
  <c r="J527" i="1" s="1"/>
  <c r="M527" i="1" s="1"/>
  <c r="I527" i="1" a="1"/>
  <c r="I527" i="1"/>
  <c r="L527" i="1" s="1"/>
  <c r="H527" i="1" a="1"/>
  <c r="H527" i="1" s="1"/>
  <c r="K527" i="1" s="1"/>
  <c r="G527" i="1"/>
  <c r="J526" i="1" a="1"/>
  <c r="J526" i="1" s="1"/>
  <c r="M526" i="1" s="1"/>
  <c r="I526" i="1" a="1"/>
  <c r="I526" i="1" s="1"/>
  <c r="L526" i="1" s="1"/>
  <c r="H526" i="1" a="1"/>
  <c r="H526" i="1" s="1"/>
  <c r="K526" i="1" s="1"/>
  <c r="G526" i="1"/>
  <c r="M525" i="1"/>
  <c r="J525" i="1" a="1"/>
  <c r="J525" i="1" s="1"/>
  <c r="I525" i="1" a="1"/>
  <c r="I525" i="1" s="1"/>
  <c r="L525" i="1" s="1"/>
  <c r="H525" i="1" a="1"/>
  <c r="H525" i="1" s="1"/>
  <c r="K525" i="1" s="1"/>
  <c r="G525" i="1"/>
  <c r="J524" i="1" a="1"/>
  <c r="J524" i="1" s="1"/>
  <c r="M524" i="1" s="1"/>
  <c r="I524" i="1" a="1"/>
  <c r="I524" i="1"/>
  <c r="L524" i="1" s="1"/>
  <c r="H524" i="1" a="1"/>
  <c r="H524" i="1"/>
  <c r="K524" i="1" s="1"/>
  <c r="G524" i="1"/>
  <c r="J523" i="1" a="1"/>
  <c r="J523" i="1" s="1"/>
  <c r="M523" i="1" s="1"/>
  <c r="I523" i="1" a="1"/>
  <c r="I523" i="1"/>
  <c r="L523" i="1" s="1"/>
  <c r="H523" i="1" a="1"/>
  <c r="H523" i="1" s="1"/>
  <c r="K523" i="1" s="1"/>
  <c r="G523" i="1"/>
  <c r="J522" i="1" a="1"/>
  <c r="J522" i="1" s="1"/>
  <c r="M522" i="1" s="1"/>
  <c r="I522" i="1" a="1"/>
  <c r="I522" i="1"/>
  <c r="L522" i="1" s="1"/>
  <c r="H522" i="1" a="1"/>
  <c r="H522" i="1"/>
  <c r="K522" i="1" s="1"/>
  <c r="G522" i="1"/>
  <c r="J521" i="1" a="1"/>
  <c r="J521" i="1" s="1"/>
  <c r="M521" i="1" s="1"/>
  <c r="I521" i="1" a="1"/>
  <c r="I521" i="1" s="1"/>
  <c r="L521" i="1" s="1"/>
  <c r="H521" i="1" a="1"/>
  <c r="H521" i="1"/>
  <c r="K521" i="1" s="1"/>
  <c r="G521" i="1"/>
  <c r="J520" i="1" a="1"/>
  <c r="J520" i="1" s="1"/>
  <c r="M520" i="1" s="1"/>
  <c r="I520" i="1" a="1"/>
  <c r="I520" i="1" s="1"/>
  <c r="L520" i="1" s="1"/>
  <c r="H520" i="1" a="1"/>
  <c r="H520" i="1" s="1"/>
  <c r="K520" i="1" s="1"/>
  <c r="G520" i="1"/>
  <c r="I519" i="1" a="1"/>
  <c r="I519" i="1" s="1"/>
  <c r="L519" i="1" s="1"/>
  <c r="G519" i="1"/>
  <c r="J518" i="1" a="1"/>
  <c r="J518" i="1" s="1"/>
  <c r="M518" i="1" s="1"/>
  <c r="I518" i="1" a="1"/>
  <c r="I518" i="1" s="1"/>
  <c r="L518" i="1" s="1"/>
  <c r="H518" i="1" a="1"/>
  <c r="H518" i="1"/>
  <c r="K518" i="1" s="1"/>
  <c r="G518" i="1"/>
  <c r="J517" i="1" a="1"/>
  <c r="J517" i="1" s="1"/>
  <c r="M517" i="1" s="1"/>
  <c r="I517" i="1" a="1"/>
  <c r="I517" i="1"/>
  <c r="L517" i="1" s="1"/>
  <c r="H517" i="1" a="1"/>
  <c r="H517" i="1" s="1"/>
  <c r="K517" i="1" s="1"/>
  <c r="G517" i="1"/>
  <c r="J516" i="1" a="1"/>
  <c r="J516" i="1" s="1"/>
  <c r="M516" i="1" s="1"/>
  <c r="I516" i="1" a="1"/>
  <c r="I516" i="1" s="1"/>
  <c r="L516" i="1" s="1"/>
  <c r="H516" i="1" a="1"/>
  <c r="H516" i="1" s="1"/>
  <c r="K516" i="1" s="1"/>
  <c r="G516" i="1"/>
  <c r="J515" i="1" a="1"/>
  <c r="J515" i="1" s="1"/>
  <c r="M515" i="1" s="1"/>
  <c r="I515" i="1" a="1"/>
  <c r="I515" i="1" s="1"/>
  <c r="L515" i="1" s="1"/>
  <c r="H515" i="1" a="1"/>
  <c r="H515" i="1"/>
  <c r="K515" i="1" s="1"/>
  <c r="G515" i="1"/>
  <c r="J514" i="1" a="1"/>
  <c r="J514" i="1"/>
  <c r="M514" i="1" s="1"/>
  <c r="I514" i="1" a="1"/>
  <c r="I514" i="1" s="1"/>
  <c r="L514" i="1" s="1"/>
  <c r="H514" i="1" a="1"/>
  <c r="H514" i="1" s="1"/>
  <c r="K514" i="1" s="1"/>
  <c r="G514" i="1"/>
  <c r="I513" i="1" a="1"/>
  <c r="I513" i="1" s="1"/>
  <c r="L513" i="1" s="1"/>
  <c r="G513" i="1"/>
  <c r="L512" i="1"/>
  <c r="J512" i="1" a="1"/>
  <c r="J512" i="1" s="1"/>
  <c r="M512" i="1" s="1"/>
  <c r="I512" i="1" a="1"/>
  <c r="I512" i="1"/>
  <c r="H512" i="1" a="1"/>
  <c r="H512" i="1"/>
  <c r="K512" i="1" s="1"/>
  <c r="G512" i="1"/>
  <c r="J511" i="1" a="1"/>
  <c r="J511" i="1"/>
  <c r="M511" i="1" s="1"/>
  <c r="I511" i="1" a="1"/>
  <c r="I511" i="1" s="1"/>
  <c r="L511" i="1" s="1"/>
  <c r="H511" i="1" a="1"/>
  <c r="H511" i="1" s="1"/>
  <c r="K511" i="1" s="1"/>
  <c r="G511" i="1"/>
  <c r="J510" i="1" a="1"/>
  <c r="J510" i="1" s="1"/>
  <c r="M510" i="1" s="1"/>
  <c r="I510" i="1" a="1"/>
  <c r="I510" i="1"/>
  <c r="L510" i="1" s="1"/>
  <c r="H510" i="1" a="1"/>
  <c r="H510" i="1" s="1"/>
  <c r="K510" i="1" s="1"/>
  <c r="G510" i="1"/>
  <c r="M509" i="1"/>
  <c r="J509" i="1" a="1"/>
  <c r="J509" i="1" s="1"/>
  <c r="I509" i="1" a="1"/>
  <c r="I509" i="1"/>
  <c r="L509" i="1" s="1"/>
  <c r="H509" i="1" a="1"/>
  <c r="H509" i="1" s="1"/>
  <c r="K509" i="1" s="1"/>
  <c r="G509" i="1"/>
  <c r="L508" i="1"/>
  <c r="I508" i="1" a="1"/>
  <c r="I508" i="1" s="1"/>
  <c r="G508" i="1"/>
  <c r="K507" i="1"/>
  <c r="J507" i="1" a="1"/>
  <c r="J507" i="1" s="1"/>
  <c r="M507" i="1" s="1"/>
  <c r="I507" i="1" a="1"/>
  <c r="I507" i="1"/>
  <c r="L507" i="1" s="1"/>
  <c r="H507" i="1" a="1"/>
  <c r="H507" i="1" s="1"/>
  <c r="G507" i="1"/>
  <c r="J506" i="1" a="1"/>
  <c r="J506" i="1" s="1"/>
  <c r="M506" i="1" s="1"/>
  <c r="I506" i="1" a="1"/>
  <c r="I506" i="1" s="1"/>
  <c r="L506" i="1" s="1"/>
  <c r="H506" i="1" a="1"/>
  <c r="H506" i="1" s="1"/>
  <c r="K506" i="1" s="1"/>
  <c r="G506" i="1"/>
  <c r="J505" i="1" a="1"/>
  <c r="J505" i="1" s="1"/>
  <c r="M505" i="1" s="1"/>
  <c r="I505" i="1" a="1"/>
  <c r="I505" i="1" s="1"/>
  <c r="L505" i="1" s="1"/>
  <c r="H505" i="1" a="1"/>
  <c r="H505" i="1" s="1"/>
  <c r="K505" i="1" s="1"/>
  <c r="G505" i="1"/>
  <c r="J504" i="1" a="1"/>
  <c r="J504" i="1" s="1"/>
  <c r="M504" i="1" s="1"/>
  <c r="I504" i="1" a="1"/>
  <c r="I504" i="1" s="1"/>
  <c r="L504" i="1" s="1"/>
  <c r="H504" i="1" a="1"/>
  <c r="H504" i="1"/>
  <c r="K504" i="1" s="1"/>
  <c r="G504" i="1"/>
  <c r="J503" i="1" a="1"/>
  <c r="J503" i="1" s="1"/>
  <c r="M503" i="1" s="1"/>
  <c r="I503" i="1" a="1"/>
  <c r="I503" i="1" s="1"/>
  <c r="L503" i="1" s="1"/>
  <c r="H503" i="1" a="1"/>
  <c r="H503" i="1"/>
  <c r="K503" i="1" s="1"/>
  <c r="G503" i="1"/>
  <c r="L502" i="1"/>
  <c r="J502" i="1" a="1"/>
  <c r="J502" i="1" s="1"/>
  <c r="M502" i="1" s="1"/>
  <c r="I502" i="1" a="1"/>
  <c r="I502" i="1" s="1"/>
  <c r="H502" i="1" a="1"/>
  <c r="H502" i="1" s="1"/>
  <c r="K502" i="1" s="1"/>
  <c r="G502" i="1"/>
  <c r="J501" i="1" a="1"/>
  <c r="J501" i="1" s="1"/>
  <c r="M501" i="1" s="1"/>
  <c r="I501" i="1" a="1"/>
  <c r="I501" i="1" s="1"/>
  <c r="L501" i="1" s="1"/>
  <c r="H501" i="1" a="1"/>
  <c r="H501" i="1" s="1"/>
  <c r="K501" i="1" s="1"/>
  <c r="G501" i="1"/>
  <c r="J500" i="1" a="1"/>
  <c r="J500" i="1" s="1"/>
  <c r="M500" i="1" s="1"/>
  <c r="I500" i="1" a="1"/>
  <c r="I500" i="1" s="1"/>
  <c r="L500" i="1" s="1"/>
  <c r="H500" i="1" a="1"/>
  <c r="H500" i="1"/>
  <c r="K500" i="1" s="1"/>
  <c r="G500" i="1"/>
  <c r="I499" i="1" a="1"/>
  <c r="I499" i="1" s="1"/>
  <c r="L499" i="1" s="1"/>
  <c r="G499" i="1"/>
  <c r="J498" i="1" a="1"/>
  <c r="J498" i="1"/>
  <c r="M498" i="1" s="1"/>
  <c r="I498" i="1" a="1"/>
  <c r="I498" i="1" s="1"/>
  <c r="L498" i="1" s="1"/>
  <c r="H498" i="1" a="1"/>
  <c r="H498" i="1"/>
  <c r="K498" i="1" s="1"/>
  <c r="G498" i="1"/>
  <c r="I497" i="1" a="1"/>
  <c r="I497" i="1" s="1"/>
  <c r="L497" i="1" s="1"/>
  <c r="G497" i="1"/>
  <c r="J497" i="1" s="1" a="1"/>
  <c r="J497" i="1" s="1"/>
  <c r="J496" i="1" a="1"/>
  <c r="J496" i="1" s="1"/>
  <c r="M496" i="1" s="1"/>
  <c r="I496" i="1" a="1"/>
  <c r="I496" i="1" s="1"/>
  <c r="L496" i="1" s="1"/>
  <c r="H496" i="1" a="1"/>
  <c r="H496" i="1" s="1"/>
  <c r="K496" i="1" s="1"/>
  <c r="G496" i="1"/>
  <c r="I495" i="1" a="1"/>
  <c r="I495" i="1" s="1"/>
  <c r="L495" i="1" s="1"/>
  <c r="G495" i="1"/>
  <c r="J494" i="1" a="1"/>
  <c r="J494" i="1" s="1"/>
  <c r="I494" i="1" a="1"/>
  <c r="I494" i="1" s="1"/>
  <c r="L494" i="1" s="1"/>
  <c r="G494" i="1"/>
  <c r="H494" i="1" s="1" a="1"/>
  <c r="H494" i="1" s="1"/>
  <c r="J493" i="1" a="1"/>
  <c r="J493" i="1" s="1"/>
  <c r="M493" i="1" s="1"/>
  <c r="I493" i="1" a="1"/>
  <c r="I493" i="1" s="1"/>
  <c r="L493" i="1" s="1"/>
  <c r="H493" i="1" a="1"/>
  <c r="H493" i="1" s="1"/>
  <c r="K493" i="1" s="1"/>
  <c r="G493" i="1"/>
  <c r="M492" i="1"/>
  <c r="J492" i="1" a="1"/>
  <c r="J492" i="1" s="1"/>
  <c r="I492" i="1" a="1"/>
  <c r="I492" i="1"/>
  <c r="L492" i="1" s="1"/>
  <c r="H492" i="1" a="1"/>
  <c r="H492" i="1" s="1"/>
  <c r="K492" i="1" s="1"/>
  <c r="G492" i="1"/>
  <c r="J491" i="1" a="1"/>
  <c r="J491" i="1" s="1"/>
  <c r="M491" i="1" s="1"/>
  <c r="I491" i="1" a="1"/>
  <c r="I491" i="1" s="1"/>
  <c r="L491" i="1" s="1"/>
  <c r="H491" i="1" a="1"/>
  <c r="H491" i="1"/>
  <c r="K491" i="1" s="1"/>
  <c r="G491" i="1"/>
  <c r="I490" i="1" a="1"/>
  <c r="I490" i="1" s="1"/>
  <c r="L490" i="1" s="1"/>
  <c r="G490" i="1"/>
  <c r="J489" i="1" a="1"/>
  <c r="J489" i="1" s="1"/>
  <c r="M489" i="1" s="1"/>
  <c r="I489" i="1" a="1"/>
  <c r="I489" i="1" s="1"/>
  <c r="L489" i="1" s="1"/>
  <c r="H489" i="1" a="1"/>
  <c r="H489" i="1" s="1"/>
  <c r="K489" i="1" s="1"/>
  <c r="G489" i="1"/>
  <c r="K488" i="1"/>
  <c r="J488" i="1" a="1"/>
  <c r="J488" i="1" s="1"/>
  <c r="M488" i="1" s="1"/>
  <c r="I488" i="1" a="1"/>
  <c r="I488" i="1"/>
  <c r="L488" i="1" s="1"/>
  <c r="H488" i="1" a="1"/>
  <c r="H488" i="1"/>
  <c r="G488" i="1"/>
  <c r="J487" i="1" a="1"/>
  <c r="J487" i="1" s="1"/>
  <c r="M487" i="1" s="1"/>
  <c r="I487" i="1" a="1"/>
  <c r="I487" i="1" s="1"/>
  <c r="L487" i="1" s="1"/>
  <c r="H487" i="1" a="1"/>
  <c r="H487" i="1"/>
  <c r="K487" i="1" s="1"/>
  <c r="G487" i="1"/>
  <c r="J486" i="1" a="1"/>
  <c r="J486" i="1" s="1"/>
  <c r="M486" i="1" s="1"/>
  <c r="I486" i="1" a="1"/>
  <c r="I486" i="1" s="1"/>
  <c r="L486" i="1" s="1"/>
  <c r="H486" i="1" a="1"/>
  <c r="H486" i="1" s="1"/>
  <c r="K486" i="1" s="1"/>
  <c r="G486" i="1"/>
  <c r="I485" i="1" a="1"/>
  <c r="I485" i="1" s="1"/>
  <c r="L485" i="1" s="1"/>
  <c r="G485" i="1"/>
  <c r="J484" i="1" a="1"/>
  <c r="J484" i="1"/>
  <c r="M484" i="1" s="1"/>
  <c r="I484" i="1" a="1"/>
  <c r="I484" i="1" s="1"/>
  <c r="L484" i="1" s="1"/>
  <c r="H484" i="1" a="1"/>
  <c r="H484" i="1" s="1"/>
  <c r="K484" i="1" s="1"/>
  <c r="G484" i="1"/>
  <c r="J483" i="1" a="1"/>
  <c r="J483" i="1" s="1"/>
  <c r="M483" i="1" s="1"/>
  <c r="I483" i="1" a="1"/>
  <c r="I483" i="1" s="1"/>
  <c r="L483" i="1" s="1"/>
  <c r="H483" i="1" a="1"/>
  <c r="H483" i="1" s="1"/>
  <c r="K483" i="1" s="1"/>
  <c r="G483" i="1"/>
  <c r="J482" i="1" a="1"/>
  <c r="J482" i="1" s="1"/>
  <c r="M482" i="1" s="1"/>
  <c r="I482" i="1" a="1"/>
  <c r="I482" i="1" s="1"/>
  <c r="L482" i="1" s="1"/>
  <c r="H482" i="1" a="1"/>
  <c r="H482" i="1" s="1"/>
  <c r="K482" i="1" s="1"/>
  <c r="G482" i="1"/>
  <c r="J481" i="1" a="1"/>
  <c r="J481" i="1" s="1"/>
  <c r="M481" i="1" s="1"/>
  <c r="I481" i="1" a="1"/>
  <c r="I481" i="1" s="1"/>
  <c r="L481" i="1" s="1"/>
  <c r="H481" i="1" a="1"/>
  <c r="H481" i="1"/>
  <c r="K481" i="1" s="1"/>
  <c r="G481" i="1"/>
  <c r="J480" i="1" a="1"/>
  <c r="J480" i="1" s="1"/>
  <c r="M480" i="1" s="1"/>
  <c r="I480" i="1" a="1"/>
  <c r="I480" i="1" s="1"/>
  <c r="L480" i="1" s="1"/>
  <c r="H480" i="1" a="1"/>
  <c r="H480" i="1" s="1"/>
  <c r="K480" i="1" s="1"/>
  <c r="G480" i="1"/>
  <c r="J479" i="1" a="1"/>
  <c r="J479" i="1" s="1"/>
  <c r="M479" i="1" s="1"/>
  <c r="I479" i="1" a="1"/>
  <c r="I479" i="1" s="1"/>
  <c r="L479" i="1" s="1"/>
  <c r="H479" i="1" a="1"/>
  <c r="H479" i="1" s="1"/>
  <c r="K479" i="1" s="1"/>
  <c r="G479" i="1"/>
  <c r="I478" i="1" a="1"/>
  <c r="I478" i="1" s="1"/>
  <c r="L478" i="1" s="1"/>
  <c r="G478" i="1"/>
  <c r="L477" i="1"/>
  <c r="J477" i="1" a="1"/>
  <c r="J477" i="1"/>
  <c r="M477" i="1" s="1"/>
  <c r="I477" i="1" a="1"/>
  <c r="I477" i="1" s="1"/>
  <c r="H477" i="1" a="1"/>
  <c r="H477" i="1" s="1"/>
  <c r="K477" i="1" s="1"/>
  <c r="G477" i="1"/>
  <c r="J476" i="1" a="1"/>
  <c r="J476" i="1" s="1"/>
  <c r="M476" i="1" s="1"/>
  <c r="I476" i="1" a="1"/>
  <c r="I476" i="1"/>
  <c r="L476" i="1" s="1"/>
  <c r="H476" i="1" a="1"/>
  <c r="H476" i="1" s="1"/>
  <c r="K476" i="1" s="1"/>
  <c r="G476" i="1"/>
  <c r="I475" i="1" a="1"/>
  <c r="I475" i="1" s="1"/>
  <c r="L475" i="1" s="1"/>
  <c r="G475" i="1"/>
  <c r="J474" i="1" a="1"/>
  <c r="J474" i="1" s="1"/>
  <c r="M474" i="1" s="1"/>
  <c r="I474" i="1" a="1"/>
  <c r="I474" i="1" s="1"/>
  <c r="L474" i="1" s="1"/>
  <c r="H474" i="1" a="1"/>
  <c r="H474" i="1"/>
  <c r="K474" i="1" s="1"/>
  <c r="G474" i="1"/>
  <c r="J473" i="1" a="1"/>
  <c r="J473" i="1" s="1"/>
  <c r="M473" i="1" s="1"/>
  <c r="I473" i="1" a="1"/>
  <c r="I473" i="1"/>
  <c r="L473" i="1" s="1"/>
  <c r="H473" i="1" a="1"/>
  <c r="H473" i="1" s="1"/>
  <c r="K473" i="1" s="1"/>
  <c r="G473" i="1"/>
  <c r="J472" i="1" a="1"/>
  <c r="J472" i="1" s="1"/>
  <c r="M472" i="1" s="1"/>
  <c r="I472" i="1" a="1"/>
  <c r="I472" i="1" s="1"/>
  <c r="L472" i="1" s="1"/>
  <c r="H472" i="1" a="1"/>
  <c r="H472" i="1" s="1"/>
  <c r="K472" i="1" s="1"/>
  <c r="G472" i="1"/>
  <c r="I471" i="1" a="1"/>
  <c r="I471" i="1" s="1"/>
  <c r="L471" i="1" s="1"/>
  <c r="G471" i="1"/>
  <c r="M470" i="1"/>
  <c r="J470" i="1" a="1"/>
  <c r="J470" i="1" s="1"/>
  <c r="I470" i="1" a="1"/>
  <c r="I470" i="1" s="1"/>
  <c r="L470" i="1" s="1"/>
  <c r="H470" i="1" a="1"/>
  <c r="H470" i="1" s="1"/>
  <c r="K470" i="1" s="1"/>
  <c r="G470" i="1"/>
  <c r="J469" i="1" a="1"/>
  <c r="J469" i="1"/>
  <c r="M469" i="1" s="1"/>
  <c r="I469" i="1" a="1"/>
  <c r="I469" i="1" s="1"/>
  <c r="L469" i="1" s="1"/>
  <c r="H469" i="1" a="1"/>
  <c r="H469" i="1"/>
  <c r="K469" i="1" s="1"/>
  <c r="G469" i="1"/>
  <c r="I468" i="1" a="1"/>
  <c r="I468" i="1" s="1"/>
  <c r="L468" i="1" s="1"/>
  <c r="H468" i="1" a="1"/>
  <c r="H468" i="1" s="1"/>
  <c r="G468" i="1"/>
  <c r="J467" i="1" a="1"/>
  <c r="J467" i="1" s="1"/>
  <c r="M467" i="1" s="1"/>
  <c r="I467" i="1" a="1"/>
  <c r="I467" i="1" s="1"/>
  <c r="L467" i="1" s="1"/>
  <c r="H467" i="1" a="1"/>
  <c r="H467" i="1" s="1"/>
  <c r="K467" i="1" s="1"/>
  <c r="G467" i="1"/>
  <c r="J466" i="1" a="1"/>
  <c r="J466" i="1" s="1"/>
  <c r="M466" i="1" s="1"/>
  <c r="I466" i="1" a="1"/>
  <c r="I466" i="1" s="1"/>
  <c r="L466" i="1" s="1"/>
  <c r="H466" i="1" a="1"/>
  <c r="H466" i="1"/>
  <c r="K466" i="1" s="1"/>
  <c r="G466" i="1"/>
  <c r="J465" i="1" a="1"/>
  <c r="J465" i="1" s="1"/>
  <c r="M465" i="1" s="1"/>
  <c r="I465" i="1" a="1"/>
  <c r="I465" i="1" s="1"/>
  <c r="L465" i="1" s="1"/>
  <c r="H465" i="1" a="1"/>
  <c r="H465" i="1" s="1"/>
  <c r="K465" i="1" s="1"/>
  <c r="G465" i="1"/>
  <c r="J464" i="1" a="1"/>
  <c r="J464" i="1" s="1"/>
  <c r="M464" i="1" s="1"/>
  <c r="I464" i="1" a="1"/>
  <c r="I464" i="1" s="1"/>
  <c r="L464" i="1" s="1"/>
  <c r="H464" i="1" a="1"/>
  <c r="H464" i="1"/>
  <c r="K464" i="1" s="1"/>
  <c r="G464" i="1"/>
  <c r="L463" i="1"/>
  <c r="J463" i="1" a="1"/>
  <c r="J463" i="1"/>
  <c r="M463" i="1" s="1"/>
  <c r="I463" i="1" a="1"/>
  <c r="I463" i="1" s="1"/>
  <c r="H463" i="1" a="1"/>
  <c r="H463" i="1"/>
  <c r="K463" i="1" s="1"/>
  <c r="G463" i="1"/>
  <c r="J462" i="1" a="1"/>
  <c r="J462" i="1" s="1"/>
  <c r="M462" i="1" s="1"/>
  <c r="I462" i="1" a="1"/>
  <c r="I462" i="1"/>
  <c r="L462" i="1" s="1"/>
  <c r="H462" i="1" a="1"/>
  <c r="H462" i="1" s="1"/>
  <c r="K462" i="1" s="1"/>
  <c r="G462" i="1"/>
  <c r="J461" i="1" a="1"/>
  <c r="J461" i="1" s="1"/>
  <c r="M461" i="1" s="1"/>
  <c r="I461" i="1" a="1"/>
  <c r="I461" i="1"/>
  <c r="L461" i="1" s="1"/>
  <c r="H461" i="1" a="1"/>
  <c r="H461" i="1" s="1"/>
  <c r="K461" i="1" s="1"/>
  <c r="G461" i="1"/>
  <c r="J460" i="1" a="1"/>
  <c r="J460" i="1" s="1"/>
  <c r="M460" i="1" s="1"/>
  <c r="I460" i="1" a="1"/>
  <c r="I460" i="1" s="1"/>
  <c r="L460" i="1" s="1"/>
  <c r="H460" i="1" a="1"/>
  <c r="H460" i="1" s="1"/>
  <c r="K460" i="1" s="1"/>
  <c r="G460" i="1"/>
  <c r="I459" i="1" a="1"/>
  <c r="I459" i="1"/>
  <c r="L459" i="1" s="1"/>
  <c r="G459" i="1"/>
  <c r="J458" i="1" a="1"/>
  <c r="J458" i="1" s="1"/>
  <c r="M458" i="1" s="1"/>
  <c r="I458" i="1" a="1"/>
  <c r="I458" i="1"/>
  <c r="L458" i="1" s="1"/>
  <c r="H458" i="1" a="1"/>
  <c r="H458" i="1" s="1"/>
  <c r="K458" i="1" s="1"/>
  <c r="G458" i="1"/>
  <c r="J457" i="1" a="1"/>
  <c r="J457" i="1" s="1"/>
  <c r="I457" i="1" a="1"/>
  <c r="I457" i="1"/>
  <c r="L457" i="1" s="1"/>
  <c r="G457" i="1"/>
  <c r="J456" i="1" a="1"/>
  <c r="J456" i="1" s="1"/>
  <c r="I456" i="1" a="1"/>
  <c r="I456" i="1" s="1"/>
  <c r="L456" i="1" s="1"/>
  <c r="H456" i="1" a="1"/>
  <c r="H456" i="1" s="1"/>
  <c r="G456" i="1"/>
  <c r="J455" i="1" a="1"/>
  <c r="J455" i="1" s="1"/>
  <c r="M455" i="1" s="1"/>
  <c r="I455" i="1" a="1"/>
  <c r="I455" i="1" s="1"/>
  <c r="L455" i="1" s="1"/>
  <c r="H455" i="1" a="1"/>
  <c r="H455" i="1"/>
  <c r="K455" i="1" s="1"/>
  <c r="G455" i="1"/>
  <c r="L454" i="1"/>
  <c r="J454" i="1" a="1"/>
  <c r="J454" i="1"/>
  <c r="M454" i="1" s="1"/>
  <c r="I454" i="1" a="1"/>
  <c r="I454" i="1" s="1"/>
  <c r="H454" i="1" a="1"/>
  <c r="H454" i="1" s="1"/>
  <c r="K454" i="1" s="1"/>
  <c r="G454" i="1"/>
  <c r="I453" i="1" a="1"/>
  <c r="I453" i="1" s="1"/>
  <c r="L453" i="1" s="1"/>
  <c r="G453" i="1"/>
  <c r="J452" i="1" a="1"/>
  <c r="J452" i="1"/>
  <c r="M452" i="1" s="1"/>
  <c r="I452" i="1" a="1"/>
  <c r="I452" i="1" s="1"/>
  <c r="L452" i="1" s="1"/>
  <c r="H452" i="1" a="1"/>
  <c r="H452" i="1" s="1"/>
  <c r="K452" i="1" s="1"/>
  <c r="G452" i="1"/>
  <c r="J451" i="1" a="1"/>
  <c r="J451" i="1" s="1"/>
  <c r="M451" i="1" s="1"/>
  <c r="I451" i="1" a="1"/>
  <c r="I451" i="1" s="1"/>
  <c r="L451" i="1" s="1"/>
  <c r="H451" i="1" a="1"/>
  <c r="H451" i="1"/>
  <c r="K451" i="1" s="1"/>
  <c r="G451" i="1"/>
  <c r="M450" i="1"/>
  <c r="J450" i="1" a="1"/>
  <c r="J450" i="1"/>
  <c r="I450" i="1" a="1"/>
  <c r="I450" i="1"/>
  <c r="L450" i="1" s="1"/>
  <c r="H450" i="1" a="1"/>
  <c r="H450" i="1" s="1"/>
  <c r="K450" i="1" s="1"/>
  <c r="G450" i="1"/>
  <c r="I449" i="1" a="1"/>
  <c r="I449" i="1" s="1"/>
  <c r="L449" i="1" s="1"/>
  <c r="G449" i="1"/>
  <c r="J448" i="1" a="1"/>
  <c r="J448" i="1"/>
  <c r="M448" i="1" s="1"/>
  <c r="I448" i="1" a="1"/>
  <c r="I448" i="1" s="1"/>
  <c r="L448" i="1" s="1"/>
  <c r="H448" i="1" a="1"/>
  <c r="H448" i="1" s="1"/>
  <c r="K448" i="1" s="1"/>
  <c r="G448" i="1"/>
  <c r="J447" i="1" s="1" a="1"/>
  <c r="J447" i="1" s="1"/>
  <c r="I447" i="1" a="1"/>
  <c r="I447" i="1" s="1"/>
  <c r="L447" i="1" s="1"/>
  <c r="G447" i="1"/>
  <c r="J446" i="1" a="1"/>
  <c r="J446" i="1" s="1"/>
  <c r="M446" i="1" s="1"/>
  <c r="I446" i="1" a="1"/>
  <c r="I446" i="1" s="1"/>
  <c r="L446" i="1" s="1"/>
  <c r="H446" i="1" a="1"/>
  <c r="H446" i="1"/>
  <c r="K446" i="1" s="1"/>
  <c r="G446" i="1"/>
  <c r="J445" i="1" s="1" a="1"/>
  <c r="J445" i="1" s="1"/>
  <c r="I445" i="1" a="1"/>
  <c r="I445" i="1" s="1"/>
  <c r="L445" i="1" s="1"/>
  <c r="G445" i="1"/>
  <c r="J444" i="1" a="1"/>
  <c r="J444" i="1" s="1"/>
  <c r="M444" i="1" s="1"/>
  <c r="I444" i="1" a="1"/>
  <c r="I444" i="1"/>
  <c r="L444" i="1" s="1"/>
  <c r="H444" i="1" a="1"/>
  <c r="H444" i="1" s="1"/>
  <c r="K444" i="1" s="1"/>
  <c r="G444" i="1"/>
  <c r="J443" i="1" a="1"/>
  <c r="J443" i="1" s="1"/>
  <c r="M443" i="1" s="1"/>
  <c r="I443" i="1" a="1"/>
  <c r="I443" i="1"/>
  <c r="L443" i="1" s="1"/>
  <c r="H443" i="1" a="1"/>
  <c r="H443" i="1" s="1"/>
  <c r="K443" i="1" s="1"/>
  <c r="G443" i="1"/>
  <c r="J442" i="1" a="1"/>
  <c r="J442" i="1" s="1"/>
  <c r="M442" i="1" s="1"/>
  <c r="I442" i="1" a="1"/>
  <c r="I442" i="1" s="1"/>
  <c r="L442" i="1" s="1"/>
  <c r="H442" i="1" a="1"/>
  <c r="H442" i="1" s="1"/>
  <c r="K442" i="1" s="1"/>
  <c r="G442" i="1"/>
  <c r="I441" i="1" a="1"/>
  <c r="I441" i="1" s="1"/>
  <c r="L441" i="1" s="1"/>
  <c r="G441" i="1"/>
  <c r="H441" i="1" s="1" a="1"/>
  <c r="H441" i="1" s="1"/>
  <c r="I440" i="1" a="1"/>
  <c r="I440" i="1" s="1"/>
  <c r="L440" i="1" s="1"/>
  <c r="G440" i="1"/>
  <c r="H440" i="1" s="1" a="1"/>
  <c r="H440" i="1" s="1"/>
  <c r="I439" i="1" a="1"/>
  <c r="I439" i="1" s="1"/>
  <c r="L439" i="1" s="1"/>
  <c r="G439" i="1"/>
  <c r="I438" i="1" a="1"/>
  <c r="I438" i="1" s="1"/>
  <c r="L438" i="1" s="1"/>
  <c r="G438" i="1"/>
  <c r="I437" i="1" a="1"/>
  <c r="I437" i="1" s="1"/>
  <c r="L437" i="1" s="1"/>
  <c r="G437" i="1"/>
  <c r="J436" i="1" a="1"/>
  <c r="J436" i="1"/>
  <c r="M436" i="1" s="1"/>
  <c r="I436" i="1" a="1"/>
  <c r="I436" i="1" s="1"/>
  <c r="L436" i="1" s="1"/>
  <c r="H436" i="1" a="1"/>
  <c r="H436" i="1" s="1"/>
  <c r="K436" i="1" s="1"/>
  <c r="G436" i="1"/>
  <c r="J435" i="1" a="1"/>
  <c r="J435" i="1" s="1"/>
  <c r="M435" i="1" s="1"/>
  <c r="I435" i="1" a="1"/>
  <c r="I435" i="1" s="1"/>
  <c r="L435" i="1" s="1"/>
  <c r="H435" i="1" a="1"/>
  <c r="H435" i="1" s="1"/>
  <c r="K435" i="1" s="1"/>
  <c r="G435" i="1"/>
  <c r="K434" i="1"/>
  <c r="J434" i="1" a="1"/>
  <c r="J434" i="1" s="1"/>
  <c r="M434" i="1" s="1"/>
  <c r="I434" i="1" a="1"/>
  <c r="I434" i="1" s="1"/>
  <c r="L434" i="1" s="1"/>
  <c r="H434" i="1" a="1"/>
  <c r="H434" i="1"/>
  <c r="G434" i="1"/>
  <c r="I433" i="1" a="1"/>
  <c r="I433" i="1" s="1"/>
  <c r="L433" i="1" s="1"/>
  <c r="G433" i="1"/>
  <c r="J432" i="1" a="1"/>
  <c r="J432" i="1" s="1"/>
  <c r="M432" i="1" s="1"/>
  <c r="I432" i="1" a="1"/>
  <c r="I432" i="1" s="1"/>
  <c r="L432" i="1" s="1"/>
  <c r="H432" i="1" a="1"/>
  <c r="H432" i="1" s="1"/>
  <c r="K432" i="1" s="1"/>
  <c r="G432" i="1"/>
  <c r="I431" i="1" a="1"/>
  <c r="I431" i="1" s="1"/>
  <c r="L431" i="1" s="1"/>
  <c r="G431" i="1"/>
  <c r="L430" i="1"/>
  <c r="I430" i="1" a="1"/>
  <c r="I430" i="1" s="1"/>
  <c r="G430" i="1"/>
  <c r="J430" i="1" s="1" a="1"/>
  <c r="J430" i="1" s="1"/>
  <c r="J429" i="1" a="1"/>
  <c r="J429" i="1"/>
  <c r="M429" i="1" s="1"/>
  <c r="I429" i="1" a="1"/>
  <c r="I429" i="1"/>
  <c r="L429" i="1" s="1"/>
  <c r="H429" i="1" a="1"/>
  <c r="H429" i="1" s="1"/>
  <c r="K429" i="1" s="1"/>
  <c r="G429" i="1"/>
  <c r="J428" i="1" a="1"/>
  <c r="J428" i="1" s="1"/>
  <c r="M428" i="1" s="1"/>
  <c r="I428" i="1" a="1"/>
  <c r="I428" i="1" s="1"/>
  <c r="L428" i="1" s="1"/>
  <c r="H428" i="1" a="1"/>
  <c r="H428" i="1" s="1"/>
  <c r="K428" i="1" s="1"/>
  <c r="G428" i="1"/>
  <c r="I427" i="1" a="1"/>
  <c r="I427" i="1" s="1"/>
  <c r="L427" i="1" s="1"/>
  <c r="G427" i="1"/>
  <c r="J426" i="1" a="1"/>
  <c r="J426" i="1" s="1"/>
  <c r="M426" i="1" s="1"/>
  <c r="I426" i="1" a="1"/>
  <c r="I426" i="1" s="1"/>
  <c r="L426" i="1" s="1"/>
  <c r="H426" i="1" a="1"/>
  <c r="H426" i="1" s="1"/>
  <c r="K426" i="1" s="1"/>
  <c r="G426" i="1"/>
  <c r="J425" i="1" a="1"/>
  <c r="J425" i="1" s="1"/>
  <c r="M425" i="1" s="1"/>
  <c r="I425" i="1" a="1"/>
  <c r="I425" i="1"/>
  <c r="L425" i="1" s="1"/>
  <c r="H425" i="1" a="1"/>
  <c r="H425" i="1" s="1"/>
  <c r="K425" i="1" s="1"/>
  <c r="G425" i="1"/>
  <c r="I424" i="1" a="1"/>
  <c r="I424" i="1" s="1"/>
  <c r="L424" i="1" s="1"/>
  <c r="G424" i="1"/>
  <c r="L423" i="1"/>
  <c r="I423" i="1" a="1"/>
  <c r="I423" i="1" s="1"/>
  <c r="G423" i="1"/>
  <c r="J423" i="1" s="1" a="1"/>
  <c r="J423" i="1" s="1"/>
  <c r="J422" i="1" a="1"/>
  <c r="J422" i="1" s="1"/>
  <c r="M422" i="1" s="1"/>
  <c r="I422" i="1" a="1"/>
  <c r="I422" i="1" s="1"/>
  <c r="L422" i="1" s="1"/>
  <c r="H422" i="1" a="1"/>
  <c r="H422" i="1"/>
  <c r="K422" i="1" s="1"/>
  <c r="G422" i="1"/>
  <c r="J421" i="1" a="1"/>
  <c r="J421" i="1"/>
  <c r="M421" i="1" s="1"/>
  <c r="I421" i="1" a="1"/>
  <c r="I421" i="1" s="1"/>
  <c r="L421" i="1" s="1"/>
  <c r="H421" i="1" a="1"/>
  <c r="H421" i="1" s="1"/>
  <c r="K421" i="1" s="1"/>
  <c r="G421" i="1"/>
  <c r="I420" i="1" a="1"/>
  <c r="I420" i="1" s="1"/>
  <c r="L420" i="1" s="1"/>
  <c r="G420" i="1"/>
  <c r="J419" i="1" a="1"/>
  <c r="J419" i="1" s="1"/>
  <c r="M419" i="1" s="1"/>
  <c r="I419" i="1" a="1"/>
  <c r="I419" i="1" s="1"/>
  <c r="L419" i="1" s="1"/>
  <c r="H419" i="1" a="1"/>
  <c r="H419" i="1"/>
  <c r="K419" i="1" s="1"/>
  <c r="G419" i="1"/>
  <c r="J418" i="1" a="1"/>
  <c r="J418" i="1" s="1"/>
  <c r="M418" i="1" s="1"/>
  <c r="I418" i="1" a="1"/>
  <c r="I418" i="1" s="1"/>
  <c r="L418" i="1" s="1"/>
  <c r="H418" i="1" a="1"/>
  <c r="H418" i="1" s="1"/>
  <c r="K418" i="1" s="1"/>
  <c r="G418" i="1"/>
  <c r="K417" i="1"/>
  <c r="J417" i="1" a="1"/>
  <c r="J417" i="1"/>
  <c r="M417" i="1" s="1"/>
  <c r="I417" i="1" a="1"/>
  <c r="I417" i="1" s="1"/>
  <c r="L417" i="1" s="1"/>
  <c r="H417" i="1" a="1"/>
  <c r="H417" i="1" s="1"/>
  <c r="G417" i="1"/>
  <c r="I416" i="1" a="1"/>
  <c r="I416" i="1" s="1"/>
  <c r="L416" i="1" s="1"/>
  <c r="G416" i="1"/>
  <c r="J415" i="1" a="1"/>
  <c r="J415" i="1" s="1"/>
  <c r="M415" i="1" s="1"/>
  <c r="I415" i="1" a="1"/>
  <c r="I415" i="1" s="1"/>
  <c r="L415" i="1" s="1"/>
  <c r="H415" i="1" a="1"/>
  <c r="H415" i="1" s="1"/>
  <c r="K415" i="1" s="1"/>
  <c r="G415" i="1"/>
  <c r="M414" i="1"/>
  <c r="J414" i="1" a="1"/>
  <c r="J414" i="1"/>
  <c r="I414" i="1" a="1"/>
  <c r="I414" i="1" s="1"/>
  <c r="L414" i="1" s="1"/>
  <c r="H414" i="1" a="1"/>
  <c r="H414" i="1" s="1"/>
  <c r="K414" i="1" s="1"/>
  <c r="G414" i="1"/>
  <c r="K413" i="1"/>
  <c r="J413" i="1" a="1"/>
  <c r="J413" i="1" s="1"/>
  <c r="M413" i="1" s="1"/>
  <c r="I413" i="1" a="1"/>
  <c r="I413" i="1" s="1"/>
  <c r="L413" i="1" s="1"/>
  <c r="H413" i="1" a="1"/>
  <c r="H413" i="1" s="1"/>
  <c r="G413" i="1"/>
  <c r="J412" i="1" a="1"/>
  <c r="J412" i="1"/>
  <c r="M412" i="1" s="1"/>
  <c r="I412" i="1" a="1"/>
  <c r="I412" i="1" s="1"/>
  <c r="L412" i="1" s="1"/>
  <c r="H412" i="1" a="1"/>
  <c r="H412" i="1" s="1"/>
  <c r="K412" i="1" s="1"/>
  <c r="G412" i="1"/>
  <c r="I411" i="1" a="1"/>
  <c r="I411" i="1"/>
  <c r="L411" i="1" s="1"/>
  <c r="G411" i="1"/>
  <c r="J410" i="1" a="1"/>
  <c r="J410" i="1" s="1"/>
  <c r="M410" i="1" s="1"/>
  <c r="I410" i="1" a="1"/>
  <c r="I410" i="1"/>
  <c r="L410" i="1" s="1"/>
  <c r="H410" i="1" a="1"/>
  <c r="H410" i="1" s="1"/>
  <c r="K410" i="1" s="1"/>
  <c r="G410" i="1"/>
  <c r="J409" i="1" a="1"/>
  <c r="J409" i="1" s="1"/>
  <c r="M409" i="1" s="1"/>
  <c r="I409" i="1" a="1"/>
  <c r="I409" i="1" s="1"/>
  <c r="L409" i="1" s="1"/>
  <c r="H409" i="1" a="1"/>
  <c r="H409" i="1" s="1"/>
  <c r="K409" i="1" s="1"/>
  <c r="G409" i="1"/>
  <c r="M408" i="1"/>
  <c r="L408" i="1"/>
  <c r="J408" i="1" a="1"/>
  <c r="J408" i="1" s="1"/>
  <c r="I408" i="1" a="1"/>
  <c r="I408" i="1" s="1"/>
  <c r="H408" i="1" a="1"/>
  <c r="H408" i="1" s="1"/>
  <c r="K408" i="1" s="1"/>
  <c r="G408" i="1"/>
  <c r="I407" i="1" a="1"/>
  <c r="I407" i="1" s="1"/>
  <c r="L407" i="1" s="1"/>
  <c r="G407" i="1"/>
  <c r="H407" i="1" s="1" a="1"/>
  <c r="H407" i="1" s="1"/>
  <c r="J406" i="1" a="1"/>
  <c r="J406" i="1" s="1"/>
  <c r="M406" i="1" s="1"/>
  <c r="I406" i="1" a="1"/>
  <c r="I406" i="1" s="1"/>
  <c r="L406" i="1" s="1"/>
  <c r="H406" i="1" a="1"/>
  <c r="H406" i="1" s="1"/>
  <c r="K406" i="1" s="1"/>
  <c r="G406" i="1"/>
  <c r="L405" i="1"/>
  <c r="I405" i="1" a="1"/>
  <c r="I405" i="1" s="1"/>
  <c r="G405" i="1"/>
  <c r="I404" i="1" a="1"/>
  <c r="I404" i="1" s="1"/>
  <c r="L404" i="1" s="1"/>
  <c r="G404" i="1"/>
  <c r="J404" i="1" s="1" a="1"/>
  <c r="J404" i="1" s="1"/>
  <c r="J403" i="1" a="1"/>
  <c r="J403" i="1" s="1"/>
  <c r="M403" i="1" s="1"/>
  <c r="I403" i="1" a="1"/>
  <c r="I403" i="1"/>
  <c r="L403" i="1" s="1"/>
  <c r="H403" i="1" a="1"/>
  <c r="H403" i="1" s="1"/>
  <c r="K403" i="1" s="1"/>
  <c r="G403" i="1"/>
  <c r="I402" i="1" a="1"/>
  <c r="I402" i="1"/>
  <c r="L402" i="1" s="1"/>
  <c r="G402" i="1"/>
  <c r="I401" i="1" a="1"/>
  <c r="I401" i="1"/>
  <c r="L401" i="1" s="1"/>
  <c r="H401" i="1" a="1"/>
  <c r="H401" i="1" s="1"/>
  <c r="G401" i="1"/>
  <c r="J401" i="1" s="1" a="1"/>
  <c r="J401" i="1" s="1"/>
  <c r="I400" i="1" a="1"/>
  <c r="I400" i="1" s="1"/>
  <c r="L400" i="1" s="1"/>
  <c r="G400" i="1"/>
  <c r="L399" i="1"/>
  <c r="I399" i="1" a="1"/>
  <c r="I399" i="1"/>
  <c r="G399" i="1"/>
  <c r="J398" i="1" a="1"/>
  <c r="J398" i="1" s="1"/>
  <c r="M398" i="1" s="1"/>
  <c r="I398" i="1" a="1"/>
  <c r="I398" i="1"/>
  <c r="L398" i="1" s="1"/>
  <c r="H398" i="1" a="1"/>
  <c r="H398" i="1"/>
  <c r="K398" i="1" s="1"/>
  <c r="G398" i="1"/>
  <c r="I397" i="1" a="1"/>
  <c r="I397" i="1" s="1"/>
  <c r="L397" i="1" s="1"/>
  <c r="G397" i="1"/>
  <c r="H397" i="1" s="1" a="1"/>
  <c r="H397" i="1" s="1"/>
  <c r="J396" i="1" a="1"/>
  <c r="J396" i="1" s="1"/>
  <c r="M396" i="1" s="1"/>
  <c r="I396" i="1" a="1"/>
  <c r="I396" i="1" s="1"/>
  <c r="L396" i="1" s="1"/>
  <c r="H396" i="1" a="1"/>
  <c r="H396" i="1" s="1"/>
  <c r="K396" i="1" s="1"/>
  <c r="G396" i="1"/>
  <c r="J395" i="1" s="1" a="1"/>
  <c r="J395" i="1" s="1"/>
  <c r="I395" i="1" a="1"/>
  <c r="I395" i="1" s="1"/>
  <c r="L395" i="1" s="1"/>
  <c r="H395" i="1" a="1"/>
  <c r="H395" i="1" s="1"/>
  <c r="G395" i="1"/>
  <c r="L394" i="1"/>
  <c r="J394" i="1" a="1"/>
  <c r="J394" i="1" s="1"/>
  <c r="M394" i="1" s="1"/>
  <c r="I394" i="1" a="1"/>
  <c r="I394" i="1" s="1"/>
  <c r="H394" i="1" a="1"/>
  <c r="H394" i="1" s="1"/>
  <c r="K394" i="1" s="1"/>
  <c r="G394" i="1"/>
  <c r="J393" i="1" a="1"/>
  <c r="J393" i="1"/>
  <c r="M393" i="1" s="1"/>
  <c r="I393" i="1" a="1"/>
  <c r="I393" i="1"/>
  <c r="L393" i="1" s="1"/>
  <c r="H393" i="1" a="1"/>
  <c r="H393" i="1" s="1"/>
  <c r="K393" i="1" s="1"/>
  <c r="G393" i="1"/>
  <c r="I392" i="1" a="1"/>
  <c r="I392" i="1" s="1"/>
  <c r="L392" i="1" s="1"/>
  <c r="G392" i="1"/>
  <c r="J392" i="1" s="1" a="1"/>
  <c r="J392" i="1" s="1"/>
  <c r="I391" i="1" a="1"/>
  <c r="I391" i="1" s="1"/>
  <c r="L391" i="1" s="1"/>
  <c r="G391" i="1"/>
  <c r="J390" i="1" a="1"/>
  <c r="J390" i="1" s="1"/>
  <c r="M390" i="1" s="1"/>
  <c r="I390" i="1" a="1"/>
  <c r="I390" i="1" s="1"/>
  <c r="L390" i="1" s="1"/>
  <c r="H390" i="1" a="1"/>
  <c r="H390" i="1" s="1"/>
  <c r="K390" i="1" s="1"/>
  <c r="G390" i="1"/>
  <c r="M389" i="1"/>
  <c r="J389" i="1" a="1"/>
  <c r="J389" i="1" s="1"/>
  <c r="I389" i="1" a="1"/>
  <c r="I389" i="1"/>
  <c r="L389" i="1" s="1"/>
  <c r="H389" i="1" a="1"/>
  <c r="H389" i="1" s="1"/>
  <c r="K389" i="1" s="1"/>
  <c r="G389" i="1"/>
  <c r="K388" i="1"/>
  <c r="J388" i="1" a="1"/>
  <c r="J388" i="1" s="1"/>
  <c r="M388" i="1" s="1"/>
  <c r="I388" i="1" a="1"/>
  <c r="I388" i="1" s="1"/>
  <c r="L388" i="1" s="1"/>
  <c r="H388" i="1" a="1"/>
  <c r="H388" i="1"/>
  <c r="G388" i="1"/>
  <c r="I387" i="1" a="1"/>
  <c r="I387" i="1"/>
  <c r="L387" i="1" s="1"/>
  <c r="G387" i="1"/>
  <c r="J386" i="1" a="1"/>
  <c r="J386" i="1" s="1"/>
  <c r="M386" i="1" s="1"/>
  <c r="I386" i="1" a="1"/>
  <c r="I386" i="1"/>
  <c r="L386" i="1" s="1"/>
  <c r="H386" i="1" a="1"/>
  <c r="H386" i="1" s="1"/>
  <c r="K386" i="1" s="1"/>
  <c r="G386" i="1"/>
  <c r="J384" i="1" s="1" a="1"/>
  <c r="J384" i="1" s="1"/>
  <c r="J385" i="1" a="1"/>
  <c r="J385" i="1"/>
  <c r="M385" i="1" s="1"/>
  <c r="I385" i="1" a="1"/>
  <c r="I385" i="1" s="1"/>
  <c r="L385" i="1" s="1"/>
  <c r="H385" i="1" a="1"/>
  <c r="H385" i="1" s="1"/>
  <c r="K385" i="1" s="1"/>
  <c r="G385" i="1"/>
  <c r="I384" i="1" a="1"/>
  <c r="I384" i="1" s="1"/>
  <c r="L384" i="1" s="1"/>
  <c r="G384" i="1"/>
  <c r="J383" i="1" a="1"/>
  <c r="J383" i="1" s="1"/>
  <c r="M383" i="1" s="1"/>
  <c r="I383" i="1" a="1"/>
  <c r="I383" i="1" s="1"/>
  <c r="L383" i="1" s="1"/>
  <c r="H383" i="1" a="1"/>
  <c r="H383" i="1" s="1"/>
  <c r="K383" i="1" s="1"/>
  <c r="G383" i="1"/>
  <c r="L382" i="1"/>
  <c r="J382" i="1" a="1"/>
  <c r="J382" i="1" s="1"/>
  <c r="M382" i="1" s="1"/>
  <c r="I382" i="1" a="1"/>
  <c r="I382" i="1" s="1"/>
  <c r="H382" i="1" a="1"/>
  <c r="H382" i="1" s="1"/>
  <c r="K382" i="1" s="1"/>
  <c r="G382" i="1"/>
  <c r="I381" i="1" a="1"/>
  <c r="I381" i="1" s="1"/>
  <c r="L381" i="1" s="1"/>
  <c r="G381" i="1"/>
  <c r="I380" i="1" a="1"/>
  <c r="I380" i="1"/>
  <c r="L380" i="1" s="1"/>
  <c r="G380" i="1"/>
  <c r="J379" i="1" a="1"/>
  <c r="J379" i="1" s="1"/>
  <c r="M379" i="1" s="1"/>
  <c r="I379" i="1" a="1"/>
  <c r="I379" i="1" s="1"/>
  <c r="L379" i="1" s="1"/>
  <c r="H379" i="1" a="1"/>
  <c r="H379" i="1" s="1"/>
  <c r="K379" i="1" s="1"/>
  <c r="G379" i="1"/>
  <c r="I378" i="1" a="1"/>
  <c r="I378" i="1" s="1"/>
  <c r="L378" i="1" s="1"/>
  <c r="H378" i="1" a="1"/>
  <c r="H378" i="1" s="1"/>
  <c r="G378" i="1"/>
  <c r="J377" i="1" a="1"/>
  <c r="J377" i="1" s="1"/>
  <c r="M377" i="1" s="1"/>
  <c r="I377" i="1" a="1"/>
  <c r="I377" i="1" s="1"/>
  <c r="L377" i="1" s="1"/>
  <c r="H377" i="1" a="1"/>
  <c r="H377" i="1"/>
  <c r="K377" i="1" s="1"/>
  <c r="G377" i="1"/>
  <c r="K376" i="1"/>
  <c r="J376" i="1" a="1"/>
  <c r="J376" i="1" s="1"/>
  <c r="M376" i="1" s="1"/>
  <c r="I376" i="1" a="1"/>
  <c r="I376" i="1" s="1"/>
  <c r="L376" i="1" s="1"/>
  <c r="H376" i="1" a="1"/>
  <c r="H376" i="1" s="1"/>
  <c r="G376" i="1"/>
  <c r="J375" i="1" a="1"/>
  <c r="J375" i="1" s="1"/>
  <c r="M375" i="1" s="1"/>
  <c r="I375" i="1" a="1"/>
  <c r="I375" i="1" s="1"/>
  <c r="L375" i="1" s="1"/>
  <c r="H375" i="1" a="1"/>
  <c r="H375" i="1" s="1"/>
  <c r="K375" i="1" s="1"/>
  <c r="G375" i="1"/>
  <c r="J374" i="1" a="1"/>
  <c r="J374" i="1" s="1"/>
  <c r="M374" i="1" s="1"/>
  <c r="I374" i="1" a="1"/>
  <c r="I374" i="1" s="1"/>
  <c r="L374" i="1" s="1"/>
  <c r="H374" i="1" a="1"/>
  <c r="H374" i="1" s="1"/>
  <c r="K374" i="1" s="1"/>
  <c r="G374" i="1"/>
  <c r="J373" i="1" a="1"/>
  <c r="J373" i="1" s="1"/>
  <c r="M373" i="1" s="1"/>
  <c r="I373" i="1" a="1"/>
  <c r="I373" i="1" s="1"/>
  <c r="L373" i="1" s="1"/>
  <c r="H373" i="1" a="1"/>
  <c r="H373" i="1"/>
  <c r="K373" i="1" s="1"/>
  <c r="G373" i="1"/>
  <c r="L372" i="1"/>
  <c r="I372" i="1" a="1"/>
  <c r="I372" i="1"/>
  <c r="G372" i="1"/>
  <c r="J371" i="1" a="1"/>
  <c r="J371" i="1" s="1"/>
  <c r="M371" i="1" s="1"/>
  <c r="I371" i="1" a="1"/>
  <c r="I371" i="1" s="1"/>
  <c r="L371" i="1" s="1"/>
  <c r="H371" i="1" a="1"/>
  <c r="H371" i="1" s="1"/>
  <c r="K371" i="1" s="1"/>
  <c r="G371" i="1"/>
  <c r="J370" i="1" a="1"/>
  <c r="J370" i="1" s="1"/>
  <c r="M370" i="1" s="1"/>
  <c r="I370" i="1" a="1"/>
  <c r="I370" i="1" s="1"/>
  <c r="L370" i="1" s="1"/>
  <c r="H370" i="1" a="1"/>
  <c r="H370" i="1"/>
  <c r="K370" i="1" s="1"/>
  <c r="G370" i="1"/>
  <c r="J369" i="1" a="1"/>
  <c r="J369" i="1" s="1"/>
  <c r="M369" i="1" s="1"/>
  <c r="I369" i="1" a="1"/>
  <c r="I369" i="1" s="1"/>
  <c r="L369" i="1" s="1"/>
  <c r="H369" i="1" a="1"/>
  <c r="H369" i="1" s="1"/>
  <c r="K369" i="1" s="1"/>
  <c r="G369" i="1"/>
  <c r="L368" i="1"/>
  <c r="J368" i="1" a="1"/>
  <c r="J368" i="1"/>
  <c r="M368" i="1" s="1"/>
  <c r="I368" i="1" a="1"/>
  <c r="I368" i="1" s="1"/>
  <c r="H368" i="1" a="1"/>
  <c r="H368" i="1" s="1"/>
  <c r="K368" i="1" s="1"/>
  <c r="G368" i="1"/>
  <c r="J367" i="1" a="1"/>
  <c r="J367" i="1" s="1"/>
  <c r="M367" i="1" s="1"/>
  <c r="I367" i="1" a="1"/>
  <c r="I367" i="1" s="1"/>
  <c r="L367" i="1" s="1"/>
  <c r="H367" i="1" a="1"/>
  <c r="H367" i="1"/>
  <c r="K367" i="1" s="1"/>
  <c r="G367" i="1"/>
  <c r="J366" i="1" a="1"/>
  <c r="J366" i="1"/>
  <c r="M366" i="1" s="1"/>
  <c r="I366" i="1" a="1"/>
  <c r="I366" i="1" s="1"/>
  <c r="L366" i="1" s="1"/>
  <c r="H366" i="1" a="1"/>
  <c r="H366" i="1" s="1"/>
  <c r="K366" i="1" s="1"/>
  <c r="G366" i="1"/>
  <c r="J365" i="1" a="1"/>
  <c r="J365" i="1" s="1"/>
  <c r="M365" i="1" s="1"/>
  <c r="I365" i="1" a="1"/>
  <c r="I365" i="1"/>
  <c r="L365" i="1" s="1"/>
  <c r="H365" i="1" a="1"/>
  <c r="H365" i="1"/>
  <c r="K365" i="1" s="1"/>
  <c r="G365" i="1"/>
  <c r="I364" i="1" a="1"/>
  <c r="I364" i="1" s="1"/>
  <c r="L364" i="1" s="1"/>
  <c r="G364" i="1"/>
  <c r="J363" i="1" a="1"/>
  <c r="J363" i="1" s="1"/>
  <c r="I363" i="1" a="1"/>
  <c r="I363" i="1" s="1"/>
  <c r="L363" i="1" s="1"/>
  <c r="G363" i="1"/>
  <c r="H363" i="1" s="1" a="1"/>
  <c r="H363" i="1" s="1"/>
  <c r="K362" i="1"/>
  <c r="J362" i="1" a="1"/>
  <c r="J362" i="1" s="1"/>
  <c r="M362" i="1" s="1"/>
  <c r="I362" i="1" a="1"/>
  <c r="I362" i="1" s="1"/>
  <c r="L362" i="1" s="1"/>
  <c r="H362" i="1" a="1"/>
  <c r="H362" i="1"/>
  <c r="G362" i="1"/>
  <c r="I361" i="1" a="1"/>
  <c r="I361" i="1"/>
  <c r="L361" i="1" s="1"/>
  <c r="G361" i="1"/>
  <c r="J360" i="1" a="1"/>
  <c r="J360" i="1" s="1"/>
  <c r="M360" i="1" s="1"/>
  <c r="I360" i="1" a="1"/>
  <c r="I360" i="1" s="1"/>
  <c r="L360" i="1" s="1"/>
  <c r="H360" i="1" a="1"/>
  <c r="H360" i="1" s="1"/>
  <c r="K360" i="1" s="1"/>
  <c r="G360" i="1"/>
  <c r="I359" i="1" a="1"/>
  <c r="I359" i="1" s="1"/>
  <c r="L359" i="1" s="1"/>
  <c r="G359" i="1"/>
  <c r="I358" i="1" a="1"/>
  <c r="I358" i="1" s="1"/>
  <c r="L358" i="1" s="1"/>
  <c r="G358" i="1"/>
  <c r="J358" i="1" s="1" a="1"/>
  <c r="J358" i="1" s="1"/>
  <c r="I357" i="1" a="1"/>
  <c r="I357" i="1"/>
  <c r="L357" i="1" s="1"/>
  <c r="G357" i="1"/>
  <c r="I356" i="1" a="1"/>
  <c r="I356" i="1" s="1"/>
  <c r="L356" i="1" s="1"/>
  <c r="G356" i="1"/>
  <c r="I355" i="1" a="1"/>
  <c r="I355" i="1" s="1"/>
  <c r="L355" i="1" s="1"/>
  <c r="G355" i="1"/>
  <c r="H355" i="1" s="1" a="1"/>
  <c r="H355" i="1" s="1"/>
  <c r="I354" i="1" a="1"/>
  <c r="I354" i="1" s="1"/>
  <c r="L354" i="1" s="1"/>
  <c r="G354" i="1"/>
  <c r="J353" i="1" a="1"/>
  <c r="J353" i="1" s="1"/>
  <c r="M353" i="1" s="1"/>
  <c r="I353" i="1" a="1"/>
  <c r="I353" i="1" s="1"/>
  <c r="L353" i="1" s="1"/>
  <c r="H353" i="1" a="1"/>
  <c r="H353" i="1" s="1"/>
  <c r="K353" i="1" s="1"/>
  <c r="G353" i="1"/>
  <c r="J352" i="1" a="1"/>
  <c r="J352" i="1" s="1"/>
  <c r="M352" i="1" s="1"/>
  <c r="I352" i="1" a="1"/>
  <c r="I352" i="1" s="1"/>
  <c r="L352" i="1" s="1"/>
  <c r="H352" i="1" a="1"/>
  <c r="H352" i="1"/>
  <c r="K352" i="1" s="1"/>
  <c r="G352" i="1"/>
  <c r="L351" i="1"/>
  <c r="J351" i="1" a="1"/>
  <c r="J351" i="1" s="1"/>
  <c r="M351" i="1" s="1"/>
  <c r="I351" i="1" a="1"/>
  <c r="I351" i="1" s="1"/>
  <c r="H351" i="1" a="1"/>
  <c r="H351" i="1" s="1"/>
  <c r="K351" i="1" s="1"/>
  <c r="G351" i="1"/>
  <c r="K350" i="1"/>
  <c r="J350" i="1" a="1"/>
  <c r="J350" i="1"/>
  <c r="M350" i="1" s="1"/>
  <c r="I350" i="1" a="1"/>
  <c r="I350" i="1"/>
  <c r="L350" i="1" s="1"/>
  <c r="H350" i="1" a="1"/>
  <c r="H350" i="1" s="1"/>
  <c r="G350" i="1"/>
  <c r="I349" i="1" a="1"/>
  <c r="I349" i="1" s="1"/>
  <c r="L349" i="1" s="1"/>
  <c r="G349" i="1"/>
  <c r="M348" i="1"/>
  <c r="J348" i="1" a="1"/>
  <c r="J348" i="1" s="1"/>
  <c r="I348" i="1" a="1"/>
  <c r="I348" i="1"/>
  <c r="L348" i="1" s="1"/>
  <c r="H348" i="1" a="1"/>
  <c r="H348" i="1"/>
  <c r="K348" i="1" s="1"/>
  <c r="G348" i="1"/>
  <c r="J347" i="1" a="1"/>
  <c r="J347" i="1" s="1"/>
  <c r="M347" i="1" s="1"/>
  <c r="I347" i="1" a="1"/>
  <c r="I347" i="1" s="1"/>
  <c r="L347" i="1" s="1"/>
  <c r="H347" i="1" a="1"/>
  <c r="H347" i="1" s="1"/>
  <c r="K347" i="1" s="1"/>
  <c r="G347" i="1"/>
  <c r="M346" i="1"/>
  <c r="J346" i="1" a="1"/>
  <c r="J346" i="1" s="1"/>
  <c r="I346" i="1" a="1"/>
  <c r="I346" i="1" s="1"/>
  <c r="L346" i="1" s="1"/>
  <c r="H346" i="1" a="1"/>
  <c r="H346" i="1" s="1"/>
  <c r="K346" i="1" s="1"/>
  <c r="G346" i="1"/>
  <c r="J345" i="1" a="1"/>
  <c r="J345" i="1"/>
  <c r="M345" i="1" s="1"/>
  <c r="I345" i="1" a="1"/>
  <c r="I345" i="1" s="1"/>
  <c r="L345" i="1" s="1"/>
  <c r="H345" i="1" a="1"/>
  <c r="H345" i="1" s="1"/>
  <c r="K345" i="1" s="1"/>
  <c r="G345" i="1"/>
  <c r="M344" i="1"/>
  <c r="J344" i="1" a="1"/>
  <c r="J344" i="1" s="1"/>
  <c r="I344" i="1" a="1"/>
  <c r="I344" i="1" s="1"/>
  <c r="L344" i="1" s="1"/>
  <c r="H344" i="1" a="1"/>
  <c r="H344" i="1" s="1"/>
  <c r="K344" i="1" s="1"/>
  <c r="G344" i="1"/>
  <c r="J343" i="1" a="1"/>
  <c r="J343" i="1" s="1"/>
  <c r="M343" i="1" s="1"/>
  <c r="I343" i="1" a="1"/>
  <c r="I343" i="1" s="1"/>
  <c r="L343" i="1" s="1"/>
  <c r="H343" i="1" a="1"/>
  <c r="H343" i="1" s="1"/>
  <c r="K343" i="1" s="1"/>
  <c r="G343" i="1"/>
  <c r="J342" i="1" a="1"/>
  <c r="J342" i="1" s="1"/>
  <c r="M342" i="1" s="1"/>
  <c r="I342" i="1" a="1"/>
  <c r="I342" i="1" s="1"/>
  <c r="L342" i="1" s="1"/>
  <c r="H342" i="1" a="1"/>
  <c r="H342" i="1"/>
  <c r="K342" i="1" s="1"/>
  <c r="G342" i="1"/>
  <c r="K341" i="1"/>
  <c r="J341" i="1" a="1"/>
  <c r="J341" i="1" s="1"/>
  <c r="M341" i="1" s="1"/>
  <c r="I341" i="1" a="1"/>
  <c r="I341" i="1" s="1"/>
  <c r="L341" i="1" s="1"/>
  <c r="H341" i="1" a="1"/>
  <c r="H341" i="1" s="1"/>
  <c r="G341" i="1"/>
  <c r="J340" i="1" a="1"/>
  <c r="J340" i="1"/>
  <c r="M340" i="1" s="1"/>
  <c r="I340" i="1" a="1"/>
  <c r="I340" i="1" s="1"/>
  <c r="L340" i="1" s="1"/>
  <c r="H340" i="1" a="1"/>
  <c r="H340" i="1"/>
  <c r="K340" i="1" s="1"/>
  <c r="G340" i="1"/>
  <c r="J339" i="1" a="1"/>
  <c r="J339" i="1" s="1"/>
  <c r="M339" i="1" s="1"/>
  <c r="I339" i="1" a="1"/>
  <c r="I339" i="1" s="1"/>
  <c r="L339" i="1" s="1"/>
  <c r="H339" i="1" a="1"/>
  <c r="H339" i="1" s="1"/>
  <c r="K339" i="1" s="1"/>
  <c r="G339" i="1"/>
  <c r="J338" i="1" a="1"/>
  <c r="J338" i="1"/>
  <c r="M338" i="1" s="1"/>
  <c r="I338" i="1" a="1"/>
  <c r="I338" i="1" s="1"/>
  <c r="L338" i="1" s="1"/>
  <c r="H338" i="1" a="1"/>
  <c r="H338" i="1" s="1"/>
  <c r="K338" i="1" s="1"/>
  <c r="G338" i="1"/>
  <c r="J337" i="1" a="1"/>
  <c r="J337" i="1" s="1"/>
  <c r="M337" i="1" s="1"/>
  <c r="I337" i="1" a="1"/>
  <c r="I337" i="1" s="1"/>
  <c r="L337" i="1" s="1"/>
  <c r="H337" i="1" a="1"/>
  <c r="H337" i="1" s="1"/>
  <c r="K337" i="1" s="1"/>
  <c r="G337" i="1"/>
  <c r="I336" i="1" a="1"/>
  <c r="I336" i="1" s="1"/>
  <c r="L336" i="1" s="1"/>
  <c r="G336" i="1"/>
  <c r="J335" i="1" a="1"/>
  <c r="J335" i="1" s="1"/>
  <c r="M335" i="1" s="1"/>
  <c r="I335" i="1" a="1"/>
  <c r="I335" i="1"/>
  <c r="L335" i="1" s="1"/>
  <c r="H335" i="1" a="1"/>
  <c r="H335" i="1" s="1"/>
  <c r="K335" i="1" s="1"/>
  <c r="G335" i="1"/>
  <c r="I334" i="1" a="1"/>
  <c r="I334" i="1" s="1"/>
  <c r="L334" i="1" s="1"/>
  <c r="G334" i="1"/>
  <c r="J334" i="1" s="1" a="1"/>
  <c r="J334" i="1" s="1"/>
  <c r="J333" i="1" a="1"/>
  <c r="J333" i="1"/>
  <c r="M333" i="1" s="1"/>
  <c r="I333" i="1" a="1"/>
  <c r="I333" i="1" s="1"/>
  <c r="L333" i="1" s="1"/>
  <c r="H333" i="1" a="1"/>
  <c r="H333" i="1"/>
  <c r="K333" i="1" s="1"/>
  <c r="G333" i="1"/>
  <c r="L332" i="1"/>
  <c r="I332" i="1" a="1"/>
  <c r="I332" i="1"/>
  <c r="G332" i="1"/>
  <c r="J332" i="1" s="1" a="1"/>
  <c r="J332" i="1" s="1"/>
  <c r="M331" i="1"/>
  <c r="J331" i="1" a="1"/>
  <c r="J331" i="1" s="1"/>
  <c r="I331" i="1" a="1"/>
  <c r="I331" i="1" s="1"/>
  <c r="L331" i="1" s="1"/>
  <c r="H331" i="1" a="1"/>
  <c r="H331" i="1" s="1"/>
  <c r="K331" i="1" s="1"/>
  <c r="G331" i="1"/>
  <c r="J330" i="1" a="1"/>
  <c r="J330" i="1"/>
  <c r="M330" i="1" s="1"/>
  <c r="I330" i="1" a="1"/>
  <c r="I330" i="1" s="1"/>
  <c r="L330" i="1" s="1"/>
  <c r="H330" i="1" a="1"/>
  <c r="H330" i="1"/>
  <c r="K330" i="1" s="1"/>
  <c r="G330" i="1"/>
  <c r="J329" i="1" a="1"/>
  <c r="J329" i="1" s="1"/>
  <c r="M329" i="1" s="1"/>
  <c r="I329" i="1" a="1"/>
  <c r="I329" i="1" s="1"/>
  <c r="L329" i="1" s="1"/>
  <c r="H329" i="1" a="1"/>
  <c r="H329" i="1" s="1"/>
  <c r="K329" i="1" s="1"/>
  <c r="G329" i="1"/>
  <c r="I328" i="1" a="1"/>
  <c r="I328" i="1" s="1"/>
  <c r="L328" i="1" s="1"/>
  <c r="G328" i="1"/>
  <c r="J328" i="1" s="1" a="1"/>
  <c r="J328" i="1" s="1"/>
  <c r="J327" i="1" a="1"/>
  <c r="J327" i="1"/>
  <c r="I327" i="1" a="1"/>
  <c r="I327" i="1" s="1"/>
  <c r="L327" i="1" s="1"/>
  <c r="H327" i="1" a="1"/>
  <c r="H327" i="1"/>
  <c r="G327" i="1"/>
  <c r="I326" i="1" a="1"/>
  <c r="I326" i="1" s="1"/>
  <c r="L326" i="1" s="1"/>
  <c r="G326" i="1"/>
  <c r="J326" i="1" s="1" a="1"/>
  <c r="J326" i="1" s="1"/>
  <c r="J325" i="1" a="1"/>
  <c r="J325" i="1" s="1"/>
  <c r="M325" i="1" s="1"/>
  <c r="I325" i="1" a="1"/>
  <c r="I325" i="1"/>
  <c r="L325" i="1" s="1"/>
  <c r="H325" i="1" a="1"/>
  <c r="H325" i="1" s="1"/>
  <c r="K325" i="1" s="1"/>
  <c r="G325" i="1"/>
  <c r="J324" i="1" a="1"/>
  <c r="J324" i="1"/>
  <c r="M324" i="1" s="1"/>
  <c r="I324" i="1" a="1"/>
  <c r="I324" i="1" s="1"/>
  <c r="L324" i="1" s="1"/>
  <c r="H324" i="1" a="1"/>
  <c r="H324" i="1"/>
  <c r="K324" i="1" s="1"/>
  <c r="G324" i="1"/>
  <c r="J323" i="1" a="1"/>
  <c r="J323" i="1" s="1"/>
  <c r="M323" i="1" s="1"/>
  <c r="I323" i="1" a="1"/>
  <c r="I323" i="1" s="1"/>
  <c r="L323" i="1" s="1"/>
  <c r="H323" i="1" a="1"/>
  <c r="H323" i="1" s="1"/>
  <c r="K323" i="1" s="1"/>
  <c r="G323" i="1"/>
  <c r="J322" i="1" a="1"/>
  <c r="J322" i="1" s="1"/>
  <c r="M322" i="1" s="1"/>
  <c r="I322" i="1" a="1"/>
  <c r="I322" i="1" s="1"/>
  <c r="L322" i="1" s="1"/>
  <c r="H322" i="1" a="1"/>
  <c r="H322" i="1" s="1"/>
  <c r="K322" i="1" s="1"/>
  <c r="G322" i="1"/>
  <c r="J321" i="1" a="1"/>
  <c r="J321" i="1"/>
  <c r="M321" i="1" s="1"/>
  <c r="I321" i="1" a="1"/>
  <c r="I321" i="1" s="1"/>
  <c r="L321" i="1" s="1"/>
  <c r="H321" i="1" a="1"/>
  <c r="H321" i="1"/>
  <c r="K321" i="1" s="1"/>
  <c r="G321" i="1"/>
  <c r="I320" i="1" a="1"/>
  <c r="I320" i="1" s="1"/>
  <c r="L320" i="1" s="1"/>
  <c r="G320" i="1"/>
  <c r="I319" i="1" a="1"/>
  <c r="I319" i="1" s="1"/>
  <c r="L319" i="1" s="1"/>
  <c r="G319" i="1"/>
  <c r="H319" i="1" s="1" a="1"/>
  <c r="H319" i="1" s="1"/>
  <c r="I318" i="1" a="1"/>
  <c r="I318" i="1" s="1"/>
  <c r="L318" i="1" s="1"/>
  <c r="G318" i="1"/>
  <c r="H318" i="1" s="1" a="1"/>
  <c r="H318" i="1" s="1"/>
  <c r="J317" i="1" a="1"/>
  <c r="J317" i="1" s="1"/>
  <c r="I317" i="1" a="1"/>
  <c r="I317" i="1" s="1"/>
  <c r="L317" i="1" s="1"/>
  <c r="H317" i="1" a="1"/>
  <c r="H317" i="1" s="1"/>
  <c r="G317" i="1"/>
  <c r="M316" i="1"/>
  <c r="J316" i="1" a="1"/>
  <c r="J316" i="1" s="1"/>
  <c r="I316" i="1" a="1"/>
  <c r="I316" i="1" s="1"/>
  <c r="L316" i="1" s="1"/>
  <c r="H316" i="1" a="1"/>
  <c r="H316" i="1" s="1"/>
  <c r="K316" i="1" s="1"/>
  <c r="G316" i="1"/>
  <c r="J315" i="1" a="1"/>
  <c r="J315" i="1" s="1"/>
  <c r="M315" i="1" s="1"/>
  <c r="I315" i="1" a="1"/>
  <c r="I315" i="1" s="1"/>
  <c r="L315" i="1" s="1"/>
  <c r="H315" i="1" a="1"/>
  <c r="H315" i="1" s="1"/>
  <c r="K315" i="1" s="1"/>
  <c r="G315" i="1"/>
  <c r="I314" i="1" a="1"/>
  <c r="I314" i="1" s="1"/>
  <c r="L314" i="1" s="1"/>
  <c r="G314" i="1"/>
  <c r="I313" i="1" a="1"/>
  <c r="I313" i="1"/>
  <c r="L313" i="1" s="1"/>
  <c r="G313" i="1"/>
  <c r="H313" i="1" s="1" a="1"/>
  <c r="H313" i="1" s="1"/>
  <c r="J312" i="1" a="1"/>
  <c r="J312" i="1"/>
  <c r="M312" i="1" s="1"/>
  <c r="I312" i="1" a="1"/>
  <c r="I312" i="1" s="1"/>
  <c r="L312" i="1" s="1"/>
  <c r="H312" i="1" a="1"/>
  <c r="H312" i="1" s="1"/>
  <c r="K312" i="1" s="1"/>
  <c r="G312" i="1"/>
  <c r="J311" i="1" a="1"/>
  <c r="J311" i="1" s="1"/>
  <c r="M311" i="1" s="1"/>
  <c r="I311" i="1" a="1"/>
  <c r="I311" i="1" s="1"/>
  <c r="L311" i="1" s="1"/>
  <c r="H311" i="1" a="1"/>
  <c r="H311" i="1" s="1"/>
  <c r="K311" i="1" s="1"/>
  <c r="G311" i="1"/>
  <c r="M310" i="1"/>
  <c r="J310" i="1" a="1"/>
  <c r="J310" i="1" s="1"/>
  <c r="I310" i="1" a="1"/>
  <c r="I310" i="1" s="1"/>
  <c r="L310" i="1" s="1"/>
  <c r="H310" i="1" a="1"/>
  <c r="H310" i="1" s="1"/>
  <c r="K310" i="1" s="1"/>
  <c r="G310" i="1"/>
  <c r="J309" i="1" a="1"/>
  <c r="J309" i="1" s="1"/>
  <c r="M309" i="1" s="1"/>
  <c r="I309" i="1" a="1"/>
  <c r="I309" i="1" s="1"/>
  <c r="L309" i="1" s="1"/>
  <c r="H309" i="1" a="1"/>
  <c r="H309" i="1"/>
  <c r="K309" i="1" s="1"/>
  <c r="G309" i="1"/>
  <c r="J308" i="1" a="1"/>
  <c r="J308" i="1"/>
  <c r="M308" i="1" s="1"/>
  <c r="I308" i="1" a="1"/>
  <c r="I308" i="1" s="1"/>
  <c r="L308" i="1" s="1"/>
  <c r="H308" i="1" a="1"/>
  <c r="H308" i="1" s="1"/>
  <c r="K308" i="1" s="1"/>
  <c r="G308" i="1"/>
  <c r="I307" i="1" a="1"/>
  <c r="I307" i="1" s="1"/>
  <c r="L307" i="1" s="1"/>
  <c r="G307" i="1"/>
  <c r="J306" i="1" a="1"/>
  <c r="J306" i="1" s="1"/>
  <c r="M306" i="1" s="1"/>
  <c r="I306" i="1" a="1"/>
  <c r="I306" i="1" s="1"/>
  <c r="L306" i="1" s="1"/>
  <c r="H306" i="1" a="1"/>
  <c r="H306" i="1" s="1"/>
  <c r="K306" i="1" s="1"/>
  <c r="G306" i="1"/>
  <c r="L305" i="1"/>
  <c r="J305" i="1" a="1"/>
  <c r="J305" i="1" s="1"/>
  <c r="M305" i="1" s="1"/>
  <c r="I305" i="1" a="1"/>
  <c r="I305" i="1" s="1"/>
  <c r="H305" i="1" a="1"/>
  <c r="H305" i="1" s="1"/>
  <c r="K305" i="1" s="1"/>
  <c r="G305" i="1"/>
  <c r="J304" i="1" a="1"/>
  <c r="J304" i="1" s="1"/>
  <c r="M304" i="1" s="1"/>
  <c r="I304" i="1" a="1"/>
  <c r="I304" i="1"/>
  <c r="L304" i="1" s="1"/>
  <c r="H304" i="1" a="1"/>
  <c r="H304" i="1" s="1"/>
  <c r="K304" i="1" s="1"/>
  <c r="G304" i="1"/>
  <c r="K303" i="1"/>
  <c r="J303" i="1" a="1"/>
  <c r="J303" i="1" s="1"/>
  <c r="M303" i="1" s="1"/>
  <c r="I303" i="1" a="1"/>
  <c r="I303" i="1" s="1"/>
  <c r="L303" i="1" s="1"/>
  <c r="H303" i="1" a="1"/>
  <c r="H303" i="1"/>
  <c r="G303" i="1"/>
  <c r="J302" i="1" a="1"/>
  <c r="J302" i="1" s="1"/>
  <c r="M302" i="1" s="1"/>
  <c r="I302" i="1" a="1"/>
  <c r="I302" i="1"/>
  <c r="L302" i="1" s="1"/>
  <c r="H302" i="1" a="1"/>
  <c r="H302" i="1" s="1"/>
  <c r="K302" i="1" s="1"/>
  <c r="G302" i="1"/>
  <c r="M301" i="1"/>
  <c r="J301" i="1" a="1"/>
  <c r="J301" i="1" s="1"/>
  <c r="I301" i="1" a="1"/>
  <c r="I301" i="1" s="1"/>
  <c r="L301" i="1" s="1"/>
  <c r="H301" i="1" a="1"/>
  <c r="H301" i="1" s="1"/>
  <c r="K301" i="1" s="1"/>
  <c r="G301" i="1"/>
  <c r="J300" i="1" a="1"/>
  <c r="J300" i="1" s="1"/>
  <c r="M300" i="1" s="1"/>
  <c r="I300" i="1" a="1"/>
  <c r="I300" i="1" s="1"/>
  <c r="L300" i="1" s="1"/>
  <c r="H300" i="1" a="1"/>
  <c r="H300" i="1" s="1"/>
  <c r="K300" i="1" s="1"/>
  <c r="G300" i="1"/>
  <c r="I299" i="1" a="1"/>
  <c r="I299" i="1" s="1"/>
  <c r="L299" i="1" s="1"/>
  <c r="G299" i="1"/>
  <c r="K298" i="1"/>
  <c r="J298" i="1" a="1"/>
  <c r="J298" i="1" s="1"/>
  <c r="M298" i="1" s="1"/>
  <c r="I298" i="1" a="1"/>
  <c r="I298" i="1" s="1"/>
  <c r="L298" i="1" s="1"/>
  <c r="H298" i="1" a="1"/>
  <c r="H298" i="1"/>
  <c r="G298" i="1"/>
  <c r="J297" i="1" a="1"/>
  <c r="J297" i="1" s="1"/>
  <c r="M297" i="1" s="1"/>
  <c r="I297" i="1" a="1"/>
  <c r="I297" i="1" s="1"/>
  <c r="L297" i="1" s="1"/>
  <c r="H297" i="1" a="1"/>
  <c r="H297" i="1"/>
  <c r="K297" i="1" s="1"/>
  <c r="G297" i="1"/>
  <c r="I296" i="1" a="1"/>
  <c r="I296" i="1" s="1"/>
  <c r="L296" i="1" s="1"/>
  <c r="G296" i="1"/>
  <c r="I295" i="1" a="1"/>
  <c r="I295" i="1" s="1"/>
  <c r="L295" i="1" s="1"/>
  <c r="G295" i="1"/>
  <c r="H295" i="1" s="1" a="1"/>
  <c r="H295" i="1" s="1"/>
  <c r="J294" i="1" a="1"/>
  <c r="J294" i="1" s="1"/>
  <c r="M294" i="1" s="1"/>
  <c r="I294" i="1" a="1"/>
  <c r="I294" i="1" s="1"/>
  <c r="L294" i="1" s="1"/>
  <c r="H294" i="1" a="1"/>
  <c r="H294" i="1" s="1"/>
  <c r="K294" i="1" s="1"/>
  <c r="G294" i="1"/>
  <c r="J293" i="1" a="1"/>
  <c r="J293" i="1" s="1"/>
  <c r="M293" i="1" s="1"/>
  <c r="I293" i="1" a="1"/>
  <c r="I293" i="1"/>
  <c r="L293" i="1" s="1"/>
  <c r="H293" i="1" a="1"/>
  <c r="H293" i="1" s="1"/>
  <c r="K293" i="1" s="1"/>
  <c r="G293" i="1"/>
  <c r="L292" i="1"/>
  <c r="J292" i="1" a="1"/>
  <c r="J292" i="1" s="1"/>
  <c r="M292" i="1" s="1"/>
  <c r="I292" i="1" a="1"/>
  <c r="I292" i="1" s="1"/>
  <c r="H292" i="1" a="1"/>
  <c r="H292" i="1" s="1"/>
  <c r="K292" i="1" s="1"/>
  <c r="G292" i="1"/>
  <c r="L291" i="1"/>
  <c r="J291" i="1" a="1"/>
  <c r="J291" i="1" s="1"/>
  <c r="M291" i="1" s="1"/>
  <c r="I291" i="1" a="1"/>
  <c r="I291" i="1" s="1"/>
  <c r="H291" i="1" a="1"/>
  <c r="H291" i="1" s="1"/>
  <c r="K291" i="1" s="1"/>
  <c r="G291" i="1"/>
  <c r="L290" i="1"/>
  <c r="J290" i="1" a="1"/>
  <c r="J290" i="1" s="1"/>
  <c r="M290" i="1" s="1"/>
  <c r="I290" i="1" a="1"/>
  <c r="I290" i="1" s="1"/>
  <c r="H290" i="1" a="1"/>
  <c r="H290" i="1" s="1"/>
  <c r="K290" i="1" s="1"/>
  <c r="G290" i="1"/>
  <c r="M289" i="1"/>
  <c r="J289" i="1" a="1"/>
  <c r="J289" i="1" s="1"/>
  <c r="I289" i="1" a="1"/>
  <c r="I289" i="1"/>
  <c r="L289" i="1" s="1"/>
  <c r="H289" i="1" a="1"/>
  <c r="H289" i="1" s="1"/>
  <c r="K289" i="1" s="1"/>
  <c r="G289" i="1"/>
  <c r="J288" i="1" a="1"/>
  <c r="J288" i="1" s="1"/>
  <c r="M288" i="1" s="1"/>
  <c r="I288" i="1" a="1"/>
  <c r="I288" i="1" s="1"/>
  <c r="L288" i="1" s="1"/>
  <c r="H288" i="1" a="1"/>
  <c r="H288" i="1" s="1"/>
  <c r="K288" i="1" s="1"/>
  <c r="G288" i="1"/>
  <c r="J287" i="1" a="1"/>
  <c r="J287" i="1"/>
  <c r="M287" i="1" s="1"/>
  <c r="I287" i="1" a="1"/>
  <c r="I287" i="1"/>
  <c r="L287" i="1" s="1"/>
  <c r="H287" i="1" a="1"/>
  <c r="H287" i="1" s="1"/>
  <c r="K287" i="1" s="1"/>
  <c r="G287" i="1"/>
  <c r="I286" i="1" a="1"/>
  <c r="I286" i="1" s="1"/>
  <c r="L286" i="1" s="1"/>
  <c r="G286" i="1"/>
  <c r="L285" i="1"/>
  <c r="I285" i="1" a="1"/>
  <c r="I285" i="1" s="1"/>
  <c r="G285" i="1"/>
  <c r="J284" i="1" a="1"/>
  <c r="J284" i="1" s="1"/>
  <c r="M284" i="1" s="1"/>
  <c r="I284" i="1" a="1"/>
  <c r="I284" i="1" s="1"/>
  <c r="L284" i="1" s="1"/>
  <c r="H284" i="1" a="1"/>
  <c r="H284" i="1" s="1"/>
  <c r="K284" i="1" s="1"/>
  <c r="G284" i="1"/>
  <c r="J283" i="1" a="1"/>
  <c r="J283" i="1" s="1"/>
  <c r="M283" i="1" s="1"/>
  <c r="I283" i="1" a="1"/>
  <c r="I283" i="1" s="1"/>
  <c r="L283" i="1" s="1"/>
  <c r="H283" i="1" a="1"/>
  <c r="H283" i="1" s="1"/>
  <c r="K283" i="1" s="1"/>
  <c r="G283" i="1"/>
  <c r="L282" i="1"/>
  <c r="J282" i="1" a="1"/>
  <c r="J282" i="1" s="1"/>
  <c r="M282" i="1" s="1"/>
  <c r="I282" i="1" a="1"/>
  <c r="I282" i="1" s="1"/>
  <c r="H282" i="1" a="1"/>
  <c r="H282" i="1" s="1"/>
  <c r="K282" i="1" s="1"/>
  <c r="G282" i="1"/>
  <c r="J281" i="1" a="1"/>
  <c r="J281" i="1"/>
  <c r="M281" i="1" s="1"/>
  <c r="I281" i="1" a="1"/>
  <c r="I281" i="1"/>
  <c r="L281" i="1" s="1"/>
  <c r="H281" i="1" a="1"/>
  <c r="H281" i="1" s="1"/>
  <c r="K281" i="1" s="1"/>
  <c r="G281" i="1"/>
  <c r="K280" i="1"/>
  <c r="J280" i="1" a="1"/>
  <c r="J280" i="1" s="1"/>
  <c r="M280" i="1" s="1"/>
  <c r="I280" i="1" a="1"/>
  <c r="I280" i="1" s="1"/>
  <c r="L280" i="1" s="1"/>
  <c r="H280" i="1" a="1"/>
  <c r="H280" i="1"/>
  <c r="G280" i="1"/>
  <c r="L279" i="1"/>
  <c r="J279" i="1" a="1"/>
  <c r="J279" i="1" s="1"/>
  <c r="M279" i="1" s="1"/>
  <c r="I279" i="1" a="1"/>
  <c r="I279" i="1" s="1"/>
  <c r="H279" i="1" a="1"/>
  <c r="H279" i="1" s="1"/>
  <c r="K279" i="1" s="1"/>
  <c r="G279" i="1"/>
  <c r="J278" i="1" a="1"/>
  <c r="J278" i="1" s="1"/>
  <c r="M278" i="1" s="1"/>
  <c r="I278" i="1" a="1"/>
  <c r="I278" i="1" s="1"/>
  <c r="L278" i="1" s="1"/>
  <c r="H278" i="1" a="1"/>
  <c r="H278" i="1" s="1"/>
  <c r="K278" i="1" s="1"/>
  <c r="G278" i="1"/>
  <c r="J277" i="1" a="1"/>
  <c r="J277" i="1" s="1"/>
  <c r="M277" i="1" s="1"/>
  <c r="I277" i="1" a="1"/>
  <c r="I277" i="1" s="1"/>
  <c r="L277" i="1" s="1"/>
  <c r="H277" i="1" a="1"/>
  <c r="H277" i="1" s="1"/>
  <c r="K277" i="1" s="1"/>
  <c r="G277" i="1"/>
  <c r="J276" i="1" a="1"/>
  <c r="J276" i="1"/>
  <c r="M276" i="1" s="1"/>
  <c r="I276" i="1" a="1"/>
  <c r="I276" i="1" s="1"/>
  <c r="L276" i="1" s="1"/>
  <c r="H276" i="1" a="1"/>
  <c r="H276" i="1" s="1"/>
  <c r="K276" i="1" s="1"/>
  <c r="G276" i="1"/>
  <c r="J275" i="1" a="1"/>
  <c r="J275" i="1"/>
  <c r="M275" i="1" s="1"/>
  <c r="I275" i="1" a="1"/>
  <c r="I275" i="1" s="1"/>
  <c r="L275" i="1" s="1"/>
  <c r="H275" i="1" a="1"/>
  <c r="H275" i="1" s="1"/>
  <c r="K275" i="1" s="1"/>
  <c r="G275" i="1"/>
  <c r="J274" i="1" a="1"/>
  <c r="J274" i="1" s="1"/>
  <c r="M274" i="1" s="1"/>
  <c r="I274" i="1" a="1"/>
  <c r="I274" i="1" s="1"/>
  <c r="L274" i="1" s="1"/>
  <c r="H274" i="1" a="1"/>
  <c r="H274" i="1" s="1"/>
  <c r="K274" i="1" s="1"/>
  <c r="G274" i="1"/>
  <c r="J273" i="1" a="1"/>
  <c r="J273" i="1" s="1"/>
  <c r="M273" i="1" s="1"/>
  <c r="I273" i="1" a="1"/>
  <c r="I273" i="1" s="1"/>
  <c r="L273" i="1" s="1"/>
  <c r="H273" i="1" a="1"/>
  <c r="H273" i="1"/>
  <c r="K273" i="1" s="1"/>
  <c r="G273" i="1"/>
  <c r="J272" i="1" a="1"/>
  <c r="J272" i="1"/>
  <c r="M272" i="1" s="1"/>
  <c r="I272" i="1" a="1"/>
  <c r="I272" i="1" s="1"/>
  <c r="L272" i="1" s="1"/>
  <c r="H272" i="1" a="1"/>
  <c r="H272" i="1" s="1"/>
  <c r="K272" i="1" s="1"/>
  <c r="G272" i="1"/>
  <c r="M271" i="1"/>
  <c r="J271" i="1" a="1"/>
  <c r="J271" i="1" s="1"/>
  <c r="I271" i="1" a="1"/>
  <c r="I271" i="1" s="1"/>
  <c r="L271" i="1" s="1"/>
  <c r="H271" i="1" a="1"/>
  <c r="H271" i="1" s="1"/>
  <c r="K271" i="1" s="1"/>
  <c r="G271" i="1"/>
  <c r="J270" i="1" a="1"/>
  <c r="J270" i="1" s="1"/>
  <c r="M270" i="1" s="1"/>
  <c r="I270" i="1" a="1"/>
  <c r="I270" i="1" s="1"/>
  <c r="L270" i="1" s="1"/>
  <c r="H270" i="1" a="1"/>
  <c r="H270" i="1" s="1"/>
  <c r="K270" i="1" s="1"/>
  <c r="G270" i="1"/>
  <c r="I269" i="1" a="1"/>
  <c r="I269" i="1" s="1"/>
  <c r="L269" i="1" s="1"/>
  <c r="G269" i="1"/>
  <c r="J269" i="1" s="1" a="1"/>
  <c r="J269" i="1" s="1"/>
  <c r="L268" i="1"/>
  <c r="J268" i="1" a="1"/>
  <c r="J268" i="1" s="1"/>
  <c r="M268" i="1" s="1"/>
  <c r="I268" i="1" a="1"/>
  <c r="I268" i="1" s="1"/>
  <c r="H268" i="1" a="1"/>
  <c r="H268" i="1" s="1"/>
  <c r="K268" i="1" s="1"/>
  <c r="G268" i="1"/>
  <c r="K267" i="1"/>
  <c r="J267" i="1" a="1"/>
  <c r="J267" i="1" s="1"/>
  <c r="M267" i="1" s="1"/>
  <c r="I267" i="1" a="1"/>
  <c r="I267" i="1" s="1"/>
  <c r="L267" i="1" s="1"/>
  <c r="H267" i="1" a="1"/>
  <c r="H267" i="1" s="1"/>
  <c r="G267" i="1"/>
  <c r="I266" i="1" a="1"/>
  <c r="I266" i="1"/>
  <c r="L266" i="1" s="1"/>
  <c r="G266" i="1"/>
  <c r="H266" i="1" s="1" a="1"/>
  <c r="H266" i="1" s="1"/>
  <c r="I265" i="1" a="1"/>
  <c r="I265" i="1"/>
  <c r="L265" i="1" s="1"/>
  <c r="G265" i="1"/>
  <c r="J265" i="1" s="1" a="1"/>
  <c r="J265" i="1" s="1"/>
  <c r="J264" i="1" a="1"/>
  <c r="J264" i="1" s="1"/>
  <c r="M264" i="1" s="1"/>
  <c r="I264" i="1" a="1"/>
  <c r="I264" i="1" s="1"/>
  <c r="L264" i="1" s="1"/>
  <c r="H264" i="1" a="1"/>
  <c r="H264" i="1" s="1"/>
  <c r="K264" i="1" s="1"/>
  <c r="G264" i="1"/>
  <c r="I263" i="1" a="1"/>
  <c r="I263" i="1" s="1"/>
  <c r="L263" i="1" s="1"/>
  <c r="G263" i="1"/>
  <c r="J262" i="1" a="1"/>
  <c r="J262" i="1" s="1"/>
  <c r="M262" i="1" s="1"/>
  <c r="I262" i="1" a="1"/>
  <c r="I262" i="1" s="1"/>
  <c r="L262" i="1" s="1"/>
  <c r="H262" i="1" a="1"/>
  <c r="H262" i="1"/>
  <c r="K262" i="1" s="1"/>
  <c r="G262" i="1"/>
  <c r="L261" i="1"/>
  <c r="J261" i="1" a="1"/>
  <c r="J261" i="1" s="1"/>
  <c r="M261" i="1" s="1"/>
  <c r="I261" i="1" a="1"/>
  <c r="I261" i="1" s="1"/>
  <c r="H261" i="1" a="1"/>
  <c r="H261" i="1" s="1"/>
  <c r="K261" i="1" s="1"/>
  <c r="G261" i="1"/>
  <c r="J260" i="1" a="1"/>
  <c r="J260" i="1"/>
  <c r="M260" i="1" s="1"/>
  <c r="I260" i="1" a="1"/>
  <c r="I260" i="1" s="1"/>
  <c r="L260" i="1" s="1"/>
  <c r="H260" i="1" a="1"/>
  <c r="H260" i="1" s="1"/>
  <c r="K260" i="1" s="1"/>
  <c r="G260" i="1"/>
  <c r="J259" i="1" a="1"/>
  <c r="J259" i="1" s="1"/>
  <c r="M259" i="1" s="1"/>
  <c r="I259" i="1" a="1"/>
  <c r="I259" i="1" s="1"/>
  <c r="L259" i="1" s="1"/>
  <c r="H259" i="1" a="1"/>
  <c r="H259" i="1"/>
  <c r="K259" i="1" s="1"/>
  <c r="G259" i="1"/>
  <c r="I258" i="1" a="1"/>
  <c r="I258" i="1" s="1"/>
  <c r="L258" i="1" s="1"/>
  <c r="G258" i="1"/>
  <c r="J257" i="1" a="1"/>
  <c r="J257" i="1" s="1"/>
  <c r="M257" i="1" s="1"/>
  <c r="I257" i="1" a="1"/>
  <c r="I257" i="1"/>
  <c r="L257" i="1" s="1"/>
  <c r="H257" i="1" a="1"/>
  <c r="H257" i="1" s="1"/>
  <c r="K257" i="1" s="1"/>
  <c r="G257" i="1"/>
  <c r="K256" i="1"/>
  <c r="J256" i="1" a="1"/>
  <c r="J256" i="1" s="1"/>
  <c r="M256" i="1" s="1"/>
  <c r="I256" i="1" a="1"/>
  <c r="I256" i="1"/>
  <c r="L256" i="1" s="1"/>
  <c r="H256" i="1" a="1"/>
  <c r="H256" i="1" s="1"/>
  <c r="G256" i="1"/>
  <c r="I255" i="1" a="1"/>
  <c r="I255" i="1" s="1"/>
  <c r="L255" i="1" s="1"/>
  <c r="H255" i="1" a="1"/>
  <c r="H255" i="1" s="1"/>
  <c r="G255" i="1"/>
  <c r="J255" i="1" s="1" a="1"/>
  <c r="J255" i="1" s="1"/>
  <c r="I254" i="1" a="1"/>
  <c r="I254" i="1" s="1"/>
  <c r="L254" i="1" s="1"/>
  <c r="G254" i="1"/>
  <c r="J254" i="1" s="1" a="1"/>
  <c r="J254" i="1" s="1"/>
  <c r="J253" i="1" a="1"/>
  <c r="J253" i="1" s="1"/>
  <c r="M253" i="1" s="1"/>
  <c r="I253" i="1" a="1"/>
  <c r="I253" i="1"/>
  <c r="L253" i="1" s="1"/>
  <c r="H253" i="1" a="1"/>
  <c r="H253" i="1" s="1"/>
  <c r="K253" i="1" s="1"/>
  <c r="G253" i="1"/>
  <c r="J252" i="1" a="1"/>
  <c r="J252" i="1" s="1"/>
  <c r="M252" i="1" s="1"/>
  <c r="I252" i="1" a="1"/>
  <c r="I252" i="1" s="1"/>
  <c r="L252" i="1" s="1"/>
  <c r="H252" i="1" a="1"/>
  <c r="H252" i="1" s="1"/>
  <c r="K252" i="1" s="1"/>
  <c r="G252" i="1"/>
  <c r="J251" i="1" a="1"/>
  <c r="J251" i="1" s="1"/>
  <c r="M251" i="1" s="1"/>
  <c r="I251" i="1" a="1"/>
  <c r="I251" i="1" s="1"/>
  <c r="L251" i="1" s="1"/>
  <c r="H251" i="1" a="1"/>
  <c r="H251" i="1" s="1"/>
  <c r="K251" i="1" s="1"/>
  <c r="G251" i="1"/>
  <c r="J250" i="1" a="1"/>
  <c r="J250" i="1" s="1"/>
  <c r="M250" i="1" s="1"/>
  <c r="I250" i="1" a="1"/>
  <c r="I250" i="1" s="1"/>
  <c r="L250" i="1" s="1"/>
  <c r="H250" i="1" a="1"/>
  <c r="H250" i="1"/>
  <c r="K250" i="1" s="1"/>
  <c r="G250" i="1"/>
  <c r="L249" i="1"/>
  <c r="J249" i="1" a="1"/>
  <c r="J249" i="1" s="1"/>
  <c r="M249" i="1" s="1"/>
  <c r="I249" i="1" a="1"/>
  <c r="I249" i="1" s="1"/>
  <c r="H249" i="1" a="1"/>
  <c r="H249" i="1"/>
  <c r="K249" i="1" s="1"/>
  <c r="G249" i="1"/>
  <c r="J248" i="1" a="1"/>
  <c r="J248" i="1" s="1"/>
  <c r="M248" i="1" s="1"/>
  <c r="I248" i="1" a="1"/>
  <c r="I248" i="1" s="1"/>
  <c r="L248" i="1" s="1"/>
  <c r="H248" i="1" a="1"/>
  <c r="H248" i="1" s="1"/>
  <c r="K248" i="1" s="1"/>
  <c r="G248" i="1"/>
  <c r="J247" i="1" a="1"/>
  <c r="J247" i="1" s="1"/>
  <c r="M247" i="1" s="1"/>
  <c r="I247" i="1" a="1"/>
  <c r="I247" i="1" s="1"/>
  <c r="L247" i="1" s="1"/>
  <c r="H247" i="1" a="1"/>
  <c r="H247" i="1" s="1"/>
  <c r="K247" i="1" s="1"/>
  <c r="G247" i="1"/>
  <c r="J246" i="1" a="1"/>
  <c r="J246" i="1" s="1"/>
  <c r="M246" i="1" s="1"/>
  <c r="I246" i="1" a="1"/>
  <c r="I246" i="1" s="1"/>
  <c r="L246" i="1" s="1"/>
  <c r="H246" i="1" a="1"/>
  <c r="H246" i="1"/>
  <c r="K246" i="1" s="1"/>
  <c r="G246" i="1"/>
  <c r="J245" i="1" a="1"/>
  <c r="J245" i="1" s="1"/>
  <c r="M245" i="1" s="1"/>
  <c r="I245" i="1" a="1"/>
  <c r="I245" i="1"/>
  <c r="L245" i="1" s="1"/>
  <c r="H245" i="1" a="1"/>
  <c r="H245" i="1" s="1"/>
  <c r="K245" i="1" s="1"/>
  <c r="G245" i="1"/>
  <c r="J244" i="1" a="1"/>
  <c r="J244" i="1" s="1"/>
  <c r="M244" i="1" s="1"/>
  <c r="I244" i="1" a="1"/>
  <c r="I244" i="1" s="1"/>
  <c r="L244" i="1" s="1"/>
  <c r="H244" i="1" a="1"/>
  <c r="H244" i="1" s="1"/>
  <c r="K244" i="1" s="1"/>
  <c r="G244" i="1"/>
  <c r="I243" i="1" a="1"/>
  <c r="I243" i="1" s="1"/>
  <c r="L243" i="1" s="1"/>
  <c r="G243" i="1"/>
  <c r="J242" i="1" a="1"/>
  <c r="J242" i="1" s="1"/>
  <c r="I242" i="1" a="1"/>
  <c r="I242" i="1" s="1"/>
  <c r="L242" i="1" s="1"/>
  <c r="H242" i="1" a="1"/>
  <c r="H242" i="1" s="1"/>
  <c r="G242" i="1"/>
  <c r="M241" i="1"/>
  <c r="J241" i="1" a="1"/>
  <c r="J241" i="1" s="1"/>
  <c r="I241" i="1" a="1"/>
  <c r="I241" i="1" s="1"/>
  <c r="L241" i="1" s="1"/>
  <c r="H241" i="1" a="1"/>
  <c r="H241" i="1" s="1"/>
  <c r="K241" i="1" s="1"/>
  <c r="G241" i="1"/>
  <c r="I240" i="1" a="1"/>
  <c r="I240" i="1" s="1"/>
  <c r="L240" i="1" s="1"/>
  <c r="G240" i="1"/>
  <c r="J240" i="1" s="1" a="1"/>
  <c r="J240" i="1" s="1"/>
  <c r="J239" i="1" a="1"/>
  <c r="J239" i="1"/>
  <c r="M239" i="1" s="1"/>
  <c r="I239" i="1" a="1"/>
  <c r="I239" i="1" s="1"/>
  <c r="L239" i="1" s="1"/>
  <c r="H239" i="1" a="1"/>
  <c r="H239" i="1" s="1"/>
  <c r="K239" i="1" s="1"/>
  <c r="G239" i="1"/>
  <c r="L238" i="1"/>
  <c r="I238" i="1" a="1"/>
  <c r="I238" i="1" s="1"/>
  <c r="G238" i="1"/>
  <c r="I237" i="1" a="1"/>
  <c r="I237" i="1" s="1"/>
  <c r="L237" i="1" s="1"/>
  <c r="H237" i="1" a="1"/>
  <c r="H237" i="1"/>
  <c r="G237" i="1"/>
  <c r="J237" i="1" s="1" a="1"/>
  <c r="J237" i="1" s="1"/>
  <c r="J236" i="1" a="1"/>
  <c r="J236" i="1" s="1"/>
  <c r="M236" i="1" s="1"/>
  <c r="I236" i="1" a="1"/>
  <c r="I236" i="1" s="1"/>
  <c r="L236" i="1" s="1"/>
  <c r="H236" i="1" a="1"/>
  <c r="H236" i="1" s="1"/>
  <c r="K236" i="1" s="1"/>
  <c r="G236" i="1"/>
  <c r="M235" i="1"/>
  <c r="J235" i="1" a="1"/>
  <c r="J235" i="1" s="1"/>
  <c r="I235" i="1" a="1"/>
  <c r="I235" i="1" s="1"/>
  <c r="L235" i="1" s="1"/>
  <c r="H235" i="1" a="1"/>
  <c r="H235" i="1" s="1"/>
  <c r="K235" i="1" s="1"/>
  <c r="G235" i="1"/>
  <c r="L234" i="1"/>
  <c r="J234" i="1" a="1"/>
  <c r="J234" i="1"/>
  <c r="M234" i="1" s="1"/>
  <c r="I234" i="1" a="1"/>
  <c r="I234" i="1" s="1"/>
  <c r="H234" i="1" a="1"/>
  <c r="H234" i="1" s="1"/>
  <c r="K234" i="1" s="1"/>
  <c r="G234" i="1"/>
  <c r="I233" i="1" a="1"/>
  <c r="I233" i="1"/>
  <c r="L233" i="1" s="1"/>
  <c r="G233" i="1"/>
  <c r="H233" i="1" s="1" a="1"/>
  <c r="H233" i="1" s="1"/>
  <c r="J232" i="1" a="1"/>
  <c r="J232" i="1" s="1"/>
  <c r="M232" i="1" s="1"/>
  <c r="I232" i="1" a="1"/>
  <c r="I232" i="1" s="1"/>
  <c r="L232" i="1" s="1"/>
  <c r="H232" i="1" a="1"/>
  <c r="H232" i="1" s="1"/>
  <c r="K232" i="1" s="1"/>
  <c r="G232" i="1"/>
  <c r="L231" i="1"/>
  <c r="J231" i="1" a="1"/>
  <c r="J231" i="1" s="1"/>
  <c r="M231" i="1" s="1"/>
  <c r="I231" i="1" a="1"/>
  <c r="I231" i="1" s="1"/>
  <c r="H231" i="1" a="1"/>
  <c r="H231" i="1"/>
  <c r="K231" i="1" s="1"/>
  <c r="G231" i="1"/>
  <c r="J230" i="1" a="1"/>
  <c r="J230" i="1" s="1"/>
  <c r="M230" i="1" s="1"/>
  <c r="I230" i="1" a="1"/>
  <c r="I230" i="1" s="1"/>
  <c r="L230" i="1" s="1"/>
  <c r="H230" i="1" a="1"/>
  <c r="H230" i="1" s="1"/>
  <c r="K230" i="1" s="1"/>
  <c r="G230" i="1"/>
  <c r="I229" i="1" a="1"/>
  <c r="I229" i="1" s="1"/>
  <c r="L229" i="1" s="1"/>
  <c r="G229" i="1"/>
  <c r="I228" i="1" a="1"/>
  <c r="I228" i="1" s="1"/>
  <c r="L228" i="1" s="1"/>
  <c r="G228" i="1"/>
  <c r="I227" i="1" a="1"/>
  <c r="I227" i="1" s="1"/>
  <c r="L227" i="1" s="1"/>
  <c r="G227" i="1"/>
  <c r="J226" i="1" a="1"/>
  <c r="J226" i="1" s="1"/>
  <c r="I226" i="1" a="1"/>
  <c r="I226" i="1" s="1"/>
  <c r="L226" i="1" s="1"/>
  <c r="H226" i="1"/>
  <c r="G226" i="1"/>
  <c r="H226" i="1" s="1" a="1"/>
  <c r="L225" i="1"/>
  <c r="J225" i="1" a="1"/>
  <c r="J225" i="1" s="1"/>
  <c r="M225" i="1" s="1"/>
  <c r="I225" i="1" a="1"/>
  <c r="I225" i="1" s="1"/>
  <c r="H225" i="1" a="1"/>
  <c r="H225" i="1" s="1"/>
  <c r="K225" i="1" s="1"/>
  <c r="G225" i="1"/>
  <c r="H224" i="1" s="1" a="1"/>
  <c r="H224" i="1" s="1"/>
  <c r="I224" i="1" a="1"/>
  <c r="I224" i="1" s="1"/>
  <c r="L224" i="1" s="1"/>
  <c r="G224" i="1"/>
  <c r="J223" i="1" a="1"/>
  <c r="J223" i="1" s="1"/>
  <c r="M223" i="1" s="1"/>
  <c r="I223" i="1" a="1"/>
  <c r="I223" i="1" s="1"/>
  <c r="L223" i="1" s="1"/>
  <c r="H223" i="1" a="1"/>
  <c r="H223" i="1" s="1"/>
  <c r="K223" i="1" s="1"/>
  <c r="G223" i="1"/>
  <c r="J222" i="1" a="1"/>
  <c r="J222" i="1" s="1"/>
  <c r="M222" i="1" s="1"/>
  <c r="I222" i="1" a="1"/>
  <c r="I222" i="1" s="1"/>
  <c r="L222" i="1" s="1"/>
  <c r="H222" i="1" a="1"/>
  <c r="H222" i="1"/>
  <c r="K222" i="1" s="1"/>
  <c r="G222" i="1"/>
  <c r="L221" i="1"/>
  <c r="J221" i="1" a="1"/>
  <c r="J221" i="1"/>
  <c r="M221" i="1" s="1"/>
  <c r="I221" i="1" a="1"/>
  <c r="I221" i="1" s="1"/>
  <c r="H221" i="1" a="1"/>
  <c r="H221" i="1" s="1"/>
  <c r="K221" i="1" s="1"/>
  <c r="G221" i="1"/>
  <c r="I220" i="1" a="1"/>
  <c r="I220" i="1" s="1"/>
  <c r="L220" i="1" s="1"/>
  <c r="G220" i="1"/>
  <c r="J219" i="1" a="1"/>
  <c r="J219" i="1" s="1"/>
  <c r="M219" i="1" s="1"/>
  <c r="I219" i="1" a="1"/>
  <c r="I219" i="1" s="1"/>
  <c r="L219" i="1" s="1"/>
  <c r="H219" i="1" a="1"/>
  <c r="H219" i="1" s="1"/>
  <c r="K219" i="1" s="1"/>
  <c r="G219" i="1"/>
  <c r="I218" i="1" a="1"/>
  <c r="I218" i="1" s="1"/>
  <c r="L218" i="1" s="1"/>
  <c r="G218" i="1"/>
  <c r="J218" i="1" s="1" a="1"/>
  <c r="J218" i="1" s="1"/>
  <c r="I217" i="1" a="1"/>
  <c r="I217" i="1" s="1"/>
  <c r="L217" i="1" s="1"/>
  <c r="G217" i="1"/>
  <c r="J217" i="1" s="1" a="1"/>
  <c r="J217" i="1" s="1"/>
  <c r="I216" i="1" a="1"/>
  <c r="I216" i="1" s="1"/>
  <c r="L216" i="1" s="1"/>
  <c r="G216" i="1"/>
  <c r="I215" i="1" a="1"/>
  <c r="I215" i="1" s="1"/>
  <c r="L215" i="1" s="1"/>
  <c r="G215" i="1"/>
  <c r="J214" i="1" a="1"/>
  <c r="J214" i="1" s="1"/>
  <c r="M214" i="1" s="1"/>
  <c r="I214" i="1" a="1"/>
  <c r="I214" i="1" s="1"/>
  <c r="L214" i="1" s="1"/>
  <c r="H214" i="1" a="1"/>
  <c r="H214" i="1" s="1"/>
  <c r="K214" i="1" s="1"/>
  <c r="G214" i="1"/>
  <c r="J213" i="1" s="1" a="1"/>
  <c r="J213" i="1" s="1"/>
  <c r="I213" i="1" a="1"/>
  <c r="I213" i="1" s="1"/>
  <c r="L213" i="1" s="1"/>
  <c r="G213" i="1"/>
  <c r="J212" i="1" a="1"/>
  <c r="J212" i="1" s="1"/>
  <c r="M212" i="1" s="1"/>
  <c r="I212" i="1" a="1"/>
  <c r="I212" i="1" s="1"/>
  <c r="L212" i="1" s="1"/>
  <c r="H212" i="1" a="1"/>
  <c r="H212" i="1" s="1"/>
  <c r="K212" i="1" s="1"/>
  <c r="G212" i="1"/>
  <c r="J211" i="1" a="1"/>
  <c r="J211" i="1" s="1"/>
  <c r="M211" i="1" s="1"/>
  <c r="I211" i="1" a="1"/>
  <c r="I211" i="1" s="1"/>
  <c r="L211" i="1" s="1"/>
  <c r="H211" i="1" a="1"/>
  <c r="H211" i="1" s="1"/>
  <c r="K211" i="1" s="1"/>
  <c r="G211" i="1"/>
  <c r="L210" i="1"/>
  <c r="J210" i="1" a="1"/>
  <c r="J210" i="1" s="1"/>
  <c r="M210" i="1" s="1"/>
  <c r="I210" i="1" a="1"/>
  <c r="I210" i="1" s="1"/>
  <c r="H210" i="1" a="1"/>
  <c r="H210" i="1" s="1"/>
  <c r="K210" i="1" s="1"/>
  <c r="G210" i="1"/>
  <c r="J209" i="1" a="1"/>
  <c r="J209" i="1"/>
  <c r="M209" i="1" s="1"/>
  <c r="I209" i="1" a="1"/>
  <c r="I209" i="1" s="1"/>
  <c r="L209" i="1" s="1"/>
  <c r="H209" i="1" a="1"/>
  <c r="H209" i="1" s="1"/>
  <c r="K209" i="1" s="1"/>
  <c r="G209" i="1"/>
  <c r="I208" i="1" a="1"/>
  <c r="I208" i="1" s="1"/>
  <c r="L208" i="1" s="1"/>
  <c r="G208" i="1"/>
  <c r="J207" i="1" a="1"/>
  <c r="J207" i="1" s="1"/>
  <c r="M207" i="1" s="1"/>
  <c r="I207" i="1" a="1"/>
  <c r="I207" i="1" s="1"/>
  <c r="L207" i="1" s="1"/>
  <c r="H207" i="1" a="1"/>
  <c r="H207" i="1" s="1"/>
  <c r="K207" i="1" s="1"/>
  <c r="G207" i="1"/>
  <c r="J206" i="1" a="1"/>
  <c r="J206" i="1" s="1"/>
  <c r="I206" i="1" a="1"/>
  <c r="I206" i="1" s="1"/>
  <c r="L206" i="1" s="1"/>
  <c r="H206" i="1" a="1"/>
  <c r="H206" i="1" s="1"/>
  <c r="G206" i="1"/>
  <c r="M205" i="1"/>
  <c r="J205" i="1" a="1"/>
  <c r="J205" i="1" s="1"/>
  <c r="I205" i="1" a="1"/>
  <c r="I205" i="1" s="1"/>
  <c r="L205" i="1" s="1"/>
  <c r="H205" i="1" a="1"/>
  <c r="H205" i="1" s="1"/>
  <c r="K205" i="1" s="1"/>
  <c r="G205" i="1"/>
  <c r="J204" i="1" a="1"/>
  <c r="J204" i="1"/>
  <c r="M204" i="1" s="1"/>
  <c r="I204" i="1" a="1"/>
  <c r="I204" i="1" s="1"/>
  <c r="L204" i="1" s="1"/>
  <c r="H204" i="1" a="1"/>
  <c r="H204" i="1" s="1"/>
  <c r="K204" i="1" s="1"/>
  <c r="G204" i="1"/>
  <c r="J203" i="1" a="1"/>
  <c r="J203" i="1"/>
  <c r="M203" i="1" s="1"/>
  <c r="I203" i="1" a="1"/>
  <c r="I203" i="1" s="1"/>
  <c r="L203" i="1" s="1"/>
  <c r="H203" i="1" a="1"/>
  <c r="H203" i="1" s="1"/>
  <c r="K203" i="1" s="1"/>
  <c r="G203" i="1"/>
  <c r="L202" i="1"/>
  <c r="J202" i="1" a="1"/>
  <c r="J202" i="1" s="1"/>
  <c r="M202" i="1" s="1"/>
  <c r="I202" i="1" a="1"/>
  <c r="I202" i="1"/>
  <c r="H202" i="1" a="1"/>
  <c r="H202" i="1"/>
  <c r="K202" i="1" s="1"/>
  <c r="G202" i="1"/>
  <c r="I201" i="1" a="1"/>
  <c r="I201" i="1" s="1"/>
  <c r="L201" i="1" s="1"/>
  <c r="G201" i="1"/>
  <c r="I200" i="1" a="1"/>
  <c r="I200" i="1" s="1"/>
  <c r="L200" i="1" s="1"/>
  <c r="G200" i="1"/>
  <c r="J200" i="1" s="1" a="1"/>
  <c r="J200" i="1" s="1"/>
  <c r="I199" i="1" a="1"/>
  <c r="I199" i="1" s="1"/>
  <c r="L199" i="1" s="1"/>
  <c r="H199" i="1" a="1"/>
  <c r="H199" i="1"/>
  <c r="G199" i="1"/>
  <c r="J199" i="1" s="1" a="1"/>
  <c r="J199" i="1" s="1"/>
  <c r="J198" i="1" a="1"/>
  <c r="J198" i="1" s="1"/>
  <c r="M198" i="1" s="1"/>
  <c r="I198" i="1" a="1"/>
  <c r="I198" i="1" s="1"/>
  <c r="L198" i="1" s="1"/>
  <c r="H198" i="1" a="1"/>
  <c r="H198" i="1" s="1"/>
  <c r="K198" i="1" s="1"/>
  <c r="G198" i="1"/>
  <c r="H197" i="1" s="1" a="1"/>
  <c r="H197" i="1" s="1"/>
  <c r="L197" i="1"/>
  <c r="I197" i="1" a="1"/>
  <c r="I197" i="1"/>
  <c r="G197" i="1"/>
  <c r="L196" i="1"/>
  <c r="J196" i="1" a="1"/>
  <c r="J196" i="1" s="1"/>
  <c r="M196" i="1" s="1"/>
  <c r="I196" i="1" a="1"/>
  <c r="I196" i="1"/>
  <c r="H196" i="1" a="1"/>
  <c r="H196" i="1" s="1"/>
  <c r="K196" i="1" s="1"/>
  <c r="G196" i="1"/>
  <c r="L195" i="1"/>
  <c r="J195" i="1" a="1"/>
  <c r="J195" i="1" s="1"/>
  <c r="M195" i="1" s="1"/>
  <c r="I195" i="1" a="1"/>
  <c r="I195" i="1" s="1"/>
  <c r="H195" i="1" a="1"/>
  <c r="H195" i="1"/>
  <c r="K195" i="1" s="1"/>
  <c r="G195" i="1"/>
  <c r="I194" i="1" a="1"/>
  <c r="I194" i="1" s="1"/>
  <c r="L194" i="1" s="1"/>
  <c r="G194" i="1"/>
  <c r="H194" i="1" s="1" a="1"/>
  <c r="H194" i="1" s="1"/>
  <c r="M193" i="1"/>
  <c r="J193" i="1" a="1"/>
  <c r="J193" i="1" s="1"/>
  <c r="I193" i="1" a="1"/>
  <c r="I193" i="1" s="1"/>
  <c r="L193" i="1" s="1"/>
  <c r="H193" i="1" a="1"/>
  <c r="H193" i="1" s="1"/>
  <c r="K193" i="1" s="1"/>
  <c r="G193" i="1"/>
  <c r="L192" i="1"/>
  <c r="I192" i="1" a="1"/>
  <c r="I192" i="1" s="1"/>
  <c r="G192" i="1"/>
  <c r="J191" i="1" a="1"/>
  <c r="J191" i="1" s="1"/>
  <c r="M191" i="1" s="1"/>
  <c r="I191" i="1" a="1"/>
  <c r="I191" i="1"/>
  <c r="L191" i="1" s="1"/>
  <c r="H191" i="1" a="1"/>
  <c r="H191" i="1" s="1"/>
  <c r="K191" i="1" s="1"/>
  <c r="G191" i="1"/>
  <c r="J190" i="1" s="1" a="1"/>
  <c r="J190" i="1" s="1"/>
  <c r="I190" i="1" a="1"/>
  <c r="I190" i="1" s="1"/>
  <c r="L190" i="1" s="1"/>
  <c r="G190" i="1"/>
  <c r="L189" i="1"/>
  <c r="J189" i="1" a="1"/>
  <c r="J189" i="1" s="1"/>
  <c r="M189" i="1" s="1"/>
  <c r="I189" i="1" a="1"/>
  <c r="I189" i="1" s="1"/>
  <c r="H189" i="1" a="1"/>
  <c r="H189" i="1" s="1"/>
  <c r="K189" i="1" s="1"/>
  <c r="G189" i="1"/>
  <c r="J188" i="1" a="1"/>
  <c r="J188" i="1"/>
  <c r="M188" i="1" s="1"/>
  <c r="I188" i="1" a="1"/>
  <c r="I188" i="1" s="1"/>
  <c r="L188" i="1" s="1"/>
  <c r="H188" i="1" a="1"/>
  <c r="H188" i="1" s="1"/>
  <c r="K188" i="1" s="1"/>
  <c r="G188" i="1"/>
  <c r="I187" i="1" a="1"/>
  <c r="I187" i="1" s="1"/>
  <c r="L187" i="1" s="1"/>
  <c r="G187" i="1"/>
  <c r="J186" i="1" a="1"/>
  <c r="J186" i="1" s="1"/>
  <c r="M186" i="1" s="1"/>
  <c r="I186" i="1" a="1"/>
  <c r="I186" i="1" s="1"/>
  <c r="L186" i="1" s="1"/>
  <c r="H186" i="1" a="1"/>
  <c r="H186" i="1"/>
  <c r="K186" i="1" s="1"/>
  <c r="G186" i="1"/>
  <c r="J185" i="1" a="1"/>
  <c r="J185" i="1" s="1"/>
  <c r="I185" i="1" a="1"/>
  <c r="I185" i="1"/>
  <c r="L185" i="1" s="1"/>
  <c r="G185" i="1"/>
  <c r="J184" i="1" a="1"/>
  <c r="J184" i="1" s="1"/>
  <c r="M184" i="1" s="1"/>
  <c r="I184" i="1" a="1"/>
  <c r="I184" i="1" s="1"/>
  <c r="L184" i="1" s="1"/>
  <c r="H184" i="1" a="1"/>
  <c r="H184" i="1" s="1"/>
  <c r="K184" i="1" s="1"/>
  <c r="G184" i="1"/>
  <c r="L183" i="1"/>
  <c r="J183" i="1" a="1"/>
  <c r="J183" i="1" s="1"/>
  <c r="M183" i="1" s="1"/>
  <c r="I183" i="1" a="1"/>
  <c r="I183" i="1" s="1"/>
  <c r="H183" i="1" a="1"/>
  <c r="H183" i="1" s="1"/>
  <c r="K183" i="1" s="1"/>
  <c r="G183" i="1"/>
  <c r="I182" i="1" a="1"/>
  <c r="I182" i="1" s="1"/>
  <c r="L182" i="1" s="1"/>
  <c r="H182" i="1" a="1"/>
  <c r="H182" i="1" s="1"/>
  <c r="G182" i="1"/>
  <c r="J182" i="1" s="1" a="1"/>
  <c r="J182" i="1" s="1"/>
  <c r="M181" i="1"/>
  <c r="J181" i="1" a="1"/>
  <c r="J181" i="1" s="1"/>
  <c r="I181" i="1" a="1"/>
  <c r="I181" i="1" s="1"/>
  <c r="L181" i="1" s="1"/>
  <c r="H181" i="1" a="1"/>
  <c r="H181" i="1" s="1"/>
  <c r="K181" i="1" s="1"/>
  <c r="G181" i="1"/>
  <c r="J180" i="1" a="1"/>
  <c r="J180" i="1" s="1"/>
  <c r="M180" i="1" s="1"/>
  <c r="I180" i="1" a="1"/>
  <c r="I180" i="1" s="1"/>
  <c r="L180" i="1" s="1"/>
  <c r="H180" i="1" a="1"/>
  <c r="H180" i="1" s="1"/>
  <c r="K180" i="1" s="1"/>
  <c r="G180" i="1"/>
  <c r="J179" i="1" a="1"/>
  <c r="J179" i="1"/>
  <c r="M179" i="1" s="1"/>
  <c r="I179" i="1" a="1"/>
  <c r="I179" i="1" s="1"/>
  <c r="L179" i="1" s="1"/>
  <c r="H179" i="1" a="1"/>
  <c r="H179" i="1" s="1"/>
  <c r="K179" i="1" s="1"/>
  <c r="G179" i="1"/>
  <c r="J178" i="1" a="1"/>
  <c r="J178" i="1" s="1"/>
  <c r="M178" i="1" s="1"/>
  <c r="I178" i="1" a="1"/>
  <c r="I178" i="1" s="1"/>
  <c r="L178" i="1" s="1"/>
  <c r="H178" i="1" a="1"/>
  <c r="H178" i="1" s="1"/>
  <c r="K178" i="1" s="1"/>
  <c r="G178" i="1"/>
  <c r="J177" i="1" a="1"/>
  <c r="J177" i="1" s="1"/>
  <c r="M177" i="1" s="1"/>
  <c r="I177" i="1" a="1"/>
  <c r="I177" i="1" s="1"/>
  <c r="L177" i="1" s="1"/>
  <c r="H177" i="1" a="1"/>
  <c r="H177" i="1"/>
  <c r="K177" i="1" s="1"/>
  <c r="G177" i="1"/>
  <c r="J176" i="1" a="1"/>
  <c r="J176" i="1" s="1"/>
  <c r="M176" i="1" s="1"/>
  <c r="I176" i="1" a="1"/>
  <c r="I176" i="1" s="1"/>
  <c r="L176" i="1" s="1"/>
  <c r="H176" i="1" a="1"/>
  <c r="H176" i="1" s="1"/>
  <c r="K176" i="1" s="1"/>
  <c r="G176" i="1"/>
  <c r="J175" i="1" a="1"/>
  <c r="J175" i="1" s="1"/>
  <c r="M175" i="1" s="1"/>
  <c r="I175" i="1" a="1"/>
  <c r="I175" i="1" s="1"/>
  <c r="L175" i="1" s="1"/>
  <c r="H175" i="1" a="1"/>
  <c r="H175" i="1" s="1"/>
  <c r="K175" i="1" s="1"/>
  <c r="G175" i="1"/>
  <c r="I174" i="1" a="1"/>
  <c r="I174" i="1" s="1"/>
  <c r="L174" i="1" s="1"/>
  <c r="G174" i="1"/>
  <c r="J173" i="1" a="1"/>
  <c r="J173" i="1" s="1"/>
  <c r="M173" i="1" s="1"/>
  <c r="I173" i="1" a="1"/>
  <c r="I173" i="1" s="1"/>
  <c r="L173" i="1" s="1"/>
  <c r="H173" i="1" a="1"/>
  <c r="H173" i="1" s="1"/>
  <c r="K173" i="1" s="1"/>
  <c r="G173" i="1"/>
  <c r="J172" i="1" a="1"/>
  <c r="J172" i="1" s="1"/>
  <c r="M172" i="1" s="1"/>
  <c r="I172" i="1" a="1"/>
  <c r="I172" i="1" s="1"/>
  <c r="L172" i="1" s="1"/>
  <c r="H172" i="1" a="1"/>
  <c r="H172" i="1"/>
  <c r="K172" i="1" s="1"/>
  <c r="G172" i="1"/>
  <c r="L171" i="1"/>
  <c r="J171" i="1" a="1"/>
  <c r="J171" i="1" s="1"/>
  <c r="M171" i="1" s="1"/>
  <c r="I171" i="1" a="1"/>
  <c r="I171" i="1" s="1"/>
  <c r="H171" i="1" a="1"/>
  <c r="H171" i="1" s="1"/>
  <c r="K171" i="1" s="1"/>
  <c r="G171" i="1"/>
  <c r="J170" i="1" a="1"/>
  <c r="J170" i="1" s="1"/>
  <c r="M170" i="1" s="1"/>
  <c r="I170" i="1" a="1"/>
  <c r="I170" i="1"/>
  <c r="L170" i="1" s="1"/>
  <c r="H170" i="1" a="1"/>
  <c r="H170" i="1" s="1"/>
  <c r="K170" i="1" s="1"/>
  <c r="G170" i="1"/>
  <c r="L169" i="1"/>
  <c r="I169" i="1" a="1"/>
  <c r="I169" i="1" s="1"/>
  <c r="G169" i="1"/>
  <c r="I168" i="1" a="1"/>
  <c r="I168" i="1" s="1"/>
  <c r="L168" i="1" s="1"/>
  <c r="G168" i="1"/>
  <c r="J168" i="1" s="1" a="1"/>
  <c r="J168" i="1" s="1"/>
  <c r="I167" i="1" a="1"/>
  <c r="I167" i="1" s="1"/>
  <c r="L167" i="1" s="1"/>
  <c r="G167" i="1"/>
  <c r="J166" i="1" a="1"/>
  <c r="J166" i="1" s="1"/>
  <c r="M166" i="1" s="1"/>
  <c r="I166" i="1" a="1"/>
  <c r="I166" i="1"/>
  <c r="L166" i="1" s="1"/>
  <c r="H166" i="1" a="1"/>
  <c r="H166" i="1" s="1"/>
  <c r="K166" i="1" s="1"/>
  <c r="G166" i="1"/>
  <c r="J165" i="1" a="1"/>
  <c r="J165" i="1" s="1"/>
  <c r="M165" i="1" s="1"/>
  <c r="I165" i="1" a="1"/>
  <c r="I165" i="1" s="1"/>
  <c r="L165" i="1" s="1"/>
  <c r="H165" i="1" a="1"/>
  <c r="H165" i="1"/>
  <c r="K165" i="1" s="1"/>
  <c r="G165" i="1"/>
  <c r="J164" i="1" a="1"/>
  <c r="J164" i="1"/>
  <c r="M164" i="1" s="1"/>
  <c r="I164" i="1" a="1"/>
  <c r="I164" i="1"/>
  <c r="L164" i="1" s="1"/>
  <c r="H164" i="1" a="1"/>
  <c r="H164" i="1" s="1"/>
  <c r="K164" i="1" s="1"/>
  <c r="G164" i="1"/>
  <c r="M163" i="1"/>
  <c r="J163" i="1" a="1"/>
  <c r="J163" i="1" s="1"/>
  <c r="I163" i="1" a="1"/>
  <c r="I163" i="1" s="1"/>
  <c r="L163" i="1" s="1"/>
  <c r="H163" i="1" a="1"/>
  <c r="H163" i="1"/>
  <c r="K163" i="1" s="1"/>
  <c r="G163" i="1"/>
  <c r="J162" i="1" a="1"/>
  <c r="J162" i="1" s="1"/>
  <c r="M162" i="1" s="1"/>
  <c r="I162" i="1" a="1"/>
  <c r="I162" i="1" s="1"/>
  <c r="L162" i="1" s="1"/>
  <c r="H162" i="1" a="1"/>
  <c r="H162" i="1" s="1"/>
  <c r="K162" i="1" s="1"/>
  <c r="G162" i="1"/>
  <c r="J161" i="1" a="1"/>
  <c r="J161" i="1" s="1"/>
  <c r="M161" i="1" s="1"/>
  <c r="I161" i="1" a="1"/>
  <c r="I161" i="1" s="1"/>
  <c r="L161" i="1" s="1"/>
  <c r="H161" i="1" a="1"/>
  <c r="H161" i="1" s="1"/>
  <c r="K161" i="1" s="1"/>
  <c r="G161" i="1"/>
  <c r="J160" i="1" a="1"/>
  <c r="J160" i="1" s="1"/>
  <c r="M160" i="1" s="1"/>
  <c r="I160" i="1" a="1"/>
  <c r="I160" i="1" s="1"/>
  <c r="L160" i="1" s="1"/>
  <c r="H160" i="1" a="1"/>
  <c r="H160" i="1"/>
  <c r="K160" i="1" s="1"/>
  <c r="G160" i="1"/>
  <c r="I159" i="1" a="1"/>
  <c r="I159" i="1" s="1"/>
  <c r="L159" i="1" s="1"/>
  <c r="G159" i="1"/>
  <c r="J158" i="1" a="1"/>
  <c r="J158" i="1"/>
  <c r="M158" i="1" s="1"/>
  <c r="I158" i="1" a="1"/>
  <c r="I158" i="1" s="1"/>
  <c r="L158" i="1" s="1"/>
  <c r="H158" i="1" a="1"/>
  <c r="H158" i="1" s="1"/>
  <c r="K158" i="1" s="1"/>
  <c r="G158" i="1"/>
  <c r="M157" i="1"/>
  <c r="J157" i="1" a="1"/>
  <c r="J157" i="1" s="1"/>
  <c r="I157" i="1" a="1"/>
  <c r="I157" i="1"/>
  <c r="L157" i="1" s="1"/>
  <c r="H157" i="1" a="1"/>
  <c r="H157" i="1" s="1"/>
  <c r="K157" i="1" s="1"/>
  <c r="G157" i="1"/>
  <c r="J156" i="1" a="1"/>
  <c r="J156" i="1" s="1"/>
  <c r="M156" i="1" s="1"/>
  <c r="I156" i="1" a="1"/>
  <c r="I156" i="1" s="1"/>
  <c r="L156" i="1" s="1"/>
  <c r="H156" i="1" a="1"/>
  <c r="H156" i="1" s="1"/>
  <c r="K156" i="1" s="1"/>
  <c r="G156" i="1"/>
  <c r="J155" i="1" a="1"/>
  <c r="J155" i="1" s="1"/>
  <c r="M155" i="1" s="1"/>
  <c r="I155" i="1" a="1"/>
  <c r="I155" i="1" s="1"/>
  <c r="L155" i="1" s="1"/>
  <c r="H155" i="1" a="1"/>
  <c r="H155" i="1" s="1"/>
  <c r="K155" i="1" s="1"/>
  <c r="G155" i="1"/>
  <c r="L154" i="1"/>
  <c r="I154" i="1" a="1"/>
  <c r="I154" i="1" s="1"/>
  <c r="G154" i="1"/>
  <c r="J153" i="1" a="1"/>
  <c r="J153" i="1" s="1"/>
  <c r="M153" i="1" s="1"/>
  <c r="I153" i="1" a="1"/>
  <c r="I153" i="1" s="1"/>
  <c r="L153" i="1" s="1"/>
  <c r="H153" i="1" a="1"/>
  <c r="H153" i="1"/>
  <c r="K153" i="1" s="1"/>
  <c r="G153" i="1"/>
  <c r="H150" i="1" s="1" a="1"/>
  <c r="H150" i="1" s="1"/>
  <c r="J152" i="1" a="1"/>
  <c r="J152" i="1" s="1"/>
  <c r="M152" i="1" s="1"/>
  <c r="I152" i="1" a="1"/>
  <c r="I152" i="1" s="1"/>
  <c r="L152" i="1" s="1"/>
  <c r="H152" i="1" a="1"/>
  <c r="H152" i="1" s="1"/>
  <c r="K152" i="1" s="1"/>
  <c r="G152" i="1"/>
  <c r="J151" i="1" a="1"/>
  <c r="J151" i="1" s="1"/>
  <c r="M151" i="1" s="1"/>
  <c r="I151" i="1" a="1"/>
  <c r="I151" i="1"/>
  <c r="L151" i="1" s="1"/>
  <c r="H151" i="1" a="1"/>
  <c r="H151" i="1"/>
  <c r="K151" i="1" s="1"/>
  <c r="G151" i="1"/>
  <c r="L150" i="1"/>
  <c r="I150" i="1" a="1"/>
  <c r="I150" i="1" s="1"/>
  <c r="G150" i="1"/>
  <c r="M149" i="1"/>
  <c r="J149" i="1" a="1"/>
  <c r="J149" i="1"/>
  <c r="I149" i="1" a="1"/>
  <c r="I149" i="1" s="1"/>
  <c r="L149" i="1" s="1"/>
  <c r="H149" i="1" a="1"/>
  <c r="H149" i="1" s="1"/>
  <c r="K149" i="1" s="1"/>
  <c r="G149" i="1"/>
  <c r="K148" i="1"/>
  <c r="J148" i="1" a="1"/>
  <c r="J148" i="1" s="1"/>
  <c r="M148" i="1" s="1"/>
  <c r="I148" i="1" a="1"/>
  <c r="I148" i="1" s="1"/>
  <c r="L148" i="1" s="1"/>
  <c r="H148" i="1" a="1"/>
  <c r="H148" i="1" s="1"/>
  <c r="G148" i="1"/>
  <c r="L147" i="1"/>
  <c r="J147" i="1" a="1"/>
  <c r="J147" i="1" s="1"/>
  <c r="M147" i="1" s="1"/>
  <c r="I147" i="1" a="1"/>
  <c r="I147" i="1" s="1"/>
  <c r="H147" i="1" a="1"/>
  <c r="H147" i="1"/>
  <c r="K147" i="1" s="1"/>
  <c r="G147" i="1"/>
  <c r="J146" i="1" a="1"/>
  <c r="J146" i="1" s="1"/>
  <c r="M146" i="1" s="1"/>
  <c r="I146" i="1" a="1"/>
  <c r="I146" i="1" s="1"/>
  <c r="L146" i="1" s="1"/>
  <c r="H146" i="1" a="1"/>
  <c r="H146" i="1" s="1"/>
  <c r="K146" i="1" s="1"/>
  <c r="G146" i="1"/>
  <c r="J145" i="1" a="1"/>
  <c r="J145" i="1" s="1"/>
  <c r="M145" i="1" s="1"/>
  <c r="I145" i="1" a="1"/>
  <c r="I145" i="1"/>
  <c r="L145" i="1" s="1"/>
  <c r="H145" i="1" a="1"/>
  <c r="H145" i="1"/>
  <c r="K145" i="1" s="1"/>
  <c r="G145" i="1"/>
  <c r="I144" i="1" a="1"/>
  <c r="I144" i="1" s="1"/>
  <c r="L144" i="1" s="1"/>
  <c r="G144" i="1"/>
  <c r="J143" i="1" a="1"/>
  <c r="J143" i="1"/>
  <c r="M143" i="1" s="1"/>
  <c r="I143" i="1" a="1"/>
  <c r="I143" i="1" s="1"/>
  <c r="L143" i="1" s="1"/>
  <c r="H143" i="1" a="1"/>
  <c r="H143" i="1" s="1"/>
  <c r="K143" i="1" s="1"/>
  <c r="G143" i="1"/>
  <c r="M142" i="1"/>
  <c r="J142" i="1" a="1"/>
  <c r="J142" i="1" s="1"/>
  <c r="I142" i="1" a="1"/>
  <c r="I142" i="1" s="1"/>
  <c r="L142" i="1" s="1"/>
  <c r="H142" i="1" a="1"/>
  <c r="H142" i="1" s="1"/>
  <c r="K142" i="1" s="1"/>
  <c r="G142" i="1"/>
  <c r="J141" i="1" a="1"/>
  <c r="J141" i="1"/>
  <c r="M141" i="1" s="1"/>
  <c r="I141" i="1" a="1"/>
  <c r="I141" i="1" s="1"/>
  <c r="L141" i="1" s="1"/>
  <c r="H141" i="1" a="1"/>
  <c r="H141" i="1" s="1"/>
  <c r="K141" i="1" s="1"/>
  <c r="G141" i="1"/>
  <c r="M140" i="1"/>
  <c r="J140" i="1" a="1"/>
  <c r="J140" i="1" s="1"/>
  <c r="I140" i="1" a="1"/>
  <c r="I140" i="1" s="1"/>
  <c r="L140" i="1" s="1"/>
  <c r="H140" i="1" a="1"/>
  <c r="H140" i="1" s="1"/>
  <c r="K140" i="1" s="1"/>
  <c r="G140" i="1"/>
  <c r="K139" i="1"/>
  <c r="J139" i="1" a="1"/>
  <c r="J139" i="1" s="1"/>
  <c r="M139" i="1" s="1"/>
  <c r="I139" i="1" a="1"/>
  <c r="I139" i="1" s="1"/>
  <c r="L139" i="1" s="1"/>
  <c r="H139" i="1" a="1"/>
  <c r="H139" i="1" s="1"/>
  <c r="G139" i="1"/>
  <c r="I138" i="1" a="1"/>
  <c r="I138" i="1" s="1"/>
  <c r="L138" i="1" s="1"/>
  <c r="G138" i="1"/>
  <c r="H138" i="1" s="1" a="1"/>
  <c r="H138" i="1" s="1"/>
  <c r="J137" i="1" a="1"/>
  <c r="J137" i="1" s="1"/>
  <c r="M137" i="1" s="1"/>
  <c r="I137" i="1" a="1"/>
  <c r="I137" i="1" s="1"/>
  <c r="L137" i="1" s="1"/>
  <c r="H137" i="1" a="1"/>
  <c r="H137" i="1" s="1"/>
  <c r="K137" i="1" s="1"/>
  <c r="G137" i="1"/>
  <c r="J136" i="1" a="1"/>
  <c r="J136" i="1" s="1"/>
  <c r="M136" i="1" s="1"/>
  <c r="I136" i="1" a="1"/>
  <c r="I136" i="1" s="1"/>
  <c r="L136" i="1" s="1"/>
  <c r="H136" i="1" a="1"/>
  <c r="H136" i="1" s="1"/>
  <c r="K136" i="1" s="1"/>
  <c r="G136" i="1"/>
  <c r="L135" i="1"/>
  <c r="J135" i="1" a="1"/>
  <c r="J135" i="1" s="1"/>
  <c r="M135" i="1" s="1"/>
  <c r="I135" i="1" a="1"/>
  <c r="I135" i="1" s="1"/>
  <c r="H135" i="1" a="1"/>
  <c r="H135" i="1" s="1"/>
  <c r="K135" i="1" s="1"/>
  <c r="G135" i="1"/>
  <c r="J134" i="1" a="1"/>
  <c r="J134" i="1" s="1"/>
  <c r="M134" i="1" s="1"/>
  <c r="I134" i="1" a="1"/>
  <c r="I134" i="1"/>
  <c r="L134" i="1" s="1"/>
  <c r="H134" i="1" a="1"/>
  <c r="H134" i="1" s="1"/>
  <c r="K134" i="1" s="1"/>
  <c r="G134" i="1"/>
  <c r="J133" i="1" a="1"/>
  <c r="J133" i="1" s="1"/>
  <c r="M133" i="1" s="1"/>
  <c r="I133" i="1" a="1"/>
  <c r="I133" i="1" s="1"/>
  <c r="L133" i="1" s="1"/>
  <c r="H133" i="1" a="1"/>
  <c r="H133" i="1" s="1"/>
  <c r="K133" i="1" s="1"/>
  <c r="G133" i="1"/>
  <c r="J132" i="1" a="1"/>
  <c r="J132" i="1"/>
  <c r="M132" i="1" s="1"/>
  <c r="I132" i="1" a="1"/>
  <c r="I132" i="1" s="1"/>
  <c r="L132" i="1" s="1"/>
  <c r="H132" i="1" a="1"/>
  <c r="H132" i="1"/>
  <c r="K132" i="1" s="1"/>
  <c r="G132" i="1"/>
  <c r="I131" i="1" a="1"/>
  <c r="I131" i="1" s="1"/>
  <c r="L131" i="1" s="1"/>
  <c r="G131" i="1"/>
  <c r="J130" i="1" a="1"/>
  <c r="J130" i="1" s="1"/>
  <c r="M130" i="1" s="1"/>
  <c r="I130" i="1" a="1"/>
  <c r="I130" i="1"/>
  <c r="L130" i="1" s="1"/>
  <c r="H130" i="1" a="1"/>
  <c r="H130" i="1"/>
  <c r="K130" i="1" s="1"/>
  <c r="G130" i="1"/>
  <c r="J129" i="1" a="1"/>
  <c r="J129" i="1" s="1"/>
  <c r="M129" i="1" s="1"/>
  <c r="I129" i="1" a="1"/>
  <c r="I129" i="1" s="1"/>
  <c r="L129" i="1" s="1"/>
  <c r="H129" i="1" a="1"/>
  <c r="H129" i="1" s="1"/>
  <c r="K129" i="1" s="1"/>
  <c r="G129" i="1"/>
  <c r="J128" i="1" a="1"/>
  <c r="J128" i="1"/>
  <c r="M128" i="1" s="1"/>
  <c r="I128" i="1" a="1"/>
  <c r="I128" i="1" s="1"/>
  <c r="L128" i="1" s="1"/>
  <c r="H128" i="1" a="1"/>
  <c r="H128" i="1" s="1"/>
  <c r="K128" i="1" s="1"/>
  <c r="G128" i="1"/>
  <c r="J125" i="1" s="1" a="1"/>
  <c r="J125" i="1" s="1"/>
  <c r="J127" i="1" a="1"/>
  <c r="J127" i="1" s="1"/>
  <c r="M127" i="1" s="1"/>
  <c r="I127" i="1" a="1"/>
  <c r="I127" i="1" s="1"/>
  <c r="L127" i="1" s="1"/>
  <c r="H127" i="1" a="1"/>
  <c r="H127" i="1"/>
  <c r="K127" i="1" s="1"/>
  <c r="G127" i="1"/>
  <c r="J126" i="1" a="1"/>
  <c r="J126" i="1" s="1"/>
  <c r="M126" i="1" s="1"/>
  <c r="I126" i="1" a="1"/>
  <c r="I126" i="1" s="1"/>
  <c r="L126" i="1" s="1"/>
  <c r="H126" i="1" a="1"/>
  <c r="H126" i="1" s="1"/>
  <c r="K126" i="1" s="1"/>
  <c r="G126" i="1"/>
  <c r="I125" i="1" a="1"/>
  <c r="I125" i="1"/>
  <c r="L125" i="1" s="1"/>
  <c r="G125" i="1"/>
  <c r="J124" i="1" a="1"/>
  <c r="J124" i="1" s="1"/>
  <c r="M124" i="1" s="1"/>
  <c r="I124" i="1" a="1"/>
  <c r="I124" i="1"/>
  <c r="L124" i="1" s="1"/>
  <c r="H124" i="1" a="1"/>
  <c r="H124" i="1" s="1"/>
  <c r="K124" i="1" s="1"/>
  <c r="G124" i="1"/>
  <c r="I123" i="1" a="1"/>
  <c r="I123" i="1" s="1"/>
  <c r="L123" i="1" s="1"/>
  <c r="G123" i="1"/>
  <c r="H123" i="1" s="1" a="1"/>
  <c r="H123" i="1" s="1"/>
  <c r="J122" i="1" a="1"/>
  <c r="J122" i="1"/>
  <c r="M122" i="1" s="1"/>
  <c r="I122" i="1" a="1"/>
  <c r="I122" i="1" s="1"/>
  <c r="L122" i="1" s="1"/>
  <c r="H122" i="1" a="1"/>
  <c r="H122" i="1" s="1"/>
  <c r="K122" i="1" s="1"/>
  <c r="G122" i="1"/>
  <c r="J121" i="1" a="1"/>
  <c r="J121" i="1" s="1"/>
  <c r="M121" i="1" s="1"/>
  <c r="I121" i="1" a="1"/>
  <c r="I121" i="1"/>
  <c r="L121" i="1" s="1"/>
  <c r="H121" i="1" a="1"/>
  <c r="H121" i="1"/>
  <c r="K121" i="1" s="1"/>
  <c r="G121" i="1"/>
  <c r="J120" i="1" a="1"/>
  <c r="J120" i="1" s="1"/>
  <c r="M120" i="1" s="1"/>
  <c r="I120" i="1" a="1"/>
  <c r="I120" i="1" s="1"/>
  <c r="L120" i="1" s="1"/>
  <c r="H120" i="1" a="1"/>
  <c r="H120" i="1" s="1"/>
  <c r="K120" i="1" s="1"/>
  <c r="G120" i="1"/>
  <c r="J119" i="1" a="1"/>
  <c r="J119" i="1"/>
  <c r="M119" i="1" s="1"/>
  <c r="I119" i="1" a="1"/>
  <c r="I119" i="1"/>
  <c r="L119" i="1" s="1"/>
  <c r="H119" i="1" a="1"/>
  <c r="H119" i="1" s="1"/>
  <c r="K119" i="1" s="1"/>
  <c r="G119" i="1"/>
  <c r="J118" i="1" a="1"/>
  <c r="J118" i="1" s="1"/>
  <c r="M118" i="1" s="1"/>
  <c r="I118" i="1" a="1"/>
  <c r="I118" i="1" s="1"/>
  <c r="L118" i="1" s="1"/>
  <c r="H118" i="1" a="1"/>
  <c r="H118" i="1" s="1"/>
  <c r="K118" i="1" s="1"/>
  <c r="G118" i="1"/>
  <c r="J117" i="1" a="1"/>
  <c r="J117" i="1" s="1"/>
  <c r="M117" i="1" s="1"/>
  <c r="I117" i="1" a="1"/>
  <c r="I117" i="1" s="1"/>
  <c r="L117" i="1" s="1"/>
  <c r="H117" i="1" a="1"/>
  <c r="H117" i="1"/>
  <c r="K117" i="1" s="1"/>
  <c r="G117" i="1"/>
  <c r="J116" i="1" a="1"/>
  <c r="J116" i="1"/>
  <c r="M116" i="1" s="1"/>
  <c r="I116" i="1" a="1"/>
  <c r="I116" i="1" s="1"/>
  <c r="L116" i="1" s="1"/>
  <c r="H116" i="1" a="1"/>
  <c r="H116" i="1" s="1"/>
  <c r="K116" i="1" s="1"/>
  <c r="G116" i="1"/>
  <c r="J115" i="1" a="1"/>
  <c r="J115" i="1" s="1"/>
  <c r="M115" i="1" s="1"/>
  <c r="I115" i="1" a="1"/>
  <c r="I115" i="1"/>
  <c r="L115" i="1" s="1"/>
  <c r="H115" i="1" a="1"/>
  <c r="H115" i="1" s="1"/>
  <c r="K115" i="1" s="1"/>
  <c r="G115" i="1"/>
  <c r="J114" i="1" a="1"/>
  <c r="J114" i="1" s="1"/>
  <c r="M114" i="1" s="1"/>
  <c r="I114" i="1" a="1"/>
  <c r="I114" i="1" s="1"/>
  <c r="L114" i="1" s="1"/>
  <c r="H114" i="1" a="1"/>
  <c r="H114" i="1"/>
  <c r="K114" i="1" s="1"/>
  <c r="G114" i="1"/>
  <c r="I113" i="1" a="1"/>
  <c r="I113" i="1"/>
  <c r="L113" i="1" s="1"/>
  <c r="G113" i="1"/>
  <c r="M112" i="1"/>
  <c r="J112" i="1" a="1"/>
  <c r="J112" i="1" s="1"/>
  <c r="I112" i="1" a="1"/>
  <c r="I112" i="1" s="1"/>
  <c r="L112" i="1" s="1"/>
  <c r="H112" i="1" a="1"/>
  <c r="H112" i="1" s="1"/>
  <c r="K112" i="1" s="1"/>
  <c r="G112" i="1"/>
  <c r="J111" i="1" a="1"/>
  <c r="J111" i="1"/>
  <c r="M111" i="1" s="1"/>
  <c r="I111" i="1" a="1"/>
  <c r="I111" i="1" s="1"/>
  <c r="L111" i="1" s="1"/>
  <c r="H111" i="1" a="1"/>
  <c r="H111" i="1" s="1"/>
  <c r="K111" i="1" s="1"/>
  <c r="G111" i="1"/>
  <c r="L110" i="1"/>
  <c r="J110" i="1" a="1"/>
  <c r="J110" i="1" s="1"/>
  <c r="M110" i="1" s="1"/>
  <c r="I110" i="1" a="1"/>
  <c r="I110" i="1" s="1"/>
  <c r="H110" i="1" a="1"/>
  <c r="H110" i="1" s="1"/>
  <c r="K110" i="1" s="1"/>
  <c r="G110" i="1"/>
  <c r="J109" i="1" a="1"/>
  <c r="J109" i="1" s="1"/>
  <c r="M109" i="1" s="1"/>
  <c r="I109" i="1" a="1"/>
  <c r="I109" i="1" s="1"/>
  <c r="L109" i="1" s="1"/>
  <c r="H109" i="1" a="1"/>
  <c r="H109" i="1" s="1"/>
  <c r="K109" i="1" s="1"/>
  <c r="G109" i="1"/>
  <c r="J108" i="1" a="1"/>
  <c r="J108" i="1" s="1"/>
  <c r="M108" i="1" s="1"/>
  <c r="I108" i="1" a="1"/>
  <c r="I108" i="1" s="1"/>
  <c r="L108" i="1" s="1"/>
  <c r="H108" i="1" a="1"/>
  <c r="H108" i="1" s="1"/>
  <c r="K108" i="1" s="1"/>
  <c r="G108" i="1"/>
  <c r="L107" i="1"/>
  <c r="J107" i="1" a="1"/>
  <c r="J107" i="1"/>
  <c r="M107" i="1" s="1"/>
  <c r="I107" i="1" a="1"/>
  <c r="I107" i="1" s="1"/>
  <c r="H107" i="1" a="1"/>
  <c r="H107" i="1" s="1"/>
  <c r="K107" i="1" s="1"/>
  <c r="G107" i="1"/>
  <c r="J106" i="1" a="1"/>
  <c r="J106" i="1" s="1"/>
  <c r="M106" i="1" s="1"/>
  <c r="I106" i="1" a="1"/>
  <c r="I106" i="1" s="1"/>
  <c r="L106" i="1" s="1"/>
  <c r="H106" i="1" a="1"/>
  <c r="H106" i="1" s="1"/>
  <c r="K106" i="1" s="1"/>
  <c r="G106" i="1"/>
  <c r="L105" i="1"/>
  <c r="J105" i="1" a="1"/>
  <c r="J105" i="1" s="1"/>
  <c r="M105" i="1" s="1"/>
  <c r="I105" i="1" a="1"/>
  <c r="I105" i="1" s="1"/>
  <c r="H105" i="1" a="1"/>
  <c r="H105" i="1" s="1"/>
  <c r="K105" i="1" s="1"/>
  <c r="G105" i="1"/>
  <c r="J104" i="1" a="1"/>
  <c r="J104" i="1" s="1"/>
  <c r="M104" i="1" s="1"/>
  <c r="I104" i="1" a="1"/>
  <c r="I104" i="1" s="1"/>
  <c r="L104" i="1" s="1"/>
  <c r="H104" i="1" a="1"/>
  <c r="H104" i="1" s="1"/>
  <c r="K104" i="1" s="1"/>
  <c r="G104" i="1"/>
  <c r="J103" i="1" a="1"/>
  <c r="J103" i="1" s="1"/>
  <c r="M103" i="1" s="1"/>
  <c r="I103" i="1" a="1"/>
  <c r="I103" i="1"/>
  <c r="L103" i="1" s="1"/>
  <c r="H103" i="1" a="1"/>
  <c r="H103" i="1" s="1"/>
  <c r="K103" i="1" s="1"/>
  <c r="G103" i="1"/>
  <c r="J102" i="1" a="1"/>
  <c r="J102" i="1" s="1"/>
  <c r="M102" i="1" s="1"/>
  <c r="I102" i="1" a="1"/>
  <c r="I102" i="1" s="1"/>
  <c r="L102" i="1" s="1"/>
  <c r="H102" i="1" a="1"/>
  <c r="H102" i="1" s="1"/>
  <c r="K102" i="1" s="1"/>
  <c r="G102" i="1"/>
  <c r="I101" i="1" a="1"/>
  <c r="I101" i="1" s="1"/>
  <c r="L101" i="1" s="1"/>
  <c r="G101" i="1"/>
  <c r="I100" i="1" a="1"/>
  <c r="I100" i="1" s="1"/>
  <c r="L100" i="1" s="1"/>
  <c r="G100" i="1"/>
  <c r="J99" i="1" a="1"/>
  <c r="J99" i="1" s="1"/>
  <c r="I99" i="1" a="1"/>
  <c r="I99" i="1" s="1"/>
  <c r="L99" i="1" s="1"/>
  <c r="H99" i="1" a="1"/>
  <c r="H99" i="1" s="1"/>
  <c r="G99" i="1"/>
  <c r="J98" i="1" a="1"/>
  <c r="J98" i="1"/>
  <c r="M98" i="1" s="1"/>
  <c r="I98" i="1" a="1"/>
  <c r="I98" i="1" s="1"/>
  <c r="L98" i="1" s="1"/>
  <c r="H98" i="1" a="1"/>
  <c r="H98" i="1" s="1"/>
  <c r="K98" i="1" s="1"/>
  <c r="G98" i="1"/>
  <c r="L97" i="1"/>
  <c r="J97" i="1" a="1"/>
  <c r="J97" i="1" s="1"/>
  <c r="M97" i="1" s="1"/>
  <c r="I97" i="1" a="1"/>
  <c r="I97" i="1" s="1"/>
  <c r="H97" i="1" a="1"/>
  <c r="H97" i="1" s="1"/>
  <c r="K97" i="1" s="1"/>
  <c r="G97" i="1"/>
  <c r="J96" i="1" a="1"/>
  <c r="J96" i="1"/>
  <c r="M96" i="1" s="1"/>
  <c r="I96" i="1" a="1"/>
  <c r="I96" i="1" s="1"/>
  <c r="L96" i="1" s="1"/>
  <c r="H96" i="1" a="1"/>
  <c r="H96" i="1" s="1"/>
  <c r="K96" i="1" s="1"/>
  <c r="G96" i="1"/>
  <c r="J95" i="1" a="1"/>
  <c r="J95" i="1" s="1"/>
  <c r="M95" i="1" s="1"/>
  <c r="I95" i="1" a="1"/>
  <c r="I95" i="1"/>
  <c r="L95" i="1" s="1"/>
  <c r="H95" i="1" a="1"/>
  <c r="H95" i="1" s="1"/>
  <c r="K95" i="1" s="1"/>
  <c r="G95" i="1"/>
  <c r="J94" i="1" a="1"/>
  <c r="J94" i="1" s="1"/>
  <c r="M94" i="1" s="1"/>
  <c r="I94" i="1" a="1"/>
  <c r="I94" i="1"/>
  <c r="L94" i="1" s="1"/>
  <c r="H94" i="1" a="1"/>
  <c r="H94" i="1" s="1"/>
  <c r="K94" i="1" s="1"/>
  <c r="G94" i="1"/>
  <c r="J93" i="1" a="1"/>
  <c r="J93" i="1"/>
  <c r="M93" i="1" s="1"/>
  <c r="I93" i="1" a="1"/>
  <c r="I93" i="1" s="1"/>
  <c r="L93" i="1" s="1"/>
  <c r="H93" i="1" a="1"/>
  <c r="H93" i="1" s="1"/>
  <c r="K93" i="1" s="1"/>
  <c r="G93" i="1"/>
  <c r="J92" i="1" a="1"/>
  <c r="J92" i="1" s="1"/>
  <c r="M92" i="1" s="1"/>
  <c r="I92" i="1" a="1"/>
  <c r="I92" i="1"/>
  <c r="L92" i="1" s="1"/>
  <c r="H92" i="1" a="1"/>
  <c r="H92" i="1" s="1"/>
  <c r="K92" i="1" s="1"/>
  <c r="G92" i="1"/>
  <c r="J91" i="1" a="1"/>
  <c r="J91" i="1" s="1"/>
  <c r="M91" i="1" s="1"/>
  <c r="I91" i="1" a="1"/>
  <c r="I91" i="1" s="1"/>
  <c r="L91" i="1" s="1"/>
  <c r="H91" i="1" a="1"/>
  <c r="H91" i="1" s="1"/>
  <c r="K91" i="1" s="1"/>
  <c r="G91" i="1"/>
  <c r="I90" i="1" a="1"/>
  <c r="I90" i="1" s="1"/>
  <c r="L90" i="1" s="1"/>
  <c r="G90" i="1"/>
  <c r="J89" i="1" a="1"/>
  <c r="J89" i="1" s="1"/>
  <c r="M89" i="1" s="1"/>
  <c r="I89" i="1" a="1"/>
  <c r="I89" i="1" s="1"/>
  <c r="L89" i="1" s="1"/>
  <c r="H89" i="1" a="1"/>
  <c r="H89" i="1" s="1"/>
  <c r="K89" i="1" s="1"/>
  <c r="G89" i="1"/>
  <c r="J88" i="1" a="1"/>
  <c r="J88" i="1" s="1"/>
  <c r="M88" i="1" s="1"/>
  <c r="I88" i="1" a="1"/>
  <c r="I88" i="1" s="1"/>
  <c r="L88" i="1" s="1"/>
  <c r="H88" i="1" a="1"/>
  <c r="H88" i="1" s="1"/>
  <c r="K88" i="1" s="1"/>
  <c r="G88" i="1"/>
  <c r="J87" i="1" a="1"/>
  <c r="J87" i="1"/>
  <c r="M87" i="1" s="1"/>
  <c r="I87" i="1" a="1"/>
  <c r="I87" i="1" s="1"/>
  <c r="L87" i="1" s="1"/>
  <c r="H87" i="1" a="1"/>
  <c r="H87" i="1"/>
  <c r="K87" i="1" s="1"/>
  <c r="G87" i="1"/>
  <c r="J86" i="1" a="1"/>
  <c r="J86" i="1" s="1"/>
  <c r="M86" i="1" s="1"/>
  <c r="I86" i="1" a="1"/>
  <c r="I86" i="1" s="1"/>
  <c r="L86" i="1" s="1"/>
  <c r="H86" i="1" a="1"/>
  <c r="H86" i="1" s="1"/>
  <c r="K86" i="1" s="1"/>
  <c r="G86" i="1"/>
  <c r="J85" i="1" a="1"/>
  <c r="J85" i="1" s="1"/>
  <c r="M85" i="1" s="1"/>
  <c r="I85" i="1" a="1"/>
  <c r="I85" i="1" s="1"/>
  <c r="L85" i="1" s="1"/>
  <c r="H85" i="1" a="1"/>
  <c r="H85" i="1" s="1"/>
  <c r="K85" i="1" s="1"/>
  <c r="G85" i="1"/>
  <c r="J84" i="1" a="1"/>
  <c r="J84" i="1" s="1"/>
  <c r="M84" i="1" s="1"/>
  <c r="I84" i="1" a="1"/>
  <c r="I84" i="1" s="1"/>
  <c r="L84" i="1" s="1"/>
  <c r="H84" i="1" a="1"/>
  <c r="H84" i="1"/>
  <c r="K84" i="1" s="1"/>
  <c r="G84" i="1"/>
  <c r="J83" i="1" a="1"/>
  <c r="J83" i="1" s="1"/>
  <c r="M83" i="1" s="1"/>
  <c r="I83" i="1" a="1"/>
  <c r="I83" i="1" s="1"/>
  <c r="L83" i="1" s="1"/>
  <c r="H83" i="1" a="1"/>
  <c r="H83" i="1" s="1"/>
  <c r="K83" i="1" s="1"/>
  <c r="G83" i="1"/>
  <c r="J82" i="1" a="1"/>
  <c r="J82" i="1" s="1"/>
  <c r="M82" i="1" s="1"/>
  <c r="I82" i="1" a="1"/>
  <c r="I82" i="1" s="1"/>
  <c r="L82" i="1" s="1"/>
  <c r="H82" i="1" a="1"/>
  <c r="H82" i="1"/>
  <c r="K82" i="1" s="1"/>
  <c r="G82" i="1"/>
  <c r="J81" i="1" a="1"/>
  <c r="J81" i="1" s="1"/>
  <c r="M81" i="1" s="1"/>
  <c r="I81" i="1" a="1"/>
  <c r="I81" i="1" s="1"/>
  <c r="L81" i="1" s="1"/>
  <c r="H81" i="1" a="1"/>
  <c r="H81" i="1" s="1"/>
  <c r="K81" i="1" s="1"/>
  <c r="G81" i="1"/>
  <c r="J80" i="1" a="1"/>
  <c r="J80" i="1" s="1"/>
  <c r="M80" i="1" s="1"/>
  <c r="I80" i="1" a="1"/>
  <c r="I80" i="1"/>
  <c r="L80" i="1" s="1"/>
  <c r="H80" i="1" a="1"/>
  <c r="H80" i="1" s="1"/>
  <c r="K80" i="1" s="1"/>
  <c r="G80" i="1"/>
  <c r="I79" i="1" a="1"/>
  <c r="I79" i="1" s="1"/>
  <c r="L79" i="1" s="1"/>
  <c r="G79" i="1"/>
  <c r="L78" i="1"/>
  <c r="J78" i="1" a="1"/>
  <c r="J78" i="1"/>
  <c r="M78" i="1" s="1"/>
  <c r="I78" i="1" a="1"/>
  <c r="I78" i="1" s="1"/>
  <c r="H78" i="1" a="1"/>
  <c r="H78" i="1" s="1"/>
  <c r="K78" i="1" s="1"/>
  <c r="G78" i="1"/>
  <c r="J77" i="1" a="1"/>
  <c r="J77" i="1"/>
  <c r="M77" i="1" s="1"/>
  <c r="I77" i="1" a="1"/>
  <c r="I77" i="1"/>
  <c r="L77" i="1" s="1"/>
  <c r="H77" i="1" a="1"/>
  <c r="H77" i="1" s="1"/>
  <c r="K77" i="1" s="1"/>
  <c r="G77" i="1"/>
  <c r="J76" i="1" a="1"/>
  <c r="J76" i="1" s="1"/>
  <c r="M76" i="1" s="1"/>
  <c r="I76" i="1" a="1"/>
  <c r="I76" i="1" s="1"/>
  <c r="L76" i="1" s="1"/>
  <c r="H76" i="1" a="1"/>
  <c r="H76" i="1"/>
  <c r="K76" i="1" s="1"/>
  <c r="G76" i="1"/>
  <c r="J75" i="1" a="1"/>
  <c r="J75" i="1" s="1"/>
  <c r="M75" i="1" s="1"/>
  <c r="I75" i="1" a="1"/>
  <c r="I75" i="1" s="1"/>
  <c r="L75" i="1" s="1"/>
  <c r="H75" i="1" a="1"/>
  <c r="H75" i="1"/>
  <c r="K75" i="1" s="1"/>
  <c r="G75" i="1"/>
  <c r="J74" i="1" a="1"/>
  <c r="J74" i="1" s="1"/>
  <c r="M74" i="1" s="1"/>
  <c r="I74" i="1" a="1"/>
  <c r="I74" i="1" s="1"/>
  <c r="L74" i="1" s="1"/>
  <c r="H74" i="1" a="1"/>
  <c r="H74" i="1" s="1"/>
  <c r="K74" i="1" s="1"/>
  <c r="G74" i="1"/>
  <c r="J73" i="1" a="1"/>
  <c r="J73" i="1" s="1"/>
  <c r="M73" i="1" s="1"/>
  <c r="I73" i="1" a="1"/>
  <c r="I73" i="1" s="1"/>
  <c r="L73" i="1" s="1"/>
  <c r="H73" i="1" a="1"/>
  <c r="H73" i="1" s="1"/>
  <c r="K73" i="1" s="1"/>
  <c r="G73" i="1"/>
  <c r="J72" i="1" a="1"/>
  <c r="J72" i="1" s="1"/>
  <c r="M72" i="1" s="1"/>
  <c r="I72" i="1" a="1"/>
  <c r="I72" i="1" s="1"/>
  <c r="L72" i="1" s="1"/>
  <c r="H72" i="1" a="1"/>
  <c r="H72" i="1" s="1"/>
  <c r="K72" i="1" s="1"/>
  <c r="G72" i="1"/>
  <c r="J71" i="1" a="1"/>
  <c r="J71" i="1" s="1"/>
  <c r="M71" i="1" s="1"/>
  <c r="I71" i="1" a="1"/>
  <c r="I71" i="1" s="1"/>
  <c r="L71" i="1" s="1"/>
  <c r="H71" i="1" a="1"/>
  <c r="H71" i="1" s="1"/>
  <c r="K71" i="1" s="1"/>
  <c r="G71" i="1"/>
  <c r="M70" i="1"/>
  <c r="J70" i="1" a="1"/>
  <c r="J70" i="1" s="1"/>
  <c r="I70" i="1" a="1"/>
  <c r="I70" i="1" s="1"/>
  <c r="L70" i="1" s="1"/>
  <c r="H70" i="1" a="1"/>
  <c r="H70" i="1"/>
  <c r="K70" i="1" s="1"/>
  <c r="G70" i="1"/>
  <c r="I69" i="1" a="1"/>
  <c r="I69" i="1" s="1"/>
  <c r="L69" i="1" s="1"/>
  <c r="G69" i="1"/>
  <c r="J68" i="1" a="1"/>
  <c r="J68" i="1" s="1"/>
  <c r="M68" i="1" s="1"/>
  <c r="I68" i="1" a="1"/>
  <c r="I68" i="1" s="1"/>
  <c r="L68" i="1" s="1"/>
  <c r="H68" i="1" a="1"/>
  <c r="H68" i="1" s="1"/>
  <c r="K68" i="1" s="1"/>
  <c r="G68" i="1"/>
  <c r="I67" i="1" a="1"/>
  <c r="I67" i="1" s="1"/>
  <c r="L67" i="1" s="1"/>
  <c r="G67" i="1"/>
  <c r="I66" i="1" a="1"/>
  <c r="I66" i="1" s="1"/>
  <c r="L66" i="1" s="1"/>
  <c r="G66" i="1"/>
  <c r="H66" i="1" s="1" a="1"/>
  <c r="H66" i="1" s="1"/>
  <c r="J65" i="1" a="1"/>
  <c r="J65" i="1"/>
  <c r="M65" i="1" s="1"/>
  <c r="I65" i="1" a="1"/>
  <c r="I65" i="1" s="1"/>
  <c r="L65" i="1" s="1"/>
  <c r="H65" i="1" a="1"/>
  <c r="H65" i="1" s="1"/>
  <c r="K65" i="1" s="1"/>
  <c r="G65" i="1"/>
  <c r="J64" i="1" a="1"/>
  <c r="J64" i="1" s="1"/>
  <c r="M64" i="1" s="1"/>
  <c r="I64" i="1" a="1"/>
  <c r="I64" i="1" s="1"/>
  <c r="L64" i="1" s="1"/>
  <c r="H64" i="1" a="1"/>
  <c r="H64" i="1"/>
  <c r="K64" i="1" s="1"/>
  <c r="G64" i="1"/>
  <c r="J63" i="1" a="1"/>
  <c r="J63" i="1" s="1"/>
  <c r="M63" i="1" s="1"/>
  <c r="I63" i="1" a="1"/>
  <c r="I63" i="1" s="1"/>
  <c r="L63" i="1" s="1"/>
  <c r="H63" i="1" a="1"/>
  <c r="H63" i="1" s="1"/>
  <c r="K63" i="1" s="1"/>
  <c r="G63" i="1"/>
  <c r="J62" i="1" a="1"/>
  <c r="J62" i="1"/>
  <c r="M62" i="1" s="1"/>
  <c r="I62" i="1" a="1"/>
  <c r="I62" i="1" s="1"/>
  <c r="L62" i="1" s="1"/>
  <c r="H62" i="1" a="1"/>
  <c r="H62" i="1" s="1"/>
  <c r="K62" i="1" s="1"/>
  <c r="G62" i="1"/>
  <c r="I61" i="1" a="1"/>
  <c r="I61" i="1" s="1"/>
  <c r="L61" i="1" s="1"/>
  <c r="G61" i="1"/>
  <c r="H61" i="1" s="1" a="1"/>
  <c r="H61" i="1" s="1"/>
  <c r="L60" i="1"/>
  <c r="J60" i="1" a="1"/>
  <c r="J60" i="1"/>
  <c r="M60" i="1" s="1"/>
  <c r="I60" i="1" a="1"/>
  <c r="I60" i="1" s="1"/>
  <c r="H60" i="1" a="1"/>
  <c r="H60" i="1" s="1"/>
  <c r="K60" i="1" s="1"/>
  <c r="G60" i="1"/>
  <c r="J59" i="1" a="1"/>
  <c r="J59" i="1"/>
  <c r="M59" i="1" s="1"/>
  <c r="I59" i="1" a="1"/>
  <c r="I59" i="1"/>
  <c r="L59" i="1" s="1"/>
  <c r="H59" i="1" a="1"/>
  <c r="H59" i="1" s="1"/>
  <c r="K59" i="1" s="1"/>
  <c r="G59" i="1"/>
  <c r="L58" i="1"/>
  <c r="J58" i="1" a="1"/>
  <c r="J58" i="1" s="1"/>
  <c r="M58" i="1" s="1"/>
  <c r="I58" i="1" a="1"/>
  <c r="I58" i="1"/>
  <c r="H58" i="1" a="1"/>
  <c r="H58" i="1"/>
  <c r="K58" i="1" s="1"/>
  <c r="G58" i="1"/>
  <c r="J57" i="1" a="1"/>
  <c r="J57" i="1"/>
  <c r="M57" i="1" s="1"/>
  <c r="I57" i="1" a="1"/>
  <c r="I57" i="1" s="1"/>
  <c r="L57" i="1" s="1"/>
  <c r="H57" i="1" a="1"/>
  <c r="H57" i="1" s="1"/>
  <c r="K57" i="1" s="1"/>
  <c r="G57" i="1"/>
  <c r="J56" i="1" a="1"/>
  <c r="J56" i="1" s="1"/>
  <c r="M56" i="1" s="1"/>
  <c r="I56" i="1" a="1"/>
  <c r="I56" i="1" s="1"/>
  <c r="L56" i="1" s="1"/>
  <c r="H56" i="1" a="1"/>
  <c r="H56" i="1" s="1"/>
  <c r="K56" i="1" s="1"/>
  <c r="G56" i="1"/>
  <c r="J55" i="1" a="1"/>
  <c r="J55" i="1" s="1"/>
  <c r="M55" i="1" s="1"/>
  <c r="I55" i="1" a="1"/>
  <c r="I55" i="1" s="1"/>
  <c r="L55" i="1" s="1"/>
  <c r="H55" i="1" a="1"/>
  <c r="H55" i="1"/>
  <c r="K55" i="1" s="1"/>
  <c r="G55" i="1"/>
  <c r="K54" i="1"/>
  <c r="J54" i="1" a="1"/>
  <c r="J54" i="1" s="1"/>
  <c r="M54" i="1" s="1"/>
  <c r="I54" i="1" a="1"/>
  <c r="I54" i="1" s="1"/>
  <c r="L54" i="1" s="1"/>
  <c r="H54" i="1" a="1"/>
  <c r="H54" i="1" s="1"/>
  <c r="G54" i="1"/>
  <c r="J53" i="1" a="1"/>
  <c r="J53" i="1"/>
  <c r="M53" i="1" s="1"/>
  <c r="I53" i="1" a="1"/>
  <c r="I53" i="1"/>
  <c r="L53" i="1" s="1"/>
  <c r="H53" i="1" a="1"/>
  <c r="H53" i="1" s="1"/>
  <c r="K53" i="1" s="1"/>
  <c r="G53" i="1"/>
  <c r="J52" i="1" a="1"/>
  <c r="J52" i="1" s="1"/>
  <c r="M52" i="1" s="1"/>
  <c r="I52" i="1" a="1"/>
  <c r="I52" i="1" s="1"/>
  <c r="L52" i="1" s="1"/>
  <c r="H52" i="1" a="1"/>
  <c r="H52" i="1"/>
  <c r="K52" i="1" s="1"/>
  <c r="G52" i="1"/>
  <c r="J51" i="1" a="1"/>
  <c r="J51" i="1" s="1"/>
  <c r="M51" i="1" s="1"/>
  <c r="I51" i="1" a="1"/>
  <c r="I51" i="1" s="1"/>
  <c r="L51" i="1" s="1"/>
  <c r="H51" i="1" a="1"/>
  <c r="H51" i="1"/>
  <c r="K51" i="1" s="1"/>
  <c r="G51" i="1"/>
  <c r="I50" i="1" a="1"/>
  <c r="I50" i="1"/>
  <c r="L50" i="1" s="1"/>
  <c r="G50" i="1"/>
  <c r="J49" i="1" a="1"/>
  <c r="J49" i="1" s="1"/>
  <c r="M49" i="1" s="1"/>
  <c r="I49" i="1" a="1"/>
  <c r="I49" i="1" s="1"/>
  <c r="L49" i="1" s="1"/>
  <c r="H49" i="1" a="1"/>
  <c r="H49" i="1"/>
  <c r="K49" i="1" s="1"/>
  <c r="G49" i="1"/>
  <c r="J48" i="1" a="1"/>
  <c r="J48" i="1"/>
  <c r="M48" i="1" s="1"/>
  <c r="I48" i="1" a="1"/>
  <c r="I48" i="1" s="1"/>
  <c r="L48" i="1" s="1"/>
  <c r="H48" i="1" a="1"/>
  <c r="H48" i="1" s="1"/>
  <c r="K48" i="1" s="1"/>
  <c r="G48" i="1"/>
  <c r="J47" i="1" a="1"/>
  <c r="J47" i="1" s="1"/>
  <c r="M47" i="1" s="1"/>
  <c r="I47" i="1" a="1"/>
  <c r="I47" i="1"/>
  <c r="L47" i="1" s="1"/>
  <c r="H47" i="1" a="1"/>
  <c r="H47" i="1" s="1"/>
  <c r="K47" i="1" s="1"/>
  <c r="G47" i="1"/>
  <c r="J46" i="1" a="1"/>
  <c r="J46" i="1" s="1"/>
  <c r="M46" i="1" s="1"/>
  <c r="I46" i="1" a="1"/>
  <c r="I46" i="1"/>
  <c r="L46" i="1" s="1"/>
  <c r="H46" i="1" a="1"/>
  <c r="H46" i="1" s="1"/>
  <c r="K46" i="1" s="1"/>
  <c r="G46" i="1"/>
  <c r="J45" i="1" a="1"/>
  <c r="J45" i="1" s="1"/>
  <c r="M45" i="1" s="1"/>
  <c r="I45" i="1" a="1"/>
  <c r="I45" i="1" s="1"/>
  <c r="L45" i="1" s="1"/>
  <c r="H45" i="1" a="1"/>
  <c r="H45" i="1" s="1"/>
  <c r="K45" i="1" s="1"/>
  <c r="G45" i="1"/>
  <c r="J44" i="1" a="1"/>
  <c r="J44" i="1"/>
  <c r="M44" i="1" s="1"/>
  <c r="I44" i="1" a="1"/>
  <c r="I44" i="1" s="1"/>
  <c r="L44" i="1" s="1"/>
  <c r="H44" i="1" a="1"/>
  <c r="H44" i="1" s="1"/>
  <c r="K44" i="1" s="1"/>
  <c r="G44" i="1"/>
  <c r="J43" i="1" a="1"/>
  <c r="J43" i="1" s="1"/>
  <c r="M43" i="1" s="1"/>
  <c r="I43" i="1" a="1"/>
  <c r="I43" i="1"/>
  <c r="L43" i="1" s="1"/>
  <c r="H43" i="1" a="1"/>
  <c r="H43" i="1" s="1"/>
  <c r="K43" i="1" s="1"/>
  <c r="G43" i="1"/>
  <c r="J42" i="1" a="1"/>
  <c r="J42" i="1"/>
  <c r="M42" i="1" s="1"/>
  <c r="I42" i="1" a="1"/>
  <c r="I42" i="1" s="1"/>
  <c r="L42" i="1" s="1"/>
  <c r="H42" i="1" a="1"/>
  <c r="H42" i="1"/>
  <c r="K42" i="1" s="1"/>
  <c r="G42" i="1"/>
  <c r="J41" i="1" a="1"/>
  <c r="J41" i="1" s="1"/>
  <c r="M41" i="1" s="1"/>
  <c r="I41" i="1" a="1"/>
  <c r="I41" i="1" s="1"/>
  <c r="L41" i="1" s="1"/>
  <c r="H41" i="1" a="1"/>
  <c r="H41" i="1" s="1"/>
  <c r="K41" i="1" s="1"/>
  <c r="G41" i="1"/>
  <c r="I40" i="1" a="1"/>
  <c r="I40" i="1" s="1"/>
  <c r="L40" i="1" s="1"/>
  <c r="G40" i="1"/>
  <c r="H40" i="1" s="1" a="1"/>
  <c r="H40" i="1" s="1"/>
  <c r="J39" i="1" a="1"/>
  <c r="J39" i="1"/>
  <c r="M39" i="1" s="1"/>
  <c r="I39" i="1" a="1"/>
  <c r="I39" i="1" s="1"/>
  <c r="L39" i="1" s="1"/>
  <c r="H39" i="1" a="1"/>
  <c r="H39" i="1" s="1"/>
  <c r="K39" i="1" s="1"/>
  <c r="G39" i="1"/>
  <c r="J38" i="1" a="1"/>
  <c r="J38" i="1"/>
  <c r="M38" i="1" s="1"/>
  <c r="I38" i="1" a="1"/>
  <c r="I38" i="1" s="1"/>
  <c r="L38" i="1" s="1"/>
  <c r="H38" i="1" a="1"/>
  <c r="H38" i="1" s="1"/>
  <c r="K38" i="1" s="1"/>
  <c r="G38" i="1"/>
  <c r="J37" i="1" a="1"/>
  <c r="J37" i="1" s="1"/>
  <c r="M37" i="1" s="1"/>
  <c r="I37" i="1" a="1"/>
  <c r="I37" i="1"/>
  <c r="L37" i="1" s="1"/>
  <c r="H37" i="1" a="1"/>
  <c r="H37" i="1"/>
  <c r="K37" i="1" s="1"/>
  <c r="G37" i="1"/>
  <c r="J36" i="1" a="1"/>
  <c r="J36" i="1" s="1"/>
  <c r="M36" i="1" s="1"/>
  <c r="I36" i="1" a="1"/>
  <c r="I36" i="1" s="1"/>
  <c r="L36" i="1" s="1"/>
  <c r="H36" i="1" a="1"/>
  <c r="H36" i="1"/>
  <c r="K36" i="1" s="1"/>
  <c r="G36" i="1"/>
  <c r="I35" i="1" a="1"/>
  <c r="I35" i="1" s="1"/>
  <c r="L35" i="1" s="1"/>
  <c r="G35" i="1"/>
  <c r="J34" i="1" a="1"/>
  <c r="J34" i="1" s="1"/>
  <c r="M34" i="1" s="1"/>
  <c r="I34" i="1" a="1"/>
  <c r="I34" i="1"/>
  <c r="L34" i="1" s="1"/>
  <c r="H34" i="1" a="1"/>
  <c r="H34" i="1" s="1"/>
  <c r="K34" i="1" s="1"/>
  <c r="G34" i="1"/>
  <c r="J33" i="1" a="1"/>
  <c r="J33" i="1" s="1"/>
  <c r="M33" i="1" s="1"/>
  <c r="I33" i="1" a="1"/>
  <c r="I33" i="1" s="1"/>
  <c r="L33" i="1" s="1"/>
  <c r="H33" i="1" a="1"/>
  <c r="H33" i="1" s="1"/>
  <c r="K33" i="1" s="1"/>
  <c r="G33" i="1"/>
  <c r="J32" i="1" a="1"/>
  <c r="J32" i="1" s="1"/>
  <c r="M32" i="1" s="1"/>
  <c r="I32" i="1" a="1"/>
  <c r="I32" i="1"/>
  <c r="L32" i="1" s="1"/>
  <c r="H32" i="1" a="1"/>
  <c r="H32" i="1" s="1"/>
  <c r="K32" i="1" s="1"/>
  <c r="G32" i="1"/>
  <c r="J31" i="1" a="1"/>
  <c r="J31" i="1" s="1"/>
  <c r="M31" i="1" s="1"/>
  <c r="I31" i="1" a="1"/>
  <c r="I31" i="1"/>
  <c r="L31" i="1" s="1"/>
  <c r="H31" i="1" a="1"/>
  <c r="H31" i="1" s="1"/>
  <c r="K31" i="1" s="1"/>
  <c r="G31" i="1"/>
  <c r="H30" i="1" s="1" a="1"/>
  <c r="H30" i="1" s="1"/>
  <c r="J30" i="1" a="1"/>
  <c r="J30" i="1" s="1"/>
  <c r="I30" i="1" a="1"/>
  <c r="I30" i="1" s="1"/>
  <c r="L30" i="1" s="1"/>
  <c r="G30" i="1"/>
  <c r="I29" i="1" a="1"/>
  <c r="I29" i="1"/>
  <c r="L29" i="1" s="1"/>
  <c r="G29" i="1"/>
  <c r="J29" i="1" s="1" a="1"/>
  <c r="J29" i="1" s="1"/>
  <c r="J28" i="1" a="1"/>
  <c r="J28" i="1" s="1"/>
  <c r="M28" i="1" s="1"/>
  <c r="I28" i="1" a="1"/>
  <c r="I28" i="1"/>
  <c r="L28" i="1" s="1"/>
  <c r="H28" i="1" a="1"/>
  <c r="H28" i="1"/>
  <c r="K28" i="1" s="1"/>
  <c r="G28" i="1"/>
  <c r="J27" i="1" a="1"/>
  <c r="J27" i="1"/>
  <c r="M27" i="1" s="1"/>
  <c r="I27" i="1" a="1"/>
  <c r="I27" i="1" s="1"/>
  <c r="L27" i="1" s="1"/>
  <c r="H27" i="1" a="1"/>
  <c r="H27" i="1" s="1"/>
  <c r="K27" i="1" s="1"/>
  <c r="G27" i="1"/>
  <c r="J26" i="1" a="1"/>
  <c r="J26" i="1" s="1"/>
  <c r="M26" i="1" s="1"/>
  <c r="I26" i="1" a="1"/>
  <c r="I26" i="1"/>
  <c r="L26" i="1" s="1"/>
  <c r="H26" i="1" a="1"/>
  <c r="H26" i="1" s="1"/>
  <c r="K26" i="1" s="1"/>
  <c r="G26" i="1"/>
  <c r="J21" i="1" s="1" a="1"/>
  <c r="J21" i="1" s="1"/>
  <c r="J25" i="1" a="1"/>
  <c r="J25" i="1" s="1"/>
  <c r="M25" i="1" s="1"/>
  <c r="I25" i="1" a="1"/>
  <c r="I25" i="1" s="1"/>
  <c r="L25" i="1" s="1"/>
  <c r="H25" i="1" a="1"/>
  <c r="H25" i="1"/>
  <c r="K25" i="1" s="1"/>
  <c r="G25" i="1"/>
  <c r="J24" i="1" a="1"/>
  <c r="J24" i="1"/>
  <c r="M24" i="1" s="1"/>
  <c r="I24" i="1" a="1"/>
  <c r="I24" i="1" s="1"/>
  <c r="L24" i="1" s="1"/>
  <c r="H24" i="1" a="1"/>
  <c r="H24" i="1" s="1"/>
  <c r="K24" i="1" s="1"/>
  <c r="G24" i="1"/>
  <c r="J23" i="1" a="1"/>
  <c r="J23" i="1"/>
  <c r="M23" i="1" s="1"/>
  <c r="I23" i="1" a="1"/>
  <c r="I23" i="1"/>
  <c r="L23" i="1" s="1"/>
  <c r="H23" i="1" a="1"/>
  <c r="H23" i="1" s="1"/>
  <c r="K23" i="1" s="1"/>
  <c r="G23" i="1"/>
  <c r="K22" i="1"/>
  <c r="J22" i="1" a="1"/>
  <c r="J22" i="1" s="1"/>
  <c r="M22" i="1" s="1"/>
  <c r="I22" i="1" a="1"/>
  <c r="I22" i="1" s="1"/>
  <c r="L22" i="1" s="1"/>
  <c r="H22" i="1" a="1"/>
  <c r="H22" i="1"/>
  <c r="G22" i="1"/>
  <c r="I21" i="1" a="1"/>
  <c r="I21" i="1" s="1"/>
  <c r="L21" i="1" s="1"/>
  <c r="G21" i="1"/>
  <c r="H21" i="1" s="1" a="1"/>
  <c r="H21" i="1" s="1"/>
  <c r="J20" i="1" a="1"/>
  <c r="J20" i="1" s="1"/>
  <c r="M20" i="1" s="1"/>
  <c r="I20" i="1" a="1"/>
  <c r="I20" i="1"/>
  <c r="L20" i="1" s="1"/>
  <c r="H20" i="1" a="1"/>
  <c r="H20" i="1" s="1"/>
  <c r="K20" i="1" s="1"/>
  <c r="G20" i="1"/>
  <c r="J19" i="1" a="1"/>
  <c r="J19" i="1" s="1"/>
  <c r="M19" i="1" s="1"/>
  <c r="I19" i="1" a="1"/>
  <c r="I19" i="1" s="1"/>
  <c r="L19" i="1" s="1"/>
  <c r="H19" i="1" a="1"/>
  <c r="H19" i="1" s="1"/>
  <c r="K19" i="1" s="1"/>
  <c r="G19" i="1"/>
  <c r="J18" i="1" a="1"/>
  <c r="J18" i="1"/>
  <c r="M18" i="1" s="1"/>
  <c r="I18" i="1" a="1"/>
  <c r="I18" i="1" s="1"/>
  <c r="L18" i="1" s="1"/>
  <c r="H18" i="1" a="1"/>
  <c r="H18" i="1" s="1"/>
  <c r="K18" i="1" s="1"/>
  <c r="G18" i="1"/>
  <c r="J17" i="1" a="1"/>
  <c r="J17" i="1" s="1"/>
  <c r="M17" i="1" s="1"/>
  <c r="I17" i="1" a="1"/>
  <c r="I17" i="1"/>
  <c r="L17" i="1" s="1"/>
  <c r="H17" i="1" a="1"/>
  <c r="H17" i="1" s="1"/>
  <c r="K17" i="1" s="1"/>
  <c r="G17" i="1"/>
  <c r="J16" i="1" a="1"/>
  <c r="J16" i="1" s="1"/>
  <c r="M16" i="1" s="1"/>
  <c r="I16" i="1" a="1"/>
  <c r="I16" i="1"/>
  <c r="L16" i="1" s="1"/>
  <c r="H16" i="1" a="1"/>
  <c r="H16" i="1"/>
  <c r="K16" i="1" s="1"/>
  <c r="G16" i="1"/>
  <c r="J15" i="1" a="1"/>
  <c r="J15" i="1"/>
  <c r="M15" i="1" s="1"/>
  <c r="I15" i="1" a="1"/>
  <c r="I15" i="1" s="1"/>
  <c r="L15" i="1" s="1"/>
  <c r="H15" i="1" a="1"/>
  <c r="H15" i="1"/>
  <c r="K15" i="1" s="1"/>
  <c r="G15" i="1"/>
  <c r="I14" i="1" a="1"/>
  <c r="I14" i="1" s="1"/>
  <c r="L14" i="1" s="1"/>
  <c r="G14" i="1"/>
  <c r="J13" i="1" a="1"/>
  <c r="J13" i="1" s="1"/>
  <c r="M13" i="1" s="1"/>
  <c r="I13" i="1" a="1"/>
  <c r="I13" i="1"/>
  <c r="L13" i="1" s="1"/>
  <c r="H13" i="1" a="1"/>
  <c r="H13" i="1" s="1"/>
  <c r="K13" i="1" s="1"/>
  <c r="G13" i="1"/>
  <c r="J12" i="1" a="1"/>
  <c r="J12" i="1"/>
  <c r="M12" i="1" s="1"/>
  <c r="I12" i="1" a="1"/>
  <c r="I12" i="1" s="1"/>
  <c r="L12" i="1" s="1"/>
  <c r="H12" i="1" a="1"/>
  <c r="H12" i="1"/>
  <c r="K12" i="1" s="1"/>
  <c r="G12" i="1"/>
  <c r="J11" i="1" a="1"/>
  <c r="J11" i="1" s="1"/>
  <c r="M11" i="1" s="1"/>
  <c r="I11" i="1" a="1"/>
  <c r="I11" i="1" s="1"/>
  <c r="L11" i="1" s="1"/>
  <c r="H11" i="1" a="1"/>
  <c r="H11" i="1" s="1"/>
  <c r="K11" i="1" s="1"/>
  <c r="G11" i="1"/>
  <c r="J10" i="1" a="1"/>
  <c r="J10" i="1" s="1"/>
  <c r="M10" i="1" s="1"/>
  <c r="I10" i="1" a="1"/>
  <c r="I10" i="1"/>
  <c r="L10" i="1" s="1"/>
  <c r="H10" i="1" a="1"/>
  <c r="H10" i="1"/>
  <c r="K10" i="1" s="1"/>
  <c r="G10" i="1"/>
  <c r="J9" i="1" a="1"/>
  <c r="J9" i="1" s="1"/>
  <c r="M9" i="1" s="1"/>
  <c r="I9" i="1" a="1"/>
  <c r="I9" i="1" s="1"/>
  <c r="L9" i="1" s="1"/>
  <c r="H9" i="1" a="1"/>
  <c r="H9" i="1" s="1"/>
  <c r="K9" i="1" s="1"/>
  <c r="G9" i="1"/>
  <c r="J8" i="1" a="1"/>
  <c r="J8" i="1"/>
  <c r="M8" i="1" s="1"/>
  <c r="I8" i="1" a="1"/>
  <c r="I8" i="1"/>
  <c r="L8" i="1" s="1"/>
  <c r="H8" i="1" a="1"/>
  <c r="H8" i="1" s="1"/>
  <c r="K8" i="1" s="1"/>
  <c r="G8" i="1"/>
  <c r="J7" i="1" a="1"/>
  <c r="J7" i="1" s="1"/>
  <c r="M7" i="1" s="1"/>
  <c r="I7" i="1" a="1"/>
  <c r="I7" i="1"/>
  <c r="L7" i="1" s="1"/>
  <c r="H7" i="1" a="1"/>
  <c r="H7" i="1" s="1"/>
  <c r="K7" i="1" s="1"/>
  <c r="G7" i="1"/>
  <c r="J6" i="1" a="1"/>
  <c r="J6" i="1"/>
  <c r="M6" i="1" s="1"/>
  <c r="I6" i="1" a="1"/>
  <c r="I6" i="1" s="1"/>
  <c r="L6" i="1" s="1"/>
  <c r="H6" i="1" a="1"/>
  <c r="H6" i="1"/>
  <c r="K6" i="1" s="1"/>
  <c r="G6" i="1"/>
  <c r="J5" i="1" a="1"/>
  <c r="J5" i="1" s="1"/>
  <c r="M5" i="1" s="1"/>
  <c r="I5" i="1" a="1"/>
  <c r="I5" i="1" s="1"/>
  <c r="L5" i="1" s="1"/>
  <c r="H5" i="1" a="1"/>
  <c r="H5" i="1" s="1"/>
  <c r="K5" i="1" s="1"/>
  <c r="G5" i="1"/>
  <c r="J4" i="1" a="1"/>
  <c r="J4" i="1" s="1"/>
  <c r="M4" i="1" s="1"/>
  <c r="I4" i="1" a="1"/>
  <c r="I4" i="1"/>
  <c r="L4" i="1" s="1"/>
  <c r="H4" i="1" a="1"/>
  <c r="H4" i="1" s="1"/>
  <c r="K4" i="1" s="1"/>
  <c r="G4" i="1"/>
  <c r="J3" i="1" a="1"/>
  <c r="J3" i="1"/>
  <c r="M3" i="1" s="1"/>
  <c r="I3" i="1" a="1"/>
  <c r="I3" i="1" s="1"/>
  <c r="L3" i="1" s="1"/>
  <c r="H3" i="1" a="1"/>
  <c r="H3" i="1"/>
  <c r="K3" i="1" s="1"/>
  <c r="G3" i="1"/>
  <c r="H2" i="1" s="1" a="1"/>
  <c r="H2" i="1" s="1"/>
  <c r="I2" i="1" a="1"/>
  <c r="I2" i="1" s="1"/>
  <c r="L2" i="1" s="1"/>
  <c r="G2" i="1"/>
  <c r="J2" i="1" s="1" a="1"/>
  <c r="J2" i="1" s="1"/>
  <c r="J14" i="1" l="1" a="1"/>
  <c r="J14" i="1" s="1"/>
  <c r="M14" i="1" s="1"/>
  <c r="J69" i="1" a="1"/>
  <c r="J69" i="1" s="1"/>
  <c r="H187" i="1" a="1"/>
  <c r="H187" i="1" s="1"/>
  <c r="J187" i="1" a="1"/>
  <c r="J187" i="1" s="1"/>
  <c r="H50" i="1" a="1"/>
  <c r="H50" i="1" s="1"/>
  <c r="J402" i="1" a="1"/>
  <c r="J402" i="1" s="1"/>
  <c r="H402" i="1" a="1"/>
  <c r="H402" i="1" s="1"/>
  <c r="J399" i="1" a="1"/>
  <c r="J399" i="1" s="1"/>
  <c r="H399" i="1" a="1"/>
  <c r="H399" i="1" s="1"/>
  <c r="J355" i="1" a="1"/>
  <c r="J355" i="1" s="1"/>
  <c r="J194" i="1" a="1"/>
  <c r="J194" i="1" s="1"/>
  <c r="J79" i="1" a="1"/>
  <c r="J79" i="1" s="1"/>
  <c r="H125" i="1" a="1"/>
  <c r="H125" i="1" s="1"/>
  <c r="H218" i="1" a="1"/>
  <c r="H218" i="1" s="1"/>
  <c r="H254" i="1" a="1"/>
  <c r="H254" i="1" s="1"/>
  <c r="J286" i="1" a="1"/>
  <c r="J286" i="1" s="1"/>
  <c r="H14" i="1" a="1"/>
  <c r="H14" i="1" s="1"/>
  <c r="K21" i="1" s="1"/>
  <c r="J90" i="1" a="1"/>
  <c r="J90" i="1" s="1"/>
  <c r="J123" i="1" a="1"/>
  <c r="J123" i="1" s="1"/>
  <c r="J307" i="1" a="1"/>
  <c r="J307" i="1" s="1"/>
  <c r="J391" i="1" a="1"/>
  <c r="J391" i="1" s="1"/>
  <c r="M391" i="1" s="1"/>
  <c r="H391" i="1" a="1"/>
  <c r="H391" i="1" s="1"/>
  <c r="J357" i="1" a="1"/>
  <c r="J357" i="1" s="1"/>
  <c r="H357" i="1" a="1"/>
  <c r="H357" i="1" s="1"/>
  <c r="H67" i="1" a="1"/>
  <c r="H67" i="1" s="1"/>
  <c r="J320" i="1" a="1"/>
  <c r="J320" i="1" s="1"/>
  <c r="J380" i="1" a="1"/>
  <c r="J380" i="1" s="1"/>
  <c r="H380" i="1" a="1"/>
  <c r="H380" i="1" s="1"/>
  <c r="H69" i="1" a="1"/>
  <c r="H69" i="1" s="1"/>
  <c r="J154" i="1" a="1"/>
  <c r="J154" i="1" s="1"/>
  <c r="H433" i="1" a="1"/>
  <c r="H433" i="1" s="1"/>
  <c r="H35" i="1" a="1"/>
  <c r="H35" i="1" s="1"/>
  <c r="K384" i="1" s="1"/>
  <c r="J224" i="1" a="1"/>
  <c r="J224" i="1" s="1"/>
  <c r="J233" i="1" a="1"/>
  <c r="J233" i="1" s="1"/>
  <c r="J266" i="1" a="1"/>
  <c r="J266" i="1" s="1"/>
  <c r="H404" i="1" a="1"/>
  <c r="H404" i="1" s="1"/>
  <c r="J159" i="1" a="1"/>
  <c r="J159" i="1" s="1"/>
  <c r="H384" i="1" a="1"/>
  <c r="H384" i="1" s="1"/>
  <c r="M29" i="1"/>
  <c r="J40" i="1" a="1"/>
  <c r="J40" i="1" s="1"/>
  <c r="J101" i="1" a="1"/>
  <c r="J101" i="1" s="1"/>
  <c r="H220" i="1" a="1"/>
  <c r="H220" i="1" s="1"/>
  <c r="H354" i="1" a="1"/>
  <c r="H354" i="1" s="1"/>
  <c r="J354" i="1" a="1"/>
  <c r="J354" i="1" s="1"/>
  <c r="H430" i="1" a="1"/>
  <c r="H430" i="1" s="1"/>
  <c r="H192" i="1" a="1"/>
  <c r="H192" i="1" s="1"/>
  <c r="J263" i="1" a="1"/>
  <c r="J263" i="1" s="1"/>
  <c r="J295" i="1" a="1"/>
  <c r="J295" i="1" s="1"/>
  <c r="H420" i="1" a="1"/>
  <c r="H420" i="1" s="1"/>
  <c r="H447" i="1" a="1"/>
  <c r="H447" i="1" s="1"/>
  <c r="J449" i="1" a="1"/>
  <c r="J449" i="1" s="1"/>
  <c r="H508" i="1" a="1"/>
  <c r="H508" i="1" s="1"/>
  <c r="J532" i="1" a="1"/>
  <c r="J532" i="1" s="1"/>
  <c r="H605" i="1" a="1"/>
  <c r="H605" i="1" s="1"/>
  <c r="J607" i="1" a="1"/>
  <c r="J607" i="1" s="1"/>
  <c r="J227" i="1" a="1"/>
  <c r="J227" i="1" s="1"/>
  <c r="J299" i="1" a="1"/>
  <c r="J299" i="1" s="1"/>
  <c r="H478" i="1" a="1"/>
  <c r="H478" i="1" s="1"/>
  <c r="H574" i="1" a="1"/>
  <c r="H574" i="1" s="1"/>
  <c r="J397" i="1" a="1"/>
  <c r="J397" i="1" s="1"/>
  <c r="J459" i="1" a="1"/>
  <c r="J459" i="1" s="1"/>
  <c r="J468" i="1" a="1"/>
  <c r="J468" i="1" s="1"/>
  <c r="J508" i="1" a="1"/>
  <c r="J508" i="1" s="1"/>
  <c r="H533" i="1" a="1"/>
  <c r="H533" i="1" s="1"/>
  <c r="H240" i="1" a="1"/>
  <c r="H240" i="1" s="1"/>
  <c r="H269" i="1" a="1"/>
  <c r="H269" i="1" s="1"/>
  <c r="H358" i="1" a="1"/>
  <c r="H358" i="1" s="1"/>
  <c r="J361" i="1" a="1"/>
  <c r="J361" i="1" s="1"/>
  <c r="H387" i="1" a="1"/>
  <c r="H387" i="1" s="1"/>
  <c r="J440" i="1" a="1"/>
  <c r="J440" i="1" s="1"/>
  <c r="J495" i="1" a="1"/>
  <c r="J495" i="1" s="1"/>
  <c r="J533" i="1" a="1"/>
  <c r="J533" i="1" s="1"/>
  <c r="J584" i="1" a="1"/>
  <c r="J584" i="1" s="1"/>
  <c r="H475" i="1" a="1"/>
  <c r="H475" i="1" s="1"/>
  <c r="J593" i="1" a="1"/>
  <c r="J593" i="1" s="1"/>
  <c r="H243" i="1" a="1"/>
  <c r="H243" i="1" s="1"/>
  <c r="H314" i="1" a="1"/>
  <c r="H314" i="1" s="1"/>
  <c r="J336" i="1" a="1"/>
  <c r="J336" i="1" s="1"/>
  <c r="J513" i="1" a="1"/>
  <c r="J513" i="1" s="1"/>
  <c r="H423" i="1" a="1"/>
  <c r="H423" i="1" s="1"/>
  <c r="J424" i="1" a="1"/>
  <c r="J424" i="1" s="1"/>
  <c r="H453" i="1" a="1"/>
  <c r="H453" i="1" s="1"/>
  <c r="H513" i="1" a="1"/>
  <c r="H513" i="1" s="1"/>
  <c r="J582" i="1" a="1"/>
  <c r="J582" i="1" s="1"/>
  <c r="J621" i="1" a="1"/>
  <c r="J621" i="1" s="1"/>
  <c r="H307" i="1" a="1"/>
  <c r="H307" i="1" s="1"/>
  <c r="J349" i="1" a="1"/>
  <c r="J349" i="1" s="1"/>
  <c r="J378" i="1" a="1"/>
  <c r="J378" i="1" s="1"/>
  <c r="J407" i="1" a="1"/>
  <c r="J407" i="1" s="1"/>
  <c r="M2" i="1"/>
  <c r="M21" i="1"/>
  <c r="M79" i="1"/>
  <c r="K2" i="1"/>
  <c r="M30" i="1"/>
  <c r="K14" i="1"/>
  <c r="J50" i="1" a="1"/>
  <c r="J50" i="1" s="1"/>
  <c r="J66" i="1" a="1"/>
  <c r="J66" i="1" s="1"/>
  <c r="H238" i="1" a="1"/>
  <c r="H238" i="1" s="1"/>
  <c r="J238" i="1" a="1"/>
  <c r="J238" i="1" s="1"/>
  <c r="J67" i="1" a="1"/>
  <c r="J67" i="1" s="1"/>
  <c r="J35" i="1" a="1"/>
  <c r="J35" i="1" s="1"/>
  <c r="M35" i="1" s="1"/>
  <c r="J216" i="1" a="1"/>
  <c r="J216" i="1" s="1"/>
  <c r="H216" i="1" a="1"/>
  <c r="H216" i="1" s="1"/>
  <c r="H113" i="1" a="1"/>
  <c r="H113" i="1" s="1"/>
  <c r="H200" i="1" a="1"/>
  <c r="H200" i="1" s="1"/>
  <c r="J131" i="1" a="1"/>
  <c r="J131" i="1" s="1"/>
  <c r="H131" i="1" a="1"/>
  <c r="H131" i="1" s="1"/>
  <c r="J174" i="1" a="1"/>
  <c r="J174" i="1" s="1"/>
  <c r="H90" i="1" a="1"/>
  <c r="H90" i="1" s="1"/>
  <c r="H101" i="1" a="1"/>
  <c r="H101" i="1" s="1"/>
  <c r="H154" i="1" a="1"/>
  <c r="H154" i="1" s="1"/>
  <c r="H168" i="1" a="1"/>
  <c r="H168" i="1" s="1"/>
  <c r="J197" i="1" a="1"/>
  <c r="J197" i="1" s="1"/>
  <c r="J169" i="1" a="1"/>
  <c r="J169" i="1" s="1"/>
  <c r="H169" i="1" a="1"/>
  <c r="H169" i="1" s="1"/>
  <c r="H79" i="1" a="1"/>
  <c r="H79" i="1" s="1"/>
  <c r="K79" i="1" s="1"/>
  <c r="J208" i="1" a="1"/>
  <c r="J208" i="1" s="1"/>
  <c r="H29" i="1" a="1"/>
  <c r="H29" i="1" s="1"/>
  <c r="K29" i="1" s="1"/>
  <c r="H100" i="1" a="1"/>
  <c r="H100" i="1" s="1"/>
  <c r="J100" i="1" a="1"/>
  <c r="J100" i="1" s="1"/>
  <c r="J61" i="1" a="1"/>
  <c r="J61" i="1" s="1"/>
  <c r="J113" i="1" a="1"/>
  <c r="J113" i="1" s="1"/>
  <c r="J138" i="1" a="1"/>
  <c r="J138" i="1" s="1"/>
  <c r="J150" i="1" a="1"/>
  <c r="J150" i="1" s="1"/>
  <c r="J167" i="1" a="1"/>
  <c r="J167" i="1" s="1"/>
  <c r="H167" i="1" a="1"/>
  <c r="H167" i="1" s="1"/>
  <c r="H174" i="1" a="1"/>
  <c r="H174" i="1" s="1"/>
  <c r="H208" i="1" a="1"/>
  <c r="H208" i="1" s="1"/>
  <c r="H258" i="1" a="1"/>
  <c r="H258" i="1" s="1"/>
  <c r="H201" i="1" a="1"/>
  <c r="H201" i="1" s="1"/>
  <c r="J229" i="1" a="1"/>
  <c r="J229" i="1" s="1"/>
  <c r="H229" i="1" a="1"/>
  <c r="H229" i="1" s="1"/>
  <c r="J258" i="1" a="1"/>
  <c r="J258" i="1" s="1"/>
  <c r="J144" i="1" a="1"/>
  <c r="J144" i="1" s="1"/>
  <c r="H190" i="1" a="1"/>
  <c r="H190" i="1" s="1"/>
  <c r="J220" i="1" a="1"/>
  <c r="J220" i="1" s="1"/>
  <c r="H144" i="1" a="1"/>
  <c r="H144" i="1" s="1"/>
  <c r="J192" i="1" a="1"/>
  <c r="J192" i="1" s="1"/>
  <c r="H217" i="1" a="1"/>
  <c r="H217" i="1" s="1"/>
  <c r="H228" i="1" a="1"/>
  <c r="H228" i="1" s="1"/>
  <c r="K228" i="1" s="1"/>
  <c r="J228" i="1" a="1"/>
  <c r="J228" i="1" s="1"/>
  <c r="H213" i="1" a="1"/>
  <c r="H213" i="1" s="1"/>
  <c r="J285" i="1" a="1"/>
  <c r="J285" i="1" s="1"/>
  <c r="H285" i="1" a="1"/>
  <c r="H285" i="1" s="1"/>
  <c r="H159" i="1" a="1"/>
  <c r="H159" i="1" s="1"/>
  <c r="H185" i="1" a="1"/>
  <c r="H185" i="1" s="1"/>
  <c r="H215" i="1" a="1"/>
  <c r="H215" i="1" s="1"/>
  <c r="J215" i="1" a="1"/>
  <c r="J215" i="1" s="1"/>
  <c r="J201" i="1" a="1"/>
  <c r="J201" i="1" s="1"/>
  <c r="J243" i="1" a="1"/>
  <c r="J243" i="1" s="1"/>
  <c r="J296" i="1" a="1"/>
  <c r="J296" i="1" s="1"/>
  <c r="H296" i="1" a="1"/>
  <c r="H296" i="1" s="1"/>
  <c r="J319" i="1" a="1"/>
  <c r="J319" i="1" s="1"/>
  <c r="H445" i="1" a="1"/>
  <c r="H445" i="1" s="1"/>
  <c r="H227" i="1" a="1"/>
  <c r="H227" i="1" s="1"/>
  <c r="H263" i="1" a="1"/>
  <c r="H263" i="1" s="1"/>
  <c r="H286" i="1" a="1"/>
  <c r="H286" i="1" s="1"/>
  <c r="H299" i="1" a="1"/>
  <c r="H299" i="1" s="1"/>
  <c r="J313" i="1" a="1"/>
  <c r="J313" i="1" s="1"/>
  <c r="J356" i="1" a="1"/>
  <c r="J356" i="1" s="1"/>
  <c r="H356" i="1" a="1"/>
  <c r="H356" i="1" s="1"/>
  <c r="M327" i="1"/>
  <c r="H411" i="1" a="1"/>
  <c r="H411" i="1" s="1"/>
  <c r="J318" i="1" a="1"/>
  <c r="J318" i="1" s="1"/>
  <c r="H349" i="1" a="1"/>
  <c r="H349" i="1" s="1"/>
  <c r="J372" i="1" a="1"/>
  <c r="J372" i="1" s="1"/>
  <c r="H372" i="1" a="1"/>
  <c r="H372" i="1" s="1"/>
  <c r="J314" i="1" a="1"/>
  <c r="J314" i="1" s="1"/>
  <c r="H320" i="1" a="1"/>
  <c r="H320" i="1" s="1"/>
  <c r="H326" i="1" a="1"/>
  <c r="H326" i="1" s="1"/>
  <c r="H332" i="1" a="1"/>
  <c r="H332" i="1" s="1"/>
  <c r="H361" i="1" a="1"/>
  <c r="H361" i="1" s="1"/>
  <c r="H265" i="1" a="1"/>
  <c r="H265" i="1" s="1"/>
  <c r="J381" i="1" a="1"/>
  <c r="J381" i="1" s="1"/>
  <c r="H336" i="1" a="1"/>
  <c r="H336" i="1" s="1"/>
  <c r="J387" i="1" a="1"/>
  <c r="J387" i="1" s="1"/>
  <c r="H328" i="1" a="1"/>
  <c r="H328" i="1" s="1"/>
  <c r="H334" i="1" a="1"/>
  <c r="H334" i="1" s="1"/>
  <c r="J359" i="1" a="1"/>
  <c r="J359" i="1" s="1"/>
  <c r="H359" i="1" a="1"/>
  <c r="H359" i="1" s="1"/>
  <c r="J439" i="1" a="1"/>
  <c r="J439" i="1" s="1"/>
  <c r="H439" i="1" a="1"/>
  <c r="H439" i="1" s="1"/>
  <c r="J364" i="1" a="1"/>
  <c r="J364" i="1" s="1"/>
  <c r="J411" i="1" a="1"/>
  <c r="J411" i="1" s="1"/>
  <c r="J471" i="1" a="1"/>
  <c r="J471" i="1" s="1"/>
  <c r="H471" i="1" a="1"/>
  <c r="H471" i="1" s="1"/>
  <c r="H519" i="1" a="1"/>
  <c r="H519" i="1" s="1"/>
  <c r="J519" i="1" a="1"/>
  <c r="J519" i="1" s="1"/>
  <c r="H427" i="1" a="1"/>
  <c r="H427" i="1" s="1"/>
  <c r="J427" i="1" a="1"/>
  <c r="J427" i="1" s="1"/>
  <c r="J453" i="1" a="1"/>
  <c r="J453" i="1" s="1"/>
  <c r="H381" i="1" a="1"/>
  <c r="H381" i="1" s="1"/>
  <c r="J420" i="1" a="1"/>
  <c r="J420" i="1" s="1"/>
  <c r="H424" i="1" a="1"/>
  <c r="H424" i="1" s="1"/>
  <c r="J437" i="1" a="1"/>
  <c r="J437" i="1" s="1"/>
  <c r="H437" i="1" a="1"/>
  <c r="H437" i="1" s="1"/>
  <c r="J478" i="1" a="1"/>
  <c r="J478" i="1" s="1"/>
  <c r="H497" i="1" a="1"/>
  <c r="H497" i="1" s="1"/>
  <c r="J530" i="1" a="1"/>
  <c r="J530" i="1" s="1"/>
  <c r="H530" i="1" a="1"/>
  <c r="H530" i="1" s="1"/>
  <c r="J587" i="1" a="1"/>
  <c r="J587" i="1" s="1"/>
  <c r="H587" i="1" a="1"/>
  <c r="H587" i="1" s="1"/>
  <c r="H364" i="1" a="1"/>
  <c r="H364" i="1" s="1"/>
  <c r="J400" i="1" a="1"/>
  <c r="J400" i="1" s="1"/>
  <c r="H400" i="1" a="1"/>
  <c r="H400" i="1" s="1"/>
  <c r="J416" i="1" a="1"/>
  <c r="J416" i="1" s="1"/>
  <c r="H416" i="1" a="1"/>
  <c r="H416" i="1" s="1"/>
  <c r="J490" i="1" a="1"/>
  <c r="J490" i="1" s="1"/>
  <c r="H490" i="1" a="1"/>
  <c r="H490" i="1" s="1"/>
  <c r="H392" i="1" a="1"/>
  <c r="H392" i="1" s="1"/>
  <c r="J431" i="1" a="1"/>
  <c r="J431" i="1" s="1"/>
  <c r="H431" i="1" a="1"/>
  <c r="H431" i="1" s="1"/>
  <c r="H459" i="1" a="1"/>
  <c r="H459" i="1" s="1"/>
  <c r="J405" i="1" a="1"/>
  <c r="J405" i="1" s="1"/>
  <c r="H405" i="1" a="1"/>
  <c r="H405" i="1" s="1"/>
  <c r="H449" i="1" a="1"/>
  <c r="H449" i="1" s="1"/>
  <c r="H438" i="1" a="1"/>
  <c r="H438" i="1" s="1"/>
  <c r="J438" i="1" a="1"/>
  <c r="J438" i="1" s="1"/>
  <c r="J475" i="1" a="1"/>
  <c r="J475" i="1" s="1"/>
  <c r="J485" i="1" a="1"/>
  <c r="J485" i="1" s="1"/>
  <c r="H485" i="1" a="1"/>
  <c r="H485" i="1" s="1"/>
  <c r="J441" i="1" a="1"/>
  <c r="J441" i="1" s="1"/>
  <c r="J499" i="1" a="1"/>
  <c r="J499" i="1" s="1"/>
  <c r="H499" i="1" a="1"/>
  <c r="H499" i="1" s="1"/>
  <c r="J537" i="1" a="1"/>
  <c r="J537" i="1" s="1"/>
  <c r="H537" i="1" a="1"/>
  <c r="H537" i="1" s="1"/>
  <c r="J557" i="1" a="1"/>
  <c r="J557" i="1" s="1"/>
  <c r="J622" i="1" a="1"/>
  <c r="J622" i="1" s="1"/>
  <c r="H622" i="1" a="1"/>
  <c r="H622" i="1" s="1"/>
  <c r="H457" i="1" a="1"/>
  <c r="H457" i="1" s="1"/>
  <c r="J14" i="4" a="1"/>
  <c r="J14" i="4" s="1"/>
  <c r="M14" i="4" s="1"/>
  <c r="H14" i="4" a="1"/>
  <c r="H14" i="4" s="1"/>
  <c r="J433" i="1" a="1"/>
  <c r="J433" i="1" s="1"/>
  <c r="H547" i="1" a="1"/>
  <c r="H547" i="1" s="1"/>
  <c r="J547" i="1" a="1"/>
  <c r="J547" i="1" s="1"/>
  <c r="J553" i="1" a="1"/>
  <c r="J553" i="1" s="1"/>
  <c r="H2" i="4" a="1"/>
  <c r="H2" i="4" s="1"/>
  <c r="I2" i="4" a="1"/>
  <c r="I2" i="4" s="1"/>
  <c r="L200" i="4" s="1"/>
  <c r="H542" i="1" a="1"/>
  <c r="H542" i="1" s="1"/>
  <c r="H553" i="1" a="1"/>
  <c r="H553" i="1" s="1"/>
  <c r="H619" i="1" a="1"/>
  <c r="H619" i="1" s="1"/>
  <c r="J619" i="1" a="1"/>
  <c r="J619" i="1" s="1"/>
  <c r="H572" i="1" a="1"/>
  <c r="H572" i="1" s="1"/>
  <c r="J572" i="1" a="1"/>
  <c r="J572" i="1" s="1"/>
  <c r="L14" i="4"/>
  <c r="J50" i="4" a="1"/>
  <c r="J50" i="4" s="1"/>
  <c r="H50" i="4" a="1"/>
  <c r="H50" i="4" s="1"/>
  <c r="H100" i="4" a="1"/>
  <c r="H100" i="4" s="1"/>
  <c r="I100" i="4" a="1"/>
  <c r="I100" i="4" s="1"/>
  <c r="H220" i="4" a="1"/>
  <c r="H220" i="4" s="1"/>
  <c r="K220" i="4" s="1"/>
  <c r="J220" i="4" a="1"/>
  <c r="J220" i="4" s="1"/>
  <c r="M2" i="4"/>
  <c r="H495" i="1" a="1"/>
  <c r="H495" i="1" s="1"/>
  <c r="K495" i="1" s="1"/>
  <c r="J574" i="1" a="1"/>
  <c r="J574" i="1" s="1"/>
  <c r="H579" i="1" a="1"/>
  <c r="H579" i="1" s="1"/>
  <c r="H182" i="4" a="1"/>
  <c r="H182" i="4" s="1"/>
  <c r="I182" i="4" a="1"/>
  <c r="I182" i="4" s="1"/>
  <c r="J542" i="1" a="1"/>
  <c r="J542" i="1" s="1"/>
  <c r="H557" i="1" a="1"/>
  <c r="H557" i="1" s="1"/>
  <c r="M61" i="4"/>
  <c r="J125" i="4" a="1"/>
  <c r="J125" i="4" s="1"/>
  <c r="J154" i="4" a="1"/>
  <c r="J154" i="4" s="1"/>
  <c r="H154" i="4" a="1"/>
  <c r="H154" i="4" s="1"/>
  <c r="I216" i="4" a="1"/>
  <c r="I216" i="4" s="1"/>
  <c r="H216" i="4" a="1"/>
  <c r="H216" i="4" s="1"/>
  <c r="H593" i="1" a="1"/>
  <c r="H593" i="1" s="1"/>
  <c r="J614" i="1" a="1"/>
  <c r="J614" i="1" s="1"/>
  <c r="J113" i="4" a="1"/>
  <c r="J113" i="4" s="1"/>
  <c r="H591" i="1" a="1"/>
  <c r="H591" i="1" s="1"/>
  <c r="J612" i="1" a="1"/>
  <c r="J612" i="1" s="1"/>
  <c r="H612" i="1" a="1"/>
  <c r="H612" i="1" s="1"/>
  <c r="H21" i="4" a="1"/>
  <c r="H21" i="4" s="1"/>
  <c r="J138" i="4" a="1"/>
  <c r="J138" i="4" s="1"/>
  <c r="H138" i="4" a="1"/>
  <c r="H138" i="4" s="1"/>
  <c r="J169" i="4" a="1"/>
  <c r="J169" i="4" s="1"/>
  <c r="H169" i="4" a="1"/>
  <c r="H169" i="4" s="1"/>
  <c r="J562" i="1" a="1"/>
  <c r="J562" i="1" s="1"/>
  <c r="L21" i="4"/>
  <c r="J40" i="4" a="1"/>
  <c r="J40" i="4" s="1"/>
  <c r="H40" i="4" a="1"/>
  <c r="H40" i="4" s="1"/>
  <c r="D11" i="2"/>
  <c r="D28" i="2"/>
  <c r="D44" i="2"/>
  <c r="D64" i="2"/>
  <c r="I113" i="4" a="1"/>
  <c r="I113" i="4" s="1"/>
  <c r="H113" i="4" a="1"/>
  <c r="H113" i="4" s="1"/>
  <c r="D2" i="2"/>
  <c r="D20" i="2"/>
  <c r="D37" i="2"/>
  <c r="D53" i="2"/>
  <c r="D72" i="2"/>
  <c r="D60" i="2"/>
  <c r="D48" i="2"/>
  <c r="D36" i="2"/>
  <c r="D24" i="2"/>
  <c r="D12" i="2"/>
  <c r="D71" i="2"/>
  <c r="D58" i="2"/>
  <c r="D45" i="2"/>
  <c r="D32" i="2"/>
  <c r="D19" i="2"/>
  <c r="D6" i="2"/>
  <c r="D62" i="2"/>
  <c r="D47" i="2"/>
  <c r="D33" i="2"/>
  <c r="D18" i="2"/>
  <c r="D4" i="2"/>
  <c r="D61" i="2"/>
  <c r="D46" i="2"/>
  <c r="D31" i="2"/>
  <c r="D17" i="2"/>
  <c r="D3" i="2"/>
  <c r="D21" i="2"/>
  <c r="D38" i="2"/>
  <c r="D54" i="2"/>
  <c r="D70" i="2"/>
  <c r="I30" i="4" a="1"/>
  <c r="I30" i="4" s="1"/>
  <c r="L30" i="4" s="1"/>
  <c r="J67" i="4" a="1"/>
  <c r="J67" i="4" s="1"/>
  <c r="H67" i="4" a="1"/>
  <c r="H67" i="4" s="1"/>
  <c r="D5" i="2"/>
  <c r="D22" i="2"/>
  <c r="D39" i="2"/>
  <c r="D55" i="2"/>
  <c r="D73" i="2"/>
  <c r="H35" i="4" a="1"/>
  <c r="H35" i="4" s="1"/>
  <c r="I125" i="4" a="1"/>
  <c r="I125" i="4" s="1"/>
  <c r="H125" i="4" a="1"/>
  <c r="H125" i="4" s="1"/>
  <c r="D7" i="2"/>
  <c r="D23" i="2"/>
  <c r="D40" i="2"/>
  <c r="D56" i="2"/>
  <c r="D74" i="2"/>
  <c r="H30" i="4" a="1"/>
  <c r="H30" i="4" s="1"/>
  <c r="I144" i="4" a="1"/>
  <c r="I144" i="4" s="1"/>
  <c r="I167" i="4" a="1"/>
  <c r="I167" i="4" s="1"/>
  <c r="H167" i="4" a="1"/>
  <c r="H167" i="4" s="1"/>
  <c r="J628" i="1" a="1"/>
  <c r="J628" i="1" s="1"/>
  <c r="D8" i="2"/>
  <c r="D25" i="2"/>
  <c r="D41" i="2"/>
  <c r="D57" i="2"/>
  <c r="H79" i="4" a="1"/>
  <c r="H79" i="4" s="1"/>
  <c r="J197" i="4" a="1"/>
  <c r="J197" i="4" s="1"/>
  <c r="H197" i="4" a="1"/>
  <c r="H197" i="4" s="1"/>
  <c r="H624" i="1" a="1"/>
  <c r="H624" i="1" s="1"/>
  <c r="D9" i="2"/>
  <c r="D26" i="2"/>
  <c r="D42" i="2"/>
  <c r="D59" i="2"/>
  <c r="H61" i="4" a="1"/>
  <c r="H61" i="4" s="1"/>
  <c r="I138" i="4" a="1"/>
  <c r="I138" i="4" s="1"/>
  <c r="J206" i="4" a="1"/>
  <c r="J206" i="4" s="1"/>
  <c r="H206" i="4" a="1"/>
  <c r="H206" i="4" s="1"/>
  <c r="D10" i="2"/>
  <c r="D27" i="2"/>
  <c r="D43" i="2"/>
  <c r="D63" i="2"/>
  <c r="H159" i="4" a="1"/>
  <c r="H159" i="4" s="1"/>
  <c r="H237" i="4" a="1"/>
  <c r="H237" i="4" s="1"/>
  <c r="H265" i="4" a="1"/>
  <c r="H265" i="4" s="1"/>
  <c r="J265" i="4" a="1"/>
  <c r="J265" i="4" s="1"/>
  <c r="I258" i="4" a="1"/>
  <c r="I258" i="4" s="1"/>
  <c r="H258" i="4" a="1"/>
  <c r="H258" i="4" s="1"/>
  <c r="J144" i="4" a="1"/>
  <c r="J144" i="4" s="1"/>
  <c r="I201" i="4" a="1"/>
  <c r="I201" i="4" s="1"/>
  <c r="I66" i="4" a="1"/>
  <c r="I66" i="4" s="1"/>
  <c r="H66" i="4" a="1"/>
  <c r="H66" i="4" s="1"/>
  <c r="H208" i="4" a="1"/>
  <c r="H208" i="4" s="1"/>
  <c r="H224" i="4" a="1"/>
  <c r="H224" i="4" s="1"/>
  <c r="I228" i="4" a="1"/>
  <c r="I228" i="4" s="1"/>
  <c r="H228" i="4" a="1"/>
  <c r="H228" i="4" s="1"/>
  <c r="J320" i="4" a="1"/>
  <c r="J320" i="4" s="1"/>
  <c r="H320" i="4" a="1"/>
  <c r="H320" i="4" s="1"/>
  <c r="I332" i="4" a="1"/>
  <c r="I332" i="4" s="1"/>
  <c r="H332" i="4" a="1"/>
  <c r="H332" i="4" s="1"/>
  <c r="H295" i="4" a="1"/>
  <c r="H295" i="4" s="1"/>
  <c r="J295" i="4" a="1"/>
  <c r="J295" i="4" s="1"/>
  <c r="I255" i="4" a="1"/>
  <c r="I255" i="4" s="1"/>
  <c r="H174" i="4" a="1"/>
  <c r="H174" i="4" s="1"/>
  <c r="I227" i="4" a="1"/>
  <c r="I227" i="4" s="1"/>
  <c r="J243" i="4" a="1"/>
  <c r="J243" i="4" s="1"/>
  <c r="J150" i="4" a="1"/>
  <c r="J150" i="4" s="1"/>
  <c r="M150" i="4" s="1"/>
  <c r="H150" i="4" a="1"/>
  <c r="H150" i="4" s="1"/>
  <c r="I194" i="4" a="1"/>
  <c r="I194" i="4" s="1"/>
  <c r="H194" i="4" a="1"/>
  <c r="H194" i="4" s="1"/>
  <c r="H217" i="4" a="1"/>
  <c r="H217" i="4" s="1"/>
  <c r="I217" i="4" a="1"/>
  <c r="I217" i="4" s="1"/>
  <c r="I154" i="4" a="1"/>
  <c r="I154" i="4" s="1"/>
  <c r="I169" i="4" a="1"/>
  <c r="I169" i="4" s="1"/>
  <c r="H69" i="4" a="1"/>
  <c r="H69" i="4" s="1"/>
  <c r="J159" i="4" a="1"/>
  <c r="J159" i="4" s="1"/>
  <c r="I218" i="4" a="1"/>
  <c r="I218" i="4" s="1"/>
  <c r="H218" i="4" a="1"/>
  <c r="H218" i="4" s="1"/>
  <c r="L307" i="4"/>
  <c r="H213" i="4" a="1"/>
  <c r="H213" i="4" s="1"/>
  <c r="I349" i="4" a="1"/>
  <c r="I349" i="4" s="1"/>
  <c r="L349" i="4" s="1"/>
  <c r="H349" i="4" a="1"/>
  <c r="H349" i="4" s="1"/>
  <c r="J79" i="4" a="1"/>
  <c r="J79" i="4" s="1"/>
  <c r="I314" i="4" a="1"/>
  <c r="I314" i="4" s="1"/>
  <c r="H314" i="4" a="1"/>
  <c r="H314" i="4" s="1"/>
  <c r="I401" i="4" a="1"/>
  <c r="I401" i="4" s="1"/>
  <c r="H401" i="4" a="1"/>
  <c r="H401" i="4" s="1"/>
  <c r="I299" i="4" a="1"/>
  <c r="I299" i="4" s="1"/>
  <c r="H307" i="4" a="1"/>
  <c r="H307" i="4" s="1"/>
  <c r="I392" i="4" a="1"/>
  <c r="I392" i="4" s="1"/>
  <c r="L449" i="4"/>
  <c r="H296" i="4" a="1"/>
  <c r="H296" i="4" s="1"/>
  <c r="H299" i="4" a="1"/>
  <c r="H299" i="4" s="1"/>
  <c r="J355" i="4" a="1"/>
  <c r="J355" i="4" s="1"/>
  <c r="J364" i="4" a="1"/>
  <c r="J364" i="4" s="1"/>
  <c r="H384" i="4" a="1"/>
  <c r="H384" i="4" s="1"/>
  <c r="J336" i="4" a="1"/>
  <c r="J336" i="4" s="1"/>
  <c r="I427" i="4" a="1"/>
  <c r="I427" i="4" s="1"/>
  <c r="H427" i="4" a="1"/>
  <c r="H427" i="4" s="1"/>
  <c r="I420" i="4" a="1"/>
  <c r="I420" i="4" s="1"/>
  <c r="H478" i="4" a="1"/>
  <c r="H478" i="4" s="1"/>
  <c r="I478" i="4" a="1"/>
  <c r="I478" i="4" s="1"/>
  <c r="H269" i="4" a="1"/>
  <c r="H269" i="4" s="1"/>
  <c r="I320" i="4" a="1"/>
  <c r="I320" i="4" s="1"/>
  <c r="I402" i="4" a="1"/>
  <c r="I402" i="4" s="1"/>
  <c r="H402" i="4" a="1"/>
  <c r="H402" i="4" s="1"/>
  <c r="J437" i="4" a="1"/>
  <c r="J437" i="4" s="1"/>
  <c r="M437" i="4" s="1"/>
  <c r="H437" i="4" a="1"/>
  <c r="H437" i="4" s="1"/>
  <c r="I286" i="4" a="1"/>
  <c r="I286" i="4" s="1"/>
  <c r="H574" i="4" a="1"/>
  <c r="H574" i="4" s="1"/>
  <c r="I574" i="4" a="1"/>
  <c r="I574" i="4" s="1"/>
  <c r="L574" i="4" s="1"/>
  <c r="H356" i="4" a="1"/>
  <c r="H356" i="4" s="1"/>
  <c r="I380" i="4" a="1"/>
  <c r="I380" i="4" s="1"/>
  <c r="H405" i="4" a="1"/>
  <c r="H405" i="4" s="1"/>
  <c r="I405" i="4" a="1"/>
  <c r="I405" i="4" s="1"/>
  <c r="H430" i="4" a="1"/>
  <c r="H430" i="4" s="1"/>
  <c r="H423" i="4" a="1"/>
  <c r="H423" i="4" s="1"/>
  <c r="J430" i="4" a="1"/>
  <c r="J430" i="4" s="1"/>
  <c r="H326" i="4" a="1"/>
  <c r="H326" i="4" s="1"/>
  <c r="I372" i="4" a="1"/>
  <c r="I372" i="4" s="1"/>
  <c r="H372" i="4" a="1"/>
  <c r="H372" i="4" s="1"/>
  <c r="I381" i="4" a="1"/>
  <c r="I381" i="4" s="1"/>
  <c r="H381" i="4" a="1"/>
  <c r="H381" i="4" s="1"/>
  <c r="I387" i="4" a="1"/>
  <c r="I387" i="4" s="1"/>
  <c r="J424" i="4" a="1"/>
  <c r="J424" i="4" s="1"/>
  <c r="H319" i="4" a="1"/>
  <c r="H319" i="4" s="1"/>
  <c r="J319" i="4" a="1"/>
  <c r="J319" i="4" s="1"/>
  <c r="H328" i="4" a="1"/>
  <c r="H328" i="4" s="1"/>
  <c r="H336" i="4" a="1"/>
  <c r="H336" i="4" s="1"/>
  <c r="J357" i="4" a="1"/>
  <c r="J357" i="4" s="1"/>
  <c r="J392" i="4" a="1"/>
  <c r="J392" i="4" s="1"/>
  <c r="H392" i="4" a="1"/>
  <c r="H392" i="4" s="1"/>
  <c r="H416" i="4" a="1"/>
  <c r="H416" i="4" s="1"/>
  <c r="J468" i="4" a="1"/>
  <c r="J468" i="4" s="1"/>
  <c r="H468" i="4" a="1"/>
  <c r="H468" i="4" s="1"/>
  <c r="I533" i="4" a="1"/>
  <c r="I533" i="4" s="1"/>
  <c r="H533" i="4" a="1"/>
  <c r="H533" i="4" s="1"/>
  <c r="H364" i="4" a="1"/>
  <c r="H364" i="4" s="1"/>
  <c r="I391" i="4" a="1"/>
  <c r="I391" i="4" s="1"/>
  <c r="H391" i="4" a="1"/>
  <c r="H391" i="4" s="1"/>
  <c r="I404" i="4" a="1"/>
  <c r="I404" i="4" s="1"/>
  <c r="L404" i="4" s="1"/>
  <c r="H404" i="4" a="1"/>
  <c r="H404" i="4" s="1"/>
  <c r="H420" i="4" a="1"/>
  <c r="H420" i="4" s="1"/>
  <c r="J490" i="4" a="1"/>
  <c r="J490" i="4" s="1"/>
  <c r="H490" i="4" a="1"/>
  <c r="H490" i="4" s="1"/>
  <c r="H395" i="4" a="1"/>
  <c r="H395" i="4" s="1"/>
  <c r="I431" i="4" a="1"/>
  <c r="I431" i="4" s="1"/>
  <c r="I459" i="4" a="1"/>
  <c r="I459" i="4" s="1"/>
  <c r="H459" i="4" a="1"/>
  <c r="H459" i="4" s="1"/>
  <c r="M547" i="4"/>
  <c r="I584" i="4" a="1"/>
  <c r="I584" i="4" s="1"/>
  <c r="H584" i="4" a="1"/>
  <c r="H584" i="4" s="1"/>
  <c r="J614" i="4" a="1"/>
  <c r="J614" i="4" s="1"/>
  <c r="H614" i="4" a="1"/>
  <c r="H614" i="4" s="1"/>
  <c r="I395" i="4" a="1"/>
  <c r="I395" i="4" s="1"/>
  <c r="H453" i="4" a="1"/>
  <c r="H453" i="4" s="1"/>
  <c r="I621" i="4" a="1"/>
  <c r="I621" i="4" s="1"/>
  <c r="J513" i="4" a="1"/>
  <c r="J513" i="4" s="1"/>
  <c r="I553" i="4" a="1"/>
  <c r="I553" i="4" s="1"/>
  <c r="J441" i="4" a="1"/>
  <c r="J441" i="4" s="1"/>
  <c r="H441" i="4" a="1"/>
  <c r="H441" i="4" s="1"/>
  <c r="H475" i="4" a="1"/>
  <c r="H475" i="4" s="1"/>
  <c r="J475" i="4" a="1"/>
  <c r="J475" i="4" s="1"/>
  <c r="J494" i="4" a="1"/>
  <c r="J494" i="4" s="1"/>
  <c r="I378" i="4" a="1"/>
  <c r="I378" i="4" s="1"/>
  <c r="H378" i="4" a="1"/>
  <c r="H378" i="4" s="1"/>
  <c r="J508" i="4" a="1"/>
  <c r="J508" i="4" s="1"/>
  <c r="J286" i="4" a="1"/>
  <c r="J286" i="4" s="1"/>
  <c r="H445" i="4" a="1"/>
  <c r="H445" i="4" s="1"/>
  <c r="I456" i="4" a="1"/>
  <c r="I456" i="4" s="1"/>
  <c r="L456" i="4" s="1"/>
  <c r="H456" i="4" a="1"/>
  <c r="H456" i="4" s="1"/>
  <c r="H508" i="4" a="1"/>
  <c r="H508" i="4" s="1"/>
  <c r="I588" i="4" a="1"/>
  <c r="I588" i="4" s="1"/>
  <c r="H588" i="4" a="1"/>
  <c r="H588" i="4" s="1"/>
  <c r="H607" i="4" a="1"/>
  <c r="H607" i="4" s="1"/>
  <c r="I547" i="4" a="1"/>
  <c r="I547" i="4" s="1"/>
  <c r="H562" i="4" a="1"/>
  <c r="H562" i="4" s="1"/>
  <c r="H519" i="4" a="1"/>
  <c r="H519" i="4" s="1"/>
  <c r="H593" i="4" a="1"/>
  <c r="H593" i="4" s="1"/>
  <c r="J499" i="4" a="1"/>
  <c r="J499" i="4" s="1"/>
  <c r="H600" i="4" a="1"/>
  <c r="H600" i="4" s="1"/>
  <c r="I600" i="4" a="1"/>
  <c r="I600" i="4" s="1"/>
  <c r="H624" i="4" a="1"/>
  <c r="H624" i="4" s="1"/>
  <c r="J600" i="4" a="1"/>
  <c r="J600" i="4" s="1"/>
  <c r="J626" i="4" a="1"/>
  <c r="J626" i="4" s="1"/>
  <c r="M626" i="4" s="1"/>
  <c r="J497" i="4" a="1"/>
  <c r="J497" i="4" s="1"/>
  <c r="H567" i="4" a="1"/>
  <c r="H567" i="4" s="1"/>
  <c r="H613" i="4" a="1"/>
  <c r="H613" i="4" s="1"/>
  <c r="I613" i="4" a="1"/>
  <c r="I613" i="4" s="1"/>
  <c r="H547" i="4" a="1"/>
  <c r="H547" i="4" s="1"/>
  <c r="J579" i="4" a="1"/>
  <c r="J579" i="4" s="1"/>
  <c r="J593" i="4" a="1"/>
  <c r="J593" i="4" s="1"/>
  <c r="K600" i="1" l="1"/>
  <c r="K416" i="1"/>
  <c r="M437" i="1"/>
  <c r="M395" i="1"/>
  <c r="K99" i="1"/>
  <c r="K242" i="1"/>
  <c r="K50" i="1"/>
  <c r="K404" i="1"/>
  <c r="K427" i="1"/>
  <c r="K190" i="1"/>
  <c r="M423" i="1"/>
  <c r="K296" i="1"/>
  <c r="M607" i="1"/>
  <c r="M100" i="1"/>
  <c r="M50" i="1"/>
  <c r="M229" i="1"/>
  <c r="K100" i="1"/>
  <c r="K131" i="1"/>
  <c r="K397" i="4"/>
  <c r="K495" i="4"/>
  <c r="K400" i="4"/>
  <c r="K327" i="4"/>
  <c r="K358" i="4"/>
  <c r="K357" i="4"/>
  <c r="K361" i="4"/>
  <c r="K354" i="4"/>
  <c r="K238" i="4"/>
  <c r="K263" i="4"/>
  <c r="K233" i="4"/>
  <c r="K190" i="4"/>
  <c r="K2" i="4"/>
  <c r="K613" i="1"/>
  <c r="M508" i="1"/>
  <c r="K378" i="1"/>
  <c r="M182" i="1"/>
  <c r="M197" i="1"/>
  <c r="M238" i="1"/>
  <c r="K187" i="1"/>
  <c r="M593" i="1"/>
  <c r="M201" i="4"/>
  <c r="M359" i="4"/>
  <c r="M416" i="1"/>
  <c r="M296" i="1"/>
  <c r="M328" i="1"/>
  <c r="K217" i="1"/>
  <c r="K226" i="1"/>
  <c r="K192" i="1"/>
  <c r="K238" i="1"/>
  <c r="K254" i="4"/>
  <c r="M439" i="4"/>
  <c r="M208" i="4"/>
  <c r="L159" i="4"/>
  <c r="K123" i="4"/>
  <c r="K614" i="1"/>
  <c r="M613" i="1"/>
  <c r="K424" i="1"/>
  <c r="K206" i="1"/>
  <c r="M404" i="1"/>
  <c r="K468" i="1"/>
  <c r="K402" i="1"/>
  <c r="M144" i="1"/>
  <c r="M131" i="1"/>
  <c r="K355" i="1"/>
  <c r="M187" i="1"/>
  <c r="M591" i="1"/>
  <c r="M600" i="4"/>
  <c r="M286" i="4"/>
  <c r="L593" i="4"/>
  <c r="L459" i="4"/>
  <c r="K416" i="4"/>
  <c r="M453" i="4"/>
  <c r="L359" i="4"/>
  <c r="K433" i="4"/>
  <c r="K497" i="4"/>
  <c r="L392" i="4"/>
  <c r="M423" i="4"/>
  <c r="K266" i="4"/>
  <c r="M263" i="4"/>
  <c r="K332" i="4"/>
  <c r="M269" i="4"/>
  <c r="L125" i="4"/>
  <c r="K169" i="4"/>
  <c r="L101" i="4"/>
  <c r="L208" i="4"/>
  <c r="M431" i="4"/>
  <c r="K90" i="4"/>
  <c r="K588" i="1"/>
  <c r="M582" i="1"/>
  <c r="K459" i="1"/>
  <c r="K400" i="1"/>
  <c r="K334" i="1"/>
  <c r="M313" i="1"/>
  <c r="M192" i="1"/>
  <c r="K201" i="1"/>
  <c r="K168" i="1"/>
  <c r="M233" i="1"/>
  <c r="K399" i="1"/>
  <c r="M605" i="1"/>
  <c r="M533" i="4"/>
  <c r="M513" i="4"/>
  <c r="K494" i="4"/>
  <c r="K364" i="4"/>
  <c r="K392" i="4"/>
  <c r="L328" i="4"/>
  <c r="M336" i="4"/>
  <c r="L154" i="4"/>
  <c r="K359" i="4"/>
  <c r="L201" i="4"/>
  <c r="K167" i="4"/>
  <c r="K35" i="4"/>
  <c r="M187" i="4"/>
  <c r="M614" i="1"/>
  <c r="M90" i="4"/>
  <c r="L174" i="4"/>
  <c r="M588" i="4"/>
  <c r="L100" i="4"/>
  <c r="L168" i="4"/>
  <c r="L67" i="4"/>
  <c r="K457" i="1"/>
  <c r="K499" i="1"/>
  <c r="M485" i="1"/>
  <c r="M457" i="1"/>
  <c r="M400" i="1"/>
  <c r="K381" i="1"/>
  <c r="K540" i="1"/>
  <c r="M364" i="1"/>
  <c r="K328" i="1"/>
  <c r="K361" i="1"/>
  <c r="K372" i="1"/>
  <c r="M407" i="1"/>
  <c r="K299" i="1"/>
  <c r="K237" i="1"/>
  <c r="K285" i="1"/>
  <c r="K144" i="1"/>
  <c r="M358" i="1"/>
  <c r="K258" i="1"/>
  <c r="M237" i="1"/>
  <c r="K295" i="1"/>
  <c r="K154" i="1"/>
  <c r="K113" i="1"/>
  <c r="M123" i="1"/>
  <c r="K358" i="1"/>
  <c r="K125" i="1"/>
  <c r="M621" i="1"/>
  <c r="M579" i="4"/>
  <c r="K519" i="4"/>
  <c r="L553" i="4"/>
  <c r="M519" i="4"/>
  <c r="L391" i="4"/>
  <c r="L402" i="4"/>
  <c r="L384" i="4"/>
  <c r="L169" i="4"/>
  <c r="M285" i="4"/>
  <c r="K363" i="4"/>
  <c r="M296" i="4"/>
  <c r="L237" i="4"/>
  <c r="L113" i="4"/>
  <c r="K557" i="1"/>
  <c r="L123" i="4"/>
  <c r="L69" i="4"/>
  <c r="K485" i="1"/>
  <c r="M420" i="1"/>
  <c r="K582" i="1"/>
  <c r="M449" i="1"/>
  <c r="K391" i="1"/>
  <c r="M402" i="1"/>
  <c r="M440" i="1"/>
  <c r="M243" i="1"/>
  <c r="K319" i="1"/>
  <c r="M392" i="1"/>
  <c r="K307" i="1"/>
  <c r="K200" i="1"/>
  <c r="M125" i="1"/>
  <c r="M194" i="1"/>
  <c r="K624" i="4"/>
  <c r="K605" i="4"/>
  <c r="K622" i="4"/>
  <c r="L557" i="4"/>
  <c r="L431" i="4"/>
  <c r="M424" i="4"/>
  <c r="M430" i="4"/>
  <c r="K471" i="4"/>
  <c r="M399" i="4"/>
  <c r="L317" i="4"/>
  <c r="M356" i="4"/>
  <c r="L243" i="4"/>
  <c r="L240" i="4"/>
  <c r="L332" i="4"/>
  <c r="M265" i="4"/>
  <c r="K201" i="4"/>
  <c r="M169" i="4"/>
  <c r="K547" i="4"/>
  <c r="M591" i="4"/>
  <c r="K562" i="4"/>
  <c r="M553" i="4"/>
  <c r="M542" i="4"/>
  <c r="L485" i="4"/>
  <c r="L623" i="4"/>
  <c r="K395" i="4"/>
  <c r="M605" i="4"/>
  <c r="M392" i="4"/>
  <c r="M387" i="4"/>
  <c r="K326" i="4"/>
  <c r="K423" i="4"/>
  <c r="K407" i="4"/>
  <c r="M358" i="4"/>
  <c r="L499" i="4"/>
  <c r="K307" i="4"/>
  <c r="M349" i="4"/>
  <c r="K242" i="4"/>
  <c r="K218" i="4"/>
  <c r="L296" i="4"/>
  <c r="M243" i="4"/>
  <c r="K320" i="4"/>
  <c r="M182" i="4"/>
  <c r="K265" i="4"/>
  <c r="K206" i="4"/>
  <c r="K199" i="4"/>
  <c r="L167" i="4"/>
  <c r="L185" i="4"/>
  <c r="K138" i="4"/>
  <c r="K605" i="1"/>
  <c r="L79" i="4"/>
  <c r="K131" i="4"/>
  <c r="M478" i="4"/>
  <c r="K100" i="4"/>
  <c r="L61" i="4"/>
  <c r="L29" i="4"/>
  <c r="K622" i="1"/>
  <c r="M499" i="1"/>
  <c r="M475" i="1"/>
  <c r="K431" i="1"/>
  <c r="K364" i="1"/>
  <c r="M567" i="1"/>
  <c r="K478" i="1"/>
  <c r="K254" i="1"/>
  <c r="K453" i="1"/>
  <c r="M357" i="1"/>
  <c r="M372" i="1"/>
  <c r="K407" i="1"/>
  <c r="K286" i="1"/>
  <c r="M201" i="1"/>
  <c r="M285" i="1"/>
  <c r="K318" i="1"/>
  <c r="M336" i="1"/>
  <c r="K208" i="1"/>
  <c r="M218" i="1"/>
  <c r="M227" i="1"/>
  <c r="K101" i="1"/>
  <c r="K216" i="1"/>
  <c r="M66" i="1"/>
  <c r="K380" i="1"/>
  <c r="M200" i="1"/>
  <c r="M199" i="1"/>
  <c r="M624" i="1"/>
  <c r="K445" i="4"/>
  <c r="K574" i="4"/>
  <c r="M328" i="4"/>
  <c r="M378" i="1"/>
  <c r="L532" i="4"/>
  <c r="L218" i="4"/>
  <c r="L233" i="4"/>
  <c r="M206" i="4"/>
  <c r="K197" i="4"/>
  <c r="L144" i="4"/>
  <c r="M138" i="4"/>
  <c r="K593" i="1"/>
  <c r="K623" i="1"/>
  <c r="M101" i="4"/>
  <c r="M495" i="4"/>
  <c r="L90" i="4"/>
  <c r="M619" i="1"/>
  <c r="M21" i="4"/>
  <c r="M622" i="1"/>
  <c r="K628" i="1"/>
  <c r="M438" i="1"/>
  <c r="M431" i="1"/>
  <c r="K587" i="1"/>
  <c r="K532" i="1"/>
  <c r="K562" i="1"/>
  <c r="K218" i="1"/>
  <c r="M401" i="1"/>
  <c r="K332" i="1"/>
  <c r="M354" i="1"/>
  <c r="K356" i="1"/>
  <c r="K263" i="1"/>
  <c r="K313" i="1"/>
  <c r="M265" i="1"/>
  <c r="M295" i="1"/>
  <c r="K314" i="1"/>
  <c r="K174" i="1"/>
  <c r="M224" i="1"/>
  <c r="M226" i="1"/>
  <c r="K90" i="1"/>
  <c r="M216" i="1"/>
  <c r="K440" i="1"/>
  <c r="K123" i="1"/>
  <c r="M286" i="1"/>
  <c r="M90" i="1"/>
  <c r="M584" i="4"/>
  <c r="K553" i="4"/>
  <c r="K468" i="4"/>
  <c r="K372" i="4"/>
  <c r="K612" i="4"/>
  <c r="K313" i="4"/>
  <c r="L354" i="4"/>
  <c r="M628" i="1"/>
  <c r="M619" i="4"/>
  <c r="M572" i="4"/>
  <c r="M540" i="4"/>
  <c r="L537" i="4"/>
  <c r="M320" i="4"/>
  <c r="K453" i="4"/>
  <c r="K591" i="4"/>
  <c r="M411" i="4"/>
  <c r="M197" i="4"/>
  <c r="K30" i="4"/>
  <c r="M30" i="4"/>
  <c r="K216" i="4"/>
  <c r="K584" i="1"/>
  <c r="L35" i="4"/>
  <c r="M567" i="4"/>
  <c r="K50" i="4"/>
  <c r="K619" i="1"/>
  <c r="M553" i="1"/>
  <c r="K607" i="1"/>
  <c r="K626" i="1"/>
  <c r="K438" i="1"/>
  <c r="K392" i="1"/>
  <c r="M587" i="1"/>
  <c r="M497" i="1"/>
  <c r="M519" i="1"/>
  <c r="K439" i="1"/>
  <c r="M387" i="1"/>
  <c r="K326" i="1"/>
  <c r="K349" i="1"/>
  <c r="M356" i="1"/>
  <c r="K227" i="1"/>
  <c r="M215" i="1"/>
  <c r="M255" i="1"/>
  <c r="K255" i="1"/>
  <c r="M307" i="1"/>
  <c r="K167" i="1"/>
  <c r="K182" i="1"/>
  <c r="K169" i="1"/>
  <c r="K387" i="1"/>
  <c r="M399" i="1"/>
  <c r="M185" i="1"/>
  <c r="K423" i="1"/>
  <c r="M99" i="1"/>
  <c r="M263" i="1"/>
  <c r="K150" i="1"/>
  <c r="K593" i="4"/>
  <c r="M445" i="4"/>
  <c r="M562" i="4"/>
  <c r="K391" i="4"/>
  <c r="K402" i="4"/>
  <c r="L397" i="4"/>
  <c r="K447" i="4"/>
  <c r="K317" i="4"/>
  <c r="L334" i="4"/>
  <c r="K286" i="4"/>
  <c r="M307" i="4"/>
  <c r="L226" i="4"/>
  <c r="K399" i="4"/>
  <c r="M562" i="1"/>
  <c r="K574" i="1"/>
  <c r="L299" i="4"/>
  <c r="K237" i="4"/>
  <c r="M447" i="4"/>
  <c r="K269" i="4"/>
  <c r="L600" i="4"/>
  <c r="K328" i="4"/>
  <c r="K438" i="4"/>
  <c r="M582" i="4"/>
  <c r="K380" i="4"/>
  <c r="K159" i="4"/>
  <c r="K21" i="4"/>
  <c r="M131" i="4"/>
  <c r="K553" i="1"/>
  <c r="M557" i="1"/>
  <c r="M588" i="1"/>
  <c r="K533" i="1"/>
  <c r="K508" i="1"/>
  <c r="K530" i="1"/>
  <c r="K494" i="1"/>
  <c r="K519" i="1"/>
  <c r="M439" i="1"/>
  <c r="K336" i="1"/>
  <c r="K320" i="1"/>
  <c r="M318" i="1"/>
  <c r="K354" i="1"/>
  <c r="M447" i="1"/>
  <c r="K215" i="1"/>
  <c r="K213" i="1"/>
  <c r="K240" i="1"/>
  <c r="M266" i="1"/>
  <c r="M167" i="1"/>
  <c r="M168" i="1"/>
  <c r="M169" i="1"/>
  <c r="K269" i="1"/>
  <c r="M320" i="1"/>
  <c r="M159" i="1"/>
  <c r="K430" i="1"/>
  <c r="M69" i="1"/>
  <c r="M299" i="1"/>
  <c r="K61" i="1"/>
  <c r="K66" i="4"/>
  <c r="K459" i="4"/>
  <c r="K530" i="4"/>
  <c r="K125" i="4"/>
  <c r="L547" i="4"/>
  <c r="K430" i="4"/>
  <c r="M402" i="4"/>
  <c r="K439" i="4"/>
  <c r="M475" i="4"/>
  <c r="L217" i="4"/>
  <c r="K475" i="4"/>
  <c r="M400" i="4"/>
  <c r="M574" i="4"/>
  <c r="L228" i="4"/>
  <c r="L216" i="4"/>
  <c r="M485" i="4"/>
  <c r="K600" i="4"/>
  <c r="L584" i="4"/>
  <c r="K449" i="4"/>
  <c r="L478" i="4"/>
  <c r="L441" i="4"/>
  <c r="K61" i="4"/>
  <c r="L182" i="4"/>
  <c r="M240" i="4"/>
  <c r="K542" i="1"/>
  <c r="K547" i="1"/>
  <c r="M600" i="1"/>
  <c r="K567" i="1"/>
  <c r="K449" i="1"/>
  <c r="M494" i="1"/>
  <c r="M530" i="1"/>
  <c r="M453" i="1"/>
  <c r="K471" i="1"/>
  <c r="K397" i="1"/>
  <c r="K433" i="1"/>
  <c r="K317" i="1"/>
  <c r="M495" i="1"/>
  <c r="K266" i="1"/>
  <c r="K445" i="1"/>
  <c r="K194" i="1"/>
  <c r="M380" i="1"/>
  <c r="K401" i="1"/>
  <c r="M242" i="1"/>
  <c r="M150" i="1"/>
  <c r="M240" i="1"/>
  <c r="M217" i="1"/>
  <c r="K243" i="1"/>
  <c r="M254" i="1"/>
  <c r="K69" i="1"/>
  <c r="K447" i="1"/>
  <c r="K67" i="1"/>
  <c r="M206" i="1"/>
  <c r="K40" i="1"/>
  <c r="L427" i="4"/>
  <c r="M593" i="4"/>
  <c r="M624" i="4"/>
  <c r="K542" i="4"/>
  <c r="L619" i="4"/>
  <c r="L567" i="4"/>
  <c r="K540" i="4"/>
  <c r="L372" i="4"/>
  <c r="K537" i="4"/>
  <c r="L66" i="4"/>
  <c r="K624" i="1"/>
  <c r="K243" i="4"/>
  <c r="K113" i="4"/>
  <c r="M113" i="4"/>
  <c r="M35" i="4"/>
  <c r="K144" i="4"/>
  <c r="L131" i="4"/>
  <c r="M532" i="1"/>
  <c r="L621" i="4"/>
  <c r="M357" i="4"/>
  <c r="L562" i="4"/>
  <c r="K582" i="4"/>
  <c r="K314" i="4"/>
  <c r="K240" i="4"/>
  <c r="M144" i="4"/>
  <c r="M508" i="4"/>
  <c r="K533" i="4"/>
  <c r="K384" i="4"/>
  <c r="L314" i="4"/>
  <c r="L238" i="4"/>
  <c r="K174" i="4"/>
  <c r="L215" i="4"/>
  <c r="K192" i="4"/>
  <c r="K607" i="4"/>
  <c r="L533" i="4"/>
  <c r="M364" i="4"/>
  <c r="L266" i="4"/>
  <c r="K213" i="4"/>
  <c r="K217" i="4"/>
  <c r="K285" i="4"/>
  <c r="M213" i="4"/>
  <c r="K79" i="4"/>
  <c r="K40" i="4"/>
  <c r="M542" i="1"/>
  <c r="M50" i="4"/>
  <c r="M547" i="1"/>
  <c r="K567" i="4"/>
  <c r="K588" i="4"/>
  <c r="L378" i="4"/>
  <c r="M471" i="4"/>
  <c r="L395" i="4"/>
  <c r="K490" i="4"/>
  <c r="M319" i="4"/>
  <c r="K431" i="4"/>
  <c r="K457" i="4"/>
  <c r="K405" i="4"/>
  <c r="L286" i="4"/>
  <c r="M355" i="4"/>
  <c r="M79" i="4"/>
  <c r="M420" i="4"/>
  <c r="K411" i="4"/>
  <c r="K200" i="4"/>
  <c r="L255" i="4"/>
  <c r="K226" i="4"/>
  <c r="M192" i="4"/>
  <c r="M266" i="4"/>
  <c r="M40" i="4"/>
  <c r="M623" i="1"/>
  <c r="K154" i="4"/>
  <c r="K532" i="4"/>
  <c r="K587" i="4"/>
  <c r="L588" i="4"/>
  <c r="L624" i="4"/>
  <c r="M457" i="4"/>
  <c r="K621" i="4"/>
  <c r="L582" i="4"/>
  <c r="M490" i="4"/>
  <c r="K440" i="4"/>
  <c r="K319" i="4"/>
  <c r="L387" i="4"/>
  <c r="K387" i="4"/>
  <c r="L380" i="4"/>
  <c r="L605" i="4"/>
  <c r="K478" i="4"/>
  <c r="K299" i="4"/>
  <c r="M438" i="4"/>
  <c r="M407" i="4"/>
  <c r="L336" i="4"/>
  <c r="M440" i="4"/>
  <c r="K194" i="4"/>
  <c r="M242" i="4"/>
  <c r="K224" i="4"/>
  <c r="M416" i="4"/>
  <c r="L229" i="4"/>
  <c r="M123" i="4"/>
  <c r="K227" i="4"/>
  <c r="K29" i="4"/>
  <c r="K612" i="1"/>
  <c r="M154" i="4"/>
  <c r="K182" i="4"/>
  <c r="M449" i="4"/>
  <c r="M607" i="4"/>
  <c r="M626" i="1"/>
  <c r="M513" i="1"/>
  <c r="K537" i="1"/>
  <c r="M540" i="1"/>
  <c r="K405" i="1"/>
  <c r="K490" i="1"/>
  <c r="K497" i="1"/>
  <c r="M579" i="1"/>
  <c r="M471" i="1"/>
  <c r="K359" i="1"/>
  <c r="M381" i="1"/>
  <c r="M314" i="1"/>
  <c r="M424" i="1"/>
  <c r="M459" i="1"/>
  <c r="M397" i="1"/>
  <c r="M190" i="1"/>
  <c r="M349" i="1"/>
  <c r="M332" i="1"/>
  <c r="K363" i="1"/>
  <c r="M138" i="1"/>
  <c r="K233" i="1"/>
  <c r="K199" i="1"/>
  <c r="M213" i="1"/>
  <c r="K30" i="1"/>
  <c r="K35" i="1"/>
  <c r="M334" i="1"/>
  <c r="K220" i="1"/>
  <c r="K355" i="4"/>
  <c r="K255" i="4"/>
  <c r="K67" i="4"/>
  <c r="K185" i="4"/>
  <c r="M612" i="1"/>
  <c r="M125" i="4"/>
  <c r="K579" i="1"/>
  <c r="M255" i="4"/>
  <c r="K229" i="4"/>
  <c r="M572" i="1"/>
  <c r="M69" i="4"/>
  <c r="M433" i="1"/>
  <c r="M537" i="1"/>
  <c r="K513" i="1"/>
  <c r="M405" i="1"/>
  <c r="M490" i="1"/>
  <c r="M478" i="1"/>
  <c r="K475" i="1"/>
  <c r="K456" i="1"/>
  <c r="M359" i="1"/>
  <c r="K357" i="1"/>
  <c r="M445" i="1"/>
  <c r="K411" i="1"/>
  <c r="M456" i="1"/>
  <c r="M319" i="1"/>
  <c r="K185" i="1"/>
  <c r="M269" i="1"/>
  <c r="M317" i="1"/>
  <c r="M258" i="1"/>
  <c r="M113" i="1"/>
  <c r="K224" i="1"/>
  <c r="M384" i="1"/>
  <c r="M174" i="1"/>
  <c r="K197" i="1"/>
  <c r="M430" i="1"/>
  <c r="M101" i="1"/>
  <c r="M468" i="4"/>
  <c r="M224" i="4"/>
  <c r="M584" i="1"/>
  <c r="K614" i="4"/>
  <c r="K623" i="4"/>
  <c r="L320" i="4"/>
  <c r="L227" i="4"/>
  <c r="L613" i="4"/>
  <c r="K626" i="4"/>
  <c r="M614" i="4"/>
  <c r="K336" i="4"/>
  <c r="L530" i="4"/>
  <c r="K499" i="4"/>
  <c r="M384" i="4"/>
  <c r="L607" i="4"/>
  <c r="M159" i="4"/>
  <c r="K228" i="4"/>
  <c r="M174" i="4"/>
  <c r="K613" i="4"/>
  <c r="K378" i="4"/>
  <c r="K584" i="4"/>
  <c r="L405" i="4"/>
  <c r="K619" i="4"/>
  <c r="K513" i="4"/>
  <c r="K69" i="4"/>
  <c r="L138" i="4"/>
  <c r="M530" i="4"/>
  <c r="K572" i="4"/>
  <c r="K508" i="4"/>
  <c r="L587" i="4"/>
  <c r="K441" i="4"/>
  <c r="L614" i="4"/>
  <c r="L572" i="4"/>
  <c r="K420" i="4"/>
  <c r="M622" i="4"/>
  <c r="M313" i="4"/>
  <c r="K381" i="4"/>
  <c r="M363" i="4"/>
  <c r="L361" i="4"/>
  <c r="M459" i="4"/>
  <c r="L420" i="4"/>
  <c r="K296" i="4"/>
  <c r="K401" i="4"/>
  <c r="L364" i="4"/>
  <c r="K334" i="4"/>
  <c r="L433" i="4"/>
  <c r="L194" i="4"/>
  <c r="M295" i="4"/>
  <c r="K208" i="4"/>
  <c r="K258" i="4"/>
  <c r="K215" i="4"/>
  <c r="M497" i="4"/>
  <c r="M499" i="4"/>
  <c r="K456" i="4"/>
  <c r="M494" i="4"/>
  <c r="M441" i="4"/>
  <c r="K557" i="4"/>
  <c r="M557" i="4"/>
  <c r="K404" i="4"/>
  <c r="K485" i="4"/>
  <c r="K579" i="4"/>
  <c r="L381" i="4"/>
  <c r="M361" i="4"/>
  <c r="K356" i="4"/>
  <c r="K437" i="4"/>
  <c r="K427" i="4"/>
  <c r="L519" i="4"/>
  <c r="L401" i="4"/>
  <c r="K349" i="4"/>
  <c r="L326" i="4"/>
  <c r="K424" i="4"/>
  <c r="K150" i="4"/>
  <c r="K295" i="4"/>
  <c r="K168" i="4"/>
  <c r="L258" i="4"/>
  <c r="K187" i="4"/>
  <c r="M67" i="4"/>
  <c r="L213" i="4"/>
  <c r="K621" i="1"/>
  <c r="K591" i="1"/>
  <c r="K101" i="4"/>
  <c r="M574" i="1"/>
  <c r="M427" i="4"/>
  <c r="M220" i="4"/>
  <c r="K572" i="1"/>
  <c r="L626" i="4"/>
  <c r="L612" i="4"/>
  <c r="L513" i="4"/>
  <c r="L471" i="4"/>
  <c r="L475" i="4"/>
  <c r="L495" i="4"/>
  <c r="L468" i="4"/>
  <c r="L327" i="4"/>
  <c r="L224" i="4"/>
  <c r="L254" i="4"/>
  <c r="L190" i="4"/>
  <c r="L199" i="4"/>
  <c r="L40" i="4"/>
  <c r="L2" i="4"/>
  <c r="L50" i="4"/>
  <c r="K14" i="4"/>
  <c r="M533" i="1"/>
  <c r="M441" i="1"/>
  <c r="M355" i="1"/>
  <c r="M468" i="1"/>
  <c r="K437" i="1"/>
  <c r="M427" i="1"/>
  <c r="M411" i="1"/>
  <c r="K395" i="1"/>
  <c r="K265" i="1"/>
  <c r="K441" i="1"/>
  <c r="M361" i="1"/>
  <c r="K420" i="1"/>
  <c r="M326" i="1"/>
  <c r="K159" i="1"/>
  <c r="M228" i="1"/>
  <c r="M220" i="1"/>
  <c r="K229" i="1"/>
  <c r="M61" i="1"/>
  <c r="M208" i="1"/>
  <c r="K327" i="1"/>
  <c r="M154" i="1"/>
  <c r="M67" i="1"/>
  <c r="M40" i="1"/>
  <c r="K138" i="1"/>
  <c r="M363" i="1"/>
  <c r="K66" i="1"/>
</calcChain>
</file>

<file path=xl/sharedStrings.xml><?xml version="1.0" encoding="utf-8"?>
<sst xmlns="http://schemas.openxmlformats.org/spreadsheetml/2006/main" count="3690" uniqueCount="1196">
  <si>
    <t>Date</t>
  </si>
  <si>
    <t>Prefix</t>
  </si>
  <si>
    <t>Ticker</t>
  </si>
  <si>
    <t>Number</t>
  </si>
  <si>
    <t>Price</t>
  </si>
  <si>
    <t>Act</t>
  </si>
  <si>
    <t>Amount</t>
  </si>
  <si>
    <t>Day</t>
  </si>
  <si>
    <t>Day _Buys</t>
  </si>
  <si>
    <t>Day_Sales</t>
  </si>
  <si>
    <t>Day_Aggr.</t>
  </si>
  <si>
    <t>Buy_Aggr.</t>
  </si>
  <si>
    <t>Sale_Aggr.</t>
  </si>
  <si>
    <t>1/27/25</t>
  </si>
  <si>
    <t>2</t>
  </si>
  <si>
    <t>DSY</t>
  </si>
  <si>
    <t>2,000</t>
  </si>
  <si>
    <t xml:space="preserve">36.68 </t>
  </si>
  <si>
    <t>add</t>
  </si>
  <si>
    <t>ASML</t>
  </si>
  <si>
    <t>200</t>
  </si>
  <si>
    <t>(647.10)</t>
  </si>
  <si>
    <t>TSM</t>
  </si>
  <si>
    <t>800</t>
  </si>
  <si>
    <t>(189.89)</t>
  </si>
  <si>
    <t>NEE</t>
  </si>
  <si>
    <t>1,200</t>
  </si>
  <si>
    <t xml:space="preserve">72.41 </t>
  </si>
  <si>
    <t>DIS</t>
  </si>
  <si>
    <t>900</t>
  </si>
  <si>
    <t xml:space="preserve">113.21 </t>
  </si>
  <si>
    <t>HPQ</t>
  </si>
  <si>
    <t>5,000</t>
  </si>
  <si>
    <t xml:space="preserve">32.77 </t>
  </si>
  <si>
    <t>AZN</t>
  </si>
  <si>
    <t>1,300</t>
  </si>
  <si>
    <t xml:space="preserve">70.21 </t>
  </si>
  <si>
    <t>AVGO</t>
  </si>
  <si>
    <t xml:space="preserve">197.36 </t>
  </si>
  <si>
    <t>CSCO</t>
  </si>
  <si>
    <t>(59.13)</t>
  </si>
  <si>
    <t>KR</t>
  </si>
  <si>
    <t>(60.38)</t>
  </si>
  <si>
    <t>LUMN</t>
  </si>
  <si>
    <t>(5.07)</t>
  </si>
  <si>
    <t>HPE</t>
  </si>
  <si>
    <t>4,000</t>
  </si>
  <si>
    <t>(22.58)</t>
  </si>
  <si>
    <t>1/28/25</t>
  </si>
  <si>
    <t>NOTE</t>
  </si>
  <si>
    <t>10,000</t>
  </si>
  <si>
    <t xml:space="preserve">1.46 </t>
  </si>
  <si>
    <t>THC</t>
  </si>
  <si>
    <t>500</t>
  </si>
  <si>
    <t>(142.02)</t>
  </si>
  <si>
    <t>MA</t>
  </si>
  <si>
    <t>100</t>
  </si>
  <si>
    <t xml:space="preserve">546.67 </t>
  </si>
  <si>
    <t>SAFDIS</t>
  </si>
  <si>
    <t>700</t>
  </si>
  <si>
    <t xml:space="preserve">113.20 </t>
  </si>
  <si>
    <t>SAFAAPL</t>
  </si>
  <si>
    <t xml:space="preserve">231.18 </t>
  </si>
  <si>
    <t>SAFASML</t>
  </si>
  <si>
    <t>(642.85)</t>
  </si>
  <si>
    <t>ORA</t>
  </si>
  <si>
    <t>6,000</t>
  </si>
  <si>
    <t xml:space="preserve">10.37 </t>
  </si>
  <si>
    <t>1/29/25</t>
  </si>
  <si>
    <t>MVEORA</t>
  </si>
  <si>
    <t>6,300</t>
  </si>
  <si>
    <t xml:space="preserve">10.39 </t>
  </si>
  <si>
    <t>RWE</t>
  </si>
  <si>
    <t xml:space="preserve">29.33 </t>
  </si>
  <si>
    <t>MVERWE</t>
  </si>
  <si>
    <t xml:space="preserve">29.29 </t>
  </si>
  <si>
    <t>C</t>
  </si>
  <si>
    <t xml:space="preserve">80.89 </t>
  </si>
  <si>
    <t>EPIX</t>
  </si>
  <si>
    <t>15,000</t>
  </si>
  <si>
    <t>(1.72)</t>
  </si>
  <si>
    <t>MRNA</t>
  </si>
  <si>
    <t>3,000</t>
  </si>
  <si>
    <t xml:space="preserve">41.35 </t>
  </si>
  <si>
    <t>NVS</t>
  </si>
  <si>
    <t>400</t>
  </si>
  <si>
    <t xml:space="preserve">103.01 </t>
  </si>
  <si>
    <t>1/30/25</t>
  </si>
  <si>
    <t>(21.21)</t>
  </si>
  <si>
    <t>1/31/25</t>
  </si>
  <si>
    <t>AAPL</t>
  </si>
  <si>
    <t>(233.95)</t>
  </si>
  <si>
    <t>150</t>
  </si>
  <si>
    <t>(140.46)</t>
  </si>
  <si>
    <t>MVEGLE</t>
  </si>
  <si>
    <t xml:space="preserve">31.31 </t>
  </si>
  <si>
    <t xml:space="preserve">60.51 </t>
  </si>
  <si>
    <t>LUV</t>
  </si>
  <si>
    <t>(30.70)</t>
  </si>
  <si>
    <t>2/4/25</t>
  </si>
  <si>
    <t>300</t>
  </si>
  <si>
    <t>(230.70)</t>
  </si>
  <si>
    <t>1,000</t>
  </si>
  <si>
    <t xml:space="preserve">39.12 </t>
  </si>
  <si>
    <t xml:space="preserve">40.12 </t>
  </si>
  <si>
    <t>MVEDSY</t>
  </si>
  <si>
    <t xml:space="preserve">39.55 </t>
  </si>
  <si>
    <t xml:space="preserve">40.41 </t>
  </si>
  <si>
    <t>2/5/25</t>
  </si>
  <si>
    <t>SAFAMZN</t>
  </si>
  <si>
    <t>250</t>
  </si>
  <si>
    <t>(236.91)</t>
  </si>
  <si>
    <t xml:space="preserve">40.70 </t>
  </si>
  <si>
    <t>TSLA</t>
  </si>
  <si>
    <t>(382.16)</t>
  </si>
  <si>
    <t xml:space="preserve">21.36 </t>
  </si>
  <si>
    <t>AMZN</t>
  </si>
  <si>
    <t>(236.71)</t>
  </si>
  <si>
    <t xml:space="preserve">65.63 </t>
  </si>
  <si>
    <t>SAFDDD</t>
  </si>
  <si>
    <t>20,000</t>
  </si>
  <si>
    <t xml:space="preserve">4.60 </t>
  </si>
  <si>
    <t>EZJ</t>
  </si>
  <si>
    <t>9,000</t>
  </si>
  <si>
    <t xml:space="preserve">529.40 </t>
  </si>
  <si>
    <t>GNRC</t>
  </si>
  <si>
    <t>450</t>
  </si>
  <si>
    <t>(142.78)</t>
  </si>
  <si>
    <t xml:space="preserve">40.60 </t>
  </si>
  <si>
    <t>2/6/25</t>
  </si>
  <si>
    <t>ALDNE</t>
  </si>
  <si>
    <t>(1.10)</t>
  </si>
  <si>
    <t>GLE</t>
  </si>
  <si>
    <t xml:space="preserve">34.53 </t>
  </si>
  <si>
    <t>DDD</t>
  </si>
  <si>
    <t xml:space="preserve">4.64 </t>
  </si>
  <si>
    <t>MVEUN0</t>
  </si>
  <si>
    <t>363</t>
  </si>
  <si>
    <t>(42.20)</t>
  </si>
  <si>
    <t>IAG</t>
  </si>
  <si>
    <t xml:space="preserve">362.61 </t>
  </si>
  <si>
    <t>(68.93)</t>
  </si>
  <si>
    <t>NVAX</t>
  </si>
  <si>
    <t>4,500</t>
  </si>
  <si>
    <t>(9.75)</t>
  </si>
  <si>
    <t>(29.24)</t>
  </si>
  <si>
    <t>SSYS</t>
  </si>
  <si>
    <t xml:space="preserve">12.77 </t>
  </si>
  <si>
    <t>UN0</t>
  </si>
  <si>
    <t>WBA</t>
  </si>
  <si>
    <t>6,500</t>
  </si>
  <si>
    <t>(10.06)</t>
  </si>
  <si>
    <t>2/7/25</t>
  </si>
  <si>
    <t>SHECY</t>
  </si>
  <si>
    <t xml:space="preserve">15.30 </t>
  </si>
  <si>
    <t>EOAN</t>
  </si>
  <si>
    <t xml:space="preserve">11.63 </t>
  </si>
  <si>
    <t>AET</t>
  </si>
  <si>
    <t>50,000</t>
  </si>
  <si>
    <t>(49.00)</t>
  </si>
  <si>
    <t xml:space="preserve">228.95 </t>
  </si>
  <si>
    <t xml:space="preserve">62.44 </t>
  </si>
  <si>
    <t>2/10/25</t>
  </si>
  <si>
    <t>(232.89)</t>
  </si>
  <si>
    <t>2/11/25</t>
  </si>
  <si>
    <t xml:space="preserve">1.66 </t>
  </si>
  <si>
    <t>(347.00)</t>
  </si>
  <si>
    <t>2/12/25</t>
  </si>
  <si>
    <t xml:space="preserve">40.01 </t>
  </si>
  <si>
    <t>(1.15)</t>
  </si>
  <si>
    <t xml:space="preserve">235.47 </t>
  </si>
  <si>
    <t>OXY</t>
  </si>
  <si>
    <t>(48.09)</t>
  </si>
  <si>
    <t>280</t>
  </si>
  <si>
    <t xml:space="preserve">154.81 </t>
  </si>
  <si>
    <t xml:space="preserve">1.97 </t>
  </si>
  <si>
    <t>CVS</t>
  </si>
  <si>
    <t xml:space="preserve">62.39 </t>
  </si>
  <si>
    <t>PROF</t>
  </si>
  <si>
    <t>(6.22)</t>
  </si>
  <si>
    <t>(336.51)</t>
  </si>
  <si>
    <t>2/13/25</t>
  </si>
  <si>
    <t xml:space="preserve">357.30 </t>
  </si>
  <si>
    <t xml:space="preserve">737.10 </t>
  </si>
  <si>
    <t>(28.37)</t>
  </si>
  <si>
    <t>RIGL</t>
  </si>
  <si>
    <t>(20.23)</t>
  </si>
  <si>
    <t xml:space="preserve">67.07 </t>
  </si>
  <si>
    <t>VLVLY</t>
  </si>
  <si>
    <t xml:space="preserve">30.08 </t>
  </si>
  <si>
    <t>NEM</t>
  </si>
  <si>
    <t>1,500</t>
  </si>
  <si>
    <t xml:space="preserve">47.96 </t>
  </si>
  <si>
    <t>PAAS</t>
  </si>
  <si>
    <t xml:space="preserve">25.15 </t>
  </si>
  <si>
    <t xml:space="preserve">229.01 </t>
  </si>
  <si>
    <t>BLDP</t>
  </si>
  <si>
    <t>14,000</t>
  </si>
  <si>
    <t>(1.46)</t>
  </si>
  <si>
    <t>330</t>
  </si>
  <si>
    <t>(146.95)</t>
  </si>
  <si>
    <t>2/14/25</t>
  </si>
  <si>
    <t>488</t>
  </si>
  <si>
    <t xml:space="preserve">45.93 </t>
  </si>
  <si>
    <t>(10.93)</t>
  </si>
  <si>
    <t>8,000</t>
  </si>
  <si>
    <t>(514.56)</t>
  </si>
  <si>
    <t>600</t>
  </si>
  <si>
    <t>(110.22)</t>
  </si>
  <si>
    <t>(1.67)</t>
  </si>
  <si>
    <t xml:space="preserve">244.12 </t>
  </si>
  <si>
    <t>(228.54)</t>
  </si>
  <si>
    <t xml:space="preserve">68.03 </t>
  </si>
  <si>
    <t xml:space="preserve">21.43 </t>
  </si>
  <si>
    <t>45,702</t>
  </si>
  <si>
    <t>(1.51)</t>
  </si>
  <si>
    <t>2/17/25</t>
  </si>
  <si>
    <t>(337.00)</t>
  </si>
  <si>
    <t>2/18/25</t>
  </si>
  <si>
    <t>MVEALDNE</t>
  </si>
  <si>
    <t>30,000</t>
  </si>
  <si>
    <t>(109.28)</t>
  </si>
  <si>
    <t>MVEENI</t>
  </si>
  <si>
    <t>(14.09)</t>
  </si>
  <si>
    <t xml:space="preserve">717.20 </t>
  </si>
  <si>
    <t>7,000</t>
  </si>
  <si>
    <t>(46.50)</t>
  </si>
  <si>
    <t>(224.55)</t>
  </si>
  <si>
    <t xml:space="preserve">10.77 </t>
  </si>
  <si>
    <t xml:space="preserve">4.48 </t>
  </si>
  <si>
    <t>F</t>
  </si>
  <si>
    <t>(9.24)</t>
  </si>
  <si>
    <t>2/19/25</t>
  </si>
  <si>
    <t>(227.50)</t>
  </si>
  <si>
    <t xml:space="preserve">64.85 </t>
  </si>
  <si>
    <t xml:space="preserve">111.54 </t>
  </si>
  <si>
    <t>2,500</t>
  </si>
  <si>
    <t>(24.12)</t>
  </si>
  <si>
    <t xml:space="preserve">6.93 </t>
  </si>
  <si>
    <t>(37.80)</t>
  </si>
  <si>
    <t>(10.87)</t>
  </si>
  <si>
    <t>240</t>
  </si>
  <si>
    <t xml:space="preserve">244.79 </t>
  </si>
  <si>
    <t xml:space="preserve">595.09 </t>
  </si>
  <si>
    <t xml:space="preserve">51.86 </t>
  </si>
  <si>
    <t>2/20/25</t>
  </si>
  <si>
    <t>7,942</t>
  </si>
  <si>
    <t>(1.07)</t>
  </si>
  <si>
    <t xml:space="preserve">70.10 </t>
  </si>
  <si>
    <t>2/21/25</t>
  </si>
  <si>
    <t>(215.45)</t>
  </si>
  <si>
    <t>(706.60)</t>
  </si>
  <si>
    <t xml:space="preserve">71.24 </t>
  </si>
  <si>
    <t>12,058</t>
  </si>
  <si>
    <t>MVEEOAN</t>
  </si>
  <si>
    <t xml:space="preserve">11.65 </t>
  </si>
  <si>
    <t>ENI</t>
  </si>
  <si>
    <t>(13.98)</t>
  </si>
  <si>
    <t>2/24/25</t>
  </si>
  <si>
    <t>SAP</t>
  </si>
  <si>
    <t>499</t>
  </si>
  <si>
    <t xml:space="preserve">275.53 </t>
  </si>
  <si>
    <t>MVESAP</t>
  </si>
  <si>
    <t xml:space="preserve">275.65 </t>
  </si>
  <si>
    <t xml:space="preserve">12.09 </t>
  </si>
  <si>
    <t>ADEA</t>
  </si>
  <si>
    <t>2,990</t>
  </si>
  <si>
    <t xml:space="preserve">16.67 </t>
  </si>
  <si>
    <t>(43.70)</t>
  </si>
  <si>
    <t>390</t>
  </si>
  <si>
    <t xml:space="preserve">333.93 </t>
  </si>
  <si>
    <t>(207.77)</t>
  </si>
  <si>
    <t>2/25/25</t>
  </si>
  <si>
    <t>(203.43)</t>
  </si>
  <si>
    <t xml:space="preserve">38.69 </t>
  </si>
  <si>
    <t>(690.90)</t>
  </si>
  <si>
    <t xml:space="preserve">302.60 </t>
  </si>
  <si>
    <t>(206.18)</t>
  </si>
  <si>
    <t>MSFT</t>
  </si>
  <si>
    <t>(400.18)</t>
  </si>
  <si>
    <t>2/26/25</t>
  </si>
  <si>
    <t>(240.34)</t>
  </si>
  <si>
    <t>(3.66)</t>
  </si>
  <si>
    <t xml:space="preserve">20.29 </t>
  </si>
  <si>
    <t xml:space="preserve">30.52 </t>
  </si>
  <si>
    <t xml:space="preserve">12.56 </t>
  </si>
  <si>
    <t xml:space="preserve">11.31 </t>
  </si>
  <si>
    <t>2/27/25</t>
  </si>
  <si>
    <t>JBEOAN</t>
  </si>
  <si>
    <t xml:space="preserve">12.49 </t>
  </si>
  <si>
    <t xml:space="preserve">11.42 </t>
  </si>
  <si>
    <t>350</t>
  </si>
  <si>
    <t xml:space="preserve">44.30 </t>
  </si>
  <si>
    <t xml:space="preserve">334.09 </t>
  </si>
  <si>
    <t>2/28/25</t>
  </si>
  <si>
    <t>(1.20)</t>
  </si>
  <si>
    <t xml:space="preserve">351.43 </t>
  </si>
  <si>
    <t>(1.01)</t>
  </si>
  <si>
    <t>(683.54)</t>
  </si>
  <si>
    <t xml:space="preserve">64.33 </t>
  </si>
  <si>
    <t>3/3/25</t>
  </si>
  <si>
    <t xml:space="preserve">344.03 </t>
  </si>
  <si>
    <t>(395.34)</t>
  </si>
  <si>
    <t>NFLX</t>
  </si>
  <si>
    <t xml:space="preserve">982.61 </t>
  </si>
  <si>
    <t>POET</t>
  </si>
  <si>
    <t>(3.78)</t>
  </si>
  <si>
    <t>990</t>
  </si>
  <si>
    <t xml:space="preserve">39.68 </t>
  </si>
  <si>
    <t xml:space="preserve">11.55 </t>
  </si>
  <si>
    <t>(1.16)</t>
  </si>
  <si>
    <t>(178.31)</t>
  </si>
  <si>
    <t>3/6/25</t>
  </si>
  <si>
    <t>(77.67)</t>
  </si>
  <si>
    <t>3/7/25</t>
  </si>
  <si>
    <t>(15.76)</t>
  </si>
  <si>
    <t>3/10/25</t>
  </si>
  <si>
    <t>(632.80)</t>
  </si>
  <si>
    <t>(319.60)</t>
  </si>
  <si>
    <t xml:space="preserve">11.85 </t>
  </si>
  <si>
    <t>VONN</t>
  </si>
  <si>
    <t>(61.50)</t>
  </si>
  <si>
    <t>(193.49)</t>
  </si>
  <si>
    <t>3/14/25</t>
  </si>
  <si>
    <t xml:space="preserve">287.70 </t>
  </si>
  <si>
    <t xml:space="preserve">4.90 </t>
  </si>
  <si>
    <t xml:space="preserve">73.36 </t>
  </si>
  <si>
    <t>UNIT</t>
  </si>
  <si>
    <t>18,000</t>
  </si>
  <si>
    <t>(4.97)</t>
  </si>
  <si>
    <t>(0.91)</t>
  </si>
  <si>
    <t>(193.53)</t>
  </si>
  <si>
    <t>(130.04)</t>
  </si>
  <si>
    <t xml:space="preserve">9.68 </t>
  </si>
  <si>
    <t>3/17/25</t>
  </si>
  <si>
    <t xml:space="preserve">13.14 </t>
  </si>
  <si>
    <t>25,000</t>
  </si>
  <si>
    <t>(2.69)</t>
  </si>
  <si>
    <t>(47.24)</t>
  </si>
  <si>
    <t>3/18/25</t>
  </si>
  <si>
    <t>-0.93</t>
  </si>
  <si>
    <t>-38.78</t>
  </si>
  <si>
    <t>3/19/25</t>
  </si>
  <si>
    <t xml:space="preserve">667.60 </t>
  </si>
  <si>
    <t xml:space="preserve">63.10 </t>
  </si>
  <si>
    <t xml:space="preserve">296.01 </t>
  </si>
  <si>
    <t>3/20/25</t>
  </si>
  <si>
    <t>-250.8</t>
  </si>
  <si>
    <t>aet</t>
  </si>
  <si>
    <t>23,590</t>
  </si>
  <si>
    <t>-40.4</t>
  </si>
  <si>
    <t>3/21/25</t>
  </si>
  <si>
    <t>3/24/25</t>
  </si>
  <si>
    <t>19,410</t>
  </si>
  <si>
    <t>-41.40427</t>
  </si>
  <si>
    <t>-255.05</t>
  </si>
  <si>
    <t>-255.19</t>
  </si>
  <si>
    <t>3/25/25</t>
  </si>
  <si>
    <t xml:space="preserve">47.60 </t>
  </si>
  <si>
    <t xml:space="preserve">16.55 </t>
  </si>
  <si>
    <t>3/26/25</t>
  </si>
  <si>
    <t>50</t>
  </si>
  <si>
    <t>-661.5</t>
  </si>
  <si>
    <t>3/27/25</t>
  </si>
  <si>
    <t>(647.30)</t>
  </si>
  <si>
    <t>3/28/25</t>
  </si>
  <si>
    <t>-284.4779</t>
  </si>
  <si>
    <t>26.31</t>
  </si>
  <si>
    <t>33.646525</t>
  </si>
  <si>
    <t>-0.89</t>
  </si>
  <si>
    <t>-378.76</t>
  </si>
  <si>
    <t>3/31/25</t>
  </si>
  <si>
    <t xml:space="preserve">13.94 </t>
  </si>
  <si>
    <t xml:space="preserve">0.81 </t>
  </si>
  <si>
    <t>4/1/25</t>
  </si>
  <si>
    <t>-192.82</t>
  </si>
  <si>
    <t>14.04</t>
  </si>
  <si>
    <t>-267.01</t>
  </si>
  <si>
    <t>-14.1683</t>
  </si>
  <si>
    <t>12.03</t>
  </si>
  <si>
    <t>4/2/25</t>
  </si>
  <si>
    <t>(35.44)</t>
  </si>
  <si>
    <t xml:space="preserve">12.01 </t>
  </si>
  <si>
    <t>4/8/25</t>
  </si>
  <si>
    <t>-56.89</t>
  </si>
  <si>
    <t>4/10/25</t>
  </si>
  <si>
    <t>(55.70)</t>
  </si>
  <si>
    <t>4/12/25</t>
  </si>
  <si>
    <t>-0.73</t>
  </si>
  <si>
    <t>4/15/25</t>
  </si>
  <si>
    <t>-0.6202</t>
  </si>
  <si>
    <t>1,350</t>
  </si>
  <si>
    <t>-157.45</t>
  </si>
  <si>
    <t>4/23/25</t>
  </si>
  <si>
    <t>58.63</t>
  </si>
  <si>
    <t>42.22</t>
  </si>
  <si>
    <t>12.62</t>
  </si>
  <si>
    <t>14.97</t>
  </si>
  <si>
    <t>4/24/25</t>
  </si>
  <si>
    <t>-12.6593</t>
  </si>
  <si>
    <t>261.5</t>
  </si>
  <si>
    <t>4/21/25</t>
  </si>
  <si>
    <t>-173.55</t>
  </si>
  <si>
    <t>4/17/25</t>
  </si>
  <si>
    <t>-197.42</t>
  </si>
  <si>
    <t>(603.80)</t>
  </si>
  <si>
    <t>5/2/25</t>
  </si>
  <si>
    <t>-33.095</t>
  </si>
  <si>
    <t>-51.829875</t>
  </si>
  <si>
    <t>1,990</t>
  </si>
  <si>
    <t>-58.935</t>
  </si>
  <si>
    <t>-204.94932</t>
  </si>
  <si>
    <t>-62.75</t>
  </si>
  <si>
    <t>-378.43</t>
  </si>
  <si>
    <t>-152.32</t>
  </si>
  <si>
    <t>-55.8</t>
  </si>
  <si>
    <t>4/4/25</t>
  </si>
  <si>
    <t>-35.44</t>
  </si>
  <si>
    <t>4/22/25</t>
  </si>
  <si>
    <t>-39.59</t>
  </si>
  <si>
    <t>5/5/25</t>
  </si>
  <si>
    <t>-12.59</t>
  </si>
  <si>
    <t>1133.76</t>
  </si>
  <si>
    <t>5/7/25</t>
  </si>
  <si>
    <t>66</t>
  </si>
  <si>
    <t>606.66</t>
  </si>
  <si>
    <t>5/8/25</t>
  </si>
  <si>
    <t>2.85</t>
  </si>
  <si>
    <t>1,250</t>
  </si>
  <si>
    <t>32.66025</t>
  </si>
  <si>
    <t>265.65</t>
  </si>
  <si>
    <t>45.76</t>
  </si>
  <si>
    <t>12.665</t>
  </si>
  <si>
    <t>15.64</t>
  </si>
  <si>
    <t>62.09</t>
  </si>
  <si>
    <t>15.9</t>
  </si>
  <si>
    <t>-262.9</t>
  </si>
  <si>
    <t>-262.88</t>
  </si>
  <si>
    <t>5/9/25</t>
  </si>
  <si>
    <t>note</t>
  </si>
  <si>
    <t>11,855</t>
  </si>
  <si>
    <t>-0.66</t>
  </si>
  <si>
    <t>5/12/25</t>
  </si>
  <si>
    <t>-50.63</t>
  </si>
  <si>
    <t>-22.96</t>
  </si>
  <si>
    <t>47.47</t>
  </si>
  <si>
    <t>5/13/25</t>
  </si>
  <si>
    <t>eoan</t>
  </si>
  <si>
    <t>-14.7</t>
  </si>
  <si>
    <t>-14.73</t>
  </si>
  <si>
    <t>-1.91</t>
  </si>
  <si>
    <t>21,000</t>
  </si>
  <si>
    <t>-1.929</t>
  </si>
  <si>
    <t>-49.98</t>
  </si>
  <si>
    <t>5/15/25</t>
  </si>
  <si>
    <t>63.3</t>
  </si>
  <si>
    <t>28.83</t>
  </si>
  <si>
    <t>5/16/25</t>
  </si>
  <si>
    <t>ezj</t>
  </si>
  <si>
    <t xml:space="preserve">544.20 </t>
  </si>
  <si>
    <t>5/20//25</t>
  </si>
  <si>
    <t>aapl</t>
  </si>
  <si>
    <t>-206.73</t>
  </si>
  <si>
    <t>-204.0975</t>
  </si>
  <si>
    <t>335.85</t>
  </si>
  <si>
    <t>5/19/25</t>
  </si>
  <si>
    <t xml:space="preserve">11.25 </t>
  </si>
  <si>
    <t xml:space="preserve">73.82 </t>
  </si>
  <si>
    <t xml:space="preserve">32.24 </t>
  </si>
  <si>
    <t xml:space="preserve">263.88 </t>
  </si>
  <si>
    <t xml:space="preserve">263.80 </t>
  </si>
  <si>
    <t xml:space="preserve">76.11 </t>
  </si>
  <si>
    <t xml:space="preserve">29.10 </t>
  </si>
  <si>
    <t>750</t>
  </si>
  <si>
    <t xml:space="preserve">62.74 </t>
  </si>
  <si>
    <t>5/22/25</t>
  </si>
  <si>
    <t>13.3</t>
  </si>
  <si>
    <t>5/23/25</t>
  </si>
  <si>
    <t xml:space="preserve">15.55 </t>
  </si>
  <si>
    <t>650</t>
  </si>
  <si>
    <t xml:space="preserve">160.91 </t>
  </si>
  <si>
    <t xml:space="preserve">229.82 </t>
  </si>
  <si>
    <t>(12.82)</t>
  </si>
  <si>
    <t>(32.12)</t>
  </si>
  <si>
    <t>(317.01)</t>
  </si>
  <si>
    <t>(66.36)</t>
  </si>
  <si>
    <t>VTRS</t>
  </si>
  <si>
    <t>(8.23)</t>
  </si>
  <si>
    <t xml:space="preserve">15.74 </t>
  </si>
  <si>
    <t>5/27/25</t>
  </si>
  <si>
    <t>40,000</t>
  </si>
  <si>
    <t>333.9</t>
  </si>
  <si>
    <t>5/29/25</t>
  </si>
  <si>
    <t>-24.42</t>
  </si>
  <si>
    <t>241.729</t>
  </si>
  <si>
    <t>10.18</t>
  </si>
  <si>
    <t>5/30/25</t>
  </si>
  <si>
    <t>(32.95)</t>
  </si>
  <si>
    <t>(12.96)</t>
  </si>
  <si>
    <t>(13.19)</t>
  </si>
  <si>
    <t>(201.75)</t>
  </si>
  <si>
    <t>(24.95)</t>
  </si>
  <si>
    <t>(68.40)</t>
  </si>
  <si>
    <t>(19.39)</t>
  </si>
  <si>
    <t>6/3/25</t>
  </si>
  <si>
    <t>267.48</t>
  </si>
  <si>
    <t>3,999</t>
  </si>
  <si>
    <t>33.36</t>
  </si>
  <si>
    <t>3,200</t>
  </si>
  <si>
    <t>62.9</t>
  </si>
  <si>
    <t>1222.17</t>
  </si>
  <si>
    <t>-256.2</t>
  </si>
  <si>
    <t>6/5/25</t>
  </si>
  <si>
    <t>273.15</t>
  </si>
  <si>
    <t>6/11/25</t>
  </si>
  <si>
    <t>(213.25)</t>
  </si>
  <si>
    <t>(213.43)</t>
  </si>
  <si>
    <t>290</t>
  </si>
  <si>
    <t>(198.04)</t>
  </si>
  <si>
    <t>45821</t>
  </si>
  <si>
    <t>(196)</t>
  </si>
  <si>
    <t>6/13/25</t>
  </si>
  <si>
    <t>(13.04)</t>
  </si>
  <si>
    <t>6/17/25</t>
  </si>
  <si>
    <t xml:space="preserve">1220.52 </t>
  </si>
  <si>
    <t>6/18/25</t>
  </si>
  <si>
    <t>(31.34)</t>
  </si>
  <si>
    <t>1,710</t>
  </si>
  <si>
    <t xml:space="preserve">320.00 </t>
  </si>
  <si>
    <t>(196.66)</t>
  </si>
  <si>
    <t>8,145</t>
  </si>
  <si>
    <t>(0.54)</t>
  </si>
  <si>
    <t>(31.36)</t>
  </si>
  <si>
    <t>(546.81)</t>
  </si>
  <si>
    <t>6/19/25</t>
  </si>
  <si>
    <t>(30.95)</t>
  </si>
  <si>
    <t>2,800</t>
  </si>
  <si>
    <t>(13.02)</t>
  </si>
  <si>
    <t>6/20/25</t>
  </si>
  <si>
    <t xml:space="preserve">52.01 </t>
  </si>
  <si>
    <t xml:space="preserve">117.40 </t>
  </si>
  <si>
    <t>(69.84)</t>
  </si>
  <si>
    <t xml:space="preserve">71.82 </t>
  </si>
  <si>
    <t>6/23/25</t>
  </si>
  <si>
    <t>(250.75)</t>
  </si>
  <si>
    <t>(249.75)</t>
  </si>
  <si>
    <t>6/24/25</t>
  </si>
  <si>
    <t>(200.70)</t>
  </si>
  <si>
    <t>(212.98)</t>
  </si>
  <si>
    <t>6/25/25</t>
  </si>
  <si>
    <t>(695.50)</t>
  </si>
  <si>
    <t xml:space="preserve">119.32 </t>
  </si>
  <si>
    <t xml:space="preserve">10.50 </t>
  </si>
  <si>
    <t xml:space="preserve">169.12 </t>
  </si>
  <si>
    <t>(15.45)</t>
  </si>
  <si>
    <t>(5.12)</t>
  </si>
  <si>
    <t>(18.65)</t>
  </si>
  <si>
    <t xml:space="preserve">58.13 </t>
  </si>
  <si>
    <t xml:space="preserve">491.48 </t>
  </si>
  <si>
    <t xml:space="preserve">119.38 </t>
  </si>
  <si>
    <t xml:space="preserve">68.32 </t>
  </si>
  <si>
    <t xml:space="preserve">82.67 </t>
  </si>
  <si>
    <t xml:space="preserve">331.30 </t>
  </si>
  <si>
    <t>6/26/25</t>
  </si>
  <si>
    <t>(30.22)</t>
  </si>
  <si>
    <t xml:space="preserve">496.30 </t>
  </si>
  <si>
    <t>BLNK</t>
  </si>
  <si>
    <t xml:space="preserve">59.16 </t>
  </si>
  <si>
    <t xml:space="preserve">224.42 </t>
  </si>
  <si>
    <t>6/27/25</t>
  </si>
  <si>
    <t>(27.53)</t>
  </si>
  <si>
    <t>6/30/25</t>
  </si>
  <si>
    <t xml:space="preserve">20.52 </t>
  </si>
  <si>
    <t>7/3/25</t>
  </si>
  <si>
    <t>8,290</t>
  </si>
  <si>
    <t xml:space="preserve">3.46 </t>
  </si>
  <si>
    <t>7/4/25</t>
  </si>
  <si>
    <t xml:space="preserve">345.80 </t>
  </si>
  <si>
    <t>7/7/25</t>
  </si>
  <si>
    <t xml:space="preserve">122.97 </t>
  </si>
  <si>
    <t>7/10/25</t>
  </si>
  <si>
    <t>(524.20)</t>
  </si>
  <si>
    <t xml:space="preserve">369.20 </t>
  </si>
  <si>
    <t>7/15/25</t>
  </si>
  <si>
    <t xml:space="preserve">16.07 </t>
  </si>
  <si>
    <t>(55.97)</t>
  </si>
  <si>
    <t>7/16/25</t>
  </si>
  <si>
    <t xml:space="preserve">386.01 </t>
  </si>
  <si>
    <t>7/17/25</t>
  </si>
  <si>
    <t>190</t>
  </si>
  <si>
    <t>(14.25)</t>
  </si>
  <si>
    <t xml:space="preserve">6.50 </t>
  </si>
  <si>
    <t xml:space="preserve">15.95 </t>
  </si>
  <si>
    <t>9,750</t>
  </si>
  <si>
    <t xml:space="preserve">383.01 </t>
  </si>
  <si>
    <t xml:space="preserve">265.05 </t>
  </si>
  <si>
    <t xml:space="preserve">247.65 </t>
  </si>
  <si>
    <t>9</t>
  </si>
  <si>
    <t>(37.90)</t>
  </si>
  <si>
    <t>(259.60)</t>
  </si>
  <si>
    <t>7/18/25</t>
  </si>
  <si>
    <t>(632.95)</t>
  </si>
  <si>
    <t>(645.50)</t>
  </si>
  <si>
    <t>39</t>
  </si>
  <si>
    <t>(37.43)</t>
  </si>
  <si>
    <t>(37.24)</t>
  </si>
  <si>
    <t>(1208.99)</t>
  </si>
  <si>
    <t>(241.39)</t>
  </si>
  <si>
    <t>7/21/25</t>
  </si>
  <si>
    <t>DXC</t>
  </si>
  <si>
    <t>(14.48)</t>
  </si>
  <si>
    <t>DVA</t>
  </si>
  <si>
    <t>(140.09)</t>
  </si>
  <si>
    <t>7/22/25</t>
  </si>
  <si>
    <t>(602.55)</t>
  </si>
  <si>
    <t>7/23/25</t>
  </si>
  <si>
    <t>(250.90)</t>
  </si>
  <si>
    <t>(250.85)</t>
  </si>
  <si>
    <t>(72.56)</t>
  </si>
  <si>
    <t>7/24/25</t>
  </si>
  <si>
    <t>(61.05)</t>
  </si>
  <si>
    <t>14.44</t>
  </si>
  <si>
    <t>0.9582865</t>
  </si>
  <si>
    <t>7/25/25</t>
  </si>
  <si>
    <t xml:space="preserve">65.25 </t>
  </si>
  <si>
    <t xml:space="preserve">72.54 </t>
  </si>
  <si>
    <t>(152.18)</t>
  </si>
  <si>
    <t xml:space="preserve">165.75 </t>
  </si>
  <si>
    <t>7/28/25</t>
  </si>
  <si>
    <t>RIG</t>
  </si>
  <si>
    <t>-3.04</t>
  </si>
  <si>
    <t>7/30/25</t>
  </si>
  <si>
    <t xml:space="preserve">14.82 </t>
  </si>
  <si>
    <t>(59.50)</t>
  </si>
  <si>
    <t>(486.00)</t>
  </si>
  <si>
    <t>8/1/25</t>
  </si>
  <si>
    <t>(215.02)</t>
  </si>
  <si>
    <t>(235.25)</t>
  </si>
  <si>
    <t>8/5/25</t>
  </si>
  <si>
    <t>(599.30)</t>
  </si>
  <si>
    <t>(59.10)</t>
  </si>
  <si>
    <t>8/8/25</t>
  </si>
  <si>
    <t xml:space="preserve">16.51 </t>
  </si>
  <si>
    <t>8/11/25</t>
  </si>
  <si>
    <t xml:space="preserve">31.70 </t>
  </si>
  <si>
    <t>8/12/25</t>
  </si>
  <si>
    <t>(232.45)</t>
  </si>
  <si>
    <t>8/13/25</t>
  </si>
  <si>
    <t>70,000</t>
  </si>
  <si>
    <t>(0.55)</t>
  </si>
  <si>
    <t xml:space="preserve">37.12 </t>
  </si>
  <si>
    <t>8/14/25</t>
  </si>
  <si>
    <t>(26.64)</t>
  </si>
  <si>
    <t>8/15/25</t>
  </si>
  <si>
    <t>(59.09)</t>
  </si>
  <si>
    <t>(14.35)</t>
  </si>
  <si>
    <t>8/19/25</t>
  </si>
  <si>
    <t xml:space="preserve">27.08 </t>
  </si>
  <si>
    <t xml:space="preserve">30.68 </t>
  </si>
  <si>
    <t xml:space="preserve">79.51 </t>
  </si>
  <si>
    <t xml:space="preserve">636.70 </t>
  </si>
  <si>
    <t>8/22/25</t>
  </si>
  <si>
    <t xml:space="preserve">646.20 </t>
  </si>
  <si>
    <t>70.12</t>
  </si>
  <si>
    <t>32.03</t>
  </si>
  <si>
    <t>76.21</t>
  </si>
  <si>
    <t>42.05</t>
  </si>
  <si>
    <t>8/25/25</t>
  </si>
  <si>
    <t xml:space="preserve">41.42 </t>
  </si>
  <si>
    <t xml:space="preserve">75.42 </t>
  </si>
  <si>
    <t xml:space="preserve">22.45 </t>
  </si>
  <si>
    <t xml:space="preserve">10.58 </t>
  </si>
  <si>
    <t>8/27/25</t>
  </si>
  <si>
    <t>(0.45)</t>
  </si>
  <si>
    <t xml:space="preserve">189.91 </t>
  </si>
  <si>
    <t xml:space="preserve">15.21 </t>
  </si>
  <si>
    <t>8/28/25</t>
  </si>
  <si>
    <t xml:space="preserve">23.24 </t>
  </si>
  <si>
    <t>8/29/25</t>
  </si>
  <si>
    <t>660</t>
  </si>
  <si>
    <t>(67.18)</t>
  </si>
  <si>
    <t xml:space="preserve">38.72 </t>
  </si>
  <si>
    <t>9/2/25</t>
  </si>
  <si>
    <t>(14.82)</t>
  </si>
  <si>
    <t>(480.90)</t>
  </si>
  <si>
    <t>(14.78)</t>
  </si>
  <si>
    <t>(622.20)</t>
  </si>
  <si>
    <t>9/4/25</t>
  </si>
  <si>
    <t>1,010</t>
  </si>
  <si>
    <t xml:space="preserve">61.80 </t>
  </si>
  <si>
    <t>9/5/25</t>
  </si>
  <si>
    <t>54</t>
  </si>
  <si>
    <t xml:space="preserve">660.20 </t>
  </si>
  <si>
    <t>9/8/25</t>
  </si>
  <si>
    <t xml:space="preserve">667.20 </t>
  </si>
  <si>
    <t>9/9/25</t>
  </si>
  <si>
    <t xml:space="preserve">194.28 </t>
  </si>
  <si>
    <t>9/10/25</t>
  </si>
  <si>
    <t>2000</t>
  </si>
  <si>
    <t xml:space="preserve">11.41 </t>
  </si>
  <si>
    <t>95</t>
  </si>
  <si>
    <t xml:space="preserve">97.38 </t>
  </si>
  <si>
    <t>4000</t>
  </si>
  <si>
    <t>(71.00)</t>
  </si>
  <si>
    <t>(115.90)</t>
  </si>
  <si>
    <t>9/11/25</t>
  </si>
  <si>
    <t xml:space="preserve">230.35 </t>
  </si>
  <si>
    <t xml:space="preserve">230.21 </t>
  </si>
  <si>
    <t>9/12/25</t>
  </si>
  <si>
    <t>3750</t>
  </si>
  <si>
    <t xml:space="preserve">15.53 </t>
  </si>
  <si>
    <t xml:space="preserve">79.26 </t>
  </si>
  <si>
    <t>9/15/25</t>
  </si>
  <si>
    <t xml:space="preserve">15.63 </t>
  </si>
  <si>
    <t xml:space="preserve">15.80 </t>
  </si>
  <si>
    <t xml:space="preserve">728.40 </t>
  </si>
  <si>
    <t>(186.39)</t>
  </si>
  <si>
    <t>9/16/25</t>
  </si>
  <si>
    <t xml:space="preserve">24.46 </t>
  </si>
  <si>
    <t>1000</t>
  </si>
  <si>
    <t xml:space="preserve">5.56 </t>
  </si>
  <si>
    <t xml:space="preserve">36.29 </t>
  </si>
  <si>
    <t>9/17/25</t>
  </si>
  <si>
    <t>(60.10)</t>
  </si>
  <si>
    <t>9/18/25</t>
  </si>
  <si>
    <t xml:space="preserve">772.40 </t>
  </si>
  <si>
    <t xml:space="preserve">268.59 </t>
  </si>
  <si>
    <t>9/19/25</t>
  </si>
  <si>
    <t>9,990</t>
  </si>
  <si>
    <t>(14.92)</t>
  </si>
  <si>
    <t>10,010</t>
  </si>
  <si>
    <t>(14.87)</t>
  </si>
  <si>
    <t>(451.01)</t>
  </si>
  <si>
    <t xml:space="preserve">13.75 </t>
  </si>
  <si>
    <t xml:space="preserve">790.33 </t>
  </si>
  <si>
    <t>XYZ</t>
  </si>
  <si>
    <t>(76.94)</t>
  </si>
  <si>
    <t xml:space="preserve">592.68 </t>
  </si>
  <si>
    <t xml:space="preserve">245.49 </t>
  </si>
  <si>
    <t>(227.55)</t>
  </si>
  <si>
    <t>9/22/25</t>
  </si>
  <si>
    <t xml:space="preserve">814.20 </t>
  </si>
  <si>
    <t xml:space="preserve">16.86 </t>
  </si>
  <si>
    <t>13000</t>
  </si>
  <si>
    <t>(3.38)</t>
  </si>
  <si>
    <t>9/23/25</t>
  </si>
  <si>
    <t xml:space="preserve">821.40 </t>
  </si>
  <si>
    <t xml:space="preserve">85.32 </t>
  </si>
  <si>
    <t>(166.70)</t>
  </si>
  <si>
    <t xml:space="preserve">72.32 </t>
  </si>
  <si>
    <t>9/24/25</t>
  </si>
  <si>
    <t>824.25</t>
  </si>
  <si>
    <t>(5.19)</t>
  </si>
  <si>
    <t>-565.89</t>
  </si>
  <si>
    <t>9/25/25</t>
  </si>
  <si>
    <t>(804.90)</t>
  </si>
  <si>
    <t>(59.20)</t>
  </si>
  <si>
    <t>12,000</t>
  </si>
  <si>
    <t xml:space="preserve">15.96 </t>
  </si>
  <si>
    <t>249</t>
  </si>
  <si>
    <t xml:space="preserve">74.69 </t>
  </si>
  <si>
    <t>28,000</t>
  </si>
  <si>
    <t xml:space="preserve">1.52 </t>
  </si>
  <si>
    <t xml:space="preserve">74.72 </t>
  </si>
  <si>
    <t>(9.46)</t>
  </si>
  <si>
    <t>9/26/25</t>
  </si>
  <si>
    <t xml:space="preserve"> 1,000 </t>
  </si>
  <si>
    <t>(67.20)</t>
  </si>
  <si>
    <t>XOM</t>
  </si>
  <si>
    <t xml:space="preserve"> 300 </t>
  </si>
  <si>
    <t>(117.49)</t>
  </si>
  <si>
    <t xml:space="preserve"> 200 </t>
  </si>
  <si>
    <t xml:space="preserve">511.50 </t>
  </si>
  <si>
    <t>76.712</t>
  </si>
  <si>
    <t xml:space="preserve"> 2,000 </t>
  </si>
  <si>
    <t>-28.545245</t>
  </si>
  <si>
    <t>9/29/25</t>
  </si>
  <si>
    <t>JBASML</t>
  </si>
  <si>
    <t xml:space="preserve">828.20 </t>
  </si>
  <si>
    <t xml:space="preserve">221.52 </t>
  </si>
  <si>
    <t xml:space="preserve">515.25 </t>
  </si>
  <si>
    <t xml:space="preserve">39.30 </t>
  </si>
  <si>
    <t>10/1/25</t>
  </si>
  <si>
    <t>24.82</t>
  </si>
  <si>
    <t>10/2/25</t>
  </si>
  <si>
    <t xml:space="preserve">880.60 </t>
  </si>
  <si>
    <t>(232.35)</t>
  </si>
  <si>
    <t>10/3/25</t>
  </si>
  <si>
    <t>60.2</t>
  </si>
  <si>
    <t>10000</t>
  </si>
  <si>
    <t>384.6</t>
  </si>
  <si>
    <t>10/6/25</t>
  </si>
  <si>
    <t xml:space="preserve">16.12 </t>
  </si>
  <si>
    <t xml:space="preserve">15.12 </t>
  </si>
  <si>
    <t xml:space="preserve">901.20 </t>
  </si>
  <si>
    <t xml:space="preserve">81.84 </t>
  </si>
  <si>
    <t>ddd</t>
  </si>
  <si>
    <t xml:space="preserve">3.08 </t>
  </si>
  <si>
    <t>safdis</t>
  </si>
  <si>
    <t>530</t>
  </si>
  <si>
    <t>(112.98)</t>
  </si>
  <si>
    <t>nflx</t>
  </si>
  <si>
    <t>(1,161.69)</t>
  </si>
  <si>
    <t>safddd</t>
  </si>
  <si>
    <t>11,000</t>
  </si>
  <si>
    <t xml:space="preserve">3.16 </t>
  </si>
  <si>
    <t>10/7/25</t>
  </si>
  <si>
    <t>2500</t>
  </si>
  <si>
    <t>7.4</t>
  </si>
  <si>
    <t>260</t>
  </si>
  <si>
    <t>523.92</t>
  </si>
  <si>
    <t>204.54</t>
  </si>
  <si>
    <t>3.15</t>
  </si>
  <si>
    <t>10/8/25</t>
  </si>
  <si>
    <t xml:space="preserve">397.01 </t>
  </si>
  <si>
    <t>(54.13)</t>
  </si>
  <si>
    <t xml:space="preserve">29.14 </t>
  </si>
  <si>
    <t>(201.24)</t>
  </si>
  <si>
    <t xml:space="preserve">26.07 </t>
  </si>
  <si>
    <t>10/9/25</t>
  </si>
  <si>
    <t>(54.68)</t>
  </si>
  <si>
    <t xml:space="preserve">414.70 </t>
  </si>
  <si>
    <t>160</t>
  </si>
  <si>
    <t xml:space="preserve">346.09 </t>
  </si>
  <si>
    <t>20000</t>
  </si>
  <si>
    <t>(46.00)</t>
  </si>
  <si>
    <t>86.22</t>
  </si>
  <si>
    <t>253.62</t>
  </si>
  <si>
    <t xml:space="preserve">1,235.33 </t>
  </si>
  <si>
    <t xml:space="preserve">6.80 </t>
  </si>
  <si>
    <t>(127.09)</t>
  </si>
  <si>
    <t>XPER</t>
  </si>
  <si>
    <t>5000</t>
  </si>
  <si>
    <t>(6.66)</t>
  </si>
  <si>
    <t>10/10/25</t>
  </si>
  <si>
    <t xml:space="preserve">237.80 </t>
  </si>
  <si>
    <t>(45.80)</t>
  </si>
  <si>
    <t>10/11/25</t>
  </si>
  <si>
    <t>(45.60)</t>
  </si>
  <si>
    <t>(25.74)</t>
  </si>
  <si>
    <t>210</t>
  </si>
  <si>
    <t>(331.63)</t>
  </si>
  <si>
    <t>6000</t>
  </si>
  <si>
    <t xml:space="preserve">3.35 </t>
  </si>
  <si>
    <t>(813.90)</t>
  </si>
  <si>
    <t>10/13/25</t>
  </si>
  <si>
    <t>(248.52)</t>
  </si>
  <si>
    <t>(513.83)</t>
  </si>
  <si>
    <t>1200</t>
  </si>
  <si>
    <t>(24.92)</t>
  </si>
  <si>
    <t>10/14/25</t>
  </si>
  <si>
    <t xml:space="preserve">84.71 </t>
  </si>
  <si>
    <t xml:space="preserve">427.54 </t>
  </si>
  <si>
    <t>10/15/25</t>
  </si>
  <si>
    <t>28.94</t>
  </si>
  <si>
    <t>5.61</t>
  </si>
  <si>
    <t>69.34</t>
  </si>
  <si>
    <t>149</t>
  </si>
  <si>
    <t>16.54</t>
  </si>
  <si>
    <t>192.01</t>
  </si>
  <si>
    <t>10/16/25</t>
  </si>
  <si>
    <t xml:space="preserve">893.20 </t>
  </si>
  <si>
    <t>(59.80)</t>
  </si>
  <si>
    <t>(1,179.66)</t>
  </si>
  <si>
    <t>12000</t>
  </si>
  <si>
    <t xml:space="preserve">1.91 </t>
  </si>
  <si>
    <t xml:space="preserve">10.07 </t>
  </si>
  <si>
    <t>10/17/25</t>
  </si>
  <si>
    <t>(58.89)</t>
  </si>
  <si>
    <t>(54.02)</t>
  </si>
  <si>
    <t xml:space="preserve">862.60 </t>
  </si>
  <si>
    <t xml:space="preserve">296.40 </t>
  </si>
  <si>
    <t>10/20/25</t>
  </si>
  <si>
    <t xml:space="preserve">1,233.56 </t>
  </si>
  <si>
    <t>3000</t>
  </si>
  <si>
    <t xml:space="preserve">12.02 </t>
  </si>
  <si>
    <t>1800</t>
  </si>
  <si>
    <t>(22.63)</t>
  </si>
  <si>
    <t>1340</t>
  </si>
  <si>
    <t>(68.98)</t>
  </si>
  <si>
    <t xml:space="preserve">94.22 </t>
  </si>
  <si>
    <t>10/21/25</t>
  </si>
  <si>
    <t xml:space="preserve">263.58 </t>
  </si>
  <si>
    <t xml:space="preserve">221.65 </t>
  </si>
  <si>
    <t>(86.41)</t>
  </si>
  <si>
    <t>1500</t>
  </si>
  <si>
    <t>(35.72)</t>
  </si>
  <si>
    <t xml:space="preserve">29.92 </t>
  </si>
  <si>
    <t>10/22/25</t>
  </si>
  <si>
    <t>(183.16)</t>
  </si>
  <si>
    <t xml:space="preserve">402.80 </t>
  </si>
  <si>
    <t xml:space="preserve">495.60 </t>
  </si>
  <si>
    <t>1300</t>
  </si>
  <si>
    <t>(1,117.45)</t>
  </si>
  <si>
    <t>(286.40)</t>
  </si>
  <si>
    <t>10/23/25</t>
  </si>
  <si>
    <t xml:space="preserve">405.01 </t>
  </si>
  <si>
    <t>(1,103.56)</t>
  </si>
  <si>
    <t>10/24/25</t>
  </si>
  <si>
    <t xml:space="preserve">894.75 </t>
  </si>
  <si>
    <t xml:space="preserve">406.20 </t>
  </si>
  <si>
    <t>(67.00)</t>
  </si>
  <si>
    <t>(83.50)</t>
  </si>
  <si>
    <t>(1,096.88)</t>
  </si>
  <si>
    <t>10/27/25</t>
  </si>
  <si>
    <t>410.07</t>
  </si>
  <si>
    <t>910.25</t>
  </si>
  <si>
    <t>21</t>
  </si>
  <si>
    <t xml:space="preserve">61.20 </t>
  </si>
  <si>
    <t>10/28/25</t>
  </si>
  <si>
    <t xml:space="preserve">24.12 </t>
  </si>
  <si>
    <t>(79.60)</t>
  </si>
  <si>
    <t>10/29/25</t>
  </si>
  <si>
    <t>(28.00)</t>
  </si>
  <si>
    <t>2632</t>
  </si>
  <si>
    <t>(15.20)</t>
  </si>
  <si>
    <t xml:space="preserve">410.55 </t>
  </si>
  <si>
    <t>10/30/25</t>
  </si>
  <si>
    <t>(80.88)</t>
  </si>
  <si>
    <t>10/31/25</t>
  </si>
  <si>
    <t>(79.88)</t>
  </si>
  <si>
    <t>979</t>
  </si>
  <si>
    <t xml:space="preserve">421.01 </t>
  </si>
  <si>
    <t>11/3/25</t>
  </si>
  <si>
    <t>25000</t>
  </si>
  <si>
    <t xml:space="preserve">427.20 </t>
  </si>
  <si>
    <t>399</t>
  </si>
  <si>
    <t xml:space="preserve">81.87 </t>
  </si>
  <si>
    <t>11/4/25</t>
  </si>
  <si>
    <t>1600</t>
  </si>
  <si>
    <t>(118.68)</t>
  </si>
  <si>
    <t>(63.69)</t>
  </si>
  <si>
    <t>(78.88)</t>
  </si>
  <si>
    <t xml:space="preserve">15.86 </t>
  </si>
  <si>
    <t xml:space="preserve">270.04 </t>
  </si>
  <si>
    <t>(28.33)</t>
  </si>
  <si>
    <t>(100.93)</t>
  </si>
  <si>
    <t>11/5/25</t>
  </si>
  <si>
    <t xml:space="preserve">425.10 </t>
  </si>
  <si>
    <t>14450</t>
  </si>
  <si>
    <t>(16.04)</t>
  </si>
  <si>
    <t xml:space="preserve">37.21 </t>
  </si>
  <si>
    <t xml:space="preserve">81.47 </t>
  </si>
  <si>
    <t>11/6/25</t>
  </si>
  <si>
    <t xml:space="preserve">288.85 </t>
  </si>
  <si>
    <t>(58.80)</t>
  </si>
  <si>
    <t>11/7/25</t>
  </si>
  <si>
    <t>(58.45)</t>
  </si>
  <si>
    <t xml:space="preserve">380.01 </t>
  </si>
  <si>
    <t xml:space="preserve">3.96 </t>
  </si>
  <si>
    <t xml:space="preserve">123.44 </t>
  </si>
  <si>
    <t xml:space="preserve">64.90 </t>
  </si>
  <si>
    <t>11/10/25</t>
  </si>
  <si>
    <t>(120.14)</t>
  </si>
  <si>
    <t>11/11/25</t>
  </si>
  <si>
    <t>3333</t>
  </si>
  <si>
    <t>(2.76)</t>
  </si>
  <si>
    <t>11/12/25</t>
  </si>
  <si>
    <t>886.7</t>
  </si>
  <si>
    <t>124.33</t>
  </si>
  <si>
    <t>38.853</t>
  </si>
  <si>
    <t>-4.9789</t>
  </si>
  <si>
    <t>60.4</t>
  </si>
  <si>
    <t>11/13/25</t>
  </si>
  <si>
    <t xml:space="preserve">399.20 </t>
  </si>
  <si>
    <t>(15.15)</t>
  </si>
  <si>
    <t>11/14/25</t>
  </si>
  <si>
    <t>-886.7</t>
  </si>
  <si>
    <t>11/17/25</t>
  </si>
  <si>
    <t>342.32</t>
  </si>
  <si>
    <t>11/20/25</t>
  </si>
  <si>
    <t>(105.73)</t>
  </si>
  <si>
    <t>11/21/25</t>
  </si>
  <si>
    <t>-375.2</t>
  </si>
  <si>
    <t>46.8</t>
  </si>
  <si>
    <t>11/24/25</t>
  </si>
  <si>
    <t>1</t>
  </si>
  <si>
    <t>-104.38</t>
  </si>
  <si>
    <t>Tickers</t>
  </si>
  <si>
    <t>Scale</t>
  </si>
  <si>
    <t>Apple Inc.</t>
  </si>
  <si>
    <t>Adea Corporation, former Sterling</t>
  </si>
  <si>
    <t>AET.L</t>
  </si>
  <si>
    <t>ALDNE.PA</t>
  </si>
  <si>
    <t>ASML.AS</t>
  </si>
  <si>
    <t>BMRA</t>
  </si>
  <si>
    <t>DSY.PA</t>
  </si>
  <si>
    <t>EOAN.DE</t>
  </si>
  <si>
    <t>GM</t>
  </si>
  <si>
    <t>IAG.L</t>
  </si>
  <si>
    <t>LNSR</t>
  </si>
  <si>
    <t>PW</t>
  </si>
  <si>
    <t>RWE.DE</t>
  </si>
  <si>
    <t>SAP.DE</t>
  </si>
  <si>
    <t>VONN.SW</t>
  </si>
  <si>
    <t>ENI.MI</t>
  </si>
  <si>
    <t>EZJ.L</t>
  </si>
  <si>
    <t>GLE.PA</t>
  </si>
  <si>
    <t>GS</t>
  </si>
  <si>
    <t>LAZR</t>
  </si>
  <si>
    <t>ORA.PA</t>
  </si>
  <si>
    <t>PFE</t>
  </si>
  <si>
    <t>RRC</t>
  </si>
  <si>
    <t>X</t>
  </si>
  <si>
    <t>LOCK.L</t>
  </si>
  <si>
    <t>Timestamp</t>
  </si>
  <si>
    <t>Action</t>
  </si>
  <si>
    <t>Details</t>
  </si>
  <si>
    <t>2025-11-24 19:40:40</t>
  </si>
  <si>
    <t>start</t>
  </si>
  <si>
    <t>GUI session started.</t>
  </si>
  <si>
    <t>2025-11-24 19:41:49</t>
  </si>
  <si>
    <t>Added transaction: ['11/24/25', 2, 'AAPL', 150, -222.22, 'add']</t>
  </si>
  <si>
    <t>2025-11-24 19:42:57</t>
  </si>
  <si>
    <t>Added transaction: ['11/24/25', 3, 'TSLA', 250, -422.22, 'add']</t>
  </si>
  <si>
    <t>2025-11-24 19:43:44</t>
  </si>
  <si>
    <t>Added transaction: ['11/24/25', 3, 'AAPL', 50, 333.33, 'add']</t>
  </si>
  <si>
    <t>2025-11-24 19:44:17</t>
  </si>
  <si>
    <t>open</t>
  </si>
  <si>
    <t>Opened workbook from GUI.</t>
  </si>
  <si>
    <t>2025-11-24 19:44:41</t>
  </si>
  <si>
    <t>exit</t>
  </si>
  <si>
    <t>Session closed from GUI.</t>
  </si>
  <si>
    <t>2025-11-24 21:22:57</t>
  </si>
  <si>
    <t>Added {'Date': '11/24/25', 'Prefix': '1', 'Ticker': 'AAPL', 'Number': '333.33', 'Price': '255.55', 'Act': 'add'}</t>
  </si>
  <si>
    <t>2025-11-24 21:24:21</t>
  </si>
  <si>
    <t>2025-11-24 21:24:31</t>
  </si>
  <si>
    <t>2025-11-24 21:25:24</t>
  </si>
  <si>
    <t>Added {'Date': '11/24/25', 'Prefix': '1', 'Ticker': 'ADEA', 'Number': '-13', 'Price': '15.55', 'Act': 'add'}</t>
  </si>
  <si>
    <t>2025-11-24 21:25:33</t>
  </si>
  <si>
    <t>Added {'Date': '11/24/25', 'Prefix': '1', 'Ticker': 'ADEA', 'Number': '-13', 'Price': '-15.55', 'Act': 'add'}</t>
  </si>
  <si>
    <t>2025-11-24 21:56:00</t>
  </si>
  <si>
    <t>2025-11-24 21:58:31</t>
  </si>
  <si>
    <t>Added transaction: ['12/24/25', 2, 'ASML.AS', 300, 888.888, 'add']</t>
  </si>
  <si>
    <t>2025-11-24 21:58:57</t>
  </si>
  <si>
    <t>2025-11-24 21:59:47</t>
  </si>
  <si>
    <t>delete_fail</t>
  </si>
  <si>
    <t>No matching transaction for: ['11/24/25', 1, 'AAPL', 3000, 888.0, 'delete']</t>
  </si>
  <si>
    <t>2025-11-24 21:59:59</t>
  </si>
  <si>
    <t>2025-11-24 22:01:14</t>
  </si>
  <si>
    <t>2025-11-24 22:02:04</t>
  </si>
  <si>
    <t>Added transaction: ['11/24/25', 1, 'AET.L', 10000, 45.0, 'add']</t>
  </si>
  <si>
    <t>2025-11-24 22:02:38</t>
  </si>
  <si>
    <t>2025-11-24 22:02:52</t>
  </si>
  <si>
    <t>2025-11-24 22:04:07</t>
  </si>
  <si>
    <t>No matching transaction for: ['11/24/25', 1, 'AET.L', 10000, 45.0, 'delete']</t>
  </si>
  <si>
    <t>2025-11-24 22:04:27</t>
  </si>
  <si>
    <t>2025-11-24 22:04:55</t>
  </si>
  <si>
    <t>Added transaction: ['11/24/25', 1, 'AET.L', 10000, 55.0, 'add']</t>
  </si>
  <si>
    <t>2025-11-24 22:05:12</t>
  </si>
  <si>
    <t>2025-11-24 22:05:58</t>
  </si>
  <si>
    <t>Added transaction: ['11/24/25', 1, 'AMZN', 1000, -300.0, 'add']</t>
  </si>
  <si>
    <t>2025-11-24 22:06:32</t>
  </si>
  <si>
    <t>2025-11-24 22:07:40</t>
  </si>
  <si>
    <t>Added transaction: ['11/24/25', 1, 'BLDP', 12, -13.0, 'add']</t>
  </si>
  <si>
    <t>2025-11-24 22:07:44</t>
  </si>
  <si>
    <t>2025-11-24 22:38:58</t>
  </si>
  <si>
    <t>2025-11-24 22:39:38</t>
  </si>
  <si>
    <t>Added transaction: ['11/24/25', 1, 'DDD', 5666, -13.33, 'add']</t>
  </si>
  <si>
    <t>2025-11-24 22:40:07</t>
  </si>
  <si>
    <t>Added transaction: ['11/24/25', 1, 'DDD', 1000, 200.0, 'add']</t>
  </si>
  <si>
    <t>2025-11-24 22:40:39</t>
  </si>
  <si>
    <t>No matching transaction for: ['11/24/25', 1, 'DDD', 1000, 200.0, 'delete']</t>
  </si>
  <si>
    <t>2025-11-24 22:40:54</t>
  </si>
  <si>
    <t>2025-11-24 22:41:59</t>
  </si>
  <si>
    <t>Added transaction: ['11/24/25', 1, 'DDD', 1, 2.0, 'add']</t>
  </si>
  <si>
    <t>2025-11-24 22:42:25</t>
  </si>
  <si>
    <t>No matching transaction for: ['11/24/25', 1, 'DDD', 1, 2.0, 'delete']</t>
  </si>
  <si>
    <t>2025-11-24 22:42:55</t>
  </si>
  <si>
    <t>2025-11-24 22:53:53</t>
  </si>
  <si>
    <t>2025-11-24 22:54:19</t>
  </si>
  <si>
    <t>Added transaction: ['11/24/25', 1, 'AAPL', 5, 10.0, 'add']</t>
  </si>
  <si>
    <t>2025-11-24 22:54:39</t>
  </si>
  <si>
    <t>delete</t>
  </si>
  <si>
    <t>Deleted: ['11/24/25', 1, 'AAPL', 5, 10.0, 'add']</t>
  </si>
  <si>
    <t>2025-11-24 22:55:08</t>
  </si>
  <si>
    <t>Not found: ['11/24/25', 1, 'AAPL', 5, 10.0, 'delete']</t>
  </si>
  <si>
    <t>2025-11-24 22:56:31</t>
  </si>
  <si>
    <t>Deleted: ['11/24/25', 1, 'AET.L', 10000, 55, 'add']</t>
  </si>
  <si>
    <t>2025-11-24 23:00:34</t>
  </si>
  <si>
    <t>2025-11-24 23:01:00</t>
  </si>
  <si>
    <t>Deleted: ['11/24/25', 1, 'BLDP', 12, -13, 'add']</t>
  </si>
  <si>
    <t>2025-11-24 23:01:30</t>
  </si>
  <si>
    <t>Added transaction: ['11/24/25', 1, 'BLDP', 22, 33.0, 'add']</t>
  </si>
  <si>
    <t>2025-11-24 23:01:35</t>
  </si>
  <si>
    <t>2025-11-24 23:02:27</t>
  </si>
  <si>
    <t>2025-11-24 23:24:36</t>
  </si>
  <si>
    <t>2025-11-24 23:29:55</t>
  </si>
  <si>
    <t>2025-11-24 23:31:37</t>
  </si>
  <si>
    <t>2025-11-24 23:36:24</t>
  </si>
  <si>
    <t>2025-11-24 23:37:38</t>
  </si>
  <si>
    <t>Added: ('11/24/25', 1, 'ENI.MI', 2000, 15.7, 'add')</t>
  </si>
  <si>
    <t>2025-11-24 23:37:50</t>
  </si>
  <si>
    <t>Opened workbook.</t>
  </si>
  <si>
    <t>2025-11-24 23:39:14</t>
  </si>
  <si>
    <t>Deleted: ['11/24/25', 1, 'ENI.MI', 2000, 15.7, 'add']</t>
  </si>
  <si>
    <t>2025-11-24 23:45:20</t>
  </si>
  <si>
    <t>2025-11-24 23:46:34</t>
  </si>
  <si>
    <t>Added: (datetime.date(2025, 11, 24), 1, 'ENI.MI', 2000, 15.7, 'add')</t>
  </si>
  <si>
    <t>2025-11-24 23:46:46</t>
  </si>
  <si>
    <t>2025-11-24 23:47:29</t>
  </si>
  <si>
    <t>Deleted: [datetime.date(2025, 11, 24), 1, 'ENI.MI', 2000, 15.7, 'add']</t>
  </si>
  <si>
    <t>2025-11-24 23:47:36</t>
  </si>
  <si>
    <t>2025-11-24 23:47:46</t>
  </si>
  <si>
    <t>2025-11-24 23:48:06</t>
  </si>
  <si>
    <t>GUI session closed.</t>
  </si>
  <si>
    <t>2025-11-26 00:49:54</t>
  </si>
  <si>
    <t>2025-11-26 00:51:20</t>
  </si>
  <si>
    <t>Added: [datetime.date(2025, 11, 26), 1, 'AAPL', 5, 5.5, 'add']</t>
  </si>
  <si>
    <t>2025-11-26 00:51:38</t>
  </si>
  <si>
    <t>Deleted: [datetime.date(2025, 11, 26), 1, 'AAPL', 5, 5.5, 'add']</t>
  </si>
  <si>
    <t>2025-11-26 00:51:42</t>
  </si>
  <si>
    <t>undo_delete</t>
  </si>
  <si>
    <t>Restored: [datetime.date(2025, 11, 26), 1, 'AAPL', 5, 5.5, 'add']</t>
  </si>
  <si>
    <t>2025-11-26 00:51:47</t>
  </si>
  <si>
    <t>2025-11-26 01:09:27</t>
  </si>
  <si>
    <t>2025-11-26 01:29:46</t>
  </si>
  <si>
    <t>GUI session closed via Exit button.</t>
  </si>
  <si>
    <t>2025-11-26 01:30:00</t>
  </si>
  <si>
    <t>2025-11-26 01:30:08</t>
  </si>
  <si>
    <t>2025-11-26 01:30:19</t>
  </si>
  <si>
    <t>2025-11-26 01:32:06</t>
  </si>
  <si>
    <t>2025-11-26 01:37:54</t>
  </si>
  <si>
    <t>2025-11-26 01:39:43</t>
  </si>
  <si>
    <t>2025-11-26 01:39:53</t>
  </si>
  <si>
    <t>2025-11-26 01:48:12</t>
  </si>
  <si>
    <t>2025-11-26 01:48:22</t>
  </si>
  <si>
    <t>2025-11-26 01:48:41</t>
  </si>
  <si>
    <t>2025-11-26 01:52:36</t>
  </si>
  <si>
    <t>2025-11-26 01:52:45</t>
  </si>
  <si>
    <t>2025-11-26 01:53:10</t>
  </si>
  <si>
    <t>2025-11-26 01:53:41</t>
  </si>
  <si>
    <t>2025-11-26 01:53:49</t>
  </si>
  <si>
    <t>2025-11-26 01:55:42</t>
  </si>
  <si>
    <t>2025-11-26 02:05:52</t>
  </si>
  <si>
    <t>2025-11-26 02:06:03</t>
  </si>
  <si>
    <t>2025-11-26 02:07:21</t>
  </si>
  <si>
    <t>2025-11-26 02:07:29</t>
  </si>
  <si>
    <t>2025-11-26 02:07:56</t>
  </si>
  <si>
    <t>2025-11-26 02:08:53</t>
  </si>
  <si>
    <t>2025-11-26 02:09:06</t>
  </si>
  <si>
    <t>2025-11-26 02:09:30</t>
  </si>
  <si>
    <t>Added: [datetime.date(2025, 11, 26), 1, 'AAPL', 2, 2.0, 'add']</t>
  </si>
  <si>
    <t>2025-11-26 02:10:00</t>
  </si>
  <si>
    <t>2025-11-26 02:10:31</t>
  </si>
  <si>
    <t>2025-11-26 02:10:55</t>
  </si>
  <si>
    <t>2025-11-26 02:11:54</t>
  </si>
  <si>
    <t>Added: [datetime.date(2025, 11, 26), 2, 'RIGL', 500, 48.28, 'add']</t>
  </si>
  <si>
    <t>2025-11-26 02:12:05</t>
  </si>
  <si>
    <t>2025-11-26 02:13:03</t>
  </si>
  <si>
    <t>2025-11-26 02:13:35</t>
  </si>
  <si>
    <t>Added: [datetime.date(2025, 11, 26), 1, 'RIGL', 500, 48.28, 'add']</t>
  </si>
  <si>
    <t>2025-11-26 02:13:58</t>
  </si>
  <si>
    <t>2025-11-26 02:14:35</t>
  </si>
  <si>
    <t>2025-11-26 02:14:40</t>
  </si>
  <si>
    <t>2025-11-26 02:15:26</t>
  </si>
  <si>
    <t>2025-11-26 02:16:39</t>
  </si>
  <si>
    <t>2025-11-26 02:16:45</t>
  </si>
  <si>
    <t>2025-11-26 02:17:19</t>
  </si>
  <si>
    <t>2025-11-26 02:17:28</t>
  </si>
  <si>
    <t>2025-11-26 02:17:47</t>
  </si>
  <si>
    <t>2025-11-26 02:35:59</t>
  </si>
  <si>
    <t>2025-11-26 02:37:18</t>
  </si>
  <si>
    <t>debug</t>
  </si>
  <si>
    <t>append_transaction: row=1284, entry=[datetime.date(2025, 11, 26), 1, 'RIGL', 500, 48.28, 'add']</t>
  </si>
  <si>
    <t>2025-11-26 02:37:31</t>
  </si>
  <si>
    <t>2025-11-26 02:37:56</t>
  </si>
  <si>
    <t>2025-11-26 02:39:36</t>
  </si>
  <si>
    <t>2025-11-26 02:39:43</t>
  </si>
  <si>
    <t>2025-11-26 02:39:56</t>
  </si>
  <si>
    <t>2025-11-26 02:46:29</t>
  </si>
  <si>
    <t>2025-11-26 02:47:02</t>
  </si>
  <si>
    <t>append_transaction: row=1285, entry=[datetime.date(2025, 11, 26), 1, 'RIGL', 500, 48.28, 'add']</t>
  </si>
  <si>
    <t>2025-11-26 02:47:23</t>
  </si>
  <si>
    <t>2025-11-26 03:15:28</t>
  </si>
  <si>
    <t>2025-11-26 03:16:14</t>
  </si>
  <si>
    <t>append_transaction: row=1286, entry=[datetime.date(2025, 11, 26), 1, 'RIGL', 500, 48.28, 'add']</t>
  </si>
  <si>
    <t>2025-11-26 03:16:26</t>
  </si>
  <si>
    <t>2025-11-26 03:16:54</t>
  </si>
  <si>
    <t>2025-11-26 03:17:13</t>
  </si>
  <si>
    <t>2025-11-26 03:17:32</t>
  </si>
  <si>
    <t>2025-11-26 03:35:14</t>
  </si>
  <si>
    <t>2025-11-26 03:55:45</t>
  </si>
  <si>
    <t>Row 628: [datetime.date(2025, 11, 26), 1, 'RIGL', 500, 48.28, 'add']</t>
  </si>
  <si>
    <t>2025-11-26 03:55:51</t>
  </si>
  <si>
    <t>2025-11-26 03:57:55</t>
  </si>
  <si>
    <t>Workbook opened from GUI.</t>
  </si>
  <si>
    <t>2025-11-26 03:58:41</t>
  </si>
  <si>
    <t>2025-11-26 04:44:46</t>
  </si>
  <si>
    <t>Row 629: [datetime.date(2025, 11, 26), 1, 'RIGL', 500, 48.28, 'add']</t>
  </si>
  <si>
    <t>2025-11-26 04:44:52</t>
  </si>
  <si>
    <t>Day Buys</t>
  </si>
  <si>
    <t>Day Sales</t>
  </si>
  <si>
    <t>Day Aggr.</t>
  </si>
  <si>
    <t>Buy Aggr.</t>
  </si>
  <si>
    <t>Sale Aggr.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</si>
</sst>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0.00_);[Red]\(0.00\)"/>
    <numFmt numFmtId="165" formatCode="_(* #,##0_);_(* \(#,##0\);_(* &quot;-&quot;??_);_(@_)"/>
    <numFmt numFmtId="166" formatCode="yyyy\-mm\-dd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6"/>
      <color rgb="FF000000"/>
      <name val="Aptos Narrow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B5E6A2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/>
      <bottom style="double">
        <color indexed="64"/>
      </bottom>
      <diagonal/>
    </border>
  </borders>
  <cellStyleXfs count="2">
    <xf numFmtId="0" fontId="0" fillId="0" borderId="0"/>
    <xf numFmtId="43" fontId="1" fillId="0" borderId="0"/>
  </cellStyleXfs>
  <cellXfs count="28">
    <xf numFmtId="0" fontId="0" fillId="0" borderId="0" xfId="0"/>
    <xf numFmtId="14" fontId="0" fillId="0" borderId="0" xfId="0" applyNumberFormat="1" applyProtection="1">
      <protection locked="0"/>
    </xf>
    <xf numFmtId="0" fontId="0" fillId="0" borderId="0" xfId="0" applyProtection="1">
      <protection locked="0"/>
    </xf>
    <xf numFmtId="3" fontId="0" fillId="0" borderId="0" xfId="0" applyNumberFormat="1" applyProtection="1">
      <protection locked="0"/>
    </xf>
    <xf numFmtId="40" fontId="0" fillId="0" borderId="0" xfId="0" applyNumberFormat="1" applyProtection="1">
      <protection locked="0"/>
    </xf>
    <xf numFmtId="14" fontId="0" fillId="2" borderId="0" xfId="0" applyNumberFormat="1" applyFill="1" applyProtection="1">
      <protection locked="0"/>
    </xf>
    <xf numFmtId="0" fontId="0" fillId="2" borderId="0" xfId="0" applyFill="1" applyProtection="1">
      <protection locked="0"/>
    </xf>
    <xf numFmtId="3" fontId="0" fillId="2" borderId="0" xfId="0" applyNumberFormat="1" applyFill="1" applyProtection="1">
      <protection locked="0"/>
    </xf>
    <xf numFmtId="40" fontId="0" fillId="2" borderId="0" xfId="0" applyNumberFormat="1" applyFill="1" applyProtection="1">
      <protection locked="0"/>
    </xf>
    <xf numFmtId="0" fontId="0" fillId="2" borderId="1" xfId="0" applyFill="1" applyBorder="1" applyProtection="1">
      <protection locked="0"/>
    </xf>
    <xf numFmtId="14" fontId="2" fillId="3" borderId="0" xfId="0" applyNumberFormat="1" applyFont="1" applyFill="1" applyProtection="1">
      <protection locked="0"/>
    </xf>
    <xf numFmtId="0" fontId="2" fillId="4" borderId="1" xfId="0" applyFont="1" applyFill="1" applyBorder="1" applyProtection="1">
      <protection locked="0"/>
    </xf>
    <xf numFmtId="3" fontId="2" fillId="4" borderId="0" xfId="0" applyNumberFormat="1" applyFont="1" applyFill="1" applyProtection="1">
      <protection locked="0"/>
    </xf>
    <xf numFmtId="40" fontId="2" fillId="4" borderId="0" xfId="0" applyNumberFormat="1" applyFont="1" applyFill="1" applyProtection="1">
      <protection locked="0"/>
    </xf>
    <xf numFmtId="3" fontId="0" fillId="5" borderId="0" xfId="0" applyNumberFormat="1" applyFill="1" applyProtection="1">
      <protection locked="0"/>
    </xf>
    <xf numFmtId="164" fontId="0" fillId="2" borderId="0" xfId="0" applyNumberFormat="1" applyFill="1" applyProtection="1">
      <protection locked="0"/>
    </xf>
    <xf numFmtId="164" fontId="0" fillId="0" borderId="0" xfId="0" applyNumberFormat="1" applyProtection="1">
      <protection locked="0"/>
    </xf>
    <xf numFmtId="0" fontId="0" fillId="2" borderId="0" xfId="0" applyFill="1" applyAlignment="1" applyProtection="1">
      <alignment horizontal="right"/>
      <protection locked="0"/>
    </xf>
    <xf numFmtId="38" fontId="0" fillId="2" borderId="0" xfId="1" applyNumberFormat="1" applyFont="1" applyFill="1" applyProtection="1">
      <protection locked="0"/>
    </xf>
    <xf numFmtId="14" fontId="0" fillId="2" borderId="2" xfId="0" applyNumberFormat="1" applyFill="1" applyBorder="1" applyProtection="1">
      <protection locked="0"/>
    </xf>
    <xf numFmtId="0" fontId="0" fillId="2" borderId="2" xfId="0" applyFill="1" applyBorder="1" applyProtection="1">
      <protection locked="0"/>
    </xf>
    <xf numFmtId="3" fontId="0" fillId="2" borderId="2" xfId="0" applyNumberFormat="1" applyFill="1" applyBorder="1" applyProtection="1">
      <protection locked="0"/>
    </xf>
    <xf numFmtId="40" fontId="0" fillId="2" borderId="2" xfId="0" applyNumberFormat="1" applyFill="1" applyBorder="1" applyProtection="1">
      <protection locked="0"/>
    </xf>
    <xf numFmtId="165" fontId="0" fillId="0" borderId="0" xfId="1" applyNumberFormat="1" applyFont="1" applyProtection="1">
      <protection locked="0"/>
    </xf>
    <xf numFmtId="166" fontId="0" fillId="0" borderId="0" xfId="0" applyNumberFormat="1"/>
    <xf numFmtId="38" fontId="1" fillId="0" borderId="0" xfId="1" applyNumberFormat="1"/>
    <xf numFmtId="38" fontId="0" fillId="0" borderId="0" xfId="0" applyNumberFormat="1"/>
    <xf numFmtId="14" fontId="0" fillId="2" borderId="0" xfId="0" quotePrefix="1" applyNumberFormat="1" applyFill="1" applyProtection="1">
      <protection locked="0"/>
    </xf>
  </cellXfs>
  <cellStyles count="2">
    <cellStyle name="Comma" xfId="1" builtinId="3"/>
    <cellStyle name="Normal" xfId="0" builtinId="0"/>
  </cellStyles>
  <dxfs count="11">
    <dxf>
      <numFmt numFmtId="6" formatCode="#,##0_);[Red]\(#,##0\)"/>
    </dxf>
    <dxf>
      <numFmt numFmtId="6" formatCode="#,##0_);[Red]\(#,##0\)"/>
    </dxf>
    <dxf>
      <numFmt numFmtId="6" formatCode="#,##0_);[Red]\(#,##0\)"/>
    </dxf>
    <dxf>
      <numFmt numFmtId="6" formatCode="#,##0_);[Red]\(#,##0\)"/>
    </dxf>
    <dxf>
      <numFmt numFmtId="6" formatCode="#,##0_);[Red]\(#,##0\)"/>
    </dxf>
    <dxf>
      <numFmt numFmtId="6" formatCode="#,##0_);[Red]\(#,##0\)"/>
    </dxf>
    <dxf>
      <numFmt numFmtId="6" formatCode="#,##0_);[Red]\(#,##0\)"/>
    </dxf>
    <dxf>
      <protection locked="0" hidden="0"/>
    </dxf>
    <dxf>
      <protection locked="0" hidden="0"/>
    </dxf>
    <dxf>
      <protection locked="0" hidden="0"/>
    </dxf>
    <dxf>
      <numFmt numFmtId="19" formatCode="m/d/yy"/>
      <protection locked="0" hidden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Trans" displayName="TabTrans" ref="A1:M628" totalsRowShown="0" dataCellStyle="Comma">
  <autoFilter ref="A1:M628" xr:uid="{00000000-0009-0000-0100-000001000000}"/>
  <tableColumns count="13">
    <tableColumn id="1" xr3:uid="{00000000-0010-0000-0000-000001000000}" name="Date" dataDxfId="10"/>
    <tableColumn id="2" xr3:uid="{00000000-0010-0000-0000-000002000000}" name="Prefix"/>
    <tableColumn id="3" xr3:uid="{00000000-0010-0000-0000-000003000000}" name="Ticker" dataDxfId="9"/>
    <tableColumn id="4" xr3:uid="{00000000-0010-0000-0000-000004000000}" name="Number" dataDxfId="8"/>
    <tableColumn id="5" xr3:uid="{00000000-0010-0000-0000-000005000000}" name="Price" dataDxfId="7"/>
    <tableColumn id="6" xr3:uid="{00000000-0010-0000-0000-000006000000}" name="Act"/>
    <tableColumn id="7" xr3:uid="{00000000-0010-0000-0000-000007000000}" name="Amount" dataDxfId="6" dataCellStyle="Comma">
      <calculatedColumnFormula>D2*E2*IF(OR(C2="IAG",C2="EZJ",C2="AET"),0.01,1)</calculatedColumnFormula>
    </tableColumn>
    <tableColumn id="8" xr3:uid="{00000000-0010-0000-0000-000008000000}" name="Day" dataDxfId="5" dataCellStyle="Comma">
      <calculatedColumnFormula array="1">IF(A2=A1,0,SUM(_xlfn._xlws.FILTER(G2:G22,A2:A22=A2)))</calculatedColumnFormula>
    </tableColumn>
    <tableColumn id="9" xr3:uid="{00000000-0010-0000-0000-000009000000}" name="Day _Buys" dataDxfId="4" dataCellStyle="Comma">
      <calculatedColumnFormula array="1">IFERROR(IF(A2=A1,0,SUM(_xlfn._xlws.FILTER(G2:G22,(A2:A22=A2)*(E2:E22&lt;0)))),0)</calculatedColumnFormula>
    </tableColumn>
    <tableColumn id="10" xr3:uid="{00000000-0010-0000-0000-00000A000000}" name="Day_Sales" dataDxfId="3" dataCellStyle="Comma">
      <calculatedColumnFormula array="1">IFERROR(IF(A2=A1,0,SUM(_xlfn._xlws.FILTER(G2:G22,(A2:A22=A2)*(E2:E22&gt;0)))),0)</calculatedColumnFormula>
    </tableColumn>
    <tableColumn id="11" xr3:uid="{00000000-0010-0000-0000-00000B000000}" name="Day_Aggr." dataDxfId="2" dataCellStyle="Comma">
      <calculatedColumnFormula>IF(H2&lt;&gt;0,SUM(H$2:H2),0)</calculatedColumnFormula>
    </tableColumn>
    <tableColumn id="12" xr3:uid="{00000000-0010-0000-0000-00000C000000}" name="Buy_Aggr." dataDxfId="1" dataCellStyle="Comma">
      <calculatedColumnFormula>IF(I2&lt;&gt;0,SUM(I$2:I2),0)</calculatedColumnFormula>
    </tableColumn>
    <tableColumn id="13" xr3:uid="{00000000-0010-0000-0000-00000D000000}" name="Sale_Aggr." dataDxfId="0" dataCellStyle="Comma">
      <calculatedColumnFormula>IF(J2&lt;&gt;0,SUM(J$2:J2),0)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285"/>
  <sheetViews>
    <sheetView showZeros="0" tabSelected="1" zoomScale="130" zoomScaleNormal="130" workbookViewId="0">
      <pane ySplit="1" topLeftCell="A612" activePane="bottomLeft" state="frozen"/>
      <selection pane="bottomLeft" activeCell="E629" sqref="E629"/>
    </sheetView>
  </sheetViews>
  <sheetFormatPr baseColWidth="10" defaultColWidth="8.83203125" defaultRowHeight="15" x14ac:dyDescent="0.2"/>
  <cols>
    <col min="7" max="7" width="10.6640625" bestFit="1" customWidth="1"/>
    <col min="8" max="9" width="10.1640625" bestFit="1" customWidth="1"/>
    <col min="10" max="10" width="9.83203125" customWidth="1"/>
    <col min="11" max="11" width="10.1640625" bestFit="1" customWidth="1"/>
    <col min="12" max="12" width="12.1640625" bestFit="1" customWidth="1"/>
    <col min="13" max="13" width="10.6640625" bestFit="1" customWidth="1"/>
  </cols>
  <sheetData>
    <row r="1" spans="1:13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 x14ac:dyDescent="0.2">
      <c r="A2" s="1" t="s">
        <v>13</v>
      </c>
      <c r="B2" t="s">
        <v>14</v>
      </c>
      <c r="C2" s="2" t="s">
        <v>15</v>
      </c>
      <c r="D2" s="3" t="s">
        <v>16</v>
      </c>
      <c r="E2" s="4" t="s">
        <v>17</v>
      </c>
      <c r="F2" t="s">
        <v>18</v>
      </c>
      <c r="G2" s="25">
        <f t="shared" ref="G2:G65" si="0">D2*E2*IF(OR(C2="IAG",C2="EZJ",C2="AET"),0.01,1)</f>
        <v>73360</v>
      </c>
      <c r="H2" s="25">
        <f t="array" ref="H2">IF(A2=A1,0,SUM(_xlfn._xlws.FILTER(G2:G22,A2:A22=A2)))</f>
        <v>-64076</v>
      </c>
      <c r="I2" s="25">
        <f t="array" ref="I2">IFERROR(IF(A2=A1,0,SUM(_xlfn._xlws.FILTER(G2:G22,(A2:A22=A2)*(E2:E22&lt;0)))),0)</f>
        <v>0</v>
      </c>
      <c r="J2" s="25">
        <f t="array" ref="J2">IFERROR(IF(A2=A1,0,SUM(_xlfn._xlws.FILTER(G2:G22,(A2:A22=A2)*(E2:E22&gt;0)))),0)</f>
        <v>-64076</v>
      </c>
      <c r="K2" s="25">
        <f>IF(H2&lt;&gt;0,SUM(H$2:H2),0)</f>
        <v>-64076</v>
      </c>
      <c r="L2" s="25">
        <f>IF(I2&lt;&gt;0,SUM(I$2:I2),0)</f>
        <v>0</v>
      </c>
      <c r="M2" s="25">
        <f>IF(J2&lt;&gt;0,SUM(J$2:J2),0)</f>
        <v>-64076</v>
      </c>
    </row>
    <row r="3" spans="1:13" x14ac:dyDescent="0.2">
      <c r="A3" s="1" t="s">
        <v>13</v>
      </c>
      <c r="B3" t="s">
        <v>14</v>
      </c>
      <c r="C3" s="2" t="s">
        <v>19</v>
      </c>
      <c r="D3" s="3" t="s">
        <v>20</v>
      </c>
      <c r="E3" s="4" t="s">
        <v>21</v>
      </c>
      <c r="F3" t="s">
        <v>18</v>
      </c>
      <c r="G3" s="25">
        <f t="shared" si="0"/>
        <v>-129420</v>
      </c>
      <c r="H3" s="25">
        <f t="array" ref="H3">IF(A3=A2,0,SUM(_xlfn._xlws.FILTER(G3:G23,A3:A23=A3)))</f>
        <v>0</v>
      </c>
      <c r="I3" s="25">
        <f t="array" ref="I3">IFERROR(IF(A3=A2,0,SUM(_xlfn._xlws.FILTER(G3:G23,(A3:A23=A3)*(E3:E23&lt;0)))),0)</f>
        <v>0</v>
      </c>
      <c r="J3" s="25">
        <f t="array" ref="J3">IFERROR(IF(A3=A2,0,SUM(_xlfn._xlws.FILTER(G3:G23,(A3:A23=A3)*(E3:E23&gt;0)))),0)</f>
        <v>0</v>
      </c>
      <c r="K3" s="25">
        <f>IF(H3&lt;&gt;0,SUM(H$2:H3),0)</f>
        <v>0</v>
      </c>
      <c r="L3" s="25">
        <f>IF(I3&lt;&gt;0,SUM(I$2:I3),0)</f>
        <v>0</v>
      </c>
      <c r="M3" s="25">
        <f>IF(J3&lt;&gt;0,SUM(J$2:J3),0)</f>
        <v>0</v>
      </c>
    </row>
    <row r="4" spans="1:13" x14ac:dyDescent="0.2">
      <c r="A4" s="1" t="s">
        <v>13</v>
      </c>
      <c r="B4" t="s">
        <v>14</v>
      </c>
      <c r="C4" s="2" t="s">
        <v>22</v>
      </c>
      <c r="D4" s="3" t="s">
        <v>23</v>
      </c>
      <c r="E4" s="4" t="s">
        <v>24</v>
      </c>
      <c r="F4" t="s">
        <v>18</v>
      </c>
      <c r="G4" s="25">
        <f t="shared" si="0"/>
        <v>-151912</v>
      </c>
      <c r="H4" s="25">
        <f t="array" ref="H4">IF(A4=A3,0,SUM(_xlfn._xlws.FILTER(G4:G24,A4:A24=A4)))</f>
        <v>0</v>
      </c>
      <c r="I4" s="25">
        <f t="array" ref="I4">IFERROR(IF(A4=A3,0,SUM(_xlfn._xlws.FILTER(G4:G24,(A4:A24=A4)*(E4:E24&lt;0)))),0)</f>
        <v>0</v>
      </c>
      <c r="J4" s="25">
        <f t="array" ref="J4">IFERROR(IF(A4=A3,0,SUM(_xlfn._xlws.FILTER(G4:G24,(A4:A24=A4)*(E4:E24&gt;0)))),0)</f>
        <v>0</v>
      </c>
      <c r="K4" s="25">
        <f>IF(H4&lt;&gt;0,SUM(H$2:H4),0)</f>
        <v>0</v>
      </c>
      <c r="L4" s="25">
        <f>IF(I4&lt;&gt;0,SUM(I$2:I4),0)</f>
        <v>0</v>
      </c>
      <c r="M4" s="25">
        <f>IF(J4&lt;&gt;0,SUM(J$2:J4),0)</f>
        <v>0</v>
      </c>
    </row>
    <row r="5" spans="1:13" x14ac:dyDescent="0.2">
      <c r="A5" s="1" t="s">
        <v>13</v>
      </c>
      <c r="B5" t="s">
        <v>14</v>
      </c>
      <c r="C5" s="2" t="s">
        <v>25</v>
      </c>
      <c r="D5" s="3" t="s">
        <v>26</v>
      </c>
      <c r="E5" s="4" t="s">
        <v>27</v>
      </c>
      <c r="G5" s="25">
        <f t="shared" si="0"/>
        <v>86892</v>
      </c>
      <c r="H5" s="25">
        <f t="array" ref="H5">IF(A5=A4,0,SUM(_xlfn._xlws.FILTER(G5:G25,A5:A25=A5)))</f>
        <v>0</v>
      </c>
      <c r="I5" s="25">
        <f t="array" ref="I5">IFERROR(IF(A5=A4,0,SUM(_xlfn._xlws.FILTER(G5:G25,(A5:A25=A5)*(E5:E25&lt;0)))),0)</f>
        <v>0</v>
      </c>
      <c r="J5" s="25">
        <f t="array" ref="J5">IFERROR(IF(A5=A4,0,SUM(_xlfn._xlws.FILTER(G5:G25,(A5:A25=A5)*(E5:E25&gt;0)))),0)</f>
        <v>0</v>
      </c>
      <c r="K5" s="25">
        <f>IF(H5&lt;&gt;0,SUM(H$2:H5),0)</f>
        <v>0</v>
      </c>
      <c r="L5" s="25">
        <f>IF(I5&lt;&gt;0,SUM(I$2:I5),0)</f>
        <v>0</v>
      </c>
      <c r="M5" s="25">
        <f>IF(J5&lt;&gt;0,SUM(J$2:J5),0)</f>
        <v>0</v>
      </c>
    </row>
    <row r="6" spans="1:13" x14ac:dyDescent="0.2">
      <c r="A6" s="1" t="s">
        <v>13</v>
      </c>
      <c r="B6" t="s">
        <v>14</v>
      </c>
      <c r="C6" s="2" t="s">
        <v>28</v>
      </c>
      <c r="D6" s="3" t="s">
        <v>29</v>
      </c>
      <c r="E6" s="4" t="s">
        <v>30</v>
      </c>
      <c r="G6" s="25">
        <f t="shared" si="0"/>
        <v>101889</v>
      </c>
      <c r="H6" s="25">
        <f t="array" ref="H6">IF(A6=A5,0,SUM(_xlfn._xlws.FILTER(G6:G26,A6:A26=A6)))</f>
        <v>0</v>
      </c>
      <c r="I6" s="25">
        <f t="array" ref="I6">IFERROR(IF(A6=A5,0,SUM(_xlfn._xlws.FILTER(G6:G26,(A6:A26=A6)*(E6:E26&lt;0)))),0)</f>
        <v>0</v>
      </c>
      <c r="J6" s="25">
        <f t="array" ref="J6">IFERROR(IF(A6=A5,0,SUM(_xlfn._xlws.FILTER(G6:G26,(A6:A26=A6)*(E6:E26&gt;0)))),0)</f>
        <v>0</v>
      </c>
      <c r="K6" s="25">
        <f>IF(H6&lt;&gt;0,SUM(H$2:H6),0)</f>
        <v>0</v>
      </c>
      <c r="L6" s="25">
        <f>IF(I6&lt;&gt;0,SUM(I$2:I6),0)</f>
        <v>0</v>
      </c>
      <c r="M6" s="25">
        <f>IF(J6&lt;&gt;0,SUM(J$2:J6),0)</f>
        <v>0</v>
      </c>
    </row>
    <row r="7" spans="1:13" x14ac:dyDescent="0.2">
      <c r="A7" s="1" t="s">
        <v>13</v>
      </c>
      <c r="C7" s="2" t="s">
        <v>31</v>
      </c>
      <c r="D7" s="3" t="s">
        <v>32</v>
      </c>
      <c r="E7" s="4" t="s">
        <v>33</v>
      </c>
      <c r="G7" s="25">
        <f t="shared" si="0"/>
        <v>163850.00000000003</v>
      </c>
      <c r="H7" s="25">
        <f t="array" ref="H7">IF(A7=A6,0,SUM(_xlfn._xlws.FILTER(G7:G27,A7:A27=A7)))</f>
        <v>0</v>
      </c>
      <c r="I7" s="25">
        <f t="array" ref="I7">IFERROR(IF(A7=A6,0,SUM(_xlfn._xlws.FILTER(G7:G27,(A7:A27=A7)*(E7:E27&lt;0)))),0)</f>
        <v>0</v>
      </c>
      <c r="J7" s="25">
        <f t="array" ref="J7">IFERROR(IF(A7=A6,0,SUM(_xlfn._xlws.FILTER(G7:G27,(A7:A27=A7)*(E7:E27&gt;0)))),0)</f>
        <v>0</v>
      </c>
      <c r="K7" s="25">
        <f>IF(H7&lt;&gt;0,SUM(H$2:H7),0)</f>
        <v>0</v>
      </c>
      <c r="L7" s="25">
        <f>IF(I7&lt;&gt;0,SUM(I$2:I7),0)</f>
        <v>0</v>
      </c>
      <c r="M7" s="25">
        <f>IF(J7&lt;&gt;0,SUM(J$2:J7),0)</f>
        <v>0</v>
      </c>
    </row>
    <row r="8" spans="1:13" x14ac:dyDescent="0.2">
      <c r="A8" s="1" t="s">
        <v>13</v>
      </c>
      <c r="C8" s="2" t="s">
        <v>34</v>
      </c>
      <c r="D8" s="3" t="s">
        <v>35</v>
      </c>
      <c r="E8" s="4" t="s">
        <v>36</v>
      </c>
      <c r="G8" s="25">
        <f t="shared" si="0"/>
        <v>91272.999999999985</v>
      </c>
      <c r="H8" s="25">
        <f t="array" ref="H8">IF(A8=A7,0,SUM(_xlfn._xlws.FILTER(G8:G28,A8:A28=A8)))</f>
        <v>0</v>
      </c>
      <c r="I8" s="25">
        <f t="array" ref="I8">IFERROR(IF(A8=A7,0,SUM(_xlfn._xlws.FILTER(G8:G28,(A8:A28=A8)*(E8:E28&lt;0)))),0)</f>
        <v>0</v>
      </c>
      <c r="J8" s="25">
        <f t="array" ref="J8">IFERROR(IF(A8=A7,0,SUM(_xlfn._xlws.FILTER(G8:G28,(A8:A28=A8)*(E8:E28&gt;0)))),0)</f>
        <v>0</v>
      </c>
      <c r="K8" s="25">
        <f>IF(H8&lt;&gt;0,SUM(H$2:H8),0)</f>
        <v>0</v>
      </c>
      <c r="L8" s="25">
        <f>IF(I8&lt;&gt;0,SUM(I$2:I8),0)</f>
        <v>0</v>
      </c>
      <c r="M8" s="25">
        <f>IF(J8&lt;&gt;0,SUM(J$2:J8),0)</f>
        <v>0</v>
      </c>
    </row>
    <row r="9" spans="1:13" x14ac:dyDescent="0.2">
      <c r="A9" s="1" t="s">
        <v>13</v>
      </c>
      <c r="C9" s="2" t="s">
        <v>37</v>
      </c>
      <c r="D9" s="3" t="s">
        <v>20</v>
      </c>
      <c r="E9" s="4" t="s">
        <v>38</v>
      </c>
      <c r="G9" s="25">
        <f t="shared" si="0"/>
        <v>39472</v>
      </c>
      <c r="H9" s="25">
        <f t="array" ref="H9">IF(A9=A8,0,SUM(_xlfn._xlws.FILTER(G9:G29,A9:A29=A9)))</f>
        <v>0</v>
      </c>
      <c r="I9" s="25">
        <f t="array" ref="I9">IFERROR(IF(A9=A8,0,SUM(_xlfn._xlws.FILTER(G9:G29,(A9:A29=A9)*(E9:E29&lt;0)))),0)</f>
        <v>0</v>
      </c>
      <c r="J9" s="25">
        <f t="array" ref="J9">IFERROR(IF(A9=A8,0,SUM(_xlfn._xlws.FILTER(G9:G29,(A9:A29=A9)*(E9:E29&gt;0)))),0)</f>
        <v>0</v>
      </c>
      <c r="K9" s="25">
        <f>IF(H9&lt;&gt;0,SUM(H$2:H9),0)</f>
        <v>0</v>
      </c>
      <c r="L9" s="25">
        <f>IF(I9&lt;&gt;0,SUM(I$2:I9),0)</f>
        <v>0</v>
      </c>
      <c r="M9" s="25">
        <f>IF(J9&lt;&gt;0,SUM(J$2:J9),0)</f>
        <v>0</v>
      </c>
    </row>
    <row r="10" spans="1:13" x14ac:dyDescent="0.2">
      <c r="A10" s="1" t="s">
        <v>13</v>
      </c>
      <c r="C10" s="2" t="s">
        <v>39</v>
      </c>
      <c r="D10" s="3" t="s">
        <v>16</v>
      </c>
      <c r="E10" s="4" t="s">
        <v>40</v>
      </c>
      <c r="G10" s="25">
        <f t="shared" si="0"/>
        <v>-118260</v>
      </c>
      <c r="H10" s="25">
        <f t="array" ref="H10">IF(A10=A9,0,SUM(_xlfn._xlws.FILTER(G10:G30,A10:A30=A10)))</f>
        <v>0</v>
      </c>
      <c r="I10" s="25">
        <f t="array" ref="I10">IFERROR(IF(A10=A9,0,SUM(_xlfn._xlws.FILTER(G10:G30,(A10:A30=A10)*(E10:E30&lt;0)))),0)</f>
        <v>0</v>
      </c>
      <c r="J10" s="25">
        <f t="array" ref="J10">IFERROR(IF(A10=A9,0,SUM(_xlfn._xlws.FILTER(G10:G30,(A10:A30=A10)*(E10:E30&gt;0)))),0)</f>
        <v>0</v>
      </c>
      <c r="K10" s="25">
        <f>IF(H10&lt;&gt;0,SUM(H$2:H10),0)</f>
        <v>0</v>
      </c>
      <c r="L10" s="25">
        <f>IF(I10&lt;&gt;0,SUM(I$2:I10),0)</f>
        <v>0</v>
      </c>
      <c r="M10" s="25">
        <f>IF(J10&lt;&gt;0,SUM(J$2:J10),0)</f>
        <v>0</v>
      </c>
    </row>
    <row r="11" spans="1:13" x14ac:dyDescent="0.2">
      <c r="A11" s="1" t="s">
        <v>13</v>
      </c>
      <c r="C11" s="2" t="s">
        <v>41</v>
      </c>
      <c r="D11" s="3" t="s">
        <v>16</v>
      </c>
      <c r="E11" s="4" t="s">
        <v>42</v>
      </c>
      <c r="F11" t="s">
        <v>18</v>
      </c>
      <c r="G11" s="25">
        <f t="shared" si="0"/>
        <v>-120760</v>
      </c>
      <c r="H11" s="25">
        <f t="array" ref="H11">IF(A11=A10,0,SUM(_xlfn._xlws.FILTER(G11:G31,A11:A31=A11)))</f>
        <v>0</v>
      </c>
      <c r="I11" s="25">
        <f t="array" ref="I11">IFERROR(IF(A11=A10,0,SUM(_xlfn._xlws.FILTER(G11:G31,(A11:A31=A11)*(E11:E31&lt;0)))),0)</f>
        <v>0</v>
      </c>
      <c r="J11" s="25">
        <f t="array" ref="J11">IFERROR(IF(A11=A10,0,SUM(_xlfn._xlws.FILTER(G11:G31,(A11:A31=A11)*(E11:E31&gt;0)))),0)</f>
        <v>0</v>
      </c>
      <c r="K11" s="25">
        <f>IF(H11&lt;&gt;0,SUM(H$2:H11),0)</f>
        <v>0</v>
      </c>
      <c r="L11" s="25">
        <f>IF(I11&lt;&gt;0,SUM(I$2:I11),0)</f>
        <v>0</v>
      </c>
      <c r="M11" s="25">
        <f>IF(J11&lt;&gt;0,SUM(J$2:J11),0)</f>
        <v>0</v>
      </c>
    </row>
    <row r="12" spans="1:13" x14ac:dyDescent="0.2">
      <c r="A12" s="1" t="s">
        <v>13</v>
      </c>
      <c r="C12" s="2" t="s">
        <v>43</v>
      </c>
      <c r="D12" s="3" t="s">
        <v>16</v>
      </c>
      <c r="E12" s="4" t="s">
        <v>44</v>
      </c>
      <c r="F12" t="s">
        <v>18</v>
      </c>
      <c r="G12" s="25">
        <f t="shared" si="0"/>
        <v>-10140</v>
      </c>
      <c r="H12" s="25">
        <f t="array" ref="H12">IF(A12=A11,0,SUM(_xlfn._xlws.FILTER(G12:G32,A12:A32=A12)))</f>
        <v>0</v>
      </c>
      <c r="I12" s="25">
        <f t="array" ref="I12">IFERROR(IF(A12=A11,0,SUM(_xlfn._xlws.FILTER(G12:G32,(A12:A32=A12)*(E12:E32&lt;0)))),0)</f>
        <v>0</v>
      </c>
      <c r="J12" s="25">
        <f t="array" ref="J12">IFERROR(IF(A12=A11,0,SUM(_xlfn._xlws.FILTER(G12:G32,(A12:A32=A12)*(E12:E32&gt;0)))),0)</f>
        <v>0</v>
      </c>
      <c r="K12" s="25">
        <f>IF(H12&lt;&gt;0,SUM(H$2:H12),0)</f>
        <v>0</v>
      </c>
      <c r="L12" s="25">
        <f>IF(I12&lt;&gt;0,SUM(I$2:I12),0)</f>
        <v>0</v>
      </c>
      <c r="M12" s="25">
        <f>IF(J12&lt;&gt;0,SUM(J$2:J12),0)</f>
        <v>0</v>
      </c>
    </row>
    <row r="13" spans="1:13" x14ac:dyDescent="0.2">
      <c r="A13" s="1" t="s">
        <v>13</v>
      </c>
      <c r="C13" s="2" t="s">
        <v>45</v>
      </c>
      <c r="D13" s="3" t="s">
        <v>46</v>
      </c>
      <c r="E13" s="4" t="s">
        <v>47</v>
      </c>
      <c r="F13" t="s">
        <v>18</v>
      </c>
      <c r="G13" s="25">
        <f t="shared" si="0"/>
        <v>-90320</v>
      </c>
      <c r="H13" s="25">
        <f t="array" ref="H13">IF(A13=A12,0,SUM(_xlfn._xlws.FILTER(G13:G33,A13:A33=A13)))</f>
        <v>0</v>
      </c>
      <c r="I13" s="25">
        <f t="array" ref="I13">IFERROR(IF(A13=A12,0,SUM(_xlfn._xlws.FILTER(G13:G33,(A13:A33=A13)*(E13:E33&lt;0)))),0)</f>
        <v>0</v>
      </c>
      <c r="J13" s="25">
        <f t="array" ref="J13">IFERROR(IF(A13=A12,0,SUM(_xlfn._xlws.FILTER(G13:G33,(A13:A33=A13)*(E13:E33&gt;0)))),0)</f>
        <v>0</v>
      </c>
      <c r="K13" s="25">
        <f>IF(H13&lt;&gt;0,SUM(H$2:H13),0)</f>
        <v>0</v>
      </c>
      <c r="L13" s="25">
        <f>IF(I13&lt;&gt;0,SUM(I$2:I13),0)</f>
        <v>0</v>
      </c>
      <c r="M13" s="25">
        <f>IF(J13&lt;&gt;0,SUM(J$2:J13),0)</f>
        <v>0</v>
      </c>
    </row>
    <row r="14" spans="1:13" x14ac:dyDescent="0.2">
      <c r="A14" s="5" t="s">
        <v>48</v>
      </c>
      <c r="C14" s="6" t="s">
        <v>49</v>
      </c>
      <c r="D14" s="7" t="s">
        <v>50</v>
      </c>
      <c r="E14" s="8" t="s">
        <v>51</v>
      </c>
      <c r="F14" t="s">
        <v>18</v>
      </c>
      <c r="G14" s="25">
        <f t="shared" si="0"/>
        <v>14600</v>
      </c>
      <c r="H14" s="25">
        <f t="array" ref="H14">IF(A14=A13,0,SUM(_xlfn._xlws.FILTER(G14:G34,A14:A34=A14)))</f>
        <v>121668</v>
      </c>
      <c r="I14" s="25">
        <f t="array" ref="I14">IFERROR(IF(A14=A13,0,SUM(_xlfn._xlws.FILTER(G14:G34,(A14:A34=A14)*(E14:E34&lt;0)))),0)</f>
        <v>0</v>
      </c>
      <c r="J14" s="25">
        <f t="array" ref="J14">IFERROR(IF(A14=A13,0,SUM(_xlfn._xlws.FILTER(G14:G34,(A14:A34=A14)*(E14:E34&gt;0)))),0)</f>
        <v>121668</v>
      </c>
      <c r="K14" s="25">
        <f>IF(H14&lt;&gt;0,SUM(H$2:H14),0)</f>
        <v>57592</v>
      </c>
      <c r="L14" s="25">
        <f>IF(I14&lt;&gt;0,SUM(I$2:I14),0)</f>
        <v>0</v>
      </c>
      <c r="M14" s="25">
        <f>IF(J14&lt;&gt;0,SUM(J$2:J14),0)</f>
        <v>57592</v>
      </c>
    </row>
    <row r="15" spans="1:13" x14ac:dyDescent="0.2">
      <c r="A15" s="5" t="s">
        <v>48</v>
      </c>
      <c r="C15" s="9" t="s">
        <v>52</v>
      </c>
      <c r="D15" s="7" t="s">
        <v>53</v>
      </c>
      <c r="E15" s="8" t="s">
        <v>54</v>
      </c>
      <c r="F15" t="s">
        <v>18</v>
      </c>
      <c r="G15" s="25">
        <f t="shared" si="0"/>
        <v>-71010</v>
      </c>
      <c r="H15" s="25">
        <f t="array" ref="H15">IF(A15=A14,0,SUM(_xlfn._xlws.FILTER(G15:G35,A15:A35=A15)))</f>
        <v>0</v>
      </c>
      <c r="I15" s="25">
        <f t="array" ref="I15">IFERROR(IF(A15=A14,0,SUM(_xlfn._xlws.FILTER(G15:G35,(A15:A35=A15)*(E15:E35&lt;0)))),0)</f>
        <v>0</v>
      </c>
      <c r="J15" s="25">
        <f t="array" ref="J15">IFERROR(IF(A15=A14,0,SUM(_xlfn._xlws.FILTER(G15:G35,(A15:A35=A15)*(E15:E35&gt;0)))),0)</f>
        <v>0</v>
      </c>
      <c r="K15" s="25">
        <f>IF(H15&lt;&gt;0,SUM(H$2:H15),0)</f>
        <v>0</v>
      </c>
      <c r="L15" s="25">
        <f>IF(I15&lt;&gt;0,SUM(I$2:I15),0)</f>
        <v>0</v>
      </c>
      <c r="M15" s="25">
        <f>IF(J15&lt;&gt;0,SUM(J$2:J15),0)</f>
        <v>0</v>
      </c>
    </row>
    <row r="16" spans="1:13" x14ac:dyDescent="0.2">
      <c r="A16" s="5" t="s">
        <v>48</v>
      </c>
      <c r="C16" s="9" t="s">
        <v>55</v>
      </c>
      <c r="D16" s="7" t="s">
        <v>56</v>
      </c>
      <c r="E16" s="8" t="s">
        <v>57</v>
      </c>
      <c r="G16" s="25">
        <f t="shared" si="0"/>
        <v>54666.999999999993</v>
      </c>
      <c r="H16" s="25">
        <f t="array" ref="H16">IF(A16=A15,0,SUM(_xlfn._xlws.FILTER(G16:G36,A16:A36=A16)))</f>
        <v>0</v>
      </c>
      <c r="I16" s="25">
        <f t="array" ref="I16">IFERROR(IF(A16=A15,0,SUM(_xlfn._xlws.FILTER(G16:G36,(A16:A36=A16)*(E16:E36&lt;0)))),0)</f>
        <v>0</v>
      </c>
      <c r="J16" s="25">
        <f t="array" ref="J16">IFERROR(IF(A16=A15,0,SUM(_xlfn._xlws.FILTER(G16:G36,(A16:A36=A16)*(E16:E36&gt;0)))),0)</f>
        <v>0</v>
      </c>
      <c r="K16" s="25">
        <f>IF(H16&lt;&gt;0,SUM(H$2:H16),0)</f>
        <v>0</v>
      </c>
      <c r="L16" s="25">
        <f>IF(I16&lt;&gt;0,SUM(I$2:I16),0)</f>
        <v>0</v>
      </c>
      <c r="M16" s="25">
        <f>IF(J16&lt;&gt;0,SUM(J$2:J16),0)</f>
        <v>0</v>
      </c>
    </row>
    <row r="17" spans="1:13" x14ac:dyDescent="0.2">
      <c r="A17" s="5" t="s">
        <v>48</v>
      </c>
      <c r="C17" s="9" t="s">
        <v>58</v>
      </c>
      <c r="D17" s="7" t="s">
        <v>59</v>
      </c>
      <c r="E17" s="8" t="s">
        <v>60</v>
      </c>
      <c r="F17" t="s">
        <v>18</v>
      </c>
      <c r="G17" s="25">
        <f t="shared" si="0"/>
        <v>79240</v>
      </c>
      <c r="H17" s="25">
        <f t="array" ref="H17">IF(A17=A16,0,SUM(_xlfn._xlws.FILTER(G17:G37,A17:A37=A17)))</f>
        <v>0</v>
      </c>
      <c r="I17" s="25">
        <f t="array" ref="I17">IFERROR(IF(A17=A16,0,SUM(_xlfn._xlws.FILTER(G17:G37,(A17:A37=A17)*(E17:E37&lt;0)))),0)</f>
        <v>0</v>
      </c>
      <c r="J17" s="25">
        <f t="array" ref="J17">IFERROR(IF(A17=A16,0,SUM(_xlfn._xlws.FILTER(G17:G37,(A17:A37=A17)*(E17:E37&gt;0)))),0)</f>
        <v>0</v>
      </c>
      <c r="K17" s="25">
        <f>IF(H17&lt;&gt;0,SUM(H$2:H17),0)</f>
        <v>0</v>
      </c>
      <c r="L17" s="25">
        <f>IF(I17&lt;&gt;0,SUM(I$2:I17),0)</f>
        <v>0</v>
      </c>
      <c r="M17" s="25">
        <f>IF(J17&lt;&gt;0,SUM(J$2:J17),0)</f>
        <v>0</v>
      </c>
    </row>
    <row r="18" spans="1:13" x14ac:dyDescent="0.2">
      <c r="A18" s="5" t="s">
        <v>48</v>
      </c>
      <c r="C18" s="9" t="s">
        <v>61</v>
      </c>
      <c r="D18" s="7" t="s">
        <v>20</v>
      </c>
      <c r="E18" s="8" t="s">
        <v>62</v>
      </c>
      <c r="G18" s="25">
        <f t="shared" si="0"/>
        <v>46236</v>
      </c>
      <c r="H18" s="25">
        <f t="array" ref="H18">IF(A18=A17,0,SUM(_xlfn._xlws.FILTER(G18:G38,A18:A38=A18)))</f>
        <v>0</v>
      </c>
      <c r="I18" s="25">
        <f t="array" ref="I18">IFERROR(IF(A18=A17,0,SUM(_xlfn._xlws.FILTER(G18:G38,(A18:A38=A18)*(E18:E38&lt;0)))),0)</f>
        <v>0</v>
      </c>
      <c r="J18" s="25">
        <f t="array" ref="J18">IFERROR(IF(A18=A17,0,SUM(_xlfn._xlws.FILTER(G18:G38,(A18:A38=A18)*(E18:E38&gt;0)))),0)</f>
        <v>0</v>
      </c>
      <c r="K18" s="25">
        <f>IF(H18&lt;&gt;0,SUM(H$2:H18),0)</f>
        <v>0</v>
      </c>
      <c r="L18" s="25">
        <f>IF(I18&lt;&gt;0,SUM(I$2:I18),0)</f>
        <v>0</v>
      </c>
      <c r="M18" s="25">
        <f>IF(J18&lt;&gt;0,SUM(J$2:J18),0)</f>
        <v>0</v>
      </c>
    </row>
    <row r="19" spans="1:13" x14ac:dyDescent="0.2">
      <c r="A19" s="5" t="s">
        <v>48</v>
      </c>
      <c r="C19" s="9" t="s">
        <v>63</v>
      </c>
      <c r="D19" s="7" t="s">
        <v>56</v>
      </c>
      <c r="E19" s="8" t="s">
        <v>64</v>
      </c>
      <c r="G19" s="25">
        <f t="shared" si="0"/>
        <v>-64285</v>
      </c>
      <c r="H19" s="25">
        <f t="array" ref="H19">IF(A19=A18,0,SUM(_xlfn._xlws.FILTER(G19:G39,A19:A39=A19)))</f>
        <v>0</v>
      </c>
      <c r="I19" s="25">
        <f t="array" ref="I19">IFERROR(IF(A19=A18,0,SUM(_xlfn._xlws.FILTER(G19:G39,(A19:A39=A19)*(E19:E39&lt;0)))),0)</f>
        <v>0</v>
      </c>
      <c r="J19" s="25">
        <f t="array" ref="J19">IFERROR(IF(A19=A18,0,SUM(_xlfn._xlws.FILTER(G19:G39,(A19:A39=A19)*(E19:E39&gt;0)))),0)</f>
        <v>0</v>
      </c>
      <c r="K19" s="25">
        <f>IF(H19&lt;&gt;0,SUM(H$2:H19),0)</f>
        <v>0</v>
      </c>
      <c r="L19" s="25">
        <f>IF(I19&lt;&gt;0,SUM(I$2:I19),0)</f>
        <v>0</v>
      </c>
      <c r="M19" s="25">
        <f>IF(J19&lt;&gt;0,SUM(J$2:J19),0)</f>
        <v>0</v>
      </c>
    </row>
    <row r="20" spans="1:13" x14ac:dyDescent="0.2">
      <c r="A20" s="5" t="s">
        <v>48</v>
      </c>
      <c r="C20" s="9" t="s">
        <v>65</v>
      </c>
      <c r="D20" s="7" t="s">
        <v>66</v>
      </c>
      <c r="E20" s="8" t="s">
        <v>67</v>
      </c>
      <c r="G20" s="25">
        <f t="shared" si="0"/>
        <v>62219.999999999993</v>
      </c>
      <c r="H20" s="25">
        <f t="array" ref="H20">IF(A20=A19,0,SUM(_xlfn._xlws.FILTER(G20:G40,A20:A40=A20)))</f>
        <v>0</v>
      </c>
      <c r="I20" s="25">
        <f t="array" ref="I20">IFERROR(IF(A20=A19,0,SUM(_xlfn._xlws.FILTER(G20:G40,(A20:A40=A20)*(E20:E40&lt;0)))),0)</f>
        <v>0</v>
      </c>
      <c r="J20" s="25">
        <f t="array" ref="J20">IFERROR(IF(A20=A19,0,SUM(_xlfn._xlws.FILTER(G20:G40,(A20:A40=A20)*(E20:E40&gt;0)))),0)</f>
        <v>0</v>
      </c>
      <c r="K20" s="25">
        <f>IF(H20&lt;&gt;0,SUM(H$2:H20),0)</f>
        <v>0</v>
      </c>
      <c r="L20" s="25">
        <f>IF(I20&lt;&gt;0,SUM(I$2:I20),0)</f>
        <v>0</v>
      </c>
      <c r="M20" s="25">
        <f>IF(J20&lt;&gt;0,SUM(J$2:J20),0)</f>
        <v>0</v>
      </c>
    </row>
    <row r="21" spans="1:13" x14ac:dyDescent="0.2">
      <c r="A21" s="1" t="s">
        <v>68</v>
      </c>
      <c r="C21" s="2" t="s">
        <v>69</v>
      </c>
      <c r="D21" s="3" t="s">
        <v>70</v>
      </c>
      <c r="E21" s="4" t="s">
        <v>71</v>
      </c>
      <c r="G21" s="25">
        <f t="shared" si="0"/>
        <v>65457</v>
      </c>
      <c r="H21" s="25">
        <f t="array" ref="H21">IF(A21=A20,0,SUM(_xlfn._xlws.FILTER(G21:G41,A21:A41=A21)))</f>
        <v>408826</v>
      </c>
      <c r="I21" s="25">
        <f t="array" ref="I21">IFERROR(IF(A21=A20,0,SUM(_xlfn._xlws.FILTER(G21:G41,(A21:A41=A21)*(E21:E41&lt;0)))),0)</f>
        <v>0</v>
      </c>
      <c r="J21" s="25">
        <f t="array" ref="J21">IFERROR(IF(A21=A20,0,SUM(_xlfn._xlws.FILTER(G21:G41,(A21:A41=A21)*(E21:E41&gt;0)))),0)</f>
        <v>408826</v>
      </c>
      <c r="K21" s="25">
        <f>IF(H21&lt;&gt;0,SUM(H$2:H21),0)</f>
        <v>466418</v>
      </c>
      <c r="L21" s="25">
        <f>IF(I21&lt;&gt;0,SUM(I$2:I21),0)</f>
        <v>0</v>
      </c>
      <c r="M21" s="25">
        <f>IF(J21&lt;&gt;0,SUM(J$2:J21),0)</f>
        <v>466418</v>
      </c>
    </row>
    <row r="22" spans="1:13" x14ac:dyDescent="0.2">
      <c r="A22" s="1" t="s">
        <v>68</v>
      </c>
      <c r="C22" s="2" t="s">
        <v>72</v>
      </c>
      <c r="D22" s="3" t="s">
        <v>46</v>
      </c>
      <c r="E22" s="4" t="s">
        <v>73</v>
      </c>
      <c r="G22" s="25">
        <f t="shared" si="0"/>
        <v>117320</v>
      </c>
      <c r="H22" s="25">
        <f t="array" ref="H22">IF(A22=A21,0,SUM(_xlfn._xlws.FILTER(G22:G42,A22:A42=A22)))</f>
        <v>0</v>
      </c>
      <c r="I22" s="25">
        <f t="array" ref="I22">IFERROR(IF(A22=A21,0,SUM(_xlfn._xlws.FILTER(G22:G42,(A22:A42=A22)*(E22:E42&lt;0)))),0)</f>
        <v>0</v>
      </c>
      <c r="J22" s="25">
        <f t="array" ref="J22">IFERROR(IF(A22=A21,0,SUM(_xlfn._xlws.FILTER(G22:G42,(A22:A42=A22)*(E22:E42&gt;0)))),0)</f>
        <v>0</v>
      </c>
      <c r="K22" s="25">
        <f>IF(H22&lt;&gt;0,SUM(H$2:H22),0)</f>
        <v>0</v>
      </c>
      <c r="L22" s="25">
        <f>IF(I22&lt;&gt;0,SUM(I$2:I22),0)</f>
        <v>0</v>
      </c>
      <c r="M22" s="25">
        <f>IF(J22&lt;&gt;0,SUM(J$2:J22),0)</f>
        <v>0</v>
      </c>
    </row>
    <row r="23" spans="1:13" x14ac:dyDescent="0.2">
      <c r="A23" s="1" t="s">
        <v>68</v>
      </c>
      <c r="C23" s="2" t="s">
        <v>74</v>
      </c>
      <c r="D23" s="3" t="s">
        <v>46</v>
      </c>
      <c r="E23" s="4" t="s">
        <v>75</v>
      </c>
      <c r="G23" s="25">
        <f t="shared" si="0"/>
        <v>117160</v>
      </c>
      <c r="H23" s="25">
        <f t="array" ref="H23">IF(A23=A22,0,SUM(_xlfn._xlws.FILTER(G23:G43,A23:A43=A23)))</f>
        <v>0</v>
      </c>
      <c r="I23" s="25">
        <f t="array" ref="I23">IFERROR(IF(A23=A22,0,SUM(_xlfn._xlws.FILTER(G23:G43,(A23:A43=A23)*(E23:E43&lt;0)))),0)</f>
        <v>0</v>
      </c>
      <c r="J23" s="25">
        <f t="array" ref="J23">IFERROR(IF(A23=A22,0,SUM(_xlfn._xlws.FILTER(G23:G43,(A23:A43=A23)*(E23:E43&gt;0)))),0)</f>
        <v>0</v>
      </c>
      <c r="K23" s="25">
        <f>IF(H23&lt;&gt;0,SUM(H$2:H23),0)</f>
        <v>0</v>
      </c>
      <c r="L23" s="25">
        <f>IF(I23&lt;&gt;0,SUM(I$2:I23),0)</f>
        <v>0</v>
      </c>
      <c r="M23" s="25">
        <f>IF(J23&lt;&gt;0,SUM(J$2:J23),0)</f>
        <v>0</v>
      </c>
    </row>
    <row r="24" spans="1:13" x14ac:dyDescent="0.2">
      <c r="A24" s="1" t="s">
        <v>68</v>
      </c>
      <c r="C24" s="2" t="s">
        <v>76</v>
      </c>
      <c r="D24" s="3" t="s">
        <v>53</v>
      </c>
      <c r="E24" s="4" t="s">
        <v>77</v>
      </c>
      <c r="G24" s="25">
        <f t="shared" si="0"/>
        <v>40445</v>
      </c>
      <c r="H24" s="25">
        <f t="array" ref="H24">IF(A24=A23,0,SUM(_xlfn._xlws.FILTER(G24:G44,A24:A44=A24)))</f>
        <v>0</v>
      </c>
      <c r="I24" s="25">
        <f t="array" ref="I24">IFERROR(IF(A24=A23,0,SUM(_xlfn._xlws.FILTER(G24:G44,(A24:A44=A24)*(E24:E44&lt;0)))),0)</f>
        <v>0</v>
      </c>
      <c r="J24" s="25">
        <f t="array" ref="J24">IFERROR(IF(A24=A23,0,SUM(_xlfn._xlws.FILTER(G24:G44,(A24:A44=A24)*(E24:E44&gt;0)))),0)</f>
        <v>0</v>
      </c>
      <c r="K24" s="25">
        <f>IF(H24&lt;&gt;0,SUM(H$2:H24),0)</f>
        <v>0</v>
      </c>
      <c r="L24" s="25">
        <f>IF(I24&lt;&gt;0,SUM(I$2:I24),0)</f>
        <v>0</v>
      </c>
      <c r="M24" s="25">
        <f>IF(J24&lt;&gt;0,SUM(J$2:J24),0)</f>
        <v>0</v>
      </c>
    </row>
    <row r="25" spans="1:13" x14ac:dyDescent="0.2">
      <c r="A25" s="1" t="s">
        <v>68</v>
      </c>
      <c r="C25" s="2" t="s">
        <v>78</v>
      </c>
      <c r="D25" s="3" t="s">
        <v>79</v>
      </c>
      <c r="E25" s="4" t="s">
        <v>80</v>
      </c>
      <c r="G25" s="25">
        <f t="shared" si="0"/>
        <v>-25800</v>
      </c>
      <c r="H25" s="25">
        <f t="array" ref="H25">IF(A25=A24,0,SUM(_xlfn._xlws.FILTER(G25:G45,A25:A45=A25)))</f>
        <v>0</v>
      </c>
      <c r="I25" s="25">
        <f t="array" ref="I25">IFERROR(IF(A25=A24,0,SUM(_xlfn._xlws.FILTER(G25:G45,(A25:A45=A25)*(E25:E45&lt;0)))),0)</f>
        <v>0</v>
      </c>
      <c r="J25" s="25">
        <f t="array" ref="J25">IFERROR(IF(A25=A24,0,SUM(_xlfn._xlws.FILTER(G25:G45,(A25:A45=A25)*(E25:E45&gt;0)))),0)</f>
        <v>0</v>
      </c>
      <c r="K25" s="25">
        <f>IF(H25&lt;&gt;0,SUM(H$2:H25),0)</f>
        <v>0</v>
      </c>
      <c r="L25" s="25">
        <f>IF(I25&lt;&gt;0,SUM(I$2:I25),0)</f>
        <v>0</v>
      </c>
      <c r="M25" s="25">
        <f>IF(J25&lt;&gt;0,SUM(J$2:J25),0)</f>
        <v>0</v>
      </c>
    </row>
    <row r="26" spans="1:13" x14ac:dyDescent="0.2">
      <c r="A26" s="1" t="s">
        <v>68</v>
      </c>
      <c r="C26" s="2" t="s">
        <v>81</v>
      </c>
      <c r="D26" s="3" t="s">
        <v>82</v>
      </c>
      <c r="E26" s="4" t="s">
        <v>83</v>
      </c>
      <c r="G26" s="25">
        <f t="shared" si="0"/>
        <v>124050</v>
      </c>
      <c r="H26" s="25">
        <f t="array" ref="H26">IF(A26=A25,0,SUM(_xlfn._xlws.FILTER(G26:G46,A26:A46=A26)))</f>
        <v>0</v>
      </c>
      <c r="I26" s="25">
        <f t="array" ref="I26">IFERROR(IF(A26=A25,0,SUM(_xlfn._xlws.FILTER(G26:G46,(A26:A46=A26)*(E26:E46&lt;0)))),0)</f>
        <v>0</v>
      </c>
      <c r="J26" s="25">
        <f t="array" ref="J26">IFERROR(IF(A26=A25,0,SUM(_xlfn._xlws.FILTER(G26:G46,(A26:A46=A26)*(E26:E46&gt;0)))),0)</f>
        <v>0</v>
      </c>
      <c r="K26" s="25">
        <f>IF(H26&lt;&gt;0,SUM(H$2:H26),0)</f>
        <v>0</v>
      </c>
      <c r="L26" s="25">
        <f>IF(I26&lt;&gt;0,SUM(I$2:I26),0)</f>
        <v>0</v>
      </c>
      <c r="M26" s="25">
        <f>IF(J26&lt;&gt;0,SUM(J$2:J26),0)</f>
        <v>0</v>
      </c>
    </row>
    <row r="27" spans="1:13" x14ac:dyDescent="0.2">
      <c r="A27" s="1" t="s">
        <v>68</v>
      </c>
      <c r="C27" s="2" t="s">
        <v>84</v>
      </c>
      <c r="D27" s="3" t="s">
        <v>85</v>
      </c>
      <c r="E27" s="4" t="s">
        <v>86</v>
      </c>
      <c r="G27" s="25">
        <f t="shared" si="0"/>
        <v>41204</v>
      </c>
      <c r="H27" s="25">
        <f t="array" ref="H27">IF(A27=A26,0,SUM(_xlfn._xlws.FILTER(G27:G47,A27:A47=A27)))</f>
        <v>0</v>
      </c>
      <c r="I27" s="25">
        <f t="array" ref="I27">IFERROR(IF(A27=A26,0,SUM(_xlfn._xlws.FILTER(G27:G47,(A27:A47=A27)*(E27:E47&lt;0)))),0)</f>
        <v>0</v>
      </c>
      <c r="J27" s="25">
        <f t="array" ref="J27">IFERROR(IF(A27=A26,0,SUM(_xlfn._xlws.FILTER(G27:G47,(A27:A47=A27)*(E27:E47&gt;0)))),0)</f>
        <v>0</v>
      </c>
      <c r="K27" s="25">
        <f>IF(H27&lt;&gt;0,SUM(H$2:H27),0)</f>
        <v>0</v>
      </c>
      <c r="L27" s="25">
        <f>IF(I27&lt;&gt;0,SUM(I$2:I27),0)</f>
        <v>0</v>
      </c>
      <c r="M27" s="25">
        <f>IF(J27&lt;&gt;0,SUM(J$2:J27),0)</f>
        <v>0</v>
      </c>
    </row>
    <row r="28" spans="1:13" x14ac:dyDescent="0.2">
      <c r="A28" s="1" t="s">
        <v>68</v>
      </c>
      <c r="C28" s="2" t="s">
        <v>52</v>
      </c>
      <c r="D28" s="3" t="s">
        <v>53</v>
      </c>
      <c r="E28" s="4" t="s">
        <v>54</v>
      </c>
      <c r="G28" s="25">
        <f t="shared" si="0"/>
        <v>-71010</v>
      </c>
      <c r="H28" s="25">
        <f t="array" ref="H28">IF(A28=A27,0,SUM(_xlfn._xlws.FILTER(G28:G48,A28:A48=A28)))</f>
        <v>0</v>
      </c>
      <c r="I28" s="25">
        <f t="array" ref="I28">IFERROR(IF(A28=A27,0,SUM(_xlfn._xlws.FILTER(G28:G48,(A28:A48=A28)*(E28:E48&lt;0)))),0)</f>
        <v>0</v>
      </c>
      <c r="J28" s="25">
        <f t="array" ref="J28">IFERROR(IF(A28=A27,0,SUM(_xlfn._xlws.FILTER(G28:G48,(A28:A48=A28)*(E28:E48&gt;0)))),0)</f>
        <v>0</v>
      </c>
      <c r="K28" s="25">
        <f>IF(H28&lt;&gt;0,SUM(H$2:H28),0)</f>
        <v>0</v>
      </c>
      <c r="L28" s="25">
        <f>IF(I28&lt;&gt;0,SUM(I$2:I28),0)</f>
        <v>0</v>
      </c>
      <c r="M28" s="25">
        <f>IF(J28&lt;&gt;0,SUM(J$2:J28),0)</f>
        <v>0</v>
      </c>
    </row>
    <row r="29" spans="1:13" x14ac:dyDescent="0.2">
      <c r="A29" s="5" t="s">
        <v>87</v>
      </c>
      <c r="C29" s="9" t="s">
        <v>45</v>
      </c>
      <c r="D29" s="7" t="s">
        <v>46</v>
      </c>
      <c r="E29" s="8" t="s">
        <v>88</v>
      </c>
      <c r="G29" s="25">
        <f t="shared" si="0"/>
        <v>-84840</v>
      </c>
      <c r="H29" s="25">
        <f t="array" ref="H29">IF(A29=A28,0,SUM(_xlfn._xlws.FILTER(G29:G49,A29:A49=A29)))</f>
        <v>-84840</v>
      </c>
      <c r="I29" s="25">
        <f t="array" ref="I29">IFERROR(IF(A29=A28,0,SUM(_xlfn._xlws.FILTER(G29:G49,(A29:A49=A29)*(E29:E49&lt;0)))),0)</f>
        <v>0</v>
      </c>
      <c r="J29" s="25">
        <f t="array" ref="J29">IFERROR(IF(A29=A28,0,SUM(_xlfn._xlws.FILTER(G29:G49,(A29:A49=A29)*(E29:E49&gt;0)))),0)</f>
        <v>-84840</v>
      </c>
      <c r="K29" s="25">
        <f>IF(H29&lt;&gt;0,SUM(H$2:H29),0)</f>
        <v>381578</v>
      </c>
      <c r="L29" s="25">
        <f>IF(I29&lt;&gt;0,SUM(I$2:I29),0)</f>
        <v>0</v>
      </c>
      <c r="M29" s="25">
        <f>IF(J29&lt;&gt;0,SUM(J$2:J29),0)</f>
        <v>381578</v>
      </c>
    </row>
    <row r="30" spans="1:13" x14ac:dyDescent="0.2">
      <c r="A30" s="1" t="s">
        <v>89</v>
      </c>
      <c r="C30" s="2" t="s">
        <v>90</v>
      </c>
      <c r="D30" s="3" t="s">
        <v>20</v>
      </c>
      <c r="E30" s="4" t="s">
        <v>91</v>
      </c>
      <c r="G30" s="25">
        <f t="shared" si="0"/>
        <v>-46790</v>
      </c>
      <c r="H30" s="25">
        <f t="array" ref="H30">IF(A30=A29,0,SUM(_xlfn._xlws.FILTER(G30:G50,A30:A50=A30)))</f>
        <v>78941</v>
      </c>
      <c r="I30" s="25">
        <f t="array" ref="I30">IFERROR(IF(A30=A29,0,SUM(_xlfn._xlws.FILTER(G30:G50,(A30:A50=A30)*(E30:E50&lt;0)))),0)</f>
        <v>0</v>
      </c>
      <c r="J30" s="25">
        <f t="array" ref="J30">IFERROR(IF(A30=A29,0,SUM(_xlfn._xlws.FILTER(G30:G50,(A30:A50=A30)*(E30:E50&gt;0)))),0)</f>
        <v>78941</v>
      </c>
      <c r="K30" s="25">
        <f>IF(H30&lt;&gt;0,SUM(H$2:H30),0)</f>
        <v>460519</v>
      </c>
      <c r="L30" s="25">
        <f>IF(I30&lt;&gt;0,SUM(I$2:I30),0)</f>
        <v>0</v>
      </c>
      <c r="M30" s="25">
        <f>IF(J30&lt;&gt;0,SUM(J$2:J30),0)</f>
        <v>460519</v>
      </c>
    </row>
    <row r="31" spans="1:13" x14ac:dyDescent="0.2">
      <c r="A31" s="1" t="s">
        <v>89</v>
      </c>
      <c r="C31" s="2" t="s">
        <v>52</v>
      </c>
      <c r="D31" s="3" t="s">
        <v>92</v>
      </c>
      <c r="E31" s="4" t="s">
        <v>93</v>
      </c>
      <c r="G31" s="25">
        <f t="shared" si="0"/>
        <v>-21069</v>
      </c>
      <c r="H31" s="25">
        <f t="array" ref="H31">IF(A31=A30,0,SUM(_xlfn._xlws.FILTER(G31:G51,A31:A51=A31)))</f>
        <v>0</v>
      </c>
      <c r="I31" s="25">
        <f t="array" ref="I31">IFERROR(IF(A31=A30,0,SUM(_xlfn._xlws.FILTER(G31:G51,(A31:A51=A31)*(E31:E51&lt;0)))),0)</f>
        <v>0</v>
      </c>
      <c r="J31" s="25">
        <f t="array" ref="J31">IFERROR(IF(A31=A30,0,SUM(_xlfn._xlws.FILTER(G31:G51,(A31:A51=A31)*(E31:E51&gt;0)))),0)</f>
        <v>0</v>
      </c>
      <c r="K31" s="25">
        <f>IF(H31&lt;&gt;0,SUM(H$2:H31),0)</f>
        <v>0</v>
      </c>
      <c r="L31" s="25">
        <f>IF(I31&lt;&gt;0,SUM(I$2:I31),0)</f>
        <v>0</v>
      </c>
      <c r="M31" s="25">
        <f>IF(J31&lt;&gt;0,SUM(J$2:J31),0)</f>
        <v>0</v>
      </c>
    </row>
    <row r="32" spans="1:13" x14ac:dyDescent="0.2">
      <c r="A32" s="1" t="s">
        <v>89</v>
      </c>
      <c r="C32" s="2" t="s">
        <v>94</v>
      </c>
      <c r="D32" s="3" t="s">
        <v>16</v>
      </c>
      <c r="E32" s="4" t="s">
        <v>95</v>
      </c>
      <c r="G32" s="25">
        <f t="shared" si="0"/>
        <v>62620</v>
      </c>
      <c r="H32" s="25">
        <f t="array" ref="H32">IF(A32=A31,0,SUM(_xlfn._xlws.FILTER(G32:G52,A32:A52=A32)))</f>
        <v>0</v>
      </c>
      <c r="I32" s="25">
        <f t="array" ref="I32">IFERROR(IF(A32=A31,0,SUM(_xlfn._xlws.FILTER(G32:G52,(A32:A52=A32)*(E32:E52&lt;0)))),0)</f>
        <v>0</v>
      </c>
      <c r="J32" s="25">
        <f t="array" ref="J32">IFERROR(IF(A32=A31,0,SUM(_xlfn._xlws.FILTER(G32:G52,(A32:A52=A32)*(E32:E52&gt;0)))),0)</f>
        <v>0</v>
      </c>
      <c r="K32" s="25">
        <f>IF(H32&lt;&gt;0,SUM(H$2:H32),0)</f>
        <v>0</v>
      </c>
      <c r="L32" s="25">
        <f>IF(I32&lt;&gt;0,SUM(I$2:I32),0)</f>
        <v>0</v>
      </c>
      <c r="M32" s="25">
        <f>IF(J32&lt;&gt;0,SUM(J$2:J32),0)</f>
        <v>0</v>
      </c>
    </row>
    <row r="33" spans="1:13" x14ac:dyDescent="0.2">
      <c r="A33" s="1" t="s">
        <v>89</v>
      </c>
      <c r="C33" s="2" t="s">
        <v>39</v>
      </c>
      <c r="D33" s="3" t="s">
        <v>16</v>
      </c>
      <c r="E33" s="4" t="s">
        <v>96</v>
      </c>
      <c r="G33" s="25">
        <f t="shared" si="0"/>
        <v>121020</v>
      </c>
      <c r="H33" s="25">
        <f t="array" ref="H33">IF(A33=A32,0,SUM(_xlfn._xlws.FILTER(G33:G53,A33:A53=A33)))</f>
        <v>0</v>
      </c>
      <c r="I33" s="25">
        <f t="array" ref="I33">IFERROR(IF(A33=A32,0,SUM(_xlfn._xlws.FILTER(G33:G53,(A33:A53=A33)*(E33:E53&lt;0)))),0)</f>
        <v>0</v>
      </c>
      <c r="J33" s="25">
        <f t="array" ref="J33">IFERROR(IF(A33=A32,0,SUM(_xlfn._xlws.FILTER(G33:G53,(A33:A53=A33)*(E33:E53&gt;0)))),0)</f>
        <v>0</v>
      </c>
      <c r="K33" s="25">
        <f>IF(H33&lt;&gt;0,SUM(H$2:H33),0)</f>
        <v>0</v>
      </c>
      <c r="L33" s="25">
        <f>IF(I33&lt;&gt;0,SUM(I$2:I33),0)</f>
        <v>0</v>
      </c>
      <c r="M33" s="25">
        <f>IF(J33&lt;&gt;0,SUM(J$2:J33),0)</f>
        <v>0</v>
      </c>
    </row>
    <row r="34" spans="1:13" x14ac:dyDescent="0.2">
      <c r="A34" s="1" t="s">
        <v>89</v>
      </c>
      <c r="C34" s="2" t="s">
        <v>97</v>
      </c>
      <c r="D34" s="3" t="s">
        <v>26</v>
      </c>
      <c r="E34" s="4" t="s">
        <v>98</v>
      </c>
      <c r="G34" s="25">
        <f t="shared" si="0"/>
        <v>-36840</v>
      </c>
      <c r="H34" s="25">
        <f t="array" ref="H34">IF(A34=A33,0,SUM(_xlfn._xlws.FILTER(G34:G54,A34:A54=A34)))</f>
        <v>0</v>
      </c>
      <c r="I34" s="25">
        <f t="array" ref="I34">IFERROR(IF(A34=A33,0,SUM(_xlfn._xlws.FILTER(G34:G54,(A34:A54=A34)*(E34:E54&lt;0)))),0)</f>
        <v>0</v>
      </c>
      <c r="J34" s="25">
        <f t="array" ref="J34">IFERROR(IF(A34=A33,0,SUM(_xlfn._xlws.FILTER(G34:G54,(A34:A54=A34)*(E34:E54&gt;0)))),0)</f>
        <v>0</v>
      </c>
      <c r="K34" s="25">
        <f>IF(H34&lt;&gt;0,SUM(H$2:H34),0)</f>
        <v>0</v>
      </c>
      <c r="L34" s="25">
        <f>IF(I34&lt;&gt;0,SUM(I$2:I34),0)</f>
        <v>0</v>
      </c>
      <c r="M34" s="25">
        <f>IF(J34&lt;&gt;0,SUM(J$2:J34),0)</f>
        <v>0</v>
      </c>
    </row>
    <row r="35" spans="1:13" x14ac:dyDescent="0.2">
      <c r="A35" s="5" t="s">
        <v>99</v>
      </c>
      <c r="C35" s="9" t="s">
        <v>90</v>
      </c>
      <c r="D35" s="7" t="s">
        <v>100</v>
      </c>
      <c r="E35" s="8" t="s">
        <v>101</v>
      </c>
      <c r="G35" s="25">
        <f t="shared" si="0"/>
        <v>-69210</v>
      </c>
      <c r="H35" s="25">
        <f t="array" ref="H35">IF(A35=A34,0,SUM(_xlfn._xlws.FILTER(G35:G55,A35:A55=A35)))</f>
        <v>170520</v>
      </c>
      <c r="I35" s="25">
        <f t="array" ref="I35">IFERROR(IF(A35=A34,0,SUM(_xlfn._xlws.FILTER(G35:G55,(A35:A55=A35)*(E35:E55&lt;0)))),0)</f>
        <v>0</v>
      </c>
      <c r="J35" s="25">
        <f t="array" ref="J35">IFERROR(IF(A35=A34,0,SUM(_xlfn._xlws.FILTER(G35:G55,(A35:A55=A35)*(E35:E55&gt;0)))),0)</f>
        <v>170520</v>
      </c>
      <c r="K35" s="25">
        <f>IF(H35&lt;&gt;0,SUM(H$2:H35),0)</f>
        <v>631039</v>
      </c>
      <c r="L35" s="25">
        <f>IF(I35&lt;&gt;0,SUM(I$2:I35),0)</f>
        <v>0</v>
      </c>
      <c r="M35" s="25">
        <f>IF(J35&lt;&gt;0,SUM(J$2:J35),0)</f>
        <v>631039</v>
      </c>
    </row>
    <row r="36" spans="1:13" x14ac:dyDescent="0.2">
      <c r="A36" s="5" t="s">
        <v>99</v>
      </c>
      <c r="C36" s="9" t="s">
        <v>15</v>
      </c>
      <c r="D36" s="7" t="s">
        <v>102</v>
      </c>
      <c r="E36" s="8" t="s">
        <v>103</v>
      </c>
      <c r="G36" s="25">
        <f t="shared" si="0"/>
        <v>39120</v>
      </c>
      <c r="H36" s="25">
        <f t="array" ref="H36">IF(A36=A35,0,SUM(_xlfn._xlws.FILTER(G36:G56,A36:A56=A36)))</f>
        <v>0</v>
      </c>
      <c r="I36" s="25">
        <f t="array" ref="I36">IFERROR(IF(A36=A35,0,SUM(_xlfn._xlws.FILTER(G36:G56,(A36:A56=A36)*(E36:E56&lt;0)))),0)</f>
        <v>0</v>
      </c>
      <c r="J36" s="25">
        <f t="array" ref="J36">IFERROR(IF(A36=A35,0,SUM(_xlfn._xlws.FILTER(G36:G56,(A36:A56=A36)*(E36:E56&gt;0)))),0)</f>
        <v>0</v>
      </c>
      <c r="K36" s="25">
        <f>IF(H36&lt;&gt;0,SUM(H$2:H36),0)</f>
        <v>0</v>
      </c>
      <c r="L36" s="25">
        <f>IF(I36&lt;&gt;0,SUM(I$2:I36),0)</f>
        <v>0</v>
      </c>
      <c r="M36" s="25">
        <f>IF(J36&lt;&gt;0,SUM(J$2:J36),0)</f>
        <v>0</v>
      </c>
    </row>
    <row r="37" spans="1:13" x14ac:dyDescent="0.2">
      <c r="A37" s="5" t="s">
        <v>99</v>
      </c>
      <c r="C37" s="9" t="s">
        <v>15</v>
      </c>
      <c r="D37" s="7" t="s">
        <v>16</v>
      </c>
      <c r="E37" s="8" t="s">
        <v>104</v>
      </c>
      <c r="G37" s="25">
        <f t="shared" si="0"/>
        <v>80240</v>
      </c>
      <c r="H37" s="25">
        <f t="array" ref="H37">IF(A37=A36,0,SUM(_xlfn._xlws.FILTER(G37:G57,A37:A57=A37)))</f>
        <v>0</v>
      </c>
      <c r="I37" s="25">
        <f t="array" ref="I37">IFERROR(IF(A37=A36,0,SUM(_xlfn._xlws.FILTER(G37:G57,(A37:A57=A37)*(E37:E57&lt;0)))),0)</f>
        <v>0</v>
      </c>
      <c r="J37" s="25">
        <f t="array" ref="J37">IFERROR(IF(A37=A36,0,SUM(_xlfn._xlws.FILTER(G37:G57,(A37:A57=A37)*(E37:E57&gt;0)))),0)</f>
        <v>0</v>
      </c>
      <c r="K37" s="25">
        <f>IF(H37&lt;&gt;0,SUM(H$2:H37),0)</f>
        <v>0</v>
      </c>
      <c r="L37" s="25">
        <f>IF(I37&lt;&gt;0,SUM(I$2:I37),0)</f>
        <v>0</v>
      </c>
      <c r="M37" s="25">
        <f>IF(J37&lt;&gt;0,SUM(J$2:J37),0)</f>
        <v>0</v>
      </c>
    </row>
    <row r="38" spans="1:13" x14ac:dyDescent="0.2">
      <c r="A38" s="5" t="s">
        <v>99</v>
      </c>
      <c r="C38" s="9" t="s">
        <v>105</v>
      </c>
      <c r="D38" s="7" t="s">
        <v>102</v>
      </c>
      <c r="E38" s="8" t="s">
        <v>106</v>
      </c>
      <c r="G38" s="25">
        <f t="shared" si="0"/>
        <v>39550</v>
      </c>
      <c r="H38" s="25">
        <f t="array" ref="H38">IF(A38=A37,0,SUM(_xlfn._xlws.FILTER(G38:G58,A38:A58=A38)))</f>
        <v>0</v>
      </c>
      <c r="I38" s="25">
        <f t="array" ref="I38">IFERROR(IF(A38=A37,0,SUM(_xlfn._xlws.FILTER(G38:G58,(A38:A58=A38)*(E38:E58&lt;0)))),0)</f>
        <v>0</v>
      </c>
      <c r="J38" s="25">
        <f t="array" ref="J38">IFERROR(IF(A38=A37,0,SUM(_xlfn._xlws.FILTER(G38:G58,(A38:A58=A38)*(E38:E58&gt;0)))),0)</f>
        <v>0</v>
      </c>
      <c r="K38" s="25">
        <f>IF(H38&lt;&gt;0,SUM(H$2:H38),0)</f>
        <v>0</v>
      </c>
      <c r="L38" s="25">
        <f>IF(I38&lt;&gt;0,SUM(I$2:I38),0)</f>
        <v>0</v>
      </c>
      <c r="M38" s="25">
        <f>IF(J38&lt;&gt;0,SUM(J$2:J38),0)</f>
        <v>0</v>
      </c>
    </row>
    <row r="39" spans="1:13" x14ac:dyDescent="0.2">
      <c r="A39" s="5" t="s">
        <v>99</v>
      </c>
      <c r="C39" s="9" t="s">
        <v>105</v>
      </c>
      <c r="D39" s="7" t="s">
        <v>16</v>
      </c>
      <c r="E39" s="8" t="s">
        <v>107</v>
      </c>
      <c r="G39" s="25">
        <f t="shared" si="0"/>
        <v>80820</v>
      </c>
      <c r="H39" s="25">
        <f t="array" ref="H39">IF(A39=A38,0,SUM(_xlfn._xlws.FILTER(G39:G59,A39:A59=A39)))</f>
        <v>0</v>
      </c>
      <c r="I39" s="25">
        <f t="array" ref="I39">IFERROR(IF(A39=A38,0,SUM(_xlfn._xlws.FILTER(G39:G59,(A39:A59=A39)*(E39:E59&lt;0)))),0)</f>
        <v>0</v>
      </c>
      <c r="J39" s="25">
        <f t="array" ref="J39">IFERROR(IF(A39=A38,0,SUM(_xlfn._xlws.FILTER(G39:G59,(A39:A59=A39)*(E39:E59&gt;0)))),0)</f>
        <v>0</v>
      </c>
      <c r="K39" s="25">
        <f>IF(H39&lt;&gt;0,SUM(H$2:H39),0)</f>
        <v>0</v>
      </c>
      <c r="L39" s="25">
        <f>IF(I39&lt;&gt;0,SUM(I$2:I39),0)</f>
        <v>0</v>
      </c>
      <c r="M39" s="25">
        <f>IF(J39&lt;&gt;0,SUM(J$2:J39),0)</f>
        <v>0</v>
      </c>
    </row>
    <row r="40" spans="1:13" x14ac:dyDescent="0.2">
      <c r="A40" s="1" t="s">
        <v>108</v>
      </c>
      <c r="C40" s="2" t="s">
        <v>109</v>
      </c>
      <c r="D40" s="3" t="s">
        <v>110</v>
      </c>
      <c r="E40" s="4" t="s">
        <v>111</v>
      </c>
      <c r="G40" s="25">
        <f t="shared" si="0"/>
        <v>-59227.5</v>
      </c>
      <c r="H40" s="25">
        <f t="array" ref="H40">IF(A40=A39,0,SUM(_xlfn._xlws.FILTER(G40:G60,A40:A60=A40)))</f>
        <v>115637.5</v>
      </c>
      <c r="I40" s="25">
        <f t="array" ref="I40">IFERROR(IF(A40=A39,0,SUM(_xlfn._xlws.FILTER(G40:G60,(A40:A60=A40)*(E40:E60&lt;0)))),0)</f>
        <v>0</v>
      </c>
      <c r="J40" s="25">
        <f t="array" ref="J40">IFERROR(IF(A40=A39,0,SUM(_xlfn._xlws.FILTER(G40:G60,(A40:A60=A40)*(E40:E60&gt;0)))),0)</f>
        <v>115637.5</v>
      </c>
      <c r="K40" s="25">
        <f>IF(H40&lt;&gt;0,SUM(H$2:H40),0)</f>
        <v>746676.5</v>
      </c>
      <c r="L40" s="25">
        <f>IF(I40&lt;&gt;0,SUM(I$2:I40),0)</f>
        <v>0</v>
      </c>
      <c r="M40" s="25">
        <f>IF(J40&lt;&gt;0,SUM(J$2:J40),0)</f>
        <v>746676.5</v>
      </c>
    </row>
    <row r="41" spans="1:13" x14ac:dyDescent="0.2">
      <c r="A41" s="1" t="s">
        <v>108</v>
      </c>
      <c r="C41" s="2" t="s">
        <v>15</v>
      </c>
      <c r="D41" s="3" t="s">
        <v>102</v>
      </c>
      <c r="E41" s="4" t="s">
        <v>112</v>
      </c>
      <c r="G41" s="25">
        <f t="shared" si="0"/>
        <v>40700</v>
      </c>
      <c r="H41" s="25">
        <f t="array" ref="H41">IF(A41=A40,0,SUM(_xlfn._xlws.FILTER(G41:G61,A41:A61=A41)))</f>
        <v>0</v>
      </c>
      <c r="I41" s="25">
        <f t="array" ref="I41">IFERROR(IF(A41=A40,0,SUM(_xlfn._xlws.FILTER(G41:G61,(A41:A61=A41)*(E41:E61&lt;0)))),0)</f>
        <v>0</v>
      </c>
      <c r="J41" s="25">
        <f t="array" ref="J41">IFERROR(IF(A41=A40,0,SUM(_xlfn._xlws.FILTER(G41:G61,(A41:A61=A41)*(E41:E61&gt;0)))),0)</f>
        <v>0</v>
      </c>
      <c r="K41" s="25">
        <f>IF(H41&lt;&gt;0,SUM(H$2:H41),0)</f>
        <v>0</v>
      </c>
      <c r="L41" s="25">
        <f>IF(I41&lt;&gt;0,SUM(I$2:I41),0)</f>
        <v>0</v>
      </c>
      <c r="M41" s="25">
        <f>IF(J41&lt;&gt;0,SUM(J$2:J41),0)</f>
        <v>0</v>
      </c>
    </row>
    <row r="42" spans="1:13" x14ac:dyDescent="0.2">
      <c r="A42" s="1" t="s">
        <v>108</v>
      </c>
      <c r="C42" s="2" t="s">
        <v>113</v>
      </c>
      <c r="D42" s="3" t="s">
        <v>56</v>
      </c>
      <c r="E42" s="4" t="s">
        <v>114</v>
      </c>
      <c r="G42" s="25">
        <f t="shared" si="0"/>
        <v>-38216</v>
      </c>
      <c r="H42" s="25">
        <f t="array" ref="H42">IF(A42=A41,0,SUM(_xlfn._xlws.FILTER(G42:G62,A42:A62=A42)))</f>
        <v>0</v>
      </c>
      <c r="I42" s="25">
        <f t="array" ref="I42">IFERROR(IF(A42=A41,0,SUM(_xlfn._xlws.FILTER(G42:G62,(A42:A62=A42)*(E42:E62&lt;0)))),0)</f>
        <v>0</v>
      </c>
      <c r="J42" s="25">
        <f t="array" ref="J42">IFERROR(IF(A42=A41,0,SUM(_xlfn._xlws.FILTER(G42:G62,(A42:A62=A42)*(E42:E62&gt;0)))),0)</f>
        <v>0</v>
      </c>
      <c r="K42" s="25">
        <f>IF(H42&lt;&gt;0,SUM(H$2:H42),0)</f>
        <v>0</v>
      </c>
      <c r="L42" s="25">
        <f>IF(I42&lt;&gt;0,SUM(I$2:I42),0)</f>
        <v>0</v>
      </c>
      <c r="M42" s="25">
        <f>IF(J42&lt;&gt;0,SUM(J$2:J42),0)</f>
        <v>0</v>
      </c>
    </row>
    <row r="43" spans="1:13" x14ac:dyDescent="0.2">
      <c r="A43" s="1" t="s">
        <v>108</v>
      </c>
      <c r="C43" s="2" t="s">
        <v>45</v>
      </c>
      <c r="D43" s="3" t="s">
        <v>46</v>
      </c>
      <c r="E43" s="4" t="s">
        <v>115</v>
      </c>
      <c r="G43" s="25">
        <f t="shared" si="0"/>
        <v>85440</v>
      </c>
      <c r="H43" s="25">
        <f t="array" ref="H43">IF(A43=A42,0,SUM(_xlfn._xlws.FILTER(G43:G63,A43:A63=A43)))</f>
        <v>0</v>
      </c>
      <c r="I43" s="25">
        <f t="array" ref="I43">IFERROR(IF(A43=A42,0,SUM(_xlfn._xlws.FILTER(G43:G63,(A43:A63=A43)*(E43:E63&lt;0)))),0)</f>
        <v>0</v>
      </c>
      <c r="J43" s="25">
        <f t="array" ref="J43">IFERROR(IF(A43=A42,0,SUM(_xlfn._xlws.FILTER(G43:G63,(A43:A63=A43)*(E43:E63&gt;0)))),0)</f>
        <v>0</v>
      </c>
      <c r="K43" s="25">
        <f>IF(H43&lt;&gt;0,SUM(H$2:H43),0)</f>
        <v>0</v>
      </c>
      <c r="L43" s="25">
        <f>IF(I43&lt;&gt;0,SUM(I$2:I43),0)</f>
        <v>0</v>
      </c>
      <c r="M43" s="25">
        <f>IF(J43&lt;&gt;0,SUM(J$2:J43),0)</f>
        <v>0</v>
      </c>
    </row>
    <row r="44" spans="1:13" x14ac:dyDescent="0.2">
      <c r="A44" s="1" t="s">
        <v>108</v>
      </c>
      <c r="C44" s="2" t="s">
        <v>116</v>
      </c>
      <c r="D44" s="3" t="s">
        <v>85</v>
      </c>
      <c r="E44" s="4" t="s">
        <v>117</v>
      </c>
      <c r="G44" s="25">
        <f t="shared" si="0"/>
        <v>-94684</v>
      </c>
      <c r="H44" s="25">
        <f t="array" ref="H44">IF(A44=A43,0,SUM(_xlfn._xlws.FILTER(G44:G64,A44:A64=A44)))</f>
        <v>0</v>
      </c>
      <c r="I44" s="25">
        <f t="array" ref="I44">IFERROR(IF(A44=A43,0,SUM(_xlfn._xlws.FILTER(G44:G64,(A44:A64=A44)*(E44:E64&lt;0)))),0)</f>
        <v>0</v>
      </c>
      <c r="J44" s="25">
        <f t="array" ref="J44">IFERROR(IF(A44=A43,0,SUM(_xlfn._xlws.FILTER(G44:G64,(A44:A64=A44)*(E44:E64&gt;0)))),0)</f>
        <v>0</v>
      </c>
      <c r="K44" s="25">
        <f>IF(H44&lt;&gt;0,SUM(H$2:H44),0)</f>
        <v>0</v>
      </c>
      <c r="L44" s="25">
        <f>IF(I44&lt;&gt;0,SUM(I$2:I44),0)</f>
        <v>0</v>
      </c>
      <c r="M44" s="25">
        <f>IF(J44&lt;&gt;0,SUM(J$2:J44),0)</f>
        <v>0</v>
      </c>
    </row>
    <row r="45" spans="1:13" x14ac:dyDescent="0.2">
      <c r="A45" s="1" t="s">
        <v>108</v>
      </c>
      <c r="C45" s="2" t="s">
        <v>41</v>
      </c>
      <c r="D45" s="3" t="s">
        <v>102</v>
      </c>
      <c r="E45" s="4" t="s">
        <v>118</v>
      </c>
      <c r="G45" s="25">
        <f t="shared" si="0"/>
        <v>65630</v>
      </c>
      <c r="H45" s="25">
        <f t="array" ref="H45">IF(A45=A44,0,SUM(_xlfn._xlws.FILTER(G45:G65,A45:A65=A45)))</f>
        <v>0</v>
      </c>
      <c r="I45" s="25">
        <f t="array" ref="I45">IFERROR(IF(A45=A44,0,SUM(_xlfn._xlws.FILTER(G45:G65,(A45:A65=A45)*(E45:E65&lt;0)))),0)</f>
        <v>0</v>
      </c>
      <c r="J45" s="25">
        <f t="array" ref="J45">IFERROR(IF(A45=A44,0,SUM(_xlfn._xlws.FILTER(G45:G65,(A45:A65=A45)*(E45:E65&gt;0)))),0)</f>
        <v>0</v>
      </c>
      <c r="K45" s="25">
        <f>IF(H45&lt;&gt;0,SUM(H$2:H45),0)</f>
        <v>0</v>
      </c>
      <c r="L45" s="25">
        <f>IF(I45&lt;&gt;0,SUM(I$2:I45),0)</f>
        <v>0</v>
      </c>
      <c r="M45" s="25">
        <f>IF(J45&lt;&gt;0,SUM(J$2:J45),0)</f>
        <v>0</v>
      </c>
    </row>
    <row r="46" spans="1:13" x14ac:dyDescent="0.2">
      <c r="A46" s="1" t="s">
        <v>108</v>
      </c>
      <c r="C46" s="2" t="s">
        <v>119</v>
      </c>
      <c r="D46" s="3" t="s">
        <v>120</v>
      </c>
      <c r="E46" s="4" t="s">
        <v>121</v>
      </c>
      <c r="G46" s="25">
        <f t="shared" si="0"/>
        <v>92000</v>
      </c>
      <c r="H46" s="25">
        <f t="array" ref="H46">IF(A46=A45,0,SUM(_xlfn._xlws.FILTER(G46:G66,A46:A66=A46)))</f>
        <v>0</v>
      </c>
      <c r="I46" s="25">
        <f t="array" ref="I46">IFERROR(IF(A46=A45,0,SUM(_xlfn._xlws.FILTER(G46:G66,(A46:A66=A46)*(E46:E66&lt;0)))),0)</f>
        <v>0</v>
      </c>
      <c r="J46" s="25">
        <f t="array" ref="J46">IFERROR(IF(A46=A45,0,SUM(_xlfn._xlws.FILTER(G46:G66,(A46:A66=A46)*(E46:E66&gt;0)))),0)</f>
        <v>0</v>
      </c>
      <c r="K46" s="25">
        <f>IF(H46&lt;&gt;0,SUM(H$2:H46),0)</f>
        <v>0</v>
      </c>
      <c r="L46" s="25">
        <f>IF(I46&lt;&gt;0,SUM(I$2:I46),0)</f>
        <v>0</v>
      </c>
      <c r="M46" s="25">
        <f>IF(J46&lt;&gt;0,SUM(J$2:J46),0)</f>
        <v>0</v>
      </c>
    </row>
    <row r="47" spans="1:13" x14ac:dyDescent="0.2">
      <c r="A47" s="1" t="s">
        <v>108</v>
      </c>
      <c r="C47" s="2" t="s">
        <v>122</v>
      </c>
      <c r="D47" s="3" t="s">
        <v>123</v>
      </c>
      <c r="E47" s="4" t="s">
        <v>124</v>
      </c>
      <c r="G47" s="25">
        <f t="shared" si="0"/>
        <v>47646</v>
      </c>
      <c r="H47" s="25">
        <f t="array" ref="H47">IF(A47=A46,0,SUM(_xlfn._xlws.FILTER(G47:G67,A47:A67=A47)))</f>
        <v>0</v>
      </c>
      <c r="I47" s="25">
        <f t="array" ref="I47">IFERROR(IF(A47=A46,0,SUM(_xlfn._xlws.FILTER(G47:G67,(A47:A67=A47)*(E47:E67&lt;0)))),0)</f>
        <v>0</v>
      </c>
      <c r="J47" s="25">
        <f t="array" ref="J47">IFERROR(IF(A47=A46,0,SUM(_xlfn._xlws.FILTER(G47:G67,(A47:A67=A47)*(E47:E67&gt;0)))),0)</f>
        <v>0</v>
      </c>
      <c r="K47" s="25">
        <f>IF(H47&lt;&gt;0,SUM(H$2:H47),0)</f>
        <v>0</v>
      </c>
      <c r="L47" s="25">
        <f>IF(I47&lt;&gt;0,SUM(I$2:I47),0)</f>
        <v>0</v>
      </c>
      <c r="M47" s="25">
        <f>IF(J47&lt;&gt;0,SUM(J$2:J47),0)</f>
        <v>0</v>
      </c>
    </row>
    <row r="48" spans="1:13" x14ac:dyDescent="0.2">
      <c r="A48" s="1" t="s">
        <v>108</v>
      </c>
      <c r="C48" s="2" t="s">
        <v>125</v>
      </c>
      <c r="D48" s="3" t="s">
        <v>126</v>
      </c>
      <c r="E48" s="4" t="s">
        <v>127</v>
      </c>
      <c r="G48" s="25">
        <f t="shared" si="0"/>
        <v>-64251</v>
      </c>
      <c r="H48" s="25">
        <f t="array" ref="H48">IF(A48=A47,0,SUM(_xlfn._xlws.FILTER(G48:G68,A48:A68=A48)))</f>
        <v>0</v>
      </c>
      <c r="I48" s="25">
        <f t="array" ref="I48">IFERROR(IF(A48=A47,0,SUM(_xlfn._xlws.FILTER(G48:G68,(A48:A68=A48)*(E48:E68&lt;0)))),0)</f>
        <v>0</v>
      </c>
      <c r="J48" s="25">
        <f t="array" ref="J48">IFERROR(IF(A48=A47,0,SUM(_xlfn._xlws.FILTER(G48:G68,(A48:A68=A48)*(E48:E68&gt;0)))),0)</f>
        <v>0</v>
      </c>
      <c r="K48" s="25">
        <f>IF(H48&lt;&gt;0,SUM(H$2:H48),0)</f>
        <v>0</v>
      </c>
      <c r="L48" s="25">
        <f>IF(I48&lt;&gt;0,SUM(I$2:I48),0)</f>
        <v>0</v>
      </c>
      <c r="M48" s="25">
        <f>IF(J48&lt;&gt;0,SUM(J$2:J48),0)</f>
        <v>0</v>
      </c>
    </row>
    <row r="49" spans="1:13" x14ac:dyDescent="0.2">
      <c r="A49" s="1" t="s">
        <v>108</v>
      </c>
      <c r="C49" s="2" t="s">
        <v>15</v>
      </c>
      <c r="D49" s="3" t="s">
        <v>102</v>
      </c>
      <c r="E49" s="4" t="s">
        <v>128</v>
      </c>
      <c r="G49" s="25">
        <f t="shared" si="0"/>
        <v>40600</v>
      </c>
      <c r="H49" s="25">
        <f t="array" ref="H49">IF(A49=A48,0,SUM(_xlfn._xlws.FILTER(G49:G69,A49:A69=A49)))</f>
        <v>0</v>
      </c>
      <c r="I49" s="25">
        <f t="array" ref="I49">IFERROR(IF(A49=A48,0,SUM(_xlfn._xlws.FILTER(G49:G69,(A49:A69=A49)*(E49:E69&lt;0)))),0)</f>
        <v>0</v>
      </c>
      <c r="J49" s="25">
        <f t="array" ref="J49">IFERROR(IF(A49=A48,0,SUM(_xlfn._xlws.FILTER(G49:G69,(A49:A69=A49)*(E49:E69&gt;0)))),0)</f>
        <v>0</v>
      </c>
      <c r="K49" s="25">
        <f>IF(H49&lt;&gt;0,SUM(H$2:H49),0)</f>
        <v>0</v>
      </c>
      <c r="L49" s="25">
        <f>IF(I49&lt;&gt;0,SUM(I$2:I49),0)</f>
        <v>0</v>
      </c>
      <c r="M49" s="25">
        <f>IF(J49&lt;&gt;0,SUM(J$2:J49),0)</f>
        <v>0</v>
      </c>
    </row>
    <row r="50" spans="1:13" x14ac:dyDescent="0.2">
      <c r="A50" s="5" t="s">
        <v>129</v>
      </c>
      <c r="C50" s="9" t="s">
        <v>130</v>
      </c>
      <c r="D50" s="7" t="s">
        <v>50</v>
      </c>
      <c r="E50" s="8" t="s">
        <v>131</v>
      </c>
      <c r="G50" s="25">
        <f t="shared" si="0"/>
        <v>-11000</v>
      </c>
      <c r="H50" s="25">
        <f t="array" ref="H50">IF(A50=A49,0,SUM(_xlfn._xlws.FILTER(G50:G70,A50:A70=A50)))</f>
        <v>-163872.6</v>
      </c>
      <c r="I50" s="25">
        <f t="array" ref="I50">IFERROR(IF(A50=A49,0,SUM(_xlfn._xlws.FILTER(G50:G70,(A50:A70=A50)*(E50:E70&lt;0)))),0)</f>
        <v>0</v>
      </c>
      <c r="J50" s="25">
        <f t="array" ref="J50">IFERROR(IF(A50=A49,0,SUM(_xlfn._xlws.FILTER(G50:G70,(A50:A70=A50)*(E50:E70&gt;0)))),0)</f>
        <v>-163872.6</v>
      </c>
      <c r="K50" s="25">
        <f>IF(H50&lt;&gt;0,SUM(H$2:H50),0)</f>
        <v>582803.9</v>
      </c>
      <c r="L50" s="25">
        <f>IF(I50&lt;&gt;0,SUM(I$2:I50),0)</f>
        <v>0</v>
      </c>
      <c r="M50" s="25">
        <f>IF(J50&lt;&gt;0,SUM(J$2:J50),0)</f>
        <v>582803.9</v>
      </c>
    </row>
    <row r="51" spans="1:13" x14ac:dyDescent="0.2">
      <c r="A51" s="5" t="s">
        <v>129</v>
      </c>
      <c r="C51" s="9" t="s">
        <v>132</v>
      </c>
      <c r="D51" s="7" t="s">
        <v>102</v>
      </c>
      <c r="E51" s="8" t="s">
        <v>133</v>
      </c>
      <c r="G51" s="25">
        <f t="shared" si="0"/>
        <v>34530</v>
      </c>
      <c r="H51" s="25">
        <f t="array" ref="H51">IF(A51=A50,0,SUM(_xlfn._xlws.FILTER(G51:G71,A51:A71=A51)))</f>
        <v>0</v>
      </c>
      <c r="I51" s="25">
        <f t="array" ref="I51">IFERROR(IF(A51=A50,0,SUM(_xlfn._xlws.FILTER(G51:G71,(A51:A71=A51)*(E51:E71&lt;0)))),0)</f>
        <v>0</v>
      </c>
      <c r="J51" s="25">
        <f t="array" ref="J51">IFERROR(IF(A51=A50,0,SUM(_xlfn._xlws.FILTER(G51:G71,(A51:A71=A51)*(E51:E71&gt;0)))),0)</f>
        <v>0</v>
      </c>
      <c r="K51" s="25">
        <f>IF(H51&lt;&gt;0,SUM(H$2:H51),0)</f>
        <v>0</v>
      </c>
      <c r="L51" s="25">
        <f>IF(I51&lt;&gt;0,SUM(I$2:I51),0)</f>
        <v>0</v>
      </c>
      <c r="M51" s="25">
        <f>IF(J51&lt;&gt;0,SUM(J$2:J51),0)</f>
        <v>0</v>
      </c>
    </row>
    <row r="52" spans="1:13" x14ac:dyDescent="0.2">
      <c r="A52" s="5" t="s">
        <v>129</v>
      </c>
      <c r="C52" s="9" t="s">
        <v>134</v>
      </c>
      <c r="D52" s="7" t="s">
        <v>79</v>
      </c>
      <c r="E52" s="8" t="s">
        <v>135</v>
      </c>
      <c r="G52" s="25">
        <f t="shared" si="0"/>
        <v>69600</v>
      </c>
      <c r="H52" s="25">
        <f t="array" ref="H52">IF(A52=A51,0,SUM(_xlfn._xlws.FILTER(G52:G72,A52:A72=A52)))</f>
        <v>0</v>
      </c>
      <c r="I52" s="25">
        <f t="array" ref="I52">IFERROR(IF(A52=A51,0,SUM(_xlfn._xlws.FILTER(G52:G72,(A52:A72=A52)*(E52:E72&lt;0)))),0)</f>
        <v>0</v>
      </c>
      <c r="J52" s="25">
        <f t="array" ref="J52">IFERROR(IF(A52=A51,0,SUM(_xlfn._xlws.FILTER(G52:G72,(A52:A72=A52)*(E52:E72&gt;0)))),0)</f>
        <v>0</v>
      </c>
      <c r="K52" s="25">
        <f>IF(H52&lt;&gt;0,SUM(H$2:H52),0)</f>
        <v>0</v>
      </c>
      <c r="L52" s="25">
        <f>IF(I52&lt;&gt;0,SUM(I$2:I52),0)</f>
        <v>0</v>
      </c>
      <c r="M52" s="25">
        <f>IF(J52&lt;&gt;0,SUM(J$2:J52),0)</f>
        <v>0</v>
      </c>
    </row>
    <row r="53" spans="1:13" x14ac:dyDescent="0.2">
      <c r="A53" s="5" t="s">
        <v>129</v>
      </c>
      <c r="C53" s="9" t="s">
        <v>136</v>
      </c>
      <c r="D53" s="7" t="s">
        <v>137</v>
      </c>
      <c r="E53" s="8" t="s">
        <v>138</v>
      </c>
      <c r="G53" s="25">
        <f t="shared" si="0"/>
        <v>-15318.6</v>
      </c>
      <c r="H53" s="25">
        <f t="array" ref="H53">IF(A53=A52,0,SUM(_xlfn._xlws.FILTER(G53:G73,A53:A73=A53)))</f>
        <v>0</v>
      </c>
      <c r="I53" s="25">
        <f t="array" ref="I53">IFERROR(IF(A53=A52,0,SUM(_xlfn._xlws.FILTER(G53:G73,(A53:A73=A53)*(E53:E73&lt;0)))),0)</f>
        <v>0</v>
      </c>
      <c r="J53" s="25">
        <f t="array" ref="J53">IFERROR(IF(A53=A52,0,SUM(_xlfn._xlws.FILTER(G53:G73,(A53:A73=A53)*(E53:E73&gt;0)))),0)</f>
        <v>0</v>
      </c>
      <c r="K53" s="25">
        <f>IF(H53&lt;&gt;0,SUM(H$2:H53),0)</f>
        <v>0</v>
      </c>
      <c r="L53" s="25">
        <f>IF(I53&lt;&gt;0,SUM(I$2:I53),0)</f>
        <v>0</v>
      </c>
      <c r="M53" s="25">
        <f>IF(J53&lt;&gt;0,SUM(J$2:J53),0)</f>
        <v>0</v>
      </c>
    </row>
    <row r="54" spans="1:13" x14ac:dyDescent="0.2">
      <c r="A54" s="5" t="s">
        <v>129</v>
      </c>
      <c r="C54" s="9" t="s">
        <v>139</v>
      </c>
      <c r="D54" s="7" t="s">
        <v>50</v>
      </c>
      <c r="E54" s="8" t="s">
        <v>140</v>
      </c>
      <c r="G54" s="25">
        <f t="shared" si="0"/>
        <v>36261</v>
      </c>
      <c r="H54" s="25">
        <f t="array" ref="H54">IF(A54=A53,0,SUM(_xlfn._xlws.FILTER(G54:G74,A54:A74=A54)))</f>
        <v>0</v>
      </c>
      <c r="I54" s="25">
        <f t="array" ref="I54">IFERROR(IF(A54=A53,0,SUM(_xlfn._xlws.FILTER(G54:G74,(A54:A74=A54)*(E54:E74&lt;0)))),0)</f>
        <v>0</v>
      </c>
      <c r="J54" s="25">
        <f t="array" ref="J54">IFERROR(IF(A54=A53,0,SUM(_xlfn._xlws.FILTER(G54:G74,(A54:A74=A54)*(E54:E74&gt;0)))),0)</f>
        <v>0</v>
      </c>
      <c r="K54" s="25">
        <f>IF(H54&lt;&gt;0,SUM(H$2:H54),0)</f>
        <v>0</v>
      </c>
      <c r="L54" s="25">
        <f>IF(I54&lt;&gt;0,SUM(I$2:I54),0)</f>
        <v>0</v>
      </c>
      <c r="M54" s="25">
        <f>IF(J54&lt;&gt;0,SUM(J$2:J54),0)</f>
        <v>0</v>
      </c>
    </row>
    <row r="55" spans="1:13" x14ac:dyDescent="0.2">
      <c r="A55" s="5" t="s">
        <v>129</v>
      </c>
      <c r="C55" s="9" t="s">
        <v>25</v>
      </c>
      <c r="D55" s="7" t="s">
        <v>102</v>
      </c>
      <c r="E55" s="8" t="s">
        <v>141</v>
      </c>
      <c r="G55" s="25">
        <f t="shared" si="0"/>
        <v>-68930</v>
      </c>
      <c r="H55" s="25">
        <f t="array" ref="H55">IF(A55=A54,0,SUM(_xlfn._xlws.FILTER(G55:G75,A55:A75=A55)))</f>
        <v>0</v>
      </c>
      <c r="I55" s="25">
        <f t="array" ref="I55">IFERROR(IF(A55=A54,0,SUM(_xlfn._xlws.FILTER(G55:G75,(A55:A75=A55)*(E55:E75&lt;0)))),0)</f>
        <v>0</v>
      </c>
      <c r="J55" s="25">
        <f t="array" ref="J55">IFERROR(IF(A55=A54,0,SUM(_xlfn._xlws.FILTER(G55:G75,(A55:A75=A55)*(E55:E75&gt;0)))),0)</f>
        <v>0</v>
      </c>
      <c r="K55" s="25">
        <f>IF(H55&lt;&gt;0,SUM(H$2:H55),0)</f>
        <v>0</v>
      </c>
      <c r="L55" s="25">
        <f>IF(I55&lt;&gt;0,SUM(I$2:I55),0)</f>
        <v>0</v>
      </c>
      <c r="M55" s="25">
        <f>IF(J55&lt;&gt;0,SUM(J$2:J55),0)</f>
        <v>0</v>
      </c>
    </row>
    <row r="56" spans="1:13" x14ac:dyDescent="0.2">
      <c r="A56" s="5" t="s">
        <v>129</v>
      </c>
      <c r="C56" s="9" t="s">
        <v>142</v>
      </c>
      <c r="D56" s="7" t="s">
        <v>143</v>
      </c>
      <c r="E56" s="8" t="s">
        <v>144</v>
      </c>
      <c r="G56" s="25">
        <f t="shared" si="0"/>
        <v>-43875</v>
      </c>
      <c r="H56" s="25">
        <f t="array" ref="H56">IF(A56=A55,0,SUM(_xlfn._xlws.FILTER(G56:G76,A56:A76=A56)))</f>
        <v>0</v>
      </c>
      <c r="I56" s="25">
        <f t="array" ref="I56">IFERROR(IF(A56=A55,0,SUM(_xlfn._xlws.FILTER(G56:G76,(A56:A76=A56)*(E56:E76&lt;0)))),0)</f>
        <v>0</v>
      </c>
      <c r="J56" s="25">
        <f t="array" ref="J56">IFERROR(IF(A56=A55,0,SUM(_xlfn._xlws.FILTER(G56:G76,(A56:A76=A56)*(E56:E76&gt;0)))),0)</f>
        <v>0</v>
      </c>
      <c r="K56" s="25">
        <f>IF(H56&lt;&gt;0,SUM(H$2:H56),0)</f>
        <v>0</v>
      </c>
      <c r="L56" s="25">
        <f>IF(I56&lt;&gt;0,SUM(I$2:I56),0)</f>
        <v>0</v>
      </c>
      <c r="M56" s="25">
        <f>IF(J56&lt;&gt;0,SUM(J$2:J56),0)</f>
        <v>0</v>
      </c>
    </row>
    <row r="57" spans="1:13" x14ac:dyDescent="0.2">
      <c r="A57" s="5" t="s">
        <v>129</v>
      </c>
      <c r="C57" s="9" t="s">
        <v>72</v>
      </c>
      <c r="D57" s="7" t="s">
        <v>46</v>
      </c>
      <c r="E57" s="8" t="s">
        <v>145</v>
      </c>
      <c r="G57" s="25">
        <f t="shared" si="0"/>
        <v>-116960</v>
      </c>
      <c r="H57" s="25">
        <f t="array" ref="H57">IF(A57=A56,0,SUM(_xlfn._xlws.FILTER(G57:G77,A57:A77=A57)))</f>
        <v>0</v>
      </c>
      <c r="I57" s="25">
        <f t="array" ref="I57">IFERROR(IF(A57=A56,0,SUM(_xlfn._xlws.FILTER(G57:G77,(A57:A77=A57)*(E57:E77&lt;0)))),0)</f>
        <v>0</v>
      </c>
      <c r="J57" s="25">
        <f t="array" ref="J57">IFERROR(IF(A57=A56,0,SUM(_xlfn._xlws.FILTER(G57:G77,(A57:A77=A57)*(E57:E77&gt;0)))),0)</f>
        <v>0</v>
      </c>
      <c r="K57" s="25">
        <f>IF(H57&lt;&gt;0,SUM(H$2:H57),0)</f>
        <v>0</v>
      </c>
      <c r="L57" s="25">
        <f>IF(I57&lt;&gt;0,SUM(I$2:I57),0)</f>
        <v>0</v>
      </c>
      <c r="M57" s="25">
        <f>IF(J57&lt;&gt;0,SUM(J$2:J57),0)</f>
        <v>0</v>
      </c>
    </row>
    <row r="58" spans="1:13" x14ac:dyDescent="0.2">
      <c r="A58" s="5" t="s">
        <v>129</v>
      </c>
      <c r="C58" s="9" t="s">
        <v>146</v>
      </c>
      <c r="D58" s="7" t="s">
        <v>82</v>
      </c>
      <c r="E58" s="8" t="s">
        <v>147</v>
      </c>
      <c r="G58" s="25">
        <f t="shared" si="0"/>
        <v>38310</v>
      </c>
      <c r="H58" s="25">
        <f t="array" ref="H58">IF(A58=A57,0,SUM(_xlfn._xlws.FILTER(G58:G78,A58:A78=A58)))</f>
        <v>0</v>
      </c>
      <c r="I58" s="25">
        <f t="array" ref="I58">IFERROR(IF(A58=A57,0,SUM(_xlfn._xlws.FILTER(G58:G78,(A58:A78=A58)*(E58:E78&lt;0)))),0)</f>
        <v>0</v>
      </c>
      <c r="J58" s="25">
        <f t="array" ref="J58">IFERROR(IF(A58=A57,0,SUM(_xlfn._xlws.FILTER(G58:G78,(A58:A78=A58)*(E58:E78&gt;0)))),0)</f>
        <v>0</v>
      </c>
      <c r="K58" s="25">
        <f>IF(H58&lt;&gt;0,SUM(H$2:H58),0)</f>
        <v>0</v>
      </c>
      <c r="L58" s="25">
        <f>IF(I58&lt;&gt;0,SUM(I$2:I58),0)</f>
        <v>0</v>
      </c>
      <c r="M58" s="25">
        <f>IF(J58&lt;&gt;0,SUM(J$2:J58),0)</f>
        <v>0</v>
      </c>
    </row>
    <row r="59" spans="1:13" x14ac:dyDescent="0.2">
      <c r="A59" s="5" t="s">
        <v>129</v>
      </c>
      <c r="C59" s="9" t="s">
        <v>148</v>
      </c>
      <c r="D59" s="7" t="s">
        <v>53</v>
      </c>
      <c r="E59" s="8" t="s">
        <v>138</v>
      </c>
      <c r="G59" s="25">
        <f t="shared" si="0"/>
        <v>-21100</v>
      </c>
      <c r="H59" s="25">
        <f t="array" ref="H59">IF(A59=A58,0,SUM(_xlfn._xlws.FILTER(G59:G79,A59:A79=A59)))</f>
        <v>0</v>
      </c>
      <c r="I59" s="25">
        <f t="array" ref="I59">IFERROR(IF(A59=A58,0,SUM(_xlfn._xlws.FILTER(G59:G79,(A59:A79=A59)*(E59:E79&lt;0)))),0)</f>
        <v>0</v>
      </c>
      <c r="J59" s="25">
        <f t="array" ref="J59">IFERROR(IF(A59=A58,0,SUM(_xlfn._xlws.FILTER(G59:G79,(A59:A79=A59)*(E59:E79&gt;0)))),0)</f>
        <v>0</v>
      </c>
      <c r="K59" s="25">
        <f>IF(H59&lt;&gt;0,SUM(H$2:H59),0)</f>
        <v>0</v>
      </c>
      <c r="L59" s="25">
        <f>IF(I59&lt;&gt;0,SUM(I$2:I59),0)</f>
        <v>0</v>
      </c>
      <c r="M59" s="25">
        <f>IF(J59&lt;&gt;0,SUM(J$2:J59),0)</f>
        <v>0</v>
      </c>
    </row>
    <row r="60" spans="1:13" x14ac:dyDescent="0.2">
      <c r="A60" s="5" t="s">
        <v>129</v>
      </c>
      <c r="C60" s="9" t="s">
        <v>149</v>
      </c>
      <c r="D60" s="7" t="s">
        <v>150</v>
      </c>
      <c r="E60" s="8" t="s">
        <v>151</v>
      </c>
      <c r="G60" s="25">
        <f t="shared" si="0"/>
        <v>-65390</v>
      </c>
      <c r="H60" s="25">
        <f t="array" ref="H60">IF(A60=A59,0,SUM(_xlfn._xlws.FILTER(G60:G80,A60:A80=A60)))</f>
        <v>0</v>
      </c>
      <c r="I60" s="25">
        <f t="array" ref="I60">IFERROR(IF(A60=A59,0,SUM(_xlfn._xlws.FILTER(G60:G80,(A60:A80=A60)*(E60:E80&lt;0)))),0)</f>
        <v>0</v>
      </c>
      <c r="J60" s="25">
        <f t="array" ref="J60">IFERROR(IF(A60=A59,0,SUM(_xlfn._xlws.FILTER(G60:G80,(A60:A80=A60)*(E60:E80&gt;0)))),0)</f>
        <v>0</v>
      </c>
      <c r="K60" s="25">
        <f>IF(H60&lt;&gt;0,SUM(H$2:H60),0)</f>
        <v>0</v>
      </c>
      <c r="L60" s="25">
        <f>IF(I60&lt;&gt;0,SUM(I$2:I60),0)</f>
        <v>0</v>
      </c>
      <c r="M60" s="25">
        <f>IF(J60&lt;&gt;0,SUM(J$2:J60),0)</f>
        <v>0</v>
      </c>
    </row>
    <row r="61" spans="1:13" x14ac:dyDescent="0.2">
      <c r="A61" s="1" t="s">
        <v>152</v>
      </c>
      <c r="C61" s="2" t="s">
        <v>153</v>
      </c>
      <c r="D61" s="3" t="s">
        <v>46</v>
      </c>
      <c r="E61" s="4" t="s">
        <v>154</v>
      </c>
      <c r="G61" s="25">
        <f t="shared" si="0"/>
        <v>61200</v>
      </c>
      <c r="H61" s="25">
        <f t="array" ref="H61">IF(A61=A60,0,SUM(_xlfn._xlws.FILTER(G61:G81,A61:A81=A61)))</f>
        <v>248687.5</v>
      </c>
      <c r="I61" s="25">
        <f t="array" ref="I61">IFERROR(IF(A61=A60,0,SUM(_xlfn._xlws.FILTER(G61:G81,(A61:A81=A61)*(E61:E81&lt;0)))),0)</f>
        <v>0</v>
      </c>
      <c r="J61" s="25">
        <f t="array" ref="J61">IFERROR(IF(A61=A60,0,SUM(_xlfn._xlws.FILTER(G61:G81,(A61:A81=A61)*(E61:E81&gt;0)))),0)</f>
        <v>248687.5</v>
      </c>
      <c r="K61" s="25">
        <f>IF(H61&lt;&gt;0,SUM(H$2:H61),0)</f>
        <v>831491.4</v>
      </c>
      <c r="L61" s="25">
        <f>IF(I61&lt;&gt;0,SUM(I$2:I61),0)</f>
        <v>0</v>
      </c>
      <c r="M61" s="25">
        <f>IF(J61&lt;&gt;0,SUM(J$2:J61),0)</f>
        <v>831491.4</v>
      </c>
    </row>
    <row r="62" spans="1:13" x14ac:dyDescent="0.2">
      <c r="A62" s="1" t="s">
        <v>152</v>
      </c>
      <c r="C62" s="2" t="s">
        <v>155</v>
      </c>
      <c r="D62" s="3" t="s">
        <v>46</v>
      </c>
      <c r="E62" s="4" t="s">
        <v>156</v>
      </c>
      <c r="G62" s="25">
        <f t="shared" si="0"/>
        <v>46520</v>
      </c>
      <c r="H62" s="25">
        <f t="array" ref="H62">IF(A62=A61,0,SUM(_xlfn._xlws.FILTER(G62:G82,A62:A82=A62)))</f>
        <v>0</v>
      </c>
      <c r="I62" s="25">
        <f t="array" ref="I62">IFERROR(IF(A62=A61,0,SUM(_xlfn._xlws.FILTER(G62:G82,(A62:A82=A62)*(E62:E82&lt;0)))),0)</f>
        <v>0</v>
      </c>
      <c r="J62" s="25">
        <f t="array" ref="J62">IFERROR(IF(A62=A61,0,SUM(_xlfn._xlws.FILTER(G62:G82,(A62:A82=A62)*(E62:E82&gt;0)))),0)</f>
        <v>0</v>
      </c>
      <c r="K62" s="25">
        <f>IF(H62&lt;&gt;0,SUM(H$2:H62),0)</f>
        <v>0</v>
      </c>
      <c r="L62" s="25">
        <f>IF(I62&lt;&gt;0,SUM(I$2:I62),0)</f>
        <v>0</v>
      </c>
      <c r="M62" s="25">
        <f>IF(J62&lt;&gt;0,SUM(J$2:J62),0)</f>
        <v>0</v>
      </c>
    </row>
    <row r="63" spans="1:13" x14ac:dyDescent="0.2">
      <c r="A63" s="1" t="s">
        <v>152</v>
      </c>
      <c r="C63" s="2" t="s">
        <v>157</v>
      </c>
      <c r="D63" s="3" t="s">
        <v>158</v>
      </c>
      <c r="E63" s="4" t="s">
        <v>159</v>
      </c>
      <c r="G63" s="25">
        <f t="shared" si="0"/>
        <v>-24500</v>
      </c>
      <c r="H63" s="25">
        <f t="array" ref="H63">IF(A63=A62,0,SUM(_xlfn._xlws.FILTER(G63:G83,A63:A83=A63)))</f>
        <v>0</v>
      </c>
      <c r="I63" s="25">
        <f t="array" ref="I63">IFERROR(IF(A63=A62,0,SUM(_xlfn._xlws.FILTER(G63:G83,(A63:A83=A63)*(E63:E83&lt;0)))),0)</f>
        <v>0</v>
      </c>
      <c r="J63" s="25">
        <f t="array" ref="J63">IFERROR(IF(A63=A62,0,SUM(_xlfn._xlws.FILTER(G63:G83,(A63:A83=A63)*(E63:E83&gt;0)))),0)</f>
        <v>0</v>
      </c>
      <c r="K63" s="25">
        <f>IF(H63&lt;&gt;0,SUM(H$2:H63),0)</f>
        <v>0</v>
      </c>
      <c r="L63" s="25">
        <f>IF(I63&lt;&gt;0,SUM(I$2:I63),0)</f>
        <v>0</v>
      </c>
      <c r="M63" s="25">
        <f>IF(J63&lt;&gt;0,SUM(J$2:J63),0)</f>
        <v>0</v>
      </c>
    </row>
    <row r="64" spans="1:13" x14ac:dyDescent="0.2">
      <c r="A64" s="1" t="s">
        <v>152</v>
      </c>
      <c r="C64" s="2" t="s">
        <v>116</v>
      </c>
      <c r="D64" s="3" t="s">
        <v>126</v>
      </c>
      <c r="E64" s="4" t="s">
        <v>160</v>
      </c>
      <c r="G64" s="25">
        <f t="shared" si="0"/>
        <v>103027.5</v>
      </c>
      <c r="H64" s="25">
        <f t="array" ref="H64">IF(A64=A63,0,SUM(_xlfn._xlws.FILTER(G64:G84,A64:A84=A64)))</f>
        <v>0</v>
      </c>
      <c r="I64" s="25">
        <f t="array" ref="I64">IFERROR(IF(A64=A63,0,SUM(_xlfn._xlws.FILTER(G64:G84,(A64:A84=A64)*(E64:E84&lt;0)))),0)</f>
        <v>0</v>
      </c>
      <c r="J64" s="25">
        <f t="array" ref="J64">IFERROR(IF(A64=A63,0,SUM(_xlfn._xlws.FILTER(G64:G84,(A64:A84=A64)*(E64:E84&gt;0)))),0)</f>
        <v>0</v>
      </c>
      <c r="K64" s="25">
        <f>IF(H64&lt;&gt;0,SUM(H$2:H64),0)</f>
        <v>0</v>
      </c>
      <c r="L64" s="25">
        <f>IF(I64&lt;&gt;0,SUM(I$2:I64),0)</f>
        <v>0</v>
      </c>
      <c r="M64" s="25">
        <f>IF(J64&lt;&gt;0,SUM(J$2:J64),0)</f>
        <v>0</v>
      </c>
    </row>
    <row r="65" spans="1:13" x14ac:dyDescent="0.2">
      <c r="A65" s="1" t="s">
        <v>152</v>
      </c>
      <c r="C65" s="2" t="s">
        <v>39</v>
      </c>
      <c r="D65" s="3" t="s">
        <v>102</v>
      </c>
      <c r="E65" s="4" t="s">
        <v>161</v>
      </c>
      <c r="G65" s="25">
        <f t="shared" si="0"/>
        <v>62440</v>
      </c>
      <c r="H65" s="25">
        <f t="array" ref="H65">IF(A65=A64,0,SUM(_xlfn._xlws.FILTER(G65:G85,A65:A85=A65)))</f>
        <v>0</v>
      </c>
      <c r="I65" s="25">
        <f t="array" ref="I65">IFERROR(IF(A65=A64,0,SUM(_xlfn._xlws.FILTER(G65:G85,(A65:A85=A65)*(E65:E85&lt;0)))),0)</f>
        <v>0</v>
      </c>
      <c r="J65" s="25">
        <f t="array" ref="J65">IFERROR(IF(A65=A64,0,SUM(_xlfn._xlws.FILTER(G65:G85,(A65:A85=A65)*(E65:E85&gt;0)))),0)</f>
        <v>0</v>
      </c>
      <c r="K65" s="25">
        <f>IF(H65&lt;&gt;0,SUM(H$2:H65),0)</f>
        <v>0</v>
      </c>
      <c r="L65" s="25">
        <f>IF(I65&lt;&gt;0,SUM(I$2:I65),0)</f>
        <v>0</v>
      </c>
      <c r="M65" s="25">
        <f>IF(J65&lt;&gt;0,SUM(J$2:J65),0)</f>
        <v>0</v>
      </c>
    </row>
    <row r="66" spans="1:13" x14ac:dyDescent="0.2">
      <c r="A66" s="5" t="s">
        <v>162</v>
      </c>
      <c r="C66" s="9" t="s">
        <v>116</v>
      </c>
      <c r="D66" s="7" t="s">
        <v>110</v>
      </c>
      <c r="E66" s="8" t="s">
        <v>163</v>
      </c>
      <c r="G66" s="25">
        <f t="shared" ref="G66:G129" si="1">D66*E66*IF(OR(C66="IAG",C66="EZJ",C66="AET"),0.01,1)</f>
        <v>-58222.5</v>
      </c>
      <c r="H66" s="25">
        <f t="array" ref="H66">IF(A66=A65,0,SUM(_xlfn._xlws.FILTER(G66:G86,A66:A86=A66)))</f>
        <v>-58222.5</v>
      </c>
      <c r="I66" s="25">
        <f t="array" ref="I66">IFERROR(IF(A66=A65,0,SUM(_xlfn._xlws.FILTER(G66:G86,(A66:A86=A66)*(E66:E86&lt;0)))),0)</f>
        <v>0</v>
      </c>
      <c r="J66" s="25">
        <f t="array" ref="J66">IFERROR(IF(A66=A65,0,SUM(_xlfn._xlws.FILTER(G66:G86,(A66:A86=A66)*(E66:E86&gt;0)))),0)</f>
        <v>-58222.5</v>
      </c>
      <c r="K66" s="25">
        <f>IF(H66&lt;&gt;0,SUM(H$2:H66),0)</f>
        <v>773268.9</v>
      </c>
      <c r="L66" s="25">
        <f>IF(I66&lt;&gt;0,SUM(I$2:I66),0)</f>
        <v>0</v>
      </c>
      <c r="M66" s="25">
        <f>IF(J66&lt;&gt;0,SUM(J$2:J66),0)</f>
        <v>773268.9</v>
      </c>
    </row>
    <row r="67" spans="1:13" x14ac:dyDescent="0.2">
      <c r="A67" s="1" t="s">
        <v>164</v>
      </c>
      <c r="C67" s="2" t="s">
        <v>78</v>
      </c>
      <c r="D67" s="3" t="s">
        <v>50</v>
      </c>
      <c r="E67" s="4" t="s">
        <v>165</v>
      </c>
      <c r="G67" s="25">
        <f t="shared" si="1"/>
        <v>16600</v>
      </c>
      <c r="H67" s="25">
        <f t="array" ref="H67">IF(A67=A66,0,SUM(_xlfn._xlws.FILTER(G67:G87,A67:A87=A67)))</f>
        <v>-18100</v>
      </c>
      <c r="I67" s="25">
        <f t="array" ref="I67">IFERROR(IF(A67=A66,0,SUM(_xlfn._xlws.FILTER(G67:G87,(A67:A87=A67)*(E67:E87&lt;0)))),0)</f>
        <v>0</v>
      </c>
      <c r="J67" s="25">
        <f t="array" ref="J67">IFERROR(IF(A67=A66,0,SUM(_xlfn._xlws.FILTER(G67:G87,(A67:A87=A67)*(E67:E87&gt;0)))),0)</f>
        <v>-18100</v>
      </c>
      <c r="K67" s="25">
        <f>IF(H67&lt;&gt;0,SUM(H$2:H67),0)</f>
        <v>755168.9</v>
      </c>
      <c r="L67" s="25">
        <f>IF(I67&lt;&gt;0,SUM(I$2:I67),0)</f>
        <v>0</v>
      </c>
      <c r="M67" s="25">
        <f>IF(J67&lt;&gt;0,SUM(J$2:J67),0)</f>
        <v>755168.9</v>
      </c>
    </row>
    <row r="68" spans="1:13" x14ac:dyDescent="0.2">
      <c r="A68" s="1" t="s">
        <v>164</v>
      </c>
      <c r="C68" s="2" t="s">
        <v>139</v>
      </c>
      <c r="D68" s="3" t="s">
        <v>50</v>
      </c>
      <c r="E68" s="4" t="s">
        <v>166</v>
      </c>
      <c r="G68" s="25">
        <f t="shared" si="1"/>
        <v>-34700</v>
      </c>
      <c r="H68" s="25">
        <f t="array" ref="H68">IF(A68=A67,0,SUM(_xlfn._xlws.FILTER(G68:G88,A68:A88=A68)))</f>
        <v>0</v>
      </c>
      <c r="I68" s="25">
        <f t="array" ref="I68">IFERROR(IF(A68=A67,0,SUM(_xlfn._xlws.FILTER(G68:G88,(A68:A88=A68)*(E68:E88&lt;0)))),0)</f>
        <v>0</v>
      </c>
      <c r="J68" s="25">
        <f t="array" ref="J68">IFERROR(IF(A68=A67,0,SUM(_xlfn._xlws.FILTER(G68:G88,(A68:A88=A68)*(E68:E88&gt;0)))),0)</f>
        <v>0</v>
      </c>
      <c r="K68" s="25">
        <f>IF(H68&lt;&gt;0,SUM(H$2:H68),0)</f>
        <v>0</v>
      </c>
      <c r="L68" s="25">
        <f>IF(I68&lt;&gt;0,SUM(I$2:I68),0)</f>
        <v>0</v>
      </c>
      <c r="M68" s="25">
        <f>IF(J68&lt;&gt;0,SUM(J$2:J68),0)</f>
        <v>0</v>
      </c>
    </row>
    <row r="69" spans="1:13" x14ac:dyDescent="0.2">
      <c r="A69" s="5" t="s">
        <v>167</v>
      </c>
      <c r="C69" s="9" t="s">
        <v>15</v>
      </c>
      <c r="D69" s="7" t="s">
        <v>102</v>
      </c>
      <c r="E69" s="8" t="s">
        <v>168</v>
      </c>
      <c r="G69" s="25">
        <f t="shared" si="1"/>
        <v>40010</v>
      </c>
      <c r="H69" s="25">
        <f t="array" ref="H69">IF(A69=A68,0,SUM(_xlfn._xlws.FILTER(G69:G89,A69:A89=A69)))</f>
        <v>144589.29999999999</v>
      </c>
      <c r="I69" s="25">
        <f t="array" ref="I69">IFERROR(IF(A69=A68,0,SUM(_xlfn._xlws.FILTER(G69:G89,(A69:A89=A69)*(E69:E89&lt;0)))),0)</f>
        <v>0</v>
      </c>
      <c r="J69" s="25">
        <f t="array" ref="J69">IFERROR(IF(A69=A68,0,SUM(_xlfn._xlws.FILTER(G69:G89,(A69:A89=A69)*(E69:E89&gt;0)))),0)</f>
        <v>144589.29999999999</v>
      </c>
      <c r="K69" s="25">
        <f>IF(H69&lt;&gt;0,SUM(H$2:H69),0)</f>
        <v>899758.2</v>
      </c>
      <c r="L69" s="25">
        <f>IF(I69&lt;&gt;0,SUM(I$2:I69),0)</f>
        <v>0</v>
      </c>
      <c r="M69" s="25">
        <f>IF(J69&lt;&gt;0,SUM(J$2:J69),0)</f>
        <v>899758.2</v>
      </c>
    </row>
    <row r="70" spans="1:13" x14ac:dyDescent="0.2">
      <c r="A70" s="5" t="s">
        <v>167</v>
      </c>
      <c r="C70" s="9" t="s">
        <v>105</v>
      </c>
      <c r="D70" s="7" t="s">
        <v>102</v>
      </c>
      <c r="E70" s="8" t="s">
        <v>168</v>
      </c>
      <c r="G70" s="25">
        <f t="shared" si="1"/>
        <v>40010</v>
      </c>
      <c r="H70" s="25">
        <f t="array" ref="H70">IF(A70=A69,0,SUM(_xlfn._xlws.FILTER(G70:G90,A70:A90=A70)))</f>
        <v>0</v>
      </c>
      <c r="I70" s="25">
        <f t="array" ref="I70">IFERROR(IF(A70=A69,0,SUM(_xlfn._xlws.FILTER(G70:G90,(A70:A90=A70)*(E70:E90&lt;0)))),0)</f>
        <v>0</v>
      </c>
      <c r="J70" s="25">
        <f t="array" ref="J70">IFERROR(IF(A70=A69,0,SUM(_xlfn._xlws.FILTER(G70:G90,(A70:A90=A70)*(E70:E90&gt;0)))),0)</f>
        <v>0</v>
      </c>
      <c r="K70" s="25">
        <f>IF(H70&lt;&gt;0,SUM(H$2:H70),0)</f>
        <v>0</v>
      </c>
      <c r="L70" s="25">
        <f>IF(I70&lt;&gt;0,SUM(I$2:I70),0)</f>
        <v>0</v>
      </c>
      <c r="M70" s="25">
        <f>IF(J70&lt;&gt;0,SUM(J$2:J70),0)</f>
        <v>0</v>
      </c>
    </row>
    <row r="71" spans="1:13" x14ac:dyDescent="0.2">
      <c r="A71" s="5" t="s">
        <v>167</v>
      </c>
      <c r="C71" s="9" t="s">
        <v>130</v>
      </c>
      <c r="D71" s="7" t="s">
        <v>50</v>
      </c>
      <c r="E71" s="8" t="s">
        <v>169</v>
      </c>
      <c r="G71" s="25">
        <f t="shared" si="1"/>
        <v>-11500</v>
      </c>
      <c r="H71" s="25">
        <f t="array" ref="H71">IF(A71=A70,0,SUM(_xlfn._xlws.FILTER(G71:G91,A71:A91=A71)))</f>
        <v>0</v>
      </c>
      <c r="I71" s="25">
        <f t="array" ref="I71">IFERROR(IF(A71=A70,0,SUM(_xlfn._xlws.FILTER(G71:G91,(A71:A91=A71)*(E71:E91&lt;0)))),0)</f>
        <v>0</v>
      </c>
      <c r="J71" s="25">
        <f t="array" ref="J71">IFERROR(IF(A71=A70,0,SUM(_xlfn._xlws.FILTER(G71:G91,(A71:A91=A71)*(E71:E91&gt;0)))),0)</f>
        <v>0</v>
      </c>
      <c r="K71" s="25">
        <f>IF(H71&lt;&gt;0,SUM(H$2:H71),0)</f>
        <v>0</v>
      </c>
      <c r="L71" s="25">
        <f>IF(I71&lt;&gt;0,SUM(I$2:I71),0)</f>
        <v>0</v>
      </c>
      <c r="M71" s="25">
        <f>IF(J71&lt;&gt;0,SUM(J$2:J71),0)</f>
        <v>0</v>
      </c>
    </row>
    <row r="72" spans="1:13" x14ac:dyDescent="0.2">
      <c r="A72" s="5" t="s">
        <v>167</v>
      </c>
      <c r="C72" s="9" t="s">
        <v>61</v>
      </c>
      <c r="D72" s="7" t="s">
        <v>110</v>
      </c>
      <c r="E72" s="8" t="s">
        <v>170</v>
      </c>
      <c r="G72" s="25">
        <f t="shared" si="1"/>
        <v>58867.5</v>
      </c>
      <c r="H72" s="25">
        <f t="array" ref="H72">IF(A72=A71,0,SUM(_xlfn._xlws.FILTER(G72:G92,A72:A92=A72)))</f>
        <v>0</v>
      </c>
      <c r="I72" s="25">
        <f t="array" ref="I72">IFERROR(IF(A72=A71,0,SUM(_xlfn._xlws.FILTER(G72:G92,(A72:A92=A72)*(E72:E92&lt;0)))),0)</f>
        <v>0</v>
      </c>
      <c r="J72" s="25">
        <f t="array" ref="J72">IFERROR(IF(A72=A71,0,SUM(_xlfn._xlws.FILTER(G72:G92,(A72:A92=A72)*(E72:E92&gt;0)))),0)</f>
        <v>0</v>
      </c>
      <c r="K72" s="25">
        <f>IF(H72&lt;&gt;0,SUM(H$2:H72),0)</f>
        <v>0</v>
      </c>
      <c r="L72" s="25">
        <f>IF(I72&lt;&gt;0,SUM(I$2:I72),0)</f>
        <v>0</v>
      </c>
      <c r="M72" s="25">
        <f>IF(J72&lt;&gt;0,SUM(J$2:J72),0)</f>
        <v>0</v>
      </c>
    </row>
    <row r="73" spans="1:13" x14ac:dyDescent="0.2">
      <c r="A73" s="5" t="s">
        <v>167</v>
      </c>
      <c r="C73" s="9" t="s">
        <v>171</v>
      </c>
      <c r="D73" s="7" t="s">
        <v>29</v>
      </c>
      <c r="E73" s="8" t="s">
        <v>172</v>
      </c>
      <c r="G73" s="25">
        <f t="shared" si="1"/>
        <v>-43281</v>
      </c>
      <c r="H73" s="25">
        <f t="array" ref="H73">IF(A73=A72,0,SUM(_xlfn._xlws.FILTER(G73:G93,A73:A93=A73)))</f>
        <v>0</v>
      </c>
      <c r="I73" s="25">
        <f t="array" ref="I73">IFERROR(IF(A73=A72,0,SUM(_xlfn._xlws.FILTER(G73:G93,(A73:A93=A73)*(E73:E93&lt;0)))),0)</f>
        <v>0</v>
      </c>
      <c r="J73" s="25">
        <f t="array" ref="J73">IFERROR(IF(A73=A72,0,SUM(_xlfn._xlws.FILTER(G73:G93,(A73:A93=A73)*(E73:E93&gt;0)))),0)</f>
        <v>0</v>
      </c>
      <c r="K73" s="25">
        <f>IF(H73&lt;&gt;0,SUM(H$2:H73),0)</f>
        <v>0</v>
      </c>
      <c r="L73" s="25">
        <f>IF(I73&lt;&gt;0,SUM(I$2:I73),0)</f>
        <v>0</v>
      </c>
      <c r="M73" s="25">
        <f>IF(J73&lt;&gt;0,SUM(J$2:J73),0)</f>
        <v>0</v>
      </c>
    </row>
    <row r="74" spans="1:13" x14ac:dyDescent="0.2">
      <c r="A74" s="5" t="s">
        <v>167</v>
      </c>
      <c r="C74" s="9" t="s">
        <v>125</v>
      </c>
      <c r="D74" s="7" t="s">
        <v>173</v>
      </c>
      <c r="E74" s="8" t="s">
        <v>174</v>
      </c>
      <c r="G74" s="25">
        <f t="shared" si="1"/>
        <v>43346.8</v>
      </c>
      <c r="H74" s="25">
        <f t="array" ref="H74">IF(A74=A73,0,SUM(_xlfn._xlws.FILTER(G74:G94,A74:A94=A74)))</f>
        <v>0</v>
      </c>
      <c r="I74" s="25">
        <f t="array" ref="I74">IFERROR(IF(A74=A73,0,SUM(_xlfn._xlws.FILTER(G74:G94,(A74:A94=A74)*(E74:E94&lt;0)))),0)</f>
        <v>0</v>
      </c>
      <c r="J74" s="25">
        <f t="array" ref="J74">IFERROR(IF(A74=A73,0,SUM(_xlfn._xlws.FILTER(G74:G94,(A74:A94=A74)*(E74:E94&gt;0)))),0)</f>
        <v>0</v>
      </c>
      <c r="K74" s="25">
        <f>IF(H74&lt;&gt;0,SUM(H$2:H74),0)</f>
        <v>0</v>
      </c>
      <c r="L74" s="25">
        <f>IF(I74&lt;&gt;0,SUM(I$2:I74),0)</f>
        <v>0</v>
      </c>
      <c r="M74" s="25">
        <f>IF(J74&lt;&gt;0,SUM(J$2:J74),0)</f>
        <v>0</v>
      </c>
    </row>
    <row r="75" spans="1:13" x14ac:dyDescent="0.2">
      <c r="A75" s="5" t="s">
        <v>167</v>
      </c>
      <c r="C75" s="9" t="s">
        <v>49</v>
      </c>
      <c r="D75" s="7" t="s">
        <v>120</v>
      </c>
      <c r="E75" s="8" t="s">
        <v>175</v>
      </c>
      <c r="G75" s="25">
        <f t="shared" si="1"/>
        <v>39400</v>
      </c>
      <c r="H75" s="25">
        <f t="array" ref="H75">IF(A75=A74,0,SUM(_xlfn._xlws.FILTER(G75:G95,A75:A95=A75)))</f>
        <v>0</v>
      </c>
      <c r="I75" s="25">
        <f t="array" ref="I75">IFERROR(IF(A75=A74,0,SUM(_xlfn._xlws.FILTER(G75:G95,(A75:A95=A75)*(E75:E95&lt;0)))),0)</f>
        <v>0</v>
      </c>
      <c r="J75" s="25">
        <f t="array" ref="J75">IFERROR(IF(A75=A74,0,SUM(_xlfn._xlws.FILTER(G75:G95,(A75:A95=A75)*(E75:E95&gt;0)))),0)</f>
        <v>0</v>
      </c>
      <c r="K75" s="25">
        <f>IF(H75&lt;&gt;0,SUM(H$2:H75),0)</f>
        <v>0</v>
      </c>
      <c r="L75" s="25">
        <f>IF(I75&lt;&gt;0,SUM(I$2:I75),0)</f>
        <v>0</v>
      </c>
      <c r="M75" s="25">
        <f>IF(J75&lt;&gt;0,SUM(J$2:J75),0)</f>
        <v>0</v>
      </c>
    </row>
    <row r="76" spans="1:13" x14ac:dyDescent="0.2">
      <c r="A76" s="5" t="s">
        <v>167</v>
      </c>
      <c r="C76" s="9" t="s">
        <v>176</v>
      </c>
      <c r="D76" s="7" t="s">
        <v>16</v>
      </c>
      <c r="E76" s="8" t="s">
        <v>177</v>
      </c>
      <c r="G76" s="25">
        <f t="shared" si="1"/>
        <v>124780</v>
      </c>
      <c r="H76" s="25">
        <f t="array" ref="H76">IF(A76=A75,0,SUM(_xlfn._xlws.FILTER(G76:G96,A76:A96=A76)))</f>
        <v>0</v>
      </c>
      <c r="I76" s="25">
        <f t="array" ref="I76">IFERROR(IF(A76=A75,0,SUM(_xlfn._xlws.FILTER(G76:G96,(A76:A96=A76)*(E76:E96&lt;0)))),0)</f>
        <v>0</v>
      </c>
      <c r="J76" s="25">
        <f t="array" ref="J76">IFERROR(IF(A76=A75,0,SUM(_xlfn._xlws.FILTER(G76:G96,(A76:A96=A76)*(E76:E96&gt;0)))),0)</f>
        <v>0</v>
      </c>
      <c r="K76" s="25">
        <f>IF(H76&lt;&gt;0,SUM(H$2:H76),0)</f>
        <v>0</v>
      </c>
      <c r="L76" s="25">
        <f>IF(I76&lt;&gt;0,SUM(I$2:I76),0)</f>
        <v>0</v>
      </c>
      <c r="M76" s="25">
        <f>IF(J76&lt;&gt;0,SUM(J$2:J76),0)</f>
        <v>0</v>
      </c>
    </row>
    <row r="77" spans="1:13" x14ac:dyDescent="0.2">
      <c r="A77" s="5" t="s">
        <v>167</v>
      </c>
      <c r="C77" s="9" t="s">
        <v>178</v>
      </c>
      <c r="D77" s="7" t="s">
        <v>16</v>
      </c>
      <c r="E77" s="8" t="s">
        <v>179</v>
      </c>
      <c r="G77" s="25">
        <f t="shared" si="1"/>
        <v>-12440</v>
      </c>
      <c r="H77" s="25">
        <f t="array" ref="H77">IF(A77=A76,0,SUM(_xlfn._xlws.FILTER(G77:G97,A77:A97=A77)))</f>
        <v>0</v>
      </c>
      <c r="I77" s="25">
        <f t="array" ref="I77">IFERROR(IF(A77=A76,0,SUM(_xlfn._xlws.FILTER(G77:G97,(A77:A97=A77)*(E77:E97&lt;0)))),0)</f>
        <v>0</v>
      </c>
      <c r="J77" s="25">
        <f t="array" ref="J77">IFERROR(IF(A77=A76,0,SUM(_xlfn._xlws.FILTER(G77:G97,(A77:A97=A77)*(E77:E97&gt;0)))),0)</f>
        <v>0</v>
      </c>
      <c r="K77" s="25">
        <f>IF(H77&lt;&gt;0,SUM(H$2:H77),0)</f>
        <v>0</v>
      </c>
      <c r="L77" s="25">
        <f>IF(I77&lt;&gt;0,SUM(I$2:I77),0)</f>
        <v>0</v>
      </c>
      <c r="M77" s="25">
        <f>IF(J77&lt;&gt;0,SUM(J$2:J77),0)</f>
        <v>0</v>
      </c>
    </row>
    <row r="78" spans="1:13" x14ac:dyDescent="0.2">
      <c r="A78" s="5" t="s">
        <v>167</v>
      </c>
      <c r="C78" s="9" t="s">
        <v>113</v>
      </c>
      <c r="D78" s="7" t="s">
        <v>85</v>
      </c>
      <c r="E78" s="8" t="s">
        <v>180</v>
      </c>
      <c r="G78" s="25">
        <f t="shared" si="1"/>
        <v>-134604</v>
      </c>
      <c r="H78" s="25">
        <f t="array" ref="H78">IF(A78=A77,0,SUM(_xlfn._xlws.FILTER(G78:G98,A78:A98=A78)))</f>
        <v>0</v>
      </c>
      <c r="I78" s="25">
        <f t="array" ref="I78">IFERROR(IF(A78=A77,0,SUM(_xlfn._xlws.FILTER(G78:G98,(A78:A98=A78)*(E78:E98&lt;0)))),0)</f>
        <v>0</v>
      </c>
      <c r="J78" s="25">
        <f t="array" ref="J78">IFERROR(IF(A78=A77,0,SUM(_xlfn._xlws.FILTER(G78:G98,(A78:A98=A78)*(E78:E98&gt;0)))),0)</f>
        <v>0</v>
      </c>
      <c r="K78" s="25">
        <f>IF(H78&lt;&gt;0,SUM(H$2:H78),0)</f>
        <v>0</v>
      </c>
      <c r="L78" s="25">
        <f>IF(I78&lt;&gt;0,SUM(I$2:I78),0)</f>
        <v>0</v>
      </c>
      <c r="M78" s="25">
        <f>IF(J78&lt;&gt;0,SUM(J$2:J78),0)</f>
        <v>0</v>
      </c>
    </row>
    <row r="79" spans="1:13" x14ac:dyDescent="0.2">
      <c r="A79" s="1" t="s">
        <v>181</v>
      </c>
      <c r="C79" s="2" t="s">
        <v>113</v>
      </c>
      <c r="D79" s="3" t="s">
        <v>20</v>
      </c>
      <c r="E79" s="4" t="s">
        <v>182</v>
      </c>
      <c r="G79" s="25">
        <f t="shared" si="1"/>
        <v>71460</v>
      </c>
      <c r="H79" s="25">
        <f t="array" ref="H79">IF(A79=A78,0,SUM(_xlfn._xlws.FILTER(G79:G99,A79:A99=A79)))</f>
        <v>310470.5</v>
      </c>
      <c r="I79" s="25">
        <f t="array" ref="I79">IFERROR(IF(A79=A78,0,SUM(_xlfn._xlws.FILTER(G79:G99,(A79:A99=A79)*(E79:E99&lt;0)))),0)</f>
        <v>0</v>
      </c>
      <c r="J79" s="25">
        <f t="array" ref="J79">IFERROR(IF(A79=A78,0,SUM(_xlfn._xlws.FILTER(G79:G99,(A79:A99=A79)*(E79:E99&gt;0)))),0)</f>
        <v>310470.5</v>
      </c>
      <c r="K79" s="25">
        <f>IF(H79&lt;&gt;0,SUM(H$2:H79),0)</f>
        <v>1210228.7</v>
      </c>
      <c r="L79" s="25">
        <f>IF(I79&lt;&gt;0,SUM(I$2:I79),0)</f>
        <v>0</v>
      </c>
      <c r="M79" s="25">
        <f>IF(J79&lt;&gt;0,SUM(J$2:J79),0)</f>
        <v>1210228.7</v>
      </c>
    </row>
    <row r="80" spans="1:13" x14ac:dyDescent="0.2">
      <c r="A80" s="1" t="s">
        <v>181</v>
      </c>
      <c r="C80" s="2" t="s">
        <v>19</v>
      </c>
      <c r="D80" s="3" t="s">
        <v>56</v>
      </c>
      <c r="E80" s="4" t="s">
        <v>183</v>
      </c>
      <c r="G80" s="25">
        <f t="shared" si="1"/>
        <v>73710</v>
      </c>
      <c r="H80" s="25">
        <f t="array" ref="H80">IF(A80=A79,0,SUM(_xlfn._xlws.FILTER(G80:G100,A80:A100=A80)))</f>
        <v>0</v>
      </c>
      <c r="I80" s="25">
        <f t="array" ref="I80">IFERROR(IF(A80=A79,0,SUM(_xlfn._xlws.FILTER(G80:G100,(A80:A100=A80)*(E80:E100&lt;0)))),0)</f>
        <v>0</v>
      </c>
      <c r="J80" s="25">
        <f t="array" ref="J80">IFERROR(IF(A80=A79,0,SUM(_xlfn._xlws.FILTER(G80:G100,(A80:A100=A80)*(E80:E100&gt;0)))),0)</f>
        <v>0</v>
      </c>
      <c r="K80" s="25">
        <f>IF(H80&lt;&gt;0,SUM(H$2:H80),0)</f>
        <v>0</v>
      </c>
      <c r="L80" s="25">
        <f>IF(I80&lt;&gt;0,SUM(I$2:I80),0)</f>
        <v>0</v>
      </c>
      <c r="M80" s="25">
        <f>IF(J80&lt;&gt;0,SUM(J$2:J80),0)</f>
        <v>0</v>
      </c>
    </row>
    <row r="81" spans="1:13" x14ac:dyDescent="0.2">
      <c r="A81" s="1" t="s">
        <v>181</v>
      </c>
      <c r="C81" s="2" t="s">
        <v>72</v>
      </c>
      <c r="D81" s="3" t="s">
        <v>46</v>
      </c>
      <c r="E81" s="4" t="s">
        <v>184</v>
      </c>
      <c r="G81" s="25">
        <f t="shared" si="1"/>
        <v>-113480</v>
      </c>
      <c r="H81" s="25">
        <f t="array" ref="H81">IF(A81=A80,0,SUM(_xlfn._xlws.FILTER(G81:G101,A81:A101=A81)))</f>
        <v>0</v>
      </c>
      <c r="I81" s="25">
        <f t="array" ref="I81">IFERROR(IF(A81=A80,0,SUM(_xlfn._xlws.FILTER(G81:G101,(A81:A101=A81)*(E81:E101&lt;0)))),0)</f>
        <v>0</v>
      </c>
      <c r="J81" s="25">
        <f t="array" ref="J81">IFERROR(IF(A81=A80,0,SUM(_xlfn._xlws.FILTER(G81:G101,(A81:A101=A81)*(E81:E101&gt;0)))),0)</f>
        <v>0</v>
      </c>
      <c r="K81" s="25">
        <f>IF(H81&lt;&gt;0,SUM(H$2:H81),0)</f>
        <v>0</v>
      </c>
      <c r="L81" s="25">
        <f>IF(I81&lt;&gt;0,SUM(I$2:I81),0)</f>
        <v>0</v>
      </c>
      <c r="M81" s="25">
        <f>IF(J81&lt;&gt;0,SUM(J$2:J81),0)</f>
        <v>0</v>
      </c>
    </row>
    <row r="82" spans="1:13" x14ac:dyDescent="0.2">
      <c r="A82" s="1" t="s">
        <v>181</v>
      </c>
      <c r="C82" s="2" t="s">
        <v>185</v>
      </c>
      <c r="D82" s="3" t="s">
        <v>16</v>
      </c>
      <c r="E82" s="4" t="s">
        <v>186</v>
      </c>
      <c r="G82" s="25">
        <f t="shared" si="1"/>
        <v>-40460</v>
      </c>
      <c r="H82" s="25">
        <f t="array" ref="H82">IF(A82=A81,0,SUM(_xlfn._xlws.FILTER(G82:G102,A82:A102=A82)))</f>
        <v>0</v>
      </c>
      <c r="I82" s="25">
        <f t="array" ref="I82">IFERROR(IF(A82=A81,0,SUM(_xlfn._xlws.FILTER(G82:G102,(A82:A102=A82)*(E82:E102&lt;0)))),0)</f>
        <v>0</v>
      </c>
      <c r="J82" s="25">
        <f t="array" ref="J82">IFERROR(IF(A82=A81,0,SUM(_xlfn._xlws.FILTER(G82:G102,(A82:A102=A82)*(E82:E102&gt;0)))),0)</f>
        <v>0</v>
      </c>
      <c r="K82" s="25">
        <f>IF(H82&lt;&gt;0,SUM(H$2:H82),0)</f>
        <v>0</v>
      </c>
      <c r="L82" s="25">
        <f>IF(I82&lt;&gt;0,SUM(I$2:I82),0)</f>
        <v>0</v>
      </c>
      <c r="M82" s="25">
        <f>IF(J82&lt;&gt;0,SUM(J$2:J82),0)</f>
        <v>0</v>
      </c>
    </row>
    <row r="83" spans="1:13" x14ac:dyDescent="0.2">
      <c r="A83" s="1" t="s">
        <v>181</v>
      </c>
      <c r="C83" s="2" t="s">
        <v>176</v>
      </c>
      <c r="D83" s="3" t="s">
        <v>16</v>
      </c>
      <c r="E83" s="4" t="s">
        <v>187</v>
      </c>
      <c r="G83" s="25">
        <f t="shared" si="1"/>
        <v>134140</v>
      </c>
      <c r="H83" s="25">
        <f t="array" ref="H83">IF(A83=A82,0,SUM(_xlfn._xlws.FILTER(G83:G103,A83:A103=A83)))</f>
        <v>0</v>
      </c>
      <c r="I83" s="25">
        <f t="array" ref="I83">IFERROR(IF(A83=A82,0,SUM(_xlfn._xlws.FILTER(G83:G103,(A83:A103=A83)*(E83:E103&lt;0)))),0)</f>
        <v>0</v>
      </c>
      <c r="J83" s="25">
        <f t="array" ref="J83">IFERROR(IF(A83=A82,0,SUM(_xlfn._xlws.FILTER(G83:G103,(A83:A103=A83)*(E83:E103&gt;0)))),0)</f>
        <v>0</v>
      </c>
      <c r="K83" s="25">
        <f>IF(H83&lt;&gt;0,SUM(H$2:H83),0)</f>
        <v>0</v>
      </c>
      <c r="L83" s="25">
        <f>IF(I83&lt;&gt;0,SUM(I$2:I83),0)</f>
        <v>0</v>
      </c>
      <c r="M83" s="25">
        <f>IF(J83&lt;&gt;0,SUM(J$2:J83),0)</f>
        <v>0</v>
      </c>
    </row>
    <row r="84" spans="1:13" x14ac:dyDescent="0.2">
      <c r="A84" s="1" t="s">
        <v>181</v>
      </c>
      <c r="C84" s="2" t="s">
        <v>188</v>
      </c>
      <c r="D84" s="3" t="s">
        <v>53</v>
      </c>
      <c r="E84" s="4" t="s">
        <v>189</v>
      </c>
      <c r="G84" s="25">
        <f t="shared" si="1"/>
        <v>15040</v>
      </c>
      <c r="H84" s="25">
        <f t="array" ref="H84">IF(A84=A83,0,SUM(_xlfn._xlws.FILTER(G84:G104,A84:A104=A84)))</f>
        <v>0</v>
      </c>
      <c r="I84" s="25">
        <f t="array" ref="I84">IFERROR(IF(A84=A83,0,SUM(_xlfn._xlws.FILTER(G84:G104,(A84:A104=A84)*(E84:E104&lt;0)))),0)</f>
        <v>0</v>
      </c>
      <c r="J84" s="25">
        <f t="array" ref="J84">IFERROR(IF(A84=A83,0,SUM(_xlfn._xlws.FILTER(G84:G104,(A84:A104=A84)*(E84:E104&gt;0)))),0)</f>
        <v>0</v>
      </c>
      <c r="K84" s="25">
        <f>IF(H84&lt;&gt;0,SUM(H$2:H84),0)</f>
        <v>0</v>
      </c>
      <c r="L84" s="25">
        <f>IF(I84&lt;&gt;0,SUM(I$2:I84),0)</f>
        <v>0</v>
      </c>
      <c r="M84" s="25">
        <f>IF(J84&lt;&gt;0,SUM(J$2:J84),0)</f>
        <v>0</v>
      </c>
    </row>
    <row r="85" spans="1:13" x14ac:dyDescent="0.2">
      <c r="A85" s="1" t="s">
        <v>181</v>
      </c>
      <c r="C85" s="2" t="s">
        <v>190</v>
      </c>
      <c r="D85" s="3" t="s">
        <v>191</v>
      </c>
      <c r="E85" s="4" t="s">
        <v>192</v>
      </c>
      <c r="G85" s="25">
        <f t="shared" si="1"/>
        <v>71940</v>
      </c>
      <c r="H85" s="25">
        <f t="array" ref="H85">IF(A85=A84,0,SUM(_xlfn._xlws.FILTER(G85:G105,A85:A105=A85)))</f>
        <v>0</v>
      </c>
      <c r="I85" s="25">
        <f t="array" ref="I85">IFERROR(IF(A85=A84,0,SUM(_xlfn._xlws.FILTER(G85:G105,(A85:A105=A85)*(E85:E105&lt;0)))),0)</f>
        <v>0</v>
      </c>
      <c r="J85" s="25">
        <f t="array" ref="J85">IFERROR(IF(A85=A84,0,SUM(_xlfn._xlws.FILTER(G85:G105,(A85:A105=A85)*(E85:E105&gt;0)))),0)</f>
        <v>0</v>
      </c>
      <c r="K85" s="25">
        <f>IF(H85&lt;&gt;0,SUM(H$2:H85),0)</f>
        <v>0</v>
      </c>
      <c r="L85" s="25">
        <f>IF(I85&lt;&gt;0,SUM(I$2:I85),0)</f>
        <v>0</v>
      </c>
      <c r="M85" s="25">
        <f>IF(J85&lt;&gt;0,SUM(J$2:J85),0)</f>
        <v>0</v>
      </c>
    </row>
    <row r="86" spans="1:13" x14ac:dyDescent="0.2">
      <c r="A86" s="1" t="s">
        <v>181</v>
      </c>
      <c r="C86" s="2" t="s">
        <v>193</v>
      </c>
      <c r="D86" s="3" t="s">
        <v>82</v>
      </c>
      <c r="E86" s="4" t="s">
        <v>194</v>
      </c>
      <c r="G86" s="25">
        <f t="shared" si="1"/>
        <v>75450</v>
      </c>
      <c r="H86" s="25">
        <f t="array" ref="H86">IF(A86=A85,0,SUM(_xlfn._xlws.FILTER(G86:G106,A86:A106=A86)))</f>
        <v>0</v>
      </c>
      <c r="I86" s="25">
        <f t="array" ref="I86">IFERROR(IF(A86=A85,0,SUM(_xlfn._xlws.FILTER(G86:G106,(A86:A106=A86)*(E86:E106&lt;0)))),0)</f>
        <v>0</v>
      </c>
      <c r="J86" s="25">
        <f t="array" ref="J86">IFERROR(IF(A86=A85,0,SUM(_xlfn._xlws.FILTER(G86:G106,(A86:A106=A86)*(E86:E106&gt;0)))),0)</f>
        <v>0</v>
      </c>
      <c r="K86" s="25">
        <f>IF(H86&lt;&gt;0,SUM(H$2:H86),0)</f>
        <v>0</v>
      </c>
      <c r="L86" s="25">
        <f>IF(I86&lt;&gt;0,SUM(I$2:I86),0)</f>
        <v>0</v>
      </c>
      <c r="M86" s="25">
        <f>IF(J86&lt;&gt;0,SUM(J$2:J86),0)</f>
        <v>0</v>
      </c>
    </row>
    <row r="87" spans="1:13" x14ac:dyDescent="0.2">
      <c r="A87" s="1" t="s">
        <v>181</v>
      </c>
      <c r="C87" s="2" t="s">
        <v>116</v>
      </c>
      <c r="D87" s="3" t="s">
        <v>85</v>
      </c>
      <c r="E87" s="4" t="s">
        <v>195</v>
      </c>
      <c r="G87" s="25">
        <f t="shared" si="1"/>
        <v>91604</v>
      </c>
      <c r="H87" s="25">
        <f t="array" ref="H87">IF(A87=A86,0,SUM(_xlfn._xlws.FILTER(G87:G107,A87:A107=A87)))</f>
        <v>0</v>
      </c>
      <c r="I87" s="25">
        <f t="array" ref="I87">IFERROR(IF(A87=A86,0,SUM(_xlfn._xlws.FILTER(G87:G107,(A87:A107=A87)*(E87:E107&lt;0)))),0)</f>
        <v>0</v>
      </c>
      <c r="J87" s="25">
        <f t="array" ref="J87">IFERROR(IF(A87=A86,0,SUM(_xlfn._xlws.FILTER(G87:G107,(A87:A107=A87)*(E87:E107&gt;0)))),0)</f>
        <v>0</v>
      </c>
      <c r="K87" s="25">
        <f>IF(H87&lt;&gt;0,SUM(H$2:H87),0)</f>
        <v>0</v>
      </c>
      <c r="L87" s="25">
        <f>IF(I87&lt;&gt;0,SUM(I$2:I87),0)</f>
        <v>0</v>
      </c>
      <c r="M87" s="25">
        <f>IF(J87&lt;&gt;0,SUM(J$2:J87),0)</f>
        <v>0</v>
      </c>
    </row>
    <row r="88" spans="1:13" x14ac:dyDescent="0.2">
      <c r="A88" s="1" t="s">
        <v>181</v>
      </c>
      <c r="C88" s="2" t="s">
        <v>196</v>
      </c>
      <c r="D88" s="3" t="s">
        <v>197</v>
      </c>
      <c r="E88" s="4" t="s">
        <v>198</v>
      </c>
      <c r="G88" s="25">
        <f t="shared" si="1"/>
        <v>-20440</v>
      </c>
      <c r="H88" s="25">
        <f t="array" ref="H88">IF(A88=A87,0,SUM(_xlfn._xlws.FILTER(G88:G108,A88:A108=A88)))</f>
        <v>0</v>
      </c>
      <c r="I88" s="25">
        <f t="array" ref="I88">IFERROR(IF(A88=A87,0,SUM(_xlfn._xlws.FILTER(G88:G108,(A88:A108=A88)*(E88:E108&lt;0)))),0)</f>
        <v>0</v>
      </c>
      <c r="J88" s="25">
        <f t="array" ref="J88">IFERROR(IF(A88=A87,0,SUM(_xlfn._xlws.FILTER(G88:G108,(A88:A108=A88)*(E88:E108&gt;0)))),0)</f>
        <v>0</v>
      </c>
      <c r="K88" s="25">
        <f>IF(H88&lt;&gt;0,SUM(H$2:H88),0)</f>
        <v>0</v>
      </c>
      <c r="L88" s="25">
        <f>IF(I88&lt;&gt;0,SUM(I$2:I88),0)</f>
        <v>0</v>
      </c>
      <c r="M88" s="25">
        <f>IF(J88&lt;&gt;0,SUM(J$2:J88),0)</f>
        <v>0</v>
      </c>
    </row>
    <row r="89" spans="1:13" x14ac:dyDescent="0.2">
      <c r="A89" s="1" t="s">
        <v>181</v>
      </c>
      <c r="C89" s="2" t="s">
        <v>125</v>
      </c>
      <c r="D89" s="3" t="s">
        <v>199</v>
      </c>
      <c r="E89" s="4" t="s">
        <v>200</v>
      </c>
      <c r="G89" s="25">
        <f t="shared" si="1"/>
        <v>-48493.499999999993</v>
      </c>
      <c r="H89" s="25">
        <f t="array" ref="H89">IF(A89=A88,0,SUM(_xlfn._xlws.FILTER(G89:G109,A89:A109=A89)))</f>
        <v>0</v>
      </c>
      <c r="I89" s="25">
        <f t="array" ref="I89">IFERROR(IF(A89=A88,0,SUM(_xlfn._xlws.FILTER(G89:G109,(A89:A109=A89)*(E89:E109&lt;0)))),0)</f>
        <v>0</v>
      </c>
      <c r="J89" s="25">
        <f t="array" ref="J89">IFERROR(IF(A89=A88,0,SUM(_xlfn._xlws.FILTER(G89:G109,(A89:A109=A89)*(E89:E109&gt;0)))),0)</f>
        <v>0</v>
      </c>
      <c r="K89" s="25">
        <f>IF(H89&lt;&gt;0,SUM(H$2:H89),0)</f>
        <v>0</v>
      </c>
      <c r="L89" s="25">
        <f>IF(I89&lt;&gt;0,SUM(I$2:I89),0)</f>
        <v>0</v>
      </c>
      <c r="M89" s="25">
        <f>IF(J89&lt;&gt;0,SUM(J$2:J89),0)</f>
        <v>0</v>
      </c>
    </row>
    <row r="90" spans="1:13" ht="22" customHeight="1" x14ac:dyDescent="0.3">
      <c r="A90" s="10" t="s">
        <v>201</v>
      </c>
      <c r="C90" s="11" t="s">
        <v>136</v>
      </c>
      <c r="D90" s="12" t="s">
        <v>202</v>
      </c>
      <c r="E90" s="13" t="s">
        <v>203</v>
      </c>
      <c r="G90" s="25">
        <f t="shared" si="1"/>
        <v>22413.84</v>
      </c>
      <c r="H90" s="25">
        <f t="array" ref="H90">IF(A90=A89,0,SUM(_xlfn._xlws.FILTER(G90:G110,A90:A110=A90)))</f>
        <v>-103076.95999999999</v>
      </c>
      <c r="I90" s="25">
        <f t="array" ref="I90">IFERROR(IF(A90=A89,0,SUM(_xlfn._xlws.FILTER(G90:G110,(A90:A110=A90)*(E90:E110&lt;0)))),0)</f>
        <v>0</v>
      </c>
      <c r="J90" s="25">
        <f t="array" ref="J90">IFERROR(IF(A90=A89,0,SUM(_xlfn._xlws.FILTER(G90:G110,(A90:A110=A90)*(E90:E110&gt;0)))),0)</f>
        <v>-103076.95999999999</v>
      </c>
      <c r="K90" s="25">
        <f>IF(H90&lt;&gt;0,SUM(H$2:H90),0)</f>
        <v>1107151.74</v>
      </c>
      <c r="L90" s="25">
        <f>IF(I90&lt;&gt;0,SUM(I$2:I90),0)</f>
        <v>0</v>
      </c>
      <c r="M90" s="25">
        <f>IF(J90&lt;&gt;0,SUM(J$2:J90),0)</f>
        <v>1107151.74</v>
      </c>
    </row>
    <row r="91" spans="1:13" ht="22" customHeight="1" x14ac:dyDescent="0.3">
      <c r="A91" s="10" t="s">
        <v>201</v>
      </c>
      <c r="C91" s="11" t="s">
        <v>69</v>
      </c>
      <c r="D91" s="12" t="s">
        <v>32</v>
      </c>
      <c r="E91" s="13" t="s">
        <v>204</v>
      </c>
      <c r="G91" s="25">
        <f t="shared" si="1"/>
        <v>-54650</v>
      </c>
      <c r="H91" s="25">
        <f t="array" ref="H91">IF(A91=A90,0,SUM(_xlfn._xlws.FILTER(G91:G111,A91:A111=A91)))</f>
        <v>0</v>
      </c>
      <c r="I91" s="25">
        <f t="array" ref="I91">IFERROR(IF(A91=A90,0,SUM(_xlfn._xlws.FILTER(G91:G111,(A91:A111=A91)*(E91:E111&lt;0)))),0)</f>
        <v>0</v>
      </c>
      <c r="J91" s="25">
        <f t="array" ref="J91">IFERROR(IF(A91=A90,0,SUM(_xlfn._xlws.FILTER(G91:G111,(A91:A111=A91)*(E91:E111&gt;0)))),0)</f>
        <v>0</v>
      </c>
      <c r="K91" s="25">
        <f>IF(H91&lt;&gt;0,SUM(H$2:H91),0)</f>
        <v>0</v>
      </c>
      <c r="L91" s="25">
        <f>IF(I91&lt;&gt;0,SUM(I$2:I91),0)</f>
        <v>0</v>
      </c>
      <c r="M91" s="25">
        <f>IF(J91&lt;&gt;0,SUM(J$2:J91),0)</f>
        <v>0</v>
      </c>
    </row>
    <row r="92" spans="1:13" ht="22" customHeight="1" x14ac:dyDescent="0.3">
      <c r="A92" s="10" t="s">
        <v>201</v>
      </c>
      <c r="C92" s="11" t="s">
        <v>122</v>
      </c>
      <c r="D92" s="12" t="s">
        <v>205</v>
      </c>
      <c r="E92" s="13" t="s">
        <v>206</v>
      </c>
      <c r="G92" s="25">
        <f t="shared" si="1"/>
        <v>-41164.799999999996</v>
      </c>
      <c r="H92" s="25">
        <f t="array" ref="H92">IF(A92=A91,0,SUM(_xlfn._xlws.FILTER(G92:G112,A92:A112=A92)))</f>
        <v>0</v>
      </c>
      <c r="I92" s="25">
        <f t="array" ref="I92">IFERROR(IF(A92=A91,0,SUM(_xlfn._xlws.FILTER(G92:G112,(A92:A112=A92)*(E92:E112&lt;0)))),0)</f>
        <v>0</v>
      </c>
      <c r="J92" s="25">
        <f t="array" ref="J92">IFERROR(IF(A92=A91,0,SUM(_xlfn._xlws.FILTER(G92:G112,(A92:A112=A92)*(E92:E112&gt;0)))),0)</f>
        <v>0</v>
      </c>
      <c r="K92" s="25">
        <f>IF(H92&lt;&gt;0,SUM(H$2:H92),0)</f>
        <v>0</v>
      </c>
      <c r="L92" s="25">
        <f>IF(I92&lt;&gt;0,SUM(I$2:I92),0)</f>
        <v>0</v>
      </c>
      <c r="M92" s="25">
        <f>IF(J92&lt;&gt;0,SUM(J$2:J92),0)</f>
        <v>0</v>
      </c>
    </row>
    <row r="93" spans="1:13" ht="22" customHeight="1" x14ac:dyDescent="0.3">
      <c r="A93" s="10" t="s">
        <v>201</v>
      </c>
      <c r="C93" s="11" t="s">
        <v>28</v>
      </c>
      <c r="D93" s="12" t="s">
        <v>207</v>
      </c>
      <c r="E93" s="13" t="s">
        <v>208</v>
      </c>
      <c r="G93" s="25">
        <f t="shared" si="1"/>
        <v>-66132</v>
      </c>
      <c r="H93" s="25">
        <f t="array" ref="H93">IF(A93=A92,0,SUM(_xlfn._xlws.FILTER(G93:G113,A93:A113=A93)))</f>
        <v>0</v>
      </c>
      <c r="I93" s="25">
        <f t="array" ref="I93">IFERROR(IF(A93=A92,0,SUM(_xlfn._xlws.FILTER(G93:G113,(A93:A113=A93)*(E93:E113&lt;0)))),0)</f>
        <v>0</v>
      </c>
      <c r="J93" s="25">
        <f t="array" ref="J93">IFERROR(IF(A93=A92,0,SUM(_xlfn._xlws.FILTER(G93:G113,(A93:A113=A93)*(E93:E113&gt;0)))),0)</f>
        <v>0</v>
      </c>
      <c r="K93" s="25">
        <f>IF(H93&lt;&gt;0,SUM(H$2:H93),0)</f>
        <v>0</v>
      </c>
      <c r="L93" s="25">
        <f>IF(I93&lt;&gt;0,SUM(I$2:I93),0)</f>
        <v>0</v>
      </c>
      <c r="M93" s="25">
        <f>IF(J93&lt;&gt;0,SUM(J$2:J93),0)</f>
        <v>0</v>
      </c>
    </row>
    <row r="94" spans="1:13" ht="22" customHeight="1" x14ac:dyDescent="0.3">
      <c r="A94" s="10" t="s">
        <v>201</v>
      </c>
      <c r="C94" s="11" t="s">
        <v>49</v>
      </c>
      <c r="D94" s="12" t="s">
        <v>120</v>
      </c>
      <c r="E94" s="13" t="s">
        <v>209</v>
      </c>
      <c r="G94" s="25">
        <f t="shared" si="1"/>
        <v>-33400</v>
      </c>
      <c r="H94" s="25">
        <f t="array" ref="H94">IF(A94=A93,0,SUM(_xlfn._xlws.FILTER(G94:G114,A94:A114=A94)))</f>
        <v>0</v>
      </c>
      <c r="I94" s="25">
        <f t="array" ref="I94">IFERROR(IF(A94=A93,0,SUM(_xlfn._xlws.FILTER(G94:G114,(A94:A114=A94)*(E94:E114&lt;0)))),0)</f>
        <v>0</v>
      </c>
      <c r="J94" s="25">
        <f t="array" ref="J94">IFERROR(IF(A94=A93,0,SUM(_xlfn._xlws.FILTER(G94:G114,(A94:A114=A94)*(E94:E114&gt;0)))),0)</f>
        <v>0</v>
      </c>
      <c r="K94" s="25">
        <f>IF(H94&lt;&gt;0,SUM(H$2:H94),0)</f>
        <v>0</v>
      </c>
      <c r="L94" s="25">
        <f>IF(I94&lt;&gt;0,SUM(I$2:I94),0)</f>
        <v>0</v>
      </c>
      <c r="M94" s="25">
        <f>IF(J94&lt;&gt;0,SUM(J$2:J94),0)</f>
        <v>0</v>
      </c>
    </row>
    <row r="95" spans="1:13" ht="22" customHeight="1" x14ac:dyDescent="0.3">
      <c r="A95" s="10" t="s">
        <v>201</v>
      </c>
      <c r="C95" s="11" t="s">
        <v>90</v>
      </c>
      <c r="D95" s="12" t="s">
        <v>100</v>
      </c>
      <c r="E95" s="13" t="s">
        <v>210</v>
      </c>
      <c r="G95" s="25">
        <f t="shared" si="1"/>
        <v>73236</v>
      </c>
      <c r="H95" s="25">
        <f t="array" ref="H95">IF(A95=A94,0,SUM(_xlfn._xlws.FILTER(G95:G115,A95:A115=A95)))</f>
        <v>0</v>
      </c>
      <c r="I95" s="25">
        <f t="array" ref="I95">IFERROR(IF(A95=A94,0,SUM(_xlfn._xlws.FILTER(G95:G115,(A95:A115=A95)*(E95:E115&lt;0)))),0)</f>
        <v>0</v>
      </c>
      <c r="J95" s="25">
        <f t="array" ref="J95">IFERROR(IF(A95=A94,0,SUM(_xlfn._xlws.FILTER(G95:G115,(A95:A115=A95)*(E95:E115&gt;0)))),0)</f>
        <v>0</v>
      </c>
      <c r="K95" s="25">
        <f>IF(H95&lt;&gt;0,SUM(H$2:H95),0)</f>
        <v>0</v>
      </c>
      <c r="L95" s="25">
        <f>IF(I95&lt;&gt;0,SUM(I$2:I95),0)</f>
        <v>0</v>
      </c>
      <c r="M95" s="25">
        <f>IF(J95&lt;&gt;0,SUM(J$2:J95),0)</f>
        <v>0</v>
      </c>
    </row>
    <row r="96" spans="1:13" ht="22" customHeight="1" x14ac:dyDescent="0.3">
      <c r="A96" s="10" t="s">
        <v>201</v>
      </c>
      <c r="C96" s="11" t="s">
        <v>116</v>
      </c>
      <c r="D96" s="12" t="s">
        <v>53</v>
      </c>
      <c r="E96" s="13" t="s">
        <v>211</v>
      </c>
      <c r="G96" s="25">
        <f t="shared" si="1"/>
        <v>-114270</v>
      </c>
      <c r="H96" s="25">
        <f t="array" ref="H96">IF(A96=A95,0,SUM(_xlfn._xlws.FILTER(G96:G116,A96:A116=A96)))</f>
        <v>0</v>
      </c>
      <c r="I96" s="25">
        <f t="array" ref="I96">IFERROR(IF(A96=A95,0,SUM(_xlfn._xlws.FILTER(G96:G116,(A96:A116=A96)*(E96:E116&lt;0)))),0)</f>
        <v>0</v>
      </c>
      <c r="J96" s="25">
        <f t="array" ref="J96">IFERROR(IF(A96=A95,0,SUM(_xlfn._xlws.FILTER(G96:G116,(A96:A116=A96)*(E96:E116&gt;0)))),0)</f>
        <v>0</v>
      </c>
      <c r="K96" s="25">
        <f>IF(H96&lt;&gt;0,SUM(H$2:H96),0)</f>
        <v>0</v>
      </c>
      <c r="L96" s="25">
        <f>IF(I96&lt;&gt;0,SUM(I$2:I96),0)</f>
        <v>0</v>
      </c>
      <c r="M96" s="25">
        <f>IF(J96&lt;&gt;0,SUM(J$2:J96),0)</f>
        <v>0</v>
      </c>
    </row>
    <row r="97" spans="1:13" ht="22" customHeight="1" x14ac:dyDescent="0.3">
      <c r="A97" s="10" t="s">
        <v>201</v>
      </c>
      <c r="C97" s="11" t="s">
        <v>25</v>
      </c>
      <c r="D97" s="12" t="s">
        <v>102</v>
      </c>
      <c r="E97" s="13" t="s">
        <v>212</v>
      </c>
      <c r="G97" s="25">
        <f t="shared" si="1"/>
        <v>68030</v>
      </c>
      <c r="H97" s="25">
        <f t="array" ref="H97">IF(A97=A96,0,SUM(_xlfn._xlws.FILTER(G97:G117,A97:A117=A97)))</f>
        <v>0</v>
      </c>
      <c r="I97" s="25">
        <f t="array" ref="I97">IFERROR(IF(A97=A96,0,SUM(_xlfn._xlws.FILTER(G97:G117,(A97:A117=A97)*(E97:E117&lt;0)))),0)</f>
        <v>0</v>
      </c>
      <c r="J97" s="25">
        <f t="array" ref="J97">IFERROR(IF(A97=A96,0,SUM(_xlfn._xlws.FILTER(G97:G117,(A97:A117=A97)*(E97:E117&gt;0)))),0)</f>
        <v>0</v>
      </c>
      <c r="K97" s="25">
        <f>IF(H97&lt;&gt;0,SUM(H$2:H97),0)</f>
        <v>0</v>
      </c>
      <c r="L97" s="25">
        <f>IF(I97&lt;&gt;0,SUM(I$2:I97),0)</f>
        <v>0</v>
      </c>
      <c r="M97" s="25">
        <f>IF(J97&lt;&gt;0,SUM(J$2:J97),0)</f>
        <v>0</v>
      </c>
    </row>
    <row r="98" spans="1:13" ht="22" customHeight="1" x14ac:dyDescent="0.3">
      <c r="A98" s="10" t="s">
        <v>201</v>
      </c>
      <c r="C98" s="11" t="s">
        <v>185</v>
      </c>
      <c r="D98" s="12" t="s">
        <v>16</v>
      </c>
      <c r="E98" s="13" t="s">
        <v>213</v>
      </c>
      <c r="G98" s="25">
        <f t="shared" si="1"/>
        <v>42860</v>
      </c>
      <c r="H98" s="25">
        <f t="array" ref="H98">IF(A98=A97,0,SUM(_xlfn._xlws.FILTER(G98:G118,A98:A118=A98)))</f>
        <v>0</v>
      </c>
      <c r="I98" s="25">
        <f t="array" ref="I98">IFERROR(IF(A98=A97,0,SUM(_xlfn._xlws.FILTER(G98:G118,(A98:A118=A98)*(E98:E118&lt;0)))),0)</f>
        <v>0</v>
      </c>
      <c r="J98" s="25">
        <f t="array" ref="J98">IFERROR(IF(A98=A97,0,SUM(_xlfn._xlws.FILTER(G98:G118,(A98:A118=A98)*(E98:E118&gt;0)))),0)</f>
        <v>0</v>
      </c>
      <c r="K98" s="25">
        <f>IF(H98&lt;&gt;0,SUM(H$2:H98),0)</f>
        <v>0</v>
      </c>
      <c r="L98" s="25">
        <f>IF(I98&lt;&gt;0,SUM(I$2:I98),0)</f>
        <v>0</v>
      </c>
      <c r="M98" s="25">
        <f>IF(J98&lt;&gt;0,SUM(J$2:J98),0)</f>
        <v>0</v>
      </c>
    </row>
    <row r="99" spans="1:13" ht="22" customHeight="1" x14ac:dyDescent="0.3">
      <c r="A99" s="12" t="s">
        <v>214</v>
      </c>
      <c r="C99" s="11" t="s">
        <v>49</v>
      </c>
      <c r="D99" s="12" t="s">
        <v>50</v>
      </c>
      <c r="E99" s="13" t="s">
        <v>215</v>
      </c>
      <c r="G99" s="25">
        <f t="shared" si="1"/>
        <v>-15100</v>
      </c>
      <c r="H99" s="25">
        <f t="array" ref="H99">IF(A99=A98,0,SUM(_xlfn._xlws.FILTER(G99:G119,A99:A119=A99)))</f>
        <v>-15100</v>
      </c>
      <c r="I99" s="25">
        <f t="array" ref="I99">IFERROR(IF(A99=A98,0,SUM(_xlfn._xlws.FILTER(G99:G119,(A99:A119=A99)*(E99:E119&lt;0)))),0)</f>
        <v>0</v>
      </c>
      <c r="J99" s="25">
        <f t="array" ref="J99">IFERROR(IF(A99=A98,0,SUM(_xlfn._xlws.FILTER(G99:G119,(A99:A119=A99)*(E99:E119&gt;0)))),0)</f>
        <v>-15100</v>
      </c>
      <c r="K99" s="25">
        <f>IF(H99&lt;&gt;0,SUM(H$2:H99),0)</f>
        <v>1092051.74</v>
      </c>
      <c r="L99" s="25">
        <f>IF(I99&lt;&gt;0,SUM(I$2:I99),0)</f>
        <v>0</v>
      </c>
      <c r="M99" s="25">
        <f>IF(J99&lt;&gt;0,SUM(J$2:J99),0)</f>
        <v>1092051.74</v>
      </c>
    </row>
    <row r="100" spans="1:13" x14ac:dyDescent="0.2">
      <c r="A100" s="1" t="s">
        <v>216</v>
      </c>
      <c r="C100" s="2" t="s">
        <v>139</v>
      </c>
      <c r="D100" s="3" t="s">
        <v>50</v>
      </c>
      <c r="E100" s="4" t="s">
        <v>217</v>
      </c>
      <c r="G100" s="25">
        <f t="shared" si="1"/>
        <v>-33700</v>
      </c>
      <c r="H100" s="25">
        <f t="array" ref="H100">IF(A100=A99,0,SUM(_xlfn._xlws.FILTER(G100:G120,A100:A120=A100)))</f>
        <v>-33700</v>
      </c>
      <c r="I100" s="25">
        <f t="array" ref="I100">IFERROR(IF(A100=A99,0,SUM(_xlfn._xlws.FILTER(G100:G120,(A100:A120=A100)*(E100:E120&lt;0)))),0)</f>
        <v>0</v>
      </c>
      <c r="J100" s="25">
        <f t="array" ref="J100">IFERROR(IF(A100=A99,0,SUM(_xlfn._xlws.FILTER(G100:G120,(A100:A120=A100)*(E100:E120&gt;0)))),0)</f>
        <v>-33700</v>
      </c>
      <c r="K100" s="25">
        <f>IF(H100&lt;&gt;0,SUM(H$2:H100),0)</f>
        <v>1058351.74</v>
      </c>
      <c r="L100" s="25">
        <f>IF(I100&lt;&gt;0,SUM(I$2:I100),0)</f>
        <v>0</v>
      </c>
      <c r="M100" s="25">
        <f>IF(J100&lt;&gt;0,SUM(J$2:J100),0)</f>
        <v>1058351.74</v>
      </c>
    </row>
    <row r="101" spans="1:13" x14ac:dyDescent="0.2">
      <c r="A101" s="5" t="s">
        <v>218</v>
      </c>
      <c r="C101" s="9" t="s">
        <v>130</v>
      </c>
      <c r="D101" s="14" t="s">
        <v>120</v>
      </c>
      <c r="E101" s="8" t="s">
        <v>169</v>
      </c>
      <c r="G101" s="25">
        <f t="shared" si="1"/>
        <v>-23000</v>
      </c>
      <c r="H101" s="25">
        <f t="array" ref="H101">IF(A101=A100,0,SUM(_xlfn._xlws.FILTER(G101:G121,A101:A121=A101)))</f>
        <v>-326979</v>
      </c>
      <c r="I101" s="25">
        <f t="array" ref="I101">IFERROR(IF(A101=A100,0,SUM(_xlfn._xlws.FILTER(G101:G121,(A101:A121=A101)*(E101:E121&lt;0)))),0)</f>
        <v>0</v>
      </c>
      <c r="J101" s="25">
        <f t="array" ref="J101">IFERROR(IF(A101=A100,0,SUM(_xlfn._xlws.FILTER(G101:G121,(A101:A121=A101)*(E101:E121&gt;0)))),0)</f>
        <v>-326979</v>
      </c>
      <c r="K101" s="25">
        <f>IF(H101&lt;&gt;0,SUM(H$2:H101),0)</f>
        <v>731372.74</v>
      </c>
      <c r="L101" s="25">
        <f>IF(I101&lt;&gt;0,SUM(I$2:I101),0)</f>
        <v>0</v>
      </c>
      <c r="M101" s="25">
        <f>IF(J101&lt;&gt;0,SUM(J$2:J101),0)</f>
        <v>731372.74</v>
      </c>
    </row>
    <row r="102" spans="1:13" x14ac:dyDescent="0.2">
      <c r="A102" s="5" t="s">
        <v>218</v>
      </c>
      <c r="C102" s="9" t="s">
        <v>219</v>
      </c>
      <c r="D102" s="14" t="s">
        <v>220</v>
      </c>
      <c r="E102" s="8" t="s">
        <v>131</v>
      </c>
      <c r="G102" s="25">
        <f t="shared" si="1"/>
        <v>-33000</v>
      </c>
      <c r="H102" s="25">
        <f t="array" ref="H102">IF(A102=A101,0,SUM(_xlfn._xlws.FILTER(G102:G122,A102:A122=A102)))</f>
        <v>0</v>
      </c>
      <c r="I102" s="25">
        <f t="array" ref="I102">IFERROR(IF(A102=A101,0,SUM(_xlfn._xlws.FILTER(G102:G122,(A102:A122=A102)*(E102:E122&lt;0)))),0)</f>
        <v>0</v>
      </c>
      <c r="J102" s="25">
        <f t="array" ref="J102">IFERROR(IF(A102=A101,0,SUM(_xlfn._xlws.FILTER(G102:G122,(A102:A122=A102)*(E102:E122&gt;0)))),0)</f>
        <v>0</v>
      </c>
      <c r="K102" s="25">
        <f>IF(H102&lt;&gt;0,SUM(H$2:H102),0)</f>
        <v>0</v>
      </c>
      <c r="L102" s="25">
        <f>IF(I102&lt;&gt;0,SUM(I$2:I102),0)</f>
        <v>0</v>
      </c>
      <c r="M102" s="25">
        <f>IF(J102&lt;&gt;0,SUM(J$2:J102),0)</f>
        <v>0</v>
      </c>
    </row>
    <row r="103" spans="1:13" x14ac:dyDescent="0.2">
      <c r="A103" s="5" t="s">
        <v>218</v>
      </c>
      <c r="C103" s="9" t="s">
        <v>28</v>
      </c>
      <c r="D103" s="14" t="s">
        <v>23</v>
      </c>
      <c r="E103" s="8" t="s">
        <v>221</v>
      </c>
      <c r="G103" s="25">
        <f t="shared" si="1"/>
        <v>-87424</v>
      </c>
      <c r="H103" s="25">
        <f t="array" ref="H103">IF(A103=A102,0,SUM(_xlfn._xlws.FILTER(G103:G123,A103:A123=A103)))</f>
        <v>0</v>
      </c>
      <c r="I103" s="25">
        <f t="array" ref="I103">IFERROR(IF(A103=A102,0,SUM(_xlfn._xlws.FILTER(G103:G123,(A103:A123=A103)*(E103:E123&lt;0)))),0)</f>
        <v>0</v>
      </c>
      <c r="J103" s="25">
        <f t="array" ref="J103">IFERROR(IF(A103=A102,0,SUM(_xlfn._xlws.FILTER(G103:G123,(A103:A123=A103)*(E103:E123&gt;0)))),0)</f>
        <v>0</v>
      </c>
      <c r="K103" s="25">
        <f>IF(H103&lt;&gt;0,SUM(H$2:H103),0)</f>
        <v>0</v>
      </c>
      <c r="L103" s="25">
        <f>IF(I103&lt;&gt;0,SUM(I$2:I103),0)</f>
        <v>0</v>
      </c>
      <c r="M103" s="25">
        <f>IF(J103&lt;&gt;0,SUM(J$2:J103),0)</f>
        <v>0</v>
      </c>
    </row>
    <row r="104" spans="1:13" x14ac:dyDescent="0.2">
      <c r="A104" s="5" t="s">
        <v>218</v>
      </c>
      <c r="C104" s="9" t="s">
        <v>139</v>
      </c>
      <c r="D104" s="14" t="s">
        <v>50</v>
      </c>
      <c r="E104" s="8" t="s">
        <v>217</v>
      </c>
      <c r="G104" s="25">
        <f t="shared" si="1"/>
        <v>-33700</v>
      </c>
      <c r="H104" s="25">
        <f t="array" ref="H104">IF(A104=A103,0,SUM(_xlfn._xlws.FILTER(G104:G124,A104:A124=A104)))</f>
        <v>0</v>
      </c>
      <c r="I104" s="25">
        <f t="array" ref="I104">IFERROR(IF(A104=A103,0,SUM(_xlfn._xlws.FILTER(G104:G124,(A104:A124=A104)*(E104:E124&lt;0)))),0)</f>
        <v>0</v>
      </c>
      <c r="J104" s="25">
        <f t="array" ref="J104">IFERROR(IF(A104=A103,0,SUM(_xlfn._xlws.FILTER(G104:G124,(A104:A124=A104)*(E104:E124&gt;0)))),0)</f>
        <v>0</v>
      </c>
      <c r="K104" s="25">
        <f>IF(H104&lt;&gt;0,SUM(H$2:H104),0)</f>
        <v>0</v>
      </c>
      <c r="L104" s="25">
        <f>IF(I104&lt;&gt;0,SUM(I$2:I104),0)</f>
        <v>0</v>
      </c>
      <c r="M104" s="25">
        <f>IF(J104&lt;&gt;0,SUM(J$2:J104),0)</f>
        <v>0</v>
      </c>
    </row>
    <row r="105" spans="1:13" x14ac:dyDescent="0.2">
      <c r="A105" s="5" t="s">
        <v>218</v>
      </c>
      <c r="C105" s="9" t="s">
        <v>222</v>
      </c>
      <c r="D105" s="14" t="s">
        <v>205</v>
      </c>
      <c r="E105" s="8" t="s">
        <v>223</v>
      </c>
      <c r="G105" s="25">
        <f t="shared" si="1"/>
        <v>-112720</v>
      </c>
      <c r="H105" s="25">
        <f t="array" ref="H105">IF(A105=A104,0,SUM(_xlfn._xlws.FILTER(G105:G125,A105:A125=A105)))</f>
        <v>0</v>
      </c>
      <c r="I105" s="25">
        <f t="array" ref="I105">IFERROR(IF(A105=A104,0,SUM(_xlfn._xlws.FILTER(G105:G125,(A105:A125=A105)*(E105:E125&lt;0)))),0)</f>
        <v>0</v>
      </c>
      <c r="J105" s="25">
        <f t="array" ref="J105">IFERROR(IF(A105=A104,0,SUM(_xlfn._xlws.FILTER(G105:G125,(A105:A125=A105)*(E105:E125&gt;0)))),0)</f>
        <v>0</v>
      </c>
      <c r="K105" s="25">
        <f>IF(H105&lt;&gt;0,SUM(H$2:H105),0)</f>
        <v>0</v>
      </c>
      <c r="L105" s="25">
        <f>IF(I105&lt;&gt;0,SUM(I$2:I105),0)</f>
        <v>0</v>
      </c>
      <c r="M105" s="25">
        <f>IF(J105&lt;&gt;0,SUM(J$2:J105),0)</f>
        <v>0</v>
      </c>
    </row>
    <row r="106" spans="1:13" x14ac:dyDescent="0.2">
      <c r="A106" s="5" t="s">
        <v>218</v>
      </c>
      <c r="C106" s="9" t="s">
        <v>130</v>
      </c>
      <c r="D106" s="14" t="s">
        <v>120</v>
      </c>
      <c r="E106" s="8" t="s">
        <v>169</v>
      </c>
      <c r="G106" s="25">
        <f t="shared" si="1"/>
        <v>-23000</v>
      </c>
      <c r="H106" s="25">
        <f t="array" ref="H106">IF(A106=A105,0,SUM(_xlfn._xlws.FILTER(G106:G126,A106:A126=A106)))</f>
        <v>0</v>
      </c>
      <c r="I106" s="25">
        <f t="array" ref="I106">IFERROR(IF(A106=A105,0,SUM(_xlfn._xlws.FILTER(G106:G126,(A106:A126=A106)*(E106:E126&lt;0)))),0)</f>
        <v>0</v>
      </c>
      <c r="J106" s="25">
        <f t="array" ref="J106">IFERROR(IF(A106=A105,0,SUM(_xlfn._xlws.FILTER(G106:G126,(A106:A126=A106)*(E106:E126&gt;0)))),0)</f>
        <v>0</v>
      </c>
      <c r="K106" s="25">
        <f>IF(H106&lt;&gt;0,SUM(H$2:H106),0)</f>
        <v>0</v>
      </c>
      <c r="L106" s="25">
        <f>IF(I106&lt;&gt;0,SUM(I$2:I106),0)</f>
        <v>0</v>
      </c>
      <c r="M106" s="25">
        <f>IF(J106&lt;&gt;0,SUM(J$2:J106),0)</f>
        <v>0</v>
      </c>
    </row>
    <row r="107" spans="1:13" x14ac:dyDescent="0.2">
      <c r="A107" s="5" t="s">
        <v>218</v>
      </c>
      <c r="C107" s="9" t="s">
        <v>19</v>
      </c>
      <c r="D107" s="14" t="s">
        <v>56</v>
      </c>
      <c r="E107" s="8" t="s">
        <v>224</v>
      </c>
      <c r="G107" s="25">
        <f t="shared" si="1"/>
        <v>71720</v>
      </c>
      <c r="H107" s="25">
        <f t="array" ref="H107">IF(A107=A106,0,SUM(_xlfn._xlws.FILTER(G107:G127,A107:A127=A107)))</f>
        <v>0</v>
      </c>
      <c r="I107" s="25">
        <f t="array" ref="I107">IFERROR(IF(A107=A106,0,SUM(_xlfn._xlws.FILTER(G107:G127,(A107:A127=A107)*(E107:E127&lt;0)))),0)</f>
        <v>0</v>
      </c>
      <c r="J107" s="25">
        <f t="array" ref="J107">IFERROR(IF(A107=A106,0,SUM(_xlfn._xlws.FILTER(G107:G127,(A107:A127=A107)*(E107:E127&gt;0)))),0)</f>
        <v>0</v>
      </c>
      <c r="K107" s="25">
        <f>IF(H107&lt;&gt;0,SUM(H$2:H107),0)</f>
        <v>0</v>
      </c>
      <c r="L107" s="25">
        <f>IF(I107&lt;&gt;0,SUM(I$2:I107),0)</f>
        <v>0</v>
      </c>
      <c r="M107" s="25">
        <f>IF(J107&lt;&gt;0,SUM(J$2:J107),0)</f>
        <v>0</v>
      </c>
    </row>
    <row r="108" spans="1:13" x14ac:dyDescent="0.2">
      <c r="A108" s="5" t="s">
        <v>218</v>
      </c>
      <c r="C108" s="9" t="s">
        <v>157</v>
      </c>
      <c r="D108" s="14" t="s">
        <v>225</v>
      </c>
      <c r="E108" s="8" t="s">
        <v>226</v>
      </c>
      <c r="G108" s="25">
        <f t="shared" si="1"/>
        <v>-3255</v>
      </c>
      <c r="H108" s="25">
        <f t="array" ref="H108">IF(A108=A107,0,SUM(_xlfn._xlws.FILTER(G108:G128,A108:A128=A108)))</f>
        <v>0</v>
      </c>
      <c r="I108" s="25">
        <f t="array" ref="I108">IFERROR(IF(A108=A107,0,SUM(_xlfn._xlws.FILTER(G108:G128,(A108:A128=A108)*(E108:E128&lt;0)))),0)</f>
        <v>0</v>
      </c>
      <c r="J108" s="25">
        <f t="array" ref="J108">IFERROR(IF(A108=A107,0,SUM(_xlfn._xlws.FILTER(G108:G128,(A108:A128=A108)*(E108:E128&gt;0)))),0)</f>
        <v>0</v>
      </c>
      <c r="K108" s="25">
        <f>IF(H108&lt;&gt;0,SUM(H$2:H108),0)</f>
        <v>0</v>
      </c>
      <c r="L108" s="25">
        <f>IF(I108&lt;&gt;0,SUM(I$2:I108),0)</f>
        <v>0</v>
      </c>
      <c r="M108" s="25">
        <f>IF(J108&lt;&gt;0,SUM(J$2:J108),0)</f>
        <v>0</v>
      </c>
    </row>
    <row r="109" spans="1:13" x14ac:dyDescent="0.2">
      <c r="A109" s="5" t="s">
        <v>218</v>
      </c>
      <c r="C109" s="9" t="s">
        <v>116</v>
      </c>
      <c r="D109" s="14" t="s">
        <v>20</v>
      </c>
      <c r="E109" s="8" t="s">
        <v>227</v>
      </c>
      <c r="G109" s="25">
        <f t="shared" si="1"/>
        <v>-44910</v>
      </c>
      <c r="H109" s="25">
        <f t="array" ref="H109">IF(A109=A108,0,SUM(_xlfn._xlws.FILTER(G109:G129,A109:A129=A109)))</f>
        <v>0</v>
      </c>
      <c r="I109" s="25">
        <f t="array" ref="I109">IFERROR(IF(A109=A108,0,SUM(_xlfn._xlws.FILTER(G109:G129,(A109:A129=A109)*(E109:E129&lt;0)))),0)</f>
        <v>0</v>
      </c>
      <c r="J109" s="25">
        <f t="array" ref="J109">IFERROR(IF(A109=A108,0,SUM(_xlfn._xlws.FILTER(G109:G129,(A109:A129=A109)*(E109:E129&gt;0)))),0)</f>
        <v>0</v>
      </c>
      <c r="K109" s="25">
        <f>IF(H109&lt;&gt;0,SUM(H$2:H109),0)</f>
        <v>0</v>
      </c>
      <c r="L109" s="25">
        <f>IF(I109&lt;&gt;0,SUM(I$2:I109),0)</f>
        <v>0</v>
      </c>
      <c r="M109" s="25">
        <f>IF(J109&lt;&gt;0,SUM(J$2:J109),0)</f>
        <v>0</v>
      </c>
    </row>
    <row r="110" spans="1:13" x14ac:dyDescent="0.2">
      <c r="A110" s="5" t="s">
        <v>218</v>
      </c>
      <c r="C110" s="9" t="s">
        <v>149</v>
      </c>
      <c r="D110" s="14" t="s">
        <v>82</v>
      </c>
      <c r="E110" s="8" t="s">
        <v>228</v>
      </c>
      <c r="G110" s="25">
        <f t="shared" si="1"/>
        <v>32310</v>
      </c>
      <c r="H110" s="25">
        <f t="array" ref="H110">IF(A110=A109,0,SUM(_xlfn._xlws.FILTER(G110:G130,A110:A130=A110)))</f>
        <v>0</v>
      </c>
      <c r="I110" s="25">
        <f t="array" ref="I110">IFERROR(IF(A110=A109,0,SUM(_xlfn._xlws.FILTER(G110:G130,(A110:A130=A110)*(E110:E130&lt;0)))),0)</f>
        <v>0</v>
      </c>
      <c r="J110" s="25">
        <f t="array" ref="J110">IFERROR(IF(A110=A109,0,SUM(_xlfn._xlws.FILTER(G110:G130,(A110:A130=A110)*(E110:E130&gt;0)))),0)</f>
        <v>0</v>
      </c>
      <c r="K110" s="25">
        <f>IF(H110&lt;&gt;0,SUM(H$2:H110),0)</f>
        <v>0</v>
      </c>
      <c r="L110" s="25">
        <f>IF(I110&lt;&gt;0,SUM(I$2:I110),0)</f>
        <v>0</v>
      </c>
      <c r="M110" s="25">
        <f>IF(J110&lt;&gt;0,SUM(J$2:J110),0)</f>
        <v>0</v>
      </c>
    </row>
    <row r="111" spans="1:13" x14ac:dyDescent="0.2">
      <c r="A111" s="5" t="s">
        <v>218</v>
      </c>
      <c r="C111" s="9" t="s">
        <v>119</v>
      </c>
      <c r="D111" s="14" t="s">
        <v>32</v>
      </c>
      <c r="E111" s="8" t="s">
        <v>229</v>
      </c>
      <c r="G111" s="25">
        <f t="shared" si="1"/>
        <v>22400.000000000004</v>
      </c>
      <c r="H111" s="25">
        <f t="array" ref="H111">IF(A111=A110,0,SUM(_xlfn._xlws.FILTER(G111:G131,A111:A131=A111)))</f>
        <v>0</v>
      </c>
      <c r="I111" s="25">
        <f t="array" ref="I111">IFERROR(IF(A111=A110,0,SUM(_xlfn._xlws.FILTER(G111:G131,(A111:A131=A111)*(E111:E131&lt;0)))),0)</f>
        <v>0</v>
      </c>
      <c r="J111" s="25">
        <f t="array" ref="J111">IFERROR(IF(A111=A110,0,SUM(_xlfn._xlws.FILTER(G111:G131,(A111:A131=A111)*(E111:E131&gt;0)))),0)</f>
        <v>0</v>
      </c>
      <c r="K111" s="25">
        <f>IF(H111&lt;&gt;0,SUM(H$2:H111),0)</f>
        <v>0</v>
      </c>
      <c r="L111" s="25">
        <f>IF(I111&lt;&gt;0,SUM(I$2:I111),0)</f>
        <v>0</v>
      </c>
      <c r="M111" s="25">
        <f>IF(J111&lt;&gt;0,SUM(J$2:J111),0)</f>
        <v>0</v>
      </c>
    </row>
    <row r="112" spans="1:13" x14ac:dyDescent="0.2">
      <c r="A112" s="5" t="s">
        <v>218</v>
      </c>
      <c r="C112" s="9" t="s">
        <v>230</v>
      </c>
      <c r="D112" s="14" t="s">
        <v>50</v>
      </c>
      <c r="E112" s="8" t="s">
        <v>231</v>
      </c>
      <c r="G112" s="25">
        <f t="shared" si="1"/>
        <v>-92400</v>
      </c>
      <c r="H112" s="25">
        <f t="array" ref="H112">IF(A112=A111,0,SUM(_xlfn._xlws.FILTER(G112:G132,A112:A132=A112)))</f>
        <v>0</v>
      </c>
      <c r="I112" s="25">
        <f t="array" ref="I112">IFERROR(IF(A112=A111,0,SUM(_xlfn._xlws.FILTER(G112:G132,(A112:A132=A112)*(E112:E132&lt;0)))),0)</f>
        <v>0</v>
      </c>
      <c r="J112" s="25">
        <f t="array" ref="J112">IFERROR(IF(A112=A111,0,SUM(_xlfn._xlws.FILTER(G112:G132,(A112:A132=A112)*(E112:E132&gt;0)))),0)</f>
        <v>0</v>
      </c>
      <c r="K112" s="25">
        <f>IF(H112&lt;&gt;0,SUM(H$2:H112),0)</f>
        <v>0</v>
      </c>
      <c r="L112" s="25">
        <f>IF(I112&lt;&gt;0,SUM(I$2:I112),0)</f>
        <v>0</v>
      </c>
      <c r="M112" s="25">
        <f>IF(J112&lt;&gt;0,SUM(J$2:J112),0)</f>
        <v>0</v>
      </c>
    </row>
    <row r="113" spans="1:13" x14ac:dyDescent="0.2">
      <c r="A113" s="1" t="s">
        <v>232</v>
      </c>
      <c r="C113" s="2" t="s">
        <v>37</v>
      </c>
      <c r="D113" s="3" t="s">
        <v>110</v>
      </c>
      <c r="E113" s="4" t="s">
        <v>233</v>
      </c>
      <c r="G113" s="25">
        <f t="shared" si="1"/>
        <v>-56875</v>
      </c>
      <c r="H113" s="25">
        <f t="array" ref="H113">IF(A113=A112,0,SUM(_xlfn._xlws.FILTER(G113:G133,A113:A133=A113)))</f>
        <v>-77950.399999999994</v>
      </c>
      <c r="I113" s="25">
        <f t="array" ref="I113">IFERROR(IF(A113=A112,0,SUM(_xlfn._xlws.FILTER(G113:G133,(A113:A133=A113)*(E113:E133&lt;0)))),0)</f>
        <v>0</v>
      </c>
      <c r="J113" s="25">
        <f t="array" ref="J113">IFERROR(IF(A113=A112,0,SUM(_xlfn._xlws.FILTER(G113:G133,(A113:A133=A113)*(E113:E133&gt;0)))),0)</f>
        <v>-77950.399999999994</v>
      </c>
      <c r="K113" s="25">
        <f>IF(H113&lt;&gt;0,SUM(H$2:H113),0)</f>
        <v>653422.34</v>
      </c>
      <c r="L113" s="25">
        <f>IF(I113&lt;&gt;0,SUM(I$2:I113),0)</f>
        <v>0</v>
      </c>
      <c r="M113" s="25">
        <f>IF(J113&lt;&gt;0,SUM(J$2:J113),0)</f>
        <v>653422.34</v>
      </c>
    </row>
    <row r="114" spans="1:13" x14ac:dyDescent="0.2">
      <c r="A114" s="1" t="s">
        <v>232</v>
      </c>
      <c r="C114" s="2" t="s">
        <v>39</v>
      </c>
      <c r="D114" s="3" t="s">
        <v>102</v>
      </c>
      <c r="E114" s="4" t="s">
        <v>234</v>
      </c>
      <c r="G114" s="25">
        <f t="shared" si="1"/>
        <v>64849.999999999993</v>
      </c>
      <c r="H114" s="25">
        <f t="array" ref="H114">IF(A114=A113,0,SUM(_xlfn._xlws.FILTER(G114:G134,A114:A134=A114)))</f>
        <v>0</v>
      </c>
      <c r="I114" s="25">
        <f t="array" ref="I114">IFERROR(IF(A114=A113,0,SUM(_xlfn._xlws.FILTER(G114:G134,(A114:A134=A114)*(E114:E134&lt;0)))),0)</f>
        <v>0</v>
      </c>
      <c r="J114" s="25">
        <f t="array" ref="J114">IFERROR(IF(A114=A113,0,SUM(_xlfn._xlws.FILTER(G114:G134,(A114:A134=A114)*(E114:E134&gt;0)))),0)</f>
        <v>0</v>
      </c>
      <c r="K114" s="25">
        <f>IF(H114&lt;&gt;0,SUM(H$2:H114),0)</f>
        <v>0</v>
      </c>
      <c r="L114" s="25">
        <f>IF(I114&lt;&gt;0,SUM(I$2:I114),0)</f>
        <v>0</v>
      </c>
      <c r="M114" s="25">
        <f>IF(J114&lt;&gt;0,SUM(J$2:J114),0)</f>
        <v>0</v>
      </c>
    </row>
    <row r="115" spans="1:13" x14ac:dyDescent="0.2">
      <c r="A115" s="1" t="s">
        <v>232</v>
      </c>
      <c r="C115" s="2" t="s">
        <v>28</v>
      </c>
      <c r="D115" s="3" t="s">
        <v>85</v>
      </c>
      <c r="E115" s="4" t="s">
        <v>235</v>
      </c>
      <c r="G115" s="25">
        <f t="shared" si="1"/>
        <v>44616</v>
      </c>
      <c r="H115" s="25">
        <f t="array" ref="H115">IF(A115=A114,0,SUM(_xlfn._xlws.FILTER(G115:G135,A115:A135=A115)))</f>
        <v>0</v>
      </c>
      <c r="I115" s="25">
        <f t="array" ref="I115">IFERROR(IF(A115=A114,0,SUM(_xlfn._xlws.FILTER(G115:G135,(A115:A135=A115)*(E115:E135&lt;0)))),0)</f>
        <v>0</v>
      </c>
      <c r="J115" s="25">
        <f t="array" ref="J115">IFERROR(IF(A115=A114,0,SUM(_xlfn._xlws.FILTER(G115:G135,(A115:A135=A115)*(E115:E135&gt;0)))),0)</f>
        <v>0</v>
      </c>
      <c r="K115" s="25">
        <f>IF(H115&lt;&gt;0,SUM(H$2:H115),0)</f>
        <v>0</v>
      </c>
      <c r="L115" s="25">
        <f>IF(I115&lt;&gt;0,SUM(I$2:I115),0)</f>
        <v>0</v>
      </c>
      <c r="M115" s="25">
        <f>IF(J115&lt;&gt;0,SUM(J$2:J115),0)</f>
        <v>0</v>
      </c>
    </row>
    <row r="116" spans="1:13" x14ac:dyDescent="0.2">
      <c r="A116" s="1" t="s">
        <v>232</v>
      </c>
      <c r="C116" s="2" t="s">
        <v>193</v>
      </c>
      <c r="D116" s="3" t="s">
        <v>236</v>
      </c>
      <c r="E116" s="4" t="s">
        <v>237</v>
      </c>
      <c r="G116" s="25">
        <f t="shared" si="1"/>
        <v>-60300</v>
      </c>
      <c r="H116" s="25">
        <f t="array" ref="H116">IF(A116=A115,0,SUM(_xlfn._xlws.FILTER(G116:G136,A116:A136=A116)))</f>
        <v>0</v>
      </c>
      <c r="I116" s="25">
        <f t="array" ref="I116">IFERROR(IF(A116=A115,0,SUM(_xlfn._xlws.FILTER(G116:G136,(A116:A136=A116)*(E116:E136&lt;0)))),0)</f>
        <v>0</v>
      </c>
      <c r="J116" s="25">
        <f t="array" ref="J116">IFERROR(IF(A116=A115,0,SUM(_xlfn._xlws.FILTER(G116:G136,(A116:A136=A116)*(E116:E136&gt;0)))),0)</f>
        <v>0</v>
      </c>
      <c r="K116" s="25">
        <f>IF(H116&lt;&gt;0,SUM(H$2:H116),0)</f>
        <v>0</v>
      </c>
      <c r="L116" s="25">
        <f>IF(I116&lt;&gt;0,SUM(I$2:I116),0)</f>
        <v>0</v>
      </c>
      <c r="M116" s="25">
        <f>IF(J116&lt;&gt;0,SUM(J$2:J116),0)</f>
        <v>0</v>
      </c>
    </row>
    <row r="117" spans="1:13" x14ac:dyDescent="0.2">
      <c r="A117" s="1" t="s">
        <v>232</v>
      </c>
      <c r="C117" s="2" t="s">
        <v>178</v>
      </c>
      <c r="D117" s="3" t="s">
        <v>16</v>
      </c>
      <c r="E117" s="4" t="s">
        <v>238</v>
      </c>
      <c r="G117" s="25">
        <f t="shared" si="1"/>
        <v>13860</v>
      </c>
      <c r="H117" s="25">
        <f t="array" ref="H117">IF(A117=A116,0,SUM(_xlfn._xlws.FILTER(G117:G137,A117:A137=A117)))</f>
        <v>0</v>
      </c>
      <c r="I117" s="25">
        <f t="array" ref="I117">IFERROR(IF(A117=A116,0,SUM(_xlfn._xlws.FILTER(G117:G137,(A117:A137=A117)*(E117:E137&lt;0)))),0)</f>
        <v>0</v>
      </c>
      <c r="J117" s="25">
        <f t="array" ref="J117">IFERROR(IF(A117=A116,0,SUM(_xlfn._xlws.FILTER(G117:G137,(A117:A137=A117)*(E117:E137&gt;0)))),0)</f>
        <v>0</v>
      </c>
      <c r="K117" s="25">
        <f>IF(H117&lt;&gt;0,SUM(H$2:H117),0)</f>
        <v>0</v>
      </c>
      <c r="L117" s="25">
        <f>IF(I117&lt;&gt;0,SUM(I$2:I117),0)</f>
        <v>0</v>
      </c>
      <c r="M117" s="25">
        <f>IF(J117&lt;&gt;0,SUM(J$2:J117),0)</f>
        <v>0</v>
      </c>
    </row>
    <row r="118" spans="1:13" x14ac:dyDescent="0.2">
      <c r="A118" s="1" t="s">
        <v>232</v>
      </c>
      <c r="C118" s="2" t="s">
        <v>94</v>
      </c>
      <c r="D118" s="3" t="s">
        <v>32</v>
      </c>
      <c r="E118" s="4" t="s">
        <v>239</v>
      </c>
      <c r="G118" s="25">
        <f t="shared" si="1"/>
        <v>-189000</v>
      </c>
      <c r="H118" s="25">
        <f t="array" ref="H118">IF(A118=A117,0,SUM(_xlfn._xlws.FILTER(G118:G138,A118:A138=A118)))</f>
        <v>0</v>
      </c>
      <c r="I118" s="25">
        <f t="array" ref="I118">IFERROR(IF(A118=A117,0,SUM(_xlfn._xlws.FILTER(G118:G138,(A118:A138=A118)*(E118:E138&lt;0)))),0)</f>
        <v>0</v>
      </c>
      <c r="J118" s="25">
        <f t="array" ref="J118">IFERROR(IF(A118=A117,0,SUM(_xlfn._xlws.FILTER(G118:G138,(A118:A138=A118)*(E118:E138&gt;0)))),0)</f>
        <v>0</v>
      </c>
      <c r="K118" s="25">
        <f>IF(H118&lt;&gt;0,SUM(H$2:H118),0)</f>
        <v>0</v>
      </c>
      <c r="L118" s="25">
        <f>IF(I118&lt;&gt;0,SUM(I$2:I118),0)</f>
        <v>0</v>
      </c>
      <c r="M118" s="25">
        <f>IF(J118&lt;&gt;0,SUM(J$2:J118),0)</f>
        <v>0</v>
      </c>
    </row>
    <row r="119" spans="1:13" x14ac:dyDescent="0.2">
      <c r="A119" s="1" t="s">
        <v>232</v>
      </c>
      <c r="C119" s="2" t="s">
        <v>69</v>
      </c>
      <c r="D119" s="3" t="s">
        <v>66</v>
      </c>
      <c r="E119" s="4" t="s">
        <v>240</v>
      </c>
      <c r="G119" s="25">
        <f t="shared" si="1"/>
        <v>-65219.999999999993</v>
      </c>
      <c r="H119" s="25">
        <f t="array" ref="H119">IF(A119=A118,0,SUM(_xlfn._xlws.FILTER(G119:G139,A119:A139=A119)))</f>
        <v>0</v>
      </c>
      <c r="I119" s="25">
        <f t="array" ref="I119">IFERROR(IF(A119=A118,0,SUM(_xlfn._xlws.FILTER(G119:G139,(A119:A139=A119)*(E119:E139&lt;0)))),0)</f>
        <v>0</v>
      </c>
      <c r="J119" s="25">
        <f t="array" ref="J119">IFERROR(IF(A119=A118,0,SUM(_xlfn._xlws.FILTER(G119:G139,(A119:A139=A119)*(E119:E139&gt;0)))),0)</f>
        <v>0</v>
      </c>
      <c r="K119" s="25">
        <f>IF(H119&lt;&gt;0,SUM(H$2:H119),0)</f>
        <v>0</v>
      </c>
      <c r="L119" s="25">
        <f>IF(I119&lt;&gt;0,SUM(I$2:I119),0)</f>
        <v>0</v>
      </c>
      <c r="M119" s="25">
        <f>IF(J119&lt;&gt;0,SUM(J$2:J119),0)</f>
        <v>0</v>
      </c>
    </row>
    <row r="120" spans="1:13" x14ac:dyDescent="0.2">
      <c r="A120" s="1" t="s">
        <v>232</v>
      </c>
      <c r="C120" s="2" t="s">
        <v>61</v>
      </c>
      <c r="D120" s="3" t="s">
        <v>241</v>
      </c>
      <c r="E120" s="4" t="s">
        <v>242</v>
      </c>
      <c r="G120" s="25">
        <f t="shared" si="1"/>
        <v>58749.599999999999</v>
      </c>
      <c r="H120" s="25">
        <f t="array" ref="H120">IF(A120=A119,0,SUM(_xlfn._xlws.FILTER(G120:G140,A120:A140=A120)))</f>
        <v>0</v>
      </c>
      <c r="I120" s="25">
        <f t="array" ref="I120">IFERROR(IF(A120=A119,0,SUM(_xlfn._xlws.FILTER(G120:G140,(A120:A140=A120)*(E120:E140&lt;0)))),0)</f>
        <v>0</v>
      </c>
      <c r="J120" s="25">
        <f t="array" ref="J120">IFERROR(IF(A120=A119,0,SUM(_xlfn._xlws.FILTER(G120:G140,(A120:A140=A120)*(E120:E140&gt;0)))),0)</f>
        <v>0</v>
      </c>
      <c r="K120" s="25">
        <f>IF(H120&lt;&gt;0,SUM(H$2:H120),0)</f>
        <v>0</v>
      </c>
      <c r="L120" s="25">
        <f>IF(I120&lt;&gt;0,SUM(I$2:I120),0)</f>
        <v>0</v>
      </c>
      <c r="M120" s="25">
        <f>IF(J120&lt;&gt;0,SUM(J$2:J120),0)</f>
        <v>0</v>
      </c>
    </row>
    <row r="121" spans="1:13" x14ac:dyDescent="0.2">
      <c r="A121" s="1" t="s">
        <v>232</v>
      </c>
      <c r="C121" s="2" t="s">
        <v>122</v>
      </c>
      <c r="D121" s="3" t="s">
        <v>50</v>
      </c>
      <c r="E121" s="4" t="s">
        <v>243</v>
      </c>
      <c r="G121" s="25">
        <f t="shared" si="1"/>
        <v>59509</v>
      </c>
      <c r="H121" s="25">
        <f t="array" ref="H121">IF(A121=A120,0,SUM(_xlfn._xlws.FILTER(G121:G141,A121:A141=A121)))</f>
        <v>0</v>
      </c>
      <c r="I121" s="25">
        <f t="array" ref="I121">IFERROR(IF(A121=A120,0,SUM(_xlfn._xlws.FILTER(G121:G141,(A121:A141=A121)*(E121:E141&lt;0)))),0)</f>
        <v>0</v>
      </c>
      <c r="J121" s="25">
        <f t="array" ref="J121">IFERROR(IF(A121=A120,0,SUM(_xlfn._xlws.FILTER(G121:G141,(A121:A141=A121)*(E121:E141&gt;0)))),0)</f>
        <v>0</v>
      </c>
      <c r="K121" s="25">
        <f>IF(H121&lt;&gt;0,SUM(H$2:H121),0)</f>
        <v>0</v>
      </c>
      <c r="L121" s="25">
        <f>IF(I121&lt;&gt;0,SUM(I$2:I121),0)</f>
        <v>0</v>
      </c>
      <c r="M121" s="25">
        <f>IF(J121&lt;&gt;0,SUM(J$2:J121),0)</f>
        <v>0</v>
      </c>
    </row>
    <row r="122" spans="1:13" x14ac:dyDescent="0.2">
      <c r="A122" s="1" t="s">
        <v>232</v>
      </c>
      <c r="C122" s="2" t="s">
        <v>171</v>
      </c>
      <c r="D122" s="3" t="s">
        <v>102</v>
      </c>
      <c r="E122" s="4" t="s">
        <v>244</v>
      </c>
      <c r="G122" s="25">
        <f t="shared" si="1"/>
        <v>51860</v>
      </c>
      <c r="H122" s="25">
        <f t="array" ref="H122">IF(A122=A121,0,SUM(_xlfn._xlws.FILTER(G122:G142,A122:A142=A122)))</f>
        <v>0</v>
      </c>
      <c r="I122" s="25">
        <f t="array" ref="I122">IFERROR(IF(A122=A121,0,SUM(_xlfn._xlws.FILTER(G122:G142,(A122:A142=A122)*(E122:E142&lt;0)))),0)</f>
        <v>0</v>
      </c>
      <c r="J122" s="25">
        <f t="array" ref="J122">IFERROR(IF(A122=A121,0,SUM(_xlfn._xlws.FILTER(G122:G142,(A122:A142=A122)*(E122:E142&gt;0)))),0)</f>
        <v>0</v>
      </c>
      <c r="K122" s="25">
        <f>IF(H122&lt;&gt;0,SUM(H$2:H122),0)</f>
        <v>0</v>
      </c>
      <c r="L122" s="25">
        <f>IF(I122&lt;&gt;0,SUM(I$2:I122),0)</f>
        <v>0</v>
      </c>
      <c r="M122" s="25">
        <f>IF(J122&lt;&gt;0,SUM(J$2:J122),0)</f>
        <v>0</v>
      </c>
    </row>
    <row r="123" spans="1:13" x14ac:dyDescent="0.2">
      <c r="A123" s="5" t="s">
        <v>245</v>
      </c>
      <c r="C123" s="9" t="s">
        <v>219</v>
      </c>
      <c r="D123" s="7" t="s">
        <v>246</v>
      </c>
      <c r="E123" s="8" t="s">
        <v>247</v>
      </c>
      <c r="G123" s="25">
        <f t="shared" si="1"/>
        <v>-8497.94</v>
      </c>
      <c r="H123" s="25">
        <f t="array" ref="H123">IF(A123=A122,0,SUM(_xlfn._xlws.FILTER(G123:G143,A123:A143=A123)))</f>
        <v>61602.06</v>
      </c>
      <c r="I123" s="25">
        <f t="array" ref="I123">IFERROR(IF(A123=A122,0,SUM(_xlfn._xlws.FILTER(G123:G143,(A123:A143=A123)*(E123:E143&lt;0)))),0)</f>
        <v>0</v>
      </c>
      <c r="J123" s="25">
        <f t="array" ref="J123">IFERROR(IF(A123=A122,0,SUM(_xlfn._xlws.FILTER(G123:G143,(A123:A143=A123)*(E123:E143&gt;0)))),0)</f>
        <v>61602.06</v>
      </c>
      <c r="K123" s="25">
        <f>IF(H123&lt;&gt;0,SUM(H$2:H123),0)</f>
        <v>715024.39999999991</v>
      </c>
      <c r="L123" s="25">
        <f>IF(I123&lt;&gt;0,SUM(I$2:I123),0)</f>
        <v>0</v>
      </c>
      <c r="M123" s="25">
        <f>IF(J123&lt;&gt;0,SUM(J$2:J123),0)</f>
        <v>715024.39999999991</v>
      </c>
    </row>
    <row r="124" spans="1:13" x14ac:dyDescent="0.2">
      <c r="A124" s="5" t="s">
        <v>245</v>
      </c>
      <c r="C124" s="9" t="s">
        <v>25</v>
      </c>
      <c r="D124" s="7" t="s">
        <v>102</v>
      </c>
      <c r="E124" s="8" t="s">
        <v>248</v>
      </c>
      <c r="G124" s="25">
        <f t="shared" si="1"/>
        <v>70100</v>
      </c>
      <c r="H124" s="25">
        <f t="array" ref="H124">IF(A124=A123,0,SUM(_xlfn._xlws.FILTER(G124:G144,A124:A144=A124)))</f>
        <v>0</v>
      </c>
      <c r="I124" s="25">
        <f t="array" ref="I124">IFERROR(IF(A124=A123,0,SUM(_xlfn._xlws.FILTER(G124:G144,(A124:A144=A124)*(E124:E144&lt;0)))),0)</f>
        <v>0</v>
      </c>
      <c r="J124" s="25">
        <f t="array" ref="J124">IFERROR(IF(A124=A123,0,SUM(_xlfn._xlws.FILTER(G124:G144,(A124:A144=A124)*(E124:E144&gt;0)))),0)</f>
        <v>0</v>
      </c>
      <c r="K124" s="25">
        <f>IF(H124&lt;&gt;0,SUM(H$2:H124),0)</f>
        <v>0</v>
      </c>
      <c r="L124" s="25">
        <f>IF(I124&lt;&gt;0,SUM(I$2:I124),0)</f>
        <v>0</v>
      </c>
      <c r="M124" s="25">
        <f>IF(J124&lt;&gt;0,SUM(J$2:J124),0)</f>
        <v>0</v>
      </c>
    </row>
    <row r="125" spans="1:13" x14ac:dyDescent="0.2">
      <c r="A125" s="1" t="s">
        <v>249</v>
      </c>
      <c r="C125" s="2" t="s">
        <v>116</v>
      </c>
      <c r="D125" s="3" t="s">
        <v>53</v>
      </c>
      <c r="E125" s="4" t="s">
        <v>250</v>
      </c>
      <c r="G125" s="25">
        <f t="shared" si="1"/>
        <v>-107725</v>
      </c>
      <c r="H125" s="25">
        <f t="array" ref="H125">IF(A125=A124,0,SUM(_xlfn._xlws.FILTER(G125:G145,A125:A145=A125)))</f>
        <v>-141378.79999999999</v>
      </c>
      <c r="I125" s="25">
        <f t="array" ref="I125">IFERROR(IF(A125=A124,0,SUM(_xlfn._xlws.FILTER(G125:G145,(A125:A145=A125)*(E125:E145&lt;0)))),0)</f>
        <v>0</v>
      </c>
      <c r="J125" s="25">
        <f t="array" ref="J125">IFERROR(IF(A125=A124,0,SUM(_xlfn._xlws.FILTER(G125:G145,(A125:A145=A125)*(E125:E145&gt;0)))),0)</f>
        <v>-141378.79999999999</v>
      </c>
      <c r="K125" s="25">
        <f>IF(H125&lt;&gt;0,SUM(H$2:H125),0)</f>
        <v>573645.59999999986</v>
      </c>
      <c r="L125" s="25">
        <f>IF(I125&lt;&gt;0,SUM(I$2:I125),0)</f>
        <v>0</v>
      </c>
      <c r="M125" s="25">
        <f>IF(J125&lt;&gt;0,SUM(J$2:J125),0)</f>
        <v>573645.59999999986</v>
      </c>
    </row>
    <row r="126" spans="1:13" x14ac:dyDescent="0.2">
      <c r="A126" s="1" t="s">
        <v>249</v>
      </c>
      <c r="C126" s="2" t="s">
        <v>19</v>
      </c>
      <c r="D126" s="3" t="s">
        <v>56</v>
      </c>
      <c r="E126" s="4" t="s">
        <v>251</v>
      </c>
      <c r="G126" s="25">
        <f t="shared" si="1"/>
        <v>-70660</v>
      </c>
      <c r="H126" s="25">
        <f t="array" ref="H126">IF(A126=A125,0,SUM(_xlfn._xlws.FILTER(G126:G146,A126:A146=A126)))</f>
        <v>0</v>
      </c>
      <c r="I126" s="25">
        <f t="array" ref="I126">IFERROR(IF(A126=A125,0,SUM(_xlfn._xlws.FILTER(G126:G146,(A126:A146=A126)*(E126:E146&lt;0)))),0)</f>
        <v>0</v>
      </c>
      <c r="J126" s="25">
        <f t="array" ref="J126">IFERROR(IF(A126=A125,0,SUM(_xlfn._xlws.FILTER(G126:G146,(A126:A146=A126)*(E126:E146&gt;0)))),0)</f>
        <v>0</v>
      </c>
      <c r="K126" s="25">
        <f>IF(H126&lt;&gt;0,SUM(H$2:H126),0)</f>
        <v>0</v>
      </c>
      <c r="L126" s="25">
        <f>IF(I126&lt;&gt;0,SUM(I$2:I126),0)</f>
        <v>0</v>
      </c>
      <c r="M126" s="25">
        <f>IF(J126&lt;&gt;0,SUM(J$2:J126),0)</f>
        <v>0</v>
      </c>
    </row>
    <row r="127" spans="1:13" x14ac:dyDescent="0.2">
      <c r="A127" s="1" t="s">
        <v>249</v>
      </c>
      <c r="C127" s="2" t="s">
        <v>25</v>
      </c>
      <c r="D127" s="3" t="s">
        <v>102</v>
      </c>
      <c r="E127" s="4" t="s">
        <v>252</v>
      </c>
      <c r="G127" s="25">
        <f t="shared" si="1"/>
        <v>71240</v>
      </c>
      <c r="H127" s="25">
        <f t="array" ref="H127">IF(A127=A126,0,SUM(_xlfn._xlws.FILTER(G127:G147,A127:A147=A127)))</f>
        <v>0</v>
      </c>
      <c r="I127" s="25">
        <f t="array" ref="I127">IFERROR(IF(A127=A126,0,SUM(_xlfn._xlws.FILTER(G127:G147,(A127:A147=A127)*(E127:E147&lt;0)))),0)</f>
        <v>0</v>
      </c>
      <c r="J127" s="25">
        <f t="array" ref="J127">IFERROR(IF(A127=A126,0,SUM(_xlfn._xlws.FILTER(G127:G147,(A127:A147=A127)*(E127:E147&gt;0)))),0)</f>
        <v>0</v>
      </c>
      <c r="K127" s="25">
        <f>IF(H127&lt;&gt;0,SUM(H$2:H127),0)</f>
        <v>0</v>
      </c>
      <c r="L127" s="25">
        <f>IF(I127&lt;&gt;0,SUM(I$2:I127),0)</f>
        <v>0</v>
      </c>
      <c r="M127" s="25">
        <f>IF(J127&lt;&gt;0,SUM(J$2:J127),0)</f>
        <v>0</v>
      </c>
    </row>
    <row r="128" spans="1:13" x14ac:dyDescent="0.2">
      <c r="A128" s="1" t="s">
        <v>249</v>
      </c>
      <c r="C128" s="2" t="s">
        <v>219</v>
      </c>
      <c r="D128" s="3" t="s">
        <v>253</v>
      </c>
      <c r="E128" s="4" t="s">
        <v>131</v>
      </c>
      <c r="G128" s="25">
        <f t="shared" si="1"/>
        <v>-13263.800000000001</v>
      </c>
      <c r="H128" s="25">
        <f t="array" ref="H128">IF(A128=A127,0,SUM(_xlfn._xlws.FILTER(G128:G148,A128:A148=A128)))</f>
        <v>0</v>
      </c>
      <c r="I128" s="25">
        <f t="array" ref="I128">IFERROR(IF(A128=A127,0,SUM(_xlfn._xlws.FILTER(G128:G148,(A128:A148=A128)*(E128:E148&lt;0)))),0)</f>
        <v>0</v>
      </c>
      <c r="J128" s="25">
        <f t="array" ref="J128">IFERROR(IF(A128=A127,0,SUM(_xlfn._xlws.FILTER(G128:G148,(A128:A148=A128)*(E128:E148&gt;0)))),0)</f>
        <v>0</v>
      </c>
      <c r="K128" s="25">
        <f>IF(H128&lt;&gt;0,SUM(H$2:H128),0)</f>
        <v>0</v>
      </c>
      <c r="L128" s="25">
        <f>IF(I128&lt;&gt;0,SUM(I$2:I128),0)</f>
        <v>0</v>
      </c>
      <c r="M128" s="25">
        <f>IF(J128&lt;&gt;0,SUM(J$2:J128),0)</f>
        <v>0</v>
      </c>
    </row>
    <row r="129" spans="1:13" x14ac:dyDescent="0.2">
      <c r="A129" s="1" t="s">
        <v>249</v>
      </c>
      <c r="C129" s="2" t="s">
        <v>254</v>
      </c>
      <c r="D129" s="3" t="s">
        <v>82</v>
      </c>
      <c r="E129" s="4" t="s">
        <v>255</v>
      </c>
      <c r="G129" s="25">
        <f t="shared" si="1"/>
        <v>34950</v>
      </c>
      <c r="H129" s="25">
        <f t="array" ref="H129">IF(A129=A128,0,SUM(_xlfn._xlws.FILTER(G129:G149,A129:A149=A129)))</f>
        <v>0</v>
      </c>
      <c r="I129" s="25">
        <f t="array" ref="I129">IFERROR(IF(A129=A128,0,SUM(_xlfn._xlws.FILTER(G129:G149,(A129:A149=A129)*(E129:E149&lt;0)))),0)</f>
        <v>0</v>
      </c>
      <c r="J129" s="25">
        <f t="array" ref="J129">IFERROR(IF(A129=A128,0,SUM(_xlfn._xlws.FILTER(G129:G149,(A129:A149=A129)*(E129:E149&gt;0)))),0)</f>
        <v>0</v>
      </c>
      <c r="K129" s="25">
        <f>IF(H129&lt;&gt;0,SUM(H$2:H129),0)</f>
        <v>0</v>
      </c>
      <c r="L129" s="25">
        <f>IF(I129&lt;&gt;0,SUM(I$2:I129),0)</f>
        <v>0</v>
      </c>
      <c r="M129" s="25">
        <f>IF(J129&lt;&gt;0,SUM(J$2:J129),0)</f>
        <v>0</v>
      </c>
    </row>
    <row r="130" spans="1:13" x14ac:dyDescent="0.2">
      <c r="A130" s="1" t="s">
        <v>249</v>
      </c>
      <c r="C130" s="2" t="s">
        <v>256</v>
      </c>
      <c r="D130" s="3" t="s">
        <v>46</v>
      </c>
      <c r="E130" s="4" t="s">
        <v>257</v>
      </c>
      <c r="G130" s="25">
        <f t="shared" ref="G130:G193" si="2">D130*E130*IF(OR(C130="IAG",C130="EZJ",C130="AET"),0.01,1)</f>
        <v>-55920</v>
      </c>
      <c r="H130" s="25">
        <f t="array" ref="H130">IF(A130=A129,0,SUM(_xlfn._xlws.FILTER(G130:G150,A130:A150=A130)))</f>
        <v>0</v>
      </c>
      <c r="I130" s="25">
        <f t="array" ref="I130">IFERROR(IF(A130=A129,0,SUM(_xlfn._xlws.FILTER(G130:G150,(A130:A150=A130)*(E130:E150&lt;0)))),0)</f>
        <v>0</v>
      </c>
      <c r="J130" s="25">
        <f t="array" ref="J130">IFERROR(IF(A130=A129,0,SUM(_xlfn._xlws.FILTER(G130:G150,(A130:A150=A130)*(E130:E150&gt;0)))),0)</f>
        <v>0</v>
      </c>
      <c r="K130" s="25">
        <f>IF(H130&lt;&gt;0,SUM(H$2:H130),0)</f>
        <v>0</v>
      </c>
      <c r="L130" s="25">
        <f>IF(I130&lt;&gt;0,SUM(I$2:I130),0)</f>
        <v>0</v>
      </c>
      <c r="M130" s="25">
        <f>IF(J130&lt;&gt;0,SUM(J$2:J130),0)</f>
        <v>0</v>
      </c>
    </row>
    <row r="131" spans="1:13" x14ac:dyDescent="0.2">
      <c r="A131" s="5" t="s">
        <v>258</v>
      </c>
      <c r="C131" s="9" t="s">
        <v>259</v>
      </c>
      <c r="D131" s="7" t="s">
        <v>260</v>
      </c>
      <c r="E131" s="8" t="s">
        <v>261</v>
      </c>
      <c r="G131" s="25">
        <f t="shared" si="2"/>
        <v>137489.46999999997</v>
      </c>
      <c r="H131" s="25">
        <f t="array" ref="H131">IF(A131=A130,0,SUM(_xlfn._xlws.FILTER(G131:G151,A131:A151=A131)))</f>
        <v>360549.81999999995</v>
      </c>
      <c r="I131" s="25">
        <f t="array" ref="I131">IFERROR(IF(A131=A130,0,SUM(_xlfn._xlws.FILTER(G131:G151,(A131:A151=A131)*(E131:E151&lt;0)))),0)</f>
        <v>0</v>
      </c>
      <c r="J131" s="25">
        <f t="array" ref="J131">IFERROR(IF(A131=A130,0,SUM(_xlfn._xlws.FILTER(G131:G151,(A131:A151=A131)*(E131:E151&gt;0)))),0)</f>
        <v>360549.81999999995</v>
      </c>
      <c r="K131" s="25">
        <f>IF(H131&lt;&gt;0,SUM(H$2:H131),0)</f>
        <v>934195.41999999981</v>
      </c>
      <c r="L131" s="25">
        <f>IF(I131&lt;&gt;0,SUM(I$2:I131),0)</f>
        <v>0</v>
      </c>
      <c r="M131" s="25">
        <f>IF(J131&lt;&gt;0,SUM(J$2:J131),0)</f>
        <v>934195.41999999981</v>
      </c>
    </row>
    <row r="132" spans="1:13" x14ac:dyDescent="0.2">
      <c r="A132" s="5" t="s">
        <v>258</v>
      </c>
      <c r="C132" s="9" t="s">
        <v>262</v>
      </c>
      <c r="D132" s="7" t="s">
        <v>260</v>
      </c>
      <c r="E132" s="8" t="s">
        <v>263</v>
      </c>
      <c r="G132" s="25">
        <f t="shared" si="2"/>
        <v>137549.34999999998</v>
      </c>
      <c r="H132" s="25">
        <f t="array" ref="H132">IF(A132=A131,0,SUM(_xlfn._xlws.FILTER(G132:G152,A132:A152=A132)))</f>
        <v>0</v>
      </c>
      <c r="I132" s="25">
        <f t="array" ref="I132">IFERROR(IF(A132=A131,0,SUM(_xlfn._xlws.FILTER(G132:G152,(A132:A152=A132)*(E132:E152&lt;0)))),0)</f>
        <v>0</v>
      </c>
      <c r="J132" s="25">
        <f t="array" ref="J132">IFERROR(IF(A132=A131,0,SUM(_xlfn._xlws.FILTER(G132:G152,(A132:A152=A132)*(E132:E152&gt;0)))),0)</f>
        <v>0</v>
      </c>
      <c r="K132" s="25">
        <f>IF(H132&lt;&gt;0,SUM(H$2:H132),0)</f>
        <v>0</v>
      </c>
      <c r="L132" s="25">
        <f>IF(I132&lt;&gt;0,SUM(I$2:I132),0)</f>
        <v>0</v>
      </c>
      <c r="M132" s="25">
        <f>IF(J132&lt;&gt;0,SUM(J$2:J132),0)</f>
        <v>0</v>
      </c>
    </row>
    <row r="133" spans="1:13" x14ac:dyDescent="0.2">
      <c r="A133" s="5" t="s">
        <v>258</v>
      </c>
      <c r="C133" s="9" t="s">
        <v>155</v>
      </c>
      <c r="D133" s="7" t="s">
        <v>205</v>
      </c>
      <c r="E133" s="8" t="s">
        <v>264</v>
      </c>
      <c r="G133" s="25">
        <f t="shared" si="2"/>
        <v>96720</v>
      </c>
      <c r="H133" s="25">
        <f t="array" ref="H133">IF(A133=A132,0,SUM(_xlfn._xlws.FILTER(G133:G153,A133:A153=A133)))</f>
        <v>0</v>
      </c>
      <c r="I133" s="25">
        <f t="array" ref="I133">IFERROR(IF(A133=A132,0,SUM(_xlfn._xlws.FILTER(G133:G153,(A133:A153=A133)*(E133:E153&lt;0)))),0)</f>
        <v>0</v>
      </c>
      <c r="J133" s="25">
        <f t="array" ref="J133">IFERROR(IF(A133=A132,0,SUM(_xlfn._xlws.FILTER(G133:G153,(A133:A153=A133)*(E133:E153&gt;0)))),0)</f>
        <v>0</v>
      </c>
      <c r="K133" s="25">
        <f>IF(H133&lt;&gt;0,SUM(H$2:H133),0)</f>
        <v>0</v>
      </c>
      <c r="L133" s="25">
        <f>IF(I133&lt;&gt;0,SUM(I$2:I133),0)</f>
        <v>0</v>
      </c>
      <c r="M133" s="25">
        <f>IF(J133&lt;&gt;0,SUM(J$2:J133),0)</f>
        <v>0</v>
      </c>
    </row>
    <row r="134" spans="1:13" x14ac:dyDescent="0.2">
      <c r="A134" s="5" t="s">
        <v>258</v>
      </c>
      <c r="C134" s="9" t="s">
        <v>265</v>
      </c>
      <c r="D134" s="7" t="s">
        <v>266</v>
      </c>
      <c r="E134" s="8" t="s">
        <v>267</v>
      </c>
      <c r="G134" s="25">
        <f t="shared" si="2"/>
        <v>49843.3</v>
      </c>
      <c r="H134" s="25">
        <f t="array" ref="H134">IF(A134=A133,0,SUM(_xlfn._xlws.FILTER(G134:G154,A134:A154=A134)))</f>
        <v>0</v>
      </c>
      <c r="I134" s="25">
        <f t="array" ref="I134">IFERROR(IF(A134=A133,0,SUM(_xlfn._xlws.FILTER(G134:G154,(A134:A154=A134)*(E134:E154&lt;0)))),0)</f>
        <v>0</v>
      </c>
      <c r="J134" s="25">
        <f t="array" ref="J134">IFERROR(IF(A134=A133,0,SUM(_xlfn._xlws.FILTER(G134:G154,(A134:A154=A134)*(E134:E154&gt;0)))),0)</f>
        <v>0</v>
      </c>
      <c r="K134" s="25">
        <f>IF(H134&lt;&gt;0,SUM(H$2:H134),0)</f>
        <v>0</v>
      </c>
      <c r="L134" s="25">
        <f>IF(I134&lt;&gt;0,SUM(I$2:I134),0)</f>
        <v>0</v>
      </c>
      <c r="M134" s="25">
        <f>IF(J134&lt;&gt;0,SUM(J$2:J134),0)</f>
        <v>0</v>
      </c>
    </row>
    <row r="135" spans="1:13" x14ac:dyDescent="0.2">
      <c r="A135" s="5" t="s">
        <v>258</v>
      </c>
      <c r="C135" s="9" t="s">
        <v>190</v>
      </c>
      <c r="D135" s="7" t="s">
        <v>16</v>
      </c>
      <c r="E135" s="8" t="s">
        <v>268</v>
      </c>
      <c r="G135" s="25">
        <f t="shared" si="2"/>
        <v>-87400</v>
      </c>
      <c r="H135" s="25">
        <f t="array" ref="H135">IF(A135=A134,0,SUM(_xlfn._xlws.FILTER(G135:G155,A135:A155=A135)))</f>
        <v>0</v>
      </c>
      <c r="I135" s="25">
        <f t="array" ref="I135">IFERROR(IF(A135=A134,0,SUM(_xlfn._xlws.FILTER(G135:G155,(A135:A155=A135)*(E135:E155&lt;0)))),0)</f>
        <v>0</v>
      </c>
      <c r="J135" s="25">
        <f t="array" ref="J135">IFERROR(IF(A135=A134,0,SUM(_xlfn._xlws.FILTER(G135:G155,(A135:A155=A135)*(E135:E155&gt;0)))),0)</f>
        <v>0</v>
      </c>
      <c r="K135" s="25">
        <f>IF(H135&lt;&gt;0,SUM(H$2:H135),0)</f>
        <v>0</v>
      </c>
      <c r="L135" s="25">
        <f>IF(I135&lt;&gt;0,SUM(I$2:I135),0)</f>
        <v>0</v>
      </c>
      <c r="M135" s="25">
        <f>IF(J135&lt;&gt;0,SUM(J$2:J135),0)</f>
        <v>0</v>
      </c>
    </row>
    <row r="136" spans="1:13" x14ac:dyDescent="0.2">
      <c r="A136" s="5" t="s">
        <v>258</v>
      </c>
      <c r="C136" s="9" t="s">
        <v>113</v>
      </c>
      <c r="D136" s="7" t="s">
        <v>269</v>
      </c>
      <c r="E136" s="8" t="s">
        <v>270</v>
      </c>
      <c r="G136" s="25">
        <f t="shared" si="2"/>
        <v>130232.7</v>
      </c>
      <c r="H136" s="25">
        <f t="array" ref="H136">IF(A136=A135,0,SUM(_xlfn._xlws.FILTER(G136:G156,A136:A156=A136)))</f>
        <v>0</v>
      </c>
      <c r="I136" s="25">
        <f t="array" ref="I136">IFERROR(IF(A136=A135,0,SUM(_xlfn._xlws.FILTER(G136:G156,(A136:A156=A136)*(E136:E156&lt;0)))),0)</f>
        <v>0</v>
      </c>
      <c r="J136" s="25">
        <f t="array" ref="J136">IFERROR(IF(A136=A135,0,SUM(_xlfn._xlws.FILTER(G136:G156,(A136:A156=A136)*(E136:E156&gt;0)))),0)</f>
        <v>0</v>
      </c>
      <c r="K136" s="25">
        <f>IF(H136&lt;&gt;0,SUM(H$2:H136),0)</f>
        <v>0</v>
      </c>
      <c r="L136" s="25">
        <f>IF(I136&lt;&gt;0,SUM(I$2:I136),0)</f>
        <v>0</v>
      </c>
      <c r="M136" s="25">
        <f>IF(J136&lt;&gt;0,SUM(J$2:J136),0)</f>
        <v>0</v>
      </c>
    </row>
    <row r="137" spans="1:13" x14ac:dyDescent="0.2">
      <c r="A137" s="5" t="s">
        <v>258</v>
      </c>
      <c r="C137" s="9" t="s">
        <v>37</v>
      </c>
      <c r="D137" s="7" t="s">
        <v>53</v>
      </c>
      <c r="E137" s="8" t="s">
        <v>271</v>
      </c>
      <c r="G137" s="25">
        <f t="shared" si="2"/>
        <v>-103885</v>
      </c>
      <c r="H137" s="25">
        <f t="array" ref="H137">IF(A137=A136,0,SUM(_xlfn._xlws.FILTER(G137:G157,A137:A157=A137)))</f>
        <v>0</v>
      </c>
      <c r="I137" s="25">
        <f t="array" ref="I137">IFERROR(IF(A137=A136,0,SUM(_xlfn._xlws.FILTER(G137:G157,(A137:A157=A137)*(E137:E157&lt;0)))),0)</f>
        <v>0</v>
      </c>
      <c r="J137" s="25">
        <f t="array" ref="J137">IFERROR(IF(A137=A136,0,SUM(_xlfn._xlws.FILTER(G137:G157,(A137:A157=A137)*(E137:E157&gt;0)))),0)</f>
        <v>0</v>
      </c>
      <c r="K137" s="25">
        <f>IF(H137&lt;&gt;0,SUM(H$2:H137),0)</f>
        <v>0</v>
      </c>
      <c r="L137" s="25">
        <f>IF(I137&lt;&gt;0,SUM(I$2:I137),0)</f>
        <v>0</v>
      </c>
      <c r="M137" s="25">
        <f>IF(J137&lt;&gt;0,SUM(J$2:J137),0)</f>
        <v>0</v>
      </c>
    </row>
    <row r="138" spans="1:13" x14ac:dyDescent="0.2">
      <c r="A138" s="1" t="s">
        <v>272</v>
      </c>
      <c r="C138" s="2" t="s">
        <v>37</v>
      </c>
      <c r="D138" s="3" t="s">
        <v>241</v>
      </c>
      <c r="E138" s="4" t="s">
        <v>273</v>
      </c>
      <c r="G138" s="25">
        <f t="shared" si="2"/>
        <v>-48823.200000000004</v>
      </c>
      <c r="H138" s="25">
        <f t="array" ref="H138">IF(A138=A137,0,SUM(_xlfn._xlws.FILTER(G138:G158,A138:A158=A138)))</f>
        <v>-937167.2</v>
      </c>
      <c r="I138" s="25">
        <f t="array" ref="I138">IFERROR(IF(A138=A137,0,SUM(_xlfn._xlws.FILTER(G138:G158,(A138:A158=A138)*(E138:E158&lt;0)))),0)</f>
        <v>0</v>
      </c>
      <c r="J138" s="25">
        <f t="array" ref="J138">IFERROR(IF(A138=A137,0,SUM(_xlfn._xlws.FILTER(G138:G158,(A138:A158=A138)*(E138:E158&gt;0)))),0)</f>
        <v>-937167.2</v>
      </c>
      <c r="K138" s="25">
        <f>IF(H138&lt;&gt;0,SUM(H$2:H138),0)</f>
        <v>-2971.7800000001444</v>
      </c>
      <c r="L138" s="25">
        <f>IF(I138&lt;&gt;0,SUM(I$2:I138),0)</f>
        <v>0</v>
      </c>
      <c r="M138" s="25">
        <f>IF(J138&lt;&gt;0,SUM(J$2:J138),0)</f>
        <v>-2971.7800000001444</v>
      </c>
    </row>
    <row r="139" spans="1:13" x14ac:dyDescent="0.2">
      <c r="A139" s="1" t="s">
        <v>272</v>
      </c>
      <c r="C139" s="2" t="s">
        <v>94</v>
      </c>
      <c r="D139" s="3" t="s">
        <v>32</v>
      </c>
      <c r="E139" s="4" t="s">
        <v>274</v>
      </c>
      <c r="G139" s="25">
        <f t="shared" si="2"/>
        <v>193450</v>
      </c>
      <c r="H139" s="25">
        <f t="array" ref="H139">IF(A139=A138,0,SUM(_xlfn._xlws.FILTER(G139:G159,A139:A159=A139)))</f>
        <v>0</v>
      </c>
      <c r="I139" s="25">
        <f t="array" ref="I139">IFERROR(IF(A139=A138,0,SUM(_xlfn._xlws.FILTER(G139:G159,(A139:A159=A139)*(E139:E159&lt;0)))),0)</f>
        <v>0</v>
      </c>
      <c r="J139" s="25">
        <f t="array" ref="J139">IFERROR(IF(A139=A138,0,SUM(_xlfn._xlws.FILTER(G139:G159,(A139:A159=A139)*(E139:E159&gt;0)))),0)</f>
        <v>0</v>
      </c>
      <c r="K139" s="25">
        <f>IF(H139&lt;&gt;0,SUM(H$2:H139),0)</f>
        <v>0</v>
      </c>
      <c r="L139" s="25">
        <f>IF(I139&lt;&gt;0,SUM(I$2:I139),0)</f>
        <v>0</v>
      </c>
      <c r="M139" s="25">
        <f>IF(J139&lt;&gt;0,SUM(J$2:J139),0)</f>
        <v>0</v>
      </c>
    </row>
    <row r="140" spans="1:13" x14ac:dyDescent="0.2">
      <c r="A140" s="1" t="s">
        <v>272</v>
      </c>
      <c r="C140" s="2" t="s">
        <v>19</v>
      </c>
      <c r="D140" s="3" t="s">
        <v>100</v>
      </c>
      <c r="E140" s="4" t="s">
        <v>275</v>
      </c>
      <c r="G140" s="25">
        <f t="shared" si="2"/>
        <v>-207270</v>
      </c>
      <c r="H140" s="25">
        <f t="array" ref="H140">IF(A140=A139,0,SUM(_xlfn._xlws.FILTER(G140:G160,A140:A160=A140)))</f>
        <v>0</v>
      </c>
      <c r="I140" s="25">
        <f t="array" ref="I140">IFERROR(IF(A140=A139,0,SUM(_xlfn._xlws.FILTER(G140:G160,(A140:A160=A140)*(E140:E160&lt;0)))),0)</f>
        <v>0</v>
      </c>
      <c r="J140" s="25">
        <f t="array" ref="J140">IFERROR(IF(A140=A139,0,SUM(_xlfn._xlws.FILTER(G140:G160,(A140:A160=A140)*(E140:E160&gt;0)))),0)</f>
        <v>0</v>
      </c>
      <c r="K140" s="25">
        <f>IF(H140&lt;&gt;0,SUM(H$2:H140),0)</f>
        <v>0</v>
      </c>
      <c r="L140" s="25">
        <f>IF(I140&lt;&gt;0,SUM(I$2:I140),0)</f>
        <v>0</v>
      </c>
      <c r="M140" s="25">
        <f>IF(J140&lt;&gt;0,SUM(J$2:J140),0)</f>
        <v>0</v>
      </c>
    </row>
    <row r="141" spans="1:13" x14ac:dyDescent="0.2">
      <c r="A141" s="1" t="s">
        <v>272</v>
      </c>
      <c r="C141" s="2" t="s">
        <v>139</v>
      </c>
      <c r="D141" s="3" t="s">
        <v>220</v>
      </c>
      <c r="E141" s="4" t="s">
        <v>276</v>
      </c>
      <c r="G141" s="25">
        <f t="shared" si="2"/>
        <v>90780</v>
      </c>
      <c r="H141" s="25">
        <f t="array" ref="H141">IF(A141=A140,0,SUM(_xlfn._xlws.FILTER(G141:G161,A141:A161=A141)))</f>
        <v>0</v>
      </c>
      <c r="I141" s="25">
        <f t="array" ref="I141">IFERROR(IF(A141=A140,0,SUM(_xlfn._xlws.FILTER(G141:G161,(A141:A161=A141)*(E141:E161&lt;0)))),0)</f>
        <v>0</v>
      </c>
      <c r="J141" s="25">
        <f t="array" ref="J141">IFERROR(IF(A141=A140,0,SUM(_xlfn._xlws.FILTER(G141:G161,(A141:A161=A141)*(E141:E161&gt;0)))),0)</f>
        <v>0</v>
      </c>
      <c r="K141" s="25">
        <f>IF(H141&lt;&gt;0,SUM(H$2:H141),0)</f>
        <v>0</v>
      </c>
      <c r="L141" s="25">
        <f>IF(I141&lt;&gt;0,SUM(I$2:I141),0)</f>
        <v>0</v>
      </c>
      <c r="M141" s="25">
        <f>IF(J141&lt;&gt;0,SUM(J$2:J141),0)</f>
        <v>0</v>
      </c>
    </row>
    <row r="142" spans="1:13" x14ac:dyDescent="0.2">
      <c r="A142" s="1" t="s">
        <v>272</v>
      </c>
      <c r="C142" s="2" t="s">
        <v>116</v>
      </c>
      <c r="D142" s="3" t="s">
        <v>23</v>
      </c>
      <c r="E142" s="4" t="s">
        <v>277</v>
      </c>
      <c r="G142" s="25">
        <f t="shared" si="2"/>
        <v>-164944</v>
      </c>
      <c r="H142" s="25">
        <f t="array" ref="H142">IF(A142=A141,0,SUM(_xlfn._xlws.FILTER(G142:G162,A142:A162=A142)))</f>
        <v>0</v>
      </c>
      <c r="I142" s="25">
        <f t="array" ref="I142">IFERROR(IF(A142=A141,0,SUM(_xlfn._xlws.FILTER(G142:G162,(A142:A162=A142)*(E142:E162&lt;0)))),0)</f>
        <v>0</v>
      </c>
      <c r="J142" s="25">
        <f t="array" ref="J142">IFERROR(IF(A142=A141,0,SUM(_xlfn._xlws.FILTER(G142:G162,(A142:A162=A142)*(E142:E162&gt;0)))),0)</f>
        <v>0</v>
      </c>
      <c r="K142" s="25">
        <f>IF(H142&lt;&gt;0,SUM(H$2:H142),0)</f>
        <v>0</v>
      </c>
      <c r="L142" s="25">
        <f>IF(I142&lt;&gt;0,SUM(I$2:I142),0)</f>
        <v>0</v>
      </c>
      <c r="M142" s="25">
        <f>IF(J142&lt;&gt;0,SUM(J$2:J142),0)</f>
        <v>0</v>
      </c>
    </row>
    <row r="143" spans="1:13" x14ac:dyDescent="0.2">
      <c r="A143" s="1" t="s">
        <v>272</v>
      </c>
      <c r="C143" s="2" t="s">
        <v>278</v>
      </c>
      <c r="D143" s="3" t="s">
        <v>16</v>
      </c>
      <c r="E143" s="4" t="s">
        <v>279</v>
      </c>
      <c r="G143" s="25">
        <f t="shared" si="2"/>
        <v>-800360</v>
      </c>
      <c r="H143" s="25">
        <f t="array" ref="H143">IF(A143=A142,0,SUM(_xlfn._xlws.FILTER(G143:G163,A143:A163=A143)))</f>
        <v>0</v>
      </c>
      <c r="I143" s="25">
        <f t="array" ref="I143">IFERROR(IF(A143=A142,0,SUM(_xlfn._xlws.FILTER(G143:G163,(A143:A163=A143)*(E143:E163&lt;0)))),0)</f>
        <v>0</v>
      </c>
      <c r="J143" s="25">
        <f t="array" ref="J143">IFERROR(IF(A143=A142,0,SUM(_xlfn._xlws.FILTER(G143:G163,(A143:A163=A143)*(E143:E163&gt;0)))),0)</f>
        <v>0</v>
      </c>
      <c r="K143" s="25">
        <f>IF(H143&lt;&gt;0,SUM(H$2:H143),0)</f>
        <v>0</v>
      </c>
      <c r="L143" s="25">
        <f>IF(I143&lt;&gt;0,SUM(I$2:I143),0)</f>
        <v>0</v>
      </c>
      <c r="M143" s="25">
        <f>IF(J143&lt;&gt;0,SUM(J$2:J143),0)</f>
        <v>0</v>
      </c>
    </row>
    <row r="144" spans="1:13" x14ac:dyDescent="0.2">
      <c r="A144" s="5" t="s">
        <v>280</v>
      </c>
      <c r="C144" s="9" t="s">
        <v>90</v>
      </c>
      <c r="D144" s="7" t="s">
        <v>100</v>
      </c>
      <c r="E144" s="8" t="s">
        <v>281</v>
      </c>
      <c r="G144" s="25">
        <f t="shared" si="2"/>
        <v>-72102</v>
      </c>
      <c r="H144" s="25">
        <f t="array" ref="H144">IF(A144=A143,0,SUM(_xlfn._xlws.FILTER(G144:G164,A144:A164=A144)))</f>
        <v>181652.4</v>
      </c>
      <c r="I144" s="25">
        <f t="array" ref="I144">IFERROR(IF(A144=A143,0,SUM(_xlfn._xlws.FILTER(G144:G164,(A144:A164=A144)*(E144:E164&lt;0)))),0)</f>
        <v>0</v>
      </c>
      <c r="J144" s="25">
        <f t="array" ref="J144">IFERROR(IF(A144=A143,0,SUM(_xlfn._xlws.FILTER(G144:G164,(A144:A164=A144)*(E144:E164&gt;0)))),0)</f>
        <v>181652.4</v>
      </c>
      <c r="K144" s="25">
        <f>IF(H144&lt;&gt;0,SUM(H$2:H144),0)</f>
        <v>178680.61999999985</v>
      </c>
      <c r="L144" s="25">
        <f>IF(I144&lt;&gt;0,SUM(I$2:I144),0)</f>
        <v>0</v>
      </c>
      <c r="M144" s="25">
        <f>IF(J144&lt;&gt;0,SUM(J$2:J144),0)</f>
        <v>178680.61999999985</v>
      </c>
    </row>
    <row r="145" spans="1:13" x14ac:dyDescent="0.2">
      <c r="A145" s="5" t="s">
        <v>280</v>
      </c>
      <c r="C145" s="9" t="s">
        <v>134</v>
      </c>
      <c r="D145" s="7" t="s">
        <v>79</v>
      </c>
      <c r="E145" s="8" t="s">
        <v>282</v>
      </c>
      <c r="G145" s="25">
        <f t="shared" si="2"/>
        <v>-54900</v>
      </c>
      <c r="H145" s="25">
        <f t="array" ref="H145">IF(A145=A144,0,SUM(_xlfn._xlws.FILTER(G145:G165,A145:A165=A145)))</f>
        <v>0</v>
      </c>
      <c r="I145" s="25">
        <f t="array" ref="I145">IFERROR(IF(A145=A144,0,SUM(_xlfn._xlws.FILTER(G145:G165,(A145:A165=A145)*(E145:E165&lt;0)))),0)</f>
        <v>0</v>
      </c>
      <c r="J145" s="25">
        <f t="array" ref="J145">IFERROR(IF(A145=A144,0,SUM(_xlfn._xlws.FILTER(G145:G165,(A145:A165=A145)*(E145:E165&gt;0)))),0)</f>
        <v>0</v>
      </c>
      <c r="K145" s="25">
        <f>IF(H145&lt;&gt;0,SUM(H$2:H145),0)</f>
        <v>0</v>
      </c>
      <c r="L145" s="25">
        <f>IF(I145&lt;&gt;0,SUM(I$2:I145),0)</f>
        <v>0</v>
      </c>
      <c r="M145" s="25">
        <f>IF(J145&lt;&gt;0,SUM(J$2:J145),0)</f>
        <v>0</v>
      </c>
    </row>
    <row r="146" spans="1:13" x14ac:dyDescent="0.2">
      <c r="A146" s="5" t="s">
        <v>280</v>
      </c>
      <c r="C146" s="9" t="s">
        <v>45</v>
      </c>
      <c r="D146" s="7" t="s">
        <v>46</v>
      </c>
      <c r="E146" s="8" t="s">
        <v>283</v>
      </c>
      <c r="G146" s="25">
        <f t="shared" si="2"/>
        <v>81160</v>
      </c>
      <c r="H146" s="25">
        <f t="array" ref="H146">IF(A146=A145,0,SUM(_xlfn._xlws.FILTER(G146:G166,A146:A166=A146)))</f>
        <v>0</v>
      </c>
      <c r="I146" s="25">
        <f t="array" ref="I146">IFERROR(IF(A146=A145,0,SUM(_xlfn._xlws.FILTER(G146:G166,(A146:A166=A146)*(E146:E166&lt;0)))),0)</f>
        <v>0</v>
      </c>
      <c r="J146" s="25">
        <f t="array" ref="J146">IFERROR(IF(A146=A145,0,SUM(_xlfn._xlws.FILTER(G146:G166,(A146:A166=A146)*(E146:E166&gt;0)))),0)</f>
        <v>0</v>
      </c>
      <c r="K146" s="25">
        <f>IF(H146&lt;&gt;0,SUM(H$2:H146),0)</f>
        <v>0</v>
      </c>
      <c r="L146" s="25">
        <f>IF(I146&lt;&gt;0,SUM(I$2:I146),0)</f>
        <v>0</v>
      </c>
      <c r="M146" s="25">
        <f>IF(J146&lt;&gt;0,SUM(J$2:J146),0)</f>
        <v>0</v>
      </c>
    </row>
    <row r="147" spans="1:13" x14ac:dyDescent="0.2">
      <c r="A147" s="5" t="s">
        <v>280</v>
      </c>
      <c r="C147" s="9" t="s">
        <v>72</v>
      </c>
      <c r="D147" s="7" t="s">
        <v>46</v>
      </c>
      <c r="E147" s="8" t="s">
        <v>284</v>
      </c>
      <c r="G147" s="25">
        <f t="shared" si="2"/>
        <v>122080</v>
      </c>
      <c r="H147" s="25">
        <f t="array" ref="H147">IF(A147=A146,0,SUM(_xlfn._xlws.FILTER(G147:G167,A147:A167=A147)))</f>
        <v>0</v>
      </c>
      <c r="I147" s="25">
        <f t="array" ref="I147">IFERROR(IF(A147=A146,0,SUM(_xlfn._xlws.FILTER(G147:G167,(A147:A167=A147)*(E147:E167&lt;0)))),0)</f>
        <v>0</v>
      </c>
      <c r="J147" s="25">
        <f t="array" ref="J147">IFERROR(IF(A147=A146,0,SUM(_xlfn._xlws.FILTER(G147:G167,(A147:A167=A147)*(E147:E167&gt;0)))),0)</f>
        <v>0</v>
      </c>
      <c r="K147" s="25">
        <f>IF(H147&lt;&gt;0,SUM(H$2:H147),0)</f>
        <v>0</v>
      </c>
      <c r="L147" s="25">
        <f>IF(I147&lt;&gt;0,SUM(I$2:I147),0)</f>
        <v>0</v>
      </c>
      <c r="M147" s="25">
        <f>IF(J147&lt;&gt;0,SUM(J$2:J147),0)</f>
        <v>0</v>
      </c>
    </row>
    <row r="148" spans="1:13" x14ac:dyDescent="0.2">
      <c r="A148" s="5" t="s">
        <v>280</v>
      </c>
      <c r="C148" s="9" t="s">
        <v>254</v>
      </c>
      <c r="D148" s="7" t="s">
        <v>266</v>
      </c>
      <c r="E148" s="8" t="s">
        <v>285</v>
      </c>
      <c r="G148" s="25">
        <f t="shared" si="2"/>
        <v>37554.400000000001</v>
      </c>
      <c r="H148" s="25">
        <f t="array" ref="H148">IF(A148=A147,0,SUM(_xlfn._xlws.FILTER(G148:G168,A148:A168=A148)))</f>
        <v>0</v>
      </c>
      <c r="I148" s="25">
        <f t="array" ref="I148">IFERROR(IF(A148=A147,0,SUM(_xlfn._xlws.FILTER(G148:G168,(A148:A168=A148)*(E148:E168&lt;0)))),0)</f>
        <v>0</v>
      </c>
      <c r="J148" s="25">
        <f t="array" ref="J148">IFERROR(IF(A148=A147,0,SUM(_xlfn._xlws.FILTER(G148:G168,(A148:A168=A148)*(E148:E168&gt;0)))),0)</f>
        <v>0</v>
      </c>
      <c r="K148" s="25">
        <f>IF(H148&lt;&gt;0,SUM(H$2:H148),0)</f>
        <v>0</v>
      </c>
      <c r="L148" s="25">
        <f>IF(I148&lt;&gt;0,SUM(I$2:I148),0)</f>
        <v>0</v>
      </c>
      <c r="M148" s="25">
        <f>IF(J148&lt;&gt;0,SUM(J$2:J148),0)</f>
        <v>0</v>
      </c>
    </row>
    <row r="149" spans="1:13" x14ac:dyDescent="0.2">
      <c r="A149" s="5" t="s">
        <v>280</v>
      </c>
      <c r="C149" s="9" t="s">
        <v>65</v>
      </c>
      <c r="D149" s="7" t="s">
        <v>66</v>
      </c>
      <c r="E149" s="8" t="s">
        <v>286</v>
      </c>
      <c r="G149" s="25">
        <f t="shared" si="2"/>
        <v>67860</v>
      </c>
      <c r="H149" s="25">
        <f t="array" ref="H149">IF(A149=A148,0,SUM(_xlfn._xlws.FILTER(G149:G169,A149:A169=A149)))</f>
        <v>0</v>
      </c>
      <c r="I149" s="25">
        <f t="array" ref="I149">IFERROR(IF(A149=A148,0,SUM(_xlfn._xlws.FILTER(G149:G169,(A149:A169=A149)*(E149:E169&lt;0)))),0)</f>
        <v>0</v>
      </c>
      <c r="J149" s="25">
        <f t="array" ref="J149">IFERROR(IF(A149=A148,0,SUM(_xlfn._xlws.FILTER(G149:G169,(A149:A169=A149)*(E149:E169&gt;0)))),0)</f>
        <v>0</v>
      </c>
      <c r="K149" s="25">
        <f>IF(H149&lt;&gt;0,SUM(H$2:H149),0)</f>
        <v>0</v>
      </c>
      <c r="L149" s="25">
        <f>IF(I149&lt;&gt;0,SUM(I$2:I149),0)</f>
        <v>0</v>
      </c>
      <c r="M149" s="25">
        <f>IF(J149&lt;&gt;0,SUM(J$2:J149),0)</f>
        <v>0</v>
      </c>
    </row>
    <row r="150" spans="1:13" x14ac:dyDescent="0.2">
      <c r="A150" s="1" t="s">
        <v>287</v>
      </c>
      <c r="C150" s="2" t="s">
        <v>288</v>
      </c>
      <c r="D150" s="3" t="s">
        <v>32</v>
      </c>
      <c r="E150" s="4" t="s">
        <v>289</v>
      </c>
      <c r="G150" s="25">
        <f t="shared" si="2"/>
        <v>62450</v>
      </c>
      <c r="H150" s="25">
        <f t="array" ref="H150">IF(A150=A149,0,SUM(_xlfn._xlws.FILTER(G150:G170,A150:A170=A150)))</f>
        <v>246702</v>
      </c>
      <c r="I150" s="25">
        <f t="array" ref="I150">IFERROR(IF(A150=A149,0,SUM(_xlfn._xlws.FILTER(G150:G170,(A150:A170=A150)*(E150:E170&lt;0)))),0)</f>
        <v>0</v>
      </c>
      <c r="J150" s="25">
        <f t="array" ref="J150">IFERROR(IF(A150=A149,0,SUM(_xlfn._xlws.FILTER(G150:G170,(A150:A170=A150)*(E150:E170&gt;0)))),0)</f>
        <v>246702</v>
      </c>
      <c r="K150" s="25">
        <f>IF(H150&lt;&gt;0,SUM(H$2:H150),0)</f>
        <v>425382.61999999988</v>
      </c>
      <c r="L150" s="25">
        <f>IF(I150&lt;&gt;0,SUM(I$2:I150),0)</f>
        <v>0</v>
      </c>
      <c r="M150" s="25">
        <f>IF(J150&lt;&gt;0,SUM(J$2:J150),0)</f>
        <v>425382.61999999988</v>
      </c>
    </row>
    <row r="151" spans="1:13" x14ac:dyDescent="0.2">
      <c r="A151" s="1" t="s">
        <v>287</v>
      </c>
      <c r="C151" s="2" t="s">
        <v>69</v>
      </c>
      <c r="D151" s="3" t="s">
        <v>66</v>
      </c>
      <c r="E151" s="4" t="s">
        <v>290</v>
      </c>
      <c r="G151" s="25">
        <f t="shared" si="2"/>
        <v>68520</v>
      </c>
      <c r="H151" s="25">
        <f t="array" ref="H151">IF(A151=A150,0,SUM(_xlfn._xlws.FILTER(G151:G171,A151:A171=A151)))</f>
        <v>0</v>
      </c>
      <c r="I151" s="25">
        <f t="array" ref="I151">IFERROR(IF(A151=A150,0,SUM(_xlfn._xlws.FILTER(G151:G171,(A151:A171=A151)*(E151:E171&lt;0)))),0)</f>
        <v>0</v>
      </c>
      <c r="J151" s="25">
        <f t="array" ref="J151">IFERROR(IF(A151=A150,0,SUM(_xlfn._xlws.FILTER(G151:G171,(A151:A171=A151)*(E151:E171&gt;0)))),0)</f>
        <v>0</v>
      </c>
      <c r="K151" s="25">
        <f>IF(H151&lt;&gt;0,SUM(H$2:H151),0)</f>
        <v>0</v>
      </c>
      <c r="L151" s="25">
        <f>IF(I151&lt;&gt;0,SUM(I$2:I151),0)</f>
        <v>0</v>
      </c>
      <c r="M151" s="25">
        <f>IF(J151&lt;&gt;0,SUM(J$2:J151),0)</f>
        <v>0</v>
      </c>
    </row>
    <row r="152" spans="1:13" x14ac:dyDescent="0.2">
      <c r="A152" s="1" t="s">
        <v>287</v>
      </c>
      <c r="C152" s="2" t="s">
        <v>148</v>
      </c>
      <c r="D152" s="3" t="s">
        <v>291</v>
      </c>
      <c r="E152" s="4" t="s">
        <v>292</v>
      </c>
      <c r="G152" s="25">
        <f t="shared" si="2"/>
        <v>15504.999999999998</v>
      </c>
      <c r="H152" s="25">
        <f t="array" ref="H152">IF(A152=A151,0,SUM(_xlfn._xlws.FILTER(G152:G172,A152:A172=A152)))</f>
        <v>0</v>
      </c>
      <c r="I152" s="25">
        <f t="array" ref="I152">IFERROR(IF(A152=A151,0,SUM(_xlfn._xlws.FILTER(G152:G172,(A152:A172=A152)*(E152:E172&lt;0)))),0)</f>
        <v>0</v>
      </c>
      <c r="J152" s="25">
        <f t="array" ref="J152">IFERROR(IF(A152=A151,0,SUM(_xlfn._xlws.FILTER(G152:G172,(A152:A172=A152)*(E152:E172&gt;0)))),0)</f>
        <v>0</v>
      </c>
      <c r="K152" s="25">
        <f>IF(H152&lt;&gt;0,SUM(H$2:H152),0)</f>
        <v>0</v>
      </c>
      <c r="L152" s="25">
        <f>IF(I152&lt;&gt;0,SUM(I$2:I152),0)</f>
        <v>0</v>
      </c>
      <c r="M152" s="25">
        <f>IF(J152&lt;&gt;0,SUM(J$2:J152),0)</f>
        <v>0</v>
      </c>
    </row>
    <row r="153" spans="1:13" x14ac:dyDescent="0.2">
      <c r="A153" s="1" t="s">
        <v>287</v>
      </c>
      <c r="C153" s="2" t="s">
        <v>139</v>
      </c>
      <c r="D153" s="3" t="s">
        <v>220</v>
      </c>
      <c r="E153" s="4" t="s">
        <v>293</v>
      </c>
      <c r="G153" s="25">
        <f t="shared" si="2"/>
        <v>100227</v>
      </c>
      <c r="H153" s="25">
        <f t="array" ref="H153">IF(A153=A152,0,SUM(_xlfn._xlws.FILTER(G153:G173,A153:A173=A153)))</f>
        <v>0</v>
      </c>
      <c r="I153" s="25">
        <f t="array" ref="I153">IFERROR(IF(A153=A152,0,SUM(_xlfn._xlws.FILTER(G153:G173,(A153:A173=A153)*(E153:E173&lt;0)))),0)</f>
        <v>0</v>
      </c>
      <c r="J153" s="25">
        <f t="array" ref="J153">IFERROR(IF(A153=A152,0,SUM(_xlfn._xlws.FILTER(G153:G173,(A153:A173=A153)*(E153:E173&gt;0)))),0)</f>
        <v>0</v>
      </c>
      <c r="K153" s="25">
        <f>IF(H153&lt;&gt;0,SUM(H$2:H153),0)</f>
        <v>0</v>
      </c>
      <c r="L153" s="25">
        <f>IF(I153&lt;&gt;0,SUM(I$2:I153),0)</f>
        <v>0</v>
      </c>
      <c r="M153" s="25">
        <f>IF(J153&lt;&gt;0,SUM(J$2:J153),0)</f>
        <v>0</v>
      </c>
    </row>
    <row r="154" spans="1:13" x14ac:dyDescent="0.2">
      <c r="A154" s="5" t="s">
        <v>294</v>
      </c>
      <c r="C154" s="9" t="s">
        <v>130</v>
      </c>
      <c r="D154" s="7" t="s">
        <v>79</v>
      </c>
      <c r="E154" s="8" t="s">
        <v>295</v>
      </c>
      <c r="G154" s="25">
        <f t="shared" si="2"/>
        <v>-18000</v>
      </c>
      <c r="H154" s="25">
        <f t="array" ref="H154">IF(A154=A153,0,SUM(_xlfn._xlws.FILTER(G154:G174,A154:A174=A154)))</f>
        <v>-41258</v>
      </c>
      <c r="I154" s="25">
        <f t="array" ref="I154">IFERROR(IF(A154=A153,0,SUM(_xlfn._xlws.FILTER(G154:G174,(A154:A174=A154)*(E154:E174&lt;0)))),0)</f>
        <v>0</v>
      </c>
      <c r="J154" s="25">
        <f t="array" ref="J154">IFERROR(IF(A154=A153,0,SUM(_xlfn._xlws.FILTER(G154:G174,(A154:A174=A154)*(E154:E174&gt;0)))),0)</f>
        <v>-41258</v>
      </c>
      <c r="K154" s="25">
        <f>IF(H154&lt;&gt;0,SUM(H$2:H154),0)</f>
        <v>384124.61999999988</v>
      </c>
      <c r="L154" s="25">
        <f>IF(I154&lt;&gt;0,SUM(I$2:I154),0)</f>
        <v>0</v>
      </c>
      <c r="M154" s="25">
        <f>IF(J154&lt;&gt;0,SUM(J$2:J154),0)</f>
        <v>384124.61999999988</v>
      </c>
    </row>
    <row r="155" spans="1:13" x14ac:dyDescent="0.2">
      <c r="A155" s="5" t="s">
        <v>294</v>
      </c>
      <c r="C155" s="9" t="s">
        <v>139</v>
      </c>
      <c r="D155" s="7" t="s">
        <v>50</v>
      </c>
      <c r="E155" s="8" t="s">
        <v>296</v>
      </c>
      <c r="G155" s="25">
        <f t="shared" si="2"/>
        <v>35143</v>
      </c>
      <c r="H155" s="25">
        <f t="array" ref="H155">IF(A155=A154,0,SUM(_xlfn._xlws.FILTER(G155:G175,A155:A175=A155)))</f>
        <v>0</v>
      </c>
      <c r="I155" s="25">
        <f t="array" ref="I155">IFERROR(IF(A155=A154,0,SUM(_xlfn._xlws.FILTER(G155:G175,(A155:A175=A155)*(E155:E175&lt;0)))),0)</f>
        <v>0</v>
      </c>
      <c r="J155" s="25">
        <f t="array" ref="J155">IFERROR(IF(A155=A154,0,SUM(_xlfn._xlws.FILTER(G155:G175,(A155:A175=A155)*(E155:E175&gt;0)))),0)</f>
        <v>0</v>
      </c>
      <c r="K155" s="25">
        <f>IF(H155&lt;&gt;0,SUM(H$2:H155),0)</f>
        <v>0</v>
      </c>
      <c r="L155" s="25">
        <f>IF(I155&lt;&gt;0,SUM(I$2:I155),0)</f>
        <v>0</v>
      </c>
      <c r="M155" s="25">
        <f>IF(J155&lt;&gt;0,SUM(J$2:J155),0)</f>
        <v>0</v>
      </c>
    </row>
    <row r="156" spans="1:13" x14ac:dyDescent="0.2">
      <c r="A156" s="5" t="s">
        <v>294</v>
      </c>
      <c r="C156" s="9" t="s">
        <v>219</v>
      </c>
      <c r="D156" s="7" t="s">
        <v>120</v>
      </c>
      <c r="E156" s="8" t="s">
        <v>297</v>
      </c>
      <c r="G156" s="25">
        <f t="shared" si="2"/>
        <v>-20200</v>
      </c>
      <c r="H156" s="25">
        <f t="array" ref="H156">IF(A156=A155,0,SUM(_xlfn._xlws.FILTER(G156:G176,A156:A176=A156)))</f>
        <v>0</v>
      </c>
      <c r="I156" s="25">
        <f t="array" ref="I156">IFERROR(IF(A156=A155,0,SUM(_xlfn._xlws.FILTER(G156:G176,(A156:A176=A156)*(E156:E176&lt;0)))),0)</f>
        <v>0</v>
      </c>
      <c r="J156" s="25">
        <f t="array" ref="J156">IFERROR(IF(A156=A155,0,SUM(_xlfn._xlws.FILTER(G156:G176,(A156:A176=A156)*(E156:E176&gt;0)))),0)</f>
        <v>0</v>
      </c>
      <c r="K156" s="25">
        <f>IF(H156&lt;&gt;0,SUM(H$2:H156),0)</f>
        <v>0</v>
      </c>
      <c r="L156" s="25">
        <f>IF(I156&lt;&gt;0,SUM(I$2:I156),0)</f>
        <v>0</v>
      </c>
      <c r="M156" s="25">
        <f>IF(J156&lt;&gt;0,SUM(J$2:J156),0)</f>
        <v>0</v>
      </c>
    </row>
    <row r="157" spans="1:13" x14ac:dyDescent="0.2">
      <c r="A157" s="5" t="s">
        <v>294</v>
      </c>
      <c r="C157" s="9" t="s">
        <v>63</v>
      </c>
      <c r="D157" s="7" t="s">
        <v>92</v>
      </c>
      <c r="E157" s="8" t="s">
        <v>298</v>
      </c>
      <c r="G157" s="25">
        <f t="shared" si="2"/>
        <v>-102531</v>
      </c>
      <c r="H157" s="25">
        <f t="array" ref="H157">IF(A157=A156,0,SUM(_xlfn._xlws.FILTER(G157:G177,A157:A177=A157)))</f>
        <v>0</v>
      </c>
      <c r="I157" s="25">
        <f t="array" ref="I157">IFERROR(IF(A157=A156,0,SUM(_xlfn._xlws.FILTER(G157:G177,(A157:A177=A157)*(E157:E177&lt;0)))),0)</f>
        <v>0</v>
      </c>
      <c r="J157" s="25">
        <f t="array" ref="J157">IFERROR(IF(A157=A156,0,SUM(_xlfn._xlws.FILTER(G157:G177,(A157:A177=A157)*(E157:E177&gt;0)))),0)</f>
        <v>0</v>
      </c>
      <c r="K157" s="25">
        <f>IF(H157&lt;&gt;0,SUM(H$2:H157),0)</f>
        <v>0</v>
      </c>
      <c r="L157" s="25">
        <f>IF(I157&lt;&gt;0,SUM(I$2:I157),0)</f>
        <v>0</v>
      </c>
      <c r="M157" s="25">
        <f>IF(J157&lt;&gt;0,SUM(J$2:J157),0)</f>
        <v>0</v>
      </c>
    </row>
    <row r="158" spans="1:13" x14ac:dyDescent="0.2">
      <c r="A158" s="5" t="s">
        <v>294</v>
      </c>
      <c r="C158" s="9" t="s">
        <v>39</v>
      </c>
      <c r="D158" s="7" t="s">
        <v>102</v>
      </c>
      <c r="E158" s="8" t="s">
        <v>299</v>
      </c>
      <c r="G158" s="25">
        <f t="shared" si="2"/>
        <v>64330</v>
      </c>
      <c r="H158" s="25">
        <f t="array" ref="H158">IF(A158=A157,0,SUM(_xlfn._xlws.FILTER(G158:G178,A158:A178=A158)))</f>
        <v>0</v>
      </c>
      <c r="I158" s="25">
        <f t="array" ref="I158">IFERROR(IF(A158=A157,0,SUM(_xlfn._xlws.FILTER(G158:G178,(A158:A178=A158)*(E158:E178&lt;0)))),0)</f>
        <v>0</v>
      </c>
      <c r="J158" s="25">
        <f t="array" ref="J158">IFERROR(IF(A158=A157,0,SUM(_xlfn._xlws.FILTER(G158:G178,(A158:A178=A158)*(E158:E178&gt;0)))),0)</f>
        <v>0</v>
      </c>
      <c r="K158" s="25">
        <f>IF(H158&lt;&gt;0,SUM(H$2:H158),0)</f>
        <v>0</v>
      </c>
      <c r="L158" s="25">
        <f>IF(I158&lt;&gt;0,SUM(I$2:I158),0)</f>
        <v>0</v>
      </c>
      <c r="M158" s="25">
        <f>IF(J158&lt;&gt;0,SUM(J$2:J158),0)</f>
        <v>0</v>
      </c>
    </row>
    <row r="159" spans="1:13" x14ac:dyDescent="0.2">
      <c r="A159" s="1" t="s">
        <v>300</v>
      </c>
      <c r="C159" s="2" t="s">
        <v>139</v>
      </c>
      <c r="D159" s="3" t="s">
        <v>120</v>
      </c>
      <c r="E159" s="4" t="s">
        <v>301</v>
      </c>
      <c r="G159" s="25">
        <f t="shared" si="2"/>
        <v>68805.999999999985</v>
      </c>
      <c r="H159" s="25">
        <f t="array" ref="H159">IF(A159=A158,0,SUM(_xlfn._xlws.FILTER(G159:G179,A159:A179=A159)))</f>
        <v>186421.2</v>
      </c>
      <c r="I159" s="25">
        <f t="array" ref="I159">IFERROR(IF(A159=A158,0,SUM(_xlfn._xlws.FILTER(G159:G179,(A159:A179=A159)*(E159:E179&lt;0)))),0)</f>
        <v>0</v>
      </c>
      <c r="J159" s="25">
        <f t="array" ref="J159">IFERROR(IF(A159=A158,0,SUM(_xlfn._xlws.FILTER(G159:G179,(A159:A179=A159)*(E159:E179&gt;0)))),0)</f>
        <v>186421.2</v>
      </c>
      <c r="K159" s="25">
        <f>IF(H159&lt;&gt;0,SUM(H$2:H159),0)</f>
        <v>570545.81999999983</v>
      </c>
      <c r="L159" s="25">
        <f>IF(I159&lt;&gt;0,SUM(I$2:I159),0)</f>
        <v>0</v>
      </c>
      <c r="M159" s="25">
        <f>IF(J159&lt;&gt;0,SUM(J$2:J159),0)</f>
        <v>570545.81999999983</v>
      </c>
    </row>
    <row r="160" spans="1:13" x14ac:dyDescent="0.2">
      <c r="A160" s="1" t="s">
        <v>300</v>
      </c>
      <c r="C160" s="2" t="s">
        <v>278</v>
      </c>
      <c r="D160" s="3" t="s">
        <v>20</v>
      </c>
      <c r="E160" s="4" t="s">
        <v>302</v>
      </c>
      <c r="G160" s="25">
        <f t="shared" si="2"/>
        <v>-79068</v>
      </c>
      <c r="H160" s="25">
        <f t="array" ref="H160">IF(A160=A159,0,SUM(_xlfn._xlws.FILTER(G160:G180,A160:A180=A160)))</f>
        <v>0</v>
      </c>
      <c r="I160" s="25">
        <f t="array" ref="I160">IFERROR(IF(A160=A159,0,SUM(_xlfn._xlws.FILTER(G160:G180,(A160:A180=A160)*(E160:E180&lt;0)))),0)</f>
        <v>0</v>
      </c>
      <c r="J160" s="25">
        <f t="array" ref="J160">IFERROR(IF(A160=A159,0,SUM(_xlfn._xlws.FILTER(G160:G180,(A160:A180=A160)*(E160:E180&gt;0)))),0)</f>
        <v>0</v>
      </c>
      <c r="K160" s="25">
        <f>IF(H160&lt;&gt;0,SUM(H$2:H160),0)</f>
        <v>0</v>
      </c>
      <c r="L160" s="25">
        <f>IF(I160&lt;&gt;0,SUM(I$2:I160),0)</f>
        <v>0</v>
      </c>
      <c r="M160" s="25">
        <f>IF(J160&lt;&gt;0,SUM(J$2:J160),0)</f>
        <v>0</v>
      </c>
    </row>
    <row r="161" spans="1:13" x14ac:dyDescent="0.2">
      <c r="A161" s="1" t="s">
        <v>300</v>
      </c>
      <c r="C161" s="2" t="s">
        <v>303</v>
      </c>
      <c r="D161" s="3" t="s">
        <v>20</v>
      </c>
      <c r="E161" s="4" t="s">
        <v>304</v>
      </c>
      <c r="G161" s="25">
        <f t="shared" si="2"/>
        <v>196522</v>
      </c>
      <c r="H161" s="25">
        <f t="array" ref="H161">IF(A161=A160,0,SUM(_xlfn._xlws.FILTER(G161:G181,A161:A181=A161)))</f>
        <v>0</v>
      </c>
      <c r="I161" s="25">
        <f t="array" ref="I161">IFERROR(IF(A161=A160,0,SUM(_xlfn._xlws.FILTER(G161:G181,(A161:A181=A161)*(E161:E181&lt;0)))),0)</f>
        <v>0</v>
      </c>
      <c r="J161" s="25">
        <f t="array" ref="J161">IFERROR(IF(A161=A160,0,SUM(_xlfn._xlws.FILTER(G161:G181,(A161:A181=A161)*(E161:E181&gt;0)))),0)</f>
        <v>0</v>
      </c>
      <c r="K161" s="25">
        <f>IF(H161&lt;&gt;0,SUM(H$2:H161),0)</f>
        <v>0</v>
      </c>
      <c r="L161" s="25">
        <f>IF(I161&lt;&gt;0,SUM(I$2:I161),0)</f>
        <v>0</v>
      </c>
      <c r="M161" s="25">
        <f>IF(J161&lt;&gt;0,SUM(J$2:J161),0)</f>
        <v>0</v>
      </c>
    </row>
    <row r="162" spans="1:13" x14ac:dyDescent="0.2">
      <c r="A162" s="1" t="s">
        <v>300</v>
      </c>
      <c r="C162" s="2" t="s">
        <v>305</v>
      </c>
      <c r="D162" s="3" t="s">
        <v>225</v>
      </c>
      <c r="E162" s="4" t="s">
        <v>306</v>
      </c>
      <c r="G162" s="25">
        <f t="shared" si="2"/>
        <v>-26460</v>
      </c>
      <c r="H162" s="25">
        <f t="array" ref="H162">IF(A162=A161,0,SUM(_xlfn._xlws.FILTER(G162:G182,A162:A182=A162)))</f>
        <v>0</v>
      </c>
      <c r="I162" s="25">
        <f t="array" ref="I162">IFERROR(IF(A162=A161,0,SUM(_xlfn._xlws.FILTER(G162:G182,(A162:A182=A162)*(E162:E182&lt;0)))),0)</f>
        <v>0</v>
      </c>
      <c r="J162" s="25">
        <f t="array" ref="J162">IFERROR(IF(A162=A161,0,SUM(_xlfn._xlws.FILTER(G162:G182,(A162:A182=A162)*(E162:E182&gt;0)))),0)</f>
        <v>0</v>
      </c>
      <c r="K162" s="25">
        <f>IF(H162&lt;&gt;0,SUM(H$2:H162),0)</f>
        <v>0</v>
      </c>
      <c r="L162" s="25">
        <f>IF(I162&lt;&gt;0,SUM(I$2:I162),0)</f>
        <v>0</v>
      </c>
      <c r="M162" s="25">
        <f>IF(J162&lt;&gt;0,SUM(J$2:J162),0)</f>
        <v>0</v>
      </c>
    </row>
    <row r="163" spans="1:13" x14ac:dyDescent="0.2">
      <c r="A163" s="1" t="s">
        <v>300</v>
      </c>
      <c r="C163" s="2" t="s">
        <v>94</v>
      </c>
      <c r="D163" s="3" t="s">
        <v>307</v>
      </c>
      <c r="E163" s="4" t="s">
        <v>308</v>
      </c>
      <c r="G163" s="25">
        <f t="shared" si="2"/>
        <v>39283.199999999997</v>
      </c>
      <c r="H163" s="25">
        <f t="array" ref="H163">IF(A163=A162,0,SUM(_xlfn._xlws.FILTER(G163:G183,A163:A183=A163)))</f>
        <v>0</v>
      </c>
      <c r="I163" s="25">
        <f t="array" ref="I163">IFERROR(IF(A163=A162,0,SUM(_xlfn._xlws.FILTER(G163:G183,(A163:A183=A163)*(E163:E183&lt;0)))),0)</f>
        <v>0</v>
      </c>
      <c r="J163" s="25">
        <f t="array" ref="J163">IFERROR(IF(A163=A162,0,SUM(_xlfn._xlws.FILTER(G163:G183,(A163:A183=A163)*(E163:E183&gt;0)))),0)</f>
        <v>0</v>
      </c>
      <c r="K163" s="25">
        <f>IF(H163&lt;&gt;0,SUM(H$2:H163),0)</f>
        <v>0</v>
      </c>
      <c r="L163" s="25">
        <f>IF(I163&lt;&gt;0,SUM(I$2:I163),0)</f>
        <v>0</v>
      </c>
      <c r="M163" s="25">
        <f>IF(J163&lt;&gt;0,SUM(J$2:J163),0)</f>
        <v>0</v>
      </c>
    </row>
    <row r="164" spans="1:13" x14ac:dyDescent="0.2">
      <c r="A164" s="1" t="s">
        <v>300</v>
      </c>
      <c r="C164" s="2" t="s">
        <v>65</v>
      </c>
      <c r="D164" s="3" t="s">
        <v>46</v>
      </c>
      <c r="E164" s="4" t="s">
        <v>309</v>
      </c>
      <c r="G164" s="25">
        <f t="shared" si="2"/>
        <v>46200</v>
      </c>
      <c r="H164" s="25">
        <f t="array" ref="H164">IF(A164=A163,0,SUM(_xlfn._xlws.FILTER(G164:G184,A164:A184=A164)))</f>
        <v>0</v>
      </c>
      <c r="I164" s="25">
        <f t="array" ref="I164">IFERROR(IF(A164=A163,0,SUM(_xlfn._xlws.FILTER(G164:G184,(A164:A184=A164)*(E164:E184&lt;0)))),0)</f>
        <v>0</v>
      </c>
      <c r="J164" s="25">
        <f t="array" ref="J164">IFERROR(IF(A164=A163,0,SUM(_xlfn._xlws.FILTER(G164:G184,(A164:A184=A164)*(E164:E184&gt;0)))),0)</f>
        <v>0</v>
      </c>
      <c r="K164" s="25">
        <f>IF(H164&lt;&gt;0,SUM(H$2:H164),0)</f>
        <v>0</v>
      </c>
      <c r="L164" s="25">
        <f>IF(I164&lt;&gt;0,SUM(I$2:I164),0)</f>
        <v>0</v>
      </c>
      <c r="M164" s="25">
        <f>IF(J164&lt;&gt;0,SUM(J$2:J164),0)</f>
        <v>0</v>
      </c>
    </row>
    <row r="165" spans="1:13" x14ac:dyDescent="0.2">
      <c r="A165" s="1" t="s">
        <v>300</v>
      </c>
      <c r="C165" s="2" t="s">
        <v>49</v>
      </c>
      <c r="D165" s="3" t="s">
        <v>120</v>
      </c>
      <c r="E165" s="4" t="s">
        <v>310</v>
      </c>
      <c r="G165" s="25">
        <f t="shared" si="2"/>
        <v>-23200</v>
      </c>
      <c r="H165" s="25">
        <f t="array" ref="H165">IF(A165=A164,0,SUM(_xlfn._xlws.FILTER(G165:G185,A165:A185=A165)))</f>
        <v>0</v>
      </c>
      <c r="I165" s="25">
        <f t="array" ref="I165">IFERROR(IF(A165=A164,0,SUM(_xlfn._xlws.FILTER(G165:G185,(A165:A185=A165)*(E165:E185&lt;0)))),0)</f>
        <v>0</v>
      </c>
      <c r="J165" s="25">
        <f t="array" ref="J165">IFERROR(IF(A165=A164,0,SUM(_xlfn._xlws.FILTER(G165:G185,(A165:A185=A165)*(E165:E185&gt;0)))),0)</f>
        <v>0</v>
      </c>
      <c r="K165" s="25">
        <f>IF(H165&lt;&gt;0,SUM(H$2:H165),0)</f>
        <v>0</v>
      </c>
      <c r="L165" s="25">
        <f>IF(I165&lt;&gt;0,SUM(I$2:I165),0)</f>
        <v>0</v>
      </c>
      <c r="M165" s="25">
        <f>IF(J165&lt;&gt;0,SUM(J$2:J165),0)</f>
        <v>0</v>
      </c>
    </row>
    <row r="166" spans="1:13" x14ac:dyDescent="0.2">
      <c r="A166" s="1" t="s">
        <v>300</v>
      </c>
      <c r="C166" s="2" t="s">
        <v>22</v>
      </c>
      <c r="D166" s="3" t="s">
        <v>20</v>
      </c>
      <c r="E166" s="4" t="s">
        <v>311</v>
      </c>
      <c r="G166" s="25">
        <f t="shared" si="2"/>
        <v>-35662</v>
      </c>
      <c r="H166" s="25">
        <f t="array" ref="H166">IF(A166=A165,0,SUM(_xlfn._xlws.FILTER(G166:G186,A166:A186=A166)))</f>
        <v>0</v>
      </c>
      <c r="I166" s="25">
        <f t="array" ref="I166">IFERROR(IF(A166=A165,0,SUM(_xlfn._xlws.FILTER(G166:G186,(A166:A186=A166)*(E166:E186&lt;0)))),0)</f>
        <v>0</v>
      </c>
      <c r="J166" s="25">
        <f t="array" ref="J166">IFERROR(IF(A166=A165,0,SUM(_xlfn._xlws.FILTER(G166:G186,(A166:A186=A166)*(E166:E186&gt;0)))),0)</f>
        <v>0</v>
      </c>
      <c r="K166" s="25">
        <f>IF(H166&lt;&gt;0,SUM(H$2:H166),0)</f>
        <v>0</v>
      </c>
      <c r="L166" s="25">
        <f>IF(I166&lt;&gt;0,SUM(I$2:I166),0)</f>
        <v>0</v>
      </c>
      <c r="M166" s="25">
        <f>IF(J166&lt;&gt;0,SUM(J$2:J166),0)</f>
        <v>0</v>
      </c>
    </row>
    <row r="167" spans="1:13" x14ac:dyDescent="0.2">
      <c r="A167" s="5" t="s">
        <v>312</v>
      </c>
      <c r="C167" s="9" t="s">
        <v>34</v>
      </c>
      <c r="D167" s="7" t="s">
        <v>23</v>
      </c>
      <c r="E167" s="8" t="s">
        <v>313</v>
      </c>
      <c r="G167" s="25">
        <f t="shared" si="2"/>
        <v>-62136</v>
      </c>
      <c r="H167" s="25">
        <f t="array" ref="H167">IF(A167=A166,0,SUM(_xlfn._xlws.FILTER(G167:G187,A167:A187=A167)))</f>
        <v>-62136</v>
      </c>
      <c r="I167" s="25">
        <f t="array" ref="I167">IFERROR(IF(A167=A166,0,SUM(_xlfn._xlws.FILTER(G167:G187,(A167:A187=A167)*(E167:E187&lt;0)))),0)</f>
        <v>0</v>
      </c>
      <c r="J167" s="25">
        <f t="array" ref="J167">IFERROR(IF(A167=A166,0,SUM(_xlfn._xlws.FILTER(G167:G187,(A167:A187=A167)*(E167:E187&gt;0)))),0)</f>
        <v>-62136</v>
      </c>
      <c r="K167" s="25">
        <f>IF(H167&lt;&gt;0,SUM(H$2:H167),0)</f>
        <v>508409.81999999983</v>
      </c>
      <c r="L167" s="25">
        <f>IF(I167&lt;&gt;0,SUM(I$2:I167),0)</f>
        <v>0</v>
      </c>
      <c r="M167" s="25">
        <f>IF(J167&lt;&gt;0,SUM(J$2:J167),0)</f>
        <v>508409.81999999983</v>
      </c>
    </row>
    <row r="168" spans="1:13" x14ac:dyDescent="0.2">
      <c r="A168" s="1" t="s">
        <v>314</v>
      </c>
      <c r="C168" s="2" t="s">
        <v>45</v>
      </c>
      <c r="D168" s="3" t="s">
        <v>16</v>
      </c>
      <c r="E168" s="4" t="s">
        <v>315</v>
      </c>
      <c r="G168" s="25">
        <f t="shared" si="2"/>
        <v>-31520</v>
      </c>
      <c r="H168" s="25">
        <f t="array" ref="H168">IF(A168=A167,0,SUM(_xlfn._xlws.FILTER(G168:G188,A168:A188=A168)))</f>
        <v>-31520</v>
      </c>
      <c r="I168" s="25">
        <f t="array" ref="I168">IFERROR(IF(A168=A167,0,SUM(_xlfn._xlws.FILTER(G168:G188,(A168:A188=A168)*(E168:E188&lt;0)))),0)</f>
        <v>0</v>
      </c>
      <c r="J168" s="25">
        <f t="array" ref="J168">IFERROR(IF(A168=A167,0,SUM(_xlfn._xlws.FILTER(G168:G188,(A168:A188=A168)*(E168:E188&gt;0)))),0)</f>
        <v>-31520</v>
      </c>
      <c r="K168" s="25">
        <f>IF(H168&lt;&gt;0,SUM(H$2:H168),0)</f>
        <v>476889.81999999983</v>
      </c>
      <c r="L168" s="25">
        <f>IF(I168&lt;&gt;0,SUM(I$2:I168),0)</f>
        <v>0</v>
      </c>
      <c r="M168" s="25">
        <f>IF(J168&lt;&gt;0,SUM(J$2:J168),0)</f>
        <v>476889.81999999983</v>
      </c>
    </row>
    <row r="169" spans="1:13" x14ac:dyDescent="0.2">
      <c r="A169" s="5" t="s">
        <v>316</v>
      </c>
      <c r="C169" s="9" t="s">
        <v>19</v>
      </c>
      <c r="D169" s="7" t="s">
        <v>100</v>
      </c>
      <c r="E169" s="8" t="s">
        <v>317</v>
      </c>
      <c r="G169" s="25">
        <f t="shared" si="2"/>
        <v>-189840</v>
      </c>
      <c r="H169" s="25">
        <f t="array" ref="H169">IF(A169=A168,0,SUM(_xlfn._xlws.FILTER(G169:G189,A169:A189=A169)))</f>
        <v>-304382.5</v>
      </c>
      <c r="I169" s="25">
        <f t="array" ref="I169">IFERROR(IF(A169=A168,0,SUM(_xlfn._xlws.FILTER(G169:G189,(A169:A189=A169)*(E169:E189&lt;0)))),0)</f>
        <v>0</v>
      </c>
      <c r="J169" s="25">
        <f t="array" ref="J169">IFERROR(IF(A169=A168,0,SUM(_xlfn._xlws.FILTER(G169:G189,(A169:A189=A169)*(E169:E189&gt;0)))),0)</f>
        <v>-304382.5</v>
      </c>
      <c r="K169" s="25">
        <f>IF(H169&lt;&gt;0,SUM(H$2:H169),0)</f>
        <v>172507.31999999983</v>
      </c>
      <c r="L169" s="25">
        <f>IF(I169&lt;&gt;0,SUM(I$2:I169),0)</f>
        <v>0</v>
      </c>
      <c r="M169" s="25">
        <f>IF(J169&lt;&gt;0,SUM(J$2:J169),0)</f>
        <v>172507.31999999983</v>
      </c>
    </row>
    <row r="170" spans="1:13" x14ac:dyDescent="0.2">
      <c r="A170" s="5" t="s">
        <v>316</v>
      </c>
      <c r="C170" s="9" t="s">
        <v>139</v>
      </c>
      <c r="D170" s="7" t="s">
        <v>120</v>
      </c>
      <c r="E170" s="8" t="s">
        <v>318</v>
      </c>
      <c r="G170" s="25">
        <f t="shared" si="2"/>
        <v>-63920</v>
      </c>
      <c r="H170" s="25">
        <f t="array" ref="H170">IF(A170=A169,0,SUM(_xlfn._xlws.FILTER(G170:G190,A170:A190=A170)))</f>
        <v>0</v>
      </c>
      <c r="I170" s="25">
        <f t="array" ref="I170">IFERROR(IF(A170=A169,0,SUM(_xlfn._xlws.FILTER(G170:G190,(A170:A190=A170)*(E170:E190&lt;0)))),0)</f>
        <v>0</v>
      </c>
      <c r="J170" s="25">
        <f t="array" ref="J170">IFERROR(IF(A170=A169,0,SUM(_xlfn._xlws.FILTER(G170:G190,(A170:A190=A170)*(E170:E190&gt;0)))),0)</f>
        <v>0</v>
      </c>
      <c r="K170" s="25">
        <f>IF(H170&lt;&gt;0,SUM(H$2:H170),0)</f>
        <v>0</v>
      </c>
      <c r="L170" s="25">
        <f>IF(I170&lt;&gt;0,SUM(I$2:I170),0)</f>
        <v>0</v>
      </c>
      <c r="M170" s="25">
        <f>IF(J170&lt;&gt;0,SUM(J$2:J170),0)</f>
        <v>0</v>
      </c>
    </row>
    <row r="171" spans="1:13" x14ac:dyDescent="0.2">
      <c r="A171" s="5" t="s">
        <v>316</v>
      </c>
      <c r="C171" s="9" t="s">
        <v>69</v>
      </c>
      <c r="D171" s="7" t="s">
        <v>32</v>
      </c>
      <c r="E171" s="8" t="s">
        <v>319</v>
      </c>
      <c r="G171" s="25">
        <f t="shared" si="2"/>
        <v>59250</v>
      </c>
      <c r="H171" s="25">
        <f t="array" ref="H171">IF(A171=A170,0,SUM(_xlfn._xlws.FILTER(G171:G191,A171:A191=A171)))</f>
        <v>0</v>
      </c>
      <c r="I171" s="25">
        <f t="array" ref="I171">IFERROR(IF(A171=A170,0,SUM(_xlfn._xlws.FILTER(G171:G191,(A171:A191=A171)*(E171:E191&lt;0)))),0)</f>
        <v>0</v>
      </c>
      <c r="J171" s="25">
        <f t="array" ref="J171">IFERROR(IF(A171=A170,0,SUM(_xlfn._xlws.FILTER(G171:G191,(A171:A191=A171)*(E171:E191&gt;0)))),0)</f>
        <v>0</v>
      </c>
      <c r="K171" s="25">
        <f>IF(H171&lt;&gt;0,SUM(H$2:H171),0)</f>
        <v>0</v>
      </c>
      <c r="L171" s="25">
        <f>IF(I171&lt;&gt;0,SUM(I$2:I171),0)</f>
        <v>0</v>
      </c>
      <c r="M171" s="25">
        <f>IF(J171&lt;&gt;0,SUM(J$2:J171),0)</f>
        <v>0</v>
      </c>
    </row>
    <row r="172" spans="1:13" x14ac:dyDescent="0.2">
      <c r="A172" s="5" t="s">
        <v>316</v>
      </c>
      <c r="C172" s="9" t="s">
        <v>320</v>
      </c>
      <c r="D172" s="7" t="s">
        <v>102</v>
      </c>
      <c r="E172" s="8" t="s">
        <v>321</v>
      </c>
      <c r="G172" s="25">
        <f t="shared" si="2"/>
        <v>-61500</v>
      </c>
      <c r="H172" s="25">
        <f t="array" ref="H172">IF(A172=A171,0,SUM(_xlfn._xlws.FILTER(G172:G192,A172:A192=A172)))</f>
        <v>0</v>
      </c>
      <c r="I172" s="25">
        <f t="array" ref="I172">IFERROR(IF(A172=A171,0,SUM(_xlfn._xlws.FILTER(G172:G192,(A172:A192=A172)*(E172:E192&lt;0)))),0)</f>
        <v>0</v>
      </c>
      <c r="J172" s="25">
        <f t="array" ref="J172">IFERROR(IF(A172=A171,0,SUM(_xlfn._xlws.FILTER(G172:G192,(A172:A192=A172)*(E172:E192&gt;0)))),0)</f>
        <v>0</v>
      </c>
      <c r="K172" s="25">
        <f>IF(H172&lt;&gt;0,SUM(H$2:H172),0)</f>
        <v>0</v>
      </c>
      <c r="L172" s="25">
        <f>IF(I172&lt;&gt;0,SUM(I$2:I172),0)</f>
        <v>0</v>
      </c>
      <c r="M172" s="25">
        <f>IF(J172&lt;&gt;0,SUM(J$2:J172),0)</f>
        <v>0</v>
      </c>
    </row>
    <row r="173" spans="1:13" x14ac:dyDescent="0.2">
      <c r="A173" s="5" t="s">
        <v>316</v>
      </c>
      <c r="C173" s="9" t="s">
        <v>109</v>
      </c>
      <c r="D173" s="7" t="s">
        <v>110</v>
      </c>
      <c r="E173" s="8" t="s">
        <v>322</v>
      </c>
      <c r="G173" s="25">
        <f t="shared" si="2"/>
        <v>-48372.5</v>
      </c>
      <c r="H173" s="25">
        <f t="array" ref="H173">IF(A173=A172,0,SUM(_xlfn._xlws.FILTER(G173:G193,A173:A193=A173)))</f>
        <v>0</v>
      </c>
      <c r="I173" s="25">
        <f t="array" ref="I173">IFERROR(IF(A173=A172,0,SUM(_xlfn._xlws.FILTER(G173:G193,(A173:A193=A173)*(E173:E193&lt;0)))),0)</f>
        <v>0</v>
      </c>
      <c r="J173" s="25">
        <f t="array" ref="J173">IFERROR(IF(A173=A172,0,SUM(_xlfn._xlws.FILTER(G173:G193,(A173:A193=A173)*(E173:E193&gt;0)))),0)</f>
        <v>0</v>
      </c>
      <c r="K173" s="25">
        <f>IF(H173&lt;&gt;0,SUM(H$2:H173),0)</f>
        <v>0</v>
      </c>
      <c r="L173" s="25">
        <f>IF(I173&lt;&gt;0,SUM(I$2:I173),0)</f>
        <v>0</v>
      </c>
      <c r="M173" s="25">
        <f>IF(J173&lt;&gt;0,SUM(J$2:J173),0)</f>
        <v>0</v>
      </c>
    </row>
    <row r="174" spans="1:13" x14ac:dyDescent="0.2">
      <c r="A174" s="5" t="s">
        <v>323</v>
      </c>
      <c r="C174" s="2" t="s">
        <v>139</v>
      </c>
      <c r="D174" s="3" t="s">
        <v>120</v>
      </c>
      <c r="E174" s="4" t="s">
        <v>324</v>
      </c>
      <c r="G174" s="25">
        <f t="shared" si="2"/>
        <v>57540</v>
      </c>
      <c r="H174" s="25">
        <f t="array" ref="H174">IF(A174=A173,0,SUM(_xlfn._xlws.FILTER(G174:G194,A174:A194=A174)))</f>
        <v>-4714.5</v>
      </c>
      <c r="I174" s="25">
        <f t="array" ref="I174">IFERROR(IF(A174=A173,0,SUM(_xlfn._xlws.FILTER(G174:G194,(A174:A194=A174)*(E174:E194&lt;0)))),0)</f>
        <v>0</v>
      </c>
      <c r="J174" s="25">
        <f t="array" ref="J174">IFERROR(IF(A174=A173,0,SUM(_xlfn._xlws.FILTER(G174:G194,(A174:A194=A174)*(E174:E194&gt;0)))),0)</f>
        <v>-4714.5</v>
      </c>
      <c r="K174" s="25">
        <f>IF(H174&lt;&gt;0,SUM(H$2:H174),0)</f>
        <v>167792.81999999983</v>
      </c>
      <c r="L174" s="25">
        <f>IF(I174&lt;&gt;0,SUM(I$2:I174),0)</f>
        <v>0</v>
      </c>
      <c r="M174" s="25">
        <f>IF(J174&lt;&gt;0,SUM(J$2:J174),0)</f>
        <v>167792.81999999983</v>
      </c>
    </row>
    <row r="175" spans="1:13" x14ac:dyDescent="0.2">
      <c r="A175" s="1" t="s">
        <v>323</v>
      </c>
      <c r="C175" s="2" t="s">
        <v>43</v>
      </c>
      <c r="D175" s="3" t="s">
        <v>16</v>
      </c>
      <c r="E175" s="4" t="s">
        <v>325</v>
      </c>
      <c r="G175" s="25">
        <f t="shared" si="2"/>
        <v>9800</v>
      </c>
      <c r="H175" s="25">
        <f t="array" ref="H175">IF(A175=A174,0,SUM(_xlfn._xlws.FILTER(G175:G195,A175:A195=A175)))</f>
        <v>0</v>
      </c>
      <c r="I175" s="25">
        <f t="array" ref="I175">IFERROR(IF(A175=A174,0,SUM(_xlfn._xlws.FILTER(G175:G195,(A175:A195=A175)*(E175:E195&lt;0)))),0)</f>
        <v>0</v>
      </c>
      <c r="J175" s="25">
        <f t="array" ref="J175">IFERROR(IF(A175=A174,0,SUM(_xlfn._xlws.FILTER(G175:G195,(A175:A195=A175)*(E175:E195&gt;0)))),0)</f>
        <v>0</v>
      </c>
      <c r="K175" s="25">
        <f>IF(H175&lt;&gt;0,SUM(H$2:H175),0)</f>
        <v>0</v>
      </c>
      <c r="L175" s="25">
        <f>IF(I175&lt;&gt;0,SUM(I$2:I175),0)</f>
        <v>0</v>
      </c>
      <c r="M175" s="25">
        <f>IF(J175&lt;&gt;0,SUM(J$2:J175),0)</f>
        <v>0</v>
      </c>
    </row>
    <row r="176" spans="1:13" x14ac:dyDescent="0.2">
      <c r="A176" s="1" t="s">
        <v>323</v>
      </c>
      <c r="C176" s="2" t="s">
        <v>25</v>
      </c>
      <c r="D176" s="3" t="s">
        <v>102</v>
      </c>
      <c r="E176" s="4" t="s">
        <v>326</v>
      </c>
      <c r="G176" s="25">
        <f t="shared" si="2"/>
        <v>73360</v>
      </c>
      <c r="H176" s="25">
        <f t="array" ref="H176">IF(A176=A175,0,SUM(_xlfn._xlws.FILTER(G176:G196,A176:A196=A176)))</f>
        <v>0</v>
      </c>
      <c r="I176" s="25">
        <f t="array" ref="I176">IFERROR(IF(A176=A175,0,SUM(_xlfn._xlws.FILTER(G176:G196,(A176:A196=A176)*(E176:E196&lt;0)))),0)</f>
        <v>0</v>
      </c>
      <c r="J176" s="25">
        <f t="array" ref="J176">IFERROR(IF(A176=A175,0,SUM(_xlfn._xlws.FILTER(G176:G196,(A176:A196=A176)*(E176:E196&gt;0)))),0)</f>
        <v>0</v>
      </c>
      <c r="K176" s="25">
        <f>IF(H176&lt;&gt;0,SUM(H$2:H176),0)</f>
        <v>0</v>
      </c>
      <c r="L176" s="25">
        <f>IF(I176&lt;&gt;0,SUM(I$2:I176),0)</f>
        <v>0</v>
      </c>
      <c r="M176" s="25">
        <f>IF(J176&lt;&gt;0,SUM(J$2:J176),0)</f>
        <v>0</v>
      </c>
    </row>
    <row r="177" spans="1:13" x14ac:dyDescent="0.2">
      <c r="A177" s="1" t="s">
        <v>323</v>
      </c>
      <c r="C177" s="2" t="s">
        <v>327</v>
      </c>
      <c r="D177" s="3" t="s">
        <v>328</v>
      </c>
      <c r="E177" s="4" t="s">
        <v>329</v>
      </c>
      <c r="G177" s="25">
        <f t="shared" si="2"/>
        <v>-89460</v>
      </c>
      <c r="H177" s="25">
        <f t="array" ref="H177">IF(A177=A176,0,SUM(_xlfn._xlws.FILTER(G177:G197,A177:A197=A177)))</f>
        <v>0</v>
      </c>
      <c r="I177" s="25">
        <f t="array" ref="I177">IFERROR(IF(A177=A176,0,SUM(_xlfn._xlws.FILTER(G177:G197,(A177:A197=A177)*(E177:E197&lt;0)))),0)</f>
        <v>0</v>
      </c>
      <c r="J177" s="25">
        <f t="array" ref="J177">IFERROR(IF(A177=A176,0,SUM(_xlfn._xlws.FILTER(G177:G197,(A177:A197=A177)*(E177:E197&gt;0)))),0)</f>
        <v>0</v>
      </c>
      <c r="K177" s="25">
        <f>IF(H177&lt;&gt;0,SUM(H$2:H177),0)</f>
        <v>0</v>
      </c>
      <c r="L177" s="25">
        <f>IF(I177&lt;&gt;0,SUM(I$2:I177),0)</f>
        <v>0</v>
      </c>
      <c r="M177" s="25">
        <f>IF(J177&lt;&gt;0,SUM(J$2:J177),0)</f>
        <v>0</v>
      </c>
    </row>
    <row r="178" spans="1:13" x14ac:dyDescent="0.2">
      <c r="A178" s="1" t="s">
        <v>323</v>
      </c>
      <c r="C178" s="2" t="s">
        <v>49</v>
      </c>
      <c r="D178" s="3" t="s">
        <v>79</v>
      </c>
      <c r="E178" s="4" t="s">
        <v>330</v>
      </c>
      <c r="G178" s="25">
        <f t="shared" si="2"/>
        <v>-13650</v>
      </c>
      <c r="H178" s="25">
        <f t="array" ref="H178">IF(A178=A177,0,SUM(_xlfn._xlws.FILTER(G178:G198,A178:A198=A178)))</f>
        <v>0</v>
      </c>
      <c r="I178" s="25">
        <f t="array" ref="I178">IFERROR(IF(A178=A177,0,SUM(_xlfn._xlws.FILTER(G178:G198,(A178:A198=A178)*(E178:E198&lt;0)))),0)</f>
        <v>0</v>
      </c>
      <c r="J178" s="25">
        <f t="array" ref="J178">IFERROR(IF(A178=A177,0,SUM(_xlfn._xlws.FILTER(G178:G198,(A178:A198=A178)*(E178:E198&gt;0)))),0)</f>
        <v>0</v>
      </c>
      <c r="K178" s="25">
        <f>IF(H178&lt;&gt;0,SUM(H$2:H178),0)</f>
        <v>0</v>
      </c>
      <c r="L178" s="25">
        <f>IF(I178&lt;&gt;0,SUM(I$2:I178),0)</f>
        <v>0</v>
      </c>
      <c r="M178" s="25">
        <f>IF(J178&lt;&gt;0,SUM(J$2:J178),0)</f>
        <v>0</v>
      </c>
    </row>
    <row r="179" spans="1:13" x14ac:dyDescent="0.2">
      <c r="A179" s="1" t="s">
        <v>323</v>
      </c>
      <c r="C179" s="2" t="s">
        <v>22</v>
      </c>
      <c r="D179" s="3" t="s">
        <v>126</v>
      </c>
      <c r="E179" s="4" t="s">
        <v>331</v>
      </c>
      <c r="G179" s="25">
        <f t="shared" si="2"/>
        <v>-87088.5</v>
      </c>
      <c r="H179" s="25">
        <f t="array" ref="H179">IF(A179=A178,0,SUM(_xlfn._xlws.FILTER(G179:G199,A179:A199=A179)))</f>
        <v>0</v>
      </c>
      <c r="I179" s="25">
        <f t="array" ref="I179">IFERROR(IF(A179=A178,0,SUM(_xlfn._xlws.FILTER(G179:G199,(A179:A199=A179)*(E179:E199&lt;0)))),0)</f>
        <v>0</v>
      </c>
      <c r="J179" s="25">
        <f t="array" ref="J179">IFERROR(IF(A179=A178,0,SUM(_xlfn._xlws.FILTER(G179:G199,(A179:A199=A179)*(E179:E199&gt;0)))),0)</f>
        <v>0</v>
      </c>
      <c r="K179" s="25">
        <f>IF(H179&lt;&gt;0,SUM(H$2:H179),0)</f>
        <v>0</v>
      </c>
      <c r="L179" s="25">
        <f>IF(I179&lt;&gt;0,SUM(I$2:I179),0)</f>
        <v>0</v>
      </c>
      <c r="M179" s="25">
        <f>IF(J179&lt;&gt;0,SUM(J$2:J179),0)</f>
        <v>0</v>
      </c>
    </row>
    <row r="180" spans="1:13" x14ac:dyDescent="0.2">
      <c r="A180" s="1" t="s">
        <v>323</v>
      </c>
      <c r="C180" s="2" t="s">
        <v>125</v>
      </c>
      <c r="D180" s="3" t="s">
        <v>85</v>
      </c>
      <c r="E180" s="4" t="s">
        <v>332</v>
      </c>
      <c r="G180" s="25">
        <f t="shared" si="2"/>
        <v>-52016</v>
      </c>
      <c r="H180" s="25">
        <f t="array" ref="H180">IF(A180=A179,0,SUM(_xlfn._xlws.FILTER(G180:G200,A180:A200=A180)))</f>
        <v>0</v>
      </c>
      <c r="I180" s="25">
        <f t="array" ref="I180">IFERROR(IF(A180=A179,0,SUM(_xlfn._xlws.FILTER(G180:G200,(A180:A200=A180)*(E180:E200&lt;0)))),0)</f>
        <v>0</v>
      </c>
      <c r="J180" s="25">
        <f t="array" ref="J180">IFERROR(IF(A180=A179,0,SUM(_xlfn._xlws.FILTER(G180:G200,(A180:A200=A180)*(E180:E200&gt;0)))),0)</f>
        <v>0</v>
      </c>
      <c r="K180" s="25">
        <f>IF(H180&lt;&gt;0,SUM(H$2:H180),0)</f>
        <v>0</v>
      </c>
      <c r="L180" s="25">
        <f>IF(I180&lt;&gt;0,SUM(I$2:I180),0)</f>
        <v>0</v>
      </c>
      <c r="M180" s="25">
        <f>IF(J180&lt;&gt;0,SUM(J$2:J180),0)</f>
        <v>0</v>
      </c>
    </row>
    <row r="181" spans="1:13" x14ac:dyDescent="0.2">
      <c r="A181" s="1" t="s">
        <v>323</v>
      </c>
      <c r="C181" s="2" t="s">
        <v>230</v>
      </c>
      <c r="D181" s="3" t="s">
        <v>50</v>
      </c>
      <c r="E181" s="4" t="s">
        <v>333</v>
      </c>
      <c r="G181" s="25">
        <f t="shared" si="2"/>
        <v>96800</v>
      </c>
      <c r="H181" s="25">
        <f t="array" ref="H181">IF(A181=A180,0,SUM(_xlfn._xlws.FILTER(G181:G201,A181:A201=A181)))</f>
        <v>0</v>
      </c>
      <c r="I181" s="25">
        <f t="array" ref="I181">IFERROR(IF(A181=A180,0,SUM(_xlfn._xlws.FILTER(G181:G201,(A181:A201=A181)*(E181:E201&lt;0)))),0)</f>
        <v>0</v>
      </c>
      <c r="J181" s="25">
        <f t="array" ref="J181">IFERROR(IF(A181=A180,0,SUM(_xlfn._xlws.FILTER(G181:G201,(A181:A201=A181)*(E181:E201&gt;0)))),0)</f>
        <v>0</v>
      </c>
      <c r="K181" s="25">
        <f>IF(H181&lt;&gt;0,SUM(H$2:H181),0)</f>
        <v>0</v>
      </c>
      <c r="L181" s="25">
        <f>IF(I181&lt;&gt;0,SUM(I$2:I181),0)</f>
        <v>0</v>
      </c>
      <c r="M181" s="25">
        <f>IF(J181&lt;&gt;0,SUM(J$2:J181),0)</f>
        <v>0</v>
      </c>
    </row>
    <row r="182" spans="1:13" x14ac:dyDescent="0.2">
      <c r="A182" s="5" t="s">
        <v>334</v>
      </c>
      <c r="C182" s="9" t="s">
        <v>155</v>
      </c>
      <c r="D182" s="7" t="s">
        <v>225</v>
      </c>
      <c r="E182" s="8" t="s">
        <v>335</v>
      </c>
      <c r="G182" s="25">
        <f t="shared" si="2"/>
        <v>91980</v>
      </c>
      <c r="H182" s="25">
        <f t="array" ref="H182">IF(A182=A181,0,SUM(_xlfn._xlws.FILTER(G182:G202,A182:A202=A182)))</f>
        <v>-22510</v>
      </c>
      <c r="I182" s="25">
        <f t="array" ref="I182">IFERROR(IF(A182=A181,0,SUM(_xlfn._xlws.FILTER(G182:G202,(A182:A202=A182)*(E182:E202&lt;0)))),0)</f>
        <v>0</v>
      </c>
      <c r="J182" s="25">
        <f t="array" ref="J182">IFERROR(IF(A182=A181,0,SUM(_xlfn._xlws.FILTER(G182:G202,(A182:A202=A182)*(E182:E202&gt;0)))),0)</f>
        <v>-22510</v>
      </c>
      <c r="K182" s="25">
        <f>IF(H182&lt;&gt;0,SUM(H$2:H182),0)</f>
        <v>145282.81999999983</v>
      </c>
      <c r="L182" s="25">
        <f>IF(I182&lt;&gt;0,SUM(I$2:I182),0)</f>
        <v>0</v>
      </c>
      <c r="M182" s="25">
        <f>IF(J182&lt;&gt;0,SUM(J$2:J182),0)</f>
        <v>145282.81999999983</v>
      </c>
    </row>
    <row r="183" spans="1:13" x14ac:dyDescent="0.2">
      <c r="A183" s="5" t="s">
        <v>334</v>
      </c>
      <c r="C183" s="9" t="s">
        <v>119</v>
      </c>
      <c r="D183" s="7" t="s">
        <v>336</v>
      </c>
      <c r="E183" s="8" t="s">
        <v>337</v>
      </c>
      <c r="G183" s="25">
        <f t="shared" si="2"/>
        <v>-67250</v>
      </c>
      <c r="H183" s="25">
        <f t="array" ref="H183">IF(A183=A182,0,SUM(_xlfn._xlws.FILTER(G183:G203,A183:A203=A183)))</f>
        <v>0</v>
      </c>
      <c r="I183" s="25">
        <f t="array" ref="I183">IFERROR(IF(A183=A182,0,SUM(_xlfn._xlws.FILTER(G183:G203,(A183:A203=A183)*(E183:E203&lt;0)))),0)</f>
        <v>0</v>
      </c>
      <c r="J183" s="25">
        <f t="array" ref="J183">IFERROR(IF(A183=A182,0,SUM(_xlfn._xlws.FILTER(G183:G203,(A183:A203=A183)*(E183:E203&gt;0)))),0)</f>
        <v>0</v>
      </c>
      <c r="K183" s="25">
        <f>IF(H183&lt;&gt;0,SUM(H$2:H183),0)</f>
        <v>0</v>
      </c>
      <c r="L183" s="25">
        <f>IF(I183&lt;&gt;0,SUM(I$2:I183),0)</f>
        <v>0</v>
      </c>
      <c r="M183" s="25">
        <f>IF(J183&lt;&gt;0,SUM(J$2:J183),0)</f>
        <v>0</v>
      </c>
    </row>
    <row r="184" spans="1:13" x14ac:dyDescent="0.2">
      <c r="A184" s="5" t="s">
        <v>334</v>
      </c>
      <c r="C184" s="9" t="s">
        <v>171</v>
      </c>
      <c r="D184" s="7" t="s">
        <v>102</v>
      </c>
      <c r="E184" s="8" t="s">
        <v>338</v>
      </c>
      <c r="G184" s="25">
        <f t="shared" si="2"/>
        <v>-47240</v>
      </c>
      <c r="H184" s="25">
        <f t="array" ref="H184">IF(A184=A183,0,SUM(_xlfn._xlws.FILTER(G184:G204,A184:A204=A184)))</f>
        <v>0</v>
      </c>
      <c r="I184" s="25">
        <f t="array" ref="I184">IFERROR(IF(A184=A183,0,SUM(_xlfn._xlws.FILTER(G184:G204,(A184:A204=A184)*(E184:E204&lt;0)))),0)</f>
        <v>0</v>
      </c>
      <c r="J184" s="25">
        <f t="array" ref="J184">IFERROR(IF(A184=A183,0,SUM(_xlfn._xlws.FILTER(G184:G204,(A184:A204=A184)*(E184:E204&gt;0)))),0)</f>
        <v>0</v>
      </c>
      <c r="K184" s="25">
        <f>IF(H184&lt;&gt;0,SUM(H$2:H184),0)</f>
        <v>0</v>
      </c>
      <c r="L184" s="25">
        <f>IF(I184&lt;&gt;0,SUM(I$2:I184),0)</f>
        <v>0</v>
      </c>
      <c r="M184" s="25">
        <f>IF(J184&lt;&gt;0,SUM(J$2:J184),0)</f>
        <v>0</v>
      </c>
    </row>
    <row r="185" spans="1:13" x14ac:dyDescent="0.2">
      <c r="A185" s="1" t="s">
        <v>339</v>
      </c>
      <c r="C185" s="2" t="s">
        <v>130</v>
      </c>
      <c r="D185" s="3" t="s">
        <v>79</v>
      </c>
      <c r="E185" s="2" t="s">
        <v>340</v>
      </c>
      <c r="G185" s="25">
        <f t="shared" si="2"/>
        <v>-13950</v>
      </c>
      <c r="H185" s="25">
        <f t="array" ref="H185">IF(A185=A184,0,SUM(_xlfn._xlws.FILTER(G185:G205,A185:A205=A185)))</f>
        <v>-52730</v>
      </c>
      <c r="I185" s="25">
        <f t="array" ref="I185">IFERROR(IF(A185=A184,0,SUM(_xlfn._xlws.FILTER(G185:G205,(A185:A205=A185)*(E185:E205&lt;0)))),0)</f>
        <v>0</v>
      </c>
      <c r="J185" s="25">
        <f t="array" ref="J185">IFERROR(IF(A185=A184,0,SUM(_xlfn._xlws.FILTER(G185:G205,(A185:A205=A185)*(E185:E205&gt;0)))),0)</f>
        <v>-52730</v>
      </c>
      <c r="K185" s="25">
        <f>IF(H185&lt;&gt;0,SUM(H$2:H185),0)</f>
        <v>92552.819999999832</v>
      </c>
      <c r="L185" s="25">
        <f>IF(I185&lt;&gt;0,SUM(I$2:I185),0)</f>
        <v>0</v>
      </c>
      <c r="M185" s="25">
        <f>IF(J185&lt;&gt;0,SUM(J$2:J185),0)</f>
        <v>92552.819999999832</v>
      </c>
    </row>
    <row r="186" spans="1:13" x14ac:dyDescent="0.2">
      <c r="A186" s="1" t="s">
        <v>339</v>
      </c>
      <c r="C186" s="2" t="s">
        <v>15</v>
      </c>
      <c r="D186" s="3" t="s">
        <v>102</v>
      </c>
      <c r="E186" s="2" t="s">
        <v>341</v>
      </c>
      <c r="G186" s="25">
        <f t="shared" si="2"/>
        <v>-38780</v>
      </c>
      <c r="H186" s="25">
        <f t="array" ref="H186">IF(A186=A185,0,SUM(_xlfn._xlws.FILTER(G186:G206,A186:A206=A186)))</f>
        <v>0</v>
      </c>
      <c r="I186" s="25">
        <f t="array" ref="I186">IFERROR(IF(A186=A185,0,SUM(_xlfn._xlws.FILTER(G186:G206,(A186:A206=A186)*(E186:E206&lt;0)))),0)</f>
        <v>0</v>
      </c>
      <c r="J186" s="25">
        <f t="array" ref="J186">IFERROR(IF(A186=A185,0,SUM(_xlfn._xlws.FILTER(G186:G206,(A186:A206=A186)*(E186:E206&gt;0)))),0)</f>
        <v>0</v>
      </c>
      <c r="K186" s="25">
        <f>IF(H186&lt;&gt;0,SUM(H$2:H186),0)</f>
        <v>0</v>
      </c>
      <c r="L186" s="25">
        <f>IF(I186&lt;&gt;0,SUM(I$2:I186),0)</f>
        <v>0</v>
      </c>
      <c r="M186" s="25">
        <f>IF(J186&lt;&gt;0,SUM(J$2:J186),0)</f>
        <v>0</v>
      </c>
    </row>
    <row r="187" spans="1:13" x14ac:dyDescent="0.2">
      <c r="A187" s="5" t="s">
        <v>342</v>
      </c>
      <c r="C187" s="9" t="s">
        <v>19</v>
      </c>
      <c r="D187" s="7" t="s">
        <v>100</v>
      </c>
      <c r="E187" s="8" t="s">
        <v>343</v>
      </c>
      <c r="G187" s="25">
        <f t="shared" si="2"/>
        <v>200280</v>
      </c>
      <c r="H187" s="25">
        <f t="array" ref="H187">IF(A187=A186,0,SUM(_xlfn._xlws.FILTER(G187:G207,A187:A207=A187)))</f>
        <v>322582</v>
      </c>
      <c r="I187" s="25">
        <f t="array" ref="I187">IFERROR(IF(A187=A186,0,SUM(_xlfn._xlws.FILTER(G187:G207,(A187:A207=A187)*(E187:E207&lt;0)))),0)</f>
        <v>0</v>
      </c>
      <c r="J187" s="25">
        <f t="array" ref="J187">IFERROR(IF(A187=A186,0,SUM(_xlfn._xlws.FILTER(G187:G207,(A187:A207=A187)*(E187:E207&gt;0)))),0)</f>
        <v>322582</v>
      </c>
      <c r="K187" s="25">
        <f>IF(H187&lt;&gt;0,SUM(H$2:H187),0)</f>
        <v>415134.81999999983</v>
      </c>
      <c r="L187" s="25">
        <f>IF(I187&lt;&gt;0,SUM(I$2:I187),0)</f>
        <v>0</v>
      </c>
      <c r="M187" s="25">
        <f>IF(J187&lt;&gt;0,SUM(J$2:J187),0)</f>
        <v>415134.81999999983</v>
      </c>
    </row>
    <row r="188" spans="1:13" x14ac:dyDescent="0.2">
      <c r="A188" s="5" t="s">
        <v>342</v>
      </c>
      <c r="C188" s="9" t="s">
        <v>320</v>
      </c>
      <c r="D188" s="7" t="s">
        <v>102</v>
      </c>
      <c r="E188" s="8" t="s">
        <v>344</v>
      </c>
      <c r="G188" s="25">
        <f t="shared" si="2"/>
        <v>63100</v>
      </c>
      <c r="H188" s="25">
        <f t="array" ref="H188">IF(A188=A187,0,SUM(_xlfn._xlws.FILTER(G188:G208,A188:A208=A188)))</f>
        <v>0</v>
      </c>
      <c r="I188" s="25">
        <f t="array" ref="I188">IFERROR(IF(A188=A187,0,SUM(_xlfn._xlws.FILTER(G188:G208,(A188:A208=A188)*(E188:E208&lt;0)))),0)</f>
        <v>0</v>
      </c>
      <c r="J188" s="25">
        <f t="array" ref="J188">IFERROR(IF(A188=A187,0,SUM(_xlfn._xlws.FILTER(G188:G208,(A188:A208=A188)*(E188:E208&gt;0)))),0)</f>
        <v>0</v>
      </c>
      <c r="K188" s="25">
        <f>IF(H188&lt;&gt;0,SUM(H$2:H188),0)</f>
        <v>0</v>
      </c>
      <c r="L188" s="25">
        <f>IF(I188&lt;&gt;0,SUM(I$2:I188),0)</f>
        <v>0</v>
      </c>
      <c r="M188" s="25">
        <f>IF(J188&lt;&gt;0,SUM(J$2:J188),0)</f>
        <v>0</v>
      </c>
    </row>
    <row r="189" spans="1:13" x14ac:dyDescent="0.2">
      <c r="A189" s="5" t="s">
        <v>342</v>
      </c>
      <c r="C189" s="9" t="s">
        <v>139</v>
      </c>
      <c r="D189" s="7" t="s">
        <v>120</v>
      </c>
      <c r="E189" s="8" t="s">
        <v>345</v>
      </c>
      <c r="G189" s="25">
        <f t="shared" si="2"/>
        <v>59202</v>
      </c>
      <c r="H189" s="25">
        <f t="array" ref="H189">IF(A189=A188,0,SUM(_xlfn._xlws.FILTER(G189:G209,A189:A209=A189)))</f>
        <v>0</v>
      </c>
      <c r="I189" s="25">
        <f t="array" ref="I189">IFERROR(IF(A189=A188,0,SUM(_xlfn._xlws.FILTER(G189:G209,(A189:A209=A189)*(E189:E209&lt;0)))),0)</f>
        <v>0</v>
      </c>
      <c r="J189" s="25">
        <f t="array" ref="J189">IFERROR(IF(A189=A188,0,SUM(_xlfn._xlws.FILTER(G189:G209,(A189:A209=A189)*(E189:E209&gt;0)))),0)</f>
        <v>0</v>
      </c>
      <c r="K189" s="25">
        <f>IF(H189&lt;&gt;0,SUM(H$2:H189),0)</f>
        <v>0</v>
      </c>
      <c r="L189" s="25">
        <f>IF(I189&lt;&gt;0,SUM(I$2:I189),0)</f>
        <v>0</v>
      </c>
      <c r="M189" s="25">
        <f>IF(J189&lt;&gt;0,SUM(J$2:J189),0)</f>
        <v>0</v>
      </c>
    </row>
    <row r="190" spans="1:13" x14ac:dyDescent="0.2">
      <c r="A190" s="1" t="s">
        <v>346</v>
      </c>
      <c r="C190" s="2" t="s">
        <v>259</v>
      </c>
      <c r="D190" s="3" t="s">
        <v>102</v>
      </c>
      <c r="E190" s="2" t="s">
        <v>347</v>
      </c>
      <c r="G190" s="25">
        <f t="shared" si="2"/>
        <v>-250800</v>
      </c>
      <c r="H190" s="25">
        <f t="array" ref="H190">IF(A190=A189,0,SUM(_xlfn._xlws.FILTER(G190:G210,A190:A210=A190)))</f>
        <v>-260330.36</v>
      </c>
      <c r="I190" s="25">
        <f t="array" ref="I190">IFERROR(IF(A190=A189,0,SUM(_xlfn._xlws.FILTER(G190:G210,(A190:A210=A190)*(E190:E210&lt;0)))),0)</f>
        <v>0</v>
      </c>
      <c r="J190" s="25">
        <f t="array" ref="J190">IFERROR(IF(A190=A189,0,SUM(_xlfn._xlws.FILTER(G190:G210,(A190:A210=A190)*(E190:E210&gt;0)))),0)</f>
        <v>-260330.36</v>
      </c>
      <c r="K190" s="25">
        <f>IF(H190&lt;&gt;0,SUM(H$2:H190),0)</f>
        <v>154804.45999999985</v>
      </c>
      <c r="L190" s="25">
        <f>IF(I190&lt;&gt;0,SUM(I$2:I190),0)</f>
        <v>0</v>
      </c>
      <c r="M190" s="25">
        <f>IF(J190&lt;&gt;0,SUM(J$2:J190),0)</f>
        <v>154804.45999999985</v>
      </c>
    </row>
    <row r="191" spans="1:13" x14ac:dyDescent="0.2">
      <c r="A191" s="1" t="s">
        <v>346</v>
      </c>
      <c r="C191" s="2" t="s">
        <v>348</v>
      </c>
      <c r="D191" s="3" t="s">
        <v>349</v>
      </c>
      <c r="E191" s="2" t="s">
        <v>350</v>
      </c>
      <c r="G191" s="25">
        <f t="shared" si="2"/>
        <v>-9530.36</v>
      </c>
      <c r="H191" s="25">
        <f t="array" ref="H191">IF(A191=A190,0,SUM(_xlfn._xlws.FILTER(G191:G211,A191:A211=A191)))</f>
        <v>0</v>
      </c>
      <c r="I191" s="25">
        <f t="array" ref="I191">IFERROR(IF(A191=A190,0,SUM(_xlfn._xlws.FILTER(G191:G211,(A191:A211=A191)*(E191:E211&lt;0)))),0)</f>
        <v>0</v>
      </c>
      <c r="J191" s="25">
        <f t="array" ref="J191">IFERROR(IF(A191=A190,0,SUM(_xlfn._xlws.FILTER(G191:G211,(A191:A211=A191)*(E191:E211&gt;0)))),0)</f>
        <v>0</v>
      </c>
      <c r="K191" s="25">
        <f>IF(H191&lt;&gt;0,SUM(H$2:H191),0)</f>
        <v>0</v>
      </c>
      <c r="L191" s="25">
        <f>IF(I191&lt;&gt;0,SUM(I$2:I191),0)</f>
        <v>0</v>
      </c>
      <c r="M191" s="25">
        <f>IF(J191&lt;&gt;0,SUM(J$2:J191),0)</f>
        <v>0</v>
      </c>
    </row>
    <row r="192" spans="1:13" x14ac:dyDescent="0.2">
      <c r="A192" s="5" t="s">
        <v>351</v>
      </c>
      <c r="C192" s="9" t="s">
        <v>65</v>
      </c>
      <c r="D192" s="7" t="s">
        <v>16</v>
      </c>
      <c r="E192" s="8" t="s">
        <v>319</v>
      </c>
      <c r="G192" s="25">
        <f t="shared" si="2"/>
        <v>23700</v>
      </c>
      <c r="H192" s="25">
        <f t="array" ref="H192">IF(A192=A191,0,SUM(_xlfn._xlws.FILTER(G192:G212,A192:A212=A192)))</f>
        <v>43045</v>
      </c>
      <c r="I192" s="25">
        <f t="array" ref="I192">IFERROR(IF(A192=A191,0,SUM(_xlfn._xlws.FILTER(G192:G212,(A192:A212=A192)*(E192:E212&lt;0)))),0)</f>
        <v>0</v>
      </c>
      <c r="J192" s="25">
        <f t="array" ref="J192">IFERROR(IF(A192=A191,0,SUM(_xlfn._xlws.FILTER(G192:G212,(A192:A212=A192)*(E192:E212&gt;0)))),0)</f>
        <v>43045</v>
      </c>
      <c r="K192" s="25">
        <f>IF(H192&lt;&gt;0,SUM(H$2:H192),0)</f>
        <v>197849.45999999985</v>
      </c>
      <c r="L192" s="25">
        <f>IF(I192&lt;&gt;0,SUM(I$2:I192),0)</f>
        <v>0</v>
      </c>
      <c r="M192" s="25">
        <f>IF(J192&lt;&gt;0,SUM(J$2:J192),0)</f>
        <v>197849.45999999985</v>
      </c>
    </row>
    <row r="193" spans="1:13" x14ac:dyDescent="0.2">
      <c r="A193" s="5" t="s">
        <v>351</v>
      </c>
      <c r="C193" s="9" t="s">
        <v>15</v>
      </c>
      <c r="D193" s="7" t="s">
        <v>53</v>
      </c>
      <c r="E193" s="8" t="s">
        <v>274</v>
      </c>
      <c r="G193" s="25">
        <f t="shared" si="2"/>
        <v>19345</v>
      </c>
      <c r="H193" s="25">
        <f t="array" ref="H193">IF(A193=A192,0,SUM(_xlfn._xlws.FILTER(G193:G213,A193:A213=A193)))</f>
        <v>0</v>
      </c>
      <c r="I193" s="25">
        <f t="array" ref="I193">IFERROR(IF(A193=A192,0,SUM(_xlfn._xlws.FILTER(G193:G213,(A193:A213=A193)*(E193:E213&lt;0)))),0)</f>
        <v>0</v>
      </c>
      <c r="J193" s="25">
        <f t="array" ref="J193">IFERROR(IF(A193=A192,0,SUM(_xlfn._xlws.FILTER(G193:G213,(A193:A213=A193)*(E193:E213&gt;0)))),0)</f>
        <v>0</v>
      </c>
      <c r="K193" s="25">
        <f>IF(H193&lt;&gt;0,SUM(H$2:H193),0)</f>
        <v>0</v>
      </c>
      <c r="L193" s="25">
        <f>IF(I193&lt;&gt;0,SUM(I$2:I193),0)</f>
        <v>0</v>
      </c>
      <c r="M193" s="25">
        <f>IF(J193&lt;&gt;0,SUM(J$2:J193),0)</f>
        <v>0</v>
      </c>
    </row>
    <row r="194" spans="1:13" x14ac:dyDescent="0.2">
      <c r="A194" s="1" t="s">
        <v>352</v>
      </c>
      <c r="C194" s="2" t="s">
        <v>157</v>
      </c>
      <c r="D194" s="3" t="s">
        <v>353</v>
      </c>
      <c r="E194" s="2" t="s">
        <v>354</v>
      </c>
      <c r="G194" s="25">
        <f t="shared" ref="G194:G257" si="3">D194*E194*IF(OR(C194="IAG",C194="EZJ",C194="AET"),0.01,1)</f>
        <v>-8036.5688069999997</v>
      </c>
      <c r="H194" s="25">
        <f t="array" ref="H194">IF(A194=A193,0,SUM(_xlfn._xlws.FILTER(G194:G214,A194:A214=A194)))</f>
        <v>-518276.568807</v>
      </c>
      <c r="I194" s="25">
        <f t="array" ref="I194">IFERROR(IF(A194=A193,0,SUM(_xlfn._xlws.FILTER(G194:G214,(A194:A214=A194)*(E194:E214&lt;0)))),0)</f>
        <v>0</v>
      </c>
      <c r="J194" s="25">
        <f t="array" ref="J194">IFERROR(IF(A194=A193,0,SUM(_xlfn._xlws.FILTER(G194:G214,(A194:A214=A194)*(E194:E214&gt;0)))),0)</f>
        <v>-518276.568807</v>
      </c>
      <c r="K194" s="25">
        <f>IF(H194&lt;&gt;0,SUM(H$2:H194),0)</f>
        <v>-320427.10880700016</v>
      </c>
      <c r="L194" s="25">
        <f>IF(I194&lt;&gt;0,SUM(I$2:I194),0)</f>
        <v>0</v>
      </c>
      <c r="M194" s="25">
        <f>IF(J194&lt;&gt;0,SUM(J$2:J194),0)</f>
        <v>-320427.10880700016</v>
      </c>
    </row>
    <row r="195" spans="1:13" x14ac:dyDescent="0.2">
      <c r="A195" s="1" t="s">
        <v>352</v>
      </c>
      <c r="C195" s="2" t="s">
        <v>262</v>
      </c>
      <c r="D195" s="3" t="s">
        <v>102</v>
      </c>
      <c r="E195" s="2" t="s">
        <v>355</v>
      </c>
      <c r="G195" s="25">
        <f t="shared" si="3"/>
        <v>-255050</v>
      </c>
      <c r="H195" s="25">
        <f t="array" ref="H195">IF(A195=A194,0,SUM(_xlfn._xlws.FILTER(G195:G215,A195:A215=A195)))</f>
        <v>0</v>
      </c>
      <c r="I195" s="25">
        <f t="array" ref="I195">IFERROR(IF(A195=A194,0,SUM(_xlfn._xlws.FILTER(G195:G215,(A195:A215=A195)*(E195:E215&lt;0)))),0)</f>
        <v>0</v>
      </c>
      <c r="J195" s="25">
        <f t="array" ref="J195">IFERROR(IF(A195=A194,0,SUM(_xlfn._xlws.FILTER(G195:G215,(A195:A215=A195)*(E195:E215&gt;0)))),0)</f>
        <v>0</v>
      </c>
      <c r="K195" s="25">
        <f>IF(H195&lt;&gt;0,SUM(H$2:H195),0)</f>
        <v>0</v>
      </c>
      <c r="L195" s="25">
        <f>IF(I195&lt;&gt;0,SUM(I$2:I195),0)</f>
        <v>0</v>
      </c>
      <c r="M195" s="25">
        <f>IF(J195&lt;&gt;0,SUM(J$2:J195),0)</f>
        <v>0</v>
      </c>
    </row>
    <row r="196" spans="1:13" x14ac:dyDescent="0.2">
      <c r="A196" s="1" t="s">
        <v>352</v>
      </c>
      <c r="C196" s="2" t="s">
        <v>259</v>
      </c>
      <c r="D196" s="3" t="s">
        <v>102</v>
      </c>
      <c r="E196" s="2" t="s">
        <v>356</v>
      </c>
      <c r="G196" s="25">
        <f t="shared" si="3"/>
        <v>-255190</v>
      </c>
      <c r="H196" s="25">
        <f t="array" ref="H196">IF(A196=A195,0,SUM(_xlfn._xlws.FILTER(G196:G216,A196:A216=A196)))</f>
        <v>0</v>
      </c>
      <c r="I196" s="25">
        <f t="array" ref="I196">IFERROR(IF(A196=A195,0,SUM(_xlfn._xlws.FILTER(G196:G216,(A196:A216=A196)*(E196:E216&lt;0)))),0)</f>
        <v>0</v>
      </c>
      <c r="J196" s="25">
        <f t="array" ref="J196">IFERROR(IF(A196=A195,0,SUM(_xlfn._xlws.FILTER(G196:G216,(A196:A216=A196)*(E196:E216&gt;0)))),0)</f>
        <v>0</v>
      </c>
      <c r="K196" s="25">
        <f>IF(H196&lt;&gt;0,SUM(H$2:H196),0)</f>
        <v>0</v>
      </c>
      <c r="L196" s="25">
        <f>IF(I196&lt;&gt;0,SUM(I$2:I196),0)</f>
        <v>0</v>
      </c>
      <c r="M196" s="25">
        <f>IF(J196&lt;&gt;0,SUM(J$2:J196),0)</f>
        <v>0</v>
      </c>
    </row>
    <row r="197" spans="1:13" x14ac:dyDescent="0.2">
      <c r="A197" s="5" t="s">
        <v>357</v>
      </c>
      <c r="C197" s="9" t="s">
        <v>190</v>
      </c>
      <c r="D197" s="7" t="s">
        <v>53</v>
      </c>
      <c r="E197" s="8" t="s">
        <v>358</v>
      </c>
      <c r="G197" s="25">
        <f t="shared" si="3"/>
        <v>23800</v>
      </c>
      <c r="H197" s="25">
        <f t="array" ref="H197">IF(A197=A196,0,SUM(_xlfn._xlws.FILTER(G197:G217,A197:A217=A197)))</f>
        <v>32075</v>
      </c>
      <c r="I197" s="25">
        <f t="array" ref="I197">IFERROR(IF(A197=A196,0,SUM(_xlfn._xlws.FILTER(G197:G217,(A197:A217=A197)*(E197:E217&lt;0)))),0)</f>
        <v>0</v>
      </c>
      <c r="J197" s="25">
        <f t="array" ref="J197">IFERROR(IF(A197=A196,0,SUM(_xlfn._xlws.FILTER(G197:G217,(A197:A217=A197)*(E197:E217&gt;0)))),0)</f>
        <v>32075</v>
      </c>
      <c r="K197" s="25">
        <f>IF(H197&lt;&gt;0,SUM(H$2:H197),0)</f>
        <v>-288352.10880700016</v>
      </c>
      <c r="L197" s="25">
        <f>IF(I197&lt;&gt;0,SUM(I$2:I197),0)</f>
        <v>0</v>
      </c>
      <c r="M197" s="25">
        <f>IF(J197&lt;&gt;0,SUM(J$2:J197),0)</f>
        <v>-288352.10880700016</v>
      </c>
    </row>
    <row r="198" spans="1:13" x14ac:dyDescent="0.2">
      <c r="A198" s="5" t="s">
        <v>357</v>
      </c>
      <c r="C198" s="9" t="s">
        <v>45</v>
      </c>
      <c r="D198" s="7" t="s">
        <v>53</v>
      </c>
      <c r="E198" s="8" t="s">
        <v>359</v>
      </c>
      <c r="G198" s="25">
        <f t="shared" si="3"/>
        <v>8275</v>
      </c>
      <c r="H198" s="25">
        <f t="array" ref="H198">IF(A198=A197,0,SUM(_xlfn._xlws.FILTER(G198:G218,A198:A218=A198)))</f>
        <v>0</v>
      </c>
      <c r="I198" s="25">
        <f t="array" ref="I198">IFERROR(IF(A198=A197,0,SUM(_xlfn._xlws.FILTER(G198:G218,(A198:A218=A198)*(E198:E218&lt;0)))),0)</f>
        <v>0</v>
      </c>
      <c r="J198" s="25">
        <f t="array" ref="J198">IFERROR(IF(A198=A197,0,SUM(_xlfn._xlws.FILTER(G198:G218,(A198:A218=A198)*(E198:E218&gt;0)))),0)</f>
        <v>0</v>
      </c>
      <c r="K198" s="25">
        <f>IF(H198&lt;&gt;0,SUM(H$2:H198),0)</f>
        <v>0</v>
      </c>
      <c r="L198" s="25">
        <f>IF(I198&lt;&gt;0,SUM(I$2:I198),0)</f>
        <v>0</v>
      </c>
      <c r="M198" s="25">
        <f>IF(J198&lt;&gt;0,SUM(J$2:J198),0)</f>
        <v>0</v>
      </c>
    </row>
    <row r="199" spans="1:13" x14ac:dyDescent="0.2">
      <c r="A199" s="1" t="s">
        <v>360</v>
      </c>
      <c r="C199" s="2" t="s">
        <v>63</v>
      </c>
      <c r="D199" s="3" t="s">
        <v>361</v>
      </c>
      <c r="E199" s="2" t="s">
        <v>362</v>
      </c>
      <c r="G199" s="25">
        <f t="shared" si="3"/>
        <v>-33075</v>
      </c>
      <c r="H199" s="25">
        <f t="array" ref="H199">IF(A199=A198,0,SUM(_xlfn._xlws.FILTER(G199:G219,A199:A219=A199)))</f>
        <v>-33075</v>
      </c>
      <c r="I199" s="25">
        <f t="array" ref="I199">IFERROR(IF(A199=A198,0,SUM(_xlfn._xlws.FILTER(G199:G219,(A199:A219=A199)*(E199:E219&lt;0)))),0)</f>
        <v>0</v>
      </c>
      <c r="J199" s="25">
        <f t="array" ref="J199">IFERROR(IF(A199=A198,0,SUM(_xlfn._xlws.FILTER(G199:G219,(A199:A219=A199)*(E199:E219&gt;0)))),0)</f>
        <v>-33075</v>
      </c>
      <c r="K199" s="25">
        <f>IF(H199&lt;&gt;0,SUM(H$2:H199),0)</f>
        <v>-321427.10880700016</v>
      </c>
      <c r="L199" s="25">
        <f>IF(I199&lt;&gt;0,SUM(I$2:I199),0)</f>
        <v>0</v>
      </c>
      <c r="M199" s="25">
        <f>IF(J199&lt;&gt;0,SUM(J$2:J199),0)</f>
        <v>-321427.10880700016</v>
      </c>
    </row>
    <row r="200" spans="1:13" x14ac:dyDescent="0.2">
      <c r="A200" s="5" t="s">
        <v>363</v>
      </c>
      <c r="C200" s="9" t="s">
        <v>19</v>
      </c>
      <c r="D200" s="7" t="s">
        <v>100</v>
      </c>
      <c r="E200" s="8" t="s">
        <v>364</v>
      </c>
      <c r="G200" s="25">
        <f t="shared" si="3"/>
        <v>-194190</v>
      </c>
      <c r="H200" s="25">
        <f t="array" ref="H200">IF(A200=A199,0,SUM(_xlfn._xlws.FILTER(G200:G220,A200:A220=A200)))</f>
        <v>-194190</v>
      </c>
      <c r="I200" s="25">
        <f t="array" ref="I200">IFERROR(IF(A200=A199,0,SUM(_xlfn._xlws.FILTER(G200:G220,(A200:A220=A200)*(E200:E220&lt;0)))),0)</f>
        <v>0</v>
      </c>
      <c r="J200" s="25">
        <f t="array" ref="J200">IFERROR(IF(A200=A199,0,SUM(_xlfn._xlws.FILTER(G200:G220,(A200:A220=A200)*(E200:E220&gt;0)))),0)</f>
        <v>-194190</v>
      </c>
      <c r="K200" s="25">
        <f>IF(H200&lt;&gt;0,SUM(H$2:H200),0)</f>
        <v>-515617.10880700016</v>
      </c>
      <c r="L200" s="25">
        <f>IF(I200&lt;&gt;0,SUM(I$2:I200),0)</f>
        <v>0</v>
      </c>
      <c r="M200" s="25">
        <f>IF(J200&lt;&gt;0,SUM(J$2:J200),0)</f>
        <v>-515617.10880700016</v>
      </c>
    </row>
    <row r="201" spans="1:13" x14ac:dyDescent="0.2">
      <c r="A201" s="1" t="s">
        <v>365</v>
      </c>
      <c r="C201" s="2" t="s">
        <v>139</v>
      </c>
      <c r="D201" s="3" t="s">
        <v>120</v>
      </c>
      <c r="E201" s="2" t="s">
        <v>366</v>
      </c>
      <c r="G201" s="25">
        <f t="shared" si="3"/>
        <v>-56895.58</v>
      </c>
      <c r="H201" s="25">
        <f t="array" ref="H201">IF(A201=A200,0,SUM(_xlfn._xlws.FILTER(G201:G221,A201:A221=A201)))</f>
        <v>-20908.750000000007</v>
      </c>
      <c r="I201" s="25">
        <f t="array" ref="I201">IFERROR(IF(A201=A200,0,SUM(_xlfn._xlws.FILTER(G201:G221,(A201:A221=A201)*(E201:E221&lt;0)))),0)</f>
        <v>0</v>
      </c>
      <c r="J201" s="25">
        <f t="array" ref="J201">IFERROR(IF(A201=A200,0,SUM(_xlfn._xlws.FILTER(G201:G221,(A201:A221=A201)*(E201:E221&gt;0)))),0)</f>
        <v>-20908.750000000007</v>
      </c>
      <c r="K201" s="25">
        <f>IF(H201&lt;&gt;0,SUM(H$2:H201),0)</f>
        <v>-536525.85880700022</v>
      </c>
      <c r="L201" s="25">
        <f>IF(I201&lt;&gt;0,SUM(I$2:I201),0)</f>
        <v>0</v>
      </c>
      <c r="M201" s="25">
        <f>IF(J201&lt;&gt;0,SUM(J$2:J201),0)</f>
        <v>-536525.85880700022</v>
      </c>
    </row>
    <row r="202" spans="1:13" x14ac:dyDescent="0.2">
      <c r="A202" s="1" t="s">
        <v>365</v>
      </c>
      <c r="C202" s="2" t="s">
        <v>193</v>
      </c>
      <c r="D202" s="3" t="s">
        <v>236</v>
      </c>
      <c r="E202" s="2" t="s">
        <v>367</v>
      </c>
      <c r="G202" s="25">
        <f t="shared" si="3"/>
        <v>65775</v>
      </c>
      <c r="H202" s="25">
        <f t="array" ref="H202">IF(A202=A201,0,SUM(_xlfn._xlws.FILTER(G202:G222,A202:A222=A202)))</f>
        <v>0</v>
      </c>
      <c r="I202" s="25">
        <f t="array" ref="I202">IFERROR(IF(A202=A201,0,SUM(_xlfn._xlws.FILTER(G202:G222,(A202:A222=A202)*(E202:E222&lt;0)))),0)</f>
        <v>0</v>
      </c>
      <c r="J202" s="25">
        <f t="array" ref="J202">IFERROR(IF(A202=A201,0,SUM(_xlfn._xlws.FILTER(G202:G222,(A202:A222=A202)*(E202:E222&gt;0)))),0)</f>
        <v>0</v>
      </c>
      <c r="K202" s="25">
        <f>IF(H202&lt;&gt;0,SUM(H$2:H202),0)</f>
        <v>0</v>
      </c>
      <c r="L202" s="25">
        <f>IF(I202&lt;&gt;0,SUM(I$2:I202),0)</f>
        <v>0</v>
      </c>
      <c r="M202" s="25">
        <f>IF(J202&lt;&gt;0,SUM(J$2:J202),0)</f>
        <v>0</v>
      </c>
    </row>
    <row r="203" spans="1:13" x14ac:dyDescent="0.2">
      <c r="A203" s="1" t="s">
        <v>365</v>
      </c>
      <c r="C203" s="2" t="s">
        <v>97</v>
      </c>
      <c r="D203" s="3" t="s">
        <v>26</v>
      </c>
      <c r="E203" s="2" t="s">
        <v>368</v>
      </c>
      <c r="G203" s="25">
        <f t="shared" si="3"/>
        <v>40375.829999999994</v>
      </c>
      <c r="H203" s="25">
        <f t="array" ref="H203">IF(A203=A202,0,SUM(_xlfn._xlws.FILTER(G203:G223,A203:A223=A203)))</f>
        <v>0</v>
      </c>
      <c r="I203" s="25">
        <f t="array" ref="I203">IFERROR(IF(A203=A202,0,SUM(_xlfn._xlws.FILTER(G203:G223,(A203:A223=A203)*(E203:E223&lt;0)))),0)</f>
        <v>0</v>
      </c>
      <c r="J203" s="25">
        <f t="array" ref="J203">IFERROR(IF(A203=A202,0,SUM(_xlfn._xlws.FILTER(G203:G223,(A203:A223=A203)*(E203:E223&gt;0)))),0)</f>
        <v>0</v>
      </c>
      <c r="K203" s="25">
        <f>IF(H203&lt;&gt;0,SUM(H$2:H203),0)</f>
        <v>0</v>
      </c>
      <c r="L203" s="25">
        <f>IF(I203&lt;&gt;0,SUM(I$2:I203),0)</f>
        <v>0</v>
      </c>
      <c r="M203" s="25">
        <f>IF(J203&lt;&gt;0,SUM(J$2:J203),0)</f>
        <v>0</v>
      </c>
    </row>
    <row r="204" spans="1:13" x14ac:dyDescent="0.2">
      <c r="A204" s="1" t="s">
        <v>365</v>
      </c>
      <c r="C204" s="2" t="s">
        <v>49</v>
      </c>
      <c r="D204" s="3" t="s">
        <v>79</v>
      </c>
      <c r="E204" s="2" t="s">
        <v>369</v>
      </c>
      <c r="G204" s="25">
        <f t="shared" si="3"/>
        <v>-13350</v>
      </c>
      <c r="H204" s="25">
        <f t="array" ref="H204">IF(A204=A203,0,SUM(_xlfn._xlws.FILTER(G204:G224,A204:A224=A204)))</f>
        <v>0</v>
      </c>
      <c r="I204" s="25">
        <f t="array" ref="I204">IFERROR(IF(A204=A203,0,SUM(_xlfn._xlws.FILTER(G204:G224,(A204:A224=A204)*(E204:E224&lt;0)))),0)</f>
        <v>0</v>
      </c>
      <c r="J204" s="25">
        <f t="array" ref="J204">IFERROR(IF(A204=A203,0,SUM(_xlfn._xlws.FILTER(G204:G224,(A204:A224=A204)*(E204:E224&gt;0)))),0)</f>
        <v>0</v>
      </c>
      <c r="K204" s="25">
        <f>IF(H204&lt;&gt;0,SUM(H$2:H204),0)</f>
        <v>0</v>
      </c>
      <c r="L204" s="25">
        <f>IF(I204&lt;&gt;0,SUM(I$2:I204),0)</f>
        <v>0</v>
      </c>
      <c r="M204" s="25">
        <f>IF(J204&lt;&gt;0,SUM(J$2:J204),0)</f>
        <v>0</v>
      </c>
    </row>
    <row r="205" spans="1:13" x14ac:dyDescent="0.2">
      <c r="A205" s="1" t="s">
        <v>365</v>
      </c>
      <c r="C205" s="2" t="s">
        <v>278</v>
      </c>
      <c r="D205" s="3" t="s">
        <v>92</v>
      </c>
      <c r="E205" s="2" t="s">
        <v>370</v>
      </c>
      <c r="G205" s="25">
        <f t="shared" si="3"/>
        <v>-56814</v>
      </c>
      <c r="H205" s="25">
        <f t="array" ref="H205">IF(A205=A204,0,SUM(_xlfn._xlws.FILTER(G205:G225,A205:A225=A205)))</f>
        <v>0</v>
      </c>
      <c r="I205" s="25">
        <f t="array" ref="I205">IFERROR(IF(A205=A204,0,SUM(_xlfn._xlws.FILTER(G205:G225,(A205:A225=A205)*(E205:E225&lt;0)))),0)</f>
        <v>0</v>
      </c>
      <c r="J205" s="25">
        <f t="array" ref="J205">IFERROR(IF(A205=A204,0,SUM(_xlfn._xlws.FILTER(G205:G225,(A205:A225=A205)*(E205:E225&gt;0)))),0)</f>
        <v>0</v>
      </c>
      <c r="K205" s="25">
        <f>IF(H205&lt;&gt;0,SUM(H$2:H205),0)</f>
        <v>0</v>
      </c>
      <c r="L205" s="25">
        <f>IF(I205&lt;&gt;0,SUM(I$2:I205),0)</f>
        <v>0</v>
      </c>
      <c r="M205" s="25">
        <f>IF(J205&lt;&gt;0,SUM(J$2:J205),0)</f>
        <v>0</v>
      </c>
    </row>
    <row r="206" spans="1:13" x14ac:dyDescent="0.2">
      <c r="A206" s="5" t="s">
        <v>371</v>
      </c>
      <c r="C206" s="6" t="s">
        <v>155</v>
      </c>
      <c r="D206" s="7" t="s">
        <v>225</v>
      </c>
      <c r="E206" s="15" t="s">
        <v>372</v>
      </c>
      <c r="G206" s="25">
        <f t="shared" si="3"/>
        <v>97580</v>
      </c>
      <c r="H206" s="25">
        <f t="array" ref="H206">IF(A206=A205,0,SUM(_xlfn._xlws.FILTER(G206:G226,A206:A226=A206)))</f>
        <v>109730</v>
      </c>
      <c r="I206" s="25">
        <f t="array" ref="I206">IFERROR(IF(A206=A205,0,SUM(_xlfn._xlws.FILTER(G206:G226,(A206:A226=A206)*(E206:E226&lt;0)))),0)</f>
        <v>0</v>
      </c>
      <c r="J206" s="25">
        <f t="array" ref="J206">IFERROR(IF(A206=A205,0,SUM(_xlfn._xlws.FILTER(G206:G226,(A206:A226=A206)*(E206:E226&gt;0)))),0)</f>
        <v>109730</v>
      </c>
      <c r="K206" s="25">
        <f>IF(H206&lt;&gt;0,SUM(H$2:H206),0)</f>
        <v>-426795.85880700022</v>
      </c>
      <c r="L206" s="25">
        <f>IF(I206&lt;&gt;0,SUM(I$2:I206),0)</f>
        <v>0</v>
      </c>
      <c r="M206" s="25">
        <f>IF(J206&lt;&gt;0,SUM(J$2:J206),0)</f>
        <v>-426795.85880700022</v>
      </c>
    </row>
    <row r="207" spans="1:13" x14ac:dyDescent="0.2">
      <c r="A207" s="5" t="s">
        <v>371</v>
      </c>
      <c r="C207" s="6" t="s">
        <v>49</v>
      </c>
      <c r="D207" s="7" t="s">
        <v>79</v>
      </c>
      <c r="E207" s="15" t="s">
        <v>373</v>
      </c>
      <c r="G207" s="25">
        <f t="shared" si="3"/>
        <v>12150</v>
      </c>
      <c r="H207" s="25">
        <f t="array" ref="H207">IF(A207=A206,0,SUM(_xlfn._xlws.FILTER(G207:G227,A207:A227=A207)))</f>
        <v>0</v>
      </c>
      <c r="I207" s="25">
        <f t="array" ref="I207">IFERROR(IF(A207=A206,0,SUM(_xlfn._xlws.FILTER(G207:G227,(A207:A227=A207)*(E207:E227&lt;0)))),0)</f>
        <v>0</v>
      </c>
      <c r="J207" s="25">
        <f t="array" ref="J207">IFERROR(IF(A207=A206,0,SUM(_xlfn._xlws.FILTER(G207:G227,(A207:A227=A207)*(E207:E227&gt;0)))),0)</f>
        <v>0</v>
      </c>
      <c r="K207" s="25">
        <f>IF(H207&lt;&gt;0,SUM(H$2:H207),0)</f>
        <v>0</v>
      </c>
      <c r="L207" s="25">
        <f>IF(I207&lt;&gt;0,SUM(I$2:I207),0)</f>
        <v>0</v>
      </c>
      <c r="M207" s="25">
        <f>IF(J207&lt;&gt;0,SUM(J$2:J207),0)</f>
        <v>0</v>
      </c>
    </row>
    <row r="208" spans="1:13" x14ac:dyDescent="0.2">
      <c r="A208" s="1" t="s">
        <v>374</v>
      </c>
      <c r="C208" s="2" t="s">
        <v>116</v>
      </c>
      <c r="D208" s="3" t="s">
        <v>53</v>
      </c>
      <c r="E208" s="2" t="s">
        <v>375</v>
      </c>
      <c r="G208" s="25">
        <f t="shared" si="3"/>
        <v>-96410</v>
      </c>
      <c r="H208" s="25">
        <f t="array" ref="H208">IF(A208=A207,0,SUM(_xlfn._xlws.FILTER(G208:G228,A208:A228=A208)))</f>
        <v>-154345.20000000001</v>
      </c>
      <c r="I208" s="25">
        <f t="array" ref="I208">IFERROR(IF(A208=A207,0,SUM(_xlfn._xlws.FILTER(G208:G228,(A208:A228=A208)*(E208:E228&lt;0)))),0)</f>
        <v>0</v>
      </c>
      <c r="J208" s="25">
        <f t="array" ref="J208">IFERROR(IF(A208=A207,0,SUM(_xlfn._xlws.FILTER(G208:G228,(A208:A228=A208)*(E208:E228&gt;0)))),0)</f>
        <v>-154345.20000000001</v>
      </c>
      <c r="K208" s="25">
        <f>IF(H208&lt;&gt;0,SUM(H$2:H208),0)</f>
        <v>-581141.05880700029</v>
      </c>
      <c r="L208" s="25">
        <f>IF(I208&lt;&gt;0,SUM(I$2:I208),0)</f>
        <v>0</v>
      </c>
      <c r="M208" s="25">
        <f>IF(J208&lt;&gt;0,SUM(J$2:J208),0)</f>
        <v>-581141.05880700029</v>
      </c>
    </row>
    <row r="209" spans="1:13" x14ac:dyDescent="0.2">
      <c r="A209" s="1" t="s">
        <v>374</v>
      </c>
      <c r="C209" s="2" t="s">
        <v>155</v>
      </c>
      <c r="D209" s="3" t="s">
        <v>16</v>
      </c>
      <c r="E209" s="2" t="s">
        <v>376</v>
      </c>
      <c r="G209" s="25">
        <f t="shared" si="3"/>
        <v>28080</v>
      </c>
      <c r="H209" s="25">
        <f t="array" ref="H209">IF(A209=A208,0,SUM(_xlfn._xlws.FILTER(G209:G229,A209:A229=A209)))</f>
        <v>0</v>
      </c>
      <c r="I209" s="25">
        <f t="array" ref="I209">IFERROR(IF(A209=A208,0,SUM(_xlfn._xlws.FILTER(G209:G229,(A209:A229=A209)*(E209:E229&lt;0)))),0)</f>
        <v>0</v>
      </c>
      <c r="J209" s="25">
        <f t="array" ref="J209">IFERROR(IF(A209=A208,0,SUM(_xlfn._xlws.FILTER(G209:G229,(A209:A229=A209)*(E209:E229&gt;0)))),0)</f>
        <v>0</v>
      </c>
      <c r="K209" s="25">
        <f>IF(H209&lt;&gt;0,SUM(H$2:H209),0)</f>
        <v>0</v>
      </c>
      <c r="L209" s="25">
        <f>IF(I209&lt;&gt;0,SUM(I$2:I209),0)</f>
        <v>0</v>
      </c>
      <c r="M209" s="25">
        <f>IF(J209&lt;&gt;0,SUM(J$2:J209),0)</f>
        <v>0</v>
      </c>
    </row>
    <row r="210" spans="1:13" x14ac:dyDescent="0.2">
      <c r="A210" s="1" t="s">
        <v>374</v>
      </c>
      <c r="C210" s="2" t="s">
        <v>139</v>
      </c>
      <c r="D210" s="3" t="s">
        <v>120</v>
      </c>
      <c r="E210" s="2" t="s">
        <v>377</v>
      </c>
      <c r="G210" s="25">
        <f t="shared" si="3"/>
        <v>-53402</v>
      </c>
      <c r="H210" s="25">
        <f t="array" ref="H210">IF(A210=A209,0,SUM(_xlfn._xlws.FILTER(G210:G230,A210:A230=A210)))</f>
        <v>0</v>
      </c>
      <c r="I210" s="25">
        <f t="array" ref="I210">IFERROR(IF(A210=A209,0,SUM(_xlfn._xlws.FILTER(G210:G230,(A210:A230=A210)*(E210:E230&lt;0)))),0)</f>
        <v>0</v>
      </c>
      <c r="J210" s="25">
        <f t="array" ref="J210">IFERROR(IF(A210=A209,0,SUM(_xlfn._xlws.FILTER(G210:G230,(A210:A230=A210)*(E210:E230&gt;0)))),0)</f>
        <v>0</v>
      </c>
      <c r="K210" s="25">
        <f>IF(H210&lt;&gt;0,SUM(H$2:H210),0)</f>
        <v>0</v>
      </c>
      <c r="L210" s="25">
        <f>IF(I210&lt;&gt;0,SUM(I$2:I210),0)</f>
        <v>0</v>
      </c>
      <c r="M210" s="25">
        <f>IF(J210&lt;&gt;0,SUM(J$2:J210),0)</f>
        <v>0</v>
      </c>
    </row>
    <row r="211" spans="1:13" x14ac:dyDescent="0.2">
      <c r="A211" s="1" t="s">
        <v>374</v>
      </c>
      <c r="C211" s="2" t="s">
        <v>153</v>
      </c>
      <c r="D211" s="3" t="s">
        <v>46</v>
      </c>
      <c r="E211" s="2" t="s">
        <v>378</v>
      </c>
      <c r="G211" s="25">
        <f t="shared" si="3"/>
        <v>-56673.200000000004</v>
      </c>
      <c r="H211" s="25">
        <f t="array" ref="H211">IF(A211=A210,0,SUM(_xlfn._xlws.FILTER(G211:G231,A211:A231=A211)))</f>
        <v>0</v>
      </c>
      <c r="I211" s="25">
        <f t="array" ref="I211">IFERROR(IF(A211=A210,0,SUM(_xlfn._xlws.FILTER(G211:G231,(A211:A231=A211)*(E211:E231&lt;0)))),0)</f>
        <v>0</v>
      </c>
      <c r="J211" s="25">
        <f t="array" ref="J211">IFERROR(IF(A211=A210,0,SUM(_xlfn._xlws.FILTER(G211:G231,(A211:A231=A211)*(E211:E231&gt;0)))),0)</f>
        <v>0</v>
      </c>
      <c r="K211" s="25">
        <f>IF(H211&lt;&gt;0,SUM(H$2:H211),0)</f>
        <v>0</v>
      </c>
      <c r="L211" s="25">
        <f>IF(I211&lt;&gt;0,SUM(I$2:I211),0)</f>
        <v>0</v>
      </c>
      <c r="M211" s="25">
        <f>IF(J211&lt;&gt;0,SUM(J$2:J211),0)</f>
        <v>0</v>
      </c>
    </row>
    <row r="212" spans="1:13" x14ac:dyDescent="0.2">
      <c r="A212" s="1" t="s">
        <v>374</v>
      </c>
      <c r="C212" s="2" t="s">
        <v>65</v>
      </c>
      <c r="D212" s="3" t="s">
        <v>16</v>
      </c>
      <c r="E212" s="2" t="s">
        <v>379</v>
      </c>
      <c r="G212" s="25">
        <f t="shared" si="3"/>
        <v>24060</v>
      </c>
      <c r="H212" s="25">
        <f t="array" ref="H212">IF(A212=A211,0,SUM(_xlfn._xlws.FILTER(G212:G232,A212:A232=A212)))</f>
        <v>0</v>
      </c>
      <c r="I212" s="25">
        <f t="array" ref="I212">IFERROR(IF(A212=A211,0,SUM(_xlfn._xlws.FILTER(G212:G232,(A212:A232=A212)*(E212:E232&lt;0)))),0)</f>
        <v>0</v>
      </c>
      <c r="J212" s="25">
        <f t="array" ref="J212">IFERROR(IF(A212=A211,0,SUM(_xlfn._xlws.FILTER(G212:G232,(A212:A232=A212)*(E212:E232&gt;0)))),0)</f>
        <v>0</v>
      </c>
      <c r="K212" s="25">
        <f>IF(H212&lt;&gt;0,SUM(H$2:H212),0)</f>
        <v>0</v>
      </c>
      <c r="L212" s="25">
        <f>IF(I212&lt;&gt;0,SUM(I$2:I212),0)</f>
        <v>0</v>
      </c>
      <c r="M212" s="25">
        <f>IF(J212&lt;&gt;0,SUM(J$2:J212),0)</f>
        <v>0</v>
      </c>
    </row>
    <row r="213" spans="1:13" x14ac:dyDescent="0.2">
      <c r="A213" s="5" t="s">
        <v>380</v>
      </c>
      <c r="C213" s="6" t="s">
        <v>15</v>
      </c>
      <c r="D213" s="7" t="s">
        <v>16</v>
      </c>
      <c r="E213" s="15" t="s">
        <v>381</v>
      </c>
      <c r="G213" s="25">
        <f t="shared" si="3"/>
        <v>-70880</v>
      </c>
      <c r="H213" s="25">
        <f t="array" ref="H213">IF(A213=A212,0,SUM(_xlfn._xlws.FILTER(G213:G233,A213:A233=A213)))</f>
        <v>-131590</v>
      </c>
      <c r="I213" s="25">
        <f t="array" ref="I213">IFERROR(IF(A213=A212,0,SUM(_xlfn._xlws.FILTER(G213:G233,(A213:A233=A213)*(E213:E233&lt;0)))),0)</f>
        <v>0</v>
      </c>
      <c r="J213" s="25">
        <f t="array" ref="J213">IFERROR(IF(A213=A212,0,SUM(_xlfn._xlws.FILTER(G213:G233,(A213:A233=A213)*(E213:E233&gt;0)))),0)</f>
        <v>-131590</v>
      </c>
      <c r="K213" s="25">
        <f>IF(H213&lt;&gt;0,SUM(H$2:H213),0)</f>
        <v>-712731.05880700029</v>
      </c>
      <c r="L213" s="25">
        <f>IF(I213&lt;&gt;0,SUM(I$2:I213),0)</f>
        <v>0</v>
      </c>
      <c r="M213" s="25">
        <f>IF(J213&lt;&gt;0,SUM(J$2:J213),0)</f>
        <v>-712731.05880700029</v>
      </c>
    </row>
    <row r="214" spans="1:13" x14ac:dyDescent="0.2">
      <c r="A214" s="5" t="s">
        <v>380</v>
      </c>
      <c r="C214" s="6" t="s">
        <v>69</v>
      </c>
      <c r="D214" s="7" t="s">
        <v>32</v>
      </c>
      <c r="E214" s="15" t="s">
        <v>382</v>
      </c>
      <c r="G214" s="25">
        <f t="shared" si="3"/>
        <v>60050</v>
      </c>
      <c r="H214" s="25">
        <f t="array" ref="H214">IF(A214=A213,0,SUM(_xlfn._xlws.FILTER(G214:G234,A214:A234=A214)))</f>
        <v>0</v>
      </c>
      <c r="I214" s="25">
        <f t="array" ref="I214">IFERROR(IF(A214=A213,0,SUM(_xlfn._xlws.FILTER(G214:G234,(A214:A234=A214)*(E214:E234&lt;0)))),0)</f>
        <v>0</v>
      </c>
      <c r="J214" s="25">
        <f t="array" ref="J214">IFERROR(IF(A214=A213,0,SUM(_xlfn._xlws.FILTER(G214:G234,(A214:A234=A214)*(E214:E234&gt;0)))),0)</f>
        <v>0</v>
      </c>
      <c r="K214" s="25">
        <f>IF(H214&lt;&gt;0,SUM(H$2:H214),0)</f>
        <v>0</v>
      </c>
      <c r="L214" s="25">
        <f>IF(I214&lt;&gt;0,SUM(I$2:I214),0)</f>
        <v>0</v>
      </c>
      <c r="M214" s="25">
        <f>IF(J214&lt;&gt;0,SUM(J$2:J214),0)</f>
        <v>0</v>
      </c>
    </row>
    <row r="215" spans="1:13" x14ac:dyDescent="0.2">
      <c r="A215" s="1" t="s">
        <v>383</v>
      </c>
      <c r="C215" s="2" t="s">
        <v>320</v>
      </c>
      <c r="D215" s="3" t="s">
        <v>66</v>
      </c>
      <c r="E215" s="2" t="s">
        <v>384</v>
      </c>
      <c r="G215" s="25">
        <f t="shared" si="3"/>
        <v>-341340</v>
      </c>
      <c r="H215" s="25">
        <f t="array" ref="H215">IF(A215=A214,0,SUM(_xlfn._xlws.FILTER(G215:G235,A215:A235=A215)))</f>
        <v>-341340</v>
      </c>
      <c r="I215" s="25">
        <f t="array" ref="I215">IFERROR(IF(A215=A214,0,SUM(_xlfn._xlws.FILTER(G215:G235,(A215:A235=A215)*(E215:E235&lt;0)))),0)</f>
        <v>0</v>
      </c>
      <c r="J215" s="25">
        <f t="array" ref="J215">IFERROR(IF(A215=A214,0,SUM(_xlfn._xlws.FILTER(G215:G235,(A215:A235=A215)*(E215:E235&gt;0)))),0)</f>
        <v>-341340</v>
      </c>
      <c r="K215" s="25">
        <f>IF(H215&lt;&gt;0,SUM(H$2:H215),0)</f>
        <v>-1054071.0588070003</v>
      </c>
      <c r="L215" s="25">
        <f>IF(I215&lt;&gt;0,SUM(I$2:I215),0)</f>
        <v>0</v>
      </c>
      <c r="M215" s="25">
        <f>IF(J215&lt;&gt;0,SUM(J$2:J215),0)</f>
        <v>-1054071.0588070003</v>
      </c>
    </row>
    <row r="216" spans="1:13" x14ac:dyDescent="0.2">
      <c r="A216" s="5" t="s">
        <v>385</v>
      </c>
      <c r="C216" s="6" t="s">
        <v>320</v>
      </c>
      <c r="D216" s="7" t="s">
        <v>46</v>
      </c>
      <c r="E216" s="15" t="s">
        <v>386</v>
      </c>
      <c r="G216" s="25">
        <f t="shared" si="3"/>
        <v>-222800</v>
      </c>
      <c r="H216" s="25">
        <f t="array" ref="H216">IF(A216=A215,0,SUM(_xlfn._xlws.FILTER(G216:G236,A216:A236=A216)))</f>
        <v>-222800</v>
      </c>
      <c r="I216" s="25">
        <f t="array" ref="I216">IFERROR(IF(A216=A215,0,SUM(_xlfn._xlws.FILTER(G216:G236,(A216:A236=A216)*(E216:E236&lt;0)))),0)</f>
        <v>0</v>
      </c>
      <c r="J216" s="25">
        <f t="array" ref="J216">IFERROR(IF(A216=A215,0,SUM(_xlfn._xlws.FILTER(G216:G236,(A216:A236=A216)*(E216:E236&gt;0)))),0)</f>
        <v>-222800</v>
      </c>
      <c r="K216" s="25">
        <f>IF(H216&lt;&gt;0,SUM(H$2:H216),0)</f>
        <v>-1276871.0588070003</v>
      </c>
      <c r="L216" s="25">
        <f>IF(I216&lt;&gt;0,SUM(I$2:I216),0)</f>
        <v>0</v>
      </c>
      <c r="M216" s="25">
        <f>IF(J216&lt;&gt;0,SUM(J$2:J216),0)</f>
        <v>-1276871.0588070003</v>
      </c>
    </row>
    <row r="217" spans="1:13" x14ac:dyDescent="0.2">
      <c r="A217" s="1" t="s">
        <v>387</v>
      </c>
      <c r="C217" s="2" t="s">
        <v>49</v>
      </c>
      <c r="D217" s="3" t="s">
        <v>79</v>
      </c>
      <c r="E217" s="2" t="s">
        <v>388</v>
      </c>
      <c r="G217" s="25">
        <f t="shared" si="3"/>
        <v>-10950</v>
      </c>
      <c r="H217" s="25">
        <f t="array" ref="H217">IF(A217=A216,0,SUM(_xlfn._xlws.FILTER(G217:G237,A217:A237=A217)))</f>
        <v>-10950</v>
      </c>
      <c r="I217" s="25">
        <f t="array" ref="I217">IFERROR(IF(A217=A216,0,SUM(_xlfn._xlws.FILTER(G217:G237,(A217:A237=A217)*(E217:E237&lt;0)))),0)</f>
        <v>0</v>
      </c>
      <c r="J217" s="25">
        <f t="array" ref="J217">IFERROR(IF(A217=A216,0,SUM(_xlfn._xlws.FILTER(G217:G237,(A217:A237=A217)*(E217:E237&gt;0)))),0)</f>
        <v>-10950</v>
      </c>
      <c r="K217" s="25">
        <f>IF(H217&lt;&gt;0,SUM(H$2:H217),0)</f>
        <v>-1287821.0588070003</v>
      </c>
      <c r="L217" s="25">
        <f>IF(I217&lt;&gt;0,SUM(I$2:I217),0)</f>
        <v>0</v>
      </c>
      <c r="M217" s="25">
        <f>IF(J217&lt;&gt;0,SUM(J$2:J217),0)</f>
        <v>-1287821.0588070003</v>
      </c>
    </row>
    <row r="218" spans="1:13" x14ac:dyDescent="0.2">
      <c r="A218" s="5" t="s">
        <v>389</v>
      </c>
      <c r="C218" s="6" t="s">
        <v>49</v>
      </c>
      <c r="D218" s="7" t="s">
        <v>158</v>
      </c>
      <c r="E218" s="6" t="s">
        <v>390</v>
      </c>
      <c r="G218" s="25">
        <f t="shared" si="3"/>
        <v>-31010</v>
      </c>
      <c r="H218" s="25">
        <f t="array" ref="H218">IF(A218=A217,0,SUM(_xlfn._xlws.FILTER(G218:G238,A218:A238=A218)))</f>
        <v>-243567.49999999997</v>
      </c>
      <c r="I218" s="25">
        <f t="array" ref="I218">IFERROR(IF(A218=A217,0,SUM(_xlfn._xlws.FILTER(G218:G238,(A218:A238=A218)*(E218:E238&lt;0)))),0)</f>
        <v>0</v>
      </c>
      <c r="J218" s="25">
        <f t="array" ref="J218">IFERROR(IF(A218=A217,0,SUM(_xlfn._xlws.FILTER(G218:G238,(A218:A238=A218)*(E218:E238&gt;0)))),0)</f>
        <v>-243567.49999999997</v>
      </c>
      <c r="K218" s="25">
        <f>IF(H218&lt;&gt;0,SUM(H$2:H218),0)</f>
        <v>-1531388.5588070003</v>
      </c>
      <c r="L218" s="25">
        <f>IF(I218&lt;&gt;0,SUM(I$2:I218),0)</f>
        <v>0</v>
      </c>
      <c r="M218" s="25">
        <f>IF(J218&lt;&gt;0,SUM(J$2:J218),0)</f>
        <v>-1531388.5588070003</v>
      </c>
    </row>
    <row r="219" spans="1:13" x14ac:dyDescent="0.2">
      <c r="A219" s="5" t="s">
        <v>389</v>
      </c>
      <c r="C219" s="6" t="s">
        <v>22</v>
      </c>
      <c r="D219" s="7" t="s">
        <v>391</v>
      </c>
      <c r="E219" s="6" t="s">
        <v>392</v>
      </c>
      <c r="G219" s="25">
        <f t="shared" si="3"/>
        <v>-212557.49999999997</v>
      </c>
      <c r="H219" s="25">
        <f t="array" ref="H219">IF(A219=A218,0,SUM(_xlfn._xlws.FILTER(G219:G239,A219:A239=A219)))</f>
        <v>0</v>
      </c>
      <c r="I219" s="25">
        <f t="array" ref="I219">IFERROR(IF(A219=A218,0,SUM(_xlfn._xlws.FILTER(G219:G239,(A219:A239=A219)*(E219:E239&lt;0)))),0)</f>
        <v>0</v>
      </c>
      <c r="J219" s="25">
        <f t="array" ref="J219">IFERROR(IF(A219=A218,0,SUM(_xlfn._xlws.FILTER(G219:G239,(A219:A239=A219)*(E219:E239&gt;0)))),0)</f>
        <v>0</v>
      </c>
      <c r="K219" s="25">
        <f>IF(H219&lt;&gt;0,SUM(H$2:H219),0)</f>
        <v>0</v>
      </c>
      <c r="L219" s="25">
        <f>IF(I219&lt;&gt;0,SUM(I$2:I219),0)</f>
        <v>0</v>
      </c>
      <c r="M219" s="25">
        <f>IF(J219&lt;&gt;0,SUM(J$2:J219),0)</f>
        <v>0</v>
      </c>
    </row>
    <row r="220" spans="1:13" x14ac:dyDescent="0.2">
      <c r="A220" s="1" t="s">
        <v>393</v>
      </c>
      <c r="C220" s="2" t="s">
        <v>320</v>
      </c>
      <c r="D220" s="3" t="s">
        <v>46</v>
      </c>
      <c r="E220" s="2" t="s">
        <v>394</v>
      </c>
      <c r="G220" s="25">
        <f t="shared" si="3"/>
        <v>234520</v>
      </c>
      <c r="H220" s="25">
        <f t="array" ref="H220">IF(A220=A219,0,SUM(_xlfn._xlws.FILTER(G220:G240,A220:A240=A220)))</f>
        <v>499130</v>
      </c>
      <c r="I220" s="25">
        <f t="array" ref="I220">IFERROR(IF(A220=A219,0,SUM(_xlfn._xlws.FILTER(G220:G240,(A220:A240=A220)*(E220:E240&lt;0)))),0)</f>
        <v>0</v>
      </c>
      <c r="J220" s="25">
        <f t="array" ref="J220">IFERROR(IF(A220=A219,0,SUM(_xlfn._xlws.FILTER(G220:G240,(A220:A240=A220)*(E220:E240&gt;0)))),0)</f>
        <v>499130</v>
      </c>
      <c r="K220" s="25">
        <f>IF(H220&lt;&gt;0,SUM(H$2:H220),0)</f>
        <v>-1032258.5588070003</v>
      </c>
      <c r="L220" s="25">
        <f>IF(I220&lt;&gt;0,SUM(I$2:I220),0)</f>
        <v>0</v>
      </c>
      <c r="M220" s="25">
        <f>IF(J220&lt;&gt;0,SUM(J$2:J220),0)</f>
        <v>-1032258.5588070003</v>
      </c>
    </row>
    <row r="221" spans="1:13" x14ac:dyDescent="0.2">
      <c r="A221" s="1" t="s">
        <v>393</v>
      </c>
      <c r="C221" s="2" t="s">
        <v>94</v>
      </c>
      <c r="D221" s="3" t="s">
        <v>82</v>
      </c>
      <c r="E221" s="2" t="s">
        <v>395</v>
      </c>
      <c r="G221" s="25">
        <f t="shared" si="3"/>
        <v>126660</v>
      </c>
      <c r="H221" s="25">
        <f t="array" ref="H221">IF(A221=A220,0,SUM(_xlfn._xlws.FILTER(G221:G241,A221:A241=A221)))</f>
        <v>0</v>
      </c>
      <c r="I221" s="25">
        <f t="array" ref="I221">IFERROR(IF(A221=A220,0,SUM(_xlfn._xlws.FILTER(G221:G241,(A221:A241=A221)*(E221:E241&lt;0)))),0)</f>
        <v>0</v>
      </c>
      <c r="J221" s="25">
        <f t="array" ref="J221">IFERROR(IF(A221=A220,0,SUM(_xlfn._xlws.FILTER(G221:G241,(A221:A241=A221)*(E221:E241&gt;0)))),0)</f>
        <v>0</v>
      </c>
      <c r="K221" s="25">
        <f>IF(H221&lt;&gt;0,SUM(H$2:H221),0)</f>
        <v>0</v>
      </c>
      <c r="L221" s="25">
        <f>IF(I221&lt;&gt;0,SUM(I$2:I221),0)</f>
        <v>0</v>
      </c>
      <c r="M221" s="25">
        <f>IF(J221&lt;&gt;0,SUM(J$2:J221),0)</f>
        <v>0</v>
      </c>
    </row>
    <row r="222" spans="1:13" x14ac:dyDescent="0.2">
      <c r="A222" s="1" t="s">
        <v>393</v>
      </c>
      <c r="C222" s="2" t="s">
        <v>69</v>
      </c>
      <c r="D222" s="3" t="s">
        <v>32</v>
      </c>
      <c r="E222" s="2" t="s">
        <v>396</v>
      </c>
      <c r="G222" s="25">
        <f t="shared" si="3"/>
        <v>63099.999999999993</v>
      </c>
      <c r="H222" s="25">
        <f t="array" ref="H222">IF(A222=A221,0,SUM(_xlfn._xlws.FILTER(G222:G242,A222:A242=A222)))</f>
        <v>0</v>
      </c>
      <c r="I222" s="25">
        <f t="array" ref="I222">IFERROR(IF(A222=A221,0,SUM(_xlfn._xlws.FILTER(G222:G242,(A222:A242=A222)*(E222:E242&lt;0)))),0)</f>
        <v>0</v>
      </c>
      <c r="J222" s="25">
        <f t="array" ref="J222">IFERROR(IF(A222=A221,0,SUM(_xlfn._xlws.FILTER(G222:G242,(A222:A242=A222)*(E222:E242&gt;0)))),0)</f>
        <v>0</v>
      </c>
      <c r="K222" s="25">
        <f>IF(H222&lt;&gt;0,SUM(H$2:H222),0)</f>
        <v>0</v>
      </c>
      <c r="L222" s="25">
        <f>IF(I222&lt;&gt;0,SUM(I$2:I222),0)</f>
        <v>0</v>
      </c>
      <c r="M222" s="25">
        <f>IF(J222&lt;&gt;0,SUM(J$2:J222),0)</f>
        <v>0</v>
      </c>
    </row>
    <row r="223" spans="1:13" x14ac:dyDescent="0.2">
      <c r="A223" s="1" t="s">
        <v>393</v>
      </c>
      <c r="C223" s="2" t="s">
        <v>288</v>
      </c>
      <c r="D223" s="3" t="s">
        <v>32</v>
      </c>
      <c r="E223" s="2" t="s">
        <v>397</v>
      </c>
      <c r="G223" s="25">
        <f t="shared" si="3"/>
        <v>74850</v>
      </c>
      <c r="H223" s="25">
        <f t="array" ref="H223">IF(A223=A222,0,SUM(_xlfn._xlws.FILTER(G223:G243,A223:A243=A223)))</f>
        <v>0</v>
      </c>
      <c r="I223" s="25">
        <f t="array" ref="I223">IFERROR(IF(A223=A222,0,SUM(_xlfn._xlws.FILTER(G223:G243,(A223:A243=A223)*(E223:E243&lt;0)))),0)</f>
        <v>0</v>
      </c>
      <c r="J223" s="25">
        <f t="array" ref="J223">IFERROR(IF(A223=A222,0,SUM(_xlfn._xlws.FILTER(G223:G243,(A223:A243=A223)*(E223:E243&gt;0)))),0)</f>
        <v>0</v>
      </c>
      <c r="K223" s="25">
        <f>IF(H223&lt;&gt;0,SUM(H$2:H223),0)</f>
        <v>0</v>
      </c>
      <c r="L223" s="25">
        <f>IF(I223&lt;&gt;0,SUM(I$2:I223),0)</f>
        <v>0</v>
      </c>
      <c r="M223" s="25">
        <f>IF(J223&lt;&gt;0,SUM(J$2:J223),0)</f>
        <v>0</v>
      </c>
    </row>
    <row r="224" spans="1:13" x14ac:dyDescent="0.2">
      <c r="A224" s="5" t="s">
        <v>398</v>
      </c>
      <c r="C224" s="6" t="s">
        <v>222</v>
      </c>
      <c r="D224" s="7" t="s">
        <v>205</v>
      </c>
      <c r="E224" s="6" t="s">
        <v>399</v>
      </c>
      <c r="G224" s="25">
        <f t="shared" si="3"/>
        <v>-101274.4</v>
      </c>
      <c r="H224" s="25">
        <f t="array" ref="H224">IF(A224=A223,0,SUM(_xlfn._xlws.FILTER(G224:G244,A224:A244=A224)))</f>
        <v>-48974.399999999994</v>
      </c>
      <c r="I224" s="25">
        <f t="array" ref="I224">IFERROR(IF(A224=A223,0,SUM(_xlfn._xlws.FILTER(G224:G244,(A224:A244=A224)*(E224:E244&lt;0)))),0)</f>
        <v>0</v>
      </c>
      <c r="J224" s="25">
        <f t="array" ref="J224">IFERROR(IF(A224=A223,0,SUM(_xlfn._xlws.FILTER(G224:G244,(A224:A244=A224)*(E224:E244&gt;0)))),0)</f>
        <v>-48974.399999999994</v>
      </c>
      <c r="K224" s="25">
        <f>IF(H224&lt;&gt;0,SUM(H$2:H224),0)</f>
        <v>-1081232.9588070002</v>
      </c>
      <c r="L224" s="25">
        <f>IF(I224&lt;&gt;0,SUM(I$2:I224),0)</f>
        <v>0</v>
      </c>
      <c r="M224" s="25">
        <f>IF(J224&lt;&gt;0,SUM(J$2:J224),0)</f>
        <v>-1081232.9588070002</v>
      </c>
    </row>
    <row r="225" spans="1:13" x14ac:dyDescent="0.2">
      <c r="A225" s="5" t="s">
        <v>398</v>
      </c>
      <c r="C225" s="6" t="s">
        <v>139</v>
      </c>
      <c r="D225" s="7" t="s">
        <v>120</v>
      </c>
      <c r="E225" s="6" t="s">
        <v>400</v>
      </c>
      <c r="G225" s="25">
        <f t="shared" si="3"/>
        <v>52300</v>
      </c>
      <c r="H225" s="25">
        <f t="array" ref="H225">IF(A225=A224,0,SUM(_xlfn._xlws.FILTER(G225:G245,A225:A245=A225)))</f>
        <v>0</v>
      </c>
      <c r="I225" s="25">
        <f t="array" ref="I225">IFERROR(IF(A225=A224,0,SUM(_xlfn._xlws.FILTER(G225:G245,(A225:A245=A225)*(E225:E245&lt;0)))),0)</f>
        <v>0</v>
      </c>
      <c r="J225" s="25">
        <f t="array" ref="J225">IFERROR(IF(A225=A224,0,SUM(_xlfn._xlws.FILTER(G225:G245,(A225:A245=A225)*(E225:E245&gt;0)))),0)</f>
        <v>0</v>
      </c>
      <c r="K225" s="25">
        <f>IF(H225&lt;&gt;0,SUM(H$2:H225),0)</f>
        <v>0</v>
      </c>
      <c r="L225" s="25">
        <f>IF(I225&lt;&gt;0,SUM(I$2:I225),0)</f>
        <v>0</v>
      </c>
      <c r="M225" s="25">
        <f>IF(J225&lt;&gt;0,SUM(J$2:J225),0)</f>
        <v>0</v>
      </c>
    </row>
    <row r="226" spans="1:13" x14ac:dyDescent="0.2">
      <c r="A226" s="1" t="s">
        <v>401</v>
      </c>
      <c r="C226" s="2" t="s">
        <v>116</v>
      </c>
      <c r="D226" s="3" t="s">
        <v>20</v>
      </c>
      <c r="E226" s="2" t="s">
        <v>402</v>
      </c>
      <c r="G226" s="25">
        <f t="shared" si="3"/>
        <v>-34710</v>
      </c>
      <c r="H226" s="25">
        <f t="array" ref="H226">IF(A226=A225,0,SUM(_xlfn._xlws.FILTER(G226:G246,A226:A246=A226)))</f>
        <v>-34710</v>
      </c>
      <c r="I226" s="25">
        <f t="array" ref="I226">IFERROR(IF(A226=A225,0,SUM(_xlfn._xlws.FILTER(G226:G246,(A226:A246=A226)*(E226:E246&lt;0)))),0)</f>
        <v>0</v>
      </c>
      <c r="J226" s="25">
        <f t="array" ref="J226">IFERROR(IF(A226=A225,0,SUM(_xlfn._xlws.FILTER(G226:G246,(A226:A246=A226)*(E226:E246&gt;0)))),0)</f>
        <v>-34710</v>
      </c>
      <c r="K226" s="25">
        <f>IF(H226&lt;&gt;0,SUM(H$2:H226),0)</f>
        <v>-1115942.9588070002</v>
      </c>
      <c r="L226" s="25">
        <f>IF(I226&lt;&gt;0,SUM(I$2:I226),0)</f>
        <v>0</v>
      </c>
      <c r="M226" s="25">
        <f>IF(J226&lt;&gt;0,SUM(J$2:J226),0)</f>
        <v>-1115942.9588070002</v>
      </c>
    </row>
    <row r="227" spans="1:13" x14ac:dyDescent="0.2">
      <c r="A227" s="5" t="s">
        <v>403</v>
      </c>
      <c r="C227" s="6" t="s">
        <v>90</v>
      </c>
      <c r="D227" s="7" t="s">
        <v>53</v>
      </c>
      <c r="E227" s="6" t="s">
        <v>404</v>
      </c>
      <c r="G227" s="25">
        <f t="shared" si="3"/>
        <v>-98710</v>
      </c>
      <c r="H227" s="25">
        <f t="array" ref="H227">IF(A227=A226,0,SUM(_xlfn._xlws.FILTER(G227:G247,A227:A247=A227)))</f>
        <v>-562369.5</v>
      </c>
      <c r="I227" s="25">
        <f t="array" ref="I227">IFERROR(IF(A227=A226,0,SUM(_xlfn._xlws.FILTER(G227:G247,(A227:A247=A227)*(E227:E247&lt;0)))),0)</f>
        <v>0</v>
      </c>
      <c r="J227" s="25">
        <f t="array" ref="J227">IFERROR(IF(A227=A226,0,SUM(_xlfn._xlws.FILTER(G227:G247,(A227:A247=A227)*(E227:E247&gt;0)))),0)</f>
        <v>-562369.5</v>
      </c>
      <c r="K227" s="25">
        <f>IF(H227&lt;&gt;0,SUM(H$2:H227),0)</f>
        <v>-1678312.4588070002</v>
      </c>
      <c r="L227" s="25">
        <f>IF(I227&lt;&gt;0,SUM(I$2:I227),0)</f>
        <v>0</v>
      </c>
      <c r="M227" s="25">
        <f>IF(J227&lt;&gt;0,SUM(J$2:J227),0)</f>
        <v>-1678312.4588070002</v>
      </c>
    </row>
    <row r="228" spans="1:13" x14ac:dyDescent="0.2">
      <c r="A228" s="1" t="s">
        <v>380</v>
      </c>
      <c r="C228" s="2" t="s">
        <v>19</v>
      </c>
      <c r="D228" s="3" t="s">
        <v>20</v>
      </c>
      <c r="E228" s="16" t="s">
        <v>405</v>
      </c>
      <c r="G228" s="25">
        <f t="shared" si="3"/>
        <v>-120759.99999999999</v>
      </c>
      <c r="H228" s="25">
        <f t="array" ref="H228">IF(A228=A227,0,SUM(_xlfn._xlws.FILTER(G228:G248,A228:A248=A228)))</f>
        <v>-120759.99999999999</v>
      </c>
      <c r="I228" s="25">
        <f t="array" ref="I228">IFERROR(IF(A228=A227,0,SUM(_xlfn._xlws.FILTER(G228:G248,(A228:A248=A228)*(E228:E248&lt;0)))),0)</f>
        <v>0</v>
      </c>
      <c r="J228" s="25">
        <f t="array" ref="J228">IFERROR(IF(A228=A227,0,SUM(_xlfn._xlws.FILTER(G228:G248,(A228:A248=A228)*(E228:E248&gt;0)))),0)</f>
        <v>-120759.99999999999</v>
      </c>
      <c r="K228" s="25">
        <f>IF(H228&lt;&gt;0,SUM(H$2:H228),0)</f>
        <v>-1799072.4588070002</v>
      </c>
      <c r="L228" s="25">
        <f>IF(I228&lt;&gt;0,SUM(I$2:I228),0)</f>
        <v>0</v>
      </c>
      <c r="M228" s="25">
        <f>IF(J228&lt;&gt;0,SUM(J$2:J228),0)</f>
        <v>-1799072.4588070002</v>
      </c>
    </row>
    <row r="229" spans="1:13" x14ac:dyDescent="0.2">
      <c r="A229" s="1" t="s">
        <v>406</v>
      </c>
      <c r="C229" s="2" t="s">
        <v>74</v>
      </c>
      <c r="D229" s="3" t="s">
        <v>82</v>
      </c>
      <c r="E229" s="2" t="s">
        <v>407</v>
      </c>
      <c r="G229" s="25">
        <f t="shared" si="3"/>
        <v>-99285</v>
      </c>
      <c r="H229" s="25">
        <f t="array" ref="H229">IF(A229=A228,0,SUM(_xlfn._xlws.FILTER(G229:G249,A229:A249=A229)))</f>
        <v>-422700.06000000006</v>
      </c>
      <c r="I229" s="25">
        <f t="array" ref="I229">IFERROR(IF(A229=A228,0,SUM(_xlfn._xlws.FILTER(G229:G249,(A229:A249=A229)*(E229:E249&lt;0)))),0)</f>
        <v>0</v>
      </c>
      <c r="J229" s="25">
        <f t="array" ref="J229">IFERROR(IF(A229=A228,0,SUM(_xlfn._xlws.FILTER(G229:G249,(A229:A249=A229)*(E229:E249&gt;0)))),0)</f>
        <v>-422700.06000000006</v>
      </c>
      <c r="K229" s="25">
        <f>IF(H229&lt;&gt;0,SUM(H$2:H229),0)</f>
        <v>-2221772.5188070005</v>
      </c>
      <c r="L229" s="25">
        <f>IF(I229&lt;&gt;0,SUM(I$2:I229),0)</f>
        <v>0</v>
      </c>
      <c r="M229" s="25">
        <f>IF(J229&lt;&gt;0,SUM(J$2:J229),0)</f>
        <v>-2221772.5188070005</v>
      </c>
    </row>
    <row r="230" spans="1:13" x14ac:dyDescent="0.2">
      <c r="A230" s="1" t="s">
        <v>406</v>
      </c>
      <c r="C230" s="2" t="s">
        <v>190</v>
      </c>
      <c r="D230" s="3" t="s">
        <v>16</v>
      </c>
      <c r="E230" s="2" t="s">
        <v>408</v>
      </c>
      <c r="G230" s="25">
        <f t="shared" si="3"/>
        <v>-103659.75</v>
      </c>
      <c r="H230" s="25">
        <f t="array" ref="H230">IF(A230=A229,0,SUM(_xlfn._xlws.FILTER(G230:G250,A230:A250=A230)))</f>
        <v>0</v>
      </c>
      <c r="I230" s="25">
        <f t="array" ref="I230">IFERROR(IF(A230=A229,0,SUM(_xlfn._xlws.FILTER(G230:G250,(A230:A250=A230)*(E230:E250&lt;0)))),0)</f>
        <v>0</v>
      </c>
      <c r="J230" s="25">
        <f t="array" ref="J230">IFERROR(IF(A230=A229,0,SUM(_xlfn._xlws.FILTER(G230:G250,(A230:A250=A230)*(E230:E250&gt;0)))),0)</f>
        <v>0</v>
      </c>
      <c r="K230" s="25">
        <f>IF(H230&lt;&gt;0,SUM(H$2:H230),0)</f>
        <v>0</v>
      </c>
      <c r="L230" s="25">
        <f>IF(I230&lt;&gt;0,SUM(I$2:I230),0)</f>
        <v>0</v>
      </c>
      <c r="M230" s="25">
        <f>IF(J230&lt;&gt;0,SUM(J$2:J230),0)</f>
        <v>0</v>
      </c>
    </row>
    <row r="231" spans="1:13" x14ac:dyDescent="0.2">
      <c r="A231" s="1" t="s">
        <v>406</v>
      </c>
      <c r="C231" s="2" t="s">
        <v>39</v>
      </c>
      <c r="D231" s="3" t="s">
        <v>409</v>
      </c>
      <c r="E231" s="2" t="s">
        <v>410</v>
      </c>
      <c r="G231" s="25">
        <f t="shared" si="3"/>
        <v>-117280.65000000001</v>
      </c>
      <c r="H231" s="25">
        <f t="array" ref="H231">IF(A231=A230,0,SUM(_xlfn._xlws.FILTER(G231:G251,A231:A251=A231)))</f>
        <v>0</v>
      </c>
      <c r="I231" s="25">
        <f t="array" ref="I231">IFERROR(IF(A231=A230,0,SUM(_xlfn._xlws.FILTER(G231:G251,(A231:A251=A231)*(E231:E251&lt;0)))),0)</f>
        <v>0</v>
      </c>
      <c r="J231" s="25">
        <f t="array" ref="J231">IFERROR(IF(A231=A230,0,SUM(_xlfn._xlws.FILTER(G231:G251,(A231:A251=A231)*(E231:E251&gt;0)))),0)</f>
        <v>0</v>
      </c>
      <c r="K231" s="25">
        <f>IF(H231&lt;&gt;0,SUM(H$2:H231),0)</f>
        <v>0</v>
      </c>
      <c r="L231" s="25">
        <f>IF(I231&lt;&gt;0,SUM(I$2:I231),0)</f>
        <v>0</v>
      </c>
      <c r="M231" s="25">
        <f>IF(J231&lt;&gt;0,SUM(J$2:J231),0)</f>
        <v>0</v>
      </c>
    </row>
    <row r="232" spans="1:13" x14ac:dyDescent="0.2">
      <c r="A232" s="1" t="s">
        <v>406</v>
      </c>
      <c r="C232" s="2" t="s">
        <v>61</v>
      </c>
      <c r="D232" s="3" t="s">
        <v>53</v>
      </c>
      <c r="E232" s="2" t="s">
        <v>411</v>
      </c>
      <c r="G232" s="25">
        <f t="shared" si="3"/>
        <v>-102474.66</v>
      </c>
      <c r="H232" s="25">
        <f t="array" ref="H232">IF(A232=A231,0,SUM(_xlfn._xlws.FILTER(G232:G252,A232:A252=A232)))</f>
        <v>0</v>
      </c>
      <c r="I232" s="25">
        <f t="array" ref="I232">IFERROR(IF(A232=A231,0,SUM(_xlfn._xlws.FILTER(G232:G252,(A232:A252=A232)*(E232:E252&lt;0)))),0)</f>
        <v>0</v>
      </c>
      <c r="J232" s="25">
        <f t="array" ref="J232">IFERROR(IF(A232=A231,0,SUM(_xlfn._xlws.FILTER(G232:G252,(A232:A252=A232)*(E232:E252&gt;0)))),0)</f>
        <v>0</v>
      </c>
      <c r="K232" s="25">
        <f>IF(H232&lt;&gt;0,SUM(H$2:H232),0)</f>
        <v>0</v>
      </c>
      <c r="L232" s="25">
        <f>IF(I232&lt;&gt;0,SUM(I$2:I232),0)</f>
        <v>0</v>
      </c>
      <c r="M232" s="25">
        <f>IF(J232&lt;&gt;0,SUM(J$2:J232),0)</f>
        <v>0</v>
      </c>
    </row>
    <row r="233" spans="1:13" x14ac:dyDescent="0.2">
      <c r="A233" s="5" t="s">
        <v>403</v>
      </c>
      <c r="C233" s="6" t="s">
        <v>76</v>
      </c>
      <c r="D233" s="7" t="s">
        <v>53</v>
      </c>
      <c r="E233" s="6" t="s">
        <v>412</v>
      </c>
      <c r="G233" s="25">
        <f t="shared" si="3"/>
        <v>-31375</v>
      </c>
      <c r="H233" s="25">
        <f t="array" ref="H233">IF(A233=A232,0,SUM(_xlfn._xlws.FILTER(G233:G253,A233:A253=A233)))</f>
        <v>-463659.5</v>
      </c>
      <c r="I233" s="25">
        <f t="array" ref="I233">IFERROR(IF(A233=A232,0,SUM(_xlfn._xlws.FILTER(G233:G253,(A233:A253=A233)*(E233:E253&lt;0)))),0)</f>
        <v>0</v>
      </c>
      <c r="J233" s="25">
        <f t="array" ref="J233">IFERROR(IF(A233=A232,0,SUM(_xlfn._xlws.FILTER(G233:G253,(A233:A253=A233)*(E233:E253&gt;0)))),0)</f>
        <v>-463659.5</v>
      </c>
      <c r="K233" s="25">
        <f>IF(H233&lt;&gt;0,SUM(H$2:H233),0)</f>
        <v>-2685432.0188070005</v>
      </c>
      <c r="L233" s="25">
        <f>IF(I233&lt;&gt;0,SUM(I$2:I233),0)</f>
        <v>0</v>
      </c>
      <c r="M233" s="25">
        <f>IF(J233&lt;&gt;0,SUM(J$2:J233),0)</f>
        <v>-2685432.0188070005</v>
      </c>
    </row>
    <row r="234" spans="1:13" x14ac:dyDescent="0.2">
      <c r="A234" s="5" t="s">
        <v>403</v>
      </c>
      <c r="C234" s="6" t="s">
        <v>278</v>
      </c>
      <c r="D234" s="7" t="s">
        <v>92</v>
      </c>
      <c r="E234" s="6" t="s">
        <v>413</v>
      </c>
      <c r="G234" s="25">
        <f t="shared" si="3"/>
        <v>-56764.5</v>
      </c>
      <c r="H234" s="25">
        <f t="array" ref="H234">IF(A234=A233,0,SUM(_xlfn._xlws.FILTER(G234:G254,A234:A254=A234)))</f>
        <v>0</v>
      </c>
      <c r="I234" s="25">
        <f t="array" ref="I234">IFERROR(IF(A234=A233,0,SUM(_xlfn._xlws.FILTER(G234:G254,(A234:A254=A234)*(E234:E254&lt;0)))),0)</f>
        <v>0</v>
      </c>
      <c r="J234" s="25">
        <f t="array" ref="J234">IFERROR(IF(A234=A233,0,SUM(_xlfn._xlws.FILTER(G234:G254,(A234:A254=A234)*(E234:E254&gt;0)))),0)</f>
        <v>0</v>
      </c>
      <c r="K234" s="25">
        <f>IF(H234&lt;&gt;0,SUM(H$2:H234),0)</f>
        <v>0</v>
      </c>
      <c r="L234" s="25">
        <f>IF(I234&lt;&gt;0,SUM(I$2:I234),0)</f>
        <v>0</v>
      </c>
      <c r="M234" s="25">
        <f>IF(J234&lt;&gt;0,SUM(J$2:J234),0)</f>
        <v>0</v>
      </c>
    </row>
    <row r="235" spans="1:13" x14ac:dyDescent="0.2">
      <c r="A235" s="5" t="s">
        <v>403</v>
      </c>
      <c r="C235" s="6" t="s">
        <v>22</v>
      </c>
      <c r="D235" s="7" t="s">
        <v>102</v>
      </c>
      <c r="E235" s="6" t="s">
        <v>414</v>
      </c>
      <c r="G235" s="25">
        <f t="shared" si="3"/>
        <v>-152320</v>
      </c>
      <c r="H235" s="25">
        <f t="array" ref="H235">IF(A235=A234,0,SUM(_xlfn._xlws.FILTER(G235:G255,A235:A255=A235)))</f>
        <v>0</v>
      </c>
      <c r="I235" s="25">
        <f t="array" ref="I235">IFERROR(IF(A235=A234,0,SUM(_xlfn._xlws.FILTER(G235:G255,(A235:A255=A235)*(E235:E255&lt;0)))),0)</f>
        <v>0</v>
      </c>
      <c r="J235" s="25">
        <f t="array" ref="J235">IFERROR(IF(A235=A234,0,SUM(_xlfn._xlws.FILTER(G235:G255,(A235:A255=A235)*(E235:E255&gt;0)))),0)</f>
        <v>0</v>
      </c>
      <c r="K235" s="25">
        <f>IF(H235&lt;&gt;0,SUM(H$2:H235),0)</f>
        <v>0</v>
      </c>
      <c r="L235" s="25">
        <f>IF(I235&lt;&gt;0,SUM(I$2:I235),0)</f>
        <v>0</v>
      </c>
      <c r="M235" s="25">
        <f>IF(J235&lt;&gt;0,SUM(J$2:J235),0)</f>
        <v>0</v>
      </c>
    </row>
    <row r="236" spans="1:13" x14ac:dyDescent="0.2">
      <c r="A236" s="5" t="s">
        <v>403</v>
      </c>
      <c r="C236" s="6" t="s">
        <v>320</v>
      </c>
      <c r="D236" s="7" t="s">
        <v>46</v>
      </c>
      <c r="E236" s="6" t="s">
        <v>415</v>
      </c>
      <c r="G236" s="25">
        <f t="shared" si="3"/>
        <v>-223200</v>
      </c>
      <c r="H236" s="25">
        <f t="array" ref="H236">IF(A236=A235,0,SUM(_xlfn._xlws.FILTER(G236:G256,A236:A256=A236)))</f>
        <v>0</v>
      </c>
      <c r="I236" s="25">
        <f t="array" ref="I236">IFERROR(IF(A236=A235,0,SUM(_xlfn._xlws.FILTER(G236:G256,(A236:A256=A236)*(E236:E256&lt;0)))),0)</f>
        <v>0</v>
      </c>
      <c r="J236" s="25">
        <f t="array" ref="J236">IFERROR(IF(A236=A235,0,SUM(_xlfn._xlws.FILTER(G236:G256,(A236:A256=A236)*(E236:E256&gt;0)))),0)</f>
        <v>0</v>
      </c>
      <c r="K236" s="25">
        <f>IF(H236&lt;&gt;0,SUM(H$2:H236),0)</f>
        <v>0</v>
      </c>
      <c r="L236" s="25">
        <f>IF(I236&lt;&gt;0,SUM(I$2:I236),0)</f>
        <v>0</v>
      </c>
      <c r="M236" s="25">
        <f>IF(J236&lt;&gt;0,SUM(J$2:J236),0)</f>
        <v>0</v>
      </c>
    </row>
    <row r="237" spans="1:13" x14ac:dyDescent="0.2">
      <c r="A237" s="1" t="s">
        <v>416</v>
      </c>
      <c r="C237" s="2" t="s">
        <v>105</v>
      </c>
      <c r="D237" s="3" t="s">
        <v>16</v>
      </c>
      <c r="E237" s="2" t="s">
        <v>417</v>
      </c>
      <c r="G237" s="25">
        <f t="shared" si="3"/>
        <v>-70880</v>
      </c>
      <c r="H237" s="25">
        <f t="array" ref="H237">IF(A237=A236,0,SUM(_xlfn._xlws.FILTER(G237:G257,A237:A257=A237)))</f>
        <v>-70880</v>
      </c>
      <c r="I237" s="25">
        <f t="array" ref="I237">IFERROR(IF(A237=A236,0,SUM(_xlfn._xlws.FILTER(G237:G257,(A237:A257=A237)*(E237:E257&lt;0)))),0)</f>
        <v>0</v>
      </c>
      <c r="J237" s="25">
        <f t="array" ref="J237">IFERROR(IF(A237=A236,0,SUM(_xlfn._xlws.FILTER(G237:G257,(A237:A257=A237)*(E237:E257&gt;0)))),0)</f>
        <v>-70880</v>
      </c>
      <c r="K237" s="25">
        <f>IF(H237&lt;&gt;0,SUM(H$2:H237),0)</f>
        <v>-2756312.0188070005</v>
      </c>
      <c r="L237" s="25">
        <f>IF(I237&lt;&gt;0,SUM(I$2:I237),0)</f>
        <v>0</v>
      </c>
      <c r="M237" s="25">
        <f>IF(J237&lt;&gt;0,SUM(J$2:J237),0)</f>
        <v>-2756312.0188070005</v>
      </c>
    </row>
    <row r="238" spans="1:13" x14ac:dyDescent="0.2">
      <c r="A238" s="5" t="s">
        <v>418</v>
      </c>
      <c r="C238" s="6" t="s">
        <v>94</v>
      </c>
      <c r="D238" s="7" t="s">
        <v>32</v>
      </c>
      <c r="E238" s="6" t="s">
        <v>419</v>
      </c>
      <c r="G238" s="25">
        <f t="shared" si="3"/>
        <v>-197950.00000000003</v>
      </c>
      <c r="H238" s="25">
        <f t="array" ref="H238">IF(A238=A237,0,SUM(_xlfn._xlws.FILTER(G238:G258,A238:A258=A238)))</f>
        <v>-395900.00000000006</v>
      </c>
      <c r="I238" s="25">
        <f t="array" ref="I238">IFERROR(IF(A238=A237,0,SUM(_xlfn._xlws.FILTER(G238:G258,(A238:A258=A238)*(E238:E258&lt;0)))),0)</f>
        <v>0</v>
      </c>
      <c r="J238" s="25">
        <f t="array" ref="J238">IFERROR(IF(A238=A237,0,SUM(_xlfn._xlws.FILTER(G238:G258,(A238:A258=A238)*(E238:E258&gt;0)))),0)</f>
        <v>-395900.00000000006</v>
      </c>
      <c r="K238" s="25">
        <f>IF(H238&lt;&gt;0,SUM(H$2:H238),0)</f>
        <v>-3152212.0188070005</v>
      </c>
      <c r="L238" s="25">
        <f>IF(I238&lt;&gt;0,SUM(I$2:I238),0)</f>
        <v>0</v>
      </c>
      <c r="M238" s="25">
        <f>IF(J238&lt;&gt;0,SUM(J$2:J238),0)</f>
        <v>-3152212.0188070005</v>
      </c>
    </row>
    <row r="239" spans="1:13" x14ac:dyDescent="0.2">
      <c r="A239" s="5" t="s">
        <v>418</v>
      </c>
      <c r="C239" s="6" t="s">
        <v>94</v>
      </c>
      <c r="D239" s="7" t="s">
        <v>32</v>
      </c>
      <c r="E239" s="6" t="s">
        <v>419</v>
      </c>
      <c r="G239" s="25">
        <f t="shared" si="3"/>
        <v>-197950.00000000003</v>
      </c>
      <c r="H239" s="25">
        <f t="array" ref="H239">IF(A239=A238,0,SUM(_xlfn._xlws.FILTER(G239:G259,A239:A259=A239)))</f>
        <v>0</v>
      </c>
      <c r="I239" s="25">
        <f t="array" ref="I239">IFERROR(IF(A239=A238,0,SUM(_xlfn._xlws.FILTER(G239:G259,(A239:A259=A239)*(E239:E259&lt;0)))),0)</f>
        <v>0</v>
      </c>
      <c r="J239" s="25">
        <f t="array" ref="J239">IFERROR(IF(A239=A238,0,SUM(_xlfn._xlws.FILTER(G239:G259,(A239:A259=A239)*(E239:E259&gt;0)))),0)</f>
        <v>0</v>
      </c>
      <c r="K239" s="25">
        <f>IF(H239&lt;&gt;0,SUM(H$2:H239),0)</f>
        <v>0</v>
      </c>
      <c r="L239" s="25">
        <f>IF(I239&lt;&gt;0,SUM(I$2:I239),0)</f>
        <v>0</v>
      </c>
      <c r="M239" s="25">
        <f>IF(J239&lt;&gt;0,SUM(J$2:J239),0)</f>
        <v>0</v>
      </c>
    </row>
    <row r="240" spans="1:13" x14ac:dyDescent="0.2">
      <c r="A240" s="1" t="s">
        <v>420</v>
      </c>
      <c r="C240" s="2" t="s">
        <v>222</v>
      </c>
      <c r="D240" s="3" t="s">
        <v>16</v>
      </c>
      <c r="E240" s="2" t="s">
        <v>421</v>
      </c>
      <c r="G240" s="25">
        <f t="shared" si="3"/>
        <v>-25180</v>
      </c>
      <c r="H240" s="25">
        <f t="array" ref="H240">IF(A240=A239,0,SUM(_xlfn._xlws.FILTER(G240:G260,A240:A260=A240)))</f>
        <v>201572</v>
      </c>
      <c r="I240" s="25">
        <f t="array" ref="I240">IFERROR(IF(A240=A239,0,SUM(_xlfn._xlws.FILTER(G240:G260,(A240:A260=A240)*(E240:E260&lt;0)))),0)</f>
        <v>0</v>
      </c>
      <c r="J240" s="25">
        <f t="array" ref="J240">IFERROR(IF(A240=A239,0,SUM(_xlfn._xlws.FILTER(G240:G260,(A240:A260=A240)*(E240:E260&gt;0)))),0)</f>
        <v>201572</v>
      </c>
      <c r="K240" s="25">
        <f>IF(H240&lt;&gt;0,SUM(H$2:H240),0)</f>
        <v>-2950640.0188070005</v>
      </c>
      <c r="L240" s="25">
        <f>IF(I240&lt;&gt;0,SUM(I$2:I240),0)</f>
        <v>0</v>
      </c>
      <c r="M240" s="25">
        <f>IF(J240&lt;&gt;0,SUM(J$2:J240),0)</f>
        <v>-2950640.0188070005</v>
      </c>
    </row>
    <row r="241" spans="1:13" x14ac:dyDescent="0.2">
      <c r="A241" s="1" t="s">
        <v>420</v>
      </c>
      <c r="C241" s="2" t="s">
        <v>303</v>
      </c>
      <c r="D241" s="3" t="s">
        <v>20</v>
      </c>
      <c r="E241" s="2" t="s">
        <v>422</v>
      </c>
      <c r="G241" s="25">
        <f t="shared" si="3"/>
        <v>226752</v>
      </c>
      <c r="H241" s="25">
        <f t="array" ref="H241">IF(A241=A240,0,SUM(_xlfn._xlws.FILTER(G241:G261,A241:A261=A241)))</f>
        <v>0</v>
      </c>
      <c r="I241" s="25">
        <f t="array" ref="I241">IFERROR(IF(A241=A240,0,SUM(_xlfn._xlws.FILTER(G241:G261,(A241:A261=A241)*(E241:E261&lt;0)))),0)</f>
        <v>0</v>
      </c>
      <c r="J241" s="25">
        <f t="array" ref="J241">IFERROR(IF(A241=A240,0,SUM(_xlfn._xlws.FILTER(G241:G261,(A241:A261=A241)*(E241:E261&gt;0)))),0)</f>
        <v>0</v>
      </c>
      <c r="K241" s="25">
        <f>IF(H241&lt;&gt;0,SUM(H$2:H241),0)</f>
        <v>0</v>
      </c>
      <c r="L241" s="25">
        <f>IF(I241&lt;&gt;0,SUM(I$2:I241),0)</f>
        <v>0</v>
      </c>
      <c r="M241" s="25">
        <f>IF(J241&lt;&gt;0,SUM(J$2:J241),0)</f>
        <v>0</v>
      </c>
    </row>
    <row r="242" spans="1:13" x14ac:dyDescent="0.2">
      <c r="A242" s="5" t="s">
        <v>423</v>
      </c>
      <c r="C242" s="6" t="s">
        <v>63</v>
      </c>
      <c r="D242" s="7" t="s">
        <v>424</v>
      </c>
      <c r="E242" s="6" t="s">
        <v>425</v>
      </c>
      <c r="G242" s="25">
        <f t="shared" si="3"/>
        <v>40039.56</v>
      </c>
      <c r="H242" s="25">
        <f t="array" ref="H242">IF(A242=A241,0,SUM(_xlfn._xlws.FILTER(G242:G262,A242:A262=A242)))</f>
        <v>40039.56</v>
      </c>
      <c r="I242" s="25">
        <f t="array" ref="I242">IFERROR(IF(A242=A241,0,SUM(_xlfn._xlws.FILTER(G242:G262,(A242:A262=A242)*(E242:E262&lt;0)))),0)</f>
        <v>0</v>
      </c>
      <c r="J242" s="25">
        <f t="array" ref="J242">IFERROR(IF(A242=A241,0,SUM(_xlfn._xlws.FILTER(G242:G262,(A242:A262=A242)*(E242:E262&gt;0)))),0)</f>
        <v>40039.56</v>
      </c>
      <c r="K242" s="25">
        <f>IF(H242&lt;&gt;0,SUM(H$2:H242),0)</f>
        <v>-2910600.4588070004</v>
      </c>
      <c r="L242" s="25">
        <f>IF(I242&lt;&gt;0,SUM(I$2:I242),0)</f>
        <v>0</v>
      </c>
      <c r="M242" s="25">
        <f>IF(J242&lt;&gt;0,SUM(J$2:J242),0)</f>
        <v>-2910600.4588070004</v>
      </c>
    </row>
    <row r="243" spans="1:13" x14ac:dyDescent="0.2">
      <c r="A243" s="1" t="s">
        <v>426</v>
      </c>
      <c r="C243" s="2" t="s">
        <v>139</v>
      </c>
      <c r="D243" s="3" t="s">
        <v>120</v>
      </c>
      <c r="E243" s="2" t="s">
        <v>427</v>
      </c>
      <c r="G243" s="25">
        <f t="shared" si="3"/>
        <v>570</v>
      </c>
      <c r="H243" s="25">
        <f t="array" ref="H243">IF(A243=A242,0,SUM(_xlfn._xlws.FILTER(G243:G263,A243:A263=A243)))</f>
        <v>303440.3125</v>
      </c>
      <c r="I243" s="25">
        <f t="array" ref="I243">IFERROR(IF(A243=A242,0,SUM(_xlfn._xlws.FILTER(G243:G263,(A243:A263=A243)*(E243:E263&lt;0)))),0)</f>
        <v>0</v>
      </c>
      <c r="J243" s="25">
        <f t="array" ref="J243">IFERROR(IF(A243=A242,0,SUM(_xlfn._xlws.FILTER(G243:G263,(A243:A263=A243)*(E243:E263&gt;0)))),0)</f>
        <v>303440.3125</v>
      </c>
      <c r="K243" s="25">
        <f>IF(H243&lt;&gt;0,SUM(H$2:H243),0)</f>
        <v>-2607160.1463070004</v>
      </c>
      <c r="L243" s="25">
        <f>IF(I243&lt;&gt;0,SUM(I$2:I243),0)</f>
        <v>0</v>
      </c>
      <c r="M243" s="25">
        <f>IF(J243&lt;&gt;0,SUM(J$2:J243),0)</f>
        <v>-2607160.1463070004</v>
      </c>
    </row>
    <row r="244" spans="1:13" x14ac:dyDescent="0.2">
      <c r="A244" s="1" t="s">
        <v>426</v>
      </c>
      <c r="C244" s="2" t="s">
        <v>72</v>
      </c>
      <c r="D244" s="3" t="s">
        <v>428</v>
      </c>
      <c r="E244" s="2" t="s">
        <v>429</v>
      </c>
      <c r="G244" s="25">
        <f t="shared" si="3"/>
        <v>40825.3125</v>
      </c>
      <c r="H244" s="25">
        <f t="array" ref="H244">IF(A244=A243,0,SUM(_xlfn._xlws.FILTER(G244:G264,A244:A264=A244)))</f>
        <v>0</v>
      </c>
      <c r="I244" s="25">
        <f t="array" ref="I244">IFERROR(IF(A244=A243,0,SUM(_xlfn._xlws.FILTER(G244:G264,(A244:A264=A244)*(E244:E264&lt;0)))),0)</f>
        <v>0</v>
      </c>
      <c r="J244" s="25">
        <f t="array" ref="J244">IFERROR(IF(A244=A243,0,SUM(_xlfn._xlws.FILTER(G244:G264,(A244:A264=A244)*(E244:E264&gt;0)))),0)</f>
        <v>0</v>
      </c>
      <c r="K244" s="25">
        <f>IF(H244&lt;&gt;0,SUM(H$2:H244),0)</f>
        <v>0</v>
      </c>
      <c r="L244" s="25">
        <f>IF(I244&lt;&gt;0,SUM(I$2:I244),0)</f>
        <v>0</v>
      </c>
      <c r="M244" s="25">
        <f>IF(J244&lt;&gt;0,SUM(J$2:J244),0)</f>
        <v>0</v>
      </c>
    </row>
    <row r="245" spans="1:13" x14ac:dyDescent="0.2">
      <c r="A245" s="1" t="s">
        <v>426</v>
      </c>
      <c r="C245" s="2" t="s">
        <v>259</v>
      </c>
      <c r="D245" s="3" t="s">
        <v>53</v>
      </c>
      <c r="E245" s="2" t="s">
        <v>430</v>
      </c>
      <c r="G245" s="25">
        <f t="shared" si="3"/>
        <v>132825</v>
      </c>
      <c r="H245" s="25">
        <f t="array" ref="H245">IF(A245=A244,0,SUM(_xlfn._xlws.FILTER(G245:G265,A245:A265=A245)))</f>
        <v>0</v>
      </c>
      <c r="I245" s="25">
        <f t="array" ref="I245">IFERROR(IF(A245=A244,0,SUM(_xlfn._xlws.FILTER(G245:G265,(A245:A265=A245)*(E245:E265&lt;0)))),0)</f>
        <v>0</v>
      </c>
      <c r="J245" s="25">
        <f t="array" ref="J245">IFERROR(IF(A245=A244,0,SUM(_xlfn._xlws.FILTER(G245:G265,(A245:A265=A245)*(E245:E265&gt;0)))),0)</f>
        <v>0</v>
      </c>
      <c r="K245" s="25">
        <f>IF(H245&lt;&gt;0,SUM(H$2:H245),0)</f>
        <v>0</v>
      </c>
      <c r="L245" s="25">
        <f>IF(I245&lt;&gt;0,SUM(I$2:I245),0)</f>
        <v>0</v>
      </c>
      <c r="M245" s="25">
        <f>IF(J245&lt;&gt;0,SUM(J$2:J245),0)</f>
        <v>0</v>
      </c>
    </row>
    <row r="246" spans="1:13" x14ac:dyDescent="0.2">
      <c r="A246" s="1" t="s">
        <v>426</v>
      </c>
      <c r="C246" s="2" t="s">
        <v>262</v>
      </c>
      <c r="D246" s="3" t="s">
        <v>53</v>
      </c>
      <c r="E246" s="2" t="s">
        <v>430</v>
      </c>
      <c r="G246" s="25">
        <f t="shared" si="3"/>
        <v>132825</v>
      </c>
      <c r="H246" s="25">
        <f t="array" ref="H246">IF(A246=A245,0,SUM(_xlfn._xlws.FILTER(G246:G266,A246:A266=A246)))</f>
        <v>0</v>
      </c>
      <c r="I246" s="25">
        <f t="array" ref="I246">IFERROR(IF(A246=A245,0,SUM(_xlfn._xlws.FILTER(G246:G266,(A246:A266=A246)*(E246:E266&lt;0)))),0)</f>
        <v>0</v>
      </c>
      <c r="J246" s="25">
        <f t="array" ref="J246">IFERROR(IF(A246=A245,0,SUM(_xlfn._xlws.FILTER(G246:G266,(A246:A266=A246)*(E246:E266&gt;0)))),0)</f>
        <v>0</v>
      </c>
      <c r="K246" s="25">
        <f>IF(H246&lt;&gt;0,SUM(H$2:H246),0)</f>
        <v>0</v>
      </c>
      <c r="L246" s="25">
        <f>IF(I246&lt;&gt;0,SUM(I$2:I246),0)</f>
        <v>0</v>
      </c>
      <c r="M246" s="25">
        <f>IF(J246&lt;&gt;0,SUM(J$2:J246),0)</f>
        <v>0</v>
      </c>
    </row>
    <row r="247" spans="1:13" x14ac:dyDescent="0.2">
      <c r="A247" s="1" t="s">
        <v>426</v>
      </c>
      <c r="C247" s="2" t="s">
        <v>94</v>
      </c>
      <c r="D247" s="3" t="s">
        <v>102</v>
      </c>
      <c r="E247" s="2" t="s">
        <v>431</v>
      </c>
      <c r="G247" s="25">
        <f t="shared" si="3"/>
        <v>45760</v>
      </c>
      <c r="H247" s="25">
        <f t="array" ref="H247">IF(A247=A246,0,SUM(_xlfn._xlws.FILTER(G247:G267,A247:A267=A247)))</f>
        <v>0</v>
      </c>
      <c r="I247" s="25">
        <f t="array" ref="I247">IFERROR(IF(A247=A246,0,SUM(_xlfn._xlws.FILTER(G247:G267,(A247:A267=A247)*(E247:E267&lt;0)))),0)</f>
        <v>0</v>
      </c>
      <c r="J247" s="25">
        <f t="array" ref="J247">IFERROR(IF(A247=A246,0,SUM(_xlfn._xlws.FILTER(G247:G267,(A247:A267=A247)*(E247:E267&gt;0)))),0)</f>
        <v>0</v>
      </c>
      <c r="K247" s="25">
        <f>IF(H247&lt;&gt;0,SUM(H$2:H247),0)</f>
        <v>0</v>
      </c>
      <c r="L247" s="25">
        <f>IF(I247&lt;&gt;0,SUM(I$2:I247),0)</f>
        <v>0</v>
      </c>
      <c r="M247" s="25">
        <f>IF(J247&lt;&gt;0,SUM(J$2:J247),0)</f>
        <v>0</v>
      </c>
    </row>
    <row r="248" spans="1:13" x14ac:dyDescent="0.2">
      <c r="A248" s="1" t="s">
        <v>426</v>
      </c>
      <c r="C248" s="2" t="s">
        <v>69</v>
      </c>
      <c r="D248" s="3" t="s">
        <v>82</v>
      </c>
      <c r="E248" s="2" t="s">
        <v>432</v>
      </c>
      <c r="G248" s="25">
        <f t="shared" si="3"/>
        <v>37995</v>
      </c>
      <c r="H248" s="25">
        <f t="array" ref="H248">IF(A248=A247,0,SUM(_xlfn._xlws.FILTER(G248:G268,A248:A268=A248)))</f>
        <v>0</v>
      </c>
      <c r="I248" s="25">
        <f t="array" ref="I248">IFERROR(IF(A248=A247,0,SUM(_xlfn._xlws.FILTER(G248:G268,(A248:A268=A248)*(E248:E268&lt;0)))),0)</f>
        <v>0</v>
      </c>
      <c r="J248" s="25">
        <f t="array" ref="J248">IFERROR(IF(A248=A247,0,SUM(_xlfn._xlws.FILTER(G248:G268,(A248:A268=A248)*(E248:E268&gt;0)))),0)</f>
        <v>0</v>
      </c>
      <c r="K248" s="25">
        <f>IF(H248&lt;&gt;0,SUM(H$2:H248),0)</f>
        <v>0</v>
      </c>
      <c r="L248" s="25">
        <f>IF(I248&lt;&gt;0,SUM(I$2:I248),0)</f>
        <v>0</v>
      </c>
      <c r="M248" s="25">
        <f>IF(J248&lt;&gt;0,SUM(J$2:J248),0)</f>
        <v>0</v>
      </c>
    </row>
    <row r="249" spans="1:13" x14ac:dyDescent="0.2">
      <c r="A249" s="1" t="s">
        <v>426</v>
      </c>
      <c r="C249" s="2" t="s">
        <v>155</v>
      </c>
      <c r="D249" s="3" t="s">
        <v>428</v>
      </c>
      <c r="E249" s="2" t="s">
        <v>433</v>
      </c>
      <c r="G249" s="25">
        <f t="shared" si="3"/>
        <v>19550</v>
      </c>
      <c r="H249" s="25">
        <f t="array" ref="H249">IF(A249=A248,0,SUM(_xlfn._xlws.FILTER(G249:G269,A249:A269=A249)))</f>
        <v>0</v>
      </c>
      <c r="I249" s="25">
        <f t="array" ref="I249">IFERROR(IF(A249=A248,0,SUM(_xlfn._xlws.FILTER(G249:G269,(A249:A269=A249)*(E249:E269&lt;0)))),0)</f>
        <v>0</v>
      </c>
      <c r="J249" s="25">
        <f t="array" ref="J249">IFERROR(IF(A249=A248,0,SUM(_xlfn._xlws.FILTER(G249:G269,(A249:A269=A249)*(E249:E269&gt;0)))),0)</f>
        <v>0</v>
      </c>
      <c r="K249" s="25">
        <f>IF(H249&lt;&gt;0,SUM(H$2:H249),0)</f>
        <v>0</v>
      </c>
      <c r="L249" s="25">
        <f>IF(I249&lt;&gt;0,SUM(I$2:I249),0)</f>
        <v>0</v>
      </c>
      <c r="M249" s="25">
        <f>IF(J249&lt;&gt;0,SUM(J$2:J249),0)</f>
        <v>0</v>
      </c>
    </row>
    <row r="250" spans="1:13" x14ac:dyDescent="0.2">
      <c r="A250" s="1" t="s">
        <v>426</v>
      </c>
      <c r="C250" s="2" t="s">
        <v>320</v>
      </c>
      <c r="D250" s="3" t="s">
        <v>16</v>
      </c>
      <c r="E250" s="2" t="s">
        <v>434</v>
      </c>
      <c r="G250" s="25">
        <f t="shared" si="3"/>
        <v>124180</v>
      </c>
      <c r="H250" s="25">
        <f t="array" ref="H250">IF(A250=A249,0,SUM(_xlfn._xlws.FILTER(G250:G270,A250:A270=A250)))</f>
        <v>0</v>
      </c>
      <c r="I250" s="25">
        <f t="array" ref="I250">IFERROR(IF(A250=A249,0,SUM(_xlfn._xlws.FILTER(G250:G270,(A250:A270=A250)*(E250:E270&lt;0)))),0)</f>
        <v>0</v>
      </c>
      <c r="J250" s="25">
        <f t="array" ref="J250">IFERROR(IF(A250=A249,0,SUM(_xlfn._xlws.FILTER(G250:G270,(A250:A270=A250)*(E250:E270&gt;0)))),0)</f>
        <v>0</v>
      </c>
      <c r="K250" s="25">
        <f>IF(H250&lt;&gt;0,SUM(H$2:H250),0)</f>
        <v>0</v>
      </c>
      <c r="L250" s="25">
        <f>IF(I250&lt;&gt;0,SUM(I$2:I250),0)</f>
        <v>0</v>
      </c>
      <c r="M250" s="25">
        <f>IF(J250&lt;&gt;0,SUM(J$2:J250),0)</f>
        <v>0</v>
      </c>
    </row>
    <row r="251" spans="1:13" x14ac:dyDescent="0.2">
      <c r="A251" s="1" t="s">
        <v>426</v>
      </c>
      <c r="C251" s="2" t="s">
        <v>288</v>
      </c>
      <c r="D251" s="3" t="s">
        <v>16</v>
      </c>
      <c r="E251" s="2" t="s">
        <v>435</v>
      </c>
      <c r="G251" s="25">
        <f t="shared" si="3"/>
        <v>31800</v>
      </c>
      <c r="H251" s="25">
        <f t="array" ref="H251">IF(A251=A250,0,SUM(_xlfn._xlws.FILTER(G251:G271,A251:A271=A251)))</f>
        <v>0</v>
      </c>
      <c r="I251" s="25">
        <f t="array" ref="I251">IFERROR(IF(A251=A250,0,SUM(_xlfn._xlws.FILTER(G251:G271,(A251:A271=A251)*(E251:E271&lt;0)))),0)</f>
        <v>0</v>
      </c>
      <c r="J251" s="25">
        <f t="array" ref="J251">IFERROR(IF(A251=A250,0,SUM(_xlfn._xlws.FILTER(G251:G271,(A251:A271=A251)*(E251:E271&gt;0)))),0)</f>
        <v>0</v>
      </c>
      <c r="K251" s="25">
        <f>IF(H251&lt;&gt;0,SUM(H$2:H251),0)</f>
        <v>0</v>
      </c>
      <c r="L251" s="25">
        <f>IF(I251&lt;&gt;0,SUM(I$2:I251),0)</f>
        <v>0</v>
      </c>
      <c r="M251" s="25">
        <f>IF(J251&lt;&gt;0,SUM(J$2:J251),0)</f>
        <v>0</v>
      </c>
    </row>
    <row r="252" spans="1:13" x14ac:dyDescent="0.2">
      <c r="A252" s="1" t="s">
        <v>426</v>
      </c>
      <c r="C252" s="2" t="s">
        <v>259</v>
      </c>
      <c r="D252" s="3" t="s">
        <v>53</v>
      </c>
      <c r="E252" s="2" t="s">
        <v>436</v>
      </c>
      <c r="G252" s="25">
        <f t="shared" si="3"/>
        <v>-131450</v>
      </c>
      <c r="H252" s="25">
        <f t="array" ref="H252">IF(A252=A251,0,SUM(_xlfn._xlws.FILTER(G252:G272,A252:A272=A252)))</f>
        <v>0</v>
      </c>
      <c r="I252" s="25">
        <f t="array" ref="I252">IFERROR(IF(A252=A251,0,SUM(_xlfn._xlws.FILTER(G252:G272,(A252:A272=A252)*(E252:E272&lt;0)))),0)</f>
        <v>0</v>
      </c>
      <c r="J252" s="25">
        <f t="array" ref="J252">IFERROR(IF(A252=A251,0,SUM(_xlfn._xlws.FILTER(G252:G272,(A252:A272=A252)*(E252:E272&gt;0)))),0)</f>
        <v>0</v>
      </c>
      <c r="K252" s="25">
        <f>IF(H252&lt;&gt;0,SUM(H$2:H252),0)</f>
        <v>0</v>
      </c>
      <c r="L252" s="25">
        <f>IF(I252&lt;&gt;0,SUM(I$2:I252),0)</f>
        <v>0</v>
      </c>
      <c r="M252" s="25">
        <f>IF(J252&lt;&gt;0,SUM(J$2:J252),0)</f>
        <v>0</v>
      </c>
    </row>
    <row r="253" spans="1:13" x14ac:dyDescent="0.2">
      <c r="A253" s="1" t="s">
        <v>426</v>
      </c>
      <c r="C253" s="2" t="s">
        <v>262</v>
      </c>
      <c r="D253" s="3" t="s">
        <v>53</v>
      </c>
      <c r="E253" s="2" t="s">
        <v>437</v>
      </c>
      <c r="G253" s="25">
        <f t="shared" si="3"/>
        <v>-131440</v>
      </c>
      <c r="H253" s="25">
        <f t="array" ref="H253">IF(A253=A252,0,SUM(_xlfn._xlws.FILTER(G253:G273,A253:A273=A253)))</f>
        <v>0</v>
      </c>
      <c r="I253" s="25">
        <f t="array" ref="I253">IFERROR(IF(A253=A252,0,SUM(_xlfn._xlws.FILTER(G253:G273,(A253:A273=A253)*(E253:E273&lt;0)))),0)</f>
        <v>0</v>
      </c>
      <c r="J253" s="25">
        <f t="array" ref="J253">IFERROR(IF(A253=A252,0,SUM(_xlfn._xlws.FILTER(G253:G273,(A253:A273=A253)*(E253:E273&gt;0)))),0)</f>
        <v>0</v>
      </c>
      <c r="K253" s="25">
        <f>IF(H253&lt;&gt;0,SUM(H$2:H253),0)</f>
        <v>0</v>
      </c>
      <c r="L253" s="25">
        <f>IF(I253&lt;&gt;0,SUM(I$2:I253),0)</f>
        <v>0</v>
      </c>
      <c r="M253" s="25">
        <f>IF(J253&lt;&gt;0,SUM(J$2:J253),0)</f>
        <v>0</v>
      </c>
    </row>
    <row r="254" spans="1:13" x14ac:dyDescent="0.2">
      <c r="A254" s="5" t="s">
        <v>438</v>
      </c>
      <c r="C254" s="6" t="s">
        <v>439</v>
      </c>
      <c r="D254" s="7" t="s">
        <v>440</v>
      </c>
      <c r="E254" s="6" t="s">
        <v>441</v>
      </c>
      <c r="G254" s="25">
        <f t="shared" si="3"/>
        <v>-7824.3</v>
      </c>
      <c r="H254" s="25">
        <f t="array" ref="H254">IF(A254=A253,0,SUM(_xlfn._xlws.FILTER(G254:G274,A254:A274=A254)))</f>
        <v>-7824.3</v>
      </c>
      <c r="I254" s="25">
        <f t="array" ref="I254">IFERROR(IF(A254=A253,0,SUM(_xlfn._xlws.FILTER(G254:G274,(A254:A274=A254)*(E254:E274&lt;0)))),0)</f>
        <v>0</v>
      </c>
      <c r="J254" s="25">
        <f t="array" ref="J254">IFERROR(IF(A254=A253,0,SUM(_xlfn._xlws.FILTER(G254:G274,(A254:A274=A254)*(E254:E274&gt;0)))),0)</f>
        <v>-7824.3</v>
      </c>
      <c r="K254" s="25">
        <f>IF(H254&lt;&gt;0,SUM(H$2:H254),0)</f>
        <v>-2614984.4463070002</v>
      </c>
      <c r="L254" s="25">
        <f>IF(I254&lt;&gt;0,SUM(I$2:I254),0)</f>
        <v>0</v>
      </c>
      <c r="M254" s="25">
        <f>IF(J254&lt;&gt;0,SUM(J$2:J254),0)</f>
        <v>-2614984.4463070002</v>
      </c>
    </row>
    <row r="255" spans="1:13" x14ac:dyDescent="0.2">
      <c r="A255" s="1" t="s">
        <v>442</v>
      </c>
      <c r="C255" s="2" t="s">
        <v>190</v>
      </c>
      <c r="D255" s="3" t="s">
        <v>16</v>
      </c>
      <c r="E255" s="2" t="s">
        <v>443</v>
      </c>
      <c r="G255" s="25">
        <f t="shared" si="3"/>
        <v>-101260</v>
      </c>
      <c r="H255" s="25">
        <f t="array" ref="H255">IF(A255=A254,0,SUM(_xlfn._xlws.FILTER(G255:G275,A255:A275=A255)))</f>
        <v>-122670</v>
      </c>
      <c r="I255" s="25">
        <f t="array" ref="I255">IFERROR(IF(A255=A254,0,SUM(_xlfn._xlws.FILTER(G255:G275,(A255:A275=A255)*(E255:E275&lt;0)))),0)</f>
        <v>0</v>
      </c>
      <c r="J255" s="25">
        <f t="array" ref="J255">IFERROR(IF(A255=A254,0,SUM(_xlfn._xlws.FILTER(G255:G275,(A255:A275=A255)*(E255:E275&gt;0)))),0)</f>
        <v>-122670</v>
      </c>
      <c r="K255" s="25">
        <f>IF(H255&lt;&gt;0,SUM(H$2:H255),0)</f>
        <v>-2737654.4463070002</v>
      </c>
      <c r="L255" s="25">
        <f>IF(I255&lt;&gt;0,SUM(I$2:I255),0)</f>
        <v>0</v>
      </c>
      <c r="M255" s="25">
        <f>IF(J255&lt;&gt;0,SUM(J$2:J255),0)</f>
        <v>-2737654.4463070002</v>
      </c>
    </row>
    <row r="256" spans="1:13" x14ac:dyDescent="0.2">
      <c r="A256" s="1" t="s">
        <v>442</v>
      </c>
      <c r="C256" s="2" t="s">
        <v>193</v>
      </c>
      <c r="D256" s="3" t="s">
        <v>82</v>
      </c>
      <c r="E256" s="2" t="s">
        <v>444</v>
      </c>
      <c r="G256" s="25">
        <f t="shared" si="3"/>
        <v>-68880</v>
      </c>
      <c r="H256" s="25">
        <f t="array" ref="H256">IF(A256=A255,0,SUM(_xlfn._xlws.FILTER(G256:G276,A256:A276=A256)))</f>
        <v>0</v>
      </c>
      <c r="I256" s="25">
        <f t="array" ref="I256">IFERROR(IF(A256=A255,0,SUM(_xlfn._xlws.FILTER(G256:G276,(A256:A276=A256)*(E256:E276&lt;0)))),0)</f>
        <v>0</v>
      </c>
      <c r="J256" s="25">
        <f t="array" ref="J256">IFERROR(IF(A256=A255,0,SUM(_xlfn._xlws.FILTER(G256:G276,(A256:A276=A256)*(E256:E276&gt;0)))),0)</f>
        <v>0</v>
      </c>
      <c r="K256" s="25">
        <f>IF(H256&lt;&gt;0,SUM(H$2:H256),0)</f>
        <v>0</v>
      </c>
      <c r="L256" s="25">
        <f>IF(I256&lt;&gt;0,SUM(I$2:I256),0)</f>
        <v>0</v>
      </c>
      <c r="M256" s="25">
        <f>IF(J256&lt;&gt;0,SUM(J$2:J256),0)</f>
        <v>0</v>
      </c>
    </row>
    <row r="257" spans="1:13" x14ac:dyDescent="0.2">
      <c r="A257" s="1" t="s">
        <v>442</v>
      </c>
      <c r="C257" s="2" t="s">
        <v>94</v>
      </c>
      <c r="D257" s="3" t="s">
        <v>102</v>
      </c>
      <c r="E257" s="2" t="s">
        <v>445</v>
      </c>
      <c r="G257" s="25">
        <f t="shared" si="3"/>
        <v>47470</v>
      </c>
      <c r="H257" s="25">
        <f t="array" ref="H257">IF(A257=A256,0,SUM(_xlfn._xlws.FILTER(G257:G277,A257:A277=A257)))</f>
        <v>0</v>
      </c>
      <c r="I257" s="25">
        <f t="array" ref="I257">IFERROR(IF(A257=A256,0,SUM(_xlfn._xlws.FILTER(G257:G277,(A257:A277=A257)*(E257:E277&lt;0)))),0)</f>
        <v>0</v>
      </c>
      <c r="J257" s="25">
        <f t="array" ref="J257">IFERROR(IF(A257=A256,0,SUM(_xlfn._xlws.FILTER(G257:G277,(A257:A277=A257)*(E257:E277&gt;0)))),0)</f>
        <v>0</v>
      </c>
      <c r="K257" s="25">
        <f>IF(H257&lt;&gt;0,SUM(H$2:H257),0)</f>
        <v>0</v>
      </c>
      <c r="L257" s="25">
        <f>IF(I257&lt;&gt;0,SUM(I$2:I257),0)</f>
        <v>0</v>
      </c>
      <c r="M257" s="25">
        <f>IF(J257&lt;&gt;0,SUM(J$2:J257),0)</f>
        <v>0</v>
      </c>
    </row>
    <row r="258" spans="1:13" x14ac:dyDescent="0.2">
      <c r="A258" s="5" t="s">
        <v>446</v>
      </c>
      <c r="C258" s="6" t="s">
        <v>447</v>
      </c>
      <c r="D258" s="7" t="s">
        <v>428</v>
      </c>
      <c r="E258" s="6" t="s">
        <v>448</v>
      </c>
      <c r="G258" s="25">
        <f t="shared" ref="G258:G321" si="4">D258*E258*IF(OR(C258="IAG",C258="EZJ",C258="AET"),0.01,1)</f>
        <v>-18375</v>
      </c>
      <c r="H258" s="25">
        <f t="array" ref="H258">IF(A258=A257,0,SUM(_xlfn._xlws.FILTER(G258:G278,A258:A278=A258)))</f>
        <v>-176524</v>
      </c>
      <c r="I258" s="25">
        <f t="array" ref="I258">IFERROR(IF(A258=A257,0,SUM(_xlfn._xlws.FILTER(G258:G278,(A258:A278=A258)*(E258:E278&lt;0)))),0)</f>
        <v>0</v>
      </c>
      <c r="J258" s="25">
        <f t="array" ref="J258">IFERROR(IF(A258=A257,0,SUM(_xlfn._xlws.FILTER(G258:G278,(A258:A278=A258)*(E258:E278&gt;0)))),0)</f>
        <v>-176524</v>
      </c>
      <c r="K258" s="25">
        <f>IF(H258&lt;&gt;0,SUM(H$2:H258),0)</f>
        <v>-2914178.4463070002</v>
      </c>
      <c r="L258" s="25">
        <f>IF(I258&lt;&gt;0,SUM(I$2:I258),0)</f>
        <v>0</v>
      </c>
      <c r="M258" s="25">
        <f>IF(J258&lt;&gt;0,SUM(J$2:J258),0)</f>
        <v>-2914178.4463070002</v>
      </c>
    </row>
    <row r="259" spans="1:13" x14ac:dyDescent="0.2">
      <c r="A259" s="5" t="s">
        <v>446</v>
      </c>
      <c r="C259" s="6" t="s">
        <v>288</v>
      </c>
      <c r="D259" s="7" t="s">
        <v>16</v>
      </c>
      <c r="E259" s="6" t="s">
        <v>449</v>
      </c>
      <c r="G259" s="25">
        <f t="shared" si="4"/>
        <v>-29460</v>
      </c>
      <c r="H259" s="25">
        <f t="array" ref="H259">IF(A259=A258,0,SUM(_xlfn._xlws.FILTER(G259:G279,A259:A279=A259)))</f>
        <v>0</v>
      </c>
      <c r="I259" s="25">
        <f t="array" ref="I259">IFERROR(IF(A259=A258,0,SUM(_xlfn._xlws.FILTER(G259:G279,(A259:A279=A259)*(E259:E279&lt;0)))),0)</f>
        <v>0</v>
      </c>
      <c r="J259" s="25">
        <f t="array" ref="J259">IFERROR(IF(A259=A258,0,SUM(_xlfn._xlws.FILTER(G259:G279,(A259:A279=A259)*(E259:E279&gt;0)))),0)</f>
        <v>0</v>
      </c>
      <c r="K259" s="25">
        <f>IF(H259&lt;&gt;0,SUM(H$2:H259),0)</f>
        <v>0</v>
      </c>
      <c r="L259" s="25">
        <f>IF(I259&lt;&gt;0,SUM(I$2:I259),0)</f>
        <v>0</v>
      </c>
      <c r="M259" s="25">
        <f>IF(J259&lt;&gt;0,SUM(J$2:J259),0)</f>
        <v>0</v>
      </c>
    </row>
    <row r="260" spans="1:13" x14ac:dyDescent="0.2">
      <c r="A260" s="5" t="s">
        <v>446</v>
      </c>
      <c r="C260" s="6" t="s">
        <v>134</v>
      </c>
      <c r="D260" s="7" t="s">
        <v>120</v>
      </c>
      <c r="E260" s="6" t="s">
        <v>450</v>
      </c>
      <c r="G260" s="25">
        <f t="shared" si="4"/>
        <v>-38200</v>
      </c>
      <c r="H260" s="25">
        <f t="array" ref="H260">IF(A260=A259,0,SUM(_xlfn._xlws.FILTER(G260:G280,A260:A280=A260)))</f>
        <v>0</v>
      </c>
      <c r="I260" s="25">
        <f t="array" ref="I260">IFERROR(IF(A260=A259,0,SUM(_xlfn._xlws.FILTER(G260:G280,(A260:A280=A260)*(E260:E280&lt;0)))),0)</f>
        <v>0</v>
      </c>
      <c r="J260" s="25">
        <f t="array" ref="J260">IFERROR(IF(A260=A259,0,SUM(_xlfn._xlws.FILTER(G260:G280,(A260:A280=A260)*(E260:E280&gt;0)))),0)</f>
        <v>0</v>
      </c>
      <c r="K260" s="25">
        <f>IF(H260&lt;&gt;0,SUM(H$2:H260),0)</f>
        <v>0</v>
      </c>
      <c r="L260" s="25">
        <f>IF(I260&lt;&gt;0,SUM(I$2:I260),0)</f>
        <v>0</v>
      </c>
      <c r="M260" s="25">
        <f>IF(J260&lt;&gt;0,SUM(J$2:J260),0)</f>
        <v>0</v>
      </c>
    </row>
    <row r="261" spans="1:13" x14ac:dyDescent="0.2">
      <c r="A261" s="5" t="s">
        <v>446</v>
      </c>
      <c r="C261" s="6" t="s">
        <v>119</v>
      </c>
      <c r="D261" s="7" t="s">
        <v>451</v>
      </c>
      <c r="E261" s="6" t="s">
        <v>452</v>
      </c>
      <c r="G261" s="25">
        <f t="shared" si="4"/>
        <v>-40509</v>
      </c>
      <c r="H261" s="25">
        <f t="array" ref="H261">IF(A261=A260,0,SUM(_xlfn._xlws.FILTER(G261:G281,A261:A281=A261)))</f>
        <v>0</v>
      </c>
      <c r="I261" s="25">
        <f t="array" ref="I261">IFERROR(IF(A261=A260,0,SUM(_xlfn._xlws.FILTER(G261:G281,(A261:A281=A261)*(E261:E281&lt;0)))),0)</f>
        <v>0</v>
      </c>
      <c r="J261" s="25">
        <f t="array" ref="J261">IFERROR(IF(A261=A260,0,SUM(_xlfn._xlws.FILTER(G261:G281,(A261:A281=A261)*(E261:E281&gt;0)))),0)</f>
        <v>0</v>
      </c>
      <c r="K261" s="25">
        <f>IF(H261&lt;&gt;0,SUM(H$2:H261),0)</f>
        <v>0</v>
      </c>
      <c r="L261" s="25">
        <f>IF(I261&lt;&gt;0,SUM(I$2:I261),0)</f>
        <v>0</v>
      </c>
      <c r="M261" s="25">
        <f>IF(J261&lt;&gt;0,SUM(J$2:J261),0)</f>
        <v>0</v>
      </c>
    </row>
    <row r="262" spans="1:13" x14ac:dyDescent="0.2">
      <c r="A262" s="5" t="s">
        <v>446</v>
      </c>
      <c r="C262" s="6" t="s">
        <v>190</v>
      </c>
      <c r="D262" s="7" t="s">
        <v>102</v>
      </c>
      <c r="E262" s="6" t="s">
        <v>453</v>
      </c>
      <c r="G262" s="25">
        <f t="shared" si="4"/>
        <v>-49980</v>
      </c>
      <c r="H262" s="25">
        <f t="array" ref="H262">IF(A262=A261,0,SUM(_xlfn._xlws.FILTER(G262:G282,A262:A282=A262)))</f>
        <v>0</v>
      </c>
      <c r="I262" s="25">
        <f t="array" ref="I262">IFERROR(IF(A262=A261,0,SUM(_xlfn._xlws.FILTER(G262:G282,(A262:A282=A262)*(E262:E282&lt;0)))),0)</f>
        <v>0</v>
      </c>
      <c r="J262" s="25">
        <f t="array" ref="J262">IFERROR(IF(A262=A261,0,SUM(_xlfn._xlws.FILTER(G262:G282,(A262:A282=A262)*(E262:E282&gt;0)))),0)</f>
        <v>0</v>
      </c>
      <c r="K262" s="25">
        <f>IF(H262&lt;&gt;0,SUM(H$2:H262),0)</f>
        <v>0</v>
      </c>
      <c r="L262" s="25">
        <f>IF(I262&lt;&gt;0,SUM(I$2:I262),0)</f>
        <v>0</v>
      </c>
      <c r="M262" s="25">
        <f>IF(J262&lt;&gt;0,SUM(J$2:J262),0)</f>
        <v>0</v>
      </c>
    </row>
    <row r="263" spans="1:13" x14ac:dyDescent="0.2">
      <c r="A263" s="1" t="s">
        <v>454</v>
      </c>
      <c r="C263" s="2" t="s">
        <v>320</v>
      </c>
      <c r="D263" s="3" t="s">
        <v>16</v>
      </c>
      <c r="E263" s="2" t="s">
        <v>455</v>
      </c>
      <c r="G263" s="25">
        <f t="shared" si="4"/>
        <v>126600</v>
      </c>
      <c r="H263" s="25">
        <f t="array" ref="H263">IF(A263=A262,0,SUM(_xlfn._xlws.FILTER(G263:G283,A263:A283=A263)))</f>
        <v>155430</v>
      </c>
      <c r="I263" s="25">
        <f t="array" ref="I263">IFERROR(IF(A263=A262,0,SUM(_xlfn._xlws.FILTER(G263:G283,(A263:A283=A263)*(E263:E283&lt;0)))),0)</f>
        <v>0</v>
      </c>
      <c r="J263" s="25">
        <f t="array" ref="J263">IFERROR(IF(A263=A262,0,SUM(_xlfn._xlws.FILTER(G263:G283,(A263:A283=A263)*(E263:E283&gt;0)))),0)</f>
        <v>155430</v>
      </c>
      <c r="K263" s="25">
        <f>IF(H263&lt;&gt;0,SUM(H$2:H263),0)</f>
        <v>-2758748.4463070002</v>
      </c>
      <c r="L263" s="25">
        <f>IF(I263&lt;&gt;0,SUM(I$2:I263),0)</f>
        <v>0</v>
      </c>
      <c r="M263" s="25">
        <f>IF(J263&lt;&gt;0,SUM(J$2:J263),0)</f>
        <v>-2758748.4463070002</v>
      </c>
    </row>
    <row r="264" spans="1:13" x14ac:dyDescent="0.2">
      <c r="A264" s="1" t="s">
        <v>454</v>
      </c>
      <c r="C264" s="2" t="s">
        <v>31</v>
      </c>
      <c r="D264" s="3" t="s">
        <v>102</v>
      </c>
      <c r="E264" s="2" t="s">
        <v>456</v>
      </c>
      <c r="G264" s="25">
        <f t="shared" si="4"/>
        <v>28830</v>
      </c>
      <c r="H264" s="25">
        <f t="array" ref="H264">IF(A264=A263,0,SUM(_xlfn._xlws.FILTER(G264:G284,A264:A284=A264)))</f>
        <v>0</v>
      </c>
      <c r="I264" s="25">
        <f t="array" ref="I264">IFERROR(IF(A264=A263,0,SUM(_xlfn._xlws.FILTER(G264:G284,(A264:A284=A264)*(E264:E284&lt;0)))),0)</f>
        <v>0</v>
      </c>
      <c r="J264" s="25">
        <f t="array" ref="J264">IFERROR(IF(A264=A263,0,SUM(_xlfn._xlws.FILTER(G264:G284,(A264:A284=A264)*(E264:E284&gt;0)))),0)</f>
        <v>0</v>
      </c>
      <c r="K264" s="25">
        <f>IF(H264&lt;&gt;0,SUM(H$2:H264),0)</f>
        <v>0</v>
      </c>
      <c r="L264" s="25">
        <f>IF(I264&lt;&gt;0,SUM(I$2:I264),0)</f>
        <v>0</v>
      </c>
      <c r="M264" s="25">
        <f>IF(J264&lt;&gt;0,SUM(J$2:J264),0)</f>
        <v>0</v>
      </c>
    </row>
    <row r="265" spans="1:13" x14ac:dyDescent="0.2">
      <c r="A265" s="5" t="s">
        <v>457</v>
      </c>
      <c r="C265" s="6" t="s">
        <v>458</v>
      </c>
      <c r="D265" s="7" t="s">
        <v>328</v>
      </c>
      <c r="E265" s="15" t="s">
        <v>459</v>
      </c>
      <c r="G265" s="25">
        <f t="shared" si="4"/>
        <v>97956</v>
      </c>
      <c r="H265" s="25">
        <f t="array" ref="H265">IF(A265=A264,0,SUM(_xlfn._xlws.FILTER(G265:G285,A265:A285=A265)))</f>
        <v>97956</v>
      </c>
      <c r="I265" s="25">
        <f t="array" ref="I265">IFERROR(IF(A265=A264,0,SUM(_xlfn._xlws.FILTER(G265:G285,(A265:A285=A265)*(E265:E285&lt;0)))),0)</f>
        <v>0</v>
      </c>
      <c r="J265" s="25">
        <f t="array" ref="J265">IFERROR(IF(A265=A264,0,SUM(_xlfn._xlws.FILTER(G265:G285,(A265:A285=A265)*(E265:E285&gt;0)))),0)</f>
        <v>97956</v>
      </c>
      <c r="K265" s="25">
        <f>IF(H265&lt;&gt;0,SUM(H$2:H265),0)</f>
        <v>-2660792.4463070002</v>
      </c>
      <c r="L265" s="25">
        <f>IF(I265&lt;&gt;0,SUM(I$2:I265),0)</f>
        <v>0</v>
      </c>
      <c r="M265" s="25">
        <f>IF(J265&lt;&gt;0,SUM(J$2:J265),0)</f>
        <v>-2660792.4463070002</v>
      </c>
    </row>
    <row r="266" spans="1:13" x14ac:dyDescent="0.2">
      <c r="A266" s="17" t="s">
        <v>460</v>
      </c>
      <c r="C266" s="6" t="s">
        <v>461</v>
      </c>
      <c r="D266" s="7" t="s">
        <v>102</v>
      </c>
      <c r="E266" s="6" t="s">
        <v>462</v>
      </c>
      <c r="G266" s="25">
        <f t="shared" si="4"/>
        <v>-206730</v>
      </c>
      <c r="H266" s="25">
        <f t="array" ref="H266">IF(A266=A265,0,SUM(_xlfn._xlws.FILTER(G266:G286,A266:A286=A266)))</f>
        <v>-377242.5</v>
      </c>
      <c r="I266" s="25">
        <f t="array" ref="I266">IFERROR(IF(A266=A265,0,SUM(_xlfn._xlws.FILTER(G266:G286,(A266:A286=A266)*(E266:E286&lt;0)))),0)</f>
        <v>0</v>
      </c>
      <c r="J266" s="25">
        <f t="array" ref="J266">IFERROR(IF(A266=A265,0,SUM(_xlfn._xlws.FILTER(G266:G286,(A266:A286=A266)*(E266:E286&gt;0)))),0)</f>
        <v>-377242.5</v>
      </c>
      <c r="K266" s="25">
        <f>IF(H266&lt;&gt;0,SUM(H$2:H266),0)</f>
        <v>-3038034.9463070002</v>
      </c>
      <c r="L266" s="25">
        <f>IF(I266&lt;&gt;0,SUM(I$2:I266),0)</f>
        <v>0</v>
      </c>
      <c r="M266" s="25">
        <f>IF(J266&lt;&gt;0,SUM(J$2:J266),0)</f>
        <v>-3038034.9463070002</v>
      </c>
    </row>
    <row r="267" spans="1:13" x14ac:dyDescent="0.2">
      <c r="A267" s="17" t="s">
        <v>460</v>
      </c>
      <c r="C267" s="6" t="s">
        <v>116</v>
      </c>
      <c r="D267" s="7" t="s">
        <v>102</v>
      </c>
      <c r="E267" s="6" t="s">
        <v>463</v>
      </c>
      <c r="G267" s="25">
        <f t="shared" si="4"/>
        <v>-204097.5</v>
      </c>
      <c r="H267" s="25">
        <f t="array" ref="H267">IF(A267=A266,0,SUM(_xlfn._xlws.FILTER(G267:G287,A267:A287=A267)))</f>
        <v>0</v>
      </c>
      <c r="I267" s="25">
        <f t="array" ref="I267">IFERROR(IF(A267=A266,0,SUM(_xlfn._xlws.FILTER(G267:G287,(A267:A287=A267)*(E267:E287&lt;0)))),0)</f>
        <v>0</v>
      </c>
      <c r="J267" s="25">
        <f t="array" ref="J267">IFERROR(IF(A267=A266,0,SUM(_xlfn._xlws.FILTER(G267:G287,(A267:A287=A267)*(E267:E287&gt;0)))),0)</f>
        <v>0</v>
      </c>
      <c r="K267" s="25">
        <f>IF(H267&lt;&gt;0,SUM(H$2:H267),0)</f>
        <v>0</v>
      </c>
      <c r="L267" s="25">
        <f>IF(I267&lt;&gt;0,SUM(I$2:I267),0)</f>
        <v>0</v>
      </c>
      <c r="M267" s="25">
        <f>IF(J267&lt;&gt;0,SUM(J$2:J267),0)</f>
        <v>0</v>
      </c>
    </row>
    <row r="268" spans="1:13" x14ac:dyDescent="0.2">
      <c r="A268" s="17" t="s">
        <v>460</v>
      </c>
      <c r="C268" s="6" t="s">
        <v>139</v>
      </c>
      <c r="D268" s="7" t="s">
        <v>50</v>
      </c>
      <c r="E268" s="6" t="s">
        <v>464</v>
      </c>
      <c r="G268" s="25">
        <f t="shared" si="4"/>
        <v>33585</v>
      </c>
      <c r="H268" s="25">
        <f t="array" ref="H268">IF(A268=A267,0,SUM(_xlfn._xlws.FILTER(G268:G288,A268:A288=A268)))</f>
        <v>0</v>
      </c>
      <c r="I268" s="25">
        <f t="array" ref="I268">IFERROR(IF(A268=A267,0,SUM(_xlfn._xlws.FILTER(G268:G288,(A268:A288=A268)*(E268:E288&lt;0)))),0)</f>
        <v>0</v>
      </c>
      <c r="J268" s="25">
        <f t="array" ref="J268">IFERROR(IF(A268=A267,0,SUM(_xlfn._xlws.FILTER(G268:G288,(A268:A288=A268)*(E268:E288&gt;0)))),0)</f>
        <v>0</v>
      </c>
      <c r="K268" s="25">
        <f>IF(H268&lt;&gt;0,SUM(H$2:H268),0)</f>
        <v>0</v>
      </c>
      <c r="L268" s="25">
        <f>IF(I268&lt;&gt;0,SUM(I$2:I268),0)</f>
        <v>0</v>
      </c>
      <c r="M268" s="25">
        <f>IF(J268&lt;&gt;0,SUM(J$2:J268),0)</f>
        <v>0</v>
      </c>
    </row>
    <row r="269" spans="1:13" x14ac:dyDescent="0.2">
      <c r="A269" s="5" t="s">
        <v>465</v>
      </c>
      <c r="C269" s="6" t="s">
        <v>149</v>
      </c>
      <c r="D269" s="7" t="s">
        <v>46</v>
      </c>
      <c r="E269" s="15" t="s">
        <v>466</v>
      </c>
      <c r="G269" s="25">
        <f t="shared" si="4"/>
        <v>45000</v>
      </c>
      <c r="H269" s="25">
        <f t="array" ref="H269">IF(A269=A268,0,SUM(_xlfn._xlws.FILTER(G269:G289,A269:A289=A269)))</f>
        <v>1075238</v>
      </c>
      <c r="I269" s="25">
        <f t="array" ref="I269">IFERROR(IF(A269=A268,0,SUM(_xlfn._xlws.FILTER(G269:G289,(A269:A289=A269)*(E269:E289&lt;0)))),0)</f>
        <v>0</v>
      </c>
      <c r="J269" s="25">
        <f t="array" ref="J269">IFERROR(IF(A269=A268,0,SUM(_xlfn._xlws.FILTER(G269:G289,(A269:A289=A269)*(E269:E289&gt;0)))),0)</f>
        <v>1075238</v>
      </c>
      <c r="K269" s="25">
        <f>IF(H269&lt;&gt;0,SUM(H$2:H269),0)</f>
        <v>-1962796.9463070002</v>
      </c>
      <c r="L269" s="25">
        <f>IF(I269&lt;&gt;0,SUM(I$2:I269),0)</f>
        <v>0</v>
      </c>
      <c r="M269" s="25">
        <f>IF(J269&lt;&gt;0,SUM(J$2:J269),0)</f>
        <v>-1962796.9463070002</v>
      </c>
    </row>
    <row r="270" spans="1:13" x14ac:dyDescent="0.2">
      <c r="A270" s="5" t="s">
        <v>465</v>
      </c>
      <c r="C270" s="6" t="s">
        <v>25</v>
      </c>
      <c r="D270" s="7" t="s">
        <v>102</v>
      </c>
      <c r="E270" s="15" t="s">
        <v>467</v>
      </c>
      <c r="G270" s="25">
        <f t="shared" si="4"/>
        <v>73820</v>
      </c>
      <c r="H270" s="25">
        <f t="array" ref="H270">IF(A270=A269,0,SUM(_xlfn._xlws.FILTER(G270:G290,A270:A290=A270)))</f>
        <v>0</v>
      </c>
      <c r="I270" s="25">
        <f t="array" ref="I270">IFERROR(IF(A270=A269,0,SUM(_xlfn._xlws.FILTER(G270:G290,(A270:A290=A270)*(E270:E290&lt;0)))),0)</f>
        <v>0</v>
      </c>
      <c r="J270" s="25">
        <f t="array" ref="J270">IFERROR(IF(A270=A269,0,SUM(_xlfn._xlws.FILTER(G270:G290,(A270:A290=A270)*(E270:E290&gt;0)))),0)</f>
        <v>0</v>
      </c>
      <c r="K270" s="25">
        <f>IF(H270&lt;&gt;0,SUM(H$2:H270),0)</f>
        <v>0</v>
      </c>
      <c r="L270" s="25">
        <f>IF(I270&lt;&gt;0,SUM(I$2:I270),0)</f>
        <v>0</v>
      </c>
      <c r="M270" s="25">
        <f>IF(J270&lt;&gt;0,SUM(J$2:J270),0)</f>
        <v>0</v>
      </c>
    </row>
    <row r="271" spans="1:13" x14ac:dyDescent="0.2">
      <c r="A271" s="5" t="s">
        <v>465</v>
      </c>
      <c r="C271" s="6" t="s">
        <v>72</v>
      </c>
      <c r="D271" s="7" t="s">
        <v>191</v>
      </c>
      <c r="E271" s="15" t="s">
        <v>468</v>
      </c>
      <c r="G271" s="25">
        <f t="shared" si="4"/>
        <v>48360</v>
      </c>
      <c r="H271" s="25">
        <f t="array" ref="H271">IF(A271=A270,0,SUM(_xlfn._xlws.FILTER(G271:G291,A271:A291=A271)))</f>
        <v>0</v>
      </c>
      <c r="I271" s="25">
        <f t="array" ref="I271">IFERROR(IF(A271=A270,0,SUM(_xlfn._xlws.FILTER(G271:G291,(A271:A291=A271)*(E271:E291&lt;0)))),0)</f>
        <v>0</v>
      </c>
      <c r="J271" s="25">
        <f t="array" ref="J271">IFERROR(IF(A271=A270,0,SUM(_xlfn._xlws.FILTER(G271:G291,(A271:A291=A271)*(E271:E291&gt;0)))),0)</f>
        <v>0</v>
      </c>
      <c r="K271" s="25">
        <f>IF(H271&lt;&gt;0,SUM(H$2:H271),0)</f>
        <v>0</v>
      </c>
      <c r="L271" s="25">
        <f>IF(I271&lt;&gt;0,SUM(I$2:I271),0)</f>
        <v>0</v>
      </c>
      <c r="M271" s="25">
        <f>IF(J271&lt;&gt;0,SUM(J$2:J271),0)</f>
        <v>0</v>
      </c>
    </row>
    <row r="272" spans="1:13" x14ac:dyDescent="0.2">
      <c r="A272" s="5" t="s">
        <v>465</v>
      </c>
      <c r="C272" s="6" t="s">
        <v>259</v>
      </c>
      <c r="D272" s="7" t="s">
        <v>53</v>
      </c>
      <c r="E272" s="15" t="s">
        <v>469</v>
      </c>
      <c r="G272" s="25">
        <f t="shared" si="4"/>
        <v>131940</v>
      </c>
      <c r="H272" s="25">
        <f t="array" ref="H272">IF(A272=A271,0,SUM(_xlfn._xlws.FILTER(G272:G292,A272:A292=A272)))</f>
        <v>0</v>
      </c>
      <c r="I272" s="25">
        <f t="array" ref="I272">IFERROR(IF(A272=A271,0,SUM(_xlfn._xlws.FILTER(G272:G292,(A272:A292=A272)*(E272:E292&lt;0)))),0)</f>
        <v>0</v>
      </c>
      <c r="J272" s="25">
        <f t="array" ref="J272">IFERROR(IF(A272=A271,0,SUM(_xlfn._xlws.FILTER(G272:G292,(A272:A292=A272)*(E272:E292&gt;0)))),0)</f>
        <v>0</v>
      </c>
      <c r="K272" s="25">
        <f>IF(H272&lt;&gt;0,SUM(H$2:H272),0)</f>
        <v>0</v>
      </c>
      <c r="L272" s="25">
        <f>IF(I272&lt;&gt;0,SUM(I$2:I272),0)</f>
        <v>0</v>
      </c>
      <c r="M272" s="25">
        <f>IF(J272&lt;&gt;0,SUM(J$2:J272),0)</f>
        <v>0</v>
      </c>
    </row>
    <row r="273" spans="1:13" x14ac:dyDescent="0.2">
      <c r="A273" s="5" t="s">
        <v>465</v>
      </c>
      <c r="C273" s="6" t="s">
        <v>262</v>
      </c>
      <c r="D273" s="7" t="s">
        <v>53</v>
      </c>
      <c r="E273" s="15" t="s">
        <v>470</v>
      </c>
      <c r="G273" s="25">
        <f t="shared" si="4"/>
        <v>131900</v>
      </c>
      <c r="H273" s="25">
        <f t="array" ref="H273">IF(A273=A272,0,SUM(_xlfn._xlws.FILTER(G273:G293,A273:A293=A273)))</f>
        <v>0</v>
      </c>
      <c r="I273" s="25">
        <f t="array" ref="I273">IFERROR(IF(A273=A272,0,SUM(_xlfn._xlws.FILTER(G273:G293,(A273:A293=A273)*(E273:E293&lt;0)))),0)</f>
        <v>0</v>
      </c>
      <c r="J273" s="25">
        <f t="array" ref="J273">IFERROR(IF(A273=A272,0,SUM(_xlfn._xlws.FILTER(G273:G293,(A273:A293=A273)*(E273:E293&gt;0)))),0)</f>
        <v>0</v>
      </c>
      <c r="K273" s="25">
        <f>IF(H273&lt;&gt;0,SUM(H$2:H273),0)</f>
        <v>0</v>
      </c>
      <c r="L273" s="25">
        <f>IF(I273&lt;&gt;0,SUM(I$2:I273),0)</f>
        <v>0</v>
      </c>
      <c r="M273" s="25">
        <f>IF(J273&lt;&gt;0,SUM(J$2:J273),0)</f>
        <v>0</v>
      </c>
    </row>
    <row r="274" spans="1:13" x14ac:dyDescent="0.2">
      <c r="A274" s="5" t="s">
        <v>465</v>
      </c>
      <c r="C274" s="6" t="s">
        <v>76</v>
      </c>
      <c r="D274" s="7" t="s">
        <v>85</v>
      </c>
      <c r="E274" s="15" t="s">
        <v>471</v>
      </c>
      <c r="G274" s="25">
        <f t="shared" si="4"/>
        <v>30444</v>
      </c>
      <c r="H274" s="25">
        <f t="array" ref="H274">IF(A274=A273,0,SUM(_xlfn._xlws.FILTER(G274:G294,A274:A294=A274)))</f>
        <v>0</v>
      </c>
      <c r="I274" s="25">
        <f t="array" ref="I274">IFERROR(IF(A274=A273,0,SUM(_xlfn._xlws.FILTER(G274:G294,(A274:A294=A274)*(E274:E294&lt;0)))),0)</f>
        <v>0</v>
      </c>
      <c r="J274" s="25">
        <f t="array" ref="J274">IFERROR(IF(A274=A273,0,SUM(_xlfn._xlws.FILTER(G274:G294,(A274:A294=A274)*(E274:E294&gt;0)))),0)</f>
        <v>0</v>
      </c>
      <c r="K274" s="25">
        <f>IF(H274&lt;&gt;0,SUM(H$2:H274),0)</f>
        <v>0</v>
      </c>
      <c r="L274" s="25">
        <f>IF(I274&lt;&gt;0,SUM(I$2:I274),0)</f>
        <v>0</v>
      </c>
      <c r="M274" s="25">
        <f>IF(J274&lt;&gt;0,SUM(J$2:J274),0)</f>
        <v>0</v>
      </c>
    </row>
    <row r="275" spans="1:13" x14ac:dyDescent="0.2">
      <c r="A275" s="5" t="s">
        <v>465</v>
      </c>
      <c r="C275" s="6" t="s">
        <v>31</v>
      </c>
      <c r="D275" s="7" t="s">
        <v>102</v>
      </c>
      <c r="E275" s="15" t="s">
        <v>472</v>
      </c>
      <c r="G275" s="25">
        <f t="shared" si="4"/>
        <v>29100</v>
      </c>
      <c r="H275" s="25">
        <f t="array" ref="H275">IF(A275=A274,0,SUM(_xlfn._xlws.FILTER(G275:G295,A275:A295=A275)))</f>
        <v>0</v>
      </c>
      <c r="I275" s="25">
        <f t="array" ref="I275">IFERROR(IF(A275=A274,0,SUM(_xlfn._xlws.FILTER(G275:G295,(A275:A295=A275)*(E275:E295&lt;0)))),0)</f>
        <v>0</v>
      </c>
      <c r="J275" s="25">
        <f t="array" ref="J275">IFERROR(IF(A275=A274,0,SUM(_xlfn._xlws.FILTER(G275:G295,(A275:A295=A275)*(E275:E295&gt;0)))),0)</f>
        <v>0</v>
      </c>
      <c r="K275" s="25">
        <f>IF(H275&lt;&gt;0,SUM(H$2:H275),0)</f>
        <v>0</v>
      </c>
      <c r="L275" s="25">
        <f>IF(I275&lt;&gt;0,SUM(I$2:I275),0)</f>
        <v>0</v>
      </c>
      <c r="M275" s="25">
        <f>IF(J275&lt;&gt;0,SUM(J$2:J275),0)</f>
        <v>0</v>
      </c>
    </row>
    <row r="276" spans="1:13" x14ac:dyDescent="0.2">
      <c r="A276" s="5" t="s">
        <v>465</v>
      </c>
      <c r="C276" s="6" t="s">
        <v>176</v>
      </c>
      <c r="D276" s="7" t="s">
        <v>473</v>
      </c>
      <c r="E276" s="15" t="s">
        <v>474</v>
      </c>
      <c r="G276" s="25">
        <f t="shared" si="4"/>
        <v>47055</v>
      </c>
      <c r="H276" s="25">
        <f t="array" ref="H276">IF(A276=A275,0,SUM(_xlfn._xlws.FILTER(G276:G296,A276:A296=A276)))</f>
        <v>0</v>
      </c>
      <c r="I276" s="25">
        <f t="array" ref="I276">IFERROR(IF(A276=A275,0,SUM(_xlfn._xlws.FILTER(G276:G296,(A276:A296=A276)*(E276:E296&lt;0)))),0)</f>
        <v>0</v>
      </c>
      <c r="J276" s="25">
        <f t="array" ref="J276">IFERROR(IF(A276=A275,0,SUM(_xlfn._xlws.FILTER(G276:G296,(A276:A296=A276)*(E276:E296&gt;0)))),0)</f>
        <v>0</v>
      </c>
      <c r="K276" s="25">
        <f>IF(H276&lt;&gt;0,SUM(H$2:H276),0)</f>
        <v>0</v>
      </c>
      <c r="L276" s="25">
        <f>IF(I276&lt;&gt;0,SUM(I$2:I276),0)</f>
        <v>0</v>
      </c>
      <c r="M276" s="25">
        <f>IF(J276&lt;&gt;0,SUM(J$2:J276),0)</f>
        <v>0</v>
      </c>
    </row>
    <row r="277" spans="1:13" x14ac:dyDescent="0.2">
      <c r="A277" s="5" t="s">
        <v>465</v>
      </c>
      <c r="C277" s="6" t="s">
        <v>149</v>
      </c>
      <c r="D277" s="7" t="s">
        <v>46</v>
      </c>
      <c r="E277" s="15" t="s">
        <v>466</v>
      </c>
      <c r="G277" s="25">
        <f t="shared" si="4"/>
        <v>45000</v>
      </c>
      <c r="H277" s="25">
        <f t="array" ref="H277">IF(A277=A276,0,SUM(_xlfn._xlws.FILTER(G277:G297,A277:A297=A277)))</f>
        <v>0</v>
      </c>
      <c r="I277" s="25">
        <f t="array" ref="I277">IFERROR(IF(A277=A276,0,SUM(_xlfn._xlws.FILTER(G277:G297,(A277:A297=A277)*(E277:E297&lt;0)))),0)</f>
        <v>0</v>
      </c>
      <c r="J277" s="25">
        <f t="array" ref="J277">IFERROR(IF(A277=A276,0,SUM(_xlfn._xlws.FILTER(G277:G297,(A277:A297=A277)*(E277:E297&gt;0)))),0)</f>
        <v>0</v>
      </c>
      <c r="K277" s="25">
        <f>IF(H277&lt;&gt;0,SUM(H$2:H277),0)</f>
        <v>0</v>
      </c>
      <c r="L277" s="25">
        <f>IF(I277&lt;&gt;0,SUM(I$2:I277),0)</f>
        <v>0</v>
      </c>
      <c r="M277" s="25">
        <f>IF(J277&lt;&gt;0,SUM(J$2:J277),0)</f>
        <v>0</v>
      </c>
    </row>
    <row r="278" spans="1:13" x14ac:dyDescent="0.2">
      <c r="A278" s="5" t="s">
        <v>465</v>
      </c>
      <c r="C278" s="6" t="s">
        <v>25</v>
      </c>
      <c r="D278" s="7" t="s">
        <v>102</v>
      </c>
      <c r="E278" s="15" t="s">
        <v>467</v>
      </c>
      <c r="G278" s="25">
        <f t="shared" si="4"/>
        <v>73820</v>
      </c>
      <c r="H278" s="25">
        <f t="array" ref="H278">IF(A278=A277,0,SUM(_xlfn._xlws.FILTER(G278:G298,A278:A298=A278)))</f>
        <v>0</v>
      </c>
      <c r="I278" s="25">
        <f t="array" ref="I278">IFERROR(IF(A278=A277,0,SUM(_xlfn._xlws.FILTER(G278:G298,(A278:A298=A278)*(E278:E298&lt;0)))),0)</f>
        <v>0</v>
      </c>
      <c r="J278" s="25">
        <f t="array" ref="J278">IFERROR(IF(A278=A277,0,SUM(_xlfn._xlws.FILTER(G278:G298,(A278:A298=A278)*(E278:E298&gt;0)))),0)</f>
        <v>0</v>
      </c>
      <c r="K278" s="25">
        <f>IF(H278&lt;&gt;0,SUM(H$2:H278),0)</f>
        <v>0</v>
      </c>
      <c r="L278" s="25">
        <f>IF(I278&lt;&gt;0,SUM(I$2:I278),0)</f>
        <v>0</v>
      </c>
      <c r="M278" s="25">
        <f>IF(J278&lt;&gt;0,SUM(J$2:J278),0)</f>
        <v>0</v>
      </c>
    </row>
    <row r="279" spans="1:13" x14ac:dyDescent="0.2">
      <c r="A279" s="5" t="s">
        <v>465</v>
      </c>
      <c r="C279" s="6" t="s">
        <v>72</v>
      </c>
      <c r="D279" s="7" t="s">
        <v>191</v>
      </c>
      <c r="E279" s="15" t="s">
        <v>468</v>
      </c>
      <c r="G279" s="25">
        <f t="shared" si="4"/>
        <v>48360</v>
      </c>
      <c r="H279" s="25">
        <f t="array" ref="H279">IF(A279=A278,0,SUM(_xlfn._xlws.FILTER(G279:G299,A279:A299=A279)))</f>
        <v>0</v>
      </c>
      <c r="I279" s="25">
        <f t="array" ref="I279">IFERROR(IF(A279=A278,0,SUM(_xlfn._xlws.FILTER(G279:G299,(A279:A299=A279)*(E279:E299&lt;0)))),0)</f>
        <v>0</v>
      </c>
      <c r="J279" s="25">
        <f t="array" ref="J279">IFERROR(IF(A279=A278,0,SUM(_xlfn._xlws.FILTER(G279:G299,(A279:A299=A279)*(E279:E299&gt;0)))),0)</f>
        <v>0</v>
      </c>
      <c r="K279" s="25">
        <f>IF(H279&lt;&gt;0,SUM(H$2:H279),0)</f>
        <v>0</v>
      </c>
      <c r="L279" s="25">
        <f>IF(I279&lt;&gt;0,SUM(I$2:I279),0)</f>
        <v>0</v>
      </c>
      <c r="M279" s="25">
        <f>IF(J279&lt;&gt;0,SUM(J$2:J279),0)</f>
        <v>0</v>
      </c>
    </row>
    <row r="280" spans="1:13" x14ac:dyDescent="0.2">
      <c r="A280" s="5" t="s">
        <v>465</v>
      </c>
      <c r="C280" s="6" t="s">
        <v>259</v>
      </c>
      <c r="D280" s="7" t="s">
        <v>53</v>
      </c>
      <c r="E280" s="15" t="s">
        <v>469</v>
      </c>
      <c r="G280" s="25">
        <f t="shared" si="4"/>
        <v>131940</v>
      </c>
      <c r="H280" s="25">
        <f t="array" ref="H280">IF(A280=A279,0,SUM(_xlfn._xlws.FILTER(G280:G300,A280:A300=A280)))</f>
        <v>0</v>
      </c>
      <c r="I280" s="25">
        <f t="array" ref="I280">IFERROR(IF(A280=A279,0,SUM(_xlfn._xlws.FILTER(G280:G300,(A280:A300=A280)*(E280:E300&lt;0)))),0)</f>
        <v>0</v>
      </c>
      <c r="J280" s="25">
        <f t="array" ref="J280">IFERROR(IF(A280=A279,0,SUM(_xlfn._xlws.FILTER(G280:G300,(A280:A300=A280)*(E280:E300&gt;0)))),0)</f>
        <v>0</v>
      </c>
      <c r="K280" s="25">
        <f>IF(H280&lt;&gt;0,SUM(H$2:H280),0)</f>
        <v>0</v>
      </c>
      <c r="L280" s="25">
        <f>IF(I280&lt;&gt;0,SUM(I$2:I280),0)</f>
        <v>0</v>
      </c>
      <c r="M280" s="25">
        <f>IF(J280&lt;&gt;0,SUM(J$2:J280),0)</f>
        <v>0</v>
      </c>
    </row>
    <row r="281" spans="1:13" x14ac:dyDescent="0.2">
      <c r="A281" s="5" t="s">
        <v>465</v>
      </c>
      <c r="C281" s="6" t="s">
        <v>262</v>
      </c>
      <c r="D281" s="7" t="s">
        <v>53</v>
      </c>
      <c r="E281" s="15" t="s">
        <v>470</v>
      </c>
      <c r="G281" s="25">
        <f t="shared" si="4"/>
        <v>131900</v>
      </c>
      <c r="H281" s="25">
        <f t="array" ref="H281">IF(A281=A280,0,SUM(_xlfn._xlws.FILTER(G281:G301,A281:A301=A281)))</f>
        <v>0</v>
      </c>
      <c r="I281" s="25">
        <f t="array" ref="I281">IFERROR(IF(A281=A280,0,SUM(_xlfn._xlws.FILTER(G281:G301,(A281:A301=A281)*(E281:E301&lt;0)))),0)</f>
        <v>0</v>
      </c>
      <c r="J281" s="25">
        <f t="array" ref="J281">IFERROR(IF(A281=A280,0,SUM(_xlfn._xlws.FILTER(G281:G301,(A281:A301=A281)*(E281:E301&gt;0)))),0)</f>
        <v>0</v>
      </c>
      <c r="K281" s="25">
        <f>IF(H281&lt;&gt;0,SUM(H$2:H281),0)</f>
        <v>0</v>
      </c>
      <c r="L281" s="25">
        <f>IF(I281&lt;&gt;0,SUM(I$2:I281),0)</f>
        <v>0</v>
      </c>
      <c r="M281" s="25">
        <f>IF(J281&lt;&gt;0,SUM(J$2:J281),0)</f>
        <v>0</v>
      </c>
    </row>
    <row r="282" spans="1:13" x14ac:dyDescent="0.2">
      <c r="A282" s="5" t="s">
        <v>465</v>
      </c>
      <c r="C282" s="6" t="s">
        <v>76</v>
      </c>
      <c r="D282" s="7" t="s">
        <v>85</v>
      </c>
      <c r="E282" s="15" t="s">
        <v>471</v>
      </c>
      <c r="G282" s="25">
        <f t="shared" si="4"/>
        <v>30444</v>
      </c>
      <c r="H282" s="25">
        <f t="array" ref="H282">IF(A282=A281,0,SUM(_xlfn._xlws.FILTER(G282:G302,A282:A302=A282)))</f>
        <v>0</v>
      </c>
      <c r="I282" s="25">
        <f t="array" ref="I282">IFERROR(IF(A282=A281,0,SUM(_xlfn._xlws.FILTER(G282:G302,(A282:A302=A282)*(E282:E302&lt;0)))),0)</f>
        <v>0</v>
      </c>
      <c r="J282" s="25">
        <f t="array" ref="J282">IFERROR(IF(A282=A281,0,SUM(_xlfn._xlws.FILTER(G282:G302,(A282:A302=A282)*(E282:E302&gt;0)))),0)</f>
        <v>0</v>
      </c>
      <c r="K282" s="25">
        <f>IF(H282&lt;&gt;0,SUM(H$2:H282),0)</f>
        <v>0</v>
      </c>
      <c r="L282" s="25">
        <f>IF(I282&lt;&gt;0,SUM(I$2:I282),0)</f>
        <v>0</v>
      </c>
      <c r="M282" s="25">
        <f>IF(J282&lt;&gt;0,SUM(J$2:J282),0)</f>
        <v>0</v>
      </c>
    </row>
    <row r="283" spans="1:13" x14ac:dyDescent="0.2">
      <c r="A283" s="5" t="s">
        <v>465</v>
      </c>
      <c r="C283" s="6" t="s">
        <v>31</v>
      </c>
      <c r="D283" s="7" t="s">
        <v>102</v>
      </c>
      <c r="E283" s="15" t="s">
        <v>472</v>
      </c>
      <c r="G283" s="25">
        <f t="shared" si="4"/>
        <v>29100</v>
      </c>
      <c r="H283" s="25">
        <f t="array" ref="H283">IF(A283=A282,0,SUM(_xlfn._xlws.FILTER(G283:G303,A283:A303=A283)))</f>
        <v>0</v>
      </c>
      <c r="I283" s="25">
        <f t="array" ref="I283">IFERROR(IF(A283=A282,0,SUM(_xlfn._xlws.FILTER(G283:G303,(A283:A303=A283)*(E283:E303&lt;0)))),0)</f>
        <v>0</v>
      </c>
      <c r="J283" s="25">
        <f t="array" ref="J283">IFERROR(IF(A283=A282,0,SUM(_xlfn._xlws.FILTER(G283:G303,(A283:A303=A283)*(E283:E303&gt;0)))),0)</f>
        <v>0</v>
      </c>
      <c r="K283" s="25">
        <f>IF(H283&lt;&gt;0,SUM(H$2:H283),0)</f>
        <v>0</v>
      </c>
      <c r="L283" s="25">
        <f>IF(I283&lt;&gt;0,SUM(I$2:I283),0)</f>
        <v>0</v>
      </c>
      <c r="M283" s="25">
        <f>IF(J283&lt;&gt;0,SUM(J$2:J283),0)</f>
        <v>0</v>
      </c>
    </row>
    <row r="284" spans="1:13" x14ac:dyDescent="0.2">
      <c r="A284" s="5" t="s">
        <v>465</v>
      </c>
      <c r="C284" s="6" t="s">
        <v>176</v>
      </c>
      <c r="D284" s="7" t="s">
        <v>473</v>
      </c>
      <c r="E284" s="15" t="s">
        <v>474</v>
      </c>
      <c r="G284" s="25">
        <f t="shared" si="4"/>
        <v>47055</v>
      </c>
      <c r="H284" s="25">
        <f t="array" ref="H284">IF(A284=A283,0,SUM(_xlfn._xlws.FILTER(G284:G304,A284:A304=A284)))</f>
        <v>0</v>
      </c>
      <c r="I284" s="25">
        <f t="array" ref="I284">IFERROR(IF(A284=A283,0,SUM(_xlfn._xlws.FILTER(G284:G304,(A284:A304=A284)*(E284:E304&lt;0)))),0)</f>
        <v>0</v>
      </c>
      <c r="J284" s="25">
        <f t="array" ref="J284">IFERROR(IF(A284=A283,0,SUM(_xlfn._xlws.FILTER(G284:G304,(A284:A304=A284)*(E284:E304&gt;0)))),0)</f>
        <v>0</v>
      </c>
      <c r="K284" s="25">
        <f>IF(H284&lt;&gt;0,SUM(H$2:H284),0)</f>
        <v>0</v>
      </c>
      <c r="L284" s="25">
        <f>IF(I284&lt;&gt;0,SUM(I$2:I284),0)</f>
        <v>0</v>
      </c>
      <c r="M284" s="25">
        <f>IF(J284&lt;&gt;0,SUM(J$2:J284),0)</f>
        <v>0</v>
      </c>
    </row>
    <row r="285" spans="1:13" x14ac:dyDescent="0.2">
      <c r="A285" s="1" t="s">
        <v>475</v>
      </c>
      <c r="C285" s="2" t="s">
        <v>69</v>
      </c>
      <c r="D285" s="3" t="s">
        <v>82</v>
      </c>
      <c r="E285" s="2" t="s">
        <v>476</v>
      </c>
      <c r="G285" s="25">
        <f t="shared" si="4"/>
        <v>39900</v>
      </c>
      <c r="H285" s="25">
        <f t="array" ref="H285">IF(A285=A284,0,SUM(_xlfn._xlws.FILTER(G285:G305,A285:A305=A285)))</f>
        <v>39900</v>
      </c>
      <c r="I285" s="25">
        <f t="array" ref="I285">IFERROR(IF(A285=A284,0,SUM(_xlfn._xlws.FILTER(G285:G305,(A285:A305=A285)*(E285:E305&lt;0)))),0)</f>
        <v>0</v>
      </c>
      <c r="J285" s="25">
        <f t="array" ref="J285">IFERROR(IF(A285=A284,0,SUM(_xlfn._xlws.FILTER(G285:G305,(A285:A305=A285)*(E285:E305&gt;0)))),0)</f>
        <v>39900</v>
      </c>
      <c r="K285" s="25">
        <f>IF(H285&lt;&gt;0,SUM(H$2:H285),0)</f>
        <v>-1922896.9463070002</v>
      </c>
      <c r="L285" s="25">
        <f>IF(I285&lt;&gt;0,SUM(I$2:I285),0)</f>
        <v>0</v>
      </c>
      <c r="M285" s="25">
        <f>IF(J285&lt;&gt;0,SUM(J$2:J285),0)</f>
        <v>-1922896.9463070002</v>
      </c>
    </row>
    <row r="286" spans="1:13" x14ac:dyDescent="0.2">
      <c r="A286" s="5" t="s">
        <v>477</v>
      </c>
      <c r="C286" s="6" t="s">
        <v>288</v>
      </c>
      <c r="D286" s="7" t="s">
        <v>82</v>
      </c>
      <c r="E286" s="15" t="s">
        <v>478</v>
      </c>
      <c r="G286" s="25">
        <f t="shared" si="4"/>
        <v>46650</v>
      </c>
      <c r="H286" s="25">
        <f t="array" ref="H286">IF(A286=A285,0,SUM(_xlfn._xlws.FILTER(G286:G306,A286:A306=A286)))</f>
        <v>-151465.5</v>
      </c>
      <c r="I286" s="25">
        <f t="array" ref="I286">IFERROR(IF(A286=A285,0,SUM(_xlfn._xlws.FILTER(G286:G306,(A286:A306=A286)*(E286:E306&lt;0)))),0)</f>
        <v>0</v>
      </c>
      <c r="J286" s="25">
        <f t="array" ref="J286">IFERROR(IF(A286=A285,0,SUM(_xlfn._xlws.FILTER(G286:G306,(A286:A306=A286)*(E286:E306&gt;0)))),0)</f>
        <v>-151465.5</v>
      </c>
      <c r="K286" s="25">
        <f>IF(H286&lt;&gt;0,SUM(H$2:H286),0)</f>
        <v>-2074362.4463070002</v>
      </c>
      <c r="L286" s="25">
        <f>IF(I286&lt;&gt;0,SUM(I$2:I286),0)</f>
        <v>0</v>
      </c>
      <c r="M286" s="25">
        <f>IF(J286&lt;&gt;0,SUM(J$2:J286),0)</f>
        <v>-2074362.4463070002</v>
      </c>
    </row>
    <row r="287" spans="1:13" x14ac:dyDescent="0.2">
      <c r="A287" s="5" t="s">
        <v>477</v>
      </c>
      <c r="C287" s="6" t="s">
        <v>52</v>
      </c>
      <c r="D287" s="7" t="s">
        <v>479</v>
      </c>
      <c r="E287" s="15" t="s">
        <v>480</v>
      </c>
      <c r="G287" s="25">
        <f t="shared" si="4"/>
        <v>104591.5</v>
      </c>
      <c r="H287" s="25">
        <f t="array" ref="H287">IF(A287=A286,0,SUM(_xlfn._xlws.FILTER(G287:G307,A287:A307=A287)))</f>
        <v>0</v>
      </c>
      <c r="I287" s="25">
        <f t="array" ref="I287">IFERROR(IF(A287=A286,0,SUM(_xlfn._xlws.FILTER(G287:G307,(A287:A307=A287)*(E287:E307&lt;0)))),0)</f>
        <v>0</v>
      </c>
      <c r="J287" s="25">
        <f t="array" ref="J287">IFERROR(IF(A287=A286,0,SUM(_xlfn._xlws.FILTER(G287:G307,(A287:A307=A287)*(E287:E307&gt;0)))),0)</f>
        <v>0</v>
      </c>
      <c r="K287" s="25">
        <f>IF(H287&lt;&gt;0,SUM(H$2:H287),0)</f>
        <v>0</v>
      </c>
      <c r="L287" s="25">
        <f>IF(I287&lt;&gt;0,SUM(I$2:I287),0)</f>
        <v>0</v>
      </c>
      <c r="M287" s="25">
        <f>IF(J287&lt;&gt;0,SUM(J$2:J287),0)</f>
        <v>0</v>
      </c>
    </row>
    <row r="288" spans="1:13" x14ac:dyDescent="0.2">
      <c r="A288" s="5" t="s">
        <v>477</v>
      </c>
      <c r="C288" s="6" t="s">
        <v>37</v>
      </c>
      <c r="D288" s="7" t="s">
        <v>20</v>
      </c>
      <c r="E288" s="15" t="s">
        <v>481</v>
      </c>
      <c r="G288" s="25">
        <f t="shared" si="4"/>
        <v>45964</v>
      </c>
      <c r="H288" s="25">
        <f t="array" ref="H288">IF(A288=A287,0,SUM(_xlfn._xlws.FILTER(G288:G308,A288:A308=A288)))</f>
        <v>0</v>
      </c>
      <c r="I288" s="25">
        <f t="array" ref="I288">IFERROR(IF(A288=A287,0,SUM(_xlfn._xlws.FILTER(G288:G308,(A288:A308=A288)*(E288:E308&lt;0)))),0)</f>
        <v>0</v>
      </c>
      <c r="J288" s="25">
        <f t="array" ref="J288">IFERROR(IF(A288=A287,0,SUM(_xlfn._xlws.FILTER(G288:G308,(A288:A308=A288)*(E288:E308&gt;0)))),0)</f>
        <v>0</v>
      </c>
      <c r="K288" s="25">
        <f>IF(H288&lt;&gt;0,SUM(H$2:H288),0)</f>
        <v>0</v>
      </c>
      <c r="L288" s="25">
        <f>IF(I288&lt;&gt;0,SUM(I$2:I288),0)</f>
        <v>0</v>
      </c>
      <c r="M288" s="25">
        <f>IF(J288&lt;&gt;0,SUM(J$2:J288),0)</f>
        <v>0</v>
      </c>
    </row>
    <row r="289" spans="1:13" x14ac:dyDescent="0.2">
      <c r="A289" s="5" t="s">
        <v>477</v>
      </c>
      <c r="C289" s="6" t="s">
        <v>256</v>
      </c>
      <c r="D289" s="7" t="s">
        <v>50</v>
      </c>
      <c r="E289" s="15" t="s">
        <v>482</v>
      </c>
      <c r="G289" s="25">
        <f t="shared" si="4"/>
        <v>-128200</v>
      </c>
      <c r="H289" s="25">
        <f t="array" ref="H289">IF(A289=A288,0,SUM(_xlfn._xlws.FILTER(G289:G309,A289:A309=A289)))</f>
        <v>0</v>
      </c>
      <c r="I289" s="25">
        <f t="array" ref="I289">IFERROR(IF(A289=A288,0,SUM(_xlfn._xlws.FILTER(G289:G309,(A289:A309=A289)*(E289:E309&lt;0)))),0)</f>
        <v>0</v>
      </c>
      <c r="J289" s="25">
        <f t="array" ref="J289">IFERROR(IF(A289=A288,0,SUM(_xlfn._xlws.FILTER(G289:G309,(A289:A309=A289)*(E289:E309&gt;0)))),0)</f>
        <v>0</v>
      </c>
      <c r="K289" s="25">
        <f>IF(H289&lt;&gt;0,SUM(H$2:H289),0)</f>
        <v>0</v>
      </c>
      <c r="L289" s="25">
        <f>IF(I289&lt;&gt;0,SUM(I$2:I289),0)</f>
        <v>0</v>
      </c>
      <c r="M289" s="25">
        <f>IF(J289&lt;&gt;0,SUM(J$2:J289),0)</f>
        <v>0</v>
      </c>
    </row>
    <row r="290" spans="1:13" x14ac:dyDescent="0.2">
      <c r="A290" s="5" t="s">
        <v>477</v>
      </c>
      <c r="C290" s="6" t="s">
        <v>72</v>
      </c>
      <c r="D290" s="7" t="s">
        <v>46</v>
      </c>
      <c r="E290" s="15" t="s">
        <v>483</v>
      </c>
      <c r="G290" s="25">
        <f t="shared" si="4"/>
        <v>-128479.99999999999</v>
      </c>
      <c r="H290" s="25">
        <f t="array" ref="H290">IF(A290=A289,0,SUM(_xlfn._xlws.FILTER(G290:G310,A290:A310=A290)))</f>
        <v>0</v>
      </c>
      <c r="I290" s="25">
        <f t="array" ref="I290">IFERROR(IF(A290=A289,0,SUM(_xlfn._xlws.FILTER(G290:G310,(A290:A310=A290)*(E290:E310&lt;0)))),0)</f>
        <v>0</v>
      </c>
      <c r="J290" s="25">
        <f t="array" ref="J290">IFERROR(IF(A290=A289,0,SUM(_xlfn._xlws.FILTER(G290:G310,(A290:A310=A290)*(E290:E310&gt;0)))),0)</f>
        <v>0</v>
      </c>
      <c r="K290" s="25">
        <f>IF(H290&lt;&gt;0,SUM(H$2:H290),0)</f>
        <v>0</v>
      </c>
      <c r="L290" s="25">
        <f>IF(I290&lt;&gt;0,SUM(I$2:I290),0)</f>
        <v>0</v>
      </c>
      <c r="M290" s="25">
        <f>IF(J290&lt;&gt;0,SUM(J$2:J290),0)</f>
        <v>0</v>
      </c>
    </row>
    <row r="291" spans="1:13" x14ac:dyDescent="0.2">
      <c r="A291" s="5" t="s">
        <v>477</v>
      </c>
      <c r="C291" s="6" t="s">
        <v>139</v>
      </c>
      <c r="D291" s="7" t="s">
        <v>50</v>
      </c>
      <c r="E291" s="15" t="s">
        <v>484</v>
      </c>
      <c r="G291" s="25">
        <f t="shared" si="4"/>
        <v>-31701</v>
      </c>
      <c r="H291" s="25">
        <f t="array" ref="H291">IF(A291=A290,0,SUM(_xlfn._xlws.FILTER(G291:G311,A291:A311=A291)))</f>
        <v>0</v>
      </c>
      <c r="I291" s="25">
        <f t="array" ref="I291">IFERROR(IF(A291=A290,0,SUM(_xlfn._xlws.FILTER(G291:G311,(A291:A311=A291)*(E291:E311&lt;0)))),0)</f>
        <v>0</v>
      </c>
      <c r="J291" s="25">
        <f t="array" ref="J291">IFERROR(IF(A291=A290,0,SUM(_xlfn._xlws.FILTER(G291:G311,(A291:A311=A291)*(E291:E311&gt;0)))),0)</f>
        <v>0</v>
      </c>
      <c r="K291" s="25">
        <f>IF(H291&lt;&gt;0,SUM(H$2:H291),0)</f>
        <v>0</v>
      </c>
      <c r="L291" s="25">
        <f>IF(I291&lt;&gt;0,SUM(I$2:I291),0)</f>
        <v>0</v>
      </c>
      <c r="M291" s="25">
        <f>IF(J291&lt;&gt;0,SUM(J$2:J291),0)</f>
        <v>0</v>
      </c>
    </row>
    <row r="292" spans="1:13" x14ac:dyDescent="0.2">
      <c r="A292" s="5" t="s">
        <v>477</v>
      </c>
      <c r="C292" s="6" t="s">
        <v>25</v>
      </c>
      <c r="D292" s="7" t="s">
        <v>102</v>
      </c>
      <c r="E292" s="15" t="s">
        <v>485</v>
      </c>
      <c r="G292" s="25">
        <f t="shared" si="4"/>
        <v>-66360</v>
      </c>
      <c r="H292" s="25">
        <f t="array" ref="H292">IF(A292=A291,0,SUM(_xlfn._xlws.FILTER(G292:G312,A292:A312=A292)))</f>
        <v>0</v>
      </c>
      <c r="I292" s="25">
        <f t="array" ref="I292">IFERROR(IF(A292=A291,0,SUM(_xlfn._xlws.FILTER(G292:G312,(A292:A312=A292)*(E292:E312&lt;0)))),0)</f>
        <v>0</v>
      </c>
      <c r="J292" s="25">
        <f t="array" ref="J292">IFERROR(IF(A292=A291,0,SUM(_xlfn._xlws.FILTER(G292:G312,(A292:A312=A292)*(E292:E312&gt;0)))),0)</f>
        <v>0</v>
      </c>
      <c r="K292" s="25">
        <f>IF(H292&lt;&gt;0,SUM(H$2:H292),0)</f>
        <v>0</v>
      </c>
      <c r="L292" s="25">
        <f>IF(I292&lt;&gt;0,SUM(I$2:I292),0)</f>
        <v>0</v>
      </c>
      <c r="M292" s="25">
        <f>IF(J292&lt;&gt;0,SUM(J$2:J292),0)</f>
        <v>0</v>
      </c>
    </row>
    <row r="293" spans="1:13" x14ac:dyDescent="0.2">
      <c r="A293" s="5" t="s">
        <v>477</v>
      </c>
      <c r="C293" s="6" t="s">
        <v>486</v>
      </c>
      <c r="D293" s="7" t="s">
        <v>32</v>
      </c>
      <c r="E293" s="15" t="s">
        <v>487</v>
      </c>
      <c r="G293" s="25">
        <f t="shared" si="4"/>
        <v>-41150</v>
      </c>
      <c r="H293" s="25">
        <f t="array" ref="H293">IF(A293=A292,0,SUM(_xlfn._xlws.FILTER(G293:G313,A293:A313=A293)))</f>
        <v>0</v>
      </c>
      <c r="I293" s="25">
        <f t="array" ref="I293">IFERROR(IF(A293=A292,0,SUM(_xlfn._xlws.FILTER(G293:G313,(A293:A313=A293)*(E293:E313&lt;0)))),0)</f>
        <v>0</v>
      </c>
      <c r="J293" s="25">
        <f t="array" ref="J293">IFERROR(IF(A293=A292,0,SUM(_xlfn._xlws.FILTER(G293:G313,(A293:A313=A293)*(E293:E313&gt;0)))),0)</f>
        <v>0</v>
      </c>
      <c r="K293" s="25">
        <f>IF(H293&lt;&gt;0,SUM(H$2:H293),0)</f>
        <v>0</v>
      </c>
      <c r="L293" s="25">
        <f>IF(I293&lt;&gt;0,SUM(I$2:I293),0)</f>
        <v>0</v>
      </c>
      <c r="M293" s="25">
        <f>IF(J293&lt;&gt;0,SUM(J$2:J293),0)</f>
        <v>0</v>
      </c>
    </row>
    <row r="294" spans="1:13" x14ac:dyDescent="0.2">
      <c r="A294" s="5" t="s">
        <v>477</v>
      </c>
      <c r="C294" s="6" t="s">
        <v>447</v>
      </c>
      <c r="D294" s="7" t="s">
        <v>82</v>
      </c>
      <c r="E294" s="15" t="s">
        <v>488</v>
      </c>
      <c r="G294" s="25">
        <f t="shared" si="4"/>
        <v>47220</v>
      </c>
      <c r="H294" s="25">
        <f t="array" ref="H294">IF(A294=A293,0,SUM(_xlfn._xlws.FILTER(G294:G314,A294:A314=A294)))</f>
        <v>0</v>
      </c>
      <c r="I294" s="25">
        <f t="array" ref="I294">IFERROR(IF(A294=A293,0,SUM(_xlfn._xlws.FILTER(G294:G314,(A294:A314=A294)*(E294:E314&lt;0)))),0)</f>
        <v>0</v>
      </c>
      <c r="J294" s="25">
        <f t="array" ref="J294">IFERROR(IF(A294=A293,0,SUM(_xlfn._xlws.FILTER(G294:G314,(A294:A314=A294)*(E294:E314&gt;0)))),0)</f>
        <v>0</v>
      </c>
      <c r="K294" s="25">
        <f>IF(H294&lt;&gt;0,SUM(H$2:H294),0)</f>
        <v>0</v>
      </c>
      <c r="L294" s="25">
        <f>IF(I294&lt;&gt;0,SUM(I$2:I294),0)</f>
        <v>0</v>
      </c>
      <c r="M294" s="25">
        <f>IF(J294&lt;&gt;0,SUM(J$2:J294),0)</f>
        <v>0</v>
      </c>
    </row>
    <row r="295" spans="1:13" x14ac:dyDescent="0.2">
      <c r="A295" s="1" t="s">
        <v>489</v>
      </c>
      <c r="C295" s="2" t="s">
        <v>139</v>
      </c>
      <c r="D295" s="3" t="s">
        <v>490</v>
      </c>
      <c r="E295" s="2" t="s">
        <v>491</v>
      </c>
      <c r="G295" s="25">
        <f t="shared" si="4"/>
        <v>133560</v>
      </c>
      <c r="H295" s="25">
        <f t="array" ref="H295">IF(A295=A294,0,SUM(_xlfn._xlws.FILTER(G295:G315,A295:A315=A295)))</f>
        <v>133560</v>
      </c>
      <c r="I295" s="25">
        <f t="array" ref="I295">IFERROR(IF(A295=A294,0,SUM(_xlfn._xlws.FILTER(G295:G315,(A295:A315=A295)*(E295:E315&lt;0)))),0)</f>
        <v>0</v>
      </c>
      <c r="J295" s="25">
        <f t="array" ref="J295">IFERROR(IF(A295=A294,0,SUM(_xlfn._xlws.FILTER(G295:G315,(A295:A315=A295)*(E295:E315&gt;0)))),0)</f>
        <v>133560</v>
      </c>
      <c r="K295" s="25">
        <f>IF(H295&lt;&gt;0,SUM(H$2:H295),0)</f>
        <v>-1940802.4463070002</v>
      </c>
      <c r="L295" s="25">
        <f>IF(I295&lt;&gt;0,SUM(I$2:I295),0)</f>
        <v>0</v>
      </c>
      <c r="M295" s="25">
        <f>IF(J295&lt;&gt;0,SUM(J$2:J295),0)</f>
        <v>-1940802.4463070002</v>
      </c>
    </row>
    <row r="296" spans="1:13" x14ac:dyDescent="0.2">
      <c r="A296" s="1" t="s">
        <v>492</v>
      </c>
      <c r="C296" s="2" t="s">
        <v>193</v>
      </c>
      <c r="D296" s="3" t="s">
        <v>102</v>
      </c>
      <c r="E296" s="2" t="s">
        <v>493</v>
      </c>
      <c r="G296" s="25">
        <f t="shared" si="4"/>
        <v>-24420</v>
      </c>
      <c r="H296" s="25">
        <f t="array" ref="H296">IF(A296=A295,0,SUM(_xlfn._xlws.FILTER(G296:G316,A296:A316=A296)))</f>
        <v>137812.25</v>
      </c>
      <c r="I296" s="25">
        <f t="array" ref="I296">IFERROR(IF(A296=A295,0,SUM(_xlfn._xlws.FILTER(G296:G316,(A296:A316=A296)*(E296:E316&lt;0)))),0)</f>
        <v>0</v>
      </c>
      <c r="J296" s="25">
        <f t="array" ref="J296">IFERROR(IF(A296=A295,0,SUM(_xlfn._xlws.FILTER(G296:G316,(A296:A316=A296)*(E296:E316&gt;0)))),0)</f>
        <v>137812.25</v>
      </c>
      <c r="K296" s="25">
        <f>IF(H296&lt;&gt;0,SUM(H$2:H296),0)</f>
        <v>-1802990.1963070002</v>
      </c>
      <c r="L296" s="25">
        <f>IF(I296&lt;&gt;0,SUM(I$2:I296),0)</f>
        <v>0</v>
      </c>
      <c r="M296" s="25">
        <f>IF(J296&lt;&gt;0,SUM(J$2:J296),0)</f>
        <v>-1802990.1963070002</v>
      </c>
    </row>
    <row r="297" spans="1:13" x14ac:dyDescent="0.2">
      <c r="A297" s="1" t="s">
        <v>492</v>
      </c>
      <c r="C297" s="2" t="s">
        <v>37</v>
      </c>
      <c r="D297" s="3" t="s">
        <v>110</v>
      </c>
      <c r="E297" s="2" t="s">
        <v>494</v>
      </c>
      <c r="G297" s="25">
        <f t="shared" si="4"/>
        <v>60432.25</v>
      </c>
      <c r="H297" s="25">
        <f t="array" ref="H297">IF(A297=A296,0,SUM(_xlfn._xlws.FILTER(G297:G317,A297:A317=A297)))</f>
        <v>0</v>
      </c>
      <c r="I297" s="25">
        <f t="array" ref="I297">IFERROR(IF(A297=A296,0,SUM(_xlfn._xlws.FILTER(G297:G317,(A297:A317=A297)*(E297:E317&lt;0)))),0)</f>
        <v>0</v>
      </c>
      <c r="J297" s="25">
        <f t="array" ref="J297">IFERROR(IF(A297=A296,0,SUM(_xlfn._xlws.FILTER(G297:G317,(A297:A317=A297)*(E297:E317&gt;0)))),0)</f>
        <v>0</v>
      </c>
      <c r="K297" s="25">
        <f>IF(H297&lt;&gt;0,SUM(H$2:H297),0)</f>
        <v>0</v>
      </c>
      <c r="L297" s="25">
        <f>IF(I297&lt;&gt;0,SUM(I$2:I297),0)</f>
        <v>0</v>
      </c>
      <c r="M297" s="25">
        <f>IF(J297&lt;&gt;0,SUM(J$2:J297),0)</f>
        <v>0</v>
      </c>
    </row>
    <row r="298" spans="1:13" x14ac:dyDescent="0.2">
      <c r="A298" s="1" t="s">
        <v>492</v>
      </c>
      <c r="C298" s="2" t="s">
        <v>230</v>
      </c>
      <c r="D298" s="3" t="s">
        <v>50</v>
      </c>
      <c r="E298" s="2" t="s">
        <v>495</v>
      </c>
      <c r="G298" s="25">
        <f t="shared" si="4"/>
        <v>101800</v>
      </c>
      <c r="H298" s="25">
        <f t="array" ref="H298">IF(A298=A297,0,SUM(_xlfn._xlws.FILTER(G298:G318,A298:A318=A298)))</f>
        <v>0</v>
      </c>
      <c r="I298" s="25">
        <f t="array" ref="I298">IFERROR(IF(A298=A297,0,SUM(_xlfn._xlws.FILTER(G298:G318,(A298:A318=A298)*(E298:E318&lt;0)))),0)</f>
        <v>0</v>
      </c>
      <c r="J298" s="25">
        <f t="array" ref="J298">IFERROR(IF(A298=A297,0,SUM(_xlfn._xlws.FILTER(G298:G318,(A298:A318=A298)*(E298:E318&gt;0)))),0)</f>
        <v>0</v>
      </c>
      <c r="K298" s="25">
        <f>IF(H298&lt;&gt;0,SUM(H$2:H298),0)</f>
        <v>0</v>
      </c>
      <c r="L298" s="25">
        <f>IF(I298&lt;&gt;0,SUM(I$2:I298),0)</f>
        <v>0</v>
      </c>
      <c r="M298" s="25">
        <f>IF(J298&lt;&gt;0,SUM(J$2:J298),0)</f>
        <v>0</v>
      </c>
    </row>
    <row r="299" spans="1:13" x14ac:dyDescent="0.2">
      <c r="A299" s="5" t="s">
        <v>496</v>
      </c>
      <c r="C299" s="6" t="s">
        <v>15</v>
      </c>
      <c r="D299" s="7" t="s">
        <v>53</v>
      </c>
      <c r="E299" s="15" t="s">
        <v>497</v>
      </c>
      <c r="G299" s="25">
        <f t="shared" si="4"/>
        <v>-16475</v>
      </c>
      <c r="H299" s="25">
        <f t="array" ref="H299">IF(A299=A298,0,SUM(_xlfn._xlws.FILTER(G299:G319,A299:A319=A299)))</f>
        <v>-1289285</v>
      </c>
      <c r="I299" s="25">
        <f t="array" ref="I299">IFERROR(IF(A299=A298,0,SUM(_xlfn._xlws.FILTER(G299:G319,(A299:A319=A299)*(E299:E319&lt;0)))),0)</f>
        <v>0</v>
      </c>
      <c r="J299" s="25">
        <f t="array" ref="J299">IFERROR(IF(A299=A298,0,SUM(_xlfn._xlws.FILTER(G299:G319,(A299:A319=A299)*(E299:E319&gt;0)))),0)</f>
        <v>-1289285</v>
      </c>
      <c r="K299" s="25">
        <f>IF(H299&lt;&gt;0,SUM(H$2:H299),0)</f>
        <v>-3092275.1963070002</v>
      </c>
      <c r="L299" s="25">
        <f>IF(I299&lt;&gt;0,SUM(I$2:I299),0)</f>
        <v>0</v>
      </c>
      <c r="M299" s="25">
        <f>IF(J299&lt;&gt;0,SUM(J$2:J299),0)</f>
        <v>-3092275.1963070002</v>
      </c>
    </row>
    <row r="300" spans="1:13" x14ac:dyDescent="0.2">
      <c r="A300" s="5" t="s">
        <v>496</v>
      </c>
      <c r="C300" s="6" t="s">
        <v>105</v>
      </c>
      <c r="D300" s="7" t="s">
        <v>46</v>
      </c>
      <c r="E300" s="15" t="s">
        <v>497</v>
      </c>
      <c r="G300" s="25">
        <f t="shared" si="4"/>
        <v>-131800</v>
      </c>
      <c r="H300" s="25">
        <f t="array" ref="H300">IF(A300=A299,0,SUM(_xlfn._xlws.FILTER(G300:G320,A300:A320=A300)))</f>
        <v>0</v>
      </c>
      <c r="I300" s="25">
        <f t="array" ref="I300">IFERROR(IF(A300=A299,0,SUM(_xlfn._xlws.FILTER(G300:G320,(A300:A320=A300)*(E300:E320&lt;0)))),0)</f>
        <v>0</v>
      </c>
      <c r="J300" s="25">
        <f t="array" ref="J300">IFERROR(IF(A300=A299,0,SUM(_xlfn._xlws.FILTER(G300:G320,(A300:A320=A300)*(E300:E320&gt;0)))),0)</f>
        <v>0</v>
      </c>
      <c r="K300" s="25">
        <f>IF(H300&lt;&gt;0,SUM(H$2:H300),0)</f>
        <v>0</v>
      </c>
      <c r="L300" s="25">
        <f>IF(I300&lt;&gt;0,SUM(I$2:I300),0)</f>
        <v>0</v>
      </c>
      <c r="M300" s="25">
        <f>IF(J300&lt;&gt;0,SUM(J$2:J300),0)</f>
        <v>0</v>
      </c>
    </row>
    <row r="301" spans="1:13" x14ac:dyDescent="0.2">
      <c r="A301" s="5" t="s">
        <v>496</v>
      </c>
      <c r="C301" s="6" t="s">
        <v>222</v>
      </c>
      <c r="D301" s="7" t="s">
        <v>205</v>
      </c>
      <c r="E301" s="15" t="s">
        <v>498</v>
      </c>
      <c r="G301" s="25">
        <f t="shared" si="4"/>
        <v>-103680</v>
      </c>
      <c r="H301" s="25">
        <f t="array" ref="H301">IF(A301=A300,0,SUM(_xlfn._xlws.FILTER(G301:G321,A301:A321=A301)))</f>
        <v>0</v>
      </c>
      <c r="I301" s="25">
        <f t="array" ref="I301">IFERROR(IF(A301=A300,0,SUM(_xlfn._xlws.FILTER(G301:G321,(A301:A321=A301)*(E301:E321&lt;0)))),0)</f>
        <v>0</v>
      </c>
      <c r="J301" s="25">
        <f t="array" ref="J301">IFERROR(IF(A301=A300,0,SUM(_xlfn._xlws.FILTER(G301:G321,(A301:A321=A301)*(E301:E321&gt;0)))),0)</f>
        <v>0</v>
      </c>
      <c r="K301" s="25">
        <f>IF(H301&lt;&gt;0,SUM(H$2:H301),0)</f>
        <v>0</v>
      </c>
      <c r="L301" s="25">
        <f>IF(I301&lt;&gt;0,SUM(I$2:I301),0)</f>
        <v>0</v>
      </c>
      <c r="M301" s="25">
        <f>IF(J301&lt;&gt;0,SUM(J$2:J301),0)</f>
        <v>0</v>
      </c>
    </row>
    <row r="302" spans="1:13" x14ac:dyDescent="0.2">
      <c r="A302" s="5" t="s">
        <v>496</v>
      </c>
      <c r="C302" s="6" t="s">
        <v>69</v>
      </c>
      <c r="D302" s="7" t="s">
        <v>66</v>
      </c>
      <c r="E302" s="15" t="s">
        <v>499</v>
      </c>
      <c r="G302" s="25">
        <f t="shared" si="4"/>
        <v>-79140</v>
      </c>
      <c r="H302" s="25">
        <f t="array" ref="H302">IF(A302=A301,0,SUM(_xlfn._xlws.FILTER(G302:G322,A302:A322=A302)))</f>
        <v>0</v>
      </c>
      <c r="I302" s="25">
        <f t="array" ref="I302">IFERROR(IF(A302=A301,0,SUM(_xlfn._xlws.FILTER(G302:G322,(A302:A322=A302)*(E302:E322&lt;0)))),0)</f>
        <v>0</v>
      </c>
      <c r="J302" s="25">
        <f t="array" ref="J302">IFERROR(IF(A302=A301,0,SUM(_xlfn._xlws.FILTER(G302:G322,(A302:A322=A302)*(E302:E322&gt;0)))),0)</f>
        <v>0</v>
      </c>
      <c r="K302" s="25">
        <f>IF(H302&lt;&gt;0,SUM(H$2:H302),0)</f>
        <v>0</v>
      </c>
      <c r="L302" s="25">
        <f>IF(I302&lt;&gt;0,SUM(I$2:I302),0)</f>
        <v>0</v>
      </c>
      <c r="M302" s="25">
        <f>IF(J302&lt;&gt;0,SUM(J$2:J302),0)</f>
        <v>0</v>
      </c>
    </row>
    <row r="303" spans="1:13" x14ac:dyDescent="0.2">
      <c r="A303" s="5" t="s">
        <v>496</v>
      </c>
      <c r="C303" s="6" t="s">
        <v>90</v>
      </c>
      <c r="D303" s="7" t="s">
        <v>82</v>
      </c>
      <c r="E303" s="15" t="s">
        <v>500</v>
      </c>
      <c r="G303" s="25">
        <f t="shared" si="4"/>
        <v>-605250</v>
      </c>
      <c r="H303" s="25">
        <f t="array" ref="H303">IF(A303=A302,0,SUM(_xlfn._xlws.FILTER(G303:G323,A303:A323=A303)))</f>
        <v>0</v>
      </c>
      <c r="I303" s="25">
        <f t="array" ref="I303">IFERROR(IF(A303=A302,0,SUM(_xlfn._xlws.FILTER(G303:G323,(A303:A323=A303)*(E303:E323&lt;0)))),0)</f>
        <v>0</v>
      </c>
      <c r="J303" s="25">
        <f t="array" ref="J303">IFERROR(IF(A303=A302,0,SUM(_xlfn._xlws.FILTER(G303:G323,(A303:A323=A303)*(E303:E323&gt;0)))),0)</f>
        <v>0</v>
      </c>
      <c r="K303" s="25">
        <f>IF(H303&lt;&gt;0,SUM(H$2:H303),0)</f>
        <v>0</v>
      </c>
      <c r="L303" s="25">
        <f>IF(I303&lt;&gt;0,SUM(I$2:I303),0)</f>
        <v>0</v>
      </c>
      <c r="M303" s="25">
        <f>IF(J303&lt;&gt;0,SUM(J$2:J303),0)</f>
        <v>0</v>
      </c>
    </row>
    <row r="304" spans="1:13" x14ac:dyDescent="0.2">
      <c r="A304" s="5" t="s">
        <v>496</v>
      </c>
      <c r="C304" s="6" t="s">
        <v>31</v>
      </c>
      <c r="D304" s="7" t="s">
        <v>46</v>
      </c>
      <c r="E304" s="15" t="s">
        <v>501</v>
      </c>
      <c r="G304" s="25">
        <f t="shared" si="4"/>
        <v>-99800</v>
      </c>
      <c r="H304" s="25">
        <f t="array" ref="H304">IF(A304=A303,0,SUM(_xlfn._xlws.FILTER(G304:G324,A304:A324=A304)))</f>
        <v>0</v>
      </c>
      <c r="I304" s="25">
        <f t="array" ref="I304">IFERROR(IF(A304=A303,0,SUM(_xlfn._xlws.FILTER(G304:G324,(A304:A324=A304)*(E304:E324&lt;0)))),0)</f>
        <v>0</v>
      </c>
      <c r="J304" s="25">
        <f t="array" ref="J304">IFERROR(IF(A304=A303,0,SUM(_xlfn._xlws.FILTER(G304:G324,(A304:A324=A304)*(E304:E324&gt;0)))),0)</f>
        <v>0</v>
      </c>
      <c r="K304" s="25">
        <f>IF(H304&lt;&gt;0,SUM(H$2:H304),0)</f>
        <v>0</v>
      </c>
      <c r="L304" s="25">
        <f>IF(I304&lt;&gt;0,SUM(I$2:I304),0)</f>
        <v>0</v>
      </c>
      <c r="M304" s="25">
        <f>IF(J304&lt;&gt;0,SUM(J$2:J304),0)</f>
        <v>0</v>
      </c>
    </row>
    <row r="305" spans="1:13" x14ac:dyDescent="0.2">
      <c r="A305" s="5" t="s">
        <v>496</v>
      </c>
      <c r="C305" s="6" t="s">
        <v>41</v>
      </c>
      <c r="D305" s="7" t="s">
        <v>16</v>
      </c>
      <c r="E305" s="15" t="s">
        <v>502</v>
      </c>
      <c r="G305" s="25">
        <f t="shared" si="4"/>
        <v>-136800</v>
      </c>
      <c r="H305" s="25">
        <f t="array" ref="H305">IF(A305=A304,0,SUM(_xlfn._xlws.FILTER(G305:G325,A305:A325=A305)))</f>
        <v>0</v>
      </c>
      <c r="I305" s="25">
        <f t="array" ref="I305">IFERROR(IF(A305=A304,0,SUM(_xlfn._xlws.FILTER(G305:G325,(A305:A325=A305)*(E305:E325&lt;0)))),0)</f>
        <v>0</v>
      </c>
      <c r="J305" s="25">
        <f t="array" ref="J305">IFERROR(IF(A305=A304,0,SUM(_xlfn._xlws.FILTER(G305:G325,(A305:A325=A305)*(E305:E325&gt;0)))),0)</f>
        <v>0</v>
      </c>
      <c r="K305" s="25">
        <f>IF(H305&lt;&gt;0,SUM(H$2:H305),0)</f>
        <v>0</v>
      </c>
      <c r="L305" s="25">
        <f>IF(I305&lt;&gt;0,SUM(I$2:I305),0)</f>
        <v>0</v>
      </c>
      <c r="M305" s="25">
        <f>IF(J305&lt;&gt;0,SUM(J$2:J305),0)</f>
        <v>0</v>
      </c>
    </row>
    <row r="306" spans="1:13" x14ac:dyDescent="0.2">
      <c r="A306" s="5" t="s">
        <v>496</v>
      </c>
      <c r="C306" s="6" t="s">
        <v>185</v>
      </c>
      <c r="D306" s="7" t="s">
        <v>66</v>
      </c>
      <c r="E306" s="15" t="s">
        <v>503</v>
      </c>
      <c r="G306" s="25">
        <f t="shared" si="4"/>
        <v>-116340</v>
      </c>
      <c r="H306" s="25">
        <f t="array" ref="H306">IF(A306=A305,0,SUM(_xlfn._xlws.FILTER(G306:G326,A306:A326=A306)))</f>
        <v>0</v>
      </c>
      <c r="I306" s="25">
        <f t="array" ref="I306">IFERROR(IF(A306=A305,0,SUM(_xlfn._xlws.FILTER(G306:G326,(A306:A326=A306)*(E306:E326&lt;0)))),0)</f>
        <v>0</v>
      </c>
      <c r="J306" s="25">
        <f t="array" ref="J306">IFERROR(IF(A306=A305,0,SUM(_xlfn._xlws.FILTER(G306:G326,(A306:A326=A306)*(E306:E326&gt;0)))),0)</f>
        <v>0</v>
      </c>
      <c r="K306" s="25">
        <f>IF(H306&lt;&gt;0,SUM(H$2:H306),0)</f>
        <v>0</v>
      </c>
      <c r="L306" s="25">
        <f>IF(I306&lt;&gt;0,SUM(I$2:I306),0)</f>
        <v>0</v>
      </c>
      <c r="M306" s="25">
        <f>IF(J306&lt;&gt;0,SUM(J$2:J306),0)</f>
        <v>0</v>
      </c>
    </row>
    <row r="307" spans="1:13" x14ac:dyDescent="0.2">
      <c r="A307" s="1" t="s">
        <v>504</v>
      </c>
      <c r="C307" s="2" t="s">
        <v>262</v>
      </c>
      <c r="D307" s="3" t="s">
        <v>53</v>
      </c>
      <c r="E307" s="2" t="s">
        <v>505</v>
      </c>
      <c r="G307" s="25">
        <f t="shared" si="4"/>
        <v>133740</v>
      </c>
      <c r="H307" s="25">
        <f t="array" ref="H307">IF(A307=A306,0,SUM(_xlfn._xlws.FILTER(G307:G327,A307:A327=A307)))</f>
        <v>944492.64</v>
      </c>
      <c r="I307" s="25">
        <f t="array" ref="I307">IFERROR(IF(A307=A306,0,SUM(_xlfn._xlws.FILTER(G307:G327,(A307:A327=A307)*(E307:E327&lt;0)))),0)</f>
        <v>0</v>
      </c>
      <c r="J307" s="25">
        <f t="array" ref="J307">IFERROR(IF(A307=A306,0,SUM(_xlfn._xlws.FILTER(G307:G327,(A307:A327=A307)*(E307:E327&gt;0)))),0)</f>
        <v>944492.64</v>
      </c>
      <c r="K307" s="25">
        <f>IF(H307&lt;&gt;0,SUM(H$2:H307),0)</f>
        <v>-2147782.5563070001</v>
      </c>
      <c r="L307" s="25">
        <f>IF(I307&lt;&gt;0,SUM(I$2:I307),0)</f>
        <v>0</v>
      </c>
      <c r="M307" s="25">
        <f>IF(J307&lt;&gt;0,SUM(J$2:J307),0)</f>
        <v>-2147782.5563070001</v>
      </c>
    </row>
    <row r="308" spans="1:13" x14ac:dyDescent="0.2">
      <c r="A308" s="1" t="s">
        <v>504</v>
      </c>
      <c r="C308" s="2" t="s">
        <v>74</v>
      </c>
      <c r="D308" s="3" t="s">
        <v>506</v>
      </c>
      <c r="E308" s="2" t="s">
        <v>507</v>
      </c>
      <c r="G308" s="25">
        <f t="shared" si="4"/>
        <v>133406.63999999998</v>
      </c>
      <c r="H308" s="25">
        <f t="array" ref="H308">IF(A308=A307,0,SUM(_xlfn._xlws.FILTER(G308:G328,A308:A328=A308)))</f>
        <v>0</v>
      </c>
      <c r="I308" s="25">
        <f t="array" ref="I308">IFERROR(IF(A308=A307,0,SUM(_xlfn._xlws.FILTER(G308:G328,(A308:A328=A308)*(E308:E328&lt;0)))),0)</f>
        <v>0</v>
      </c>
      <c r="J308" s="25">
        <f t="array" ref="J308">IFERROR(IF(A308=A307,0,SUM(_xlfn._xlws.FILTER(G308:G328,(A308:A328=A308)*(E308:E328&gt;0)))),0)</f>
        <v>0</v>
      </c>
      <c r="K308" s="25">
        <f>IF(H308&lt;&gt;0,SUM(H$2:H308),0)</f>
        <v>0</v>
      </c>
      <c r="L308" s="25">
        <f>IF(I308&lt;&gt;0,SUM(I$2:I308),0)</f>
        <v>0</v>
      </c>
      <c r="M308" s="25">
        <f>IF(J308&lt;&gt;0,SUM(J$2:J308),0)</f>
        <v>0</v>
      </c>
    </row>
    <row r="309" spans="1:13" x14ac:dyDescent="0.2">
      <c r="A309" s="1" t="s">
        <v>504</v>
      </c>
      <c r="C309" s="2" t="s">
        <v>72</v>
      </c>
      <c r="D309" s="3" t="s">
        <v>508</v>
      </c>
      <c r="E309" s="2" t="s">
        <v>507</v>
      </c>
      <c r="G309" s="25">
        <f t="shared" si="4"/>
        <v>106752</v>
      </c>
      <c r="H309" s="25">
        <f t="array" ref="H309">IF(A309=A308,0,SUM(_xlfn._xlws.FILTER(G309:G329,A309:A329=A309)))</f>
        <v>0</v>
      </c>
      <c r="I309" s="25">
        <f t="array" ref="I309">IFERROR(IF(A309=A308,0,SUM(_xlfn._xlws.FILTER(G309:G329,(A309:A329=A309)*(E309:E329&lt;0)))),0)</f>
        <v>0</v>
      </c>
      <c r="J309" s="25">
        <f t="array" ref="J309">IFERROR(IF(A309=A308,0,SUM(_xlfn._xlws.FILTER(G309:G329,(A309:A329=A309)*(E309:E329&gt;0)))),0)</f>
        <v>0</v>
      </c>
      <c r="K309" s="25">
        <f>IF(H309&lt;&gt;0,SUM(H$2:H309),0)</f>
        <v>0</v>
      </c>
      <c r="L309" s="25">
        <f>IF(I309&lt;&gt;0,SUM(I$2:I309),0)</f>
        <v>0</v>
      </c>
      <c r="M309" s="25">
        <f>IF(J309&lt;&gt;0,SUM(J$2:J309),0)</f>
        <v>0</v>
      </c>
    </row>
    <row r="310" spans="1:13" x14ac:dyDescent="0.2">
      <c r="A310" s="1" t="s">
        <v>504</v>
      </c>
      <c r="C310" s="2" t="s">
        <v>320</v>
      </c>
      <c r="D310" s="3" t="s">
        <v>66</v>
      </c>
      <c r="E310" s="2" t="s">
        <v>509</v>
      </c>
      <c r="G310" s="25">
        <f t="shared" si="4"/>
        <v>377400</v>
      </c>
      <c r="H310" s="25">
        <f t="array" ref="H310">IF(A310=A309,0,SUM(_xlfn._xlws.FILTER(G310:G330,A310:A330=A310)))</f>
        <v>0</v>
      </c>
      <c r="I310" s="25">
        <f t="array" ref="I310">IFERROR(IF(A310=A309,0,SUM(_xlfn._xlws.FILTER(G310:G330,(A310:A330=A310)*(E310:E330&lt;0)))),0)</f>
        <v>0</v>
      </c>
      <c r="J310" s="25">
        <f t="array" ref="J310">IFERROR(IF(A310=A309,0,SUM(_xlfn._xlws.FILTER(G310:G330,(A310:A330=A310)*(E310:E330&gt;0)))),0)</f>
        <v>0</v>
      </c>
      <c r="K310" s="25">
        <f>IF(H310&lt;&gt;0,SUM(H$2:H310),0)</f>
        <v>0</v>
      </c>
      <c r="L310" s="25">
        <f>IF(I310&lt;&gt;0,SUM(I$2:I310),0)</f>
        <v>0</v>
      </c>
      <c r="M310" s="25">
        <f>IF(J310&lt;&gt;0,SUM(J$2:J310),0)</f>
        <v>0</v>
      </c>
    </row>
    <row r="311" spans="1:13" x14ac:dyDescent="0.2">
      <c r="A311" s="1" t="s">
        <v>504</v>
      </c>
      <c r="C311" s="2" t="s">
        <v>303</v>
      </c>
      <c r="D311" s="3" t="s">
        <v>20</v>
      </c>
      <c r="E311" s="2" t="s">
        <v>510</v>
      </c>
      <c r="G311" s="25">
        <f t="shared" si="4"/>
        <v>244434</v>
      </c>
      <c r="H311" s="25">
        <f t="array" ref="H311">IF(A311=A310,0,SUM(_xlfn._xlws.FILTER(G311:G331,A311:A331=A311)))</f>
        <v>0</v>
      </c>
      <c r="I311" s="25">
        <f t="array" ref="I311">IFERROR(IF(A311=A310,0,SUM(_xlfn._xlws.FILTER(G311:G331,(A311:A331=A311)*(E311:E331&lt;0)))),0)</f>
        <v>0</v>
      </c>
      <c r="J311" s="25">
        <f t="array" ref="J311">IFERROR(IF(A311=A310,0,SUM(_xlfn._xlws.FILTER(G311:G331,(A311:A331=A311)*(E311:E331&gt;0)))),0)</f>
        <v>0</v>
      </c>
      <c r="K311" s="25">
        <f>IF(H311&lt;&gt;0,SUM(H$2:H311),0)</f>
        <v>0</v>
      </c>
      <c r="L311" s="25">
        <f>IF(I311&lt;&gt;0,SUM(I$2:I311),0)</f>
        <v>0</v>
      </c>
      <c r="M311" s="25">
        <f>IF(J311&lt;&gt;0,SUM(J$2:J311),0)</f>
        <v>0</v>
      </c>
    </row>
    <row r="312" spans="1:13" x14ac:dyDescent="0.2">
      <c r="A312" s="1" t="s">
        <v>504</v>
      </c>
      <c r="C312" s="2" t="s">
        <v>37</v>
      </c>
      <c r="D312" s="3" t="s">
        <v>20</v>
      </c>
      <c r="E312" s="2" t="s">
        <v>511</v>
      </c>
      <c r="G312" s="25">
        <f t="shared" si="4"/>
        <v>-51240</v>
      </c>
      <c r="H312" s="25">
        <f t="array" ref="H312">IF(A312=A311,0,SUM(_xlfn._xlws.FILTER(G312:G332,A312:A332=A312)))</f>
        <v>0</v>
      </c>
      <c r="I312" s="25">
        <f t="array" ref="I312">IFERROR(IF(A312=A311,0,SUM(_xlfn._xlws.FILTER(G312:G332,(A312:A332=A312)*(E312:E332&lt;0)))),0)</f>
        <v>0</v>
      </c>
      <c r="J312" s="25">
        <f t="array" ref="J312">IFERROR(IF(A312=A311,0,SUM(_xlfn._xlws.FILTER(G312:G332,(A312:A332=A312)*(E312:E332&gt;0)))),0)</f>
        <v>0</v>
      </c>
      <c r="K312" s="25">
        <f>IF(H312&lt;&gt;0,SUM(H$2:H312),0)</f>
        <v>0</v>
      </c>
      <c r="L312" s="25">
        <f>IF(I312&lt;&gt;0,SUM(I$2:I312),0)</f>
        <v>0</v>
      </c>
      <c r="M312" s="25">
        <f>IF(J312&lt;&gt;0,SUM(J$2:J312),0)</f>
        <v>0</v>
      </c>
    </row>
    <row r="313" spans="1:13" x14ac:dyDescent="0.2">
      <c r="A313" s="1" t="s">
        <v>512</v>
      </c>
      <c r="C313" s="2" t="s">
        <v>259</v>
      </c>
      <c r="D313" s="3" t="s">
        <v>53</v>
      </c>
      <c r="E313" s="2" t="s">
        <v>513</v>
      </c>
      <c r="G313" s="25">
        <f t="shared" si="4"/>
        <v>136575</v>
      </c>
      <c r="H313" s="25">
        <f t="array" ref="H313">IF(A313=A312,0,SUM(_xlfn._xlws.FILTER(G313:G333,A313:A333=A313)))</f>
        <v>136575</v>
      </c>
      <c r="I313" s="25">
        <f t="array" ref="I313">IFERROR(IF(A313=A312,0,SUM(_xlfn._xlws.FILTER(G313:G333,(A313:A333=A313)*(E313:E333&lt;0)))),0)</f>
        <v>0</v>
      </c>
      <c r="J313" s="25">
        <f t="array" ref="J313">IFERROR(IF(A313=A312,0,SUM(_xlfn._xlws.FILTER(G313:G333,(A313:A333=A313)*(E313:E333&gt;0)))),0)</f>
        <v>136575</v>
      </c>
      <c r="K313" s="25">
        <f>IF(H313&lt;&gt;0,SUM(H$2:H313),0)</f>
        <v>-2011207.5563070001</v>
      </c>
      <c r="L313" s="25">
        <f>IF(I313&lt;&gt;0,SUM(I$2:I313),0)</f>
        <v>0</v>
      </c>
      <c r="M313" s="25">
        <f>IF(J313&lt;&gt;0,SUM(J$2:J313),0)</f>
        <v>-2011207.5563070001</v>
      </c>
    </row>
    <row r="314" spans="1:13" x14ac:dyDescent="0.2">
      <c r="A314" s="5" t="s">
        <v>514</v>
      </c>
      <c r="C314" s="6" t="s">
        <v>109</v>
      </c>
      <c r="D314" s="7" t="s">
        <v>53</v>
      </c>
      <c r="E314" s="15" t="s">
        <v>515</v>
      </c>
      <c r="G314" s="25">
        <f t="shared" si="4"/>
        <v>-106625</v>
      </c>
      <c r="H314" s="25">
        <f t="array" ref="H314">IF(A314=A313,0,SUM(_xlfn._xlws.FILTER(G314:G334,A314:A334=A314)))</f>
        <v>-270771.59999999998</v>
      </c>
      <c r="I314" s="25">
        <f t="array" ref="I314">IFERROR(IF(A314=A313,0,SUM(_xlfn._xlws.FILTER(G314:G334,(A314:A334=A314)*(E314:E334&lt;0)))),0)</f>
        <v>0</v>
      </c>
      <c r="J314" s="25">
        <f t="array" ref="J314">IFERROR(IF(A314=A313,0,SUM(_xlfn._xlws.FILTER(G314:G334,(A314:A334=A314)*(E314:E334&gt;0)))),0)</f>
        <v>-270771.59999999998</v>
      </c>
      <c r="K314" s="25">
        <f>IF(H314&lt;&gt;0,SUM(H$2:H314),0)</f>
        <v>-2281979.1563070002</v>
      </c>
      <c r="L314" s="25">
        <f>IF(I314&lt;&gt;0,SUM(I$2:I314),0)</f>
        <v>0</v>
      </c>
      <c r="M314" s="25">
        <f>IF(J314&lt;&gt;0,SUM(J$2:J314),0)</f>
        <v>-2281979.1563070002</v>
      </c>
    </row>
    <row r="315" spans="1:13" x14ac:dyDescent="0.2">
      <c r="A315" s="5" t="s">
        <v>514</v>
      </c>
      <c r="C315" s="6" t="s">
        <v>116</v>
      </c>
      <c r="D315" s="7" t="s">
        <v>53</v>
      </c>
      <c r="E315" s="15" t="s">
        <v>516</v>
      </c>
      <c r="G315" s="25">
        <f t="shared" si="4"/>
        <v>-106715</v>
      </c>
      <c r="H315" s="25">
        <f t="array" ref="H315">IF(A315=A314,0,SUM(_xlfn._xlws.FILTER(G315:G335,A315:A335=A315)))</f>
        <v>0</v>
      </c>
      <c r="I315" s="25">
        <f t="array" ref="I315">IFERROR(IF(A315=A314,0,SUM(_xlfn._xlws.FILTER(G315:G335,(A315:A335=A315)*(E315:E335&lt;0)))),0)</f>
        <v>0</v>
      </c>
      <c r="J315" s="25">
        <f t="array" ref="J315">IFERROR(IF(A315=A314,0,SUM(_xlfn._xlws.FILTER(G315:G335,(A315:A335=A315)*(E315:E335&gt;0)))),0)</f>
        <v>0</v>
      </c>
      <c r="K315" s="25">
        <f>IF(H315&lt;&gt;0,SUM(H$2:H315),0)</f>
        <v>0</v>
      </c>
      <c r="L315" s="25">
        <f>IF(I315&lt;&gt;0,SUM(I$2:I315),0)</f>
        <v>0</v>
      </c>
      <c r="M315" s="25">
        <f>IF(J315&lt;&gt;0,SUM(J$2:J315),0)</f>
        <v>0</v>
      </c>
    </row>
    <row r="316" spans="1:13" x14ac:dyDescent="0.2">
      <c r="A316" s="5" t="s">
        <v>514</v>
      </c>
      <c r="C316" s="6" t="s">
        <v>61</v>
      </c>
      <c r="D316" s="7" t="s">
        <v>517</v>
      </c>
      <c r="E316" s="27" t="s">
        <v>518</v>
      </c>
      <c r="G316" s="25">
        <f t="shared" si="4"/>
        <v>-57431.6</v>
      </c>
      <c r="H316" s="25">
        <f t="array" ref="H316">IF(A316=A315,0,SUM(_xlfn._xlws.FILTER(G316:G336,A316:A336=A316)))</f>
        <v>0</v>
      </c>
      <c r="I316" s="25">
        <f t="array" ref="I316">IFERROR(IF(A316=A315,0,SUM(_xlfn._xlws.FILTER(G316:G336,(A316:A336=A316)*(E316:E336&lt;0)))),0)</f>
        <v>0</v>
      </c>
      <c r="J316" s="25">
        <f t="array" ref="J316">IFERROR(IF(A316=A315,0,SUM(_xlfn._xlws.FILTER(G316:G336,(A316:A336=A316)*(E316:E336&gt;0)))),0)</f>
        <v>0</v>
      </c>
      <c r="K316" s="25">
        <f>IF(H316&lt;&gt;0,SUM(H$2:H316),0)</f>
        <v>0</v>
      </c>
      <c r="L316" s="25">
        <f>IF(I316&lt;&gt;0,SUM(I$2:I316),0)</f>
        <v>0</v>
      </c>
      <c r="M316" s="25">
        <f>IF(J316&lt;&gt;0,SUM(J$2:J316),0)</f>
        <v>0</v>
      </c>
    </row>
    <row r="317" spans="1:13" x14ac:dyDescent="0.2">
      <c r="A317" s="2" t="s">
        <v>519</v>
      </c>
      <c r="C317" s="2" t="s">
        <v>90</v>
      </c>
      <c r="D317" s="3" t="s">
        <v>53</v>
      </c>
      <c r="E317" s="18" t="s">
        <v>520</v>
      </c>
      <c r="G317" s="25">
        <f t="shared" si="4"/>
        <v>-98000</v>
      </c>
      <c r="H317" s="25">
        <f t="array" ref="H317">IF(A317=A316,0,SUM(_xlfn._xlws.FILTER(G317:G337,A317:A337=A317)))</f>
        <v>-98000</v>
      </c>
      <c r="I317" s="25">
        <f t="array" ref="I317">IFERROR(IF(A317=A316,0,SUM(_xlfn._xlws.FILTER(G317:G337,(A317:A337=A317)*(E317:E337&lt;0)))),0)</f>
        <v>0</v>
      </c>
      <c r="J317" s="25">
        <f t="array" ref="J317">IFERROR(IF(A317=A316,0,SUM(_xlfn._xlws.FILTER(G317:G337,(A317:A337=A317)*(E317:E337&gt;0)))),0)</f>
        <v>-98000</v>
      </c>
      <c r="K317" s="25">
        <f>IF(H317&lt;&gt;0,SUM(H$2:H317),0)</f>
        <v>-2379979.1563070002</v>
      </c>
      <c r="L317" s="25">
        <f>IF(I317&lt;&gt;0,SUM(I$2:I317),0)</f>
        <v>0</v>
      </c>
      <c r="M317" s="25">
        <f>IF(J317&lt;&gt;0,SUM(J$2:J317),0)</f>
        <v>-2379979.1563070002</v>
      </c>
    </row>
    <row r="318" spans="1:13" x14ac:dyDescent="0.2">
      <c r="A318" s="1" t="s">
        <v>521</v>
      </c>
      <c r="C318" s="2" t="s">
        <v>265</v>
      </c>
      <c r="D318" s="3" t="s">
        <v>82</v>
      </c>
      <c r="E318" s="16" t="s">
        <v>522</v>
      </c>
      <c r="G318" s="25">
        <f t="shared" si="4"/>
        <v>-39120</v>
      </c>
      <c r="H318" s="25">
        <f t="array" ref="H318">IF(A318=A317,0,SUM(_xlfn._xlws.FILTER(G318:G338,A318:A338=A318)))</f>
        <v>-39120</v>
      </c>
      <c r="I318" s="25">
        <f t="array" ref="I318">IFERROR(IF(A318=A317,0,SUM(_xlfn._xlws.FILTER(G318:G338,(A318:A338=A318)*(E318:E338&lt;0)))),0)</f>
        <v>0</v>
      </c>
      <c r="J318" s="25">
        <f t="array" ref="J318">IFERROR(IF(A318=A317,0,SUM(_xlfn._xlws.FILTER(G318:G338,(A318:A338=A318)*(E318:E338&gt;0)))),0)</f>
        <v>-39120</v>
      </c>
      <c r="K318" s="25">
        <f>IF(H318&lt;&gt;0,SUM(H$2:H318),0)</f>
        <v>-2419099.1563070002</v>
      </c>
      <c r="L318" s="25">
        <f>IF(I318&lt;&gt;0,SUM(I$2:I318),0)</f>
        <v>0</v>
      </c>
      <c r="M318" s="25">
        <f>IF(J318&lt;&gt;0,SUM(J$2:J318),0)</f>
        <v>-2419099.1563070002</v>
      </c>
    </row>
    <row r="319" spans="1:13" x14ac:dyDescent="0.2">
      <c r="A319" s="5" t="s">
        <v>523</v>
      </c>
      <c r="C319" s="6" t="s">
        <v>303</v>
      </c>
      <c r="D319" s="7" t="s">
        <v>20</v>
      </c>
      <c r="E319" s="15" t="s">
        <v>524</v>
      </c>
      <c r="G319" s="25">
        <f t="shared" si="4"/>
        <v>244104</v>
      </c>
      <c r="H319" s="25">
        <f t="array" ref="H319">IF(A319=A318,0,SUM(_xlfn._xlws.FILTER(G319:G339,A319:A339=A319)))</f>
        <v>244104</v>
      </c>
      <c r="I319" s="25">
        <f t="array" ref="I319">IFERROR(IF(A319=A318,0,SUM(_xlfn._xlws.FILTER(G319:G339,(A319:A339=A319)*(E319:E339&lt;0)))),0)</f>
        <v>0</v>
      </c>
      <c r="J319" s="25">
        <f t="array" ref="J319">IFERROR(IF(A319=A318,0,SUM(_xlfn._xlws.FILTER(G319:G339,(A319:A339=A319)*(E319:E339&gt;0)))),0)</f>
        <v>244104</v>
      </c>
      <c r="K319" s="25">
        <f>IF(H319&lt;&gt;0,SUM(H$2:H319),0)</f>
        <v>-2174995.1563070002</v>
      </c>
      <c r="L319" s="25">
        <f>IF(I319&lt;&gt;0,SUM(I$2:I319),0)</f>
        <v>0</v>
      </c>
      <c r="M319" s="25">
        <f>IF(J319&lt;&gt;0,SUM(J$2:J319),0)</f>
        <v>-2174995.1563070002</v>
      </c>
    </row>
    <row r="320" spans="1:13" x14ac:dyDescent="0.2">
      <c r="A320" s="1" t="s">
        <v>525</v>
      </c>
      <c r="C320" s="2" t="s">
        <v>15</v>
      </c>
      <c r="D320" s="3" t="s">
        <v>53</v>
      </c>
      <c r="E320" s="16" t="s">
        <v>526</v>
      </c>
      <c r="G320" s="25">
        <f t="shared" si="4"/>
        <v>-15670</v>
      </c>
      <c r="H320" s="25">
        <f t="array" ref="H320">IF(A320=A319,0,SUM(_xlfn._xlws.FILTER(G320:G340,A320:A340=A320)))</f>
        <v>-235092.3</v>
      </c>
      <c r="I320" s="25">
        <f t="array" ref="I320">IFERROR(IF(A320=A319,0,SUM(_xlfn._xlws.FILTER(G320:G340,(A320:A340=A320)*(E320:E340&lt;0)))),0)</f>
        <v>0</v>
      </c>
      <c r="J320" s="25">
        <f t="array" ref="J320">IFERROR(IF(A320=A319,0,SUM(_xlfn._xlws.FILTER(G320:G340,(A320:A340=A320)*(E320:E340&gt;0)))),0)</f>
        <v>-235092.3</v>
      </c>
      <c r="K320" s="25">
        <f>IF(H320&lt;&gt;0,SUM(H$2:H320),0)</f>
        <v>-2410087.456307</v>
      </c>
      <c r="L320" s="25">
        <f>IF(I320&lt;&gt;0,SUM(I$2:I320),0)</f>
        <v>0</v>
      </c>
      <c r="M320" s="25">
        <f>IF(J320&lt;&gt;0,SUM(J$2:J320),0)</f>
        <v>-2410087.456307</v>
      </c>
    </row>
    <row r="321" spans="1:13" x14ac:dyDescent="0.2">
      <c r="A321" s="1" t="s">
        <v>525</v>
      </c>
      <c r="C321" s="2" t="s">
        <v>139</v>
      </c>
      <c r="D321" s="3" t="s">
        <v>527</v>
      </c>
      <c r="E321" s="16" t="s">
        <v>528</v>
      </c>
      <c r="G321" s="25">
        <f t="shared" si="4"/>
        <v>5472</v>
      </c>
      <c r="H321" s="25">
        <f t="array" ref="H321">IF(A321=A320,0,SUM(_xlfn._xlws.FILTER(G321:G341,A321:A341=A321)))</f>
        <v>0</v>
      </c>
      <c r="I321" s="25">
        <f t="array" ref="I321">IFERROR(IF(A321=A320,0,SUM(_xlfn._xlws.FILTER(G321:G341,(A321:A341=A321)*(E321:E341&lt;0)))),0)</f>
        <v>0</v>
      </c>
      <c r="J321" s="25">
        <f t="array" ref="J321">IFERROR(IF(A321=A320,0,SUM(_xlfn._xlws.FILTER(G321:G341,(A321:A341=A321)*(E321:E341&gt;0)))),0)</f>
        <v>0</v>
      </c>
      <c r="K321" s="25">
        <f>IF(H321&lt;&gt;0,SUM(H$2:H321),0)</f>
        <v>0</v>
      </c>
      <c r="L321" s="25">
        <f>IF(I321&lt;&gt;0,SUM(I$2:I321),0)</f>
        <v>0</v>
      </c>
      <c r="M321" s="25">
        <f>IF(J321&lt;&gt;0,SUM(J$2:J321),0)</f>
        <v>0</v>
      </c>
    </row>
    <row r="322" spans="1:13" x14ac:dyDescent="0.2">
      <c r="A322" s="1" t="s">
        <v>525</v>
      </c>
      <c r="C322" s="2" t="s">
        <v>90</v>
      </c>
      <c r="D322" s="3" t="s">
        <v>100</v>
      </c>
      <c r="E322" s="16" t="s">
        <v>529</v>
      </c>
      <c r="G322" s="25">
        <f t="shared" ref="G322:G385" si="5">D322*E322*IF(OR(C322="IAG",C322="EZJ",C322="AET"),0.01,1)</f>
        <v>-58998</v>
      </c>
      <c r="H322" s="25">
        <f t="array" ref="H322">IF(A322=A321,0,SUM(_xlfn._xlws.FILTER(G322:G342,A322:A342=A322)))</f>
        <v>0</v>
      </c>
      <c r="I322" s="25">
        <f t="array" ref="I322">IFERROR(IF(A322=A321,0,SUM(_xlfn._xlws.FILTER(G322:G342,(A322:A342=A322)*(E322:E342&lt;0)))),0)</f>
        <v>0</v>
      </c>
      <c r="J322" s="25">
        <f t="array" ref="J322">IFERROR(IF(A322=A321,0,SUM(_xlfn._xlws.FILTER(G322:G342,(A322:A342=A322)*(E322:E342&gt;0)))),0)</f>
        <v>0</v>
      </c>
      <c r="K322" s="25">
        <f>IF(H322&lt;&gt;0,SUM(H$2:H322),0)</f>
        <v>0</v>
      </c>
      <c r="L322" s="25">
        <f>IF(I322&lt;&gt;0,SUM(I$2:I322),0)</f>
        <v>0</v>
      </c>
      <c r="M322" s="25">
        <f>IF(J322&lt;&gt;0,SUM(J$2:J322),0)</f>
        <v>0</v>
      </c>
    </row>
    <row r="323" spans="1:13" x14ac:dyDescent="0.2">
      <c r="A323" s="1" t="s">
        <v>525</v>
      </c>
      <c r="C323" s="2" t="s">
        <v>49</v>
      </c>
      <c r="D323" s="3" t="s">
        <v>530</v>
      </c>
      <c r="E323" s="16" t="s">
        <v>531</v>
      </c>
      <c r="G323" s="25">
        <f t="shared" si="5"/>
        <v>-4398.3</v>
      </c>
      <c r="H323" s="25">
        <f t="array" ref="H323">IF(A323=A322,0,SUM(_xlfn._xlws.FILTER(G323:G343,A323:A343=A323)))</f>
        <v>0</v>
      </c>
      <c r="I323" s="25">
        <f t="array" ref="I323">IFERROR(IF(A323=A322,0,SUM(_xlfn._xlws.FILTER(G323:G343,(A323:A343=A323)*(E323:E343&lt;0)))),0)</f>
        <v>0</v>
      </c>
      <c r="J323" s="25">
        <f t="array" ref="J323">IFERROR(IF(A323=A322,0,SUM(_xlfn._xlws.FILTER(G323:G343,(A323:A343=A323)*(E323:E343&gt;0)))),0)</f>
        <v>0</v>
      </c>
      <c r="K323" s="25">
        <f>IF(H323&lt;&gt;0,SUM(H$2:H323),0)</f>
        <v>0</v>
      </c>
      <c r="L323" s="25">
        <f>IF(I323&lt;&gt;0,SUM(I$2:I323),0)</f>
        <v>0</v>
      </c>
      <c r="M323" s="25">
        <f>IF(J323&lt;&gt;0,SUM(J$2:J323),0)</f>
        <v>0</v>
      </c>
    </row>
    <row r="324" spans="1:13" x14ac:dyDescent="0.2">
      <c r="A324" s="1" t="s">
        <v>525</v>
      </c>
      <c r="C324" s="2" t="s">
        <v>105</v>
      </c>
      <c r="D324" s="3" t="s">
        <v>53</v>
      </c>
      <c r="E324" s="16" t="s">
        <v>532</v>
      </c>
      <c r="G324" s="25">
        <f t="shared" si="5"/>
        <v>-15680</v>
      </c>
      <c r="H324" s="25">
        <f t="array" ref="H324">IF(A324=A323,0,SUM(_xlfn._xlws.FILTER(G324:G344,A324:A344=A324)))</f>
        <v>0</v>
      </c>
      <c r="I324" s="25">
        <f t="array" ref="I324">IFERROR(IF(A324=A323,0,SUM(_xlfn._xlws.FILTER(G324:G344,(A324:A344=A324)*(E324:E344&lt;0)))),0)</f>
        <v>0</v>
      </c>
      <c r="J324" s="25">
        <f t="array" ref="J324">IFERROR(IF(A324=A323,0,SUM(_xlfn._xlws.FILTER(G324:G344,(A324:A344=A324)*(E324:E344&gt;0)))),0)</f>
        <v>0</v>
      </c>
      <c r="K324" s="25">
        <f>IF(H324&lt;&gt;0,SUM(H$2:H324),0)</f>
        <v>0</v>
      </c>
      <c r="L324" s="25">
        <f>IF(I324&lt;&gt;0,SUM(I$2:I324),0)</f>
        <v>0</v>
      </c>
      <c r="M324" s="25">
        <f>IF(J324&lt;&gt;0,SUM(J$2:J324),0)</f>
        <v>0</v>
      </c>
    </row>
    <row r="325" spans="1:13" x14ac:dyDescent="0.2">
      <c r="A325" s="1" t="s">
        <v>525</v>
      </c>
      <c r="C325" s="2" t="s">
        <v>55</v>
      </c>
      <c r="D325" s="3" t="s">
        <v>20</v>
      </c>
      <c r="E325" s="16" t="s">
        <v>533</v>
      </c>
      <c r="G325" s="25">
        <f t="shared" si="5"/>
        <v>-109361.99999999999</v>
      </c>
      <c r="H325" s="25">
        <f t="array" ref="H325">IF(A325=A324,0,SUM(_xlfn._xlws.FILTER(G325:G345,A325:A345=A325)))</f>
        <v>0</v>
      </c>
      <c r="I325" s="25">
        <f t="array" ref="I325">IFERROR(IF(A325=A324,0,SUM(_xlfn._xlws.FILTER(G325:G345,(A325:A345=A325)*(E325:E345&lt;0)))),0)</f>
        <v>0</v>
      </c>
      <c r="J325" s="25">
        <f t="array" ref="J325">IFERROR(IF(A325=A324,0,SUM(_xlfn._xlws.FILTER(G325:G345,(A325:A345=A325)*(E325:E345&gt;0)))),0)</f>
        <v>0</v>
      </c>
      <c r="K325" s="25">
        <f>IF(H325&lt;&gt;0,SUM(H$2:H325),0)</f>
        <v>0</v>
      </c>
      <c r="L325" s="25">
        <f>IF(I325&lt;&gt;0,SUM(I$2:I325),0)</f>
        <v>0</v>
      </c>
      <c r="M325" s="25">
        <f>IF(J325&lt;&gt;0,SUM(J$2:J325),0)</f>
        <v>0</v>
      </c>
    </row>
    <row r="326" spans="1:13" x14ac:dyDescent="0.2">
      <c r="A326" s="5" t="s">
        <v>534</v>
      </c>
      <c r="C326" s="6" t="s">
        <v>15</v>
      </c>
      <c r="D326" s="7" t="s">
        <v>53</v>
      </c>
      <c r="E326" s="15" t="s">
        <v>535</v>
      </c>
      <c r="G326" s="25">
        <f t="shared" si="5"/>
        <v>-15475</v>
      </c>
      <c r="H326" s="25">
        <f t="array" ref="H326">IF(A326=A325,0,SUM(_xlfn._xlws.FILTER(G326:G346,A326:A346=A326)))</f>
        <v>-15475</v>
      </c>
      <c r="I326" s="25">
        <f t="array" ref="I326">IFERROR(IF(A326=A325,0,SUM(_xlfn._xlws.FILTER(G326:G346,(A326:A346=A326)*(E326:E346&lt;0)))),0)</f>
        <v>0</v>
      </c>
      <c r="J326" s="25">
        <f t="array" ref="J326">IFERROR(IF(A326=A325,0,SUM(_xlfn._xlws.FILTER(G326:G346,(A326:A346=A326)*(E326:E346&gt;0)))),0)</f>
        <v>-15475</v>
      </c>
      <c r="K326" s="25">
        <f>IF(H326&lt;&gt;0,SUM(H$2:H326),0)</f>
        <v>-2425562.456307</v>
      </c>
      <c r="L326" s="25">
        <f>IF(I326&lt;&gt;0,SUM(I$2:I326),0)</f>
        <v>0</v>
      </c>
      <c r="M326" s="25">
        <f>IF(J326&lt;&gt;0,SUM(J$2:J326),0)</f>
        <v>-2425562.456307</v>
      </c>
    </row>
    <row r="327" spans="1:13" x14ac:dyDescent="0.2">
      <c r="A327" s="5" t="s">
        <v>525</v>
      </c>
      <c r="C327" s="6" t="s">
        <v>265</v>
      </c>
      <c r="D327" s="7" t="s">
        <v>536</v>
      </c>
      <c r="E327" s="15" t="s">
        <v>537</v>
      </c>
      <c r="G327" s="25">
        <f t="shared" si="5"/>
        <v>-36456</v>
      </c>
      <c r="H327" s="25">
        <f t="array" ref="H327">IF(A327=A326,0,SUM(_xlfn._xlws.FILTER(G327:G347,A327:A347=A327)))</f>
        <v>-36456</v>
      </c>
      <c r="I327" s="25">
        <f t="array" ref="I327">IFERROR(IF(A327=A326,0,SUM(_xlfn._xlws.FILTER(G327:G347,(A327:A347=A327)*(E327:E347&lt;0)))),0)</f>
        <v>0</v>
      </c>
      <c r="J327" s="25">
        <f t="array" ref="J327">IFERROR(IF(A327=A326,0,SUM(_xlfn._xlws.FILTER(G327:G347,(A327:A347=A327)*(E327:E347&gt;0)))),0)</f>
        <v>-36456</v>
      </c>
      <c r="K327" s="25">
        <f>IF(H327&lt;&gt;0,SUM(H$2:H327),0)</f>
        <v>-2462018.456307</v>
      </c>
      <c r="L327" s="25">
        <f>IF(I327&lt;&gt;0,SUM(I$2:I327),0)</f>
        <v>0</v>
      </c>
      <c r="M327" s="25">
        <f>IF(J327&lt;&gt;0,SUM(J$2:J327),0)</f>
        <v>-2462018.456307</v>
      </c>
    </row>
    <row r="328" spans="1:13" x14ac:dyDescent="0.2">
      <c r="A328" s="1" t="s">
        <v>538</v>
      </c>
      <c r="C328" s="2" t="s">
        <v>157</v>
      </c>
      <c r="D328" s="3" t="s">
        <v>120</v>
      </c>
      <c r="E328" s="16" t="s">
        <v>539</v>
      </c>
      <c r="G328" s="25">
        <f t="shared" si="5"/>
        <v>10402</v>
      </c>
      <c r="H328" s="25">
        <f t="array" ref="H328">IF(A328=A327,0,SUM(_xlfn._xlws.FILTER(G328:G348,A328:A348=A328)))</f>
        <v>-150178</v>
      </c>
      <c r="I328" s="25">
        <f t="array" ref="I328">IFERROR(IF(A328=A327,0,SUM(_xlfn._xlws.FILTER(G328:G348,(A328:A348=A328)*(E328:E348&lt;0)))),0)</f>
        <v>0</v>
      </c>
      <c r="J328" s="25">
        <f t="array" ref="J328">IFERROR(IF(A328=A327,0,SUM(_xlfn._xlws.FILTER(G328:G348,(A328:A348=A328)*(E328:E348&gt;0)))),0)</f>
        <v>-150178</v>
      </c>
      <c r="K328" s="25">
        <f>IF(H328&lt;&gt;0,SUM(H$2:H328),0)</f>
        <v>-2612196.456307</v>
      </c>
      <c r="L328" s="25">
        <f>IF(I328&lt;&gt;0,SUM(I$2:I328),0)</f>
        <v>0</v>
      </c>
      <c r="M328" s="25">
        <f>IF(J328&lt;&gt;0,SUM(J$2:J328),0)</f>
        <v>-2612196.456307</v>
      </c>
    </row>
    <row r="329" spans="1:13" x14ac:dyDescent="0.2">
      <c r="A329" s="1" t="s">
        <v>538</v>
      </c>
      <c r="C329" s="2" t="s">
        <v>28</v>
      </c>
      <c r="D329" s="3" t="s">
        <v>85</v>
      </c>
      <c r="E329" s="16" t="s">
        <v>540</v>
      </c>
      <c r="G329" s="25">
        <f t="shared" si="5"/>
        <v>46960</v>
      </c>
      <c r="H329" s="25">
        <f t="array" ref="H329">IF(A329=A328,0,SUM(_xlfn._xlws.FILTER(G329:G349,A329:A349=A329)))</f>
        <v>0</v>
      </c>
      <c r="I329" s="25">
        <f t="array" ref="I329">IFERROR(IF(A329=A328,0,SUM(_xlfn._xlws.FILTER(G329:G349,(A329:A349=A329)*(E329:E349&lt;0)))),0)</f>
        <v>0</v>
      </c>
      <c r="J329" s="25">
        <f t="array" ref="J329">IFERROR(IF(A329=A328,0,SUM(_xlfn._xlws.FILTER(G329:G349,(A329:A349=A329)*(E329:E349&gt;0)))),0)</f>
        <v>0</v>
      </c>
      <c r="K329" s="25">
        <f>IF(H329&lt;&gt;0,SUM(H$2:H329),0)</f>
        <v>0</v>
      </c>
      <c r="L329" s="25">
        <f>IF(I329&lt;&gt;0,SUM(I$2:I329),0)</f>
        <v>0</v>
      </c>
      <c r="M329" s="25">
        <f>IF(J329&lt;&gt;0,SUM(J$2:J329),0)</f>
        <v>0</v>
      </c>
    </row>
    <row r="330" spans="1:13" x14ac:dyDescent="0.2">
      <c r="A330" s="1" t="s">
        <v>538</v>
      </c>
      <c r="C330" s="2" t="s">
        <v>34</v>
      </c>
      <c r="D330" s="3" t="s">
        <v>46</v>
      </c>
      <c r="E330" s="16" t="s">
        <v>541</v>
      </c>
      <c r="G330" s="25">
        <f t="shared" si="5"/>
        <v>-279360</v>
      </c>
      <c r="H330" s="25">
        <f t="array" ref="H330">IF(A330=A329,0,SUM(_xlfn._xlws.FILTER(G330:G350,A330:A350=A330)))</f>
        <v>0</v>
      </c>
      <c r="I330" s="25">
        <f t="array" ref="I330">IFERROR(IF(A330=A329,0,SUM(_xlfn._xlws.FILTER(G330:G350,(A330:A350=A330)*(E330:E350&lt;0)))),0)</f>
        <v>0</v>
      </c>
      <c r="J330" s="25">
        <f t="array" ref="J330">IFERROR(IF(A330=A329,0,SUM(_xlfn._xlws.FILTER(G330:G350,(A330:A350=A330)*(E330:E350&gt;0)))),0)</f>
        <v>0</v>
      </c>
      <c r="K330" s="25">
        <f>IF(H330&lt;&gt;0,SUM(H$2:H330),0)</f>
        <v>0</v>
      </c>
      <c r="L330" s="25">
        <f>IF(I330&lt;&gt;0,SUM(I$2:I330),0)</f>
        <v>0</v>
      </c>
      <c r="M330" s="25">
        <f>IF(J330&lt;&gt;0,SUM(J$2:J330),0)</f>
        <v>0</v>
      </c>
    </row>
    <row r="331" spans="1:13" x14ac:dyDescent="0.2">
      <c r="A331" s="1" t="s">
        <v>538</v>
      </c>
      <c r="C331" s="2" t="s">
        <v>41</v>
      </c>
      <c r="D331" s="3" t="s">
        <v>102</v>
      </c>
      <c r="E331" s="16" t="s">
        <v>542</v>
      </c>
      <c r="G331" s="25">
        <f t="shared" si="5"/>
        <v>71820</v>
      </c>
      <c r="H331" s="25">
        <f t="array" ref="H331">IF(A331=A330,0,SUM(_xlfn._xlws.FILTER(G331:G351,A331:A351=A331)))</f>
        <v>0</v>
      </c>
      <c r="I331" s="25">
        <f t="array" ref="I331">IFERROR(IF(A331=A330,0,SUM(_xlfn._xlws.FILTER(G331:G351,(A331:A351=A331)*(E331:E351&lt;0)))),0)</f>
        <v>0</v>
      </c>
      <c r="J331" s="25">
        <f t="array" ref="J331">IFERROR(IF(A331=A330,0,SUM(_xlfn._xlws.FILTER(G331:G351,(A331:A351=A331)*(E331:E351&gt;0)))),0)</f>
        <v>0</v>
      </c>
      <c r="K331" s="25">
        <f>IF(H331&lt;&gt;0,SUM(H$2:H331),0)</f>
        <v>0</v>
      </c>
      <c r="L331" s="25">
        <f>IF(I331&lt;&gt;0,SUM(I$2:I331),0)</f>
        <v>0</v>
      </c>
      <c r="M331" s="25">
        <f>IF(J331&lt;&gt;0,SUM(J$2:J331),0)</f>
        <v>0</v>
      </c>
    </row>
    <row r="332" spans="1:13" x14ac:dyDescent="0.2">
      <c r="A332" s="5" t="s">
        <v>543</v>
      </c>
      <c r="C332" s="6" t="s">
        <v>259</v>
      </c>
      <c r="D332" s="7" t="s">
        <v>102</v>
      </c>
      <c r="E332" s="15" t="s">
        <v>544</v>
      </c>
      <c r="G332" s="25">
        <f t="shared" si="5"/>
        <v>-250750</v>
      </c>
      <c r="H332" s="25">
        <f t="array" ref="H332">IF(A332=A331,0,SUM(_xlfn._xlws.FILTER(G332:G352,A332:A352=A332)))</f>
        <v>-500500</v>
      </c>
      <c r="I332" s="25">
        <f t="array" ref="I332">IFERROR(IF(A332=A331,0,SUM(_xlfn._xlws.FILTER(G332:G352,(A332:A352=A332)*(E332:E352&lt;0)))),0)</f>
        <v>0</v>
      </c>
      <c r="J332" s="25">
        <f t="array" ref="J332">IFERROR(IF(A332=A331,0,SUM(_xlfn._xlws.FILTER(G332:G352,(A332:A352=A332)*(E332:E352&gt;0)))),0)</f>
        <v>-500500</v>
      </c>
      <c r="K332" s="25">
        <f>IF(H332&lt;&gt;0,SUM(H$2:H332),0)</f>
        <v>-3112696.456307</v>
      </c>
      <c r="L332" s="25">
        <f>IF(I332&lt;&gt;0,SUM(I$2:I332),0)</f>
        <v>0</v>
      </c>
      <c r="M332" s="25">
        <f>IF(J332&lt;&gt;0,SUM(J$2:J332),0)</f>
        <v>-3112696.456307</v>
      </c>
    </row>
    <row r="333" spans="1:13" x14ac:dyDescent="0.2">
      <c r="A333" s="5" t="s">
        <v>543</v>
      </c>
      <c r="C333" s="6" t="s">
        <v>259</v>
      </c>
      <c r="D333" s="7" t="s">
        <v>102</v>
      </c>
      <c r="E333" s="15" t="s">
        <v>545</v>
      </c>
      <c r="G333" s="25">
        <f t="shared" si="5"/>
        <v>-249750</v>
      </c>
      <c r="H333" s="25">
        <f t="array" ref="H333">IF(A333=A332,0,SUM(_xlfn._xlws.FILTER(G333:G353,A333:A353=A333)))</f>
        <v>0</v>
      </c>
      <c r="I333" s="25">
        <f t="array" ref="I333">IFERROR(IF(A333=A332,0,SUM(_xlfn._xlws.FILTER(G333:G353,(A333:A353=A333)*(E333:E353&lt;0)))),0)</f>
        <v>0</v>
      </c>
      <c r="J333" s="25">
        <f t="array" ref="J333">IFERROR(IF(A333=A332,0,SUM(_xlfn._xlws.FILTER(G333:G353,(A333:A353=A333)*(E333:E353&gt;0)))),0)</f>
        <v>0</v>
      </c>
      <c r="K333" s="25">
        <f>IF(H333&lt;&gt;0,SUM(H$2:H333),0)</f>
        <v>0</v>
      </c>
      <c r="L333" s="25">
        <f>IF(I333&lt;&gt;0,SUM(I$2:I333),0)</f>
        <v>0</v>
      </c>
      <c r="M333" s="25">
        <f>IF(J333&lt;&gt;0,SUM(J$2:J333),0)</f>
        <v>0</v>
      </c>
    </row>
    <row r="334" spans="1:13" x14ac:dyDescent="0.2">
      <c r="A334" s="1" t="s">
        <v>546</v>
      </c>
      <c r="C334" s="2" t="s">
        <v>90</v>
      </c>
      <c r="D334" s="3" t="s">
        <v>100</v>
      </c>
      <c r="E334" s="16" t="s">
        <v>547</v>
      </c>
      <c r="G334" s="25">
        <f t="shared" si="5"/>
        <v>-60210</v>
      </c>
      <c r="H334" s="25">
        <f t="array" ref="H334">IF(A334=A333,0,SUM(_xlfn._xlws.FILTER(G334:G354,A334:A354=A334)))</f>
        <v>-166700</v>
      </c>
      <c r="I334" s="25">
        <f t="array" ref="I334">IFERROR(IF(A334=A333,0,SUM(_xlfn._xlws.FILTER(G334:G354,(A334:A354=A334)*(E334:E354&lt;0)))),0)</f>
        <v>0</v>
      </c>
      <c r="J334" s="25">
        <f t="array" ref="J334">IFERROR(IF(A334=A333,0,SUM(_xlfn._xlws.FILTER(G334:G354,(A334:A354=A334)*(E334:E354&gt;0)))),0)</f>
        <v>-166700</v>
      </c>
      <c r="K334" s="25">
        <f>IF(H334&lt;&gt;0,SUM(H$2:H334),0)</f>
        <v>-3279396.456307</v>
      </c>
      <c r="L334" s="25">
        <f>IF(I334&lt;&gt;0,SUM(I$2:I334),0)</f>
        <v>0</v>
      </c>
      <c r="M334" s="25">
        <f>IF(J334&lt;&gt;0,SUM(J$2:J334),0)</f>
        <v>-3279396.456307</v>
      </c>
    </row>
    <row r="335" spans="1:13" x14ac:dyDescent="0.2">
      <c r="A335" s="1" t="s">
        <v>546</v>
      </c>
      <c r="C335" s="2" t="s">
        <v>116</v>
      </c>
      <c r="D335" s="3" t="s">
        <v>53</v>
      </c>
      <c r="E335" s="16" t="s">
        <v>548</v>
      </c>
      <c r="G335" s="25">
        <f t="shared" si="5"/>
        <v>-106490</v>
      </c>
      <c r="H335" s="25">
        <f t="array" ref="H335">IF(A335=A334,0,SUM(_xlfn._xlws.FILTER(G335:G355,A335:A355=A335)))</f>
        <v>0</v>
      </c>
      <c r="I335" s="25">
        <f t="array" ref="I335">IFERROR(IF(A335=A334,0,SUM(_xlfn._xlws.FILTER(G335:G355,(A335:A355=A335)*(E335:E355&lt;0)))),0)</f>
        <v>0</v>
      </c>
      <c r="J335" s="25">
        <f t="array" ref="J335">IFERROR(IF(A335=A334,0,SUM(_xlfn._xlws.FILTER(G335:G355,(A335:A355=A335)*(E335:E355&gt;0)))),0)</f>
        <v>0</v>
      </c>
      <c r="K335" s="25">
        <f>IF(H335&lt;&gt;0,SUM(H$2:H335),0)</f>
        <v>0</v>
      </c>
      <c r="L335" s="25">
        <f>IF(I335&lt;&gt;0,SUM(I$2:I335),0)</f>
        <v>0</v>
      </c>
      <c r="M335" s="25">
        <f>IF(J335&lt;&gt;0,SUM(J$2:J335),0)</f>
        <v>0</v>
      </c>
    </row>
    <row r="336" spans="1:13" x14ac:dyDescent="0.2">
      <c r="A336" s="5" t="s">
        <v>549</v>
      </c>
      <c r="C336" s="6" t="s">
        <v>19</v>
      </c>
      <c r="D336" s="7" t="s">
        <v>20</v>
      </c>
      <c r="E336" s="15" t="s">
        <v>550</v>
      </c>
      <c r="G336" s="25">
        <f t="shared" si="5"/>
        <v>-139100</v>
      </c>
      <c r="H336" s="25">
        <f t="array" ref="H336">IF(A336=A335,0,SUM(_xlfn._xlws.FILTER(G336:G356,A336:A356=A336)))</f>
        <v>374869</v>
      </c>
      <c r="I336" s="25">
        <f t="array" ref="I336">IFERROR(IF(A336=A335,0,SUM(_xlfn._xlws.FILTER(G336:G356,(A336:A356=A336)*(E336:E356&lt;0)))),0)</f>
        <v>0</v>
      </c>
      <c r="J336" s="25">
        <f t="array" ref="J336">IFERROR(IF(A336=A335,0,SUM(_xlfn._xlws.FILTER(G336:G356,(A336:A356=A336)*(E336:E356&gt;0)))),0)</f>
        <v>374869</v>
      </c>
      <c r="K336" s="25">
        <f>IF(H336&lt;&gt;0,SUM(H$2:H336),0)</f>
        <v>-2904527.456307</v>
      </c>
      <c r="L336" s="25">
        <f>IF(I336&lt;&gt;0,SUM(I$2:I336),0)</f>
        <v>0</v>
      </c>
      <c r="M336" s="25">
        <f>IF(J336&lt;&gt;0,SUM(J$2:J336),0)</f>
        <v>-2904527.456307</v>
      </c>
    </row>
    <row r="337" spans="1:13" x14ac:dyDescent="0.2">
      <c r="A337" s="5" t="s">
        <v>549</v>
      </c>
      <c r="C337" s="6" t="s">
        <v>58</v>
      </c>
      <c r="D337" s="7" t="s">
        <v>23</v>
      </c>
      <c r="E337" s="15" t="s">
        <v>551</v>
      </c>
      <c r="G337" s="25">
        <f t="shared" si="5"/>
        <v>95456</v>
      </c>
      <c r="H337" s="25">
        <f t="array" ref="H337">IF(A337=A336,0,SUM(_xlfn._xlws.FILTER(G337:G357,A337:A357=A337)))</f>
        <v>0</v>
      </c>
      <c r="I337" s="25">
        <f t="array" ref="I337">IFERROR(IF(A337=A336,0,SUM(_xlfn._xlws.FILTER(G337:G357,(A337:A357=A337)*(E337:E357&lt;0)))),0)</f>
        <v>0</v>
      </c>
      <c r="J337" s="25">
        <f t="array" ref="J337">IFERROR(IF(A337=A336,0,SUM(_xlfn._xlws.FILTER(G337:G357,(A337:A357=A337)*(E337:E357&gt;0)))),0)</f>
        <v>0</v>
      </c>
      <c r="K337" s="25">
        <f>IF(H337&lt;&gt;0,SUM(H$2:H337),0)</f>
        <v>0</v>
      </c>
      <c r="L337" s="25">
        <f>IF(I337&lt;&gt;0,SUM(I$2:I337),0)</f>
        <v>0</v>
      </c>
      <c r="M337" s="25">
        <f>IF(J337&lt;&gt;0,SUM(J$2:J337),0)</f>
        <v>0</v>
      </c>
    </row>
    <row r="338" spans="1:13" x14ac:dyDescent="0.2">
      <c r="A338" s="5" t="s">
        <v>549</v>
      </c>
      <c r="C338" s="6" t="s">
        <v>230</v>
      </c>
      <c r="D338" s="7" t="s">
        <v>32</v>
      </c>
      <c r="E338" s="15" t="s">
        <v>552</v>
      </c>
      <c r="G338" s="25">
        <f t="shared" si="5"/>
        <v>52500</v>
      </c>
      <c r="H338" s="25">
        <f t="array" ref="H338">IF(A338=A337,0,SUM(_xlfn._xlws.FILTER(G338:G358,A338:A358=A338)))</f>
        <v>0</v>
      </c>
      <c r="I338" s="25">
        <f t="array" ref="I338">IFERROR(IF(A338=A337,0,SUM(_xlfn._xlws.FILTER(G338:G358,(A338:A358=A338)*(E338:E358&lt;0)))),0)</f>
        <v>0</v>
      </c>
      <c r="J338" s="25">
        <f t="array" ref="J338">IFERROR(IF(A338=A337,0,SUM(_xlfn._xlws.FILTER(G338:G358,(A338:A358=A338)*(E338:E358&gt;0)))),0)</f>
        <v>0</v>
      </c>
      <c r="K338" s="25">
        <f>IF(H338&lt;&gt;0,SUM(H$2:H338),0)</f>
        <v>0</v>
      </c>
      <c r="L338" s="25">
        <f>IF(I338&lt;&gt;0,SUM(I$2:I338),0)</f>
        <v>0</v>
      </c>
      <c r="M338" s="25">
        <f>IF(J338&lt;&gt;0,SUM(J$2:J338),0)</f>
        <v>0</v>
      </c>
    </row>
    <row r="339" spans="1:13" x14ac:dyDescent="0.2">
      <c r="A339" s="5" t="s">
        <v>549</v>
      </c>
      <c r="C339" s="6" t="s">
        <v>52</v>
      </c>
      <c r="D339" s="7" t="s">
        <v>291</v>
      </c>
      <c r="E339" s="15" t="s">
        <v>553</v>
      </c>
      <c r="G339" s="25">
        <f t="shared" si="5"/>
        <v>59192</v>
      </c>
      <c r="H339" s="25">
        <f t="array" ref="H339">IF(A339=A338,0,SUM(_xlfn._xlws.FILTER(G339:G359,A339:A359=A339)))</f>
        <v>0</v>
      </c>
      <c r="I339" s="25">
        <f t="array" ref="I339">IFERROR(IF(A339=A338,0,SUM(_xlfn._xlws.FILTER(G339:G359,(A339:A359=A339)*(E339:E359&lt;0)))),0)</f>
        <v>0</v>
      </c>
      <c r="J339" s="25">
        <f t="array" ref="J339">IFERROR(IF(A339=A338,0,SUM(_xlfn._xlws.FILTER(G339:G359,(A339:A359=A339)*(E339:E359&gt;0)))),0)</f>
        <v>0</v>
      </c>
      <c r="K339" s="25">
        <f>IF(H339&lt;&gt;0,SUM(H$2:H339),0)</f>
        <v>0</v>
      </c>
      <c r="L339" s="25">
        <f>IF(I339&lt;&gt;0,SUM(I$2:I339),0)</f>
        <v>0</v>
      </c>
      <c r="M339" s="25">
        <f>IF(J339&lt;&gt;0,SUM(J$2:J339),0)</f>
        <v>0</v>
      </c>
    </row>
    <row r="340" spans="1:13" x14ac:dyDescent="0.2">
      <c r="A340" s="5" t="s">
        <v>549</v>
      </c>
      <c r="C340" s="6" t="s">
        <v>153</v>
      </c>
      <c r="D340" s="7" t="s">
        <v>82</v>
      </c>
      <c r="E340" s="15" t="s">
        <v>554</v>
      </c>
      <c r="G340" s="25">
        <f t="shared" si="5"/>
        <v>-46350</v>
      </c>
      <c r="H340" s="25">
        <f t="array" ref="H340">IF(A340=A339,0,SUM(_xlfn._xlws.FILTER(G340:G360,A340:A360=A340)))</f>
        <v>0</v>
      </c>
      <c r="I340" s="25">
        <f t="array" ref="I340">IFERROR(IF(A340=A339,0,SUM(_xlfn._xlws.FILTER(G340:G360,(A340:A360=A340)*(E340:E360&lt;0)))),0)</f>
        <v>0</v>
      </c>
      <c r="J340" s="25">
        <f t="array" ref="J340">IFERROR(IF(A340=A339,0,SUM(_xlfn._xlws.FILTER(G340:G360,(A340:A360=A340)*(E340:E360&gt;0)))),0)</f>
        <v>0</v>
      </c>
      <c r="K340" s="25">
        <f>IF(H340&lt;&gt;0,SUM(H$2:H340),0)</f>
        <v>0</v>
      </c>
      <c r="L340" s="25">
        <f>IF(I340&lt;&gt;0,SUM(I$2:I340),0)</f>
        <v>0</v>
      </c>
      <c r="M340" s="25">
        <f>IF(J340&lt;&gt;0,SUM(J$2:J340),0)</f>
        <v>0</v>
      </c>
    </row>
    <row r="341" spans="1:13" x14ac:dyDescent="0.2">
      <c r="A341" s="5" t="s">
        <v>549</v>
      </c>
      <c r="C341" s="6" t="s">
        <v>305</v>
      </c>
      <c r="D341" s="7" t="s">
        <v>236</v>
      </c>
      <c r="E341" s="15" t="s">
        <v>555</v>
      </c>
      <c r="G341" s="25">
        <f t="shared" si="5"/>
        <v>-12800</v>
      </c>
      <c r="H341" s="25">
        <f t="array" ref="H341">IF(A341=A340,0,SUM(_xlfn._xlws.FILTER(G341:G361,A341:A361=A341)))</f>
        <v>0</v>
      </c>
      <c r="I341" s="25">
        <f t="array" ref="I341">IFERROR(IF(A341=A340,0,SUM(_xlfn._xlws.FILTER(G341:G361,(A341:A361=A341)*(E341:E361&lt;0)))),0)</f>
        <v>0</v>
      </c>
      <c r="J341" s="25">
        <f t="array" ref="J341">IFERROR(IF(A341=A340,0,SUM(_xlfn._xlws.FILTER(G341:G361,(A341:A361=A341)*(E341:E361&gt;0)))),0)</f>
        <v>0</v>
      </c>
      <c r="K341" s="25">
        <f>IF(H341&lt;&gt;0,SUM(H$2:H341),0)</f>
        <v>0</v>
      </c>
      <c r="L341" s="25">
        <f>IF(I341&lt;&gt;0,SUM(I$2:I341),0)</f>
        <v>0</v>
      </c>
      <c r="M341" s="25">
        <f>IF(J341&lt;&gt;0,SUM(J$2:J341),0)</f>
        <v>0</v>
      </c>
    </row>
    <row r="342" spans="1:13" x14ac:dyDescent="0.2">
      <c r="A342" s="5" t="s">
        <v>549</v>
      </c>
      <c r="C342" s="6" t="s">
        <v>185</v>
      </c>
      <c r="D342" s="7" t="s">
        <v>16</v>
      </c>
      <c r="E342" s="15" t="s">
        <v>556</v>
      </c>
      <c r="G342" s="25">
        <f t="shared" si="5"/>
        <v>-37300</v>
      </c>
      <c r="H342" s="25">
        <f t="array" ref="H342">IF(A342=A341,0,SUM(_xlfn._xlws.FILTER(G342:G362,A342:A362=A342)))</f>
        <v>0</v>
      </c>
      <c r="I342" s="25">
        <f t="array" ref="I342">IFERROR(IF(A342=A341,0,SUM(_xlfn._xlws.FILTER(G342:G362,(A342:A362=A342)*(E342:E362&lt;0)))),0)</f>
        <v>0</v>
      </c>
      <c r="J342" s="25">
        <f t="array" ref="J342">IFERROR(IF(A342=A341,0,SUM(_xlfn._xlws.FILTER(G342:G362,(A342:A362=A342)*(E342:E362&gt;0)))),0)</f>
        <v>0</v>
      </c>
      <c r="K342" s="25">
        <f>IF(H342&lt;&gt;0,SUM(H$2:H342),0)</f>
        <v>0</v>
      </c>
      <c r="L342" s="25">
        <f>IF(I342&lt;&gt;0,SUM(I$2:I342),0)</f>
        <v>0</v>
      </c>
      <c r="M342" s="25">
        <f>IF(J342&lt;&gt;0,SUM(J$2:J342),0)</f>
        <v>0</v>
      </c>
    </row>
    <row r="343" spans="1:13" x14ac:dyDescent="0.2">
      <c r="A343" s="5" t="s">
        <v>549</v>
      </c>
      <c r="C343" s="6" t="s">
        <v>190</v>
      </c>
      <c r="D343" s="7" t="s">
        <v>102</v>
      </c>
      <c r="E343" s="15" t="s">
        <v>557</v>
      </c>
      <c r="G343" s="25">
        <f t="shared" si="5"/>
        <v>58130</v>
      </c>
      <c r="H343" s="25">
        <f t="array" ref="H343">IF(A343=A342,0,SUM(_xlfn._xlws.FILTER(G343:G363,A343:A363=A343)))</f>
        <v>0</v>
      </c>
      <c r="I343" s="25">
        <f t="array" ref="I343">IFERROR(IF(A343=A342,0,SUM(_xlfn._xlws.FILTER(G343:G363,(A343:A363=A343)*(E343:E363&lt;0)))),0)</f>
        <v>0</v>
      </c>
      <c r="J343" s="25">
        <f t="array" ref="J343">IFERROR(IF(A343=A342,0,SUM(_xlfn._xlws.FILTER(G343:G363,(A343:A363=A343)*(E343:E363&gt;0)))),0)</f>
        <v>0</v>
      </c>
      <c r="K343" s="25">
        <f>IF(H343&lt;&gt;0,SUM(H$2:H343),0)</f>
        <v>0</v>
      </c>
      <c r="L343" s="25">
        <f>IF(I343&lt;&gt;0,SUM(I$2:I343),0)</f>
        <v>0</v>
      </c>
      <c r="M343" s="25">
        <f>IF(J343&lt;&gt;0,SUM(J$2:J343),0)</f>
        <v>0</v>
      </c>
    </row>
    <row r="344" spans="1:13" x14ac:dyDescent="0.2">
      <c r="A344" s="5" t="s">
        <v>549</v>
      </c>
      <c r="C344" s="6" t="s">
        <v>278</v>
      </c>
      <c r="D344" s="7" t="s">
        <v>92</v>
      </c>
      <c r="E344" s="15" t="s">
        <v>558</v>
      </c>
      <c r="G344" s="25">
        <f t="shared" si="5"/>
        <v>73722</v>
      </c>
      <c r="H344" s="25">
        <f t="array" ref="H344">IF(A344=A343,0,SUM(_xlfn._xlws.FILTER(G344:G364,A344:A364=A344)))</f>
        <v>0</v>
      </c>
      <c r="I344" s="25">
        <f t="array" ref="I344">IFERROR(IF(A344=A343,0,SUM(_xlfn._xlws.FILTER(G344:G364,(A344:A364=A344)*(E344:E364&lt;0)))),0)</f>
        <v>0</v>
      </c>
      <c r="J344" s="25">
        <f t="array" ref="J344">IFERROR(IF(A344=A343,0,SUM(_xlfn._xlws.FILTER(G344:G364,(A344:A364=A344)*(E344:E364&gt;0)))),0)</f>
        <v>0</v>
      </c>
      <c r="K344" s="25">
        <f>IF(H344&lt;&gt;0,SUM(H$2:H344),0)</f>
        <v>0</v>
      </c>
      <c r="L344" s="25">
        <f>IF(I344&lt;&gt;0,SUM(I$2:I344),0)</f>
        <v>0</v>
      </c>
      <c r="M344" s="25">
        <f>IF(J344&lt;&gt;0,SUM(J$2:J344),0)</f>
        <v>0</v>
      </c>
    </row>
    <row r="345" spans="1:13" x14ac:dyDescent="0.2">
      <c r="A345" s="5" t="s">
        <v>549</v>
      </c>
      <c r="C345" s="6" t="s">
        <v>28</v>
      </c>
      <c r="D345" s="7" t="s">
        <v>23</v>
      </c>
      <c r="E345" s="15" t="s">
        <v>559</v>
      </c>
      <c r="G345" s="25">
        <f t="shared" si="5"/>
        <v>95504</v>
      </c>
      <c r="H345" s="25">
        <f t="array" ref="H345">IF(A345=A344,0,SUM(_xlfn._xlws.FILTER(G345:G365,A345:A365=A345)))</f>
        <v>0</v>
      </c>
      <c r="I345" s="25">
        <f t="array" ref="I345">IFERROR(IF(A345=A344,0,SUM(_xlfn._xlws.FILTER(G345:G365,(A345:A365=A345)*(E345:E365&lt;0)))),0)</f>
        <v>0</v>
      </c>
      <c r="J345" s="25">
        <f t="array" ref="J345">IFERROR(IF(A345=A344,0,SUM(_xlfn._xlws.FILTER(G345:G365,(A345:A365=A345)*(E345:E365&gt;0)))),0)</f>
        <v>0</v>
      </c>
      <c r="K345" s="25">
        <f>IF(H345&lt;&gt;0,SUM(H$2:H345),0)</f>
        <v>0</v>
      </c>
      <c r="L345" s="25">
        <f>IF(I345&lt;&gt;0,SUM(I$2:I345),0)</f>
        <v>0</v>
      </c>
      <c r="M345" s="25">
        <f>IF(J345&lt;&gt;0,SUM(J$2:J345),0)</f>
        <v>0</v>
      </c>
    </row>
    <row r="346" spans="1:13" x14ac:dyDescent="0.2">
      <c r="A346" s="5" t="s">
        <v>549</v>
      </c>
      <c r="C346" s="6" t="s">
        <v>39</v>
      </c>
      <c r="D346" s="7" t="s">
        <v>102</v>
      </c>
      <c r="E346" s="15" t="s">
        <v>560</v>
      </c>
      <c r="G346" s="25">
        <f t="shared" si="5"/>
        <v>68320</v>
      </c>
      <c r="H346" s="25">
        <f t="array" ref="H346">IF(A346=A345,0,SUM(_xlfn._xlws.FILTER(G346:G366,A346:A366=A346)))</f>
        <v>0</v>
      </c>
      <c r="I346" s="25">
        <f t="array" ref="I346">IFERROR(IF(A346=A345,0,SUM(_xlfn._xlws.FILTER(G346:G366,(A346:A366=A346)*(E346:E366&lt;0)))),0)</f>
        <v>0</v>
      </c>
      <c r="J346" s="25">
        <f t="array" ref="J346">IFERROR(IF(A346=A345,0,SUM(_xlfn._xlws.FILTER(G346:G366,(A346:A366=A346)*(E346:E366&gt;0)))),0)</f>
        <v>0</v>
      </c>
      <c r="K346" s="25">
        <f>IF(H346&lt;&gt;0,SUM(H$2:H346),0)</f>
        <v>0</v>
      </c>
      <c r="L346" s="25">
        <f>IF(I346&lt;&gt;0,SUM(I$2:I346),0)</f>
        <v>0</v>
      </c>
      <c r="M346" s="25">
        <f>IF(J346&lt;&gt;0,SUM(J$2:J346),0)</f>
        <v>0</v>
      </c>
    </row>
    <row r="347" spans="1:13" x14ac:dyDescent="0.2">
      <c r="A347" s="5" t="s">
        <v>549</v>
      </c>
      <c r="C347" s="6" t="s">
        <v>76</v>
      </c>
      <c r="D347" s="7" t="s">
        <v>53</v>
      </c>
      <c r="E347" s="15" t="s">
        <v>561</v>
      </c>
      <c r="G347" s="25">
        <f t="shared" si="5"/>
        <v>41335</v>
      </c>
      <c r="H347" s="25">
        <f t="array" ref="H347">IF(A347=A346,0,SUM(_xlfn._xlws.FILTER(G347:G367,A347:A367=A347)))</f>
        <v>0</v>
      </c>
      <c r="I347" s="25">
        <f t="array" ref="I347">IFERROR(IF(A347=A346,0,SUM(_xlfn._xlws.FILTER(G347:G367,(A347:A367=A347)*(E347:E367&lt;0)))),0)</f>
        <v>0</v>
      </c>
      <c r="J347" s="25">
        <f t="array" ref="J347">IFERROR(IF(A347=A346,0,SUM(_xlfn._xlws.FILTER(G347:G367,(A347:A367=A347)*(E347:E367&gt;0)))),0)</f>
        <v>0</v>
      </c>
      <c r="K347" s="25">
        <f>IF(H347&lt;&gt;0,SUM(H$2:H347),0)</f>
        <v>0</v>
      </c>
      <c r="L347" s="25">
        <f>IF(I347&lt;&gt;0,SUM(I$2:I347),0)</f>
        <v>0</v>
      </c>
      <c r="M347" s="25">
        <f>IF(J347&lt;&gt;0,SUM(J$2:J347),0)</f>
        <v>0</v>
      </c>
    </row>
    <row r="348" spans="1:13" x14ac:dyDescent="0.2">
      <c r="A348" s="5" t="s">
        <v>549</v>
      </c>
      <c r="C348" s="6" t="s">
        <v>139</v>
      </c>
      <c r="D348" s="7" t="s">
        <v>120</v>
      </c>
      <c r="E348" s="15" t="s">
        <v>562</v>
      </c>
      <c r="G348" s="25">
        <f t="shared" si="5"/>
        <v>66260</v>
      </c>
      <c r="H348" s="25">
        <f t="array" ref="H348">IF(A348=A347,0,SUM(_xlfn._xlws.FILTER(G348:G368,A348:A368=A348)))</f>
        <v>0</v>
      </c>
      <c r="I348" s="25">
        <f t="array" ref="I348">IFERROR(IF(A348=A347,0,SUM(_xlfn._xlws.FILTER(G348:G368,(A348:A368=A348)*(E348:E368&lt;0)))),0)</f>
        <v>0</v>
      </c>
      <c r="J348" s="25">
        <f t="array" ref="J348">IFERROR(IF(A348=A347,0,SUM(_xlfn._xlws.FILTER(G348:G368,(A348:A368=A348)*(E348:E368&gt;0)))),0)</f>
        <v>0</v>
      </c>
      <c r="K348" s="25">
        <f>IF(H348&lt;&gt;0,SUM(H$2:H348),0)</f>
        <v>0</v>
      </c>
      <c r="L348" s="25">
        <f>IF(I348&lt;&gt;0,SUM(I$2:I348),0)</f>
        <v>0</v>
      </c>
      <c r="M348" s="25">
        <f>IF(J348&lt;&gt;0,SUM(J$2:J348),0)</f>
        <v>0</v>
      </c>
    </row>
    <row r="349" spans="1:13" x14ac:dyDescent="0.2">
      <c r="A349" s="1" t="s">
        <v>563</v>
      </c>
      <c r="C349" s="2" t="s">
        <v>105</v>
      </c>
      <c r="D349" s="3" t="s">
        <v>191</v>
      </c>
      <c r="E349" s="16" t="s">
        <v>564</v>
      </c>
      <c r="G349" s="25">
        <f t="shared" si="5"/>
        <v>-45330</v>
      </c>
      <c r="H349" s="25">
        <f t="array" ref="H349">IF(A349=A348,0,SUM(_xlfn._xlws.FILTER(G349:G369,A349:A369=A349)))</f>
        <v>160085</v>
      </c>
      <c r="I349" s="25">
        <f t="array" ref="I349">IFERROR(IF(A349=A348,0,SUM(_xlfn._xlws.FILTER(G349:G369,(A349:A369=A349)*(E349:E369&lt;0)))),0)</f>
        <v>0</v>
      </c>
      <c r="J349" s="25">
        <f t="array" ref="J349">IFERROR(IF(A349=A348,0,SUM(_xlfn._xlws.FILTER(G349:G369,(A349:A369=A349)*(E349:E369&gt;0)))),0)</f>
        <v>160085</v>
      </c>
      <c r="K349" s="25">
        <f>IF(H349&lt;&gt;0,SUM(H$2:H349),0)</f>
        <v>-2744442.456307</v>
      </c>
      <c r="L349" s="25">
        <f>IF(I349&lt;&gt;0,SUM(I$2:I349),0)</f>
        <v>0</v>
      </c>
      <c r="M349" s="25">
        <f>IF(J349&lt;&gt;0,SUM(J$2:J349),0)</f>
        <v>-2744442.456307</v>
      </c>
    </row>
    <row r="350" spans="1:13" x14ac:dyDescent="0.2">
      <c r="A350" s="1" t="s">
        <v>563</v>
      </c>
      <c r="C350" s="2" t="s">
        <v>278</v>
      </c>
      <c r="D350" s="3" t="s">
        <v>92</v>
      </c>
      <c r="E350" s="16" t="s">
        <v>565</v>
      </c>
      <c r="G350" s="25">
        <f t="shared" si="5"/>
        <v>74445</v>
      </c>
      <c r="H350" s="25">
        <f t="array" ref="H350">IF(A350=A349,0,SUM(_xlfn._xlws.FILTER(G350:G370,A350:A370=A350)))</f>
        <v>0</v>
      </c>
      <c r="I350" s="25">
        <f t="array" ref="I350">IFERROR(IF(A350=A349,0,SUM(_xlfn._xlws.FILTER(G350:G370,(A350:A370=A350)*(E350:E370&lt;0)))),0)</f>
        <v>0</v>
      </c>
      <c r="J350" s="25">
        <f t="array" ref="J350">IFERROR(IF(A350=A349,0,SUM(_xlfn._xlws.FILTER(G350:G370,(A350:A370=A350)*(E350:E370&gt;0)))),0)</f>
        <v>0</v>
      </c>
      <c r="K350" s="25">
        <f>IF(H350&lt;&gt;0,SUM(H$2:H350),0)</f>
        <v>0</v>
      </c>
      <c r="L350" s="25">
        <f>IF(I350&lt;&gt;0,SUM(I$2:I350),0)</f>
        <v>0</v>
      </c>
      <c r="M350" s="25">
        <f>IF(J350&lt;&gt;0,SUM(J$2:J350),0)</f>
        <v>0</v>
      </c>
    </row>
    <row r="351" spans="1:13" x14ac:dyDescent="0.2">
      <c r="A351" s="1" t="s">
        <v>563</v>
      </c>
      <c r="C351" s="2" t="s">
        <v>566</v>
      </c>
      <c r="D351" s="3" t="s">
        <v>490</v>
      </c>
      <c r="E351" s="16" t="s">
        <v>297</v>
      </c>
      <c r="G351" s="25">
        <f t="shared" si="5"/>
        <v>-40400</v>
      </c>
      <c r="H351" s="25">
        <f t="array" ref="H351">IF(A351=A350,0,SUM(_xlfn._xlws.FILTER(G351:G371,A351:A371=A351)))</f>
        <v>0</v>
      </c>
      <c r="I351" s="25">
        <f t="array" ref="I351">IFERROR(IF(A351=A350,0,SUM(_xlfn._xlws.FILTER(G351:G371,(A351:A371=A351)*(E351:E371&lt;0)))),0)</f>
        <v>0</v>
      </c>
      <c r="J351" s="25">
        <f t="array" ref="J351">IFERROR(IF(A351=A350,0,SUM(_xlfn._xlws.FILTER(G351:G371,(A351:A371=A351)*(E351:E371&gt;0)))),0)</f>
        <v>0</v>
      </c>
      <c r="K351" s="25">
        <f>IF(H351&lt;&gt;0,SUM(H$2:H351),0)</f>
        <v>0</v>
      </c>
      <c r="L351" s="25">
        <f>IF(I351&lt;&gt;0,SUM(I$2:I351),0)</f>
        <v>0</v>
      </c>
      <c r="M351" s="25">
        <f>IF(J351&lt;&gt;0,SUM(J$2:J351),0)</f>
        <v>0</v>
      </c>
    </row>
    <row r="352" spans="1:13" x14ac:dyDescent="0.2">
      <c r="A352" s="1" t="s">
        <v>563</v>
      </c>
      <c r="C352" s="2" t="s">
        <v>190</v>
      </c>
      <c r="D352" s="3" t="s">
        <v>102</v>
      </c>
      <c r="E352" s="16" t="s">
        <v>567</v>
      </c>
      <c r="G352" s="25">
        <f t="shared" si="5"/>
        <v>59160</v>
      </c>
      <c r="H352" s="25">
        <f t="array" ref="H352">IF(A352=A351,0,SUM(_xlfn._xlws.FILTER(G352:G372,A352:A372=A352)))</f>
        <v>0</v>
      </c>
      <c r="I352" s="25">
        <f t="array" ref="I352">IFERROR(IF(A352=A351,0,SUM(_xlfn._xlws.FILTER(G352:G372,(A352:A372=A352)*(E352:E372&lt;0)))),0)</f>
        <v>0</v>
      </c>
      <c r="J352" s="25">
        <f t="array" ref="J352">IFERROR(IF(A352=A351,0,SUM(_xlfn._xlws.FILTER(G352:G372,(A352:A372=A352)*(E352:E372&gt;0)))),0)</f>
        <v>0</v>
      </c>
      <c r="K352" s="25">
        <f>IF(H352&lt;&gt;0,SUM(H$2:H352),0)</f>
        <v>0</v>
      </c>
      <c r="L352" s="25">
        <f>IF(I352&lt;&gt;0,SUM(I$2:I352),0)</f>
        <v>0</v>
      </c>
      <c r="M352" s="25">
        <f>IF(J352&lt;&gt;0,SUM(J$2:J352),0)</f>
        <v>0</v>
      </c>
    </row>
    <row r="353" spans="1:13" x14ac:dyDescent="0.2">
      <c r="A353" s="1" t="s">
        <v>563</v>
      </c>
      <c r="C353" s="2" t="s">
        <v>22</v>
      </c>
      <c r="D353" s="3" t="s">
        <v>53</v>
      </c>
      <c r="E353" s="16" t="s">
        <v>568</v>
      </c>
      <c r="G353" s="25">
        <f t="shared" si="5"/>
        <v>112210</v>
      </c>
      <c r="H353" s="25">
        <f t="array" ref="H353">IF(A353=A352,0,SUM(_xlfn._xlws.FILTER(G353:G373,A353:A373=A353)))</f>
        <v>0</v>
      </c>
      <c r="I353" s="25">
        <f t="array" ref="I353">IFERROR(IF(A353=A352,0,SUM(_xlfn._xlws.FILTER(G353:G373,(A353:A373=A353)*(E353:E373&lt;0)))),0)</f>
        <v>0</v>
      </c>
      <c r="J353" s="25">
        <f t="array" ref="J353">IFERROR(IF(A353=A352,0,SUM(_xlfn._xlws.FILTER(G353:G373,(A353:A373=A353)*(E353:E373&gt;0)))),0)</f>
        <v>0</v>
      </c>
      <c r="K353" s="25">
        <f>IF(H353&lt;&gt;0,SUM(H$2:H353),0)</f>
        <v>0</v>
      </c>
      <c r="L353" s="25">
        <f>IF(I353&lt;&gt;0,SUM(I$2:I353),0)</f>
        <v>0</v>
      </c>
      <c r="M353" s="25">
        <f>IF(J353&lt;&gt;0,SUM(J$2:J353),0)</f>
        <v>0</v>
      </c>
    </row>
    <row r="354" spans="1:13" x14ac:dyDescent="0.2">
      <c r="A354" s="5" t="s">
        <v>569</v>
      </c>
      <c r="C354" s="6" t="s">
        <v>193</v>
      </c>
      <c r="D354" s="7" t="s">
        <v>102</v>
      </c>
      <c r="E354" s="15" t="s">
        <v>570</v>
      </c>
      <c r="G354" s="25">
        <f t="shared" si="5"/>
        <v>-27530</v>
      </c>
      <c r="H354" s="25">
        <f t="array" ref="H354">IF(A354=A353,0,SUM(_xlfn._xlws.FILTER(G354:G374,A354:A374=A354)))</f>
        <v>-27530</v>
      </c>
      <c r="I354" s="25">
        <f t="array" ref="I354">IFERROR(IF(A354=A353,0,SUM(_xlfn._xlws.FILTER(G354:G374,(A354:A374=A354)*(E354:E374&lt;0)))),0)</f>
        <v>0</v>
      </c>
      <c r="J354" s="25">
        <f t="array" ref="J354">IFERROR(IF(A354=A353,0,SUM(_xlfn._xlws.FILTER(G354:G374,(A354:A374=A354)*(E354:E374&gt;0)))),0)</f>
        <v>-27530</v>
      </c>
      <c r="K354" s="25">
        <f>IF(H354&lt;&gt;0,SUM(H$2:H354),0)</f>
        <v>-2771972.456307</v>
      </c>
      <c r="L354" s="25">
        <f>IF(I354&lt;&gt;0,SUM(I$2:I354),0)</f>
        <v>0</v>
      </c>
      <c r="M354" s="25">
        <f>IF(J354&lt;&gt;0,SUM(J$2:J354),0)</f>
        <v>-2771972.456307</v>
      </c>
    </row>
    <row r="355" spans="1:13" x14ac:dyDescent="0.2">
      <c r="A355" s="1" t="s">
        <v>571</v>
      </c>
      <c r="C355" s="2" t="s">
        <v>45</v>
      </c>
      <c r="D355" s="3" t="s">
        <v>16</v>
      </c>
      <c r="E355" s="16" t="s">
        <v>572</v>
      </c>
      <c r="G355" s="25">
        <f t="shared" si="5"/>
        <v>41040</v>
      </c>
      <c r="H355" s="25">
        <f t="array" ref="H355">IF(A355=A354,0,SUM(_xlfn._xlws.FILTER(G355:G375,A355:A375=A355)))</f>
        <v>41040</v>
      </c>
      <c r="I355" s="25">
        <f t="array" ref="I355">IFERROR(IF(A355=A354,0,SUM(_xlfn._xlws.FILTER(G355:G375,(A355:A375=A355)*(E355:E375&lt;0)))),0)</f>
        <v>0</v>
      </c>
      <c r="J355" s="25">
        <f t="array" ref="J355">IFERROR(IF(A355=A354,0,SUM(_xlfn._xlws.FILTER(G355:G375,(A355:A375=A355)*(E355:E375&gt;0)))),0)</f>
        <v>41040</v>
      </c>
      <c r="K355" s="25">
        <f>IF(H355&lt;&gt;0,SUM(H$2:H355),0)</f>
        <v>-2730932.456307</v>
      </c>
      <c r="L355" s="25">
        <f>IF(I355&lt;&gt;0,SUM(I$2:I355),0)</f>
        <v>0</v>
      </c>
      <c r="M355" s="25">
        <f>IF(J355&lt;&gt;0,SUM(J$2:J355),0)</f>
        <v>-2730932.456307</v>
      </c>
    </row>
    <row r="356" spans="1:13" x14ac:dyDescent="0.2">
      <c r="A356" s="5" t="s">
        <v>573</v>
      </c>
      <c r="C356" s="6" t="s">
        <v>139</v>
      </c>
      <c r="D356" s="7" t="s">
        <v>574</v>
      </c>
      <c r="E356" s="15" t="s">
        <v>575</v>
      </c>
      <c r="G356" s="25">
        <f t="shared" si="5"/>
        <v>286.834</v>
      </c>
      <c r="H356" s="25">
        <f t="array" ref="H356">IF(A356=A355,0,SUM(_xlfn._xlws.FILTER(G356:G376,A356:A376=A356)))</f>
        <v>286.834</v>
      </c>
      <c r="I356" s="25">
        <f t="array" ref="I356">IFERROR(IF(A356=A355,0,SUM(_xlfn._xlws.FILTER(G356:G376,(A356:A376=A356)*(E356:E376&lt;0)))),0)</f>
        <v>0</v>
      </c>
      <c r="J356" s="25">
        <f t="array" ref="J356">IFERROR(IF(A356=A355,0,SUM(_xlfn._xlws.FILTER(G356:G376,(A356:A376=A356)*(E356:E376&gt;0)))),0)</f>
        <v>286.834</v>
      </c>
      <c r="K356" s="25">
        <f>IF(H356&lt;&gt;0,SUM(H$2:H356),0)</f>
        <v>-2730645.6223070002</v>
      </c>
      <c r="L356" s="25">
        <f>IF(I356&lt;&gt;0,SUM(I$2:I356),0)</f>
        <v>0</v>
      </c>
      <c r="M356" s="25">
        <f>IF(J356&lt;&gt;0,SUM(J$2:J356),0)</f>
        <v>-2730645.6223070002</v>
      </c>
    </row>
    <row r="357" spans="1:13" x14ac:dyDescent="0.2">
      <c r="A357" s="1" t="s">
        <v>576</v>
      </c>
      <c r="C357" s="2" t="s">
        <v>139</v>
      </c>
      <c r="D357" s="3" t="s">
        <v>120</v>
      </c>
      <c r="E357" s="16" t="s">
        <v>577</v>
      </c>
      <c r="G357" s="25">
        <f t="shared" si="5"/>
        <v>69160</v>
      </c>
      <c r="H357" s="25">
        <f t="array" ref="H357">IF(A357=A356,0,SUM(_xlfn._xlws.FILTER(G357:G377,A357:A377=A357)))</f>
        <v>69160</v>
      </c>
      <c r="I357" s="25">
        <f t="array" ref="I357">IFERROR(IF(A357=A356,0,SUM(_xlfn._xlws.FILTER(G357:G377,(A357:A377=A357)*(E357:E377&lt;0)))),0)</f>
        <v>0</v>
      </c>
      <c r="J357" s="25">
        <f t="array" ref="J357">IFERROR(IF(A357=A356,0,SUM(_xlfn._xlws.FILTER(G357:G377,(A357:A377=A357)*(E357:E377&gt;0)))),0)</f>
        <v>69160</v>
      </c>
      <c r="K357" s="25">
        <f>IF(H357&lt;&gt;0,SUM(H$2:H357),0)</f>
        <v>-2661485.6223070002</v>
      </c>
      <c r="L357" s="25">
        <f>IF(I357&lt;&gt;0,SUM(I$2:I357),0)</f>
        <v>0</v>
      </c>
      <c r="M357" s="25">
        <f>IF(J357&lt;&gt;0,SUM(J$2:J357),0)</f>
        <v>-2661485.6223070002</v>
      </c>
    </row>
    <row r="358" spans="1:13" x14ac:dyDescent="0.2">
      <c r="A358" s="5" t="s">
        <v>578</v>
      </c>
      <c r="C358" s="6" t="s">
        <v>58</v>
      </c>
      <c r="D358" s="7" t="s">
        <v>199</v>
      </c>
      <c r="E358" s="15" t="s">
        <v>579</v>
      </c>
      <c r="G358" s="25">
        <f t="shared" si="5"/>
        <v>40580.1</v>
      </c>
      <c r="H358" s="25">
        <f t="array" ref="H358">IF(A358=A357,0,SUM(_xlfn._xlws.FILTER(G358:G378,A358:A378=A358)))</f>
        <v>40580.1</v>
      </c>
      <c r="I358" s="25">
        <f t="array" ref="I358">IFERROR(IF(A358=A357,0,SUM(_xlfn._xlws.FILTER(G358:G378,(A358:A378=A358)*(E358:E378&lt;0)))),0)</f>
        <v>0</v>
      </c>
      <c r="J358" s="25">
        <f t="array" ref="J358">IFERROR(IF(A358=A357,0,SUM(_xlfn._xlws.FILTER(G358:G378,(A358:A378=A358)*(E358:E378&gt;0)))),0)</f>
        <v>40580.1</v>
      </c>
      <c r="K358" s="25">
        <f>IF(H358&lt;&gt;0,SUM(H$2:H358),0)</f>
        <v>-2620905.5223070001</v>
      </c>
      <c r="L358" s="25">
        <f>IF(I358&lt;&gt;0,SUM(I$2:I358),0)</f>
        <v>0</v>
      </c>
      <c r="M358" s="25">
        <f>IF(J358&lt;&gt;0,SUM(J$2:J358),0)</f>
        <v>-2620905.5223070001</v>
      </c>
    </row>
    <row r="359" spans="1:13" x14ac:dyDescent="0.2">
      <c r="A359" s="1" t="s">
        <v>580</v>
      </c>
      <c r="C359" s="2" t="s">
        <v>122</v>
      </c>
      <c r="D359" s="3" t="s">
        <v>50</v>
      </c>
      <c r="E359" s="16" t="s">
        <v>581</v>
      </c>
      <c r="G359" s="25">
        <f t="shared" si="5"/>
        <v>-52420</v>
      </c>
      <c r="H359" s="25">
        <f t="array" ref="H359">IF(A359=A358,0,SUM(_xlfn._xlws.FILTER(G359:G379,A359:A379=A359)))</f>
        <v>21420</v>
      </c>
      <c r="I359" s="25">
        <f t="array" ref="I359">IFERROR(IF(A359=A358,0,SUM(_xlfn._xlws.FILTER(G359:G379,(A359:A379=A359)*(E359:E379&lt;0)))),0)</f>
        <v>0</v>
      </c>
      <c r="J359" s="25">
        <f t="array" ref="J359">IFERROR(IF(A359=A358,0,SUM(_xlfn._xlws.FILTER(G359:G379,(A359:A379=A359)*(E359:E379&gt;0)))),0)</f>
        <v>21420</v>
      </c>
      <c r="K359" s="25">
        <f>IF(H359&lt;&gt;0,SUM(H$2:H359),0)</f>
        <v>-2599485.5223070001</v>
      </c>
      <c r="L359" s="25">
        <f>IF(I359&lt;&gt;0,SUM(I$2:I359),0)</f>
        <v>0</v>
      </c>
      <c r="M359" s="25">
        <f>IF(J359&lt;&gt;0,SUM(J$2:J359),0)</f>
        <v>-2599485.5223070001</v>
      </c>
    </row>
    <row r="360" spans="1:13" x14ac:dyDescent="0.2">
      <c r="A360" s="1" t="s">
        <v>580</v>
      </c>
      <c r="C360" s="2" t="s">
        <v>139</v>
      </c>
      <c r="D360" s="3" t="s">
        <v>120</v>
      </c>
      <c r="E360" s="16" t="s">
        <v>582</v>
      </c>
      <c r="G360" s="25">
        <f t="shared" si="5"/>
        <v>73840</v>
      </c>
      <c r="H360" s="25">
        <f t="array" ref="H360">IF(A360=A359,0,SUM(_xlfn._xlws.FILTER(G360:G380,A360:A380=A360)))</f>
        <v>0</v>
      </c>
      <c r="I360" s="25">
        <f t="array" ref="I360">IFERROR(IF(A360=A359,0,SUM(_xlfn._xlws.FILTER(G360:G380,(A360:A380=A360)*(E360:E380&lt;0)))),0)</f>
        <v>0</v>
      </c>
      <c r="J360" s="25">
        <f t="array" ref="J360">IFERROR(IF(A360=A359,0,SUM(_xlfn._xlws.FILTER(G360:G380,(A360:A380=A360)*(E360:E380&gt;0)))),0)</f>
        <v>0</v>
      </c>
      <c r="K360" s="25">
        <f>IF(H360&lt;&gt;0,SUM(H$2:H360),0)</f>
        <v>0</v>
      </c>
      <c r="L360" s="25">
        <f>IF(I360&lt;&gt;0,SUM(I$2:I360),0)</f>
        <v>0</v>
      </c>
      <c r="M360" s="25">
        <f>IF(J360&lt;&gt;0,SUM(J$2:J360),0)</f>
        <v>0</v>
      </c>
    </row>
    <row r="361" spans="1:13" x14ac:dyDescent="0.2">
      <c r="A361" s="5" t="s">
        <v>583</v>
      </c>
      <c r="C361" s="6" t="s">
        <v>288</v>
      </c>
      <c r="D361" s="7" t="s">
        <v>32</v>
      </c>
      <c r="E361" s="15" t="s">
        <v>584</v>
      </c>
      <c r="G361" s="25">
        <f t="shared" si="5"/>
        <v>80350</v>
      </c>
      <c r="H361" s="25">
        <f t="array" ref="H361">IF(A361=A360,0,SUM(_xlfn._xlws.FILTER(G361:G381,A361:A381=A361)))</f>
        <v>24380</v>
      </c>
      <c r="I361" s="25">
        <f t="array" ref="I361">IFERROR(IF(A361=A360,0,SUM(_xlfn._xlws.FILTER(G361:G381,(A361:A381=A361)*(E361:E381&lt;0)))),0)</f>
        <v>0</v>
      </c>
      <c r="J361" s="25">
        <f t="array" ref="J361">IFERROR(IF(A361=A360,0,SUM(_xlfn._xlws.FILTER(G361:G381,(A361:A381=A361)*(E361:E381&gt;0)))),0)</f>
        <v>24380</v>
      </c>
      <c r="K361" s="25">
        <f>IF(H361&lt;&gt;0,SUM(H$2:H361),0)</f>
        <v>-2575105.5223070001</v>
      </c>
      <c r="L361" s="25">
        <f>IF(I361&lt;&gt;0,SUM(I$2:I361),0)</f>
        <v>0</v>
      </c>
      <c r="M361" s="25">
        <f>IF(J361&lt;&gt;0,SUM(J$2:J361),0)</f>
        <v>-2575105.5223070001</v>
      </c>
    </row>
    <row r="362" spans="1:13" x14ac:dyDescent="0.2">
      <c r="A362" s="5" t="s">
        <v>583</v>
      </c>
      <c r="C362" s="6" t="s">
        <v>190</v>
      </c>
      <c r="D362" s="7" t="s">
        <v>102</v>
      </c>
      <c r="E362" s="15" t="s">
        <v>585</v>
      </c>
      <c r="G362" s="25">
        <f t="shared" si="5"/>
        <v>-55970</v>
      </c>
      <c r="H362" s="25">
        <f t="array" ref="H362">IF(A362=A361,0,SUM(_xlfn._xlws.FILTER(G362:G382,A362:A382=A362)))</f>
        <v>0</v>
      </c>
      <c r="I362" s="25">
        <f t="array" ref="I362">IFERROR(IF(A362=A361,0,SUM(_xlfn._xlws.FILTER(G362:G382,(A362:A382=A362)*(E362:E382&lt;0)))),0)</f>
        <v>0</v>
      </c>
      <c r="J362" s="25">
        <f t="array" ref="J362">IFERROR(IF(A362=A361,0,SUM(_xlfn._xlws.FILTER(G362:G382,(A362:A382=A362)*(E362:E382&gt;0)))),0)</f>
        <v>0</v>
      </c>
      <c r="K362" s="25">
        <f>IF(H362&lt;&gt;0,SUM(H$2:H362),0)</f>
        <v>0</v>
      </c>
      <c r="L362" s="25">
        <f>IF(I362&lt;&gt;0,SUM(I$2:I362),0)</f>
        <v>0</v>
      </c>
      <c r="M362" s="25">
        <f>IF(J362&lt;&gt;0,SUM(J$2:J362),0)</f>
        <v>0</v>
      </c>
    </row>
    <row r="363" spans="1:13" x14ac:dyDescent="0.2">
      <c r="A363" s="1" t="s">
        <v>586</v>
      </c>
      <c r="C363" s="2" t="s">
        <v>139</v>
      </c>
      <c r="D363" s="3" t="s">
        <v>110</v>
      </c>
      <c r="E363" s="16" t="s">
        <v>587</v>
      </c>
      <c r="G363" s="25">
        <f t="shared" si="5"/>
        <v>965.02499999999998</v>
      </c>
      <c r="H363" s="25">
        <f t="array" ref="H363">IF(A363=A362,0,SUM(_xlfn._xlws.FILTER(G363:G383,A363:A383=A363)))</f>
        <v>965.02499999999998</v>
      </c>
      <c r="I363" s="25">
        <f t="array" ref="I363">IFERROR(IF(A363=A362,0,SUM(_xlfn._xlws.FILTER(G363:G383,(A363:A383=A363)*(E363:E383&lt;0)))),0)</f>
        <v>0</v>
      </c>
      <c r="J363" s="25">
        <f t="array" ref="J363">IFERROR(IF(A363=A362,0,SUM(_xlfn._xlws.FILTER(G363:G383,(A363:A383=A363)*(E363:E383&gt;0)))),0)</f>
        <v>965.02499999999998</v>
      </c>
      <c r="K363" s="25">
        <f>IF(H363&lt;&gt;0,SUM(H$2:H363),0)</f>
        <v>-2574140.4973070002</v>
      </c>
      <c r="L363" s="25">
        <f>IF(I363&lt;&gt;0,SUM(I$2:I363),0)</f>
        <v>0</v>
      </c>
      <c r="M363" s="25">
        <f>IF(J363&lt;&gt;0,SUM(J$2:J363),0)</f>
        <v>-2574140.4973070002</v>
      </c>
    </row>
    <row r="364" spans="1:13" x14ac:dyDescent="0.2">
      <c r="A364" s="5" t="s">
        <v>588</v>
      </c>
      <c r="C364" s="6" t="s">
        <v>265</v>
      </c>
      <c r="D364" s="7" t="s">
        <v>589</v>
      </c>
      <c r="E364" s="15" t="s">
        <v>590</v>
      </c>
      <c r="G364" s="25">
        <f t="shared" si="5"/>
        <v>-2707.5</v>
      </c>
      <c r="H364" s="25">
        <f t="array" ref="H364">IF(A364=A363,0,SUM(_xlfn._xlws.FILTER(G364:G384,A364:A384=A364)))</f>
        <v>334724.875</v>
      </c>
      <c r="I364" s="25">
        <f t="array" ref="I364">IFERROR(IF(A364=A363,0,SUM(_xlfn._xlws.FILTER(G364:G384,(A364:A384=A364)*(E364:E384&lt;0)))),0)</f>
        <v>0</v>
      </c>
      <c r="J364" s="25">
        <f t="array" ref="J364">IFERROR(IF(A364=A363,0,SUM(_xlfn._xlws.FILTER(G364:G384,(A364:A384=A364)*(E364:E384&gt;0)))),0)</f>
        <v>334724.875</v>
      </c>
      <c r="K364" s="25">
        <f>IF(H364&lt;&gt;0,SUM(H$2:H364),0)</f>
        <v>-2239415.6223070002</v>
      </c>
      <c r="L364" s="25">
        <f>IF(I364&lt;&gt;0,SUM(I$2:I364),0)</f>
        <v>0</v>
      </c>
      <c r="M364" s="25">
        <f>IF(J364&lt;&gt;0,SUM(J$2:J364),0)</f>
        <v>-2239415.6223070002</v>
      </c>
    </row>
    <row r="365" spans="1:13" x14ac:dyDescent="0.2">
      <c r="A365" s="5" t="s">
        <v>588</v>
      </c>
      <c r="C365" s="6" t="s">
        <v>305</v>
      </c>
      <c r="D365" s="7" t="s">
        <v>236</v>
      </c>
      <c r="E365" s="15" t="s">
        <v>591</v>
      </c>
      <c r="G365" s="25">
        <f t="shared" si="5"/>
        <v>16250</v>
      </c>
      <c r="H365" s="25">
        <f t="array" ref="H365">IF(A365=A364,0,SUM(_xlfn._xlws.FILTER(G365:G385,A365:A385=A365)))</f>
        <v>0</v>
      </c>
      <c r="I365" s="25">
        <f t="array" ref="I365">IFERROR(IF(A365=A364,0,SUM(_xlfn._xlws.FILTER(G365:G385,(A365:A385=A365)*(E365:E385&lt;0)))),0)</f>
        <v>0</v>
      </c>
      <c r="J365" s="25">
        <f t="array" ref="J365">IFERROR(IF(A365=A364,0,SUM(_xlfn._xlws.FILTER(G365:G385,(A365:A385=A365)*(E365:E385&gt;0)))),0)</f>
        <v>0</v>
      </c>
      <c r="K365" s="25">
        <f>IF(H365&lt;&gt;0,SUM(H$2:H365),0)</f>
        <v>0</v>
      </c>
      <c r="L365" s="25">
        <f>IF(I365&lt;&gt;0,SUM(I$2:I365),0)</f>
        <v>0</v>
      </c>
      <c r="M365" s="25">
        <f>IF(J365&lt;&gt;0,SUM(J$2:J365),0)</f>
        <v>0</v>
      </c>
    </row>
    <row r="366" spans="1:13" x14ac:dyDescent="0.2">
      <c r="A366" s="5" t="s">
        <v>588</v>
      </c>
      <c r="C366" s="6" t="s">
        <v>155</v>
      </c>
      <c r="D366" s="7" t="s">
        <v>32</v>
      </c>
      <c r="E366" s="15" t="s">
        <v>592</v>
      </c>
      <c r="G366" s="25">
        <f t="shared" si="5"/>
        <v>79750</v>
      </c>
      <c r="H366" s="25">
        <f t="array" ref="H366">IF(A366=A365,0,SUM(_xlfn._xlws.FILTER(G366:G386,A366:A386=A366)))</f>
        <v>0</v>
      </c>
      <c r="I366" s="25">
        <f t="array" ref="I366">IFERROR(IF(A366=A365,0,SUM(_xlfn._xlws.FILTER(G366:G386,(A366:A386=A366)*(E366:E386&lt;0)))),0)</f>
        <v>0</v>
      </c>
      <c r="J366" s="25">
        <f t="array" ref="J366">IFERROR(IF(A366=A365,0,SUM(_xlfn._xlws.FILTER(G366:G386,(A366:A386=A366)*(E366:E386&gt;0)))),0)</f>
        <v>0</v>
      </c>
      <c r="K366" s="25">
        <f>IF(H366&lt;&gt;0,SUM(H$2:H366),0)</f>
        <v>0</v>
      </c>
      <c r="L366" s="25">
        <f>IF(I366&lt;&gt;0,SUM(I$2:I366),0)</f>
        <v>0</v>
      </c>
      <c r="M366" s="25">
        <f>IF(J366&lt;&gt;0,SUM(J$2:J366),0)</f>
        <v>0</v>
      </c>
    </row>
    <row r="367" spans="1:13" x14ac:dyDescent="0.2">
      <c r="A367" s="5" t="s">
        <v>588</v>
      </c>
      <c r="C367" s="6" t="s">
        <v>139</v>
      </c>
      <c r="D367" s="7" t="s">
        <v>593</v>
      </c>
      <c r="E367" s="15" t="s">
        <v>594</v>
      </c>
      <c r="G367" s="25">
        <f t="shared" si="5"/>
        <v>37343.474999999999</v>
      </c>
      <c r="H367" s="25">
        <f t="array" ref="H367">IF(A367=A366,0,SUM(_xlfn._xlws.FILTER(G367:G387,A367:A387=A367)))</f>
        <v>0</v>
      </c>
      <c r="I367" s="25">
        <f t="array" ref="I367">IFERROR(IF(A367=A366,0,SUM(_xlfn._xlws.FILTER(G367:G387,(A367:A387=A367)*(E367:E387&lt;0)))),0)</f>
        <v>0</v>
      </c>
      <c r="J367" s="25">
        <f t="array" ref="J367">IFERROR(IF(A367=A366,0,SUM(_xlfn._xlws.FILTER(G367:G387,(A367:A387=A367)*(E367:E387&gt;0)))),0)</f>
        <v>0</v>
      </c>
      <c r="K367" s="25">
        <f>IF(H367&lt;&gt;0,SUM(H$2:H367),0)</f>
        <v>0</v>
      </c>
      <c r="L367" s="25">
        <f>IF(I367&lt;&gt;0,SUM(I$2:I367),0)</f>
        <v>0</v>
      </c>
      <c r="M367" s="25">
        <f>IF(J367&lt;&gt;0,SUM(J$2:J367),0)</f>
        <v>0</v>
      </c>
    </row>
    <row r="368" spans="1:13" x14ac:dyDescent="0.2">
      <c r="A368" s="5" t="s">
        <v>588</v>
      </c>
      <c r="C368" s="6" t="s">
        <v>259</v>
      </c>
      <c r="D368" s="7" t="s">
        <v>53</v>
      </c>
      <c r="E368" s="15" t="s">
        <v>595</v>
      </c>
      <c r="G368" s="25">
        <f t="shared" si="5"/>
        <v>132525</v>
      </c>
      <c r="H368" s="25">
        <f t="array" ref="H368">IF(A368=A367,0,SUM(_xlfn._xlws.FILTER(G368:G388,A368:A388=A368)))</f>
        <v>0</v>
      </c>
      <c r="I368" s="25">
        <f t="array" ref="I368">IFERROR(IF(A368=A367,0,SUM(_xlfn._xlws.FILTER(G368:G388,(A368:A388=A368)*(E368:E388&lt;0)))),0)</f>
        <v>0</v>
      </c>
      <c r="J368" s="25">
        <f t="array" ref="J368">IFERROR(IF(A368=A367,0,SUM(_xlfn._xlws.FILTER(G368:G388,(A368:A388=A368)*(E368:E388&gt;0)))),0)</f>
        <v>0</v>
      </c>
      <c r="K368" s="25">
        <f>IF(H368&lt;&gt;0,SUM(H$2:H368),0)</f>
        <v>0</v>
      </c>
      <c r="L368" s="25">
        <f>IF(I368&lt;&gt;0,SUM(I$2:I368),0)</f>
        <v>0</v>
      </c>
      <c r="M368" s="25">
        <f>IF(J368&lt;&gt;0,SUM(J$2:J368),0)</f>
        <v>0</v>
      </c>
    </row>
    <row r="369" spans="1:13" x14ac:dyDescent="0.2">
      <c r="A369" s="5" t="s">
        <v>588</v>
      </c>
      <c r="C369" s="6" t="s">
        <v>22</v>
      </c>
      <c r="D369" s="7" t="s">
        <v>53</v>
      </c>
      <c r="E369" s="15" t="s">
        <v>596</v>
      </c>
      <c r="G369" s="25">
        <f t="shared" si="5"/>
        <v>123825</v>
      </c>
      <c r="H369" s="25">
        <f t="array" ref="H369">IF(A369=A368,0,SUM(_xlfn._xlws.FILTER(G369:G389,A369:A389=A369)))</f>
        <v>0</v>
      </c>
      <c r="I369" s="25">
        <f t="array" ref="I369">IFERROR(IF(A369=A368,0,SUM(_xlfn._xlws.FILTER(G369:G389,(A369:A389=A369)*(E369:E389&lt;0)))),0)</f>
        <v>0</v>
      </c>
      <c r="J369" s="25">
        <f t="array" ref="J369">IFERROR(IF(A369=A368,0,SUM(_xlfn._xlws.FILTER(G369:G389,(A369:A389=A369)*(E369:E389&gt;0)))),0)</f>
        <v>0</v>
      </c>
      <c r="K369" s="25">
        <f>IF(H369&lt;&gt;0,SUM(H$2:H369),0)</f>
        <v>0</v>
      </c>
      <c r="L369" s="25">
        <f>IF(I369&lt;&gt;0,SUM(I$2:I369),0)</f>
        <v>0</v>
      </c>
      <c r="M369" s="25">
        <f>IF(J369&lt;&gt;0,SUM(J$2:J369),0)</f>
        <v>0</v>
      </c>
    </row>
    <row r="370" spans="1:13" x14ac:dyDescent="0.2">
      <c r="A370" s="5" t="s">
        <v>588</v>
      </c>
      <c r="C370" s="6" t="s">
        <v>136</v>
      </c>
      <c r="D370" s="7" t="s">
        <v>597</v>
      </c>
      <c r="E370" s="15" t="s">
        <v>598</v>
      </c>
      <c r="G370" s="25">
        <f t="shared" si="5"/>
        <v>-341.09999999999997</v>
      </c>
      <c r="H370" s="25">
        <f t="array" ref="H370">IF(A370=A369,0,SUM(_xlfn._xlws.FILTER(G370:G390,A370:A390=A370)))</f>
        <v>0</v>
      </c>
      <c r="I370" s="25">
        <f t="array" ref="I370">IFERROR(IF(A370=A369,0,SUM(_xlfn._xlws.FILTER(G370:G390,(A370:A390=A370)*(E370:E390&lt;0)))),0)</f>
        <v>0</v>
      </c>
      <c r="J370" s="25">
        <f t="array" ref="J370">IFERROR(IF(A370=A369,0,SUM(_xlfn._xlws.FILTER(G370:G390,(A370:A390=A370)*(E370:E390&gt;0)))),0)</f>
        <v>0</v>
      </c>
      <c r="K370" s="25">
        <f>IF(H370&lt;&gt;0,SUM(H$2:H370),0)</f>
        <v>0</v>
      </c>
      <c r="L370" s="25">
        <f>IF(I370&lt;&gt;0,SUM(I$2:I370),0)</f>
        <v>0</v>
      </c>
      <c r="M370" s="25">
        <f>IF(J370&lt;&gt;0,SUM(J$2:J370),0)</f>
        <v>0</v>
      </c>
    </row>
    <row r="371" spans="1:13" x14ac:dyDescent="0.2">
      <c r="A371" s="5" t="s">
        <v>588</v>
      </c>
      <c r="C371" s="6" t="s">
        <v>262</v>
      </c>
      <c r="D371" s="7" t="s">
        <v>20</v>
      </c>
      <c r="E371" s="15" t="s">
        <v>599</v>
      </c>
      <c r="G371" s="25">
        <f t="shared" si="5"/>
        <v>-51920.000000000007</v>
      </c>
      <c r="H371" s="25">
        <f t="array" ref="H371">IF(A371=A370,0,SUM(_xlfn._xlws.FILTER(G371:G391,A371:A391=A371)))</f>
        <v>0</v>
      </c>
      <c r="I371" s="25">
        <f t="array" ref="I371">IFERROR(IF(A371=A370,0,SUM(_xlfn._xlws.FILTER(G371:G391,(A371:A391=A371)*(E371:E391&lt;0)))),0)</f>
        <v>0</v>
      </c>
      <c r="J371" s="25">
        <f t="array" ref="J371">IFERROR(IF(A371=A370,0,SUM(_xlfn._xlws.FILTER(G371:G391,(A371:A391=A371)*(E371:E391&gt;0)))),0)</f>
        <v>0</v>
      </c>
      <c r="K371" s="25">
        <f>IF(H371&lt;&gt;0,SUM(H$2:H371),0)</f>
        <v>0</v>
      </c>
      <c r="L371" s="25">
        <f>IF(I371&lt;&gt;0,SUM(I$2:I371),0)</f>
        <v>0</v>
      </c>
      <c r="M371" s="25">
        <f>IF(J371&lt;&gt;0,SUM(J$2:J371),0)</f>
        <v>0</v>
      </c>
    </row>
    <row r="372" spans="1:13" x14ac:dyDescent="0.2">
      <c r="A372" s="1" t="s">
        <v>600</v>
      </c>
      <c r="C372" s="2" t="s">
        <v>19</v>
      </c>
      <c r="D372" s="3" t="s">
        <v>56</v>
      </c>
      <c r="E372" s="16" t="s">
        <v>601</v>
      </c>
      <c r="G372" s="25">
        <f t="shared" si="5"/>
        <v>-63295.000000000007</v>
      </c>
      <c r="H372" s="25">
        <f t="array" ref="H372">IF(A372=A371,0,SUM(_xlfn._xlws.FILTER(G372:G392,A372:A392=A372)))</f>
        <v>-811179.77</v>
      </c>
      <c r="I372" s="25">
        <f t="array" ref="I372">IFERROR(IF(A372=A371,0,SUM(_xlfn._xlws.FILTER(G372:G392,(A372:A392=A372)*(E372:E392&lt;0)))),0)</f>
        <v>0</v>
      </c>
      <c r="J372" s="25">
        <f t="array" ref="J372">IFERROR(IF(A372=A371,0,SUM(_xlfn._xlws.FILTER(G372:G392,(A372:A392=A372)*(E372:E392&gt;0)))),0)</f>
        <v>-811179.77</v>
      </c>
      <c r="K372" s="25">
        <f>IF(H372&lt;&gt;0,SUM(H$2:H372),0)</f>
        <v>-3050595.3923070002</v>
      </c>
      <c r="L372" s="25">
        <f>IF(I372&lt;&gt;0,SUM(I$2:I372),0)</f>
        <v>0</v>
      </c>
      <c r="M372" s="25">
        <f>IF(J372&lt;&gt;0,SUM(J$2:J372),0)</f>
        <v>-3050595.3923070002</v>
      </c>
    </row>
    <row r="373" spans="1:13" x14ac:dyDescent="0.2">
      <c r="A373" s="1" t="s">
        <v>600</v>
      </c>
      <c r="C373" s="2" t="s">
        <v>19</v>
      </c>
      <c r="D373" s="3" t="s">
        <v>20</v>
      </c>
      <c r="E373" s="16" t="s">
        <v>602</v>
      </c>
      <c r="G373" s="25">
        <f t="shared" si="5"/>
        <v>-129100</v>
      </c>
      <c r="H373" s="25">
        <f t="array" ref="H373">IF(A373=A372,0,SUM(_xlfn._xlws.FILTER(G373:G393,A373:A393=A373)))</f>
        <v>0</v>
      </c>
      <c r="I373" s="25">
        <f t="array" ref="I373">IFERROR(IF(A373=A372,0,SUM(_xlfn._xlws.FILTER(G373:G393,(A373:A393=A373)*(E373:E393&lt;0)))),0)</f>
        <v>0</v>
      </c>
      <c r="J373" s="25">
        <f t="array" ref="J373">IFERROR(IF(A373=A372,0,SUM(_xlfn._xlws.FILTER(G373:G393,(A373:A393=A373)*(E373:E393&gt;0)))),0)</f>
        <v>0</v>
      </c>
      <c r="K373" s="25">
        <f>IF(H373&lt;&gt;0,SUM(H$2:H373),0)</f>
        <v>0</v>
      </c>
      <c r="L373" s="25">
        <f>IF(I373&lt;&gt;0,SUM(I$2:I373),0)</f>
        <v>0</v>
      </c>
      <c r="M373" s="25">
        <f>IF(J373&lt;&gt;0,SUM(J$2:J373),0)</f>
        <v>0</v>
      </c>
    </row>
    <row r="374" spans="1:13" x14ac:dyDescent="0.2">
      <c r="A374" s="1" t="s">
        <v>600</v>
      </c>
      <c r="C374" s="2" t="s">
        <v>136</v>
      </c>
      <c r="D374" s="3" t="s">
        <v>603</v>
      </c>
      <c r="E374" s="16" t="s">
        <v>604</v>
      </c>
      <c r="G374" s="25">
        <f t="shared" si="5"/>
        <v>-1459.77</v>
      </c>
      <c r="H374" s="25">
        <f t="array" ref="H374">IF(A374=A373,0,SUM(_xlfn._xlws.FILTER(G374:G394,A374:A394=A374)))</f>
        <v>0</v>
      </c>
      <c r="I374" s="25">
        <f t="array" ref="I374">IFERROR(IF(A374=A373,0,SUM(_xlfn._xlws.FILTER(G374:G394,(A374:A394=A374)*(E374:E394&lt;0)))),0)</f>
        <v>0</v>
      </c>
      <c r="J374" s="25">
        <f t="array" ref="J374">IFERROR(IF(A374=A373,0,SUM(_xlfn._xlws.FILTER(G374:G394,(A374:A394=A374)*(E374:E394&gt;0)))),0)</f>
        <v>0</v>
      </c>
      <c r="K374" s="25">
        <f>IF(H374&lt;&gt;0,SUM(H$2:H374),0)</f>
        <v>0</v>
      </c>
      <c r="L374" s="25">
        <f>IF(I374&lt;&gt;0,SUM(I$2:I374),0)</f>
        <v>0</v>
      </c>
      <c r="M374" s="25">
        <f>IF(J374&lt;&gt;0,SUM(J$2:J374),0)</f>
        <v>0</v>
      </c>
    </row>
    <row r="375" spans="1:13" x14ac:dyDescent="0.2">
      <c r="A375" s="1" t="s">
        <v>600</v>
      </c>
      <c r="C375" s="2" t="s">
        <v>148</v>
      </c>
      <c r="D375" s="3" t="s">
        <v>291</v>
      </c>
      <c r="E375" s="16" t="s">
        <v>605</v>
      </c>
      <c r="G375" s="25">
        <f t="shared" si="5"/>
        <v>-13034</v>
      </c>
      <c r="H375" s="25">
        <f t="array" ref="H375">IF(A375=A374,0,SUM(_xlfn._xlws.FILTER(G375:G395,A375:A395=A375)))</f>
        <v>0</v>
      </c>
      <c r="I375" s="25">
        <f t="array" ref="I375">IFERROR(IF(A375=A374,0,SUM(_xlfn._xlws.FILTER(G375:G395,(A375:A395=A375)*(E375:E395&lt;0)))),0)</f>
        <v>0</v>
      </c>
      <c r="J375" s="25">
        <f t="array" ref="J375">IFERROR(IF(A375=A374,0,SUM(_xlfn._xlws.FILTER(G375:G395,(A375:A395=A375)*(E375:E395&gt;0)))),0)</f>
        <v>0</v>
      </c>
      <c r="K375" s="25">
        <f>IF(H375&lt;&gt;0,SUM(H$2:H375),0)</f>
        <v>0</v>
      </c>
      <c r="L375" s="25">
        <f>IF(I375&lt;&gt;0,SUM(I$2:I375),0)</f>
        <v>0</v>
      </c>
      <c r="M375" s="25">
        <f>IF(J375&lt;&gt;0,SUM(J$2:J375),0)</f>
        <v>0</v>
      </c>
    </row>
    <row r="376" spans="1:13" x14ac:dyDescent="0.2">
      <c r="A376" s="1" t="s">
        <v>600</v>
      </c>
      <c r="C376" s="2" t="s">
        <v>303</v>
      </c>
      <c r="D376" s="3" t="s">
        <v>85</v>
      </c>
      <c r="E376" s="16" t="s">
        <v>606</v>
      </c>
      <c r="G376" s="25">
        <f t="shared" si="5"/>
        <v>-483596</v>
      </c>
      <c r="H376" s="25">
        <f t="array" ref="H376">IF(A376=A375,0,SUM(_xlfn._xlws.FILTER(G376:G396,A376:A396=A376)))</f>
        <v>0</v>
      </c>
      <c r="I376" s="25">
        <f t="array" ref="I376">IFERROR(IF(A376=A375,0,SUM(_xlfn._xlws.FILTER(G376:G396,(A376:A396=A376)*(E376:E396&lt;0)))),0)</f>
        <v>0</v>
      </c>
      <c r="J376" s="25">
        <f t="array" ref="J376">IFERROR(IF(A376=A375,0,SUM(_xlfn._xlws.FILTER(G376:G396,(A376:A396=A376)*(E376:E396&gt;0)))),0)</f>
        <v>0</v>
      </c>
      <c r="K376" s="25">
        <f>IF(H376&lt;&gt;0,SUM(H$2:H376),0)</f>
        <v>0</v>
      </c>
      <c r="L376" s="25">
        <f>IF(I376&lt;&gt;0,SUM(I$2:I376),0)</f>
        <v>0</v>
      </c>
      <c r="M376" s="25">
        <f>IF(J376&lt;&gt;0,SUM(J$2:J376),0)</f>
        <v>0</v>
      </c>
    </row>
    <row r="377" spans="1:13" x14ac:dyDescent="0.2">
      <c r="A377" s="1" t="s">
        <v>600</v>
      </c>
      <c r="C377" s="2" t="s">
        <v>22</v>
      </c>
      <c r="D377" s="3" t="s">
        <v>53</v>
      </c>
      <c r="E377" s="16" t="s">
        <v>607</v>
      </c>
      <c r="G377" s="25">
        <f t="shared" si="5"/>
        <v>-120695</v>
      </c>
      <c r="H377" s="25">
        <f t="array" ref="H377">IF(A377=A376,0,SUM(_xlfn._xlws.FILTER(G377:G397,A377:A397=A377)))</f>
        <v>0</v>
      </c>
      <c r="I377" s="25">
        <f t="array" ref="I377">IFERROR(IF(A377=A376,0,SUM(_xlfn._xlws.FILTER(G377:G397,(A377:A397=A377)*(E377:E397&lt;0)))),0)</f>
        <v>0</v>
      </c>
      <c r="J377" s="25">
        <f t="array" ref="J377">IFERROR(IF(A377=A376,0,SUM(_xlfn._xlws.FILTER(G377:G397,(A377:A397=A377)*(E377:E397&gt;0)))),0)</f>
        <v>0</v>
      </c>
      <c r="K377" s="25">
        <f>IF(H377&lt;&gt;0,SUM(H$2:H377),0)</f>
        <v>0</v>
      </c>
      <c r="L377" s="25">
        <f>IF(I377&lt;&gt;0,SUM(I$2:I377),0)</f>
        <v>0</v>
      </c>
      <c r="M377" s="25">
        <f>IF(J377&lt;&gt;0,SUM(J$2:J377),0)</f>
        <v>0</v>
      </c>
    </row>
    <row r="378" spans="1:13" x14ac:dyDescent="0.2">
      <c r="A378" s="5" t="s">
        <v>608</v>
      </c>
      <c r="C378" s="6" t="s">
        <v>609</v>
      </c>
      <c r="D378" s="7" t="s">
        <v>46</v>
      </c>
      <c r="E378" s="15" t="s">
        <v>610</v>
      </c>
      <c r="G378" s="25">
        <f t="shared" si="5"/>
        <v>-57920</v>
      </c>
      <c r="H378" s="25">
        <f t="array" ref="H378">IF(A378=A377,0,SUM(_xlfn._xlws.FILTER(G378:G398,A378:A398=A378)))</f>
        <v>-196609.1</v>
      </c>
      <c r="I378" s="25">
        <f t="array" ref="I378">IFERROR(IF(A378=A377,0,SUM(_xlfn._xlws.FILTER(G378:G398,(A378:A398=A378)*(E378:E398&lt;0)))),0)</f>
        <v>0</v>
      </c>
      <c r="J378" s="25">
        <f t="array" ref="J378">IFERROR(IF(A378=A377,0,SUM(_xlfn._xlws.FILTER(G378:G398,(A378:A398=A378)*(E378:E398&gt;0)))),0)</f>
        <v>-196609.1</v>
      </c>
      <c r="K378" s="25">
        <f>IF(H378&lt;&gt;0,SUM(H$2:H378),0)</f>
        <v>-3247204.4923070003</v>
      </c>
      <c r="L378" s="25">
        <f>IF(I378&lt;&gt;0,SUM(I$2:I378),0)</f>
        <v>0</v>
      </c>
      <c r="M378" s="25">
        <f>IF(J378&lt;&gt;0,SUM(J$2:J378),0)</f>
        <v>-3247204.4923070003</v>
      </c>
    </row>
    <row r="379" spans="1:13" x14ac:dyDescent="0.2">
      <c r="A379" s="5" t="s">
        <v>608</v>
      </c>
      <c r="C379" s="6" t="s">
        <v>611</v>
      </c>
      <c r="D379" s="7" t="s">
        <v>307</v>
      </c>
      <c r="E379" s="15" t="s">
        <v>612</v>
      </c>
      <c r="G379" s="25">
        <f t="shared" si="5"/>
        <v>-138689.1</v>
      </c>
      <c r="H379" s="25">
        <f t="array" ref="H379">IF(A379=A378,0,SUM(_xlfn._xlws.FILTER(G379:G399,A379:A399=A379)))</f>
        <v>0</v>
      </c>
      <c r="I379" s="25">
        <f t="array" ref="I379">IFERROR(IF(A379=A378,0,SUM(_xlfn._xlws.FILTER(G379:G399,(A379:A399=A379)*(E379:E399&lt;0)))),0)</f>
        <v>0</v>
      </c>
      <c r="J379" s="25">
        <f t="array" ref="J379">IFERROR(IF(A379=A378,0,SUM(_xlfn._xlws.FILTER(G379:G399,(A379:A399=A379)*(E379:E399&gt;0)))),0)</f>
        <v>0</v>
      </c>
      <c r="K379" s="25">
        <f>IF(H379&lt;&gt;0,SUM(H$2:H379),0)</f>
        <v>0</v>
      </c>
      <c r="L379" s="25">
        <f>IF(I379&lt;&gt;0,SUM(I$2:I379),0)</f>
        <v>0</v>
      </c>
      <c r="M379" s="25">
        <f>IF(J379&lt;&gt;0,SUM(J$2:J379),0)</f>
        <v>0</v>
      </c>
    </row>
    <row r="380" spans="1:13" x14ac:dyDescent="0.2">
      <c r="A380" s="1" t="s">
        <v>613</v>
      </c>
      <c r="C380" s="2" t="s">
        <v>19</v>
      </c>
      <c r="D380" s="3" t="s">
        <v>100</v>
      </c>
      <c r="E380" s="16" t="s">
        <v>614</v>
      </c>
      <c r="G380" s="25">
        <f t="shared" si="5"/>
        <v>-180765</v>
      </c>
      <c r="H380" s="25">
        <f t="array" ref="H380">IF(A380=A379,0,SUM(_xlfn._xlws.FILTER(G380:G400,A380:A400=A380)))</f>
        <v>-180765</v>
      </c>
      <c r="I380" s="25">
        <f t="array" ref="I380">IFERROR(IF(A380=A379,0,SUM(_xlfn._xlws.FILTER(G380:G400,(A380:A400=A380)*(E380:E400&lt;0)))),0)</f>
        <v>0</v>
      </c>
      <c r="J380" s="25">
        <f t="array" ref="J380">IFERROR(IF(A380=A379,0,SUM(_xlfn._xlws.FILTER(G380:G400,(A380:A400=A380)*(E380:E400&gt;0)))),0)</f>
        <v>-180765</v>
      </c>
      <c r="K380" s="25">
        <f>IF(H380&lt;&gt;0,SUM(H$2:H380),0)</f>
        <v>-3427969.4923070003</v>
      </c>
      <c r="L380" s="25">
        <f>IF(I380&lt;&gt;0,SUM(I$2:I380),0)</f>
        <v>0</v>
      </c>
      <c r="M380" s="25">
        <f>IF(J380&lt;&gt;0,SUM(J$2:J380),0)</f>
        <v>-3427969.4923070003</v>
      </c>
    </row>
    <row r="381" spans="1:13" x14ac:dyDescent="0.2">
      <c r="A381" s="5" t="s">
        <v>615</v>
      </c>
      <c r="C381" s="6" t="s">
        <v>262</v>
      </c>
      <c r="D381" s="7" t="s">
        <v>20</v>
      </c>
      <c r="E381" s="15" t="s">
        <v>616</v>
      </c>
      <c r="G381" s="25">
        <f t="shared" si="5"/>
        <v>-50180</v>
      </c>
      <c r="H381" s="25">
        <f t="array" ref="H381">IF(A381=A380,0,SUM(_xlfn._xlws.FILTER(G381:G401,A381:A401=A381)))</f>
        <v>-393285</v>
      </c>
      <c r="I381" s="25">
        <f t="array" ref="I381">IFERROR(IF(A381=A380,0,SUM(_xlfn._xlws.FILTER(G381:G401,(A381:A401=A381)*(E381:E401&lt;0)))),0)</f>
        <v>0</v>
      </c>
      <c r="J381" s="25">
        <f t="array" ref="J381">IFERROR(IF(A381=A380,0,SUM(_xlfn._xlws.FILTER(G381:G401,(A381:A401=A381)*(E381:E401&gt;0)))),0)</f>
        <v>-393285</v>
      </c>
      <c r="K381" s="25">
        <f>IF(H381&lt;&gt;0,SUM(H$2:H381),0)</f>
        <v>-3821254.4923070003</v>
      </c>
      <c r="L381" s="25">
        <f>IF(I381&lt;&gt;0,SUM(I$2:I381),0)</f>
        <v>0</v>
      </c>
      <c r="M381" s="25">
        <f>IF(J381&lt;&gt;0,SUM(J$2:J381),0)</f>
        <v>-3821254.4923070003</v>
      </c>
    </row>
    <row r="382" spans="1:13" x14ac:dyDescent="0.2">
      <c r="A382" s="5" t="s">
        <v>615</v>
      </c>
      <c r="C382" s="6" t="s">
        <v>259</v>
      </c>
      <c r="D382" s="7" t="s">
        <v>53</v>
      </c>
      <c r="E382" s="15" t="s">
        <v>617</v>
      </c>
      <c r="G382" s="25">
        <f t="shared" si="5"/>
        <v>-125425</v>
      </c>
      <c r="H382" s="25">
        <f t="array" ref="H382">IF(A382=A381,0,SUM(_xlfn._xlws.FILTER(G382:G402,A382:A402=A382)))</f>
        <v>0</v>
      </c>
      <c r="I382" s="25">
        <f t="array" ref="I382">IFERROR(IF(A382=A381,0,SUM(_xlfn._xlws.FILTER(G382:G402,(A382:A402=A382)*(E382:E402&lt;0)))),0)</f>
        <v>0</v>
      </c>
      <c r="J382" s="25">
        <f t="array" ref="J382">IFERROR(IF(A382=A381,0,SUM(_xlfn._xlws.FILTER(G382:G402,(A382:A402=A382)*(E382:E402&gt;0)))),0)</f>
        <v>0</v>
      </c>
      <c r="K382" s="25">
        <f>IF(H382&lt;&gt;0,SUM(H$2:H382),0)</f>
        <v>0</v>
      </c>
      <c r="L382" s="25">
        <f>IF(I382&lt;&gt;0,SUM(I$2:I382),0)</f>
        <v>0</v>
      </c>
      <c r="M382" s="25">
        <f>IF(J382&lt;&gt;0,SUM(J$2:J382),0)</f>
        <v>0</v>
      </c>
    </row>
    <row r="383" spans="1:13" x14ac:dyDescent="0.2">
      <c r="A383" s="5" t="s">
        <v>615</v>
      </c>
      <c r="C383" s="6" t="s">
        <v>25</v>
      </c>
      <c r="D383" s="7" t="s">
        <v>82</v>
      </c>
      <c r="E383" s="15" t="s">
        <v>618</v>
      </c>
      <c r="G383" s="25">
        <f t="shared" si="5"/>
        <v>-217680</v>
      </c>
      <c r="H383" s="25">
        <f t="array" ref="H383">IF(A383=A382,0,SUM(_xlfn._xlws.FILTER(G383:G403,A383:A403=A383)))</f>
        <v>0</v>
      </c>
      <c r="I383" s="25">
        <f t="array" ref="I383">IFERROR(IF(A383=A382,0,SUM(_xlfn._xlws.FILTER(G383:G403,(A383:A403=A383)*(E383:E403&lt;0)))),0)</f>
        <v>0</v>
      </c>
      <c r="J383" s="25">
        <f t="array" ref="J383">IFERROR(IF(A383=A382,0,SUM(_xlfn._xlws.FILTER(G383:G403,(A383:A403=A383)*(E383:E403&gt;0)))),0)</f>
        <v>0</v>
      </c>
      <c r="K383" s="25">
        <f>IF(H383&lt;&gt;0,SUM(H$2:H383),0)</f>
        <v>0</v>
      </c>
      <c r="L383" s="25">
        <f>IF(I383&lt;&gt;0,SUM(I$2:I383),0)</f>
        <v>0</v>
      </c>
      <c r="M383" s="25">
        <f>IF(J383&lt;&gt;0,SUM(J$2:J383),0)</f>
        <v>0</v>
      </c>
    </row>
    <row r="384" spans="1:13" x14ac:dyDescent="0.2">
      <c r="A384" s="1" t="s">
        <v>619</v>
      </c>
      <c r="C384" s="2" t="s">
        <v>320</v>
      </c>
      <c r="D384" s="3" t="s">
        <v>66</v>
      </c>
      <c r="E384" s="16" t="s">
        <v>620</v>
      </c>
      <c r="G384" s="25">
        <f t="shared" si="5"/>
        <v>-366300</v>
      </c>
      <c r="H384" s="25">
        <f t="array" ref="H384">IF(A384=A383,0,SUM(_xlfn._xlws.FILTER(G384:G404,A384:A404=A384)))</f>
        <v>-231614.27</v>
      </c>
      <c r="I384" s="25">
        <f t="array" ref="I384">IFERROR(IF(A384=A383,0,SUM(_xlfn._xlws.FILTER(G384:G404,(A384:A404=A384)*(E384:E404&lt;0)))),0)</f>
        <v>0</v>
      </c>
      <c r="J384" s="25">
        <f t="array" ref="J384">IFERROR(IF(A384=A383,0,SUM(_xlfn._xlws.FILTER(G384:G404,(A384:A404=A384)*(E384:E404&gt;0)))),0)</f>
        <v>-231614.27</v>
      </c>
      <c r="K384" s="25">
        <f>IF(H384&lt;&gt;0,SUM(H$2:H384),0)</f>
        <v>-4052868.7623070003</v>
      </c>
      <c r="L384" s="25">
        <f>IF(I384&lt;&gt;0,SUM(I$2:I384),0)</f>
        <v>0</v>
      </c>
      <c r="M384" s="25">
        <f>IF(J384&lt;&gt;0,SUM(J$2:J384),0)</f>
        <v>-4052868.7623070003</v>
      </c>
    </row>
    <row r="385" spans="1:13" x14ac:dyDescent="0.2">
      <c r="A385" s="1" t="s">
        <v>619</v>
      </c>
      <c r="C385" s="2" t="s">
        <v>222</v>
      </c>
      <c r="D385" s="3" t="s">
        <v>205</v>
      </c>
      <c r="E385" s="2" t="s">
        <v>621</v>
      </c>
      <c r="G385" s="25">
        <f t="shared" si="5"/>
        <v>115520</v>
      </c>
      <c r="H385" s="25">
        <f t="array" ref="H385">IF(A385=A384,0,SUM(_xlfn._xlws.FILTER(G385:G405,A385:A405=A385)))</f>
        <v>0</v>
      </c>
      <c r="I385" s="25">
        <f t="array" ref="I385">IFERROR(IF(A385=A384,0,SUM(_xlfn._xlws.FILTER(G385:G405,(A385:A405=A385)*(E385:E405&lt;0)))),0)</f>
        <v>0</v>
      </c>
      <c r="J385" s="25">
        <f t="array" ref="J385">IFERROR(IF(A385=A384,0,SUM(_xlfn._xlws.FILTER(G385:G405,(A385:A405=A385)*(E385:E405&gt;0)))),0)</f>
        <v>0</v>
      </c>
      <c r="K385" s="25">
        <f>IF(H385&lt;&gt;0,SUM(H$2:H385),0)</f>
        <v>0</v>
      </c>
      <c r="L385" s="25">
        <f>IF(I385&lt;&gt;0,SUM(I$2:I385),0)</f>
        <v>0</v>
      </c>
      <c r="M385" s="25">
        <f>IF(J385&lt;&gt;0,SUM(J$2:J385),0)</f>
        <v>0</v>
      </c>
    </row>
    <row r="386" spans="1:13" x14ac:dyDescent="0.2">
      <c r="A386" s="1" t="s">
        <v>619</v>
      </c>
      <c r="C386" s="2" t="s">
        <v>219</v>
      </c>
      <c r="D386" s="3" t="s">
        <v>120</v>
      </c>
      <c r="E386" s="2" t="s">
        <v>622</v>
      </c>
      <c r="G386" s="25">
        <f t="shared" ref="G386:G449" si="6">D386*E386*IF(OR(C386="IAG",C386="EZJ",C386="AET"),0.01,1)</f>
        <v>19165.73</v>
      </c>
      <c r="H386" s="25">
        <f t="array" ref="H386">IF(A386=A385,0,SUM(_xlfn._xlws.FILTER(G386:G406,A386:A406=A386)))</f>
        <v>0</v>
      </c>
      <c r="I386" s="25">
        <f t="array" ref="I386">IFERROR(IF(A386=A385,0,SUM(_xlfn._xlws.FILTER(G386:G406,(A386:A406=A386)*(E386:E406&lt;0)))),0)</f>
        <v>0</v>
      </c>
      <c r="J386" s="25">
        <f t="array" ref="J386">IFERROR(IF(A386=A385,0,SUM(_xlfn._xlws.FILTER(G386:G406,(A386:A406=A386)*(E386:E406&gt;0)))),0)</f>
        <v>0</v>
      </c>
      <c r="K386" s="25">
        <f>IF(H386&lt;&gt;0,SUM(H$2:H386),0)</f>
        <v>0</v>
      </c>
      <c r="L386" s="25">
        <f>IF(I386&lt;&gt;0,SUM(I$2:I386),0)</f>
        <v>0</v>
      </c>
      <c r="M386" s="25">
        <f>IF(J386&lt;&gt;0,SUM(J$2:J386),0)</f>
        <v>0</v>
      </c>
    </row>
    <row r="387" spans="1:13" x14ac:dyDescent="0.2">
      <c r="A387" s="5" t="s">
        <v>623</v>
      </c>
      <c r="C387" s="6" t="s">
        <v>190</v>
      </c>
      <c r="D387" s="7" t="s">
        <v>23</v>
      </c>
      <c r="E387" s="15" t="s">
        <v>624</v>
      </c>
      <c r="G387" s="25">
        <f t="shared" si="6"/>
        <v>52200</v>
      </c>
      <c r="H387" s="25">
        <f t="array" ref="H387">IF(A387=A386,0,SUM(_xlfn._xlws.FILTER(G387:G407,A387:A407=A387)))</f>
        <v>111400</v>
      </c>
      <c r="I387" s="25">
        <f t="array" ref="I387">IFERROR(IF(A387=A386,0,SUM(_xlfn._xlws.FILTER(G387:G407,(A387:A407=A387)*(E387:E407&lt;0)))),0)</f>
        <v>0</v>
      </c>
      <c r="J387" s="25">
        <f t="array" ref="J387">IFERROR(IF(A387=A386,0,SUM(_xlfn._xlws.FILTER(G387:G407,(A387:A407=A387)*(E387:E407&gt;0)))),0)</f>
        <v>111400</v>
      </c>
      <c r="K387" s="25">
        <f>IF(H387&lt;&gt;0,SUM(H$2:H387),0)</f>
        <v>-3941468.7623070003</v>
      </c>
      <c r="L387" s="25">
        <f>IF(I387&lt;&gt;0,SUM(I$2:I387),0)</f>
        <v>0</v>
      </c>
      <c r="M387" s="25">
        <f>IF(J387&lt;&gt;0,SUM(J$2:J387),0)</f>
        <v>-3941468.7623070003</v>
      </c>
    </row>
    <row r="388" spans="1:13" x14ac:dyDescent="0.2">
      <c r="A388" s="5" t="s">
        <v>623</v>
      </c>
      <c r="C388" s="6" t="s">
        <v>34</v>
      </c>
      <c r="D388" s="7" t="s">
        <v>16</v>
      </c>
      <c r="E388" s="15" t="s">
        <v>625</v>
      </c>
      <c r="G388" s="25">
        <f t="shared" si="6"/>
        <v>145080</v>
      </c>
      <c r="H388" s="25">
        <f t="array" ref="H388">IF(A388=A387,0,SUM(_xlfn._xlws.FILTER(G388:G408,A388:A408=A388)))</f>
        <v>0</v>
      </c>
      <c r="I388" s="25">
        <f t="array" ref="I388">IFERROR(IF(A388=A387,0,SUM(_xlfn._xlws.FILTER(G388:G408,(A388:A408=A388)*(E388:E408&lt;0)))),0)</f>
        <v>0</v>
      </c>
      <c r="J388" s="25">
        <f t="array" ref="J388">IFERROR(IF(A388=A387,0,SUM(_xlfn._xlws.FILTER(G388:G408,(A388:A408=A388)*(E388:E408&gt;0)))),0)</f>
        <v>0</v>
      </c>
      <c r="K388" s="25">
        <f>IF(H388&lt;&gt;0,SUM(H$2:H388),0)</f>
        <v>0</v>
      </c>
      <c r="L388" s="25">
        <f>IF(I388&lt;&gt;0,SUM(I$2:I388),0)</f>
        <v>0</v>
      </c>
      <c r="M388" s="25">
        <f>IF(J388&lt;&gt;0,SUM(J$2:J388),0)</f>
        <v>0</v>
      </c>
    </row>
    <row r="389" spans="1:13" x14ac:dyDescent="0.2">
      <c r="A389" s="5" t="s">
        <v>623</v>
      </c>
      <c r="C389" s="6" t="s">
        <v>52</v>
      </c>
      <c r="D389" s="7" t="s">
        <v>102</v>
      </c>
      <c r="E389" s="15" t="s">
        <v>626</v>
      </c>
      <c r="G389" s="25">
        <f t="shared" si="6"/>
        <v>-152180</v>
      </c>
      <c r="H389" s="25">
        <f t="array" ref="H389">IF(A389=A388,0,SUM(_xlfn._xlws.FILTER(G389:G409,A389:A409=A389)))</f>
        <v>0</v>
      </c>
      <c r="I389" s="25">
        <f t="array" ref="I389">IFERROR(IF(A389=A388,0,SUM(_xlfn._xlws.FILTER(G389:G409,(A389:A409=A389)*(E389:E409&lt;0)))),0)</f>
        <v>0</v>
      </c>
      <c r="J389" s="25">
        <f t="array" ref="J389">IFERROR(IF(A389=A388,0,SUM(_xlfn._xlws.FILTER(G389:G409,(A389:A409=A389)*(E389:E409&gt;0)))),0)</f>
        <v>0</v>
      </c>
      <c r="K389" s="25">
        <f>IF(H389&lt;&gt;0,SUM(H$2:H389),0)</f>
        <v>0</v>
      </c>
      <c r="L389" s="25">
        <f>IF(I389&lt;&gt;0,SUM(I$2:I389),0)</f>
        <v>0</v>
      </c>
      <c r="M389" s="25">
        <f>IF(J389&lt;&gt;0,SUM(J$2:J389),0)</f>
        <v>0</v>
      </c>
    </row>
    <row r="390" spans="1:13" x14ac:dyDescent="0.2">
      <c r="A390" s="5" t="s">
        <v>623</v>
      </c>
      <c r="C390" s="6" t="s">
        <v>125</v>
      </c>
      <c r="D390" s="7" t="s">
        <v>85</v>
      </c>
      <c r="E390" s="15" t="s">
        <v>627</v>
      </c>
      <c r="G390" s="25">
        <f t="shared" si="6"/>
        <v>66300</v>
      </c>
      <c r="H390" s="25">
        <f t="array" ref="H390">IF(A390=A389,0,SUM(_xlfn._xlws.FILTER(G390:G410,A390:A410=A390)))</f>
        <v>0</v>
      </c>
      <c r="I390" s="25">
        <f t="array" ref="I390">IFERROR(IF(A390=A389,0,SUM(_xlfn._xlws.FILTER(G390:G410,(A390:A410=A390)*(E390:E410&lt;0)))),0)</f>
        <v>0</v>
      </c>
      <c r="J390" s="25">
        <f t="array" ref="J390">IFERROR(IF(A390=A389,0,SUM(_xlfn._xlws.FILTER(G390:G410,(A390:A410=A390)*(E390:E410&gt;0)))),0)</f>
        <v>0</v>
      </c>
      <c r="K390" s="25">
        <f>IF(H390&lt;&gt;0,SUM(H$2:H390),0)</f>
        <v>0</v>
      </c>
      <c r="L390" s="25">
        <f>IF(I390&lt;&gt;0,SUM(I$2:I390),0)</f>
        <v>0</v>
      </c>
      <c r="M390" s="25">
        <f>IF(J390&lt;&gt;0,SUM(J$2:J390),0)</f>
        <v>0</v>
      </c>
    </row>
    <row r="391" spans="1:13" x14ac:dyDescent="0.2">
      <c r="A391" s="1" t="s">
        <v>628</v>
      </c>
      <c r="C391" s="2" t="s">
        <v>629</v>
      </c>
      <c r="D391" s="3" t="s">
        <v>336</v>
      </c>
      <c r="E391" s="2" t="s">
        <v>630</v>
      </c>
      <c r="G391" s="25">
        <f t="shared" si="6"/>
        <v>-76000</v>
      </c>
      <c r="H391" s="25">
        <f t="array" ref="H391">IF(A391=A390,0,SUM(_xlfn._xlws.FILTER(G391:G411,A391:A411=A391)))</f>
        <v>-76000</v>
      </c>
      <c r="I391" s="25">
        <f t="array" ref="I391">IFERROR(IF(A391=A390,0,SUM(_xlfn._xlws.FILTER(G391:G411,(A391:A411=A391)*(E391:E411&lt;0)))),0)</f>
        <v>0</v>
      </c>
      <c r="J391" s="25">
        <f t="array" ref="J391">IFERROR(IF(A391=A390,0,SUM(_xlfn._xlws.FILTER(G391:G411,(A391:A411=A391)*(E391:E411&gt;0)))),0)</f>
        <v>-76000</v>
      </c>
      <c r="K391" s="25">
        <f>IF(H391&lt;&gt;0,SUM(H$2:H391),0)</f>
        <v>-4017468.7623070003</v>
      </c>
      <c r="L391" s="25">
        <f>IF(I391&lt;&gt;0,SUM(I$2:I391),0)</f>
        <v>0</v>
      </c>
      <c r="M391" s="25">
        <f>IF(J391&lt;&gt;0,SUM(J$2:J391),0)</f>
        <v>-4017468.7623070003</v>
      </c>
    </row>
    <row r="392" spans="1:13" x14ac:dyDescent="0.2">
      <c r="A392" s="5" t="s">
        <v>631</v>
      </c>
      <c r="C392" s="6" t="s">
        <v>256</v>
      </c>
      <c r="D392" s="7" t="s">
        <v>46</v>
      </c>
      <c r="E392" s="15" t="s">
        <v>632</v>
      </c>
      <c r="G392" s="25">
        <f t="shared" si="6"/>
        <v>59280</v>
      </c>
      <c r="H392" s="25">
        <f t="array" ref="H392">IF(A392=A391,0,SUM(_xlfn._xlws.FILTER(G392:G412,A392:A412=A392)))</f>
        <v>-394920</v>
      </c>
      <c r="I392" s="25">
        <f t="array" ref="I392">IFERROR(IF(A392=A391,0,SUM(_xlfn._xlws.FILTER(G392:G412,(A392:A412=A392)*(E392:E412&lt;0)))),0)</f>
        <v>0</v>
      </c>
      <c r="J392" s="25">
        <f t="array" ref="J392">IFERROR(IF(A392=A391,0,SUM(_xlfn._xlws.FILTER(G392:G412,(A392:A412=A392)*(E392:E412&gt;0)))),0)</f>
        <v>-394920</v>
      </c>
      <c r="K392" s="25">
        <f>IF(H392&lt;&gt;0,SUM(H$2:H392),0)</f>
        <v>-4412388.7623070003</v>
      </c>
      <c r="L392" s="25">
        <f>IF(I392&lt;&gt;0,SUM(I$2:I392),0)</f>
        <v>0</v>
      </c>
      <c r="M392" s="25">
        <f>IF(J392&lt;&gt;0,SUM(J$2:J392),0)</f>
        <v>-4412388.7623070003</v>
      </c>
    </row>
    <row r="393" spans="1:13" x14ac:dyDescent="0.2">
      <c r="A393" s="5" t="s">
        <v>631</v>
      </c>
      <c r="C393" s="6" t="s">
        <v>320</v>
      </c>
      <c r="D393" s="7" t="s">
        <v>66</v>
      </c>
      <c r="E393" s="15" t="s">
        <v>633</v>
      </c>
      <c r="G393" s="25">
        <f t="shared" si="6"/>
        <v>-357000</v>
      </c>
      <c r="H393" s="25">
        <f t="array" ref="H393">IF(A393=A392,0,SUM(_xlfn._xlws.FILTER(G393:G413,A393:A413=A393)))</f>
        <v>0</v>
      </c>
      <c r="I393" s="25">
        <f t="array" ref="I393">IFERROR(IF(A393=A392,0,SUM(_xlfn._xlws.FILTER(G393:G413,(A393:A413=A393)*(E393:E413&lt;0)))),0)</f>
        <v>0</v>
      </c>
      <c r="J393" s="25">
        <f t="array" ref="J393">IFERROR(IF(A393=A392,0,SUM(_xlfn._xlws.FILTER(G393:G413,(A393:A413=A393)*(E393:E413&gt;0)))),0)</f>
        <v>0</v>
      </c>
      <c r="K393" s="25">
        <f>IF(H393&lt;&gt;0,SUM(H$2:H393),0)</f>
        <v>0</v>
      </c>
      <c r="L393" s="25">
        <f>IF(I393&lt;&gt;0,SUM(I$2:I393),0)</f>
        <v>0</v>
      </c>
      <c r="M393" s="25">
        <f>IF(J393&lt;&gt;0,SUM(J$2:J393),0)</f>
        <v>0</v>
      </c>
    </row>
    <row r="394" spans="1:13" x14ac:dyDescent="0.2">
      <c r="A394" s="5" t="s">
        <v>631</v>
      </c>
      <c r="C394" s="6" t="s">
        <v>122</v>
      </c>
      <c r="D394" s="7" t="s">
        <v>120</v>
      </c>
      <c r="E394" s="15" t="s">
        <v>634</v>
      </c>
      <c r="G394" s="25">
        <f t="shared" si="6"/>
        <v>-97200</v>
      </c>
      <c r="H394" s="25">
        <f t="array" ref="H394">IF(A394=A393,0,SUM(_xlfn._xlws.FILTER(G394:G414,A394:A414=A394)))</f>
        <v>0</v>
      </c>
      <c r="I394" s="25">
        <f t="array" ref="I394">IFERROR(IF(A394=A393,0,SUM(_xlfn._xlws.FILTER(G394:G414,(A394:A414=A394)*(E394:E414&lt;0)))),0)</f>
        <v>0</v>
      </c>
      <c r="J394" s="25">
        <f t="array" ref="J394">IFERROR(IF(A394=A393,0,SUM(_xlfn._xlws.FILTER(G394:G414,(A394:A414=A394)*(E394:E414&gt;0)))),0)</f>
        <v>0</v>
      </c>
      <c r="K394" s="25">
        <f>IF(H394&lt;&gt;0,SUM(H$2:H394),0)</f>
        <v>0</v>
      </c>
      <c r="L394" s="25">
        <f>IF(I394&lt;&gt;0,SUM(I$2:I394),0)</f>
        <v>0</v>
      </c>
      <c r="M394" s="25">
        <f>IF(J394&lt;&gt;0,SUM(J$2:J394),0)</f>
        <v>0</v>
      </c>
    </row>
    <row r="395" spans="1:13" x14ac:dyDescent="0.2">
      <c r="A395" s="1" t="s">
        <v>635</v>
      </c>
      <c r="C395" s="2" t="s">
        <v>116</v>
      </c>
      <c r="D395" s="3" t="s">
        <v>16</v>
      </c>
      <c r="E395" s="16" t="s">
        <v>636</v>
      </c>
      <c r="G395" s="25">
        <f t="shared" si="6"/>
        <v>-430040</v>
      </c>
      <c r="H395" s="25">
        <f t="array" ref="H395">IF(A395=A394,0,SUM(_xlfn._xlws.FILTER(G395:G415,A395:A415=A395)))</f>
        <v>-665290</v>
      </c>
      <c r="I395" s="25">
        <f t="array" ref="I395">IFERROR(IF(A395=A394,0,SUM(_xlfn._xlws.FILTER(G395:G415,(A395:A415=A395)*(E395:E415&lt;0)))),0)</f>
        <v>0</v>
      </c>
      <c r="J395" s="25">
        <f t="array" ref="J395">IFERROR(IF(A395=A394,0,SUM(_xlfn._xlws.FILTER(G395:G415,(A395:A415=A395)*(E395:E415&gt;0)))),0)</f>
        <v>-665290</v>
      </c>
      <c r="K395" s="25">
        <f>IF(H395&lt;&gt;0,SUM(H$2:H395),0)</f>
        <v>-5077678.7623070003</v>
      </c>
      <c r="L395" s="25">
        <f>IF(I395&lt;&gt;0,SUM(I$2:I395),0)</f>
        <v>0</v>
      </c>
      <c r="M395" s="25">
        <f>IF(J395&lt;&gt;0,SUM(J$2:J395),0)</f>
        <v>-5077678.7623070003</v>
      </c>
    </row>
    <row r="396" spans="1:13" x14ac:dyDescent="0.2">
      <c r="A396" s="1" t="s">
        <v>635</v>
      </c>
      <c r="C396" s="2" t="s">
        <v>22</v>
      </c>
      <c r="D396" s="3" t="s">
        <v>102</v>
      </c>
      <c r="E396" s="16" t="s">
        <v>637</v>
      </c>
      <c r="G396" s="25">
        <f t="shared" si="6"/>
        <v>-235250</v>
      </c>
      <c r="H396" s="25">
        <f t="array" ref="H396">IF(A396=A395,0,SUM(_xlfn._xlws.FILTER(G396:G416,A396:A416=A396)))</f>
        <v>0</v>
      </c>
      <c r="I396" s="25">
        <f t="array" ref="I396">IFERROR(IF(A396=A395,0,SUM(_xlfn._xlws.FILTER(G396:G416,(A396:A416=A396)*(E396:E416&lt;0)))),0)</f>
        <v>0</v>
      </c>
      <c r="J396" s="25">
        <f t="array" ref="J396">IFERROR(IF(A396=A395,0,SUM(_xlfn._xlws.FILTER(G396:G416,(A396:A416=A396)*(E396:E416&gt;0)))),0)</f>
        <v>0</v>
      </c>
      <c r="K396" s="25">
        <f>IF(H396&lt;&gt;0,SUM(H$2:H396),0)</f>
        <v>0</v>
      </c>
      <c r="L396" s="25">
        <f>IF(I396&lt;&gt;0,SUM(I$2:I396),0)</f>
        <v>0</v>
      </c>
      <c r="M396" s="25">
        <f>IF(J396&lt;&gt;0,SUM(J$2:J396),0)</f>
        <v>0</v>
      </c>
    </row>
    <row r="397" spans="1:13" x14ac:dyDescent="0.2">
      <c r="A397" s="5" t="s">
        <v>638</v>
      </c>
      <c r="C397" s="6" t="s">
        <v>19</v>
      </c>
      <c r="D397" s="7" t="s">
        <v>53</v>
      </c>
      <c r="E397" s="15" t="s">
        <v>639</v>
      </c>
      <c r="G397" s="25">
        <f t="shared" si="6"/>
        <v>-299650</v>
      </c>
      <c r="H397" s="25">
        <f t="array" ref="H397">IF(A397=A396,0,SUM(_xlfn._xlws.FILTER(G397:G417,A397:A417=A397)))</f>
        <v>-417850</v>
      </c>
      <c r="I397" s="25">
        <f t="array" ref="I397">IFERROR(IF(A397=A396,0,SUM(_xlfn._xlws.FILTER(G397:G417,(A397:A417=A397)*(E397:E417&lt;0)))),0)</f>
        <v>0</v>
      </c>
      <c r="J397" s="25">
        <f t="array" ref="J397">IFERROR(IF(A397=A396,0,SUM(_xlfn._xlws.FILTER(G397:G417,(A397:A417=A397)*(E397:E417&gt;0)))),0)</f>
        <v>-417850</v>
      </c>
      <c r="K397" s="25">
        <f>IF(H397&lt;&gt;0,SUM(H$2:H397),0)</f>
        <v>-5495528.7623070003</v>
      </c>
      <c r="L397" s="25">
        <f>IF(I397&lt;&gt;0,SUM(I$2:I397),0)</f>
        <v>0</v>
      </c>
      <c r="M397" s="25">
        <f>IF(J397&lt;&gt;0,SUM(J$2:J397),0)</f>
        <v>-5495528.7623070003</v>
      </c>
    </row>
    <row r="398" spans="1:13" x14ac:dyDescent="0.2">
      <c r="A398" s="5" t="s">
        <v>638</v>
      </c>
      <c r="C398" s="6" t="s">
        <v>320</v>
      </c>
      <c r="D398" s="7" t="s">
        <v>16</v>
      </c>
      <c r="E398" s="15" t="s">
        <v>640</v>
      </c>
      <c r="G398" s="25">
        <f t="shared" si="6"/>
        <v>-118200</v>
      </c>
      <c r="H398" s="25">
        <f t="array" ref="H398">IF(A398=A397,0,SUM(_xlfn._xlws.FILTER(G398:G418,A398:A418=A398)))</f>
        <v>0</v>
      </c>
      <c r="I398" s="25">
        <f t="array" ref="I398">IFERROR(IF(A398=A397,0,SUM(_xlfn._xlws.FILTER(G398:G418,(A398:A418=A398)*(E398:E418&lt;0)))),0)</f>
        <v>0</v>
      </c>
      <c r="J398" s="25">
        <f t="array" ref="J398">IFERROR(IF(A398=A397,0,SUM(_xlfn._xlws.FILTER(G398:G418,(A398:A418=A398)*(E398:E418&gt;0)))),0)</f>
        <v>0</v>
      </c>
      <c r="K398" s="25">
        <f>IF(H398&lt;&gt;0,SUM(H$2:H398),0)</f>
        <v>0</v>
      </c>
      <c r="L398" s="25">
        <f>IF(I398&lt;&gt;0,SUM(I$2:I398),0)</f>
        <v>0</v>
      </c>
      <c r="M398" s="25">
        <f>IF(J398&lt;&gt;0,SUM(J$2:J398),0)</f>
        <v>0</v>
      </c>
    </row>
    <row r="399" spans="1:13" x14ac:dyDescent="0.2">
      <c r="A399" s="1" t="s">
        <v>641</v>
      </c>
      <c r="C399" s="2" t="s">
        <v>155</v>
      </c>
      <c r="D399" s="3" t="s">
        <v>32</v>
      </c>
      <c r="E399" s="16" t="s">
        <v>642</v>
      </c>
      <c r="G399" s="25">
        <f t="shared" si="6"/>
        <v>82550.000000000015</v>
      </c>
      <c r="H399" s="25">
        <f t="array" ref="H399">IF(A399=A398,0,SUM(_xlfn._xlws.FILTER(G399:G419,A399:A419=A399)))</f>
        <v>82550.000000000015</v>
      </c>
      <c r="I399" s="25">
        <f t="array" ref="I399">IFERROR(IF(A399=A398,0,SUM(_xlfn._xlws.FILTER(G399:G419,(A399:A419=A399)*(E399:E419&lt;0)))),0)</f>
        <v>0</v>
      </c>
      <c r="J399" s="25">
        <f t="array" ref="J399">IFERROR(IF(A399=A398,0,SUM(_xlfn._xlws.FILTER(G399:G419,(A399:A419=A399)*(E399:E419&gt;0)))),0)</f>
        <v>82550.000000000015</v>
      </c>
      <c r="K399" s="25">
        <f>IF(H399&lt;&gt;0,SUM(H$2:H399),0)</f>
        <v>-5412978.7623070003</v>
      </c>
      <c r="L399" s="25">
        <f>IF(I399&lt;&gt;0,SUM(I$2:I399),0)</f>
        <v>0</v>
      </c>
      <c r="M399" s="25">
        <f>IF(J399&lt;&gt;0,SUM(J$2:J399),0)</f>
        <v>-5412978.7623070003</v>
      </c>
    </row>
    <row r="400" spans="1:13" x14ac:dyDescent="0.2">
      <c r="A400" s="5" t="s">
        <v>643</v>
      </c>
      <c r="C400" s="6" t="s">
        <v>185</v>
      </c>
      <c r="D400" s="7" t="s">
        <v>16</v>
      </c>
      <c r="E400" s="15" t="s">
        <v>644</v>
      </c>
      <c r="G400" s="25">
        <f t="shared" si="6"/>
        <v>63400</v>
      </c>
      <c r="H400" s="25">
        <f t="array" ref="H400">IF(A400=A399,0,SUM(_xlfn._xlws.FILTER(G400:G420,A400:A420=A400)))</f>
        <v>63400</v>
      </c>
      <c r="I400" s="25">
        <f t="array" ref="I400">IFERROR(IF(A400=A399,0,SUM(_xlfn._xlws.FILTER(G400:G420,(A400:A420=A400)*(E400:E420&lt;0)))),0)</f>
        <v>0</v>
      </c>
      <c r="J400" s="25">
        <f t="array" ref="J400">IFERROR(IF(A400=A399,0,SUM(_xlfn._xlws.FILTER(G400:G420,(A400:A420=A400)*(E400:E420&gt;0)))),0)</f>
        <v>63400</v>
      </c>
      <c r="K400" s="25">
        <f>IF(H400&lt;&gt;0,SUM(H$2:H400),0)</f>
        <v>-5349578.7623070003</v>
      </c>
      <c r="L400" s="25">
        <f>IF(I400&lt;&gt;0,SUM(I$2:I400),0)</f>
        <v>0</v>
      </c>
      <c r="M400" s="25">
        <f>IF(J400&lt;&gt;0,SUM(J$2:J400),0)</f>
        <v>-5349578.7623070003</v>
      </c>
    </row>
    <row r="401" spans="1:13" x14ac:dyDescent="0.2">
      <c r="A401" s="1" t="s">
        <v>645</v>
      </c>
      <c r="C401" s="2" t="s">
        <v>259</v>
      </c>
      <c r="D401" s="3" t="s">
        <v>260</v>
      </c>
      <c r="E401" s="16" t="s">
        <v>646</v>
      </c>
      <c r="G401" s="25">
        <f t="shared" si="6"/>
        <v>-115992.54999999999</v>
      </c>
      <c r="H401" s="25">
        <f t="array" ref="H401">IF(A401=A400,0,SUM(_xlfn._xlws.FILTER(G401:G421,A401:A421=A401)))</f>
        <v>-115992.54999999999</v>
      </c>
      <c r="I401" s="25">
        <f t="array" ref="I401">IFERROR(IF(A401=A400,0,SUM(_xlfn._xlws.FILTER(G401:G421,(A401:A421=A401)*(E401:E421&lt;0)))),0)</f>
        <v>0</v>
      </c>
      <c r="J401" s="25">
        <f t="array" ref="J401">IFERROR(IF(A401=A400,0,SUM(_xlfn._xlws.FILTER(G401:G421,(A401:A421=A401)*(E401:E421&gt;0)))),0)</f>
        <v>-115992.54999999999</v>
      </c>
      <c r="K401" s="25">
        <f>IF(H401&lt;&gt;0,SUM(H$2:H401),0)</f>
        <v>-5465571.3123070002</v>
      </c>
      <c r="L401" s="25">
        <f>IF(I401&lt;&gt;0,SUM(I$2:I401),0)</f>
        <v>0</v>
      </c>
      <c r="M401" s="25">
        <f>IF(J401&lt;&gt;0,SUM(J$2:J401),0)</f>
        <v>-5465571.3123070002</v>
      </c>
    </row>
    <row r="402" spans="1:13" x14ac:dyDescent="0.2">
      <c r="A402" s="5" t="s">
        <v>647</v>
      </c>
      <c r="C402" s="6" t="s">
        <v>49</v>
      </c>
      <c r="D402" s="7" t="s">
        <v>648</v>
      </c>
      <c r="E402" s="15" t="s">
        <v>649</v>
      </c>
      <c r="G402" s="25">
        <f t="shared" si="6"/>
        <v>-38500</v>
      </c>
      <c r="H402" s="25">
        <f t="array" ref="H402">IF(A402=A401,0,SUM(_xlfn._xlws.FILTER(G402:G422,A402:A422=A402)))</f>
        <v>35740</v>
      </c>
      <c r="I402" s="25">
        <f t="array" ref="I402">IFERROR(IF(A402=A401,0,SUM(_xlfn._xlws.FILTER(G402:G422,(A402:A422=A402)*(E402:E422&lt;0)))),0)</f>
        <v>0</v>
      </c>
      <c r="J402" s="25">
        <f t="array" ref="J402">IFERROR(IF(A402=A401,0,SUM(_xlfn._xlws.FILTER(G402:G422,(A402:A422=A402)*(E402:E422&gt;0)))),0)</f>
        <v>35740</v>
      </c>
      <c r="K402" s="25">
        <f>IF(H402&lt;&gt;0,SUM(H$2:H402),0)</f>
        <v>-5429831.3123070002</v>
      </c>
      <c r="L402" s="25">
        <f>IF(I402&lt;&gt;0,SUM(I$2:I402),0)</f>
        <v>0</v>
      </c>
      <c r="M402" s="25">
        <f>IF(J402&lt;&gt;0,SUM(J$2:J402),0)</f>
        <v>-5429831.3123070002</v>
      </c>
    </row>
    <row r="403" spans="1:13" x14ac:dyDescent="0.2">
      <c r="A403" s="5" t="s">
        <v>647</v>
      </c>
      <c r="C403" s="6" t="s">
        <v>185</v>
      </c>
      <c r="D403" s="7" t="s">
        <v>16</v>
      </c>
      <c r="E403" s="15" t="s">
        <v>650</v>
      </c>
      <c r="G403" s="25">
        <f t="shared" si="6"/>
        <v>74240</v>
      </c>
      <c r="H403" s="25">
        <f t="array" ref="H403">IF(A403=A402,0,SUM(_xlfn._xlws.FILTER(G403:G423,A403:A423=A403)))</f>
        <v>0</v>
      </c>
      <c r="I403" s="25">
        <f t="array" ref="I403">IFERROR(IF(A403=A402,0,SUM(_xlfn._xlws.FILTER(G403:G423,(A403:A423=A403)*(E403:E423&lt;0)))),0)</f>
        <v>0</v>
      </c>
      <c r="J403" s="25">
        <f t="array" ref="J403">IFERROR(IF(A403=A402,0,SUM(_xlfn._xlws.FILTER(G403:G423,(A403:A423=A403)*(E403:E423&gt;0)))),0)</f>
        <v>0</v>
      </c>
      <c r="K403" s="25">
        <f>IF(H403&lt;&gt;0,SUM(H$2:H403),0)</f>
        <v>0</v>
      </c>
      <c r="L403" s="25">
        <f>IF(I403&lt;&gt;0,SUM(I$2:I403),0)</f>
        <v>0</v>
      </c>
      <c r="M403" s="25">
        <f>IF(J403&lt;&gt;0,SUM(J$2:J403),0)</f>
        <v>0</v>
      </c>
    </row>
    <row r="404" spans="1:13" x14ac:dyDescent="0.2">
      <c r="A404" s="1" t="s">
        <v>651</v>
      </c>
      <c r="C404" s="2" t="s">
        <v>15</v>
      </c>
      <c r="D404" s="3" t="s">
        <v>16</v>
      </c>
      <c r="E404" s="16" t="s">
        <v>652</v>
      </c>
      <c r="G404" s="25">
        <f t="shared" si="6"/>
        <v>-53280</v>
      </c>
      <c r="H404" s="25">
        <f t="array" ref="H404">IF(A404=A403,0,SUM(_xlfn._xlws.FILTER(G404:G424,A404:A424=A404)))</f>
        <v>-53280</v>
      </c>
      <c r="I404" s="25">
        <f t="array" ref="I404">IFERROR(IF(A404=A403,0,SUM(_xlfn._xlws.FILTER(G404:G424,(A404:A424=A404)*(E404:E424&lt;0)))),0)</f>
        <v>0</v>
      </c>
      <c r="J404" s="25">
        <f t="array" ref="J404">IFERROR(IF(A404=A403,0,SUM(_xlfn._xlws.FILTER(G404:G424,(A404:A424=A404)*(E404:E424&gt;0)))),0)</f>
        <v>-53280</v>
      </c>
      <c r="K404" s="25">
        <f>IF(H404&lt;&gt;0,SUM(H$2:H404),0)</f>
        <v>-5483111.3123070002</v>
      </c>
      <c r="L404" s="25">
        <f>IF(I404&lt;&gt;0,SUM(I$2:I404),0)</f>
        <v>0</v>
      </c>
      <c r="M404" s="25">
        <f>IF(J404&lt;&gt;0,SUM(J$2:J404),0)</f>
        <v>-5483111.3123070002</v>
      </c>
    </row>
    <row r="405" spans="1:13" x14ac:dyDescent="0.2">
      <c r="A405" s="5" t="s">
        <v>653</v>
      </c>
      <c r="C405" s="6" t="s">
        <v>94</v>
      </c>
      <c r="D405" s="7" t="s">
        <v>409</v>
      </c>
      <c r="E405" s="15" t="s">
        <v>654</v>
      </c>
      <c r="G405" s="25">
        <f t="shared" si="6"/>
        <v>-117589.1</v>
      </c>
      <c r="H405" s="25">
        <f t="array" ref="H405">IF(A405=A404,0,SUM(_xlfn._xlws.FILTER(G405:G425,A405:A425=A405)))</f>
        <v>-160639.1</v>
      </c>
      <c r="I405" s="25">
        <f t="array" ref="I405">IFERROR(IF(A405=A404,0,SUM(_xlfn._xlws.FILTER(G405:G425,(A405:A425=A405)*(E405:E425&lt;0)))),0)</f>
        <v>0</v>
      </c>
      <c r="J405" s="25">
        <f t="array" ref="J405">IFERROR(IF(A405=A404,0,SUM(_xlfn._xlws.FILTER(G405:G425,(A405:A425=A405)*(E405:E425&gt;0)))),0)</f>
        <v>-160639.1</v>
      </c>
      <c r="K405" s="25">
        <f>IF(H405&lt;&gt;0,SUM(H$2:H405),0)</f>
        <v>-5643750.4123069998</v>
      </c>
      <c r="L405" s="25">
        <f>IF(I405&lt;&gt;0,SUM(I$2:I405),0)</f>
        <v>0</v>
      </c>
      <c r="M405" s="25">
        <f>IF(J405&lt;&gt;0,SUM(J$2:J405),0)</f>
        <v>-5643750.4123069998</v>
      </c>
    </row>
    <row r="406" spans="1:13" x14ac:dyDescent="0.2">
      <c r="A406" s="5" t="s">
        <v>653</v>
      </c>
      <c r="C406" s="6" t="s">
        <v>69</v>
      </c>
      <c r="D406" s="7" t="s">
        <v>82</v>
      </c>
      <c r="E406" s="15" t="s">
        <v>655</v>
      </c>
      <c r="G406" s="25">
        <f t="shared" si="6"/>
        <v>-43050</v>
      </c>
      <c r="H406" s="25">
        <f t="array" ref="H406">IF(A406=A405,0,SUM(_xlfn._xlws.FILTER(G406:G426,A406:A426=A406)))</f>
        <v>0</v>
      </c>
      <c r="I406" s="25">
        <f t="array" ref="I406">IFERROR(IF(A406=A405,0,SUM(_xlfn._xlws.FILTER(G406:G426,(A406:A426=A406)*(E406:E426&lt;0)))),0)</f>
        <v>0</v>
      </c>
      <c r="J406" s="25">
        <f t="array" ref="J406">IFERROR(IF(A406=A405,0,SUM(_xlfn._xlws.FILTER(G406:G426,(A406:A426=A406)*(E406:E426&gt;0)))),0)</f>
        <v>0</v>
      </c>
      <c r="K406" s="25">
        <f>IF(H406&lt;&gt;0,SUM(H$2:H406),0)</f>
        <v>0</v>
      </c>
      <c r="L406" s="25">
        <f>IF(I406&lt;&gt;0,SUM(I$2:I406),0)</f>
        <v>0</v>
      </c>
      <c r="M406" s="25">
        <f>IF(J406&lt;&gt;0,SUM(J$2:J406),0)</f>
        <v>0</v>
      </c>
    </row>
    <row r="407" spans="1:13" x14ac:dyDescent="0.2">
      <c r="A407" s="1" t="s">
        <v>656</v>
      </c>
      <c r="C407" s="2" t="s">
        <v>31</v>
      </c>
      <c r="D407" s="3" t="s">
        <v>46</v>
      </c>
      <c r="E407" s="16" t="s">
        <v>657</v>
      </c>
      <c r="G407" s="25">
        <f t="shared" si="6"/>
        <v>108320</v>
      </c>
      <c r="H407" s="25">
        <f t="array" ref="H407">IF(A407=A406,0,SUM(_xlfn._xlws.FILTER(G407:G427,A407:A427=A407)))</f>
        <v>677730</v>
      </c>
      <c r="I407" s="25">
        <f t="array" ref="I407">IFERROR(IF(A407=A406,0,SUM(_xlfn._xlws.FILTER(G407:G427,(A407:A427=A407)*(E407:E427&lt;0)))),0)</f>
        <v>0</v>
      </c>
      <c r="J407" s="25">
        <f t="array" ref="J407">IFERROR(IF(A407=A406,0,SUM(_xlfn._xlws.FILTER(G407:G427,(A407:A427=A407)*(E407:E427&gt;0)))),0)</f>
        <v>677730</v>
      </c>
      <c r="K407" s="25">
        <f>IF(H407&lt;&gt;0,SUM(H$2:H407),0)</f>
        <v>-4966020.4123069998</v>
      </c>
      <c r="L407" s="25">
        <f>IF(I407&lt;&gt;0,SUM(I$2:I407),0)</f>
        <v>0</v>
      </c>
      <c r="M407" s="25">
        <f>IF(J407&lt;&gt;0,SUM(J$2:J407),0)</f>
        <v>-4966020.4123069998</v>
      </c>
    </row>
    <row r="408" spans="1:13" x14ac:dyDescent="0.2">
      <c r="A408" s="1" t="s">
        <v>656</v>
      </c>
      <c r="C408" s="2" t="s">
        <v>193</v>
      </c>
      <c r="D408" s="3" t="s">
        <v>82</v>
      </c>
      <c r="E408" s="16" t="s">
        <v>658</v>
      </c>
      <c r="G408" s="25">
        <f t="shared" si="6"/>
        <v>92040</v>
      </c>
      <c r="H408" s="25">
        <f t="array" ref="H408">IF(A408=A407,0,SUM(_xlfn._xlws.FILTER(G408:G428,A408:A428=A408)))</f>
        <v>0</v>
      </c>
      <c r="I408" s="25">
        <f t="array" ref="I408">IFERROR(IF(A408=A407,0,SUM(_xlfn._xlws.FILTER(G408:G428,(A408:A428=A408)*(E408:E428&lt;0)))),0)</f>
        <v>0</v>
      </c>
      <c r="J408" s="25">
        <f t="array" ref="J408">IFERROR(IF(A408=A407,0,SUM(_xlfn._xlws.FILTER(G408:G428,(A408:A428=A408)*(E408:E428&gt;0)))),0)</f>
        <v>0</v>
      </c>
      <c r="K408" s="25">
        <f>IF(H408&lt;&gt;0,SUM(H$2:H408),0)</f>
        <v>0</v>
      </c>
      <c r="L408" s="25">
        <f>IF(I408&lt;&gt;0,SUM(I$2:I408),0)</f>
        <v>0</v>
      </c>
      <c r="M408" s="25">
        <f>IF(J408&lt;&gt;0,SUM(J$2:J408),0)</f>
        <v>0</v>
      </c>
    </row>
    <row r="409" spans="1:13" x14ac:dyDescent="0.2">
      <c r="A409" s="1" t="s">
        <v>656</v>
      </c>
      <c r="C409" s="2" t="s">
        <v>34</v>
      </c>
      <c r="D409" s="3" t="s">
        <v>16</v>
      </c>
      <c r="E409" s="16" t="s">
        <v>659</v>
      </c>
      <c r="G409" s="25">
        <f t="shared" si="6"/>
        <v>159020</v>
      </c>
      <c r="H409" s="25">
        <f t="array" ref="H409">IF(A409=A408,0,SUM(_xlfn._xlws.FILTER(G409:G429,A409:A429=A409)))</f>
        <v>0</v>
      </c>
      <c r="I409" s="25">
        <f t="array" ref="I409">IFERROR(IF(A409=A408,0,SUM(_xlfn._xlws.FILTER(G409:G429,(A409:A429=A409)*(E409:E429&lt;0)))),0)</f>
        <v>0</v>
      </c>
      <c r="J409" s="25">
        <f t="array" ref="J409">IFERROR(IF(A409=A408,0,SUM(_xlfn._xlws.FILTER(G409:G429,(A409:A429=A409)*(E409:E429&gt;0)))),0)</f>
        <v>0</v>
      </c>
      <c r="K409" s="25">
        <f>IF(H409&lt;&gt;0,SUM(H$2:H409),0)</f>
        <v>0</v>
      </c>
      <c r="L409" s="25">
        <f>IF(I409&lt;&gt;0,SUM(I$2:I409),0)</f>
        <v>0</v>
      </c>
      <c r="M409" s="25">
        <f>IF(J409&lt;&gt;0,SUM(J$2:J409),0)</f>
        <v>0</v>
      </c>
    </row>
    <row r="410" spans="1:13" x14ac:dyDescent="0.2">
      <c r="A410" s="1" t="s">
        <v>656</v>
      </c>
      <c r="C410" s="2" t="s">
        <v>19</v>
      </c>
      <c r="D410" s="3" t="s">
        <v>53</v>
      </c>
      <c r="E410" s="16" t="s">
        <v>660</v>
      </c>
      <c r="G410" s="25">
        <f t="shared" si="6"/>
        <v>318350</v>
      </c>
      <c r="H410" s="25">
        <f t="array" ref="H410">IF(A410=A409,0,SUM(_xlfn._xlws.FILTER(G410:G430,A410:A430=A410)))</f>
        <v>0</v>
      </c>
      <c r="I410" s="25">
        <f t="array" ref="I410">IFERROR(IF(A410=A409,0,SUM(_xlfn._xlws.FILTER(G410:G430,(A410:A430=A410)*(E410:E430&lt;0)))),0)</f>
        <v>0</v>
      </c>
      <c r="J410" s="25">
        <f t="array" ref="J410">IFERROR(IF(A410=A409,0,SUM(_xlfn._xlws.FILTER(G410:G430,(A410:A430=A410)*(E410:E430&gt;0)))),0)</f>
        <v>0</v>
      </c>
      <c r="K410" s="25">
        <f>IF(H410&lt;&gt;0,SUM(H$2:H410),0)</f>
        <v>0</v>
      </c>
      <c r="L410" s="25">
        <f>IF(I410&lt;&gt;0,SUM(I$2:I410),0)</f>
        <v>0</v>
      </c>
      <c r="M410" s="25">
        <f>IF(J410&lt;&gt;0,SUM(J$2:J410),0)</f>
        <v>0</v>
      </c>
    </row>
    <row r="411" spans="1:13" x14ac:dyDescent="0.2">
      <c r="A411" s="5" t="s">
        <v>661</v>
      </c>
      <c r="C411" s="6" t="s">
        <v>19</v>
      </c>
      <c r="D411" s="7" t="s">
        <v>53</v>
      </c>
      <c r="E411" s="15" t="s">
        <v>662</v>
      </c>
      <c r="G411" s="25">
        <f t="shared" si="6"/>
        <v>323100</v>
      </c>
      <c r="H411" s="25">
        <f t="array" ref="H411">IF(A411=A410,0,SUM(_xlfn._xlws.FILTER(G411:G431,A411:A431=A411)))</f>
        <v>808100</v>
      </c>
      <c r="I411" s="25">
        <f t="array" ref="I411">IFERROR(IF(A411=A410,0,SUM(_xlfn._xlws.FILTER(G411:G431,(A411:A431=A411)*(E411:E431&lt;0)))),0)</f>
        <v>0</v>
      </c>
      <c r="J411" s="25">
        <f t="array" ref="J411">IFERROR(IF(A411=A410,0,SUM(_xlfn._xlws.FILTER(G411:G431,(A411:A431=A411)*(E411:E431&gt;0)))),0)</f>
        <v>808100</v>
      </c>
      <c r="K411" s="25">
        <f>IF(H411&lt;&gt;0,SUM(H$2:H411),0)</f>
        <v>-4157920.4123069998</v>
      </c>
      <c r="L411" s="25">
        <f>IF(I411&lt;&gt;0,SUM(I$2:I411),0)</f>
        <v>0</v>
      </c>
      <c r="M411" s="25">
        <f>IF(J411&lt;&gt;0,SUM(J$2:J411),0)</f>
        <v>-4157920.4123069998</v>
      </c>
    </row>
    <row r="412" spans="1:13" x14ac:dyDescent="0.2">
      <c r="A412" s="5" t="s">
        <v>661</v>
      </c>
      <c r="C412" s="5" t="s">
        <v>190</v>
      </c>
      <c r="D412" s="7" t="s">
        <v>16</v>
      </c>
      <c r="E412" s="6" t="s">
        <v>663</v>
      </c>
      <c r="G412" s="25">
        <f t="shared" si="6"/>
        <v>140240</v>
      </c>
      <c r="H412" s="25">
        <f t="array" ref="H412">IF(A412=A411,0,SUM(_xlfn._xlws.FILTER(G412:G432,A412:A432=A412)))</f>
        <v>0</v>
      </c>
      <c r="I412" s="25">
        <f t="array" ref="I412">IFERROR(IF(A412=A411,0,SUM(_xlfn._xlws.FILTER(G412:G432,(A412:A432=A412)*(E412:E432&lt;0)))),0)</f>
        <v>0</v>
      </c>
      <c r="J412" s="25">
        <f t="array" ref="J412">IFERROR(IF(A412=A411,0,SUM(_xlfn._xlws.FILTER(G412:G432,(A412:A432=A412)*(E412:E432&gt;0)))),0)</f>
        <v>0</v>
      </c>
      <c r="K412" s="25">
        <f>IF(H412&lt;&gt;0,SUM(H$2:H412),0)</f>
        <v>0</v>
      </c>
      <c r="L412" s="25">
        <f>IF(I412&lt;&gt;0,SUM(I$2:I412),0)</f>
        <v>0</v>
      </c>
      <c r="M412" s="25">
        <f>IF(J412&lt;&gt;0,SUM(J$2:J412),0)</f>
        <v>0</v>
      </c>
    </row>
    <row r="413" spans="1:13" x14ac:dyDescent="0.2">
      <c r="A413" s="5" t="s">
        <v>661</v>
      </c>
      <c r="C413" s="5" t="s">
        <v>193</v>
      </c>
      <c r="D413" s="7" t="s">
        <v>102</v>
      </c>
      <c r="E413" s="6" t="s">
        <v>664</v>
      </c>
      <c r="G413" s="25">
        <f t="shared" si="6"/>
        <v>32030</v>
      </c>
      <c r="H413" s="25">
        <f t="array" ref="H413">IF(A413=A412,0,SUM(_xlfn._xlws.FILTER(G413:G433,A413:A433=A413)))</f>
        <v>0</v>
      </c>
      <c r="I413" s="25">
        <f t="array" ref="I413">IFERROR(IF(A413=A412,0,SUM(_xlfn._xlws.FILTER(G413:G433,(A413:A433=A413)*(E413:E433&lt;0)))),0)</f>
        <v>0</v>
      </c>
      <c r="J413" s="25">
        <f t="array" ref="J413">IFERROR(IF(A413=A412,0,SUM(_xlfn._xlws.FILTER(G413:G433,(A413:A433=A413)*(E413:E433&gt;0)))),0)</f>
        <v>0</v>
      </c>
      <c r="K413" s="25">
        <f>IF(H413&lt;&gt;0,SUM(H$2:H413),0)</f>
        <v>0</v>
      </c>
      <c r="L413" s="25">
        <f>IF(I413&lt;&gt;0,SUM(I$2:I413),0)</f>
        <v>0</v>
      </c>
      <c r="M413" s="25">
        <f>IF(J413&lt;&gt;0,SUM(J$2:J413),0)</f>
        <v>0</v>
      </c>
    </row>
    <row r="414" spans="1:13" x14ac:dyDescent="0.2">
      <c r="A414" s="5" t="s">
        <v>661</v>
      </c>
      <c r="C414" s="5" t="s">
        <v>25</v>
      </c>
      <c r="D414" s="7" t="s">
        <v>82</v>
      </c>
      <c r="E414" s="6" t="s">
        <v>665</v>
      </c>
      <c r="G414" s="25">
        <f t="shared" si="6"/>
        <v>228629.99999999997</v>
      </c>
      <c r="H414" s="25">
        <f t="array" ref="H414">IF(A414=A413,0,SUM(_xlfn._xlws.FILTER(G414:G434,A414:A434=A414)))</f>
        <v>0</v>
      </c>
      <c r="I414" s="25">
        <f t="array" ref="I414">IFERROR(IF(A414=A413,0,SUM(_xlfn._xlws.FILTER(G414:G434,(A414:A434=A414)*(E414:E434&lt;0)))),0)</f>
        <v>0</v>
      </c>
      <c r="J414" s="25">
        <f t="array" ref="J414">IFERROR(IF(A414=A413,0,SUM(_xlfn._xlws.FILTER(G414:G434,(A414:A434=A414)*(E414:E434&gt;0)))),0)</f>
        <v>0</v>
      </c>
      <c r="K414" s="25">
        <f>IF(H414&lt;&gt;0,SUM(H$2:H414),0)</f>
        <v>0</v>
      </c>
      <c r="L414" s="25">
        <f>IF(I414&lt;&gt;0,SUM(I$2:I414),0)</f>
        <v>0</v>
      </c>
      <c r="M414" s="25">
        <f>IF(J414&lt;&gt;0,SUM(J$2:J414),0)</f>
        <v>0</v>
      </c>
    </row>
    <row r="415" spans="1:13" x14ac:dyDescent="0.2">
      <c r="A415" s="5" t="s">
        <v>661</v>
      </c>
      <c r="C415" s="5" t="s">
        <v>185</v>
      </c>
      <c r="D415" s="7" t="s">
        <v>16</v>
      </c>
      <c r="E415" s="6" t="s">
        <v>666</v>
      </c>
      <c r="G415" s="25">
        <f t="shared" si="6"/>
        <v>84100</v>
      </c>
      <c r="H415" s="25">
        <f t="array" ref="H415">IF(A415=A414,0,SUM(_xlfn._xlws.FILTER(G415:G435,A415:A435=A415)))</f>
        <v>0</v>
      </c>
      <c r="I415" s="25">
        <f t="array" ref="I415">IFERROR(IF(A415=A414,0,SUM(_xlfn._xlws.FILTER(G415:G435,(A415:A435=A415)*(E415:E435&lt;0)))),0)</f>
        <v>0</v>
      </c>
      <c r="J415" s="25">
        <f t="array" ref="J415">IFERROR(IF(A415=A414,0,SUM(_xlfn._xlws.FILTER(G415:G435,(A415:A435=A415)*(E415:E435&gt;0)))),0)</f>
        <v>0</v>
      </c>
      <c r="K415" s="25">
        <f>IF(H415&lt;&gt;0,SUM(H$2:H415),0)</f>
        <v>0</v>
      </c>
      <c r="L415" s="25">
        <f>IF(I415&lt;&gt;0,SUM(I$2:I415),0)</f>
        <v>0</v>
      </c>
      <c r="M415" s="25">
        <f>IF(J415&lt;&gt;0,SUM(J$2:J415),0)</f>
        <v>0</v>
      </c>
    </row>
    <row r="416" spans="1:13" x14ac:dyDescent="0.2">
      <c r="A416" s="1" t="s">
        <v>667</v>
      </c>
      <c r="C416" s="2" t="s">
        <v>185</v>
      </c>
      <c r="D416" s="3" t="s">
        <v>102</v>
      </c>
      <c r="E416" s="16" t="s">
        <v>668</v>
      </c>
      <c r="G416" s="25">
        <f t="shared" si="6"/>
        <v>41420</v>
      </c>
      <c r="H416" s="25">
        <f t="array" ref="H416">IF(A416=A415,0,SUM(_xlfn._xlws.FILTER(G416:G436,A416:A436=A416)))</f>
        <v>384380</v>
      </c>
      <c r="I416" s="25">
        <f t="array" ref="I416">IFERROR(IF(A416=A415,0,SUM(_xlfn._xlws.FILTER(G416:G436,(A416:A436=A416)*(E416:E436&lt;0)))),0)</f>
        <v>0</v>
      </c>
      <c r="J416" s="25">
        <f t="array" ref="J416">IFERROR(IF(A416=A415,0,SUM(_xlfn._xlws.FILTER(G416:G436,(A416:A436=A416)*(E416:E436&gt;0)))),0)</f>
        <v>384380</v>
      </c>
      <c r="K416" s="25">
        <f>IF(H416&lt;&gt;0,SUM(H$2:H416),0)</f>
        <v>-3773540.4123069998</v>
      </c>
      <c r="L416" s="25">
        <f>IF(I416&lt;&gt;0,SUM(I$2:I416),0)</f>
        <v>0</v>
      </c>
      <c r="M416" s="25">
        <f>IF(J416&lt;&gt;0,SUM(J$2:J416),0)</f>
        <v>-3773540.4123069998</v>
      </c>
    </row>
    <row r="417" spans="1:13" x14ac:dyDescent="0.2">
      <c r="A417" s="1" t="s">
        <v>667</v>
      </c>
      <c r="C417" s="2" t="s">
        <v>25</v>
      </c>
      <c r="D417" s="3" t="s">
        <v>102</v>
      </c>
      <c r="E417" s="16" t="s">
        <v>669</v>
      </c>
      <c r="G417" s="25">
        <f t="shared" si="6"/>
        <v>75420</v>
      </c>
      <c r="H417" s="25">
        <f t="array" ref="H417">IF(A417=A416,0,SUM(_xlfn._xlws.FILTER(G417:G437,A417:A437=A417)))</f>
        <v>0</v>
      </c>
      <c r="I417" s="25">
        <f t="array" ref="I417">IFERROR(IF(A417=A416,0,SUM(_xlfn._xlws.FILTER(G417:G437,(A417:A437=A417)*(E417:E437&lt;0)))),0)</f>
        <v>0</v>
      </c>
      <c r="J417" s="25">
        <f t="array" ref="J417">IFERROR(IF(A417=A416,0,SUM(_xlfn._xlws.FILTER(G417:G437,(A417:A437=A417)*(E417:E437&gt;0)))),0)</f>
        <v>0</v>
      </c>
      <c r="K417" s="25">
        <f>IF(H417&lt;&gt;0,SUM(H$2:H417),0)</f>
        <v>0</v>
      </c>
      <c r="L417" s="25">
        <f>IF(I417&lt;&gt;0,SUM(I$2:I417),0)</f>
        <v>0</v>
      </c>
      <c r="M417" s="25">
        <f>IF(J417&lt;&gt;0,SUM(J$2:J417),0)</f>
        <v>0</v>
      </c>
    </row>
    <row r="418" spans="1:13" x14ac:dyDescent="0.2">
      <c r="A418" s="1" t="s">
        <v>667</v>
      </c>
      <c r="C418" s="2" t="s">
        <v>45</v>
      </c>
      <c r="D418" s="3" t="s">
        <v>16</v>
      </c>
      <c r="E418" s="16" t="s">
        <v>670</v>
      </c>
      <c r="G418" s="25">
        <f t="shared" si="6"/>
        <v>44900</v>
      </c>
      <c r="H418" s="25">
        <f t="array" ref="H418">IF(A418=A417,0,SUM(_xlfn._xlws.FILTER(G418:G438,A418:A438=A418)))</f>
        <v>0</v>
      </c>
      <c r="I418" s="25">
        <f t="array" ref="I418">IFERROR(IF(A418=A417,0,SUM(_xlfn._xlws.FILTER(G418:G438,(A418:A438=A418)*(E418:E438&lt;0)))),0)</f>
        <v>0</v>
      </c>
      <c r="J418" s="25">
        <f t="array" ref="J418">IFERROR(IF(A418=A417,0,SUM(_xlfn._xlws.FILTER(G418:G438,(A418:A438=A418)*(E418:E438&gt;0)))),0)</f>
        <v>0</v>
      </c>
      <c r="K418" s="25">
        <f>IF(H418&lt;&gt;0,SUM(H$2:H418),0)</f>
        <v>0</v>
      </c>
      <c r="L418" s="25">
        <f>IF(I418&lt;&gt;0,SUM(I$2:I418),0)</f>
        <v>0</v>
      </c>
      <c r="M418" s="25">
        <f>IF(J418&lt;&gt;0,SUM(J$2:J418),0)</f>
        <v>0</v>
      </c>
    </row>
    <row r="419" spans="1:13" x14ac:dyDescent="0.2">
      <c r="A419" s="1" t="s">
        <v>667</v>
      </c>
      <c r="C419" s="2" t="s">
        <v>486</v>
      </c>
      <c r="D419" s="3" t="s">
        <v>32</v>
      </c>
      <c r="E419" s="16" t="s">
        <v>671</v>
      </c>
      <c r="G419" s="25">
        <f t="shared" si="6"/>
        <v>52900</v>
      </c>
      <c r="H419" s="25">
        <f t="array" ref="H419">IF(A419=A418,0,SUM(_xlfn._xlws.FILTER(G419:G439,A419:A439=A419)))</f>
        <v>0</v>
      </c>
      <c r="I419" s="25">
        <f t="array" ref="I419">IFERROR(IF(A419=A418,0,SUM(_xlfn._xlws.FILTER(G419:G439,(A419:A439=A419)*(E419:E439&lt;0)))),0)</f>
        <v>0</v>
      </c>
      <c r="J419" s="25">
        <f t="array" ref="J419">IFERROR(IF(A419=A418,0,SUM(_xlfn._xlws.FILTER(G419:G439,(A419:A439=A419)*(E419:E439&gt;0)))),0)</f>
        <v>0</v>
      </c>
      <c r="K419" s="25">
        <f>IF(H419&lt;&gt;0,SUM(H$2:H419),0)</f>
        <v>0</v>
      </c>
      <c r="L419" s="25">
        <f>IF(I419&lt;&gt;0,SUM(I$2:I419),0)</f>
        <v>0</v>
      </c>
      <c r="M419" s="25">
        <f>IF(J419&lt;&gt;0,SUM(J$2:J419),0)</f>
        <v>0</v>
      </c>
    </row>
    <row r="420" spans="1:13" x14ac:dyDescent="0.2">
      <c r="A420" s="5" t="s">
        <v>672</v>
      </c>
      <c r="C420" s="6" t="s">
        <v>49</v>
      </c>
      <c r="D420" s="7" t="s">
        <v>220</v>
      </c>
      <c r="E420" s="15" t="s">
        <v>673</v>
      </c>
      <c r="G420" s="25">
        <f t="shared" si="6"/>
        <v>-13500</v>
      </c>
      <c r="H420" s="25">
        <f t="array" ref="H420">IF(A420=A419,0,SUM(_xlfn._xlws.FILTER(G420:G440,A420:A440=A420)))</f>
        <v>261732</v>
      </c>
      <c r="I420" s="25">
        <f t="array" ref="I420">IFERROR(IF(A420=A419,0,SUM(_xlfn._xlws.FILTER(G420:G440,(A420:A440=A420)*(E420:E440&lt;0)))),0)</f>
        <v>0</v>
      </c>
      <c r="J420" s="25">
        <f t="array" ref="J420">IFERROR(IF(A420=A419,0,SUM(_xlfn._xlws.FILTER(G420:G440,(A420:A440=A420)*(E420:E440&gt;0)))),0)</f>
        <v>261732</v>
      </c>
      <c r="K420" s="25">
        <f>IF(H420&lt;&gt;0,SUM(H$2:H420),0)</f>
        <v>-3511808.4123069998</v>
      </c>
      <c r="L420" s="25">
        <f>IF(I420&lt;&gt;0,SUM(I$2:I420),0)</f>
        <v>0</v>
      </c>
      <c r="M420" s="25">
        <f>IF(J420&lt;&gt;0,SUM(J$2:J420),0)</f>
        <v>-3511808.4123069998</v>
      </c>
    </row>
    <row r="421" spans="1:13" x14ac:dyDescent="0.2">
      <c r="A421" s="5" t="s">
        <v>672</v>
      </c>
      <c r="C421" s="6" t="s">
        <v>125</v>
      </c>
      <c r="D421" s="7" t="s">
        <v>207</v>
      </c>
      <c r="E421" s="15" t="s">
        <v>674</v>
      </c>
      <c r="G421" s="25">
        <f t="shared" si="6"/>
        <v>113946</v>
      </c>
      <c r="H421" s="25">
        <f t="array" ref="H421">IF(A421=A420,0,SUM(_xlfn._xlws.FILTER(G421:G441,A421:A441=A421)))</f>
        <v>0</v>
      </c>
      <c r="I421" s="25">
        <f t="array" ref="I421">IFERROR(IF(A421=A420,0,SUM(_xlfn._xlws.FILTER(G421:G441,(A421:A441=A421)*(E421:E441&lt;0)))),0)</f>
        <v>0</v>
      </c>
      <c r="J421" s="25">
        <f t="array" ref="J421">IFERROR(IF(A421=A420,0,SUM(_xlfn._xlws.FILTER(G421:G441,(A421:A441=A421)*(E421:E441&gt;0)))),0)</f>
        <v>0</v>
      </c>
      <c r="K421" s="25">
        <f>IF(H421&lt;&gt;0,SUM(H$2:H421),0)</f>
        <v>0</v>
      </c>
      <c r="L421" s="25">
        <f>IF(I421&lt;&gt;0,SUM(I$2:I421),0)</f>
        <v>0</v>
      </c>
      <c r="M421" s="25">
        <f>IF(J421&lt;&gt;0,SUM(J$2:J421),0)</f>
        <v>0</v>
      </c>
    </row>
    <row r="422" spans="1:13" x14ac:dyDescent="0.2">
      <c r="A422" s="5" t="s">
        <v>672</v>
      </c>
      <c r="C422" s="6" t="s">
        <v>256</v>
      </c>
      <c r="D422" s="7" t="s">
        <v>16</v>
      </c>
      <c r="E422" s="15" t="s">
        <v>675</v>
      </c>
      <c r="G422" s="25">
        <f t="shared" si="6"/>
        <v>30420</v>
      </c>
      <c r="H422" s="25">
        <f t="array" ref="H422">IF(A422=A421,0,SUM(_xlfn._xlws.FILTER(G422:G442,A422:A442=A422)))</f>
        <v>0</v>
      </c>
      <c r="I422" s="25">
        <f t="array" ref="I422">IFERROR(IF(A422=A421,0,SUM(_xlfn._xlws.FILTER(G422:G442,(A422:A442=A422)*(E422:E442&lt;0)))),0)</f>
        <v>0</v>
      </c>
      <c r="J422" s="25">
        <f t="array" ref="J422">IFERROR(IF(A422=A421,0,SUM(_xlfn._xlws.FILTER(G422:G442,(A422:A442=A422)*(E422:E442&gt;0)))),0)</f>
        <v>0</v>
      </c>
      <c r="K422" s="25">
        <f>IF(H422&lt;&gt;0,SUM(H$2:H422),0)</f>
        <v>0</v>
      </c>
      <c r="L422" s="25">
        <f>IF(I422&lt;&gt;0,SUM(I$2:I422),0)</f>
        <v>0</v>
      </c>
      <c r="M422" s="25">
        <f>IF(J422&lt;&gt;0,SUM(J$2:J422),0)</f>
        <v>0</v>
      </c>
    </row>
    <row r="423" spans="1:13" x14ac:dyDescent="0.2">
      <c r="A423" s="1" t="s">
        <v>676</v>
      </c>
      <c r="C423" s="2" t="s">
        <v>45</v>
      </c>
      <c r="D423" s="3" t="s">
        <v>191</v>
      </c>
      <c r="E423" s="16" t="s">
        <v>677</v>
      </c>
      <c r="G423" s="25">
        <f t="shared" si="6"/>
        <v>34860</v>
      </c>
      <c r="H423" s="25">
        <f t="array" ref="H423">IF(A423=A422,0,SUM(_xlfn._xlws.FILTER(G423:G443,A423:A443=A423)))</f>
        <v>69720</v>
      </c>
      <c r="I423" s="25">
        <f t="array" ref="I423">IFERROR(IF(A423=A422,0,SUM(_xlfn._xlws.FILTER(G423:G443,(A423:A443=A423)*(E423:E443&lt;0)))),0)</f>
        <v>0</v>
      </c>
      <c r="J423" s="25">
        <f t="array" ref="J423">IFERROR(IF(A423=A422,0,SUM(_xlfn._xlws.FILTER(G423:G443,(A423:A443=A423)*(E423:E443&gt;0)))),0)</f>
        <v>69720</v>
      </c>
      <c r="K423" s="25">
        <f>IF(H423&lt;&gt;0,SUM(H$2:H423),0)</f>
        <v>-3442088.4123069998</v>
      </c>
      <c r="L423" s="25">
        <f>IF(I423&lt;&gt;0,SUM(I$2:I423),0)</f>
        <v>0</v>
      </c>
      <c r="M423" s="25">
        <f>IF(J423&lt;&gt;0,SUM(J$2:J423),0)</f>
        <v>-3442088.4123069998</v>
      </c>
    </row>
    <row r="424" spans="1:13" x14ac:dyDescent="0.2">
      <c r="A424" s="1" t="s">
        <v>667</v>
      </c>
      <c r="C424" s="2" t="s">
        <v>185</v>
      </c>
      <c r="D424" s="3" t="s">
        <v>102</v>
      </c>
      <c r="E424" s="16" t="s">
        <v>668</v>
      </c>
      <c r="G424" s="25">
        <f t="shared" si="6"/>
        <v>41420</v>
      </c>
      <c r="H424" s="25">
        <f t="array" ref="H424">IF(A424=A423,0,SUM(_xlfn._xlws.FILTER(G424:G444,A424:A444=A424)))</f>
        <v>169740</v>
      </c>
      <c r="I424" s="25">
        <f t="array" ref="I424">IFERROR(IF(A424=A423,0,SUM(_xlfn._xlws.FILTER(G424:G444,(A424:A444=A424)*(E424:E444&lt;0)))),0)</f>
        <v>0</v>
      </c>
      <c r="J424" s="25">
        <f t="array" ref="J424">IFERROR(IF(A424=A423,0,SUM(_xlfn._xlws.FILTER(G424:G444,(A424:A444=A424)*(E424:E444&gt;0)))),0)</f>
        <v>169740</v>
      </c>
      <c r="K424" s="25">
        <f>IF(H424&lt;&gt;0,SUM(H$2:H424),0)</f>
        <v>-3272348.4123069998</v>
      </c>
      <c r="L424" s="25">
        <f>IF(I424&lt;&gt;0,SUM(I$2:I424),0)</f>
        <v>0</v>
      </c>
      <c r="M424" s="25">
        <f>IF(J424&lt;&gt;0,SUM(J$2:J424),0)</f>
        <v>-3272348.4123069998</v>
      </c>
    </row>
    <row r="425" spans="1:13" x14ac:dyDescent="0.2">
      <c r="A425" s="1" t="s">
        <v>667</v>
      </c>
      <c r="C425" s="2" t="s">
        <v>25</v>
      </c>
      <c r="D425" s="3" t="s">
        <v>102</v>
      </c>
      <c r="E425" s="16" t="s">
        <v>669</v>
      </c>
      <c r="G425" s="25">
        <f t="shared" si="6"/>
        <v>75420</v>
      </c>
      <c r="H425" s="25">
        <f t="array" ref="H425">IF(A425=A424,0,SUM(_xlfn._xlws.FILTER(G425:G445,A425:A445=A425)))</f>
        <v>0</v>
      </c>
      <c r="I425" s="25">
        <f t="array" ref="I425">IFERROR(IF(A425=A424,0,SUM(_xlfn._xlws.FILTER(G425:G445,(A425:A445=A425)*(E425:E445&lt;0)))),0)</f>
        <v>0</v>
      </c>
      <c r="J425" s="25">
        <f t="array" ref="J425">IFERROR(IF(A425=A424,0,SUM(_xlfn._xlws.FILTER(G425:G445,(A425:A445=A425)*(E425:E445&gt;0)))),0)</f>
        <v>0</v>
      </c>
      <c r="K425" s="25">
        <f>IF(H425&lt;&gt;0,SUM(H$2:H425),0)</f>
        <v>0</v>
      </c>
      <c r="L425" s="25">
        <f>IF(I425&lt;&gt;0,SUM(I$2:I425),0)</f>
        <v>0</v>
      </c>
      <c r="M425" s="25">
        <f>IF(J425&lt;&gt;0,SUM(J$2:J425),0)</f>
        <v>0</v>
      </c>
    </row>
    <row r="426" spans="1:13" x14ac:dyDescent="0.2">
      <c r="A426" s="1" t="s">
        <v>667</v>
      </c>
      <c r="C426" s="2" t="s">
        <v>486</v>
      </c>
      <c r="D426" s="3" t="s">
        <v>32</v>
      </c>
      <c r="E426" s="16" t="s">
        <v>671</v>
      </c>
      <c r="G426" s="25">
        <f t="shared" si="6"/>
        <v>52900</v>
      </c>
      <c r="H426" s="25">
        <f t="array" ref="H426">IF(A426=A425,0,SUM(_xlfn._xlws.FILTER(G426:G446,A426:A446=A426)))</f>
        <v>0</v>
      </c>
      <c r="I426" s="25">
        <f t="array" ref="I426">IFERROR(IF(A426=A425,0,SUM(_xlfn._xlws.FILTER(G426:G446,(A426:A446=A426)*(E426:E446&lt;0)))),0)</f>
        <v>0</v>
      </c>
      <c r="J426" s="25">
        <f t="array" ref="J426">IFERROR(IF(A426=A425,0,SUM(_xlfn._xlws.FILTER(G426:G446,(A426:A446=A426)*(E426:E446&gt;0)))),0)</f>
        <v>0</v>
      </c>
      <c r="K426" s="25">
        <f>IF(H426&lt;&gt;0,SUM(H$2:H426),0)</f>
        <v>0</v>
      </c>
      <c r="L426" s="25">
        <f>IF(I426&lt;&gt;0,SUM(I$2:I426),0)</f>
        <v>0</v>
      </c>
      <c r="M426" s="25">
        <f>IF(J426&lt;&gt;0,SUM(J$2:J426),0)</f>
        <v>0</v>
      </c>
    </row>
    <row r="427" spans="1:13" x14ac:dyDescent="0.2">
      <c r="A427" s="5" t="s">
        <v>672</v>
      </c>
      <c r="C427" s="6" t="s">
        <v>49</v>
      </c>
      <c r="D427" s="7" t="s">
        <v>220</v>
      </c>
      <c r="E427" s="15" t="s">
        <v>673</v>
      </c>
      <c r="G427" s="25">
        <f t="shared" si="6"/>
        <v>-13500</v>
      </c>
      <c r="H427" s="25">
        <f t="array" ref="H427">IF(A427=A426,0,SUM(_xlfn._xlws.FILTER(G427:G447,A427:A447=A427)))</f>
        <v>130866</v>
      </c>
      <c r="I427" s="25">
        <f t="array" ref="I427">IFERROR(IF(A427=A426,0,SUM(_xlfn._xlws.FILTER(G427:G447,(A427:A447=A427)*(E427:E447&lt;0)))),0)</f>
        <v>0</v>
      </c>
      <c r="J427" s="25">
        <f t="array" ref="J427">IFERROR(IF(A427=A426,0,SUM(_xlfn._xlws.FILTER(G427:G447,(A427:A447=A427)*(E427:E447&gt;0)))),0)</f>
        <v>130866</v>
      </c>
      <c r="K427" s="25">
        <f>IF(H427&lt;&gt;0,SUM(H$2:H427),0)</f>
        <v>-3141482.4123069998</v>
      </c>
      <c r="L427" s="25">
        <f>IF(I427&lt;&gt;0,SUM(I$2:I427),0)</f>
        <v>0</v>
      </c>
      <c r="M427" s="25">
        <f>IF(J427&lt;&gt;0,SUM(J$2:J427),0)</f>
        <v>-3141482.4123069998</v>
      </c>
    </row>
    <row r="428" spans="1:13" x14ac:dyDescent="0.2">
      <c r="A428" s="5" t="s">
        <v>672</v>
      </c>
      <c r="C428" s="6" t="s">
        <v>125</v>
      </c>
      <c r="D428" s="7" t="s">
        <v>207</v>
      </c>
      <c r="E428" s="15" t="s">
        <v>674</v>
      </c>
      <c r="G428" s="25">
        <f t="shared" si="6"/>
        <v>113946</v>
      </c>
      <c r="H428" s="25">
        <f t="array" ref="H428">IF(A428=A427,0,SUM(_xlfn._xlws.FILTER(G428:G448,A428:A448=A428)))</f>
        <v>0</v>
      </c>
      <c r="I428" s="25">
        <f t="array" ref="I428">IFERROR(IF(A428=A427,0,SUM(_xlfn._xlws.FILTER(G428:G448,(A428:A448=A428)*(E428:E448&lt;0)))),0)</f>
        <v>0</v>
      </c>
      <c r="J428" s="25">
        <f t="array" ref="J428">IFERROR(IF(A428=A427,0,SUM(_xlfn._xlws.FILTER(G428:G448,(A428:A448=A428)*(E428:E448&gt;0)))),0)</f>
        <v>0</v>
      </c>
      <c r="K428" s="25">
        <f>IF(H428&lt;&gt;0,SUM(H$2:H428),0)</f>
        <v>0</v>
      </c>
      <c r="L428" s="25">
        <f>IF(I428&lt;&gt;0,SUM(I$2:I428),0)</f>
        <v>0</v>
      </c>
      <c r="M428" s="25">
        <f>IF(J428&lt;&gt;0,SUM(J$2:J428),0)</f>
        <v>0</v>
      </c>
    </row>
    <row r="429" spans="1:13" x14ac:dyDescent="0.2">
      <c r="A429" s="5" t="s">
        <v>672</v>
      </c>
      <c r="C429" s="6" t="s">
        <v>256</v>
      </c>
      <c r="D429" s="7" t="s">
        <v>16</v>
      </c>
      <c r="E429" s="15" t="s">
        <v>675</v>
      </c>
      <c r="G429" s="25">
        <f t="shared" si="6"/>
        <v>30420</v>
      </c>
      <c r="H429" s="25">
        <f t="array" ref="H429">IF(A429=A428,0,SUM(_xlfn._xlws.FILTER(G429:G449,A429:A449=A429)))</f>
        <v>0</v>
      </c>
      <c r="I429" s="25">
        <f t="array" ref="I429">IFERROR(IF(A429=A428,0,SUM(_xlfn._xlws.FILTER(G429:G449,(A429:A449=A429)*(E429:E449&lt;0)))),0)</f>
        <v>0</v>
      </c>
      <c r="J429" s="25">
        <f t="array" ref="J429">IFERROR(IF(A429=A428,0,SUM(_xlfn._xlws.FILTER(G429:G449,(A429:A449=A429)*(E429:E449&gt;0)))),0)</f>
        <v>0</v>
      </c>
      <c r="K429" s="25">
        <f>IF(H429&lt;&gt;0,SUM(H$2:H429),0)</f>
        <v>0</v>
      </c>
      <c r="L429" s="25">
        <f>IF(I429&lt;&gt;0,SUM(I$2:I429),0)</f>
        <v>0</v>
      </c>
      <c r="M429" s="25">
        <f>IF(J429&lt;&gt;0,SUM(J$2:J429),0)</f>
        <v>0</v>
      </c>
    </row>
    <row r="430" spans="1:13" x14ac:dyDescent="0.2">
      <c r="A430" s="1" t="s">
        <v>676</v>
      </c>
      <c r="C430" s="2" t="s">
        <v>45</v>
      </c>
      <c r="D430" s="3" t="s">
        <v>191</v>
      </c>
      <c r="E430" s="16" t="s">
        <v>677</v>
      </c>
      <c r="G430" s="25">
        <f t="shared" si="6"/>
        <v>34860</v>
      </c>
      <c r="H430" s="25">
        <f t="array" ref="H430">IF(A430=A429,0,SUM(_xlfn._xlws.FILTER(G430:G450,A430:A450=A430)))</f>
        <v>34860</v>
      </c>
      <c r="I430" s="25">
        <f t="array" ref="I430">IFERROR(IF(A430=A429,0,SUM(_xlfn._xlws.FILTER(G430:G450,(A430:A450=A430)*(E430:E450&lt;0)))),0)</f>
        <v>0</v>
      </c>
      <c r="J430" s="25">
        <f t="array" ref="J430">IFERROR(IF(A430=A429,0,SUM(_xlfn._xlws.FILTER(G430:G450,(A430:A450=A430)*(E430:E450&gt;0)))),0)</f>
        <v>34860</v>
      </c>
      <c r="K430" s="25">
        <f>IF(H430&lt;&gt;0,SUM(H$2:H430),0)</f>
        <v>-3106622.4123069998</v>
      </c>
      <c r="L430" s="25">
        <f>IF(I430&lt;&gt;0,SUM(I$2:I430),0)</f>
        <v>0</v>
      </c>
      <c r="M430" s="25">
        <f>IF(J430&lt;&gt;0,SUM(J$2:J430),0)</f>
        <v>-3106622.4123069998</v>
      </c>
    </row>
    <row r="431" spans="1:13" x14ac:dyDescent="0.2">
      <c r="A431" s="5" t="s">
        <v>678</v>
      </c>
      <c r="C431" s="6" t="s">
        <v>41</v>
      </c>
      <c r="D431" s="7" t="s">
        <v>679</v>
      </c>
      <c r="E431" s="15" t="s">
        <v>680</v>
      </c>
      <c r="G431" s="25">
        <f t="shared" si="6"/>
        <v>-44338.8</v>
      </c>
      <c r="H431" s="25">
        <f t="array" ref="H431">IF(A431=A430,0,SUM(_xlfn._xlws.FILTER(G431:G451,A431:A451=A431)))</f>
        <v>-5618.8000000000029</v>
      </c>
      <c r="I431" s="25">
        <f t="array" ref="I431">IFERROR(IF(A431=A430,0,SUM(_xlfn._xlws.FILTER(G431:G451,(A431:A451=A431)*(E431:E451&lt;0)))),0)</f>
        <v>0</v>
      </c>
      <c r="J431" s="25">
        <f t="array" ref="J431">IFERROR(IF(A431=A430,0,SUM(_xlfn._xlws.FILTER(G431:G451,(A431:A451=A431)*(E431:E451&gt;0)))),0)</f>
        <v>-5618.8000000000029</v>
      </c>
      <c r="K431" s="25">
        <f>IF(H431&lt;&gt;0,SUM(H$2:H431),0)</f>
        <v>-3112241.2123069996</v>
      </c>
      <c r="L431" s="25">
        <f>IF(I431&lt;&gt;0,SUM(I$2:I431),0)</f>
        <v>0</v>
      </c>
      <c r="M431" s="25">
        <f>IF(J431&lt;&gt;0,SUM(J$2:J431),0)</f>
        <v>-3112241.2123069996</v>
      </c>
    </row>
    <row r="432" spans="1:13" x14ac:dyDescent="0.2">
      <c r="A432" s="5" t="s">
        <v>678</v>
      </c>
      <c r="C432" s="6" t="s">
        <v>185</v>
      </c>
      <c r="D432" s="7" t="s">
        <v>102</v>
      </c>
      <c r="E432" s="15" t="s">
        <v>681</v>
      </c>
      <c r="G432" s="25">
        <f t="shared" si="6"/>
        <v>38720</v>
      </c>
      <c r="H432" s="25">
        <f t="array" ref="H432">IF(A432=A431,0,SUM(_xlfn._xlws.FILTER(G432:G452,A432:A452=A432)))</f>
        <v>0</v>
      </c>
      <c r="I432" s="25">
        <f t="array" ref="I432">IFERROR(IF(A432=A431,0,SUM(_xlfn._xlws.FILTER(G432:G452,(A432:A452=A432)*(E432:E452&lt;0)))),0)</f>
        <v>0</v>
      </c>
      <c r="J432" s="25">
        <f t="array" ref="J432">IFERROR(IF(A432=A431,0,SUM(_xlfn._xlws.FILTER(G432:G452,(A432:A452=A432)*(E432:E452&gt;0)))),0)</f>
        <v>0</v>
      </c>
      <c r="K432" s="25">
        <f>IF(H432&lt;&gt;0,SUM(H$2:H432),0)</f>
        <v>0</v>
      </c>
      <c r="L432" s="25">
        <f>IF(I432&lt;&gt;0,SUM(I$2:I432),0)</f>
        <v>0</v>
      </c>
      <c r="M432" s="25">
        <f>IF(J432&lt;&gt;0,SUM(J$2:J432),0)</f>
        <v>0</v>
      </c>
    </row>
    <row r="433" spans="1:13" x14ac:dyDescent="0.2">
      <c r="A433" s="1" t="s">
        <v>682</v>
      </c>
      <c r="C433" s="2" t="s">
        <v>288</v>
      </c>
      <c r="D433" s="3" t="s">
        <v>32</v>
      </c>
      <c r="E433" s="16" t="s">
        <v>683</v>
      </c>
      <c r="G433" s="25">
        <f t="shared" si="6"/>
        <v>-74100</v>
      </c>
      <c r="H433" s="25">
        <f t="array" ref="H433">IF(A433=A432,0,SUM(_xlfn._xlws.FILTER(G433:G453,A433:A453=A433)))</f>
        <v>-507190</v>
      </c>
      <c r="I433" s="25">
        <f t="array" ref="I433">IFERROR(IF(A433=A432,0,SUM(_xlfn._xlws.FILTER(G433:G453,(A433:A453=A433)*(E433:E453&lt;0)))),0)</f>
        <v>0</v>
      </c>
      <c r="J433" s="25">
        <f t="array" ref="J433">IFERROR(IF(A433=A432,0,SUM(_xlfn._xlws.FILTER(G433:G453,(A433:A453=A433)*(E433:E453&gt;0)))),0)</f>
        <v>-507190</v>
      </c>
      <c r="K433" s="25">
        <f>IF(H433&lt;&gt;0,SUM(H$2:H433),0)</f>
        <v>-3619431.2123069996</v>
      </c>
      <c r="L433" s="25">
        <f>IF(I433&lt;&gt;0,SUM(I$2:I433),0)</f>
        <v>0</v>
      </c>
      <c r="M433" s="25">
        <f>IF(J433&lt;&gt;0,SUM(J$2:J433),0)</f>
        <v>-3619431.2123069996</v>
      </c>
    </row>
    <row r="434" spans="1:13" x14ac:dyDescent="0.2">
      <c r="A434" s="1" t="s">
        <v>682</v>
      </c>
      <c r="C434" s="2" t="s">
        <v>122</v>
      </c>
      <c r="D434" s="3" t="s">
        <v>50</v>
      </c>
      <c r="E434" s="16" t="s">
        <v>684</v>
      </c>
      <c r="G434" s="25">
        <f t="shared" si="6"/>
        <v>-48090</v>
      </c>
      <c r="H434" s="25">
        <f t="array" ref="H434">IF(A434=A433,0,SUM(_xlfn._xlws.FILTER(G434:G454,A434:A454=A434)))</f>
        <v>0</v>
      </c>
      <c r="I434" s="25">
        <f t="array" ref="I434">IFERROR(IF(A434=A433,0,SUM(_xlfn._xlws.FILTER(G434:G454,(A434:A454=A434)*(E434:E454&lt;0)))),0)</f>
        <v>0</v>
      </c>
      <c r="J434" s="25">
        <f t="array" ref="J434">IFERROR(IF(A434=A433,0,SUM(_xlfn._xlws.FILTER(G434:G454,(A434:A454=A434)*(E434:E454&gt;0)))),0)</f>
        <v>0</v>
      </c>
      <c r="K434" s="25">
        <f>IF(H434&lt;&gt;0,SUM(H$2:H434),0)</f>
        <v>0</v>
      </c>
      <c r="L434" s="25">
        <f>IF(I434&lt;&gt;0,SUM(I$2:I434),0)</f>
        <v>0</v>
      </c>
      <c r="M434" s="25">
        <f>IF(J434&lt;&gt;0,SUM(J$2:J434),0)</f>
        <v>0</v>
      </c>
    </row>
    <row r="435" spans="1:13" x14ac:dyDescent="0.2">
      <c r="A435" s="1" t="s">
        <v>682</v>
      </c>
      <c r="C435" s="2" t="s">
        <v>155</v>
      </c>
      <c r="D435" s="3" t="s">
        <v>32</v>
      </c>
      <c r="E435" s="16" t="s">
        <v>685</v>
      </c>
      <c r="G435" s="25">
        <f t="shared" si="6"/>
        <v>-73900</v>
      </c>
      <c r="H435" s="25">
        <f t="array" ref="H435">IF(A435=A434,0,SUM(_xlfn._xlws.FILTER(G435:G455,A435:A455=A435)))</f>
        <v>0</v>
      </c>
      <c r="I435" s="25">
        <f t="array" ref="I435">IFERROR(IF(A435=A434,0,SUM(_xlfn._xlws.FILTER(G435:G455,(A435:A455=A435)*(E435:E455&lt;0)))),0)</f>
        <v>0</v>
      </c>
      <c r="J435" s="25">
        <f t="array" ref="J435">IFERROR(IF(A435=A434,0,SUM(_xlfn._xlws.FILTER(G435:G455,(A435:A455=A435)*(E435:E455&gt;0)))),0)</f>
        <v>0</v>
      </c>
      <c r="K435" s="25">
        <f>IF(H435&lt;&gt;0,SUM(H$2:H435),0)</f>
        <v>0</v>
      </c>
      <c r="L435" s="25">
        <f>IF(I435&lt;&gt;0,SUM(I$2:I435),0)</f>
        <v>0</v>
      </c>
      <c r="M435" s="25">
        <f>IF(J435&lt;&gt;0,SUM(J$2:J435),0)</f>
        <v>0</v>
      </c>
    </row>
    <row r="436" spans="1:13" x14ac:dyDescent="0.2">
      <c r="A436" s="1" t="s">
        <v>682</v>
      </c>
      <c r="C436" s="2" t="s">
        <v>19</v>
      </c>
      <c r="D436" s="3" t="s">
        <v>53</v>
      </c>
      <c r="E436" s="16" t="s">
        <v>686</v>
      </c>
      <c r="G436" s="25">
        <f t="shared" si="6"/>
        <v>-311100</v>
      </c>
      <c r="H436" s="25">
        <f t="array" ref="H436">IF(A436=A435,0,SUM(_xlfn._xlws.FILTER(G436:G456,A436:A456=A436)))</f>
        <v>0</v>
      </c>
      <c r="I436" s="25">
        <f t="array" ref="I436">IFERROR(IF(A436=A435,0,SUM(_xlfn._xlws.FILTER(G436:G456,(A436:A456=A436)*(E436:E456&lt;0)))),0)</f>
        <v>0</v>
      </c>
      <c r="J436" s="25">
        <f t="array" ref="J436">IFERROR(IF(A436=A435,0,SUM(_xlfn._xlws.FILTER(G436:G456,(A436:A456=A436)*(E436:E456&gt;0)))),0)</f>
        <v>0</v>
      </c>
      <c r="K436" s="25">
        <f>IF(H436&lt;&gt;0,SUM(H$2:H436),0)</f>
        <v>0</v>
      </c>
      <c r="L436" s="25">
        <f>IF(I436&lt;&gt;0,SUM(I$2:I436),0)</f>
        <v>0</v>
      </c>
      <c r="M436" s="25">
        <f>IF(J436&lt;&gt;0,SUM(J$2:J436),0)</f>
        <v>0</v>
      </c>
    </row>
    <row r="437" spans="1:13" x14ac:dyDescent="0.2">
      <c r="A437" s="1" t="s">
        <v>687</v>
      </c>
      <c r="C437" s="2" t="s">
        <v>320</v>
      </c>
      <c r="D437" s="3" t="s">
        <v>688</v>
      </c>
      <c r="E437" s="16" t="s">
        <v>689</v>
      </c>
      <c r="G437" s="25">
        <f t="shared" si="6"/>
        <v>62418</v>
      </c>
      <c r="H437" s="25">
        <f t="array" ref="H437">IF(A437=A436,0,SUM(_xlfn._xlws.FILTER(G437:G457,A437:A457=A437)))</f>
        <v>62418</v>
      </c>
      <c r="I437" s="25">
        <f t="array" ref="I437">IFERROR(IF(A437=A436,0,SUM(_xlfn._xlws.FILTER(G437:G457,(A437:A457=A437)*(E437:E457&lt;0)))),0)</f>
        <v>0</v>
      </c>
      <c r="J437" s="25">
        <f t="array" ref="J437">IFERROR(IF(A437=A436,0,SUM(_xlfn._xlws.FILTER(G437:G457,(A437:A457=A437)*(E437:E457&gt;0)))),0)</f>
        <v>62418</v>
      </c>
      <c r="K437" s="25">
        <f>IF(H437&lt;&gt;0,SUM(H$2:H437),0)</f>
        <v>-3557013.2123069996</v>
      </c>
      <c r="L437" s="25">
        <f>IF(I437&lt;&gt;0,SUM(I$2:I437),0)</f>
        <v>0</v>
      </c>
      <c r="M437" s="25">
        <f>IF(J437&lt;&gt;0,SUM(J$2:J437),0)</f>
        <v>-3557013.2123069996</v>
      </c>
    </row>
    <row r="438" spans="1:13" ht="16" customHeight="1" thickBot="1" x14ac:dyDescent="0.25">
      <c r="A438" s="19" t="s">
        <v>690</v>
      </c>
      <c r="C438" s="20" t="s">
        <v>63</v>
      </c>
      <c r="D438" s="21" t="s">
        <v>691</v>
      </c>
      <c r="E438" s="22" t="s">
        <v>692</v>
      </c>
      <c r="G438" s="25">
        <f t="shared" si="6"/>
        <v>35650.800000000003</v>
      </c>
      <c r="H438" s="25">
        <f t="array" ref="H438">IF(A438=A437,0,SUM(_xlfn._xlws.FILTER(G438:G458,A438:A458=A438)))</f>
        <v>35650.800000000003</v>
      </c>
      <c r="I438" s="25">
        <f t="array" ref="I438">IFERROR(IF(A438=A437,0,SUM(_xlfn._xlws.FILTER(G438:G458,(A438:A458=A438)*(E438:E458&lt;0)))),0)</f>
        <v>0</v>
      </c>
      <c r="J438" s="25">
        <f t="array" ref="J438">IFERROR(IF(A438=A437,0,SUM(_xlfn._xlws.FILTER(G438:G458,(A438:A458=A438)*(E438:E458&gt;0)))),0)</f>
        <v>35650.800000000003</v>
      </c>
      <c r="K438" s="25">
        <f>IF(H438&lt;&gt;0,SUM(H$2:H438),0)</f>
        <v>-3521362.4123069998</v>
      </c>
      <c r="L438" s="25">
        <f>IF(I438&lt;&gt;0,SUM(I$2:I438),0)</f>
        <v>0</v>
      </c>
      <c r="M438" s="25">
        <f>IF(J438&lt;&gt;0,SUM(J$2:J438),0)</f>
        <v>-3521362.4123069998</v>
      </c>
    </row>
    <row r="439" spans="1:13" ht="16" customHeight="1" thickTop="1" x14ac:dyDescent="0.2">
      <c r="A439" s="1" t="s">
        <v>693</v>
      </c>
      <c r="C439" s="2" t="s">
        <v>19</v>
      </c>
      <c r="D439" s="2" t="s">
        <v>20</v>
      </c>
      <c r="E439" s="16" t="s">
        <v>694</v>
      </c>
      <c r="G439" s="25">
        <f t="shared" si="6"/>
        <v>133440</v>
      </c>
      <c r="H439" s="25">
        <f t="array" ref="H439">IF(A439=A438,0,SUM(_xlfn._xlws.FILTER(G439:G459,A439:A459=A439)))</f>
        <v>133440</v>
      </c>
      <c r="I439" s="25">
        <f t="array" ref="I439">IFERROR(IF(A439=A438,0,SUM(_xlfn._xlws.FILTER(G439:G459,(A439:A459=A439)*(E439:E459&lt;0)))),0)</f>
        <v>0</v>
      </c>
      <c r="J439" s="25">
        <f t="array" ref="J439">IFERROR(IF(A439=A438,0,SUM(_xlfn._xlws.FILTER(G439:G459,(A439:A459=A439)*(E439:E459&gt;0)))),0)</f>
        <v>133440</v>
      </c>
      <c r="K439" s="25">
        <f>IF(H439&lt;&gt;0,SUM(H$2:H439),0)</f>
        <v>-3387922.4123069998</v>
      </c>
      <c r="L439" s="25">
        <f>IF(I439&lt;&gt;0,SUM(I$2:I439),0)</f>
        <v>0</v>
      </c>
      <c r="M439" s="25">
        <f>IF(J439&lt;&gt;0,SUM(J$2:J439),0)</f>
        <v>-3387922.4123069998</v>
      </c>
    </row>
    <row r="440" spans="1:13" ht="16" customHeight="1" thickBot="1" x14ac:dyDescent="0.25">
      <c r="A440" s="19" t="s">
        <v>695</v>
      </c>
      <c r="C440" s="20" t="s">
        <v>52</v>
      </c>
      <c r="D440" s="21" t="s">
        <v>110</v>
      </c>
      <c r="E440" s="22" t="s">
        <v>696</v>
      </c>
      <c r="G440" s="25">
        <f t="shared" si="6"/>
        <v>48570</v>
      </c>
      <c r="H440" s="25">
        <f t="array" ref="H440">IF(A440=A439,0,SUM(_xlfn._xlws.FILTER(G440:G460,A440:A460=A440)))</f>
        <v>48570</v>
      </c>
      <c r="I440" s="25">
        <f t="array" ref="I440">IFERROR(IF(A440=A439,0,SUM(_xlfn._xlws.FILTER(G440:G460,(A440:A460=A440)*(E440:E460&lt;0)))),0)</f>
        <v>0</v>
      </c>
      <c r="J440" s="25">
        <f t="array" ref="J440">IFERROR(IF(A440=A439,0,SUM(_xlfn._xlws.FILTER(G440:G460,(A440:A460=A440)*(E440:E460&gt;0)))),0)</f>
        <v>48570</v>
      </c>
      <c r="K440" s="25">
        <f>IF(H440&lt;&gt;0,SUM(H$2:H440),0)</f>
        <v>-3339352.4123069998</v>
      </c>
      <c r="L440" s="25">
        <f>IF(I440&lt;&gt;0,SUM(I$2:I440),0)</f>
        <v>0</v>
      </c>
      <c r="M440" s="25">
        <f>IF(J440&lt;&gt;0,SUM(J$2:J440),0)</f>
        <v>-3339352.4123069998</v>
      </c>
    </row>
    <row r="441" spans="1:13" ht="16" customHeight="1" thickTop="1" x14ac:dyDescent="0.2">
      <c r="A441" s="1" t="s">
        <v>697</v>
      </c>
      <c r="C441" s="2" t="s">
        <v>230</v>
      </c>
      <c r="D441" s="2" t="s">
        <v>698</v>
      </c>
      <c r="E441" s="16" t="s">
        <v>699</v>
      </c>
      <c r="G441" s="25">
        <f t="shared" si="6"/>
        <v>22820</v>
      </c>
      <c r="H441" s="25">
        <f t="array" ref="H441">IF(A441=A440,0,SUM(_xlfn._xlws.FILTER(G441:G461,A441:A461=A441)))</f>
        <v>-344648.9</v>
      </c>
      <c r="I441" s="25">
        <f t="array" ref="I441">IFERROR(IF(A441=A440,0,SUM(_xlfn._xlws.FILTER(G441:G461,(A441:A461=A441)*(E441:E461&lt;0)))),0)</f>
        <v>0</v>
      </c>
      <c r="J441" s="25">
        <f t="array" ref="J441">IFERROR(IF(A441=A440,0,SUM(_xlfn._xlws.FILTER(G441:G461,(A441:A461=A441)*(E441:E461&gt;0)))),0)</f>
        <v>-344648.9</v>
      </c>
      <c r="K441" s="25">
        <f>IF(H441&lt;&gt;0,SUM(H$2:H441),0)</f>
        <v>-3684001.3123069997</v>
      </c>
      <c r="L441" s="25">
        <f>IF(I441&lt;&gt;0,SUM(I$2:I441),0)</f>
        <v>0</v>
      </c>
      <c r="M441" s="25">
        <f>IF(J441&lt;&gt;0,SUM(J$2:J441),0)</f>
        <v>-3684001.3123069997</v>
      </c>
    </row>
    <row r="442" spans="1:13" x14ac:dyDescent="0.2">
      <c r="A442" s="1" t="s">
        <v>697</v>
      </c>
      <c r="C442" s="2" t="s">
        <v>76</v>
      </c>
      <c r="D442" s="2" t="s">
        <v>700</v>
      </c>
      <c r="E442" s="16" t="s">
        <v>701</v>
      </c>
      <c r="G442" s="25">
        <f t="shared" si="6"/>
        <v>9251.1</v>
      </c>
      <c r="H442" s="25">
        <f t="array" ref="H442">IF(A442=A441,0,SUM(_xlfn._xlws.FILTER(G442:G462,A442:A462=A442)))</f>
        <v>0</v>
      </c>
      <c r="I442" s="25">
        <f t="array" ref="I442">IFERROR(IF(A442=A441,0,SUM(_xlfn._xlws.FILTER(G442:G462,(A442:A462=A442)*(E442:E462&lt;0)))),0)</f>
        <v>0</v>
      </c>
      <c r="J442" s="25">
        <f t="array" ref="J442">IFERROR(IF(A442=A441,0,SUM(_xlfn._xlws.FILTER(G442:G462,(A442:A462=A442)*(E442:E462&gt;0)))),0)</f>
        <v>0</v>
      </c>
      <c r="K442" s="25">
        <f>IF(H442&lt;&gt;0,SUM(H$2:H442),0)</f>
        <v>0</v>
      </c>
      <c r="L442" s="25">
        <f>IF(I442&lt;&gt;0,SUM(I$2:I442),0)</f>
        <v>0</v>
      </c>
      <c r="M442" s="25">
        <f>IF(J442&lt;&gt;0,SUM(J$2:J442),0)</f>
        <v>0</v>
      </c>
    </row>
    <row r="443" spans="1:13" x14ac:dyDescent="0.2">
      <c r="A443" s="1" t="s">
        <v>697</v>
      </c>
      <c r="C443" s="2" t="s">
        <v>25</v>
      </c>
      <c r="D443" s="2" t="s">
        <v>702</v>
      </c>
      <c r="E443" s="16" t="s">
        <v>703</v>
      </c>
      <c r="G443" s="25">
        <f t="shared" si="6"/>
        <v>-284000</v>
      </c>
      <c r="H443" s="25">
        <f t="array" ref="H443">IF(A443=A442,0,SUM(_xlfn._xlws.FILTER(G443:G463,A443:A463=A443)))</f>
        <v>0</v>
      </c>
      <c r="I443" s="25">
        <f t="array" ref="I443">IFERROR(IF(A443=A442,0,SUM(_xlfn._xlws.FILTER(G443:G463,(A443:A463=A443)*(E443:E463&lt;0)))),0)</f>
        <v>0</v>
      </c>
      <c r="J443" s="25">
        <f t="array" ref="J443">IFERROR(IF(A443=A442,0,SUM(_xlfn._xlws.FILTER(G443:G463,(A443:A463=A443)*(E443:E463&gt;0)))),0)</f>
        <v>0</v>
      </c>
      <c r="K443" s="25">
        <f>IF(H443&lt;&gt;0,SUM(H$2:H443),0)</f>
        <v>0</v>
      </c>
      <c r="L443" s="25">
        <f>IF(I443&lt;&gt;0,SUM(I$2:I443),0)</f>
        <v>0</v>
      </c>
      <c r="M443" s="25">
        <f>IF(J443&lt;&gt;0,SUM(J$2:J443),0)</f>
        <v>0</v>
      </c>
    </row>
    <row r="444" spans="1:13" x14ac:dyDescent="0.2">
      <c r="A444" s="1" t="s">
        <v>697</v>
      </c>
      <c r="C444" s="2" t="s">
        <v>28</v>
      </c>
      <c r="D444" s="2" t="s">
        <v>23</v>
      </c>
      <c r="E444" s="16" t="s">
        <v>704</v>
      </c>
      <c r="G444" s="25">
        <f t="shared" si="6"/>
        <v>-92720</v>
      </c>
      <c r="H444" s="25">
        <f t="array" ref="H444">IF(A444=A443,0,SUM(_xlfn._xlws.FILTER(G444:G464,A444:A464=A444)))</f>
        <v>0</v>
      </c>
      <c r="I444" s="25">
        <f t="array" ref="I444">IFERROR(IF(A444=A443,0,SUM(_xlfn._xlws.FILTER(G444:G464,(A444:A464=A444)*(E444:E464&lt;0)))),0)</f>
        <v>0</v>
      </c>
      <c r="J444" s="25">
        <f t="array" ref="J444">IFERROR(IF(A444=A443,0,SUM(_xlfn._xlws.FILTER(G444:G464,(A444:A464=A444)*(E444:E464&gt;0)))),0)</f>
        <v>0</v>
      </c>
      <c r="K444" s="25">
        <f>IF(H444&lt;&gt;0,SUM(H$2:H444),0)</f>
        <v>0</v>
      </c>
      <c r="L444" s="25">
        <f>IF(I444&lt;&gt;0,SUM(I$2:I444),0)</f>
        <v>0</v>
      </c>
      <c r="M444" s="25">
        <f>IF(J444&lt;&gt;0,SUM(J$2:J444),0)</f>
        <v>0</v>
      </c>
    </row>
    <row r="445" spans="1:13" x14ac:dyDescent="0.2">
      <c r="A445" s="1" t="s">
        <v>705</v>
      </c>
      <c r="C445" s="2" t="s">
        <v>90</v>
      </c>
      <c r="D445" s="2" t="s">
        <v>100</v>
      </c>
      <c r="E445" s="16" t="s">
        <v>706</v>
      </c>
      <c r="G445" s="25">
        <f t="shared" si="6"/>
        <v>69105</v>
      </c>
      <c r="H445" s="25">
        <f t="array" ref="H445">IF(A445=A444,0,SUM(_xlfn._xlws.FILTER(G445:G465,A445:A465=A445)))</f>
        <v>138168</v>
      </c>
      <c r="I445" s="25">
        <f t="array" ref="I445">IFERROR(IF(A445=A444,0,SUM(_xlfn._xlws.FILTER(G445:G465,(A445:A465=A445)*(E445:E465&lt;0)))),0)</f>
        <v>0</v>
      </c>
      <c r="J445" s="25">
        <f t="array" ref="J445">IFERROR(IF(A445=A444,0,SUM(_xlfn._xlws.FILTER(G445:G465,(A445:A465=A445)*(E445:E465&gt;0)))),0)</f>
        <v>138168</v>
      </c>
      <c r="K445" s="25">
        <f>IF(H445&lt;&gt;0,SUM(H$2:H445),0)</f>
        <v>-3545833.3123069997</v>
      </c>
      <c r="L445" s="25">
        <f>IF(I445&lt;&gt;0,SUM(I$2:I445),0)</f>
        <v>0</v>
      </c>
      <c r="M445" s="25">
        <f>IF(J445&lt;&gt;0,SUM(J$2:J445),0)</f>
        <v>-3545833.3123069997</v>
      </c>
    </row>
    <row r="446" spans="1:13" ht="16" customHeight="1" thickBot="1" x14ac:dyDescent="0.25">
      <c r="A446" s="19" t="s">
        <v>705</v>
      </c>
      <c r="C446" s="20" t="s">
        <v>61</v>
      </c>
      <c r="D446" s="21" t="s">
        <v>100</v>
      </c>
      <c r="E446" s="22" t="s">
        <v>707</v>
      </c>
      <c r="G446" s="25">
        <f t="shared" si="6"/>
        <v>69063</v>
      </c>
      <c r="H446" s="25">
        <f t="array" ref="H446">IF(A446=A445,0,SUM(_xlfn._xlws.FILTER(G446:G466,A446:A466=A446)))</f>
        <v>0</v>
      </c>
      <c r="I446" s="25">
        <f t="array" ref="I446">IFERROR(IF(A446=A445,0,SUM(_xlfn._xlws.FILTER(G446:G466,(A446:A466=A446)*(E446:E466&lt;0)))),0)</f>
        <v>0</v>
      </c>
      <c r="J446" s="25">
        <f t="array" ref="J446">IFERROR(IF(A446=A445,0,SUM(_xlfn._xlws.FILTER(G446:G466,(A446:A466=A446)*(E446:E466&gt;0)))),0)</f>
        <v>0</v>
      </c>
      <c r="K446" s="25">
        <f>IF(H446&lt;&gt;0,SUM(H$2:H446),0)</f>
        <v>0</v>
      </c>
      <c r="L446" s="25">
        <f>IF(I446&lt;&gt;0,SUM(I$2:I446),0)</f>
        <v>0</v>
      </c>
      <c r="M446" s="25">
        <f>IF(J446&lt;&gt;0,SUM(J$2:J446),0)</f>
        <v>0</v>
      </c>
    </row>
    <row r="447" spans="1:13" ht="16" customHeight="1" thickTop="1" x14ac:dyDescent="0.2">
      <c r="A447" s="1" t="s">
        <v>708</v>
      </c>
      <c r="C447" s="2" t="s">
        <v>155</v>
      </c>
      <c r="D447" s="2" t="s">
        <v>709</v>
      </c>
      <c r="E447" s="16" t="s">
        <v>710</v>
      </c>
      <c r="G447" s="25">
        <f t="shared" si="6"/>
        <v>58237.5</v>
      </c>
      <c r="H447" s="25">
        <f t="array" ref="H447">IF(A447=A446,0,SUM(_xlfn._xlws.FILTER(G447:G467,A447:A467=A447)))</f>
        <v>216757.5</v>
      </c>
      <c r="I447" s="25">
        <f t="array" ref="I447">IFERROR(IF(A447=A446,0,SUM(_xlfn._xlws.FILTER(G447:G467,(A447:A467=A447)*(E447:E467&lt;0)))),0)</f>
        <v>0</v>
      </c>
      <c r="J447" s="25">
        <f t="array" ref="J447">IFERROR(IF(A447=A446,0,SUM(_xlfn._xlws.FILTER(G447:G467,(A447:A467=A447)*(E447:E467&gt;0)))),0)</f>
        <v>216757.5</v>
      </c>
      <c r="K447" s="25">
        <f>IF(H447&lt;&gt;0,SUM(H$2:H447),0)</f>
        <v>-3329075.8123069997</v>
      </c>
      <c r="L447" s="25">
        <f>IF(I447&lt;&gt;0,SUM(I$2:I447),0)</f>
        <v>0</v>
      </c>
      <c r="M447" s="25">
        <f>IF(J447&lt;&gt;0,SUM(J$2:J447),0)</f>
        <v>-3329075.8123069997</v>
      </c>
    </row>
    <row r="448" spans="1:13" x14ac:dyDescent="0.2">
      <c r="A448" s="1" t="s">
        <v>708</v>
      </c>
      <c r="C448" s="2" t="s">
        <v>190</v>
      </c>
      <c r="D448" s="2" t="s">
        <v>698</v>
      </c>
      <c r="E448" s="16" t="s">
        <v>711</v>
      </c>
      <c r="G448" s="25">
        <f t="shared" si="6"/>
        <v>158520</v>
      </c>
      <c r="H448" s="25">
        <f t="array" ref="H448">IF(A448=A447,0,SUM(_xlfn._xlws.FILTER(G448:G468,A448:A468=A448)))</f>
        <v>0</v>
      </c>
      <c r="I448" s="25">
        <f t="array" ref="I448">IFERROR(IF(A448=A447,0,SUM(_xlfn._xlws.FILTER(G448:G468,(A448:A468=A448)*(E448:E468&lt;0)))),0)</f>
        <v>0</v>
      </c>
      <c r="J448" s="25">
        <f t="array" ref="J448">IFERROR(IF(A448=A447,0,SUM(_xlfn._xlws.FILTER(G448:G468,(A448:A468=A448)*(E448:E468&gt;0)))),0)</f>
        <v>0</v>
      </c>
      <c r="K448" s="25">
        <f>IF(H448&lt;&gt;0,SUM(H$2:H448),0)</f>
        <v>0</v>
      </c>
      <c r="L448" s="25">
        <f>IF(I448&lt;&gt;0,SUM(I$2:I448),0)</f>
        <v>0</v>
      </c>
      <c r="M448" s="25">
        <f>IF(J448&lt;&gt;0,SUM(J$2:J448),0)</f>
        <v>0</v>
      </c>
    </row>
    <row r="449" spans="1:13" ht="16" customHeight="1" thickBot="1" x14ac:dyDescent="0.25">
      <c r="A449" s="19" t="s">
        <v>712</v>
      </c>
      <c r="C449" s="20" t="s">
        <v>288</v>
      </c>
      <c r="D449" s="21" t="s">
        <v>32</v>
      </c>
      <c r="E449" s="22" t="s">
        <v>713</v>
      </c>
      <c r="G449" s="25">
        <f t="shared" si="6"/>
        <v>78150</v>
      </c>
      <c r="H449" s="25">
        <f t="array" ref="H449">IF(A449=A448,0,SUM(_xlfn._xlws.FILTER(G449:G469,A449:A469=A449)))</f>
        <v>224336</v>
      </c>
      <c r="I449" s="25">
        <f t="array" ref="I449">IFERROR(IF(A449=A448,0,SUM(_xlfn._xlws.FILTER(G449:G469,(A449:A469=A449)*(E449:E469&lt;0)))),0)</f>
        <v>0</v>
      </c>
      <c r="J449" s="25">
        <f t="array" ref="J449">IFERROR(IF(A449=A448,0,SUM(_xlfn._xlws.FILTER(G449:G469,(A449:A469=A449)*(E449:E469&gt;0)))),0)</f>
        <v>224336</v>
      </c>
      <c r="K449" s="25">
        <f>IF(H449&lt;&gt;0,SUM(H$2:H449),0)</f>
        <v>-3104739.8123069997</v>
      </c>
      <c r="L449" s="25">
        <f>IF(I449&lt;&gt;0,SUM(I$2:I449),0)</f>
        <v>0</v>
      </c>
      <c r="M449" s="25">
        <f>IF(J449&lt;&gt;0,SUM(J$2:J449),0)</f>
        <v>-3104739.8123069997</v>
      </c>
    </row>
    <row r="450" spans="1:13" ht="16" customHeight="1" thickTop="1" thickBot="1" x14ac:dyDescent="0.25">
      <c r="A450" s="19" t="s">
        <v>712</v>
      </c>
      <c r="C450" s="20" t="s">
        <v>155</v>
      </c>
      <c r="D450" s="21" t="s">
        <v>236</v>
      </c>
      <c r="E450" s="22" t="s">
        <v>714</v>
      </c>
      <c r="G450" s="25">
        <f t="shared" ref="G450:G513" si="7">D450*E450*IF(OR(C450="IAG",C450="EZJ",C450="AET"),0.01,1)</f>
        <v>39500</v>
      </c>
      <c r="H450" s="25">
        <f t="array" ref="H450">IF(A450=A449,0,SUM(_xlfn._xlws.FILTER(G450:G470,A450:A470=A450)))</f>
        <v>0</v>
      </c>
      <c r="I450" s="25">
        <f t="array" ref="I450">IFERROR(IF(A450=A449,0,SUM(_xlfn._xlws.FILTER(G450:G470,(A450:A470=A450)*(E450:E470&lt;0)))),0)</f>
        <v>0</v>
      </c>
      <c r="J450" s="25">
        <f t="array" ref="J450">IFERROR(IF(A450=A449,0,SUM(_xlfn._xlws.FILTER(G450:G470,(A450:A470=A450)*(E450:E470&gt;0)))),0)</f>
        <v>0</v>
      </c>
      <c r="K450" s="25">
        <f>IF(H450&lt;&gt;0,SUM(H$2:H450),0)</f>
        <v>0</v>
      </c>
      <c r="L450" s="25">
        <f>IF(I450&lt;&gt;0,SUM(I$2:I450),0)</f>
        <v>0</v>
      </c>
      <c r="M450" s="25">
        <f>IF(J450&lt;&gt;0,SUM(J$2:J450),0)</f>
        <v>0</v>
      </c>
    </row>
    <row r="451" spans="1:13" ht="16" customHeight="1" thickTop="1" thickBot="1" x14ac:dyDescent="0.25">
      <c r="A451" s="19" t="s">
        <v>712</v>
      </c>
      <c r="C451" s="20" t="s">
        <v>19</v>
      </c>
      <c r="D451" s="21" t="s">
        <v>100</v>
      </c>
      <c r="E451" s="22" t="s">
        <v>715</v>
      </c>
      <c r="G451" s="25">
        <f t="shared" si="7"/>
        <v>218520</v>
      </c>
      <c r="H451" s="25">
        <f t="array" ref="H451">IF(A451=A450,0,SUM(_xlfn._xlws.FILTER(G451:G471,A451:A471=A451)))</f>
        <v>0</v>
      </c>
      <c r="I451" s="25">
        <f t="array" ref="I451">IFERROR(IF(A451=A450,0,SUM(_xlfn._xlws.FILTER(G451:G471,(A451:A471=A451)*(E451:E471&lt;0)))),0)</f>
        <v>0</v>
      </c>
      <c r="J451" s="25">
        <f t="array" ref="J451">IFERROR(IF(A451=A450,0,SUM(_xlfn._xlws.FILTER(G451:G471,(A451:A471=A451)*(E451:E471&gt;0)))),0)</f>
        <v>0</v>
      </c>
      <c r="K451" s="25">
        <f>IF(H451&lt;&gt;0,SUM(H$2:H451),0)</f>
        <v>0</v>
      </c>
      <c r="L451" s="25">
        <f>IF(I451&lt;&gt;0,SUM(I$2:I451),0)</f>
        <v>0</v>
      </c>
      <c r="M451" s="25">
        <f>IF(J451&lt;&gt;0,SUM(J$2:J451),0)</f>
        <v>0</v>
      </c>
    </row>
    <row r="452" spans="1:13" ht="16" customHeight="1" thickTop="1" thickBot="1" x14ac:dyDescent="0.25">
      <c r="A452" s="19" t="s">
        <v>712</v>
      </c>
      <c r="C452" s="20" t="s">
        <v>125</v>
      </c>
      <c r="D452" s="21" t="s">
        <v>207</v>
      </c>
      <c r="E452" s="22" t="s">
        <v>716</v>
      </c>
      <c r="G452" s="25">
        <f t="shared" si="7"/>
        <v>-111833.99999999999</v>
      </c>
      <c r="H452" s="25">
        <f t="array" ref="H452">IF(A452=A451,0,SUM(_xlfn._xlws.FILTER(G452:G472,A452:A472=A452)))</f>
        <v>0</v>
      </c>
      <c r="I452" s="25">
        <f t="array" ref="I452">IFERROR(IF(A452=A451,0,SUM(_xlfn._xlws.FILTER(G452:G472,(A452:A472=A452)*(E452:E472&lt;0)))),0)</f>
        <v>0</v>
      </c>
      <c r="J452" s="25">
        <f t="array" ref="J452">IFERROR(IF(A452=A451,0,SUM(_xlfn._xlws.FILTER(G452:G472,(A452:A472=A452)*(E452:E472&gt;0)))),0)</f>
        <v>0</v>
      </c>
      <c r="K452" s="25">
        <f>IF(H452&lt;&gt;0,SUM(H$2:H452),0)</f>
        <v>0</v>
      </c>
      <c r="L452" s="25">
        <f>IF(I452&lt;&gt;0,SUM(I$2:I452),0)</f>
        <v>0</v>
      </c>
      <c r="M452" s="25">
        <f>IF(J452&lt;&gt;0,SUM(J$2:J452),0)</f>
        <v>0</v>
      </c>
    </row>
    <row r="453" spans="1:13" ht="16" customHeight="1" thickTop="1" x14ac:dyDescent="0.2">
      <c r="A453" s="1" t="s">
        <v>717</v>
      </c>
      <c r="C453" s="2" t="s">
        <v>45</v>
      </c>
      <c r="D453" s="2" t="s">
        <v>698</v>
      </c>
      <c r="E453" s="16" t="s">
        <v>718</v>
      </c>
      <c r="G453" s="25">
        <f t="shared" si="7"/>
        <v>48920</v>
      </c>
      <c r="H453" s="25">
        <f t="array" ref="H453">IF(A453=A452,0,SUM(_xlfn._xlws.FILTER(G453:G473,A453:A473=A453)))</f>
        <v>90770</v>
      </c>
      <c r="I453" s="25">
        <f t="array" ref="I453">IFERROR(IF(A453=A452,0,SUM(_xlfn._xlws.FILTER(G453:G473,(A453:A473=A453)*(E453:E473&lt;0)))),0)</f>
        <v>0</v>
      </c>
      <c r="J453" s="25">
        <f t="array" ref="J453">IFERROR(IF(A453=A452,0,SUM(_xlfn._xlws.FILTER(G453:G473,(A453:A473=A453)*(E453:E473&gt;0)))),0)</f>
        <v>90770</v>
      </c>
      <c r="K453" s="25">
        <f>IF(H453&lt;&gt;0,SUM(H$2:H453),0)</f>
        <v>-3013969.8123069997</v>
      </c>
      <c r="L453" s="25">
        <f>IF(I453&lt;&gt;0,SUM(I$2:I453),0)</f>
        <v>0</v>
      </c>
      <c r="M453" s="25">
        <f>IF(J453&lt;&gt;0,SUM(J$2:J453),0)</f>
        <v>-3013969.8123069997</v>
      </c>
    </row>
    <row r="454" spans="1:13" x14ac:dyDescent="0.2">
      <c r="A454" s="1" t="s">
        <v>717</v>
      </c>
      <c r="C454" s="2" t="s">
        <v>43</v>
      </c>
      <c r="D454" s="2" t="s">
        <v>719</v>
      </c>
      <c r="E454" s="16" t="s">
        <v>720</v>
      </c>
      <c r="G454" s="25">
        <f t="shared" si="7"/>
        <v>5560</v>
      </c>
      <c r="H454" s="25">
        <f t="array" ref="H454">IF(A454=A453,0,SUM(_xlfn._xlws.FILTER(G454:G474,A454:A474=A454)))</f>
        <v>0</v>
      </c>
      <c r="I454" s="25">
        <f t="array" ref="I454">IFERROR(IF(A454=A453,0,SUM(_xlfn._xlws.FILTER(G454:G474,(A454:A474=A454)*(E454:E474&lt;0)))),0)</f>
        <v>0</v>
      </c>
      <c r="J454" s="25">
        <f t="array" ref="J454">IFERROR(IF(A454=A453,0,SUM(_xlfn._xlws.FILTER(G454:G474,(A454:A474=A454)*(E454:E474&gt;0)))),0)</f>
        <v>0</v>
      </c>
      <c r="K454" s="25">
        <f>IF(H454&lt;&gt;0,SUM(H$2:H454),0)</f>
        <v>0</v>
      </c>
      <c r="L454" s="25">
        <f>IF(I454&lt;&gt;0,SUM(I$2:I454),0)</f>
        <v>0</v>
      </c>
      <c r="M454" s="25">
        <f>IF(J454&lt;&gt;0,SUM(J$2:J454),0)</f>
        <v>0</v>
      </c>
    </row>
    <row r="455" spans="1:13" x14ac:dyDescent="0.2">
      <c r="A455" s="1" t="s">
        <v>717</v>
      </c>
      <c r="C455" s="2" t="s">
        <v>193</v>
      </c>
      <c r="D455" s="2" t="s">
        <v>719</v>
      </c>
      <c r="E455" s="16" t="s">
        <v>721</v>
      </c>
      <c r="G455" s="25">
        <f t="shared" si="7"/>
        <v>36290</v>
      </c>
      <c r="H455" s="25">
        <f t="array" ref="H455">IF(A455=A454,0,SUM(_xlfn._xlws.FILTER(G455:G475,A455:A475=A455)))</f>
        <v>0</v>
      </c>
      <c r="I455" s="25">
        <f t="array" ref="I455">IFERROR(IF(A455=A454,0,SUM(_xlfn._xlws.FILTER(G455:G475,(A455:A475=A455)*(E455:E475&lt;0)))),0)</f>
        <v>0</v>
      </c>
      <c r="J455" s="25">
        <f t="array" ref="J455">IFERROR(IF(A455=A454,0,SUM(_xlfn._xlws.FILTER(G455:G475,(A455:A475=A455)*(E455:E475&gt;0)))),0)</f>
        <v>0</v>
      </c>
      <c r="K455" s="25">
        <f>IF(H455&lt;&gt;0,SUM(H$2:H455),0)</f>
        <v>0</v>
      </c>
      <c r="L455" s="25">
        <f>IF(I455&lt;&gt;0,SUM(I$2:I455),0)</f>
        <v>0</v>
      </c>
      <c r="M455" s="25">
        <f>IF(J455&lt;&gt;0,SUM(J$2:J455),0)</f>
        <v>0</v>
      </c>
    </row>
    <row r="456" spans="1:13" ht="16" customHeight="1" thickBot="1" x14ac:dyDescent="0.25">
      <c r="A456" s="19" t="s">
        <v>722</v>
      </c>
      <c r="C456" s="20" t="s">
        <v>320</v>
      </c>
      <c r="D456" s="21" t="s">
        <v>102</v>
      </c>
      <c r="E456" s="22" t="s">
        <v>723</v>
      </c>
      <c r="G456" s="25">
        <f t="shared" si="7"/>
        <v>-60100</v>
      </c>
      <c r="H456" s="25">
        <f t="array" ref="H456">IF(A456=A455,0,SUM(_xlfn._xlws.FILTER(G456:G476,A456:A476=A456)))</f>
        <v>-60100</v>
      </c>
      <c r="I456" s="25">
        <f t="array" ref="I456">IFERROR(IF(A456=A455,0,SUM(_xlfn._xlws.FILTER(G456:G476,(A456:A476=A456)*(E456:E476&lt;0)))),0)</f>
        <v>0</v>
      </c>
      <c r="J456" s="25">
        <f t="array" ref="J456">IFERROR(IF(A456=A455,0,SUM(_xlfn._xlws.FILTER(G456:G476,(A456:A476=A456)*(E456:E476&gt;0)))),0)</f>
        <v>-60100</v>
      </c>
      <c r="K456" s="25">
        <f>IF(H456&lt;&gt;0,SUM(H$2:H456),0)</f>
        <v>-3074069.8123069997</v>
      </c>
      <c r="L456" s="25">
        <f>IF(I456&lt;&gt;0,SUM(I$2:I456),0)</f>
        <v>0</v>
      </c>
      <c r="M456" s="25">
        <f>IF(J456&lt;&gt;0,SUM(J$2:J456),0)</f>
        <v>-3074069.8123069997</v>
      </c>
    </row>
    <row r="457" spans="1:13" ht="16" customHeight="1" thickTop="1" x14ac:dyDescent="0.2">
      <c r="A457" s="1" t="s">
        <v>724</v>
      </c>
      <c r="C457" s="2" t="s">
        <v>19</v>
      </c>
      <c r="D457" s="2" t="s">
        <v>56</v>
      </c>
      <c r="E457" s="16" t="s">
        <v>725</v>
      </c>
      <c r="G457" s="25">
        <f t="shared" si="7"/>
        <v>77240</v>
      </c>
      <c r="H457" s="25">
        <f t="array" ref="H457">IF(A457=A456,0,SUM(_xlfn._xlws.FILTER(G457:G477,A457:A477=A457)))</f>
        <v>345830</v>
      </c>
      <c r="I457" s="25">
        <f t="array" ref="I457">IFERROR(IF(A457=A456,0,SUM(_xlfn._xlws.FILTER(G457:G477,(A457:A477=A457)*(E457:E477&lt;0)))),0)</f>
        <v>0</v>
      </c>
      <c r="J457" s="25">
        <f t="array" ref="J457">IFERROR(IF(A457=A456,0,SUM(_xlfn._xlws.FILTER(G457:G477,(A457:A477=A457)*(E457:E477&gt;0)))),0)</f>
        <v>345830</v>
      </c>
      <c r="K457" s="25">
        <f>IF(H457&lt;&gt;0,SUM(H$2:H457),0)</f>
        <v>-2728239.8123069997</v>
      </c>
      <c r="L457" s="25">
        <f>IF(I457&lt;&gt;0,SUM(I$2:I457),0)</f>
        <v>0</v>
      </c>
      <c r="M457" s="25">
        <f>IF(J457&lt;&gt;0,SUM(J$2:J457),0)</f>
        <v>-2728239.8123069997</v>
      </c>
    </row>
    <row r="458" spans="1:13" x14ac:dyDescent="0.2">
      <c r="A458" s="1" t="s">
        <v>724</v>
      </c>
      <c r="C458" s="2" t="s">
        <v>22</v>
      </c>
      <c r="D458" s="2" t="s">
        <v>719</v>
      </c>
      <c r="E458" s="16" t="s">
        <v>726</v>
      </c>
      <c r="G458" s="25">
        <f t="shared" si="7"/>
        <v>268590</v>
      </c>
      <c r="H458" s="25">
        <f t="array" ref="H458">IF(A458=A457,0,SUM(_xlfn._xlws.FILTER(G458:G478,A458:A478=A458)))</f>
        <v>0</v>
      </c>
      <c r="I458" s="25">
        <f t="array" ref="I458">IFERROR(IF(A458=A457,0,SUM(_xlfn._xlws.FILTER(G458:G478,(A458:A478=A458)*(E458:E478&lt;0)))),0)</f>
        <v>0</v>
      </c>
      <c r="J458" s="25">
        <f t="array" ref="J458">IFERROR(IF(A458=A457,0,SUM(_xlfn._xlws.FILTER(G458:G478,(A458:A478=A458)*(E458:E478&gt;0)))),0)</f>
        <v>0</v>
      </c>
      <c r="K458" s="25">
        <f>IF(H458&lt;&gt;0,SUM(H$2:H458),0)</f>
        <v>0</v>
      </c>
      <c r="L458" s="25">
        <f>IF(I458&lt;&gt;0,SUM(I$2:I458),0)</f>
        <v>0</v>
      </c>
      <c r="M458" s="25">
        <f>IF(J458&lt;&gt;0,SUM(J$2:J458),0)</f>
        <v>0</v>
      </c>
    </row>
    <row r="459" spans="1:13" x14ac:dyDescent="0.2">
      <c r="A459" s="5" t="s">
        <v>727</v>
      </c>
      <c r="C459" s="6" t="s">
        <v>256</v>
      </c>
      <c r="D459" s="7" t="s">
        <v>728</v>
      </c>
      <c r="E459" s="8" t="s">
        <v>729</v>
      </c>
      <c r="G459" s="25">
        <f t="shared" si="7"/>
        <v>-149050.79999999999</v>
      </c>
      <c r="H459" s="25">
        <f t="array" ref="H459">IF(A459=A458,0,SUM(_xlfn._xlws.FILTER(G459:G479,A459:A479=A459)))</f>
        <v>-433367.5</v>
      </c>
      <c r="I459" s="25">
        <f t="array" ref="I459">IFERROR(IF(A459=A458,0,SUM(_xlfn._xlws.FILTER(G459:G479,(A459:A479=A459)*(E459:E479&lt;0)))),0)</f>
        <v>0</v>
      </c>
      <c r="J459" s="25">
        <f t="array" ref="J459">IFERROR(IF(A459=A458,0,SUM(_xlfn._xlws.FILTER(G459:G479,(A459:A479=A459)*(E459:E479&gt;0)))),0)</f>
        <v>-433367.5</v>
      </c>
      <c r="K459" s="25">
        <f>IF(H459&lt;&gt;0,SUM(H$2:H459),0)</f>
        <v>-3161607.3123069997</v>
      </c>
      <c r="L459" s="25">
        <f>IF(I459&lt;&gt;0,SUM(I$2:I459),0)</f>
        <v>0</v>
      </c>
      <c r="M459" s="25">
        <f>IF(J459&lt;&gt;0,SUM(J$2:J459),0)</f>
        <v>-3161607.3123069997</v>
      </c>
    </row>
    <row r="460" spans="1:13" x14ac:dyDescent="0.2">
      <c r="A460" s="5" t="s">
        <v>727</v>
      </c>
      <c r="C460" s="6" t="s">
        <v>256</v>
      </c>
      <c r="D460" s="7" t="s">
        <v>730</v>
      </c>
      <c r="E460" s="8" t="s">
        <v>731</v>
      </c>
      <c r="G460" s="25">
        <f t="shared" si="7"/>
        <v>-148848.69999999998</v>
      </c>
      <c r="H460" s="25">
        <f t="array" ref="H460">IF(A460=A459,0,SUM(_xlfn._xlws.FILTER(G460:G480,A460:A480=A460)))</f>
        <v>0</v>
      </c>
      <c r="I460" s="25">
        <f t="array" ref="I460">IFERROR(IF(A460=A459,0,SUM(_xlfn._xlws.FILTER(G460:G480,(A460:A480=A460)*(E460:E480&lt;0)))),0)</f>
        <v>0</v>
      </c>
      <c r="J460" s="25">
        <f t="array" ref="J460">IFERROR(IF(A460=A459,0,SUM(_xlfn._xlws.FILTER(G460:G480,(A460:A480=A460)*(E460:E480&gt;0)))),0)</f>
        <v>0</v>
      </c>
      <c r="K460" s="25">
        <f>IF(H460&lt;&gt;0,SUM(H$2:H460),0)</f>
        <v>0</v>
      </c>
      <c r="L460" s="25">
        <f>IF(I460&lt;&gt;0,SUM(I$2:I460),0)</f>
        <v>0</v>
      </c>
      <c r="M460" s="25">
        <f>IF(J460&lt;&gt;0,SUM(J$2:J460),0)</f>
        <v>0</v>
      </c>
    </row>
    <row r="461" spans="1:13" x14ac:dyDescent="0.2">
      <c r="A461" s="5" t="s">
        <v>727</v>
      </c>
      <c r="C461" s="6" t="s">
        <v>122</v>
      </c>
      <c r="D461" s="7" t="s">
        <v>120</v>
      </c>
      <c r="E461" s="8" t="s">
        <v>732</v>
      </c>
      <c r="G461" s="25">
        <f t="shared" si="7"/>
        <v>-90202</v>
      </c>
      <c r="H461" s="25">
        <f t="array" ref="H461">IF(A461=A460,0,SUM(_xlfn._xlws.FILTER(G461:G481,A461:A481=A461)))</f>
        <v>0</v>
      </c>
      <c r="I461" s="25">
        <f t="array" ref="I461">IFERROR(IF(A461=A460,0,SUM(_xlfn._xlws.FILTER(G461:G481,(A461:A481=A461)*(E461:E481&lt;0)))),0)</f>
        <v>0</v>
      </c>
      <c r="J461" s="25">
        <f t="array" ref="J461">IFERROR(IF(A461=A460,0,SUM(_xlfn._xlws.FILTER(G461:G481,(A461:A481=A461)*(E461:E481&gt;0)))),0)</f>
        <v>0</v>
      </c>
      <c r="K461" s="25">
        <f>IF(H461&lt;&gt;0,SUM(H$2:H461),0)</f>
        <v>0</v>
      </c>
      <c r="L461" s="25">
        <f>IF(I461&lt;&gt;0,SUM(I$2:I461),0)</f>
        <v>0</v>
      </c>
      <c r="M461" s="25">
        <f>IF(J461&lt;&gt;0,SUM(J$2:J461),0)</f>
        <v>0</v>
      </c>
    </row>
    <row r="462" spans="1:13" x14ac:dyDescent="0.2">
      <c r="A462" s="5" t="s">
        <v>727</v>
      </c>
      <c r="C462" s="6" t="s">
        <v>69</v>
      </c>
      <c r="D462" s="7" t="s">
        <v>26</v>
      </c>
      <c r="E462" s="8" t="s">
        <v>733</v>
      </c>
      <c r="G462" s="25">
        <f t="shared" si="7"/>
        <v>16500</v>
      </c>
      <c r="H462" s="25">
        <f t="array" ref="H462">IF(A462=A461,0,SUM(_xlfn._xlws.FILTER(G462:G482,A462:A482=A462)))</f>
        <v>0</v>
      </c>
      <c r="I462" s="25">
        <f t="array" ref="I462">IFERROR(IF(A462=A461,0,SUM(_xlfn._xlws.FILTER(G462:G482,(A462:A482=A462)*(E462:E482&lt;0)))),0)</f>
        <v>0</v>
      </c>
      <c r="J462" s="25">
        <f t="array" ref="J462">IFERROR(IF(A462=A461,0,SUM(_xlfn._xlws.FILTER(G462:G482,(A462:A482=A462)*(E462:E482&gt;0)))),0)</f>
        <v>0</v>
      </c>
      <c r="K462" s="25">
        <f>IF(H462&lt;&gt;0,SUM(H$2:H462),0)</f>
        <v>0</v>
      </c>
      <c r="L462" s="25">
        <f>IF(I462&lt;&gt;0,SUM(I$2:I462),0)</f>
        <v>0</v>
      </c>
      <c r="M462" s="25">
        <f>IF(J462&lt;&gt;0,SUM(J$2:J462),0)</f>
        <v>0</v>
      </c>
    </row>
    <row r="463" spans="1:13" x14ac:dyDescent="0.2">
      <c r="A463" s="5" t="s">
        <v>727</v>
      </c>
      <c r="C463" s="6" t="s">
        <v>19</v>
      </c>
      <c r="D463" s="7" t="s">
        <v>56</v>
      </c>
      <c r="E463" s="8" t="s">
        <v>734</v>
      </c>
      <c r="G463" s="25">
        <f t="shared" si="7"/>
        <v>79033</v>
      </c>
      <c r="H463" s="25">
        <f t="array" ref="H463">IF(A463=A462,0,SUM(_xlfn._xlws.FILTER(G463:G483,A463:A483=A463)))</f>
        <v>0</v>
      </c>
      <c r="I463" s="25">
        <f t="array" ref="I463">IFERROR(IF(A463=A462,0,SUM(_xlfn._xlws.FILTER(G463:G483,(A463:A483=A463)*(E463:E483&lt;0)))),0)</f>
        <v>0</v>
      </c>
      <c r="J463" s="25">
        <f t="array" ref="J463">IFERROR(IF(A463=A462,0,SUM(_xlfn._xlws.FILTER(G463:G483,(A463:A483=A463)*(E463:E483&gt;0)))),0)</f>
        <v>0</v>
      </c>
      <c r="K463" s="25">
        <f>IF(H463&lt;&gt;0,SUM(H$2:H463),0)</f>
        <v>0</v>
      </c>
      <c r="L463" s="25">
        <f>IF(I463&lt;&gt;0,SUM(I$2:I463),0)</f>
        <v>0</v>
      </c>
      <c r="M463" s="25">
        <f>IF(J463&lt;&gt;0,SUM(J$2:J463),0)</f>
        <v>0</v>
      </c>
    </row>
    <row r="464" spans="1:13" x14ac:dyDescent="0.2">
      <c r="A464" s="5" t="s">
        <v>727</v>
      </c>
      <c r="C464" s="6" t="s">
        <v>735</v>
      </c>
      <c r="D464" s="7" t="s">
        <v>207</v>
      </c>
      <c r="E464" s="8" t="s">
        <v>736</v>
      </c>
      <c r="G464" s="25">
        <f t="shared" si="7"/>
        <v>-46164</v>
      </c>
      <c r="H464" s="25">
        <f t="array" ref="H464">IF(A464=A463,0,SUM(_xlfn._xlws.FILTER(G464:G484,A464:A484=A464)))</f>
        <v>0</v>
      </c>
      <c r="I464" s="25">
        <f t="array" ref="I464">IFERROR(IF(A464=A463,0,SUM(_xlfn._xlws.FILTER(G464:G484,(A464:A484=A464)*(E464:E484&lt;0)))),0)</f>
        <v>0</v>
      </c>
      <c r="J464" s="25">
        <f t="array" ref="J464">IFERROR(IF(A464=A463,0,SUM(_xlfn._xlws.FILTER(G464:G484,(A464:A484=A464)*(E464:E484&gt;0)))),0)</f>
        <v>0</v>
      </c>
      <c r="K464" s="25">
        <f>IF(H464&lt;&gt;0,SUM(H$2:H464),0)</f>
        <v>0</v>
      </c>
      <c r="L464" s="25">
        <f>IF(I464&lt;&gt;0,SUM(I$2:I464),0)</f>
        <v>0</v>
      </c>
      <c r="M464" s="25">
        <f>IF(J464&lt;&gt;0,SUM(J$2:J464),0)</f>
        <v>0</v>
      </c>
    </row>
    <row r="465" spans="1:13" x14ac:dyDescent="0.2">
      <c r="A465" s="5" t="s">
        <v>727</v>
      </c>
      <c r="C465" s="6" t="s">
        <v>55</v>
      </c>
      <c r="D465" s="7" t="s">
        <v>56</v>
      </c>
      <c r="E465" s="8" t="s">
        <v>737</v>
      </c>
      <c r="G465" s="25">
        <f t="shared" si="7"/>
        <v>59267.999999999993</v>
      </c>
      <c r="H465" s="25">
        <f t="array" ref="H465">IF(A465=A464,0,SUM(_xlfn._xlws.FILTER(G465:G485,A465:A485=A465)))</f>
        <v>0</v>
      </c>
      <c r="I465" s="25">
        <f t="array" ref="I465">IFERROR(IF(A465=A464,0,SUM(_xlfn._xlws.FILTER(G465:G485,(A465:A485=A465)*(E465:E485&lt;0)))),0)</f>
        <v>0</v>
      </c>
      <c r="J465" s="25">
        <f t="array" ref="J465">IFERROR(IF(A465=A464,0,SUM(_xlfn._xlws.FILTER(G465:G485,(A465:A485=A465)*(E465:E485&gt;0)))),0)</f>
        <v>0</v>
      </c>
      <c r="K465" s="25">
        <f>IF(H465&lt;&gt;0,SUM(H$2:H465),0)</f>
        <v>0</v>
      </c>
      <c r="L465" s="25">
        <f>IF(I465&lt;&gt;0,SUM(I$2:I465),0)</f>
        <v>0</v>
      </c>
      <c r="M465" s="25">
        <f>IF(J465&lt;&gt;0,SUM(J$2:J465),0)</f>
        <v>0</v>
      </c>
    </row>
    <row r="466" spans="1:13" x14ac:dyDescent="0.2">
      <c r="A466" s="5" t="s">
        <v>727</v>
      </c>
      <c r="C466" s="6" t="s">
        <v>90</v>
      </c>
      <c r="D466" s="7" t="s">
        <v>100</v>
      </c>
      <c r="E466" s="8" t="s">
        <v>738</v>
      </c>
      <c r="G466" s="25">
        <f t="shared" si="7"/>
        <v>73647</v>
      </c>
      <c r="H466" s="25">
        <f t="array" ref="H466">IF(A466=A465,0,SUM(_xlfn._xlws.FILTER(G466:G486,A466:A486=A466)))</f>
        <v>0</v>
      </c>
      <c r="I466" s="25">
        <f t="array" ref="I466">IFERROR(IF(A466=A465,0,SUM(_xlfn._xlws.FILTER(G466:G486,(A466:A486=A466)*(E466:E486&lt;0)))),0)</f>
        <v>0</v>
      </c>
      <c r="J466" s="25">
        <f t="array" ref="J466">IFERROR(IF(A466=A465,0,SUM(_xlfn._xlws.FILTER(G466:G486,(A466:A486=A466)*(E466:E486&gt;0)))),0)</f>
        <v>0</v>
      </c>
      <c r="K466" s="25">
        <f>IF(H466&lt;&gt;0,SUM(H$2:H466),0)</f>
        <v>0</v>
      </c>
      <c r="L466" s="25">
        <f>IF(I466&lt;&gt;0,SUM(I$2:I466),0)</f>
        <v>0</v>
      </c>
      <c r="M466" s="25">
        <f>IF(J466&lt;&gt;0,SUM(J$2:J466),0)</f>
        <v>0</v>
      </c>
    </row>
    <row r="467" spans="1:13" x14ac:dyDescent="0.2">
      <c r="A467" s="5" t="s">
        <v>727</v>
      </c>
      <c r="C467" s="6" t="s">
        <v>259</v>
      </c>
      <c r="D467" s="7" t="s">
        <v>102</v>
      </c>
      <c r="E467" s="8" t="s">
        <v>739</v>
      </c>
      <c r="G467" s="25">
        <f t="shared" si="7"/>
        <v>-227550</v>
      </c>
      <c r="H467" s="25">
        <f t="array" ref="H467">IF(A467=A466,0,SUM(_xlfn._xlws.FILTER(G467:G487,A467:A487=A467)))</f>
        <v>0</v>
      </c>
      <c r="I467" s="25">
        <f t="array" ref="I467">IFERROR(IF(A467=A466,0,SUM(_xlfn._xlws.FILTER(G467:G487,(A467:A487=A467)*(E467:E487&lt;0)))),0)</f>
        <v>0</v>
      </c>
      <c r="J467" s="25">
        <f t="array" ref="J467">IFERROR(IF(A467=A466,0,SUM(_xlfn._xlws.FILTER(G467:G487,(A467:A487=A467)*(E467:E487&gt;0)))),0)</f>
        <v>0</v>
      </c>
      <c r="K467" s="25">
        <f>IF(H467&lt;&gt;0,SUM(H$2:H467),0)</f>
        <v>0</v>
      </c>
      <c r="L467" s="25">
        <f>IF(I467&lt;&gt;0,SUM(I$2:I467),0)</f>
        <v>0</v>
      </c>
      <c r="M467" s="25">
        <f>IF(J467&lt;&gt;0,SUM(J$2:J467),0)</f>
        <v>0</v>
      </c>
    </row>
    <row r="468" spans="1:13" x14ac:dyDescent="0.2">
      <c r="A468" s="1" t="s">
        <v>740</v>
      </c>
      <c r="C468" s="2" t="s">
        <v>19</v>
      </c>
      <c r="D468" s="2" t="s">
        <v>56</v>
      </c>
      <c r="E468" s="16" t="s">
        <v>741</v>
      </c>
      <c r="G468" s="25">
        <f t="shared" si="7"/>
        <v>81420</v>
      </c>
      <c r="H468" s="25">
        <f t="array" ref="H468">IF(A468=A467,0,SUM(_xlfn._xlws.FILTER(G468:G488,A468:A488=A468)))</f>
        <v>54340</v>
      </c>
      <c r="I468" s="25">
        <f t="array" ref="I468">IFERROR(IF(A468=A467,0,SUM(_xlfn._xlws.FILTER(G468:G488,(A468:A488=A468)*(E468:E488&lt;0)))),0)</f>
        <v>0</v>
      </c>
      <c r="J468" s="25">
        <f t="array" ref="J468">IFERROR(IF(A468=A467,0,SUM(_xlfn._xlws.FILTER(G468:G488,(A468:A488=A468)*(E468:E488&gt;0)))),0)</f>
        <v>54340</v>
      </c>
      <c r="K468" s="25">
        <f>IF(H468&lt;&gt;0,SUM(H$2:H468),0)</f>
        <v>-3107267.3123069997</v>
      </c>
      <c r="L468" s="25">
        <f>IF(I468&lt;&gt;0,SUM(I$2:I468),0)</f>
        <v>0</v>
      </c>
      <c r="M468" s="25">
        <f>IF(J468&lt;&gt;0,SUM(J$2:J468),0)</f>
        <v>-3107267.3123069997</v>
      </c>
    </row>
    <row r="469" spans="1:13" x14ac:dyDescent="0.2">
      <c r="A469" s="1" t="s">
        <v>740</v>
      </c>
      <c r="C469" s="2" t="s">
        <v>265</v>
      </c>
      <c r="D469" s="2" t="s">
        <v>719</v>
      </c>
      <c r="E469" s="16" t="s">
        <v>742</v>
      </c>
      <c r="G469" s="25">
        <f t="shared" si="7"/>
        <v>16860</v>
      </c>
      <c r="H469" s="25">
        <f t="array" ref="H469">IF(A469=A468,0,SUM(_xlfn._xlws.FILTER(G469:G489,A469:A489=A469)))</f>
        <v>0</v>
      </c>
      <c r="I469" s="25">
        <f t="array" ref="I469">IFERROR(IF(A469=A468,0,SUM(_xlfn._xlws.FILTER(G469:G489,(A469:A489=A469)*(E469:E489&lt;0)))),0)</f>
        <v>0</v>
      </c>
      <c r="J469" s="25">
        <f t="array" ref="J469">IFERROR(IF(A469=A468,0,SUM(_xlfn._xlws.FILTER(G469:G489,(A469:A489=A469)*(E469:E489&gt;0)))),0)</f>
        <v>0</v>
      </c>
      <c r="K469" s="25">
        <f>IF(H469&lt;&gt;0,SUM(H$2:H469),0)</f>
        <v>0</v>
      </c>
      <c r="L469" s="25">
        <f>IF(I469&lt;&gt;0,SUM(I$2:I469),0)</f>
        <v>0</v>
      </c>
      <c r="M469" s="25">
        <f>IF(J469&lt;&gt;0,SUM(J$2:J469),0)</f>
        <v>0</v>
      </c>
    </row>
    <row r="470" spans="1:13" x14ac:dyDescent="0.2">
      <c r="A470" s="1" t="s">
        <v>740</v>
      </c>
      <c r="C470" s="2" t="s">
        <v>629</v>
      </c>
      <c r="D470" s="2" t="s">
        <v>743</v>
      </c>
      <c r="E470" s="16" t="s">
        <v>744</v>
      </c>
      <c r="G470" s="25">
        <f t="shared" si="7"/>
        <v>-43940</v>
      </c>
      <c r="H470" s="25">
        <f t="array" ref="H470">IF(A470=A469,0,SUM(_xlfn._xlws.FILTER(G470:G490,A470:A490=A470)))</f>
        <v>0</v>
      </c>
      <c r="I470" s="25">
        <f t="array" ref="I470">IFERROR(IF(A470=A469,0,SUM(_xlfn._xlws.FILTER(G470:G490,(A470:A490=A470)*(E470:E490&lt;0)))),0)</f>
        <v>0</v>
      </c>
      <c r="J470" s="25">
        <f t="array" ref="J470">IFERROR(IF(A470=A469,0,SUM(_xlfn._xlws.FILTER(G470:G490,(A470:A490=A470)*(E470:E490&gt;0)))),0)</f>
        <v>0</v>
      </c>
      <c r="K470" s="25">
        <f>IF(H470&lt;&gt;0,SUM(H$2:H470),0)</f>
        <v>0</v>
      </c>
      <c r="L470" s="25">
        <f>IF(I470&lt;&gt;0,SUM(I$2:I470),0)</f>
        <v>0</v>
      </c>
      <c r="M470" s="25">
        <f>IF(J470&lt;&gt;0,SUM(J$2:J470),0)</f>
        <v>0</v>
      </c>
    </row>
    <row r="471" spans="1:13" x14ac:dyDescent="0.2">
      <c r="A471" s="5" t="s">
        <v>745</v>
      </c>
      <c r="C471" s="6" t="s">
        <v>19</v>
      </c>
      <c r="D471" s="7" t="s">
        <v>56</v>
      </c>
      <c r="E471" s="8" t="s">
        <v>746</v>
      </c>
      <c r="G471" s="25">
        <f t="shared" si="7"/>
        <v>82140</v>
      </c>
      <c r="H471" s="25">
        <f t="array" ref="H471">IF(A471=A470,0,SUM(_xlfn._xlws.FILTER(G471:G491,A471:A491=A471)))</f>
        <v>138184</v>
      </c>
      <c r="I471" s="25">
        <f t="array" ref="I471">IFERROR(IF(A471=A470,0,SUM(_xlfn._xlws.FILTER(G471:G491,(A471:A491=A471)*(E471:E491&lt;0)))),0)</f>
        <v>0</v>
      </c>
      <c r="J471" s="25">
        <f t="array" ref="J471">IFERROR(IF(A471=A470,0,SUM(_xlfn._xlws.FILTER(G471:G491,(A471:A491=A471)*(E471:E491&gt;0)))),0)</f>
        <v>138184</v>
      </c>
      <c r="K471" s="25">
        <f>IF(H471&lt;&gt;0,SUM(H$2:H471),0)</f>
        <v>-2969083.3123069997</v>
      </c>
      <c r="L471" s="25">
        <f>IF(I471&lt;&gt;0,SUM(I$2:I471),0)</f>
        <v>0</v>
      </c>
      <c r="M471" s="25">
        <f>IF(J471&lt;&gt;0,SUM(J$2:J471),0)</f>
        <v>-2969083.3123069997</v>
      </c>
    </row>
    <row r="472" spans="1:13" x14ac:dyDescent="0.2">
      <c r="A472" s="5" t="s">
        <v>745</v>
      </c>
      <c r="C472" s="6" t="s">
        <v>190</v>
      </c>
      <c r="D472" s="7" t="s">
        <v>20</v>
      </c>
      <c r="E472" s="8" t="s">
        <v>747</v>
      </c>
      <c r="G472" s="25">
        <f t="shared" si="7"/>
        <v>17064</v>
      </c>
      <c r="H472" s="25">
        <f t="array" ref="H472">IF(A472=A471,0,SUM(_xlfn._xlws.FILTER(G472:G492,A472:A492=A472)))</f>
        <v>0</v>
      </c>
      <c r="I472" s="25">
        <f t="array" ref="I472">IFERROR(IF(A472=A471,0,SUM(_xlfn._xlws.FILTER(G472:G492,(A472:A492=A472)*(E472:E492&lt;0)))),0)</f>
        <v>0</v>
      </c>
      <c r="J472" s="25">
        <f t="array" ref="J472">IFERROR(IF(A472=A471,0,SUM(_xlfn._xlws.FILTER(G472:G492,(A472:A492=A472)*(E472:E492&gt;0)))),0)</f>
        <v>0</v>
      </c>
      <c r="K472" s="25">
        <f>IF(H472&lt;&gt;0,SUM(H$2:H472),0)</f>
        <v>0</v>
      </c>
      <c r="L472" s="25">
        <f>IF(I472&lt;&gt;0,SUM(I$2:I472),0)</f>
        <v>0</v>
      </c>
      <c r="M472" s="25">
        <f>IF(J472&lt;&gt;0,SUM(J$2:J472),0)</f>
        <v>0</v>
      </c>
    </row>
    <row r="473" spans="1:13" x14ac:dyDescent="0.2">
      <c r="A473" s="5" t="s">
        <v>745</v>
      </c>
      <c r="C473" s="6" t="s">
        <v>125</v>
      </c>
      <c r="D473" s="7" t="s">
        <v>20</v>
      </c>
      <c r="E473" s="8" t="s">
        <v>748</v>
      </c>
      <c r="G473" s="25">
        <f t="shared" si="7"/>
        <v>-33340</v>
      </c>
      <c r="H473" s="25">
        <f t="array" ref="H473">IF(A473=A472,0,SUM(_xlfn._xlws.FILTER(G473:G493,A473:A493=A473)))</f>
        <v>0</v>
      </c>
      <c r="I473" s="25">
        <f t="array" ref="I473">IFERROR(IF(A473=A472,0,SUM(_xlfn._xlws.FILTER(G473:G493,(A473:A493=A473)*(E473:E493&lt;0)))),0)</f>
        <v>0</v>
      </c>
      <c r="J473" s="25">
        <f t="array" ref="J473">IFERROR(IF(A473=A472,0,SUM(_xlfn._xlws.FILTER(G473:G493,(A473:A493=A473)*(E473:E493&gt;0)))),0)</f>
        <v>0</v>
      </c>
      <c r="K473" s="25">
        <f>IF(H473&lt;&gt;0,SUM(H$2:H473),0)</f>
        <v>0</v>
      </c>
      <c r="L473" s="25">
        <f>IF(I473&lt;&gt;0,SUM(I$2:I473),0)</f>
        <v>0</v>
      </c>
      <c r="M473" s="25">
        <f>IF(J473&lt;&gt;0,SUM(J$2:J473),0)</f>
        <v>0</v>
      </c>
    </row>
    <row r="474" spans="1:13" x14ac:dyDescent="0.2">
      <c r="A474" s="5" t="s">
        <v>745</v>
      </c>
      <c r="C474" s="6" t="s">
        <v>25</v>
      </c>
      <c r="D474" s="7" t="s">
        <v>102</v>
      </c>
      <c r="E474" s="8" t="s">
        <v>749</v>
      </c>
      <c r="G474" s="25">
        <f t="shared" si="7"/>
        <v>72320</v>
      </c>
      <c r="H474" s="25">
        <f t="array" ref="H474">IF(A474=A473,0,SUM(_xlfn._xlws.FILTER(G474:G494,A474:A494=A474)))</f>
        <v>0</v>
      </c>
      <c r="I474" s="25">
        <f t="array" ref="I474">IFERROR(IF(A474=A473,0,SUM(_xlfn._xlws.FILTER(G474:G494,(A474:A494=A474)*(E474:E494&lt;0)))),0)</f>
        <v>0</v>
      </c>
      <c r="J474" s="25">
        <f t="array" ref="J474">IFERROR(IF(A474=A473,0,SUM(_xlfn._xlws.FILTER(G474:G494,(A474:A494=A474)*(E474:E494&gt;0)))),0)</f>
        <v>0</v>
      </c>
      <c r="K474" s="25">
        <f>IF(H474&lt;&gt;0,SUM(H$2:H474),0)</f>
        <v>0</v>
      </c>
      <c r="L474" s="25">
        <f>IF(I474&lt;&gt;0,SUM(I$2:I474),0)</f>
        <v>0</v>
      </c>
      <c r="M474" s="25">
        <f>IF(J474&lt;&gt;0,SUM(J$2:J474),0)</f>
        <v>0</v>
      </c>
    </row>
    <row r="475" spans="1:13" x14ac:dyDescent="0.2">
      <c r="A475" s="1" t="s">
        <v>750</v>
      </c>
      <c r="C475" s="2" t="s">
        <v>19</v>
      </c>
      <c r="D475" s="2" t="s">
        <v>20</v>
      </c>
      <c r="E475" s="2" t="s">
        <v>751</v>
      </c>
      <c r="G475" s="25">
        <f t="shared" si="7"/>
        <v>164850</v>
      </c>
      <c r="H475" s="25">
        <f t="array" ref="H475">IF(A475=A474,0,SUM(_xlfn._xlws.FILTER(G475:G495,A475:A495=A475)))</f>
        <v>87501</v>
      </c>
      <c r="I475" s="25">
        <f t="array" ref="I475">IFERROR(IF(A475=A474,0,SUM(_xlfn._xlws.FILTER(G475:G495,(A475:A495=A475)*(E475:E495&lt;0)))),0)</f>
        <v>0</v>
      </c>
      <c r="J475" s="25">
        <f t="array" ref="J475">IFERROR(IF(A475=A474,0,SUM(_xlfn._xlws.FILTER(G475:G495,(A475:A495=A475)*(E475:E495&gt;0)))),0)</f>
        <v>87501</v>
      </c>
      <c r="K475" s="25">
        <f>IF(H475&lt;&gt;0,SUM(H$2:H475),0)</f>
        <v>-2881582.3123069997</v>
      </c>
      <c r="L475" s="25">
        <f>IF(I475&lt;&gt;0,SUM(I$2:I475),0)</f>
        <v>0</v>
      </c>
      <c r="M475" s="25">
        <f>IF(J475&lt;&gt;0,SUM(J$2:J475),0)</f>
        <v>-2881582.3123069997</v>
      </c>
    </row>
    <row r="476" spans="1:13" x14ac:dyDescent="0.2">
      <c r="A476" s="1" t="s">
        <v>750</v>
      </c>
      <c r="C476" s="2" t="s">
        <v>178</v>
      </c>
      <c r="D476" s="2" t="s">
        <v>702</v>
      </c>
      <c r="E476" s="16" t="s">
        <v>752</v>
      </c>
      <c r="G476" s="25">
        <f t="shared" si="7"/>
        <v>-20760</v>
      </c>
      <c r="H476" s="25">
        <f t="array" ref="H476">IF(A476=A475,0,SUM(_xlfn._xlws.FILTER(G476:G496,A476:A496=A476)))</f>
        <v>0</v>
      </c>
      <c r="I476" s="25">
        <f t="array" ref="I476">IFERROR(IF(A476=A475,0,SUM(_xlfn._xlws.FILTER(G476:G496,(A476:A496=A476)*(E476:E496&lt;0)))),0)</f>
        <v>0</v>
      </c>
      <c r="J476" s="25">
        <f t="array" ref="J476">IFERROR(IF(A476=A475,0,SUM(_xlfn._xlws.FILTER(G476:G496,(A476:A496=A476)*(E476:E496&gt;0)))),0)</f>
        <v>0</v>
      </c>
      <c r="K476" s="25">
        <f>IF(H476&lt;&gt;0,SUM(H$2:H476),0)</f>
        <v>0</v>
      </c>
      <c r="L476" s="25">
        <f>IF(I476&lt;&gt;0,SUM(I$2:I476),0)</f>
        <v>0</v>
      </c>
      <c r="M476" s="25">
        <f>IF(J476&lt;&gt;0,SUM(J$2:J476),0)</f>
        <v>0</v>
      </c>
    </row>
    <row r="477" spans="1:13" x14ac:dyDescent="0.2">
      <c r="A477" s="1" t="s">
        <v>750</v>
      </c>
      <c r="C477" s="2" t="s">
        <v>55</v>
      </c>
      <c r="D477" s="2" t="s">
        <v>56</v>
      </c>
      <c r="E477" s="2" t="s">
        <v>753</v>
      </c>
      <c r="G477" s="25">
        <f t="shared" si="7"/>
        <v>-56589</v>
      </c>
      <c r="H477" s="25">
        <f t="array" ref="H477">IF(A477=A476,0,SUM(_xlfn._xlws.FILTER(G477:G497,A477:A497=A477)))</f>
        <v>0</v>
      </c>
      <c r="I477" s="25">
        <f t="array" ref="I477">IFERROR(IF(A477=A476,0,SUM(_xlfn._xlws.FILTER(G477:G497,(A477:A497=A477)*(E477:E497&lt;0)))),0)</f>
        <v>0</v>
      </c>
      <c r="J477" s="25">
        <f t="array" ref="J477">IFERROR(IF(A477=A476,0,SUM(_xlfn._xlws.FILTER(G477:G497,(A477:A497=A477)*(E477:E497&gt;0)))),0)</f>
        <v>0</v>
      </c>
      <c r="K477" s="25">
        <f>IF(H477&lt;&gt;0,SUM(H$2:H477),0)</f>
        <v>0</v>
      </c>
      <c r="L477" s="25">
        <f>IF(I477&lt;&gt;0,SUM(I$2:I477),0)</f>
        <v>0</v>
      </c>
      <c r="M477" s="25">
        <f>IF(J477&lt;&gt;0,SUM(J$2:J477),0)</f>
        <v>0</v>
      </c>
    </row>
    <row r="478" spans="1:13" x14ac:dyDescent="0.2">
      <c r="A478" s="5" t="s">
        <v>754</v>
      </c>
      <c r="C478" s="6" t="s">
        <v>19</v>
      </c>
      <c r="D478" s="7" t="s">
        <v>20</v>
      </c>
      <c r="E478" s="8" t="s">
        <v>755</v>
      </c>
      <c r="G478" s="25">
        <f t="shared" si="7"/>
        <v>-160980</v>
      </c>
      <c r="H478" s="25">
        <f t="array" ref="H478">IF(A478=A477,0,SUM(_xlfn._xlws.FILTER(G478:G498,A478:A498=A478)))</f>
        <v>717.8099999999904</v>
      </c>
      <c r="I478" s="25">
        <f t="array" ref="I478">IFERROR(IF(A478=A477,0,SUM(_xlfn._xlws.FILTER(G478:G498,(A478:A498=A478)*(E478:E498&lt;0)))),0)</f>
        <v>0</v>
      </c>
      <c r="J478" s="25">
        <f t="array" ref="J478">IFERROR(IF(A478=A477,0,SUM(_xlfn._xlws.FILTER(G478:G498,(A478:A498=A478)*(E478:E498&gt;0)))),0)</f>
        <v>717.8099999999904</v>
      </c>
      <c r="K478" s="25">
        <f>IF(H478&lt;&gt;0,SUM(H$2:H478),0)</f>
        <v>-2880864.5023069996</v>
      </c>
      <c r="L478" s="25">
        <f>IF(I478&lt;&gt;0,SUM(I$2:I478),0)</f>
        <v>0</v>
      </c>
      <c r="M478" s="25">
        <f>IF(J478&lt;&gt;0,SUM(J$2:J478),0)</f>
        <v>-2880864.5023069996</v>
      </c>
    </row>
    <row r="479" spans="1:13" x14ac:dyDescent="0.2">
      <c r="A479" s="5" t="s">
        <v>754</v>
      </c>
      <c r="C479" s="6" t="s">
        <v>320</v>
      </c>
      <c r="D479" s="7" t="s">
        <v>16</v>
      </c>
      <c r="E479" s="8" t="s">
        <v>756</v>
      </c>
      <c r="G479" s="25">
        <f t="shared" si="7"/>
        <v>-118400</v>
      </c>
      <c r="H479" s="25">
        <f t="array" ref="H479">IF(A479=A478,0,SUM(_xlfn._xlws.FILTER(G479:G499,A479:A499=A479)))</f>
        <v>0</v>
      </c>
      <c r="I479" s="25">
        <f t="array" ref="I479">IFERROR(IF(A479=A478,0,SUM(_xlfn._xlws.FILTER(G479:G499,(A479:A499=A479)*(E479:E499&lt;0)))),0)</f>
        <v>0</v>
      </c>
      <c r="J479" s="25">
        <f t="array" ref="J479">IFERROR(IF(A479=A478,0,SUM(_xlfn._xlws.FILTER(G479:G499,(A479:A499=A479)*(E479:E499&gt;0)))),0)</f>
        <v>0</v>
      </c>
      <c r="K479" s="25">
        <f>IF(H479&lt;&gt;0,SUM(H$2:H479),0)</f>
        <v>0</v>
      </c>
      <c r="L479" s="25">
        <f>IF(I479&lt;&gt;0,SUM(I$2:I479),0)</f>
        <v>0</v>
      </c>
      <c r="M479" s="25">
        <f>IF(J479&lt;&gt;0,SUM(J$2:J479),0)</f>
        <v>0</v>
      </c>
    </row>
    <row r="480" spans="1:13" x14ac:dyDescent="0.2">
      <c r="A480" s="5" t="s">
        <v>754</v>
      </c>
      <c r="C480" s="6" t="s">
        <v>288</v>
      </c>
      <c r="D480" s="7" t="s">
        <v>757</v>
      </c>
      <c r="E480" s="8" t="s">
        <v>758</v>
      </c>
      <c r="G480" s="25">
        <f t="shared" si="7"/>
        <v>191520</v>
      </c>
      <c r="H480" s="25">
        <f t="array" ref="H480">IF(A480=A479,0,SUM(_xlfn._xlws.FILTER(G480:G500,A480:A500=A480)))</f>
        <v>0</v>
      </c>
      <c r="I480" s="25">
        <f t="array" ref="I480">IFERROR(IF(A480=A479,0,SUM(_xlfn._xlws.FILTER(G480:G500,(A480:A500=A480)*(E480:E500&lt;0)))),0)</f>
        <v>0</v>
      </c>
      <c r="J480" s="25">
        <f t="array" ref="J480">IFERROR(IF(A480=A479,0,SUM(_xlfn._xlws.FILTER(G480:G500,(A480:A500=A480)*(E480:E500&gt;0)))),0)</f>
        <v>0</v>
      </c>
      <c r="K480" s="25">
        <f>IF(H480&lt;&gt;0,SUM(H$2:H480),0)</f>
        <v>0</v>
      </c>
      <c r="L480" s="25">
        <f>IF(I480&lt;&gt;0,SUM(I$2:I480),0)</f>
        <v>0</v>
      </c>
      <c r="M480" s="25">
        <f>IF(J480&lt;&gt;0,SUM(J$2:J480),0)</f>
        <v>0</v>
      </c>
    </row>
    <row r="481" spans="1:13" x14ac:dyDescent="0.2">
      <c r="A481" s="5" t="s">
        <v>754</v>
      </c>
      <c r="C481" s="6" t="s">
        <v>176</v>
      </c>
      <c r="D481" s="7" t="s">
        <v>759</v>
      </c>
      <c r="E481" s="8" t="s">
        <v>760</v>
      </c>
      <c r="G481" s="25">
        <f t="shared" si="7"/>
        <v>18597.809999999998</v>
      </c>
      <c r="H481" s="25">
        <f t="array" ref="H481">IF(A481=A480,0,SUM(_xlfn._xlws.FILTER(G481:G501,A481:A501=A481)))</f>
        <v>0</v>
      </c>
      <c r="I481" s="25">
        <f t="array" ref="I481">IFERROR(IF(A481=A480,0,SUM(_xlfn._xlws.FILTER(G481:G501,(A481:A501=A481)*(E481:E501&lt;0)))),0)</f>
        <v>0</v>
      </c>
      <c r="J481" s="25">
        <f t="array" ref="J481">IFERROR(IF(A481=A480,0,SUM(_xlfn._xlws.FILTER(G481:G501,(A481:A501=A481)*(E481:E501&gt;0)))),0)</f>
        <v>0</v>
      </c>
      <c r="K481" s="25">
        <f>IF(H481&lt;&gt;0,SUM(H$2:H481),0)</f>
        <v>0</v>
      </c>
      <c r="L481" s="25">
        <f>IF(I481&lt;&gt;0,SUM(I$2:I481),0)</f>
        <v>0</v>
      </c>
      <c r="M481" s="25">
        <f>IF(J481&lt;&gt;0,SUM(J$2:J481),0)</f>
        <v>0</v>
      </c>
    </row>
    <row r="482" spans="1:13" x14ac:dyDescent="0.2">
      <c r="A482" s="5" t="s">
        <v>754</v>
      </c>
      <c r="C482" s="6" t="s">
        <v>566</v>
      </c>
      <c r="D482" s="7" t="s">
        <v>761</v>
      </c>
      <c r="E482" s="8" t="s">
        <v>762</v>
      </c>
      <c r="G482" s="25">
        <f t="shared" si="7"/>
        <v>42560</v>
      </c>
      <c r="H482" s="25">
        <f t="array" ref="H482">IF(A482=A481,0,SUM(_xlfn._xlws.FILTER(G482:G502,A482:A502=A482)))</f>
        <v>0</v>
      </c>
      <c r="I482" s="25">
        <f t="array" ref="I482">IFERROR(IF(A482=A481,0,SUM(_xlfn._xlws.FILTER(G482:G502,(A482:A502=A482)*(E482:E502&lt;0)))),0)</f>
        <v>0</v>
      </c>
      <c r="J482" s="25">
        <f t="array" ref="J482">IFERROR(IF(A482=A481,0,SUM(_xlfn._xlws.FILTER(G482:G502,(A482:A502=A482)*(E482:E502&gt;0)))),0)</f>
        <v>0</v>
      </c>
      <c r="K482" s="25">
        <f>IF(H482&lt;&gt;0,SUM(H$2:H482),0)</f>
        <v>0</v>
      </c>
      <c r="L482" s="25">
        <f>IF(I482&lt;&gt;0,SUM(I$2:I482),0)</f>
        <v>0</v>
      </c>
      <c r="M482" s="25">
        <f>IF(J482&lt;&gt;0,SUM(J$2:J482),0)</f>
        <v>0</v>
      </c>
    </row>
    <row r="483" spans="1:13" x14ac:dyDescent="0.2">
      <c r="A483" s="5" t="s">
        <v>754</v>
      </c>
      <c r="C483" s="6" t="s">
        <v>25</v>
      </c>
      <c r="D483" s="7" t="s">
        <v>102</v>
      </c>
      <c r="E483" s="8" t="s">
        <v>763</v>
      </c>
      <c r="G483" s="25">
        <f t="shared" si="7"/>
        <v>74720</v>
      </c>
      <c r="H483" s="25">
        <f t="array" ref="H483">IF(A483=A482,0,SUM(_xlfn._xlws.FILTER(G483:G503,A483:A503=A483)))</f>
        <v>0</v>
      </c>
      <c r="I483" s="25">
        <f t="array" ref="I483">IFERROR(IF(A483=A482,0,SUM(_xlfn._xlws.FILTER(G483:G503,(A483:A503=A483)*(E483:E503&lt;0)))),0)</f>
        <v>0</v>
      </c>
      <c r="J483" s="25">
        <f t="array" ref="J483">IFERROR(IF(A483=A482,0,SUM(_xlfn._xlws.FILTER(G483:G503,(A483:A503=A483)*(E483:E503&gt;0)))),0)</f>
        <v>0</v>
      </c>
      <c r="K483" s="25">
        <f>IF(H483&lt;&gt;0,SUM(H$2:H483),0)</f>
        <v>0</v>
      </c>
      <c r="L483" s="25">
        <f>IF(I483&lt;&gt;0,SUM(I$2:I483),0)</f>
        <v>0</v>
      </c>
      <c r="M483" s="25">
        <f>IF(J483&lt;&gt;0,SUM(J$2:J483),0)</f>
        <v>0</v>
      </c>
    </row>
    <row r="484" spans="1:13" x14ac:dyDescent="0.2">
      <c r="A484" s="5" t="s">
        <v>754</v>
      </c>
      <c r="C484" s="6" t="s">
        <v>486</v>
      </c>
      <c r="D484" s="7" t="s">
        <v>32</v>
      </c>
      <c r="E484" s="8" t="s">
        <v>764</v>
      </c>
      <c r="G484" s="25">
        <f t="shared" si="7"/>
        <v>-47300.000000000007</v>
      </c>
      <c r="H484" s="25">
        <f t="array" ref="H484">IF(A484=A483,0,SUM(_xlfn._xlws.FILTER(G484:G504,A484:A504=A484)))</f>
        <v>0</v>
      </c>
      <c r="I484" s="25">
        <f t="array" ref="I484">IFERROR(IF(A484=A483,0,SUM(_xlfn._xlws.FILTER(G484:G504,(A484:A504=A484)*(E484:E504&lt;0)))),0)</f>
        <v>0</v>
      </c>
      <c r="J484" s="25">
        <f t="array" ref="J484">IFERROR(IF(A484=A483,0,SUM(_xlfn._xlws.FILTER(G484:G504,(A484:A504=A484)*(E484:E504&gt;0)))),0)</f>
        <v>0</v>
      </c>
      <c r="K484" s="25">
        <f>IF(H484&lt;&gt;0,SUM(H$2:H484),0)</f>
        <v>0</v>
      </c>
      <c r="L484" s="25">
        <f>IF(I484&lt;&gt;0,SUM(I$2:I484),0)</f>
        <v>0</v>
      </c>
      <c r="M484" s="25">
        <f>IF(J484&lt;&gt;0,SUM(J$2:J484),0)</f>
        <v>0</v>
      </c>
    </row>
    <row r="485" spans="1:13" x14ac:dyDescent="0.2">
      <c r="A485" s="1" t="s">
        <v>765</v>
      </c>
      <c r="C485" s="2" t="s">
        <v>39</v>
      </c>
      <c r="D485" s="23" t="s">
        <v>766</v>
      </c>
      <c r="E485" s="16" t="s">
        <v>767</v>
      </c>
      <c r="G485" s="25">
        <f t="shared" si="7"/>
        <v>-67200</v>
      </c>
      <c r="H485" s="25">
        <f t="array" ref="H485">IF(A485=A484,0,SUM(_xlfn._xlws.FILTER(G485:G505,A485:A505=A485)))</f>
        <v>19474.509999999995</v>
      </c>
      <c r="I485" s="25">
        <f t="array" ref="I485">IFERROR(IF(A485=A484,0,SUM(_xlfn._xlws.FILTER(G485:G505,(A485:A505=A485)*(E485:E505&lt;0)))),0)</f>
        <v>0</v>
      </c>
      <c r="J485" s="25">
        <f t="array" ref="J485">IFERROR(IF(A485=A484,0,SUM(_xlfn._xlws.FILTER(G485:G505,(A485:A505=A485)*(E485:E505&gt;0)))),0)</f>
        <v>19474.509999999995</v>
      </c>
      <c r="K485" s="25">
        <f>IF(H485&lt;&gt;0,SUM(H$2:H485),0)</f>
        <v>-2861389.9923069999</v>
      </c>
      <c r="L485" s="25">
        <f>IF(I485&lt;&gt;0,SUM(I$2:I485),0)</f>
        <v>0</v>
      </c>
      <c r="M485" s="25">
        <f>IF(J485&lt;&gt;0,SUM(J$2:J485),0)</f>
        <v>-2861389.9923069999</v>
      </c>
    </row>
    <row r="486" spans="1:13" x14ac:dyDescent="0.2">
      <c r="A486" s="1" t="s">
        <v>765</v>
      </c>
      <c r="C486" s="2" t="s">
        <v>768</v>
      </c>
      <c r="D486" s="23" t="s">
        <v>769</v>
      </c>
      <c r="E486" s="16" t="s">
        <v>770</v>
      </c>
      <c r="G486" s="25">
        <f t="shared" si="7"/>
        <v>-35247</v>
      </c>
      <c r="H486" s="25">
        <f t="array" ref="H486">IF(A486=A485,0,SUM(_xlfn._xlws.FILTER(G486:G506,A486:A506=A486)))</f>
        <v>0</v>
      </c>
      <c r="I486" s="25">
        <f t="array" ref="I486">IFERROR(IF(A486=A485,0,SUM(_xlfn._xlws.FILTER(G486:G506,(A486:A506=A486)*(E486:E506&lt;0)))),0)</f>
        <v>0</v>
      </c>
      <c r="J486" s="25">
        <f t="array" ref="J486">IFERROR(IF(A486=A485,0,SUM(_xlfn._xlws.FILTER(G486:G506,(A486:A506=A486)*(E486:E506&gt;0)))),0)</f>
        <v>0</v>
      </c>
      <c r="K486" s="25">
        <f>IF(H486&lt;&gt;0,SUM(H$2:H486),0)</f>
        <v>0</v>
      </c>
      <c r="L486" s="25">
        <f>IF(I486&lt;&gt;0,SUM(I$2:I486),0)</f>
        <v>0</v>
      </c>
      <c r="M486" s="25">
        <f>IF(J486&lt;&gt;0,SUM(J$2:J486),0)</f>
        <v>0</v>
      </c>
    </row>
    <row r="487" spans="1:13" x14ac:dyDescent="0.2">
      <c r="A487" s="1" t="s">
        <v>765</v>
      </c>
      <c r="C487" s="2" t="s">
        <v>278</v>
      </c>
      <c r="D487" s="23" t="s">
        <v>771</v>
      </c>
      <c r="E487" s="16" t="s">
        <v>772</v>
      </c>
      <c r="G487" s="25">
        <f t="shared" si="7"/>
        <v>102300</v>
      </c>
      <c r="H487" s="25">
        <f t="array" ref="H487">IF(A487=A486,0,SUM(_xlfn._xlws.FILTER(G487:G507,A487:A507=A487)))</f>
        <v>0</v>
      </c>
      <c r="I487" s="25">
        <f t="array" ref="I487">IFERROR(IF(A487=A486,0,SUM(_xlfn._xlws.FILTER(G487:G507,(A487:A507=A487)*(E487:E507&lt;0)))),0)</f>
        <v>0</v>
      </c>
      <c r="J487" s="25">
        <f t="array" ref="J487">IFERROR(IF(A487=A486,0,SUM(_xlfn._xlws.FILTER(G487:G507,(A487:A507=A487)*(E487:E507&gt;0)))),0)</f>
        <v>0</v>
      </c>
      <c r="K487" s="25">
        <f>IF(H487&lt;&gt;0,SUM(H$2:H487),0)</f>
        <v>0</v>
      </c>
      <c r="L487" s="25">
        <f>IF(I487&lt;&gt;0,SUM(I$2:I487),0)</f>
        <v>0</v>
      </c>
      <c r="M487" s="25">
        <f>IF(J487&lt;&gt;0,SUM(J$2:J487),0)</f>
        <v>0</v>
      </c>
    </row>
    <row r="488" spans="1:13" x14ac:dyDescent="0.2">
      <c r="A488" s="1" t="s">
        <v>765</v>
      </c>
      <c r="C488" s="2" t="s">
        <v>25</v>
      </c>
      <c r="D488" s="23" t="s">
        <v>766</v>
      </c>
      <c r="E488" s="2" t="s">
        <v>773</v>
      </c>
      <c r="G488" s="25">
        <f t="shared" si="7"/>
        <v>76712</v>
      </c>
      <c r="H488" s="25">
        <f t="array" ref="H488">IF(A488=A487,0,SUM(_xlfn._xlws.FILTER(G488:G508,A488:A508=A488)))</f>
        <v>0</v>
      </c>
      <c r="I488" s="25">
        <f t="array" ref="I488">IFERROR(IF(A488=A487,0,SUM(_xlfn._xlws.FILTER(G488:G508,(A488:A508=A488)*(E488:E508&lt;0)))),0)</f>
        <v>0</v>
      </c>
      <c r="J488" s="25">
        <f t="array" ref="J488">IFERROR(IF(A488=A487,0,SUM(_xlfn._xlws.FILTER(G488:G508,(A488:A508=A488)*(E488:E508&gt;0)))),0)</f>
        <v>0</v>
      </c>
      <c r="K488" s="25">
        <f>IF(H488&lt;&gt;0,SUM(H$2:H488),0)</f>
        <v>0</v>
      </c>
      <c r="L488" s="25">
        <f>IF(I488&lt;&gt;0,SUM(I$2:I488),0)</f>
        <v>0</v>
      </c>
      <c r="M488" s="25">
        <f>IF(J488&lt;&gt;0,SUM(J$2:J488),0)</f>
        <v>0</v>
      </c>
    </row>
    <row r="489" spans="1:13" x14ac:dyDescent="0.2">
      <c r="A489" s="1" t="s">
        <v>765</v>
      </c>
      <c r="C489" s="2" t="s">
        <v>185</v>
      </c>
      <c r="D489" s="23" t="s">
        <v>774</v>
      </c>
      <c r="E489" s="2" t="s">
        <v>775</v>
      </c>
      <c r="G489" s="25">
        <f t="shared" si="7"/>
        <v>-57090.490000000005</v>
      </c>
      <c r="H489" s="25">
        <f t="array" ref="H489">IF(A489=A488,0,SUM(_xlfn._xlws.FILTER(G489:G509,A489:A509=A489)))</f>
        <v>0</v>
      </c>
      <c r="I489" s="25">
        <f t="array" ref="I489">IFERROR(IF(A489=A488,0,SUM(_xlfn._xlws.FILTER(G489:G509,(A489:A509=A489)*(E489:E509&lt;0)))),0)</f>
        <v>0</v>
      </c>
      <c r="J489" s="25">
        <f t="array" ref="J489">IFERROR(IF(A489=A488,0,SUM(_xlfn._xlws.FILTER(G489:G509,(A489:A509=A489)*(E489:E509&gt;0)))),0)</f>
        <v>0</v>
      </c>
      <c r="K489" s="25">
        <f>IF(H489&lt;&gt;0,SUM(H$2:H489),0)</f>
        <v>0</v>
      </c>
      <c r="L489" s="25">
        <f>IF(I489&lt;&gt;0,SUM(I$2:I489),0)</f>
        <v>0</v>
      </c>
      <c r="M489" s="25">
        <f>IF(J489&lt;&gt;0,SUM(J$2:J489),0)</f>
        <v>0</v>
      </c>
    </row>
    <row r="490" spans="1:13" x14ac:dyDescent="0.2">
      <c r="A490" s="5" t="s">
        <v>776</v>
      </c>
      <c r="C490" s="6" t="s">
        <v>777</v>
      </c>
      <c r="D490" s="7" t="s">
        <v>100</v>
      </c>
      <c r="E490" s="8" t="s">
        <v>778</v>
      </c>
      <c r="G490" s="25">
        <f t="shared" si="7"/>
        <v>248460</v>
      </c>
      <c r="H490" s="25">
        <f t="array" ref="H490">IF(A490=A489,0,SUM(_xlfn._xlws.FILTER(G490:G510,A490:A510=A490)))</f>
        <v>415464</v>
      </c>
      <c r="I490" s="25">
        <f t="array" ref="I490">IFERROR(IF(A490=A489,0,SUM(_xlfn._xlws.FILTER(G490:G510,(A490:A510=A490)*(E490:E510&lt;0)))),0)</f>
        <v>0</v>
      </c>
      <c r="J490" s="25">
        <f t="array" ref="J490">IFERROR(IF(A490=A489,0,SUM(_xlfn._xlws.FILTER(G490:G510,(A490:A510=A490)*(E490:E510&gt;0)))),0)</f>
        <v>415464</v>
      </c>
      <c r="K490" s="25">
        <f>IF(H490&lt;&gt;0,SUM(H$2:H490),0)</f>
        <v>-2445925.9923069999</v>
      </c>
      <c r="L490" s="25">
        <f>IF(I490&lt;&gt;0,SUM(I$2:I490),0)</f>
        <v>0</v>
      </c>
      <c r="M490" s="25">
        <f>IF(J490&lt;&gt;0,SUM(J$2:J490),0)</f>
        <v>-2445925.9923069999</v>
      </c>
    </row>
    <row r="491" spans="1:13" x14ac:dyDescent="0.2">
      <c r="A491" s="5" t="s">
        <v>776</v>
      </c>
      <c r="C491" s="6" t="s">
        <v>116</v>
      </c>
      <c r="D491" s="7" t="s">
        <v>20</v>
      </c>
      <c r="E491" s="8" t="s">
        <v>779</v>
      </c>
      <c r="G491" s="25">
        <f t="shared" si="7"/>
        <v>44304</v>
      </c>
      <c r="H491" s="25">
        <f t="array" ref="H491">IF(A491=A490,0,SUM(_xlfn._xlws.FILTER(G491:G511,A491:A511=A491)))</f>
        <v>0</v>
      </c>
      <c r="I491" s="25">
        <f t="array" ref="I491">IFERROR(IF(A491=A490,0,SUM(_xlfn._xlws.FILTER(G491:G511,(A491:A511=A491)*(E491:E511&lt;0)))),0)</f>
        <v>0</v>
      </c>
      <c r="J491" s="25">
        <f t="array" ref="J491">IFERROR(IF(A491=A490,0,SUM(_xlfn._xlws.FILTER(G491:G511,(A491:A511=A491)*(E491:E511&gt;0)))),0)</f>
        <v>0</v>
      </c>
      <c r="K491" s="25">
        <f>IF(H491&lt;&gt;0,SUM(H$2:H491),0)</f>
        <v>0</v>
      </c>
      <c r="L491" s="25">
        <f>IF(I491&lt;&gt;0,SUM(I$2:I491),0)</f>
        <v>0</v>
      </c>
      <c r="M491" s="25">
        <f>IF(J491&lt;&gt;0,SUM(J$2:J491),0)</f>
        <v>0</v>
      </c>
    </row>
    <row r="492" spans="1:13" x14ac:dyDescent="0.2">
      <c r="A492" s="5" t="s">
        <v>776</v>
      </c>
      <c r="C492" s="6" t="s">
        <v>278</v>
      </c>
      <c r="D492" s="7" t="s">
        <v>20</v>
      </c>
      <c r="E492" s="8" t="s">
        <v>780</v>
      </c>
      <c r="G492" s="25">
        <f t="shared" si="7"/>
        <v>103050</v>
      </c>
      <c r="H492" s="25">
        <f t="array" ref="H492">IF(A492=A491,0,SUM(_xlfn._xlws.FILTER(G492:G512,A492:A512=A492)))</f>
        <v>0</v>
      </c>
      <c r="I492" s="25">
        <f t="array" ref="I492">IFERROR(IF(A492=A491,0,SUM(_xlfn._xlws.FILTER(G492:G512,(A492:A512=A492)*(E492:E512&lt;0)))),0)</f>
        <v>0</v>
      </c>
      <c r="J492" s="25">
        <f t="array" ref="J492">IFERROR(IF(A492=A491,0,SUM(_xlfn._xlws.FILTER(G492:G512,(A492:A512=A492)*(E492:E512&gt;0)))),0)</f>
        <v>0</v>
      </c>
      <c r="K492" s="25">
        <f>IF(H492&lt;&gt;0,SUM(H$2:H492),0)</f>
        <v>0</v>
      </c>
      <c r="L492" s="25">
        <f>IF(I492&lt;&gt;0,SUM(I$2:I492),0)</f>
        <v>0</v>
      </c>
      <c r="M492" s="25">
        <f>IF(J492&lt;&gt;0,SUM(J$2:J492),0)</f>
        <v>0</v>
      </c>
    </row>
    <row r="493" spans="1:13" x14ac:dyDescent="0.2">
      <c r="A493" s="5" t="s">
        <v>776</v>
      </c>
      <c r="C493" s="6" t="s">
        <v>193</v>
      </c>
      <c r="D493" s="7" t="s">
        <v>53</v>
      </c>
      <c r="E493" s="8" t="s">
        <v>781</v>
      </c>
      <c r="G493" s="25">
        <f t="shared" si="7"/>
        <v>19650</v>
      </c>
      <c r="H493" s="25">
        <f t="array" ref="H493">IF(A493=A492,0,SUM(_xlfn._xlws.FILTER(G493:G513,A493:A513=A493)))</f>
        <v>0</v>
      </c>
      <c r="I493" s="25">
        <f t="array" ref="I493">IFERROR(IF(A493=A492,0,SUM(_xlfn._xlws.FILTER(G493:G513,(A493:A513=A493)*(E493:E513&lt;0)))),0)</f>
        <v>0</v>
      </c>
      <c r="J493" s="25">
        <f t="array" ref="J493">IFERROR(IF(A493=A492,0,SUM(_xlfn._xlws.FILTER(G493:G513,(A493:A513=A493)*(E493:E513&gt;0)))),0)</f>
        <v>0</v>
      </c>
      <c r="K493" s="25">
        <f>IF(H493&lt;&gt;0,SUM(H$2:H493),0)</f>
        <v>0</v>
      </c>
      <c r="L493" s="25">
        <f>IF(I493&lt;&gt;0,SUM(I$2:I493),0)</f>
        <v>0</v>
      </c>
      <c r="M493" s="25">
        <f>IF(J493&lt;&gt;0,SUM(J$2:J493),0)</f>
        <v>0</v>
      </c>
    </row>
    <row r="494" spans="1:13" x14ac:dyDescent="0.2">
      <c r="A494" s="1" t="s">
        <v>782</v>
      </c>
      <c r="C494" s="2" t="s">
        <v>45</v>
      </c>
      <c r="D494" s="2" t="s">
        <v>23</v>
      </c>
      <c r="E494" s="2" t="s">
        <v>783</v>
      </c>
      <c r="G494" s="25">
        <f t="shared" si="7"/>
        <v>19856</v>
      </c>
      <c r="H494" s="25">
        <f t="array" ref="H494">IF(A494=A493,0,SUM(_xlfn._xlws.FILTER(G494:G514,A494:A514=A494)))</f>
        <v>19856</v>
      </c>
      <c r="I494" s="25">
        <f t="array" ref="I494">IFERROR(IF(A494=A493,0,SUM(_xlfn._xlws.FILTER(G494:G514,(A494:A514=A494)*(E494:E514&lt;0)))),0)</f>
        <v>0</v>
      </c>
      <c r="J494" s="25">
        <f t="array" ref="J494">IFERROR(IF(A494=A493,0,SUM(_xlfn._xlws.FILTER(G494:G514,(A494:A514=A494)*(E494:E514&gt;0)))),0)</f>
        <v>19856</v>
      </c>
      <c r="K494" s="25">
        <f>IF(H494&lt;&gt;0,SUM(H$2:H494),0)</f>
        <v>-2426069.9923069999</v>
      </c>
      <c r="L494" s="25">
        <f>IF(I494&lt;&gt;0,SUM(I$2:I494),0)</f>
        <v>0</v>
      </c>
      <c r="M494" s="25">
        <f>IF(J494&lt;&gt;0,SUM(J$2:J494),0)</f>
        <v>-2426069.9923069999</v>
      </c>
    </row>
    <row r="495" spans="1:13" x14ac:dyDescent="0.2">
      <c r="A495" s="5" t="s">
        <v>784</v>
      </c>
      <c r="C495" s="6" t="s">
        <v>19</v>
      </c>
      <c r="D495" s="7" t="s">
        <v>20</v>
      </c>
      <c r="E495" s="8" t="s">
        <v>785</v>
      </c>
      <c r="G495" s="25">
        <f t="shared" si="7"/>
        <v>176120</v>
      </c>
      <c r="H495" s="25">
        <f t="array" ref="H495">IF(A495=A494,0,SUM(_xlfn._xlws.FILTER(G495:G515,A495:A515=A495)))</f>
        <v>59945</v>
      </c>
      <c r="I495" s="25">
        <f t="array" ref="I495">IFERROR(IF(A495=A494,0,SUM(_xlfn._xlws.FILTER(G495:G515,(A495:A515=A495)*(E495:E515&lt;0)))),0)</f>
        <v>0</v>
      </c>
      <c r="J495" s="25">
        <f t="array" ref="J495">IFERROR(IF(A495=A494,0,SUM(_xlfn._xlws.FILTER(G495:G515,(A495:A515=A495)*(E495:E515&gt;0)))),0)</f>
        <v>59945</v>
      </c>
      <c r="K495" s="25">
        <f>IF(H495&lt;&gt;0,SUM(H$2:H495),0)</f>
        <v>-2366124.9923069999</v>
      </c>
      <c r="L495" s="25">
        <f>IF(I495&lt;&gt;0,SUM(I$2:I495),0)</f>
        <v>0</v>
      </c>
      <c r="M495" s="25">
        <f>IF(J495&lt;&gt;0,SUM(J$2:J495),0)</f>
        <v>-2366124.9923069999</v>
      </c>
    </row>
    <row r="496" spans="1:13" x14ac:dyDescent="0.2">
      <c r="A496" s="5" t="s">
        <v>784</v>
      </c>
      <c r="C496" s="6" t="s">
        <v>259</v>
      </c>
      <c r="D496" s="7" t="s">
        <v>53</v>
      </c>
      <c r="E496" s="8" t="s">
        <v>786</v>
      </c>
      <c r="G496" s="25">
        <f t="shared" si="7"/>
        <v>-116175</v>
      </c>
      <c r="H496" s="25">
        <f t="array" ref="H496">IF(A496=A495,0,SUM(_xlfn._xlws.FILTER(G496:G516,A496:A516=A496)))</f>
        <v>0</v>
      </c>
      <c r="I496" s="25">
        <f t="array" ref="I496">IFERROR(IF(A496=A495,0,SUM(_xlfn._xlws.FILTER(G496:G516,(A496:A516=A496)*(E496:E516&lt;0)))),0)</f>
        <v>0</v>
      </c>
      <c r="J496" s="25">
        <f t="array" ref="J496">IFERROR(IF(A496=A495,0,SUM(_xlfn._xlws.FILTER(G496:G516,(A496:A516=A496)*(E496:E516&gt;0)))),0)</f>
        <v>0</v>
      </c>
      <c r="K496" s="25">
        <f>IF(H496&lt;&gt;0,SUM(H$2:H496),0)</f>
        <v>0</v>
      </c>
      <c r="L496" s="25">
        <f>IF(I496&lt;&gt;0,SUM(I$2:I496),0)</f>
        <v>0</v>
      </c>
      <c r="M496" s="25">
        <f>IF(J496&lt;&gt;0,SUM(J$2:J496),0)</f>
        <v>0</v>
      </c>
    </row>
    <row r="497" spans="1:13" x14ac:dyDescent="0.2">
      <c r="A497" s="1" t="s">
        <v>787</v>
      </c>
      <c r="C497" s="2" t="s">
        <v>320</v>
      </c>
      <c r="D497" s="2" t="s">
        <v>719</v>
      </c>
      <c r="E497" s="2" t="s">
        <v>788</v>
      </c>
      <c r="G497" s="25">
        <f t="shared" si="7"/>
        <v>60200</v>
      </c>
      <c r="H497" s="25">
        <f t="array" ref="H497">IF(A497=A496,0,SUM(_xlfn._xlws.FILTER(G497:G517,A497:A517=A497)))</f>
        <v>98660</v>
      </c>
      <c r="I497" s="25">
        <f t="array" ref="I497">IFERROR(IF(A497=A496,0,SUM(_xlfn._xlws.FILTER(G497:G517,(A497:A517=A497)*(E497:E517&lt;0)))),0)</f>
        <v>0</v>
      </c>
      <c r="J497" s="25">
        <f t="array" ref="J497">IFERROR(IF(A497=A496,0,SUM(_xlfn._xlws.FILTER(G497:G517,(A497:A517=A497)*(E497:E517&gt;0)))),0)</f>
        <v>98660</v>
      </c>
      <c r="K497" s="25">
        <f>IF(H497&lt;&gt;0,SUM(H$2:H497),0)</f>
        <v>-2267464.9923069999</v>
      </c>
      <c r="L497" s="25">
        <f>IF(I497&lt;&gt;0,SUM(I$2:I497),0)</f>
        <v>0</v>
      </c>
      <c r="M497" s="25">
        <f>IF(J497&lt;&gt;0,SUM(J$2:J497),0)</f>
        <v>-2267464.9923069999</v>
      </c>
    </row>
    <row r="498" spans="1:13" x14ac:dyDescent="0.2">
      <c r="A498" s="1" t="s">
        <v>787</v>
      </c>
      <c r="C498" s="2" t="s">
        <v>139</v>
      </c>
      <c r="D498" s="2" t="s">
        <v>789</v>
      </c>
      <c r="E498" s="2" t="s">
        <v>790</v>
      </c>
      <c r="G498" s="25">
        <f t="shared" si="7"/>
        <v>38460</v>
      </c>
      <c r="H498" s="25">
        <f t="array" ref="H498">IF(A498=A497,0,SUM(_xlfn._xlws.FILTER(G498:G518,A498:A518=A498)))</f>
        <v>0</v>
      </c>
      <c r="I498" s="25">
        <f t="array" ref="I498">IFERROR(IF(A498=A497,0,SUM(_xlfn._xlws.FILTER(G498:G518,(A498:A518=A498)*(E498:E518&lt;0)))),0)</f>
        <v>0</v>
      </c>
      <c r="J498" s="25">
        <f t="array" ref="J498">IFERROR(IF(A498=A497,0,SUM(_xlfn._xlws.FILTER(G498:G518,(A498:A518=A498)*(E498:E518&gt;0)))),0)</f>
        <v>0</v>
      </c>
      <c r="K498" s="25">
        <f>IF(H498&lt;&gt;0,SUM(H$2:H498),0)</f>
        <v>0</v>
      </c>
      <c r="L498" s="25">
        <f>IF(I498&lt;&gt;0,SUM(I$2:I498),0)</f>
        <v>0</v>
      </c>
      <c r="M498" s="25">
        <f>IF(J498&lt;&gt;0,SUM(J$2:J498),0)</f>
        <v>0</v>
      </c>
    </row>
    <row r="499" spans="1:13" x14ac:dyDescent="0.2">
      <c r="A499" s="5" t="s">
        <v>791</v>
      </c>
      <c r="C499" s="6" t="s">
        <v>155</v>
      </c>
      <c r="D499" s="7" t="s">
        <v>508</v>
      </c>
      <c r="E499" s="8" t="s">
        <v>792</v>
      </c>
      <c r="G499" s="25">
        <f t="shared" si="7"/>
        <v>51584</v>
      </c>
      <c r="H499" s="25">
        <f t="array" ref="H499">IF(A499=A498,0,SUM(_xlfn._xlws.FILTER(G499:G519,A499:A519=A499)))</f>
        <v>49406.600000000006</v>
      </c>
      <c r="I499" s="25">
        <f t="array" ref="I499">IFERROR(IF(A499=A498,0,SUM(_xlfn._xlws.FILTER(G499:G519,(A499:A519=A499)*(E499:E519&lt;0)))),0)</f>
        <v>0</v>
      </c>
      <c r="J499" s="25">
        <f t="array" ref="J499">IFERROR(IF(A499=A498,0,SUM(_xlfn._xlws.FILTER(G499:G519,(A499:A519=A499)*(E499:E519&gt;0)))),0)</f>
        <v>49406.600000000006</v>
      </c>
      <c r="K499" s="25">
        <f>IF(H499&lt;&gt;0,SUM(H$2:H499),0)</f>
        <v>-2218058.3923069998</v>
      </c>
      <c r="L499" s="25">
        <f>IF(I499&lt;&gt;0,SUM(I$2:I499),0)</f>
        <v>0</v>
      </c>
      <c r="M499" s="25">
        <f>IF(J499&lt;&gt;0,SUM(J$2:J499),0)</f>
        <v>-2218058.3923069998</v>
      </c>
    </row>
    <row r="500" spans="1:13" x14ac:dyDescent="0.2">
      <c r="A500" s="5" t="s">
        <v>791</v>
      </c>
      <c r="C500" s="6" t="s">
        <v>222</v>
      </c>
      <c r="D500" s="7" t="s">
        <v>46</v>
      </c>
      <c r="E500" s="8" t="s">
        <v>793</v>
      </c>
      <c r="G500" s="25">
        <f t="shared" si="7"/>
        <v>60480</v>
      </c>
      <c r="H500" s="25">
        <f t="array" ref="H500">IF(A500=A499,0,SUM(_xlfn._xlws.FILTER(G500:G520,A500:A520=A500)))</f>
        <v>0</v>
      </c>
      <c r="I500" s="25">
        <f t="array" ref="I500">IFERROR(IF(A500=A499,0,SUM(_xlfn._xlws.FILTER(G500:G520,(A500:A520=A500)*(E500:E520&lt;0)))),0)</f>
        <v>0</v>
      </c>
      <c r="J500" s="25">
        <f t="array" ref="J500">IFERROR(IF(A500=A499,0,SUM(_xlfn._xlws.FILTER(G500:G520,(A500:A520=A500)*(E500:E520&gt;0)))),0)</f>
        <v>0</v>
      </c>
      <c r="K500" s="25">
        <f>IF(H500&lt;&gt;0,SUM(H$2:H500),0)</f>
        <v>0</v>
      </c>
      <c r="L500" s="25">
        <f>IF(I500&lt;&gt;0,SUM(I$2:I500),0)</f>
        <v>0</v>
      </c>
      <c r="M500" s="25">
        <f>IF(J500&lt;&gt;0,SUM(J$2:J500),0)</f>
        <v>0</v>
      </c>
    </row>
    <row r="501" spans="1:13" x14ac:dyDescent="0.2">
      <c r="A501" s="5" t="s">
        <v>791</v>
      </c>
      <c r="C501" s="6" t="s">
        <v>19</v>
      </c>
      <c r="D501" s="7" t="s">
        <v>56</v>
      </c>
      <c r="E501" s="8" t="s">
        <v>794</v>
      </c>
      <c r="G501" s="25">
        <f t="shared" si="7"/>
        <v>90120</v>
      </c>
      <c r="H501" s="25">
        <f t="array" ref="H501">IF(A501=A500,0,SUM(_xlfn._xlws.FILTER(G501:G521,A501:A521=A501)))</f>
        <v>0</v>
      </c>
      <c r="I501" s="25">
        <f t="array" ref="I501">IFERROR(IF(A501=A500,0,SUM(_xlfn._xlws.FILTER(G501:G521,(A501:A521=A501)*(E501:E521&lt;0)))),0)</f>
        <v>0</v>
      </c>
      <c r="J501" s="25">
        <f t="array" ref="J501">IFERROR(IF(A501=A500,0,SUM(_xlfn._xlws.FILTER(G501:G521,(A501:A521=A501)*(E501:E521&gt;0)))),0)</f>
        <v>0</v>
      </c>
      <c r="K501" s="25">
        <f>IF(H501&lt;&gt;0,SUM(H$2:H501),0)</f>
        <v>0</v>
      </c>
      <c r="L501" s="25">
        <f>IF(I501&lt;&gt;0,SUM(I$2:I501),0)</f>
        <v>0</v>
      </c>
      <c r="M501" s="25">
        <f>IF(J501&lt;&gt;0,SUM(J$2:J501),0)</f>
        <v>0</v>
      </c>
    </row>
    <row r="502" spans="1:13" x14ac:dyDescent="0.2">
      <c r="A502" s="5" t="s">
        <v>791</v>
      </c>
      <c r="C502" s="6" t="s">
        <v>288</v>
      </c>
      <c r="D502" s="7" t="s">
        <v>82</v>
      </c>
      <c r="E502" s="8" t="s">
        <v>792</v>
      </c>
      <c r="G502" s="25">
        <f t="shared" si="7"/>
        <v>48360</v>
      </c>
      <c r="H502" s="25">
        <f t="array" ref="H502">IF(A502=A501,0,SUM(_xlfn._xlws.FILTER(G502:G522,A502:A522=A502)))</f>
        <v>0</v>
      </c>
      <c r="I502" s="25">
        <f t="array" ref="I502">IFERROR(IF(A502=A501,0,SUM(_xlfn._xlws.FILTER(G502:G522,(A502:A522=A502)*(E502:E522&lt;0)))),0)</f>
        <v>0</v>
      </c>
      <c r="J502" s="25">
        <f t="array" ref="J502">IFERROR(IF(A502=A501,0,SUM(_xlfn._xlws.FILTER(G502:G522,(A502:A522=A502)*(E502:E522&gt;0)))),0)</f>
        <v>0</v>
      </c>
      <c r="K502" s="25">
        <f>IF(H502&lt;&gt;0,SUM(H$2:H502),0)</f>
        <v>0</v>
      </c>
      <c r="L502" s="25">
        <f>IF(I502&lt;&gt;0,SUM(I$2:I502),0)</f>
        <v>0</v>
      </c>
      <c r="M502" s="25">
        <f>IF(J502&lt;&gt;0,SUM(J$2:J502),0)</f>
        <v>0</v>
      </c>
    </row>
    <row r="503" spans="1:13" x14ac:dyDescent="0.2">
      <c r="A503" s="5" t="s">
        <v>791</v>
      </c>
      <c r="C503" s="6" t="s">
        <v>25</v>
      </c>
      <c r="D503" s="7" t="s">
        <v>53</v>
      </c>
      <c r="E503" s="8" t="s">
        <v>795</v>
      </c>
      <c r="G503" s="25">
        <f t="shared" si="7"/>
        <v>40920</v>
      </c>
      <c r="H503" s="25">
        <f t="array" ref="H503">IF(A503=A502,0,SUM(_xlfn._xlws.FILTER(G503:G523,A503:A523=A503)))</f>
        <v>0</v>
      </c>
      <c r="I503" s="25">
        <f t="array" ref="I503">IFERROR(IF(A503=A502,0,SUM(_xlfn._xlws.FILTER(G503:G523,(A503:A523=A503)*(E503:E523&lt;0)))),0)</f>
        <v>0</v>
      </c>
      <c r="J503" s="25">
        <f t="array" ref="J503">IFERROR(IF(A503=A502,0,SUM(_xlfn._xlws.FILTER(G503:G523,(A503:A523=A503)*(E503:E523&gt;0)))),0)</f>
        <v>0</v>
      </c>
      <c r="K503" s="25">
        <f>IF(H503&lt;&gt;0,SUM(H$2:H503),0)</f>
        <v>0</v>
      </c>
      <c r="L503" s="25">
        <f>IF(I503&lt;&gt;0,SUM(I$2:I503),0)</f>
        <v>0</v>
      </c>
      <c r="M503" s="25">
        <f>IF(J503&lt;&gt;0,SUM(J$2:J503),0)</f>
        <v>0</v>
      </c>
    </row>
    <row r="504" spans="1:13" x14ac:dyDescent="0.2">
      <c r="A504" s="5" t="s">
        <v>791</v>
      </c>
      <c r="C504" s="6" t="s">
        <v>796</v>
      </c>
      <c r="D504" s="7" t="s">
        <v>32</v>
      </c>
      <c r="E504" s="8" t="s">
        <v>797</v>
      </c>
      <c r="G504" s="25">
        <f t="shared" si="7"/>
        <v>15400</v>
      </c>
      <c r="H504" s="25">
        <f t="array" ref="H504">IF(A504=A503,0,SUM(_xlfn._xlws.FILTER(G504:G524,A504:A524=A504)))</f>
        <v>0</v>
      </c>
      <c r="I504" s="25">
        <f t="array" ref="I504">IFERROR(IF(A504=A503,0,SUM(_xlfn._xlws.FILTER(G504:G524,(A504:A524=A504)*(E504:E524&lt;0)))),0)</f>
        <v>0</v>
      </c>
      <c r="J504" s="25">
        <f t="array" ref="J504">IFERROR(IF(A504=A503,0,SUM(_xlfn._xlws.FILTER(G504:G524,(A504:A524=A504)*(E504:E524&gt;0)))),0)</f>
        <v>0</v>
      </c>
      <c r="K504" s="25">
        <f>IF(H504&lt;&gt;0,SUM(H$2:H504),0)</f>
        <v>0</v>
      </c>
      <c r="L504" s="25">
        <f>IF(I504&lt;&gt;0,SUM(I$2:I504),0)</f>
        <v>0</v>
      </c>
      <c r="M504" s="25">
        <f>IF(J504&lt;&gt;0,SUM(J$2:J504),0)</f>
        <v>0</v>
      </c>
    </row>
    <row r="505" spans="1:13" x14ac:dyDescent="0.2">
      <c r="A505" s="5" t="s">
        <v>791</v>
      </c>
      <c r="C505" s="6" t="s">
        <v>798</v>
      </c>
      <c r="D505" s="7" t="s">
        <v>799</v>
      </c>
      <c r="E505" s="8" t="s">
        <v>800</v>
      </c>
      <c r="G505" s="25">
        <f t="shared" si="7"/>
        <v>-59879.4</v>
      </c>
      <c r="H505" s="25">
        <f t="array" ref="H505">IF(A505=A504,0,SUM(_xlfn._xlws.FILTER(G505:G525,A505:A525=A505)))</f>
        <v>0</v>
      </c>
      <c r="I505" s="25">
        <f t="array" ref="I505">IFERROR(IF(A505=A504,0,SUM(_xlfn._xlws.FILTER(G505:G525,(A505:A525=A505)*(E505:E525&lt;0)))),0)</f>
        <v>0</v>
      </c>
      <c r="J505" s="25">
        <f t="array" ref="J505">IFERROR(IF(A505=A504,0,SUM(_xlfn._xlws.FILTER(G505:G525,(A505:A525=A505)*(E505:E525&gt;0)))),0)</f>
        <v>0</v>
      </c>
      <c r="K505" s="25">
        <f>IF(H505&lt;&gt;0,SUM(H$2:H505),0)</f>
        <v>0</v>
      </c>
      <c r="L505" s="25">
        <f>IF(I505&lt;&gt;0,SUM(I$2:I505),0)</f>
        <v>0</v>
      </c>
      <c r="M505" s="25">
        <f>IF(J505&lt;&gt;0,SUM(J$2:J505),0)</f>
        <v>0</v>
      </c>
    </row>
    <row r="506" spans="1:13" x14ac:dyDescent="0.2">
      <c r="A506" s="5" t="s">
        <v>791</v>
      </c>
      <c r="C506" s="6" t="s">
        <v>801</v>
      </c>
      <c r="D506" s="7" t="s">
        <v>20</v>
      </c>
      <c r="E506" s="8" t="s">
        <v>802</v>
      </c>
      <c r="G506" s="25">
        <f t="shared" si="7"/>
        <v>-232338</v>
      </c>
      <c r="H506" s="25">
        <f t="array" ref="H506">IF(A506=A505,0,SUM(_xlfn._xlws.FILTER(G506:G526,A506:A526=A506)))</f>
        <v>0</v>
      </c>
      <c r="I506" s="25">
        <f t="array" ref="I506">IFERROR(IF(A506=A505,0,SUM(_xlfn._xlws.FILTER(G506:G526,(A506:A526=A506)*(E506:E526&lt;0)))),0)</f>
        <v>0</v>
      </c>
      <c r="J506" s="25">
        <f t="array" ref="J506">IFERROR(IF(A506=A505,0,SUM(_xlfn._xlws.FILTER(G506:G526,(A506:A526=A506)*(E506:E526&gt;0)))),0)</f>
        <v>0</v>
      </c>
      <c r="K506" s="25">
        <f>IF(H506&lt;&gt;0,SUM(H$2:H506),0)</f>
        <v>0</v>
      </c>
      <c r="L506" s="25">
        <f>IF(I506&lt;&gt;0,SUM(I$2:I506),0)</f>
        <v>0</v>
      </c>
      <c r="M506" s="25">
        <f>IF(J506&lt;&gt;0,SUM(J$2:J506),0)</f>
        <v>0</v>
      </c>
    </row>
    <row r="507" spans="1:13" x14ac:dyDescent="0.2">
      <c r="A507" s="5" t="s">
        <v>791</v>
      </c>
      <c r="C507" s="6" t="s">
        <v>803</v>
      </c>
      <c r="D507" s="7" t="s">
        <v>804</v>
      </c>
      <c r="E507" s="8" t="s">
        <v>805</v>
      </c>
      <c r="G507" s="25">
        <f t="shared" si="7"/>
        <v>34760</v>
      </c>
      <c r="H507" s="25">
        <f t="array" ref="H507">IF(A507=A506,0,SUM(_xlfn._xlws.FILTER(G507:G527,A507:A527=A507)))</f>
        <v>0</v>
      </c>
      <c r="I507" s="25">
        <f t="array" ref="I507">IFERROR(IF(A507=A506,0,SUM(_xlfn._xlws.FILTER(G507:G527,(A507:A527=A507)*(E507:E527&lt;0)))),0)</f>
        <v>0</v>
      </c>
      <c r="J507" s="25">
        <f t="array" ref="J507">IFERROR(IF(A507=A506,0,SUM(_xlfn._xlws.FILTER(G507:G527,(A507:A527=A507)*(E507:E527&gt;0)))),0)</f>
        <v>0</v>
      </c>
      <c r="K507" s="25">
        <f>IF(H507&lt;&gt;0,SUM(H$2:H507),0)</f>
        <v>0</v>
      </c>
      <c r="L507" s="25">
        <f>IF(I507&lt;&gt;0,SUM(I$2:I507),0)</f>
        <v>0</v>
      </c>
      <c r="M507" s="25">
        <f>IF(J507&lt;&gt;0,SUM(J$2:J507),0)</f>
        <v>0</v>
      </c>
    </row>
    <row r="508" spans="1:13" x14ac:dyDescent="0.2">
      <c r="A508" s="1" t="s">
        <v>806</v>
      </c>
      <c r="C508" s="2" t="s">
        <v>305</v>
      </c>
      <c r="D508" s="2" t="s">
        <v>807</v>
      </c>
      <c r="E508" s="2" t="s">
        <v>808</v>
      </c>
      <c r="G508" s="25">
        <f t="shared" si="7"/>
        <v>18500</v>
      </c>
      <c r="H508" s="25">
        <f t="array" ref="H508">IF(A508=A507,0,SUM(_xlfn._xlws.FILTER(G508:G528,A508:A528=A508)))</f>
        <v>372128</v>
      </c>
      <c r="I508" s="25">
        <f t="array" ref="I508">IFERROR(IF(A508=A507,0,SUM(_xlfn._xlws.FILTER(G508:G528,(A508:A528=A508)*(E508:E528&lt;0)))),0)</f>
        <v>0</v>
      </c>
      <c r="J508" s="25">
        <f t="array" ref="J508">IFERROR(IF(A508=A507,0,SUM(_xlfn._xlws.FILTER(G508:G528,(A508:A528=A508)*(E508:E528&gt;0)))),0)</f>
        <v>372128</v>
      </c>
      <c r="K508" s="25">
        <f>IF(H508&lt;&gt;0,SUM(H$2:H508),0)</f>
        <v>-1845930.3923069998</v>
      </c>
      <c r="L508" s="25">
        <f>IF(I508&lt;&gt;0,SUM(I$2:I508),0)</f>
        <v>0</v>
      </c>
      <c r="M508" s="25">
        <f>IF(J508&lt;&gt;0,SUM(J$2:J508),0)</f>
        <v>-1845930.3923069998</v>
      </c>
    </row>
    <row r="509" spans="1:13" x14ac:dyDescent="0.2">
      <c r="A509" s="1" t="s">
        <v>806</v>
      </c>
      <c r="C509" s="2" t="s">
        <v>61</v>
      </c>
      <c r="D509" s="2" t="s">
        <v>92</v>
      </c>
      <c r="E509" s="2" t="s">
        <v>809</v>
      </c>
      <c r="G509" s="25">
        <f t="shared" si="7"/>
        <v>39000</v>
      </c>
      <c r="H509" s="25">
        <f t="array" ref="H509">IF(A509=A508,0,SUM(_xlfn._xlws.FILTER(G509:G529,A509:A529=A509)))</f>
        <v>0</v>
      </c>
      <c r="I509" s="25">
        <f t="array" ref="I509">IFERROR(IF(A509=A508,0,SUM(_xlfn._xlws.FILTER(G509:G529,(A509:A529=A509)*(E509:E529&lt;0)))),0)</f>
        <v>0</v>
      </c>
      <c r="J509" s="25">
        <f t="array" ref="J509">IFERROR(IF(A509=A508,0,SUM(_xlfn._xlws.FILTER(G509:G529,(A509:A529=A509)*(E509:E529&gt;0)))),0)</f>
        <v>0</v>
      </c>
      <c r="K509" s="25">
        <f>IF(H509&lt;&gt;0,SUM(H$2:H509),0)</f>
        <v>0</v>
      </c>
      <c r="L509" s="25">
        <f>IF(I509&lt;&gt;0,SUM(I$2:I509),0)</f>
        <v>0</v>
      </c>
      <c r="M509" s="25">
        <f>IF(J509&lt;&gt;0,SUM(J$2:J509),0)</f>
        <v>0</v>
      </c>
    </row>
    <row r="510" spans="1:13" x14ac:dyDescent="0.2">
      <c r="A510" s="1" t="s">
        <v>806</v>
      </c>
      <c r="C510" s="2" t="s">
        <v>278</v>
      </c>
      <c r="D510" s="2" t="s">
        <v>92</v>
      </c>
      <c r="E510" s="2" t="s">
        <v>810</v>
      </c>
      <c r="G510" s="25">
        <f t="shared" si="7"/>
        <v>78588</v>
      </c>
      <c r="H510" s="25">
        <f t="array" ref="H510">IF(A510=A509,0,SUM(_xlfn._xlws.FILTER(G510:G530,A510:A530=A510)))</f>
        <v>0</v>
      </c>
      <c r="I510" s="25">
        <f t="array" ref="I510">IFERROR(IF(A510=A509,0,SUM(_xlfn._xlws.FILTER(G510:G530,(A510:A530=A510)*(E510:E530&lt;0)))),0)</f>
        <v>0</v>
      </c>
      <c r="J510" s="25">
        <f t="array" ref="J510">IFERROR(IF(A510=A509,0,SUM(_xlfn._xlws.FILTER(G510:G530,(A510:A530=A510)*(E510:E530&gt;0)))),0)</f>
        <v>0</v>
      </c>
      <c r="K510" s="25">
        <f>IF(H510&lt;&gt;0,SUM(H$2:H510),0)</f>
        <v>0</v>
      </c>
      <c r="L510" s="25">
        <f>IF(I510&lt;&gt;0,SUM(I$2:I510),0)</f>
        <v>0</v>
      </c>
      <c r="M510" s="25">
        <f>IF(J510&lt;&gt;0,SUM(J$2:J510),0)</f>
        <v>0</v>
      </c>
    </row>
    <row r="511" spans="1:13" x14ac:dyDescent="0.2">
      <c r="A511" s="1" t="s">
        <v>806</v>
      </c>
      <c r="C511" s="2" t="s">
        <v>52</v>
      </c>
      <c r="D511" s="2" t="s">
        <v>719</v>
      </c>
      <c r="E511" s="2" t="s">
        <v>811</v>
      </c>
      <c r="G511" s="25">
        <f t="shared" si="7"/>
        <v>204540</v>
      </c>
      <c r="H511" s="25">
        <f t="array" ref="H511">IF(A511=A510,0,SUM(_xlfn._xlws.FILTER(G511:G531,A511:A531=A511)))</f>
        <v>0</v>
      </c>
      <c r="I511" s="25">
        <f t="array" ref="I511">IFERROR(IF(A511=A510,0,SUM(_xlfn._xlws.FILTER(G511:G531,(A511:A531=A511)*(E511:E531&lt;0)))),0)</f>
        <v>0</v>
      </c>
      <c r="J511" s="25">
        <f t="array" ref="J511">IFERROR(IF(A511=A510,0,SUM(_xlfn._xlws.FILTER(G511:G531,(A511:A531=A511)*(E511:E531&gt;0)))),0)</f>
        <v>0</v>
      </c>
      <c r="K511" s="25">
        <f>IF(H511&lt;&gt;0,SUM(H$2:H511),0)</f>
        <v>0</v>
      </c>
      <c r="L511" s="25">
        <f>IF(I511&lt;&gt;0,SUM(I$2:I511),0)</f>
        <v>0</v>
      </c>
      <c r="M511" s="25">
        <f>IF(J511&lt;&gt;0,SUM(J$2:J511),0)</f>
        <v>0</v>
      </c>
    </row>
    <row r="512" spans="1:13" x14ac:dyDescent="0.2">
      <c r="A512" s="1" t="s">
        <v>806</v>
      </c>
      <c r="C512" s="2" t="s">
        <v>134</v>
      </c>
      <c r="D512" s="2" t="s">
        <v>789</v>
      </c>
      <c r="E512" s="2" t="s">
        <v>812</v>
      </c>
      <c r="G512" s="25">
        <f t="shared" si="7"/>
        <v>31500</v>
      </c>
      <c r="H512" s="25">
        <f t="array" ref="H512">IF(A512=A511,0,SUM(_xlfn._xlws.FILTER(G512:G532,A512:A532=A512)))</f>
        <v>0</v>
      </c>
      <c r="I512" s="25">
        <f t="array" ref="I512">IFERROR(IF(A512=A511,0,SUM(_xlfn._xlws.FILTER(G512:G532,(A512:A532=A512)*(E512:E532&lt;0)))),0)</f>
        <v>0</v>
      </c>
      <c r="J512" s="25">
        <f t="array" ref="J512">IFERROR(IF(A512=A511,0,SUM(_xlfn._xlws.FILTER(G512:G532,(A512:A532=A512)*(E512:E532&gt;0)))),0)</f>
        <v>0</v>
      </c>
      <c r="K512" s="25">
        <f>IF(H512&lt;&gt;0,SUM(H$2:H512),0)</f>
        <v>0</v>
      </c>
      <c r="L512" s="25">
        <f>IF(I512&lt;&gt;0,SUM(I$2:I512),0)</f>
        <v>0</v>
      </c>
      <c r="M512" s="25">
        <f>IF(J512&lt;&gt;0,SUM(J$2:J512),0)</f>
        <v>0</v>
      </c>
    </row>
    <row r="513" spans="1:13" x14ac:dyDescent="0.2">
      <c r="A513" s="5" t="s">
        <v>813</v>
      </c>
      <c r="C513" s="6" t="s">
        <v>139</v>
      </c>
      <c r="D513" s="7" t="s">
        <v>50</v>
      </c>
      <c r="E513" s="8" t="s">
        <v>814</v>
      </c>
      <c r="G513" s="25">
        <f t="shared" si="7"/>
        <v>39701</v>
      </c>
      <c r="H513" s="25">
        <f t="array" ref="H513">IF(A513=A512,0,SUM(_xlfn._xlws.FILTER(G513:G533,A513:A533=A513)))</f>
        <v>-16867</v>
      </c>
      <c r="I513" s="25">
        <f t="array" ref="I513">IFERROR(IF(A513=A512,0,SUM(_xlfn._xlws.FILTER(G513:G533,(A513:A533=A513)*(E513:E533&lt;0)))),0)</f>
        <v>0</v>
      </c>
      <c r="J513" s="25">
        <f t="array" ref="J513">IFERROR(IF(A513=A512,0,SUM(_xlfn._xlws.FILTER(G513:G533,(A513:A533=A513)*(E513:E533&gt;0)))),0)</f>
        <v>-16867</v>
      </c>
      <c r="K513" s="25">
        <f>IF(H513&lt;&gt;0,SUM(H$2:H513),0)</f>
        <v>-1862797.3923069998</v>
      </c>
      <c r="L513" s="25">
        <f>IF(I513&lt;&gt;0,SUM(I$2:I513),0)</f>
        <v>0</v>
      </c>
      <c r="M513" s="25">
        <f>IF(J513&lt;&gt;0,SUM(J$2:J513),0)</f>
        <v>-1862797.3923069998</v>
      </c>
    </row>
    <row r="514" spans="1:13" x14ac:dyDescent="0.2">
      <c r="A514" s="5" t="s">
        <v>813</v>
      </c>
      <c r="C514" s="6" t="s">
        <v>94</v>
      </c>
      <c r="D514" s="7" t="s">
        <v>16</v>
      </c>
      <c r="E514" s="8" t="s">
        <v>815</v>
      </c>
      <c r="G514" s="25">
        <f t="shared" ref="G514:G577" si="8">D514*E514*IF(OR(C514="IAG",C514="EZJ",C514="AET"),0.01,1)</f>
        <v>-108260</v>
      </c>
      <c r="H514" s="25">
        <f t="array" ref="H514">IF(A514=A513,0,SUM(_xlfn._xlws.FILTER(G514:G534,A514:A534=A514)))</f>
        <v>0</v>
      </c>
      <c r="I514" s="25">
        <f t="array" ref="I514">IFERROR(IF(A514=A513,0,SUM(_xlfn._xlws.FILTER(G514:G534,(A514:A534=A514)*(E514:E534&lt;0)))),0)</f>
        <v>0</v>
      </c>
      <c r="J514" s="25">
        <f t="array" ref="J514">IFERROR(IF(A514=A513,0,SUM(_xlfn._xlws.FILTER(G514:G534,(A514:A534=A514)*(E514:E534&gt;0)))),0)</f>
        <v>0</v>
      </c>
      <c r="K514" s="25">
        <f>IF(H514&lt;&gt;0,SUM(H$2:H514),0)</f>
        <v>0</v>
      </c>
      <c r="L514" s="25">
        <f>IF(I514&lt;&gt;0,SUM(I$2:I514),0)</f>
        <v>0</v>
      </c>
      <c r="M514" s="25">
        <f>IF(J514&lt;&gt;0,SUM(J$2:J514),0)</f>
        <v>0</v>
      </c>
    </row>
    <row r="515" spans="1:13" x14ac:dyDescent="0.2">
      <c r="A515" s="5" t="s">
        <v>813</v>
      </c>
      <c r="C515" s="6" t="s">
        <v>15</v>
      </c>
      <c r="D515" s="7" t="s">
        <v>16</v>
      </c>
      <c r="E515" s="8" t="s">
        <v>816</v>
      </c>
      <c r="G515" s="25">
        <f t="shared" si="8"/>
        <v>58280</v>
      </c>
      <c r="H515" s="25">
        <f t="array" ref="H515">IF(A515=A514,0,SUM(_xlfn._xlws.FILTER(G515:G535,A515:A535=A515)))</f>
        <v>0</v>
      </c>
      <c r="I515" s="25">
        <f t="array" ref="I515">IFERROR(IF(A515=A514,0,SUM(_xlfn._xlws.FILTER(G515:G535,(A515:A535=A515)*(E515:E535&lt;0)))),0)</f>
        <v>0</v>
      </c>
      <c r="J515" s="25">
        <f t="array" ref="J515">IFERROR(IF(A515=A514,0,SUM(_xlfn._xlws.FILTER(G515:G535,(A515:A535=A515)*(E515:E535&gt;0)))),0)</f>
        <v>0</v>
      </c>
      <c r="K515" s="25">
        <f>IF(H515&lt;&gt;0,SUM(H$2:H515),0)</f>
        <v>0</v>
      </c>
      <c r="L515" s="25">
        <f>IF(I515&lt;&gt;0,SUM(I$2:I515),0)</f>
        <v>0</v>
      </c>
      <c r="M515" s="25">
        <f>IF(J515&lt;&gt;0,SUM(J$2:J515),0)</f>
        <v>0</v>
      </c>
    </row>
    <row r="516" spans="1:13" x14ac:dyDescent="0.2">
      <c r="A516" s="5" t="s">
        <v>813</v>
      </c>
      <c r="C516" s="6" t="s">
        <v>52</v>
      </c>
      <c r="D516" s="7" t="s">
        <v>100</v>
      </c>
      <c r="E516" s="8" t="s">
        <v>817</v>
      </c>
      <c r="G516" s="25">
        <f t="shared" si="8"/>
        <v>-60372</v>
      </c>
      <c r="H516" s="25">
        <f t="array" ref="H516">IF(A516=A515,0,SUM(_xlfn._xlws.FILTER(G516:G536,A516:A536=A516)))</f>
        <v>0</v>
      </c>
      <c r="I516" s="25">
        <f t="array" ref="I516">IFERROR(IF(A516=A515,0,SUM(_xlfn._xlws.FILTER(G516:G536,(A516:A536=A516)*(E516:E536&lt;0)))),0)</f>
        <v>0</v>
      </c>
      <c r="J516" s="25">
        <f t="array" ref="J516">IFERROR(IF(A516=A515,0,SUM(_xlfn._xlws.FILTER(G516:G536,(A516:A536=A516)*(E516:E536&gt;0)))),0)</f>
        <v>0</v>
      </c>
      <c r="K516" s="25">
        <f>IF(H516&lt;&gt;0,SUM(H$2:H516),0)</f>
        <v>0</v>
      </c>
      <c r="L516" s="25">
        <f>IF(I516&lt;&gt;0,SUM(I$2:I516),0)</f>
        <v>0</v>
      </c>
      <c r="M516" s="25">
        <f>IF(J516&lt;&gt;0,SUM(J$2:J516),0)</f>
        <v>0</v>
      </c>
    </row>
    <row r="517" spans="1:13" x14ac:dyDescent="0.2">
      <c r="A517" s="5" t="s">
        <v>813</v>
      </c>
      <c r="C517" s="6" t="s">
        <v>45</v>
      </c>
      <c r="D517" s="7" t="s">
        <v>26</v>
      </c>
      <c r="E517" s="8" t="s">
        <v>818</v>
      </c>
      <c r="G517" s="25">
        <f t="shared" si="8"/>
        <v>31284</v>
      </c>
      <c r="H517" s="25">
        <f t="array" ref="H517">IF(A517=A516,0,SUM(_xlfn._xlws.FILTER(G517:G537,A517:A537=A517)))</f>
        <v>0</v>
      </c>
      <c r="I517" s="25">
        <f t="array" ref="I517">IFERROR(IF(A517=A516,0,SUM(_xlfn._xlws.FILTER(G517:G537,(A517:A537=A517)*(E517:E537&lt;0)))),0)</f>
        <v>0</v>
      </c>
      <c r="J517" s="25">
        <f t="array" ref="J517">IFERROR(IF(A517=A516,0,SUM(_xlfn._xlws.FILTER(G517:G537,(A517:A537=A517)*(E517:E537&gt;0)))),0)</f>
        <v>0</v>
      </c>
      <c r="K517" s="25">
        <f>IF(H517&lt;&gt;0,SUM(H$2:H517),0)</f>
        <v>0</v>
      </c>
      <c r="L517" s="25">
        <f>IF(I517&lt;&gt;0,SUM(I$2:I517),0)</f>
        <v>0</v>
      </c>
      <c r="M517" s="25">
        <f>IF(J517&lt;&gt;0,SUM(J$2:J517),0)</f>
        <v>0</v>
      </c>
    </row>
    <row r="518" spans="1:13" x14ac:dyDescent="0.2">
      <c r="A518" s="5" t="s">
        <v>813</v>
      </c>
      <c r="C518" s="5" t="s">
        <v>305</v>
      </c>
      <c r="D518" s="6" t="s">
        <v>807</v>
      </c>
      <c r="E518" s="7" t="s">
        <v>597</v>
      </c>
      <c r="G518" s="25">
        <f t="shared" si="8"/>
        <v>22500</v>
      </c>
      <c r="H518" s="25">
        <f t="array" ref="H518">IF(A518=A517,0,SUM(_xlfn._xlws.FILTER(G518:G538,A518:A538=A518)))</f>
        <v>0</v>
      </c>
      <c r="I518" s="25">
        <f t="array" ref="I518">IFERROR(IF(A518=A517,0,SUM(_xlfn._xlws.FILTER(G518:G538,(A518:A538=A518)*(E518:E538&lt;0)))),0)</f>
        <v>0</v>
      </c>
      <c r="J518" s="25">
        <f t="array" ref="J518">IFERROR(IF(A518=A517,0,SUM(_xlfn._xlws.FILTER(G518:G538,(A518:A538=A518)*(E518:E538&gt;0)))),0)</f>
        <v>0</v>
      </c>
      <c r="K518" s="25">
        <f>IF(H518&lt;&gt;0,SUM(H$2:H518),0)</f>
        <v>0</v>
      </c>
      <c r="L518" s="25">
        <f>IF(I518&lt;&gt;0,SUM(I$2:I518),0)</f>
        <v>0</v>
      </c>
      <c r="M518" s="25">
        <f>IF(J518&lt;&gt;0,SUM(J$2:J518),0)</f>
        <v>0</v>
      </c>
    </row>
    <row r="519" spans="1:13" x14ac:dyDescent="0.2">
      <c r="A519" s="1" t="s">
        <v>819</v>
      </c>
      <c r="C519" s="2" t="s">
        <v>94</v>
      </c>
      <c r="D519" s="2" t="s">
        <v>698</v>
      </c>
      <c r="E519" s="4" t="s">
        <v>820</v>
      </c>
      <c r="G519" s="25">
        <f t="shared" si="8"/>
        <v>-109360</v>
      </c>
      <c r="H519" s="25">
        <f t="array" ref="H519">IF(A519=A518,0,SUM(_xlfn._xlws.FILTER(G519:G539,A519:A539=A519)))</f>
        <v>180047.40000000002</v>
      </c>
      <c r="I519" s="25">
        <f t="array" ref="I519">IFERROR(IF(A519=A518,0,SUM(_xlfn._xlws.FILTER(G519:G539,(A519:A539=A519)*(E519:E539&lt;0)))),0)</f>
        <v>0</v>
      </c>
      <c r="J519" s="25">
        <f t="array" ref="J519">IFERROR(IF(A519=A518,0,SUM(_xlfn._xlws.FILTER(G519:G539,(A519:A539=A519)*(E519:E539&gt;0)))),0)</f>
        <v>180047.40000000002</v>
      </c>
      <c r="K519" s="25">
        <f>IF(H519&lt;&gt;0,SUM(H$2:H519),0)</f>
        <v>-1682749.9923069999</v>
      </c>
      <c r="L519" s="25">
        <f>IF(I519&lt;&gt;0,SUM(I$2:I519),0)</f>
        <v>0</v>
      </c>
      <c r="M519" s="25">
        <f>IF(J519&lt;&gt;0,SUM(J$2:J519),0)</f>
        <v>-1682749.9923069999</v>
      </c>
    </row>
    <row r="520" spans="1:13" x14ac:dyDescent="0.2">
      <c r="A520" s="1" t="s">
        <v>819</v>
      </c>
      <c r="C520" s="2" t="s">
        <v>320</v>
      </c>
      <c r="D520" s="2" t="s">
        <v>719</v>
      </c>
      <c r="E520" s="4" t="s">
        <v>689</v>
      </c>
      <c r="G520" s="25">
        <f t="shared" si="8"/>
        <v>61800</v>
      </c>
      <c r="H520" s="25">
        <f t="array" ref="H520">IF(A520=A519,0,SUM(_xlfn._xlws.FILTER(G520:G540,A520:A540=A520)))</f>
        <v>0</v>
      </c>
      <c r="I520" s="25">
        <f t="array" ref="I520">IFERROR(IF(A520=A519,0,SUM(_xlfn._xlws.FILTER(G520:G540,(A520:A540=A520)*(E520:E540&lt;0)))),0)</f>
        <v>0</v>
      </c>
      <c r="J520" s="25">
        <f t="array" ref="J520">IFERROR(IF(A520=A519,0,SUM(_xlfn._xlws.FILTER(G520:G540,(A520:A540=A520)*(E520:E540&gt;0)))),0)</f>
        <v>0</v>
      </c>
      <c r="K520" s="25">
        <f>IF(H520&lt;&gt;0,SUM(H$2:H520),0)</f>
        <v>0</v>
      </c>
      <c r="L520" s="25">
        <f>IF(I520&lt;&gt;0,SUM(I$2:I520),0)</f>
        <v>0</v>
      </c>
      <c r="M520" s="25">
        <f>IF(J520&lt;&gt;0,SUM(J$2:J520),0)</f>
        <v>0</v>
      </c>
    </row>
    <row r="521" spans="1:13" x14ac:dyDescent="0.2">
      <c r="A521" s="1" t="s">
        <v>819</v>
      </c>
      <c r="C521" s="2" t="s">
        <v>139</v>
      </c>
      <c r="D521" s="2" t="s">
        <v>789</v>
      </c>
      <c r="E521" s="4" t="s">
        <v>821</v>
      </c>
      <c r="G521" s="25">
        <f t="shared" si="8"/>
        <v>41470</v>
      </c>
      <c r="H521" s="25">
        <f t="array" ref="H521">IF(A521=A520,0,SUM(_xlfn._xlws.FILTER(G521:G541,A521:A541=A521)))</f>
        <v>0</v>
      </c>
      <c r="I521" s="25">
        <f t="array" ref="I521">IFERROR(IF(A521=A520,0,SUM(_xlfn._xlws.FILTER(G521:G541,(A521:A541=A521)*(E521:E541&lt;0)))),0)</f>
        <v>0</v>
      </c>
      <c r="J521" s="25">
        <f t="array" ref="J521">IFERROR(IF(A521=A520,0,SUM(_xlfn._xlws.FILTER(G521:G541,(A521:A541=A521)*(E521:E541&gt;0)))),0)</f>
        <v>0</v>
      </c>
      <c r="K521" s="25">
        <f>IF(H521&lt;&gt;0,SUM(H$2:H521),0)</f>
        <v>0</v>
      </c>
      <c r="L521" s="25">
        <f>IF(I521&lt;&gt;0,SUM(I$2:I521),0)</f>
        <v>0</v>
      </c>
      <c r="M521" s="25">
        <f>IF(J521&lt;&gt;0,SUM(J$2:J521),0)</f>
        <v>0</v>
      </c>
    </row>
    <row r="522" spans="1:13" x14ac:dyDescent="0.2">
      <c r="A522" s="1" t="s">
        <v>819</v>
      </c>
      <c r="C522" s="2" t="s">
        <v>37</v>
      </c>
      <c r="D522" s="2" t="s">
        <v>822</v>
      </c>
      <c r="E522" s="4" t="s">
        <v>823</v>
      </c>
      <c r="G522" s="25">
        <f t="shared" si="8"/>
        <v>55374.399999999994</v>
      </c>
      <c r="H522" s="25">
        <f t="array" ref="H522">IF(A522=A521,0,SUM(_xlfn._xlws.FILTER(G522:G542,A522:A542=A522)))</f>
        <v>0</v>
      </c>
      <c r="I522" s="25">
        <f t="array" ref="I522">IFERROR(IF(A522=A521,0,SUM(_xlfn._xlws.FILTER(G522:G542,(A522:A542=A522)*(E522:E542&lt;0)))),0)</f>
        <v>0</v>
      </c>
      <c r="J522" s="25">
        <f t="array" ref="J522">IFERROR(IF(A522=A521,0,SUM(_xlfn._xlws.FILTER(G522:G542,(A522:A542=A522)*(E522:E542&gt;0)))),0)</f>
        <v>0</v>
      </c>
      <c r="K522" s="25">
        <f>IF(H522&lt;&gt;0,SUM(H$2:H522),0)</f>
        <v>0</v>
      </c>
      <c r="L522" s="25">
        <f>IF(I522&lt;&gt;0,SUM(I$2:I522),0)</f>
        <v>0</v>
      </c>
      <c r="M522" s="25">
        <f>IF(J522&lt;&gt;0,SUM(J$2:J522),0)</f>
        <v>0</v>
      </c>
    </row>
    <row r="523" spans="1:13" x14ac:dyDescent="0.2">
      <c r="A523" s="1" t="s">
        <v>819</v>
      </c>
      <c r="C523" s="2" t="s">
        <v>157</v>
      </c>
      <c r="D523" s="2" t="s">
        <v>824</v>
      </c>
      <c r="E523" s="4" t="s">
        <v>825</v>
      </c>
      <c r="G523" s="25">
        <f t="shared" si="8"/>
        <v>-9200</v>
      </c>
      <c r="H523" s="25">
        <f t="array" ref="H523">IF(A523=A522,0,SUM(_xlfn._xlws.FILTER(G523:G543,A523:A543=A523)))</f>
        <v>0</v>
      </c>
      <c r="I523" s="25">
        <f t="array" ref="I523">IFERROR(IF(A523=A522,0,SUM(_xlfn._xlws.FILTER(G523:G543,(A523:A543=A523)*(E523:E543&lt;0)))),0)</f>
        <v>0</v>
      </c>
      <c r="J523" s="25">
        <f t="array" ref="J523">IFERROR(IF(A523=A522,0,SUM(_xlfn._xlws.FILTER(G523:G543,(A523:A543=A523)*(E523:E543&gt;0)))),0)</f>
        <v>0</v>
      </c>
      <c r="K523" s="25">
        <f>IF(H523&lt;&gt;0,SUM(H$2:H523),0)</f>
        <v>0</v>
      </c>
      <c r="L523" s="25">
        <f>IF(I523&lt;&gt;0,SUM(I$2:I523),0)</f>
        <v>0</v>
      </c>
      <c r="M523" s="25">
        <f>IF(J523&lt;&gt;0,SUM(J$2:J523),0)</f>
        <v>0</v>
      </c>
    </row>
    <row r="524" spans="1:13" x14ac:dyDescent="0.2">
      <c r="A524" s="1" t="s">
        <v>819</v>
      </c>
      <c r="C524" s="2" t="s">
        <v>34</v>
      </c>
      <c r="D524" s="2" t="s">
        <v>53</v>
      </c>
      <c r="E524" s="2" t="s">
        <v>826</v>
      </c>
      <c r="G524" s="25">
        <f t="shared" si="8"/>
        <v>43110</v>
      </c>
      <c r="H524" s="25">
        <f t="array" ref="H524">IF(A524=A523,0,SUM(_xlfn._xlws.FILTER(G524:G544,A524:A544=A524)))</f>
        <v>0</v>
      </c>
      <c r="I524" s="25">
        <f t="array" ref="I524">IFERROR(IF(A524=A523,0,SUM(_xlfn._xlws.FILTER(G524:G544,(A524:A544=A524)*(E524:E544&lt;0)))),0)</f>
        <v>0</v>
      </c>
      <c r="J524" s="25">
        <f t="array" ref="J524">IFERROR(IF(A524=A523,0,SUM(_xlfn._xlws.FILTER(G524:G544,(A524:A544=A524)*(E524:E544&gt;0)))),0)</f>
        <v>0</v>
      </c>
      <c r="K524" s="25">
        <f>IF(H524&lt;&gt;0,SUM(H$2:H524),0)</f>
        <v>0</v>
      </c>
      <c r="L524" s="25">
        <f>IF(I524&lt;&gt;0,SUM(I$2:I524),0)</f>
        <v>0</v>
      </c>
      <c r="M524" s="25">
        <f>IF(J524&lt;&gt;0,SUM(J$2:J524),0)</f>
        <v>0</v>
      </c>
    </row>
    <row r="525" spans="1:13" x14ac:dyDescent="0.2">
      <c r="A525" s="1" t="s">
        <v>819</v>
      </c>
      <c r="C525" s="2" t="s">
        <v>90</v>
      </c>
      <c r="D525" s="2" t="s">
        <v>20</v>
      </c>
      <c r="E525" s="2" t="s">
        <v>827</v>
      </c>
      <c r="G525" s="25">
        <f t="shared" si="8"/>
        <v>50724</v>
      </c>
      <c r="H525" s="25">
        <f t="array" ref="H525">IF(A525=A524,0,SUM(_xlfn._xlws.FILTER(G525:G545,A525:A545=A525)))</f>
        <v>0</v>
      </c>
      <c r="I525" s="25">
        <f t="array" ref="I525">IFERROR(IF(A525=A524,0,SUM(_xlfn._xlws.FILTER(G525:G545,(A525:A545=A525)*(E525:E545&lt;0)))),0)</f>
        <v>0</v>
      </c>
      <c r="J525" s="25">
        <f t="array" ref="J525">IFERROR(IF(A525=A524,0,SUM(_xlfn._xlws.FILTER(G525:G545,(A525:A545=A525)*(E525:E545&gt;0)))),0)</f>
        <v>0</v>
      </c>
      <c r="K525" s="25">
        <f>IF(H525&lt;&gt;0,SUM(H$2:H525),0)</f>
        <v>0</v>
      </c>
      <c r="L525" s="25">
        <f>IF(I525&lt;&gt;0,SUM(I$2:I525),0)</f>
        <v>0</v>
      </c>
      <c r="M525" s="25">
        <f>IF(J525&lt;&gt;0,SUM(J$2:J525),0)</f>
        <v>0</v>
      </c>
    </row>
    <row r="526" spans="1:13" x14ac:dyDescent="0.2">
      <c r="A526" s="1" t="s">
        <v>819</v>
      </c>
      <c r="C526" s="2" t="s">
        <v>303</v>
      </c>
      <c r="D526" s="2" t="s">
        <v>56</v>
      </c>
      <c r="E526" s="4" t="s">
        <v>828</v>
      </c>
      <c r="G526" s="25">
        <f t="shared" si="8"/>
        <v>123533</v>
      </c>
      <c r="H526" s="25">
        <f t="array" ref="H526">IF(A526=A525,0,SUM(_xlfn._xlws.FILTER(G526:G546,A526:A546=A526)))</f>
        <v>0</v>
      </c>
      <c r="I526" s="25">
        <f t="array" ref="I526">IFERROR(IF(A526=A525,0,SUM(_xlfn._xlws.FILTER(G526:G546,(A526:A546=A526)*(E526:E546&lt;0)))),0)</f>
        <v>0</v>
      </c>
      <c r="J526" s="25">
        <f t="array" ref="J526">IFERROR(IF(A526=A525,0,SUM(_xlfn._xlws.FILTER(G526:G546,(A526:A546=A526)*(E526:E546&gt;0)))),0)</f>
        <v>0</v>
      </c>
      <c r="K526" s="25">
        <f>IF(H526&lt;&gt;0,SUM(H$2:H526),0)</f>
        <v>0</v>
      </c>
      <c r="L526" s="25">
        <f>IF(I526&lt;&gt;0,SUM(I$2:I526),0)</f>
        <v>0</v>
      </c>
      <c r="M526" s="25">
        <f>IF(J526&lt;&gt;0,SUM(J$2:J526),0)</f>
        <v>0</v>
      </c>
    </row>
    <row r="527" spans="1:13" x14ac:dyDescent="0.2">
      <c r="A527" s="1" t="s">
        <v>819</v>
      </c>
      <c r="C527" s="2" t="s">
        <v>43</v>
      </c>
      <c r="D527" s="2" t="s">
        <v>307</v>
      </c>
      <c r="E527" s="4" t="s">
        <v>829</v>
      </c>
      <c r="G527" s="25">
        <f t="shared" si="8"/>
        <v>6732</v>
      </c>
      <c r="H527" s="25">
        <f t="array" ref="H527">IF(A527=A526,0,SUM(_xlfn._xlws.FILTER(G527:G547,A527:A547=A527)))</f>
        <v>0</v>
      </c>
      <c r="I527" s="25">
        <f t="array" ref="I527">IFERROR(IF(A527=A526,0,SUM(_xlfn._xlws.FILTER(G527:G547,(A527:A547=A527)*(E527:E547&lt;0)))),0)</f>
        <v>0</v>
      </c>
      <c r="J527" s="25">
        <f t="array" ref="J527">IFERROR(IF(A527=A526,0,SUM(_xlfn._xlws.FILTER(G527:G547,(A527:A547=A527)*(E527:E547&gt;0)))),0)</f>
        <v>0</v>
      </c>
      <c r="K527" s="25">
        <f>IF(H527&lt;&gt;0,SUM(H$2:H527),0)</f>
        <v>0</v>
      </c>
      <c r="L527" s="25">
        <f>IF(I527&lt;&gt;0,SUM(I$2:I527),0)</f>
        <v>0</v>
      </c>
      <c r="M527" s="25">
        <f>IF(J527&lt;&gt;0,SUM(J$2:J527),0)</f>
        <v>0</v>
      </c>
    </row>
    <row r="528" spans="1:13" x14ac:dyDescent="0.2">
      <c r="A528" s="1" t="s">
        <v>819</v>
      </c>
      <c r="C528" s="2" t="s">
        <v>611</v>
      </c>
      <c r="D528" s="2" t="s">
        <v>85</v>
      </c>
      <c r="E528" s="4" t="s">
        <v>830</v>
      </c>
      <c r="G528" s="25">
        <f t="shared" si="8"/>
        <v>-50836</v>
      </c>
      <c r="H528" s="25">
        <f t="array" ref="H528">IF(A528=A527,0,SUM(_xlfn._xlws.FILTER(G528:G548,A528:A548=A528)))</f>
        <v>0</v>
      </c>
      <c r="I528" s="25">
        <f t="array" ref="I528">IFERROR(IF(A528=A527,0,SUM(_xlfn._xlws.FILTER(G528:G548,(A528:A548=A528)*(E528:E548&lt;0)))),0)</f>
        <v>0</v>
      </c>
      <c r="J528" s="25">
        <f t="array" ref="J528">IFERROR(IF(A528=A527,0,SUM(_xlfn._xlws.FILTER(G528:G548,(A528:A548=A528)*(E528:E548&gt;0)))),0)</f>
        <v>0</v>
      </c>
      <c r="K528" s="25">
        <f>IF(H528&lt;&gt;0,SUM(H$2:H528),0)</f>
        <v>0</v>
      </c>
      <c r="L528" s="25">
        <f>IF(I528&lt;&gt;0,SUM(I$2:I528),0)</f>
        <v>0</v>
      </c>
      <c r="M528" s="25">
        <f>IF(J528&lt;&gt;0,SUM(J$2:J528),0)</f>
        <v>0</v>
      </c>
    </row>
    <row r="529" spans="1:13" x14ac:dyDescent="0.2">
      <c r="A529" s="1" t="s">
        <v>819</v>
      </c>
      <c r="C529" s="2" t="s">
        <v>831</v>
      </c>
      <c r="D529" s="2" t="s">
        <v>832</v>
      </c>
      <c r="E529" s="4" t="s">
        <v>833</v>
      </c>
      <c r="G529" s="25">
        <f t="shared" si="8"/>
        <v>-33300</v>
      </c>
      <c r="H529" s="25">
        <f t="array" ref="H529">IF(A529=A528,0,SUM(_xlfn._xlws.FILTER(G529:G549,A529:A549=A529)))</f>
        <v>0</v>
      </c>
      <c r="I529" s="25">
        <f t="array" ref="I529">IFERROR(IF(A529=A528,0,SUM(_xlfn._xlws.FILTER(G529:G549,(A529:A549=A529)*(E529:E549&lt;0)))),0)</f>
        <v>0</v>
      </c>
      <c r="J529" s="25">
        <f t="array" ref="J529">IFERROR(IF(A529=A528,0,SUM(_xlfn._xlws.FILTER(G529:G549,(A529:A549=A529)*(E529:E549&gt;0)))),0)</f>
        <v>0</v>
      </c>
      <c r="K529" s="25">
        <f>IF(H529&lt;&gt;0,SUM(H$2:H529),0)</f>
        <v>0</v>
      </c>
      <c r="L529" s="25">
        <f>IF(I529&lt;&gt;0,SUM(I$2:I529),0)</f>
        <v>0</v>
      </c>
      <c r="M529" s="25">
        <f>IF(J529&lt;&gt;0,SUM(J$2:J529),0)</f>
        <v>0</v>
      </c>
    </row>
    <row r="530" spans="1:13" x14ac:dyDescent="0.2">
      <c r="A530" s="5" t="s">
        <v>834</v>
      </c>
      <c r="C530" s="5" t="s">
        <v>259</v>
      </c>
      <c r="D530" s="6" t="s">
        <v>20</v>
      </c>
      <c r="E530" s="8" t="s">
        <v>835</v>
      </c>
      <c r="G530" s="25">
        <f t="shared" si="8"/>
        <v>47560</v>
      </c>
      <c r="H530" s="25">
        <f t="array" ref="H530">IF(A530=A529,0,SUM(_xlfn._xlws.FILTER(G530:G550,A530:A550=A530)))</f>
        <v>-272302.3</v>
      </c>
      <c r="I530" s="25">
        <f t="array" ref="I530">IFERROR(IF(A530=A529,0,SUM(_xlfn._xlws.FILTER(G530:G550,(A530:A550=A530)*(E530:E550&lt;0)))),0)</f>
        <v>0</v>
      </c>
      <c r="J530" s="25">
        <f t="array" ref="J530">IFERROR(IF(A530=A529,0,SUM(_xlfn._xlws.FILTER(G530:G550,(A530:A550=A530)*(E530:E550&gt;0)))),0)</f>
        <v>-272302.3</v>
      </c>
      <c r="K530" s="25">
        <f>IF(H530&lt;&gt;0,SUM(H$2:H530),0)</f>
        <v>-1955052.2923069999</v>
      </c>
      <c r="L530" s="25">
        <f>IF(I530&lt;&gt;0,SUM(I$2:I530),0)</f>
        <v>0</v>
      </c>
      <c r="M530" s="25">
        <f>IF(J530&lt;&gt;0,SUM(J$2:J530),0)</f>
        <v>-1955052.2923069999</v>
      </c>
    </row>
    <row r="531" spans="1:13" x14ac:dyDescent="0.2">
      <c r="A531" s="5" t="s">
        <v>834</v>
      </c>
      <c r="C531" s="5" t="s">
        <v>157</v>
      </c>
      <c r="D531" s="6" t="s">
        <v>789</v>
      </c>
      <c r="E531" s="8" t="s">
        <v>836</v>
      </c>
      <c r="G531" s="25">
        <f t="shared" si="8"/>
        <v>-4580</v>
      </c>
      <c r="H531" s="25">
        <f t="array" ref="H531">IF(A531=A530,0,SUM(_xlfn._xlws.FILTER(G531:G551,A531:A551=A531)))</f>
        <v>0</v>
      </c>
      <c r="I531" s="25">
        <f t="array" ref="I531">IFERROR(IF(A531=A530,0,SUM(_xlfn._xlws.FILTER(G531:G551,(A531:A551=A531)*(E531:E551&lt;0)))),0)</f>
        <v>0</v>
      </c>
      <c r="J531" s="25">
        <f t="array" ref="J531">IFERROR(IF(A531=A530,0,SUM(_xlfn._xlws.FILTER(G531:G551,(A531:A551=A531)*(E531:E551&gt;0)))),0)</f>
        <v>0</v>
      </c>
      <c r="K531" s="25">
        <f>IF(H531&lt;&gt;0,SUM(H$2:H531),0)</f>
        <v>0</v>
      </c>
      <c r="L531" s="25">
        <f>IF(I531&lt;&gt;0,SUM(I$2:I531),0)</f>
        <v>0</v>
      </c>
      <c r="M531" s="25">
        <f>IF(J531&lt;&gt;0,SUM(J$2:J531),0)</f>
        <v>0</v>
      </c>
    </row>
    <row r="532" spans="1:13" x14ac:dyDescent="0.2">
      <c r="A532" s="5" t="s">
        <v>837</v>
      </c>
      <c r="C532" s="5" t="s">
        <v>157</v>
      </c>
      <c r="D532" s="6" t="s">
        <v>789</v>
      </c>
      <c r="E532" s="8" t="s">
        <v>838</v>
      </c>
      <c r="G532" s="25">
        <f t="shared" si="8"/>
        <v>-4560</v>
      </c>
      <c r="H532" s="25">
        <f t="array" ref="H532">IF(A532=A531,0,SUM(_xlfn._xlws.FILTER(G532:G552,A532:A552=A532)))</f>
        <v>-4560</v>
      </c>
      <c r="I532" s="25">
        <f t="array" ref="I532">IFERROR(IF(A532=A531,0,SUM(_xlfn._xlws.FILTER(G532:G552,(A532:A552=A532)*(E532:E552&lt;0)))),0)</f>
        <v>0</v>
      </c>
      <c r="J532" s="25">
        <f t="array" ref="J532">IFERROR(IF(A532=A531,0,SUM(_xlfn._xlws.FILTER(G532:G552,(A532:A552=A532)*(E532:E552&gt;0)))),0)</f>
        <v>-4560</v>
      </c>
      <c r="K532" s="25">
        <f>IF(H532&lt;&gt;0,SUM(H$2:H532),0)</f>
        <v>-1959612.2923069999</v>
      </c>
      <c r="L532" s="25">
        <f>IF(I532&lt;&gt;0,SUM(I$2:I532),0)</f>
        <v>0</v>
      </c>
      <c r="M532" s="25">
        <f>IF(J532&lt;&gt;0,SUM(J$2:J532),0)</f>
        <v>-1959612.2923069999</v>
      </c>
    </row>
    <row r="533" spans="1:13" x14ac:dyDescent="0.2">
      <c r="A533" s="5" t="s">
        <v>834</v>
      </c>
      <c r="C533" s="5" t="s">
        <v>31</v>
      </c>
      <c r="D533" s="6" t="s">
        <v>702</v>
      </c>
      <c r="E533" s="8" t="s">
        <v>839</v>
      </c>
      <c r="G533" s="25">
        <f t="shared" si="8"/>
        <v>-102960</v>
      </c>
      <c r="H533" s="25">
        <f t="array" ref="H533">IF(A533=A532,0,SUM(_xlfn._xlws.FILTER(G533:G553,A533:A553=A533)))</f>
        <v>-315282.3</v>
      </c>
      <c r="I533" s="25">
        <f t="array" ref="I533">IFERROR(IF(A533=A532,0,SUM(_xlfn._xlws.FILTER(G533:G553,(A533:A553=A533)*(E533:E553&lt;0)))),0)</f>
        <v>0</v>
      </c>
      <c r="J533" s="25">
        <f t="array" ref="J533">IFERROR(IF(A533=A532,0,SUM(_xlfn._xlws.FILTER(G533:G553,(A533:A553=A533)*(E533:E553&gt;0)))),0)</f>
        <v>-315282.3</v>
      </c>
      <c r="K533" s="25">
        <f>IF(H533&lt;&gt;0,SUM(H$2:H533),0)</f>
        <v>-2274894.592307</v>
      </c>
      <c r="L533" s="25">
        <f>IF(I533&lt;&gt;0,SUM(I$2:I533),0)</f>
        <v>0</v>
      </c>
      <c r="M533" s="25">
        <f>IF(J533&lt;&gt;0,SUM(J$2:J533),0)</f>
        <v>-2274894.592307</v>
      </c>
    </row>
    <row r="534" spans="1:13" x14ac:dyDescent="0.2">
      <c r="A534" s="5" t="s">
        <v>834</v>
      </c>
      <c r="C534" s="5" t="s">
        <v>37</v>
      </c>
      <c r="D534" s="6" t="s">
        <v>840</v>
      </c>
      <c r="E534" s="8" t="s">
        <v>841</v>
      </c>
      <c r="G534" s="25">
        <f t="shared" si="8"/>
        <v>-69642.3</v>
      </c>
      <c r="H534" s="25">
        <f t="array" ref="H534">IF(A534=A533,0,SUM(_xlfn._xlws.FILTER(G534:G554,A534:A554=A534)))</f>
        <v>0</v>
      </c>
      <c r="I534" s="25">
        <f t="array" ref="I534">IFERROR(IF(A534=A533,0,SUM(_xlfn._xlws.FILTER(G534:G554,(A534:A554=A534)*(E534:E554&lt;0)))),0)</f>
        <v>0</v>
      </c>
      <c r="J534" s="25">
        <f t="array" ref="J534">IFERROR(IF(A534=A533,0,SUM(_xlfn._xlws.FILTER(G534:G554,(A534:A554=A534)*(E534:E554&gt;0)))),0)</f>
        <v>0</v>
      </c>
      <c r="K534" s="25">
        <f>IF(H534&lt;&gt;0,SUM(H$2:H534),0)</f>
        <v>0</v>
      </c>
      <c r="L534" s="25">
        <f>IF(I534&lt;&gt;0,SUM(I$2:I534),0)</f>
        <v>0</v>
      </c>
      <c r="M534" s="25">
        <f>IF(J534&lt;&gt;0,SUM(J$2:J534),0)</f>
        <v>0</v>
      </c>
    </row>
    <row r="535" spans="1:13" x14ac:dyDescent="0.2">
      <c r="A535" s="5" t="s">
        <v>834</v>
      </c>
      <c r="C535" s="5" t="s">
        <v>196</v>
      </c>
      <c r="D535" s="6" t="s">
        <v>842</v>
      </c>
      <c r="E535" s="8" t="s">
        <v>843</v>
      </c>
      <c r="G535" s="25">
        <f t="shared" si="8"/>
        <v>20100</v>
      </c>
      <c r="H535" s="25">
        <f t="array" ref="H535">IF(A535=A534,0,SUM(_xlfn._xlws.FILTER(G535:G555,A535:A555=A535)))</f>
        <v>0</v>
      </c>
      <c r="I535" s="25">
        <f t="array" ref="I535">IFERROR(IF(A535=A534,0,SUM(_xlfn._xlws.FILTER(G535:G555,(A535:A555=A535)*(E535:E555&lt;0)))),0)</f>
        <v>0</v>
      </c>
      <c r="J535" s="25">
        <f t="array" ref="J535">IFERROR(IF(A535=A534,0,SUM(_xlfn._xlws.FILTER(G535:G555,(A535:A555=A535)*(E535:E555&gt;0)))),0)</f>
        <v>0</v>
      </c>
      <c r="K535" s="25">
        <f>IF(H535&lt;&gt;0,SUM(H$2:H535),0)</f>
        <v>0</v>
      </c>
      <c r="L535" s="25">
        <f>IF(I535&lt;&gt;0,SUM(I$2:I535),0)</f>
        <v>0</v>
      </c>
      <c r="M535" s="25">
        <f>IF(J535&lt;&gt;0,SUM(J$2:J535),0)</f>
        <v>0</v>
      </c>
    </row>
    <row r="536" spans="1:13" x14ac:dyDescent="0.2">
      <c r="A536" s="5" t="s">
        <v>834</v>
      </c>
      <c r="C536" s="5" t="s">
        <v>19</v>
      </c>
      <c r="D536" s="6" t="s">
        <v>20</v>
      </c>
      <c r="E536" s="8" t="s">
        <v>844</v>
      </c>
      <c r="G536" s="25">
        <f t="shared" si="8"/>
        <v>-162780</v>
      </c>
      <c r="H536" s="25">
        <f t="array" ref="H536">IF(A536=A535,0,SUM(_xlfn._xlws.FILTER(G536:G556,A536:A556=A536)))</f>
        <v>0</v>
      </c>
      <c r="I536" s="25">
        <f t="array" ref="I536">IFERROR(IF(A536=A535,0,SUM(_xlfn._xlws.FILTER(G536:G556,(A536:A556=A536)*(E536:E556&lt;0)))),0)</f>
        <v>0</v>
      </c>
      <c r="J536" s="25">
        <f t="array" ref="J536">IFERROR(IF(A536=A535,0,SUM(_xlfn._xlws.FILTER(G536:G556,(A536:A556=A536)*(E536:E556&gt;0)))),0)</f>
        <v>0</v>
      </c>
      <c r="K536" s="25">
        <f>IF(H536&lt;&gt;0,SUM(H$2:H536),0)</f>
        <v>0</v>
      </c>
      <c r="L536" s="25">
        <f>IF(I536&lt;&gt;0,SUM(I$2:I536),0)</f>
        <v>0</v>
      </c>
      <c r="M536" s="25">
        <f>IF(J536&lt;&gt;0,SUM(J$2:J536),0)</f>
        <v>0</v>
      </c>
    </row>
    <row r="537" spans="1:13" x14ac:dyDescent="0.2">
      <c r="A537" s="1" t="s">
        <v>845</v>
      </c>
      <c r="C537" s="2" t="s">
        <v>90</v>
      </c>
      <c r="D537" s="2" t="s">
        <v>20</v>
      </c>
      <c r="E537" s="4" t="s">
        <v>846</v>
      </c>
      <c r="G537" s="25">
        <f t="shared" si="8"/>
        <v>-49704</v>
      </c>
      <c r="H537" s="25">
        <f t="array" ref="H537">IF(A537=A536,0,SUM(_xlfn._xlws.FILTER(G537:G557,A537:A557=A537)))</f>
        <v>-156682.5</v>
      </c>
      <c r="I537" s="25">
        <f t="array" ref="I537">IFERROR(IF(A537=A536,0,SUM(_xlfn._xlws.FILTER(G537:G557,(A537:A557=A537)*(E537:E557&lt;0)))),0)</f>
        <v>0</v>
      </c>
      <c r="J537" s="25">
        <f t="array" ref="J537">IFERROR(IF(A537=A536,0,SUM(_xlfn._xlws.FILTER(G537:G557,(A537:A557=A537)*(E537:E557&gt;0)))),0)</f>
        <v>-156682.5</v>
      </c>
      <c r="K537" s="25">
        <f>IF(H537&lt;&gt;0,SUM(H$2:H537),0)</f>
        <v>-2431577.092307</v>
      </c>
      <c r="L537" s="25">
        <f>IF(I537&lt;&gt;0,SUM(I$2:I537),0)</f>
        <v>0</v>
      </c>
      <c r="M537" s="25">
        <f>IF(J537&lt;&gt;0,SUM(J$2:J537),0)</f>
        <v>-2431577.092307</v>
      </c>
    </row>
    <row r="538" spans="1:13" x14ac:dyDescent="0.2">
      <c r="A538" s="1" t="s">
        <v>845</v>
      </c>
      <c r="C538" s="2" t="s">
        <v>278</v>
      </c>
      <c r="D538" s="2" t="s">
        <v>92</v>
      </c>
      <c r="E538" s="4" t="s">
        <v>847</v>
      </c>
      <c r="G538" s="25">
        <f t="shared" si="8"/>
        <v>-77074.5</v>
      </c>
      <c r="H538" s="25">
        <f t="array" ref="H538">IF(A538=A537,0,SUM(_xlfn._xlws.FILTER(G538:G558,A538:A558=A538)))</f>
        <v>0</v>
      </c>
      <c r="I538" s="25">
        <f t="array" ref="I538">IFERROR(IF(A538=A537,0,SUM(_xlfn._xlws.FILTER(G538:G558,(A538:A558=A538)*(E538:E558&lt;0)))),0)</f>
        <v>0</v>
      </c>
      <c r="J538" s="25">
        <f t="array" ref="J538">IFERROR(IF(A538=A537,0,SUM(_xlfn._xlws.FILTER(G538:G558,(A538:A558=A538)*(E538:E558&gt;0)))),0)</f>
        <v>0</v>
      </c>
      <c r="K538" s="25">
        <f>IF(H538&lt;&gt;0,SUM(H$2:H538),0)</f>
        <v>0</v>
      </c>
      <c r="L538" s="25">
        <f>IF(I538&lt;&gt;0,SUM(I$2:I538),0)</f>
        <v>0</v>
      </c>
      <c r="M538" s="25">
        <f>IF(J538&lt;&gt;0,SUM(J$2:J538),0)</f>
        <v>0</v>
      </c>
    </row>
    <row r="539" spans="1:13" x14ac:dyDescent="0.2">
      <c r="A539" s="1" t="s">
        <v>845</v>
      </c>
      <c r="C539" s="2" t="s">
        <v>45</v>
      </c>
      <c r="D539" s="2" t="s">
        <v>848</v>
      </c>
      <c r="E539" s="4" t="s">
        <v>849</v>
      </c>
      <c r="G539" s="25">
        <f t="shared" si="8"/>
        <v>-29904.000000000004</v>
      </c>
      <c r="H539" s="25">
        <f t="array" ref="H539">IF(A539=A538,0,SUM(_xlfn._xlws.FILTER(G539:G559,A539:A559=A539)))</f>
        <v>0</v>
      </c>
      <c r="I539" s="25">
        <f t="array" ref="I539">IFERROR(IF(A539=A538,0,SUM(_xlfn._xlws.FILTER(G539:G559,(A539:A559=A539)*(E539:E559&lt;0)))),0)</f>
        <v>0</v>
      </c>
      <c r="J539" s="25">
        <f t="array" ref="J539">IFERROR(IF(A539=A538,0,SUM(_xlfn._xlws.FILTER(G539:G559,(A539:A559=A539)*(E539:E559&gt;0)))),0)</f>
        <v>0</v>
      </c>
      <c r="K539" s="25">
        <f>IF(H539&lt;&gt;0,SUM(H$2:H539),0)</f>
        <v>0</v>
      </c>
      <c r="L539" s="25">
        <f>IF(I539&lt;&gt;0,SUM(I$2:I539),0)</f>
        <v>0</v>
      </c>
      <c r="M539" s="25">
        <f>IF(J539&lt;&gt;0,SUM(J$2:J539),0)</f>
        <v>0</v>
      </c>
    </row>
    <row r="540" spans="1:13" x14ac:dyDescent="0.2">
      <c r="A540" s="5" t="s">
        <v>850</v>
      </c>
      <c r="C540" s="5" t="s">
        <v>25</v>
      </c>
      <c r="D540" s="6" t="s">
        <v>100</v>
      </c>
      <c r="E540" s="8" t="s">
        <v>851</v>
      </c>
      <c r="G540" s="25">
        <f t="shared" si="8"/>
        <v>25412.999999999996</v>
      </c>
      <c r="H540" s="25">
        <f t="array" ref="H540">IF(A540=A539,0,SUM(_xlfn._xlws.FILTER(G540:G560,A540:A560=A540)))</f>
        <v>29260.859999999997</v>
      </c>
      <c r="I540" s="25">
        <f t="array" ref="I540">IFERROR(IF(A540=A539,0,SUM(_xlfn._xlws.FILTER(G540:G560,(A540:A560=A540)*(E540:E560&lt;0)))),0)</f>
        <v>0</v>
      </c>
      <c r="J540" s="25">
        <f t="array" ref="J540">IFERROR(IF(A540=A539,0,SUM(_xlfn._xlws.FILTER(G540:G560,(A540:A560=A540)*(E540:E560&gt;0)))),0)</f>
        <v>29260.859999999997</v>
      </c>
      <c r="K540" s="25">
        <f>IF(H540&lt;&gt;0,SUM(H$2:H540),0)</f>
        <v>-2402316.2323070001</v>
      </c>
      <c r="L540" s="25">
        <f>IF(I540&lt;&gt;0,SUM(I$2:I540),0)</f>
        <v>0</v>
      </c>
      <c r="M540" s="25">
        <f>IF(J540&lt;&gt;0,SUM(J$2:J540),0)</f>
        <v>-2402316.2323070001</v>
      </c>
    </row>
    <row r="541" spans="1:13" x14ac:dyDescent="0.2">
      <c r="A541" s="5" t="s">
        <v>850</v>
      </c>
      <c r="C541" s="5" t="s">
        <v>113</v>
      </c>
      <c r="D541" s="6" t="s">
        <v>597</v>
      </c>
      <c r="E541" s="8" t="s">
        <v>852</v>
      </c>
      <c r="G541" s="25">
        <f t="shared" si="8"/>
        <v>3847.86</v>
      </c>
      <c r="H541" s="25">
        <f t="array" ref="H541">IF(A541=A540,0,SUM(_xlfn._xlws.FILTER(G541:G561,A541:A561=A541)))</f>
        <v>0</v>
      </c>
      <c r="I541" s="25">
        <f t="array" ref="I541">IFERROR(IF(A541=A540,0,SUM(_xlfn._xlws.FILTER(G541:G561,(A541:A561=A541)*(E541:E561&lt;0)))),0)</f>
        <v>0</v>
      </c>
      <c r="J541" s="25">
        <f t="array" ref="J541">IFERROR(IF(A541=A540,0,SUM(_xlfn._xlws.FILTER(G541:G561,(A541:A561=A541)*(E541:E561&gt;0)))),0)</f>
        <v>0</v>
      </c>
      <c r="K541" s="25">
        <f>IF(H541&lt;&gt;0,SUM(H$2:H541),0)</f>
        <v>0</v>
      </c>
      <c r="L541" s="25">
        <f>IF(I541&lt;&gt;0,SUM(I$2:I541),0)</f>
        <v>0</v>
      </c>
      <c r="M541" s="25">
        <f>IF(J541&lt;&gt;0,SUM(J$2:J541),0)</f>
        <v>0</v>
      </c>
    </row>
    <row r="542" spans="1:13" x14ac:dyDescent="0.2">
      <c r="A542" s="1" t="s">
        <v>853</v>
      </c>
      <c r="C542" s="2" t="s">
        <v>31</v>
      </c>
      <c r="D542" s="2" t="s">
        <v>719</v>
      </c>
      <c r="E542" s="2" t="s">
        <v>854</v>
      </c>
      <c r="G542" s="25">
        <f t="shared" si="8"/>
        <v>28940</v>
      </c>
      <c r="H542" s="25">
        <f t="array" ref="H542">IF(A542=A541,0,SUM(_xlfn._xlws.FILTER(G542:G562,A542:A562=A542)))</f>
        <v>150366.46000000002</v>
      </c>
      <c r="I542" s="25">
        <f t="array" ref="I542">IFERROR(IF(A542=A541,0,SUM(_xlfn._xlws.FILTER(G542:G562,(A542:A562=A542)*(E542:E562&lt;0)))),0)</f>
        <v>0</v>
      </c>
      <c r="J542" s="25">
        <f t="array" ref="J542">IFERROR(IF(A542=A541,0,SUM(_xlfn._xlws.FILTER(G542:G562,(A542:A562=A542)*(E542:E562&gt;0)))),0)</f>
        <v>150366.46000000002</v>
      </c>
      <c r="K542" s="25">
        <f>IF(H542&lt;&gt;0,SUM(H$2:H542),0)</f>
        <v>-2251949.7723070001</v>
      </c>
      <c r="L542" s="25">
        <f>IF(I542&lt;&gt;0,SUM(I$2:I542),0)</f>
        <v>0</v>
      </c>
      <c r="M542" s="25">
        <f>IF(J542&lt;&gt;0,SUM(J$2:J542),0)</f>
        <v>-2251949.7723070001</v>
      </c>
    </row>
    <row r="543" spans="1:13" x14ac:dyDescent="0.2">
      <c r="A543" s="1" t="s">
        <v>853</v>
      </c>
      <c r="C543" s="2" t="s">
        <v>178</v>
      </c>
      <c r="D543" s="2" t="s">
        <v>698</v>
      </c>
      <c r="E543" s="2" t="s">
        <v>855</v>
      </c>
      <c r="G543" s="25">
        <f t="shared" si="8"/>
        <v>11220</v>
      </c>
      <c r="H543" s="25">
        <f t="array" ref="H543">IF(A543=A542,0,SUM(_xlfn._xlws.FILTER(G543:G563,A543:A563=A543)))</f>
        <v>0</v>
      </c>
      <c r="I543" s="25">
        <f t="array" ref="I543">IFERROR(IF(A543=A542,0,SUM(_xlfn._xlws.FILTER(G543:G563,(A543:A563=A543)*(E543:E563&lt;0)))),0)</f>
        <v>0</v>
      </c>
      <c r="J543" s="25">
        <f t="array" ref="J543">IFERROR(IF(A543=A542,0,SUM(_xlfn._xlws.FILTER(G543:G563,(A543:A563=A543)*(E543:E563&gt;0)))),0)</f>
        <v>0</v>
      </c>
      <c r="K543" s="25">
        <f>IF(H543&lt;&gt;0,SUM(H$2:H543),0)</f>
        <v>0</v>
      </c>
      <c r="L543" s="25">
        <f>IF(I543&lt;&gt;0,SUM(I$2:I543),0)</f>
        <v>0</v>
      </c>
      <c r="M543" s="25">
        <f>IF(J543&lt;&gt;0,SUM(J$2:J543),0)</f>
        <v>0</v>
      </c>
    </row>
    <row r="544" spans="1:13" x14ac:dyDescent="0.2">
      <c r="A544" s="1" t="s">
        <v>853</v>
      </c>
      <c r="C544" s="2" t="s">
        <v>39</v>
      </c>
      <c r="D544" s="2" t="s">
        <v>719</v>
      </c>
      <c r="E544" s="2" t="s">
        <v>856</v>
      </c>
      <c r="G544" s="25">
        <f t="shared" si="8"/>
        <v>69340</v>
      </c>
      <c r="H544" s="25">
        <f t="array" ref="H544">IF(A544=A543,0,SUM(_xlfn._xlws.FILTER(G544:G564,A544:A564=A544)))</f>
        <v>0</v>
      </c>
      <c r="I544" s="25">
        <f t="array" ref="I544">IFERROR(IF(A544=A543,0,SUM(_xlfn._xlws.FILTER(G544:G564,(A544:A564=A544)*(E544:E564&lt;0)))),0)</f>
        <v>0</v>
      </c>
      <c r="J544" s="25">
        <f t="array" ref="J544">IFERROR(IF(A544=A543,0,SUM(_xlfn._xlws.FILTER(G544:G564,(A544:A564=A544)*(E544:E564&gt;0)))),0)</f>
        <v>0</v>
      </c>
      <c r="K544" s="25">
        <f>IF(H544&lt;&gt;0,SUM(H$2:H544),0)</f>
        <v>0</v>
      </c>
      <c r="L544" s="25">
        <f>IF(I544&lt;&gt;0,SUM(I$2:I544),0)</f>
        <v>0</v>
      </c>
      <c r="M544" s="25">
        <f>IF(J544&lt;&gt;0,SUM(J$2:J544),0)</f>
        <v>0</v>
      </c>
    </row>
    <row r="545" spans="1:13" x14ac:dyDescent="0.2">
      <c r="A545" s="1" t="s">
        <v>853</v>
      </c>
      <c r="C545" s="2" t="s">
        <v>153</v>
      </c>
      <c r="D545" s="2" t="s">
        <v>857</v>
      </c>
      <c r="E545" s="2" t="s">
        <v>858</v>
      </c>
      <c r="G545" s="25">
        <f t="shared" si="8"/>
        <v>2464.46</v>
      </c>
      <c r="H545" s="25">
        <f t="array" ref="H545">IF(A545=A544,0,SUM(_xlfn._xlws.FILTER(G545:G565,A545:A565=A545)))</f>
        <v>0</v>
      </c>
      <c r="I545" s="25">
        <f t="array" ref="I545">IFERROR(IF(A545=A544,0,SUM(_xlfn._xlws.FILTER(G545:G565,(A545:A565=A545)*(E545:E565&lt;0)))),0)</f>
        <v>0</v>
      </c>
      <c r="J545" s="25">
        <f t="array" ref="J545">IFERROR(IF(A545=A544,0,SUM(_xlfn._xlws.FILTER(G545:G565,(A545:A565=A545)*(E545:E565&gt;0)))),0)</f>
        <v>0</v>
      </c>
      <c r="K545" s="25">
        <f>IF(H545&lt;&gt;0,SUM(H$2:H545),0)</f>
        <v>0</v>
      </c>
      <c r="L545" s="25">
        <f>IF(I545&lt;&gt;0,SUM(I$2:I545),0)</f>
        <v>0</v>
      </c>
      <c r="M545" s="25">
        <f>IF(J545&lt;&gt;0,SUM(J$2:J545),0)</f>
        <v>0</v>
      </c>
    </row>
    <row r="546" spans="1:13" x14ac:dyDescent="0.2">
      <c r="A546" s="1" t="s">
        <v>853</v>
      </c>
      <c r="C546" s="2" t="s">
        <v>125</v>
      </c>
      <c r="D546" s="2" t="s">
        <v>20</v>
      </c>
      <c r="E546" s="2" t="s">
        <v>859</v>
      </c>
      <c r="G546" s="25">
        <f t="shared" si="8"/>
        <v>38402</v>
      </c>
      <c r="H546" s="25">
        <f t="array" ref="H546">IF(A546=A545,0,SUM(_xlfn._xlws.FILTER(G546:G566,A546:A566=A546)))</f>
        <v>0</v>
      </c>
      <c r="I546" s="25">
        <f t="array" ref="I546">IFERROR(IF(A546=A545,0,SUM(_xlfn._xlws.FILTER(G546:G566,(A546:A566=A546)*(E546:E566&lt;0)))),0)</f>
        <v>0</v>
      </c>
      <c r="J546" s="25">
        <f t="array" ref="J546">IFERROR(IF(A546=A545,0,SUM(_xlfn._xlws.FILTER(G546:G566,(A546:A566=A546)*(E546:E566&gt;0)))),0)</f>
        <v>0</v>
      </c>
      <c r="K546" s="25">
        <f>IF(H546&lt;&gt;0,SUM(H$2:H546),0)</f>
        <v>0</v>
      </c>
      <c r="L546" s="25">
        <f>IF(I546&lt;&gt;0,SUM(I$2:I546),0)</f>
        <v>0</v>
      </c>
      <c r="M546" s="25">
        <f>IF(J546&lt;&gt;0,SUM(J$2:J546),0)</f>
        <v>0</v>
      </c>
    </row>
    <row r="547" spans="1:13" x14ac:dyDescent="0.2">
      <c r="A547" s="5" t="s">
        <v>860</v>
      </c>
      <c r="C547" s="5" t="s">
        <v>19</v>
      </c>
      <c r="D547" s="6" t="s">
        <v>56</v>
      </c>
      <c r="E547" s="8" t="s">
        <v>861</v>
      </c>
      <c r="G547" s="25">
        <f t="shared" si="8"/>
        <v>89320</v>
      </c>
      <c r="H547" s="25">
        <f t="array" ref="H547">IF(A547=A546,0,SUM(_xlfn._xlws.FILTER(G547:G567,A547:A567=A547)))</f>
        <v>-42706.000000000015</v>
      </c>
      <c r="I547" s="25">
        <f t="array" ref="I547">IFERROR(IF(A547=A546,0,SUM(_xlfn._xlws.FILTER(G547:G567,(A547:A567=A547)*(E547:E567&lt;0)))),0)</f>
        <v>0</v>
      </c>
      <c r="J547" s="25">
        <f t="array" ref="J547">IFERROR(IF(A547=A546,0,SUM(_xlfn._xlws.FILTER(G547:G567,(A547:A567=A547)*(E547:E567&gt;0)))),0)</f>
        <v>-42706.000000000015</v>
      </c>
      <c r="K547" s="25">
        <f>IF(H547&lt;&gt;0,SUM(H$2:H547),0)</f>
        <v>-2294655.7723070001</v>
      </c>
      <c r="L547" s="25">
        <f>IF(I547&lt;&gt;0,SUM(I$2:I547),0)</f>
        <v>0</v>
      </c>
      <c r="M547" s="25">
        <f>IF(J547&lt;&gt;0,SUM(J$2:J547),0)</f>
        <v>-2294655.7723070001</v>
      </c>
    </row>
    <row r="548" spans="1:13" x14ac:dyDescent="0.2">
      <c r="A548" s="5" t="s">
        <v>860</v>
      </c>
      <c r="C548" s="5" t="s">
        <v>320</v>
      </c>
      <c r="D548" s="6" t="s">
        <v>719</v>
      </c>
      <c r="E548" s="8" t="s">
        <v>862</v>
      </c>
      <c r="G548" s="25">
        <f t="shared" si="8"/>
        <v>-59800</v>
      </c>
      <c r="H548" s="25">
        <f t="array" ref="H548">IF(A548=A547,0,SUM(_xlfn._xlws.FILTER(G548:G568,A548:A568=A548)))</f>
        <v>0</v>
      </c>
      <c r="I548" s="25">
        <f t="array" ref="I548">IFERROR(IF(A548=A547,0,SUM(_xlfn._xlws.FILTER(G548:G568,(A548:A568=A548)*(E548:E568&lt;0)))),0)</f>
        <v>0</v>
      </c>
      <c r="J548" s="25">
        <f t="array" ref="J548">IFERROR(IF(A548=A547,0,SUM(_xlfn._xlws.FILTER(G548:G568,(A548:A568=A548)*(E548:E568&gt;0)))),0)</f>
        <v>0</v>
      </c>
      <c r="K548" s="25">
        <f>IF(H548&lt;&gt;0,SUM(H$2:H548),0)</f>
        <v>0</v>
      </c>
      <c r="L548" s="25">
        <f>IF(I548&lt;&gt;0,SUM(I$2:I548),0)</f>
        <v>0</v>
      </c>
      <c r="M548" s="25">
        <f>IF(J548&lt;&gt;0,SUM(J$2:J548),0)</f>
        <v>0</v>
      </c>
    </row>
    <row r="549" spans="1:13" x14ac:dyDescent="0.2">
      <c r="A549" s="5" t="s">
        <v>860</v>
      </c>
      <c r="C549" s="5" t="s">
        <v>31</v>
      </c>
      <c r="D549" s="6" t="s">
        <v>719</v>
      </c>
      <c r="E549" s="8" t="s">
        <v>570</v>
      </c>
      <c r="G549" s="25">
        <f t="shared" si="8"/>
        <v>-27530</v>
      </c>
      <c r="H549" s="25">
        <f t="array" ref="H549">IF(A549=A548,0,SUM(_xlfn._xlws.FILTER(G549:G569,A549:A569=A549)))</f>
        <v>0</v>
      </c>
      <c r="I549" s="25">
        <f t="array" ref="I549">IFERROR(IF(A549=A548,0,SUM(_xlfn._xlws.FILTER(G549:G569,(A549:A569=A549)*(E549:E569&lt;0)))),0)</f>
        <v>0</v>
      </c>
      <c r="J549" s="25">
        <f t="array" ref="J549">IFERROR(IF(A549=A548,0,SUM(_xlfn._xlws.FILTER(G549:G569,(A549:A569=A549)*(E549:E569&gt;0)))),0)</f>
        <v>0</v>
      </c>
      <c r="K549" s="25">
        <f>IF(H549&lt;&gt;0,SUM(H$2:H549),0)</f>
        <v>0</v>
      </c>
      <c r="L549" s="25">
        <f>IF(I549&lt;&gt;0,SUM(I$2:I549),0)</f>
        <v>0</v>
      </c>
      <c r="M549" s="25">
        <f>IF(J549&lt;&gt;0,SUM(J$2:J549),0)</f>
        <v>0</v>
      </c>
    </row>
    <row r="550" spans="1:13" x14ac:dyDescent="0.2">
      <c r="A550" s="5" t="s">
        <v>860</v>
      </c>
      <c r="C550" s="5" t="s">
        <v>303</v>
      </c>
      <c r="D550" s="6" t="s">
        <v>56</v>
      </c>
      <c r="E550" s="8" t="s">
        <v>863</v>
      </c>
      <c r="G550" s="25">
        <f t="shared" si="8"/>
        <v>-117966.00000000001</v>
      </c>
      <c r="H550" s="25">
        <f t="array" ref="H550">IF(A550=A549,0,SUM(_xlfn._xlws.FILTER(G550:G570,A550:A570=A550)))</f>
        <v>0</v>
      </c>
      <c r="I550" s="25">
        <f t="array" ref="I550">IFERROR(IF(A550=A549,0,SUM(_xlfn._xlws.FILTER(G550:G570,(A550:A570=A550)*(E550:E570&lt;0)))),0)</f>
        <v>0</v>
      </c>
      <c r="J550" s="25">
        <f t="array" ref="J550">IFERROR(IF(A550=A549,0,SUM(_xlfn._xlws.FILTER(G550:G570,(A550:A570=A550)*(E550:E570&gt;0)))),0)</f>
        <v>0</v>
      </c>
      <c r="K550" s="25">
        <f>IF(H550&lt;&gt;0,SUM(H$2:H550),0)</f>
        <v>0</v>
      </c>
      <c r="L550" s="25">
        <f>IF(I550&lt;&gt;0,SUM(I$2:I550),0)</f>
        <v>0</v>
      </c>
      <c r="M550" s="25">
        <f>IF(J550&lt;&gt;0,SUM(J$2:J550),0)</f>
        <v>0</v>
      </c>
    </row>
    <row r="551" spans="1:13" x14ac:dyDescent="0.2">
      <c r="A551" s="5" t="s">
        <v>860</v>
      </c>
      <c r="C551" s="5" t="s">
        <v>566</v>
      </c>
      <c r="D551" s="6" t="s">
        <v>864</v>
      </c>
      <c r="E551" s="8" t="s">
        <v>865</v>
      </c>
      <c r="G551" s="25">
        <f t="shared" si="8"/>
        <v>22920</v>
      </c>
      <c r="H551" s="25">
        <f t="array" ref="H551">IF(A551=A550,0,SUM(_xlfn._xlws.FILTER(G551:G571,A551:A571=A551)))</f>
        <v>0</v>
      </c>
      <c r="I551" s="25">
        <f t="array" ref="I551">IFERROR(IF(A551=A550,0,SUM(_xlfn._xlws.FILTER(G551:G571,(A551:A571=A551)*(E551:E571&lt;0)))),0)</f>
        <v>0</v>
      </c>
      <c r="J551" s="25">
        <f t="array" ref="J551">IFERROR(IF(A551=A550,0,SUM(_xlfn._xlws.FILTER(G551:G571,(A551:A571=A551)*(E551:E571&gt;0)))),0)</f>
        <v>0</v>
      </c>
      <c r="K551" s="25">
        <f>IF(H551&lt;&gt;0,SUM(H$2:H551),0)</f>
        <v>0</v>
      </c>
      <c r="L551" s="25">
        <f>IF(I551&lt;&gt;0,SUM(I$2:I551),0)</f>
        <v>0</v>
      </c>
      <c r="M551" s="25">
        <f>IF(J551&lt;&gt;0,SUM(J$2:J551),0)</f>
        <v>0</v>
      </c>
    </row>
    <row r="552" spans="1:13" x14ac:dyDescent="0.2">
      <c r="A552" s="5" t="s">
        <v>860</v>
      </c>
      <c r="C552" s="5" t="s">
        <v>486</v>
      </c>
      <c r="D552" s="6" t="s">
        <v>832</v>
      </c>
      <c r="E552" s="8" t="s">
        <v>866</v>
      </c>
      <c r="G552" s="25">
        <f t="shared" si="8"/>
        <v>50350</v>
      </c>
      <c r="H552" s="25">
        <f t="array" ref="H552">IF(A552=A551,0,SUM(_xlfn._xlws.FILTER(G552:G572,A552:A572=A552)))</f>
        <v>0</v>
      </c>
      <c r="I552" s="25">
        <f t="array" ref="I552">IFERROR(IF(A552=A551,0,SUM(_xlfn._xlws.FILTER(G552:G572,(A552:A572=A552)*(E552:E572&lt;0)))),0)</f>
        <v>0</v>
      </c>
      <c r="J552" s="25">
        <f t="array" ref="J552">IFERROR(IF(A552=A551,0,SUM(_xlfn._xlws.FILTER(G552:G572,(A552:A572=A552)*(E552:E572&gt;0)))),0)</f>
        <v>0</v>
      </c>
      <c r="K552" s="25">
        <f>IF(H552&lt;&gt;0,SUM(H$2:H552),0)</f>
        <v>0</v>
      </c>
      <c r="L552" s="25">
        <f>IF(I552&lt;&gt;0,SUM(I$2:I552),0)</f>
        <v>0</v>
      </c>
      <c r="M552" s="25">
        <f>IF(J552&lt;&gt;0,SUM(J$2:J552),0)</f>
        <v>0</v>
      </c>
    </row>
    <row r="553" spans="1:13" x14ac:dyDescent="0.2">
      <c r="A553" s="1" t="s">
        <v>867</v>
      </c>
      <c r="C553" s="2" t="s">
        <v>320</v>
      </c>
      <c r="D553" s="2" t="s">
        <v>719</v>
      </c>
      <c r="E553" s="4" t="s">
        <v>868</v>
      </c>
      <c r="G553" s="25">
        <f t="shared" si="8"/>
        <v>-58890</v>
      </c>
      <c r="H553" s="25">
        <f t="array" ref="H553">IF(A553=A552,0,SUM(_xlfn._xlws.FILTER(G553:G573,A553:A573=A553)))</f>
        <v>121550</v>
      </c>
      <c r="I553" s="25">
        <f t="array" ref="I553">IFERROR(IF(A553=A552,0,SUM(_xlfn._xlws.FILTER(G553:G573,(A553:A573=A553)*(E553:E573&lt;0)))),0)</f>
        <v>0</v>
      </c>
      <c r="J553" s="25">
        <f t="array" ref="J553">IFERROR(IF(A553=A552,0,SUM(_xlfn._xlws.FILTER(G553:G573,(A553:A573=A553)*(E553:E573&gt;0)))),0)</f>
        <v>121550</v>
      </c>
      <c r="K553" s="25">
        <f>IF(H553&lt;&gt;0,SUM(H$2:H553),0)</f>
        <v>-2173105.7723070001</v>
      </c>
      <c r="L553" s="25">
        <f>IF(I553&lt;&gt;0,SUM(I$2:I553),0)</f>
        <v>0</v>
      </c>
      <c r="M553" s="25">
        <f>IF(J553&lt;&gt;0,SUM(J$2:J553),0)</f>
        <v>-2173105.7723070001</v>
      </c>
    </row>
    <row r="554" spans="1:13" x14ac:dyDescent="0.2">
      <c r="A554" s="1" t="s">
        <v>867</v>
      </c>
      <c r="C554" s="2" t="s">
        <v>94</v>
      </c>
      <c r="D554" s="2" t="s">
        <v>719</v>
      </c>
      <c r="E554" s="4" t="s">
        <v>869</v>
      </c>
      <c r="G554" s="25">
        <f t="shared" si="8"/>
        <v>-54020</v>
      </c>
      <c r="H554" s="25">
        <f t="array" ref="H554">IF(A554=A553,0,SUM(_xlfn._xlws.FILTER(G554:G574,A554:A574=A554)))</f>
        <v>0</v>
      </c>
      <c r="I554" s="25">
        <f t="array" ref="I554">IFERROR(IF(A554=A553,0,SUM(_xlfn._xlws.FILTER(G554:G574,(A554:A574=A554)*(E554:E574&lt;0)))),0)</f>
        <v>0</v>
      </c>
      <c r="J554" s="25">
        <f t="array" ref="J554">IFERROR(IF(A554=A553,0,SUM(_xlfn._xlws.FILTER(G554:G574,(A554:A574=A554)*(E554:E574&gt;0)))),0)</f>
        <v>0</v>
      </c>
      <c r="K554" s="25">
        <f>IF(H554&lt;&gt;0,SUM(H$2:H554),0)</f>
        <v>0</v>
      </c>
      <c r="L554" s="25">
        <f>IF(I554&lt;&gt;0,SUM(I$2:I554),0)</f>
        <v>0</v>
      </c>
      <c r="M554" s="25">
        <f>IF(J554&lt;&gt;0,SUM(J$2:J554),0)</f>
        <v>0</v>
      </c>
    </row>
    <row r="555" spans="1:13" x14ac:dyDescent="0.2">
      <c r="A555" s="1" t="s">
        <v>867</v>
      </c>
      <c r="C555" s="2" t="s">
        <v>19</v>
      </c>
      <c r="D555" s="2" t="s">
        <v>56</v>
      </c>
      <c r="E555" s="4" t="s">
        <v>870</v>
      </c>
      <c r="G555" s="25">
        <f t="shared" si="8"/>
        <v>86260</v>
      </c>
      <c r="H555" s="25">
        <f t="array" ref="H555">IF(A555=A554,0,SUM(_xlfn._xlws.FILTER(G555:G575,A555:A575=A555)))</f>
        <v>0</v>
      </c>
      <c r="I555" s="25">
        <f t="array" ref="I555">IFERROR(IF(A555=A554,0,SUM(_xlfn._xlws.FILTER(G555:G575,(A555:A575=A555)*(E555:E575&lt;0)))),0)</f>
        <v>0</v>
      </c>
      <c r="J555" s="25">
        <f t="array" ref="J555">IFERROR(IF(A555=A554,0,SUM(_xlfn._xlws.FILTER(G555:G575,(A555:A575=A555)*(E555:E575&gt;0)))),0)</f>
        <v>0</v>
      </c>
      <c r="K555" s="25">
        <f>IF(H555&lt;&gt;0,SUM(H$2:H555),0)</f>
        <v>0</v>
      </c>
      <c r="L555" s="25">
        <f>IF(I555&lt;&gt;0,SUM(I$2:I555),0)</f>
        <v>0</v>
      </c>
      <c r="M555" s="25">
        <f>IF(J555&lt;&gt;0,SUM(J$2:J555),0)</f>
        <v>0</v>
      </c>
    </row>
    <row r="556" spans="1:13" x14ac:dyDescent="0.2">
      <c r="A556" s="1" t="s">
        <v>867</v>
      </c>
      <c r="C556" s="2" t="s">
        <v>22</v>
      </c>
      <c r="D556" s="2" t="s">
        <v>53</v>
      </c>
      <c r="E556" s="4" t="s">
        <v>871</v>
      </c>
      <c r="G556" s="25">
        <f t="shared" si="8"/>
        <v>148200</v>
      </c>
      <c r="H556" s="25">
        <f t="array" ref="H556">IF(A556=A555,0,SUM(_xlfn._xlws.FILTER(G556:G576,A556:A576=A556)))</f>
        <v>0</v>
      </c>
      <c r="I556" s="25">
        <f t="array" ref="I556">IFERROR(IF(A556=A555,0,SUM(_xlfn._xlws.FILTER(G556:G576,(A556:A576=A556)*(E556:E576&lt;0)))),0)</f>
        <v>0</v>
      </c>
      <c r="J556" s="25">
        <f t="array" ref="J556">IFERROR(IF(A556=A555,0,SUM(_xlfn._xlws.FILTER(G556:G576,(A556:A576=A556)*(E556:E576&gt;0)))),0)</f>
        <v>0</v>
      </c>
      <c r="K556" s="25">
        <f>IF(H556&lt;&gt;0,SUM(H$2:H556),0)</f>
        <v>0</v>
      </c>
      <c r="L556" s="25">
        <f>IF(I556&lt;&gt;0,SUM(I$2:I556),0)</f>
        <v>0</v>
      </c>
      <c r="M556" s="25">
        <f>IF(J556&lt;&gt;0,SUM(J$2:J556),0)</f>
        <v>0</v>
      </c>
    </row>
    <row r="557" spans="1:13" x14ac:dyDescent="0.2">
      <c r="A557" s="5" t="s">
        <v>872</v>
      </c>
      <c r="C557" s="5" t="s">
        <v>303</v>
      </c>
      <c r="D557" s="6" t="s">
        <v>56</v>
      </c>
      <c r="E557" s="8" t="s">
        <v>873</v>
      </c>
      <c r="G557" s="25">
        <f t="shared" si="8"/>
        <v>123356</v>
      </c>
      <c r="H557" s="25">
        <f t="array" ref="H557">IF(A557=A556,0,SUM(_xlfn._xlws.FILTER(G557:G577,A557:A577=A557)))</f>
        <v>120468.79999999999</v>
      </c>
      <c r="I557" s="25">
        <f t="array" ref="I557">IFERROR(IF(A557=A556,0,SUM(_xlfn._xlws.FILTER(G557:G577,(A557:A577=A557)*(E557:E577&lt;0)))),0)</f>
        <v>0</v>
      </c>
      <c r="J557" s="25">
        <f t="array" ref="J557">IFERROR(IF(A557=A556,0,SUM(_xlfn._xlws.FILTER(G557:G577,(A557:A577=A557)*(E557:E577&gt;0)))),0)</f>
        <v>120468.79999999999</v>
      </c>
      <c r="K557" s="25">
        <f>IF(H557&lt;&gt;0,SUM(H$2:H557),0)</f>
        <v>-2052636.9723070001</v>
      </c>
      <c r="L557" s="25">
        <f>IF(I557&lt;&gt;0,SUM(I$2:I557),0)</f>
        <v>0</v>
      </c>
      <c r="M557" s="25">
        <f>IF(J557&lt;&gt;0,SUM(J$2:J557),0)</f>
        <v>-2052636.9723070001</v>
      </c>
    </row>
    <row r="558" spans="1:13" x14ac:dyDescent="0.2">
      <c r="A558" s="5" t="s">
        <v>872</v>
      </c>
      <c r="C558" s="5" t="s">
        <v>230</v>
      </c>
      <c r="D558" s="6" t="s">
        <v>874</v>
      </c>
      <c r="E558" s="8" t="s">
        <v>875</v>
      </c>
      <c r="G558" s="25">
        <f t="shared" si="8"/>
        <v>36060</v>
      </c>
      <c r="H558" s="25">
        <f t="array" ref="H558">IF(A558=A557,0,SUM(_xlfn._xlws.FILTER(G558:G578,A558:A578=A558)))</f>
        <v>0</v>
      </c>
      <c r="I558" s="25">
        <f t="array" ref="I558">IFERROR(IF(A558=A557,0,SUM(_xlfn._xlws.FILTER(G558:G578,(A558:A578=A558)*(E558:E578&lt;0)))),0)</f>
        <v>0</v>
      </c>
      <c r="J558" s="25">
        <f t="array" ref="J558">IFERROR(IF(A558=A557,0,SUM(_xlfn._xlws.FILTER(G558:G578,(A558:A578=A558)*(E558:E578&gt;0)))),0)</f>
        <v>0</v>
      </c>
      <c r="K558" s="25">
        <f>IF(H558&lt;&gt;0,SUM(H$2:H558),0)</f>
        <v>0</v>
      </c>
      <c r="L558" s="25">
        <f>IF(I558&lt;&gt;0,SUM(I$2:I558),0)</f>
        <v>0</v>
      </c>
      <c r="M558" s="25">
        <f>IF(J558&lt;&gt;0,SUM(J$2:J558),0)</f>
        <v>0</v>
      </c>
    </row>
    <row r="559" spans="1:13" x14ac:dyDescent="0.2">
      <c r="A559" s="5" t="s">
        <v>872</v>
      </c>
      <c r="C559" s="5" t="s">
        <v>45</v>
      </c>
      <c r="D559" s="6" t="s">
        <v>876</v>
      </c>
      <c r="E559" s="8" t="s">
        <v>877</v>
      </c>
      <c r="G559" s="25">
        <f t="shared" si="8"/>
        <v>-40734</v>
      </c>
      <c r="H559" s="25">
        <f t="array" ref="H559">IF(A559=A558,0,SUM(_xlfn._xlws.FILTER(G559:G579,A559:A579=A559)))</f>
        <v>0</v>
      </c>
      <c r="I559" s="25">
        <f t="array" ref="I559">IFERROR(IF(A559=A558,0,SUM(_xlfn._xlws.FILTER(G559:G579,(A559:A579=A559)*(E559:E579&lt;0)))),0)</f>
        <v>0</v>
      </c>
      <c r="J559" s="25">
        <f t="array" ref="J559">IFERROR(IF(A559=A558,0,SUM(_xlfn._xlws.FILTER(G559:G579,(A559:A579=A559)*(E559:E579&gt;0)))),0)</f>
        <v>0</v>
      </c>
      <c r="K559" s="25">
        <f>IF(H559&lt;&gt;0,SUM(H$2:H559),0)</f>
        <v>0</v>
      </c>
      <c r="L559" s="25">
        <f>IF(I559&lt;&gt;0,SUM(I$2:I559),0)</f>
        <v>0</v>
      </c>
      <c r="M559" s="25">
        <f>IF(J559&lt;&gt;0,SUM(J$2:J559),0)</f>
        <v>0</v>
      </c>
    </row>
    <row r="560" spans="1:13" x14ac:dyDescent="0.2">
      <c r="A560" s="5" t="s">
        <v>872</v>
      </c>
      <c r="C560" s="5" t="s">
        <v>41</v>
      </c>
      <c r="D560" s="6" t="s">
        <v>878</v>
      </c>
      <c r="E560" s="8" t="s">
        <v>879</v>
      </c>
      <c r="G560" s="25">
        <f t="shared" si="8"/>
        <v>-92433.200000000012</v>
      </c>
      <c r="H560" s="25">
        <f t="array" ref="H560">IF(A560=A559,0,SUM(_xlfn._xlws.FILTER(G560:G580,A560:A580=A560)))</f>
        <v>0</v>
      </c>
      <c r="I560" s="25">
        <f t="array" ref="I560">IFERROR(IF(A560=A559,0,SUM(_xlfn._xlws.FILTER(G560:G580,(A560:A580=A560)*(E560:E580&lt;0)))),0)</f>
        <v>0</v>
      </c>
      <c r="J560" s="25">
        <f t="array" ref="J560">IFERROR(IF(A560=A559,0,SUM(_xlfn._xlws.FILTER(G560:G580,(A560:A580=A560)*(E560:E580&gt;0)))),0)</f>
        <v>0</v>
      </c>
      <c r="K560" s="25">
        <f>IF(H560&lt;&gt;0,SUM(H$2:H560),0)</f>
        <v>0</v>
      </c>
      <c r="L560" s="25">
        <f>IF(I560&lt;&gt;0,SUM(I$2:I560),0)</f>
        <v>0</v>
      </c>
      <c r="M560" s="25">
        <f>IF(J560&lt;&gt;0,SUM(J$2:J560),0)</f>
        <v>0</v>
      </c>
    </row>
    <row r="561" spans="1:13" x14ac:dyDescent="0.2">
      <c r="A561" s="5" t="s">
        <v>872</v>
      </c>
      <c r="C561" s="5" t="s">
        <v>190</v>
      </c>
      <c r="D561" s="6" t="s">
        <v>719</v>
      </c>
      <c r="E561" s="8" t="s">
        <v>880</v>
      </c>
      <c r="G561" s="25">
        <f t="shared" si="8"/>
        <v>94220</v>
      </c>
      <c r="H561" s="25">
        <f t="array" ref="H561">IF(A561=A560,0,SUM(_xlfn._xlws.FILTER(G561:G581,A561:A581=A561)))</f>
        <v>0</v>
      </c>
      <c r="I561" s="25">
        <f t="array" ref="I561">IFERROR(IF(A561=A560,0,SUM(_xlfn._xlws.FILTER(G561:G581,(A561:A581=A561)*(E561:E581&lt;0)))),0)</f>
        <v>0</v>
      </c>
      <c r="J561" s="25">
        <f t="array" ref="J561">IFERROR(IF(A561=A560,0,SUM(_xlfn._xlws.FILTER(G561:G581,(A561:A581=A561)*(E561:E581&gt;0)))),0)</f>
        <v>0</v>
      </c>
      <c r="K561" s="25">
        <f>IF(H561&lt;&gt;0,SUM(H$2:H561),0)</f>
        <v>0</v>
      </c>
      <c r="L561" s="25">
        <f>IF(I561&lt;&gt;0,SUM(I$2:I561),0)</f>
        <v>0</v>
      </c>
      <c r="M561" s="25">
        <f>IF(J561&lt;&gt;0,SUM(J$2:J561),0)</f>
        <v>0</v>
      </c>
    </row>
    <row r="562" spans="1:13" x14ac:dyDescent="0.2">
      <c r="A562" s="1" t="s">
        <v>881</v>
      </c>
      <c r="C562" s="2" t="s">
        <v>90</v>
      </c>
      <c r="D562" s="2" t="s">
        <v>53</v>
      </c>
      <c r="E562" s="4" t="s">
        <v>882</v>
      </c>
      <c r="G562" s="25">
        <f t="shared" si="8"/>
        <v>131790</v>
      </c>
      <c r="H562" s="25">
        <f t="array" ref="H562">IF(A562=A561,0,SUM(_xlfn._xlws.FILTER(G562:G582,A562:A582=A562)))</f>
        <v>76055</v>
      </c>
      <c r="I562" s="25">
        <f t="array" ref="I562">IFERROR(IF(A562=A561,0,SUM(_xlfn._xlws.FILTER(G562:G582,(A562:A582=A562)*(E562:E582&lt;0)))),0)</f>
        <v>0</v>
      </c>
      <c r="J562" s="25">
        <f t="array" ref="J562">IFERROR(IF(A562=A561,0,SUM(_xlfn._xlws.FILTER(G562:G582,(A562:A582=A562)*(E562:E582&gt;0)))),0)</f>
        <v>76055</v>
      </c>
      <c r="K562" s="25">
        <f>IF(H562&lt;&gt;0,SUM(H$2:H562),0)</f>
        <v>-1976581.9723070001</v>
      </c>
      <c r="L562" s="25">
        <f>IF(I562&lt;&gt;0,SUM(I$2:I562),0)</f>
        <v>0</v>
      </c>
      <c r="M562" s="25">
        <f>IF(J562&lt;&gt;0,SUM(J$2:J562),0)</f>
        <v>-1976581.9723070001</v>
      </c>
    </row>
    <row r="563" spans="1:13" x14ac:dyDescent="0.2">
      <c r="A563" s="1" t="s">
        <v>881</v>
      </c>
      <c r="C563" s="2" t="s">
        <v>109</v>
      </c>
      <c r="D563" s="2" t="s">
        <v>53</v>
      </c>
      <c r="E563" s="4" t="s">
        <v>883</v>
      </c>
      <c r="G563" s="25">
        <f t="shared" si="8"/>
        <v>110825</v>
      </c>
      <c r="H563" s="25">
        <f t="array" ref="H563">IF(A563=A562,0,SUM(_xlfn._xlws.FILTER(G563:G583,A563:A583=A563)))</f>
        <v>0</v>
      </c>
      <c r="I563" s="25">
        <f t="array" ref="I563">IFERROR(IF(A563=A562,0,SUM(_xlfn._xlws.FILTER(G563:G583,(A563:A583=A563)*(E563:E583&lt;0)))),0)</f>
        <v>0</v>
      </c>
      <c r="J563" s="25">
        <f t="array" ref="J563">IFERROR(IF(A563=A562,0,SUM(_xlfn._xlws.FILTER(G563:G583,(A563:A583=A563)*(E563:E583&gt;0)))),0)</f>
        <v>0</v>
      </c>
      <c r="K563" s="25">
        <f>IF(H563&lt;&gt;0,SUM(H$2:H563),0)</f>
        <v>0</v>
      </c>
      <c r="L563" s="25">
        <f>IF(I563&lt;&gt;0,SUM(I$2:I563),0)</f>
        <v>0</v>
      </c>
      <c r="M563" s="25">
        <f>IF(J563&lt;&gt;0,SUM(J$2:J563),0)</f>
        <v>0</v>
      </c>
    </row>
    <row r="564" spans="1:13" x14ac:dyDescent="0.2">
      <c r="A564" s="1" t="s">
        <v>881</v>
      </c>
      <c r="C564" s="2" t="s">
        <v>190</v>
      </c>
      <c r="D564" s="2" t="s">
        <v>698</v>
      </c>
      <c r="E564" s="4" t="s">
        <v>884</v>
      </c>
      <c r="G564" s="25">
        <f t="shared" si="8"/>
        <v>-172820</v>
      </c>
      <c r="H564" s="25">
        <f t="array" ref="H564">IF(A564=A563,0,SUM(_xlfn._xlws.FILTER(G564:G584,A564:A584=A564)))</f>
        <v>0</v>
      </c>
      <c r="I564" s="25">
        <f t="array" ref="I564">IFERROR(IF(A564=A563,0,SUM(_xlfn._xlws.FILTER(G564:G584,(A564:A584=A564)*(E564:E584&lt;0)))),0)</f>
        <v>0</v>
      </c>
      <c r="J564" s="25">
        <f t="array" ref="J564">IFERROR(IF(A564=A563,0,SUM(_xlfn._xlws.FILTER(G564:G584,(A564:A584=A564)*(E564:E584&gt;0)))),0)</f>
        <v>0</v>
      </c>
      <c r="K564" s="25">
        <f>IF(H564&lt;&gt;0,SUM(H$2:H564),0)</f>
        <v>0</v>
      </c>
      <c r="L564" s="25">
        <f>IF(I564&lt;&gt;0,SUM(I$2:I564),0)</f>
        <v>0</v>
      </c>
      <c r="M564" s="25">
        <f>IF(J564&lt;&gt;0,SUM(J$2:J564),0)</f>
        <v>0</v>
      </c>
    </row>
    <row r="565" spans="1:13" x14ac:dyDescent="0.2">
      <c r="A565" s="1" t="s">
        <v>881</v>
      </c>
      <c r="C565" s="2" t="s">
        <v>193</v>
      </c>
      <c r="D565" s="2" t="s">
        <v>885</v>
      </c>
      <c r="E565" s="4" t="s">
        <v>886</v>
      </c>
      <c r="G565" s="25">
        <f t="shared" si="8"/>
        <v>-53580</v>
      </c>
      <c r="H565" s="25">
        <f t="array" ref="H565">IF(A565=A564,0,SUM(_xlfn._xlws.FILTER(G565:G585,A565:A585=A565)))</f>
        <v>0</v>
      </c>
      <c r="I565" s="25">
        <f t="array" ref="I565">IFERROR(IF(A565=A564,0,SUM(_xlfn._xlws.FILTER(G565:G585,(A565:A585=A565)*(E565:E585&lt;0)))),0)</f>
        <v>0</v>
      </c>
      <c r="J565" s="25">
        <f t="array" ref="J565">IFERROR(IF(A565=A564,0,SUM(_xlfn._xlws.FILTER(G565:G585,(A565:A585=A565)*(E565:E585&gt;0)))),0)</f>
        <v>0</v>
      </c>
      <c r="K565" s="25">
        <f>IF(H565&lt;&gt;0,SUM(H$2:H565),0)</f>
        <v>0</v>
      </c>
      <c r="L565" s="25">
        <f>IF(I565&lt;&gt;0,SUM(I$2:I565),0)</f>
        <v>0</v>
      </c>
      <c r="M565" s="25">
        <f>IF(J565&lt;&gt;0,SUM(J$2:J565),0)</f>
        <v>0</v>
      </c>
    </row>
    <row r="566" spans="1:13" x14ac:dyDescent="0.2">
      <c r="A566" s="1" t="s">
        <v>881</v>
      </c>
      <c r="C566" s="2" t="s">
        <v>185</v>
      </c>
      <c r="D566" s="2" t="s">
        <v>698</v>
      </c>
      <c r="E566" s="4" t="s">
        <v>887</v>
      </c>
      <c r="G566" s="25">
        <f t="shared" si="8"/>
        <v>59840</v>
      </c>
      <c r="H566" s="25">
        <f t="array" ref="H566">IF(A566=A565,0,SUM(_xlfn._xlws.FILTER(G566:G586,A566:A586=A566)))</f>
        <v>0</v>
      </c>
      <c r="I566" s="25">
        <f t="array" ref="I566">IFERROR(IF(A566=A565,0,SUM(_xlfn._xlws.FILTER(G566:G586,(A566:A586=A566)*(E566:E586&lt;0)))),0)</f>
        <v>0</v>
      </c>
      <c r="J566" s="25">
        <f t="array" ref="J566">IFERROR(IF(A566=A565,0,SUM(_xlfn._xlws.FILTER(G566:G586,(A566:A586=A566)*(E566:E586&gt;0)))),0)</f>
        <v>0</v>
      </c>
      <c r="K566" s="25">
        <f>IF(H566&lt;&gt;0,SUM(H$2:H566),0)</f>
        <v>0</v>
      </c>
      <c r="L566" s="25">
        <f>IF(I566&lt;&gt;0,SUM(I$2:I566),0)</f>
        <v>0</v>
      </c>
      <c r="M566" s="25">
        <f>IF(J566&lt;&gt;0,SUM(J$2:J566),0)</f>
        <v>0</v>
      </c>
    </row>
    <row r="567" spans="1:13" x14ac:dyDescent="0.2">
      <c r="A567" s="5" t="s">
        <v>888</v>
      </c>
      <c r="C567" s="5" t="s">
        <v>125</v>
      </c>
      <c r="D567" s="6" t="s">
        <v>100</v>
      </c>
      <c r="E567" s="8" t="s">
        <v>889</v>
      </c>
      <c r="G567" s="25">
        <f t="shared" si="8"/>
        <v>-54948</v>
      </c>
      <c r="H567" s="25">
        <f t="array" ref="H567">IF(A567=A566,0,SUM(_xlfn._xlws.FILTER(G567:G587,A567:A587=A567)))</f>
        <v>-1646913</v>
      </c>
      <c r="I567" s="25">
        <f t="array" ref="I567">IFERROR(IF(A567=A566,0,SUM(_xlfn._xlws.FILTER(G567:G587,(A567:A587=A567)*(E567:E587&lt;0)))),0)</f>
        <v>0</v>
      </c>
      <c r="J567" s="25">
        <f t="array" ref="J567">IFERROR(IF(A567=A566,0,SUM(_xlfn._xlws.FILTER(G567:G587,(A567:A587=A567)*(E567:E587&gt;0)))),0)</f>
        <v>-1646913</v>
      </c>
      <c r="K567" s="25">
        <f>IF(H567&lt;&gt;0,SUM(H$2:H567),0)</f>
        <v>-3623494.9723070003</v>
      </c>
      <c r="L567" s="25">
        <f>IF(I567&lt;&gt;0,SUM(I$2:I567),0)</f>
        <v>0</v>
      </c>
      <c r="M567" s="25">
        <f>IF(J567&lt;&gt;0,SUM(J$2:J567),0)</f>
        <v>-3623494.9723070003</v>
      </c>
    </row>
    <row r="568" spans="1:13" x14ac:dyDescent="0.2">
      <c r="A568" s="5" t="s">
        <v>888</v>
      </c>
      <c r="C568" s="5" t="s">
        <v>139</v>
      </c>
      <c r="D568" s="6" t="s">
        <v>789</v>
      </c>
      <c r="E568" s="8" t="s">
        <v>890</v>
      </c>
      <c r="G568" s="25">
        <f t="shared" si="8"/>
        <v>40280</v>
      </c>
      <c r="H568" s="25">
        <f t="array" ref="H568">IF(A568=A567,0,SUM(_xlfn._xlws.FILTER(G568:G588,A568:A588=A568)))</f>
        <v>0</v>
      </c>
      <c r="I568" s="25">
        <f t="array" ref="I568">IFERROR(IF(A568=A567,0,SUM(_xlfn._xlws.FILTER(G568:G588,(A568:A588=A568)*(E568:E588&lt;0)))),0)</f>
        <v>0</v>
      </c>
      <c r="J568" s="25">
        <f t="array" ref="J568">IFERROR(IF(A568=A567,0,SUM(_xlfn._xlws.FILTER(G568:G588,(A568:A588=A568)*(E568:E588&gt;0)))),0)</f>
        <v>0</v>
      </c>
      <c r="K568" s="25">
        <f>IF(H568&lt;&gt;0,SUM(H$2:H568),0)</f>
        <v>0</v>
      </c>
      <c r="L568" s="25">
        <f>IF(I568&lt;&gt;0,SUM(I$2:I568),0)</f>
        <v>0</v>
      </c>
      <c r="M568" s="25">
        <f>IF(J568&lt;&gt;0,SUM(J$2:J568),0)</f>
        <v>0</v>
      </c>
    </row>
    <row r="569" spans="1:13" x14ac:dyDescent="0.2">
      <c r="A569" s="5" t="s">
        <v>888</v>
      </c>
      <c r="C569" s="5" t="s">
        <v>122</v>
      </c>
      <c r="D569" s="6" t="s">
        <v>789</v>
      </c>
      <c r="E569" s="8" t="s">
        <v>891</v>
      </c>
      <c r="G569" s="25">
        <f t="shared" si="8"/>
        <v>49560</v>
      </c>
      <c r="H569" s="25">
        <f t="array" ref="H569">IF(A569=A568,0,SUM(_xlfn._xlws.FILTER(G569:G589,A569:A589=A569)))</f>
        <v>0</v>
      </c>
      <c r="I569" s="25">
        <f t="array" ref="I569">IFERROR(IF(A569=A568,0,SUM(_xlfn._xlws.FILTER(G569:G589,(A569:A589=A569)*(E569:E589&lt;0)))),0)</f>
        <v>0</v>
      </c>
      <c r="J569" s="25">
        <f t="array" ref="J569">IFERROR(IF(A569=A568,0,SUM(_xlfn._xlws.FILTER(G569:G589,(A569:A589=A569)*(E569:E589&gt;0)))),0)</f>
        <v>0</v>
      </c>
      <c r="K569" s="25">
        <f>IF(H569&lt;&gt;0,SUM(H$2:H569),0)</f>
        <v>0</v>
      </c>
      <c r="L569" s="25">
        <f>IF(I569&lt;&gt;0,SUM(I$2:I569),0)</f>
        <v>0</v>
      </c>
      <c r="M569" s="25">
        <f>IF(J569&lt;&gt;0,SUM(J$2:J569),0)</f>
        <v>0</v>
      </c>
    </row>
    <row r="570" spans="1:13" x14ac:dyDescent="0.2">
      <c r="A570" s="5" t="s">
        <v>888</v>
      </c>
      <c r="C570" s="5" t="s">
        <v>303</v>
      </c>
      <c r="D570" s="6" t="s">
        <v>892</v>
      </c>
      <c r="E570" s="8" t="s">
        <v>893</v>
      </c>
      <c r="G570" s="25">
        <f t="shared" si="8"/>
        <v>-1452685</v>
      </c>
      <c r="H570" s="25">
        <f t="array" ref="H570">IF(A570=A569,0,SUM(_xlfn._xlws.FILTER(G570:G590,A570:A590=A570)))</f>
        <v>0</v>
      </c>
      <c r="I570" s="25">
        <f t="array" ref="I570">IFERROR(IF(A570=A569,0,SUM(_xlfn._xlws.FILTER(G570:G590,(A570:A590=A570)*(E570:E590&lt;0)))),0)</f>
        <v>0</v>
      </c>
      <c r="J570" s="25">
        <f t="array" ref="J570">IFERROR(IF(A570=A569,0,SUM(_xlfn._xlws.FILTER(G570:G590,(A570:A590=A570)*(E570:E590&gt;0)))),0)</f>
        <v>0</v>
      </c>
      <c r="K570" s="25">
        <f>IF(H570&lt;&gt;0,SUM(H$2:H570),0)</f>
        <v>0</v>
      </c>
      <c r="L570" s="25">
        <f>IF(I570&lt;&gt;0,SUM(I$2:I570),0)</f>
        <v>0</v>
      </c>
      <c r="M570" s="25">
        <f>IF(J570&lt;&gt;0,SUM(J$2:J570),0)</f>
        <v>0</v>
      </c>
    </row>
    <row r="571" spans="1:13" x14ac:dyDescent="0.2">
      <c r="A571" s="5" t="s">
        <v>888</v>
      </c>
      <c r="C571" s="5" t="s">
        <v>22</v>
      </c>
      <c r="D571" s="6" t="s">
        <v>23</v>
      </c>
      <c r="E571" s="8" t="s">
        <v>894</v>
      </c>
      <c r="G571" s="25">
        <f t="shared" si="8"/>
        <v>-229119.99999999997</v>
      </c>
      <c r="H571" s="25">
        <f t="array" ref="H571">IF(A571=A570,0,SUM(_xlfn._xlws.FILTER(G571:G591,A571:A591=A571)))</f>
        <v>0</v>
      </c>
      <c r="I571" s="25">
        <f t="array" ref="I571">IFERROR(IF(A571=A570,0,SUM(_xlfn._xlws.FILTER(G571:G591,(A571:A591=A571)*(E571:E591&lt;0)))),0)</f>
        <v>0</v>
      </c>
      <c r="J571" s="25">
        <f t="array" ref="J571">IFERROR(IF(A571=A570,0,SUM(_xlfn._xlws.FILTER(G571:G591,(A571:A591=A571)*(E571:E591&gt;0)))),0)</f>
        <v>0</v>
      </c>
      <c r="K571" s="25">
        <f>IF(H571&lt;&gt;0,SUM(H$2:H571),0)</f>
        <v>0</v>
      </c>
      <c r="L571" s="25">
        <f>IF(I571&lt;&gt;0,SUM(I$2:I571),0)</f>
        <v>0</v>
      </c>
      <c r="M571" s="25">
        <f>IF(J571&lt;&gt;0,SUM(J$2:J571),0)</f>
        <v>0</v>
      </c>
    </row>
    <row r="572" spans="1:13" x14ac:dyDescent="0.2">
      <c r="A572" s="1" t="s">
        <v>895</v>
      </c>
      <c r="C572" s="2" t="s">
        <v>139</v>
      </c>
      <c r="D572" s="2" t="s">
        <v>789</v>
      </c>
      <c r="E572" s="4" t="s">
        <v>896</v>
      </c>
      <c r="G572" s="25">
        <f t="shared" si="8"/>
        <v>40501</v>
      </c>
      <c r="H572" s="25">
        <f t="array" ref="H572">IF(A572=A571,0,SUM(_xlfn._xlws.FILTER(G572:G592,A572:A592=A572)))</f>
        <v>-511279</v>
      </c>
      <c r="I572" s="25">
        <f t="array" ref="I572">IFERROR(IF(A572=A571,0,SUM(_xlfn._xlws.FILTER(G572:G592,(A572:A592=A572)*(E572:E592&lt;0)))),0)</f>
        <v>0</v>
      </c>
      <c r="J572" s="25">
        <f t="array" ref="J572">IFERROR(IF(A572=A571,0,SUM(_xlfn._xlws.FILTER(G572:G592,(A572:A592=A572)*(E572:E592&gt;0)))),0)</f>
        <v>-511279</v>
      </c>
      <c r="K572" s="25">
        <f>IF(H572&lt;&gt;0,SUM(H$2:H572),0)</f>
        <v>-4134773.9723070003</v>
      </c>
      <c r="L572" s="25">
        <f>IF(I572&lt;&gt;0,SUM(I$2:I572),0)</f>
        <v>0</v>
      </c>
      <c r="M572" s="25">
        <f>IF(J572&lt;&gt;0,SUM(J$2:J572),0)</f>
        <v>-4134773.9723070003</v>
      </c>
    </row>
    <row r="573" spans="1:13" x14ac:dyDescent="0.2">
      <c r="A573" s="1" t="s">
        <v>895</v>
      </c>
      <c r="C573" s="2" t="s">
        <v>303</v>
      </c>
      <c r="D573" s="2" t="s">
        <v>53</v>
      </c>
      <c r="E573" s="4" t="s">
        <v>897</v>
      </c>
      <c r="G573" s="25">
        <f t="shared" si="8"/>
        <v>-551780</v>
      </c>
      <c r="H573" s="25">
        <f t="array" ref="H573">IF(A573=A572,0,SUM(_xlfn._xlws.FILTER(G573:G593,A573:A593=A573)))</f>
        <v>0</v>
      </c>
      <c r="I573" s="25">
        <f t="array" ref="I573">IFERROR(IF(A573=A572,0,SUM(_xlfn._xlws.FILTER(G573:G593,(A573:A593=A573)*(E573:E593&lt;0)))),0)</f>
        <v>0</v>
      </c>
      <c r="J573" s="25">
        <f t="array" ref="J573">IFERROR(IF(A573=A572,0,SUM(_xlfn._xlws.FILTER(G573:G593,(A573:A593=A573)*(E573:E593&gt;0)))),0)</f>
        <v>0</v>
      </c>
      <c r="K573" s="25">
        <f>IF(H573&lt;&gt;0,SUM(H$2:H573),0)</f>
        <v>0</v>
      </c>
      <c r="L573" s="25">
        <f>IF(I573&lt;&gt;0,SUM(I$2:I573),0)</f>
        <v>0</v>
      </c>
      <c r="M573" s="25">
        <f>IF(J573&lt;&gt;0,SUM(J$2:J573),0)</f>
        <v>0</v>
      </c>
    </row>
    <row r="574" spans="1:13" x14ac:dyDescent="0.2">
      <c r="A574" s="5" t="s">
        <v>898</v>
      </c>
      <c r="C574" s="5" t="s">
        <v>19</v>
      </c>
      <c r="D574" s="6" t="s">
        <v>56</v>
      </c>
      <c r="E574" s="8" t="s">
        <v>899</v>
      </c>
      <c r="G574" s="25">
        <f t="shared" si="8"/>
        <v>89475</v>
      </c>
      <c r="H574" s="25">
        <f t="array" ref="H574">IF(A574=A573,0,SUM(_xlfn._xlws.FILTER(G574:G594,A574:A594=A574)))</f>
        <v>-611725</v>
      </c>
      <c r="I574" s="25">
        <f t="array" ref="I574">IFERROR(IF(A574=A573,0,SUM(_xlfn._xlws.FILTER(G574:G594,(A574:A594=A574)*(E574:E594&lt;0)))),0)</f>
        <v>0</v>
      </c>
      <c r="J574" s="25">
        <f t="array" ref="J574">IFERROR(IF(A574=A573,0,SUM(_xlfn._xlws.FILTER(G574:G594,(A574:A594=A574)*(E574:E594&gt;0)))),0)</f>
        <v>-611725</v>
      </c>
      <c r="K574" s="25">
        <f>IF(H574&lt;&gt;0,SUM(H$2:H574),0)</f>
        <v>-4746498.9723070003</v>
      </c>
      <c r="L574" s="25">
        <f>IF(I574&lt;&gt;0,SUM(I$2:I574),0)</f>
        <v>0</v>
      </c>
      <c r="M574" s="25">
        <f>IF(J574&lt;&gt;0,SUM(J$2:J574),0)</f>
        <v>-4746498.9723070003</v>
      </c>
    </row>
    <row r="575" spans="1:13" x14ac:dyDescent="0.2">
      <c r="A575" s="5" t="s">
        <v>898</v>
      </c>
      <c r="C575" s="5" t="s">
        <v>139</v>
      </c>
      <c r="D575" s="6" t="s">
        <v>824</v>
      </c>
      <c r="E575" s="8" t="s">
        <v>900</v>
      </c>
      <c r="G575" s="25">
        <f t="shared" si="8"/>
        <v>81240</v>
      </c>
      <c r="H575" s="25">
        <f t="array" ref="H575">IF(A575=A574,0,SUM(_xlfn._xlws.FILTER(G575:G595,A575:A595=A575)))</f>
        <v>0</v>
      </c>
      <c r="I575" s="25">
        <f t="array" ref="I575">IFERROR(IF(A575=A574,0,SUM(_xlfn._xlws.FILTER(G575:G595,(A575:A595=A575)*(E575:E595&lt;0)))),0)</f>
        <v>0</v>
      </c>
      <c r="J575" s="25">
        <f t="array" ref="J575">IFERROR(IF(A575=A574,0,SUM(_xlfn._xlws.FILTER(G575:G595,(A575:A595=A575)*(E575:E595&gt;0)))),0)</f>
        <v>0</v>
      </c>
      <c r="K575" s="25">
        <f>IF(H575&lt;&gt;0,SUM(H$2:H575),0)</f>
        <v>0</v>
      </c>
      <c r="L575" s="25">
        <f>IF(I575&lt;&gt;0,SUM(I$2:I575),0)</f>
        <v>0</v>
      </c>
      <c r="M575" s="25">
        <f>IF(J575&lt;&gt;0,SUM(J$2:J575),0)</f>
        <v>0</v>
      </c>
    </row>
    <row r="576" spans="1:13" x14ac:dyDescent="0.2">
      <c r="A576" s="5" t="s">
        <v>898</v>
      </c>
      <c r="C576" s="5" t="s">
        <v>41</v>
      </c>
      <c r="D576" s="6" t="s">
        <v>719</v>
      </c>
      <c r="E576" s="8" t="s">
        <v>901</v>
      </c>
      <c r="G576" s="25">
        <f t="shared" si="8"/>
        <v>-67000</v>
      </c>
      <c r="H576" s="25">
        <f t="array" ref="H576">IF(A576=A575,0,SUM(_xlfn._xlws.FILTER(G576:G596,A576:A596=A576)))</f>
        <v>0</v>
      </c>
      <c r="I576" s="25">
        <f t="array" ref="I576">IFERROR(IF(A576=A575,0,SUM(_xlfn._xlws.FILTER(G576:G596,(A576:A596=A576)*(E576:E596&lt;0)))),0)</f>
        <v>0</v>
      </c>
      <c r="J576" s="25">
        <f t="array" ref="J576">IFERROR(IF(A576=A575,0,SUM(_xlfn._xlws.FILTER(G576:G596,(A576:A596=A576)*(E576:E596&gt;0)))),0)</f>
        <v>0</v>
      </c>
      <c r="K576" s="25">
        <f>IF(H576&lt;&gt;0,SUM(H$2:H576),0)</f>
        <v>0</v>
      </c>
      <c r="L576" s="25">
        <f>IF(I576&lt;&gt;0,SUM(I$2:I576),0)</f>
        <v>0</v>
      </c>
      <c r="M576" s="25">
        <f>IF(J576&lt;&gt;0,SUM(J$2:J576),0)</f>
        <v>0</v>
      </c>
    </row>
    <row r="577" spans="1:13" x14ac:dyDescent="0.2">
      <c r="A577" s="5" t="s">
        <v>898</v>
      </c>
      <c r="C577" s="5" t="s">
        <v>190</v>
      </c>
      <c r="D577" s="6" t="s">
        <v>698</v>
      </c>
      <c r="E577" s="8" t="s">
        <v>902</v>
      </c>
      <c r="G577" s="25">
        <f t="shared" si="8"/>
        <v>-167000</v>
      </c>
      <c r="H577" s="25">
        <f t="array" ref="H577">IF(A577=A576,0,SUM(_xlfn._xlws.FILTER(G577:G597,A577:A597=A577)))</f>
        <v>0</v>
      </c>
      <c r="I577" s="25">
        <f t="array" ref="I577">IFERROR(IF(A577=A576,0,SUM(_xlfn._xlws.FILTER(G577:G597,(A577:A597=A577)*(E577:E597&lt;0)))),0)</f>
        <v>0</v>
      </c>
      <c r="J577" s="25">
        <f t="array" ref="J577">IFERROR(IF(A577=A576,0,SUM(_xlfn._xlws.FILTER(G577:G597,(A577:A597=A577)*(E577:E597&gt;0)))),0)</f>
        <v>0</v>
      </c>
      <c r="K577" s="25">
        <f>IF(H577&lt;&gt;0,SUM(H$2:H577),0)</f>
        <v>0</v>
      </c>
      <c r="L577" s="25">
        <f>IF(I577&lt;&gt;0,SUM(I$2:I577),0)</f>
        <v>0</v>
      </c>
      <c r="M577" s="25">
        <f>IF(J577&lt;&gt;0,SUM(J$2:J577),0)</f>
        <v>0</v>
      </c>
    </row>
    <row r="578" spans="1:13" x14ac:dyDescent="0.2">
      <c r="A578" s="5" t="s">
        <v>898</v>
      </c>
      <c r="C578" s="5" t="s">
        <v>303</v>
      </c>
      <c r="D578" s="6" t="s">
        <v>53</v>
      </c>
      <c r="E578" s="8" t="s">
        <v>903</v>
      </c>
      <c r="G578" s="25">
        <f t="shared" ref="G578:G628" si="9">D578*E578*IF(OR(C578="IAG",C578="EZJ",C578="AET"),0.01,1)</f>
        <v>-548440</v>
      </c>
      <c r="H578" s="25">
        <f t="array" ref="H578">IF(A578=A577,0,SUM(_xlfn._xlws.FILTER(G578:G598,A578:A598=A578)))</f>
        <v>0</v>
      </c>
      <c r="I578" s="25">
        <f t="array" ref="I578">IFERROR(IF(A578=A577,0,SUM(_xlfn._xlws.FILTER(G578:G598,(A578:A598=A578)*(E578:E598&lt;0)))),0)</f>
        <v>0</v>
      </c>
      <c r="J578" s="25">
        <f t="array" ref="J578">IFERROR(IF(A578=A577,0,SUM(_xlfn._xlws.FILTER(G578:G598,(A578:A598=A578)*(E578:E598&gt;0)))),0)</f>
        <v>0</v>
      </c>
      <c r="K578" s="25">
        <f>IF(H578&lt;&gt;0,SUM(H$2:H578),0)</f>
        <v>0</v>
      </c>
      <c r="L578" s="25">
        <f>IF(I578&lt;&gt;0,SUM(I$2:I578),0)</f>
        <v>0</v>
      </c>
      <c r="M578" s="25">
        <f>IF(J578&lt;&gt;0,SUM(J$2:J578),0)</f>
        <v>0</v>
      </c>
    </row>
    <row r="579" spans="1:13" x14ac:dyDescent="0.2">
      <c r="A579" s="1" t="s">
        <v>904</v>
      </c>
      <c r="C579" s="2" t="s">
        <v>139</v>
      </c>
      <c r="D579" s="2" t="s">
        <v>789</v>
      </c>
      <c r="E579" s="2" t="s">
        <v>905</v>
      </c>
      <c r="G579" s="25">
        <f t="shared" si="9"/>
        <v>41007</v>
      </c>
      <c r="H579" s="25">
        <f t="array" ref="H579">IF(A579=A578,0,SUM(_xlfn._xlws.FILTER(G579:G599,A579:A599=A579)))</f>
        <v>133317.20000000001</v>
      </c>
      <c r="I579" s="25">
        <f t="array" ref="I579">IFERROR(IF(A579=A578,0,SUM(_xlfn._xlws.FILTER(G579:G599,(A579:A599=A579)*(E579:E599&lt;0)))),0)</f>
        <v>0</v>
      </c>
      <c r="J579" s="25">
        <f t="array" ref="J579">IFERROR(IF(A579=A578,0,SUM(_xlfn._xlws.FILTER(G579:G599,(A579:A599=A579)*(E579:E599&gt;0)))),0)</f>
        <v>133317.20000000001</v>
      </c>
      <c r="K579" s="25">
        <f>IF(H579&lt;&gt;0,SUM(H$2:H579),0)</f>
        <v>-4613181.7723070001</v>
      </c>
      <c r="L579" s="25">
        <f>IF(I579&lt;&gt;0,SUM(I$2:I579),0)</f>
        <v>0</v>
      </c>
      <c r="M579" s="25">
        <f>IF(J579&lt;&gt;0,SUM(J$2:J579),0)</f>
        <v>-4613181.7723070001</v>
      </c>
    </row>
    <row r="580" spans="1:13" x14ac:dyDescent="0.2">
      <c r="A580" s="1" t="s">
        <v>904</v>
      </c>
      <c r="C580" s="2" t="s">
        <v>19</v>
      </c>
      <c r="D580" s="2" t="s">
        <v>56</v>
      </c>
      <c r="E580" s="2" t="s">
        <v>906</v>
      </c>
      <c r="G580" s="25">
        <f t="shared" si="9"/>
        <v>91025</v>
      </c>
      <c r="H580" s="25">
        <f t="array" ref="H580">IF(A580=A579,0,SUM(_xlfn._xlws.FILTER(G580:G600,A580:A600=A580)))</f>
        <v>0</v>
      </c>
      <c r="I580" s="25">
        <f t="array" ref="I580">IFERROR(IF(A580=A579,0,SUM(_xlfn._xlws.FILTER(G580:G600,(A580:A600=A580)*(E580:E600&lt;0)))),0)</f>
        <v>0</v>
      </c>
      <c r="J580" s="25">
        <f t="array" ref="J580">IFERROR(IF(A580=A579,0,SUM(_xlfn._xlws.FILTER(G580:G600,(A580:A600=A580)*(E580:E600&gt;0)))),0)</f>
        <v>0</v>
      </c>
      <c r="K580" s="25">
        <f>IF(H580&lt;&gt;0,SUM(H$2:H580),0)</f>
        <v>0</v>
      </c>
      <c r="L580" s="25">
        <f>IF(I580&lt;&gt;0,SUM(I$2:I580),0)</f>
        <v>0</v>
      </c>
      <c r="M580" s="25">
        <f>IF(J580&lt;&gt;0,SUM(J$2:J580),0)</f>
        <v>0</v>
      </c>
    </row>
    <row r="581" spans="1:13" x14ac:dyDescent="0.2">
      <c r="A581" s="5" t="s">
        <v>904</v>
      </c>
      <c r="C581" s="5" t="s">
        <v>320</v>
      </c>
      <c r="D581" s="6" t="s">
        <v>907</v>
      </c>
      <c r="E581" s="8" t="s">
        <v>908</v>
      </c>
      <c r="G581" s="25">
        <f t="shared" si="9"/>
        <v>1285.2</v>
      </c>
      <c r="H581" s="25">
        <f t="array" ref="H581">IF(A581=A580,0,SUM(_xlfn._xlws.FILTER(G581:G601,A581:A601=A581)))</f>
        <v>0</v>
      </c>
      <c r="I581" s="25">
        <f t="array" ref="I581">IFERROR(IF(A581=A580,0,SUM(_xlfn._xlws.FILTER(G581:G601,(A581:A601=A581)*(E581:E601&lt;0)))),0)</f>
        <v>0</v>
      </c>
      <c r="J581" s="25">
        <f t="array" ref="J581">IFERROR(IF(A581=A580,0,SUM(_xlfn._xlws.FILTER(G581:G601,(A581:A601=A581)*(E581:E601&gt;0)))),0)</f>
        <v>0</v>
      </c>
      <c r="K581" s="25">
        <f>IF(H581&lt;&gt;0,SUM(H$2:H581),0)</f>
        <v>0</v>
      </c>
      <c r="L581" s="25">
        <f>IF(I581&lt;&gt;0,SUM(I$2:I581),0)</f>
        <v>0</v>
      </c>
      <c r="M581" s="25">
        <f>IF(J581&lt;&gt;0,SUM(J$2:J581),0)</f>
        <v>0</v>
      </c>
    </row>
    <row r="582" spans="1:13" x14ac:dyDescent="0.2">
      <c r="A582" s="5" t="s">
        <v>909</v>
      </c>
      <c r="C582" s="5" t="s">
        <v>45</v>
      </c>
      <c r="D582" s="6" t="s">
        <v>876</v>
      </c>
      <c r="E582" s="8" t="s">
        <v>910</v>
      </c>
      <c r="G582" s="25">
        <f t="shared" si="9"/>
        <v>43416</v>
      </c>
      <c r="H582" s="25">
        <f t="array" ref="H582">IF(A582=A581,0,SUM(_xlfn._xlws.FILTER(G582:G602,A582:A602=A582)))</f>
        <v>-36184</v>
      </c>
      <c r="I582" s="25">
        <f t="array" ref="I582">IFERROR(IF(A582=A581,0,SUM(_xlfn._xlws.FILTER(G582:G602,(A582:A602=A582)*(E582:E602&lt;0)))),0)</f>
        <v>0</v>
      </c>
      <c r="J582" s="25">
        <f t="array" ref="J582">IFERROR(IF(A582=A581,0,SUM(_xlfn._xlws.FILTER(G582:G602,(A582:A602=A582)*(E582:E602&gt;0)))),0)</f>
        <v>-36184</v>
      </c>
      <c r="K582" s="25">
        <f>IF(H582&lt;&gt;0,SUM(H$2:H582),0)</f>
        <v>-4649365.7723070001</v>
      </c>
      <c r="L582" s="25">
        <f>IF(I582&lt;&gt;0,SUM(I$2:I582),0)</f>
        <v>0</v>
      </c>
      <c r="M582" s="25">
        <f>IF(J582&lt;&gt;0,SUM(J$2:J582),0)</f>
        <v>-4649365.7723070001</v>
      </c>
    </row>
    <row r="583" spans="1:13" x14ac:dyDescent="0.2">
      <c r="A583" s="5" t="s">
        <v>909</v>
      </c>
      <c r="C583" s="5" t="s">
        <v>190</v>
      </c>
      <c r="D583" s="6" t="s">
        <v>719</v>
      </c>
      <c r="E583" s="8" t="s">
        <v>911</v>
      </c>
      <c r="G583" s="25">
        <f t="shared" si="9"/>
        <v>-79600</v>
      </c>
      <c r="H583" s="25">
        <f t="array" ref="H583">IF(A583=A582,0,SUM(_xlfn._xlws.FILTER(G583:G603,A583:A603=A583)))</f>
        <v>0</v>
      </c>
      <c r="I583" s="25">
        <f t="array" ref="I583">IFERROR(IF(A583=A582,0,SUM(_xlfn._xlws.FILTER(G583:G603,(A583:A603=A583)*(E583:E603&lt;0)))),0)</f>
        <v>0</v>
      </c>
      <c r="J583" s="25">
        <f t="array" ref="J583">IFERROR(IF(A583=A582,0,SUM(_xlfn._xlws.FILTER(G583:G603,(A583:A603=A583)*(E583:E603&gt;0)))),0)</f>
        <v>0</v>
      </c>
      <c r="K583" s="25">
        <f>IF(H583&lt;&gt;0,SUM(H$2:H583),0)</f>
        <v>0</v>
      </c>
      <c r="L583" s="25">
        <f>IF(I583&lt;&gt;0,SUM(I$2:I583),0)</f>
        <v>0</v>
      </c>
      <c r="M583" s="25">
        <f>IF(J583&lt;&gt;0,SUM(J$2:J583),0)</f>
        <v>0</v>
      </c>
    </row>
    <row r="584" spans="1:13" x14ac:dyDescent="0.2">
      <c r="A584" s="1" t="s">
        <v>912</v>
      </c>
      <c r="C584" s="2" t="s">
        <v>188</v>
      </c>
      <c r="D584" s="2" t="s">
        <v>885</v>
      </c>
      <c r="E584" s="4" t="s">
        <v>913</v>
      </c>
      <c r="G584" s="25">
        <f t="shared" si="9"/>
        <v>-42000</v>
      </c>
      <c r="H584" s="25">
        <f t="array" ref="H584">IF(A584=A583,0,SUM(_xlfn._xlws.FILTER(G584:G604,A584:A604=A584)))</f>
        <v>-61478.899999999994</v>
      </c>
      <c r="I584" s="25">
        <f t="array" ref="I584">IFERROR(IF(A584=A583,0,SUM(_xlfn._xlws.FILTER(G584:G604,(A584:A604=A584)*(E584:E604&lt;0)))),0)</f>
        <v>0</v>
      </c>
      <c r="J584" s="25">
        <f t="array" ref="J584">IFERROR(IF(A584=A583,0,SUM(_xlfn._xlws.FILTER(G584:G604,(A584:A604=A584)*(E584:E604&gt;0)))),0)</f>
        <v>-61478.899999999994</v>
      </c>
      <c r="K584" s="25">
        <f>IF(H584&lt;&gt;0,SUM(H$2:H584),0)</f>
        <v>-4710844.6723070005</v>
      </c>
      <c r="L584" s="25">
        <f>IF(I584&lt;&gt;0,SUM(I$2:I584),0)</f>
        <v>0</v>
      </c>
      <c r="M584" s="25">
        <f>IF(J584&lt;&gt;0,SUM(J$2:J584),0)</f>
        <v>-4710844.6723070005</v>
      </c>
    </row>
    <row r="585" spans="1:13" x14ac:dyDescent="0.2">
      <c r="A585" s="1" t="s">
        <v>912</v>
      </c>
      <c r="C585" s="2" t="s">
        <v>153</v>
      </c>
      <c r="D585" s="2" t="s">
        <v>914</v>
      </c>
      <c r="E585" s="4" t="s">
        <v>915</v>
      </c>
      <c r="G585" s="25">
        <f t="shared" si="9"/>
        <v>-40006.400000000001</v>
      </c>
      <c r="H585" s="25">
        <f t="array" ref="H585">IF(A585=A584,0,SUM(_xlfn._xlws.FILTER(G585:G605,A585:A605=A585)))</f>
        <v>0</v>
      </c>
      <c r="I585" s="25">
        <f t="array" ref="I585">IFERROR(IF(A585=A584,0,SUM(_xlfn._xlws.FILTER(G585:G605,(A585:A605=A585)*(E585:E605&lt;0)))),0)</f>
        <v>0</v>
      </c>
      <c r="J585" s="25">
        <f t="array" ref="J585">IFERROR(IF(A585=A584,0,SUM(_xlfn._xlws.FILTER(G585:G605,(A585:A605=A585)*(E585:E605&gt;0)))),0)</f>
        <v>0</v>
      </c>
      <c r="K585" s="25">
        <f>IF(H585&lt;&gt;0,SUM(H$2:H585),0)</f>
        <v>0</v>
      </c>
      <c r="L585" s="25">
        <f>IF(I585&lt;&gt;0,SUM(I$2:I585),0)</f>
        <v>0</v>
      </c>
      <c r="M585" s="25">
        <f>IF(J585&lt;&gt;0,SUM(J$2:J585),0)</f>
        <v>0</v>
      </c>
    </row>
    <row r="586" spans="1:13" x14ac:dyDescent="0.2">
      <c r="A586" s="1" t="s">
        <v>912</v>
      </c>
      <c r="C586" s="2" t="s">
        <v>139</v>
      </c>
      <c r="D586" s="2" t="s">
        <v>832</v>
      </c>
      <c r="E586" s="4" t="s">
        <v>916</v>
      </c>
      <c r="G586" s="25">
        <f t="shared" si="9"/>
        <v>20527.5</v>
      </c>
      <c r="H586" s="25">
        <f t="array" ref="H586">IF(A586=A585,0,SUM(_xlfn._xlws.FILTER(G586:G606,A586:A606=A586)))</f>
        <v>0</v>
      </c>
      <c r="I586" s="25">
        <f t="array" ref="I586">IFERROR(IF(A586=A585,0,SUM(_xlfn._xlws.FILTER(G586:G606,(A586:A606=A586)*(E586:E606&lt;0)))),0)</f>
        <v>0</v>
      </c>
      <c r="J586" s="25">
        <f t="array" ref="J586">IFERROR(IF(A586=A585,0,SUM(_xlfn._xlws.FILTER(G586:G606,(A586:A606=A586)*(E586:E606&gt;0)))),0)</f>
        <v>0</v>
      </c>
      <c r="K586" s="25">
        <f>IF(H586&lt;&gt;0,SUM(H$2:H586),0)</f>
        <v>0</v>
      </c>
      <c r="L586" s="25">
        <f>IF(I586&lt;&gt;0,SUM(I$2:I586),0)</f>
        <v>0</v>
      </c>
      <c r="M586" s="25">
        <f>IF(J586&lt;&gt;0,SUM(J$2:J586),0)</f>
        <v>0</v>
      </c>
    </row>
    <row r="587" spans="1:13" x14ac:dyDescent="0.2">
      <c r="A587" s="5" t="s">
        <v>917</v>
      </c>
      <c r="C587" s="5" t="s">
        <v>190</v>
      </c>
      <c r="D587" s="6" t="s">
        <v>719</v>
      </c>
      <c r="E587" s="8" t="s">
        <v>918</v>
      </c>
      <c r="G587" s="25">
        <f t="shared" si="9"/>
        <v>-80880</v>
      </c>
      <c r="H587" s="25">
        <f t="array" ref="H587">IF(A587=A586,0,SUM(_xlfn._xlws.FILTER(G587:G607,A587:A607=A587)))</f>
        <v>-80880</v>
      </c>
      <c r="I587" s="25">
        <f t="array" ref="I587">IFERROR(IF(A587=A586,0,SUM(_xlfn._xlws.FILTER(G587:G607,(A587:A607=A587)*(E587:E607&lt;0)))),0)</f>
        <v>0</v>
      </c>
      <c r="J587" s="25">
        <f t="array" ref="J587">IFERROR(IF(A587=A586,0,SUM(_xlfn._xlws.FILTER(G587:G607,(A587:A607=A587)*(E587:E607&gt;0)))),0)</f>
        <v>-80880</v>
      </c>
      <c r="K587" s="25">
        <f>IF(H587&lt;&gt;0,SUM(H$2:H587),0)</f>
        <v>-4791724.6723070005</v>
      </c>
      <c r="L587" s="25">
        <f>IF(I587&lt;&gt;0,SUM(I$2:I587),0)</f>
        <v>0</v>
      </c>
      <c r="M587" s="25">
        <f>IF(J587&lt;&gt;0,SUM(J$2:J587),0)</f>
        <v>-4791724.6723070005</v>
      </c>
    </row>
    <row r="588" spans="1:13" x14ac:dyDescent="0.2">
      <c r="A588" s="1" t="s">
        <v>919</v>
      </c>
      <c r="C588" s="2" t="s">
        <v>190</v>
      </c>
      <c r="D588" s="2" t="s">
        <v>719</v>
      </c>
      <c r="E588" s="4" t="s">
        <v>920</v>
      </c>
      <c r="G588" s="25">
        <f t="shared" si="9"/>
        <v>-79880</v>
      </c>
      <c r="H588" s="25">
        <f t="array" ref="H588">IF(A588=A587,0,SUM(_xlfn._xlws.FILTER(G588:G608,A588:A608=A588)))</f>
        <v>22135.800000000003</v>
      </c>
      <c r="I588" s="25">
        <f t="array" ref="I588">IFERROR(IF(A588=A587,0,SUM(_xlfn._xlws.FILTER(G588:G608,(A588:A608=A588)*(E588:E608&lt;0)))),0)</f>
        <v>0</v>
      </c>
      <c r="J588" s="25">
        <f t="array" ref="J588">IFERROR(IF(A588=A587,0,SUM(_xlfn._xlws.FILTER(G588:G608,(A588:A608=A588)*(E588:E608&gt;0)))),0)</f>
        <v>22135.800000000003</v>
      </c>
      <c r="K588" s="25">
        <f>IF(H588&lt;&gt;0,SUM(H$2:H588),0)</f>
        <v>-4769588.8723070007</v>
      </c>
      <c r="L588" s="25">
        <f>IF(I588&lt;&gt;0,SUM(I$2:I588),0)</f>
        <v>0</v>
      </c>
      <c r="M588" s="25">
        <f>IF(J588&lt;&gt;0,SUM(J$2:J588),0)</f>
        <v>-4769588.8723070007</v>
      </c>
    </row>
    <row r="589" spans="1:13" x14ac:dyDescent="0.2">
      <c r="A589" s="1" t="s">
        <v>919</v>
      </c>
      <c r="C589" s="2" t="s">
        <v>320</v>
      </c>
      <c r="D589" s="2" t="s">
        <v>921</v>
      </c>
      <c r="E589" s="4" t="s">
        <v>908</v>
      </c>
      <c r="G589" s="25">
        <f t="shared" si="9"/>
        <v>59914.8</v>
      </c>
      <c r="H589" s="25">
        <f t="array" ref="H589">IF(A589=A588,0,SUM(_xlfn._xlws.FILTER(G589:G609,A589:A609=A589)))</f>
        <v>0</v>
      </c>
      <c r="I589" s="25">
        <f t="array" ref="I589">IFERROR(IF(A589=A588,0,SUM(_xlfn._xlws.FILTER(G589:G609,(A589:A609=A589)*(E589:E609&lt;0)))),0)</f>
        <v>0</v>
      </c>
      <c r="J589" s="25">
        <f t="array" ref="J589">IFERROR(IF(A589=A588,0,SUM(_xlfn._xlws.FILTER(G589:G609,(A589:A609=A589)*(E589:E609&gt;0)))),0)</f>
        <v>0</v>
      </c>
      <c r="K589" s="25">
        <f>IF(H589&lt;&gt;0,SUM(H$2:H589),0)</f>
        <v>0</v>
      </c>
      <c r="L589" s="25">
        <f>IF(I589&lt;&gt;0,SUM(I$2:I589),0)</f>
        <v>0</v>
      </c>
      <c r="M589" s="25">
        <f>IF(J589&lt;&gt;0,SUM(J$2:J589),0)</f>
        <v>0</v>
      </c>
    </row>
    <row r="590" spans="1:13" x14ac:dyDescent="0.2">
      <c r="A590" s="1" t="s">
        <v>919</v>
      </c>
      <c r="C590" s="2" t="s">
        <v>139</v>
      </c>
      <c r="D590" s="2" t="s">
        <v>789</v>
      </c>
      <c r="E590" s="4" t="s">
        <v>922</v>
      </c>
      <c r="G590" s="25">
        <f t="shared" si="9"/>
        <v>42101</v>
      </c>
      <c r="H590" s="25">
        <f t="array" ref="H590">IF(A590=A589,0,SUM(_xlfn._xlws.FILTER(G590:G610,A590:A610=A590)))</f>
        <v>0</v>
      </c>
      <c r="I590" s="25">
        <f t="array" ref="I590">IFERROR(IF(A590=A589,0,SUM(_xlfn._xlws.FILTER(G590:G610,(A590:A610=A590)*(E590:E610&lt;0)))),0)</f>
        <v>0</v>
      </c>
      <c r="J590" s="25">
        <f t="array" ref="J590">IFERROR(IF(A590=A589,0,SUM(_xlfn._xlws.FILTER(G590:G610,(A590:A610=A590)*(E590:E610&gt;0)))),0)</f>
        <v>0</v>
      </c>
      <c r="K590" s="25">
        <f>IF(H590&lt;&gt;0,SUM(H$2:H590),0)</f>
        <v>0</v>
      </c>
      <c r="L590" s="25">
        <f>IF(I590&lt;&gt;0,SUM(I$2:I590),0)</f>
        <v>0</v>
      </c>
      <c r="M590" s="25">
        <f>IF(J590&lt;&gt;0,SUM(J$2:J590),0)</f>
        <v>0</v>
      </c>
    </row>
    <row r="591" spans="1:13" x14ac:dyDescent="0.2">
      <c r="A591" s="5" t="s">
        <v>923</v>
      </c>
      <c r="C591" s="5" t="s">
        <v>139</v>
      </c>
      <c r="D591" s="6" t="s">
        <v>924</v>
      </c>
      <c r="E591" s="8" t="s">
        <v>925</v>
      </c>
      <c r="G591" s="25">
        <f t="shared" si="9"/>
        <v>106800</v>
      </c>
      <c r="H591" s="25">
        <f t="array" ref="H591">IF(A591=A590,0,SUM(_xlfn._xlws.FILTER(G591:G611,A591:A611=A591)))</f>
        <v>139466.13</v>
      </c>
      <c r="I591" s="25">
        <f t="array" ref="I591">IFERROR(IF(A591=A590,0,SUM(_xlfn._xlws.FILTER(G591:G611,(A591:A611=A591)*(E591:E611&lt;0)))),0)</f>
        <v>0</v>
      </c>
      <c r="J591" s="25">
        <f t="array" ref="J591">IFERROR(IF(A591=A590,0,SUM(_xlfn._xlws.FILTER(G591:G611,(A591:A611=A591)*(E591:E611&gt;0)))),0)</f>
        <v>139466.13</v>
      </c>
      <c r="K591" s="25">
        <f>IF(H591&lt;&gt;0,SUM(H$2:H591),0)</f>
        <v>-4630122.7423070008</v>
      </c>
      <c r="L591" s="25">
        <f>IF(I591&lt;&gt;0,SUM(I$2:I591),0)</f>
        <v>0</v>
      </c>
      <c r="M591" s="25">
        <f>IF(J591&lt;&gt;0,SUM(J$2:J591),0)</f>
        <v>-4630122.7423070008</v>
      </c>
    </row>
    <row r="592" spans="1:13" x14ac:dyDescent="0.2">
      <c r="A592" s="5" t="s">
        <v>923</v>
      </c>
      <c r="C592" s="5" t="s">
        <v>25</v>
      </c>
      <c r="D592" s="6" t="s">
        <v>926</v>
      </c>
      <c r="E592" s="8" t="s">
        <v>927</v>
      </c>
      <c r="G592" s="25">
        <f t="shared" si="9"/>
        <v>32666.13</v>
      </c>
      <c r="H592" s="25">
        <f t="array" ref="H592">IF(A592=A591,0,SUM(_xlfn._xlws.FILTER(G592:G612,A592:A612=A592)))</f>
        <v>0</v>
      </c>
      <c r="I592" s="25">
        <f t="array" ref="I592">IFERROR(IF(A592=A591,0,SUM(_xlfn._xlws.FILTER(G592:G612,(A592:A612=A592)*(E592:E612&lt;0)))),0)</f>
        <v>0</v>
      </c>
      <c r="J592" s="25">
        <f t="array" ref="J592">IFERROR(IF(A592=A591,0,SUM(_xlfn._xlws.FILTER(G592:G612,(A592:A612=A592)*(E592:E612&gt;0)))),0)</f>
        <v>0</v>
      </c>
      <c r="K592" s="25">
        <f>IF(H592&lt;&gt;0,SUM(H$2:H592),0)</f>
        <v>0</v>
      </c>
      <c r="L592" s="25">
        <f>IF(I592&lt;&gt;0,SUM(I$2:I592),0)</f>
        <v>0</v>
      </c>
      <c r="M592" s="25">
        <f>IF(J592&lt;&gt;0,SUM(J$2:J592),0)</f>
        <v>0</v>
      </c>
    </row>
    <row r="593" spans="1:13" x14ac:dyDescent="0.2">
      <c r="A593" s="1" t="s">
        <v>928</v>
      </c>
      <c r="C593" s="2" t="s">
        <v>611</v>
      </c>
      <c r="D593" s="2" t="s">
        <v>929</v>
      </c>
      <c r="E593" s="4" t="s">
        <v>930</v>
      </c>
      <c r="G593" s="25">
        <f t="shared" si="9"/>
        <v>-189888</v>
      </c>
      <c r="H593" s="25">
        <f t="array" ref="H593">IF(A593=A592,0,SUM(_xlfn._xlws.FILTER(G593:G613,A593:A613=A593)))</f>
        <v>-299131</v>
      </c>
      <c r="I593" s="25">
        <f t="array" ref="I593">IFERROR(IF(A593=A592,0,SUM(_xlfn._xlws.FILTER(G593:G613,(A593:A613=A593)*(E593:E613&lt;0)))),0)</f>
        <v>0</v>
      </c>
      <c r="J593" s="25">
        <f t="array" ref="J593">IFERROR(IF(A593=A592,0,SUM(_xlfn._xlws.FILTER(G593:G613,(A593:A613=A593)*(E593:E613&gt;0)))),0)</f>
        <v>-299131</v>
      </c>
      <c r="K593" s="25">
        <f>IF(H593&lt;&gt;0,SUM(H$2:H593),0)</f>
        <v>-4929253.7423070008</v>
      </c>
      <c r="L593" s="25">
        <f>IF(I593&lt;&gt;0,SUM(I$2:I593),0)</f>
        <v>0</v>
      </c>
      <c r="M593" s="25">
        <f>IF(J593&lt;&gt;0,SUM(J$2:J593),0)</f>
        <v>-4929253.7423070008</v>
      </c>
    </row>
    <row r="594" spans="1:13" x14ac:dyDescent="0.2">
      <c r="A594" s="1" t="s">
        <v>928</v>
      </c>
      <c r="C594" s="2" t="s">
        <v>41</v>
      </c>
      <c r="D594" s="2" t="s">
        <v>698</v>
      </c>
      <c r="E594" s="4" t="s">
        <v>931</v>
      </c>
      <c r="G594" s="25">
        <f t="shared" si="9"/>
        <v>-127380</v>
      </c>
      <c r="H594" s="25">
        <f t="array" ref="H594">IF(A594=A593,0,SUM(_xlfn._xlws.FILTER(G594:G614,A594:A614=A594)))</f>
        <v>0</v>
      </c>
      <c r="I594" s="25">
        <f t="array" ref="I594">IFERROR(IF(A594=A593,0,SUM(_xlfn._xlws.FILTER(G594:G614,(A594:A614=A594)*(E594:E614&lt;0)))),0)</f>
        <v>0</v>
      </c>
      <c r="J594" s="25">
        <f t="array" ref="J594">IFERROR(IF(A594=A593,0,SUM(_xlfn._xlws.FILTER(G594:G614,(A594:A614=A594)*(E594:E614&gt;0)))),0)</f>
        <v>0</v>
      </c>
      <c r="K594" s="25">
        <f>IF(H594&lt;&gt;0,SUM(H$2:H594),0)</f>
        <v>0</v>
      </c>
      <c r="L594" s="25">
        <f>IF(I594&lt;&gt;0,SUM(I$2:I594),0)</f>
        <v>0</v>
      </c>
      <c r="M594" s="25">
        <f>IF(J594&lt;&gt;0,SUM(J$2:J594),0)</f>
        <v>0</v>
      </c>
    </row>
    <row r="595" spans="1:13" x14ac:dyDescent="0.2">
      <c r="A595" s="1" t="s">
        <v>928</v>
      </c>
      <c r="C595" s="2" t="s">
        <v>190</v>
      </c>
      <c r="D595" s="2" t="s">
        <v>698</v>
      </c>
      <c r="E595" s="4" t="s">
        <v>932</v>
      </c>
      <c r="G595" s="25">
        <f t="shared" si="9"/>
        <v>-157760</v>
      </c>
      <c r="H595" s="25">
        <f t="array" ref="H595">IF(A595=A594,0,SUM(_xlfn._xlws.FILTER(G595:G615,A595:A615=A595)))</f>
        <v>0</v>
      </c>
      <c r="I595" s="25">
        <f t="array" ref="I595">IFERROR(IF(A595=A594,0,SUM(_xlfn._xlws.FILTER(G595:G615,(A595:A615=A595)*(E595:E615&lt;0)))),0)</f>
        <v>0</v>
      </c>
      <c r="J595" s="25">
        <f t="array" ref="J595">IFERROR(IF(A595=A594,0,SUM(_xlfn._xlws.FILTER(G595:G615,(A595:A615=A595)*(E595:E615&gt;0)))),0)</f>
        <v>0</v>
      </c>
      <c r="K595" s="25">
        <f>IF(H595&lt;&gt;0,SUM(H$2:H595),0)</f>
        <v>0</v>
      </c>
      <c r="L595" s="25">
        <f>IF(I595&lt;&gt;0,SUM(I$2:I595),0)</f>
        <v>0</v>
      </c>
      <c r="M595" s="25">
        <f>IF(J595&lt;&gt;0,SUM(J$2:J595),0)</f>
        <v>0</v>
      </c>
    </row>
    <row r="596" spans="1:13" x14ac:dyDescent="0.2">
      <c r="A596" s="1" t="s">
        <v>928</v>
      </c>
      <c r="C596" s="2" t="s">
        <v>256</v>
      </c>
      <c r="D596" s="2" t="s">
        <v>832</v>
      </c>
      <c r="E596" s="4" t="s">
        <v>933</v>
      </c>
      <c r="G596" s="25">
        <f t="shared" si="9"/>
        <v>79300</v>
      </c>
      <c r="H596" s="25">
        <f t="array" ref="H596">IF(A596=A595,0,SUM(_xlfn._xlws.FILTER(G596:G616,A596:A616=A596)))</f>
        <v>0</v>
      </c>
      <c r="I596" s="25">
        <f t="array" ref="I596">IFERROR(IF(A596=A595,0,SUM(_xlfn._xlws.FILTER(G596:G616,(A596:A616=A596)*(E596:E616&lt;0)))),0)</f>
        <v>0</v>
      </c>
      <c r="J596" s="25">
        <f t="array" ref="J596">IFERROR(IF(A596=A595,0,SUM(_xlfn._xlws.FILTER(G596:G616,(A596:A616=A596)*(E596:E616&gt;0)))),0)</f>
        <v>0</v>
      </c>
      <c r="K596" s="25">
        <f>IF(H596&lt;&gt;0,SUM(H$2:H596),0)</f>
        <v>0</v>
      </c>
      <c r="L596" s="25">
        <f>IF(I596&lt;&gt;0,SUM(I$2:I596),0)</f>
        <v>0</v>
      </c>
      <c r="M596" s="25">
        <f>IF(J596&lt;&gt;0,SUM(J$2:J596),0)</f>
        <v>0</v>
      </c>
    </row>
    <row r="597" spans="1:13" x14ac:dyDescent="0.2">
      <c r="A597" s="1" t="s">
        <v>928</v>
      </c>
      <c r="C597" s="2" t="s">
        <v>90</v>
      </c>
      <c r="D597" s="2" t="s">
        <v>53</v>
      </c>
      <c r="E597" s="4" t="s">
        <v>934</v>
      </c>
      <c r="G597" s="25">
        <f t="shared" si="9"/>
        <v>135020</v>
      </c>
      <c r="H597" s="25">
        <f t="array" ref="H597">IF(A597=A596,0,SUM(_xlfn._xlws.FILTER(G597:G617,A597:A617=A597)))</f>
        <v>0</v>
      </c>
      <c r="I597" s="25">
        <f t="array" ref="I597">IFERROR(IF(A597=A596,0,SUM(_xlfn._xlws.FILTER(G597:G617,(A597:A617=A597)*(E597:E617&lt;0)))),0)</f>
        <v>0</v>
      </c>
      <c r="J597" s="25">
        <f t="array" ref="J597">IFERROR(IF(A597=A596,0,SUM(_xlfn._xlws.FILTER(G597:G617,(A597:A617=A597)*(E597:E617&gt;0)))),0)</f>
        <v>0</v>
      </c>
      <c r="K597" s="25">
        <f>IF(H597&lt;&gt;0,SUM(H$2:H597),0)</f>
        <v>0</v>
      </c>
      <c r="L597" s="25">
        <f>IF(I597&lt;&gt;0,SUM(I$2:I597),0)</f>
        <v>0</v>
      </c>
      <c r="M597" s="25">
        <f>IF(J597&lt;&gt;0,SUM(J$2:J597),0)</f>
        <v>0</v>
      </c>
    </row>
    <row r="598" spans="1:13" x14ac:dyDescent="0.2">
      <c r="A598" s="1" t="s">
        <v>928</v>
      </c>
      <c r="C598" s="2" t="s">
        <v>185</v>
      </c>
      <c r="D598" s="2" t="s">
        <v>719</v>
      </c>
      <c r="E598" s="4" t="s">
        <v>935</v>
      </c>
      <c r="G598" s="25">
        <f t="shared" si="9"/>
        <v>-28330</v>
      </c>
      <c r="H598" s="25">
        <f t="array" ref="H598">IF(A598=A597,0,SUM(_xlfn._xlws.FILTER(G598:G618,A598:A618=A598)))</f>
        <v>0</v>
      </c>
      <c r="I598" s="25">
        <f t="array" ref="I598">IFERROR(IF(A598=A597,0,SUM(_xlfn._xlws.FILTER(G598:G618,(A598:A618=A598)*(E598:E618&lt;0)))),0)</f>
        <v>0</v>
      </c>
      <c r="J598" s="25">
        <f t="array" ref="J598">IFERROR(IF(A598=A597,0,SUM(_xlfn._xlws.FILTER(G598:G618,(A598:A618=A598)*(E598:E618&gt;0)))),0)</f>
        <v>0</v>
      </c>
      <c r="K598" s="25">
        <f>IF(H598&lt;&gt;0,SUM(H$2:H598),0)</f>
        <v>0</v>
      </c>
      <c r="L598" s="25">
        <f>IF(I598&lt;&gt;0,SUM(I$2:I598),0)</f>
        <v>0</v>
      </c>
      <c r="M598" s="25">
        <f>IF(J598&lt;&gt;0,SUM(J$2:J598),0)</f>
        <v>0</v>
      </c>
    </row>
    <row r="599" spans="1:13" x14ac:dyDescent="0.2">
      <c r="A599" s="1" t="s">
        <v>928</v>
      </c>
      <c r="C599" s="2" t="s">
        <v>76</v>
      </c>
      <c r="D599" s="2" t="s">
        <v>56</v>
      </c>
      <c r="E599" s="4" t="s">
        <v>936</v>
      </c>
      <c r="G599" s="25">
        <f t="shared" si="9"/>
        <v>-10093</v>
      </c>
      <c r="H599" s="25">
        <f t="array" ref="H599">IF(A599=A598,0,SUM(_xlfn._xlws.FILTER(G599:G619,A599:A619=A599)))</f>
        <v>0</v>
      </c>
      <c r="I599" s="25">
        <f t="array" ref="I599">IFERROR(IF(A599=A598,0,SUM(_xlfn._xlws.FILTER(G599:G619,(A599:A619=A599)*(E599:E619&lt;0)))),0)</f>
        <v>0</v>
      </c>
      <c r="J599" s="25">
        <f t="array" ref="J599">IFERROR(IF(A599=A598,0,SUM(_xlfn._xlws.FILTER(G599:G619,(A599:A619=A599)*(E599:E619&gt;0)))),0)</f>
        <v>0</v>
      </c>
      <c r="K599" s="25">
        <f>IF(H599&lt;&gt;0,SUM(H$2:H599),0)</f>
        <v>0</v>
      </c>
      <c r="L599" s="25">
        <f>IF(I599&lt;&gt;0,SUM(I$2:I599),0)</f>
        <v>0</v>
      </c>
      <c r="M599" s="25">
        <f>IF(J599&lt;&gt;0,SUM(J$2:J599),0)</f>
        <v>0</v>
      </c>
    </row>
    <row r="600" spans="1:13" x14ac:dyDescent="0.2">
      <c r="A600" s="5" t="s">
        <v>937</v>
      </c>
      <c r="C600" s="5" t="s">
        <v>320</v>
      </c>
      <c r="D600" s="6" t="s">
        <v>719</v>
      </c>
      <c r="E600" s="8" t="s">
        <v>756</v>
      </c>
      <c r="G600" s="25">
        <f t="shared" si="9"/>
        <v>-59200</v>
      </c>
      <c r="H600" s="25">
        <f t="array" ref="H600">IF(A600=A599,0,SUM(_xlfn._xlws.FILTER(G600:G620,A600:A620=A600)))</f>
        <v>31402</v>
      </c>
      <c r="I600" s="25">
        <f t="array" ref="I600">IFERROR(IF(A600=A599,0,SUM(_xlfn._xlws.FILTER(G600:G620,(A600:A620=A600)*(E600:E620&lt;0)))),0)</f>
        <v>0</v>
      </c>
      <c r="J600" s="25">
        <f t="array" ref="J600">IFERROR(IF(A600=A599,0,SUM(_xlfn._xlws.FILTER(G600:G620,(A600:A620=A600)*(E600:E620&gt;0)))),0)</f>
        <v>31402</v>
      </c>
      <c r="K600" s="25">
        <f>IF(H600&lt;&gt;0,SUM(H$2:H600),0)</f>
        <v>-4897851.7423070008</v>
      </c>
      <c r="L600" s="25">
        <f>IF(I600&lt;&gt;0,SUM(I$2:I600),0)</f>
        <v>0</v>
      </c>
      <c r="M600" s="25">
        <f>IF(J600&lt;&gt;0,SUM(J$2:J600),0)</f>
        <v>-4897851.7423070008</v>
      </c>
    </row>
    <row r="601" spans="1:13" x14ac:dyDescent="0.2">
      <c r="A601" s="5" t="s">
        <v>937</v>
      </c>
      <c r="C601" s="5" t="s">
        <v>139</v>
      </c>
      <c r="D601" s="6" t="s">
        <v>824</v>
      </c>
      <c r="E601" s="8" t="s">
        <v>938</v>
      </c>
      <c r="G601" s="25">
        <f t="shared" si="9"/>
        <v>85020</v>
      </c>
      <c r="H601" s="25">
        <f t="array" ref="H601">IF(A601=A600,0,SUM(_xlfn._xlws.FILTER(G601:G621,A601:A621=A601)))</f>
        <v>0</v>
      </c>
      <c r="I601" s="25">
        <f t="array" ref="I601">IFERROR(IF(A601=A600,0,SUM(_xlfn._xlws.FILTER(G601:G621,(A601:A621=A601)*(E601:E621&lt;0)))),0)</f>
        <v>0</v>
      </c>
      <c r="J601" s="25">
        <f t="array" ref="J601">IFERROR(IF(A601=A600,0,SUM(_xlfn._xlws.FILTER(G601:G621,(A601:A621=A601)*(E601:E621&gt;0)))),0)</f>
        <v>0</v>
      </c>
      <c r="K601" s="25">
        <f>IF(H601&lt;&gt;0,SUM(H$2:H601),0)</f>
        <v>0</v>
      </c>
      <c r="L601" s="25">
        <f>IF(I601&lt;&gt;0,SUM(I$2:I601),0)</f>
        <v>0</v>
      </c>
      <c r="M601" s="25">
        <f>IF(J601&lt;&gt;0,SUM(J$2:J601),0)</f>
        <v>0</v>
      </c>
    </row>
    <row r="602" spans="1:13" x14ac:dyDescent="0.2">
      <c r="A602" s="5" t="s">
        <v>937</v>
      </c>
      <c r="C602" s="5" t="s">
        <v>155</v>
      </c>
      <c r="D602" s="6" t="s">
        <v>939</v>
      </c>
      <c r="E602" s="8" t="s">
        <v>940</v>
      </c>
      <c r="G602" s="25">
        <f t="shared" si="9"/>
        <v>-231778</v>
      </c>
      <c r="H602" s="25">
        <f t="array" ref="H602">IF(A602=A601,0,SUM(_xlfn._xlws.FILTER(G602:G622,A602:A622=A602)))</f>
        <v>0</v>
      </c>
      <c r="I602" s="25">
        <f t="array" ref="I602">IFERROR(IF(A602=A601,0,SUM(_xlfn._xlws.FILTER(G602:G622,(A602:A622=A602)*(E602:E622&lt;0)))),0)</f>
        <v>0</v>
      </c>
      <c r="J602" s="25">
        <f t="array" ref="J602">IFERROR(IF(A602=A601,0,SUM(_xlfn._xlws.FILTER(G602:G622,(A602:A622=A602)*(E602:E622&gt;0)))),0)</f>
        <v>0</v>
      </c>
      <c r="K602" s="25">
        <f>IF(H602&lt;&gt;0,SUM(H$2:H602),0)</f>
        <v>0</v>
      </c>
      <c r="L602" s="25">
        <f>IF(I602&lt;&gt;0,SUM(I$2:I602),0)</f>
        <v>0</v>
      </c>
      <c r="M602" s="25">
        <f>IF(J602&lt;&gt;0,SUM(J$2:J602),0)</f>
        <v>0</v>
      </c>
    </row>
    <row r="603" spans="1:13" x14ac:dyDescent="0.2">
      <c r="A603" s="5" t="s">
        <v>937</v>
      </c>
      <c r="C603" s="5" t="s">
        <v>185</v>
      </c>
      <c r="D603" s="6" t="s">
        <v>698</v>
      </c>
      <c r="E603" s="8" t="s">
        <v>941</v>
      </c>
      <c r="G603" s="25">
        <f t="shared" si="9"/>
        <v>74420</v>
      </c>
      <c r="H603" s="25">
        <f t="array" ref="H603">IF(A603=A602,0,SUM(_xlfn._xlws.FILTER(G603:G623,A603:A623=A603)))</f>
        <v>0</v>
      </c>
      <c r="I603" s="25">
        <f t="array" ref="I603">IFERROR(IF(A603=A602,0,SUM(_xlfn._xlws.FILTER(G603:G623,(A603:A623=A603)*(E603:E623&lt;0)))),0)</f>
        <v>0</v>
      </c>
      <c r="J603" s="25">
        <f t="array" ref="J603">IFERROR(IF(A603=A602,0,SUM(_xlfn._xlws.FILTER(G603:G623,(A603:A623=A603)*(E603:E623&gt;0)))),0)</f>
        <v>0</v>
      </c>
      <c r="K603" s="25">
        <f>IF(H603&lt;&gt;0,SUM(H$2:H603),0)</f>
        <v>0</v>
      </c>
      <c r="L603" s="25">
        <f>IF(I603&lt;&gt;0,SUM(I$2:I603),0)</f>
        <v>0</v>
      </c>
      <c r="M603" s="25">
        <f>IF(J603&lt;&gt;0,SUM(J$2:J603),0)</f>
        <v>0</v>
      </c>
    </row>
    <row r="604" spans="1:13" x14ac:dyDescent="0.2">
      <c r="A604" s="5" t="s">
        <v>937</v>
      </c>
      <c r="C604" s="5" t="s">
        <v>190</v>
      </c>
      <c r="D604" s="6" t="s">
        <v>698</v>
      </c>
      <c r="E604" s="8" t="s">
        <v>942</v>
      </c>
      <c r="G604" s="25">
        <f t="shared" si="9"/>
        <v>162940</v>
      </c>
      <c r="H604" s="25">
        <f t="array" ref="H604">IF(A604=A603,0,SUM(_xlfn._xlws.FILTER(G604:G624,A604:A624=A604)))</f>
        <v>0</v>
      </c>
      <c r="I604" s="25">
        <f t="array" ref="I604">IFERROR(IF(A604=A603,0,SUM(_xlfn._xlws.FILTER(G604:G624,(A604:A624=A604)*(E604:E624&lt;0)))),0)</f>
        <v>0</v>
      </c>
      <c r="J604" s="25">
        <f t="array" ref="J604">IFERROR(IF(A604=A603,0,SUM(_xlfn._xlws.FILTER(G604:G624,(A604:A624=A604)*(E604:E624&gt;0)))),0)</f>
        <v>0</v>
      </c>
      <c r="K604" s="25">
        <f>IF(H604&lt;&gt;0,SUM(H$2:H604),0)</f>
        <v>0</v>
      </c>
      <c r="L604" s="25">
        <f>IF(I604&lt;&gt;0,SUM(I$2:I604),0)</f>
        <v>0</v>
      </c>
      <c r="M604" s="25">
        <f>IF(J604&lt;&gt;0,SUM(J$2:J604),0)</f>
        <v>0</v>
      </c>
    </row>
    <row r="605" spans="1:13" x14ac:dyDescent="0.2">
      <c r="A605" s="1" t="s">
        <v>943</v>
      </c>
      <c r="C605" s="2" t="s">
        <v>22</v>
      </c>
      <c r="D605" s="2" t="s">
        <v>100</v>
      </c>
      <c r="E605" s="4" t="s">
        <v>944</v>
      </c>
      <c r="G605" s="25">
        <f t="shared" si="9"/>
        <v>86655</v>
      </c>
      <c r="H605" s="25">
        <f t="array" ref="H605">IF(A605=A604,0,SUM(_xlfn._xlws.FILTER(G605:G625,A605:A625=A605)))</f>
        <v>-30945</v>
      </c>
      <c r="I605" s="25">
        <f t="array" ref="I605">IFERROR(IF(A605=A604,0,SUM(_xlfn._xlws.FILTER(G605:G625,(A605:A625=A605)*(E605:E625&lt;0)))),0)</f>
        <v>0</v>
      </c>
      <c r="J605" s="25">
        <f t="array" ref="J605">IFERROR(IF(A605=A604,0,SUM(_xlfn._xlws.FILTER(G605:G625,(A605:A625=A605)*(E605:E625&gt;0)))),0)</f>
        <v>-30945</v>
      </c>
      <c r="K605" s="25">
        <f>IF(H605&lt;&gt;0,SUM(H$2:H605),0)</f>
        <v>-4928796.7423070008</v>
      </c>
      <c r="L605" s="25">
        <f>IF(I605&lt;&gt;0,SUM(I$2:I605),0)</f>
        <v>0</v>
      </c>
      <c r="M605" s="25">
        <f>IF(J605&lt;&gt;0,SUM(J$2:J605),0)</f>
        <v>-4928796.7423070008</v>
      </c>
    </row>
    <row r="606" spans="1:13" x14ac:dyDescent="0.2">
      <c r="A606" s="1" t="s">
        <v>943</v>
      </c>
      <c r="C606" s="2" t="s">
        <v>320</v>
      </c>
      <c r="D606" s="2" t="s">
        <v>698</v>
      </c>
      <c r="E606" s="4" t="s">
        <v>945</v>
      </c>
      <c r="G606" s="25">
        <f t="shared" si="9"/>
        <v>-117600</v>
      </c>
      <c r="H606" s="25">
        <f t="array" ref="H606">IF(A606=A605,0,SUM(_xlfn._xlws.FILTER(G606:G626,A606:A626=A606)))</f>
        <v>0</v>
      </c>
      <c r="I606" s="25">
        <f t="array" ref="I606">IFERROR(IF(A606=A605,0,SUM(_xlfn._xlws.FILTER(G606:G626,(A606:A626=A606)*(E606:E626&lt;0)))),0)</f>
        <v>0</v>
      </c>
      <c r="J606" s="25">
        <f t="array" ref="J606">IFERROR(IF(A606=A605,0,SUM(_xlfn._xlws.FILTER(G606:G626,(A606:A626=A606)*(E606:E626&gt;0)))),0)</f>
        <v>0</v>
      </c>
      <c r="K606" s="25">
        <f>IF(H606&lt;&gt;0,SUM(H$2:H606),0)</f>
        <v>0</v>
      </c>
      <c r="L606" s="25">
        <f>IF(I606&lt;&gt;0,SUM(I$2:I606),0)</f>
        <v>0</v>
      </c>
      <c r="M606" s="25">
        <f>IF(J606&lt;&gt;0,SUM(J$2:J606),0)</f>
        <v>0</v>
      </c>
    </row>
    <row r="607" spans="1:13" x14ac:dyDescent="0.2">
      <c r="A607" s="5" t="s">
        <v>946</v>
      </c>
      <c r="C607" s="5" t="s">
        <v>320</v>
      </c>
      <c r="D607" s="6" t="s">
        <v>698</v>
      </c>
      <c r="E607" s="8" t="s">
        <v>947</v>
      </c>
      <c r="G607" s="25">
        <f t="shared" si="9"/>
        <v>-116900</v>
      </c>
      <c r="H607" s="25">
        <f t="array" ref="H607">IF(A607=A606,0,SUM(_xlfn._xlws.FILTER(G607:G627,A607:A627=A607)))</f>
        <v>241306</v>
      </c>
      <c r="I607" s="25">
        <f t="array" ref="I607">IFERROR(IF(A607=A606,0,SUM(_xlfn._xlws.FILTER(G607:G627,(A607:A627=A607)*(E607:E627&lt;0)))),0)</f>
        <v>0</v>
      </c>
      <c r="J607" s="25">
        <f t="array" ref="J607">IFERROR(IF(A607=A606,0,SUM(_xlfn._xlws.FILTER(G607:G627,(A607:A627=A607)*(E607:E627&gt;0)))),0)</f>
        <v>241306</v>
      </c>
      <c r="K607" s="25">
        <f>IF(H607&lt;&gt;0,SUM(H$2:H607),0)</f>
        <v>-4687490.7423070008</v>
      </c>
      <c r="L607" s="25">
        <f>IF(I607&lt;&gt;0,SUM(I$2:I607),0)</f>
        <v>0</v>
      </c>
      <c r="M607" s="25">
        <f>IF(J607&lt;&gt;0,SUM(J$2:J607),0)</f>
        <v>-4687490.7423070008</v>
      </c>
    </row>
    <row r="608" spans="1:13" x14ac:dyDescent="0.2">
      <c r="A608" s="5" t="s">
        <v>946</v>
      </c>
      <c r="C608" s="5" t="s">
        <v>139</v>
      </c>
      <c r="D608" s="6" t="s">
        <v>824</v>
      </c>
      <c r="E608" s="8" t="s">
        <v>948</v>
      </c>
      <c r="G608" s="25">
        <f t="shared" si="9"/>
        <v>76002</v>
      </c>
      <c r="H608" s="25">
        <f t="array" ref="H608">IF(A608=A607,0,SUM(_xlfn._xlws.FILTER(G608:G627,A608:A627=A608)))</f>
        <v>0</v>
      </c>
      <c r="I608" s="25">
        <f t="array" ref="I608">IFERROR(IF(A608=A607,0,SUM(_xlfn._xlws.FILTER(G608:G627,(A608:A627=A608)*(E608:E627&lt;0)))),0)</f>
        <v>0</v>
      </c>
      <c r="J608" s="25">
        <f t="array" ref="J608">IFERROR(IF(A608=A607,0,SUM(_xlfn._xlws.FILTER(G608:G627,(A608:A627=A608)*(E608:E627&gt;0)))),0)</f>
        <v>0</v>
      </c>
      <c r="K608" s="25">
        <f>IF(H608&lt;&gt;0,SUM(H$2:H608),0)</f>
        <v>0</v>
      </c>
      <c r="L608" s="25">
        <f>IF(I608&lt;&gt;0,SUM(I$2:I608),0)</f>
        <v>0</v>
      </c>
      <c r="M608" s="25">
        <f>IF(J608&lt;&gt;0,SUM(J$2:J608),0)</f>
        <v>0</v>
      </c>
    </row>
    <row r="609" spans="1:13" x14ac:dyDescent="0.2">
      <c r="A609" s="5" t="s">
        <v>946</v>
      </c>
      <c r="C609" s="5" t="s">
        <v>629</v>
      </c>
      <c r="D609" s="6" t="s">
        <v>832</v>
      </c>
      <c r="E609" s="8" t="s">
        <v>949</v>
      </c>
      <c r="G609" s="25">
        <f t="shared" si="9"/>
        <v>19800</v>
      </c>
      <c r="H609" s="25">
        <f t="array" ref="H609">IF(A609=A608,0,SUM(_xlfn._xlws.FILTER(G609:G627,A609:A627=A609)))</f>
        <v>0</v>
      </c>
      <c r="I609" s="25">
        <f t="array" ref="I609">IFERROR(IF(A609=A608,0,SUM(_xlfn._xlws.FILTER(G609:G627,(A609:A627=A609)*(E609:E627&lt;0)))),0)</f>
        <v>0</v>
      </c>
      <c r="J609" s="25">
        <f t="array" ref="J609">IFERROR(IF(A609=A608,0,SUM(_xlfn._xlws.FILTER(G609:G627,(A609:A627=A609)*(E609:E627&gt;0)))),0)</f>
        <v>0</v>
      </c>
      <c r="K609" s="25">
        <f>IF(H609&lt;&gt;0,SUM(H$2:H609),0)</f>
        <v>0</v>
      </c>
      <c r="L609" s="25">
        <f>IF(I609&lt;&gt;0,SUM(I$2:I609),0)</f>
        <v>0</v>
      </c>
      <c r="M609" s="25">
        <f>IF(J609&lt;&gt;0,SUM(J$2:J609),0)</f>
        <v>0</v>
      </c>
    </row>
    <row r="610" spans="1:13" x14ac:dyDescent="0.2">
      <c r="A610" s="5" t="s">
        <v>946</v>
      </c>
      <c r="C610" s="5" t="s">
        <v>611</v>
      </c>
      <c r="D610" s="6" t="s">
        <v>929</v>
      </c>
      <c r="E610" s="8" t="s">
        <v>950</v>
      </c>
      <c r="G610" s="25">
        <f t="shared" si="9"/>
        <v>197504</v>
      </c>
      <c r="H610" s="25">
        <f t="array" ref="H610">IF(A610=A609,0,SUM(_xlfn._xlws.FILTER(G610:G628,A610:A628=A610)))</f>
        <v>0</v>
      </c>
      <c r="I610" s="25">
        <f t="array" ref="I610">IFERROR(IF(A610=A609,0,SUM(_xlfn._xlws.FILTER(G610:G628,(A610:A628=A610)*(E610:E628&lt;0)))),0)</f>
        <v>0</v>
      </c>
      <c r="J610" s="25">
        <f t="array" ref="J610">IFERROR(IF(A610=A609,0,SUM(_xlfn._xlws.FILTER(G610:G628,(A610:A628=A610)*(E610:E628&gt;0)))),0)</f>
        <v>0</v>
      </c>
      <c r="K610" s="25">
        <f>IF(H610&lt;&gt;0,SUM(H$2:H610),0)</f>
        <v>0</v>
      </c>
      <c r="L610" s="25">
        <f>IF(I610&lt;&gt;0,SUM(I$2:I610),0)</f>
        <v>0</v>
      </c>
      <c r="M610" s="25">
        <f>IF(J610&lt;&gt;0,SUM(J$2:J610),0)</f>
        <v>0</v>
      </c>
    </row>
    <row r="611" spans="1:13" x14ac:dyDescent="0.2">
      <c r="A611" s="5" t="s">
        <v>946</v>
      </c>
      <c r="C611" s="5" t="s">
        <v>41</v>
      </c>
      <c r="D611" s="6" t="s">
        <v>719</v>
      </c>
      <c r="E611" s="8" t="s">
        <v>951</v>
      </c>
      <c r="G611" s="25">
        <f t="shared" si="9"/>
        <v>64900.000000000007</v>
      </c>
      <c r="H611" s="25">
        <f t="array" ref="H611">IF(A611=A610,0,SUM(_xlfn._xlws.FILTER(G611:G628,A611:A628=A611)))</f>
        <v>0</v>
      </c>
      <c r="I611" s="25">
        <f t="array" ref="I611">IFERROR(IF(A611=A610,0,SUM(_xlfn._xlws.FILTER(G611:G628,(A611:A628=A611)*(E611:E628&lt;0)))),0)</f>
        <v>0</v>
      </c>
      <c r="J611" s="25">
        <f t="array" ref="J611">IFERROR(IF(A611=A610,0,SUM(_xlfn._xlws.FILTER(G611:G628,(A611:A628=A611)*(E611:E628&gt;0)))),0)</f>
        <v>0</v>
      </c>
      <c r="K611" s="25">
        <f>IF(H611&lt;&gt;0,SUM(H$2:H611),0)</f>
        <v>0</v>
      </c>
      <c r="L611" s="25">
        <f>IF(I611&lt;&gt;0,SUM(I$2:I611),0)</f>
        <v>0</v>
      </c>
      <c r="M611" s="25">
        <f>IF(J611&lt;&gt;0,SUM(J$2:J611),0)</f>
        <v>0</v>
      </c>
    </row>
    <row r="612" spans="1:13" x14ac:dyDescent="0.2">
      <c r="A612" s="1" t="s">
        <v>952</v>
      </c>
      <c r="C612" s="2" t="s">
        <v>611</v>
      </c>
      <c r="D612" s="2" t="s">
        <v>929</v>
      </c>
      <c r="E612" s="4" t="s">
        <v>953</v>
      </c>
      <c r="G612" s="25">
        <f t="shared" si="9"/>
        <v>-192224</v>
      </c>
      <c r="H612" s="25">
        <f t="array" ref="H612">IF(A612=A611,0,SUM(_xlfn._xlws.FILTER(G612:G629,A612:A629=A612)))</f>
        <v>-192224</v>
      </c>
      <c r="I612" s="25">
        <f t="array" ref="I612">IFERROR(IF(A612=A611,0,SUM(_xlfn._xlws.FILTER(G612:G629,(A612:A629=A612)*(E612:E629&lt;0)))),0)</f>
        <v>0</v>
      </c>
      <c r="J612" s="25">
        <f t="array" ref="J612">IFERROR(IF(A612=A611,0,SUM(_xlfn._xlws.FILTER(G612:G629,(A612:A629=A612)*(E612:E629&gt;0)))),0)</f>
        <v>-192224</v>
      </c>
      <c r="K612" s="25">
        <f>IF(H612&lt;&gt;0,SUM(H$2:H612),0)</f>
        <v>-4879714.7423070008</v>
      </c>
      <c r="L612" s="25">
        <f>IF(I612&lt;&gt;0,SUM(I$2:I612),0)</f>
        <v>0</v>
      </c>
      <c r="M612" s="25">
        <f>IF(J612&lt;&gt;0,SUM(J$2:J612),0)</f>
        <v>-4879714.7423070008</v>
      </c>
    </row>
    <row r="613" spans="1:13" x14ac:dyDescent="0.2">
      <c r="A613" s="5" t="s">
        <v>954</v>
      </c>
      <c r="C613" s="5" t="s">
        <v>49</v>
      </c>
      <c r="D613" s="6" t="s">
        <v>955</v>
      </c>
      <c r="E613" s="8" t="s">
        <v>956</v>
      </c>
      <c r="G613" s="25">
        <f t="shared" si="9"/>
        <v>-9199.08</v>
      </c>
      <c r="H613" s="25">
        <f t="array" ref="H613">IF(A613=A612,0,SUM(_xlfn._xlws.FILTER(G613:G630,A613:A630=A613)))</f>
        <v>-9199.08</v>
      </c>
      <c r="I613" s="25">
        <f t="array" ref="I613">IFERROR(IF(A613=A612,0,SUM(_xlfn._xlws.FILTER(G613:G630,(A613:A630=A613)*(E613:E630&lt;0)))),0)</f>
        <v>0</v>
      </c>
      <c r="J613" s="25">
        <f t="array" ref="J613">IFERROR(IF(A613=A612,0,SUM(_xlfn._xlws.FILTER(G613:G630,(A613:A630=A613)*(E613:E630&gt;0)))),0)</f>
        <v>-9199.08</v>
      </c>
      <c r="K613" s="25">
        <f>IF(H613&lt;&gt;0,SUM(H$2:H613),0)</f>
        <v>-4888913.8223070009</v>
      </c>
      <c r="L613" s="25">
        <f>IF(I613&lt;&gt;0,SUM(I$2:I613),0)</f>
        <v>0</v>
      </c>
      <c r="M613" s="25">
        <f>IF(J613&lt;&gt;0,SUM(J$2:J613),0)</f>
        <v>-4888913.8223070009</v>
      </c>
    </row>
    <row r="614" spans="1:13" x14ac:dyDescent="0.2">
      <c r="A614" s="1" t="s">
        <v>957</v>
      </c>
      <c r="C614" s="2" t="s">
        <v>19</v>
      </c>
      <c r="D614" s="2" t="s">
        <v>56</v>
      </c>
      <c r="E614" s="2" t="s">
        <v>958</v>
      </c>
      <c r="G614" s="25">
        <f t="shared" si="9"/>
        <v>88670</v>
      </c>
      <c r="H614" s="25">
        <f t="array" ref="H614">IF(A614=A613,0,SUM(_xlfn._xlws.FILTER(G614:G631,A614:A631=A614)))</f>
        <v>401176.75</v>
      </c>
      <c r="I614" s="25">
        <f t="array" ref="I614">IFERROR(IF(A614=A613,0,SUM(_xlfn._xlws.FILTER(G614:G631,(A614:A631=A614)*(E614:E631&lt;0)))),0)</f>
        <v>0</v>
      </c>
      <c r="J614" s="25">
        <f t="array" ref="J614">IFERROR(IF(A614=A613,0,SUM(_xlfn._xlws.FILTER(G614:G631,(A614:A631=A614)*(E614:E631&gt;0)))),0)</f>
        <v>401176.75</v>
      </c>
      <c r="K614" s="25">
        <f>IF(H614&lt;&gt;0,SUM(H$2:H614),0)</f>
        <v>-4487737.0723070009</v>
      </c>
      <c r="L614" s="25">
        <f>IF(I614&lt;&gt;0,SUM(I$2:I614),0)</f>
        <v>0</v>
      </c>
      <c r="M614" s="25">
        <f>IF(J614&lt;&gt;0,SUM(J$2:J614),0)</f>
        <v>-4487737.0723070009</v>
      </c>
    </row>
    <row r="615" spans="1:13" x14ac:dyDescent="0.2">
      <c r="A615" s="1" t="s">
        <v>957</v>
      </c>
      <c r="C615" s="2" t="s">
        <v>611</v>
      </c>
      <c r="D615" s="2" t="s">
        <v>929</v>
      </c>
      <c r="E615" s="2" t="s">
        <v>959</v>
      </c>
      <c r="G615" s="25">
        <f t="shared" si="9"/>
        <v>198928</v>
      </c>
      <c r="H615" s="25">
        <f t="array" ref="H615">IF(A615=A614,0,SUM(_xlfn._xlws.FILTER(G615:G632,A615:A632=A615)))</f>
        <v>0</v>
      </c>
      <c r="I615" s="25">
        <f t="array" ref="I615">IFERROR(IF(A615=A614,0,SUM(_xlfn._xlws.FILTER(G615:G632,(A615:A632=A615)*(E615:E632&lt;0)))),0)</f>
        <v>0</v>
      </c>
      <c r="J615" s="25">
        <f t="array" ref="J615">IFERROR(IF(A615=A614,0,SUM(_xlfn._xlws.FILTER(G615:G632,(A615:A632=A615)*(E615:E632&gt;0)))),0)</f>
        <v>0</v>
      </c>
      <c r="K615" s="25">
        <f>IF(H615&lt;&gt;0,SUM(H$2:H615),0)</f>
        <v>0</v>
      </c>
      <c r="L615" s="25">
        <f>IF(I615&lt;&gt;0,SUM(I$2:I615),0)</f>
        <v>0</v>
      </c>
      <c r="M615" s="25">
        <f>IF(J615&lt;&gt;0,SUM(J$2:J615),0)</f>
        <v>0</v>
      </c>
    </row>
    <row r="616" spans="1:13" x14ac:dyDescent="0.2">
      <c r="A616" s="1" t="s">
        <v>957</v>
      </c>
      <c r="C616" s="2" t="s">
        <v>193</v>
      </c>
      <c r="D616" s="2" t="s">
        <v>698</v>
      </c>
      <c r="E616" s="2" t="s">
        <v>960</v>
      </c>
      <c r="G616" s="25">
        <f t="shared" si="9"/>
        <v>77706</v>
      </c>
      <c r="H616" s="25">
        <f t="array" ref="H616">IF(A616=A615,0,SUM(_xlfn._xlws.FILTER(G616:G633,A616:A633=A616)))</f>
        <v>0</v>
      </c>
      <c r="I616" s="25">
        <f t="array" ref="I616">IFERROR(IF(A616=A615,0,SUM(_xlfn._xlws.FILTER(G616:G633,(A616:A633=A616)*(E616:E633&lt;0)))),0)</f>
        <v>0</v>
      </c>
      <c r="J616" s="25">
        <f t="array" ref="J616">IFERROR(IF(A616=A615,0,SUM(_xlfn._xlws.FILTER(G616:G633,(A616:A633=A616)*(E616:E633&gt;0)))),0)</f>
        <v>0</v>
      </c>
      <c r="K616" s="25">
        <f>IF(H616&lt;&gt;0,SUM(H$2:H616),0)</f>
        <v>0</v>
      </c>
      <c r="L616" s="25">
        <f>IF(I616&lt;&gt;0,SUM(I$2:I616),0)</f>
        <v>0</v>
      </c>
      <c r="M616" s="25">
        <f>IF(J616&lt;&gt;0,SUM(J$2:J616),0)</f>
        <v>0</v>
      </c>
    </row>
    <row r="617" spans="1:13" x14ac:dyDescent="0.2">
      <c r="A617" s="1" t="s">
        <v>957</v>
      </c>
      <c r="C617" s="2" t="s">
        <v>305</v>
      </c>
      <c r="D617" s="2" t="s">
        <v>807</v>
      </c>
      <c r="E617" s="2" t="s">
        <v>961</v>
      </c>
      <c r="G617" s="25">
        <f t="shared" si="9"/>
        <v>-12447.25</v>
      </c>
      <c r="H617" s="25">
        <f t="array" ref="H617">IF(A617=A616,0,SUM(_xlfn._xlws.FILTER(G617:G634,A617:A634=A617)))</f>
        <v>0</v>
      </c>
      <c r="I617" s="25">
        <f t="array" ref="I617">IFERROR(IF(A617=A616,0,SUM(_xlfn._xlws.FILTER(G617:G634,(A617:A634=A617)*(E617:E634&lt;0)))),0)</f>
        <v>0</v>
      </c>
      <c r="J617" s="25">
        <f t="array" ref="J617">IFERROR(IF(A617=A616,0,SUM(_xlfn._xlws.FILTER(G617:G634,(A617:A634=A617)*(E617:E634&gt;0)))),0)</f>
        <v>0</v>
      </c>
      <c r="K617" s="25">
        <f>IF(H617&lt;&gt;0,SUM(H$2:H617),0)</f>
        <v>0</v>
      </c>
      <c r="L617" s="25">
        <f>IF(I617&lt;&gt;0,SUM(I$2:I617),0)</f>
        <v>0</v>
      </c>
      <c r="M617" s="25">
        <f>IF(J617&lt;&gt;0,SUM(J$2:J617),0)</f>
        <v>0</v>
      </c>
    </row>
    <row r="618" spans="1:13" x14ac:dyDescent="0.2">
      <c r="A618" s="1" t="s">
        <v>957</v>
      </c>
      <c r="C618" s="2" t="s">
        <v>320</v>
      </c>
      <c r="D618" s="2" t="s">
        <v>23</v>
      </c>
      <c r="E618" s="2" t="s">
        <v>962</v>
      </c>
      <c r="G618" s="25">
        <f t="shared" si="9"/>
        <v>48320</v>
      </c>
      <c r="H618" s="25">
        <f t="array" ref="H618">IF(A618=A617,0,SUM(_xlfn._xlws.FILTER(G618:G635,A618:A635=A618)))</f>
        <v>0</v>
      </c>
      <c r="I618" s="25">
        <f t="array" ref="I618">IFERROR(IF(A618=A617,0,SUM(_xlfn._xlws.FILTER(G618:G635,(A618:A635=A618)*(E618:E635&lt;0)))),0)</f>
        <v>0</v>
      </c>
      <c r="J618" s="25">
        <f t="array" ref="J618">IFERROR(IF(A618=A617,0,SUM(_xlfn._xlws.FILTER(G618:G635,(A618:A635=A618)*(E618:E635&gt;0)))),0)</f>
        <v>0</v>
      </c>
      <c r="K618" s="25">
        <f>IF(H618&lt;&gt;0,SUM(H$2:H618),0)</f>
        <v>0</v>
      </c>
      <c r="L618" s="25">
        <f>IF(I618&lt;&gt;0,SUM(I$2:I618),0)</f>
        <v>0</v>
      </c>
      <c r="M618" s="25">
        <f>IF(J618&lt;&gt;0,SUM(J$2:J618),0)</f>
        <v>0</v>
      </c>
    </row>
    <row r="619" spans="1:13" x14ac:dyDescent="0.2">
      <c r="A619" s="5" t="s">
        <v>963</v>
      </c>
      <c r="C619" s="5" t="s">
        <v>139</v>
      </c>
      <c r="D619" s="6" t="s">
        <v>789</v>
      </c>
      <c r="E619" s="8" t="s">
        <v>964</v>
      </c>
      <c r="G619" s="25">
        <f t="shared" si="9"/>
        <v>39920</v>
      </c>
      <c r="H619" s="25">
        <f t="array" ref="H619">IF(A619=A618,0,SUM(_xlfn._xlws.FILTER(G619:G636,A619:A636=A619)))</f>
        <v>-5530</v>
      </c>
      <c r="I619" s="25">
        <f t="array" ref="I619">IFERROR(IF(A619=A618,0,SUM(_xlfn._xlws.FILTER(G619:G636,(A619:A636=A619)*(E619:E636&lt;0)))),0)</f>
        <v>0</v>
      </c>
      <c r="J619" s="25">
        <f t="array" ref="J619">IFERROR(IF(A619=A618,0,SUM(_xlfn._xlws.FILTER(G619:G636,(A619:A636=A619)*(E619:E636&gt;0)))),0)</f>
        <v>-5530</v>
      </c>
      <c r="K619" s="25">
        <f>IF(H619&lt;&gt;0,SUM(H$2:H619),0)</f>
        <v>-4493267.0723070009</v>
      </c>
      <c r="L619" s="25">
        <f>IF(I619&lt;&gt;0,SUM(I$2:I619),0)</f>
        <v>0</v>
      </c>
      <c r="M619" s="25">
        <f>IF(J619&lt;&gt;0,SUM(J$2:J619),0)</f>
        <v>-4493267.0723070009</v>
      </c>
    </row>
    <row r="620" spans="1:13" x14ac:dyDescent="0.2">
      <c r="A620" s="5" t="s">
        <v>963</v>
      </c>
      <c r="C620" s="5" t="s">
        <v>288</v>
      </c>
      <c r="D620" s="6" t="s">
        <v>874</v>
      </c>
      <c r="E620" s="8" t="s">
        <v>965</v>
      </c>
      <c r="G620" s="25">
        <f t="shared" si="9"/>
        <v>-45450</v>
      </c>
      <c r="H620" s="25">
        <f t="array" ref="H620">IF(A620=A619,0,SUM(_xlfn._xlws.FILTER(G620:G637,A620:A637=A620)))</f>
        <v>0</v>
      </c>
      <c r="I620" s="25">
        <f t="array" ref="I620">IFERROR(IF(A620=A619,0,SUM(_xlfn._xlws.FILTER(G620:G637,(A620:A637=A620)*(E620:E637&lt;0)))),0)</f>
        <v>0</v>
      </c>
      <c r="J620" s="25">
        <f t="array" ref="J620">IFERROR(IF(A620=A619,0,SUM(_xlfn._xlws.FILTER(G620:G637,(A620:A637=A620)*(E620:E637&gt;0)))),0)</f>
        <v>0</v>
      </c>
      <c r="K620" s="25">
        <f>IF(H620&lt;&gt;0,SUM(H$2:H620),0)</f>
        <v>0</v>
      </c>
      <c r="L620" s="25">
        <f>IF(I620&lt;&gt;0,SUM(I$2:I620),0)</f>
        <v>0</v>
      </c>
      <c r="M620" s="25">
        <f>IF(J620&lt;&gt;0,SUM(J$2:J620),0)</f>
        <v>0</v>
      </c>
    </row>
    <row r="621" spans="1:13" x14ac:dyDescent="0.2">
      <c r="A621" s="1" t="s">
        <v>966</v>
      </c>
      <c r="C621" s="2" t="s">
        <v>19</v>
      </c>
      <c r="D621" s="2" t="s">
        <v>56</v>
      </c>
      <c r="E621" s="2" t="s">
        <v>967</v>
      </c>
      <c r="G621" s="25">
        <f t="shared" si="9"/>
        <v>-88670</v>
      </c>
      <c r="H621" s="25">
        <f t="array" ref="H621">IF(A621=A620,0,SUM(_xlfn._xlws.FILTER(G621:G638,A621:A638=A621)))</f>
        <v>-88670</v>
      </c>
      <c r="I621" s="25">
        <f t="array" ref="I621">IFERROR(IF(A621=A620,0,SUM(_xlfn._xlws.FILTER(G621:G638,(A621:A638=A621)*(E621:E638&lt;0)))),0)</f>
        <v>0</v>
      </c>
      <c r="J621" s="25">
        <f t="array" ref="J621">IFERROR(IF(A621=A620,0,SUM(_xlfn._xlws.FILTER(G621:G638,(A621:A638=A621)*(E621:E638&gt;0)))),0)</f>
        <v>-88670</v>
      </c>
      <c r="K621" s="25">
        <f>IF(H621&lt;&gt;0,SUM(H$2:H621),0)</f>
        <v>-4581937.0723070009</v>
      </c>
      <c r="L621" s="25">
        <f>IF(I621&lt;&gt;0,SUM(I$2:I621),0)</f>
        <v>0</v>
      </c>
      <c r="M621" s="25">
        <f>IF(J621&lt;&gt;0,SUM(J$2:J621),0)</f>
        <v>-4581937.0723070009</v>
      </c>
    </row>
    <row r="622" spans="1:13" x14ac:dyDescent="0.2">
      <c r="A622" s="1" t="s">
        <v>968</v>
      </c>
      <c r="B622" t="s">
        <v>14</v>
      </c>
      <c r="C622" s="2" t="s">
        <v>37</v>
      </c>
      <c r="D622" s="2" t="s">
        <v>20</v>
      </c>
      <c r="E622" s="2" t="s">
        <v>969</v>
      </c>
      <c r="G622" s="25">
        <f t="shared" si="9"/>
        <v>68464</v>
      </c>
      <c r="H622" s="25">
        <f t="array" ref="H622">IF(A622=A621,0,SUM(_xlfn._xlws.FILTER(G622:G639,A622:A639=A622)))</f>
        <v>68464</v>
      </c>
      <c r="I622" s="25">
        <f t="array" ref="I622">IFERROR(IF(A622=A621,0,SUM(_xlfn._xlws.FILTER(G622:G639,(A622:A639=A622)*(E622:E639&lt;0)))),0)</f>
        <v>0</v>
      </c>
      <c r="J622" s="25">
        <f t="array" ref="J622">IFERROR(IF(A622=A621,0,SUM(_xlfn._xlws.FILTER(G622:G639,(A622:A639=A622)*(E622:E639&gt;0)))),0)</f>
        <v>68464</v>
      </c>
      <c r="K622" s="25">
        <f>IF(H622&lt;&gt;0,SUM(H$2:H622),0)</f>
        <v>-4513473.0723070009</v>
      </c>
      <c r="L622" s="25">
        <f>IF(I622&lt;&gt;0,SUM(I$2:I622),0)</f>
        <v>0</v>
      </c>
      <c r="M622" s="25">
        <f>IF(J622&lt;&gt;0,SUM(J$2:J622),0)</f>
        <v>-4513473.0723070009</v>
      </c>
    </row>
    <row r="623" spans="1:13" x14ac:dyDescent="0.2">
      <c r="A623" s="5" t="s">
        <v>970</v>
      </c>
      <c r="B623" t="s">
        <v>14</v>
      </c>
      <c r="C623" s="5" t="s">
        <v>303</v>
      </c>
      <c r="D623" s="6" t="s">
        <v>20</v>
      </c>
      <c r="E623" s="8" t="s">
        <v>971</v>
      </c>
      <c r="G623" s="25">
        <f t="shared" si="9"/>
        <v>-21146</v>
      </c>
      <c r="H623" s="25">
        <f t="array" ref="H623">IF(A623=A622,0,SUM(_xlfn._xlws.FILTER(G623:G640,A623:A640=A623)))</f>
        <v>-21146</v>
      </c>
      <c r="I623" s="25">
        <f t="array" ref="I623">IFERROR(IF(A623=A622,0,SUM(_xlfn._xlws.FILTER(G623:G640,(A623:A640=A623)*(E623:E640&lt;0)))),0)</f>
        <v>0</v>
      </c>
      <c r="J623" s="25">
        <f t="array" ref="J623">IFERROR(IF(A623=A622,0,SUM(_xlfn._xlws.FILTER(G623:G640,(A623:A640=A623)*(E623:E640&gt;0)))),0)</f>
        <v>-21146</v>
      </c>
      <c r="K623" s="25">
        <f>IF(H623&lt;&gt;0,SUM(H$2:H623),0)</f>
        <v>-4534619.0723070009</v>
      </c>
      <c r="L623" s="25">
        <f>IF(I623&lt;&gt;0,SUM(I$2:I623),0)</f>
        <v>0</v>
      </c>
      <c r="M623" s="25">
        <f>IF(J623&lt;&gt;0,SUM(J$2:J623),0)</f>
        <v>-4534619.0723070009</v>
      </c>
    </row>
    <row r="624" spans="1:13" x14ac:dyDescent="0.2">
      <c r="A624" s="1" t="s">
        <v>972</v>
      </c>
      <c r="B624" t="s">
        <v>14</v>
      </c>
      <c r="C624" s="2" t="s">
        <v>139</v>
      </c>
      <c r="D624" s="2" t="s">
        <v>789</v>
      </c>
      <c r="E624" s="2" t="s">
        <v>973</v>
      </c>
      <c r="G624" s="25">
        <f t="shared" si="9"/>
        <v>-37520</v>
      </c>
      <c r="H624" s="25">
        <f t="array" ref="H624">IF(A624=A623,0,SUM(_xlfn._xlws.FILTER(G624:G641,A624:A641=A624)))</f>
        <v>-14166.800000000003</v>
      </c>
      <c r="I624" s="25">
        <f t="array" ref="I624">IFERROR(IF(A624=A623,0,SUM(_xlfn._xlws.FILTER(G624:G641,(A624:A641=A624)*(E624:E641&lt;0)))),0)</f>
        <v>0</v>
      </c>
      <c r="J624" s="25">
        <f t="array" ref="J624">IFERROR(IF(A624=A623,0,SUM(_xlfn._xlws.FILTER(G624:G641,(A624:A641=A624)*(E624:E641&gt;0)))),0)</f>
        <v>-14166.800000000003</v>
      </c>
      <c r="K624" s="25">
        <f>IF(H624&lt;&gt;0,SUM(H$2:H624),0)</f>
        <v>-4548785.8723070007</v>
      </c>
      <c r="L624" s="25">
        <f>IF(I624&lt;&gt;0,SUM(I$2:I624),0)</f>
        <v>0</v>
      </c>
      <c r="M624" s="25">
        <f>IF(J624&lt;&gt;0,SUM(J$2:J624),0)</f>
        <v>-4548785.8723070007</v>
      </c>
    </row>
    <row r="625" spans="1:13" x14ac:dyDescent="0.2">
      <c r="A625" s="1" t="s">
        <v>972</v>
      </c>
      <c r="B625" t="s">
        <v>14</v>
      </c>
      <c r="C625" s="2" t="s">
        <v>185</v>
      </c>
      <c r="D625" s="2" t="s">
        <v>260</v>
      </c>
      <c r="E625" s="2" t="s">
        <v>974</v>
      </c>
      <c r="G625" s="25">
        <f t="shared" si="9"/>
        <v>23353.199999999997</v>
      </c>
      <c r="H625" s="25">
        <f t="array" ref="H625">IF(A625=A624,0,SUM(_xlfn._xlws.FILTER(G625:G642,A625:A642=A625)))</f>
        <v>0</v>
      </c>
      <c r="I625" s="25">
        <f t="array" ref="I625">IFERROR(IF(A625=A624,0,SUM(_xlfn._xlws.FILTER(G625:G642,(A625:A642=A625)*(E625:E642&lt;0)))),0)</f>
        <v>0</v>
      </c>
      <c r="J625" s="25">
        <f t="array" ref="J625">IFERROR(IF(A625=A624,0,SUM(_xlfn._xlws.FILTER(G625:G642,(A625:A642=A625)*(E625:E642&gt;0)))),0)</f>
        <v>0</v>
      </c>
      <c r="K625" s="25">
        <f>IF(H625&lt;&gt;0,SUM(H$2:H625),0)</f>
        <v>0</v>
      </c>
      <c r="L625" s="25">
        <f>IF(I625&lt;&gt;0,SUM(I$2:I625),0)</f>
        <v>0</v>
      </c>
      <c r="M625" s="25">
        <f>IF(J625&lt;&gt;0,SUM(J$2:J625),0)</f>
        <v>0</v>
      </c>
    </row>
    <row r="626" spans="1:13" x14ac:dyDescent="0.2">
      <c r="A626" s="5" t="s">
        <v>975</v>
      </c>
      <c r="B626" t="s">
        <v>976</v>
      </c>
      <c r="C626" s="5" t="s">
        <v>256</v>
      </c>
      <c r="D626" s="6" t="s">
        <v>698</v>
      </c>
      <c r="E626" s="8" t="s">
        <v>714</v>
      </c>
      <c r="G626" s="25">
        <f t="shared" si="9"/>
        <v>31600</v>
      </c>
      <c r="H626" s="25">
        <f t="array" ref="H626">IF(A626=A625,0,SUM(_xlfn._xlws.FILTER(G626:G643,A626:A643=A626)))</f>
        <v>-156284</v>
      </c>
      <c r="I626" s="25">
        <f t="array" ref="I626">IFERROR(IF(A626=A625,0,SUM(_xlfn._xlws.FILTER(G626:G643,(A626:A643=A626)*(E626:E643&lt;0)))),0)</f>
        <v>0</v>
      </c>
      <c r="J626" s="25">
        <f t="array" ref="J626">IFERROR(IF(A626=A625,0,SUM(_xlfn._xlws.FILTER(G626:G643,(A626:A643=A626)*(E626:E643&gt;0)))),0)</f>
        <v>-156284</v>
      </c>
      <c r="K626" s="25">
        <f>IF(H626&lt;&gt;0,SUM(H$2:H626),0)</f>
        <v>-4705069.8723070007</v>
      </c>
      <c r="L626" s="25">
        <f>IF(I626&lt;&gt;0,SUM(I$2:I626),0)</f>
        <v>0</v>
      </c>
      <c r="M626" s="25">
        <f>IF(J626&lt;&gt;0,SUM(J$2:J626),0)</f>
        <v>-4705069.8723070007</v>
      </c>
    </row>
    <row r="627" spans="1:13" x14ac:dyDescent="0.2">
      <c r="A627" s="1" t="s">
        <v>975</v>
      </c>
      <c r="B627" t="s">
        <v>14</v>
      </c>
      <c r="C627" s="2" t="s">
        <v>303</v>
      </c>
      <c r="D627" s="2" t="s">
        <v>876</v>
      </c>
      <c r="E627" s="2" t="s">
        <v>977</v>
      </c>
      <c r="G627" s="25">
        <f t="shared" si="9"/>
        <v>-187884</v>
      </c>
      <c r="H627" s="25">
        <f t="array" ref="H627">IF(A627=A626,0,SUM(_xlfn._xlws.FILTER(G627:G644,A627:A644=A627)))</f>
        <v>0</v>
      </c>
      <c r="I627" s="25">
        <f t="array" ref="I627">IFERROR(IF(A627=A626,0,SUM(_xlfn._xlws.FILTER(G627:G644,(A627:A644=A627)*(E627:E644&lt;0)))),0)</f>
        <v>0</v>
      </c>
      <c r="J627" s="25">
        <f t="array" ref="J627">IFERROR(IF(A627=A626,0,SUM(_xlfn._xlws.FILTER(G627:G644,(A627:A644=A627)*(E627:E644&gt;0)))),0)</f>
        <v>0</v>
      </c>
      <c r="K627" s="25">
        <f>IF(H627&lt;&gt;0,SUM(H$2:H627),0)</f>
        <v>0</v>
      </c>
      <c r="L627" s="25">
        <f>IF(I627&lt;&gt;0,SUM(I$2:I627),0)</f>
        <v>0</v>
      </c>
      <c r="M627" s="25">
        <f>IF(J627&lt;&gt;0,SUM(J$2:J627),0)</f>
        <v>0</v>
      </c>
    </row>
    <row r="628" spans="1:13" x14ac:dyDescent="0.2">
      <c r="A628" s="24">
        <v>45987</v>
      </c>
      <c r="B628">
        <v>1</v>
      </c>
      <c r="C628" t="s">
        <v>185</v>
      </c>
      <c r="D628">
        <v>500</v>
      </c>
      <c r="E628">
        <v>48.28</v>
      </c>
      <c r="F628" t="s">
        <v>18</v>
      </c>
      <c r="G628" s="25">
        <f t="shared" si="9"/>
        <v>24140</v>
      </c>
      <c r="H628" s="25">
        <f t="array" ref="H628">IF(A628=A627,0,SUM(_xlfn._xlws.FILTER(G628:G645,A628:A645=A628)))</f>
        <v>24140</v>
      </c>
      <c r="I628" s="25">
        <f t="array" ref="I628">IFERROR(IF(A628=A627,0,SUM(_xlfn._xlws.FILTER(G628:G645,(A628:A645=A628)*(E628:E645&lt;0)))),0)</f>
        <v>0</v>
      </c>
      <c r="J628" s="25">
        <f t="array" ref="J628">IFERROR(IF(A628=A627,0,SUM(_xlfn._xlws.FILTER(G628:G645,(A628:A645=A628)*(E628:E645&gt;0)))),0)</f>
        <v>24140</v>
      </c>
      <c r="K628" s="25">
        <f>IF(H628&lt;&gt;0,SUM(H$2:H628),0)</f>
        <v>-4680929.8723070007</v>
      </c>
      <c r="L628" s="25">
        <f>IF(I628&lt;&gt;0,SUM(I$2:I628),0)</f>
        <v>0</v>
      </c>
      <c r="M628" s="25">
        <f>IF(J628&lt;&gt;0,SUM(J$2:J628),0)</f>
        <v>-4680929.8723070007</v>
      </c>
    </row>
    <row r="629" spans="1:13" x14ac:dyDescent="0.2">
      <c r="G629" s="26"/>
      <c r="H629" s="25"/>
      <c r="I629" s="25"/>
      <c r="J629" s="25"/>
      <c r="K629" s="25"/>
      <c r="L629" s="25"/>
      <c r="M629" s="25"/>
    </row>
    <row r="630" spans="1:13" x14ac:dyDescent="0.2">
      <c r="G630" s="26"/>
      <c r="H630" s="25"/>
      <c r="I630" s="25"/>
      <c r="J630" s="25"/>
      <c r="K630" s="25"/>
      <c r="L630" s="25"/>
      <c r="M630" s="25"/>
    </row>
    <row r="631" spans="1:13" x14ac:dyDescent="0.2">
      <c r="G631" s="26"/>
      <c r="H631" s="25"/>
      <c r="I631" s="25"/>
      <c r="J631" s="25"/>
      <c r="K631" s="25"/>
      <c r="L631" s="25"/>
      <c r="M631" s="25"/>
    </row>
    <row r="632" spans="1:13" x14ac:dyDescent="0.2">
      <c r="G632" s="26"/>
      <c r="H632" s="25"/>
      <c r="I632" s="25"/>
      <c r="J632" s="25"/>
      <c r="K632" s="25"/>
      <c r="L632" s="25"/>
      <c r="M632" s="25"/>
    </row>
    <row r="633" spans="1:13" x14ac:dyDescent="0.2">
      <c r="H633" s="25"/>
      <c r="I633" s="25"/>
      <c r="J633" s="25"/>
      <c r="K633" s="25"/>
      <c r="L633" s="25"/>
      <c r="M633" s="25"/>
    </row>
    <row r="634" spans="1:13" x14ac:dyDescent="0.2">
      <c r="H634" s="25"/>
      <c r="I634" s="25"/>
      <c r="J634" s="25"/>
      <c r="K634" s="25"/>
      <c r="L634" s="25"/>
      <c r="M634" s="25"/>
    </row>
    <row r="635" spans="1:13" x14ac:dyDescent="0.2">
      <c r="H635" s="25"/>
      <c r="I635" s="25"/>
      <c r="J635" s="25"/>
      <c r="K635" s="25"/>
      <c r="L635" s="25"/>
      <c r="M635" s="25"/>
    </row>
    <row r="636" spans="1:13" x14ac:dyDescent="0.2">
      <c r="H636" s="25"/>
      <c r="I636" s="25"/>
      <c r="J636" s="25"/>
      <c r="K636" s="25"/>
      <c r="L636" s="25"/>
      <c r="M636" s="25"/>
    </row>
    <row r="637" spans="1:13" x14ac:dyDescent="0.2">
      <c r="H637" s="25"/>
      <c r="I637" s="25"/>
      <c r="J637" s="25"/>
      <c r="K637" s="25"/>
      <c r="L637" s="25"/>
      <c r="M637" s="25"/>
    </row>
    <row r="638" spans="1:13" x14ac:dyDescent="0.2">
      <c r="H638" s="25"/>
      <c r="I638" s="25"/>
      <c r="J638" s="25"/>
      <c r="K638" s="25"/>
      <c r="L638" s="25"/>
      <c r="M638" s="25"/>
    </row>
    <row r="639" spans="1:13" x14ac:dyDescent="0.2">
      <c r="H639" s="25"/>
      <c r="I639" s="25"/>
      <c r="J639" s="25"/>
      <c r="K639" s="25"/>
      <c r="L639" s="25"/>
      <c r="M639" s="25"/>
    </row>
    <row r="640" spans="1:13" x14ac:dyDescent="0.2">
      <c r="H640" s="25"/>
      <c r="I640" s="25"/>
      <c r="J640" s="25"/>
      <c r="K640" s="25"/>
      <c r="L640" s="25"/>
      <c r="M640" s="25"/>
    </row>
    <row r="641" spans="8:13" x14ac:dyDescent="0.2">
      <c r="H641" s="25"/>
      <c r="I641" s="25"/>
      <c r="J641" s="25"/>
      <c r="K641" s="25"/>
      <c r="L641" s="25"/>
      <c r="M641" s="25"/>
    </row>
    <row r="642" spans="8:13" x14ac:dyDescent="0.2">
      <c r="H642" s="25"/>
      <c r="I642" s="25"/>
      <c r="J642" s="25"/>
      <c r="K642" s="25"/>
      <c r="L642" s="25"/>
      <c r="M642" s="25"/>
    </row>
    <row r="643" spans="8:13" x14ac:dyDescent="0.2">
      <c r="H643" s="25"/>
      <c r="I643" s="25"/>
      <c r="J643" s="25"/>
      <c r="K643" s="25"/>
      <c r="L643" s="25"/>
      <c r="M643" s="25"/>
    </row>
    <row r="644" spans="8:13" x14ac:dyDescent="0.2">
      <c r="H644" s="25"/>
      <c r="I644" s="25"/>
      <c r="J644" s="25"/>
      <c r="K644" s="25"/>
      <c r="L644" s="25"/>
      <c r="M644" s="25"/>
    </row>
    <row r="645" spans="8:13" x14ac:dyDescent="0.2">
      <c r="H645" s="25"/>
      <c r="I645" s="25"/>
      <c r="J645" s="25"/>
      <c r="K645" s="25"/>
      <c r="L645" s="25"/>
      <c r="M645" s="25"/>
    </row>
    <row r="646" spans="8:13" x14ac:dyDescent="0.2">
      <c r="H646" s="25"/>
      <c r="I646" s="25"/>
      <c r="J646" s="25"/>
      <c r="K646" s="25"/>
      <c r="L646" s="25"/>
      <c r="M646" s="25"/>
    </row>
    <row r="647" spans="8:13" x14ac:dyDescent="0.2">
      <c r="H647" s="25"/>
      <c r="I647" s="25"/>
      <c r="J647" s="25"/>
      <c r="K647" s="25"/>
      <c r="L647" s="25"/>
      <c r="M647" s="25"/>
    </row>
    <row r="648" spans="8:13" x14ac:dyDescent="0.2">
      <c r="H648" s="25"/>
      <c r="I648" s="25"/>
      <c r="J648" s="25"/>
      <c r="K648" s="25"/>
      <c r="L648" s="25"/>
      <c r="M648" s="25"/>
    </row>
    <row r="649" spans="8:13" x14ac:dyDescent="0.2">
      <c r="H649" s="25"/>
      <c r="I649" s="25"/>
      <c r="J649" s="25"/>
      <c r="K649" s="25"/>
      <c r="L649" s="25"/>
      <c r="M649" s="25"/>
    </row>
    <row r="650" spans="8:13" x14ac:dyDescent="0.2">
      <c r="H650" s="25"/>
      <c r="I650" s="25"/>
      <c r="J650" s="25"/>
      <c r="K650" s="25"/>
      <c r="L650" s="25"/>
      <c r="M650" s="25"/>
    </row>
    <row r="651" spans="8:13" x14ac:dyDescent="0.2">
      <c r="H651" s="25"/>
      <c r="I651" s="25"/>
      <c r="J651" s="25"/>
      <c r="K651" s="25"/>
      <c r="L651" s="25"/>
      <c r="M651" s="25"/>
    </row>
    <row r="652" spans="8:13" x14ac:dyDescent="0.2">
      <c r="H652" s="25"/>
      <c r="I652" s="25"/>
      <c r="J652" s="25"/>
      <c r="K652" s="25"/>
      <c r="L652" s="25"/>
      <c r="M652" s="25"/>
    </row>
    <row r="653" spans="8:13" x14ac:dyDescent="0.2">
      <c r="H653" s="25"/>
      <c r="I653" s="25"/>
      <c r="J653" s="25"/>
      <c r="K653" s="25"/>
      <c r="L653" s="25"/>
      <c r="M653" s="25"/>
    </row>
    <row r="654" spans="8:13" x14ac:dyDescent="0.2">
      <c r="H654" s="25"/>
      <c r="I654" s="25"/>
      <c r="J654" s="25"/>
      <c r="K654" s="25"/>
      <c r="L654" s="25"/>
      <c r="M654" s="25"/>
    </row>
    <row r="655" spans="8:13" x14ac:dyDescent="0.2">
      <c r="H655" s="25"/>
      <c r="I655" s="25"/>
      <c r="J655" s="25"/>
      <c r="K655" s="25"/>
      <c r="L655" s="25"/>
      <c r="M655" s="25"/>
    </row>
    <row r="656" spans="8:13" x14ac:dyDescent="0.2">
      <c r="H656" s="25"/>
      <c r="I656" s="25"/>
      <c r="J656" s="25"/>
      <c r="K656" s="25"/>
      <c r="L656" s="25"/>
      <c r="M656" s="25"/>
    </row>
    <row r="657" spans="8:13" x14ac:dyDescent="0.2">
      <c r="H657" s="25"/>
      <c r="I657" s="25"/>
      <c r="J657" s="25"/>
      <c r="K657" s="25"/>
      <c r="L657" s="25"/>
      <c r="M657" s="25"/>
    </row>
    <row r="658" spans="8:13" x14ac:dyDescent="0.2">
      <c r="H658" s="25"/>
      <c r="I658" s="25"/>
      <c r="J658" s="25"/>
      <c r="K658" s="25"/>
      <c r="L658" s="25"/>
      <c r="M658" s="25"/>
    </row>
    <row r="659" spans="8:13" x14ac:dyDescent="0.2">
      <c r="H659" s="25"/>
      <c r="I659" s="25"/>
      <c r="J659" s="25"/>
      <c r="K659" s="25"/>
      <c r="L659" s="25"/>
      <c r="M659" s="25"/>
    </row>
    <row r="660" spans="8:13" x14ac:dyDescent="0.2">
      <c r="H660" s="25"/>
      <c r="I660" s="25"/>
      <c r="J660" s="25"/>
      <c r="K660" s="25"/>
      <c r="L660" s="25"/>
      <c r="M660" s="25"/>
    </row>
    <row r="661" spans="8:13" x14ac:dyDescent="0.2">
      <c r="H661" s="25"/>
      <c r="I661" s="25"/>
      <c r="J661" s="25"/>
      <c r="K661" s="25"/>
      <c r="L661" s="25"/>
      <c r="M661" s="25"/>
    </row>
    <row r="662" spans="8:13" x14ac:dyDescent="0.2">
      <c r="H662" s="25"/>
      <c r="I662" s="25"/>
      <c r="J662" s="25"/>
      <c r="K662" s="25"/>
      <c r="L662" s="25"/>
      <c r="M662" s="25"/>
    </row>
    <row r="663" spans="8:13" x14ac:dyDescent="0.2">
      <c r="H663" s="25"/>
      <c r="I663" s="25"/>
      <c r="J663" s="25"/>
      <c r="K663" s="25"/>
      <c r="L663" s="25"/>
      <c r="M663" s="25"/>
    </row>
    <row r="664" spans="8:13" x14ac:dyDescent="0.2">
      <c r="H664" s="25"/>
      <c r="I664" s="25"/>
      <c r="J664" s="25"/>
      <c r="K664" s="25"/>
      <c r="L664" s="25"/>
      <c r="M664" s="25"/>
    </row>
    <row r="665" spans="8:13" x14ac:dyDescent="0.2">
      <c r="H665" s="25"/>
      <c r="I665" s="25"/>
      <c r="J665" s="25"/>
      <c r="K665" s="25"/>
      <c r="L665" s="25"/>
      <c r="M665" s="25"/>
    </row>
    <row r="666" spans="8:13" x14ac:dyDescent="0.2">
      <c r="H666" s="25"/>
      <c r="I666" s="25"/>
      <c r="J666" s="25"/>
      <c r="K666" s="25"/>
      <c r="L666" s="25"/>
      <c r="M666" s="25"/>
    </row>
    <row r="667" spans="8:13" x14ac:dyDescent="0.2">
      <c r="H667" s="25"/>
      <c r="I667" s="25"/>
      <c r="J667" s="25"/>
      <c r="K667" s="25"/>
      <c r="L667" s="25"/>
      <c r="M667" s="25"/>
    </row>
    <row r="668" spans="8:13" x14ac:dyDescent="0.2">
      <c r="H668" s="25"/>
      <c r="I668" s="25"/>
      <c r="J668" s="25"/>
      <c r="K668" s="25"/>
      <c r="L668" s="25"/>
      <c r="M668" s="25"/>
    </row>
    <row r="669" spans="8:13" x14ac:dyDescent="0.2">
      <c r="H669" s="25"/>
      <c r="I669" s="25"/>
      <c r="J669" s="25"/>
      <c r="K669" s="25"/>
      <c r="L669" s="25"/>
      <c r="M669" s="25"/>
    </row>
    <row r="670" spans="8:13" x14ac:dyDescent="0.2">
      <c r="H670" s="25"/>
      <c r="I670" s="25"/>
      <c r="J670" s="25"/>
      <c r="K670" s="25"/>
      <c r="L670" s="25"/>
      <c r="M670" s="25"/>
    </row>
    <row r="671" spans="8:13" x14ac:dyDescent="0.2">
      <c r="H671" s="25"/>
      <c r="I671" s="25"/>
      <c r="J671" s="25"/>
      <c r="K671" s="25"/>
      <c r="L671" s="25"/>
      <c r="M671" s="25"/>
    </row>
    <row r="672" spans="8:13" x14ac:dyDescent="0.2">
      <c r="H672" s="25"/>
      <c r="I672" s="25"/>
      <c r="J672" s="25"/>
      <c r="K672" s="25"/>
      <c r="L672" s="25"/>
      <c r="M672" s="25"/>
    </row>
    <row r="673" spans="8:13" x14ac:dyDescent="0.2">
      <c r="H673" s="25"/>
      <c r="I673" s="25"/>
      <c r="J673" s="25"/>
      <c r="K673" s="25"/>
      <c r="L673" s="25"/>
      <c r="M673" s="25"/>
    </row>
    <row r="674" spans="8:13" x14ac:dyDescent="0.2">
      <c r="H674" s="25"/>
      <c r="I674" s="25"/>
      <c r="J674" s="25"/>
      <c r="K674" s="25"/>
      <c r="L674" s="25"/>
      <c r="M674" s="25"/>
    </row>
    <row r="675" spans="8:13" x14ac:dyDescent="0.2">
      <c r="H675" s="25"/>
      <c r="I675" s="25"/>
      <c r="J675" s="25"/>
      <c r="K675" s="25"/>
      <c r="L675" s="25"/>
      <c r="M675" s="25"/>
    </row>
    <row r="676" spans="8:13" x14ac:dyDescent="0.2">
      <c r="H676" s="25"/>
      <c r="I676" s="25"/>
      <c r="J676" s="25"/>
      <c r="K676" s="25"/>
      <c r="L676" s="25"/>
      <c r="M676" s="25"/>
    </row>
    <row r="677" spans="8:13" x14ac:dyDescent="0.2">
      <c r="H677" s="25"/>
      <c r="I677" s="25"/>
      <c r="J677" s="25"/>
      <c r="K677" s="25"/>
      <c r="L677" s="25"/>
      <c r="M677" s="25"/>
    </row>
    <row r="678" spans="8:13" x14ac:dyDescent="0.2">
      <c r="H678" s="25"/>
      <c r="I678" s="25"/>
      <c r="J678" s="25"/>
      <c r="K678" s="25"/>
      <c r="L678" s="25"/>
      <c r="M678" s="25"/>
    </row>
    <row r="679" spans="8:13" x14ac:dyDescent="0.2">
      <c r="H679" s="25"/>
      <c r="I679" s="25"/>
      <c r="J679" s="25"/>
      <c r="K679" s="25"/>
      <c r="L679" s="25"/>
      <c r="M679" s="25"/>
    </row>
    <row r="680" spans="8:13" x14ac:dyDescent="0.2">
      <c r="H680" s="25"/>
      <c r="I680" s="25"/>
      <c r="J680" s="25"/>
      <c r="K680" s="25"/>
      <c r="L680" s="25"/>
      <c r="M680" s="25"/>
    </row>
    <row r="681" spans="8:13" x14ac:dyDescent="0.2">
      <c r="H681" s="25"/>
      <c r="I681" s="25"/>
      <c r="J681" s="25"/>
      <c r="K681" s="25"/>
      <c r="L681" s="25"/>
      <c r="M681" s="25"/>
    </row>
    <row r="682" spans="8:13" x14ac:dyDescent="0.2">
      <c r="H682" s="25"/>
      <c r="I682" s="25"/>
      <c r="J682" s="25"/>
      <c r="K682" s="25"/>
      <c r="L682" s="25"/>
      <c r="M682" s="25"/>
    </row>
    <row r="683" spans="8:13" x14ac:dyDescent="0.2">
      <c r="H683" s="25"/>
      <c r="I683" s="25"/>
      <c r="J683" s="25"/>
      <c r="K683" s="25"/>
      <c r="L683" s="25"/>
      <c r="M683" s="25"/>
    </row>
    <row r="684" spans="8:13" x14ac:dyDescent="0.2">
      <c r="H684" s="25"/>
      <c r="I684" s="25"/>
      <c r="J684" s="25"/>
      <c r="K684" s="25"/>
      <c r="L684" s="25"/>
      <c r="M684" s="25"/>
    </row>
    <row r="685" spans="8:13" x14ac:dyDescent="0.2">
      <c r="H685" s="25"/>
      <c r="I685" s="25"/>
      <c r="J685" s="25"/>
      <c r="K685" s="25"/>
      <c r="L685" s="25"/>
      <c r="M685" s="25"/>
    </row>
    <row r="686" spans="8:13" x14ac:dyDescent="0.2">
      <c r="H686" s="25"/>
      <c r="I686" s="25"/>
      <c r="J686" s="25"/>
      <c r="K686" s="25"/>
      <c r="L686" s="25"/>
      <c r="M686" s="25"/>
    </row>
    <row r="687" spans="8:13" x14ac:dyDescent="0.2">
      <c r="H687" s="25"/>
      <c r="I687" s="25"/>
      <c r="J687" s="25"/>
      <c r="K687" s="25"/>
      <c r="L687" s="25"/>
      <c r="M687" s="25"/>
    </row>
    <row r="688" spans="8:13" x14ac:dyDescent="0.2">
      <c r="H688" s="25"/>
      <c r="I688" s="25"/>
      <c r="J688" s="25"/>
      <c r="K688" s="25"/>
      <c r="L688" s="25"/>
      <c r="M688" s="25"/>
    </row>
    <row r="689" spans="8:13" x14ac:dyDescent="0.2">
      <c r="H689" s="25"/>
      <c r="I689" s="25"/>
      <c r="J689" s="25"/>
      <c r="K689" s="25"/>
      <c r="L689" s="25"/>
      <c r="M689" s="25"/>
    </row>
    <row r="690" spans="8:13" x14ac:dyDescent="0.2">
      <c r="H690" s="25"/>
      <c r="I690" s="25"/>
      <c r="J690" s="25"/>
      <c r="K690" s="25"/>
      <c r="L690" s="25"/>
      <c r="M690" s="25"/>
    </row>
    <row r="691" spans="8:13" x14ac:dyDescent="0.2">
      <c r="H691" s="25"/>
      <c r="I691" s="25"/>
      <c r="J691" s="25"/>
      <c r="K691" s="25"/>
      <c r="L691" s="25"/>
      <c r="M691" s="25"/>
    </row>
    <row r="692" spans="8:13" x14ac:dyDescent="0.2">
      <c r="H692" s="25"/>
      <c r="I692" s="25"/>
      <c r="J692" s="25"/>
      <c r="K692" s="25"/>
      <c r="L692" s="25"/>
      <c r="M692" s="25"/>
    </row>
    <row r="693" spans="8:13" x14ac:dyDescent="0.2">
      <c r="H693" s="25"/>
      <c r="I693" s="25"/>
      <c r="J693" s="25"/>
      <c r="K693" s="25"/>
      <c r="L693" s="25"/>
      <c r="M693" s="25"/>
    </row>
    <row r="694" spans="8:13" x14ac:dyDescent="0.2">
      <c r="H694" s="25"/>
      <c r="I694" s="25"/>
      <c r="J694" s="25"/>
      <c r="K694" s="25"/>
      <c r="L694" s="25"/>
      <c r="M694" s="25"/>
    </row>
    <row r="695" spans="8:13" x14ac:dyDescent="0.2">
      <c r="H695" s="25"/>
      <c r="I695" s="25"/>
      <c r="J695" s="25"/>
      <c r="K695" s="25"/>
      <c r="L695" s="25"/>
      <c r="M695" s="25"/>
    </row>
    <row r="696" spans="8:13" x14ac:dyDescent="0.2">
      <c r="H696" s="25"/>
      <c r="I696" s="25"/>
      <c r="J696" s="25"/>
      <c r="K696" s="25"/>
      <c r="L696" s="25"/>
      <c r="M696" s="25"/>
    </row>
    <row r="697" spans="8:13" x14ac:dyDescent="0.2">
      <c r="H697" s="25"/>
      <c r="I697" s="25"/>
      <c r="J697" s="25"/>
      <c r="K697" s="25"/>
      <c r="L697" s="25"/>
      <c r="M697" s="25"/>
    </row>
    <row r="698" spans="8:13" x14ac:dyDescent="0.2">
      <c r="H698" s="25"/>
      <c r="I698" s="25"/>
      <c r="J698" s="25"/>
      <c r="K698" s="25"/>
      <c r="L698" s="25"/>
      <c r="M698" s="25"/>
    </row>
    <row r="699" spans="8:13" x14ac:dyDescent="0.2">
      <c r="H699" s="25"/>
      <c r="I699" s="25"/>
      <c r="J699" s="25"/>
      <c r="K699" s="25"/>
      <c r="L699" s="25"/>
      <c r="M699" s="25"/>
    </row>
    <row r="700" spans="8:13" x14ac:dyDescent="0.2">
      <c r="H700" s="25"/>
      <c r="I700" s="25"/>
      <c r="J700" s="25"/>
      <c r="K700" s="25"/>
      <c r="L700" s="25"/>
      <c r="M700" s="25"/>
    </row>
    <row r="701" spans="8:13" x14ac:dyDescent="0.2">
      <c r="H701" s="25"/>
      <c r="I701" s="25"/>
      <c r="J701" s="25"/>
      <c r="K701" s="25"/>
      <c r="L701" s="25"/>
      <c r="M701" s="25"/>
    </row>
    <row r="702" spans="8:13" x14ac:dyDescent="0.2">
      <c r="H702" s="25"/>
      <c r="I702" s="25"/>
      <c r="J702" s="25"/>
      <c r="K702" s="25"/>
      <c r="L702" s="25"/>
      <c r="M702" s="25"/>
    </row>
    <row r="703" spans="8:13" x14ac:dyDescent="0.2">
      <c r="H703" s="25"/>
      <c r="I703" s="25"/>
      <c r="J703" s="25"/>
      <c r="K703" s="25"/>
      <c r="L703" s="25"/>
      <c r="M703" s="25"/>
    </row>
    <row r="704" spans="8:13" x14ac:dyDescent="0.2">
      <c r="H704" s="25"/>
      <c r="I704" s="25"/>
      <c r="J704" s="25"/>
      <c r="K704" s="25"/>
      <c r="L704" s="25"/>
      <c r="M704" s="25"/>
    </row>
    <row r="705" spans="8:13" x14ac:dyDescent="0.2">
      <c r="H705" s="25"/>
      <c r="I705" s="25"/>
      <c r="J705" s="25"/>
      <c r="K705" s="25"/>
      <c r="L705" s="25"/>
      <c r="M705" s="25"/>
    </row>
    <row r="706" spans="8:13" x14ac:dyDescent="0.2">
      <c r="H706" s="25"/>
      <c r="I706" s="25"/>
      <c r="J706" s="25"/>
      <c r="K706" s="25"/>
      <c r="L706" s="25"/>
      <c r="M706" s="25"/>
    </row>
    <row r="707" spans="8:13" x14ac:dyDescent="0.2">
      <c r="H707" s="25"/>
      <c r="I707" s="25"/>
      <c r="J707" s="25"/>
      <c r="K707" s="25"/>
      <c r="L707" s="25"/>
      <c r="M707" s="25"/>
    </row>
    <row r="708" spans="8:13" x14ac:dyDescent="0.2">
      <c r="H708" s="25"/>
      <c r="I708" s="25"/>
      <c r="J708" s="25"/>
      <c r="K708" s="25"/>
      <c r="L708" s="25"/>
      <c r="M708" s="25"/>
    </row>
    <row r="709" spans="8:13" x14ac:dyDescent="0.2">
      <c r="H709" s="25"/>
      <c r="I709" s="25"/>
      <c r="J709" s="25"/>
      <c r="K709" s="25"/>
      <c r="L709" s="25"/>
      <c r="M709" s="25"/>
    </row>
    <row r="710" spans="8:13" x14ac:dyDescent="0.2">
      <c r="H710" s="25"/>
      <c r="I710" s="25"/>
      <c r="J710" s="25"/>
      <c r="K710" s="25"/>
      <c r="L710" s="25"/>
      <c r="M710" s="25"/>
    </row>
    <row r="711" spans="8:13" x14ac:dyDescent="0.2">
      <c r="H711" s="25"/>
      <c r="I711" s="25"/>
      <c r="J711" s="25"/>
      <c r="K711" s="25"/>
      <c r="L711" s="25"/>
      <c r="M711" s="25"/>
    </row>
    <row r="712" spans="8:13" x14ac:dyDescent="0.2">
      <c r="H712" s="25"/>
      <c r="I712" s="25"/>
      <c r="J712" s="25"/>
      <c r="K712" s="25"/>
      <c r="L712" s="25"/>
      <c r="M712" s="25"/>
    </row>
    <row r="713" spans="8:13" x14ac:dyDescent="0.2">
      <c r="H713" s="25"/>
      <c r="I713" s="25"/>
      <c r="J713" s="25"/>
      <c r="K713" s="25"/>
      <c r="L713" s="25"/>
      <c r="M713" s="25"/>
    </row>
    <row r="714" spans="8:13" x14ac:dyDescent="0.2">
      <c r="H714" s="25"/>
      <c r="I714" s="25"/>
      <c r="J714" s="25"/>
      <c r="K714" s="25"/>
      <c r="L714" s="25"/>
      <c r="M714" s="25"/>
    </row>
    <row r="715" spans="8:13" x14ac:dyDescent="0.2">
      <c r="H715" s="25"/>
      <c r="I715" s="25"/>
      <c r="J715" s="25"/>
      <c r="K715" s="25"/>
      <c r="L715" s="25"/>
      <c r="M715" s="25"/>
    </row>
    <row r="716" spans="8:13" x14ac:dyDescent="0.2">
      <c r="H716" s="25"/>
      <c r="I716" s="25"/>
      <c r="J716" s="25"/>
      <c r="K716" s="25"/>
      <c r="L716" s="25"/>
      <c r="M716" s="25"/>
    </row>
    <row r="717" spans="8:13" x14ac:dyDescent="0.2">
      <c r="H717" s="25"/>
      <c r="I717" s="25"/>
      <c r="J717" s="25"/>
      <c r="K717" s="25"/>
      <c r="L717" s="25"/>
      <c r="M717" s="25"/>
    </row>
    <row r="718" spans="8:13" x14ac:dyDescent="0.2">
      <c r="H718" s="25"/>
      <c r="I718" s="25"/>
      <c r="J718" s="25"/>
      <c r="K718" s="25"/>
      <c r="L718" s="25"/>
      <c r="M718" s="25"/>
    </row>
    <row r="719" spans="8:13" x14ac:dyDescent="0.2">
      <c r="H719" s="25"/>
      <c r="I719" s="25"/>
      <c r="J719" s="25"/>
      <c r="K719" s="25"/>
      <c r="L719" s="25"/>
      <c r="M719" s="25"/>
    </row>
    <row r="720" spans="8:13" x14ac:dyDescent="0.2">
      <c r="H720" s="25"/>
      <c r="I720" s="25"/>
      <c r="J720" s="25"/>
      <c r="K720" s="25"/>
      <c r="L720" s="25"/>
      <c r="M720" s="25"/>
    </row>
    <row r="721" spans="8:13" x14ac:dyDescent="0.2">
      <c r="H721" s="25"/>
      <c r="I721" s="25"/>
      <c r="J721" s="25"/>
      <c r="K721" s="25"/>
      <c r="L721" s="25"/>
      <c r="M721" s="25"/>
    </row>
    <row r="722" spans="8:13" x14ac:dyDescent="0.2">
      <c r="H722" s="25"/>
      <c r="I722" s="25"/>
      <c r="J722" s="25"/>
      <c r="K722" s="25"/>
      <c r="L722" s="25"/>
      <c r="M722" s="25"/>
    </row>
    <row r="723" spans="8:13" x14ac:dyDescent="0.2">
      <c r="H723" s="25"/>
      <c r="I723" s="25"/>
      <c r="J723" s="25"/>
      <c r="K723" s="25"/>
      <c r="L723" s="25"/>
      <c r="M723" s="25"/>
    </row>
    <row r="724" spans="8:13" x14ac:dyDescent="0.2">
      <c r="H724" s="25"/>
      <c r="I724" s="25"/>
      <c r="J724" s="25"/>
      <c r="K724" s="25"/>
      <c r="L724" s="25"/>
      <c r="M724" s="25"/>
    </row>
    <row r="725" spans="8:13" x14ac:dyDescent="0.2">
      <c r="H725" s="25"/>
      <c r="I725" s="25"/>
      <c r="J725" s="25"/>
      <c r="K725" s="25"/>
      <c r="L725" s="25"/>
      <c r="M725" s="25"/>
    </row>
    <row r="726" spans="8:13" x14ac:dyDescent="0.2">
      <c r="H726" s="25"/>
      <c r="I726" s="25"/>
      <c r="J726" s="25"/>
      <c r="K726" s="25"/>
      <c r="L726" s="25"/>
      <c r="M726" s="25"/>
    </row>
    <row r="727" spans="8:13" x14ac:dyDescent="0.2">
      <c r="H727" s="25"/>
      <c r="I727" s="25"/>
      <c r="J727" s="25"/>
      <c r="K727" s="25"/>
      <c r="L727" s="25"/>
      <c r="M727" s="25"/>
    </row>
    <row r="728" spans="8:13" x14ac:dyDescent="0.2">
      <c r="H728" s="25"/>
      <c r="I728" s="25"/>
      <c r="J728" s="25"/>
      <c r="K728" s="25"/>
      <c r="L728" s="25"/>
      <c r="M728" s="25"/>
    </row>
    <row r="729" spans="8:13" x14ac:dyDescent="0.2">
      <c r="H729" s="25"/>
      <c r="I729" s="25"/>
      <c r="J729" s="25"/>
      <c r="K729" s="25"/>
      <c r="L729" s="25"/>
      <c r="M729" s="25"/>
    </row>
    <row r="730" spans="8:13" x14ac:dyDescent="0.2">
      <c r="H730" s="25"/>
      <c r="I730" s="25"/>
      <c r="J730" s="25"/>
      <c r="K730" s="25"/>
      <c r="L730" s="25"/>
      <c r="M730" s="25"/>
    </row>
    <row r="731" spans="8:13" x14ac:dyDescent="0.2">
      <c r="H731" s="25"/>
      <c r="I731" s="25"/>
      <c r="J731" s="25"/>
      <c r="K731" s="25"/>
      <c r="L731" s="25"/>
      <c r="M731" s="25"/>
    </row>
    <row r="732" spans="8:13" x14ac:dyDescent="0.2">
      <c r="H732" s="25"/>
      <c r="I732" s="25"/>
      <c r="J732" s="25"/>
      <c r="K732" s="25"/>
      <c r="L732" s="25"/>
      <c r="M732" s="25"/>
    </row>
    <row r="733" spans="8:13" x14ac:dyDescent="0.2">
      <c r="H733" s="25"/>
      <c r="I733" s="25"/>
      <c r="J733" s="25"/>
      <c r="K733" s="25"/>
      <c r="L733" s="25"/>
      <c r="M733" s="25"/>
    </row>
    <row r="734" spans="8:13" x14ac:dyDescent="0.2">
      <c r="H734" s="25"/>
      <c r="I734" s="25"/>
      <c r="J734" s="25"/>
      <c r="K734" s="25"/>
      <c r="L734" s="25"/>
      <c r="M734" s="25"/>
    </row>
    <row r="735" spans="8:13" x14ac:dyDescent="0.2">
      <c r="H735" s="25"/>
      <c r="I735" s="25"/>
      <c r="J735" s="25"/>
      <c r="K735" s="25"/>
      <c r="L735" s="25"/>
      <c r="M735" s="25"/>
    </row>
    <row r="736" spans="8:13" x14ac:dyDescent="0.2">
      <c r="H736" s="25"/>
      <c r="I736" s="25"/>
      <c r="J736" s="25"/>
      <c r="K736" s="25"/>
      <c r="L736" s="25"/>
      <c r="M736" s="25"/>
    </row>
    <row r="737" spans="8:13" x14ac:dyDescent="0.2">
      <c r="H737" s="25"/>
      <c r="I737" s="25"/>
      <c r="J737" s="25"/>
      <c r="K737" s="25"/>
      <c r="L737" s="25"/>
      <c r="M737" s="25"/>
    </row>
    <row r="738" spans="8:13" x14ac:dyDescent="0.2">
      <c r="H738" s="25"/>
      <c r="I738" s="25"/>
      <c r="J738" s="25"/>
      <c r="K738" s="25"/>
      <c r="L738" s="25"/>
      <c r="M738" s="25"/>
    </row>
    <row r="739" spans="8:13" x14ac:dyDescent="0.2">
      <c r="H739" s="25"/>
      <c r="I739" s="25"/>
      <c r="J739" s="25"/>
      <c r="K739" s="25"/>
      <c r="L739" s="25"/>
      <c r="M739" s="25"/>
    </row>
    <row r="740" spans="8:13" x14ac:dyDescent="0.2">
      <c r="H740" s="25"/>
      <c r="I740" s="25"/>
      <c r="J740" s="25"/>
      <c r="K740" s="25"/>
      <c r="L740" s="25"/>
      <c r="M740" s="25"/>
    </row>
    <row r="741" spans="8:13" x14ac:dyDescent="0.2">
      <c r="H741" s="25"/>
      <c r="I741" s="25"/>
      <c r="J741" s="25"/>
      <c r="K741" s="25"/>
      <c r="L741" s="25"/>
      <c r="M741" s="25"/>
    </row>
    <row r="742" spans="8:13" x14ac:dyDescent="0.2">
      <c r="H742" s="25"/>
      <c r="I742" s="25"/>
      <c r="J742" s="25"/>
      <c r="K742" s="25"/>
      <c r="L742" s="25"/>
      <c r="M742" s="25"/>
    </row>
    <row r="743" spans="8:13" x14ac:dyDescent="0.2">
      <c r="H743" s="25"/>
      <c r="I743" s="25"/>
      <c r="J743" s="25"/>
      <c r="K743" s="25"/>
      <c r="L743" s="25"/>
      <c r="M743" s="25"/>
    </row>
    <row r="744" spans="8:13" x14ac:dyDescent="0.2">
      <c r="H744" s="25"/>
      <c r="I744" s="25"/>
      <c r="J744" s="25"/>
      <c r="K744" s="25"/>
      <c r="L744" s="25"/>
      <c r="M744" s="25"/>
    </row>
    <row r="745" spans="8:13" x14ac:dyDescent="0.2">
      <c r="H745" s="25"/>
      <c r="I745" s="25"/>
      <c r="J745" s="25"/>
      <c r="K745" s="25"/>
      <c r="L745" s="25"/>
      <c r="M745" s="25"/>
    </row>
    <row r="746" spans="8:13" x14ac:dyDescent="0.2">
      <c r="H746" s="25"/>
      <c r="I746" s="25"/>
      <c r="J746" s="25"/>
      <c r="K746" s="25"/>
      <c r="L746" s="25"/>
      <c r="M746" s="25"/>
    </row>
    <row r="747" spans="8:13" x14ac:dyDescent="0.2">
      <c r="H747" s="25"/>
      <c r="I747" s="25"/>
      <c r="J747" s="25"/>
      <c r="K747" s="25"/>
      <c r="L747" s="25"/>
      <c r="M747" s="25"/>
    </row>
    <row r="748" spans="8:13" x14ac:dyDescent="0.2">
      <c r="H748" s="25"/>
      <c r="I748" s="25"/>
      <c r="J748" s="25"/>
      <c r="K748" s="25"/>
      <c r="L748" s="25"/>
      <c r="M748" s="25"/>
    </row>
    <row r="749" spans="8:13" x14ac:dyDescent="0.2">
      <c r="H749" s="25"/>
      <c r="I749" s="25"/>
      <c r="J749" s="25"/>
      <c r="K749" s="25"/>
      <c r="L749" s="25"/>
      <c r="M749" s="25"/>
    </row>
    <row r="750" spans="8:13" x14ac:dyDescent="0.2">
      <c r="H750" s="25"/>
      <c r="I750" s="25"/>
      <c r="J750" s="25"/>
      <c r="K750" s="25"/>
      <c r="L750" s="25"/>
      <c r="M750" s="25"/>
    </row>
    <row r="751" spans="8:13" x14ac:dyDescent="0.2">
      <c r="H751" s="25"/>
      <c r="I751" s="25"/>
      <c r="J751" s="25"/>
      <c r="K751" s="25"/>
      <c r="L751" s="25"/>
      <c r="M751" s="25"/>
    </row>
    <row r="752" spans="8:13" x14ac:dyDescent="0.2">
      <c r="H752" s="25"/>
      <c r="I752" s="25"/>
      <c r="J752" s="25"/>
      <c r="K752" s="25"/>
      <c r="L752" s="25"/>
      <c r="M752" s="25"/>
    </row>
    <row r="753" spans="8:13" x14ac:dyDescent="0.2">
      <c r="H753" s="25"/>
      <c r="I753" s="25"/>
      <c r="J753" s="25"/>
      <c r="K753" s="25"/>
      <c r="L753" s="25"/>
      <c r="M753" s="25"/>
    </row>
    <row r="754" spans="8:13" x14ac:dyDescent="0.2">
      <c r="H754" s="25"/>
      <c r="I754" s="25"/>
      <c r="J754" s="25"/>
      <c r="K754" s="25"/>
      <c r="L754" s="25"/>
      <c r="M754" s="25"/>
    </row>
    <row r="755" spans="8:13" x14ac:dyDescent="0.2">
      <c r="H755" s="25"/>
      <c r="I755" s="25"/>
      <c r="J755" s="25"/>
      <c r="K755" s="25"/>
      <c r="L755" s="25"/>
      <c r="M755" s="25"/>
    </row>
    <row r="756" spans="8:13" x14ac:dyDescent="0.2">
      <c r="H756" s="25"/>
      <c r="I756" s="25"/>
      <c r="J756" s="25"/>
      <c r="K756" s="25"/>
      <c r="L756" s="25"/>
      <c r="M756" s="25"/>
    </row>
    <row r="757" spans="8:13" x14ac:dyDescent="0.2">
      <c r="H757" s="25"/>
      <c r="I757" s="25"/>
      <c r="J757" s="25"/>
      <c r="K757" s="25"/>
      <c r="L757" s="25"/>
      <c r="M757" s="25"/>
    </row>
    <row r="758" spans="8:13" x14ac:dyDescent="0.2">
      <c r="H758" s="25"/>
      <c r="I758" s="25"/>
      <c r="J758" s="25"/>
      <c r="K758" s="25"/>
      <c r="L758" s="25"/>
      <c r="M758" s="25"/>
    </row>
    <row r="759" spans="8:13" x14ac:dyDescent="0.2">
      <c r="H759" s="25"/>
      <c r="I759" s="25"/>
      <c r="J759" s="25"/>
      <c r="K759" s="25"/>
      <c r="L759" s="25"/>
      <c r="M759" s="25"/>
    </row>
    <row r="760" spans="8:13" x14ac:dyDescent="0.2">
      <c r="H760" s="25"/>
      <c r="I760" s="25"/>
      <c r="J760" s="25"/>
      <c r="K760" s="25"/>
      <c r="L760" s="25"/>
      <c r="M760" s="25"/>
    </row>
    <row r="761" spans="8:13" x14ac:dyDescent="0.2">
      <c r="H761" s="25"/>
      <c r="I761" s="25"/>
      <c r="J761" s="25"/>
      <c r="K761" s="25"/>
      <c r="L761" s="25"/>
      <c r="M761" s="25"/>
    </row>
    <row r="762" spans="8:13" x14ac:dyDescent="0.2">
      <c r="H762" s="25"/>
      <c r="I762" s="25"/>
      <c r="J762" s="25"/>
      <c r="K762" s="25"/>
      <c r="L762" s="25"/>
      <c r="M762" s="25"/>
    </row>
    <row r="763" spans="8:13" x14ac:dyDescent="0.2">
      <c r="H763" s="25"/>
      <c r="I763" s="25"/>
      <c r="J763" s="25"/>
      <c r="K763" s="25"/>
      <c r="L763" s="25"/>
      <c r="M763" s="25"/>
    </row>
    <row r="764" spans="8:13" x14ac:dyDescent="0.2">
      <c r="H764" s="25"/>
      <c r="I764" s="25"/>
      <c r="J764" s="25"/>
      <c r="K764" s="25"/>
      <c r="L764" s="25"/>
      <c r="M764" s="25"/>
    </row>
    <row r="765" spans="8:13" x14ac:dyDescent="0.2">
      <c r="H765" s="25"/>
      <c r="I765" s="25"/>
      <c r="J765" s="25"/>
      <c r="K765" s="25"/>
      <c r="L765" s="25"/>
      <c r="M765" s="25"/>
    </row>
    <row r="766" spans="8:13" x14ac:dyDescent="0.2">
      <c r="H766" s="25"/>
      <c r="I766" s="25"/>
      <c r="J766" s="25"/>
      <c r="K766" s="25"/>
      <c r="L766" s="25"/>
      <c r="M766" s="25"/>
    </row>
    <row r="767" spans="8:13" x14ac:dyDescent="0.2">
      <c r="H767" s="25"/>
      <c r="I767" s="25"/>
      <c r="J767" s="25"/>
      <c r="K767" s="25"/>
      <c r="L767" s="25"/>
      <c r="M767" s="25"/>
    </row>
    <row r="768" spans="8:13" x14ac:dyDescent="0.2">
      <c r="H768" s="25"/>
      <c r="I768" s="25"/>
      <c r="J768" s="25"/>
      <c r="K768" s="25"/>
      <c r="L768" s="25"/>
      <c r="M768" s="25"/>
    </row>
    <row r="769" spans="8:13" x14ac:dyDescent="0.2">
      <c r="H769" s="25"/>
      <c r="I769" s="25"/>
      <c r="J769" s="25"/>
      <c r="K769" s="25"/>
      <c r="L769" s="25"/>
      <c r="M769" s="25"/>
    </row>
    <row r="770" spans="8:13" x14ac:dyDescent="0.2">
      <c r="H770" s="25"/>
      <c r="I770" s="25"/>
      <c r="J770" s="25"/>
      <c r="K770" s="25"/>
      <c r="L770" s="25"/>
      <c r="M770" s="25"/>
    </row>
    <row r="771" spans="8:13" x14ac:dyDescent="0.2">
      <c r="H771" s="25"/>
      <c r="I771" s="25"/>
      <c r="J771" s="25"/>
      <c r="K771" s="25"/>
      <c r="L771" s="25"/>
      <c r="M771" s="25"/>
    </row>
    <row r="772" spans="8:13" x14ac:dyDescent="0.2">
      <c r="H772" s="25"/>
      <c r="I772" s="25"/>
      <c r="J772" s="25"/>
      <c r="K772" s="25"/>
      <c r="L772" s="25"/>
      <c r="M772" s="25"/>
    </row>
    <row r="773" spans="8:13" x14ac:dyDescent="0.2">
      <c r="H773" s="25"/>
      <c r="I773" s="25"/>
      <c r="J773" s="25"/>
      <c r="K773" s="25"/>
      <c r="L773" s="25"/>
      <c r="M773" s="25"/>
    </row>
    <row r="774" spans="8:13" x14ac:dyDescent="0.2">
      <c r="H774" s="25"/>
      <c r="I774" s="25"/>
      <c r="J774" s="25"/>
      <c r="K774" s="25"/>
      <c r="L774" s="25"/>
      <c r="M774" s="25"/>
    </row>
    <row r="775" spans="8:13" x14ac:dyDescent="0.2">
      <c r="H775" s="25"/>
      <c r="I775" s="25"/>
      <c r="J775" s="25"/>
      <c r="K775" s="25"/>
      <c r="L775" s="25"/>
      <c r="M775" s="25"/>
    </row>
    <row r="776" spans="8:13" x14ac:dyDescent="0.2">
      <c r="H776" s="25"/>
      <c r="I776" s="25"/>
      <c r="J776" s="25"/>
      <c r="K776" s="25"/>
      <c r="L776" s="25"/>
      <c r="M776" s="25"/>
    </row>
    <row r="777" spans="8:13" x14ac:dyDescent="0.2">
      <c r="H777" s="25"/>
      <c r="I777" s="25"/>
      <c r="J777" s="25"/>
      <c r="K777" s="25"/>
      <c r="L777" s="25"/>
      <c r="M777" s="25"/>
    </row>
    <row r="778" spans="8:13" x14ac:dyDescent="0.2">
      <c r="H778" s="25"/>
      <c r="I778" s="25"/>
      <c r="J778" s="25"/>
      <c r="K778" s="25"/>
      <c r="L778" s="25"/>
      <c r="M778" s="25"/>
    </row>
    <row r="779" spans="8:13" x14ac:dyDescent="0.2">
      <c r="H779" s="25"/>
      <c r="I779" s="25"/>
      <c r="J779" s="25"/>
      <c r="K779" s="25"/>
      <c r="L779" s="25"/>
      <c r="M779" s="25"/>
    </row>
    <row r="780" spans="8:13" x14ac:dyDescent="0.2">
      <c r="H780" s="25"/>
      <c r="I780" s="25"/>
      <c r="J780" s="25"/>
      <c r="K780" s="25"/>
      <c r="L780" s="25"/>
      <c r="M780" s="25"/>
    </row>
    <row r="781" spans="8:13" x14ac:dyDescent="0.2">
      <c r="H781" s="25"/>
      <c r="I781" s="25"/>
      <c r="J781" s="25"/>
      <c r="K781" s="25"/>
      <c r="L781" s="25"/>
      <c r="M781" s="25"/>
    </row>
    <row r="782" spans="8:13" x14ac:dyDescent="0.2">
      <c r="H782" s="25"/>
      <c r="I782" s="25"/>
      <c r="J782" s="25"/>
      <c r="K782" s="25"/>
      <c r="L782" s="25"/>
      <c r="M782" s="25"/>
    </row>
    <row r="783" spans="8:13" x14ac:dyDescent="0.2">
      <c r="H783" s="25"/>
      <c r="I783" s="25"/>
      <c r="J783" s="25"/>
      <c r="K783" s="25"/>
      <c r="L783" s="25"/>
      <c r="M783" s="25"/>
    </row>
    <row r="784" spans="8:13" x14ac:dyDescent="0.2">
      <c r="H784" s="25"/>
      <c r="I784" s="25"/>
      <c r="J784" s="25"/>
      <c r="K784" s="25"/>
      <c r="L784" s="25"/>
      <c r="M784" s="25"/>
    </row>
    <row r="785" spans="8:13" x14ac:dyDescent="0.2">
      <c r="H785" s="25"/>
      <c r="I785" s="25"/>
      <c r="J785" s="25"/>
      <c r="K785" s="25"/>
      <c r="L785" s="25"/>
      <c r="M785" s="25"/>
    </row>
    <row r="786" spans="8:13" x14ac:dyDescent="0.2">
      <c r="H786" s="25"/>
      <c r="I786" s="25"/>
      <c r="J786" s="25"/>
      <c r="K786" s="25"/>
      <c r="L786" s="25"/>
      <c r="M786" s="25"/>
    </row>
    <row r="787" spans="8:13" x14ac:dyDescent="0.2">
      <c r="H787" s="25"/>
      <c r="I787" s="25"/>
      <c r="J787" s="25"/>
      <c r="K787" s="25"/>
      <c r="L787" s="25"/>
      <c r="M787" s="25"/>
    </row>
    <row r="788" spans="8:13" x14ac:dyDescent="0.2">
      <c r="H788" s="25"/>
      <c r="I788" s="25"/>
      <c r="J788" s="25"/>
      <c r="K788" s="25"/>
      <c r="L788" s="25"/>
      <c r="M788" s="25"/>
    </row>
    <row r="789" spans="8:13" x14ac:dyDescent="0.2">
      <c r="H789" s="25"/>
      <c r="I789" s="25"/>
      <c r="J789" s="25"/>
      <c r="K789" s="25"/>
      <c r="L789" s="25"/>
      <c r="M789" s="25"/>
    </row>
    <row r="790" spans="8:13" x14ac:dyDescent="0.2">
      <c r="H790" s="25"/>
      <c r="I790" s="25"/>
      <c r="J790" s="25"/>
      <c r="K790" s="25"/>
      <c r="L790" s="25"/>
      <c r="M790" s="25"/>
    </row>
    <row r="791" spans="8:13" x14ac:dyDescent="0.2">
      <c r="H791" s="25"/>
      <c r="I791" s="25"/>
      <c r="J791" s="25"/>
      <c r="K791" s="25"/>
      <c r="L791" s="25"/>
      <c r="M791" s="25"/>
    </row>
    <row r="792" spans="8:13" x14ac:dyDescent="0.2">
      <c r="H792" s="25"/>
      <c r="I792" s="25"/>
      <c r="J792" s="25"/>
      <c r="K792" s="25"/>
      <c r="L792" s="25"/>
      <c r="M792" s="25"/>
    </row>
    <row r="793" spans="8:13" x14ac:dyDescent="0.2">
      <c r="H793" s="25"/>
      <c r="I793" s="25"/>
      <c r="J793" s="25"/>
      <c r="K793" s="25"/>
      <c r="L793" s="25"/>
      <c r="M793" s="25"/>
    </row>
    <row r="794" spans="8:13" x14ac:dyDescent="0.2">
      <c r="H794" s="25"/>
      <c r="I794" s="25"/>
      <c r="J794" s="25"/>
      <c r="K794" s="25"/>
      <c r="L794" s="25"/>
      <c r="M794" s="25"/>
    </row>
    <row r="795" spans="8:13" x14ac:dyDescent="0.2">
      <c r="H795" s="25"/>
      <c r="I795" s="25"/>
      <c r="J795" s="25"/>
      <c r="K795" s="25"/>
      <c r="L795" s="25"/>
      <c r="M795" s="25"/>
    </row>
    <row r="796" spans="8:13" x14ac:dyDescent="0.2">
      <c r="H796" s="25"/>
      <c r="I796" s="25"/>
      <c r="J796" s="25"/>
      <c r="K796" s="25"/>
      <c r="L796" s="25"/>
      <c r="M796" s="25"/>
    </row>
    <row r="797" spans="8:13" x14ac:dyDescent="0.2">
      <c r="H797" s="25"/>
      <c r="I797" s="25"/>
      <c r="J797" s="25"/>
      <c r="K797" s="25"/>
      <c r="L797" s="25"/>
      <c r="M797" s="25"/>
    </row>
    <row r="798" spans="8:13" x14ac:dyDescent="0.2">
      <c r="H798" s="25"/>
      <c r="I798" s="25"/>
      <c r="J798" s="25"/>
      <c r="K798" s="25"/>
      <c r="L798" s="25"/>
      <c r="M798" s="25"/>
    </row>
    <row r="799" spans="8:13" x14ac:dyDescent="0.2">
      <c r="H799" s="25"/>
      <c r="I799" s="25"/>
      <c r="J799" s="25"/>
      <c r="K799" s="25"/>
      <c r="L799" s="25"/>
      <c r="M799" s="25"/>
    </row>
    <row r="800" spans="8:13" x14ac:dyDescent="0.2">
      <c r="H800" s="25"/>
      <c r="I800" s="25"/>
      <c r="J800" s="25"/>
      <c r="K800" s="25"/>
      <c r="L800" s="25"/>
      <c r="M800" s="25"/>
    </row>
    <row r="801" spans="8:13" x14ac:dyDescent="0.2">
      <c r="H801" s="25"/>
      <c r="I801" s="25"/>
      <c r="J801" s="25"/>
      <c r="K801" s="25"/>
      <c r="L801" s="25"/>
      <c r="M801" s="25"/>
    </row>
    <row r="802" spans="8:13" x14ac:dyDescent="0.2">
      <c r="H802" s="25"/>
      <c r="I802" s="25"/>
      <c r="J802" s="25"/>
      <c r="K802" s="25"/>
      <c r="L802" s="25"/>
      <c r="M802" s="25"/>
    </row>
    <row r="803" spans="8:13" x14ac:dyDescent="0.2">
      <c r="H803" s="25"/>
      <c r="I803" s="25"/>
      <c r="J803" s="25"/>
      <c r="K803" s="25"/>
      <c r="L803" s="25"/>
      <c r="M803" s="25"/>
    </row>
    <row r="804" spans="8:13" x14ac:dyDescent="0.2">
      <c r="H804" s="25"/>
      <c r="I804" s="25"/>
      <c r="J804" s="25"/>
      <c r="K804" s="25"/>
      <c r="L804" s="25"/>
      <c r="M804" s="25"/>
    </row>
    <row r="805" spans="8:13" x14ac:dyDescent="0.2">
      <c r="H805" s="25"/>
      <c r="I805" s="25"/>
      <c r="J805" s="25"/>
      <c r="K805" s="25"/>
      <c r="L805" s="25"/>
      <c r="M805" s="25"/>
    </row>
    <row r="806" spans="8:13" x14ac:dyDescent="0.2">
      <c r="H806" s="25"/>
      <c r="I806" s="25"/>
      <c r="J806" s="25"/>
      <c r="K806" s="25"/>
      <c r="L806" s="25"/>
      <c r="M806" s="25"/>
    </row>
    <row r="807" spans="8:13" x14ac:dyDescent="0.2">
      <c r="H807" s="25"/>
      <c r="I807" s="25"/>
      <c r="J807" s="25"/>
      <c r="K807" s="25"/>
      <c r="L807" s="25"/>
      <c r="M807" s="25"/>
    </row>
    <row r="808" spans="8:13" x14ac:dyDescent="0.2">
      <c r="H808" s="25"/>
      <c r="I808" s="25"/>
      <c r="J808" s="25"/>
      <c r="K808" s="25"/>
      <c r="L808" s="25"/>
      <c r="M808" s="25"/>
    </row>
    <row r="809" spans="8:13" x14ac:dyDescent="0.2">
      <c r="H809" s="25"/>
      <c r="I809" s="25"/>
      <c r="J809" s="25"/>
      <c r="K809" s="25"/>
      <c r="L809" s="25"/>
      <c r="M809" s="25"/>
    </row>
    <row r="810" spans="8:13" x14ac:dyDescent="0.2">
      <c r="H810" s="25"/>
      <c r="I810" s="25"/>
      <c r="J810" s="25"/>
      <c r="K810" s="25"/>
      <c r="L810" s="25"/>
      <c r="M810" s="25"/>
    </row>
    <row r="811" spans="8:13" x14ac:dyDescent="0.2">
      <c r="H811" s="25"/>
      <c r="I811" s="25"/>
      <c r="J811" s="25"/>
      <c r="K811" s="25"/>
      <c r="L811" s="25"/>
      <c r="M811" s="25"/>
    </row>
    <row r="812" spans="8:13" x14ac:dyDescent="0.2">
      <c r="H812" s="25"/>
      <c r="I812" s="25"/>
      <c r="J812" s="25"/>
      <c r="K812" s="25"/>
      <c r="L812" s="25"/>
      <c r="M812" s="25"/>
    </row>
    <row r="813" spans="8:13" x14ac:dyDescent="0.2">
      <c r="H813" s="25"/>
      <c r="I813" s="25"/>
      <c r="J813" s="25"/>
      <c r="K813" s="25"/>
      <c r="L813" s="25"/>
      <c r="M813" s="25"/>
    </row>
    <row r="814" spans="8:13" x14ac:dyDescent="0.2">
      <c r="H814" s="25"/>
      <c r="I814" s="25"/>
      <c r="J814" s="25"/>
      <c r="K814" s="25"/>
      <c r="L814" s="25"/>
      <c r="M814" s="25"/>
    </row>
    <row r="815" spans="8:13" x14ac:dyDescent="0.2">
      <c r="H815" s="25"/>
      <c r="I815" s="25"/>
      <c r="J815" s="25"/>
      <c r="K815" s="25"/>
      <c r="L815" s="25"/>
      <c r="M815" s="25"/>
    </row>
    <row r="816" spans="8:13" x14ac:dyDescent="0.2">
      <c r="H816" s="25"/>
      <c r="I816" s="25"/>
      <c r="J816" s="25"/>
      <c r="K816" s="25"/>
      <c r="L816" s="25"/>
      <c r="M816" s="25"/>
    </row>
    <row r="817" spans="8:13" x14ac:dyDescent="0.2">
      <c r="H817" s="25"/>
      <c r="I817" s="25"/>
      <c r="J817" s="25"/>
      <c r="K817" s="25"/>
      <c r="L817" s="25"/>
      <c r="M817" s="25"/>
    </row>
    <row r="818" spans="8:13" x14ac:dyDescent="0.2">
      <c r="H818" s="25"/>
      <c r="I818" s="25"/>
      <c r="J818" s="25"/>
      <c r="K818" s="25"/>
      <c r="L818" s="25"/>
      <c r="M818" s="25"/>
    </row>
    <row r="819" spans="8:13" x14ac:dyDescent="0.2">
      <c r="H819" s="25"/>
      <c r="I819" s="25"/>
      <c r="J819" s="25"/>
      <c r="K819" s="25"/>
      <c r="L819" s="25"/>
      <c r="M819" s="25"/>
    </row>
    <row r="820" spans="8:13" x14ac:dyDescent="0.2">
      <c r="H820" s="25"/>
      <c r="I820" s="25"/>
      <c r="J820" s="25"/>
      <c r="K820" s="25"/>
      <c r="L820" s="25"/>
      <c r="M820" s="25"/>
    </row>
    <row r="821" spans="8:13" x14ac:dyDescent="0.2">
      <c r="H821" s="25"/>
      <c r="I821" s="25"/>
      <c r="J821" s="25"/>
      <c r="K821" s="25"/>
      <c r="L821" s="25"/>
      <c r="M821" s="25"/>
    </row>
    <row r="822" spans="8:13" x14ac:dyDescent="0.2">
      <c r="H822" s="25"/>
      <c r="I822" s="25"/>
      <c r="J822" s="25"/>
      <c r="K822" s="25"/>
      <c r="L822" s="25"/>
      <c r="M822" s="25"/>
    </row>
    <row r="823" spans="8:13" x14ac:dyDescent="0.2">
      <c r="H823" s="25"/>
      <c r="I823" s="25"/>
      <c r="J823" s="25"/>
      <c r="K823" s="25"/>
      <c r="L823" s="25"/>
      <c r="M823" s="25"/>
    </row>
    <row r="824" spans="8:13" x14ac:dyDescent="0.2">
      <c r="H824" s="25"/>
      <c r="I824" s="25"/>
      <c r="J824" s="25"/>
      <c r="K824" s="25"/>
      <c r="L824" s="25"/>
      <c r="M824" s="25"/>
    </row>
    <row r="825" spans="8:13" x14ac:dyDescent="0.2">
      <c r="H825" s="25"/>
      <c r="I825" s="25"/>
      <c r="J825" s="25"/>
      <c r="K825" s="25"/>
      <c r="L825" s="25"/>
      <c r="M825" s="25"/>
    </row>
    <row r="826" spans="8:13" x14ac:dyDescent="0.2">
      <c r="H826" s="25"/>
      <c r="I826" s="25"/>
      <c r="J826" s="25"/>
      <c r="K826" s="25"/>
      <c r="L826" s="25"/>
      <c r="M826" s="25"/>
    </row>
    <row r="827" spans="8:13" x14ac:dyDescent="0.2">
      <c r="H827" s="25"/>
      <c r="I827" s="25"/>
      <c r="J827" s="25"/>
      <c r="K827" s="25"/>
      <c r="L827" s="25"/>
      <c r="M827" s="25"/>
    </row>
    <row r="828" spans="8:13" x14ac:dyDescent="0.2">
      <c r="H828" s="25"/>
      <c r="I828" s="25"/>
      <c r="J828" s="25"/>
      <c r="K828" s="25"/>
      <c r="L828" s="25"/>
      <c r="M828" s="25"/>
    </row>
    <row r="829" spans="8:13" x14ac:dyDescent="0.2">
      <c r="H829" s="25"/>
      <c r="I829" s="25"/>
      <c r="J829" s="25"/>
      <c r="K829" s="25"/>
      <c r="L829" s="25"/>
      <c r="M829" s="25"/>
    </row>
    <row r="830" spans="8:13" x14ac:dyDescent="0.2">
      <c r="H830" s="25"/>
      <c r="I830" s="25"/>
      <c r="J830" s="25"/>
      <c r="K830" s="25"/>
      <c r="L830" s="25"/>
      <c r="M830" s="25"/>
    </row>
    <row r="831" spans="8:13" x14ac:dyDescent="0.2">
      <c r="H831" s="25"/>
      <c r="I831" s="25"/>
      <c r="J831" s="25"/>
      <c r="K831" s="25"/>
      <c r="L831" s="25"/>
      <c r="M831" s="25"/>
    </row>
    <row r="832" spans="8:13" x14ac:dyDescent="0.2">
      <c r="H832" s="25"/>
      <c r="I832" s="25"/>
      <c r="J832" s="25"/>
      <c r="K832" s="25"/>
      <c r="L832" s="25"/>
      <c r="M832" s="25"/>
    </row>
    <row r="833" spans="8:13" x14ac:dyDescent="0.2">
      <c r="H833" s="25"/>
      <c r="I833" s="25"/>
      <c r="J833" s="25"/>
      <c r="K833" s="25"/>
      <c r="L833" s="25"/>
      <c r="M833" s="25"/>
    </row>
    <row r="834" spans="8:13" x14ac:dyDescent="0.2">
      <c r="H834" s="25"/>
      <c r="I834" s="25"/>
      <c r="J834" s="25"/>
      <c r="K834" s="25"/>
      <c r="L834" s="25"/>
      <c r="M834" s="25"/>
    </row>
    <row r="835" spans="8:13" x14ac:dyDescent="0.2">
      <c r="H835" s="25"/>
      <c r="I835" s="25"/>
      <c r="J835" s="25"/>
      <c r="K835" s="25"/>
      <c r="L835" s="25"/>
      <c r="M835" s="25"/>
    </row>
    <row r="836" spans="8:13" x14ac:dyDescent="0.2">
      <c r="H836" s="25"/>
      <c r="I836" s="25"/>
      <c r="J836" s="25"/>
      <c r="K836" s="25"/>
      <c r="L836" s="25"/>
      <c r="M836" s="25"/>
    </row>
    <row r="837" spans="8:13" x14ac:dyDescent="0.2">
      <c r="H837" s="25"/>
      <c r="I837" s="25"/>
      <c r="J837" s="25"/>
      <c r="K837" s="25"/>
      <c r="L837" s="25"/>
      <c r="M837" s="25"/>
    </row>
    <row r="838" spans="8:13" x14ac:dyDescent="0.2">
      <c r="H838" s="25"/>
      <c r="I838" s="25"/>
      <c r="J838" s="25"/>
      <c r="K838" s="25"/>
      <c r="L838" s="25"/>
      <c r="M838" s="25"/>
    </row>
    <row r="839" spans="8:13" x14ac:dyDescent="0.2">
      <c r="H839" s="25"/>
      <c r="I839" s="25"/>
      <c r="J839" s="25"/>
      <c r="K839" s="25"/>
      <c r="L839" s="25"/>
      <c r="M839" s="25"/>
    </row>
    <row r="840" spans="8:13" x14ac:dyDescent="0.2">
      <c r="H840" s="25"/>
      <c r="I840" s="25"/>
      <c r="J840" s="25"/>
      <c r="K840" s="25"/>
      <c r="L840" s="25"/>
      <c r="M840" s="25"/>
    </row>
    <row r="841" spans="8:13" x14ac:dyDescent="0.2">
      <c r="H841" s="25"/>
      <c r="I841" s="25"/>
      <c r="J841" s="25"/>
      <c r="K841" s="25"/>
      <c r="L841" s="25"/>
      <c r="M841" s="25"/>
    </row>
    <row r="842" spans="8:13" x14ac:dyDescent="0.2">
      <c r="H842" s="25"/>
      <c r="I842" s="25"/>
      <c r="J842" s="25"/>
      <c r="K842" s="25"/>
      <c r="L842" s="25"/>
      <c r="M842" s="25"/>
    </row>
    <row r="843" spans="8:13" x14ac:dyDescent="0.2">
      <c r="H843" s="25"/>
      <c r="I843" s="25"/>
      <c r="J843" s="25"/>
      <c r="K843" s="25"/>
      <c r="L843" s="25"/>
      <c r="M843" s="25"/>
    </row>
    <row r="844" spans="8:13" x14ac:dyDescent="0.2">
      <c r="H844" s="25"/>
      <c r="I844" s="25"/>
      <c r="J844" s="25"/>
      <c r="K844" s="25"/>
      <c r="L844" s="25"/>
      <c r="M844" s="25"/>
    </row>
    <row r="845" spans="8:13" x14ac:dyDescent="0.2">
      <c r="H845" s="25"/>
      <c r="I845" s="25"/>
      <c r="J845" s="25"/>
      <c r="K845" s="25"/>
      <c r="L845" s="25"/>
      <c r="M845" s="25"/>
    </row>
    <row r="846" spans="8:13" x14ac:dyDescent="0.2">
      <c r="H846" s="25"/>
      <c r="I846" s="25"/>
      <c r="J846" s="25"/>
      <c r="K846" s="25"/>
      <c r="L846" s="25"/>
      <c r="M846" s="25"/>
    </row>
    <row r="847" spans="8:13" x14ac:dyDescent="0.2">
      <c r="H847" s="25"/>
      <c r="I847" s="25"/>
      <c r="J847" s="25"/>
      <c r="K847" s="25"/>
      <c r="L847" s="25"/>
      <c r="M847" s="25"/>
    </row>
    <row r="848" spans="8:13" x14ac:dyDescent="0.2">
      <c r="H848" s="25"/>
      <c r="I848" s="25"/>
      <c r="J848" s="25"/>
      <c r="K848" s="25"/>
      <c r="L848" s="25"/>
      <c r="M848" s="25"/>
    </row>
    <row r="849" spans="8:13" x14ac:dyDescent="0.2">
      <c r="H849" s="25"/>
      <c r="I849" s="25"/>
      <c r="J849" s="25"/>
      <c r="K849" s="25"/>
      <c r="L849" s="25"/>
      <c r="M849" s="25"/>
    </row>
    <row r="850" spans="8:13" x14ac:dyDescent="0.2">
      <c r="H850" s="25"/>
      <c r="I850" s="25"/>
      <c r="J850" s="25"/>
      <c r="K850" s="25"/>
      <c r="L850" s="25"/>
      <c r="M850" s="25"/>
    </row>
    <row r="851" spans="8:13" x14ac:dyDescent="0.2">
      <c r="H851" s="25"/>
      <c r="I851" s="25"/>
      <c r="J851" s="25"/>
      <c r="K851" s="25"/>
      <c r="L851" s="25"/>
      <c r="M851" s="25"/>
    </row>
    <row r="852" spans="8:13" x14ac:dyDescent="0.2">
      <c r="H852" s="25"/>
      <c r="I852" s="25"/>
      <c r="J852" s="25"/>
      <c r="K852" s="25"/>
      <c r="L852" s="25"/>
      <c r="M852" s="25"/>
    </row>
    <row r="853" spans="8:13" x14ac:dyDescent="0.2">
      <c r="H853" s="25"/>
      <c r="I853" s="25"/>
      <c r="J853" s="25"/>
      <c r="K853" s="25"/>
      <c r="L853" s="25"/>
      <c r="M853" s="25"/>
    </row>
    <row r="854" spans="8:13" x14ac:dyDescent="0.2">
      <c r="H854" s="25"/>
      <c r="I854" s="25"/>
      <c r="J854" s="25"/>
      <c r="K854" s="25"/>
      <c r="L854" s="25"/>
      <c r="M854" s="25"/>
    </row>
    <row r="855" spans="8:13" x14ac:dyDescent="0.2">
      <c r="H855" s="25"/>
      <c r="I855" s="25"/>
      <c r="J855" s="25"/>
      <c r="K855" s="25"/>
      <c r="L855" s="25"/>
      <c r="M855" s="25"/>
    </row>
    <row r="856" spans="8:13" x14ac:dyDescent="0.2">
      <c r="H856" s="25"/>
      <c r="I856" s="25"/>
      <c r="J856" s="25"/>
      <c r="K856" s="25"/>
      <c r="L856" s="25"/>
      <c r="M856" s="25"/>
    </row>
    <row r="857" spans="8:13" x14ac:dyDescent="0.2">
      <c r="H857" s="25"/>
      <c r="I857" s="25"/>
      <c r="J857" s="25"/>
      <c r="K857" s="25"/>
      <c r="L857" s="25"/>
      <c r="M857" s="25"/>
    </row>
    <row r="858" spans="8:13" x14ac:dyDescent="0.2">
      <c r="H858" s="25"/>
      <c r="I858" s="25"/>
      <c r="J858" s="25"/>
      <c r="K858" s="25"/>
      <c r="L858" s="25"/>
      <c r="M858" s="25"/>
    </row>
    <row r="859" spans="8:13" x14ac:dyDescent="0.2">
      <c r="H859" s="25"/>
      <c r="I859" s="25"/>
      <c r="J859" s="25"/>
      <c r="K859" s="25"/>
      <c r="L859" s="25"/>
      <c r="M859" s="25"/>
    </row>
    <row r="860" spans="8:13" x14ac:dyDescent="0.2">
      <c r="H860" s="25"/>
      <c r="I860" s="25"/>
      <c r="J860" s="25"/>
      <c r="K860" s="25"/>
      <c r="L860" s="25"/>
      <c r="M860" s="25"/>
    </row>
    <row r="861" spans="8:13" x14ac:dyDescent="0.2">
      <c r="H861" s="25"/>
      <c r="I861" s="25"/>
      <c r="J861" s="25"/>
      <c r="K861" s="25"/>
      <c r="L861" s="25"/>
      <c r="M861" s="25"/>
    </row>
    <row r="862" spans="8:13" x14ac:dyDescent="0.2">
      <c r="H862" s="25"/>
      <c r="I862" s="25"/>
      <c r="J862" s="25"/>
      <c r="K862" s="25"/>
      <c r="L862" s="25"/>
      <c r="M862" s="25"/>
    </row>
    <row r="863" spans="8:13" x14ac:dyDescent="0.2">
      <c r="H863" s="25"/>
      <c r="I863" s="25"/>
      <c r="J863" s="25"/>
      <c r="K863" s="25"/>
      <c r="L863" s="25"/>
      <c r="M863" s="25"/>
    </row>
    <row r="864" spans="8:13" x14ac:dyDescent="0.2">
      <c r="H864" s="25"/>
      <c r="I864" s="25"/>
      <c r="J864" s="25"/>
      <c r="K864" s="25"/>
      <c r="L864" s="25"/>
      <c r="M864" s="25"/>
    </row>
    <row r="865" spans="8:13" x14ac:dyDescent="0.2">
      <c r="H865" s="25"/>
      <c r="I865" s="25"/>
      <c r="J865" s="25"/>
      <c r="K865" s="25"/>
      <c r="L865" s="25"/>
      <c r="M865" s="25"/>
    </row>
    <row r="866" spans="8:13" x14ac:dyDescent="0.2">
      <c r="H866" s="25"/>
      <c r="I866" s="25"/>
      <c r="J866" s="25"/>
      <c r="K866" s="25"/>
      <c r="L866" s="25"/>
      <c r="M866" s="25"/>
    </row>
    <row r="867" spans="8:13" x14ac:dyDescent="0.2">
      <c r="H867" s="25"/>
      <c r="I867" s="25"/>
      <c r="J867" s="25"/>
      <c r="K867" s="25"/>
      <c r="L867" s="25"/>
      <c r="M867" s="25"/>
    </row>
    <row r="868" spans="8:13" x14ac:dyDescent="0.2">
      <c r="H868" s="25"/>
      <c r="I868" s="25"/>
      <c r="J868" s="25"/>
      <c r="K868" s="25"/>
      <c r="L868" s="25"/>
      <c r="M868" s="25"/>
    </row>
    <row r="869" spans="8:13" x14ac:dyDescent="0.2">
      <c r="H869" s="25"/>
      <c r="I869" s="25"/>
      <c r="J869" s="25"/>
      <c r="K869" s="25"/>
      <c r="L869" s="25"/>
      <c r="M869" s="25"/>
    </row>
    <row r="870" spans="8:13" x14ac:dyDescent="0.2">
      <c r="H870" s="25"/>
      <c r="I870" s="25"/>
      <c r="J870" s="25"/>
      <c r="K870" s="25"/>
      <c r="L870" s="25"/>
      <c r="M870" s="25"/>
    </row>
    <row r="871" spans="8:13" x14ac:dyDescent="0.2">
      <c r="H871" s="25"/>
      <c r="I871" s="25"/>
      <c r="J871" s="25"/>
      <c r="K871" s="25"/>
      <c r="L871" s="25"/>
      <c r="M871" s="25"/>
    </row>
    <row r="872" spans="8:13" x14ac:dyDescent="0.2">
      <c r="H872" s="25"/>
      <c r="I872" s="25"/>
      <c r="J872" s="25"/>
      <c r="K872" s="25"/>
      <c r="L872" s="25"/>
      <c r="M872" s="25"/>
    </row>
    <row r="873" spans="8:13" x14ac:dyDescent="0.2">
      <c r="H873" s="25"/>
      <c r="I873" s="25"/>
      <c r="J873" s="25"/>
      <c r="K873" s="25"/>
      <c r="L873" s="25"/>
      <c r="M873" s="25"/>
    </row>
    <row r="874" spans="8:13" x14ac:dyDescent="0.2">
      <c r="H874" s="25"/>
      <c r="I874" s="25"/>
      <c r="J874" s="25"/>
      <c r="K874" s="25"/>
      <c r="L874" s="25"/>
      <c r="M874" s="25"/>
    </row>
    <row r="875" spans="8:13" x14ac:dyDescent="0.2">
      <c r="H875" s="25"/>
      <c r="I875" s="25"/>
      <c r="J875" s="25"/>
      <c r="K875" s="25"/>
      <c r="L875" s="25"/>
      <c r="M875" s="25"/>
    </row>
    <row r="876" spans="8:13" x14ac:dyDescent="0.2">
      <c r="H876" s="25"/>
      <c r="I876" s="25"/>
      <c r="J876" s="25"/>
      <c r="K876" s="25"/>
      <c r="L876" s="25"/>
      <c r="M876" s="25"/>
    </row>
    <row r="877" spans="8:13" x14ac:dyDescent="0.2">
      <c r="H877" s="25"/>
      <c r="I877" s="25"/>
      <c r="J877" s="25"/>
      <c r="K877" s="25"/>
      <c r="L877" s="25"/>
      <c r="M877" s="25"/>
    </row>
    <row r="878" spans="8:13" x14ac:dyDescent="0.2">
      <c r="H878" s="25"/>
      <c r="I878" s="25"/>
      <c r="J878" s="25"/>
      <c r="K878" s="25"/>
      <c r="L878" s="25"/>
      <c r="M878" s="25"/>
    </row>
    <row r="879" spans="8:13" x14ac:dyDescent="0.2">
      <c r="H879" s="25"/>
      <c r="I879" s="25"/>
      <c r="J879" s="25"/>
      <c r="K879" s="25"/>
      <c r="L879" s="25"/>
      <c r="M879" s="25"/>
    </row>
    <row r="880" spans="8:13" x14ac:dyDescent="0.2">
      <c r="H880" s="25"/>
      <c r="I880" s="25"/>
      <c r="J880" s="25"/>
      <c r="K880" s="25"/>
      <c r="L880" s="25"/>
      <c r="M880" s="25"/>
    </row>
    <row r="881" spans="8:13" x14ac:dyDescent="0.2">
      <c r="H881" s="25"/>
      <c r="I881" s="25"/>
      <c r="J881" s="25"/>
      <c r="K881" s="25"/>
      <c r="L881" s="25"/>
      <c r="M881" s="25"/>
    </row>
    <row r="882" spans="8:13" x14ac:dyDescent="0.2">
      <c r="H882" s="25"/>
      <c r="I882" s="25"/>
      <c r="J882" s="25"/>
      <c r="K882" s="25"/>
      <c r="L882" s="25"/>
      <c r="M882" s="25"/>
    </row>
    <row r="883" spans="8:13" x14ac:dyDescent="0.2">
      <c r="H883" s="25"/>
      <c r="I883" s="25"/>
      <c r="J883" s="25"/>
      <c r="K883" s="25"/>
      <c r="L883" s="25"/>
      <c r="M883" s="25"/>
    </row>
    <row r="884" spans="8:13" x14ac:dyDescent="0.2">
      <c r="H884" s="25"/>
      <c r="I884" s="25"/>
      <c r="J884" s="25"/>
      <c r="K884" s="25"/>
      <c r="L884" s="25"/>
      <c r="M884" s="25"/>
    </row>
    <row r="885" spans="8:13" x14ac:dyDescent="0.2">
      <c r="H885" s="25"/>
      <c r="I885" s="25"/>
      <c r="J885" s="25"/>
      <c r="K885" s="25"/>
      <c r="L885" s="25"/>
      <c r="M885" s="25"/>
    </row>
    <row r="886" spans="8:13" x14ac:dyDescent="0.2">
      <c r="H886" s="25"/>
      <c r="I886" s="25"/>
      <c r="J886" s="25"/>
      <c r="K886" s="25"/>
      <c r="L886" s="25"/>
      <c r="M886" s="25"/>
    </row>
    <row r="887" spans="8:13" x14ac:dyDescent="0.2">
      <c r="H887" s="25"/>
      <c r="I887" s="25"/>
      <c r="J887" s="25"/>
      <c r="K887" s="25"/>
      <c r="L887" s="25"/>
      <c r="M887" s="25"/>
    </row>
    <row r="888" spans="8:13" x14ac:dyDescent="0.2">
      <c r="H888" s="25"/>
      <c r="I888" s="25"/>
      <c r="J888" s="25"/>
      <c r="K888" s="25"/>
      <c r="L888" s="25"/>
      <c r="M888" s="25"/>
    </row>
    <row r="889" spans="8:13" x14ac:dyDescent="0.2">
      <c r="H889" s="25"/>
      <c r="I889" s="25"/>
      <c r="J889" s="25"/>
      <c r="K889" s="25"/>
      <c r="L889" s="25"/>
      <c r="M889" s="25"/>
    </row>
    <row r="890" spans="8:13" x14ac:dyDescent="0.2">
      <c r="H890" s="25"/>
      <c r="I890" s="25"/>
      <c r="J890" s="25"/>
      <c r="K890" s="25"/>
      <c r="L890" s="25"/>
      <c r="M890" s="25"/>
    </row>
    <row r="891" spans="8:13" x14ac:dyDescent="0.2">
      <c r="H891" s="25"/>
      <c r="I891" s="25"/>
      <c r="J891" s="25"/>
      <c r="K891" s="25"/>
      <c r="L891" s="25"/>
      <c r="M891" s="25"/>
    </row>
    <row r="892" spans="8:13" x14ac:dyDescent="0.2">
      <c r="H892" s="25"/>
      <c r="I892" s="25"/>
      <c r="J892" s="25"/>
      <c r="K892" s="25"/>
      <c r="L892" s="25"/>
      <c r="M892" s="25"/>
    </row>
    <row r="893" spans="8:13" x14ac:dyDescent="0.2">
      <c r="H893" s="25"/>
      <c r="I893" s="25"/>
      <c r="J893" s="25"/>
      <c r="K893" s="25"/>
      <c r="L893" s="25"/>
      <c r="M893" s="25"/>
    </row>
    <row r="894" spans="8:13" x14ac:dyDescent="0.2">
      <c r="H894" s="25"/>
      <c r="I894" s="25"/>
      <c r="J894" s="25"/>
      <c r="K894" s="25"/>
      <c r="L894" s="25"/>
      <c r="M894" s="25"/>
    </row>
    <row r="895" spans="8:13" x14ac:dyDescent="0.2">
      <c r="H895" s="25"/>
      <c r="I895" s="25"/>
      <c r="J895" s="25"/>
      <c r="K895" s="25"/>
      <c r="L895" s="25"/>
      <c r="M895" s="25"/>
    </row>
    <row r="896" spans="8:13" x14ac:dyDescent="0.2">
      <c r="H896" s="25"/>
      <c r="I896" s="25"/>
      <c r="J896" s="25"/>
      <c r="K896" s="25"/>
      <c r="L896" s="25"/>
      <c r="M896" s="25"/>
    </row>
    <row r="897" spans="8:13" x14ac:dyDescent="0.2">
      <c r="H897" s="25"/>
      <c r="I897" s="25"/>
      <c r="J897" s="25"/>
      <c r="K897" s="25"/>
      <c r="L897" s="25"/>
      <c r="M897" s="25"/>
    </row>
    <row r="898" spans="8:13" x14ac:dyDescent="0.2">
      <c r="H898" s="25"/>
      <c r="I898" s="25"/>
      <c r="J898" s="25"/>
      <c r="K898" s="25"/>
      <c r="L898" s="25"/>
      <c r="M898" s="25"/>
    </row>
    <row r="899" spans="8:13" x14ac:dyDescent="0.2">
      <c r="H899" s="25"/>
      <c r="I899" s="25"/>
      <c r="J899" s="25"/>
      <c r="K899" s="25"/>
      <c r="L899" s="25"/>
      <c r="M899" s="25"/>
    </row>
    <row r="900" spans="8:13" x14ac:dyDescent="0.2">
      <c r="H900" s="25"/>
      <c r="I900" s="25"/>
      <c r="J900" s="25"/>
      <c r="K900" s="25"/>
      <c r="L900" s="25"/>
      <c r="M900" s="25"/>
    </row>
    <row r="901" spans="8:13" x14ac:dyDescent="0.2">
      <c r="H901" s="25"/>
      <c r="I901" s="25"/>
      <c r="J901" s="25"/>
      <c r="K901" s="25"/>
      <c r="L901" s="25"/>
      <c r="M901" s="25"/>
    </row>
    <row r="902" spans="8:13" x14ac:dyDescent="0.2">
      <c r="H902" s="25"/>
      <c r="I902" s="25"/>
      <c r="J902" s="25"/>
      <c r="K902" s="25"/>
      <c r="L902" s="25"/>
      <c r="M902" s="25"/>
    </row>
    <row r="903" spans="8:13" x14ac:dyDescent="0.2">
      <c r="H903" s="25"/>
      <c r="I903" s="25"/>
      <c r="J903" s="25"/>
      <c r="K903" s="25"/>
      <c r="L903" s="25"/>
      <c r="M903" s="25"/>
    </row>
    <row r="904" spans="8:13" x14ac:dyDescent="0.2">
      <c r="H904" s="25"/>
      <c r="I904" s="25"/>
      <c r="J904" s="25"/>
      <c r="K904" s="25"/>
      <c r="L904" s="25"/>
      <c r="M904" s="25"/>
    </row>
    <row r="905" spans="8:13" x14ac:dyDescent="0.2">
      <c r="H905" s="25"/>
      <c r="I905" s="25"/>
      <c r="J905" s="25"/>
      <c r="K905" s="25"/>
      <c r="L905" s="25"/>
      <c r="M905" s="25"/>
    </row>
    <row r="906" spans="8:13" x14ac:dyDescent="0.2">
      <c r="H906" s="25"/>
      <c r="I906" s="25"/>
      <c r="J906" s="25"/>
      <c r="K906" s="25"/>
      <c r="L906" s="25"/>
      <c r="M906" s="25"/>
    </row>
    <row r="907" spans="8:13" x14ac:dyDescent="0.2">
      <c r="H907" s="25"/>
      <c r="I907" s="25"/>
      <c r="J907" s="25"/>
      <c r="K907" s="25"/>
      <c r="L907" s="25"/>
      <c r="M907" s="25"/>
    </row>
    <row r="908" spans="8:13" x14ac:dyDescent="0.2">
      <c r="H908" s="25"/>
      <c r="I908" s="25"/>
      <c r="J908" s="25"/>
      <c r="K908" s="25"/>
      <c r="L908" s="25"/>
      <c r="M908" s="25"/>
    </row>
    <row r="909" spans="8:13" x14ac:dyDescent="0.2">
      <c r="H909" s="25"/>
      <c r="I909" s="25"/>
      <c r="J909" s="25"/>
      <c r="K909" s="25"/>
      <c r="L909" s="25"/>
      <c r="M909" s="25"/>
    </row>
    <row r="910" spans="8:13" x14ac:dyDescent="0.2">
      <c r="H910" s="25"/>
      <c r="I910" s="25"/>
      <c r="J910" s="25"/>
      <c r="K910" s="25"/>
      <c r="L910" s="25"/>
      <c r="M910" s="25"/>
    </row>
    <row r="911" spans="8:13" x14ac:dyDescent="0.2">
      <c r="H911" s="25"/>
      <c r="I911" s="25"/>
      <c r="J911" s="25"/>
      <c r="K911" s="25"/>
      <c r="L911" s="25"/>
      <c r="M911" s="25"/>
    </row>
    <row r="912" spans="8:13" x14ac:dyDescent="0.2">
      <c r="H912" s="25"/>
      <c r="I912" s="25"/>
      <c r="J912" s="25"/>
      <c r="K912" s="25"/>
      <c r="L912" s="25"/>
      <c r="M912" s="25"/>
    </row>
    <row r="913" spans="8:13" x14ac:dyDescent="0.2">
      <c r="H913" s="25"/>
      <c r="I913" s="25"/>
      <c r="J913" s="25"/>
      <c r="K913" s="25"/>
      <c r="L913" s="25"/>
      <c r="M913" s="25"/>
    </row>
    <row r="914" spans="8:13" x14ac:dyDescent="0.2">
      <c r="H914" s="25"/>
      <c r="I914" s="25"/>
      <c r="J914" s="25"/>
      <c r="K914" s="25"/>
      <c r="L914" s="25"/>
      <c r="M914" s="25"/>
    </row>
    <row r="915" spans="8:13" x14ac:dyDescent="0.2">
      <c r="H915" s="25"/>
      <c r="I915" s="25"/>
      <c r="J915" s="25"/>
      <c r="K915" s="25"/>
      <c r="L915" s="25"/>
      <c r="M915" s="25"/>
    </row>
    <row r="916" spans="8:13" x14ac:dyDescent="0.2">
      <c r="H916" s="25"/>
      <c r="I916" s="25"/>
      <c r="J916" s="25"/>
      <c r="K916" s="25"/>
      <c r="L916" s="25"/>
      <c r="M916" s="25"/>
    </row>
    <row r="917" spans="8:13" x14ac:dyDescent="0.2">
      <c r="H917" s="25"/>
      <c r="I917" s="25"/>
      <c r="J917" s="25"/>
      <c r="K917" s="25"/>
      <c r="L917" s="25"/>
      <c r="M917" s="25"/>
    </row>
    <row r="918" spans="8:13" x14ac:dyDescent="0.2">
      <c r="H918" s="25"/>
      <c r="I918" s="25"/>
      <c r="J918" s="25"/>
      <c r="K918" s="25"/>
      <c r="L918" s="25"/>
      <c r="M918" s="25"/>
    </row>
    <row r="919" spans="8:13" x14ac:dyDescent="0.2">
      <c r="H919" s="25"/>
      <c r="I919" s="25"/>
      <c r="J919" s="25"/>
      <c r="K919" s="25"/>
      <c r="L919" s="25"/>
      <c r="M919" s="25"/>
    </row>
    <row r="920" spans="8:13" x14ac:dyDescent="0.2">
      <c r="H920" s="25"/>
      <c r="I920" s="25"/>
      <c r="J920" s="25"/>
      <c r="K920" s="25"/>
      <c r="L920" s="25"/>
      <c r="M920" s="25"/>
    </row>
    <row r="921" spans="8:13" x14ac:dyDescent="0.2">
      <c r="H921" s="25"/>
      <c r="I921" s="25"/>
      <c r="J921" s="25"/>
      <c r="K921" s="25"/>
      <c r="L921" s="25"/>
      <c r="M921" s="25"/>
    </row>
    <row r="922" spans="8:13" x14ac:dyDescent="0.2">
      <c r="H922" s="25"/>
      <c r="I922" s="25"/>
      <c r="J922" s="25"/>
      <c r="K922" s="25"/>
      <c r="L922" s="25"/>
      <c r="M922" s="25"/>
    </row>
    <row r="923" spans="8:13" x14ac:dyDescent="0.2">
      <c r="H923" s="25"/>
      <c r="I923" s="25"/>
      <c r="J923" s="25"/>
      <c r="K923" s="25"/>
      <c r="L923" s="25"/>
      <c r="M923" s="25"/>
    </row>
    <row r="924" spans="8:13" x14ac:dyDescent="0.2">
      <c r="H924" s="25"/>
      <c r="I924" s="25"/>
      <c r="J924" s="25"/>
      <c r="K924" s="25"/>
      <c r="L924" s="25"/>
      <c r="M924" s="25"/>
    </row>
    <row r="925" spans="8:13" x14ac:dyDescent="0.2">
      <c r="H925" s="25"/>
      <c r="I925" s="25"/>
      <c r="J925" s="25"/>
      <c r="K925" s="25"/>
      <c r="L925" s="25"/>
      <c r="M925" s="25"/>
    </row>
    <row r="926" spans="8:13" x14ac:dyDescent="0.2">
      <c r="H926" s="25"/>
      <c r="I926" s="25"/>
      <c r="J926" s="25"/>
      <c r="K926" s="25"/>
      <c r="L926" s="25"/>
      <c r="M926" s="25"/>
    </row>
    <row r="927" spans="8:13" x14ac:dyDescent="0.2">
      <c r="H927" s="25"/>
      <c r="I927" s="25"/>
      <c r="J927" s="25"/>
      <c r="K927" s="25"/>
      <c r="L927" s="25"/>
      <c r="M927" s="25"/>
    </row>
    <row r="928" spans="8:13" x14ac:dyDescent="0.2">
      <c r="H928" s="25"/>
      <c r="I928" s="25"/>
      <c r="J928" s="25"/>
      <c r="K928" s="25"/>
      <c r="L928" s="25"/>
      <c r="M928" s="25"/>
    </row>
    <row r="929" spans="8:13" x14ac:dyDescent="0.2">
      <c r="H929" s="25"/>
      <c r="I929" s="25"/>
      <c r="J929" s="25"/>
      <c r="K929" s="25"/>
      <c r="L929" s="25"/>
      <c r="M929" s="25"/>
    </row>
    <row r="930" spans="8:13" x14ac:dyDescent="0.2">
      <c r="H930" s="25"/>
      <c r="I930" s="25"/>
      <c r="J930" s="25"/>
      <c r="K930" s="25"/>
      <c r="L930" s="25"/>
      <c r="M930" s="25"/>
    </row>
    <row r="931" spans="8:13" x14ac:dyDescent="0.2">
      <c r="H931" s="25"/>
      <c r="I931" s="25"/>
      <c r="J931" s="25"/>
      <c r="K931" s="25"/>
      <c r="L931" s="25"/>
      <c r="M931" s="25"/>
    </row>
    <row r="932" spans="8:13" x14ac:dyDescent="0.2">
      <c r="H932" s="25"/>
      <c r="I932" s="25"/>
      <c r="J932" s="25"/>
      <c r="K932" s="25"/>
      <c r="L932" s="25"/>
      <c r="M932" s="25"/>
    </row>
    <row r="933" spans="8:13" x14ac:dyDescent="0.2">
      <c r="H933" s="25"/>
      <c r="I933" s="25"/>
      <c r="J933" s="25"/>
      <c r="K933" s="25"/>
      <c r="L933" s="25"/>
      <c r="M933" s="25"/>
    </row>
    <row r="934" spans="8:13" x14ac:dyDescent="0.2">
      <c r="H934" s="25"/>
      <c r="I934" s="25"/>
      <c r="J934" s="25"/>
      <c r="K934" s="25"/>
      <c r="L934" s="25"/>
      <c r="M934" s="25"/>
    </row>
    <row r="935" spans="8:13" x14ac:dyDescent="0.2">
      <c r="H935" s="25"/>
      <c r="I935" s="25"/>
      <c r="J935" s="25"/>
      <c r="K935" s="25"/>
      <c r="L935" s="25"/>
      <c r="M935" s="25"/>
    </row>
    <row r="936" spans="8:13" x14ac:dyDescent="0.2">
      <c r="H936" s="25"/>
      <c r="I936" s="25"/>
      <c r="J936" s="25"/>
      <c r="K936" s="25"/>
      <c r="L936" s="25"/>
      <c r="M936" s="25"/>
    </row>
    <row r="937" spans="8:13" x14ac:dyDescent="0.2">
      <c r="H937" s="25"/>
      <c r="I937" s="25"/>
      <c r="J937" s="25"/>
      <c r="K937" s="25"/>
      <c r="L937" s="25"/>
      <c r="M937" s="25"/>
    </row>
    <row r="938" spans="8:13" x14ac:dyDescent="0.2">
      <c r="H938" s="25"/>
      <c r="I938" s="25"/>
      <c r="J938" s="25"/>
      <c r="K938" s="25"/>
      <c r="L938" s="25"/>
      <c r="M938" s="25"/>
    </row>
    <row r="939" spans="8:13" x14ac:dyDescent="0.2">
      <c r="H939" s="25"/>
      <c r="I939" s="25"/>
      <c r="J939" s="25"/>
      <c r="K939" s="25"/>
      <c r="L939" s="25"/>
      <c r="M939" s="25"/>
    </row>
    <row r="940" spans="8:13" x14ac:dyDescent="0.2">
      <c r="H940" s="25"/>
      <c r="I940" s="25"/>
      <c r="J940" s="25"/>
      <c r="K940" s="25"/>
      <c r="L940" s="25"/>
      <c r="M940" s="25"/>
    </row>
    <row r="941" spans="8:13" x14ac:dyDescent="0.2">
      <c r="H941" s="25"/>
      <c r="I941" s="25"/>
      <c r="J941" s="25"/>
      <c r="K941" s="25"/>
      <c r="L941" s="25"/>
      <c r="M941" s="25"/>
    </row>
    <row r="942" spans="8:13" x14ac:dyDescent="0.2">
      <c r="H942" s="25"/>
      <c r="I942" s="25"/>
      <c r="J942" s="25"/>
      <c r="K942" s="25"/>
      <c r="L942" s="25"/>
      <c r="M942" s="25"/>
    </row>
    <row r="943" spans="8:13" x14ac:dyDescent="0.2">
      <c r="H943" s="25"/>
      <c r="I943" s="25"/>
      <c r="J943" s="25"/>
      <c r="K943" s="25"/>
      <c r="L943" s="25"/>
      <c r="M943" s="25"/>
    </row>
    <row r="944" spans="8:13" x14ac:dyDescent="0.2">
      <c r="H944" s="25"/>
      <c r="I944" s="25"/>
      <c r="J944" s="25"/>
      <c r="K944" s="25"/>
      <c r="L944" s="25"/>
      <c r="M944" s="25"/>
    </row>
    <row r="945" spans="8:13" x14ac:dyDescent="0.2">
      <c r="H945" s="25"/>
      <c r="I945" s="25"/>
      <c r="J945" s="25"/>
      <c r="K945" s="25"/>
      <c r="L945" s="25"/>
      <c r="M945" s="25"/>
    </row>
    <row r="946" spans="8:13" x14ac:dyDescent="0.2">
      <c r="H946" s="25"/>
      <c r="I946" s="25"/>
      <c r="J946" s="25"/>
      <c r="K946" s="25"/>
      <c r="L946" s="25"/>
      <c r="M946" s="25"/>
    </row>
    <row r="947" spans="8:13" x14ac:dyDescent="0.2">
      <c r="H947" s="25"/>
      <c r="I947" s="25"/>
      <c r="J947" s="25"/>
      <c r="K947" s="25"/>
      <c r="L947" s="25"/>
      <c r="M947" s="25"/>
    </row>
    <row r="948" spans="8:13" x14ac:dyDescent="0.2">
      <c r="H948" s="25"/>
      <c r="I948" s="25"/>
      <c r="J948" s="25"/>
      <c r="K948" s="25"/>
      <c r="L948" s="25"/>
      <c r="M948" s="25"/>
    </row>
    <row r="949" spans="8:13" x14ac:dyDescent="0.2">
      <c r="H949" s="25"/>
      <c r="I949" s="25"/>
      <c r="J949" s="25"/>
      <c r="K949" s="25"/>
      <c r="L949" s="25"/>
      <c r="M949" s="25"/>
    </row>
    <row r="950" spans="8:13" x14ac:dyDescent="0.2">
      <c r="H950" s="25"/>
      <c r="I950" s="25"/>
      <c r="J950" s="25"/>
      <c r="K950" s="25"/>
      <c r="L950" s="25"/>
      <c r="M950" s="25"/>
    </row>
    <row r="951" spans="8:13" x14ac:dyDescent="0.2">
      <c r="H951" s="25"/>
      <c r="I951" s="25"/>
      <c r="J951" s="25"/>
      <c r="K951" s="25"/>
      <c r="L951" s="25"/>
      <c r="M951" s="25"/>
    </row>
    <row r="952" spans="8:13" x14ac:dyDescent="0.2">
      <c r="H952" s="25"/>
      <c r="I952" s="25"/>
      <c r="J952" s="25"/>
      <c r="K952" s="25"/>
      <c r="L952" s="25"/>
      <c r="M952" s="25"/>
    </row>
    <row r="953" spans="8:13" x14ac:dyDescent="0.2">
      <c r="H953" s="25"/>
      <c r="I953" s="25"/>
      <c r="J953" s="25"/>
      <c r="K953" s="25"/>
      <c r="L953" s="25"/>
      <c r="M953" s="25"/>
    </row>
    <row r="954" spans="8:13" x14ac:dyDescent="0.2">
      <c r="H954" s="25"/>
      <c r="I954" s="25"/>
      <c r="J954" s="25"/>
      <c r="K954" s="25"/>
      <c r="L954" s="25"/>
      <c r="M954" s="25"/>
    </row>
    <row r="955" spans="8:13" x14ac:dyDescent="0.2">
      <c r="H955" s="25"/>
      <c r="I955" s="25"/>
      <c r="J955" s="25"/>
      <c r="K955" s="25"/>
      <c r="L955" s="25"/>
      <c r="M955" s="25"/>
    </row>
    <row r="956" spans="8:13" x14ac:dyDescent="0.2">
      <c r="H956" s="25"/>
      <c r="I956" s="25"/>
      <c r="J956" s="25"/>
      <c r="K956" s="25"/>
      <c r="L956" s="25"/>
      <c r="M956" s="25"/>
    </row>
    <row r="957" spans="8:13" x14ac:dyDescent="0.2">
      <c r="H957" s="25"/>
      <c r="I957" s="25"/>
      <c r="J957" s="25"/>
      <c r="K957" s="25"/>
      <c r="L957" s="25"/>
      <c r="M957" s="25"/>
    </row>
    <row r="958" spans="8:13" x14ac:dyDescent="0.2">
      <c r="H958" s="25"/>
      <c r="I958" s="25"/>
      <c r="J958" s="25"/>
      <c r="K958" s="25"/>
      <c r="L958" s="25"/>
      <c r="M958" s="25"/>
    </row>
    <row r="959" spans="8:13" x14ac:dyDescent="0.2">
      <c r="H959" s="25"/>
      <c r="I959" s="25"/>
      <c r="J959" s="25"/>
      <c r="K959" s="25"/>
      <c r="L959" s="25"/>
      <c r="M959" s="25"/>
    </row>
    <row r="960" spans="8:13" x14ac:dyDescent="0.2">
      <c r="H960" s="25"/>
      <c r="I960" s="25"/>
      <c r="J960" s="25"/>
      <c r="K960" s="25"/>
      <c r="L960" s="25"/>
      <c r="M960" s="25"/>
    </row>
    <row r="961" spans="8:13" x14ac:dyDescent="0.2">
      <c r="H961" s="25"/>
      <c r="I961" s="25"/>
      <c r="J961" s="25"/>
      <c r="K961" s="25"/>
      <c r="L961" s="25"/>
      <c r="M961" s="25"/>
    </row>
    <row r="962" spans="8:13" x14ac:dyDescent="0.2">
      <c r="H962" s="25"/>
      <c r="I962" s="25"/>
      <c r="J962" s="25"/>
      <c r="K962" s="25"/>
      <c r="L962" s="25"/>
      <c r="M962" s="25"/>
    </row>
    <row r="963" spans="8:13" x14ac:dyDescent="0.2">
      <c r="H963" s="25"/>
      <c r="I963" s="25"/>
      <c r="J963" s="25"/>
      <c r="K963" s="25"/>
      <c r="L963" s="25"/>
      <c r="M963" s="25"/>
    </row>
    <row r="964" spans="8:13" x14ac:dyDescent="0.2">
      <c r="H964" s="25"/>
      <c r="I964" s="25"/>
      <c r="J964" s="25"/>
      <c r="K964" s="25"/>
      <c r="L964" s="25"/>
      <c r="M964" s="25"/>
    </row>
    <row r="965" spans="8:13" x14ac:dyDescent="0.2">
      <c r="H965" s="25"/>
      <c r="I965" s="25"/>
      <c r="J965" s="25"/>
      <c r="K965" s="25"/>
      <c r="L965" s="25"/>
      <c r="M965" s="25"/>
    </row>
    <row r="966" spans="8:13" x14ac:dyDescent="0.2">
      <c r="H966" s="25"/>
      <c r="I966" s="25"/>
      <c r="J966" s="25"/>
      <c r="K966" s="25"/>
      <c r="L966" s="25"/>
      <c r="M966" s="25"/>
    </row>
    <row r="967" spans="8:13" x14ac:dyDescent="0.2">
      <c r="H967" s="25"/>
      <c r="I967" s="25"/>
      <c r="J967" s="25"/>
      <c r="K967" s="25"/>
      <c r="L967" s="25"/>
      <c r="M967" s="25"/>
    </row>
    <row r="968" spans="8:13" x14ac:dyDescent="0.2">
      <c r="H968" s="25"/>
      <c r="I968" s="25"/>
      <c r="J968" s="25"/>
      <c r="K968" s="25"/>
      <c r="L968" s="25"/>
      <c r="M968" s="25"/>
    </row>
    <row r="969" spans="8:13" x14ac:dyDescent="0.2">
      <c r="H969" s="25"/>
      <c r="I969" s="25"/>
      <c r="J969" s="25"/>
      <c r="K969" s="25"/>
      <c r="L969" s="25"/>
      <c r="M969" s="25"/>
    </row>
    <row r="970" spans="8:13" x14ac:dyDescent="0.2">
      <c r="H970" s="25"/>
      <c r="I970" s="25"/>
      <c r="J970" s="25"/>
      <c r="K970" s="25"/>
      <c r="L970" s="25"/>
      <c r="M970" s="25"/>
    </row>
    <row r="971" spans="8:13" x14ac:dyDescent="0.2">
      <c r="H971" s="25"/>
      <c r="I971" s="25"/>
      <c r="J971" s="25"/>
      <c r="K971" s="25"/>
      <c r="L971" s="25"/>
      <c r="M971" s="25"/>
    </row>
    <row r="972" spans="8:13" x14ac:dyDescent="0.2">
      <c r="H972" s="25"/>
      <c r="I972" s="25"/>
      <c r="J972" s="25"/>
      <c r="K972" s="25"/>
      <c r="L972" s="25"/>
      <c r="M972" s="25"/>
    </row>
    <row r="973" spans="8:13" x14ac:dyDescent="0.2">
      <c r="H973" s="25"/>
      <c r="I973" s="25"/>
      <c r="J973" s="25"/>
      <c r="K973" s="25"/>
      <c r="L973" s="25"/>
      <c r="M973" s="25"/>
    </row>
    <row r="974" spans="8:13" x14ac:dyDescent="0.2">
      <c r="H974" s="25"/>
      <c r="I974" s="25"/>
      <c r="J974" s="25"/>
      <c r="K974" s="25"/>
      <c r="L974" s="25"/>
      <c r="M974" s="25"/>
    </row>
    <row r="975" spans="8:13" x14ac:dyDescent="0.2">
      <c r="H975" s="25"/>
      <c r="I975" s="25"/>
      <c r="J975" s="25"/>
      <c r="K975" s="25"/>
      <c r="L975" s="25"/>
      <c r="M975" s="25"/>
    </row>
    <row r="976" spans="8:13" x14ac:dyDescent="0.2">
      <c r="H976" s="25"/>
      <c r="I976" s="25"/>
      <c r="J976" s="25"/>
      <c r="K976" s="25"/>
      <c r="L976" s="25"/>
      <c r="M976" s="25"/>
    </row>
    <row r="977" spans="8:13" x14ac:dyDescent="0.2">
      <c r="H977" s="25"/>
      <c r="I977" s="25"/>
      <c r="J977" s="25"/>
      <c r="K977" s="25"/>
      <c r="L977" s="25"/>
      <c r="M977" s="25"/>
    </row>
    <row r="978" spans="8:13" x14ac:dyDescent="0.2">
      <c r="H978" s="25"/>
      <c r="I978" s="25"/>
      <c r="J978" s="25"/>
      <c r="K978" s="25"/>
      <c r="L978" s="25"/>
      <c r="M978" s="25"/>
    </row>
    <row r="979" spans="8:13" x14ac:dyDescent="0.2">
      <c r="H979" s="25"/>
      <c r="I979" s="25"/>
      <c r="J979" s="25"/>
      <c r="K979" s="25"/>
      <c r="L979" s="25"/>
      <c r="M979" s="25"/>
    </row>
    <row r="980" spans="8:13" x14ac:dyDescent="0.2">
      <c r="H980" s="25"/>
      <c r="I980" s="25"/>
      <c r="J980" s="25"/>
      <c r="K980" s="25"/>
      <c r="L980" s="25"/>
      <c r="M980" s="25"/>
    </row>
    <row r="981" spans="8:13" x14ac:dyDescent="0.2">
      <c r="H981" s="25"/>
      <c r="I981" s="25"/>
      <c r="J981" s="25"/>
      <c r="K981" s="25"/>
      <c r="L981" s="25"/>
      <c r="M981" s="25"/>
    </row>
    <row r="982" spans="8:13" x14ac:dyDescent="0.2">
      <c r="H982" s="25"/>
      <c r="I982" s="25"/>
      <c r="J982" s="25"/>
      <c r="K982" s="25"/>
      <c r="L982" s="25"/>
      <c r="M982" s="25"/>
    </row>
    <row r="983" spans="8:13" x14ac:dyDescent="0.2">
      <c r="H983" s="25"/>
      <c r="I983" s="25"/>
      <c r="J983" s="25"/>
      <c r="K983" s="25"/>
      <c r="L983" s="25"/>
      <c r="M983" s="25"/>
    </row>
    <row r="984" spans="8:13" x14ac:dyDescent="0.2">
      <c r="H984" s="25"/>
      <c r="I984" s="25"/>
      <c r="J984" s="25"/>
      <c r="K984" s="25"/>
      <c r="L984" s="25"/>
      <c r="M984" s="25"/>
    </row>
    <row r="985" spans="8:13" x14ac:dyDescent="0.2">
      <c r="H985" s="25"/>
      <c r="I985" s="25"/>
      <c r="J985" s="25"/>
      <c r="K985" s="25"/>
      <c r="L985" s="25"/>
      <c r="M985" s="25"/>
    </row>
    <row r="986" spans="8:13" x14ac:dyDescent="0.2">
      <c r="H986" s="25"/>
      <c r="I986" s="25"/>
      <c r="J986" s="25"/>
      <c r="K986" s="25"/>
      <c r="L986" s="25"/>
      <c r="M986" s="25"/>
    </row>
    <row r="987" spans="8:13" x14ac:dyDescent="0.2">
      <c r="H987" s="25"/>
      <c r="I987" s="25"/>
      <c r="J987" s="25"/>
      <c r="K987" s="25"/>
      <c r="L987" s="25"/>
      <c r="M987" s="25"/>
    </row>
    <row r="988" spans="8:13" x14ac:dyDescent="0.2">
      <c r="H988" s="25"/>
      <c r="I988" s="25"/>
      <c r="J988" s="25"/>
      <c r="K988" s="25"/>
      <c r="L988" s="25"/>
      <c r="M988" s="25"/>
    </row>
    <row r="989" spans="8:13" x14ac:dyDescent="0.2">
      <c r="H989" s="25"/>
      <c r="I989" s="25"/>
      <c r="J989" s="25"/>
      <c r="K989" s="25"/>
      <c r="L989" s="25"/>
      <c r="M989" s="25"/>
    </row>
    <row r="990" spans="8:13" x14ac:dyDescent="0.2">
      <c r="H990" s="25"/>
      <c r="I990" s="25"/>
      <c r="J990" s="25"/>
      <c r="K990" s="25"/>
      <c r="L990" s="25"/>
      <c r="M990" s="25"/>
    </row>
    <row r="991" spans="8:13" x14ac:dyDescent="0.2">
      <c r="H991" s="25"/>
      <c r="I991" s="25"/>
      <c r="J991" s="25"/>
      <c r="K991" s="25"/>
      <c r="L991" s="25"/>
      <c r="M991" s="25"/>
    </row>
    <row r="992" spans="8:13" x14ac:dyDescent="0.2">
      <c r="H992" s="25"/>
      <c r="I992" s="25"/>
      <c r="J992" s="25"/>
      <c r="K992" s="25"/>
      <c r="L992" s="25"/>
      <c r="M992" s="25"/>
    </row>
    <row r="993" spans="8:13" x14ac:dyDescent="0.2">
      <c r="H993" s="25"/>
      <c r="I993" s="25"/>
      <c r="J993" s="25"/>
      <c r="K993" s="25"/>
      <c r="L993" s="25"/>
      <c r="M993" s="25"/>
    </row>
    <row r="994" spans="8:13" x14ac:dyDescent="0.2">
      <c r="H994" s="25"/>
      <c r="I994" s="25"/>
      <c r="J994" s="25"/>
      <c r="K994" s="25"/>
      <c r="L994" s="25"/>
      <c r="M994" s="25"/>
    </row>
    <row r="995" spans="8:13" x14ac:dyDescent="0.2">
      <c r="H995" s="25"/>
      <c r="I995" s="25"/>
      <c r="J995" s="25"/>
      <c r="K995" s="25"/>
      <c r="L995" s="25"/>
      <c r="M995" s="25"/>
    </row>
    <row r="996" spans="8:13" x14ac:dyDescent="0.2">
      <c r="H996" s="25"/>
      <c r="I996" s="25"/>
      <c r="J996" s="25"/>
      <c r="K996" s="25"/>
      <c r="L996" s="25"/>
      <c r="M996" s="25"/>
    </row>
    <row r="997" spans="8:13" x14ac:dyDescent="0.2">
      <c r="H997" s="25"/>
      <c r="I997" s="25"/>
      <c r="J997" s="25"/>
      <c r="K997" s="25"/>
      <c r="L997" s="25"/>
      <c r="M997" s="25"/>
    </row>
    <row r="998" spans="8:13" x14ac:dyDescent="0.2">
      <c r="H998" s="25"/>
      <c r="I998" s="25"/>
      <c r="J998" s="25"/>
      <c r="K998" s="25"/>
      <c r="L998" s="25"/>
      <c r="M998" s="25"/>
    </row>
    <row r="999" spans="8:13" x14ac:dyDescent="0.2">
      <c r="I999" s="25"/>
      <c r="J999" s="25"/>
    </row>
    <row r="1000" spans="8:13" x14ac:dyDescent="0.2">
      <c r="I1000" s="25"/>
      <c r="J1000" s="25"/>
    </row>
    <row r="1001" spans="8:13" x14ac:dyDescent="0.2">
      <c r="I1001" s="25"/>
      <c r="J1001" s="25"/>
    </row>
    <row r="1002" spans="8:13" x14ac:dyDescent="0.2">
      <c r="I1002" s="25"/>
      <c r="J1002" s="25"/>
    </row>
    <row r="1003" spans="8:13" x14ac:dyDescent="0.2">
      <c r="I1003" s="25"/>
      <c r="J1003" s="25"/>
    </row>
    <row r="1004" spans="8:13" x14ac:dyDescent="0.2">
      <c r="I1004" s="25"/>
      <c r="J1004" s="25"/>
    </row>
    <row r="1005" spans="8:13" x14ac:dyDescent="0.2">
      <c r="I1005" s="25"/>
      <c r="J1005" s="25"/>
    </row>
    <row r="1006" spans="8:13" x14ac:dyDescent="0.2">
      <c r="I1006" s="25"/>
      <c r="J1006" s="25"/>
    </row>
    <row r="1007" spans="8:13" x14ac:dyDescent="0.2">
      <c r="I1007" s="25"/>
      <c r="J1007" s="25"/>
    </row>
    <row r="1008" spans="8:13" x14ac:dyDescent="0.2">
      <c r="I1008" s="25"/>
      <c r="J1008" s="25"/>
    </row>
    <row r="1009" spans="9:10" x14ac:dyDescent="0.2">
      <c r="I1009" s="25"/>
      <c r="J1009" s="25"/>
    </row>
    <row r="1010" spans="9:10" x14ac:dyDescent="0.2">
      <c r="I1010" s="25"/>
      <c r="J1010" s="25"/>
    </row>
    <row r="1011" spans="9:10" x14ac:dyDescent="0.2">
      <c r="I1011" s="25"/>
      <c r="J1011" s="25"/>
    </row>
    <row r="1012" spans="9:10" x14ac:dyDescent="0.2">
      <c r="I1012" s="25"/>
      <c r="J1012" s="25"/>
    </row>
    <row r="1013" spans="9:10" x14ac:dyDescent="0.2">
      <c r="I1013" s="25"/>
      <c r="J1013" s="25"/>
    </row>
    <row r="1014" spans="9:10" x14ac:dyDescent="0.2">
      <c r="I1014" s="25"/>
      <c r="J1014" s="25"/>
    </row>
    <row r="1015" spans="9:10" x14ac:dyDescent="0.2">
      <c r="I1015" s="25"/>
      <c r="J1015" s="25"/>
    </row>
    <row r="1016" spans="9:10" x14ac:dyDescent="0.2">
      <c r="I1016" s="25"/>
      <c r="J1016" s="25"/>
    </row>
    <row r="1017" spans="9:10" x14ac:dyDescent="0.2">
      <c r="I1017" s="25"/>
      <c r="J1017" s="25"/>
    </row>
    <row r="1018" spans="9:10" x14ac:dyDescent="0.2">
      <c r="I1018" s="25"/>
      <c r="J1018" s="25"/>
    </row>
    <row r="1019" spans="9:10" x14ac:dyDescent="0.2">
      <c r="I1019" s="25"/>
      <c r="J1019" s="25"/>
    </row>
    <row r="1020" spans="9:10" x14ac:dyDescent="0.2">
      <c r="I1020" s="25"/>
      <c r="J1020" s="25"/>
    </row>
    <row r="1021" spans="9:10" x14ac:dyDescent="0.2">
      <c r="I1021" s="25"/>
      <c r="J1021" s="25"/>
    </row>
    <row r="1022" spans="9:10" x14ac:dyDescent="0.2">
      <c r="I1022" s="25"/>
      <c r="J1022" s="25"/>
    </row>
    <row r="1023" spans="9:10" x14ac:dyDescent="0.2">
      <c r="I1023" s="25"/>
      <c r="J1023" s="25"/>
    </row>
    <row r="1024" spans="9:10" x14ac:dyDescent="0.2">
      <c r="I1024" s="25"/>
      <c r="J1024" s="25"/>
    </row>
    <row r="1025" spans="9:10" x14ac:dyDescent="0.2">
      <c r="I1025" s="25"/>
      <c r="J1025" s="25"/>
    </row>
    <row r="1026" spans="9:10" x14ac:dyDescent="0.2">
      <c r="I1026" s="25"/>
      <c r="J1026" s="25"/>
    </row>
    <row r="1027" spans="9:10" x14ac:dyDescent="0.2">
      <c r="I1027" s="25"/>
      <c r="J1027" s="25"/>
    </row>
    <row r="1028" spans="9:10" x14ac:dyDescent="0.2">
      <c r="I1028" s="25"/>
      <c r="J1028" s="25"/>
    </row>
    <row r="1029" spans="9:10" x14ac:dyDescent="0.2">
      <c r="I1029" s="25"/>
      <c r="J1029" s="25"/>
    </row>
    <row r="1030" spans="9:10" x14ac:dyDescent="0.2">
      <c r="I1030" s="25"/>
      <c r="J1030" s="25"/>
    </row>
    <row r="1031" spans="9:10" x14ac:dyDescent="0.2">
      <c r="I1031" s="25"/>
      <c r="J1031" s="25"/>
    </row>
    <row r="1032" spans="9:10" x14ac:dyDescent="0.2">
      <c r="I1032" s="25"/>
      <c r="J1032" s="25"/>
    </row>
    <row r="1033" spans="9:10" x14ac:dyDescent="0.2">
      <c r="I1033" s="25"/>
      <c r="J1033" s="25"/>
    </row>
    <row r="1034" spans="9:10" x14ac:dyDescent="0.2">
      <c r="I1034" s="25"/>
      <c r="J1034" s="25"/>
    </row>
    <row r="1035" spans="9:10" x14ac:dyDescent="0.2">
      <c r="I1035" s="25"/>
      <c r="J1035" s="25"/>
    </row>
    <row r="1036" spans="9:10" x14ac:dyDescent="0.2">
      <c r="I1036" s="25"/>
      <c r="J1036" s="25"/>
    </row>
    <row r="1037" spans="9:10" x14ac:dyDescent="0.2">
      <c r="I1037" s="25"/>
      <c r="J1037" s="25"/>
    </row>
    <row r="1038" spans="9:10" x14ac:dyDescent="0.2">
      <c r="I1038" s="25"/>
      <c r="J1038" s="25"/>
    </row>
    <row r="1039" spans="9:10" x14ac:dyDescent="0.2">
      <c r="I1039" s="25"/>
      <c r="J1039" s="25"/>
    </row>
    <row r="1040" spans="9:10" x14ac:dyDescent="0.2">
      <c r="I1040" s="25"/>
      <c r="J1040" s="25"/>
    </row>
    <row r="1041" spans="9:10" x14ac:dyDescent="0.2">
      <c r="I1041" s="25"/>
      <c r="J1041" s="25"/>
    </row>
    <row r="1042" spans="9:10" x14ac:dyDescent="0.2">
      <c r="I1042" s="25"/>
      <c r="J1042" s="25"/>
    </row>
    <row r="1043" spans="9:10" x14ac:dyDescent="0.2">
      <c r="I1043" s="25"/>
      <c r="J1043" s="25"/>
    </row>
    <row r="1044" spans="9:10" x14ac:dyDescent="0.2">
      <c r="I1044" s="25"/>
      <c r="J1044" s="25"/>
    </row>
    <row r="1045" spans="9:10" x14ac:dyDescent="0.2">
      <c r="I1045" s="25"/>
      <c r="J1045" s="25"/>
    </row>
    <row r="1046" spans="9:10" x14ac:dyDescent="0.2">
      <c r="I1046" s="25"/>
      <c r="J1046" s="25"/>
    </row>
    <row r="1047" spans="9:10" x14ac:dyDescent="0.2">
      <c r="I1047" s="25"/>
      <c r="J1047" s="25"/>
    </row>
    <row r="1048" spans="9:10" x14ac:dyDescent="0.2">
      <c r="I1048" s="25"/>
      <c r="J1048" s="25"/>
    </row>
    <row r="1049" spans="9:10" x14ac:dyDescent="0.2">
      <c r="I1049" s="25"/>
      <c r="J1049" s="25"/>
    </row>
    <row r="1050" spans="9:10" x14ac:dyDescent="0.2">
      <c r="I1050" s="25"/>
      <c r="J1050" s="25"/>
    </row>
    <row r="1051" spans="9:10" x14ac:dyDescent="0.2">
      <c r="I1051" s="25"/>
      <c r="J1051" s="25"/>
    </row>
    <row r="1052" spans="9:10" x14ac:dyDescent="0.2">
      <c r="I1052" s="25"/>
      <c r="J1052" s="25"/>
    </row>
    <row r="1053" spans="9:10" x14ac:dyDescent="0.2">
      <c r="I1053" s="25"/>
      <c r="J1053" s="25"/>
    </row>
    <row r="1054" spans="9:10" x14ac:dyDescent="0.2">
      <c r="I1054" s="25"/>
      <c r="J1054" s="25"/>
    </row>
    <row r="1055" spans="9:10" x14ac:dyDescent="0.2">
      <c r="I1055" s="25"/>
      <c r="J1055" s="25"/>
    </row>
    <row r="1056" spans="9:10" x14ac:dyDescent="0.2">
      <c r="I1056" s="25"/>
      <c r="J1056" s="25"/>
    </row>
    <row r="1057" spans="9:10" x14ac:dyDescent="0.2">
      <c r="I1057" s="25"/>
      <c r="J1057" s="25"/>
    </row>
    <row r="1058" spans="9:10" x14ac:dyDescent="0.2">
      <c r="I1058" s="25"/>
      <c r="J1058" s="25"/>
    </row>
    <row r="1059" spans="9:10" x14ac:dyDescent="0.2">
      <c r="I1059" s="25"/>
      <c r="J1059" s="25"/>
    </row>
    <row r="1060" spans="9:10" x14ac:dyDescent="0.2">
      <c r="I1060" s="25"/>
      <c r="J1060" s="25"/>
    </row>
    <row r="1061" spans="9:10" x14ac:dyDescent="0.2">
      <c r="I1061" s="25"/>
      <c r="J1061" s="25"/>
    </row>
    <row r="1062" spans="9:10" x14ac:dyDescent="0.2">
      <c r="I1062" s="25"/>
      <c r="J1062" s="25"/>
    </row>
    <row r="1063" spans="9:10" x14ac:dyDescent="0.2">
      <c r="I1063" s="25"/>
      <c r="J1063" s="25"/>
    </row>
    <row r="1064" spans="9:10" x14ac:dyDescent="0.2">
      <c r="I1064" s="25"/>
      <c r="J1064" s="25"/>
    </row>
    <row r="1065" spans="9:10" x14ac:dyDescent="0.2">
      <c r="I1065" s="25"/>
      <c r="J1065" s="25"/>
    </row>
    <row r="1066" spans="9:10" x14ac:dyDescent="0.2">
      <c r="I1066" s="25"/>
      <c r="J1066" s="25"/>
    </row>
    <row r="1067" spans="9:10" x14ac:dyDescent="0.2">
      <c r="I1067" s="25"/>
      <c r="J1067" s="25"/>
    </row>
    <row r="1068" spans="9:10" x14ac:dyDescent="0.2">
      <c r="I1068" s="25"/>
      <c r="J1068" s="25"/>
    </row>
    <row r="1069" spans="9:10" x14ac:dyDescent="0.2">
      <c r="I1069" s="25"/>
      <c r="J1069" s="25"/>
    </row>
    <row r="1070" spans="9:10" x14ac:dyDescent="0.2">
      <c r="I1070" s="25"/>
      <c r="J1070" s="25"/>
    </row>
    <row r="1071" spans="9:10" x14ac:dyDescent="0.2">
      <c r="I1071" s="25"/>
      <c r="J1071" s="25"/>
    </row>
    <row r="1072" spans="9:10" x14ac:dyDescent="0.2">
      <c r="I1072" s="25"/>
      <c r="J1072" s="25"/>
    </row>
    <row r="1073" spans="9:10" x14ac:dyDescent="0.2">
      <c r="I1073" s="25"/>
      <c r="J1073" s="25"/>
    </row>
    <row r="1074" spans="9:10" x14ac:dyDescent="0.2">
      <c r="I1074" s="25"/>
      <c r="J1074" s="25"/>
    </row>
    <row r="1075" spans="9:10" x14ac:dyDescent="0.2">
      <c r="I1075" s="25"/>
      <c r="J1075" s="25"/>
    </row>
    <row r="1076" spans="9:10" x14ac:dyDescent="0.2">
      <c r="I1076" s="25"/>
      <c r="J1076" s="25"/>
    </row>
    <row r="1077" spans="9:10" x14ac:dyDescent="0.2">
      <c r="I1077" s="25"/>
      <c r="J1077" s="25"/>
    </row>
    <row r="1078" spans="9:10" x14ac:dyDescent="0.2">
      <c r="I1078" s="25"/>
      <c r="J1078" s="25"/>
    </row>
    <row r="1079" spans="9:10" x14ac:dyDescent="0.2">
      <c r="I1079" s="25"/>
      <c r="J1079" s="25"/>
    </row>
    <row r="1080" spans="9:10" x14ac:dyDescent="0.2">
      <c r="I1080" s="25"/>
      <c r="J1080" s="25"/>
    </row>
    <row r="1081" spans="9:10" x14ac:dyDescent="0.2">
      <c r="I1081" s="25"/>
      <c r="J1081" s="25"/>
    </row>
    <row r="1082" spans="9:10" x14ac:dyDescent="0.2">
      <c r="I1082" s="25"/>
      <c r="J1082" s="25"/>
    </row>
    <row r="1083" spans="9:10" x14ac:dyDescent="0.2">
      <c r="I1083" s="25"/>
      <c r="J1083" s="25"/>
    </row>
    <row r="1084" spans="9:10" x14ac:dyDescent="0.2">
      <c r="I1084" s="25"/>
      <c r="J1084" s="25"/>
    </row>
    <row r="1085" spans="9:10" x14ac:dyDescent="0.2">
      <c r="I1085" s="25"/>
      <c r="J1085" s="25"/>
    </row>
    <row r="1086" spans="9:10" x14ac:dyDescent="0.2">
      <c r="I1086" s="25"/>
      <c r="J1086" s="25"/>
    </row>
    <row r="1087" spans="9:10" x14ac:dyDescent="0.2">
      <c r="I1087" s="25"/>
      <c r="J1087" s="25"/>
    </row>
    <row r="1088" spans="9:10" x14ac:dyDescent="0.2">
      <c r="I1088" s="25"/>
      <c r="J1088" s="25"/>
    </row>
    <row r="1089" spans="9:10" x14ac:dyDescent="0.2">
      <c r="I1089" s="25"/>
      <c r="J1089" s="25"/>
    </row>
    <row r="1090" spans="9:10" x14ac:dyDescent="0.2">
      <c r="I1090" s="25"/>
      <c r="J1090" s="25"/>
    </row>
    <row r="1091" spans="9:10" x14ac:dyDescent="0.2">
      <c r="I1091" s="25"/>
      <c r="J1091" s="25"/>
    </row>
    <row r="1092" spans="9:10" x14ac:dyDescent="0.2">
      <c r="I1092" s="25"/>
      <c r="J1092" s="25"/>
    </row>
    <row r="1093" spans="9:10" x14ac:dyDescent="0.2">
      <c r="I1093" s="25"/>
      <c r="J1093" s="25"/>
    </row>
    <row r="1094" spans="9:10" x14ac:dyDescent="0.2">
      <c r="I1094" s="25"/>
      <c r="J1094" s="25"/>
    </row>
    <row r="1095" spans="9:10" x14ac:dyDescent="0.2">
      <c r="I1095" s="25"/>
      <c r="J1095" s="25"/>
    </row>
    <row r="1096" spans="9:10" x14ac:dyDescent="0.2">
      <c r="I1096" s="25"/>
      <c r="J1096" s="25"/>
    </row>
    <row r="1097" spans="9:10" x14ac:dyDescent="0.2">
      <c r="I1097" s="25"/>
      <c r="J1097" s="25"/>
    </row>
    <row r="1098" spans="9:10" x14ac:dyDescent="0.2">
      <c r="I1098" s="25"/>
      <c r="J1098" s="25"/>
    </row>
    <row r="1099" spans="9:10" x14ac:dyDescent="0.2">
      <c r="I1099" s="25"/>
      <c r="J1099" s="25"/>
    </row>
    <row r="1100" spans="9:10" x14ac:dyDescent="0.2">
      <c r="I1100" s="25"/>
      <c r="J1100" s="25"/>
    </row>
    <row r="1101" spans="9:10" x14ac:dyDescent="0.2">
      <c r="I1101" s="25"/>
      <c r="J1101" s="25"/>
    </row>
    <row r="1102" spans="9:10" x14ac:dyDescent="0.2">
      <c r="I1102" s="25"/>
      <c r="J1102" s="25"/>
    </row>
    <row r="1103" spans="9:10" x14ac:dyDescent="0.2">
      <c r="I1103" s="25"/>
      <c r="J1103" s="25"/>
    </row>
    <row r="1104" spans="9:10" x14ac:dyDescent="0.2">
      <c r="I1104" s="25"/>
      <c r="J1104" s="25"/>
    </row>
    <row r="1105" spans="9:10" x14ac:dyDescent="0.2">
      <c r="I1105" s="25"/>
      <c r="J1105" s="25"/>
    </row>
    <row r="1106" spans="9:10" x14ac:dyDescent="0.2">
      <c r="I1106" s="25"/>
      <c r="J1106" s="25"/>
    </row>
    <row r="1107" spans="9:10" x14ac:dyDescent="0.2">
      <c r="I1107" s="25"/>
      <c r="J1107" s="25"/>
    </row>
    <row r="1108" spans="9:10" x14ac:dyDescent="0.2">
      <c r="I1108" s="25"/>
      <c r="J1108" s="25"/>
    </row>
    <row r="1109" spans="9:10" x14ac:dyDescent="0.2">
      <c r="I1109" s="25"/>
      <c r="J1109" s="25"/>
    </row>
    <row r="1110" spans="9:10" x14ac:dyDescent="0.2">
      <c r="I1110" s="25"/>
      <c r="J1110" s="25"/>
    </row>
    <row r="1111" spans="9:10" x14ac:dyDescent="0.2">
      <c r="I1111" s="25"/>
      <c r="J1111" s="25"/>
    </row>
    <row r="1112" spans="9:10" x14ac:dyDescent="0.2">
      <c r="I1112" s="25"/>
      <c r="J1112" s="25"/>
    </row>
    <row r="1113" spans="9:10" x14ac:dyDescent="0.2">
      <c r="I1113" s="25"/>
      <c r="J1113" s="25"/>
    </row>
    <row r="1114" spans="9:10" x14ac:dyDescent="0.2">
      <c r="I1114" s="25"/>
      <c r="J1114" s="25"/>
    </row>
    <row r="1115" spans="9:10" x14ac:dyDescent="0.2">
      <c r="I1115" s="25"/>
      <c r="J1115" s="25"/>
    </row>
    <row r="1116" spans="9:10" x14ac:dyDescent="0.2">
      <c r="I1116" s="25"/>
      <c r="J1116" s="25"/>
    </row>
    <row r="1117" spans="9:10" x14ac:dyDescent="0.2">
      <c r="I1117" s="25"/>
      <c r="J1117" s="25"/>
    </row>
    <row r="1118" spans="9:10" x14ac:dyDescent="0.2">
      <c r="I1118" s="25"/>
      <c r="J1118" s="25"/>
    </row>
    <row r="1119" spans="9:10" x14ac:dyDescent="0.2">
      <c r="I1119" s="25"/>
      <c r="J1119" s="25"/>
    </row>
    <row r="1120" spans="9:10" x14ac:dyDescent="0.2">
      <c r="I1120" s="25"/>
      <c r="J1120" s="25"/>
    </row>
    <row r="1121" spans="9:10" x14ac:dyDescent="0.2">
      <c r="I1121" s="25"/>
      <c r="J1121" s="25"/>
    </row>
    <row r="1122" spans="9:10" x14ac:dyDescent="0.2">
      <c r="I1122" s="25"/>
      <c r="J1122" s="25"/>
    </row>
    <row r="1123" spans="9:10" x14ac:dyDescent="0.2">
      <c r="I1123" s="25"/>
      <c r="J1123" s="25"/>
    </row>
    <row r="1124" spans="9:10" x14ac:dyDescent="0.2">
      <c r="I1124" s="25"/>
      <c r="J1124" s="25"/>
    </row>
    <row r="1125" spans="9:10" x14ac:dyDescent="0.2">
      <c r="I1125" s="25"/>
      <c r="J1125" s="25"/>
    </row>
    <row r="1126" spans="9:10" x14ac:dyDescent="0.2">
      <c r="I1126" s="25"/>
      <c r="J1126" s="25"/>
    </row>
    <row r="1127" spans="9:10" x14ac:dyDescent="0.2">
      <c r="I1127" s="25"/>
      <c r="J1127" s="25"/>
    </row>
    <row r="1128" spans="9:10" x14ac:dyDescent="0.2">
      <c r="I1128" s="25"/>
      <c r="J1128" s="25"/>
    </row>
    <row r="1129" spans="9:10" x14ac:dyDescent="0.2">
      <c r="I1129" s="25"/>
      <c r="J1129" s="25"/>
    </row>
    <row r="1130" spans="9:10" x14ac:dyDescent="0.2">
      <c r="I1130" s="25"/>
      <c r="J1130" s="25"/>
    </row>
    <row r="1131" spans="9:10" x14ac:dyDescent="0.2">
      <c r="I1131" s="25"/>
      <c r="J1131" s="25"/>
    </row>
    <row r="1132" spans="9:10" x14ac:dyDescent="0.2">
      <c r="I1132" s="25"/>
      <c r="J1132" s="25"/>
    </row>
    <row r="1133" spans="9:10" x14ac:dyDescent="0.2">
      <c r="I1133" s="25"/>
      <c r="J1133" s="25"/>
    </row>
    <row r="1134" spans="9:10" x14ac:dyDescent="0.2">
      <c r="I1134" s="25"/>
      <c r="J1134" s="25"/>
    </row>
    <row r="1135" spans="9:10" x14ac:dyDescent="0.2">
      <c r="I1135" s="25"/>
      <c r="J1135" s="25"/>
    </row>
    <row r="1136" spans="9:10" x14ac:dyDescent="0.2">
      <c r="I1136" s="25"/>
      <c r="J1136" s="25"/>
    </row>
    <row r="1137" spans="9:10" x14ac:dyDescent="0.2">
      <c r="I1137" s="25"/>
      <c r="J1137" s="25"/>
    </row>
    <row r="1138" spans="9:10" x14ac:dyDescent="0.2">
      <c r="I1138" s="25"/>
      <c r="J1138" s="25"/>
    </row>
    <row r="1139" spans="9:10" x14ac:dyDescent="0.2">
      <c r="I1139" s="25"/>
      <c r="J1139" s="25"/>
    </row>
    <row r="1140" spans="9:10" x14ac:dyDescent="0.2">
      <c r="I1140" s="25"/>
      <c r="J1140" s="25"/>
    </row>
    <row r="1141" spans="9:10" x14ac:dyDescent="0.2">
      <c r="I1141" s="25"/>
      <c r="J1141" s="25"/>
    </row>
    <row r="1142" spans="9:10" x14ac:dyDescent="0.2">
      <c r="I1142" s="25"/>
      <c r="J1142" s="25"/>
    </row>
    <row r="1143" spans="9:10" x14ac:dyDescent="0.2">
      <c r="I1143" s="25"/>
      <c r="J1143" s="25"/>
    </row>
    <row r="1144" spans="9:10" x14ac:dyDescent="0.2">
      <c r="I1144" s="25"/>
      <c r="J1144" s="25"/>
    </row>
    <row r="1145" spans="9:10" x14ac:dyDescent="0.2">
      <c r="I1145" s="25"/>
      <c r="J1145" s="25"/>
    </row>
    <row r="1146" spans="9:10" x14ac:dyDescent="0.2">
      <c r="I1146" s="25"/>
      <c r="J1146" s="25"/>
    </row>
    <row r="1147" spans="9:10" x14ac:dyDescent="0.2">
      <c r="I1147" s="25"/>
      <c r="J1147" s="25"/>
    </row>
    <row r="1148" spans="9:10" x14ac:dyDescent="0.2">
      <c r="I1148" s="25"/>
      <c r="J1148" s="25"/>
    </row>
    <row r="1149" spans="9:10" x14ac:dyDescent="0.2">
      <c r="I1149" s="25"/>
      <c r="J1149" s="25"/>
    </row>
    <row r="1150" spans="9:10" x14ac:dyDescent="0.2">
      <c r="I1150" s="25"/>
      <c r="J1150" s="25"/>
    </row>
    <row r="1151" spans="9:10" x14ac:dyDescent="0.2">
      <c r="I1151" s="25"/>
      <c r="J1151" s="25"/>
    </row>
    <row r="1152" spans="9:10" x14ac:dyDescent="0.2">
      <c r="I1152" s="25"/>
      <c r="J1152" s="25"/>
    </row>
    <row r="1153" spans="9:10" x14ac:dyDescent="0.2">
      <c r="I1153" s="25"/>
      <c r="J1153" s="25"/>
    </row>
    <row r="1154" spans="9:10" x14ac:dyDescent="0.2">
      <c r="I1154" s="25"/>
      <c r="J1154" s="25"/>
    </row>
    <row r="1155" spans="9:10" x14ac:dyDescent="0.2">
      <c r="I1155" s="25"/>
      <c r="J1155" s="25"/>
    </row>
    <row r="1156" spans="9:10" x14ac:dyDescent="0.2">
      <c r="I1156" s="25"/>
      <c r="J1156" s="25"/>
    </row>
    <row r="1157" spans="9:10" x14ac:dyDescent="0.2">
      <c r="I1157" s="25"/>
      <c r="J1157" s="25"/>
    </row>
    <row r="1158" spans="9:10" x14ac:dyDescent="0.2">
      <c r="I1158" s="25"/>
      <c r="J1158" s="25"/>
    </row>
    <row r="1159" spans="9:10" x14ac:dyDescent="0.2">
      <c r="I1159" s="25"/>
      <c r="J1159" s="25"/>
    </row>
    <row r="1160" spans="9:10" x14ac:dyDescent="0.2">
      <c r="I1160" s="25"/>
      <c r="J1160" s="25"/>
    </row>
    <row r="1161" spans="9:10" x14ac:dyDescent="0.2">
      <c r="I1161" s="25"/>
      <c r="J1161" s="25"/>
    </row>
    <row r="1162" spans="9:10" x14ac:dyDescent="0.2">
      <c r="I1162" s="25"/>
      <c r="J1162" s="25"/>
    </row>
    <row r="1163" spans="9:10" x14ac:dyDescent="0.2">
      <c r="I1163" s="25"/>
      <c r="J1163" s="25"/>
    </row>
    <row r="1164" spans="9:10" x14ac:dyDescent="0.2">
      <c r="I1164" s="25"/>
      <c r="J1164" s="25"/>
    </row>
    <row r="1165" spans="9:10" x14ac:dyDescent="0.2">
      <c r="I1165" s="25"/>
      <c r="J1165" s="25"/>
    </row>
    <row r="1166" spans="9:10" x14ac:dyDescent="0.2">
      <c r="I1166" s="25"/>
      <c r="J1166" s="25"/>
    </row>
    <row r="1167" spans="9:10" x14ac:dyDescent="0.2">
      <c r="I1167" s="25"/>
      <c r="J1167" s="25"/>
    </row>
    <row r="1168" spans="9:10" x14ac:dyDescent="0.2">
      <c r="I1168" s="25"/>
      <c r="J1168" s="25"/>
    </row>
    <row r="1169" spans="9:10" x14ac:dyDescent="0.2">
      <c r="I1169" s="25"/>
      <c r="J1169" s="25"/>
    </row>
    <row r="1170" spans="9:10" x14ac:dyDescent="0.2">
      <c r="I1170" s="25"/>
      <c r="J1170" s="25"/>
    </row>
    <row r="1171" spans="9:10" x14ac:dyDescent="0.2">
      <c r="I1171" s="25"/>
      <c r="J1171" s="25"/>
    </row>
    <row r="1172" spans="9:10" x14ac:dyDescent="0.2">
      <c r="I1172" s="25"/>
      <c r="J1172" s="25"/>
    </row>
    <row r="1173" spans="9:10" x14ac:dyDescent="0.2">
      <c r="I1173" s="25"/>
      <c r="J1173" s="25"/>
    </row>
    <row r="1174" spans="9:10" x14ac:dyDescent="0.2">
      <c r="I1174" s="25"/>
      <c r="J1174" s="25"/>
    </row>
    <row r="1175" spans="9:10" x14ac:dyDescent="0.2">
      <c r="I1175" s="25"/>
      <c r="J1175" s="25"/>
    </row>
    <row r="1176" spans="9:10" x14ac:dyDescent="0.2">
      <c r="I1176" s="25"/>
      <c r="J1176" s="25"/>
    </row>
    <row r="1177" spans="9:10" x14ac:dyDescent="0.2">
      <c r="I1177" s="25"/>
      <c r="J1177" s="25"/>
    </row>
    <row r="1178" spans="9:10" x14ac:dyDescent="0.2">
      <c r="I1178" s="25"/>
      <c r="J1178" s="25"/>
    </row>
    <row r="1179" spans="9:10" x14ac:dyDescent="0.2">
      <c r="I1179" s="25"/>
      <c r="J1179" s="25"/>
    </row>
    <row r="1180" spans="9:10" x14ac:dyDescent="0.2">
      <c r="I1180" s="25"/>
      <c r="J1180" s="25"/>
    </row>
    <row r="1181" spans="9:10" x14ac:dyDescent="0.2">
      <c r="I1181" s="25"/>
      <c r="J1181" s="25"/>
    </row>
    <row r="1182" spans="9:10" x14ac:dyDescent="0.2">
      <c r="I1182" s="25"/>
      <c r="J1182" s="25"/>
    </row>
    <row r="1183" spans="9:10" x14ac:dyDescent="0.2">
      <c r="I1183" s="25"/>
      <c r="J1183" s="25"/>
    </row>
    <row r="1184" spans="9:10" x14ac:dyDescent="0.2">
      <c r="I1184" s="25"/>
      <c r="J1184" s="25"/>
    </row>
    <row r="1185" spans="9:10" x14ac:dyDescent="0.2">
      <c r="I1185" s="25"/>
      <c r="J1185" s="25"/>
    </row>
    <row r="1186" spans="9:10" x14ac:dyDescent="0.2">
      <c r="I1186" s="25"/>
      <c r="J1186" s="25"/>
    </row>
    <row r="1187" spans="9:10" x14ac:dyDescent="0.2">
      <c r="I1187" s="25"/>
      <c r="J1187" s="25"/>
    </row>
    <row r="1188" spans="9:10" x14ac:dyDescent="0.2">
      <c r="I1188" s="25"/>
      <c r="J1188" s="25"/>
    </row>
    <row r="1189" spans="9:10" x14ac:dyDescent="0.2">
      <c r="I1189" s="25"/>
      <c r="J1189" s="25"/>
    </row>
    <row r="1190" spans="9:10" x14ac:dyDescent="0.2">
      <c r="I1190" s="25"/>
      <c r="J1190" s="25"/>
    </row>
    <row r="1191" spans="9:10" x14ac:dyDescent="0.2">
      <c r="I1191" s="25"/>
      <c r="J1191" s="25"/>
    </row>
    <row r="1192" spans="9:10" x14ac:dyDescent="0.2">
      <c r="I1192" s="25"/>
      <c r="J1192" s="25"/>
    </row>
    <row r="1193" spans="9:10" x14ac:dyDescent="0.2">
      <c r="I1193" s="25"/>
      <c r="J1193" s="25"/>
    </row>
    <row r="1194" spans="9:10" x14ac:dyDescent="0.2">
      <c r="I1194" s="25"/>
      <c r="J1194" s="25"/>
    </row>
    <row r="1195" spans="9:10" x14ac:dyDescent="0.2">
      <c r="I1195" s="25"/>
      <c r="J1195" s="25"/>
    </row>
    <row r="1196" spans="9:10" x14ac:dyDescent="0.2">
      <c r="I1196" s="25"/>
      <c r="J1196" s="25"/>
    </row>
    <row r="1197" spans="9:10" x14ac:dyDescent="0.2">
      <c r="I1197" s="25"/>
      <c r="J1197" s="25"/>
    </row>
    <row r="1198" spans="9:10" x14ac:dyDescent="0.2">
      <c r="I1198" s="25"/>
      <c r="J1198" s="25"/>
    </row>
    <row r="1199" spans="9:10" x14ac:dyDescent="0.2">
      <c r="I1199" s="25"/>
      <c r="J1199" s="25"/>
    </row>
    <row r="1200" spans="9:10" x14ac:dyDescent="0.2">
      <c r="I1200" s="25"/>
      <c r="J1200" s="25"/>
    </row>
    <row r="1201" spans="9:10" x14ac:dyDescent="0.2">
      <c r="I1201" s="25"/>
      <c r="J1201" s="25"/>
    </row>
    <row r="1202" spans="9:10" x14ac:dyDescent="0.2">
      <c r="I1202" s="25"/>
      <c r="J1202" s="25"/>
    </row>
    <row r="1203" spans="9:10" x14ac:dyDescent="0.2">
      <c r="I1203" s="25"/>
      <c r="J1203" s="25"/>
    </row>
    <row r="1204" spans="9:10" x14ac:dyDescent="0.2">
      <c r="I1204" s="25"/>
      <c r="J1204" s="25"/>
    </row>
    <row r="1205" spans="9:10" x14ac:dyDescent="0.2">
      <c r="I1205" s="25"/>
      <c r="J1205" s="25"/>
    </row>
    <row r="1206" spans="9:10" x14ac:dyDescent="0.2">
      <c r="I1206" s="25"/>
      <c r="J1206" s="25"/>
    </row>
    <row r="1207" spans="9:10" x14ac:dyDescent="0.2">
      <c r="I1207" s="25"/>
      <c r="J1207" s="25"/>
    </row>
    <row r="1208" spans="9:10" x14ac:dyDescent="0.2">
      <c r="I1208" s="25"/>
      <c r="J1208" s="25"/>
    </row>
    <row r="1209" spans="9:10" x14ac:dyDescent="0.2">
      <c r="I1209" s="25"/>
      <c r="J1209" s="25"/>
    </row>
    <row r="1210" spans="9:10" x14ac:dyDescent="0.2">
      <c r="I1210" s="25"/>
      <c r="J1210" s="25"/>
    </row>
    <row r="1211" spans="9:10" x14ac:dyDescent="0.2">
      <c r="I1211" s="25"/>
      <c r="J1211" s="25"/>
    </row>
    <row r="1212" spans="9:10" x14ac:dyDescent="0.2">
      <c r="I1212" s="25"/>
      <c r="J1212" s="25"/>
    </row>
    <row r="1213" spans="9:10" x14ac:dyDescent="0.2">
      <c r="I1213" s="25"/>
      <c r="J1213" s="25"/>
    </row>
    <row r="1214" spans="9:10" x14ac:dyDescent="0.2">
      <c r="I1214" s="25"/>
      <c r="J1214" s="25"/>
    </row>
    <row r="1215" spans="9:10" x14ac:dyDescent="0.2">
      <c r="I1215" s="25"/>
      <c r="J1215" s="25"/>
    </row>
    <row r="1216" spans="9:10" x14ac:dyDescent="0.2">
      <c r="I1216" s="25"/>
      <c r="J1216" s="25"/>
    </row>
    <row r="1217" spans="9:10" x14ac:dyDescent="0.2">
      <c r="I1217" s="25"/>
      <c r="J1217" s="25"/>
    </row>
    <row r="1218" spans="9:10" x14ac:dyDescent="0.2">
      <c r="I1218" s="25"/>
      <c r="J1218" s="25"/>
    </row>
    <row r="1219" spans="9:10" x14ac:dyDescent="0.2">
      <c r="I1219" s="25"/>
      <c r="J1219" s="25"/>
    </row>
    <row r="1220" spans="9:10" x14ac:dyDescent="0.2">
      <c r="I1220" s="25"/>
      <c r="J1220" s="25"/>
    </row>
    <row r="1221" spans="9:10" x14ac:dyDescent="0.2">
      <c r="I1221" s="25"/>
      <c r="J1221" s="25"/>
    </row>
    <row r="1222" spans="9:10" x14ac:dyDescent="0.2">
      <c r="I1222" s="25"/>
      <c r="J1222" s="25"/>
    </row>
    <row r="1223" spans="9:10" x14ac:dyDescent="0.2">
      <c r="I1223" s="25"/>
      <c r="J1223" s="25"/>
    </row>
    <row r="1224" spans="9:10" x14ac:dyDescent="0.2">
      <c r="I1224" s="25"/>
      <c r="J1224" s="25"/>
    </row>
    <row r="1225" spans="9:10" x14ac:dyDescent="0.2">
      <c r="I1225" s="25"/>
      <c r="J1225" s="25"/>
    </row>
    <row r="1226" spans="9:10" x14ac:dyDescent="0.2">
      <c r="I1226" s="25"/>
      <c r="J1226" s="25"/>
    </row>
    <row r="1227" spans="9:10" x14ac:dyDescent="0.2">
      <c r="I1227" s="25"/>
      <c r="J1227" s="25"/>
    </row>
    <row r="1228" spans="9:10" x14ac:dyDescent="0.2">
      <c r="I1228" s="25"/>
      <c r="J1228" s="25"/>
    </row>
    <row r="1229" spans="9:10" x14ac:dyDescent="0.2">
      <c r="I1229" s="25"/>
      <c r="J1229" s="25"/>
    </row>
    <row r="1230" spans="9:10" x14ac:dyDescent="0.2">
      <c r="I1230" s="25"/>
      <c r="J1230" s="25"/>
    </row>
    <row r="1231" spans="9:10" x14ac:dyDescent="0.2">
      <c r="I1231" s="25"/>
      <c r="J1231" s="25"/>
    </row>
    <row r="1232" spans="9:10" x14ac:dyDescent="0.2">
      <c r="I1232" s="25"/>
      <c r="J1232" s="25"/>
    </row>
    <row r="1233" spans="9:10" x14ac:dyDescent="0.2">
      <c r="I1233" s="25"/>
      <c r="J1233" s="25"/>
    </row>
    <row r="1234" spans="9:10" x14ac:dyDescent="0.2">
      <c r="I1234" s="25"/>
      <c r="J1234" s="25"/>
    </row>
    <row r="1235" spans="9:10" x14ac:dyDescent="0.2">
      <c r="I1235" s="25"/>
      <c r="J1235" s="25"/>
    </row>
    <row r="1236" spans="9:10" x14ac:dyDescent="0.2">
      <c r="I1236" s="25"/>
      <c r="J1236" s="25"/>
    </row>
    <row r="1237" spans="9:10" x14ac:dyDescent="0.2">
      <c r="I1237" s="25"/>
      <c r="J1237" s="25"/>
    </row>
    <row r="1238" spans="9:10" x14ac:dyDescent="0.2">
      <c r="I1238" s="25"/>
      <c r="J1238" s="25"/>
    </row>
    <row r="1239" spans="9:10" x14ac:dyDescent="0.2">
      <c r="I1239" s="25"/>
      <c r="J1239" s="25"/>
    </row>
    <row r="1240" spans="9:10" x14ac:dyDescent="0.2">
      <c r="I1240" s="25"/>
      <c r="J1240" s="25"/>
    </row>
    <row r="1241" spans="9:10" x14ac:dyDescent="0.2">
      <c r="I1241" s="25"/>
      <c r="J1241" s="25"/>
    </row>
    <row r="1242" spans="9:10" x14ac:dyDescent="0.2">
      <c r="I1242" s="25"/>
      <c r="J1242" s="25"/>
    </row>
    <row r="1243" spans="9:10" x14ac:dyDescent="0.2">
      <c r="I1243" s="25"/>
      <c r="J1243" s="25"/>
    </row>
    <row r="1244" spans="9:10" x14ac:dyDescent="0.2">
      <c r="I1244" s="25"/>
      <c r="J1244" s="25"/>
    </row>
    <row r="1245" spans="9:10" x14ac:dyDescent="0.2">
      <c r="I1245" s="25"/>
      <c r="J1245" s="25"/>
    </row>
    <row r="1246" spans="9:10" x14ac:dyDescent="0.2">
      <c r="I1246" s="25"/>
      <c r="J1246" s="25"/>
    </row>
    <row r="1247" spans="9:10" x14ac:dyDescent="0.2">
      <c r="I1247" s="25"/>
      <c r="J1247" s="25"/>
    </row>
    <row r="1248" spans="9:10" x14ac:dyDescent="0.2">
      <c r="I1248" s="25"/>
      <c r="J1248" s="25"/>
    </row>
    <row r="1249" spans="9:10" x14ac:dyDescent="0.2">
      <c r="I1249" s="25"/>
      <c r="J1249" s="25"/>
    </row>
    <row r="1250" spans="9:10" x14ac:dyDescent="0.2">
      <c r="I1250" s="25"/>
      <c r="J1250" s="25"/>
    </row>
    <row r="1251" spans="9:10" x14ac:dyDescent="0.2">
      <c r="I1251" s="25"/>
      <c r="J1251" s="25"/>
    </row>
    <row r="1252" spans="9:10" x14ac:dyDescent="0.2">
      <c r="I1252" s="25"/>
      <c r="J1252" s="25"/>
    </row>
    <row r="1253" spans="9:10" x14ac:dyDescent="0.2">
      <c r="I1253" s="25"/>
      <c r="J1253" s="25"/>
    </row>
    <row r="1254" spans="9:10" x14ac:dyDescent="0.2">
      <c r="I1254" s="25"/>
      <c r="J1254" s="25"/>
    </row>
    <row r="1255" spans="9:10" x14ac:dyDescent="0.2">
      <c r="I1255" s="25"/>
      <c r="J1255" s="25"/>
    </row>
    <row r="1256" spans="9:10" x14ac:dyDescent="0.2">
      <c r="I1256" s="25"/>
      <c r="J1256" s="25"/>
    </row>
    <row r="1257" spans="9:10" x14ac:dyDescent="0.2">
      <c r="I1257" s="25"/>
      <c r="J1257" s="25"/>
    </row>
    <row r="1258" spans="9:10" x14ac:dyDescent="0.2">
      <c r="I1258" s="25"/>
      <c r="J1258" s="25"/>
    </row>
    <row r="1259" spans="9:10" x14ac:dyDescent="0.2">
      <c r="I1259" s="25"/>
      <c r="J1259" s="25"/>
    </row>
    <row r="1260" spans="9:10" x14ac:dyDescent="0.2">
      <c r="I1260" s="25"/>
      <c r="J1260" s="25"/>
    </row>
    <row r="1261" spans="9:10" x14ac:dyDescent="0.2">
      <c r="I1261" s="25"/>
      <c r="J1261" s="25"/>
    </row>
    <row r="1262" spans="9:10" x14ac:dyDescent="0.2">
      <c r="I1262" s="25"/>
      <c r="J1262" s="25"/>
    </row>
    <row r="1263" spans="9:10" x14ac:dyDescent="0.2">
      <c r="I1263" s="25"/>
      <c r="J1263" s="25"/>
    </row>
    <row r="1264" spans="9:10" x14ac:dyDescent="0.2">
      <c r="I1264" s="25"/>
      <c r="J1264" s="25"/>
    </row>
    <row r="1265" spans="1:10" x14ac:dyDescent="0.2">
      <c r="I1265" s="25"/>
      <c r="J1265" s="25"/>
    </row>
    <row r="1266" spans="1:10" x14ac:dyDescent="0.2">
      <c r="I1266" s="25"/>
      <c r="J1266" s="25"/>
    </row>
    <row r="1267" spans="1:10" x14ac:dyDescent="0.2">
      <c r="I1267" s="25"/>
      <c r="J1267" s="25"/>
    </row>
    <row r="1268" spans="1:10" x14ac:dyDescent="0.2">
      <c r="I1268" s="25"/>
      <c r="J1268" s="25"/>
    </row>
    <row r="1269" spans="1:10" x14ac:dyDescent="0.2">
      <c r="I1269" s="25"/>
      <c r="J1269" s="25"/>
    </row>
    <row r="1270" spans="1:10" x14ac:dyDescent="0.2">
      <c r="I1270" s="25"/>
      <c r="J1270" s="25"/>
    </row>
    <row r="1271" spans="1:10" x14ac:dyDescent="0.2">
      <c r="I1271" s="25"/>
      <c r="J1271" s="25"/>
    </row>
    <row r="1272" spans="1:10" x14ac:dyDescent="0.2">
      <c r="I1272" s="25"/>
      <c r="J1272" s="25"/>
    </row>
    <row r="1273" spans="1:10" x14ac:dyDescent="0.2">
      <c r="I1273" s="25"/>
      <c r="J1273" s="25"/>
    </row>
    <row r="1274" spans="1:10" x14ac:dyDescent="0.2">
      <c r="I1274" s="25"/>
      <c r="J1274" s="25"/>
    </row>
    <row r="1275" spans="1:10" x14ac:dyDescent="0.2">
      <c r="I1275" s="25"/>
      <c r="J1275" s="25"/>
    </row>
    <row r="1276" spans="1:10" x14ac:dyDescent="0.2">
      <c r="A1276" s="24"/>
    </row>
    <row r="1277" spans="1:10" x14ac:dyDescent="0.2">
      <c r="A1277" s="24">
        <v>45987</v>
      </c>
      <c r="B1277">
        <v>1</v>
      </c>
      <c r="C1277" t="s">
        <v>90</v>
      </c>
      <c r="D1277">
        <v>5</v>
      </c>
      <c r="E1277">
        <v>5.5</v>
      </c>
      <c r="F1277" t="s">
        <v>18</v>
      </c>
    </row>
    <row r="1278" spans="1:10" x14ac:dyDescent="0.2">
      <c r="A1278" s="24">
        <v>45987</v>
      </c>
      <c r="B1278">
        <v>1</v>
      </c>
      <c r="C1278" t="s">
        <v>90</v>
      </c>
      <c r="D1278">
        <v>2</v>
      </c>
      <c r="E1278">
        <v>2</v>
      </c>
      <c r="F1278" t="s">
        <v>18</v>
      </c>
    </row>
    <row r="1279" spans="1:10" x14ac:dyDescent="0.2">
      <c r="A1279" s="24">
        <v>45987</v>
      </c>
      <c r="B1279">
        <v>2</v>
      </c>
      <c r="C1279" t="s">
        <v>185</v>
      </c>
      <c r="D1279">
        <v>500</v>
      </c>
      <c r="E1279">
        <v>48.28</v>
      </c>
      <c r="F1279" t="s">
        <v>18</v>
      </c>
    </row>
    <row r="1280" spans="1:10" x14ac:dyDescent="0.2">
      <c r="A1280" s="24">
        <v>45987</v>
      </c>
      <c r="B1280">
        <v>1</v>
      </c>
      <c r="C1280" t="s">
        <v>185</v>
      </c>
      <c r="D1280">
        <v>500</v>
      </c>
      <c r="E1280">
        <v>48.28</v>
      </c>
      <c r="F1280" t="s">
        <v>18</v>
      </c>
    </row>
    <row r="1281" spans="1:6" x14ac:dyDescent="0.2">
      <c r="A1281" s="24">
        <v>45987</v>
      </c>
      <c r="B1281">
        <v>1</v>
      </c>
      <c r="C1281" t="s">
        <v>185</v>
      </c>
      <c r="D1281">
        <v>500</v>
      </c>
      <c r="E1281">
        <v>48.28</v>
      </c>
      <c r="F1281" t="s">
        <v>18</v>
      </c>
    </row>
    <row r="1282" spans="1:6" x14ac:dyDescent="0.2">
      <c r="A1282" s="24">
        <v>45987</v>
      </c>
      <c r="B1282">
        <v>1</v>
      </c>
      <c r="C1282" t="s">
        <v>185</v>
      </c>
      <c r="D1282">
        <v>500</v>
      </c>
      <c r="E1282">
        <v>48.28</v>
      </c>
      <c r="F1282" t="s">
        <v>18</v>
      </c>
    </row>
    <row r="1283" spans="1:6" x14ac:dyDescent="0.2">
      <c r="A1283" s="24">
        <v>45987</v>
      </c>
      <c r="B1283">
        <v>1</v>
      </c>
      <c r="C1283" t="s">
        <v>185</v>
      </c>
      <c r="D1283">
        <v>500</v>
      </c>
      <c r="E1283">
        <v>48.28</v>
      </c>
      <c r="F1283" t="s">
        <v>18</v>
      </c>
    </row>
    <row r="1284" spans="1:6" x14ac:dyDescent="0.2">
      <c r="A1284" s="24">
        <v>45987</v>
      </c>
      <c r="B1284">
        <v>1</v>
      </c>
      <c r="C1284" t="s">
        <v>185</v>
      </c>
      <c r="D1284">
        <v>500</v>
      </c>
      <c r="E1284">
        <v>48.28</v>
      </c>
      <c r="F1284" t="s">
        <v>18</v>
      </c>
    </row>
    <row r="1285" spans="1:6" x14ac:dyDescent="0.2">
      <c r="A1285" s="24">
        <v>45987</v>
      </c>
      <c r="B1285">
        <v>1</v>
      </c>
      <c r="C1285" t="s">
        <v>185</v>
      </c>
      <c r="D1285">
        <v>500</v>
      </c>
      <c r="E1285">
        <v>48.28</v>
      </c>
      <c r="F1285" t="s">
        <v>18</v>
      </c>
    </row>
  </sheetData>
  <dataValidations count="3">
    <dataValidation type="whole" allowBlank="1" showInputMessage="1" showErrorMessage="1" sqref="D2:D20 D29 D50:D60 D66 D69:D78 D90:D99 D101:D112 D123:D124 D131:D137 D144:D149 D154:D158 D167 D169:D173" xr:uid="{00000000-0002-0000-0000-000000000000}">
      <formula1>1</formula1>
      <formula2>10000000</formula2>
    </dataValidation>
    <dataValidation type="date" allowBlank="1" showInputMessage="1" showErrorMessage="1" sqref="A2:A20 A29 A50:A60 A66 A69:A78 A90:A96 A98:A99 A101:A112 A123:A124 A131:A137 A144:A149 A154:A158 A167 A169:A173" xr:uid="{00000000-0002-0000-0000-000001000000}">
      <formula1>45658</formula1>
      <formula2>46022</formula2>
    </dataValidation>
    <dataValidation type="decimal" allowBlank="1" showInputMessage="1" showErrorMessage="1" sqref="E2:E20 E29 E50:E60 E66 E69:E78 E90:E99 E101:E112 E123:E124 E131:E137 E144:E149 E154:E158 E167 E169:E173" xr:uid="{00000000-0002-0000-0000-000002000000}">
      <formula1>-2000</formula1>
      <formula2>2000</formula2>
    </dataValidation>
  </dataValidations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74"/>
  <sheetViews>
    <sheetView topLeftCell="A35" zoomScale="160" zoomScaleNormal="160" workbookViewId="0">
      <selection activeCell="A48" sqref="A48:XFD48"/>
    </sheetView>
  </sheetViews>
  <sheetFormatPr baseColWidth="10" defaultRowHeight="15" x14ac:dyDescent="0.2"/>
  <cols>
    <col min="2" max="2" width="27.1640625" bestFit="1" customWidth="1"/>
  </cols>
  <sheetData>
    <row r="1" spans="1:4" x14ac:dyDescent="0.2">
      <c r="A1" t="s">
        <v>978</v>
      </c>
      <c r="C1" t="s">
        <v>979</v>
      </c>
    </row>
    <row r="2" spans="1:4" x14ac:dyDescent="0.2">
      <c r="A2" t="s">
        <v>90</v>
      </c>
      <c r="B2" t="s">
        <v>980</v>
      </c>
      <c r="C2">
        <f t="shared" ref="C2:C33" si="0">IF(RIGHT(A2,2)=".L",0.01,1)</f>
        <v>1</v>
      </c>
      <c r="D2" t="str">
        <f t="array" ref="D2:D74">_xlfn.UNIQUE(A2:A74)</f>
        <v>AAPL</v>
      </c>
    </row>
    <row r="3" spans="1:4" x14ac:dyDescent="0.2">
      <c r="A3" t="s">
        <v>265</v>
      </c>
      <c r="B3" t="s">
        <v>981</v>
      </c>
      <c r="C3">
        <f t="shared" si="0"/>
        <v>1</v>
      </c>
      <c r="D3" t="str">
        <v>ADEA</v>
      </c>
    </row>
    <row r="4" spans="1:4" x14ac:dyDescent="0.2">
      <c r="A4" t="s">
        <v>982</v>
      </c>
      <c r="C4">
        <f t="shared" si="0"/>
        <v>0.01</v>
      </c>
      <c r="D4" t="str">
        <v>AET.L</v>
      </c>
    </row>
    <row r="5" spans="1:4" x14ac:dyDescent="0.2">
      <c r="A5" t="s">
        <v>116</v>
      </c>
      <c r="C5">
        <f t="shared" si="0"/>
        <v>1</v>
      </c>
      <c r="D5" t="str">
        <v>AMZN</v>
      </c>
    </row>
    <row r="6" spans="1:4" x14ac:dyDescent="0.2">
      <c r="A6" t="s">
        <v>983</v>
      </c>
      <c r="C6">
        <f t="shared" si="0"/>
        <v>1</v>
      </c>
      <c r="D6" t="str">
        <v>ALDNE.PA</v>
      </c>
    </row>
    <row r="7" spans="1:4" x14ac:dyDescent="0.2">
      <c r="A7" t="s">
        <v>984</v>
      </c>
      <c r="C7">
        <f t="shared" si="0"/>
        <v>1</v>
      </c>
      <c r="D7" t="str">
        <v>ASML.AS</v>
      </c>
    </row>
    <row r="8" spans="1:4" x14ac:dyDescent="0.2">
      <c r="A8" t="s">
        <v>37</v>
      </c>
      <c r="C8">
        <f t="shared" si="0"/>
        <v>1</v>
      </c>
      <c r="D8" t="str">
        <v>AVGO</v>
      </c>
    </row>
    <row r="9" spans="1:4" x14ac:dyDescent="0.2">
      <c r="A9" t="s">
        <v>34</v>
      </c>
      <c r="C9">
        <f t="shared" si="0"/>
        <v>1</v>
      </c>
      <c r="D9" t="str">
        <v>AZN</v>
      </c>
    </row>
    <row r="10" spans="1:4" x14ac:dyDescent="0.2">
      <c r="A10" t="s">
        <v>196</v>
      </c>
      <c r="C10">
        <f t="shared" si="0"/>
        <v>1</v>
      </c>
      <c r="D10" t="str">
        <v>BLDP</v>
      </c>
    </row>
    <row r="11" spans="1:4" x14ac:dyDescent="0.2">
      <c r="A11" t="s">
        <v>985</v>
      </c>
      <c r="C11">
        <f t="shared" si="0"/>
        <v>1</v>
      </c>
      <c r="D11" t="str">
        <v>BMRA</v>
      </c>
    </row>
    <row r="12" spans="1:4" x14ac:dyDescent="0.2">
      <c r="A12" t="s">
        <v>76</v>
      </c>
      <c r="C12">
        <f t="shared" si="0"/>
        <v>1</v>
      </c>
      <c r="D12" t="str">
        <v>C</v>
      </c>
    </row>
    <row r="13" spans="1:4" x14ac:dyDescent="0.2">
      <c r="A13" t="s">
        <v>39</v>
      </c>
      <c r="C13">
        <f t="shared" si="0"/>
        <v>1</v>
      </c>
      <c r="D13" t="str">
        <v>CSCO</v>
      </c>
    </row>
    <row r="14" spans="1:4" x14ac:dyDescent="0.2">
      <c r="A14" t="s">
        <v>176</v>
      </c>
      <c r="C14">
        <f t="shared" si="0"/>
        <v>1</v>
      </c>
      <c r="D14" t="str">
        <v>CVS</v>
      </c>
    </row>
    <row r="15" spans="1:4" x14ac:dyDescent="0.2">
      <c r="A15" t="s">
        <v>134</v>
      </c>
      <c r="C15">
        <f t="shared" si="0"/>
        <v>1</v>
      </c>
      <c r="D15" t="str">
        <v>DDD</v>
      </c>
    </row>
    <row r="16" spans="1:4" x14ac:dyDescent="0.2">
      <c r="A16" t="s">
        <v>28</v>
      </c>
      <c r="C16">
        <f t="shared" si="0"/>
        <v>1</v>
      </c>
      <c r="D16" t="str">
        <v>DIS</v>
      </c>
    </row>
    <row r="17" spans="1:4" x14ac:dyDescent="0.2">
      <c r="A17" t="s">
        <v>986</v>
      </c>
      <c r="C17">
        <f t="shared" si="0"/>
        <v>1</v>
      </c>
      <c r="D17" t="str">
        <v>DSY.PA</v>
      </c>
    </row>
    <row r="18" spans="1:4" x14ac:dyDescent="0.2">
      <c r="A18" t="s">
        <v>611</v>
      </c>
      <c r="C18">
        <f t="shared" si="0"/>
        <v>1</v>
      </c>
      <c r="D18" t="str">
        <v>DVA</v>
      </c>
    </row>
    <row r="19" spans="1:4" x14ac:dyDescent="0.2">
      <c r="A19" t="s">
        <v>609</v>
      </c>
      <c r="C19">
        <f t="shared" si="0"/>
        <v>1</v>
      </c>
      <c r="D19" t="str">
        <v>DXC</v>
      </c>
    </row>
    <row r="20" spans="1:4" x14ac:dyDescent="0.2">
      <c r="A20" t="s">
        <v>987</v>
      </c>
      <c r="C20">
        <f t="shared" si="0"/>
        <v>1</v>
      </c>
      <c r="D20" t="str">
        <v>EOAN.DE</v>
      </c>
    </row>
    <row r="21" spans="1:4" x14ac:dyDescent="0.2">
      <c r="A21" t="s">
        <v>78</v>
      </c>
      <c r="C21">
        <f t="shared" si="0"/>
        <v>1</v>
      </c>
      <c r="D21" t="str">
        <v>EPIX</v>
      </c>
    </row>
    <row r="22" spans="1:4" x14ac:dyDescent="0.2">
      <c r="A22" t="s">
        <v>988</v>
      </c>
      <c r="C22">
        <f t="shared" si="0"/>
        <v>1</v>
      </c>
      <c r="D22" t="str">
        <v>GM</v>
      </c>
    </row>
    <row r="23" spans="1:4" x14ac:dyDescent="0.2">
      <c r="A23" t="s">
        <v>45</v>
      </c>
      <c r="C23">
        <f t="shared" si="0"/>
        <v>1</v>
      </c>
      <c r="D23" t="str">
        <v>HPE</v>
      </c>
    </row>
    <row r="24" spans="1:4" x14ac:dyDescent="0.2">
      <c r="A24" t="s">
        <v>31</v>
      </c>
      <c r="C24">
        <f t="shared" si="0"/>
        <v>1</v>
      </c>
      <c r="D24" t="str">
        <v>HPQ</v>
      </c>
    </row>
    <row r="25" spans="1:4" x14ac:dyDescent="0.2">
      <c r="A25" t="s">
        <v>989</v>
      </c>
      <c r="C25">
        <f t="shared" si="0"/>
        <v>0.01</v>
      </c>
      <c r="D25" t="str">
        <v>IAG.L</v>
      </c>
    </row>
    <row r="26" spans="1:4" x14ac:dyDescent="0.2">
      <c r="A26" t="s">
        <v>41</v>
      </c>
      <c r="C26">
        <f t="shared" si="0"/>
        <v>1</v>
      </c>
      <c r="D26" t="str">
        <v>KR</v>
      </c>
    </row>
    <row r="27" spans="1:4" x14ac:dyDescent="0.2">
      <c r="A27" t="s">
        <v>990</v>
      </c>
      <c r="C27">
        <f t="shared" si="0"/>
        <v>1</v>
      </c>
      <c r="D27" t="str">
        <v>LNSR</v>
      </c>
    </row>
    <row r="28" spans="1:4" x14ac:dyDescent="0.2">
      <c r="A28" t="s">
        <v>43</v>
      </c>
      <c r="C28">
        <f t="shared" si="0"/>
        <v>1</v>
      </c>
      <c r="D28" t="str">
        <v>LUMN</v>
      </c>
    </row>
    <row r="29" spans="1:4" x14ac:dyDescent="0.2">
      <c r="A29" t="s">
        <v>81</v>
      </c>
      <c r="C29">
        <f t="shared" si="0"/>
        <v>1</v>
      </c>
      <c r="D29" t="str">
        <v>MRNA</v>
      </c>
    </row>
    <row r="30" spans="1:4" x14ac:dyDescent="0.2">
      <c r="A30" t="s">
        <v>278</v>
      </c>
      <c r="C30">
        <f t="shared" si="0"/>
        <v>1</v>
      </c>
      <c r="D30" t="str">
        <v>MSFT</v>
      </c>
    </row>
    <row r="31" spans="1:4" x14ac:dyDescent="0.2">
      <c r="A31" t="s">
        <v>25</v>
      </c>
      <c r="C31">
        <f t="shared" si="0"/>
        <v>1</v>
      </c>
      <c r="D31" t="str">
        <v>NEE</v>
      </c>
    </row>
    <row r="32" spans="1:4" x14ac:dyDescent="0.2">
      <c r="A32" t="s">
        <v>190</v>
      </c>
      <c r="C32">
        <f t="shared" si="0"/>
        <v>1</v>
      </c>
      <c r="D32" t="str">
        <v>NEM</v>
      </c>
    </row>
    <row r="33" spans="1:4" x14ac:dyDescent="0.2">
      <c r="A33" t="s">
        <v>303</v>
      </c>
      <c r="C33">
        <f t="shared" si="0"/>
        <v>1</v>
      </c>
      <c r="D33" t="str">
        <v>NFLX</v>
      </c>
    </row>
    <row r="34" spans="1:4" x14ac:dyDescent="0.2">
      <c r="A34" t="s">
        <v>49</v>
      </c>
      <c r="C34">
        <f t="shared" ref="C34:C65" si="1">IF(RIGHT(A34,2)=".L",0.01,1)</f>
        <v>1</v>
      </c>
      <c r="D34" t="str">
        <v>NOTE</v>
      </c>
    </row>
    <row r="35" spans="1:4" x14ac:dyDescent="0.2">
      <c r="A35" t="s">
        <v>193</v>
      </c>
      <c r="C35">
        <f t="shared" si="1"/>
        <v>1</v>
      </c>
      <c r="D35" t="str">
        <v>PAAS</v>
      </c>
    </row>
    <row r="36" spans="1:4" x14ac:dyDescent="0.2">
      <c r="A36" t="s">
        <v>178</v>
      </c>
      <c r="C36">
        <f t="shared" si="1"/>
        <v>1</v>
      </c>
      <c r="D36" t="str">
        <v>PROF</v>
      </c>
    </row>
    <row r="37" spans="1:4" x14ac:dyDescent="0.2">
      <c r="A37" t="s">
        <v>305</v>
      </c>
      <c r="C37">
        <f t="shared" si="1"/>
        <v>1</v>
      </c>
      <c r="D37" t="str">
        <v>POET</v>
      </c>
    </row>
    <row r="38" spans="1:4" x14ac:dyDescent="0.2">
      <c r="A38" t="s">
        <v>991</v>
      </c>
      <c r="C38">
        <f t="shared" si="1"/>
        <v>1</v>
      </c>
      <c r="D38" t="str">
        <v>PW</v>
      </c>
    </row>
    <row r="39" spans="1:4" x14ac:dyDescent="0.2">
      <c r="A39" t="s">
        <v>185</v>
      </c>
      <c r="C39">
        <f t="shared" si="1"/>
        <v>1</v>
      </c>
      <c r="D39" t="str">
        <v>RIGL</v>
      </c>
    </row>
    <row r="40" spans="1:4" x14ac:dyDescent="0.2">
      <c r="A40" t="s">
        <v>992</v>
      </c>
      <c r="C40">
        <f t="shared" si="1"/>
        <v>1</v>
      </c>
      <c r="D40" t="str">
        <v>RWE.DE</v>
      </c>
    </row>
    <row r="41" spans="1:4" x14ac:dyDescent="0.2">
      <c r="A41" t="s">
        <v>993</v>
      </c>
      <c r="C41">
        <f t="shared" si="1"/>
        <v>1</v>
      </c>
      <c r="D41" t="str">
        <v>SAP.DE</v>
      </c>
    </row>
    <row r="42" spans="1:4" x14ac:dyDescent="0.2">
      <c r="A42" t="s">
        <v>153</v>
      </c>
      <c r="C42">
        <f t="shared" si="1"/>
        <v>1</v>
      </c>
      <c r="D42" t="str">
        <v>SHECY</v>
      </c>
    </row>
    <row r="43" spans="1:4" x14ac:dyDescent="0.2">
      <c r="A43" t="s">
        <v>146</v>
      </c>
      <c r="C43">
        <f t="shared" si="1"/>
        <v>1</v>
      </c>
      <c r="D43" t="str">
        <v>SSYS</v>
      </c>
    </row>
    <row r="44" spans="1:4" x14ac:dyDescent="0.2">
      <c r="A44" t="s">
        <v>113</v>
      </c>
      <c r="C44">
        <f t="shared" si="1"/>
        <v>1</v>
      </c>
      <c r="D44" t="str">
        <v>TSLA</v>
      </c>
    </row>
    <row r="45" spans="1:4" x14ac:dyDescent="0.2">
      <c r="A45" t="s">
        <v>22</v>
      </c>
      <c r="C45">
        <f t="shared" si="1"/>
        <v>1</v>
      </c>
      <c r="D45" t="str">
        <v>TSM</v>
      </c>
    </row>
    <row r="46" spans="1:4" x14ac:dyDescent="0.2">
      <c r="A46" t="s">
        <v>148</v>
      </c>
      <c r="C46">
        <f t="shared" si="1"/>
        <v>1</v>
      </c>
      <c r="D46" t="str">
        <v>UN0</v>
      </c>
    </row>
    <row r="47" spans="1:4" x14ac:dyDescent="0.2">
      <c r="A47" t="s">
        <v>327</v>
      </c>
      <c r="C47">
        <f t="shared" si="1"/>
        <v>1</v>
      </c>
      <c r="D47" t="str">
        <v>UNIT</v>
      </c>
    </row>
    <row r="48" spans="1:4" x14ac:dyDescent="0.2">
      <c r="A48" t="s">
        <v>188</v>
      </c>
      <c r="C48">
        <f t="shared" si="1"/>
        <v>1</v>
      </c>
      <c r="D48" t="str">
        <v>VLVLY</v>
      </c>
    </row>
    <row r="49" spans="1:4" x14ac:dyDescent="0.2">
      <c r="A49" t="s">
        <v>994</v>
      </c>
      <c r="C49">
        <f t="shared" si="1"/>
        <v>1</v>
      </c>
      <c r="D49" t="str">
        <v>VONN.SW</v>
      </c>
    </row>
    <row r="50" spans="1:4" x14ac:dyDescent="0.2">
      <c r="A50" t="s">
        <v>486</v>
      </c>
      <c r="C50">
        <f t="shared" si="1"/>
        <v>1</v>
      </c>
      <c r="D50" t="str">
        <v>VTRS</v>
      </c>
    </row>
    <row r="51" spans="1:4" x14ac:dyDescent="0.2">
      <c r="A51" t="s">
        <v>149</v>
      </c>
      <c r="C51">
        <f t="shared" si="1"/>
        <v>1</v>
      </c>
      <c r="D51" t="str">
        <v>WBA</v>
      </c>
    </row>
    <row r="52" spans="1:4" x14ac:dyDescent="0.2">
      <c r="A52" t="s">
        <v>768</v>
      </c>
      <c r="C52">
        <f t="shared" si="1"/>
        <v>1</v>
      </c>
      <c r="D52" t="str">
        <v>XOM</v>
      </c>
    </row>
    <row r="53" spans="1:4" x14ac:dyDescent="0.2">
      <c r="A53" t="s">
        <v>831</v>
      </c>
      <c r="C53">
        <f t="shared" si="1"/>
        <v>1</v>
      </c>
      <c r="D53" t="str">
        <v>XPER</v>
      </c>
    </row>
    <row r="54" spans="1:4" x14ac:dyDescent="0.2">
      <c r="A54" t="s">
        <v>566</v>
      </c>
      <c r="C54">
        <f t="shared" si="1"/>
        <v>1</v>
      </c>
      <c r="D54" t="str">
        <v>BLNK</v>
      </c>
    </row>
    <row r="55" spans="1:4" x14ac:dyDescent="0.2">
      <c r="A55" t="s">
        <v>995</v>
      </c>
      <c r="C55">
        <f t="shared" si="1"/>
        <v>1</v>
      </c>
      <c r="D55" t="str">
        <v>ENI.MI</v>
      </c>
    </row>
    <row r="56" spans="1:4" x14ac:dyDescent="0.2">
      <c r="A56" t="s">
        <v>996</v>
      </c>
      <c r="C56">
        <f t="shared" si="1"/>
        <v>0.01</v>
      </c>
      <c r="D56" t="str">
        <v>EZJ.L</v>
      </c>
    </row>
    <row r="57" spans="1:4" x14ac:dyDescent="0.2">
      <c r="A57" t="s">
        <v>230</v>
      </c>
      <c r="C57">
        <f t="shared" si="1"/>
        <v>1</v>
      </c>
      <c r="D57" t="str">
        <v>F</v>
      </c>
    </row>
    <row r="58" spans="1:4" x14ac:dyDescent="0.2">
      <c r="A58" t="s">
        <v>997</v>
      </c>
      <c r="C58">
        <f t="shared" si="1"/>
        <v>1</v>
      </c>
      <c r="D58" t="str">
        <v>GLE.PA</v>
      </c>
    </row>
    <row r="59" spans="1:4" x14ac:dyDescent="0.2">
      <c r="A59" t="s">
        <v>125</v>
      </c>
      <c r="C59">
        <f t="shared" si="1"/>
        <v>1</v>
      </c>
      <c r="D59" t="str">
        <v>GNRC</v>
      </c>
    </row>
    <row r="60" spans="1:4" x14ac:dyDescent="0.2">
      <c r="A60" t="s">
        <v>998</v>
      </c>
      <c r="C60">
        <f t="shared" si="1"/>
        <v>1</v>
      </c>
      <c r="D60" t="str">
        <v>GS</v>
      </c>
    </row>
    <row r="61" spans="1:4" x14ac:dyDescent="0.2">
      <c r="A61" t="s">
        <v>999</v>
      </c>
      <c r="C61">
        <f t="shared" si="1"/>
        <v>1</v>
      </c>
      <c r="D61" t="str">
        <v>LAZR</v>
      </c>
    </row>
    <row r="62" spans="1:4" x14ac:dyDescent="0.2">
      <c r="A62" t="s">
        <v>97</v>
      </c>
      <c r="C62">
        <f t="shared" si="1"/>
        <v>1</v>
      </c>
      <c r="D62" t="str">
        <v>LUV</v>
      </c>
    </row>
    <row r="63" spans="1:4" x14ac:dyDescent="0.2">
      <c r="A63" t="s">
        <v>55</v>
      </c>
      <c r="C63">
        <f t="shared" si="1"/>
        <v>1</v>
      </c>
      <c r="D63" t="str">
        <v>MA</v>
      </c>
    </row>
    <row r="64" spans="1:4" x14ac:dyDescent="0.2">
      <c r="A64" t="s">
        <v>142</v>
      </c>
      <c r="C64">
        <f t="shared" si="1"/>
        <v>1</v>
      </c>
      <c r="D64" t="str">
        <v>NVAX</v>
      </c>
    </row>
    <row r="65" spans="1:4" x14ac:dyDescent="0.2">
      <c r="A65" t="s">
        <v>84</v>
      </c>
      <c r="C65">
        <f t="shared" si="1"/>
        <v>1</v>
      </c>
      <c r="D65" t="str">
        <v>NVS</v>
      </c>
    </row>
    <row r="66" spans="1:4" x14ac:dyDescent="0.2">
      <c r="A66" t="s">
        <v>1000</v>
      </c>
      <c r="C66">
        <f t="shared" ref="C66:C74" si="2">IF(RIGHT(A66,2)=".L",0.01,1)</f>
        <v>1</v>
      </c>
      <c r="D66" t="str">
        <v>ORA.PA</v>
      </c>
    </row>
    <row r="67" spans="1:4" x14ac:dyDescent="0.2">
      <c r="A67" t="s">
        <v>171</v>
      </c>
      <c r="C67">
        <f t="shared" si="2"/>
        <v>1</v>
      </c>
      <c r="D67" t="str">
        <v>OXY</v>
      </c>
    </row>
    <row r="68" spans="1:4" x14ac:dyDescent="0.2">
      <c r="A68" t="s">
        <v>1001</v>
      </c>
      <c r="C68">
        <f t="shared" si="2"/>
        <v>1</v>
      </c>
      <c r="D68" t="str">
        <v>PFE</v>
      </c>
    </row>
    <row r="69" spans="1:4" x14ac:dyDescent="0.2">
      <c r="A69" t="s">
        <v>629</v>
      </c>
      <c r="C69">
        <f t="shared" si="2"/>
        <v>1</v>
      </c>
      <c r="D69" t="str">
        <v>RIG</v>
      </c>
    </row>
    <row r="70" spans="1:4" x14ac:dyDescent="0.2">
      <c r="A70" t="s">
        <v>1002</v>
      </c>
      <c r="C70">
        <f t="shared" si="2"/>
        <v>1</v>
      </c>
      <c r="D70" t="str">
        <v>RRC</v>
      </c>
    </row>
    <row r="71" spans="1:4" x14ac:dyDescent="0.2">
      <c r="A71" t="s">
        <v>735</v>
      </c>
      <c r="C71">
        <f t="shared" si="2"/>
        <v>1</v>
      </c>
      <c r="D71" t="str">
        <v>XYZ</v>
      </c>
    </row>
    <row r="72" spans="1:4" x14ac:dyDescent="0.2">
      <c r="A72" t="s">
        <v>52</v>
      </c>
      <c r="C72">
        <f t="shared" si="2"/>
        <v>1</v>
      </c>
      <c r="D72" t="str">
        <v>THC</v>
      </c>
    </row>
    <row r="73" spans="1:4" x14ac:dyDescent="0.2">
      <c r="A73" t="s">
        <v>1003</v>
      </c>
      <c r="C73">
        <f t="shared" si="2"/>
        <v>1</v>
      </c>
      <c r="D73" t="str">
        <v>X</v>
      </c>
    </row>
    <row r="74" spans="1:4" x14ac:dyDescent="0.2">
      <c r="A74" t="s">
        <v>1004</v>
      </c>
      <c r="C74">
        <f t="shared" si="2"/>
        <v>0.01</v>
      </c>
      <c r="D74" t="str">
        <v>LOCK.L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35"/>
  <sheetViews>
    <sheetView workbookViewId="0"/>
  </sheetViews>
  <sheetFormatPr baseColWidth="10" defaultColWidth="8.83203125" defaultRowHeight="15" x14ac:dyDescent="0.2"/>
  <sheetData>
    <row r="1" spans="1:3" x14ac:dyDescent="0.2">
      <c r="A1" t="s">
        <v>1005</v>
      </c>
      <c r="B1" t="s">
        <v>1006</v>
      </c>
      <c r="C1" t="s">
        <v>1007</v>
      </c>
    </row>
    <row r="2" spans="1:3" x14ac:dyDescent="0.2">
      <c r="A2" t="s">
        <v>1008</v>
      </c>
      <c r="B2" t="s">
        <v>1009</v>
      </c>
      <c r="C2" t="s">
        <v>1010</v>
      </c>
    </row>
    <row r="3" spans="1:3" x14ac:dyDescent="0.2">
      <c r="A3" t="s">
        <v>1011</v>
      </c>
      <c r="B3" t="s">
        <v>18</v>
      </c>
      <c r="C3" t="s">
        <v>1012</v>
      </c>
    </row>
    <row r="4" spans="1:3" x14ac:dyDescent="0.2">
      <c r="A4" t="s">
        <v>1013</v>
      </c>
      <c r="B4" t="s">
        <v>18</v>
      </c>
      <c r="C4" t="s">
        <v>1014</v>
      </c>
    </row>
    <row r="5" spans="1:3" x14ac:dyDescent="0.2">
      <c r="A5" t="s">
        <v>1015</v>
      </c>
      <c r="B5" t="s">
        <v>18</v>
      </c>
      <c r="C5" t="s">
        <v>1016</v>
      </c>
    </row>
    <row r="6" spans="1:3" x14ac:dyDescent="0.2">
      <c r="A6" t="s">
        <v>1017</v>
      </c>
      <c r="B6" t="s">
        <v>1018</v>
      </c>
      <c r="C6" t="s">
        <v>1019</v>
      </c>
    </row>
    <row r="7" spans="1:3" x14ac:dyDescent="0.2">
      <c r="A7" t="s">
        <v>1020</v>
      </c>
      <c r="B7" t="s">
        <v>1021</v>
      </c>
      <c r="C7" t="s">
        <v>1022</v>
      </c>
    </row>
    <row r="8" spans="1:3" x14ac:dyDescent="0.2">
      <c r="A8" t="s">
        <v>1023</v>
      </c>
      <c r="B8" t="s">
        <v>18</v>
      </c>
      <c r="C8" t="s">
        <v>1024</v>
      </c>
    </row>
    <row r="9" spans="1:3" x14ac:dyDescent="0.2">
      <c r="A9" t="s">
        <v>1025</v>
      </c>
      <c r="B9" t="s">
        <v>18</v>
      </c>
      <c r="C9" t="s">
        <v>1024</v>
      </c>
    </row>
    <row r="10" spans="1:3" x14ac:dyDescent="0.2">
      <c r="A10" t="s">
        <v>1026</v>
      </c>
      <c r="B10" t="s">
        <v>18</v>
      </c>
      <c r="C10" t="s">
        <v>1024</v>
      </c>
    </row>
    <row r="11" spans="1:3" x14ac:dyDescent="0.2">
      <c r="A11" t="s">
        <v>1027</v>
      </c>
      <c r="B11" t="s">
        <v>18</v>
      </c>
      <c r="C11" t="s">
        <v>1028</v>
      </c>
    </row>
    <row r="12" spans="1:3" x14ac:dyDescent="0.2">
      <c r="A12" t="s">
        <v>1029</v>
      </c>
      <c r="B12" t="s">
        <v>18</v>
      </c>
      <c r="C12" t="s">
        <v>1030</v>
      </c>
    </row>
    <row r="13" spans="1:3" x14ac:dyDescent="0.2">
      <c r="A13" t="s">
        <v>1031</v>
      </c>
      <c r="B13" t="s">
        <v>1009</v>
      </c>
      <c r="C13" t="s">
        <v>1010</v>
      </c>
    </row>
    <row r="14" spans="1:3" x14ac:dyDescent="0.2">
      <c r="A14" t="s">
        <v>1032</v>
      </c>
      <c r="B14" t="s">
        <v>18</v>
      </c>
      <c r="C14" t="s">
        <v>1033</v>
      </c>
    </row>
    <row r="15" spans="1:3" x14ac:dyDescent="0.2">
      <c r="A15" t="s">
        <v>1034</v>
      </c>
      <c r="B15" t="s">
        <v>1018</v>
      </c>
      <c r="C15" t="s">
        <v>1019</v>
      </c>
    </row>
    <row r="16" spans="1:3" x14ac:dyDescent="0.2">
      <c r="A16" t="s">
        <v>1035</v>
      </c>
      <c r="B16" t="s">
        <v>1036</v>
      </c>
      <c r="C16" t="s">
        <v>1037</v>
      </c>
    </row>
    <row r="17" spans="1:3" x14ac:dyDescent="0.2">
      <c r="A17" t="s">
        <v>1038</v>
      </c>
      <c r="B17" t="s">
        <v>1021</v>
      </c>
      <c r="C17" t="s">
        <v>1022</v>
      </c>
    </row>
    <row r="18" spans="1:3" x14ac:dyDescent="0.2">
      <c r="A18" t="s">
        <v>1039</v>
      </c>
      <c r="B18" t="s">
        <v>1009</v>
      </c>
      <c r="C18" t="s">
        <v>1010</v>
      </c>
    </row>
    <row r="19" spans="1:3" x14ac:dyDescent="0.2">
      <c r="A19" t="s">
        <v>1040</v>
      </c>
      <c r="B19" t="s">
        <v>18</v>
      </c>
      <c r="C19" t="s">
        <v>1041</v>
      </c>
    </row>
    <row r="20" spans="1:3" x14ac:dyDescent="0.2">
      <c r="A20" t="s">
        <v>1042</v>
      </c>
      <c r="B20" t="s">
        <v>1018</v>
      </c>
      <c r="C20" t="s">
        <v>1019</v>
      </c>
    </row>
    <row r="21" spans="1:3" x14ac:dyDescent="0.2">
      <c r="A21" t="s">
        <v>1043</v>
      </c>
      <c r="B21" t="s">
        <v>1018</v>
      </c>
      <c r="C21" t="s">
        <v>1019</v>
      </c>
    </row>
    <row r="22" spans="1:3" x14ac:dyDescent="0.2">
      <c r="A22" t="s">
        <v>1044</v>
      </c>
      <c r="B22" t="s">
        <v>1036</v>
      </c>
      <c r="C22" t="s">
        <v>1045</v>
      </c>
    </row>
    <row r="23" spans="1:3" x14ac:dyDescent="0.2">
      <c r="A23" t="s">
        <v>1046</v>
      </c>
      <c r="B23" t="s">
        <v>1036</v>
      </c>
      <c r="C23" t="s">
        <v>1045</v>
      </c>
    </row>
    <row r="24" spans="1:3" x14ac:dyDescent="0.2">
      <c r="A24" t="s">
        <v>1047</v>
      </c>
      <c r="B24" t="s">
        <v>18</v>
      </c>
      <c r="C24" t="s">
        <v>1048</v>
      </c>
    </row>
    <row r="25" spans="1:3" x14ac:dyDescent="0.2">
      <c r="A25" t="s">
        <v>1049</v>
      </c>
      <c r="B25" t="s">
        <v>1018</v>
      </c>
      <c r="C25" t="s">
        <v>1019</v>
      </c>
    </row>
    <row r="26" spans="1:3" x14ac:dyDescent="0.2">
      <c r="A26" t="s">
        <v>1050</v>
      </c>
      <c r="B26" t="s">
        <v>18</v>
      </c>
      <c r="C26" t="s">
        <v>1051</v>
      </c>
    </row>
    <row r="27" spans="1:3" x14ac:dyDescent="0.2">
      <c r="A27" t="s">
        <v>1052</v>
      </c>
      <c r="B27" t="s">
        <v>1018</v>
      </c>
      <c r="C27" t="s">
        <v>1019</v>
      </c>
    </row>
    <row r="28" spans="1:3" x14ac:dyDescent="0.2">
      <c r="A28" t="s">
        <v>1053</v>
      </c>
      <c r="B28" t="s">
        <v>18</v>
      </c>
      <c r="C28" t="s">
        <v>1054</v>
      </c>
    </row>
    <row r="29" spans="1:3" x14ac:dyDescent="0.2">
      <c r="A29" t="s">
        <v>1055</v>
      </c>
      <c r="B29" t="s">
        <v>1018</v>
      </c>
      <c r="C29" t="s">
        <v>1019</v>
      </c>
    </row>
    <row r="30" spans="1:3" x14ac:dyDescent="0.2">
      <c r="A30" t="s">
        <v>1056</v>
      </c>
      <c r="B30" t="s">
        <v>1009</v>
      </c>
      <c r="C30" t="s">
        <v>1010</v>
      </c>
    </row>
    <row r="31" spans="1:3" x14ac:dyDescent="0.2">
      <c r="A31" t="s">
        <v>1057</v>
      </c>
      <c r="B31" t="s">
        <v>18</v>
      </c>
      <c r="C31" t="s">
        <v>1058</v>
      </c>
    </row>
    <row r="32" spans="1:3" x14ac:dyDescent="0.2">
      <c r="A32" t="s">
        <v>1059</v>
      </c>
      <c r="B32" t="s">
        <v>18</v>
      </c>
      <c r="C32" t="s">
        <v>1060</v>
      </c>
    </row>
    <row r="33" spans="1:3" x14ac:dyDescent="0.2">
      <c r="A33" t="s">
        <v>1061</v>
      </c>
      <c r="B33" t="s">
        <v>1036</v>
      </c>
      <c r="C33" t="s">
        <v>1062</v>
      </c>
    </row>
    <row r="34" spans="1:3" x14ac:dyDescent="0.2">
      <c r="A34" t="s">
        <v>1063</v>
      </c>
      <c r="B34" t="s">
        <v>1018</v>
      </c>
      <c r="C34" t="s">
        <v>1019</v>
      </c>
    </row>
    <row r="35" spans="1:3" x14ac:dyDescent="0.2">
      <c r="A35" t="s">
        <v>1064</v>
      </c>
      <c r="B35" t="s">
        <v>18</v>
      </c>
      <c r="C35" t="s">
        <v>1065</v>
      </c>
    </row>
    <row r="36" spans="1:3" x14ac:dyDescent="0.2">
      <c r="A36" t="s">
        <v>1066</v>
      </c>
      <c r="B36" t="s">
        <v>1036</v>
      </c>
      <c r="C36" t="s">
        <v>1067</v>
      </c>
    </row>
    <row r="37" spans="1:3" x14ac:dyDescent="0.2">
      <c r="A37" t="s">
        <v>1068</v>
      </c>
      <c r="B37" t="s">
        <v>1036</v>
      </c>
      <c r="C37" t="s">
        <v>1067</v>
      </c>
    </row>
    <row r="38" spans="1:3" x14ac:dyDescent="0.2">
      <c r="A38" t="s">
        <v>1069</v>
      </c>
      <c r="B38" t="s">
        <v>1009</v>
      </c>
      <c r="C38" t="s">
        <v>1010</v>
      </c>
    </row>
    <row r="39" spans="1:3" x14ac:dyDescent="0.2">
      <c r="A39" t="s">
        <v>1070</v>
      </c>
      <c r="B39" t="s">
        <v>18</v>
      </c>
      <c r="C39" t="s">
        <v>1071</v>
      </c>
    </row>
    <row r="40" spans="1:3" x14ac:dyDescent="0.2">
      <c r="A40" t="s">
        <v>1072</v>
      </c>
      <c r="B40" t="s">
        <v>1073</v>
      </c>
      <c r="C40" t="s">
        <v>1074</v>
      </c>
    </row>
    <row r="41" spans="1:3" x14ac:dyDescent="0.2">
      <c r="A41" t="s">
        <v>1075</v>
      </c>
      <c r="B41" t="s">
        <v>1036</v>
      </c>
      <c r="C41" t="s">
        <v>1076</v>
      </c>
    </row>
    <row r="42" spans="1:3" x14ac:dyDescent="0.2">
      <c r="A42" t="s">
        <v>1077</v>
      </c>
      <c r="B42" t="s">
        <v>1073</v>
      </c>
      <c r="C42" t="s">
        <v>1078</v>
      </c>
    </row>
    <row r="43" spans="1:3" x14ac:dyDescent="0.2">
      <c r="A43" t="s">
        <v>1079</v>
      </c>
      <c r="B43" t="s">
        <v>1009</v>
      </c>
      <c r="C43" t="s">
        <v>1010</v>
      </c>
    </row>
    <row r="44" spans="1:3" x14ac:dyDescent="0.2">
      <c r="A44" t="s">
        <v>1080</v>
      </c>
      <c r="B44" t="s">
        <v>1073</v>
      </c>
      <c r="C44" t="s">
        <v>1081</v>
      </c>
    </row>
    <row r="45" spans="1:3" x14ac:dyDescent="0.2">
      <c r="A45" t="s">
        <v>1082</v>
      </c>
      <c r="B45" t="s">
        <v>18</v>
      </c>
      <c r="C45" t="s">
        <v>1083</v>
      </c>
    </row>
    <row r="46" spans="1:3" x14ac:dyDescent="0.2">
      <c r="A46" t="s">
        <v>1084</v>
      </c>
      <c r="B46" t="s">
        <v>1018</v>
      </c>
      <c r="C46" t="s">
        <v>1019</v>
      </c>
    </row>
    <row r="47" spans="1:3" x14ac:dyDescent="0.2">
      <c r="A47" t="s">
        <v>1085</v>
      </c>
      <c r="B47" t="s">
        <v>1021</v>
      </c>
      <c r="C47" t="s">
        <v>1022</v>
      </c>
    </row>
    <row r="48" spans="1:3" x14ac:dyDescent="0.2">
      <c r="A48" t="s">
        <v>1086</v>
      </c>
      <c r="B48" t="s">
        <v>1009</v>
      </c>
      <c r="C48" t="s">
        <v>1010</v>
      </c>
    </row>
    <row r="49" spans="1:3" x14ac:dyDescent="0.2">
      <c r="A49" t="s">
        <v>1087</v>
      </c>
      <c r="B49" t="s">
        <v>1009</v>
      </c>
      <c r="C49" t="s">
        <v>1010</v>
      </c>
    </row>
    <row r="50" spans="1:3" x14ac:dyDescent="0.2">
      <c r="A50" t="s">
        <v>1088</v>
      </c>
      <c r="B50" t="s">
        <v>1009</v>
      </c>
      <c r="C50" t="s">
        <v>1010</v>
      </c>
    </row>
    <row r="51" spans="1:3" x14ac:dyDescent="0.2">
      <c r="A51" t="s">
        <v>1089</v>
      </c>
      <c r="B51" t="s">
        <v>1009</v>
      </c>
      <c r="C51" t="s">
        <v>1010</v>
      </c>
    </row>
    <row r="52" spans="1:3" x14ac:dyDescent="0.2">
      <c r="A52" t="s">
        <v>1090</v>
      </c>
      <c r="B52" t="s">
        <v>18</v>
      </c>
      <c r="C52" t="s">
        <v>1091</v>
      </c>
    </row>
    <row r="53" spans="1:3" x14ac:dyDescent="0.2">
      <c r="A53" t="s">
        <v>1092</v>
      </c>
      <c r="B53" t="s">
        <v>1018</v>
      </c>
      <c r="C53" t="s">
        <v>1093</v>
      </c>
    </row>
    <row r="54" spans="1:3" x14ac:dyDescent="0.2">
      <c r="A54" t="s">
        <v>1094</v>
      </c>
      <c r="B54" t="s">
        <v>1073</v>
      </c>
      <c r="C54" t="s">
        <v>1095</v>
      </c>
    </row>
    <row r="55" spans="1:3" x14ac:dyDescent="0.2">
      <c r="A55" t="s">
        <v>1096</v>
      </c>
      <c r="B55" t="s">
        <v>1009</v>
      </c>
      <c r="C55" t="s">
        <v>1010</v>
      </c>
    </row>
    <row r="56" spans="1:3" x14ac:dyDescent="0.2">
      <c r="A56" t="s">
        <v>1097</v>
      </c>
      <c r="B56" t="s">
        <v>18</v>
      </c>
      <c r="C56" t="s">
        <v>1098</v>
      </c>
    </row>
    <row r="57" spans="1:3" x14ac:dyDescent="0.2">
      <c r="A57" t="s">
        <v>1099</v>
      </c>
      <c r="B57" t="s">
        <v>1018</v>
      </c>
      <c r="C57" t="s">
        <v>1093</v>
      </c>
    </row>
    <row r="58" spans="1:3" x14ac:dyDescent="0.2">
      <c r="A58" t="s">
        <v>1100</v>
      </c>
      <c r="B58" t="s">
        <v>1073</v>
      </c>
      <c r="C58" t="s">
        <v>1101</v>
      </c>
    </row>
    <row r="59" spans="1:3" x14ac:dyDescent="0.2">
      <c r="A59" t="s">
        <v>1102</v>
      </c>
      <c r="B59" t="s">
        <v>1018</v>
      </c>
      <c r="C59" t="s">
        <v>1093</v>
      </c>
    </row>
    <row r="60" spans="1:3" x14ac:dyDescent="0.2">
      <c r="A60" t="s">
        <v>1103</v>
      </c>
      <c r="B60" t="s">
        <v>1018</v>
      </c>
      <c r="C60" t="s">
        <v>1093</v>
      </c>
    </row>
    <row r="61" spans="1:3" x14ac:dyDescent="0.2">
      <c r="A61" t="s">
        <v>1104</v>
      </c>
      <c r="B61" t="s">
        <v>1021</v>
      </c>
      <c r="C61" t="s">
        <v>1105</v>
      </c>
    </row>
    <row r="62" spans="1:3" x14ac:dyDescent="0.2">
      <c r="A62" t="s">
        <v>1106</v>
      </c>
      <c r="B62" t="s">
        <v>1009</v>
      </c>
      <c r="C62" t="s">
        <v>1010</v>
      </c>
    </row>
    <row r="63" spans="1:3" x14ac:dyDescent="0.2">
      <c r="A63" t="s">
        <v>1107</v>
      </c>
      <c r="B63" t="s">
        <v>18</v>
      </c>
      <c r="C63" t="s">
        <v>1108</v>
      </c>
    </row>
    <row r="64" spans="1:3" x14ac:dyDescent="0.2">
      <c r="A64" t="s">
        <v>1109</v>
      </c>
      <c r="B64" t="s">
        <v>1073</v>
      </c>
      <c r="C64" t="s">
        <v>1110</v>
      </c>
    </row>
    <row r="65" spans="1:3" x14ac:dyDescent="0.2">
      <c r="A65" t="s">
        <v>1111</v>
      </c>
      <c r="B65" t="s">
        <v>18</v>
      </c>
      <c r="C65" t="s">
        <v>1108</v>
      </c>
    </row>
    <row r="66" spans="1:3" x14ac:dyDescent="0.2">
      <c r="A66" t="s">
        <v>1111</v>
      </c>
      <c r="B66" t="s">
        <v>1112</v>
      </c>
      <c r="C66" t="s">
        <v>1113</v>
      </c>
    </row>
    <row r="67" spans="1:3" x14ac:dyDescent="0.2">
      <c r="A67" t="s">
        <v>1114</v>
      </c>
      <c r="B67" t="s">
        <v>1018</v>
      </c>
      <c r="C67" t="s">
        <v>1019</v>
      </c>
    </row>
    <row r="68" spans="1:3" x14ac:dyDescent="0.2">
      <c r="A68" t="s">
        <v>1115</v>
      </c>
      <c r="B68" t="s">
        <v>1018</v>
      </c>
      <c r="C68" t="s">
        <v>1019</v>
      </c>
    </row>
    <row r="69" spans="1:3" x14ac:dyDescent="0.2">
      <c r="A69" t="s">
        <v>1116</v>
      </c>
      <c r="B69" t="s">
        <v>1021</v>
      </c>
      <c r="C69" t="s">
        <v>1117</v>
      </c>
    </row>
    <row r="70" spans="1:3" x14ac:dyDescent="0.2">
      <c r="A70" t="s">
        <v>1118</v>
      </c>
      <c r="B70" t="s">
        <v>1009</v>
      </c>
      <c r="C70" t="s">
        <v>1010</v>
      </c>
    </row>
    <row r="71" spans="1:3" x14ac:dyDescent="0.2">
      <c r="A71" t="s">
        <v>1119</v>
      </c>
      <c r="B71" t="s">
        <v>1018</v>
      </c>
      <c r="C71" t="s">
        <v>1019</v>
      </c>
    </row>
    <row r="72" spans="1:3" x14ac:dyDescent="0.2">
      <c r="A72" t="s">
        <v>1120</v>
      </c>
      <c r="B72" t="s">
        <v>1018</v>
      </c>
      <c r="C72" t="s">
        <v>1019</v>
      </c>
    </row>
    <row r="73" spans="1:3" x14ac:dyDescent="0.2">
      <c r="A73" t="s">
        <v>1121</v>
      </c>
      <c r="B73" t="s">
        <v>1018</v>
      </c>
      <c r="C73" t="s">
        <v>1019</v>
      </c>
    </row>
    <row r="74" spans="1:3" x14ac:dyDescent="0.2">
      <c r="A74" t="s">
        <v>1122</v>
      </c>
      <c r="B74" t="s">
        <v>1018</v>
      </c>
      <c r="C74" t="s">
        <v>1019</v>
      </c>
    </row>
    <row r="75" spans="1:3" x14ac:dyDescent="0.2">
      <c r="A75" t="s">
        <v>1123</v>
      </c>
      <c r="B75" t="s">
        <v>1018</v>
      </c>
      <c r="C75" t="s">
        <v>1019</v>
      </c>
    </row>
    <row r="76" spans="1:3" x14ac:dyDescent="0.2">
      <c r="A76" t="s">
        <v>1124</v>
      </c>
      <c r="B76" t="s">
        <v>1021</v>
      </c>
      <c r="C76" t="s">
        <v>1117</v>
      </c>
    </row>
    <row r="77" spans="1:3" x14ac:dyDescent="0.2">
      <c r="A77" t="s">
        <v>1125</v>
      </c>
      <c r="B77" t="s">
        <v>1009</v>
      </c>
      <c r="C77" t="s">
        <v>1010</v>
      </c>
    </row>
    <row r="78" spans="1:3" x14ac:dyDescent="0.2">
      <c r="A78" t="s">
        <v>1126</v>
      </c>
      <c r="B78" t="s">
        <v>1018</v>
      </c>
      <c r="C78" t="s">
        <v>1019</v>
      </c>
    </row>
    <row r="79" spans="1:3" x14ac:dyDescent="0.2">
      <c r="A79" t="s">
        <v>1127</v>
      </c>
      <c r="B79" t="s">
        <v>1021</v>
      </c>
      <c r="C79" t="s">
        <v>1117</v>
      </c>
    </row>
    <row r="80" spans="1:3" x14ac:dyDescent="0.2">
      <c r="A80" t="s">
        <v>1128</v>
      </c>
      <c r="B80" t="s">
        <v>1009</v>
      </c>
      <c r="C80" t="s">
        <v>1010</v>
      </c>
    </row>
    <row r="81" spans="1:3" x14ac:dyDescent="0.2">
      <c r="A81" t="s">
        <v>1129</v>
      </c>
      <c r="B81" t="s">
        <v>1018</v>
      </c>
      <c r="C81" t="s">
        <v>1019</v>
      </c>
    </row>
    <row r="82" spans="1:3" x14ac:dyDescent="0.2">
      <c r="A82" t="s">
        <v>1130</v>
      </c>
      <c r="B82" t="s">
        <v>1021</v>
      </c>
      <c r="C82" t="s">
        <v>1117</v>
      </c>
    </row>
    <row r="83" spans="1:3" x14ac:dyDescent="0.2">
      <c r="A83" t="s">
        <v>1131</v>
      </c>
      <c r="B83" t="s">
        <v>1009</v>
      </c>
      <c r="C83" t="s">
        <v>1010</v>
      </c>
    </row>
    <row r="84" spans="1:3" x14ac:dyDescent="0.2">
      <c r="A84" t="s">
        <v>1132</v>
      </c>
      <c r="B84" t="s">
        <v>1018</v>
      </c>
      <c r="C84" t="s">
        <v>1019</v>
      </c>
    </row>
    <row r="85" spans="1:3" x14ac:dyDescent="0.2">
      <c r="A85" t="s">
        <v>1133</v>
      </c>
      <c r="B85" t="s">
        <v>1021</v>
      </c>
      <c r="C85" t="s">
        <v>1117</v>
      </c>
    </row>
    <row r="86" spans="1:3" x14ac:dyDescent="0.2">
      <c r="A86" t="s">
        <v>1134</v>
      </c>
      <c r="B86" t="s">
        <v>1009</v>
      </c>
      <c r="C86" t="s">
        <v>1010</v>
      </c>
    </row>
    <row r="87" spans="1:3" x14ac:dyDescent="0.2">
      <c r="A87" t="s">
        <v>1135</v>
      </c>
      <c r="B87" t="s">
        <v>1018</v>
      </c>
      <c r="C87" t="s">
        <v>1019</v>
      </c>
    </row>
    <row r="88" spans="1:3" x14ac:dyDescent="0.2">
      <c r="A88" t="s">
        <v>1136</v>
      </c>
      <c r="B88" t="s">
        <v>1009</v>
      </c>
      <c r="C88" t="s">
        <v>1010</v>
      </c>
    </row>
    <row r="89" spans="1:3" x14ac:dyDescent="0.2">
      <c r="A89" t="s">
        <v>1137</v>
      </c>
      <c r="B89" t="s">
        <v>1018</v>
      </c>
      <c r="C89" t="s">
        <v>1019</v>
      </c>
    </row>
    <row r="90" spans="1:3" x14ac:dyDescent="0.2">
      <c r="A90" t="s">
        <v>1138</v>
      </c>
      <c r="B90" t="s">
        <v>1021</v>
      </c>
      <c r="C90" t="s">
        <v>1117</v>
      </c>
    </row>
    <row r="91" spans="1:3" x14ac:dyDescent="0.2">
      <c r="A91" t="s">
        <v>1139</v>
      </c>
      <c r="B91" t="s">
        <v>1009</v>
      </c>
      <c r="C91" t="s">
        <v>1010</v>
      </c>
    </row>
    <row r="92" spans="1:3" x14ac:dyDescent="0.2">
      <c r="A92" t="s">
        <v>1140</v>
      </c>
      <c r="B92" t="s">
        <v>1018</v>
      </c>
      <c r="C92" t="s">
        <v>1019</v>
      </c>
    </row>
    <row r="93" spans="1:3" x14ac:dyDescent="0.2">
      <c r="A93" t="s">
        <v>1141</v>
      </c>
      <c r="B93" t="s">
        <v>18</v>
      </c>
      <c r="C93" t="s">
        <v>1142</v>
      </c>
    </row>
    <row r="94" spans="1:3" x14ac:dyDescent="0.2">
      <c r="A94" t="s">
        <v>1143</v>
      </c>
      <c r="B94" t="s">
        <v>1018</v>
      </c>
      <c r="C94" t="s">
        <v>1019</v>
      </c>
    </row>
    <row r="95" spans="1:3" x14ac:dyDescent="0.2">
      <c r="A95" t="s">
        <v>1144</v>
      </c>
      <c r="B95" t="s">
        <v>1018</v>
      </c>
      <c r="C95" t="s">
        <v>1019</v>
      </c>
    </row>
    <row r="96" spans="1:3" x14ac:dyDescent="0.2">
      <c r="A96" t="s">
        <v>1145</v>
      </c>
      <c r="B96" t="s">
        <v>1018</v>
      </c>
      <c r="C96" t="s">
        <v>1019</v>
      </c>
    </row>
    <row r="97" spans="1:3" x14ac:dyDescent="0.2">
      <c r="A97" t="s">
        <v>1146</v>
      </c>
      <c r="B97" t="s">
        <v>18</v>
      </c>
      <c r="C97" t="s">
        <v>1147</v>
      </c>
    </row>
    <row r="98" spans="1:3" x14ac:dyDescent="0.2">
      <c r="A98" t="s">
        <v>1148</v>
      </c>
      <c r="B98" t="s">
        <v>1021</v>
      </c>
      <c r="C98" t="s">
        <v>1117</v>
      </c>
    </row>
    <row r="99" spans="1:3" x14ac:dyDescent="0.2">
      <c r="A99" t="s">
        <v>1149</v>
      </c>
      <c r="B99" t="s">
        <v>1009</v>
      </c>
      <c r="C99" t="s">
        <v>1010</v>
      </c>
    </row>
    <row r="100" spans="1:3" x14ac:dyDescent="0.2">
      <c r="A100" t="s">
        <v>1150</v>
      </c>
      <c r="B100" t="s">
        <v>18</v>
      </c>
      <c r="C100" t="s">
        <v>1151</v>
      </c>
    </row>
    <row r="101" spans="1:3" x14ac:dyDescent="0.2">
      <c r="A101" t="s">
        <v>1152</v>
      </c>
      <c r="B101" t="s">
        <v>1021</v>
      </c>
      <c r="C101" t="s">
        <v>1117</v>
      </c>
    </row>
    <row r="102" spans="1:3" x14ac:dyDescent="0.2">
      <c r="A102" t="s">
        <v>1153</v>
      </c>
      <c r="B102" t="s">
        <v>1009</v>
      </c>
      <c r="C102" t="s">
        <v>1010</v>
      </c>
    </row>
    <row r="103" spans="1:3" x14ac:dyDescent="0.2">
      <c r="A103" t="s">
        <v>1154</v>
      </c>
      <c r="B103" t="s">
        <v>1018</v>
      </c>
      <c r="C103" t="s">
        <v>1019</v>
      </c>
    </row>
    <row r="104" spans="1:3" x14ac:dyDescent="0.2">
      <c r="A104" t="s">
        <v>1155</v>
      </c>
      <c r="B104" t="s">
        <v>18</v>
      </c>
      <c r="C104" t="s">
        <v>1151</v>
      </c>
    </row>
    <row r="105" spans="1:3" x14ac:dyDescent="0.2">
      <c r="A105" t="s">
        <v>1156</v>
      </c>
      <c r="B105" t="s">
        <v>18</v>
      </c>
      <c r="C105" t="s">
        <v>1151</v>
      </c>
    </row>
    <row r="106" spans="1:3" x14ac:dyDescent="0.2">
      <c r="A106" t="s">
        <v>1157</v>
      </c>
      <c r="B106" t="s">
        <v>1021</v>
      </c>
      <c r="C106" t="s">
        <v>1117</v>
      </c>
    </row>
    <row r="107" spans="1:3" x14ac:dyDescent="0.2">
      <c r="A107" t="s">
        <v>1158</v>
      </c>
      <c r="B107" t="s">
        <v>1009</v>
      </c>
      <c r="C107" t="s">
        <v>1010</v>
      </c>
    </row>
    <row r="108" spans="1:3" x14ac:dyDescent="0.2">
      <c r="A108" t="s">
        <v>1159</v>
      </c>
      <c r="B108" t="s">
        <v>1018</v>
      </c>
      <c r="C108" t="s">
        <v>1019</v>
      </c>
    </row>
    <row r="109" spans="1:3" x14ac:dyDescent="0.2">
      <c r="A109" t="s">
        <v>1160</v>
      </c>
      <c r="B109" t="s">
        <v>1021</v>
      </c>
      <c r="C109" t="s">
        <v>1117</v>
      </c>
    </row>
    <row r="110" spans="1:3" x14ac:dyDescent="0.2">
      <c r="A110" t="s">
        <v>1161</v>
      </c>
      <c r="B110" t="s">
        <v>1009</v>
      </c>
      <c r="C110" t="s">
        <v>1010</v>
      </c>
    </row>
    <row r="111" spans="1:3" x14ac:dyDescent="0.2">
      <c r="A111" t="s">
        <v>1162</v>
      </c>
      <c r="B111" t="s">
        <v>1163</v>
      </c>
      <c r="C111" t="s">
        <v>1164</v>
      </c>
    </row>
    <row r="112" spans="1:3" x14ac:dyDescent="0.2">
      <c r="A112" t="s">
        <v>1162</v>
      </c>
      <c r="B112" t="s">
        <v>18</v>
      </c>
      <c r="C112" t="s">
        <v>1151</v>
      </c>
    </row>
    <row r="113" spans="1:3" x14ac:dyDescent="0.2">
      <c r="A113" t="s">
        <v>1165</v>
      </c>
      <c r="B113" t="s">
        <v>1018</v>
      </c>
      <c r="C113" t="s">
        <v>1019</v>
      </c>
    </row>
    <row r="114" spans="1:3" x14ac:dyDescent="0.2">
      <c r="A114" t="s">
        <v>1166</v>
      </c>
      <c r="B114" t="s">
        <v>1021</v>
      </c>
      <c r="C114" t="s">
        <v>1117</v>
      </c>
    </row>
    <row r="115" spans="1:3" x14ac:dyDescent="0.2">
      <c r="A115" t="s">
        <v>1167</v>
      </c>
      <c r="B115" t="s">
        <v>1009</v>
      </c>
      <c r="C115" t="s">
        <v>1010</v>
      </c>
    </row>
    <row r="116" spans="1:3" x14ac:dyDescent="0.2">
      <c r="A116" t="s">
        <v>1168</v>
      </c>
      <c r="B116" t="s">
        <v>1018</v>
      </c>
      <c r="C116" t="s">
        <v>1019</v>
      </c>
    </row>
    <row r="117" spans="1:3" x14ac:dyDescent="0.2">
      <c r="A117" t="s">
        <v>1169</v>
      </c>
      <c r="B117" t="s">
        <v>1021</v>
      </c>
      <c r="C117" t="s">
        <v>1117</v>
      </c>
    </row>
    <row r="118" spans="1:3" x14ac:dyDescent="0.2">
      <c r="A118" t="s">
        <v>1170</v>
      </c>
      <c r="B118" t="s">
        <v>1009</v>
      </c>
      <c r="C118" t="s">
        <v>1010</v>
      </c>
    </row>
    <row r="119" spans="1:3" x14ac:dyDescent="0.2">
      <c r="A119" t="s">
        <v>1171</v>
      </c>
      <c r="B119" t="s">
        <v>1163</v>
      </c>
      <c r="C119" t="s">
        <v>1172</v>
      </c>
    </row>
    <row r="120" spans="1:3" x14ac:dyDescent="0.2">
      <c r="A120" t="s">
        <v>1171</v>
      </c>
      <c r="B120" t="s">
        <v>18</v>
      </c>
      <c r="C120" t="s">
        <v>1151</v>
      </c>
    </row>
    <row r="121" spans="1:3" x14ac:dyDescent="0.2">
      <c r="A121" t="s">
        <v>1173</v>
      </c>
      <c r="B121" t="s">
        <v>1021</v>
      </c>
      <c r="C121" t="s">
        <v>1117</v>
      </c>
    </row>
    <row r="122" spans="1:3" x14ac:dyDescent="0.2">
      <c r="A122" t="s">
        <v>1174</v>
      </c>
      <c r="B122" t="s">
        <v>1009</v>
      </c>
      <c r="C122" t="s">
        <v>1010</v>
      </c>
    </row>
    <row r="123" spans="1:3" x14ac:dyDescent="0.2">
      <c r="A123" t="s">
        <v>1175</v>
      </c>
      <c r="B123" t="s">
        <v>1163</v>
      </c>
      <c r="C123" t="s">
        <v>1176</v>
      </c>
    </row>
    <row r="124" spans="1:3" x14ac:dyDescent="0.2">
      <c r="A124" t="s">
        <v>1175</v>
      </c>
      <c r="B124" t="s">
        <v>18</v>
      </c>
      <c r="C124" t="s">
        <v>1151</v>
      </c>
    </row>
    <row r="125" spans="1:3" x14ac:dyDescent="0.2">
      <c r="A125" t="s">
        <v>1177</v>
      </c>
      <c r="B125" t="s">
        <v>1021</v>
      </c>
      <c r="C125" t="s">
        <v>1117</v>
      </c>
    </row>
    <row r="126" spans="1:3" x14ac:dyDescent="0.2">
      <c r="A126" t="s">
        <v>1178</v>
      </c>
      <c r="B126" t="s">
        <v>1009</v>
      </c>
      <c r="C126" t="s">
        <v>1010</v>
      </c>
    </row>
    <row r="127" spans="1:3" x14ac:dyDescent="0.2">
      <c r="A127" t="s">
        <v>1179</v>
      </c>
      <c r="B127" t="s">
        <v>1018</v>
      </c>
      <c r="C127" t="s">
        <v>1019</v>
      </c>
    </row>
    <row r="128" spans="1:3" x14ac:dyDescent="0.2">
      <c r="A128" t="s">
        <v>1180</v>
      </c>
      <c r="B128" t="s">
        <v>1021</v>
      </c>
      <c r="C128" t="s">
        <v>1117</v>
      </c>
    </row>
    <row r="129" spans="1:3" x14ac:dyDescent="0.2">
      <c r="A129" t="s">
        <v>1181</v>
      </c>
      <c r="B129" t="s">
        <v>1009</v>
      </c>
      <c r="C129" t="s">
        <v>1010</v>
      </c>
    </row>
    <row r="130" spans="1:3" x14ac:dyDescent="0.2">
      <c r="A130" t="s">
        <v>1182</v>
      </c>
      <c r="B130" t="s">
        <v>18</v>
      </c>
      <c r="C130" t="s">
        <v>1183</v>
      </c>
    </row>
    <row r="131" spans="1:3" x14ac:dyDescent="0.2">
      <c r="A131" t="s">
        <v>1184</v>
      </c>
      <c r="B131" t="s">
        <v>1021</v>
      </c>
      <c r="C131" t="s">
        <v>1105</v>
      </c>
    </row>
    <row r="132" spans="1:3" x14ac:dyDescent="0.2">
      <c r="A132" t="s">
        <v>1185</v>
      </c>
      <c r="B132" t="s">
        <v>1018</v>
      </c>
      <c r="C132" t="s">
        <v>1186</v>
      </c>
    </row>
    <row r="133" spans="1:3" x14ac:dyDescent="0.2">
      <c r="A133" t="s">
        <v>1187</v>
      </c>
      <c r="B133" t="s">
        <v>1021</v>
      </c>
      <c r="C133" t="s">
        <v>1105</v>
      </c>
    </row>
    <row r="134" spans="1:3" x14ac:dyDescent="0.2">
      <c r="A134" t="s">
        <v>1188</v>
      </c>
      <c r="B134" t="s">
        <v>18</v>
      </c>
      <c r="C134" t="s">
        <v>1189</v>
      </c>
    </row>
    <row r="135" spans="1:3" x14ac:dyDescent="0.2">
      <c r="A135" t="s">
        <v>1190</v>
      </c>
      <c r="B135" t="s">
        <v>1018</v>
      </c>
      <c r="C135" t="s">
        <v>1186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1278"/>
  <sheetViews>
    <sheetView workbookViewId="0">
      <selection sqref="A1:M627"/>
    </sheetView>
  </sheetViews>
  <sheetFormatPr baseColWidth="10" defaultColWidth="8.83203125" defaultRowHeight="15" x14ac:dyDescent="0.2"/>
  <cols>
    <col min="7" max="7" width="10.6640625" bestFit="1" customWidth="1"/>
    <col min="8" max="9" width="10.1640625" bestFit="1" customWidth="1"/>
    <col min="11" max="11" width="10.1640625" bestFit="1" customWidth="1"/>
    <col min="12" max="12" width="12.1640625" bestFit="1" customWidth="1"/>
    <col min="13" max="13" width="10.6640625" bestFit="1" customWidth="1"/>
  </cols>
  <sheetData>
    <row r="1" spans="1:13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1191</v>
      </c>
      <c r="J1" t="s">
        <v>1192</v>
      </c>
      <c r="K1" t="s">
        <v>1193</v>
      </c>
      <c r="L1" t="s">
        <v>1194</v>
      </c>
      <c r="M1" t="s">
        <v>1195</v>
      </c>
    </row>
    <row r="2" spans="1:13" x14ac:dyDescent="0.2">
      <c r="A2" s="1">
        <v>45684</v>
      </c>
      <c r="B2">
        <v>2</v>
      </c>
      <c r="C2" s="2" t="s">
        <v>15</v>
      </c>
      <c r="D2" s="3">
        <v>2000</v>
      </c>
      <c r="E2" s="4">
        <v>36.674999999999997</v>
      </c>
      <c r="F2" t="s">
        <v>18</v>
      </c>
      <c r="G2" s="25">
        <f t="shared" ref="G2:G65" si="0">D2*E2*IF(OR(C2="IAG",C2="EZJ",C2="AET"),0.01,1)</f>
        <v>73350</v>
      </c>
      <c r="H2" s="25">
        <f t="array" ref="H2">IF(A2=A1,0,SUM(_xlfn._xlws.FILTER(G2:G22,A2:A22=A2)))</f>
        <v>-64069.578000000001</v>
      </c>
      <c r="I2" s="25">
        <f t="array" ref="I2">IFERROR(IF(A2=A1,0,SUM(_xlfn._xlws.FILTER(G2:G22,(A2:A22=A2)*(E2:E22&lt;0)))),0)</f>
        <v>-620798.1</v>
      </c>
      <c r="J2" s="25">
        <f t="array" ref="J2">IFERROR(IF(A2=A1,0,SUM(_xlfn._xlws.FILTER(G2:G22,(A2:A22=A2)*(E2:E22&gt;0)))),0)</f>
        <v>556728.522</v>
      </c>
      <c r="K2" s="25">
        <f>IF(H2&lt;&gt;0,SUM(H$2:H2),0)</f>
        <v>-64069.578000000001</v>
      </c>
      <c r="L2" s="25">
        <f>IF(I2&lt;&gt;0,SUM(I$2:I2),0)</f>
        <v>-620798.1</v>
      </c>
      <c r="M2" s="25">
        <f>IF(J2&lt;&gt;0,SUM(J$2:J2),0)</f>
        <v>556728.522</v>
      </c>
    </row>
    <row r="3" spans="1:13" x14ac:dyDescent="0.2">
      <c r="A3" s="1">
        <v>45684</v>
      </c>
      <c r="B3">
        <v>2</v>
      </c>
      <c r="C3" s="2" t="s">
        <v>19</v>
      </c>
      <c r="D3" s="3">
        <v>200</v>
      </c>
      <c r="E3" s="4">
        <v>-647.1</v>
      </c>
      <c r="F3" t="s">
        <v>18</v>
      </c>
      <c r="G3" s="25">
        <f t="shared" si="0"/>
        <v>-129420</v>
      </c>
      <c r="H3" s="25">
        <f t="array" ref="H3">IF(A3=A2,0,SUM(_xlfn._xlws.FILTER(G3:G23,A3:A23=A3)))</f>
        <v>0</v>
      </c>
      <c r="I3" s="25">
        <f t="array" ref="I3">IFERROR(IF(A3=A2,0,SUM(_xlfn._xlws.FILTER(G3:G23,(A3:A23=A3)*(E3:E23&lt;0)))),0)</f>
        <v>0</v>
      </c>
      <c r="J3" s="25">
        <f t="array" ref="J3">IFERROR(IF(A3=A2,0,SUM(_xlfn._xlws.FILTER(G3:G23,(A3:A23=A3)*(E3:E23&gt;0)))),0)</f>
        <v>0</v>
      </c>
      <c r="K3" s="25">
        <f>IF(H3&lt;&gt;0,SUM(H$2:H3),0)</f>
        <v>0</v>
      </c>
      <c r="L3" s="25">
        <f>IF(I3&lt;&gt;0,SUM(I$2:I3),0)</f>
        <v>0</v>
      </c>
      <c r="M3" s="25">
        <f>IF(J3&lt;&gt;0,SUM(J$2:J3),0)</f>
        <v>0</v>
      </c>
    </row>
    <row r="4" spans="1:13" x14ac:dyDescent="0.2">
      <c r="A4" s="1">
        <v>45684</v>
      </c>
      <c r="B4">
        <v>2</v>
      </c>
      <c r="C4" s="2" t="s">
        <v>22</v>
      </c>
      <c r="D4" s="3">
        <v>800</v>
      </c>
      <c r="E4" s="4">
        <v>-189.88874999999999</v>
      </c>
      <c r="F4" t="s">
        <v>18</v>
      </c>
      <c r="G4" s="25">
        <f t="shared" si="0"/>
        <v>-151911</v>
      </c>
      <c r="H4" s="25">
        <f t="array" ref="H4">IF(A4=A3,0,SUM(_xlfn._xlws.FILTER(G4:G24,A4:A24=A4)))</f>
        <v>0</v>
      </c>
      <c r="I4" s="25">
        <f t="array" ref="I4">IFERROR(IF(A4=A3,0,SUM(_xlfn._xlws.FILTER(G4:G24,(A4:A24=A4)*(E4:E24&lt;0)))),0)</f>
        <v>0</v>
      </c>
      <c r="J4" s="25">
        <f t="array" ref="J4">IFERROR(IF(A4=A3,0,SUM(_xlfn._xlws.FILTER(G4:G24,(A4:A24=A4)*(E4:E24&gt;0)))),0)</f>
        <v>0</v>
      </c>
      <c r="K4" s="25">
        <f>IF(H4&lt;&gt;0,SUM(H$2:H4),0)</f>
        <v>0</v>
      </c>
      <c r="L4" s="25">
        <f>IF(I4&lt;&gt;0,SUM(I$2:I4),0)</f>
        <v>0</v>
      </c>
      <c r="M4" s="25">
        <f>IF(J4&lt;&gt;0,SUM(J$2:J4),0)</f>
        <v>0</v>
      </c>
    </row>
    <row r="5" spans="1:13" x14ac:dyDescent="0.2">
      <c r="A5" s="1">
        <v>45684</v>
      </c>
      <c r="B5">
        <v>2</v>
      </c>
      <c r="C5" s="2" t="s">
        <v>25</v>
      </c>
      <c r="D5" s="3">
        <v>1200</v>
      </c>
      <c r="E5" s="4">
        <v>72.409469999999999</v>
      </c>
      <c r="G5" s="25">
        <f t="shared" si="0"/>
        <v>86891.364000000001</v>
      </c>
      <c r="H5" s="25">
        <f t="array" ref="H5">IF(A5=A4,0,SUM(_xlfn._xlws.FILTER(G5:G25,A5:A25=A5)))</f>
        <v>0</v>
      </c>
      <c r="I5" s="25">
        <f t="array" ref="I5">IFERROR(IF(A5=A4,0,SUM(_xlfn._xlws.FILTER(G5:G25,(A5:A25=A5)*(E5:E25&lt;0)))),0)</f>
        <v>0</v>
      </c>
      <c r="J5" s="25">
        <f t="array" ref="J5">IFERROR(IF(A5=A4,0,SUM(_xlfn._xlws.FILTER(G5:G25,(A5:A25=A5)*(E5:E25&gt;0)))),0)</f>
        <v>0</v>
      </c>
      <c r="K5" s="25">
        <f>IF(H5&lt;&gt;0,SUM(H$2:H5),0)</f>
        <v>0</v>
      </c>
      <c r="L5" s="25">
        <f>IF(I5&lt;&gt;0,SUM(I$2:I5),0)</f>
        <v>0</v>
      </c>
      <c r="M5" s="25">
        <f>IF(J5&lt;&gt;0,SUM(J$2:J5),0)</f>
        <v>0</v>
      </c>
    </row>
    <row r="6" spans="1:13" x14ac:dyDescent="0.2">
      <c r="A6" s="1">
        <v>45684</v>
      </c>
      <c r="B6">
        <v>2</v>
      </c>
      <c r="C6" s="2" t="s">
        <v>28</v>
      </c>
      <c r="D6" s="3">
        <v>900</v>
      </c>
      <c r="E6" s="4">
        <v>113.21462</v>
      </c>
      <c r="G6" s="25">
        <f t="shared" si="0"/>
        <v>101893.158</v>
      </c>
      <c r="H6" s="25">
        <f t="array" ref="H6">IF(A6=A5,0,SUM(_xlfn._xlws.FILTER(G6:G26,A6:A26=A6)))</f>
        <v>0</v>
      </c>
      <c r="I6" s="25">
        <f t="array" ref="I6">IFERROR(IF(A6=A5,0,SUM(_xlfn._xlws.FILTER(G6:G26,(A6:A26=A6)*(E6:E26&lt;0)))),0)</f>
        <v>0</v>
      </c>
      <c r="J6" s="25">
        <f t="array" ref="J6">IFERROR(IF(A6=A5,0,SUM(_xlfn._xlws.FILTER(G6:G26,(A6:A26=A6)*(E6:E26&gt;0)))),0)</f>
        <v>0</v>
      </c>
      <c r="K6" s="25">
        <f>IF(H6&lt;&gt;0,SUM(H$2:H6),0)</f>
        <v>0</v>
      </c>
      <c r="L6" s="25">
        <f>IF(I6&lt;&gt;0,SUM(I$2:I6),0)</f>
        <v>0</v>
      </c>
      <c r="M6" s="25">
        <f>IF(J6&lt;&gt;0,SUM(J$2:J6),0)</f>
        <v>0</v>
      </c>
    </row>
    <row r="7" spans="1:13" x14ac:dyDescent="0.2">
      <c r="A7" s="1">
        <v>45684</v>
      </c>
      <c r="C7" s="2" t="s">
        <v>31</v>
      </c>
      <c r="D7" s="3">
        <v>5000</v>
      </c>
      <c r="E7" s="4">
        <v>32.770000000000003</v>
      </c>
      <c r="G7" s="25">
        <f t="shared" si="0"/>
        <v>163850.00000000003</v>
      </c>
      <c r="H7" s="25">
        <f t="array" ref="H7">IF(A7=A6,0,SUM(_xlfn._xlws.FILTER(G7:G27,A7:A27=A7)))</f>
        <v>0</v>
      </c>
      <c r="I7" s="25">
        <f t="array" ref="I7">IFERROR(IF(A7=A6,0,SUM(_xlfn._xlws.FILTER(G7:G27,(A7:A27=A7)*(E7:E27&lt;0)))),0)</f>
        <v>0</v>
      </c>
      <c r="J7" s="25">
        <f t="array" ref="J7">IFERROR(IF(A7=A6,0,SUM(_xlfn._xlws.FILTER(G7:G27,(A7:A27=A7)*(E7:E27&gt;0)))),0)</f>
        <v>0</v>
      </c>
      <c r="K7" s="25">
        <f>IF(H7&lt;&gt;0,SUM(H$2:H7),0)</f>
        <v>0</v>
      </c>
      <c r="L7" s="25">
        <f>IF(I7&lt;&gt;0,SUM(I$2:I7),0)</f>
        <v>0</v>
      </c>
      <c r="M7" s="25">
        <f>IF(J7&lt;&gt;0,SUM(J$2:J7),0)</f>
        <v>0</v>
      </c>
    </row>
    <row r="8" spans="1:13" x14ac:dyDescent="0.2">
      <c r="A8" s="1">
        <v>45684</v>
      </c>
      <c r="C8" s="2" t="s">
        <v>34</v>
      </c>
      <c r="D8" s="3">
        <v>1300</v>
      </c>
      <c r="E8" s="4">
        <v>70.209999999999994</v>
      </c>
      <c r="G8" s="25">
        <f t="shared" si="0"/>
        <v>91272.999999999985</v>
      </c>
      <c r="H8" s="25">
        <f t="array" ref="H8">IF(A8=A7,0,SUM(_xlfn._xlws.FILTER(G8:G28,A8:A28=A8)))</f>
        <v>0</v>
      </c>
      <c r="I8" s="25">
        <f t="array" ref="I8">IFERROR(IF(A8=A7,0,SUM(_xlfn._xlws.FILTER(G8:G28,(A8:A28=A8)*(E8:E28&lt;0)))),0)</f>
        <v>0</v>
      </c>
      <c r="J8" s="25">
        <f t="array" ref="J8">IFERROR(IF(A8=A7,0,SUM(_xlfn._xlws.FILTER(G8:G28,(A8:A28=A8)*(E8:E28&gt;0)))),0)</f>
        <v>0</v>
      </c>
      <c r="K8" s="25">
        <f>IF(H8&lt;&gt;0,SUM(H$2:H8),0)</f>
        <v>0</v>
      </c>
      <c r="L8" s="25">
        <f>IF(I8&lt;&gt;0,SUM(I$2:I8),0)</f>
        <v>0</v>
      </c>
      <c r="M8" s="25">
        <f>IF(J8&lt;&gt;0,SUM(J$2:J8),0)</f>
        <v>0</v>
      </c>
    </row>
    <row r="9" spans="1:13" x14ac:dyDescent="0.2">
      <c r="A9" s="1">
        <v>45684</v>
      </c>
      <c r="C9" s="2" t="s">
        <v>37</v>
      </c>
      <c r="D9" s="3">
        <v>200</v>
      </c>
      <c r="E9" s="4">
        <v>197.35499999999999</v>
      </c>
      <c r="G9" s="25">
        <f t="shared" si="0"/>
        <v>39471</v>
      </c>
      <c r="H9" s="25">
        <f t="array" ref="H9">IF(A9=A8,0,SUM(_xlfn._xlws.FILTER(G9:G29,A9:A29=A9)))</f>
        <v>0</v>
      </c>
      <c r="I9" s="25">
        <f t="array" ref="I9">IFERROR(IF(A9=A8,0,SUM(_xlfn._xlws.FILTER(G9:G29,(A9:A29=A9)*(E9:E29&lt;0)))),0)</f>
        <v>0</v>
      </c>
      <c r="J9" s="25">
        <f t="array" ref="J9">IFERROR(IF(A9=A8,0,SUM(_xlfn._xlws.FILTER(G9:G29,(A9:A29=A9)*(E9:E29&gt;0)))),0)</f>
        <v>0</v>
      </c>
      <c r="K9" s="25">
        <f>IF(H9&lt;&gt;0,SUM(H$2:H9),0)</f>
        <v>0</v>
      </c>
      <c r="L9" s="25">
        <f>IF(I9&lt;&gt;0,SUM(I$2:I9),0)</f>
        <v>0</v>
      </c>
      <c r="M9" s="25">
        <f>IF(J9&lt;&gt;0,SUM(J$2:J9),0)</f>
        <v>0</v>
      </c>
    </row>
    <row r="10" spans="1:13" x14ac:dyDescent="0.2">
      <c r="A10" s="1">
        <v>45684</v>
      </c>
      <c r="C10" s="2" t="s">
        <v>39</v>
      </c>
      <c r="D10" s="3">
        <v>2000</v>
      </c>
      <c r="E10" s="4">
        <v>-59.125</v>
      </c>
      <c r="G10" s="25">
        <f t="shared" si="0"/>
        <v>-118250</v>
      </c>
      <c r="H10" s="25">
        <f t="array" ref="H10">IF(A10=A9,0,SUM(_xlfn._xlws.FILTER(G10:G30,A10:A30=A10)))</f>
        <v>0</v>
      </c>
      <c r="I10" s="25">
        <f t="array" ref="I10">IFERROR(IF(A10=A9,0,SUM(_xlfn._xlws.FILTER(G10:G30,(A10:A30=A10)*(E10:E30&lt;0)))),0)</f>
        <v>0</v>
      </c>
      <c r="J10" s="25">
        <f t="array" ref="J10">IFERROR(IF(A10=A9,0,SUM(_xlfn._xlws.FILTER(G10:G30,(A10:A30=A10)*(E10:E30&gt;0)))),0)</f>
        <v>0</v>
      </c>
      <c r="K10" s="25">
        <f>IF(H10&lt;&gt;0,SUM(H$2:H10),0)</f>
        <v>0</v>
      </c>
      <c r="L10" s="25">
        <f>IF(I10&lt;&gt;0,SUM(I$2:I10),0)</f>
        <v>0</v>
      </c>
      <c r="M10" s="25">
        <f>IF(J10&lt;&gt;0,SUM(J$2:J10),0)</f>
        <v>0</v>
      </c>
    </row>
    <row r="11" spans="1:13" x14ac:dyDescent="0.2">
      <c r="A11" s="1">
        <v>45684</v>
      </c>
      <c r="C11" s="2" t="s">
        <v>41</v>
      </c>
      <c r="D11" s="3">
        <v>2000</v>
      </c>
      <c r="E11" s="4">
        <v>-60.379750000000001</v>
      </c>
      <c r="F11" t="s">
        <v>18</v>
      </c>
      <c r="G11" s="25">
        <f t="shared" si="0"/>
        <v>-120759.5</v>
      </c>
      <c r="H11" s="25">
        <f t="array" ref="H11">IF(A11=A10,0,SUM(_xlfn._xlws.FILTER(G11:G31,A11:A31=A11)))</f>
        <v>0</v>
      </c>
      <c r="I11" s="25">
        <f t="array" ref="I11">IFERROR(IF(A11=A10,0,SUM(_xlfn._xlws.FILTER(G11:G31,(A11:A31=A11)*(E11:E31&lt;0)))),0)</f>
        <v>0</v>
      </c>
      <c r="J11" s="25">
        <f t="array" ref="J11">IFERROR(IF(A11=A10,0,SUM(_xlfn._xlws.FILTER(G11:G31,(A11:A31=A11)*(E11:E31&gt;0)))),0)</f>
        <v>0</v>
      </c>
      <c r="K11" s="25">
        <f>IF(H11&lt;&gt;0,SUM(H$2:H11),0)</f>
        <v>0</v>
      </c>
      <c r="L11" s="25">
        <f>IF(I11&lt;&gt;0,SUM(I$2:I11),0)</f>
        <v>0</v>
      </c>
      <c r="M11" s="25">
        <f>IF(J11&lt;&gt;0,SUM(J$2:J11),0)</f>
        <v>0</v>
      </c>
    </row>
    <row r="12" spans="1:13" x14ac:dyDescent="0.2">
      <c r="A12" s="1">
        <v>45684</v>
      </c>
      <c r="C12" s="2" t="s">
        <v>43</v>
      </c>
      <c r="D12" s="3">
        <v>2000</v>
      </c>
      <c r="E12" s="4">
        <v>-5.0682999999999998</v>
      </c>
      <c r="F12" t="s">
        <v>18</v>
      </c>
      <c r="G12" s="25">
        <f t="shared" si="0"/>
        <v>-10136.6</v>
      </c>
      <c r="H12" s="25">
        <f t="array" ref="H12">IF(A12=A11,0,SUM(_xlfn._xlws.FILTER(G12:G32,A12:A32=A12)))</f>
        <v>0</v>
      </c>
      <c r="I12" s="25">
        <f t="array" ref="I12">IFERROR(IF(A12=A11,0,SUM(_xlfn._xlws.FILTER(G12:G32,(A12:A32=A12)*(E12:E32&lt;0)))),0)</f>
        <v>0</v>
      </c>
      <c r="J12" s="25">
        <f t="array" ref="J12">IFERROR(IF(A12=A11,0,SUM(_xlfn._xlws.FILTER(G12:G32,(A12:A32=A12)*(E12:E32&gt;0)))),0)</f>
        <v>0</v>
      </c>
      <c r="K12" s="25">
        <f>IF(H12&lt;&gt;0,SUM(H$2:H12),0)</f>
        <v>0</v>
      </c>
      <c r="L12" s="25">
        <f>IF(I12&lt;&gt;0,SUM(I$2:I12),0)</f>
        <v>0</v>
      </c>
      <c r="M12" s="25">
        <f>IF(J12&lt;&gt;0,SUM(J$2:J12),0)</f>
        <v>0</v>
      </c>
    </row>
    <row r="13" spans="1:13" x14ac:dyDescent="0.2">
      <c r="A13" s="1">
        <v>45684</v>
      </c>
      <c r="C13" s="2" t="s">
        <v>45</v>
      </c>
      <c r="D13" s="3">
        <v>4000</v>
      </c>
      <c r="E13" s="4">
        <v>-22.580249999999999</v>
      </c>
      <c r="F13" t="s">
        <v>18</v>
      </c>
      <c r="G13" s="25">
        <f t="shared" si="0"/>
        <v>-90321</v>
      </c>
      <c r="H13" s="25">
        <f t="array" ref="H13">IF(A13=A12,0,SUM(_xlfn._xlws.FILTER(G13:G33,A13:A33=A13)))</f>
        <v>0</v>
      </c>
      <c r="I13" s="25">
        <f t="array" ref="I13">IFERROR(IF(A13=A12,0,SUM(_xlfn._xlws.FILTER(G13:G33,(A13:A33=A13)*(E13:E33&lt;0)))),0)</f>
        <v>0</v>
      </c>
      <c r="J13" s="25">
        <f t="array" ref="J13">IFERROR(IF(A13=A12,0,SUM(_xlfn._xlws.FILTER(G13:G33,(A13:A33=A13)*(E13:E33&gt;0)))),0)</f>
        <v>0</v>
      </c>
      <c r="K13" s="25">
        <f>IF(H13&lt;&gt;0,SUM(H$2:H13),0)</f>
        <v>0</v>
      </c>
      <c r="L13" s="25">
        <f>IF(I13&lt;&gt;0,SUM(I$2:I13),0)</f>
        <v>0</v>
      </c>
      <c r="M13" s="25">
        <f>IF(J13&lt;&gt;0,SUM(J$2:J13),0)</f>
        <v>0</v>
      </c>
    </row>
    <row r="14" spans="1:13" x14ac:dyDescent="0.2">
      <c r="A14" s="5">
        <v>45685</v>
      </c>
      <c r="C14" s="6" t="s">
        <v>49</v>
      </c>
      <c r="D14" s="7">
        <v>10000</v>
      </c>
      <c r="E14" s="8">
        <v>1.46</v>
      </c>
      <c r="F14" t="s">
        <v>18</v>
      </c>
      <c r="G14" s="25">
        <f t="shared" si="0"/>
        <v>14600</v>
      </c>
      <c r="H14" s="25">
        <f t="array" ref="H14">IF(A14=A13,0,SUM(_xlfn._xlws.FILTER(G14:G34,A14:A34=A14)))</f>
        <v>121666.84</v>
      </c>
      <c r="I14" s="25">
        <f t="array" ref="I14">IFERROR(IF(A14=A13,0,SUM(_xlfn._xlws.FILTER(G14:G34,(A14:A34=A14)*(E14:E34&lt;0)))),0)</f>
        <v>-135293.84999999998</v>
      </c>
      <c r="J14" s="25">
        <f t="array" ref="J14">IFERROR(IF(A14=A13,0,SUM(_xlfn._xlws.FILTER(G14:G34,(A14:A34=A14)*(E14:E34&gt;0)))),0)</f>
        <v>256960.69</v>
      </c>
      <c r="K14" s="25">
        <f>IF(H14&lt;&gt;0,SUM(H$2:H14),0)</f>
        <v>57597.261999999995</v>
      </c>
      <c r="L14" s="25">
        <f>IF(I14&lt;&gt;0,SUM(I$2:I14),0)</f>
        <v>-756091.95</v>
      </c>
      <c r="M14" s="25">
        <f>IF(J14&lt;&gt;0,SUM(J$2:J14),0)</f>
        <v>813689.21200000006</v>
      </c>
    </row>
    <row r="15" spans="1:13" x14ac:dyDescent="0.2">
      <c r="A15" s="5">
        <v>45685</v>
      </c>
      <c r="C15" s="9" t="s">
        <v>52</v>
      </c>
      <c r="D15" s="7">
        <v>500</v>
      </c>
      <c r="E15" s="8">
        <v>-142.01769999999999</v>
      </c>
      <c r="F15" t="s">
        <v>18</v>
      </c>
      <c r="G15" s="25">
        <f t="shared" si="0"/>
        <v>-71008.849999999991</v>
      </c>
      <c r="H15" s="25">
        <f t="array" ref="H15">IF(A15=A14,0,SUM(_xlfn._xlws.FILTER(G15:G35,A15:A35=A15)))</f>
        <v>0</v>
      </c>
      <c r="I15" s="25">
        <f t="array" ref="I15">IFERROR(IF(A15=A14,0,SUM(_xlfn._xlws.FILTER(G15:G35,(A15:A35=A15)*(E15:E35&lt;0)))),0)</f>
        <v>0</v>
      </c>
      <c r="J15" s="25">
        <f t="array" ref="J15">IFERROR(IF(A15=A14,0,SUM(_xlfn._xlws.FILTER(G15:G35,(A15:A35=A15)*(E15:E35&gt;0)))),0)</f>
        <v>0</v>
      </c>
      <c r="K15" s="25">
        <f>IF(H15&lt;&gt;0,SUM(H$2:H15),0)</f>
        <v>0</v>
      </c>
      <c r="L15" s="25">
        <f>IF(I15&lt;&gt;0,SUM(I$2:I15),0)</f>
        <v>0</v>
      </c>
      <c r="M15" s="25">
        <f>IF(J15&lt;&gt;0,SUM(J$2:J15),0)</f>
        <v>0</v>
      </c>
    </row>
    <row r="16" spans="1:13" x14ac:dyDescent="0.2">
      <c r="A16" s="5">
        <v>45685</v>
      </c>
      <c r="C16" s="9" t="s">
        <v>55</v>
      </c>
      <c r="D16" s="7">
        <v>100</v>
      </c>
      <c r="E16" s="8">
        <v>546.66999999999996</v>
      </c>
      <c r="G16" s="25">
        <f t="shared" si="0"/>
        <v>54666.999999999993</v>
      </c>
      <c r="H16" s="25">
        <f t="array" ref="H16">IF(A16=A15,0,SUM(_xlfn._xlws.FILTER(G16:G36,A16:A36=A16)))</f>
        <v>0</v>
      </c>
      <c r="I16" s="25">
        <f t="array" ref="I16">IFERROR(IF(A16=A15,0,SUM(_xlfn._xlws.FILTER(G16:G36,(A16:A36=A16)*(E16:E36&lt;0)))),0)</f>
        <v>0</v>
      </c>
      <c r="J16" s="25">
        <f t="array" ref="J16">IFERROR(IF(A16=A15,0,SUM(_xlfn._xlws.FILTER(G16:G36,(A16:A36=A16)*(E16:E36&gt;0)))),0)</f>
        <v>0</v>
      </c>
      <c r="K16" s="25">
        <f>IF(H16&lt;&gt;0,SUM(H$2:H16),0)</f>
        <v>0</v>
      </c>
      <c r="L16" s="25">
        <f>IF(I16&lt;&gt;0,SUM(I$2:I16),0)</f>
        <v>0</v>
      </c>
      <c r="M16" s="25">
        <f>IF(J16&lt;&gt;0,SUM(J$2:J16),0)</f>
        <v>0</v>
      </c>
    </row>
    <row r="17" spans="1:13" x14ac:dyDescent="0.2">
      <c r="A17" s="5">
        <v>45685</v>
      </c>
      <c r="C17" s="9" t="s">
        <v>58</v>
      </c>
      <c r="D17" s="7">
        <v>700</v>
      </c>
      <c r="E17" s="8">
        <v>113.19670000000001</v>
      </c>
      <c r="F17" t="s">
        <v>18</v>
      </c>
      <c r="G17" s="25">
        <f t="shared" si="0"/>
        <v>79237.69</v>
      </c>
      <c r="H17" s="25">
        <f t="array" ref="H17">IF(A17=A16,0,SUM(_xlfn._xlws.FILTER(G17:G37,A17:A37=A17)))</f>
        <v>0</v>
      </c>
      <c r="I17" s="25">
        <f t="array" ref="I17">IFERROR(IF(A17=A16,0,SUM(_xlfn._xlws.FILTER(G17:G37,(A17:A37=A17)*(E17:E37&lt;0)))),0)</f>
        <v>0</v>
      </c>
      <c r="J17" s="25">
        <f t="array" ref="J17">IFERROR(IF(A17=A16,0,SUM(_xlfn._xlws.FILTER(G17:G37,(A17:A37=A17)*(E17:E37&gt;0)))),0)</f>
        <v>0</v>
      </c>
      <c r="K17" s="25">
        <f>IF(H17&lt;&gt;0,SUM(H$2:H17),0)</f>
        <v>0</v>
      </c>
      <c r="L17" s="25">
        <f>IF(I17&lt;&gt;0,SUM(I$2:I17),0)</f>
        <v>0</v>
      </c>
      <c r="M17" s="25">
        <f>IF(J17&lt;&gt;0,SUM(J$2:J17),0)</f>
        <v>0</v>
      </c>
    </row>
    <row r="18" spans="1:13" x14ac:dyDescent="0.2">
      <c r="A18" s="5">
        <v>45685</v>
      </c>
      <c r="C18" s="9" t="s">
        <v>61</v>
      </c>
      <c r="D18" s="7">
        <v>200</v>
      </c>
      <c r="E18" s="8">
        <v>231.18</v>
      </c>
      <c r="G18" s="25">
        <f t="shared" si="0"/>
        <v>46236</v>
      </c>
      <c r="H18" s="25">
        <f t="array" ref="H18">IF(A18=A17,0,SUM(_xlfn._xlws.FILTER(G18:G38,A18:A38=A18)))</f>
        <v>0</v>
      </c>
      <c r="I18" s="25">
        <f t="array" ref="I18">IFERROR(IF(A18=A17,0,SUM(_xlfn._xlws.FILTER(G18:G38,(A18:A38=A18)*(E18:E38&lt;0)))),0)</f>
        <v>0</v>
      </c>
      <c r="J18" s="25">
        <f t="array" ref="J18">IFERROR(IF(A18=A17,0,SUM(_xlfn._xlws.FILTER(G18:G38,(A18:A38=A18)*(E18:E38&gt;0)))),0)</f>
        <v>0</v>
      </c>
      <c r="K18" s="25">
        <f>IF(H18&lt;&gt;0,SUM(H$2:H18),0)</f>
        <v>0</v>
      </c>
      <c r="L18" s="25">
        <f>IF(I18&lt;&gt;0,SUM(I$2:I18),0)</f>
        <v>0</v>
      </c>
      <c r="M18" s="25">
        <f>IF(J18&lt;&gt;0,SUM(J$2:J18),0)</f>
        <v>0</v>
      </c>
    </row>
    <row r="19" spans="1:13" x14ac:dyDescent="0.2">
      <c r="A19" s="5">
        <v>45685</v>
      </c>
      <c r="C19" s="9" t="s">
        <v>63</v>
      </c>
      <c r="D19" s="7">
        <v>100</v>
      </c>
      <c r="E19" s="8">
        <v>-642.85</v>
      </c>
      <c r="G19" s="25">
        <f t="shared" si="0"/>
        <v>-64285</v>
      </c>
      <c r="H19" s="25">
        <f t="array" ref="H19">IF(A19=A18,0,SUM(_xlfn._xlws.FILTER(G19:G39,A19:A39=A19)))</f>
        <v>0</v>
      </c>
      <c r="I19" s="25">
        <f t="array" ref="I19">IFERROR(IF(A19=A18,0,SUM(_xlfn._xlws.FILTER(G19:G39,(A19:A39=A19)*(E19:E39&lt;0)))),0)</f>
        <v>0</v>
      </c>
      <c r="J19" s="25">
        <f t="array" ref="J19">IFERROR(IF(A19=A18,0,SUM(_xlfn._xlws.FILTER(G19:G39,(A19:A39=A19)*(E19:E39&gt;0)))),0)</f>
        <v>0</v>
      </c>
      <c r="K19" s="25">
        <f>IF(H19&lt;&gt;0,SUM(H$2:H19),0)</f>
        <v>0</v>
      </c>
      <c r="L19" s="25">
        <f>IF(I19&lt;&gt;0,SUM(I$2:I19),0)</f>
        <v>0</v>
      </c>
      <c r="M19" s="25">
        <f>IF(J19&lt;&gt;0,SUM(J$2:J19),0)</f>
        <v>0</v>
      </c>
    </row>
    <row r="20" spans="1:13" x14ac:dyDescent="0.2">
      <c r="A20" s="5">
        <v>45685</v>
      </c>
      <c r="C20" s="9" t="s">
        <v>65</v>
      </c>
      <c r="D20" s="7">
        <v>6000</v>
      </c>
      <c r="E20" s="8">
        <v>10.37</v>
      </c>
      <c r="G20" s="25">
        <f t="shared" si="0"/>
        <v>62219.999999999993</v>
      </c>
      <c r="H20" s="25">
        <f t="array" ref="H20">IF(A20=A19,0,SUM(_xlfn._xlws.FILTER(G20:G40,A20:A40=A20)))</f>
        <v>0</v>
      </c>
      <c r="I20" s="25">
        <f t="array" ref="I20">IFERROR(IF(A20=A19,0,SUM(_xlfn._xlws.FILTER(G20:G40,(A20:A40=A20)*(E20:E40&lt;0)))),0)</f>
        <v>0</v>
      </c>
      <c r="J20" s="25">
        <f t="array" ref="J20">IFERROR(IF(A20=A19,0,SUM(_xlfn._xlws.FILTER(G20:G40,(A20:A40=A20)*(E20:E40&gt;0)))),0)</f>
        <v>0</v>
      </c>
      <c r="K20" s="25">
        <f>IF(H20&lt;&gt;0,SUM(H$2:H20),0)</f>
        <v>0</v>
      </c>
      <c r="L20" s="25">
        <f>IF(I20&lt;&gt;0,SUM(I$2:I20),0)</f>
        <v>0</v>
      </c>
      <c r="M20" s="25">
        <f>IF(J20&lt;&gt;0,SUM(J$2:J20),0)</f>
        <v>0</v>
      </c>
    </row>
    <row r="21" spans="1:13" x14ac:dyDescent="0.2">
      <c r="A21" s="1">
        <v>45686</v>
      </c>
      <c r="C21" s="2" t="s">
        <v>69</v>
      </c>
      <c r="D21" s="3">
        <v>6300</v>
      </c>
      <c r="E21" s="4">
        <v>10.39</v>
      </c>
      <c r="G21" s="25">
        <f t="shared" si="0"/>
        <v>65457</v>
      </c>
      <c r="H21" s="25">
        <f t="array" ref="H21">IF(A21=A20,0,SUM(_xlfn._xlws.FILTER(G21:G41,A21:A41=A21)))</f>
        <v>408827.35000000003</v>
      </c>
      <c r="I21" s="25">
        <f t="array" ref="I21">IFERROR(IF(A21=A20,0,SUM(_xlfn._xlws.FILTER(G21:G41,(A21:A41=A21)*(E21:E41&lt;0)))),0)</f>
        <v>-96808.849999999991</v>
      </c>
      <c r="J21" s="25">
        <f t="array" ref="J21">IFERROR(IF(A21=A20,0,SUM(_xlfn._xlws.FILTER(G21:G41,(A21:A41=A21)*(E21:E41&gt;0)))),0)</f>
        <v>505636.2</v>
      </c>
      <c r="K21" s="25">
        <f>IF(H21&lt;&gt;0,SUM(H$2:H21),0)</f>
        <v>466424.61200000002</v>
      </c>
      <c r="L21" s="25">
        <f>IF(I21&lt;&gt;0,SUM(I$2:I21),0)</f>
        <v>-852900.79999999993</v>
      </c>
      <c r="M21" s="25">
        <f>IF(J21&lt;&gt;0,SUM(J$2:J21),0)</f>
        <v>1319325.412</v>
      </c>
    </row>
    <row r="22" spans="1:13" x14ac:dyDescent="0.2">
      <c r="A22" s="1">
        <v>45686</v>
      </c>
      <c r="C22" s="2" t="s">
        <v>72</v>
      </c>
      <c r="D22" s="3">
        <v>4000</v>
      </c>
      <c r="E22" s="4">
        <v>29.33</v>
      </c>
      <c r="G22" s="25">
        <f t="shared" si="0"/>
        <v>117320</v>
      </c>
      <c r="H22" s="25">
        <f t="array" ref="H22">IF(A22=A21,0,SUM(_xlfn._xlws.FILTER(G22:G42,A22:A42=A22)))</f>
        <v>0</v>
      </c>
      <c r="I22" s="25">
        <f t="array" ref="I22">IFERROR(IF(A22=A21,0,SUM(_xlfn._xlws.FILTER(G22:G42,(A22:A42=A22)*(E22:E42&lt;0)))),0)</f>
        <v>0</v>
      </c>
      <c r="J22" s="25">
        <f t="array" ref="J22">IFERROR(IF(A22=A21,0,SUM(_xlfn._xlws.FILTER(G22:G42,(A22:A42=A22)*(E22:E42&gt;0)))),0)</f>
        <v>0</v>
      </c>
      <c r="K22" s="25">
        <f>IF(H22&lt;&gt;0,SUM(H$2:H22),0)</f>
        <v>0</v>
      </c>
      <c r="L22" s="25">
        <f>IF(I22&lt;&gt;0,SUM(I$2:I22),0)</f>
        <v>0</v>
      </c>
      <c r="M22" s="25">
        <f>IF(J22&lt;&gt;0,SUM(J$2:J22),0)</f>
        <v>0</v>
      </c>
    </row>
    <row r="23" spans="1:13" hidden="1" x14ac:dyDescent="0.2">
      <c r="A23" s="1">
        <v>45686</v>
      </c>
      <c r="C23" s="2" t="s">
        <v>74</v>
      </c>
      <c r="D23" s="3">
        <v>4000</v>
      </c>
      <c r="E23" s="4">
        <v>29.29</v>
      </c>
      <c r="G23" s="25">
        <f t="shared" si="0"/>
        <v>117160</v>
      </c>
      <c r="H23" s="25">
        <f t="array" ref="H23">IF(A23=A22,0,SUM(_xlfn._xlws.FILTER(G23:G43,A23:A43=A23)))</f>
        <v>0</v>
      </c>
      <c r="I23" s="25">
        <f t="array" ref="I23">IFERROR(IF(A23=A22,0,SUM(_xlfn._xlws.FILTER(G23:G43,(A23:A43=A23)*(E23:E43&lt;0)))),0)</f>
        <v>0</v>
      </c>
      <c r="J23" s="25">
        <f t="array" ref="J23">IFERROR(IF(A23=A22,0,SUM(_xlfn._xlws.FILTER(G23:G43,(A23:A43=A23)*(E23:E43&gt;0)))),0)</f>
        <v>0</v>
      </c>
      <c r="K23" s="25">
        <f>IF(H23&lt;&gt;0,SUM(H$2:H23),0)</f>
        <v>0</v>
      </c>
      <c r="L23" s="25">
        <f>IF(I23&lt;&gt;0,SUM(I$2:I23),0)</f>
        <v>0</v>
      </c>
      <c r="M23" s="25">
        <f>IF(J23&lt;&gt;0,SUM(J$2:J23),0)</f>
        <v>0</v>
      </c>
    </row>
    <row r="24" spans="1:13" hidden="1" x14ac:dyDescent="0.2">
      <c r="A24" s="1">
        <v>45686</v>
      </c>
      <c r="C24" s="2" t="s">
        <v>76</v>
      </c>
      <c r="D24" s="3">
        <v>500</v>
      </c>
      <c r="E24" s="4">
        <v>80.89</v>
      </c>
      <c r="G24" s="25">
        <f t="shared" si="0"/>
        <v>40445</v>
      </c>
      <c r="H24" s="25">
        <f t="array" ref="H24">IF(A24=A23,0,SUM(_xlfn._xlws.FILTER(G24:G44,A24:A44=A24)))</f>
        <v>0</v>
      </c>
      <c r="I24" s="25">
        <f t="array" ref="I24">IFERROR(IF(A24=A23,0,SUM(_xlfn._xlws.FILTER(G24:G44,(A24:A44=A24)*(E24:E44&lt;0)))),0)</f>
        <v>0</v>
      </c>
      <c r="J24" s="25">
        <f t="array" ref="J24">IFERROR(IF(A24=A23,0,SUM(_xlfn._xlws.FILTER(G24:G44,(A24:A44=A24)*(E24:E44&gt;0)))),0)</f>
        <v>0</v>
      </c>
      <c r="K24" s="25">
        <f>IF(H24&lt;&gt;0,SUM(H$2:H24),0)</f>
        <v>0</v>
      </c>
      <c r="L24" s="25">
        <f>IF(I24&lt;&gt;0,SUM(I$2:I24),0)</f>
        <v>0</v>
      </c>
      <c r="M24" s="25">
        <f>IF(J24&lt;&gt;0,SUM(J$2:J24),0)</f>
        <v>0</v>
      </c>
    </row>
    <row r="25" spans="1:13" hidden="1" x14ac:dyDescent="0.2">
      <c r="A25" s="1">
        <v>45686</v>
      </c>
      <c r="C25" s="2" t="s">
        <v>78</v>
      </c>
      <c r="D25" s="3">
        <v>15000</v>
      </c>
      <c r="E25" s="4">
        <v>-1.72</v>
      </c>
      <c r="G25" s="25">
        <f t="shared" si="0"/>
        <v>-25800</v>
      </c>
      <c r="H25" s="25">
        <f t="array" ref="H25">IF(A25=A24,0,SUM(_xlfn._xlws.FILTER(G25:G45,A25:A45=A25)))</f>
        <v>0</v>
      </c>
      <c r="I25" s="25">
        <f t="array" ref="I25">IFERROR(IF(A25=A24,0,SUM(_xlfn._xlws.FILTER(G25:G45,(A25:A45=A25)*(E25:E45&lt;0)))),0)</f>
        <v>0</v>
      </c>
      <c r="J25" s="25">
        <f t="array" ref="J25">IFERROR(IF(A25=A24,0,SUM(_xlfn._xlws.FILTER(G25:G45,(A25:A45=A25)*(E25:E45&gt;0)))),0)</f>
        <v>0</v>
      </c>
      <c r="K25" s="25">
        <f>IF(H25&lt;&gt;0,SUM(H$2:H25),0)</f>
        <v>0</v>
      </c>
      <c r="L25" s="25">
        <f>IF(I25&lt;&gt;0,SUM(I$2:I25),0)</f>
        <v>0</v>
      </c>
      <c r="M25" s="25">
        <f>IF(J25&lt;&gt;0,SUM(J$2:J25),0)</f>
        <v>0</v>
      </c>
    </row>
    <row r="26" spans="1:13" hidden="1" x14ac:dyDescent="0.2">
      <c r="A26" s="1">
        <v>45686</v>
      </c>
      <c r="C26" s="2" t="s">
        <v>81</v>
      </c>
      <c r="D26" s="3">
        <v>3000</v>
      </c>
      <c r="E26" s="4">
        <v>41.35</v>
      </c>
      <c r="G26" s="25">
        <f t="shared" si="0"/>
        <v>124050</v>
      </c>
      <c r="H26" s="25">
        <f t="array" ref="H26">IF(A26=A25,0,SUM(_xlfn._xlws.FILTER(G26:G46,A26:A46=A26)))</f>
        <v>0</v>
      </c>
      <c r="I26" s="25">
        <f t="array" ref="I26">IFERROR(IF(A26=A25,0,SUM(_xlfn._xlws.FILTER(G26:G46,(A26:A46=A26)*(E26:E46&lt;0)))),0)</f>
        <v>0</v>
      </c>
      <c r="J26" s="25">
        <f t="array" ref="J26">IFERROR(IF(A26=A25,0,SUM(_xlfn._xlws.FILTER(G26:G46,(A26:A46=A26)*(E26:E46&gt;0)))),0)</f>
        <v>0</v>
      </c>
      <c r="K26" s="25">
        <f>IF(H26&lt;&gt;0,SUM(H$2:H26),0)</f>
        <v>0</v>
      </c>
      <c r="L26" s="25">
        <f>IF(I26&lt;&gt;0,SUM(I$2:I26),0)</f>
        <v>0</v>
      </c>
      <c r="M26" s="25">
        <f>IF(J26&lt;&gt;0,SUM(J$2:J26),0)</f>
        <v>0</v>
      </c>
    </row>
    <row r="27" spans="1:13" hidden="1" x14ac:dyDescent="0.2">
      <c r="A27" s="1">
        <v>45686</v>
      </c>
      <c r="C27" s="2" t="s">
        <v>84</v>
      </c>
      <c r="D27" s="3">
        <v>400</v>
      </c>
      <c r="E27" s="4">
        <v>103.01049999999999</v>
      </c>
      <c r="G27" s="25">
        <f t="shared" si="0"/>
        <v>41204.199999999997</v>
      </c>
      <c r="H27" s="25">
        <f t="array" ref="H27">IF(A27=A26,0,SUM(_xlfn._xlws.FILTER(G27:G47,A27:A47=A27)))</f>
        <v>0</v>
      </c>
      <c r="I27" s="25">
        <f t="array" ref="I27">IFERROR(IF(A27=A26,0,SUM(_xlfn._xlws.FILTER(G27:G47,(A27:A47=A27)*(E27:E47&lt;0)))),0)</f>
        <v>0</v>
      </c>
      <c r="J27" s="25">
        <f t="array" ref="J27">IFERROR(IF(A27=A26,0,SUM(_xlfn._xlws.FILTER(G27:G47,(A27:A47=A27)*(E27:E47&gt;0)))),0)</f>
        <v>0</v>
      </c>
      <c r="K27" s="25">
        <f>IF(H27&lt;&gt;0,SUM(H$2:H27),0)</f>
        <v>0</v>
      </c>
      <c r="L27" s="25">
        <f>IF(I27&lt;&gt;0,SUM(I$2:I27),0)</f>
        <v>0</v>
      </c>
      <c r="M27" s="25">
        <f>IF(J27&lt;&gt;0,SUM(J$2:J27),0)</f>
        <v>0</v>
      </c>
    </row>
    <row r="28" spans="1:13" hidden="1" x14ac:dyDescent="0.2">
      <c r="A28" s="1">
        <v>45686</v>
      </c>
      <c r="C28" s="2" t="s">
        <v>52</v>
      </c>
      <c r="D28" s="3">
        <v>500</v>
      </c>
      <c r="E28" s="4">
        <v>-142.01769999999999</v>
      </c>
      <c r="G28" s="25">
        <f t="shared" si="0"/>
        <v>-71008.849999999991</v>
      </c>
      <c r="H28" s="25">
        <f t="array" ref="H28">IF(A28=A27,0,SUM(_xlfn._xlws.FILTER(G28:G48,A28:A48=A28)))</f>
        <v>0</v>
      </c>
      <c r="I28" s="25">
        <f t="array" ref="I28">IFERROR(IF(A28=A27,0,SUM(_xlfn._xlws.FILTER(G28:G48,(A28:A48=A28)*(E28:E48&lt;0)))),0)</f>
        <v>0</v>
      </c>
      <c r="J28" s="25">
        <f t="array" ref="J28">IFERROR(IF(A28=A27,0,SUM(_xlfn._xlws.FILTER(G28:G48,(A28:A48=A28)*(E28:E48&gt;0)))),0)</f>
        <v>0</v>
      </c>
      <c r="K28" s="25">
        <f>IF(H28&lt;&gt;0,SUM(H$2:H28),0)</f>
        <v>0</v>
      </c>
      <c r="L28" s="25">
        <f>IF(I28&lt;&gt;0,SUM(I$2:I28),0)</f>
        <v>0</v>
      </c>
      <c r="M28" s="25">
        <f>IF(J28&lt;&gt;0,SUM(J$2:J28),0)</f>
        <v>0</v>
      </c>
    </row>
    <row r="29" spans="1:13" hidden="1" x14ac:dyDescent="0.2">
      <c r="A29" s="5">
        <v>45687</v>
      </c>
      <c r="C29" s="9" t="s">
        <v>45</v>
      </c>
      <c r="D29" s="7">
        <v>4000</v>
      </c>
      <c r="E29" s="8">
        <v>-21.21</v>
      </c>
      <c r="G29" s="25">
        <f t="shared" si="0"/>
        <v>-84840</v>
      </c>
      <c r="H29" s="25">
        <f t="array" ref="H29">IF(A29=A28,0,SUM(_xlfn._xlws.FILTER(G29:G49,A29:A49=A29)))</f>
        <v>-84840</v>
      </c>
      <c r="I29" s="25">
        <f t="array" ref="I29">IFERROR(IF(A29=A28,0,SUM(_xlfn._xlws.FILTER(G29:G49,(A29:A49=A29)*(E29:E49&lt;0)))),0)</f>
        <v>-84840</v>
      </c>
      <c r="J29" s="25">
        <f t="array" ref="J29">IFERROR(IF(A29=A28,0,SUM(_xlfn._xlws.FILTER(G29:G49,(A29:A49=A29)*(E29:E49&gt;0)))),0)</f>
        <v>0</v>
      </c>
      <c r="K29" s="25">
        <f>IF(H29&lt;&gt;0,SUM(H$2:H29),0)</f>
        <v>381584.61200000002</v>
      </c>
      <c r="L29" s="25">
        <f>IF(I29&lt;&gt;0,SUM(I$2:I29),0)</f>
        <v>-937740.79999999993</v>
      </c>
      <c r="M29" s="25">
        <f>IF(J29&lt;&gt;0,SUM(J$2:J29),0)</f>
        <v>0</v>
      </c>
    </row>
    <row r="30" spans="1:13" hidden="1" x14ac:dyDescent="0.2">
      <c r="A30" s="1">
        <v>45688</v>
      </c>
      <c r="C30" s="2" t="s">
        <v>90</v>
      </c>
      <c r="D30" s="3">
        <v>200</v>
      </c>
      <c r="E30" s="4">
        <v>-233.95</v>
      </c>
      <c r="G30" s="25">
        <f t="shared" si="0"/>
        <v>-46790</v>
      </c>
      <c r="H30" s="25">
        <f t="array" ref="H30">IF(A30=A29,0,SUM(_xlfn._xlws.FILTER(G30:G50,A30:A50=A30)))</f>
        <v>78944.12</v>
      </c>
      <c r="I30" s="25">
        <f t="array" ref="I30">IFERROR(IF(A30=A29,0,SUM(_xlfn._xlws.FILTER(G30:G50,(A30:A50=A30)*(E30:E50&lt;0)))),0)</f>
        <v>-104695.88</v>
      </c>
      <c r="J30" s="25">
        <f t="array" ref="J30">IFERROR(IF(A30=A29,0,SUM(_xlfn._xlws.FILTER(G30:G50,(A30:A50=A30)*(E30:E50&gt;0)))),0)</f>
        <v>183640</v>
      </c>
      <c r="K30" s="25">
        <f>IF(H30&lt;&gt;0,SUM(H$2:H30),0)</f>
        <v>460528.73200000002</v>
      </c>
      <c r="L30" s="25">
        <f>IF(I30&lt;&gt;0,SUM(I$2:I30),0)</f>
        <v>-1042436.6799999999</v>
      </c>
      <c r="M30" s="25">
        <f>IF(J30&lt;&gt;0,SUM(J$2:J30),0)</f>
        <v>1502965.412</v>
      </c>
    </row>
    <row r="31" spans="1:13" hidden="1" x14ac:dyDescent="0.2">
      <c r="A31" s="1">
        <v>45688</v>
      </c>
      <c r="C31" s="2" t="s">
        <v>52</v>
      </c>
      <c r="D31" s="3">
        <v>150</v>
      </c>
      <c r="E31" s="4">
        <v>-140.46</v>
      </c>
      <c r="G31" s="25">
        <f t="shared" si="0"/>
        <v>-21069</v>
      </c>
      <c r="H31" s="25">
        <f t="array" ref="H31">IF(A31=A30,0,SUM(_xlfn._xlws.FILTER(G31:G51,A31:A51=A31)))</f>
        <v>0</v>
      </c>
      <c r="I31" s="25">
        <f t="array" ref="I31">IFERROR(IF(A31=A30,0,SUM(_xlfn._xlws.FILTER(G31:G51,(A31:A51=A31)*(E31:E51&lt;0)))),0)</f>
        <v>0</v>
      </c>
      <c r="J31" s="25">
        <f t="array" ref="J31">IFERROR(IF(A31=A30,0,SUM(_xlfn._xlws.FILTER(G31:G51,(A31:A51=A31)*(E31:E51&gt;0)))),0)</f>
        <v>0</v>
      </c>
      <c r="K31" s="25">
        <f>IF(H31&lt;&gt;0,SUM(H$2:H31),0)</f>
        <v>0</v>
      </c>
      <c r="L31" s="25">
        <f>IF(I31&lt;&gt;0,SUM(I$2:I31),0)</f>
        <v>0</v>
      </c>
      <c r="M31" s="25">
        <f>IF(J31&lt;&gt;0,SUM(J$2:J31),0)</f>
        <v>0</v>
      </c>
    </row>
    <row r="32" spans="1:13" hidden="1" x14ac:dyDescent="0.2">
      <c r="A32" s="1">
        <v>45688</v>
      </c>
      <c r="C32" s="2" t="s">
        <v>94</v>
      </c>
      <c r="D32" s="3">
        <v>2000</v>
      </c>
      <c r="E32" s="4">
        <v>31.31</v>
      </c>
      <c r="G32" s="25">
        <f t="shared" si="0"/>
        <v>62620</v>
      </c>
      <c r="H32" s="25">
        <f t="array" ref="H32">IF(A32=A31,0,SUM(_xlfn._xlws.FILTER(G32:G52,A32:A52=A32)))</f>
        <v>0</v>
      </c>
      <c r="I32" s="25">
        <f t="array" ref="I32">IFERROR(IF(A32=A31,0,SUM(_xlfn._xlws.FILTER(G32:G52,(A32:A52=A32)*(E32:E52&lt;0)))),0)</f>
        <v>0</v>
      </c>
      <c r="J32" s="25">
        <f t="array" ref="J32">IFERROR(IF(A32=A31,0,SUM(_xlfn._xlws.FILTER(G32:G52,(A32:A52=A32)*(E32:E52&gt;0)))),0)</f>
        <v>0</v>
      </c>
      <c r="K32" s="25">
        <f>IF(H32&lt;&gt;0,SUM(H$2:H32),0)</f>
        <v>0</v>
      </c>
      <c r="L32" s="25">
        <f>IF(I32&lt;&gt;0,SUM(I$2:I32),0)</f>
        <v>0</v>
      </c>
      <c r="M32" s="25">
        <f>IF(J32&lt;&gt;0,SUM(J$2:J32),0)</f>
        <v>0</v>
      </c>
    </row>
    <row r="33" spans="1:13" hidden="1" x14ac:dyDescent="0.2">
      <c r="A33" s="1">
        <v>45688</v>
      </c>
      <c r="C33" s="2" t="s">
        <v>39</v>
      </c>
      <c r="D33" s="3">
        <v>2000</v>
      </c>
      <c r="E33" s="4">
        <v>60.51</v>
      </c>
      <c r="G33" s="25">
        <f t="shared" si="0"/>
        <v>121020</v>
      </c>
      <c r="H33" s="25">
        <f t="array" ref="H33">IF(A33=A32,0,SUM(_xlfn._xlws.FILTER(G33:G53,A33:A53=A33)))</f>
        <v>0</v>
      </c>
      <c r="I33" s="25">
        <f t="array" ref="I33">IFERROR(IF(A33=A32,0,SUM(_xlfn._xlws.FILTER(G33:G53,(A33:A53=A33)*(E33:E53&lt;0)))),0)</f>
        <v>0</v>
      </c>
      <c r="J33" s="25">
        <f t="array" ref="J33">IFERROR(IF(A33=A32,0,SUM(_xlfn._xlws.FILTER(G33:G53,(A33:A53=A33)*(E33:E53&gt;0)))),0)</f>
        <v>0</v>
      </c>
      <c r="K33" s="25">
        <f>IF(H33&lt;&gt;0,SUM(H$2:H33),0)</f>
        <v>0</v>
      </c>
      <c r="L33" s="25">
        <f>IF(I33&lt;&gt;0,SUM(I$2:I33),0)</f>
        <v>0</v>
      </c>
      <c r="M33" s="25">
        <f>IF(J33&lt;&gt;0,SUM(J$2:J33),0)</f>
        <v>0</v>
      </c>
    </row>
    <row r="34" spans="1:13" hidden="1" x14ac:dyDescent="0.2">
      <c r="A34" s="1">
        <v>45688</v>
      </c>
      <c r="C34" s="2" t="s">
        <v>97</v>
      </c>
      <c r="D34" s="3">
        <v>1200</v>
      </c>
      <c r="E34" s="4">
        <v>-30.697399999999998</v>
      </c>
      <c r="G34" s="25">
        <f t="shared" si="0"/>
        <v>-36836.879999999997</v>
      </c>
      <c r="H34" s="25">
        <f t="array" ref="H34">IF(A34=A33,0,SUM(_xlfn._xlws.FILTER(G34:G54,A34:A54=A34)))</f>
        <v>0</v>
      </c>
      <c r="I34" s="25">
        <f t="array" ref="I34">IFERROR(IF(A34=A33,0,SUM(_xlfn._xlws.FILTER(G34:G54,(A34:A54=A34)*(E34:E54&lt;0)))),0)</f>
        <v>0</v>
      </c>
      <c r="J34" s="25">
        <f t="array" ref="J34">IFERROR(IF(A34=A33,0,SUM(_xlfn._xlws.FILTER(G34:G54,(A34:A54=A34)*(E34:E54&gt;0)))),0)</f>
        <v>0</v>
      </c>
      <c r="K34" s="25">
        <f>IF(H34&lt;&gt;0,SUM(H$2:H34),0)</f>
        <v>0</v>
      </c>
      <c r="L34" s="25">
        <f>IF(I34&lt;&gt;0,SUM(I$2:I34),0)</f>
        <v>0</v>
      </c>
      <c r="M34" s="25">
        <f>IF(J34&lt;&gt;0,SUM(J$2:J34),0)</f>
        <v>0</v>
      </c>
    </row>
    <row r="35" spans="1:13" hidden="1" x14ac:dyDescent="0.2">
      <c r="A35" s="5">
        <v>45692</v>
      </c>
      <c r="C35" s="9" t="s">
        <v>90</v>
      </c>
      <c r="D35" s="7">
        <v>300</v>
      </c>
      <c r="E35" s="8">
        <v>-230.7</v>
      </c>
      <c r="G35" s="25">
        <f t="shared" si="0"/>
        <v>-69210</v>
      </c>
      <c r="H35" s="25">
        <f t="array" ref="H35">IF(A35=A34,0,SUM(_xlfn._xlws.FILTER(G35:G55,A35:A55=A35)))</f>
        <v>170520</v>
      </c>
      <c r="I35" s="25">
        <f t="array" ref="I35">IFERROR(IF(A35=A34,0,SUM(_xlfn._xlws.FILTER(G35:G55,(A35:A55=A35)*(E35:E55&lt;0)))),0)</f>
        <v>-69210</v>
      </c>
      <c r="J35" s="25">
        <f t="array" ref="J35">IFERROR(IF(A35=A34,0,SUM(_xlfn._xlws.FILTER(G35:G55,(A35:A55=A35)*(E35:E55&gt;0)))),0)</f>
        <v>239730</v>
      </c>
      <c r="K35" s="25">
        <f>IF(H35&lt;&gt;0,SUM(H$2:H35),0)</f>
        <v>631048.73200000008</v>
      </c>
      <c r="L35" s="25">
        <f>IF(I35&lt;&gt;0,SUM(I$2:I35),0)</f>
        <v>-1111646.68</v>
      </c>
      <c r="M35" s="25">
        <f>IF(J35&lt;&gt;0,SUM(J$2:J35),0)</f>
        <v>1742695.412</v>
      </c>
    </row>
    <row r="36" spans="1:13" hidden="1" x14ac:dyDescent="0.2">
      <c r="A36" s="5">
        <v>45692</v>
      </c>
      <c r="C36" s="9" t="s">
        <v>15</v>
      </c>
      <c r="D36" s="7">
        <v>1000</v>
      </c>
      <c r="E36" s="8">
        <v>39.119999999999997</v>
      </c>
      <c r="G36" s="25">
        <f t="shared" si="0"/>
        <v>39120</v>
      </c>
      <c r="H36" s="25">
        <f t="array" ref="H36">IF(A36=A35,0,SUM(_xlfn._xlws.FILTER(G36:G56,A36:A56=A36)))</f>
        <v>0</v>
      </c>
      <c r="I36" s="25">
        <f t="array" ref="I36">IFERROR(IF(A36=A35,0,SUM(_xlfn._xlws.FILTER(G36:G56,(A36:A56=A36)*(E36:E56&lt;0)))),0)</f>
        <v>0</v>
      </c>
      <c r="J36" s="25">
        <f t="array" ref="J36">IFERROR(IF(A36=A35,0,SUM(_xlfn._xlws.FILTER(G36:G56,(A36:A56=A36)*(E36:E56&gt;0)))),0)</f>
        <v>0</v>
      </c>
      <c r="K36" s="25">
        <f>IF(H36&lt;&gt;0,SUM(H$2:H36),0)</f>
        <v>0</v>
      </c>
      <c r="L36" s="25">
        <f>IF(I36&lt;&gt;0,SUM(I$2:I36),0)</f>
        <v>0</v>
      </c>
      <c r="M36" s="25">
        <f>IF(J36&lt;&gt;0,SUM(J$2:J36),0)</f>
        <v>0</v>
      </c>
    </row>
    <row r="37" spans="1:13" hidden="1" x14ac:dyDescent="0.2">
      <c r="A37" s="5">
        <v>45692</v>
      </c>
      <c r="C37" s="9" t="s">
        <v>15</v>
      </c>
      <c r="D37" s="7">
        <v>2000</v>
      </c>
      <c r="E37" s="8">
        <v>40.119999999999997</v>
      </c>
      <c r="G37" s="25">
        <f t="shared" si="0"/>
        <v>80240</v>
      </c>
      <c r="H37" s="25">
        <f t="array" ref="H37">IF(A37=A36,0,SUM(_xlfn._xlws.FILTER(G37:G57,A37:A57=A37)))</f>
        <v>0</v>
      </c>
      <c r="I37" s="25">
        <f t="array" ref="I37">IFERROR(IF(A37=A36,0,SUM(_xlfn._xlws.FILTER(G37:G57,(A37:A57=A37)*(E37:E57&lt;0)))),0)</f>
        <v>0</v>
      </c>
      <c r="J37" s="25">
        <f t="array" ref="J37">IFERROR(IF(A37=A36,0,SUM(_xlfn._xlws.FILTER(G37:G57,(A37:A57=A37)*(E37:E57&gt;0)))),0)</f>
        <v>0</v>
      </c>
      <c r="K37" s="25">
        <f>IF(H37&lt;&gt;0,SUM(H$2:H37),0)</f>
        <v>0</v>
      </c>
      <c r="L37" s="25">
        <f>IF(I37&lt;&gt;0,SUM(I$2:I37),0)</f>
        <v>0</v>
      </c>
      <c r="M37" s="25">
        <f>IF(J37&lt;&gt;0,SUM(J$2:J37),0)</f>
        <v>0</v>
      </c>
    </row>
    <row r="38" spans="1:13" hidden="1" x14ac:dyDescent="0.2">
      <c r="A38" s="5">
        <v>45692</v>
      </c>
      <c r="C38" s="9" t="s">
        <v>105</v>
      </c>
      <c r="D38" s="7">
        <v>1000</v>
      </c>
      <c r="E38" s="8">
        <v>39.549999999999997</v>
      </c>
      <c r="G38" s="25">
        <f t="shared" si="0"/>
        <v>39550</v>
      </c>
      <c r="H38" s="25">
        <f t="array" ref="H38">IF(A38=A37,0,SUM(_xlfn._xlws.FILTER(G38:G58,A38:A58=A38)))</f>
        <v>0</v>
      </c>
      <c r="I38" s="25">
        <f t="array" ref="I38">IFERROR(IF(A38=A37,0,SUM(_xlfn._xlws.FILTER(G38:G58,(A38:A58=A38)*(E38:E58&lt;0)))),0)</f>
        <v>0</v>
      </c>
      <c r="J38" s="25">
        <f t="array" ref="J38">IFERROR(IF(A38=A37,0,SUM(_xlfn._xlws.FILTER(G38:G58,(A38:A58=A38)*(E38:E58&gt;0)))),0)</f>
        <v>0</v>
      </c>
      <c r="K38" s="25">
        <f>IF(H38&lt;&gt;0,SUM(H$2:H38),0)</f>
        <v>0</v>
      </c>
      <c r="L38" s="25">
        <f>IF(I38&lt;&gt;0,SUM(I$2:I38),0)</f>
        <v>0</v>
      </c>
      <c r="M38" s="25">
        <f>IF(J38&lt;&gt;0,SUM(J$2:J38),0)</f>
        <v>0</v>
      </c>
    </row>
    <row r="39" spans="1:13" hidden="1" x14ac:dyDescent="0.2">
      <c r="A39" s="5">
        <v>45692</v>
      </c>
      <c r="C39" s="9" t="s">
        <v>105</v>
      </c>
      <c r="D39" s="7">
        <v>2000</v>
      </c>
      <c r="E39" s="8">
        <v>40.409999999999997</v>
      </c>
      <c r="G39" s="25">
        <f t="shared" si="0"/>
        <v>80820</v>
      </c>
      <c r="H39" s="25">
        <f t="array" ref="H39">IF(A39=A38,0,SUM(_xlfn._xlws.FILTER(G39:G59,A39:A59=A39)))</f>
        <v>0</v>
      </c>
      <c r="I39" s="25">
        <f t="array" ref="I39">IFERROR(IF(A39=A38,0,SUM(_xlfn._xlws.FILTER(G39:G59,(A39:A59=A39)*(E39:E59&lt;0)))),0)</f>
        <v>0</v>
      </c>
      <c r="J39" s="25">
        <f t="array" ref="J39">IFERROR(IF(A39=A38,0,SUM(_xlfn._xlws.FILTER(G39:G59,(A39:A59=A39)*(E39:E59&gt;0)))),0)</f>
        <v>0</v>
      </c>
      <c r="K39" s="25">
        <f>IF(H39&lt;&gt;0,SUM(H$2:H39),0)</f>
        <v>0</v>
      </c>
      <c r="L39" s="25">
        <f>IF(I39&lt;&gt;0,SUM(I$2:I39),0)</f>
        <v>0</v>
      </c>
      <c r="M39" s="25">
        <f>IF(J39&lt;&gt;0,SUM(J$2:J39),0)</f>
        <v>0</v>
      </c>
    </row>
    <row r="40" spans="1:13" hidden="1" x14ac:dyDescent="0.2">
      <c r="A40" s="1">
        <v>45693</v>
      </c>
      <c r="C40" s="2" t="s">
        <v>109</v>
      </c>
      <c r="D40" s="3">
        <v>250</v>
      </c>
      <c r="E40" s="4">
        <v>-236.91</v>
      </c>
      <c r="G40" s="25">
        <f t="shared" si="0"/>
        <v>-59227.5</v>
      </c>
      <c r="H40" s="25">
        <f t="array" ref="H40">IF(A40=A39,0,SUM(_xlfn._xlws.FILTER(G40:G60,A40:A60=A40)))</f>
        <v>115626.432</v>
      </c>
      <c r="I40" s="25">
        <f t="array" ref="I40">IFERROR(IF(A40=A39,0,SUM(_xlfn._xlws.FILTER(G40:G60,(A40:A60=A40)*(E40:E60&lt;0)))),0)</f>
        <v>-256377.7</v>
      </c>
      <c r="J40" s="25">
        <f t="array" ref="J40">IFERROR(IF(A40=A39,0,SUM(_xlfn._xlws.FILTER(G40:G60,(A40:A60=A40)*(E40:E60&gt;0)))),0)</f>
        <v>372004.13199999998</v>
      </c>
      <c r="K40" s="25">
        <f>IF(H40&lt;&gt;0,SUM(H$2:H40),0)</f>
        <v>746675.16400000011</v>
      </c>
      <c r="L40" s="25">
        <f>IF(I40&lt;&gt;0,SUM(I$2:I40),0)</f>
        <v>-1368024.38</v>
      </c>
      <c r="M40" s="25">
        <f>IF(J40&lt;&gt;0,SUM(J$2:J40),0)</f>
        <v>2114699.5439999998</v>
      </c>
    </row>
    <row r="41" spans="1:13" hidden="1" x14ac:dyDescent="0.2">
      <c r="A41" s="1">
        <v>45693</v>
      </c>
      <c r="C41" s="2" t="s">
        <v>15</v>
      </c>
      <c r="D41" s="3">
        <v>1000</v>
      </c>
      <c r="E41" s="4">
        <v>40.700000000000003</v>
      </c>
      <c r="G41" s="25">
        <f t="shared" si="0"/>
        <v>40700</v>
      </c>
      <c r="H41" s="25">
        <f t="array" ref="H41">IF(A41=A40,0,SUM(_xlfn._xlws.FILTER(G41:G61,A41:A61=A41)))</f>
        <v>0</v>
      </c>
      <c r="I41" s="25">
        <f t="array" ref="I41">IFERROR(IF(A41=A40,0,SUM(_xlfn._xlws.FILTER(G41:G61,(A41:A61=A41)*(E41:E61&lt;0)))),0)</f>
        <v>0</v>
      </c>
      <c r="J41" s="25">
        <f t="array" ref="J41">IFERROR(IF(A41=A40,0,SUM(_xlfn._xlws.FILTER(G41:G61,(A41:A61=A41)*(E41:E61&gt;0)))),0)</f>
        <v>0</v>
      </c>
      <c r="K41" s="25">
        <f>IF(H41&lt;&gt;0,SUM(H$2:H41),0)</f>
        <v>0</v>
      </c>
      <c r="L41" s="25">
        <f>IF(I41&lt;&gt;0,SUM(I$2:I41),0)</f>
        <v>0</v>
      </c>
      <c r="M41" s="25">
        <f>IF(J41&lt;&gt;0,SUM(J$2:J41),0)</f>
        <v>0</v>
      </c>
    </row>
    <row r="42" spans="1:13" hidden="1" x14ac:dyDescent="0.2">
      <c r="A42" s="1">
        <v>45693</v>
      </c>
      <c r="C42" s="2" t="s">
        <v>113</v>
      </c>
      <c r="D42" s="3">
        <v>100</v>
      </c>
      <c r="E42" s="4">
        <v>-382.16199999999998</v>
      </c>
      <c r="G42" s="25">
        <f t="shared" si="0"/>
        <v>-38216.199999999997</v>
      </c>
      <c r="H42" s="25">
        <f t="array" ref="H42">IF(A42=A41,0,SUM(_xlfn._xlws.FILTER(G42:G62,A42:A62=A42)))</f>
        <v>0</v>
      </c>
      <c r="I42" s="25">
        <f t="array" ref="I42">IFERROR(IF(A42=A41,0,SUM(_xlfn._xlws.FILTER(G42:G62,(A42:A62=A42)*(E42:E62&lt;0)))),0)</f>
        <v>0</v>
      </c>
      <c r="J42" s="25">
        <f t="array" ref="J42">IFERROR(IF(A42=A41,0,SUM(_xlfn._xlws.FILTER(G42:G62,(A42:A62=A42)*(E42:E62&gt;0)))),0)</f>
        <v>0</v>
      </c>
      <c r="K42" s="25">
        <f>IF(H42&lt;&gt;0,SUM(H$2:H42),0)</f>
        <v>0</v>
      </c>
      <c r="L42" s="25">
        <f>IF(I42&lt;&gt;0,SUM(I$2:I42),0)</f>
        <v>0</v>
      </c>
      <c r="M42" s="25">
        <f>IF(J42&lt;&gt;0,SUM(J$2:J42),0)</f>
        <v>0</v>
      </c>
    </row>
    <row r="43" spans="1:13" hidden="1" x14ac:dyDescent="0.2">
      <c r="A43" s="1">
        <v>45693</v>
      </c>
      <c r="C43" s="2" t="s">
        <v>45</v>
      </c>
      <c r="D43" s="3">
        <v>4000</v>
      </c>
      <c r="E43" s="4">
        <v>21.358283</v>
      </c>
      <c r="G43" s="25">
        <f t="shared" si="0"/>
        <v>85433.131999999998</v>
      </c>
      <c r="H43" s="25">
        <f t="array" ref="H43">IF(A43=A42,0,SUM(_xlfn._xlws.FILTER(G43:G63,A43:A63=A43)))</f>
        <v>0</v>
      </c>
      <c r="I43" s="25">
        <f t="array" ref="I43">IFERROR(IF(A43=A42,0,SUM(_xlfn._xlws.FILTER(G43:G63,(A43:A63=A43)*(E43:E63&lt;0)))),0)</f>
        <v>0</v>
      </c>
      <c r="J43" s="25">
        <f t="array" ref="J43">IFERROR(IF(A43=A42,0,SUM(_xlfn._xlws.FILTER(G43:G63,(A43:A63=A43)*(E43:E63&gt;0)))),0)</f>
        <v>0</v>
      </c>
      <c r="K43" s="25">
        <f>IF(H43&lt;&gt;0,SUM(H$2:H43),0)</f>
        <v>0</v>
      </c>
      <c r="L43" s="25">
        <f>IF(I43&lt;&gt;0,SUM(I$2:I43),0)</f>
        <v>0</v>
      </c>
      <c r="M43" s="25">
        <f>IF(J43&lt;&gt;0,SUM(J$2:J43),0)</f>
        <v>0</v>
      </c>
    </row>
    <row r="44" spans="1:13" hidden="1" x14ac:dyDescent="0.2">
      <c r="A44" s="1">
        <v>45693</v>
      </c>
      <c r="C44" s="2" t="s">
        <v>116</v>
      </c>
      <c r="D44" s="3">
        <v>400</v>
      </c>
      <c r="E44" s="4">
        <v>-236.70750000000001</v>
      </c>
      <c r="G44" s="25">
        <f t="shared" si="0"/>
        <v>-94683</v>
      </c>
      <c r="H44" s="25">
        <f t="array" ref="H44">IF(A44=A43,0,SUM(_xlfn._xlws.FILTER(G44:G64,A44:A64=A44)))</f>
        <v>0</v>
      </c>
      <c r="I44" s="25">
        <f t="array" ref="I44">IFERROR(IF(A44=A43,0,SUM(_xlfn._xlws.FILTER(G44:G64,(A44:A64=A44)*(E44:E64&lt;0)))),0)</f>
        <v>0</v>
      </c>
      <c r="J44" s="25">
        <f t="array" ref="J44">IFERROR(IF(A44=A43,0,SUM(_xlfn._xlws.FILTER(G44:G64,(A44:A64=A44)*(E44:E64&gt;0)))),0)</f>
        <v>0</v>
      </c>
      <c r="K44" s="25">
        <f>IF(H44&lt;&gt;0,SUM(H$2:H44),0)</f>
        <v>0</v>
      </c>
      <c r="L44" s="25">
        <f>IF(I44&lt;&gt;0,SUM(I$2:I44),0)</f>
        <v>0</v>
      </c>
      <c r="M44" s="25">
        <f>IF(J44&lt;&gt;0,SUM(J$2:J44),0)</f>
        <v>0</v>
      </c>
    </row>
    <row r="45" spans="1:13" hidden="1" x14ac:dyDescent="0.2">
      <c r="A45" s="1">
        <v>45693</v>
      </c>
      <c r="C45" s="2" t="s">
        <v>41</v>
      </c>
      <c r="D45" s="3">
        <v>1000</v>
      </c>
      <c r="E45" s="4">
        <v>65.63</v>
      </c>
      <c r="G45" s="25">
        <f t="shared" si="0"/>
        <v>65630</v>
      </c>
      <c r="H45" s="25">
        <f t="array" ref="H45">IF(A45=A44,0,SUM(_xlfn._xlws.FILTER(G45:G65,A45:A65=A45)))</f>
        <v>0</v>
      </c>
      <c r="I45" s="25">
        <f t="array" ref="I45">IFERROR(IF(A45=A44,0,SUM(_xlfn._xlws.FILTER(G45:G65,(A45:A65=A45)*(E45:E65&lt;0)))),0)</f>
        <v>0</v>
      </c>
      <c r="J45" s="25">
        <f t="array" ref="J45">IFERROR(IF(A45=A44,0,SUM(_xlfn._xlws.FILTER(G45:G65,(A45:A65=A45)*(E45:E65&gt;0)))),0)</f>
        <v>0</v>
      </c>
      <c r="K45" s="25">
        <f>IF(H45&lt;&gt;0,SUM(H$2:H45),0)</f>
        <v>0</v>
      </c>
      <c r="L45" s="25">
        <f>IF(I45&lt;&gt;0,SUM(I$2:I45),0)</f>
        <v>0</v>
      </c>
      <c r="M45" s="25">
        <f>IF(J45&lt;&gt;0,SUM(J$2:J45),0)</f>
        <v>0</v>
      </c>
    </row>
    <row r="46" spans="1:13" hidden="1" x14ac:dyDescent="0.2">
      <c r="A46" s="1">
        <v>45693</v>
      </c>
      <c r="C46" s="2" t="s">
        <v>119</v>
      </c>
      <c r="D46" s="3">
        <v>20000</v>
      </c>
      <c r="E46" s="4">
        <v>4.5999999999999996</v>
      </c>
      <c r="G46" s="25">
        <f t="shared" si="0"/>
        <v>92000</v>
      </c>
      <c r="H46" s="25">
        <f t="array" ref="H46">IF(A46=A45,0,SUM(_xlfn._xlws.FILTER(G46:G66,A46:A66=A46)))</f>
        <v>0</v>
      </c>
      <c r="I46" s="25">
        <f t="array" ref="I46">IFERROR(IF(A46=A45,0,SUM(_xlfn._xlws.FILTER(G46:G66,(A46:A66=A46)*(E46:E66&lt;0)))),0)</f>
        <v>0</v>
      </c>
      <c r="J46" s="25">
        <f t="array" ref="J46">IFERROR(IF(A46=A45,0,SUM(_xlfn._xlws.FILTER(G46:G66,(A46:A66=A46)*(E46:E66&gt;0)))),0)</f>
        <v>0</v>
      </c>
      <c r="K46" s="25">
        <f>IF(H46&lt;&gt;0,SUM(H$2:H46),0)</f>
        <v>0</v>
      </c>
      <c r="L46" s="25">
        <f>IF(I46&lt;&gt;0,SUM(I$2:I46),0)</f>
        <v>0</v>
      </c>
      <c r="M46" s="25">
        <f>IF(J46&lt;&gt;0,SUM(J$2:J46),0)</f>
        <v>0</v>
      </c>
    </row>
    <row r="47" spans="1:13" hidden="1" x14ac:dyDescent="0.2">
      <c r="A47" s="1">
        <v>45693</v>
      </c>
      <c r="C47" s="2" t="s">
        <v>122</v>
      </c>
      <c r="D47" s="3">
        <v>9000</v>
      </c>
      <c r="E47" s="4">
        <v>529.4</v>
      </c>
      <c r="G47" s="25">
        <f t="shared" si="0"/>
        <v>47646</v>
      </c>
      <c r="H47" s="25">
        <f t="array" ref="H47">IF(A47=A46,0,SUM(_xlfn._xlws.FILTER(G47:G67,A47:A67=A47)))</f>
        <v>0</v>
      </c>
      <c r="I47" s="25">
        <f t="array" ref="I47">IFERROR(IF(A47=A46,0,SUM(_xlfn._xlws.FILTER(G47:G67,(A47:A67=A47)*(E47:E67&lt;0)))),0)</f>
        <v>0</v>
      </c>
      <c r="J47" s="25">
        <f t="array" ref="J47">IFERROR(IF(A47=A46,0,SUM(_xlfn._xlws.FILTER(G47:G67,(A47:A67=A47)*(E47:E67&gt;0)))),0)</f>
        <v>0</v>
      </c>
      <c r="K47" s="25">
        <f>IF(H47&lt;&gt;0,SUM(H$2:H47),0)</f>
        <v>0</v>
      </c>
      <c r="L47" s="25">
        <f>IF(I47&lt;&gt;0,SUM(I$2:I47),0)</f>
        <v>0</v>
      </c>
      <c r="M47" s="25">
        <f>IF(J47&lt;&gt;0,SUM(J$2:J47),0)</f>
        <v>0</v>
      </c>
    </row>
    <row r="48" spans="1:13" hidden="1" x14ac:dyDescent="0.2">
      <c r="A48" s="1">
        <v>45693</v>
      </c>
      <c r="C48" s="2" t="s">
        <v>125</v>
      </c>
      <c r="D48" s="3">
        <v>450</v>
      </c>
      <c r="E48" s="4">
        <v>-142.78</v>
      </c>
      <c r="G48" s="25">
        <f t="shared" si="0"/>
        <v>-64251</v>
      </c>
      <c r="H48" s="25">
        <f t="array" ref="H48">IF(A48=A47,0,SUM(_xlfn._xlws.FILTER(G48:G68,A48:A68=A48)))</f>
        <v>0</v>
      </c>
      <c r="I48" s="25">
        <f t="array" ref="I48">IFERROR(IF(A48=A47,0,SUM(_xlfn._xlws.FILTER(G48:G68,(A48:A68=A48)*(E48:E68&lt;0)))),0)</f>
        <v>0</v>
      </c>
      <c r="J48" s="25">
        <f t="array" ref="J48">IFERROR(IF(A48=A47,0,SUM(_xlfn._xlws.FILTER(G48:G68,(A48:A68=A48)*(E48:E68&gt;0)))),0)</f>
        <v>0</v>
      </c>
      <c r="K48" s="25">
        <f>IF(H48&lt;&gt;0,SUM(H$2:H48),0)</f>
        <v>0</v>
      </c>
      <c r="L48" s="25">
        <f>IF(I48&lt;&gt;0,SUM(I$2:I48),0)</f>
        <v>0</v>
      </c>
      <c r="M48" s="25">
        <f>IF(J48&lt;&gt;0,SUM(J$2:J48),0)</f>
        <v>0</v>
      </c>
    </row>
    <row r="49" spans="1:13" hidden="1" x14ac:dyDescent="0.2">
      <c r="A49" s="1">
        <v>45693</v>
      </c>
      <c r="C49" s="2" t="s">
        <v>15</v>
      </c>
      <c r="D49" s="3">
        <v>1000</v>
      </c>
      <c r="E49" s="4">
        <v>40.594999999999999</v>
      </c>
      <c r="G49" s="25">
        <f t="shared" si="0"/>
        <v>40595</v>
      </c>
      <c r="H49" s="25">
        <f t="array" ref="H49">IF(A49=A48,0,SUM(_xlfn._xlws.FILTER(G49:G69,A49:A69=A49)))</f>
        <v>0</v>
      </c>
      <c r="I49" s="25">
        <f t="array" ref="I49">IFERROR(IF(A49=A48,0,SUM(_xlfn._xlws.FILTER(G49:G69,(A49:A69=A49)*(E49:E69&lt;0)))),0)</f>
        <v>0</v>
      </c>
      <c r="J49" s="25">
        <f t="array" ref="J49">IFERROR(IF(A49=A48,0,SUM(_xlfn._xlws.FILTER(G49:G69,(A49:A69=A49)*(E49:E69&gt;0)))),0)</f>
        <v>0</v>
      </c>
      <c r="K49" s="25">
        <f>IF(H49&lt;&gt;0,SUM(H$2:H49),0)</f>
        <v>0</v>
      </c>
      <c r="L49" s="25">
        <f>IF(I49&lt;&gt;0,SUM(I$2:I49),0)</f>
        <v>0</v>
      </c>
      <c r="M49" s="25">
        <f>IF(J49&lt;&gt;0,SUM(J$2:J49),0)</f>
        <v>0</v>
      </c>
    </row>
    <row r="50" spans="1:13" hidden="1" x14ac:dyDescent="0.2">
      <c r="A50" s="5">
        <v>45694</v>
      </c>
      <c r="C50" s="9" t="s">
        <v>130</v>
      </c>
      <c r="D50" s="7">
        <v>10000</v>
      </c>
      <c r="E50" s="8">
        <v>-1.1000000000000001</v>
      </c>
      <c r="G50" s="25">
        <f t="shared" si="0"/>
        <v>-11000</v>
      </c>
      <c r="H50" s="25">
        <f t="array" ref="H50">IF(A50=A49,0,SUM(_xlfn._xlws.FILTER(G50:G70,A50:A70=A50)))</f>
        <v>-163864.0001</v>
      </c>
      <c r="I50" s="25">
        <f t="array" ref="I50">IFERROR(IF(A50=A49,0,SUM(_xlfn._xlws.FILTER(G50:G70,(A50:A70=A50)*(E50:E70&lt;0)))),0)</f>
        <v>-342552.69999999995</v>
      </c>
      <c r="J50" s="25">
        <f t="array" ref="J50">IFERROR(IF(A50=A49,0,SUM(_xlfn._xlws.FILTER(G50:G70,(A50:A70=A50)*(E50:E70&gt;0)))),0)</f>
        <v>178688.69990000001</v>
      </c>
      <c r="K50" s="25">
        <f>IF(H50&lt;&gt;0,SUM(H$2:H50),0)</f>
        <v>582811.16390000004</v>
      </c>
      <c r="L50" s="25">
        <f>IF(I50&lt;&gt;0,SUM(I$2:I50),0)</f>
        <v>-1710577.0799999998</v>
      </c>
      <c r="M50" s="25">
        <f>IF(J50&lt;&gt;0,SUM(J$2:J50),0)</f>
        <v>2293388.2438999997</v>
      </c>
    </row>
    <row r="51" spans="1:13" hidden="1" x14ac:dyDescent="0.2">
      <c r="A51" s="5">
        <v>45694</v>
      </c>
      <c r="C51" s="9" t="s">
        <v>132</v>
      </c>
      <c r="D51" s="7">
        <v>1000</v>
      </c>
      <c r="E51" s="8">
        <v>34.524999999999999</v>
      </c>
      <c r="G51" s="25">
        <f t="shared" si="0"/>
        <v>34525</v>
      </c>
      <c r="H51" s="25">
        <f t="array" ref="H51">IF(A51=A50,0,SUM(_xlfn._xlws.FILTER(G51:G71,A51:A71=A51)))</f>
        <v>0</v>
      </c>
      <c r="I51" s="25">
        <f t="array" ref="I51">IFERROR(IF(A51=A50,0,SUM(_xlfn._xlws.FILTER(G51:G71,(A51:A71=A51)*(E51:E71&lt;0)))),0)</f>
        <v>0</v>
      </c>
      <c r="J51" s="25">
        <f t="array" ref="J51">IFERROR(IF(A51=A50,0,SUM(_xlfn._xlws.FILTER(G51:G71,(A51:A71=A51)*(E51:E71&gt;0)))),0)</f>
        <v>0</v>
      </c>
      <c r="K51" s="25">
        <f>IF(H51&lt;&gt;0,SUM(H$2:H51),0)</f>
        <v>0</v>
      </c>
      <c r="L51" s="25">
        <f>IF(I51&lt;&gt;0,SUM(I$2:I51),0)</f>
        <v>0</v>
      </c>
      <c r="M51" s="25">
        <f>IF(J51&lt;&gt;0,SUM(J$2:J51),0)</f>
        <v>0</v>
      </c>
    </row>
    <row r="52" spans="1:13" hidden="1" x14ac:dyDescent="0.2">
      <c r="A52" s="5">
        <v>45694</v>
      </c>
      <c r="C52" s="9" t="s">
        <v>134</v>
      </c>
      <c r="D52" s="7">
        <v>15000</v>
      </c>
      <c r="E52" s="8">
        <v>4.6399999999999997</v>
      </c>
      <c r="G52" s="25">
        <f t="shared" si="0"/>
        <v>69600</v>
      </c>
      <c r="H52" s="25">
        <f t="array" ref="H52">IF(A52=A51,0,SUM(_xlfn._xlws.FILTER(G52:G72,A52:A72=A52)))</f>
        <v>0</v>
      </c>
      <c r="I52" s="25">
        <f t="array" ref="I52">IFERROR(IF(A52=A51,0,SUM(_xlfn._xlws.FILTER(G52:G72,(A52:A72=A52)*(E52:E72&lt;0)))),0)</f>
        <v>0</v>
      </c>
      <c r="J52" s="25">
        <f t="array" ref="J52">IFERROR(IF(A52=A51,0,SUM(_xlfn._xlws.FILTER(G52:G72,(A52:A72=A52)*(E52:E72&gt;0)))),0)</f>
        <v>0</v>
      </c>
      <c r="K52" s="25">
        <f>IF(H52&lt;&gt;0,SUM(H$2:H52),0)</f>
        <v>0</v>
      </c>
      <c r="L52" s="25">
        <f>IF(I52&lt;&gt;0,SUM(I$2:I52),0)</f>
        <v>0</v>
      </c>
      <c r="M52" s="25">
        <f>IF(J52&lt;&gt;0,SUM(J$2:J52),0)</f>
        <v>0</v>
      </c>
    </row>
    <row r="53" spans="1:13" hidden="1" x14ac:dyDescent="0.2">
      <c r="A53" s="5">
        <v>45694</v>
      </c>
      <c r="C53" s="9" t="s">
        <v>136</v>
      </c>
      <c r="D53" s="7">
        <v>363</v>
      </c>
      <c r="E53" s="8">
        <v>-42.2</v>
      </c>
      <c r="G53" s="25">
        <f t="shared" si="0"/>
        <v>-15318.6</v>
      </c>
      <c r="H53" s="25">
        <f t="array" ref="H53">IF(A53=A52,0,SUM(_xlfn._xlws.FILTER(G53:G73,A53:A73=A53)))</f>
        <v>0</v>
      </c>
      <c r="I53" s="25">
        <f t="array" ref="I53">IFERROR(IF(A53=A52,0,SUM(_xlfn._xlws.FILTER(G53:G73,(A53:A73=A53)*(E53:E73&lt;0)))),0)</f>
        <v>0</v>
      </c>
      <c r="J53" s="25">
        <f t="array" ref="J53">IFERROR(IF(A53=A52,0,SUM(_xlfn._xlws.FILTER(G53:G73,(A53:A73=A53)*(E53:E73&gt;0)))),0)</f>
        <v>0</v>
      </c>
      <c r="K53" s="25">
        <f>IF(H53&lt;&gt;0,SUM(H$2:H53),0)</f>
        <v>0</v>
      </c>
      <c r="L53" s="25">
        <f>IF(I53&lt;&gt;0,SUM(I$2:I53),0)</f>
        <v>0</v>
      </c>
      <c r="M53" s="25">
        <f>IF(J53&lt;&gt;0,SUM(J$2:J53),0)</f>
        <v>0</v>
      </c>
    </row>
    <row r="54" spans="1:13" hidden="1" x14ac:dyDescent="0.2">
      <c r="A54" s="5">
        <v>45694</v>
      </c>
      <c r="C54" s="9" t="s">
        <v>139</v>
      </c>
      <c r="D54" s="7">
        <v>10000</v>
      </c>
      <c r="E54" s="8">
        <v>362.61099999999999</v>
      </c>
      <c r="G54" s="25">
        <f t="shared" si="0"/>
        <v>36261.1</v>
      </c>
      <c r="H54" s="25">
        <f t="array" ref="H54">IF(A54=A53,0,SUM(_xlfn._xlws.FILTER(G54:G74,A54:A74=A54)))</f>
        <v>0</v>
      </c>
      <c r="I54" s="25">
        <f t="array" ref="I54">IFERROR(IF(A54=A53,0,SUM(_xlfn._xlws.FILTER(G54:G74,(A54:A74=A54)*(E54:E74&lt;0)))),0)</f>
        <v>0</v>
      </c>
      <c r="J54" s="25">
        <f t="array" ref="J54">IFERROR(IF(A54=A53,0,SUM(_xlfn._xlws.FILTER(G54:G74,(A54:A74=A54)*(E54:E74&gt;0)))),0)</f>
        <v>0</v>
      </c>
      <c r="K54" s="25">
        <f>IF(H54&lt;&gt;0,SUM(H$2:H54),0)</f>
        <v>0</v>
      </c>
      <c r="L54" s="25">
        <f>IF(I54&lt;&gt;0,SUM(I$2:I54),0)</f>
        <v>0</v>
      </c>
      <c r="M54" s="25">
        <f>IF(J54&lt;&gt;0,SUM(J$2:J54),0)</f>
        <v>0</v>
      </c>
    </row>
    <row r="55" spans="1:13" hidden="1" x14ac:dyDescent="0.2">
      <c r="A55" s="5">
        <v>45694</v>
      </c>
      <c r="C55" s="9" t="s">
        <v>25</v>
      </c>
      <c r="D55" s="7">
        <v>1000</v>
      </c>
      <c r="E55" s="8">
        <v>-68.929749999999999</v>
      </c>
      <c r="G55" s="25">
        <f t="shared" si="0"/>
        <v>-68929.75</v>
      </c>
      <c r="H55" s="25">
        <f t="array" ref="H55">IF(A55=A54,0,SUM(_xlfn._xlws.FILTER(G55:G75,A55:A75=A55)))</f>
        <v>0</v>
      </c>
      <c r="I55" s="25">
        <f t="array" ref="I55">IFERROR(IF(A55=A54,0,SUM(_xlfn._xlws.FILTER(G55:G75,(A55:A75=A55)*(E55:E75&lt;0)))),0)</f>
        <v>0</v>
      </c>
      <c r="J55" s="25">
        <f t="array" ref="J55">IFERROR(IF(A55=A54,0,SUM(_xlfn._xlws.FILTER(G55:G75,(A55:A75=A55)*(E55:E75&gt;0)))),0)</f>
        <v>0</v>
      </c>
      <c r="K55" s="25">
        <f>IF(H55&lt;&gt;0,SUM(H$2:H55),0)</f>
        <v>0</v>
      </c>
      <c r="L55" s="25">
        <f>IF(I55&lt;&gt;0,SUM(I$2:I55),0)</f>
        <v>0</v>
      </c>
      <c r="M55" s="25">
        <f>IF(J55&lt;&gt;0,SUM(J$2:J55),0)</f>
        <v>0</v>
      </c>
    </row>
    <row r="56" spans="1:13" hidden="1" x14ac:dyDescent="0.2">
      <c r="A56" s="5">
        <v>45694</v>
      </c>
      <c r="C56" s="9" t="s">
        <v>142</v>
      </c>
      <c r="D56" s="7">
        <v>4500</v>
      </c>
      <c r="E56" s="8">
        <v>-9.75</v>
      </c>
      <c r="G56" s="25">
        <f t="shared" si="0"/>
        <v>-43875</v>
      </c>
      <c r="H56" s="25">
        <f t="array" ref="H56">IF(A56=A55,0,SUM(_xlfn._xlws.FILTER(G56:G76,A56:A76=A56)))</f>
        <v>0</v>
      </c>
      <c r="I56" s="25">
        <f t="array" ref="I56">IFERROR(IF(A56=A55,0,SUM(_xlfn._xlws.FILTER(G56:G76,(A56:A76=A56)*(E56:E76&lt;0)))),0)</f>
        <v>0</v>
      </c>
      <c r="J56" s="25">
        <f t="array" ref="J56">IFERROR(IF(A56=A55,0,SUM(_xlfn._xlws.FILTER(G56:G76,(A56:A76=A56)*(E56:E76&gt;0)))),0)</f>
        <v>0</v>
      </c>
      <c r="K56" s="25">
        <f>IF(H56&lt;&gt;0,SUM(H$2:H56),0)</f>
        <v>0</v>
      </c>
      <c r="L56" s="25">
        <f>IF(I56&lt;&gt;0,SUM(I$2:I56),0)</f>
        <v>0</v>
      </c>
      <c r="M56" s="25">
        <f>IF(J56&lt;&gt;0,SUM(J$2:J56),0)</f>
        <v>0</v>
      </c>
    </row>
    <row r="57" spans="1:13" hidden="1" x14ac:dyDescent="0.2">
      <c r="A57" s="5">
        <v>45694</v>
      </c>
      <c r="C57" s="9" t="s">
        <v>72</v>
      </c>
      <c r="D57" s="7">
        <v>4000</v>
      </c>
      <c r="E57" s="8">
        <v>-29.234999999999999</v>
      </c>
      <c r="G57" s="25">
        <f t="shared" si="0"/>
        <v>-116940</v>
      </c>
      <c r="H57" s="25">
        <f t="array" ref="H57">IF(A57=A56,0,SUM(_xlfn._xlws.FILTER(G57:G77,A57:A77=A57)))</f>
        <v>0</v>
      </c>
      <c r="I57" s="25">
        <f t="array" ref="I57">IFERROR(IF(A57=A56,0,SUM(_xlfn._xlws.FILTER(G57:G77,(A57:A77=A57)*(E57:E77&lt;0)))),0)</f>
        <v>0</v>
      </c>
      <c r="J57" s="25">
        <f t="array" ref="J57">IFERROR(IF(A57=A56,0,SUM(_xlfn._xlws.FILTER(G57:G77,(A57:A77=A57)*(E57:E77&gt;0)))),0)</f>
        <v>0</v>
      </c>
      <c r="K57" s="25">
        <f>IF(H57&lt;&gt;0,SUM(H$2:H57),0)</f>
        <v>0</v>
      </c>
      <c r="L57" s="25">
        <f>IF(I57&lt;&gt;0,SUM(I$2:I57),0)</f>
        <v>0</v>
      </c>
      <c r="M57" s="25">
        <f>IF(J57&lt;&gt;0,SUM(J$2:J57),0)</f>
        <v>0</v>
      </c>
    </row>
    <row r="58" spans="1:13" hidden="1" x14ac:dyDescent="0.2">
      <c r="A58" s="5">
        <v>45694</v>
      </c>
      <c r="C58" s="9" t="s">
        <v>146</v>
      </c>
      <c r="D58" s="7">
        <v>3000</v>
      </c>
      <c r="E58" s="8">
        <v>12.7675333</v>
      </c>
      <c r="G58" s="25">
        <f t="shared" si="0"/>
        <v>38302.599900000001</v>
      </c>
      <c r="H58" s="25">
        <f t="array" ref="H58">IF(A58=A57,0,SUM(_xlfn._xlws.FILTER(G58:G78,A58:A78=A58)))</f>
        <v>0</v>
      </c>
      <c r="I58" s="25">
        <f t="array" ref="I58">IFERROR(IF(A58=A57,0,SUM(_xlfn._xlws.FILTER(G58:G78,(A58:A78=A58)*(E58:E78&lt;0)))),0)</f>
        <v>0</v>
      </c>
      <c r="J58" s="25">
        <f t="array" ref="J58">IFERROR(IF(A58=A57,0,SUM(_xlfn._xlws.FILTER(G58:G78,(A58:A78=A58)*(E58:E78&gt;0)))),0)</f>
        <v>0</v>
      </c>
      <c r="K58" s="25">
        <f>IF(H58&lt;&gt;0,SUM(H$2:H58),0)</f>
        <v>0</v>
      </c>
      <c r="L58" s="25">
        <f>IF(I58&lt;&gt;0,SUM(I$2:I58),0)</f>
        <v>0</v>
      </c>
      <c r="M58" s="25">
        <f>IF(J58&lt;&gt;0,SUM(J$2:J58),0)</f>
        <v>0</v>
      </c>
    </row>
    <row r="59" spans="1:13" hidden="1" x14ac:dyDescent="0.2">
      <c r="A59" s="5">
        <v>45694</v>
      </c>
      <c r="C59" s="9" t="s">
        <v>148</v>
      </c>
      <c r="D59" s="7">
        <v>500</v>
      </c>
      <c r="E59" s="8">
        <v>-42.2</v>
      </c>
      <c r="G59" s="25">
        <f t="shared" si="0"/>
        <v>-21100</v>
      </c>
      <c r="H59" s="25">
        <f t="array" ref="H59">IF(A59=A58,0,SUM(_xlfn._xlws.FILTER(G59:G79,A59:A79=A59)))</f>
        <v>0</v>
      </c>
      <c r="I59" s="25">
        <f t="array" ref="I59">IFERROR(IF(A59=A58,0,SUM(_xlfn._xlws.FILTER(G59:G79,(A59:A79=A59)*(E59:E79&lt;0)))),0)</f>
        <v>0</v>
      </c>
      <c r="J59" s="25">
        <f t="array" ref="J59">IFERROR(IF(A59=A58,0,SUM(_xlfn._xlws.FILTER(G59:G79,(A59:A79=A59)*(E59:E79&gt;0)))),0)</f>
        <v>0</v>
      </c>
      <c r="K59" s="25">
        <f>IF(H59&lt;&gt;0,SUM(H$2:H59),0)</f>
        <v>0</v>
      </c>
      <c r="L59" s="25">
        <f>IF(I59&lt;&gt;0,SUM(I$2:I59),0)</f>
        <v>0</v>
      </c>
      <c r="M59" s="25">
        <f>IF(J59&lt;&gt;0,SUM(J$2:J59),0)</f>
        <v>0</v>
      </c>
    </row>
    <row r="60" spans="1:13" hidden="1" x14ac:dyDescent="0.2">
      <c r="A60" s="5">
        <v>45694</v>
      </c>
      <c r="C60" s="9" t="s">
        <v>149</v>
      </c>
      <c r="D60" s="7">
        <v>6500</v>
      </c>
      <c r="E60" s="8">
        <v>-10.059900000000001</v>
      </c>
      <c r="G60" s="25">
        <f t="shared" si="0"/>
        <v>-65389.350000000006</v>
      </c>
      <c r="H60" s="25">
        <f t="array" ref="H60">IF(A60=A59,0,SUM(_xlfn._xlws.FILTER(G60:G80,A60:A80=A60)))</f>
        <v>0</v>
      </c>
      <c r="I60" s="25">
        <f t="array" ref="I60">IFERROR(IF(A60=A59,0,SUM(_xlfn._xlws.FILTER(G60:G80,(A60:A80=A60)*(E60:E80&lt;0)))),0)</f>
        <v>0</v>
      </c>
      <c r="J60" s="25">
        <f t="array" ref="J60">IFERROR(IF(A60=A59,0,SUM(_xlfn._xlws.FILTER(G60:G80,(A60:A80=A60)*(E60:E80&gt;0)))),0)</f>
        <v>0</v>
      </c>
      <c r="K60" s="25">
        <f>IF(H60&lt;&gt;0,SUM(H$2:H60),0)</f>
        <v>0</v>
      </c>
      <c r="L60" s="25">
        <f>IF(I60&lt;&gt;0,SUM(I$2:I60),0)</f>
        <v>0</v>
      </c>
      <c r="M60" s="25">
        <f>IF(J60&lt;&gt;0,SUM(J$2:J60),0)</f>
        <v>0</v>
      </c>
    </row>
    <row r="61" spans="1:13" hidden="1" x14ac:dyDescent="0.2">
      <c r="A61" s="1">
        <v>45695</v>
      </c>
      <c r="C61" s="2" t="s">
        <v>153</v>
      </c>
      <c r="D61" s="3">
        <v>4000</v>
      </c>
      <c r="E61" s="4">
        <v>15.3</v>
      </c>
      <c r="G61" s="25">
        <f t="shared" si="0"/>
        <v>61200</v>
      </c>
      <c r="H61" s="25">
        <f t="array" ref="H61">IF(A61=A60,0,SUM(_xlfn._xlws.FILTER(G61:G81,A61:A81=A61)))</f>
        <v>248687.5</v>
      </c>
      <c r="I61" s="25">
        <f t="array" ref="I61">IFERROR(IF(A61=A60,0,SUM(_xlfn._xlws.FILTER(G61:G81,(A61:A81=A61)*(E61:E81&lt;0)))),0)</f>
        <v>-24500</v>
      </c>
      <c r="J61" s="25">
        <f t="array" ref="J61">IFERROR(IF(A61=A60,0,SUM(_xlfn._xlws.FILTER(G61:G81,(A61:A81=A61)*(E61:E81&gt;0)))),0)</f>
        <v>273187.5</v>
      </c>
      <c r="K61" s="25">
        <f>IF(H61&lt;&gt;0,SUM(H$2:H61),0)</f>
        <v>831498.66390000004</v>
      </c>
      <c r="L61" s="25">
        <f>IF(I61&lt;&gt;0,SUM(I$2:I61),0)</f>
        <v>-1735077.0799999998</v>
      </c>
      <c r="M61" s="25">
        <f>IF(J61&lt;&gt;0,SUM(J$2:J61),0)</f>
        <v>2566575.7438999997</v>
      </c>
    </row>
    <row r="62" spans="1:13" hidden="1" x14ac:dyDescent="0.2">
      <c r="A62" s="1">
        <v>45695</v>
      </c>
      <c r="C62" s="2" t="s">
        <v>155</v>
      </c>
      <c r="D62" s="3">
        <v>4000</v>
      </c>
      <c r="E62" s="4">
        <v>11.63</v>
      </c>
      <c r="G62" s="25">
        <f t="shared" si="0"/>
        <v>46520</v>
      </c>
      <c r="H62" s="25">
        <f t="array" ref="H62">IF(A62=A61,0,SUM(_xlfn._xlws.FILTER(G62:G82,A62:A82=A62)))</f>
        <v>0</v>
      </c>
      <c r="I62" s="25">
        <f t="array" ref="I62">IFERROR(IF(A62=A61,0,SUM(_xlfn._xlws.FILTER(G62:G82,(A62:A82=A62)*(E62:E82&lt;0)))),0)</f>
        <v>0</v>
      </c>
      <c r="J62" s="25">
        <f t="array" ref="J62">IFERROR(IF(A62=A61,0,SUM(_xlfn._xlws.FILTER(G62:G82,(A62:A82=A62)*(E62:E82&gt;0)))),0)</f>
        <v>0</v>
      </c>
      <c r="K62" s="25">
        <f>IF(H62&lt;&gt;0,SUM(H$2:H62),0)</f>
        <v>0</v>
      </c>
      <c r="L62" s="25">
        <f>IF(I62&lt;&gt;0,SUM(I$2:I62),0)</f>
        <v>0</v>
      </c>
      <c r="M62" s="25">
        <f>IF(J62&lt;&gt;0,SUM(J$2:J62),0)</f>
        <v>0</v>
      </c>
    </row>
    <row r="63" spans="1:13" hidden="1" x14ac:dyDescent="0.2">
      <c r="A63" s="1">
        <v>45695</v>
      </c>
      <c r="C63" s="2" t="s">
        <v>157</v>
      </c>
      <c r="D63" s="3">
        <v>50000</v>
      </c>
      <c r="E63" s="4">
        <v>-49</v>
      </c>
      <c r="G63" s="25">
        <f t="shared" si="0"/>
        <v>-24500</v>
      </c>
      <c r="H63" s="25">
        <f t="array" ref="H63">IF(A63=A62,0,SUM(_xlfn._xlws.FILTER(G63:G83,A63:A83=A63)))</f>
        <v>0</v>
      </c>
      <c r="I63" s="25">
        <f t="array" ref="I63">IFERROR(IF(A63=A62,0,SUM(_xlfn._xlws.FILTER(G63:G83,(A63:A83=A63)*(E63:E83&lt;0)))),0)</f>
        <v>0</v>
      </c>
      <c r="J63" s="25">
        <f t="array" ref="J63">IFERROR(IF(A63=A62,0,SUM(_xlfn._xlws.FILTER(G63:G83,(A63:A83=A63)*(E63:E83&gt;0)))),0)</f>
        <v>0</v>
      </c>
      <c r="K63" s="25">
        <f>IF(H63&lt;&gt;0,SUM(H$2:H63),0)</f>
        <v>0</v>
      </c>
      <c r="L63" s="25">
        <f>IF(I63&lt;&gt;0,SUM(I$2:I63),0)</f>
        <v>0</v>
      </c>
      <c r="M63" s="25">
        <f>IF(J63&lt;&gt;0,SUM(J$2:J63),0)</f>
        <v>0</v>
      </c>
    </row>
    <row r="64" spans="1:13" hidden="1" x14ac:dyDescent="0.2">
      <c r="A64" s="1">
        <v>45695</v>
      </c>
      <c r="C64" s="2" t="s">
        <v>116</v>
      </c>
      <c r="D64" s="3">
        <v>450</v>
      </c>
      <c r="E64" s="4">
        <v>228.95</v>
      </c>
      <c r="G64" s="25">
        <f t="shared" si="0"/>
        <v>103027.5</v>
      </c>
      <c r="H64" s="25">
        <f t="array" ref="H64">IF(A64=A63,0,SUM(_xlfn._xlws.FILTER(G64:G84,A64:A84=A64)))</f>
        <v>0</v>
      </c>
      <c r="I64" s="25">
        <f t="array" ref="I64">IFERROR(IF(A64=A63,0,SUM(_xlfn._xlws.FILTER(G64:G84,(A64:A84=A64)*(E64:E84&lt;0)))),0)</f>
        <v>0</v>
      </c>
      <c r="J64" s="25">
        <f t="array" ref="J64">IFERROR(IF(A64=A63,0,SUM(_xlfn._xlws.FILTER(G64:G84,(A64:A84=A64)*(E64:E84&gt;0)))),0)</f>
        <v>0</v>
      </c>
      <c r="K64" s="25">
        <f>IF(H64&lt;&gt;0,SUM(H$2:H64),0)</f>
        <v>0</v>
      </c>
      <c r="L64" s="25">
        <f>IF(I64&lt;&gt;0,SUM(I$2:I64),0)</f>
        <v>0</v>
      </c>
      <c r="M64" s="25">
        <f>IF(J64&lt;&gt;0,SUM(J$2:J64),0)</f>
        <v>0</v>
      </c>
    </row>
    <row r="65" spans="1:13" hidden="1" x14ac:dyDescent="0.2">
      <c r="A65" s="1">
        <v>45695</v>
      </c>
      <c r="C65" s="2" t="s">
        <v>39</v>
      </c>
      <c r="D65" s="3">
        <v>1000</v>
      </c>
      <c r="E65" s="4">
        <v>62.44</v>
      </c>
      <c r="G65" s="25">
        <f t="shared" si="0"/>
        <v>62440</v>
      </c>
      <c r="H65" s="25">
        <f t="array" ref="H65">IF(A65=A64,0,SUM(_xlfn._xlws.FILTER(G65:G85,A65:A85=A65)))</f>
        <v>0</v>
      </c>
      <c r="I65" s="25">
        <f t="array" ref="I65">IFERROR(IF(A65=A64,0,SUM(_xlfn._xlws.FILTER(G65:G85,(A65:A85=A65)*(E65:E85&lt;0)))),0)</f>
        <v>0</v>
      </c>
      <c r="J65" s="25">
        <f t="array" ref="J65">IFERROR(IF(A65=A64,0,SUM(_xlfn._xlws.FILTER(G65:G85,(A65:A85=A65)*(E65:E85&gt;0)))),0)</f>
        <v>0</v>
      </c>
      <c r="K65" s="25">
        <f>IF(H65&lt;&gt;0,SUM(H$2:H65),0)</f>
        <v>0</v>
      </c>
      <c r="L65" s="25">
        <f>IF(I65&lt;&gt;0,SUM(I$2:I65),0)</f>
        <v>0</v>
      </c>
      <c r="M65" s="25">
        <f>IF(J65&lt;&gt;0,SUM(J$2:J65),0)</f>
        <v>0</v>
      </c>
    </row>
    <row r="66" spans="1:13" hidden="1" x14ac:dyDescent="0.2">
      <c r="A66" s="5">
        <v>45698</v>
      </c>
      <c r="C66" s="9" t="s">
        <v>116</v>
      </c>
      <c r="D66" s="7">
        <v>250</v>
      </c>
      <c r="E66" s="8">
        <v>-232.89</v>
      </c>
      <c r="G66" s="25">
        <f t="shared" ref="G66:G129" si="1">D66*E66*IF(OR(C66="IAG",C66="EZJ",C66="AET"),0.01,1)</f>
        <v>-58222.5</v>
      </c>
      <c r="H66" s="25">
        <f t="array" ref="H66">IF(A66=A65,0,SUM(_xlfn._xlws.FILTER(G66:G86,A66:A86=A66)))</f>
        <v>-58222.5</v>
      </c>
      <c r="I66" s="25">
        <f t="array" ref="I66">IFERROR(IF(A66=A65,0,SUM(_xlfn._xlws.FILTER(G66:G86,(A66:A86=A66)*(E66:E86&lt;0)))),0)</f>
        <v>-58222.5</v>
      </c>
      <c r="J66" s="25">
        <f t="array" ref="J66">IFERROR(IF(A66=A65,0,SUM(_xlfn._xlws.FILTER(G66:G86,(A66:A86=A66)*(E66:E86&gt;0)))),0)</f>
        <v>0</v>
      </c>
      <c r="K66" s="25">
        <f>IF(H66&lt;&gt;0,SUM(H$2:H66),0)</f>
        <v>773276.16390000004</v>
      </c>
      <c r="L66" s="25">
        <f>IF(I66&lt;&gt;0,SUM(I$2:I66),0)</f>
        <v>-1793299.5799999998</v>
      </c>
      <c r="M66" s="25">
        <f>IF(J66&lt;&gt;0,SUM(J$2:J66),0)</f>
        <v>0</v>
      </c>
    </row>
    <row r="67" spans="1:13" hidden="1" x14ac:dyDescent="0.2">
      <c r="A67" s="1">
        <v>45699</v>
      </c>
      <c r="C67" s="2" t="s">
        <v>78</v>
      </c>
      <c r="D67" s="3">
        <v>10000</v>
      </c>
      <c r="E67" s="4">
        <v>1.66</v>
      </c>
      <c r="G67" s="25">
        <f t="shared" si="1"/>
        <v>16600</v>
      </c>
      <c r="H67" s="25">
        <f t="array" ref="H67">IF(A67=A66,0,SUM(_xlfn._xlws.FILTER(G67:G87,A67:A87=A67)))</f>
        <v>-18100</v>
      </c>
      <c r="I67" s="25">
        <f t="array" ref="I67">IFERROR(IF(A67=A66,0,SUM(_xlfn._xlws.FILTER(G67:G87,(A67:A87=A67)*(E67:E87&lt;0)))),0)</f>
        <v>-34700</v>
      </c>
      <c r="J67" s="25">
        <f t="array" ref="J67">IFERROR(IF(A67=A66,0,SUM(_xlfn._xlws.FILTER(G67:G87,(A67:A87=A67)*(E67:E87&gt;0)))),0)</f>
        <v>16600</v>
      </c>
      <c r="K67" s="25">
        <f>IF(H67&lt;&gt;0,SUM(H$2:H67),0)</f>
        <v>755176.16390000004</v>
      </c>
      <c r="L67" s="25">
        <f>IF(I67&lt;&gt;0,SUM(I$2:I67),0)</f>
        <v>-1827999.5799999998</v>
      </c>
      <c r="M67" s="25">
        <f>IF(J67&lt;&gt;0,SUM(J$2:J67),0)</f>
        <v>2583175.7438999997</v>
      </c>
    </row>
    <row r="68" spans="1:13" hidden="1" x14ac:dyDescent="0.2">
      <c r="A68" s="1">
        <v>45699</v>
      </c>
      <c r="C68" s="2" t="s">
        <v>139</v>
      </c>
      <c r="D68" s="3">
        <v>10000</v>
      </c>
      <c r="E68" s="4">
        <v>-347</v>
      </c>
      <c r="G68" s="25">
        <f t="shared" si="1"/>
        <v>-34700</v>
      </c>
      <c r="H68" s="25">
        <f t="array" ref="H68">IF(A68=A67,0,SUM(_xlfn._xlws.FILTER(G68:G88,A68:A88=A68)))</f>
        <v>0</v>
      </c>
      <c r="I68" s="25">
        <f t="array" ref="I68">IFERROR(IF(A68=A67,0,SUM(_xlfn._xlws.FILTER(G68:G88,(A68:A88=A68)*(E68:E88&lt;0)))),0)</f>
        <v>0</v>
      </c>
      <c r="J68" s="25">
        <f t="array" ref="J68">IFERROR(IF(A68=A67,0,SUM(_xlfn._xlws.FILTER(G68:G88,(A68:A88=A68)*(E68:E88&gt;0)))),0)</f>
        <v>0</v>
      </c>
      <c r="K68" s="25">
        <f>IF(H68&lt;&gt;0,SUM(H$2:H68),0)</f>
        <v>0</v>
      </c>
      <c r="L68" s="25">
        <f>IF(I68&lt;&gt;0,SUM(I$2:I68),0)</f>
        <v>0</v>
      </c>
      <c r="M68" s="25">
        <f>IF(J68&lt;&gt;0,SUM(J$2:J68),0)</f>
        <v>0</v>
      </c>
    </row>
    <row r="69" spans="1:13" hidden="1" x14ac:dyDescent="0.2">
      <c r="A69" s="5">
        <v>45700</v>
      </c>
      <c r="C69" s="9" t="s">
        <v>15</v>
      </c>
      <c r="D69" s="7">
        <v>1000</v>
      </c>
      <c r="E69" s="8">
        <v>40.01</v>
      </c>
      <c r="G69" s="25">
        <f t="shared" si="1"/>
        <v>40010</v>
      </c>
      <c r="H69" s="25">
        <f t="array" ref="H69">IF(A69=A68,0,SUM(_xlfn._xlws.FILTER(G69:G89,A69:A89=A69)))</f>
        <v>144579.5</v>
      </c>
      <c r="I69" s="25">
        <f t="array" ref="I69">IFERROR(IF(A69=A68,0,SUM(_xlfn._xlws.FILTER(G69:G89,(A69:A89=A69)*(E69:E89&lt;0)))),0)</f>
        <v>-201834.8</v>
      </c>
      <c r="J69" s="25">
        <f t="array" ref="J69">IFERROR(IF(A69=A68,0,SUM(_xlfn._xlws.FILTER(G69:G89,(A69:A89=A69)*(E69:E89&gt;0)))),0)</f>
        <v>346414.3</v>
      </c>
      <c r="K69" s="25">
        <f>IF(H69&lt;&gt;0,SUM(H$2:H69),0)</f>
        <v>899755.66390000004</v>
      </c>
      <c r="L69" s="25">
        <f>IF(I69&lt;&gt;0,SUM(I$2:I69),0)</f>
        <v>-2029834.38</v>
      </c>
      <c r="M69" s="25">
        <f>IF(J69&lt;&gt;0,SUM(J$2:J69),0)</f>
        <v>2929590.0438999995</v>
      </c>
    </row>
    <row r="70" spans="1:13" hidden="1" x14ac:dyDescent="0.2">
      <c r="A70" s="5">
        <v>45700</v>
      </c>
      <c r="C70" s="9" t="s">
        <v>105</v>
      </c>
      <c r="D70" s="7">
        <v>1000</v>
      </c>
      <c r="E70" s="8">
        <v>40.01</v>
      </c>
      <c r="G70" s="25">
        <f t="shared" si="1"/>
        <v>40010</v>
      </c>
      <c r="H70" s="25">
        <f t="array" ref="H70">IF(A70=A69,0,SUM(_xlfn._xlws.FILTER(G70:G90,A70:A90=A70)))</f>
        <v>0</v>
      </c>
      <c r="I70" s="25">
        <f t="array" ref="I70">IFERROR(IF(A70=A69,0,SUM(_xlfn._xlws.FILTER(G70:G90,(A70:A90=A70)*(E70:E90&lt;0)))),0)</f>
        <v>0</v>
      </c>
      <c r="J70" s="25">
        <f t="array" ref="J70">IFERROR(IF(A70=A69,0,SUM(_xlfn._xlws.FILTER(G70:G90,(A70:A90=A70)*(E70:E90&gt;0)))),0)</f>
        <v>0</v>
      </c>
      <c r="K70" s="25">
        <f>IF(H70&lt;&gt;0,SUM(H$2:H70),0)</f>
        <v>0</v>
      </c>
      <c r="L70" s="25">
        <f>IF(I70&lt;&gt;0,SUM(I$2:I70),0)</f>
        <v>0</v>
      </c>
      <c r="M70" s="25">
        <f>IF(J70&lt;&gt;0,SUM(J$2:J70),0)</f>
        <v>0</v>
      </c>
    </row>
    <row r="71" spans="1:13" hidden="1" x14ac:dyDescent="0.2">
      <c r="A71" s="5">
        <v>45700</v>
      </c>
      <c r="C71" s="9" t="s">
        <v>130</v>
      </c>
      <c r="D71" s="7">
        <v>10000</v>
      </c>
      <c r="E71" s="8">
        <v>-1.1499999999999999</v>
      </c>
      <c r="G71" s="25">
        <f t="shared" si="1"/>
        <v>-11500</v>
      </c>
      <c r="H71" s="25">
        <f t="array" ref="H71">IF(A71=A70,0,SUM(_xlfn._xlws.FILTER(G71:G91,A71:A91=A71)))</f>
        <v>0</v>
      </c>
      <c r="I71" s="25">
        <f t="array" ref="I71">IFERROR(IF(A71=A70,0,SUM(_xlfn._xlws.FILTER(G71:G91,(A71:A91=A71)*(E71:E91&lt;0)))),0)</f>
        <v>0</v>
      </c>
      <c r="J71" s="25">
        <f t="array" ref="J71">IFERROR(IF(A71=A70,0,SUM(_xlfn._xlws.FILTER(G71:G91,(A71:A91=A71)*(E71:E91&gt;0)))),0)</f>
        <v>0</v>
      </c>
      <c r="K71" s="25">
        <f>IF(H71&lt;&gt;0,SUM(H$2:H71),0)</f>
        <v>0</v>
      </c>
      <c r="L71" s="25">
        <f>IF(I71&lt;&gt;0,SUM(I$2:I71),0)</f>
        <v>0</v>
      </c>
      <c r="M71" s="25">
        <f>IF(J71&lt;&gt;0,SUM(J$2:J71),0)</f>
        <v>0</v>
      </c>
    </row>
    <row r="72" spans="1:13" hidden="1" x14ac:dyDescent="0.2">
      <c r="A72" s="5">
        <v>45700</v>
      </c>
      <c r="C72" s="9" t="s">
        <v>61</v>
      </c>
      <c r="D72" s="7">
        <v>250</v>
      </c>
      <c r="E72" s="8">
        <v>235.47</v>
      </c>
      <c r="G72" s="25">
        <f t="shared" si="1"/>
        <v>58867.5</v>
      </c>
      <c r="H72" s="25">
        <f t="array" ref="H72">IF(A72=A71,0,SUM(_xlfn._xlws.FILTER(G72:G92,A72:A92=A72)))</f>
        <v>0</v>
      </c>
      <c r="I72" s="25">
        <f t="array" ref="I72">IFERROR(IF(A72=A71,0,SUM(_xlfn._xlws.FILTER(G72:G92,(A72:A92=A72)*(E72:E92&lt;0)))),0)</f>
        <v>0</v>
      </c>
      <c r="J72" s="25">
        <f t="array" ref="J72">IFERROR(IF(A72=A71,0,SUM(_xlfn._xlws.FILTER(G72:G92,(A72:A92=A72)*(E72:E92&gt;0)))),0)</f>
        <v>0</v>
      </c>
      <c r="K72" s="25">
        <f>IF(H72&lt;&gt;0,SUM(H$2:H72),0)</f>
        <v>0</v>
      </c>
      <c r="L72" s="25">
        <f>IF(I72&lt;&gt;0,SUM(I$2:I72),0)</f>
        <v>0</v>
      </c>
      <c r="M72" s="25">
        <f>IF(J72&lt;&gt;0,SUM(J$2:J72),0)</f>
        <v>0</v>
      </c>
    </row>
    <row r="73" spans="1:13" hidden="1" x14ac:dyDescent="0.2">
      <c r="A73" s="5">
        <v>45700</v>
      </c>
      <c r="C73" s="9" t="s">
        <v>171</v>
      </c>
      <c r="D73" s="7">
        <v>900</v>
      </c>
      <c r="E73" s="8">
        <v>-48.09</v>
      </c>
      <c r="G73" s="25">
        <f t="shared" si="1"/>
        <v>-43281</v>
      </c>
      <c r="H73" s="25">
        <f t="array" ref="H73">IF(A73=A72,0,SUM(_xlfn._xlws.FILTER(G73:G93,A73:A93=A73)))</f>
        <v>0</v>
      </c>
      <c r="I73" s="25">
        <f t="array" ref="I73">IFERROR(IF(A73=A72,0,SUM(_xlfn._xlws.FILTER(G73:G93,(A73:A93=A73)*(E73:E93&lt;0)))),0)</f>
        <v>0</v>
      </c>
      <c r="J73" s="25">
        <f t="array" ref="J73">IFERROR(IF(A73=A72,0,SUM(_xlfn._xlws.FILTER(G73:G93,(A73:A93=A73)*(E73:E93&gt;0)))),0)</f>
        <v>0</v>
      </c>
      <c r="K73" s="25">
        <f>IF(H73&lt;&gt;0,SUM(H$2:H73),0)</f>
        <v>0</v>
      </c>
      <c r="L73" s="25">
        <f>IF(I73&lt;&gt;0,SUM(I$2:I73),0)</f>
        <v>0</v>
      </c>
      <c r="M73" s="25">
        <f>IF(J73&lt;&gt;0,SUM(J$2:J73),0)</f>
        <v>0</v>
      </c>
    </row>
    <row r="74" spans="1:13" hidden="1" x14ac:dyDescent="0.2">
      <c r="A74" s="5">
        <v>45700</v>
      </c>
      <c r="C74" s="9" t="s">
        <v>125</v>
      </c>
      <c r="D74" s="7">
        <v>280</v>
      </c>
      <c r="E74" s="8">
        <v>154.81</v>
      </c>
      <c r="G74" s="25">
        <f t="shared" si="1"/>
        <v>43346.8</v>
      </c>
      <c r="H74" s="25">
        <f t="array" ref="H74">IF(A74=A73,0,SUM(_xlfn._xlws.FILTER(G74:G94,A74:A94=A74)))</f>
        <v>0</v>
      </c>
      <c r="I74" s="25">
        <f t="array" ref="I74">IFERROR(IF(A74=A73,0,SUM(_xlfn._xlws.FILTER(G74:G94,(A74:A94=A74)*(E74:E94&lt;0)))),0)</f>
        <v>0</v>
      </c>
      <c r="J74" s="25">
        <f t="array" ref="J74">IFERROR(IF(A74=A73,0,SUM(_xlfn._xlws.FILTER(G74:G94,(A74:A94=A74)*(E74:E94&gt;0)))),0)</f>
        <v>0</v>
      </c>
      <c r="K74" s="25">
        <f>IF(H74&lt;&gt;0,SUM(H$2:H74),0)</f>
        <v>0</v>
      </c>
      <c r="L74" s="25">
        <f>IF(I74&lt;&gt;0,SUM(I$2:I74),0)</f>
        <v>0</v>
      </c>
      <c r="M74" s="25">
        <f>IF(J74&lt;&gt;0,SUM(J$2:J74),0)</f>
        <v>0</v>
      </c>
    </row>
    <row r="75" spans="1:13" hidden="1" x14ac:dyDescent="0.2">
      <c r="A75" s="5">
        <v>45700</v>
      </c>
      <c r="C75" s="9" t="s">
        <v>49</v>
      </c>
      <c r="D75" s="7">
        <v>20000</v>
      </c>
      <c r="E75" s="8">
        <v>1.97</v>
      </c>
      <c r="G75" s="25">
        <f t="shared" si="1"/>
        <v>39400</v>
      </c>
      <c r="H75" s="25">
        <f t="array" ref="H75">IF(A75=A74,0,SUM(_xlfn._xlws.FILTER(G75:G95,A75:A95=A75)))</f>
        <v>0</v>
      </c>
      <c r="I75" s="25">
        <f t="array" ref="I75">IFERROR(IF(A75=A74,0,SUM(_xlfn._xlws.FILTER(G75:G95,(A75:A95=A75)*(E75:E95&lt;0)))),0)</f>
        <v>0</v>
      </c>
      <c r="J75" s="25">
        <f t="array" ref="J75">IFERROR(IF(A75=A74,0,SUM(_xlfn._xlws.FILTER(G75:G95,(A75:A95=A75)*(E75:E95&gt;0)))),0)</f>
        <v>0</v>
      </c>
      <c r="K75" s="25">
        <f>IF(H75&lt;&gt;0,SUM(H$2:H75),0)</f>
        <v>0</v>
      </c>
      <c r="L75" s="25">
        <f>IF(I75&lt;&gt;0,SUM(I$2:I75),0)</f>
        <v>0</v>
      </c>
      <c r="M75" s="25">
        <f>IF(J75&lt;&gt;0,SUM(J$2:J75),0)</f>
        <v>0</v>
      </c>
    </row>
    <row r="76" spans="1:13" hidden="1" x14ac:dyDescent="0.2">
      <c r="A76" s="5">
        <v>45700</v>
      </c>
      <c r="C76" s="9" t="s">
        <v>176</v>
      </c>
      <c r="D76" s="7">
        <v>2000</v>
      </c>
      <c r="E76" s="8">
        <v>62.39</v>
      </c>
      <c r="G76" s="25">
        <f t="shared" si="1"/>
        <v>124780</v>
      </c>
      <c r="H76" s="25">
        <f t="array" ref="H76">IF(A76=A75,0,SUM(_xlfn._xlws.FILTER(G76:G96,A76:A96=A76)))</f>
        <v>0</v>
      </c>
      <c r="I76" s="25">
        <f t="array" ref="I76">IFERROR(IF(A76=A75,0,SUM(_xlfn._xlws.FILTER(G76:G96,(A76:A96=A76)*(E76:E96&lt;0)))),0)</f>
        <v>0</v>
      </c>
      <c r="J76" s="25">
        <f t="array" ref="J76">IFERROR(IF(A76=A75,0,SUM(_xlfn._xlws.FILTER(G76:G96,(A76:A96=A76)*(E76:E96&gt;0)))),0)</f>
        <v>0</v>
      </c>
      <c r="K76" s="25">
        <f>IF(H76&lt;&gt;0,SUM(H$2:H76),0)</f>
        <v>0</v>
      </c>
      <c r="L76" s="25">
        <f>IF(I76&lt;&gt;0,SUM(I$2:I76),0)</f>
        <v>0</v>
      </c>
      <c r="M76" s="25">
        <f>IF(J76&lt;&gt;0,SUM(J$2:J76),0)</f>
        <v>0</v>
      </c>
    </row>
    <row r="77" spans="1:13" hidden="1" x14ac:dyDescent="0.2">
      <c r="A77" s="5">
        <v>45700</v>
      </c>
      <c r="C77" s="9" t="s">
        <v>178</v>
      </c>
      <c r="D77" s="7">
        <v>2000</v>
      </c>
      <c r="E77" s="8">
        <v>-6.2248999999999999</v>
      </c>
      <c r="G77" s="25">
        <f t="shared" si="1"/>
        <v>-12449.8</v>
      </c>
      <c r="H77" s="25">
        <f t="array" ref="H77">IF(A77=A76,0,SUM(_xlfn._xlws.FILTER(G77:G97,A77:A97=A77)))</f>
        <v>0</v>
      </c>
      <c r="I77" s="25">
        <f t="array" ref="I77">IFERROR(IF(A77=A76,0,SUM(_xlfn._xlws.FILTER(G77:G97,(A77:A97=A77)*(E77:E97&lt;0)))),0)</f>
        <v>0</v>
      </c>
      <c r="J77" s="25">
        <f t="array" ref="J77">IFERROR(IF(A77=A76,0,SUM(_xlfn._xlws.FILTER(G77:G97,(A77:A97=A77)*(E77:E97&gt;0)))),0)</f>
        <v>0</v>
      </c>
      <c r="K77" s="25">
        <f>IF(H77&lt;&gt;0,SUM(H$2:H77),0)</f>
        <v>0</v>
      </c>
      <c r="L77" s="25">
        <f>IF(I77&lt;&gt;0,SUM(I$2:I77),0)</f>
        <v>0</v>
      </c>
      <c r="M77" s="25">
        <f>IF(J77&lt;&gt;0,SUM(J$2:J77),0)</f>
        <v>0</v>
      </c>
    </row>
    <row r="78" spans="1:13" hidden="1" x14ac:dyDescent="0.2">
      <c r="A78" s="5">
        <v>45700</v>
      </c>
      <c r="C78" s="9" t="s">
        <v>113</v>
      </c>
      <c r="D78" s="7">
        <v>400</v>
      </c>
      <c r="E78" s="8">
        <v>-336.51</v>
      </c>
      <c r="G78" s="25">
        <f t="shared" si="1"/>
        <v>-134604</v>
      </c>
      <c r="H78" s="25">
        <f t="array" ref="H78">IF(A78=A77,0,SUM(_xlfn._xlws.FILTER(G78:G98,A78:A98=A78)))</f>
        <v>0</v>
      </c>
      <c r="I78" s="25">
        <f t="array" ref="I78">IFERROR(IF(A78=A77,0,SUM(_xlfn._xlws.FILTER(G78:G98,(A78:A98=A78)*(E78:E98&lt;0)))),0)</f>
        <v>0</v>
      </c>
      <c r="J78" s="25">
        <f t="array" ref="J78">IFERROR(IF(A78=A77,0,SUM(_xlfn._xlws.FILTER(G78:G98,(A78:A98=A78)*(E78:E98&gt;0)))),0)</f>
        <v>0</v>
      </c>
      <c r="K78" s="25">
        <f>IF(H78&lt;&gt;0,SUM(H$2:H78),0)</f>
        <v>0</v>
      </c>
      <c r="L78" s="25">
        <f>IF(I78&lt;&gt;0,SUM(I$2:I78),0)</f>
        <v>0</v>
      </c>
      <c r="M78" s="25">
        <f>IF(J78&lt;&gt;0,SUM(J$2:J78),0)</f>
        <v>0</v>
      </c>
    </row>
    <row r="79" spans="1:13" hidden="1" x14ac:dyDescent="0.2">
      <c r="A79" s="1">
        <v>45701</v>
      </c>
      <c r="C79" s="2" t="s">
        <v>113</v>
      </c>
      <c r="D79" s="3">
        <v>200</v>
      </c>
      <c r="E79" s="4">
        <v>357.3</v>
      </c>
      <c r="G79" s="25">
        <f t="shared" si="1"/>
        <v>71460</v>
      </c>
      <c r="H79" s="25">
        <f t="array" ref="H79">IF(A79=A78,0,SUM(_xlfn._xlws.FILTER(G79:G99,A79:A99=A79)))</f>
        <v>310489.75</v>
      </c>
      <c r="I79" s="25">
        <f t="array" ref="I79">IFERROR(IF(A79=A78,0,SUM(_xlfn._xlws.FILTER(G79:G99,(A79:A99=A79)*(E79:E99&lt;0)))),0)</f>
        <v>-222852.25</v>
      </c>
      <c r="J79" s="25">
        <f t="array" ref="J79">IFERROR(IF(A79=A78,0,SUM(_xlfn._xlws.FILTER(G79:G99,(A79:A99=A79)*(E79:E99&gt;0)))),0)</f>
        <v>533342</v>
      </c>
      <c r="K79" s="25">
        <f>IF(H79&lt;&gt;0,SUM(H$2:H79),0)</f>
        <v>1210245.4139</v>
      </c>
      <c r="L79" s="25">
        <f>IF(I79&lt;&gt;0,SUM(I$2:I79),0)</f>
        <v>-2252686.63</v>
      </c>
      <c r="M79" s="25">
        <f>IF(J79&lt;&gt;0,SUM(J$2:J79),0)</f>
        <v>3462932.0438999995</v>
      </c>
    </row>
    <row r="80" spans="1:13" hidden="1" x14ac:dyDescent="0.2">
      <c r="A80" s="1">
        <v>45701</v>
      </c>
      <c r="C80" s="2" t="s">
        <v>19</v>
      </c>
      <c r="D80" s="3">
        <v>100</v>
      </c>
      <c r="E80" s="4">
        <v>737.1</v>
      </c>
      <c r="G80" s="25">
        <f t="shared" si="1"/>
        <v>73710</v>
      </c>
      <c r="H80" s="25">
        <f t="array" ref="H80">IF(A80=A79,0,SUM(_xlfn._xlws.FILTER(G80:G100,A80:A100=A80)))</f>
        <v>0</v>
      </c>
      <c r="I80" s="25">
        <f t="array" ref="I80">IFERROR(IF(A80=A79,0,SUM(_xlfn._xlws.FILTER(G80:G100,(A80:A100=A80)*(E80:E100&lt;0)))),0)</f>
        <v>0</v>
      </c>
      <c r="J80" s="25">
        <f t="array" ref="J80">IFERROR(IF(A80=A79,0,SUM(_xlfn._xlws.FILTER(G80:G100,(A80:A100=A80)*(E80:E100&gt;0)))),0)</f>
        <v>0</v>
      </c>
      <c r="K80" s="25">
        <f>IF(H80&lt;&gt;0,SUM(H$2:H80),0)</f>
        <v>0</v>
      </c>
      <c r="L80" s="25">
        <f>IF(I80&lt;&gt;0,SUM(I$2:I80),0)</f>
        <v>0</v>
      </c>
      <c r="M80" s="25">
        <f>IF(J80&lt;&gt;0,SUM(J$2:J80),0)</f>
        <v>0</v>
      </c>
    </row>
    <row r="81" spans="1:13" hidden="1" x14ac:dyDescent="0.2">
      <c r="A81" s="1">
        <v>45701</v>
      </c>
      <c r="C81" s="2" t="s">
        <v>72</v>
      </c>
      <c r="D81" s="3">
        <v>4000</v>
      </c>
      <c r="E81" s="4">
        <v>-28.364999999999998</v>
      </c>
      <c r="G81" s="25">
        <f t="shared" si="1"/>
        <v>-113460</v>
      </c>
      <c r="H81" s="25">
        <f t="array" ref="H81">IF(A81=A80,0,SUM(_xlfn._xlws.FILTER(G81:G101,A81:A101=A81)))</f>
        <v>0</v>
      </c>
      <c r="I81" s="25">
        <f t="array" ref="I81">IFERROR(IF(A81=A80,0,SUM(_xlfn._xlws.FILTER(G81:G101,(A81:A101=A81)*(E81:E101&lt;0)))),0)</f>
        <v>0</v>
      </c>
      <c r="J81" s="25">
        <f t="array" ref="J81">IFERROR(IF(A81=A80,0,SUM(_xlfn._xlws.FILTER(G81:G101,(A81:A101=A81)*(E81:E101&gt;0)))),0)</f>
        <v>0</v>
      </c>
      <c r="K81" s="25">
        <f>IF(H81&lt;&gt;0,SUM(H$2:H81),0)</f>
        <v>0</v>
      </c>
      <c r="L81" s="25">
        <f>IF(I81&lt;&gt;0,SUM(I$2:I81),0)</f>
        <v>0</v>
      </c>
      <c r="M81" s="25">
        <f>IF(J81&lt;&gt;0,SUM(J$2:J81),0)</f>
        <v>0</v>
      </c>
    </row>
    <row r="82" spans="1:13" hidden="1" x14ac:dyDescent="0.2">
      <c r="A82" s="1">
        <v>45701</v>
      </c>
      <c r="C82" s="2" t="s">
        <v>185</v>
      </c>
      <c r="D82" s="3">
        <v>2000</v>
      </c>
      <c r="E82" s="4">
        <v>-20.229375000000001</v>
      </c>
      <c r="G82" s="25">
        <f t="shared" si="1"/>
        <v>-40458.75</v>
      </c>
      <c r="H82" s="25">
        <f t="array" ref="H82">IF(A82=A81,0,SUM(_xlfn._xlws.FILTER(G82:G102,A82:A102=A82)))</f>
        <v>0</v>
      </c>
      <c r="I82" s="25">
        <f t="array" ref="I82">IFERROR(IF(A82=A81,0,SUM(_xlfn._xlws.FILTER(G82:G102,(A82:A102=A82)*(E82:E102&lt;0)))),0)</f>
        <v>0</v>
      </c>
      <c r="J82" s="25">
        <f t="array" ref="J82">IFERROR(IF(A82=A81,0,SUM(_xlfn._xlws.FILTER(G82:G102,(A82:A102=A82)*(E82:E102&gt;0)))),0)</f>
        <v>0</v>
      </c>
      <c r="K82" s="25">
        <f>IF(H82&lt;&gt;0,SUM(H$2:H82),0)</f>
        <v>0</v>
      </c>
      <c r="L82" s="25">
        <f>IF(I82&lt;&gt;0,SUM(I$2:I82),0)</f>
        <v>0</v>
      </c>
      <c r="M82" s="25">
        <f>IF(J82&lt;&gt;0,SUM(J$2:J82),0)</f>
        <v>0</v>
      </c>
    </row>
    <row r="83" spans="1:13" hidden="1" x14ac:dyDescent="0.2">
      <c r="A83" s="1">
        <v>45701</v>
      </c>
      <c r="C83" s="2" t="s">
        <v>176</v>
      </c>
      <c r="D83" s="3">
        <v>2000</v>
      </c>
      <c r="E83" s="4">
        <v>67.069999999999993</v>
      </c>
      <c r="G83" s="25">
        <f t="shared" si="1"/>
        <v>134140</v>
      </c>
      <c r="H83" s="25">
        <f t="array" ref="H83">IF(A83=A82,0,SUM(_xlfn._xlws.FILTER(G83:G103,A83:A103=A83)))</f>
        <v>0</v>
      </c>
      <c r="I83" s="25">
        <f t="array" ref="I83">IFERROR(IF(A83=A82,0,SUM(_xlfn._xlws.FILTER(G83:G103,(A83:A103=A83)*(E83:E103&lt;0)))),0)</f>
        <v>0</v>
      </c>
      <c r="J83" s="25">
        <f t="array" ref="J83">IFERROR(IF(A83=A82,0,SUM(_xlfn._xlws.FILTER(G83:G103,(A83:A103=A83)*(E83:E103&gt;0)))),0)</f>
        <v>0</v>
      </c>
      <c r="K83" s="25">
        <f>IF(H83&lt;&gt;0,SUM(H$2:H83),0)</f>
        <v>0</v>
      </c>
      <c r="L83" s="25">
        <f>IF(I83&lt;&gt;0,SUM(I$2:I83),0)</f>
        <v>0</v>
      </c>
      <c r="M83" s="25">
        <f>IF(J83&lt;&gt;0,SUM(J$2:J83),0)</f>
        <v>0</v>
      </c>
    </row>
    <row r="84" spans="1:13" hidden="1" x14ac:dyDescent="0.2">
      <c r="A84" s="1">
        <v>45701</v>
      </c>
      <c r="C84" s="2" t="s">
        <v>188</v>
      </c>
      <c r="D84" s="3">
        <v>500</v>
      </c>
      <c r="E84" s="4">
        <v>30.08</v>
      </c>
      <c r="G84" s="25">
        <f t="shared" si="1"/>
        <v>15040</v>
      </c>
      <c r="H84" s="25">
        <f t="array" ref="H84">IF(A84=A83,0,SUM(_xlfn._xlws.FILTER(G84:G104,A84:A104=A84)))</f>
        <v>0</v>
      </c>
      <c r="I84" s="25">
        <f t="array" ref="I84">IFERROR(IF(A84=A83,0,SUM(_xlfn._xlws.FILTER(G84:G104,(A84:A104=A84)*(E84:E104&lt;0)))),0)</f>
        <v>0</v>
      </c>
      <c r="J84" s="25">
        <f t="array" ref="J84">IFERROR(IF(A84=A83,0,SUM(_xlfn._xlws.FILTER(G84:G104,(A84:A104=A84)*(E84:E104&gt;0)))),0)</f>
        <v>0</v>
      </c>
      <c r="K84" s="25">
        <f>IF(H84&lt;&gt;0,SUM(H$2:H84),0)</f>
        <v>0</v>
      </c>
      <c r="L84" s="25">
        <f>IF(I84&lt;&gt;0,SUM(I$2:I84),0)</f>
        <v>0</v>
      </c>
      <c r="M84" s="25">
        <f>IF(J84&lt;&gt;0,SUM(J$2:J84),0)</f>
        <v>0</v>
      </c>
    </row>
    <row r="85" spans="1:13" hidden="1" x14ac:dyDescent="0.2">
      <c r="A85" s="1">
        <v>45701</v>
      </c>
      <c r="C85" s="2" t="s">
        <v>190</v>
      </c>
      <c r="D85" s="3">
        <v>1500</v>
      </c>
      <c r="E85" s="4">
        <v>47.96</v>
      </c>
      <c r="G85" s="25">
        <f t="shared" si="1"/>
        <v>71940</v>
      </c>
      <c r="H85" s="25">
        <f t="array" ref="H85">IF(A85=A84,0,SUM(_xlfn._xlws.FILTER(G85:G105,A85:A105=A85)))</f>
        <v>0</v>
      </c>
      <c r="I85" s="25">
        <f t="array" ref="I85">IFERROR(IF(A85=A84,0,SUM(_xlfn._xlws.FILTER(G85:G105,(A85:A105=A85)*(E85:E105&lt;0)))),0)</f>
        <v>0</v>
      </c>
      <c r="J85" s="25">
        <f t="array" ref="J85">IFERROR(IF(A85=A84,0,SUM(_xlfn._xlws.FILTER(G85:G105,(A85:A105=A85)*(E85:E105&gt;0)))),0)</f>
        <v>0</v>
      </c>
      <c r="K85" s="25">
        <f>IF(H85&lt;&gt;0,SUM(H$2:H85),0)</f>
        <v>0</v>
      </c>
      <c r="L85" s="25">
        <f>IF(I85&lt;&gt;0,SUM(I$2:I85),0)</f>
        <v>0</v>
      </c>
      <c r="M85" s="25">
        <f>IF(J85&lt;&gt;0,SUM(J$2:J85),0)</f>
        <v>0</v>
      </c>
    </row>
    <row r="86" spans="1:13" hidden="1" x14ac:dyDescent="0.2">
      <c r="A86" s="1">
        <v>45701</v>
      </c>
      <c r="C86" s="2" t="s">
        <v>193</v>
      </c>
      <c r="D86" s="3">
        <v>3000</v>
      </c>
      <c r="E86" s="4">
        <v>25.15</v>
      </c>
      <c r="G86" s="25">
        <f t="shared" si="1"/>
        <v>75450</v>
      </c>
      <c r="H86" s="25">
        <f t="array" ref="H86">IF(A86=A85,0,SUM(_xlfn._xlws.FILTER(G86:G106,A86:A106=A86)))</f>
        <v>0</v>
      </c>
      <c r="I86" s="25">
        <f t="array" ref="I86">IFERROR(IF(A86=A85,0,SUM(_xlfn._xlws.FILTER(G86:G106,(A86:A106=A86)*(E86:E106&lt;0)))),0)</f>
        <v>0</v>
      </c>
      <c r="J86" s="25">
        <f t="array" ref="J86">IFERROR(IF(A86=A85,0,SUM(_xlfn._xlws.FILTER(G86:G106,(A86:A106=A86)*(E86:E106&gt;0)))),0)</f>
        <v>0</v>
      </c>
      <c r="K86" s="25">
        <f>IF(H86&lt;&gt;0,SUM(H$2:H86),0)</f>
        <v>0</v>
      </c>
      <c r="L86" s="25">
        <f>IF(I86&lt;&gt;0,SUM(I$2:I86),0)</f>
        <v>0</v>
      </c>
      <c r="M86" s="25">
        <f>IF(J86&lt;&gt;0,SUM(J$2:J86),0)</f>
        <v>0</v>
      </c>
    </row>
    <row r="87" spans="1:13" hidden="1" x14ac:dyDescent="0.2">
      <c r="A87" s="1">
        <v>45701</v>
      </c>
      <c r="C87" s="2" t="s">
        <v>116</v>
      </c>
      <c r="D87" s="3">
        <v>400</v>
      </c>
      <c r="E87" s="4">
        <v>229.005</v>
      </c>
      <c r="G87" s="25">
        <f t="shared" si="1"/>
        <v>91602</v>
      </c>
      <c r="H87" s="25">
        <f t="array" ref="H87">IF(A87=A86,0,SUM(_xlfn._xlws.FILTER(G87:G107,A87:A107=A87)))</f>
        <v>0</v>
      </c>
      <c r="I87" s="25">
        <f t="array" ref="I87">IFERROR(IF(A87=A86,0,SUM(_xlfn._xlws.FILTER(G87:G107,(A87:A107=A87)*(E87:E107&lt;0)))),0)</f>
        <v>0</v>
      </c>
      <c r="J87" s="25">
        <f t="array" ref="J87">IFERROR(IF(A87=A86,0,SUM(_xlfn._xlws.FILTER(G87:G107,(A87:A107=A87)*(E87:E107&gt;0)))),0)</f>
        <v>0</v>
      </c>
      <c r="K87" s="25">
        <f>IF(H87&lt;&gt;0,SUM(H$2:H87),0)</f>
        <v>0</v>
      </c>
      <c r="L87" s="25">
        <f>IF(I87&lt;&gt;0,SUM(I$2:I87),0)</f>
        <v>0</v>
      </c>
      <c r="M87" s="25">
        <f>IF(J87&lt;&gt;0,SUM(J$2:J87),0)</f>
        <v>0</v>
      </c>
    </row>
    <row r="88" spans="1:13" hidden="1" x14ac:dyDescent="0.2">
      <c r="A88" s="1">
        <v>45701</v>
      </c>
      <c r="C88" s="2" t="s">
        <v>196</v>
      </c>
      <c r="D88" s="3">
        <v>14000</v>
      </c>
      <c r="E88" s="4">
        <v>-1.46</v>
      </c>
      <c r="G88" s="25">
        <f t="shared" si="1"/>
        <v>-20440</v>
      </c>
      <c r="H88" s="25">
        <f t="array" ref="H88">IF(A88=A87,0,SUM(_xlfn._xlws.FILTER(G88:G108,A88:A108=A88)))</f>
        <v>0</v>
      </c>
      <c r="I88" s="25">
        <f t="array" ref="I88">IFERROR(IF(A88=A87,0,SUM(_xlfn._xlws.FILTER(G88:G108,(A88:A108=A88)*(E88:E108&lt;0)))),0)</f>
        <v>0</v>
      </c>
      <c r="J88" s="25">
        <f t="array" ref="J88">IFERROR(IF(A88=A87,0,SUM(_xlfn._xlws.FILTER(G88:G108,(A88:A108=A88)*(E88:E108&gt;0)))),0)</f>
        <v>0</v>
      </c>
      <c r="K88" s="25">
        <f>IF(H88&lt;&gt;0,SUM(H$2:H88),0)</f>
        <v>0</v>
      </c>
      <c r="L88" s="25">
        <f>IF(I88&lt;&gt;0,SUM(I$2:I88),0)</f>
        <v>0</v>
      </c>
      <c r="M88" s="25">
        <f>IF(J88&lt;&gt;0,SUM(J$2:J88),0)</f>
        <v>0</v>
      </c>
    </row>
    <row r="89" spans="1:13" hidden="1" x14ac:dyDescent="0.2">
      <c r="A89" s="1">
        <v>45701</v>
      </c>
      <c r="C89" s="2" t="s">
        <v>125</v>
      </c>
      <c r="D89" s="3">
        <v>330</v>
      </c>
      <c r="E89" s="4">
        <v>-146.94999999999999</v>
      </c>
      <c r="G89" s="25">
        <f t="shared" si="1"/>
        <v>-48493.499999999993</v>
      </c>
      <c r="H89" s="25">
        <f t="array" ref="H89">IF(A89=A88,0,SUM(_xlfn._xlws.FILTER(G89:G109,A89:A109=A89)))</f>
        <v>0</v>
      </c>
      <c r="I89" s="25">
        <f t="array" ref="I89">IFERROR(IF(A89=A88,0,SUM(_xlfn._xlws.FILTER(G89:G109,(A89:A109=A89)*(E89:E109&lt;0)))),0)</f>
        <v>0</v>
      </c>
      <c r="J89" s="25">
        <f t="array" ref="J89">IFERROR(IF(A89=A88,0,SUM(_xlfn._xlws.FILTER(G89:G109,(A89:A109=A89)*(E89:E109&gt;0)))),0)</f>
        <v>0</v>
      </c>
      <c r="K89" s="25">
        <f>IF(H89&lt;&gt;0,SUM(H$2:H89),0)</f>
        <v>0</v>
      </c>
      <c r="L89" s="25">
        <f>IF(I89&lt;&gt;0,SUM(I$2:I89),0)</f>
        <v>0</v>
      </c>
      <c r="M89" s="25">
        <f>IF(J89&lt;&gt;0,SUM(J$2:J89),0)</f>
        <v>0</v>
      </c>
    </row>
    <row r="90" spans="1:13" ht="22" hidden="1" customHeight="1" x14ac:dyDescent="0.3">
      <c r="A90" s="10">
        <v>45702</v>
      </c>
      <c r="C90" s="11" t="s">
        <v>136</v>
      </c>
      <c r="D90" s="12">
        <v>488</v>
      </c>
      <c r="E90" s="13">
        <v>45.93</v>
      </c>
      <c r="G90" s="25">
        <f t="shared" si="1"/>
        <v>22413.84</v>
      </c>
      <c r="H90" s="25">
        <f t="array" ref="H90">IF(A90=A89,0,SUM(_xlfn._xlws.FILTER(G90:G110,A90:A110=A90)))</f>
        <v>-118176.95999999999</v>
      </c>
      <c r="I90" s="25">
        <f t="array" ref="I90">IFERROR(IF(A90=A89,0,SUM(_xlfn._xlws.FILTER(G90:G110,(A90:A110=A90)*(E90:E110&lt;0)))),0)</f>
        <v>-324716.79999999999</v>
      </c>
      <c r="J90" s="25">
        <f t="array" ref="J90">IFERROR(IF(A90=A89,0,SUM(_xlfn._xlws.FILTER(G90:G110,(A90:A110=A90)*(E90:E110&gt;0)))),0)</f>
        <v>206539.84</v>
      </c>
      <c r="K90" s="25">
        <f>IF(H90&lt;&gt;0,SUM(H$2:H90),0)</f>
        <v>1092068.4539000001</v>
      </c>
      <c r="L90" s="25">
        <f>IF(I90&lt;&gt;0,SUM(I$2:I90),0)</f>
        <v>-2577403.4299999997</v>
      </c>
      <c r="M90" s="25">
        <f>IF(J90&lt;&gt;0,SUM(J$2:J90),0)</f>
        <v>3669471.8838999993</v>
      </c>
    </row>
    <row r="91" spans="1:13" ht="22" hidden="1" customHeight="1" x14ac:dyDescent="0.3">
      <c r="A91" s="10">
        <v>45702</v>
      </c>
      <c r="C91" s="11" t="s">
        <v>69</v>
      </c>
      <c r="D91" s="12">
        <v>5000</v>
      </c>
      <c r="E91" s="13">
        <v>-10.93</v>
      </c>
      <c r="G91" s="25">
        <f t="shared" si="1"/>
        <v>-54650</v>
      </c>
      <c r="H91" s="25">
        <f t="array" ref="H91">IF(A91=A90,0,SUM(_xlfn._xlws.FILTER(G91:G111,A91:A111=A91)))</f>
        <v>0</v>
      </c>
      <c r="I91" s="25">
        <f t="array" ref="I91">IFERROR(IF(A91=A90,0,SUM(_xlfn._xlws.FILTER(G91:G111,(A91:A111=A91)*(E91:E111&lt;0)))),0)</f>
        <v>0</v>
      </c>
      <c r="J91" s="25">
        <f t="array" ref="J91">IFERROR(IF(A91=A90,0,SUM(_xlfn._xlws.FILTER(G91:G111,(A91:A111=A91)*(E91:E111&gt;0)))),0)</f>
        <v>0</v>
      </c>
      <c r="K91" s="25">
        <f>IF(H91&lt;&gt;0,SUM(H$2:H91),0)</f>
        <v>0</v>
      </c>
      <c r="L91" s="25">
        <f>IF(I91&lt;&gt;0,SUM(I$2:I91),0)</f>
        <v>0</v>
      </c>
      <c r="M91" s="25">
        <f>IF(J91&lt;&gt;0,SUM(J$2:J91),0)</f>
        <v>0</v>
      </c>
    </row>
    <row r="92" spans="1:13" ht="22" hidden="1" customHeight="1" x14ac:dyDescent="0.3">
      <c r="A92" s="10">
        <v>45702</v>
      </c>
      <c r="C92" s="11" t="s">
        <v>122</v>
      </c>
      <c r="D92" s="12">
        <v>8000</v>
      </c>
      <c r="E92" s="13">
        <v>-514.55999999999995</v>
      </c>
      <c r="G92" s="25">
        <f t="shared" si="1"/>
        <v>-41164.799999999996</v>
      </c>
      <c r="H92" s="25">
        <f t="array" ref="H92">IF(A92=A91,0,SUM(_xlfn._xlws.FILTER(G92:G112,A92:A112=A92)))</f>
        <v>0</v>
      </c>
      <c r="I92" s="25">
        <f t="array" ref="I92">IFERROR(IF(A92=A91,0,SUM(_xlfn._xlws.FILTER(G92:G112,(A92:A112=A92)*(E92:E112&lt;0)))),0)</f>
        <v>0</v>
      </c>
      <c r="J92" s="25">
        <f t="array" ref="J92">IFERROR(IF(A92=A91,0,SUM(_xlfn._xlws.FILTER(G92:G112,(A92:A112=A92)*(E92:E112&gt;0)))),0)</f>
        <v>0</v>
      </c>
      <c r="K92" s="25">
        <f>IF(H92&lt;&gt;0,SUM(H$2:H92),0)</f>
        <v>0</v>
      </c>
      <c r="L92" s="25">
        <f>IF(I92&lt;&gt;0,SUM(I$2:I92),0)</f>
        <v>0</v>
      </c>
      <c r="M92" s="25">
        <f>IF(J92&lt;&gt;0,SUM(J$2:J92),0)</f>
        <v>0</v>
      </c>
    </row>
    <row r="93" spans="1:13" ht="22" hidden="1" customHeight="1" x14ac:dyDescent="0.3">
      <c r="A93" s="10">
        <v>45702</v>
      </c>
      <c r="C93" s="11" t="s">
        <v>28</v>
      </c>
      <c r="D93" s="12">
        <v>600</v>
      </c>
      <c r="E93" s="13">
        <v>-110.22</v>
      </c>
      <c r="G93" s="25">
        <f t="shared" si="1"/>
        <v>-66132</v>
      </c>
      <c r="H93" s="25">
        <f t="array" ref="H93">IF(A93=A92,0,SUM(_xlfn._xlws.FILTER(G93:G113,A93:A113=A93)))</f>
        <v>0</v>
      </c>
      <c r="I93" s="25">
        <f t="array" ref="I93">IFERROR(IF(A93=A92,0,SUM(_xlfn._xlws.FILTER(G93:G113,(A93:A113=A93)*(E93:E113&lt;0)))),0)</f>
        <v>0</v>
      </c>
      <c r="J93" s="25">
        <f t="array" ref="J93">IFERROR(IF(A93=A92,0,SUM(_xlfn._xlws.FILTER(G93:G113,(A93:A113=A93)*(E93:E113&gt;0)))),0)</f>
        <v>0</v>
      </c>
      <c r="K93" s="25">
        <f>IF(H93&lt;&gt;0,SUM(H$2:H93),0)</f>
        <v>0</v>
      </c>
      <c r="L93" s="25">
        <f>IF(I93&lt;&gt;0,SUM(I$2:I93),0)</f>
        <v>0</v>
      </c>
      <c r="M93" s="25">
        <f>IF(J93&lt;&gt;0,SUM(J$2:J93),0)</f>
        <v>0</v>
      </c>
    </row>
    <row r="94" spans="1:13" ht="22" hidden="1" customHeight="1" x14ac:dyDescent="0.3">
      <c r="A94" s="10">
        <v>45702</v>
      </c>
      <c r="C94" s="11" t="s">
        <v>49</v>
      </c>
      <c r="D94" s="12">
        <v>20000</v>
      </c>
      <c r="E94" s="13">
        <v>-1.67</v>
      </c>
      <c r="G94" s="25">
        <f t="shared" si="1"/>
        <v>-33400</v>
      </c>
      <c r="H94" s="25">
        <f t="array" ref="H94">IF(A94=A93,0,SUM(_xlfn._xlws.FILTER(G94:G114,A94:A114=A94)))</f>
        <v>0</v>
      </c>
      <c r="I94" s="25">
        <f t="array" ref="I94">IFERROR(IF(A94=A93,0,SUM(_xlfn._xlws.FILTER(G94:G114,(A94:A114=A94)*(E94:E114&lt;0)))),0)</f>
        <v>0</v>
      </c>
      <c r="J94" s="25">
        <f t="array" ref="J94">IFERROR(IF(A94=A93,0,SUM(_xlfn._xlws.FILTER(G94:G114,(A94:A114=A94)*(E94:E114&gt;0)))),0)</f>
        <v>0</v>
      </c>
      <c r="K94" s="25">
        <f>IF(H94&lt;&gt;0,SUM(H$2:H94),0)</f>
        <v>0</v>
      </c>
      <c r="L94" s="25">
        <f>IF(I94&lt;&gt;0,SUM(I$2:I94),0)</f>
        <v>0</v>
      </c>
      <c r="M94" s="25">
        <f>IF(J94&lt;&gt;0,SUM(J$2:J94),0)</f>
        <v>0</v>
      </c>
    </row>
    <row r="95" spans="1:13" ht="22" hidden="1" customHeight="1" x14ac:dyDescent="0.3">
      <c r="A95" s="10">
        <v>45702</v>
      </c>
      <c r="C95" s="11" t="s">
        <v>90</v>
      </c>
      <c r="D95" s="12">
        <v>300</v>
      </c>
      <c r="E95" s="13">
        <v>244.12</v>
      </c>
      <c r="G95" s="25">
        <f t="shared" si="1"/>
        <v>73236</v>
      </c>
      <c r="H95" s="25">
        <f t="array" ref="H95">IF(A95=A94,0,SUM(_xlfn._xlws.FILTER(G95:G115,A95:A115=A95)))</f>
        <v>0</v>
      </c>
      <c r="I95" s="25">
        <f t="array" ref="I95">IFERROR(IF(A95=A94,0,SUM(_xlfn._xlws.FILTER(G95:G115,(A95:A115=A95)*(E95:E115&lt;0)))),0)</f>
        <v>0</v>
      </c>
      <c r="J95" s="25">
        <f t="array" ref="J95">IFERROR(IF(A95=A94,0,SUM(_xlfn._xlws.FILTER(G95:G115,(A95:A115=A95)*(E95:E115&gt;0)))),0)</f>
        <v>0</v>
      </c>
      <c r="K95" s="25">
        <f>IF(H95&lt;&gt;0,SUM(H$2:H95),0)</f>
        <v>0</v>
      </c>
      <c r="L95" s="25">
        <f>IF(I95&lt;&gt;0,SUM(I$2:I95),0)</f>
        <v>0</v>
      </c>
      <c r="M95" s="25">
        <f>IF(J95&lt;&gt;0,SUM(J$2:J95),0)</f>
        <v>0</v>
      </c>
    </row>
    <row r="96" spans="1:13" ht="22" hidden="1" customHeight="1" x14ac:dyDescent="0.3">
      <c r="A96" s="10">
        <v>45702</v>
      </c>
      <c r="C96" s="11" t="s">
        <v>116</v>
      </c>
      <c r="D96" s="12">
        <v>500</v>
      </c>
      <c r="E96" s="13">
        <v>-228.54</v>
      </c>
      <c r="G96" s="25">
        <f t="shared" si="1"/>
        <v>-114270</v>
      </c>
      <c r="H96" s="25">
        <f t="array" ref="H96">IF(A96=A95,0,SUM(_xlfn._xlws.FILTER(G96:G116,A96:A116=A96)))</f>
        <v>0</v>
      </c>
      <c r="I96" s="25">
        <f t="array" ref="I96">IFERROR(IF(A96=A95,0,SUM(_xlfn._xlws.FILTER(G96:G116,(A96:A116=A96)*(E96:E116&lt;0)))),0)</f>
        <v>0</v>
      </c>
      <c r="J96" s="25">
        <f t="array" ref="J96">IFERROR(IF(A96=A95,0,SUM(_xlfn._xlws.FILTER(G96:G116,(A96:A116=A96)*(E96:E116&gt;0)))),0)</f>
        <v>0</v>
      </c>
      <c r="K96" s="25">
        <f>IF(H96&lt;&gt;0,SUM(H$2:H96),0)</f>
        <v>0</v>
      </c>
      <c r="L96" s="25">
        <f>IF(I96&lt;&gt;0,SUM(I$2:I96),0)</f>
        <v>0</v>
      </c>
      <c r="M96" s="25">
        <f>IF(J96&lt;&gt;0,SUM(J$2:J96),0)</f>
        <v>0</v>
      </c>
    </row>
    <row r="97" spans="1:13" ht="22" hidden="1" customHeight="1" x14ac:dyDescent="0.3">
      <c r="A97" s="10">
        <v>45702</v>
      </c>
      <c r="C97" s="11" t="s">
        <v>25</v>
      </c>
      <c r="D97" s="12">
        <v>1000</v>
      </c>
      <c r="E97" s="13">
        <v>68.03</v>
      </c>
      <c r="G97" s="25">
        <f t="shared" si="1"/>
        <v>68030</v>
      </c>
      <c r="H97" s="25">
        <f t="array" ref="H97">IF(A97=A96,0,SUM(_xlfn._xlws.FILTER(G97:G117,A97:A117=A97)))</f>
        <v>0</v>
      </c>
      <c r="I97" s="25">
        <f t="array" ref="I97">IFERROR(IF(A97=A96,0,SUM(_xlfn._xlws.FILTER(G97:G117,(A97:A117=A97)*(E97:E117&lt;0)))),0)</f>
        <v>0</v>
      </c>
      <c r="J97" s="25">
        <f t="array" ref="J97">IFERROR(IF(A97=A96,0,SUM(_xlfn._xlws.FILTER(G97:G117,(A97:A117=A97)*(E97:E117&gt;0)))),0)</f>
        <v>0</v>
      </c>
      <c r="K97" s="25">
        <f>IF(H97&lt;&gt;0,SUM(H$2:H97),0)</f>
        <v>0</v>
      </c>
      <c r="L97" s="25">
        <f>IF(I97&lt;&gt;0,SUM(I$2:I97),0)</f>
        <v>0</v>
      </c>
      <c r="M97" s="25">
        <f>IF(J97&lt;&gt;0,SUM(J$2:J97),0)</f>
        <v>0</v>
      </c>
    </row>
    <row r="98" spans="1:13" ht="22" hidden="1" customHeight="1" x14ac:dyDescent="0.3">
      <c r="A98" s="10">
        <v>45702</v>
      </c>
      <c r="C98" s="11" t="s">
        <v>185</v>
      </c>
      <c r="D98" s="12">
        <v>2000</v>
      </c>
      <c r="E98" s="13">
        <v>21.43</v>
      </c>
      <c r="G98" s="25">
        <f t="shared" si="1"/>
        <v>42860</v>
      </c>
      <c r="H98" s="25">
        <f t="array" ref="H98">IF(A98=A97,0,SUM(_xlfn._xlws.FILTER(G98:G118,A98:A118=A98)))</f>
        <v>0</v>
      </c>
      <c r="I98" s="25">
        <f t="array" ref="I98">IFERROR(IF(A98=A97,0,SUM(_xlfn._xlws.FILTER(G98:G118,(A98:A118=A98)*(E98:E118&lt;0)))),0)</f>
        <v>0</v>
      </c>
      <c r="J98" s="25">
        <f t="array" ref="J98">IFERROR(IF(A98=A97,0,SUM(_xlfn._xlws.FILTER(G98:G118,(A98:A118=A98)*(E98:E118&gt;0)))),0)</f>
        <v>0</v>
      </c>
      <c r="K98" s="25">
        <f>IF(H98&lt;&gt;0,SUM(H$2:H98),0)</f>
        <v>0</v>
      </c>
      <c r="L98" s="25">
        <f>IF(I98&lt;&gt;0,SUM(I$2:I98),0)</f>
        <v>0</v>
      </c>
      <c r="M98" s="25">
        <f>IF(J98&lt;&gt;0,SUM(J$2:J98),0)</f>
        <v>0</v>
      </c>
    </row>
    <row r="99" spans="1:13" ht="22" hidden="1" customHeight="1" x14ac:dyDescent="0.3">
      <c r="A99" s="12">
        <v>45702</v>
      </c>
      <c r="C99" s="11" t="s">
        <v>49</v>
      </c>
      <c r="D99" s="12">
        <v>10000</v>
      </c>
      <c r="E99" s="13">
        <v>-1.51</v>
      </c>
      <c r="G99" s="25">
        <f t="shared" si="1"/>
        <v>-15100</v>
      </c>
      <c r="H99" s="25">
        <f t="array" ref="H99">IF(A99=A98,0,SUM(_xlfn._xlws.FILTER(G99:G119,A99:A119=A99)))</f>
        <v>0</v>
      </c>
      <c r="I99" s="25">
        <f t="array" ref="I99">IFERROR(IF(A99=A98,0,SUM(_xlfn._xlws.FILTER(G99:G119,(A99:A119=A99)*(E99:E119&lt;0)))),0)</f>
        <v>0</v>
      </c>
      <c r="J99" s="25">
        <f t="array" ref="J99">IFERROR(IF(A99=A98,0,SUM(_xlfn._xlws.FILTER(G99:G119,(A99:A119=A99)*(E99:E119&gt;0)))),0)</f>
        <v>0</v>
      </c>
      <c r="K99" s="25">
        <f>IF(H99&lt;&gt;0,SUM(H$2:H99),0)</f>
        <v>0</v>
      </c>
      <c r="L99" s="25">
        <f>IF(I99&lt;&gt;0,SUM(I$2:I99),0)</f>
        <v>0</v>
      </c>
      <c r="M99" s="25">
        <f>IF(J99&lt;&gt;0,SUM(J$2:J99),0)</f>
        <v>0</v>
      </c>
    </row>
    <row r="100" spans="1:13" hidden="1" x14ac:dyDescent="0.2">
      <c r="A100" s="1">
        <v>45705</v>
      </c>
      <c r="C100" s="2" t="s">
        <v>139</v>
      </c>
      <c r="D100" s="3">
        <v>10000</v>
      </c>
      <c r="E100" s="4">
        <v>-337</v>
      </c>
      <c r="G100" s="25">
        <f t="shared" si="1"/>
        <v>-33700</v>
      </c>
      <c r="H100" s="25">
        <f t="array" ref="H100">IF(A100=A99,0,SUM(_xlfn._xlws.FILTER(G100:G120,A100:A120=A100)))</f>
        <v>-33700</v>
      </c>
      <c r="I100" s="25">
        <f t="array" ref="I100">IFERROR(IF(A100=A99,0,SUM(_xlfn._xlws.FILTER(G100:G120,(A100:A120=A100)*(E100:E120&lt;0)))),0)</f>
        <v>-33700</v>
      </c>
      <c r="J100" s="25">
        <f t="array" ref="J100">IFERROR(IF(A100=A99,0,SUM(_xlfn._xlws.FILTER(G100:G120,(A100:A120=A100)*(E100:E120&gt;0)))),0)</f>
        <v>0</v>
      </c>
      <c r="K100" s="25">
        <f>IF(H100&lt;&gt;0,SUM(H$2:H100),0)</f>
        <v>1058368.4539000001</v>
      </c>
      <c r="L100" s="25">
        <f>IF(I100&lt;&gt;0,SUM(I$2:I100),0)</f>
        <v>-2611103.4299999997</v>
      </c>
      <c r="M100" s="25">
        <f>IF(J100&lt;&gt;0,SUM(J$2:J100),0)</f>
        <v>0</v>
      </c>
    </row>
    <row r="101" spans="1:13" hidden="1" x14ac:dyDescent="0.2">
      <c r="A101" s="5">
        <v>45706</v>
      </c>
      <c r="C101" s="9" t="s">
        <v>130</v>
      </c>
      <c r="D101" s="14">
        <v>20000</v>
      </c>
      <c r="E101" s="8">
        <v>-1.1459755</v>
      </c>
      <c r="G101" s="25">
        <f t="shared" si="1"/>
        <v>-22919.510000000002</v>
      </c>
      <c r="H101" s="25">
        <f t="array" ref="H101">IF(A101=A100,0,SUM(_xlfn._xlws.FILTER(G101:G121,A101:A121=A101)))</f>
        <v>-326778.51</v>
      </c>
      <c r="I101" s="25">
        <f t="array" ref="I101">IFERROR(IF(A101=A100,0,SUM(_xlfn._xlws.FILTER(G101:G121,(A101:A121=A101)*(E101:E121&lt;0)))),0)</f>
        <v>-453198.51</v>
      </c>
      <c r="J101" s="25">
        <f t="array" ref="J101">IFERROR(IF(A101=A100,0,SUM(_xlfn._xlws.FILTER(G101:G121,(A101:A121=A101)*(E101:E121&gt;0)))),0)</f>
        <v>126420</v>
      </c>
      <c r="K101" s="25">
        <f>IF(H101&lt;&gt;0,SUM(H$2:H101),0)</f>
        <v>731589.94390000007</v>
      </c>
      <c r="L101" s="25">
        <f>IF(I101&lt;&gt;0,SUM(I$2:I101),0)</f>
        <v>-3064301.9399999995</v>
      </c>
      <c r="M101" s="25">
        <f>IF(J101&lt;&gt;0,SUM(J$2:J101),0)</f>
        <v>3795891.8838999993</v>
      </c>
    </row>
    <row r="102" spans="1:13" hidden="1" x14ac:dyDescent="0.2">
      <c r="A102" s="5">
        <v>45706</v>
      </c>
      <c r="C102" s="9" t="s">
        <v>219</v>
      </c>
      <c r="D102" s="14">
        <v>30000</v>
      </c>
      <c r="E102" s="8">
        <v>-1.1000000000000001</v>
      </c>
      <c r="G102" s="25">
        <f t="shared" si="1"/>
        <v>-33000</v>
      </c>
      <c r="H102" s="25">
        <f t="array" ref="H102">IF(A102=A101,0,SUM(_xlfn._xlws.FILTER(G102:G122,A102:A122=A102)))</f>
        <v>0</v>
      </c>
      <c r="I102" s="25">
        <f t="array" ref="I102">IFERROR(IF(A102=A101,0,SUM(_xlfn._xlws.FILTER(G102:G122,(A102:A122=A102)*(E102:E122&lt;0)))),0)</f>
        <v>0</v>
      </c>
      <c r="J102" s="25">
        <f t="array" ref="J102">IFERROR(IF(A102=A101,0,SUM(_xlfn._xlws.FILTER(G102:G122,(A102:A122=A102)*(E102:E122&gt;0)))),0)</f>
        <v>0</v>
      </c>
      <c r="K102" s="25">
        <f>IF(H102&lt;&gt;0,SUM(H$2:H102),0)</f>
        <v>0</v>
      </c>
      <c r="L102" s="25">
        <f>IF(I102&lt;&gt;0,SUM(I$2:I102),0)</f>
        <v>0</v>
      </c>
      <c r="M102" s="25">
        <f>IF(J102&lt;&gt;0,SUM(J$2:J102),0)</f>
        <v>0</v>
      </c>
    </row>
    <row r="103" spans="1:13" hidden="1" x14ac:dyDescent="0.2">
      <c r="A103" s="5">
        <v>45706</v>
      </c>
      <c r="C103" s="9" t="s">
        <v>28</v>
      </c>
      <c r="D103" s="14">
        <v>800</v>
      </c>
      <c r="E103" s="8">
        <v>-109.28</v>
      </c>
      <c r="G103" s="25">
        <f t="shared" si="1"/>
        <v>-87424</v>
      </c>
      <c r="H103" s="25">
        <f t="array" ref="H103">IF(A103=A102,0,SUM(_xlfn._xlws.FILTER(G103:G123,A103:A123=A103)))</f>
        <v>0</v>
      </c>
      <c r="I103" s="25">
        <f t="array" ref="I103">IFERROR(IF(A103=A102,0,SUM(_xlfn._xlws.FILTER(G103:G123,(A103:A123=A103)*(E103:E123&lt;0)))),0)</f>
        <v>0</v>
      </c>
      <c r="J103" s="25">
        <f t="array" ref="J103">IFERROR(IF(A103=A102,0,SUM(_xlfn._xlws.FILTER(G103:G123,(A103:A123=A103)*(E103:E123&gt;0)))),0)</f>
        <v>0</v>
      </c>
      <c r="K103" s="25">
        <f>IF(H103&lt;&gt;0,SUM(H$2:H103),0)</f>
        <v>0</v>
      </c>
      <c r="L103" s="25">
        <f>IF(I103&lt;&gt;0,SUM(I$2:I103),0)</f>
        <v>0</v>
      </c>
      <c r="M103" s="25">
        <f>IF(J103&lt;&gt;0,SUM(J$2:J103),0)</f>
        <v>0</v>
      </c>
    </row>
    <row r="104" spans="1:13" hidden="1" x14ac:dyDescent="0.2">
      <c r="A104" s="5">
        <v>45706</v>
      </c>
      <c r="C104" s="9" t="s">
        <v>139</v>
      </c>
      <c r="D104" s="14">
        <v>10000</v>
      </c>
      <c r="E104" s="8">
        <v>-337</v>
      </c>
      <c r="G104" s="25">
        <f t="shared" si="1"/>
        <v>-33700</v>
      </c>
      <c r="H104" s="25">
        <f t="array" ref="H104">IF(A104=A103,0,SUM(_xlfn._xlws.FILTER(G104:G124,A104:A124=A104)))</f>
        <v>0</v>
      </c>
      <c r="I104" s="25">
        <f t="array" ref="I104">IFERROR(IF(A104=A103,0,SUM(_xlfn._xlws.FILTER(G104:G124,(A104:A124=A104)*(E104:E124&lt;0)))),0)</f>
        <v>0</v>
      </c>
      <c r="J104" s="25">
        <f t="array" ref="J104">IFERROR(IF(A104=A103,0,SUM(_xlfn._xlws.FILTER(G104:G124,(A104:A124=A104)*(E104:E124&gt;0)))),0)</f>
        <v>0</v>
      </c>
      <c r="K104" s="25">
        <f>IF(H104&lt;&gt;0,SUM(H$2:H104),0)</f>
        <v>0</v>
      </c>
      <c r="L104" s="25">
        <f>IF(I104&lt;&gt;0,SUM(I$2:I104),0)</f>
        <v>0</v>
      </c>
      <c r="M104" s="25">
        <f>IF(J104&lt;&gt;0,SUM(J$2:J104),0)</f>
        <v>0</v>
      </c>
    </row>
    <row r="105" spans="1:13" hidden="1" x14ac:dyDescent="0.2">
      <c r="A105" s="5">
        <v>45706</v>
      </c>
      <c r="C105" s="9" t="s">
        <v>222</v>
      </c>
      <c r="D105" s="14">
        <v>8000</v>
      </c>
      <c r="E105" s="8">
        <v>-14.09</v>
      </c>
      <c r="G105" s="25">
        <f t="shared" si="1"/>
        <v>-112720</v>
      </c>
      <c r="H105" s="25">
        <f t="array" ref="H105">IF(A105=A104,0,SUM(_xlfn._xlws.FILTER(G105:G125,A105:A125=A105)))</f>
        <v>0</v>
      </c>
      <c r="I105" s="25">
        <f t="array" ref="I105">IFERROR(IF(A105=A104,0,SUM(_xlfn._xlws.FILTER(G105:G125,(A105:A125=A105)*(E105:E125&lt;0)))),0)</f>
        <v>0</v>
      </c>
      <c r="J105" s="25">
        <f t="array" ref="J105">IFERROR(IF(A105=A104,0,SUM(_xlfn._xlws.FILTER(G105:G125,(A105:A125=A105)*(E105:E125&gt;0)))),0)</f>
        <v>0</v>
      </c>
      <c r="K105" s="25">
        <f>IF(H105&lt;&gt;0,SUM(H$2:H105),0)</f>
        <v>0</v>
      </c>
      <c r="L105" s="25">
        <f>IF(I105&lt;&gt;0,SUM(I$2:I105),0)</f>
        <v>0</v>
      </c>
      <c r="M105" s="25">
        <f>IF(J105&lt;&gt;0,SUM(J$2:J105),0)</f>
        <v>0</v>
      </c>
    </row>
    <row r="106" spans="1:13" hidden="1" x14ac:dyDescent="0.2">
      <c r="A106" s="5">
        <v>45706</v>
      </c>
      <c r="C106" s="9" t="s">
        <v>130</v>
      </c>
      <c r="D106" s="14">
        <v>20000</v>
      </c>
      <c r="E106" s="8">
        <v>-1.1459999999999999</v>
      </c>
      <c r="G106" s="25">
        <f t="shared" si="1"/>
        <v>-22919.999999999996</v>
      </c>
      <c r="H106" s="25">
        <f t="array" ref="H106">IF(A106=A105,0,SUM(_xlfn._xlws.FILTER(G106:G126,A106:A126=A106)))</f>
        <v>0</v>
      </c>
      <c r="I106" s="25">
        <f t="array" ref="I106">IFERROR(IF(A106=A105,0,SUM(_xlfn._xlws.FILTER(G106:G126,(A106:A126=A106)*(E106:E126&lt;0)))),0)</f>
        <v>0</v>
      </c>
      <c r="J106" s="25">
        <f t="array" ref="J106">IFERROR(IF(A106=A105,0,SUM(_xlfn._xlws.FILTER(G106:G126,(A106:A126=A106)*(E106:E126&gt;0)))),0)</f>
        <v>0</v>
      </c>
      <c r="K106" s="25">
        <f>IF(H106&lt;&gt;0,SUM(H$2:H106),0)</f>
        <v>0</v>
      </c>
      <c r="L106" s="25">
        <f>IF(I106&lt;&gt;0,SUM(I$2:I106),0)</f>
        <v>0</v>
      </c>
      <c r="M106" s="25">
        <f>IF(J106&lt;&gt;0,SUM(J$2:J106),0)</f>
        <v>0</v>
      </c>
    </row>
    <row r="107" spans="1:13" hidden="1" x14ac:dyDescent="0.2">
      <c r="A107" s="5">
        <v>45706</v>
      </c>
      <c r="C107" s="9" t="s">
        <v>19</v>
      </c>
      <c r="D107" s="14">
        <v>100</v>
      </c>
      <c r="E107" s="8">
        <v>717.2</v>
      </c>
      <c r="G107" s="25">
        <f t="shared" si="1"/>
        <v>71720</v>
      </c>
      <c r="H107" s="25">
        <f t="array" ref="H107">IF(A107=A106,0,SUM(_xlfn._xlws.FILTER(G107:G127,A107:A127=A107)))</f>
        <v>0</v>
      </c>
      <c r="I107" s="25">
        <f t="array" ref="I107">IFERROR(IF(A107=A106,0,SUM(_xlfn._xlws.FILTER(G107:G127,(A107:A127=A107)*(E107:E127&lt;0)))),0)</f>
        <v>0</v>
      </c>
      <c r="J107" s="25">
        <f t="array" ref="J107">IFERROR(IF(A107=A106,0,SUM(_xlfn._xlws.FILTER(G107:G127,(A107:A127=A107)*(E107:E127&gt;0)))),0)</f>
        <v>0</v>
      </c>
      <c r="K107" s="25">
        <f>IF(H107&lt;&gt;0,SUM(H$2:H107),0)</f>
        <v>0</v>
      </c>
      <c r="L107" s="25">
        <f>IF(I107&lt;&gt;0,SUM(I$2:I107),0)</f>
        <v>0</v>
      </c>
      <c r="M107" s="25">
        <f>IF(J107&lt;&gt;0,SUM(J$2:J107),0)</f>
        <v>0</v>
      </c>
    </row>
    <row r="108" spans="1:13" hidden="1" x14ac:dyDescent="0.2">
      <c r="A108" s="5">
        <v>45706</v>
      </c>
      <c r="C108" s="9" t="s">
        <v>157</v>
      </c>
      <c r="D108" s="14">
        <v>7000</v>
      </c>
      <c r="E108" s="8">
        <v>-46.5</v>
      </c>
      <c r="G108" s="25">
        <f t="shared" si="1"/>
        <v>-3255</v>
      </c>
      <c r="H108" s="25">
        <f t="array" ref="H108">IF(A108=A107,0,SUM(_xlfn._xlws.FILTER(G108:G128,A108:A128=A108)))</f>
        <v>0</v>
      </c>
      <c r="I108" s="25">
        <f t="array" ref="I108">IFERROR(IF(A108=A107,0,SUM(_xlfn._xlws.FILTER(G108:G128,(A108:A128=A108)*(E108:E128&lt;0)))),0)</f>
        <v>0</v>
      </c>
      <c r="J108" s="25">
        <f t="array" ref="J108">IFERROR(IF(A108=A107,0,SUM(_xlfn._xlws.FILTER(G108:G128,(A108:A128=A108)*(E108:E128&gt;0)))),0)</f>
        <v>0</v>
      </c>
      <c r="K108" s="25">
        <f>IF(H108&lt;&gt;0,SUM(H$2:H108),0)</f>
        <v>0</v>
      </c>
      <c r="L108" s="25">
        <f>IF(I108&lt;&gt;0,SUM(I$2:I108),0)</f>
        <v>0</v>
      </c>
      <c r="M108" s="25">
        <f>IF(J108&lt;&gt;0,SUM(J$2:J108),0)</f>
        <v>0</v>
      </c>
    </row>
    <row r="109" spans="1:13" hidden="1" x14ac:dyDescent="0.2">
      <c r="A109" s="5">
        <v>45706</v>
      </c>
      <c r="C109" s="9" t="s">
        <v>116</v>
      </c>
      <c r="D109" s="14">
        <v>200</v>
      </c>
      <c r="E109" s="8">
        <v>-224.55</v>
      </c>
      <c r="G109" s="25">
        <f t="shared" si="1"/>
        <v>-44910</v>
      </c>
      <c r="H109" s="25">
        <f t="array" ref="H109">IF(A109=A108,0,SUM(_xlfn._xlws.FILTER(G109:G129,A109:A129=A109)))</f>
        <v>0</v>
      </c>
      <c r="I109" s="25">
        <f t="array" ref="I109">IFERROR(IF(A109=A108,0,SUM(_xlfn._xlws.FILTER(G109:G129,(A109:A129=A109)*(E109:E129&lt;0)))),0)</f>
        <v>0</v>
      </c>
      <c r="J109" s="25">
        <f t="array" ref="J109">IFERROR(IF(A109=A108,0,SUM(_xlfn._xlws.FILTER(G109:G129,(A109:A129=A109)*(E109:E129&gt;0)))),0)</f>
        <v>0</v>
      </c>
      <c r="K109" s="25">
        <f>IF(H109&lt;&gt;0,SUM(H$2:H109),0)</f>
        <v>0</v>
      </c>
      <c r="L109" s="25">
        <f>IF(I109&lt;&gt;0,SUM(I$2:I109),0)</f>
        <v>0</v>
      </c>
      <c r="M109" s="25">
        <f>IF(J109&lt;&gt;0,SUM(J$2:J109),0)</f>
        <v>0</v>
      </c>
    </row>
    <row r="110" spans="1:13" hidden="1" x14ac:dyDescent="0.2">
      <c r="A110" s="5">
        <v>45706</v>
      </c>
      <c r="C110" s="9" t="s">
        <v>149</v>
      </c>
      <c r="D110" s="14">
        <v>3000</v>
      </c>
      <c r="E110" s="8">
        <v>10.765000000000001</v>
      </c>
      <c r="G110" s="25">
        <f t="shared" si="1"/>
        <v>32295</v>
      </c>
      <c r="H110" s="25">
        <f t="array" ref="H110">IF(A110=A109,0,SUM(_xlfn._xlws.FILTER(G110:G130,A110:A130=A110)))</f>
        <v>0</v>
      </c>
      <c r="I110" s="25">
        <f t="array" ref="I110">IFERROR(IF(A110=A109,0,SUM(_xlfn._xlws.FILTER(G110:G130,(A110:A130=A110)*(E110:E130&lt;0)))),0)</f>
        <v>0</v>
      </c>
      <c r="J110" s="25">
        <f t="array" ref="J110">IFERROR(IF(A110=A109,0,SUM(_xlfn._xlws.FILTER(G110:G130,(A110:A130=A110)*(E110:E130&gt;0)))),0)</f>
        <v>0</v>
      </c>
      <c r="K110" s="25">
        <f>IF(H110&lt;&gt;0,SUM(H$2:H110),0)</f>
        <v>0</v>
      </c>
      <c r="L110" s="25">
        <f>IF(I110&lt;&gt;0,SUM(I$2:I110),0)</f>
        <v>0</v>
      </c>
      <c r="M110" s="25">
        <f>IF(J110&lt;&gt;0,SUM(J$2:J110),0)</f>
        <v>0</v>
      </c>
    </row>
    <row r="111" spans="1:13" hidden="1" x14ac:dyDescent="0.2">
      <c r="A111" s="5">
        <v>45706</v>
      </c>
      <c r="C111" s="9" t="s">
        <v>119</v>
      </c>
      <c r="D111" s="14">
        <v>5000</v>
      </c>
      <c r="E111" s="8">
        <v>4.4809999999999999</v>
      </c>
      <c r="G111" s="25">
        <f t="shared" si="1"/>
        <v>22405</v>
      </c>
      <c r="H111" s="25">
        <f t="array" ref="H111">IF(A111=A110,0,SUM(_xlfn._xlws.FILTER(G111:G131,A111:A131=A111)))</f>
        <v>0</v>
      </c>
      <c r="I111" s="25">
        <f t="array" ref="I111">IFERROR(IF(A111=A110,0,SUM(_xlfn._xlws.FILTER(G111:G131,(A111:A131=A111)*(E111:E131&lt;0)))),0)</f>
        <v>0</v>
      </c>
      <c r="J111" s="25">
        <f t="array" ref="J111">IFERROR(IF(A111=A110,0,SUM(_xlfn._xlws.FILTER(G111:G131,(A111:A131=A111)*(E111:E131&gt;0)))),0)</f>
        <v>0</v>
      </c>
      <c r="K111" s="25">
        <f>IF(H111&lt;&gt;0,SUM(H$2:H111),0)</f>
        <v>0</v>
      </c>
      <c r="L111" s="25">
        <f>IF(I111&lt;&gt;0,SUM(I$2:I111),0)</f>
        <v>0</v>
      </c>
      <c r="M111" s="25">
        <f>IF(J111&lt;&gt;0,SUM(J$2:J111),0)</f>
        <v>0</v>
      </c>
    </row>
    <row r="112" spans="1:13" hidden="1" x14ac:dyDescent="0.2">
      <c r="A112" s="5">
        <v>45706</v>
      </c>
      <c r="C112" s="9" t="s">
        <v>230</v>
      </c>
      <c r="D112" s="14">
        <v>10000</v>
      </c>
      <c r="E112" s="8">
        <v>-9.2349999999999994</v>
      </c>
      <c r="G112" s="25">
        <f t="shared" si="1"/>
        <v>-92350</v>
      </c>
      <c r="H112" s="25">
        <f t="array" ref="H112">IF(A112=A111,0,SUM(_xlfn._xlws.FILTER(G112:G132,A112:A132=A112)))</f>
        <v>0</v>
      </c>
      <c r="I112" s="25">
        <f t="array" ref="I112">IFERROR(IF(A112=A111,0,SUM(_xlfn._xlws.FILTER(G112:G132,(A112:A132=A112)*(E112:E132&lt;0)))),0)</f>
        <v>0</v>
      </c>
      <c r="J112" s="25">
        <f t="array" ref="J112">IFERROR(IF(A112=A111,0,SUM(_xlfn._xlws.FILTER(G112:G132,(A112:A132=A112)*(E112:E132&gt;0)))),0)</f>
        <v>0</v>
      </c>
      <c r="K112" s="25">
        <f>IF(H112&lt;&gt;0,SUM(H$2:H112),0)</f>
        <v>0</v>
      </c>
      <c r="L112" s="25">
        <f>IF(I112&lt;&gt;0,SUM(I$2:I112),0)</f>
        <v>0</v>
      </c>
      <c r="M112" s="25">
        <f>IF(J112&lt;&gt;0,SUM(J$2:J112),0)</f>
        <v>0</v>
      </c>
    </row>
    <row r="113" spans="1:13" hidden="1" x14ac:dyDescent="0.2">
      <c r="A113" s="1">
        <v>45707</v>
      </c>
      <c r="C113" s="2" t="s">
        <v>37</v>
      </c>
      <c r="D113" s="3">
        <v>250</v>
      </c>
      <c r="E113" s="4">
        <v>-227.5</v>
      </c>
      <c r="G113" s="25">
        <f t="shared" si="1"/>
        <v>-56875</v>
      </c>
      <c r="H113" s="25">
        <f t="array" ref="H113">IF(A113=A112,0,SUM(_xlfn._xlws.FILTER(G113:G133,A113:A133=A113)))</f>
        <v>-77950.62</v>
      </c>
      <c r="I113" s="25">
        <f t="array" ref="I113">IFERROR(IF(A113=A112,0,SUM(_xlfn._xlws.FILTER(G113:G133,(A113:A133=A113)*(E113:E133&lt;0)))),0)</f>
        <v>-371395</v>
      </c>
      <c r="J113" s="25">
        <f t="array" ref="J113">IFERROR(IF(A113=A112,0,SUM(_xlfn._xlws.FILTER(G113:G133,(A113:A133=A113)*(E113:E133&gt;0)))),0)</f>
        <v>293444.38</v>
      </c>
      <c r="K113" s="25">
        <f>IF(H113&lt;&gt;0,SUM(H$2:H113),0)</f>
        <v>653639.32390000008</v>
      </c>
      <c r="L113" s="25">
        <f>IF(I113&lt;&gt;0,SUM(I$2:I113),0)</f>
        <v>-3435696.9399999995</v>
      </c>
      <c r="M113" s="25">
        <f>IF(J113&lt;&gt;0,SUM(J$2:J113),0)</f>
        <v>4089336.2638999992</v>
      </c>
    </row>
    <row r="114" spans="1:13" hidden="1" x14ac:dyDescent="0.2">
      <c r="A114" s="1">
        <v>45707</v>
      </c>
      <c r="C114" s="2" t="s">
        <v>39</v>
      </c>
      <c r="D114" s="3">
        <v>1000</v>
      </c>
      <c r="E114" s="4">
        <v>64.849999999999994</v>
      </c>
      <c r="G114" s="25">
        <f t="shared" si="1"/>
        <v>64849.999999999993</v>
      </c>
      <c r="H114" s="25">
        <f t="array" ref="H114">IF(A114=A113,0,SUM(_xlfn._xlws.FILTER(G114:G134,A114:A134=A114)))</f>
        <v>0</v>
      </c>
      <c r="I114" s="25">
        <f t="array" ref="I114">IFERROR(IF(A114=A113,0,SUM(_xlfn._xlws.FILTER(G114:G134,(A114:A134=A114)*(E114:E134&lt;0)))),0)</f>
        <v>0</v>
      </c>
      <c r="J114" s="25">
        <f t="array" ref="J114">IFERROR(IF(A114=A113,0,SUM(_xlfn._xlws.FILTER(G114:G134,(A114:A134=A114)*(E114:E134&gt;0)))),0)</f>
        <v>0</v>
      </c>
      <c r="K114" s="25">
        <f>IF(H114&lt;&gt;0,SUM(H$2:H114),0)</f>
        <v>0</v>
      </c>
      <c r="L114" s="25">
        <f>IF(I114&lt;&gt;0,SUM(I$2:I114),0)</f>
        <v>0</v>
      </c>
      <c r="M114" s="25">
        <f>IF(J114&lt;&gt;0,SUM(J$2:J114),0)</f>
        <v>0</v>
      </c>
    </row>
    <row r="115" spans="1:13" hidden="1" x14ac:dyDescent="0.2">
      <c r="A115" s="1">
        <v>45707</v>
      </c>
      <c r="C115" s="2" t="s">
        <v>28</v>
      </c>
      <c r="D115" s="3">
        <v>400</v>
      </c>
      <c r="E115" s="4">
        <v>111.54</v>
      </c>
      <c r="G115" s="25">
        <f t="shared" si="1"/>
        <v>44616</v>
      </c>
      <c r="H115" s="25">
        <f t="array" ref="H115">IF(A115=A114,0,SUM(_xlfn._xlws.FILTER(G115:G135,A115:A135=A115)))</f>
        <v>0</v>
      </c>
      <c r="I115" s="25">
        <f t="array" ref="I115">IFERROR(IF(A115=A114,0,SUM(_xlfn._xlws.FILTER(G115:G135,(A115:A135=A115)*(E115:E135&lt;0)))),0)</f>
        <v>0</v>
      </c>
      <c r="J115" s="25">
        <f t="array" ref="J115">IFERROR(IF(A115=A114,0,SUM(_xlfn._xlws.FILTER(G115:G135,(A115:A135=A115)*(E115:E135&gt;0)))),0)</f>
        <v>0</v>
      </c>
      <c r="K115" s="25">
        <f>IF(H115&lt;&gt;0,SUM(H$2:H115),0)</f>
        <v>0</v>
      </c>
      <c r="L115" s="25">
        <f>IF(I115&lt;&gt;0,SUM(I$2:I115),0)</f>
        <v>0</v>
      </c>
      <c r="M115" s="25">
        <f>IF(J115&lt;&gt;0,SUM(J$2:J115),0)</f>
        <v>0</v>
      </c>
    </row>
    <row r="116" spans="1:13" hidden="1" x14ac:dyDescent="0.2">
      <c r="A116" s="1">
        <v>45707</v>
      </c>
      <c r="C116" s="2" t="s">
        <v>193</v>
      </c>
      <c r="D116" s="3">
        <v>2500</v>
      </c>
      <c r="E116" s="4">
        <v>-24.12</v>
      </c>
      <c r="G116" s="25">
        <f t="shared" si="1"/>
        <v>-60300</v>
      </c>
      <c r="H116" s="25">
        <f t="array" ref="H116">IF(A116=A115,0,SUM(_xlfn._xlws.FILTER(G116:G136,A116:A136=A116)))</f>
        <v>0</v>
      </c>
      <c r="I116" s="25">
        <f t="array" ref="I116">IFERROR(IF(A116=A115,0,SUM(_xlfn._xlws.FILTER(G116:G136,(A116:A136=A116)*(E116:E136&lt;0)))),0)</f>
        <v>0</v>
      </c>
      <c r="J116" s="25">
        <f t="array" ref="J116">IFERROR(IF(A116=A115,0,SUM(_xlfn._xlws.FILTER(G116:G136,(A116:A136=A116)*(E116:E136&gt;0)))),0)</f>
        <v>0</v>
      </c>
      <c r="K116" s="25">
        <f>IF(H116&lt;&gt;0,SUM(H$2:H116),0)</f>
        <v>0</v>
      </c>
      <c r="L116" s="25">
        <f>IF(I116&lt;&gt;0,SUM(I$2:I116),0)</f>
        <v>0</v>
      </c>
      <c r="M116" s="25">
        <f>IF(J116&lt;&gt;0,SUM(J$2:J116),0)</f>
        <v>0</v>
      </c>
    </row>
    <row r="117" spans="1:13" hidden="1" x14ac:dyDescent="0.2">
      <c r="A117" s="1">
        <v>45707</v>
      </c>
      <c r="C117" s="2" t="s">
        <v>178</v>
      </c>
      <c r="D117" s="3">
        <v>2000</v>
      </c>
      <c r="E117" s="4">
        <v>6.93</v>
      </c>
      <c r="G117" s="25">
        <f t="shared" si="1"/>
        <v>13860</v>
      </c>
      <c r="H117" s="25">
        <f t="array" ref="H117">IF(A117=A116,0,SUM(_xlfn._xlws.FILTER(G117:G137,A117:A137=A117)))</f>
        <v>0</v>
      </c>
      <c r="I117" s="25">
        <f t="array" ref="I117">IFERROR(IF(A117=A116,0,SUM(_xlfn._xlws.FILTER(G117:G137,(A117:A137=A117)*(E117:E137&lt;0)))),0)</f>
        <v>0</v>
      </c>
      <c r="J117" s="25">
        <f t="array" ref="J117">IFERROR(IF(A117=A116,0,SUM(_xlfn._xlws.FILTER(G117:G137,(A117:A137=A117)*(E117:E137&gt;0)))),0)</f>
        <v>0</v>
      </c>
      <c r="K117" s="25">
        <f>IF(H117&lt;&gt;0,SUM(H$2:H117),0)</f>
        <v>0</v>
      </c>
      <c r="L117" s="25">
        <f>IF(I117&lt;&gt;0,SUM(I$2:I117),0)</f>
        <v>0</v>
      </c>
      <c r="M117" s="25">
        <f>IF(J117&lt;&gt;0,SUM(J$2:J117),0)</f>
        <v>0</v>
      </c>
    </row>
    <row r="118" spans="1:13" hidden="1" x14ac:dyDescent="0.2">
      <c r="A118" s="1">
        <v>45707</v>
      </c>
      <c r="C118" s="2" t="s">
        <v>94</v>
      </c>
      <c r="D118" s="3">
        <v>5000</v>
      </c>
      <c r="E118" s="4">
        <v>-37.799999999999997</v>
      </c>
      <c r="G118" s="25">
        <f t="shared" si="1"/>
        <v>-189000</v>
      </c>
      <c r="H118" s="25">
        <f t="array" ref="H118">IF(A118=A117,0,SUM(_xlfn._xlws.FILTER(G118:G138,A118:A138=A118)))</f>
        <v>0</v>
      </c>
      <c r="I118" s="25">
        <f t="array" ref="I118">IFERROR(IF(A118=A117,0,SUM(_xlfn._xlws.FILTER(G118:G138,(A118:A138=A118)*(E118:E138&lt;0)))),0)</f>
        <v>0</v>
      </c>
      <c r="J118" s="25">
        <f t="array" ref="J118">IFERROR(IF(A118=A117,0,SUM(_xlfn._xlws.FILTER(G118:G138,(A118:A138=A118)*(E118:E138&gt;0)))),0)</f>
        <v>0</v>
      </c>
      <c r="K118" s="25">
        <f>IF(H118&lt;&gt;0,SUM(H$2:H118),0)</f>
        <v>0</v>
      </c>
      <c r="L118" s="25">
        <f>IF(I118&lt;&gt;0,SUM(I$2:I118),0)</f>
        <v>0</v>
      </c>
      <c r="M118" s="25">
        <f>IF(J118&lt;&gt;0,SUM(J$2:J118),0)</f>
        <v>0</v>
      </c>
    </row>
    <row r="119" spans="1:13" hidden="1" x14ac:dyDescent="0.2">
      <c r="A119" s="1">
        <v>45707</v>
      </c>
      <c r="C119" s="2" t="s">
        <v>69</v>
      </c>
      <c r="D119" s="3">
        <v>6000</v>
      </c>
      <c r="E119" s="4">
        <v>-10.87</v>
      </c>
      <c r="G119" s="25">
        <f t="shared" si="1"/>
        <v>-65219.999999999993</v>
      </c>
      <c r="H119" s="25">
        <f t="array" ref="H119">IF(A119=A118,0,SUM(_xlfn._xlws.FILTER(G119:G139,A119:A139=A119)))</f>
        <v>0</v>
      </c>
      <c r="I119" s="25">
        <f t="array" ref="I119">IFERROR(IF(A119=A118,0,SUM(_xlfn._xlws.FILTER(G119:G139,(A119:A139=A119)*(E119:E139&lt;0)))),0)</f>
        <v>0</v>
      </c>
      <c r="J119" s="25">
        <f t="array" ref="J119">IFERROR(IF(A119=A118,0,SUM(_xlfn._xlws.FILTER(G119:G139,(A119:A139=A119)*(E119:E139&gt;0)))),0)</f>
        <v>0</v>
      </c>
      <c r="K119" s="25">
        <f>IF(H119&lt;&gt;0,SUM(H$2:H119),0)</f>
        <v>0</v>
      </c>
      <c r="L119" s="25">
        <f>IF(I119&lt;&gt;0,SUM(I$2:I119),0)</f>
        <v>0</v>
      </c>
      <c r="M119" s="25">
        <f>IF(J119&lt;&gt;0,SUM(J$2:J119),0)</f>
        <v>0</v>
      </c>
    </row>
    <row r="120" spans="1:13" hidden="1" x14ac:dyDescent="0.2">
      <c r="A120" s="1">
        <v>45707</v>
      </c>
      <c r="C120" s="2" t="s">
        <v>61</v>
      </c>
      <c r="D120" s="3">
        <v>240</v>
      </c>
      <c r="E120" s="4">
        <v>244.79</v>
      </c>
      <c r="G120" s="25">
        <f t="shared" si="1"/>
        <v>58749.599999999999</v>
      </c>
      <c r="H120" s="25">
        <f t="array" ref="H120">IF(A120=A119,0,SUM(_xlfn._xlws.FILTER(G120:G140,A120:A140=A120)))</f>
        <v>0</v>
      </c>
      <c r="I120" s="25">
        <f t="array" ref="I120">IFERROR(IF(A120=A119,0,SUM(_xlfn._xlws.FILTER(G120:G140,(A120:A140=A120)*(E120:E140&lt;0)))),0)</f>
        <v>0</v>
      </c>
      <c r="J120" s="25">
        <f t="array" ref="J120">IFERROR(IF(A120=A119,0,SUM(_xlfn._xlws.FILTER(G120:G140,(A120:A140=A120)*(E120:E140&gt;0)))),0)</f>
        <v>0</v>
      </c>
      <c r="K120" s="25">
        <f>IF(H120&lt;&gt;0,SUM(H$2:H120),0)</f>
        <v>0</v>
      </c>
      <c r="L120" s="25">
        <f>IF(I120&lt;&gt;0,SUM(I$2:I120),0)</f>
        <v>0</v>
      </c>
      <c r="M120" s="25">
        <f>IF(J120&lt;&gt;0,SUM(J$2:J120),0)</f>
        <v>0</v>
      </c>
    </row>
    <row r="121" spans="1:13" hidden="1" x14ac:dyDescent="0.2">
      <c r="A121" s="1">
        <v>45707</v>
      </c>
      <c r="C121" s="2" t="s">
        <v>122</v>
      </c>
      <c r="D121" s="3">
        <v>10000</v>
      </c>
      <c r="E121" s="4">
        <v>595.08780000000002</v>
      </c>
      <c r="G121" s="25">
        <f t="shared" si="1"/>
        <v>59508.78</v>
      </c>
      <c r="H121" s="25">
        <f t="array" ref="H121">IF(A121=A120,0,SUM(_xlfn._xlws.FILTER(G121:G141,A121:A141=A121)))</f>
        <v>0</v>
      </c>
      <c r="I121" s="25">
        <f t="array" ref="I121">IFERROR(IF(A121=A120,0,SUM(_xlfn._xlws.FILTER(G121:G141,(A121:A141=A121)*(E121:E141&lt;0)))),0)</f>
        <v>0</v>
      </c>
      <c r="J121" s="25">
        <f t="array" ref="J121">IFERROR(IF(A121=A120,0,SUM(_xlfn._xlws.FILTER(G121:G141,(A121:A141=A121)*(E121:E141&gt;0)))),0)</f>
        <v>0</v>
      </c>
      <c r="K121" s="25">
        <f>IF(H121&lt;&gt;0,SUM(H$2:H121),0)</f>
        <v>0</v>
      </c>
      <c r="L121" s="25">
        <f>IF(I121&lt;&gt;0,SUM(I$2:I121),0)</f>
        <v>0</v>
      </c>
      <c r="M121" s="25">
        <f>IF(J121&lt;&gt;0,SUM(J$2:J121),0)</f>
        <v>0</v>
      </c>
    </row>
    <row r="122" spans="1:13" hidden="1" x14ac:dyDescent="0.2">
      <c r="A122" s="1">
        <v>45707</v>
      </c>
      <c r="C122" s="2" t="s">
        <v>171</v>
      </c>
      <c r="D122" s="3">
        <v>1000</v>
      </c>
      <c r="E122" s="4">
        <v>51.86</v>
      </c>
      <c r="G122" s="25">
        <f t="shared" si="1"/>
        <v>51860</v>
      </c>
      <c r="H122" s="25">
        <f t="array" ref="H122">IF(A122=A121,0,SUM(_xlfn._xlws.FILTER(G122:G142,A122:A142=A122)))</f>
        <v>0</v>
      </c>
      <c r="I122" s="25">
        <f t="array" ref="I122">IFERROR(IF(A122=A121,0,SUM(_xlfn._xlws.FILTER(G122:G142,(A122:A142=A122)*(E122:E142&lt;0)))),0)</f>
        <v>0</v>
      </c>
      <c r="J122" s="25">
        <f t="array" ref="J122">IFERROR(IF(A122=A121,0,SUM(_xlfn._xlws.FILTER(G122:G142,(A122:A142=A122)*(E122:E142&gt;0)))),0)</f>
        <v>0</v>
      </c>
      <c r="K122" s="25">
        <f>IF(H122&lt;&gt;0,SUM(H$2:H122),0)</f>
        <v>0</v>
      </c>
      <c r="L122" s="25">
        <f>IF(I122&lt;&gt;0,SUM(I$2:I122),0)</f>
        <v>0</v>
      </c>
      <c r="M122" s="25">
        <f>IF(J122&lt;&gt;0,SUM(J$2:J122),0)</f>
        <v>0</v>
      </c>
    </row>
    <row r="123" spans="1:13" hidden="1" x14ac:dyDescent="0.2">
      <c r="A123" s="5">
        <v>45708</v>
      </c>
      <c r="C123" s="9" t="s">
        <v>219</v>
      </c>
      <c r="D123" s="7">
        <v>7942</v>
      </c>
      <c r="E123" s="8">
        <v>-1.0740000000000001</v>
      </c>
      <c r="G123" s="25">
        <f t="shared" si="1"/>
        <v>-8529.7080000000005</v>
      </c>
      <c r="H123" s="25">
        <f t="array" ref="H123">IF(A123=A122,0,SUM(_xlfn._xlws.FILTER(G123:G143,A123:A143=A123)))</f>
        <v>61566.292000000001</v>
      </c>
      <c r="I123" s="25">
        <f t="array" ref="I123">IFERROR(IF(A123=A122,0,SUM(_xlfn._xlws.FILTER(G123:G143,(A123:A143=A123)*(E123:E143&lt;0)))),0)</f>
        <v>-8529.7080000000005</v>
      </c>
      <c r="J123" s="25">
        <f t="array" ref="J123">IFERROR(IF(A123=A122,0,SUM(_xlfn._xlws.FILTER(G123:G143,(A123:A143=A123)*(E123:E143&gt;0)))),0)</f>
        <v>70096</v>
      </c>
      <c r="K123" s="25">
        <f>IF(H123&lt;&gt;0,SUM(H$2:H123),0)</f>
        <v>715205.61590000009</v>
      </c>
      <c r="L123" s="25">
        <f>IF(I123&lt;&gt;0,SUM(I$2:I123),0)</f>
        <v>-3444226.6479999996</v>
      </c>
      <c r="M123" s="25">
        <f>IF(J123&lt;&gt;0,SUM(J$2:J123),0)</f>
        <v>4159432.2638999992</v>
      </c>
    </row>
    <row r="124" spans="1:13" hidden="1" x14ac:dyDescent="0.2">
      <c r="A124" s="5">
        <v>45708</v>
      </c>
      <c r="C124" s="9" t="s">
        <v>25</v>
      </c>
      <c r="D124" s="7">
        <v>1000</v>
      </c>
      <c r="E124" s="8">
        <v>70.096000000000004</v>
      </c>
      <c r="G124" s="25">
        <f t="shared" si="1"/>
        <v>70096</v>
      </c>
      <c r="H124" s="25">
        <f t="array" ref="H124">IF(A124=A123,0,SUM(_xlfn._xlws.FILTER(G124:G144,A124:A144=A124)))</f>
        <v>0</v>
      </c>
      <c r="I124" s="25">
        <f t="array" ref="I124">IFERROR(IF(A124=A123,0,SUM(_xlfn._xlws.FILTER(G124:G144,(A124:A144=A124)*(E124:E144&lt;0)))),0)</f>
        <v>0</v>
      </c>
      <c r="J124" s="25">
        <f t="array" ref="J124">IFERROR(IF(A124=A123,0,SUM(_xlfn._xlws.FILTER(G124:G144,(A124:A144=A124)*(E124:E144&gt;0)))),0)</f>
        <v>0</v>
      </c>
      <c r="K124" s="25">
        <f>IF(H124&lt;&gt;0,SUM(H$2:H124),0)</f>
        <v>0</v>
      </c>
      <c r="L124" s="25">
        <f>IF(I124&lt;&gt;0,SUM(I$2:I124),0)</f>
        <v>0</v>
      </c>
      <c r="M124" s="25">
        <f>IF(J124&lt;&gt;0,SUM(J$2:J124),0)</f>
        <v>0</v>
      </c>
    </row>
    <row r="125" spans="1:13" hidden="1" x14ac:dyDescent="0.2">
      <c r="A125" s="1">
        <v>45709</v>
      </c>
      <c r="C125" s="2" t="s">
        <v>116</v>
      </c>
      <c r="D125" s="3">
        <v>500</v>
      </c>
      <c r="E125" s="4">
        <v>-215.45</v>
      </c>
      <c r="G125" s="25">
        <f t="shared" si="1"/>
        <v>-107725</v>
      </c>
      <c r="H125" s="25">
        <f t="array" ref="H125">IF(A125=A124,0,SUM(_xlfn._xlws.FILTER(G125:G145,A125:A145=A125)))</f>
        <v>-141324.100274</v>
      </c>
      <c r="I125" s="25">
        <f t="array" ref="I125">IFERROR(IF(A125=A124,0,SUM(_xlfn._xlws.FILTER(G125:G145,(A125:A145=A125)*(E125:E145&lt;0)))),0)</f>
        <v>-247518.03027399999</v>
      </c>
      <c r="J125" s="25">
        <f t="array" ref="J125">IFERROR(IF(A125=A124,0,SUM(_xlfn._xlws.FILTER(G125:G145,(A125:A145=A125)*(E125:E145&gt;0)))),0)</f>
        <v>106193.93</v>
      </c>
      <c r="K125" s="25">
        <f>IF(H125&lt;&gt;0,SUM(H$2:H125),0)</f>
        <v>573881.51562600012</v>
      </c>
      <c r="L125" s="25">
        <f>IF(I125&lt;&gt;0,SUM(I$2:I125),0)</f>
        <v>-3691744.6782739996</v>
      </c>
      <c r="M125" s="25">
        <f>IF(J125&lt;&gt;0,SUM(J$2:J125),0)</f>
        <v>4265626.1938999994</v>
      </c>
    </row>
    <row r="126" spans="1:13" hidden="1" x14ac:dyDescent="0.2">
      <c r="A126" s="1">
        <v>45709</v>
      </c>
      <c r="C126" s="2" t="s">
        <v>19</v>
      </c>
      <c r="D126" s="3">
        <v>100</v>
      </c>
      <c r="E126" s="4">
        <v>-706.6</v>
      </c>
      <c r="G126" s="25">
        <f t="shared" si="1"/>
        <v>-70660</v>
      </c>
      <c r="H126" s="25">
        <f t="array" ref="H126">IF(A126=A125,0,SUM(_xlfn._xlws.FILTER(G126:G146,A126:A146=A126)))</f>
        <v>0</v>
      </c>
      <c r="I126" s="25">
        <f t="array" ref="I126">IFERROR(IF(A126=A125,0,SUM(_xlfn._xlws.FILTER(G126:G146,(A126:A146=A126)*(E126:E146&lt;0)))),0)</f>
        <v>0</v>
      </c>
      <c r="J126" s="25">
        <f t="array" ref="J126">IFERROR(IF(A126=A125,0,SUM(_xlfn._xlws.FILTER(G126:G146,(A126:A146=A126)*(E126:E146&gt;0)))),0)</f>
        <v>0</v>
      </c>
      <c r="K126" s="25">
        <f>IF(H126&lt;&gt;0,SUM(H$2:H126),0)</f>
        <v>0</v>
      </c>
      <c r="L126" s="25">
        <f>IF(I126&lt;&gt;0,SUM(I$2:I126),0)</f>
        <v>0</v>
      </c>
      <c r="M126" s="25">
        <f>IF(J126&lt;&gt;0,SUM(J$2:J126),0)</f>
        <v>0</v>
      </c>
    </row>
    <row r="127" spans="1:13" hidden="1" x14ac:dyDescent="0.2">
      <c r="A127" s="1">
        <v>45709</v>
      </c>
      <c r="C127" s="2" t="s">
        <v>25</v>
      </c>
      <c r="D127" s="3">
        <v>1000</v>
      </c>
      <c r="E127" s="4">
        <v>71.239999999999995</v>
      </c>
      <c r="G127" s="25">
        <f t="shared" si="1"/>
        <v>71240</v>
      </c>
      <c r="H127" s="25">
        <f t="array" ref="H127">IF(A127=A126,0,SUM(_xlfn._xlws.FILTER(G127:G147,A127:A147=A127)))</f>
        <v>0</v>
      </c>
      <c r="I127" s="25">
        <f t="array" ref="I127">IFERROR(IF(A127=A126,0,SUM(_xlfn._xlws.FILTER(G127:G147,(A127:A147=A127)*(E127:E147&lt;0)))),0)</f>
        <v>0</v>
      </c>
      <c r="J127" s="25">
        <f t="array" ref="J127">IFERROR(IF(A127=A126,0,SUM(_xlfn._xlws.FILTER(G127:G147,(A127:A147=A127)*(E127:E147&gt;0)))),0)</f>
        <v>0</v>
      </c>
      <c r="K127" s="25">
        <f>IF(H127&lt;&gt;0,SUM(H$2:H127),0)</f>
        <v>0</v>
      </c>
      <c r="L127" s="25">
        <f>IF(I127&lt;&gt;0,SUM(I$2:I127),0)</f>
        <v>0</v>
      </c>
      <c r="M127" s="25">
        <f>IF(J127&lt;&gt;0,SUM(J$2:J127),0)</f>
        <v>0</v>
      </c>
    </row>
    <row r="128" spans="1:13" hidden="1" x14ac:dyDescent="0.2">
      <c r="A128" s="1">
        <v>45709</v>
      </c>
      <c r="C128" s="2" t="s">
        <v>219</v>
      </c>
      <c r="D128" s="3">
        <v>12058</v>
      </c>
      <c r="E128" s="4">
        <v>-1.0964529999999999</v>
      </c>
      <c r="G128" s="25">
        <f t="shared" si="1"/>
        <v>-13221.030273999999</v>
      </c>
      <c r="H128" s="25">
        <f t="array" ref="H128">IF(A128=A127,0,SUM(_xlfn._xlws.FILTER(G128:G148,A128:A148=A128)))</f>
        <v>0</v>
      </c>
      <c r="I128" s="25">
        <f t="array" ref="I128">IFERROR(IF(A128=A127,0,SUM(_xlfn._xlws.FILTER(G128:G148,(A128:A148=A128)*(E128:E148&lt;0)))),0)</f>
        <v>0</v>
      </c>
      <c r="J128" s="25">
        <f t="array" ref="J128">IFERROR(IF(A128=A127,0,SUM(_xlfn._xlws.FILTER(G128:G148,(A128:A148=A128)*(E128:E148&gt;0)))),0)</f>
        <v>0</v>
      </c>
      <c r="K128" s="25">
        <f>IF(H128&lt;&gt;0,SUM(H$2:H128),0)</f>
        <v>0</v>
      </c>
      <c r="L128" s="25">
        <f>IF(I128&lt;&gt;0,SUM(I$2:I128),0)</f>
        <v>0</v>
      </c>
      <c r="M128" s="25">
        <f>IF(J128&lt;&gt;0,SUM(J$2:J128),0)</f>
        <v>0</v>
      </c>
    </row>
    <row r="129" spans="1:13" hidden="1" x14ac:dyDescent="0.2">
      <c r="A129" s="1">
        <v>45709</v>
      </c>
      <c r="C129" s="2" t="s">
        <v>254</v>
      </c>
      <c r="D129" s="3">
        <v>3000</v>
      </c>
      <c r="E129" s="4">
        <v>11.65131</v>
      </c>
      <c r="G129" s="25">
        <f t="shared" si="1"/>
        <v>34953.93</v>
      </c>
      <c r="H129" s="25">
        <f t="array" ref="H129">IF(A129=A128,0,SUM(_xlfn._xlws.FILTER(G129:G149,A129:A149=A129)))</f>
        <v>0</v>
      </c>
      <c r="I129" s="25">
        <f t="array" ref="I129">IFERROR(IF(A129=A128,0,SUM(_xlfn._xlws.FILTER(G129:G149,(A129:A149=A129)*(E129:E149&lt;0)))),0)</f>
        <v>0</v>
      </c>
      <c r="J129" s="25">
        <f t="array" ref="J129">IFERROR(IF(A129=A128,0,SUM(_xlfn._xlws.FILTER(G129:G149,(A129:A149=A129)*(E129:E149&gt;0)))),0)</f>
        <v>0</v>
      </c>
      <c r="K129" s="25">
        <f>IF(H129&lt;&gt;0,SUM(H$2:H129),0)</f>
        <v>0</v>
      </c>
      <c r="L129" s="25">
        <f>IF(I129&lt;&gt;0,SUM(I$2:I129),0)</f>
        <v>0</v>
      </c>
      <c r="M129" s="25">
        <f>IF(J129&lt;&gt;0,SUM(J$2:J129),0)</f>
        <v>0</v>
      </c>
    </row>
    <row r="130" spans="1:13" hidden="1" x14ac:dyDescent="0.2">
      <c r="A130" s="1">
        <v>45709</v>
      </c>
      <c r="C130" s="2" t="s">
        <v>256</v>
      </c>
      <c r="D130" s="3">
        <v>4000</v>
      </c>
      <c r="E130" s="4">
        <v>-13.978</v>
      </c>
      <c r="G130" s="25">
        <f t="shared" ref="G130:G193" si="2">D130*E130*IF(OR(C130="IAG",C130="EZJ",C130="AET"),0.01,1)</f>
        <v>-55912</v>
      </c>
      <c r="H130" s="25">
        <f t="array" ref="H130">IF(A130=A129,0,SUM(_xlfn._xlws.FILTER(G130:G150,A130:A150=A130)))</f>
        <v>0</v>
      </c>
      <c r="I130" s="25">
        <f t="array" ref="I130">IFERROR(IF(A130=A129,0,SUM(_xlfn._xlws.FILTER(G130:G150,(A130:A150=A130)*(E130:E150&lt;0)))),0)</f>
        <v>0</v>
      </c>
      <c r="J130" s="25">
        <f t="array" ref="J130">IFERROR(IF(A130=A129,0,SUM(_xlfn._xlws.FILTER(G130:G150,(A130:A150=A130)*(E130:E150&gt;0)))),0)</f>
        <v>0</v>
      </c>
      <c r="K130" s="25">
        <f>IF(H130&lt;&gt;0,SUM(H$2:H130),0)</f>
        <v>0</v>
      </c>
      <c r="L130" s="25">
        <f>IF(I130&lt;&gt;0,SUM(I$2:I130),0)</f>
        <v>0</v>
      </c>
      <c r="M130" s="25">
        <f>IF(J130&lt;&gt;0,SUM(J$2:J130),0)</f>
        <v>0</v>
      </c>
    </row>
    <row r="131" spans="1:13" hidden="1" x14ac:dyDescent="0.2">
      <c r="A131" s="5">
        <v>45712</v>
      </c>
      <c r="C131" s="9" t="s">
        <v>259</v>
      </c>
      <c r="D131" s="7">
        <v>499</v>
      </c>
      <c r="E131" s="8">
        <v>275.52499999999998</v>
      </c>
      <c r="G131" s="25">
        <f t="shared" si="2"/>
        <v>137486.97499999998</v>
      </c>
      <c r="H131" s="25">
        <f t="array" ref="H131">IF(A131=A130,0,SUM(_xlfn._xlws.FILTER(G131:G151,A131:A151=A131)))</f>
        <v>360547.32499999995</v>
      </c>
      <c r="I131" s="25">
        <f t="array" ref="I131">IFERROR(IF(A131=A130,0,SUM(_xlfn._xlws.FILTER(G131:G151,(A131:A151=A131)*(E131:E151&lt;0)))),0)</f>
        <v>-191285</v>
      </c>
      <c r="J131" s="25">
        <f t="array" ref="J131">IFERROR(IF(A131=A130,0,SUM(_xlfn._xlws.FILTER(G131:G151,(A131:A151=A131)*(E131:E151&gt;0)))),0)</f>
        <v>551832.32499999995</v>
      </c>
      <c r="K131" s="25">
        <f>IF(H131&lt;&gt;0,SUM(H$2:H131),0)</f>
        <v>934428.84062600008</v>
      </c>
      <c r="L131" s="25">
        <f>IF(I131&lt;&gt;0,SUM(I$2:I131),0)</f>
        <v>-3883029.6782739996</v>
      </c>
      <c r="M131" s="25">
        <f>IF(J131&lt;&gt;0,SUM(J$2:J131),0)</f>
        <v>4817458.5188999996</v>
      </c>
    </row>
    <row r="132" spans="1:13" hidden="1" x14ac:dyDescent="0.2">
      <c r="A132" s="5">
        <v>45712</v>
      </c>
      <c r="C132" s="9" t="s">
        <v>262</v>
      </c>
      <c r="D132" s="7">
        <v>499</v>
      </c>
      <c r="E132" s="8">
        <v>275.64999999999998</v>
      </c>
      <c r="G132" s="25">
        <f t="shared" si="2"/>
        <v>137549.34999999998</v>
      </c>
      <c r="H132" s="25">
        <f t="array" ref="H132">IF(A132=A131,0,SUM(_xlfn._xlws.FILTER(G132:G152,A132:A152=A132)))</f>
        <v>0</v>
      </c>
      <c r="I132" s="25">
        <f t="array" ref="I132">IFERROR(IF(A132=A131,0,SUM(_xlfn._xlws.FILTER(G132:G152,(A132:A152=A132)*(E132:E152&lt;0)))),0)</f>
        <v>0</v>
      </c>
      <c r="J132" s="25">
        <f t="array" ref="J132">IFERROR(IF(A132=A131,0,SUM(_xlfn._xlws.FILTER(G132:G152,(A132:A152=A132)*(E132:E152&gt;0)))),0)</f>
        <v>0</v>
      </c>
      <c r="K132" s="25">
        <f>IF(H132&lt;&gt;0,SUM(H$2:H132),0)</f>
        <v>0</v>
      </c>
      <c r="L132" s="25">
        <f>IF(I132&lt;&gt;0,SUM(I$2:I132),0)</f>
        <v>0</v>
      </c>
      <c r="M132" s="25">
        <f>IF(J132&lt;&gt;0,SUM(J$2:J132),0)</f>
        <v>0</v>
      </c>
    </row>
    <row r="133" spans="1:13" hidden="1" x14ac:dyDescent="0.2">
      <c r="A133" s="5">
        <v>45712</v>
      </c>
      <c r="C133" s="9" t="s">
        <v>155</v>
      </c>
      <c r="D133" s="7">
        <v>8000</v>
      </c>
      <c r="E133" s="8">
        <v>12.09</v>
      </c>
      <c r="G133" s="25">
        <f t="shared" si="2"/>
        <v>96720</v>
      </c>
      <c r="H133" s="25">
        <f t="array" ref="H133">IF(A133=A132,0,SUM(_xlfn._xlws.FILTER(G133:G153,A133:A153=A133)))</f>
        <v>0</v>
      </c>
      <c r="I133" s="25">
        <f t="array" ref="I133">IFERROR(IF(A133=A132,0,SUM(_xlfn._xlws.FILTER(G133:G153,(A133:A153=A133)*(E133:E153&lt;0)))),0)</f>
        <v>0</v>
      </c>
      <c r="J133" s="25">
        <f t="array" ref="J133">IFERROR(IF(A133=A132,0,SUM(_xlfn._xlws.FILTER(G133:G153,(A133:A153=A133)*(E133:E153&gt;0)))),0)</f>
        <v>0</v>
      </c>
      <c r="K133" s="25">
        <f>IF(H133&lt;&gt;0,SUM(H$2:H133),0)</f>
        <v>0</v>
      </c>
      <c r="L133" s="25">
        <f>IF(I133&lt;&gt;0,SUM(I$2:I133),0)</f>
        <v>0</v>
      </c>
      <c r="M133" s="25">
        <f>IF(J133&lt;&gt;0,SUM(J$2:J133),0)</f>
        <v>0</v>
      </c>
    </row>
    <row r="134" spans="1:13" hidden="1" x14ac:dyDescent="0.2">
      <c r="A134" s="5">
        <v>45712</v>
      </c>
      <c r="C134" s="9" t="s">
        <v>265</v>
      </c>
      <c r="D134" s="7">
        <v>2990</v>
      </c>
      <c r="E134" s="8">
        <v>16.670000000000002</v>
      </c>
      <c r="G134" s="25">
        <f t="shared" si="2"/>
        <v>49843.3</v>
      </c>
      <c r="H134" s="25">
        <f t="array" ref="H134">IF(A134=A133,0,SUM(_xlfn._xlws.FILTER(G134:G154,A134:A154=A134)))</f>
        <v>0</v>
      </c>
      <c r="I134" s="25">
        <f t="array" ref="I134">IFERROR(IF(A134=A133,0,SUM(_xlfn._xlws.FILTER(G134:G154,(A134:A154=A134)*(E134:E154&lt;0)))),0)</f>
        <v>0</v>
      </c>
      <c r="J134" s="25">
        <f t="array" ref="J134">IFERROR(IF(A134=A133,0,SUM(_xlfn._xlws.FILTER(G134:G154,(A134:A154=A134)*(E134:E154&gt;0)))),0)</f>
        <v>0</v>
      </c>
      <c r="K134" s="25">
        <f>IF(H134&lt;&gt;0,SUM(H$2:H134),0)</f>
        <v>0</v>
      </c>
      <c r="L134" s="25">
        <f>IF(I134&lt;&gt;0,SUM(I$2:I134),0)</f>
        <v>0</v>
      </c>
      <c r="M134" s="25">
        <f>IF(J134&lt;&gt;0,SUM(J$2:J134),0)</f>
        <v>0</v>
      </c>
    </row>
    <row r="135" spans="1:13" hidden="1" x14ac:dyDescent="0.2">
      <c r="A135" s="5">
        <v>45712</v>
      </c>
      <c r="C135" s="9" t="s">
        <v>190</v>
      </c>
      <c r="D135" s="7">
        <v>2000</v>
      </c>
      <c r="E135" s="8">
        <v>-43.7</v>
      </c>
      <c r="G135" s="25">
        <f t="shared" si="2"/>
        <v>-87400</v>
      </c>
      <c r="H135" s="25">
        <f t="array" ref="H135">IF(A135=A134,0,SUM(_xlfn._xlws.FILTER(G135:G155,A135:A155=A135)))</f>
        <v>0</v>
      </c>
      <c r="I135" s="25">
        <f t="array" ref="I135">IFERROR(IF(A135=A134,0,SUM(_xlfn._xlws.FILTER(G135:G155,(A135:A155=A135)*(E135:E155&lt;0)))),0)</f>
        <v>0</v>
      </c>
      <c r="J135" s="25">
        <f t="array" ref="J135">IFERROR(IF(A135=A134,0,SUM(_xlfn._xlws.FILTER(G135:G155,(A135:A155=A135)*(E135:E155&gt;0)))),0)</f>
        <v>0</v>
      </c>
      <c r="K135" s="25">
        <f>IF(H135&lt;&gt;0,SUM(H$2:H135),0)</f>
        <v>0</v>
      </c>
      <c r="L135" s="25">
        <f>IF(I135&lt;&gt;0,SUM(I$2:I135),0)</f>
        <v>0</v>
      </c>
      <c r="M135" s="25">
        <f>IF(J135&lt;&gt;0,SUM(J$2:J135),0)</f>
        <v>0</v>
      </c>
    </row>
    <row r="136" spans="1:13" hidden="1" x14ac:dyDescent="0.2">
      <c r="A136" s="5">
        <v>45712</v>
      </c>
      <c r="C136" s="9" t="s">
        <v>113</v>
      </c>
      <c r="D136" s="7">
        <v>390</v>
      </c>
      <c r="E136" s="8">
        <v>333.93</v>
      </c>
      <c r="G136" s="25">
        <f t="shared" si="2"/>
        <v>130232.7</v>
      </c>
      <c r="H136" s="25">
        <f t="array" ref="H136">IF(A136=A135,0,SUM(_xlfn._xlws.FILTER(G136:G156,A136:A156=A136)))</f>
        <v>0</v>
      </c>
      <c r="I136" s="25">
        <f t="array" ref="I136">IFERROR(IF(A136=A135,0,SUM(_xlfn._xlws.FILTER(G136:G156,(A136:A156=A136)*(E136:E156&lt;0)))),0)</f>
        <v>0</v>
      </c>
      <c r="J136" s="25">
        <f t="array" ref="J136">IFERROR(IF(A136=A135,0,SUM(_xlfn._xlws.FILTER(G136:G156,(A136:A156=A136)*(E136:E156&gt;0)))),0)</f>
        <v>0</v>
      </c>
      <c r="K136" s="25">
        <f>IF(H136&lt;&gt;0,SUM(H$2:H136),0)</f>
        <v>0</v>
      </c>
      <c r="L136" s="25">
        <f>IF(I136&lt;&gt;0,SUM(I$2:I136),0)</f>
        <v>0</v>
      </c>
      <c r="M136" s="25">
        <f>IF(J136&lt;&gt;0,SUM(J$2:J136),0)</f>
        <v>0</v>
      </c>
    </row>
    <row r="137" spans="1:13" hidden="1" x14ac:dyDescent="0.2">
      <c r="A137" s="5">
        <v>45712</v>
      </c>
      <c r="C137" s="9" t="s">
        <v>37</v>
      </c>
      <c r="D137" s="7">
        <v>500</v>
      </c>
      <c r="E137" s="8">
        <v>-207.77</v>
      </c>
      <c r="G137" s="25">
        <f t="shared" si="2"/>
        <v>-103885</v>
      </c>
      <c r="H137" s="25">
        <f t="array" ref="H137">IF(A137=A136,0,SUM(_xlfn._xlws.FILTER(G137:G157,A137:A157=A137)))</f>
        <v>0</v>
      </c>
      <c r="I137" s="25">
        <f t="array" ref="I137">IFERROR(IF(A137=A136,0,SUM(_xlfn._xlws.FILTER(G137:G157,(A137:A157=A137)*(E137:E157&lt;0)))),0)</f>
        <v>0</v>
      </c>
      <c r="J137" s="25">
        <f t="array" ref="J137">IFERROR(IF(A137=A136,0,SUM(_xlfn._xlws.FILTER(G137:G157,(A137:A157=A137)*(E137:E157&gt;0)))),0)</f>
        <v>0</v>
      </c>
      <c r="K137" s="25">
        <f>IF(H137&lt;&gt;0,SUM(H$2:H137),0)</f>
        <v>0</v>
      </c>
      <c r="L137" s="25">
        <f>IF(I137&lt;&gt;0,SUM(I$2:I137),0)</f>
        <v>0</v>
      </c>
      <c r="M137" s="25">
        <f>IF(J137&lt;&gt;0,SUM(J$2:J137),0)</f>
        <v>0</v>
      </c>
    </row>
    <row r="138" spans="1:13" hidden="1" x14ac:dyDescent="0.2">
      <c r="A138" s="1">
        <v>45713</v>
      </c>
      <c r="C138" s="2" t="s">
        <v>37</v>
      </c>
      <c r="D138" s="3">
        <v>240</v>
      </c>
      <c r="E138" s="4">
        <v>-203.42583329999999</v>
      </c>
      <c r="G138" s="25">
        <f t="shared" si="2"/>
        <v>-48822.199992000002</v>
      </c>
      <c r="H138" s="25">
        <f t="array" ref="H138">IF(A138=A137,0,SUM(_xlfn._xlws.FILTER(G138:G158,A138:A158=A138)))</f>
        <v>-937150.96999199991</v>
      </c>
      <c r="I138" s="25">
        <f t="array" ref="I138">IFERROR(IF(A138=A137,0,SUM(_xlfn._xlws.FILTER(G138:G158,(A138:A158=A138)*(E138:E158&lt;0)))),0)</f>
        <v>-1221399.519992</v>
      </c>
      <c r="J138" s="25">
        <f t="array" ref="J138">IFERROR(IF(A138=A137,0,SUM(_xlfn._xlws.FILTER(G138:G158,(A138:A158=A138)*(E138:E158&gt;0)))),0)</f>
        <v>284248.55000000005</v>
      </c>
      <c r="K138" s="25">
        <f>IF(H138&lt;&gt;0,SUM(H$2:H138),0)</f>
        <v>-2722.1293659998337</v>
      </c>
      <c r="L138" s="25">
        <f>IF(I138&lt;&gt;0,SUM(I$2:I138),0)</f>
        <v>-5104429.1982659996</v>
      </c>
      <c r="M138" s="25">
        <f>IF(J138&lt;&gt;0,SUM(J$2:J138),0)</f>
        <v>5101707.0688999994</v>
      </c>
    </row>
    <row r="139" spans="1:13" hidden="1" x14ac:dyDescent="0.2">
      <c r="A139" s="1">
        <v>45713</v>
      </c>
      <c r="C139" s="2" t="s">
        <v>94</v>
      </c>
      <c r="D139" s="3">
        <v>5000</v>
      </c>
      <c r="E139" s="4">
        <v>38.693710000000003</v>
      </c>
      <c r="G139" s="25">
        <f t="shared" si="2"/>
        <v>193468.55000000002</v>
      </c>
      <c r="H139" s="25">
        <f t="array" ref="H139">IF(A139=A138,0,SUM(_xlfn._xlws.FILTER(G139:G159,A139:A159=A139)))</f>
        <v>0</v>
      </c>
      <c r="I139" s="25">
        <f t="array" ref="I139">IFERROR(IF(A139=A138,0,SUM(_xlfn._xlws.FILTER(G139:G159,(A139:A159=A139)*(E139:E159&lt;0)))),0)</f>
        <v>0</v>
      </c>
      <c r="J139" s="25">
        <f t="array" ref="J139">IFERROR(IF(A139=A138,0,SUM(_xlfn._xlws.FILTER(G139:G159,(A139:A159=A139)*(E139:E159&gt;0)))),0)</f>
        <v>0</v>
      </c>
      <c r="K139" s="25">
        <f>IF(H139&lt;&gt;0,SUM(H$2:H139),0)</f>
        <v>0</v>
      </c>
      <c r="L139" s="25">
        <f>IF(I139&lt;&gt;0,SUM(I$2:I139),0)</f>
        <v>0</v>
      </c>
      <c r="M139" s="25">
        <f>IF(J139&lt;&gt;0,SUM(J$2:J139),0)</f>
        <v>0</v>
      </c>
    </row>
    <row r="140" spans="1:13" hidden="1" x14ac:dyDescent="0.2">
      <c r="A140" s="1">
        <v>45713</v>
      </c>
      <c r="C140" s="2" t="s">
        <v>19</v>
      </c>
      <c r="D140" s="3">
        <v>300</v>
      </c>
      <c r="E140" s="4">
        <v>-690.9</v>
      </c>
      <c r="G140" s="25">
        <f t="shared" si="2"/>
        <v>-207270</v>
      </c>
      <c r="H140" s="25">
        <f t="array" ref="H140">IF(A140=A139,0,SUM(_xlfn._xlws.FILTER(G140:G160,A140:A160=A140)))</f>
        <v>0</v>
      </c>
      <c r="I140" s="25">
        <f t="array" ref="I140">IFERROR(IF(A140=A139,0,SUM(_xlfn._xlws.FILTER(G140:G160,(A140:A160=A140)*(E140:E160&lt;0)))),0)</f>
        <v>0</v>
      </c>
      <c r="J140" s="25">
        <f t="array" ref="J140">IFERROR(IF(A140=A139,0,SUM(_xlfn._xlws.FILTER(G140:G160,(A140:A160=A140)*(E140:E160&gt;0)))),0)</f>
        <v>0</v>
      </c>
      <c r="K140" s="25">
        <f>IF(H140&lt;&gt;0,SUM(H$2:H140),0)</f>
        <v>0</v>
      </c>
      <c r="L140" s="25">
        <f>IF(I140&lt;&gt;0,SUM(I$2:I140),0)</f>
        <v>0</v>
      </c>
      <c r="M140" s="25">
        <f>IF(J140&lt;&gt;0,SUM(J$2:J140),0)</f>
        <v>0</v>
      </c>
    </row>
    <row r="141" spans="1:13" hidden="1" x14ac:dyDescent="0.2">
      <c r="A141" s="1">
        <v>45713</v>
      </c>
      <c r="C141" s="2" t="s">
        <v>139</v>
      </c>
      <c r="D141" s="3">
        <v>30000</v>
      </c>
      <c r="E141" s="4">
        <v>302.60000000000002</v>
      </c>
      <c r="G141" s="25">
        <f t="shared" si="2"/>
        <v>90780</v>
      </c>
      <c r="H141" s="25">
        <f t="array" ref="H141">IF(A141=A140,0,SUM(_xlfn._xlws.FILTER(G141:G161,A141:A161=A141)))</f>
        <v>0</v>
      </c>
      <c r="I141" s="25">
        <f t="array" ref="I141">IFERROR(IF(A141=A140,0,SUM(_xlfn._xlws.FILTER(G141:G161,(A141:A161=A141)*(E141:E161&lt;0)))),0)</f>
        <v>0</v>
      </c>
      <c r="J141" s="25">
        <f t="array" ref="J141">IFERROR(IF(A141=A140,0,SUM(_xlfn._xlws.FILTER(G141:G161,(A141:A161=A141)*(E141:E161&gt;0)))),0)</f>
        <v>0</v>
      </c>
      <c r="K141" s="25">
        <f>IF(H141&lt;&gt;0,SUM(H$2:H141),0)</f>
        <v>0</v>
      </c>
      <c r="L141" s="25">
        <f>IF(I141&lt;&gt;0,SUM(I$2:I141),0)</f>
        <v>0</v>
      </c>
      <c r="M141" s="25">
        <f>IF(J141&lt;&gt;0,SUM(J$2:J141),0)</f>
        <v>0</v>
      </c>
    </row>
    <row r="142" spans="1:13" hidden="1" x14ac:dyDescent="0.2">
      <c r="A142" s="1">
        <v>45713</v>
      </c>
      <c r="C142" s="2" t="s">
        <v>116</v>
      </c>
      <c r="D142" s="3">
        <v>800</v>
      </c>
      <c r="E142" s="4">
        <v>-206.18340000000001</v>
      </c>
      <c r="G142" s="25">
        <f t="shared" si="2"/>
        <v>-164946.72</v>
      </c>
      <c r="H142" s="25">
        <f t="array" ref="H142">IF(A142=A141,0,SUM(_xlfn._xlws.FILTER(G142:G162,A142:A162=A142)))</f>
        <v>0</v>
      </c>
      <c r="I142" s="25">
        <f t="array" ref="I142">IFERROR(IF(A142=A141,0,SUM(_xlfn._xlws.FILTER(G142:G162,(A142:A162=A142)*(E142:E162&lt;0)))),0)</f>
        <v>0</v>
      </c>
      <c r="J142" s="25">
        <f t="array" ref="J142">IFERROR(IF(A142=A141,0,SUM(_xlfn._xlws.FILTER(G142:G162,(A142:A162=A142)*(E142:E162&gt;0)))),0)</f>
        <v>0</v>
      </c>
      <c r="K142" s="25">
        <f>IF(H142&lt;&gt;0,SUM(H$2:H142),0)</f>
        <v>0</v>
      </c>
      <c r="L142" s="25">
        <f>IF(I142&lt;&gt;0,SUM(I$2:I142),0)</f>
        <v>0</v>
      </c>
      <c r="M142" s="25">
        <f>IF(J142&lt;&gt;0,SUM(J$2:J142),0)</f>
        <v>0</v>
      </c>
    </row>
    <row r="143" spans="1:13" hidden="1" x14ac:dyDescent="0.2">
      <c r="A143" s="1">
        <v>45713</v>
      </c>
      <c r="C143" s="2" t="s">
        <v>278</v>
      </c>
      <c r="D143" s="3">
        <v>2000</v>
      </c>
      <c r="E143" s="4">
        <v>-400.18029999999999</v>
      </c>
      <c r="G143" s="25">
        <f t="shared" si="2"/>
        <v>-800360.6</v>
      </c>
      <c r="H143" s="25">
        <f t="array" ref="H143">IF(A143=A142,0,SUM(_xlfn._xlws.FILTER(G143:G163,A143:A163=A143)))</f>
        <v>0</v>
      </c>
      <c r="I143" s="25">
        <f t="array" ref="I143">IFERROR(IF(A143=A142,0,SUM(_xlfn._xlws.FILTER(G143:G163,(A143:A163=A143)*(E143:E163&lt;0)))),0)</f>
        <v>0</v>
      </c>
      <c r="J143" s="25">
        <f t="array" ref="J143">IFERROR(IF(A143=A142,0,SUM(_xlfn._xlws.FILTER(G143:G163,(A143:A163=A143)*(E143:E163&gt;0)))),0)</f>
        <v>0</v>
      </c>
      <c r="K143" s="25">
        <f>IF(H143&lt;&gt;0,SUM(H$2:H143),0)</f>
        <v>0</v>
      </c>
      <c r="L143" s="25">
        <f>IF(I143&lt;&gt;0,SUM(I$2:I143),0)</f>
        <v>0</v>
      </c>
      <c r="M143" s="25">
        <f>IF(J143&lt;&gt;0,SUM(J$2:J143),0)</f>
        <v>0</v>
      </c>
    </row>
    <row r="144" spans="1:13" hidden="1" x14ac:dyDescent="0.2">
      <c r="A144" s="5">
        <v>45714</v>
      </c>
      <c r="C144" s="9" t="s">
        <v>90</v>
      </c>
      <c r="D144" s="7">
        <v>300</v>
      </c>
      <c r="E144" s="8">
        <v>-240.34</v>
      </c>
      <c r="G144" s="25">
        <f t="shared" si="2"/>
        <v>-72102</v>
      </c>
      <c r="H144" s="25">
        <f t="array" ref="H144">IF(A144=A143,0,SUM(_xlfn._xlws.FILTER(G144:G164,A144:A164=A144)))</f>
        <v>181614.23199999999</v>
      </c>
      <c r="I144" s="25">
        <f t="array" ref="I144">IFERROR(IF(A144=A143,0,SUM(_xlfn._xlws.FILTER(G144:G164,(A144:A164=A144)*(E144:E164&lt;0)))),0)</f>
        <v>-127002</v>
      </c>
      <c r="J144" s="25">
        <f t="array" ref="J144">IFERROR(IF(A144=A143,0,SUM(_xlfn._xlws.FILTER(G144:G164,(A144:A164=A144)*(E144:E164&gt;0)))),0)</f>
        <v>308616.23199999996</v>
      </c>
      <c r="K144" s="25">
        <f>IF(H144&lt;&gt;0,SUM(H$2:H144),0)</f>
        <v>178892.10263400016</v>
      </c>
      <c r="L144" s="25">
        <f>IF(I144&lt;&gt;0,SUM(I$2:I144),0)</f>
        <v>-5231431.1982659996</v>
      </c>
      <c r="M144" s="25">
        <f>IF(J144&lt;&gt;0,SUM(J$2:J144),0)</f>
        <v>5410323.3008999992</v>
      </c>
    </row>
    <row r="145" spans="1:13" hidden="1" x14ac:dyDescent="0.2">
      <c r="A145" s="5">
        <v>45714</v>
      </c>
      <c r="C145" s="9" t="s">
        <v>134</v>
      </c>
      <c r="D145" s="7">
        <v>15000</v>
      </c>
      <c r="E145" s="8">
        <v>-3.66</v>
      </c>
      <c r="G145" s="25">
        <f t="shared" si="2"/>
        <v>-54900</v>
      </c>
      <c r="H145" s="25">
        <f t="array" ref="H145">IF(A145=A144,0,SUM(_xlfn._xlws.FILTER(G145:G165,A145:A165=A145)))</f>
        <v>0</v>
      </c>
      <c r="I145" s="25">
        <f t="array" ref="I145">IFERROR(IF(A145=A144,0,SUM(_xlfn._xlws.FILTER(G145:G165,(A145:A165=A145)*(E145:E165&lt;0)))),0)</f>
        <v>0</v>
      </c>
      <c r="J145" s="25">
        <f t="array" ref="J145">IFERROR(IF(A145=A144,0,SUM(_xlfn._xlws.FILTER(G145:G165,(A145:A165=A145)*(E145:E165&gt;0)))),0)</f>
        <v>0</v>
      </c>
      <c r="K145" s="25">
        <f>IF(H145&lt;&gt;0,SUM(H$2:H145),0)</f>
        <v>0</v>
      </c>
      <c r="L145" s="25">
        <f>IF(I145&lt;&gt;0,SUM(I$2:I145),0)</f>
        <v>0</v>
      </c>
      <c r="M145" s="25">
        <f>IF(J145&lt;&gt;0,SUM(J$2:J145),0)</f>
        <v>0</v>
      </c>
    </row>
    <row r="146" spans="1:13" hidden="1" x14ac:dyDescent="0.2">
      <c r="A146" s="5">
        <v>45714</v>
      </c>
      <c r="C146" s="9" t="s">
        <v>45</v>
      </c>
      <c r="D146" s="7">
        <v>4000</v>
      </c>
      <c r="E146" s="8">
        <v>20.287958</v>
      </c>
      <c r="G146" s="25">
        <f t="shared" si="2"/>
        <v>81151.831999999995</v>
      </c>
      <c r="H146" s="25">
        <f t="array" ref="H146">IF(A146=A145,0,SUM(_xlfn._xlws.FILTER(G146:G166,A146:A166=A146)))</f>
        <v>0</v>
      </c>
      <c r="I146" s="25">
        <f t="array" ref="I146">IFERROR(IF(A146=A145,0,SUM(_xlfn._xlws.FILTER(G146:G166,(A146:A166=A146)*(E146:E166&lt;0)))),0)</f>
        <v>0</v>
      </c>
      <c r="J146" s="25">
        <f t="array" ref="J146">IFERROR(IF(A146=A145,0,SUM(_xlfn._xlws.FILTER(G146:G166,(A146:A166=A146)*(E146:E166&gt;0)))),0)</f>
        <v>0</v>
      </c>
      <c r="K146" s="25">
        <f>IF(H146&lt;&gt;0,SUM(H$2:H146),0)</f>
        <v>0</v>
      </c>
      <c r="L146" s="25">
        <f>IF(I146&lt;&gt;0,SUM(I$2:I146),0)</f>
        <v>0</v>
      </c>
      <c r="M146" s="25">
        <f>IF(J146&lt;&gt;0,SUM(J$2:J146),0)</f>
        <v>0</v>
      </c>
    </row>
    <row r="147" spans="1:13" hidden="1" x14ac:dyDescent="0.2">
      <c r="A147" s="5">
        <v>45714</v>
      </c>
      <c r="C147" s="9" t="s">
        <v>72</v>
      </c>
      <c r="D147" s="7">
        <v>4000</v>
      </c>
      <c r="E147" s="8">
        <v>30.52</v>
      </c>
      <c r="G147" s="25">
        <f t="shared" si="2"/>
        <v>122080</v>
      </c>
      <c r="H147" s="25">
        <f t="array" ref="H147">IF(A147=A146,0,SUM(_xlfn._xlws.FILTER(G147:G167,A147:A167=A147)))</f>
        <v>0</v>
      </c>
      <c r="I147" s="25">
        <f t="array" ref="I147">IFERROR(IF(A147=A146,0,SUM(_xlfn._xlws.FILTER(G147:G167,(A147:A167=A147)*(E147:E167&lt;0)))),0)</f>
        <v>0</v>
      </c>
      <c r="J147" s="25">
        <f t="array" ref="J147">IFERROR(IF(A147=A146,0,SUM(_xlfn._xlws.FILTER(G147:G167,(A147:A167=A147)*(E147:E167&gt;0)))),0)</f>
        <v>0</v>
      </c>
      <c r="K147" s="25">
        <f>IF(H147&lt;&gt;0,SUM(H$2:H147),0)</f>
        <v>0</v>
      </c>
      <c r="L147" s="25">
        <f>IF(I147&lt;&gt;0,SUM(I$2:I147),0)</f>
        <v>0</v>
      </c>
      <c r="M147" s="25">
        <f>IF(J147&lt;&gt;0,SUM(J$2:J147),0)</f>
        <v>0</v>
      </c>
    </row>
    <row r="148" spans="1:13" hidden="1" x14ac:dyDescent="0.2">
      <c r="A148" s="5">
        <v>45714</v>
      </c>
      <c r="C148" s="9" t="s">
        <v>254</v>
      </c>
      <c r="D148" s="7">
        <v>2990</v>
      </c>
      <c r="E148" s="8">
        <v>12.56</v>
      </c>
      <c r="G148" s="25">
        <f t="shared" si="2"/>
        <v>37554.400000000001</v>
      </c>
      <c r="H148" s="25">
        <f t="array" ref="H148">IF(A148=A147,0,SUM(_xlfn._xlws.FILTER(G148:G168,A148:A168=A148)))</f>
        <v>0</v>
      </c>
      <c r="I148" s="25">
        <f t="array" ref="I148">IFERROR(IF(A148=A147,0,SUM(_xlfn._xlws.FILTER(G148:G168,(A148:A168=A148)*(E148:E168&lt;0)))),0)</f>
        <v>0</v>
      </c>
      <c r="J148" s="25">
        <f t="array" ref="J148">IFERROR(IF(A148=A147,0,SUM(_xlfn._xlws.FILTER(G148:G168,(A148:A168=A148)*(E148:E168&gt;0)))),0)</f>
        <v>0</v>
      </c>
      <c r="K148" s="25">
        <f>IF(H148&lt;&gt;0,SUM(H$2:H148),0)</f>
        <v>0</v>
      </c>
      <c r="L148" s="25">
        <f>IF(I148&lt;&gt;0,SUM(I$2:I148),0)</f>
        <v>0</v>
      </c>
      <c r="M148" s="25">
        <f>IF(J148&lt;&gt;0,SUM(J$2:J148),0)</f>
        <v>0</v>
      </c>
    </row>
    <row r="149" spans="1:13" hidden="1" x14ac:dyDescent="0.2">
      <c r="A149" s="5">
        <v>45714</v>
      </c>
      <c r="C149" s="9" t="s">
        <v>65</v>
      </c>
      <c r="D149" s="7">
        <v>6000</v>
      </c>
      <c r="E149" s="8">
        <v>11.305</v>
      </c>
      <c r="G149" s="25">
        <f t="shared" si="2"/>
        <v>67830</v>
      </c>
      <c r="H149" s="25">
        <f t="array" ref="H149">IF(A149=A148,0,SUM(_xlfn._xlws.FILTER(G149:G169,A149:A169=A149)))</f>
        <v>0</v>
      </c>
      <c r="I149" s="25">
        <f t="array" ref="I149">IFERROR(IF(A149=A148,0,SUM(_xlfn._xlws.FILTER(G149:G169,(A149:A169=A149)*(E149:E169&lt;0)))),0)</f>
        <v>0</v>
      </c>
      <c r="J149" s="25">
        <f t="array" ref="J149">IFERROR(IF(A149=A148,0,SUM(_xlfn._xlws.FILTER(G149:G169,(A149:A169=A149)*(E149:E169&gt;0)))),0)</f>
        <v>0</v>
      </c>
      <c r="K149" s="25">
        <f>IF(H149&lt;&gt;0,SUM(H$2:H149),0)</f>
        <v>0</v>
      </c>
      <c r="L149" s="25">
        <f>IF(I149&lt;&gt;0,SUM(I$2:I149),0)</f>
        <v>0</v>
      </c>
      <c r="M149" s="25">
        <f>IF(J149&lt;&gt;0,SUM(J$2:J149),0)</f>
        <v>0</v>
      </c>
    </row>
    <row r="150" spans="1:13" hidden="1" x14ac:dyDescent="0.2">
      <c r="A150" s="1">
        <v>45715</v>
      </c>
      <c r="C150" s="2" t="s">
        <v>288</v>
      </c>
      <c r="D150" s="3">
        <v>5000</v>
      </c>
      <c r="E150" s="4">
        <v>12.49</v>
      </c>
      <c r="G150" s="25">
        <f t="shared" si="2"/>
        <v>62450</v>
      </c>
      <c r="H150" s="25">
        <f t="array" ref="H150">IF(A150=A149,0,SUM(_xlfn._xlws.FILTER(G150:G170,A150:A170=A150)))</f>
        <v>246702.07050000003</v>
      </c>
      <c r="I150" s="25">
        <f t="array" ref="I150">IFERROR(IF(A150=A149,0,SUM(_xlfn._xlws.FILTER(G150:G170,(A150:A170=A150)*(E150:E170&lt;0)))),0)</f>
        <v>0</v>
      </c>
      <c r="J150" s="25">
        <f t="array" ref="J150">IFERROR(IF(A150=A149,0,SUM(_xlfn._xlws.FILTER(G150:G170,(A150:A170=A150)*(E150:E170&gt;0)))),0)</f>
        <v>246702.07050000003</v>
      </c>
      <c r="K150" s="25">
        <f>IF(H150&lt;&gt;0,SUM(H$2:H150),0)</f>
        <v>425594.17313400016</v>
      </c>
      <c r="L150" s="25">
        <f>IF(I150&lt;&gt;0,SUM(I$2:I150),0)</f>
        <v>0</v>
      </c>
      <c r="M150" s="25">
        <f>IF(J150&lt;&gt;0,SUM(J$2:J150),0)</f>
        <v>5657025.3713999996</v>
      </c>
    </row>
    <row r="151" spans="1:13" hidden="1" x14ac:dyDescent="0.2">
      <c r="A151" s="1">
        <v>45715</v>
      </c>
      <c r="C151" s="2" t="s">
        <v>69</v>
      </c>
      <c r="D151" s="3">
        <v>6000</v>
      </c>
      <c r="E151" s="4">
        <v>11.42</v>
      </c>
      <c r="G151" s="25">
        <f t="shared" si="2"/>
        <v>68520</v>
      </c>
      <c r="H151" s="25">
        <f t="array" ref="H151">IF(A151=A150,0,SUM(_xlfn._xlws.FILTER(G151:G171,A151:A171=A151)))</f>
        <v>0</v>
      </c>
      <c r="I151" s="25">
        <f t="array" ref="I151">IFERROR(IF(A151=A150,0,SUM(_xlfn._xlws.FILTER(G151:G171,(A151:A171=A151)*(E151:E171&lt;0)))),0)</f>
        <v>0</v>
      </c>
      <c r="J151" s="25">
        <f t="array" ref="J151">IFERROR(IF(A151=A150,0,SUM(_xlfn._xlws.FILTER(G151:G171,(A151:A171=A151)*(E151:E171&gt;0)))),0)</f>
        <v>0</v>
      </c>
      <c r="K151" s="25">
        <f>IF(H151&lt;&gt;0,SUM(H$2:H151),0)</f>
        <v>0</v>
      </c>
      <c r="L151" s="25">
        <f>IF(I151&lt;&gt;0,SUM(I$2:I151),0)</f>
        <v>0</v>
      </c>
      <c r="M151" s="25">
        <f>IF(J151&lt;&gt;0,SUM(J$2:J151),0)</f>
        <v>0</v>
      </c>
    </row>
    <row r="152" spans="1:13" hidden="1" x14ac:dyDescent="0.2">
      <c r="A152" s="1">
        <v>45715</v>
      </c>
      <c r="C152" s="2" t="s">
        <v>148</v>
      </c>
      <c r="D152" s="3">
        <v>350</v>
      </c>
      <c r="E152" s="4">
        <v>44.298769999999998</v>
      </c>
      <c r="G152" s="25">
        <f t="shared" si="2"/>
        <v>15504.5695</v>
      </c>
      <c r="H152" s="25">
        <f t="array" ref="H152">IF(A152=A151,0,SUM(_xlfn._xlws.FILTER(G152:G172,A152:A172=A152)))</f>
        <v>0</v>
      </c>
      <c r="I152" s="25">
        <f t="array" ref="I152">IFERROR(IF(A152=A151,0,SUM(_xlfn._xlws.FILTER(G152:G172,(A152:A172=A152)*(E152:E172&lt;0)))),0)</f>
        <v>0</v>
      </c>
      <c r="J152" s="25">
        <f t="array" ref="J152">IFERROR(IF(A152=A151,0,SUM(_xlfn._xlws.FILTER(G152:G172,(A152:A172=A152)*(E152:E172&gt;0)))),0)</f>
        <v>0</v>
      </c>
      <c r="K152" s="25">
        <f>IF(H152&lt;&gt;0,SUM(H$2:H152),0)</f>
        <v>0</v>
      </c>
      <c r="L152" s="25">
        <f>IF(I152&lt;&gt;0,SUM(I$2:I152),0)</f>
        <v>0</v>
      </c>
      <c r="M152" s="25">
        <f>IF(J152&lt;&gt;0,SUM(J$2:J152),0)</f>
        <v>0</v>
      </c>
    </row>
    <row r="153" spans="1:13" hidden="1" x14ac:dyDescent="0.2">
      <c r="A153" s="1">
        <v>45715</v>
      </c>
      <c r="C153" s="2" t="s">
        <v>139</v>
      </c>
      <c r="D153" s="3">
        <v>30000</v>
      </c>
      <c r="E153" s="4">
        <v>334.09167000000002</v>
      </c>
      <c r="G153" s="25">
        <f t="shared" si="2"/>
        <v>100227.50100000002</v>
      </c>
      <c r="H153" s="25">
        <f t="array" ref="H153">IF(A153=A152,0,SUM(_xlfn._xlws.FILTER(G153:G173,A153:A173=A153)))</f>
        <v>0</v>
      </c>
      <c r="I153" s="25">
        <f t="array" ref="I153">IFERROR(IF(A153=A152,0,SUM(_xlfn._xlws.FILTER(G153:G173,(A153:A173=A153)*(E153:E173&lt;0)))),0)</f>
        <v>0</v>
      </c>
      <c r="J153" s="25">
        <f t="array" ref="J153">IFERROR(IF(A153=A152,0,SUM(_xlfn._xlws.FILTER(G153:G173,(A153:A173=A153)*(E153:E173&gt;0)))),0)</f>
        <v>0</v>
      </c>
      <c r="K153" s="25">
        <f>IF(H153&lt;&gt;0,SUM(H$2:H153),0)</f>
        <v>0</v>
      </c>
      <c r="L153" s="25">
        <f>IF(I153&lt;&gt;0,SUM(I$2:I153),0)</f>
        <v>0</v>
      </c>
      <c r="M153" s="25">
        <f>IF(J153&lt;&gt;0,SUM(J$2:J153),0)</f>
        <v>0</v>
      </c>
    </row>
    <row r="154" spans="1:13" hidden="1" x14ac:dyDescent="0.2">
      <c r="A154" s="5">
        <v>45716</v>
      </c>
      <c r="C154" s="9" t="s">
        <v>130</v>
      </c>
      <c r="D154" s="7">
        <v>15000</v>
      </c>
      <c r="E154" s="8">
        <v>-1.2</v>
      </c>
      <c r="G154" s="25">
        <f t="shared" si="2"/>
        <v>-18000</v>
      </c>
      <c r="H154" s="25">
        <f t="array" ref="H154">IF(A154=A153,0,SUM(_xlfn._xlws.FILTER(G154:G174,A154:A174=A154)))</f>
        <v>-41258.44</v>
      </c>
      <c r="I154" s="25">
        <f t="array" ref="I154">IFERROR(IF(A154=A153,0,SUM(_xlfn._xlws.FILTER(G154:G174,(A154:A174=A154)*(E154:E174&lt;0)))),0)</f>
        <v>-140731.39000000001</v>
      </c>
      <c r="J154" s="25">
        <f t="array" ref="J154">IFERROR(IF(A154=A153,0,SUM(_xlfn._xlws.FILTER(G154:G174,(A154:A174=A154)*(E154:E174&gt;0)))),0)</f>
        <v>99472.950000000012</v>
      </c>
      <c r="K154" s="25">
        <f>IF(H154&lt;&gt;0,SUM(H$2:H154),0)</f>
        <v>384335.73313400015</v>
      </c>
      <c r="L154" s="25">
        <f>IF(I154&lt;&gt;0,SUM(I$2:I154),0)</f>
        <v>-5372162.5882659992</v>
      </c>
      <c r="M154" s="25">
        <f>IF(J154&lt;&gt;0,SUM(J$2:J154),0)</f>
        <v>5756498.3213999998</v>
      </c>
    </row>
    <row r="155" spans="1:13" hidden="1" x14ac:dyDescent="0.2">
      <c r="A155" s="5">
        <v>45716</v>
      </c>
      <c r="C155" s="9" t="s">
        <v>139</v>
      </c>
      <c r="D155" s="7">
        <v>10000</v>
      </c>
      <c r="E155" s="8">
        <v>351.42950000000002</v>
      </c>
      <c r="G155" s="25">
        <f t="shared" si="2"/>
        <v>35142.950000000004</v>
      </c>
      <c r="H155" s="25">
        <f t="array" ref="H155">IF(A155=A154,0,SUM(_xlfn._xlws.FILTER(G155:G175,A155:A175=A155)))</f>
        <v>0</v>
      </c>
      <c r="I155" s="25">
        <f t="array" ref="I155">IFERROR(IF(A155=A154,0,SUM(_xlfn._xlws.FILTER(G155:G175,(A155:A175=A155)*(E155:E175&lt;0)))),0)</f>
        <v>0</v>
      </c>
      <c r="J155" s="25">
        <f t="array" ref="J155">IFERROR(IF(A155=A154,0,SUM(_xlfn._xlws.FILTER(G155:G175,(A155:A175=A155)*(E155:E175&gt;0)))),0)</f>
        <v>0</v>
      </c>
      <c r="K155" s="25">
        <f>IF(H155&lt;&gt;0,SUM(H$2:H155),0)</f>
        <v>0</v>
      </c>
      <c r="L155" s="25">
        <f>IF(I155&lt;&gt;0,SUM(I$2:I155),0)</f>
        <v>0</v>
      </c>
      <c r="M155" s="25">
        <f>IF(J155&lt;&gt;0,SUM(J$2:J155),0)</f>
        <v>0</v>
      </c>
    </row>
    <row r="156" spans="1:13" hidden="1" x14ac:dyDescent="0.2">
      <c r="A156" s="5">
        <v>45716</v>
      </c>
      <c r="C156" s="9" t="s">
        <v>219</v>
      </c>
      <c r="D156" s="7">
        <v>20000</v>
      </c>
      <c r="E156" s="8">
        <v>-1.01</v>
      </c>
      <c r="G156" s="25">
        <f t="shared" si="2"/>
        <v>-20200</v>
      </c>
      <c r="H156" s="25">
        <f t="array" ref="H156">IF(A156=A155,0,SUM(_xlfn._xlws.FILTER(G156:G176,A156:A176=A156)))</f>
        <v>0</v>
      </c>
      <c r="I156" s="25">
        <f t="array" ref="I156">IFERROR(IF(A156=A155,0,SUM(_xlfn._xlws.FILTER(G156:G176,(A156:A176=A156)*(E156:E176&lt;0)))),0)</f>
        <v>0</v>
      </c>
      <c r="J156" s="25">
        <f t="array" ref="J156">IFERROR(IF(A156=A155,0,SUM(_xlfn._xlws.FILTER(G156:G176,(A156:A176=A156)*(E156:E176&gt;0)))),0)</f>
        <v>0</v>
      </c>
      <c r="K156" s="25">
        <f>IF(H156&lt;&gt;0,SUM(H$2:H156),0)</f>
        <v>0</v>
      </c>
      <c r="L156" s="25">
        <f>IF(I156&lt;&gt;0,SUM(I$2:I156),0)</f>
        <v>0</v>
      </c>
      <c r="M156" s="25">
        <f>IF(J156&lt;&gt;0,SUM(J$2:J156),0)</f>
        <v>0</v>
      </c>
    </row>
    <row r="157" spans="1:13" hidden="1" x14ac:dyDescent="0.2">
      <c r="A157" s="5">
        <v>45716</v>
      </c>
      <c r="C157" s="9" t="s">
        <v>63</v>
      </c>
      <c r="D157" s="7">
        <v>150</v>
      </c>
      <c r="E157" s="8">
        <v>-683.54259999999999</v>
      </c>
      <c r="G157" s="25">
        <f t="shared" si="2"/>
        <v>-102531.39</v>
      </c>
      <c r="H157" s="25">
        <f t="array" ref="H157">IF(A157=A156,0,SUM(_xlfn._xlws.FILTER(G157:G177,A157:A177=A157)))</f>
        <v>0</v>
      </c>
      <c r="I157" s="25">
        <f t="array" ref="I157">IFERROR(IF(A157=A156,0,SUM(_xlfn._xlws.FILTER(G157:G177,(A157:A177=A157)*(E157:E177&lt;0)))),0)</f>
        <v>0</v>
      </c>
      <c r="J157" s="25">
        <f t="array" ref="J157">IFERROR(IF(A157=A156,0,SUM(_xlfn._xlws.FILTER(G157:G177,(A157:A177=A157)*(E157:E177&gt;0)))),0)</f>
        <v>0</v>
      </c>
      <c r="K157" s="25">
        <f>IF(H157&lt;&gt;0,SUM(H$2:H157),0)</f>
        <v>0</v>
      </c>
      <c r="L157" s="25">
        <f>IF(I157&lt;&gt;0,SUM(I$2:I157),0)</f>
        <v>0</v>
      </c>
      <c r="M157" s="25">
        <f>IF(J157&lt;&gt;0,SUM(J$2:J157),0)</f>
        <v>0</v>
      </c>
    </row>
    <row r="158" spans="1:13" hidden="1" x14ac:dyDescent="0.2">
      <c r="A158" s="5">
        <v>45716</v>
      </c>
      <c r="C158" s="9" t="s">
        <v>39</v>
      </c>
      <c r="D158" s="7">
        <v>1000</v>
      </c>
      <c r="E158" s="8">
        <v>64.33</v>
      </c>
      <c r="G158" s="25">
        <f t="shared" si="2"/>
        <v>64330</v>
      </c>
      <c r="H158" s="25">
        <f t="array" ref="H158">IF(A158=A157,0,SUM(_xlfn._xlws.FILTER(G158:G178,A158:A178=A158)))</f>
        <v>0</v>
      </c>
      <c r="I158" s="25">
        <f t="array" ref="I158">IFERROR(IF(A158=A157,0,SUM(_xlfn._xlws.FILTER(G158:G178,(A158:A178=A158)*(E158:E178&lt;0)))),0)</f>
        <v>0</v>
      </c>
      <c r="J158" s="25">
        <f t="array" ref="J158">IFERROR(IF(A158=A157,0,SUM(_xlfn._xlws.FILTER(G158:G178,(A158:A178=A158)*(E158:E178&gt;0)))),0)</f>
        <v>0</v>
      </c>
      <c r="K158" s="25">
        <f>IF(H158&lt;&gt;0,SUM(H$2:H158),0)</f>
        <v>0</v>
      </c>
      <c r="L158" s="25">
        <f>IF(I158&lt;&gt;0,SUM(I$2:I158),0)</f>
        <v>0</v>
      </c>
      <c r="M158" s="25">
        <f>IF(J158&lt;&gt;0,SUM(J$2:J158),0)</f>
        <v>0</v>
      </c>
    </row>
    <row r="159" spans="1:13" hidden="1" x14ac:dyDescent="0.2">
      <c r="A159" s="1">
        <v>45719</v>
      </c>
      <c r="C159" s="2" t="s">
        <v>139</v>
      </c>
      <c r="D159" s="3">
        <v>20000</v>
      </c>
      <c r="E159" s="4">
        <v>344.03</v>
      </c>
      <c r="G159" s="25">
        <f t="shared" si="2"/>
        <v>68805.999999999985</v>
      </c>
      <c r="H159" s="25">
        <f t="array" ref="H159">IF(A159=A158,0,SUM(_xlfn._xlws.FILTER(G159:G179,A159:A179=A159)))</f>
        <v>186431.2</v>
      </c>
      <c r="I159" s="25">
        <f t="array" ref="I159">IFERROR(IF(A159=A158,0,SUM(_xlfn._xlws.FILTER(G159:G179,(A159:A179=A159)*(E159:E179&lt;0)))),0)</f>
        <v>-164390</v>
      </c>
      <c r="J159" s="25">
        <f t="array" ref="J159">IFERROR(IF(A159=A158,0,SUM(_xlfn._xlws.FILTER(G159:G179,(A159:A179=A159)*(E159:E179&gt;0)))),0)</f>
        <v>350821.2</v>
      </c>
      <c r="K159" s="25">
        <f>IF(H159&lt;&gt;0,SUM(H$2:H159),0)</f>
        <v>570766.93313400017</v>
      </c>
      <c r="L159" s="25">
        <f>IF(I159&lt;&gt;0,SUM(I$2:I159),0)</f>
        <v>-5536552.5882659992</v>
      </c>
      <c r="M159" s="25">
        <f>IF(J159&lt;&gt;0,SUM(J$2:J159),0)</f>
        <v>6107319.5214</v>
      </c>
    </row>
    <row r="160" spans="1:13" hidden="1" x14ac:dyDescent="0.2">
      <c r="A160" s="1">
        <v>45719</v>
      </c>
      <c r="C160" s="2" t="s">
        <v>278</v>
      </c>
      <c r="D160" s="3">
        <v>200</v>
      </c>
      <c r="E160" s="4">
        <v>-395.34</v>
      </c>
      <c r="G160" s="25">
        <f t="shared" si="2"/>
        <v>-79068</v>
      </c>
      <c r="H160" s="25">
        <f t="array" ref="H160">IF(A160=A159,0,SUM(_xlfn._xlws.FILTER(G160:G180,A160:A180=A160)))</f>
        <v>0</v>
      </c>
      <c r="I160" s="25">
        <f t="array" ref="I160">IFERROR(IF(A160=A159,0,SUM(_xlfn._xlws.FILTER(G160:G180,(A160:A180=A160)*(E160:E180&lt;0)))),0)</f>
        <v>0</v>
      </c>
      <c r="J160" s="25">
        <f t="array" ref="J160">IFERROR(IF(A160=A159,0,SUM(_xlfn._xlws.FILTER(G160:G180,(A160:A180=A160)*(E160:E180&gt;0)))),0)</f>
        <v>0</v>
      </c>
      <c r="K160" s="25">
        <f>IF(H160&lt;&gt;0,SUM(H$2:H160),0)</f>
        <v>0</v>
      </c>
      <c r="L160" s="25">
        <f>IF(I160&lt;&gt;0,SUM(I$2:I160),0)</f>
        <v>0</v>
      </c>
      <c r="M160" s="25">
        <f>IF(J160&lt;&gt;0,SUM(J$2:J160),0)</f>
        <v>0</v>
      </c>
    </row>
    <row r="161" spans="1:13" hidden="1" x14ac:dyDescent="0.2">
      <c r="A161" s="1">
        <v>45719</v>
      </c>
      <c r="C161" s="2" t="s">
        <v>303</v>
      </c>
      <c r="D161" s="3">
        <v>200</v>
      </c>
      <c r="E161" s="4">
        <v>982.61</v>
      </c>
      <c r="G161" s="25">
        <f t="shared" si="2"/>
        <v>196522</v>
      </c>
      <c r="H161" s="25">
        <f t="array" ref="H161">IF(A161=A160,0,SUM(_xlfn._xlws.FILTER(G161:G181,A161:A181=A161)))</f>
        <v>0</v>
      </c>
      <c r="I161" s="25">
        <f t="array" ref="I161">IFERROR(IF(A161=A160,0,SUM(_xlfn._xlws.FILTER(G161:G181,(A161:A181=A161)*(E161:E181&lt;0)))),0)</f>
        <v>0</v>
      </c>
      <c r="J161" s="25">
        <f t="array" ref="J161">IFERROR(IF(A161=A160,0,SUM(_xlfn._xlws.FILTER(G161:G181,(A161:A181=A161)*(E161:E181&gt;0)))),0)</f>
        <v>0</v>
      </c>
      <c r="K161" s="25">
        <f>IF(H161&lt;&gt;0,SUM(H$2:H161),0)</f>
        <v>0</v>
      </c>
      <c r="L161" s="25">
        <f>IF(I161&lt;&gt;0,SUM(I$2:I161),0)</f>
        <v>0</v>
      </c>
      <c r="M161" s="25">
        <f>IF(J161&lt;&gt;0,SUM(J$2:J161),0)</f>
        <v>0</v>
      </c>
    </row>
    <row r="162" spans="1:13" hidden="1" x14ac:dyDescent="0.2">
      <c r="A162" s="1">
        <v>45719</v>
      </c>
      <c r="C162" s="2" t="s">
        <v>305</v>
      </c>
      <c r="D162" s="3">
        <v>7000</v>
      </c>
      <c r="E162" s="4">
        <v>-3.78</v>
      </c>
      <c r="G162" s="25">
        <f t="shared" si="2"/>
        <v>-26460</v>
      </c>
      <c r="H162" s="25">
        <f t="array" ref="H162">IF(A162=A161,0,SUM(_xlfn._xlws.FILTER(G162:G182,A162:A182=A162)))</f>
        <v>0</v>
      </c>
      <c r="I162" s="25">
        <f t="array" ref="I162">IFERROR(IF(A162=A161,0,SUM(_xlfn._xlws.FILTER(G162:G182,(A162:A182=A162)*(E162:E182&lt;0)))),0)</f>
        <v>0</v>
      </c>
      <c r="J162" s="25">
        <f t="array" ref="J162">IFERROR(IF(A162=A161,0,SUM(_xlfn._xlws.FILTER(G162:G182,(A162:A182=A162)*(E162:E182&gt;0)))),0)</f>
        <v>0</v>
      </c>
      <c r="K162" s="25">
        <f>IF(H162&lt;&gt;0,SUM(H$2:H162),0)</f>
        <v>0</v>
      </c>
      <c r="L162" s="25">
        <f>IF(I162&lt;&gt;0,SUM(I$2:I162),0)</f>
        <v>0</v>
      </c>
      <c r="M162" s="25">
        <f>IF(J162&lt;&gt;0,SUM(J$2:J162),0)</f>
        <v>0</v>
      </c>
    </row>
    <row r="163" spans="1:13" hidden="1" x14ac:dyDescent="0.2">
      <c r="A163" s="1">
        <v>45719</v>
      </c>
      <c r="C163" s="2" t="s">
        <v>94</v>
      </c>
      <c r="D163" s="3">
        <v>990</v>
      </c>
      <c r="E163" s="4">
        <v>39.68</v>
      </c>
      <c r="G163" s="25">
        <f t="shared" si="2"/>
        <v>39283.199999999997</v>
      </c>
      <c r="H163" s="25">
        <f t="array" ref="H163">IF(A163=A162,0,SUM(_xlfn._xlws.FILTER(G163:G183,A163:A183=A163)))</f>
        <v>0</v>
      </c>
      <c r="I163" s="25">
        <f t="array" ref="I163">IFERROR(IF(A163=A162,0,SUM(_xlfn._xlws.FILTER(G163:G183,(A163:A183=A163)*(E163:E183&lt;0)))),0)</f>
        <v>0</v>
      </c>
      <c r="J163" s="25">
        <f t="array" ref="J163">IFERROR(IF(A163=A162,0,SUM(_xlfn._xlws.FILTER(G163:G183,(A163:A183=A163)*(E163:E183&gt;0)))),0)</f>
        <v>0</v>
      </c>
      <c r="K163" s="25">
        <f>IF(H163&lt;&gt;0,SUM(H$2:H163),0)</f>
        <v>0</v>
      </c>
      <c r="L163" s="25">
        <f>IF(I163&lt;&gt;0,SUM(I$2:I163),0)</f>
        <v>0</v>
      </c>
      <c r="M163" s="25">
        <f>IF(J163&lt;&gt;0,SUM(J$2:J163),0)</f>
        <v>0</v>
      </c>
    </row>
    <row r="164" spans="1:13" hidden="1" x14ac:dyDescent="0.2">
      <c r="A164" s="1">
        <v>45719</v>
      </c>
      <c r="C164" s="2" t="s">
        <v>65</v>
      </c>
      <c r="D164" s="3">
        <v>4000</v>
      </c>
      <c r="E164" s="4">
        <v>11.5525</v>
      </c>
      <c r="G164" s="25">
        <f t="shared" si="2"/>
        <v>46210</v>
      </c>
      <c r="H164" s="25">
        <f t="array" ref="H164">IF(A164=A163,0,SUM(_xlfn._xlws.FILTER(G164:G184,A164:A184=A164)))</f>
        <v>0</v>
      </c>
      <c r="I164" s="25">
        <f t="array" ref="I164">IFERROR(IF(A164=A163,0,SUM(_xlfn._xlws.FILTER(G164:G184,(A164:A184=A164)*(E164:E184&lt;0)))),0)</f>
        <v>0</v>
      </c>
      <c r="J164" s="25">
        <f t="array" ref="J164">IFERROR(IF(A164=A163,0,SUM(_xlfn._xlws.FILTER(G164:G184,(A164:A184=A164)*(E164:E184&gt;0)))),0)</f>
        <v>0</v>
      </c>
      <c r="K164" s="25">
        <f>IF(H164&lt;&gt;0,SUM(H$2:H164),0)</f>
        <v>0</v>
      </c>
      <c r="L164" s="25">
        <f>IF(I164&lt;&gt;0,SUM(I$2:I164),0)</f>
        <v>0</v>
      </c>
      <c r="M164" s="25">
        <f>IF(J164&lt;&gt;0,SUM(J$2:J164),0)</f>
        <v>0</v>
      </c>
    </row>
    <row r="165" spans="1:13" hidden="1" x14ac:dyDescent="0.2">
      <c r="A165" s="1">
        <v>45719</v>
      </c>
      <c r="C165" s="2" t="s">
        <v>49</v>
      </c>
      <c r="D165" s="3">
        <v>20000</v>
      </c>
      <c r="E165" s="4">
        <v>-1.1599999999999999</v>
      </c>
      <c r="G165" s="25">
        <f t="shared" si="2"/>
        <v>-23200</v>
      </c>
      <c r="H165" s="25">
        <f t="array" ref="H165">IF(A165=A164,0,SUM(_xlfn._xlws.FILTER(G165:G185,A165:A185=A165)))</f>
        <v>0</v>
      </c>
      <c r="I165" s="25">
        <f t="array" ref="I165">IFERROR(IF(A165=A164,0,SUM(_xlfn._xlws.FILTER(G165:G185,(A165:A185=A165)*(E165:E185&lt;0)))),0)</f>
        <v>0</v>
      </c>
      <c r="J165" s="25">
        <f t="array" ref="J165">IFERROR(IF(A165=A164,0,SUM(_xlfn._xlws.FILTER(G165:G185,(A165:A185=A165)*(E165:E185&gt;0)))),0)</f>
        <v>0</v>
      </c>
      <c r="K165" s="25">
        <f>IF(H165&lt;&gt;0,SUM(H$2:H165),0)</f>
        <v>0</v>
      </c>
      <c r="L165" s="25">
        <f>IF(I165&lt;&gt;0,SUM(I$2:I165),0)</f>
        <v>0</v>
      </c>
      <c r="M165" s="25">
        <f>IF(J165&lt;&gt;0,SUM(J$2:J165),0)</f>
        <v>0</v>
      </c>
    </row>
    <row r="166" spans="1:13" hidden="1" x14ac:dyDescent="0.2">
      <c r="A166" s="1">
        <v>45719</v>
      </c>
      <c r="C166" s="2" t="s">
        <v>22</v>
      </c>
      <c r="D166" s="3">
        <v>200</v>
      </c>
      <c r="E166" s="4">
        <v>-178.31</v>
      </c>
      <c r="G166" s="25">
        <f t="shared" si="2"/>
        <v>-35662</v>
      </c>
      <c r="H166" s="25">
        <f t="array" ref="H166">IF(A166=A165,0,SUM(_xlfn._xlws.FILTER(G166:G186,A166:A186=A166)))</f>
        <v>0</v>
      </c>
      <c r="I166" s="25">
        <f t="array" ref="I166">IFERROR(IF(A166=A165,0,SUM(_xlfn._xlws.FILTER(G166:G186,(A166:A186=A166)*(E166:E186&lt;0)))),0)</f>
        <v>0</v>
      </c>
      <c r="J166" s="25">
        <f t="array" ref="J166">IFERROR(IF(A166=A165,0,SUM(_xlfn._xlws.FILTER(G166:G186,(A166:A186=A166)*(E166:E186&gt;0)))),0)</f>
        <v>0</v>
      </c>
      <c r="K166" s="25">
        <f>IF(H166&lt;&gt;0,SUM(H$2:H166),0)</f>
        <v>0</v>
      </c>
      <c r="L166" s="25">
        <f>IF(I166&lt;&gt;0,SUM(I$2:I166),0)</f>
        <v>0</v>
      </c>
      <c r="M166" s="25">
        <f>IF(J166&lt;&gt;0,SUM(J$2:J166),0)</f>
        <v>0</v>
      </c>
    </row>
    <row r="167" spans="1:13" hidden="1" x14ac:dyDescent="0.2">
      <c r="A167" s="5">
        <v>45722</v>
      </c>
      <c r="C167" s="9" t="s">
        <v>34</v>
      </c>
      <c r="D167" s="7">
        <v>800</v>
      </c>
      <c r="E167" s="8">
        <v>-77.67</v>
      </c>
      <c r="G167" s="25">
        <f t="shared" si="2"/>
        <v>-62136</v>
      </c>
      <c r="H167" s="25">
        <f t="array" ref="H167">IF(A167=A166,0,SUM(_xlfn._xlws.FILTER(G167:G187,A167:A187=A167)))</f>
        <v>-62136</v>
      </c>
      <c r="I167" s="25">
        <f t="array" ref="I167">IFERROR(IF(A167=A166,0,SUM(_xlfn._xlws.FILTER(G167:G187,(A167:A187=A167)*(E167:E187&lt;0)))),0)</f>
        <v>-62136</v>
      </c>
      <c r="J167" s="25">
        <f t="array" ref="J167">IFERROR(IF(A167=A166,0,SUM(_xlfn._xlws.FILTER(G167:G187,(A167:A187=A167)*(E167:E187&gt;0)))),0)</f>
        <v>0</v>
      </c>
      <c r="K167" s="25">
        <f>IF(H167&lt;&gt;0,SUM(H$2:H167),0)</f>
        <v>508630.93313400017</v>
      </c>
      <c r="L167" s="25">
        <f>IF(I167&lt;&gt;0,SUM(I$2:I167),0)</f>
        <v>-5598688.5882659992</v>
      </c>
      <c r="M167" s="25">
        <f>IF(J167&lt;&gt;0,SUM(J$2:J167),0)</f>
        <v>0</v>
      </c>
    </row>
    <row r="168" spans="1:13" hidden="1" x14ac:dyDescent="0.2">
      <c r="A168" s="1">
        <v>45723</v>
      </c>
      <c r="C168" s="2" t="s">
        <v>45</v>
      </c>
      <c r="D168" s="3">
        <v>2000</v>
      </c>
      <c r="E168" s="4">
        <v>-15.76</v>
      </c>
      <c r="G168" s="25">
        <f t="shared" si="2"/>
        <v>-31520</v>
      </c>
      <c r="H168" s="25">
        <f t="array" ref="H168">IF(A168=A167,0,SUM(_xlfn._xlws.FILTER(G168:G188,A168:A188=A168)))</f>
        <v>-31520</v>
      </c>
      <c r="I168" s="25">
        <f t="array" ref="I168">IFERROR(IF(A168=A167,0,SUM(_xlfn._xlws.FILTER(G168:G188,(A168:A188=A168)*(E168:E188&lt;0)))),0)</f>
        <v>-31520</v>
      </c>
      <c r="J168" s="25">
        <f t="array" ref="J168">IFERROR(IF(A168=A167,0,SUM(_xlfn._xlws.FILTER(G168:G188,(A168:A188=A168)*(E168:E188&gt;0)))),0)</f>
        <v>0</v>
      </c>
      <c r="K168" s="25">
        <f>IF(H168&lt;&gt;0,SUM(H$2:H168),0)</f>
        <v>477110.93313400017</v>
      </c>
      <c r="L168" s="25">
        <f>IF(I168&lt;&gt;0,SUM(I$2:I168),0)</f>
        <v>-5630208.5882659992</v>
      </c>
      <c r="M168" s="25">
        <f>IF(J168&lt;&gt;0,SUM(J$2:J168),0)</f>
        <v>0</v>
      </c>
    </row>
    <row r="169" spans="1:13" hidden="1" x14ac:dyDescent="0.2">
      <c r="A169" s="5">
        <v>45726</v>
      </c>
      <c r="C169" s="9" t="s">
        <v>19</v>
      </c>
      <c r="D169" s="7">
        <v>300</v>
      </c>
      <c r="E169" s="8">
        <v>-632.79999999999995</v>
      </c>
      <c r="G169" s="25">
        <f t="shared" si="2"/>
        <v>-189840</v>
      </c>
      <c r="H169" s="25">
        <f t="array" ref="H169">IF(A169=A168,0,SUM(_xlfn._xlws.FILTER(G169:G189,A169:A189=A169)))</f>
        <v>-304395.5</v>
      </c>
      <c r="I169" s="25">
        <f t="array" ref="I169">IFERROR(IF(A169=A168,0,SUM(_xlfn._xlws.FILTER(G169:G189,(A169:A189=A169)*(E169:E189&lt;0)))),0)</f>
        <v>-363629</v>
      </c>
      <c r="J169" s="25">
        <f t="array" ref="J169">IFERROR(IF(A169=A168,0,SUM(_xlfn._xlws.FILTER(G169:G189,(A169:A189=A169)*(E169:E189&gt;0)))),0)</f>
        <v>59233.5</v>
      </c>
      <c r="K169" s="25">
        <f>IF(H169&lt;&gt;0,SUM(H$2:H169),0)</f>
        <v>172715.43313400017</v>
      </c>
      <c r="L169" s="25">
        <f>IF(I169&lt;&gt;0,SUM(I$2:I169),0)</f>
        <v>-5993837.5882659992</v>
      </c>
      <c r="M169" s="25">
        <f>IF(J169&lt;&gt;0,SUM(J$2:J169),0)</f>
        <v>6166553.0214</v>
      </c>
    </row>
    <row r="170" spans="1:13" hidden="1" x14ac:dyDescent="0.2">
      <c r="A170" s="5">
        <v>45726</v>
      </c>
      <c r="C170" s="9" t="s">
        <v>139</v>
      </c>
      <c r="D170" s="7">
        <v>20000</v>
      </c>
      <c r="E170" s="8">
        <v>-319.60000000000002</v>
      </c>
      <c r="G170" s="25">
        <f t="shared" si="2"/>
        <v>-63920</v>
      </c>
      <c r="H170" s="25">
        <f t="array" ref="H170">IF(A170=A169,0,SUM(_xlfn._xlws.FILTER(G170:G190,A170:A190=A170)))</f>
        <v>0</v>
      </c>
      <c r="I170" s="25">
        <f t="array" ref="I170">IFERROR(IF(A170=A169,0,SUM(_xlfn._xlws.FILTER(G170:G190,(A170:A190=A170)*(E170:E190&lt;0)))),0)</f>
        <v>0</v>
      </c>
      <c r="J170" s="25">
        <f t="array" ref="J170">IFERROR(IF(A170=A169,0,SUM(_xlfn._xlws.FILTER(G170:G190,(A170:A190=A170)*(E170:E190&gt;0)))),0)</f>
        <v>0</v>
      </c>
      <c r="K170" s="25">
        <f>IF(H170&lt;&gt;0,SUM(H$2:H170),0)</f>
        <v>0</v>
      </c>
      <c r="L170" s="25">
        <f>IF(I170&lt;&gt;0,SUM(I$2:I170),0)</f>
        <v>0</v>
      </c>
      <c r="M170" s="25">
        <f>IF(J170&lt;&gt;0,SUM(J$2:J170),0)</f>
        <v>0</v>
      </c>
    </row>
    <row r="171" spans="1:13" hidden="1" x14ac:dyDescent="0.2">
      <c r="A171" s="5">
        <v>45726</v>
      </c>
      <c r="C171" s="9" t="s">
        <v>69</v>
      </c>
      <c r="D171" s="7">
        <v>5000</v>
      </c>
      <c r="E171" s="8">
        <v>11.8467</v>
      </c>
      <c r="G171" s="25">
        <f t="shared" si="2"/>
        <v>59233.5</v>
      </c>
      <c r="H171" s="25">
        <f t="array" ref="H171">IF(A171=A170,0,SUM(_xlfn._xlws.FILTER(G171:G191,A171:A191=A171)))</f>
        <v>0</v>
      </c>
      <c r="I171" s="25">
        <f t="array" ref="I171">IFERROR(IF(A171=A170,0,SUM(_xlfn._xlws.FILTER(G171:G191,(A171:A191=A171)*(E171:E191&lt;0)))),0)</f>
        <v>0</v>
      </c>
      <c r="J171" s="25">
        <f t="array" ref="J171">IFERROR(IF(A171=A170,0,SUM(_xlfn._xlws.FILTER(G171:G191,(A171:A191=A171)*(E171:E191&gt;0)))),0)</f>
        <v>0</v>
      </c>
      <c r="K171" s="25">
        <f>IF(H171&lt;&gt;0,SUM(H$2:H171),0)</f>
        <v>0</v>
      </c>
      <c r="L171" s="25">
        <f>IF(I171&lt;&gt;0,SUM(I$2:I171),0)</f>
        <v>0</v>
      </c>
      <c r="M171" s="25">
        <f>IF(J171&lt;&gt;0,SUM(J$2:J171),0)</f>
        <v>0</v>
      </c>
    </row>
    <row r="172" spans="1:13" hidden="1" x14ac:dyDescent="0.2">
      <c r="A172" s="5">
        <v>45726</v>
      </c>
      <c r="C172" s="9" t="s">
        <v>320</v>
      </c>
      <c r="D172" s="7">
        <v>1000</v>
      </c>
      <c r="E172" s="8">
        <v>-61.496499999999997</v>
      </c>
      <c r="G172" s="25">
        <f t="shared" si="2"/>
        <v>-61496.5</v>
      </c>
      <c r="H172" s="25">
        <f t="array" ref="H172">IF(A172=A171,0,SUM(_xlfn._xlws.FILTER(G172:G192,A172:A192=A172)))</f>
        <v>0</v>
      </c>
      <c r="I172" s="25">
        <f t="array" ref="I172">IFERROR(IF(A172=A171,0,SUM(_xlfn._xlws.FILTER(G172:G192,(A172:A192=A172)*(E172:E192&lt;0)))),0)</f>
        <v>0</v>
      </c>
      <c r="J172" s="25">
        <f t="array" ref="J172">IFERROR(IF(A172=A171,0,SUM(_xlfn._xlws.FILTER(G172:G192,(A172:A192=A172)*(E172:E192&gt;0)))),0)</f>
        <v>0</v>
      </c>
      <c r="K172" s="25">
        <f>IF(H172&lt;&gt;0,SUM(H$2:H172),0)</f>
        <v>0</v>
      </c>
      <c r="L172" s="25">
        <f>IF(I172&lt;&gt;0,SUM(I$2:I172),0)</f>
        <v>0</v>
      </c>
      <c r="M172" s="25">
        <f>IF(J172&lt;&gt;0,SUM(J$2:J172),0)</f>
        <v>0</v>
      </c>
    </row>
    <row r="173" spans="1:13" hidden="1" x14ac:dyDescent="0.2">
      <c r="A173" s="5">
        <v>45726</v>
      </c>
      <c r="C173" s="9" t="s">
        <v>109</v>
      </c>
      <c r="D173" s="7">
        <v>250</v>
      </c>
      <c r="E173" s="8">
        <v>-193.49</v>
      </c>
      <c r="G173" s="25">
        <f t="shared" si="2"/>
        <v>-48372.5</v>
      </c>
      <c r="H173" s="25">
        <f t="array" ref="H173">IF(A173=A172,0,SUM(_xlfn._xlws.FILTER(G173:G193,A173:A193=A173)))</f>
        <v>0</v>
      </c>
      <c r="I173" s="25">
        <f t="array" ref="I173">IFERROR(IF(A173=A172,0,SUM(_xlfn._xlws.FILTER(G173:G193,(A173:A193=A173)*(E173:E193&lt;0)))),0)</f>
        <v>0</v>
      </c>
      <c r="J173" s="25">
        <f t="array" ref="J173">IFERROR(IF(A173=A172,0,SUM(_xlfn._xlws.FILTER(G173:G193,(A173:A193=A173)*(E173:E193&gt;0)))),0)</f>
        <v>0</v>
      </c>
      <c r="K173" s="25">
        <f>IF(H173&lt;&gt;0,SUM(H$2:H173),0)</f>
        <v>0</v>
      </c>
      <c r="L173" s="25">
        <f>IF(I173&lt;&gt;0,SUM(I$2:I173),0)</f>
        <v>0</v>
      </c>
      <c r="M173" s="25">
        <f>IF(J173&lt;&gt;0,SUM(J$2:J173),0)</f>
        <v>0</v>
      </c>
    </row>
    <row r="174" spans="1:13" hidden="1" x14ac:dyDescent="0.2">
      <c r="A174" s="5">
        <v>45730</v>
      </c>
      <c r="C174" s="2" t="s">
        <v>139</v>
      </c>
      <c r="D174" s="3">
        <v>20000</v>
      </c>
      <c r="E174" s="4">
        <v>287.7</v>
      </c>
      <c r="G174" s="25">
        <f t="shared" si="2"/>
        <v>57540</v>
      </c>
      <c r="H174" s="25">
        <f t="array" ref="H174">IF(A174=A173,0,SUM(_xlfn._xlws.FILTER(G174:G194,A174:A194=A174)))</f>
        <v>-4764.0779999999941</v>
      </c>
      <c r="I174" s="25">
        <f t="array" ref="I174">IFERROR(IF(A174=A173,0,SUM(_xlfn._xlws.FILTER(G174:G194,(A174:A194=A174)*(E174:E194&lt;0)))),0)</f>
        <v>-242213.07799999998</v>
      </c>
      <c r="J174" s="25">
        <f t="array" ref="J174">IFERROR(IF(A174=A173,0,SUM(_xlfn._xlws.FILTER(G174:G194,(A174:A194=A174)*(E174:E194&gt;0)))),0)</f>
        <v>237449</v>
      </c>
      <c r="K174" s="25">
        <f>IF(H174&lt;&gt;0,SUM(H$2:H174),0)</f>
        <v>167951.35513400019</v>
      </c>
      <c r="L174" s="25">
        <f>IF(I174&lt;&gt;0,SUM(I$2:I174),0)</f>
        <v>-6236050.666265999</v>
      </c>
      <c r="M174" s="25">
        <f>IF(J174&lt;&gt;0,SUM(J$2:J174),0)</f>
        <v>6404002.0214</v>
      </c>
    </row>
    <row r="175" spans="1:13" hidden="1" x14ac:dyDescent="0.2">
      <c r="A175" s="1">
        <v>45730</v>
      </c>
      <c r="C175" s="2" t="s">
        <v>43</v>
      </c>
      <c r="D175" s="3">
        <v>2000</v>
      </c>
      <c r="E175" s="4">
        <v>4.9000000000000004</v>
      </c>
      <c r="G175" s="25">
        <f t="shared" si="2"/>
        <v>9800</v>
      </c>
      <c r="H175" s="25">
        <f t="array" ref="H175">IF(A175=A174,0,SUM(_xlfn._xlws.FILTER(G175:G195,A175:A195=A175)))</f>
        <v>0</v>
      </c>
      <c r="I175" s="25">
        <f t="array" ref="I175">IFERROR(IF(A175=A174,0,SUM(_xlfn._xlws.FILTER(G175:G195,(A175:A195=A175)*(E175:E195&lt;0)))),0)</f>
        <v>0</v>
      </c>
      <c r="J175" s="25">
        <f t="array" ref="J175">IFERROR(IF(A175=A174,0,SUM(_xlfn._xlws.FILTER(G175:G195,(A175:A195=A175)*(E175:E195&gt;0)))),0)</f>
        <v>0</v>
      </c>
      <c r="K175" s="25">
        <f>IF(H175&lt;&gt;0,SUM(H$2:H175),0)</f>
        <v>0</v>
      </c>
      <c r="L175" s="25">
        <f>IF(I175&lt;&gt;0,SUM(I$2:I175),0)</f>
        <v>0</v>
      </c>
      <c r="M175" s="25">
        <f>IF(J175&lt;&gt;0,SUM(J$2:J175),0)</f>
        <v>0</v>
      </c>
    </row>
    <row r="176" spans="1:13" hidden="1" x14ac:dyDescent="0.2">
      <c r="A176" s="1">
        <v>45730</v>
      </c>
      <c r="C176" s="2" t="s">
        <v>25</v>
      </c>
      <c r="D176" s="3">
        <v>1000</v>
      </c>
      <c r="E176" s="4">
        <v>73.358999999999995</v>
      </c>
      <c r="G176" s="25">
        <f t="shared" si="2"/>
        <v>73359</v>
      </c>
      <c r="H176" s="25">
        <f t="array" ref="H176">IF(A176=A175,0,SUM(_xlfn._xlws.FILTER(G176:G196,A176:A196=A176)))</f>
        <v>0</v>
      </c>
      <c r="I176" s="25">
        <f t="array" ref="I176">IFERROR(IF(A176=A175,0,SUM(_xlfn._xlws.FILTER(G176:G196,(A176:A196=A176)*(E176:E196&lt;0)))),0)</f>
        <v>0</v>
      </c>
      <c r="J176" s="25">
        <f t="array" ref="J176">IFERROR(IF(A176=A175,0,SUM(_xlfn._xlws.FILTER(G176:G196,(A176:A196=A176)*(E176:E196&gt;0)))),0)</f>
        <v>0</v>
      </c>
      <c r="K176" s="25">
        <f>IF(H176&lt;&gt;0,SUM(H$2:H176),0)</f>
        <v>0</v>
      </c>
      <c r="L176" s="25">
        <f>IF(I176&lt;&gt;0,SUM(I$2:I176),0)</f>
        <v>0</v>
      </c>
      <c r="M176" s="25">
        <f>IF(J176&lt;&gt;0,SUM(J$2:J176),0)</f>
        <v>0</v>
      </c>
    </row>
    <row r="177" spans="1:13" hidden="1" x14ac:dyDescent="0.2">
      <c r="A177" s="1">
        <v>45730</v>
      </c>
      <c r="C177" s="2" t="s">
        <v>327</v>
      </c>
      <c r="D177" s="3">
        <v>18000</v>
      </c>
      <c r="E177" s="4">
        <v>-4.97</v>
      </c>
      <c r="G177" s="25">
        <f t="shared" si="2"/>
        <v>-89460</v>
      </c>
      <c r="H177" s="25">
        <f t="array" ref="H177">IF(A177=A176,0,SUM(_xlfn._xlws.FILTER(G177:G197,A177:A197=A177)))</f>
        <v>0</v>
      </c>
      <c r="I177" s="25">
        <f t="array" ref="I177">IFERROR(IF(A177=A176,0,SUM(_xlfn._xlws.FILTER(G177:G197,(A177:A197=A177)*(E177:E197&lt;0)))),0)</f>
        <v>0</v>
      </c>
      <c r="J177" s="25">
        <f t="array" ref="J177">IFERROR(IF(A177=A176,0,SUM(_xlfn._xlws.FILTER(G177:G197,(A177:A197=A177)*(E177:E197&gt;0)))),0)</f>
        <v>0</v>
      </c>
      <c r="K177" s="25">
        <f>IF(H177&lt;&gt;0,SUM(H$2:H177),0)</f>
        <v>0</v>
      </c>
      <c r="L177" s="25">
        <f>IF(I177&lt;&gt;0,SUM(I$2:I177),0)</f>
        <v>0</v>
      </c>
      <c r="M177" s="25">
        <f>IF(J177&lt;&gt;0,SUM(J$2:J177),0)</f>
        <v>0</v>
      </c>
    </row>
    <row r="178" spans="1:13" hidden="1" x14ac:dyDescent="0.2">
      <c r="A178" s="1">
        <v>45730</v>
      </c>
      <c r="C178" s="2" t="s">
        <v>49</v>
      </c>
      <c r="D178" s="3">
        <v>15000</v>
      </c>
      <c r="E178" s="4">
        <v>-0.91</v>
      </c>
      <c r="G178" s="25">
        <f t="shared" si="2"/>
        <v>-13650</v>
      </c>
      <c r="H178" s="25">
        <f t="array" ref="H178">IF(A178=A177,0,SUM(_xlfn._xlws.FILTER(G178:G198,A178:A198=A178)))</f>
        <v>0</v>
      </c>
      <c r="I178" s="25">
        <f t="array" ref="I178">IFERROR(IF(A178=A177,0,SUM(_xlfn._xlws.FILTER(G178:G198,(A178:A198=A178)*(E178:E198&lt;0)))),0)</f>
        <v>0</v>
      </c>
      <c r="J178" s="25">
        <f t="array" ref="J178">IFERROR(IF(A178=A177,0,SUM(_xlfn._xlws.FILTER(G178:G198,(A178:A198=A178)*(E178:E198&gt;0)))),0)</f>
        <v>0</v>
      </c>
      <c r="K178" s="25">
        <f>IF(H178&lt;&gt;0,SUM(H$2:H178),0)</f>
        <v>0</v>
      </c>
      <c r="L178" s="25">
        <f>IF(I178&lt;&gt;0,SUM(I$2:I178),0)</f>
        <v>0</v>
      </c>
      <c r="M178" s="25">
        <f>IF(J178&lt;&gt;0,SUM(J$2:J178),0)</f>
        <v>0</v>
      </c>
    </row>
    <row r="179" spans="1:13" hidden="1" x14ac:dyDescent="0.2">
      <c r="A179" s="1">
        <v>45730</v>
      </c>
      <c r="C179" s="2" t="s">
        <v>22</v>
      </c>
      <c r="D179" s="3">
        <v>450</v>
      </c>
      <c r="E179" s="4">
        <v>-193.52683999999999</v>
      </c>
      <c r="G179" s="25">
        <f t="shared" si="2"/>
        <v>-87087.077999999994</v>
      </c>
      <c r="H179" s="25">
        <f t="array" ref="H179">IF(A179=A178,0,SUM(_xlfn._xlws.FILTER(G179:G199,A179:A199=A179)))</f>
        <v>0</v>
      </c>
      <c r="I179" s="25">
        <f t="array" ref="I179">IFERROR(IF(A179=A178,0,SUM(_xlfn._xlws.FILTER(G179:G199,(A179:A199=A179)*(E179:E199&lt;0)))),0)</f>
        <v>0</v>
      </c>
      <c r="J179" s="25">
        <f t="array" ref="J179">IFERROR(IF(A179=A178,0,SUM(_xlfn._xlws.FILTER(G179:G199,(A179:A199=A179)*(E179:E199&gt;0)))),0)</f>
        <v>0</v>
      </c>
      <c r="K179" s="25">
        <f>IF(H179&lt;&gt;0,SUM(H$2:H179),0)</f>
        <v>0</v>
      </c>
      <c r="L179" s="25">
        <f>IF(I179&lt;&gt;0,SUM(I$2:I179),0)</f>
        <v>0</v>
      </c>
      <c r="M179" s="25">
        <f>IF(J179&lt;&gt;0,SUM(J$2:J179),0)</f>
        <v>0</v>
      </c>
    </row>
    <row r="180" spans="1:13" hidden="1" x14ac:dyDescent="0.2">
      <c r="A180" s="1">
        <v>45730</v>
      </c>
      <c r="C180" s="2" t="s">
        <v>125</v>
      </c>
      <c r="D180" s="3">
        <v>400</v>
      </c>
      <c r="E180" s="4">
        <v>-130.04</v>
      </c>
      <c r="G180" s="25">
        <f t="shared" si="2"/>
        <v>-52016</v>
      </c>
      <c r="H180" s="25">
        <f t="array" ref="H180">IF(A180=A179,0,SUM(_xlfn._xlws.FILTER(G180:G200,A180:A200=A180)))</f>
        <v>0</v>
      </c>
      <c r="I180" s="25">
        <f t="array" ref="I180">IFERROR(IF(A180=A179,0,SUM(_xlfn._xlws.FILTER(G180:G200,(A180:A200=A180)*(E180:E200&lt;0)))),0)</f>
        <v>0</v>
      </c>
      <c r="J180" s="25">
        <f t="array" ref="J180">IFERROR(IF(A180=A179,0,SUM(_xlfn._xlws.FILTER(G180:G200,(A180:A200=A180)*(E180:E200&gt;0)))),0)</f>
        <v>0</v>
      </c>
      <c r="K180" s="25">
        <f>IF(H180&lt;&gt;0,SUM(H$2:H180),0)</f>
        <v>0</v>
      </c>
      <c r="L180" s="25">
        <f>IF(I180&lt;&gt;0,SUM(I$2:I180),0)</f>
        <v>0</v>
      </c>
      <c r="M180" s="25">
        <f>IF(J180&lt;&gt;0,SUM(J$2:J180),0)</f>
        <v>0</v>
      </c>
    </row>
    <row r="181" spans="1:13" hidden="1" x14ac:dyDescent="0.2">
      <c r="A181" s="1">
        <v>45730</v>
      </c>
      <c r="C181" s="2" t="s">
        <v>230</v>
      </c>
      <c r="D181" s="3">
        <v>10000</v>
      </c>
      <c r="E181" s="4">
        <v>9.6750000000000007</v>
      </c>
      <c r="G181" s="25">
        <f t="shared" si="2"/>
        <v>96750</v>
      </c>
      <c r="H181" s="25">
        <f t="array" ref="H181">IF(A181=A180,0,SUM(_xlfn._xlws.FILTER(G181:G201,A181:A201=A181)))</f>
        <v>0</v>
      </c>
      <c r="I181" s="25">
        <f t="array" ref="I181">IFERROR(IF(A181=A180,0,SUM(_xlfn._xlws.FILTER(G181:G201,(A181:A201=A181)*(E181:E201&lt;0)))),0)</f>
        <v>0</v>
      </c>
      <c r="J181" s="25">
        <f t="array" ref="J181">IFERROR(IF(A181=A180,0,SUM(_xlfn._xlws.FILTER(G181:G201,(A181:A201=A181)*(E181:E201&gt;0)))),0)</f>
        <v>0</v>
      </c>
      <c r="K181" s="25">
        <f>IF(H181&lt;&gt;0,SUM(H$2:H181),0)</f>
        <v>0</v>
      </c>
      <c r="L181" s="25">
        <f>IF(I181&lt;&gt;0,SUM(I$2:I181),0)</f>
        <v>0</v>
      </c>
      <c r="M181" s="25">
        <f>IF(J181&lt;&gt;0,SUM(J$2:J181),0)</f>
        <v>0</v>
      </c>
    </row>
    <row r="182" spans="1:13" hidden="1" x14ac:dyDescent="0.2">
      <c r="A182" s="5">
        <v>45733</v>
      </c>
      <c r="C182" s="9" t="s">
        <v>155</v>
      </c>
      <c r="D182" s="7">
        <v>7000</v>
      </c>
      <c r="E182" s="8">
        <v>13.14</v>
      </c>
      <c r="G182" s="25">
        <f t="shared" si="2"/>
        <v>91980</v>
      </c>
      <c r="H182" s="25">
        <f t="array" ref="H182">IF(A182=A181,0,SUM(_xlfn._xlws.FILTER(G182:G202,A182:A202=A182)))</f>
        <v>-22542.5</v>
      </c>
      <c r="I182" s="25">
        <f t="array" ref="I182">IFERROR(IF(A182=A181,0,SUM(_xlfn._xlws.FILTER(G182:G202,(A182:A202=A182)*(E182:E202&lt;0)))),0)</f>
        <v>-114522.5</v>
      </c>
      <c r="J182" s="25">
        <f t="array" ref="J182">IFERROR(IF(A182=A181,0,SUM(_xlfn._xlws.FILTER(G182:G202,(A182:A202=A182)*(E182:E202&gt;0)))),0)</f>
        <v>91980</v>
      </c>
      <c r="K182" s="25">
        <f>IF(H182&lt;&gt;0,SUM(H$2:H182),0)</f>
        <v>145408.85513400019</v>
      </c>
      <c r="L182" s="25">
        <f>IF(I182&lt;&gt;0,SUM(I$2:I182),0)</f>
        <v>-6350573.166265999</v>
      </c>
      <c r="M182" s="25">
        <f>IF(J182&lt;&gt;0,SUM(J$2:J182),0)</f>
        <v>6495982.0214</v>
      </c>
    </row>
    <row r="183" spans="1:13" hidden="1" x14ac:dyDescent="0.2">
      <c r="A183" s="5">
        <v>45733</v>
      </c>
      <c r="C183" s="9" t="s">
        <v>119</v>
      </c>
      <c r="D183" s="7">
        <v>25000</v>
      </c>
      <c r="E183" s="8">
        <v>-2.6913</v>
      </c>
      <c r="G183" s="25">
        <f t="shared" si="2"/>
        <v>-67282.5</v>
      </c>
      <c r="H183" s="25">
        <f t="array" ref="H183">IF(A183=A182,0,SUM(_xlfn._xlws.FILTER(G183:G203,A183:A203=A183)))</f>
        <v>0</v>
      </c>
      <c r="I183" s="25">
        <f t="array" ref="I183">IFERROR(IF(A183=A182,0,SUM(_xlfn._xlws.FILTER(G183:G203,(A183:A203=A183)*(E183:E203&lt;0)))),0)</f>
        <v>0</v>
      </c>
      <c r="J183" s="25">
        <f t="array" ref="J183">IFERROR(IF(A183=A182,0,SUM(_xlfn._xlws.FILTER(G183:G203,(A183:A203=A183)*(E183:E203&gt;0)))),0)</f>
        <v>0</v>
      </c>
      <c r="K183" s="25">
        <f>IF(H183&lt;&gt;0,SUM(H$2:H183),0)</f>
        <v>0</v>
      </c>
      <c r="L183" s="25">
        <f>IF(I183&lt;&gt;0,SUM(I$2:I183),0)</f>
        <v>0</v>
      </c>
      <c r="M183" s="25">
        <f>IF(J183&lt;&gt;0,SUM(J$2:J183),0)</f>
        <v>0</v>
      </c>
    </row>
    <row r="184" spans="1:13" hidden="1" x14ac:dyDescent="0.2">
      <c r="A184" s="5">
        <v>45733</v>
      </c>
      <c r="C184" s="9" t="s">
        <v>171</v>
      </c>
      <c r="D184" s="7">
        <v>1000</v>
      </c>
      <c r="E184" s="8">
        <v>-47.24</v>
      </c>
      <c r="G184" s="25">
        <f t="shared" si="2"/>
        <v>-47240</v>
      </c>
      <c r="H184" s="25">
        <f t="array" ref="H184">IF(A184=A183,0,SUM(_xlfn._xlws.FILTER(G184:G204,A184:A204=A184)))</f>
        <v>0</v>
      </c>
      <c r="I184" s="25">
        <f t="array" ref="I184">IFERROR(IF(A184=A183,0,SUM(_xlfn._xlws.FILTER(G184:G204,(A184:A204=A184)*(E184:E204&lt;0)))),0)</f>
        <v>0</v>
      </c>
      <c r="J184" s="25">
        <f t="array" ref="J184">IFERROR(IF(A184=A183,0,SUM(_xlfn._xlws.FILTER(G184:G204,(A184:A204=A184)*(E184:E204&gt;0)))),0)</f>
        <v>0</v>
      </c>
      <c r="K184" s="25">
        <f>IF(H184&lt;&gt;0,SUM(H$2:H184),0)</f>
        <v>0</v>
      </c>
      <c r="L184" s="25">
        <f>IF(I184&lt;&gt;0,SUM(I$2:I184),0)</f>
        <v>0</v>
      </c>
      <c r="M184" s="25">
        <f>IF(J184&lt;&gt;0,SUM(J$2:J184),0)</f>
        <v>0</v>
      </c>
    </row>
    <row r="185" spans="1:13" hidden="1" x14ac:dyDescent="0.2">
      <c r="A185" s="1">
        <v>45734</v>
      </c>
      <c r="C185" s="2" t="s">
        <v>130</v>
      </c>
      <c r="D185" s="3">
        <v>15000</v>
      </c>
      <c r="E185" s="2">
        <v>-0.93</v>
      </c>
      <c r="G185" s="25">
        <f t="shared" si="2"/>
        <v>-13950</v>
      </c>
      <c r="H185" s="25">
        <f t="array" ref="H185">IF(A185=A184,0,SUM(_xlfn._xlws.FILTER(G185:G205,A185:A205=A185)))</f>
        <v>-52730</v>
      </c>
      <c r="I185" s="25">
        <f t="array" ref="I185">IFERROR(IF(A185=A184,0,SUM(_xlfn._xlws.FILTER(G185:G205,(A185:A205=A185)*(E185:E205&lt;0)))),0)</f>
        <v>-52730</v>
      </c>
      <c r="J185" s="25">
        <f t="array" ref="J185">IFERROR(IF(A185=A184,0,SUM(_xlfn._xlws.FILTER(G185:G205,(A185:A205=A185)*(E185:E205&gt;0)))),0)</f>
        <v>0</v>
      </c>
      <c r="K185" s="25">
        <f>IF(H185&lt;&gt;0,SUM(H$2:H185),0)</f>
        <v>92678.855134000187</v>
      </c>
      <c r="L185" s="25">
        <f>IF(I185&lt;&gt;0,SUM(I$2:I185),0)</f>
        <v>-6403303.166265999</v>
      </c>
      <c r="M185" s="25">
        <f>IF(J185&lt;&gt;0,SUM(J$2:J185),0)</f>
        <v>0</v>
      </c>
    </row>
    <row r="186" spans="1:13" hidden="1" x14ac:dyDescent="0.2">
      <c r="A186" s="1">
        <v>45734</v>
      </c>
      <c r="C186" s="2" t="s">
        <v>15</v>
      </c>
      <c r="D186" s="3">
        <v>1000</v>
      </c>
      <c r="E186" s="2">
        <v>-38.78</v>
      </c>
      <c r="G186" s="25">
        <f t="shared" si="2"/>
        <v>-38780</v>
      </c>
      <c r="H186" s="25">
        <f t="array" ref="H186">IF(A186=A185,0,SUM(_xlfn._xlws.FILTER(G186:G206,A186:A206=A186)))</f>
        <v>0</v>
      </c>
      <c r="I186" s="25">
        <f t="array" ref="I186">IFERROR(IF(A186=A185,0,SUM(_xlfn._xlws.FILTER(G186:G206,(A186:A206=A186)*(E186:E206&lt;0)))),0)</f>
        <v>0</v>
      </c>
      <c r="J186" s="25">
        <f t="array" ref="J186">IFERROR(IF(A186=A185,0,SUM(_xlfn._xlws.FILTER(G186:G206,(A186:A206=A186)*(E186:E206&gt;0)))),0)</f>
        <v>0</v>
      </c>
      <c r="K186" s="25">
        <f>IF(H186&lt;&gt;0,SUM(H$2:H186),0)</f>
        <v>0</v>
      </c>
      <c r="L186" s="25">
        <f>IF(I186&lt;&gt;0,SUM(I$2:I186),0)</f>
        <v>0</v>
      </c>
      <c r="M186" s="25">
        <f>IF(J186&lt;&gt;0,SUM(J$2:J186),0)</f>
        <v>0</v>
      </c>
    </row>
    <row r="187" spans="1:13" hidden="1" x14ac:dyDescent="0.2">
      <c r="A187" s="5">
        <v>45735</v>
      </c>
      <c r="C187" s="9" t="s">
        <v>19</v>
      </c>
      <c r="D187" s="7">
        <v>300</v>
      </c>
      <c r="E187" s="8">
        <v>667.6</v>
      </c>
      <c r="G187" s="25">
        <f t="shared" si="2"/>
        <v>200280</v>
      </c>
      <c r="H187" s="25">
        <f t="array" ref="H187">IF(A187=A186,0,SUM(_xlfn._xlws.FILTER(G187:G207,A187:A207=A187)))</f>
        <v>322582</v>
      </c>
      <c r="I187" s="25">
        <f t="array" ref="I187">IFERROR(IF(A187=A186,0,SUM(_xlfn._xlws.FILTER(G187:G207,(A187:A207=A187)*(E187:E207&lt;0)))),0)</f>
        <v>0</v>
      </c>
      <c r="J187" s="25">
        <f t="array" ref="J187">IFERROR(IF(A187=A186,0,SUM(_xlfn._xlws.FILTER(G187:G207,(A187:A207=A187)*(E187:E207&gt;0)))),0)</f>
        <v>322582</v>
      </c>
      <c r="K187" s="25">
        <f>IF(H187&lt;&gt;0,SUM(H$2:H187),0)</f>
        <v>415260.85513400019</v>
      </c>
      <c r="L187" s="25">
        <f>IF(I187&lt;&gt;0,SUM(I$2:I187),0)</f>
        <v>0</v>
      </c>
      <c r="M187" s="25">
        <f>IF(J187&lt;&gt;0,SUM(J$2:J187),0)</f>
        <v>6818564.0214</v>
      </c>
    </row>
    <row r="188" spans="1:13" hidden="1" x14ac:dyDescent="0.2">
      <c r="A188" s="5">
        <v>45735</v>
      </c>
      <c r="C188" s="9" t="s">
        <v>320</v>
      </c>
      <c r="D188" s="7">
        <v>1000</v>
      </c>
      <c r="E188" s="8">
        <v>63.1</v>
      </c>
      <c r="G188" s="25">
        <f t="shared" si="2"/>
        <v>63100</v>
      </c>
      <c r="H188" s="25">
        <f t="array" ref="H188">IF(A188=A187,0,SUM(_xlfn._xlws.FILTER(G188:G208,A188:A208=A188)))</f>
        <v>0</v>
      </c>
      <c r="I188" s="25">
        <f t="array" ref="I188">IFERROR(IF(A188=A187,0,SUM(_xlfn._xlws.FILTER(G188:G208,(A188:A208=A188)*(E188:E208&lt;0)))),0)</f>
        <v>0</v>
      </c>
      <c r="J188" s="25">
        <f t="array" ref="J188">IFERROR(IF(A188=A187,0,SUM(_xlfn._xlws.FILTER(G188:G208,(A188:A208=A188)*(E188:E208&gt;0)))),0)</f>
        <v>0</v>
      </c>
      <c r="K188" s="25">
        <f>IF(H188&lt;&gt;0,SUM(H$2:H188),0)</f>
        <v>0</v>
      </c>
      <c r="L188" s="25">
        <f>IF(I188&lt;&gt;0,SUM(I$2:I188),0)</f>
        <v>0</v>
      </c>
      <c r="M188" s="25">
        <f>IF(J188&lt;&gt;0,SUM(J$2:J188),0)</f>
        <v>0</v>
      </c>
    </row>
    <row r="189" spans="1:13" hidden="1" x14ac:dyDescent="0.2">
      <c r="A189" s="5">
        <v>45735</v>
      </c>
      <c r="C189" s="9" t="s">
        <v>139</v>
      </c>
      <c r="D189" s="7">
        <v>20000</v>
      </c>
      <c r="E189" s="8">
        <v>296.01</v>
      </c>
      <c r="G189" s="25">
        <f t="shared" si="2"/>
        <v>59202</v>
      </c>
      <c r="H189" s="25">
        <f t="array" ref="H189">IF(A189=A188,0,SUM(_xlfn._xlws.FILTER(G189:G209,A189:A209=A189)))</f>
        <v>0</v>
      </c>
      <c r="I189" s="25">
        <f t="array" ref="I189">IFERROR(IF(A189=A188,0,SUM(_xlfn._xlws.FILTER(G189:G209,(A189:A209=A189)*(E189:E209&lt;0)))),0)</f>
        <v>0</v>
      </c>
      <c r="J189" s="25">
        <f t="array" ref="J189">IFERROR(IF(A189=A188,0,SUM(_xlfn._xlws.FILTER(G189:G209,(A189:A209=A189)*(E189:E209&gt;0)))),0)</f>
        <v>0</v>
      </c>
      <c r="K189" s="25">
        <f>IF(H189&lt;&gt;0,SUM(H$2:H189),0)</f>
        <v>0</v>
      </c>
      <c r="L189" s="25">
        <f>IF(I189&lt;&gt;0,SUM(I$2:I189),0)</f>
        <v>0</v>
      </c>
      <c r="M189" s="25">
        <f>IF(J189&lt;&gt;0,SUM(J$2:J189),0)</f>
        <v>0</v>
      </c>
    </row>
    <row r="190" spans="1:13" hidden="1" x14ac:dyDescent="0.2">
      <c r="A190" s="1">
        <v>45736</v>
      </c>
      <c r="C190" s="2" t="s">
        <v>259</v>
      </c>
      <c r="D190" s="3">
        <v>1000</v>
      </c>
      <c r="E190" s="2">
        <v>-250.8</v>
      </c>
      <c r="G190" s="25">
        <f t="shared" si="2"/>
        <v>-250800</v>
      </c>
      <c r="H190" s="25">
        <f t="array" ref="H190">IF(A190=A189,0,SUM(_xlfn._xlws.FILTER(G190:G210,A190:A210=A190)))</f>
        <v>-260330.36</v>
      </c>
      <c r="I190" s="25">
        <f t="array" ref="I190">IFERROR(IF(A190=A189,0,SUM(_xlfn._xlws.FILTER(G190:G210,(A190:A210=A190)*(E190:E210&lt;0)))),0)</f>
        <v>-260330.36</v>
      </c>
      <c r="J190" s="25">
        <f t="array" ref="J190">IFERROR(IF(A190=A189,0,SUM(_xlfn._xlws.FILTER(G190:G210,(A190:A210=A190)*(E190:E210&gt;0)))),0)</f>
        <v>0</v>
      </c>
      <c r="K190" s="25">
        <f>IF(H190&lt;&gt;0,SUM(H$2:H190),0)</f>
        <v>154930.4951340002</v>
      </c>
      <c r="L190" s="25">
        <f>IF(I190&lt;&gt;0,SUM(I$2:I190),0)</f>
        <v>-6663633.5262659993</v>
      </c>
      <c r="M190" s="25">
        <f>IF(J190&lt;&gt;0,SUM(J$2:J190),0)</f>
        <v>0</v>
      </c>
    </row>
    <row r="191" spans="1:13" hidden="1" x14ac:dyDescent="0.2">
      <c r="A191" s="1">
        <v>45736</v>
      </c>
      <c r="C191" s="2" t="s">
        <v>348</v>
      </c>
      <c r="D191" s="3">
        <v>23590</v>
      </c>
      <c r="E191" s="2">
        <v>-40.4</v>
      </c>
      <c r="G191" s="25">
        <f t="shared" si="2"/>
        <v>-9530.36</v>
      </c>
      <c r="H191" s="25">
        <f t="array" ref="H191">IF(A191=A190,0,SUM(_xlfn._xlws.FILTER(G191:G211,A191:A211=A191)))</f>
        <v>0</v>
      </c>
      <c r="I191" s="25">
        <f t="array" ref="I191">IFERROR(IF(A191=A190,0,SUM(_xlfn._xlws.FILTER(G191:G211,(A191:A211=A191)*(E191:E211&lt;0)))),0)</f>
        <v>0</v>
      </c>
      <c r="J191" s="25">
        <f t="array" ref="J191">IFERROR(IF(A191=A190,0,SUM(_xlfn._xlws.FILTER(G191:G211,(A191:A211=A191)*(E191:E211&gt;0)))),0)</f>
        <v>0</v>
      </c>
      <c r="K191" s="25">
        <f>IF(H191&lt;&gt;0,SUM(H$2:H191),0)</f>
        <v>0</v>
      </c>
      <c r="L191" s="25">
        <f>IF(I191&lt;&gt;0,SUM(I$2:I191),0)</f>
        <v>0</v>
      </c>
      <c r="M191" s="25">
        <f>IF(J191&lt;&gt;0,SUM(J$2:J191),0)</f>
        <v>0</v>
      </c>
    </row>
    <row r="192" spans="1:13" hidden="1" x14ac:dyDescent="0.2">
      <c r="A192" s="5">
        <v>45737</v>
      </c>
      <c r="C192" s="9" t="s">
        <v>65</v>
      </c>
      <c r="D192" s="7">
        <v>2000</v>
      </c>
      <c r="E192" s="8">
        <v>11.845000000000001</v>
      </c>
      <c r="G192" s="25">
        <f t="shared" si="2"/>
        <v>23690</v>
      </c>
      <c r="H192" s="25">
        <f t="array" ref="H192">IF(A192=A191,0,SUM(_xlfn._xlws.FILTER(G192:G212,A192:A212=A192)))</f>
        <v>43035</v>
      </c>
      <c r="I192" s="25">
        <f t="array" ref="I192">IFERROR(IF(A192=A191,0,SUM(_xlfn._xlws.FILTER(G192:G212,(A192:A212=A192)*(E192:E212&lt;0)))),0)</f>
        <v>0</v>
      </c>
      <c r="J192" s="25">
        <f t="array" ref="J192">IFERROR(IF(A192=A191,0,SUM(_xlfn._xlws.FILTER(G192:G212,(A192:A212=A192)*(E192:E212&gt;0)))),0)</f>
        <v>43035</v>
      </c>
      <c r="K192" s="25">
        <f>IF(H192&lt;&gt;0,SUM(H$2:H192),0)</f>
        <v>197965.4951340002</v>
      </c>
      <c r="L192" s="25">
        <f>IF(I192&lt;&gt;0,SUM(I$2:I192),0)</f>
        <v>0</v>
      </c>
      <c r="M192" s="25">
        <f>IF(J192&lt;&gt;0,SUM(J$2:J192),0)</f>
        <v>6861599.0214</v>
      </c>
    </row>
    <row r="193" spans="1:13" hidden="1" x14ac:dyDescent="0.2">
      <c r="A193" s="5">
        <v>45737</v>
      </c>
      <c r="C193" s="9" t="s">
        <v>15</v>
      </c>
      <c r="D193" s="7">
        <v>500</v>
      </c>
      <c r="E193" s="8">
        <v>38.69</v>
      </c>
      <c r="G193" s="25">
        <f t="shared" si="2"/>
        <v>19345</v>
      </c>
      <c r="H193" s="25">
        <f t="array" ref="H193">IF(A193=A192,0,SUM(_xlfn._xlws.FILTER(G193:G213,A193:A213=A193)))</f>
        <v>0</v>
      </c>
      <c r="I193" s="25">
        <f t="array" ref="I193">IFERROR(IF(A193=A192,0,SUM(_xlfn._xlws.FILTER(G193:G213,(A193:A213=A193)*(E193:E213&lt;0)))),0)</f>
        <v>0</v>
      </c>
      <c r="J193" s="25">
        <f t="array" ref="J193">IFERROR(IF(A193=A192,0,SUM(_xlfn._xlws.FILTER(G193:G213,(A193:A213=A193)*(E193:E213&gt;0)))),0)</f>
        <v>0</v>
      </c>
      <c r="K193" s="25">
        <f>IF(H193&lt;&gt;0,SUM(H$2:H193),0)</f>
        <v>0</v>
      </c>
      <c r="L193" s="25">
        <f>IF(I193&lt;&gt;0,SUM(I$2:I193),0)</f>
        <v>0</v>
      </c>
      <c r="M193" s="25">
        <f>IF(J193&lt;&gt;0,SUM(J$2:J193),0)</f>
        <v>0</v>
      </c>
    </row>
    <row r="194" spans="1:13" hidden="1" x14ac:dyDescent="0.2">
      <c r="A194" s="1">
        <v>45740</v>
      </c>
      <c r="C194" s="2" t="s">
        <v>157</v>
      </c>
      <c r="D194" s="3">
        <v>19410</v>
      </c>
      <c r="E194" s="2">
        <v>-41.404269999999997</v>
      </c>
      <c r="G194" s="25">
        <f t="shared" ref="G194:G257" si="3">D194*E194*IF(OR(C194="IAG",C194="EZJ",C194="AET"),0.01,1)</f>
        <v>-8036.5688069999997</v>
      </c>
      <c r="H194" s="25">
        <f t="array" ref="H194">IF(A194=A193,0,SUM(_xlfn._xlws.FILTER(G194:G214,A194:A214=A194)))</f>
        <v>-518276.568807</v>
      </c>
      <c r="I194" s="25">
        <f t="array" ref="I194">IFERROR(IF(A194=A193,0,SUM(_xlfn._xlws.FILTER(G194:G214,(A194:A214=A194)*(E194:E214&lt;0)))),0)</f>
        <v>-518276.568807</v>
      </c>
      <c r="J194" s="25">
        <f t="array" ref="J194">IFERROR(IF(A194=A193,0,SUM(_xlfn._xlws.FILTER(G194:G214,(A194:A214=A194)*(E194:E214&gt;0)))),0)</f>
        <v>0</v>
      </c>
      <c r="K194" s="25">
        <f>IF(H194&lt;&gt;0,SUM(H$2:H194),0)</f>
        <v>-320311.0736729998</v>
      </c>
      <c r="L194" s="25">
        <f>IF(I194&lt;&gt;0,SUM(I$2:I194),0)</f>
        <v>-7181910.0950729996</v>
      </c>
      <c r="M194" s="25">
        <f>IF(J194&lt;&gt;0,SUM(J$2:J194),0)</f>
        <v>0</v>
      </c>
    </row>
    <row r="195" spans="1:13" hidden="1" x14ac:dyDescent="0.2">
      <c r="A195" s="1">
        <v>45740</v>
      </c>
      <c r="C195" s="2" t="s">
        <v>262</v>
      </c>
      <c r="D195" s="3">
        <v>1000</v>
      </c>
      <c r="E195" s="2">
        <v>-255.05</v>
      </c>
      <c r="G195" s="25">
        <f t="shared" si="3"/>
        <v>-255050</v>
      </c>
      <c r="H195" s="25">
        <f t="array" ref="H195">IF(A195=A194,0,SUM(_xlfn._xlws.FILTER(G195:G215,A195:A215=A195)))</f>
        <v>0</v>
      </c>
      <c r="I195" s="25">
        <f t="array" ref="I195">IFERROR(IF(A195=A194,0,SUM(_xlfn._xlws.FILTER(G195:G215,(A195:A215=A195)*(E195:E215&lt;0)))),0)</f>
        <v>0</v>
      </c>
      <c r="J195" s="25">
        <f t="array" ref="J195">IFERROR(IF(A195=A194,0,SUM(_xlfn._xlws.FILTER(G195:G215,(A195:A215=A195)*(E195:E215&gt;0)))),0)</f>
        <v>0</v>
      </c>
      <c r="K195" s="25">
        <f>IF(H195&lt;&gt;0,SUM(H$2:H195),0)</f>
        <v>0</v>
      </c>
      <c r="L195" s="25">
        <f>IF(I195&lt;&gt;0,SUM(I$2:I195),0)</f>
        <v>0</v>
      </c>
      <c r="M195" s="25">
        <f>IF(J195&lt;&gt;0,SUM(J$2:J195),0)</f>
        <v>0</v>
      </c>
    </row>
    <row r="196" spans="1:13" hidden="1" x14ac:dyDescent="0.2">
      <c r="A196" s="1">
        <v>45740</v>
      </c>
      <c r="C196" s="2" t="s">
        <v>259</v>
      </c>
      <c r="D196" s="3">
        <v>1000</v>
      </c>
      <c r="E196" s="2">
        <v>-255.19</v>
      </c>
      <c r="G196" s="25">
        <f t="shared" si="3"/>
        <v>-255190</v>
      </c>
      <c r="H196" s="25">
        <f t="array" ref="H196">IF(A196=A195,0,SUM(_xlfn._xlws.FILTER(G196:G216,A196:A216=A196)))</f>
        <v>0</v>
      </c>
      <c r="I196" s="25">
        <f t="array" ref="I196">IFERROR(IF(A196=A195,0,SUM(_xlfn._xlws.FILTER(G196:G216,(A196:A216=A196)*(E196:E216&lt;0)))),0)</f>
        <v>0</v>
      </c>
      <c r="J196" s="25">
        <f t="array" ref="J196">IFERROR(IF(A196=A195,0,SUM(_xlfn._xlws.FILTER(G196:G216,(A196:A216=A196)*(E196:E216&gt;0)))),0)</f>
        <v>0</v>
      </c>
      <c r="K196" s="25">
        <f>IF(H196&lt;&gt;0,SUM(H$2:H196),0)</f>
        <v>0</v>
      </c>
      <c r="L196" s="25">
        <f>IF(I196&lt;&gt;0,SUM(I$2:I196),0)</f>
        <v>0</v>
      </c>
      <c r="M196" s="25">
        <f>IF(J196&lt;&gt;0,SUM(J$2:J196),0)</f>
        <v>0</v>
      </c>
    </row>
    <row r="197" spans="1:13" hidden="1" x14ac:dyDescent="0.2">
      <c r="A197" s="5">
        <v>45741</v>
      </c>
      <c r="C197" s="9" t="s">
        <v>190</v>
      </c>
      <c r="D197" s="7">
        <v>500</v>
      </c>
      <c r="E197" s="8">
        <v>47.6</v>
      </c>
      <c r="G197" s="25">
        <f t="shared" si="3"/>
        <v>23800</v>
      </c>
      <c r="H197" s="25">
        <f t="array" ref="H197">IF(A197=A196,0,SUM(_xlfn._xlws.FILTER(G197:G217,A197:A217=A197)))</f>
        <v>32075</v>
      </c>
      <c r="I197" s="25">
        <f t="array" ref="I197">IFERROR(IF(A197=A196,0,SUM(_xlfn._xlws.FILTER(G197:G217,(A197:A217=A197)*(E197:E217&lt;0)))),0)</f>
        <v>0</v>
      </c>
      <c r="J197" s="25">
        <f t="array" ref="J197">IFERROR(IF(A197=A196,0,SUM(_xlfn._xlws.FILTER(G197:G217,(A197:A217=A197)*(E197:E217&gt;0)))),0)</f>
        <v>32075</v>
      </c>
      <c r="K197" s="25">
        <f>IF(H197&lt;&gt;0,SUM(H$2:H197),0)</f>
        <v>-288236.0736729998</v>
      </c>
      <c r="L197" s="25">
        <f>IF(I197&lt;&gt;0,SUM(I$2:I197),0)</f>
        <v>0</v>
      </c>
      <c r="M197" s="25">
        <f>IF(J197&lt;&gt;0,SUM(J$2:J197),0)</f>
        <v>6893674.0214</v>
      </c>
    </row>
    <row r="198" spans="1:13" hidden="1" x14ac:dyDescent="0.2">
      <c r="A198" s="5">
        <v>45741</v>
      </c>
      <c r="C198" s="9" t="s">
        <v>45</v>
      </c>
      <c r="D198" s="7">
        <v>500</v>
      </c>
      <c r="E198" s="8">
        <v>16.55</v>
      </c>
      <c r="G198" s="25">
        <f t="shared" si="3"/>
        <v>8275</v>
      </c>
      <c r="H198" s="25">
        <f t="array" ref="H198">IF(A198=A197,0,SUM(_xlfn._xlws.FILTER(G198:G218,A198:A218=A198)))</f>
        <v>0</v>
      </c>
      <c r="I198" s="25">
        <f t="array" ref="I198">IFERROR(IF(A198=A197,0,SUM(_xlfn._xlws.FILTER(G198:G218,(A198:A218=A198)*(E198:E218&lt;0)))),0)</f>
        <v>0</v>
      </c>
      <c r="J198" s="25">
        <f t="array" ref="J198">IFERROR(IF(A198=A197,0,SUM(_xlfn._xlws.FILTER(G198:G218,(A198:A218=A198)*(E198:E218&gt;0)))),0)</f>
        <v>0</v>
      </c>
      <c r="K198" s="25">
        <f>IF(H198&lt;&gt;0,SUM(H$2:H198),0)</f>
        <v>0</v>
      </c>
      <c r="L198" s="25">
        <f>IF(I198&lt;&gt;0,SUM(I$2:I198),0)</f>
        <v>0</v>
      </c>
      <c r="M198" s="25">
        <f>IF(J198&lt;&gt;0,SUM(J$2:J198),0)</f>
        <v>0</v>
      </c>
    </row>
    <row r="199" spans="1:13" hidden="1" x14ac:dyDescent="0.2">
      <c r="A199" s="1">
        <v>45742</v>
      </c>
      <c r="C199" s="2" t="s">
        <v>63</v>
      </c>
      <c r="D199" s="3">
        <v>50</v>
      </c>
      <c r="E199" s="2">
        <v>-661.5</v>
      </c>
      <c r="G199" s="25">
        <f t="shared" si="3"/>
        <v>-33075</v>
      </c>
      <c r="H199" s="25">
        <f t="array" ref="H199">IF(A199=A198,0,SUM(_xlfn._xlws.FILTER(G199:G219,A199:A219=A199)))</f>
        <v>-33075</v>
      </c>
      <c r="I199" s="25">
        <f t="array" ref="I199">IFERROR(IF(A199=A198,0,SUM(_xlfn._xlws.FILTER(G199:G219,(A199:A219=A199)*(E199:E219&lt;0)))),0)</f>
        <v>-33075</v>
      </c>
      <c r="J199" s="25">
        <f t="array" ref="J199">IFERROR(IF(A199=A198,0,SUM(_xlfn._xlws.FILTER(G199:G219,(A199:A219=A199)*(E199:E219&gt;0)))),0)</f>
        <v>0</v>
      </c>
      <c r="K199" s="25">
        <f>IF(H199&lt;&gt;0,SUM(H$2:H199),0)</f>
        <v>-321311.0736729998</v>
      </c>
      <c r="L199" s="25">
        <f>IF(I199&lt;&gt;0,SUM(I$2:I199),0)</f>
        <v>-7214985.0950729996</v>
      </c>
      <c r="M199" s="25">
        <f>IF(J199&lt;&gt;0,SUM(J$2:J199),0)</f>
        <v>0</v>
      </c>
    </row>
    <row r="200" spans="1:13" hidden="1" x14ac:dyDescent="0.2">
      <c r="A200" s="5">
        <v>45743</v>
      </c>
      <c r="C200" s="9" t="s">
        <v>19</v>
      </c>
      <c r="D200" s="7">
        <v>300</v>
      </c>
      <c r="E200" s="8">
        <v>-647.29999999999995</v>
      </c>
      <c r="G200" s="25">
        <f t="shared" si="3"/>
        <v>-194190</v>
      </c>
      <c r="H200" s="25">
        <f t="array" ref="H200">IF(A200=A199,0,SUM(_xlfn._xlws.FILTER(G200:G220,A200:A220=A200)))</f>
        <v>-194190</v>
      </c>
      <c r="I200" s="25">
        <f t="array" ref="I200">IFERROR(IF(A200=A199,0,SUM(_xlfn._xlws.FILTER(G200:G220,(A200:A220=A200)*(E200:E220&lt;0)))),0)</f>
        <v>-194190</v>
      </c>
      <c r="J200" s="25">
        <f t="array" ref="J200">IFERROR(IF(A200=A199,0,SUM(_xlfn._xlws.FILTER(G200:G220,(A200:A220=A200)*(E200:E220&gt;0)))),0)</f>
        <v>0</v>
      </c>
      <c r="K200" s="25">
        <f>IF(H200&lt;&gt;0,SUM(H$2:H200),0)</f>
        <v>-515501.0736729998</v>
      </c>
      <c r="L200" s="25">
        <f>IF(I200&lt;&gt;0,SUM(I$2:I200),0)</f>
        <v>-7409175.0950729996</v>
      </c>
      <c r="M200" s="25">
        <f>IF(J200&lt;&gt;0,SUM(J$2:J200),0)</f>
        <v>0</v>
      </c>
    </row>
    <row r="201" spans="1:13" hidden="1" x14ac:dyDescent="0.2">
      <c r="A201" s="1">
        <v>45744</v>
      </c>
      <c r="C201" s="2" t="s">
        <v>139</v>
      </c>
      <c r="D201" s="3">
        <v>20000</v>
      </c>
      <c r="E201" s="2">
        <v>-284.47789999999998</v>
      </c>
      <c r="G201" s="25">
        <f t="shared" si="3"/>
        <v>-56895.58</v>
      </c>
      <c r="H201" s="25">
        <f t="array" ref="H201">IF(A201=A200,0,SUM(_xlfn._xlws.FILTER(G201:G221,A201:A221=A201)))</f>
        <v>-20908.750000000007</v>
      </c>
      <c r="I201" s="25">
        <f t="array" ref="I201">IFERROR(IF(A201=A200,0,SUM(_xlfn._xlws.FILTER(G201:G221,(A201:A221=A201)*(E201:E221&lt;0)))),0)</f>
        <v>-127059.58</v>
      </c>
      <c r="J201" s="25">
        <f t="array" ref="J201">IFERROR(IF(A201=A200,0,SUM(_xlfn._xlws.FILTER(G201:G221,(A201:A221=A201)*(E201:E221&gt;0)))),0)</f>
        <v>106150.82999999999</v>
      </c>
      <c r="K201" s="25">
        <f>IF(H201&lt;&gt;0,SUM(H$2:H201),0)</f>
        <v>-536409.82367299986</v>
      </c>
      <c r="L201" s="25">
        <f>IF(I201&lt;&gt;0,SUM(I$2:I201),0)</f>
        <v>-7536234.6750729997</v>
      </c>
      <c r="M201" s="25">
        <f>IF(J201&lt;&gt;0,SUM(J$2:J201),0)</f>
        <v>6999824.8514</v>
      </c>
    </row>
    <row r="202" spans="1:13" hidden="1" x14ac:dyDescent="0.2">
      <c r="A202" s="1">
        <v>45744</v>
      </c>
      <c r="C202" s="2" t="s">
        <v>193</v>
      </c>
      <c r="D202" s="3">
        <v>2500</v>
      </c>
      <c r="E202" s="2">
        <v>26.31</v>
      </c>
      <c r="G202" s="25">
        <f t="shared" si="3"/>
        <v>65775</v>
      </c>
      <c r="H202" s="25">
        <f t="array" ref="H202">IF(A202=A201,0,SUM(_xlfn._xlws.FILTER(G202:G222,A202:A222=A202)))</f>
        <v>0</v>
      </c>
      <c r="I202" s="25">
        <f t="array" ref="I202">IFERROR(IF(A202=A201,0,SUM(_xlfn._xlws.FILTER(G202:G222,(A202:A222=A202)*(E202:E222&lt;0)))),0)</f>
        <v>0</v>
      </c>
      <c r="J202" s="25">
        <f t="array" ref="J202">IFERROR(IF(A202=A201,0,SUM(_xlfn._xlws.FILTER(G202:G222,(A202:A222=A202)*(E202:E222&gt;0)))),0)</f>
        <v>0</v>
      </c>
      <c r="K202" s="25">
        <f>IF(H202&lt;&gt;0,SUM(H$2:H202),0)</f>
        <v>0</v>
      </c>
      <c r="L202" s="25">
        <f>IF(I202&lt;&gt;0,SUM(I$2:I202),0)</f>
        <v>0</v>
      </c>
      <c r="M202" s="25">
        <f>IF(J202&lt;&gt;0,SUM(J$2:J202),0)</f>
        <v>0</v>
      </c>
    </row>
    <row r="203" spans="1:13" hidden="1" x14ac:dyDescent="0.2">
      <c r="A203" s="1">
        <v>45744</v>
      </c>
      <c r="C203" s="2" t="s">
        <v>97</v>
      </c>
      <c r="D203" s="3">
        <v>1200</v>
      </c>
      <c r="E203" s="2">
        <v>33.646524999999997</v>
      </c>
      <c r="G203" s="25">
        <f t="shared" si="3"/>
        <v>40375.829999999994</v>
      </c>
      <c r="H203" s="25">
        <f t="array" ref="H203">IF(A203=A202,0,SUM(_xlfn._xlws.FILTER(G203:G223,A203:A223=A203)))</f>
        <v>0</v>
      </c>
      <c r="I203" s="25">
        <f t="array" ref="I203">IFERROR(IF(A203=A202,0,SUM(_xlfn._xlws.FILTER(G203:G223,(A203:A223=A203)*(E203:E223&lt;0)))),0)</f>
        <v>0</v>
      </c>
      <c r="J203" s="25">
        <f t="array" ref="J203">IFERROR(IF(A203=A202,0,SUM(_xlfn._xlws.FILTER(G203:G223,(A203:A223=A203)*(E203:E223&gt;0)))),0)</f>
        <v>0</v>
      </c>
      <c r="K203" s="25">
        <f>IF(H203&lt;&gt;0,SUM(H$2:H203),0)</f>
        <v>0</v>
      </c>
      <c r="L203" s="25">
        <f>IF(I203&lt;&gt;0,SUM(I$2:I203),0)</f>
        <v>0</v>
      </c>
      <c r="M203" s="25">
        <f>IF(J203&lt;&gt;0,SUM(J$2:J203),0)</f>
        <v>0</v>
      </c>
    </row>
    <row r="204" spans="1:13" hidden="1" x14ac:dyDescent="0.2">
      <c r="A204" s="1">
        <v>45744</v>
      </c>
      <c r="C204" s="2" t="s">
        <v>49</v>
      </c>
      <c r="D204" s="3">
        <v>15000</v>
      </c>
      <c r="E204" s="2">
        <v>-0.89</v>
      </c>
      <c r="G204" s="25">
        <f t="shared" si="3"/>
        <v>-13350</v>
      </c>
      <c r="H204" s="25">
        <f t="array" ref="H204">IF(A204=A203,0,SUM(_xlfn._xlws.FILTER(G204:G224,A204:A224=A204)))</f>
        <v>0</v>
      </c>
      <c r="I204" s="25">
        <f t="array" ref="I204">IFERROR(IF(A204=A203,0,SUM(_xlfn._xlws.FILTER(G204:G224,(A204:A224=A204)*(E204:E224&lt;0)))),0)</f>
        <v>0</v>
      </c>
      <c r="J204" s="25">
        <f t="array" ref="J204">IFERROR(IF(A204=A203,0,SUM(_xlfn._xlws.FILTER(G204:G224,(A204:A224=A204)*(E204:E224&gt;0)))),0)</f>
        <v>0</v>
      </c>
      <c r="K204" s="25">
        <f>IF(H204&lt;&gt;0,SUM(H$2:H204),0)</f>
        <v>0</v>
      </c>
      <c r="L204" s="25">
        <f>IF(I204&lt;&gt;0,SUM(I$2:I204),0)</f>
        <v>0</v>
      </c>
      <c r="M204" s="25">
        <f>IF(J204&lt;&gt;0,SUM(J$2:J204),0)</f>
        <v>0</v>
      </c>
    </row>
    <row r="205" spans="1:13" hidden="1" x14ac:dyDescent="0.2">
      <c r="A205" s="1">
        <v>45744</v>
      </c>
      <c r="C205" s="2" t="s">
        <v>278</v>
      </c>
      <c r="D205" s="3">
        <v>150</v>
      </c>
      <c r="E205" s="2">
        <v>-378.76</v>
      </c>
      <c r="G205" s="25">
        <f t="shared" si="3"/>
        <v>-56814</v>
      </c>
      <c r="H205" s="25">
        <f t="array" ref="H205">IF(A205=A204,0,SUM(_xlfn._xlws.FILTER(G205:G225,A205:A225=A205)))</f>
        <v>0</v>
      </c>
      <c r="I205" s="25">
        <f t="array" ref="I205">IFERROR(IF(A205=A204,0,SUM(_xlfn._xlws.FILTER(G205:G225,(A205:A225=A205)*(E205:E225&lt;0)))),0)</f>
        <v>0</v>
      </c>
      <c r="J205" s="25">
        <f t="array" ref="J205">IFERROR(IF(A205=A204,0,SUM(_xlfn._xlws.FILTER(G205:G225,(A205:A225=A205)*(E205:E225&gt;0)))),0)</f>
        <v>0</v>
      </c>
      <c r="K205" s="25">
        <f>IF(H205&lt;&gt;0,SUM(H$2:H205),0)</f>
        <v>0</v>
      </c>
      <c r="L205" s="25">
        <f>IF(I205&lt;&gt;0,SUM(I$2:I205),0)</f>
        <v>0</v>
      </c>
      <c r="M205" s="25">
        <f>IF(J205&lt;&gt;0,SUM(J$2:J205),0)</f>
        <v>0</v>
      </c>
    </row>
    <row r="206" spans="1:13" hidden="1" x14ac:dyDescent="0.2">
      <c r="A206" s="5">
        <v>45747</v>
      </c>
      <c r="C206" s="6" t="s">
        <v>155</v>
      </c>
      <c r="D206" s="7">
        <v>7000</v>
      </c>
      <c r="E206" s="15">
        <v>13.94</v>
      </c>
      <c r="G206" s="25">
        <f t="shared" si="3"/>
        <v>97580</v>
      </c>
      <c r="H206" s="25">
        <f t="array" ref="H206">IF(A206=A205,0,SUM(_xlfn._xlws.FILTER(G206:G226,A206:A226=A206)))</f>
        <v>109715.4005</v>
      </c>
      <c r="I206" s="25">
        <f t="array" ref="I206">IFERROR(IF(A206=A205,0,SUM(_xlfn._xlws.FILTER(G206:G226,(A206:A226=A206)*(E206:E226&lt;0)))),0)</f>
        <v>0</v>
      </c>
      <c r="J206" s="25">
        <f t="array" ref="J206">IFERROR(IF(A206=A205,0,SUM(_xlfn._xlws.FILTER(G206:G226,(A206:A226=A206)*(E206:E226&gt;0)))),0)</f>
        <v>109715.4005</v>
      </c>
      <c r="K206" s="25">
        <f>IF(H206&lt;&gt;0,SUM(H$2:H206),0)</f>
        <v>-426694.42317299987</v>
      </c>
      <c r="L206" s="25">
        <f>IF(I206&lt;&gt;0,SUM(I$2:I206),0)</f>
        <v>0</v>
      </c>
      <c r="M206" s="25">
        <f>IF(J206&lt;&gt;0,SUM(J$2:J206),0)</f>
        <v>7109540.2519000005</v>
      </c>
    </row>
    <row r="207" spans="1:13" hidden="1" x14ac:dyDescent="0.2">
      <c r="A207" s="5">
        <v>45747</v>
      </c>
      <c r="C207" s="6" t="s">
        <v>49</v>
      </c>
      <c r="D207" s="7">
        <v>15000</v>
      </c>
      <c r="E207" s="15">
        <v>0.80902669999999999</v>
      </c>
      <c r="G207" s="25">
        <f t="shared" si="3"/>
        <v>12135.4005</v>
      </c>
      <c r="H207" s="25">
        <f t="array" ref="H207">IF(A207=A206,0,SUM(_xlfn._xlws.FILTER(G207:G227,A207:A227=A207)))</f>
        <v>0</v>
      </c>
      <c r="I207" s="25">
        <f t="array" ref="I207">IFERROR(IF(A207=A206,0,SUM(_xlfn._xlws.FILTER(G207:G227,(A207:A227=A207)*(E207:E227&lt;0)))),0)</f>
        <v>0</v>
      </c>
      <c r="J207" s="25">
        <f t="array" ref="J207">IFERROR(IF(A207=A206,0,SUM(_xlfn._xlws.FILTER(G207:G227,(A207:A227=A207)*(E207:E227&gt;0)))),0)</f>
        <v>0</v>
      </c>
      <c r="K207" s="25">
        <f>IF(H207&lt;&gt;0,SUM(H$2:H207),0)</f>
        <v>0</v>
      </c>
      <c r="L207" s="25">
        <f>IF(I207&lt;&gt;0,SUM(I$2:I207),0)</f>
        <v>0</v>
      </c>
      <c r="M207" s="25">
        <f>IF(J207&lt;&gt;0,SUM(J$2:J207),0)</f>
        <v>0</v>
      </c>
    </row>
    <row r="208" spans="1:13" hidden="1" x14ac:dyDescent="0.2">
      <c r="A208" s="1">
        <v>45748</v>
      </c>
      <c r="C208" s="2" t="s">
        <v>116</v>
      </c>
      <c r="D208" s="3">
        <v>500</v>
      </c>
      <c r="E208" s="2">
        <v>-192.82</v>
      </c>
      <c r="G208" s="25">
        <f t="shared" si="3"/>
        <v>-96410</v>
      </c>
      <c r="H208" s="25">
        <f t="array" ref="H208">IF(A208=A207,0,SUM(_xlfn._xlws.FILTER(G208:G228,A208:A228=A208)))</f>
        <v>-154345.20000000001</v>
      </c>
      <c r="I208" s="25">
        <f t="array" ref="I208">IFERROR(IF(A208=A207,0,SUM(_xlfn._xlws.FILTER(G208:G228,(A208:A228=A208)*(E208:E228&lt;0)))),0)</f>
        <v>-206485.2</v>
      </c>
      <c r="J208" s="25">
        <f t="array" ref="J208">IFERROR(IF(A208=A207,0,SUM(_xlfn._xlws.FILTER(G208:G228,(A208:A228=A208)*(E208:E228&gt;0)))),0)</f>
        <v>52140</v>
      </c>
      <c r="K208" s="25">
        <f>IF(H208&lt;&gt;0,SUM(H$2:H208),0)</f>
        <v>-581039.62317299983</v>
      </c>
      <c r="L208" s="25">
        <f>IF(I208&lt;&gt;0,SUM(I$2:I208),0)</f>
        <v>-7742719.8750729999</v>
      </c>
      <c r="M208" s="25">
        <f>IF(J208&lt;&gt;0,SUM(J$2:J208),0)</f>
        <v>7161680.2519000005</v>
      </c>
    </row>
    <row r="209" spans="1:13" hidden="1" x14ac:dyDescent="0.2">
      <c r="A209" s="1">
        <v>45748</v>
      </c>
      <c r="C209" s="2" t="s">
        <v>155</v>
      </c>
      <c r="D209" s="3">
        <v>2000</v>
      </c>
      <c r="E209" s="2">
        <v>14.04</v>
      </c>
      <c r="G209" s="25">
        <f t="shared" si="3"/>
        <v>28080</v>
      </c>
      <c r="H209" s="25">
        <f t="array" ref="H209">IF(A209=A208,0,SUM(_xlfn._xlws.FILTER(G209:G229,A209:A229=A209)))</f>
        <v>0</v>
      </c>
      <c r="I209" s="25">
        <f t="array" ref="I209">IFERROR(IF(A209=A208,0,SUM(_xlfn._xlws.FILTER(G209:G229,(A209:A229=A209)*(E209:E229&lt;0)))),0)</f>
        <v>0</v>
      </c>
      <c r="J209" s="25">
        <f t="array" ref="J209">IFERROR(IF(A209=A208,0,SUM(_xlfn._xlws.FILTER(G209:G229,(A209:A229=A209)*(E209:E229&gt;0)))),0)</f>
        <v>0</v>
      </c>
      <c r="K209" s="25">
        <f>IF(H209&lt;&gt;0,SUM(H$2:H209),0)</f>
        <v>0</v>
      </c>
      <c r="L209" s="25">
        <f>IF(I209&lt;&gt;0,SUM(I$2:I209),0)</f>
        <v>0</v>
      </c>
      <c r="M209" s="25">
        <f>IF(J209&lt;&gt;0,SUM(J$2:J209),0)</f>
        <v>0</v>
      </c>
    </row>
    <row r="210" spans="1:13" hidden="1" x14ac:dyDescent="0.2">
      <c r="A210" s="1">
        <v>45748</v>
      </c>
      <c r="C210" s="2" t="s">
        <v>139</v>
      </c>
      <c r="D210" s="3">
        <v>20000</v>
      </c>
      <c r="E210" s="2">
        <v>-267.01</v>
      </c>
      <c r="G210" s="25">
        <f t="shared" si="3"/>
        <v>-53402</v>
      </c>
      <c r="H210" s="25">
        <f t="array" ref="H210">IF(A210=A209,0,SUM(_xlfn._xlws.FILTER(G210:G230,A210:A230=A210)))</f>
        <v>0</v>
      </c>
      <c r="I210" s="25">
        <f t="array" ref="I210">IFERROR(IF(A210=A209,0,SUM(_xlfn._xlws.FILTER(G210:G230,(A210:A230=A210)*(E210:E230&lt;0)))),0)</f>
        <v>0</v>
      </c>
      <c r="J210" s="25">
        <f t="array" ref="J210">IFERROR(IF(A210=A209,0,SUM(_xlfn._xlws.FILTER(G210:G230,(A210:A230=A210)*(E210:E230&gt;0)))),0)</f>
        <v>0</v>
      </c>
      <c r="K210" s="25">
        <f>IF(H210&lt;&gt;0,SUM(H$2:H210),0)</f>
        <v>0</v>
      </c>
      <c r="L210" s="25">
        <f>IF(I210&lt;&gt;0,SUM(I$2:I210),0)</f>
        <v>0</v>
      </c>
      <c r="M210" s="25">
        <f>IF(J210&lt;&gt;0,SUM(J$2:J210),0)</f>
        <v>0</v>
      </c>
    </row>
    <row r="211" spans="1:13" hidden="1" x14ac:dyDescent="0.2">
      <c r="A211" s="1">
        <v>45748</v>
      </c>
      <c r="C211" s="2" t="s">
        <v>153</v>
      </c>
      <c r="D211" s="3">
        <v>4000</v>
      </c>
      <c r="E211" s="2">
        <v>-14.1683</v>
      </c>
      <c r="G211" s="25">
        <f t="shared" si="3"/>
        <v>-56673.200000000004</v>
      </c>
      <c r="H211" s="25">
        <f t="array" ref="H211">IF(A211=A210,0,SUM(_xlfn._xlws.FILTER(G211:G231,A211:A231=A211)))</f>
        <v>0</v>
      </c>
      <c r="I211" s="25">
        <f t="array" ref="I211">IFERROR(IF(A211=A210,0,SUM(_xlfn._xlws.FILTER(G211:G231,(A211:A231=A211)*(E211:E231&lt;0)))),0)</f>
        <v>0</v>
      </c>
      <c r="J211" s="25">
        <f t="array" ref="J211">IFERROR(IF(A211=A210,0,SUM(_xlfn._xlws.FILTER(G211:G231,(A211:A231=A211)*(E211:E231&gt;0)))),0)</f>
        <v>0</v>
      </c>
      <c r="K211" s="25">
        <f>IF(H211&lt;&gt;0,SUM(H$2:H211),0)</f>
        <v>0</v>
      </c>
      <c r="L211" s="25">
        <f>IF(I211&lt;&gt;0,SUM(I$2:I211),0)</f>
        <v>0</v>
      </c>
      <c r="M211" s="25">
        <f>IF(J211&lt;&gt;0,SUM(J$2:J211),0)</f>
        <v>0</v>
      </c>
    </row>
    <row r="212" spans="1:13" hidden="1" x14ac:dyDescent="0.2">
      <c r="A212" s="1">
        <v>45748</v>
      </c>
      <c r="C212" s="2" t="s">
        <v>65</v>
      </c>
      <c r="D212" s="3">
        <v>2000</v>
      </c>
      <c r="E212" s="2">
        <v>12.03</v>
      </c>
      <c r="G212" s="25">
        <f t="shared" si="3"/>
        <v>24060</v>
      </c>
      <c r="H212" s="25">
        <f t="array" ref="H212">IF(A212=A211,0,SUM(_xlfn._xlws.FILTER(G212:G232,A212:A232=A212)))</f>
        <v>0</v>
      </c>
      <c r="I212" s="25">
        <f t="array" ref="I212">IFERROR(IF(A212=A211,0,SUM(_xlfn._xlws.FILTER(G212:G232,(A212:A232=A212)*(E212:E232&lt;0)))),0)</f>
        <v>0</v>
      </c>
      <c r="J212" s="25">
        <f t="array" ref="J212">IFERROR(IF(A212=A211,0,SUM(_xlfn._xlws.FILTER(G212:G232,(A212:A232=A212)*(E212:E232&gt;0)))),0)</f>
        <v>0</v>
      </c>
      <c r="K212" s="25">
        <f>IF(H212&lt;&gt;0,SUM(H$2:H212),0)</f>
        <v>0</v>
      </c>
      <c r="L212" s="25">
        <f>IF(I212&lt;&gt;0,SUM(I$2:I212),0)</f>
        <v>0</v>
      </c>
      <c r="M212" s="25">
        <f>IF(J212&lt;&gt;0,SUM(J$2:J212),0)</f>
        <v>0</v>
      </c>
    </row>
    <row r="213" spans="1:13" hidden="1" x14ac:dyDescent="0.2">
      <c r="A213" s="5">
        <v>45749</v>
      </c>
      <c r="C213" s="6" t="s">
        <v>15</v>
      </c>
      <c r="D213" s="7">
        <v>2000</v>
      </c>
      <c r="E213" s="15">
        <v>-35.44</v>
      </c>
      <c r="G213" s="25">
        <f t="shared" si="3"/>
        <v>-70880</v>
      </c>
      <c r="H213" s="25">
        <f t="array" ref="H213">IF(A213=A212,0,SUM(_xlfn._xlws.FILTER(G213:G233,A213:A233=A213)))</f>
        <v>-131590</v>
      </c>
      <c r="I213" s="25">
        <f t="array" ref="I213">IFERROR(IF(A213=A212,0,SUM(_xlfn._xlws.FILTER(G213:G233,(A213:A233=A213)*(E213:E233&lt;0)))),0)</f>
        <v>-191640</v>
      </c>
      <c r="J213" s="25">
        <f t="array" ref="J213">IFERROR(IF(A213=A212,0,SUM(_xlfn._xlws.FILTER(G213:G233,(A213:A233=A213)*(E213:E233&gt;0)))),0)</f>
        <v>60050</v>
      </c>
      <c r="K213" s="25">
        <f>IF(H213&lt;&gt;0,SUM(H$2:H213),0)</f>
        <v>-712629.62317299983</v>
      </c>
      <c r="L213" s="25">
        <f>IF(I213&lt;&gt;0,SUM(I$2:I213),0)</f>
        <v>-7934359.8750729999</v>
      </c>
      <c r="M213" s="25">
        <f>IF(J213&lt;&gt;0,SUM(J$2:J213),0)</f>
        <v>7221730.2519000005</v>
      </c>
    </row>
    <row r="214" spans="1:13" hidden="1" x14ac:dyDescent="0.2">
      <c r="A214" s="5">
        <v>45749</v>
      </c>
      <c r="C214" s="6" t="s">
        <v>69</v>
      </c>
      <c r="D214" s="7">
        <v>5000</v>
      </c>
      <c r="E214" s="15">
        <v>12.01</v>
      </c>
      <c r="G214" s="25">
        <f t="shared" si="3"/>
        <v>60050</v>
      </c>
      <c r="H214" s="25">
        <f t="array" ref="H214">IF(A214=A213,0,SUM(_xlfn._xlws.FILTER(G214:G234,A214:A234=A214)))</f>
        <v>0</v>
      </c>
      <c r="I214" s="25">
        <f t="array" ref="I214">IFERROR(IF(A214=A213,0,SUM(_xlfn._xlws.FILTER(G214:G234,(A214:A234=A214)*(E214:E234&lt;0)))),0)</f>
        <v>0</v>
      </c>
      <c r="J214" s="25">
        <f t="array" ref="J214">IFERROR(IF(A214=A213,0,SUM(_xlfn._xlws.FILTER(G214:G234,(A214:A234=A214)*(E214:E234&gt;0)))),0)</f>
        <v>0</v>
      </c>
      <c r="K214" s="25">
        <f>IF(H214&lt;&gt;0,SUM(H$2:H214),0)</f>
        <v>0</v>
      </c>
      <c r="L214" s="25">
        <f>IF(I214&lt;&gt;0,SUM(I$2:I214),0)</f>
        <v>0</v>
      </c>
      <c r="M214" s="25">
        <f>IF(J214&lt;&gt;0,SUM(J$2:J214),0)</f>
        <v>0</v>
      </c>
    </row>
    <row r="215" spans="1:13" hidden="1" x14ac:dyDescent="0.2">
      <c r="A215" s="1">
        <v>45755</v>
      </c>
      <c r="C215" s="2" t="s">
        <v>320</v>
      </c>
      <c r="D215" s="3">
        <v>6000</v>
      </c>
      <c r="E215" s="2">
        <v>-56.89</v>
      </c>
      <c r="G215" s="25">
        <f t="shared" si="3"/>
        <v>-341340</v>
      </c>
      <c r="H215" s="25">
        <f t="array" ref="H215">IF(A215=A214,0,SUM(_xlfn._xlws.FILTER(G215:G235,A215:A235=A215)))</f>
        <v>-341340</v>
      </c>
      <c r="I215" s="25">
        <f t="array" ref="I215">IFERROR(IF(A215=A214,0,SUM(_xlfn._xlws.FILTER(G215:G235,(A215:A235=A215)*(E215:E235&lt;0)))),0)</f>
        <v>-341340</v>
      </c>
      <c r="J215" s="25">
        <f t="array" ref="J215">IFERROR(IF(A215=A214,0,SUM(_xlfn._xlws.FILTER(G215:G235,(A215:A235=A215)*(E215:E235&gt;0)))),0)</f>
        <v>0</v>
      </c>
      <c r="K215" s="25">
        <f>IF(H215&lt;&gt;0,SUM(H$2:H215),0)</f>
        <v>-1053969.6231729998</v>
      </c>
      <c r="L215" s="25">
        <f>IF(I215&lt;&gt;0,SUM(I$2:I215),0)</f>
        <v>-8275699.8750729999</v>
      </c>
      <c r="M215" s="25">
        <f>IF(J215&lt;&gt;0,SUM(J$2:J215),0)</f>
        <v>0</v>
      </c>
    </row>
    <row r="216" spans="1:13" hidden="1" x14ac:dyDescent="0.2">
      <c r="A216" s="5">
        <v>45757</v>
      </c>
      <c r="C216" s="6" t="s">
        <v>320</v>
      </c>
      <c r="D216" s="7">
        <v>4000</v>
      </c>
      <c r="E216" s="15">
        <v>-55.7</v>
      </c>
      <c r="G216" s="25">
        <f t="shared" si="3"/>
        <v>-222800</v>
      </c>
      <c r="H216" s="25">
        <f t="array" ref="H216">IF(A216=A215,0,SUM(_xlfn._xlws.FILTER(G216:G236,A216:A236=A216)))</f>
        <v>-222800</v>
      </c>
      <c r="I216" s="25">
        <f t="array" ref="I216">IFERROR(IF(A216=A215,0,SUM(_xlfn._xlws.FILTER(G216:G236,(A216:A236=A216)*(E216:E236&lt;0)))),0)</f>
        <v>-222800</v>
      </c>
      <c r="J216" s="25">
        <f t="array" ref="J216">IFERROR(IF(A216=A215,0,SUM(_xlfn._xlws.FILTER(G216:G236,(A216:A236=A216)*(E216:E236&gt;0)))),0)</f>
        <v>0</v>
      </c>
      <c r="K216" s="25">
        <f>IF(H216&lt;&gt;0,SUM(H$2:H216),0)</f>
        <v>-1276769.6231729998</v>
      </c>
      <c r="L216" s="25">
        <f>IF(I216&lt;&gt;0,SUM(I$2:I216),0)</f>
        <v>-8498499.8750730008</v>
      </c>
      <c r="M216" s="25">
        <f>IF(J216&lt;&gt;0,SUM(J$2:J216),0)</f>
        <v>0</v>
      </c>
    </row>
    <row r="217" spans="1:13" hidden="1" x14ac:dyDescent="0.2">
      <c r="A217" s="1">
        <v>45759</v>
      </c>
      <c r="C217" s="2" t="s">
        <v>49</v>
      </c>
      <c r="D217" s="3">
        <v>15000</v>
      </c>
      <c r="E217" s="2">
        <v>-0.73</v>
      </c>
      <c r="G217" s="25">
        <f t="shared" si="3"/>
        <v>-10950</v>
      </c>
      <c r="H217" s="25">
        <f t="array" ref="H217">IF(A217=A216,0,SUM(_xlfn._xlws.FILTER(G217:G237,A217:A237=A217)))</f>
        <v>-10950</v>
      </c>
      <c r="I217" s="25">
        <f t="array" ref="I217">IFERROR(IF(A217=A216,0,SUM(_xlfn._xlws.FILTER(G217:G237,(A217:A237=A217)*(E217:E237&lt;0)))),0)</f>
        <v>-10950</v>
      </c>
      <c r="J217" s="25">
        <f t="array" ref="J217">IFERROR(IF(A217=A216,0,SUM(_xlfn._xlws.FILTER(G217:G237,(A217:A237=A217)*(E217:E237&gt;0)))),0)</f>
        <v>0</v>
      </c>
      <c r="K217" s="25">
        <f>IF(H217&lt;&gt;0,SUM(H$2:H217),0)</f>
        <v>-1287719.6231729998</v>
      </c>
      <c r="L217" s="25">
        <f>IF(I217&lt;&gt;0,SUM(I$2:I217),0)</f>
        <v>-8509449.8750730008</v>
      </c>
      <c r="M217" s="25">
        <f>IF(J217&lt;&gt;0,SUM(J$2:J217),0)</f>
        <v>0</v>
      </c>
    </row>
    <row r="218" spans="1:13" hidden="1" x14ac:dyDescent="0.2">
      <c r="A218" s="5">
        <v>45762</v>
      </c>
      <c r="C218" s="6" t="s">
        <v>49</v>
      </c>
      <c r="D218" s="7">
        <v>50000</v>
      </c>
      <c r="E218" s="6">
        <v>-0.62019999999999997</v>
      </c>
      <c r="G218" s="25">
        <f t="shared" si="3"/>
        <v>-31010</v>
      </c>
      <c r="H218" s="25">
        <f t="array" ref="H218">IF(A218=A217,0,SUM(_xlfn._xlws.FILTER(G218:G238,A218:A238=A218)))</f>
        <v>-243567.49999999997</v>
      </c>
      <c r="I218" s="25">
        <f t="array" ref="I218">IFERROR(IF(A218=A217,0,SUM(_xlfn._xlws.FILTER(G218:G238,(A218:A238=A218)*(E218:E238&lt;0)))),0)</f>
        <v>-243567.49999999997</v>
      </c>
      <c r="J218" s="25">
        <f t="array" ref="J218">IFERROR(IF(A218=A217,0,SUM(_xlfn._xlws.FILTER(G218:G238,(A218:A238=A218)*(E218:E238&gt;0)))),0)</f>
        <v>0</v>
      </c>
      <c r="K218" s="25">
        <f>IF(H218&lt;&gt;0,SUM(H$2:H218),0)</f>
        <v>-1531287.1231729998</v>
      </c>
      <c r="L218" s="25">
        <f>IF(I218&lt;&gt;0,SUM(I$2:I218),0)</f>
        <v>-8753017.3750730008</v>
      </c>
      <c r="M218" s="25">
        <f>IF(J218&lt;&gt;0,SUM(J$2:J218),0)</f>
        <v>0</v>
      </c>
    </row>
    <row r="219" spans="1:13" hidden="1" x14ac:dyDescent="0.2">
      <c r="A219" s="5">
        <v>45762</v>
      </c>
      <c r="C219" s="6" t="s">
        <v>22</v>
      </c>
      <c r="D219" s="7">
        <v>1350</v>
      </c>
      <c r="E219" s="6">
        <v>-157.44999999999999</v>
      </c>
      <c r="G219" s="25">
        <f t="shared" si="3"/>
        <v>-212557.49999999997</v>
      </c>
      <c r="H219" s="25">
        <f t="array" ref="H219">IF(A219=A218,0,SUM(_xlfn._xlws.FILTER(G219:G239,A219:A239=A219)))</f>
        <v>0</v>
      </c>
      <c r="I219" s="25">
        <f t="array" ref="I219">IFERROR(IF(A219=A218,0,SUM(_xlfn._xlws.FILTER(G219:G239,(A219:A239=A219)*(E219:E239&lt;0)))),0)</f>
        <v>0</v>
      </c>
      <c r="J219" s="25">
        <f t="array" ref="J219">IFERROR(IF(A219=A218,0,SUM(_xlfn._xlws.FILTER(G219:G239,(A219:A239=A219)*(E219:E239&gt;0)))),0)</f>
        <v>0</v>
      </c>
      <c r="K219" s="25">
        <f>IF(H219&lt;&gt;0,SUM(H$2:H219),0)</f>
        <v>0</v>
      </c>
      <c r="L219" s="25">
        <f>IF(I219&lt;&gt;0,SUM(I$2:I219),0)</f>
        <v>0</v>
      </c>
      <c r="M219" s="25">
        <f>IF(J219&lt;&gt;0,SUM(J$2:J219),0)</f>
        <v>0</v>
      </c>
    </row>
    <row r="220" spans="1:13" hidden="1" x14ac:dyDescent="0.2">
      <c r="A220" s="1">
        <v>45770</v>
      </c>
      <c r="C220" s="2" t="s">
        <v>320</v>
      </c>
      <c r="D220" s="3">
        <v>4000</v>
      </c>
      <c r="E220" s="2">
        <v>58.63</v>
      </c>
      <c r="G220" s="25">
        <f t="shared" si="3"/>
        <v>234520</v>
      </c>
      <c r="H220" s="25">
        <f t="array" ref="H220">IF(A220=A219,0,SUM(_xlfn._xlws.FILTER(G220:G240,A220:A240=A220)))</f>
        <v>499130</v>
      </c>
      <c r="I220" s="25">
        <f t="array" ref="I220">IFERROR(IF(A220=A219,0,SUM(_xlfn._xlws.FILTER(G220:G240,(A220:A240=A220)*(E220:E240&lt;0)))),0)</f>
        <v>0</v>
      </c>
      <c r="J220" s="25">
        <f t="array" ref="J220">IFERROR(IF(A220=A219,0,SUM(_xlfn._xlws.FILTER(G220:G240,(A220:A240=A220)*(E220:E240&gt;0)))),0)</f>
        <v>499130</v>
      </c>
      <c r="K220" s="25">
        <f>IF(H220&lt;&gt;0,SUM(H$2:H220),0)</f>
        <v>-1032157.1231729998</v>
      </c>
      <c r="L220" s="25">
        <f>IF(I220&lt;&gt;0,SUM(I$2:I220),0)</f>
        <v>0</v>
      </c>
      <c r="M220" s="25">
        <f>IF(J220&lt;&gt;0,SUM(J$2:J220),0)</f>
        <v>7720860.2519000005</v>
      </c>
    </row>
    <row r="221" spans="1:13" hidden="1" x14ac:dyDescent="0.2">
      <c r="A221" s="1">
        <v>45770</v>
      </c>
      <c r="C221" s="2" t="s">
        <v>94</v>
      </c>
      <c r="D221" s="3">
        <v>3000</v>
      </c>
      <c r="E221" s="2">
        <v>42.22</v>
      </c>
      <c r="G221" s="25">
        <f t="shared" si="3"/>
        <v>126660</v>
      </c>
      <c r="H221" s="25">
        <f t="array" ref="H221">IF(A221=A220,0,SUM(_xlfn._xlws.FILTER(G221:G241,A221:A241=A221)))</f>
        <v>0</v>
      </c>
      <c r="I221" s="25">
        <f t="array" ref="I221">IFERROR(IF(A221=A220,0,SUM(_xlfn._xlws.FILTER(G221:G241,(A221:A241=A221)*(E221:E241&lt;0)))),0)</f>
        <v>0</v>
      </c>
      <c r="J221" s="25">
        <f t="array" ref="J221">IFERROR(IF(A221=A220,0,SUM(_xlfn._xlws.FILTER(G221:G241,(A221:A241=A221)*(E221:E241&gt;0)))),0)</f>
        <v>0</v>
      </c>
      <c r="K221" s="25">
        <f>IF(H221&lt;&gt;0,SUM(H$2:H221),0)</f>
        <v>0</v>
      </c>
      <c r="L221" s="25">
        <f>IF(I221&lt;&gt;0,SUM(I$2:I221),0)</f>
        <v>0</v>
      </c>
      <c r="M221" s="25">
        <f>IF(J221&lt;&gt;0,SUM(J$2:J221),0)</f>
        <v>0</v>
      </c>
    </row>
    <row r="222" spans="1:13" hidden="1" x14ac:dyDescent="0.2">
      <c r="A222" s="1">
        <v>45770</v>
      </c>
      <c r="C222" s="2" t="s">
        <v>69</v>
      </c>
      <c r="D222" s="3">
        <v>5000</v>
      </c>
      <c r="E222" s="2">
        <v>12.62</v>
      </c>
      <c r="G222" s="25">
        <f t="shared" si="3"/>
        <v>63099.999999999993</v>
      </c>
      <c r="H222" s="25">
        <f t="array" ref="H222">IF(A222=A221,0,SUM(_xlfn._xlws.FILTER(G222:G242,A222:A242=A222)))</f>
        <v>0</v>
      </c>
      <c r="I222" s="25">
        <f t="array" ref="I222">IFERROR(IF(A222=A221,0,SUM(_xlfn._xlws.FILTER(G222:G242,(A222:A242=A222)*(E222:E242&lt;0)))),0)</f>
        <v>0</v>
      </c>
      <c r="J222" s="25">
        <f t="array" ref="J222">IFERROR(IF(A222=A221,0,SUM(_xlfn._xlws.FILTER(G222:G242,(A222:A242=A222)*(E222:E242&gt;0)))),0)</f>
        <v>0</v>
      </c>
      <c r="K222" s="25">
        <f>IF(H222&lt;&gt;0,SUM(H$2:H222),0)</f>
        <v>0</v>
      </c>
      <c r="L222" s="25">
        <f>IF(I222&lt;&gt;0,SUM(I$2:I222),0)</f>
        <v>0</v>
      </c>
      <c r="M222" s="25">
        <f>IF(J222&lt;&gt;0,SUM(J$2:J222),0)</f>
        <v>0</v>
      </c>
    </row>
    <row r="223" spans="1:13" hidden="1" x14ac:dyDescent="0.2">
      <c r="A223" s="1">
        <v>45770</v>
      </c>
      <c r="C223" s="2" t="s">
        <v>288</v>
      </c>
      <c r="D223" s="3">
        <v>5000</v>
      </c>
      <c r="E223" s="2">
        <v>14.97</v>
      </c>
      <c r="G223" s="25">
        <f t="shared" si="3"/>
        <v>74850</v>
      </c>
      <c r="H223" s="25">
        <f t="array" ref="H223">IF(A223=A222,0,SUM(_xlfn._xlws.FILTER(G223:G243,A223:A243=A223)))</f>
        <v>0</v>
      </c>
      <c r="I223" s="25">
        <f t="array" ref="I223">IFERROR(IF(A223=A222,0,SUM(_xlfn._xlws.FILTER(G223:G243,(A223:A243=A223)*(E223:E243&lt;0)))),0)</f>
        <v>0</v>
      </c>
      <c r="J223" s="25">
        <f t="array" ref="J223">IFERROR(IF(A223=A222,0,SUM(_xlfn._xlws.FILTER(G223:G243,(A223:A243=A223)*(E223:E243&gt;0)))),0)</f>
        <v>0</v>
      </c>
      <c r="K223" s="25">
        <f>IF(H223&lt;&gt;0,SUM(H$2:H223),0)</f>
        <v>0</v>
      </c>
      <c r="L223" s="25">
        <f>IF(I223&lt;&gt;0,SUM(I$2:I223),0)</f>
        <v>0</v>
      </c>
      <c r="M223" s="25">
        <f>IF(J223&lt;&gt;0,SUM(J$2:J223),0)</f>
        <v>0</v>
      </c>
    </row>
    <row r="224" spans="1:13" hidden="1" x14ac:dyDescent="0.2">
      <c r="A224" s="5">
        <v>45771</v>
      </c>
      <c r="C224" s="6" t="s">
        <v>222</v>
      </c>
      <c r="D224" s="7">
        <v>8000</v>
      </c>
      <c r="E224" s="6">
        <v>-12.6593</v>
      </c>
      <c r="G224" s="25">
        <f t="shared" si="3"/>
        <v>-101274.4</v>
      </c>
      <c r="H224" s="25">
        <f t="array" ref="H224">IF(A224=A223,0,SUM(_xlfn._xlws.FILTER(G224:G244,A224:A244=A224)))</f>
        <v>-48974.399999999994</v>
      </c>
      <c r="I224" s="25">
        <f t="array" ref="I224">IFERROR(IF(A224=A223,0,SUM(_xlfn._xlws.FILTER(G224:G244,(A224:A244=A224)*(E224:E244&lt;0)))),0)</f>
        <v>-101274.4</v>
      </c>
      <c r="J224" s="25">
        <f t="array" ref="J224">IFERROR(IF(A224=A223,0,SUM(_xlfn._xlws.FILTER(G224:G244,(A224:A244=A224)*(E224:E244&gt;0)))),0)</f>
        <v>52300</v>
      </c>
      <c r="K224" s="25">
        <f>IF(H224&lt;&gt;0,SUM(H$2:H224),0)</f>
        <v>-1081131.5231729997</v>
      </c>
      <c r="L224" s="25">
        <f>IF(I224&lt;&gt;0,SUM(I$2:I224),0)</f>
        <v>-8854291.7750730012</v>
      </c>
      <c r="M224" s="25">
        <f>IF(J224&lt;&gt;0,SUM(J$2:J224),0)</f>
        <v>7773160.2519000005</v>
      </c>
    </row>
    <row r="225" spans="1:13" hidden="1" x14ac:dyDescent="0.2">
      <c r="A225" s="5">
        <v>45771</v>
      </c>
      <c r="C225" s="6" t="s">
        <v>139</v>
      </c>
      <c r="D225" s="7">
        <v>20000</v>
      </c>
      <c r="E225" s="6">
        <v>261.5</v>
      </c>
      <c r="G225" s="25">
        <f t="shared" si="3"/>
        <v>52300</v>
      </c>
      <c r="H225" s="25">
        <f t="array" ref="H225">IF(A225=A224,0,SUM(_xlfn._xlws.FILTER(G225:G245,A225:A245=A225)))</f>
        <v>0</v>
      </c>
      <c r="I225" s="25">
        <f t="array" ref="I225">IFERROR(IF(A225=A224,0,SUM(_xlfn._xlws.FILTER(G225:G245,(A225:A245=A225)*(E225:E245&lt;0)))),0)</f>
        <v>0</v>
      </c>
      <c r="J225" s="25">
        <f t="array" ref="J225">IFERROR(IF(A225=A224,0,SUM(_xlfn._xlws.FILTER(G225:G245,(A225:A245=A225)*(E225:E245&gt;0)))),0)</f>
        <v>0</v>
      </c>
      <c r="K225" s="25">
        <f>IF(H225&lt;&gt;0,SUM(H$2:H225),0)</f>
        <v>0</v>
      </c>
      <c r="L225" s="25">
        <f>IF(I225&lt;&gt;0,SUM(I$2:I225),0)</f>
        <v>0</v>
      </c>
      <c r="M225" s="25">
        <f>IF(J225&lt;&gt;0,SUM(J$2:J225),0)</f>
        <v>0</v>
      </c>
    </row>
    <row r="226" spans="1:13" hidden="1" x14ac:dyDescent="0.2">
      <c r="A226" s="1">
        <v>45768</v>
      </c>
      <c r="C226" s="2" t="s">
        <v>116</v>
      </c>
      <c r="D226" s="3">
        <v>200</v>
      </c>
      <c r="E226" s="2">
        <v>-173.55</v>
      </c>
      <c r="G226" s="25">
        <f t="shared" si="3"/>
        <v>-34710</v>
      </c>
      <c r="H226" s="25">
        <f t="array" ref="H226">IF(A226=A225,0,SUM(_xlfn._xlws.FILTER(G226:G246,A226:A246=A226)))</f>
        <v>-34710</v>
      </c>
      <c r="I226" s="25">
        <f t="array" ref="I226">IFERROR(IF(A226=A225,0,SUM(_xlfn._xlws.FILTER(G226:G246,(A226:A246=A226)*(E226:E246&lt;0)))),0)</f>
        <v>-34710</v>
      </c>
      <c r="J226" s="25">
        <f t="array" ref="J226">IFERROR(IF(A226=A225,0,SUM(_xlfn._xlws.FILTER(G226:G246,(A226:A246=A226)*(E226:E246&gt;0)))),0)</f>
        <v>0</v>
      </c>
      <c r="K226" s="25">
        <f>IF(H226&lt;&gt;0,SUM(H$2:H226),0)</f>
        <v>-1115841.5231729997</v>
      </c>
      <c r="L226" s="25">
        <f>IF(I226&lt;&gt;0,SUM(I$2:I226),0)</f>
        <v>-8889001.7750730012</v>
      </c>
      <c r="M226" s="25">
        <f>IF(J226&lt;&gt;0,SUM(J$2:J226),0)</f>
        <v>0</v>
      </c>
    </row>
    <row r="227" spans="1:13" hidden="1" x14ac:dyDescent="0.2">
      <c r="A227" s="5">
        <v>45764</v>
      </c>
      <c r="C227" s="6" t="s">
        <v>90</v>
      </c>
      <c r="D227" s="7">
        <v>500</v>
      </c>
      <c r="E227" s="6">
        <v>-197.42</v>
      </c>
      <c r="G227" s="25">
        <f t="shared" si="3"/>
        <v>-98710</v>
      </c>
      <c r="H227" s="25">
        <f t="array" ref="H227">IF(A227=A226,0,SUM(_xlfn._xlws.FILTER(G227:G247,A227:A247=A227)))</f>
        <v>-562369.5</v>
      </c>
      <c r="I227" s="25">
        <f t="array" ref="I227">IFERROR(IF(A227=A226,0,SUM(_xlfn._xlws.FILTER(G227:G247,(A227:A247=A227)*(E227:E247&lt;0)))),0)</f>
        <v>-562369.5</v>
      </c>
      <c r="J227" s="25">
        <f t="array" ref="J227">IFERROR(IF(A227=A226,0,SUM(_xlfn._xlws.FILTER(G227:G247,(A227:A247=A227)*(E227:E247&gt;0)))),0)</f>
        <v>0</v>
      </c>
      <c r="K227" s="25">
        <f>IF(H227&lt;&gt;0,SUM(H$2:H227),0)</f>
        <v>-1678211.0231729997</v>
      </c>
      <c r="L227" s="25">
        <f>IF(I227&lt;&gt;0,SUM(I$2:I227),0)</f>
        <v>-9451371.2750730012</v>
      </c>
      <c r="M227" s="25">
        <f>IF(J227&lt;&gt;0,SUM(J$2:J227),0)</f>
        <v>0</v>
      </c>
    </row>
    <row r="228" spans="1:13" hidden="1" x14ac:dyDescent="0.2">
      <c r="A228" s="1">
        <v>45749</v>
      </c>
      <c r="C228" s="2" t="s">
        <v>19</v>
      </c>
      <c r="D228" s="3">
        <v>200</v>
      </c>
      <c r="E228" s="16">
        <v>-603.79999999999995</v>
      </c>
      <c r="G228" s="25">
        <f t="shared" si="3"/>
        <v>-120759.99999999999</v>
      </c>
      <c r="H228" s="25">
        <f t="array" ref="H228">IF(A228=A227,0,SUM(_xlfn._xlws.FILTER(G228:G248,A228:A248=A228)))</f>
        <v>-120759.99999999999</v>
      </c>
      <c r="I228" s="25">
        <f t="array" ref="I228">IFERROR(IF(A228=A227,0,SUM(_xlfn._xlws.FILTER(G228:G248,(A228:A248=A228)*(E228:E248&lt;0)))),0)</f>
        <v>-120759.99999999999</v>
      </c>
      <c r="J228" s="25">
        <f t="array" ref="J228">IFERROR(IF(A228=A227,0,SUM(_xlfn._xlws.FILTER(G228:G248,(A228:A248=A228)*(E228:E248&gt;0)))),0)</f>
        <v>0</v>
      </c>
      <c r="K228" s="25">
        <f>IF(H228&lt;&gt;0,SUM(H$2:H228),0)</f>
        <v>-1798971.0231729997</v>
      </c>
      <c r="L228" s="25">
        <f>IF(I228&lt;&gt;0,SUM(I$2:I228),0)</f>
        <v>-9572131.2750730012</v>
      </c>
      <c r="M228" s="25">
        <f>IF(J228&lt;&gt;0,SUM(J$2:J228),0)</f>
        <v>0</v>
      </c>
    </row>
    <row r="229" spans="1:13" hidden="1" x14ac:dyDescent="0.2">
      <c r="A229" s="1">
        <v>45779</v>
      </c>
      <c r="C229" s="2" t="s">
        <v>74</v>
      </c>
      <c r="D229" s="3">
        <v>3000</v>
      </c>
      <c r="E229" s="2">
        <v>-33.094999999999999</v>
      </c>
      <c r="G229" s="25">
        <f t="shared" si="3"/>
        <v>-99285</v>
      </c>
      <c r="H229" s="25">
        <f t="array" ref="H229">IF(A229=A228,0,SUM(_xlfn._xlws.FILTER(G229:G249,A229:A249=A229)))</f>
        <v>-422700.06000000006</v>
      </c>
      <c r="I229" s="25">
        <f t="array" ref="I229">IFERROR(IF(A229=A228,0,SUM(_xlfn._xlws.FILTER(G229:G249,(A229:A249=A229)*(E229:E249&lt;0)))),0)</f>
        <v>-422700.06000000006</v>
      </c>
      <c r="J229" s="25">
        <f t="array" ref="J229">IFERROR(IF(A229=A228,0,SUM(_xlfn._xlws.FILTER(G229:G249,(A229:A249=A229)*(E229:E249&gt;0)))),0)</f>
        <v>0</v>
      </c>
      <c r="K229" s="25">
        <f>IF(H229&lt;&gt;0,SUM(H$2:H229),0)</f>
        <v>-2221671.0831729998</v>
      </c>
      <c r="L229" s="25">
        <f>IF(I229&lt;&gt;0,SUM(I$2:I229),0)</f>
        <v>-9994831.3350730017</v>
      </c>
      <c r="M229" s="25">
        <f>IF(J229&lt;&gt;0,SUM(J$2:J229),0)</f>
        <v>0</v>
      </c>
    </row>
    <row r="230" spans="1:13" hidden="1" x14ac:dyDescent="0.2">
      <c r="A230" s="1">
        <v>45779</v>
      </c>
      <c r="C230" s="2" t="s">
        <v>190</v>
      </c>
      <c r="D230" s="3">
        <v>2000</v>
      </c>
      <c r="E230" s="2">
        <v>-51.829875000000001</v>
      </c>
      <c r="G230" s="25">
        <f t="shared" si="3"/>
        <v>-103659.75</v>
      </c>
      <c r="H230" s="25">
        <f t="array" ref="H230">IF(A230=A229,0,SUM(_xlfn._xlws.FILTER(G230:G250,A230:A250=A230)))</f>
        <v>0</v>
      </c>
      <c r="I230" s="25">
        <f t="array" ref="I230">IFERROR(IF(A230=A229,0,SUM(_xlfn._xlws.FILTER(G230:G250,(A230:A250=A230)*(E230:E250&lt;0)))),0)</f>
        <v>0</v>
      </c>
      <c r="J230" s="25">
        <f t="array" ref="J230">IFERROR(IF(A230=A229,0,SUM(_xlfn._xlws.FILTER(G230:G250,(A230:A250=A230)*(E230:E250&gt;0)))),0)</f>
        <v>0</v>
      </c>
      <c r="K230" s="25">
        <f>IF(H230&lt;&gt;0,SUM(H$2:H230),0)</f>
        <v>0</v>
      </c>
      <c r="L230" s="25">
        <f>IF(I230&lt;&gt;0,SUM(I$2:I230),0)</f>
        <v>0</v>
      </c>
      <c r="M230" s="25">
        <f>IF(J230&lt;&gt;0,SUM(J$2:J230),0)</f>
        <v>0</v>
      </c>
    </row>
    <row r="231" spans="1:13" hidden="1" x14ac:dyDescent="0.2">
      <c r="A231" s="1">
        <v>45779</v>
      </c>
      <c r="C231" s="2" t="s">
        <v>39</v>
      </c>
      <c r="D231" s="3">
        <v>1990</v>
      </c>
      <c r="E231" s="2">
        <v>-58.935000000000002</v>
      </c>
      <c r="G231" s="25">
        <f t="shared" si="3"/>
        <v>-117280.65000000001</v>
      </c>
      <c r="H231" s="25">
        <f t="array" ref="H231">IF(A231=A230,0,SUM(_xlfn._xlws.FILTER(G231:G251,A231:A251=A231)))</f>
        <v>0</v>
      </c>
      <c r="I231" s="25">
        <f t="array" ref="I231">IFERROR(IF(A231=A230,0,SUM(_xlfn._xlws.FILTER(G231:G251,(A231:A251=A231)*(E231:E251&lt;0)))),0)</f>
        <v>0</v>
      </c>
      <c r="J231" s="25">
        <f t="array" ref="J231">IFERROR(IF(A231=A230,0,SUM(_xlfn._xlws.FILTER(G231:G251,(A231:A251=A231)*(E231:E251&gt;0)))),0)</f>
        <v>0</v>
      </c>
      <c r="K231" s="25">
        <f>IF(H231&lt;&gt;0,SUM(H$2:H231),0)</f>
        <v>0</v>
      </c>
      <c r="L231" s="25">
        <f>IF(I231&lt;&gt;0,SUM(I$2:I231),0)</f>
        <v>0</v>
      </c>
      <c r="M231" s="25">
        <f>IF(J231&lt;&gt;0,SUM(J$2:J231),0)</f>
        <v>0</v>
      </c>
    </row>
    <row r="232" spans="1:13" hidden="1" x14ac:dyDescent="0.2">
      <c r="A232" s="1">
        <v>45779</v>
      </c>
      <c r="C232" s="2" t="s">
        <v>61</v>
      </c>
      <c r="D232" s="3">
        <v>500</v>
      </c>
      <c r="E232" s="2">
        <v>-204.94932</v>
      </c>
      <c r="G232" s="25">
        <f t="shared" si="3"/>
        <v>-102474.66</v>
      </c>
      <c r="H232" s="25">
        <f t="array" ref="H232">IF(A232=A231,0,SUM(_xlfn._xlws.FILTER(G232:G252,A232:A252=A232)))</f>
        <v>0</v>
      </c>
      <c r="I232" s="25">
        <f t="array" ref="I232">IFERROR(IF(A232=A231,0,SUM(_xlfn._xlws.FILTER(G232:G252,(A232:A252=A232)*(E232:E252&lt;0)))),0)</f>
        <v>0</v>
      </c>
      <c r="J232" s="25">
        <f t="array" ref="J232">IFERROR(IF(A232=A231,0,SUM(_xlfn._xlws.FILTER(G232:G252,(A232:A252=A232)*(E232:E252&gt;0)))),0)</f>
        <v>0</v>
      </c>
      <c r="K232" s="25">
        <f>IF(H232&lt;&gt;0,SUM(H$2:H232),0)</f>
        <v>0</v>
      </c>
      <c r="L232" s="25">
        <f>IF(I232&lt;&gt;0,SUM(I$2:I232),0)</f>
        <v>0</v>
      </c>
      <c r="M232" s="25">
        <f>IF(J232&lt;&gt;0,SUM(J$2:J232),0)</f>
        <v>0</v>
      </c>
    </row>
    <row r="233" spans="1:13" hidden="1" x14ac:dyDescent="0.2">
      <c r="A233" s="5">
        <v>45764</v>
      </c>
      <c r="C233" s="6" t="s">
        <v>76</v>
      </c>
      <c r="D233" s="7">
        <v>500</v>
      </c>
      <c r="E233" s="6">
        <v>-62.75</v>
      </c>
      <c r="G233" s="25">
        <f t="shared" si="3"/>
        <v>-31375</v>
      </c>
      <c r="H233" s="25">
        <f t="array" ref="H233">IF(A233=A232,0,SUM(_xlfn._xlws.FILTER(G233:G253,A233:A253=A233)))</f>
        <v>-463659.5</v>
      </c>
      <c r="I233" s="25">
        <f t="array" ref="I233">IFERROR(IF(A233=A232,0,SUM(_xlfn._xlws.FILTER(G233:G253,(A233:A253=A233)*(E233:E253&lt;0)))),0)</f>
        <v>-463659.5</v>
      </c>
      <c r="J233" s="25">
        <f t="array" ref="J233">IFERROR(IF(A233=A232,0,SUM(_xlfn._xlws.FILTER(G233:G253,(A233:A253=A233)*(E233:E253&gt;0)))),0)</f>
        <v>0</v>
      </c>
      <c r="K233" s="25">
        <f>IF(H233&lt;&gt;0,SUM(H$2:H233),0)</f>
        <v>-2685330.5831729998</v>
      </c>
      <c r="L233" s="25">
        <f>IF(I233&lt;&gt;0,SUM(I$2:I233),0)</f>
        <v>-10458490.835073002</v>
      </c>
      <c r="M233" s="25">
        <f>IF(J233&lt;&gt;0,SUM(J$2:J233),0)</f>
        <v>0</v>
      </c>
    </row>
    <row r="234" spans="1:13" hidden="1" x14ac:dyDescent="0.2">
      <c r="A234" s="5">
        <v>45764</v>
      </c>
      <c r="C234" s="6" t="s">
        <v>278</v>
      </c>
      <c r="D234" s="7">
        <v>150</v>
      </c>
      <c r="E234" s="6">
        <v>-378.43</v>
      </c>
      <c r="G234" s="25">
        <f t="shared" si="3"/>
        <v>-56764.5</v>
      </c>
      <c r="H234" s="25">
        <f t="array" ref="H234">IF(A234=A233,0,SUM(_xlfn._xlws.FILTER(G234:G254,A234:A254=A234)))</f>
        <v>0</v>
      </c>
      <c r="I234" s="25">
        <f t="array" ref="I234">IFERROR(IF(A234=A233,0,SUM(_xlfn._xlws.FILTER(G234:G254,(A234:A254=A234)*(E234:E254&lt;0)))),0)</f>
        <v>0</v>
      </c>
      <c r="J234" s="25">
        <f t="array" ref="J234">IFERROR(IF(A234=A233,0,SUM(_xlfn._xlws.FILTER(G234:G254,(A234:A254=A234)*(E234:E254&gt;0)))),0)</f>
        <v>0</v>
      </c>
      <c r="K234" s="25">
        <f>IF(H234&lt;&gt;0,SUM(H$2:H234),0)</f>
        <v>0</v>
      </c>
      <c r="L234" s="25">
        <f>IF(I234&lt;&gt;0,SUM(I$2:I234),0)</f>
        <v>0</v>
      </c>
      <c r="M234" s="25">
        <f>IF(J234&lt;&gt;0,SUM(J$2:J234),0)</f>
        <v>0</v>
      </c>
    </row>
    <row r="235" spans="1:13" hidden="1" x14ac:dyDescent="0.2">
      <c r="A235" s="5">
        <v>45764</v>
      </c>
      <c r="C235" s="6" t="s">
        <v>22</v>
      </c>
      <c r="D235" s="7">
        <v>1000</v>
      </c>
      <c r="E235" s="6">
        <v>-152.32</v>
      </c>
      <c r="G235" s="25">
        <f t="shared" si="3"/>
        <v>-152320</v>
      </c>
      <c r="H235" s="25">
        <f t="array" ref="H235">IF(A235=A234,0,SUM(_xlfn._xlws.FILTER(G235:G255,A235:A255=A235)))</f>
        <v>0</v>
      </c>
      <c r="I235" s="25">
        <f t="array" ref="I235">IFERROR(IF(A235=A234,0,SUM(_xlfn._xlws.FILTER(G235:G255,(A235:A255=A235)*(E235:E255&lt;0)))),0)</f>
        <v>0</v>
      </c>
      <c r="J235" s="25">
        <f t="array" ref="J235">IFERROR(IF(A235=A234,0,SUM(_xlfn._xlws.FILTER(G235:G255,(A235:A255=A235)*(E235:E255&gt;0)))),0)</f>
        <v>0</v>
      </c>
      <c r="K235" s="25">
        <f>IF(H235&lt;&gt;0,SUM(H$2:H235),0)</f>
        <v>0</v>
      </c>
      <c r="L235" s="25">
        <f>IF(I235&lt;&gt;0,SUM(I$2:I235),0)</f>
        <v>0</v>
      </c>
      <c r="M235" s="25">
        <f>IF(J235&lt;&gt;0,SUM(J$2:J235),0)</f>
        <v>0</v>
      </c>
    </row>
    <row r="236" spans="1:13" hidden="1" x14ac:dyDescent="0.2">
      <c r="A236" s="5">
        <v>45764</v>
      </c>
      <c r="C236" s="6" t="s">
        <v>320</v>
      </c>
      <c r="D236" s="7">
        <v>4000</v>
      </c>
      <c r="E236" s="6">
        <v>-55.8</v>
      </c>
      <c r="G236" s="25">
        <f t="shared" si="3"/>
        <v>-223200</v>
      </c>
      <c r="H236" s="25">
        <f t="array" ref="H236">IF(A236=A235,0,SUM(_xlfn._xlws.FILTER(G236:G256,A236:A256=A236)))</f>
        <v>0</v>
      </c>
      <c r="I236" s="25">
        <f t="array" ref="I236">IFERROR(IF(A236=A235,0,SUM(_xlfn._xlws.FILTER(G236:G256,(A236:A256=A236)*(E236:E256&lt;0)))),0)</f>
        <v>0</v>
      </c>
      <c r="J236" s="25">
        <f t="array" ref="J236">IFERROR(IF(A236=A235,0,SUM(_xlfn._xlws.FILTER(G236:G256,(A236:A256=A236)*(E236:E256&gt;0)))),0)</f>
        <v>0</v>
      </c>
      <c r="K236" s="25">
        <f>IF(H236&lt;&gt;0,SUM(H$2:H236),0)</f>
        <v>0</v>
      </c>
      <c r="L236" s="25">
        <f>IF(I236&lt;&gt;0,SUM(I$2:I236),0)</f>
        <v>0</v>
      </c>
      <c r="M236" s="25">
        <f>IF(J236&lt;&gt;0,SUM(J$2:J236),0)</f>
        <v>0</v>
      </c>
    </row>
    <row r="237" spans="1:13" hidden="1" x14ac:dyDescent="0.2">
      <c r="A237" s="1">
        <v>45751</v>
      </c>
      <c r="C237" s="2" t="s">
        <v>105</v>
      </c>
      <c r="D237" s="3">
        <v>2000</v>
      </c>
      <c r="E237" s="2">
        <v>-35.44</v>
      </c>
      <c r="G237" s="25">
        <f t="shared" si="3"/>
        <v>-70880</v>
      </c>
      <c r="H237" s="25">
        <f t="array" ref="H237">IF(A237=A236,0,SUM(_xlfn._xlws.FILTER(G237:G257,A237:A257=A237)))</f>
        <v>-70880</v>
      </c>
      <c r="I237" s="25">
        <f t="array" ref="I237">IFERROR(IF(A237=A236,0,SUM(_xlfn._xlws.FILTER(G237:G257,(A237:A257=A237)*(E237:E257&lt;0)))),0)</f>
        <v>-70880</v>
      </c>
      <c r="J237" s="25">
        <f t="array" ref="J237">IFERROR(IF(A237=A236,0,SUM(_xlfn._xlws.FILTER(G237:G257,(A237:A257=A237)*(E237:E257&gt;0)))),0)</f>
        <v>0</v>
      </c>
      <c r="K237" s="25">
        <f>IF(H237&lt;&gt;0,SUM(H$2:H237),0)</f>
        <v>-2756210.5831729998</v>
      </c>
      <c r="L237" s="25">
        <f>IF(I237&lt;&gt;0,SUM(I$2:I237),0)</f>
        <v>-10529370.835073002</v>
      </c>
      <c r="M237" s="25">
        <f>IF(J237&lt;&gt;0,SUM(J$2:J237),0)</f>
        <v>0</v>
      </c>
    </row>
    <row r="238" spans="1:13" hidden="1" x14ac:dyDescent="0.2">
      <c r="A238" s="5">
        <v>45769</v>
      </c>
      <c r="C238" s="6" t="s">
        <v>94</v>
      </c>
      <c r="D238" s="7">
        <v>5000</v>
      </c>
      <c r="E238" s="6">
        <v>-39.590000000000003</v>
      </c>
      <c r="G238" s="25">
        <f t="shared" si="3"/>
        <v>-197950.00000000003</v>
      </c>
      <c r="H238" s="25">
        <f t="array" ref="H238">IF(A238=A237,0,SUM(_xlfn._xlws.FILTER(G238:G258,A238:A258=A238)))</f>
        <v>-395900.00000000006</v>
      </c>
      <c r="I238" s="25">
        <f t="array" ref="I238">IFERROR(IF(A238=A237,0,SUM(_xlfn._xlws.FILTER(G238:G258,(A238:A258=A238)*(E238:E258&lt;0)))),0)</f>
        <v>-395900.00000000006</v>
      </c>
      <c r="J238" s="25">
        <f t="array" ref="J238">IFERROR(IF(A238=A237,0,SUM(_xlfn._xlws.FILTER(G238:G258,(A238:A258=A238)*(E238:E258&gt;0)))),0)</f>
        <v>0</v>
      </c>
      <c r="K238" s="25">
        <f>IF(H238&lt;&gt;0,SUM(H$2:H238),0)</f>
        <v>-3152110.5831729998</v>
      </c>
      <c r="L238" s="25">
        <f>IF(I238&lt;&gt;0,SUM(I$2:I238),0)</f>
        <v>-10925270.835073002</v>
      </c>
      <c r="M238" s="25">
        <f>IF(J238&lt;&gt;0,SUM(J$2:J238),0)</f>
        <v>0</v>
      </c>
    </row>
    <row r="239" spans="1:13" hidden="1" x14ac:dyDescent="0.2">
      <c r="A239" s="5">
        <v>45769</v>
      </c>
      <c r="C239" s="6" t="s">
        <v>94</v>
      </c>
      <c r="D239" s="7">
        <v>5000</v>
      </c>
      <c r="E239" s="6">
        <v>-39.590000000000003</v>
      </c>
      <c r="G239" s="25">
        <f t="shared" si="3"/>
        <v>-197950.00000000003</v>
      </c>
      <c r="H239" s="25">
        <f t="array" ref="H239">IF(A239=A238,0,SUM(_xlfn._xlws.FILTER(G239:G259,A239:A259=A239)))</f>
        <v>0</v>
      </c>
      <c r="I239" s="25">
        <f t="array" ref="I239">IFERROR(IF(A239=A238,0,SUM(_xlfn._xlws.FILTER(G239:G259,(A239:A259=A239)*(E239:E259&lt;0)))),0)</f>
        <v>0</v>
      </c>
      <c r="J239" s="25">
        <f t="array" ref="J239">IFERROR(IF(A239=A238,0,SUM(_xlfn._xlws.FILTER(G239:G259,(A239:A259=A239)*(E239:E259&gt;0)))),0)</f>
        <v>0</v>
      </c>
      <c r="K239" s="25">
        <f>IF(H239&lt;&gt;0,SUM(H$2:H239),0)</f>
        <v>0</v>
      </c>
      <c r="L239" s="25">
        <f>IF(I239&lt;&gt;0,SUM(I$2:I239),0)</f>
        <v>0</v>
      </c>
      <c r="M239" s="25">
        <f>IF(J239&lt;&gt;0,SUM(J$2:J239),0)</f>
        <v>0</v>
      </c>
    </row>
    <row r="240" spans="1:13" hidden="1" x14ac:dyDescent="0.2">
      <c r="A240" s="1">
        <v>45782</v>
      </c>
      <c r="C240" s="2" t="s">
        <v>222</v>
      </c>
      <c r="D240" s="3">
        <v>2000</v>
      </c>
      <c r="E240" s="2">
        <v>-12.59</v>
      </c>
      <c r="G240" s="25">
        <f t="shared" si="3"/>
        <v>-25180</v>
      </c>
      <c r="H240" s="25">
        <f t="array" ref="H240">IF(A240=A239,0,SUM(_xlfn._xlws.FILTER(G240:G260,A240:A260=A240)))</f>
        <v>201572</v>
      </c>
      <c r="I240" s="25">
        <f t="array" ref="I240">IFERROR(IF(A240=A239,0,SUM(_xlfn._xlws.FILTER(G240:G260,(A240:A260=A240)*(E240:E260&lt;0)))),0)</f>
        <v>-25180</v>
      </c>
      <c r="J240" s="25">
        <f t="array" ref="J240">IFERROR(IF(A240=A239,0,SUM(_xlfn._xlws.FILTER(G240:G260,(A240:A260=A240)*(E240:E260&gt;0)))),0)</f>
        <v>226752</v>
      </c>
      <c r="K240" s="25">
        <f>IF(H240&lt;&gt;0,SUM(H$2:H240),0)</f>
        <v>-2950538.5831729998</v>
      </c>
      <c r="L240" s="25">
        <f>IF(I240&lt;&gt;0,SUM(I$2:I240),0)</f>
        <v>-10950450.835073002</v>
      </c>
      <c r="M240" s="25">
        <f>IF(J240&lt;&gt;0,SUM(J$2:J240),0)</f>
        <v>7999912.2519000005</v>
      </c>
    </row>
    <row r="241" spans="1:13" hidden="1" x14ac:dyDescent="0.2">
      <c r="A241" s="1">
        <v>45782</v>
      </c>
      <c r="C241" s="2" t="s">
        <v>303</v>
      </c>
      <c r="D241" s="3">
        <v>200</v>
      </c>
      <c r="E241" s="2">
        <v>1133.76</v>
      </c>
      <c r="G241" s="25">
        <f t="shared" si="3"/>
        <v>226752</v>
      </c>
      <c r="H241" s="25">
        <f t="array" ref="H241">IF(A241=A240,0,SUM(_xlfn._xlws.FILTER(G241:G261,A241:A261=A241)))</f>
        <v>0</v>
      </c>
      <c r="I241" s="25">
        <f t="array" ref="I241">IFERROR(IF(A241=A240,0,SUM(_xlfn._xlws.FILTER(G241:G261,(A241:A261=A241)*(E241:E261&lt;0)))),0)</f>
        <v>0</v>
      </c>
      <c r="J241" s="25">
        <f t="array" ref="J241">IFERROR(IF(A241=A240,0,SUM(_xlfn._xlws.FILTER(G241:G261,(A241:A261=A241)*(E241:E261&gt;0)))),0)</f>
        <v>0</v>
      </c>
      <c r="K241" s="25">
        <f>IF(H241&lt;&gt;0,SUM(H$2:H241),0)</f>
        <v>0</v>
      </c>
      <c r="L241" s="25">
        <f>IF(I241&lt;&gt;0,SUM(I$2:I241),0)</f>
        <v>0</v>
      </c>
      <c r="M241" s="25">
        <f>IF(J241&lt;&gt;0,SUM(J$2:J241),0)</f>
        <v>0</v>
      </c>
    </row>
    <row r="242" spans="1:13" hidden="1" x14ac:dyDescent="0.2">
      <c r="A242" s="5">
        <v>45784</v>
      </c>
      <c r="C242" s="6" t="s">
        <v>63</v>
      </c>
      <c r="D242" s="7">
        <v>66</v>
      </c>
      <c r="E242" s="6">
        <v>606.66</v>
      </c>
      <c r="G242" s="25">
        <f t="shared" si="3"/>
        <v>40039.56</v>
      </c>
      <c r="H242" s="25">
        <f t="array" ref="H242">IF(A242=A241,0,SUM(_xlfn._xlws.FILTER(G242:G262,A242:A262=A242)))</f>
        <v>40039.56</v>
      </c>
      <c r="I242" s="25">
        <f t="array" ref="I242">IFERROR(IF(A242=A241,0,SUM(_xlfn._xlws.FILTER(G242:G262,(A242:A262=A242)*(E242:E262&lt;0)))),0)</f>
        <v>0</v>
      </c>
      <c r="J242" s="25">
        <f t="array" ref="J242">IFERROR(IF(A242=A241,0,SUM(_xlfn._xlws.FILTER(G242:G262,(A242:A262=A242)*(E242:E262&gt;0)))),0)</f>
        <v>40039.56</v>
      </c>
      <c r="K242" s="25">
        <f>IF(H242&lt;&gt;0,SUM(H$2:H242),0)</f>
        <v>-2910499.0231729997</v>
      </c>
      <c r="L242" s="25">
        <f>IF(I242&lt;&gt;0,SUM(I$2:I242),0)</f>
        <v>0</v>
      </c>
      <c r="M242" s="25">
        <f>IF(J242&lt;&gt;0,SUM(J$2:J242),0)</f>
        <v>8039951.8119000001</v>
      </c>
    </row>
    <row r="243" spans="1:13" hidden="1" x14ac:dyDescent="0.2">
      <c r="A243" s="1">
        <v>45785</v>
      </c>
      <c r="C243" s="2" t="s">
        <v>139</v>
      </c>
      <c r="D243" s="3">
        <v>20000</v>
      </c>
      <c r="E243" s="2">
        <v>2.85</v>
      </c>
      <c r="G243" s="25">
        <f t="shared" si="3"/>
        <v>570</v>
      </c>
      <c r="H243" s="25">
        <f t="array" ref="H243">IF(A243=A242,0,SUM(_xlfn._xlws.FILTER(G243:G263,A243:A263=A243)))</f>
        <v>303440.3125</v>
      </c>
      <c r="I243" s="25">
        <f t="array" ref="I243">IFERROR(IF(A243=A242,0,SUM(_xlfn._xlws.FILTER(G243:G263,(A243:A263=A243)*(E243:E263&lt;0)))),0)</f>
        <v>-262890</v>
      </c>
      <c r="J243" s="25">
        <f t="array" ref="J243">IFERROR(IF(A243=A242,0,SUM(_xlfn._xlws.FILTER(G243:G263,(A243:A263=A243)*(E243:E263&gt;0)))),0)</f>
        <v>566330.3125</v>
      </c>
      <c r="K243" s="25">
        <f>IF(H243&lt;&gt;0,SUM(H$2:H243),0)</f>
        <v>-2607058.7106729997</v>
      </c>
      <c r="L243" s="25">
        <f>IF(I243&lt;&gt;0,SUM(I$2:I243),0)</f>
        <v>-11213340.835073002</v>
      </c>
      <c r="M243" s="25">
        <f>IF(J243&lt;&gt;0,SUM(J$2:J243),0)</f>
        <v>8606282.124400001</v>
      </c>
    </row>
    <row r="244" spans="1:13" hidden="1" x14ac:dyDescent="0.2">
      <c r="A244" s="1">
        <v>45785</v>
      </c>
      <c r="C244" s="2" t="s">
        <v>72</v>
      </c>
      <c r="D244" s="3">
        <v>1250</v>
      </c>
      <c r="E244" s="2">
        <v>32.660249999999998</v>
      </c>
      <c r="G244" s="25">
        <f t="shared" si="3"/>
        <v>40825.3125</v>
      </c>
      <c r="H244" s="25">
        <f t="array" ref="H244">IF(A244=A243,0,SUM(_xlfn._xlws.FILTER(G244:G264,A244:A264=A244)))</f>
        <v>0</v>
      </c>
      <c r="I244" s="25">
        <f t="array" ref="I244">IFERROR(IF(A244=A243,0,SUM(_xlfn._xlws.FILTER(G244:G264,(A244:A264=A244)*(E244:E264&lt;0)))),0)</f>
        <v>0</v>
      </c>
      <c r="J244" s="25">
        <f t="array" ref="J244">IFERROR(IF(A244=A243,0,SUM(_xlfn._xlws.FILTER(G244:G264,(A244:A264=A244)*(E244:E264&gt;0)))),0)</f>
        <v>0</v>
      </c>
      <c r="K244" s="25">
        <f>IF(H244&lt;&gt;0,SUM(H$2:H244),0)</f>
        <v>0</v>
      </c>
      <c r="L244" s="25">
        <f>IF(I244&lt;&gt;0,SUM(I$2:I244),0)</f>
        <v>0</v>
      </c>
      <c r="M244" s="25">
        <f>IF(J244&lt;&gt;0,SUM(J$2:J244),0)</f>
        <v>0</v>
      </c>
    </row>
    <row r="245" spans="1:13" hidden="1" x14ac:dyDescent="0.2">
      <c r="A245" s="1">
        <v>45785</v>
      </c>
      <c r="C245" s="2" t="s">
        <v>259</v>
      </c>
      <c r="D245" s="3">
        <v>500</v>
      </c>
      <c r="E245" s="2">
        <v>265.64999999999998</v>
      </c>
      <c r="G245" s="25">
        <f t="shared" si="3"/>
        <v>132825</v>
      </c>
      <c r="H245" s="25">
        <f t="array" ref="H245">IF(A245=A244,0,SUM(_xlfn._xlws.FILTER(G245:G265,A245:A265=A245)))</f>
        <v>0</v>
      </c>
      <c r="I245" s="25">
        <f t="array" ref="I245">IFERROR(IF(A245=A244,0,SUM(_xlfn._xlws.FILTER(G245:G265,(A245:A265=A245)*(E245:E265&lt;0)))),0)</f>
        <v>0</v>
      </c>
      <c r="J245" s="25">
        <f t="array" ref="J245">IFERROR(IF(A245=A244,0,SUM(_xlfn._xlws.FILTER(G245:G265,(A245:A265=A245)*(E245:E265&gt;0)))),0)</f>
        <v>0</v>
      </c>
      <c r="K245" s="25">
        <f>IF(H245&lt;&gt;0,SUM(H$2:H245),0)</f>
        <v>0</v>
      </c>
      <c r="L245" s="25">
        <f>IF(I245&lt;&gt;0,SUM(I$2:I245),0)</f>
        <v>0</v>
      </c>
      <c r="M245" s="25">
        <f>IF(J245&lt;&gt;0,SUM(J$2:J245),0)</f>
        <v>0</v>
      </c>
    </row>
    <row r="246" spans="1:13" hidden="1" x14ac:dyDescent="0.2">
      <c r="A246" s="1">
        <v>45785</v>
      </c>
      <c r="C246" s="2" t="s">
        <v>262</v>
      </c>
      <c r="D246" s="3">
        <v>500</v>
      </c>
      <c r="E246" s="2">
        <v>265.64999999999998</v>
      </c>
      <c r="G246" s="25">
        <f t="shared" si="3"/>
        <v>132825</v>
      </c>
      <c r="H246" s="25">
        <f t="array" ref="H246">IF(A246=A245,0,SUM(_xlfn._xlws.FILTER(G246:G266,A246:A266=A246)))</f>
        <v>0</v>
      </c>
      <c r="I246" s="25">
        <f t="array" ref="I246">IFERROR(IF(A246=A245,0,SUM(_xlfn._xlws.FILTER(G246:G266,(A246:A266=A246)*(E246:E266&lt;0)))),0)</f>
        <v>0</v>
      </c>
      <c r="J246" s="25">
        <f t="array" ref="J246">IFERROR(IF(A246=A245,0,SUM(_xlfn._xlws.FILTER(G246:G266,(A246:A266=A246)*(E246:E266&gt;0)))),0)</f>
        <v>0</v>
      </c>
      <c r="K246" s="25">
        <f>IF(H246&lt;&gt;0,SUM(H$2:H246),0)</f>
        <v>0</v>
      </c>
      <c r="L246" s="25">
        <f>IF(I246&lt;&gt;0,SUM(I$2:I246),0)</f>
        <v>0</v>
      </c>
      <c r="M246" s="25">
        <f>IF(J246&lt;&gt;0,SUM(J$2:J246),0)</f>
        <v>0</v>
      </c>
    </row>
    <row r="247" spans="1:13" hidden="1" x14ac:dyDescent="0.2">
      <c r="A247" s="1">
        <v>45785</v>
      </c>
      <c r="C247" s="2" t="s">
        <v>94</v>
      </c>
      <c r="D247" s="3">
        <v>1000</v>
      </c>
      <c r="E247" s="2">
        <v>45.76</v>
      </c>
      <c r="G247" s="25">
        <f t="shared" si="3"/>
        <v>45760</v>
      </c>
      <c r="H247" s="25">
        <f t="array" ref="H247">IF(A247=A246,0,SUM(_xlfn._xlws.FILTER(G247:G267,A247:A267=A247)))</f>
        <v>0</v>
      </c>
      <c r="I247" s="25">
        <f t="array" ref="I247">IFERROR(IF(A247=A246,0,SUM(_xlfn._xlws.FILTER(G247:G267,(A247:A267=A247)*(E247:E267&lt;0)))),0)</f>
        <v>0</v>
      </c>
      <c r="J247" s="25">
        <f t="array" ref="J247">IFERROR(IF(A247=A246,0,SUM(_xlfn._xlws.FILTER(G247:G267,(A247:A267=A247)*(E247:E267&gt;0)))),0)</f>
        <v>0</v>
      </c>
      <c r="K247" s="25">
        <f>IF(H247&lt;&gt;0,SUM(H$2:H247),0)</f>
        <v>0</v>
      </c>
      <c r="L247" s="25">
        <f>IF(I247&lt;&gt;0,SUM(I$2:I247),0)</f>
        <v>0</v>
      </c>
      <c r="M247" s="25">
        <f>IF(J247&lt;&gt;0,SUM(J$2:J247),0)</f>
        <v>0</v>
      </c>
    </row>
    <row r="248" spans="1:13" hidden="1" x14ac:dyDescent="0.2">
      <c r="A248" s="1">
        <v>45785</v>
      </c>
      <c r="C248" s="2" t="s">
        <v>69</v>
      </c>
      <c r="D248" s="3">
        <v>3000</v>
      </c>
      <c r="E248" s="2">
        <v>12.664999999999999</v>
      </c>
      <c r="G248" s="25">
        <f t="shared" si="3"/>
        <v>37995</v>
      </c>
      <c r="H248" s="25">
        <f t="array" ref="H248">IF(A248=A247,0,SUM(_xlfn._xlws.FILTER(G248:G268,A248:A268=A248)))</f>
        <v>0</v>
      </c>
      <c r="I248" s="25">
        <f t="array" ref="I248">IFERROR(IF(A248=A247,0,SUM(_xlfn._xlws.FILTER(G248:G268,(A248:A268=A248)*(E248:E268&lt;0)))),0)</f>
        <v>0</v>
      </c>
      <c r="J248" s="25">
        <f t="array" ref="J248">IFERROR(IF(A248=A247,0,SUM(_xlfn._xlws.FILTER(G248:G268,(A248:A268=A248)*(E248:E268&gt;0)))),0)</f>
        <v>0</v>
      </c>
      <c r="K248" s="25">
        <f>IF(H248&lt;&gt;0,SUM(H$2:H248),0)</f>
        <v>0</v>
      </c>
      <c r="L248" s="25">
        <f>IF(I248&lt;&gt;0,SUM(I$2:I248),0)</f>
        <v>0</v>
      </c>
      <c r="M248" s="25">
        <f>IF(J248&lt;&gt;0,SUM(J$2:J248),0)</f>
        <v>0</v>
      </c>
    </row>
    <row r="249" spans="1:13" hidden="1" x14ac:dyDescent="0.2">
      <c r="A249" s="1">
        <v>45785</v>
      </c>
      <c r="C249" s="2" t="s">
        <v>155</v>
      </c>
      <c r="D249" s="3">
        <v>1250</v>
      </c>
      <c r="E249" s="2">
        <v>15.64</v>
      </c>
      <c r="G249" s="25">
        <f t="shared" si="3"/>
        <v>19550</v>
      </c>
      <c r="H249" s="25">
        <f t="array" ref="H249">IF(A249=A248,0,SUM(_xlfn._xlws.FILTER(G249:G269,A249:A269=A249)))</f>
        <v>0</v>
      </c>
      <c r="I249" s="25">
        <f t="array" ref="I249">IFERROR(IF(A249=A248,0,SUM(_xlfn._xlws.FILTER(G249:G269,(A249:A269=A249)*(E249:E269&lt;0)))),0)</f>
        <v>0</v>
      </c>
      <c r="J249" s="25">
        <f t="array" ref="J249">IFERROR(IF(A249=A248,0,SUM(_xlfn._xlws.FILTER(G249:G269,(A249:A269=A249)*(E249:E269&gt;0)))),0)</f>
        <v>0</v>
      </c>
      <c r="K249" s="25">
        <f>IF(H249&lt;&gt;0,SUM(H$2:H249),0)</f>
        <v>0</v>
      </c>
      <c r="L249" s="25">
        <f>IF(I249&lt;&gt;0,SUM(I$2:I249),0)</f>
        <v>0</v>
      </c>
      <c r="M249" s="25">
        <f>IF(J249&lt;&gt;0,SUM(J$2:J249),0)</f>
        <v>0</v>
      </c>
    </row>
    <row r="250" spans="1:13" hidden="1" x14ac:dyDescent="0.2">
      <c r="A250" s="1">
        <v>45785</v>
      </c>
      <c r="C250" s="2" t="s">
        <v>320</v>
      </c>
      <c r="D250" s="3">
        <v>2000</v>
      </c>
      <c r="E250" s="2">
        <v>62.09</v>
      </c>
      <c r="G250" s="25">
        <f t="shared" si="3"/>
        <v>124180</v>
      </c>
      <c r="H250" s="25">
        <f t="array" ref="H250">IF(A250=A249,0,SUM(_xlfn._xlws.FILTER(G250:G270,A250:A270=A250)))</f>
        <v>0</v>
      </c>
      <c r="I250" s="25">
        <f t="array" ref="I250">IFERROR(IF(A250=A249,0,SUM(_xlfn._xlws.FILTER(G250:G270,(A250:A270=A250)*(E250:E270&lt;0)))),0)</f>
        <v>0</v>
      </c>
      <c r="J250" s="25">
        <f t="array" ref="J250">IFERROR(IF(A250=A249,0,SUM(_xlfn._xlws.FILTER(G250:G270,(A250:A270=A250)*(E250:E270&gt;0)))),0)</f>
        <v>0</v>
      </c>
      <c r="K250" s="25">
        <f>IF(H250&lt;&gt;0,SUM(H$2:H250),0)</f>
        <v>0</v>
      </c>
      <c r="L250" s="25">
        <f>IF(I250&lt;&gt;0,SUM(I$2:I250),0)</f>
        <v>0</v>
      </c>
      <c r="M250" s="25">
        <f>IF(J250&lt;&gt;0,SUM(J$2:J250),0)</f>
        <v>0</v>
      </c>
    </row>
    <row r="251" spans="1:13" hidden="1" x14ac:dyDescent="0.2">
      <c r="A251" s="1">
        <v>45785</v>
      </c>
      <c r="C251" s="2" t="s">
        <v>288</v>
      </c>
      <c r="D251" s="3">
        <v>2000</v>
      </c>
      <c r="E251" s="2">
        <v>15.9</v>
      </c>
      <c r="G251" s="25">
        <f t="shared" si="3"/>
        <v>31800</v>
      </c>
      <c r="H251" s="25">
        <f t="array" ref="H251">IF(A251=A250,0,SUM(_xlfn._xlws.FILTER(G251:G271,A251:A271=A251)))</f>
        <v>0</v>
      </c>
      <c r="I251" s="25">
        <f t="array" ref="I251">IFERROR(IF(A251=A250,0,SUM(_xlfn._xlws.FILTER(G251:G271,(A251:A271=A251)*(E251:E271&lt;0)))),0)</f>
        <v>0</v>
      </c>
      <c r="J251" s="25">
        <f t="array" ref="J251">IFERROR(IF(A251=A250,0,SUM(_xlfn._xlws.FILTER(G251:G271,(A251:A271=A251)*(E251:E271&gt;0)))),0)</f>
        <v>0</v>
      </c>
      <c r="K251" s="25">
        <f>IF(H251&lt;&gt;0,SUM(H$2:H251),0)</f>
        <v>0</v>
      </c>
      <c r="L251" s="25">
        <f>IF(I251&lt;&gt;0,SUM(I$2:I251),0)</f>
        <v>0</v>
      </c>
      <c r="M251" s="25">
        <f>IF(J251&lt;&gt;0,SUM(J$2:J251),0)</f>
        <v>0</v>
      </c>
    </row>
    <row r="252" spans="1:13" hidden="1" x14ac:dyDescent="0.2">
      <c r="A252" s="1">
        <v>45785</v>
      </c>
      <c r="C252" s="2" t="s">
        <v>259</v>
      </c>
      <c r="D252" s="3">
        <v>500</v>
      </c>
      <c r="E252" s="2">
        <v>-262.89999999999998</v>
      </c>
      <c r="G252" s="25">
        <f t="shared" si="3"/>
        <v>-131450</v>
      </c>
      <c r="H252" s="25">
        <f t="array" ref="H252">IF(A252=A251,0,SUM(_xlfn._xlws.FILTER(G252:G272,A252:A272=A252)))</f>
        <v>0</v>
      </c>
      <c r="I252" s="25">
        <f t="array" ref="I252">IFERROR(IF(A252=A251,0,SUM(_xlfn._xlws.FILTER(G252:G272,(A252:A272=A252)*(E252:E272&lt;0)))),0)</f>
        <v>0</v>
      </c>
      <c r="J252" s="25">
        <f t="array" ref="J252">IFERROR(IF(A252=A251,0,SUM(_xlfn._xlws.FILTER(G252:G272,(A252:A272=A252)*(E252:E272&gt;0)))),0)</f>
        <v>0</v>
      </c>
      <c r="K252" s="25">
        <f>IF(H252&lt;&gt;0,SUM(H$2:H252),0)</f>
        <v>0</v>
      </c>
      <c r="L252" s="25">
        <f>IF(I252&lt;&gt;0,SUM(I$2:I252),0)</f>
        <v>0</v>
      </c>
      <c r="M252" s="25">
        <f>IF(J252&lt;&gt;0,SUM(J$2:J252),0)</f>
        <v>0</v>
      </c>
    </row>
    <row r="253" spans="1:13" hidden="1" x14ac:dyDescent="0.2">
      <c r="A253" s="1">
        <v>45785</v>
      </c>
      <c r="C253" s="2" t="s">
        <v>262</v>
      </c>
      <c r="D253" s="3">
        <v>500</v>
      </c>
      <c r="E253" s="2">
        <v>-262.88</v>
      </c>
      <c r="G253" s="25">
        <f t="shared" si="3"/>
        <v>-131440</v>
      </c>
      <c r="H253" s="25">
        <f t="array" ref="H253">IF(A253=A252,0,SUM(_xlfn._xlws.FILTER(G253:G273,A253:A273=A253)))</f>
        <v>0</v>
      </c>
      <c r="I253" s="25">
        <f t="array" ref="I253">IFERROR(IF(A253=A252,0,SUM(_xlfn._xlws.FILTER(G253:G273,(A253:A273=A253)*(E253:E273&lt;0)))),0)</f>
        <v>0</v>
      </c>
      <c r="J253" s="25">
        <f t="array" ref="J253">IFERROR(IF(A253=A252,0,SUM(_xlfn._xlws.FILTER(G253:G273,(A253:A273=A253)*(E253:E273&gt;0)))),0)</f>
        <v>0</v>
      </c>
      <c r="K253" s="25">
        <f>IF(H253&lt;&gt;0,SUM(H$2:H253),0)</f>
        <v>0</v>
      </c>
      <c r="L253" s="25">
        <f>IF(I253&lt;&gt;0,SUM(I$2:I253),0)</f>
        <v>0</v>
      </c>
      <c r="M253" s="25">
        <f>IF(J253&lt;&gt;0,SUM(J$2:J253),0)</f>
        <v>0</v>
      </c>
    </row>
    <row r="254" spans="1:13" hidden="1" x14ac:dyDescent="0.2">
      <c r="A254" s="5">
        <v>45786</v>
      </c>
      <c r="C254" s="6" t="s">
        <v>439</v>
      </c>
      <c r="D254" s="7">
        <v>11855</v>
      </c>
      <c r="E254" s="6">
        <v>-0.66</v>
      </c>
      <c r="G254" s="25">
        <f t="shared" si="3"/>
        <v>-7824.3</v>
      </c>
      <c r="H254" s="25">
        <f t="array" ref="H254">IF(A254=A253,0,SUM(_xlfn._xlws.FILTER(G254:G274,A254:A274=A254)))</f>
        <v>-7824.3</v>
      </c>
      <c r="I254" s="25">
        <f t="array" ref="I254">IFERROR(IF(A254=A253,0,SUM(_xlfn._xlws.FILTER(G254:G274,(A254:A274=A254)*(E254:E274&lt;0)))),0)</f>
        <v>-7824.3</v>
      </c>
      <c r="J254" s="25">
        <f t="array" ref="J254">IFERROR(IF(A254=A253,0,SUM(_xlfn._xlws.FILTER(G254:G274,(A254:A274=A254)*(E254:E274&gt;0)))),0)</f>
        <v>0</v>
      </c>
      <c r="K254" s="25">
        <f>IF(H254&lt;&gt;0,SUM(H$2:H254),0)</f>
        <v>-2614883.0106729995</v>
      </c>
      <c r="L254" s="25">
        <f>IF(I254&lt;&gt;0,SUM(I$2:I254),0)</f>
        <v>-11221165.135073002</v>
      </c>
      <c r="M254" s="25">
        <f>IF(J254&lt;&gt;0,SUM(J$2:J254),0)</f>
        <v>0</v>
      </c>
    </row>
    <row r="255" spans="1:13" hidden="1" x14ac:dyDescent="0.2">
      <c r="A255" s="1">
        <v>45789</v>
      </c>
      <c r="C255" s="2" t="s">
        <v>190</v>
      </c>
      <c r="D255" s="3">
        <v>2000</v>
      </c>
      <c r="E255" s="2">
        <v>-50.63</v>
      </c>
      <c r="G255" s="25">
        <f t="shared" si="3"/>
        <v>-101260</v>
      </c>
      <c r="H255" s="25">
        <f t="array" ref="H255">IF(A255=A254,0,SUM(_xlfn._xlws.FILTER(G255:G275,A255:A275=A255)))</f>
        <v>-122670</v>
      </c>
      <c r="I255" s="25">
        <f t="array" ref="I255">IFERROR(IF(A255=A254,0,SUM(_xlfn._xlws.FILTER(G255:G275,(A255:A275=A255)*(E255:E275&lt;0)))),0)</f>
        <v>-170140</v>
      </c>
      <c r="J255" s="25">
        <f t="array" ref="J255">IFERROR(IF(A255=A254,0,SUM(_xlfn._xlws.FILTER(G255:G275,(A255:A275=A255)*(E255:E275&gt;0)))),0)</f>
        <v>47470</v>
      </c>
      <c r="K255" s="25">
        <f>IF(H255&lt;&gt;0,SUM(H$2:H255),0)</f>
        <v>-2737553.0106729995</v>
      </c>
      <c r="L255" s="25">
        <f>IF(I255&lt;&gt;0,SUM(I$2:I255),0)</f>
        <v>-11391305.135073002</v>
      </c>
      <c r="M255" s="25">
        <f>IF(J255&lt;&gt;0,SUM(J$2:J255),0)</f>
        <v>8653752.124400001</v>
      </c>
    </row>
    <row r="256" spans="1:13" hidden="1" x14ac:dyDescent="0.2">
      <c r="A256" s="1">
        <v>45789</v>
      </c>
      <c r="C256" s="2" t="s">
        <v>193</v>
      </c>
      <c r="D256" s="3">
        <v>3000</v>
      </c>
      <c r="E256" s="2">
        <v>-22.96</v>
      </c>
      <c r="G256" s="25">
        <f t="shared" si="3"/>
        <v>-68880</v>
      </c>
      <c r="H256" s="25">
        <f t="array" ref="H256">IF(A256=A255,0,SUM(_xlfn._xlws.FILTER(G256:G276,A256:A276=A256)))</f>
        <v>0</v>
      </c>
      <c r="I256" s="25">
        <f t="array" ref="I256">IFERROR(IF(A256=A255,0,SUM(_xlfn._xlws.FILTER(G256:G276,(A256:A276=A256)*(E256:E276&lt;0)))),0)</f>
        <v>0</v>
      </c>
      <c r="J256" s="25">
        <f t="array" ref="J256">IFERROR(IF(A256=A255,0,SUM(_xlfn._xlws.FILTER(G256:G276,(A256:A276=A256)*(E256:E276&gt;0)))),0)</f>
        <v>0</v>
      </c>
      <c r="K256" s="25">
        <f>IF(H256&lt;&gt;0,SUM(H$2:H256),0)</f>
        <v>0</v>
      </c>
      <c r="L256" s="25">
        <f>IF(I256&lt;&gt;0,SUM(I$2:I256),0)</f>
        <v>0</v>
      </c>
      <c r="M256" s="25">
        <f>IF(J256&lt;&gt;0,SUM(J$2:J256),0)</f>
        <v>0</v>
      </c>
    </row>
    <row r="257" spans="1:13" hidden="1" x14ac:dyDescent="0.2">
      <c r="A257" s="1">
        <v>45789</v>
      </c>
      <c r="C257" s="2" t="s">
        <v>94</v>
      </c>
      <c r="D257" s="3">
        <v>1000</v>
      </c>
      <c r="E257" s="2">
        <v>47.47</v>
      </c>
      <c r="G257" s="25">
        <f t="shared" si="3"/>
        <v>47470</v>
      </c>
      <c r="H257" s="25">
        <f t="array" ref="H257">IF(A257=A256,0,SUM(_xlfn._xlws.FILTER(G257:G277,A257:A277=A257)))</f>
        <v>0</v>
      </c>
      <c r="I257" s="25">
        <f t="array" ref="I257">IFERROR(IF(A257=A256,0,SUM(_xlfn._xlws.FILTER(G257:G277,(A257:A277=A257)*(E257:E277&lt;0)))),0)</f>
        <v>0</v>
      </c>
      <c r="J257" s="25">
        <f t="array" ref="J257">IFERROR(IF(A257=A256,0,SUM(_xlfn._xlws.FILTER(G257:G277,(A257:A277=A257)*(E257:E277&gt;0)))),0)</f>
        <v>0</v>
      </c>
      <c r="K257" s="25">
        <f>IF(H257&lt;&gt;0,SUM(H$2:H257),0)</f>
        <v>0</v>
      </c>
      <c r="L257" s="25">
        <f>IF(I257&lt;&gt;0,SUM(I$2:I257),0)</f>
        <v>0</v>
      </c>
      <c r="M257" s="25">
        <f>IF(J257&lt;&gt;0,SUM(J$2:J257),0)</f>
        <v>0</v>
      </c>
    </row>
    <row r="258" spans="1:13" hidden="1" x14ac:dyDescent="0.2">
      <c r="A258" s="5">
        <v>45790</v>
      </c>
      <c r="C258" s="6" t="s">
        <v>447</v>
      </c>
      <c r="D258" s="7">
        <v>1250</v>
      </c>
      <c r="E258" s="6">
        <v>-14.7</v>
      </c>
      <c r="G258" s="25">
        <f t="shared" ref="G258:G321" si="4">D258*E258*IF(OR(C258="IAG",C258="EZJ",C258="AET"),0.01,1)</f>
        <v>-18375</v>
      </c>
      <c r="H258" s="25">
        <f t="array" ref="H258">IF(A258=A257,0,SUM(_xlfn._xlws.FILTER(G258:G278,A258:A278=A258)))</f>
        <v>-176524</v>
      </c>
      <c r="I258" s="25">
        <f t="array" ref="I258">IFERROR(IF(A258=A257,0,SUM(_xlfn._xlws.FILTER(G258:G278,(A258:A278=A258)*(E258:E278&lt;0)))),0)</f>
        <v>-176524</v>
      </c>
      <c r="J258" s="25">
        <f t="array" ref="J258">IFERROR(IF(A258=A257,0,SUM(_xlfn._xlws.FILTER(G258:G278,(A258:A278=A258)*(E258:E278&gt;0)))),0)</f>
        <v>0</v>
      </c>
      <c r="K258" s="25">
        <f>IF(H258&lt;&gt;0,SUM(H$2:H258),0)</f>
        <v>-2914077.0106729995</v>
      </c>
      <c r="L258" s="25">
        <f>IF(I258&lt;&gt;0,SUM(I$2:I258),0)</f>
        <v>-11567829.135073002</v>
      </c>
      <c r="M258" s="25">
        <f>IF(J258&lt;&gt;0,SUM(J$2:J258),0)</f>
        <v>0</v>
      </c>
    </row>
    <row r="259" spans="1:13" hidden="1" x14ac:dyDescent="0.2">
      <c r="A259" s="5">
        <v>45790</v>
      </c>
      <c r="C259" s="6" t="s">
        <v>288</v>
      </c>
      <c r="D259" s="7">
        <v>2000</v>
      </c>
      <c r="E259" s="6">
        <v>-14.73</v>
      </c>
      <c r="G259" s="25">
        <f t="shared" si="4"/>
        <v>-29460</v>
      </c>
      <c r="H259" s="25">
        <f t="array" ref="H259">IF(A259=A258,0,SUM(_xlfn._xlws.FILTER(G259:G279,A259:A279=A259)))</f>
        <v>0</v>
      </c>
      <c r="I259" s="25">
        <f t="array" ref="I259">IFERROR(IF(A259=A258,0,SUM(_xlfn._xlws.FILTER(G259:G279,(A259:A279=A259)*(E259:E279&lt;0)))),0)</f>
        <v>0</v>
      </c>
      <c r="J259" s="25">
        <f t="array" ref="J259">IFERROR(IF(A259=A258,0,SUM(_xlfn._xlws.FILTER(G259:G279,(A259:A279=A259)*(E259:E279&gt;0)))),0)</f>
        <v>0</v>
      </c>
      <c r="K259" s="25">
        <f>IF(H259&lt;&gt;0,SUM(H$2:H259),0)</f>
        <v>0</v>
      </c>
      <c r="L259" s="25">
        <f>IF(I259&lt;&gt;0,SUM(I$2:I259),0)</f>
        <v>0</v>
      </c>
      <c r="M259" s="25">
        <f>IF(J259&lt;&gt;0,SUM(J$2:J259),0)</f>
        <v>0</v>
      </c>
    </row>
    <row r="260" spans="1:13" hidden="1" x14ac:dyDescent="0.2">
      <c r="A260" s="5">
        <v>45790</v>
      </c>
      <c r="C260" s="6" t="s">
        <v>134</v>
      </c>
      <c r="D260" s="7">
        <v>20000</v>
      </c>
      <c r="E260" s="6">
        <v>-1.91</v>
      </c>
      <c r="G260" s="25">
        <f t="shared" si="4"/>
        <v>-38200</v>
      </c>
      <c r="H260" s="25">
        <f t="array" ref="H260">IF(A260=A259,0,SUM(_xlfn._xlws.FILTER(G260:G280,A260:A280=A260)))</f>
        <v>0</v>
      </c>
      <c r="I260" s="25">
        <f t="array" ref="I260">IFERROR(IF(A260=A259,0,SUM(_xlfn._xlws.FILTER(G260:G280,(A260:A280=A260)*(E260:E280&lt;0)))),0)</f>
        <v>0</v>
      </c>
      <c r="J260" s="25">
        <f t="array" ref="J260">IFERROR(IF(A260=A259,0,SUM(_xlfn._xlws.FILTER(G260:G280,(A260:A280=A260)*(E260:E280&gt;0)))),0)</f>
        <v>0</v>
      </c>
      <c r="K260" s="25">
        <f>IF(H260&lt;&gt;0,SUM(H$2:H260),0)</f>
        <v>0</v>
      </c>
      <c r="L260" s="25">
        <f>IF(I260&lt;&gt;0,SUM(I$2:I260),0)</f>
        <v>0</v>
      </c>
      <c r="M260" s="25">
        <f>IF(J260&lt;&gt;0,SUM(J$2:J260),0)</f>
        <v>0</v>
      </c>
    </row>
    <row r="261" spans="1:13" hidden="1" x14ac:dyDescent="0.2">
      <c r="A261" s="5">
        <v>45790</v>
      </c>
      <c r="C261" s="6" t="s">
        <v>119</v>
      </c>
      <c r="D261" s="7">
        <v>21000</v>
      </c>
      <c r="E261" s="6">
        <v>-1.929</v>
      </c>
      <c r="G261" s="25">
        <f t="shared" si="4"/>
        <v>-40509</v>
      </c>
      <c r="H261" s="25">
        <f t="array" ref="H261">IF(A261=A260,0,SUM(_xlfn._xlws.FILTER(G261:G281,A261:A281=A261)))</f>
        <v>0</v>
      </c>
      <c r="I261" s="25">
        <f t="array" ref="I261">IFERROR(IF(A261=A260,0,SUM(_xlfn._xlws.FILTER(G261:G281,(A261:A281=A261)*(E261:E281&lt;0)))),0)</f>
        <v>0</v>
      </c>
      <c r="J261" s="25">
        <f t="array" ref="J261">IFERROR(IF(A261=A260,0,SUM(_xlfn._xlws.FILTER(G261:G281,(A261:A281=A261)*(E261:E281&gt;0)))),0)</f>
        <v>0</v>
      </c>
      <c r="K261" s="25">
        <f>IF(H261&lt;&gt;0,SUM(H$2:H261),0)</f>
        <v>0</v>
      </c>
      <c r="L261" s="25">
        <f>IF(I261&lt;&gt;0,SUM(I$2:I261),0)</f>
        <v>0</v>
      </c>
      <c r="M261" s="25">
        <f>IF(J261&lt;&gt;0,SUM(J$2:J261),0)</f>
        <v>0</v>
      </c>
    </row>
    <row r="262" spans="1:13" hidden="1" x14ac:dyDescent="0.2">
      <c r="A262" s="5">
        <v>45790</v>
      </c>
      <c r="C262" s="6" t="s">
        <v>190</v>
      </c>
      <c r="D262" s="7">
        <v>1000</v>
      </c>
      <c r="E262" s="6">
        <v>-49.98</v>
      </c>
      <c r="G262" s="25">
        <f t="shared" si="4"/>
        <v>-49980</v>
      </c>
      <c r="H262" s="25">
        <f t="array" ref="H262">IF(A262=A261,0,SUM(_xlfn._xlws.FILTER(G262:G282,A262:A282=A262)))</f>
        <v>0</v>
      </c>
      <c r="I262" s="25">
        <f t="array" ref="I262">IFERROR(IF(A262=A261,0,SUM(_xlfn._xlws.FILTER(G262:G282,(A262:A282=A262)*(E262:E282&lt;0)))),0)</f>
        <v>0</v>
      </c>
      <c r="J262" s="25">
        <f t="array" ref="J262">IFERROR(IF(A262=A261,0,SUM(_xlfn._xlws.FILTER(G262:G282,(A262:A282=A262)*(E262:E282&gt;0)))),0)</f>
        <v>0</v>
      </c>
      <c r="K262" s="25">
        <f>IF(H262&lt;&gt;0,SUM(H$2:H262),0)</f>
        <v>0</v>
      </c>
      <c r="L262" s="25">
        <f>IF(I262&lt;&gt;0,SUM(I$2:I262),0)</f>
        <v>0</v>
      </c>
      <c r="M262" s="25">
        <f>IF(J262&lt;&gt;0,SUM(J$2:J262),0)</f>
        <v>0</v>
      </c>
    </row>
    <row r="263" spans="1:13" hidden="1" x14ac:dyDescent="0.2">
      <c r="A263" s="1">
        <v>45792</v>
      </c>
      <c r="C263" s="2" t="s">
        <v>320</v>
      </c>
      <c r="D263" s="3">
        <v>2000</v>
      </c>
      <c r="E263" s="2">
        <v>63.3</v>
      </c>
      <c r="G263" s="25">
        <f t="shared" si="4"/>
        <v>126600</v>
      </c>
      <c r="H263" s="25">
        <f t="array" ref="H263">IF(A263=A262,0,SUM(_xlfn._xlws.FILTER(G263:G283,A263:A283=A263)))</f>
        <v>155430</v>
      </c>
      <c r="I263" s="25">
        <f t="array" ref="I263">IFERROR(IF(A263=A262,0,SUM(_xlfn._xlws.FILTER(G263:G283,(A263:A283=A263)*(E263:E283&lt;0)))),0)</f>
        <v>0</v>
      </c>
      <c r="J263" s="25">
        <f t="array" ref="J263">IFERROR(IF(A263=A262,0,SUM(_xlfn._xlws.FILTER(G263:G283,(A263:A283=A263)*(E263:E283&gt;0)))),0)</f>
        <v>155430</v>
      </c>
      <c r="K263" s="25">
        <f>IF(H263&lt;&gt;0,SUM(H$2:H263),0)</f>
        <v>-2758647.0106729995</v>
      </c>
      <c r="L263" s="25">
        <f>IF(I263&lt;&gt;0,SUM(I$2:I263),0)</f>
        <v>0</v>
      </c>
      <c r="M263" s="25">
        <f>IF(J263&lt;&gt;0,SUM(J$2:J263),0)</f>
        <v>8809182.124400001</v>
      </c>
    </row>
    <row r="264" spans="1:13" hidden="1" x14ac:dyDescent="0.2">
      <c r="A264" s="1">
        <v>45792</v>
      </c>
      <c r="C264" s="2" t="s">
        <v>31</v>
      </c>
      <c r="D264" s="3">
        <v>1000</v>
      </c>
      <c r="E264" s="2">
        <v>28.83</v>
      </c>
      <c r="G264" s="25">
        <f t="shared" si="4"/>
        <v>28830</v>
      </c>
      <c r="H264" s="25">
        <f t="array" ref="H264">IF(A264=A263,0,SUM(_xlfn._xlws.FILTER(G264:G284,A264:A284=A264)))</f>
        <v>0</v>
      </c>
      <c r="I264" s="25">
        <f t="array" ref="I264">IFERROR(IF(A264=A263,0,SUM(_xlfn._xlws.FILTER(G264:G284,(A264:A284=A264)*(E264:E284&lt;0)))),0)</f>
        <v>0</v>
      </c>
      <c r="J264" s="25">
        <f t="array" ref="J264">IFERROR(IF(A264=A263,0,SUM(_xlfn._xlws.FILTER(G264:G284,(A264:A284=A264)*(E264:E284&gt;0)))),0)</f>
        <v>0</v>
      </c>
      <c r="K264" s="25">
        <f>IF(H264&lt;&gt;0,SUM(H$2:H264),0)</f>
        <v>0</v>
      </c>
      <c r="L264" s="25">
        <f>IF(I264&lt;&gt;0,SUM(I$2:I264),0)</f>
        <v>0</v>
      </c>
      <c r="M264" s="25">
        <f>IF(J264&lt;&gt;0,SUM(J$2:J264),0)</f>
        <v>0</v>
      </c>
    </row>
    <row r="265" spans="1:13" hidden="1" x14ac:dyDescent="0.2">
      <c r="A265" s="5">
        <v>45793</v>
      </c>
      <c r="C265" s="6" t="s">
        <v>458</v>
      </c>
      <c r="D265" s="7">
        <v>18000</v>
      </c>
      <c r="E265" s="15">
        <v>544.20000000000005</v>
      </c>
      <c r="G265" s="25">
        <f t="shared" si="4"/>
        <v>97956</v>
      </c>
      <c r="H265" s="25">
        <f t="array" ref="H265">IF(A265=A264,0,SUM(_xlfn._xlws.FILTER(G265:G285,A265:A285=A265)))</f>
        <v>97956</v>
      </c>
      <c r="I265" s="25">
        <f t="array" ref="I265">IFERROR(IF(A265=A264,0,SUM(_xlfn._xlws.FILTER(G265:G285,(A265:A285=A265)*(E265:E285&lt;0)))),0)</f>
        <v>0</v>
      </c>
      <c r="J265" s="25">
        <f t="array" ref="J265">IFERROR(IF(A265=A264,0,SUM(_xlfn._xlws.FILTER(G265:G285,(A265:A285=A265)*(E265:E285&gt;0)))),0)</f>
        <v>97956</v>
      </c>
      <c r="K265" s="25">
        <f>IF(H265&lt;&gt;0,SUM(H$2:H265),0)</f>
        <v>-2660691.0106729995</v>
      </c>
      <c r="L265" s="25">
        <f>IF(I265&lt;&gt;0,SUM(I$2:I265),0)</f>
        <v>0</v>
      </c>
      <c r="M265" s="25">
        <f>IF(J265&lt;&gt;0,SUM(J$2:J265),0)</f>
        <v>8907138.124400001</v>
      </c>
    </row>
    <row r="266" spans="1:13" hidden="1" x14ac:dyDescent="0.2">
      <c r="A266" s="17" t="s">
        <v>460</v>
      </c>
      <c r="C266" s="6" t="s">
        <v>461</v>
      </c>
      <c r="D266" s="7">
        <v>1000</v>
      </c>
      <c r="E266" s="6">
        <v>-206.73</v>
      </c>
      <c r="G266" s="25">
        <f t="shared" si="4"/>
        <v>-206730</v>
      </c>
      <c r="H266" s="25">
        <f t="array" ref="H266">IF(A266=A265,0,SUM(_xlfn._xlws.FILTER(G266:G286,A266:A286=A266)))</f>
        <v>-377242.5</v>
      </c>
      <c r="I266" s="25">
        <f t="array" ref="I266">IFERROR(IF(A266=A265,0,SUM(_xlfn._xlws.FILTER(G266:G286,(A266:A286=A266)*(E266:E286&lt;0)))),0)</f>
        <v>-410827.5</v>
      </c>
      <c r="J266" s="25">
        <f t="array" ref="J266">IFERROR(IF(A266=A265,0,SUM(_xlfn._xlws.FILTER(G266:G286,(A266:A286=A266)*(E266:E286&gt;0)))),0)</f>
        <v>33585</v>
      </c>
      <c r="K266" s="25">
        <f>IF(H266&lt;&gt;0,SUM(H$2:H266),0)</f>
        <v>-3037933.5106729995</v>
      </c>
      <c r="L266" s="25">
        <f>IF(I266&lt;&gt;0,SUM(I$2:I266),0)</f>
        <v>-11978656.635073002</v>
      </c>
      <c r="M266" s="25">
        <f>IF(J266&lt;&gt;0,SUM(J$2:J266),0)</f>
        <v>8940723.124400001</v>
      </c>
    </row>
    <row r="267" spans="1:13" hidden="1" x14ac:dyDescent="0.2">
      <c r="A267" s="17" t="s">
        <v>460</v>
      </c>
      <c r="C267" s="6" t="s">
        <v>116</v>
      </c>
      <c r="D267" s="7">
        <v>1000</v>
      </c>
      <c r="E267" s="6">
        <v>-204.0975</v>
      </c>
      <c r="G267" s="25">
        <f t="shared" si="4"/>
        <v>-204097.5</v>
      </c>
      <c r="H267" s="25">
        <f t="array" ref="H267">IF(A267=A266,0,SUM(_xlfn._xlws.FILTER(G267:G287,A267:A287=A267)))</f>
        <v>0</v>
      </c>
      <c r="I267" s="25">
        <f t="array" ref="I267">IFERROR(IF(A267=A266,0,SUM(_xlfn._xlws.FILTER(G267:G287,(A267:A287=A267)*(E267:E287&lt;0)))),0)</f>
        <v>0</v>
      </c>
      <c r="J267" s="25">
        <f t="array" ref="J267">IFERROR(IF(A267=A266,0,SUM(_xlfn._xlws.FILTER(G267:G287,(A267:A287=A267)*(E267:E287&gt;0)))),0)</f>
        <v>0</v>
      </c>
      <c r="K267" s="25">
        <f>IF(H267&lt;&gt;0,SUM(H$2:H267),0)</f>
        <v>0</v>
      </c>
      <c r="L267" s="25">
        <f>IF(I267&lt;&gt;0,SUM(I$2:I267),0)</f>
        <v>0</v>
      </c>
      <c r="M267" s="25">
        <f>IF(J267&lt;&gt;0,SUM(J$2:J267),0)</f>
        <v>0</v>
      </c>
    </row>
    <row r="268" spans="1:13" hidden="1" x14ac:dyDescent="0.2">
      <c r="A268" s="17" t="s">
        <v>460</v>
      </c>
      <c r="C268" s="6" t="s">
        <v>139</v>
      </c>
      <c r="D268" s="7">
        <v>10000</v>
      </c>
      <c r="E268" s="6">
        <v>335.85</v>
      </c>
      <c r="G268" s="25">
        <f t="shared" si="4"/>
        <v>33585</v>
      </c>
      <c r="H268" s="25">
        <f t="array" ref="H268">IF(A268=A267,0,SUM(_xlfn._xlws.FILTER(G268:G288,A268:A288=A268)))</f>
        <v>0</v>
      </c>
      <c r="I268" s="25">
        <f t="array" ref="I268">IFERROR(IF(A268=A267,0,SUM(_xlfn._xlws.FILTER(G268:G288,(A268:A288=A268)*(E268:E288&lt;0)))),0)</f>
        <v>0</v>
      </c>
      <c r="J268" s="25">
        <f t="array" ref="J268">IFERROR(IF(A268=A267,0,SUM(_xlfn._xlws.FILTER(G268:G288,(A268:A288=A268)*(E268:E288&gt;0)))),0)</f>
        <v>0</v>
      </c>
      <c r="K268" s="25">
        <f>IF(H268&lt;&gt;0,SUM(H$2:H268),0)</f>
        <v>0</v>
      </c>
      <c r="L268" s="25">
        <f>IF(I268&lt;&gt;0,SUM(I$2:I268),0)</f>
        <v>0</v>
      </c>
      <c r="M268" s="25">
        <f>IF(J268&lt;&gt;0,SUM(J$2:J268),0)</f>
        <v>0</v>
      </c>
    </row>
    <row r="269" spans="1:13" hidden="1" x14ac:dyDescent="0.2">
      <c r="A269" s="5">
        <v>45796</v>
      </c>
      <c r="C269" s="6" t="s">
        <v>149</v>
      </c>
      <c r="D269" s="7">
        <v>4000</v>
      </c>
      <c r="E269" s="15">
        <v>11.251099999999999</v>
      </c>
      <c r="G269" s="25">
        <f t="shared" si="4"/>
        <v>45004.399999999994</v>
      </c>
      <c r="H269" s="25">
        <f t="array" ref="H269">IF(A269=A268,0,SUM(_xlfn._xlws.FILTER(G269:G289,A269:A289=A269)))</f>
        <v>1075210.3</v>
      </c>
      <c r="I269" s="25">
        <f t="array" ref="I269">IFERROR(IF(A269=A268,0,SUM(_xlfn._xlws.FILTER(G269:G289,(A269:A289=A269)*(E269:E289&lt;0)))),0)</f>
        <v>0</v>
      </c>
      <c r="J269" s="25">
        <f t="array" ref="J269">IFERROR(IF(A269=A268,0,SUM(_xlfn._xlws.FILTER(G269:G289,(A269:A289=A269)*(E269:E289&gt;0)))),0)</f>
        <v>1075210.3</v>
      </c>
      <c r="K269" s="25">
        <f>IF(H269&lt;&gt;0,SUM(H$2:H269),0)</f>
        <v>-1962723.2106729995</v>
      </c>
      <c r="L269" s="25">
        <f>IF(I269&lt;&gt;0,SUM(I$2:I269),0)</f>
        <v>0</v>
      </c>
      <c r="M269" s="25">
        <f>IF(J269&lt;&gt;0,SUM(J$2:J269),0)</f>
        <v>10015933.424400002</v>
      </c>
    </row>
    <row r="270" spans="1:13" hidden="1" x14ac:dyDescent="0.2">
      <c r="A270" s="5">
        <v>45796</v>
      </c>
      <c r="C270" s="6" t="s">
        <v>25</v>
      </c>
      <c r="D270" s="7">
        <v>1000</v>
      </c>
      <c r="E270" s="15">
        <v>73.814999999999998</v>
      </c>
      <c r="G270" s="25">
        <f t="shared" si="4"/>
        <v>73815</v>
      </c>
      <c r="H270" s="25">
        <f t="array" ref="H270">IF(A270=A269,0,SUM(_xlfn._xlws.FILTER(G270:G290,A270:A290=A270)))</f>
        <v>0</v>
      </c>
      <c r="I270" s="25">
        <f t="array" ref="I270">IFERROR(IF(A270=A269,0,SUM(_xlfn._xlws.FILTER(G270:G290,(A270:A290=A270)*(E270:E290&lt;0)))),0)</f>
        <v>0</v>
      </c>
      <c r="J270" s="25">
        <f t="array" ref="J270">IFERROR(IF(A270=A269,0,SUM(_xlfn._xlws.FILTER(G270:G290,(A270:A290=A270)*(E270:E290&gt;0)))),0)</f>
        <v>0</v>
      </c>
      <c r="K270" s="25">
        <f>IF(H270&lt;&gt;0,SUM(H$2:H270),0)</f>
        <v>0</v>
      </c>
      <c r="L270" s="25">
        <f>IF(I270&lt;&gt;0,SUM(I$2:I270),0)</f>
        <v>0</v>
      </c>
      <c r="M270" s="25">
        <f>IF(J270&lt;&gt;0,SUM(J$2:J270),0)</f>
        <v>0</v>
      </c>
    </row>
    <row r="271" spans="1:13" hidden="1" x14ac:dyDescent="0.2">
      <c r="A271" s="5">
        <v>45796</v>
      </c>
      <c r="C271" s="6" t="s">
        <v>72</v>
      </c>
      <c r="D271" s="7">
        <v>1500</v>
      </c>
      <c r="E271" s="15">
        <v>32.24</v>
      </c>
      <c r="G271" s="25">
        <f t="shared" si="4"/>
        <v>48360</v>
      </c>
      <c r="H271" s="25">
        <f t="array" ref="H271">IF(A271=A270,0,SUM(_xlfn._xlws.FILTER(G271:G291,A271:A291=A271)))</f>
        <v>0</v>
      </c>
      <c r="I271" s="25">
        <f t="array" ref="I271">IFERROR(IF(A271=A270,0,SUM(_xlfn._xlws.FILTER(G271:G291,(A271:A291=A271)*(E271:E291&lt;0)))),0)</f>
        <v>0</v>
      </c>
      <c r="J271" s="25">
        <f t="array" ref="J271">IFERROR(IF(A271=A270,0,SUM(_xlfn._xlws.FILTER(G271:G291,(A271:A291=A271)*(E271:E291&gt;0)))),0)</f>
        <v>0</v>
      </c>
      <c r="K271" s="25">
        <f>IF(H271&lt;&gt;0,SUM(H$2:H271),0)</f>
        <v>0</v>
      </c>
      <c r="L271" s="25">
        <f>IF(I271&lt;&gt;0,SUM(I$2:I271),0)</f>
        <v>0</v>
      </c>
      <c r="M271" s="25">
        <f>IF(J271&lt;&gt;0,SUM(J$2:J271),0)</f>
        <v>0</v>
      </c>
    </row>
    <row r="272" spans="1:13" hidden="1" x14ac:dyDescent="0.2">
      <c r="A272" s="5">
        <v>45796</v>
      </c>
      <c r="C272" s="6" t="s">
        <v>259</v>
      </c>
      <c r="D272" s="7">
        <v>500</v>
      </c>
      <c r="E272" s="15">
        <v>263.875</v>
      </c>
      <c r="G272" s="25">
        <f t="shared" si="4"/>
        <v>131937.5</v>
      </c>
      <c r="H272" s="25">
        <f t="array" ref="H272">IF(A272=A271,0,SUM(_xlfn._xlws.FILTER(G272:G292,A272:A292=A272)))</f>
        <v>0</v>
      </c>
      <c r="I272" s="25">
        <f t="array" ref="I272">IFERROR(IF(A272=A271,0,SUM(_xlfn._xlws.FILTER(G272:G292,(A272:A292=A272)*(E272:E292&lt;0)))),0)</f>
        <v>0</v>
      </c>
      <c r="J272" s="25">
        <f t="array" ref="J272">IFERROR(IF(A272=A271,0,SUM(_xlfn._xlws.FILTER(G272:G292,(A272:A292=A272)*(E272:E292&gt;0)))),0)</f>
        <v>0</v>
      </c>
      <c r="K272" s="25">
        <f>IF(H272&lt;&gt;0,SUM(H$2:H272),0)</f>
        <v>0</v>
      </c>
      <c r="L272" s="25">
        <f>IF(I272&lt;&gt;0,SUM(I$2:I272),0)</f>
        <v>0</v>
      </c>
      <c r="M272" s="25">
        <f>IF(J272&lt;&gt;0,SUM(J$2:J272),0)</f>
        <v>0</v>
      </c>
    </row>
    <row r="273" spans="1:13" hidden="1" x14ac:dyDescent="0.2">
      <c r="A273" s="5">
        <v>45796</v>
      </c>
      <c r="C273" s="6" t="s">
        <v>262</v>
      </c>
      <c r="D273" s="7">
        <v>500</v>
      </c>
      <c r="E273" s="15">
        <v>263.8</v>
      </c>
      <c r="G273" s="25">
        <f t="shared" si="4"/>
        <v>131900</v>
      </c>
      <c r="H273" s="25">
        <f t="array" ref="H273">IF(A273=A272,0,SUM(_xlfn._xlws.FILTER(G273:G293,A273:A293=A273)))</f>
        <v>0</v>
      </c>
      <c r="I273" s="25">
        <f t="array" ref="I273">IFERROR(IF(A273=A272,0,SUM(_xlfn._xlws.FILTER(G273:G293,(A273:A293=A273)*(E273:E293&lt;0)))),0)</f>
        <v>0</v>
      </c>
      <c r="J273" s="25">
        <f t="array" ref="J273">IFERROR(IF(A273=A272,0,SUM(_xlfn._xlws.FILTER(G273:G293,(A273:A293=A273)*(E273:E293&gt;0)))),0)</f>
        <v>0</v>
      </c>
      <c r="K273" s="25">
        <f>IF(H273&lt;&gt;0,SUM(H$2:H273),0)</f>
        <v>0</v>
      </c>
      <c r="L273" s="25">
        <f>IF(I273&lt;&gt;0,SUM(I$2:I273),0)</f>
        <v>0</v>
      </c>
      <c r="M273" s="25">
        <f>IF(J273&lt;&gt;0,SUM(J$2:J273),0)</f>
        <v>0</v>
      </c>
    </row>
    <row r="274" spans="1:13" hidden="1" x14ac:dyDescent="0.2">
      <c r="A274" s="5">
        <v>45796</v>
      </c>
      <c r="C274" s="6" t="s">
        <v>76</v>
      </c>
      <c r="D274" s="7">
        <v>400</v>
      </c>
      <c r="E274" s="15">
        <v>76.105000000000004</v>
      </c>
      <c r="G274" s="25">
        <f t="shared" si="4"/>
        <v>30442</v>
      </c>
      <c r="H274" s="25">
        <f t="array" ref="H274">IF(A274=A273,0,SUM(_xlfn._xlws.FILTER(G274:G294,A274:A294=A274)))</f>
        <v>0</v>
      </c>
      <c r="I274" s="25">
        <f t="array" ref="I274">IFERROR(IF(A274=A273,0,SUM(_xlfn._xlws.FILTER(G274:G294,(A274:A294=A274)*(E274:E294&lt;0)))),0)</f>
        <v>0</v>
      </c>
      <c r="J274" s="25">
        <f t="array" ref="J274">IFERROR(IF(A274=A273,0,SUM(_xlfn._xlws.FILTER(G274:G294,(A274:A294=A274)*(E274:E294&gt;0)))),0)</f>
        <v>0</v>
      </c>
      <c r="K274" s="25">
        <f>IF(H274&lt;&gt;0,SUM(H$2:H274),0)</f>
        <v>0</v>
      </c>
      <c r="L274" s="25">
        <f>IF(I274&lt;&gt;0,SUM(I$2:I274),0)</f>
        <v>0</v>
      </c>
      <c r="M274" s="25">
        <f>IF(J274&lt;&gt;0,SUM(J$2:J274),0)</f>
        <v>0</v>
      </c>
    </row>
    <row r="275" spans="1:13" hidden="1" x14ac:dyDescent="0.2">
      <c r="A275" s="5">
        <v>45796</v>
      </c>
      <c r="C275" s="6" t="s">
        <v>31</v>
      </c>
      <c r="D275" s="7">
        <v>1000</v>
      </c>
      <c r="E275" s="15">
        <v>29.094999999999999</v>
      </c>
      <c r="G275" s="25">
        <f t="shared" si="4"/>
        <v>29095</v>
      </c>
      <c r="H275" s="25">
        <f t="array" ref="H275">IF(A275=A274,0,SUM(_xlfn._xlws.FILTER(G275:G295,A275:A295=A275)))</f>
        <v>0</v>
      </c>
      <c r="I275" s="25">
        <f t="array" ref="I275">IFERROR(IF(A275=A274,0,SUM(_xlfn._xlws.FILTER(G275:G295,(A275:A295=A275)*(E275:E295&lt;0)))),0)</f>
        <v>0</v>
      </c>
      <c r="J275" s="25">
        <f t="array" ref="J275">IFERROR(IF(A275=A274,0,SUM(_xlfn._xlws.FILTER(G275:G295,(A275:A295=A275)*(E275:E295&gt;0)))),0)</f>
        <v>0</v>
      </c>
      <c r="K275" s="25">
        <f>IF(H275&lt;&gt;0,SUM(H$2:H275),0)</f>
        <v>0</v>
      </c>
      <c r="L275" s="25">
        <f>IF(I275&lt;&gt;0,SUM(I$2:I275),0)</f>
        <v>0</v>
      </c>
      <c r="M275" s="25">
        <f>IF(J275&lt;&gt;0,SUM(J$2:J275),0)</f>
        <v>0</v>
      </c>
    </row>
    <row r="276" spans="1:13" hidden="1" x14ac:dyDescent="0.2">
      <c r="A276" s="5">
        <v>45796</v>
      </c>
      <c r="C276" s="6" t="s">
        <v>176</v>
      </c>
      <c r="D276" s="7">
        <v>750</v>
      </c>
      <c r="E276" s="15">
        <v>62.734999999999999</v>
      </c>
      <c r="G276" s="25">
        <f t="shared" si="4"/>
        <v>47051.25</v>
      </c>
      <c r="H276" s="25">
        <f t="array" ref="H276">IF(A276=A275,0,SUM(_xlfn._xlws.FILTER(G276:G296,A276:A296=A276)))</f>
        <v>0</v>
      </c>
      <c r="I276" s="25">
        <f t="array" ref="I276">IFERROR(IF(A276=A275,0,SUM(_xlfn._xlws.FILTER(G276:G296,(A276:A296=A276)*(E276:E296&lt;0)))),0)</f>
        <v>0</v>
      </c>
      <c r="J276" s="25">
        <f t="array" ref="J276">IFERROR(IF(A276=A275,0,SUM(_xlfn._xlws.FILTER(G276:G296,(A276:A296=A276)*(E276:E296&gt;0)))),0)</f>
        <v>0</v>
      </c>
      <c r="K276" s="25">
        <f>IF(H276&lt;&gt;0,SUM(H$2:H276),0)</f>
        <v>0</v>
      </c>
      <c r="L276" s="25">
        <f>IF(I276&lt;&gt;0,SUM(I$2:I276),0)</f>
        <v>0</v>
      </c>
      <c r="M276" s="25">
        <f>IF(J276&lt;&gt;0,SUM(J$2:J276),0)</f>
        <v>0</v>
      </c>
    </row>
    <row r="277" spans="1:13" hidden="1" x14ac:dyDescent="0.2">
      <c r="A277" s="5">
        <v>45796</v>
      </c>
      <c r="C277" s="6" t="s">
        <v>149</v>
      </c>
      <c r="D277" s="7">
        <v>4000</v>
      </c>
      <c r="E277" s="15">
        <v>11.251099999999999</v>
      </c>
      <c r="G277" s="25">
        <f t="shared" si="4"/>
        <v>45004.399999999994</v>
      </c>
      <c r="H277" s="25">
        <f t="array" ref="H277">IF(A277=A276,0,SUM(_xlfn._xlws.FILTER(G277:G297,A277:A297=A277)))</f>
        <v>0</v>
      </c>
      <c r="I277" s="25">
        <f t="array" ref="I277">IFERROR(IF(A277=A276,0,SUM(_xlfn._xlws.FILTER(G277:G297,(A277:A297=A277)*(E277:E297&lt;0)))),0)</f>
        <v>0</v>
      </c>
      <c r="J277" s="25">
        <f t="array" ref="J277">IFERROR(IF(A277=A276,0,SUM(_xlfn._xlws.FILTER(G277:G297,(A277:A297=A277)*(E277:E297&gt;0)))),0)</f>
        <v>0</v>
      </c>
      <c r="K277" s="25">
        <f>IF(H277&lt;&gt;0,SUM(H$2:H277),0)</f>
        <v>0</v>
      </c>
      <c r="L277" s="25">
        <f>IF(I277&lt;&gt;0,SUM(I$2:I277),0)</f>
        <v>0</v>
      </c>
      <c r="M277" s="25">
        <f>IF(J277&lt;&gt;0,SUM(J$2:J277),0)</f>
        <v>0</v>
      </c>
    </row>
    <row r="278" spans="1:13" hidden="1" x14ac:dyDescent="0.2">
      <c r="A278" s="5">
        <v>45796</v>
      </c>
      <c r="C278" s="6" t="s">
        <v>25</v>
      </c>
      <c r="D278" s="7">
        <v>1000</v>
      </c>
      <c r="E278" s="15">
        <v>73.814999999999998</v>
      </c>
      <c r="G278" s="25">
        <f t="shared" si="4"/>
        <v>73815</v>
      </c>
      <c r="H278" s="25">
        <f t="array" ref="H278">IF(A278=A277,0,SUM(_xlfn._xlws.FILTER(G278:G298,A278:A298=A278)))</f>
        <v>0</v>
      </c>
      <c r="I278" s="25">
        <f t="array" ref="I278">IFERROR(IF(A278=A277,0,SUM(_xlfn._xlws.FILTER(G278:G298,(A278:A298=A278)*(E278:E298&lt;0)))),0)</f>
        <v>0</v>
      </c>
      <c r="J278" s="25">
        <f t="array" ref="J278">IFERROR(IF(A278=A277,0,SUM(_xlfn._xlws.FILTER(G278:G298,(A278:A298=A278)*(E278:E298&gt;0)))),0)</f>
        <v>0</v>
      </c>
      <c r="K278" s="25">
        <f>IF(H278&lt;&gt;0,SUM(H$2:H278),0)</f>
        <v>0</v>
      </c>
      <c r="L278" s="25">
        <f>IF(I278&lt;&gt;0,SUM(I$2:I278),0)</f>
        <v>0</v>
      </c>
      <c r="M278" s="25">
        <f>IF(J278&lt;&gt;0,SUM(J$2:J278),0)</f>
        <v>0</v>
      </c>
    </row>
    <row r="279" spans="1:13" hidden="1" x14ac:dyDescent="0.2">
      <c r="A279" s="5">
        <v>45796</v>
      </c>
      <c r="C279" s="6" t="s">
        <v>72</v>
      </c>
      <c r="D279" s="7">
        <v>1500</v>
      </c>
      <c r="E279" s="15">
        <v>32.24</v>
      </c>
      <c r="G279" s="25">
        <f t="shared" si="4"/>
        <v>48360</v>
      </c>
      <c r="H279" s="25">
        <f t="array" ref="H279">IF(A279=A278,0,SUM(_xlfn._xlws.FILTER(G279:G299,A279:A299=A279)))</f>
        <v>0</v>
      </c>
      <c r="I279" s="25">
        <f t="array" ref="I279">IFERROR(IF(A279=A278,0,SUM(_xlfn._xlws.FILTER(G279:G299,(A279:A299=A279)*(E279:E299&lt;0)))),0)</f>
        <v>0</v>
      </c>
      <c r="J279" s="25">
        <f t="array" ref="J279">IFERROR(IF(A279=A278,0,SUM(_xlfn._xlws.FILTER(G279:G299,(A279:A299=A279)*(E279:E299&gt;0)))),0)</f>
        <v>0</v>
      </c>
      <c r="K279" s="25">
        <f>IF(H279&lt;&gt;0,SUM(H$2:H279),0)</f>
        <v>0</v>
      </c>
      <c r="L279" s="25">
        <f>IF(I279&lt;&gt;0,SUM(I$2:I279),0)</f>
        <v>0</v>
      </c>
      <c r="M279" s="25">
        <f>IF(J279&lt;&gt;0,SUM(J$2:J279),0)</f>
        <v>0</v>
      </c>
    </row>
    <row r="280" spans="1:13" hidden="1" x14ac:dyDescent="0.2">
      <c r="A280" s="5">
        <v>45796</v>
      </c>
      <c r="C280" s="6" t="s">
        <v>259</v>
      </c>
      <c r="D280" s="7">
        <v>500</v>
      </c>
      <c r="E280" s="15">
        <v>263.875</v>
      </c>
      <c r="G280" s="25">
        <f t="shared" si="4"/>
        <v>131937.5</v>
      </c>
      <c r="H280" s="25">
        <f t="array" ref="H280">IF(A280=A279,0,SUM(_xlfn._xlws.FILTER(G280:G300,A280:A300=A280)))</f>
        <v>0</v>
      </c>
      <c r="I280" s="25">
        <f t="array" ref="I280">IFERROR(IF(A280=A279,0,SUM(_xlfn._xlws.FILTER(G280:G300,(A280:A300=A280)*(E280:E300&lt;0)))),0)</f>
        <v>0</v>
      </c>
      <c r="J280" s="25">
        <f t="array" ref="J280">IFERROR(IF(A280=A279,0,SUM(_xlfn._xlws.FILTER(G280:G300,(A280:A300=A280)*(E280:E300&gt;0)))),0)</f>
        <v>0</v>
      </c>
      <c r="K280" s="25">
        <f>IF(H280&lt;&gt;0,SUM(H$2:H280),0)</f>
        <v>0</v>
      </c>
      <c r="L280" s="25">
        <f>IF(I280&lt;&gt;0,SUM(I$2:I280),0)</f>
        <v>0</v>
      </c>
      <c r="M280" s="25">
        <f>IF(J280&lt;&gt;0,SUM(J$2:J280),0)</f>
        <v>0</v>
      </c>
    </row>
    <row r="281" spans="1:13" hidden="1" x14ac:dyDescent="0.2">
      <c r="A281" s="5">
        <v>45796</v>
      </c>
      <c r="C281" s="6" t="s">
        <v>262</v>
      </c>
      <c r="D281" s="7">
        <v>500</v>
      </c>
      <c r="E281" s="15">
        <v>263.8</v>
      </c>
      <c r="G281" s="25">
        <f t="shared" si="4"/>
        <v>131900</v>
      </c>
      <c r="H281" s="25">
        <f t="array" ref="H281">IF(A281=A280,0,SUM(_xlfn._xlws.FILTER(G281:G301,A281:A301=A281)))</f>
        <v>0</v>
      </c>
      <c r="I281" s="25">
        <f t="array" ref="I281">IFERROR(IF(A281=A280,0,SUM(_xlfn._xlws.FILTER(G281:G301,(A281:A301=A281)*(E281:E301&lt;0)))),0)</f>
        <v>0</v>
      </c>
      <c r="J281" s="25">
        <f t="array" ref="J281">IFERROR(IF(A281=A280,0,SUM(_xlfn._xlws.FILTER(G281:G301,(A281:A301=A281)*(E281:E301&gt;0)))),0)</f>
        <v>0</v>
      </c>
      <c r="K281" s="25">
        <f>IF(H281&lt;&gt;0,SUM(H$2:H281),0)</f>
        <v>0</v>
      </c>
      <c r="L281" s="25">
        <f>IF(I281&lt;&gt;0,SUM(I$2:I281),0)</f>
        <v>0</v>
      </c>
      <c r="M281" s="25">
        <f>IF(J281&lt;&gt;0,SUM(J$2:J281),0)</f>
        <v>0</v>
      </c>
    </row>
    <row r="282" spans="1:13" hidden="1" x14ac:dyDescent="0.2">
      <c r="A282" s="5">
        <v>45796</v>
      </c>
      <c r="C282" s="6" t="s">
        <v>76</v>
      </c>
      <c r="D282" s="7">
        <v>400</v>
      </c>
      <c r="E282" s="15">
        <v>76.105000000000004</v>
      </c>
      <c r="G282" s="25">
        <f t="shared" si="4"/>
        <v>30442</v>
      </c>
      <c r="H282" s="25">
        <f t="array" ref="H282">IF(A282=A281,0,SUM(_xlfn._xlws.FILTER(G282:G302,A282:A302=A282)))</f>
        <v>0</v>
      </c>
      <c r="I282" s="25">
        <f t="array" ref="I282">IFERROR(IF(A282=A281,0,SUM(_xlfn._xlws.FILTER(G282:G302,(A282:A302=A282)*(E282:E302&lt;0)))),0)</f>
        <v>0</v>
      </c>
      <c r="J282" s="25">
        <f t="array" ref="J282">IFERROR(IF(A282=A281,0,SUM(_xlfn._xlws.FILTER(G282:G302,(A282:A302=A282)*(E282:E302&gt;0)))),0)</f>
        <v>0</v>
      </c>
      <c r="K282" s="25">
        <f>IF(H282&lt;&gt;0,SUM(H$2:H282),0)</f>
        <v>0</v>
      </c>
      <c r="L282" s="25">
        <f>IF(I282&lt;&gt;0,SUM(I$2:I282),0)</f>
        <v>0</v>
      </c>
      <c r="M282" s="25">
        <f>IF(J282&lt;&gt;0,SUM(J$2:J282),0)</f>
        <v>0</v>
      </c>
    </row>
    <row r="283" spans="1:13" hidden="1" x14ac:dyDescent="0.2">
      <c r="A283" s="5">
        <v>45796</v>
      </c>
      <c r="C283" s="6" t="s">
        <v>31</v>
      </c>
      <c r="D283" s="7">
        <v>1000</v>
      </c>
      <c r="E283" s="15">
        <v>29.094999999999999</v>
      </c>
      <c r="G283" s="25">
        <f t="shared" si="4"/>
        <v>29095</v>
      </c>
      <c r="H283" s="25">
        <f t="array" ref="H283">IF(A283=A282,0,SUM(_xlfn._xlws.FILTER(G283:G303,A283:A303=A283)))</f>
        <v>0</v>
      </c>
      <c r="I283" s="25">
        <f t="array" ref="I283">IFERROR(IF(A283=A282,0,SUM(_xlfn._xlws.FILTER(G283:G303,(A283:A303=A283)*(E283:E303&lt;0)))),0)</f>
        <v>0</v>
      </c>
      <c r="J283" s="25">
        <f t="array" ref="J283">IFERROR(IF(A283=A282,0,SUM(_xlfn._xlws.FILTER(G283:G303,(A283:A303=A283)*(E283:E303&gt;0)))),0)</f>
        <v>0</v>
      </c>
      <c r="K283" s="25">
        <f>IF(H283&lt;&gt;0,SUM(H$2:H283),0)</f>
        <v>0</v>
      </c>
      <c r="L283" s="25">
        <f>IF(I283&lt;&gt;0,SUM(I$2:I283),0)</f>
        <v>0</v>
      </c>
      <c r="M283" s="25">
        <f>IF(J283&lt;&gt;0,SUM(J$2:J283),0)</f>
        <v>0</v>
      </c>
    </row>
    <row r="284" spans="1:13" hidden="1" x14ac:dyDescent="0.2">
      <c r="A284" s="5">
        <v>45796</v>
      </c>
      <c r="C284" s="6" t="s">
        <v>176</v>
      </c>
      <c r="D284" s="7">
        <v>750</v>
      </c>
      <c r="E284" s="15">
        <v>62.734999999999999</v>
      </c>
      <c r="G284" s="25">
        <f t="shared" si="4"/>
        <v>47051.25</v>
      </c>
      <c r="H284" s="25">
        <f t="array" ref="H284">IF(A284=A283,0,SUM(_xlfn._xlws.FILTER(G284:G304,A284:A304=A284)))</f>
        <v>0</v>
      </c>
      <c r="I284" s="25">
        <f t="array" ref="I284">IFERROR(IF(A284=A283,0,SUM(_xlfn._xlws.FILTER(G284:G304,(A284:A304=A284)*(E284:E304&lt;0)))),0)</f>
        <v>0</v>
      </c>
      <c r="J284" s="25">
        <f t="array" ref="J284">IFERROR(IF(A284=A283,0,SUM(_xlfn._xlws.FILTER(G284:G304,(A284:A304=A284)*(E284:E304&gt;0)))),0)</f>
        <v>0</v>
      </c>
      <c r="K284" s="25">
        <f>IF(H284&lt;&gt;0,SUM(H$2:H284),0)</f>
        <v>0</v>
      </c>
      <c r="L284" s="25">
        <f>IF(I284&lt;&gt;0,SUM(I$2:I284),0)</f>
        <v>0</v>
      </c>
      <c r="M284" s="25">
        <f>IF(J284&lt;&gt;0,SUM(J$2:J284),0)</f>
        <v>0</v>
      </c>
    </row>
    <row r="285" spans="1:13" hidden="1" x14ac:dyDescent="0.2">
      <c r="A285" s="1">
        <v>45799</v>
      </c>
      <c r="C285" s="2" t="s">
        <v>69</v>
      </c>
      <c r="D285" s="3">
        <v>3000</v>
      </c>
      <c r="E285" s="2">
        <v>13.3</v>
      </c>
      <c r="G285" s="25">
        <f t="shared" si="4"/>
        <v>39900</v>
      </c>
      <c r="H285" s="25">
        <f t="array" ref="H285">IF(A285=A284,0,SUM(_xlfn._xlws.FILTER(G285:G305,A285:A305=A285)))</f>
        <v>39900</v>
      </c>
      <c r="I285" s="25">
        <f t="array" ref="I285">IFERROR(IF(A285=A284,0,SUM(_xlfn._xlws.FILTER(G285:G305,(A285:A305=A285)*(E285:E305&lt;0)))),0)</f>
        <v>0</v>
      </c>
      <c r="J285" s="25">
        <f t="array" ref="J285">IFERROR(IF(A285=A284,0,SUM(_xlfn._xlws.FILTER(G285:G305,(A285:A305=A285)*(E285:E305&gt;0)))),0)</f>
        <v>39900</v>
      </c>
      <c r="K285" s="25">
        <f>IF(H285&lt;&gt;0,SUM(H$2:H285),0)</f>
        <v>-1922823.2106729995</v>
      </c>
      <c r="L285" s="25">
        <f>IF(I285&lt;&gt;0,SUM(I$2:I285),0)</f>
        <v>0</v>
      </c>
      <c r="M285" s="25">
        <f>IF(J285&lt;&gt;0,SUM(J$2:J285),0)</f>
        <v>10055833.424400002</v>
      </c>
    </row>
    <row r="286" spans="1:13" hidden="1" x14ac:dyDescent="0.2">
      <c r="A286" s="5">
        <v>45800</v>
      </c>
      <c r="C286" s="6" t="s">
        <v>288</v>
      </c>
      <c r="D286" s="7">
        <v>3000</v>
      </c>
      <c r="E286" s="15">
        <v>15.547513</v>
      </c>
      <c r="G286" s="25">
        <f t="shared" si="4"/>
        <v>46642.539000000004</v>
      </c>
      <c r="H286" s="25">
        <f t="array" ref="H286">IF(A286=A285,0,SUM(_xlfn._xlws.FILTER(G286:G306,A286:A306=A286)))</f>
        <v>-151472.96100000001</v>
      </c>
      <c r="I286" s="25">
        <f t="array" ref="I286">IFERROR(IF(A286=A285,0,SUM(_xlfn._xlws.FILTER(G286:G306,(A286:A306=A286)*(E286:E306&lt;0)))),0)</f>
        <v>-395891</v>
      </c>
      <c r="J286" s="25">
        <f t="array" ref="J286">IFERROR(IF(A286=A285,0,SUM(_xlfn._xlws.FILTER(G286:G306,(A286:A306=A286)*(E286:E306&gt;0)))),0)</f>
        <v>244418.03899999999</v>
      </c>
      <c r="K286" s="25">
        <f>IF(H286&lt;&gt;0,SUM(H$2:H286),0)</f>
        <v>-2074296.1716729994</v>
      </c>
      <c r="L286" s="25">
        <f>IF(I286&lt;&gt;0,SUM(I$2:I286),0)</f>
        <v>-12374547.635073002</v>
      </c>
      <c r="M286" s="25">
        <f>IF(J286&lt;&gt;0,SUM(J$2:J286),0)</f>
        <v>10300251.463400003</v>
      </c>
    </row>
    <row r="287" spans="1:13" hidden="1" x14ac:dyDescent="0.2">
      <c r="A287" s="5">
        <v>45800</v>
      </c>
      <c r="C287" s="6" t="s">
        <v>52</v>
      </c>
      <c r="D287" s="7">
        <v>650</v>
      </c>
      <c r="E287" s="15">
        <v>160.91</v>
      </c>
      <c r="G287" s="25">
        <f t="shared" si="4"/>
        <v>104591.5</v>
      </c>
      <c r="H287" s="25">
        <f t="array" ref="H287">IF(A287=A286,0,SUM(_xlfn._xlws.FILTER(G287:G307,A287:A307=A287)))</f>
        <v>0</v>
      </c>
      <c r="I287" s="25">
        <f t="array" ref="I287">IFERROR(IF(A287=A286,0,SUM(_xlfn._xlws.FILTER(G287:G307,(A287:A307=A287)*(E287:E307&lt;0)))),0)</f>
        <v>0</v>
      </c>
      <c r="J287" s="25">
        <f t="array" ref="J287">IFERROR(IF(A287=A286,0,SUM(_xlfn._xlws.FILTER(G287:G307,(A287:A307=A287)*(E287:E307&gt;0)))),0)</f>
        <v>0</v>
      </c>
      <c r="K287" s="25">
        <f>IF(H287&lt;&gt;0,SUM(H$2:H287),0)</f>
        <v>0</v>
      </c>
      <c r="L287" s="25">
        <f>IF(I287&lt;&gt;0,SUM(I$2:I287),0)</f>
        <v>0</v>
      </c>
      <c r="M287" s="25">
        <f>IF(J287&lt;&gt;0,SUM(J$2:J287),0)</f>
        <v>0</v>
      </c>
    </row>
    <row r="288" spans="1:13" hidden="1" x14ac:dyDescent="0.2">
      <c r="A288" s="5">
        <v>45800</v>
      </c>
      <c r="C288" s="6" t="s">
        <v>37</v>
      </c>
      <c r="D288" s="7">
        <v>200</v>
      </c>
      <c r="E288" s="15">
        <v>229.82</v>
      </c>
      <c r="G288" s="25">
        <f t="shared" si="4"/>
        <v>45964</v>
      </c>
      <c r="H288" s="25">
        <f t="array" ref="H288">IF(A288=A287,0,SUM(_xlfn._xlws.FILTER(G288:G308,A288:A308=A288)))</f>
        <v>0</v>
      </c>
      <c r="I288" s="25">
        <f t="array" ref="I288">IFERROR(IF(A288=A287,0,SUM(_xlfn._xlws.FILTER(G288:G308,(A288:A308=A288)*(E288:E308&lt;0)))),0)</f>
        <v>0</v>
      </c>
      <c r="J288" s="25">
        <f t="array" ref="J288">IFERROR(IF(A288=A287,0,SUM(_xlfn._xlws.FILTER(G288:G308,(A288:A308=A288)*(E288:E308&gt;0)))),0)</f>
        <v>0</v>
      </c>
      <c r="K288" s="25">
        <f>IF(H288&lt;&gt;0,SUM(H$2:H288),0)</f>
        <v>0</v>
      </c>
      <c r="L288" s="25">
        <f>IF(I288&lt;&gt;0,SUM(I$2:I288),0)</f>
        <v>0</v>
      </c>
      <c r="M288" s="25">
        <f>IF(J288&lt;&gt;0,SUM(J$2:J288),0)</f>
        <v>0</v>
      </c>
    </row>
    <row r="289" spans="1:13" hidden="1" x14ac:dyDescent="0.2">
      <c r="A289" s="5">
        <v>45800</v>
      </c>
      <c r="C289" s="6" t="s">
        <v>256</v>
      </c>
      <c r="D289" s="7">
        <v>10000</v>
      </c>
      <c r="E289" s="15">
        <v>-12.82</v>
      </c>
      <c r="G289" s="25">
        <f t="shared" si="4"/>
        <v>-128200</v>
      </c>
      <c r="H289" s="25">
        <f t="array" ref="H289">IF(A289=A288,0,SUM(_xlfn._xlws.FILTER(G289:G309,A289:A309=A289)))</f>
        <v>0</v>
      </c>
      <c r="I289" s="25">
        <f t="array" ref="I289">IFERROR(IF(A289=A288,0,SUM(_xlfn._xlws.FILTER(G289:G309,(A289:A309=A289)*(E289:E309&lt;0)))),0)</f>
        <v>0</v>
      </c>
      <c r="J289" s="25">
        <f t="array" ref="J289">IFERROR(IF(A289=A288,0,SUM(_xlfn._xlws.FILTER(G289:G309,(A289:A309=A289)*(E289:E309&gt;0)))),0)</f>
        <v>0</v>
      </c>
      <c r="K289" s="25">
        <f>IF(H289&lt;&gt;0,SUM(H$2:H289),0)</f>
        <v>0</v>
      </c>
      <c r="L289" s="25">
        <f>IF(I289&lt;&gt;0,SUM(I$2:I289),0)</f>
        <v>0</v>
      </c>
      <c r="M289" s="25">
        <f>IF(J289&lt;&gt;0,SUM(J$2:J289),0)</f>
        <v>0</v>
      </c>
    </row>
    <row r="290" spans="1:13" hidden="1" x14ac:dyDescent="0.2">
      <c r="A290" s="5">
        <v>45800</v>
      </c>
      <c r="C290" s="6" t="s">
        <v>72</v>
      </c>
      <c r="D290" s="7">
        <v>4000</v>
      </c>
      <c r="E290" s="15">
        <v>-32.119999999999997</v>
      </c>
      <c r="G290" s="25">
        <f t="shared" si="4"/>
        <v>-128479.99999999999</v>
      </c>
      <c r="H290" s="25">
        <f t="array" ref="H290">IF(A290=A289,0,SUM(_xlfn._xlws.FILTER(G290:G310,A290:A310=A290)))</f>
        <v>0</v>
      </c>
      <c r="I290" s="25">
        <f t="array" ref="I290">IFERROR(IF(A290=A289,0,SUM(_xlfn._xlws.FILTER(G290:G310,(A290:A310=A290)*(E290:E310&lt;0)))),0)</f>
        <v>0</v>
      </c>
      <c r="J290" s="25">
        <f t="array" ref="J290">IFERROR(IF(A290=A289,0,SUM(_xlfn._xlws.FILTER(G290:G310,(A290:A310=A290)*(E290:E310&gt;0)))),0)</f>
        <v>0</v>
      </c>
      <c r="K290" s="25">
        <f>IF(H290&lt;&gt;0,SUM(H$2:H290),0)</f>
        <v>0</v>
      </c>
      <c r="L290" s="25">
        <f>IF(I290&lt;&gt;0,SUM(I$2:I290),0)</f>
        <v>0</v>
      </c>
      <c r="M290" s="25">
        <f>IF(J290&lt;&gt;0,SUM(J$2:J290),0)</f>
        <v>0</v>
      </c>
    </row>
    <row r="291" spans="1:13" hidden="1" x14ac:dyDescent="0.2">
      <c r="A291" s="5">
        <v>45800</v>
      </c>
      <c r="C291" s="6" t="s">
        <v>139</v>
      </c>
      <c r="D291" s="7">
        <v>10000</v>
      </c>
      <c r="E291" s="15">
        <v>-317.01</v>
      </c>
      <c r="G291" s="25">
        <f t="shared" si="4"/>
        <v>-31701</v>
      </c>
      <c r="H291" s="25">
        <f t="array" ref="H291">IF(A291=A290,0,SUM(_xlfn._xlws.FILTER(G291:G311,A291:A311=A291)))</f>
        <v>0</v>
      </c>
      <c r="I291" s="25">
        <f t="array" ref="I291">IFERROR(IF(A291=A290,0,SUM(_xlfn._xlws.FILTER(G291:G311,(A291:A311=A291)*(E291:E311&lt;0)))),0)</f>
        <v>0</v>
      </c>
      <c r="J291" s="25">
        <f t="array" ref="J291">IFERROR(IF(A291=A290,0,SUM(_xlfn._xlws.FILTER(G291:G311,(A291:A311=A291)*(E291:E311&gt;0)))),0)</f>
        <v>0</v>
      </c>
      <c r="K291" s="25">
        <f>IF(H291&lt;&gt;0,SUM(H$2:H291),0)</f>
        <v>0</v>
      </c>
      <c r="L291" s="25">
        <f>IF(I291&lt;&gt;0,SUM(I$2:I291),0)</f>
        <v>0</v>
      </c>
      <c r="M291" s="25">
        <f>IF(J291&lt;&gt;0,SUM(J$2:J291),0)</f>
        <v>0</v>
      </c>
    </row>
    <row r="292" spans="1:13" hidden="1" x14ac:dyDescent="0.2">
      <c r="A292" s="5">
        <v>45800</v>
      </c>
      <c r="C292" s="6" t="s">
        <v>25</v>
      </c>
      <c r="D292" s="7">
        <v>1000</v>
      </c>
      <c r="E292" s="15">
        <v>-66.36</v>
      </c>
      <c r="G292" s="25">
        <f t="shared" si="4"/>
        <v>-66360</v>
      </c>
      <c r="H292" s="25">
        <f t="array" ref="H292">IF(A292=A291,0,SUM(_xlfn._xlws.FILTER(G292:G312,A292:A312=A292)))</f>
        <v>0</v>
      </c>
      <c r="I292" s="25">
        <f t="array" ref="I292">IFERROR(IF(A292=A291,0,SUM(_xlfn._xlws.FILTER(G292:G312,(A292:A312=A292)*(E292:E312&lt;0)))),0)</f>
        <v>0</v>
      </c>
      <c r="J292" s="25">
        <f t="array" ref="J292">IFERROR(IF(A292=A291,0,SUM(_xlfn._xlws.FILTER(G292:G312,(A292:A312=A292)*(E292:E312&gt;0)))),0)</f>
        <v>0</v>
      </c>
      <c r="K292" s="25">
        <f>IF(H292&lt;&gt;0,SUM(H$2:H292),0)</f>
        <v>0</v>
      </c>
      <c r="L292" s="25">
        <f>IF(I292&lt;&gt;0,SUM(I$2:I292),0)</f>
        <v>0</v>
      </c>
      <c r="M292" s="25">
        <f>IF(J292&lt;&gt;0,SUM(J$2:J292),0)</f>
        <v>0</v>
      </c>
    </row>
    <row r="293" spans="1:13" hidden="1" x14ac:dyDescent="0.2">
      <c r="A293" s="5">
        <v>45800</v>
      </c>
      <c r="C293" s="6" t="s">
        <v>486</v>
      </c>
      <c r="D293" s="7">
        <v>5000</v>
      </c>
      <c r="E293" s="15">
        <v>-8.23</v>
      </c>
      <c r="G293" s="25">
        <f t="shared" si="4"/>
        <v>-41150</v>
      </c>
      <c r="H293" s="25">
        <f t="array" ref="H293">IF(A293=A292,0,SUM(_xlfn._xlws.FILTER(G293:G313,A293:A313=A293)))</f>
        <v>0</v>
      </c>
      <c r="I293" s="25">
        <f t="array" ref="I293">IFERROR(IF(A293=A292,0,SUM(_xlfn._xlws.FILTER(G293:G313,(A293:A313=A293)*(E293:E313&lt;0)))),0)</f>
        <v>0</v>
      </c>
      <c r="J293" s="25">
        <f t="array" ref="J293">IFERROR(IF(A293=A292,0,SUM(_xlfn._xlws.FILTER(G293:G313,(A293:A313=A293)*(E293:E313&gt;0)))),0)</f>
        <v>0</v>
      </c>
      <c r="K293" s="25">
        <f>IF(H293&lt;&gt;0,SUM(H$2:H293),0)</f>
        <v>0</v>
      </c>
      <c r="L293" s="25">
        <f>IF(I293&lt;&gt;0,SUM(I$2:I293),0)</f>
        <v>0</v>
      </c>
      <c r="M293" s="25">
        <f>IF(J293&lt;&gt;0,SUM(J$2:J293),0)</f>
        <v>0</v>
      </c>
    </row>
    <row r="294" spans="1:13" hidden="1" x14ac:dyDescent="0.2">
      <c r="A294" s="5">
        <v>45800</v>
      </c>
      <c r="C294" s="6" t="s">
        <v>447</v>
      </c>
      <c r="D294" s="7">
        <v>3000</v>
      </c>
      <c r="E294" s="15">
        <v>15.74</v>
      </c>
      <c r="G294" s="25">
        <f t="shared" si="4"/>
        <v>47220</v>
      </c>
      <c r="H294" s="25">
        <f t="array" ref="H294">IF(A294=A293,0,SUM(_xlfn._xlws.FILTER(G294:G314,A294:A314=A294)))</f>
        <v>0</v>
      </c>
      <c r="I294" s="25">
        <f t="array" ref="I294">IFERROR(IF(A294=A293,0,SUM(_xlfn._xlws.FILTER(G294:G314,(A294:A314=A294)*(E294:E314&lt;0)))),0)</f>
        <v>0</v>
      </c>
      <c r="J294" s="25">
        <f t="array" ref="J294">IFERROR(IF(A294=A293,0,SUM(_xlfn._xlws.FILTER(G294:G314,(A294:A314=A294)*(E294:E314&gt;0)))),0)</f>
        <v>0</v>
      </c>
      <c r="K294" s="25">
        <f>IF(H294&lt;&gt;0,SUM(H$2:H294),0)</f>
        <v>0</v>
      </c>
      <c r="L294" s="25">
        <f>IF(I294&lt;&gt;0,SUM(I$2:I294),0)</f>
        <v>0</v>
      </c>
      <c r="M294" s="25">
        <f>IF(J294&lt;&gt;0,SUM(J$2:J294),0)</f>
        <v>0</v>
      </c>
    </row>
    <row r="295" spans="1:13" hidden="1" x14ac:dyDescent="0.2">
      <c r="A295" s="1">
        <v>45804</v>
      </c>
      <c r="C295" s="2" t="s">
        <v>139</v>
      </c>
      <c r="D295" s="3">
        <v>40000</v>
      </c>
      <c r="E295" s="2">
        <v>333.9</v>
      </c>
      <c r="G295" s="25">
        <f t="shared" si="4"/>
        <v>133560</v>
      </c>
      <c r="H295" s="25">
        <f t="array" ref="H295">IF(A295=A294,0,SUM(_xlfn._xlws.FILTER(G295:G315,A295:A315=A295)))</f>
        <v>133560</v>
      </c>
      <c r="I295" s="25">
        <f t="array" ref="I295">IFERROR(IF(A295=A294,0,SUM(_xlfn._xlws.FILTER(G295:G315,(A295:A315=A295)*(E295:E315&lt;0)))),0)</f>
        <v>0</v>
      </c>
      <c r="J295" s="25">
        <f t="array" ref="J295">IFERROR(IF(A295=A294,0,SUM(_xlfn._xlws.FILTER(G295:G315,(A295:A315=A295)*(E295:E315&gt;0)))),0)</f>
        <v>133560</v>
      </c>
      <c r="K295" s="25">
        <f>IF(H295&lt;&gt;0,SUM(H$2:H295),0)</f>
        <v>-1940736.1716729994</v>
      </c>
      <c r="L295" s="25">
        <f>IF(I295&lt;&gt;0,SUM(I$2:I295),0)</f>
        <v>0</v>
      </c>
      <c r="M295" s="25">
        <f>IF(J295&lt;&gt;0,SUM(J$2:J295),0)</f>
        <v>10433811.463400003</v>
      </c>
    </row>
    <row r="296" spans="1:13" hidden="1" x14ac:dyDescent="0.2">
      <c r="A296" s="1">
        <v>45806</v>
      </c>
      <c r="C296" s="2" t="s">
        <v>193</v>
      </c>
      <c r="D296" s="3">
        <v>1000</v>
      </c>
      <c r="E296" s="2">
        <v>-24.42</v>
      </c>
      <c r="G296" s="25">
        <f t="shared" si="4"/>
        <v>-24420</v>
      </c>
      <c r="H296" s="25">
        <f t="array" ref="H296">IF(A296=A295,0,SUM(_xlfn._xlws.FILTER(G296:G316,A296:A316=A296)))</f>
        <v>137812.25</v>
      </c>
      <c r="I296" s="25">
        <f t="array" ref="I296">IFERROR(IF(A296=A295,0,SUM(_xlfn._xlws.FILTER(G296:G316,(A296:A316=A296)*(E296:E316&lt;0)))),0)</f>
        <v>-24420</v>
      </c>
      <c r="J296" s="25">
        <f t="array" ref="J296">IFERROR(IF(A296=A295,0,SUM(_xlfn._xlws.FILTER(G296:G316,(A296:A316=A296)*(E296:E316&gt;0)))),0)</f>
        <v>162232.25</v>
      </c>
      <c r="K296" s="25">
        <f>IF(H296&lt;&gt;0,SUM(H$2:H296),0)</f>
        <v>-1802923.9216729994</v>
      </c>
      <c r="L296" s="25">
        <f>IF(I296&lt;&gt;0,SUM(I$2:I296),0)</f>
        <v>-12398967.635073002</v>
      </c>
      <c r="M296" s="25">
        <f>IF(J296&lt;&gt;0,SUM(J$2:J296),0)</f>
        <v>10596043.713400003</v>
      </c>
    </row>
    <row r="297" spans="1:13" hidden="1" x14ac:dyDescent="0.2">
      <c r="A297" s="1">
        <v>45806</v>
      </c>
      <c r="C297" s="2" t="s">
        <v>37</v>
      </c>
      <c r="D297" s="3">
        <v>250</v>
      </c>
      <c r="E297" s="2">
        <v>241.72900000000001</v>
      </c>
      <c r="G297" s="25">
        <f t="shared" si="4"/>
        <v>60432.25</v>
      </c>
      <c r="H297" s="25">
        <f t="array" ref="H297">IF(A297=A296,0,SUM(_xlfn._xlws.FILTER(G297:G317,A297:A317=A297)))</f>
        <v>0</v>
      </c>
      <c r="I297" s="25">
        <f t="array" ref="I297">IFERROR(IF(A297=A296,0,SUM(_xlfn._xlws.FILTER(G297:G317,(A297:A317=A297)*(E297:E317&lt;0)))),0)</f>
        <v>0</v>
      </c>
      <c r="J297" s="25">
        <f t="array" ref="J297">IFERROR(IF(A297=A296,0,SUM(_xlfn._xlws.FILTER(G297:G317,(A297:A317=A297)*(E297:E317&gt;0)))),0)</f>
        <v>0</v>
      </c>
      <c r="K297" s="25">
        <f>IF(H297&lt;&gt;0,SUM(H$2:H297),0)</f>
        <v>0</v>
      </c>
      <c r="L297" s="25">
        <f>IF(I297&lt;&gt;0,SUM(I$2:I297),0)</f>
        <v>0</v>
      </c>
      <c r="M297" s="25">
        <f>IF(J297&lt;&gt;0,SUM(J$2:J297),0)</f>
        <v>0</v>
      </c>
    </row>
    <row r="298" spans="1:13" hidden="1" x14ac:dyDescent="0.2">
      <c r="A298" s="1">
        <v>45806</v>
      </c>
      <c r="C298" s="2" t="s">
        <v>230</v>
      </c>
      <c r="D298" s="3">
        <v>10000</v>
      </c>
      <c r="E298" s="2">
        <v>10.18</v>
      </c>
      <c r="G298" s="25">
        <f t="shared" si="4"/>
        <v>101800</v>
      </c>
      <c r="H298" s="25">
        <f t="array" ref="H298">IF(A298=A297,0,SUM(_xlfn._xlws.FILTER(G298:G318,A298:A318=A298)))</f>
        <v>0</v>
      </c>
      <c r="I298" s="25">
        <f t="array" ref="I298">IFERROR(IF(A298=A297,0,SUM(_xlfn._xlws.FILTER(G298:G318,(A298:A318=A298)*(E298:E318&lt;0)))),0)</f>
        <v>0</v>
      </c>
      <c r="J298" s="25">
        <f t="array" ref="J298">IFERROR(IF(A298=A297,0,SUM(_xlfn._xlws.FILTER(G298:G318,(A298:A318=A298)*(E298:E318&gt;0)))),0)</f>
        <v>0</v>
      </c>
      <c r="K298" s="25">
        <f>IF(H298&lt;&gt;0,SUM(H$2:H298),0)</f>
        <v>0</v>
      </c>
      <c r="L298" s="25">
        <f>IF(I298&lt;&gt;0,SUM(I$2:I298),0)</f>
        <v>0</v>
      </c>
      <c r="M298" s="25">
        <f>IF(J298&lt;&gt;0,SUM(J$2:J298),0)</f>
        <v>0</v>
      </c>
    </row>
    <row r="299" spans="1:13" hidden="1" x14ac:dyDescent="0.2">
      <c r="A299" s="5">
        <v>45807</v>
      </c>
      <c r="C299" s="6" t="s">
        <v>15</v>
      </c>
      <c r="D299" s="7">
        <v>500</v>
      </c>
      <c r="E299" s="15">
        <v>-32.950000000000003</v>
      </c>
      <c r="G299" s="25">
        <f t="shared" si="4"/>
        <v>-16475</v>
      </c>
      <c r="H299" s="25">
        <f t="array" ref="H299">IF(A299=A298,0,SUM(_xlfn._xlws.FILTER(G299:G319,A299:A319=A299)))</f>
        <v>-1289260.112</v>
      </c>
      <c r="I299" s="25">
        <f t="array" ref="I299">IFERROR(IF(A299=A298,0,SUM(_xlfn._xlws.FILTER(G299:G319,(A299:A319=A299)*(E299:E319&lt;0)))),0)</f>
        <v>-1289260.112</v>
      </c>
      <c r="J299" s="25">
        <f t="array" ref="J299">IFERROR(IF(A299=A298,0,SUM(_xlfn._xlws.FILTER(G299:G319,(A299:A319=A299)*(E299:E319&gt;0)))),0)</f>
        <v>0</v>
      </c>
      <c r="K299" s="25">
        <f>IF(H299&lt;&gt;0,SUM(H$2:H299),0)</f>
        <v>-3092184.0336729996</v>
      </c>
      <c r="L299" s="25">
        <f>IF(I299&lt;&gt;0,SUM(I$2:I299),0)</f>
        <v>-13688227.747073002</v>
      </c>
      <c r="M299" s="25">
        <f>IF(J299&lt;&gt;0,SUM(J$2:J299),0)</f>
        <v>0</v>
      </c>
    </row>
    <row r="300" spans="1:13" hidden="1" x14ac:dyDescent="0.2">
      <c r="A300" s="5">
        <v>45807</v>
      </c>
      <c r="C300" s="6" t="s">
        <v>105</v>
      </c>
      <c r="D300" s="7">
        <v>4000</v>
      </c>
      <c r="E300" s="15">
        <v>-32.950000000000003</v>
      </c>
      <c r="G300" s="25">
        <f t="shared" si="4"/>
        <v>-131800</v>
      </c>
      <c r="H300" s="25">
        <f t="array" ref="H300">IF(A300=A299,0,SUM(_xlfn._xlws.FILTER(G300:G320,A300:A320=A300)))</f>
        <v>0</v>
      </c>
      <c r="I300" s="25">
        <f t="array" ref="I300">IFERROR(IF(A300=A299,0,SUM(_xlfn._xlws.FILTER(G300:G320,(A300:A320=A300)*(E300:E320&lt;0)))),0)</f>
        <v>0</v>
      </c>
      <c r="J300" s="25">
        <f t="array" ref="J300">IFERROR(IF(A300=A299,0,SUM(_xlfn._xlws.FILTER(G300:G320,(A300:A320=A300)*(E300:E320&gt;0)))),0)</f>
        <v>0</v>
      </c>
      <c r="K300" s="25">
        <f>IF(H300&lt;&gt;0,SUM(H$2:H300),0)</f>
        <v>0</v>
      </c>
      <c r="L300" s="25">
        <f>IF(I300&lt;&gt;0,SUM(I$2:I300),0)</f>
        <v>0</v>
      </c>
      <c r="M300" s="25">
        <f>IF(J300&lt;&gt;0,SUM(J$2:J300),0)</f>
        <v>0</v>
      </c>
    </row>
    <row r="301" spans="1:13" hidden="1" x14ac:dyDescent="0.2">
      <c r="A301" s="5">
        <v>45807</v>
      </c>
      <c r="C301" s="6" t="s">
        <v>222</v>
      </c>
      <c r="D301" s="7">
        <v>8000</v>
      </c>
      <c r="E301" s="15">
        <v>-12.96</v>
      </c>
      <c r="G301" s="25">
        <f t="shared" si="4"/>
        <v>-103680</v>
      </c>
      <c r="H301" s="25">
        <f t="array" ref="H301">IF(A301=A300,0,SUM(_xlfn._xlws.FILTER(G301:G321,A301:A321=A301)))</f>
        <v>0</v>
      </c>
      <c r="I301" s="25">
        <f t="array" ref="I301">IFERROR(IF(A301=A300,0,SUM(_xlfn._xlws.FILTER(G301:G321,(A301:A321=A301)*(E301:E321&lt;0)))),0)</f>
        <v>0</v>
      </c>
      <c r="J301" s="25">
        <f t="array" ref="J301">IFERROR(IF(A301=A300,0,SUM(_xlfn._xlws.FILTER(G301:G321,(A301:A321=A301)*(E301:E321&gt;0)))),0)</f>
        <v>0</v>
      </c>
      <c r="K301" s="25">
        <f>IF(H301&lt;&gt;0,SUM(H$2:H301),0)</f>
        <v>0</v>
      </c>
      <c r="L301" s="25">
        <f>IF(I301&lt;&gt;0,SUM(I$2:I301),0)</f>
        <v>0</v>
      </c>
      <c r="M301" s="25">
        <f>IF(J301&lt;&gt;0,SUM(J$2:J301),0)</f>
        <v>0</v>
      </c>
    </row>
    <row r="302" spans="1:13" hidden="1" x14ac:dyDescent="0.2">
      <c r="A302" s="5">
        <v>45807</v>
      </c>
      <c r="C302" s="6" t="s">
        <v>69</v>
      </c>
      <c r="D302" s="7">
        <v>6000</v>
      </c>
      <c r="E302" s="15">
        <v>-13.19</v>
      </c>
      <c r="G302" s="25">
        <f t="shared" si="4"/>
        <v>-79140</v>
      </c>
      <c r="H302" s="25">
        <f t="array" ref="H302">IF(A302=A301,0,SUM(_xlfn._xlws.FILTER(G302:G322,A302:A322=A302)))</f>
        <v>0</v>
      </c>
      <c r="I302" s="25">
        <f t="array" ref="I302">IFERROR(IF(A302=A301,0,SUM(_xlfn._xlws.FILTER(G302:G322,(A302:A322=A302)*(E302:E322&lt;0)))),0)</f>
        <v>0</v>
      </c>
      <c r="J302" s="25">
        <f t="array" ref="J302">IFERROR(IF(A302=A301,0,SUM(_xlfn._xlws.FILTER(G302:G322,(A302:A322=A302)*(E302:E322&gt;0)))),0)</f>
        <v>0</v>
      </c>
      <c r="K302" s="25">
        <f>IF(H302&lt;&gt;0,SUM(H$2:H302),0)</f>
        <v>0</v>
      </c>
      <c r="L302" s="25">
        <f>IF(I302&lt;&gt;0,SUM(I$2:I302),0)</f>
        <v>0</v>
      </c>
      <c r="M302" s="25">
        <f>IF(J302&lt;&gt;0,SUM(J$2:J302),0)</f>
        <v>0</v>
      </c>
    </row>
    <row r="303" spans="1:13" hidden="1" x14ac:dyDescent="0.2">
      <c r="A303" s="5">
        <v>45807</v>
      </c>
      <c r="C303" s="6" t="s">
        <v>90</v>
      </c>
      <c r="D303" s="7">
        <v>3000</v>
      </c>
      <c r="E303" s="15">
        <v>-201.75086999999999</v>
      </c>
      <c r="G303" s="25">
        <f t="shared" si="4"/>
        <v>-605252.61</v>
      </c>
      <c r="H303" s="25">
        <f t="array" ref="H303">IF(A303=A302,0,SUM(_xlfn._xlws.FILTER(G303:G323,A303:A323=A303)))</f>
        <v>0</v>
      </c>
      <c r="I303" s="25">
        <f t="array" ref="I303">IFERROR(IF(A303=A302,0,SUM(_xlfn._xlws.FILTER(G303:G323,(A303:A323=A303)*(E303:E323&lt;0)))),0)</f>
        <v>0</v>
      </c>
      <c r="J303" s="25">
        <f t="array" ref="J303">IFERROR(IF(A303=A302,0,SUM(_xlfn._xlws.FILTER(G303:G323,(A303:A323=A303)*(E303:E323&gt;0)))),0)</f>
        <v>0</v>
      </c>
      <c r="K303" s="25">
        <f>IF(H303&lt;&gt;0,SUM(H$2:H303),0)</f>
        <v>0</v>
      </c>
      <c r="L303" s="25">
        <f>IF(I303&lt;&gt;0,SUM(I$2:I303),0)</f>
        <v>0</v>
      </c>
      <c r="M303" s="25">
        <f>IF(J303&lt;&gt;0,SUM(J$2:J303),0)</f>
        <v>0</v>
      </c>
    </row>
    <row r="304" spans="1:13" hidden="1" x14ac:dyDescent="0.2">
      <c r="A304" s="5">
        <v>45807</v>
      </c>
      <c r="C304" s="6" t="s">
        <v>31</v>
      </c>
      <c r="D304" s="7">
        <v>4000</v>
      </c>
      <c r="E304" s="15">
        <v>-24.949998000000001</v>
      </c>
      <c r="G304" s="25">
        <f t="shared" si="4"/>
        <v>-99799.991999999998</v>
      </c>
      <c r="H304" s="25">
        <f t="array" ref="H304">IF(A304=A303,0,SUM(_xlfn._xlws.FILTER(G304:G324,A304:A324=A304)))</f>
        <v>0</v>
      </c>
      <c r="I304" s="25">
        <f t="array" ref="I304">IFERROR(IF(A304=A303,0,SUM(_xlfn._xlws.FILTER(G304:G324,(A304:A324=A304)*(E304:E324&lt;0)))),0)</f>
        <v>0</v>
      </c>
      <c r="J304" s="25">
        <f t="array" ref="J304">IFERROR(IF(A304=A303,0,SUM(_xlfn._xlws.FILTER(G304:G324,(A304:A324=A304)*(E304:E324&gt;0)))),0)</f>
        <v>0</v>
      </c>
      <c r="K304" s="25">
        <f>IF(H304&lt;&gt;0,SUM(H$2:H304),0)</f>
        <v>0</v>
      </c>
      <c r="L304" s="25">
        <f>IF(I304&lt;&gt;0,SUM(I$2:I304),0)</f>
        <v>0</v>
      </c>
      <c r="M304" s="25">
        <f>IF(J304&lt;&gt;0,SUM(J$2:J304),0)</f>
        <v>0</v>
      </c>
    </row>
    <row r="305" spans="1:13" hidden="1" x14ac:dyDescent="0.2">
      <c r="A305" s="5">
        <v>45807</v>
      </c>
      <c r="C305" s="6" t="s">
        <v>41</v>
      </c>
      <c r="D305" s="7">
        <v>2000</v>
      </c>
      <c r="E305" s="15">
        <v>-68.399500000000003</v>
      </c>
      <c r="G305" s="25">
        <f t="shared" si="4"/>
        <v>-136799</v>
      </c>
      <c r="H305" s="25">
        <f t="array" ref="H305">IF(A305=A304,0,SUM(_xlfn._xlws.FILTER(G305:G325,A305:A325=A305)))</f>
        <v>0</v>
      </c>
      <c r="I305" s="25">
        <f t="array" ref="I305">IFERROR(IF(A305=A304,0,SUM(_xlfn._xlws.FILTER(G305:G325,(A305:A325=A305)*(E305:E325&lt;0)))),0)</f>
        <v>0</v>
      </c>
      <c r="J305" s="25">
        <f t="array" ref="J305">IFERROR(IF(A305=A304,0,SUM(_xlfn._xlws.FILTER(G305:G325,(A305:A325=A305)*(E305:E325&gt;0)))),0)</f>
        <v>0</v>
      </c>
      <c r="K305" s="25">
        <f>IF(H305&lt;&gt;0,SUM(H$2:H305),0)</f>
        <v>0</v>
      </c>
      <c r="L305" s="25">
        <f>IF(I305&lt;&gt;0,SUM(I$2:I305),0)</f>
        <v>0</v>
      </c>
      <c r="M305" s="25">
        <f>IF(J305&lt;&gt;0,SUM(J$2:J305),0)</f>
        <v>0</v>
      </c>
    </row>
    <row r="306" spans="1:13" hidden="1" x14ac:dyDescent="0.2">
      <c r="A306" s="5">
        <v>45807</v>
      </c>
      <c r="C306" s="6" t="s">
        <v>185</v>
      </c>
      <c r="D306" s="7">
        <v>6000</v>
      </c>
      <c r="E306" s="15">
        <v>-19.385584999999999</v>
      </c>
      <c r="G306" s="25">
        <f t="shared" si="4"/>
        <v>-116313.51</v>
      </c>
      <c r="H306" s="25">
        <f t="array" ref="H306">IF(A306=A305,0,SUM(_xlfn._xlws.FILTER(G306:G326,A306:A326=A306)))</f>
        <v>0</v>
      </c>
      <c r="I306" s="25">
        <f t="array" ref="I306">IFERROR(IF(A306=A305,0,SUM(_xlfn._xlws.FILTER(G306:G326,(A306:A326=A306)*(E306:E326&lt;0)))),0)</f>
        <v>0</v>
      </c>
      <c r="J306" s="25">
        <f t="array" ref="J306">IFERROR(IF(A306=A305,0,SUM(_xlfn._xlws.FILTER(G306:G326,(A306:A326=A306)*(E306:E326&gt;0)))),0)</f>
        <v>0</v>
      </c>
      <c r="K306" s="25">
        <f>IF(H306&lt;&gt;0,SUM(H$2:H306),0)</f>
        <v>0</v>
      </c>
      <c r="L306" s="25">
        <f>IF(I306&lt;&gt;0,SUM(I$2:I306),0)</f>
        <v>0</v>
      </c>
      <c r="M306" s="25">
        <f>IF(J306&lt;&gt;0,SUM(J$2:J306),0)</f>
        <v>0</v>
      </c>
    </row>
    <row r="307" spans="1:13" hidden="1" x14ac:dyDescent="0.2">
      <c r="A307" s="1">
        <v>45811</v>
      </c>
      <c r="C307" s="2" t="s">
        <v>262</v>
      </c>
      <c r="D307" s="3">
        <v>500</v>
      </c>
      <c r="E307" s="2">
        <v>267.48</v>
      </c>
      <c r="G307" s="25">
        <f t="shared" si="4"/>
        <v>133740</v>
      </c>
      <c r="H307" s="25">
        <f t="array" ref="H307">IF(A307=A306,0,SUM(_xlfn._xlws.FILTER(G307:G327,A307:A327=A307)))</f>
        <v>944492.64</v>
      </c>
      <c r="I307" s="25">
        <f t="array" ref="I307">IFERROR(IF(A307=A306,0,SUM(_xlfn._xlws.FILTER(G307:G327,(A307:A327=A307)*(E307:E327&lt;0)))),0)</f>
        <v>-51240</v>
      </c>
      <c r="J307" s="25">
        <f t="array" ref="J307">IFERROR(IF(A307=A306,0,SUM(_xlfn._xlws.FILTER(G307:G327,(A307:A327=A307)*(E307:E327&gt;0)))),0)</f>
        <v>995732.64</v>
      </c>
      <c r="K307" s="25">
        <f>IF(H307&lt;&gt;0,SUM(H$2:H307),0)</f>
        <v>-2147691.3936729995</v>
      </c>
      <c r="L307" s="25">
        <f>IF(I307&lt;&gt;0,SUM(I$2:I307),0)</f>
        <v>-13739467.747073002</v>
      </c>
      <c r="M307" s="25">
        <f>IF(J307&lt;&gt;0,SUM(J$2:J307),0)</f>
        <v>11591776.353400003</v>
      </c>
    </row>
    <row r="308" spans="1:13" hidden="1" x14ac:dyDescent="0.2">
      <c r="A308" s="1">
        <v>45811</v>
      </c>
      <c r="C308" s="2" t="s">
        <v>74</v>
      </c>
      <c r="D308" s="3">
        <v>3999</v>
      </c>
      <c r="E308" s="2">
        <v>33.36</v>
      </c>
      <c r="G308" s="25">
        <f t="shared" si="4"/>
        <v>133406.63999999998</v>
      </c>
      <c r="H308" s="25">
        <f t="array" ref="H308">IF(A308=A307,0,SUM(_xlfn._xlws.FILTER(G308:G328,A308:A328=A308)))</f>
        <v>0</v>
      </c>
      <c r="I308" s="25">
        <f t="array" ref="I308">IFERROR(IF(A308=A307,0,SUM(_xlfn._xlws.FILTER(G308:G328,(A308:A328=A308)*(E308:E328&lt;0)))),0)</f>
        <v>0</v>
      </c>
      <c r="J308" s="25">
        <f t="array" ref="J308">IFERROR(IF(A308=A307,0,SUM(_xlfn._xlws.FILTER(G308:G328,(A308:A328=A308)*(E308:E328&gt;0)))),0)</f>
        <v>0</v>
      </c>
      <c r="K308" s="25">
        <f>IF(H308&lt;&gt;0,SUM(H$2:H308),0)</f>
        <v>0</v>
      </c>
      <c r="L308" s="25">
        <f>IF(I308&lt;&gt;0,SUM(I$2:I308),0)</f>
        <v>0</v>
      </c>
      <c r="M308" s="25">
        <f>IF(J308&lt;&gt;0,SUM(J$2:J308),0)</f>
        <v>0</v>
      </c>
    </row>
    <row r="309" spans="1:13" hidden="1" x14ac:dyDescent="0.2">
      <c r="A309" s="1">
        <v>45811</v>
      </c>
      <c r="C309" s="2" t="s">
        <v>72</v>
      </c>
      <c r="D309" s="3">
        <v>3200</v>
      </c>
      <c r="E309" s="2">
        <v>33.36</v>
      </c>
      <c r="G309" s="25">
        <f t="shared" si="4"/>
        <v>106752</v>
      </c>
      <c r="H309" s="25">
        <f t="array" ref="H309">IF(A309=A308,0,SUM(_xlfn._xlws.FILTER(G309:G329,A309:A329=A309)))</f>
        <v>0</v>
      </c>
      <c r="I309" s="25">
        <f t="array" ref="I309">IFERROR(IF(A309=A308,0,SUM(_xlfn._xlws.FILTER(G309:G329,(A309:A329=A309)*(E309:E329&lt;0)))),0)</f>
        <v>0</v>
      </c>
      <c r="J309" s="25">
        <f t="array" ref="J309">IFERROR(IF(A309=A308,0,SUM(_xlfn._xlws.FILTER(G309:G329,(A309:A329=A309)*(E309:E329&gt;0)))),0)</f>
        <v>0</v>
      </c>
      <c r="K309" s="25">
        <f>IF(H309&lt;&gt;0,SUM(H$2:H309),0)</f>
        <v>0</v>
      </c>
      <c r="L309" s="25">
        <f>IF(I309&lt;&gt;0,SUM(I$2:I309),0)</f>
        <v>0</v>
      </c>
      <c r="M309" s="25">
        <f>IF(J309&lt;&gt;0,SUM(J$2:J309),0)</f>
        <v>0</v>
      </c>
    </row>
    <row r="310" spans="1:13" hidden="1" x14ac:dyDescent="0.2">
      <c r="A310" s="1">
        <v>45811</v>
      </c>
      <c r="C310" s="2" t="s">
        <v>320</v>
      </c>
      <c r="D310" s="3">
        <v>6000</v>
      </c>
      <c r="E310" s="2">
        <v>62.9</v>
      </c>
      <c r="G310" s="25">
        <f t="shared" si="4"/>
        <v>377400</v>
      </c>
      <c r="H310" s="25">
        <f t="array" ref="H310">IF(A310=A309,0,SUM(_xlfn._xlws.FILTER(G310:G330,A310:A330=A310)))</f>
        <v>0</v>
      </c>
      <c r="I310" s="25">
        <f t="array" ref="I310">IFERROR(IF(A310=A309,0,SUM(_xlfn._xlws.FILTER(G310:G330,(A310:A330=A310)*(E310:E330&lt;0)))),0)</f>
        <v>0</v>
      </c>
      <c r="J310" s="25">
        <f t="array" ref="J310">IFERROR(IF(A310=A309,0,SUM(_xlfn._xlws.FILTER(G310:G330,(A310:A330=A310)*(E310:E330&gt;0)))),0)</f>
        <v>0</v>
      </c>
      <c r="K310" s="25">
        <f>IF(H310&lt;&gt;0,SUM(H$2:H310),0)</f>
        <v>0</v>
      </c>
      <c r="L310" s="25">
        <f>IF(I310&lt;&gt;0,SUM(I$2:I310),0)</f>
        <v>0</v>
      </c>
      <c r="M310" s="25">
        <f>IF(J310&lt;&gt;0,SUM(J$2:J310),0)</f>
        <v>0</v>
      </c>
    </row>
    <row r="311" spans="1:13" hidden="1" x14ac:dyDescent="0.2">
      <c r="A311" s="1">
        <v>45811</v>
      </c>
      <c r="C311" s="2" t="s">
        <v>303</v>
      </c>
      <c r="D311" s="3">
        <v>200</v>
      </c>
      <c r="E311" s="2">
        <v>1222.17</v>
      </c>
      <c r="G311" s="25">
        <f t="shared" si="4"/>
        <v>244434</v>
      </c>
      <c r="H311" s="25">
        <f t="array" ref="H311">IF(A311=A310,0,SUM(_xlfn._xlws.FILTER(G311:G331,A311:A331=A311)))</f>
        <v>0</v>
      </c>
      <c r="I311" s="25">
        <f t="array" ref="I311">IFERROR(IF(A311=A310,0,SUM(_xlfn._xlws.FILTER(G311:G331,(A311:A331=A311)*(E311:E331&lt;0)))),0)</f>
        <v>0</v>
      </c>
      <c r="J311" s="25">
        <f t="array" ref="J311">IFERROR(IF(A311=A310,0,SUM(_xlfn._xlws.FILTER(G311:G331,(A311:A331=A311)*(E311:E331&gt;0)))),0)</f>
        <v>0</v>
      </c>
      <c r="K311" s="25">
        <f>IF(H311&lt;&gt;0,SUM(H$2:H311),0)</f>
        <v>0</v>
      </c>
      <c r="L311" s="25">
        <f>IF(I311&lt;&gt;0,SUM(I$2:I311),0)</f>
        <v>0</v>
      </c>
      <c r="M311" s="25">
        <f>IF(J311&lt;&gt;0,SUM(J$2:J311),0)</f>
        <v>0</v>
      </c>
    </row>
    <row r="312" spans="1:13" hidden="1" x14ac:dyDescent="0.2">
      <c r="A312" s="1">
        <v>45811</v>
      </c>
      <c r="C312" s="2" t="s">
        <v>37</v>
      </c>
      <c r="D312" s="3">
        <v>200</v>
      </c>
      <c r="E312" s="2">
        <v>-256.2</v>
      </c>
      <c r="G312" s="25">
        <f t="shared" si="4"/>
        <v>-51240</v>
      </c>
      <c r="H312" s="25">
        <f t="array" ref="H312">IF(A312=A311,0,SUM(_xlfn._xlws.FILTER(G312:G332,A312:A332=A312)))</f>
        <v>0</v>
      </c>
      <c r="I312" s="25">
        <f t="array" ref="I312">IFERROR(IF(A312=A311,0,SUM(_xlfn._xlws.FILTER(G312:G332,(A312:A332=A312)*(E312:E332&lt;0)))),0)</f>
        <v>0</v>
      </c>
      <c r="J312" s="25">
        <f t="array" ref="J312">IFERROR(IF(A312=A311,0,SUM(_xlfn._xlws.FILTER(G312:G332,(A312:A332=A312)*(E312:E332&gt;0)))),0)</f>
        <v>0</v>
      </c>
      <c r="K312" s="25">
        <f>IF(H312&lt;&gt;0,SUM(H$2:H312),0)</f>
        <v>0</v>
      </c>
      <c r="L312" s="25">
        <f>IF(I312&lt;&gt;0,SUM(I$2:I312),0)</f>
        <v>0</v>
      </c>
      <c r="M312" s="25">
        <f>IF(J312&lt;&gt;0,SUM(J$2:J312),0)</f>
        <v>0</v>
      </c>
    </row>
    <row r="313" spans="1:13" hidden="1" x14ac:dyDescent="0.2">
      <c r="A313" s="1">
        <v>45813</v>
      </c>
      <c r="C313" s="2" t="s">
        <v>259</v>
      </c>
      <c r="D313" s="3">
        <v>500</v>
      </c>
      <c r="E313" s="2">
        <v>273.14999999999998</v>
      </c>
      <c r="G313" s="25">
        <f t="shared" si="4"/>
        <v>136575</v>
      </c>
      <c r="H313" s="25">
        <f t="array" ref="H313">IF(A313=A312,0,SUM(_xlfn._xlws.FILTER(G313:G333,A313:A333=A313)))</f>
        <v>136575</v>
      </c>
      <c r="I313" s="25">
        <f t="array" ref="I313">IFERROR(IF(A313=A312,0,SUM(_xlfn._xlws.FILTER(G313:G333,(A313:A333=A313)*(E313:E333&lt;0)))),0)</f>
        <v>0</v>
      </c>
      <c r="J313" s="25">
        <f t="array" ref="J313">IFERROR(IF(A313=A312,0,SUM(_xlfn._xlws.FILTER(G313:G333,(A313:A333=A313)*(E313:E333&gt;0)))),0)</f>
        <v>136575</v>
      </c>
      <c r="K313" s="25">
        <f>IF(H313&lt;&gt;0,SUM(H$2:H313),0)</f>
        <v>-2011116.3936729995</v>
      </c>
      <c r="L313" s="25">
        <f>IF(I313&lt;&gt;0,SUM(I$2:I313),0)</f>
        <v>0</v>
      </c>
      <c r="M313" s="25">
        <f>IF(J313&lt;&gt;0,SUM(J$2:J313),0)</f>
        <v>11728351.353400003</v>
      </c>
    </row>
    <row r="314" spans="1:13" hidden="1" x14ac:dyDescent="0.2">
      <c r="A314" s="5">
        <v>45819</v>
      </c>
      <c r="C314" s="6" t="s">
        <v>109</v>
      </c>
      <c r="D314" s="7">
        <v>500</v>
      </c>
      <c r="E314" s="15">
        <v>-213.25</v>
      </c>
      <c r="G314" s="25">
        <f t="shared" si="4"/>
        <v>-106625</v>
      </c>
      <c r="H314" s="25">
        <f t="array" ref="H314">IF(A314=A313,0,SUM(_xlfn._xlws.FILTER(G314:G334,A314:A334=A314)))</f>
        <v>-270992</v>
      </c>
      <c r="I314" s="25">
        <f t="array" ref="I314">IFERROR(IF(A314=A313,0,SUM(_xlfn._xlws.FILTER(G314:G334,(A314:A334=A314)*(E314:E334&lt;0)))),0)</f>
        <v>-270992</v>
      </c>
      <c r="J314" s="25">
        <f t="array" ref="J314">IFERROR(IF(A314=A313,0,SUM(_xlfn._xlws.FILTER(G314:G334,(A314:A334=A314)*(E314:E334&gt;0)))),0)</f>
        <v>0</v>
      </c>
      <c r="K314" s="25">
        <f>IF(H314&lt;&gt;0,SUM(H$2:H314),0)</f>
        <v>-2282108.3936729995</v>
      </c>
      <c r="L314" s="25">
        <f>IF(I314&lt;&gt;0,SUM(I$2:I314),0)</f>
        <v>-14010459.747073002</v>
      </c>
      <c r="M314" s="25">
        <f>IF(J314&lt;&gt;0,SUM(J$2:J314),0)</f>
        <v>0</v>
      </c>
    </row>
    <row r="315" spans="1:13" hidden="1" x14ac:dyDescent="0.2">
      <c r="A315" s="5">
        <v>45819</v>
      </c>
      <c r="C315" s="6" t="s">
        <v>116</v>
      </c>
      <c r="D315" s="7">
        <v>500</v>
      </c>
      <c r="E315" s="15">
        <v>-213.43</v>
      </c>
      <c r="G315" s="25">
        <f t="shared" si="4"/>
        <v>-106715</v>
      </c>
      <c r="H315" s="25">
        <f t="array" ref="H315">IF(A315=A314,0,SUM(_xlfn._xlws.FILTER(G315:G335,A315:A335=A315)))</f>
        <v>0</v>
      </c>
      <c r="I315" s="25">
        <f t="array" ref="I315">IFERROR(IF(A315=A314,0,SUM(_xlfn._xlws.FILTER(G315:G335,(A315:A335=A315)*(E315:E335&lt;0)))),0)</f>
        <v>0</v>
      </c>
      <c r="J315" s="25">
        <f t="array" ref="J315">IFERROR(IF(A315=A314,0,SUM(_xlfn._xlws.FILTER(G315:G335,(A315:A335=A315)*(E315:E335&gt;0)))),0)</f>
        <v>0</v>
      </c>
      <c r="K315" s="25">
        <f>IF(H315&lt;&gt;0,SUM(H$2:H315),0)</f>
        <v>0</v>
      </c>
      <c r="L315" s="25">
        <f>IF(I315&lt;&gt;0,SUM(I$2:I315),0)</f>
        <v>0</v>
      </c>
      <c r="M315" s="25">
        <f>IF(J315&lt;&gt;0,SUM(J$2:J315),0)</f>
        <v>0</v>
      </c>
    </row>
    <row r="316" spans="1:13" hidden="1" x14ac:dyDescent="0.2">
      <c r="A316" s="5">
        <v>45819</v>
      </c>
      <c r="C316" s="6" t="s">
        <v>61</v>
      </c>
      <c r="D316" s="7">
        <v>290</v>
      </c>
      <c r="E316" s="5">
        <v>-198.8</v>
      </c>
      <c r="G316" s="25">
        <f t="shared" si="4"/>
        <v>-57652</v>
      </c>
      <c r="H316" s="25">
        <f t="array" ref="H316">IF(A316=A315,0,SUM(_xlfn._xlws.FILTER(G316:G336,A316:A336=A316)))</f>
        <v>0</v>
      </c>
      <c r="I316" s="25">
        <f t="array" ref="I316">IFERROR(IF(A316=A315,0,SUM(_xlfn._xlws.FILTER(G316:G336,(A316:A336=A316)*(E316:E336&lt;0)))),0)</f>
        <v>0</v>
      </c>
      <c r="J316" s="25">
        <f t="array" ref="J316">IFERROR(IF(A316=A315,0,SUM(_xlfn._xlws.FILTER(G316:G336,(A316:A336=A316)*(E316:E336&gt;0)))),0)</f>
        <v>0</v>
      </c>
      <c r="K316" s="25">
        <f>IF(H316&lt;&gt;0,SUM(H$2:H316),0)</f>
        <v>0</v>
      </c>
      <c r="L316" s="25">
        <f>IF(I316&lt;&gt;0,SUM(I$2:I316),0)</f>
        <v>0</v>
      </c>
      <c r="M316" s="25">
        <f>IF(J316&lt;&gt;0,SUM(J$2:J316),0)</f>
        <v>0</v>
      </c>
    </row>
    <row r="317" spans="1:13" hidden="1" x14ac:dyDescent="0.2">
      <c r="A317" s="2">
        <v>45821</v>
      </c>
      <c r="C317" s="2" t="s">
        <v>90</v>
      </c>
      <c r="D317" s="3">
        <v>500</v>
      </c>
      <c r="E317" s="18">
        <v>-195.75</v>
      </c>
      <c r="G317" s="25">
        <f t="shared" si="4"/>
        <v>-97875</v>
      </c>
      <c r="H317" s="25">
        <f t="array" ref="H317">IF(A317=A316,0,SUM(_xlfn._xlws.FILTER(G317:G337,A317:A337=A317)))</f>
        <v>-136995</v>
      </c>
      <c r="I317" s="25">
        <f t="array" ref="I317">IFERROR(IF(A317=A316,0,SUM(_xlfn._xlws.FILTER(G317:G337,(A317:A337=A317)*(E317:E337&lt;0)))),0)</f>
        <v>-136995</v>
      </c>
      <c r="J317" s="25">
        <f t="array" ref="J317">IFERROR(IF(A317=A316,0,SUM(_xlfn._xlws.FILTER(G317:G337,(A317:A337=A317)*(E317:E337&gt;0)))),0)</f>
        <v>0</v>
      </c>
      <c r="K317" s="25">
        <f>IF(H317&lt;&gt;0,SUM(H$2:H317),0)</f>
        <v>-2419103.3936729995</v>
      </c>
      <c r="L317" s="25">
        <f>IF(I317&lt;&gt;0,SUM(I$2:I317),0)</f>
        <v>-14147454.747073002</v>
      </c>
      <c r="M317" s="25">
        <f>IF(J317&lt;&gt;0,SUM(J$2:J317),0)</f>
        <v>0</v>
      </c>
    </row>
    <row r="318" spans="1:13" hidden="1" x14ac:dyDescent="0.2">
      <c r="A318" s="1">
        <v>45821</v>
      </c>
      <c r="C318" s="2" t="s">
        <v>265</v>
      </c>
      <c r="D318" s="3">
        <v>3000</v>
      </c>
      <c r="E318" s="16">
        <v>-13.04</v>
      </c>
      <c r="G318" s="25">
        <f t="shared" si="4"/>
        <v>-39120</v>
      </c>
      <c r="H318" s="25">
        <f t="array" ref="H318">IF(A318=A317,0,SUM(_xlfn._xlws.FILTER(G318:G338,A318:A338=A318)))</f>
        <v>0</v>
      </c>
      <c r="I318" s="25">
        <f t="array" ref="I318">IFERROR(IF(A318=A317,0,SUM(_xlfn._xlws.FILTER(G318:G338,(A318:A338=A318)*(E318:E338&lt;0)))),0)</f>
        <v>0</v>
      </c>
      <c r="J318" s="25">
        <f t="array" ref="J318">IFERROR(IF(A318=A317,0,SUM(_xlfn._xlws.FILTER(G318:G338,(A318:A338=A318)*(E318:E338&gt;0)))),0)</f>
        <v>0</v>
      </c>
      <c r="K318" s="25">
        <f>IF(H318&lt;&gt;0,SUM(H$2:H318),0)</f>
        <v>0</v>
      </c>
      <c r="L318" s="25">
        <f>IF(I318&lt;&gt;0,SUM(I$2:I318),0)</f>
        <v>0</v>
      </c>
      <c r="M318" s="25">
        <f>IF(J318&lt;&gt;0,SUM(J$2:J318),0)</f>
        <v>0</v>
      </c>
    </row>
    <row r="319" spans="1:13" hidden="1" x14ac:dyDescent="0.2">
      <c r="A319" s="5">
        <v>45825</v>
      </c>
      <c r="C319" s="6" t="s">
        <v>303</v>
      </c>
      <c r="D319" s="7">
        <v>200</v>
      </c>
      <c r="E319" s="15">
        <v>1220.52</v>
      </c>
      <c r="G319" s="25">
        <f t="shared" si="4"/>
        <v>244104</v>
      </c>
      <c r="H319" s="25">
        <f t="array" ref="H319">IF(A319=A318,0,SUM(_xlfn._xlws.FILTER(G319:G339,A319:A339=A319)))</f>
        <v>244104</v>
      </c>
      <c r="I319" s="25">
        <f t="array" ref="I319">IFERROR(IF(A319=A318,0,SUM(_xlfn._xlws.FILTER(G319:G339,(A319:A339=A319)*(E319:E339&lt;0)))),0)</f>
        <v>0</v>
      </c>
      <c r="J319" s="25">
        <f t="array" ref="J319">IFERROR(IF(A319=A318,0,SUM(_xlfn._xlws.FILTER(G319:G339,(A319:A339=A319)*(E319:E339&gt;0)))),0)</f>
        <v>244104</v>
      </c>
      <c r="K319" s="25">
        <f>IF(H319&lt;&gt;0,SUM(H$2:H319),0)</f>
        <v>-2174999.3936729995</v>
      </c>
      <c r="L319" s="25">
        <f>IF(I319&lt;&gt;0,SUM(I$2:I319),0)</f>
        <v>0</v>
      </c>
      <c r="M319" s="25">
        <f>IF(J319&lt;&gt;0,SUM(J$2:J319),0)</f>
        <v>11972455.353400003</v>
      </c>
    </row>
    <row r="320" spans="1:13" hidden="1" x14ac:dyDescent="0.2">
      <c r="A320" s="1">
        <v>45826</v>
      </c>
      <c r="C320" s="2" t="s">
        <v>15</v>
      </c>
      <c r="D320" s="3">
        <v>500</v>
      </c>
      <c r="E320" s="16">
        <v>-31.34</v>
      </c>
      <c r="G320" s="25">
        <f t="shared" si="4"/>
        <v>-15670</v>
      </c>
      <c r="H320" s="25">
        <f t="array" ref="H320">IF(A320=A319,0,SUM(_xlfn._xlws.FILTER(G320:G340,A320:A340=A320)))</f>
        <v>-235092.28289999999</v>
      </c>
      <c r="I320" s="25">
        <f t="array" ref="I320">IFERROR(IF(A320=A319,0,SUM(_xlfn._xlws.FILTER(G320:G340,(A320:A340=A320)*(E320:E340&lt;0)))),0)</f>
        <v>-240564.3</v>
      </c>
      <c r="J320" s="25">
        <f t="array" ref="J320">IFERROR(IF(A320=A319,0,SUM(_xlfn._xlws.FILTER(G320:G340,(A320:A340=A320)*(E320:E340&gt;0)))),0)</f>
        <v>5472.0171</v>
      </c>
      <c r="K320" s="25">
        <f>IF(H320&lt;&gt;0,SUM(H$2:H320),0)</f>
        <v>-2410091.6765729995</v>
      </c>
      <c r="L320" s="25">
        <f>IF(I320&lt;&gt;0,SUM(I$2:I320),0)</f>
        <v>-14388019.047073003</v>
      </c>
      <c r="M320" s="25">
        <f>IF(J320&lt;&gt;0,SUM(J$2:J320),0)</f>
        <v>11977927.370500004</v>
      </c>
    </row>
    <row r="321" spans="1:13" hidden="1" x14ac:dyDescent="0.2">
      <c r="A321" s="1">
        <v>45826</v>
      </c>
      <c r="C321" s="2" t="s">
        <v>139</v>
      </c>
      <c r="D321" s="3">
        <v>1710</v>
      </c>
      <c r="E321" s="16">
        <v>320.00099999999998</v>
      </c>
      <c r="G321" s="25">
        <f t="shared" si="4"/>
        <v>5472.0171</v>
      </c>
      <c r="H321" s="25">
        <f t="array" ref="H321">IF(A321=A320,0,SUM(_xlfn._xlws.FILTER(G321:G341,A321:A341=A321)))</f>
        <v>0</v>
      </c>
      <c r="I321" s="25">
        <f t="array" ref="I321">IFERROR(IF(A321=A320,0,SUM(_xlfn._xlws.FILTER(G321:G341,(A321:A341=A321)*(E321:E341&lt;0)))),0)</f>
        <v>0</v>
      </c>
      <c r="J321" s="25">
        <f t="array" ref="J321">IFERROR(IF(A321=A320,0,SUM(_xlfn._xlws.FILTER(G321:G341,(A321:A341=A321)*(E321:E341&gt;0)))),0)</f>
        <v>0</v>
      </c>
      <c r="K321" s="25">
        <f>IF(H321&lt;&gt;0,SUM(H$2:H321),0)</f>
        <v>0</v>
      </c>
      <c r="L321" s="25">
        <f>IF(I321&lt;&gt;0,SUM(I$2:I321),0)</f>
        <v>0</v>
      </c>
      <c r="M321" s="25">
        <f>IF(J321&lt;&gt;0,SUM(J$2:J321),0)</f>
        <v>0</v>
      </c>
    </row>
    <row r="322" spans="1:13" hidden="1" x14ac:dyDescent="0.2">
      <c r="A322" s="1">
        <v>45826</v>
      </c>
      <c r="C322" s="2" t="s">
        <v>90</v>
      </c>
      <c r="D322" s="3">
        <v>300</v>
      </c>
      <c r="E322" s="16">
        <v>-196.66</v>
      </c>
      <c r="G322" s="25">
        <f t="shared" ref="G322:G385" si="5">D322*E322*IF(OR(C322="IAG",C322="EZJ",C322="AET"),0.01,1)</f>
        <v>-58998</v>
      </c>
      <c r="H322" s="25">
        <f t="array" ref="H322">IF(A322=A321,0,SUM(_xlfn._xlws.FILTER(G322:G342,A322:A342=A322)))</f>
        <v>0</v>
      </c>
      <c r="I322" s="25">
        <f t="array" ref="I322">IFERROR(IF(A322=A321,0,SUM(_xlfn._xlws.FILTER(G322:G342,(A322:A342=A322)*(E322:E342&lt;0)))),0)</f>
        <v>0</v>
      </c>
      <c r="J322" s="25">
        <f t="array" ref="J322">IFERROR(IF(A322=A321,0,SUM(_xlfn._xlws.FILTER(G322:G342,(A322:A342=A322)*(E322:E342&gt;0)))),0)</f>
        <v>0</v>
      </c>
      <c r="K322" s="25">
        <f>IF(H322&lt;&gt;0,SUM(H$2:H322),0)</f>
        <v>0</v>
      </c>
      <c r="L322" s="25">
        <f>IF(I322&lt;&gt;0,SUM(I$2:I322),0)</f>
        <v>0</v>
      </c>
      <c r="M322" s="25">
        <f>IF(J322&lt;&gt;0,SUM(J$2:J322),0)</f>
        <v>0</v>
      </c>
    </row>
    <row r="323" spans="1:13" hidden="1" x14ac:dyDescent="0.2">
      <c r="A323" s="1">
        <v>45826</v>
      </c>
      <c r="C323" s="2" t="s">
        <v>49</v>
      </c>
      <c r="D323" s="3">
        <v>8145</v>
      </c>
      <c r="E323" s="16">
        <v>-0.54</v>
      </c>
      <c r="G323" s="25">
        <f t="shared" si="5"/>
        <v>-4398.3</v>
      </c>
      <c r="H323" s="25">
        <f t="array" ref="H323">IF(A323=A322,0,SUM(_xlfn._xlws.FILTER(G323:G343,A323:A343=A323)))</f>
        <v>0</v>
      </c>
      <c r="I323" s="25">
        <f t="array" ref="I323">IFERROR(IF(A323=A322,0,SUM(_xlfn._xlws.FILTER(G323:G343,(A323:A343=A323)*(E323:E343&lt;0)))),0)</f>
        <v>0</v>
      </c>
      <c r="J323" s="25">
        <f t="array" ref="J323">IFERROR(IF(A323=A322,0,SUM(_xlfn._xlws.FILTER(G323:G343,(A323:A343=A323)*(E323:E343&gt;0)))),0)</f>
        <v>0</v>
      </c>
      <c r="K323" s="25">
        <f>IF(H323&lt;&gt;0,SUM(H$2:H323),0)</f>
        <v>0</v>
      </c>
      <c r="L323" s="25">
        <f>IF(I323&lt;&gt;0,SUM(I$2:I323),0)</f>
        <v>0</v>
      </c>
      <c r="M323" s="25">
        <f>IF(J323&lt;&gt;0,SUM(J$2:J323),0)</f>
        <v>0</v>
      </c>
    </row>
    <row r="324" spans="1:13" hidden="1" x14ac:dyDescent="0.2">
      <c r="A324" s="1">
        <v>45826</v>
      </c>
      <c r="C324" s="2" t="s">
        <v>105</v>
      </c>
      <c r="D324" s="3">
        <v>500</v>
      </c>
      <c r="E324" s="16">
        <v>-31.36</v>
      </c>
      <c r="G324" s="25">
        <f t="shared" si="5"/>
        <v>-15680</v>
      </c>
      <c r="H324" s="25">
        <f t="array" ref="H324">IF(A324=A323,0,SUM(_xlfn._xlws.FILTER(G324:G344,A324:A344=A324)))</f>
        <v>0</v>
      </c>
      <c r="I324" s="25">
        <f t="array" ref="I324">IFERROR(IF(A324=A323,0,SUM(_xlfn._xlws.FILTER(G324:G344,(A324:A344=A324)*(E324:E344&lt;0)))),0)</f>
        <v>0</v>
      </c>
      <c r="J324" s="25">
        <f t="array" ref="J324">IFERROR(IF(A324=A323,0,SUM(_xlfn._xlws.FILTER(G324:G344,(A324:A344=A324)*(E324:E344&gt;0)))),0)</f>
        <v>0</v>
      </c>
      <c r="K324" s="25">
        <f>IF(H324&lt;&gt;0,SUM(H$2:H324),0)</f>
        <v>0</v>
      </c>
      <c r="L324" s="25">
        <f>IF(I324&lt;&gt;0,SUM(I$2:I324),0)</f>
        <v>0</v>
      </c>
      <c r="M324" s="25">
        <f>IF(J324&lt;&gt;0,SUM(J$2:J324),0)</f>
        <v>0</v>
      </c>
    </row>
    <row r="325" spans="1:13" hidden="1" x14ac:dyDescent="0.2">
      <c r="A325" s="1">
        <v>45826</v>
      </c>
      <c r="C325" s="2" t="s">
        <v>55</v>
      </c>
      <c r="D325" s="3">
        <v>200</v>
      </c>
      <c r="E325" s="16">
        <v>-546.80999999999995</v>
      </c>
      <c r="G325" s="25">
        <f t="shared" si="5"/>
        <v>-109361.99999999999</v>
      </c>
      <c r="H325" s="25">
        <f t="array" ref="H325">IF(A325=A324,0,SUM(_xlfn._xlws.FILTER(G325:G345,A325:A345=A325)))</f>
        <v>0</v>
      </c>
      <c r="I325" s="25">
        <f t="array" ref="I325">IFERROR(IF(A325=A324,0,SUM(_xlfn._xlws.FILTER(G325:G345,(A325:A345=A325)*(E325:E345&lt;0)))),0)</f>
        <v>0</v>
      </c>
      <c r="J325" s="25">
        <f t="array" ref="J325">IFERROR(IF(A325=A324,0,SUM(_xlfn._xlws.FILTER(G325:G345,(A325:A345=A325)*(E325:E345&gt;0)))),0)</f>
        <v>0</v>
      </c>
      <c r="K325" s="25">
        <f>IF(H325&lt;&gt;0,SUM(H$2:H325),0)</f>
        <v>0</v>
      </c>
      <c r="L325" s="25">
        <f>IF(I325&lt;&gt;0,SUM(I$2:I325),0)</f>
        <v>0</v>
      </c>
      <c r="M325" s="25">
        <f>IF(J325&lt;&gt;0,SUM(J$2:J325),0)</f>
        <v>0</v>
      </c>
    </row>
    <row r="326" spans="1:13" hidden="1" x14ac:dyDescent="0.2">
      <c r="A326" s="5">
        <v>45827</v>
      </c>
      <c r="C326" s="6" t="s">
        <v>15</v>
      </c>
      <c r="D326" s="7">
        <v>500</v>
      </c>
      <c r="E326" s="15">
        <v>-30.95</v>
      </c>
      <c r="G326" s="25">
        <f t="shared" si="5"/>
        <v>-15475</v>
      </c>
      <c r="H326" s="25">
        <f t="array" ref="H326">IF(A326=A325,0,SUM(_xlfn._xlws.FILTER(G326:G346,A326:A346=A326)))</f>
        <v>-15475</v>
      </c>
      <c r="I326" s="25">
        <f t="array" ref="I326">IFERROR(IF(A326=A325,0,SUM(_xlfn._xlws.FILTER(G326:G346,(A326:A346=A326)*(E326:E346&lt;0)))),0)</f>
        <v>-15475</v>
      </c>
      <c r="J326" s="25">
        <f t="array" ref="J326">IFERROR(IF(A326=A325,0,SUM(_xlfn._xlws.FILTER(G326:G346,(A326:A346=A326)*(E326:E346&gt;0)))),0)</f>
        <v>0</v>
      </c>
      <c r="K326" s="25">
        <f>IF(H326&lt;&gt;0,SUM(H$2:H326),0)</f>
        <v>-2425566.6765729995</v>
      </c>
      <c r="L326" s="25">
        <f>IF(I326&lt;&gt;0,SUM(I$2:I326),0)</f>
        <v>-14403494.047073003</v>
      </c>
      <c r="M326" s="25">
        <f>IF(J326&lt;&gt;0,SUM(J$2:J326),0)</f>
        <v>0</v>
      </c>
    </row>
    <row r="327" spans="1:13" hidden="1" x14ac:dyDescent="0.2">
      <c r="A327" s="5">
        <v>45826</v>
      </c>
      <c r="C327" s="6" t="s">
        <v>265</v>
      </c>
      <c r="D327" s="7">
        <v>2800</v>
      </c>
      <c r="E327" s="15">
        <v>-13.02</v>
      </c>
      <c r="G327" s="25">
        <f t="shared" si="5"/>
        <v>-36456</v>
      </c>
      <c r="H327" s="25">
        <f t="array" ref="H327">IF(A327=A326,0,SUM(_xlfn._xlws.FILTER(G327:G347,A327:A347=A327)))</f>
        <v>-36456</v>
      </c>
      <c r="I327" s="25">
        <f t="array" ref="I327">IFERROR(IF(A327=A326,0,SUM(_xlfn._xlws.FILTER(G327:G347,(A327:A347=A327)*(E327:E347&lt;0)))),0)</f>
        <v>-36456</v>
      </c>
      <c r="J327" s="25">
        <f t="array" ref="J327">IFERROR(IF(A327=A326,0,SUM(_xlfn._xlws.FILTER(G327:G347,(A327:A347=A327)*(E327:E347&gt;0)))),0)</f>
        <v>0</v>
      </c>
      <c r="K327" s="25">
        <f>IF(H327&lt;&gt;0,SUM(H$2:H327),0)</f>
        <v>-2462022.6765729995</v>
      </c>
      <c r="L327" s="25">
        <f>IF(I327&lt;&gt;0,SUM(I$2:I327),0)</f>
        <v>-14439950.047073003</v>
      </c>
      <c r="M327" s="25">
        <f>IF(J327&lt;&gt;0,SUM(J$2:J327),0)</f>
        <v>0</v>
      </c>
    </row>
    <row r="328" spans="1:13" hidden="1" x14ac:dyDescent="0.2">
      <c r="A328" s="1">
        <v>45828</v>
      </c>
      <c r="C328" s="2" t="s">
        <v>157</v>
      </c>
      <c r="D328" s="3">
        <v>20000</v>
      </c>
      <c r="E328" s="16">
        <v>52.01</v>
      </c>
      <c r="G328" s="25">
        <f t="shared" si="5"/>
        <v>10402</v>
      </c>
      <c r="H328" s="25">
        <f t="array" ref="H328">IF(A328=A327,0,SUM(_xlfn._xlws.FILTER(G328:G348,A328:A348=A328)))</f>
        <v>-150178</v>
      </c>
      <c r="I328" s="25">
        <f t="array" ref="I328">IFERROR(IF(A328=A327,0,SUM(_xlfn._xlws.FILTER(G328:G348,(A328:A348=A328)*(E328:E348&lt;0)))),0)</f>
        <v>-279360</v>
      </c>
      <c r="J328" s="25">
        <f t="array" ref="J328">IFERROR(IF(A328=A327,0,SUM(_xlfn._xlws.FILTER(G328:G348,(A328:A348=A328)*(E328:E348&gt;0)))),0)</f>
        <v>129182</v>
      </c>
      <c r="K328" s="25">
        <f>IF(H328&lt;&gt;0,SUM(H$2:H328),0)</f>
        <v>-2612200.6765729995</v>
      </c>
      <c r="L328" s="25">
        <f>IF(I328&lt;&gt;0,SUM(I$2:I328),0)</f>
        <v>-14719310.047073003</v>
      </c>
      <c r="M328" s="25">
        <f>IF(J328&lt;&gt;0,SUM(J$2:J328),0)</f>
        <v>12107109.370500004</v>
      </c>
    </row>
    <row r="329" spans="1:13" hidden="1" x14ac:dyDescent="0.2">
      <c r="A329" s="1">
        <v>45828</v>
      </c>
      <c r="C329" s="2" t="s">
        <v>28</v>
      </c>
      <c r="D329" s="3">
        <v>400</v>
      </c>
      <c r="E329" s="16">
        <v>117.4</v>
      </c>
      <c r="G329" s="25">
        <f t="shared" si="5"/>
        <v>46960</v>
      </c>
      <c r="H329" s="25">
        <f t="array" ref="H329">IF(A329=A328,0,SUM(_xlfn._xlws.FILTER(G329:G349,A329:A349=A329)))</f>
        <v>0</v>
      </c>
      <c r="I329" s="25">
        <f t="array" ref="I329">IFERROR(IF(A329=A328,0,SUM(_xlfn._xlws.FILTER(G329:G349,(A329:A349=A329)*(E329:E349&lt;0)))),0)</f>
        <v>0</v>
      </c>
      <c r="J329" s="25">
        <f t="array" ref="J329">IFERROR(IF(A329=A328,0,SUM(_xlfn._xlws.FILTER(G329:G349,(A329:A349=A329)*(E329:E349&gt;0)))),0)</f>
        <v>0</v>
      </c>
      <c r="K329" s="25">
        <f>IF(H329&lt;&gt;0,SUM(H$2:H329),0)</f>
        <v>0</v>
      </c>
      <c r="L329" s="25">
        <f>IF(I329&lt;&gt;0,SUM(I$2:I329),0)</f>
        <v>0</v>
      </c>
      <c r="M329" s="25">
        <f>IF(J329&lt;&gt;0,SUM(J$2:J329),0)</f>
        <v>0</v>
      </c>
    </row>
    <row r="330" spans="1:13" hidden="1" x14ac:dyDescent="0.2">
      <c r="A330" s="1">
        <v>45828</v>
      </c>
      <c r="C330" s="2" t="s">
        <v>34</v>
      </c>
      <c r="D330" s="3">
        <v>4000</v>
      </c>
      <c r="E330" s="16">
        <v>-69.84</v>
      </c>
      <c r="G330" s="25">
        <f t="shared" si="5"/>
        <v>-279360</v>
      </c>
      <c r="H330" s="25">
        <f t="array" ref="H330">IF(A330=A329,0,SUM(_xlfn._xlws.FILTER(G330:G350,A330:A350=A330)))</f>
        <v>0</v>
      </c>
      <c r="I330" s="25">
        <f t="array" ref="I330">IFERROR(IF(A330=A329,0,SUM(_xlfn._xlws.FILTER(G330:G350,(A330:A350=A330)*(E330:E350&lt;0)))),0)</f>
        <v>0</v>
      </c>
      <c r="J330" s="25">
        <f t="array" ref="J330">IFERROR(IF(A330=A329,0,SUM(_xlfn._xlws.FILTER(G330:G350,(A330:A350=A330)*(E330:E350&gt;0)))),0)</f>
        <v>0</v>
      </c>
      <c r="K330" s="25">
        <f>IF(H330&lt;&gt;0,SUM(H$2:H330),0)</f>
        <v>0</v>
      </c>
      <c r="L330" s="25">
        <f>IF(I330&lt;&gt;0,SUM(I$2:I330),0)</f>
        <v>0</v>
      </c>
      <c r="M330" s="25">
        <f>IF(J330&lt;&gt;0,SUM(J$2:J330),0)</f>
        <v>0</v>
      </c>
    </row>
    <row r="331" spans="1:13" hidden="1" x14ac:dyDescent="0.2">
      <c r="A331" s="1">
        <v>45828</v>
      </c>
      <c r="C331" s="2" t="s">
        <v>41</v>
      </c>
      <c r="D331" s="3">
        <v>1000</v>
      </c>
      <c r="E331" s="16">
        <v>71.819999999999993</v>
      </c>
      <c r="G331" s="25">
        <f t="shared" si="5"/>
        <v>71820</v>
      </c>
      <c r="H331" s="25">
        <f t="array" ref="H331">IF(A331=A330,0,SUM(_xlfn._xlws.FILTER(G331:G351,A331:A351=A331)))</f>
        <v>0</v>
      </c>
      <c r="I331" s="25">
        <f t="array" ref="I331">IFERROR(IF(A331=A330,0,SUM(_xlfn._xlws.FILTER(G331:G351,(A331:A351=A331)*(E331:E351&lt;0)))),0)</f>
        <v>0</v>
      </c>
      <c r="J331" s="25">
        <f t="array" ref="J331">IFERROR(IF(A331=A330,0,SUM(_xlfn._xlws.FILTER(G331:G351,(A331:A351=A331)*(E331:E351&gt;0)))),0)</f>
        <v>0</v>
      </c>
      <c r="K331" s="25">
        <f>IF(H331&lt;&gt;0,SUM(H$2:H331),0)</f>
        <v>0</v>
      </c>
      <c r="L331" s="25">
        <f>IF(I331&lt;&gt;0,SUM(I$2:I331),0)</f>
        <v>0</v>
      </c>
      <c r="M331" s="25">
        <f>IF(J331&lt;&gt;0,SUM(J$2:J331),0)</f>
        <v>0</v>
      </c>
    </row>
    <row r="332" spans="1:13" hidden="1" x14ac:dyDescent="0.2">
      <c r="A332" s="5">
        <v>45831</v>
      </c>
      <c r="C332" s="6" t="s">
        <v>259</v>
      </c>
      <c r="D332" s="7">
        <v>1000</v>
      </c>
      <c r="E332" s="15">
        <v>-250.75</v>
      </c>
      <c r="G332" s="25">
        <f t="shared" si="5"/>
        <v>-250750</v>
      </c>
      <c r="H332" s="25">
        <f t="array" ref="H332">IF(A332=A331,0,SUM(_xlfn._xlws.FILTER(G332:G352,A332:A352=A332)))</f>
        <v>-500500</v>
      </c>
      <c r="I332" s="25">
        <f t="array" ref="I332">IFERROR(IF(A332=A331,0,SUM(_xlfn._xlws.FILTER(G332:G352,(A332:A352=A332)*(E332:E352&lt;0)))),0)</f>
        <v>-500500</v>
      </c>
      <c r="J332" s="25">
        <f t="array" ref="J332">IFERROR(IF(A332=A331,0,SUM(_xlfn._xlws.FILTER(G332:G352,(A332:A352=A332)*(E332:E352&gt;0)))),0)</f>
        <v>0</v>
      </c>
      <c r="K332" s="25">
        <f>IF(H332&lt;&gt;0,SUM(H$2:H332),0)</f>
        <v>-3112700.6765729995</v>
      </c>
      <c r="L332" s="25">
        <f>IF(I332&lt;&gt;0,SUM(I$2:I332),0)</f>
        <v>-15219810.047073003</v>
      </c>
      <c r="M332" s="25">
        <f>IF(J332&lt;&gt;0,SUM(J$2:J332),0)</f>
        <v>0</v>
      </c>
    </row>
    <row r="333" spans="1:13" hidden="1" x14ac:dyDescent="0.2">
      <c r="A333" s="5">
        <v>45831</v>
      </c>
      <c r="C333" s="6" t="s">
        <v>259</v>
      </c>
      <c r="D333" s="7">
        <v>1000</v>
      </c>
      <c r="E333" s="15">
        <v>-249.75</v>
      </c>
      <c r="G333" s="25">
        <f t="shared" si="5"/>
        <v>-249750</v>
      </c>
      <c r="H333" s="25">
        <f t="array" ref="H333">IF(A333=A332,0,SUM(_xlfn._xlws.FILTER(G333:G353,A333:A353=A333)))</f>
        <v>0</v>
      </c>
      <c r="I333" s="25">
        <f t="array" ref="I333">IFERROR(IF(A333=A332,0,SUM(_xlfn._xlws.FILTER(G333:G353,(A333:A353=A333)*(E333:E353&lt;0)))),0)</f>
        <v>0</v>
      </c>
      <c r="J333" s="25">
        <f t="array" ref="J333">IFERROR(IF(A333=A332,0,SUM(_xlfn._xlws.FILTER(G333:G353,(A333:A353=A333)*(E333:E353&gt;0)))),0)</f>
        <v>0</v>
      </c>
      <c r="K333" s="25">
        <f>IF(H333&lt;&gt;0,SUM(H$2:H333),0)</f>
        <v>0</v>
      </c>
      <c r="L333" s="25">
        <f>IF(I333&lt;&gt;0,SUM(I$2:I333),0)</f>
        <v>0</v>
      </c>
      <c r="M333" s="25">
        <f>IF(J333&lt;&gt;0,SUM(J$2:J333),0)</f>
        <v>0</v>
      </c>
    </row>
    <row r="334" spans="1:13" hidden="1" x14ac:dyDescent="0.2">
      <c r="A334" s="1">
        <v>45832</v>
      </c>
      <c r="C334" s="2" t="s">
        <v>90</v>
      </c>
      <c r="D334" s="3">
        <v>300</v>
      </c>
      <c r="E334" s="16">
        <v>-200.7</v>
      </c>
      <c r="G334" s="25">
        <f t="shared" si="5"/>
        <v>-60210</v>
      </c>
      <c r="H334" s="25">
        <f t="array" ref="H334">IF(A334=A333,0,SUM(_xlfn._xlws.FILTER(G334:G354,A334:A354=A334)))</f>
        <v>-166700</v>
      </c>
      <c r="I334" s="25">
        <f t="array" ref="I334">IFERROR(IF(A334=A333,0,SUM(_xlfn._xlws.FILTER(G334:G354,(A334:A354=A334)*(E334:E354&lt;0)))),0)</f>
        <v>-166700</v>
      </c>
      <c r="J334" s="25">
        <f t="array" ref="J334">IFERROR(IF(A334=A333,0,SUM(_xlfn._xlws.FILTER(G334:G354,(A334:A354=A334)*(E334:E354&gt;0)))),0)</f>
        <v>0</v>
      </c>
      <c r="K334" s="25">
        <f>IF(H334&lt;&gt;0,SUM(H$2:H334),0)</f>
        <v>-3279400.6765729995</v>
      </c>
      <c r="L334" s="25">
        <f>IF(I334&lt;&gt;0,SUM(I$2:I334),0)</f>
        <v>-15386510.047073003</v>
      </c>
      <c r="M334" s="25">
        <f>IF(J334&lt;&gt;0,SUM(J$2:J334),0)</f>
        <v>0</v>
      </c>
    </row>
    <row r="335" spans="1:13" hidden="1" x14ac:dyDescent="0.2">
      <c r="A335" s="1">
        <v>45832</v>
      </c>
      <c r="C335" s="2" t="s">
        <v>116</v>
      </c>
      <c r="D335" s="3">
        <v>500</v>
      </c>
      <c r="E335" s="16">
        <v>-212.98</v>
      </c>
      <c r="G335" s="25">
        <f t="shared" si="5"/>
        <v>-106490</v>
      </c>
      <c r="H335" s="25">
        <f t="array" ref="H335">IF(A335=A334,0,SUM(_xlfn._xlws.FILTER(G335:G355,A335:A355=A335)))</f>
        <v>0</v>
      </c>
      <c r="I335" s="25">
        <f t="array" ref="I335">IFERROR(IF(A335=A334,0,SUM(_xlfn._xlws.FILTER(G335:G355,(A335:A355=A335)*(E335:E355&lt;0)))),0)</f>
        <v>0</v>
      </c>
      <c r="J335" s="25">
        <f t="array" ref="J335">IFERROR(IF(A335=A334,0,SUM(_xlfn._xlws.FILTER(G335:G355,(A335:A355=A335)*(E335:E355&gt;0)))),0)</f>
        <v>0</v>
      </c>
      <c r="K335" s="25">
        <f>IF(H335&lt;&gt;0,SUM(H$2:H335),0)</f>
        <v>0</v>
      </c>
      <c r="L335" s="25">
        <f>IF(I335&lt;&gt;0,SUM(I$2:I335),0)</f>
        <v>0</v>
      </c>
      <c r="M335" s="25">
        <f>IF(J335&lt;&gt;0,SUM(J$2:J335),0)</f>
        <v>0</v>
      </c>
    </row>
    <row r="336" spans="1:13" hidden="1" x14ac:dyDescent="0.2">
      <c r="A336" s="5">
        <v>45833</v>
      </c>
      <c r="C336" s="6" t="s">
        <v>19</v>
      </c>
      <c r="D336" s="7">
        <v>200</v>
      </c>
      <c r="E336" s="15">
        <v>-695.5</v>
      </c>
      <c r="G336" s="25">
        <f t="shared" si="5"/>
        <v>-139100</v>
      </c>
      <c r="H336" s="25">
        <f t="array" ref="H336">IF(A336=A335,0,SUM(_xlfn._xlws.FILTER(G336:G356,A336:A356=A336)))</f>
        <v>374863.25</v>
      </c>
      <c r="I336" s="25">
        <f t="array" ref="I336">IFERROR(IF(A336=A335,0,SUM(_xlfn._xlws.FILTER(G336:G356,(A336:A356=A336)*(E336:E356&lt;0)))),0)</f>
        <v>-235550</v>
      </c>
      <c r="J336" s="25">
        <f t="array" ref="J336">IFERROR(IF(A336=A335,0,SUM(_xlfn._xlws.FILTER(G336:G356,(A336:A356=A336)*(E336:E356&gt;0)))),0)</f>
        <v>610413.25</v>
      </c>
      <c r="K336" s="25">
        <f>IF(H336&lt;&gt;0,SUM(H$2:H336),0)</f>
        <v>-2904537.4265729995</v>
      </c>
      <c r="L336" s="25">
        <f>IF(I336&lt;&gt;0,SUM(I$2:I336),0)</f>
        <v>-15622060.047073003</v>
      </c>
      <c r="M336" s="25">
        <f>IF(J336&lt;&gt;0,SUM(J$2:J336),0)</f>
        <v>12717522.620500004</v>
      </c>
    </row>
    <row r="337" spans="1:13" hidden="1" x14ac:dyDescent="0.2">
      <c r="A337" s="5">
        <v>45833</v>
      </c>
      <c r="C337" s="6" t="s">
        <v>58</v>
      </c>
      <c r="D337" s="7">
        <v>800</v>
      </c>
      <c r="E337" s="15">
        <v>119.32</v>
      </c>
      <c r="G337" s="25">
        <f t="shared" si="5"/>
        <v>95456</v>
      </c>
      <c r="H337" s="25">
        <f t="array" ref="H337">IF(A337=A336,0,SUM(_xlfn._xlws.FILTER(G337:G357,A337:A357=A337)))</f>
        <v>0</v>
      </c>
      <c r="I337" s="25">
        <f t="array" ref="I337">IFERROR(IF(A337=A336,0,SUM(_xlfn._xlws.FILTER(G337:G357,(A337:A357=A337)*(E337:E357&lt;0)))),0)</f>
        <v>0</v>
      </c>
      <c r="J337" s="25">
        <f t="array" ref="J337">IFERROR(IF(A337=A336,0,SUM(_xlfn._xlws.FILTER(G337:G357,(A337:A357=A337)*(E337:E357&gt;0)))),0)</f>
        <v>0</v>
      </c>
      <c r="K337" s="25">
        <f>IF(H337&lt;&gt;0,SUM(H$2:H337),0)</f>
        <v>0</v>
      </c>
      <c r="L337" s="25">
        <f>IF(I337&lt;&gt;0,SUM(I$2:I337),0)</f>
        <v>0</v>
      </c>
      <c r="M337" s="25">
        <f>IF(J337&lt;&gt;0,SUM(J$2:J337),0)</f>
        <v>0</v>
      </c>
    </row>
    <row r="338" spans="1:13" hidden="1" x14ac:dyDescent="0.2">
      <c r="A338" s="5">
        <v>45833</v>
      </c>
      <c r="C338" s="6" t="s">
        <v>230</v>
      </c>
      <c r="D338" s="7">
        <v>5000</v>
      </c>
      <c r="E338" s="15">
        <v>10.5</v>
      </c>
      <c r="G338" s="25">
        <f t="shared" si="5"/>
        <v>52500</v>
      </c>
      <c r="H338" s="25">
        <f t="array" ref="H338">IF(A338=A337,0,SUM(_xlfn._xlws.FILTER(G338:G358,A338:A358=A338)))</f>
        <v>0</v>
      </c>
      <c r="I338" s="25">
        <f t="array" ref="I338">IFERROR(IF(A338=A337,0,SUM(_xlfn._xlws.FILTER(G338:G358,(A338:A358=A338)*(E338:E358&lt;0)))),0)</f>
        <v>0</v>
      </c>
      <c r="J338" s="25">
        <f t="array" ref="J338">IFERROR(IF(A338=A337,0,SUM(_xlfn._xlws.FILTER(G338:G358,(A338:A358=A338)*(E338:E358&gt;0)))),0)</f>
        <v>0</v>
      </c>
      <c r="K338" s="25">
        <f>IF(H338&lt;&gt;0,SUM(H$2:H338),0)</f>
        <v>0</v>
      </c>
      <c r="L338" s="25">
        <f>IF(I338&lt;&gt;0,SUM(I$2:I338),0)</f>
        <v>0</v>
      </c>
      <c r="M338" s="25">
        <f>IF(J338&lt;&gt;0,SUM(J$2:J338),0)</f>
        <v>0</v>
      </c>
    </row>
    <row r="339" spans="1:13" hidden="1" x14ac:dyDescent="0.2">
      <c r="A339" s="5">
        <v>45833</v>
      </c>
      <c r="C339" s="6" t="s">
        <v>52</v>
      </c>
      <c r="D339" s="7">
        <v>350</v>
      </c>
      <c r="E339" s="15">
        <v>169.12</v>
      </c>
      <c r="G339" s="25">
        <f t="shared" si="5"/>
        <v>59192</v>
      </c>
      <c r="H339" s="25">
        <f t="array" ref="H339">IF(A339=A338,0,SUM(_xlfn._xlws.FILTER(G339:G359,A339:A359=A339)))</f>
        <v>0</v>
      </c>
      <c r="I339" s="25">
        <f t="array" ref="I339">IFERROR(IF(A339=A338,0,SUM(_xlfn._xlws.FILTER(G339:G359,(A339:A359=A339)*(E339:E359&lt;0)))),0)</f>
        <v>0</v>
      </c>
      <c r="J339" s="25">
        <f t="array" ref="J339">IFERROR(IF(A339=A338,0,SUM(_xlfn._xlws.FILTER(G339:G359,(A339:A359=A339)*(E339:E359&gt;0)))),0)</f>
        <v>0</v>
      </c>
      <c r="K339" s="25">
        <f>IF(H339&lt;&gt;0,SUM(H$2:H339),0)</f>
        <v>0</v>
      </c>
      <c r="L339" s="25">
        <f>IF(I339&lt;&gt;0,SUM(I$2:I339),0)</f>
        <v>0</v>
      </c>
      <c r="M339" s="25">
        <f>IF(J339&lt;&gt;0,SUM(J$2:J339),0)</f>
        <v>0</v>
      </c>
    </row>
    <row r="340" spans="1:13" hidden="1" x14ac:dyDescent="0.2">
      <c r="A340" s="5">
        <v>45833</v>
      </c>
      <c r="C340" s="6" t="s">
        <v>153</v>
      </c>
      <c r="D340" s="7">
        <v>3000</v>
      </c>
      <c r="E340" s="15">
        <v>-15.45</v>
      </c>
      <c r="G340" s="25">
        <f t="shared" si="5"/>
        <v>-46350</v>
      </c>
      <c r="H340" s="25">
        <f t="array" ref="H340">IF(A340=A339,0,SUM(_xlfn._xlws.FILTER(G340:G360,A340:A360=A340)))</f>
        <v>0</v>
      </c>
      <c r="I340" s="25">
        <f t="array" ref="I340">IFERROR(IF(A340=A339,0,SUM(_xlfn._xlws.FILTER(G340:G360,(A340:A360=A340)*(E340:E360&lt;0)))),0)</f>
        <v>0</v>
      </c>
      <c r="J340" s="25">
        <f t="array" ref="J340">IFERROR(IF(A340=A339,0,SUM(_xlfn._xlws.FILTER(G340:G360,(A340:A360=A340)*(E340:E360&gt;0)))),0)</f>
        <v>0</v>
      </c>
      <c r="K340" s="25">
        <f>IF(H340&lt;&gt;0,SUM(H$2:H340),0)</f>
        <v>0</v>
      </c>
      <c r="L340" s="25">
        <f>IF(I340&lt;&gt;0,SUM(I$2:I340),0)</f>
        <v>0</v>
      </c>
      <c r="M340" s="25">
        <f>IF(J340&lt;&gt;0,SUM(J$2:J340),0)</f>
        <v>0</v>
      </c>
    </row>
    <row r="341" spans="1:13" hidden="1" x14ac:dyDescent="0.2">
      <c r="A341" s="5">
        <v>45833</v>
      </c>
      <c r="C341" s="6" t="s">
        <v>305</v>
      </c>
      <c r="D341" s="7">
        <v>2500</v>
      </c>
      <c r="E341" s="15">
        <v>-5.12</v>
      </c>
      <c r="G341" s="25">
        <f t="shared" si="5"/>
        <v>-12800</v>
      </c>
      <c r="H341" s="25">
        <f t="array" ref="H341">IF(A341=A340,0,SUM(_xlfn._xlws.FILTER(G341:G361,A341:A361=A341)))</f>
        <v>0</v>
      </c>
      <c r="I341" s="25">
        <f t="array" ref="I341">IFERROR(IF(A341=A340,0,SUM(_xlfn._xlws.FILTER(G341:G361,(A341:A361=A341)*(E341:E361&lt;0)))),0)</f>
        <v>0</v>
      </c>
      <c r="J341" s="25">
        <f t="array" ref="J341">IFERROR(IF(A341=A340,0,SUM(_xlfn._xlws.FILTER(G341:G361,(A341:A361=A341)*(E341:E361&gt;0)))),0)</f>
        <v>0</v>
      </c>
      <c r="K341" s="25">
        <f>IF(H341&lt;&gt;0,SUM(H$2:H341),0)</f>
        <v>0</v>
      </c>
      <c r="L341" s="25">
        <f>IF(I341&lt;&gt;0,SUM(I$2:I341),0)</f>
        <v>0</v>
      </c>
      <c r="M341" s="25">
        <f>IF(J341&lt;&gt;0,SUM(J$2:J341),0)</f>
        <v>0</v>
      </c>
    </row>
    <row r="342" spans="1:13" hidden="1" x14ac:dyDescent="0.2">
      <c r="A342" s="5">
        <v>45833</v>
      </c>
      <c r="C342" s="6" t="s">
        <v>185</v>
      </c>
      <c r="D342" s="7">
        <v>2000</v>
      </c>
      <c r="E342" s="15">
        <v>-18.649999999999999</v>
      </c>
      <c r="G342" s="25">
        <f t="shared" si="5"/>
        <v>-37300</v>
      </c>
      <c r="H342" s="25">
        <f t="array" ref="H342">IF(A342=A341,0,SUM(_xlfn._xlws.FILTER(G342:G362,A342:A362=A342)))</f>
        <v>0</v>
      </c>
      <c r="I342" s="25">
        <f t="array" ref="I342">IFERROR(IF(A342=A341,0,SUM(_xlfn._xlws.FILTER(G342:G362,(A342:A362=A342)*(E342:E362&lt;0)))),0)</f>
        <v>0</v>
      </c>
      <c r="J342" s="25">
        <f t="array" ref="J342">IFERROR(IF(A342=A341,0,SUM(_xlfn._xlws.FILTER(G342:G362,(A342:A362=A342)*(E342:E362&gt;0)))),0)</f>
        <v>0</v>
      </c>
      <c r="K342" s="25">
        <f>IF(H342&lt;&gt;0,SUM(H$2:H342),0)</f>
        <v>0</v>
      </c>
      <c r="L342" s="25">
        <f>IF(I342&lt;&gt;0,SUM(I$2:I342),0)</f>
        <v>0</v>
      </c>
      <c r="M342" s="25">
        <f>IF(J342&lt;&gt;0,SUM(J$2:J342),0)</f>
        <v>0</v>
      </c>
    </row>
    <row r="343" spans="1:13" hidden="1" x14ac:dyDescent="0.2">
      <c r="A343" s="5">
        <v>45833</v>
      </c>
      <c r="C343" s="6" t="s">
        <v>190</v>
      </c>
      <c r="D343" s="7">
        <v>1000</v>
      </c>
      <c r="E343" s="15">
        <v>58.125</v>
      </c>
      <c r="G343" s="25">
        <f t="shared" si="5"/>
        <v>58125</v>
      </c>
      <c r="H343" s="25">
        <f t="array" ref="H343">IF(A343=A342,0,SUM(_xlfn._xlws.FILTER(G343:G363,A343:A363=A343)))</f>
        <v>0</v>
      </c>
      <c r="I343" s="25">
        <f t="array" ref="I343">IFERROR(IF(A343=A342,0,SUM(_xlfn._xlws.FILTER(G343:G363,(A343:A363=A343)*(E343:E363&lt;0)))),0)</f>
        <v>0</v>
      </c>
      <c r="J343" s="25">
        <f t="array" ref="J343">IFERROR(IF(A343=A342,0,SUM(_xlfn._xlws.FILTER(G343:G363,(A343:A363=A343)*(E343:E363&gt;0)))),0)</f>
        <v>0</v>
      </c>
      <c r="K343" s="25">
        <f>IF(H343&lt;&gt;0,SUM(H$2:H343),0)</f>
        <v>0</v>
      </c>
      <c r="L343" s="25">
        <f>IF(I343&lt;&gt;0,SUM(I$2:I343),0)</f>
        <v>0</v>
      </c>
      <c r="M343" s="25">
        <f>IF(J343&lt;&gt;0,SUM(J$2:J343),0)</f>
        <v>0</v>
      </c>
    </row>
    <row r="344" spans="1:13" hidden="1" x14ac:dyDescent="0.2">
      <c r="A344" s="5">
        <v>45833</v>
      </c>
      <c r="C344" s="6" t="s">
        <v>278</v>
      </c>
      <c r="D344" s="7">
        <v>150</v>
      </c>
      <c r="E344" s="15">
        <v>491.47500000000002</v>
      </c>
      <c r="G344" s="25">
        <f t="shared" si="5"/>
        <v>73721.25</v>
      </c>
      <c r="H344" s="25">
        <f t="array" ref="H344">IF(A344=A343,0,SUM(_xlfn._xlws.FILTER(G344:G364,A344:A364=A344)))</f>
        <v>0</v>
      </c>
      <c r="I344" s="25">
        <f t="array" ref="I344">IFERROR(IF(A344=A343,0,SUM(_xlfn._xlws.FILTER(G344:G364,(A344:A364=A344)*(E344:E364&lt;0)))),0)</f>
        <v>0</v>
      </c>
      <c r="J344" s="25">
        <f t="array" ref="J344">IFERROR(IF(A344=A343,0,SUM(_xlfn._xlws.FILTER(G344:G364,(A344:A364=A344)*(E344:E364&gt;0)))),0)</f>
        <v>0</v>
      </c>
      <c r="K344" s="25">
        <f>IF(H344&lt;&gt;0,SUM(H$2:H344),0)</f>
        <v>0</v>
      </c>
      <c r="L344" s="25">
        <f>IF(I344&lt;&gt;0,SUM(I$2:I344),0)</f>
        <v>0</v>
      </c>
      <c r="M344" s="25">
        <f>IF(J344&lt;&gt;0,SUM(J$2:J344),0)</f>
        <v>0</v>
      </c>
    </row>
    <row r="345" spans="1:13" hidden="1" x14ac:dyDescent="0.2">
      <c r="A345" s="5">
        <v>45833</v>
      </c>
      <c r="C345" s="6" t="s">
        <v>28</v>
      </c>
      <c r="D345" s="7">
        <v>800</v>
      </c>
      <c r="E345" s="15">
        <v>119.38</v>
      </c>
      <c r="G345" s="25">
        <f t="shared" si="5"/>
        <v>95504</v>
      </c>
      <c r="H345" s="25">
        <f t="array" ref="H345">IF(A345=A344,0,SUM(_xlfn._xlws.FILTER(G345:G365,A345:A365=A345)))</f>
        <v>0</v>
      </c>
      <c r="I345" s="25">
        <f t="array" ref="I345">IFERROR(IF(A345=A344,0,SUM(_xlfn._xlws.FILTER(G345:G365,(A345:A365=A345)*(E345:E365&lt;0)))),0)</f>
        <v>0</v>
      </c>
      <c r="J345" s="25">
        <f t="array" ref="J345">IFERROR(IF(A345=A344,0,SUM(_xlfn._xlws.FILTER(G345:G365,(A345:A365=A345)*(E345:E365&gt;0)))),0)</f>
        <v>0</v>
      </c>
      <c r="K345" s="25">
        <f>IF(H345&lt;&gt;0,SUM(H$2:H345),0)</f>
        <v>0</v>
      </c>
      <c r="L345" s="25">
        <f>IF(I345&lt;&gt;0,SUM(I$2:I345),0)</f>
        <v>0</v>
      </c>
      <c r="M345" s="25">
        <f>IF(J345&lt;&gt;0,SUM(J$2:J345),0)</f>
        <v>0</v>
      </c>
    </row>
    <row r="346" spans="1:13" hidden="1" x14ac:dyDescent="0.2">
      <c r="A346" s="5">
        <v>45833</v>
      </c>
      <c r="C346" s="6" t="s">
        <v>39</v>
      </c>
      <c r="D346" s="7">
        <v>1000</v>
      </c>
      <c r="E346" s="15">
        <v>68.319999999999993</v>
      </c>
      <c r="G346" s="25">
        <f t="shared" si="5"/>
        <v>68320</v>
      </c>
      <c r="H346" s="25">
        <f t="array" ref="H346">IF(A346=A345,0,SUM(_xlfn._xlws.FILTER(G346:G366,A346:A366=A346)))</f>
        <v>0</v>
      </c>
      <c r="I346" s="25">
        <f t="array" ref="I346">IFERROR(IF(A346=A345,0,SUM(_xlfn._xlws.FILTER(G346:G366,(A346:A366=A346)*(E346:E366&lt;0)))),0)</f>
        <v>0</v>
      </c>
      <c r="J346" s="25">
        <f t="array" ref="J346">IFERROR(IF(A346=A345,0,SUM(_xlfn._xlws.FILTER(G346:G366,(A346:A366=A346)*(E346:E366&gt;0)))),0)</f>
        <v>0</v>
      </c>
      <c r="K346" s="25">
        <f>IF(H346&lt;&gt;0,SUM(H$2:H346),0)</f>
        <v>0</v>
      </c>
      <c r="L346" s="25">
        <f>IF(I346&lt;&gt;0,SUM(I$2:I346),0)</f>
        <v>0</v>
      </c>
      <c r="M346" s="25">
        <f>IF(J346&lt;&gt;0,SUM(J$2:J346),0)</f>
        <v>0</v>
      </c>
    </row>
    <row r="347" spans="1:13" hidden="1" x14ac:dyDescent="0.2">
      <c r="A347" s="5">
        <v>45833</v>
      </c>
      <c r="C347" s="6" t="s">
        <v>76</v>
      </c>
      <c r="D347" s="7">
        <v>500</v>
      </c>
      <c r="E347" s="15">
        <v>82.67</v>
      </c>
      <c r="G347" s="25">
        <f t="shared" si="5"/>
        <v>41335</v>
      </c>
      <c r="H347" s="25">
        <f t="array" ref="H347">IF(A347=A346,0,SUM(_xlfn._xlws.FILTER(G347:G367,A347:A367=A347)))</f>
        <v>0</v>
      </c>
      <c r="I347" s="25">
        <f t="array" ref="I347">IFERROR(IF(A347=A346,0,SUM(_xlfn._xlws.FILTER(G347:G367,(A347:A367=A347)*(E347:E367&lt;0)))),0)</f>
        <v>0</v>
      </c>
      <c r="J347" s="25">
        <f t="array" ref="J347">IFERROR(IF(A347=A346,0,SUM(_xlfn._xlws.FILTER(G347:G367,(A347:A367=A347)*(E347:E367&gt;0)))),0)</f>
        <v>0</v>
      </c>
      <c r="K347" s="25">
        <f>IF(H347&lt;&gt;0,SUM(H$2:H347),0)</f>
        <v>0</v>
      </c>
      <c r="L347" s="25">
        <f>IF(I347&lt;&gt;0,SUM(I$2:I347),0)</f>
        <v>0</v>
      </c>
      <c r="M347" s="25">
        <f>IF(J347&lt;&gt;0,SUM(J$2:J347),0)</f>
        <v>0</v>
      </c>
    </row>
    <row r="348" spans="1:13" hidden="1" x14ac:dyDescent="0.2">
      <c r="A348" s="5">
        <v>45833</v>
      </c>
      <c r="C348" s="6" t="s">
        <v>139</v>
      </c>
      <c r="D348" s="7">
        <v>20000</v>
      </c>
      <c r="E348" s="15">
        <v>331.3</v>
      </c>
      <c r="G348" s="25">
        <f t="shared" si="5"/>
        <v>66260</v>
      </c>
      <c r="H348" s="25">
        <f t="array" ref="H348">IF(A348=A347,0,SUM(_xlfn._xlws.FILTER(G348:G368,A348:A368=A348)))</f>
        <v>0</v>
      </c>
      <c r="I348" s="25">
        <f t="array" ref="I348">IFERROR(IF(A348=A347,0,SUM(_xlfn._xlws.FILTER(G348:G368,(A348:A368=A348)*(E348:E368&lt;0)))),0)</f>
        <v>0</v>
      </c>
      <c r="J348" s="25">
        <f t="array" ref="J348">IFERROR(IF(A348=A347,0,SUM(_xlfn._xlws.FILTER(G348:G368,(A348:A368=A348)*(E348:E368&gt;0)))),0)</f>
        <v>0</v>
      </c>
      <c r="K348" s="25">
        <f>IF(H348&lt;&gt;0,SUM(H$2:H348),0)</f>
        <v>0</v>
      </c>
      <c r="L348" s="25">
        <f>IF(I348&lt;&gt;0,SUM(I$2:I348),0)</f>
        <v>0</v>
      </c>
      <c r="M348" s="25">
        <f>IF(J348&lt;&gt;0,SUM(J$2:J348),0)</f>
        <v>0</v>
      </c>
    </row>
    <row r="349" spans="1:13" hidden="1" x14ac:dyDescent="0.2">
      <c r="A349" s="1">
        <v>45834</v>
      </c>
      <c r="C349" s="2" t="s">
        <v>105</v>
      </c>
      <c r="D349" s="3">
        <v>1500</v>
      </c>
      <c r="E349" s="16">
        <v>-30.22</v>
      </c>
      <c r="G349" s="25">
        <f t="shared" si="5"/>
        <v>-45330</v>
      </c>
      <c r="H349" s="25">
        <f t="array" ref="H349">IF(A349=A348,0,SUM(_xlfn._xlws.FILTER(G349:G369,A349:A369=A349)))</f>
        <v>160005</v>
      </c>
      <c r="I349" s="25">
        <f t="array" ref="I349">IFERROR(IF(A349=A348,0,SUM(_xlfn._xlws.FILTER(G349:G369,(A349:A369=A349)*(E349:E369&lt;0)))),0)</f>
        <v>-85810</v>
      </c>
      <c r="J349" s="25">
        <f t="array" ref="J349">IFERROR(IF(A349=A348,0,SUM(_xlfn._xlws.FILTER(G349:G369,(A349:A369=A349)*(E349:E369&gt;0)))),0)</f>
        <v>245815</v>
      </c>
      <c r="K349" s="25">
        <f>IF(H349&lt;&gt;0,SUM(H$2:H349),0)</f>
        <v>-2744532.4265729995</v>
      </c>
      <c r="L349" s="25">
        <f>IF(I349&lt;&gt;0,SUM(I$2:I349),0)</f>
        <v>-15707870.047073003</v>
      </c>
      <c r="M349" s="25">
        <f>IF(J349&lt;&gt;0,SUM(J$2:J349),0)</f>
        <v>12963337.620500004</v>
      </c>
    </row>
    <row r="350" spans="1:13" hidden="1" x14ac:dyDescent="0.2">
      <c r="A350" s="1">
        <v>45834</v>
      </c>
      <c r="C350" s="2" t="s">
        <v>278</v>
      </c>
      <c r="D350" s="3">
        <v>150</v>
      </c>
      <c r="E350" s="16">
        <v>496.3</v>
      </c>
      <c r="G350" s="25">
        <f t="shared" si="5"/>
        <v>74445</v>
      </c>
      <c r="H350" s="25">
        <f t="array" ref="H350">IF(A350=A349,0,SUM(_xlfn._xlws.FILTER(G350:G370,A350:A370=A350)))</f>
        <v>0</v>
      </c>
      <c r="I350" s="25">
        <f t="array" ref="I350">IFERROR(IF(A350=A349,0,SUM(_xlfn._xlws.FILTER(G350:G370,(A350:A370=A350)*(E350:E370&lt;0)))),0)</f>
        <v>0</v>
      </c>
      <c r="J350" s="25">
        <f t="array" ref="J350">IFERROR(IF(A350=A349,0,SUM(_xlfn._xlws.FILTER(G350:G370,(A350:A370=A350)*(E350:E370&gt;0)))),0)</f>
        <v>0</v>
      </c>
      <c r="K350" s="25">
        <f>IF(H350&lt;&gt;0,SUM(H$2:H350),0)</f>
        <v>0</v>
      </c>
      <c r="L350" s="25">
        <f>IF(I350&lt;&gt;0,SUM(I$2:I350),0)</f>
        <v>0</v>
      </c>
      <c r="M350" s="25">
        <f>IF(J350&lt;&gt;0,SUM(J$2:J350),0)</f>
        <v>0</v>
      </c>
    </row>
    <row r="351" spans="1:13" hidden="1" x14ac:dyDescent="0.2">
      <c r="A351" s="1">
        <v>45834</v>
      </c>
      <c r="C351" s="2" t="s">
        <v>566</v>
      </c>
      <c r="D351" s="3">
        <v>40000</v>
      </c>
      <c r="E351" s="16">
        <v>-1.012</v>
      </c>
      <c r="G351" s="25">
        <f t="shared" si="5"/>
        <v>-40480</v>
      </c>
      <c r="H351" s="25">
        <f t="array" ref="H351">IF(A351=A350,0,SUM(_xlfn._xlws.FILTER(G351:G371,A351:A371=A351)))</f>
        <v>0</v>
      </c>
      <c r="I351" s="25">
        <f t="array" ref="I351">IFERROR(IF(A351=A350,0,SUM(_xlfn._xlws.FILTER(G351:G371,(A351:A371=A351)*(E351:E371&lt;0)))),0)</f>
        <v>0</v>
      </c>
      <c r="J351" s="25">
        <f t="array" ref="J351">IFERROR(IF(A351=A350,0,SUM(_xlfn._xlws.FILTER(G351:G371,(A351:A371=A351)*(E351:E371&gt;0)))),0)</f>
        <v>0</v>
      </c>
      <c r="K351" s="25">
        <f>IF(H351&lt;&gt;0,SUM(H$2:H351),0)</f>
        <v>0</v>
      </c>
      <c r="L351" s="25">
        <f>IF(I351&lt;&gt;0,SUM(I$2:I351),0)</f>
        <v>0</v>
      </c>
      <c r="M351" s="25">
        <f>IF(J351&lt;&gt;0,SUM(J$2:J351),0)</f>
        <v>0</v>
      </c>
    </row>
    <row r="352" spans="1:13" hidden="1" x14ac:dyDescent="0.2">
      <c r="A352" s="1">
        <v>45834</v>
      </c>
      <c r="C352" s="2" t="s">
        <v>190</v>
      </c>
      <c r="D352" s="3">
        <v>1000</v>
      </c>
      <c r="E352" s="16">
        <v>59.16</v>
      </c>
      <c r="G352" s="25">
        <f t="shared" si="5"/>
        <v>59160</v>
      </c>
      <c r="H352" s="25">
        <f t="array" ref="H352">IF(A352=A351,0,SUM(_xlfn._xlws.FILTER(G352:G372,A352:A372=A352)))</f>
        <v>0</v>
      </c>
      <c r="I352" s="25">
        <f t="array" ref="I352">IFERROR(IF(A352=A351,0,SUM(_xlfn._xlws.FILTER(G352:G372,(A352:A372=A352)*(E352:E372&lt;0)))),0)</f>
        <v>0</v>
      </c>
      <c r="J352" s="25">
        <f t="array" ref="J352">IFERROR(IF(A352=A351,0,SUM(_xlfn._xlws.FILTER(G352:G372,(A352:A372=A352)*(E352:E372&gt;0)))),0)</f>
        <v>0</v>
      </c>
      <c r="K352" s="25">
        <f>IF(H352&lt;&gt;0,SUM(H$2:H352),0)</f>
        <v>0</v>
      </c>
      <c r="L352" s="25">
        <f>IF(I352&lt;&gt;0,SUM(I$2:I352),0)</f>
        <v>0</v>
      </c>
      <c r="M352" s="25">
        <f>IF(J352&lt;&gt;0,SUM(J$2:J352),0)</f>
        <v>0</v>
      </c>
    </row>
    <row r="353" spans="1:13" hidden="1" x14ac:dyDescent="0.2">
      <c r="A353" s="1">
        <v>45834</v>
      </c>
      <c r="C353" s="2" t="s">
        <v>22</v>
      </c>
      <c r="D353" s="3">
        <v>500</v>
      </c>
      <c r="E353" s="16">
        <v>224.42</v>
      </c>
      <c r="G353" s="25">
        <f t="shared" si="5"/>
        <v>112210</v>
      </c>
      <c r="H353" s="25">
        <f t="array" ref="H353">IF(A353=A352,0,SUM(_xlfn._xlws.FILTER(G353:G373,A353:A373=A353)))</f>
        <v>0</v>
      </c>
      <c r="I353" s="25">
        <f t="array" ref="I353">IFERROR(IF(A353=A352,0,SUM(_xlfn._xlws.FILTER(G353:G373,(A353:A373=A353)*(E353:E373&lt;0)))),0)</f>
        <v>0</v>
      </c>
      <c r="J353" s="25">
        <f t="array" ref="J353">IFERROR(IF(A353=A352,0,SUM(_xlfn._xlws.FILTER(G353:G373,(A353:A373=A353)*(E353:E373&gt;0)))),0)</f>
        <v>0</v>
      </c>
      <c r="K353" s="25">
        <f>IF(H353&lt;&gt;0,SUM(H$2:H353),0)</f>
        <v>0</v>
      </c>
      <c r="L353" s="25">
        <f>IF(I353&lt;&gt;0,SUM(I$2:I353),0)</f>
        <v>0</v>
      </c>
      <c r="M353" s="25">
        <f>IF(J353&lt;&gt;0,SUM(J$2:J353),0)</f>
        <v>0</v>
      </c>
    </row>
    <row r="354" spans="1:13" hidden="1" x14ac:dyDescent="0.2">
      <c r="A354" s="5">
        <v>45835</v>
      </c>
      <c r="C354" s="6" t="s">
        <v>193</v>
      </c>
      <c r="D354" s="7">
        <v>1000</v>
      </c>
      <c r="E354" s="15">
        <v>-27.53</v>
      </c>
      <c r="G354" s="25">
        <f t="shared" si="5"/>
        <v>-27530</v>
      </c>
      <c r="H354" s="25">
        <f t="array" ref="H354">IF(A354=A353,0,SUM(_xlfn._xlws.FILTER(G354:G374,A354:A374=A354)))</f>
        <v>-27530</v>
      </c>
      <c r="I354" s="25">
        <f t="array" ref="I354">IFERROR(IF(A354=A353,0,SUM(_xlfn._xlws.FILTER(G354:G374,(A354:A374=A354)*(E354:E374&lt;0)))),0)</f>
        <v>-27530</v>
      </c>
      <c r="J354" s="25">
        <f t="array" ref="J354">IFERROR(IF(A354=A353,0,SUM(_xlfn._xlws.FILTER(G354:G374,(A354:A374=A354)*(E354:E374&gt;0)))),0)</f>
        <v>0</v>
      </c>
      <c r="K354" s="25">
        <f>IF(H354&lt;&gt;0,SUM(H$2:H354),0)</f>
        <v>-2772062.4265729995</v>
      </c>
      <c r="L354" s="25">
        <f>IF(I354&lt;&gt;0,SUM(I$2:I354),0)</f>
        <v>-15735400.047073003</v>
      </c>
      <c r="M354" s="25">
        <f>IF(J354&lt;&gt;0,SUM(J$2:J354),0)</f>
        <v>0</v>
      </c>
    </row>
    <row r="355" spans="1:13" hidden="1" x14ac:dyDescent="0.2">
      <c r="A355" s="1">
        <v>45838</v>
      </c>
      <c r="C355" s="2" t="s">
        <v>45</v>
      </c>
      <c r="D355" s="3">
        <v>2000</v>
      </c>
      <c r="E355" s="16">
        <v>20.52</v>
      </c>
      <c r="G355" s="25">
        <f t="shared" si="5"/>
        <v>41040</v>
      </c>
      <c r="H355" s="25">
        <f t="array" ref="H355">IF(A355=A354,0,SUM(_xlfn._xlws.FILTER(G355:G375,A355:A375=A355)))</f>
        <v>41040</v>
      </c>
      <c r="I355" s="25">
        <f t="array" ref="I355">IFERROR(IF(A355=A354,0,SUM(_xlfn._xlws.FILTER(G355:G375,(A355:A375=A355)*(E355:E375&lt;0)))),0)</f>
        <v>0</v>
      </c>
      <c r="J355" s="25">
        <f t="array" ref="J355">IFERROR(IF(A355=A354,0,SUM(_xlfn._xlws.FILTER(G355:G375,(A355:A375=A355)*(E355:E375&gt;0)))),0)</f>
        <v>41040</v>
      </c>
      <c r="K355" s="25">
        <f>IF(H355&lt;&gt;0,SUM(H$2:H355),0)</f>
        <v>-2731022.4265729995</v>
      </c>
      <c r="L355" s="25">
        <f>IF(I355&lt;&gt;0,SUM(I$2:I355),0)</f>
        <v>0</v>
      </c>
      <c r="M355" s="25">
        <f>IF(J355&lt;&gt;0,SUM(J$2:J355),0)</f>
        <v>13004377.620500004</v>
      </c>
    </row>
    <row r="356" spans="1:13" hidden="1" x14ac:dyDescent="0.2">
      <c r="A356" s="5">
        <v>45841</v>
      </c>
      <c r="C356" s="6" t="s">
        <v>139</v>
      </c>
      <c r="D356" s="7">
        <v>8290</v>
      </c>
      <c r="E356" s="15">
        <v>3.46</v>
      </c>
      <c r="G356" s="25">
        <f t="shared" si="5"/>
        <v>286.834</v>
      </c>
      <c r="H356" s="25">
        <f t="array" ref="H356">IF(A356=A355,0,SUM(_xlfn._xlws.FILTER(G356:G376,A356:A376=A356)))</f>
        <v>286.834</v>
      </c>
      <c r="I356" s="25">
        <f t="array" ref="I356">IFERROR(IF(A356=A355,0,SUM(_xlfn._xlws.FILTER(G356:G376,(A356:A376=A356)*(E356:E376&lt;0)))),0)</f>
        <v>0</v>
      </c>
      <c r="J356" s="25">
        <f t="array" ref="J356">IFERROR(IF(A356=A355,0,SUM(_xlfn._xlws.FILTER(G356:G376,(A356:A376=A356)*(E356:E376&gt;0)))),0)</f>
        <v>286.834</v>
      </c>
      <c r="K356" s="25">
        <f>IF(H356&lt;&gt;0,SUM(H$2:H356),0)</f>
        <v>-2730735.5925729997</v>
      </c>
      <c r="L356" s="25">
        <f>IF(I356&lt;&gt;0,SUM(I$2:I356),0)</f>
        <v>0</v>
      </c>
      <c r="M356" s="25">
        <f>IF(J356&lt;&gt;0,SUM(J$2:J356),0)</f>
        <v>13004664.454500005</v>
      </c>
    </row>
    <row r="357" spans="1:13" hidden="1" x14ac:dyDescent="0.2">
      <c r="A357" s="1">
        <v>45842</v>
      </c>
      <c r="C357" s="2" t="s">
        <v>139</v>
      </c>
      <c r="D357" s="3">
        <v>20000</v>
      </c>
      <c r="E357" s="16">
        <v>345.8</v>
      </c>
      <c r="G357" s="25">
        <f t="shared" si="5"/>
        <v>69160</v>
      </c>
      <c r="H357" s="25">
        <f t="array" ref="H357">IF(A357=A356,0,SUM(_xlfn._xlws.FILTER(G357:G377,A357:A377=A357)))</f>
        <v>69160</v>
      </c>
      <c r="I357" s="25">
        <f t="array" ref="I357">IFERROR(IF(A357=A356,0,SUM(_xlfn._xlws.FILTER(G357:G377,(A357:A377=A357)*(E357:E377&lt;0)))),0)</f>
        <v>0</v>
      </c>
      <c r="J357" s="25">
        <f t="array" ref="J357">IFERROR(IF(A357=A356,0,SUM(_xlfn._xlws.FILTER(G357:G377,(A357:A377=A357)*(E357:E377&gt;0)))),0)</f>
        <v>69160</v>
      </c>
      <c r="K357" s="25">
        <f>IF(H357&lt;&gt;0,SUM(H$2:H357),0)</f>
        <v>-2661575.5925729997</v>
      </c>
      <c r="L357" s="25">
        <f>IF(I357&lt;&gt;0,SUM(I$2:I357),0)</f>
        <v>0</v>
      </c>
      <c r="M357" s="25">
        <f>IF(J357&lt;&gt;0,SUM(J$2:J357),0)</f>
        <v>13073824.454500005</v>
      </c>
    </row>
    <row r="358" spans="1:13" hidden="1" x14ac:dyDescent="0.2">
      <c r="A358" s="5">
        <v>45845</v>
      </c>
      <c r="C358" s="6" t="s">
        <v>58</v>
      </c>
      <c r="D358" s="7">
        <v>330</v>
      </c>
      <c r="E358" s="15">
        <v>122.97</v>
      </c>
      <c r="G358" s="25">
        <f t="shared" si="5"/>
        <v>40580.1</v>
      </c>
      <c r="H358" s="25">
        <f t="array" ref="H358">IF(A358=A357,0,SUM(_xlfn._xlws.FILTER(G358:G378,A358:A378=A358)))</f>
        <v>40580.1</v>
      </c>
      <c r="I358" s="25">
        <f t="array" ref="I358">IFERROR(IF(A358=A357,0,SUM(_xlfn._xlws.FILTER(G358:G378,(A358:A378=A358)*(E358:E378&lt;0)))),0)</f>
        <v>0</v>
      </c>
      <c r="J358" s="25">
        <f t="array" ref="J358">IFERROR(IF(A358=A357,0,SUM(_xlfn._xlws.FILTER(G358:G378,(A358:A378=A358)*(E358:E378&gt;0)))),0)</f>
        <v>40580.1</v>
      </c>
      <c r="K358" s="25">
        <f>IF(H358&lt;&gt;0,SUM(H$2:H358),0)</f>
        <v>-2620995.4925729996</v>
      </c>
      <c r="L358" s="25">
        <f>IF(I358&lt;&gt;0,SUM(I$2:I358),0)</f>
        <v>0</v>
      </c>
      <c r="M358" s="25">
        <f>IF(J358&lt;&gt;0,SUM(J$2:J358),0)</f>
        <v>13114404.554500004</v>
      </c>
    </row>
    <row r="359" spans="1:13" hidden="1" x14ac:dyDescent="0.2">
      <c r="A359" s="1">
        <v>45848</v>
      </c>
      <c r="C359" s="2" t="s">
        <v>122</v>
      </c>
      <c r="D359" s="3">
        <v>10000</v>
      </c>
      <c r="E359" s="16">
        <v>-524.20000000000005</v>
      </c>
      <c r="G359" s="25">
        <f t="shared" si="5"/>
        <v>-52420</v>
      </c>
      <c r="H359" s="25">
        <f t="array" ref="H359">IF(A359=A358,0,SUM(_xlfn._xlws.FILTER(G359:G379,A359:A379=A359)))</f>
        <v>21420</v>
      </c>
      <c r="I359" s="25">
        <f t="array" ref="I359">IFERROR(IF(A359=A358,0,SUM(_xlfn._xlws.FILTER(G359:G379,(A359:A379=A359)*(E359:E379&lt;0)))),0)</f>
        <v>-52420</v>
      </c>
      <c r="J359" s="25">
        <f t="array" ref="J359">IFERROR(IF(A359=A358,0,SUM(_xlfn._xlws.FILTER(G359:G379,(A359:A379=A359)*(E359:E379&gt;0)))),0)</f>
        <v>73840</v>
      </c>
      <c r="K359" s="25">
        <f>IF(H359&lt;&gt;0,SUM(H$2:H359),0)</f>
        <v>-2599575.4925729996</v>
      </c>
      <c r="L359" s="25">
        <f>IF(I359&lt;&gt;0,SUM(I$2:I359),0)</f>
        <v>-15787820.047073003</v>
      </c>
      <c r="M359" s="25">
        <f>IF(J359&lt;&gt;0,SUM(J$2:J359),0)</f>
        <v>13188244.554500004</v>
      </c>
    </row>
    <row r="360" spans="1:13" hidden="1" x14ac:dyDescent="0.2">
      <c r="A360" s="1">
        <v>45848</v>
      </c>
      <c r="C360" s="2" t="s">
        <v>139</v>
      </c>
      <c r="D360" s="3">
        <v>20000</v>
      </c>
      <c r="E360" s="16">
        <v>369.2</v>
      </c>
      <c r="G360" s="25">
        <f t="shared" si="5"/>
        <v>73840</v>
      </c>
      <c r="H360" s="25">
        <f t="array" ref="H360">IF(A360=A359,0,SUM(_xlfn._xlws.FILTER(G360:G380,A360:A380=A360)))</f>
        <v>0</v>
      </c>
      <c r="I360" s="25">
        <f t="array" ref="I360">IFERROR(IF(A360=A359,0,SUM(_xlfn._xlws.FILTER(G360:G380,(A360:A380=A360)*(E360:E380&lt;0)))),0)</f>
        <v>0</v>
      </c>
      <c r="J360" s="25">
        <f t="array" ref="J360">IFERROR(IF(A360=A359,0,SUM(_xlfn._xlws.FILTER(G360:G380,(A360:A380=A360)*(E360:E380&gt;0)))),0)</f>
        <v>0</v>
      </c>
      <c r="K360" s="25">
        <f>IF(H360&lt;&gt;0,SUM(H$2:H360),0)</f>
        <v>0</v>
      </c>
      <c r="L360" s="25">
        <f>IF(I360&lt;&gt;0,SUM(I$2:I360),0)</f>
        <v>0</v>
      </c>
      <c r="M360" s="25">
        <f>IF(J360&lt;&gt;0,SUM(J$2:J360),0)</f>
        <v>0</v>
      </c>
    </row>
    <row r="361" spans="1:13" hidden="1" x14ac:dyDescent="0.2">
      <c r="A361" s="5">
        <v>45853</v>
      </c>
      <c r="C361" s="6" t="s">
        <v>288</v>
      </c>
      <c r="D361" s="7">
        <v>5000</v>
      </c>
      <c r="E361" s="15">
        <v>16.068280000000001</v>
      </c>
      <c r="G361" s="25">
        <f t="shared" si="5"/>
        <v>80341.400000000009</v>
      </c>
      <c r="H361" s="25">
        <f t="array" ref="H361">IF(A361=A360,0,SUM(_xlfn._xlws.FILTER(G361:G381,A361:A381=A361)))</f>
        <v>24371.400000000009</v>
      </c>
      <c r="I361" s="25">
        <f t="array" ref="I361">IFERROR(IF(A361=A360,0,SUM(_xlfn._xlws.FILTER(G361:G381,(A361:A381=A361)*(E361:E381&lt;0)))),0)</f>
        <v>-55970</v>
      </c>
      <c r="J361" s="25">
        <f t="array" ref="J361">IFERROR(IF(A361=A360,0,SUM(_xlfn._xlws.FILTER(G361:G381,(A361:A381=A361)*(E361:E381&gt;0)))),0)</f>
        <v>80341.400000000009</v>
      </c>
      <c r="K361" s="25">
        <f>IF(H361&lt;&gt;0,SUM(H$2:H361),0)</f>
        <v>-2575204.0925729997</v>
      </c>
      <c r="L361" s="25">
        <f>IF(I361&lt;&gt;0,SUM(I$2:I361),0)</f>
        <v>-15843790.047073003</v>
      </c>
      <c r="M361" s="25">
        <f>IF(J361&lt;&gt;0,SUM(J$2:J361),0)</f>
        <v>13268585.954500005</v>
      </c>
    </row>
    <row r="362" spans="1:13" hidden="1" x14ac:dyDescent="0.2">
      <c r="A362" s="5">
        <v>45853</v>
      </c>
      <c r="C362" s="6" t="s">
        <v>190</v>
      </c>
      <c r="D362" s="7">
        <v>1000</v>
      </c>
      <c r="E362" s="15">
        <v>-55.97</v>
      </c>
      <c r="G362" s="25">
        <f t="shared" si="5"/>
        <v>-55970</v>
      </c>
      <c r="H362" s="25">
        <f t="array" ref="H362">IF(A362=A361,0,SUM(_xlfn._xlws.FILTER(G362:G382,A362:A382=A362)))</f>
        <v>0</v>
      </c>
      <c r="I362" s="25">
        <f t="array" ref="I362">IFERROR(IF(A362=A361,0,SUM(_xlfn._xlws.FILTER(G362:G382,(A362:A382=A362)*(E362:E382&lt;0)))),0)</f>
        <v>0</v>
      </c>
      <c r="J362" s="25">
        <f t="array" ref="J362">IFERROR(IF(A362=A361,0,SUM(_xlfn._xlws.FILTER(G362:G382,(A362:A382=A362)*(E362:E382&gt;0)))),0)</f>
        <v>0</v>
      </c>
      <c r="K362" s="25">
        <f>IF(H362&lt;&gt;0,SUM(H$2:H362),0)</f>
        <v>0</v>
      </c>
      <c r="L362" s="25">
        <f>IF(I362&lt;&gt;0,SUM(I$2:I362),0)</f>
        <v>0</v>
      </c>
      <c r="M362" s="25">
        <f>IF(J362&lt;&gt;0,SUM(J$2:J362),0)</f>
        <v>0</v>
      </c>
    </row>
    <row r="363" spans="1:13" hidden="1" x14ac:dyDescent="0.2">
      <c r="A363" s="1">
        <v>45854</v>
      </c>
      <c r="C363" s="2" t="s">
        <v>139</v>
      </c>
      <c r="D363" s="3">
        <v>250</v>
      </c>
      <c r="E363" s="16">
        <v>386.01</v>
      </c>
      <c r="G363" s="25">
        <f t="shared" si="5"/>
        <v>965.02499999999998</v>
      </c>
      <c r="H363" s="25">
        <f t="array" ref="H363">IF(A363=A362,0,SUM(_xlfn._xlws.FILTER(G363:G383,A363:A383=A363)))</f>
        <v>965.02499999999998</v>
      </c>
      <c r="I363" s="25">
        <f t="array" ref="I363">IFERROR(IF(A363=A362,0,SUM(_xlfn._xlws.FILTER(G363:G383,(A363:A383=A363)*(E363:E383&lt;0)))),0)</f>
        <v>0</v>
      </c>
      <c r="J363" s="25">
        <f t="array" ref="J363">IFERROR(IF(A363=A362,0,SUM(_xlfn._xlws.FILTER(G363:G383,(A363:A383=A363)*(E363:E383&gt;0)))),0)</f>
        <v>965.02499999999998</v>
      </c>
      <c r="K363" s="25">
        <f>IF(H363&lt;&gt;0,SUM(H$2:H363),0)</f>
        <v>-2574239.0675729997</v>
      </c>
      <c r="L363" s="25">
        <f>IF(I363&lt;&gt;0,SUM(I$2:I363),0)</f>
        <v>0</v>
      </c>
      <c r="M363" s="25">
        <f>IF(J363&lt;&gt;0,SUM(J$2:J363),0)</f>
        <v>13269550.979500005</v>
      </c>
    </row>
    <row r="364" spans="1:13" hidden="1" x14ac:dyDescent="0.2">
      <c r="A364" s="5">
        <v>45855</v>
      </c>
      <c r="C364" s="6" t="s">
        <v>265</v>
      </c>
      <c r="D364" s="7">
        <v>190</v>
      </c>
      <c r="E364" s="15">
        <v>-14.25</v>
      </c>
      <c r="G364" s="25">
        <f t="shared" si="5"/>
        <v>-2707.5</v>
      </c>
      <c r="H364" s="25">
        <f t="array" ref="H364">IF(A364=A363,0,SUM(_xlfn._xlws.FILTER(G364:G384,A364:A384=A364)))</f>
        <v>334724.875</v>
      </c>
      <c r="I364" s="25">
        <f t="array" ref="I364">IFERROR(IF(A364=A363,0,SUM(_xlfn._xlws.FILTER(G364:G384,(A364:A384=A364)*(E364:E384&lt;0)))),0)</f>
        <v>-54968.600000000006</v>
      </c>
      <c r="J364" s="25">
        <f t="array" ref="J364">IFERROR(IF(A364=A363,0,SUM(_xlfn._xlws.FILTER(G364:G384,(A364:A384=A364)*(E364:E384&gt;0)))),0)</f>
        <v>389693.47499999998</v>
      </c>
      <c r="K364" s="25">
        <f>IF(H364&lt;&gt;0,SUM(H$2:H364),0)</f>
        <v>-2239514.1925729997</v>
      </c>
      <c r="L364" s="25">
        <f>IF(I364&lt;&gt;0,SUM(I$2:I364),0)</f>
        <v>-15898758.647073003</v>
      </c>
      <c r="M364" s="25">
        <f>IF(J364&lt;&gt;0,SUM(J$2:J364),0)</f>
        <v>13659244.454500005</v>
      </c>
    </row>
    <row r="365" spans="1:13" hidden="1" x14ac:dyDescent="0.2">
      <c r="A365" s="5">
        <v>45855</v>
      </c>
      <c r="C365" s="6" t="s">
        <v>305</v>
      </c>
      <c r="D365" s="7">
        <v>2500</v>
      </c>
      <c r="E365" s="15">
        <v>6.5</v>
      </c>
      <c r="G365" s="25">
        <f t="shared" si="5"/>
        <v>16250</v>
      </c>
      <c r="H365" s="25">
        <f t="array" ref="H365">IF(A365=A364,0,SUM(_xlfn._xlws.FILTER(G365:G385,A365:A385=A365)))</f>
        <v>0</v>
      </c>
      <c r="I365" s="25">
        <f t="array" ref="I365">IFERROR(IF(A365=A364,0,SUM(_xlfn._xlws.FILTER(G365:G385,(A365:A385=A365)*(E365:E385&lt;0)))),0)</f>
        <v>0</v>
      </c>
      <c r="J365" s="25">
        <f t="array" ref="J365">IFERROR(IF(A365=A364,0,SUM(_xlfn._xlws.FILTER(G365:G385,(A365:A385=A365)*(E365:E385&gt;0)))),0)</f>
        <v>0</v>
      </c>
      <c r="K365" s="25">
        <f>IF(H365&lt;&gt;0,SUM(H$2:H365),0)</f>
        <v>0</v>
      </c>
      <c r="L365" s="25">
        <f>IF(I365&lt;&gt;0,SUM(I$2:I365),0)</f>
        <v>0</v>
      </c>
      <c r="M365" s="25">
        <f>IF(J365&lt;&gt;0,SUM(J$2:J365),0)</f>
        <v>0</v>
      </c>
    </row>
    <row r="366" spans="1:13" hidden="1" x14ac:dyDescent="0.2">
      <c r="A366" s="5">
        <v>45855</v>
      </c>
      <c r="C366" s="6" t="s">
        <v>155</v>
      </c>
      <c r="D366" s="7">
        <v>5000</v>
      </c>
      <c r="E366" s="15">
        <v>15.95</v>
      </c>
      <c r="G366" s="25">
        <f t="shared" si="5"/>
        <v>79750</v>
      </c>
      <c r="H366" s="25">
        <f t="array" ref="H366">IF(A366=A365,0,SUM(_xlfn._xlws.FILTER(G366:G386,A366:A386=A366)))</f>
        <v>0</v>
      </c>
      <c r="I366" s="25">
        <f t="array" ref="I366">IFERROR(IF(A366=A365,0,SUM(_xlfn._xlws.FILTER(G366:G386,(A366:A386=A366)*(E366:E386&lt;0)))),0)</f>
        <v>0</v>
      </c>
      <c r="J366" s="25">
        <f t="array" ref="J366">IFERROR(IF(A366=A365,0,SUM(_xlfn._xlws.FILTER(G366:G386,(A366:A386=A366)*(E366:E386&gt;0)))),0)</f>
        <v>0</v>
      </c>
      <c r="K366" s="25">
        <f>IF(H366&lt;&gt;0,SUM(H$2:H366),0)</f>
        <v>0</v>
      </c>
      <c r="L366" s="25">
        <f>IF(I366&lt;&gt;0,SUM(I$2:I366),0)</f>
        <v>0</v>
      </c>
      <c r="M366" s="25">
        <f>IF(J366&lt;&gt;0,SUM(J$2:J366),0)</f>
        <v>0</v>
      </c>
    </row>
    <row r="367" spans="1:13" hidden="1" x14ac:dyDescent="0.2">
      <c r="A367" s="5">
        <v>45855</v>
      </c>
      <c r="C367" s="6" t="s">
        <v>139</v>
      </c>
      <c r="D367" s="7">
        <v>9750</v>
      </c>
      <c r="E367" s="15">
        <v>383.01</v>
      </c>
      <c r="G367" s="25">
        <f t="shared" si="5"/>
        <v>37343.474999999999</v>
      </c>
      <c r="H367" s="25">
        <f t="array" ref="H367">IF(A367=A366,0,SUM(_xlfn._xlws.FILTER(G367:G387,A367:A387=A367)))</f>
        <v>0</v>
      </c>
      <c r="I367" s="25">
        <f t="array" ref="I367">IFERROR(IF(A367=A366,0,SUM(_xlfn._xlws.FILTER(G367:G387,(A367:A387=A367)*(E367:E387&lt;0)))),0)</f>
        <v>0</v>
      </c>
      <c r="J367" s="25">
        <f t="array" ref="J367">IFERROR(IF(A367=A366,0,SUM(_xlfn._xlws.FILTER(G367:G387,(A367:A387=A367)*(E367:E387&gt;0)))),0)</f>
        <v>0</v>
      </c>
      <c r="K367" s="25">
        <f>IF(H367&lt;&gt;0,SUM(H$2:H367),0)</f>
        <v>0</v>
      </c>
      <c r="L367" s="25">
        <f>IF(I367&lt;&gt;0,SUM(I$2:I367),0)</f>
        <v>0</v>
      </c>
      <c r="M367" s="25">
        <f>IF(J367&lt;&gt;0,SUM(J$2:J367),0)</f>
        <v>0</v>
      </c>
    </row>
    <row r="368" spans="1:13" hidden="1" x14ac:dyDescent="0.2">
      <c r="A368" s="5">
        <v>45855</v>
      </c>
      <c r="C368" s="6" t="s">
        <v>259</v>
      </c>
      <c r="D368" s="7">
        <v>500</v>
      </c>
      <c r="E368" s="15">
        <v>265.05</v>
      </c>
      <c r="G368" s="25">
        <f t="shared" si="5"/>
        <v>132525</v>
      </c>
      <c r="H368" s="25">
        <f t="array" ref="H368">IF(A368=A367,0,SUM(_xlfn._xlws.FILTER(G368:G388,A368:A388=A368)))</f>
        <v>0</v>
      </c>
      <c r="I368" s="25">
        <f t="array" ref="I368">IFERROR(IF(A368=A367,0,SUM(_xlfn._xlws.FILTER(G368:G388,(A368:A388=A368)*(E368:E388&lt;0)))),0)</f>
        <v>0</v>
      </c>
      <c r="J368" s="25">
        <f t="array" ref="J368">IFERROR(IF(A368=A367,0,SUM(_xlfn._xlws.FILTER(G368:G388,(A368:A388=A368)*(E368:E388&gt;0)))),0)</f>
        <v>0</v>
      </c>
      <c r="K368" s="25">
        <f>IF(H368&lt;&gt;0,SUM(H$2:H368),0)</f>
        <v>0</v>
      </c>
      <c r="L368" s="25">
        <f>IF(I368&lt;&gt;0,SUM(I$2:I368),0)</f>
        <v>0</v>
      </c>
      <c r="M368" s="25">
        <f>IF(J368&lt;&gt;0,SUM(J$2:J368),0)</f>
        <v>0</v>
      </c>
    </row>
    <row r="369" spans="1:13" hidden="1" x14ac:dyDescent="0.2">
      <c r="A369" s="5">
        <v>45855</v>
      </c>
      <c r="C369" s="6" t="s">
        <v>22</v>
      </c>
      <c r="D369" s="7">
        <v>500</v>
      </c>
      <c r="E369" s="15">
        <v>247.65</v>
      </c>
      <c r="G369" s="25">
        <f t="shared" si="5"/>
        <v>123825</v>
      </c>
      <c r="H369" s="25">
        <f t="array" ref="H369">IF(A369=A368,0,SUM(_xlfn._xlws.FILTER(G369:G389,A369:A389=A369)))</f>
        <v>0</v>
      </c>
      <c r="I369" s="25">
        <f t="array" ref="I369">IFERROR(IF(A369=A368,0,SUM(_xlfn._xlws.FILTER(G369:G389,(A369:A389=A369)*(E369:E389&lt;0)))),0)</f>
        <v>0</v>
      </c>
      <c r="J369" s="25">
        <f t="array" ref="J369">IFERROR(IF(A369=A368,0,SUM(_xlfn._xlws.FILTER(G369:G389,(A369:A389=A369)*(E369:E389&gt;0)))),0)</f>
        <v>0</v>
      </c>
      <c r="K369" s="25">
        <f>IF(H369&lt;&gt;0,SUM(H$2:H369),0)</f>
        <v>0</v>
      </c>
      <c r="L369" s="25">
        <f>IF(I369&lt;&gt;0,SUM(I$2:I369),0)</f>
        <v>0</v>
      </c>
      <c r="M369" s="25">
        <f>IF(J369&lt;&gt;0,SUM(J$2:J369),0)</f>
        <v>0</v>
      </c>
    </row>
    <row r="370" spans="1:13" hidden="1" x14ac:dyDescent="0.2">
      <c r="A370" s="5">
        <v>45855</v>
      </c>
      <c r="C370" s="6" t="s">
        <v>136</v>
      </c>
      <c r="D370" s="7">
        <v>9</v>
      </c>
      <c r="E370" s="15">
        <v>-37.9</v>
      </c>
      <c r="G370" s="25">
        <f t="shared" si="5"/>
        <v>-341.09999999999997</v>
      </c>
      <c r="H370" s="25">
        <f t="array" ref="H370">IF(A370=A369,0,SUM(_xlfn._xlws.FILTER(G370:G390,A370:A390=A370)))</f>
        <v>0</v>
      </c>
      <c r="I370" s="25">
        <f t="array" ref="I370">IFERROR(IF(A370=A369,0,SUM(_xlfn._xlws.FILTER(G370:G390,(A370:A390=A370)*(E370:E390&lt;0)))),0)</f>
        <v>0</v>
      </c>
      <c r="J370" s="25">
        <f t="array" ref="J370">IFERROR(IF(A370=A369,0,SUM(_xlfn._xlws.FILTER(G370:G390,(A370:A390=A370)*(E370:E390&gt;0)))),0)</f>
        <v>0</v>
      </c>
      <c r="K370" s="25">
        <f>IF(H370&lt;&gt;0,SUM(H$2:H370),0)</f>
        <v>0</v>
      </c>
      <c r="L370" s="25">
        <f>IF(I370&lt;&gt;0,SUM(I$2:I370),0)</f>
        <v>0</v>
      </c>
      <c r="M370" s="25">
        <f>IF(J370&lt;&gt;0,SUM(J$2:J370),0)</f>
        <v>0</v>
      </c>
    </row>
    <row r="371" spans="1:13" hidden="1" x14ac:dyDescent="0.2">
      <c r="A371" s="5">
        <v>45855</v>
      </c>
      <c r="C371" s="6" t="s">
        <v>262</v>
      </c>
      <c r="D371" s="7">
        <v>200</v>
      </c>
      <c r="E371" s="15">
        <v>-259.60000000000002</v>
      </c>
      <c r="G371" s="25">
        <f t="shared" si="5"/>
        <v>-51920.000000000007</v>
      </c>
      <c r="H371" s="25">
        <f t="array" ref="H371">IF(A371=A370,0,SUM(_xlfn._xlws.FILTER(G371:G391,A371:A391=A371)))</f>
        <v>0</v>
      </c>
      <c r="I371" s="25">
        <f t="array" ref="I371">IFERROR(IF(A371=A370,0,SUM(_xlfn._xlws.FILTER(G371:G391,(A371:A391=A371)*(E371:E391&lt;0)))),0)</f>
        <v>0</v>
      </c>
      <c r="J371" s="25">
        <f t="array" ref="J371">IFERROR(IF(A371=A370,0,SUM(_xlfn._xlws.FILTER(G371:G391,(A371:A391=A371)*(E371:E391&gt;0)))),0)</f>
        <v>0</v>
      </c>
      <c r="K371" s="25">
        <f>IF(H371&lt;&gt;0,SUM(H$2:H371),0)</f>
        <v>0</v>
      </c>
      <c r="L371" s="25">
        <f>IF(I371&lt;&gt;0,SUM(I$2:I371),0)</f>
        <v>0</v>
      </c>
      <c r="M371" s="25">
        <f>IF(J371&lt;&gt;0,SUM(J$2:J371),0)</f>
        <v>0</v>
      </c>
    </row>
    <row r="372" spans="1:13" hidden="1" x14ac:dyDescent="0.2">
      <c r="A372" s="1">
        <v>45856</v>
      </c>
      <c r="C372" s="2" t="s">
        <v>19</v>
      </c>
      <c r="D372" s="3">
        <v>100</v>
      </c>
      <c r="E372" s="16">
        <v>-632.95000000000005</v>
      </c>
      <c r="G372" s="25">
        <f t="shared" si="5"/>
        <v>-63295.000000000007</v>
      </c>
      <c r="H372" s="25">
        <f t="array" ref="H372">IF(A372=A371,0,SUM(_xlfn._xlws.FILTER(G372:G392,A372:A392=A372)))</f>
        <v>-811179.82000000007</v>
      </c>
      <c r="I372" s="25">
        <f t="array" ref="I372">IFERROR(IF(A372=A371,0,SUM(_xlfn._xlws.FILTER(G372:G392,(A372:A392=A372)*(E372:E392&lt;0)))),0)</f>
        <v>-811179.82000000007</v>
      </c>
      <c r="J372" s="25">
        <f t="array" ref="J372">IFERROR(IF(A372=A371,0,SUM(_xlfn._xlws.FILTER(G372:G392,(A372:A392=A372)*(E372:E392&gt;0)))),0)</f>
        <v>0</v>
      </c>
      <c r="K372" s="25">
        <f>IF(H372&lt;&gt;0,SUM(H$2:H372),0)</f>
        <v>-3050694.012573</v>
      </c>
      <c r="L372" s="25">
        <f>IF(I372&lt;&gt;0,SUM(I$2:I372),0)</f>
        <v>-16709938.467073003</v>
      </c>
      <c r="M372" s="25">
        <f>IF(J372&lt;&gt;0,SUM(J$2:J372),0)</f>
        <v>0</v>
      </c>
    </row>
    <row r="373" spans="1:13" hidden="1" x14ac:dyDescent="0.2">
      <c r="A373" s="1">
        <v>45856</v>
      </c>
      <c r="C373" s="2" t="s">
        <v>19</v>
      </c>
      <c r="D373" s="3">
        <v>200</v>
      </c>
      <c r="E373" s="16">
        <v>-645.5</v>
      </c>
      <c r="G373" s="25">
        <f t="shared" si="5"/>
        <v>-129100</v>
      </c>
      <c r="H373" s="25">
        <f t="array" ref="H373">IF(A373=A372,0,SUM(_xlfn._xlws.FILTER(G373:G393,A373:A393=A373)))</f>
        <v>0</v>
      </c>
      <c r="I373" s="25">
        <f t="array" ref="I373">IFERROR(IF(A373=A372,0,SUM(_xlfn._xlws.FILTER(G373:G393,(A373:A393=A373)*(E373:E393&lt;0)))),0)</f>
        <v>0</v>
      </c>
      <c r="J373" s="25">
        <f t="array" ref="J373">IFERROR(IF(A373=A372,0,SUM(_xlfn._xlws.FILTER(G373:G393,(A373:A393=A373)*(E373:E393&gt;0)))),0)</f>
        <v>0</v>
      </c>
      <c r="K373" s="25">
        <f>IF(H373&lt;&gt;0,SUM(H$2:H373),0)</f>
        <v>0</v>
      </c>
      <c r="L373" s="25">
        <f>IF(I373&lt;&gt;0,SUM(I$2:I373),0)</f>
        <v>0</v>
      </c>
      <c r="M373" s="25">
        <f>IF(J373&lt;&gt;0,SUM(J$2:J373),0)</f>
        <v>0</v>
      </c>
    </row>
    <row r="374" spans="1:13" hidden="1" x14ac:dyDescent="0.2">
      <c r="A374" s="1">
        <v>45856</v>
      </c>
      <c r="C374" s="2" t="s">
        <v>136</v>
      </c>
      <c r="D374" s="3">
        <v>39</v>
      </c>
      <c r="E374" s="16">
        <v>-37.424999999999997</v>
      </c>
      <c r="G374" s="25">
        <f t="shared" si="5"/>
        <v>-1459.5749999999998</v>
      </c>
      <c r="H374" s="25">
        <f t="array" ref="H374">IF(A374=A373,0,SUM(_xlfn._xlws.FILTER(G374:G394,A374:A394=A374)))</f>
        <v>0</v>
      </c>
      <c r="I374" s="25">
        <f t="array" ref="I374">IFERROR(IF(A374=A373,0,SUM(_xlfn._xlws.FILTER(G374:G394,(A374:A394=A374)*(E374:E394&lt;0)))),0)</f>
        <v>0</v>
      </c>
      <c r="J374" s="25">
        <f t="array" ref="J374">IFERROR(IF(A374=A373,0,SUM(_xlfn._xlws.FILTER(G374:G394,(A374:A394=A374)*(E374:E394&gt;0)))),0)</f>
        <v>0</v>
      </c>
      <c r="K374" s="25">
        <f>IF(H374&lt;&gt;0,SUM(H$2:H374),0)</f>
        <v>0</v>
      </c>
      <c r="L374" s="25">
        <f>IF(I374&lt;&gt;0,SUM(I$2:I374),0)</f>
        <v>0</v>
      </c>
      <c r="M374" s="25">
        <f>IF(J374&lt;&gt;0,SUM(J$2:J374),0)</f>
        <v>0</v>
      </c>
    </row>
    <row r="375" spans="1:13" hidden="1" x14ac:dyDescent="0.2">
      <c r="A375" s="1">
        <v>45856</v>
      </c>
      <c r="C375" s="2" t="s">
        <v>148</v>
      </c>
      <c r="D375" s="3">
        <v>350</v>
      </c>
      <c r="E375" s="16">
        <v>-37.240699999999997</v>
      </c>
      <c r="G375" s="25">
        <f t="shared" si="5"/>
        <v>-13034.244999999999</v>
      </c>
      <c r="H375" s="25">
        <f t="array" ref="H375">IF(A375=A374,0,SUM(_xlfn._xlws.FILTER(G375:G395,A375:A395=A375)))</f>
        <v>0</v>
      </c>
      <c r="I375" s="25">
        <f t="array" ref="I375">IFERROR(IF(A375=A374,0,SUM(_xlfn._xlws.FILTER(G375:G395,(A375:A395=A375)*(E375:E395&lt;0)))),0)</f>
        <v>0</v>
      </c>
      <c r="J375" s="25">
        <f t="array" ref="J375">IFERROR(IF(A375=A374,0,SUM(_xlfn._xlws.FILTER(G375:G395,(A375:A395=A375)*(E375:E395&gt;0)))),0)</f>
        <v>0</v>
      </c>
      <c r="K375" s="25">
        <f>IF(H375&lt;&gt;0,SUM(H$2:H375),0)</f>
        <v>0</v>
      </c>
      <c r="L375" s="25">
        <f>IF(I375&lt;&gt;0,SUM(I$2:I375),0)</f>
        <v>0</v>
      </c>
      <c r="M375" s="25">
        <f>IF(J375&lt;&gt;0,SUM(J$2:J375),0)</f>
        <v>0</v>
      </c>
    </row>
    <row r="376" spans="1:13" hidden="1" x14ac:dyDescent="0.2">
      <c r="A376" s="1">
        <v>45856</v>
      </c>
      <c r="C376" s="2" t="s">
        <v>303</v>
      </c>
      <c r="D376" s="3">
        <v>400</v>
      </c>
      <c r="E376" s="16">
        <v>-1208.99</v>
      </c>
      <c r="G376" s="25">
        <f t="shared" si="5"/>
        <v>-483596</v>
      </c>
      <c r="H376" s="25">
        <f t="array" ref="H376">IF(A376=A375,0,SUM(_xlfn._xlws.FILTER(G376:G396,A376:A396=A376)))</f>
        <v>0</v>
      </c>
      <c r="I376" s="25">
        <f t="array" ref="I376">IFERROR(IF(A376=A375,0,SUM(_xlfn._xlws.FILTER(G376:G396,(A376:A396=A376)*(E376:E396&lt;0)))),0)</f>
        <v>0</v>
      </c>
      <c r="J376" s="25">
        <f t="array" ref="J376">IFERROR(IF(A376=A375,0,SUM(_xlfn._xlws.FILTER(G376:G396,(A376:A396=A376)*(E376:E396&gt;0)))),0)</f>
        <v>0</v>
      </c>
      <c r="K376" s="25">
        <f>IF(H376&lt;&gt;0,SUM(H$2:H376),0)</f>
        <v>0</v>
      </c>
      <c r="L376" s="25">
        <f>IF(I376&lt;&gt;0,SUM(I$2:I376),0)</f>
        <v>0</v>
      </c>
      <c r="M376" s="25">
        <f>IF(J376&lt;&gt;0,SUM(J$2:J376),0)</f>
        <v>0</v>
      </c>
    </row>
    <row r="377" spans="1:13" hidden="1" x14ac:dyDescent="0.2">
      <c r="A377" s="1">
        <v>45856</v>
      </c>
      <c r="C377" s="2" t="s">
        <v>22</v>
      </c>
      <c r="D377" s="3">
        <v>500</v>
      </c>
      <c r="E377" s="16">
        <v>-241.39</v>
      </c>
      <c r="G377" s="25">
        <f t="shared" si="5"/>
        <v>-120695</v>
      </c>
      <c r="H377" s="25">
        <f t="array" ref="H377">IF(A377=A376,0,SUM(_xlfn._xlws.FILTER(G377:G397,A377:A397=A377)))</f>
        <v>0</v>
      </c>
      <c r="I377" s="25">
        <f t="array" ref="I377">IFERROR(IF(A377=A376,0,SUM(_xlfn._xlws.FILTER(G377:G397,(A377:A397=A377)*(E377:E397&lt;0)))),0)</f>
        <v>0</v>
      </c>
      <c r="J377" s="25">
        <f t="array" ref="J377">IFERROR(IF(A377=A376,0,SUM(_xlfn._xlws.FILTER(G377:G397,(A377:A397=A377)*(E377:E397&gt;0)))),0)</f>
        <v>0</v>
      </c>
      <c r="K377" s="25">
        <f>IF(H377&lt;&gt;0,SUM(H$2:H377),0)</f>
        <v>0</v>
      </c>
      <c r="L377" s="25">
        <f>IF(I377&lt;&gt;0,SUM(I$2:I377),0)</f>
        <v>0</v>
      </c>
      <c r="M377" s="25">
        <f>IF(J377&lt;&gt;0,SUM(J$2:J377),0)</f>
        <v>0</v>
      </c>
    </row>
    <row r="378" spans="1:13" hidden="1" x14ac:dyDescent="0.2">
      <c r="A378" s="5">
        <v>45859</v>
      </c>
      <c r="C378" s="6" t="s">
        <v>609</v>
      </c>
      <c r="D378" s="7">
        <v>4000</v>
      </c>
      <c r="E378" s="15">
        <v>-14.48</v>
      </c>
      <c r="G378" s="25">
        <f t="shared" si="5"/>
        <v>-57920</v>
      </c>
      <c r="H378" s="25">
        <f t="array" ref="H378">IF(A378=A377,0,SUM(_xlfn._xlws.FILTER(G378:G398,A378:A398=A378)))</f>
        <v>-196609.1</v>
      </c>
      <c r="I378" s="25">
        <f t="array" ref="I378">IFERROR(IF(A378=A377,0,SUM(_xlfn._xlws.FILTER(G378:G398,(A378:A398=A378)*(E378:E398&lt;0)))),0)</f>
        <v>-196609.1</v>
      </c>
      <c r="J378" s="25">
        <f t="array" ref="J378">IFERROR(IF(A378=A377,0,SUM(_xlfn._xlws.FILTER(G378:G398,(A378:A398=A378)*(E378:E398&gt;0)))),0)</f>
        <v>0</v>
      </c>
      <c r="K378" s="25">
        <f>IF(H378&lt;&gt;0,SUM(H$2:H378),0)</f>
        <v>-3247303.1125730001</v>
      </c>
      <c r="L378" s="25">
        <f>IF(I378&lt;&gt;0,SUM(I$2:I378),0)</f>
        <v>-16906547.567073002</v>
      </c>
      <c r="M378" s="25">
        <f>IF(J378&lt;&gt;0,SUM(J$2:J378),0)</f>
        <v>0</v>
      </c>
    </row>
    <row r="379" spans="1:13" hidden="1" x14ac:dyDescent="0.2">
      <c r="A379" s="5">
        <v>45859</v>
      </c>
      <c r="C379" s="6" t="s">
        <v>611</v>
      </c>
      <c r="D379" s="7">
        <v>990</v>
      </c>
      <c r="E379" s="15">
        <v>-140.09</v>
      </c>
      <c r="G379" s="25">
        <f t="shared" si="5"/>
        <v>-138689.1</v>
      </c>
      <c r="H379" s="25">
        <f t="array" ref="H379">IF(A379=A378,0,SUM(_xlfn._xlws.FILTER(G379:G399,A379:A399=A379)))</f>
        <v>0</v>
      </c>
      <c r="I379" s="25">
        <f t="array" ref="I379">IFERROR(IF(A379=A378,0,SUM(_xlfn._xlws.FILTER(G379:G399,(A379:A399=A379)*(E379:E399&lt;0)))),0)</f>
        <v>0</v>
      </c>
      <c r="J379" s="25">
        <f t="array" ref="J379">IFERROR(IF(A379=A378,0,SUM(_xlfn._xlws.FILTER(G379:G399,(A379:A399=A379)*(E379:E399&gt;0)))),0)</f>
        <v>0</v>
      </c>
      <c r="K379" s="25">
        <f>IF(H379&lt;&gt;0,SUM(H$2:H379),0)</f>
        <v>0</v>
      </c>
      <c r="L379" s="25">
        <f>IF(I379&lt;&gt;0,SUM(I$2:I379),0)</f>
        <v>0</v>
      </c>
      <c r="M379" s="25">
        <f>IF(J379&lt;&gt;0,SUM(J$2:J379),0)</f>
        <v>0</v>
      </c>
    </row>
    <row r="380" spans="1:13" hidden="1" x14ac:dyDescent="0.2">
      <c r="A380" s="1">
        <v>45860</v>
      </c>
      <c r="C380" s="2" t="s">
        <v>19</v>
      </c>
      <c r="D380" s="3">
        <v>300</v>
      </c>
      <c r="E380" s="16">
        <v>-602.54999999999995</v>
      </c>
      <c r="G380" s="25">
        <f t="shared" si="5"/>
        <v>-180765</v>
      </c>
      <c r="H380" s="25">
        <f t="array" ref="H380">IF(A380=A379,0,SUM(_xlfn._xlws.FILTER(G380:G400,A380:A400=A380)))</f>
        <v>-180765</v>
      </c>
      <c r="I380" s="25">
        <f t="array" ref="I380">IFERROR(IF(A380=A379,0,SUM(_xlfn._xlws.FILTER(G380:G400,(A380:A400=A380)*(E380:E400&lt;0)))),0)</f>
        <v>-180765</v>
      </c>
      <c r="J380" s="25">
        <f t="array" ref="J380">IFERROR(IF(A380=A379,0,SUM(_xlfn._xlws.FILTER(G380:G400,(A380:A400=A380)*(E380:E400&gt;0)))),0)</f>
        <v>0</v>
      </c>
      <c r="K380" s="25">
        <f>IF(H380&lt;&gt;0,SUM(H$2:H380),0)</f>
        <v>-3428068.1125730001</v>
      </c>
      <c r="L380" s="25">
        <f>IF(I380&lt;&gt;0,SUM(I$2:I380),0)</f>
        <v>-17087312.567073002</v>
      </c>
      <c r="M380" s="25">
        <f>IF(J380&lt;&gt;0,SUM(J$2:J380),0)</f>
        <v>0</v>
      </c>
    </row>
    <row r="381" spans="1:13" hidden="1" x14ac:dyDescent="0.2">
      <c r="A381" s="5">
        <v>45861</v>
      </c>
      <c r="C381" s="6" t="s">
        <v>262</v>
      </c>
      <c r="D381" s="7">
        <v>200</v>
      </c>
      <c r="E381" s="15">
        <v>-250.9</v>
      </c>
      <c r="G381" s="25">
        <f t="shared" si="5"/>
        <v>-50180</v>
      </c>
      <c r="H381" s="25">
        <f t="array" ref="H381">IF(A381=A380,0,SUM(_xlfn._xlws.FILTER(G381:G401,A381:A401=A381)))</f>
        <v>-393285</v>
      </c>
      <c r="I381" s="25">
        <f t="array" ref="I381">IFERROR(IF(A381=A380,0,SUM(_xlfn._xlws.FILTER(G381:G401,(A381:A401=A381)*(E381:E401&lt;0)))),0)</f>
        <v>-393285</v>
      </c>
      <c r="J381" s="25">
        <f t="array" ref="J381">IFERROR(IF(A381=A380,0,SUM(_xlfn._xlws.FILTER(G381:G401,(A381:A401=A381)*(E381:E401&gt;0)))),0)</f>
        <v>0</v>
      </c>
      <c r="K381" s="25">
        <f>IF(H381&lt;&gt;0,SUM(H$2:H381),0)</f>
        <v>-3821353.1125730001</v>
      </c>
      <c r="L381" s="25">
        <f>IF(I381&lt;&gt;0,SUM(I$2:I381),0)</f>
        <v>-17480597.567073002</v>
      </c>
      <c r="M381" s="25">
        <f>IF(J381&lt;&gt;0,SUM(J$2:J381),0)</f>
        <v>0</v>
      </c>
    </row>
    <row r="382" spans="1:13" hidden="1" x14ac:dyDescent="0.2">
      <c r="A382" s="5">
        <v>45861</v>
      </c>
      <c r="C382" s="6" t="s">
        <v>259</v>
      </c>
      <c r="D382" s="7">
        <v>500</v>
      </c>
      <c r="E382" s="15">
        <v>-250.85</v>
      </c>
      <c r="G382" s="25">
        <f t="shared" si="5"/>
        <v>-125425</v>
      </c>
      <c r="H382" s="25">
        <f t="array" ref="H382">IF(A382=A381,0,SUM(_xlfn._xlws.FILTER(G382:G402,A382:A402=A382)))</f>
        <v>0</v>
      </c>
      <c r="I382" s="25">
        <f t="array" ref="I382">IFERROR(IF(A382=A381,0,SUM(_xlfn._xlws.FILTER(G382:G402,(A382:A402=A382)*(E382:E402&lt;0)))),0)</f>
        <v>0</v>
      </c>
      <c r="J382" s="25">
        <f t="array" ref="J382">IFERROR(IF(A382=A381,0,SUM(_xlfn._xlws.FILTER(G382:G402,(A382:A402=A382)*(E382:E402&gt;0)))),0)</f>
        <v>0</v>
      </c>
      <c r="K382" s="25">
        <f>IF(H382&lt;&gt;0,SUM(H$2:H382),0)</f>
        <v>0</v>
      </c>
      <c r="L382" s="25">
        <f>IF(I382&lt;&gt;0,SUM(I$2:I382),0)</f>
        <v>0</v>
      </c>
      <c r="M382" s="25">
        <f>IF(J382&lt;&gt;0,SUM(J$2:J382),0)</f>
        <v>0</v>
      </c>
    </row>
    <row r="383" spans="1:13" hidden="1" x14ac:dyDescent="0.2">
      <c r="A383" s="5">
        <v>45861</v>
      </c>
      <c r="C383" s="6" t="s">
        <v>25</v>
      </c>
      <c r="D383" s="7">
        <v>3000</v>
      </c>
      <c r="E383" s="15">
        <v>-72.56</v>
      </c>
      <c r="G383" s="25">
        <f t="shared" si="5"/>
        <v>-217680</v>
      </c>
      <c r="H383" s="25">
        <f t="array" ref="H383">IF(A383=A382,0,SUM(_xlfn._xlws.FILTER(G383:G403,A383:A403=A383)))</f>
        <v>0</v>
      </c>
      <c r="I383" s="25">
        <f t="array" ref="I383">IFERROR(IF(A383=A382,0,SUM(_xlfn._xlws.FILTER(G383:G403,(A383:A403=A383)*(E383:E403&lt;0)))),0)</f>
        <v>0</v>
      </c>
      <c r="J383" s="25">
        <f t="array" ref="J383">IFERROR(IF(A383=A382,0,SUM(_xlfn._xlws.FILTER(G383:G403,(A383:A403=A383)*(E383:E403&gt;0)))),0)</f>
        <v>0</v>
      </c>
      <c r="K383" s="25">
        <f>IF(H383&lt;&gt;0,SUM(H$2:H383),0)</f>
        <v>0</v>
      </c>
      <c r="L383" s="25">
        <f>IF(I383&lt;&gt;0,SUM(I$2:I383),0)</f>
        <v>0</v>
      </c>
      <c r="M383" s="25">
        <f>IF(J383&lt;&gt;0,SUM(J$2:J383),0)</f>
        <v>0</v>
      </c>
    </row>
    <row r="384" spans="1:13" hidden="1" x14ac:dyDescent="0.2">
      <c r="A384" s="1">
        <v>45862</v>
      </c>
      <c r="C384" s="2" t="s">
        <v>320</v>
      </c>
      <c r="D384" s="3">
        <v>6000</v>
      </c>
      <c r="E384" s="16">
        <v>-61.05</v>
      </c>
      <c r="G384" s="25">
        <f t="shared" si="5"/>
        <v>-366300</v>
      </c>
      <c r="H384" s="25">
        <f t="array" ref="H384">IF(A384=A383,0,SUM(_xlfn._xlws.FILTER(G384:G404,A384:A404=A384)))</f>
        <v>-231614.27</v>
      </c>
      <c r="I384" s="25">
        <f t="array" ref="I384">IFERROR(IF(A384=A383,0,SUM(_xlfn._xlws.FILTER(G384:G404,(A384:A404=A384)*(E384:E404&lt;0)))),0)</f>
        <v>-366300</v>
      </c>
      <c r="J384" s="25">
        <f t="array" ref="J384">IFERROR(IF(A384=A383,0,SUM(_xlfn._xlws.FILTER(G384:G404,(A384:A404=A384)*(E384:E404&gt;0)))),0)</f>
        <v>134685.73000000001</v>
      </c>
      <c r="K384" s="25">
        <f>IF(H384&lt;&gt;0,SUM(H$2:H384),0)</f>
        <v>-4052967.3825730002</v>
      </c>
      <c r="L384" s="25">
        <f>IF(I384&lt;&gt;0,SUM(I$2:I384),0)</f>
        <v>-17846897.567073002</v>
      </c>
      <c r="M384" s="25">
        <f>IF(J384&lt;&gt;0,SUM(J$2:J384),0)</f>
        <v>13793930.184500005</v>
      </c>
    </row>
    <row r="385" spans="1:13" hidden="1" x14ac:dyDescent="0.2">
      <c r="A385" s="1">
        <v>45862</v>
      </c>
      <c r="C385" s="2" t="s">
        <v>222</v>
      </c>
      <c r="D385" s="3">
        <v>8000</v>
      </c>
      <c r="E385" s="2">
        <v>14.44</v>
      </c>
      <c r="G385" s="25">
        <f t="shared" si="5"/>
        <v>115520</v>
      </c>
      <c r="H385" s="25">
        <f t="array" ref="H385">IF(A385=A384,0,SUM(_xlfn._xlws.FILTER(G385:G405,A385:A405=A385)))</f>
        <v>0</v>
      </c>
      <c r="I385" s="25">
        <f t="array" ref="I385">IFERROR(IF(A385=A384,0,SUM(_xlfn._xlws.FILTER(G385:G405,(A385:A405=A385)*(E385:E405&lt;0)))),0)</f>
        <v>0</v>
      </c>
      <c r="J385" s="25">
        <f t="array" ref="J385">IFERROR(IF(A385=A384,0,SUM(_xlfn._xlws.FILTER(G385:G405,(A385:A405=A385)*(E385:E405&gt;0)))),0)</f>
        <v>0</v>
      </c>
      <c r="K385" s="25">
        <f>IF(H385&lt;&gt;0,SUM(H$2:H385),0)</f>
        <v>0</v>
      </c>
      <c r="L385" s="25">
        <f>IF(I385&lt;&gt;0,SUM(I$2:I385),0)</f>
        <v>0</v>
      </c>
      <c r="M385" s="25">
        <f>IF(J385&lt;&gt;0,SUM(J$2:J385),0)</f>
        <v>0</v>
      </c>
    </row>
    <row r="386" spans="1:13" hidden="1" x14ac:dyDescent="0.2">
      <c r="A386" s="1">
        <v>45862</v>
      </c>
      <c r="C386" s="2" t="s">
        <v>219</v>
      </c>
      <c r="D386" s="3">
        <v>20000</v>
      </c>
      <c r="E386" s="2">
        <v>0.95828650000000004</v>
      </c>
      <c r="G386" s="25">
        <f t="shared" ref="G386:G449" si="6">D386*E386*IF(OR(C386="IAG",C386="EZJ",C386="AET"),0.01,1)</f>
        <v>19165.73</v>
      </c>
      <c r="H386" s="25">
        <f t="array" ref="H386">IF(A386=A385,0,SUM(_xlfn._xlws.FILTER(G386:G406,A386:A406=A386)))</f>
        <v>0</v>
      </c>
      <c r="I386" s="25">
        <f t="array" ref="I386">IFERROR(IF(A386=A385,0,SUM(_xlfn._xlws.FILTER(G386:G406,(A386:A406=A386)*(E386:E406&lt;0)))),0)</f>
        <v>0</v>
      </c>
      <c r="J386" s="25">
        <f t="array" ref="J386">IFERROR(IF(A386=A385,0,SUM(_xlfn._xlws.FILTER(G386:G406,(A386:A406=A386)*(E386:E406&gt;0)))),0)</f>
        <v>0</v>
      </c>
      <c r="K386" s="25">
        <f>IF(H386&lt;&gt;0,SUM(H$2:H386),0)</f>
        <v>0</v>
      </c>
      <c r="L386" s="25">
        <f>IF(I386&lt;&gt;0,SUM(I$2:I386),0)</f>
        <v>0</v>
      </c>
      <c r="M386" s="25">
        <f>IF(J386&lt;&gt;0,SUM(J$2:J386),0)</f>
        <v>0</v>
      </c>
    </row>
    <row r="387" spans="1:13" hidden="1" x14ac:dyDescent="0.2">
      <c r="A387" s="5">
        <v>45863</v>
      </c>
      <c r="C387" s="6" t="s">
        <v>190</v>
      </c>
      <c r="D387" s="7">
        <v>800</v>
      </c>
      <c r="E387" s="15">
        <v>65.245000000000005</v>
      </c>
      <c r="G387" s="25">
        <f t="shared" si="6"/>
        <v>52196</v>
      </c>
      <c r="H387" s="25">
        <f t="array" ref="H387">IF(A387=A386,0,SUM(_xlfn._xlws.FILTER(G387:G407,A387:A407=A387)))</f>
        <v>111396</v>
      </c>
      <c r="I387" s="25">
        <f t="array" ref="I387">IFERROR(IF(A387=A386,0,SUM(_xlfn._xlws.FILTER(G387:G407,(A387:A407=A387)*(E387:E407&lt;0)))),0)</f>
        <v>-152180</v>
      </c>
      <c r="J387" s="25">
        <f t="array" ref="J387">IFERROR(IF(A387=A386,0,SUM(_xlfn._xlws.FILTER(G387:G407,(A387:A407=A387)*(E387:E407&gt;0)))),0)</f>
        <v>263576</v>
      </c>
      <c r="K387" s="25">
        <f>IF(H387&lt;&gt;0,SUM(H$2:H387),0)</f>
        <v>-3941571.3825730002</v>
      </c>
      <c r="L387" s="25">
        <f>IF(I387&lt;&gt;0,SUM(I$2:I387),0)</f>
        <v>-17999077.567073002</v>
      </c>
      <c r="M387" s="25">
        <f>IF(J387&lt;&gt;0,SUM(J$2:J387),0)</f>
        <v>14057506.184500005</v>
      </c>
    </row>
    <row r="388" spans="1:13" hidden="1" x14ac:dyDescent="0.2">
      <c r="A388" s="5">
        <v>45863</v>
      </c>
      <c r="C388" s="6" t="s">
        <v>34</v>
      </c>
      <c r="D388" s="7">
        <v>2000</v>
      </c>
      <c r="E388" s="15">
        <v>72.540000000000006</v>
      </c>
      <c r="G388" s="25">
        <f t="shared" si="6"/>
        <v>145080</v>
      </c>
      <c r="H388" s="25">
        <f t="array" ref="H388">IF(A388=A387,0,SUM(_xlfn._xlws.FILTER(G388:G408,A388:A408=A388)))</f>
        <v>0</v>
      </c>
      <c r="I388" s="25">
        <f t="array" ref="I388">IFERROR(IF(A388=A387,0,SUM(_xlfn._xlws.FILTER(G388:G408,(A388:A408=A388)*(E388:E408&lt;0)))),0)</f>
        <v>0</v>
      </c>
      <c r="J388" s="25">
        <f t="array" ref="J388">IFERROR(IF(A388=A387,0,SUM(_xlfn._xlws.FILTER(G388:G408,(A388:A408=A388)*(E388:E408&gt;0)))),0)</f>
        <v>0</v>
      </c>
      <c r="K388" s="25">
        <f>IF(H388&lt;&gt;0,SUM(H$2:H388),0)</f>
        <v>0</v>
      </c>
      <c r="L388" s="25">
        <f>IF(I388&lt;&gt;0,SUM(I$2:I388),0)</f>
        <v>0</v>
      </c>
      <c r="M388" s="25">
        <f>IF(J388&lt;&gt;0,SUM(J$2:J388),0)</f>
        <v>0</v>
      </c>
    </row>
    <row r="389" spans="1:13" hidden="1" x14ac:dyDescent="0.2">
      <c r="A389" s="5">
        <v>45863</v>
      </c>
      <c r="C389" s="6" t="s">
        <v>52</v>
      </c>
      <c r="D389" s="7">
        <v>1000</v>
      </c>
      <c r="E389" s="15">
        <v>-152.18</v>
      </c>
      <c r="G389" s="25">
        <f t="shared" si="6"/>
        <v>-152180</v>
      </c>
      <c r="H389" s="25">
        <f t="array" ref="H389">IF(A389=A388,0,SUM(_xlfn._xlws.FILTER(G389:G409,A389:A409=A389)))</f>
        <v>0</v>
      </c>
      <c r="I389" s="25">
        <f t="array" ref="I389">IFERROR(IF(A389=A388,0,SUM(_xlfn._xlws.FILTER(G389:G409,(A389:A409=A389)*(E389:E409&lt;0)))),0)</f>
        <v>0</v>
      </c>
      <c r="J389" s="25">
        <f t="array" ref="J389">IFERROR(IF(A389=A388,0,SUM(_xlfn._xlws.FILTER(G389:G409,(A389:A409=A389)*(E389:E409&gt;0)))),0)</f>
        <v>0</v>
      </c>
      <c r="K389" s="25">
        <f>IF(H389&lt;&gt;0,SUM(H$2:H389),0)</f>
        <v>0</v>
      </c>
      <c r="L389" s="25">
        <f>IF(I389&lt;&gt;0,SUM(I$2:I389),0)</f>
        <v>0</v>
      </c>
      <c r="M389" s="25">
        <f>IF(J389&lt;&gt;0,SUM(J$2:J389),0)</f>
        <v>0</v>
      </c>
    </row>
    <row r="390" spans="1:13" hidden="1" x14ac:dyDescent="0.2">
      <c r="A390" s="5">
        <v>45863</v>
      </c>
      <c r="C390" s="6" t="s">
        <v>125</v>
      </c>
      <c r="D390" s="7">
        <v>400</v>
      </c>
      <c r="E390" s="15">
        <v>165.75</v>
      </c>
      <c r="G390" s="25">
        <f t="shared" si="6"/>
        <v>66300</v>
      </c>
      <c r="H390" s="25">
        <f t="array" ref="H390">IF(A390=A389,0,SUM(_xlfn._xlws.FILTER(G390:G410,A390:A410=A390)))</f>
        <v>0</v>
      </c>
      <c r="I390" s="25">
        <f t="array" ref="I390">IFERROR(IF(A390=A389,0,SUM(_xlfn._xlws.FILTER(G390:G410,(A390:A410=A390)*(E390:E410&lt;0)))),0)</f>
        <v>0</v>
      </c>
      <c r="J390" s="25">
        <f t="array" ref="J390">IFERROR(IF(A390=A389,0,SUM(_xlfn._xlws.FILTER(G390:G410,(A390:A410=A390)*(E390:E410&gt;0)))),0)</f>
        <v>0</v>
      </c>
      <c r="K390" s="25">
        <f>IF(H390&lt;&gt;0,SUM(H$2:H390),0)</f>
        <v>0</v>
      </c>
      <c r="L390" s="25">
        <f>IF(I390&lt;&gt;0,SUM(I$2:I390),0)</f>
        <v>0</v>
      </c>
      <c r="M390" s="25">
        <f>IF(J390&lt;&gt;0,SUM(J$2:J390),0)</f>
        <v>0</v>
      </c>
    </row>
    <row r="391" spans="1:13" hidden="1" x14ac:dyDescent="0.2">
      <c r="A391" s="1">
        <v>45866</v>
      </c>
      <c r="C391" s="2" t="s">
        <v>629</v>
      </c>
      <c r="D391" s="3">
        <v>25000</v>
      </c>
      <c r="E391" s="2">
        <v>-3.04</v>
      </c>
      <c r="G391" s="25">
        <f t="shared" si="6"/>
        <v>-76000</v>
      </c>
      <c r="H391" s="25">
        <f t="array" ref="H391">IF(A391=A390,0,SUM(_xlfn._xlws.FILTER(G391:G411,A391:A411=A391)))</f>
        <v>-76000</v>
      </c>
      <c r="I391" s="25">
        <f t="array" ref="I391">IFERROR(IF(A391=A390,0,SUM(_xlfn._xlws.FILTER(G391:G411,(A391:A411=A391)*(E391:E411&lt;0)))),0)</f>
        <v>-76000</v>
      </c>
      <c r="J391" s="25">
        <f t="array" ref="J391">IFERROR(IF(A391=A390,0,SUM(_xlfn._xlws.FILTER(G391:G411,(A391:A411=A391)*(E391:E411&gt;0)))),0)</f>
        <v>0</v>
      </c>
      <c r="K391" s="25">
        <f>IF(H391&lt;&gt;0,SUM(H$2:H391),0)</f>
        <v>-4017571.3825730002</v>
      </c>
      <c r="L391" s="25">
        <f>IF(I391&lt;&gt;0,SUM(I$2:I391),0)</f>
        <v>-18075077.567073002</v>
      </c>
      <c r="M391" s="25">
        <f>IF(J391&lt;&gt;0,SUM(J$2:J391),0)</f>
        <v>0</v>
      </c>
    </row>
    <row r="392" spans="1:13" hidden="1" x14ac:dyDescent="0.2">
      <c r="A392" s="5">
        <v>45868</v>
      </c>
      <c r="C392" s="6" t="s">
        <v>256</v>
      </c>
      <c r="D392" s="7">
        <v>4000</v>
      </c>
      <c r="E392" s="15">
        <v>14.82</v>
      </c>
      <c r="G392" s="25">
        <f t="shared" si="6"/>
        <v>59280</v>
      </c>
      <c r="H392" s="25">
        <f t="array" ref="H392">IF(A392=A391,0,SUM(_xlfn._xlws.FILTER(G392:G412,A392:A412=A392)))</f>
        <v>-394920</v>
      </c>
      <c r="I392" s="25">
        <f t="array" ref="I392">IFERROR(IF(A392=A391,0,SUM(_xlfn._xlws.FILTER(G392:G412,(A392:A412=A392)*(E392:E412&lt;0)))),0)</f>
        <v>-454200</v>
      </c>
      <c r="J392" s="25">
        <f t="array" ref="J392">IFERROR(IF(A392=A391,0,SUM(_xlfn._xlws.FILTER(G392:G412,(A392:A412=A392)*(E392:E412&gt;0)))),0)</f>
        <v>59280</v>
      </c>
      <c r="K392" s="25">
        <f>IF(H392&lt;&gt;0,SUM(H$2:H392),0)</f>
        <v>-4412491.3825730002</v>
      </c>
      <c r="L392" s="25">
        <f>IF(I392&lt;&gt;0,SUM(I$2:I392),0)</f>
        <v>-18529277.567073002</v>
      </c>
      <c r="M392" s="25">
        <f>IF(J392&lt;&gt;0,SUM(J$2:J392),0)</f>
        <v>14116786.184500005</v>
      </c>
    </row>
    <row r="393" spans="1:13" hidden="1" x14ac:dyDescent="0.2">
      <c r="A393" s="5">
        <v>45868</v>
      </c>
      <c r="C393" s="6" t="s">
        <v>320</v>
      </c>
      <c r="D393" s="7">
        <v>6000</v>
      </c>
      <c r="E393" s="15">
        <v>-59.5</v>
      </c>
      <c r="G393" s="25">
        <f t="shared" si="6"/>
        <v>-357000</v>
      </c>
      <c r="H393" s="25">
        <f t="array" ref="H393">IF(A393=A392,0,SUM(_xlfn._xlws.FILTER(G393:G413,A393:A413=A393)))</f>
        <v>0</v>
      </c>
      <c r="I393" s="25">
        <f t="array" ref="I393">IFERROR(IF(A393=A392,0,SUM(_xlfn._xlws.FILTER(G393:G413,(A393:A413=A393)*(E393:E413&lt;0)))),0)</f>
        <v>0</v>
      </c>
      <c r="J393" s="25">
        <f t="array" ref="J393">IFERROR(IF(A393=A392,0,SUM(_xlfn._xlws.FILTER(G393:G413,(A393:A413=A393)*(E393:E413&gt;0)))),0)</f>
        <v>0</v>
      </c>
      <c r="K393" s="25">
        <f>IF(H393&lt;&gt;0,SUM(H$2:H393),0)</f>
        <v>0</v>
      </c>
      <c r="L393" s="25">
        <f>IF(I393&lt;&gt;0,SUM(I$2:I393),0)</f>
        <v>0</v>
      </c>
      <c r="M393" s="25">
        <f>IF(J393&lt;&gt;0,SUM(J$2:J393),0)</f>
        <v>0</v>
      </c>
    </row>
    <row r="394" spans="1:13" hidden="1" x14ac:dyDescent="0.2">
      <c r="A394" s="5">
        <v>45868</v>
      </c>
      <c r="C394" s="6" t="s">
        <v>122</v>
      </c>
      <c r="D394" s="7">
        <v>20000</v>
      </c>
      <c r="E394" s="15">
        <v>-486</v>
      </c>
      <c r="G394" s="25">
        <f t="shared" si="6"/>
        <v>-97200</v>
      </c>
      <c r="H394" s="25">
        <f t="array" ref="H394">IF(A394=A393,0,SUM(_xlfn._xlws.FILTER(G394:G414,A394:A414=A394)))</f>
        <v>0</v>
      </c>
      <c r="I394" s="25">
        <f t="array" ref="I394">IFERROR(IF(A394=A393,0,SUM(_xlfn._xlws.FILTER(G394:G414,(A394:A414=A394)*(E394:E414&lt;0)))),0)</f>
        <v>0</v>
      </c>
      <c r="J394" s="25">
        <f t="array" ref="J394">IFERROR(IF(A394=A393,0,SUM(_xlfn._xlws.FILTER(G394:G414,(A394:A414=A394)*(E394:E414&gt;0)))),0)</f>
        <v>0</v>
      </c>
      <c r="K394" s="25">
        <f>IF(H394&lt;&gt;0,SUM(H$2:H394),0)</f>
        <v>0</v>
      </c>
      <c r="L394" s="25">
        <f>IF(I394&lt;&gt;0,SUM(I$2:I394),0)</f>
        <v>0</v>
      </c>
      <c r="M394" s="25">
        <f>IF(J394&lt;&gt;0,SUM(J$2:J394),0)</f>
        <v>0</v>
      </c>
    </row>
    <row r="395" spans="1:13" hidden="1" x14ac:dyDescent="0.2">
      <c r="A395" s="1">
        <v>45870</v>
      </c>
      <c r="C395" s="2" t="s">
        <v>116</v>
      </c>
      <c r="D395" s="3">
        <v>2000</v>
      </c>
      <c r="E395" s="16">
        <v>-215.02</v>
      </c>
      <c r="G395" s="25">
        <f t="shared" si="6"/>
        <v>-430040</v>
      </c>
      <c r="H395" s="25">
        <f t="array" ref="H395">IF(A395=A394,0,SUM(_xlfn._xlws.FILTER(G395:G415,A395:A415=A395)))</f>
        <v>-665290</v>
      </c>
      <c r="I395" s="25">
        <f t="array" ref="I395">IFERROR(IF(A395=A394,0,SUM(_xlfn._xlws.FILTER(G395:G415,(A395:A415=A395)*(E395:E415&lt;0)))),0)</f>
        <v>-665290</v>
      </c>
      <c r="J395" s="25">
        <f t="array" ref="J395">IFERROR(IF(A395=A394,0,SUM(_xlfn._xlws.FILTER(G395:G415,(A395:A415=A395)*(E395:E415&gt;0)))),0)</f>
        <v>0</v>
      </c>
      <c r="K395" s="25">
        <f>IF(H395&lt;&gt;0,SUM(H$2:H395),0)</f>
        <v>-5077781.3825730002</v>
      </c>
      <c r="L395" s="25">
        <f>IF(I395&lt;&gt;0,SUM(I$2:I395),0)</f>
        <v>-19194567.567073002</v>
      </c>
      <c r="M395" s="25">
        <f>IF(J395&lt;&gt;0,SUM(J$2:J395),0)</f>
        <v>0</v>
      </c>
    </row>
    <row r="396" spans="1:13" hidden="1" x14ac:dyDescent="0.2">
      <c r="A396" s="1">
        <v>45870</v>
      </c>
      <c r="C396" s="2" t="s">
        <v>22</v>
      </c>
      <c r="D396" s="3">
        <v>1000</v>
      </c>
      <c r="E396" s="16">
        <v>-235.25</v>
      </c>
      <c r="G396" s="25">
        <f t="shared" si="6"/>
        <v>-235250</v>
      </c>
      <c r="H396" s="25">
        <f t="array" ref="H396">IF(A396=A395,0,SUM(_xlfn._xlws.FILTER(G396:G416,A396:A416=A396)))</f>
        <v>0</v>
      </c>
      <c r="I396" s="25">
        <f t="array" ref="I396">IFERROR(IF(A396=A395,0,SUM(_xlfn._xlws.FILTER(G396:G416,(A396:A416=A396)*(E396:E416&lt;0)))),0)</f>
        <v>0</v>
      </c>
      <c r="J396" s="25">
        <f t="array" ref="J396">IFERROR(IF(A396=A395,0,SUM(_xlfn._xlws.FILTER(G396:G416,(A396:A416=A396)*(E396:E416&gt;0)))),0)</f>
        <v>0</v>
      </c>
      <c r="K396" s="25">
        <f>IF(H396&lt;&gt;0,SUM(H$2:H396),0)</f>
        <v>0</v>
      </c>
      <c r="L396" s="25">
        <f>IF(I396&lt;&gt;0,SUM(I$2:I396),0)</f>
        <v>0</v>
      </c>
      <c r="M396" s="25">
        <f>IF(J396&lt;&gt;0,SUM(J$2:J396),0)</f>
        <v>0</v>
      </c>
    </row>
    <row r="397" spans="1:13" hidden="1" x14ac:dyDescent="0.2">
      <c r="A397" s="5">
        <v>45874</v>
      </c>
      <c r="C397" s="6" t="s">
        <v>19</v>
      </c>
      <c r="D397" s="7">
        <v>500</v>
      </c>
      <c r="E397" s="15">
        <v>-599.29999999999995</v>
      </c>
      <c r="G397" s="25">
        <f t="shared" si="6"/>
        <v>-299650</v>
      </c>
      <c r="H397" s="25">
        <f t="array" ref="H397">IF(A397=A396,0,SUM(_xlfn._xlws.FILTER(G397:G417,A397:A417=A397)))</f>
        <v>-417850</v>
      </c>
      <c r="I397" s="25">
        <f t="array" ref="I397">IFERROR(IF(A397=A396,0,SUM(_xlfn._xlws.FILTER(G397:G417,(A397:A417=A397)*(E397:E417&lt;0)))),0)</f>
        <v>-417850</v>
      </c>
      <c r="J397" s="25">
        <f t="array" ref="J397">IFERROR(IF(A397=A396,0,SUM(_xlfn._xlws.FILTER(G397:G417,(A397:A417=A397)*(E397:E417&gt;0)))),0)</f>
        <v>0</v>
      </c>
      <c r="K397" s="25">
        <f>IF(H397&lt;&gt;0,SUM(H$2:H397),0)</f>
        <v>-5495631.3825730002</v>
      </c>
      <c r="L397" s="25">
        <f>IF(I397&lt;&gt;0,SUM(I$2:I397),0)</f>
        <v>-19612417.567073002</v>
      </c>
      <c r="M397" s="25">
        <f>IF(J397&lt;&gt;0,SUM(J$2:J397),0)</f>
        <v>0</v>
      </c>
    </row>
    <row r="398" spans="1:13" hidden="1" x14ac:dyDescent="0.2">
      <c r="A398" s="5">
        <v>45874</v>
      </c>
      <c r="C398" s="6" t="s">
        <v>320</v>
      </c>
      <c r="D398" s="7">
        <v>2000</v>
      </c>
      <c r="E398" s="15">
        <v>-59.1</v>
      </c>
      <c r="G398" s="25">
        <f t="shared" si="6"/>
        <v>-118200</v>
      </c>
      <c r="H398" s="25">
        <f t="array" ref="H398">IF(A398=A397,0,SUM(_xlfn._xlws.FILTER(G398:G418,A398:A418=A398)))</f>
        <v>0</v>
      </c>
      <c r="I398" s="25">
        <f t="array" ref="I398">IFERROR(IF(A398=A397,0,SUM(_xlfn._xlws.FILTER(G398:G418,(A398:A418=A398)*(E398:E418&lt;0)))),0)</f>
        <v>0</v>
      </c>
      <c r="J398" s="25">
        <f t="array" ref="J398">IFERROR(IF(A398=A397,0,SUM(_xlfn._xlws.FILTER(G398:G418,(A398:A418=A398)*(E398:E418&gt;0)))),0)</f>
        <v>0</v>
      </c>
      <c r="K398" s="25">
        <f>IF(H398&lt;&gt;0,SUM(H$2:H398),0)</f>
        <v>0</v>
      </c>
      <c r="L398" s="25">
        <f>IF(I398&lt;&gt;0,SUM(I$2:I398),0)</f>
        <v>0</v>
      </c>
      <c r="M398" s="25">
        <f>IF(J398&lt;&gt;0,SUM(J$2:J398),0)</f>
        <v>0</v>
      </c>
    </row>
    <row r="399" spans="1:13" hidden="1" x14ac:dyDescent="0.2">
      <c r="A399" s="1">
        <v>45877</v>
      </c>
      <c r="C399" s="2" t="s">
        <v>155</v>
      </c>
      <c r="D399" s="3">
        <v>5000</v>
      </c>
      <c r="E399" s="16">
        <v>16.510000000000002</v>
      </c>
      <c r="G399" s="25">
        <f t="shared" si="6"/>
        <v>82550.000000000015</v>
      </c>
      <c r="H399" s="25">
        <f t="array" ref="H399">IF(A399=A398,0,SUM(_xlfn._xlws.FILTER(G399:G419,A399:A419=A399)))</f>
        <v>82550.000000000015</v>
      </c>
      <c r="I399" s="25">
        <f t="array" ref="I399">IFERROR(IF(A399=A398,0,SUM(_xlfn._xlws.FILTER(G399:G419,(A399:A419=A399)*(E399:E419&lt;0)))),0)</f>
        <v>0</v>
      </c>
      <c r="J399" s="25">
        <f t="array" ref="J399">IFERROR(IF(A399=A398,0,SUM(_xlfn._xlws.FILTER(G399:G419,(A399:A419=A399)*(E399:E419&gt;0)))),0)</f>
        <v>82550.000000000015</v>
      </c>
      <c r="K399" s="25">
        <f>IF(H399&lt;&gt;0,SUM(H$2:H399),0)</f>
        <v>-5413081.3825730002</v>
      </c>
      <c r="L399" s="25">
        <f>IF(I399&lt;&gt;0,SUM(I$2:I399),0)</f>
        <v>0</v>
      </c>
      <c r="M399" s="25">
        <f>IF(J399&lt;&gt;0,SUM(J$2:J399),0)</f>
        <v>14199336.184500005</v>
      </c>
    </row>
    <row r="400" spans="1:13" hidden="1" x14ac:dyDescent="0.2">
      <c r="A400" s="5">
        <v>45880</v>
      </c>
      <c r="C400" s="6" t="s">
        <v>185</v>
      </c>
      <c r="D400" s="7">
        <v>2000</v>
      </c>
      <c r="E400" s="15">
        <v>31.7</v>
      </c>
      <c r="G400" s="25">
        <f t="shared" si="6"/>
        <v>63400</v>
      </c>
      <c r="H400" s="25">
        <f t="array" ref="H400">IF(A400=A399,0,SUM(_xlfn._xlws.FILTER(G400:G420,A400:A420=A400)))</f>
        <v>63400</v>
      </c>
      <c r="I400" s="25">
        <f t="array" ref="I400">IFERROR(IF(A400=A399,0,SUM(_xlfn._xlws.FILTER(G400:G420,(A400:A420=A400)*(E400:E420&lt;0)))),0)</f>
        <v>0</v>
      </c>
      <c r="J400" s="25">
        <f t="array" ref="J400">IFERROR(IF(A400=A399,0,SUM(_xlfn._xlws.FILTER(G400:G420,(A400:A420=A400)*(E400:E420&gt;0)))),0)</f>
        <v>63400</v>
      </c>
      <c r="K400" s="25">
        <f>IF(H400&lt;&gt;0,SUM(H$2:H400),0)</f>
        <v>-5349681.3825730002</v>
      </c>
      <c r="L400" s="25">
        <f>IF(I400&lt;&gt;0,SUM(I$2:I400),0)</f>
        <v>0</v>
      </c>
      <c r="M400" s="25">
        <f>IF(J400&lt;&gt;0,SUM(J$2:J400),0)</f>
        <v>14262736.184500005</v>
      </c>
    </row>
    <row r="401" spans="1:13" hidden="1" x14ac:dyDescent="0.2">
      <c r="A401" s="1">
        <v>45881</v>
      </c>
      <c r="C401" s="2" t="s">
        <v>259</v>
      </c>
      <c r="D401" s="3">
        <v>499</v>
      </c>
      <c r="E401" s="16">
        <v>-232.45</v>
      </c>
      <c r="G401" s="25">
        <f t="shared" si="6"/>
        <v>-115992.54999999999</v>
      </c>
      <c r="H401" s="25">
        <f t="array" ref="H401">IF(A401=A400,0,SUM(_xlfn._xlws.FILTER(G401:G421,A401:A421=A401)))</f>
        <v>-115992.54999999999</v>
      </c>
      <c r="I401" s="25">
        <f t="array" ref="I401">IFERROR(IF(A401=A400,0,SUM(_xlfn._xlws.FILTER(G401:G421,(A401:A421=A401)*(E401:E421&lt;0)))),0)</f>
        <v>-115992.54999999999</v>
      </c>
      <c r="J401" s="25">
        <f t="array" ref="J401">IFERROR(IF(A401=A400,0,SUM(_xlfn._xlws.FILTER(G401:G421,(A401:A421=A401)*(E401:E421&gt;0)))),0)</f>
        <v>0</v>
      </c>
      <c r="K401" s="25">
        <f>IF(H401&lt;&gt;0,SUM(H$2:H401),0)</f>
        <v>-5465673.932573</v>
      </c>
      <c r="L401" s="25">
        <f>IF(I401&lt;&gt;0,SUM(I$2:I401),0)</f>
        <v>-19728410.117073003</v>
      </c>
      <c r="M401" s="25">
        <f>IF(J401&lt;&gt;0,SUM(J$2:J401),0)</f>
        <v>0</v>
      </c>
    </row>
    <row r="402" spans="1:13" hidden="1" x14ac:dyDescent="0.2">
      <c r="A402" s="5">
        <v>45882</v>
      </c>
      <c r="C402" s="6" t="s">
        <v>49</v>
      </c>
      <c r="D402" s="7">
        <v>70000</v>
      </c>
      <c r="E402" s="15">
        <v>-0.54500000000000004</v>
      </c>
      <c r="G402" s="25">
        <f t="shared" si="6"/>
        <v>-38150</v>
      </c>
      <c r="H402" s="25">
        <f t="array" ref="H402">IF(A402=A401,0,SUM(_xlfn._xlws.FILTER(G402:G422,A402:A422=A402)))</f>
        <v>36090</v>
      </c>
      <c r="I402" s="25">
        <f t="array" ref="I402">IFERROR(IF(A402=A401,0,SUM(_xlfn._xlws.FILTER(G402:G422,(A402:A422=A402)*(E402:E422&lt;0)))),0)</f>
        <v>-38150</v>
      </c>
      <c r="J402" s="25">
        <f t="array" ref="J402">IFERROR(IF(A402=A401,0,SUM(_xlfn._xlws.FILTER(G402:G422,(A402:A422=A402)*(E402:E422&gt;0)))),0)</f>
        <v>74240</v>
      </c>
      <c r="K402" s="25">
        <f>IF(H402&lt;&gt;0,SUM(H$2:H402),0)</f>
        <v>-5429583.932573</v>
      </c>
      <c r="L402" s="25">
        <f>IF(I402&lt;&gt;0,SUM(I$2:I402),0)</f>
        <v>-19766560.117073003</v>
      </c>
      <c r="M402" s="25">
        <f>IF(J402&lt;&gt;0,SUM(J$2:J402),0)</f>
        <v>14336976.184500005</v>
      </c>
    </row>
    <row r="403" spans="1:13" hidden="1" x14ac:dyDescent="0.2">
      <c r="A403" s="5">
        <v>45882</v>
      </c>
      <c r="C403" s="6" t="s">
        <v>185</v>
      </c>
      <c r="D403" s="7">
        <v>2000</v>
      </c>
      <c r="E403" s="15">
        <v>37.119999999999997</v>
      </c>
      <c r="G403" s="25">
        <f t="shared" si="6"/>
        <v>74240</v>
      </c>
      <c r="H403" s="25">
        <f t="array" ref="H403">IF(A403=A402,0,SUM(_xlfn._xlws.FILTER(G403:G423,A403:A423=A403)))</f>
        <v>0</v>
      </c>
      <c r="I403" s="25">
        <f t="array" ref="I403">IFERROR(IF(A403=A402,0,SUM(_xlfn._xlws.FILTER(G403:G423,(A403:A423=A403)*(E403:E423&lt;0)))),0)</f>
        <v>0</v>
      </c>
      <c r="J403" s="25">
        <f t="array" ref="J403">IFERROR(IF(A403=A402,0,SUM(_xlfn._xlws.FILTER(G403:G423,(A403:A423=A403)*(E403:E423&gt;0)))),0)</f>
        <v>0</v>
      </c>
      <c r="K403" s="25">
        <f>IF(H403&lt;&gt;0,SUM(H$2:H403),0)</f>
        <v>0</v>
      </c>
      <c r="L403" s="25">
        <f>IF(I403&lt;&gt;0,SUM(I$2:I403),0)</f>
        <v>0</v>
      </c>
      <c r="M403" s="25">
        <f>IF(J403&lt;&gt;0,SUM(J$2:J403),0)</f>
        <v>0</v>
      </c>
    </row>
    <row r="404" spans="1:13" hidden="1" x14ac:dyDescent="0.2">
      <c r="A404" s="1">
        <v>45883</v>
      </c>
      <c r="C404" s="2" t="s">
        <v>15</v>
      </c>
      <c r="D404" s="3">
        <v>2000</v>
      </c>
      <c r="E404" s="16">
        <v>-26.64</v>
      </c>
      <c r="G404" s="25">
        <f t="shared" si="6"/>
        <v>-53280</v>
      </c>
      <c r="H404" s="25">
        <f t="array" ref="H404">IF(A404=A403,0,SUM(_xlfn._xlws.FILTER(G404:G424,A404:A424=A404)))</f>
        <v>-53280</v>
      </c>
      <c r="I404" s="25">
        <f t="array" ref="I404">IFERROR(IF(A404=A403,0,SUM(_xlfn._xlws.FILTER(G404:G424,(A404:A424=A404)*(E404:E424&lt;0)))),0)</f>
        <v>-53280</v>
      </c>
      <c r="J404" s="25">
        <f t="array" ref="J404">IFERROR(IF(A404=A403,0,SUM(_xlfn._xlws.FILTER(G404:G424,(A404:A424=A404)*(E404:E424&gt;0)))),0)</f>
        <v>0</v>
      </c>
      <c r="K404" s="25">
        <f>IF(H404&lt;&gt;0,SUM(H$2:H404),0)</f>
        <v>-5482863.932573</v>
      </c>
      <c r="L404" s="25">
        <f>IF(I404&lt;&gt;0,SUM(I$2:I404),0)</f>
        <v>-19819840.117073003</v>
      </c>
      <c r="M404" s="25">
        <f>IF(J404&lt;&gt;0,SUM(J$2:J404),0)</f>
        <v>0</v>
      </c>
    </row>
    <row r="405" spans="1:13" hidden="1" x14ac:dyDescent="0.2">
      <c r="A405" s="5">
        <v>45884</v>
      </c>
      <c r="C405" s="6" t="s">
        <v>94</v>
      </c>
      <c r="D405" s="7">
        <v>1990</v>
      </c>
      <c r="E405" s="15">
        <v>-59.09</v>
      </c>
      <c r="G405" s="25">
        <f t="shared" si="6"/>
        <v>-117589.1</v>
      </c>
      <c r="H405" s="25">
        <f t="array" ref="H405">IF(A405=A404,0,SUM(_xlfn._xlws.FILTER(G405:G425,A405:A425=A405)))</f>
        <v>-160639.1</v>
      </c>
      <c r="I405" s="25">
        <f t="array" ref="I405">IFERROR(IF(A405=A404,0,SUM(_xlfn._xlws.FILTER(G405:G425,(A405:A425=A405)*(E405:E425&lt;0)))),0)</f>
        <v>-160639.1</v>
      </c>
      <c r="J405" s="25">
        <f t="array" ref="J405">IFERROR(IF(A405=A404,0,SUM(_xlfn._xlws.FILTER(G405:G425,(A405:A425=A405)*(E405:E425&gt;0)))),0)</f>
        <v>0</v>
      </c>
      <c r="K405" s="25">
        <f>IF(H405&lt;&gt;0,SUM(H$2:H405),0)</f>
        <v>-5643503.0325729996</v>
      </c>
      <c r="L405" s="25">
        <f>IF(I405&lt;&gt;0,SUM(I$2:I405),0)</f>
        <v>-19980479.217073005</v>
      </c>
      <c r="M405" s="25">
        <f>IF(J405&lt;&gt;0,SUM(J$2:J405),0)</f>
        <v>0</v>
      </c>
    </row>
    <row r="406" spans="1:13" hidden="1" x14ac:dyDescent="0.2">
      <c r="A406" s="5">
        <v>45884</v>
      </c>
      <c r="C406" s="6" t="s">
        <v>69</v>
      </c>
      <c r="D406" s="7">
        <v>3000</v>
      </c>
      <c r="E406" s="15">
        <v>-14.35</v>
      </c>
      <c r="G406" s="25">
        <f t="shared" si="6"/>
        <v>-43050</v>
      </c>
      <c r="H406" s="25">
        <f t="array" ref="H406">IF(A406=A405,0,SUM(_xlfn._xlws.FILTER(G406:G426,A406:A426=A406)))</f>
        <v>0</v>
      </c>
      <c r="I406" s="25">
        <f t="array" ref="I406">IFERROR(IF(A406=A405,0,SUM(_xlfn._xlws.FILTER(G406:G426,(A406:A426=A406)*(E406:E426&lt;0)))),0)</f>
        <v>0</v>
      </c>
      <c r="J406" s="25">
        <f t="array" ref="J406">IFERROR(IF(A406=A405,0,SUM(_xlfn._xlws.FILTER(G406:G426,(A406:A426=A406)*(E406:E426&gt;0)))),0)</f>
        <v>0</v>
      </c>
      <c r="K406" s="25">
        <f>IF(H406&lt;&gt;0,SUM(H$2:H406),0)</f>
        <v>0</v>
      </c>
      <c r="L406" s="25">
        <f>IF(I406&lt;&gt;0,SUM(I$2:I406),0)</f>
        <v>0</v>
      </c>
      <c r="M406" s="25">
        <f>IF(J406&lt;&gt;0,SUM(J$2:J406),0)</f>
        <v>0</v>
      </c>
    </row>
    <row r="407" spans="1:13" hidden="1" x14ac:dyDescent="0.2">
      <c r="A407" s="1">
        <v>45888</v>
      </c>
      <c r="C407" s="2" t="s">
        <v>31</v>
      </c>
      <c r="D407" s="3">
        <v>4000</v>
      </c>
      <c r="E407" s="16">
        <v>27.08</v>
      </c>
      <c r="G407" s="25">
        <f t="shared" si="6"/>
        <v>108320</v>
      </c>
      <c r="H407" s="25">
        <f t="array" ref="H407">IF(A407=A406,0,SUM(_xlfn._xlws.FILTER(G407:G427,A407:A427=A407)))</f>
        <v>677730</v>
      </c>
      <c r="I407" s="25">
        <f t="array" ref="I407">IFERROR(IF(A407=A406,0,SUM(_xlfn._xlws.FILTER(G407:G427,(A407:A427=A407)*(E407:E427&lt;0)))),0)</f>
        <v>0</v>
      </c>
      <c r="J407" s="25">
        <f t="array" ref="J407">IFERROR(IF(A407=A406,0,SUM(_xlfn._xlws.FILTER(G407:G427,(A407:A427=A407)*(E407:E427&gt;0)))),0)</f>
        <v>677730</v>
      </c>
      <c r="K407" s="25">
        <f>IF(H407&lt;&gt;0,SUM(H$2:H407),0)</f>
        <v>-4965773.0325729996</v>
      </c>
      <c r="L407" s="25">
        <f>IF(I407&lt;&gt;0,SUM(I$2:I407),0)</f>
        <v>0</v>
      </c>
      <c r="M407" s="25">
        <f>IF(J407&lt;&gt;0,SUM(J$2:J407),0)</f>
        <v>15014706.184500005</v>
      </c>
    </row>
    <row r="408" spans="1:13" hidden="1" x14ac:dyDescent="0.2">
      <c r="A408" s="1">
        <v>45888</v>
      </c>
      <c r="C408" s="2" t="s">
        <v>193</v>
      </c>
      <c r="D408" s="3">
        <v>3000</v>
      </c>
      <c r="E408" s="16">
        <v>30.68</v>
      </c>
      <c r="G408" s="25">
        <f t="shared" si="6"/>
        <v>92040</v>
      </c>
      <c r="H408" s="25">
        <f t="array" ref="H408">IF(A408=A407,0,SUM(_xlfn._xlws.FILTER(G408:G428,A408:A428=A408)))</f>
        <v>0</v>
      </c>
      <c r="I408" s="25">
        <f t="array" ref="I408">IFERROR(IF(A408=A407,0,SUM(_xlfn._xlws.FILTER(G408:G428,(A408:A428=A408)*(E408:E428&lt;0)))),0)</f>
        <v>0</v>
      </c>
      <c r="J408" s="25">
        <f t="array" ref="J408">IFERROR(IF(A408=A407,0,SUM(_xlfn._xlws.FILTER(G408:G428,(A408:A428=A408)*(E408:E428&gt;0)))),0)</f>
        <v>0</v>
      </c>
      <c r="K408" s="25">
        <f>IF(H408&lt;&gt;0,SUM(H$2:H408),0)</f>
        <v>0</v>
      </c>
      <c r="L408" s="25">
        <f>IF(I408&lt;&gt;0,SUM(I$2:I408),0)</f>
        <v>0</v>
      </c>
      <c r="M408" s="25">
        <f>IF(J408&lt;&gt;0,SUM(J$2:J408),0)</f>
        <v>0</v>
      </c>
    </row>
    <row r="409" spans="1:13" hidden="1" x14ac:dyDescent="0.2">
      <c r="A409" s="1">
        <v>45888</v>
      </c>
      <c r="C409" s="2" t="s">
        <v>34</v>
      </c>
      <c r="D409" s="3">
        <v>2000</v>
      </c>
      <c r="E409" s="16">
        <v>79.510000000000005</v>
      </c>
      <c r="G409" s="25">
        <f t="shared" si="6"/>
        <v>159020</v>
      </c>
      <c r="H409" s="25">
        <f t="array" ref="H409">IF(A409=A408,0,SUM(_xlfn._xlws.FILTER(G409:G429,A409:A429=A409)))</f>
        <v>0</v>
      </c>
      <c r="I409" s="25">
        <f t="array" ref="I409">IFERROR(IF(A409=A408,0,SUM(_xlfn._xlws.FILTER(G409:G429,(A409:A429=A409)*(E409:E429&lt;0)))),0)</f>
        <v>0</v>
      </c>
      <c r="J409" s="25">
        <f t="array" ref="J409">IFERROR(IF(A409=A408,0,SUM(_xlfn._xlws.FILTER(G409:G429,(A409:A429=A409)*(E409:E429&gt;0)))),0)</f>
        <v>0</v>
      </c>
      <c r="K409" s="25">
        <f>IF(H409&lt;&gt;0,SUM(H$2:H409),0)</f>
        <v>0</v>
      </c>
      <c r="L409" s="25">
        <f>IF(I409&lt;&gt;0,SUM(I$2:I409),0)</f>
        <v>0</v>
      </c>
      <c r="M409" s="25">
        <f>IF(J409&lt;&gt;0,SUM(J$2:J409),0)</f>
        <v>0</v>
      </c>
    </row>
    <row r="410" spans="1:13" hidden="1" x14ac:dyDescent="0.2">
      <c r="A410" s="1">
        <v>45888</v>
      </c>
      <c r="C410" s="2" t="s">
        <v>19</v>
      </c>
      <c r="D410" s="3">
        <v>500</v>
      </c>
      <c r="E410" s="16">
        <v>636.70000000000005</v>
      </c>
      <c r="G410" s="25">
        <f t="shared" si="6"/>
        <v>318350</v>
      </c>
      <c r="H410" s="25">
        <f t="array" ref="H410">IF(A410=A409,0,SUM(_xlfn._xlws.FILTER(G410:G430,A410:A430=A410)))</f>
        <v>0</v>
      </c>
      <c r="I410" s="25">
        <f t="array" ref="I410">IFERROR(IF(A410=A409,0,SUM(_xlfn._xlws.FILTER(G410:G430,(A410:A430=A410)*(E410:E430&lt;0)))),0)</f>
        <v>0</v>
      </c>
      <c r="J410" s="25">
        <f t="array" ref="J410">IFERROR(IF(A410=A409,0,SUM(_xlfn._xlws.FILTER(G410:G430,(A410:A430=A410)*(E410:E430&gt;0)))),0)</f>
        <v>0</v>
      </c>
      <c r="K410" s="25">
        <f>IF(H410&lt;&gt;0,SUM(H$2:H410),0)</f>
        <v>0</v>
      </c>
      <c r="L410" s="25">
        <f>IF(I410&lt;&gt;0,SUM(I$2:I410),0)</f>
        <v>0</v>
      </c>
      <c r="M410" s="25">
        <f>IF(J410&lt;&gt;0,SUM(J$2:J410),0)</f>
        <v>0</v>
      </c>
    </row>
    <row r="411" spans="1:13" hidden="1" x14ac:dyDescent="0.2">
      <c r="A411" s="5">
        <v>45891</v>
      </c>
      <c r="C411" s="6" t="s">
        <v>19</v>
      </c>
      <c r="D411" s="7">
        <v>500</v>
      </c>
      <c r="E411" s="15">
        <v>646.20000000000005</v>
      </c>
      <c r="G411" s="25">
        <f t="shared" si="6"/>
        <v>323100</v>
      </c>
      <c r="H411" s="25">
        <f t="array" ref="H411">IF(A411=A410,0,SUM(_xlfn._xlws.FILTER(G411:G431,A411:A431=A411)))</f>
        <v>808100</v>
      </c>
      <c r="I411" s="25">
        <f t="array" ref="I411">IFERROR(IF(A411=A410,0,SUM(_xlfn._xlws.FILTER(G411:G431,(A411:A431=A411)*(E411:E431&lt;0)))),0)</f>
        <v>0</v>
      </c>
      <c r="J411" s="25">
        <f t="array" ref="J411">IFERROR(IF(A411=A410,0,SUM(_xlfn._xlws.FILTER(G411:G431,(A411:A431=A411)*(E411:E431&gt;0)))),0)</f>
        <v>808100</v>
      </c>
      <c r="K411" s="25">
        <f>IF(H411&lt;&gt;0,SUM(H$2:H411),0)</f>
        <v>-4157673.0325729996</v>
      </c>
      <c r="L411" s="25">
        <f>IF(I411&lt;&gt;0,SUM(I$2:I411),0)</f>
        <v>0</v>
      </c>
      <c r="M411" s="25">
        <f>IF(J411&lt;&gt;0,SUM(J$2:J411),0)</f>
        <v>15822806.184500005</v>
      </c>
    </row>
    <row r="412" spans="1:13" hidden="1" x14ac:dyDescent="0.2">
      <c r="A412" s="5">
        <v>45891</v>
      </c>
      <c r="C412" s="5" t="s">
        <v>190</v>
      </c>
      <c r="D412" s="7">
        <v>2000</v>
      </c>
      <c r="E412" s="6">
        <v>70.12</v>
      </c>
      <c r="G412" s="25">
        <f t="shared" si="6"/>
        <v>140240</v>
      </c>
      <c r="H412" s="25">
        <f t="array" ref="H412">IF(A412=A411,0,SUM(_xlfn._xlws.FILTER(G412:G432,A412:A432=A412)))</f>
        <v>0</v>
      </c>
      <c r="I412" s="25">
        <f t="array" ref="I412">IFERROR(IF(A412=A411,0,SUM(_xlfn._xlws.FILTER(G412:G432,(A412:A432=A412)*(E412:E432&lt;0)))),0)</f>
        <v>0</v>
      </c>
      <c r="J412" s="25">
        <f t="array" ref="J412">IFERROR(IF(A412=A411,0,SUM(_xlfn._xlws.FILTER(G412:G432,(A412:A432=A412)*(E412:E432&gt;0)))),0)</f>
        <v>0</v>
      </c>
      <c r="K412" s="25">
        <f>IF(H412&lt;&gt;0,SUM(H$2:H412),0)</f>
        <v>0</v>
      </c>
      <c r="L412" s="25">
        <f>IF(I412&lt;&gt;0,SUM(I$2:I412),0)</f>
        <v>0</v>
      </c>
      <c r="M412" s="25">
        <f>IF(J412&lt;&gt;0,SUM(J$2:J412),0)</f>
        <v>0</v>
      </c>
    </row>
    <row r="413" spans="1:13" hidden="1" x14ac:dyDescent="0.2">
      <c r="A413" s="5">
        <v>45891</v>
      </c>
      <c r="C413" s="5" t="s">
        <v>193</v>
      </c>
      <c r="D413" s="7">
        <v>1000</v>
      </c>
      <c r="E413" s="6">
        <v>32.03</v>
      </c>
      <c r="G413" s="25">
        <f t="shared" si="6"/>
        <v>32030</v>
      </c>
      <c r="H413" s="25">
        <f t="array" ref="H413">IF(A413=A412,0,SUM(_xlfn._xlws.FILTER(G413:G433,A413:A433=A413)))</f>
        <v>0</v>
      </c>
      <c r="I413" s="25">
        <f t="array" ref="I413">IFERROR(IF(A413=A412,0,SUM(_xlfn._xlws.FILTER(G413:G433,(A413:A433=A413)*(E413:E433&lt;0)))),0)</f>
        <v>0</v>
      </c>
      <c r="J413" s="25">
        <f t="array" ref="J413">IFERROR(IF(A413=A412,0,SUM(_xlfn._xlws.FILTER(G413:G433,(A413:A433=A413)*(E413:E433&gt;0)))),0)</f>
        <v>0</v>
      </c>
      <c r="K413" s="25">
        <f>IF(H413&lt;&gt;0,SUM(H$2:H413),0)</f>
        <v>0</v>
      </c>
      <c r="L413" s="25">
        <f>IF(I413&lt;&gt;0,SUM(I$2:I413),0)</f>
        <v>0</v>
      </c>
      <c r="M413" s="25">
        <f>IF(J413&lt;&gt;0,SUM(J$2:J413),0)</f>
        <v>0</v>
      </c>
    </row>
    <row r="414" spans="1:13" hidden="1" x14ac:dyDescent="0.2">
      <c r="A414" s="5">
        <v>45891</v>
      </c>
      <c r="C414" s="5" t="s">
        <v>25</v>
      </c>
      <c r="D414" s="7">
        <v>3000</v>
      </c>
      <c r="E414" s="6">
        <v>76.209999999999994</v>
      </c>
      <c r="G414" s="25">
        <f t="shared" si="6"/>
        <v>228629.99999999997</v>
      </c>
      <c r="H414" s="25">
        <f t="array" ref="H414">IF(A414=A413,0,SUM(_xlfn._xlws.FILTER(G414:G434,A414:A434=A414)))</f>
        <v>0</v>
      </c>
      <c r="I414" s="25">
        <f t="array" ref="I414">IFERROR(IF(A414=A413,0,SUM(_xlfn._xlws.FILTER(G414:G434,(A414:A434=A414)*(E414:E434&lt;0)))),0)</f>
        <v>0</v>
      </c>
      <c r="J414" s="25">
        <f t="array" ref="J414">IFERROR(IF(A414=A413,0,SUM(_xlfn._xlws.FILTER(G414:G434,(A414:A434=A414)*(E414:E434&gt;0)))),0)</f>
        <v>0</v>
      </c>
      <c r="K414" s="25">
        <f>IF(H414&lt;&gt;0,SUM(H$2:H414),0)</f>
        <v>0</v>
      </c>
      <c r="L414" s="25">
        <f>IF(I414&lt;&gt;0,SUM(I$2:I414),0)</f>
        <v>0</v>
      </c>
      <c r="M414" s="25">
        <f>IF(J414&lt;&gt;0,SUM(J$2:J414),0)</f>
        <v>0</v>
      </c>
    </row>
    <row r="415" spans="1:13" hidden="1" x14ac:dyDescent="0.2">
      <c r="A415" s="5">
        <v>45891</v>
      </c>
      <c r="C415" s="5" t="s">
        <v>185</v>
      </c>
      <c r="D415" s="7">
        <v>2000</v>
      </c>
      <c r="E415" s="6">
        <v>42.05</v>
      </c>
      <c r="G415" s="25">
        <f t="shared" si="6"/>
        <v>84100</v>
      </c>
      <c r="H415" s="25">
        <f t="array" ref="H415">IF(A415=A414,0,SUM(_xlfn._xlws.FILTER(G415:G435,A415:A435=A415)))</f>
        <v>0</v>
      </c>
      <c r="I415" s="25">
        <f t="array" ref="I415">IFERROR(IF(A415=A414,0,SUM(_xlfn._xlws.FILTER(G415:G435,(A415:A435=A415)*(E415:E435&lt;0)))),0)</f>
        <v>0</v>
      </c>
      <c r="J415" s="25">
        <f t="array" ref="J415">IFERROR(IF(A415=A414,0,SUM(_xlfn._xlws.FILTER(G415:G435,(A415:A435=A415)*(E415:E435&gt;0)))),0)</f>
        <v>0</v>
      </c>
      <c r="K415" s="25">
        <f>IF(H415&lt;&gt;0,SUM(H$2:H415),0)</f>
        <v>0</v>
      </c>
      <c r="L415" s="25">
        <f>IF(I415&lt;&gt;0,SUM(I$2:I415),0)</f>
        <v>0</v>
      </c>
      <c r="M415" s="25">
        <f>IF(J415&lt;&gt;0,SUM(J$2:J415),0)</f>
        <v>0</v>
      </c>
    </row>
    <row r="416" spans="1:13" hidden="1" x14ac:dyDescent="0.2">
      <c r="A416" s="1">
        <v>45894</v>
      </c>
      <c r="C416" s="2" t="s">
        <v>185</v>
      </c>
      <c r="D416" s="3">
        <v>1000</v>
      </c>
      <c r="E416" s="16">
        <v>41.42</v>
      </c>
      <c r="G416" s="25">
        <f t="shared" si="6"/>
        <v>41420</v>
      </c>
      <c r="H416" s="25">
        <f t="array" ref="H416">IF(A416=A415,0,SUM(_xlfn._xlws.FILTER(G416:G436,A416:A436=A416)))</f>
        <v>384380</v>
      </c>
      <c r="I416" s="25">
        <f t="array" ref="I416">IFERROR(IF(A416=A415,0,SUM(_xlfn._xlws.FILTER(G416:G436,(A416:A436=A416)*(E416:E436&lt;0)))),0)</f>
        <v>0</v>
      </c>
      <c r="J416" s="25">
        <f t="array" ref="J416">IFERROR(IF(A416=A415,0,SUM(_xlfn._xlws.FILTER(G416:G436,(A416:A436=A416)*(E416:E436&gt;0)))),0)</f>
        <v>384380</v>
      </c>
      <c r="K416" s="25">
        <f>IF(H416&lt;&gt;0,SUM(H$2:H416),0)</f>
        <v>-3773293.0325729996</v>
      </c>
      <c r="L416" s="25">
        <f>IF(I416&lt;&gt;0,SUM(I$2:I416),0)</f>
        <v>0</v>
      </c>
      <c r="M416" s="25">
        <f>IF(J416&lt;&gt;0,SUM(J$2:J416),0)</f>
        <v>16207186.184500005</v>
      </c>
    </row>
    <row r="417" spans="1:13" hidden="1" x14ac:dyDescent="0.2">
      <c r="A417" s="1">
        <v>45894</v>
      </c>
      <c r="C417" s="2" t="s">
        <v>25</v>
      </c>
      <c r="D417" s="3">
        <v>1000</v>
      </c>
      <c r="E417" s="16">
        <v>75.42</v>
      </c>
      <c r="G417" s="25">
        <f t="shared" si="6"/>
        <v>75420</v>
      </c>
      <c r="H417" s="25">
        <f t="array" ref="H417">IF(A417=A416,0,SUM(_xlfn._xlws.FILTER(G417:G437,A417:A437=A417)))</f>
        <v>0</v>
      </c>
      <c r="I417" s="25">
        <f t="array" ref="I417">IFERROR(IF(A417=A416,0,SUM(_xlfn._xlws.FILTER(G417:G437,(A417:A437=A417)*(E417:E437&lt;0)))),0)</f>
        <v>0</v>
      </c>
      <c r="J417" s="25">
        <f t="array" ref="J417">IFERROR(IF(A417=A416,0,SUM(_xlfn._xlws.FILTER(G417:G437,(A417:A437=A417)*(E417:E437&gt;0)))),0)</f>
        <v>0</v>
      </c>
      <c r="K417" s="25">
        <f>IF(H417&lt;&gt;0,SUM(H$2:H417),0)</f>
        <v>0</v>
      </c>
      <c r="L417" s="25">
        <f>IF(I417&lt;&gt;0,SUM(I$2:I417),0)</f>
        <v>0</v>
      </c>
      <c r="M417" s="25">
        <f>IF(J417&lt;&gt;0,SUM(J$2:J417),0)</f>
        <v>0</v>
      </c>
    </row>
    <row r="418" spans="1:13" hidden="1" x14ac:dyDescent="0.2">
      <c r="A418" s="1">
        <v>45894</v>
      </c>
      <c r="C418" s="2" t="s">
        <v>45</v>
      </c>
      <c r="D418" s="3">
        <v>2000</v>
      </c>
      <c r="E418" s="16">
        <v>22.45</v>
      </c>
      <c r="G418" s="25">
        <f t="shared" si="6"/>
        <v>44900</v>
      </c>
      <c r="H418" s="25">
        <f t="array" ref="H418">IF(A418=A417,0,SUM(_xlfn._xlws.FILTER(G418:G438,A418:A438=A418)))</f>
        <v>0</v>
      </c>
      <c r="I418" s="25">
        <f t="array" ref="I418">IFERROR(IF(A418=A417,0,SUM(_xlfn._xlws.FILTER(G418:G438,(A418:A438=A418)*(E418:E438&lt;0)))),0)</f>
        <v>0</v>
      </c>
      <c r="J418" s="25">
        <f t="array" ref="J418">IFERROR(IF(A418=A417,0,SUM(_xlfn._xlws.FILTER(G418:G438,(A418:A438=A418)*(E418:E438&gt;0)))),0)</f>
        <v>0</v>
      </c>
      <c r="K418" s="25">
        <f>IF(H418&lt;&gt;0,SUM(H$2:H418),0)</f>
        <v>0</v>
      </c>
      <c r="L418" s="25">
        <f>IF(I418&lt;&gt;0,SUM(I$2:I418),0)</f>
        <v>0</v>
      </c>
      <c r="M418" s="25">
        <f>IF(J418&lt;&gt;0,SUM(J$2:J418),0)</f>
        <v>0</v>
      </c>
    </row>
    <row r="419" spans="1:13" hidden="1" x14ac:dyDescent="0.2">
      <c r="A419" s="1">
        <v>45894</v>
      </c>
      <c r="C419" s="2" t="s">
        <v>486</v>
      </c>
      <c r="D419" s="3">
        <v>5000</v>
      </c>
      <c r="E419" s="16">
        <v>10.58</v>
      </c>
      <c r="G419" s="25">
        <f t="shared" si="6"/>
        <v>52900</v>
      </c>
      <c r="H419" s="25">
        <f t="array" ref="H419">IF(A419=A418,0,SUM(_xlfn._xlws.FILTER(G419:G439,A419:A439=A419)))</f>
        <v>0</v>
      </c>
      <c r="I419" s="25">
        <f t="array" ref="I419">IFERROR(IF(A419=A418,0,SUM(_xlfn._xlws.FILTER(G419:G439,(A419:A439=A419)*(E419:E439&lt;0)))),0)</f>
        <v>0</v>
      </c>
      <c r="J419" s="25">
        <f t="array" ref="J419">IFERROR(IF(A419=A418,0,SUM(_xlfn._xlws.FILTER(G419:G439,(A419:A439=A419)*(E419:E439&gt;0)))),0)</f>
        <v>0</v>
      </c>
      <c r="K419" s="25">
        <f>IF(H419&lt;&gt;0,SUM(H$2:H419),0)</f>
        <v>0</v>
      </c>
      <c r="L419" s="25">
        <f>IF(I419&lt;&gt;0,SUM(I$2:I419),0)</f>
        <v>0</v>
      </c>
      <c r="M419" s="25">
        <f>IF(J419&lt;&gt;0,SUM(J$2:J419),0)</f>
        <v>0</v>
      </c>
    </row>
    <row r="420" spans="1:13" hidden="1" x14ac:dyDescent="0.2">
      <c r="A420" s="5">
        <v>45896</v>
      </c>
      <c r="C420" s="6" t="s">
        <v>49</v>
      </c>
      <c r="D420" s="7">
        <v>30000</v>
      </c>
      <c r="E420" s="15">
        <v>-0.45</v>
      </c>
      <c r="G420" s="25">
        <f t="shared" si="6"/>
        <v>-13500</v>
      </c>
      <c r="H420" s="25">
        <f t="array" ref="H420">IF(A420=A419,0,SUM(_xlfn._xlws.FILTER(G420:G440,A420:A440=A420)))</f>
        <v>261732</v>
      </c>
      <c r="I420" s="25">
        <f t="array" ref="I420">IFERROR(IF(A420=A419,0,SUM(_xlfn._xlws.FILTER(G420:G440,(A420:A440=A420)*(E420:E440&lt;0)))),0)</f>
        <v>-27000</v>
      </c>
      <c r="J420" s="25">
        <f t="array" ref="J420">IFERROR(IF(A420=A419,0,SUM(_xlfn._xlws.FILTER(G420:G440,(A420:A440=A420)*(E420:E440&gt;0)))),0)</f>
        <v>288732</v>
      </c>
      <c r="K420" s="25">
        <f>IF(H420&lt;&gt;0,SUM(H$2:H420),0)</f>
        <v>-3511561.0325729996</v>
      </c>
      <c r="L420" s="25">
        <f>IF(I420&lt;&gt;0,SUM(I$2:I420),0)</f>
        <v>-20007479.217073005</v>
      </c>
      <c r="M420" s="25">
        <f>IF(J420&lt;&gt;0,SUM(J$2:J420),0)</f>
        <v>16495918.184500005</v>
      </c>
    </row>
    <row r="421" spans="1:13" hidden="1" x14ac:dyDescent="0.2">
      <c r="A421" s="5">
        <v>45896</v>
      </c>
      <c r="C421" s="6" t="s">
        <v>125</v>
      </c>
      <c r="D421" s="7">
        <v>600</v>
      </c>
      <c r="E421" s="15">
        <v>189.91</v>
      </c>
      <c r="G421" s="25">
        <f t="shared" si="6"/>
        <v>113946</v>
      </c>
      <c r="H421" s="25">
        <f t="array" ref="H421">IF(A421=A420,0,SUM(_xlfn._xlws.FILTER(G421:G441,A421:A441=A421)))</f>
        <v>0</v>
      </c>
      <c r="I421" s="25">
        <f t="array" ref="I421">IFERROR(IF(A421=A420,0,SUM(_xlfn._xlws.FILTER(G421:G441,(A421:A441=A421)*(E421:E441&lt;0)))),0)</f>
        <v>0</v>
      </c>
      <c r="J421" s="25">
        <f t="array" ref="J421">IFERROR(IF(A421=A420,0,SUM(_xlfn._xlws.FILTER(G421:G441,(A421:A441=A421)*(E421:E441&gt;0)))),0)</f>
        <v>0</v>
      </c>
      <c r="K421" s="25">
        <f>IF(H421&lt;&gt;0,SUM(H$2:H421),0)</f>
        <v>0</v>
      </c>
      <c r="L421" s="25">
        <f>IF(I421&lt;&gt;0,SUM(I$2:I421),0)</f>
        <v>0</v>
      </c>
      <c r="M421" s="25">
        <f>IF(J421&lt;&gt;0,SUM(J$2:J421),0)</f>
        <v>0</v>
      </c>
    </row>
    <row r="422" spans="1:13" hidden="1" x14ac:dyDescent="0.2">
      <c r="A422" s="5">
        <v>45896</v>
      </c>
      <c r="C422" s="6" t="s">
        <v>256</v>
      </c>
      <c r="D422" s="7">
        <v>2000</v>
      </c>
      <c r="E422" s="15">
        <v>15.21</v>
      </c>
      <c r="G422" s="25">
        <f t="shared" si="6"/>
        <v>30420</v>
      </c>
      <c r="H422" s="25">
        <f t="array" ref="H422">IF(A422=A421,0,SUM(_xlfn._xlws.FILTER(G422:G442,A422:A442=A422)))</f>
        <v>0</v>
      </c>
      <c r="I422" s="25">
        <f t="array" ref="I422">IFERROR(IF(A422=A421,0,SUM(_xlfn._xlws.FILTER(G422:G442,(A422:A442=A422)*(E422:E442&lt;0)))),0)</f>
        <v>0</v>
      </c>
      <c r="J422" s="25">
        <f t="array" ref="J422">IFERROR(IF(A422=A421,0,SUM(_xlfn._xlws.FILTER(G422:G442,(A422:A442=A422)*(E422:E442&gt;0)))),0)</f>
        <v>0</v>
      </c>
      <c r="K422" s="25">
        <f>IF(H422&lt;&gt;0,SUM(H$2:H422),0)</f>
        <v>0</v>
      </c>
      <c r="L422" s="25">
        <f>IF(I422&lt;&gt;0,SUM(I$2:I422),0)</f>
        <v>0</v>
      </c>
      <c r="M422" s="25">
        <f>IF(J422&lt;&gt;0,SUM(J$2:J422),0)</f>
        <v>0</v>
      </c>
    </row>
    <row r="423" spans="1:13" hidden="1" x14ac:dyDescent="0.2">
      <c r="A423" s="1">
        <v>45897</v>
      </c>
      <c r="C423" s="2" t="s">
        <v>45</v>
      </c>
      <c r="D423" s="3">
        <v>1500</v>
      </c>
      <c r="E423" s="16">
        <v>23.24</v>
      </c>
      <c r="G423" s="25">
        <f t="shared" si="6"/>
        <v>34860</v>
      </c>
      <c r="H423" s="25">
        <f t="array" ref="H423">IF(A423=A422,0,SUM(_xlfn._xlws.FILTER(G423:G443,A423:A443=A423)))</f>
        <v>69720</v>
      </c>
      <c r="I423" s="25">
        <f t="array" ref="I423">IFERROR(IF(A423=A422,0,SUM(_xlfn._xlws.FILTER(G423:G443,(A423:A443=A423)*(E423:E443&lt;0)))),0)</f>
        <v>0</v>
      </c>
      <c r="J423" s="25">
        <f t="array" ref="J423">IFERROR(IF(A423=A422,0,SUM(_xlfn._xlws.FILTER(G423:G443,(A423:A443=A423)*(E423:E443&gt;0)))),0)</f>
        <v>69720</v>
      </c>
      <c r="K423" s="25">
        <f>IF(H423&lt;&gt;0,SUM(H$2:H423),0)</f>
        <v>-3441841.0325729996</v>
      </c>
      <c r="L423" s="25">
        <f>IF(I423&lt;&gt;0,SUM(I$2:I423),0)</f>
        <v>0</v>
      </c>
      <c r="M423" s="25">
        <f>IF(J423&lt;&gt;0,SUM(J$2:J423),0)</f>
        <v>16565638.184500005</v>
      </c>
    </row>
    <row r="424" spans="1:13" hidden="1" x14ac:dyDescent="0.2">
      <c r="A424" s="1">
        <v>45894</v>
      </c>
      <c r="C424" s="2" t="s">
        <v>185</v>
      </c>
      <c r="D424" s="3">
        <v>1000</v>
      </c>
      <c r="E424" s="16">
        <v>41.42</v>
      </c>
      <c r="G424" s="25">
        <f t="shared" si="6"/>
        <v>41420</v>
      </c>
      <c r="H424" s="25">
        <f t="array" ref="H424">IF(A424=A423,0,SUM(_xlfn._xlws.FILTER(G424:G444,A424:A444=A424)))</f>
        <v>169740</v>
      </c>
      <c r="I424" s="25">
        <f t="array" ref="I424">IFERROR(IF(A424=A423,0,SUM(_xlfn._xlws.FILTER(G424:G444,(A424:A444=A424)*(E424:E444&lt;0)))),0)</f>
        <v>0</v>
      </c>
      <c r="J424" s="25">
        <f t="array" ref="J424">IFERROR(IF(A424=A423,0,SUM(_xlfn._xlws.FILTER(G424:G444,(A424:A444=A424)*(E424:E444&gt;0)))),0)</f>
        <v>169740</v>
      </c>
      <c r="K424" s="25">
        <f>IF(H424&lt;&gt;0,SUM(H$2:H424),0)</f>
        <v>-3272101.0325729996</v>
      </c>
      <c r="L424" s="25">
        <f>IF(I424&lt;&gt;0,SUM(I$2:I424),0)</f>
        <v>0</v>
      </c>
      <c r="M424" s="25">
        <f>IF(J424&lt;&gt;0,SUM(J$2:J424),0)</f>
        <v>16735378.184500005</v>
      </c>
    </row>
    <row r="425" spans="1:13" hidden="1" x14ac:dyDescent="0.2">
      <c r="A425" s="1">
        <v>45894</v>
      </c>
      <c r="C425" s="2" t="s">
        <v>25</v>
      </c>
      <c r="D425" s="3">
        <v>1000</v>
      </c>
      <c r="E425" s="16">
        <v>75.42</v>
      </c>
      <c r="G425" s="25">
        <f t="shared" si="6"/>
        <v>75420</v>
      </c>
      <c r="H425" s="25">
        <f t="array" ref="H425">IF(A425=A424,0,SUM(_xlfn._xlws.FILTER(G425:G445,A425:A445=A425)))</f>
        <v>0</v>
      </c>
      <c r="I425" s="25">
        <f t="array" ref="I425">IFERROR(IF(A425=A424,0,SUM(_xlfn._xlws.FILTER(G425:G445,(A425:A445=A425)*(E425:E445&lt;0)))),0)</f>
        <v>0</v>
      </c>
      <c r="J425" s="25">
        <f t="array" ref="J425">IFERROR(IF(A425=A424,0,SUM(_xlfn._xlws.FILTER(G425:G445,(A425:A445=A425)*(E425:E445&gt;0)))),0)</f>
        <v>0</v>
      </c>
      <c r="K425" s="25">
        <f>IF(H425&lt;&gt;0,SUM(H$2:H425),0)</f>
        <v>0</v>
      </c>
      <c r="L425" s="25">
        <f>IF(I425&lt;&gt;0,SUM(I$2:I425),0)</f>
        <v>0</v>
      </c>
      <c r="M425" s="25">
        <f>IF(J425&lt;&gt;0,SUM(J$2:J425),0)</f>
        <v>0</v>
      </c>
    </row>
    <row r="426" spans="1:13" hidden="1" x14ac:dyDescent="0.2">
      <c r="A426" s="1">
        <v>45894</v>
      </c>
      <c r="C426" s="2" t="s">
        <v>486</v>
      </c>
      <c r="D426" s="3">
        <v>5000</v>
      </c>
      <c r="E426" s="16">
        <v>10.58</v>
      </c>
      <c r="G426" s="25">
        <f t="shared" si="6"/>
        <v>52900</v>
      </c>
      <c r="H426" s="25">
        <f t="array" ref="H426">IF(A426=A425,0,SUM(_xlfn._xlws.FILTER(G426:G446,A426:A446=A426)))</f>
        <v>0</v>
      </c>
      <c r="I426" s="25">
        <f t="array" ref="I426">IFERROR(IF(A426=A425,0,SUM(_xlfn._xlws.FILTER(G426:G446,(A426:A446=A426)*(E426:E446&lt;0)))),0)</f>
        <v>0</v>
      </c>
      <c r="J426" s="25">
        <f t="array" ref="J426">IFERROR(IF(A426=A425,0,SUM(_xlfn._xlws.FILTER(G426:G446,(A426:A446=A426)*(E426:E446&gt;0)))),0)</f>
        <v>0</v>
      </c>
      <c r="K426" s="25">
        <f>IF(H426&lt;&gt;0,SUM(H$2:H426),0)</f>
        <v>0</v>
      </c>
      <c r="L426" s="25">
        <f>IF(I426&lt;&gt;0,SUM(I$2:I426),0)</f>
        <v>0</v>
      </c>
      <c r="M426" s="25">
        <f>IF(J426&lt;&gt;0,SUM(J$2:J426),0)</f>
        <v>0</v>
      </c>
    </row>
    <row r="427" spans="1:13" hidden="1" x14ac:dyDescent="0.2">
      <c r="A427" s="5">
        <v>45896</v>
      </c>
      <c r="C427" s="6" t="s">
        <v>49</v>
      </c>
      <c r="D427" s="7">
        <v>30000</v>
      </c>
      <c r="E427" s="15">
        <v>-0.45</v>
      </c>
      <c r="G427" s="25">
        <f t="shared" si="6"/>
        <v>-13500</v>
      </c>
      <c r="H427" s="25">
        <f t="array" ref="H427">IF(A427=A426,0,SUM(_xlfn._xlws.FILTER(G427:G447,A427:A447=A427)))</f>
        <v>130866</v>
      </c>
      <c r="I427" s="25">
        <f t="array" ref="I427">IFERROR(IF(A427=A426,0,SUM(_xlfn._xlws.FILTER(G427:G447,(A427:A447=A427)*(E427:E447&lt;0)))),0)</f>
        <v>-13500</v>
      </c>
      <c r="J427" s="25">
        <f t="array" ref="J427">IFERROR(IF(A427=A426,0,SUM(_xlfn._xlws.FILTER(G427:G447,(A427:A447=A427)*(E427:E447&gt;0)))),0)</f>
        <v>144366</v>
      </c>
      <c r="K427" s="25">
        <f>IF(H427&lt;&gt;0,SUM(H$2:H427),0)</f>
        <v>-3141235.0325729996</v>
      </c>
      <c r="L427" s="25">
        <f>IF(I427&lt;&gt;0,SUM(I$2:I427),0)</f>
        <v>-20020979.217073005</v>
      </c>
      <c r="M427" s="25">
        <f>IF(J427&lt;&gt;0,SUM(J$2:J427),0)</f>
        <v>16879744.184500005</v>
      </c>
    </row>
    <row r="428" spans="1:13" hidden="1" x14ac:dyDescent="0.2">
      <c r="A428" s="5">
        <v>45896</v>
      </c>
      <c r="C428" s="6" t="s">
        <v>125</v>
      </c>
      <c r="D428" s="7">
        <v>600</v>
      </c>
      <c r="E428" s="15">
        <v>189.91</v>
      </c>
      <c r="G428" s="25">
        <f t="shared" si="6"/>
        <v>113946</v>
      </c>
      <c r="H428" s="25">
        <f t="array" ref="H428">IF(A428=A427,0,SUM(_xlfn._xlws.FILTER(G428:G448,A428:A448=A428)))</f>
        <v>0</v>
      </c>
      <c r="I428" s="25">
        <f t="array" ref="I428">IFERROR(IF(A428=A427,0,SUM(_xlfn._xlws.FILTER(G428:G448,(A428:A448=A428)*(E428:E448&lt;0)))),0)</f>
        <v>0</v>
      </c>
      <c r="J428" s="25">
        <f t="array" ref="J428">IFERROR(IF(A428=A427,0,SUM(_xlfn._xlws.FILTER(G428:G448,(A428:A448=A428)*(E428:E448&gt;0)))),0)</f>
        <v>0</v>
      </c>
      <c r="K428" s="25">
        <f>IF(H428&lt;&gt;0,SUM(H$2:H428),0)</f>
        <v>0</v>
      </c>
      <c r="L428" s="25">
        <f>IF(I428&lt;&gt;0,SUM(I$2:I428),0)</f>
        <v>0</v>
      </c>
      <c r="M428" s="25">
        <f>IF(J428&lt;&gt;0,SUM(J$2:J428),0)</f>
        <v>0</v>
      </c>
    </row>
    <row r="429" spans="1:13" hidden="1" x14ac:dyDescent="0.2">
      <c r="A429" s="5">
        <v>45896</v>
      </c>
      <c r="C429" s="6" t="s">
        <v>256</v>
      </c>
      <c r="D429" s="7">
        <v>2000</v>
      </c>
      <c r="E429" s="15">
        <v>15.21</v>
      </c>
      <c r="G429" s="25">
        <f t="shared" si="6"/>
        <v>30420</v>
      </c>
      <c r="H429" s="25">
        <f t="array" ref="H429">IF(A429=A428,0,SUM(_xlfn._xlws.FILTER(G429:G449,A429:A449=A429)))</f>
        <v>0</v>
      </c>
      <c r="I429" s="25">
        <f t="array" ref="I429">IFERROR(IF(A429=A428,0,SUM(_xlfn._xlws.FILTER(G429:G449,(A429:A449=A429)*(E429:E449&lt;0)))),0)</f>
        <v>0</v>
      </c>
      <c r="J429" s="25">
        <f t="array" ref="J429">IFERROR(IF(A429=A428,0,SUM(_xlfn._xlws.FILTER(G429:G449,(A429:A449=A429)*(E429:E449&gt;0)))),0)</f>
        <v>0</v>
      </c>
      <c r="K429" s="25">
        <f>IF(H429&lt;&gt;0,SUM(H$2:H429),0)</f>
        <v>0</v>
      </c>
      <c r="L429" s="25">
        <f>IF(I429&lt;&gt;0,SUM(I$2:I429),0)</f>
        <v>0</v>
      </c>
      <c r="M429" s="25">
        <f>IF(J429&lt;&gt;0,SUM(J$2:J429),0)</f>
        <v>0</v>
      </c>
    </row>
    <row r="430" spans="1:13" hidden="1" x14ac:dyDescent="0.2">
      <c r="A430" s="1">
        <v>45897</v>
      </c>
      <c r="C430" s="2" t="s">
        <v>45</v>
      </c>
      <c r="D430" s="3">
        <v>1500</v>
      </c>
      <c r="E430" s="16">
        <v>23.24</v>
      </c>
      <c r="G430" s="25">
        <f t="shared" si="6"/>
        <v>34860</v>
      </c>
      <c r="H430" s="25">
        <f t="array" ref="H430">IF(A430=A429,0,SUM(_xlfn._xlws.FILTER(G430:G450,A430:A450=A430)))</f>
        <v>34860</v>
      </c>
      <c r="I430" s="25">
        <f t="array" ref="I430">IFERROR(IF(A430=A429,0,SUM(_xlfn._xlws.FILTER(G430:G450,(A430:A450=A430)*(E430:E450&lt;0)))),0)</f>
        <v>0</v>
      </c>
      <c r="J430" s="25">
        <f t="array" ref="J430">IFERROR(IF(A430=A429,0,SUM(_xlfn._xlws.FILTER(G430:G450,(A430:A450=A430)*(E430:E450&gt;0)))),0)</f>
        <v>34860</v>
      </c>
      <c r="K430" s="25">
        <f>IF(H430&lt;&gt;0,SUM(H$2:H430),0)</f>
        <v>-3106375.0325729996</v>
      </c>
      <c r="L430" s="25">
        <f>IF(I430&lt;&gt;0,SUM(I$2:I430),0)</f>
        <v>0</v>
      </c>
      <c r="M430" s="25">
        <f>IF(J430&lt;&gt;0,SUM(J$2:J430),0)</f>
        <v>16914604.184500005</v>
      </c>
    </row>
    <row r="431" spans="1:13" hidden="1" x14ac:dyDescent="0.2">
      <c r="A431" s="5">
        <v>45898</v>
      </c>
      <c r="C431" s="6" t="s">
        <v>41</v>
      </c>
      <c r="D431" s="7">
        <v>660</v>
      </c>
      <c r="E431" s="15">
        <v>-67.180000000000007</v>
      </c>
      <c r="G431" s="25">
        <f t="shared" si="6"/>
        <v>-44338.8</v>
      </c>
      <c r="H431" s="25">
        <f t="array" ref="H431">IF(A431=A430,0,SUM(_xlfn._xlws.FILTER(G431:G451,A431:A451=A431)))</f>
        <v>-5618.8000000000029</v>
      </c>
      <c r="I431" s="25">
        <f t="array" ref="I431">IFERROR(IF(A431=A430,0,SUM(_xlfn._xlws.FILTER(G431:G451,(A431:A451=A431)*(E431:E451&lt;0)))),0)</f>
        <v>-44338.8</v>
      </c>
      <c r="J431" s="25">
        <f t="array" ref="J431">IFERROR(IF(A431=A430,0,SUM(_xlfn._xlws.FILTER(G431:G451,(A431:A451=A431)*(E431:E451&gt;0)))),0)</f>
        <v>38720</v>
      </c>
      <c r="K431" s="25">
        <f>IF(H431&lt;&gt;0,SUM(H$2:H431),0)</f>
        <v>-3111993.8325729994</v>
      </c>
      <c r="L431" s="25">
        <f>IF(I431&lt;&gt;0,SUM(I$2:I431),0)</f>
        <v>-20065318.017073005</v>
      </c>
      <c r="M431" s="25">
        <f>IF(J431&lt;&gt;0,SUM(J$2:J431),0)</f>
        <v>16953324.184500005</v>
      </c>
    </row>
    <row r="432" spans="1:13" hidden="1" x14ac:dyDescent="0.2">
      <c r="A432" s="5">
        <v>45898</v>
      </c>
      <c r="C432" s="6" t="s">
        <v>185</v>
      </c>
      <c r="D432" s="7">
        <v>1000</v>
      </c>
      <c r="E432" s="15">
        <v>38.72</v>
      </c>
      <c r="G432" s="25">
        <f t="shared" si="6"/>
        <v>38720</v>
      </c>
      <c r="H432" s="25">
        <f t="array" ref="H432">IF(A432=A431,0,SUM(_xlfn._xlws.FILTER(G432:G452,A432:A452=A432)))</f>
        <v>0</v>
      </c>
      <c r="I432" s="25">
        <f t="array" ref="I432">IFERROR(IF(A432=A431,0,SUM(_xlfn._xlws.FILTER(G432:G452,(A432:A452=A432)*(E432:E452&lt;0)))),0)</f>
        <v>0</v>
      </c>
      <c r="J432" s="25">
        <f t="array" ref="J432">IFERROR(IF(A432=A431,0,SUM(_xlfn._xlws.FILTER(G432:G452,(A432:A452=A432)*(E432:E452&gt;0)))),0)</f>
        <v>0</v>
      </c>
      <c r="K432" s="25">
        <f>IF(H432&lt;&gt;0,SUM(H$2:H432),0)</f>
        <v>0</v>
      </c>
      <c r="L432" s="25">
        <f>IF(I432&lt;&gt;0,SUM(I$2:I432),0)</f>
        <v>0</v>
      </c>
      <c r="M432" s="25">
        <f>IF(J432&lt;&gt;0,SUM(J$2:J432),0)</f>
        <v>0</v>
      </c>
    </row>
    <row r="433" spans="1:13" hidden="1" x14ac:dyDescent="0.2">
      <c r="A433" s="1">
        <v>45902</v>
      </c>
      <c r="C433" s="2" t="s">
        <v>288</v>
      </c>
      <c r="D433" s="3">
        <v>5000</v>
      </c>
      <c r="E433" s="16">
        <v>-14.82</v>
      </c>
      <c r="G433" s="25">
        <f t="shared" si="6"/>
        <v>-74100</v>
      </c>
      <c r="H433" s="25">
        <f t="array" ref="H433">IF(A433=A432,0,SUM(_xlfn._xlws.FILTER(G433:G453,A433:A453=A433)))</f>
        <v>-507190</v>
      </c>
      <c r="I433" s="25">
        <f t="array" ref="I433">IFERROR(IF(A433=A432,0,SUM(_xlfn._xlws.FILTER(G433:G453,(A433:A453=A433)*(E433:E453&lt;0)))),0)</f>
        <v>-507190</v>
      </c>
      <c r="J433" s="25">
        <f t="array" ref="J433">IFERROR(IF(A433=A432,0,SUM(_xlfn._xlws.FILTER(G433:G453,(A433:A453=A433)*(E433:E453&gt;0)))),0)</f>
        <v>0</v>
      </c>
      <c r="K433" s="25">
        <f>IF(H433&lt;&gt;0,SUM(H$2:H433),0)</f>
        <v>-3619183.8325729994</v>
      </c>
      <c r="L433" s="25">
        <f>IF(I433&lt;&gt;0,SUM(I$2:I433),0)</f>
        <v>-20572508.017073005</v>
      </c>
      <c r="M433" s="25">
        <f>IF(J433&lt;&gt;0,SUM(J$2:J433),0)</f>
        <v>0</v>
      </c>
    </row>
    <row r="434" spans="1:13" hidden="1" x14ac:dyDescent="0.2">
      <c r="A434" s="1">
        <v>45902</v>
      </c>
      <c r="C434" s="2" t="s">
        <v>122</v>
      </c>
      <c r="D434" s="3">
        <v>10000</v>
      </c>
      <c r="E434" s="16">
        <v>-480.9</v>
      </c>
      <c r="G434" s="25">
        <f t="shared" si="6"/>
        <v>-48090</v>
      </c>
      <c r="H434" s="25">
        <f t="array" ref="H434">IF(A434=A433,0,SUM(_xlfn._xlws.FILTER(G434:G454,A434:A454=A434)))</f>
        <v>0</v>
      </c>
      <c r="I434" s="25">
        <f t="array" ref="I434">IFERROR(IF(A434=A433,0,SUM(_xlfn._xlws.FILTER(G434:G454,(A434:A454=A434)*(E434:E454&lt;0)))),0)</f>
        <v>0</v>
      </c>
      <c r="J434" s="25">
        <f t="array" ref="J434">IFERROR(IF(A434=A433,0,SUM(_xlfn._xlws.FILTER(G434:G454,(A434:A454=A434)*(E434:E454&gt;0)))),0)</f>
        <v>0</v>
      </c>
      <c r="K434" s="25">
        <f>IF(H434&lt;&gt;0,SUM(H$2:H434),0)</f>
        <v>0</v>
      </c>
      <c r="L434" s="25">
        <f>IF(I434&lt;&gt;0,SUM(I$2:I434),0)</f>
        <v>0</v>
      </c>
      <c r="M434" s="25">
        <f>IF(J434&lt;&gt;0,SUM(J$2:J434),0)</f>
        <v>0</v>
      </c>
    </row>
    <row r="435" spans="1:13" hidden="1" x14ac:dyDescent="0.2">
      <c r="A435" s="1">
        <v>45902</v>
      </c>
      <c r="C435" s="2" t="s">
        <v>155</v>
      </c>
      <c r="D435" s="3">
        <v>5000</v>
      </c>
      <c r="E435" s="16">
        <v>-14.78</v>
      </c>
      <c r="G435" s="25">
        <f t="shared" si="6"/>
        <v>-73900</v>
      </c>
      <c r="H435" s="25">
        <f t="array" ref="H435">IF(A435=A434,0,SUM(_xlfn._xlws.FILTER(G435:G455,A435:A455=A435)))</f>
        <v>0</v>
      </c>
      <c r="I435" s="25">
        <f t="array" ref="I435">IFERROR(IF(A435=A434,0,SUM(_xlfn._xlws.FILTER(G435:G455,(A435:A455=A435)*(E435:E455&lt;0)))),0)</f>
        <v>0</v>
      </c>
      <c r="J435" s="25">
        <f t="array" ref="J435">IFERROR(IF(A435=A434,0,SUM(_xlfn._xlws.FILTER(G435:G455,(A435:A455=A435)*(E435:E455&gt;0)))),0)</f>
        <v>0</v>
      </c>
      <c r="K435" s="25">
        <f>IF(H435&lt;&gt;0,SUM(H$2:H435),0)</f>
        <v>0</v>
      </c>
      <c r="L435" s="25">
        <f>IF(I435&lt;&gt;0,SUM(I$2:I435),0)</f>
        <v>0</v>
      </c>
      <c r="M435" s="25">
        <f>IF(J435&lt;&gt;0,SUM(J$2:J435),0)</f>
        <v>0</v>
      </c>
    </row>
    <row r="436" spans="1:13" hidden="1" x14ac:dyDescent="0.2">
      <c r="A436" s="1">
        <v>45902</v>
      </c>
      <c r="C436" s="2" t="s">
        <v>19</v>
      </c>
      <c r="D436" s="3">
        <v>500</v>
      </c>
      <c r="E436" s="16">
        <v>-622.20000000000005</v>
      </c>
      <c r="G436" s="25">
        <f t="shared" si="6"/>
        <v>-311100</v>
      </c>
      <c r="H436" s="25">
        <f t="array" ref="H436">IF(A436=A435,0,SUM(_xlfn._xlws.FILTER(G436:G456,A436:A456=A436)))</f>
        <v>0</v>
      </c>
      <c r="I436" s="25">
        <f t="array" ref="I436">IFERROR(IF(A436=A435,0,SUM(_xlfn._xlws.FILTER(G436:G456,(A436:A456=A436)*(E436:E456&lt;0)))),0)</f>
        <v>0</v>
      </c>
      <c r="J436" s="25">
        <f t="array" ref="J436">IFERROR(IF(A436=A435,0,SUM(_xlfn._xlws.FILTER(G436:G456,(A436:A456=A436)*(E436:E456&gt;0)))),0)</f>
        <v>0</v>
      </c>
      <c r="K436" s="25">
        <f>IF(H436&lt;&gt;0,SUM(H$2:H436),0)</f>
        <v>0</v>
      </c>
      <c r="L436" s="25">
        <f>IF(I436&lt;&gt;0,SUM(I$2:I436),0)</f>
        <v>0</v>
      </c>
      <c r="M436" s="25">
        <f>IF(J436&lt;&gt;0,SUM(J$2:J436),0)</f>
        <v>0</v>
      </c>
    </row>
    <row r="437" spans="1:13" hidden="1" x14ac:dyDescent="0.2">
      <c r="A437" s="1">
        <v>45904</v>
      </c>
      <c r="C437" s="2" t="s">
        <v>320</v>
      </c>
      <c r="D437" s="3">
        <v>1010</v>
      </c>
      <c r="E437" s="16">
        <v>61.8</v>
      </c>
      <c r="G437" s="25">
        <f t="shared" si="6"/>
        <v>62418</v>
      </c>
      <c r="H437" s="25">
        <f t="array" ref="H437">IF(A437=A436,0,SUM(_xlfn._xlws.FILTER(G437:G457,A437:A457=A437)))</f>
        <v>62418</v>
      </c>
      <c r="I437" s="25">
        <f t="array" ref="I437">IFERROR(IF(A437=A436,0,SUM(_xlfn._xlws.FILTER(G437:G457,(A437:A457=A437)*(E437:E457&lt;0)))),0)</f>
        <v>0</v>
      </c>
      <c r="J437" s="25">
        <f t="array" ref="J437">IFERROR(IF(A437=A436,0,SUM(_xlfn._xlws.FILTER(G437:G457,(A437:A457=A437)*(E437:E457&gt;0)))),0)</f>
        <v>62418</v>
      </c>
      <c r="K437" s="25">
        <f>IF(H437&lt;&gt;0,SUM(H$2:H437),0)</f>
        <v>-3556765.8325729994</v>
      </c>
      <c r="L437" s="25">
        <f>IF(I437&lt;&gt;0,SUM(I$2:I437),0)</f>
        <v>0</v>
      </c>
      <c r="M437" s="25">
        <f>IF(J437&lt;&gt;0,SUM(J$2:J437),0)</f>
        <v>17015742.184500005</v>
      </c>
    </row>
    <row r="438" spans="1:13" ht="16" hidden="1" customHeight="1" x14ac:dyDescent="0.2">
      <c r="A438" s="19">
        <v>45905</v>
      </c>
      <c r="C438" s="20" t="s">
        <v>63</v>
      </c>
      <c r="D438" s="21">
        <v>54</v>
      </c>
      <c r="E438" s="22">
        <v>660.2</v>
      </c>
      <c r="G438" s="25">
        <f t="shared" si="6"/>
        <v>35650.800000000003</v>
      </c>
      <c r="H438" s="25">
        <f t="array" ref="H438">IF(A438=A437,0,SUM(_xlfn._xlws.FILTER(G438:G458,A438:A458=A438)))</f>
        <v>35650.800000000003</v>
      </c>
      <c r="I438" s="25">
        <f t="array" ref="I438">IFERROR(IF(A438=A437,0,SUM(_xlfn._xlws.FILTER(G438:G458,(A438:A458=A438)*(E438:E458&lt;0)))),0)</f>
        <v>0</v>
      </c>
      <c r="J438" s="25">
        <f t="array" ref="J438">IFERROR(IF(A438=A437,0,SUM(_xlfn._xlws.FILTER(G438:G458,(A438:A458=A438)*(E438:E458&gt;0)))),0)</f>
        <v>35650.800000000003</v>
      </c>
      <c r="K438" s="25">
        <f>IF(H438&lt;&gt;0,SUM(H$2:H438),0)</f>
        <v>-3521115.0325729996</v>
      </c>
      <c r="L438" s="25">
        <f>IF(I438&lt;&gt;0,SUM(I$2:I438),0)</f>
        <v>0</v>
      </c>
      <c r="M438" s="25">
        <f>IF(J438&lt;&gt;0,SUM(J$2:J438),0)</f>
        <v>17051392.984500006</v>
      </c>
    </row>
    <row r="439" spans="1:13" hidden="1" x14ac:dyDescent="0.2">
      <c r="A439" s="1">
        <v>45908</v>
      </c>
      <c r="C439" s="2" t="s">
        <v>19</v>
      </c>
      <c r="D439" s="2">
        <v>200</v>
      </c>
      <c r="E439" s="16">
        <v>667.2</v>
      </c>
      <c r="G439" s="25">
        <f t="shared" si="6"/>
        <v>133440</v>
      </c>
      <c r="H439" s="25">
        <f t="array" ref="H439">IF(A439=A438,0,SUM(_xlfn._xlws.FILTER(G439:G459,A439:A459=A439)))</f>
        <v>133440</v>
      </c>
      <c r="I439" s="25">
        <f t="array" ref="I439">IFERROR(IF(A439=A438,0,SUM(_xlfn._xlws.FILTER(G439:G459,(A439:A459=A439)*(E439:E459&lt;0)))),0)</f>
        <v>0</v>
      </c>
      <c r="J439" s="25">
        <f t="array" ref="J439">IFERROR(IF(A439=A438,0,SUM(_xlfn._xlws.FILTER(G439:G459,(A439:A459=A439)*(E439:E459&gt;0)))),0)</f>
        <v>133440</v>
      </c>
      <c r="K439" s="25">
        <f>IF(H439&lt;&gt;0,SUM(H$2:H439),0)</f>
        <v>-3387675.0325729996</v>
      </c>
      <c r="L439" s="25">
        <f>IF(I439&lt;&gt;0,SUM(I$2:I439),0)</f>
        <v>0</v>
      </c>
      <c r="M439" s="25">
        <f>IF(J439&lt;&gt;0,SUM(J$2:J439),0)</f>
        <v>17184832.984500006</v>
      </c>
    </row>
    <row r="440" spans="1:13" ht="16" hidden="1" customHeight="1" x14ac:dyDescent="0.2">
      <c r="A440" s="19">
        <v>45909</v>
      </c>
      <c r="C440" s="20" t="s">
        <v>52</v>
      </c>
      <c r="D440" s="21">
        <v>250</v>
      </c>
      <c r="E440" s="22">
        <v>194.28</v>
      </c>
      <c r="G440" s="25">
        <f t="shared" si="6"/>
        <v>48570</v>
      </c>
      <c r="H440" s="25">
        <f t="array" ref="H440">IF(A440=A439,0,SUM(_xlfn._xlws.FILTER(G440:G460,A440:A460=A440)))</f>
        <v>48570</v>
      </c>
      <c r="I440" s="25">
        <f t="array" ref="I440">IFERROR(IF(A440=A439,0,SUM(_xlfn._xlws.FILTER(G440:G460,(A440:A460=A440)*(E440:E460&lt;0)))),0)</f>
        <v>0</v>
      </c>
      <c r="J440" s="25">
        <f t="array" ref="J440">IFERROR(IF(A440=A439,0,SUM(_xlfn._xlws.FILTER(G440:G460,(A440:A460=A440)*(E440:E460&gt;0)))),0)</f>
        <v>48570</v>
      </c>
      <c r="K440" s="25">
        <f>IF(H440&lt;&gt;0,SUM(H$2:H440),0)</f>
        <v>-3339105.0325729996</v>
      </c>
      <c r="L440" s="25">
        <f>IF(I440&lt;&gt;0,SUM(I$2:I440),0)</f>
        <v>0</v>
      </c>
      <c r="M440" s="25">
        <f>IF(J440&lt;&gt;0,SUM(J$2:J440),0)</f>
        <v>17233402.984500006</v>
      </c>
    </row>
    <row r="441" spans="1:13" hidden="1" x14ac:dyDescent="0.2">
      <c r="A441" s="1">
        <v>45910</v>
      </c>
      <c r="C441" s="2" t="s">
        <v>230</v>
      </c>
      <c r="D441" s="2">
        <v>2000</v>
      </c>
      <c r="E441" s="16">
        <v>11.41</v>
      </c>
      <c r="G441" s="25">
        <f t="shared" si="6"/>
        <v>22820</v>
      </c>
      <c r="H441" s="25">
        <f t="array" ref="H441">IF(A441=A440,0,SUM(_xlfn._xlws.FILTER(G441:G461,A441:A461=A441)))</f>
        <v>-344649.147</v>
      </c>
      <c r="I441" s="25">
        <f t="array" ref="I441">IFERROR(IF(A441=A440,0,SUM(_xlfn._xlws.FILTER(G441:G461,(A441:A461=A441)*(E441:E461&lt;0)))),0)</f>
        <v>-376719.772</v>
      </c>
      <c r="J441" s="25">
        <f t="array" ref="J441">IFERROR(IF(A441=A440,0,SUM(_xlfn._xlws.FILTER(G441:G461,(A441:A461=A441)*(E441:E461&gt;0)))),0)</f>
        <v>32070.625</v>
      </c>
      <c r="K441" s="25">
        <f>IF(H441&lt;&gt;0,SUM(H$2:H441),0)</f>
        <v>-3683754.1795729995</v>
      </c>
      <c r="L441" s="25">
        <f>IF(I441&lt;&gt;0,SUM(I$2:I441),0)</f>
        <v>-20949227.789073005</v>
      </c>
      <c r="M441" s="25">
        <f>IF(J441&lt;&gt;0,SUM(J$2:J441),0)</f>
        <v>17265473.609500006</v>
      </c>
    </row>
    <row r="442" spans="1:13" hidden="1" x14ac:dyDescent="0.2">
      <c r="A442" s="1">
        <v>45910</v>
      </c>
      <c r="C442" s="2" t="s">
        <v>76</v>
      </c>
      <c r="D442" s="2">
        <v>95</v>
      </c>
      <c r="E442" s="16">
        <v>97.375</v>
      </c>
      <c r="G442" s="25">
        <f t="shared" si="6"/>
        <v>9250.625</v>
      </c>
      <c r="H442" s="25">
        <f t="array" ref="H442">IF(A442=A441,0,SUM(_xlfn._xlws.FILTER(G442:G462,A442:A462=A442)))</f>
        <v>0</v>
      </c>
      <c r="I442" s="25">
        <f t="array" ref="I442">IFERROR(IF(A442=A441,0,SUM(_xlfn._xlws.FILTER(G442:G462,(A442:A462=A442)*(E442:E462&lt;0)))),0)</f>
        <v>0</v>
      </c>
      <c r="J442" s="25">
        <f t="array" ref="J442">IFERROR(IF(A442=A441,0,SUM(_xlfn._xlws.FILTER(G442:G462,(A442:A462=A442)*(E442:E462&gt;0)))),0)</f>
        <v>0</v>
      </c>
      <c r="K442" s="25">
        <f>IF(H442&lt;&gt;0,SUM(H$2:H442),0)</f>
        <v>0</v>
      </c>
      <c r="L442" s="25">
        <f>IF(I442&lt;&gt;0,SUM(I$2:I442),0)</f>
        <v>0</v>
      </c>
      <c r="M442" s="25">
        <f>IF(J442&lt;&gt;0,SUM(J$2:J442),0)</f>
        <v>0</v>
      </c>
    </row>
    <row r="443" spans="1:13" hidden="1" x14ac:dyDescent="0.2">
      <c r="A443" s="1">
        <v>45910</v>
      </c>
      <c r="C443" s="2" t="s">
        <v>25</v>
      </c>
      <c r="D443" s="2">
        <v>4000</v>
      </c>
      <c r="E443" s="16">
        <v>-71.000443000000004</v>
      </c>
      <c r="G443" s="25">
        <f t="shared" si="6"/>
        <v>-284001.772</v>
      </c>
      <c r="H443" s="25">
        <f t="array" ref="H443">IF(A443=A442,0,SUM(_xlfn._xlws.FILTER(G443:G463,A443:A463=A443)))</f>
        <v>0</v>
      </c>
      <c r="I443" s="25">
        <f t="array" ref="I443">IFERROR(IF(A443=A442,0,SUM(_xlfn._xlws.FILTER(G443:G463,(A443:A463=A443)*(E443:E463&lt;0)))),0)</f>
        <v>0</v>
      </c>
      <c r="J443" s="25">
        <f t="array" ref="J443">IFERROR(IF(A443=A442,0,SUM(_xlfn._xlws.FILTER(G443:G463,(A443:A463=A443)*(E443:E463&gt;0)))),0)</f>
        <v>0</v>
      </c>
      <c r="K443" s="25">
        <f>IF(H443&lt;&gt;0,SUM(H$2:H443),0)</f>
        <v>0</v>
      </c>
      <c r="L443" s="25">
        <f>IF(I443&lt;&gt;0,SUM(I$2:I443),0)</f>
        <v>0</v>
      </c>
      <c r="M443" s="25">
        <f>IF(J443&lt;&gt;0,SUM(J$2:J443),0)</f>
        <v>0</v>
      </c>
    </row>
    <row r="444" spans="1:13" hidden="1" x14ac:dyDescent="0.2">
      <c r="A444" s="1">
        <v>45910</v>
      </c>
      <c r="C444" s="2" t="s">
        <v>28</v>
      </c>
      <c r="D444" s="2">
        <v>800</v>
      </c>
      <c r="E444" s="16">
        <v>-115.89749999999999</v>
      </c>
      <c r="G444" s="25">
        <f t="shared" si="6"/>
        <v>-92718</v>
      </c>
      <c r="H444" s="25">
        <f t="array" ref="H444">IF(A444=A443,0,SUM(_xlfn._xlws.FILTER(G444:G464,A444:A464=A444)))</f>
        <v>0</v>
      </c>
      <c r="I444" s="25">
        <f t="array" ref="I444">IFERROR(IF(A444=A443,0,SUM(_xlfn._xlws.FILTER(G444:G464,(A444:A464=A444)*(E444:E464&lt;0)))),0)</f>
        <v>0</v>
      </c>
      <c r="J444" s="25">
        <f t="array" ref="J444">IFERROR(IF(A444=A443,0,SUM(_xlfn._xlws.FILTER(G444:G464,(A444:A464=A444)*(E444:E464&gt;0)))),0)</f>
        <v>0</v>
      </c>
      <c r="K444" s="25">
        <f>IF(H444&lt;&gt;0,SUM(H$2:H444),0)</f>
        <v>0</v>
      </c>
      <c r="L444" s="25">
        <f>IF(I444&lt;&gt;0,SUM(I$2:I444),0)</f>
        <v>0</v>
      </c>
      <c r="M444" s="25">
        <f>IF(J444&lt;&gt;0,SUM(J$2:J444),0)</f>
        <v>0</v>
      </c>
    </row>
    <row r="445" spans="1:13" hidden="1" x14ac:dyDescent="0.2">
      <c r="A445" s="1">
        <v>45911</v>
      </c>
      <c r="C445" s="2" t="s">
        <v>90</v>
      </c>
      <c r="D445" s="2">
        <v>300</v>
      </c>
      <c r="E445" s="16">
        <v>230.35</v>
      </c>
      <c r="G445" s="25">
        <f t="shared" si="6"/>
        <v>69105</v>
      </c>
      <c r="H445" s="25">
        <f t="array" ref="H445">IF(A445=A444,0,SUM(_xlfn._xlws.FILTER(G445:G465,A445:A465=A445)))</f>
        <v>138168</v>
      </c>
      <c r="I445" s="25">
        <f t="array" ref="I445">IFERROR(IF(A445=A444,0,SUM(_xlfn._xlws.FILTER(G445:G465,(A445:A465=A445)*(E445:E465&lt;0)))),0)</f>
        <v>0</v>
      </c>
      <c r="J445" s="25">
        <f t="array" ref="J445">IFERROR(IF(A445=A444,0,SUM(_xlfn._xlws.FILTER(G445:G465,(A445:A465=A445)*(E445:E465&gt;0)))),0)</f>
        <v>138168</v>
      </c>
      <c r="K445" s="25">
        <f>IF(H445&lt;&gt;0,SUM(H$2:H445),0)</f>
        <v>-3545586.1795729995</v>
      </c>
      <c r="L445" s="25">
        <f>IF(I445&lt;&gt;0,SUM(I$2:I445),0)</f>
        <v>0</v>
      </c>
      <c r="M445" s="25">
        <f>IF(J445&lt;&gt;0,SUM(J$2:J445),0)</f>
        <v>17403641.609500006</v>
      </c>
    </row>
    <row r="446" spans="1:13" ht="16" hidden="1" customHeight="1" x14ac:dyDescent="0.2">
      <c r="A446" s="19">
        <v>45911</v>
      </c>
      <c r="C446" s="20" t="s">
        <v>61</v>
      </c>
      <c r="D446" s="21">
        <v>300</v>
      </c>
      <c r="E446" s="22">
        <v>230.21</v>
      </c>
      <c r="G446" s="25">
        <f t="shared" si="6"/>
        <v>69063</v>
      </c>
      <c r="H446" s="25">
        <f t="array" ref="H446">IF(A446=A445,0,SUM(_xlfn._xlws.FILTER(G446:G466,A446:A466=A446)))</f>
        <v>0</v>
      </c>
      <c r="I446" s="25">
        <f t="array" ref="I446">IFERROR(IF(A446=A445,0,SUM(_xlfn._xlws.FILTER(G446:G466,(A446:A466=A446)*(E446:E466&lt;0)))),0)</f>
        <v>0</v>
      </c>
      <c r="J446" s="25">
        <f t="array" ref="J446">IFERROR(IF(A446=A445,0,SUM(_xlfn._xlws.FILTER(G446:G466,(A446:A466=A446)*(E446:E466&gt;0)))),0)</f>
        <v>0</v>
      </c>
      <c r="K446" s="25">
        <f>IF(H446&lt;&gt;0,SUM(H$2:H446),0)</f>
        <v>0</v>
      </c>
      <c r="L446" s="25">
        <f>IF(I446&lt;&gt;0,SUM(I$2:I446),0)</f>
        <v>0</v>
      </c>
      <c r="M446" s="25">
        <f>IF(J446&lt;&gt;0,SUM(J$2:J446),0)</f>
        <v>0</v>
      </c>
    </row>
    <row r="447" spans="1:13" hidden="1" x14ac:dyDescent="0.2">
      <c r="A447" s="1">
        <v>45912</v>
      </c>
      <c r="C447" s="2" t="s">
        <v>155</v>
      </c>
      <c r="D447" s="2">
        <v>3750</v>
      </c>
      <c r="E447" s="16">
        <v>15.53</v>
      </c>
      <c r="G447" s="25">
        <f t="shared" si="6"/>
        <v>58237.5</v>
      </c>
      <c r="H447" s="25">
        <f t="array" ref="H447">IF(A447=A446,0,SUM(_xlfn._xlws.FILTER(G447:G467,A447:A467=A447)))</f>
        <v>216757.5</v>
      </c>
      <c r="I447" s="25">
        <f t="array" ref="I447">IFERROR(IF(A447=A446,0,SUM(_xlfn._xlws.FILTER(G447:G467,(A447:A467=A447)*(E447:E467&lt;0)))),0)</f>
        <v>0</v>
      </c>
      <c r="J447" s="25">
        <f t="array" ref="J447">IFERROR(IF(A447=A446,0,SUM(_xlfn._xlws.FILTER(G447:G467,(A447:A467=A447)*(E447:E467&gt;0)))),0)</f>
        <v>216757.5</v>
      </c>
      <c r="K447" s="25">
        <f>IF(H447&lt;&gt;0,SUM(H$2:H447),0)</f>
        <v>-3328828.6795729995</v>
      </c>
      <c r="L447" s="25">
        <f>IF(I447&lt;&gt;0,SUM(I$2:I447),0)</f>
        <v>0</v>
      </c>
      <c r="M447" s="25">
        <f>IF(J447&lt;&gt;0,SUM(J$2:J447),0)</f>
        <v>17620399.109500006</v>
      </c>
    </row>
    <row r="448" spans="1:13" hidden="1" x14ac:dyDescent="0.2">
      <c r="A448" s="1">
        <v>45912</v>
      </c>
      <c r="C448" s="2" t="s">
        <v>190</v>
      </c>
      <c r="D448" s="2">
        <v>2000</v>
      </c>
      <c r="E448" s="16">
        <v>79.260000000000005</v>
      </c>
      <c r="G448" s="25">
        <f t="shared" si="6"/>
        <v>158520</v>
      </c>
      <c r="H448" s="25">
        <f t="array" ref="H448">IF(A448=A447,0,SUM(_xlfn._xlws.FILTER(G448:G468,A448:A468=A448)))</f>
        <v>0</v>
      </c>
      <c r="I448" s="25">
        <f t="array" ref="I448">IFERROR(IF(A448=A447,0,SUM(_xlfn._xlws.FILTER(G448:G468,(A448:A468=A448)*(E448:E468&lt;0)))),0)</f>
        <v>0</v>
      </c>
      <c r="J448" s="25">
        <f t="array" ref="J448">IFERROR(IF(A448=A447,0,SUM(_xlfn._xlws.FILTER(G448:G468,(A448:A468=A448)*(E448:E468&gt;0)))),0)</f>
        <v>0</v>
      </c>
      <c r="K448" s="25">
        <f>IF(H448&lt;&gt;0,SUM(H$2:H448),0)</f>
        <v>0</v>
      </c>
      <c r="L448" s="25">
        <f>IF(I448&lt;&gt;0,SUM(I$2:I448),0)</f>
        <v>0</v>
      </c>
      <c r="M448" s="25">
        <f>IF(J448&lt;&gt;0,SUM(J$2:J448),0)</f>
        <v>0</v>
      </c>
    </row>
    <row r="449" spans="1:13" ht="16" hidden="1" customHeight="1" x14ac:dyDescent="0.2">
      <c r="A449" s="19">
        <v>45915</v>
      </c>
      <c r="C449" s="20" t="s">
        <v>288</v>
      </c>
      <c r="D449" s="21">
        <v>5000</v>
      </c>
      <c r="E449" s="22">
        <v>15.63</v>
      </c>
      <c r="G449" s="25">
        <f t="shared" si="6"/>
        <v>78150</v>
      </c>
      <c r="H449" s="25">
        <f t="array" ref="H449">IF(A449=A448,0,SUM(_xlfn._xlws.FILTER(G449:G469,A449:A469=A449)))</f>
        <v>224336</v>
      </c>
      <c r="I449" s="25">
        <f t="array" ref="I449">IFERROR(IF(A449=A448,0,SUM(_xlfn._xlws.FILTER(G449:G469,(A449:A469=A449)*(E449:E469&lt;0)))),0)</f>
        <v>-111833.99999999999</v>
      </c>
      <c r="J449" s="25">
        <f t="array" ref="J449">IFERROR(IF(A449=A448,0,SUM(_xlfn._xlws.FILTER(G449:G469,(A449:A469=A449)*(E449:E469&gt;0)))),0)</f>
        <v>336170</v>
      </c>
      <c r="K449" s="25">
        <f>IF(H449&lt;&gt;0,SUM(H$2:H449),0)</f>
        <v>-3104492.6795729995</v>
      </c>
      <c r="L449" s="25">
        <f>IF(I449&lt;&gt;0,SUM(I$2:I449),0)</f>
        <v>-21061061.789073005</v>
      </c>
      <c r="M449" s="25">
        <f>IF(J449&lt;&gt;0,SUM(J$2:J449),0)</f>
        <v>17956569.109500006</v>
      </c>
    </row>
    <row r="450" spans="1:13" ht="16" hidden="1" customHeight="1" x14ac:dyDescent="0.2">
      <c r="A450" s="19">
        <v>45915</v>
      </c>
      <c r="C450" s="20" t="s">
        <v>155</v>
      </c>
      <c r="D450" s="21">
        <v>2500</v>
      </c>
      <c r="E450" s="22">
        <v>15.8</v>
      </c>
      <c r="G450" s="25">
        <f t="shared" ref="G450:G513" si="7">D450*E450*IF(OR(C450="IAG",C450="EZJ",C450="AET"),0.01,1)</f>
        <v>39500</v>
      </c>
      <c r="H450" s="25">
        <f t="array" ref="H450">IF(A450=A449,0,SUM(_xlfn._xlws.FILTER(G450:G470,A450:A470=A450)))</f>
        <v>0</v>
      </c>
      <c r="I450" s="25">
        <f t="array" ref="I450">IFERROR(IF(A450=A449,0,SUM(_xlfn._xlws.FILTER(G450:G470,(A450:A470=A450)*(E450:E470&lt;0)))),0)</f>
        <v>0</v>
      </c>
      <c r="J450" s="25">
        <f t="array" ref="J450">IFERROR(IF(A450=A449,0,SUM(_xlfn._xlws.FILTER(G450:G470,(A450:A470=A450)*(E450:E470&gt;0)))),0)</f>
        <v>0</v>
      </c>
      <c r="K450" s="25">
        <f>IF(H450&lt;&gt;0,SUM(H$2:H450),0)</f>
        <v>0</v>
      </c>
      <c r="L450" s="25">
        <f>IF(I450&lt;&gt;0,SUM(I$2:I450),0)</f>
        <v>0</v>
      </c>
      <c r="M450" s="25">
        <f>IF(J450&lt;&gt;0,SUM(J$2:J450),0)</f>
        <v>0</v>
      </c>
    </row>
    <row r="451" spans="1:13" ht="16" hidden="1" customHeight="1" x14ac:dyDescent="0.2">
      <c r="A451" s="19">
        <v>45915</v>
      </c>
      <c r="C451" s="20" t="s">
        <v>19</v>
      </c>
      <c r="D451" s="21">
        <v>300</v>
      </c>
      <c r="E451" s="22">
        <v>728.4</v>
      </c>
      <c r="G451" s="25">
        <f t="shared" si="7"/>
        <v>218520</v>
      </c>
      <c r="H451" s="25">
        <f t="array" ref="H451">IF(A451=A450,0,SUM(_xlfn._xlws.FILTER(G451:G471,A451:A471=A451)))</f>
        <v>0</v>
      </c>
      <c r="I451" s="25">
        <f t="array" ref="I451">IFERROR(IF(A451=A450,0,SUM(_xlfn._xlws.FILTER(G451:G471,(A451:A471=A451)*(E451:E471&lt;0)))),0)</f>
        <v>0</v>
      </c>
      <c r="J451" s="25">
        <f t="array" ref="J451">IFERROR(IF(A451=A450,0,SUM(_xlfn._xlws.FILTER(G451:G471,(A451:A471=A451)*(E451:E471&gt;0)))),0)</f>
        <v>0</v>
      </c>
      <c r="K451" s="25">
        <f>IF(H451&lt;&gt;0,SUM(H$2:H451),0)</f>
        <v>0</v>
      </c>
      <c r="L451" s="25">
        <f>IF(I451&lt;&gt;0,SUM(I$2:I451),0)</f>
        <v>0</v>
      </c>
      <c r="M451" s="25">
        <f>IF(J451&lt;&gt;0,SUM(J$2:J451),0)</f>
        <v>0</v>
      </c>
    </row>
    <row r="452" spans="1:13" ht="16" hidden="1" customHeight="1" x14ac:dyDescent="0.2">
      <c r="A452" s="19">
        <v>45915</v>
      </c>
      <c r="C452" s="20" t="s">
        <v>125</v>
      </c>
      <c r="D452" s="21">
        <v>600</v>
      </c>
      <c r="E452" s="22">
        <v>-186.39</v>
      </c>
      <c r="G452" s="25">
        <f t="shared" si="7"/>
        <v>-111833.99999999999</v>
      </c>
      <c r="H452" s="25">
        <f t="array" ref="H452">IF(A452=A451,0,SUM(_xlfn._xlws.FILTER(G452:G472,A452:A472=A452)))</f>
        <v>0</v>
      </c>
      <c r="I452" s="25">
        <f t="array" ref="I452">IFERROR(IF(A452=A451,0,SUM(_xlfn._xlws.FILTER(G452:G472,(A452:A472=A452)*(E452:E472&lt;0)))),0)</f>
        <v>0</v>
      </c>
      <c r="J452" s="25">
        <f t="array" ref="J452">IFERROR(IF(A452=A451,0,SUM(_xlfn._xlws.FILTER(G452:G472,(A452:A472=A452)*(E452:E472&gt;0)))),0)</f>
        <v>0</v>
      </c>
      <c r="K452" s="25">
        <f>IF(H452&lt;&gt;0,SUM(H$2:H452),0)</f>
        <v>0</v>
      </c>
      <c r="L452" s="25">
        <f>IF(I452&lt;&gt;0,SUM(I$2:I452),0)</f>
        <v>0</v>
      </c>
      <c r="M452" s="25">
        <f>IF(J452&lt;&gt;0,SUM(J$2:J452),0)</f>
        <v>0</v>
      </c>
    </row>
    <row r="453" spans="1:13" hidden="1" x14ac:dyDescent="0.2">
      <c r="A453" s="1">
        <v>45916</v>
      </c>
      <c r="C453" s="2" t="s">
        <v>45</v>
      </c>
      <c r="D453" s="2">
        <v>2000</v>
      </c>
      <c r="E453" s="16">
        <v>24.46</v>
      </c>
      <c r="G453" s="25">
        <f t="shared" si="7"/>
        <v>48920</v>
      </c>
      <c r="H453" s="25">
        <f t="array" ref="H453">IF(A453=A452,0,SUM(_xlfn._xlws.FILTER(G453:G473,A453:A473=A453)))</f>
        <v>90770</v>
      </c>
      <c r="I453" s="25">
        <f t="array" ref="I453">IFERROR(IF(A453=A452,0,SUM(_xlfn._xlws.FILTER(G453:G473,(A453:A473=A453)*(E453:E473&lt;0)))),0)</f>
        <v>0</v>
      </c>
      <c r="J453" s="25">
        <f t="array" ref="J453">IFERROR(IF(A453=A452,0,SUM(_xlfn._xlws.FILTER(G453:G473,(A453:A473=A453)*(E453:E473&gt;0)))),0)</f>
        <v>90770</v>
      </c>
      <c r="K453" s="25">
        <f>IF(H453&lt;&gt;0,SUM(H$2:H453),0)</f>
        <v>-3013722.6795729995</v>
      </c>
      <c r="L453" s="25">
        <f>IF(I453&lt;&gt;0,SUM(I$2:I453),0)</f>
        <v>0</v>
      </c>
      <c r="M453" s="25">
        <f>IF(J453&lt;&gt;0,SUM(J$2:J453),0)</f>
        <v>18047339.109500006</v>
      </c>
    </row>
    <row r="454" spans="1:13" hidden="1" x14ac:dyDescent="0.2">
      <c r="A454" s="1">
        <v>45916</v>
      </c>
      <c r="C454" s="2" t="s">
        <v>43</v>
      </c>
      <c r="D454" s="2">
        <v>1000</v>
      </c>
      <c r="E454" s="16">
        <v>5.56</v>
      </c>
      <c r="G454" s="25">
        <f t="shared" si="7"/>
        <v>5560</v>
      </c>
      <c r="H454" s="25">
        <f t="array" ref="H454">IF(A454=A453,0,SUM(_xlfn._xlws.FILTER(G454:G474,A454:A474=A454)))</f>
        <v>0</v>
      </c>
      <c r="I454" s="25">
        <f t="array" ref="I454">IFERROR(IF(A454=A453,0,SUM(_xlfn._xlws.FILTER(G454:G474,(A454:A474=A454)*(E454:E474&lt;0)))),0)</f>
        <v>0</v>
      </c>
      <c r="J454" s="25">
        <f t="array" ref="J454">IFERROR(IF(A454=A453,0,SUM(_xlfn._xlws.FILTER(G454:G474,(A454:A474=A454)*(E454:E474&gt;0)))),0)</f>
        <v>0</v>
      </c>
      <c r="K454" s="25">
        <f>IF(H454&lt;&gt;0,SUM(H$2:H454),0)</f>
        <v>0</v>
      </c>
      <c r="L454" s="25">
        <f>IF(I454&lt;&gt;0,SUM(I$2:I454),0)</f>
        <v>0</v>
      </c>
      <c r="M454" s="25">
        <f>IF(J454&lt;&gt;0,SUM(J$2:J454),0)</f>
        <v>0</v>
      </c>
    </row>
    <row r="455" spans="1:13" hidden="1" x14ac:dyDescent="0.2">
      <c r="A455" s="1">
        <v>45916</v>
      </c>
      <c r="C455" s="2" t="s">
        <v>193</v>
      </c>
      <c r="D455" s="2">
        <v>1000</v>
      </c>
      <c r="E455" s="16">
        <v>36.29</v>
      </c>
      <c r="G455" s="25">
        <f t="shared" si="7"/>
        <v>36290</v>
      </c>
      <c r="H455" s="25">
        <f t="array" ref="H455">IF(A455=A454,0,SUM(_xlfn._xlws.FILTER(G455:G475,A455:A475=A455)))</f>
        <v>0</v>
      </c>
      <c r="I455" s="25">
        <f t="array" ref="I455">IFERROR(IF(A455=A454,0,SUM(_xlfn._xlws.FILTER(G455:G475,(A455:A475=A455)*(E455:E475&lt;0)))),0)</f>
        <v>0</v>
      </c>
      <c r="J455" s="25">
        <f t="array" ref="J455">IFERROR(IF(A455=A454,0,SUM(_xlfn._xlws.FILTER(G455:G475,(A455:A475=A455)*(E455:E475&gt;0)))),0)</f>
        <v>0</v>
      </c>
      <c r="K455" s="25">
        <f>IF(H455&lt;&gt;0,SUM(H$2:H455),0)</f>
        <v>0</v>
      </c>
      <c r="L455" s="25">
        <f>IF(I455&lt;&gt;0,SUM(I$2:I455),0)</f>
        <v>0</v>
      </c>
      <c r="M455" s="25">
        <f>IF(J455&lt;&gt;0,SUM(J$2:J455),0)</f>
        <v>0</v>
      </c>
    </row>
    <row r="456" spans="1:13" ht="16" hidden="1" customHeight="1" x14ac:dyDescent="0.2">
      <c r="A456" s="19">
        <v>45917</v>
      </c>
      <c r="C456" s="20" t="s">
        <v>320</v>
      </c>
      <c r="D456" s="21">
        <v>1000</v>
      </c>
      <c r="E456" s="22">
        <v>-60.1</v>
      </c>
      <c r="G456" s="25">
        <f t="shared" si="7"/>
        <v>-60100</v>
      </c>
      <c r="H456" s="25">
        <f t="array" ref="H456">IF(A456=A455,0,SUM(_xlfn._xlws.FILTER(G456:G476,A456:A476=A456)))</f>
        <v>-60100</v>
      </c>
      <c r="I456" s="25">
        <f t="array" ref="I456">IFERROR(IF(A456=A455,0,SUM(_xlfn._xlws.FILTER(G456:G476,(A456:A476=A456)*(E456:E476&lt;0)))),0)</f>
        <v>-60100</v>
      </c>
      <c r="J456" s="25">
        <f t="array" ref="J456">IFERROR(IF(A456=A455,0,SUM(_xlfn._xlws.FILTER(G456:G476,(A456:A476=A456)*(E456:E476&gt;0)))),0)</f>
        <v>0</v>
      </c>
      <c r="K456" s="25">
        <f>IF(H456&lt;&gt;0,SUM(H$2:H456),0)</f>
        <v>-3073822.6795729995</v>
      </c>
      <c r="L456" s="25">
        <f>IF(I456&lt;&gt;0,SUM(I$2:I456),0)</f>
        <v>-21121161.789073005</v>
      </c>
      <c r="M456" s="25">
        <f>IF(J456&lt;&gt;0,SUM(J$2:J456),0)</f>
        <v>0</v>
      </c>
    </row>
    <row r="457" spans="1:13" hidden="1" x14ac:dyDescent="0.2">
      <c r="A457" s="1">
        <v>45918</v>
      </c>
      <c r="C457" s="2" t="s">
        <v>19</v>
      </c>
      <c r="D457" s="2">
        <v>100</v>
      </c>
      <c r="E457" s="16">
        <v>772.4</v>
      </c>
      <c r="G457" s="25">
        <f t="shared" si="7"/>
        <v>77240</v>
      </c>
      <c r="H457" s="25">
        <f t="array" ref="H457">IF(A457=A456,0,SUM(_xlfn._xlws.FILTER(G457:G477,A457:A477=A457)))</f>
        <v>345830</v>
      </c>
      <c r="I457" s="25">
        <f t="array" ref="I457">IFERROR(IF(A457=A456,0,SUM(_xlfn._xlws.FILTER(G457:G477,(A457:A477=A457)*(E457:E477&lt;0)))),0)</f>
        <v>0</v>
      </c>
      <c r="J457" s="25">
        <f t="array" ref="J457">IFERROR(IF(A457=A456,0,SUM(_xlfn._xlws.FILTER(G457:G477,(A457:A477=A457)*(E457:E477&gt;0)))),0)</f>
        <v>345830</v>
      </c>
      <c r="K457" s="25">
        <f>IF(H457&lt;&gt;0,SUM(H$2:H457),0)</f>
        <v>-2727992.6795729995</v>
      </c>
      <c r="L457" s="25">
        <f>IF(I457&lt;&gt;0,SUM(I$2:I457),0)</f>
        <v>0</v>
      </c>
      <c r="M457" s="25">
        <f>IF(J457&lt;&gt;0,SUM(J$2:J457),0)</f>
        <v>18393169.109500006</v>
      </c>
    </row>
    <row r="458" spans="1:13" hidden="1" x14ac:dyDescent="0.2">
      <c r="A458" s="1">
        <v>45918</v>
      </c>
      <c r="C458" s="2" t="s">
        <v>22</v>
      </c>
      <c r="D458" s="2">
        <v>1000</v>
      </c>
      <c r="E458" s="16">
        <v>268.58999999999997</v>
      </c>
      <c r="G458" s="25">
        <f t="shared" si="7"/>
        <v>268590</v>
      </c>
      <c r="H458" s="25">
        <f t="array" ref="H458">IF(A458=A457,0,SUM(_xlfn._xlws.FILTER(G458:G478,A458:A478=A458)))</f>
        <v>0</v>
      </c>
      <c r="I458" s="25">
        <f t="array" ref="I458">IFERROR(IF(A458=A457,0,SUM(_xlfn._xlws.FILTER(G458:G478,(A458:A478=A458)*(E458:E478&lt;0)))),0)</f>
        <v>0</v>
      </c>
      <c r="J458" s="25">
        <f t="array" ref="J458">IFERROR(IF(A458=A457,0,SUM(_xlfn._xlws.FILTER(G458:G478,(A458:A478=A458)*(E458:E478&gt;0)))),0)</f>
        <v>0</v>
      </c>
      <c r="K458" s="25">
        <f>IF(H458&lt;&gt;0,SUM(H$2:H458),0)</f>
        <v>0</v>
      </c>
      <c r="L458" s="25">
        <f>IF(I458&lt;&gt;0,SUM(I$2:I458),0)</f>
        <v>0</v>
      </c>
      <c r="M458" s="25">
        <f>IF(J458&lt;&gt;0,SUM(J$2:J458),0)</f>
        <v>0</v>
      </c>
    </row>
    <row r="459" spans="1:13" hidden="1" x14ac:dyDescent="0.2">
      <c r="A459" s="5">
        <v>45919</v>
      </c>
      <c r="C459" s="6" t="s">
        <v>256</v>
      </c>
      <c r="D459" s="7">
        <v>9990</v>
      </c>
      <c r="E459" s="8">
        <v>-14.92</v>
      </c>
      <c r="G459" s="25">
        <f t="shared" si="7"/>
        <v>-149050.79999999999</v>
      </c>
      <c r="H459" s="25">
        <f t="array" ref="H459">IF(A459=A458,0,SUM(_xlfn._xlws.FILTER(G459:G479,A459:A479=A459)))</f>
        <v>-433371.815</v>
      </c>
      <c r="I459" s="25">
        <f t="array" ref="I459">IFERROR(IF(A459=A458,0,SUM(_xlfn._xlws.FILTER(G459:G479,(A459:A479=A459)*(E459:E479&lt;0)))),0)</f>
        <v>-661815.5</v>
      </c>
      <c r="J459" s="25">
        <f t="array" ref="J459">IFERROR(IF(A459=A458,0,SUM(_xlfn._xlws.FILTER(G459:G479,(A459:A479=A459)*(E459:E479&gt;0)))),0)</f>
        <v>228443.685</v>
      </c>
      <c r="K459" s="25">
        <f>IF(H459&lt;&gt;0,SUM(H$2:H459),0)</f>
        <v>-3161364.4945729994</v>
      </c>
      <c r="L459" s="25">
        <f>IF(I459&lt;&gt;0,SUM(I$2:I459),0)</f>
        <v>-21782977.289073005</v>
      </c>
      <c r="M459" s="25">
        <f>IF(J459&lt;&gt;0,SUM(J$2:J459),0)</f>
        <v>18621612.794500005</v>
      </c>
    </row>
    <row r="460" spans="1:13" hidden="1" x14ac:dyDescent="0.2">
      <c r="A460" s="5">
        <v>45919</v>
      </c>
      <c r="C460" s="6" t="s">
        <v>256</v>
      </c>
      <c r="D460" s="7">
        <v>10010</v>
      </c>
      <c r="E460" s="8">
        <v>-14.87</v>
      </c>
      <c r="G460" s="25">
        <f t="shared" si="7"/>
        <v>-148848.69999999998</v>
      </c>
      <c r="H460" s="25">
        <f t="array" ref="H460">IF(A460=A459,0,SUM(_xlfn._xlws.FILTER(G460:G480,A460:A480=A460)))</f>
        <v>0</v>
      </c>
      <c r="I460" s="25">
        <f t="array" ref="I460">IFERROR(IF(A460=A459,0,SUM(_xlfn._xlws.FILTER(G460:G480,(A460:A480=A460)*(E460:E480&lt;0)))),0)</f>
        <v>0</v>
      </c>
      <c r="J460" s="25">
        <f t="array" ref="J460">IFERROR(IF(A460=A459,0,SUM(_xlfn._xlws.FILTER(G460:G480,(A460:A480=A460)*(E460:E480&gt;0)))),0)</f>
        <v>0</v>
      </c>
      <c r="K460" s="25">
        <f>IF(H460&lt;&gt;0,SUM(H$2:H460),0)</f>
        <v>0</v>
      </c>
      <c r="L460" s="25">
        <f>IF(I460&lt;&gt;0,SUM(I$2:I460),0)</f>
        <v>0</v>
      </c>
      <c r="M460" s="25">
        <f>IF(J460&lt;&gt;0,SUM(J$2:J460),0)</f>
        <v>0</v>
      </c>
    </row>
    <row r="461" spans="1:13" hidden="1" x14ac:dyDescent="0.2">
      <c r="A461" s="5">
        <v>45919</v>
      </c>
      <c r="C461" s="6" t="s">
        <v>122</v>
      </c>
      <c r="D461" s="7">
        <v>20000</v>
      </c>
      <c r="E461" s="8">
        <v>-451.01</v>
      </c>
      <c r="G461" s="25">
        <f t="shared" si="7"/>
        <v>-90202</v>
      </c>
      <c r="H461" s="25">
        <f t="array" ref="H461">IF(A461=A460,0,SUM(_xlfn._xlws.FILTER(G461:G481,A461:A481=A461)))</f>
        <v>0</v>
      </c>
      <c r="I461" s="25">
        <f t="array" ref="I461">IFERROR(IF(A461=A460,0,SUM(_xlfn._xlws.FILTER(G461:G481,(A461:A481=A461)*(E461:E481&lt;0)))),0)</f>
        <v>0</v>
      </c>
      <c r="J461" s="25">
        <f t="array" ref="J461">IFERROR(IF(A461=A460,0,SUM(_xlfn._xlws.FILTER(G461:G481,(A461:A481=A461)*(E461:E481&gt;0)))),0)</f>
        <v>0</v>
      </c>
      <c r="K461" s="25">
        <f>IF(H461&lt;&gt;0,SUM(H$2:H461),0)</f>
        <v>0</v>
      </c>
      <c r="L461" s="25">
        <f>IF(I461&lt;&gt;0,SUM(I$2:I461),0)</f>
        <v>0</v>
      </c>
      <c r="M461" s="25">
        <f>IF(J461&lt;&gt;0,SUM(J$2:J461),0)</f>
        <v>0</v>
      </c>
    </row>
    <row r="462" spans="1:13" hidden="1" x14ac:dyDescent="0.2">
      <c r="A462" s="5">
        <v>45919</v>
      </c>
      <c r="C462" s="6" t="s">
        <v>69</v>
      </c>
      <c r="D462" s="7">
        <v>1200</v>
      </c>
      <c r="E462" s="8">
        <v>13.744999999999999</v>
      </c>
      <c r="G462" s="25">
        <f t="shared" si="7"/>
        <v>16494</v>
      </c>
      <c r="H462" s="25">
        <f t="array" ref="H462">IF(A462=A461,0,SUM(_xlfn._xlws.FILTER(G462:G482,A462:A482=A462)))</f>
        <v>0</v>
      </c>
      <c r="I462" s="25">
        <f t="array" ref="I462">IFERROR(IF(A462=A461,0,SUM(_xlfn._xlws.FILTER(G462:G482,(A462:A482=A462)*(E462:E482&lt;0)))),0)</f>
        <v>0</v>
      </c>
      <c r="J462" s="25">
        <f t="array" ref="J462">IFERROR(IF(A462=A461,0,SUM(_xlfn._xlws.FILTER(G462:G482,(A462:A482=A462)*(E462:E482&gt;0)))),0)</f>
        <v>0</v>
      </c>
      <c r="K462" s="25">
        <f>IF(H462&lt;&gt;0,SUM(H$2:H462),0)</f>
        <v>0</v>
      </c>
      <c r="L462" s="25">
        <f>IF(I462&lt;&gt;0,SUM(I$2:I462),0)</f>
        <v>0</v>
      </c>
      <c r="M462" s="25">
        <f>IF(J462&lt;&gt;0,SUM(J$2:J462),0)</f>
        <v>0</v>
      </c>
    </row>
    <row r="463" spans="1:13" hidden="1" x14ac:dyDescent="0.2">
      <c r="A463" s="5">
        <v>45919</v>
      </c>
      <c r="C463" s="6" t="s">
        <v>19</v>
      </c>
      <c r="D463" s="7">
        <v>100</v>
      </c>
      <c r="E463" s="8">
        <v>790.33199999999999</v>
      </c>
      <c r="G463" s="25">
        <f t="shared" si="7"/>
        <v>79033.2</v>
      </c>
      <c r="H463" s="25">
        <f t="array" ref="H463">IF(A463=A462,0,SUM(_xlfn._xlws.FILTER(G463:G483,A463:A483=A463)))</f>
        <v>0</v>
      </c>
      <c r="I463" s="25">
        <f t="array" ref="I463">IFERROR(IF(A463=A462,0,SUM(_xlfn._xlws.FILTER(G463:G483,(A463:A483=A463)*(E463:E483&lt;0)))),0)</f>
        <v>0</v>
      </c>
      <c r="J463" s="25">
        <f t="array" ref="J463">IFERROR(IF(A463=A462,0,SUM(_xlfn._xlws.FILTER(G463:G483,(A463:A483=A463)*(E463:E483&gt;0)))),0)</f>
        <v>0</v>
      </c>
      <c r="K463" s="25">
        <f>IF(H463&lt;&gt;0,SUM(H$2:H463),0)</f>
        <v>0</v>
      </c>
      <c r="L463" s="25">
        <f>IF(I463&lt;&gt;0,SUM(I$2:I463),0)</f>
        <v>0</v>
      </c>
      <c r="M463" s="25">
        <f>IF(J463&lt;&gt;0,SUM(J$2:J463),0)</f>
        <v>0</v>
      </c>
    </row>
    <row r="464" spans="1:13" hidden="1" x14ac:dyDescent="0.2">
      <c r="A464" s="5">
        <v>45919</v>
      </c>
      <c r="C464" s="6" t="s">
        <v>735</v>
      </c>
      <c r="D464" s="7">
        <v>600</v>
      </c>
      <c r="E464" s="8">
        <v>-76.94</v>
      </c>
      <c r="G464" s="25">
        <f t="shared" si="7"/>
        <v>-46164</v>
      </c>
      <c r="H464" s="25">
        <f t="array" ref="H464">IF(A464=A463,0,SUM(_xlfn._xlws.FILTER(G464:G484,A464:A484=A464)))</f>
        <v>0</v>
      </c>
      <c r="I464" s="25">
        <f t="array" ref="I464">IFERROR(IF(A464=A463,0,SUM(_xlfn._xlws.FILTER(G464:G484,(A464:A484=A464)*(E464:E484&lt;0)))),0)</f>
        <v>0</v>
      </c>
      <c r="J464" s="25">
        <f t="array" ref="J464">IFERROR(IF(A464=A463,0,SUM(_xlfn._xlws.FILTER(G464:G484,(A464:A484=A464)*(E464:E484&gt;0)))),0)</f>
        <v>0</v>
      </c>
      <c r="K464" s="25">
        <f>IF(H464&lt;&gt;0,SUM(H$2:H464),0)</f>
        <v>0</v>
      </c>
      <c r="L464" s="25">
        <f>IF(I464&lt;&gt;0,SUM(I$2:I464),0)</f>
        <v>0</v>
      </c>
      <c r="M464" s="25">
        <f>IF(J464&lt;&gt;0,SUM(J$2:J464),0)</f>
        <v>0</v>
      </c>
    </row>
    <row r="465" spans="1:13" hidden="1" x14ac:dyDescent="0.2">
      <c r="A465" s="5">
        <v>45919</v>
      </c>
      <c r="C465" s="6" t="s">
        <v>55</v>
      </c>
      <c r="D465" s="7">
        <v>100</v>
      </c>
      <c r="E465" s="8">
        <v>592.67999999999995</v>
      </c>
      <c r="G465" s="25">
        <f t="shared" si="7"/>
        <v>59267.999999999993</v>
      </c>
      <c r="H465" s="25">
        <f t="array" ref="H465">IF(A465=A464,0,SUM(_xlfn._xlws.FILTER(G465:G485,A465:A485=A465)))</f>
        <v>0</v>
      </c>
      <c r="I465" s="25">
        <f t="array" ref="I465">IFERROR(IF(A465=A464,0,SUM(_xlfn._xlws.FILTER(G465:G485,(A465:A485=A465)*(E465:E485&lt;0)))),0)</f>
        <v>0</v>
      </c>
      <c r="J465" s="25">
        <f t="array" ref="J465">IFERROR(IF(A465=A464,0,SUM(_xlfn._xlws.FILTER(G465:G485,(A465:A485=A465)*(E465:E485&gt;0)))),0)</f>
        <v>0</v>
      </c>
      <c r="K465" s="25">
        <f>IF(H465&lt;&gt;0,SUM(H$2:H465),0)</f>
        <v>0</v>
      </c>
      <c r="L465" s="25">
        <f>IF(I465&lt;&gt;0,SUM(I$2:I465),0)</f>
        <v>0</v>
      </c>
      <c r="M465" s="25">
        <f>IF(J465&lt;&gt;0,SUM(J$2:J465),0)</f>
        <v>0</v>
      </c>
    </row>
    <row r="466" spans="1:13" hidden="1" x14ac:dyDescent="0.2">
      <c r="A466" s="5">
        <v>45919</v>
      </c>
      <c r="C466" s="6" t="s">
        <v>90</v>
      </c>
      <c r="D466" s="7">
        <v>300</v>
      </c>
      <c r="E466" s="8">
        <v>245.49494999999999</v>
      </c>
      <c r="G466" s="25">
        <f t="shared" si="7"/>
        <v>73648.485000000001</v>
      </c>
      <c r="H466" s="25">
        <f t="array" ref="H466">IF(A466=A465,0,SUM(_xlfn._xlws.FILTER(G466:G486,A466:A486=A466)))</f>
        <v>0</v>
      </c>
      <c r="I466" s="25">
        <f t="array" ref="I466">IFERROR(IF(A466=A465,0,SUM(_xlfn._xlws.FILTER(G466:G486,(A466:A486=A466)*(E466:E486&lt;0)))),0)</f>
        <v>0</v>
      </c>
      <c r="J466" s="25">
        <f t="array" ref="J466">IFERROR(IF(A466=A465,0,SUM(_xlfn._xlws.FILTER(G466:G486,(A466:A486=A466)*(E466:E486&gt;0)))),0)</f>
        <v>0</v>
      </c>
      <c r="K466" s="25">
        <f>IF(H466&lt;&gt;0,SUM(H$2:H466),0)</f>
        <v>0</v>
      </c>
      <c r="L466" s="25">
        <f>IF(I466&lt;&gt;0,SUM(I$2:I466),0)</f>
        <v>0</v>
      </c>
      <c r="M466" s="25">
        <f>IF(J466&lt;&gt;0,SUM(J$2:J466),0)</f>
        <v>0</v>
      </c>
    </row>
    <row r="467" spans="1:13" hidden="1" x14ac:dyDescent="0.2">
      <c r="A467" s="5">
        <v>45919</v>
      </c>
      <c r="C467" s="6" t="s">
        <v>259</v>
      </c>
      <c r="D467" s="7">
        <v>1000</v>
      </c>
      <c r="E467" s="8">
        <v>-227.55</v>
      </c>
      <c r="G467" s="25">
        <f t="shared" si="7"/>
        <v>-227550</v>
      </c>
      <c r="H467" s="25">
        <f t="array" ref="H467">IF(A467=A466,0,SUM(_xlfn._xlws.FILTER(G467:G487,A467:A487=A467)))</f>
        <v>0</v>
      </c>
      <c r="I467" s="25">
        <f t="array" ref="I467">IFERROR(IF(A467=A466,0,SUM(_xlfn._xlws.FILTER(G467:G487,(A467:A487=A467)*(E467:E487&lt;0)))),0)</f>
        <v>0</v>
      </c>
      <c r="J467" s="25">
        <f t="array" ref="J467">IFERROR(IF(A467=A466,0,SUM(_xlfn._xlws.FILTER(G467:G487,(A467:A487=A467)*(E467:E487&gt;0)))),0)</f>
        <v>0</v>
      </c>
      <c r="K467" s="25">
        <f>IF(H467&lt;&gt;0,SUM(H$2:H467),0)</f>
        <v>0</v>
      </c>
      <c r="L467" s="25">
        <f>IF(I467&lt;&gt;0,SUM(I$2:I467),0)</f>
        <v>0</v>
      </c>
      <c r="M467" s="25">
        <f>IF(J467&lt;&gt;0,SUM(J$2:J467),0)</f>
        <v>0</v>
      </c>
    </row>
    <row r="468" spans="1:13" hidden="1" x14ac:dyDescent="0.2">
      <c r="A468" s="1">
        <v>45922</v>
      </c>
      <c r="C468" s="2" t="s">
        <v>19</v>
      </c>
      <c r="D468" s="2">
        <v>100</v>
      </c>
      <c r="E468" s="16">
        <v>814.2</v>
      </c>
      <c r="G468" s="25">
        <f t="shared" si="7"/>
        <v>81420</v>
      </c>
      <c r="H468" s="25">
        <f t="array" ref="H468">IF(A468=A467,0,SUM(_xlfn._xlws.FILTER(G468:G488,A468:A488=A468)))</f>
        <v>54340</v>
      </c>
      <c r="I468" s="25">
        <f t="array" ref="I468">IFERROR(IF(A468=A467,0,SUM(_xlfn._xlws.FILTER(G468:G488,(A468:A488=A468)*(E468:E488&lt;0)))),0)</f>
        <v>-43940</v>
      </c>
      <c r="J468" s="25">
        <f t="array" ref="J468">IFERROR(IF(A468=A467,0,SUM(_xlfn._xlws.FILTER(G468:G488,(A468:A488=A468)*(E468:E488&gt;0)))),0)</f>
        <v>98280</v>
      </c>
      <c r="K468" s="25">
        <f>IF(H468&lt;&gt;0,SUM(H$2:H468),0)</f>
        <v>-3107024.4945729994</v>
      </c>
      <c r="L468" s="25">
        <f>IF(I468&lt;&gt;0,SUM(I$2:I468),0)</f>
        <v>-21826917.289073005</v>
      </c>
      <c r="M468" s="25">
        <f>IF(J468&lt;&gt;0,SUM(J$2:J468),0)</f>
        <v>18719892.794500005</v>
      </c>
    </row>
    <row r="469" spans="1:13" hidden="1" x14ac:dyDescent="0.2">
      <c r="A469" s="1">
        <v>45922</v>
      </c>
      <c r="C469" s="2" t="s">
        <v>265</v>
      </c>
      <c r="D469" s="2">
        <v>1000</v>
      </c>
      <c r="E469" s="16">
        <v>16.86</v>
      </c>
      <c r="G469" s="25">
        <f t="shared" si="7"/>
        <v>16860</v>
      </c>
      <c r="H469" s="25">
        <f t="array" ref="H469">IF(A469=A468,0,SUM(_xlfn._xlws.FILTER(G469:G489,A469:A489=A469)))</f>
        <v>0</v>
      </c>
      <c r="I469" s="25">
        <f t="array" ref="I469">IFERROR(IF(A469=A468,0,SUM(_xlfn._xlws.FILTER(G469:G489,(A469:A489=A469)*(E469:E489&lt;0)))),0)</f>
        <v>0</v>
      </c>
      <c r="J469" s="25">
        <f t="array" ref="J469">IFERROR(IF(A469=A468,0,SUM(_xlfn._xlws.FILTER(G469:G489,(A469:A489=A469)*(E469:E489&gt;0)))),0)</f>
        <v>0</v>
      </c>
      <c r="K469" s="25">
        <f>IF(H469&lt;&gt;0,SUM(H$2:H469),0)</f>
        <v>0</v>
      </c>
      <c r="L469" s="25">
        <f>IF(I469&lt;&gt;0,SUM(I$2:I469),0)</f>
        <v>0</v>
      </c>
      <c r="M469" s="25">
        <f>IF(J469&lt;&gt;0,SUM(J$2:J469),0)</f>
        <v>0</v>
      </c>
    </row>
    <row r="470" spans="1:13" hidden="1" x14ac:dyDescent="0.2">
      <c r="A470" s="1">
        <v>45922</v>
      </c>
      <c r="C470" s="2" t="s">
        <v>629</v>
      </c>
      <c r="D470" s="2">
        <v>13000</v>
      </c>
      <c r="E470" s="16">
        <v>-3.38</v>
      </c>
      <c r="G470" s="25">
        <f t="shared" si="7"/>
        <v>-43940</v>
      </c>
      <c r="H470" s="25">
        <f t="array" ref="H470">IF(A470=A469,0,SUM(_xlfn._xlws.FILTER(G470:G490,A470:A490=A470)))</f>
        <v>0</v>
      </c>
      <c r="I470" s="25">
        <f t="array" ref="I470">IFERROR(IF(A470=A469,0,SUM(_xlfn._xlws.FILTER(G470:G490,(A470:A490=A470)*(E470:E490&lt;0)))),0)</f>
        <v>0</v>
      </c>
      <c r="J470" s="25">
        <f t="array" ref="J470">IFERROR(IF(A470=A469,0,SUM(_xlfn._xlws.FILTER(G470:G490,(A470:A490=A470)*(E470:E490&gt;0)))),0)</f>
        <v>0</v>
      </c>
      <c r="K470" s="25">
        <f>IF(H470&lt;&gt;0,SUM(H$2:H470),0)</f>
        <v>0</v>
      </c>
      <c r="L470" s="25">
        <f>IF(I470&lt;&gt;0,SUM(I$2:I470),0)</f>
        <v>0</v>
      </c>
      <c r="M470" s="25">
        <f>IF(J470&lt;&gt;0,SUM(J$2:J470),0)</f>
        <v>0</v>
      </c>
    </row>
    <row r="471" spans="1:13" hidden="1" x14ac:dyDescent="0.2">
      <c r="A471" s="5">
        <v>45923</v>
      </c>
      <c r="C471" s="6" t="s">
        <v>19</v>
      </c>
      <c r="D471" s="7">
        <v>100</v>
      </c>
      <c r="E471" s="8">
        <v>821.4</v>
      </c>
      <c r="G471" s="25">
        <f t="shared" si="7"/>
        <v>82140</v>
      </c>
      <c r="H471" s="25">
        <f t="array" ref="H471">IF(A471=A470,0,SUM(_xlfn._xlws.FILTER(G471:G491,A471:A491=A471)))</f>
        <v>138184</v>
      </c>
      <c r="I471" s="25">
        <f t="array" ref="I471">IFERROR(IF(A471=A470,0,SUM(_xlfn._xlws.FILTER(G471:G491,(A471:A491=A471)*(E471:E491&lt;0)))),0)</f>
        <v>-33340</v>
      </c>
      <c r="J471" s="25">
        <f t="array" ref="J471">IFERROR(IF(A471=A470,0,SUM(_xlfn._xlws.FILTER(G471:G491,(A471:A491=A471)*(E471:E491&gt;0)))),0)</f>
        <v>171524</v>
      </c>
      <c r="K471" s="25">
        <f>IF(H471&lt;&gt;0,SUM(H$2:H471),0)</f>
        <v>-2968840.4945729994</v>
      </c>
      <c r="L471" s="25">
        <f>IF(I471&lt;&gt;0,SUM(I$2:I471),0)</f>
        <v>-21860257.289073005</v>
      </c>
      <c r="M471" s="25">
        <f>IF(J471&lt;&gt;0,SUM(J$2:J471),0)</f>
        <v>18891416.794500005</v>
      </c>
    </row>
    <row r="472" spans="1:13" hidden="1" x14ac:dyDescent="0.2">
      <c r="A472" s="5">
        <v>45923</v>
      </c>
      <c r="C472" s="6" t="s">
        <v>190</v>
      </c>
      <c r="D472" s="7">
        <v>200</v>
      </c>
      <c r="E472" s="8">
        <v>85.32</v>
      </c>
      <c r="G472" s="25">
        <f t="shared" si="7"/>
        <v>17064</v>
      </c>
      <c r="H472" s="25">
        <f t="array" ref="H472">IF(A472=A471,0,SUM(_xlfn._xlws.FILTER(G472:G492,A472:A492=A472)))</f>
        <v>0</v>
      </c>
      <c r="I472" s="25">
        <f t="array" ref="I472">IFERROR(IF(A472=A471,0,SUM(_xlfn._xlws.FILTER(G472:G492,(A472:A492=A472)*(E472:E492&lt;0)))),0)</f>
        <v>0</v>
      </c>
      <c r="J472" s="25">
        <f t="array" ref="J472">IFERROR(IF(A472=A471,0,SUM(_xlfn._xlws.FILTER(G472:G492,(A472:A492=A472)*(E472:E492&gt;0)))),0)</f>
        <v>0</v>
      </c>
      <c r="K472" s="25">
        <f>IF(H472&lt;&gt;0,SUM(H$2:H472),0)</f>
        <v>0</v>
      </c>
      <c r="L472" s="25">
        <f>IF(I472&lt;&gt;0,SUM(I$2:I472),0)</f>
        <v>0</v>
      </c>
      <c r="M472" s="25">
        <f>IF(J472&lt;&gt;0,SUM(J$2:J472),0)</f>
        <v>0</v>
      </c>
    </row>
    <row r="473" spans="1:13" hidden="1" x14ac:dyDescent="0.2">
      <c r="A473" s="5">
        <v>45923</v>
      </c>
      <c r="C473" s="6" t="s">
        <v>125</v>
      </c>
      <c r="D473" s="7">
        <v>200</v>
      </c>
      <c r="E473" s="8">
        <v>-166.7</v>
      </c>
      <c r="G473" s="25">
        <f t="shared" si="7"/>
        <v>-33340</v>
      </c>
      <c r="H473" s="25">
        <f t="array" ref="H473">IF(A473=A472,0,SUM(_xlfn._xlws.FILTER(G473:G493,A473:A493=A473)))</f>
        <v>0</v>
      </c>
      <c r="I473" s="25">
        <f t="array" ref="I473">IFERROR(IF(A473=A472,0,SUM(_xlfn._xlws.FILTER(G473:G493,(A473:A493=A473)*(E473:E493&lt;0)))),0)</f>
        <v>0</v>
      </c>
      <c r="J473" s="25">
        <f t="array" ref="J473">IFERROR(IF(A473=A472,0,SUM(_xlfn._xlws.FILTER(G473:G493,(A473:A493=A473)*(E473:E493&gt;0)))),0)</f>
        <v>0</v>
      </c>
      <c r="K473" s="25">
        <f>IF(H473&lt;&gt;0,SUM(H$2:H473),0)</f>
        <v>0</v>
      </c>
      <c r="L473" s="25">
        <f>IF(I473&lt;&gt;0,SUM(I$2:I473),0)</f>
        <v>0</v>
      </c>
      <c r="M473" s="25">
        <f>IF(J473&lt;&gt;0,SUM(J$2:J473),0)</f>
        <v>0</v>
      </c>
    </row>
    <row r="474" spans="1:13" hidden="1" x14ac:dyDescent="0.2">
      <c r="A474" s="5">
        <v>45923</v>
      </c>
      <c r="C474" s="6" t="s">
        <v>25</v>
      </c>
      <c r="D474" s="7">
        <v>1000</v>
      </c>
      <c r="E474" s="8">
        <v>72.319999999999993</v>
      </c>
      <c r="G474" s="25">
        <f t="shared" si="7"/>
        <v>72320</v>
      </c>
      <c r="H474" s="25">
        <f t="array" ref="H474">IF(A474=A473,0,SUM(_xlfn._xlws.FILTER(G474:G494,A474:A494=A474)))</f>
        <v>0</v>
      </c>
      <c r="I474" s="25">
        <f t="array" ref="I474">IFERROR(IF(A474=A473,0,SUM(_xlfn._xlws.FILTER(G474:G494,(A474:A494=A474)*(E474:E494&lt;0)))),0)</f>
        <v>0</v>
      </c>
      <c r="J474" s="25">
        <f t="array" ref="J474">IFERROR(IF(A474=A473,0,SUM(_xlfn._xlws.FILTER(G474:G494,(A474:A494=A474)*(E474:E494&gt;0)))),0)</f>
        <v>0</v>
      </c>
      <c r="K474" s="25">
        <f>IF(H474&lt;&gt;0,SUM(H$2:H474),0)</f>
        <v>0</v>
      </c>
      <c r="L474" s="25">
        <f>IF(I474&lt;&gt;0,SUM(I$2:I474),0)</f>
        <v>0</v>
      </c>
      <c r="M474" s="25">
        <f>IF(J474&lt;&gt;0,SUM(J$2:J474),0)</f>
        <v>0</v>
      </c>
    </row>
    <row r="475" spans="1:13" hidden="1" x14ac:dyDescent="0.2">
      <c r="A475" s="1">
        <v>45924</v>
      </c>
      <c r="C475" s="2" t="s">
        <v>19</v>
      </c>
      <c r="D475" s="2">
        <v>200</v>
      </c>
      <c r="E475" s="2">
        <v>824.25</v>
      </c>
      <c r="G475" s="25">
        <f t="shared" si="7"/>
        <v>164850</v>
      </c>
      <c r="H475" s="25">
        <f t="array" ref="H475">IF(A475=A474,0,SUM(_xlfn._xlws.FILTER(G475:G495,A475:A495=A475)))</f>
        <v>87501</v>
      </c>
      <c r="I475" s="25">
        <f t="array" ref="I475">IFERROR(IF(A475=A474,0,SUM(_xlfn._xlws.FILTER(G475:G495,(A475:A495=A475)*(E475:E495&lt;0)))),0)</f>
        <v>-77349</v>
      </c>
      <c r="J475" s="25">
        <f t="array" ref="J475">IFERROR(IF(A475=A474,0,SUM(_xlfn._xlws.FILTER(G475:G495,(A475:A495=A475)*(E475:E495&gt;0)))),0)</f>
        <v>164850</v>
      </c>
      <c r="K475" s="25">
        <f>IF(H475&lt;&gt;0,SUM(H$2:H475),0)</f>
        <v>-2881339.4945729994</v>
      </c>
      <c r="L475" s="25">
        <f>IF(I475&lt;&gt;0,SUM(I$2:I475),0)</f>
        <v>-21937606.289073005</v>
      </c>
      <c r="M475" s="25">
        <f>IF(J475&lt;&gt;0,SUM(J$2:J475),0)</f>
        <v>19056266.794500005</v>
      </c>
    </row>
    <row r="476" spans="1:13" hidden="1" x14ac:dyDescent="0.2">
      <c r="A476" s="1">
        <v>45924</v>
      </c>
      <c r="C476" s="2" t="s">
        <v>178</v>
      </c>
      <c r="D476" s="2">
        <v>4000</v>
      </c>
      <c r="E476" s="16">
        <v>-5.19</v>
      </c>
      <c r="G476" s="25">
        <f t="shared" si="7"/>
        <v>-20760</v>
      </c>
      <c r="H476" s="25">
        <f t="array" ref="H476">IF(A476=A475,0,SUM(_xlfn._xlws.FILTER(G476:G496,A476:A496=A476)))</f>
        <v>0</v>
      </c>
      <c r="I476" s="25">
        <f t="array" ref="I476">IFERROR(IF(A476=A475,0,SUM(_xlfn._xlws.FILTER(G476:G496,(A476:A496=A476)*(E476:E496&lt;0)))),0)</f>
        <v>0</v>
      </c>
      <c r="J476" s="25">
        <f t="array" ref="J476">IFERROR(IF(A476=A475,0,SUM(_xlfn._xlws.FILTER(G476:G496,(A476:A496=A476)*(E476:E496&gt;0)))),0)</f>
        <v>0</v>
      </c>
      <c r="K476" s="25">
        <f>IF(H476&lt;&gt;0,SUM(H$2:H476),0)</f>
        <v>0</v>
      </c>
      <c r="L476" s="25">
        <f>IF(I476&lt;&gt;0,SUM(I$2:I476),0)</f>
        <v>0</v>
      </c>
      <c r="M476" s="25">
        <f>IF(J476&lt;&gt;0,SUM(J$2:J476),0)</f>
        <v>0</v>
      </c>
    </row>
    <row r="477" spans="1:13" hidden="1" x14ac:dyDescent="0.2">
      <c r="A477" s="1">
        <v>45924</v>
      </c>
      <c r="C477" s="2" t="s">
        <v>55</v>
      </c>
      <c r="D477" s="2">
        <v>100</v>
      </c>
      <c r="E477" s="2">
        <v>-565.89</v>
      </c>
      <c r="G477" s="25">
        <f t="shared" si="7"/>
        <v>-56589</v>
      </c>
      <c r="H477" s="25">
        <f t="array" ref="H477">IF(A477=A476,0,SUM(_xlfn._xlws.FILTER(G477:G497,A477:A497=A477)))</f>
        <v>0</v>
      </c>
      <c r="I477" s="25">
        <f t="array" ref="I477">IFERROR(IF(A477=A476,0,SUM(_xlfn._xlws.FILTER(G477:G497,(A477:A497=A477)*(E477:E497&lt;0)))),0)</f>
        <v>0</v>
      </c>
      <c r="J477" s="25">
        <f t="array" ref="J477">IFERROR(IF(A477=A476,0,SUM(_xlfn._xlws.FILTER(G477:G497,(A477:A497=A477)*(E477:E497&gt;0)))),0)</f>
        <v>0</v>
      </c>
      <c r="K477" s="25">
        <f>IF(H477&lt;&gt;0,SUM(H$2:H477),0)</f>
        <v>0</v>
      </c>
      <c r="L477" s="25">
        <f>IF(I477&lt;&gt;0,SUM(I$2:I477),0)</f>
        <v>0</v>
      </c>
      <c r="M477" s="25">
        <f>IF(J477&lt;&gt;0,SUM(J$2:J477),0)</f>
        <v>0</v>
      </c>
    </row>
    <row r="478" spans="1:13" hidden="1" x14ac:dyDescent="0.2">
      <c r="A478" s="5">
        <v>45925</v>
      </c>
      <c r="C478" s="6" t="s">
        <v>19</v>
      </c>
      <c r="D478" s="7">
        <v>200</v>
      </c>
      <c r="E478" s="8">
        <v>-804.9</v>
      </c>
      <c r="G478" s="25">
        <f t="shared" si="7"/>
        <v>-160980</v>
      </c>
      <c r="H478" s="25">
        <f t="array" ref="H478">IF(A478=A477,0,SUM(_xlfn._xlws.FILTER(G478:G498,A478:A498=A478)))</f>
        <v>716.56499999999505</v>
      </c>
      <c r="I478" s="25">
        <f t="array" ref="I478">IFERROR(IF(A478=A477,0,SUM(_xlfn._xlws.FILTER(G478:G498,(A478:A498=A478)*(E478:E498&lt;0)))),0)</f>
        <v>-326680</v>
      </c>
      <c r="J478" s="25">
        <f t="array" ref="J478">IFERROR(IF(A478=A477,0,SUM(_xlfn._xlws.FILTER(G478:G498,(A478:A498=A478)*(E478:E498&gt;0)))),0)</f>
        <v>327396.565</v>
      </c>
      <c r="K478" s="25">
        <f>IF(H478&lt;&gt;0,SUM(H$2:H478),0)</f>
        <v>-2880622.9295729995</v>
      </c>
      <c r="L478" s="25">
        <f>IF(I478&lt;&gt;0,SUM(I$2:I478),0)</f>
        <v>-22264286.289073005</v>
      </c>
      <c r="M478" s="25">
        <f>IF(J478&lt;&gt;0,SUM(J$2:J478),0)</f>
        <v>19383663.359500006</v>
      </c>
    </row>
    <row r="479" spans="1:13" hidden="1" x14ac:dyDescent="0.2">
      <c r="A479" s="5">
        <v>45925</v>
      </c>
      <c r="C479" s="6" t="s">
        <v>320</v>
      </c>
      <c r="D479" s="7">
        <v>2000</v>
      </c>
      <c r="E479" s="8">
        <v>-59.2</v>
      </c>
      <c r="G479" s="25">
        <f t="shared" si="7"/>
        <v>-118400</v>
      </c>
      <c r="H479" s="25">
        <f t="array" ref="H479">IF(A479=A478,0,SUM(_xlfn._xlws.FILTER(G479:G499,A479:A499=A479)))</f>
        <v>0</v>
      </c>
      <c r="I479" s="25">
        <f t="array" ref="I479">IFERROR(IF(A479=A478,0,SUM(_xlfn._xlws.FILTER(G479:G499,(A479:A499=A479)*(E479:E499&lt;0)))),0)</f>
        <v>0</v>
      </c>
      <c r="J479" s="25">
        <f t="array" ref="J479">IFERROR(IF(A479=A478,0,SUM(_xlfn._xlws.FILTER(G479:G499,(A479:A499=A479)*(E479:E499&gt;0)))),0)</f>
        <v>0</v>
      </c>
      <c r="K479" s="25">
        <f>IF(H479&lt;&gt;0,SUM(H$2:H479),0)</f>
        <v>0</v>
      </c>
      <c r="L479" s="25">
        <f>IF(I479&lt;&gt;0,SUM(I$2:I479),0)</f>
        <v>0</v>
      </c>
      <c r="M479" s="25">
        <f>IF(J479&lt;&gt;0,SUM(J$2:J479),0)</f>
        <v>0</v>
      </c>
    </row>
    <row r="480" spans="1:13" hidden="1" x14ac:dyDescent="0.2">
      <c r="A480" s="5">
        <v>45925</v>
      </c>
      <c r="C480" s="6" t="s">
        <v>288</v>
      </c>
      <c r="D480" s="7">
        <v>12000</v>
      </c>
      <c r="E480" s="8">
        <v>15.96</v>
      </c>
      <c r="G480" s="25">
        <f t="shared" si="7"/>
        <v>191520</v>
      </c>
      <c r="H480" s="25">
        <f t="array" ref="H480">IF(A480=A479,0,SUM(_xlfn._xlws.FILTER(G480:G500,A480:A500=A480)))</f>
        <v>0</v>
      </c>
      <c r="I480" s="25">
        <f t="array" ref="I480">IFERROR(IF(A480=A479,0,SUM(_xlfn._xlws.FILTER(G480:G500,(A480:A500=A480)*(E480:E500&lt;0)))),0)</f>
        <v>0</v>
      </c>
      <c r="J480" s="25">
        <f t="array" ref="J480">IFERROR(IF(A480=A479,0,SUM(_xlfn._xlws.FILTER(G480:G500,(A480:A500=A480)*(E480:E500&gt;0)))),0)</f>
        <v>0</v>
      </c>
      <c r="K480" s="25">
        <f>IF(H480&lt;&gt;0,SUM(H$2:H480),0)</f>
        <v>0</v>
      </c>
      <c r="L480" s="25">
        <f>IF(I480&lt;&gt;0,SUM(I$2:I480),0)</f>
        <v>0</v>
      </c>
      <c r="M480" s="25">
        <f>IF(J480&lt;&gt;0,SUM(J$2:J480),0)</f>
        <v>0</v>
      </c>
    </row>
    <row r="481" spans="1:13" hidden="1" x14ac:dyDescent="0.2">
      <c r="A481" s="5">
        <v>45925</v>
      </c>
      <c r="C481" s="6" t="s">
        <v>176</v>
      </c>
      <c r="D481" s="7">
        <v>249</v>
      </c>
      <c r="E481" s="8">
        <v>74.685000000000002</v>
      </c>
      <c r="G481" s="25">
        <f t="shared" si="7"/>
        <v>18596.565000000002</v>
      </c>
      <c r="H481" s="25">
        <f t="array" ref="H481">IF(A481=A480,0,SUM(_xlfn._xlws.FILTER(G481:G501,A481:A501=A481)))</f>
        <v>0</v>
      </c>
      <c r="I481" s="25">
        <f t="array" ref="I481">IFERROR(IF(A481=A480,0,SUM(_xlfn._xlws.FILTER(G481:G501,(A481:A501=A481)*(E481:E501&lt;0)))),0)</f>
        <v>0</v>
      </c>
      <c r="J481" s="25">
        <f t="array" ref="J481">IFERROR(IF(A481=A480,0,SUM(_xlfn._xlws.FILTER(G481:G501,(A481:A501=A481)*(E481:E501&gt;0)))),0)</f>
        <v>0</v>
      </c>
      <c r="K481" s="25">
        <f>IF(H481&lt;&gt;0,SUM(H$2:H481),0)</f>
        <v>0</v>
      </c>
      <c r="L481" s="25">
        <f>IF(I481&lt;&gt;0,SUM(I$2:I481),0)</f>
        <v>0</v>
      </c>
      <c r="M481" s="25">
        <f>IF(J481&lt;&gt;0,SUM(J$2:J481),0)</f>
        <v>0</v>
      </c>
    </row>
    <row r="482" spans="1:13" hidden="1" x14ac:dyDescent="0.2">
      <c r="A482" s="5">
        <v>45925</v>
      </c>
      <c r="C482" s="6" t="s">
        <v>566</v>
      </c>
      <c r="D482" s="7">
        <v>28000</v>
      </c>
      <c r="E482" s="8">
        <v>1.52</v>
      </c>
      <c r="G482" s="25">
        <f t="shared" si="7"/>
        <v>42560</v>
      </c>
      <c r="H482" s="25">
        <f t="array" ref="H482">IF(A482=A481,0,SUM(_xlfn._xlws.FILTER(G482:G502,A482:A502=A482)))</f>
        <v>0</v>
      </c>
      <c r="I482" s="25">
        <f t="array" ref="I482">IFERROR(IF(A482=A481,0,SUM(_xlfn._xlws.FILTER(G482:G502,(A482:A502=A482)*(E482:E502&lt;0)))),0)</f>
        <v>0</v>
      </c>
      <c r="J482" s="25">
        <f t="array" ref="J482">IFERROR(IF(A482=A481,0,SUM(_xlfn._xlws.FILTER(G482:G502,(A482:A502=A482)*(E482:E502&gt;0)))),0)</f>
        <v>0</v>
      </c>
      <c r="K482" s="25">
        <f>IF(H482&lt;&gt;0,SUM(H$2:H482),0)</f>
        <v>0</v>
      </c>
      <c r="L482" s="25">
        <f>IF(I482&lt;&gt;0,SUM(I$2:I482),0)</f>
        <v>0</v>
      </c>
      <c r="M482" s="25">
        <f>IF(J482&lt;&gt;0,SUM(J$2:J482),0)</f>
        <v>0</v>
      </c>
    </row>
    <row r="483" spans="1:13" hidden="1" x14ac:dyDescent="0.2">
      <c r="A483" s="5">
        <v>45925</v>
      </c>
      <c r="C483" s="6" t="s">
        <v>25</v>
      </c>
      <c r="D483" s="7">
        <v>1000</v>
      </c>
      <c r="E483" s="8">
        <v>74.72</v>
      </c>
      <c r="G483" s="25">
        <f t="shared" si="7"/>
        <v>74720</v>
      </c>
      <c r="H483" s="25">
        <f t="array" ref="H483">IF(A483=A482,0,SUM(_xlfn._xlws.FILTER(G483:G503,A483:A503=A483)))</f>
        <v>0</v>
      </c>
      <c r="I483" s="25">
        <f t="array" ref="I483">IFERROR(IF(A483=A482,0,SUM(_xlfn._xlws.FILTER(G483:G503,(A483:A503=A483)*(E483:E503&lt;0)))),0)</f>
        <v>0</v>
      </c>
      <c r="J483" s="25">
        <f t="array" ref="J483">IFERROR(IF(A483=A482,0,SUM(_xlfn._xlws.FILTER(G483:G503,(A483:A503=A483)*(E483:E503&gt;0)))),0)</f>
        <v>0</v>
      </c>
      <c r="K483" s="25">
        <f>IF(H483&lt;&gt;0,SUM(H$2:H483),0)</f>
        <v>0</v>
      </c>
      <c r="L483" s="25">
        <f>IF(I483&lt;&gt;0,SUM(I$2:I483),0)</f>
        <v>0</v>
      </c>
      <c r="M483" s="25">
        <f>IF(J483&lt;&gt;0,SUM(J$2:J483),0)</f>
        <v>0</v>
      </c>
    </row>
    <row r="484" spans="1:13" hidden="1" x14ac:dyDescent="0.2">
      <c r="A484" s="5">
        <v>45925</v>
      </c>
      <c r="C484" s="6" t="s">
        <v>486</v>
      </c>
      <c r="D484" s="7">
        <v>5000</v>
      </c>
      <c r="E484" s="8">
        <v>-9.4600000000000009</v>
      </c>
      <c r="G484" s="25">
        <f t="shared" si="7"/>
        <v>-47300.000000000007</v>
      </c>
      <c r="H484" s="25">
        <f t="array" ref="H484">IF(A484=A483,0,SUM(_xlfn._xlws.FILTER(G484:G504,A484:A504=A484)))</f>
        <v>0</v>
      </c>
      <c r="I484" s="25">
        <f t="array" ref="I484">IFERROR(IF(A484=A483,0,SUM(_xlfn._xlws.FILTER(G484:G504,(A484:A504=A484)*(E484:E504&lt;0)))),0)</f>
        <v>0</v>
      </c>
      <c r="J484" s="25">
        <f t="array" ref="J484">IFERROR(IF(A484=A483,0,SUM(_xlfn._xlws.FILTER(G484:G504,(A484:A504=A484)*(E484:E504&gt;0)))),0)</f>
        <v>0</v>
      </c>
      <c r="K484" s="25">
        <f>IF(H484&lt;&gt;0,SUM(H$2:H484),0)</f>
        <v>0</v>
      </c>
      <c r="L484" s="25">
        <f>IF(I484&lt;&gt;0,SUM(I$2:I484),0)</f>
        <v>0</v>
      </c>
      <c r="M484" s="25">
        <f>IF(J484&lt;&gt;0,SUM(J$2:J484),0)</f>
        <v>0</v>
      </c>
    </row>
    <row r="485" spans="1:13" hidden="1" x14ac:dyDescent="0.2">
      <c r="A485" s="1">
        <v>45926</v>
      </c>
      <c r="C485" s="2" t="s">
        <v>39</v>
      </c>
      <c r="D485" s="23">
        <v>1000</v>
      </c>
      <c r="E485" s="16">
        <v>-67.2</v>
      </c>
      <c r="G485" s="25">
        <f t="shared" si="7"/>
        <v>-67200</v>
      </c>
      <c r="H485" s="25">
        <f t="array" ref="H485">IF(A485=A484,0,SUM(_xlfn._xlws.FILTER(G485:G505,A485:A505=A485)))</f>
        <v>19473.509999999995</v>
      </c>
      <c r="I485" s="25">
        <f t="array" ref="I485">IFERROR(IF(A485=A484,0,SUM(_xlfn._xlws.FILTER(G485:G505,(A485:A505=A485)*(E485:E505&lt;0)))),0)</f>
        <v>-159537.49</v>
      </c>
      <c r="J485" s="25">
        <f t="array" ref="J485">IFERROR(IF(A485=A484,0,SUM(_xlfn._xlws.FILTER(G485:G505,(A485:A505=A485)*(E485:E505&gt;0)))),0)</f>
        <v>179011</v>
      </c>
      <c r="K485" s="25">
        <f>IF(H485&lt;&gt;0,SUM(H$2:H485),0)</f>
        <v>-2861149.4195729997</v>
      </c>
      <c r="L485" s="25">
        <f>IF(I485&lt;&gt;0,SUM(I$2:I485),0)</f>
        <v>-22423823.779073004</v>
      </c>
      <c r="M485" s="25">
        <f>IF(J485&lt;&gt;0,SUM(J$2:J485),0)</f>
        <v>19562674.359500006</v>
      </c>
    </row>
    <row r="486" spans="1:13" hidden="1" x14ac:dyDescent="0.2">
      <c r="A486" s="1">
        <v>45926</v>
      </c>
      <c r="C486" s="2" t="s">
        <v>768</v>
      </c>
      <c r="D486" s="23">
        <v>300</v>
      </c>
      <c r="E486" s="16">
        <v>-117.49</v>
      </c>
      <c r="G486" s="25">
        <f t="shared" si="7"/>
        <v>-35247</v>
      </c>
      <c r="H486" s="25">
        <f t="array" ref="H486">IF(A486=A485,0,SUM(_xlfn._xlws.FILTER(G486:G506,A486:A506=A486)))</f>
        <v>0</v>
      </c>
      <c r="I486" s="25">
        <f t="array" ref="I486">IFERROR(IF(A486=A485,0,SUM(_xlfn._xlws.FILTER(G486:G506,(A486:A506=A486)*(E486:E506&lt;0)))),0)</f>
        <v>0</v>
      </c>
      <c r="J486" s="25">
        <f t="array" ref="J486">IFERROR(IF(A486=A485,0,SUM(_xlfn._xlws.FILTER(G486:G506,(A486:A506=A486)*(E486:E506&gt;0)))),0)</f>
        <v>0</v>
      </c>
      <c r="K486" s="25">
        <f>IF(H486&lt;&gt;0,SUM(H$2:H486),0)</f>
        <v>0</v>
      </c>
      <c r="L486" s="25">
        <f>IF(I486&lt;&gt;0,SUM(I$2:I486),0)</f>
        <v>0</v>
      </c>
      <c r="M486" s="25">
        <f>IF(J486&lt;&gt;0,SUM(J$2:J486),0)</f>
        <v>0</v>
      </c>
    </row>
    <row r="487" spans="1:13" hidden="1" x14ac:dyDescent="0.2">
      <c r="A487" s="1">
        <v>45926</v>
      </c>
      <c r="C487" s="2" t="s">
        <v>278</v>
      </c>
      <c r="D487" s="23">
        <v>200</v>
      </c>
      <c r="E487" s="16">
        <v>511.495</v>
      </c>
      <c r="G487" s="25">
        <f t="shared" si="7"/>
        <v>102299</v>
      </c>
      <c r="H487" s="25">
        <f t="array" ref="H487">IF(A487=A486,0,SUM(_xlfn._xlws.FILTER(G487:G507,A487:A507=A487)))</f>
        <v>0</v>
      </c>
      <c r="I487" s="25">
        <f t="array" ref="I487">IFERROR(IF(A487=A486,0,SUM(_xlfn._xlws.FILTER(G487:G507,(A487:A507=A487)*(E487:E507&lt;0)))),0)</f>
        <v>0</v>
      </c>
      <c r="J487" s="25">
        <f t="array" ref="J487">IFERROR(IF(A487=A486,0,SUM(_xlfn._xlws.FILTER(G487:G507,(A487:A507=A487)*(E487:E507&gt;0)))),0)</f>
        <v>0</v>
      </c>
      <c r="K487" s="25">
        <f>IF(H487&lt;&gt;0,SUM(H$2:H487),0)</f>
        <v>0</v>
      </c>
      <c r="L487" s="25">
        <f>IF(I487&lt;&gt;0,SUM(I$2:I487),0)</f>
        <v>0</v>
      </c>
      <c r="M487" s="25">
        <f>IF(J487&lt;&gt;0,SUM(J$2:J487),0)</f>
        <v>0</v>
      </c>
    </row>
    <row r="488" spans="1:13" hidden="1" x14ac:dyDescent="0.2">
      <c r="A488" s="1">
        <v>45926</v>
      </c>
      <c r="C488" s="2" t="s">
        <v>25</v>
      </c>
      <c r="D488" s="23">
        <v>1000</v>
      </c>
      <c r="E488" s="2">
        <v>76.712000000000003</v>
      </c>
      <c r="G488" s="25">
        <f t="shared" si="7"/>
        <v>76712</v>
      </c>
      <c r="H488" s="25">
        <f t="array" ref="H488">IF(A488=A487,0,SUM(_xlfn._xlws.FILTER(G488:G508,A488:A508=A488)))</f>
        <v>0</v>
      </c>
      <c r="I488" s="25">
        <f t="array" ref="I488">IFERROR(IF(A488=A487,0,SUM(_xlfn._xlws.FILTER(G488:G508,(A488:A508=A488)*(E488:E508&lt;0)))),0)</f>
        <v>0</v>
      </c>
      <c r="J488" s="25">
        <f t="array" ref="J488">IFERROR(IF(A488=A487,0,SUM(_xlfn._xlws.FILTER(G488:G508,(A488:A508=A488)*(E488:E508&gt;0)))),0)</f>
        <v>0</v>
      </c>
      <c r="K488" s="25">
        <f>IF(H488&lt;&gt;0,SUM(H$2:H488),0)</f>
        <v>0</v>
      </c>
      <c r="L488" s="25">
        <f>IF(I488&lt;&gt;0,SUM(I$2:I488),0)</f>
        <v>0</v>
      </c>
      <c r="M488" s="25">
        <f>IF(J488&lt;&gt;0,SUM(J$2:J488),0)</f>
        <v>0</v>
      </c>
    </row>
    <row r="489" spans="1:13" hidden="1" x14ac:dyDescent="0.2">
      <c r="A489" s="1">
        <v>45926</v>
      </c>
      <c r="C489" s="2" t="s">
        <v>185</v>
      </c>
      <c r="D489" s="23">
        <v>2000</v>
      </c>
      <c r="E489" s="2">
        <v>-28.545245000000001</v>
      </c>
      <c r="G489" s="25">
        <f t="shared" si="7"/>
        <v>-57090.490000000005</v>
      </c>
      <c r="H489" s="25">
        <f t="array" ref="H489">IF(A489=A488,0,SUM(_xlfn._xlws.FILTER(G489:G509,A489:A509=A489)))</f>
        <v>0</v>
      </c>
      <c r="I489" s="25">
        <f t="array" ref="I489">IFERROR(IF(A489=A488,0,SUM(_xlfn._xlws.FILTER(G489:G509,(A489:A509=A489)*(E489:E509&lt;0)))),0)</f>
        <v>0</v>
      </c>
      <c r="J489" s="25">
        <f t="array" ref="J489">IFERROR(IF(A489=A488,0,SUM(_xlfn._xlws.FILTER(G489:G509,(A489:A509=A489)*(E489:E509&gt;0)))),0)</f>
        <v>0</v>
      </c>
      <c r="K489" s="25">
        <f>IF(H489&lt;&gt;0,SUM(H$2:H489),0)</f>
        <v>0</v>
      </c>
      <c r="L489" s="25">
        <f>IF(I489&lt;&gt;0,SUM(I$2:I489),0)</f>
        <v>0</v>
      </c>
      <c r="M489" s="25">
        <f>IF(J489&lt;&gt;0,SUM(J$2:J489),0)</f>
        <v>0</v>
      </c>
    </row>
    <row r="490" spans="1:13" hidden="1" x14ac:dyDescent="0.2">
      <c r="A490" s="5">
        <v>45929</v>
      </c>
      <c r="C490" s="6" t="s">
        <v>777</v>
      </c>
      <c r="D490" s="7">
        <v>300</v>
      </c>
      <c r="E490" s="8">
        <v>828.2</v>
      </c>
      <c r="G490" s="25">
        <f t="shared" si="7"/>
        <v>248460</v>
      </c>
      <c r="H490" s="25">
        <f t="array" ref="H490">IF(A490=A489,0,SUM(_xlfn._xlws.FILTER(G490:G510,A490:A510=A490)))</f>
        <v>415462.25</v>
      </c>
      <c r="I490" s="25">
        <f t="array" ref="I490">IFERROR(IF(A490=A489,0,SUM(_xlfn._xlws.FILTER(G490:G510,(A490:A510=A490)*(E490:E510&lt;0)))),0)</f>
        <v>0</v>
      </c>
      <c r="J490" s="25">
        <f t="array" ref="J490">IFERROR(IF(A490=A489,0,SUM(_xlfn._xlws.FILTER(G490:G510,(A490:A510=A490)*(E490:E510&gt;0)))),0)</f>
        <v>415462.25</v>
      </c>
      <c r="K490" s="25">
        <f>IF(H490&lt;&gt;0,SUM(H$2:H490),0)</f>
        <v>-2445687.1695729997</v>
      </c>
      <c r="L490" s="25">
        <f>IF(I490&lt;&gt;0,SUM(I$2:I490),0)</f>
        <v>0</v>
      </c>
      <c r="M490" s="25">
        <f>IF(J490&lt;&gt;0,SUM(J$2:J490),0)</f>
        <v>19978136.609500006</v>
      </c>
    </row>
    <row r="491" spans="1:13" hidden="1" x14ac:dyDescent="0.2">
      <c r="A491" s="5">
        <v>45929</v>
      </c>
      <c r="C491" s="6" t="s">
        <v>116</v>
      </c>
      <c r="D491" s="7">
        <v>200</v>
      </c>
      <c r="E491" s="8">
        <v>221.51499999999999</v>
      </c>
      <c r="G491" s="25">
        <f t="shared" si="7"/>
        <v>44303</v>
      </c>
      <c r="H491" s="25">
        <f t="array" ref="H491">IF(A491=A490,0,SUM(_xlfn._xlws.FILTER(G491:G511,A491:A511=A491)))</f>
        <v>0</v>
      </c>
      <c r="I491" s="25">
        <f t="array" ref="I491">IFERROR(IF(A491=A490,0,SUM(_xlfn._xlws.FILTER(G491:G511,(A491:A511=A491)*(E491:E511&lt;0)))),0)</f>
        <v>0</v>
      </c>
      <c r="J491" s="25">
        <f t="array" ref="J491">IFERROR(IF(A491=A490,0,SUM(_xlfn._xlws.FILTER(G491:G511,(A491:A511=A491)*(E491:E511&gt;0)))),0)</f>
        <v>0</v>
      </c>
      <c r="K491" s="25">
        <f>IF(H491&lt;&gt;0,SUM(H$2:H491),0)</f>
        <v>0</v>
      </c>
      <c r="L491" s="25">
        <f>IF(I491&lt;&gt;0,SUM(I$2:I491),0)</f>
        <v>0</v>
      </c>
      <c r="M491" s="25">
        <f>IF(J491&lt;&gt;0,SUM(J$2:J491),0)</f>
        <v>0</v>
      </c>
    </row>
    <row r="492" spans="1:13" hidden="1" x14ac:dyDescent="0.2">
      <c r="A492" s="5">
        <v>45929</v>
      </c>
      <c r="C492" s="6" t="s">
        <v>278</v>
      </c>
      <c r="D492" s="7">
        <v>200</v>
      </c>
      <c r="E492" s="8">
        <v>515.245</v>
      </c>
      <c r="G492" s="25">
        <f t="shared" si="7"/>
        <v>103049</v>
      </c>
      <c r="H492" s="25">
        <f t="array" ref="H492">IF(A492=A491,0,SUM(_xlfn._xlws.FILTER(G492:G512,A492:A512=A492)))</f>
        <v>0</v>
      </c>
      <c r="I492" s="25">
        <f t="array" ref="I492">IFERROR(IF(A492=A491,0,SUM(_xlfn._xlws.FILTER(G492:G512,(A492:A512=A492)*(E492:E512&lt;0)))),0)</f>
        <v>0</v>
      </c>
      <c r="J492" s="25">
        <f t="array" ref="J492">IFERROR(IF(A492=A491,0,SUM(_xlfn._xlws.FILTER(G492:G512,(A492:A512=A492)*(E492:E512&gt;0)))),0)</f>
        <v>0</v>
      </c>
      <c r="K492" s="25">
        <f>IF(H492&lt;&gt;0,SUM(H$2:H492),0)</f>
        <v>0</v>
      </c>
      <c r="L492" s="25">
        <f>IF(I492&lt;&gt;0,SUM(I$2:I492),0)</f>
        <v>0</v>
      </c>
      <c r="M492" s="25">
        <f>IF(J492&lt;&gt;0,SUM(J$2:J492),0)</f>
        <v>0</v>
      </c>
    </row>
    <row r="493" spans="1:13" hidden="1" x14ac:dyDescent="0.2">
      <c r="A493" s="5">
        <v>45929</v>
      </c>
      <c r="C493" s="6" t="s">
        <v>193</v>
      </c>
      <c r="D493" s="7">
        <v>500</v>
      </c>
      <c r="E493" s="8">
        <v>39.3005</v>
      </c>
      <c r="G493" s="25">
        <f t="shared" si="7"/>
        <v>19650.25</v>
      </c>
      <c r="H493" s="25">
        <f t="array" ref="H493">IF(A493=A492,0,SUM(_xlfn._xlws.FILTER(G493:G513,A493:A513=A493)))</f>
        <v>0</v>
      </c>
      <c r="I493" s="25">
        <f t="array" ref="I493">IFERROR(IF(A493=A492,0,SUM(_xlfn._xlws.FILTER(G493:G513,(A493:A513=A493)*(E493:E513&lt;0)))),0)</f>
        <v>0</v>
      </c>
      <c r="J493" s="25">
        <f t="array" ref="J493">IFERROR(IF(A493=A492,0,SUM(_xlfn._xlws.FILTER(G493:G513,(A493:A513=A493)*(E493:E513&gt;0)))),0)</f>
        <v>0</v>
      </c>
      <c r="K493" s="25">
        <f>IF(H493&lt;&gt;0,SUM(H$2:H493),0)</f>
        <v>0</v>
      </c>
      <c r="L493" s="25">
        <f>IF(I493&lt;&gt;0,SUM(I$2:I493),0)</f>
        <v>0</v>
      </c>
      <c r="M493" s="25">
        <f>IF(J493&lt;&gt;0,SUM(J$2:J493),0)</f>
        <v>0</v>
      </c>
    </row>
    <row r="494" spans="1:13" hidden="1" x14ac:dyDescent="0.2">
      <c r="A494" s="1">
        <v>45931</v>
      </c>
      <c r="C494" s="2" t="s">
        <v>45</v>
      </c>
      <c r="D494" s="2">
        <v>800</v>
      </c>
      <c r="E494" s="2">
        <v>24.82</v>
      </c>
      <c r="G494" s="25">
        <f t="shared" si="7"/>
        <v>19856</v>
      </c>
      <c r="H494" s="25">
        <f t="array" ref="H494">IF(A494=A493,0,SUM(_xlfn._xlws.FILTER(G494:G514,A494:A514=A494)))</f>
        <v>19856</v>
      </c>
      <c r="I494" s="25">
        <f t="array" ref="I494">IFERROR(IF(A494=A493,0,SUM(_xlfn._xlws.FILTER(G494:G514,(A494:A514=A494)*(E494:E514&lt;0)))),0)</f>
        <v>0</v>
      </c>
      <c r="J494" s="25">
        <f t="array" ref="J494">IFERROR(IF(A494=A493,0,SUM(_xlfn._xlws.FILTER(G494:G514,(A494:A514=A494)*(E494:E514&gt;0)))),0)</f>
        <v>19856</v>
      </c>
      <c r="K494" s="25">
        <f>IF(H494&lt;&gt;0,SUM(H$2:H494),0)</f>
        <v>-2425831.1695729997</v>
      </c>
      <c r="L494" s="25">
        <f>IF(I494&lt;&gt;0,SUM(I$2:I494),0)</f>
        <v>0</v>
      </c>
      <c r="M494" s="25">
        <f>IF(J494&lt;&gt;0,SUM(J$2:J494),0)</f>
        <v>19997992.609500006</v>
      </c>
    </row>
    <row r="495" spans="1:13" hidden="1" x14ac:dyDescent="0.2">
      <c r="A495" s="5">
        <v>45932</v>
      </c>
      <c r="C495" s="6" t="s">
        <v>19</v>
      </c>
      <c r="D495" s="7">
        <v>200</v>
      </c>
      <c r="E495" s="8">
        <v>880.6</v>
      </c>
      <c r="G495" s="25">
        <f t="shared" si="7"/>
        <v>176120</v>
      </c>
      <c r="H495" s="25">
        <f t="array" ref="H495">IF(A495=A494,0,SUM(_xlfn._xlws.FILTER(G495:G515,A495:A515=A495)))</f>
        <v>59945</v>
      </c>
      <c r="I495" s="25">
        <f t="array" ref="I495">IFERROR(IF(A495=A494,0,SUM(_xlfn._xlws.FILTER(G495:G515,(A495:A515=A495)*(E495:E515&lt;0)))),0)</f>
        <v>-116175</v>
      </c>
      <c r="J495" s="25">
        <f t="array" ref="J495">IFERROR(IF(A495=A494,0,SUM(_xlfn._xlws.FILTER(G495:G515,(A495:A515=A495)*(E495:E515&gt;0)))),0)</f>
        <v>176120</v>
      </c>
      <c r="K495" s="25">
        <f>IF(H495&lt;&gt;0,SUM(H$2:H495),0)</f>
        <v>-2365886.1695729997</v>
      </c>
      <c r="L495" s="25">
        <f>IF(I495&lt;&gt;0,SUM(I$2:I495),0)</f>
        <v>-22539998.779073004</v>
      </c>
      <c r="M495" s="25">
        <f>IF(J495&lt;&gt;0,SUM(J$2:J495),0)</f>
        <v>20174112.609500006</v>
      </c>
    </row>
    <row r="496" spans="1:13" hidden="1" x14ac:dyDescent="0.2">
      <c r="A496" s="5">
        <v>45932</v>
      </c>
      <c r="C496" s="6" t="s">
        <v>259</v>
      </c>
      <c r="D496" s="7">
        <v>500</v>
      </c>
      <c r="E496" s="8">
        <v>-232.35</v>
      </c>
      <c r="G496" s="25">
        <f t="shared" si="7"/>
        <v>-116175</v>
      </c>
      <c r="H496" s="25">
        <f t="array" ref="H496">IF(A496=A495,0,SUM(_xlfn._xlws.FILTER(G496:G516,A496:A516=A496)))</f>
        <v>0</v>
      </c>
      <c r="I496" s="25">
        <f t="array" ref="I496">IFERROR(IF(A496=A495,0,SUM(_xlfn._xlws.FILTER(G496:G516,(A496:A516=A496)*(E496:E516&lt;0)))),0)</f>
        <v>0</v>
      </c>
      <c r="J496" s="25">
        <f t="array" ref="J496">IFERROR(IF(A496=A495,0,SUM(_xlfn._xlws.FILTER(G496:G516,(A496:A516=A496)*(E496:E516&gt;0)))),0)</f>
        <v>0</v>
      </c>
      <c r="K496" s="25">
        <f>IF(H496&lt;&gt;0,SUM(H$2:H496),0)</f>
        <v>0</v>
      </c>
      <c r="L496" s="25">
        <f>IF(I496&lt;&gt;0,SUM(I$2:I496),0)</f>
        <v>0</v>
      </c>
      <c r="M496" s="25">
        <f>IF(J496&lt;&gt;0,SUM(J$2:J496),0)</f>
        <v>0</v>
      </c>
    </row>
    <row r="497" spans="1:13" hidden="1" x14ac:dyDescent="0.2">
      <c r="A497" s="1">
        <v>45933</v>
      </c>
      <c r="C497" s="2" t="s">
        <v>320</v>
      </c>
      <c r="D497" s="2">
        <v>1000</v>
      </c>
      <c r="E497" s="2">
        <v>60.2</v>
      </c>
      <c r="G497" s="25">
        <f t="shared" si="7"/>
        <v>60200</v>
      </c>
      <c r="H497" s="25">
        <f t="array" ref="H497">IF(A497=A496,0,SUM(_xlfn._xlws.FILTER(G497:G517,A497:A517=A497)))</f>
        <v>98660</v>
      </c>
      <c r="I497" s="25">
        <f t="array" ref="I497">IFERROR(IF(A497=A496,0,SUM(_xlfn._xlws.FILTER(G497:G517,(A497:A517=A497)*(E497:E517&lt;0)))),0)</f>
        <v>0</v>
      </c>
      <c r="J497" s="25">
        <f t="array" ref="J497">IFERROR(IF(A497=A496,0,SUM(_xlfn._xlws.FILTER(G497:G517,(A497:A517=A497)*(E497:E517&gt;0)))),0)</f>
        <v>98660</v>
      </c>
      <c r="K497" s="25">
        <f>IF(H497&lt;&gt;0,SUM(H$2:H497),0)</f>
        <v>-2267226.1695729997</v>
      </c>
      <c r="L497" s="25">
        <f>IF(I497&lt;&gt;0,SUM(I$2:I497),0)</f>
        <v>0</v>
      </c>
      <c r="M497" s="25">
        <f>IF(J497&lt;&gt;0,SUM(J$2:J497),0)</f>
        <v>20272772.609500006</v>
      </c>
    </row>
    <row r="498" spans="1:13" hidden="1" x14ac:dyDescent="0.2">
      <c r="A498" s="1">
        <v>45933</v>
      </c>
      <c r="C498" s="2" t="s">
        <v>139</v>
      </c>
      <c r="D498" s="2">
        <v>10000</v>
      </c>
      <c r="E498" s="2">
        <v>384.6</v>
      </c>
      <c r="G498" s="25">
        <f t="shared" si="7"/>
        <v>38460</v>
      </c>
      <c r="H498" s="25">
        <f t="array" ref="H498">IF(A498=A497,0,SUM(_xlfn._xlws.FILTER(G498:G518,A498:A518=A498)))</f>
        <v>0</v>
      </c>
      <c r="I498" s="25">
        <f t="array" ref="I498">IFERROR(IF(A498=A497,0,SUM(_xlfn._xlws.FILTER(G498:G518,(A498:A518=A498)*(E498:E518&lt;0)))),0)</f>
        <v>0</v>
      </c>
      <c r="J498" s="25">
        <f t="array" ref="J498">IFERROR(IF(A498=A497,0,SUM(_xlfn._xlws.FILTER(G498:G518,(A498:A518=A498)*(E498:E518&gt;0)))),0)</f>
        <v>0</v>
      </c>
      <c r="K498" s="25">
        <f>IF(H498&lt;&gt;0,SUM(H$2:H498),0)</f>
        <v>0</v>
      </c>
      <c r="L498" s="25">
        <f>IF(I498&lt;&gt;0,SUM(I$2:I498),0)</f>
        <v>0</v>
      </c>
      <c r="M498" s="25">
        <f>IF(J498&lt;&gt;0,SUM(J$2:J498),0)</f>
        <v>0</v>
      </c>
    </row>
    <row r="499" spans="1:13" hidden="1" x14ac:dyDescent="0.2">
      <c r="A499" s="5">
        <v>45936</v>
      </c>
      <c r="C499" s="6" t="s">
        <v>155</v>
      </c>
      <c r="D499" s="7">
        <v>3200</v>
      </c>
      <c r="E499" s="8">
        <v>16.12</v>
      </c>
      <c r="G499" s="25">
        <f t="shared" si="7"/>
        <v>51584</v>
      </c>
      <c r="H499" s="25">
        <f t="array" ref="H499">IF(A499=A498,0,SUM(_xlfn._xlws.FILTER(G499:G519,A499:A519=A499)))</f>
        <v>49406.600000000006</v>
      </c>
      <c r="I499" s="25">
        <f t="array" ref="I499">IFERROR(IF(A499=A498,0,SUM(_xlfn._xlws.FILTER(G499:G519,(A499:A519=A499)*(E499:E519&lt;0)))),0)</f>
        <v>-292217.40000000002</v>
      </c>
      <c r="J499" s="25">
        <f t="array" ref="J499">IFERROR(IF(A499=A498,0,SUM(_xlfn._xlws.FILTER(G499:G519,(A499:A519=A499)*(E499:E519&gt;0)))),0)</f>
        <v>341624</v>
      </c>
      <c r="K499" s="25">
        <f>IF(H499&lt;&gt;0,SUM(H$2:H499),0)</f>
        <v>-2217819.5695729996</v>
      </c>
      <c r="L499" s="25">
        <f>IF(I499&lt;&gt;0,SUM(I$2:I499),0)</f>
        <v>-22832216.179073002</v>
      </c>
      <c r="M499" s="25">
        <f>IF(J499&lt;&gt;0,SUM(J$2:J499),0)</f>
        <v>20614396.609500006</v>
      </c>
    </row>
    <row r="500" spans="1:13" hidden="1" x14ac:dyDescent="0.2">
      <c r="A500" s="5">
        <v>45936</v>
      </c>
      <c r="C500" s="6" t="s">
        <v>222</v>
      </c>
      <c r="D500" s="7">
        <v>4000</v>
      </c>
      <c r="E500" s="8">
        <v>15.12</v>
      </c>
      <c r="G500" s="25">
        <f t="shared" si="7"/>
        <v>60480</v>
      </c>
      <c r="H500" s="25">
        <f t="array" ref="H500">IF(A500=A499,0,SUM(_xlfn._xlws.FILTER(G500:G520,A500:A520=A500)))</f>
        <v>0</v>
      </c>
      <c r="I500" s="25">
        <f t="array" ref="I500">IFERROR(IF(A500=A499,0,SUM(_xlfn._xlws.FILTER(G500:G520,(A500:A520=A500)*(E500:E520&lt;0)))),0)</f>
        <v>0</v>
      </c>
      <c r="J500" s="25">
        <f t="array" ref="J500">IFERROR(IF(A500=A499,0,SUM(_xlfn._xlws.FILTER(G500:G520,(A500:A520=A500)*(E500:E520&gt;0)))),0)</f>
        <v>0</v>
      </c>
      <c r="K500" s="25">
        <f>IF(H500&lt;&gt;0,SUM(H$2:H500),0)</f>
        <v>0</v>
      </c>
      <c r="L500" s="25">
        <f>IF(I500&lt;&gt;0,SUM(I$2:I500),0)</f>
        <v>0</v>
      </c>
      <c r="M500" s="25">
        <f>IF(J500&lt;&gt;0,SUM(J$2:J500),0)</f>
        <v>0</v>
      </c>
    </row>
    <row r="501" spans="1:13" hidden="1" x14ac:dyDescent="0.2">
      <c r="A501" s="5">
        <v>45936</v>
      </c>
      <c r="C501" s="6" t="s">
        <v>19</v>
      </c>
      <c r="D501" s="7">
        <v>100</v>
      </c>
      <c r="E501" s="8">
        <v>901.2</v>
      </c>
      <c r="G501" s="25">
        <f t="shared" si="7"/>
        <v>90120</v>
      </c>
      <c r="H501" s="25">
        <f t="array" ref="H501">IF(A501=A500,0,SUM(_xlfn._xlws.FILTER(G501:G521,A501:A521=A501)))</f>
        <v>0</v>
      </c>
      <c r="I501" s="25">
        <f t="array" ref="I501">IFERROR(IF(A501=A500,0,SUM(_xlfn._xlws.FILTER(G501:G521,(A501:A521=A501)*(E501:E521&lt;0)))),0)</f>
        <v>0</v>
      </c>
      <c r="J501" s="25">
        <f t="array" ref="J501">IFERROR(IF(A501=A500,0,SUM(_xlfn._xlws.FILTER(G501:G521,(A501:A521=A501)*(E501:E521&gt;0)))),0)</f>
        <v>0</v>
      </c>
      <c r="K501" s="25">
        <f>IF(H501&lt;&gt;0,SUM(H$2:H501),0)</f>
        <v>0</v>
      </c>
      <c r="L501" s="25">
        <f>IF(I501&lt;&gt;0,SUM(I$2:I501),0)</f>
        <v>0</v>
      </c>
      <c r="M501" s="25">
        <f>IF(J501&lt;&gt;0,SUM(J$2:J501),0)</f>
        <v>0</v>
      </c>
    </row>
    <row r="502" spans="1:13" hidden="1" x14ac:dyDescent="0.2">
      <c r="A502" s="5">
        <v>45936</v>
      </c>
      <c r="C502" s="6" t="s">
        <v>288</v>
      </c>
      <c r="D502" s="7">
        <v>3000</v>
      </c>
      <c r="E502" s="8">
        <v>16.12</v>
      </c>
      <c r="G502" s="25">
        <f t="shared" si="7"/>
        <v>48360</v>
      </c>
      <c r="H502" s="25">
        <f t="array" ref="H502">IF(A502=A501,0,SUM(_xlfn._xlws.FILTER(G502:G522,A502:A522=A502)))</f>
        <v>0</v>
      </c>
      <c r="I502" s="25">
        <f t="array" ref="I502">IFERROR(IF(A502=A501,0,SUM(_xlfn._xlws.FILTER(G502:G522,(A502:A522=A502)*(E502:E522&lt;0)))),0)</f>
        <v>0</v>
      </c>
      <c r="J502" s="25">
        <f t="array" ref="J502">IFERROR(IF(A502=A501,0,SUM(_xlfn._xlws.FILTER(G502:G522,(A502:A522=A502)*(E502:E522&gt;0)))),0)</f>
        <v>0</v>
      </c>
      <c r="K502" s="25">
        <f>IF(H502&lt;&gt;0,SUM(H$2:H502),0)</f>
        <v>0</v>
      </c>
      <c r="L502" s="25">
        <f>IF(I502&lt;&gt;0,SUM(I$2:I502),0)</f>
        <v>0</v>
      </c>
      <c r="M502" s="25">
        <f>IF(J502&lt;&gt;0,SUM(J$2:J502),0)</f>
        <v>0</v>
      </c>
    </row>
    <row r="503" spans="1:13" hidden="1" x14ac:dyDescent="0.2">
      <c r="A503" s="5">
        <v>45936</v>
      </c>
      <c r="C503" s="6" t="s">
        <v>25</v>
      </c>
      <c r="D503" s="7">
        <v>500</v>
      </c>
      <c r="E503" s="8">
        <v>81.84</v>
      </c>
      <c r="G503" s="25">
        <f t="shared" si="7"/>
        <v>40920</v>
      </c>
      <c r="H503" s="25">
        <f t="array" ref="H503">IF(A503=A502,0,SUM(_xlfn._xlws.FILTER(G503:G523,A503:A523=A503)))</f>
        <v>0</v>
      </c>
      <c r="I503" s="25">
        <f t="array" ref="I503">IFERROR(IF(A503=A502,0,SUM(_xlfn._xlws.FILTER(G503:G523,(A503:A523=A503)*(E503:E523&lt;0)))),0)</f>
        <v>0</v>
      </c>
      <c r="J503" s="25">
        <f t="array" ref="J503">IFERROR(IF(A503=A502,0,SUM(_xlfn._xlws.FILTER(G503:G523,(A503:A523=A503)*(E503:E523&gt;0)))),0)</f>
        <v>0</v>
      </c>
      <c r="K503" s="25">
        <f>IF(H503&lt;&gt;0,SUM(H$2:H503),0)</f>
        <v>0</v>
      </c>
      <c r="L503" s="25">
        <f>IF(I503&lt;&gt;0,SUM(I$2:I503),0)</f>
        <v>0</v>
      </c>
      <c r="M503" s="25">
        <f>IF(J503&lt;&gt;0,SUM(J$2:J503),0)</f>
        <v>0</v>
      </c>
    </row>
    <row r="504" spans="1:13" hidden="1" x14ac:dyDescent="0.2">
      <c r="A504" s="5">
        <v>45936</v>
      </c>
      <c r="C504" s="6" t="s">
        <v>796</v>
      </c>
      <c r="D504" s="7">
        <v>5000</v>
      </c>
      <c r="E504" s="8">
        <v>3.08</v>
      </c>
      <c r="G504" s="25">
        <f t="shared" si="7"/>
        <v>15400</v>
      </c>
      <c r="H504" s="25">
        <f t="array" ref="H504">IF(A504=A503,0,SUM(_xlfn._xlws.FILTER(G504:G524,A504:A524=A504)))</f>
        <v>0</v>
      </c>
      <c r="I504" s="25">
        <f t="array" ref="I504">IFERROR(IF(A504=A503,0,SUM(_xlfn._xlws.FILTER(G504:G524,(A504:A524=A504)*(E504:E524&lt;0)))),0)</f>
        <v>0</v>
      </c>
      <c r="J504" s="25">
        <f t="array" ref="J504">IFERROR(IF(A504=A503,0,SUM(_xlfn._xlws.FILTER(G504:G524,(A504:A524=A504)*(E504:E524&gt;0)))),0)</f>
        <v>0</v>
      </c>
      <c r="K504" s="25">
        <f>IF(H504&lt;&gt;0,SUM(H$2:H504),0)</f>
        <v>0</v>
      </c>
      <c r="L504" s="25">
        <f>IF(I504&lt;&gt;0,SUM(I$2:I504),0)</f>
        <v>0</v>
      </c>
      <c r="M504" s="25">
        <f>IF(J504&lt;&gt;0,SUM(J$2:J504),0)</f>
        <v>0</v>
      </c>
    </row>
    <row r="505" spans="1:13" hidden="1" x14ac:dyDescent="0.2">
      <c r="A505" s="5">
        <v>45936</v>
      </c>
      <c r="C505" s="6" t="s">
        <v>798</v>
      </c>
      <c r="D505" s="7">
        <v>530</v>
      </c>
      <c r="E505" s="8">
        <v>-112.98</v>
      </c>
      <c r="G505" s="25">
        <f t="shared" si="7"/>
        <v>-59879.4</v>
      </c>
      <c r="H505" s="25">
        <f t="array" ref="H505">IF(A505=A504,0,SUM(_xlfn._xlws.FILTER(G505:G525,A505:A525=A505)))</f>
        <v>0</v>
      </c>
      <c r="I505" s="25">
        <f t="array" ref="I505">IFERROR(IF(A505=A504,0,SUM(_xlfn._xlws.FILTER(G505:G525,(A505:A525=A505)*(E505:E525&lt;0)))),0)</f>
        <v>0</v>
      </c>
      <c r="J505" s="25">
        <f t="array" ref="J505">IFERROR(IF(A505=A504,0,SUM(_xlfn._xlws.FILTER(G505:G525,(A505:A525=A505)*(E505:E525&gt;0)))),0)</f>
        <v>0</v>
      </c>
      <c r="K505" s="25">
        <f>IF(H505&lt;&gt;0,SUM(H$2:H505),0)</f>
        <v>0</v>
      </c>
      <c r="L505" s="25">
        <f>IF(I505&lt;&gt;0,SUM(I$2:I505),0)</f>
        <v>0</v>
      </c>
      <c r="M505" s="25">
        <f>IF(J505&lt;&gt;0,SUM(J$2:J505),0)</f>
        <v>0</v>
      </c>
    </row>
    <row r="506" spans="1:13" hidden="1" x14ac:dyDescent="0.2">
      <c r="A506" s="5">
        <v>45936</v>
      </c>
      <c r="C506" s="6" t="s">
        <v>801</v>
      </c>
      <c r="D506" s="7">
        <v>200</v>
      </c>
      <c r="E506" s="8">
        <v>-1161.69</v>
      </c>
      <c r="G506" s="25">
        <f t="shared" si="7"/>
        <v>-232338</v>
      </c>
      <c r="H506" s="25">
        <f t="array" ref="H506">IF(A506=A505,0,SUM(_xlfn._xlws.FILTER(G506:G526,A506:A526=A506)))</f>
        <v>0</v>
      </c>
      <c r="I506" s="25">
        <f t="array" ref="I506">IFERROR(IF(A506=A505,0,SUM(_xlfn._xlws.FILTER(G506:G526,(A506:A526=A506)*(E506:E526&lt;0)))),0)</f>
        <v>0</v>
      </c>
      <c r="J506" s="25">
        <f t="array" ref="J506">IFERROR(IF(A506=A505,0,SUM(_xlfn._xlws.FILTER(G506:G526,(A506:A526=A506)*(E506:E526&gt;0)))),0)</f>
        <v>0</v>
      </c>
      <c r="K506" s="25">
        <f>IF(H506&lt;&gt;0,SUM(H$2:H506),0)</f>
        <v>0</v>
      </c>
      <c r="L506" s="25">
        <f>IF(I506&lt;&gt;0,SUM(I$2:I506),0)</f>
        <v>0</v>
      </c>
      <c r="M506" s="25">
        <f>IF(J506&lt;&gt;0,SUM(J$2:J506),0)</f>
        <v>0</v>
      </c>
    </row>
    <row r="507" spans="1:13" hidden="1" x14ac:dyDescent="0.2">
      <c r="A507" s="5">
        <v>45936</v>
      </c>
      <c r="C507" s="6" t="s">
        <v>803</v>
      </c>
      <c r="D507" s="7">
        <v>11000</v>
      </c>
      <c r="E507" s="8">
        <v>3.16</v>
      </c>
      <c r="G507" s="25">
        <f t="shared" si="7"/>
        <v>34760</v>
      </c>
      <c r="H507" s="25">
        <f t="array" ref="H507">IF(A507=A506,0,SUM(_xlfn._xlws.FILTER(G507:G527,A507:A527=A507)))</f>
        <v>0</v>
      </c>
      <c r="I507" s="25">
        <f t="array" ref="I507">IFERROR(IF(A507=A506,0,SUM(_xlfn._xlws.FILTER(G507:G527,(A507:A527=A507)*(E507:E527&lt;0)))),0)</f>
        <v>0</v>
      </c>
      <c r="J507" s="25">
        <f t="array" ref="J507">IFERROR(IF(A507=A506,0,SUM(_xlfn._xlws.FILTER(G507:G527,(A507:A527=A507)*(E507:E527&gt;0)))),0)</f>
        <v>0</v>
      </c>
      <c r="K507" s="25">
        <f>IF(H507&lt;&gt;0,SUM(H$2:H507),0)</f>
        <v>0</v>
      </c>
      <c r="L507" s="25">
        <f>IF(I507&lt;&gt;0,SUM(I$2:I507),0)</f>
        <v>0</v>
      </c>
      <c r="M507" s="25">
        <f>IF(J507&lt;&gt;0,SUM(J$2:J507),0)</f>
        <v>0</v>
      </c>
    </row>
    <row r="508" spans="1:13" hidden="1" x14ac:dyDescent="0.2">
      <c r="A508" s="1">
        <v>45937</v>
      </c>
      <c r="C508" s="2" t="s">
        <v>305</v>
      </c>
      <c r="D508" s="2">
        <v>2500</v>
      </c>
      <c r="E508" s="2">
        <v>7.4</v>
      </c>
      <c r="G508" s="25">
        <f t="shared" si="7"/>
        <v>18500</v>
      </c>
      <c r="H508" s="25">
        <f t="array" ref="H508">IF(A508=A507,0,SUM(_xlfn._xlws.FILTER(G508:G528,A508:A528=A508)))</f>
        <v>372128</v>
      </c>
      <c r="I508" s="25">
        <f t="array" ref="I508">IFERROR(IF(A508=A507,0,SUM(_xlfn._xlws.FILTER(G508:G528,(A508:A528=A508)*(E508:E528&lt;0)))),0)</f>
        <v>0</v>
      </c>
      <c r="J508" s="25">
        <f t="array" ref="J508">IFERROR(IF(A508=A507,0,SUM(_xlfn._xlws.FILTER(G508:G528,(A508:A528=A508)*(E508:E528&gt;0)))),0)</f>
        <v>372128</v>
      </c>
      <c r="K508" s="25">
        <f>IF(H508&lt;&gt;0,SUM(H$2:H508),0)</f>
        <v>-1845691.5695729996</v>
      </c>
      <c r="L508" s="25">
        <f>IF(I508&lt;&gt;0,SUM(I$2:I508),0)</f>
        <v>0</v>
      </c>
      <c r="M508" s="25">
        <f>IF(J508&lt;&gt;0,SUM(J$2:J508),0)</f>
        <v>20986524.609500006</v>
      </c>
    </row>
    <row r="509" spans="1:13" hidden="1" x14ac:dyDescent="0.2">
      <c r="A509" s="1">
        <v>45937</v>
      </c>
      <c r="C509" s="2" t="s">
        <v>61</v>
      </c>
      <c r="D509" s="2">
        <v>150</v>
      </c>
      <c r="E509" s="2">
        <v>260</v>
      </c>
      <c r="G509" s="25">
        <f t="shared" si="7"/>
        <v>39000</v>
      </c>
      <c r="H509" s="25">
        <f t="array" ref="H509">IF(A509=A508,0,SUM(_xlfn._xlws.FILTER(G509:G529,A509:A529=A509)))</f>
        <v>0</v>
      </c>
      <c r="I509" s="25">
        <f t="array" ref="I509">IFERROR(IF(A509=A508,0,SUM(_xlfn._xlws.FILTER(G509:G529,(A509:A529=A509)*(E509:E529&lt;0)))),0)</f>
        <v>0</v>
      </c>
      <c r="J509" s="25">
        <f t="array" ref="J509">IFERROR(IF(A509=A508,0,SUM(_xlfn._xlws.FILTER(G509:G529,(A509:A529=A509)*(E509:E529&gt;0)))),0)</f>
        <v>0</v>
      </c>
      <c r="K509" s="25">
        <f>IF(H509&lt;&gt;0,SUM(H$2:H509),0)</f>
        <v>0</v>
      </c>
      <c r="L509" s="25">
        <f>IF(I509&lt;&gt;0,SUM(I$2:I509),0)</f>
        <v>0</v>
      </c>
      <c r="M509" s="25">
        <f>IF(J509&lt;&gt;0,SUM(J$2:J509),0)</f>
        <v>0</v>
      </c>
    </row>
    <row r="510" spans="1:13" hidden="1" x14ac:dyDescent="0.2">
      <c r="A510" s="1">
        <v>45937</v>
      </c>
      <c r="C510" s="2" t="s">
        <v>278</v>
      </c>
      <c r="D510" s="2">
        <v>150</v>
      </c>
      <c r="E510" s="2">
        <v>523.91999999999996</v>
      </c>
      <c r="G510" s="25">
        <f t="shared" si="7"/>
        <v>78588</v>
      </c>
      <c r="H510" s="25">
        <f t="array" ref="H510">IF(A510=A509,0,SUM(_xlfn._xlws.FILTER(G510:G530,A510:A530=A510)))</f>
        <v>0</v>
      </c>
      <c r="I510" s="25">
        <f t="array" ref="I510">IFERROR(IF(A510=A509,0,SUM(_xlfn._xlws.FILTER(G510:G530,(A510:A530=A510)*(E510:E530&lt;0)))),0)</f>
        <v>0</v>
      </c>
      <c r="J510" s="25">
        <f t="array" ref="J510">IFERROR(IF(A510=A509,0,SUM(_xlfn._xlws.FILTER(G510:G530,(A510:A530=A510)*(E510:E530&gt;0)))),0)</f>
        <v>0</v>
      </c>
      <c r="K510" s="25">
        <f>IF(H510&lt;&gt;0,SUM(H$2:H510),0)</f>
        <v>0</v>
      </c>
      <c r="L510" s="25">
        <f>IF(I510&lt;&gt;0,SUM(I$2:I510),0)</f>
        <v>0</v>
      </c>
      <c r="M510" s="25">
        <f>IF(J510&lt;&gt;0,SUM(J$2:J510),0)</f>
        <v>0</v>
      </c>
    </row>
    <row r="511" spans="1:13" hidden="1" x14ac:dyDescent="0.2">
      <c r="A511" s="1">
        <v>45937</v>
      </c>
      <c r="C511" s="2" t="s">
        <v>52</v>
      </c>
      <c r="D511" s="2">
        <v>1000</v>
      </c>
      <c r="E511" s="2">
        <v>204.54</v>
      </c>
      <c r="G511" s="25">
        <f t="shared" si="7"/>
        <v>204540</v>
      </c>
      <c r="H511" s="25">
        <f t="array" ref="H511">IF(A511=A510,0,SUM(_xlfn._xlws.FILTER(G511:G531,A511:A531=A511)))</f>
        <v>0</v>
      </c>
      <c r="I511" s="25">
        <f t="array" ref="I511">IFERROR(IF(A511=A510,0,SUM(_xlfn._xlws.FILTER(G511:G531,(A511:A531=A511)*(E511:E531&lt;0)))),0)</f>
        <v>0</v>
      </c>
      <c r="J511" s="25">
        <f t="array" ref="J511">IFERROR(IF(A511=A510,0,SUM(_xlfn._xlws.FILTER(G511:G531,(A511:A531=A511)*(E511:E531&gt;0)))),0)</f>
        <v>0</v>
      </c>
      <c r="K511" s="25">
        <f>IF(H511&lt;&gt;0,SUM(H$2:H511),0)</f>
        <v>0</v>
      </c>
      <c r="L511" s="25">
        <f>IF(I511&lt;&gt;0,SUM(I$2:I511),0)</f>
        <v>0</v>
      </c>
      <c r="M511" s="25">
        <f>IF(J511&lt;&gt;0,SUM(J$2:J511),0)</f>
        <v>0</v>
      </c>
    </row>
    <row r="512" spans="1:13" hidden="1" x14ac:dyDescent="0.2">
      <c r="A512" s="1">
        <v>45937</v>
      </c>
      <c r="C512" s="2" t="s">
        <v>134</v>
      </c>
      <c r="D512" s="2">
        <v>10000</v>
      </c>
      <c r="E512" s="2">
        <v>3.15</v>
      </c>
      <c r="G512" s="25">
        <f t="shared" si="7"/>
        <v>31500</v>
      </c>
      <c r="H512" s="25">
        <f t="array" ref="H512">IF(A512=A511,0,SUM(_xlfn._xlws.FILTER(G512:G532,A512:A532=A512)))</f>
        <v>0</v>
      </c>
      <c r="I512" s="25">
        <f t="array" ref="I512">IFERROR(IF(A512=A511,0,SUM(_xlfn._xlws.FILTER(G512:G532,(A512:A532=A512)*(E512:E532&lt;0)))),0)</f>
        <v>0</v>
      </c>
      <c r="J512" s="25">
        <f t="array" ref="J512">IFERROR(IF(A512=A511,0,SUM(_xlfn._xlws.FILTER(G512:G532,(A512:A532=A512)*(E512:E532&gt;0)))),0)</f>
        <v>0</v>
      </c>
      <c r="K512" s="25">
        <f>IF(H512&lt;&gt;0,SUM(H$2:H512),0)</f>
        <v>0</v>
      </c>
      <c r="L512" s="25">
        <f>IF(I512&lt;&gt;0,SUM(I$2:I512),0)</f>
        <v>0</v>
      </c>
      <c r="M512" s="25">
        <f>IF(J512&lt;&gt;0,SUM(J$2:J512),0)</f>
        <v>0</v>
      </c>
    </row>
    <row r="513" spans="1:13" hidden="1" x14ac:dyDescent="0.2">
      <c r="A513" s="5">
        <v>45938</v>
      </c>
      <c r="C513" s="6" t="s">
        <v>139</v>
      </c>
      <c r="D513" s="7">
        <v>10000</v>
      </c>
      <c r="E513" s="8">
        <v>397.01</v>
      </c>
      <c r="G513" s="25">
        <f t="shared" si="7"/>
        <v>39701</v>
      </c>
      <c r="H513" s="25">
        <f t="array" ref="H513">IF(A513=A512,0,SUM(_xlfn._xlws.FILTER(G513:G533,A513:A533=A513)))</f>
        <v>-16692</v>
      </c>
      <c r="I513" s="25">
        <f t="array" ref="I513">IFERROR(IF(A513=A512,0,SUM(_xlfn._xlws.FILTER(G513:G533,(A513:A533=A513)*(E513:E533&lt;0)))),0)</f>
        <v>-168632</v>
      </c>
      <c r="J513" s="25">
        <f t="array" ref="J513">IFERROR(IF(A513=A512,0,SUM(_xlfn._xlws.FILTER(G513:G533,(A513:A533=A513)*(E513:E533&gt;0)))),0)</f>
        <v>151940</v>
      </c>
      <c r="K513" s="25">
        <f>IF(H513&lt;&gt;0,SUM(H$2:H513),0)</f>
        <v>-1862383.5695729996</v>
      </c>
      <c r="L513" s="25">
        <f>IF(I513&lt;&gt;0,SUM(I$2:I513),0)</f>
        <v>-23000848.179073002</v>
      </c>
      <c r="M513" s="25">
        <f>IF(J513&lt;&gt;0,SUM(J$2:J513),0)</f>
        <v>21138464.609500006</v>
      </c>
    </row>
    <row r="514" spans="1:13" hidden="1" x14ac:dyDescent="0.2">
      <c r="A514" s="5">
        <v>45938</v>
      </c>
      <c r="C514" s="6" t="s">
        <v>94</v>
      </c>
      <c r="D514" s="7">
        <v>2000</v>
      </c>
      <c r="E514" s="8">
        <v>-54.13</v>
      </c>
      <c r="G514" s="25">
        <f t="shared" ref="G514:G577" si="8">D514*E514*IF(OR(C514="IAG",C514="EZJ",C514="AET"),0.01,1)</f>
        <v>-108260</v>
      </c>
      <c r="H514" s="25">
        <f t="array" ref="H514">IF(A514=A513,0,SUM(_xlfn._xlws.FILTER(G514:G534,A514:A534=A514)))</f>
        <v>0</v>
      </c>
      <c r="I514" s="25">
        <f t="array" ref="I514">IFERROR(IF(A514=A513,0,SUM(_xlfn._xlws.FILTER(G514:G534,(A514:A534=A514)*(E514:E534&lt;0)))),0)</f>
        <v>0</v>
      </c>
      <c r="J514" s="25">
        <f t="array" ref="J514">IFERROR(IF(A514=A513,0,SUM(_xlfn._xlws.FILTER(G514:G534,(A514:A534=A514)*(E514:E534&gt;0)))),0)</f>
        <v>0</v>
      </c>
      <c r="K514" s="25">
        <f>IF(H514&lt;&gt;0,SUM(H$2:H514),0)</f>
        <v>0</v>
      </c>
      <c r="L514" s="25">
        <f>IF(I514&lt;&gt;0,SUM(I$2:I514),0)</f>
        <v>0</v>
      </c>
      <c r="M514" s="25">
        <f>IF(J514&lt;&gt;0,SUM(J$2:J514),0)</f>
        <v>0</v>
      </c>
    </row>
    <row r="515" spans="1:13" hidden="1" x14ac:dyDescent="0.2">
      <c r="A515" s="5">
        <v>45938</v>
      </c>
      <c r="C515" s="6" t="s">
        <v>15</v>
      </c>
      <c r="D515" s="7">
        <v>2000</v>
      </c>
      <c r="E515" s="8">
        <v>29.14</v>
      </c>
      <c r="G515" s="25">
        <f t="shared" si="8"/>
        <v>58280</v>
      </c>
      <c r="H515" s="25">
        <f t="array" ref="H515">IF(A515=A514,0,SUM(_xlfn._xlws.FILTER(G515:G535,A515:A535=A515)))</f>
        <v>0</v>
      </c>
      <c r="I515" s="25">
        <f t="array" ref="I515">IFERROR(IF(A515=A514,0,SUM(_xlfn._xlws.FILTER(G515:G535,(A515:A535=A515)*(E515:E535&lt;0)))),0)</f>
        <v>0</v>
      </c>
      <c r="J515" s="25">
        <f t="array" ref="J515">IFERROR(IF(A515=A514,0,SUM(_xlfn._xlws.FILTER(G515:G535,(A515:A535=A515)*(E515:E535&gt;0)))),0)</f>
        <v>0</v>
      </c>
      <c r="K515" s="25">
        <f>IF(H515&lt;&gt;0,SUM(H$2:H515),0)</f>
        <v>0</v>
      </c>
      <c r="L515" s="25">
        <f>IF(I515&lt;&gt;0,SUM(I$2:I515),0)</f>
        <v>0</v>
      </c>
      <c r="M515" s="25">
        <f>IF(J515&lt;&gt;0,SUM(J$2:J515),0)</f>
        <v>0</v>
      </c>
    </row>
    <row r="516" spans="1:13" hidden="1" x14ac:dyDescent="0.2">
      <c r="A516" s="5">
        <v>45938</v>
      </c>
      <c r="C516" s="6" t="s">
        <v>52</v>
      </c>
      <c r="D516" s="7">
        <v>300</v>
      </c>
      <c r="E516" s="8">
        <v>-201.24</v>
      </c>
      <c r="G516" s="25">
        <f t="shared" si="8"/>
        <v>-60372</v>
      </c>
      <c r="H516" s="25">
        <f t="array" ref="H516">IF(A516=A515,0,SUM(_xlfn._xlws.FILTER(G516:G536,A516:A536=A516)))</f>
        <v>0</v>
      </c>
      <c r="I516" s="25">
        <f t="array" ref="I516">IFERROR(IF(A516=A515,0,SUM(_xlfn._xlws.FILTER(G516:G536,(A516:A536=A516)*(E516:E536&lt;0)))),0)</f>
        <v>0</v>
      </c>
      <c r="J516" s="25">
        <f t="array" ref="J516">IFERROR(IF(A516=A515,0,SUM(_xlfn._xlws.FILTER(G516:G536,(A516:A536=A516)*(E516:E536&gt;0)))),0)</f>
        <v>0</v>
      </c>
      <c r="K516" s="25">
        <f>IF(H516&lt;&gt;0,SUM(H$2:H516),0)</f>
        <v>0</v>
      </c>
      <c r="L516" s="25">
        <f>IF(I516&lt;&gt;0,SUM(I$2:I516),0)</f>
        <v>0</v>
      </c>
      <c r="M516" s="25">
        <f>IF(J516&lt;&gt;0,SUM(J$2:J516),0)</f>
        <v>0</v>
      </c>
    </row>
    <row r="517" spans="1:13" hidden="1" x14ac:dyDescent="0.2">
      <c r="A517" s="5">
        <v>45938</v>
      </c>
      <c r="C517" s="6" t="s">
        <v>45</v>
      </c>
      <c r="D517" s="7">
        <v>1200</v>
      </c>
      <c r="E517" s="8">
        <v>26.07</v>
      </c>
      <c r="G517" s="25">
        <f t="shared" si="8"/>
        <v>31284</v>
      </c>
      <c r="H517" s="25">
        <f t="array" ref="H517">IF(A517=A516,0,SUM(_xlfn._xlws.FILTER(G517:G537,A517:A537=A517)))</f>
        <v>0</v>
      </c>
      <c r="I517" s="25">
        <f t="array" ref="I517">IFERROR(IF(A517=A516,0,SUM(_xlfn._xlws.FILTER(G517:G537,(A517:A537=A517)*(E517:E537&lt;0)))),0)</f>
        <v>0</v>
      </c>
      <c r="J517" s="25">
        <f t="array" ref="J517">IFERROR(IF(A517=A516,0,SUM(_xlfn._xlws.FILTER(G517:G537,(A517:A537=A517)*(E517:E537&gt;0)))),0)</f>
        <v>0</v>
      </c>
      <c r="K517" s="25">
        <f>IF(H517&lt;&gt;0,SUM(H$2:H517),0)</f>
        <v>0</v>
      </c>
      <c r="L517" s="25">
        <f>IF(I517&lt;&gt;0,SUM(I$2:I517),0)</f>
        <v>0</v>
      </c>
      <c r="M517" s="25">
        <f>IF(J517&lt;&gt;0,SUM(J$2:J517),0)</f>
        <v>0</v>
      </c>
    </row>
    <row r="518" spans="1:13" hidden="1" x14ac:dyDescent="0.2">
      <c r="A518" s="5">
        <v>45938</v>
      </c>
      <c r="C518" s="5" t="s">
        <v>305</v>
      </c>
      <c r="D518" s="6">
        <v>2500</v>
      </c>
      <c r="E518" s="7">
        <v>9.07</v>
      </c>
      <c r="G518" s="25">
        <f t="shared" si="8"/>
        <v>22675</v>
      </c>
      <c r="H518" s="25">
        <f t="array" ref="H518">IF(A518=A517,0,SUM(_xlfn._xlws.FILTER(G518:G538,A518:A538=A518)))</f>
        <v>0</v>
      </c>
      <c r="I518" s="25">
        <f t="array" ref="I518">IFERROR(IF(A518=A517,0,SUM(_xlfn._xlws.FILTER(G518:G538,(A518:A538=A518)*(E518:E538&lt;0)))),0)</f>
        <v>0</v>
      </c>
      <c r="J518" s="25">
        <f t="array" ref="J518">IFERROR(IF(A518=A517,0,SUM(_xlfn._xlws.FILTER(G518:G538,(A518:A538=A518)*(E518:E538&gt;0)))),0)</f>
        <v>0</v>
      </c>
      <c r="K518" s="25">
        <f>IF(H518&lt;&gt;0,SUM(H$2:H518),0)</f>
        <v>0</v>
      </c>
      <c r="L518" s="25">
        <f>IF(I518&lt;&gt;0,SUM(I$2:I518),0)</f>
        <v>0</v>
      </c>
      <c r="M518" s="25">
        <f>IF(J518&lt;&gt;0,SUM(J$2:J518),0)</f>
        <v>0</v>
      </c>
    </row>
    <row r="519" spans="1:13" hidden="1" x14ac:dyDescent="0.2">
      <c r="A519" s="1">
        <v>45939</v>
      </c>
      <c r="C519" s="2" t="s">
        <v>94</v>
      </c>
      <c r="D519" s="2">
        <v>2000</v>
      </c>
      <c r="E519" s="4">
        <v>-54.68</v>
      </c>
      <c r="G519" s="25">
        <f t="shared" si="8"/>
        <v>-109360</v>
      </c>
      <c r="H519" s="25">
        <f t="array" ref="H519">IF(A519=A518,0,SUM(_xlfn._xlws.FILTER(G519:G539,A519:A539=A519)))</f>
        <v>180047.40000000002</v>
      </c>
      <c r="I519" s="25">
        <f t="array" ref="I519">IFERROR(IF(A519=A518,0,SUM(_xlfn._xlws.FILTER(G519:G539,(A519:A539=A519)*(E519:E539&lt;0)))),0)</f>
        <v>-202696</v>
      </c>
      <c r="J519" s="25">
        <f t="array" ref="J519">IFERROR(IF(A519=A518,0,SUM(_xlfn._xlws.FILTER(G519:G539,(A519:A539=A519)*(E519:E539&gt;0)))),0)</f>
        <v>382743.4</v>
      </c>
      <c r="K519" s="25">
        <f>IF(H519&lt;&gt;0,SUM(H$2:H519),0)</f>
        <v>-1682336.1695729997</v>
      </c>
      <c r="L519" s="25">
        <f>IF(I519&lt;&gt;0,SUM(I$2:I519),0)</f>
        <v>-23203544.179073002</v>
      </c>
      <c r="M519" s="25">
        <f>IF(J519&lt;&gt;0,SUM(J$2:J519),0)</f>
        <v>21521208.009500004</v>
      </c>
    </row>
    <row r="520" spans="1:13" hidden="1" x14ac:dyDescent="0.2">
      <c r="A520" s="1">
        <v>45939</v>
      </c>
      <c r="C520" s="2" t="s">
        <v>320</v>
      </c>
      <c r="D520" s="2">
        <v>1000</v>
      </c>
      <c r="E520" s="4">
        <v>61.8</v>
      </c>
      <c r="G520" s="25">
        <f t="shared" si="8"/>
        <v>61800</v>
      </c>
      <c r="H520" s="25">
        <f t="array" ref="H520">IF(A520=A519,0,SUM(_xlfn._xlws.FILTER(G520:G540,A520:A540=A520)))</f>
        <v>0</v>
      </c>
      <c r="I520" s="25">
        <f t="array" ref="I520">IFERROR(IF(A520=A519,0,SUM(_xlfn._xlws.FILTER(G520:G540,(A520:A540=A520)*(E520:E540&lt;0)))),0)</f>
        <v>0</v>
      </c>
      <c r="J520" s="25">
        <f t="array" ref="J520">IFERROR(IF(A520=A519,0,SUM(_xlfn._xlws.FILTER(G520:G540,(A520:A540=A520)*(E520:E540&gt;0)))),0)</f>
        <v>0</v>
      </c>
      <c r="K520" s="25">
        <f>IF(H520&lt;&gt;0,SUM(H$2:H520),0)</f>
        <v>0</v>
      </c>
      <c r="L520" s="25">
        <f>IF(I520&lt;&gt;0,SUM(I$2:I520),0)</f>
        <v>0</v>
      </c>
      <c r="M520" s="25">
        <f>IF(J520&lt;&gt;0,SUM(J$2:J520),0)</f>
        <v>0</v>
      </c>
    </row>
    <row r="521" spans="1:13" hidden="1" x14ac:dyDescent="0.2">
      <c r="A521" s="1">
        <v>45939</v>
      </c>
      <c r="C521" s="2" t="s">
        <v>139</v>
      </c>
      <c r="D521" s="2">
        <v>10000</v>
      </c>
      <c r="E521" s="4">
        <v>414.7</v>
      </c>
      <c r="G521" s="25">
        <f t="shared" si="8"/>
        <v>41470</v>
      </c>
      <c r="H521" s="25">
        <f t="array" ref="H521">IF(A521=A520,0,SUM(_xlfn._xlws.FILTER(G521:G541,A521:A541=A521)))</f>
        <v>0</v>
      </c>
      <c r="I521" s="25">
        <f t="array" ref="I521">IFERROR(IF(A521=A520,0,SUM(_xlfn._xlws.FILTER(G521:G541,(A521:A541=A521)*(E521:E541&lt;0)))),0)</f>
        <v>0</v>
      </c>
      <c r="J521" s="25">
        <f t="array" ref="J521">IFERROR(IF(A521=A520,0,SUM(_xlfn._xlws.FILTER(G521:G541,(A521:A541=A521)*(E521:E541&gt;0)))),0)</f>
        <v>0</v>
      </c>
      <c r="K521" s="25">
        <f>IF(H521&lt;&gt;0,SUM(H$2:H521),0)</f>
        <v>0</v>
      </c>
      <c r="L521" s="25">
        <f>IF(I521&lt;&gt;0,SUM(I$2:I521),0)</f>
        <v>0</v>
      </c>
      <c r="M521" s="25">
        <f>IF(J521&lt;&gt;0,SUM(J$2:J521),0)</f>
        <v>0</v>
      </c>
    </row>
    <row r="522" spans="1:13" hidden="1" x14ac:dyDescent="0.2">
      <c r="A522" s="1">
        <v>45939</v>
      </c>
      <c r="C522" s="2" t="s">
        <v>37</v>
      </c>
      <c r="D522" s="2">
        <v>160</v>
      </c>
      <c r="E522" s="4">
        <v>346.09</v>
      </c>
      <c r="G522" s="25">
        <f t="shared" si="8"/>
        <v>55374.399999999994</v>
      </c>
      <c r="H522" s="25">
        <f t="array" ref="H522">IF(A522=A521,0,SUM(_xlfn._xlws.FILTER(G522:G542,A522:A542=A522)))</f>
        <v>0</v>
      </c>
      <c r="I522" s="25">
        <f t="array" ref="I522">IFERROR(IF(A522=A521,0,SUM(_xlfn._xlws.FILTER(G522:G542,(A522:A542=A522)*(E522:E542&lt;0)))),0)</f>
        <v>0</v>
      </c>
      <c r="J522" s="25">
        <f t="array" ref="J522">IFERROR(IF(A522=A521,0,SUM(_xlfn._xlws.FILTER(G522:G542,(A522:A542=A522)*(E522:E542&gt;0)))),0)</f>
        <v>0</v>
      </c>
      <c r="K522" s="25">
        <f>IF(H522&lt;&gt;0,SUM(H$2:H522),0)</f>
        <v>0</v>
      </c>
      <c r="L522" s="25">
        <f>IF(I522&lt;&gt;0,SUM(I$2:I522),0)</f>
        <v>0</v>
      </c>
      <c r="M522" s="25">
        <f>IF(J522&lt;&gt;0,SUM(J$2:J522),0)</f>
        <v>0</v>
      </c>
    </row>
    <row r="523" spans="1:13" hidden="1" x14ac:dyDescent="0.2">
      <c r="A523" s="1">
        <v>45939</v>
      </c>
      <c r="C523" s="2" t="s">
        <v>157</v>
      </c>
      <c r="D523" s="2">
        <v>20000</v>
      </c>
      <c r="E523" s="4">
        <v>-46</v>
      </c>
      <c r="G523" s="25">
        <f t="shared" si="8"/>
        <v>-9200</v>
      </c>
      <c r="H523" s="25">
        <f t="array" ref="H523">IF(A523=A522,0,SUM(_xlfn._xlws.FILTER(G523:G543,A523:A543=A523)))</f>
        <v>0</v>
      </c>
      <c r="I523" s="25">
        <f t="array" ref="I523">IFERROR(IF(A523=A522,0,SUM(_xlfn._xlws.FILTER(G523:G543,(A523:A543=A523)*(E523:E543&lt;0)))),0)</f>
        <v>0</v>
      </c>
      <c r="J523" s="25">
        <f t="array" ref="J523">IFERROR(IF(A523=A522,0,SUM(_xlfn._xlws.FILTER(G523:G543,(A523:A543=A523)*(E523:E543&gt;0)))),0)</f>
        <v>0</v>
      </c>
      <c r="K523" s="25">
        <f>IF(H523&lt;&gt;0,SUM(H$2:H523),0)</f>
        <v>0</v>
      </c>
      <c r="L523" s="25">
        <f>IF(I523&lt;&gt;0,SUM(I$2:I523),0)</f>
        <v>0</v>
      </c>
      <c r="M523" s="25">
        <f>IF(J523&lt;&gt;0,SUM(J$2:J523),0)</f>
        <v>0</v>
      </c>
    </row>
    <row r="524" spans="1:13" hidden="1" x14ac:dyDescent="0.2">
      <c r="A524" s="1">
        <v>45939</v>
      </c>
      <c r="C524" s="2" t="s">
        <v>34</v>
      </c>
      <c r="D524" s="2">
        <v>500</v>
      </c>
      <c r="E524" s="2">
        <v>86.22</v>
      </c>
      <c r="G524" s="25">
        <f t="shared" si="8"/>
        <v>43110</v>
      </c>
      <c r="H524" s="25">
        <f t="array" ref="H524">IF(A524=A523,0,SUM(_xlfn._xlws.FILTER(G524:G544,A524:A544=A524)))</f>
        <v>0</v>
      </c>
      <c r="I524" s="25">
        <f t="array" ref="I524">IFERROR(IF(A524=A523,0,SUM(_xlfn._xlws.FILTER(G524:G544,(A524:A544=A524)*(E524:E544&lt;0)))),0)</f>
        <v>0</v>
      </c>
      <c r="J524" s="25">
        <f t="array" ref="J524">IFERROR(IF(A524=A523,0,SUM(_xlfn._xlws.FILTER(G524:G544,(A524:A544=A524)*(E524:E544&gt;0)))),0)</f>
        <v>0</v>
      </c>
      <c r="K524" s="25">
        <f>IF(H524&lt;&gt;0,SUM(H$2:H524),0)</f>
        <v>0</v>
      </c>
      <c r="L524" s="25">
        <f>IF(I524&lt;&gt;0,SUM(I$2:I524),0)</f>
        <v>0</v>
      </c>
      <c r="M524" s="25">
        <f>IF(J524&lt;&gt;0,SUM(J$2:J524),0)</f>
        <v>0</v>
      </c>
    </row>
    <row r="525" spans="1:13" hidden="1" x14ac:dyDescent="0.2">
      <c r="A525" s="1">
        <v>45939</v>
      </c>
      <c r="C525" s="2" t="s">
        <v>90</v>
      </c>
      <c r="D525" s="2">
        <v>200</v>
      </c>
      <c r="E525" s="2">
        <v>253.62</v>
      </c>
      <c r="G525" s="25">
        <f t="shared" si="8"/>
        <v>50724</v>
      </c>
      <c r="H525" s="25">
        <f t="array" ref="H525">IF(A525=A524,0,SUM(_xlfn._xlws.FILTER(G525:G545,A525:A545=A525)))</f>
        <v>0</v>
      </c>
      <c r="I525" s="25">
        <f t="array" ref="I525">IFERROR(IF(A525=A524,0,SUM(_xlfn._xlws.FILTER(G525:G545,(A525:A545=A525)*(E525:E545&lt;0)))),0)</f>
        <v>0</v>
      </c>
      <c r="J525" s="25">
        <f t="array" ref="J525">IFERROR(IF(A525=A524,0,SUM(_xlfn._xlws.FILTER(G525:G545,(A525:A545=A525)*(E525:E545&gt;0)))),0)</f>
        <v>0</v>
      </c>
      <c r="K525" s="25">
        <f>IF(H525&lt;&gt;0,SUM(H$2:H525),0)</f>
        <v>0</v>
      </c>
      <c r="L525" s="25">
        <f>IF(I525&lt;&gt;0,SUM(I$2:I525),0)</f>
        <v>0</v>
      </c>
      <c r="M525" s="25">
        <f>IF(J525&lt;&gt;0,SUM(J$2:J525),0)</f>
        <v>0</v>
      </c>
    </row>
    <row r="526" spans="1:13" hidden="1" x14ac:dyDescent="0.2">
      <c r="A526" s="1">
        <v>45939</v>
      </c>
      <c r="C526" s="2" t="s">
        <v>303</v>
      </c>
      <c r="D526" s="2">
        <v>100</v>
      </c>
      <c r="E526" s="4">
        <v>1235.33</v>
      </c>
      <c r="G526" s="25">
        <f t="shared" si="8"/>
        <v>123533</v>
      </c>
      <c r="H526" s="25">
        <f t="array" ref="H526">IF(A526=A525,0,SUM(_xlfn._xlws.FILTER(G526:G546,A526:A546=A526)))</f>
        <v>0</v>
      </c>
      <c r="I526" s="25">
        <f t="array" ref="I526">IFERROR(IF(A526=A525,0,SUM(_xlfn._xlws.FILTER(G526:G546,(A526:A546=A526)*(E526:E546&lt;0)))),0)</f>
        <v>0</v>
      </c>
      <c r="J526" s="25">
        <f t="array" ref="J526">IFERROR(IF(A526=A525,0,SUM(_xlfn._xlws.FILTER(G526:G546,(A526:A546=A526)*(E526:E546&gt;0)))),0)</f>
        <v>0</v>
      </c>
      <c r="K526" s="25">
        <f>IF(H526&lt;&gt;0,SUM(H$2:H526),0)</f>
        <v>0</v>
      </c>
      <c r="L526" s="25">
        <f>IF(I526&lt;&gt;0,SUM(I$2:I526),0)</f>
        <v>0</v>
      </c>
      <c r="M526" s="25">
        <f>IF(J526&lt;&gt;0,SUM(J$2:J526),0)</f>
        <v>0</v>
      </c>
    </row>
    <row r="527" spans="1:13" hidden="1" x14ac:dyDescent="0.2">
      <c r="A527" s="1">
        <v>45939</v>
      </c>
      <c r="C527" s="2" t="s">
        <v>43</v>
      </c>
      <c r="D527" s="2">
        <v>990</v>
      </c>
      <c r="E527" s="4">
        <v>6.8</v>
      </c>
      <c r="G527" s="25">
        <f t="shared" si="8"/>
        <v>6732</v>
      </c>
      <c r="H527" s="25">
        <f t="array" ref="H527">IF(A527=A526,0,SUM(_xlfn._xlws.FILTER(G527:G547,A527:A547=A527)))</f>
        <v>0</v>
      </c>
      <c r="I527" s="25">
        <f t="array" ref="I527">IFERROR(IF(A527=A526,0,SUM(_xlfn._xlws.FILTER(G527:G547,(A527:A547=A527)*(E527:E547&lt;0)))),0)</f>
        <v>0</v>
      </c>
      <c r="J527" s="25">
        <f t="array" ref="J527">IFERROR(IF(A527=A526,0,SUM(_xlfn._xlws.FILTER(G527:G547,(A527:A547=A527)*(E527:E547&gt;0)))),0)</f>
        <v>0</v>
      </c>
      <c r="K527" s="25">
        <f>IF(H527&lt;&gt;0,SUM(H$2:H527),0)</f>
        <v>0</v>
      </c>
      <c r="L527" s="25">
        <f>IF(I527&lt;&gt;0,SUM(I$2:I527),0)</f>
        <v>0</v>
      </c>
      <c r="M527" s="25">
        <f>IF(J527&lt;&gt;0,SUM(J$2:J527),0)</f>
        <v>0</v>
      </c>
    </row>
    <row r="528" spans="1:13" hidden="1" x14ac:dyDescent="0.2">
      <c r="A528" s="1">
        <v>45939</v>
      </c>
      <c r="C528" s="2" t="s">
        <v>611</v>
      </c>
      <c r="D528" s="2">
        <v>400</v>
      </c>
      <c r="E528" s="4">
        <v>-127.09</v>
      </c>
      <c r="G528" s="25">
        <f t="shared" si="8"/>
        <v>-50836</v>
      </c>
      <c r="H528" s="25">
        <f t="array" ref="H528">IF(A528=A527,0,SUM(_xlfn._xlws.FILTER(G528:G548,A528:A548=A528)))</f>
        <v>0</v>
      </c>
      <c r="I528" s="25">
        <f t="array" ref="I528">IFERROR(IF(A528=A527,0,SUM(_xlfn._xlws.FILTER(G528:G548,(A528:A548=A528)*(E528:E548&lt;0)))),0)</f>
        <v>0</v>
      </c>
      <c r="J528" s="25">
        <f t="array" ref="J528">IFERROR(IF(A528=A527,0,SUM(_xlfn._xlws.FILTER(G528:G548,(A528:A548=A528)*(E528:E548&gt;0)))),0)</f>
        <v>0</v>
      </c>
      <c r="K528" s="25">
        <f>IF(H528&lt;&gt;0,SUM(H$2:H528),0)</f>
        <v>0</v>
      </c>
      <c r="L528" s="25">
        <f>IF(I528&lt;&gt;0,SUM(I$2:I528),0)</f>
        <v>0</v>
      </c>
      <c r="M528" s="25">
        <f>IF(J528&lt;&gt;0,SUM(J$2:J528),0)</f>
        <v>0</v>
      </c>
    </row>
    <row r="529" spans="1:13" hidden="1" x14ac:dyDescent="0.2">
      <c r="A529" s="1">
        <v>45939</v>
      </c>
      <c r="C529" s="2" t="s">
        <v>831</v>
      </c>
      <c r="D529" s="2">
        <v>5000</v>
      </c>
      <c r="E529" s="4">
        <v>-6.66</v>
      </c>
      <c r="G529" s="25">
        <f t="shared" si="8"/>
        <v>-33300</v>
      </c>
      <c r="H529" s="25">
        <f t="array" ref="H529">IF(A529=A528,0,SUM(_xlfn._xlws.FILTER(G529:G549,A529:A549=A529)))</f>
        <v>0</v>
      </c>
      <c r="I529" s="25">
        <f t="array" ref="I529">IFERROR(IF(A529=A528,0,SUM(_xlfn._xlws.FILTER(G529:G549,(A529:A549=A529)*(E529:E549&lt;0)))),0)</f>
        <v>0</v>
      </c>
      <c r="J529" s="25">
        <f t="array" ref="J529">IFERROR(IF(A529=A528,0,SUM(_xlfn._xlws.FILTER(G529:G549,(A529:A549=A529)*(E529:E549&gt;0)))),0)</f>
        <v>0</v>
      </c>
      <c r="K529" s="25">
        <f>IF(H529&lt;&gt;0,SUM(H$2:H529),0)</f>
        <v>0</v>
      </c>
      <c r="L529" s="25">
        <f>IF(I529&lt;&gt;0,SUM(I$2:I529),0)</f>
        <v>0</v>
      </c>
      <c r="M529" s="25">
        <f>IF(J529&lt;&gt;0,SUM(J$2:J529),0)</f>
        <v>0</v>
      </c>
    </row>
    <row r="530" spans="1:13" hidden="1" x14ac:dyDescent="0.2">
      <c r="A530" s="5">
        <v>45940</v>
      </c>
      <c r="C530" s="5" t="s">
        <v>259</v>
      </c>
      <c r="D530" s="6">
        <v>200</v>
      </c>
      <c r="E530" s="8">
        <v>237.8</v>
      </c>
      <c r="G530" s="25">
        <f t="shared" si="8"/>
        <v>47560</v>
      </c>
      <c r="H530" s="25">
        <f t="array" ref="H530">IF(A530=A529,0,SUM(_xlfn._xlws.FILTER(G530:G550,A530:A550=A530)))</f>
        <v>-272301.7</v>
      </c>
      <c r="I530" s="25">
        <f t="array" ref="I530">IFERROR(IF(A530=A529,0,SUM(_xlfn._xlws.FILTER(G530:G550,(A530:A550=A530)*(E530:E550&lt;0)))),0)</f>
        <v>-339962.3</v>
      </c>
      <c r="J530" s="25">
        <f t="array" ref="J530">IFERROR(IF(A530=A529,0,SUM(_xlfn._xlws.FILTER(G530:G550,(A530:A550=A530)*(E530:E550&gt;0)))),0)</f>
        <v>67660.600000000006</v>
      </c>
      <c r="K530" s="25">
        <f>IF(H530&lt;&gt;0,SUM(H$2:H530),0)</f>
        <v>-1954637.8695729997</v>
      </c>
      <c r="L530" s="25">
        <f>IF(I530&lt;&gt;0,SUM(I$2:I530),0)</f>
        <v>-23543506.479073003</v>
      </c>
      <c r="M530" s="25">
        <f>IF(J530&lt;&gt;0,SUM(J$2:J530),0)</f>
        <v>21588868.609500006</v>
      </c>
    </row>
    <row r="531" spans="1:13" hidden="1" x14ac:dyDescent="0.2">
      <c r="A531" s="5">
        <v>45940</v>
      </c>
      <c r="C531" s="5" t="s">
        <v>157</v>
      </c>
      <c r="D531" s="6">
        <v>10000</v>
      </c>
      <c r="E531" s="8">
        <v>-45.8</v>
      </c>
      <c r="G531" s="25">
        <f t="shared" si="8"/>
        <v>-4580</v>
      </c>
      <c r="H531" s="25">
        <f t="array" ref="H531">IF(A531=A530,0,SUM(_xlfn._xlws.FILTER(G531:G551,A531:A551=A531)))</f>
        <v>0</v>
      </c>
      <c r="I531" s="25">
        <f t="array" ref="I531">IFERROR(IF(A531=A530,0,SUM(_xlfn._xlws.FILTER(G531:G551,(A531:A551=A531)*(E531:E551&lt;0)))),0)</f>
        <v>0</v>
      </c>
      <c r="J531" s="25">
        <f t="array" ref="J531">IFERROR(IF(A531=A530,0,SUM(_xlfn._xlws.FILTER(G531:G551,(A531:A551=A531)*(E531:E551&gt;0)))),0)</f>
        <v>0</v>
      </c>
      <c r="K531" s="25">
        <f>IF(H531&lt;&gt;0,SUM(H$2:H531),0)</f>
        <v>0</v>
      </c>
      <c r="L531" s="25">
        <f>IF(I531&lt;&gt;0,SUM(I$2:I531),0)</f>
        <v>0</v>
      </c>
      <c r="M531" s="25">
        <f>IF(J531&lt;&gt;0,SUM(J$2:J531),0)</f>
        <v>0</v>
      </c>
    </row>
    <row r="532" spans="1:13" hidden="1" x14ac:dyDescent="0.2">
      <c r="A532" s="5">
        <v>45941</v>
      </c>
      <c r="C532" s="5" t="s">
        <v>157</v>
      </c>
      <c r="D532" s="6">
        <v>10000</v>
      </c>
      <c r="E532" s="8">
        <v>-45.6</v>
      </c>
      <c r="G532" s="25">
        <f t="shared" si="8"/>
        <v>-4560</v>
      </c>
      <c r="H532" s="25">
        <f t="array" ref="H532">IF(A532=A531,0,SUM(_xlfn._xlws.FILTER(G532:G552,A532:A552=A532)))</f>
        <v>-4560</v>
      </c>
      <c r="I532" s="25">
        <f t="array" ref="I532">IFERROR(IF(A532=A531,0,SUM(_xlfn._xlws.FILTER(G532:G552,(A532:A552=A532)*(E532:E552&lt;0)))),0)</f>
        <v>-4560</v>
      </c>
      <c r="J532" s="25">
        <f t="array" ref="J532">IFERROR(IF(A532=A531,0,SUM(_xlfn._xlws.FILTER(G532:G552,(A532:A552=A532)*(E532:E552&gt;0)))),0)</f>
        <v>0</v>
      </c>
      <c r="K532" s="25">
        <f>IF(H532&lt;&gt;0,SUM(H$2:H532),0)</f>
        <v>-1959197.8695729997</v>
      </c>
      <c r="L532" s="25">
        <f>IF(I532&lt;&gt;0,SUM(I$2:I532),0)</f>
        <v>-23548066.479073003</v>
      </c>
      <c r="M532" s="25">
        <f>IF(J532&lt;&gt;0,SUM(J$2:J532),0)</f>
        <v>0</v>
      </c>
    </row>
    <row r="533" spans="1:13" hidden="1" x14ac:dyDescent="0.2">
      <c r="A533" s="5">
        <v>45940</v>
      </c>
      <c r="C533" s="5" t="s">
        <v>31</v>
      </c>
      <c r="D533" s="6">
        <v>4000</v>
      </c>
      <c r="E533" s="8">
        <v>-25.74</v>
      </c>
      <c r="G533" s="25">
        <f t="shared" si="8"/>
        <v>-102960</v>
      </c>
      <c r="H533" s="25">
        <f t="array" ref="H533">IF(A533=A532,0,SUM(_xlfn._xlws.FILTER(G533:G553,A533:A553=A533)))</f>
        <v>-315281.69999999995</v>
      </c>
      <c r="I533" s="25">
        <f t="array" ref="I533">IFERROR(IF(A533=A532,0,SUM(_xlfn._xlws.FILTER(G533:G553,(A533:A553=A533)*(E533:E553&lt;0)))),0)</f>
        <v>-335382.3</v>
      </c>
      <c r="J533" s="25">
        <f t="array" ref="J533">IFERROR(IF(A533=A532,0,SUM(_xlfn._xlws.FILTER(G533:G553,(A533:A553=A533)*(E533:E553&gt;0)))),0)</f>
        <v>20100.599999999999</v>
      </c>
      <c r="K533" s="25">
        <f>IF(H533&lt;&gt;0,SUM(H$2:H533),0)</f>
        <v>-2274479.5695729996</v>
      </c>
      <c r="L533" s="25">
        <f>IF(I533&lt;&gt;0,SUM(I$2:I533),0)</f>
        <v>-23883448.779073004</v>
      </c>
      <c r="M533" s="25">
        <f>IF(J533&lt;&gt;0,SUM(J$2:J533),0)</f>
        <v>21608969.209500007</v>
      </c>
    </row>
    <row r="534" spans="1:13" hidden="1" x14ac:dyDescent="0.2">
      <c r="A534" s="5">
        <v>45940</v>
      </c>
      <c r="C534" s="5" t="s">
        <v>37</v>
      </c>
      <c r="D534" s="6">
        <v>210</v>
      </c>
      <c r="E534" s="8">
        <v>-331.63</v>
      </c>
      <c r="G534" s="25">
        <f t="shared" si="8"/>
        <v>-69642.3</v>
      </c>
      <c r="H534" s="25">
        <f t="array" ref="H534">IF(A534=A533,0,SUM(_xlfn._xlws.FILTER(G534:G554,A534:A554=A534)))</f>
        <v>0</v>
      </c>
      <c r="I534" s="25">
        <f t="array" ref="I534">IFERROR(IF(A534=A533,0,SUM(_xlfn._xlws.FILTER(G534:G554,(A534:A554=A534)*(E534:E554&lt;0)))),0)</f>
        <v>0</v>
      </c>
      <c r="J534" s="25">
        <f t="array" ref="J534">IFERROR(IF(A534=A533,0,SUM(_xlfn._xlws.FILTER(G534:G554,(A534:A554=A534)*(E534:E554&gt;0)))),0)</f>
        <v>0</v>
      </c>
      <c r="K534" s="25">
        <f>IF(H534&lt;&gt;0,SUM(H$2:H534),0)</f>
        <v>0</v>
      </c>
      <c r="L534" s="25">
        <f>IF(I534&lt;&gt;0,SUM(I$2:I534),0)</f>
        <v>0</v>
      </c>
      <c r="M534" s="25">
        <f>IF(J534&lt;&gt;0,SUM(J$2:J534),0)</f>
        <v>0</v>
      </c>
    </row>
    <row r="535" spans="1:13" hidden="1" x14ac:dyDescent="0.2">
      <c r="A535" s="5">
        <v>45940</v>
      </c>
      <c r="C535" s="5" t="s">
        <v>196</v>
      </c>
      <c r="D535" s="6">
        <v>6000</v>
      </c>
      <c r="E535" s="8">
        <v>3.3500999999999999</v>
      </c>
      <c r="G535" s="25">
        <f t="shared" si="8"/>
        <v>20100.599999999999</v>
      </c>
      <c r="H535" s="25">
        <f t="array" ref="H535">IF(A535=A534,0,SUM(_xlfn._xlws.FILTER(G535:G555,A535:A555=A535)))</f>
        <v>0</v>
      </c>
      <c r="I535" s="25">
        <f t="array" ref="I535">IFERROR(IF(A535=A534,0,SUM(_xlfn._xlws.FILTER(G535:G555,(A535:A555=A535)*(E535:E555&lt;0)))),0)</f>
        <v>0</v>
      </c>
      <c r="J535" s="25">
        <f t="array" ref="J535">IFERROR(IF(A535=A534,0,SUM(_xlfn._xlws.FILTER(G535:G555,(A535:A555=A535)*(E535:E555&gt;0)))),0)</f>
        <v>0</v>
      </c>
      <c r="K535" s="25">
        <f>IF(H535&lt;&gt;0,SUM(H$2:H535),0)</f>
        <v>0</v>
      </c>
      <c r="L535" s="25">
        <f>IF(I535&lt;&gt;0,SUM(I$2:I535),0)</f>
        <v>0</v>
      </c>
      <c r="M535" s="25">
        <f>IF(J535&lt;&gt;0,SUM(J$2:J535),0)</f>
        <v>0</v>
      </c>
    </row>
    <row r="536" spans="1:13" hidden="1" x14ac:dyDescent="0.2">
      <c r="A536" s="5">
        <v>45940</v>
      </c>
      <c r="C536" s="5" t="s">
        <v>19</v>
      </c>
      <c r="D536" s="6">
        <v>200</v>
      </c>
      <c r="E536" s="8">
        <v>-813.9</v>
      </c>
      <c r="G536" s="25">
        <f t="shared" si="8"/>
        <v>-162780</v>
      </c>
      <c r="H536" s="25">
        <f t="array" ref="H536">IF(A536=A535,0,SUM(_xlfn._xlws.FILTER(G536:G556,A536:A556=A536)))</f>
        <v>0</v>
      </c>
      <c r="I536" s="25">
        <f t="array" ref="I536">IFERROR(IF(A536=A535,0,SUM(_xlfn._xlws.FILTER(G536:G556,(A536:A556=A536)*(E536:E556&lt;0)))),0)</f>
        <v>0</v>
      </c>
      <c r="J536" s="25">
        <f t="array" ref="J536">IFERROR(IF(A536=A535,0,SUM(_xlfn._xlws.FILTER(G536:G556,(A536:A556=A536)*(E536:E556&gt;0)))),0)</f>
        <v>0</v>
      </c>
      <c r="K536" s="25">
        <f>IF(H536&lt;&gt;0,SUM(H$2:H536),0)</f>
        <v>0</v>
      </c>
      <c r="L536" s="25">
        <f>IF(I536&lt;&gt;0,SUM(I$2:I536),0)</f>
        <v>0</v>
      </c>
      <c r="M536" s="25">
        <f>IF(J536&lt;&gt;0,SUM(J$2:J536),0)</f>
        <v>0</v>
      </c>
    </row>
    <row r="537" spans="1:13" hidden="1" x14ac:dyDescent="0.2">
      <c r="A537" s="1">
        <v>45943</v>
      </c>
      <c r="C537" s="2" t="s">
        <v>90</v>
      </c>
      <c r="D537" s="2">
        <v>200</v>
      </c>
      <c r="E537" s="4">
        <v>-248.52</v>
      </c>
      <c r="G537" s="25">
        <f t="shared" si="8"/>
        <v>-49704</v>
      </c>
      <c r="H537" s="25">
        <f t="array" ref="H537">IF(A537=A536,0,SUM(_xlfn._xlws.FILTER(G537:G557,A537:A557=A537)))</f>
        <v>-156682.5</v>
      </c>
      <c r="I537" s="25">
        <f t="array" ref="I537">IFERROR(IF(A537=A536,0,SUM(_xlfn._xlws.FILTER(G537:G557,(A537:A557=A537)*(E537:E557&lt;0)))),0)</f>
        <v>-156682.5</v>
      </c>
      <c r="J537" s="25">
        <f t="array" ref="J537">IFERROR(IF(A537=A536,0,SUM(_xlfn._xlws.FILTER(G537:G557,(A537:A557=A537)*(E537:E557&gt;0)))),0)</f>
        <v>0</v>
      </c>
      <c r="K537" s="25">
        <f>IF(H537&lt;&gt;0,SUM(H$2:H537),0)</f>
        <v>-2431162.0695729996</v>
      </c>
      <c r="L537" s="25">
        <f>IF(I537&lt;&gt;0,SUM(I$2:I537),0)</f>
        <v>-24040131.279073004</v>
      </c>
      <c r="M537" s="25">
        <f>IF(J537&lt;&gt;0,SUM(J$2:J537),0)</f>
        <v>0</v>
      </c>
    </row>
    <row r="538" spans="1:13" hidden="1" x14ac:dyDescent="0.2">
      <c r="A538" s="1">
        <v>45943</v>
      </c>
      <c r="C538" s="2" t="s">
        <v>278</v>
      </c>
      <c r="D538" s="2">
        <v>150</v>
      </c>
      <c r="E538" s="4">
        <v>-513.83000000000004</v>
      </c>
      <c r="G538" s="25">
        <f t="shared" si="8"/>
        <v>-77074.5</v>
      </c>
      <c r="H538" s="25">
        <f t="array" ref="H538">IF(A538=A537,0,SUM(_xlfn._xlws.FILTER(G538:G558,A538:A558=A538)))</f>
        <v>0</v>
      </c>
      <c r="I538" s="25">
        <f t="array" ref="I538">IFERROR(IF(A538=A537,0,SUM(_xlfn._xlws.FILTER(G538:G558,(A538:A558=A538)*(E538:E558&lt;0)))),0)</f>
        <v>0</v>
      </c>
      <c r="J538" s="25">
        <f t="array" ref="J538">IFERROR(IF(A538=A537,0,SUM(_xlfn._xlws.FILTER(G538:G558,(A538:A558=A538)*(E538:E558&gt;0)))),0)</f>
        <v>0</v>
      </c>
      <c r="K538" s="25">
        <f>IF(H538&lt;&gt;0,SUM(H$2:H538),0)</f>
        <v>0</v>
      </c>
      <c r="L538" s="25">
        <f>IF(I538&lt;&gt;0,SUM(I$2:I538),0)</f>
        <v>0</v>
      </c>
      <c r="M538" s="25">
        <f>IF(J538&lt;&gt;0,SUM(J$2:J538),0)</f>
        <v>0</v>
      </c>
    </row>
    <row r="539" spans="1:13" hidden="1" x14ac:dyDescent="0.2">
      <c r="A539" s="1">
        <v>45943</v>
      </c>
      <c r="C539" s="2" t="s">
        <v>45</v>
      </c>
      <c r="D539" s="2">
        <v>1200</v>
      </c>
      <c r="E539" s="4">
        <v>-24.92</v>
      </c>
      <c r="G539" s="25">
        <f t="shared" si="8"/>
        <v>-29904.000000000004</v>
      </c>
      <c r="H539" s="25">
        <f t="array" ref="H539">IF(A539=A538,0,SUM(_xlfn._xlws.FILTER(G539:G559,A539:A559=A539)))</f>
        <v>0</v>
      </c>
      <c r="I539" s="25">
        <f t="array" ref="I539">IFERROR(IF(A539=A538,0,SUM(_xlfn._xlws.FILTER(G539:G559,(A539:A559=A539)*(E539:E559&lt;0)))),0)</f>
        <v>0</v>
      </c>
      <c r="J539" s="25">
        <f t="array" ref="J539">IFERROR(IF(A539=A538,0,SUM(_xlfn._xlws.FILTER(G539:G559,(A539:A559=A539)*(E539:E559&gt;0)))),0)</f>
        <v>0</v>
      </c>
      <c r="K539" s="25">
        <f>IF(H539&lt;&gt;0,SUM(H$2:H539),0)</f>
        <v>0</v>
      </c>
      <c r="L539" s="25">
        <f>IF(I539&lt;&gt;0,SUM(I$2:I539),0)</f>
        <v>0</v>
      </c>
      <c r="M539" s="25">
        <f>IF(J539&lt;&gt;0,SUM(J$2:J539),0)</f>
        <v>0</v>
      </c>
    </row>
    <row r="540" spans="1:13" hidden="1" x14ac:dyDescent="0.2">
      <c r="A540" s="5">
        <v>45944</v>
      </c>
      <c r="C540" s="5" t="s">
        <v>25</v>
      </c>
      <c r="D540" s="6">
        <v>300</v>
      </c>
      <c r="E540" s="8">
        <v>84.704999999999998</v>
      </c>
      <c r="G540" s="25">
        <f t="shared" si="8"/>
        <v>25411.5</v>
      </c>
      <c r="H540" s="25">
        <f t="array" ref="H540">IF(A540=A539,0,SUM(_xlfn._xlws.FILTER(G540:G560,A540:A560=A540)))</f>
        <v>29259.360000000001</v>
      </c>
      <c r="I540" s="25">
        <f t="array" ref="I540">IFERROR(IF(A540=A539,0,SUM(_xlfn._xlws.FILTER(G540:G560,(A540:A560=A540)*(E540:E560&lt;0)))),0)</f>
        <v>0</v>
      </c>
      <c r="J540" s="25">
        <f t="array" ref="J540">IFERROR(IF(A540=A539,0,SUM(_xlfn._xlws.FILTER(G540:G560,(A540:A560=A540)*(E540:E560&gt;0)))),0)</f>
        <v>29259.360000000001</v>
      </c>
      <c r="K540" s="25">
        <f>IF(H540&lt;&gt;0,SUM(H$2:H540),0)</f>
        <v>-2401902.7095729997</v>
      </c>
      <c r="L540" s="25">
        <f>IF(I540&lt;&gt;0,SUM(I$2:I540),0)</f>
        <v>0</v>
      </c>
      <c r="M540" s="25">
        <f>IF(J540&lt;&gt;0,SUM(J$2:J540),0)</f>
        <v>21638228.569500007</v>
      </c>
    </row>
    <row r="541" spans="1:13" hidden="1" x14ac:dyDescent="0.2">
      <c r="A541" s="5">
        <v>45944</v>
      </c>
      <c r="C541" s="5" t="s">
        <v>113</v>
      </c>
      <c r="D541" s="6">
        <v>9</v>
      </c>
      <c r="E541" s="8">
        <v>427.54</v>
      </c>
      <c r="G541" s="25">
        <f t="shared" si="8"/>
        <v>3847.86</v>
      </c>
      <c r="H541" s="25">
        <f t="array" ref="H541">IF(A541=A540,0,SUM(_xlfn._xlws.FILTER(G541:G561,A541:A561=A541)))</f>
        <v>0</v>
      </c>
      <c r="I541" s="25">
        <f t="array" ref="I541">IFERROR(IF(A541=A540,0,SUM(_xlfn._xlws.FILTER(G541:G561,(A541:A561=A541)*(E541:E561&lt;0)))),0)</f>
        <v>0</v>
      </c>
      <c r="J541" s="25">
        <f t="array" ref="J541">IFERROR(IF(A541=A540,0,SUM(_xlfn._xlws.FILTER(G541:G561,(A541:A561=A541)*(E541:E561&gt;0)))),0)</f>
        <v>0</v>
      </c>
      <c r="K541" s="25">
        <f>IF(H541&lt;&gt;0,SUM(H$2:H541),0)</f>
        <v>0</v>
      </c>
      <c r="L541" s="25">
        <f>IF(I541&lt;&gt;0,SUM(I$2:I541),0)</f>
        <v>0</v>
      </c>
      <c r="M541" s="25">
        <f>IF(J541&lt;&gt;0,SUM(J$2:J541),0)</f>
        <v>0</v>
      </c>
    </row>
    <row r="542" spans="1:13" hidden="1" x14ac:dyDescent="0.2">
      <c r="A542" s="1">
        <v>45945</v>
      </c>
      <c r="C542" s="2" t="s">
        <v>31</v>
      </c>
      <c r="D542" s="2">
        <v>1000</v>
      </c>
      <c r="E542" s="2">
        <v>28.94</v>
      </c>
      <c r="G542" s="25">
        <f t="shared" si="8"/>
        <v>28940</v>
      </c>
      <c r="H542" s="25">
        <f t="array" ref="H542">IF(A542=A541,0,SUM(_xlfn._xlws.FILTER(G542:G562,A542:A562=A542)))</f>
        <v>150366.46000000002</v>
      </c>
      <c r="I542" s="25">
        <f t="array" ref="I542">IFERROR(IF(A542=A541,0,SUM(_xlfn._xlws.FILTER(G542:G562,(A542:A562=A542)*(E542:E562&lt;0)))),0)</f>
        <v>0</v>
      </c>
      <c r="J542" s="25">
        <f t="array" ref="J542">IFERROR(IF(A542=A541,0,SUM(_xlfn._xlws.FILTER(G542:G562,(A542:A562=A542)*(E542:E562&gt;0)))),0)</f>
        <v>150366.46000000002</v>
      </c>
      <c r="K542" s="25">
        <f>IF(H542&lt;&gt;0,SUM(H$2:H542),0)</f>
        <v>-2251536.2495729998</v>
      </c>
      <c r="L542" s="25">
        <f>IF(I542&lt;&gt;0,SUM(I$2:I542),0)</f>
        <v>0</v>
      </c>
      <c r="M542" s="25">
        <f>IF(J542&lt;&gt;0,SUM(J$2:J542),0)</f>
        <v>21788595.029500008</v>
      </c>
    </row>
    <row r="543" spans="1:13" hidden="1" x14ac:dyDescent="0.2">
      <c r="A543" s="1">
        <v>45945</v>
      </c>
      <c r="C543" s="2" t="s">
        <v>178</v>
      </c>
      <c r="D543" s="2">
        <v>2000</v>
      </c>
      <c r="E543" s="2">
        <v>5.61</v>
      </c>
      <c r="G543" s="25">
        <f t="shared" si="8"/>
        <v>11220</v>
      </c>
      <c r="H543" s="25">
        <f t="array" ref="H543">IF(A543=A542,0,SUM(_xlfn._xlws.FILTER(G543:G563,A543:A563=A543)))</f>
        <v>0</v>
      </c>
      <c r="I543" s="25">
        <f t="array" ref="I543">IFERROR(IF(A543=A542,0,SUM(_xlfn._xlws.FILTER(G543:G563,(A543:A563=A543)*(E543:E563&lt;0)))),0)</f>
        <v>0</v>
      </c>
      <c r="J543" s="25">
        <f t="array" ref="J543">IFERROR(IF(A543=A542,0,SUM(_xlfn._xlws.FILTER(G543:G563,(A543:A563=A543)*(E543:E563&gt;0)))),0)</f>
        <v>0</v>
      </c>
      <c r="K543" s="25">
        <f>IF(H543&lt;&gt;0,SUM(H$2:H543),0)</f>
        <v>0</v>
      </c>
      <c r="L543" s="25">
        <f>IF(I543&lt;&gt;0,SUM(I$2:I543),0)</f>
        <v>0</v>
      </c>
      <c r="M543" s="25">
        <f>IF(J543&lt;&gt;0,SUM(J$2:J543),0)</f>
        <v>0</v>
      </c>
    </row>
    <row r="544" spans="1:13" hidden="1" x14ac:dyDescent="0.2">
      <c r="A544" s="1">
        <v>45945</v>
      </c>
      <c r="C544" s="2" t="s">
        <v>39</v>
      </c>
      <c r="D544" s="2">
        <v>1000</v>
      </c>
      <c r="E544" s="2">
        <v>69.34</v>
      </c>
      <c r="G544" s="25">
        <f t="shared" si="8"/>
        <v>69340</v>
      </c>
      <c r="H544" s="25">
        <f t="array" ref="H544">IF(A544=A543,0,SUM(_xlfn._xlws.FILTER(G544:G564,A544:A564=A544)))</f>
        <v>0</v>
      </c>
      <c r="I544" s="25">
        <f t="array" ref="I544">IFERROR(IF(A544=A543,0,SUM(_xlfn._xlws.FILTER(G544:G564,(A544:A564=A544)*(E544:E564&lt;0)))),0)</f>
        <v>0</v>
      </c>
      <c r="J544" s="25">
        <f t="array" ref="J544">IFERROR(IF(A544=A543,0,SUM(_xlfn._xlws.FILTER(G544:G564,(A544:A564=A544)*(E544:E564&gt;0)))),0)</f>
        <v>0</v>
      </c>
      <c r="K544" s="25">
        <f>IF(H544&lt;&gt;0,SUM(H$2:H544),0)</f>
        <v>0</v>
      </c>
      <c r="L544" s="25">
        <f>IF(I544&lt;&gt;0,SUM(I$2:I544),0)</f>
        <v>0</v>
      </c>
      <c r="M544" s="25">
        <f>IF(J544&lt;&gt;0,SUM(J$2:J544),0)</f>
        <v>0</v>
      </c>
    </row>
    <row r="545" spans="1:13" hidden="1" x14ac:dyDescent="0.2">
      <c r="A545" s="1">
        <v>45945</v>
      </c>
      <c r="C545" s="2" t="s">
        <v>153</v>
      </c>
      <c r="D545" s="2">
        <v>149</v>
      </c>
      <c r="E545" s="2">
        <v>16.54</v>
      </c>
      <c r="G545" s="25">
        <f t="shared" si="8"/>
        <v>2464.46</v>
      </c>
      <c r="H545" s="25">
        <f t="array" ref="H545">IF(A545=A544,0,SUM(_xlfn._xlws.FILTER(G545:G565,A545:A565=A545)))</f>
        <v>0</v>
      </c>
      <c r="I545" s="25">
        <f t="array" ref="I545">IFERROR(IF(A545=A544,0,SUM(_xlfn._xlws.FILTER(G545:G565,(A545:A565=A545)*(E545:E565&lt;0)))),0)</f>
        <v>0</v>
      </c>
      <c r="J545" s="25">
        <f t="array" ref="J545">IFERROR(IF(A545=A544,0,SUM(_xlfn._xlws.FILTER(G545:G565,(A545:A565=A545)*(E545:E565&gt;0)))),0)</f>
        <v>0</v>
      </c>
      <c r="K545" s="25">
        <f>IF(H545&lt;&gt;0,SUM(H$2:H545),0)</f>
        <v>0</v>
      </c>
      <c r="L545" s="25">
        <f>IF(I545&lt;&gt;0,SUM(I$2:I545),0)</f>
        <v>0</v>
      </c>
      <c r="M545" s="25">
        <f>IF(J545&lt;&gt;0,SUM(J$2:J545),0)</f>
        <v>0</v>
      </c>
    </row>
    <row r="546" spans="1:13" hidden="1" x14ac:dyDescent="0.2">
      <c r="A546" s="1">
        <v>45945</v>
      </c>
      <c r="C546" s="2" t="s">
        <v>125</v>
      </c>
      <c r="D546" s="2">
        <v>200</v>
      </c>
      <c r="E546" s="2">
        <v>192.01</v>
      </c>
      <c r="G546" s="25">
        <f t="shared" si="8"/>
        <v>38402</v>
      </c>
      <c r="H546" s="25">
        <f t="array" ref="H546">IF(A546=A545,0,SUM(_xlfn._xlws.FILTER(G546:G566,A546:A566=A546)))</f>
        <v>0</v>
      </c>
      <c r="I546" s="25">
        <f t="array" ref="I546">IFERROR(IF(A546=A545,0,SUM(_xlfn._xlws.FILTER(G546:G566,(A546:A566=A546)*(E546:E566&lt;0)))),0)</f>
        <v>0</v>
      </c>
      <c r="J546" s="25">
        <f t="array" ref="J546">IFERROR(IF(A546=A545,0,SUM(_xlfn._xlws.FILTER(G546:G566,(A546:A566=A546)*(E546:E566&gt;0)))),0)</f>
        <v>0</v>
      </c>
      <c r="K546" s="25">
        <f>IF(H546&lt;&gt;0,SUM(H$2:H546),0)</f>
        <v>0</v>
      </c>
      <c r="L546" s="25">
        <f>IF(I546&lt;&gt;0,SUM(I$2:I546),0)</f>
        <v>0</v>
      </c>
      <c r="M546" s="25">
        <f>IF(J546&lt;&gt;0,SUM(J$2:J546),0)</f>
        <v>0</v>
      </c>
    </row>
    <row r="547" spans="1:13" hidden="1" x14ac:dyDescent="0.2">
      <c r="A547" s="5">
        <v>45946</v>
      </c>
      <c r="C547" s="5" t="s">
        <v>19</v>
      </c>
      <c r="D547" s="6">
        <v>100</v>
      </c>
      <c r="E547" s="8">
        <v>893.2</v>
      </c>
      <c r="G547" s="25">
        <f t="shared" si="8"/>
        <v>89320</v>
      </c>
      <c r="H547" s="25">
        <f t="array" ref="H547">IF(A547=A546,0,SUM(_xlfn._xlws.FILTER(G547:G567,A547:A567=A547)))</f>
        <v>-42706.000000000015</v>
      </c>
      <c r="I547" s="25">
        <f t="array" ref="I547">IFERROR(IF(A547=A546,0,SUM(_xlfn._xlws.FILTER(G547:G567,(A547:A567=A547)*(E547:E567&lt;0)))),0)</f>
        <v>-205296</v>
      </c>
      <c r="J547" s="25">
        <f t="array" ref="J547">IFERROR(IF(A547=A546,0,SUM(_xlfn._xlws.FILTER(G547:G567,(A547:A567=A547)*(E547:E567&gt;0)))),0)</f>
        <v>162590</v>
      </c>
      <c r="K547" s="25">
        <f>IF(H547&lt;&gt;0,SUM(H$2:H547),0)</f>
        <v>-2294242.2495729998</v>
      </c>
      <c r="L547" s="25">
        <f>IF(I547&lt;&gt;0,SUM(I$2:I547),0)</f>
        <v>-24245427.279073004</v>
      </c>
      <c r="M547" s="25">
        <f>IF(J547&lt;&gt;0,SUM(J$2:J547),0)</f>
        <v>21951185.029500008</v>
      </c>
    </row>
    <row r="548" spans="1:13" hidden="1" x14ac:dyDescent="0.2">
      <c r="A548" s="5">
        <v>45946</v>
      </c>
      <c r="C548" s="5" t="s">
        <v>320</v>
      </c>
      <c r="D548" s="6">
        <v>1000</v>
      </c>
      <c r="E548" s="8">
        <v>-59.8</v>
      </c>
      <c r="G548" s="25">
        <f t="shared" si="8"/>
        <v>-59800</v>
      </c>
      <c r="H548" s="25">
        <f t="array" ref="H548">IF(A548=A547,0,SUM(_xlfn._xlws.FILTER(G548:G568,A548:A568=A548)))</f>
        <v>0</v>
      </c>
      <c r="I548" s="25">
        <f t="array" ref="I548">IFERROR(IF(A548=A547,0,SUM(_xlfn._xlws.FILTER(G548:G568,(A548:A568=A548)*(E548:E568&lt;0)))),0)</f>
        <v>0</v>
      </c>
      <c r="J548" s="25">
        <f t="array" ref="J548">IFERROR(IF(A548=A547,0,SUM(_xlfn._xlws.FILTER(G548:G568,(A548:A568=A548)*(E548:E568&gt;0)))),0)</f>
        <v>0</v>
      </c>
      <c r="K548" s="25">
        <f>IF(H548&lt;&gt;0,SUM(H$2:H548),0)</f>
        <v>0</v>
      </c>
      <c r="L548" s="25">
        <f>IF(I548&lt;&gt;0,SUM(I$2:I548),0)</f>
        <v>0</v>
      </c>
      <c r="M548" s="25">
        <f>IF(J548&lt;&gt;0,SUM(J$2:J548),0)</f>
        <v>0</v>
      </c>
    </row>
    <row r="549" spans="1:13" hidden="1" x14ac:dyDescent="0.2">
      <c r="A549" s="5">
        <v>45946</v>
      </c>
      <c r="C549" s="5" t="s">
        <v>31</v>
      </c>
      <c r="D549" s="6">
        <v>1000</v>
      </c>
      <c r="E549" s="8">
        <v>-27.53</v>
      </c>
      <c r="G549" s="25">
        <f t="shared" si="8"/>
        <v>-27530</v>
      </c>
      <c r="H549" s="25">
        <f t="array" ref="H549">IF(A549=A548,0,SUM(_xlfn._xlws.FILTER(G549:G569,A549:A569=A549)))</f>
        <v>0</v>
      </c>
      <c r="I549" s="25">
        <f t="array" ref="I549">IFERROR(IF(A549=A548,0,SUM(_xlfn._xlws.FILTER(G549:G569,(A549:A569=A549)*(E549:E569&lt;0)))),0)</f>
        <v>0</v>
      </c>
      <c r="J549" s="25">
        <f t="array" ref="J549">IFERROR(IF(A549=A548,0,SUM(_xlfn._xlws.FILTER(G549:G569,(A549:A569=A549)*(E549:E569&gt;0)))),0)</f>
        <v>0</v>
      </c>
      <c r="K549" s="25">
        <f>IF(H549&lt;&gt;0,SUM(H$2:H549),0)</f>
        <v>0</v>
      </c>
      <c r="L549" s="25">
        <f>IF(I549&lt;&gt;0,SUM(I$2:I549),0)</f>
        <v>0</v>
      </c>
      <c r="M549" s="25">
        <f>IF(J549&lt;&gt;0,SUM(J$2:J549),0)</f>
        <v>0</v>
      </c>
    </row>
    <row r="550" spans="1:13" hidden="1" x14ac:dyDescent="0.2">
      <c r="A550" s="5">
        <v>45946</v>
      </c>
      <c r="C550" s="5" t="s">
        <v>303</v>
      </c>
      <c r="D550" s="6">
        <v>100</v>
      </c>
      <c r="E550" s="8">
        <v>-1179.6600000000001</v>
      </c>
      <c r="G550" s="25">
        <f t="shared" si="8"/>
        <v>-117966.00000000001</v>
      </c>
      <c r="H550" s="25">
        <f t="array" ref="H550">IF(A550=A549,0,SUM(_xlfn._xlws.FILTER(G550:G570,A550:A570=A550)))</f>
        <v>0</v>
      </c>
      <c r="I550" s="25">
        <f t="array" ref="I550">IFERROR(IF(A550=A549,0,SUM(_xlfn._xlws.FILTER(G550:G570,(A550:A570=A550)*(E550:E570&lt;0)))),0)</f>
        <v>0</v>
      </c>
      <c r="J550" s="25">
        <f t="array" ref="J550">IFERROR(IF(A550=A549,0,SUM(_xlfn._xlws.FILTER(G550:G570,(A550:A570=A550)*(E550:E570&gt;0)))),0)</f>
        <v>0</v>
      </c>
      <c r="K550" s="25">
        <f>IF(H550&lt;&gt;0,SUM(H$2:H550),0)</f>
        <v>0</v>
      </c>
      <c r="L550" s="25">
        <f>IF(I550&lt;&gt;0,SUM(I$2:I550),0)</f>
        <v>0</v>
      </c>
      <c r="M550" s="25">
        <f>IF(J550&lt;&gt;0,SUM(J$2:J550),0)</f>
        <v>0</v>
      </c>
    </row>
    <row r="551" spans="1:13" hidden="1" x14ac:dyDescent="0.2">
      <c r="A551" s="5">
        <v>45946</v>
      </c>
      <c r="C551" s="5" t="s">
        <v>566</v>
      </c>
      <c r="D551" s="6">
        <v>12000</v>
      </c>
      <c r="E551" s="8">
        <v>1.91</v>
      </c>
      <c r="G551" s="25">
        <f t="shared" si="8"/>
        <v>22920</v>
      </c>
      <c r="H551" s="25">
        <f t="array" ref="H551">IF(A551=A550,0,SUM(_xlfn._xlws.FILTER(G551:G571,A551:A571=A551)))</f>
        <v>0</v>
      </c>
      <c r="I551" s="25">
        <f t="array" ref="I551">IFERROR(IF(A551=A550,0,SUM(_xlfn._xlws.FILTER(G551:G571,(A551:A571=A551)*(E551:E571&lt;0)))),0)</f>
        <v>0</v>
      </c>
      <c r="J551" s="25">
        <f t="array" ref="J551">IFERROR(IF(A551=A550,0,SUM(_xlfn._xlws.FILTER(G551:G571,(A551:A571=A551)*(E551:E571&gt;0)))),0)</f>
        <v>0</v>
      </c>
      <c r="K551" s="25">
        <f>IF(H551&lt;&gt;0,SUM(H$2:H551),0)</f>
        <v>0</v>
      </c>
      <c r="L551" s="25">
        <f>IF(I551&lt;&gt;0,SUM(I$2:I551),0)</f>
        <v>0</v>
      </c>
      <c r="M551" s="25">
        <f>IF(J551&lt;&gt;0,SUM(J$2:J551),0)</f>
        <v>0</v>
      </c>
    </row>
    <row r="552" spans="1:13" hidden="1" x14ac:dyDescent="0.2">
      <c r="A552" s="5">
        <v>45946</v>
      </c>
      <c r="C552" s="5" t="s">
        <v>486</v>
      </c>
      <c r="D552" s="6">
        <v>5000</v>
      </c>
      <c r="E552" s="8">
        <v>10.07</v>
      </c>
      <c r="G552" s="25">
        <f t="shared" si="8"/>
        <v>50350</v>
      </c>
      <c r="H552" s="25">
        <f t="array" ref="H552">IF(A552=A551,0,SUM(_xlfn._xlws.FILTER(G552:G572,A552:A572=A552)))</f>
        <v>0</v>
      </c>
      <c r="I552" s="25">
        <f t="array" ref="I552">IFERROR(IF(A552=A551,0,SUM(_xlfn._xlws.FILTER(G552:G572,(A552:A572=A552)*(E552:E572&lt;0)))),0)</f>
        <v>0</v>
      </c>
      <c r="J552" s="25">
        <f t="array" ref="J552">IFERROR(IF(A552=A551,0,SUM(_xlfn._xlws.FILTER(G552:G572,(A552:A572=A552)*(E552:E572&gt;0)))),0)</f>
        <v>0</v>
      </c>
      <c r="K552" s="25">
        <f>IF(H552&lt;&gt;0,SUM(H$2:H552),0)</f>
        <v>0</v>
      </c>
      <c r="L552" s="25">
        <f>IF(I552&lt;&gt;0,SUM(I$2:I552),0)</f>
        <v>0</v>
      </c>
      <c r="M552" s="25">
        <f>IF(J552&lt;&gt;0,SUM(J$2:J552),0)</f>
        <v>0</v>
      </c>
    </row>
    <row r="553" spans="1:13" hidden="1" x14ac:dyDescent="0.2">
      <c r="A553" s="1">
        <v>45947</v>
      </c>
      <c r="C553" s="2" t="s">
        <v>320</v>
      </c>
      <c r="D553" s="2">
        <v>1000</v>
      </c>
      <c r="E553" s="4">
        <v>-58.89</v>
      </c>
      <c r="G553" s="25">
        <f t="shared" si="8"/>
        <v>-58890</v>
      </c>
      <c r="H553" s="25">
        <f t="array" ref="H553">IF(A553=A552,0,SUM(_xlfn._xlws.FILTER(G553:G573,A553:A573=A553)))</f>
        <v>121550.1</v>
      </c>
      <c r="I553" s="25">
        <f t="array" ref="I553">IFERROR(IF(A553=A552,0,SUM(_xlfn._xlws.FILTER(G553:G573,(A553:A573=A553)*(E553:E573&lt;0)))),0)</f>
        <v>-112910</v>
      </c>
      <c r="J553" s="25">
        <f t="array" ref="J553">IFERROR(IF(A553=A552,0,SUM(_xlfn._xlws.FILTER(G553:G573,(A553:A573=A553)*(E553:E573&gt;0)))),0)</f>
        <v>234460.1</v>
      </c>
      <c r="K553" s="25">
        <f>IF(H553&lt;&gt;0,SUM(H$2:H553),0)</f>
        <v>-2172692.1495729997</v>
      </c>
      <c r="L553" s="25">
        <f>IF(I553&lt;&gt;0,SUM(I$2:I553),0)</f>
        <v>-24358337.279073004</v>
      </c>
      <c r="M553" s="25">
        <f>IF(J553&lt;&gt;0,SUM(J$2:J553),0)</f>
        <v>22185645.129500009</v>
      </c>
    </row>
    <row r="554" spans="1:13" hidden="1" x14ac:dyDescent="0.2">
      <c r="A554" s="1">
        <v>45947</v>
      </c>
      <c r="C554" s="2" t="s">
        <v>94</v>
      </c>
      <c r="D554" s="2">
        <v>1000</v>
      </c>
      <c r="E554" s="4">
        <v>-54.02</v>
      </c>
      <c r="G554" s="25">
        <f t="shared" si="8"/>
        <v>-54020</v>
      </c>
      <c r="H554" s="25">
        <f t="array" ref="H554">IF(A554=A553,0,SUM(_xlfn._xlws.FILTER(G554:G574,A554:A574=A554)))</f>
        <v>0</v>
      </c>
      <c r="I554" s="25">
        <f t="array" ref="I554">IFERROR(IF(A554=A553,0,SUM(_xlfn._xlws.FILTER(G554:G574,(A554:A574=A554)*(E554:E574&lt;0)))),0)</f>
        <v>0</v>
      </c>
      <c r="J554" s="25">
        <f t="array" ref="J554">IFERROR(IF(A554=A553,0,SUM(_xlfn._xlws.FILTER(G554:G574,(A554:A574=A554)*(E554:E574&gt;0)))),0)</f>
        <v>0</v>
      </c>
      <c r="K554" s="25">
        <f>IF(H554&lt;&gt;0,SUM(H$2:H554),0)</f>
        <v>0</v>
      </c>
      <c r="L554" s="25">
        <f>IF(I554&lt;&gt;0,SUM(I$2:I554),0)</f>
        <v>0</v>
      </c>
      <c r="M554" s="25">
        <f>IF(J554&lt;&gt;0,SUM(J$2:J554),0)</f>
        <v>0</v>
      </c>
    </row>
    <row r="555" spans="1:13" hidden="1" x14ac:dyDescent="0.2">
      <c r="A555" s="1">
        <v>45947</v>
      </c>
      <c r="C555" s="2" t="s">
        <v>19</v>
      </c>
      <c r="D555" s="2">
        <v>100</v>
      </c>
      <c r="E555" s="4">
        <v>862.601</v>
      </c>
      <c r="G555" s="25">
        <f t="shared" si="8"/>
        <v>86260.1</v>
      </c>
      <c r="H555" s="25">
        <f t="array" ref="H555">IF(A555=A554,0,SUM(_xlfn._xlws.FILTER(G555:G575,A555:A575=A555)))</f>
        <v>0</v>
      </c>
      <c r="I555" s="25">
        <f t="array" ref="I555">IFERROR(IF(A555=A554,0,SUM(_xlfn._xlws.FILTER(G555:G575,(A555:A575=A555)*(E555:E575&lt;0)))),0)</f>
        <v>0</v>
      </c>
      <c r="J555" s="25">
        <f t="array" ref="J555">IFERROR(IF(A555=A554,0,SUM(_xlfn._xlws.FILTER(G555:G575,(A555:A575=A555)*(E555:E575&gt;0)))),0)</f>
        <v>0</v>
      </c>
      <c r="K555" s="25">
        <f>IF(H555&lt;&gt;0,SUM(H$2:H555),0)</f>
        <v>0</v>
      </c>
      <c r="L555" s="25">
        <f>IF(I555&lt;&gt;0,SUM(I$2:I555),0)</f>
        <v>0</v>
      </c>
      <c r="M555" s="25">
        <f>IF(J555&lt;&gt;0,SUM(J$2:J555),0)</f>
        <v>0</v>
      </c>
    </row>
    <row r="556" spans="1:13" hidden="1" x14ac:dyDescent="0.2">
      <c r="A556" s="1">
        <v>45947</v>
      </c>
      <c r="C556" s="2" t="s">
        <v>22</v>
      </c>
      <c r="D556" s="2">
        <v>500</v>
      </c>
      <c r="E556" s="4">
        <v>296.39999999999998</v>
      </c>
      <c r="G556" s="25">
        <f t="shared" si="8"/>
        <v>148200</v>
      </c>
      <c r="H556" s="25">
        <f t="array" ref="H556">IF(A556=A555,0,SUM(_xlfn._xlws.FILTER(G556:G576,A556:A576=A556)))</f>
        <v>0</v>
      </c>
      <c r="I556" s="25">
        <f t="array" ref="I556">IFERROR(IF(A556=A555,0,SUM(_xlfn._xlws.FILTER(G556:G576,(A556:A576=A556)*(E556:E576&lt;0)))),0)</f>
        <v>0</v>
      </c>
      <c r="J556" s="25">
        <f t="array" ref="J556">IFERROR(IF(A556=A555,0,SUM(_xlfn._xlws.FILTER(G556:G576,(A556:A576=A556)*(E556:E576&gt;0)))),0)</f>
        <v>0</v>
      </c>
      <c r="K556" s="25">
        <f>IF(H556&lt;&gt;0,SUM(H$2:H556),0)</f>
        <v>0</v>
      </c>
      <c r="L556" s="25">
        <f>IF(I556&lt;&gt;0,SUM(I$2:I556),0)</f>
        <v>0</v>
      </c>
      <c r="M556" s="25">
        <f>IF(J556&lt;&gt;0,SUM(J$2:J556),0)</f>
        <v>0</v>
      </c>
    </row>
    <row r="557" spans="1:13" hidden="1" x14ac:dyDescent="0.2">
      <c r="A557" s="5">
        <v>45950</v>
      </c>
      <c r="C557" s="5" t="s">
        <v>303</v>
      </c>
      <c r="D557" s="6">
        <v>100</v>
      </c>
      <c r="E557" s="8">
        <v>1233.56</v>
      </c>
      <c r="G557" s="25">
        <f t="shared" si="8"/>
        <v>123356</v>
      </c>
      <c r="H557" s="25">
        <f t="array" ref="H557">IF(A557=A556,0,SUM(_xlfn._xlws.FILTER(G557:G577,A557:A577=A557)))</f>
        <v>120468.79999999999</v>
      </c>
      <c r="I557" s="25">
        <f t="array" ref="I557">IFERROR(IF(A557=A556,0,SUM(_xlfn._xlws.FILTER(G557:G577,(A557:A577=A557)*(E557:E577&lt;0)))),0)</f>
        <v>-133167.20000000001</v>
      </c>
      <c r="J557" s="25">
        <f t="array" ref="J557">IFERROR(IF(A557=A556,0,SUM(_xlfn._xlws.FILTER(G557:G577,(A557:A577=A557)*(E557:E577&gt;0)))),0)</f>
        <v>253636</v>
      </c>
      <c r="K557" s="25">
        <f>IF(H557&lt;&gt;0,SUM(H$2:H557),0)</f>
        <v>-2052223.3495729996</v>
      </c>
      <c r="L557" s="25">
        <f>IF(I557&lt;&gt;0,SUM(I$2:I557),0)</f>
        <v>-24491504.479073003</v>
      </c>
      <c r="M557" s="25">
        <f>IF(J557&lt;&gt;0,SUM(J$2:J557),0)</f>
        <v>22439281.129500009</v>
      </c>
    </row>
    <row r="558" spans="1:13" hidden="1" x14ac:dyDescent="0.2">
      <c r="A558" s="5">
        <v>45950</v>
      </c>
      <c r="C558" s="5" t="s">
        <v>230</v>
      </c>
      <c r="D558" s="6">
        <v>3000</v>
      </c>
      <c r="E558" s="8">
        <v>12.02</v>
      </c>
      <c r="G558" s="25">
        <f t="shared" si="8"/>
        <v>36060</v>
      </c>
      <c r="H558" s="25">
        <f t="array" ref="H558">IF(A558=A557,0,SUM(_xlfn._xlws.FILTER(G558:G578,A558:A578=A558)))</f>
        <v>0</v>
      </c>
      <c r="I558" s="25">
        <f t="array" ref="I558">IFERROR(IF(A558=A557,0,SUM(_xlfn._xlws.FILTER(G558:G578,(A558:A578=A558)*(E558:E578&lt;0)))),0)</f>
        <v>0</v>
      </c>
      <c r="J558" s="25">
        <f t="array" ref="J558">IFERROR(IF(A558=A557,0,SUM(_xlfn._xlws.FILTER(G558:G578,(A558:A578=A558)*(E558:E578&gt;0)))),0)</f>
        <v>0</v>
      </c>
      <c r="K558" s="25">
        <f>IF(H558&lt;&gt;0,SUM(H$2:H558),0)</f>
        <v>0</v>
      </c>
      <c r="L558" s="25">
        <f>IF(I558&lt;&gt;0,SUM(I$2:I558),0)</f>
        <v>0</v>
      </c>
      <c r="M558" s="25">
        <f>IF(J558&lt;&gt;0,SUM(J$2:J558),0)</f>
        <v>0</v>
      </c>
    </row>
    <row r="559" spans="1:13" hidden="1" x14ac:dyDescent="0.2">
      <c r="A559" s="5">
        <v>45950</v>
      </c>
      <c r="C559" s="5" t="s">
        <v>45</v>
      </c>
      <c r="D559" s="6">
        <v>1800</v>
      </c>
      <c r="E559" s="8">
        <v>-22.63</v>
      </c>
      <c r="G559" s="25">
        <f t="shared" si="8"/>
        <v>-40734</v>
      </c>
      <c r="H559" s="25">
        <f t="array" ref="H559">IF(A559=A558,0,SUM(_xlfn._xlws.FILTER(G559:G579,A559:A579=A559)))</f>
        <v>0</v>
      </c>
      <c r="I559" s="25">
        <f t="array" ref="I559">IFERROR(IF(A559=A558,0,SUM(_xlfn._xlws.FILTER(G559:G579,(A559:A579=A559)*(E559:E579&lt;0)))),0)</f>
        <v>0</v>
      </c>
      <c r="J559" s="25">
        <f t="array" ref="J559">IFERROR(IF(A559=A558,0,SUM(_xlfn._xlws.FILTER(G559:G579,(A559:A579=A559)*(E559:E579&gt;0)))),0)</f>
        <v>0</v>
      </c>
      <c r="K559" s="25">
        <f>IF(H559&lt;&gt;0,SUM(H$2:H559),0)</f>
        <v>0</v>
      </c>
      <c r="L559" s="25">
        <f>IF(I559&lt;&gt;0,SUM(I$2:I559),0)</f>
        <v>0</v>
      </c>
      <c r="M559" s="25">
        <f>IF(J559&lt;&gt;0,SUM(J$2:J559),0)</f>
        <v>0</v>
      </c>
    </row>
    <row r="560" spans="1:13" hidden="1" x14ac:dyDescent="0.2">
      <c r="A560" s="5">
        <v>45950</v>
      </c>
      <c r="C560" s="5" t="s">
        <v>41</v>
      </c>
      <c r="D560" s="6">
        <v>1340</v>
      </c>
      <c r="E560" s="8">
        <v>-68.98</v>
      </c>
      <c r="G560" s="25">
        <f t="shared" si="8"/>
        <v>-92433.200000000012</v>
      </c>
      <c r="H560" s="25">
        <f t="array" ref="H560">IF(A560=A559,0,SUM(_xlfn._xlws.FILTER(G560:G580,A560:A580=A560)))</f>
        <v>0</v>
      </c>
      <c r="I560" s="25">
        <f t="array" ref="I560">IFERROR(IF(A560=A559,0,SUM(_xlfn._xlws.FILTER(G560:G580,(A560:A580=A560)*(E560:E580&lt;0)))),0)</f>
        <v>0</v>
      </c>
      <c r="J560" s="25">
        <f t="array" ref="J560">IFERROR(IF(A560=A559,0,SUM(_xlfn._xlws.FILTER(G560:G580,(A560:A580=A560)*(E560:E580&gt;0)))),0)</f>
        <v>0</v>
      </c>
      <c r="K560" s="25">
        <f>IF(H560&lt;&gt;0,SUM(H$2:H560),0)</f>
        <v>0</v>
      </c>
      <c r="L560" s="25">
        <f>IF(I560&lt;&gt;0,SUM(I$2:I560),0)</f>
        <v>0</v>
      </c>
      <c r="M560" s="25">
        <f>IF(J560&lt;&gt;0,SUM(J$2:J560),0)</f>
        <v>0</v>
      </c>
    </row>
    <row r="561" spans="1:13" hidden="1" x14ac:dyDescent="0.2">
      <c r="A561" s="5">
        <v>45950</v>
      </c>
      <c r="C561" s="5" t="s">
        <v>190</v>
      </c>
      <c r="D561" s="6">
        <v>1000</v>
      </c>
      <c r="E561" s="8">
        <v>94.22</v>
      </c>
      <c r="G561" s="25">
        <f t="shared" si="8"/>
        <v>94220</v>
      </c>
      <c r="H561" s="25">
        <f t="array" ref="H561">IF(A561=A560,0,SUM(_xlfn._xlws.FILTER(G561:G581,A561:A581=A561)))</f>
        <v>0</v>
      </c>
      <c r="I561" s="25">
        <f t="array" ref="I561">IFERROR(IF(A561=A560,0,SUM(_xlfn._xlws.FILTER(G561:G581,(A561:A581=A561)*(E561:E581&lt;0)))),0)</f>
        <v>0</v>
      </c>
      <c r="J561" s="25">
        <f t="array" ref="J561">IFERROR(IF(A561=A560,0,SUM(_xlfn._xlws.FILTER(G561:G581,(A561:A581=A561)*(E561:E581&gt;0)))),0)</f>
        <v>0</v>
      </c>
      <c r="K561" s="25">
        <f>IF(H561&lt;&gt;0,SUM(H$2:H561),0)</f>
        <v>0</v>
      </c>
      <c r="L561" s="25">
        <f>IF(I561&lt;&gt;0,SUM(I$2:I561),0)</f>
        <v>0</v>
      </c>
      <c r="M561" s="25">
        <f>IF(J561&lt;&gt;0,SUM(J$2:J561),0)</f>
        <v>0</v>
      </c>
    </row>
    <row r="562" spans="1:13" hidden="1" x14ac:dyDescent="0.2">
      <c r="A562" s="1">
        <v>45951</v>
      </c>
      <c r="C562" s="2" t="s">
        <v>90</v>
      </c>
      <c r="D562" s="2">
        <v>500</v>
      </c>
      <c r="E562" s="4">
        <v>263.58</v>
      </c>
      <c r="G562" s="25">
        <f t="shared" si="8"/>
        <v>131790</v>
      </c>
      <c r="H562" s="25">
        <f t="array" ref="H562">IF(A562=A561,0,SUM(_xlfn._xlws.FILTER(G562:G582,A562:A582=A562)))</f>
        <v>76055</v>
      </c>
      <c r="I562" s="25">
        <f t="array" ref="I562">IFERROR(IF(A562=A561,0,SUM(_xlfn._xlws.FILTER(G562:G582,(A562:A582=A562)*(E562:E582&lt;0)))),0)</f>
        <v>-226400</v>
      </c>
      <c r="J562" s="25">
        <f t="array" ref="J562">IFERROR(IF(A562=A561,0,SUM(_xlfn._xlws.FILTER(G562:G582,(A562:A582=A562)*(E562:E582&gt;0)))),0)</f>
        <v>302455</v>
      </c>
      <c r="K562" s="25">
        <f>IF(H562&lt;&gt;0,SUM(H$2:H562),0)</f>
        <v>-1976168.3495729996</v>
      </c>
      <c r="L562" s="25">
        <f>IF(I562&lt;&gt;0,SUM(I$2:I562),0)</f>
        <v>-24717904.479073003</v>
      </c>
      <c r="M562" s="25">
        <f>IF(J562&lt;&gt;0,SUM(J$2:J562),0)</f>
        <v>22741736.129500009</v>
      </c>
    </row>
    <row r="563" spans="1:13" hidden="1" x14ac:dyDescent="0.2">
      <c r="A563" s="1">
        <v>45951</v>
      </c>
      <c r="C563" s="2" t="s">
        <v>109</v>
      </c>
      <c r="D563" s="2">
        <v>500</v>
      </c>
      <c r="E563" s="4">
        <v>221.65</v>
      </c>
      <c r="G563" s="25">
        <f t="shared" si="8"/>
        <v>110825</v>
      </c>
      <c r="H563" s="25">
        <f t="array" ref="H563">IF(A563=A562,0,SUM(_xlfn._xlws.FILTER(G563:G583,A563:A583=A563)))</f>
        <v>0</v>
      </c>
      <c r="I563" s="25">
        <f t="array" ref="I563">IFERROR(IF(A563=A562,0,SUM(_xlfn._xlws.FILTER(G563:G583,(A563:A583=A563)*(E563:E583&lt;0)))),0)</f>
        <v>0</v>
      </c>
      <c r="J563" s="25">
        <f t="array" ref="J563">IFERROR(IF(A563=A562,0,SUM(_xlfn._xlws.FILTER(G563:G583,(A563:A583=A563)*(E563:E583&gt;0)))),0)</f>
        <v>0</v>
      </c>
      <c r="K563" s="25">
        <f>IF(H563&lt;&gt;0,SUM(H$2:H563),0)</f>
        <v>0</v>
      </c>
      <c r="L563" s="25">
        <f>IF(I563&lt;&gt;0,SUM(I$2:I563),0)</f>
        <v>0</v>
      </c>
      <c r="M563" s="25">
        <f>IF(J563&lt;&gt;0,SUM(J$2:J563),0)</f>
        <v>0</v>
      </c>
    </row>
    <row r="564" spans="1:13" hidden="1" x14ac:dyDescent="0.2">
      <c r="A564" s="1">
        <v>45951</v>
      </c>
      <c r="C564" s="2" t="s">
        <v>190</v>
      </c>
      <c r="D564" s="2">
        <v>2000</v>
      </c>
      <c r="E564" s="4">
        <v>-86.41</v>
      </c>
      <c r="G564" s="25">
        <f t="shared" si="8"/>
        <v>-172820</v>
      </c>
      <c r="H564" s="25">
        <f t="array" ref="H564">IF(A564=A563,0,SUM(_xlfn._xlws.FILTER(G564:G584,A564:A584=A564)))</f>
        <v>0</v>
      </c>
      <c r="I564" s="25">
        <f t="array" ref="I564">IFERROR(IF(A564=A563,0,SUM(_xlfn._xlws.FILTER(G564:G584,(A564:A584=A564)*(E564:E584&lt;0)))),0)</f>
        <v>0</v>
      </c>
      <c r="J564" s="25">
        <f t="array" ref="J564">IFERROR(IF(A564=A563,0,SUM(_xlfn._xlws.FILTER(G564:G584,(A564:A584=A564)*(E564:E584&gt;0)))),0)</f>
        <v>0</v>
      </c>
      <c r="K564" s="25">
        <f>IF(H564&lt;&gt;0,SUM(H$2:H564),0)</f>
        <v>0</v>
      </c>
      <c r="L564" s="25">
        <f>IF(I564&lt;&gt;0,SUM(I$2:I564),0)</f>
        <v>0</v>
      </c>
      <c r="M564" s="25">
        <f>IF(J564&lt;&gt;0,SUM(J$2:J564),0)</f>
        <v>0</v>
      </c>
    </row>
    <row r="565" spans="1:13" hidden="1" x14ac:dyDescent="0.2">
      <c r="A565" s="1">
        <v>45951</v>
      </c>
      <c r="C565" s="2" t="s">
        <v>193</v>
      </c>
      <c r="D565" s="2">
        <v>1500</v>
      </c>
      <c r="E565" s="4">
        <v>-35.72</v>
      </c>
      <c r="G565" s="25">
        <f t="shared" si="8"/>
        <v>-53580</v>
      </c>
      <c r="H565" s="25">
        <f t="array" ref="H565">IF(A565=A564,0,SUM(_xlfn._xlws.FILTER(G565:G585,A565:A585=A565)))</f>
        <v>0</v>
      </c>
      <c r="I565" s="25">
        <f t="array" ref="I565">IFERROR(IF(A565=A564,0,SUM(_xlfn._xlws.FILTER(G565:G585,(A565:A585=A565)*(E565:E585&lt;0)))),0)</f>
        <v>0</v>
      </c>
      <c r="J565" s="25">
        <f t="array" ref="J565">IFERROR(IF(A565=A564,0,SUM(_xlfn._xlws.FILTER(G565:G585,(A565:A585=A565)*(E565:E585&gt;0)))),0)</f>
        <v>0</v>
      </c>
      <c r="K565" s="25">
        <f>IF(H565&lt;&gt;0,SUM(H$2:H565),0)</f>
        <v>0</v>
      </c>
      <c r="L565" s="25">
        <f>IF(I565&lt;&gt;0,SUM(I$2:I565),0)</f>
        <v>0</v>
      </c>
      <c r="M565" s="25">
        <f>IF(J565&lt;&gt;0,SUM(J$2:J565),0)</f>
        <v>0</v>
      </c>
    </row>
    <row r="566" spans="1:13" hidden="1" x14ac:dyDescent="0.2">
      <c r="A566" s="1">
        <v>45951</v>
      </c>
      <c r="C566" s="2" t="s">
        <v>185</v>
      </c>
      <c r="D566" s="2">
        <v>2000</v>
      </c>
      <c r="E566" s="4">
        <v>29.92</v>
      </c>
      <c r="G566" s="25">
        <f t="shared" si="8"/>
        <v>59840</v>
      </c>
      <c r="H566" s="25">
        <f t="array" ref="H566">IF(A566=A565,0,SUM(_xlfn._xlws.FILTER(G566:G586,A566:A586=A566)))</f>
        <v>0</v>
      </c>
      <c r="I566" s="25">
        <f t="array" ref="I566">IFERROR(IF(A566=A565,0,SUM(_xlfn._xlws.FILTER(G566:G586,(A566:A586=A566)*(E566:E586&lt;0)))),0)</f>
        <v>0</v>
      </c>
      <c r="J566" s="25">
        <f t="array" ref="J566">IFERROR(IF(A566=A565,0,SUM(_xlfn._xlws.FILTER(G566:G586,(A566:A586=A566)*(E566:E586&gt;0)))),0)</f>
        <v>0</v>
      </c>
      <c r="K566" s="25">
        <f>IF(H566&lt;&gt;0,SUM(H$2:H566),0)</f>
        <v>0</v>
      </c>
      <c r="L566" s="25">
        <f>IF(I566&lt;&gt;0,SUM(I$2:I566),0)</f>
        <v>0</v>
      </c>
      <c r="M566" s="25">
        <f>IF(J566&lt;&gt;0,SUM(J$2:J566),0)</f>
        <v>0</v>
      </c>
    </row>
    <row r="567" spans="1:13" hidden="1" x14ac:dyDescent="0.2">
      <c r="A567" s="5">
        <v>45952</v>
      </c>
      <c r="C567" s="5" t="s">
        <v>125</v>
      </c>
      <c r="D567" s="6">
        <v>300</v>
      </c>
      <c r="E567" s="8">
        <v>-183.16</v>
      </c>
      <c r="G567" s="25">
        <f t="shared" si="8"/>
        <v>-54948</v>
      </c>
      <c r="H567" s="25">
        <f t="array" ref="H567">IF(A567=A566,0,SUM(_xlfn._xlws.FILTER(G567:G587,A567:A587=A567)))</f>
        <v>-1646915</v>
      </c>
      <c r="I567" s="25">
        <f t="array" ref="I567">IFERROR(IF(A567=A566,0,SUM(_xlfn._xlws.FILTER(G567:G587,(A567:A587=A567)*(E567:E587&lt;0)))),0)</f>
        <v>-1736755</v>
      </c>
      <c r="J567" s="25">
        <f t="array" ref="J567">IFERROR(IF(A567=A566,0,SUM(_xlfn._xlws.FILTER(G567:G587,(A567:A587=A567)*(E567:E587&gt;0)))),0)</f>
        <v>89840</v>
      </c>
      <c r="K567" s="25">
        <f>IF(H567&lt;&gt;0,SUM(H$2:H567),0)</f>
        <v>-3623083.3495729994</v>
      </c>
      <c r="L567" s="25">
        <f>IF(I567&lt;&gt;0,SUM(I$2:I567),0)</f>
        <v>-26454659.479073003</v>
      </c>
      <c r="M567" s="25">
        <f>IF(J567&lt;&gt;0,SUM(J$2:J567),0)</f>
        <v>22831576.129500009</v>
      </c>
    </row>
    <row r="568" spans="1:13" hidden="1" x14ac:dyDescent="0.2">
      <c r="A568" s="5">
        <v>45952</v>
      </c>
      <c r="C568" s="5" t="s">
        <v>139</v>
      </c>
      <c r="D568" s="6">
        <v>10000</v>
      </c>
      <c r="E568" s="8">
        <v>402.8</v>
      </c>
      <c r="G568" s="25">
        <f t="shared" si="8"/>
        <v>40280</v>
      </c>
      <c r="H568" s="25">
        <f t="array" ref="H568">IF(A568=A567,0,SUM(_xlfn._xlws.FILTER(G568:G588,A568:A588=A568)))</f>
        <v>0</v>
      </c>
      <c r="I568" s="25">
        <f t="array" ref="I568">IFERROR(IF(A568=A567,0,SUM(_xlfn._xlws.FILTER(G568:G588,(A568:A588=A568)*(E568:E588&lt;0)))),0)</f>
        <v>0</v>
      </c>
      <c r="J568" s="25">
        <f t="array" ref="J568">IFERROR(IF(A568=A567,0,SUM(_xlfn._xlws.FILTER(G568:G588,(A568:A588=A568)*(E568:E588&gt;0)))),0)</f>
        <v>0</v>
      </c>
      <c r="K568" s="25">
        <f>IF(H568&lt;&gt;0,SUM(H$2:H568),0)</f>
        <v>0</v>
      </c>
      <c r="L568" s="25">
        <f>IF(I568&lt;&gt;0,SUM(I$2:I568),0)</f>
        <v>0</v>
      </c>
      <c r="M568" s="25">
        <f>IF(J568&lt;&gt;0,SUM(J$2:J568),0)</f>
        <v>0</v>
      </c>
    </row>
    <row r="569" spans="1:13" hidden="1" x14ac:dyDescent="0.2">
      <c r="A569" s="5">
        <v>45952</v>
      </c>
      <c r="C569" s="5" t="s">
        <v>122</v>
      </c>
      <c r="D569" s="6">
        <v>10000</v>
      </c>
      <c r="E569" s="8">
        <v>495.6</v>
      </c>
      <c r="G569" s="25">
        <f t="shared" si="8"/>
        <v>49560</v>
      </c>
      <c r="H569" s="25">
        <f t="array" ref="H569">IF(A569=A568,0,SUM(_xlfn._xlws.FILTER(G569:G589,A569:A589=A569)))</f>
        <v>0</v>
      </c>
      <c r="I569" s="25">
        <f t="array" ref="I569">IFERROR(IF(A569=A568,0,SUM(_xlfn._xlws.FILTER(G569:G589,(A569:A589=A569)*(E569:E589&lt;0)))),0)</f>
        <v>0</v>
      </c>
      <c r="J569" s="25">
        <f t="array" ref="J569">IFERROR(IF(A569=A568,0,SUM(_xlfn._xlws.FILTER(G569:G589,(A569:A589=A569)*(E569:E589&gt;0)))),0)</f>
        <v>0</v>
      </c>
      <c r="K569" s="25">
        <f>IF(H569&lt;&gt;0,SUM(H$2:H569),0)</f>
        <v>0</v>
      </c>
      <c r="L569" s="25">
        <f>IF(I569&lt;&gt;0,SUM(I$2:I569),0)</f>
        <v>0</v>
      </c>
      <c r="M569" s="25">
        <f>IF(J569&lt;&gt;0,SUM(J$2:J569),0)</f>
        <v>0</v>
      </c>
    </row>
    <row r="570" spans="1:13" hidden="1" x14ac:dyDescent="0.2">
      <c r="A570" s="5">
        <v>45952</v>
      </c>
      <c r="C570" s="5" t="s">
        <v>303</v>
      </c>
      <c r="D570" s="6">
        <v>1300</v>
      </c>
      <c r="E570" s="8">
        <v>-1117.45</v>
      </c>
      <c r="G570" s="25">
        <f t="shared" si="8"/>
        <v>-1452685</v>
      </c>
      <c r="H570" s="25">
        <f t="array" ref="H570">IF(A570=A569,0,SUM(_xlfn._xlws.FILTER(G570:G590,A570:A590=A570)))</f>
        <v>0</v>
      </c>
      <c r="I570" s="25">
        <f t="array" ref="I570">IFERROR(IF(A570=A569,0,SUM(_xlfn._xlws.FILTER(G570:G590,(A570:A590=A570)*(E570:E590&lt;0)))),0)</f>
        <v>0</v>
      </c>
      <c r="J570" s="25">
        <f t="array" ref="J570">IFERROR(IF(A570=A569,0,SUM(_xlfn._xlws.FILTER(G570:G590,(A570:A590=A570)*(E570:E590&gt;0)))),0)</f>
        <v>0</v>
      </c>
      <c r="K570" s="25">
        <f>IF(H570&lt;&gt;0,SUM(H$2:H570),0)</f>
        <v>0</v>
      </c>
      <c r="L570" s="25">
        <f>IF(I570&lt;&gt;0,SUM(I$2:I570),0)</f>
        <v>0</v>
      </c>
      <c r="M570" s="25">
        <f>IF(J570&lt;&gt;0,SUM(J$2:J570),0)</f>
        <v>0</v>
      </c>
    </row>
    <row r="571" spans="1:13" hidden="1" x14ac:dyDescent="0.2">
      <c r="A571" s="5">
        <v>45952</v>
      </c>
      <c r="C571" s="5" t="s">
        <v>22</v>
      </c>
      <c r="D571" s="6">
        <v>800</v>
      </c>
      <c r="E571" s="8">
        <v>-286.40249999999997</v>
      </c>
      <c r="G571" s="25">
        <f t="shared" si="8"/>
        <v>-229121.99999999997</v>
      </c>
      <c r="H571" s="25">
        <f t="array" ref="H571">IF(A571=A570,0,SUM(_xlfn._xlws.FILTER(G571:G591,A571:A591=A571)))</f>
        <v>0</v>
      </c>
      <c r="I571" s="25">
        <f t="array" ref="I571">IFERROR(IF(A571=A570,0,SUM(_xlfn._xlws.FILTER(G571:G591,(A571:A591=A571)*(E571:E591&lt;0)))),0)</f>
        <v>0</v>
      </c>
      <c r="J571" s="25">
        <f t="array" ref="J571">IFERROR(IF(A571=A570,0,SUM(_xlfn._xlws.FILTER(G571:G591,(A571:A591=A571)*(E571:E591&gt;0)))),0)</f>
        <v>0</v>
      </c>
      <c r="K571" s="25">
        <f>IF(H571&lt;&gt;0,SUM(H$2:H571),0)</f>
        <v>0</v>
      </c>
      <c r="L571" s="25">
        <f>IF(I571&lt;&gt;0,SUM(I$2:I571),0)</f>
        <v>0</v>
      </c>
      <c r="M571" s="25">
        <f>IF(J571&lt;&gt;0,SUM(J$2:J571),0)</f>
        <v>0</v>
      </c>
    </row>
    <row r="572" spans="1:13" hidden="1" x14ac:dyDescent="0.2">
      <c r="A572" s="1">
        <v>45953</v>
      </c>
      <c r="C572" s="2" t="s">
        <v>139</v>
      </c>
      <c r="D572" s="2">
        <v>10000</v>
      </c>
      <c r="E572" s="4">
        <v>405.01</v>
      </c>
      <c r="G572" s="25">
        <f t="shared" si="8"/>
        <v>40501</v>
      </c>
      <c r="H572" s="25">
        <f t="array" ref="H572">IF(A572=A571,0,SUM(_xlfn._xlws.FILTER(G572:G592,A572:A592=A572)))</f>
        <v>-511279</v>
      </c>
      <c r="I572" s="25">
        <f t="array" ref="I572">IFERROR(IF(A572=A571,0,SUM(_xlfn._xlws.FILTER(G572:G592,(A572:A592=A572)*(E572:E592&lt;0)))),0)</f>
        <v>-551780</v>
      </c>
      <c r="J572" s="25">
        <f t="array" ref="J572">IFERROR(IF(A572=A571,0,SUM(_xlfn._xlws.FILTER(G572:G592,(A572:A592=A572)*(E572:E592&gt;0)))),0)</f>
        <v>40501</v>
      </c>
      <c r="K572" s="25">
        <f>IF(H572&lt;&gt;0,SUM(H$2:H572),0)</f>
        <v>-4134362.3495729994</v>
      </c>
      <c r="L572" s="25">
        <f>IF(I572&lt;&gt;0,SUM(I$2:I572),0)</f>
        <v>-27006439.479073003</v>
      </c>
      <c r="M572" s="25">
        <f>IF(J572&lt;&gt;0,SUM(J$2:J572),0)</f>
        <v>22872077.129500009</v>
      </c>
    </row>
    <row r="573" spans="1:13" hidden="1" x14ac:dyDescent="0.2">
      <c r="A573" s="1">
        <v>45953</v>
      </c>
      <c r="C573" s="2" t="s">
        <v>303</v>
      </c>
      <c r="D573" s="2">
        <v>500</v>
      </c>
      <c r="E573" s="4">
        <v>-1103.56</v>
      </c>
      <c r="G573" s="25">
        <f t="shared" si="8"/>
        <v>-551780</v>
      </c>
      <c r="H573" s="25">
        <f t="array" ref="H573">IF(A573=A572,0,SUM(_xlfn._xlws.FILTER(G573:G593,A573:A593=A573)))</f>
        <v>0</v>
      </c>
      <c r="I573" s="25">
        <f t="array" ref="I573">IFERROR(IF(A573=A572,0,SUM(_xlfn._xlws.FILTER(G573:G593,(A573:A593=A573)*(E573:E593&lt;0)))),0)</f>
        <v>0</v>
      </c>
      <c r="J573" s="25">
        <f t="array" ref="J573">IFERROR(IF(A573=A572,0,SUM(_xlfn._xlws.FILTER(G573:G593,(A573:A593=A573)*(E573:E593&gt;0)))),0)</f>
        <v>0</v>
      </c>
      <c r="K573" s="25">
        <f>IF(H573&lt;&gt;0,SUM(H$2:H573),0)</f>
        <v>0</v>
      </c>
      <c r="L573" s="25">
        <f>IF(I573&lt;&gt;0,SUM(I$2:I573),0)</f>
        <v>0</v>
      </c>
      <c r="M573" s="25">
        <f>IF(J573&lt;&gt;0,SUM(J$2:J573),0)</f>
        <v>0</v>
      </c>
    </row>
    <row r="574" spans="1:13" hidden="1" x14ac:dyDescent="0.2">
      <c r="A574" s="5">
        <v>45954</v>
      </c>
      <c r="C574" s="5" t="s">
        <v>19</v>
      </c>
      <c r="D574" s="6">
        <v>100</v>
      </c>
      <c r="E574" s="8">
        <v>894.75</v>
      </c>
      <c r="G574" s="25">
        <f t="shared" si="8"/>
        <v>89475</v>
      </c>
      <c r="H574" s="25">
        <f t="array" ref="H574">IF(A574=A573,0,SUM(_xlfn._xlws.FILTER(G574:G594,A574:A594=A574)))</f>
        <v>-611723.34</v>
      </c>
      <c r="I574" s="25">
        <f t="array" ref="I574">IFERROR(IF(A574=A573,0,SUM(_xlfn._xlws.FILTER(G574:G594,(A574:A594=A574)*(E574:E594&lt;0)))),0)</f>
        <v>-782438.34</v>
      </c>
      <c r="J574" s="25">
        <f t="array" ref="J574">IFERROR(IF(A574=A573,0,SUM(_xlfn._xlws.FILTER(G574:G594,(A574:A594=A574)*(E574:E594&gt;0)))),0)</f>
        <v>170715</v>
      </c>
      <c r="K574" s="25">
        <f>IF(H574&lt;&gt;0,SUM(H$2:H574),0)</f>
        <v>-4746085.6895729993</v>
      </c>
      <c r="L574" s="25">
        <f>IF(I574&lt;&gt;0,SUM(I$2:I574),0)</f>
        <v>-27788877.819073003</v>
      </c>
      <c r="M574" s="25">
        <f>IF(J574&lt;&gt;0,SUM(J$2:J574),0)</f>
        <v>23042792.129500009</v>
      </c>
    </row>
    <row r="575" spans="1:13" hidden="1" x14ac:dyDescent="0.2">
      <c r="A575" s="5">
        <v>45954</v>
      </c>
      <c r="C575" s="5" t="s">
        <v>139</v>
      </c>
      <c r="D575" s="6">
        <v>20000</v>
      </c>
      <c r="E575" s="8">
        <v>406.2</v>
      </c>
      <c r="G575" s="25">
        <f t="shared" si="8"/>
        <v>81240</v>
      </c>
      <c r="H575" s="25">
        <f t="array" ref="H575">IF(A575=A574,0,SUM(_xlfn._xlws.FILTER(G575:G595,A575:A595=A575)))</f>
        <v>0</v>
      </c>
      <c r="I575" s="25">
        <f t="array" ref="I575">IFERROR(IF(A575=A574,0,SUM(_xlfn._xlws.FILTER(G575:G595,(A575:A595=A575)*(E575:E595&lt;0)))),0)</f>
        <v>0</v>
      </c>
      <c r="J575" s="25">
        <f t="array" ref="J575">IFERROR(IF(A575=A574,0,SUM(_xlfn._xlws.FILTER(G575:G595,(A575:A595=A575)*(E575:E595&gt;0)))),0)</f>
        <v>0</v>
      </c>
      <c r="K575" s="25">
        <f>IF(H575&lt;&gt;0,SUM(H$2:H575),0)</f>
        <v>0</v>
      </c>
      <c r="L575" s="25">
        <f>IF(I575&lt;&gt;0,SUM(I$2:I575),0)</f>
        <v>0</v>
      </c>
      <c r="M575" s="25">
        <f>IF(J575&lt;&gt;0,SUM(J$2:J575),0)</f>
        <v>0</v>
      </c>
    </row>
    <row r="576" spans="1:13" hidden="1" x14ac:dyDescent="0.2">
      <c r="A576" s="5">
        <v>45954</v>
      </c>
      <c r="C576" s="5" t="s">
        <v>41</v>
      </c>
      <c r="D576" s="6">
        <v>1000</v>
      </c>
      <c r="E576" s="8">
        <v>-66.995000000000005</v>
      </c>
      <c r="G576" s="25">
        <f t="shared" si="8"/>
        <v>-66995</v>
      </c>
      <c r="H576" s="25">
        <f t="array" ref="H576">IF(A576=A575,0,SUM(_xlfn._xlws.FILTER(G576:G596,A576:A596=A576)))</f>
        <v>0</v>
      </c>
      <c r="I576" s="25">
        <f t="array" ref="I576">IFERROR(IF(A576=A575,0,SUM(_xlfn._xlws.FILTER(G576:G596,(A576:A596=A576)*(E576:E596&lt;0)))),0)</f>
        <v>0</v>
      </c>
      <c r="J576" s="25">
        <f t="array" ref="J576">IFERROR(IF(A576=A575,0,SUM(_xlfn._xlws.FILTER(G576:G596,(A576:A596=A576)*(E576:E596&gt;0)))),0)</f>
        <v>0</v>
      </c>
      <c r="K576" s="25">
        <f>IF(H576&lt;&gt;0,SUM(H$2:H576),0)</f>
        <v>0</v>
      </c>
      <c r="L576" s="25">
        <f>IF(I576&lt;&gt;0,SUM(I$2:I576),0)</f>
        <v>0</v>
      </c>
      <c r="M576" s="25">
        <f>IF(J576&lt;&gt;0,SUM(J$2:J576),0)</f>
        <v>0</v>
      </c>
    </row>
    <row r="577" spans="1:13" hidden="1" x14ac:dyDescent="0.2">
      <c r="A577" s="5">
        <v>45954</v>
      </c>
      <c r="C577" s="5" t="s">
        <v>190</v>
      </c>
      <c r="D577" s="6">
        <v>2000</v>
      </c>
      <c r="E577" s="8">
        <v>-83.501670000000004</v>
      </c>
      <c r="G577" s="25">
        <f t="shared" si="8"/>
        <v>-167003.34</v>
      </c>
      <c r="H577" s="25">
        <f t="array" ref="H577">IF(A577=A576,0,SUM(_xlfn._xlws.FILTER(G577:G597,A577:A597=A577)))</f>
        <v>0</v>
      </c>
      <c r="I577" s="25">
        <f t="array" ref="I577">IFERROR(IF(A577=A576,0,SUM(_xlfn._xlws.FILTER(G577:G597,(A577:A597=A577)*(E577:E597&lt;0)))),0)</f>
        <v>0</v>
      </c>
      <c r="J577" s="25">
        <f t="array" ref="J577">IFERROR(IF(A577=A576,0,SUM(_xlfn._xlws.FILTER(G577:G597,(A577:A597=A577)*(E577:E597&gt;0)))),0)</f>
        <v>0</v>
      </c>
      <c r="K577" s="25">
        <f>IF(H577&lt;&gt;0,SUM(H$2:H577),0)</f>
        <v>0</v>
      </c>
      <c r="L577" s="25">
        <f>IF(I577&lt;&gt;0,SUM(I$2:I577),0)</f>
        <v>0</v>
      </c>
      <c r="M577" s="25">
        <f>IF(J577&lt;&gt;0,SUM(J$2:J577),0)</f>
        <v>0</v>
      </c>
    </row>
    <row r="578" spans="1:13" hidden="1" x14ac:dyDescent="0.2">
      <c r="A578" s="5">
        <v>45954</v>
      </c>
      <c r="C578" s="5" t="s">
        <v>303</v>
      </c>
      <c r="D578" s="6">
        <v>500</v>
      </c>
      <c r="E578" s="8">
        <v>-1096.8800000000001</v>
      </c>
      <c r="G578" s="25">
        <f t="shared" ref="G578:G627" si="9">D578*E578*IF(OR(C578="IAG",C578="EZJ",C578="AET"),0.01,1)</f>
        <v>-548440</v>
      </c>
      <c r="H578" s="25">
        <f t="array" ref="H578">IF(A578=A577,0,SUM(_xlfn._xlws.FILTER(G578:G598,A578:A598=A578)))</f>
        <v>0</v>
      </c>
      <c r="I578" s="25">
        <f t="array" ref="I578">IFERROR(IF(A578=A577,0,SUM(_xlfn._xlws.FILTER(G578:G598,(A578:A598=A578)*(E578:E598&lt;0)))),0)</f>
        <v>0</v>
      </c>
      <c r="J578" s="25">
        <f t="array" ref="J578">IFERROR(IF(A578=A577,0,SUM(_xlfn._xlws.FILTER(G578:G598,(A578:A598=A578)*(E578:E598&gt;0)))),0)</f>
        <v>0</v>
      </c>
      <c r="K578" s="25">
        <f>IF(H578&lt;&gt;0,SUM(H$2:H578),0)</f>
        <v>0</v>
      </c>
      <c r="L578" s="25">
        <f>IF(I578&lt;&gt;0,SUM(I$2:I578),0)</f>
        <v>0</v>
      </c>
      <c r="M578" s="25">
        <f>IF(J578&lt;&gt;0,SUM(J$2:J578),0)</f>
        <v>0</v>
      </c>
    </row>
    <row r="579" spans="1:13" hidden="1" x14ac:dyDescent="0.2">
      <c r="A579" s="1">
        <v>45957</v>
      </c>
      <c r="C579" s="2" t="s">
        <v>139</v>
      </c>
      <c r="D579" s="2">
        <v>10000</v>
      </c>
      <c r="E579" s="2">
        <v>410.07</v>
      </c>
      <c r="G579" s="25">
        <f t="shared" si="9"/>
        <v>41007</v>
      </c>
      <c r="H579" s="25">
        <f t="array" ref="H579">IF(A579=A578,0,SUM(_xlfn._xlws.FILTER(G579:G599,A579:A599=A579)))</f>
        <v>133317.20000000001</v>
      </c>
      <c r="I579" s="25">
        <f t="array" ref="I579">IFERROR(IF(A579=A578,0,SUM(_xlfn._xlws.FILTER(G579:G599,(A579:A599=A579)*(E579:E599&lt;0)))),0)</f>
        <v>0</v>
      </c>
      <c r="J579" s="25">
        <f t="array" ref="J579">IFERROR(IF(A579=A578,0,SUM(_xlfn._xlws.FILTER(G579:G599,(A579:A599=A579)*(E579:E599&gt;0)))),0)</f>
        <v>133317.20000000001</v>
      </c>
      <c r="K579" s="25">
        <f>IF(H579&lt;&gt;0,SUM(H$2:H579),0)</f>
        <v>-4612768.4895729991</v>
      </c>
      <c r="L579" s="25">
        <f>IF(I579&lt;&gt;0,SUM(I$2:I579),0)</f>
        <v>0</v>
      </c>
      <c r="M579" s="25">
        <f>IF(J579&lt;&gt;0,SUM(J$2:J579),0)</f>
        <v>23176109.329500008</v>
      </c>
    </row>
    <row r="580" spans="1:13" hidden="1" x14ac:dyDescent="0.2">
      <c r="A580" s="1">
        <v>45957</v>
      </c>
      <c r="C580" s="2" t="s">
        <v>19</v>
      </c>
      <c r="D580" s="2">
        <v>100</v>
      </c>
      <c r="E580" s="2">
        <v>910.25</v>
      </c>
      <c r="G580" s="25">
        <f t="shared" si="9"/>
        <v>91025</v>
      </c>
      <c r="H580" s="25">
        <f t="array" ref="H580">IF(A580=A579,0,SUM(_xlfn._xlws.FILTER(G580:G600,A580:A600=A580)))</f>
        <v>0</v>
      </c>
      <c r="I580" s="25">
        <f t="array" ref="I580">IFERROR(IF(A580=A579,0,SUM(_xlfn._xlws.FILTER(G580:G600,(A580:A600=A580)*(E580:E600&lt;0)))),0)</f>
        <v>0</v>
      </c>
      <c r="J580" s="25">
        <f t="array" ref="J580">IFERROR(IF(A580=A579,0,SUM(_xlfn._xlws.FILTER(G580:G600,(A580:A600=A580)*(E580:E600&gt;0)))),0)</f>
        <v>0</v>
      </c>
      <c r="K580" s="25">
        <f>IF(H580&lt;&gt;0,SUM(H$2:H580),0)</f>
        <v>0</v>
      </c>
      <c r="L580" s="25">
        <f>IF(I580&lt;&gt;0,SUM(I$2:I580),0)</f>
        <v>0</v>
      </c>
      <c r="M580" s="25">
        <f>IF(J580&lt;&gt;0,SUM(J$2:J580),0)</f>
        <v>0</v>
      </c>
    </row>
    <row r="581" spans="1:13" hidden="1" x14ac:dyDescent="0.2">
      <c r="A581" s="5">
        <v>45957</v>
      </c>
      <c r="C581" s="5" t="s">
        <v>320</v>
      </c>
      <c r="D581" s="6">
        <v>21</v>
      </c>
      <c r="E581" s="8">
        <v>61.2</v>
      </c>
      <c r="G581" s="25">
        <f t="shared" si="9"/>
        <v>1285.2</v>
      </c>
      <c r="H581" s="25">
        <f t="array" ref="H581">IF(A581=A580,0,SUM(_xlfn._xlws.FILTER(G581:G601,A581:A601=A581)))</f>
        <v>0</v>
      </c>
      <c r="I581" s="25">
        <f t="array" ref="I581">IFERROR(IF(A581=A580,0,SUM(_xlfn._xlws.FILTER(G581:G601,(A581:A601=A581)*(E581:E601&lt;0)))),0)</f>
        <v>0</v>
      </c>
      <c r="J581" s="25">
        <f t="array" ref="J581">IFERROR(IF(A581=A580,0,SUM(_xlfn._xlws.FILTER(G581:G601,(A581:A601=A581)*(E581:E601&gt;0)))),0)</f>
        <v>0</v>
      </c>
      <c r="K581" s="25">
        <f>IF(H581&lt;&gt;0,SUM(H$2:H581),0)</f>
        <v>0</v>
      </c>
      <c r="L581" s="25">
        <f>IF(I581&lt;&gt;0,SUM(I$2:I581),0)</f>
        <v>0</v>
      </c>
      <c r="M581" s="25">
        <f>IF(J581&lt;&gt;0,SUM(J$2:J581),0)</f>
        <v>0</v>
      </c>
    </row>
    <row r="582" spans="1:13" hidden="1" x14ac:dyDescent="0.2">
      <c r="A582" s="5">
        <v>45958</v>
      </c>
      <c r="C582" s="5" t="s">
        <v>45</v>
      </c>
      <c r="D582" s="6">
        <v>1800</v>
      </c>
      <c r="E582" s="8">
        <v>24.12</v>
      </c>
      <c r="G582" s="25">
        <f t="shared" si="9"/>
        <v>43416</v>
      </c>
      <c r="H582" s="25">
        <f t="array" ref="H582">IF(A582=A581,0,SUM(_xlfn._xlws.FILTER(G582:G602,A582:A602=A582)))</f>
        <v>-36183</v>
      </c>
      <c r="I582" s="25">
        <f t="array" ref="I582">IFERROR(IF(A582=A581,0,SUM(_xlfn._xlws.FILTER(G582:G602,(A582:A602=A582)*(E582:E602&lt;0)))),0)</f>
        <v>-79599</v>
      </c>
      <c r="J582" s="25">
        <f t="array" ref="J582">IFERROR(IF(A582=A581,0,SUM(_xlfn._xlws.FILTER(G582:G602,(A582:A602=A582)*(E582:E602&gt;0)))),0)</f>
        <v>43416</v>
      </c>
      <c r="K582" s="25">
        <f>IF(H582&lt;&gt;0,SUM(H$2:H582),0)</f>
        <v>-4648951.4895729991</v>
      </c>
      <c r="L582" s="25">
        <f>IF(I582&lt;&gt;0,SUM(I$2:I582),0)</f>
        <v>-27868476.819073003</v>
      </c>
      <c r="M582" s="25">
        <f>IF(J582&lt;&gt;0,SUM(J$2:J582),0)</f>
        <v>23219525.329500008</v>
      </c>
    </row>
    <row r="583" spans="1:13" hidden="1" x14ac:dyDescent="0.2">
      <c r="A583" s="5">
        <v>45958</v>
      </c>
      <c r="C583" s="5" t="s">
        <v>190</v>
      </c>
      <c r="D583" s="6">
        <v>1000</v>
      </c>
      <c r="E583" s="8">
        <v>-79.599000000000004</v>
      </c>
      <c r="G583" s="25">
        <f t="shared" si="9"/>
        <v>-79599</v>
      </c>
      <c r="H583" s="25">
        <f t="array" ref="H583">IF(A583=A582,0,SUM(_xlfn._xlws.FILTER(G583:G603,A583:A603=A583)))</f>
        <v>0</v>
      </c>
      <c r="I583" s="25">
        <f t="array" ref="I583">IFERROR(IF(A583=A582,0,SUM(_xlfn._xlws.FILTER(G583:G603,(A583:A603=A583)*(E583:E603&lt;0)))),0)</f>
        <v>0</v>
      </c>
      <c r="J583" s="25">
        <f t="array" ref="J583">IFERROR(IF(A583=A582,0,SUM(_xlfn._xlws.FILTER(G583:G603,(A583:A603=A583)*(E583:E603&gt;0)))),0)</f>
        <v>0</v>
      </c>
      <c r="K583" s="25">
        <f>IF(H583&lt;&gt;0,SUM(H$2:H583),0)</f>
        <v>0</v>
      </c>
      <c r="L583" s="25">
        <f>IF(I583&lt;&gt;0,SUM(I$2:I583),0)</f>
        <v>0</v>
      </c>
      <c r="M583" s="25">
        <f>IF(J583&lt;&gt;0,SUM(J$2:J583),0)</f>
        <v>0</v>
      </c>
    </row>
    <row r="584" spans="1:13" hidden="1" x14ac:dyDescent="0.2">
      <c r="A584" s="1">
        <v>45959</v>
      </c>
      <c r="C584" s="2" t="s">
        <v>188</v>
      </c>
      <c r="D584" s="2">
        <v>1500</v>
      </c>
      <c r="E584" s="4">
        <v>-28</v>
      </c>
      <c r="G584" s="25">
        <f t="shared" si="9"/>
        <v>-42000</v>
      </c>
      <c r="H584" s="25">
        <f t="array" ref="H584">IF(A584=A583,0,SUM(_xlfn._xlws.FILTER(G584:G604,A584:A604=A584)))</f>
        <v>-61478.899999999994</v>
      </c>
      <c r="I584" s="25">
        <f t="array" ref="I584">IFERROR(IF(A584=A583,0,SUM(_xlfn._xlws.FILTER(G584:G604,(A584:A604=A584)*(E584:E604&lt;0)))),0)</f>
        <v>-82006.399999999994</v>
      </c>
      <c r="J584" s="25">
        <f t="array" ref="J584">IFERROR(IF(A584=A583,0,SUM(_xlfn._xlws.FILTER(G584:G604,(A584:A604=A584)*(E584:E604&gt;0)))),0)</f>
        <v>20527.5</v>
      </c>
      <c r="K584" s="25">
        <f>IF(H584&lt;&gt;0,SUM(H$2:H584),0)</f>
        <v>-4710430.3895729994</v>
      </c>
      <c r="L584" s="25">
        <f>IF(I584&lt;&gt;0,SUM(I$2:I584),0)</f>
        <v>-27950483.219073001</v>
      </c>
      <c r="M584" s="25">
        <f>IF(J584&lt;&gt;0,SUM(J$2:J584),0)</f>
        <v>23240052.829500008</v>
      </c>
    </row>
    <row r="585" spans="1:13" hidden="1" x14ac:dyDescent="0.2">
      <c r="A585" s="1">
        <v>45959</v>
      </c>
      <c r="C585" s="2" t="s">
        <v>153</v>
      </c>
      <c r="D585" s="2">
        <v>2632</v>
      </c>
      <c r="E585" s="4">
        <v>-15.2</v>
      </c>
      <c r="G585" s="25">
        <f t="shared" si="9"/>
        <v>-40006.400000000001</v>
      </c>
      <c r="H585" s="25">
        <f t="array" ref="H585">IF(A585=A584,0,SUM(_xlfn._xlws.FILTER(G585:G605,A585:A605=A585)))</f>
        <v>0</v>
      </c>
      <c r="I585" s="25">
        <f t="array" ref="I585">IFERROR(IF(A585=A584,0,SUM(_xlfn._xlws.FILTER(G585:G605,(A585:A605=A585)*(E585:E605&lt;0)))),0)</f>
        <v>0</v>
      </c>
      <c r="J585" s="25">
        <f t="array" ref="J585">IFERROR(IF(A585=A584,0,SUM(_xlfn._xlws.FILTER(G585:G605,(A585:A605=A585)*(E585:E605&gt;0)))),0)</f>
        <v>0</v>
      </c>
      <c r="K585" s="25">
        <f>IF(H585&lt;&gt;0,SUM(H$2:H585),0)</f>
        <v>0</v>
      </c>
      <c r="L585" s="25">
        <f>IF(I585&lt;&gt;0,SUM(I$2:I585),0)</f>
        <v>0</v>
      </c>
      <c r="M585" s="25">
        <f>IF(J585&lt;&gt;0,SUM(J$2:J585),0)</f>
        <v>0</v>
      </c>
    </row>
    <row r="586" spans="1:13" hidden="1" x14ac:dyDescent="0.2">
      <c r="A586" s="1">
        <v>45959</v>
      </c>
      <c r="C586" s="2" t="s">
        <v>139</v>
      </c>
      <c r="D586" s="2">
        <v>5000</v>
      </c>
      <c r="E586" s="4">
        <v>410.55</v>
      </c>
      <c r="G586" s="25">
        <f t="shared" si="9"/>
        <v>20527.5</v>
      </c>
      <c r="H586" s="25">
        <f t="array" ref="H586">IF(A586=A585,0,SUM(_xlfn._xlws.FILTER(G586:G606,A586:A606=A586)))</f>
        <v>0</v>
      </c>
      <c r="I586" s="25">
        <f t="array" ref="I586">IFERROR(IF(A586=A585,0,SUM(_xlfn._xlws.FILTER(G586:G606,(A586:A606=A586)*(E586:E606&lt;0)))),0)</f>
        <v>0</v>
      </c>
      <c r="J586" s="25">
        <f t="array" ref="J586">IFERROR(IF(A586=A585,0,SUM(_xlfn._xlws.FILTER(G586:G606,(A586:A606=A586)*(E586:E606&gt;0)))),0)</f>
        <v>0</v>
      </c>
      <c r="K586" s="25">
        <f>IF(H586&lt;&gt;0,SUM(H$2:H586),0)</f>
        <v>0</v>
      </c>
      <c r="L586" s="25">
        <f>IF(I586&lt;&gt;0,SUM(I$2:I586),0)</f>
        <v>0</v>
      </c>
      <c r="M586" s="25">
        <f>IF(J586&lt;&gt;0,SUM(J$2:J586),0)</f>
        <v>0</v>
      </c>
    </row>
    <row r="587" spans="1:13" hidden="1" x14ac:dyDescent="0.2">
      <c r="A587" s="5">
        <v>45960</v>
      </c>
      <c r="C587" s="5" t="s">
        <v>190</v>
      </c>
      <c r="D587" s="6">
        <v>1000</v>
      </c>
      <c r="E587" s="8">
        <v>-80.88</v>
      </c>
      <c r="G587" s="25">
        <f t="shared" si="9"/>
        <v>-80880</v>
      </c>
      <c r="H587" s="25">
        <f t="array" ref="H587">IF(A587=A586,0,SUM(_xlfn._xlws.FILTER(G587:G607,A587:A607=A587)))</f>
        <v>-80880</v>
      </c>
      <c r="I587" s="25">
        <f t="array" ref="I587">IFERROR(IF(A587=A586,0,SUM(_xlfn._xlws.FILTER(G587:G607,(A587:A607=A587)*(E587:E607&lt;0)))),0)</f>
        <v>-80880</v>
      </c>
      <c r="J587" s="25">
        <f t="array" ref="J587">IFERROR(IF(A587=A586,0,SUM(_xlfn._xlws.FILTER(G587:G607,(A587:A607=A587)*(E587:E607&gt;0)))),0)</f>
        <v>0</v>
      </c>
      <c r="K587" s="25">
        <f>IF(H587&lt;&gt;0,SUM(H$2:H587),0)</f>
        <v>-4791310.3895729994</v>
      </c>
      <c r="L587" s="25">
        <f>IF(I587&lt;&gt;0,SUM(I$2:I587),0)</f>
        <v>-28031363.219073001</v>
      </c>
      <c r="M587" s="25">
        <f>IF(J587&lt;&gt;0,SUM(J$2:J587),0)</f>
        <v>0</v>
      </c>
    </row>
    <row r="588" spans="1:13" hidden="1" x14ac:dyDescent="0.2">
      <c r="A588" s="1">
        <v>45961</v>
      </c>
      <c r="C588" s="2" t="s">
        <v>190</v>
      </c>
      <c r="D588" s="2">
        <v>1000</v>
      </c>
      <c r="E588" s="4">
        <v>-79.88</v>
      </c>
      <c r="G588" s="25">
        <f t="shared" si="9"/>
        <v>-79880</v>
      </c>
      <c r="H588" s="25">
        <f t="array" ref="H588">IF(A588=A587,0,SUM(_xlfn._xlws.FILTER(G588:G608,A588:A608=A588)))</f>
        <v>22135.800000000003</v>
      </c>
      <c r="I588" s="25">
        <f t="array" ref="I588">IFERROR(IF(A588=A587,0,SUM(_xlfn._xlws.FILTER(G588:G608,(A588:A608=A588)*(E588:E608&lt;0)))),0)</f>
        <v>-79880</v>
      </c>
      <c r="J588" s="25">
        <f t="array" ref="J588">IFERROR(IF(A588=A587,0,SUM(_xlfn._xlws.FILTER(G588:G608,(A588:A608=A588)*(E588:E608&gt;0)))),0)</f>
        <v>102015.8</v>
      </c>
      <c r="K588" s="25">
        <f>IF(H588&lt;&gt;0,SUM(H$2:H588),0)</f>
        <v>-4769174.5895729996</v>
      </c>
      <c r="L588" s="25">
        <f>IF(I588&lt;&gt;0,SUM(I$2:I588),0)</f>
        <v>-28111243.219073001</v>
      </c>
      <c r="M588" s="25">
        <f>IF(J588&lt;&gt;0,SUM(J$2:J588),0)</f>
        <v>23342068.629500009</v>
      </c>
    </row>
    <row r="589" spans="1:13" hidden="1" x14ac:dyDescent="0.2">
      <c r="A589" s="1">
        <v>45961</v>
      </c>
      <c r="C589" s="2" t="s">
        <v>320</v>
      </c>
      <c r="D589" s="2">
        <v>979</v>
      </c>
      <c r="E589" s="4">
        <v>61.2</v>
      </c>
      <c r="G589" s="25">
        <f t="shared" si="9"/>
        <v>59914.8</v>
      </c>
      <c r="H589" s="25">
        <f t="array" ref="H589">IF(A589=A588,0,SUM(_xlfn._xlws.FILTER(G589:G609,A589:A609=A589)))</f>
        <v>0</v>
      </c>
      <c r="I589" s="25">
        <f t="array" ref="I589">IFERROR(IF(A589=A588,0,SUM(_xlfn._xlws.FILTER(G589:G609,(A589:A609=A589)*(E589:E609&lt;0)))),0)</f>
        <v>0</v>
      </c>
      <c r="J589" s="25">
        <f t="array" ref="J589">IFERROR(IF(A589=A588,0,SUM(_xlfn._xlws.FILTER(G589:G609,(A589:A609=A589)*(E589:E609&gt;0)))),0)</f>
        <v>0</v>
      </c>
      <c r="K589" s="25">
        <f>IF(H589&lt;&gt;0,SUM(H$2:H589),0)</f>
        <v>0</v>
      </c>
      <c r="L589" s="25">
        <f>IF(I589&lt;&gt;0,SUM(I$2:I589),0)</f>
        <v>0</v>
      </c>
      <c r="M589" s="25">
        <f>IF(J589&lt;&gt;0,SUM(J$2:J589),0)</f>
        <v>0</v>
      </c>
    </row>
    <row r="590" spans="1:13" hidden="1" x14ac:dyDescent="0.2">
      <c r="A590" s="1">
        <v>45961</v>
      </c>
      <c r="C590" s="2" t="s">
        <v>139</v>
      </c>
      <c r="D590" s="2">
        <v>10000</v>
      </c>
      <c r="E590" s="4">
        <v>421.01</v>
      </c>
      <c r="G590" s="25">
        <f t="shared" si="9"/>
        <v>42101</v>
      </c>
      <c r="H590" s="25">
        <f t="array" ref="H590">IF(A590=A589,0,SUM(_xlfn._xlws.FILTER(G590:G610,A590:A610=A590)))</f>
        <v>0</v>
      </c>
      <c r="I590" s="25">
        <f t="array" ref="I590">IFERROR(IF(A590=A589,0,SUM(_xlfn._xlws.FILTER(G590:G610,(A590:A610=A590)*(E590:E610&lt;0)))),0)</f>
        <v>0</v>
      </c>
      <c r="J590" s="25">
        <f t="array" ref="J590">IFERROR(IF(A590=A589,0,SUM(_xlfn._xlws.FILTER(G590:G610,(A590:A610=A590)*(E590:E610&gt;0)))),0)</f>
        <v>0</v>
      </c>
      <c r="K590" s="25">
        <f>IF(H590&lt;&gt;0,SUM(H$2:H590),0)</f>
        <v>0</v>
      </c>
      <c r="L590" s="25">
        <f>IF(I590&lt;&gt;0,SUM(I$2:I590),0)</f>
        <v>0</v>
      </c>
      <c r="M590" s="25">
        <f>IF(J590&lt;&gt;0,SUM(J$2:J590),0)</f>
        <v>0</v>
      </c>
    </row>
    <row r="591" spans="1:13" hidden="1" x14ac:dyDescent="0.2">
      <c r="A591" s="5">
        <v>45964</v>
      </c>
      <c r="C591" s="5" t="s">
        <v>139</v>
      </c>
      <c r="D591" s="6">
        <v>25000</v>
      </c>
      <c r="E591" s="8">
        <v>427.2</v>
      </c>
      <c r="G591" s="25">
        <f t="shared" si="9"/>
        <v>106800</v>
      </c>
      <c r="H591" s="25">
        <f t="array" ref="H591">IF(A591=A590,0,SUM(_xlfn._xlws.FILTER(G591:G611,A591:A611=A591)))</f>
        <v>139466.13</v>
      </c>
      <c r="I591" s="25">
        <f t="array" ref="I591">IFERROR(IF(A591=A590,0,SUM(_xlfn._xlws.FILTER(G591:G611,(A591:A611=A591)*(E591:E611&lt;0)))),0)</f>
        <v>0</v>
      </c>
      <c r="J591" s="25">
        <f t="array" ref="J591">IFERROR(IF(A591=A590,0,SUM(_xlfn._xlws.FILTER(G591:G611,(A591:A611=A591)*(E591:E611&gt;0)))),0)</f>
        <v>139466.13</v>
      </c>
      <c r="K591" s="25">
        <f>IF(H591&lt;&gt;0,SUM(H$2:H591),0)</f>
        <v>-4629708.4595729997</v>
      </c>
      <c r="L591" s="25">
        <f>IF(I591&lt;&gt;0,SUM(I$2:I591),0)</f>
        <v>0</v>
      </c>
      <c r="M591" s="25">
        <f>IF(J591&lt;&gt;0,SUM(J$2:J591),0)</f>
        <v>23481534.759500008</v>
      </c>
    </row>
    <row r="592" spans="1:13" hidden="1" x14ac:dyDescent="0.2">
      <c r="A592" s="5">
        <v>45964</v>
      </c>
      <c r="C592" s="5" t="s">
        <v>25</v>
      </c>
      <c r="D592" s="6">
        <v>399</v>
      </c>
      <c r="E592" s="8">
        <v>81.87</v>
      </c>
      <c r="G592" s="25">
        <f t="shared" si="9"/>
        <v>32666.13</v>
      </c>
      <c r="H592" s="25">
        <f t="array" ref="H592">IF(A592=A591,0,SUM(_xlfn._xlws.FILTER(G592:G612,A592:A612=A592)))</f>
        <v>0</v>
      </c>
      <c r="I592" s="25">
        <f t="array" ref="I592">IFERROR(IF(A592=A591,0,SUM(_xlfn._xlws.FILTER(G592:G612,(A592:A612=A592)*(E592:E612&lt;0)))),0)</f>
        <v>0</v>
      </c>
      <c r="J592" s="25">
        <f t="array" ref="J592">IFERROR(IF(A592=A591,0,SUM(_xlfn._xlws.FILTER(G592:G612,(A592:A612=A592)*(E592:E612&gt;0)))),0)</f>
        <v>0</v>
      </c>
      <c r="K592" s="25">
        <f>IF(H592&lt;&gt;0,SUM(H$2:H592),0)</f>
        <v>0</v>
      </c>
      <c r="L592" s="25">
        <f>IF(I592&lt;&gt;0,SUM(I$2:I592),0)</f>
        <v>0</v>
      </c>
      <c r="M592" s="25">
        <f>IF(J592&lt;&gt;0,SUM(J$2:J592),0)</f>
        <v>0</v>
      </c>
    </row>
    <row r="593" spans="1:13" hidden="1" x14ac:dyDescent="0.2">
      <c r="A593" s="1">
        <v>45965</v>
      </c>
      <c r="C593" s="2" t="s">
        <v>611</v>
      </c>
      <c r="D593" s="2">
        <v>1600</v>
      </c>
      <c r="E593" s="4">
        <v>-118.68</v>
      </c>
      <c r="G593" s="25">
        <f t="shared" si="9"/>
        <v>-189888</v>
      </c>
      <c r="H593" s="25">
        <f t="array" ref="H593">IF(A593=A592,0,SUM(_xlfn._xlws.FILTER(G593:G613,A593:A613=A593)))</f>
        <v>-299131</v>
      </c>
      <c r="I593" s="25">
        <f t="array" ref="I593">IFERROR(IF(A593=A592,0,SUM(_xlfn._xlws.FILTER(G593:G613,(A593:A613=A593)*(E593:E613&lt;0)))),0)</f>
        <v>-513451</v>
      </c>
      <c r="J593" s="25">
        <f t="array" ref="J593">IFERROR(IF(A593=A592,0,SUM(_xlfn._xlws.FILTER(G593:G613,(A593:A613=A593)*(E593:E613&gt;0)))),0)</f>
        <v>214320</v>
      </c>
      <c r="K593" s="25">
        <f>IF(H593&lt;&gt;0,SUM(H$2:H593),0)</f>
        <v>-4928839.4595729997</v>
      </c>
      <c r="L593" s="25">
        <f>IF(I593&lt;&gt;0,SUM(I$2:I593),0)</f>
        <v>-28624694.219073001</v>
      </c>
      <c r="M593" s="25">
        <f>IF(J593&lt;&gt;0,SUM(J$2:J593),0)</f>
        <v>23695854.759500008</v>
      </c>
    </row>
    <row r="594" spans="1:13" hidden="1" x14ac:dyDescent="0.2">
      <c r="A594" s="1">
        <v>45965</v>
      </c>
      <c r="C594" s="2" t="s">
        <v>41</v>
      </c>
      <c r="D594" s="2">
        <v>2000</v>
      </c>
      <c r="E594" s="4">
        <v>-63.69</v>
      </c>
      <c r="G594" s="25">
        <f t="shared" si="9"/>
        <v>-127380</v>
      </c>
      <c r="H594" s="25">
        <f t="array" ref="H594">IF(A594=A593,0,SUM(_xlfn._xlws.FILTER(G594:G614,A594:A614=A594)))</f>
        <v>0</v>
      </c>
      <c r="I594" s="25">
        <f t="array" ref="I594">IFERROR(IF(A594=A593,0,SUM(_xlfn._xlws.FILTER(G594:G614,(A594:A614=A594)*(E594:E614&lt;0)))),0)</f>
        <v>0</v>
      </c>
      <c r="J594" s="25">
        <f t="array" ref="J594">IFERROR(IF(A594=A593,0,SUM(_xlfn._xlws.FILTER(G594:G614,(A594:A614=A594)*(E594:E614&gt;0)))),0)</f>
        <v>0</v>
      </c>
      <c r="K594" s="25">
        <f>IF(H594&lt;&gt;0,SUM(H$2:H594),0)</f>
        <v>0</v>
      </c>
      <c r="L594" s="25">
        <f>IF(I594&lt;&gt;0,SUM(I$2:I594),0)</f>
        <v>0</v>
      </c>
      <c r="M594" s="25">
        <f>IF(J594&lt;&gt;0,SUM(J$2:J594),0)</f>
        <v>0</v>
      </c>
    </row>
    <row r="595" spans="1:13" hidden="1" x14ac:dyDescent="0.2">
      <c r="A595" s="1">
        <v>45965</v>
      </c>
      <c r="C595" s="2" t="s">
        <v>190</v>
      </c>
      <c r="D595" s="2">
        <v>2000</v>
      </c>
      <c r="E595" s="4">
        <v>-78.88</v>
      </c>
      <c r="G595" s="25">
        <f t="shared" si="9"/>
        <v>-157760</v>
      </c>
      <c r="H595" s="25">
        <f t="array" ref="H595">IF(A595=A594,0,SUM(_xlfn._xlws.FILTER(G595:G615,A595:A615=A595)))</f>
        <v>0</v>
      </c>
      <c r="I595" s="25">
        <f t="array" ref="I595">IFERROR(IF(A595=A594,0,SUM(_xlfn._xlws.FILTER(G595:G615,(A595:A615=A595)*(E595:E615&lt;0)))),0)</f>
        <v>0</v>
      </c>
      <c r="J595" s="25">
        <f t="array" ref="J595">IFERROR(IF(A595=A594,0,SUM(_xlfn._xlws.FILTER(G595:G615,(A595:A615=A595)*(E595:E615&gt;0)))),0)</f>
        <v>0</v>
      </c>
      <c r="K595" s="25">
        <f>IF(H595&lt;&gt;0,SUM(H$2:H595),0)</f>
        <v>0</v>
      </c>
      <c r="L595" s="25">
        <f>IF(I595&lt;&gt;0,SUM(I$2:I595),0)</f>
        <v>0</v>
      </c>
      <c r="M595" s="25">
        <f>IF(J595&lt;&gt;0,SUM(J$2:J595),0)</f>
        <v>0</v>
      </c>
    </row>
    <row r="596" spans="1:13" hidden="1" x14ac:dyDescent="0.2">
      <c r="A596" s="1">
        <v>45965</v>
      </c>
      <c r="C596" s="2" t="s">
        <v>256</v>
      </c>
      <c r="D596" s="2">
        <v>5000</v>
      </c>
      <c r="E596" s="4">
        <v>15.86</v>
      </c>
      <c r="G596" s="25">
        <f t="shared" si="9"/>
        <v>79300</v>
      </c>
      <c r="H596" s="25">
        <f t="array" ref="H596">IF(A596=A595,0,SUM(_xlfn._xlws.FILTER(G596:G616,A596:A616=A596)))</f>
        <v>0</v>
      </c>
      <c r="I596" s="25">
        <f t="array" ref="I596">IFERROR(IF(A596=A595,0,SUM(_xlfn._xlws.FILTER(G596:G616,(A596:A616=A596)*(E596:E616&lt;0)))),0)</f>
        <v>0</v>
      </c>
      <c r="J596" s="25">
        <f t="array" ref="J596">IFERROR(IF(A596=A595,0,SUM(_xlfn._xlws.FILTER(G596:G616,(A596:A616=A596)*(E596:E616&gt;0)))),0)</f>
        <v>0</v>
      </c>
      <c r="K596" s="25">
        <f>IF(H596&lt;&gt;0,SUM(H$2:H596),0)</f>
        <v>0</v>
      </c>
      <c r="L596" s="25">
        <f>IF(I596&lt;&gt;0,SUM(I$2:I596),0)</f>
        <v>0</v>
      </c>
      <c r="M596" s="25">
        <f>IF(J596&lt;&gt;0,SUM(J$2:J596),0)</f>
        <v>0</v>
      </c>
    </row>
    <row r="597" spans="1:13" hidden="1" x14ac:dyDescent="0.2">
      <c r="A597" s="1">
        <v>45965</v>
      </c>
      <c r="C597" s="2" t="s">
        <v>90</v>
      </c>
      <c r="D597" s="2">
        <v>500</v>
      </c>
      <c r="E597" s="4">
        <v>270.04000000000002</v>
      </c>
      <c r="G597" s="25">
        <f t="shared" si="9"/>
        <v>135020</v>
      </c>
      <c r="H597" s="25">
        <f t="array" ref="H597">IF(A597=A596,0,SUM(_xlfn._xlws.FILTER(G597:G617,A597:A617=A597)))</f>
        <v>0</v>
      </c>
      <c r="I597" s="25">
        <f t="array" ref="I597">IFERROR(IF(A597=A596,0,SUM(_xlfn._xlws.FILTER(G597:G617,(A597:A617=A597)*(E597:E617&lt;0)))),0)</f>
        <v>0</v>
      </c>
      <c r="J597" s="25">
        <f t="array" ref="J597">IFERROR(IF(A597=A596,0,SUM(_xlfn._xlws.FILTER(G597:G617,(A597:A617=A597)*(E597:E617&gt;0)))),0)</f>
        <v>0</v>
      </c>
      <c r="K597" s="25">
        <f>IF(H597&lt;&gt;0,SUM(H$2:H597),0)</f>
        <v>0</v>
      </c>
      <c r="L597" s="25">
        <f>IF(I597&lt;&gt;0,SUM(I$2:I597),0)</f>
        <v>0</v>
      </c>
      <c r="M597" s="25">
        <f>IF(J597&lt;&gt;0,SUM(J$2:J597),0)</f>
        <v>0</v>
      </c>
    </row>
    <row r="598" spans="1:13" hidden="1" x14ac:dyDescent="0.2">
      <c r="A598" s="1">
        <v>45965</v>
      </c>
      <c r="C598" s="2" t="s">
        <v>185</v>
      </c>
      <c r="D598" s="2">
        <v>1000</v>
      </c>
      <c r="E598" s="4">
        <v>-28.33</v>
      </c>
      <c r="G598" s="25">
        <f t="shared" si="9"/>
        <v>-28330</v>
      </c>
      <c r="H598" s="25">
        <f t="array" ref="H598">IF(A598=A597,0,SUM(_xlfn._xlws.FILTER(G598:G618,A598:A618=A598)))</f>
        <v>0</v>
      </c>
      <c r="I598" s="25">
        <f t="array" ref="I598">IFERROR(IF(A598=A597,0,SUM(_xlfn._xlws.FILTER(G598:G618,(A598:A618=A598)*(E598:E618&lt;0)))),0)</f>
        <v>0</v>
      </c>
      <c r="J598" s="25">
        <f t="array" ref="J598">IFERROR(IF(A598=A597,0,SUM(_xlfn._xlws.FILTER(G598:G618,(A598:A618=A598)*(E598:E618&gt;0)))),0)</f>
        <v>0</v>
      </c>
      <c r="K598" s="25">
        <f>IF(H598&lt;&gt;0,SUM(H$2:H598),0)</f>
        <v>0</v>
      </c>
      <c r="L598" s="25">
        <f>IF(I598&lt;&gt;0,SUM(I$2:I598),0)</f>
        <v>0</v>
      </c>
      <c r="M598" s="25">
        <f>IF(J598&lt;&gt;0,SUM(J$2:J598),0)</f>
        <v>0</v>
      </c>
    </row>
    <row r="599" spans="1:13" hidden="1" x14ac:dyDescent="0.2">
      <c r="A599" s="1">
        <v>45965</v>
      </c>
      <c r="C599" s="2" t="s">
        <v>76</v>
      </c>
      <c r="D599" s="2">
        <v>100</v>
      </c>
      <c r="E599" s="4">
        <v>-100.93</v>
      </c>
      <c r="G599" s="25">
        <f t="shared" si="9"/>
        <v>-10093</v>
      </c>
      <c r="H599" s="25">
        <f t="array" ref="H599">IF(A599=A598,0,SUM(_xlfn._xlws.FILTER(G599:G619,A599:A619=A599)))</f>
        <v>0</v>
      </c>
      <c r="I599" s="25">
        <f t="array" ref="I599">IFERROR(IF(A599=A598,0,SUM(_xlfn._xlws.FILTER(G599:G619,(A599:A619=A599)*(E599:E619&lt;0)))),0)</f>
        <v>0</v>
      </c>
      <c r="J599" s="25">
        <f t="array" ref="J599">IFERROR(IF(A599=A598,0,SUM(_xlfn._xlws.FILTER(G599:G619,(A599:A619=A599)*(E599:E619&gt;0)))),0)</f>
        <v>0</v>
      </c>
      <c r="K599" s="25">
        <f>IF(H599&lt;&gt;0,SUM(H$2:H599),0)</f>
        <v>0</v>
      </c>
      <c r="L599" s="25">
        <f>IF(I599&lt;&gt;0,SUM(I$2:I599),0)</f>
        <v>0</v>
      </c>
      <c r="M599" s="25">
        <f>IF(J599&lt;&gt;0,SUM(J$2:J599),0)</f>
        <v>0</v>
      </c>
    </row>
    <row r="600" spans="1:13" hidden="1" x14ac:dyDescent="0.2">
      <c r="A600" s="5">
        <v>45966</v>
      </c>
      <c r="C600" s="5" t="s">
        <v>320</v>
      </c>
      <c r="D600" s="6">
        <v>1000</v>
      </c>
      <c r="E600" s="8">
        <v>-59.2</v>
      </c>
      <c r="G600" s="25">
        <f t="shared" si="9"/>
        <v>-59200</v>
      </c>
      <c r="H600" s="25">
        <f t="array" ref="H600">IF(A600=A599,0,SUM(_xlfn._xlws.FILTER(G600:G620,A600:A620=A600)))</f>
        <v>31402</v>
      </c>
      <c r="I600" s="25">
        <f t="array" ref="I600">IFERROR(IF(A600=A599,0,SUM(_xlfn._xlws.FILTER(G600:G620,(A600:A620=A600)*(E600:E620&lt;0)))),0)</f>
        <v>-290978</v>
      </c>
      <c r="J600" s="25">
        <f t="array" ref="J600">IFERROR(IF(A600=A599,0,SUM(_xlfn._xlws.FILTER(G600:G620,(A600:A620=A600)*(E600:E620&gt;0)))),0)</f>
        <v>322380</v>
      </c>
      <c r="K600" s="25">
        <f>IF(H600&lt;&gt;0,SUM(H$2:H600),0)</f>
        <v>-4897437.4595729997</v>
      </c>
      <c r="L600" s="25">
        <f>IF(I600&lt;&gt;0,SUM(I$2:I600),0)</f>
        <v>-28915672.219073001</v>
      </c>
      <c r="M600" s="25">
        <f>IF(J600&lt;&gt;0,SUM(J$2:J600),0)</f>
        <v>24018234.759500008</v>
      </c>
    </row>
    <row r="601" spans="1:13" hidden="1" x14ac:dyDescent="0.2">
      <c r="A601" s="5">
        <v>45966</v>
      </c>
      <c r="C601" s="5" t="s">
        <v>139</v>
      </c>
      <c r="D601" s="6">
        <v>20000</v>
      </c>
      <c r="E601" s="8">
        <v>425.1</v>
      </c>
      <c r="G601" s="25">
        <f t="shared" si="9"/>
        <v>85020</v>
      </c>
      <c r="H601" s="25">
        <f t="array" ref="H601">IF(A601=A600,0,SUM(_xlfn._xlws.FILTER(G601:G621,A601:A621=A601)))</f>
        <v>0</v>
      </c>
      <c r="I601" s="25">
        <f t="array" ref="I601">IFERROR(IF(A601=A600,0,SUM(_xlfn._xlws.FILTER(G601:G621,(A601:A621=A601)*(E601:E621&lt;0)))),0)</f>
        <v>0</v>
      </c>
      <c r="J601" s="25">
        <f t="array" ref="J601">IFERROR(IF(A601=A600,0,SUM(_xlfn._xlws.FILTER(G601:G621,(A601:A621=A601)*(E601:E621&gt;0)))),0)</f>
        <v>0</v>
      </c>
      <c r="K601" s="25">
        <f>IF(H601&lt;&gt;0,SUM(H$2:H601),0)</f>
        <v>0</v>
      </c>
      <c r="L601" s="25">
        <f>IF(I601&lt;&gt;0,SUM(I$2:I601),0)</f>
        <v>0</v>
      </c>
      <c r="M601" s="25">
        <f>IF(J601&lt;&gt;0,SUM(J$2:J601),0)</f>
        <v>0</v>
      </c>
    </row>
    <row r="602" spans="1:13" hidden="1" x14ac:dyDescent="0.2">
      <c r="A602" s="5">
        <v>45966</v>
      </c>
      <c r="C602" s="5" t="s">
        <v>155</v>
      </c>
      <c r="D602" s="6">
        <v>14450</v>
      </c>
      <c r="E602" s="8">
        <v>-16.04</v>
      </c>
      <c r="G602" s="25">
        <f t="shared" si="9"/>
        <v>-231778</v>
      </c>
      <c r="H602" s="25">
        <f t="array" ref="H602">IF(A602=A601,0,SUM(_xlfn._xlws.FILTER(G602:G622,A602:A622=A602)))</f>
        <v>0</v>
      </c>
      <c r="I602" s="25">
        <f t="array" ref="I602">IFERROR(IF(A602=A601,0,SUM(_xlfn._xlws.FILTER(G602:G622,(A602:A622=A602)*(E602:E622&lt;0)))),0)</f>
        <v>0</v>
      </c>
      <c r="J602" s="25">
        <f t="array" ref="J602">IFERROR(IF(A602=A601,0,SUM(_xlfn._xlws.FILTER(G602:G622,(A602:A622=A602)*(E602:E622&gt;0)))),0)</f>
        <v>0</v>
      </c>
      <c r="K602" s="25">
        <f>IF(H602&lt;&gt;0,SUM(H$2:H602),0)</f>
        <v>0</v>
      </c>
      <c r="L602" s="25">
        <f>IF(I602&lt;&gt;0,SUM(I$2:I602),0)</f>
        <v>0</v>
      </c>
      <c r="M602" s="25">
        <f>IF(J602&lt;&gt;0,SUM(J$2:J602),0)</f>
        <v>0</v>
      </c>
    </row>
    <row r="603" spans="1:13" hidden="1" x14ac:dyDescent="0.2">
      <c r="A603" s="5">
        <v>45966</v>
      </c>
      <c r="C603" s="5" t="s">
        <v>185</v>
      </c>
      <c r="D603" s="6">
        <v>2000</v>
      </c>
      <c r="E603" s="8">
        <v>37.21</v>
      </c>
      <c r="G603" s="25">
        <f t="shared" si="9"/>
        <v>74420</v>
      </c>
      <c r="H603" s="25">
        <f t="array" ref="H603">IF(A603=A602,0,SUM(_xlfn._xlws.FILTER(G603:G623,A603:A623=A603)))</f>
        <v>0</v>
      </c>
      <c r="I603" s="25">
        <f t="array" ref="I603">IFERROR(IF(A603=A602,0,SUM(_xlfn._xlws.FILTER(G603:G623,(A603:A623=A603)*(E603:E623&lt;0)))),0)</f>
        <v>0</v>
      </c>
      <c r="J603" s="25">
        <f t="array" ref="J603">IFERROR(IF(A603=A602,0,SUM(_xlfn._xlws.FILTER(G603:G623,(A603:A623=A603)*(E603:E623&gt;0)))),0)</f>
        <v>0</v>
      </c>
      <c r="K603" s="25">
        <f>IF(H603&lt;&gt;0,SUM(H$2:H603),0)</f>
        <v>0</v>
      </c>
      <c r="L603" s="25">
        <f>IF(I603&lt;&gt;0,SUM(I$2:I603),0)</f>
        <v>0</v>
      </c>
      <c r="M603" s="25">
        <f>IF(J603&lt;&gt;0,SUM(J$2:J603),0)</f>
        <v>0</v>
      </c>
    </row>
    <row r="604" spans="1:13" hidden="1" x14ac:dyDescent="0.2">
      <c r="A604" s="5">
        <v>45966</v>
      </c>
      <c r="C604" s="5" t="s">
        <v>190</v>
      </c>
      <c r="D604" s="6">
        <v>2000</v>
      </c>
      <c r="E604" s="8">
        <v>81.47</v>
      </c>
      <c r="G604" s="25">
        <f t="shared" si="9"/>
        <v>162940</v>
      </c>
      <c r="H604" s="25">
        <f t="array" ref="H604">IF(A604=A603,0,SUM(_xlfn._xlws.FILTER(G604:G624,A604:A624=A604)))</f>
        <v>0</v>
      </c>
      <c r="I604" s="25">
        <f t="array" ref="I604">IFERROR(IF(A604=A603,0,SUM(_xlfn._xlws.FILTER(G604:G624,(A604:A624=A604)*(E604:E624&lt;0)))),0)</f>
        <v>0</v>
      </c>
      <c r="J604" s="25">
        <f t="array" ref="J604">IFERROR(IF(A604=A603,0,SUM(_xlfn._xlws.FILTER(G604:G624,(A604:A624=A604)*(E604:E624&gt;0)))),0)</f>
        <v>0</v>
      </c>
      <c r="K604" s="25">
        <f>IF(H604&lt;&gt;0,SUM(H$2:H604),0)</f>
        <v>0</v>
      </c>
      <c r="L604" s="25">
        <f>IF(I604&lt;&gt;0,SUM(I$2:I604),0)</f>
        <v>0</v>
      </c>
      <c r="M604" s="25">
        <f>IF(J604&lt;&gt;0,SUM(J$2:J604),0)</f>
        <v>0</v>
      </c>
    </row>
    <row r="605" spans="1:13" hidden="1" x14ac:dyDescent="0.2">
      <c r="A605" s="1">
        <v>45967</v>
      </c>
      <c r="C605" s="2" t="s">
        <v>22</v>
      </c>
      <c r="D605" s="2">
        <v>300</v>
      </c>
      <c r="E605" s="4">
        <v>288.85000000000002</v>
      </c>
      <c r="G605" s="25">
        <f t="shared" si="9"/>
        <v>86655</v>
      </c>
      <c r="H605" s="25">
        <f t="array" ref="H605">IF(A605=A604,0,SUM(_xlfn._xlws.FILTER(G605:G625,A605:A625=A605)))</f>
        <v>-30945</v>
      </c>
      <c r="I605" s="25">
        <f t="array" ref="I605">IFERROR(IF(A605=A604,0,SUM(_xlfn._xlws.FILTER(G605:G625,(A605:A625=A605)*(E605:E625&lt;0)))),0)</f>
        <v>-117600</v>
      </c>
      <c r="J605" s="25">
        <f t="array" ref="J605">IFERROR(IF(A605=A604,0,SUM(_xlfn._xlws.FILTER(G605:G625,(A605:A625=A605)*(E605:E625&gt;0)))),0)</f>
        <v>86655</v>
      </c>
      <c r="K605" s="25">
        <f>IF(H605&lt;&gt;0,SUM(H$2:H605),0)</f>
        <v>-4928382.4595729997</v>
      </c>
      <c r="L605" s="25">
        <f>IF(I605&lt;&gt;0,SUM(I$2:I605),0)</f>
        <v>-29033272.219073001</v>
      </c>
      <c r="M605" s="25">
        <f>IF(J605&lt;&gt;0,SUM(J$2:J605),0)</f>
        <v>24104889.759500008</v>
      </c>
    </row>
    <row r="606" spans="1:13" hidden="1" x14ac:dyDescent="0.2">
      <c r="A606" s="1">
        <v>45967</v>
      </c>
      <c r="C606" s="2" t="s">
        <v>320</v>
      </c>
      <c r="D606" s="2">
        <v>2000</v>
      </c>
      <c r="E606" s="4">
        <v>-58.8</v>
      </c>
      <c r="G606" s="25">
        <f t="shared" si="9"/>
        <v>-117600</v>
      </c>
      <c r="H606" s="25">
        <f t="array" ref="H606">IF(A606=A605,0,SUM(_xlfn._xlws.FILTER(G606:G626,A606:A626=A606)))</f>
        <v>0</v>
      </c>
      <c r="I606" s="25">
        <f t="array" ref="I606">IFERROR(IF(A606=A605,0,SUM(_xlfn._xlws.FILTER(G606:G626,(A606:A626=A606)*(E606:E626&lt;0)))),0)</f>
        <v>0</v>
      </c>
      <c r="J606" s="25">
        <f t="array" ref="J606">IFERROR(IF(A606=A605,0,SUM(_xlfn._xlws.FILTER(G606:G626,(A606:A626=A606)*(E606:E626&gt;0)))),0)</f>
        <v>0</v>
      </c>
      <c r="K606" s="25">
        <f>IF(H606&lt;&gt;0,SUM(H$2:H606),0)</f>
        <v>0</v>
      </c>
      <c r="L606" s="25">
        <f>IF(I606&lt;&gt;0,SUM(I$2:I606),0)</f>
        <v>0</v>
      </c>
      <c r="M606" s="25">
        <f>IF(J606&lt;&gt;0,SUM(J$2:J606),0)</f>
        <v>0</v>
      </c>
    </row>
    <row r="607" spans="1:13" hidden="1" x14ac:dyDescent="0.2">
      <c r="A607" s="5">
        <v>45968</v>
      </c>
      <c r="C607" s="5" t="s">
        <v>320</v>
      </c>
      <c r="D607" s="6">
        <v>2000</v>
      </c>
      <c r="E607" s="8">
        <v>-58.45</v>
      </c>
      <c r="G607" s="25">
        <f t="shared" si="9"/>
        <v>-116900</v>
      </c>
      <c r="H607" s="25">
        <f t="array" ref="H607">IF(A607=A606,0,SUM(_xlfn._xlws.FILTER(G607:G627,A607:A627=A607)))</f>
        <v>241281</v>
      </c>
      <c r="I607" s="25">
        <f t="array" ref="I607">IFERROR(IF(A607=A606,0,SUM(_xlfn._xlws.FILTER(G607:G627,(A607:A627=A607)*(E607:E627&lt;0)))),0)</f>
        <v>-116900</v>
      </c>
      <c r="J607" s="25">
        <f t="array" ref="J607">IFERROR(IF(A607=A606,0,SUM(_xlfn._xlws.FILTER(G607:G627,(A607:A627=A607)*(E607:E627&gt;0)))),0)</f>
        <v>358181</v>
      </c>
      <c r="K607" s="25">
        <f>IF(H607&lt;&gt;0,SUM(H$2:H607),0)</f>
        <v>-4687101.4595729997</v>
      </c>
      <c r="L607" s="25">
        <f>IF(I607&lt;&gt;0,SUM(I$2:I607),0)</f>
        <v>-29150172.219073001</v>
      </c>
      <c r="M607" s="25">
        <f>IF(J607&lt;&gt;0,SUM(J$2:J607),0)</f>
        <v>24463070.759500008</v>
      </c>
    </row>
    <row r="608" spans="1:13" hidden="1" x14ac:dyDescent="0.2">
      <c r="A608" s="5">
        <v>45968</v>
      </c>
      <c r="C608" s="5" t="s">
        <v>139</v>
      </c>
      <c r="D608" s="6">
        <v>20000</v>
      </c>
      <c r="E608" s="8">
        <v>380.01</v>
      </c>
      <c r="G608" s="25">
        <f t="shared" si="9"/>
        <v>76002</v>
      </c>
      <c r="H608" s="25">
        <f t="array" ref="H608">IF(A608=A607,0,SUM(_xlfn._xlws.FILTER(G608:G628,A608:A628=A608)))</f>
        <v>0</v>
      </c>
      <c r="I608" s="25">
        <f t="array" ref="I608">IFERROR(IF(A608=A607,0,SUM(_xlfn._xlws.FILTER(G608:G628,(A608:A628=A608)*(E608:E628&lt;0)))),0)</f>
        <v>0</v>
      </c>
      <c r="J608" s="25">
        <f t="array" ref="J608">IFERROR(IF(A608=A607,0,SUM(_xlfn._xlws.FILTER(G608:G628,(A608:A628=A608)*(E608:E628&gt;0)))),0)</f>
        <v>0</v>
      </c>
      <c r="K608" s="25">
        <f>IF(H608&lt;&gt;0,SUM(H$2:H608),0)</f>
        <v>0</v>
      </c>
      <c r="L608" s="25">
        <f>IF(I608&lt;&gt;0,SUM(I$2:I608),0)</f>
        <v>0</v>
      </c>
      <c r="M608" s="25">
        <f>IF(J608&lt;&gt;0,SUM(J$2:J608),0)</f>
        <v>0</v>
      </c>
    </row>
    <row r="609" spans="1:13" hidden="1" x14ac:dyDescent="0.2">
      <c r="A609" s="5">
        <v>45968</v>
      </c>
      <c r="C609" s="5" t="s">
        <v>629</v>
      </c>
      <c r="D609" s="6">
        <v>5000</v>
      </c>
      <c r="E609" s="8">
        <v>3.9550000000000001</v>
      </c>
      <c r="G609" s="25">
        <f t="shared" si="9"/>
        <v>19775</v>
      </c>
      <c r="H609" s="25">
        <f t="array" ref="H609">IF(A609=A608,0,SUM(_xlfn._xlws.FILTER(G609:G629,A609:A629=A609)))</f>
        <v>0</v>
      </c>
      <c r="I609" s="25">
        <f t="array" ref="I609">IFERROR(IF(A609=A608,0,SUM(_xlfn._xlws.FILTER(G609:G629,(A609:A629=A609)*(E609:E629&lt;0)))),0)</f>
        <v>0</v>
      </c>
      <c r="J609" s="25">
        <f t="array" ref="J609">IFERROR(IF(A609=A608,0,SUM(_xlfn._xlws.FILTER(G609:G629,(A609:A629=A609)*(E609:E629&gt;0)))),0)</f>
        <v>0</v>
      </c>
      <c r="K609" s="25">
        <f>IF(H609&lt;&gt;0,SUM(H$2:H609),0)</f>
        <v>0</v>
      </c>
      <c r="L609" s="25">
        <f>IF(I609&lt;&gt;0,SUM(I$2:I609),0)</f>
        <v>0</v>
      </c>
      <c r="M609" s="25">
        <f>IF(J609&lt;&gt;0,SUM(J$2:J609),0)</f>
        <v>0</v>
      </c>
    </row>
    <row r="610" spans="1:13" hidden="1" x14ac:dyDescent="0.2">
      <c r="A610" s="5">
        <v>45968</v>
      </c>
      <c r="C610" s="5" t="s">
        <v>611</v>
      </c>
      <c r="D610" s="6">
        <v>1600</v>
      </c>
      <c r="E610" s="8">
        <v>123.44</v>
      </c>
      <c r="G610" s="25">
        <f t="shared" si="9"/>
        <v>197504</v>
      </c>
      <c r="H610" s="25">
        <f t="array" ref="H610">IF(A610=A609,0,SUM(_xlfn._xlws.FILTER(G610:G630,A610:A630=A610)))</f>
        <v>0</v>
      </c>
      <c r="I610" s="25">
        <f t="array" ref="I610">IFERROR(IF(A610=A609,0,SUM(_xlfn._xlws.FILTER(G610:G630,(A610:A630=A610)*(E610:E630&lt;0)))),0)</f>
        <v>0</v>
      </c>
      <c r="J610" s="25">
        <f t="array" ref="J610">IFERROR(IF(A610=A609,0,SUM(_xlfn._xlws.FILTER(G610:G630,(A610:A630=A610)*(E610:E630&gt;0)))),0)</f>
        <v>0</v>
      </c>
      <c r="K610" s="25">
        <f>IF(H610&lt;&gt;0,SUM(H$2:H610),0)</f>
        <v>0</v>
      </c>
      <c r="L610" s="25">
        <f>IF(I610&lt;&gt;0,SUM(I$2:I610),0)</f>
        <v>0</v>
      </c>
      <c r="M610" s="25">
        <f>IF(J610&lt;&gt;0,SUM(J$2:J610),0)</f>
        <v>0</v>
      </c>
    </row>
    <row r="611" spans="1:13" hidden="1" x14ac:dyDescent="0.2">
      <c r="A611" s="5">
        <v>45968</v>
      </c>
      <c r="C611" s="5" t="s">
        <v>41</v>
      </c>
      <c r="D611" s="6">
        <v>1000</v>
      </c>
      <c r="E611" s="8">
        <v>64.900000000000006</v>
      </c>
      <c r="G611" s="25">
        <f t="shared" si="9"/>
        <v>64900.000000000007</v>
      </c>
      <c r="H611" s="25">
        <f t="array" ref="H611">IF(A611=A610,0,SUM(_xlfn._xlws.FILTER(G611:G631,A611:A631=A611)))</f>
        <v>0</v>
      </c>
      <c r="I611" s="25">
        <f t="array" ref="I611">IFERROR(IF(A611=A610,0,SUM(_xlfn._xlws.FILTER(G611:G631,(A611:A631=A611)*(E611:E631&lt;0)))),0)</f>
        <v>0</v>
      </c>
      <c r="J611" s="25">
        <f t="array" ref="J611">IFERROR(IF(A611=A610,0,SUM(_xlfn._xlws.FILTER(G611:G631,(A611:A631=A611)*(E611:E631&gt;0)))),0)</f>
        <v>0</v>
      </c>
      <c r="K611" s="25">
        <f>IF(H611&lt;&gt;0,SUM(H$2:H611),0)</f>
        <v>0</v>
      </c>
      <c r="L611" s="25">
        <f>IF(I611&lt;&gt;0,SUM(I$2:I611),0)</f>
        <v>0</v>
      </c>
      <c r="M611" s="25">
        <f>IF(J611&lt;&gt;0,SUM(J$2:J611),0)</f>
        <v>0</v>
      </c>
    </row>
    <row r="612" spans="1:13" hidden="1" x14ac:dyDescent="0.2">
      <c r="A612" s="1">
        <v>45971</v>
      </c>
      <c r="C612" s="2" t="s">
        <v>611</v>
      </c>
      <c r="D612" s="2">
        <v>1600</v>
      </c>
      <c r="E612" s="4">
        <v>-120.14</v>
      </c>
      <c r="G612" s="25">
        <f t="shared" si="9"/>
        <v>-192224</v>
      </c>
      <c r="H612" s="25">
        <f t="array" ref="H612">IF(A612=A611,0,SUM(_xlfn._xlws.FILTER(G612:G632,A612:A632=A612)))</f>
        <v>-192224</v>
      </c>
      <c r="I612" s="25">
        <f t="array" ref="I612">IFERROR(IF(A612=A611,0,SUM(_xlfn._xlws.FILTER(G612:G632,(A612:A632=A612)*(E612:E632&lt;0)))),0)</f>
        <v>-192224</v>
      </c>
      <c r="J612" s="25">
        <f t="array" ref="J612">IFERROR(IF(A612=A611,0,SUM(_xlfn._xlws.FILTER(G612:G632,(A612:A632=A612)*(E612:E632&gt;0)))),0)</f>
        <v>0</v>
      </c>
      <c r="K612" s="25">
        <f>IF(H612&lt;&gt;0,SUM(H$2:H612),0)</f>
        <v>-4879325.4595729997</v>
      </c>
      <c r="L612" s="25">
        <f>IF(I612&lt;&gt;0,SUM(I$2:I612),0)</f>
        <v>-29342396.219073001</v>
      </c>
      <c r="M612" s="25">
        <f>IF(J612&lt;&gt;0,SUM(J$2:J612),0)</f>
        <v>0</v>
      </c>
    </row>
    <row r="613" spans="1:13" hidden="1" x14ac:dyDescent="0.2">
      <c r="A613" s="5">
        <v>45972</v>
      </c>
      <c r="C613" s="5" t="s">
        <v>49</v>
      </c>
      <c r="D613" s="6">
        <v>3333</v>
      </c>
      <c r="E613" s="8">
        <v>-2.7645</v>
      </c>
      <c r="G613" s="25">
        <f t="shared" si="9"/>
        <v>-9214.0784999999996</v>
      </c>
      <c r="H613" s="25">
        <f t="array" ref="H613">IF(A613=A612,0,SUM(_xlfn._xlws.FILTER(G613:G633,A613:A633=A613)))</f>
        <v>-9214.0784999999996</v>
      </c>
      <c r="I613" s="25">
        <f t="array" ref="I613">IFERROR(IF(A613=A612,0,SUM(_xlfn._xlws.FILTER(G613:G633,(A613:A633=A613)*(E613:E633&lt;0)))),0)</f>
        <v>-9214.0784999999996</v>
      </c>
      <c r="J613" s="25">
        <f t="array" ref="J613">IFERROR(IF(A613=A612,0,SUM(_xlfn._xlws.FILTER(G613:G633,(A613:A633=A613)*(E613:E633&gt;0)))),0)</f>
        <v>0</v>
      </c>
      <c r="K613" s="25">
        <f>IF(H613&lt;&gt;0,SUM(H$2:H613),0)</f>
        <v>-4888539.5380729996</v>
      </c>
      <c r="L613" s="25">
        <f>IF(I613&lt;&gt;0,SUM(I$2:I613),0)</f>
        <v>-29351610.297573</v>
      </c>
      <c r="M613" s="25">
        <f>IF(J613&lt;&gt;0,SUM(J$2:J613),0)</f>
        <v>0</v>
      </c>
    </row>
    <row r="614" spans="1:13" hidden="1" x14ac:dyDescent="0.2">
      <c r="A614" s="1">
        <v>45973</v>
      </c>
      <c r="C614" s="2" t="s">
        <v>19</v>
      </c>
      <c r="D614" s="2">
        <v>100</v>
      </c>
      <c r="E614" s="2">
        <v>886.7</v>
      </c>
      <c r="G614" s="25">
        <f t="shared" si="9"/>
        <v>88670</v>
      </c>
      <c r="H614" s="25">
        <f t="array" ref="H614">IF(A614=A613,0,SUM(_xlfn._xlws.FILTER(G614:G634,A614:A634=A614)))</f>
        <v>401176.75</v>
      </c>
      <c r="I614" s="25">
        <f t="array" ref="I614">IFERROR(IF(A614=A613,0,SUM(_xlfn._xlws.FILTER(G614:G634,(A614:A634=A614)*(E614:E634&lt;0)))),0)</f>
        <v>-12447.25</v>
      </c>
      <c r="J614" s="25">
        <f t="array" ref="J614">IFERROR(IF(A614=A613,0,SUM(_xlfn._xlws.FILTER(G614:G634,(A614:A634=A614)*(E614:E634&gt;0)))),0)</f>
        <v>413624</v>
      </c>
      <c r="K614" s="25">
        <f>IF(H614&lt;&gt;0,SUM(H$2:H614),0)</f>
        <v>-4487362.7880729996</v>
      </c>
      <c r="L614" s="25">
        <f>IF(I614&lt;&gt;0,SUM(I$2:I614),0)</f>
        <v>-29364057.547573</v>
      </c>
      <c r="M614" s="25">
        <f>IF(J614&lt;&gt;0,SUM(J$2:J614),0)</f>
        <v>24876694.759500008</v>
      </c>
    </row>
    <row r="615" spans="1:13" hidden="1" x14ac:dyDescent="0.2">
      <c r="A615" s="1">
        <v>45973</v>
      </c>
      <c r="C615" s="2" t="s">
        <v>611</v>
      </c>
      <c r="D615" s="2">
        <v>1600</v>
      </c>
      <c r="E615" s="2">
        <v>124.33</v>
      </c>
      <c r="G615" s="25">
        <f t="shared" si="9"/>
        <v>198928</v>
      </c>
      <c r="H615" s="25">
        <f t="array" ref="H615">IF(A615=A614,0,SUM(_xlfn._xlws.FILTER(G615:G635,A615:A635=A615)))</f>
        <v>0</v>
      </c>
      <c r="I615" s="25">
        <f t="array" ref="I615">IFERROR(IF(A615=A614,0,SUM(_xlfn._xlws.FILTER(G615:G635,(A615:A635=A615)*(E615:E635&lt;0)))),0)</f>
        <v>0</v>
      </c>
      <c r="J615" s="25">
        <f t="array" ref="J615">IFERROR(IF(A615=A614,0,SUM(_xlfn._xlws.FILTER(G615:G635,(A615:A635=A615)*(E615:E635&gt;0)))),0)</f>
        <v>0</v>
      </c>
      <c r="K615" s="25">
        <f>IF(H615&lt;&gt;0,SUM(H$2:H615),0)</f>
        <v>0</v>
      </c>
      <c r="L615" s="25">
        <f>IF(I615&lt;&gt;0,SUM(I$2:I615),0)</f>
        <v>0</v>
      </c>
      <c r="M615" s="25">
        <f>IF(J615&lt;&gt;0,SUM(J$2:J615),0)</f>
        <v>0</v>
      </c>
    </row>
    <row r="616" spans="1:13" hidden="1" x14ac:dyDescent="0.2">
      <c r="A616" s="1">
        <v>45973</v>
      </c>
      <c r="C616" s="2" t="s">
        <v>193</v>
      </c>
      <c r="D616" s="2">
        <v>2000</v>
      </c>
      <c r="E616" s="2">
        <v>38.853000000000002</v>
      </c>
      <c r="G616" s="25">
        <f t="shared" si="9"/>
        <v>77706</v>
      </c>
      <c r="H616" s="25">
        <f t="array" ref="H616">IF(A616=A615,0,SUM(_xlfn._xlws.FILTER(G616:G636,A616:A636=A616)))</f>
        <v>0</v>
      </c>
      <c r="I616" s="25">
        <f t="array" ref="I616">IFERROR(IF(A616=A615,0,SUM(_xlfn._xlws.FILTER(G616:G636,(A616:A636=A616)*(E616:E636&lt;0)))),0)</f>
        <v>0</v>
      </c>
      <c r="J616" s="25">
        <f t="array" ref="J616">IFERROR(IF(A616=A615,0,SUM(_xlfn._xlws.FILTER(G616:G636,(A616:A636=A616)*(E616:E636&gt;0)))),0)</f>
        <v>0</v>
      </c>
      <c r="K616" s="25">
        <f>IF(H616&lt;&gt;0,SUM(H$2:H616),0)</f>
        <v>0</v>
      </c>
      <c r="L616" s="25">
        <f>IF(I616&lt;&gt;0,SUM(I$2:I616),0)</f>
        <v>0</v>
      </c>
      <c r="M616" s="25">
        <f>IF(J616&lt;&gt;0,SUM(J$2:J616),0)</f>
        <v>0</v>
      </c>
    </row>
    <row r="617" spans="1:13" hidden="1" x14ac:dyDescent="0.2">
      <c r="A617" s="1">
        <v>45973</v>
      </c>
      <c r="C617" s="2" t="s">
        <v>305</v>
      </c>
      <c r="D617" s="2">
        <v>2500</v>
      </c>
      <c r="E617" s="2">
        <v>-4.9789000000000003</v>
      </c>
      <c r="G617" s="25">
        <f t="shared" si="9"/>
        <v>-12447.25</v>
      </c>
      <c r="H617" s="25">
        <f t="array" ref="H617">IF(A617=A616,0,SUM(_xlfn._xlws.FILTER(G617:G637,A617:A637=A617)))</f>
        <v>0</v>
      </c>
      <c r="I617" s="25">
        <f t="array" ref="I617">IFERROR(IF(A617=A616,0,SUM(_xlfn._xlws.FILTER(G617:G637,(A617:A637=A617)*(E617:E637&lt;0)))),0)</f>
        <v>0</v>
      </c>
      <c r="J617" s="25">
        <f t="array" ref="J617">IFERROR(IF(A617=A616,0,SUM(_xlfn._xlws.FILTER(G617:G637,(A617:A637=A617)*(E617:E637&gt;0)))),0)</f>
        <v>0</v>
      </c>
      <c r="K617" s="25">
        <f>IF(H617&lt;&gt;0,SUM(H$2:H617),0)</f>
        <v>0</v>
      </c>
      <c r="L617" s="25">
        <f>IF(I617&lt;&gt;0,SUM(I$2:I617),0)</f>
        <v>0</v>
      </c>
      <c r="M617" s="25">
        <f>IF(J617&lt;&gt;0,SUM(J$2:J617),0)</f>
        <v>0</v>
      </c>
    </row>
    <row r="618" spans="1:13" hidden="1" x14ac:dyDescent="0.2">
      <c r="A618" s="1">
        <v>45973</v>
      </c>
      <c r="C618" s="2" t="s">
        <v>320</v>
      </c>
      <c r="D618" s="2">
        <v>800</v>
      </c>
      <c r="E618" s="2">
        <v>60.4</v>
      </c>
      <c r="G618" s="25">
        <f t="shared" si="9"/>
        <v>48320</v>
      </c>
      <c r="H618" s="25">
        <f t="array" ref="H618">IF(A618=A617,0,SUM(_xlfn._xlws.FILTER(G618:G638,A618:A638=A618)))</f>
        <v>0</v>
      </c>
      <c r="I618" s="25">
        <f t="array" ref="I618">IFERROR(IF(A618=A617,0,SUM(_xlfn._xlws.FILTER(G618:G638,(A618:A638=A618)*(E618:E638&lt;0)))),0)</f>
        <v>0</v>
      </c>
      <c r="J618" s="25">
        <f t="array" ref="J618">IFERROR(IF(A618=A617,0,SUM(_xlfn._xlws.FILTER(G618:G638,(A618:A638=A618)*(E618:E638&gt;0)))),0)</f>
        <v>0</v>
      </c>
      <c r="K618" s="25">
        <f>IF(H618&lt;&gt;0,SUM(H$2:H618),0)</f>
        <v>0</v>
      </c>
      <c r="L618" s="25">
        <f>IF(I618&lt;&gt;0,SUM(I$2:I618),0)</f>
        <v>0</v>
      </c>
      <c r="M618" s="25">
        <f>IF(J618&lt;&gt;0,SUM(J$2:J618),0)</f>
        <v>0</v>
      </c>
    </row>
    <row r="619" spans="1:13" hidden="1" x14ac:dyDescent="0.2">
      <c r="A619" s="5">
        <v>45974</v>
      </c>
      <c r="C619" s="5" t="s">
        <v>139</v>
      </c>
      <c r="D619" s="6">
        <v>10000</v>
      </c>
      <c r="E619" s="8">
        <v>399.2</v>
      </c>
      <c r="G619" s="25">
        <f t="shared" si="9"/>
        <v>39920</v>
      </c>
      <c r="H619" s="25">
        <f t="array" ref="H619">IF(A619=A618,0,SUM(_xlfn._xlws.FILTER(G619:G639,A619:A639=A619)))</f>
        <v>-5530</v>
      </c>
      <c r="I619" s="25">
        <f t="array" ref="I619">IFERROR(IF(A619=A618,0,SUM(_xlfn._xlws.FILTER(G619:G639,(A619:A639=A619)*(E619:E639&lt;0)))),0)</f>
        <v>-45450</v>
      </c>
      <c r="J619" s="25">
        <f t="array" ref="J619">IFERROR(IF(A619=A618,0,SUM(_xlfn._xlws.FILTER(G619:G639,(A619:A639=A619)*(E619:E639&gt;0)))),0)</f>
        <v>39920</v>
      </c>
      <c r="K619" s="25">
        <f>IF(H619&lt;&gt;0,SUM(H$2:H619),0)</f>
        <v>-4492892.7880729996</v>
      </c>
      <c r="L619" s="25">
        <f>IF(I619&lt;&gt;0,SUM(I$2:I619),0)</f>
        <v>-29409507.547573</v>
      </c>
      <c r="M619" s="25">
        <f>IF(J619&lt;&gt;0,SUM(J$2:J619),0)</f>
        <v>24916614.759500008</v>
      </c>
    </row>
    <row r="620" spans="1:13" hidden="1" x14ac:dyDescent="0.2">
      <c r="A620" s="5">
        <v>45974</v>
      </c>
      <c r="C620" s="5" t="s">
        <v>288</v>
      </c>
      <c r="D620" s="6">
        <v>3000</v>
      </c>
      <c r="E620" s="8">
        <v>-15.15</v>
      </c>
      <c r="G620" s="25">
        <f t="shared" si="9"/>
        <v>-45450</v>
      </c>
      <c r="H620" s="25">
        <f t="array" ref="H620">IF(A620=A619,0,SUM(_xlfn._xlws.FILTER(G620:G640,A620:A640=A620)))</f>
        <v>0</v>
      </c>
      <c r="I620" s="25">
        <f t="array" ref="I620">IFERROR(IF(A620=A619,0,SUM(_xlfn._xlws.FILTER(G620:G640,(A620:A640=A620)*(E620:E640&lt;0)))),0)</f>
        <v>0</v>
      </c>
      <c r="J620" s="25">
        <f t="array" ref="J620">IFERROR(IF(A620=A619,0,SUM(_xlfn._xlws.FILTER(G620:G640,(A620:A640=A620)*(E620:E640&gt;0)))),0)</f>
        <v>0</v>
      </c>
      <c r="K620" s="25">
        <f>IF(H620&lt;&gt;0,SUM(H$2:H620),0)</f>
        <v>0</v>
      </c>
      <c r="L620" s="25">
        <f>IF(I620&lt;&gt;0,SUM(I$2:I620),0)</f>
        <v>0</v>
      </c>
      <c r="M620" s="25">
        <f>IF(J620&lt;&gt;0,SUM(J$2:J620),0)</f>
        <v>0</v>
      </c>
    </row>
    <row r="621" spans="1:13" x14ac:dyDescent="0.2">
      <c r="A621" s="1">
        <v>45975</v>
      </c>
      <c r="C621" s="2" t="s">
        <v>19</v>
      </c>
      <c r="D621" s="2">
        <v>100</v>
      </c>
      <c r="E621" s="2">
        <v>-886.7</v>
      </c>
      <c r="G621" s="25">
        <f t="shared" si="9"/>
        <v>-88670</v>
      </c>
      <c r="H621" s="25">
        <f t="array" ref="H621">IF(A621=A620,0,SUM(_xlfn._xlws.FILTER(G621:G641,A621:A641=A621)))</f>
        <v>-88670</v>
      </c>
      <c r="I621" s="25">
        <f t="array" ref="I621">IFERROR(IF(A621=A620,0,SUM(_xlfn._xlws.FILTER(G621:G641,(A621:A641=A621)*(E621:E641&lt;0)))),0)</f>
        <v>-88670</v>
      </c>
      <c r="J621" s="25">
        <f t="array" ref="J621">IFERROR(IF(A621=A620,0,SUM(_xlfn._xlws.FILTER(G621:G641,(A621:A641=A621)*(E621:E641&gt;0)))),0)</f>
        <v>0</v>
      </c>
      <c r="K621" s="25">
        <f>IF(H621&lt;&gt;0,SUM(H$2:H621),0)</f>
        <v>-4581562.7880729996</v>
      </c>
      <c r="L621" s="25">
        <f>IF(I621&lt;&gt;0,SUM(I$2:I621),0)</f>
        <v>-29498177.547573</v>
      </c>
      <c r="M621" s="25">
        <f>IF(J621&lt;&gt;0,SUM(J$2:J621),0)</f>
        <v>0</v>
      </c>
    </row>
    <row r="622" spans="1:13" x14ac:dyDescent="0.2">
      <c r="A622" s="1">
        <v>45978</v>
      </c>
      <c r="B622">
        <v>2</v>
      </c>
      <c r="C622" s="2" t="s">
        <v>37</v>
      </c>
      <c r="D622" s="2">
        <v>200</v>
      </c>
      <c r="E622" s="2">
        <v>342.32</v>
      </c>
      <c r="G622" s="25">
        <f t="shared" si="9"/>
        <v>68464</v>
      </c>
      <c r="H622" s="25">
        <f t="array" ref="H622">IF(A622=A621,0,SUM(_xlfn._xlws.FILTER(G622:G642,A622:A642=A622)))</f>
        <v>68464</v>
      </c>
      <c r="I622" s="25">
        <f t="array" ref="I622">IFERROR(IF(A622=A621,0,SUM(_xlfn._xlws.FILTER(G622:G642,(A622:A642=A622)*(E622:E642&lt;0)))),0)</f>
        <v>0</v>
      </c>
      <c r="J622" s="25">
        <f t="array" ref="J622">IFERROR(IF(A622=A621,0,SUM(_xlfn._xlws.FILTER(G622:G642,(A622:A642=A622)*(E622:E642&gt;0)))),0)</f>
        <v>68464</v>
      </c>
      <c r="K622" s="25">
        <f>IF(H622&lt;&gt;0,SUM(H$2:H622),0)</f>
        <v>-4513098.7880729996</v>
      </c>
      <c r="L622" s="25">
        <f>IF(I622&lt;&gt;0,SUM(I$2:I622),0)</f>
        <v>0</v>
      </c>
      <c r="M622" s="25">
        <f>IF(J622&lt;&gt;0,SUM(J$2:J622),0)</f>
        <v>24985078.759500008</v>
      </c>
    </row>
    <row r="623" spans="1:13" x14ac:dyDescent="0.2">
      <c r="A623" s="5">
        <v>45981</v>
      </c>
      <c r="B623">
        <v>2</v>
      </c>
      <c r="C623" s="5" t="s">
        <v>303</v>
      </c>
      <c r="D623" s="6">
        <v>200</v>
      </c>
      <c r="E623" s="8">
        <v>-105.73</v>
      </c>
      <c r="G623" s="25">
        <f t="shared" si="9"/>
        <v>-21146</v>
      </c>
      <c r="H623" s="25">
        <f t="array" ref="H623">IF(A623=A622,0,SUM(_xlfn._xlws.FILTER(G623:G643,A623:A643=A623)))</f>
        <v>-21146</v>
      </c>
      <c r="I623" s="25">
        <f t="array" ref="I623">IFERROR(IF(A623=A622,0,SUM(_xlfn._xlws.FILTER(G623:G643,(A623:A643=A623)*(E623:E643&lt;0)))),0)</f>
        <v>-21146</v>
      </c>
      <c r="J623" s="25">
        <f t="array" ref="J623">IFERROR(IF(A623=A622,0,SUM(_xlfn._xlws.FILTER(G623:G643,(A623:A643=A623)*(E623:E643&gt;0)))),0)</f>
        <v>0</v>
      </c>
      <c r="K623" s="25">
        <f>IF(H623&lt;&gt;0,SUM(H$2:H623),0)</f>
        <v>-4534244.7880729996</v>
      </c>
      <c r="L623" s="25">
        <f>IF(I623&lt;&gt;0,SUM(I$2:I623),0)</f>
        <v>-29519323.547573</v>
      </c>
      <c r="M623" s="25">
        <f>IF(J623&lt;&gt;0,SUM(J$2:J623),0)</f>
        <v>0</v>
      </c>
    </row>
    <row r="624" spans="1:13" x14ac:dyDescent="0.2">
      <c r="A624" s="1">
        <v>45982</v>
      </c>
      <c r="B624">
        <v>2</v>
      </c>
      <c r="C624" s="2" t="s">
        <v>139</v>
      </c>
      <c r="D624" s="2">
        <v>10000</v>
      </c>
      <c r="E624" s="2">
        <v>-375.2</v>
      </c>
      <c r="G624" s="25">
        <f t="shared" si="9"/>
        <v>-37520</v>
      </c>
      <c r="H624" s="25">
        <f t="array" ref="H624">IF(A624=A623,0,SUM(_xlfn._xlws.FILTER(G624:G644,A624:A644=A624)))</f>
        <v>-14166.800000000003</v>
      </c>
      <c r="I624" s="25">
        <f t="array" ref="I624">IFERROR(IF(A624=A623,0,SUM(_xlfn._xlws.FILTER(G624:G644,(A624:A644=A624)*(E624:E644&lt;0)))),0)</f>
        <v>-37520</v>
      </c>
      <c r="J624" s="25">
        <f t="array" ref="J624">IFERROR(IF(A624=A623,0,SUM(_xlfn._xlws.FILTER(G624:G644,(A624:A644=A624)*(E624:E644&gt;0)))),0)</f>
        <v>23353.199999999997</v>
      </c>
      <c r="K624" s="25">
        <f>IF(H624&lt;&gt;0,SUM(H$2:H624),0)</f>
        <v>-4548411.5880729994</v>
      </c>
      <c r="L624" s="25">
        <f>IF(I624&lt;&gt;0,SUM(I$2:I624),0)</f>
        <v>-29556843.547573</v>
      </c>
      <c r="M624" s="25">
        <f>IF(J624&lt;&gt;0,SUM(J$2:J624),0)</f>
        <v>25008431.959500007</v>
      </c>
    </row>
    <row r="625" spans="1:13" x14ac:dyDescent="0.2">
      <c r="A625" s="1">
        <v>45982</v>
      </c>
      <c r="B625">
        <v>2</v>
      </c>
      <c r="C625" s="2" t="s">
        <v>185</v>
      </c>
      <c r="D625" s="2">
        <v>499</v>
      </c>
      <c r="E625" s="2">
        <v>46.8</v>
      </c>
      <c r="G625" s="25">
        <f t="shared" si="9"/>
        <v>23353.199999999997</v>
      </c>
      <c r="H625" s="25">
        <f t="array" ref="H625">IF(A625=A624,0,SUM(_xlfn._xlws.FILTER(G625:G645,A625:A645=A625)))</f>
        <v>0</v>
      </c>
      <c r="I625" s="25">
        <f t="array" ref="I625">IFERROR(IF(A625=A624,0,SUM(_xlfn._xlws.FILTER(G625:G645,(A625:A645=A625)*(E625:E645&lt;0)))),0)</f>
        <v>0</v>
      </c>
      <c r="J625" s="25">
        <f t="array" ref="J625">IFERROR(IF(A625=A624,0,SUM(_xlfn._xlws.FILTER(G625:G645,(A625:A645=A625)*(E625:E645&gt;0)))),0)</f>
        <v>0</v>
      </c>
      <c r="K625" s="25">
        <f>IF(H625&lt;&gt;0,SUM(H$2:H625),0)</f>
        <v>0</v>
      </c>
      <c r="L625" s="25">
        <f>IF(I625&lt;&gt;0,SUM(I$2:I625),0)</f>
        <v>0</v>
      </c>
      <c r="M625" s="25">
        <f>IF(J625&lt;&gt;0,SUM(J$2:J625),0)</f>
        <v>0</v>
      </c>
    </row>
    <row r="626" spans="1:13" x14ac:dyDescent="0.2">
      <c r="A626" s="5">
        <v>45985</v>
      </c>
      <c r="B626">
        <v>1</v>
      </c>
      <c r="C626" s="5" t="s">
        <v>256</v>
      </c>
      <c r="D626" s="6">
        <v>2000</v>
      </c>
      <c r="E626" s="8">
        <v>15.8</v>
      </c>
      <c r="G626" s="25">
        <f t="shared" si="9"/>
        <v>31600</v>
      </c>
      <c r="H626" s="25">
        <f t="array" ref="H626">IF(A626=A625,0,SUM(_xlfn._xlws.FILTER(G626:G646,A626:A646=A626)))</f>
        <v>-156284</v>
      </c>
      <c r="I626" s="25">
        <f t="array" ref="I626">IFERROR(IF(A626=A625,0,SUM(_xlfn._xlws.FILTER(G626:G646,(A626:A646=A626)*(E626:E646&lt;0)))),0)</f>
        <v>-187884</v>
      </c>
      <c r="J626" s="25">
        <f t="array" ref="J626">IFERROR(IF(A626=A625,0,SUM(_xlfn._xlws.FILTER(G626:G646,(A626:A646=A626)*(E626:E646&gt;0)))),0)</f>
        <v>31600</v>
      </c>
      <c r="K626" s="25">
        <f>IF(H626&lt;&gt;0,SUM(H$2:H626),0)</f>
        <v>-4704695.5880729994</v>
      </c>
      <c r="L626" s="25">
        <f>IF(I626&lt;&gt;0,SUM(I$2:I626),0)</f>
        <v>-29744727.547573</v>
      </c>
      <c r="M626" s="25">
        <f>IF(J626&lt;&gt;0,SUM(J$2:J626),0)</f>
        <v>25040031.959500007</v>
      </c>
    </row>
    <row r="627" spans="1:13" x14ac:dyDescent="0.2">
      <c r="A627" s="1">
        <v>45985</v>
      </c>
      <c r="B627">
        <v>2</v>
      </c>
      <c r="C627" s="2" t="s">
        <v>303</v>
      </c>
      <c r="D627" s="2">
        <v>1800</v>
      </c>
      <c r="E627" s="2">
        <v>-104.38</v>
      </c>
      <c r="G627" s="25">
        <f t="shared" si="9"/>
        <v>-187884</v>
      </c>
      <c r="H627" s="25">
        <f t="array" ref="H627">IF(A627=A626,0,SUM(_xlfn._xlws.FILTER(G627:G647,A627:A647=A627)))</f>
        <v>0</v>
      </c>
      <c r="I627" s="25">
        <f t="array" ref="I627">IFERROR(IF(A627=A626,0,SUM(_xlfn._xlws.FILTER(G627:G647,(A627:A647=A627)*(E627:E647&lt;0)))),0)</f>
        <v>0</v>
      </c>
      <c r="J627" s="25">
        <f t="array" ref="J627">IFERROR(IF(A627=A626,0,SUM(_xlfn._xlws.FILTER(G627:G647,(A627:A647=A627)*(E627:E647&gt;0)))),0)</f>
        <v>0</v>
      </c>
      <c r="K627" s="25">
        <f>IF(H627&lt;&gt;0,SUM(H$2:H627),0)</f>
        <v>0</v>
      </c>
      <c r="L627" s="25">
        <f>IF(I627&lt;&gt;0,SUM(I$2:I627),0)</f>
        <v>0</v>
      </c>
      <c r="M627" s="25">
        <f>IF(J627&lt;&gt;0,SUM(J$2:J627),0)</f>
        <v>0</v>
      </c>
    </row>
    <row r="628" spans="1:13" x14ac:dyDescent="0.2">
      <c r="A628" s="24"/>
      <c r="G628" s="26"/>
      <c r="H628" s="25">
        <f t="array" ref="H628">IF(A628=A627,0,SUM(_xlfn._xlws.FILTER(G628:G648,A628:A648=A628)))</f>
        <v>0</v>
      </c>
      <c r="I628" s="25">
        <f t="array" ref="I628">IFERROR(IF(A628=A627,0,SUM(_xlfn._xlws.FILTER(G628:G648,(A628:A648=A628)*(E628:E648&lt;0)))),0)</f>
        <v>0</v>
      </c>
      <c r="J628" s="25">
        <f t="array" ref="J628">IFERROR(IF(A628=A627,0,SUM(_xlfn._xlws.FILTER(G628:G648,(A628:A648=A628)*(E628:E648&gt;0)))),0)</f>
        <v>0</v>
      </c>
      <c r="K628" s="25">
        <f>IF(H628&lt;&gt;0,SUM(H$2:H628),0)</f>
        <v>0</v>
      </c>
      <c r="L628" s="25">
        <f>IF(I628&lt;&gt;0,SUM(I$2:I628),0)</f>
        <v>0</v>
      </c>
      <c r="M628" s="25">
        <f>IF(J628&lt;&gt;0,SUM(J$2:J628),0)</f>
        <v>0</v>
      </c>
    </row>
    <row r="629" spans="1:13" x14ac:dyDescent="0.2">
      <c r="G629" s="26"/>
      <c r="H629" s="25">
        <f t="array" ref="H629">IF(A629=A628,0,SUM(_xlfn._xlws.FILTER(G629:G649,A629:A649=A629)))</f>
        <v>0</v>
      </c>
      <c r="I629" s="25">
        <f t="array" ref="I629">IFERROR(IF(A629=A628,0,SUM(_xlfn._xlws.FILTER(G629:G649,(A629:A649=A629)*(E629:E649&lt;0)))),0)</f>
        <v>0</v>
      </c>
      <c r="J629" s="25">
        <f t="array" ref="J629">IFERROR(IF(A629=A628,0,SUM(_xlfn._xlws.FILTER(G629:G649,(A629:A649=A629)*(E629:E649&gt;0)))),0)</f>
        <v>0</v>
      </c>
      <c r="K629" s="25">
        <f>IF(H629&lt;&gt;0,SUM(H$2:H629),0)</f>
        <v>0</v>
      </c>
      <c r="L629" s="25">
        <f>IF(I629&lt;&gt;0,SUM(I$2:I629),0)</f>
        <v>0</v>
      </c>
      <c r="M629" s="25">
        <f>IF(J629&lt;&gt;0,SUM(J$2:J629),0)</f>
        <v>0</v>
      </c>
    </row>
    <row r="630" spans="1:13" x14ac:dyDescent="0.2">
      <c r="G630" s="26"/>
      <c r="H630" s="25">
        <f t="array" ref="H630">IF(A630=A629,0,SUM(_xlfn._xlws.FILTER(G630:G650,A630:A650=A630)))</f>
        <v>0</v>
      </c>
      <c r="I630" s="25">
        <f t="array" ref="I630">IFERROR(IF(A630=A629,0,SUM(_xlfn._xlws.FILTER(G630:G650,(A630:A650=A630)*(E630:E650&lt;0)))),0)</f>
        <v>0</v>
      </c>
      <c r="J630" s="25">
        <f t="array" ref="J630">IFERROR(IF(A630=A629,0,SUM(_xlfn._xlws.FILTER(G630:G650,(A630:A650=A630)*(E630:E650&gt;0)))),0)</f>
        <v>0</v>
      </c>
      <c r="K630" s="25">
        <f>IF(H630&lt;&gt;0,SUM(H$2:H630),0)</f>
        <v>0</v>
      </c>
      <c r="L630" s="25">
        <f>IF(I630&lt;&gt;0,SUM(I$2:I630),0)</f>
        <v>0</v>
      </c>
      <c r="M630" s="25">
        <f>IF(J630&lt;&gt;0,SUM(J$2:J630),0)</f>
        <v>0</v>
      </c>
    </row>
    <row r="631" spans="1:13" x14ac:dyDescent="0.2">
      <c r="G631" s="26"/>
      <c r="H631" s="25">
        <f t="array" ref="H631">IF(A631=A630,0,SUM(_xlfn._xlws.FILTER(G631:G651,A631:A651=A631)))</f>
        <v>0</v>
      </c>
      <c r="I631" s="25">
        <f t="array" ref="I631">IFERROR(IF(A631=A630,0,SUM(_xlfn._xlws.FILTER(G631:G651,(A631:A651=A631)*(E631:E651&lt;0)))),0)</f>
        <v>0</v>
      </c>
      <c r="J631" s="25">
        <f t="array" ref="J631">IFERROR(IF(A631=A630,0,SUM(_xlfn._xlws.FILTER(G631:G651,(A631:A651=A631)*(E631:E651&gt;0)))),0)</f>
        <v>0</v>
      </c>
      <c r="K631" s="25">
        <f>IF(H631&lt;&gt;0,SUM(H$2:H631),0)</f>
        <v>0</v>
      </c>
      <c r="L631" s="25">
        <f>IF(I631&lt;&gt;0,SUM(I$2:I631),0)</f>
        <v>0</v>
      </c>
      <c r="M631" s="25">
        <f>IF(J631&lt;&gt;0,SUM(J$2:J631),0)</f>
        <v>0</v>
      </c>
    </row>
    <row r="632" spans="1:13" x14ac:dyDescent="0.2">
      <c r="G632" s="26"/>
      <c r="H632" s="25">
        <f t="array" ref="H632">IF(A632=A631,0,SUM(_xlfn._xlws.FILTER(G632:G652,A632:A652=A632)))</f>
        <v>0</v>
      </c>
      <c r="I632" s="25">
        <f t="array" ref="I632">IFERROR(IF(A632=A631,0,SUM(_xlfn._xlws.FILTER(G632:G652,(A632:A652=A632)*(E632:E652&lt;0)))),0)</f>
        <v>0</v>
      </c>
      <c r="J632" s="25">
        <f t="array" ref="J632">IFERROR(IF(A632=A631,0,SUM(_xlfn._xlws.FILTER(G632:G652,(A632:A652=A632)*(E632:E652&gt;0)))),0)</f>
        <v>0</v>
      </c>
      <c r="K632" s="25">
        <f>IF(H632&lt;&gt;0,SUM(H$2:H632),0)</f>
        <v>0</v>
      </c>
      <c r="L632" s="25">
        <f>IF(I632&lt;&gt;0,SUM(I$2:I632),0)</f>
        <v>0</v>
      </c>
      <c r="M632" s="25">
        <f>IF(J632&lt;&gt;0,SUM(J$2:J632),0)</f>
        <v>0</v>
      </c>
    </row>
    <row r="633" spans="1:13" x14ac:dyDescent="0.2">
      <c r="G633" s="26"/>
      <c r="H633" s="25">
        <f t="array" ref="H633">IF(A633=A632,0,SUM(_xlfn._xlws.FILTER(G633:G653,A633:A653=A633)))</f>
        <v>0</v>
      </c>
      <c r="I633" s="25">
        <f t="array" ref="I633">IFERROR(IF(A633=A632,0,SUM(_xlfn._xlws.FILTER(G633:G653,(A633:A653=A633)*(E633:E653&lt;0)))),0)</f>
        <v>0</v>
      </c>
      <c r="J633" s="25">
        <f t="array" ref="J633">IFERROR(IF(A633=A632,0,SUM(_xlfn._xlws.FILTER(G633:G653,(A633:A653=A633)*(E633:E653&gt;0)))),0)</f>
        <v>0</v>
      </c>
      <c r="K633" s="25">
        <f>IF(H633&lt;&gt;0,SUM(H$2:H633),0)</f>
        <v>0</v>
      </c>
      <c r="L633" s="25">
        <f>IF(I633&lt;&gt;0,SUM(I$2:I633),0)</f>
        <v>0</v>
      </c>
      <c r="M633" s="25">
        <f>IF(J633&lt;&gt;0,SUM(J$2:J633),0)</f>
        <v>0</v>
      </c>
    </row>
    <row r="634" spans="1:13" x14ac:dyDescent="0.2">
      <c r="G634" s="26"/>
      <c r="H634" s="25">
        <f t="array" ref="H634">IF(A634=A633,0,SUM(_xlfn._xlws.FILTER(G634:G654,A634:A654=A634)))</f>
        <v>0</v>
      </c>
      <c r="I634" s="25">
        <f t="array" ref="I634">IFERROR(IF(A634=A633,0,SUM(_xlfn._xlws.FILTER(G634:G654,(A634:A654=A634)*(E634:E654&lt;0)))),0)</f>
        <v>0</v>
      </c>
      <c r="J634" s="25">
        <f t="array" ref="J634">IFERROR(IF(A634=A633,0,SUM(_xlfn._xlws.FILTER(G634:G654,(A634:A654=A634)*(E634:E654&gt;0)))),0)</f>
        <v>0</v>
      </c>
      <c r="K634" s="25">
        <f>IF(H634&lt;&gt;0,SUM(H$2:H634),0)</f>
        <v>0</v>
      </c>
      <c r="L634" s="25">
        <f>IF(I634&lt;&gt;0,SUM(I$2:I634),0)</f>
        <v>0</v>
      </c>
      <c r="M634" s="25">
        <f>IF(J634&lt;&gt;0,SUM(J$2:J634),0)</f>
        <v>0</v>
      </c>
    </row>
    <row r="635" spans="1:13" x14ac:dyDescent="0.2">
      <c r="G635" s="26"/>
      <c r="H635" s="25">
        <f t="array" ref="H635">IF(A635=A634,0,SUM(_xlfn._xlws.FILTER(G635:G655,A635:A655=A635)))</f>
        <v>0</v>
      </c>
      <c r="I635" s="25">
        <f t="array" ref="I635">IFERROR(IF(A635=A634,0,SUM(_xlfn._xlws.FILTER(G635:G655,(A635:A655=A635)*(E635:E655&lt;0)))),0)</f>
        <v>0</v>
      </c>
      <c r="J635" s="25">
        <f t="array" ref="J635">IFERROR(IF(A635=A634,0,SUM(_xlfn._xlws.FILTER(G635:G655,(A635:A655=A635)*(E635:E655&gt;0)))),0)</f>
        <v>0</v>
      </c>
      <c r="K635" s="25">
        <f>IF(H635&lt;&gt;0,SUM(H$2:H635),0)</f>
        <v>0</v>
      </c>
      <c r="L635" s="25">
        <f>IF(I635&lt;&gt;0,SUM(I$2:I635),0)</f>
        <v>0</v>
      </c>
      <c r="M635" s="25">
        <f>IF(J635&lt;&gt;0,SUM(J$2:J635),0)</f>
        <v>0</v>
      </c>
    </row>
    <row r="636" spans="1:13" x14ac:dyDescent="0.2">
      <c r="H636" s="25">
        <f t="array" ref="H636">IF(A636=A635,0,SUM(_xlfn._xlws.FILTER(G636:G656,A636:A656=A636)))</f>
        <v>0</v>
      </c>
      <c r="I636" s="25">
        <f t="array" ref="I636">IFERROR(IF(A636=A635,0,SUM(_xlfn._xlws.FILTER(G636:G656,(A636:A656=A636)*(E636:E656&lt;0)))),0)</f>
        <v>0</v>
      </c>
      <c r="J636" s="25">
        <f t="array" ref="J636">IFERROR(IF(A636=A635,0,SUM(_xlfn._xlws.FILTER(G636:G656,(A636:A656=A636)*(E636:E656&gt;0)))),0)</f>
        <v>0</v>
      </c>
      <c r="K636" s="25">
        <f>IF(H636&lt;&gt;0,SUM(H$2:H636),0)</f>
        <v>0</v>
      </c>
      <c r="L636" s="25">
        <f>IF(I636&lt;&gt;0,SUM(I$2:I636),0)</f>
        <v>0</v>
      </c>
      <c r="M636" s="25">
        <f>IF(J636&lt;&gt;0,SUM(J$2:J636),0)</f>
        <v>0</v>
      </c>
    </row>
    <row r="637" spans="1:13" x14ac:dyDescent="0.2">
      <c r="H637" s="25">
        <f t="array" ref="H637">IF(A637=A636,0,SUM(_xlfn._xlws.FILTER(G637:G657,A637:A657=A637)))</f>
        <v>0</v>
      </c>
      <c r="I637" s="25">
        <f t="array" ref="I637">IFERROR(IF(A637=A636,0,SUM(_xlfn._xlws.FILTER(G637:G657,(A637:A657=A637)*(E637:E657&lt;0)))),0)</f>
        <v>0</v>
      </c>
      <c r="J637" s="25">
        <f t="array" ref="J637">IFERROR(IF(A637=A636,0,SUM(_xlfn._xlws.FILTER(G637:G657,(A637:A657=A637)*(E637:E657&gt;0)))),0)</f>
        <v>0</v>
      </c>
      <c r="K637" s="25">
        <f>IF(H637&lt;&gt;0,SUM(H$2:H637),0)</f>
        <v>0</v>
      </c>
      <c r="L637" s="25">
        <f>IF(I637&lt;&gt;0,SUM(I$2:I637),0)</f>
        <v>0</v>
      </c>
      <c r="M637" s="25">
        <f>IF(J637&lt;&gt;0,SUM(J$2:J637),0)</f>
        <v>0</v>
      </c>
    </row>
    <row r="638" spans="1:13" x14ac:dyDescent="0.2">
      <c r="H638" s="25">
        <f t="array" ref="H638">IF(A638=A637,0,SUM(_xlfn._xlws.FILTER(G638:G658,A638:A658=A638)))</f>
        <v>0</v>
      </c>
      <c r="I638" s="25">
        <f t="array" ref="I638">IFERROR(IF(A638=A637,0,SUM(_xlfn._xlws.FILTER(G638:G658,(A638:A658=A638)*(E638:E658&lt;0)))),0)</f>
        <v>0</v>
      </c>
      <c r="J638" s="25">
        <f t="array" ref="J638">IFERROR(IF(A638=A637,0,SUM(_xlfn._xlws.FILTER(G638:G658,(A638:A658=A638)*(E638:E658&gt;0)))),0)</f>
        <v>0</v>
      </c>
      <c r="K638" s="25">
        <f>IF(H638&lt;&gt;0,SUM(H$2:H638),0)</f>
        <v>0</v>
      </c>
      <c r="L638" s="25">
        <f>IF(I638&lt;&gt;0,SUM(I$2:I638),0)</f>
        <v>0</v>
      </c>
      <c r="M638" s="25">
        <f>IF(J638&lt;&gt;0,SUM(J$2:J638),0)</f>
        <v>0</v>
      </c>
    </row>
    <row r="639" spans="1:13" x14ac:dyDescent="0.2">
      <c r="H639" s="25">
        <f t="array" ref="H639">IF(A639=A638,0,SUM(_xlfn._xlws.FILTER(G639:G659,A639:A659=A639)))</f>
        <v>0</v>
      </c>
      <c r="I639" s="25">
        <f t="array" ref="I639">IFERROR(IF(A639=A638,0,SUM(_xlfn._xlws.FILTER(G639:G659,(A639:A659=A639)*(E639:E659&lt;0)))),0)</f>
        <v>0</v>
      </c>
      <c r="J639" s="25">
        <f t="array" ref="J639">IFERROR(IF(A639=A638,0,SUM(_xlfn._xlws.FILTER(G639:G659,(A639:A659=A639)*(E639:E659&gt;0)))),0)</f>
        <v>0</v>
      </c>
      <c r="K639" s="25">
        <f>IF(H639&lt;&gt;0,SUM(H$2:H639),0)</f>
        <v>0</v>
      </c>
      <c r="L639" s="25">
        <f>IF(I639&lt;&gt;0,SUM(I$2:I639),0)</f>
        <v>0</v>
      </c>
      <c r="M639" s="25">
        <f>IF(J639&lt;&gt;0,SUM(J$2:J639),0)</f>
        <v>0</v>
      </c>
    </row>
    <row r="640" spans="1:13" x14ac:dyDescent="0.2">
      <c r="H640" s="25">
        <f t="array" ref="H640">IF(A640=A639,0,SUM(_xlfn._xlws.FILTER(G640:G660,A640:A660=A640)))</f>
        <v>0</v>
      </c>
      <c r="I640" s="25">
        <f t="array" ref="I640">IFERROR(IF(A640=A639,0,SUM(_xlfn._xlws.FILTER(G640:G660,(A640:A660=A640)*(E640:E660&lt;0)))),0)</f>
        <v>0</v>
      </c>
      <c r="J640" s="25">
        <f t="array" ref="J640">IFERROR(IF(A640=A639,0,SUM(_xlfn._xlws.FILTER(G640:G660,(A640:A660=A640)*(E640:E660&gt;0)))),0)</f>
        <v>0</v>
      </c>
      <c r="K640" s="25">
        <f>IF(H640&lt;&gt;0,SUM(H$2:H640),0)</f>
        <v>0</v>
      </c>
      <c r="L640" s="25">
        <f>IF(I640&lt;&gt;0,SUM(I$2:I640),0)</f>
        <v>0</v>
      </c>
      <c r="M640" s="25">
        <f>IF(J640&lt;&gt;0,SUM(J$2:J640),0)</f>
        <v>0</v>
      </c>
    </row>
    <row r="641" spans="8:13" x14ac:dyDescent="0.2">
      <c r="H641" s="25">
        <f t="array" ref="H641">IF(A641=A640,0,SUM(_xlfn._xlws.FILTER(G641:G661,A641:A661=A641)))</f>
        <v>0</v>
      </c>
      <c r="I641" s="25">
        <f t="array" ref="I641">IFERROR(IF(A641=A640,0,SUM(_xlfn._xlws.FILTER(G641:G661,(A641:A661=A641)*(E641:E661&lt;0)))),0)</f>
        <v>0</v>
      </c>
      <c r="J641" s="25">
        <f t="array" ref="J641">IFERROR(IF(A641=A640,0,SUM(_xlfn._xlws.FILTER(G641:G661,(A641:A661=A641)*(E641:E661&gt;0)))),0)</f>
        <v>0</v>
      </c>
      <c r="K641" s="25">
        <f>IF(H641&lt;&gt;0,SUM(H$2:H641),0)</f>
        <v>0</v>
      </c>
      <c r="L641" s="25">
        <f>IF(I641&lt;&gt;0,SUM(I$2:I641),0)</f>
        <v>0</v>
      </c>
      <c r="M641" s="25">
        <f>IF(J641&lt;&gt;0,SUM(J$2:J641),0)</f>
        <v>0</v>
      </c>
    </row>
    <row r="642" spans="8:13" x14ac:dyDescent="0.2">
      <c r="H642" s="25">
        <f t="array" ref="H642">IF(A642=A641,0,SUM(_xlfn._xlws.FILTER(G642:G662,A642:A662=A642)))</f>
        <v>0</v>
      </c>
      <c r="I642" s="25">
        <f t="array" ref="I642">IFERROR(IF(A642=A641,0,SUM(_xlfn._xlws.FILTER(G642:G662,(A642:A662=A642)*(E642:E662&lt;0)))),0)</f>
        <v>0</v>
      </c>
      <c r="J642" s="25">
        <f t="array" ref="J642">IFERROR(IF(A642=A641,0,SUM(_xlfn._xlws.FILTER(G642:G662,(A642:A662=A642)*(E642:E662&gt;0)))),0)</f>
        <v>0</v>
      </c>
      <c r="K642" s="25">
        <f>IF(H642&lt;&gt;0,SUM(H$2:H642),0)</f>
        <v>0</v>
      </c>
      <c r="L642" s="25">
        <f>IF(I642&lt;&gt;0,SUM(I$2:I642),0)</f>
        <v>0</v>
      </c>
      <c r="M642" s="25">
        <f>IF(J642&lt;&gt;0,SUM(J$2:J642),0)</f>
        <v>0</v>
      </c>
    </row>
    <row r="643" spans="8:13" x14ac:dyDescent="0.2">
      <c r="H643" s="25">
        <f t="array" ref="H643">IF(A643=A642,0,SUM(_xlfn._xlws.FILTER(G643:G663,A643:A663=A643)))</f>
        <v>0</v>
      </c>
      <c r="I643" s="25">
        <f t="array" ref="I643">IFERROR(IF(A643=A642,0,SUM(_xlfn._xlws.FILTER(G643:G663,(A643:A663=A643)*(E643:E663&lt;0)))),0)</f>
        <v>0</v>
      </c>
      <c r="J643" s="25">
        <f t="array" ref="J643">IFERROR(IF(A643=A642,0,SUM(_xlfn._xlws.FILTER(G643:G663,(A643:A663=A643)*(E643:E663&gt;0)))),0)</f>
        <v>0</v>
      </c>
      <c r="K643" s="25">
        <f>IF(H643&lt;&gt;0,SUM(H$2:H643),0)</f>
        <v>0</v>
      </c>
      <c r="L643" s="25">
        <f>IF(I643&lt;&gt;0,SUM(I$2:I643),0)</f>
        <v>0</v>
      </c>
      <c r="M643" s="25">
        <f>IF(J643&lt;&gt;0,SUM(J$2:J643),0)</f>
        <v>0</v>
      </c>
    </row>
    <row r="644" spans="8:13" x14ac:dyDescent="0.2">
      <c r="H644" s="25">
        <f t="array" ref="H644">IF(A644=A643,0,SUM(_xlfn._xlws.FILTER(G644:G664,A644:A664=A644)))</f>
        <v>0</v>
      </c>
      <c r="I644" s="25">
        <f t="array" ref="I644">IFERROR(IF(A644=A643,0,SUM(_xlfn._xlws.FILTER(G644:G664,(A644:A664=A644)*(E644:E664&lt;0)))),0)</f>
        <v>0</v>
      </c>
      <c r="J644" s="25">
        <f t="array" ref="J644">IFERROR(IF(A644=A643,0,SUM(_xlfn._xlws.FILTER(G644:G664,(A644:A664=A644)*(E644:E664&gt;0)))),0)</f>
        <v>0</v>
      </c>
      <c r="K644" s="25">
        <f>IF(H644&lt;&gt;0,SUM(H$2:H644),0)</f>
        <v>0</v>
      </c>
      <c r="L644" s="25">
        <f>IF(I644&lt;&gt;0,SUM(I$2:I644),0)</f>
        <v>0</v>
      </c>
      <c r="M644" s="25">
        <f>IF(J644&lt;&gt;0,SUM(J$2:J644),0)</f>
        <v>0</v>
      </c>
    </row>
    <row r="645" spans="8:13" x14ac:dyDescent="0.2">
      <c r="H645" s="25">
        <f t="array" ref="H645">IF(A645=A644,0,SUM(_xlfn._xlws.FILTER(G645:G665,A645:A665=A645)))</f>
        <v>0</v>
      </c>
      <c r="I645" s="25">
        <f t="array" ref="I645">IFERROR(IF(A645=A644,0,SUM(_xlfn._xlws.FILTER(G645:G665,(A645:A665=A645)*(E645:E665&lt;0)))),0)</f>
        <v>0</v>
      </c>
      <c r="J645" s="25">
        <f t="array" ref="J645">IFERROR(IF(A645=A644,0,SUM(_xlfn._xlws.FILTER(G645:G665,(A645:A665=A645)*(E645:E665&gt;0)))),0)</f>
        <v>0</v>
      </c>
      <c r="K645" s="25">
        <f>IF(H645&lt;&gt;0,SUM(H$2:H645),0)</f>
        <v>0</v>
      </c>
      <c r="L645" s="25">
        <f>IF(I645&lt;&gt;0,SUM(I$2:I645),0)</f>
        <v>0</v>
      </c>
      <c r="M645" s="25">
        <f>IF(J645&lt;&gt;0,SUM(J$2:J645),0)</f>
        <v>0</v>
      </c>
    </row>
    <row r="646" spans="8:13" x14ac:dyDescent="0.2">
      <c r="H646" s="25">
        <f t="array" ref="H646">IF(A646=A645,0,SUM(_xlfn._xlws.FILTER(G646:G666,A646:A666=A646)))</f>
        <v>0</v>
      </c>
      <c r="I646" s="25">
        <f t="array" ref="I646">IFERROR(IF(A646=A645,0,SUM(_xlfn._xlws.FILTER(G646:G666,(A646:A666=A646)*(E646:E666&lt;0)))),0)</f>
        <v>0</v>
      </c>
      <c r="J646" s="25">
        <f t="array" ref="J646">IFERROR(IF(A646=A645,0,SUM(_xlfn._xlws.FILTER(G646:G666,(A646:A666=A646)*(E646:E666&gt;0)))),0)</f>
        <v>0</v>
      </c>
      <c r="K646" s="25">
        <f>IF(H646&lt;&gt;0,SUM(H$2:H646),0)</f>
        <v>0</v>
      </c>
      <c r="L646" s="25">
        <f>IF(I646&lt;&gt;0,SUM(I$2:I646),0)</f>
        <v>0</v>
      </c>
      <c r="M646" s="25">
        <f>IF(J646&lt;&gt;0,SUM(J$2:J646),0)</f>
        <v>0</v>
      </c>
    </row>
    <row r="647" spans="8:13" x14ac:dyDescent="0.2">
      <c r="H647" s="25">
        <f t="array" ref="H647">IF(A647=A646,0,SUM(_xlfn._xlws.FILTER(G647:G667,A647:A667=A647)))</f>
        <v>0</v>
      </c>
      <c r="I647" s="25">
        <f t="array" ref="I647">IFERROR(IF(A647=A646,0,SUM(_xlfn._xlws.FILTER(G647:G667,(A647:A667=A647)*(E647:E667&lt;0)))),0)</f>
        <v>0</v>
      </c>
      <c r="J647" s="25">
        <f t="array" ref="J647">IFERROR(IF(A647=A646,0,SUM(_xlfn._xlws.FILTER(G647:G667,(A647:A667=A647)*(E647:E667&gt;0)))),0)</f>
        <v>0</v>
      </c>
      <c r="K647" s="25">
        <f>IF(H647&lt;&gt;0,SUM(H$2:H647),0)</f>
        <v>0</v>
      </c>
      <c r="L647" s="25">
        <f>IF(I647&lt;&gt;0,SUM(I$2:I647),0)</f>
        <v>0</v>
      </c>
      <c r="M647" s="25">
        <f>IF(J647&lt;&gt;0,SUM(J$2:J647),0)</f>
        <v>0</v>
      </c>
    </row>
    <row r="648" spans="8:13" x14ac:dyDescent="0.2">
      <c r="H648" s="25">
        <f t="array" ref="H648">IF(A648=A647,0,SUM(_xlfn._xlws.FILTER(G648:G668,A648:A668=A648)))</f>
        <v>0</v>
      </c>
      <c r="I648" s="25">
        <f t="array" ref="I648">IFERROR(IF(A648=A647,0,SUM(_xlfn._xlws.FILTER(G648:G668,(A648:A668=A648)*(E648:E668&lt;0)))),0)</f>
        <v>0</v>
      </c>
      <c r="J648" s="25">
        <f t="array" ref="J648">IFERROR(IF(A648=A647,0,SUM(_xlfn._xlws.FILTER(G648:G668,(A648:A668=A648)*(E648:E668&gt;0)))),0)</f>
        <v>0</v>
      </c>
      <c r="K648" s="25">
        <f>IF(H648&lt;&gt;0,SUM(H$2:H648),0)</f>
        <v>0</v>
      </c>
      <c r="L648" s="25">
        <f>IF(I648&lt;&gt;0,SUM(I$2:I648),0)</f>
        <v>0</v>
      </c>
      <c r="M648" s="25">
        <f>IF(J648&lt;&gt;0,SUM(J$2:J648),0)</f>
        <v>0</v>
      </c>
    </row>
    <row r="649" spans="8:13" x14ac:dyDescent="0.2">
      <c r="H649" s="25">
        <f t="array" ref="H649">IF(A649=A648,0,SUM(_xlfn._xlws.FILTER(G649:G669,A649:A669=A649)))</f>
        <v>0</v>
      </c>
      <c r="I649" s="25">
        <f t="array" ref="I649">IFERROR(IF(A649=A648,0,SUM(_xlfn._xlws.FILTER(G649:G669,(A649:A669=A649)*(E649:E669&lt;0)))),0)</f>
        <v>0</v>
      </c>
      <c r="J649" s="25">
        <f t="array" ref="J649">IFERROR(IF(A649=A648,0,SUM(_xlfn._xlws.FILTER(G649:G669,(A649:A669=A649)*(E649:E669&gt;0)))),0)</f>
        <v>0</v>
      </c>
      <c r="K649" s="25">
        <f>IF(H649&lt;&gt;0,SUM(H$2:H649),0)</f>
        <v>0</v>
      </c>
      <c r="L649" s="25">
        <f>IF(I649&lt;&gt;0,SUM(I$2:I649),0)</f>
        <v>0</v>
      </c>
      <c r="M649" s="25">
        <f>IF(J649&lt;&gt;0,SUM(J$2:J649),0)</f>
        <v>0</v>
      </c>
    </row>
    <row r="650" spans="8:13" x14ac:dyDescent="0.2">
      <c r="H650" s="25">
        <f t="array" ref="H650">IF(A650=A649,0,SUM(_xlfn._xlws.FILTER(G650:G670,A650:A670=A650)))</f>
        <v>0</v>
      </c>
      <c r="I650" s="25">
        <f t="array" ref="I650">IFERROR(IF(A650=A649,0,SUM(_xlfn._xlws.FILTER(G650:G670,(A650:A670=A650)*(E650:E670&lt;0)))),0)</f>
        <v>0</v>
      </c>
      <c r="J650" s="25">
        <f t="array" ref="J650">IFERROR(IF(A650=A649,0,SUM(_xlfn._xlws.FILTER(G650:G670,(A650:A670=A650)*(E650:E670&gt;0)))),0)</f>
        <v>0</v>
      </c>
      <c r="K650" s="25">
        <f>IF(H650&lt;&gt;0,SUM(H$2:H650),0)</f>
        <v>0</v>
      </c>
      <c r="L650" s="25">
        <f>IF(I650&lt;&gt;0,SUM(I$2:I650),0)</f>
        <v>0</v>
      </c>
      <c r="M650" s="25">
        <f>IF(J650&lt;&gt;0,SUM(J$2:J650),0)</f>
        <v>0</v>
      </c>
    </row>
    <row r="651" spans="8:13" x14ac:dyDescent="0.2">
      <c r="H651" s="25">
        <f t="array" ref="H651">IF(A651=A650,0,SUM(_xlfn._xlws.FILTER(G651:G671,A651:A671=A651)))</f>
        <v>0</v>
      </c>
      <c r="I651" s="25">
        <f t="array" ref="I651">IFERROR(IF(A651=A650,0,SUM(_xlfn._xlws.FILTER(G651:G671,(A651:A671=A651)*(E651:E671&lt;0)))),0)</f>
        <v>0</v>
      </c>
      <c r="J651" s="25">
        <f t="array" ref="J651">IFERROR(IF(A651=A650,0,SUM(_xlfn._xlws.FILTER(G651:G671,(A651:A671=A651)*(E651:E671&gt;0)))),0)</f>
        <v>0</v>
      </c>
      <c r="K651" s="25">
        <f>IF(H651&lt;&gt;0,SUM(H$2:H651),0)</f>
        <v>0</v>
      </c>
      <c r="L651" s="25">
        <f>IF(I651&lt;&gt;0,SUM(I$2:I651),0)</f>
        <v>0</v>
      </c>
      <c r="M651" s="25">
        <f>IF(J651&lt;&gt;0,SUM(J$2:J651),0)</f>
        <v>0</v>
      </c>
    </row>
    <row r="652" spans="8:13" x14ac:dyDescent="0.2">
      <c r="H652" s="25">
        <f t="array" ref="H652">IF(A652=A651,0,SUM(_xlfn._xlws.FILTER(G652:G672,A652:A672=A652)))</f>
        <v>0</v>
      </c>
      <c r="I652" s="25">
        <f t="array" ref="I652">IFERROR(IF(A652=A651,0,SUM(_xlfn._xlws.FILTER(G652:G672,(A652:A672=A652)*(E652:E672&lt;0)))),0)</f>
        <v>0</v>
      </c>
      <c r="J652" s="25">
        <f t="array" ref="J652">IFERROR(IF(A652=A651,0,SUM(_xlfn._xlws.FILTER(G652:G672,(A652:A672=A652)*(E652:E672&gt;0)))),0)</f>
        <v>0</v>
      </c>
      <c r="K652" s="25">
        <f>IF(H652&lt;&gt;0,SUM(H$2:H652),0)</f>
        <v>0</v>
      </c>
      <c r="L652" s="25">
        <f>IF(I652&lt;&gt;0,SUM(I$2:I652),0)</f>
        <v>0</v>
      </c>
      <c r="M652" s="25">
        <f>IF(J652&lt;&gt;0,SUM(J$2:J652),0)</f>
        <v>0</v>
      </c>
    </row>
    <row r="653" spans="8:13" x14ac:dyDescent="0.2">
      <c r="H653" s="25">
        <f t="array" ref="H653">IF(A653=A652,0,SUM(_xlfn._xlws.FILTER(G653:G673,A653:A673=A653)))</f>
        <v>0</v>
      </c>
      <c r="I653" s="25">
        <f t="array" ref="I653">IFERROR(IF(A653=A652,0,SUM(_xlfn._xlws.FILTER(G653:G673,(A653:A673=A653)*(E653:E673&lt;0)))),0)</f>
        <v>0</v>
      </c>
      <c r="J653" s="25">
        <f t="array" ref="J653">IFERROR(IF(A653=A652,0,SUM(_xlfn._xlws.FILTER(G653:G673,(A653:A673=A653)*(E653:E673&gt;0)))),0)</f>
        <v>0</v>
      </c>
      <c r="K653" s="25">
        <f>IF(H653&lt;&gt;0,SUM(H$2:H653),0)</f>
        <v>0</v>
      </c>
      <c r="L653" s="25">
        <f>IF(I653&lt;&gt;0,SUM(I$2:I653),0)</f>
        <v>0</v>
      </c>
      <c r="M653" s="25">
        <f>IF(J653&lt;&gt;0,SUM(J$2:J653),0)</f>
        <v>0</v>
      </c>
    </row>
    <row r="654" spans="8:13" x14ac:dyDescent="0.2">
      <c r="H654" s="25">
        <f t="array" ref="H654">IF(A654=A653,0,SUM(_xlfn._xlws.FILTER(G654:G674,A654:A674=A654)))</f>
        <v>0</v>
      </c>
      <c r="I654" s="25">
        <f t="array" ref="I654">IFERROR(IF(A654=A653,0,SUM(_xlfn._xlws.FILTER(G654:G674,(A654:A674=A654)*(E654:E674&lt;0)))),0)</f>
        <v>0</v>
      </c>
      <c r="J654" s="25">
        <f t="array" ref="J654">IFERROR(IF(A654=A653,0,SUM(_xlfn._xlws.FILTER(G654:G674,(A654:A674=A654)*(E654:E674&gt;0)))),0)</f>
        <v>0</v>
      </c>
      <c r="K654" s="25">
        <f>IF(H654&lt;&gt;0,SUM(H$2:H654),0)</f>
        <v>0</v>
      </c>
      <c r="L654" s="25">
        <f>IF(I654&lt;&gt;0,SUM(I$2:I654),0)</f>
        <v>0</v>
      </c>
      <c r="M654" s="25">
        <f>IF(J654&lt;&gt;0,SUM(J$2:J654),0)</f>
        <v>0</v>
      </c>
    </row>
    <row r="655" spans="8:13" x14ac:dyDescent="0.2">
      <c r="H655" s="25">
        <f t="array" ref="H655">IF(A655=A654,0,SUM(_xlfn._xlws.FILTER(G655:G675,A655:A675=A655)))</f>
        <v>0</v>
      </c>
      <c r="I655" s="25">
        <f t="array" ref="I655">IFERROR(IF(A655=A654,0,SUM(_xlfn._xlws.FILTER(G655:G675,(A655:A675=A655)*(E655:E675&lt;0)))),0)</f>
        <v>0</v>
      </c>
      <c r="J655" s="25">
        <f t="array" ref="J655">IFERROR(IF(A655=A654,0,SUM(_xlfn._xlws.FILTER(G655:G675,(A655:A675=A655)*(E655:E675&gt;0)))),0)</f>
        <v>0</v>
      </c>
      <c r="K655" s="25">
        <f>IF(H655&lt;&gt;0,SUM(H$2:H655),0)</f>
        <v>0</v>
      </c>
      <c r="L655" s="25">
        <f>IF(I655&lt;&gt;0,SUM(I$2:I655),0)</f>
        <v>0</v>
      </c>
      <c r="M655" s="25">
        <f>IF(J655&lt;&gt;0,SUM(J$2:J655),0)</f>
        <v>0</v>
      </c>
    </row>
    <row r="656" spans="8:13" x14ac:dyDescent="0.2">
      <c r="H656" s="25">
        <f t="array" ref="H656">IF(A656=A655,0,SUM(_xlfn._xlws.FILTER(G656:G676,A656:A676=A656)))</f>
        <v>0</v>
      </c>
      <c r="I656" s="25">
        <f t="array" ref="I656">IFERROR(IF(A656=A655,0,SUM(_xlfn._xlws.FILTER(G656:G676,(A656:A676=A656)*(E656:E676&lt;0)))),0)</f>
        <v>0</v>
      </c>
      <c r="J656" s="25">
        <f t="array" ref="J656">IFERROR(IF(A656=A655,0,SUM(_xlfn._xlws.FILTER(G656:G676,(A656:A676=A656)*(E656:E676&gt;0)))),0)</f>
        <v>0</v>
      </c>
      <c r="K656" s="25">
        <f>IF(H656&lt;&gt;0,SUM(H$2:H656),0)</f>
        <v>0</v>
      </c>
      <c r="L656" s="25">
        <f>IF(I656&lt;&gt;0,SUM(I$2:I656),0)</f>
        <v>0</v>
      </c>
      <c r="M656" s="25">
        <f>IF(J656&lt;&gt;0,SUM(J$2:J656),0)</f>
        <v>0</v>
      </c>
    </row>
    <row r="657" spans="8:13" x14ac:dyDescent="0.2">
      <c r="H657" s="25">
        <f t="array" ref="H657">IF(A657=A656,0,SUM(_xlfn._xlws.FILTER(G657:G677,A657:A677=A657)))</f>
        <v>0</v>
      </c>
      <c r="I657" s="25">
        <f t="array" ref="I657">IFERROR(IF(A657=A656,0,SUM(_xlfn._xlws.FILTER(G657:G677,(A657:A677=A657)*(E657:E677&lt;0)))),0)</f>
        <v>0</v>
      </c>
      <c r="J657" s="25">
        <f t="array" ref="J657">IFERROR(IF(A657=A656,0,SUM(_xlfn._xlws.FILTER(G657:G677,(A657:A677=A657)*(E657:E677&gt;0)))),0)</f>
        <v>0</v>
      </c>
      <c r="K657" s="25">
        <f>IF(H657&lt;&gt;0,SUM(H$2:H657),0)</f>
        <v>0</v>
      </c>
      <c r="L657" s="25">
        <f>IF(I657&lt;&gt;0,SUM(I$2:I657),0)</f>
        <v>0</v>
      </c>
      <c r="M657" s="25">
        <f>IF(J657&lt;&gt;0,SUM(J$2:J657),0)</f>
        <v>0</v>
      </c>
    </row>
    <row r="658" spans="8:13" x14ac:dyDescent="0.2">
      <c r="H658" s="25">
        <f t="array" ref="H658">IF(A658=A657,0,SUM(_xlfn._xlws.FILTER(G658:G678,A658:A678=A658)))</f>
        <v>0</v>
      </c>
      <c r="I658" s="25">
        <f t="array" ref="I658">IFERROR(IF(A658=A657,0,SUM(_xlfn._xlws.FILTER(G658:G678,(A658:A678=A658)*(E658:E678&lt;0)))),0)</f>
        <v>0</v>
      </c>
      <c r="J658" s="25">
        <f t="array" ref="J658">IFERROR(IF(A658=A657,0,SUM(_xlfn._xlws.FILTER(G658:G678,(A658:A678=A658)*(E658:E678&gt;0)))),0)</f>
        <v>0</v>
      </c>
      <c r="K658" s="25">
        <f>IF(H658&lt;&gt;0,SUM(H$2:H658),0)</f>
        <v>0</v>
      </c>
      <c r="L658" s="25">
        <f>IF(I658&lt;&gt;0,SUM(I$2:I658),0)</f>
        <v>0</v>
      </c>
      <c r="M658" s="25">
        <f>IF(J658&lt;&gt;0,SUM(J$2:J658),0)</f>
        <v>0</v>
      </c>
    </row>
    <row r="659" spans="8:13" x14ac:dyDescent="0.2">
      <c r="H659" s="25">
        <f t="array" ref="H659">IF(A659=A658,0,SUM(_xlfn._xlws.FILTER(G659:G679,A659:A679=A659)))</f>
        <v>0</v>
      </c>
      <c r="I659" s="25">
        <f t="array" ref="I659">IFERROR(IF(A659=A658,0,SUM(_xlfn._xlws.FILTER(G659:G679,(A659:A679=A659)*(E659:E679&lt;0)))),0)</f>
        <v>0</v>
      </c>
      <c r="J659" s="25">
        <f t="array" ref="J659">IFERROR(IF(A659=A658,0,SUM(_xlfn._xlws.FILTER(G659:G679,(A659:A679=A659)*(E659:E679&gt;0)))),0)</f>
        <v>0</v>
      </c>
      <c r="K659" s="25">
        <f>IF(H659&lt;&gt;0,SUM(H$2:H659),0)</f>
        <v>0</v>
      </c>
      <c r="L659" s="25">
        <f>IF(I659&lt;&gt;0,SUM(I$2:I659),0)</f>
        <v>0</v>
      </c>
      <c r="M659" s="25">
        <f>IF(J659&lt;&gt;0,SUM(J$2:J659),0)</f>
        <v>0</v>
      </c>
    </row>
    <row r="660" spans="8:13" x14ac:dyDescent="0.2">
      <c r="H660" s="25">
        <f t="array" ref="H660">IF(A660=A659,0,SUM(_xlfn._xlws.FILTER(G660:G680,A660:A680=A660)))</f>
        <v>0</v>
      </c>
      <c r="I660" s="25">
        <f t="array" ref="I660">IFERROR(IF(A660=A659,0,SUM(_xlfn._xlws.FILTER(G660:G680,(A660:A680=A660)*(E660:E680&lt;0)))),0)</f>
        <v>0</v>
      </c>
      <c r="J660" s="25">
        <f t="array" ref="J660">IFERROR(IF(A660=A659,0,SUM(_xlfn._xlws.FILTER(G660:G680,(A660:A680=A660)*(E660:E680&gt;0)))),0)</f>
        <v>0</v>
      </c>
      <c r="K660" s="25">
        <f>IF(H660&lt;&gt;0,SUM(H$2:H660),0)</f>
        <v>0</v>
      </c>
      <c r="L660" s="25">
        <f>IF(I660&lt;&gt;0,SUM(I$2:I660),0)</f>
        <v>0</v>
      </c>
      <c r="M660" s="25">
        <f>IF(J660&lt;&gt;0,SUM(J$2:J660),0)</f>
        <v>0</v>
      </c>
    </row>
    <row r="661" spans="8:13" x14ac:dyDescent="0.2">
      <c r="H661" s="25">
        <f t="array" ref="H661">IF(A661=A660,0,SUM(_xlfn._xlws.FILTER(G661:G681,A661:A681=A661)))</f>
        <v>0</v>
      </c>
      <c r="I661" s="25">
        <f t="array" ref="I661">IFERROR(IF(A661=A660,0,SUM(_xlfn._xlws.FILTER(G661:G681,(A661:A681=A661)*(E661:E681&lt;0)))),0)</f>
        <v>0</v>
      </c>
      <c r="J661" s="25">
        <f t="array" ref="J661">IFERROR(IF(A661=A660,0,SUM(_xlfn._xlws.FILTER(G661:G681,(A661:A681=A661)*(E661:E681&gt;0)))),0)</f>
        <v>0</v>
      </c>
      <c r="K661" s="25">
        <f>IF(H661&lt;&gt;0,SUM(H$2:H661),0)</f>
        <v>0</v>
      </c>
      <c r="L661" s="25">
        <f>IF(I661&lt;&gt;0,SUM(I$2:I661),0)</f>
        <v>0</v>
      </c>
      <c r="M661" s="25">
        <f>IF(J661&lt;&gt;0,SUM(J$2:J661),0)</f>
        <v>0</v>
      </c>
    </row>
    <row r="662" spans="8:13" x14ac:dyDescent="0.2">
      <c r="H662" s="25">
        <f t="array" ref="H662">IF(A662=A661,0,SUM(_xlfn._xlws.FILTER(G662:G682,A662:A682=A662)))</f>
        <v>0</v>
      </c>
      <c r="I662" s="25">
        <f t="array" ref="I662">IFERROR(IF(A662=A661,0,SUM(_xlfn._xlws.FILTER(G662:G682,(A662:A682=A662)*(E662:E682&lt;0)))),0)</f>
        <v>0</v>
      </c>
      <c r="J662" s="25">
        <f t="array" ref="J662">IFERROR(IF(A662=A661,0,SUM(_xlfn._xlws.FILTER(G662:G682,(A662:A682=A662)*(E662:E682&gt;0)))),0)</f>
        <v>0</v>
      </c>
      <c r="K662" s="25">
        <f>IF(H662&lt;&gt;0,SUM(H$2:H662),0)</f>
        <v>0</v>
      </c>
      <c r="L662" s="25">
        <f>IF(I662&lt;&gt;0,SUM(I$2:I662),0)</f>
        <v>0</v>
      </c>
      <c r="M662" s="25">
        <f>IF(J662&lt;&gt;0,SUM(J$2:J662),0)</f>
        <v>0</v>
      </c>
    </row>
    <row r="663" spans="8:13" x14ac:dyDescent="0.2">
      <c r="H663" s="25">
        <f t="array" ref="H663">IF(A663=A662,0,SUM(_xlfn._xlws.FILTER(G663:G683,A663:A683=A663)))</f>
        <v>0</v>
      </c>
      <c r="I663" s="25">
        <f t="array" ref="I663">IFERROR(IF(A663=A662,0,SUM(_xlfn._xlws.FILTER(G663:G683,(A663:A683=A663)*(E663:E683&lt;0)))),0)</f>
        <v>0</v>
      </c>
      <c r="J663" s="25">
        <f t="array" ref="J663">IFERROR(IF(A663=A662,0,SUM(_xlfn._xlws.FILTER(G663:G683,(A663:A683=A663)*(E663:E683&gt;0)))),0)</f>
        <v>0</v>
      </c>
      <c r="K663" s="25">
        <f>IF(H663&lt;&gt;0,SUM(H$2:H663),0)</f>
        <v>0</v>
      </c>
      <c r="L663" s="25">
        <f>IF(I663&lt;&gt;0,SUM(I$2:I663),0)</f>
        <v>0</v>
      </c>
      <c r="M663" s="25">
        <f>IF(J663&lt;&gt;0,SUM(J$2:J663),0)</f>
        <v>0</v>
      </c>
    </row>
    <row r="664" spans="8:13" x14ac:dyDescent="0.2">
      <c r="H664" s="25">
        <f t="array" ref="H664">IF(A664=A663,0,SUM(_xlfn._xlws.FILTER(G664:G684,A664:A684=A664)))</f>
        <v>0</v>
      </c>
      <c r="I664" s="25">
        <f t="array" ref="I664">IFERROR(IF(A664=A663,0,SUM(_xlfn._xlws.FILTER(G664:G684,(A664:A684=A664)*(E664:E684&lt;0)))),0)</f>
        <v>0</v>
      </c>
      <c r="J664" s="25">
        <f t="array" ref="J664">IFERROR(IF(A664=A663,0,SUM(_xlfn._xlws.FILTER(G664:G684,(A664:A684=A664)*(E664:E684&gt;0)))),0)</f>
        <v>0</v>
      </c>
      <c r="K664" s="25">
        <f>IF(H664&lt;&gt;0,SUM(H$2:H664),0)</f>
        <v>0</v>
      </c>
      <c r="L664" s="25">
        <f>IF(I664&lt;&gt;0,SUM(I$2:I664),0)</f>
        <v>0</v>
      </c>
      <c r="M664" s="25">
        <f>IF(J664&lt;&gt;0,SUM(J$2:J664),0)</f>
        <v>0</v>
      </c>
    </row>
    <row r="665" spans="8:13" x14ac:dyDescent="0.2">
      <c r="H665" s="25">
        <f t="array" ref="H665">IF(A665=A664,0,SUM(_xlfn._xlws.FILTER(G665:G685,A665:A685=A665)))</f>
        <v>0</v>
      </c>
      <c r="I665" s="25">
        <f t="array" ref="I665">IFERROR(IF(A665=A664,0,SUM(_xlfn._xlws.FILTER(G665:G685,(A665:A685=A665)*(E665:E685&lt;0)))),0)</f>
        <v>0</v>
      </c>
      <c r="J665" s="25">
        <f t="array" ref="J665">IFERROR(IF(A665=A664,0,SUM(_xlfn._xlws.FILTER(G665:G685,(A665:A685=A665)*(E665:E685&gt;0)))),0)</f>
        <v>0</v>
      </c>
      <c r="K665" s="25">
        <f>IF(H665&lt;&gt;0,SUM(H$2:H665),0)</f>
        <v>0</v>
      </c>
      <c r="L665" s="25">
        <f>IF(I665&lt;&gt;0,SUM(I$2:I665),0)</f>
        <v>0</v>
      </c>
      <c r="M665" s="25">
        <f>IF(J665&lt;&gt;0,SUM(J$2:J665),0)</f>
        <v>0</v>
      </c>
    </row>
    <row r="666" spans="8:13" x14ac:dyDescent="0.2">
      <c r="H666" s="25">
        <f t="array" ref="H666">IF(A666=A665,0,SUM(_xlfn._xlws.FILTER(G666:G686,A666:A686=A666)))</f>
        <v>0</v>
      </c>
      <c r="I666" s="25">
        <f t="array" ref="I666">IFERROR(IF(A666=A665,0,SUM(_xlfn._xlws.FILTER(G666:G686,(A666:A686=A666)*(E666:E686&lt;0)))),0)</f>
        <v>0</v>
      </c>
      <c r="J666" s="25">
        <f t="array" ref="J666">IFERROR(IF(A666=A665,0,SUM(_xlfn._xlws.FILTER(G666:G686,(A666:A686=A666)*(E666:E686&gt;0)))),0)</f>
        <v>0</v>
      </c>
      <c r="K666" s="25">
        <f>IF(H666&lt;&gt;0,SUM(H$2:H666),0)</f>
        <v>0</v>
      </c>
      <c r="L666" s="25">
        <f>IF(I666&lt;&gt;0,SUM(I$2:I666),0)</f>
        <v>0</v>
      </c>
      <c r="M666" s="25">
        <f>IF(J666&lt;&gt;0,SUM(J$2:J666),0)</f>
        <v>0</v>
      </c>
    </row>
    <row r="667" spans="8:13" x14ac:dyDescent="0.2">
      <c r="H667" s="25">
        <f t="array" ref="H667">IF(A667=A666,0,SUM(_xlfn._xlws.FILTER(G667:G687,A667:A687=A667)))</f>
        <v>0</v>
      </c>
      <c r="I667" s="25">
        <f t="array" ref="I667">IFERROR(IF(A667=A666,0,SUM(_xlfn._xlws.FILTER(G667:G687,(A667:A687=A667)*(E667:E687&lt;0)))),0)</f>
        <v>0</v>
      </c>
      <c r="J667" s="25">
        <f t="array" ref="J667">IFERROR(IF(A667=A666,0,SUM(_xlfn._xlws.FILTER(G667:G687,(A667:A687=A667)*(E667:E687&gt;0)))),0)</f>
        <v>0</v>
      </c>
      <c r="K667" s="25">
        <f>IF(H667&lt;&gt;0,SUM(H$2:H667),0)</f>
        <v>0</v>
      </c>
      <c r="L667" s="25">
        <f>IF(I667&lt;&gt;0,SUM(I$2:I667),0)</f>
        <v>0</v>
      </c>
      <c r="M667" s="25">
        <f>IF(J667&lt;&gt;0,SUM(J$2:J667),0)</f>
        <v>0</v>
      </c>
    </row>
    <row r="668" spans="8:13" x14ac:dyDescent="0.2">
      <c r="H668" s="25">
        <f t="array" ref="H668">IF(A668=A667,0,SUM(_xlfn._xlws.FILTER(G668:G688,A668:A688=A668)))</f>
        <v>0</v>
      </c>
      <c r="I668" s="25">
        <f t="array" ref="I668">IFERROR(IF(A668=A667,0,SUM(_xlfn._xlws.FILTER(G668:G688,(A668:A688=A668)*(E668:E688&lt;0)))),0)</f>
        <v>0</v>
      </c>
      <c r="J668" s="25">
        <f t="array" ref="J668">IFERROR(IF(A668=A667,0,SUM(_xlfn._xlws.FILTER(G668:G688,(A668:A688=A668)*(E668:E688&gt;0)))),0)</f>
        <v>0</v>
      </c>
      <c r="K668" s="25">
        <f>IF(H668&lt;&gt;0,SUM(H$2:H668),0)</f>
        <v>0</v>
      </c>
      <c r="L668" s="25">
        <f>IF(I668&lt;&gt;0,SUM(I$2:I668),0)</f>
        <v>0</v>
      </c>
      <c r="M668" s="25">
        <f>IF(J668&lt;&gt;0,SUM(J$2:J668),0)</f>
        <v>0</v>
      </c>
    </row>
    <row r="669" spans="8:13" x14ac:dyDescent="0.2">
      <c r="H669" s="25">
        <f t="array" ref="H669">IF(A669=A668,0,SUM(_xlfn._xlws.FILTER(G669:G689,A669:A689=A669)))</f>
        <v>0</v>
      </c>
      <c r="I669" s="25">
        <f t="array" ref="I669">IFERROR(IF(A669=A668,0,SUM(_xlfn._xlws.FILTER(G669:G689,(A669:A689=A669)*(E669:E689&lt;0)))),0)</f>
        <v>0</v>
      </c>
      <c r="J669" s="25">
        <f t="array" ref="J669">IFERROR(IF(A669=A668,0,SUM(_xlfn._xlws.FILTER(G669:G689,(A669:A689=A669)*(E669:E689&gt;0)))),0)</f>
        <v>0</v>
      </c>
      <c r="K669" s="25">
        <f>IF(H669&lt;&gt;0,SUM(H$2:H669),0)</f>
        <v>0</v>
      </c>
      <c r="L669" s="25">
        <f>IF(I669&lt;&gt;0,SUM(I$2:I669),0)</f>
        <v>0</v>
      </c>
      <c r="M669" s="25">
        <f>IF(J669&lt;&gt;0,SUM(J$2:J669),0)</f>
        <v>0</v>
      </c>
    </row>
    <row r="670" spans="8:13" x14ac:dyDescent="0.2">
      <c r="H670" s="25">
        <f t="array" ref="H670">IF(A670=A669,0,SUM(_xlfn._xlws.FILTER(G670:G690,A670:A690=A670)))</f>
        <v>0</v>
      </c>
      <c r="I670" s="25">
        <f t="array" ref="I670">IFERROR(IF(A670=A669,0,SUM(_xlfn._xlws.FILTER(G670:G690,(A670:A690=A670)*(E670:E690&lt;0)))),0)</f>
        <v>0</v>
      </c>
      <c r="J670" s="25">
        <f t="array" ref="J670">IFERROR(IF(A670=A669,0,SUM(_xlfn._xlws.FILTER(G670:G690,(A670:A690=A670)*(E670:E690&gt;0)))),0)</f>
        <v>0</v>
      </c>
      <c r="K670" s="25">
        <f>IF(H670&lt;&gt;0,SUM(H$2:H670),0)</f>
        <v>0</v>
      </c>
      <c r="L670" s="25">
        <f>IF(I670&lt;&gt;0,SUM(I$2:I670),0)</f>
        <v>0</v>
      </c>
      <c r="M670" s="25">
        <f>IF(J670&lt;&gt;0,SUM(J$2:J670),0)</f>
        <v>0</v>
      </c>
    </row>
    <row r="671" spans="8:13" x14ac:dyDescent="0.2">
      <c r="H671" s="25">
        <f t="array" ref="H671">IF(A671=A670,0,SUM(_xlfn._xlws.FILTER(G671:G691,A671:A691=A671)))</f>
        <v>0</v>
      </c>
      <c r="I671" s="25">
        <f t="array" ref="I671">IFERROR(IF(A671=A670,0,SUM(_xlfn._xlws.FILTER(G671:G691,(A671:A691=A671)*(E671:E691&lt;0)))),0)</f>
        <v>0</v>
      </c>
      <c r="J671" s="25">
        <f t="array" ref="J671">IFERROR(IF(A671=A670,0,SUM(_xlfn._xlws.FILTER(G671:G691,(A671:A691=A671)*(E671:E691&gt;0)))),0)</f>
        <v>0</v>
      </c>
      <c r="K671" s="25">
        <f>IF(H671&lt;&gt;0,SUM(H$2:H671),0)</f>
        <v>0</v>
      </c>
      <c r="L671" s="25">
        <f>IF(I671&lt;&gt;0,SUM(I$2:I671),0)</f>
        <v>0</v>
      </c>
      <c r="M671" s="25">
        <f>IF(J671&lt;&gt;0,SUM(J$2:J671),0)</f>
        <v>0</v>
      </c>
    </row>
    <row r="672" spans="8:13" x14ac:dyDescent="0.2">
      <c r="H672" s="25">
        <f t="array" ref="H672">IF(A672=A671,0,SUM(_xlfn._xlws.FILTER(G672:G692,A672:A692=A672)))</f>
        <v>0</v>
      </c>
      <c r="I672" s="25">
        <f t="array" ref="I672">IFERROR(IF(A672=A671,0,SUM(_xlfn._xlws.FILTER(G672:G692,(A672:A692=A672)*(E672:E692&lt;0)))),0)</f>
        <v>0</v>
      </c>
      <c r="J672" s="25">
        <f t="array" ref="J672">IFERROR(IF(A672=A671,0,SUM(_xlfn._xlws.FILTER(G672:G692,(A672:A692=A672)*(E672:E692&gt;0)))),0)</f>
        <v>0</v>
      </c>
      <c r="K672" s="25">
        <f>IF(H672&lt;&gt;0,SUM(H$2:H672),0)</f>
        <v>0</v>
      </c>
      <c r="L672" s="25">
        <f>IF(I672&lt;&gt;0,SUM(I$2:I672),0)</f>
        <v>0</v>
      </c>
      <c r="M672" s="25">
        <f>IF(J672&lt;&gt;0,SUM(J$2:J672),0)</f>
        <v>0</v>
      </c>
    </row>
    <row r="673" spans="8:13" x14ac:dyDescent="0.2">
      <c r="H673" s="25">
        <f t="array" ref="H673">IF(A673=A672,0,SUM(_xlfn._xlws.FILTER(G673:G693,A673:A693=A673)))</f>
        <v>0</v>
      </c>
      <c r="I673" s="25">
        <f t="array" ref="I673">IFERROR(IF(A673=A672,0,SUM(_xlfn._xlws.FILTER(G673:G693,(A673:A693=A673)*(E673:E693&lt;0)))),0)</f>
        <v>0</v>
      </c>
      <c r="J673" s="25">
        <f t="array" ref="J673">IFERROR(IF(A673=A672,0,SUM(_xlfn._xlws.FILTER(G673:G693,(A673:A693=A673)*(E673:E693&gt;0)))),0)</f>
        <v>0</v>
      </c>
      <c r="K673" s="25">
        <f>IF(H673&lt;&gt;0,SUM(H$2:H673),0)</f>
        <v>0</v>
      </c>
      <c r="L673" s="25">
        <f>IF(I673&lt;&gt;0,SUM(I$2:I673),0)</f>
        <v>0</v>
      </c>
      <c r="M673" s="25">
        <f>IF(J673&lt;&gt;0,SUM(J$2:J673),0)</f>
        <v>0</v>
      </c>
    </row>
    <row r="674" spans="8:13" x14ac:dyDescent="0.2">
      <c r="H674" s="25">
        <f t="array" ref="H674">IF(A674=A673,0,SUM(_xlfn._xlws.FILTER(G674:G694,A674:A694=A674)))</f>
        <v>0</v>
      </c>
      <c r="I674" s="25">
        <f t="array" ref="I674">IFERROR(IF(A674=A673,0,SUM(_xlfn._xlws.FILTER(G674:G694,(A674:A694=A674)*(E674:E694&lt;0)))),0)</f>
        <v>0</v>
      </c>
      <c r="J674" s="25">
        <f t="array" ref="J674">IFERROR(IF(A674=A673,0,SUM(_xlfn._xlws.FILTER(G674:G694,(A674:A694=A674)*(E674:E694&gt;0)))),0)</f>
        <v>0</v>
      </c>
      <c r="K674" s="25">
        <f>IF(H674&lt;&gt;0,SUM(H$2:H674),0)</f>
        <v>0</v>
      </c>
      <c r="L674" s="25">
        <f>IF(I674&lt;&gt;0,SUM(I$2:I674),0)</f>
        <v>0</v>
      </c>
      <c r="M674" s="25">
        <f>IF(J674&lt;&gt;0,SUM(J$2:J674),0)</f>
        <v>0</v>
      </c>
    </row>
    <row r="675" spans="8:13" x14ac:dyDescent="0.2">
      <c r="H675" s="25">
        <f t="array" ref="H675">IF(A675=A674,0,SUM(_xlfn._xlws.FILTER(G675:G695,A675:A695=A675)))</f>
        <v>0</v>
      </c>
      <c r="I675" s="25">
        <f t="array" ref="I675">IFERROR(IF(A675=A674,0,SUM(_xlfn._xlws.FILTER(G675:G695,(A675:A695=A675)*(E675:E695&lt;0)))),0)</f>
        <v>0</v>
      </c>
      <c r="J675" s="25">
        <f t="array" ref="J675">IFERROR(IF(A675=A674,0,SUM(_xlfn._xlws.FILTER(G675:G695,(A675:A695=A675)*(E675:E695&gt;0)))),0)</f>
        <v>0</v>
      </c>
      <c r="K675" s="25">
        <f>IF(H675&lt;&gt;0,SUM(H$2:H675),0)</f>
        <v>0</v>
      </c>
      <c r="L675" s="25">
        <f>IF(I675&lt;&gt;0,SUM(I$2:I675),0)</f>
        <v>0</v>
      </c>
      <c r="M675" s="25">
        <f>IF(J675&lt;&gt;0,SUM(J$2:J675),0)</f>
        <v>0</v>
      </c>
    </row>
    <row r="676" spans="8:13" x14ac:dyDescent="0.2">
      <c r="H676" s="25">
        <f t="array" ref="H676">IF(A676=A675,0,SUM(_xlfn._xlws.FILTER(G676:G696,A676:A696=A676)))</f>
        <v>0</v>
      </c>
      <c r="I676" s="25">
        <f t="array" ref="I676">IFERROR(IF(A676=A675,0,SUM(_xlfn._xlws.FILTER(G676:G696,(A676:A696=A676)*(E676:E696&lt;0)))),0)</f>
        <v>0</v>
      </c>
      <c r="J676" s="25">
        <f t="array" ref="J676">IFERROR(IF(A676=A675,0,SUM(_xlfn._xlws.FILTER(G676:G696,(A676:A696=A676)*(E676:E696&gt;0)))),0)</f>
        <v>0</v>
      </c>
      <c r="K676" s="25">
        <f>IF(H676&lt;&gt;0,SUM(H$2:H676),0)</f>
        <v>0</v>
      </c>
      <c r="L676" s="25">
        <f>IF(I676&lt;&gt;0,SUM(I$2:I676),0)</f>
        <v>0</v>
      </c>
      <c r="M676" s="25">
        <f>IF(J676&lt;&gt;0,SUM(J$2:J676),0)</f>
        <v>0</v>
      </c>
    </row>
    <row r="677" spans="8:13" x14ac:dyDescent="0.2">
      <c r="H677" s="25">
        <f t="array" ref="H677">IF(A677=A676,0,SUM(_xlfn._xlws.FILTER(G677:G697,A677:A697=A677)))</f>
        <v>0</v>
      </c>
      <c r="I677" s="25">
        <f t="array" ref="I677">IFERROR(IF(A677=A676,0,SUM(_xlfn._xlws.FILTER(G677:G697,(A677:A697=A677)*(E677:E697&lt;0)))),0)</f>
        <v>0</v>
      </c>
      <c r="J677" s="25">
        <f t="array" ref="J677">IFERROR(IF(A677=A676,0,SUM(_xlfn._xlws.FILTER(G677:G697,(A677:A697=A677)*(E677:E697&gt;0)))),0)</f>
        <v>0</v>
      </c>
      <c r="K677" s="25">
        <f>IF(H677&lt;&gt;0,SUM(H$2:H677),0)</f>
        <v>0</v>
      </c>
      <c r="L677" s="25">
        <f>IF(I677&lt;&gt;0,SUM(I$2:I677),0)</f>
        <v>0</v>
      </c>
      <c r="M677" s="25">
        <f>IF(J677&lt;&gt;0,SUM(J$2:J677),0)</f>
        <v>0</v>
      </c>
    </row>
    <row r="678" spans="8:13" x14ac:dyDescent="0.2">
      <c r="H678" s="25">
        <f t="array" ref="H678">IF(A678=A677,0,SUM(_xlfn._xlws.FILTER(G678:G698,A678:A698=A678)))</f>
        <v>0</v>
      </c>
      <c r="I678" s="25">
        <f t="array" ref="I678">IFERROR(IF(A678=A677,0,SUM(_xlfn._xlws.FILTER(G678:G698,(A678:A698=A678)*(E678:E698&lt;0)))),0)</f>
        <v>0</v>
      </c>
      <c r="J678" s="25">
        <f t="array" ref="J678">IFERROR(IF(A678=A677,0,SUM(_xlfn._xlws.FILTER(G678:G698,(A678:A698=A678)*(E678:E698&gt;0)))),0)</f>
        <v>0</v>
      </c>
      <c r="K678" s="25">
        <f>IF(H678&lt;&gt;0,SUM(H$2:H678),0)</f>
        <v>0</v>
      </c>
      <c r="L678" s="25">
        <f>IF(I678&lt;&gt;0,SUM(I$2:I678),0)</f>
        <v>0</v>
      </c>
      <c r="M678" s="25">
        <f>IF(J678&lt;&gt;0,SUM(J$2:J678),0)</f>
        <v>0</v>
      </c>
    </row>
    <row r="679" spans="8:13" x14ac:dyDescent="0.2">
      <c r="H679" s="25">
        <f t="array" ref="H679">IF(A679=A678,0,SUM(_xlfn._xlws.FILTER(G679:G699,A679:A699=A679)))</f>
        <v>0</v>
      </c>
      <c r="I679" s="25">
        <f t="array" ref="I679">IFERROR(IF(A679=A678,0,SUM(_xlfn._xlws.FILTER(G679:G699,(A679:A699=A679)*(E679:E699&lt;0)))),0)</f>
        <v>0</v>
      </c>
      <c r="J679" s="25">
        <f t="array" ref="J679">IFERROR(IF(A679=A678,0,SUM(_xlfn._xlws.FILTER(G679:G699,(A679:A699=A679)*(E679:E699&gt;0)))),0)</f>
        <v>0</v>
      </c>
      <c r="K679" s="25">
        <f>IF(H679&lt;&gt;0,SUM(H$2:H679),0)</f>
        <v>0</v>
      </c>
      <c r="L679" s="25">
        <f>IF(I679&lt;&gt;0,SUM(I$2:I679),0)</f>
        <v>0</v>
      </c>
      <c r="M679" s="25">
        <f>IF(J679&lt;&gt;0,SUM(J$2:J679),0)</f>
        <v>0</v>
      </c>
    </row>
    <row r="680" spans="8:13" x14ac:dyDescent="0.2">
      <c r="H680" s="25">
        <f t="array" ref="H680">IF(A680=A679,0,SUM(_xlfn._xlws.FILTER(G680:G700,A680:A700=A680)))</f>
        <v>0</v>
      </c>
      <c r="I680" s="25">
        <f t="array" ref="I680">IFERROR(IF(A680=A679,0,SUM(_xlfn._xlws.FILTER(G680:G700,(A680:A700=A680)*(E680:E700&lt;0)))),0)</f>
        <v>0</v>
      </c>
      <c r="J680" s="25">
        <f t="array" ref="J680">IFERROR(IF(A680=A679,0,SUM(_xlfn._xlws.FILTER(G680:G700,(A680:A700=A680)*(E680:E700&gt;0)))),0)</f>
        <v>0</v>
      </c>
      <c r="K680" s="25">
        <f>IF(H680&lt;&gt;0,SUM(H$2:H680),0)</f>
        <v>0</v>
      </c>
      <c r="L680" s="25">
        <f>IF(I680&lt;&gt;0,SUM(I$2:I680),0)</f>
        <v>0</v>
      </c>
      <c r="M680" s="25">
        <f>IF(J680&lt;&gt;0,SUM(J$2:J680),0)</f>
        <v>0</v>
      </c>
    </row>
    <row r="681" spans="8:13" x14ac:dyDescent="0.2">
      <c r="H681" s="25">
        <f t="array" ref="H681">IF(A681=A680,0,SUM(_xlfn._xlws.FILTER(G681:G701,A681:A701=A681)))</f>
        <v>0</v>
      </c>
      <c r="I681" s="25">
        <f t="array" ref="I681">IFERROR(IF(A681=A680,0,SUM(_xlfn._xlws.FILTER(G681:G701,(A681:A701=A681)*(E681:E701&lt;0)))),0)</f>
        <v>0</v>
      </c>
      <c r="J681" s="25">
        <f t="array" ref="J681">IFERROR(IF(A681=A680,0,SUM(_xlfn._xlws.FILTER(G681:G701,(A681:A701=A681)*(E681:E701&gt;0)))),0)</f>
        <v>0</v>
      </c>
      <c r="K681" s="25">
        <f>IF(H681&lt;&gt;0,SUM(H$2:H681),0)</f>
        <v>0</v>
      </c>
      <c r="L681" s="25">
        <f>IF(I681&lt;&gt;0,SUM(I$2:I681),0)</f>
        <v>0</v>
      </c>
      <c r="M681" s="25">
        <f>IF(J681&lt;&gt;0,SUM(J$2:J681),0)</f>
        <v>0</v>
      </c>
    </row>
    <row r="682" spans="8:13" x14ac:dyDescent="0.2">
      <c r="H682" s="25">
        <f t="array" ref="H682">IF(A682=A681,0,SUM(_xlfn._xlws.FILTER(G682:G702,A682:A702=A682)))</f>
        <v>0</v>
      </c>
      <c r="I682" s="25">
        <f t="array" ref="I682">IFERROR(IF(A682=A681,0,SUM(_xlfn._xlws.FILTER(G682:G702,(A682:A702=A682)*(E682:E702&lt;0)))),0)</f>
        <v>0</v>
      </c>
      <c r="J682" s="25">
        <f t="array" ref="J682">IFERROR(IF(A682=A681,0,SUM(_xlfn._xlws.FILTER(G682:G702,(A682:A702=A682)*(E682:E702&gt;0)))),0)</f>
        <v>0</v>
      </c>
      <c r="K682" s="25">
        <f>IF(H682&lt;&gt;0,SUM(H$2:H682),0)</f>
        <v>0</v>
      </c>
      <c r="L682" s="25">
        <f>IF(I682&lt;&gt;0,SUM(I$2:I682),0)</f>
        <v>0</v>
      </c>
      <c r="M682" s="25">
        <f>IF(J682&lt;&gt;0,SUM(J$2:J682),0)</f>
        <v>0</v>
      </c>
    </row>
    <row r="683" spans="8:13" x14ac:dyDescent="0.2">
      <c r="H683" s="25">
        <f t="array" ref="H683">IF(A683=A682,0,SUM(_xlfn._xlws.FILTER(G683:G703,A683:A703=A683)))</f>
        <v>0</v>
      </c>
      <c r="I683" s="25">
        <f t="array" ref="I683">IFERROR(IF(A683=A682,0,SUM(_xlfn._xlws.FILTER(G683:G703,(A683:A703=A683)*(E683:E703&lt;0)))),0)</f>
        <v>0</v>
      </c>
      <c r="J683" s="25">
        <f t="array" ref="J683">IFERROR(IF(A683=A682,0,SUM(_xlfn._xlws.FILTER(G683:G703,(A683:A703=A683)*(E683:E703&gt;0)))),0)</f>
        <v>0</v>
      </c>
      <c r="K683" s="25">
        <f>IF(H683&lt;&gt;0,SUM(H$2:H683),0)</f>
        <v>0</v>
      </c>
      <c r="L683" s="25">
        <f>IF(I683&lt;&gt;0,SUM(I$2:I683),0)</f>
        <v>0</v>
      </c>
      <c r="M683" s="25">
        <f>IF(J683&lt;&gt;0,SUM(J$2:J683),0)</f>
        <v>0</v>
      </c>
    </row>
    <row r="684" spans="8:13" x14ac:dyDescent="0.2">
      <c r="H684" s="25">
        <f t="array" ref="H684">IF(A684=A683,0,SUM(_xlfn._xlws.FILTER(G684:G704,A684:A704=A684)))</f>
        <v>0</v>
      </c>
      <c r="I684" s="25">
        <f t="array" ref="I684">IFERROR(IF(A684=A683,0,SUM(_xlfn._xlws.FILTER(G684:G704,(A684:A704=A684)*(E684:E704&lt;0)))),0)</f>
        <v>0</v>
      </c>
      <c r="J684" s="25">
        <f t="array" ref="J684">IFERROR(IF(A684=A683,0,SUM(_xlfn._xlws.FILTER(G684:G704,(A684:A704=A684)*(E684:E704&gt;0)))),0)</f>
        <v>0</v>
      </c>
      <c r="K684" s="25">
        <f>IF(H684&lt;&gt;0,SUM(H$2:H684),0)</f>
        <v>0</v>
      </c>
      <c r="L684" s="25">
        <f>IF(I684&lt;&gt;0,SUM(I$2:I684),0)</f>
        <v>0</v>
      </c>
      <c r="M684" s="25">
        <f>IF(J684&lt;&gt;0,SUM(J$2:J684),0)</f>
        <v>0</v>
      </c>
    </row>
    <row r="685" spans="8:13" x14ac:dyDescent="0.2">
      <c r="H685" s="25">
        <f t="array" ref="H685">IF(A685=A684,0,SUM(_xlfn._xlws.FILTER(G685:G705,A685:A705=A685)))</f>
        <v>0</v>
      </c>
      <c r="I685" s="25">
        <f t="array" ref="I685">IFERROR(IF(A685=A684,0,SUM(_xlfn._xlws.FILTER(G685:G705,(A685:A705=A685)*(E685:E705&lt;0)))),0)</f>
        <v>0</v>
      </c>
      <c r="J685" s="25">
        <f t="array" ref="J685">IFERROR(IF(A685=A684,0,SUM(_xlfn._xlws.FILTER(G685:G705,(A685:A705=A685)*(E685:E705&gt;0)))),0)</f>
        <v>0</v>
      </c>
      <c r="K685" s="25">
        <f>IF(H685&lt;&gt;0,SUM(H$2:H685),0)</f>
        <v>0</v>
      </c>
      <c r="L685" s="25">
        <f>IF(I685&lt;&gt;0,SUM(I$2:I685),0)</f>
        <v>0</v>
      </c>
      <c r="M685" s="25">
        <f>IF(J685&lt;&gt;0,SUM(J$2:J685),0)</f>
        <v>0</v>
      </c>
    </row>
    <row r="686" spans="8:13" x14ac:dyDescent="0.2">
      <c r="H686" s="25">
        <f t="array" ref="H686">IF(A686=A685,0,SUM(_xlfn._xlws.FILTER(G686:G706,A686:A706=A686)))</f>
        <v>0</v>
      </c>
      <c r="I686" s="25">
        <f t="array" ref="I686">IFERROR(IF(A686=A685,0,SUM(_xlfn._xlws.FILTER(G686:G706,(A686:A706=A686)*(E686:E706&lt;0)))),0)</f>
        <v>0</v>
      </c>
      <c r="J686" s="25">
        <f t="array" ref="J686">IFERROR(IF(A686=A685,0,SUM(_xlfn._xlws.FILTER(G686:G706,(A686:A706=A686)*(E686:E706&gt;0)))),0)</f>
        <v>0</v>
      </c>
      <c r="K686" s="25">
        <f>IF(H686&lt;&gt;0,SUM(H$2:H686),0)</f>
        <v>0</v>
      </c>
      <c r="L686" s="25">
        <f>IF(I686&lt;&gt;0,SUM(I$2:I686),0)</f>
        <v>0</v>
      </c>
      <c r="M686" s="25">
        <f>IF(J686&lt;&gt;0,SUM(J$2:J686),0)</f>
        <v>0</v>
      </c>
    </row>
    <row r="687" spans="8:13" x14ac:dyDescent="0.2">
      <c r="H687" s="25">
        <f t="array" ref="H687">IF(A687=A686,0,SUM(_xlfn._xlws.FILTER(G687:G707,A687:A707=A687)))</f>
        <v>0</v>
      </c>
      <c r="I687" s="25">
        <f t="array" ref="I687">IFERROR(IF(A687=A686,0,SUM(_xlfn._xlws.FILTER(G687:G707,(A687:A707=A687)*(E687:E707&lt;0)))),0)</f>
        <v>0</v>
      </c>
      <c r="J687" s="25">
        <f t="array" ref="J687">IFERROR(IF(A687=A686,0,SUM(_xlfn._xlws.FILTER(G687:G707,(A687:A707=A687)*(E687:E707&gt;0)))),0)</f>
        <v>0</v>
      </c>
      <c r="K687" s="25">
        <f>IF(H687&lt;&gt;0,SUM(H$2:H687),0)</f>
        <v>0</v>
      </c>
      <c r="L687" s="25">
        <f>IF(I687&lt;&gt;0,SUM(I$2:I687),0)</f>
        <v>0</v>
      </c>
      <c r="M687" s="25">
        <f>IF(J687&lt;&gt;0,SUM(J$2:J687),0)</f>
        <v>0</v>
      </c>
    </row>
    <row r="688" spans="8:13" x14ac:dyDescent="0.2">
      <c r="H688" s="25">
        <f t="array" ref="H688">IF(A688=A687,0,SUM(_xlfn._xlws.FILTER(G688:G708,A688:A708=A688)))</f>
        <v>0</v>
      </c>
      <c r="I688" s="25">
        <f t="array" ref="I688">IFERROR(IF(A688=A687,0,SUM(_xlfn._xlws.FILTER(G688:G708,(A688:A708=A688)*(E688:E708&lt;0)))),0)</f>
        <v>0</v>
      </c>
      <c r="J688" s="25">
        <f t="array" ref="J688">IFERROR(IF(A688=A687,0,SUM(_xlfn._xlws.FILTER(G688:G708,(A688:A708=A688)*(E688:E708&gt;0)))),0)</f>
        <v>0</v>
      </c>
      <c r="K688" s="25">
        <f>IF(H688&lt;&gt;0,SUM(H$2:H688),0)</f>
        <v>0</v>
      </c>
      <c r="L688" s="25">
        <f>IF(I688&lt;&gt;0,SUM(I$2:I688),0)</f>
        <v>0</v>
      </c>
      <c r="M688" s="25">
        <f>IF(J688&lt;&gt;0,SUM(J$2:J688),0)</f>
        <v>0</v>
      </c>
    </row>
    <row r="689" spans="8:13" x14ac:dyDescent="0.2">
      <c r="H689" s="25">
        <f t="array" ref="H689">IF(A689=A688,0,SUM(_xlfn._xlws.FILTER(G689:G709,A689:A709=A689)))</f>
        <v>0</v>
      </c>
      <c r="I689" s="25">
        <f t="array" ref="I689">IFERROR(IF(A689=A688,0,SUM(_xlfn._xlws.FILTER(G689:G709,(A689:A709=A689)*(E689:E709&lt;0)))),0)</f>
        <v>0</v>
      </c>
      <c r="J689" s="25">
        <f t="array" ref="J689">IFERROR(IF(A689=A688,0,SUM(_xlfn._xlws.FILTER(G689:G709,(A689:A709=A689)*(E689:E709&gt;0)))),0)</f>
        <v>0</v>
      </c>
      <c r="K689" s="25">
        <f>IF(H689&lt;&gt;0,SUM(H$2:H689),0)</f>
        <v>0</v>
      </c>
      <c r="L689" s="25">
        <f>IF(I689&lt;&gt;0,SUM(I$2:I689),0)</f>
        <v>0</v>
      </c>
      <c r="M689" s="25">
        <f>IF(J689&lt;&gt;0,SUM(J$2:J689),0)</f>
        <v>0</v>
      </c>
    </row>
    <row r="690" spans="8:13" x14ac:dyDescent="0.2">
      <c r="H690" s="25">
        <f t="array" ref="H690">IF(A690=A689,0,SUM(_xlfn._xlws.FILTER(G690:G710,A690:A710=A690)))</f>
        <v>0</v>
      </c>
      <c r="I690" s="25">
        <f t="array" ref="I690">IFERROR(IF(A690=A689,0,SUM(_xlfn._xlws.FILTER(G690:G710,(A690:A710=A690)*(E690:E710&lt;0)))),0)</f>
        <v>0</v>
      </c>
      <c r="J690" s="25">
        <f t="array" ref="J690">IFERROR(IF(A690=A689,0,SUM(_xlfn._xlws.FILTER(G690:G710,(A690:A710=A690)*(E690:E710&gt;0)))),0)</f>
        <v>0</v>
      </c>
      <c r="K690" s="25">
        <f>IF(H690&lt;&gt;0,SUM(H$2:H690),0)</f>
        <v>0</v>
      </c>
      <c r="L690" s="25">
        <f>IF(I690&lt;&gt;0,SUM(I$2:I690),0)</f>
        <v>0</v>
      </c>
      <c r="M690" s="25">
        <f>IF(J690&lt;&gt;0,SUM(J$2:J690),0)</f>
        <v>0</v>
      </c>
    </row>
    <row r="691" spans="8:13" x14ac:dyDescent="0.2">
      <c r="H691" s="25">
        <f t="array" ref="H691">IF(A691=A690,0,SUM(_xlfn._xlws.FILTER(G691:G711,A691:A711=A691)))</f>
        <v>0</v>
      </c>
      <c r="I691" s="25">
        <f t="array" ref="I691">IFERROR(IF(A691=A690,0,SUM(_xlfn._xlws.FILTER(G691:G711,(A691:A711=A691)*(E691:E711&lt;0)))),0)</f>
        <v>0</v>
      </c>
      <c r="J691" s="25">
        <f t="array" ref="J691">IFERROR(IF(A691=A690,0,SUM(_xlfn._xlws.FILTER(G691:G711,(A691:A711=A691)*(E691:E711&gt;0)))),0)</f>
        <v>0</v>
      </c>
      <c r="K691" s="25">
        <f>IF(H691&lt;&gt;0,SUM(H$2:H691),0)</f>
        <v>0</v>
      </c>
      <c r="L691" s="25">
        <f>IF(I691&lt;&gt;0,SUM(I$2:I691),0)</f>
        <v>0</v>
      </c>
      <c r="M691" s="25">
        <f>IF(J691&lt;&gt;0,SUM(J$2:J691),0)</f>
        <v>0</v>
      </c>
    </row>
    <row r="692" spans="8:13" x14ac:dyDescent="0.2">
      <c r="H692" s="25">
        <f t="array" ref="H692">IF(A692=A691,0,SUM(_xlfn._xlws.FILTER(G692:G712,A692:A712=A692)))</f>
        <v>0</v>
      </c>
      <c r="I692" s="25">
        <f t="array" ref="I692">IFERROR(IF(A692=A691,0,SUM(_xlfn._xlws.FILTER(G692:G712,(A692:A712=A692)*(E692:E712&lt;0)))),0)</f>
        <v>0</v>
      </c>
      <c r="J692" s="25">
        <f t="array" ref="J692">IFERROR(IF(A692=A691,0,SUM(_xlfn._xlws.FILTER(G692:G712,(A692:A712=A692)*(E692:E712&gt;0)))),0)</f>
        <v>0</v>
      </c>
      <c r="K692" s="25">
        <f>IF(H692&lt;&gt;0,SUM(H$2:H692),0)</f>
        <v>0</v>
      </c>
      <c r="L692" s="25">
        <f>IF(I692&lt;&gt;0,SUM(I$2:I692),0)</f>
        <v>0</v>
      </c>
      <c r="M692" s="25">
        <f>IF(J692&lt;&gt;0,SUM(J$2:J692),0)</f>
        <v>0</v>
      </c>
    </row>
    <row r="693" spans="8:13" x14ac:dyDescent="0.2">
      <c r="H693" s="25">
        <f t="array" ref="H693">IF(A693=A692,0,SUM(_xlfn._xlws.FILTER(G693:G713,A693:A713=A693)))</f>
        <v>0</v>
      </c>
      <c r="I693" s="25">
        <f t="array" ref="I693">IFERROR(IF(A693=A692,0,SUM(_xlfn._xlws.FILTER(G693:G713,(A693:A713=A693)*(E693:E713&lt;0)))),0)</f>
        <v>0</v>
      </c>
      <c r="J693" s="25">
        <f t="array" ref="J693">IFERROR(IF(A693=A692,0,SUM(_xlfn._xlws.FILTER(G693:G713,(A693:A713=A693)*(E693:E713&gt;0)))),0)</f>
        <v>0</v>
      </c>
      <c r="K693" s="25">
        <f>IF(H693&lt;&gt;0,SUM(H$2:H693),0)</f>
        <v>0</v>
      </c>
      <c r="L693" s="25">
        <f>IF(I693&lt;&gt;0,SUM(I$2:I693),0)</f>
        <v>0</v>
      </c>
      <c r="M693" s="25">
        <f>IF(J693&lt;&gt;0,SUM(J$2:J693),0)</f>
        <v>0</v>
      </c>
    </row>
    <row r="694" spans="8:13" x14ac:dyDescent="0.2">
      <c r="H694" s="25">
        <f t="array" ref="H694">IF(A694=A693,0,SUM(_xlfn._xlws.FILTER(G694:G714,A694:A714=A694)))</f>
        <v>0</v>
      </c>
      <c r="I694" s="25">
        <f t="array" ref="I694">IFERROR(IF(A694=A693,0,SUM(_xlfn._xlws.FILTER(G694:G714,(A694:A714=A694)*(E694:E714&lt;0)))),0)</f>
        <v>0</v>
      </c>
      <c r="J694" s="25">
        <f t="array" ref="J694">IFERROR(IF(A694=A693,0,SUM(_xlfn._xlws.FILTER(G694:G714,(A694:A714=A694)*(E694:E714&gt;0)))),0)</f>
        <v>0</v>
      </c>
      <c r="K694" s="25">
        <f>IF(H694&lt;&gt;0,SUM(H$2:H694),0)</f>
        <v>0</v>
      </c>
      <c r="L694" s="25">
        <f>IF(I694&lt;&gt;0,SUM(I$2:I694),0)</f>
        <v>0</v>
      </c>
      <c r="M694" s="25">
        <f>IF(J694&lt;&gt;0,SUM(J$2:J694),0)</f>
        <v>0</v>
      </c>
    </row>
    <row r="695" spans="8:13" x14ac:dyDescent="0.2">
      <c r="H695" s="25">
        <f t="array" ref="H695">IF(A695=A694,0,SUM(_xlfn._xlws.FILTER(G695:G715,A695:A715=A695)))</f>
        <v>0</v>
      </c>
      <c r="I695" s="25">
        <f t="array" ref="I695">IFERROR(IF(A695=A694,0,SUM(_xlfn._xlws.FILTER(G695:G715,(A695:A715=A695)*(E695:E715&lt;0)))),0)</f>
        <v>0</v>
      </c>
      <c r="J695" s="25">
        <f t="array" ref="J695">IFERROR(IF(A695=A694,0,SUM(_xlfn._xlws.FILTER(G695:G715,(A695:A715=A695)*(E695:E715&gt;0)))),0)</f>
        <v>0</v>
      </c>
      <c r="K695" s="25">
        <f>IF(H695&lt;&gt;0,SUM(H$2:H695),0)</f>
        <v>0</v>
      </c>
      <c r="L695" s="25">
        <f>IF(I695&lt;&gt;0,SUM(I$2:I695),0)</f>
        <v>0</v>
      </c>
      <c r="M695" s="25">
        <f>IF(J695&lt;&gt;0,SUM(J$2:J695),0)</f>
        <v>0</v>
      </c>
    </row>
    <row r="696" spans="8:13" x14ac:dyDescent="0.2">
      <c r="H696" s="25">
        <f t="array" ref="H696">IF(A696=A695,0,SUM(_xlfn._xlws.FILTER(G696:G716,A696:A716=A696)))</f>
        <v>0</v>
      </c>
      <c r="I696" s="25">
        <f t="array" ref="I696">IFERROR(IF(A696=A695,0,SUM(_xlfn._xlws.FILTER(G696:G716,(A696:A716=A696)*(E696:E716&lt;0)))),0)</f>
        <v>0</v>
      </c>
      <c r="J696" s="25">
        <f t="array" ref="J696">IFERROR(IF(A696=A695,0,SUM(_xlfn._xlws.FILTER(G696:G716,(A696:A716=A696)*(E696:E716&gt;0)))),0)</f>
        <v>0</v>
      </c>
      <c r="K696" s="25">
        <f>IF(H696&lt;&gt;0,SUM(H$2:H696),0)</f>
        <v>0</v>
      </c>
      <c r="L696" s="25">
        <f>IF(I696&lt;&gt;0,SUM(I$2:I696),0)</f>
        <v>0</v>
      </c>
      <c r="M696" s="25">
        <f>IF(J696&lt;&gt;0,SUM(J$2:J696),0)</f>
        <v>0</v>
      </c>
    </row>
    <row r="697" spans="8:13" x14ac:dyDescent="0.2">
      <c r="H697" s="25">
        <f t="array" ref="H697">IF(A697=A696,0,SUM(_xlfn._xlws.FILTER(G697:G717,A697:A717=A697)))</f>
        <v>0</v>
      </c>
      <c r="I697" s="25">
        <f t="array" ref="I697">IFERROR(IF(A697=A696,0,SUM(_xlfn._xlws.FILTER(G697:G717,(A697:A717=A697)*(E697:E717&lt;0)))),0)</f>
        <v>0</v>
      </c>
      <c r="J697" s="25">
        <f t="array" ref="J697">IFERROR(IF(A697=A696,0,SUM(_xlfn._xlws.FILTER(G697:G717,(A697:A717=A697)*(E697:E717&gt;0)))),0)</f>
        <v>0</v>
      </c>
      <c r="K697" s="25">
        <f>IF(H697&lt;&gt;0,SUM(H$2:H697),0)</f>
        <v>0</v>
      </c>
      <c r="L697" s="25">
        <f>IF(I697&lt;&gt;0,SUM(I$2:I697),0)</f>
        <v>0</v>
      </c>
      <c r="M697" s="25">
        <f>IF(J697&lt;&gt;0,SUM(J$2:J697),0)</f>
        <v>0</v>
      </c>
    </row>
    <row r="698" spans="8:13" x14ac:dyDescent="0.2">
      <c r="H698" s="25">
        <f t="array" ref="H698">IF(A698=A697,0,SUM(_xlfn._xlws.FILTER(G698:G718,A698:A718=A698)))</f>
        <v>0</v>
      </c>
      <c r="I698" s="25">
        <f t="array" ref="I698">IFERROR(IF(A698=A697,0,SUM(_xlfn._xlws.FILTER(G698:G718,(A698:A718=A698)*(E698:E718&lt;0)))),0)</f>
        <v>0</v>
      </c>
      <c r="J698" s="25">
        <f t="array" ref="J698">IFERROR(IF(A698=A697,0,SUM(_xlfn._xlws.FILTER(G698:G718,(A698:A718=A698)*(E698:E718&gt;0)))),0)</f>
        <v>0</v>
      </c>
      <c r="K698" s="25">
        <f>IF(H698&lt;&gt;0,SUM(H$2:H698),0)</f>
        <v>0</v>
      </c>
      <c r="L698" s="25">
        <f>IF(I698&lt;&gt;0,SUM(I$2:I698),0)</f>
        <v>0</v>
      </c>
      <c r="M698" s="25">
        <f>IF(J698&lt;&gt;0,SUM(J$2:J698),0)</f>
        <v>0</v>
      </c>
    </row>
    <row r="699" spans="8:13" x14ac:dyDescent="0.2">
      <c r="H699" s="25">
        <f t="array" ref="H699">IF(A699=A698,0,SUM(_xlfn._xlws.FILTER(G699:G719,A699:A719=A699)))</f>
        <v>0</v>
      </c>
      <c r="I699" s="25">
        <f t="array" ref="I699">IFERROR(IF(A699=A698,0,SUM(_xlfn._xlws.FILTER(G699:G719,(A699:A719=A699)*(E699:E719&lt;0)))),0)</f>
        <v>0</v>
      </c>
      <c r="J699" s="25">
        <f t="array" ref="J699">IFERROR(IF(A699=A698,0,SUM(_xlfn._xlws.FILTER(G699:G719,(A699:A719=A699)*(E699:E719&gt;0)))),0)</f>
        <v>0</v>
      </c>
      <c r="K699" s="25">
        <f>IF(H699&lt;&gt;0,SUM(H$2:H699),0)</f>
        <v>0</v>
      </c>
      <c r="L699" s="25">
        <f>IF(I699&lt;&gt;0,SUM(I$2:I699),0)</f>
        <v>0</v>
      </c>
      <c r="M699" s="25">
        <f>IF(J699&lt;&gt;0,SUM(J$2:J699),0)</f>
        <v>0</v>
      </c>
    </row>
    <row r="700" spans="8:13" x14ac:dyDescent="0.2">
      <c r="H700" s="25">
        <f t="array" ref="H700">IF(A700=A699,0,SUM(_xlfn._xlws.FILTER(G700:G720,A700:A720=A700)))</f>
        <v>0</v>
      </c>
      <c r="I700" s="25">
        <f t="array" ref="I700">IFERROR(IF(A700=A699,0,SUM(_xlfn._xlws.FILTER(G700:G720,(A700:A720=A700)*(E700:E720&lt;0)))),0)</f>
        <v>0</v>
      </c>
      <c r="J700" s="25">
        <f t="array" ref="J700">IFERROR(IF(A700=A699,0,SUM(_xlfn._xlws.FILTER(G700:G720,(A700:A720=A700)*(E700:E720&gt;0)))),0)</f>
        <v>0</v>
      </c>
      <c r="K700" s="25">
        <f>IF(H700&lt;&gt;0,SUM(H$2:H700),0)</f>
        <v>0</v>
      </c>
      <c r="L700" s="25">
        <f>IF(I700&lt;&gt;0,SUM(I$2:I700),0)</f>
        <v>0</v>
      </c>
      <c r="M700" s="25">
        <f>IF(J700&lt;&gt;0,SUM(J$2:J700),0)</f>
        <v>0</v>
      </c>
    </row>
    <row r="701" spans="8:13" x14ac:dyDescent="0.2">
      <c r="H701" s="25">
        <f t="array" ref="H701">IF(A701=A700,0,SUM(_xlfn._xlws.FILTER(G701:G721,A701:A721=A701)))</f>
        <v>0</v>
      </c>
      <c r="I701" s="25">
        <f t="array" ref="I701">IFERROR(IF(A701=A700,0,SUM(_xlfn._xlws.FILTER(G701:G721,(A701:A721=A701)*(E701:E721&lt;0)))),0)</f>
        <v>0</v>
      </c>
      <c r="J701" s="25">
        <f t="array" ref="J701">IFERROR(IF(A701=A700,0,SUM(_xlfn._xlws.FILTER(G701:G721,(A701:A721=A701)*(E701:E721&gt;0)))),0)</f>
        <v>0</v>
      </c>
      <c r="K701" s="25">
        <f>IF(H701&lt;&gt;0,SUM(H$2:H701),0)</f>
        <v>0</v>
      </c>
      <c r="L701" s="25">
        <f>IF(I701&lt;&gt;0,SUM(I$2:I701),0)</f>
        <v>0</v>
      </c>
      <c r="M701" s="25">
        <f>IF(J701&lt;&gt;0,SUM(J$2:J701),0)</f>
        <v>0</v>
      </c>
    </row>
    <row r="702" spans="8:13" x14ac:dyDescent="0.2">
      <c r="H702" s="25">
        <f t="array" ref="H702">IF(A702=A701,0,SUM(_xlfn._xlws.FILTER(G702:G722,A702:A722=A702)))</f>
        <v>0</v>
      </c>
      <c r="I702" s="25">
        <f t="array" ref="I702">IFERROR(IF(A702=A701,0,SUM(_xlfn._xlws.FILTER(G702:G722,(A702:A722=A702)*(E702:E722&lt;0)))),0)</f>
        <v>0</v>
      </c>
      <c r="J702" s="25">
        <f t="array" ref="J702">IFERROR(IF(A702=A701,0,SUM(_xlfn._xlws.FILTER(G702:G722,(A702:A722=A702)*(E702:E722&gt;0)))),0)</f>
        <v>0</v>
      </c>
      <c r="K702" s="25">
        <f>IF(H702&lt;&gt;0,SUM(H$2:H702),0)</f>
        <v>0</v>
      </c>
      <c r="L702" s="25">
        <f>IF(I702&lt;&gt;0,SUM(I$2:I702),0)</f>
        <v>0</v>
      </c>
      <c r="M702" s="25">
        <f>IF(J702&lt;&gt;0,SUM(J$2:J702),0)</f>
        <v>0</v>
      </c>
    </row>
    <row r="703" spans="8:13" x14ac:dyDescent="0.2">
      <c r="H703" s="25">
        <f t="array" ref="H703">IF(A703=A702,0,SUM(_xlfn._xlws.FILTER(G703:G723,A703:A723=A703)))</f>
        <v>0</v>
      </c>
      <c r="I703" s="25">
        <f t="array" ref="I703">IFERROR(IF(A703=A702,0,SUM(_xlfn._xlws.FILTER(G703:G723,(A703:A723=A703)*(E703:E723&lt;0)))),0)</f>
        <v>0</v>
      </c>
      <c r="J703" s="25">
        <f t="array" ref="J703">IFERROR(IF(A703=A702,0,SUM(_xlfn._xlws.FILTER(G703:G723,(A703:A723=A703)*(E703:E723&gt;0)))),0)</f>
        <v>0</v>
      </c>
      <c r="K703" s="25">
        <f>IF(H703&lt;&gt;0,SUM(H$2:H703),0)</f>
        <v>0</v>
      </c>
      <c r="L703" s="25">
        <f>IF(I703&lt;&gt;0,SUM(I$2:I703),0)</f>
        <v>0</v>
      </c>
      <c r="M703" s="25">
        <f>IF(J703&lt;&gt;0,SUM(J$2:J703),0)</f>
        <v>0</v>
      </c>
    </row>
    <row r="704" spans="8:13" x14ac:dyDescent="0.2">
      <c r="H704" s="25">
        <f t="array" ref="H704">IF(A704=A703,0,SUM(_xlfn._xlws.FILTER(G704:G724,A704:A724=A704)))</f>
        <v>0</v>
      </c>
      <c r="I704" s="25">
        <f t="array" ref="I704">IFERROR(IF(A704=A703,0,SUM(_xlfn._xlws.FILTER(G704:G724,(A704:A724=A704)*(E704:E724&lt;0)))),0)</f>
        <v>0</v>
      </c>
      <c r="J704" s="25">
        <f t="array" ref="J704">IFERROR(IF(A704=A703,0,SUM(_xlfn._xlws.FILTER(G704:G724,(A704:A724=A704)*(E704:E724&gt;0)))),0)</f>
        <v>0</v>
      </c>
      <c r="K704" s="25">
        <f>IF(H704&lt;&gt;0,SUM(H$2:H704),0)</f>
        <v>0</v>
      </c>
      <c r="L704" s="25">
        <f>IF(I704&lt;&gt;0,SUM(I$2:I704),0)</f>
        <v>0</v>
      </c>
      <c r="M704" s="25">
        <f>IF(J704&lt;&gt;0,SUM(J$2:J704),0)</f>
        <v>0</v>
      </c>
    </row>
    <row r="705" spans="8:13" x14ac:dyDescent="0.2">
      <c r="H705" s="25">
        <f t="array" ref="H705">IF(A705=A704,0,SUM(_xlfn._xlws.FILTER(G705:G725,A705:A725=A705)))</f>
        <v>0</v>
      </c>
      <c r="I705" s="25">
        <f t="array" ref="I705">IFERROR(IF(A705=A704,0,SUM(_xlfn._xlws.FILTER(G705:G725,(A705:A725=A705)*(E705:E725&lt;0)))),0)</f>
        <v>0</v>
      </c>
      <c r="J705" s="25">
        <f t="array" ref="J705">IFERROR(IF(A705=A704,0,SUM(_xlfn._xlws.FILTER(G705:G725,(A705:A725=A705)*(E705:E725&gt;0)))),0)</f>
        <v>0</v>
      </c>
      <c r="K705" s="25">
        <f>IF(H705&lt;&gt;0,SUM(H$2:H705),0)</f>
        <v>0</v>
      </c>
      <c r="L705" s="25">
        <f>IF(I705&lt;&gt;0,SUM(I$2:I705),0)</f>
        <v>0</v>
      </c>
      <c r="M705" s="25">
        <f>IF(J705&lt;&gt;0,SUM(J$2:J705),0)</f>
        <v>0</v>
      </c>
    </row>
    <row r="706" spans="8:13" x14ac:dyDescent="0.2">
      <c r="H706" s="25">
        <f t="array" ref="H706">IF(A706=A705,0,SUM(_xlfn._xlws.FILTER(G706:G726,A706:A726=A706)))</f>
        <v>0</v>
      </c>
      <c r="I706" s="25">
        <f t="array" ref="I706">IFERROR(IF(A706=A705,0,SUM(_xlfn._xlws.FILTER(G706:G726,(A706:A726=A706)*(E706:E726&lt;0)))),0)</f>
        <v>0</v>
      </c>
      <c r="J706" s="25">
        <f t="array" ref="J706">IFERROR(IF(A706=A705,0,SUM(_xlfn._xlws.FILTER(G706:G726,(A706:A726=A706)*(E706:E726&gt;0)))),0)</f>
        <v>0</v>
      </c>
      <c r="K706" s="25">
        <f>IF(H706&lt;&gt;0,SUM(H$2:H706),0)</f>
        <v>0</v>
      </c>
      <c r="L706" s="25">
        <f>IF(I706&lt;&gt;0,SUM(I$2:I706),0)</f>
        <v>0</v>
      </c>
      <c r="M706" s="25">
        <f>IF(J706&lt;&gt;0,SUM(J$2:J706),0)</f>
        <v>0</v>
      </c>
    </row>
    <row r="707" spans="8:13" x14ac:dyDescent="0.2">
      <c r="H707" s="25">
        <f t="array" ref="H707">IF(A707=A706,0,SUM(_xlfn._xlws.FILTER(G707:G727,A707:A727=A707)))</f>
        <v>0</v>
      </c>
      <c r="I707" s="25">
        <f t="array" ref="I707">IFERROR(IF(A707=A706,0,SUM(_xlfn._xlws.FILTER(G707:G727,(A707:A727=A707)*(E707:E727&lt;0)))),0)</f>
        <v>0</v>
      </c>
      <c r="J707" s="25">
        <f t="array" ref="J707">IFERROR(IF(A707=A706,0,SUM(_xlfn._xlws.FILTER(G707:G727,(A707:A727=A707)*(E707:E727&gt;0)))),0)</f>
        <v>0</v>
      </c>
      <c r="K707" s="25">
        <f>IF(H707&lt;&gt;0,SUM(H$2:H707),0)</f>
        <v>0</v>
      </c>
      <c r="L707" s="25">
        <f>IF(I707&lt;&gt;0,SUM(I$2:I707),0)</f>
        <v>0</v>
      </c>
      <c r="M707" s="25">
        <f>IF(J707&lt;&gt;0,SUM(J$2:J707),0)</f>
        <v>0</v>
      </c>
    </row>
    <row r="708" spans="8:13" x14ac:dyDescent="0.2">
      <c r="H708" s="25">
        <f t="array" ref="H708">IF(A708=A707,0,SUM(_xlfn._xlws.FILTER(G708:G728,A708:A728=A708)))</f>
        <v>0</v>
      </c>
      <c r="I708" s="25">
        <f t="array" ref="I708">IFERROR(IF(A708=A707,0,SUM(_xlfn._xlws.FILTER(G708:G728,(A708:A728=A708)*(E708:E728&lt;0)))),0)</f>
        <v>0</v>
      </c>
      <c r="J708" s="25">
        <f t="array" ref="J708">IFERROR(IF(A708=A707,0,SUM(_xlfn._xlws.FILTER(G708:G728,(A708:A728=A708)*(E708:E728&gt;0)))),0)</f>
        <v>0</v>
      </c>
      <c r="K708" s="25">
        <f>IF(H708&lt;&gt;0,SUM(H$2:H708),0)</f>
        <v>0</v>
      </c>
      <c r="L708" s="25">
        <f>IF(I708&lt;&gt;0,SUM(I$2:I708),0)</f>
        <v>0</v>
      </c>
      <c r="M708" s="25">
        <f>IF(J708&lt;&gt;0,SUM(J$2:J708),0)</f>
        <v>0</v>
      </c>
    </row>
    <row r="709" spans="8:13" x14ac:dyDescent="0.2">
      <c r="H709" s="25">
        <f t="array" ref="H709">IF(A709=A708,0,SUM(_xlfn._xlws.FILTER(G709:G729,A709:A729=A709)))</f>
        <v>0</v>
      </c>
      <c r="I709" s="25">
        <f t="array" ref="I709">IFERROR(IF(A709=A708,0,SUM(_xlfn._xlws.FILTER(G709:G729,(A709:A729=A709)*(E709:E729&lt;0)))),0)</f>
        <v>0</v>
      </c>
      <c r="J709" s="25">
        <f t="array" ref="J709">IFERROR(IF(A709=A708,0,SUM(_xlfn._xlws.FILTER(G709:G729,(A709:A729=A709)*(E709:E729&gt;0)))),0)</f>
        <v>0</v>
      </c>
      <c r="K709" s="25">
        <f>IF(H709&lt;&gt;0,SUM(H$2:H709),0)</f>
        <v>0</v>
      </c>
      <c r="L709" s="25">
        <f>IF(I709&lt;&gt;0,SUM(I$2:I709),0)</f>
        <v>0</v>
      </c>
      <c r="M709" s="25">
        <f>IF(J709&lt;&gt;0,SUM(J$2:J709),0)</f>
        <v>0</v>
      </c>
    </row>
    <row r="710" spans="8:13" x14ac:dyDescent="0.2">
      <c r="H710" s="25">
        <f t="array" ref="H710">IF(A710=A709,0,SUM(_xlfn._xlws.FILTER(G710:G730,A710:A730=A710)))</f>
        <v>0</v>
      </c>
      <c r="I710" s="25">
        <f t="array" ref="I710">IFERROR(IF(A710=A709,0,SUM(_xlfn._xlws.FILTER(G710:G730,(A710:A730=A710)*(E710:E730&lt;0)))),0)</f>
        <v>0</v>
      </c>
      <c r="J710" s="25">
        <f t="array" ref="J710">IFERROR(IF(A710=A709,0,SUM(_xlfn._xlws.FILTER(G710:G730,(A710:A730=A710)*(E710:E730&gt;0)))),0)</f>
        <v>0</v>
      </c>
      <c r="K710" s="25">
        <f>IF(H710&lt;&gt;0,SUM(H$2:H710),0)</f>
        <v>0</v>
      </c>
      <c r="L710" s="25">
        <f>IF(I710&lt;&gt;0,SUM(I$2:I710),0)</f>
        <v>0</v>
      </c>
      <c r="M710" s="25">
        <f>IF(J710&lt;&gt;0,SUM(J$2:J710),0)</f>
        <v>0</v>
      </c>
    </row>
    <row r="711" spans="8:13" x14ac:dyDescent="0.2">
      <c r="H711" s="25">
        <f t="array" ref="H711">IF(A711=A710,0,SUM(_xlfn._xlws.FILTER(G711:G731,A711:A731=A711)))</f>
        <v>0</v>
      </c>
      <c r="I711" s="25">
        <f t="array" ref="I711">IFERROR(IF(A711=A710,0,SUM(_xlfn._xlws.FILTER(G711:G731,(A711:A731=A711)*(E711:E731&lt;0)))),0)</f>
        <v>0</v>
      </c>
      <c r="J711" s="25">
        <f t="array" ref="J711">IFERROR(IF(A711=A710,0,SUM(_xlfn._xlws.FILTER(G711:G731,(A711:A731=A711)*(E711:E731&gt;0)))),0)</f>
        <v>0</v>
      </c>
      <c r="K711" s="25">
        <f>IF(H711&lt;&gt;0,SUM(H$2:H711),0)</f>
        <v>0</v>
      </c>
      <c r="L711" s="25">
        <f>IF(I711&lt;&gt;0,SUM(I$2:I711),0)</f>
        <v>0</v>
      </c>
      <c r="M711" s="25">
        <f>IF(J711&lt;&gt;0,SUM(J$2:J711),0)</f>
        <v>0</v>
      </c>
    </row>
    <row r="712" spans="8:13" x14ac:dyDescent="0.2">
      <c r="H712" s="25">
        <f t="array" ref="H712">IF(A712=A711,0,SUM(_xlfn._xlws.FILTER(G712:G732,A712:A732=A712)))</f>
        <v>0</v>
      </c>
      <c r="I712" s="25">
        <f t="array" ref="I712">IFERROR(IF(A712=A711,0,SUM(_xlfn._xlws.FILTER(G712:G732,(A712:A732=A712)*(E712:E732&lt;0)))),0)</f>
        <v>0</v>
      </c>
      <c r="J712" s="25">
        <f t="array" ref="J712">IFERROR(IF(A712=A711,0,SUM(_xlfn._xlws.FILTER(G712:G732,(A712:A732=A712)*(E712:E732&gt;0)))),0)</f>
        <v>0</v>
      </c>
      <c r="K712" s="25">
        <f>IF(H712&lt;&gt;0,SUM(H$2:H712),0)</f>
        <v>0</v>
      </c>
      <c r="L712" s="25">
        <f>IF(I712&lt;&gt;0,SUM(I$2:I712),0)</f>
        <v>0</v>
      </c>
      <c r="M712" s="25">
        <f>IF(J712&lt;&gt;0,SUM(J$2:J712),0)</f>
        <v>0</v>
      </c>
    </row>
    <row r="713" spans="8:13" x14ac:dyDescent="0.2">
      <c r="H713" s="25">
        <f t="array" ref="H713">IF(A713=A712,0,SUM(_xlfn._xlws.FILTER(G713:G733,A713:A733=A713)))</f>
        <v>0</v>
      </c>
      <c r="I713" s="25">
        <f t="array" ref="I713">IFERROR(IF(A713=A712,0,SUM(_xlfn._xlws.FILTER(G713:G733,(A713:A733=A713)*(E713:E733&lt;0)))),0)</f>
        <v>0</v>
      </c>
      <c r="J713" s="25">
        <f t="array" ref="J713">IFERROR(IF(A713=A712,0,SUM(_xlfn._xlws.FILTER(G713:G733,(A713:A733=A713)*(E713:E733&gt;0)))),0)</f>
        <v>0</v>
      </c>
      <c r="K713" s="25">
        <f>IF(H713&lt;&gt;0,SUM(H$2:H713),0)</f>
        <v>0</v>
      </c>
      <c r="L713" s="25">
        <f>IF(I713&lt;&gt;0,SUM(I$2:I713),0)</f>
        <v>0</v>
      </c>
      <c r="M713" s="25">
        <f>IF(J713&lt;&gt;0,SUM(J$2:J713),0)</f>
        <v>0</v>
      </c>
    </row>
    <row r="714" spans="8:13" x14ac:dyDescent="0.2">
      <c r="H714" s="25">
        <f t="array" ref="H714">IF(A714=A713,0,SUM(_xlfn._xlws.FILTER(G714:G734,A714:A734=A714)))</f>
        <v>0</v>
      </c>
      <c r="I714" s="25">
        <f t="array" ref="I714">IFERROR(IF(A714=A713,0,SUM(_xlfn._xlws.FILTER(G714:G734,(A714:A734=A714)*(E714:E734&lt;0)))),0)</f>
        <v>0</v>
      </c>
      <c r="J714" s="25">
        <f t="array" ref="J714">IFERROR(IF(A714=A713,0,SUM(_xlfn._xlws.FILTER(G714:G734,(A714:A734=A714)*(E714:E734&gt;0)))),0)</f>
        <v>0</v>
      </c>
      <c r="K714" s="25">
        <f>IF(H714&lt;&gt;0,SUM(H$2:H714),0)</f>
        <v>0</v>
      </c>
      <c r="L714" s="25">
        <f>IF(I714&lt;&gt;0,SUM(I$2:I714),0)</f>
        <v>0</v>
      </c>
      <c r="M714" s="25">
        <f>IF(J714&lt;&gt;0,SUM(J$2:J714),0)</f>
        <v>0</v>
      </c>
    </row>
    <row r="715" spans="8:13" x14ac:dyDescent="0.2">
      <c r="H715" s="25">
        <f t="array" ref="H715">IF(A715=A714,0,SUM(_xlfn._xlws.FILTER(G715:G735,A715:A735=A715)))</f>
        <v>0</v>
      </c>
      <c r="I715" s="25">
        <f t="array" ref="I715">IFERROR(IF(A715=A714,0,SUM(_xlfn._xlws.FILTER(G715:G735,(A715:A735=A715)*(E715:E735&lt;0)))),0)</f>
        <v>0</v>
      </c>
      <c r="J715" s="25">
        <f t="array" ref="J715">IFERROR(IF(A715=A714,0,SUM(_xlfn._xlws.FILTER(G715:G735,(A715:A735=A715)*(E715:E735&gt;0)))),0)</f>
        <v>0</v>
      </c>
      <c r="K715" s="25">
        <f>IF(H715&lt;&gt;0,SUM(H$2:H715),0)</f>
        <v>0</v>
      </c>
      <c r="L715" s="25">
        <f>IF(I715&lt;&gt;0,SUM(I$2:I715),0)</f>
        <v>0</v>
      </c>
      <c r="M715" s="25">
        <f>IF(J715&lt;&gt;0,SUM(J$2:J715),0)</f>
        <v>0</v>
      </c>
    </row>
    <row r="716" spans="8:13" x14ac:dyDescent="0.2">
      <c r="H716" s="25">
        <f t="array" ref="H716">IF(A716=A715,0,SUM(_xlfn._xlws.FILTER(G716:G736,A716:A736=A716)))</f>
        <v>0</v>
      </c>
      <c r="I716" s="25">
        <f t="array" ref="I716">IFERROR(IF(A716=A715,0,SUM(_xlfn._xlws.FILTER(G716:G736,(A716:A736=A716)*(E716:E736&lt;0)))),0)</f>
        <v>0</v>
      </c>
      <c r="J716" s="25">
        <f t="array" ref="J716">IFERROR(IF(A716=A715,0,SUM(_xlfn._xlws.FILTER(G716:G736,(A716:A736=A716)*(E716:E736&gt;0)))),0)</f>
        <v>0</v>
      </c>
      <c r="K716" s="25">
        <f>IF(H716&lt;&gt;0,SUM(H$2:H716),0)</f>
        <v>0</v>
      </c>
      <c r="L716" s="25">
        <f>IF(I716&lt;&gt;0,SUM(I$2:I716),0)</f>
        <v>0</v>
      </c>
      <c r="M716" s="25">
        <f>IF(J716&lt;&gt;0,SUM(J$2:J716),0)</f>
        <v>0</v>
      </c>
    </row>
    <row r="717" spans="8:13" x14ac:dyDescent="0.2">
      <c r="H717" s="25">
        <f t="array" ref="H717">IF(A717=A716,0,SUM(_xlfn._xlws.FILTER(G717:G737,A717:A737=A717)))</f>
        <v>0</v>
      </c>
      <c r="I717" s="25">
        <f t="array" ref="I717">IFERROR(IF(A717=A716,0,SUM(_xlfn._xlws.FILTER(G717:G737,(A717:A737=A717)*(E717:E737&lt;0)))),0)</f>
        <v>0</v>
      </c>
      <c r="J717" s="25">
        <f t="array" ref="J717">IFERROR(IF(A717=A716,0,SUM(_xlfn._xlws.FILTER(G717:G737,(A717:A737=A717)*(E717:E737&gt;0)))),0)</f>
        <v>0</v>
      </c>
      <c r="K717" s="25">
        <f>IF(H717&lt;&gt;0,SUM(H$2:H717),0)</f>
        <v>0</v>
      </c>
      <c r="L717" s="25">
        <f>IF(I717&lt;&gt;0,SUM(I$2:I717),0)</f>
        <v>0</v>
      </c>
      <c r="M717" s="25">
        <f>IF(J717&lt;&gt;0,SUM(J$2:J717),0)</f>
        <v>0</v>
      </c>
    </row>
    <row r="718" spans="8:13" x14ac:dyDescent="0.2">
      <c r="H718" s="25">
        <f t="array" ref="H718">IF(A718=A717,0,SUM(_xlfn._xlws.FILTER(G718:G738,A718:A738=A718)))</f>
        <v>0</v>
      </c>
      <c r="I718" s="25">
        <f t="array" ref="I718">IFERROR(IF(A718=A717,0,SUM(_xlfn._xlws.FILTER(G718:G738,(A718:A738=A718)*(E718:E738&lt;0)))),0)</f>
        <v>0</v>
      </c>
      <c r="J718" s="25">
        <f t="array" ref="J718">IFERROR(IF(A718=A717,0,SUM(_xlfn._xlws.FILTER(G718:G738,(A718:A738=A718)*(E718:E738&gt;0)))),0)</f>
        <v>0</v>
      </c>
      <c r="K718" s="25">
        <f>IF(H718&lt;&gt;0,SUM(H$2:H718),0)</f>
        <v>0</v>
      </c>
      <c r="L718" s="25">
        <f>IF(I718&lt;&gt;0,SUM(I$2:I718),0)</f>
        <v>0</v>
      </c>
      <c r="M718" s="25">
        <f>IF(J718&lt;&gt;0,SUM(J$2:J718),0)</f>
        <v>0</v>
      </c>
    </row>
    <row r="719" spans="8:13" x14ac:dyDescent="0.2">
      <c r="H719" s="25">
        <f t="array" ref="H719">IF(A719=A718,0,SUM(_xlfn._xlws.FILTER(G719:G739,A719:A739=A719)))</f>
        <v>0</v>
      </c>
      <c r="I719" s="25">
        <f t="array" ref="I719">IFERROR(IF(A719=A718,0,SUM(_xlfn._xlws.FILTER(G719:G739,(A719:A739=A719)*(E719:E739&lt;0)))),0)</f>
        <v>0</v>
      </c>
      <c r="J719" s="25">
        <f t="array" ref="J719">IFERROR(IF(A719=A718,0,SUM(_xlfn._xlws.FILTER(G719:G739,(A719:A739=A719)*(E719:E739&gt;0)))),0)</f>
        <v>0</v>
      </c>
      <c r="K719" s="25">
        <f>IF(H719&lt;&gt;0,SUM(H$2:H719),0)</f>
        <v>0</v>
      </c>
      <c r="L719" s="25">
        <f>IF(I719&lt;&gt;0,SUM(I$2:I719),0)</f>
        <v>0</v>
      </c>
      <c r="M719" s="25">
        <f>IF(J719&lt;&gt;0,SUM(J$2:J719),0)</f>
        <v>0</v>
      </c>
    </row>
    <row r="720" spans="8:13" x14ac:dyDescent="0.2">
      <c r="H720" s="25">
        <f t="array" ref="H720">IF(A720=A719,0,SUM(_xlfn._xlws.FILTER(G720:G740,A720:A740=A720)))</f>
        <v>0</v>
      </c>
      <c r="I720" s="25">
        <f t="array" ref="I720">IFERROR(IF(A720=A719,0,SUM(_xlfn._xlws.FILTER(G720:G740,(A720:A740=A720)*(E720:E740&lt;0)))),0)</f>
        <v>0</v>
      </c>
      <c r="J720" s="25">
        <f t="array" ref="J720">IFERROR(IF(A720=A719,0,SUM(_xlfn._xlws.FILTER(G720:G740,(A720:A740=A720)*(E720:E740&gt;0)))),0)</f>
        <v>0</v>
      </c>
      <c r="K720" s="25">
        <f>IF(H720&lt;&gt;0,SUM(H$2:H720),0)</f>
        <v>0</v>
      </c>
      <c r="L720" s="25">
        <f>IF(I720&lt;&gt;0,SUM(I$2:I720),0)</f>
        <v>0</v>
      </c>
      <c r="M720" s="25">
        <f>IF(J720&lt;&gt;0,SUM(J$2:J720),0)</f>
        <v>0</v>
      </c>
    </row>
    <row r="721" spans="8:13" x14ac:dyDescent="0.2">
      <c r="H721" s="25">
        <f t="array" ref="H721">IF(A721=A720,0,SUM(_xlfn._xlws.FILTER(G721:G741,A721:A741=A721)))</f>
        <v>0</v>
      </c>
      <c r="I721" s="25">
        <f t="array" ref="I721">IFERROR(IF(A721=A720,0,SUM(_xlfn._xlws.FILTER(G721:G741,(A721:A741=A721)*(E721:E741&lt;0)))),0)</f>
        <v>0</v>
      </c>
      <c r="J721" s="25">
        <f t="array" ref="J721">IFERROR(IF(A721=A720,0,SUM(_xlfn._xlws.FILTER(G721:G741,(A721:A741=A721)*(E721:E741&gt;0)))),0)</f>
        <v>0</v>
      </c>
      <c r="K721" s="25">
        <f>IF(H721&lt;&gt;0,SUM(H$2:H721),0)</f>
        <v>0</v>
      </c>
      <c r="L721" s="25">
        <f>IF(I721&lt;&gt;0,SUM(I$2:I721),0)</f>
        <v>0</v>
      </c>
      <c r="M721" s="25">
        <f>IF(J721&lt;&gt;0,SUM(J$2:J721),0)</f>
        <v>0</v>
      </c>
    </row>
    <row r="722" spans="8:13" x14ac:dyDescent="0.2">
      <c r="H722" s="25">
        <f t="array" ref="H722">IF(A722=A721,0,SUM(_xlfn._xlws.FILTER(G722:G742,A722:A742=A722)))</f>
        <v>0</v>
      </c>
      <c r="I722" s="25">
        <f t="array" ref="I722">IFERROR(IF(A722=A721,0,SUM(_xlfn._xlws.FILTER(G722:G742,(A722:A742=A722)*(E722:E742&lt;0)))),0)</f>
        <v>0</v>
      </c>
      <c r="J722" s="25">
        <f t="array" ref="J722">IFERROR(IF(A722=A721,0,SUM(_xlfn._xlws.FILTER(G722:G742,(A722:A742=A722)*(E722:E742&gt;0)))),0)</f>
        <v>0</v>
      </c>
      <c r="K722" s="25">
        <f>IF(H722&lt;&gt;0,SUM(H$2:H722),0)</f>
        <v>0</v>
      </c>
      <c r="L722" s="25">
        <f>IF(I722&lt;&gt;0,SUM(I$2:I722),0)</f>
        <v>0</v>
      </c>
      <c r="M722" s="25">
        <f>IF(J722&lt;&gt;0,SUM(J$2:J722),0)</f>
        <v>0</v>
      </c>
    </row>
    <row r="723" spans="8:13" x14ac:dyDescent="0.2">
      <c r="H723" s="25">
        <f t="array" ref="H723">IF(A723=A722,0,SUM(_xlfn._xlws.FILTER(G723:G743,A723:A743=A723)))</f>
        <v>0</v>
      </c>
      <c r="I723" s="25">
        <f t="array" ref="I723">IFERROR(IF(A723=A722,0,SUM(_xlfn._xlws.FILTER(G723:G743,(A723:A743=A723)*(E723:E743&lt;0)))),0)</f>
        <v>0</v>
      </c>
      <c r="J723" s="25">
        <f t="array" ref="J723">IFERROR(IF(A723=A722,0,SUM(_xlfn._xlws.FILTER(G723:G743,(A723:A743=A723)*(E723:E743&gt;0)))),0)</f>
        <v>0</v>
      </c>
      <c r="K723" s="25">
        <f>IF(H723&lt;&gt;0,SUM(H$2:H723),0)</f>
        <v>0</v>
      </c>
      <c r="L723" s="25">
        <f>IF(I723&lt;&gt;0,SUM(I$2:I723),0)</f>
        <v>0</v>
      </c>
      <c r="M723" s="25">
        <f>IF(J723&lt;&gt;0,SUM(J$2:J723),0)</f>
        <v>0</v>
      </c>
    </row>
    <row r="724" spans="8:13" x14ac:dyDescent="0.2">
      <c r="H724" s="25">
        <f t="array" ref="H724">IF(A724=A723,0,SUM(_xlfn._xlws.FILTER(G724:G744,A724:A744=A724)))</f>
        <v>0</v>
      </c>
      <c r="I724" s="25">
        <f t="array" ref="I724">IFERROR(IF(A724=A723,0,SUM(_xlfn._xlws.FILTER(G724:G744,(A724:A744=A724)*(E724:E744&lt;0)))),0)</f>
        <v>0</v>
      </c>
      <c r="J724" s="25">
        <f t="array" ref="J724">IFERROR(IF(A724=A723,0,SUM(_xlfn._xlws.FILTER(G724:G744,(A724:A744=A724)*(E724:E744&gt;0)))),0)</f>
        <v>0</v>
      </c>
      <c r="K724" s="25">
        <f>IF(H724&lt;&gt;0,SUM(H$2:H724),0)</f>
        <v>0</v>
      </c>
      <c r="L724" s="25">
        <f>IF(I724&lt;&gt;0,SUM(I$2:I724),0)</f>
        <v>0</v>
      </c>
      <c r="M724" s="25">
        <f>IF(J724&lt;&gt;0,SUM(J$2:J724),0)</f>
        <v>0</v>
      </c>
    </row>
    <row r="725" spans="8:13" x14ac:dyDescent="0.2">
      <c r="H725" s="25">
        <f t="array" ref="H725">IF(A725=A724,0,SUM(_xlfn._xlws.FILTER(G725:G745,A725:A745=A725)))</f>
        <v>0</v>
      </c>
      <c r="I725" s="25">
        <f t="array" ref="I725">IFERROR(IF(A725=A724,0,SUM(_xlfn._xlws.FILTER(G725:G745,(A725:A745=A725)*(E725:E745&lt;0)))),0)</f>
        <v>0</v>
      </c>
      <c r="J725" s="25">
        <f t="array" ref="J725">IFERROR(IF(A725=A724,0,SUM(_xlfn._xlws.FILTER(G725:G745,(A725:A745=A725)*(E725:E745&gt;0)))),0)</f>
        <v>0</v>
      </c>
      <c r="K725" s="25">
        <f>IF(H725&lt;&gt;0,SUM(H$2:H725),0)</f>
        <v>0</v>
      </c>
      <c r="L725" s="25">
        <f>IF(I725&lt;&gt;0,SUM(I$2:I725),0)</f>
        <v>0</v>
      </c>
      <c r="M725" s="25">
        <f>IF(J725&lt;&gt;0,SUM(J$2:J725),0)</f>
        <v>0</v>
      </c>
    </row>
    <row r="726" spans="8:13" x14ac:dyDescent="0.2">
      <c r="H726" s="25">
        <f t="array" ref="H726">IF(A726=A725,0,SUM(_xlfn._xlws.FILTER(G726:G746,A726:A746=A726)))</f>
        <v>0</v>
      </c>
      <c r="I726" s="25">
        <f t="array" ref="I726">IFERROR(IF(A726=A725,0,SUM(_xlfn._xlws.FILTER(G726:G746,(A726:A746=A726)*(E726:E746&lt;0)))),0)</f>
        <v>0</v>
      </c>
      <c r="J726" s="25">
        <f t="array" ref="J726">IFERROR(IF(A726=A725,0,SUM(_xlfn._xlws.FILTER(G726:G746,(A726:A746=A726)*(E726:E746&gt;0)))),0)</f>
        <v>0</v>
      </c>
      <c r="K726" s="25">
        <f>IF(H726&lt;&gt;0,SUM(H$2:H726),0)</f>
        <v>0</v>
      </c>
      <c r="L726" s="25">
        <f>IF(I726&lt;&gt;0,SUM(I$2:I726),0)</f>
        <v>0</v>
      </c>
      <c r="M726" s="25">
        <f>IF(J726&lt;&gt;0,SUM(J$2:J726),0)</f>
        <v>0</v>
      </c>
    </row>
    <row r="727" spans="8:13" x14ac:dyDescent="0.2">
      <c r="H727" s="25">
        <f t="array" ref="H727">IF(A727=A726,0,SUM(_xlfn._xlws.FILTER(G727:G747,A727:A747=A727)))</f>
        <v>0</v>
      </c>
      <c r="I727" s="25">
        <f t="array" ref="I727">IFERROR(IF(A727=A726,0,SUM(_xlfn._xlws.FILTER(G727:G747,(A727:A747=A727)*(E727:E747&lt;0)))),0)</f>
        <v>0</v>
      </c>
      <c r="J727" s="25">
        <f t="array" ref="J727">IFERROR(IF(A727=A726,0,SUM(_xlfn._xlws.FILTER(G727:G747,(A727:A747=A727)*(E727:E747&gt;0)))),0)</f>
        <v>0</v>
      </c>
      <c r="K727" s="25">
        <f>IF(H727&lt;&gt;0,SUM(H$2:H727),0)</f>
        <v>0</v>
      </c>
      <c r="L727" s="25">
        <f>IF(I727&lt;&gt;0,SUM(I$2:I727),0)</f>
        <v>0</v>
      </c>
      <c r="M727" s="25">
        <f>IF(J727&lt;&gt;0,SUM(J$2:J727),0)</f>
        <v>0</v>
      </c>
    </row>
    <row r="728" spans="8:13" x14ac:dyDescent="0.2">
      <c r="H728" s="25">
        <f t="array" ref="H728">IF(A728=A727,0,SUM(_xlfn._xlws.FILTER(G728:G748,A728:A748=A728)))</f>
        <v>0</v>
      </c>
      <c r="I728" s="25">
        <f t="array" ref="I728">IFERROR(IF(A728=A727,0,SUM(_xlfn._xlws.FILTER(G728:G748,(A728:A748=A728)*(E728:E748&lt;0)))),0)</f>
        <v>0</v>
      </c>
      <c r="J728" s="25">
        <f t="array" ref="J728">IFERROR(IF(A728=A727,0,SUM(_xlfn._xlws.FILTER(G728:G748,(A728:A748=A728)*(E728:E748&gt;0)))),0)</f>
        <v>0</v>
      </c>
      <c r="K728" s="25">
        <f>IF(H728&lt;&gt;0,SUM(H$2:H728),0)</f>
        <v>0</v>
      </c>
      <c r="L728" s="25">
        <f>IF(I728&lt;&gt;0,SUM(I$2:I728),0)</f>
        <v>0</v>
      </c>
      <c r="M728" s="25">
        <f>IF(J728&lt;&gt;0,SUM(J$2:J728),0)</f>
        <v>0</v>
      </c>
    </row>
    <row r="729" spans="8:13" x14ac:dyDescent="0.2">
      <c r="H729" s="25">
        <f t="array" ref="H729">IF(A729=A728,0,SUM(_xlfn._xlws.FILTER(G729:G749,A729:A749=A729)))</f>
        <v>0</v>
      </c>
      <c r="I729" s="25">
        <f t="array" ref="I729">IFERROR(IF(A729=A728,0,SUM(_xlfn._xlws.FILTER(G729:G749,(A729:A749=A729)*(E729:E749&lt;0)))),0)</f>
        <v>0</v>
      </c>
      <c r="J729" s="25">
        <f t="array" ref="J729">IFERROR(IF(A729=A728,0,SUM(_xlfn._xlws.FILTER(G729:G749,(A729:A749=A729)*(E729:E749&gt;0)))),0)</f>
        <v>0</v>
      </c>
      <c r="K729" s="25">
        <f>IF(H729&lt;&gt;0,SUM(H$2:H729),0)</f>
        <v>0</v>
      </c>
      <c r="L729" s="25">
        <f>IF(I729&lt;&gt;0,SUM(I$2:I729),0)</f>
        <v>0</v>
      </c>
      <c r="M729" s="25">
        <f>IF(J729&lt;&gt;0,SUM(J$2:J729),0)</f>
        <v>0</v>
      </c>
    </row>
    <row r="730" spans="8:13" x14ac:dyDescent="0.2">
      <c r="H730" s="25">
        <f t="array" ref="H730">IF(A730=A729,0,SUM(_xlfn._xlws.FILTER(G730:G750,A730:A750=A730)))</f>
        <v>0</v>
      </c>
      <c r="I730" s="25">
        <f t="array" ref="I730">IFERROR(IF(A730=A729,0,SUM(_xlfn._xlws.FILTER(G730:G750,(A730:A750=A730)*(E730:E750&lt;0)))),0)</f>
        <v>0</v>
      </c>
      <c r="J730" s="25">
        <f t="array" ref="J730">IFERROR(IF(A730=A729,0,SUM(_xlfn._xlws.FILTER(G730:G750,(A730:A750=A730)*(E730:E750&gt;0)))),0)</f>
        <v>0</v>
      </c>
      <c r="K730" s="25">
        <f>IF(H730&lt;&gt;0,SUM(H$2:H730),0)</f>
        <v>0</v>
      </c>
      <c r="L730" s="25">
        <f>IF(I730&lt;&gt;0,SUM(I$2:I730),0)</f>
        <v>0</v>
      </c>
      <c r="M730" s="25">
        <f>IF(J730&lt;&gt;0,SUM(J$2:J730),0)</f>
        <v>0</v>
      </c>
    </row>
    <row r="731" spans="8:13" x14ac:dyDescent="0.2">
      <c r="H731" s="25">
        <f t="array" ref="H731">IF(A731=A730,0,SUM(_xlfn._xlws.FILTER(G731:G751,A731:A751=A731)))</f>
        <v>0</v>
      </c>
      <c r="I731" s="25">
        <f t="array" ref="I731">IFERROR(IF(A731=A730,0,SUM(_xlfn._xlws.FILTER(G731:G751,(A731:A751=A731)*(E731:E751&lt;0)))),0)</f>
        <v>0</v>
      </c>
      <c r="J731" s="25">
        <f t="array" ref="J731">IFERROR(IF(A731=A730,0,SUM(_xlfn._xlws.FILTER(G731:G751,(A731:A751=A731)*(E731:E751&gt;0)))),0)</f>
        <v>0</v>
      </c>
      <c r="K731" s="25">
        <f>IF(H731&lt;&gt;0,SUM(H$2:H731),0)</f>
        <v>0</v>
      </c>
      <c r="L731" s="25">
        <f>IF(I731&lt;&gt;0,SUM(I$2:I731),0)</f>
        <v>0</v>
      </c>
      <c r="M731" s="25">
        <f>IF(J731&lt;&gt;0,SUM(J$2:J731),0)</f>
        <v>0</v>
      </c>
    </row>
    <row r="732" spans="8:13" x14ac:dyDescent="0.2">
      <c r="H732" s="25">
        <f t="array" ref="H732">IF(A732=A731,0,SUM(_xlfn._xlws.FILTER(G732:G752,A732:A752=A732)))</f>
        <v>0</v>
      </c>
      <c r="I732" s="25">
        <f t="array" ref="I732">IFERROR(IF(A732=A731,0,SUM(_xlfn._xlws.FILTER(G732:G752,(A732:A752=A732)*(E732:E752&lt;0)))),0)</f>
        <v>0</v>
      </c>
      <c r="J732" s="25">
        <f t="array" ref="J732">IFERROR(IF(A732=A731,0,SUM(_xlfn._xlws.FILTER(G732:G752,(A732:A752=A732)*(E732:E752&gt;0)))),0)</f>
        <v>0</v>
      </c>
      <c r="K732" s="25">
        <f>IF(H732&lt;&gt;0,SUM(H$2:H732),0)</f>
        <v>0</v>
      </c>
      <c r="L732" s="25">
        <f>IF(I732&lt;&gt;0,SUM(I$2:I732),0)</f>
        <v>0</v>
      </c>
      <c r="M732" s="25">
        <f>IF(J732&lt;&gt;0,SUM(J$2:J732),0)</f>
        <v>0</v>
      </c>
    </row>
    <row r="733" spans="8:13" x14ac:dyDescent="0.2">
      <c r="H733" s="25">
        <f t="array" ref="H733">IF(A733=A732,0,SUM(_xlfn._xlws.FILTER(G733:G753,A733:A753=A733)))</f>
        <v>0</v>
      </c>
      <c r="I733" s="25">
        <f t="array" ref="I733">IFERROR(IF(A733=A732,0,SUM(_xlfn._xlws.FILTER(G733:G753,(A733:A753=A733)*(E733:E753&lt;0)))),0)</f>
        <v>0</v>
      </c>
      <c r="J733" s="25">
        <f t="array" ref="J733">IFERROR(IF(A733=A732,0,SUM(_xlfn._xlws.FILTER(G733:G753,(A733:A753=A733)*(E733:E753&gt;0)))),0)</f>
        <v>0</v>
      </c>
      <c r="K733" s="25">
        <f>IF(H733&lt;&gt;0,SUM(H$2:H733),0)</f>
        <v>0</v>
      </c>
      <c r="L733" s="25">
        <f>IF(I733&lt;&gt;0,SUM(I$2:I733),0)</f>
        <v>0</v>
      </c>
      <c r="M733" s="25">
        <f>IF(J733&lt;&gt;0,SUM(J$2:J733),0)</f>
        <v>0</v>
      </c>
    </row>
    <row r="734" spans="8:13" x14ac:dyDescent="0.2">
      <c r="H734" s="25">
        <f t="array" ref="H734">IF(A734=A733,0,SUM(_xlfn._xlws.FILTER(G734:G754,A734:A754=A734)))</f>
        <v>0</v>
      </c>
      <c r="I734" s="25">
        <f t="array" ref="I734">IFERROR(IF(A734=A733,0,SUM(_xlfn._xlws.FILTER(G734:G754,(A734:A754=A734)*(E734:E754&lt;0)))),0)</f>
        <v>0</v>
      </c>
      <c r="J734" s="25">
        <f t="array" ref="J734">IFERROR(IF(A734=A733,0,SUM(_xlfn._xlws.FILTER(G734:G754,(A734:A754=A734)*(E734:E754&gt;0)))),0)</f>
        <v>0</v>
      </c>
      <c r="K734" s="25">
        <f>IF(H734&lt;&gt;0,SUM(H$2:H734),0)</f>
        <v>0</v>
      </c>
      <c r="L734" s="25">
        <f>IF(I734&lt;&gt;0,SUM(I$2:I734),0)</f>
        <v>0</v>
      </c>
      <c r="M734" s="25">
        <f>IF(J734&lt;&gt;0,SUM(J$2:J734),0)</f>
        <v>0</v>
      </c>
    </row>
    <row r="735" spans="8:13" x14ac:dyDescent="0.2">
      <c r="H735" s="25">
        <f t="array" ref="H735">IF(A735=A734,0,SUM(_xlfn._xlws.FILTER(G735:G755,A735:A755=A735)))</f>
        <v>0</v>
      </c>
      <c r="I735" s="25">
        <f t="array" ref="I735">IFERROR(IF(A735=A734,0,SUM(_xlfn._xlws.FILTER(G735:G755,(A735:A755=A735)*(E735:E755&lt;0)))),0)</f>
        <v>0</v>
      </c>
      <c r="J735" s="25">
        <f t="array" ref="J735">IFERROR(IF(A735=A734,0,SUM(_xlfn._xlws.FILTER(G735:G755,(A735:A755=A735)*(E735:E755&gt;0)))),0)</f>
        <v>0</v>
      </c>
      <c r="K735" s="25">
        <f>IF(H735&lt;&gt;0,SUM(H$2:H735),0)</f>
        <v>0</v>
      </c>
      <c r="L735" s="25">
        <f>IF(I735&lt;&gt;0,SUM(I$2:I735),0)</f>
        <v>0</v>
      </c>
      <c r="M735" s="25">
        <f>IF(J735&lt;&gt;0,SUM(J$2:J735),0)</f>
        <v>0</v>
      </c>
    </row>
    <row r="736" spans="8:13" x14ac:dyDescent="0.2">
      <c r="H736" s="25">
        <f t="array" ref="H736">IF(A736=A735,0,SUM(_xlfn._xlws.FILTER(G736:G756,A736:A756=A736)))</f>
        <v>0</v>
      </c>
      <c r="I736" s="25">
        <f t="array" ref="I736">IFERROR(IF(A736=A735,0,SUM(_xlfn._xlws.FILTER(G736:G756,(A736:A756=A736)*(E736:E756&lt;0)))),0)</f>
        <v>0</v>
      </c>
      <c r="J736" s="25">
        <f t="array" ref="J736">IFERROR(IF(A736=A735,0,SUM(_xlfn._xlws.FILTER(G736:G756,(A736:A756=A736)*(E736:E756&gt;0)))),0)</f>
        <v>0</v>
      </c>
      <c r="K736" s="25">
        <f>IF(H736&lt;&gt;0,SUM(H$2:H736),0)</f>
        <v>0</v>
      </c>
      <c r="L736" s="25">
        <f>IF(I736&lt;&gt;0,SUM(I$2:I736),0)</f>
        <v>0</v>
      </c>
      <c r="M736" s="25">
        <f>IF(J736&lt;&gt;0,SUM(J$2:J736),0)</f>
        <v>0</v>
      </c>
    </row>
    <row r="737" spans="8:13" x14ac:dyDescent="0.2">
      <c r="H737" s="25">
        <f t="array" ref="H737">IF(A737=A736,0,SUM(_xlfn._xlws.FILTER(G737:G757,A737:A757=A737)))</f>
        <v>0</v>
      </c>
      <c r="I737" s="25">
        <f t="array" ref="I737">IFERROR(IF(A737=A736,0,SUM(_xlfn._xlws.FILTER(G737:G757,(A737:A757=A737)*(E737:E757&lt;0)))),0)</f>
        <v>0</v>
      </c>
      <c r="J737" s="25">
        <f t="array" ref="J737">IFERROR(IF(A737=A736,0,SUM(_xlfn._xlws.FILTER(G737:G757,(A737:A757=A737)*(E737:E757&gt;0)))),0)</f>
        <v>0</v>
      </c>
      <c r="K737" s="25">
        <f>IF(H737&lt;&gt;0,SUM(H$2:H737),0)</f>
        <v>0</v>
      </c>
      <c r="L737" s="25">
        <f>IF(I737&lt;&gt;0,SUM(I$2:I737),0)</f>
        <v>0</v>
      </c>
      <c r="M737" s="25">
        <f>IF(J737&lt;&gt;0,SUM(J$2:J737),0)</f>
        <v>0</v>
      </c>
    </row>
    <row r="738" spans="8:13" x14ac:dyDescent="0.2">
      <c r="H738" s="25">
        <f t="array" ref="H738">IF(A738=A737,0,SUM(_xlfn._xlws.FILTER(G738:G758,A738:A758=A738)))</f>
        <v>0</v>
      </c>
      <c r="I738" s="25">
        <f t="array" ref="I738">IFERROR(IF(A738=A737,0,SUM(_xlfn._xlws.FILTER(G738:G758,(A738:A758=A738)*(E738:E758&lt;0)))),0)</f>
        <v>0</v>
      </c>
      <c r="J738" s="25">
        <f t="array" ref="J738">IFERROR(IF(A738=A737,0,SUM(_xlfn._xlws.FILTER(G738:G758,(A738:A758=A738)*(E738:E758&gt;0)))),0)</f>
        <v>0</v>
      </c>
      <c r="K738" s="25">
        <f>IF(H738&lt;&gt;0,SUM(H$2:H738),0)</f>
        <v>0</v>
      </c>
      <c r="L738" s="25">
        <f>IF(I738&lt;&gt;0,SUM(I$2:I738),0)</f>
        <v>0</v>
      </c>
      <c r="M738" s="25">
        <f>IF(J738&lt;&gt;0,SUM(J$2:J738),0)</f>
        <v>0</v>
      </c>
    </row>
    <row r="739" spans="8:13" x14ac:dyDescent="0.2">
      <c r="H739" s="25">
        <f t="array" ref="H739">IF(A739=A738,0,SUM(_xlfn._xlws.FILTER(G739:G759,A739:A759=A739)))</f>
        <v>0</v>
      </c>
      <c r="I739" s="25">
        <f t="array" ref="I739">IFERROR(IF(A739=A738,0,SUM(_xlfn._xlws.FILTER(G739:G759,(A739:A759=A739)*(E739:E759&lt;0)))),0)</f>
        <v>0</v>
      </c>
      <c r="J739" s="25">
        <f t="array" ref="J739">IFERROR(IF(A739=A738,0,SUM(_xlfn._xlws.FILTER(G739:G759,(A739:A759=A739)*(E739:E759&gt;0)))),0)</f>
        <v>0</v>
      </c>
      <c r="K739" s="25">
        <f>IF(H739&lt;&gt;0,SUM(H$2:H739),0)</f>
        <v>0</v>
      </c>
      <c r="L739" s="25">
        <f>IF(I739&lt;&gt;0,SUM(I$2:I739),0)</f>
        <v>0</v>
      </c>
      <c r="M739" s="25">
        <f>IF(J739&lt;&gt;0,SUM(J$2:J739),0)</f>
        <v>0</v>
      </c>
    </row>
    <row r="740" spans="8:13" x14ac:dyDescent="0.2">
      <c r="H740" s="25">
        <f t="array" ref="H740">IF(A740=A739,0,SUM(_xlfn._xlws.FILTER(G740:G760,A740:A760=A740)))</f>
        <v>0</v>
      </c>
      <c r="I740" s="25">
        <f t="array" ref="I740">IFERROR(IF(A740=A739,0,SUM(_xlfn._xlws.FILTER(G740:G760,(A740:A760=A740)*(E740:E760&lt;0)))),0)</f>
        <v>0</v>
      </c>
      <c r="J740" s="25">
        <f t="array" ref="J740">IFERROR(IF(A740=A739,0,SUM(_xlfn._xlws.FILTER(G740:G760,(A740:A760=A740)*(E740:E760&gt;0)))),0)</f>
        <v>0</v>
      </c>
      <c r="K740" s="25">
        <f>IF(H740&lt;&gt;0,SUM(H$2:H740),0)</f>
        <v>0</v>
      </c>
      <c r="L740" s="25">
        <f>IF(I740&lt;&gt;0,SUM(I$2:I740),0)</f>
        <v>0</v>
      </c>
      <c r="M740" s="25">
        <f>IF(J740&lt;&gt;0,SUM(J$2:J740),0)</f>
        <v>0</v>
      </c>
    </row>
    <row r="741" spans="8:13" x14ac:dyDescent="0.2">
      <c r="H741" s="25">
        <f t="array" ref="H741">IF(A741=A740,0,SUM(_xlfn._xlws.FILTER(G741:G761,A741:A761=A741)))</f>
        <v>0</v>
      </c>
      <c r="I741" s="25">
        <f t="array" ref="I741">IFERROR(IF(A741=A740,0,SUM(_xlfn._xlws.FILTER(G741:G761,(A741:A761=A741)*(E741:E761&lt;0)))),0)</f>
        <v>0</v>
      </c>
      <c r="J741" s="25">
        <f t="array" ref="J741">IFERROR(IF(A741=A740,0,SUM(_xlfn._xlws.FILTER(G741:G761,(A741:A761=A741)*(E741:E761&gt;0)))),0)</f>
        <v>0</v>
      </c>
      <c r="K741" s="25">
        <f>IF(H741&lt;&gt;0,SUM(H$2:H741),0)</f>
        <v>0</v>
      </c>
      <c r="L741" s="25">
        <f>IF(I741&lt;&gt;0,SUM(I$2:I741),0)</f>
        <v>0</v>
      </c>
      <c r="M741" s="25">
        <f>IF(J741&lt;&gt;0,SUM(J$2:J741),0)</f>
        <v>0</v>
      </c>
    </row>
    <row r="742" spans="8:13" x14ac:dyDescent="0.2">
      <c r="H742" s="25">
        <f t="array" ref="H742">IF(A742=A741,0,SUM(_xlfn._xlws.FILTER(G742:G762,A742:A762=A742)))</f>
        <v>0</v>
      </c>
      <c r="I742" s="25">
        <f t="array" ref="I742">IFERROR(IF(A742=A741,0,SUM(_xlfn._xlws.FILTER(G742:G762,(A742:A762=A742)*(E742:E762&lt;0)))),0)</f>
        <v>0</v>
      </c>
      <c r="J742" s="25">
        <f t="array" ref="J742">IFERROR(IF(A742=A741,0,SUM(_xlfn._xlws.FILTER(G742:G762,(A742:A762=A742)*(E742:E762&gt;0)))),0)</f>
        <v>0</v>
      </c>
      <c r="K742" s="25">
        <f>IF(H742&lt;&gt;0,SUM(H$2:H742),0)</f>
        <v>0</v>
      </c>
      <c r="L742" s="25">
        <f>IF(I742&lt;&gt;0,SUM(I$2:I742),0)</f>
        <v>0</v>
      </c>
      <c r="M742" s="25">
        <f>IF(J742&lt;&gt;0,SUM(J$2:J742),0)</f>
        <v>0</v>
      </c>
    </row>
    <row r="743" spans="8:13" x14ac:dyDescent="0.2">
      <c r="H743" s="25">
        <f t="array" ref="H743">IF(A743=A742,0,SUM(_xlfn._xlws.FILTER(G743:G763,A743:A763=A743)))</f>
        <v>0</v>
      </c>
      <c r="I743" s="25">
        <f t="array" ref="I743">IFERROR(IF(A743=A742,0,SUM(_xlfn._xlws.FILTER(G743:G763,(A743:A763=A743)*(E743:E763&lt;0)))),0)</f>
        <v>0</v>
      </c>
      <c r="J743" s="25">
        <f t="array" ref="J743">IFERROR(IF(A743=A742,0,SUM(_xlfn._xlws.FILTER(G743:G763,(A743:A763=A743)*(E743:E763&gt;0)))),0)</f>
        <v>0</v>
      </c>
      <c r="K743" s="25">
        <f>IF(H743&lt;&gt;0,SUM(H$2:H743),0)</f>
        <v>0</v>
      </c>
      <c r="L743" s="25">
        <f>IF(I743&lt;&gt;0,SUM(I$2:I743),0)</f>
        <v>0</v>
      </c>
      <c r="M743" s="25">
        <f>IF(J743&lt;&gt;0,SUM(J$2:J743),0)</f>
        <v>0</v>
      </c>
    </row>
    <row r="744" spans="8:13" x14ac:dyDescent="0.2">
      <c r="H744" s="25">
        <f t="array" ref="H744">IF(A744=A743,0,SUM(_xlfn._xlws.FILTER(G744:G764,A744:A764=A744)))</f>
        <v>0</v>
      </c>
      <c r="I744" s="25">
        <f t="array" ref="I744">IFERROR(IF(A744=A743,0,SUM(_xlfn._xlws.FILTER(G744:G764,(A744:A764=A744)*(E744:E764&lt;0)))),0)</f>
        <v>0</v>
      </c>
      <c r="J744" s="25">
        <f t="array" ref="J744">IFERROR(IF(A744=A743,0,SUM(_xlfn._xlws.FILTER(G744:G764,(A744:A764=A744)*(E744:E764&gt;0)))),0)</f>
        <v>0</v>
      </c>
      <c r="K744" s="25">
        <f>IF(H744&lt;&gt;0,SUM(H$2:H744),0)</f>
        <v>0</v>
      </c>
      <c r="L744" s="25">
        <f>IF(I744&lt;&gt;0,SUM(I$2:I744),0)</f>
        <v>0</v>
      </c>
      <c r="M744" s="25">
        <f>IF(J744&lt;&gt;0,SUM(J$2:J744),0)</f>
        <v>0</v>
      </c>
    </row>
    <row r="745" spans="8:13" x14ac:dyDescent="0.2">
      <c r="H745" s="25">
        <f t="array" ref="H745">IF(A745=A744,0,SUM(_xlfn._xlws.FILTER(G745:G765,A745:A765=A745)))</f>
        <v>0</v>
      </c>
      <c r="I745" s="25">
        <f t="array" ref="I745">IFERROR(IF(A745=A744,0,SUM(_xlfn._xlws.FILTER(G745:G765,(A745:A765=A745)*(E745:E765&lt;0)))),0)</f>
        <v>0</v>
      </c>
      <c r="J745" s="25">
        <f t="array" ref="J745">IFERROR(IF(A745=A744,0,SUM(_xlfn._xlws.FILTER(G745:G765,(A745:A765=A745)*(E745:E765&gt;0)))),0)</f>
        <v>0</v>
      </c>
      <c r="K745" s="25">
        <f>IF(H745&lt;&gt;0,SUM(H$2:H745),0)</f>
        <v>0</v>
      </c>
      <c r="L745" s="25">
        <f>IF(I745&lt;&gt;0,SUM(I$2:I745),0)</f>
        <v>0</v>
      </c>
      <c r="M745" s="25">
        <f>IF(J745&lt;&gt;0,SUM(J$2:J745),0)</f>
        <v>0</v>
      </c>
    </row>
    <row r="746" spans="8:13" x14ac:dyDescent="0.2">
      <c r="H746" s="25">
        <f t="array" ref="H746">IF(A746=A745,0,SUM(_xlfn._xlws.FILTER(G746:G766,A746:A766=A746)))</f>
        <v>0</v>
      </c>
      <c r="I746" s="25">
        <f t="array" ref="I746">IFERROR(IF(A746=A745,0,SUM(_xlfn._xlws.FILTER(G746:G766,(A746:A766=A746)*(E746:E766&lt;0)))),0)</f>
        <v>0</v>
      </c>
      <c r="J746" s="25">
        <f t="array" ref="J746">IFERROR(IF(A746=A745,0,SUM(_xlfn._xlws.FILTER(G746:G766,(A746:A766=A746)*(E746:E766&gt;0)))),0)</f>
        <v>0</v>
      </c>
      <c r="K746" s="25">
        <f>IF(H746&lt;&gt;0,SUM(H$2:H746),0)</f>
        <v>0</v>
      </c>
      <c r="L746" s="25">
        <f>IF(I746&lt;&gt;0,SUM(I$2:I746),0)</f>
        <v>0</v>
      </c>
      <c r="M746" s="25">
        <f>IF(J746&lt;&gt;0,SUM(J$2:J746),0)</f>
        <v>0</v>
      </c>
    </row>
    <row r="747" spans="8:13" x14ac:dyDescent="0.2">
      <c r="H747" s="25">
        <f t="array" ref="H747">IF(A747=A746,0,SUM(_xlfn._xlws.FILTER(G747:G767,A747:A767=A747)))</f>
        <v>0</v>
      </c>
      <c r="I747" s="25">
        <f t="array" ref="I747">IFERROR(IF(A747=A746,0,SUM(_xlfn._xlws.FILTER(G747:G767,(A747:A767=A747)*(E747:E767&lt;0)))),0)</f>
        <v>0</v>
      </c>
      <c r="J747" s="25">
        <f t="array" ref="J747">IFERROR(IF(A747=A746,0,SUM(_xlfn._xlws.FILTER(G747:G767,(A747:A767=A747)*(E747:E767&gt;0)))),0)</f>
        <v>0</v>
      </c>
      <c r="K747" s="25">
        <f>IF(H747&lt;&gt;0,SUM(H$2:H747),0)</f>
        <v>0</v>
      </c>
      <c r="L747" s="25">
        <f>IF(I747&lt;&gt;0,SUM(I$2:I747),0)</f>
        <v>0</v>
      </c>
      <c r="M747" s="25">
        <f>IF(J747&lt;&gt;0,SUM(J$2:J747),0)</f>
        <v>0</v>
      </c>
    </row>
    <row r="748" spans="8:13" x14ac:dyDescent="0.2">
      <c r="H748" s="25">
        <f t="array" ref="H748">IF(A748=A747,0,SUM(_xlfn._xlws.FILTER(G748:G768,A748:A768=A748)))</f>
        <v>0</v>
      </c>
      <c r="I748" s="25">
        <f t="array" ref="I748">IFERROR(IF(A748=A747,0,SUM(_xlfn._xlws.FILTER(G748:G768,(A748:A768=A748)*(E748:E768&lt;0)))),0)</f>
        <v>0</v>
      </c>
      <c r="J748" s="25">
        <f t="array" ref="J748">IFERROR(IF(A748=A747,0,SUM(_xlfn._xlws.FILTER(G748:G768,(A748:A768=A748)*(E748:E768&gt;0)))),0)</f>
        <v>0</v>
      </c>
      <c r="K748" s="25">
        <f>IF(H748&lt;&gt;0,SUM(H$2:H748),0)</f>
        <v>0</v>
      </c>
      <c r="L748" s="25">
        <f>IF(I748&lt;&gt;0,SUM(I$2:I748),0)</f>
        <v>0</v>
      </c>
      <c r="M748" s="25">
        <f>IF(J748&lt;&gt;0,SUM(J$2:J748),0)</f>
        <v>0</v>
      </c>
    </row>
    <row r="749" spans="8:13" x14ac:dyDescent="0.2">
      <c r="H749" s="25">
        <f t="array" ref="H749">IF(A749=A748,0,SUM(_xlfn._xlws.FILTER(G749:G769,A749:A769=A749)))</f>
        <v>0</v>
      </c>
      <c r="I749" s="25">
        <f t="array" ref="I749">IFERROR(IF(A749=A748,0,SUM(_xlfn._xlws.FILTER(G749:G769,(A749:A769=A749)*(E749:E769&lt;0)))),0)</f>
        <v>0</v>
      </c>
      <c r="J749" s="25">
        <f t="array" ref="J749">IFERROR(IF(A749=A748,0,SUM(_xlfn._xlws.FILTER(G749:G769,(A749:A769=A749)*(E749:E769&gt;0)))),0)</f>
        <v>0</v>
      </c>
      <c r="K749" s="25">
        <f>IF(H749&lt;&gt;0,SUM(H$2:H749),0)</f>
        <v>0</v>
      </c>
      <c r="L749" s="25">
        <f>IF(I749&lt;&gt;0,SUM(I$2:I749),0)</f>
        <v>0</v>
      </c>
      <c r="M749" s="25">
        <f>IF(J749&lt;&gt;0,SUM(J$2:J749),0)</f>
        <v>0</v>
      </c>
    </row>
    <row r="750" spans="8:13" x14ac:dyDescent="0.2">
      <c r="H750" s="25">
        <f t="array" ref="H750">IF(A750=A749,0,SUM(_xlfn._xlws.FILTER(G750:G770,A750:A770=A750)))</f>
        <v>0</v>
      </c>
      <c r="I750" s="25">
        <f t="array" ref="I750">IFERROR(IF(A750=A749,0,SUM(_xlfn._xlws.FILTER(G750:G770,(A750:A770=A750)*(E750:E770&lt;0)))),0)</f>
        <v>0</v>
      </c>
      <c r="J750" s="25">
        <f t="array" ref="J750">IFERROR(IF(A750=A749,0,SUM(_xlfn._xlws.FILTER(G750:G770,(A750:A770=A750)*(E750:E770&gt;0)))),0)</f>
        <v>0</v>
      </c>
      <c r="K750" s="25">
        <f>IF(H750&lt;&gt;0,SUM(H$2:H750),0)</f>
        <v>0</v>
      </c>
      <c r="L750" s="25">
        <f>IF(I750&lt;&gt;0,SUM(I$2:I750),0)</f>
        <v>0</v>
      </c>
      <c r="M750" s="25">
        <f>IF(J750&lt;&gt;0,SUM(J$2:J750),0)</f>
        <v>0</v>
      </c>
    </row>
    <row r="751" spans="8:13" x14ac:dyDescent="0.2">
      <c r="H751" s="25">
        <f t="array" ref="H751">IF(A751=A750,0,SUM(_xlfn._xlws.FILTER(G751:G771,A751:A771=A751)))</f>
        <v>0</v>
      </c>
      <c r="I751" s="25">
        <f t="array" ref="I751">IFERROR(IF(A751=A750,0,SUM(_xlfn._xlws.FILTER(G751:G771,(A751:A771=A751)*(E751:E771&lt;0)))),0)</f>
        <v>0</v>
      </c>
      <c r="J751" s="25">
        <f t="array" ref="J751">IFERROR(IF(A751=A750,0,SUM(_xlfn._xlws.FILTER(G751:G771,(A751:A771=A751)*(E751:E771&gt;0)))),0)</f>
        <v>0</v>
      </c>
      <c r="K751" s="25">
        <f>IF(H751&lt;&gt;0,SUM(H$2:H751),0)</f>
        <v>0</v>
      </c>
      <c r="L751" s="25">
        <f>IF(I751&lt;&gt;0,SUM(I$2:I751),0)</f>
        <v>0</v>
      </c>
      <c r="M751" s="25">
        <f>IF(J751&lt;&gt;0,SUM(J$2:J751),0)</f>
        <v>0</v>
      </c>
    </row>
    <row r="752" spans="8:13" x14ac:dyDescent="0.2">
      <c r="H752" s="25">
        <f t="array" ref="H752">IF(A752=A751,0,SUM(_xlfn._xlws.FILTER(G752:G772,A752:A772=A752)))</f>
        <v>0</v>
      </c>
      <c r="I752" s="25">
        <f t="array" ref="I752">IFERROR(IF(A752=A751,0,SUM(_xlfn._xlws.FILTER(G752:G772,(A752:A772=A752)*(E752:E772&lt;0)))),0)</f>
        <v>0</v>
      </c>
      <c r="J752" s="25">
        <f t="array" ref="J752">IFERROR(IF(A752=A751,0,SUM(_xlfn._xlws.FILTER(G752:G772,(A752:A772=A752)*(E752:E772&gt;0)))),0)</f>
        <v>0</v>
      </c>
      <c r="K752" s="25">
        <f>IF(H752&lt;&gt;0,SUM(H$2:H752),0)</f>
        <v>0</v>
      </c>
      <c r="L752" s="25">
        <f>IF(I752&lt;&gt;0,SUM(I$2:I752),0)</f>
        <v>0</v>
      </c>
      <c r="M752" s="25">
        <f>IF(J752&lt;&gt;0,SUM(J$2:J752),0)</f>
        <v>0</v>
      </c>
    </row>
    <row r="753" spans="8:13" x14ac:dyDescent="0.2">
      <c r="H753" s="25">
        <f t="array" ref="H753">IF(A753=A752,0,SUM(_xlfn._xlws.FILTER(G753:G773,A753:A773=A753)))</f>
        <v>0</v>
      </c>
      <c r="I753" s="25">
        <f t="array" ref="I753">IFERROR(IF(A753=A752,0,SUM(_xlfn._xlws.FILTER(G753:G773,(A753:A773=A753)*(E753:E773&lt;0)))),0)</f>
        <v>0</v>
      </c>
      <c r="J753" s="25">
        <f t="array" ref="J753">IFERROR(IF(A753=A752,0,SUM(_xlfn._xlws.FILTER(G753:G773,(A753:A773=A753)*(E753:E773&gt;0)))),0)</f>
        <v>0</v>
      </c>
      <c r="K753" s="25">
        <f>IF(H753&lt;&gt;0,SUM(H$2:H753),0)</f>
        <v>0</v>
      </c>
      <c r="L753" s="25">
        <f>IF(I753&lt;&gt;0,SUM(I$2:I753),0)</f>
        <v>0</v>
      </c>
      <c r="M753" s="25">
        <f>IF(J753&lt;&gt;0,SUM(J$2:J753),0)</f>
        <v>0</v>
      </c>
    </row>
    <row r="754" spans="8:13" x14ac:dyDescent="0.2">
      <c r="H754" s="25">
        <f t="array" ref="H754">IF(A754=A753,0,SUM(_xlfn._xlws.FILTER(G754:G774,A754:A774=A754)))</f>
        <v>0</v>
      </c>
      <c r="I754" s="25">
        <f t="array" ref="I754">IFERROR(IF(A754=A753,0,SUM(_xlfn._xlws.FILTER(G754:G774,(A754:A774=A754)*(E754:E774&lt;0)))),0)</f>
        <v>0</v>
      </c>
      <c r="J754" s="25">
        <f t="array" ref="J754">IFERROR(IF(A754=A753,0,SUM(_xlfn._xlws.FILTER(G754:G774,(A754:A774=A754)*(E754:E774&gt;0)))),0)</f>
        <v>0</v>
      </c>
      <c r="K754" s="25">
        <f>IF(H754&lt;&gt;0,SUM(H$2:H754),0)</f>
        <v>0</v>
      </c>
      <c r="L754" s="25">
        <f>IF(I754&lt;&gt;0,SUM(I$2:I754),0)</f>
        <v>0</v>
      </c>
      <c r="M754" s="25">
        <f>IF(J754&lt;&gt;0,SUM(J$2:J754),0)</f>
        <v>0</v>
      </c>
    </row>
    <row r="755" spans="8:13" x14ac:dyDescent="0.2">
      <c r="H755" s="25">
        <f t="array" ref="H755">IF(A755=A754,0,SUM(_xlfn._xlws.FILTER(G755:G775,A755:A775=A755)))</f>
        <v>0</v>
      </c>
      <c r="I755" s="25">
        <f t="array" ref="I755">IFERROR(IF(A755=A754,0,SUM(_xlfn._xlws.FILTER(G755:G775,(A755:A775=A755)*(E755:E775&lt;0)))),0)</f>
        <v>0</v>
      </c>
      <c r="J755" s="25">
        <f t="array" ref="J755">IFERROR(IF(A755=A754,0,SUM(_xlfn._xlws.FILTER(G755:G775,(A755:A775=A755)*(E755:E775&gt;0)))),0)</f>
        <v>0</v>
      </c>
      <c r="K755" s="25">
        <f>IF(H755&lt;&gt;0,SUM(H$2:H755),0)</f>
        <v>0</v>
      </c>
      <c r="L755" s="25">
        <f>IF(I755&lt;&gt;0,SUM(I$2:I755),0)</f>
        <v>0</v>
      </c>
      <c r="M755" s="25">
        <f>IF(J755&lt;&gt;0,SUM(J$2:J755),0)</f>
        <v>0</v>
      </c>
    </row>
    <row r="756" spans="8:13" x14ac:dyDescent="0.2">
      <c r="H756" s="25">
        <f t="array" ref="H756">IF(A756=A755,0,SUM(_xlfn._xlws.FILTER(G756:G776,A756:A776=A756)))</f>
        <v>0</v>
      </c>
      <c r="I756" s="25">
        <f t="array" ref="I756">IFERROR(IF(A756=A755,0,SUM(_xlfn._xlws.FILTER(G756:G776,(A756:A776=A756)*(E756:E776&lt;0)))),0)</f>
        <v>0</v>
      </c>
      <c r="J756" s="25">
        <f t="array" ref="J756">IFERROR(IF(A756=A755,0,SUM(_xlfn._xlws.FILTER(G756:G776,(A756:A776=A756)*(E756:E776&gt;0)))),0)</f>
        <v>0</v>
      </c>
      <c r="K756" s="25">
        <f>IF(H756&lt;&gt;0,SUM(H$2:H756),0)</f>
        <v>0</v>
      </c>
      <c r="L756" s="25">
        <f>IF(I756&lt;&gt;0,SUM(I$2:I756),0)</f>
        <v>0</v>
      </c>
      <c r="M756" s="25">
        <f>IF(J756&lt;&gt;0,SUM(J$2:J756),0)</f>
        <v>0</v>
      </c>
    </row>
    <row r="757" spans="8:13" x14ac:dyDescent="0.2">
      <c r="H757" s="25">
        <f t="array" ref="H757">IF(A757=A756,0,SUM(_xlfn._xlws.FILTER(G757:G777,A757:A777=A757)))</f>
        <v>0</v>
      </c>
      <c r="I757" s="25">
        <f t="array" ref="I757">IFERROR(IF(A757=A756,0,SUM(_xlfn._xlws.FILTER(G757:G777,(A757:A777=A757)*(E757:E777&lt;0)))),0)</f>
        <v>0</v>
      </c>
      <c r="J757" s="25">
        <f t="array" ref="J757">IFERROR(IF(A757=A756,0,SUM(_xlfn._xlws.FILTER(G757:G777,(A757:A777=A757)*(E757:E777&gt;0)))),0)</f>
        <v>0</v>
      </c>
      <c r="K757" s="25">
        <f>IF(H757&lt;&gt;0,SUM(H$2:H757),0)</f>
        <v>0</v>
      </c>
      <c r="L757" s="25">
        <f>IF(I757&lt;&gt;0,SUM(I$2:I757),0)</f>
        <v>0</v>
      </c>
      <c r="M757" s="25">
        <f>IF(J757&lt;&gt;0,SUM(J$2:J757),0)</f>
        <v>0</v>
      </c>
    </row>
    <row r="758" spans="8:13" x14ac:dyDescent="0.2">
      <c r="H758" s="25">
        <f t="array" ref="H758">IF(A758=A757,0,SUM(_xlfn._xlws.FILTER(G758:G778,A758:A778=A758)))</f>
        <v>0</v>
      </c>
      <c r="I758" s="25">
        <f t="array" ref="I758">IFERROR(IF(A758=A757,0,SUM(_xlfn._xlws.FILTER(G758:G778,(A758:A778=A758)*(E758:E778&lt;0)))),0)</f>
        <v>0</v>
      </c>
      <c r="J758" s="25">
        <f t="array" ref="J758">IFERROR(IF(A758=A757,0,SUM(_xlfn._xlws.FILTER(G758:G778,(A758:A778=A758)*(E758:E778&gt;0)))),0)</f>
        <v>0</v>
      </c>
      <c r="K758" s="25">
        <f>IF(H758&lt;&gt;0,SUM(H$2:H758),0)</f>
        <v>0</v>
      </c>
      <c r="L758" s="25">
        <f>IF(I758&lt;&gt;0,SUM(I$2:I758),0)</f>
        <v>0</v>
      </c>
      <c r="M758" s="25">
        <f>IF(J758&lt;&gt;0,SUM(J$2:J758),0)</f>
        <v>0</v>
      </c>
    </row>
    <row r="759" spans="8:13" x14ac:dyDescent="0.2">
      <c r="H759" s="25">
        <f t="array" ref="H759">IF(A759=A758,0,SUM(_xlfn._xlws.FILTER(G759:G779,A759:A779=A759)))</f>
        <v>0</v>
      </c>
      <c r="I759" s="25">
        <f t="array" ref="I759">IFERROR(IF(A759=A758,0,SUM(_xlfn._xlws.FILTER(G759:G779,(A759:A779=A759)*(E759:E779&lt;0)))),0)</f>
        <v>0</v>
      </c>
      <c r="J759" s="25">
        <f t="array" ref="J759">IFERROR(IF(A759=A758,0,SUM(_xlfn._xlws.FILTER(G759:G779,(A759:A779=A759)*(E759:E779&gt;0)))),0)</f>
        <v>0</v>
      </c>
      <c r="K759" s="25">
        <f>IF(H759&lt;&gt;0,SUM(H$2:H759),0)</f>
        <v>0</v>
      </c>
      <c r="L759" s="25">
        <f>IF(I759&lt;&gt;0,SUM(I$2:I759),0)</f>
        <v>0</v>
      </c>
      <c r="M759" s="25">
        <f>IF(J759&lt;&gt;0,SUM(J$2:J759),0)</f>
        <v>0</v>
      </c>
    </row>
    <row r="760" spans="8:13" x14ac:dyDescent="0.2">
      <c r="H760" s="25">
        <f t="array" ref="H760">IF(A760=A759,0,SUM(_xlfn._xlws.FILTER(G760:G780,A760:A780=A760)))</f>
        <v>0</v>
      </c>
      <c r="I760" s="25">
        <f t="array" ref="I760">IFERROR(IF(A760=A759,0,SUM(_xlfn._xlws.FILTER(G760:G780,(A760:A780=A760)*(E760:E780&lt;0)))),0)</f>
        <v>0</v>
      </c>
      <c r="J760" s="25">
        <f t="array" ref="J760">IFERROR(IF(A760=A759,0,SUM(_xlfn._xlws.FILTER(G760:G780,(A760:A780=A760)*(E760:E780&gt;0)))),0)</f>
        <v>0</v>
      </c>
      <c r="K760" s="25">
        <f>IF(H760&lt;&gt;0,SUM(H$2:H760),0)</f>
        <v>0</v>
      </c>
      <c r="L760" s="25">
        <f>IF(I760&lt;&gt;0,SUM(I$2:I760),0)</f>
        <v>0</v>
      </c>
      <c r="M760" s="25">
        <f>IF(J760&lt;&gt;0,SUM(J$2:J760),0)</f>
        <v>0</v>
      </c>
    </row>
    <row r="761" spans="8:13" x14ac:dyDescent="0.2">
      <c r="H761" s="25">
        <f t="array" ref="H761">IF(A761=A760,0,SUM(_xlfn._xlws.FILTER(G761:G781,A761:A781=A761)))</f>
        <v>0</v>
      </c>
      <c r="I761" s="25">
        <f t="array" ref="I761">IFERROR(IF(A761=A760,0,SUM(_xlfn._xlws.FILTER(G761:G781,(A761:A781=A761)*(E761:E781&lt;0)))),0)</f>
        <v>0</v>
      </c>
      <c r="J761" s="25">
        <f t="array" ref="J761">IFERROR(IF(A761=A760,0,SUM(_xlfn._xlws.FILTER(G761:G781,(A761:A781=A761)*(E761:E781&gt;0)))),0)</f>
        <v>0</v>
      </c>
      <c r="K761" s="25">
        <f>IF(H761&lt;&gt;0,SUM(H$2:H761),0)</f>
        <v>0</v>
      </c>
      <c r="L761" s="25">
        <f>IF(I761&lt;&gt;0,SUM(I$2:I761),0)</f>
        <v>0</v>
      </c>
      <c r="M761" s="25">
        <f>IF(J761&lt;&gt;0,SUM(J$2:J761),0)</f>
        <v>0</v>
      </c>
    </row>
    <row r="762" spans="8:13" x14ac:dyDescent="0.2">
      <c r="H762" s="25">
        <f t="array" ref="H762">IF(A762=A761,0,SUM(_xlfn._xlws.FILTER(G762:G782,A762:A782=A762)))</f>
        <v>0</v>
      </c>
      <c r="I762" s="25">
        <f t="array" ref="I762">IFERROR(IF(A762=A761,0,SUM(_xlfn._xlws.FILTER(G762:G782,(A762:A782=A762)*(E762:E782&lt;0)))),0)</f>
        <v>0</v>
      </c>
      <c r="J762" s="25">
        <f t="array" ref="J762">IFERROR(IF(A762=A761,0,SUM(_xlfn._xlws.FILTER(G762:G782,(A762:A782=A762)*(E762:E782&gt;0)))),0)</f>
        <v>0</v>
      </c>
      <c r="K762" s="25">
        <f>IF(H762&lt;&gt;0,SUM(H$2:H762),0)</f>
        <v>0</v>
      </c>
      <c r="L762" s="25">
        <f>IF(I762&lt;&gt;0,SUM(I$2:I762),0)</f>
        <v>0</v>
      </c>
      <c r="M762" s="25">
        <f>IF(J762&lt;&gt;0,SUM(J$2:J762),0)</f>
        <v>0</v>
      </c>
    </row>
    <row r="763" spans="8:13" x14ac:dyDescent="0.2">
      <c r="H763" s="25">
        <f t="array" ref="H763">IF(A763=A762,0,SUM(_xlfn._xlws.FILTER(G763:G783,A763:A783=A763)))</f>
        <v>0</v>
      </c>
      <c r="I763" s="25">
        <f t="array" ref="I763">IFERROR(IF(A763=A762,0,SUM(_xlfn._xlws.FILTER(G763:G783,(A763:A783=A763)*(E763:E783&lt;0)))),0)</f>
        <v>0</v>
      </c>
      <c r="J763" s="25">
        <f t="array" ref="J763">IFERROR(IF(A763=A762,0,SUM(_xlfn._xlws.FILTER(G763:G783,(A763:A783=A763)*(E763:E783&gt;0)))),0)</f>
        <v>0</v>
      </c>
      <c r="K763" s="25">
        <f>IF(H763&lt;&gt;0,SUM(H$2:H763),0)</f>
        <v>0</v>
      </c>
      <c r="L763" s="25">
        <f>IF(I763&lt;&gt;0,SUM(I$2:I763),0)</f>
        <v>0</v>
      </c>
      <c r="M763" s="25">
        <f>IF(J763&lt;&gt;0,SUM(J$2:J763),0)</f>
        <v>0</v>
      </c>
    </row>
    <row r="764" spans="8:13" x14ac:dyDescent="0.2">
      <c r="H764" s="25">
        <f t="array" ref="H764">IF(A764=A763,0,SUM(_xlfn._xlws.FILTER(G764:G784,A764:A784=A764)))</f>
        <v>0</v>
      </c>
      <c r="I764" s="25">
        <f t="array" ref="I764">IFERROR(IF(A764=A763,0,SUM(_xlfn._xlws.FILTER(G764:G784,(A764:A784=A764)*(E764:E784&lt;0)))),0)</f>
        <v>0</v>
      </c>
      <c r="J764" s="25">
        <f t="array" ref="J764">IFERROR(IF(A764=A763,0,SUM(_xlfn._xlws.FILTER(G764:G784,(A764:A784=A764)*(E764:E784&gt;0)))),0)</f>
        <v>0</v>
      </c>
      <c r="K764" s="25">
        <f>IF(H764&lt;&gt;0,SUM(H$2:H764),0)</f>
        <v>0</v>
      </c>
      <c r="L764" s="25">
        <f>IF(I764&lt;&gt;0,SUM(I$2:I764),0)</f>
        <v>0</v>
      </c>
      <c r="M764" s="25">
        <f>IF(J764&lt;&gt;0,SUM(J$2:J764),0)</f>
        <v>0</v>
      </c>
    </row>
    <row r="765" spans="8:13" x14ac:dyDescent="0.2">
      <c r="H765" s="25">
        <f t="array" ref="H765">IF(A765=A764,0,SUM(_xlfn._xlws.FILTER(G765:G785,A765:A785=A765)))</f>
        <v>0</v>
      </c>
      <c r="I765" s="25">
        <f t="array" ref="I765">IFERROR(IF(A765=A764,0,SUM(_xlfn._xlws.FILTER(G765:G785,(A765:A785=A765)*(E765:E785&lt;0)))),0)</f>
        <v>0</v>
      </c>
      <c r="J765" s="25">
        <f t="array" ref="J765">IFERROR(IF(A765=A764,0,SUM(_xlfn._xlws.FILTER(G765:G785,(A765:A785=A765)*(E765:E785&gt;0)))),0)</f>
        <v>0</v>
      </c>
      <c r="K765" s="25">
        <f>IF(H765&lt;&gt;0,SUM(H$2:H765),0)</f>
        <v>0</v>
      </c>
      <c r="L765" s="25">
        <f>IF(I765&lt;&gt;0,SUM(I$2:I765),0)</f>
        <v>0</v>
      </c>
      <c r="M765" s="25">
        <f>IF(J765&lt;&gt;0,SUM(J$2:J765),0)</f>
        <v>0</v>
      </c>
    </row>
    <row r="766" spans="8:13" x14ac:dyDescent="0.2">
      <c r="H766" s="25">
        <f t="array" ref="H766">IF(A766=A765,0,SUM(_xlfn._xlws.FILTER(G766:G786,A766:A786=A766)))</f>
        <v>0</v>
      </c>
      <c r="I766" s="25">
        <f t="array" ref="I766">IFERROR(IF(A766=A765,0,SUM(_xlfn._xlws.FILTER(G766:G786,(A766:A786=A766)*(E766:E786&lt;0)))),0)</f>
        <v>0</v>
      </c>
      <c r="J766" s="25">
        <f t="array" ref="J766">IFERROR(IF(A766=A765,0,SUM(_xlfn._xlws.FILTER(G766:G786,(A766:A786=A766)*(E766:E786&gt;0)))),0)</f>
        <v>0</v>
      </c>
      <c r="K766" s="25">
        <f>IF(H766&lt;&gt;0,SUM(H$2:H766),0)</f>
        <v>0</v>
      </c>
      <c r="L766" s="25">
        <f>IF(I766&lt;&gt;0,SUM(I$2:I766),0)</f>
        <v>0</v>
      </c>
      <c r="M766" s="25">
        <f>IF(J766&lt;&gt;0,SUM(J$2:J766),0)</f>
        <v>0</v>
      </c>
    </row>
    <row r="767" spans="8:13" x14ac:dyDescent="0.2">
      <c r="H767" s="25">
        <f t="array" ref="H767">IF(A767=A766,0,SUM(_xlfn._xlws.FILTER(G767:G787,A767:A787=A767)))</f>
        <v>0</v>
      </c>
      <c r="I767" s="25">
        <f t="array" ref="I767">IFERROR(IF(A767=A766,0,SUM(_xlfn._xlws.FILTER(G767:G787,(A767:A787=A767)*(E767:E787&lt;0)))),0)</f>
        <v>0</v>
      </c>
      <c r="J767" s="25">
        <f t="array" ref="J767">IFERROR(IF(A767=A766,0,SUM(_xlfn._xlws.FILTER(G767:G787,(A767:A787=A767)*(E767:E787&gt;0)))),0)</f>
        <v>0</v>
      </c>
      <c r="K767" s="25">
        <f>IF(H767&lt;&gt;0,SUM(H$2:H767),0)</f>
        <v>0</v>
      </c>
      <c r="L767" s="25">
        <f>IF(I767&lt;&gt;0,SUM(I$2:I767),0)</f>
        <v>0</v>
      </c>
      <c r="M767" s="25">
        <f>IF(J767&lt;&gt;0,SUM(J$2:J767),0)</f>
        <v>0</v>
      </c>
    </row>
    <row r="768" spans="8:13" x14ac:dyDescent="0.2">
      <c r="H768" s="25">
        <f t="array" ref="H768">IF(A768=A767,0,SUM(_xlfn._xlws.FILTER(G768:G788,A768:A788=A768)))</f>
        <v>0</v>
      </c>
      <c r="I768" s="25">
        <f t="array" ref="I768">IFERROR(IF(A768=A767,0,SUM(_xlfn._xlws.FILTER(G768:G788,(A768:A788=A768)*(E768:E788&lt;0)))),0)</f>
        <v>0</v>
      </c>
      <c r="J768" s="25">
        <f t="array" ref="J768">IFERROR(IF(A768=A767,0,SUM(_xlfn._xlws.FILTER(G768:G788,(A768:A788=A768)*(E768:E788&gt;0)))),0)</f>
        <v>0</v>
      </c>
      <c r="K768" s="25">
        <f>IF(H768&lt;&gt;0,SUM(H$2:H768),0)</f>
        <v>0</v>
      </c>
      <c r="L768" s="25">
        <f>IF(I768&lt;&gt;0,SUM(I$2:I768),0)</f>
        <v>0</v>
      </c>
      <c r="M768" s="25">
        <f>IF(J768&lt;&gt;0,SUM(J$2:J768),0)</f>
        <v>0</v>
      </c>
    </row>
    <row r="769" spans="8:13" x14ac:dyDescent="0.2">
      <c r="H769" s="25">
        <f t="array" ref="H769">IF(A769=A768,0,SUM(_xlfn._xlws.FILTER(G769:G789,A769:A789=A769)))</f>
        <v>0</v>
      </c>
      <c r="I769" s="25">
        <f t="array" ref="I769">IFERROR(IF(A769=A768,0,SUM(_xlfn._xlws.FILTER(G769:G789,(A769:A789=A769)*(E769:E789&lt;0)))),0)</f>
        <v>0</v>
      </c>
      <c r="J769" s="25">
        <f t="array" ref="J769">IFERROR(IF(A769=A768,0,SUM(_xlfn._xlws.FILTER(G769:G789,(A769:A789=A769)*(E769:E789&gt;0)))),0)</f>
        <v>0</v>
      </c>
      <c r="K769" s="25">
        <f>IF(H769&lt;&gt;0,SUM(H$2:H769),0)</f>
        <v>0</v>
      </c>
      <c r="L769" s="25">
        <f>IF(I769&lt;&gt;0,SUM(I$2:I769),0)</f>
        <v>0</v>
      </c>
      <c r="M769" s="25">
        <f>IF(J769&lt;&gt;0,SUM(J$2:J769),0)</f>
        <v>0</v>
      </c>
    </row>
    <row r="770" spans="8:13" x14ac:dyDescent="0.2">
      <c r="H770" s="25">
        <f t="array" ref="H770">IF(A770=A769,0,SUM(_xlfn._xlws.FILTER(G770:G790,A770:A790=A770)))</f>
        <v>0</v>
      </c>
      <c r="I770" s="25">
        <f t="array" ref="I770">IFERROR(IF(A770=A769,0,SUM(_xlfn._xlws.FILTER(G770:G790,(A770:A790=A770)*(E770:E790&lt;0)))),0)</f>
        <v>0</v>
      </c>
      <c r="J770" s="25">
        <f t="array" ref="J770">IFERROR(IF(A770=A769,0,SUM(_xlfn._xlws.FILTER(G770:G790,(A770:A790=A770)*(E770:E790&gt;0)))),0)</f>
        <v>0</v>
      </c>
      <c r="K770" s="25">
        <f>IF(H770&lt;&gt;0,SUM(H$2:H770),0)</f>
        <v>0</v>
      </c>
      <c r="L770" s="25">
        <f>IF(I770&lt;&gt;0,SUM(I$2:I770),0)</f>
        <v>0</v>
      </c>
      <c r="M770" s="25">
        <f>IF(J770&lt;&gt;0,SUM(J$2:J770),0)</f>
        <v>0</v>
      </c>
    </row>
    <row r="771" spans="8:13" x14ac:dyDescent="0.2">
      <c r="H771" s="25">
        <f t="array" ref="H771">IF(A771=A770,0,SUM(_xlfn._xlws.FILTER(G771:G791,A771:A791=A771)))</f>
        <v>0</v>
      </c>
      <c r="I771" s="25">
        <f t="array" ref="I771">IFERROR(IF(A771=A770,0,SUM(_xlfn._xlws.FILTER(G771:G791,(A771:A791=A771)*(E771:E791&lt;0)))),0)</f>
        <v>0</v>
      </c>
      <c r="J771" s="25">
        <f t="array" ref="J771">IFERROR(IF(A771=A770,0,SUM(_xlfn._xlws.FILTER(G771:G791,(A771:A791=A771)*(E771:E791&gt;0)))),0)</f>
        <v>0</v>
      </c>
      <c r="K771" s="25">
        <f>IF(H771&lt;&gt;0,SUM(H$2:H771),0)</f>
        <v>0</v>
      </c>
      <c r="L771" s="25">
        <f>IF(I771&lt;&gt;0,SUM(I$2:I771),0)</f>
        <v>0</v>
      </c>
      <c r="M771" s="25">
        <f>IF(J771&lt;&gt;0,SUM(J$2:J771),0)</f>
        <v>0</v>
      </c>
    </row>
    <row r="772" spans="8:13" x14ac:dyDescent="0.2">
      <c r="H772" s="25">
        <f t="array" ref="H772">IF(A772=A771,0,SUM(_xlfn._xlws.FILTER(G772:G792,A772:A792=A772)))</f>
        <v>0</v>
      </c>
      <c r="I772" s="25">
        <f t="array" ref="I772">IFERROR(IF(A772=A771,0,SUM(_xlfn._xlws.FILTER(G772:G792,(A772:A792=A772)*(E772:E792&lt;0)))),0)</f>
        <v>0</v>
      </c>
      <c r="J772" s="25">
        <f t="array" ref="J772">IFERROR(IF(A772=A771,0,SUM(_xlfn._xlws.FILTER(G772:G792,(A772:A792=A772)*(E772:E792&gt;0)))),0)</f>
        <v>0</v>
      </c>
      <c r="K772" s="25">
        <f>IF(H772&lt;&gt;0,SUM(H$2:H772),0)</f>
        <v>0</v>
      </c>
      <c r="L772" s="25">
        <f>IF(I772&lt;&gt;0,SUM(I$2:I772),0)</f>
        <v>0</v>
      </c>
      <c r="M772" s="25">
        <f>IF(J772&lt;&gt;0,SUM(J$2:J772),0)</f>
        <v>0</v>
      </c>
    </row>
    <row r="773" spans="8:13" x14ac:dyDescent="0.2">
      <c r="H773" s="25">
        <f t="array" ref="H773">IF(A773=A772,0,SUM(_xlfn._xlws.FILTER(G773:G793,A773:A793=A773)))</f>
        <v>0</v>
      </c>
      <c r="I773" s="25">
        <f t="array" ref="I773">IFERROR(IF(A773=A772,0,SUM(_xlfn._xlws.FILTER(G773:G793,(A773:A793=A773)*(E773:E793&lt;0)))),0)</f>
        <v>0</v>
      </c>
      <c r="J773" s="25">
        <f t="array" ref="J773">IFERROR(IF(A773=A772,0,SUM(_xlfn._xlws.FILTER(G773:G793,(A773:A793=A773)*(E773:E793&gt;0)))),0)</f>
        <v>0</v>
      </c>
      <c r="K773" s="25">
        <f>IF(H773&lt;&gt;0,SUM(H$2:H773),0)</f>
        <v>0</v>
      </c>
      <c r="L773" s="25">
        <f>IF(I773&lt;&gt;0,SUM(I$2:I773),0)</f>
        <v>0</v>
      </c>
      <c r="M773" s="25">
        <f>IF(J773&lt;&gt;0,SUM(J$2:J773),0)</f>
        <v>0</v>
      </c>
    </row>
    <row r="774" spans="8:13" x14ac:dyDescent="0.2">
      <c r="H774" s="25">
        <f t="array" ref="H774">IF(A774=A773,0,SUM(_xlfn._xlws.FILTER(G774:G794,A774:A794=A774)))</f>
        <v>0</v>
      </c>
      <c r="I774" s="25">
        <f t="array" ref="I774">IFERROR(IF(A774=A773,0,SUM(_xlfn._xlws.FILTER(G774:G794,(A774:A794=A774)*(E774:E794&lt;0)))),0)</f>
        <v>0</v>
      </c>
      <c r="J774" s="25">
        <f t="array" ref="J774">IFERROR(IF(A774=A773,0,SUM(_xlfn._xlws.FILTER(G774:G794,(A774:A794=A774)*(E774:E794&gt;0)))),0)</f>
        <v>0</v>
      </c>
      <c r="K774" s="25">
        <f>IF(H774&lt;&gt;0,SUM(H$2:H774),0)</f>
        <v>0</v>
      </c>
      <c r="L774" s="25">
        <f>IF(I774&lt;&gt;0,SUM(I$2:I774),0)</f>
        <v>0</v>
      </c>
      <c r="M774" s="25">
        <f>IF(J774&lt;&gt;0,SUM(J$2:J774),0)</f>
        <v>0</v>
      </c>
    </row>
    <row r="775" spans="8:13" x14ac:dyDescent="0.2">
      <c r="H775" s="25">
        <f t="array" ref="H775">IF(A775=A774,0,SUM(_xlfn._xlws.FILTER(G775:G795,A775:A795=A775)))</f>
        <v>0</v>
      </c>
      <c r="I775" s="25">
        <f t="array" ref="I775">IFERROR(IF(A775=A774,0,SUM(_xlfn._xlws.FILTER(G775:G795,(A775:A795=A775)*(E775:E795&lt;0)))),0)</f>
        <v>0</v>
      </c>
      <c r="J775" s="25">
        <f t="array" ref="J775">IFERROR(IF(A775=A774,0,SUM(_xlfn._xlws.FILTER(G775:G795,(A775:A795=A775)*(E775:E795&gt;0)))),0)</f>
        <v>0</v>
      </c>
      <c r="K775" s="25">
        <f>IF(H775&lt;&gt;0,SUM(H$2:H775),0)</f>
        <v>0</v>
      </c>
      <c r="L775" s="25">
        <f>IF(I775&lt;&gt;0,SUM(I$2:I775),0)</f>
        <v>0</v>
      </c>
      <c r="M775" s="25">
        <f>IF(J775&lt;&gt;0,SUM(J$2:J775),0)</f>
        <v>0</v>
      </c>
    </row>
    <row r="776" spans="8:13" x14ac:dyDescent="0.2">
      <c r="H776" s="25">
        <f t="array" ref="H776">IF(A776=A775,0,SUM(_xlfn._xlws.FILTER(G776:G796,A776:A796=A776)))</f>
        <v>0</v>
      </c>
      <c r="I776" s="25">
        <f t="array" ref="I776">IFERROR(IF(A776=A775,0,SUM(_xlfn._xlws.FILTER(G776:G796,(A776:A796=A776)*(E776:E796&lt;0)))),0)</f>
        <v>0</v>
      </c>
      <c r="J776" s="25">
        <f t="array" ref="J776">IFERROR(IF(A776=A775,0,SUM(_xlfn._xlws.FILTER(G776:G796,(A776:A796=A776)*(E776:E796&gt;0)))),0)</f>
        <v>0</v>
      </c>
      <c r="K776" s="25">
        <f>IF(H776&lt;&gt;0,SUM(H$2:H776),0)</f>
        <v>0</v>
      </c>
      <c r="L776" s="25">
        <f>IF(I776&lt;&gt;0,SUM(I$2:I776),0)</f>
        <v>0</v>
      </c>
      <c r="M776" s="25">
        <f>IF(J776&lt;&gt;0,SUM(J$2:J776),0)</f>
        <v>0</v>
      </c>
    </row>
    <row r="777" spans="8:13" x14ac:dyDescent="0.2">
      <c r="H777" s="25">
        <f t="array" ref="H777">IF(A777=A776,0,SUM(_xlfn._xlws.FILTER(G777:G797,A777:A797=A777)))</f>
        <v>0</v>
      </c>
      <c r="I777" s="25">
        <f t="array" ref="I777">IFERROR(IF(A777=A776,0,SUM(_xlfn._xlws.FILTER(G777:G797,(A777:A797=A777)*(E777:E797&lt;0)))),0)</f>
        <v>0</v>
      </c>
      <c r="J777" s="25">
        <f t="array" ref="J777">IFERROR(IF(A777=A776,0,SUM(_xlfn._xlws.FILTER(G777:G797,(A777:A797=A777)*(E777:E797&gt;0)))),0)</f>
        <v>0</v>
      </c>
      <c r="K777" s="25">
        <f>IF(H777&lt;&gt;0,SUM(H$2:H777),0)</f>
        <v>0</v>
      </c>
      <c r="L777" s="25">
        <f>IF(I777&lt;&gt;0,SUM(I$2:I777),0)</f>
        <v>0</v>
      </c>
      <c r="M777" s="25">
        <f>IF(J777&lt;&gt;0,SUM(J$2:J777),0)</f>
        <v>0</v>
      </c>
    </row>
    <row r="778" spans="8:13" x14ac:dyDescent="0.2">
      <c r="H778" s="25">
        <f t="array" ref="H778">IF(A778=A777,0,SUM(_xlfn._xlws.FILTER(G778:G798,A778:A798=A778)))</f>
        <v>0</v>
      </c>
      <c r="I778" s="25">
        <f t="array" ref="I778">IFERROR(IF(A778=A777,0,SUM(_xlfn._xlws.FILTER(G778:G798,(A778:A798=A778)*(E778:E798&lt;0)))),0)</f>
        <v>0</v>
      </c>
      <c r="J778" s="25">
        <f t="array" ref="J778">IFERROR(IF(A778=A777,0,SUM(_xlfn._xlws.FILTER(G778:G798,(A778:A798=A778)*(E778:E798&gt;0)))),0)</f>
        <v>0</v>
      </c>
      <c r="K778" s="25">
        <f>IF(H778&lt;&gt;0,SUM(H$2:H778),0)</f>
        <v>0</v>
      </c>
      <c r="L778" s="25">
        <f>IF(I778&lt;&gt;0,SUM(I$2:I778),0)</f>
        <v>0</v>
      </c>
      <c r="M778" s="25">
        <f>IF(J778&lt;&gt;0,SUM(J$2:J778),0)</f>
        <v>0</v>
      </c>
    </row>
    <row r="779" spans="8:13" x14ac:dyDescent="0.2">
      <c r="H779" s="25">
        <f t="array" ref="H779">IF(A779=A778,0,SUM(_xlfn._xlws.FILTER(G779:G799,A779:A799=A779)))</f>
        <v>0</v>
      </c>
      <c r="I779" s="25">
        <f t="array" ref="I779">IFERROR(IF(A779=A778,0,SUM(_xlfn._xlws.FILTER(G779:G799,(A779:A799=A779)*(E779:E799&lt;0)))),0)</f>
        <v>0</v>
      </c>
      <c r="J779" s="25">
        <f t="array" ref="J779">IFERROR(IF(A779=A778,0,SUM(_xlfn._xlws.FILTER(G779:G799,(A779:A799=A779)*(E779:E799&gt;0)))),0)</f>
        <v>0</v>
      </c>
      <c r="K779" s="25">
        <f>IF(H779&lt;&gt;0,SUM(H$2:H779),0)</f>
        <v>0</v>
      </c>
      <c r="L779" s="25">
        <f>IF(I779&lt;&gt;0,SUM(I$2:I779),0)</f>
        <v>0</v>
      </c>
      <c r="M779" s="25">
        <f>IF(J779&lt;&gt;0,SUM(J$2:J779),0)</f>
        <v>0</v>
      </c>
    </row>
    <row r="780" spans="8:13" x14ac:dyDescent="0.2">
      <c r="H780" s="25">
        <f t="array" ref="H780">IF(A780=A779,0,SUM(_xlfn._xlws.FILTER(G780:G800,A780:A800=A780)))</f>
        <v>0</v>
      </c>
      <c r="I780" s="25">
        <f t="array" ref="I780">IFERROR(IF(A780=A779,0,SUM(_xlfn._xlws.FILTER(G780:G800,(A780:A800=A780)*(E780:E800&lt;0)))),0)</f>
        <v>0</v>
      </c>
      <c r="J780" s="25">
        <f t="array" ref="J780">IFERROR(IF(A780=A779,0,SUM(_xlfn._xlws.FILTER(G780:G800,(A780:A800=A780)*(E780:E800&gt;0)))),0)</f>
        <v>0</v>
      </c>
      <c r="K780" s="25">
        <f>IF(H780&lt;&gt;0,SUM(H$2:H780),0)</f>
        <v>0</v>
      </c>
      <c r="L780" s="25">
        <f>IF(I780&lt;&gt;0,SUM(I$2:I780),0)</f>
        <v>0</v>
      </c>
      <c r="M780" s="25">
        <f>IF(J780&lt;&gt;0,SUM(J$2:J780),0)</f>
        <v>0</v>
      </c>
    </row>
    <row r="781" spans="8:13" x14ac:dyDescent="0.2">
      <c r="H781" s="25">
        <f t="array" ref="H781">IF(A781=A780,0,SUM(_xlfn._xlws.FILTER(G781:G801,A781:A801=A781)))</f>
        <v>0</v>
      </c>
      <c r="I781" s="25">
        <f t="array" ref="I781">IFERROR(IF(A781=A780,0,SUM(_xlfn._xlws.FILTER(G781:G801,(A781:A801=A781)*(E781:E801&lt;0)))),0)</f>
        <v>0</v>
      </c>
      <c r="J781" s="25">
        <f t="array" ref="J781">IFERROR(IF(A781=A780,0,SUM(_xlfn._xlws.FILTER(G781:G801,(A781:A801=A781)*(E781:E801&gt;0)))),0)</f>
        <v>0</v>
      </c>
      <c r="K781" s="25">
        <f>IF(H781&lt;&gt;0,SUM(H$2:H781),0)</f>
        <v>0</v>
      </c>
      <c r="L781" s="25">
        <f>IF(I781&lt;&gt;0,SUM(I$2:I781),0)</f>
        <v>0</v>
      </c>
      <c r="M781" s="25">
        <f>IF(J781&lt;&gt;0,SUM(J$2:J781),0)</f>
        <v>0</v>
      </c>
    </row>
    <row r="782" spans="8:13" x14ac:dyDescent="0.2">
      <c r="H782" s="25">
        <f t="array" ref="H782">IF(A782=A781,0,SUM(_xlfn._xlws.FILTER(G782:G802,A782:A802=A782)))</f>
        <v>0</v>
      </c>
      <c r="I782" s="25">
        <f t="array" ref="I782">IFERROR(IF(A782=A781,0,SUM(_xlfn._xlws.FILTER(G782:G802,(A782:A802=A782)*(E782:E802&lt;0)))),0)</f>
        <v>0</v>
      </c>
      <c r="J782" s="25">
        <f t="array" ref="J782">IFERROR(IF(A782=A781,0,SUM(_xlfn._xlws.FILTER(G782:G802,(A782:A802=A782)*(E782:E802&gt;0)))),0)</f>
        <v>0</v>
      </c>
      <c r="K782" s="25">
        <f>IF(H782&lt;&gt;0,SUM(H$2:H782),0)</f>
        <v>0</v>
      </c>
      <c r="L782" s="25">
        <f>IF(I782&lt;&gt;0,SUM(I$2:I782),0)</f>
        <v>0</v>
      </c>
      <c r="M782" s="25">
        <f>IF(J782&lt;&gt;0,SUM(J$2:J782),0)</f>
        <v>0</v>
      </c>
    </row>
    <row r="783" spans="8:13" x14ac:dyDescent="0.2">
      <c r="H783" s="25">
        <f t="array" ref="H783">IF(A783=A782,0,SUM(_xlfn._xlws.FILTER(G783:G803,A783:A803=A783)))</f>
        <v>0</v>
      </c>
      <c r="I783" s="25">
        <f t="array" ref="I783">IFERROR(IF(A783=A782,0,SUM(_xlfn._xlws.FILTER(G783:G803,(A783:A803=A783)*(E783:E803&lt;0)))),0)</f>
        <v>0</v>
      </c>
      <c r="J783" s="25">
        <f t="array" ref="J783">IFERROR(IF(A783=A782,0,SUM(_xlfn._xlws.FILTER(G783:G803,(A783:A803=A783)*(E783:E803&gt;0)))),0)</f>
        <v>0</v>
      </c>
      <c r="K783" s="25">
        <f>IF(H783&lt;&gt;0,SUM(H$2:H783),0)</f>
        <v>0</v>
      </c>
      <c r="L783" s="25">
        <f>IF(I783&lt;&gt;0,SUM(I$2:I783),0)</f>
        <v>0</v>
      </c>
      <c r="M783" s="25">
        <f>IF(J783&lt;&gt;0,SUM(J$2:J783),0)</f>
        <v>0</v>
      </c>
    </row>
    <row r="784" spans="8:13" x14ac:dyDescent="0.2">
      <c r="H784" s="25">
        <f t="array" ref="H784">IF(A784=A783,0,SUM(_xlfn._xlws.FILTER(G784:G804,A784:A804=A784)))</f>
        <v>0</v>
      </c>
      <c r="I784" s="25">
        <f t="array" ref="I784">IFERROR(IF(A784=A783,0,SUM(_xlfn._xlws.FILTER(G784:G804,(A784:A804=A784)*(E784:E804&lt;0)))),0)</f>
        <v>0</v>
      </c>
      <c r="J784" s="25">
        <f t="array" ref="J784">IFERROR(IF(A784=A783,0,SUM(_xlfn._xlws.FILTER(G784:G804,(A784:A804=A784)*(E784:E804&gt;0)))),0)</f>
        <v>0</v>
      </c>
      <c r="K784" s="25">
        <f>IF(H784&lt;&gt;0,SUM(H$2:H784),0)</f>
        <v>0</v>
      </c>
      <c r="L784" s="25">
        <f>IF(I784&lt;&gt;0,SUM(I$2:I784),0)</f>
        <v>0</v>
      </c>
      <c r="M784" s="25">
        <f>IF(J784&lt;&gt;0,SUM(J$2:J784),0)</f>
        <v>0</v>
      </c>
    </row>
    <row r="785" spans="8:13" x14ac:dyDescent="0.2">
      <c r="H785" s="25">
        <f t="array" ref="H785">IF(A785=A784,0,SUM(_xlfn._xlws.FILTER(G785:G805,A785:A805=A785)))</f>
        <v>0</v>
      </c>
      <c r="I785" s="25">
        <f t="array" ref="I785">IFERROR(IF(A785=A784,0,SUM(_xlfn._xlws.FILTER(G785:G805,(A785:A805=A785)*(E785:E805&lt;0)))),0)</f>
        <v>0</v>
      </c>
      <c r="J785" s="25">
        <f t="array" ref="J785">IFERROR(IF(A785=A784,0,SUM(_xlfn._xlws.FILTER(G785:G805,(A785:A805=A785)*(E785:E805&gt;0)))),0)</f>
        <v>0</v>
      </c>
      <c r="K785" s="25">
        <f>IF(H785&lt;&gt;0,SUM(H$2:H785),0)</f>
        <v>0</v>
      </c>
      <c r="L785" s="25">
        <f>IF(I785&lt;&gt;0,SUM(I$2:I785),0)</f>
        <v>0</v>
      </c>
      <c r="M785" s="25">
        <f>IF(J785&lt;&gt;0,SUM(J$2:J785),0)</f>
        <v>0</v>
      </c>
    </row>
    <row r="786" spans="8:13" x14ac:dyDescent="0.2">
      <c r="H786" s="25">
        <f t="array" ref="H786">IF(A786=A785,0,SUM(_xlfn._xlws.FILTER(G786:G806,A786:A806=A786)))</f>
        <v>0</v>
      </c>
      <c r="I786" s="25">
        <f t="array" ref="I786">IFERROR(IF(A786=A785,0,SUM(_xlfn._xlws.FILTER(G786:G806,(A786:A806=A786)*(E786:E806&lt;0)))),0)</f>
        <v>0</v>
      </c>
      <c r="J786" s="25">
        <f t="array" ref="J786">IFERROR(IF(A786=A785,0,SUM(_xlfn._xlws.FILTER(G786:G806,(A786:A806=A786)*(E786:E806&gt;0)))),0)</f>
        <v>0</v>
      </c>
      <c r="K786" s="25">
        <f>IF(H786&lt;&gt;0,SUM(H$2:H786),0)</f>
        <v>0</v>
      </c>
      <c r="L786" s="25">
        <f>IF(I786&lt;&gt;0,SUM(I$2:I786),0)</f>
        <v>0</v>
      </c>
      <c r="M786" s="25">
        <f>IF(J786&lt;&gt;0,SUM(J$2:J786),0)</f>
        <v>0</v>
      </c>
    </row>
    <row r="787" spans="8:13" x14ac:dyDescent="0.2">
      <c r="H787" s="25">
        <f t="array" ref="H787">IF(A787=A786,0,SUM(_xlfn._xlws.FILTER(G787:G807,A787:A807=A787)))</f>
        <v>0</v>
      </c>
      <c r="I787" s="25">
        <f t="array" ref="I787">IFERROR(IF(A787=A786,0,SUM(_xlfn._xlws.FILTER(G787:G807,(A787:A807=A787)*(E787:E807&lt;0)))),0)</f>
        <v>0</v>
      </c>
      <c r="J787" s="25">
        <f t="array" ref="J787">IFERROR(IF(A787=A786,0,SUM(_xlfn._xlws.FILTER(G787:G807,(A787:A807=A787)*(E787:E807&gt;0)))),0)</f>
        <v>0</v>
      </c>
      <c r="K787" s="25">
        <f>IF(H787&lt;&gt;0,SUM(H$2:H787),0)</f>
        <v>0</v>
      </c>
      <c r="L787" s="25">
        <f>IF(I787&lt;&gt;0,SUM(I$2:I787),0)</f>
        <v>0</v>
      </c>
      <c r="M787" s="25">
        <f>IF(J787&lt;&gt;0,SUM(J$2:J787),0)</f>
        <v>0</v>
      </c>
    </row>
    <row r="788" spans="8:13" x14ac:dyDescent="0.2">
      <c r="H788" s="25">
        <f t="array" ref="H788">IF(A788=A787,0,SUM(_xlfn._xlws.FILTER(G788:G808,A788:A808=A788)))</f>
        <v>0</v>
      </c>
      <c r="I788" s="25">
        <f t="array" ref="I788">IFERROR(IF(A788=A787,0,SUM(_xlfn._xlws.FILTER(G788:G808,(A788:A808=A788)*(E788:E808&lt;0)))),0)</f>
        <v>0</v>
      </c>
      <c r="J788" s="25">
        <f t="array" ref="J788">IFERROR(IF(A788=A787,0,SUM(_xlfn._xlws.FILTER(G788:G808,(A788:A808=A788)*(E788:E808&gt;0)))),0)</f>
        <v>0</v>
      </c>
      <c r="K788" s="25">
        <f>IF(H788&lt;&gt;0,SUM(H$2:H788),0)</f>
        <v>0</v>
      </c>
      <c r="L788" s="25">
        <f>IF(I788&lt;&gt;0,SUM(I$2:I788),0)</f>
        <v>0</v>
      </c>
      <c r="M788" s="25">
        <f>IF(J788&lt;&gt;0,SUM(J$2:J788),0)</f>
        <v>0</v>
      </c>
    </row>
    <row r="789" spans="8:13" x14ac:dyDescent="0.2">
      <c r="H789" s="25">
        <f t="array" ref="H789">IF(A789=A788,0,SUM(_xlfn._xlws.FILTER(G789:G809,A789:A809=A789)))</f>
        <v>0</v>
      </c>
      <c r="I789" s="25">
        <f t="array" ref="I789">IFERROR(IF(A789=A788,0,SUM(_xlfn._xlws.FILTER(G789:G809,(A789:A809=A789)*(E789:E809&lt;0)))),0)</f>
        <v>0</v>
      </c>
      <c r="J789" s="25">
        <f t="array" ref="J789">IFERROR(IF(A789=A788,0,SUM(_xlfn._xlws.FILTER(G789:G809,(A789:A809=A789)*(E789:E809&gt;0)))),0)</f>
        <v>0</v>
      </c>
      <c r="K789" s="25">
        <f>IF(H789&lt;&gt;0,SUM(H$2:H789),0)</f>
        <v>0</v>
      </c>
      <c r="L789" s="25">
        <f>IF(I789&lt;&gt;0,SUM(I$2:I789),0)</f>
        <v>0</v>
      </c>
      <c r="M789" s="25">
        <f>IF(J789&lt;&gt;0,SUM(J$2:J789),0)</f>
        <v>0</v>
      </c>
    </row>
    <row r="790" spans="8:13" x14ac:dyDescent="0.2">
      <c r="H790" s="25">
        <f t="array" ref="H790">IF(A790=A789,0,SUM(_xlfn._xlws.FILTER(G790:G810,A790:A810=A790)))</f>
        <v>0</v>
      </c>
      <c r="I790" s="25">
        <f t="array" ref="I790">IFERROR(IF(A790=A789,0,SUM(_xlfn._xlws.FILTER(G790:G810,(A790:A810=A790)*(E790:E810&lt;0)))),0)</f>
        <v>0</v>
      </c>
      <c r="J790" s="25">
        <f t="array" ref="J790">IFERROR(IF(A790=A789,0,SUM(_xlfn._xlws.FILTER(G790:G810,(A790:A810=A790)*(E790:E810&gt;0)))),0)</f>
        <v>0</v>
      </c>
      <c r="K790" s="25">
        <f>IF(H790&lt;&gt;0,SUM(H$2:H790),0)</f>
        <v>0</v>
      </c>
      <c r="L790" s="25">
        <f>IF(I790&lt;&gt;0,SUM(I$2:I790),0)</f>
        <v>0</v>
      </c>
      <c r="M790" s="25">
        <f>IF(J790&lt;&gt;0,SUM(J$2:J790),0)</f>
        <v>0</v>
      </c>
    </row>
    <row r="791" spans="8:13" x14ac:dyDescent="0.2">
      <c r="H791" s="25">
        <f t="array" ref="H791">IF(A791=A790,0,SUM(_xlfn._xlws.FILTER(G791:G811,A791:A811=A791)))</f>
        <v>0</v>
      </c>
      <c r="I791" s="25">
        <f t="array" ref="I791">IFERROR(IF(A791=A790,0,SUM(_xlfn._xlws.FILTER(G791:G811,(A791:A811=A791)*(E791:E811&lt;0)))),0)</f>
        <v>0</v>
      </c>
      <c r="J791" s="25">
        <f t="array" ref="J791">IFERROR(IF(A791=A790,0,SUM(_xlfn._xlws.FILTER(G791:G811,(A791:A811=A791)*(E791:E811&gt;0)))),0)</f>
        <v>0</v>
      </c>
      <c r="K791" s="25">
        <f>IF(H791&lt;&gt;0,SUM(H$2:H791),0)</f>
        <v>0</v>
      </c>
      <c r="L791" s="25">
        <f>IF(I791&lt;&gt;0,SUM(I$2:I791),0)</f>
        <v>0</v>
      </c>
      <c r="M791" s="25">
        <f>IF(J791&lt;&gt;0,SUM(J$2:J791),0)</f>
        <v>0</v>
      </c>
    </row>
    <row r="792" spans="8:13" x14ac:dyDescent="0.2">
      <c r="H792" s="25">
        <f t="array" ref="H792">IF(A792=A791,0,SUM(_xlfn._xlws.FILTER(G792:G812,A792:A812=A792)))</f>
        <v>0</v>
      </c>
      <c r="I792" s="25">
        <f t="array" ref="I792">IFERROR(IF(A792=A791,0,SUM(_xlfn._xlws.FILTER(G792:G812,(A792:A812=A792)*(E792:E812&lt;0)))),0)</f>
        <v>0</v>
      </c>
      <c r="J792" s="25">
        <f t="array" ref="J792">IFERROR(IF(A792=A791,0,SUM(_xlfn._xlws.FILTER(G792:G812,(A792:A812=A792)*(E792:E812&gt;0)))),0)</f>
        <v>0</v>
      </c>
      <c r="K792" s="25">
        <f>IF(H792&lt;&gt;0,SUM(H$2:H792),0)</f>
        <v>0</v>
      </c>
      <c r="L792" s="25">
        <f>IF(I792&lt;&gt;0,SUM(I$2:I792),0)</f>
        <v>0</v>
      </c>
      <c r="M792" s="25">
        <f>IF(J792&lt;&gt;0,SUM(J$2:J792),0)</f>
        <v>0</v>
      </c>
    </row>
    <row r="793" spans="8:13" x14ac:dyDescent="0.2">
      <c r="H793" s="25">
        <f t="array" ref="H793">IF(A793=A792,0,SUM(_xlfn._xlws.FILTER(G793:G813,A793:A813=A793)))</f>
        <v>0</v>
      </c>
      <c r="I793" s="25">
        <f t="array" ref="I793">IFERROR(IF(A793=A792,0,SUM(_xlfn._xlws.FILTER(G793:G813,(A793:A813=A793)*(E793:E813&lt;0)))),0)</f>
        <v>0</v>
      </c>
      <c r="J793" s="25">
        <f t="array" ref="J793">IFERROR(IF(A793=A792,0,SUM(_xlfn._xlws.FILTER(G793:G813,(A793:A813=A793)*(E793:E813&gt;0)))),0)</f>
        <v>0</v>
      </c>
      <c r="K793" s="25">
        <f>IF(H793&lt;&gt;0,SUM(H$2:H793),0)</f>
        <v>0</v>
      </c>
      <c r="L793" s="25">
        <f>IF(I793&lt;&gt;0,SUM(I$2:I793),0)</f>
        <v>0</v>
      </c>
      <c r="M793" s="25">
        <f>IF(J793&lt;&gt;0,SUM(J$2:J793),0)</f>
        <v>0</v>
      </c>
    </row>
    <row r="794" spans="8:13" x14ac:dyDescent="0.2">
      <c r="H794" s="25">
        <f t="array" ref="H794">IF(A794=A793,0,SUM(_xlfn._xlws.FILTER(G794:G814,A794:A814=A794)))</f>
        <v>0</v>
      </c>
      <c r="I794" s="25">
        <f t="array" ref="I794">IFERROR(IF(A794=A793,0,SUM(_xlfn._xlws.FILTER(G794:G814,(A794:A814=A794)*(E794:E814&lt;0)))),0)</f>
        <v>0</v>
      </c>
      <c r="J794" s="25">
        <f t="array" ref="J794">IFERROR(IF(A794=A793,0,SUM(_xlfn._xlws.FILTER(G794:G814,(A794:A814=A794)*(E794:E814&gt;0)))),0)</f>
        <v>0</v>
      </c>
      <c r="K794" s="25">
        <f>IF(H794&lt;&gt;0,SUM(H$2:H794),0)</f>
        <v>0</v>
      </c>
      <c r="L794" s="25">
        <f>IF(I794&lt;&gt;0,SUM(I$2:I794),0)</f>
        <v>0</v>
      </c>
      <c r="M794" s="25">
        <f>IF(J794&lt;&gt;0,SUM(J$2:J794),0)</f>
        <v>0</v>
      </c>
    </row>
    <row r="795" spans="8:13" x14ac:dyDescent="0.2">
      <c r="H795" s="25">
        <f t="array" ref="H795">IF(A795=A794,0,SUM(_xlfn._xlws.FILTER(G795:G815,A795:A815=A795)))</f>
        <v>0</v>
      </c>
      <c r="I795" s="25">
        <f t="array" ref="I795">IFERROR(IF(A795=A794,0,SUM(_xlfn._xlws.FILTER(G795:G815,(A795:A815=A795)*(E795:E815&lt;0)))),0)</f>
        <v>0</v>
      </c>
      <c r="J795" s="25">
        <f t="array" ref="J795">IFERROR(IF(A795=A794,0,SUM(_xlfn._xlws.FILTER(G795:G815,(A795:A815=A795)*(E795:E815&gt;0)))),0)</f>
        <v>0</v>
      </c>
      <c r="K795" s="25">
        <f>IF(H795&lt;&gt;0,SUM(H$2:H795),0)</f>
        <v>0</v>
      </c>
      <c r="L795" s="25">
        <f>IF(I795&lt;&gt;0,SUM(I$2:I795),0)</f>
        <v>0</v>
      </c>
      <c r="M795" s="25">
        <f>IF(J795&lt;&gt;0,SUM(J$2:J795),0)</f>
        <v>0</v>
      </c>
    </row>
    <row r="796" spans="8:13" x14ac:dyDescent="0.2">
      <c r="H796" s="25">
        <f t="array" ref="H796">IF(A796=A795,0,SUM(_xlfn._xlws.FILTER(G796:G816,A796:A816=A796)))</f>
        <v>0</v>
      </c>
      <c r="I796" s="25">
        <f t="array" ref="I796">IFERROR(IF(A796=A795,0,SUM(_xlfn._xlws.FILTER(G796:G816,(A796:A816=A796)*(E796:E816&lt;0)))),0)</f>
        <v>0</v>
      </c>
      <c r="J796" s="25">
        <f t="array" ref="J796">IFERROR(IF(A796=A795,0,SUM(_xlfn._xlws.FILTER(G796:G816,(A796:A816=A796)*(E796:E816&gt;0)))),0)</f>
        <v>0</v>
      </c>
      <c r="K796" s="25">
        <f>IF(H796&lt;&gt;0,SUM(H$2:H796),0)</f>
        <v>0</v>
      </c>
      <c r="L796" s="25">
        <f>IF(I796&lt;&gt;0,SUM(I$2:I796),0)</f>
        <v>0</v>
      </c>
      <c r="M796" s="25">
        <f>IF(J796&lt;&gt;0,SUM(J$2:J796),0)</f>
        <v>0</v>
      </c>
    </row>
    <row r="797" spans="8:13" x14ac:dyDescent="0.2">
      <c r="H797" s="25">
        <f t="array" ref="H797">IF(A797=A796,0,SUM(_xlfn._xlws.FILTER(G797:G817,A797:A817=A797)))</f>
        <v>0</v>
      </c>
      <c r="I797" s="25">
        <f t="array" ref="I797">IFERROR(IF(A797=A796,0,SUM(_xlfn._xlws.FILTER(G797:G817,(A797:A817=A797)*(E797:E817&lt;0)))),0)</f>
        <v>0</v>
      </c>
      <c r="J797" s="25">
        <f t="array" ref="J797">IFERROR(IF(A797=A796,0,SUM(_xlfn._xlws.FILTER(G797:G817,(A797:A817=A797)*(E797:E817&gt;0)))),0)</f>
        <v>0</v>
      </c>
      <c r="K797" s="25">
        <f>IF(H797&lt;&gt;0,SUM(H$2:H797),0)</f>
        <v>0</v>
      </c>
      <c r="L797" s="25">
        <f>IF(I797&lt;&gt;0,SUM(I$2:I797),0)</f>
        <v>0</v>
      </c>
      <c r="M797" s="25">
        <f>IF(J797&lt;&gt;0,SUM(J$2:J797),0)</f>
        <v>0</v>
      </c>
    </row>
    <row r="798" spans="8:13" x14ac:dyDescent="0.2">
      <c r="H798" s="25">
        <f t="array" ref="H798">IF(A798=A797,0,SUM(_xlfn._xlws.FILTER(G798:G818,A798:A818=A798)))</f>
        <v>0</v>
      </c>
      <c r="I798" s="25">
        <f t="array" ref="I798">IFERROR(IF(A798=A797,0,SUM(_xlfn._xlws.FILTER(G798:G818,(A798:A818=A798)*(E798:E818&lt;0)))),0)</f>
        <v>0</v>
      </c>
      <c r="J798" s="25">
        <f t="array" ref="J798">IFERROR(IF(A798=A797,0,SUM(_xlfn._xlws.FILTER(G798:G818,(A798:A818=A798)*(E798:E818&gt;0)))),0)</f>
        <v>0</v>
      </c>
      <c r="K798" s="25">
        <f>IF(H798&lt;&gt;0,SUM(H$2:H798),0)</f>
        <v>0</v>
      </c>
      <c r="L798" s="25">
        <f>IF(I798&lt;&gt;0,SUM(I$2:I798),0)</f>
        <v>0</v>
      </c>
      <c r="M798" s="25">
        <f>IF(J798&lt;&gt;0,SUM(J$2:J798),0)</f>
        <v>0</v>
      </c>
    </row>
    <row r="799" spans="8:13" x14ac:dyDescent="0.2">
      <c r="H799" s="25">
        <f t="array" ref="H799">IF(A799=A798,0,SUM(_xlfn._xlws.FILTER(G799:G819,A799:A819=A799)))</f>
        <v>0</v>
      </c>
      <c r="I799" s="25">
        <f t="array" ref="I799">IFERROR(IF(A799=A798,0,SUM(_xlfn._xlws.FILTER(G799:G819,(A799:A819=A799)*(E799:E819&lt;0)))),0)</f>
        <v>0</v>
      </c>
      <c r="J799" s="25">
        <f t="array" ref="J799">IFERROR(IF(A799=A798,0,SUM(_xlfn._xlws.FILTER(G799:G819,(A799:A819=A799)*(E799:E819&gt;0)))),0)</f>
        <v>0</v>
      </c>
      <c r="K799" s="25">
        <f>IF(H799&lt;&gt;0,SUM(H$2:H799),0)</f>
        <v>0</v>
      </c>
      <c r="L799" s="25">
        <f>IF(I799&lt;&gt;0,SUM(I$2:I799),0)</f>
        <v>0</v>
      </c>
      <c r="M799" s="25">
        <f>IF(J799&lt;&gt;0,SUM(J$2:J799),0)</f>
        <v>0</v>
      </c>
    </row>
    <row r="800" spans="8:13" x14ac:dyDescent="0.2">
      <c r="H800" s="25">
        <f t="array" ref="H800">IF(A800=A799,0,SUM(_xlfn._xlws.FILTER(G800:G820,A800:A820=A800)))</f>
        <v>0</v>
      </c>
      <c r="I800" s="25">
        <f t="array" ref="I800">IFERROR(IF(A800=A799,0,SUM(_xlfn._xlws.FILTER(G800:G820,(A800:A820=A800)*(E800:E820&lt;0)))),0)</f>
        <v>0</v>
      </c>
      <c r="J800" s="25">
        <f t="array" ref="J800">IFERROR(IF(A800=A799,0,SUM(_xlfn._xlws.FILTER(G800:G820,(A800:A820=A800)*(E800:E820&gt;0)))),0)</f>
        <v>0</v>
      </c>
      <c r="K800" s="25">
        <f>IF(H800&lt;&gt;0,SUM(H$2:H800),0)</f>
        <v>0</v>
      </c>
      <c r="L800" s="25">
        <f>IF(I800&lt;&gt;0,SUM(I$2:I800),0)</f>
        <v>0</v>
      </c>
      <c r="M800" s="25">
        <f>IF(J800&lt;&gt;0,SUM(J$2:J800),0)</f>
        <v>0</v>
      </c>
    </row>
    <row r="801" spans="8:13" x14ac:dyDescent="0.2">
      <c r="H801" s="25">
        <f t="array" ref="H801">IF(A801=A800,0,SUM(_xlfn._xlws.FILTER(G801:G821,A801:A821=A801)))</f>
        <v>0</v>
      </c>
      <c r="I801" s="25">
        <f t="array" ref="I801">IFERROR(IF(A801=A800,0,SUM(_xlfn._xlws.FILTER(G801:G821,(A801:A821=A801)*(E801:E821&lt;0)))),0)</f>
        <v>0</v>
      </c>
      <c r="J801" s="25">
        <f t="array" ref="J801">IFERROR(IF(A801=A800,0,SUM(_xlfn._xlws.FILTER(G801:G821,(A801:A821=A801)*(E801:E821&gt;0)))),0)</f>
        <v>0</v>
      </c>
      <c r="K801" s="25">
        <f>IF(H801&lt;&gt;0,SUM(H$2:H801),0)</f>
        <v>0</v>
      </c>
      <c r="L801" s="25">
        <f>IF(I801&lt;&gt;0,SUM(I$2:I801),0)</f>
        <v>0</v>
      </c>
      <c r="M801" s="25">
        <f>IF(J801&lt;&gt;0,SUM(J$2:J801),0)</f>
        <v>0</v>
      </c>
    </row>
    <row r="802" spans="8:13" x14ac:dyDescent="0.2">
      <c r="H802" s="25">
        <f t="array" ref="H802">IF(A802=A801,0,SUM(_xlfn._xlws.FILTER(G802:G822,A802:A822=A802)))</f>
        <v>0</v>
      </c>
      <c r="I802" s="25">
        <f t="array" ref="I802">IFERROR(IF(A802=A801,0,SUM(_xlfn._xlws.FILTER(G802:G822,(A802:A822=A802)*(E802:E822&lt;0)))),0)</f>
        <v>0</v>
      </c>
      <c r="J802" s="25">
        <f t="array" ref="J802">IFERROR(IF(A802=A801,0,SUM(_xlfn._xlws.FILTER(G802:G822,(A802:A822=A802)*(E802:E822&gt;0)))),0)</f>
        <v>0</v>
      </c>
      <c r="K802" s="25">
        <f>IF(H802&lt;&gt;0,SUM(H$2:H802),0)</f>
        <v>0</v>
      </c>
      <c r="L802" s="25">
        <f>IF(I802&lt;&gt;0,SUM(I$2:I802),0)</f>
        <v>0</v>
      </c>
      <c r="M802" s="25">
        <f>IF(J802&lt;&gt;0,SUM(J$2:J802),0)</f>
        <v>0</v>
      </c>
    </row>
    <row r="803" spans="8:13" x14ac:dyDescent="0.2">
      <c r="H803" s="25">
        <f t="array" ref="H803">IF(A803=A802,0,SUM(_xlfn._xlws.FILTER(G803:G823,A803:A823=A803)))</f>
        <v>0</v>
      </c>
      <c r="I803" s="25">
        <f t="array" ref="I803">IFERROR(IF(A803=A802,0,SUM(_xlfn._xlws.FILTER(G803:G823,(A803:A823=A803)*(E803:E823&lt;0)))),0)</f>
        <v>0</v>
      </c>
      <c r="J803" s="25">
        <f t="array" ref="J803">IFERROR(IF(A803=A802,0,SUM(_xlfn._xlws.FILTER(G803:G823,(A803:A823=A803)*(E803:E823&gt;0)))),0)</f>
        <v>0</v>
      </c>
      <c r="K803" s="25">
        <f>IF(H803&lt;&gt;0,SUM(H$2:H803),0)</f>
        <v>0</v>
      </c>
      <c r="L803" s="25">
        <f>IF(I803&lt;&gt;0,SUM(I$2:I803),0)</f>
        <v>0</v>
      </c>
      <c r="M803" s="25">
        <f>IF(J803&lt;&gt;0,SUM(J$2:J803),0)</f>
        <v>0</v>
      </c>
    </row>
    <row r="804" spans="8:13" x14ac:dyDescent="0.2">
      <c r="H804" s="25">
        <f t="array" ref="H804">IF(A804=A803,0,SUM(_xlfn._xlws.FILTER(G804:G824,A804:A824=A804)))</f>
        <v>0</v>
      </c>
      <c r="I804" s="25">
        <f t="array" ref="I804">IFERROR(IF(A804=A803,0,SUM(_xlfn._xlws.FILTER(G804:G824,(A804:A824=A804)*(E804:E824&lt;0)))),0)</f>
        <v>0</v>
      </c>
      <c r="J804" s="25">
        <f t="array" ref="J804">IFERROR(IF(A804=A803,0,SUM(_xlfn._xlws.FILTER(G804:G824,(A804:A824=A804)*(E804:E824&gt;0)))),0)</f>
        <v>0</v>
      </c>
      <c r="K804" s="25">
        <f>IF(H804&lt;&gt;0,SUM(H$2:H804),0)</f>
        <v>0</v>
      </c>
      <c r="L804" s="25">
        <f>IF(I804&lt;&gt;0,SUM(I$2:I804),0)</f>
        <v>0</v>
      </c>
      <c r="M804" s="25">
        <f>IF(J804&lt;&gt;0,SUM(J$2:J804),0)</f>
        <v>0</v>
      </c>
    </row>
    <row r="805" spans="8:13" x14ac:dyDescent="0.2">
      <c r="H805" s="25">
        <f t="array" ref="H805">IF(A805=A804,0,SUM(_xlfn._xlws.FILTER(G805:G825,A805:A825=A805)))</f>
        <v>0</v>
      </c>
      <c r="I805" s="25">
        <f t="array" ref="I805">IFERROR(IF(A805=A804,0,SUM(_xlfn._xlws.FILTER(G805:G825,(A805:A825=A805)*(E805:E825&lt;0)))),0)</f>
        <v>0</v>
      </c>
      <c r="J805" s="25">
        <f t="array" ref="J805">IFERROR(IF(A805=A804,0,SUM(_xlfn._xlws.FILTER(G805:G825,(A805:A825=A805)*(E805:E825&gt;0)))),0)</f>
        <v>0</v>
      </c>
      <c r="K805" s="25">
        <f>IF(H805&lt;&gt;0,SUM(H$2:H805),0)</f>
        <v>0</v>
      </c>
      <c r="L805" s="25">
        <f>IF(I805&lt;&gt;0,SUM(I$2:I805),0)</f>
        <v>0</v>
      </c>
      <c r="M805" s="25">
        <f>IF(J805&lt;&gt;0,SUM(J$2:J805),0)</f>
        <v>0</v>
      </c>
    </row>
    <row r="806" spans="8:13" x14ac:dyDescent="0.2">
      <c r="H806" s="25">
        <f t="array" ref="H806">IF(A806=A805,0,SUM(_xlfn._xlws.FILTER(G806:G826,A806:A826=A806)))</f>
        <v>0</v>
      </c>
      <c r="I806" s="25">
        <f t="array" ref="I806">IFERROR(IF(A806=A805,0,SUM(_xlfn._xlws.FILTER(G806:G826,(A806:A826=A806)*(E806:E826&lt;0)))),0)</f>
        <v>0</v>
      </c>
      <c r="J806" s="25">
        <f t="array" ref="J806">IFERROR(IF(A806=A805,0,SUM(_xlfn._xlws.FILTER(G806:G826,(A806:A826=A806)*(E806:E826&gt;0)))),0)</f>
        <v>0</v>
      </c>
      <c r="K806" s="25">
        <f>IF(H806&lt;&gt;0,SUM(H$2:H806),0)</f>
        <v>0</v>
      </c>
      <c r="L806" s="25">
        <f>IF(I806&lt;&gt;0,SUM(I$2:I806),0)</f>
        <v>0</v>
      </c>
      <c r="M806" s="25">
        <f>IF(J806&lt;&gt;0,SUM(J$2:J806),0)</f>
        <v>0</v>
      </c>
    </row>
    <row r="807" spans="8:13" x14ac:dyDescent="0.2">
      <c r="H807" s="25">
        <f t="array" ref="H807">IF(A807=A806,0,SUM(_xlfn._xlws.FILTER(G807:G827,A807:A827=A807)))</f>
        <v>0</v>
      </c>
      <c r="I807" s="25">
        <f t="array" ref="I807">IFERROR(IF(A807=A806,0,SUM(_xlfn._xlws.FILTER(G807:G827,(A807:A827=A807)*(E807:E827&lt;0)))),0)</f>
        <v>0</v>
      </c>
      <c r="J807" s="25">
        <f t="array" ref="J807">IFERROR(IF(A807=A806,0,SUM(_xlfn._xlws.FILTER(G807:G827,(A807:A827=A807)*(E807:E827&gt;0)))),0)</f>
        <v>0</v>
      </c>
      <c r="K807" s="25">
        <f>IF(H807&lt;&gt;0,SUM(H$2:H807),0)</f>
        <v>0</v>
      </c>
      <c r="L807" s="25">
        <f>IF(I807&lt;&gt;0,SUM(I$2:I807),0)</f>
        <v>0</v>
      </c>
      <c r="M807" s="25">
        <f>IF(J807&lt;&gt;0,SUM(J$2:J807),0)</f>
        <v>0</v>
      </c>
    </row>
    <row r="808" spans="8:13" x14ac:dyDescent="0.2">
      <c r="H808" s="25">
        <f t="array" ref="H808">IF(A808=A807,0,SUM(_xlfn._xlws.FILTER(G808:G828,A808:A828=A808)))</f>
        <v>0</v>
      </c>
      <c r="I808" s="25">
        <f t="array" ref="I808">IFERROR(IF(A808=A807,0,SUM(_xlfn._xlws.FILTER(G808:G828,(A808:A828=A808)*(E808:E828&lt;0)))),0)</f>
        <v>0</v>
      </c>
      <c r="J808" s="25">
        <f t="array" ref="J808">IFERROR(IF(A808=A807,0,SUM(_xlfn._xlws.FILTER(G808:G828,(A808:A828=A808)*(E808:E828&gt;0)))),0)</f>
        <v>0</v>
      </c>
      <c r="K808" s="25">
        <f>IF(H808&lt;&gt;0,SUM(H$2:H808),0)</f>
        <v>0</v>
      </c>
      <c r="L808" s="25">
        <f>IF(I808&lt;&gt;0,SUM(I$2:I808),0)</f>
        <v>0</v>
      </c>
      <c r="M808" s="25">
        <f>IF(J808&lt;&gt;0,SUM(J$2:J808),0)</f>
        <v>0</v>
      </c>
    </row>
    <row r="809" spans="8:13" x14ac:dyDescent="0.2">
      <c r="H809" s="25">
        <f t="array" ref="H809">IF(A809=A808,0,SUM(_xlfn._xlws.FILTER(G809:G829,A809:A829=A809)))</f>
        <v>0</v>
      </c>
      <c r="I809" s="25">
        <f t="array" ref="I809">IFERROR(IF(A809=A808,0,SUM(_xlfn._xlws.FILTER(G809:G829,(A809:A829=A809)*(E809:E829&lt;0)))),0)</f>
        <v>0</v>
      </c>
      <c r="J809" s="25">
        <f t="array" ref="J809">IFERROR(IF(A809=A808,0,SUM(_xlfn._xlws.FILTER(G809:G829,(A809:A829=A809)*(E809:E829&gt;0)))),0)</f>
        <v>0</v>
      </c>
      <c r="K809" s="25">
        <f>IF(H809&lt;&gt;0,SUM(H$2:H809),0)</f>
        <v>0</v>
      </c>
      <c r="L809" s="25">
        <f>IF(I809&lt;&gt;0,SUM(I$2:I809),0)</f>
        <v>0</v>
      </c>
      <c r="M809" s="25">
        <f>IF(J809&lt;&gt;0,SUM(J$2:J809),0)</f>
        <v>0</v>
      </c>
    </row>
    <row r="810" spans="8:13" x14ac:dyDescent="0.2">
      <c r="H810" s="25">
        <f t="array" ref="H810">IF(A810=A809,0,SUM(_xlfn._xlws.FILTER(G810:G830,A810:A830=A810)))</f>
        <v>0</v>
      </c>
      <c r="I810" s="25">
        <f t="array" ref="I810">IFERROR(IF(A810=A809,0,SUM(_xlfn._xlws.FILTER(G810:G830,(A810:A830=A810)*(E810:E830&lt;0)))),0)</f>
        <v>0</v>
      </c>
      <c r="J810" s="25">
        <f t="array" ref="J810">IFERROR(IF(A810=A809,0,SUM(_xlfn._xlws.FILTER(G810:G830,(A810:A830=A810)*(E810:E830&gt;0)))),0)</f>
        <v>0</v>
      </c>
      <c r="K810" s="25">
        <f>IF(H810&lt;&gt;0,SUM(H$2:H810),0)</f>
        <v>0</v>
      </c>
      <c r="L810" s="25">
        <f>IF(I810&lt;&gt;0,SUM(I$2:I810),0)</f>
        <v>0</v>
      </c>
      <c r="M810" s="25">
        <f>IF(J810&lt;&gt;0,SUM(J$2:J810),0)</f>
        <v>0</v>
      </c>
    </row>
    <row r="811" spans="8:13" x14ac:dyDescent="0.2">
      <c r="H811" s="25">
        <f t="array" ref="H811">IF(A811=A810,0,SUM(_xlfn._xlws.FILTER(G811:G831,A811:A831=A811)))</f>
        <v>0</v>
      </c>
      <c r="I811" s="25">
        <f t="array" ref="I811">IFERROR(IF(A811=A810,0,SUM(_xlfn._xlws.FILTER(G811:G831,(A811:A831=A811)*(E811:E831&lt;0)))),0)</f>
        <v>0</v>
      </c>
      <c r="J811" s="25">
        <f t="array" ref="J811">IFERROR(IF(A811=A810,0,SUM(_xlfn._xlws.FILTER(G811:G831,(A811:A831=A811)*(E811:E831&gt;0)))),0)</f>
        <v>0</v>
      </c>
      <c r="K811" s="25">
        <f>IF(H811&lt;&gt;0,SUM(H$2:H811),0)</f>
        <v>0</v>
      </c>
      <c r="L811" s="25">
        <f>IF(I811&lt;&gt;0,SUM(I$2:I811),0)</f>
        <v>0</v>
      </c>
      <c r="M811" s="25">
        <f>IF(J811&lt;&gt;0,SUM(J$2:J811),0)</f>
        <v>0</v>
      </c>
    </row>
    <row r="812" spans="8:13" x14ac:dyDescent="0.2">
      <c r="H812" s="25">
        <f t="array" ref="H812">IF(A812=A811,0,SUM(_xlfn._xlws.FILTER(G812:G832,A812:A832=A812)))</f>
        <v>0</v>
      </c>
      <c r="I812" s="25">
        <f t="array" ref="I812">IFERROR(IF(A812=A811,0,SUM(_xlfn._xlws.FILTER(G812:G832,(A812:A832=A812)*(E812:E832&lt;0)))),0)</f>
        <v>0</v>
      </c>
      <c r="J812" s="25">
        <f t="array" ref="J812">IFERROR(IF(A812=A811,0,SUM(_xlfn._xlws.FILTER(G812:G832,(A812:A832=A812)*(E812:E832&gt;0)))),0)</f>
        <v>0</v>
      </c>
      <c r="K812" s="25">
        <f>IF(H812&lt;&gt;0,SUM(H$2:H812),0)</f>
        <v>0</v>
      </c>
      <c r="L812" s="25">
        <f>IF(I812&lt;&gt;0,SUM(I$2:I812),0)</f>
        <v>0</v>
      </c>
      <c r="M812" s="25">
        <f>IF(J812&lt;&gt;0,SUM(J$2:J812),0)</f>
        <v>0</v>
      </c>
    </row>
    <row r="813" spans="8:13" x14ac:dyDescent="0.2">
      <c r="H813" s="25">
        <f t="array" ref="H813">IF(A813=A812,0,SUM(_xlfn._xlws.FILTER(G813:G833,A813:A833=A813)))</f>
        <v>0</v>
      </c>
      <c r="I813" s="25">
        <f t="array" ref="I813">IFERROR(IF(A813=A812,0,SUM(_xlfn._xlws.FILTER(G813:G833,(A813:A833=A813)*(E813:E833&lt;0)))),0)</f>
        <v>0</v>
      </c>
      <c r="J813" s="25">
        <f t="array" ref="J813">IFERROR(IF(A813=A812,0,SUM(_xlfn._xlws.FILTER(G813:G833,(A813:A833=A813)*(E813:E833&gt;0)))),0)</f>
        <v>0</v>
      </c>
      <c r="K813" s="25">
        <f>IF(H813&lt;&gt;0,SUM(H$2:H813),0)</f>
        <v>0</v>
      </c>
      <c r="L813" s="25">
        <f>IF(I813&lt;&gt;0,SUM(I$2:I813),0)</f>
        <v>0</v>
      </c>
      <c r="M813" s="25">
        <f>IF(J813&lt;&gt;0,SUM(J$2:J813),0)</f>
        <v>0</v>
      </c>
    </row>
    <row r="814" spans="8:13" x14ac:dyDescent="0.2">
      <c r="H814" s="25">
        <f t="array" ref="H814">IF(A814=A813,0,SUM(_xlfn._xlws.FILTER(G814:G834,A814:A834=A814)))</f>
        <v>0</v>
      </c>
      <c r="I814" s="25">
        <f t="array" ref="I814">IFERROR(IF(A814=A813,0,SUM(_xlfn._xlws.FILTER(G814:G834,(A814:A834=A814)*(E814:E834&lt;0)))),0)</f>
        <v>0</v>
      </c>
      <c r="J814" s="25">
        <f t="array" ref="J814">IFERROR(IF(A814=A813,0,SUM(_xlfn._xlws.FILTER(G814:G834,(A814:A834=A814)*(E814:E834&gt;0)))),0)</f>
        <v>0</v>
      </c>
      <c r="K814" s="25">
        <f>IF(H814&lt;&gt;0,SUM(H$2:H814),0)</f>
        <v>0</v>
      </c>
      <c r="L814" s="25">
        <f>IF(I814&lt;&gt;0,SUM(I$2:I814),0)</f>
        <v>0</v>
      </c>
      <c r="M814" s="25">
        <f>IF(J814&lt;&gt;0,SUM(J$2:J814),0)</f>
        <v>0</v>
      </c>
    </row>
    <row r="815" spans="8:13" x14ac:dyDescent="0.2">
      <c r="H815" s="25">
        <f t="array" ref="H815">IF(A815=A814,0,SUM(_xlfn._xlws.FILTER(G815:G835,A815:A835=A815)))</f>
        <v>0</v>
      </c>
      <c r="I815" s="25">
        <f t="array" ref="I815">IFERROR(IF(A815=A814,0,SUM(_xlfn._xlws.FILTER(G815:G835,(A815:A835=A815)*(E815:E835&lt;0)))),0)</f>
        <v>0</v>
      </c>
      <c r="J815" s="25">
        <f t="array" ref="J815">IFERROR(IF(A815=A814,0,SUM(_xlfn._xlws.FILTER(G815:G835,(A815:A835=A815)*(E815:E835&gt;0)))),0)</f>
        <v>0</v>
      </c>
      <c r="K815" s="25">
        <f>IF(H815&lt;&gt;0,SUM(H$2:H815),0)</f>
        <v>0</v>
      </c>
      <c r="L815" s="25">
        <f>IF(I815&lt;&gt;0,SUM(I$2:I815),0)</f>
        <v>0</v>
      </c>
      <c r="M815" s="25">
        <f>IF(J815&lt;&gt;0,SUM(J$2:J815),0)</f>
        <v>0</v>
      </c>
    </row>
    <row r="816" spans="8:13" x14ac:dyDescent="0.2">
      <c r="H816" s="25">
        <f t="array" ref="H816">IF(A816=A815,0,SUM(_xlfn._xlws.FILTER(G816:G836,A816:A836=A816)))</f>
        <v>0</v>
      </c>
      <c r="I816" s="25">
        <f t="array" ref="I816">IFERROR(IF(A816=A815,0,SUM(_xlfn._xlws.FILTER(G816:G836,(A816:A836=A816)*(E816:E836&lt;0)))),0)</f>
        <v>0</v>
      </c>
      <c r="J816" s="25">
        <f t="array" ref="J816">IFERROR(IF(A816=A815,0,SUM(_xlfn._xlws.FILTER(G816:G836,(A816:A836=A816)*(E816:E836&gt;0)))),0)</f>
        <v>0</v>
      </c>
      <c r="K816" s="25">
        <f>IF(H816&lt;&gt;0,SUM(H$2:H816),0)</f>
        <v>0</v>
      </c>
      <c r="L816" s="25">
        <f>IF(I816&lt;&gt;0,SUM(I$2:I816),0)</f>
        <v>0</v>
      </c>
      <c r="M816" s="25">
        <f>IF(J816&lt;&gt;0,SUM(J$2:J816),0)</f>
        <v>0</v>
      </c>
    </row>
    <row r="817" spans="8:13" x14ac:dyDescent="0.2">
      <c r="H817" s="25">
        <f t="array" ref="H817">IF(A817=A816,0,SUM(_xlfn._xlws.FILTER(G817:G837,A817:A837=A817)))</f>
        <v>0</v>
      </c>
      <c r="I817" s="25">
        <f t="array" ref="I817">IFERROR(IF(A817=A816,0,SUM(_xlfn._xlws.FILTER(G817:G837,(A817:A837=A817)*(E817:E837&lt;0)))),0)</f>
        <v>0</v>
      </c>
      <c r="J817" s="25">
        <f t="array" ref="J817">IFERROR(IF(A817=A816,0,SUM(_xlfn._xlws.FILTER(G817:G837,(A817:A837=A817)*(E817:E837&gt;0)))),0)</f>
        <v>0</v>
      </c>
      <c r="K817" s="25">
        <f>IF(H817&lt;&gt;0,SUM(H$2:H817),0)</f>
        <v>0</v>
      </c>
      <c r="L817" s="25">
        <f>IF(I817&lt;&gt;0,SUM(I$2:I817),0)</f>
        <v>0</v>
      </c>
      <c r="M817" s="25">
        <f>IF(J817&lt;&gt;0,SUM(J$2:J817),0)</f>
        <v>0</v>
      </c>
    </row>
    <row r="818" spans="8:13" x14ac:dyDescent="0.2">
      <c r="H818" s="25">
        <f t="array" ref="H818">IF(A818=A817,0,SUM(_xlfn._xlws.FILTER(G818:G838,A818:A838=A818)))</f>
        <v>0</v>
      </c>
      <c r="I818" s="25">
        <f t="array" ref="I818">IFERROR(IF(A818=A817,0,SUM(_xlfn._xlws.FILTER(G818:G838,(A818:A838=A818)*(E818:E838&lt;0)))),0)</f>
        <v>0</v>
      </c>
      <c r="J818" s="25">
        <f t="array" ref="J818">IFERROR(IF(A818=A817,0,SUM(_xlfn._xlws.FILTER(G818:G838,(A818:A838=A818)*(E818:E838&gt;0)))),0)</f>
        <v>0</v>
      </c>
      <c r="K818" s="25">
        <f>IF(H818&lt;&gt;0,SUM(H$2:H818),0)</f>
        <v>0</v>
      </c>
      <c r="L818" s="25">
        <f>IF(I818&lt;&gt;0,SUM(I$2:I818),0)</f>
        <v>0</v>
      </c>
      <c r="M818" s="25">
        <f>IF(J818&lt;&gt;0,SUM(J$2:J818),0)</f>
        <v>0</v>
      </c>
    </row>
    <row r="819" spans="8:13" x14ac:dyDescent="0.2">
      <c r="H819" s="25">
        <f t="array" ref="H819">IF(A819=A818,0,SUM(_xlfn._xlws.FILTER(G819:G839,A819:A839=A819)))</f>
        <v>0</v>
      </c>
      <c r="I819" s="25">
        <f t="array" ref="I819">IFERROR(IF(A819=A818,0,SUM(_xlfn._xlws.FILTER(G819:G839,(A819:A839=A819)*(E819:E839&lt;0)))),0)</f>
        <v>0</v>
      </c>
      <c r="J819" s="25">
        <f t="array" ref="J819">IFERROR(IF(A819=A818,0,SUM(_xlfn._xlws.FILTER(G819:G839,(A819:A839=A819)*(E819:E839&gt;0)))),0)</f>
        <v>0</v>
      </c>
      <c r="K819" s="25">
        <f>IF(H819&lt;&gt;0,SUM(H$2:H819),0)</f>
        <v>0</v>
      </c>
      <c r="L819" s="25">
        <f>IF(I819&lt;&gt;0,SUM(I$2:I819),0)</f>
        <v>0</v>
      </c>
      <c r="M819" s="25">
        <f>IF(J819&lt;&gt;0,SUM(J$2:J819),0)</f>
        <v>0</v>
      </c>
    </row>
    <row r="820" spans="8:13" x14ac:dyDescent="0.2">
      <c r="H820" s="25">
        <f t="array" ref="H820">IF(A820=A819,0,SUM(_xlfn._xlws.FILTER(G820:G840,A820:A840=A820)))</f>
        <v>0</v>
      </c>
      <c r="I820" s="25">
        <f t="array" ref="I820">IFERROR(IF(A820=A819,0,SUM(_xlfn._xlws.FILTER(G820:G840,(A820:A840=A820)*(E820:E840&lt;0)))),0)</f>
        <v>0</v>
      </c>
      <c r="J820" s="25">
        <f t="array" ref="J820">IFERROR(IF(A820=A819,0,SUM(_xlfn._xlws.FILTER(G820:G840,(A820:A840=A820)*(E820:E840&gt;0)))),0)</f>
        <v>0</v>
      </c>
      <c r="K820" s="25">
        <f>IF(H820&lt;&gt;0,SUM(H$2:H820),0)</f>
        <v>0</v>
      </c>
      <c r="L820" s="25">
        <f>IF(I820&lt;&gt;0,SUM(I$2:I820),0)</f>
        <v>0</v>
      </c>
      <c r="M820" s="25">
        <f>IF(J820&lt;&gt;0,SUM(J$2:J820),0)</f>
        <v>0</v>
      </c>
    </row>
    <row r="821" spans="8:13" x14ac:dyDescent="0.2">
      <c r="H821" s="25">
        <f t="array" ref="H821">IF(A821=A820,0,SUM(_xlfn._xlws.FILTER(G821:G841,A821:A841=A821)))</f>
        <v>0</v>
      </c>
      <c r="I821" s="25">
        <f t="array" ref="I821">IFERROR(IF(A821=A820,0,SUM(_xlfn._xlws.FILTER(G821:G841,(A821:A841=A821)*(E821:E841&lt;0)))),0)</f>
        <v>0</v>
      </c>
      <c r="J821" s="25">
        <f t="array" ref="J821">IFERROR(IF(A821=A820,0,SUM(_xlfn._xlws.FILTER(G821:G841,(A821:A841=A821)*(E821:E841&gt;0)))),0)</f>
        <v>0</v>
      </c>
      <c r="K821" s="25">
        <f>IF(H821&lt;&gt;0,SUM(H$2:H821),0)</f>
        <v>0</v>
      </c>
      <c r="L821" s="25">
        <f>IF(I821&lt;&gt;0,SUM(I$2:I821),0)</f>
        <v>0</v>
      </c>
      <c r="M821" s="25">
        <f>IF(J821&lt;&gt;0,SUM(J$2:J821),0)</f>
        <v>0</v>
      </c>
    </row>
    <row r="822" spans="8:13" x14ac:dyDescent="0.2">
      <c r="H822" s="25">
        <f t="array" ref="H822">IF(A822=A821,0,SUM(_xlfn._xlws.FILTER(G822:G842,A822:A842=A822)))</f>
        <v>0</v>
      </c>
      <c r="I822" s="25">
        <f t="array" ref="I822">IFERROR(IF(A822=A821,0,SUM(_xlfn._xlws.FILTER(G822:G842,(A822:A842=A822)*(E822:E842&lt;0)))),0)</f>
        <v>0</v>
      </c>
      <c r="J822" s="25">
        <f t="array" ref="J822">IFERROR(IF(A822=A821,0,SUM(_xlfn._xlws.FILTER(G822:G842,(A822:A842=A822)*(E822:E842&gt;0)))),0)</f>
        <v>0</v>
      </c>
      <c r="K822" s="25">
        <f>IF(H822&lt;&gt;0,SUM(H$2:H822),0)</f>
        <v>0</v>
      </c>
      <c r="L822" s="25">
        <f>IF(I822&lt;&gt;0,SUM(I$2:I822),0)</f>
        <v>0</v>
      </c>
      <c r="M822" s="25">
        <f>IF(J822&lt;&gt;0,SUM(J$2:J822),0)</f>
        <v>0</v>
      </c>
    </row>
    <row r="823" spans="8:13" x14ac:dyDescent="0.2">
      <c r="H823" s="25">
        <f t="array" ref="H823">IF(A823=A822,0,SUM(_xlfn._xlws.FILTER(G823:G843,A823:A843=A823)))</f>
        <v>0</v>
      </c>
      <c r="I823" s="25">
        <f t="array" ref="I823">IFERROR(IF(A823=A822,0,SUM(_xlfn._xlws.FILTER(G823:G843,(A823:A843=A823)*(E823:E843&lt;0)))),0)</f>
        <v>0</v>
      </c>
      <c r="J823" s="25">
        <f t="array" ref="J823">IFERROR(IF(A823=A822,0,SUM(_xlfn._xlws.FILTER(G823:G843,(A823:A843=A823)*(E823:E843&gt;0)))),0)</f>
        <v>0</v>
      </c>
      <c r="K823" s="25">
        <f>IF(H823&lt;&gt;0,SUM(H$2:H823),0)</f>
        <v>0</v>
      </c>
      <c r="L823" s="25">
        <f>IF(I823&lt;&gt;0,SUM(I$2:I823),0)</f>
        <v>0</v>
      </c>
      <c r="M823" s="25">
        <f>IF(J823&lt;&gt;0,SUM(J$2:J823),0)</f>
        <v>0</v>
      </c>
    </row>
    <row r="824" spans="8:13" x14ac:dyDescent="0.2">
      <c r="H824" s="25">
        <f t="array" ref="H824">IF(A824=A823,0,SUM(_xlfn._xlws.FILTER(G824:G844,A824:A844=A824)))</f>
        <v>0</v>
      </c>
      <c r="I824" s="25">
        <f t="array" ref="I824">IFERROR(IF(A824=A823,0,SUM(_xlfn._xlws.FILTER(G824:G844,(A824:A844=A824)*(E824:E844&lt;0)))),0)</f>
        <v>0</v>
      </c>
      <c r="J824" s="25">
        <f t="array" ref="J824">IFERROR(IF(A824=A823,0,SUM(_xlfn._xlws.FILTER(G824:G844,(A824:A844=A824)*(E824:E844&gt;0)))),0)</f>
        <v>0</v>
      </c>
      <c r="K824" s="25">
        <f>IF(H824&lt;&gt;0,SUM(H$2:H824),0)</f>
        <v>0</v>
      </c>
      <c r="L824" s="25">
        <f>IF(I824&lt;&gt;0,SUM(I$2:I824),0)</f>
        <v>0</v>
      </c>
      <c r="M824" s="25">
        <f>IF(J824&lt;&gt;0,SUM(J$2:J824),0)</f>
        <v>0</v>
      </c>
    </row>
    <row r="825" spans="8:13" x14ac:dyDescent="0.2">
      <c r="H825" s="25">
        <f t="array" ref="H825">IF(A825=A824,0,SUM(_xlfn._xlws.FILTER(G825:G845,A825:A845=A825)))</f>
        <v>0</v>
      </c>
      <c r="I825" s="25">
        <f t="array" ref="I825">IFERROR(IF(A825=A824,0,SUM(_xlfn._xlws.FILTER(G825:G845,(A825:A845=A825)*(E825:E845&lt;0)))),0)</f>
        <v>0</v>
      </c>
      <c r="J825" s="25">
        <f t="array" ref="J825">IFERROR(IF(A825=A824,0,SUM(_xlfn._xlws.FILTER(G825:G845,(A825:A845=A825)*(E825:E845&gt;0)))),0)</f>
        <v>0</v>
      </c>
      <c r="K825" s="25">
        <f>IF(H825&lt;&gt;0,SUM(H$2:H825),0)</f>
        <v>0</v>
      </c>
      <c r="L825" s="25">
        <f>IF(I825&lt;&gt;0,SUM(I$2:I825),0)</f>
        <v>0</v>
      </c>
      <c r="M825" s="25">
        <f>IF(J825&lt;&gt;0,SUM(J$2:J825),0)</f>
        <v>0</v>
      </c>
    </row>
    <row r="826" spans="8:13" x14ac:dyDescent="0.2">
      <c r="H826" s="25">
        <f t="array" ref="H826">IF(A826=A825,0,SUM(_xlfn._xlws.FILTER(G826:G846,A826:A846=A826)))</f>
        <v>0</v>
      </c>
      <c r="I826" s="25">
        <f t="array" ref="I826">IFERROR(IF(A826=A825,0,SUM(_xlfn._xlws.FILTER(G826:G846,(A826:A846=A826)*(E826:E846&lt;0)))),0)</f>
        <v>0</v>
      </c>
      <c r="J826" s="25">
        <f t="array" ref="J826">IFERROR(IF(A826=A825,0,SUM(_xlfn._xlws.FILTER(G826:G846,(A826:A846=A826)*(E826:E846&gt;0)))),0)</f>
        <v>0</v>
      </c>
      <c r="K826" s="25">
        <f>IF(H826&lt;&gt;0,SUM(H$2:H826),0)</f>
        <v>0</v>
      </c>
      <c r="L826" s="25">
        <f>IF(I826&lt;&gt;0,SUM(I$2:I826),0)</f>
        <v>0</v>
      </c>
      <c r="M826" s="25">
        <f>IF(J826&lt;&gt;0,SUM(J$2:J826),0)</f>
        <v>0</v>
      </c>
    </row>
    <row r="827" spans="8:13" x14ac:dyDescent="0.2">
      <c r="H827" s="25">
        <f t="array" ref="H827">IF(A827=A826,0,SUM(_xlfn._xlws.FILTER(G827:G847,A827:A847=A827)))</f>
        <v>0</v>
      </c>
      <c r="I827" s="25">
        <f t="array" ref="I827">IFERROR(IF(A827=A826,0,SUM(_xlfn._xlws.FILTER(G827:G847,(A827:A847=A827)*(E827:E847&lt;0)))),0)</f>
        <v>0</v>
      </c>
      <c r="J827" s="25">
        <f t="array" ref="J827">IFERROR(IF(A827=A826,0,SUM(_xlfn._xlws.FILTER(G827:G847,(A827:A847=A827)*(E827:E847&gt;0)))),0)</f>
        <v>0</v>
      </c>
      <c r="K827" s="25">
        <f>IF(H827&lt;&gt;0,SUM(H$2:H827),0)</f>
        <v>0</v>
      </c>
      <c r="L827" s="25">
        <f>IF(I827&lt;&gt;0,SUM(I$2:I827),0)</f>
        <v>0</v>
      </c>
      <c r="M827" s="25">
        <f>IF(J827&lt;&gt;0,SUM(J$2:J827),0)</f>
        <v>0</v>
      </c>
    </row>
    <row r="828" spans="8:13" x14ac:dyDescent="0.2">
      <c r="H828" s="25">
        <f t="array" ref="H828">IF(A828=A827,0,SUM(_xlfn._xlws.FILTER(G828:G848,A828:A848=A828)))</f>
        <v>0</v>
      </c>
      <c r="I828" s="25">
        <f t="array" ref="I828">IFERROR(IF(A828=A827,0,SUM(_xlfn._xlws.FILTER(G828:G848,(A828:A848=A828)*(E828:E848&lt;0)))),0)</f>
        <v>0</v>
      </c>
      <c r="J828" s="25">
        <f t="array" ref="J828">IFERROR(IF(A828=A827,0,SUM(_xlfn._xlws.FILTER(G828:G848,(A828:A848=A828)*(E828:E848&gt;0)))),0)</f>
        <v>0</v>
      </c>
      <c r="K828" s="25">
        <f>IF(H828&lt;&gt;0,SUM(H$2:H828),0)</f>
        <v>0</v>
      </c>
      <c r="L828" s="25">
        <f>IF(I828&lt;&gt;0,SUM(I$2:I828),0)</f>
        <v>0</v>
      </c>
      <c r="M828" s="25">
        <f>IF(J828&lt;&gt;0,SUM(J$2:J828),0)</f>
        <v>0</v>
      </c>
    </row>
    <row r="829" spans="8:13" x14ac:dyDescent="0.2">
      <c r="H829" s="25">
        <f t="array" ref="H829">IF(A829=A828,0,SUM(_xlfn._xlws.FILTER(G829:G849,A829:A849=A829)))</f>
        <v>0</v>
      </c>
      <c r="I829" s="25">
        <f t="array" ref="I829">IFERROR(IF(A829=A828,0,SUM(_xlfn._xlws.FILTER(G829:G849,(A829:A849=A829)*(E829:E849&lt;0)))),0)</f>
        <v>0</v>
      </c>
      <c r="J829" s="25">
        <f t="array" ref="J829">IFERROR(IF(A829=A828,0,SUM(_xlfn._xlws.FILTER(G829:G849,(A829:A849=A829)*(E829:E849&gt;0)))),0)</f>
        <v>0</v>
      </c>
      <c r="K829" s="25">
        <f>IF(H829&lt;&gt;0,SUM(H$2:H829),0)</f>
        <v>0</v>
      </c>
      <c r="L829" s="25">
        <f>IF(I829&lt;&gt;0,SUM(I$2:I829),0)</f>
        <v>0</v>
      </c>
      <c r="M829" s="25">
        <f>IF(J829&lt;&gt;0,SUM(J$2:J829),0)</f>
        <v>0</v>
      </c>
    </row>
    <row r="830" spans="8:13" x14ac:dyDescent="0.2">
      <c r="H830" s="25">
        <f t="array" ref="H830">IF(A830=A829,0,SUM(_xlfn._xlws.FILTER(G830:G850,A830:A850=A830)))</f>
        <v>0</v>
      </c>
      <c r="I830" s="25">
        <f t="array" ref="I830">IFERROR(IF(A830=A829,0,SUM(_xlfn._xlws.FILTER(G830:G850,(A830:A850=A830)*(E830:E850&lt;0)))),0)</f>
        <v>0</v>
      </c>
      <c r="J830" s="25">
        <f t="array" ref="J830">IFERROR(IF(A830=A829,0,SUM(_xlfn._xlws.FILTER(G830:G850,(A830:A850=A830)*(E830:E850&gt;0)))),0)</f>
        <v>0</v>
      </c>
      <c r="K830" s="25">
        <f>IF(H830&lt;&gt;0,SUM(H$2:H830),0)</f>
        <v>0</v>
      </c>
      <c r="L830" s="25">
        <f>IF(I830&lt;&gt;0,SUM(I$2:I830),0)</f>
        <v>0</v>
      </c>
      <c r="M830" s="25">
        <f>IF(J830&lt;&gt;0,SUM(J$2:J830),0)</f>
        <v>0</v>
      </c>
    </row>
    <row r="831" spans="8:13" x14ac:dyDescent="0.2">
      <c r="H831" s="25">
        <f t="array" ref="H831">IF(A831=A830,0,SUM(_xlfn._xlws.FILTER(G831:G851,A831:A851=A831)))</f>
        <v>0</v>
      </c>
      <c r="I831" s="25">
        <f t="array" ref="I831">IFERROR(IF(A831=A830,0,SUM(_xlfn._xlws.FILTER(G831:G851,(A831:A851=A831)*(E831:E851&lt;0)))),0)</f>
        <v>0</v>
      </c>
      <c r="J831" s="25">
        <f t="array" ref="J831">IFERROR(IF(A831=A830,0,SUM(_xlfn._xlws.FILTER(G831:G851,(A831:A851=A831)*(E831:E851&gt;0)))),0)</f>
        <v>0</v>
      </c>
      <c r="K831" s="25">
        <f>IF(H831&lt;&gt;0,SUM(H$2:H831),0)</f>
        <v>0</v>
      </c>
      <c r="L831" s="25">
        <f>IF(I831&lt;&gt;0,SUM(I$2:I831),0)</f>
        <v>0</v>
      </c>
      <c r="M831" s="25">
        <f>IF(J831&lt;&gt;0,SUM(J$2:J831),0)</f>
        <v>0</v>
      </c>
    </row>
    <row r="832" spans="8:13" x14ac:dyDescent="0.2">
      <c r="H832" s="25">
        <f t="array" ref="H832">IF(A832=A831,0,SUM(_xlfn._xlws.FILTER(G832:G852,A832:A852=A832)))</f>
        <v>0</v>
      </c>
      <c r="I832" s="25">
        <f t="array" ref="I832">IFERROR(IF(A832=A831,0,SUM(_xlfn._xlws.FILTER(G832:G852,(A832:A852=A832)*(E832:E852&lt;0)))),0)</f>
        <v>0</v>
      </c>
      <c r="J832" s="25">
        <f t="array" ref="J832">IFERROR(IF(A832=A831,0,SUM(_xlfn._xlws.FILTER(G832:G852,(A832:A852=A832)*(E832:E852&gt;0)))),0)</f>
        <v>0</v>
      </c>
      <c r="K832" s="25">
        <f>IF(H832&lt;&gt;0,SUM(H$2:H832),0)</f>
        <v>0</v>
      </c>
      <c r="L832" s="25">
        <f>IF(I832&lt;&gt;0,SUM(I$2:I832),0)</f>
        <v>0</v>
      </c>
      <c r="M832" s="25">
        <f>IF(J832&lt;&gt;0,SUM(J$2:J832),0)</f>
        <v>0</v>
      </c>
    </row>
    <row r="833" spans="8:13" x14ac:dyDescent="0.2">
      <c r="H833" s="25">
        <f t="array" ref="H833">IF(A833=A832,0,SUM(_xlfn._xlws.FILTER(G833:G853,A833:A853=A833)))</f>
        <v>0</v>
      </c>
      <c r="I833" s="25">
        <f t="array" ref="I833">IFERROR(IF(A833=A832,0,SUM(_xlfn._xlws.FILTER(G833:G853,(A833:A853=A833)*(E833:E853&lt;0)))),0)</f>
        <v>0</v>
      </c>
      <c r="J833" s="25">
        <f t="array" ref="J833">IFERROR(IF(A833=A832,0,SUM(_xlfn._xlws.FILTER(G833:G853,(A833:A853=A833)*(E833:E853&gt;0)))),0)</f>
        <v>0</v>
      </c>
      <c r="K833" s="25">
        <f>IF(H833&lt;&gt;0,SUM(H$2:H833),0)</f>
        <v>0</v>
      </c>
      <c r="L833" s="25">
        <f>IF(I833&lt;&gt;0,SUM(I$2:I833),0)</f>
        <v>0</v>
      </c>
      <c r="M833" s="25">
        <f>IF(J833&lt;&gt;0,SUM(J$2:J833),0)</f>
        <v>0</v>
      </c>
    </row>
    <row r="834" spans="8:13" x14ac:dyDescent="0.2">
      <c r="H834" s="25">
        <f t="array" ref="H834">IF(A834=A833,0,SUM(_xlfn._xlws.FILTER(G834:G854,A834:A854=A834)))</f>
        <v>0</v>
      </c>
      <c r="I834" s="25">
        <f t="array" ref="I834">IFERROR(IF(A834=A833,0,SUM(_xlfn._xlws.FILTER(G834:G854,(A834:A854=A834)*(E834:E854&lt;0)))),0)</f>
        <v>0</v>
      </c>
      <c r="J834" s="25">
        <f t="array" ref="J834">IFERROR(IF(A834=A833,0,SUM(_xlfn._xlws.FILTER(G834:G854,(A834:A854=A834)*(E834:E854&gt;0)))),0)</f>
        <v>0</v>
      </c>
      <c r="K834" s="25">
        <f>IF(H834&lt;&gt;0,SUM(H$2:H834),0)</f>
        <v>0</v>
      </c>
      <c r="L834" s="25">
        <f>IF(I834&lt;&gt;0,SUM(I$2:I834),0)</f>
        <v>0</v>
      </c>
      <c r="M834" s="25">
        <f>IF(J834&lt;&gt;0,SUM(J$2:J834),0)</f>
        <v>0</v>
      </c>
    </row>
    <row r="835" spans="8:13" x14ac:dyDescent="0.2">
      <c r="H835" s="25">
        <f t="array" ref="H835">IF(A835=A834,0,SUM(_xlfn._xlws.FILTER(G835:G855,A835:A855=A835)))</f>
        <v>0</v>
      </c>
      <c r="I835" s="25">
        <f t="array" ref="I835">IFERROR(IF(A835=A834,0,SUM(_xlfn._xlws.FILTER(G835:G855,(A835:A855=A835)*(E835:E855&lt;0)))),0)</f>
        <v>0</v>
      </c>
      <c r="J835" s="25">
        <f t="array" ref="J835">IFERROR(IF(A835=A834,0,SUM(_xlfn._xlws.FILTER(G835:G855,(A835:A855=A835)*(E835:E855&gt;0)))),0)</f>
        <v>0</v>
      </c>
      <c r="K835" s="25">
        <f>IF(H835&lt;&gt;0,SUM(H$2:H835),0)</f>
        <v>0</v>
      </c>
      <c r="L835" s="25">
        <f>IF(I835&lt;&gt;0,SUM(I$2:I835),0)</f>
        <v>0</v>
      </c>
      <c r="M835" s="25">
        <f>IF(J835&lt;&gt;0,SUM(J$2:J835),0)</f>
        <v>0</v>
      </c>
    </row>
    <row r="836" spans="8:13" x14ac:dyDescent="0.2">
      <c r="H836" s="25">
        <f t="array" ref="H836">IF(A836=A835,0,SUM(_xlfn._xlws.FILTER(G836:G856,A836:A856=A836)))</f>
        <v>0</v>
      </c>
      <c r="I836" s="25">
        <f t="array" ref="I836">IFERROR(IF(A836=A835,0,SUM(_xlfn._xlws.FILTER(G836:G856,(A836:A856=A836)*(E836:E856&lt;0)))),0)</f>
        <v>0</v>
      </c>
      <c r="J836" s="25">
        <f t="array" ref="J836">IFERROR(IF(A836=A835,0,SUM(_xlfn._xlws.FILTER(G836:G856,(A836:A856=A836)*(E836:E856&gt;0)))),0)</f>
        <v>0</v>
      </c>
      <c r="K836" s="25">
        <f>IF(H836&lt;&gt;0,SUM(H$2:H836),0)</f>
        <v>0</v>
      </c>
      <c r="L836" s="25">
        <f>IF(I836&lt;&gt;0,SUM(I$2:I836),0)</f>
        <v>0</v>
      </c>
      <c r="M836" s="25">
        <f>IF(J836&lt;&gt;0,SUM(J$2:J836),0)</f>
        <v>0</v>
      </c>
    </row>
    <row r="837" spans="8:13" x14ac:dyDescent="0.2">
      <c r="H837" s="25">
        <f t="array" ref="H837">IF(A837=A836,0,SUM(_xlfn._xlws.FILTER(G837:G857,A837:A857=A837)))</f>
        <v>0</v>
      </c>
      <c r="I837" s="25">
        <f t="array" ref="I837">IFERROR(IF(A837=A836,0,SUM(_xlfn._xlws.FILTER(G837:G857,(A837:A857=A837)*(E837:E857&lt;0)))),0)</f>
        <v>0</v>
      </c>
      <c r="J837" s="25">
        <f t="array" ref="J837">IFERROR(IF(A837=A836,0,SUM(_xlfn._xlws.FILTER(G837:G857,(A837:A857=A837)*(E837:E857&gt;0)))),0)</f>
        <v>0</v>
      </c>
      <c r="K837" s="25">
        <f>IF(H837&lt;&gt;0,SUM(H$2:H837),0)</f>
        <v>0</v>
      </c>
      <c r="L837" s="25">
        <f>IF(I837&lt;&gt;0,SUM(I$2:I837),0)</f>
        <v>0</v>
      </c>
      <c r="M837" s="25">
        <f>IF(J837&lt;&gt;0,SUM(J$2:J837),0)</f>
        <v>0</v>
      </c>
    </row>
    <row r="838" spans="8:13" x14ac:dyDescent="0.2">
      <c r="H838" s="25">
        <f t="array" ref="H838">IF(A838=A837,0,SUM(_xlfn._xlws.FILTER(G838:G858,A838:A858=A838)))</f>
        <v>0</v>
      </c>
      <c r="I838" s="25">
        <f t="array" ref="I838">IFERROR(IF(A838=A837,0,SUM(_xlfn._xlws.FILTER(G838:G858,(A838:A858=A838)*(E838:E858&lt;0)))),0)</f>
        <v>0</v>
      </c>
      <c r="J838" s="25">
        <f t="array" ref="J838">IFERROR(IF(A838=A837,0,SUM(_xlfn._xlws.FILTER(G838:G858,(A838:A858=A838)*(E838:E858&gt;0)))),0)</f>
        <v>0</v>
      </c>
      <c r="K838" s="25">
        <f>IF(H838&lt;&gt;0,SUM(H$2:H838),0)</f>
        <v>0</v>
      </c>
      <c r="L838" s="25">
        <f>IF(I838&lt;&gt;0,SUM(I$2:I838),0)</f>
        <v>0</v>
      </c>
      <c r="M838" s="25">
        <f>IF(J838&lt;&gt;0,SUM(J$2:J838),0)</f>
        <v>0</v>
      </c>
    </row>
    <row r="839" spans="8:13" x14ac:dyDescent="0.2">
      <c r="H839" s="25">
        <f t="array" ref="H839">IF(A839=A838,0,SUM(_xlfn._xlws.FILTER(G839:G859,A839:A859=A839)))</f>
        <v>0</v>
      </c>
      <c r="I839" s="25">
        <f t="array" ref="I839">IFERROR(IF(A839=A838,0,SUM(_xlfn._xlws.FILTER(G839:G859,(A839:A859=A839)*(E839:E859&lt;0)))),0)</f>
        <v>0</v>
      </c>
      <c r="J839" s="25">
        <f t="array" ref="J839">IFERROR(IF(A839=A838,0,SUM(_xlfn._xlws.FILTER(G839:G859,(A839:A859=A839)*(E839:E859&gt;0)))),0)</f>
        <v>0</v>
      </c>
      <c r="K839" s="25">
        <f>IF(H839&lt;&gt;0,SUM(H$2:H839),0)</f>
        <v>0</v>
      </c>
      <c r="L839" s="25">
        <f>IF(I839&lt;&gt;0,SUM(I$2:I839),0)</f>
        <v>0</v>
      </c>
      <c r="M839" s="25">
        <f>IF(J839&lt;&gt;0,SUM(J$2:J839),0)</f>
        <v>0</v>
      </c>
    </row>
    <row r="840" spans="8:13" x14ac:dyDescent="0.2">
      <c r="H840" s="25">
        <f t="array" ref="H840">IF(A840=A839,0,SUM(_xlfn._xlws.FILTER(G840:G860,A840:A860=A840)))</f>
        <v>0</v>
      </c>
      <c r="I840" s="25">
        <f t="array" ref="I840">IFERROR(IF(A840=A839,0,SUM(_xlfn._xlws.FILTER(G840:G860,(A840:A860=A840)*(E840:E860&lt;0)))),0)</f>
        <v>0</v>
      </c>
      <c r="J840" s="25">
        <f t="array" ref="J840">IFERROR(IF(A840=A839,0,SUM(_xlfn._xlws.FILTER(G840:G860,(A840:A860=A840)*(E840:E860&gt;0)))),0)</f>
        <v>0</v>
      </c>
      <c r="K840" s="25">
        <f>IF(H840&lt;&gt;0,SUM(H$2:H840),0)</f>
        <v>0</v>
      </c>
      <c r="L840" s="25">
        <f>IF(I840&lt;&gt;0,SUM(I$2:I840),0)</f>
        <v>0</v>
      </c>
      <c r="M840" s="25">
        <f>IF(J840&lt;&gt;0,SUM(J$2:J840),0)</f>
        <v>0</v>
      </c>
    </row>
    <row r="841" spans="8:13" x14ac:dyDescent="0.2">
      <c r="H841" s="25">
        <f t="array" ref="H841">IF(A841=A840,0,SUM(_xlfn._xlws.FILTER(G841:G861,A841:A861=A841)))</f>
        <v>0</v>
      </c>
      <c r="I841" s="25">
        <f t="array" ref="I841">IFERROR(IF(A841=A840,0,SUM(_xlfn._xlws.FILTER(G841:G861,(A841:A861=A841)*(E841:E861&lt;0)))),0)</f>
        <v>0</v>
      </c>
      <c r="J841" s="25">
        <f t="array" ref="J841">IFERROR(IF(A841=A840,0,SUM(_xlfn._xlws.FILTER(G841:G861,(A841:A861=A841)*(E841:E861&gt;0)))),0)</f>
        <v>0</v>
      </c>
      <c r="K841" s="25">
        <f>IF(H841&lt;&gt;0,SUM(H$2:H841),0)</f>
        <v>0</v>
      </c>
      <c r="L841" s="25">
        <f>IF(I841&lt;&gt;0,SUM(I$2:I841),0)</f>
        <v>0</v>
      </c>
      <c r="M841" s="25">
        <f>IF(J841&lt;&gt;0,SUM(J$2:J841),0)</f>
        <v>0</v>
      </c>
    </row>
    <row r="842" spans="8:13" x14ac:dyDescent="0.2">
      <c r="H842" s="25">
        <f t="array" ref="H842">IF(A842=A841,0,SUM(_xlfn._xlws.FILTER(G842:G862,A842:A862=A842)))</f>
        <v>0</v>
      </c>
      <c r="I842" s="25">
        <f t="array" ref="I842">IFERROR(IF(A842=A841,0,SUM(_xlfn._xlws.FILTER(G842:G862,(A842:A862=A842)*(E842:E862&lt;0)))),0)</f>
        <v>0</v>
      </c>
      <c r="J842" s="25">
        <f t="array" ref="J842">IFERROR(IF(A842=A841,0,SUM(_xlfn._xlws.FILTER(G842:G862,(A842:A862=A842)*(E842:E862&gt;0)))),0)</f>
        <v>0</v>
      </c>
      <c r="K842" s="25">
        <f>IF(H842&lt;&gt;0,SUM(H$2:H842),0)</f>
        <v>0</v>
      </c>
      <c r="L842" s="25">
        <f>IF(I842&lt;&gt;0,SUM(I$2:I842),0)</f>
        <v>0</v>
      </c>
      <c r="M842" s="25">
        <f>IF(J842&lt;&gt;0,SUM(J$2:J842),0)</f>
        <v>0</v>
      </c>
    </row>
    <row r="843" spans="8:13" x14ac:dyDescent="0.2">
      <c r="H843" s="25">
        <f t="array" ref="H843">IF(A843=A842,0,SUM(_xlfn._xlws.FILTER(G843:G863,A843:A863=A843)))</f>
        <v>0</v>
      </c>
      <c r="I843" s="25">
        <f t="array" ref="I843">IFERROR(IF(A843=A842,0,SUM(_xlfn._xlws.FILTER(G843:G863,(A843:A863=A843)*(E843:E863&lt;0)))),0)</f>
        <v>0</v>
      </c>
      <c r="J843" s="25">
        <f t="array" ref="J843">IFERROR(IF(A843=A842,0,SUM(_xlfn._xlws.FILTER(G843:G863,(A843:A863=A843)*(E843:E863&gt;0)))),0)</f>
        <v>0</v>
      </c>
      <c r="K843" s="25">
        <f>IF(H843&lt;&gt;0,SUM(H$2:H843),0)</f>
        <v>0</v>
      </c>
      <c r="L843" s="25">
        <f>IF(I843&lt;&gt;0,SUM(I$2:I843),0)</f>
        <v>0</v>
      </c>
      <c r="M843" s="25">
        <f>IF(J843&lt;&gt;0,SUM(J$2:J843),0)</f>
        <v>0</v>
      </c>
    </row>
    <row r="844" spans="8:13" x14ac:dyDescent="0.2">
      <c r="H844" s="25">
        <f t="array" ref="H844">IF(A844=A843,0,SUM(_xlfn._xlws.FILTER(G844:G864,A844:A864=A844)))</f>
        <v>0</v>
      </c>
      <c r="I844" s="25">
        <f t="array" ref="I844">IFERROR(IF(A844=A843,0,SUM(_xlfn._xlws.FILTER(G844:G864,(A844:A864=A844)*(E844:E864&lt;0)))),0)</f>
        <v>0</v>
      </c>
      <c r="J844" s="25">
        <f t="array" ref="J844">IFERROR(IF(A844=A843,0,SUM(_xlfn._xlws.FILTER(G844:G864,(A844:A864=A844)*(E844:E864&gt;0)))),0)</f>
        <v>0</v>
      </c>
      <c r="K844" s="25">
        <f>IF(H844&lt;&gt;0,SUM(H$2:H844),0)</f>
        <v>0</v>
      </c>
      <c r="L844" s="25">
        <f>IF(I844&lt;&gt;0,SUM(I$2:I844),0)</f>
        <v>0</v>
      </c>
      <c r="M844" s="25">
        <f>IF(J844&lt;&gt;0,SUM(J$2:J844),0)</f>
        <v>0</v>
      </c>
    </row>
    <row r="845" spans="8:13" x14ac:dyDescent="0.2">
      <c r="H845" s="25">
        <f t="array" ref="H845">IF(A845=A844,0,SUM(_xlfn._xlws.FILTER(G845:G865,A845:A865=A845)))</f>
        <v>0</v>
      </c>
      <c r="I845" s="25">
        <f t="array" ref="I845">IFERROR(IF(A845=A844,0,SUM(_xlfn._xlws.FILTER(G845:G865,(A845:A865=A845)*(E845:E865&lt;0)))),0)</f>
        <v>0</v>
      </c>
      <c r="J845" s="25">
        <f t="array" ref="J845">IFERROR(IF(A845=A844,0,SUM(_xlfn._xlws.FILTER(G845:G865,(A845:A865=A845)*(E845:E865&gt;0)))),0)</f>
        <v>0</v>
      </c>
      <c r="K845" s="25">
        <f>IF(H845&lt;&gt;0,SUM(H$2:H845),0)</f>
        <v>0</v>
      </c>
      <c r="L845" s="25">
        <f>IF(I845&lt;&gt;0,SUM(I$2:I845),0)</f>
        <v>0</v>
      </c>
      <c r="M845" s="25">
        <f>IF(J845&lt;&gt;0,SUM(J$2:J845),0)</f>
        <v>0</v>
      </c>
    </row>
    <row r="846" spans="8:13" x14ac:dyDescent="0.2">
      <c r="H846" s="25">
        <f t="array" ref="H846">IF(A846=A845,0,SUM(_xlfn._xlws.FILTER(G846:G866,A846:A866=A846)))</f>
        <v>0</v>
      </c>
      <c r="I846" s="25">
        <f t="array" ref="I846">IFERROR(IF(A846=A845,0,SUM(_xlfn._xlws.FILTER(G846:G866,(A846:A866=A846)*(E846:E866&lt;0)))),0)</f>
        <v>0</v>
      </c>
      <c r="J846" s="25">
        <f t="array" ref="J846">IFERROR(IF(A846=A845,0,SUM(_xlfn._xlws.FILTER(G846:G866,(A846:A866=A846)*(E846:E866&gt;0)))),0)</f>
        <v>0</v>
      </c>
      <c r="K846" s="25">
        <f>IF(H846&lt;&gt;0,SUM(H$2:H846),0)</f>
        <v>0</v>
      </c>
      <c r="L846" s="25">
        <f>IF(I846&lt;&gt;0,SUM(I$2:I846),0)</f>
        <v>0</v>
      </c>
      <c r="M846" s="25">
        <f>IF(J846&lt;&gt;0,SUM(J$2:J846),0)</f>
        <v>0</v>
      </c>
    </row>
    <row r="847" spans="8:13" x14ac:dyDescent="0.2">
      <c r="H847" s="25">
        <f t="array" ref="H847">IF(A847=A846,0,SUM(_xlfn._xlws.FILTER(G847:G867,A847:A867=A847)))</f>
        <v>0</v>
      </c>
      <c r="I847" s="25">
        <f t="array" ref="I847">IFERROR(IF(A847=A846,0,SUM(_xlfn._xlws.FILTER(G847:G867,(A847:A867=A847)*(E847:E867&lt;0)))),0)</f>
        <v>0</v>
      </c>
      <c r="J847" s="25">
        <f t="array" ref="J847">IFERROR(IF(A847=A846,0,SUM(_xlfn._xlws.FILTER(G847:G867,(A847:A867=A847)*(E847:E867&gt;0)))),0)</f>
        <v>0</v>
      </c>
      <c r="K847" s="25">
        <f>IF(H847&lt;&gt;0,SUM(H$2:H847),0)</f>
        <v>0</v>
      </c>
      <c r="L847" s="25">
        <f>IF(I847&lt;&gt;0,SUM(I$2:I847),0)</f>
        <v>0</v>
      </c>
      <c r="M847" s="25">
        <f>IF(J847&lt;&gt;0,SUM(J$2:J847),0)</f>
        <v>0</v>
      </c>
    </row>
    <row r="848" spans="8:13" x14ac:dyDescent="0.2">
      <c r="H848" s="25">
        <f t="array" ref="H848">IF(A848=A847,0,SUM(_xlfn._xlws.FILTER(G848:G868,A848:A868=A848)))</f>
        <v>0</v>
      </c>
      <c r="I848" s="25">
        <f t="array" ref="I848">IFERROR(IF(A848=A847,0,SUM(_xlfn._xlws.FILTER(G848:G868,(A848:A868=A848)*(E848:E868&lt;0)))),0)</f>
        <v>0</v>
      </c>
      <c r="J848" s="25">
        <f t="array" ref="J848">IFERROR(IF(A848=A847,0,SUM(_xlfn._xlws.FILTER(G848:G868,(A848:A868=A848)*(E848:E868&gt;0)))),0)</f>
        <v>0</v>
      </c>
      <c r="K848" s="25">
        <f>IF(H848&lt;&gt;0,SUM(H$2:H848),0)</f>
        <v>0</v>
      </c>
      <c r="L848" s="25">
        <f>IF(I848&lt;&gt;0,SUM(I$2:I848),0)</f>
        <v>0</v>
      </c>
      <c r="M848" s="25">
        <f>IF(J848&lt;&gt;0,SUM(J$2:J848),0)</f>
        <v>0</v>
      </c>
    </row>
    <row r="849" spans="8:13" x14ac:dyDescent="0.2">
      <c r="H849" s="25">
        <f t="array" ref="H849">IF(A849=A848,0,SUM(_xlfn._xlws.FILTER(G849:G869,A849:A869=A849)))</f>
        <v>0</v>
      </c>
      <c r="I849" s="25">
        <f t="array" ref="I849">IFERROR(IF(A849=A848,0,SUM(_xlfn._xlws.FILTER(G849:G869,(A849:A869=A849)*(E849:E869&lt;0)))),0)</f>
        <v>0</v>
      </c>
      <c r="J849" s="25">
        <f t="array" ref="J849">IFERROR(IF(A849=A848,0,SUM(_xlfn._xlws.FILTER(G849:G869,(A849:A869=A849)*(E849:E869&gt;0)))),0)</f>
        <v>0</v>
      </c>
      <c r="K849" s="25">
        <f>IF(H849&lt;&gt;0,SUM(H$2:H849),0)</f>
        <v>0</v>
      </c>
      <c r="L849" s="25">
        <f>IF(I849&lt;&gt;0,SUM(I$2:I849),0)</f>
        <v>0</v>
      </c>
      <c r="M849" s="25">
        <f>IF(J849&lt;&gt;0,SUM(J$2:J849),0)</f>
        <v>0</v>
      </c>
    </row>
    <row r="850" spans="8:13" x14ac:dyDescent="0.2">
      <c r="H850" s="25">
        <f t="array" ref="H850">IF(A850=A849,0,SUM(_xlfn._xlws.FILTER(G850:G870,A850:A870=A850)))</f>
        <v>0</v>
      </c>
      <c r="I850" s="25">
        <f t="array" ref="I850">IFERROR(IF(A850=A849,0,SUM(_xlfn._xlws.FILTER(G850:G870,(A850:A870=A850)*(E850:E870&lt;0)))),0)</f>
        <v>0</v>
      </c>
      <c r="J850" s="25">
        <f t="array" ref="J850">IFERROR(IF(A850=A849,0,SUM(_xlfn._xlws.FILTER(G850:G870,(A850:A870=A850)*(E850:E870&gt;0)))),0)</f>
        <v>0</v>
      </c>
      <c r="K850" s="25">
        <f>IF(H850&lt;&gt;0,SUM(H$2:H850),0)</f>
        <v>0</v>
      </c>
      <c r="L850" s="25">
        <f>IF(I850&lt;&gt;0,SUM(I$2:I850),0)</f>
        <v>0</v>
      </c>
      <c r="M850" s="25">
        <f>IF(J850&lt;&gt;0,SUM(J$2:J850),0)</f>
        <v>0</v>
      </c>
    </row>
    <row r="851" spans="8:13" x14ac:dyDescent="0.2">
      <c r="H851" s="25">
        <f t="array" ref="H851">IF(A851=A850,0,SUM(_xlfn._xlws.FILTER(G851:G871,A851:A871=A851)))</f>
        <v>0</v>
      </c>
      <c r="I851" s="25">
        <f t="array" ref="I851">IFERROR(IF(A851=A850,0,SUM(_xlfn._xlws.FILTER(G851:G871,(A851:A871=A851)*(E851:E871&lt;0)))),0)</f>
        <v>0</v>
      </c>
      <c r="J851" s="25">
        <f t="array" ref="J851">IFERROR(IF(A851=A850,0,SUM(_xlfn._xlws.FILTER(G851:G871,(A851:A871=A851)*(E851:E871&gt;0)))),0)</f>
        <v>0</v>
      </c>
      <c r="K851" s="25">
        <f>IF(H851&lt;&gt;0,SUM(H$2:H851),0)</f>
        <v>0</v>
      </c>
      <c r="L851" s="25">
        <f>IF(I851&lt;&gt;0,SUM(I$2:I851),0)</f>
        <v>0</v>
      </c>
      <c r="M851" s="25">
        <f>IF(J851&lt;&gt;0,SUM(J$2:J851),0)</f>
        <v>0</v>
      </c>
    </row>
    <row r="852" spans="8:13" x14ac:dyDescent="0.2">
      <c r="H852" s="25">
        <f t="array" ref="H852">IF(A852=A851,0,SUM(_xlfn._xlws.FILTER(G852:G872,A852:A872=A852)))</f>
        <v>0</v>
      </c>
      <c r="I852" s="25">
        <f t="array" ref="I852">IFERROR(IF(A852=A851,0,SUM(_xlfn._xlws.FILTER(G852:G872,(A852:A872=A852)*(E852:E872&lt;0)))),0)</f>
        <v>0</v>
      </c>
      <c r="J852" s="25">
        <f t="array" ref="J852">IFERROR(IF(A852=A851,0,SUM(_xlfn._xlws.FILTER(G852:G872,(A852:A872=A852)*(E852:E872&gt;0)))),0)</f>
        <v>0</v>
      </c>
      <c r="K852" s="25">
        <f>IF(H852&lt;&gt;0,SUM(H$2:H852),0)</f>
        <v>0</v>
      </c>
      <c r="L852" s="25">
        <f>IF(I852&lt;&gt;0,SUM(I$2:I852),0)</f>
        <v>0</v>
      </c>
      <c r="M852" s="25">
        <f>IF(J852&lt;&gt;0,SUM(J$2:J852),0)</f>
        <v>0</v>
      </c>
    </row>
    <row r="853" spans="8:13" x14ac:dyDescent="0.2">
      <c r="H853" s="25">
        <f t="array" ref="H853">IF(A853=A852,0,SUM(_xlfn._xlws.FILTER(G853:G873,A853:A873=A853)))</f>
        <v>0</v>
      </c>
      <c r="I853" s="25">
        <f t="array" ref="I853">IFERROR(IF(A853=A852,0,SUM(_xlfn._xlws.FILTER(G853:G873,(A853:A873=A853)*(E853:E873&lt;0)))),0)</f>
        <v>0</v>
      </c>
      <c r="J853" s="25">
        <f t="array" ref="J853">IFERROR(IF(A853=A852,0,SUM(_xlfn._xlws.FILTER(G853:G873,(A853:A873=A853)*(E853:E873&gt;0)))),0)</f>
        <v>0</v>
      </c>
      <c r="K853" s="25">
        <f>IF(H853&lt;&gt;0,SUM(H$2:H853),0)</f>
        <v>0</v>
      </c>
      <c r="L853" s="25">
        <f>IF(I853&lt;&gt;0,SUM(I$2:I853),0)</f>
        <v>0</v>
      </c>
      <c r="M853" s="25">
        <f>IF(J853&lt;&gt;0,SUM(J$2:J853),0)</f>
        <v>0</v>
      </c>
    </row>
    <row r="854" spans="8:13" x14ac:dyDescent="0.2">
      <c r="H854" s="25">
        <f t="array" ref="H854">IF(A854=A853,0,SUM(_xlfn._xlws.FILTER(G854:G874,A854:A874=A854)))</f>
        <v>0</v>
      </c>
      <c r="I854" s="25">
        <f t="array" ref="I854">IFERROR(IF(A854=A853,0,SUM(_xlfn._xlws.FILTER(G854:G874,(A854:A874=A854)*(E854:E874&lt;0)))),0)</f>
        <v>0</v>
      </c>
      <c r="J854" s="25">
        <f t="array" ref="J854">IFERROR(IF(A854=A853,0,SUM(_xlfn._xlws.FILTER(G854:G874,(A854:A874=A854)*(E854:E874&gt;0)))),0)</f>
        <v>0</v>
      </c>
      <c r="K854" s="25">
        <f>IF(H854&lt;&gt;0,SUM(H$2:H854),0)</f>
        <v>0</v>
      </c>
      <c r="L854" s="25">
        <f>IF(I854&lt;&gt;0,SUM(I$2:I854),0)</f>
        <v>0</v>
      </c>
      <c r="M854" s="25">
        <f>IF(J854&lt;&gt;0,SUM(J$2:J854),0)</f>
        <v>0</v>
      </c>
    </row>
    <row r="855" spans="8:13" x14ac:dyDescent="0.2">
      <c r="H855" s="25">
        <f t="array" ref="H855">IF(A855=A854,0,SUM(_xlfn._xlws.FILTER(G855:G875,A855:A875=A855)))</f>
        <v>0</v>
      </c>
      <c r="I855" s="25">
        <f t="array" ref="I855">IFERROR(IF(A855=A854,0,SUM(_xlfn._xlws.FILTER(G855:G875,(A855:A875=A855)*(E855:E875&lt;0)))),0)</f>
        <v>0</v>
      </c>
      <c r="J855" s="25">
        <f t="array" ref="J855">IFERROR(IF(A855=A854,0,SUM(_xlfn._xlws.FILTER(G855:G875,(A855:A875=A855)*(E855:E875&gt;0)))),0)</f>
        <v>0</v>
      </c>
      <c r="K855" s="25">
        <f>IF(H855&lt;&gt;0,SUM(H$2:H855),0)</f>
        <v>0</v>
      </c>
      <c r="L855" s="25">
        <f>IF(I855&lt;&gt;0,SUM(I$2:I855),0)</f>
        <v>0</v>
      </c>
      <c r="M855" s="25">
        <f>IF(J855&lt;&gt;0,SUM(J$2:J855),0)</f>
        <v>0</v>
      </c>
    </row>
    <row r="856" spans="8:13" x14ac:dyDescent="0.2">
      <c r="H856" s="25">
        <f t="array" ref="H856">IF(A856=A855,0,SUM(_xlfn._xlws.FILTER(G856:G876,A856:A876=A856)))</f>
        <v>0</v>
      </c>
      <c r="I856" s="25">
        <f t="array" ref="I856">IFERROR(IF(A856=A855,0,SUM(_xlfn._xlws.FILTER(G856:G876,(A856:A876=A856)*(E856:E876&lt;0)))),0)</f>
        <v>0</v>
      </c>
      <c r="J856" s="25">
        <f t="array" ref="J856">IFERROR(IF(A856=A855,0,SUM(_xlfn._xlws.FILTER(G856:G876,(A856:A876=A856)*(E856:E876&gt;0)))),0)</f>
        <v>0</v>
      </c>
      <c r="K856" s="25">
        <f>IF(H856&lt;&gt;0,SUM(H$2:H856),0)</f>
        <v>0</v>
      </c>
      <c r="L856" s="25">
        <f>IF(I856&lt;&gt;0,SUM(I$2:I856),0)</f>
        <v>0</v>
      </c>
      <c r="M856" s="25">
        <f>IF(J856&lt;&gt;0,SUM(J$2:J856),0)</f>
        <v>0</v>
      </c>
    </row>
    <row r="857" spans="8:13" x14ac:dyDescent="0.2">
      <c r="H857" s="25">
        <f t="array" ref="H857">IF(A857=A856,0,SUM(_xlfn._xlws.FILTER(G857:G877,A857:A877=A857)))</f>
        <v>0</v>
      </c>
      <c r="I857" s="25">
        <f t="array" ref="I857">IFERROR(IF(A857=A856,0,SUM(_xlfn._xlws.FILTER(G857:G877,(A857:A877=A857)*(E857:E877&lt;0)))),0)</f>
        <v>0</v>
      </c>
      <c r="J857" s="25">
        <f t="array" ref="J857">IFERROR(IF(A857=A856,0,SUM(_xlfn._xlws.FILTER(G857:G877,(A857:A877=A857)*(E857:E877&gt;0)))),0)</f>
        <v>0</v>
      </c>
      <c r="K857" s="25">
        <f>IF(H857&lt;&gt;0,SUM(H$2:H857),0)</f>
        <v>0</v>
      </c>
      <c r="L857" s="25">
        <f>IF(I857&lt;&gt;0,SUM(I$2:I857),0)</f>
        <v>0</v>
      </c>
      <c r="M857" s="25">
        <f>IF(J857&lt;&gt;0,SUM(J$2:J857),0)</f>
        <v>0</v>
      </c>
    </row>
    <row r="858" spans="8:13" x14ac:dyDescent="0.2">
      <c r="H858" s="25">
        <f t="array" ref="H858">IF(A858=A857,0,SUM(_xlfn._xlws.FILTER(G858:G878,A858:A878=A858)))</f>
        <v>0</v>
      </c>
      <c r="I858" s="25">
        <f t="array" ref="I858">IFERROR(IF(A858=A857,0,SUM(_xlfn._xlws.FILTER(G858:G878,(A858:A878=A858)*(E858:E878&lt;0)))),0)</f>
        <v>0</v>
      </c>
      <c r="J858" s="25">
        <f t="array" ref="J858">IFERROR(IF(A858=A857,0,SUM(_xlfn._xlws.FILTER(G858:G878,(A858:A878=A858)*(E858:E878&gt;0)))),0)</f>
        <v>0</v>
      </c>
      <c r="K858" s="25">
        <f>IF(H858&lt;&gt;0,SUM(H$2:H858),0)</f>
        <v>0</v>
      </c>
      <c r="L858" s="25">
        <f>IF(I858&lt;&gt;0,SUM(I$2:I858),0)</f>
        <v>0</v>
      </c>
      <c r="M858" s="25">
        <f>IF(J858&lt;&gt;0,SUM(J$2:J858),0)</f>
        <v>0</v>
      </c>
    </row>
    <row r="859" spans="8:13" x14ac:dyDescent="0.2">
      <c r="H859" s="25">
        <f t="array" ref="H859">IF(A859=A858,0,SUM(_xlfn._xlws.FILTER(G859:G879,A859:A879=A859)))</f>
        <v>0</v>
      </c>
      <c r="I859" s="25">
        <f t="array" ref="I859">IFERROR(IF(A859=A858,0,SUM(_xlfn._xlws.FILTER(G859:G879,(A859:A879=A859)*(E859:E879&lt;0)))),0)</f>
        <v>0</v>
      </c>
      <c r="J859" s="25">
        <f t="array" ref="J859">IFERROR(IF(A859=A858,0,SUM(_xlfn._xlws.FILTER(G859:G879,(A859:A879=A859)*(E859:E879&gt;0)))),0)</f>
        <v>0</v>
      </c>
      <c r="K859" s="25">
        <f>IF(H859&lt;&gt;0,SUM(H$2:H859),0)</f>
        <v>0</v>
      </c>
      <c r="L859" s="25">
        <f>IF(I859&lt;&gt;0,SUM(I$2:I859),0)</f>
        <v>0</v>
      </c>
      <c r="M859" s="25">
        <f>IF(J859&lt;&gt;0,SUM(J$2:J859),0)</f>
        <v>0</v>
      </c>
    </row>
    <row r="860" spans="8:13" x14ac:dyDescent="0.2">
      <c r="H860" s="25">
        <f t="array" ref="H860">IF(A860=A859,0,SUM(_xlfn._xlws.FILTER(G860:G880,A860:A880=A860)))</f>
        <v>0</v>
      </c>
      <c r="I860" s="25">
        <f t="array" ref="I860">IFERROR(IF(A860=A859,0,SUM(_xlfn._xlws.FILTER(G860:G880,(A860:A880=A860)*(E860:E880&lt;0)))),0)</f>
        <v>0</v>
      </c>
      <c r="J860" s="25">
        <f t="array" ref="J860">IFERROR(IF(A860=A859,0,SUM(_xlfn._xlws.FILTER(G860:G880,(A860:A880=A860)*(E860:E880&gt;0)))),0)</f>
        <v>0</v>
      </c>
      <c r="K860" s="25">
        <f>IF(H860&lt;&gt;0,SUM(H$2:H860),0)</f>
        <v>0</v>
      </c>
      <c r="L860" s="25">
        <f>IF(I860&lt;&gt;0,SUM(I$2:I860),0)</f>
        <v>0</v>
      </c>
      <c r="M860" s="25">
        <f>IF(J860&lt;&gt;0,SUM(J$2:J860),0)</f>
        <v>0</v>
      </c>
    </row>
    <row r="861" spans="8:13" x14ac:dyDescent="0.2">
      <c r="H861" s="25">
        <f t="array" ref="H861">IF(A861=A860,0,SUM(_xlfn._xlws.FILTER(G861:G881,A861:A881=A861)))</f>
        <v>0</v>
      </c>
      <c r="I861" s="25">
        <f t="array" ref="I861">IFERROR(IF(A861=A860,0,SUM(_xlfn._xlws.FILTER(G861:G881,(A861:A881=A861)*(E861:E881&lt;0)))),0)</f>
        <v>0</v>
      </c>
      <c r="J861" s="25">
        <f t="array" ref="J861">IFERROR(IF(A861=A860,0,SUM(_xlfn._xlws.FILTER(G861:G881,(A861:A881=A861)*(E861:E881&gt;0)))),0)</f>
        <v>0</v>
      </c>
      <c r="K861" s="25">
        <f>IF(H861&lt;&gt;0,SUM(H$2:H861),0)</f>
        <v>0</v>
      </c>
      <c r="L861" s="25">
        <f>IF(I861&lt;&gt;0,SUM(I$2:I861),0)</f>
        <v>0</v>
      </c>
      <c r="M861" s="25">
        <f>IF(J861&lt;&gt;0,SUM(J$2:J861),0)</f>
        <v>0</v>
      </c>
    </row>
    <row r="862" spans="8:13" x14ac:dyDescent="0.2">
      <c r="H862" s="25">
        <f t="array" ref="H862">IF(A862=A861,0,SUM(_xlfn._xlws.FILTER(G862:G882,A862:A882=A862)))</f>
        <v>0</v>
      </c>
      <c r="I862" s="25">
        <f t="array" ref="I862">IFERROR(IF(A862=A861,0,SUM(_xlfn._xlws.FILTER(G862:G882,(A862:A882=A862)*(E862:E882&lt;0)))),0)</f>
        <v>0</v>
      </c>
      <c r="J862" s="25">
        <f t="array" ref="J862">IFERROR(IF(A862=A861,0,SUM(_xlfn._xlws.FILTER(G862:G882,(A862:A882=A862)*(E862:E882&gt;0)))),0)</f>
        <v>0</v>
      </c>
      <c r="K862" s="25">
        <f>IF(H862&lt;&gt;0,SUM(H$2:H862),0)</f>
        <v>0</v>
      </c>
      <c r="L862" s="25">
        <f>IF(I862&lt;&gt;0,SUM(I$2:I862),0)</f>
        <v>0</v>
      </c>
      <c r="M862" s="25">
        <f>IF(J862&lt;&gt;0,SUM(J$2:J862),0)</f>
        <v>0</v>
      </c>
    </row>
    <row r="863" spans="8:13" x14ac:dyDescent="0.2">
      <c r="H863" s="25">
        <f t="array" ref="H863">IF(A863=A862,0,SUM(_xlfn._xlws.FILTER(G863:G883,A863:A883=A863)))</f>
        <v>0</v>
      </c>
      <c r="I863" s="25">
        <f t="array" ref="I863">IFERROR(IF(A863=A862,0,SUM(_xlfn._xlws.FILTER(G863:G883,(A863:A883=A863)*(E863:E883&lt;0)))),0)</f>
        <v>0</v>
      </c>
      <c r="J863" s="25">
        <f t="array" ref="J863">IFERROR(IF(A863=A862,0,SUM(_xlfn._xlws.FILTER(G863:G883,(A863:A883=A863)*(E863:E883&gt;0)))),0)</f>
        <v>0</v>
      </c>
      <c r="K863" s="25">
        <f>IF(H863&lt;&gt;0,SUM(H$2:H863),0)</f>
        <v>0</v>
      </c>
      <c r="L863" s="25">
        <f>IF(I863&lt;&gt;0,SUM(I$2:I863),0)</f>
        <v>0</v>
      </c>
      <c r="M863" s="25">
        <f>IF(J863&lt;&gt;0,SUM(J$2:J863),0)</f>
        <v>0</v>
      </c>
    </row>
    <row r="864" spans="8:13" x14ac:dyDescent="0.2">
      <c r="H864" s="25">
        <f t="array" ref="H864">IF(A864=A863,0,SUM(_xlfn._xlws.FILTER(G864:G884,A864:A884=A864)))</f>
        <v>0</v>
      </c>
      <c r="I864" s="25">
        <f t="array" ref="I864">IFERROR(IF(A864=A863,0,SUM(_xlfn._xlws.FILTER(G864:G884,(A864:A884=A864)*(E864:E884&lt;0)))),0)</f>
        <v>0</v>
      </c>
      <c r="J864" s="25">
        <f t="array" ref="J864">IFERROR(IF(A864=A863,0,SUM(_xlfn._xlws.FILTER(G864:G884,(A864:A884=A864)*(E864:E884&gt;0)))),0)</f>
        <v>0</v>
      </c>
      <c r="K864" s="25">
        <f>IF(H864&lt;&gt;0,SUM(H$2:H864),0)</f>
        <v>0</v>
      </c>
      <c r="L864" s="25">
        <f>IF(I864&lt;&gt;0,SUM(I$2:I864),0)</f>
        <v>0</v>
      </c>
      <c r="M864" s="25">
        <f>IF(J864&lt;&gt;0,SUM(J$2:J864),0)</f>
        <v>0</v>
      </c>
    </row>
    <row r="865" spans="8:13" x14ac:dyDescent="0.2">
      <c r="H865" s="25">
        <f t="array" ref="H865">IF(A865=A864,0,SUM(_xlfn._xlws.FILTER(G865:G885,A865:A885=A865)))</f>
        <v>0</v>
      </c>
      <c r="I865" s="25">
        <f t="array" ref="I865">IFERROR(IF(A865=A864,0,SUM(_xlfn._xlws.FILTER(G865:G885,(A865:A885=A865)*(E865:E885&lt;0)))),0)</f>
        <v>0</v>
      </c>
      <c r="J865" s="25">
        <f t="array" ref="J865">IFERROR(IF(A865=A864,0,SUM(_xlfn._xlws.FILTER(G865:G885,(A865:A885=A865)*(E865:E885&gt;0)))),0)</f>
        <v>0</v>
      </c>
      <c r="K865" s="25">
        <f>IF(H865&lt;&gt;0,SUM(H$2:H865),0)</f>
        <v>0</v>
      </c>
      <c r="L865" s="25">
        <f>IF(I865&lt;&gt;0,SUM(I$2:I865),0)</f>
        <v>0</v>
      </c>
      <c r="M865" s="25">
        <f>IF(J865&lt;&gt;0,SUM(J$2:J865),0)</f>
        <v>0</v>
      </c>
    </row>
    <row r="866" spans="8:13" x14ac:dyDescent="0.2">
      <c r="H866" s="25">
        <f t="array" ref="H866">IF(A866=A865,0,SUM(_xlfn._xlws.FILTER(G866:G886,A866:A886=A866)))</f>
        <v>0</v>
      </c>
      <c r="I866" s="25">
        <f t="array" ref="I866">IFERROR(IF(A866=A865,0,SUM(_xlfn._xlws.FILTER(G866:G886,(A866:A886=A866)*(E866:E886&lt;0)))),0)</f>
        <v>0</v>
      </c>
      <c r="J866" s="25">
        <f t="array" ref="J866">IFERROR(IF(A866=A865,0,SUM(_xlfn._xlws.FILTER(G866:G886,(A866:A886=A866)*(E866:E886&gt;0)))),0)</f>
        <v>0</v>
      </c>
      <c r="K866" s="25">
        <f>IF(H866&lt;&gt;0,SUM(H$2:H866),0)</f>
        <v>0</v>
      </c>
      <c r="L866" s="25">
        <f>IF(I866&lt;&gt;0,SUM(I$2:I866),0)</f>
        <v>0</v>
      </c>
      <c r="M866" s="25">
        <f>IF(J866&lt;&gt;0,SUM(J$2:J866),0)</f>
        <v>0</v>
      </c>
    </row>
    <row r="867" spans="8:13" x14ac:dyDescent="0.2">
      <c r="H867" s="25">
        <f t="array" ref="H867">IF(A867=A866,0,SUM(_xlfn._xlws.FILTER(G867:G887,A867:A887=A867)))</f>
        <v>0</v>
      </c>
      <c r="I867" s="25">
        <f t="array" ref="I867">IFERROR(IF(A867=A866,0,SUM(_xlfn._xlws.FILTER(G867:G887,(A867:A887=A867)*(E867:E887&lt;0)))),0)</f>
        <v>0</v>
      </c>
      <c r="J867" s="25">
        <f t="array" ref="J867">IFERROR(IF(A867=A866,0,SUM(_xlfn._xlws.FILTER(G867:G887,(A867:A887=A867)*(E867:E887&gt;0)))),0)</f>
        <v>0</v>
      </c>
      <c r="K867" s="25">
        <f>IF(H867&lt;&gt;0,SUM(H$2:H867),0)</f>
        <v>0</v>
      </c>
      <c r="L867" s="25">
        <f>IF(I867&lt;&gt;0,SUM(I$2:I867),0)</f>
        <v>0</v>
      </c>
      <c r="M867" s="25">
        <f>IF(J867&lt;&gt;0,SUM(J$2:J867),0)</f>
        <v>0</v>
      </c>
    </row>
    <row r="868" spans="8:13" x14ac:dyDescent="0.2">
      <c r="H868" s="25">
        <f t="array" ref="H868">IF(A868=A867,0,SUM(_xlfn._xlws.FILTER(G868:G888,A868:A888=A868)))</f>
        <v>0</v>
      </c>
      <c r="I868" s="25">
        <f t="array" ref="I868">IFERROR(IF(A868=A867,0,SUM(_xlfn._xlws.FILTER(G868:G888,(A868:A888=A868)*(E868:E888&lt;0)))),0)</f>
        <v>0</v>
      </c>
      <c r="J868" s="25">
        <f t="array" ref="J868">IFERROR(IF(A868=A867,0,SUM(_xlfn._xlws.FILTER(G868:G888,(A868:A888=A868)*(E868:E888&gt;0)))),0)</f>
        <v>0</v>
      </c>
      <c r="K868" s="25">
        <f>IF(H868&lt;&gt;0,SUM(H$2:H868),0)</f>
        <v>0</v>
      </c>
      <c r="L868" s="25">
        <f>IF(I868&lt;&gt;0,SUM(I$2:I868),0)</f>
        <v>0</v>
      </c>
      <c r="M868" s="25">
        <f>IF(J868&lt;&gt;0,SUM(J$2:J868),0)</f>
        <v>0</v>
      </c>
    </row>
    <row r="869" spans="8:13" x14ac:dyDescent="0.2">
      <c r="H869" s="25">
        <f t="array" ref="H869">IF(A869=A868,0,SUM(_xlfn._xlws.FILTER(G869:G889,A869:A889=A869)))</f>
        <v>0</v>
      </c>
      <c r="I869" s="25">
        <f t="array" ref="I869">IFERROR(IF(A869=A868,0,SUM(_xlfn._xlws.FILTER(G869:G889,(A869:A889=A869)*(E869:E889&lt;0)))),0)</f>
        <v>0</v>
      </c>
      <c r="J869" s="25">
        <f t="array" ref="J869">IFERROR(IF(A869=A868,0,SUM(_xlfn._xlws.FILTER(G869:G889,(A869:A889=A869)*(E869:E889&gt;0)))),0)</f>
        <v>0</v>
      </c>
      <c r="K869" s="25">
        <f>IF(H869&lt;&gt;0,SUM(H$2:H869),0)</f>
        <v>0</v>
      </c>
      <c r="L869" s="25">
        <f>IF(I869&lt;&gt;0,SUM(I$2:I869),0)</f>
        <v>0</v>
      </c>
      <c r="M869" s="25">
        <f>IF(J869&lt;&gt;0,SUM(J$2:J869),0)</f>
        <v>0</v>
      </c>
    </row>
    <row r="870" spans="8:13" x14ac:dyDescent="0.2">
      <c r="H870" s="25">
        <f t="array" ref="H870">IF(A870=A869,0,SUM(_xlfn._xlws.FILTER(G870:G890,A870:A890=A870)))</f>
        <v>0</v>
      </c>
      <c r="I870" s="25">
        <f t="array" ref="I870">IFERROR(IF(A870=A869,0,SUM(_xlfn._xlws.FILTER(G870:G890,(A870:A890=A870)*(E870:E890&lt;0)))),0)</f>
        <v>0</v>
      </c>
      <c r="J870" s="25">
        <f t="array" ref="J870">IFERROR(IF(A870=A869,0,SUM(_xlfn._xlws.FILTER(G870:G890,(A870:A890=A870)*(E870:E890&gt;0)))),0)</f>
        <v>0</v>
      </c>
      <c r="K870" s="25">
        <f>IF(H870&lt;&gt;0,SUM(H$2:H870),0)</f>
        <v>0</v>
      </c>
      <c r="L870" s="25">
        <f>IF(I870&lt;&gt;0,SUM(I$2:I870),0)</f>
        <v>0</v>
      </c>
      <c r="M870" s="25">
        <f>IF(J870&lt;&gt;0,SUM(J$2:J870),0)</f>
        <v>0</v>
      </c>
    </row>
    <row r="871" spans="8:13" x14ac:dyDescent="0.2">
      <c r="H871" s="25">
        <f t="array" ref="H871">IF(A871=A870,0,SUM(_xlfn._xlws.FILTER(G871:G891,A871:A891=A871)))</f>
        <v>0</v>
      </c>
      <c r="I871" s="25">
        <f t="array" ref="I871">IFERROR(IF(A871=A870,0,SUM(_xlfn._xlws.FILTER(G871:G891,(A871:A891=A871)*(E871:E891&lt;0)))),0)</f>
        <v>0</v>
      </c>
      <c r="J871" s="25">
        <f t="array" ref="J871">IFERROR(IF(A871=A870,0,SUM(_xlfn._xlws.FILTER(G871:G891,(A871:A891=A871)*(E871:E891&gt;0)))),0)</f>
        <v>0</v>
      </c>
      <c r="K871" s="25">
        <f>IF(H871&lt;&gt;0,SUM(H$2:H871),0)</f>
        <v>0</v>
      </c>
      <c r="L871" s="25">
        <f>IF(I871&lt;&gt;0,SUM(I$2:I871),0)</f>
        <v>0</v>
      </c>
      <c r="M871" s="25">
        <f>IF(J871&lt;&gt;0,SUM(J$2:J871),0)</f>
        <v>0</v>
      </c>
    </row>
    <row r="872" spans="8:13" x14ac:dyDescent="0.2">
      <c r="H872" s="25">
        <f t="array" ref="H872">IF(A872=A871,0,SUM(_xlfn._xlws.FILTER(G872:G892,A872:A892=A872)))</f>
        <v>0</v>
      </c>
      <c r="I872" s="25">
        <f t="array" ref="I872">IFERROR(IF(A872=A871,0,SUM(_xlfn._xlws.FILTER(G872:G892,(A872:A892=A872)*(E872:E892&lt;0)))),0)</f>
        <v>0</v>
      </c>
      <c r="J872" s="25">
        <f t="array" ref="J872">IFERROR(IF(A872=A871,0,SUM(_xlfn._xlws.FILTER(G872:G892,(A872:A892=A872)*(E872:E892&gt;0)))),0)</f>
        <v>0</v>
      </c>
      <c r="K872" s="25">
        <f>IF(H872&lt;&gt;0,SUM(H$2:H872),0)</f>
        <v>0</v>
      </c>
      <c r="L872" s="25">
        <f>IF(I872&lt;&gt;0,SUM(I$2:I872),0)</f>
        <v>0</v>
      </c>
      <c r="M872" s="25">
        <f>IF(J872&lt;&gt;0,SUM(J$2:J872),0)</f>
        <v>0</v>
      </c>
    </row>
    <row r="873" spans="8:13" x14ac:dyDescent="0.2">
      <c r="H873" s="25">
        <f t="array" ref="H873">IF(A873=A872,0,SUM(_xlfn._xlws.FILTER(G873:G893,A873:A893=A873)))</f>
        <v>0</v>
      </c>
      <c r="I873" s="25">
        <f t="array" ref="I873">IFERROR(IF(A873=A872,0,SUM(_xlfn._xlws.FILTER(G873:G893,(A873:A893=A873)*(E873:E893&lt;0)))),0)</f>
        <v>0</v>
      </c>
      <c r="J873" s="25">
        <f t="array" ref="J873">IFERROR(IF(A873=A872,0,SUM(_xlfn._xlws.FILTER(G873:G893,(A873:A893=A873)*(E873:E893&gt;0)))),0)</f>
        <v>0</v>
      </c>
      <c r="K873" s="25">
        <f>IF(H873&lt;&gt;0,SUM(H$2:H873),0)</f>
        <v>0</v>
      </c>
      <c r="L873" s="25">
        <f>IF(I873&lt;&gt;0,SUM(I$2:I873),0)</f>
        <v>0</v>
      </c>
      <c r="M873" s="25">
        <f>IF(J873&lt;&gt;0,SUM(J$2:J873),0)</f>
        <v>0</v>
      </c>
    </row>
    <row r="874" spans="8:13" x14ac:dyDescent="0.2">
      <c r="H874" s="25">
        <f t="array" ref="H874">IF(A874=A873,0,SUM(_xlfn._xlws.FILTER(G874:G894,A874:A894=A874)))</f>
        <v>0</v>
      </c>
      <c r="I874" s="25">
        <f t="array" ref="I874">IFERROR(IF(A874=A873,0,SUM(_xlfn._xlws.FILTER(G874:G894,(A874:A894=A874)*(E874:E894&lt;0)))),0)</f>
        <v>0</v>
      </c>
      <c r="J874" s="25">
        <f t="array" ref="J874">IFERROR(IF(A874=A873,0,SUM(_xlfn._xlws.FILTER(G874:G894,(A874:A894=A874)*(E874:E894&gt;0)))),0)</f>
        <v>0</v>
      </c>
      <c r="K874" s="25">
        <f>IF(H874&lt;&gt;0,SUM(H$2:H874),0)</f>
        <v>0</v>
      </c>
      <c r="L874" s="25">
        <f>IF(I874&lt;&gt;0,SUM(I$2:I874),0)</f>
        <v>0</v>
      </c>
      <c r="M874" s="25">
        <f>IF(J874&lt;&gt;0,SUM(J$2:J874),0)</f>
        <v>0</v>
      </c>
    </row>
    <row r="875" spans="8:13" x14ac:dyDescent="0.2">
      <c r="H875" s="25">
        <f t="array" ref="H875">IF(A875=A874,0,SUM(_xlfn._xlws.FILTER(G875:G895,A875:A895=A875)))</f>
        <v>0</v>
      </c>
      <c r="I875" s="25">
        <f t="array" ref="I875">IFERROR(IF(A875=A874,0,SUM(_xlfn._xlws.FILTER(G875:G895,(A875:A895=A875)*(E875:E895&lt;0)))),0)</f>
        <v>0</v>
      </c>
      <c r="J875" s="25">
        <f t="array" ref="J875">IFERROR(IF(A875=A874,0,SUM(_xlfn._xlws.FILTER(G875:G895,(A875:A895=A875)*(E875:E895&gt;0)))),0)</f>
        <v>0</v>
      </c>
      <c r="K875" s="25">
        <f>IF(H875&lt;&gt;0,SUM(H$2:H875),0)</f>
        <v>0</v>
      </c>
      <c r="L875" s="25">
        <f>IF(I875&lt;&gt;0,SUM(I$2:I875),0)</f>
        <v>0</v>
      </c>
      <c r="M875" s="25">
        <f>IF(J875&lt;&gt;0,SUM(J$2:J875),0)</f>
        <v>0</v>
      </c>
    </row>
    <row r="876" spans="8:13" x14ac:dyDescent="0.2">
      <c r="H876" s="25">
        <f t="array" ref="H876">IF(A876=A875,0,SUM(_xlfn._xlws.FILTER(G876:G896,A876:A896=A876)))</f>
        <v>0</v>
      </c>
      <c r="I876" s="25">
        <f t="array" ref="I876">IFERROR(IF(A876=A875,0,SUM(_xlfn._xlws.FILTER(G876:G896,(A876:A896=A876)*(E876:E896&lt;0)))),0)</f>
        <v>0</v>
      </c>
      <c r="J876" s="25">
        <f t="array" ref="J876">IFERROR(IF(A876=A875,0,SUM(_xlfn._xlws.FILTER(G876:G896,(A876:A896=A876)*(E876:E896&gt;0)))),0)</f>
        <v>0</v>
      </c>
      <c r="K876" s="25">
        <f>IF(H876&lt;&gt;0,SUM(H$2:H876),0)</f>
        <v>0</v>
      </c>
      <c r="L876" s="25">
        <f>IF(I876&lt;&gt;0,SUM(I$2:I876),0)</f>
        <v>0</v>
      </c>
      <c r="M876" s="25">
        <f>IF(J876&lt;&gt;0,SUM(J$2:J876),0)</f>
        <v>0</v>
      </c>
    </row>
    <row r="877" spans="8:13" x14ac:dyDescent="0.2">
      <c r="H877" s="25">
        <f t="array" ref="H877">IF(A877=A876,0,SUM(_xlfn._xlws.FILTER(G877:G897,A877:A897=A877)))</f>
        <v>0</v>
      </c>
      <c r="I877" s="25">
        <f t="array" ref="I877">IFERROR(IF(A877=A876,0,SUM(_xlfn._xlws.FILTER(G877:G897,(A877:A897=A877)*(E877:E897&lt;0)))),0)</f>
        <v>0</v>
      </c>
      <c r="J877" s="25">
        <f t="array" ref="J877">IFERROR(IF(A877=A876,0,SUM(_xlfn._xlws.FILTER(G877:G897,(A877:A897=A877)*(E877:E897&gt;0)))),0)</f>
        <v>0</v>
      </c>
      <c r="K877" s="25">
        <f>IF(H877&lt;&gt;0,SUM(H$2:H877),0)</f>
        <v>0</v>
      </c>
      <c r="L877" s="25">
        <f>IF(I877&lt;&gt;0,SUM(I$2:I877),0)</f>
        <v>0</v>
      </c>
      <c r="M877" s="25">
        <f>IF(J877&lt;&gt;0,SUM(J$2:J877),0)</f>
        <v>0</v>
      </c>
    </row>
    <row r="878" spans="8:13" x14ac:dyDescent="0.2">
      <c r="H878" s="25">
        <f t="array" ref="H878">IF(A878=A877,0,SUM(_xlfn._xlws.FILTER(G878:G898,A878:A898=A878)))</f>
        <v>0</v>
      </c>
      <c r="I878" s="25">
        <f t="array" ref="I878">IFERROR(IF(A878=A877,0,SUM(_xlfn._xlws.FILTER(G878:G898,(A878:A898=A878)*(E878:E898&lt;0)))),0)</f>
        <v>0</v>
      </c>
      <c r="J878" s="25">
        <f t="array" ref="J878">IFERROR(IF(A878=A877,0,SUM(_xlfn._xlws.FILTER(G878:G898,(A878:A898=A878)*(E878:E898&gt;0)))),0)</f>
        <v>0</v>
      </c>
      <c r="K878" s="25">
        <f>IF(H878&lt;&gt;0,SUM(H$2:H878),0)</f>
        <v>0</v>
      </c>
      <c r="L878" s="25">
        <f>IF(I878&lt;&gt;0,SUM(I$2:I878),0)</f>
        <v>0</v>
      </c>
      <c r="M878" s="25">
        <f>IF(J878&lt;&gt;0,SUM(J$2:J878),0)</f>
        <v>0</v>
      </c>
    </row>
    <row r="879" spans="8:13" x14ac:dyDescent="0.2">
      <c r="H879" s="25">
        <f t="array" ref="H879">IF(A879=A878,0,SUM(_xlfn._xlws.FILTER(G879:G899,A879:A899=A879)))</f>
        <v>0</v>
      </c>
      <c r="I879" s="25">
        <f t="array" ref="I879">IFERROR(IF(A879=A878,0,SUM(_xlfn._xlws.FILTER(G879:G899,(A879:A899=A879)*(E879:E899&lt;0)))),0)</f>
        <v>0</v>
      </c>
      <c r="J879" s="25">
        <f t="array" ref="J879">IFERROR(IF(A879=A878,0,SUM(_xlfn._xlws.FILTER(G879:G899,(A879:A899=A879)*(E879:E899&gt;0)))),0)</f>
        <v>0</v>
      </c>
      <c r="K879" s="25">
        <f>IF(H879&lt;&gt;0,SUM(H$2:H879),0)</f>
        <v>0</v>
      </c>
      <c r="L879" s="25">
        <f>IF(I879&lt;&gt;0,SUM(I$2:I879),0)</f>
        <v>0</v>
      </c>
      <c r="M879" s="25">
        <f>IF(J879&lt;&gt;0,SUM(J$2:J879),0)</f>
        <v>0</v>
      </c>
    </row>
    <row r="880" spans="8:13" x14ac:dyDescent="0.2">
      <c r="H880" s="25">
        <f t="array" ref="H880">IF(A880=A879,0,SUM(_xlfn._xlws.FILTER(G880:G900,A880:A900=A880)))</f>
        <v>0</v>
      </c>
      <c r="I880" s="25">
        <f t="array" ref="I880">IFERROR(IF(A880=A879,0,SUM(_xlfn._xlws.FILTER(G880:G900,(A880:A900=A880)*(E880:E900&lt;0)))),0)</f>
        <v>0</v>
      </c>
      <c r="J880" s="25">
        <f t="array" ref="J880">IFERROR(IF(A880=A879,0,SUM(_xlfn._xlws.FILTER(G880:G900,(A880:A900=A880)*(E880:E900&gt;0)))),0)</f>
        <v>0</v>
      </c>
      <c r="K880" s="25">
        <f>IF(H880&lt;&gt;0,SUM(H$2:H880),0)</f>
        <v>0</v>
      </c>
      <c r="L880" s="25">
        <f>IF(I880&lt;&gt;0,SUM(I$2:I880),0)</f>
        <v>0</v>
      </c>
      <c r="M880" s="25">
        <f>IF(J880&lt;&gt;0,SUM(J$2:J880),0)</f>
        <v>0</v>
      </c>
    </row>
    <row r="881" spans="8:13" x14ac:dyDescent="0.2">
      <c r="H881" s="25">
        <f t="array" ref="H881">IF(A881=A880,0,SUM(_xlfn._xlws.FILTER(G881:G901,A881:A901=A881)))</f>
        <v>0</v>
      </c>
      <c r="I881" s="25">
        <f t="array" ref="I881">IFERROR(IF(A881=A880,0,SUM(_xlfn._xlws.FILTER(G881:G901,(A881:A901=A881)*(E881:E901&lt;0)))),0)</f>
        <v>0</v>
      </c>
      <c r="J881" s="25">
        <f t="array" ref="J881">IFERROR(IF(A881=A880,0,SUM(_xlfn._xlws.FILTER(G881:G901,(A881:A901=A881)*(E881:E901&gt;0)))),0)</f>
        <v>0</v>
      </c>
      <c r="K881" s="25">
        <f>IF(H881&lt;&gt;0,SUM(H$2:H881),0)</f>
        <v>0</v>
      </c>
      <c r="L881" s="25">
        <f>IF(I881&lt;&gt;0,SUM(I$2:I881),0)</f>
        <v>0</v>
      </c>
      <c r="M881" s="25">
        <f>IF(J881&lt;&gt;0,SUM(J$2:J881),0)</f>
        <v>0</v>
      </c>
    </row>
    <row r="882" spans="8:13" x14ac:dyDescent="0.2">
      <c r="H882" s="25">
        <f t="array" ref="H882">IF(A882=A881,0,SUM(_xlfn._xlws.FILTER(G882:G902,A882:A902=A882)))</f>
        <v>0</v>
      </c>
      <c r="I882" s="25">
        <f t="array" ref="I882">IFERROR(IF(A882=A881,0,SUM(_xlfn._xlws.FILTER(G882:G902,(A882:A902=A882)*(E882:E902&lt;0)))),0)</f>
        <v>0</v>
      </c>
      <c r="J882" s="25">
        <f t="array" ref="J882">IFERROR(IF(A882=A881,0,SUM(_xlfn._xlws.FILTER(G882:G902,(A882:A902=A882)*(E882:E902&gt;0)))),0)</f>
        <v>0</v>
      </c>
      <c r="K882" s="25">
        <f>IF(H882&lt;&gt;0,SUM(H$2:H882),0)</f>
        <v>0</v>
      </c>
      <c r="L882" s="25">
        <f>IF(I882&lt;&gt;0,SUM(I$2:I882),0)</f>
        <v>0</v>
      </c>
      <c r="M882" s="25">
        <f>IF(J882&lt;&gt;0,SUM(J$2:J882),0)</f>
        <v>0</v>
      </c>
    </row>
    <row r="883" spans="8:13" x14ac:dyDescent="0.2">
      <c r="H883" s="25">
        <f t="array" ref="H883">IF(A883=A882,0,SUM(_xlfn._xlws.FILTER(G883:G903,A883:A903=A883)))</f>
        <v>0</v>
      </c>
      <c r="I883" s="25">
        <f t="array" ref="I883">IFERROR(IF(A883=A882,0,SUM(_xlfn._xlws.FILTER(G883:G903,(A883:A903=A883)*(E883:E903&lt;0)))),0)</f>
        <v>0</v>
      </c>
      <c r="J883" s="25">
        <f t="array" ref="J883">IFERROR(IF(A883=A882,0,SUM(_xlfn._xlws.FILTER(G883:G903,(A883:A903=A883)*(E883:E903&gt;0)))),0)</f>
        <v>0</v>
      </c>
      <c r="K883" s="25">
        <f>IF(H883&lt;&gt;0,SUM(H$2:H883),0)</f>
        <v>0</v>
      </c>
      <c r="L883" s="25">
        <f>IF(I883&lt;&gt;0,SUM(I$2:I883),0)</f>
        <v>0</v>
      </c>
      <c r="M883" s="25">
        <f>IF(J883&lt;&gt;0,SUM(J$2:J883),0)</f>
        <v>0</v>
      </c>
    </row>
    <row r="884" spans="8:13" x14ac:dyDescent="0.2">
      <c r="H884" s="25">
        <f t="array" ref="H884">IF(A884=A883,0,SUM(_xlfn._xlws.FILTER(G884:G904,A884:A904=A884)))</f>
        <v>0</v>
      </c>
      <c r="I884" s="25">
        <f t="array" ref="I884">IFERROR(IF(A884=A883,0,SUM(_xlfn._xlws.FILTER(G884:G904,(A884:A904=A884)*(E884:E904&lt;0)))),0)</f>
        <v>0</v>
      </c>
      <c r="J884" s="25">
        <f t="array" ref="J884">IFERROR(IF(A884=A883,0,SUM(_xlfn._xlws.FILTER(G884:G904,(A884:A904=A884)*(E884:E904&gt;0)))),0)</f>
        <v>0</v>
      </c>
      <c r="K884" s="25">
        <f>IF(H884&lt;&gt;0,SUM(H$2:H884),0)</f>
        <v>0</v>
      </c>
      <c r="L884" s="25">
        <f>IF(I884&lt;&gt;0,SUM(I$2:I884),0)</f>
        <v>0</v>
      </c>
      <c r="M884" s="25">
        <f>IF(J884&lt;&gt;0,SUM(J$2:J884),0)</f>
        <v>0</v>
      </c>
    </row>
    <row r="885" spans="8:13" x14ac:dyDescent="0.2">
      <c r="H885" s="25">
        <f t="array" ref="H885">IF(A885=A884,0,SUM(_xlfn._xlws.FILTER(G885:G905,A885:A905=A885)))</f>
        <v>0</v>
      </c>
      <c r="I885" s="25">
        <f t="array" ref="I885">IFERROR(IF(A885=A884,0,SUM(_xlfn._xlws.FILTER(G885:G905,(A885:A905=A885)*(E885:E905&lt;0)))),0)</f>
        <v>0</v>
      </c>
      <c r="J885" s="25">
        <f t="array" ref="J885">IFERROR(IF(A885=A884,0,SUM(_xlfn._xlws.FILTER(G885:G905,(A885:A905=A885)*(E885:E905&gt;0)))),0)</f>
        <v>0</v>
      </c>
      <c r="K885" s="25">
        <f>IF(H885&lt;&gt;0,SUM(H$2:H885),0)</f>
        <v>0</v>
      </c>
      <c r="L885" s="25">
        <f>IF(I885&lt;&gt;0,SUM(I$2:I885),0)</f>
        <v>0</v>
      </c>
      <c r="M885" s="25">
        <f>IF(J885&lt;&gt;0,SUM(J$2:J885),0)</f>
        <v>0</v>
      </c>
    </row>
    <row r="886" spans="8:13" x14ac:dyDescent="0.2">
      <c r="H886" s="25">
        <f t="array" ref="H886">IF(A886=A885,0,SUM(_xlfn._xlws.FILTER(G886:G906,A886:A906=A886)))</f>
        <v>0</v>
      </c>
      <c r="I886" s="25">
        <f t="array" ref="I886">IFERROR(IF(A886=A885,0,SUM(_xlfn._xlws.FILTER(G886:G906,(A886:A906=A886)*(E886:E906&lt;0)))),0)</f>
        <v>0</v>
      </c>
      <c r="J886" s="25">
        <f t="array" ref="J886">IFERROR(IF(A886=A885,0,SUM(_xlfn._xlws.FILTER(G886:G906,(A886:A906=A886)*(E886:E906&gt;0)))),0)</f>
        <v>0</v>
      </c>
      <c r="K886" s="25">
        <f>IF(H886&lt;&gt;0,SUM(H$2:H886),0)</f>
        <v>0</v>
      </c>
      <c r="L886" s="25">
        <f>IF(I886&lt;&gt;0,SUM(I$2:I886),0)</f>
        <v>0</v>
      </c>
      <c r="M886" s="25">
        <f>IF(J886&lt;&gt;0,SUM(J$2:J886),0)</f>
        <v>0</v>
      </c>
    </row>
    <row r="887" spans="8:13" x14ac:dyDescent="0.2">
      <c r="H887" s="25">
        <f t="array" ref="H887">IF(A887=A886,0,SUM(_xlfn._xlws.FILTER(G887:G907,A887:A907=A887)))</f>
        <v>0</v>
      </c>
      <c r="I887" s="25">
        <f t="array" ref="I887">IFERROR(IF(A887=A886,0,SUM(_xlfn._xlws.FILTER(G887:G907,(A887:A907=A887)*(E887:E907&lt;0)))),0)</f>
        <v>0</v>
      </c>
      <c r="J887" s="25">
        <f t="array" ref="J887">IFERROR(IF(A887=A886,0,SUM(_xlfn._xlws.FILTER(G887:G907,(A887:A907=A887)*(E887:E907&gt;0)))),0)</f>
        <v>0</v>
      </c>
      <c r="K887" s="25">
        <f>IF(H887&lt;&gt;0,SUM(H$2:H887),0)</f>
        <v>0</v>
      </c>
      <c r="L887" s="25">
        <f>IF(I887&lt;&gt;0,SUM(I$2:I887),0)</f>
        <v>0</v>
      </c>
      <c r="M887" s="25">
        <f>IF(J887&lt;&gt;0,SUM(J$2:J887),0)</f>
        <v>0</v>
      </c>
    </row>
    <row r="888" spans="8:13" x14ac:dyDescent="0.2">
      <c r="H888" s="25">
        <f t="array" ref="H888">IF(A888=A887,0,SUM(_xlfn._xlws.FILTER(G888:G908,A888:A908=A888)))</f>
        <v>0</v>
      </c>
      <c r="I888" s="25">
        <f t="array" ref="I888">IFERROR(IF(A888=A887,0,SUM(_xlfn._xlws.FILTER(G888:G908,(A888:A908=A888)*(E888:E908&lt;0)))),0)</f>
        <v>0</v>
      </c>
      <c r="J888" s="25">
        <f t="array" ref="J888">IFERROR(IF(A888=A887,0,SUM(_xlfn._xlws.FILTER(G888:G908,(A888:A908=A888)*(E888:E908&gt;0)))),0)</f>
        <v>0</v>
      </c>
      <c r="K888" s="25">
        <f>IF(H888&lt;&gt;0,SUM(H$2:H888),0)</f>
        <v>0</v>
      </c>
      <c r="L888" s="25">
        <f>IF(I888&lt;&gt;0,SUM(I$2:I888),0)</f>
        <v>0</v>
      </c>
      <c r="M888" s="25">
        <f>IF(J888&lt;&gt;0,SUM(J$2:J888),0)</f>
        <v>0</v>
      </c>
    </row>
    <row r="889" spans="8:13" x14ac:dyDescent="0.2">
      <c r="H889" s="25">
        <f t="array" ref="H889">IF(A889=A888,0,SUM(_xlfn._xlws.FILTER(G889:G909,A889:A909=A889)))</f>
        <v>0</v>
      </c>
      <c r="I889" s="25">
        <f t="array" ref="I889">IFERROR(IF(A889=A888,0,SUM(_xlfn._xlws.FILTER(G889:G909,(A889:A909=A889)*(E889:E909&lt;0)))),0)</f>
        <v>0</v>
      </c>
      <c r="J889" s="25">
        <f t="array" ref="J889">IFERROR(IF(A889=A888,0,SUM(_xlfn._xlws.FILTER(G889:G909,(A889:A909=A889)*(E889:E909&gt;0)))),0)</f>
        <v>0</v>
      </c>
      <c r="K889" s="25">
        <f>IF(H889&lt;&gt;0,SUM(H$2:H889),0)</f>
        <v>0</v>
      </c>
      <c r="L889" s="25">
        <f>IF(I889&lt;&gt;0,SUM(I$2:I889),0)</f>
        <v>0</v>
      </c>
      <c r="M889" s="25">
        <f>IF(J889&lt;&gt;0,SUM(J$2:J889),0)</f>
        <v>0</v>
      </c>
    </row>
    <row r="890" spans="8:13" x14ac:dyDescent="0.2">
      <c r="H890" s="25">
        <f t="array" ref="H890">IF(A890=A889,0,SUM(_xlfn._xlws.FILTER(G890:G910,A890:A910=A890)))</f>
        <v>0</v>
      </c>
      <c r="I890" s="25">
        <f t="array" ref="I890">IFERROR(IF(A890=A889,0,SUM(_xlfn._xlws.FILTER(G890:G910,(A890:A910=A890)*(E890:E910&lt;0)))),0)</f>
        <v>0</v>
      </c>
      <c r="J890" s="25">
        <f t="array" ref="J890">IFERROR(IF(A890=A889,0,SUM(_xlfn._xlws.FILTER(G890:G910,(A890:A910=A890)*(E890:E910&gt;0)))),0)</f>
        <v>0</v>
      </c>
      <c r="K890" s="25">
        <f>IF(H890&lt;&gt;0,SUM(H$2:H890),0)</f>
        <v>0</v>
      </c>
      <c r="L890" s="25">
        <f>IF(I890&lt;&gt;0,SUM(I$2:I890),0)</f>
        <v>0</v>
      </c>
      <c r="M890" s="25">
        <f>IF(J890&lt;&gt;0,SUM(J$2:J890),0)</f>
        <v>0</v>
      </c>
    </row>
    <row r="891" spans="8:13" x14ac:dyDescent="0.2">
      <c r="H891" s="25">
        <f t="array" ref="H891">IF(A891=A890,0,SUM(_xlfn._xlws.FILTER(G891:G911,A891:A911=A891)))</f>
        <v>0</v>
      </c>
      <c r="I891" s="25">
        <f t="array" ref="I891">IFERROR(IF(A891=A890,0,SUM(_xlfn._xlws.FILTER(G891:G911,(A891:A911=A891)*(E891:E911&lt;0)))),0)</f>
        <v>0</v>
      </c>
      <c r="J891" s="25">
        <f t="array" ref="J891">IFERROR(IF(A891=A890,0,SUM(_xlfn._xlws.FILTER(G891:G911,(A891:A911=A891)*(E891:E911&gt;0)))),0)</f>
        <v>0</v>
      </c>
      <c r="K891" s="25">
        <f>IF(H891&lt;&gt;0,SUM(H$2:H891),0)</f>
        <v>0</v>
      </c>
      <c r="L891" s="25">
        <f>IF(I891&lt;&gt;0,SUM(I$2:I891),0)</f>
        <v>0</v>
      </c>
      <c r="M891" s="25">
        <f>IF(J891&lt;&gt;0,SUM(J$2:J891),0)</f>
        <v>0</v>
      </c>
    </row>
    <row r="892" spans="8:13" x14ac:dyDescent="0.2">
      <c r="H892" s="25">
        <f t="array" ref="H892">IF(A892=A891,0,SUM(_xlfn._xlws.FILTER(G892:G912,A892:A912=A892)))</f>
        <v>0</v>
      </c>
      <c r="I892" s="25">
        <f t="array" ref="I892">IFERROR(IF(A892=A891,0,SUM(_xlfn._xlws.FILTER(G892:G912,(A892:A912=A892)*(E892:E912&lt;0)))),0)</f>
        <v>0</v>
      </c>
      <c r="J892" s="25">
        <f t="array" ref="J892">IFERROR(IF(A892=A891,0,SUM(_xlfn._xlws.FILTER(G892:G912,(A892:A912=A892)*(E892:E912&gt;0)))),0)</f>
        <v>0</v>
      </c>
      <c r="K892" s="25">
        <f>IF(H892&lt;&gt;0,SUM(H$2:H892),0)</f>
        <v>0</v>
      </c>
      <c r="L892" s="25">
        <f>IF(I892&lt;&gt;0,SUM(I$2:I892),0)</f>
        <v>0</v>
      </c>
      <c r="M892" s="25">
        <f>IF(J892&lt;&gt;0,SUM(J$2:J892),0)</f>
        <v>0</v>
      </c>
    </row>
    <row r="893" spans="8:13" x14ac:dyDescent="0.2">
      <c r="H893" s="25">
        <f t="array" ref="H893">IF(A893=A892,0,SUM(_xlfn._xlws.FILTER(G893:G913,A893:A913=A893)))</f>
        <v>0</v>
      </c>
      <c r="I893" s="25">
        <f t="array" ref="I893">IFERROR(IF(A893=A892,0,SUM(_xlfn._xlws.FILTER(G893:G913,(A893:A913=A893)*(E893:E913&lt;0)))),0)</f>
        <v>0</v>
      </c>
      <c r="J893" s="25">
        <f t="array" ref="J893">IFERROR(IF(A893=A892,0,SUM(_xlfn._xlws.FILTER(G893:G913,(A893:A913=A893)*(E893:E913&gt;0)))),0)</f>
        <v>0</v>
      </c>
      <c r="K893" s="25">
        <f>IF(H893&lt;&gt;0,SUM(H$2:H893),0)</f>
        <v>0</v>
      </c>
      <c r="L893" s="25">
        <f>IF(I893&lt;&gt;0,SUM(I$2:I893),0)</f>
        <v>0</v>
      </c>
      <c r="M893" s="25">
        <f>IF(J893&lt;&gt;0,SUM(J$2:J893),0)</f>
        <v>0</v>
      </c>
    </row>
    <row r="894" spans="8:13" x14ac:dyDescent="0.2">
      <c r="H894" s="25">
        <f t="array" ref="H894">IF(A894=A893,0,SUM(_xlfn._xlws.FILTER(G894:G914,A894:A914=A894)))</f>
        <v>0</v>
      </c>
      <c r="I894" s="25">
        <f t="array" ref="I894">IFERROR(IF(A894=A893,0,SUM(_xlfn._xlws.FILTER(G894:G914,(A894:A914=A894)*(E894:E914&lt;0)))),0)</f>
        <v>0</v>
      </c>
      <c r="J894" s="25">
        <f t="array" ref="J894">IFERROR(IF(A894=A893,0,SUM(_xlfn._xlws.FILTER(G894:G914,(A894:A914=A894)*(E894:E914&gt;0)))),0)</f>
        <v>0</v>
      </c>
      <c r="K894" s="25">
        <f>IF(H894&lt;&gt;0,SUM(H$2:H894),0)</f>
        <v>0</v>
      </c>
      <c r="L894" s="25">
        <f>IF(I894&lt;&gt;0,SUM(I$2:I894),0)</f>
        <v>0</v>
      </c>
      <c r="M894" s="25">
        <f>IF(J894&lt;&gt;0,SUM(J$2:J894),0)</f>
        <v>0</v>
      </c>
    </row>
    <row r="895" spans="8:13" x14ac:dyDescent="0.2">
      <c r="H895" s="25">
        <f t="array" ref="H895">IF(A895=A894,0,SUM(_xlfn._xlws.FILTER(G895:G915,A895:A915=A895)))</f>
        <v>0</v>
      </c>
      <c r="I895" s="25">
        <f t="array" ref="I895">IFERROR(IF(A895=A894,0,SUM(_xlfn._xlws.FILTER(G895:G915,(A895:A915=A895)*(E895:E915&lt;0)))),0)</f>
        <v>0</v>
      </c>
      <c r="J895" s="25">
        <f t="array" ref="J895">IFERROR(IF(A895=A894,0,SUM(_xlfn._xlws.FILTER(G895:G915,(A895:A915=A895)*(E895:E915&gt;0)))),0)</f>
        <v>0</v>
      </c>
      <c r="K895" s="25">
        <f>IF(H895&lt;&gt;0,SUM(H$2:H895),0)</f>
        <v>0</v>
      </c>
      <c r="L895" s="25">
        <f>IF(I895&lt;&gt;0,SUM(I$2:I895),0)</f>
        <v>0</v>
      </c>
      <c r="M895" s="25">
        <f>IF(J895&lt;&gt;0,SUM(J$2:J895),0)</f>
        <v>0</v>
      </c>
    </row>
    <row r="896" spans="8:13" x14ac:dyDescent="0.2">
      <c r="H896" s="25">
        <f t="array" ref="H896">IF(A896=A895,0,SUM(_xlfn._xlws.FILTER(G896:G916,A896:A916=A896)))</f>
        <v>0</v>
      </c>
      <c r="I896" s="25">
        <f t="array" ref="I896">IFERROR(IF(A896=A895,0,SUM(_xlfn._xlws.FILTER(G896:G916,(A896:A916=A896)*(E896:E916&lt;0)))),0)</f>
        <v>0</v>
      </c>
      <c r="J896" s="25">
        <f t="array" ref="J896">IFERROR(IF(A896=A895,0,SUM(_xlfn._xlws.FILTER(G896:G916,(A896:A916=A896)*(E896:E916&gt;0)))),0)</f>
        <v>0</v>
      </c>
      <c r="K896" s="25">
        <f>IF(H896&lt;&gt;0,SUM(H$2:H896),0)</f>
        <v>0</v>
      </c>
      <c r="L896" s="25">
        <f>IF(I896&lt;&gt;0,SUM(I$2:I896),0)</f>
        <v>0</v>
      </c>
      <c r="M896" s="25">
        <f>IF(J896&lt;&gt;0,SUM(J$2:J896),0)</f>
        <v>0</v>
      </c>
    </row>
    <row r="897" spans="8:13" x14ac:dyDescent="0.2">
      <c r="H897" s="25">
        <f t="array" ref="H897">IF(A897=A896,0,SUM(_xlfn._xlws.FILTER(G897:G917,A897:A917=A897)))</f>
        <v>0</v>
      </c>
      <c r="I897" s="25">
        <f t="array" ref="I897">IFERROR(IF(A897=A896,0,SUM(_xlfn._xlws.FILTER(G897:G917,(A897:A917=A897)*(E897:E917&lt;0)))),0)</f>
        <v>0</v>
      </c>
      <c r="J897" s="25">
        <f t="array" ref="J897">IFERROR(IF(A897=A896,0,SUM(_xlfn._xlws.FILTER(G897:G917,(A897:A917=A897)*(E897:E917&gt;0)))),0)</f>
        <v>0</v>
      </c>
      <c r="K897" s="25">
        <f>IF(H897&lt;&gt;0,SUM(H$2:H897),0)</f>
        <v>0</v>
      </c>
      <c r="L897" s="25">
        <f>IF(I897&lt;&gt;0,SUM(I$2:I897),0)</f>
        <v>0</v>
      </c>
      <c r="M897" s="25">
        <f>IF(J897&lt;&gt;0,SUM(J$2:J897),0)</f>
        <v>0</v>
      </c>
    </row>
    <row r="898" spans="8:13" x14ac:dyDescent="0.2">
      <c r="H898" s="25">
        <f t="array" ref="H898">IF(A898=A897,0,SUM(_xlfn._xlws.FILTER(G898:G918,A898:A918=A898)))</f>
        <v>0</v>
      </c>
      <c r="I898" s="25">
        <f t="array" ref="I898">IFERROR(IF(A898=A897,0,SUM(_xlfn._xlws.FILTER(G898:G918,(A898:A918=A898)*(E898:E918&lt;0)))),0)</f>
        <v>0</v>
      </c>
      <c r="J898" s="25">
        <f t="array" ref="J898">IFERROR(IF(A898=A897,0,SUM(_xlfn._xlws.FILTER(G898:G918,(A898:A918=A898)*(E898:E918&gt;0)))),0)</f>
        <v>0</v>
      </c>
      <c r="K898" s="25">
        <f>IF(H898&lt;&gt;0,SUM(H$2:H898),0)</f>
        <v>0</v>
      </c>
      <c r="L898" s="25">
        <f>IF(I898&lt;&gt;0,SUM(I$2:I898),0)</f>
        <v>0</v>
      </c>
      <c r="M898" s="25">
        <f>IF(J898&lt;&gt;0,SUM(J$2:J898),0)</f>
        <v>0</v>
      </c>
    </row>
    <row r="899" spans="8:13" x14ac:dyDescent="0.2">
      <c r="H899" s="25">
        <f t="array" ref="H899">IF(A899=A898,0,SUM(_xlfn._xlws.FILTER(G899:G919,A899:A919=A899)))</f>
        <v>0</v>
      </c>
      <c r="I899" s="25">
        <f t="array" ref="I899">IFERROR(IF(A899=A898,0,SUM(_xlfn._xlws.FILTER(G899:G919,(A899:A919=A899)*(E899:E919&lt;0)))),0)</f>
        <v>0</v>
      </c>
      <c r="J899" s="25">
        <f t="array" ref="J899">IFERROR(IF(A899=A898,0,SUM(_xlfn._xlws.FILTER(G899:G919,(A899:A919=A899)*(E899:E919&gt;0)))),0)</f>
        <v>0</v>
      </c>
      <c r="K899" s="25">
        <f>IF(H899&lt;&gt;0,SUM(H$2:H899),0)</f>
        <v>0</v>
      </c>
      <c r="L899" s="25">
        <f>IF(I899&lt;&gt;0,SUM(I$2:I899),0)</f>
        <v>0</v>
      </c>
      <c r="M899" s="25">
        <f>IF(J899&lt;&gt;0,SUM(J$2:J899),0)</f>
        <v>0</v>
      </c>
    </row>
    <row r="900" spans="8:13" x14ac:dyDescent="0.2">
      <c r="H900" s="25">
        <f t="array" ref="H900">IF(A900=A899,0,SUM(_xlfn._xlws.FILTER(G900:G920,A900:A920=A900)))</f>
        <v>0</v>
      </c>
      <c r="I900" s="25">
        <f t="array" ref="I900">IFERROR(IF(A900=A899,0,SUM(_xlfn._xlws.FILTER(G900:G920,(A900:A920=A900)*(E900:E920&lt;0)))),0)</f>
        <v>0</v>
      </c>
      <c r="J900" s="25">
        <f t="array" ref="J900">IFERROR(IF(A900=A899,0,SUM(_xlfn._xlws.FILTER(G900:G920,(A900:A920=A900)*(E900:E920&gt;0)))),0)</f>
        <v>0</v>
      </c>
      <c r="K900" s="25">
        <f>IF(H900&lt;&gt;0,SUM(H$2:H900),0)</f>
        <v>0</v>
      </c>
      <c r="L900" s="25">
        <f>IF(I900&lt;&gt;0,SUM(I$2:I900),0)</f>
        <v>0</v>
      </c>
      <c r="M900" s="25">
        <f>IF(J900&lt;&gt;0,SUM(J$2:J900),0)</f>
        <v>0</v>
      </c>
    </row>
    <row r="901" spans="8:13" x14ac:dyDescent="0.2">
      <c r="H901" s="25">
        <f t="array" ref="H901">IF(A901=A900,0,SUM(_xlfn._xlws.FILTER(G901:G921,A901:A921=A901)))</f>
        <v>0</v>
      </c>
      <c r="I901" s="25">
        <f t="array" ref="I901">IFERROR(IF(A901=A900,0,SUM(_xlfn._xlws.FILTER(G901:G921,(A901:A921=A901)*(E901:E921&lt;0)))),0)</f>
        <v>0</v>
      </c>
      <c r="J901" s="25">
        <f t="array" ref="J901">IFERROR(IF(A901=A900,0,SUM(_xlfn._xlws.FILTER(G901:G921,(A901:A921=A901)*(E901:E921&gt;0)))),0)</f>
        <v>0</v>
      </c>
      <c r="K901" s="25">
        <f>IF(H901&lt;&gt;0,SUM(H$2:H901),0)</f>
        <v>0</v>
      </c>
      <c r="L901" s="25">
        <f>IF(I901&lt;&gt;0,SUM(I$2:I901),0)</f>
        <v>0</v>
      </c>
      <c r="M901" s="25">
        <f>IF(J901&lt;&gt;0,SUM(J$2:J901),0)</f>
        <v>0</v>
      </c>
    </row>
    <row r="902" spans="8:13" x14ac:dyDescent="0.2">
      <c r="H902" s="25">
        <f t="array" ref="H902">IF(A902=A901,0,SUM(_xlfn._xlws.FILTER(G902:G922,A902:A922=A902)))</f>
        <v>0</v>
      </c>
      <c r="I902" s="25">
        <f t="array" ref="I902">IFERROR(IF(A902=A901,0,SUM(_xlfn._xlws.FILTER(G902:G922,(A902:A922=A902)*(E902:E922&lt;0)))),0)</f>
        <v>0</v>
      </c>
      <c r="J902" s="25">
        <f t="array" ref="J902">IFERROR(IF(A902=A901,0,SUM(_xlfn._xlws.FILTER(G902:G922,(A902:A922=A902)*(E902:E922&gt;0)))),0)</f>
        <v>0</v>
      </c>
      <c r="K902" s="25">
        <f>IF(H902&lt;&gt;0,SUM(H$2:H902),0)</f>
        <v>0</v>
      </c>
      <c r="L902" s="25">
        <f>IF(I902&lt;&gt;0,SUM(I$2:I902),0)</f>
        <v>0</v>
      </c>
      <c r="M902" s="25">
        <f>IF(J902&lt;&gt;0,SUM(J$2:J902),0)</f>
        <v>0</v>
      </c>
    </row>
    <row r="903" spans="8:13" x14ac:dyDescent="0.2">
      <c r="H903" s="25">
        <f t="array" ref="H903">IF(A903=A902,0,SUM(_xlfn._xlws.FILTER(G903:G923,A903:A923=A903)))</f>
        <v>0</v>
      </c>
      <c r="I903" s="25">
        <f t="array" ref="I903">IFERROR(IF(A903=A902,0,SUM(_xlfn._xlws.FILTER(G903:G923,(A903:A923=A903)*(E903:E923&lt;0)))),0)</f>
        <v>0</v>
      </c>
      <c r="J903" s="25">
        <f t="array" ref="J903">IFERROR(IF(A903=A902,0,SUM(_xlfn._xlws.FILTER(G903:G923,(A903:A923=A903)*(E903:E923&gt;0)))),0)</f>
        <v>0</v>
      </c>
      <c r="K903" s="25">
        <f>IF(H903&lt;&gt;0,SUM(H$2:H903),0)</f>
        <v>0</v>
      </c>
      <c r="L903" s="25">
        <f>IF(I903&lt;&gt;0,SUM(I$2:I903),0)</f>
        <v>0</v>
      </c>
      <c r="M903" s="25">
        <f>IF(J903&lt;&gt;0,SUM(J$2:J903),0)</f>
        <v>0</v>
      </c>
    </row>
    <row r="904" spans="8:13" x14ac:dyDescent="0.2">
      <c r="H904" s="25">
        <f t="array" ref="H904">IF(A904=A903,0,SUM(_xlfn._xlws.FILTER(G904:G924,A904:A924=A904)))</f>
        <v>0</v>
      </c>
      <c r="I904" s="25">
        <f t="array" ref="I904">IFERROR(IF(A904=A903,0,SUM(_xlfn._xlws.FILTER(G904:G924,(A904:A924=A904)*(E904:E924&lt;0)))),0)</f>
        <v>0</v>
      </c>
      <c r="J904" s="25">
        <f t="array" ref="J904">IFERROR(IF(A904=A903,0,SUM(_xlfn._xlws.FILTER(G904:G924,(A904:A924=A904)*(E904:E924&gt;0)))),0)</f>
        <v>0</v>
      </c>
      <c r="K904" s="25">
        <f>IF(H904&lt;&gt;0,SUM(H$2:H904),0)</f>
        <v>0</v>
      </c>
      <c r="L904" s="25">
        <f>IF(I904&lt;&gt;0,SUM(I$2:I904),0)</f>
        <v>0</v>
      </c>
      <c r="M904" s="25">
        <f>IF(J904&lt;&gt;0,SUM(J$2:J904),0)</f>
        <v>0</v>
      </c>
    </row>
    <row r="905" spans="8:13" x14ac:dyDescent="0.2">
      <c r="H905" s="25">
        <f t="array" ref="H905">IF(A905=A904,0,SUM(_xlfn._xlws.FILTER(G905:G925,A905:A925=A905)))</f>
        <v>0</v>
      </c>
      <c r="I905" s="25">
        <f t="array" ref="I905">IFERROR(IF(A905=A904,0,SUM(_xlfn._xlws.FILTER(G905:G925,(A905:A925=A905)*(E905:E925&lt;0)))),0)</f>
        <v>0</v>
      </c>
      <c r="J905" s="25">
        <f t="array" ref="J905">IFERROR(IF(A905=A904,0,SUM(_xlfn._xlws.FILTER(G905:G925,(A905:A925=A905)*(E905:E925&gt;0)))),0)</f>
        <v>0</v>
      </c>
      <c r="K905" s="25">
        <f>IF(H905&lt;&gt;0,SUM(H$2:H905),0)</f>
        <v>0</v>
      </c>
      <c r="L905" s="25">
        <f>IF(I905&lt;&gt;0,SUM(I$2:I905),0)</f>
        <v>0</v>
      </c>
      <c r="M905" s="25">
        <f>IF(J905&lt;&gt;0,SUM(J$2:J905),0)</f>
        <v>0</v>
      </c>
    </row>
    <row r="906" spans="8:13" x14ac:dyDescent="0.2">
      <c r="H906" s="25">
        <f t="array" ref="H906">IF(A906=A905,0,SUM(_xlfn._xlws.FILTER(G906:G926,A906:A926=A906)))</f>
        <v>0</v>
      </c>
      <c r="I906" s="25">
        <f t="array" ref="I906">IFERROR(IF(A906=A905,0,SUM(_xlfn._xlws.FILTER(G906:G926,(A906:A926=A906)*(E906:E926&lt;0)))),0)</f>
        <v>0</v>
      </c>
      <c r="J906" s="25">
        <f t="array" ref="J906">IFERROR(IF(A906=A905,0,SUM(_xlfn._xlws.FILTER(G906:G926,(A906:A926=A906)*(E906:E926&gt;0)))),0)</f>
        <v>0</v>
      </c>
      <c r="K906" s="25">
        <f>IF(H906&lt;&gt;0,SUM(H$2:H906),0)</f>
        <v>0</v>
      </c>
      <c r="L906" s="25">
        <f>IF(I906&lt;&gt;0,SUM(I$2:I906),0)</f>
        <v>0</v>
      </c>
      <c r="M906" s="25">
        <f>IF(J906&lt;&gt;0,SUM(J$2:J906),0)</f>
        <v>0</v>
      </c>
    </row>
    <row r="907" spans="8:13" x14ac:dyDescent="0.2">
      <c r="H907" s="25">
        <f t="array" ref="H907">IF(A907=A906,0,SUM(_xlfn._xlws.FILTER(G907:G927,A907:A927=A907)))</f>
        <v>0</v>
      </c>
      <c r="I907" s="25">
        <f t="array" ref="I907">IFERROR(IF(A907=A906,0,SUM(_xlfn._xlws.FILTER(G907:G927,(A907:A927=A907)*(E907:E927&lt;0)))),0)</f>
        <v>0</v>
      </c>
      <c r="J907" s="25">
        <f t="array" ref="J907">IFERROR(IF(A907=A906,0,SUM(_xlfn._xlws.FILTER(G907:G927,(A907:A927=A907)*(E907:E927&gt;0)))),0)</f>
        <v>0</v>
      </c>
      <c r="K907" s="25">
        <f>IF(H907&lt;&gt;0,SUM(H$2:H907),0)</f>
        <v>0</v>
      </c>
      <c r="L907" s="25">
        <f>IF(I907&lt;&gt;0,SUM(I$2:I907),0)</f>
        <v>0</v>
      </c>
      <c r="M907" s="25">
        <f>IF(J907&lt;&gt;0,SUM(J$2:J907),0)</f>
        <v>0</v>
      </c>
    </row>
    <row r="908" spans="8:13" x14ac:dyDescent="0.2">
      <c r="H908" s="25">
        <f t="array" ref="H908">IF(A908=A907,0,SUM(_xlfn._xlws.FILTER(G908:G928,A908:A928=A908)))</f>
        <v>0</v>
      </c>
      <c r="I908" s="25">
        <f t="array" ref="I908">IFERROR(IF(A908=A907,0,SUM(_xlfn._xlws.FILTER(G908:G928,(A908:A928=A908)*(E908:E928&lt;0)))),0)</f>
        <v>0</v>
      </c>
      <c r="J908" s="25">
        <f t="array" ref="J908">IFERROR(IF(A908=A907,0,SUM(_xlfn._xlws.FILTER(G908:G928,(A908:A928=A908)*(E908:E928&gt;0)))),0)</f>
        <v>0</v>
      </c>
      <c r="K908" s="25">
        <f>IF(H908&lt;&gt;0,SUM(H$2:H908),0)</f>
        <v>0</v>
      </c>
      <c r="L908" s="25">
        <f>IF(I908&lt;&gt;0,SUM(I$2:I908),0)</f>
        <v>0</v>
      </c>
      <c r="M908" s="25">
        <f>IF(J908&lt;&gt;0,SUM(J$2:J908),0)</f>
        <v>0</v>
      </c>
    </row>
    <row r="909" spans="8:13" x14ac:dyDescent="0.2">
      <c r="H909" s="25">
        <f t="array" ref="H909">IF(A909=A908,0,SUM(_xlfn._xlws.FILTER(G909:G929,A909:A929=A909)))</f>
        <v>0</v>
      </c>
      <c r="I909" s="25">
        <f t="array" ref="I909">IFERROR(IF(A909=A908,0,SUM(_xlfn._xlws.FILTER(G909:G929,(A909:A929=A909)*(E909:E929&lt;0)))),0)</f>
        <v>0</v>
      </c>
      <c r="J909" s="25">
        <f t="array" ref="J909">IFERROR(IF(A909=A908,0,SUM(_xlfn._xlws.FILTER(G909:G929,(A909:A929=A909)*(E909:E929&gt;0)))),0)</f>
        <v>0</v>
      </c>
      <c r="K909" s="25">
        <f>IF(H909&lt;&gt;0,SUM(H$2:H909),0)</f>
        <v>0</v>
      </c>
      <c r="L909" s="25">
        <f>IF(I909&lt;&gt;0,SUM(I$2:I909),0)</f>
        <v>0</v>
      </c>
      <c r="M909" s="25">
        <f>IF(J909&lt;&gt;0,SUM(J$2:J909),0)</f>
        <v>0</v>
      </c>
    </row>
    <row r="910" spans="8:13" x14ac:dyDescent="0.2">
      <c r="H910" s="25">
        <f t="array" ref="H910">IF(A910=A909,0,SUM(_xlfn._xlws.FILTER(G910:G930,A910:A930=A910)))</f>
        <v>0</v>
      </c>
      <c r="I910" s="25">
        <f t="array" ref="I910">IFERROR(IF(A910=A909,0,SUM(_xlfn._xlws.FILTER(G910:G930,(A910:A930=A910)*(E910:E930&lt;0)))),0)</f>
        <v>0</v>
      </c>
      <c r="J910" s="25">
        <f t="array" ref="J910">IFERROR(IF(A910=A909,0,SUM(_xlfn._xlws.FILTER(G910:G930,(A910:A930=A910)*(E910:E930&gt;0)))),0)</f>
        <v>0</v>
      </c>
      <c r="K910" s="25">
        <f>IF(H910&lt;&gt;0,SUM(H$2:H910),0)</f>
        <v>0</v>
      </c>
      <c r="L910" s="25">
        <f>IF(I910&lt;&gt;0,SUM(I$2:I910),0)</f>
        <v>0</v>
      </c>
      <c r="M910" s="25">
        <f>IF(J910&lt;&gt;0,SUM(J$2:J910),0)</f>
        <v>0</v>
      </c>
    </row>
    <row r="911" spans="8:13" x14ac:dyDescent="0.2">
      <c r="H911" s="25">
        <f t="array" ref="H911">IF(A911=A910,0,SUM(_xlfn._xlws.FILTER(G911:G931,A911:A931=A911)))</f>
        <v>0</v>
      </c>
      <c r="I911" s="25">
        <f t="array" ref="I911">IFERROR(IF(A911=A910,0,SUM(_xlfn._xlws.FILTER(G911:G931,(A911:A931=A911)*(E911:E931&lt;0)))),0)</f>
        <v>0</v>
      </c>
      <c r="J911" s="25">
        <f t="array" ref="J911">IFERROR(IF(A911=A910,0,SUM(_xlfn._xlws.FILTER(G911:G931,(A911:A931=A911)*(E911:E931&gt;0)))),0)</f>
        <v>0</v>
      </c>
      <c r="K911" s="25">
        <f>IF(H911&lt;&gt;0,SUM(H$2:H911),0)</f>
        <v>0</v>
      </c>
      <c r="L911" s="25">
        <f>IF(I911&lt;&gt;0,SUM(I$2:I911),0)</f>
        <v>0</v>
      </c>
      <c r="M911" s="25">
        <f>IF(J911&lt;&gt;0,SUM(J$2:J911),0)</f>
        <v>0</v>
      </c>
    </row>
    <row r="912" spans="8:13" x14ac:dyDescent="0.2">
      <c r="H912" s="25">
        <f t="array" ref="H912">IF(A912=A911,0,SUM(_xlfn._xlws.FILTER(G912:G932,A912:A932=A912)))</f>
        <v>0</v>
      </c>
      <c r="I912" s="25">
        <f t="array" ref="I912">IFERROR(IF(A912=A911,0,SUM(_xlfn._xlws.FILTER(G912:G932,(A912:A932=A912)*(E912:E932&lt;0)))),0)</f>
        <v>0</v>
      </c>
      <c r="J912" s="25">
        <f t="array" ref="J912">IFERROR(IF(A912=A911,0,SUM(_xlfn._xlws.FILTER(G912:G932,(A912:A932=A912)*(E912:E932&gt;0)))),0)</f>
        <v>0</v>
      </c>
      <c r="K912" s="25">
        <f>IF(H912&lt;&gt;0,SUM(H$2:H912),0)</f>
        <v>0</v>
      </c>
      <c r="L912" s="25">
        <f>IF(I912&lt;&gt;0,SUM(I$2:I912),0)</f>
        <v>0</v>
      </c>
      <c r="M912" s="25">
        <f>IF(J912&lt;&gt;0,SUM(J$2:J912),0)</f>
        <v>0</v>
      </c>
    </row>
    <row r="913" spans="8:13" x14ac:dyDescent="0.2">
      <c r="H913" s="25">
        <f t="array" ref="H913">IF(A913=A912,0,SUM(_xlfn._xlws.FILTER(G913:G933,A913:A933=A913)))</f>
        <v>0</v>
      </c>
      <c r="I913" s="25">
        <f t="array" ref="I913">IFERROR(IF(A913=A912,0,SUM(_xlfn._xlws.FILTER(G913:G933,(A913:A933=A913)*(E913:E933&lt;0)))),0)</f>
        <v>0</v>
      </c>
      <c r="J913" s="25">
        <f t="array" ref="J913">IFERROR(IF(A913=A912,0,SUM(_xlfn._xlws.FILTER(G913:G933,(A913:A933=A913)*(E913:E933&gt;0)))),0)</f>
        <v>0</v>
      </c>
      <c r="K913" s="25">
        <f>IF(H913&lt;&gt;0,SUM(H$2:H913),0)</f>
        <v>0</v>
      </c>
      <c r="L913" s="25">
        <f>IF(I913&lt;&gt;0,SUM(I$2:I913),0)</f>
        <v>0</v>
      </c>
      <c r="M913" s="25">
        <f>IF(J913&lt;&gt;0,SUM(J$2:J913),0)</f>
        <v>0</v>
      </c>
    </row>
    <row r="914" spans="8:13" x14ac:dyDescent="0.2">
      <c r="H914" s="25">
        <f t="array" ref="H914">IF(A914=A913,0,SUM(_xlfn._xlws.FILTER(G914:G934,A914:A934=A914)))</f>
        <v>0</v>
      </c>
      <c r="I914" s="25">
        <f t="array" ref="I914">IFERROR(IF(A914=A913,0,SUM(_xlfn._xlws.FILTER(G914:G934,(A914:A934=A914)*(E914:E934&lt;0)))),0)</f>
        <v>0</v>
      </c>
      <c r="J914" s="25">
        <f t="array" ref="J914">IFERROR(IF(A914=A913,0,SUM(_xlfn._xlws.FILTER(G914:G934,(A914:A934=A914)*(E914:E934&gt;0)))),0)</f>
        <v>0</v>
      </c>
      <c r="K914" s="25">
        <f>IF(H914&lt;&gt;0,SUM(H$2:H914),0)</f>
        <v>0</v>
      </c>
      <c r="L914" s="25">
        <f>IF(I914&lt;&gt;0,SUM(I$2:I914),0)</f>
        <v>0</v>
      </c>
      <c r="M914" s="25">
        <f>IF(J914&lt;&gt;0,SUM(J$2:J914),0)</f>
        <v>0</v>
      </c>
    </row>
    <row r="915" spans="8:13" x14ac:dyDescent="0.2">
      <c r="H915" s="25">
        <f t="array" ref="H915">IF(A915=A914,0,SUM(_xlfn._xlws.FILTER(G915:G935,A915:A935=A915)))</f>
        <v>0</v>
      </c>
      <c r="I915" s="25">
        <f t="array" ref="I915">IFERROR(IF(A915=A914,0,SUM(_xlfn._xlws.FILTER(G915:G935,(A915:A935=A915)*(E915:E935&lt;0)))),0)</f>
        <v>0</v>
      </c>
      <c r="J915" s="25">
        <f t="array" ref="J915">IFERROR(IF(A915=A914,0,SUM(_xlfn._xlws.FILTER(G915:G935,(A915:A935=A915)*(E915:E935&gt;0)))),0)</f>
        <v>0</v>
      </c>
      <c r="K915" s="25">
        <f>IF(H915&lt;&gt;0,SUM(H$2:H915),0)</f>
        <v>0</v>
      </c>
      <c r="L915" s="25">
        <f>IF(I915&lt;&gt;0,SUM(I$2:I915),0)</f>
        <v>0</v>
      </c>
      <c r="M915" s="25">
        <f>IF(J915&lt;&gt;0,SUM(J$2:J915),0)</f>
        <v>0</v>
      </c>
    </row>
    <row r="916" spans="8:13" x14ac:dyDescent="0.2">
      <c r="H916" s="25">
        <f t="array" ref="H916">IF(A916=A915,0,SUM(_xlfn._xlws.FILTER(G916:G936,A916:A936=A916)))</f>
        <v>0</v>
      </c>
      <c r="I916" s="25">
        <f t="array" ref="I916">IFERROR(IF(A916=A915,0,SUM(_xlfn._xlws.FILTER(G916:G936,(A916:A936=A916)*(E916:E936&lt;0)))),0)</f>
        <v>0</v>
      </c>
      <c r="J916" s="25">
        <f t="array" ref="J916">IFERROR(IF(A916=A915,0,SUM(_xlfn._xlws.FILTER(G916:G936,(A916:A936=A916)*(E916:E936&gt;0)))),0)</f>
        <v>0</v>
      </c>
      <c r="K916" s="25">
        <f>IF(H916&lt;&gt;0,SUM(H$2:H916),0)</f>
        <v>0</v>
      </c>
      <c r="L916" s="25">
        <f>IF(I916&lt;&gt;0,SUM(I$2:I916),0)</f>
        <v>0</v>
      </c>
      <c r="M916" s="25">
        <f>IF(J916&lt;&gt;0,SUM(J$2:J916),0)</f>
        <v>0</v>
      </c>
    </row>
    <row r="917" spans="8:13" x14ac:dyDescent="0.2">
      <c r="H917" s="25">
        <f t="array" ref="H917">IF(A917=A916,0,SUM(_xlfn._xlws.FILTER(G917:G937,A917:A937=A917)))</f>
        <v>0</v>
      </c>
      <c r="I917" s="25">
        <f t="array" ref="I917">IFERROR(IF(A917=A916,0,SUM(_xlfn._xlws.FILTER(G917:G937,(A917:A937=A917)*(E917:E937&lt;0)))),0)</f>
        <v>0</v>
      </c>
      <c r="J917" s="25">
        <f t="array" ref="J917">IFERROR(IF(A917=A916,0,SUM(_xlfn._xlws.FILTER(G917:G937,(A917:A937=A917)*(E917:E937&gt;0)))),0)</f>
        <v>0</v>
      </c>
      <c r="K917" s="25">
        <f>IF(H917&lt;&gt;0,SUM(H$2:H917),0)</f>
        <v>0</v>
      </c>
      <c r="L917" s="25">
        <f>IF(I917&lt;&gt;0,SUM(I$2:I917),0)</f>
        <v>0</v>
      </c>
      <c r="M917" s="25">
        <f>IF(J917&lt;&gt;0,SUM(J$2:J917),0)</f>
        <v>0</v>
      </c>
    </row>
    <row r="918" spans="8:13" x14ac:dyDescent="0.2">
      <c r="H918" s="25">
        <f t="array" ref="H918">IF(A918=A917,0,SUM(_xlfn._xlws.FILTER(G918:G938,A918:A938=A918)))</f>
        <v>0</v>
      </c>
      <c r="I918" s="25">
        <f t="array" ref="I918">IFERROR(IF(A918=A917,0,SUM(_xlfn._xlws.FILTER(G918:G938,(A918:A938=A918)*(E918:E938&lt;0)))),0)</f>
        <v>0</v>
      </c>
      <c r="J918" s="25">
        <f t="array" ref="J918">IFERROR(IF(A918=A917,0,SUM(_xlfn._xlws.FILTER(G918:G938,(A918:A938=A918)*(E918:E938&gt;0)))),0)</f>
        <v>0</v>
      </c>
      <c r="K918" s="25">
        <f>IF(H918&lt;&gt;0,SUM(H$2:H918),0)</f>
        <v>0</v>
      </c>
      <c r="L918" s="25">
        <f>IF(I918&lt;&gt;0,SUM(I$2:I918),0)</f>
        <v>0</v>
      </c>
      <c r="M918" s="25">
        <f>IF(J918&lt;&gt;0,SUM(J$2:J918),0)</f>
        <v>0</v>
      </c>
    </row>
    <row r="919" spans="8:13" x14ac:dyDescent="0.2">
      <c r="H919" s="25">
        <f t="array" ref="H919">IF(A919=A918,0,SUM(_xlfn._xlws.FILTER(G919:G939,A919:A939=A919)))</f>
        <v>0</v>
      </c>
      <c r="I919" s="25">
        <f t="array" ref="I919">IFERROR(IF(A919=A918,0,SUM(_xlfn._xlws.FILTER(G919:G939,(A919:A939=A919)*(E919:E939&lt;0)))),0)</f>
        <v>0</v>
      </c>
      <c r="J919" s="25">
        <f t="array" ref="J919">IFERROR(IF(A919=A918,0,SUM(_xlfn._xlws.FILTER(G919:G939,(A919:A939=A919)*(E919:E939&gt;0)))),0)</f>
        <v>0</v>
      </c>
      <c r="K919" s="25">
        <f>IF(H919&lt;&gt;0,SUM(H$2:H919),0)</f>
        <v>0</v>
      </c>
      <c r="L919" s="25">
        <f>IF(I919&lt;&gt;0,SUM(I$2:I919),0)</f>
        <v>0</v>
      </c>
      <c r="M919" s="25">
        <f>IF(J919&lt;&gt;0,SUM(J$2:J919),0)</f>
        <v>0</v>
      </c>
    </row>
    <row r="920" spans="8:13" x14ac:dyDescent="0.2">
      <c r="H920" s="25">
        <f t="array" ref="H920">IF(A920=A919,0,SUM(_xlfn._xlws.FILTER(G920:G940,A920:A940=A920)))</f>
        <v>0</v>
      </c>
      <c r="I920" s="25">
        <f t="array" ref="I920">IFERROR(IF(A920=A919,0,SUM(_xlfn._xlws.FILTER(G920:G940,(A920:A940=A920)*(E920:E940&lt;0)))),0)</f>
        <v>0</v>
      </c>
      <c r="J920" s="25">
        <f t="array" ref="J920">IFERROR(IF(A920=A919,0,SUM(_xlfn._xlws.FILTER(G920:G940,(A920:A940=A920)*(E920:E940&gt;0)))),0)</f>
        <v>0</v>
      </c>
      <c r="K920" s="25">
        <f>IF(H920&lt;&gt;0,SUM(H$2:H920),0)</f>
        <v>0</v>
      </c>
      <c r="L920" s="25">
        <f>IF(I920&lt;&gt;0,SUM(I$2:I920),0)</f>
        <v>0</v>
      </c>
      <c r="M920" s="25">
        <f>IF(J920&lt;&gt;0,SUM(J$2:J920),0)</f>
        <v>0</v>
      </c>
    </row>
    <row r="921" spans="8:13" x14ac:dyDescent="0.2">
      <c r="H921" s="25">
        <f t="array" ref="H921">IF(A921=A920,0,SUM(_xlfn._xlws.FILTER(G921:G941,A921:A941=A921)))</f>
        <v>0</v>
      </c>
      <c r="I921" s="25">
        <f t="array" ref="I921">IFERROR(IF(A921=A920,0,SUM(_xlfn._xlws.FILTER(G921:G941,(A921:A941=A921)*(E921:E941&lt;0)))),0)</f>
        <v>0</v>
      </c>
      <c r="J921" s="25">
        <f t="array" ref="J921">IFERROR(IF(A921=A920,0,SUM(_xlfn._xlws.FILTER(G921:G941,(A921:A941=A921)*(E921:E941&gt;0)))),0)</f>
        <v>0</v>
      </c>
      <c r="K921" s="25">
        <f>IF(H921&lt;&gt;0,SUM(H$2:H921),0)</f>
        <v>0</v>
      </c>
      <c r="L921" s="25">
        <f>IF(I921&lt;&gt;0,SUM(I$2:I921),0)</f>
        <v>0</v>
      </c>
      <c r="M921" s="25">
        <f>IF(J921&lt;&gt;0,SUM(J$2:J921),0)</f>
        <v>0</v>
      </c>
    </row>
    <row r="922" spans="8:13" x14ac:dyDescent="0.2">
      <c r="H922" s="25">
        <f t="array" ref="H922">IF(A922=A921,0,SUM(_xlfn._xlws.FILTER(G922:G942,A922:A942=A922)))</f>
        <v>0</v>
      </c>
      <c r="I922" s="25">
        <f t="array" ref="I922">IFERROR(IF(A922=A921,0,SUM(_xlfn._xlws.FILTER(G922:G942,(A922:A942=A922)*(E922:E942&lt;0)))),0)</f>
        <v>0</v>
      </c>
      <c r="J922" s="25">
        <f t="array" ref="J922">IFERROR(IF(A922=A921,0,SUM(_xlfn._xlws.FILTER(G922:G942,(A922:A942=A922)*(E922:E942&gt;0)))),0)</f>
        <v>0</v>
      </c>
      <c r="K922" s="25">
        <f>IF(H922&lt;&gt;0,SUM(H$2:H922),0)</f>
        <v>0</v>
      </c>
      <c r="L922" s="25">
        <f>IF(I922&lt;&gt;0,SUM(I$2:I922),0)</f>
        <v>0</v>
      </c>
      <c r="M922" s="25">
        <f>IF(J922&lt;&gt;0,SUM(J$2:J922),0)</f>
        <v>0</v>
      </c>
    </row>
    <row r="923" spans="8:13" x14ac:dyDescent="0.2">
      <c r="H923" s="25">
        <f t="array" ref="H923">IF(A923=A922,0,SUM(_xlfn._xlws.FILTER(G923:G943,A923:A943=A923)))</f>
        <v>0</v>
      </c>
      <c r="I923" s="25">
        <f t="array" ref="I923">IFERROR(IF(A923=A922,0,SUM(_xlfn._xlws.FILTER(G923:G943,(A923:A943=A923)*(E923:E943&lt;0)))),0)</f>
        <v>0</v>
      </c>
      <c r="J923" s="25">
        <f t="array" ref="J923">IFERROR(IF(A923=A922,0,SUM(_xlfn._xlws.FILTER(G923:G943,(A923:A943=A923)*(E923:E943&gt;0)))),0)</f>
        <v>0</v>
      </c>
      <c r="K923" s="25">
        <f>IF(H923&lt;&gt;0,SUM(H$2:H923),0)</f>
        <v>0</v>
      </c>
      <c r="L923" s="25">
        <f>IF(I923&lt;&gt;0,SUM(I$2:I923),0)</f>
        <v>0</v>
      </c>
      <c r="M923" s="25">
        <f>IF(J923&lt;&gt;0,SUM(J$2:J923),0)</f>
        <v>0</v>
      </c>
    </row>
    <row r="924" spans="8:13" x14ac:dyDescent="0.2">
      <c r="H924" s="25">
        <f t="array" ref="H924">IF(A924=A923,0,SUM(_xlfn._xlws.FILTER(G924:G944,A924:A944=A924)))</f>
        <v>0</v>
      </c>
      <c r="I924" s="25">
        <f t="array" ref="I924">IFERROR(IF(A924=A923,0,SUM(_xlfn._xlws.FILTER(G924:G944,(A924:A944=A924)*(E924:E944&lt;0)))),0)</f>
        <v>0</v>
      </c>
      <c r="J924" s="25">
        <f t="array" ref="J924">IFERROR(IF(A924=A923,0,SUM(_xlfn._xlws.FILTER(G924:G944,(A924:A944=A924)*(E924:E944&gt;0)))),0)</f>
        <v>0</v>
      </c>
      <c r="K924" s="25">
        <f>IF(H924&lt;&gt;0,SUM(H$2:H924),0)</f>
        <v>0</v>
      </c>
      <c r="L924" s="25">
        <f>IF(I924&lt;&gt;0,SUM(I$2:I924),0)</f>
        <v>0</v>
      </c>
      <c r="M924" s="25">
        <f>IF(J924&lt;&gt;0,SUM(J$2:J924),0)</f>
        <v>0</v>
      </c>
    </row>
    <row r="925" spans="8:13" x14ac:dyDescent="0.2">
      <c r="H925" s="25">
        <f t="array" ref="H925">IF(A925=A924,0,SUM(_xlfn._xlws.FILTER(G925:G945,A925:A945=A925)))</f>
        <v>0</v>
      </c>
      <c r="I925" s="25">
        <f t="array" ref="I925">IFERROR(IF(A925=A924,0,SUM(_xlfn._xlws.FILTER(G925:G945,(A925:A945=A925)*(E925:E945&lt;0)))),0)</f>
        <v>0</v>
      </c>
      <c r="J925" s="25">
        <f t="array" ref="J925">IFERROR(IF(A925=A924,0,SUM(_xlfn._xlws.FILTER(G925:G945,(A925:A945=A925)*(E925:E945&gt;0)))),0)</f>
        <v>0</v>
      </c>
      <c r="K925" s="25">
        <f>IF(H925&lt;&gt;0,SUM(H$2:H925),0)</f>
        <v>0</v>
      </c>
      <c r="L925" s="25">
        <f>IF(I925&lt;&gt;0,SUM(I$2:I925),0)</f>
        <v>0</v>
      </c>
      <c r="M925" s="25">
        <f>IF(J925&lt;&gt;0,SUM(J$2:J925),0)</f>
        <v>0</v>
      </c>
    </row>
    <row r="926" spans="8:13" x14ac:dyDescent="0.2">
      <c r="H926" s="25">
        <f t="array" ref="H926">IF(A926=A925,0,SUM(_xlfn._xlws.FILTER(G926:G946,A926:A946=A926)))</f>
        <v>0</v>
      </c>
      <c r="I926" s="25">
        <f t="array" ref="I926">IFERROR(IF(A926=A925,0,SUM(_xlfn._xlws.FILTER(G926:G946,(A926:A946=A926)*(E926:E946&lt;0)))),0)</f>
        <v>0</v>
      </c>
      <c r="J926" s="25">
        <f t="array" ref="J926">IFERROR(IF(A926=A925,0,SUM(_xlfn._xlws.FILTER(G926:G946,(A926:A946=A926)*(E926:E946&gt;0)))),0)</f>
        <v>0</v>
      </c>
      <c r="K926" s="25">
        <f>IF(H926&lt;&gt;0,SUM(H$2:H926),0)</f>
        <v>0</v>
      </c>
      <c r="L926" s="25">
        <f>IF(I926&lt;&gt;0,SUM(I$2:I926),0)</f>
        <v>0</v>
      </c>
      <c r="M926" s="25">
        <f>IF(J926&lt;&gt;0,SUM(J$2:J926),0)</f>
        <v>0</v>
      </c>
    </row>
    <row r="927" spans="8:13" x14ac:dyDescent="0.2">
      <c r="H927" s="25">
        <f t="array" ref="H927">IF(A927=A926,0,SUM(_xlfn._xlws.FILTER(G927:G947,A927:A947=A927)))</f>
        <v>0</v>
      </c>
      <c r="I927" s="25">
        <f t="array" ref="I927">IFERROR(IF(A927=A926,0,SUM(_xlfn._xlws.FILTER(G927:G947,(A927:A947=A927)*(E927:E947&lt;0)))),0)</f>
        <v>0</v>
      </c>
      <c r="J927" s="25">
        <f t="array" ref="J927">IFERROR(IF(A927=A926,0,SUM(_xlfn._xlws.FILTER(G927:G947,(A927:A947=A927)*(E927:E947&gt;0)))),0)</f>
        <v>0</v>
      </c>
      <c r="K927" s="25">
        <f>IF(H927&lt;&gt;0,SUM(H$2:H927),0)</f>
        <v>0</v>
      </c>
      <c r="L927" s="25">
        <f>IF(I927&lt;&gt;0,SUM(I$2:I927),0)</f>
        <v>0</v>
      </c>
      <c r="M927" s="25">
        <f>IF(J927&lt;&gt;0,SUM(J$2:J927),0)</f>
        <v>0</v>
      </c>
    </row>
    <row r="928" spans="8:13" x14ac:dyDescent="0.2">
      <c r="H928" s="25">
        <f t="array" ref="H928">IF(A928=A927,0,SUM(_xlfn._xlws.FILTER(G928:G948,A928:A948=A928)))</f>
        <v>0</v>
      </c>
      <c r="I928" s="25">
        <f t="array" ref="I928">IFERROR(IF(A928=A927,0,SUM(_xlfn._xlws.FILTER(G928:G948,(A928:A948=A928)*(E928:E948&lt;0)))),0)</f>
        <v>0</v>
      </c>
      <c r="J928" s="25">
        <f t="array" ref="J928">IFERROR(IF(A928=A927,0,SUM(_xlfn._xlws.FILTER(G928:G948,(A928:A948=A928)*(E928:E948&gt;0)))),0)</f>
        <v>0</v>
      </c>
      <c r="K928" s="25">
        <f>IF(H928&lt;&gt;0,SUM(H$2:H928),0)</f>
        <v>0</v>
      </c>
      <c r="L928" s="25">
        <f>IF(I928&lt;&gt;0,SUM(I$2:I928),0)</f>
        <v>0</v>
      </c>
      <c r="M928" s="25">
        <f>IF(J928&lt;&gt;0,SUM(J$2:J928),0)</f>
        <v>0</v>
      </c>
    </row>
    <row r="929" spans="8:13" x14ac:dyDescent="0.2">
      <c r="H929" s="25">
        <f t="array" ref="H929">IF(A929=A928,0,SUM(_xlfn._xlws.FILTER(G929:G949,A929:A949=A929)))</f>
        <v>0</v>
      </c>
      <c r="I929" s="25">
        <f t="array" ref="I929">IFERROR(IF(A929=A928,0,SUM(_xlfn._xlws.FILTER(G929:G949,(A929:A949=A929)*(E929:E949&lt;0)))),0)</f>
        <v>0</v>
      </c>
      <c r="J929" s="25">
        <f t="array" ref="J929">IFERROR(IF(A929=A928,0,SUM(_xlfn._xlws.FILTER(G929:G949,(A929:A949=A929)*(E929:E949&gt;0)))),0)</f>
        <v>0</v>
      </c>
      <c r="K929" s="25">
        <f>IF(H929&lt;&gt;0,SUM(H$2:H929),0)</f>
        <v>0</v>
      </c>
      <c r="L929" s="25">
        <f>IF(I929&lt;&gt;0,SUM(I$2:I929),0)</f>
        <v>0</v>
      </c>
      <c r="M929" s="25">
        <f>IF(J929&lt;&gt;0,SUM(J$2:J929),0)</f>
        <v>0</v>
      </c>
    </row>
    <row r="930" spans="8:13" x14ac:dyDescent="0.2">
      <c r="H930" s="25">
        <f t="array" ref="H930">IF(A930=A929,0,SUM(_xlfn._xlws.FILTER(G930:G950,A930:A950=A930)))</f>
        <v>0</v>
      </c>
      <c r="I930" s="25">
        <f t="array" ref="I930">IFERROR(IF(A930=A929,0,SUM(_xlfn._xlws.FILTER(G930:G950,(A930:A950=A930)*(E930:E950&lt;0)))),0)</f>
        <v>0</v>
      </c>
      <c r="J930" s="25">
        <f t="array" ref="J930">IFERROR(IF(A930=A929,0,SUM(_xlfn._xlws.FILTER(G930:G950,(A930:A950=A930)*(E930:E950&gt;0)))),0)</f>
        <v>0</v>
      </c>
      <c r="K930" s="25">
        <f>IF(H930&lt;&gt;0,SUM(H$2:H930),0)</f>
        <v>0</v>
      </c>
      <c r="L930" s="25">
        <f>IF(I930&lt;&gt;0,SUM(I$2:I930),0)</f>
        <v>0</v>
      </c>
      <c r="M930" s="25">
        <f>IF(J930&lt;&gt;0,SUM(J$2:J930),0)</f>
        <v>0</v>
      </c>
    </row>
    <row r="931" spans="8:13" x14ac:dyDescent="0.2">
      <c r="H931" s="25">
        <f t="array" ref="H931">IF(A931=A930,0,SUM(_xlfn._xlws.FILTER(G931:G951,A931:A951=A931)))</f>
        <v>0</v>
      </c>
      <c r="I931" s="25">
        <f t="array" ref="I931">IFERROR(IF(A931=A930,0,SUM(_xlfn._xlws.FILTER(G931:G951,(A931:A951=A931)*(E931:E951&lt;0)))),0)</f>
        <v>0</v>
      </c>
      <c r="J931" s="25">
        <f t="array" ref="J931">IFERROR(IF(A931=A930,0,SUM(_xlfn._xlws.FILTER(G931:G951,(A931:A951=A931)*(E931:E951&gt;0)))),0)</f>
        <v>0</v>
      </c>
      <c r="K931" s="25">
        <f>IF(H931&lt;&gt;0,SUM(H$2:H931),0)</f>
        <v>0</v>
      </c>
      <c r="L931" s="25">
        <f>IF(I931&lt;&gt;0,SUM(I$2:I931),0)</f>
        <v>0</v>
      </c>
      <c r="M931" s="25">
        <f>IF(J931&lt;&gt;0,SUM(J$2:J931),0)</f>
        <v>0</v>
      </c>
    </row>
    <row r="932" spans="8:13" x14ac:dyDescent="0.2">
      <c r="H932" s="25">
        <f t="array" ref="H932">IF(A932=A931,0,SUM(_xlfn._xlws.FILTER(G932:G952,A932:A952=A932)))</f>
        <v>0</v>
      </c>
      <c r="I932" s="25">
        <f t="array" ref="I932">IFERROR(IF(A932=A931,0,SUM(_xlfn._xlws.FILTER(G932:G952,(A932:A952=A932)*(E932:E952&lt;0)))),0)</f>
        <v>0</v>
      </c>
      <c r="J932" s="25">
        <f t="array" ref="J932">IFERROR(IF(A932=A931,0,SUM(_xlfn._xlws.FILTER(G932:G952,(A932:A952=A932)*(E932:E952&gt;0)))),0)</f>
        <v>0</v>
      </c>
      <c r="K932" s="25">
        <f>IF(H932&lt;&gt;0,SUM(H$2:H932),0)</f>
        <v>0</v>
      </c>
      <c r="L932" s="25">
        <f>IF(I932&lt;&gt;0,SUM(I$2:I932),0)</f>
        <v>0</v>
      </c>
      <c r="M932" s="25">
        <f>IF(J932&lt;&gt;0,SUM(J$2:J932),0)</f>
        <v>0</v>
      </c>
    </row>
    <row r="933" spans="8:13" x14ac:dyDescent="0.2">
      <c r="H933" s="25">
        <f t="array" ref="H933">IF(A933=A932,0,SUM(_xlfn._xlws.FILTER(G933:G953,A933:A953=A933)))</f>
        <v>0</v>
      </c>
      <c r="I933" s="25">
        <f t="array" ref="I933">IFERROR(IF(A933=A932,0,SUM(_xlfn._xlws.FILTER(G933:G953,(A933:A953=A933)*(E933:E953&lt;0)))),0)</f>
        <v>0</v>
      </c>
      <c r="J933" s="25">
        <f t="array" ref="J933">IFERROR(IF(A933=A932,0,SUM(_xlfn._xlws.FILTER(G933:G953,(A933:A953=A933)*(E933:E953&gt;0)))),0)</f>
        <v>0</v>
      </c>
      <c r="K933" s="25">
        <f>IF(H933&lt;&gt;0,SUM(H$2:H933),0)</f>
        <v>0</v>
      </c>
      <c r="L933" s="25">
        <f>IF(I933&lt;&gt;0,SUM(I$2:I933),0)</f>
        <v>0</v>
      </c>
      <c r="M933" s="25">
        <f>IF(J933&lt;&gt;0,SUM(J$2:J933),0)</f>
        <v>0</v>
      </c>
    </row>
    <row r="934" spans="8:13" x14ac:dyDescent="0.2">
      <c r="H934" s="25">
        <f t="array" ref="H934">IF(A934=A933,0,SUM(_xlfn._xlws.FILTER(G934:G954,A934:A954=A934)))</f>
        <v>0</v>
      </c>
      <c r="I934" s="25">
        <f t="array" ref="I934">IFERROR(IF(A934=A933,0,SUM(_xlfn._xlws.FILTER(G934:G954,(A934:A954=A934)*(E934:E954&lt;0)))),0)</f>
        <v>0</v>
      </c>
      <c r="J934" s="25">
        <f t="array" ref="J934">IFERROR(IF(A934=A933,0,SUM(_xlfn._xlws.FILTER(G934:G954,(A934:A954=A934)*(E934:E954&gt;0)))),0)</f>
        <v>0</v>
      </c>
      <c r="K934" s="25">
        <f>IF(H934&lt;&gt;0,SUM(H$2:H934),0)</f>
        <v>0</v>
      </c>
      <c r="L934" s="25">
        <f>IF(I934&lt;&gt;0,SUM(I$2:I934),0)</f>
        <v>0</v>
      </c>
      <c r="M934" s="25">
        <f>IF(J934&lt;&gt;0,SUM(J$2:J934),0)</f>
        <v>0</v>
      </c>
    </row>
    <row r="935" spans="8:13" x14ac:dyDescent="0.2">
      <c r="H935" s="25">
        <f t="array" ref="H935">IF(A935=A934,0,SUM(_xlfn._xlws.FILTER(G935:G955,A935:A955=A935)))</f>
        <v>0</v>
      </c>
      <c r="I935" s="25">
        <f t="array" ref="I935">IFERROR(IF(A935=A934,0,SUM(_xlfn._xlws.FILTER(G935:G955,(A935:A955=A935)*(E935:E955&lt;0)))),0)</f>
        <v>0</v>
      </c>
      <c r="J935" s="25">
        <f t="array" ref="J935">IFERROR(IF(A935=A934,0,SUM(_xlfn._xlws.FILTER(G935:G955,(A935:A955=A935)*(E935:E955&gt;0)))),0)</f>
        <v>0</v>
      </c>
      <c r="K935" s="25">
        <f>IF(H935&lt;&gt;0,SUM(H$2:H935),0)</f>
        <v>0</v>
      </c>
      <c r="L935" s="25">
        <f>IF(I935&lt;&gt;0,SUM(I$2:I935),0)</f>
        <v>0</v>
      </c>
      <c r="M935" s="25">
        <f>IF(J935&lt;&gt;0,SUM(J$2:J935),0)</f>
        <v>0</v>
      </c>
    </row>
    <row r="936" spans="8:13" x14ac:dyDescent="0.2">
      <c r="H936" s="25">
        <f t="array" ref="H936">IF(A936=A935,0,SUM(_xlfn._xlws.FILTER(G936:G956,A936:A956=A936)))</f>
        <v>0</v>
      </c>
      <c r="I936" s="25">
        <f t="array" ref="I936">IFERROR(IF(A936=A935,0,SUM(_xlfn._xlws.FILTER(G936:G956,(A936:A956=A936)*(E936:E956&lt;0)))),0)</f>
        <v>0</v>
      </c>
      <c r="J936" s="25">
        <f t="array" ref="J936">IFERROR(IF(A936=A935,0,SUM(_xlfn._xlws.FILTER(G936:G956,(A936:A956=A936)*(E936:E956&gt;0)))),0)</f>
        <v>0</v>
      </c>
      <c r="K936" s="25">
        <f>IF(H936&lt;&gt;0,SUM(H$2:H936),0)</f>
        <v>0</v>
      </c>
      <c r="L936" s="25">
        <f>IF(I936&lt;&gt;0,SUM(I$2:I936),0)</f>
        <v>0</v>
      </c>
      <c r="M936" s="25">
        <f>IF(J936&lt;&gt;0,SUM(J$2:J936),0)</f>
        <v>0</v>
      </c>
    </row>
    <row r="937" spans="8:13" x14ac:dyDescent="0.2">
      <c r="H937" s="25">
        <f t="array" ref="H937">IF(A937=A936,0,SUM(_xlfn._xlws.FILTER(G937:G957,A937:A957=A937)))</f>
        <v>0</v>
      </c>
      <c r="I937" s="25">
        <f t="array" ref="I937">IFERROR(IF(A937=A936,0,SUM(_xlfn._xlws.FILTER(G937:G957,(A937:A957=A937)*(E937:E957&lt;0)))),0)</f>
        <v>0</v>
      </c>
      <c r="J937" s="25">
        <f t="array" ref="J937">IFERROR(IF(A937=A936,0,SUM(_xlfn._xlws.FILTER(G937:G957,(A937:A957=A937)*(E937:E957&gt;0)))),0)</f>
        <v>0</v>
      </c>
      <c r="K937" s="25">
        <f>IF(H937&lt;&gt;0,SUM(H$2:H937),0)</f>
        <v>0</v>
      </c>
      <c r="L937" s="25">
        <f>IF(I937&lt;&gt;0,SUM(I$2:I937),0)</f>
        <v>0</v>
      </c>
      <c r="M937" s="25">
        <f>IF(J937&lt;&gt;0,SUM(J$2:J937),0)</f>
        <v>0</v>
      </c>
    </row>
    <row r="938" spans="8:13" x14ac:dyDescent="0.2">
      <c r="H938" s="25">
        <f t="array" ref="H938">IF(A938=A937,0,SUM(_xlfn._xlws.FILTER(G938:G958,A938:A958=A938)))</f>
        <v>0</v>
      </c>
      <c r="I938" s="25">
        <f t="array" ref="I938">IFERROR(IF(A938=A937,0,SUM(_xlfn._xlws.FILTER(G938:G958,(A938:A958=A938)*(E938:E958&lt;0)))),0)</f>
        <v>0</v>
      </c>
      <c r="J938" s="25">
        <f t="array" ref="J938">IFERROR(IF(A938=A937,0,SUM(_xlfn._xlws.FILTER(G938:G958,(A938:A958=A938)*(E938:E958&gt;0)))),0)</f>
        <v>0</v>
      </c>
      <c r="K938" s="25">
        <f>IF(H938&lt;&gt;0,SUM(H$2:H938),0)</f>
        <v>0</v>
      </c>
      <c r="L938" s="25">
        <f>IF(I938&lt;&gt;0,SUM(I$2:I938),0)</f>
        <v>0</v>
      </c>
      <c r="M938" s="25">
        <f>IF(J938&lt;&gt;0,SUM(J$2:J938),0)</f>
        <v>0</v>
      </c>
    </row>
    <row r="939" spans="8:13" x14ac:dyDescent="0.2">
      <c r="H939" s="25">
        <f t="array" ref="H939">IF(A939=A938,0,SUM(_xlfn._xlws.FILTER(G939:G959,A939:A959=A939)))</f>
        <v>0</v>
      </c>
      <c r="I939" s="25">
        <f t="array" ref="I939">IFERROR(IF(A939=A938,0,SUM(_xlfn._xlws.FILTER(G939:G959,(A939:A959=A939)*(E939:E959&lt;0)))),0)</f>
        <v>0</v>
      </c>
      <c r="J939" s="25">
        <f t="array" ref="J939">IFERROR(IF(A939=A938,0,SUM(_xlfn._xlws.FILTER(G939:G959,(A939:A959=A939)*(E939:E959&gt;0)))),0)</f>
        <v>0</v>
      </c>
      <c r="K939" s="25">
        <f>IF(H939&lt;&gt;0,SUM(H$2:H939),0)</f>
        <v>0</v>
      </c>
      <c r="L939" s="25">
        <f>IF(I939&lt;&gt;0,SUM(I$2:I939),0)</f>
        <v>0</v>
      </c>
      <c r="M939" s="25">
        <f>IF(J939&lt;&gt;0,SUM(J$2:J939),0)</f>
        <v>0</v>
      </c>
    </row>
    <row r="940" spans="8:13" x14ac:dyDescent="0.2">
      <c r="H940" s="25">
        <f t="array" ref="H940">IF(A940=A939,0,SUM(_xlfn._xlws.FILTER(G940:G960,A940:A960=A940)))</f>
        <v>0</v>
      </c>
      <c r="I940" s="25">
        <f t="array" ref="I940">IFERROR(IF(A940=A939,0,SUM(_xlfn._xlws.FILTER(G940:G960,(A940:A960=A940)*(E940:E960&lt;0)))),0)</f>
        <v>0</v>
      </c>
      <c r="J940" s="25">
        <f t="array" ref="J940">IFERROR(IF(A940=A939,0,SUM(_xlfn._xlws.FILTER(G940:G960,(A940:A960=A940)*(E940:E960&gt;0)))),0)</f>
        <v>0</v>
      </c>
      <c r="K940" s="25">
        <f>IF(H940&lt;&gt;0,SUM(H$2:H940),0)</f>
        <v>0</v>
      </c>
      <c r="L940" s="25">
        <f>IF(I940&lt;&gt;0,SUM(I$2:I940),0)</f>
        <v>0</v>
      </c>
      <c r="M940" s="25">
        <f>IF(J940&lt;&gt;0,SUM(J$2:J940),0)</f>
        <v>0</v>
      </c>
    </row>
    <row r="941" spans="8:13" x14ac:dyDescent="0.2">
      <c r="H941" s="25">
        <f t="array" ref="H941">IF(A941=A940,0,SUM(_xlfn._xlws.FILTER(G941:G961,A941:A961=A941)))</f>
        <v>0</v>
      </c>
      <c r="I941" s="25">
        <f t="array" ref="I941">IFERROR(IF(A941=A940,0,SUM(_xlfn._xlws.FILTER(G941:G961,(A941:A961=A941)*(E941:E961&lt;0)))),0)</f>
        <v>0</v>
      </c>
      <c r="J941" s="25">
        <f t="array" ref="J941">IFERROR(IF(A941=A940,0,SUM(_xlfn._xlws.FILTER(G941:G961,(A941:A961=A941)*(E941:E961&gt;0)))),0)</f>
        <v>0</v>
      </c>
      <c r="K941" s="25">
        <f>IF(H941&lt;&gt;0,SUM(H$2:H941),0)</f>
        <v>0</v>
      </c>
      <c r="L941" s="25">
        <f>IF(I941&lt;&gt;0,SUM(I$2:I941),0)</f>
        <v>0</v>
      </c>
      <c r="M941" s="25">
        <f>IF(J941&lt;&gt;0,SUM(J$2:J941),0)</f>
        <v>0</v>
      </c>
    </row>
    <row r="942" spans="8:13" x14ac:dyDescent="0.2">
      <c r="H942" s="25">
        <f t="array" ref="H942">IF(A942=A941,0,SUM(_xlfn._xlws.FILTER(G942:G962,A942:A962=A942)))</f>
        <v>0</v>
      </c>
      <c r="I942" s="25">
        <f t="array" ref="I942">IFERROR(IF(A942=A941,0,SUM(_xlfn._xlws.FILTER(G942:G962,(A942:A962=A942)*(E942:E962&lt;0)))),0)</f>
        <v>0</v>
      </c>
      <c r="J942" s="25">
        <f t="array" ref="J942">IFERROR(IF(A942=A941,0,SUM(_xlfn._xlws.FILTER(G942:G962,(A942:A962=A942)*(E942:E962&gt;0)))),0)</f>
        <v>0</v>
      </c>
      <c r="K942" s="25">
        <f>IF(H942&lt;&gt;0,SUM(H$2:H942),0)</f>
        <v>0</v>
      </c>
      <c r="L942" s="25">
        <f>IF(I942&lt;&gt;0,SUM(I$2:I942),0)</f>
        <v>0</v>
      </c>
      <c r="M942" s="25">
        <f>IF(J942&lt;&gt;0,SUM(J$2:J942),0)</f>
        <v>0</v>
      </c>
    </row>
    <row r="943" spans="8:13" x14ac:dyDescent="0.2">
      <c r="H943" s="25">
        <f t="array" ref="H943">IF(A943=A942,0,SUM(_xlfn._xlws.FILTER(G943:G963,A943:A963=A943)))</f>
        <v>0</v>
      </c>
      <c r="I943" s="25">
        <f t="array" ref="I943">IFERROR(IF(A943=A942,0,SUM(_xlfn._xlws.FILTER(G943:G963,(A943:A963=A943)*(E943:E963&lt;0)))),0)</f>
        <v>0</v>
      </c>
      <c r="J943" s="25">
        <f t="array" ref="J943">IFERROR(IF(A943=A942,0,SUM(_xlfn._xlws.FILTER(G943:G963,(A943:A963=A943)*(E943:E963&gt;0)))),0)</f>
        <v>0</v>
      </c>
      <c r="K943" s="25">
        <f>IF(H943&lt;&gt;0,SUM(H$2:H943),0)</f>
        <v>0</v>
      </c>
      <c r="L943" s="25">
        <f>IF(I943&lt;&gt;0,SUM(I$2:I943),0)</f>
        <v>0</v>
      </c>
      <c r="M943" s="25">
        <f>IF(J943&lt;&gt;0,SUM(J$2:J943),0)</f>
        <v>0</v>
      </c>
    </row>
    <row r="944" spans="8:13" x14ac:dyDescent="0.2">
      <c r="H944" s="25">
        <f t="array" ref="H944">IF(A944=A943,0,SUM(_xlfn._xlws.FILTER(G944:G964,A944:A964=A944)))</f>
        <v>0</v>
      </c>
      <c r="I944" s="25">
        <f t="array" ref="I944">IFERROR(IF(A944=A943,0,SUM(_xlfn._xlws.FILTER(G944:G964,(A944:A964=A944)*(E944:E964&lt;0)))),0)</f>
        <v>0</v>
      </c>
      <c r="J944" s="25">
        <f t="array" ref="J944">IFERROR(IF(A944=A943,0,SUM(_xlfn._xlws.FILTER(G944:G964,(A944:A964=A944)*(E944:E964&gt;0)))),0)</f>
        <v>0</v>
      </c>
      <c r="K944" s="25">
        <f>IF(H944&lt;&gt;0,SUM(H$2:H944),0)</f>
        <v>0</v>
      </c>
      <c r="L944" s="25">
        <f>IF(I944&lt;&gt;0,SUM(I$2:I944),0)</f>
        <v>0</v>
      </c>
      <c r="M944" s="25">
        <f>IF(J944&lt;&gt;0,SUM(J$2:J944),0)</f>
        <v>0</v>
      </c>
    </row>
    <row r="945" spans="8:13" x14ac:dyDescent="0.2">
      <c r="H945" s="25">
        <f t="array" ref="H945">IF(A945=A944,0,SUM(_xlfn._xlws.FILTER(G945:G965,A945:A965=A945)))</f>
        <v>0</v>
      </c>
      <c r="I945" s="25">
        <f t="array" ref="I945">IFERROR(IF(A945=A944,0,SUM(_xlfn._xlws.FILTER(G945:G965,(A945:A965=A945)*(E945:E965&lt;0)))),0)</f>
        <v>0</v>
      </c>
      <c r="J945" s="25">
        <f t="array" ref="J945">IFERROR(IF(A945=A944,0,SUM(_xlfn._xlws.FILTER(G945:G965,(A945:A965=A945)*(E945:E965&gt;0)))),0)</f>
        <v>0</v>
      </c>
      <c r="K945" s="25">
        <f>IF(H945&lt;&gt;0,SUM(H$2:H945),0)</f>
        <v>0</v>
      </c>
      <c r="L945" s="25">
        <f>IF(I945&lt;&gt;0,SUM(I$2:I945),0)</f>
        <v>0</v>
      </c>
      <c r="M945" s="25">
        <f>IF(J945&lt;&gt;0,SUM(J$2:J945),0)</f>
        <v>0</v>
      </c>
    </row>
    <row r="946" spans="8:13" x14ac:dyDescent="0.2">
      <c r="H946" s="25">
        <f t="array" ref="H946">IF(A946=A945,0,SUM(_xlfn._xlws.FILTER(G946:G966,A946:A966=A946)))</f>
        <v>0</v>
      </c>
      <c r="I946" s="25">
        <f t="array" ref="I946">IFERROR(IF(A946=A945,0,SUM(_xlfn._xlws.FILTER(G946:G966,(A946:A966=A946)*(E946:E966&lt;0)))),0)</f>
        <v>0</v>
      </c>
      <c r="J946" s="25">
        <f t="array" ref="J946">IFERROR(IF(A946=A945,0,SUM(_xlfn._xlws.FILTER(G946:G966,(A946:A966=A946)*(E946:E966&gt;0)))),0)</f>
        <v>0</v>
      </c>
      <c r="K946" s="25">
        <f>IF(H946&lt;&gt;0,SUM(H$2:H946),0)</f>
        <v>0</v>
      </c>
      <c r="L946" s="25">
        <f>IF(I946&lt;&gt;0,SUM(I$2:I946),0)</f>
        <v>0</v>
      </c>
      <c r="M946" s="25">
        <f>IF(J946&lt;&gt;0,SUM(J$2:J946),0)</f>
        <v>0</v>
      </c>
    </row>
    <row r="947" spans="8:13" x14ac:dyDescent="0.2">
      <c r="H947" s="25">
        <f t="array" ref="H947">IF(A947=A946,0,SUM(_xlfn._xlws.FILTER(G947:G967,A947:A967=A947)))</f>
        <v>0</v>
      </c>
      <c r="I947" s="25">
        <f t="array" ref="I947">IFERROR(IF(A947=A946,0,SUM(_xlfn._xlws.FILTER(G947:G967,(A947:A967=A947)*(E947:E967&lt;0)))),0)</f>
        <v>0</v>
      </c>
      <c r="J947" s="25">
        <f t="array" ref="J947">IFERROR(IF(A947=A946,0,SUM(_xlfn._xlws.FILTER(G947:G967,(A947:A967=A947)*(E947:E967&gt;0)))),0)</f>
        <v>0</v>
      </c>
      <c r="K947" s="25">
        <f>IF(H947&lt;&gt;0,SUM(H$2:H947),0)</f>
        <v>0</v>
      </c>
      <c r="L947" s="25">
        <f>IF(I947&lt;&gt;0,SUM(I$2:I947),0)</f>
        <v>0</v>
      </c>
      <c r="M947" s="25">
        <f>IF(J947&lt;&gt;0,SUM(J$2:J947),0)</f>
        <v>0</v>
      </c>
    </row>
    <row r="948" spans="8:13" x14ac:dyDescent="0.2">
      <c r="H948" s="25">
        <f t="array" ref="H948">IF(A948=A947,0,SUM(_xlfn._xlws.FILTER(G948:G968,A948:A968=A948)))</f>
        <v>0</v>
      </c>
      <c r="I948" s="25">
        <f t="array" ref="I948">IFERROR(IF(A948=A947,0,SUM(_xlfn._xlws.FILTER(G948:G968,(A948:A968=A948)*(E948:E968&lt;0)))),0)</f>
        <v>0</v>
      </c>
      <c r="J948" s="25">
        <f t="array" ref="J948">IFERROR(IF(A948=A947,0,SUM(_xlfn._xlws.FILTER(G948:G968,(A948:A968=A948)*(E948:E968&gt;0)))),0)</f>
        <v>0</v>
      </c>
      <c r="K948" s="25">
        <f>IF(H948&lt;&gt;0,SUM(H$2:H948),0)</f>
        <v>0</v>
      </c>
      <c r="L948" s="25">
        <f>IF(I948&lt;&gt;0,SUM(I$2:I948),0)</f>
        <v>0</v>
      </c>
      <c r="M948" s="25">
        <f>IF(J948&lt;&gt;0,SUM(J$2:J948),0)</f>
        <v>0</v>
      </c>
    </row>
    <row r="949" spans="8:13" x14ac:dyDescent="0.2">
      <c r="H949" s="25">
        <f t="array" ref="H949">IF(A949=A948,0,SUM(_xlfn._xlws.FILTER(G949:G969,A949:A969=A949)))</f>
        <v>0</v>
      </c>
      <c r="I949" s="25">
        <f t="array" ref="I949">IFERROR(IF(A949=A948,0,SUM(_xlfn._xlws.FILTER(G949:G969,(A949:A969=A949)*(E949:E969&lt;0)))),0)</f>
        <v>0</v>
      </c>
      <c r="J949" s="25">
        <f t="array" ref="J949">IFERROR(IF(A949=A948,0,SUM(_xlfn._xlws.FILTER(G949:G969,(A949:A969=A949)*(E949:E969&gt;0)))),0)</f>
        <v>0</v>
      </c>
      <c r="K949" s="25">
        <f>IF(H949&lt;&gt;0,SUM(H$2:H949),0)</f>
        <v>0</v>
      </c>
      <c r="L949" s="25">
        <f>IF(I949&lt;&gt;0,SUM(I$2:I949),0)</f>
        <v>0</v>
      </c>
      <c r="M949" s="25">
        <f>IF(J949&lt;&gt;0,SUM(J$2:J949),0)</f>
        <v>0</v>
      </c>
    </row>
    <row r="950" spans="8:13" x14ac:dyDescent="0.2">
      <c r="H950" s="25">
        <f t="array" ref="H950">IF(A950=A949,0,SUM(_xlfn._xlws.FILTER(G950:G970,A950:A970=A950)))</f>
        <v>0</v>
      </c>
      <c r="I950" s="25">
        <f t="array" ref="I950">IFERROR(IF(A950=A949,0,SUM(_xlfn._xlws.FILTER(G950:G970,(A950:A970=A950)*(E950:E970&lt;0)))),0)</f>
        <v>0</v>
      </c>
      <c r="J950" s="25">
        <f t="array" ref="J950">IFERROR(IF(A950=A949,0,SUM(_xlfn._xlws.FILTER(G950:G970,(A950:A970=A950)*(E950:E970&gt;0)))),0)</f>
        <v>0</v>
      </c>
      <c r="K950" s="25">
        <f>IF(H950&lt;&gt;0,SUM(H$2:H950),0)</f>
        <v>0</v>
      </c>
      <c r="L950" s="25">
        <f>IF(I950&lt;&gt;0,SUM(I$2:I950),0)</f>
        <v>0</v>
      </c>
      <c r="M950" s="25">
        <f>IF(J950&lt;&gt;0,SUM(J$2:J950),0)</f>
        <v>0</v>
      </c>
    </row>
    <row r="951" spans="8:13" x14ac:dyDescent="0.2">
      <c r="H951" s="25">
        <f t="array" ref="H951">IF(A951=A950,0,SUM(_xlfn._xlws.FILTER(G951:G971,A951:A971=A951)))</f>
        <v>0</v>
      </c>
      <c r="I951" s="25">
        <f t="array" ref="I951">IFERROR(IF(A951=A950,0,SUM(_xlfn._xlws.FILTER(G951:G971,(A951:A971=A951)*(E951:E971&lt;0)))),0)</f>
        <v>0</v>
      </c>
      <c r="J951" s="25">
        <f t="array" ref="J951">IFERROR(IF(A951=A950,0,SUM(_xlfn._xlws.FILTER(G951:G971,(A951:A971=A951)*(E951:E971&gt;0)))),0)</f>
        <v>0</v>
      </c>
      <c r="K951" s="25">
        <f>IF(H951&lt;&gt;0,SUM(H$2:H951),0)</f>
        <v>0</v>
      </c>
      <c r="L951" s="25">
        <f>IF(I951&lt;&gt;0,SUM(I$2:I951),0)</f>
        <v>0</v>
      </c>
      <c r="M951" s="25">
        <f>IF(J951&lt;&gt;0,SUM(J$2:J951),0)</f>
        <v>0</v>
      </c>
    </row>
    <row r="952" spans="8:13" x14ac:dyDescent="0.2">
      <c r="H952" s="25">
        <f t="array" ref="H952">IF(A952=A951,0,SUM(_xlfn._xlws.FILTER(G952:G972,A952:A972=A952)))</f>
        <v>0</v>
      </c>
      <c r="I952" s="25">
        <f t="array" ref="I952">IFERROR(IF(A952=A951,0,SUM(_xlfn._xlws.FILTER(G952:G972,(A952:A972=A952)*(E952:E972&lt;0)))),0)</f>
        <v>0</v>
      </c>
      <c r="J952" s="25">
        <f t="array" ref="J952">IFERROR(IF(A952=A951,0,SUM(_xlfn._xlws.FILTER(G952:G972,(A952:A972=A952)*(E952:E972&gt;0)))),0)</f>
        <v>0</v>
      </c>
      <c r="K952" s="25">
        <f>IF(H952&lt;&gt;0,SUM(H$2:H952),0)</f>
        <v>0</v>
      </c>
      <c r="L952" s="25">
        <f>IF(I952&lt;&gt;0,SUM(I$2:I952),0)</f>
        <v>0</v>
      </c>
      <c r="M952" s="25">
        <f>IF(J952&lt;&gt;0,SUM(J$2:J952),0)</f>
        <v>0</v>
      </c>
    </row>
    <row r="953" spans="8:13" x14ac:dyDescent="0.2">
      <c r="H953" s="25">
        <f t="array" ref="H953">IF(A953=A952,0,SUM(_xlfn._xlws.FILTER(G953:G973,A953:A973=A953)))</f>
        <v>0</v>
      </c>
      <c r="I953" s="25">
        <f t="array" ref="I953">IFERROR(IF(A953=A952,0,SUM(_xlfn._xlws.FILTER(G953:G973,(A953:A973=A953)*(E953:E973&lt;0)))),0)</f>
        <v>0</v>
      </c>
      <c r="J953" s="25">
        <f t="array" ref="J953">IFERROR(IF(A953=A952,0,SUM(_xlfn._xlws.FILTER(G953:G973,(A953:A973=A953)*(E953:E973&gt;0)))),0)</f>
        <v>0</v>
      </c>
      <c r="K953" s="25">
        <f>IF(H953&lt;&gt;0,SUM(H$2:H953),0)</f>
        <v>0</v>
      </c>
      <c r="L953" s="25">
        <f>IF(I953&lt;&gt;0,SUM(I$2:I953),0)</f>
        <v>0</v>
      </c>
      <c r="M953" s="25">
        <f>IF(J953&lt;&gt;0,SUM(J$2:J953),0)</f>
        <v>0</v>
      </c>
    </row>
    <row r="954" spans="8:13" x14ac:dyDescent="0.2">
      <c r="H954" s="25">
        <f t="array" ref="H954">IF(A954=A953,0,SUM(_xlfn._xlws.FILTER(G954:G974,A954:A974=A954)))</f>
        <v>0</v>
      </c>
      <c r="I954" s="25">
        <f t="array" ref="I954">IFERROR(IF(A954=A953,0,SUM(_xlfn._xlws.FILTER(G954:G974,(A954:A974=A954)*(E954:E974&lt;0)))),0)</f>
        <v>0</v>
      </c>
      <c r="J954" s="25">
        <f t="array" ref="J954">IFERROR(IF(A954=A953,0,SUM(_xlfn._xlws.FILTER(G954:G974,(A954:A974=A954)*(E954:E974&gt;0)))),0)</f>
        <v>0</v>
      </c>
      <c r="K954" s="25">
        <f>IF(H954&lt;&gt;0,SUM(H$2:H954),0)</f>
        <v>0</v>
      </c>
      <c r="L954" s="25">
        <f>IF(I954&lt;&gt;0,SUM(I$2:I954),0)</f>
        <v>0</v>
      </c>
      <c r="M954" s="25">
        <f>IF(J954&lt;&gt;0,SUM(J$2:J954),0)</f>
        <v>0</v>
      </c>
    </row>
    <row r="955" spans="8:13" x14ac:dyDescent="0.2">
      <c r="H955" s="25">
        <f t="array" ref="H955">IF(A955=A954,0,SUM(_xlfn._xlws.FILTER(G955:G975,A955:A975=A955)))</f>
        <v>0</v>
      </c>
      <c r="I955" s="25">
        <f t="array" ref="I955">IFERROR(IF(A955=A954,0,SUM(_xlfn._xlws.FILTER(G955:G975,(A955:A975=A955)*(E955:E975&lt;0)))),0)</f>
        <v>0</v>
      </c>
      <c r="J955" s="25">
        <f t="array" ref="J955">IFERROR(IF(A955=A954,0,SUM(_xlfn._xlws.FILTER(G955:G975,(A955:A975=A955)*(E955:E975&gt;0)))),0)</f>
        <v>0</v>
      </c>
      <c r="K955" s="25">
        <f>IF(H955&lt;&gt;0,SUM(H$2:H955),0)</f>
        <v>0</v>
      </c>
      <c r="L955" s="25">
        <f>IF(I955&lt;&gt;0,SUM(I$2:I955),0)</f>
        <v>0</v>
      </c>
      <c r="M955" s="25">
        <f>IF(J955&lt;&gt;0,SUM(J$2:J955),0)</f>
        <v>0</v>
      </c>
    </row>
    <row r="956" spans="8:13" x14ac:dyDescent="0.2">
      <c r="H956" s="25">
        <f t="array" ref="H956">IF(A956=A955,0,SUM(_xlfn._xlws.FILTER(G956:G976,A956:A976=A956)))</f>
        <v>0</v>
      </c>
      <c r="I956" s="25">
        <f t="array" ref="I956">IFERROR(IF(A956=A955,0,SUM(_xlfn._xlws.FILTER(G956:G976,(A956:A976=A956)*(E956:E976&lt;0)))),0)</f>
        <v>0</v>
      </c>
      <c r="J956" s="25">
        <f t="array" ref="J956">IFERROR(IF(A956=A955,0,SUM(_xlfn._xlws.FILTER(G956:G976,(A956:A976=A956)*(E956:E976&gt;0)))),0)</f>
        <v>0</v>
      </c>
      <c r="K956" s="25">
        <f>IF(H956&lt;&gt;0,SUM(H$2:H956),0)</f>
        <v>0</v>
      </c>
      <c r="L956" s="25">
        <f>IF(I956&lt;&gt;0,SUM(I$2:I956),0)</f>
        <v>0</v>
      </c>
      <c r="M956" s="25">
        <f>IF(J956&lt;&gt;0,SUM(J$2:J956),0)</f>
        <v>0</v>
      </c>
    </row>
    <row r="957" spans="8:13" x14ac:dyDescent="0.2">
      <c r="H957" s="25">
        <f t="array" ref="H957">IF(A957=A956,0,SUM(_xlfn._xlws.FILTER(G957:G977,A957:A977=A957)))</f>
        <v>0</v>
      </c>
      <c r="I957" s="25">
        <f t="array" ref="I957">IFERROR(IF(A957=A956,0,SUM(_xlfn._xlws.FILTER(G957:G977,(A957:A977=A957)*(E957:E977&lt;0)))),0)</f>
        <v>0</v>
      </c>
      <c r="J957" s="25">
        <f t="array" ref="J957">IFERROR(IF(A957=A956,0,SUM(_xlfn._xlws.FILTER(G957:G977,(A957:A977=A957)*(E957:E977&gt;0)))),0)</f>
        <v>0</v>
      </c>
      <c r="K957" s="25">
        <f>IF(H957&lt;&gt;0,SUM(H$2:H957),0)</f>
        <v>0</v>
      </c>
      <c r="L957" s="25">
        <f>IF(I957&lt;&gt;0,SUM(I$2:I957),0)</f>
        <v>0</v>
      </c>
      <c r="M957" s="25">
        <f>IF(J957&lt;&gt;0,SUM(J$2:J957),0)</f>
        <v>0</v>
      </c>
    </row>
    <row r="958" spans="8:13" x14ac:dyDescent="0.2">
      <c r="H958" s="25">
        <f t="array" ref="H958">IF(A958=A957,0,SUM(_xlfn._xlws.FILTER(G958:G978,A958:A978=A958)))</f>
        <v>0</v>
      </c>
      <c r="I958" s="25">
        <f t="array" ref="I958">IFERROR(IF(A958=A957,0,SUM(_xlfn._xlws.FILTER(G958:G978,(A958:A978=A958)*(E958:E978&lt;0)))),0)</f>
        <v>0</v>
      </c>
      <c r="J958" s="25">
        <f t="array" ref="J958">IFERROR(IF(A958=A957,0,SUM(_xlfn._xlws.FILTER(G958:G978,(A958:A978=A958)*(E958:E978&gt;0)))),0)</f>
        <v>0</v>
      </c>
      <c r="K958" s="25">
        <f>IF(H958&lt;&gt;0,SUM(H$2:H958),0)</f>
        <v>0</v>
      </c>
      <c r="L958" s="25">
        <f>IF(I958&lt;&gt;0,SUM(I$2:I958),0)</f>
        <v>0</v>
      </c>
      <c r="M958" s="25">
        <f>IF(J958&lt;&gt;0,SUM(J$2:J958),0)</f>
        <v>0</v>
      </c>
    </row>
    <row r="959" spans="8:13" x14ac:dyDescent="0.2">
      <c r="H959" s="25">
        <f t="array" ref="H959">IF(A959=A958,0,SUM(_xlfn._xlws.FILTER(G959:G979,A959:A979=A959)))</f>
        <v>0</v>
      </c>
      <c r="I959" s="25">
        <f t="array" ref="I959">IFERROR(IF(A959=A958,0,SUM(_xlfn._xlws.FILTER(G959:G979,(A959:A979=A959)*(E959:E979&lt;0)))),0)</f>
        <v>0</v>
      </c>
      <c r="J959" s="25">
        <f t="array" ref="J959">IFERROR(IF(A959=A958,0,SUM(_xlfn._xlws.FILTER(G959:G979,(A959:A979=A959)*(E959:E979&gt;0)))),0)</f>
        <v>0</v>
      </c>
      <c r="K959" s="25">
        <f>IF(H959&lt;&gt;0,SUM(H$2:H959),0)</f>
        <v>0</v>
      </c>
      <c r="L959" s="25">
        <f>IF(I959&lt;&gt;0,SUM(I$2:I959),0)</f>
        <v>0</v>
      </c>
      <c r="M959" s="25">
        <f>IF(J959&lt;&gt;0,SUM(J$2:J959),0)</f>
        <v>0</v>
      </c>
    </row>
    <row r="960" spans="8:13" x14ac:dyDescent="0.2">
      <c r="H960" s="25">
        <f t="array" ref="H960">IF(A960=A959,0,SUM(_xlfn._xlws.FILTER(G960:G980,A960:A980=A960)))</f>
        <v>0</v>
      </c>
      <c r="I960" s="25">
        <f t="array" ref="I960">IFERROR(IF(A960=A959,0,SUM(_xlfn._xlws.FILTER(G960:G980,(A960:A980=A960)*(E960:E980&lt;0)))),0)</f>
        <v>0</v>
      </c>
      <c r="J960" s="25">
        <f t="array" ref="J960">IFERROR(IF(A960=A959,0,SUM(_xlfn._xlws.FILTER(G960:G980,(A960:A980=A960)*(E960:E980&gt;0)))),0)</f>
        <v>0</v>
      </c>
      <c r="K960" s="25">
        <f>IF(H960&lt;&gt;0,SUM(H$2:H960),0)</f>
        <v>0</v>
      </c>
      <c r="L960" s="25">
        <f>IF(I960&lt;&gt;0,SUM(I$2:I960),0)</f>
        <v>0</v>
      </c>
      <c r="M960" s="25">
        <f>IF(J960&lt;&gt;0,SUM(J$2:J960),0)</f>
        <v>0</v>
      </c>
    </row>
    <row r="961" spans="8:13" x14ac:dyDescent="0.2">
      <c r="H961" s="25">
        <f t="array" ref="H961">IF(A961=A960,0,SUM(_xlfn._xlws.FILTER(G961:G981,A961:A981=A961)))</f>
        <v>0</v>
      </c>
      <c r="I961" s="25">
        <f t="array" ref="I961">IFERROR(IF(A961=A960,0,SUM(_xlfn._xlws.FILTER(G961:G981,(A961:A981=A961)*(E961:E981&lt;0)))),0)</f>
        <v>0</v>
      </c>
      <c r="J961" s="25">
        <f t="array" ref="J961">IFERROR(IF(A961=A960,0,SUM(_xlfn._xlws.FILTER(G961:G981,(A961:A981=A961)*(E961:E981&gt;0)))),0)</f>
        <v>0</v>
      </c>
      <c r="K961" s="25">
        <f>IF(H961&lt;&gt;0,SUM(H$2:H961),0)</f>
        <v>0</v>
      </c>
      <c r="L961" s="25">
        <f>IF(I961&lt;&gt;0,SUM(I$2:I961),0)</f>
        <v>0</v>
      </c>
      <c r="M961" s="25">
        <f>IF(J961&lt;&gt;0,SUM(J$2:J961),0)</f>
        <v>0</v>
      </c>
    </row>
    <row r="962" spans="8:13" x14ac:dyDescent="0.2">
      <c r="H962" s="25">
        <f t="array" ref="H962">IF(A962=A961,0,SUM(_xlfn._xlws.FILTER(G962:G982,A962:A982=A962)))</f>
        <v>0</v>
      </c>
      <c r="I962" s="25">
        <f t="array" ref="I962">IFERROR(IF(A962=A961,0,SUM(_xlfn._xlws.FILTER(G962:G982,(A962:A982=A962)*(E962:E982&lt;0)))),0)</f>
        <v>0</v>
      </c>
      <c r="J962" s="25">
        <f t="array" ref="J962">IFERROR(IF(A962=A961,0,SUM(_xlfn._xlws.FILTER(G962:G982,(A962:A982=A962)*(E962:E982&gt;0)))),0)</f>
        <v>0</v>
      </c>
      <c r="K962" s="25">
        <f>IF(H962&lt;&gt;0,SUM(H$2:H962),0)</f>
        <v>0</v>
      </c>
      <c r="L962" s="25">
        <f>IF(I962&lt;&gt;0,SUM(I$2:I962),0)</f>
        <v>0</v>
      </c>
      <c r="M962" s="25">
        <f>IF(J962&lt;&gt;0,SUM(J$2:J962),0)</f>
        <v>0</v>
      </c>
    </row>
    <row r="963" spans="8:13" x14ac:dyDescent="0.2">
      <c r="H963" s="25">
        <f t="array" ref="H963">IF(A963=A962,0,SUM(_xlfn._xlws.FILTER(G963:G983,A963:A983=A963)))</f>
        <v>0</v>
      </c>
      <c r="I963" s="25">
        <f t="array" ref="I963">IFERROR(IF(A963=A962,0,SUM(_xlfn._xlws.FILTER(G963:G983,(A963:A983=A963)*(E963:E983&lt;0)))),0)</f>
        <v>0</v>
      </c>
      <c r="J963" s="25">
        <f t="array" ref="J963">IFERROR(IF(A963=A962,0,SUM(_xlfn._xlws.FILTER(G963:G983,(A963:A983=A963)*(E963:E983&gt;0)))),0)</f>
        <v>0</v>
      </c>
      <c r="K963" s="25">
        <f>IF(H963&lt;&gt;0,SUM(H$2:H963),0)</f>
        <v>0</v>
      </c>
      <c r="L963" s="25">
        <f>IF(I963&lt;&gt;0,SUM(I$2:I963),0)</f>
        <v>0</v>
      </c>
      <c r="M963" s="25">
        <f>IF(J963&lt;&gt;0,SUM(J$2:J963),0)</f>
        <v>0</v>
      </c>
    </row>
    <row r="964" spans="8:13" x14ac:dyDescent="0.2">
      <c r="H964" s="25">
        <f t="array" ref="H964">IF(A964=A963,0,SUM(_xlfn._xlws.FILTER(G964:G984,A964:A984=A964)))</f>
        <v>0</v>
      </c>
      <c r="I964" s="25">
        <f t="array" ref="I964">IFERROR(IF(A964=A963,0,SUM(_xlfn._xlws.FILTER(G964:G984,(A964:A984=A964)*(E964:E984&lt;0)))),0)</f>
        <v>0</v>
      </c>
      <c r="J964" s="25">
        <f t="array" ref="J964">IFERROR(IF(A964=A963,0,SUM(_xlfn._xlws.FILTER(G964:G984,(A964:A984=A964)*(E964:E984&gt;0)))),0)</f>
        <v>0</v>
      </c>
      <c r="K964" s="25">
        <f>IF(H964&lt;&gt;0,SUM(H$2:H964),0)</f>
        <v>0</v>
      </c>
      <c r="L964" s="25">
        <f>IF(I964&lt;&gt;0,SUM(I$2:I964),0)</f>
        <v>0</v>
      </c>
      <c r="M964" s="25">
        <f>IF(J964&lt;&gt;0,SUM(J$2:J964),0)</f>
        <v>0</v>
      </c>
    </row>
    <row r="965" spans="8:13" x14ac:dyDescent="0.2">
      <c r="H965" s="25">
        <f t="array" ref="H965">IF(A965=A964,0,SUM(_xlfn._xlws.FILTER(G965:G985,A965:A985=A965)))</f>
        <v>0</v>
      </c>
      <c r="I965" s="25">
        <f t="array" ref="I965">IFERROR(IF(A965=A964,0,SUM(_xlfn._xlws.FILTER(G965:G985,(A965:A985=A965)*(E965:E985&lt;0)))),0)</f>
        <v>0</v>
      </c>
      <c r="J965" s="25">
        <f t="array" ref="J965">IFERROR(IF(A965=A964,0,SUM(_xlfn._xlws.FILTER(G965:G985,(A965:A985=A965)*(E965:E985&gt;0)))),0)</f>
        <v>0</v>
      </c>
      <c r="K965" s="25">
        <f>IF(H965&lt;&gt;0,SUM(H$2:H965),0)</f>
        <v>0</v>
      </c>
      <c r="L965" s="25">
        <f>IF(I965&lt;&gt;0,SUM(I$2:I965),0)</f>
        <v>0</v>
      </c>
      <c r="M965" s="25">
        <f>IF(J965&lt;&gt;0,SUM(J$2:J965),0)</f>
        <v>0</v>
      </c>
    </row>
    <row r="966" spans="8:13" x14ac:dyDescent="0.2">
      <c r="H966" s="25">
        <f t="array" ref="H966">IF(A966=A965,0,SUM(_xlfn._xlws.FILTER(G966:G986,A966:A986=A966)))</f>
        <v>0</v>
      </c>
      <c r="I966" s="25">
        <f t="array" ref="I966">IFERROR(IF(A966=A965,0,SUM(_xlfn._xlws.FILTER(G966:G986,(A966:A986=A966)*(E966:E986&lt;0)))),0)</f>
        <v>0</v>
      </c>
      <c r="J966" s="25">
        <f t="array" ref="J966">IFERROR(IF(A966=A965,0,SUM(_xlfn._xlws.FILTER(G966:G986,(A966:A986=A966)*(E966:E986&gt;0)))),0)</f>
        <v>0</v>
      </c>
      <c r="K966" s="25">
        <f>IF(H966&lt;&gt;0,SUM(H$2:H966),0)</f>
        <v>0</v>
      </c>
      <c r="L966" s="25">
        <f>IF(I966&lt;&gt;0,SUM(I$2:I966),0)</f>
        <v>0</v>
      </c>
      <c r="M966" s="25">
        <f>IF(J966&lt;&gt;0,SUM(J$2:J966),0)</f>
        <v>0</v>
      </c>
    </row>
    <row r="967" spans="8:13" x14ac:dyDescent="0.2">
      <c r="H967" s="25">
        <f t="array" ref="H967">IF(A967=A966,0,SUM(_xlfn._xlws.FILTER(G967:G987,A967:A987=A967)))</f>
        <v>0</v>
      </c>
      <c r="I967" s="25">
        <f t="array" ref="I967">IFERROR(IF(A967=A966,0,SUM(_xlfn._xlws.FILTER(G967:G987,(A967:A987=A967)*(E967:E987&lt;0)))),0)</f>
        <v>0</v>
      </c>
      <c r="J967" s="25">
        <f t="array" ref="J967">IFERROR(IF(A967=A966,0,SUM(_xlfn._xlws.FILTER(G967:G987,(A967:A987=A967)*(E967:E987&gt;0)))),0)</f>
        <v>0</v>
      </c>
      <c r="K967" s="25">
        <f>IF(H967&lt;&gt;0,SUM(H$2:H967),0)</f>
        <v>0</v>
      </c>
      <c r="L967" s="25">
        <f>IF(I967&lt;&gt;0,SUM(I$2:I967),0)</f>
        <v>0</v>
      </c>
      <c r="M967" s="25">
        <f>IF(J967&lt;&gt;0,SUM(J$2:J967),0)</f>
        <v>0</v>
      </c>
    </row>
    <row r="968" spans="8:13" x14ac:dyDescent="0.2">
      <c r="H968" s="25">
        <f t="array" ref="H968">IF(A968=A967,0,SUM(_xlfn._xlws.FILTER(G968:G988,A968:A988=A968)))</f>
        <v>0</v>
      </c>
      <c r="I968" s="25">
        <f t="array" ref="I968">IFERROR(IF(A968=A967,0,SUM(_xlfn._xlws.FILTER(G968:G988,(A968:A988=A968)*(E968:E988&lt;0)))),0)</f>
        <v>0</v>
      </c>
      <c r="J968" s="25">
        <f t="array" ref="J968">IFERROR(IF(A968=A967,0,SUM(_xlfn._xlws.FILTER(G968:G988,(A968:A988=A968)*(E968:E988&gt;0)))),0)</f>
        <v>0</v>
      </c>
      <c r="K968" s="25">
        <f>IF(H968&lt;&gt;0,SUM(H$2:H968),0)</f>
        <v>0</v>
      </c>
      <c r="L968" s="25">
        <f>IF(I968&lt;&gt;0,SUM(I$2:I968),0)</f>
        <v>0</v>
      </c>
      <c r="M968" s="25">
        <f>IF(J968&lt;&gt;0,SUM(J$2:J968),0)</f>
        <v>0</v>
      </c>
    </row>
    <row r="969" spans="8:13" x14ac:dyDescent="0.2">
      <c r="H969" s="25">
        <f t="array" ref="H969">IF(A969=A968,0,SUM(_xlfn._xlws.FILTER(G969:G989,A969:A989=A969)))</f>
        <v>0</v>
      </c>
      <c r="I969" s="25">
        <f t="array" ref="I969">IFERROR(IF(A969=A968,0,SUM(_xlfn._xlws.FILTER(G969:G989,(A969:A989=A969)*(E969:E989&lt;0)))),0)</f>
        <v>0</v>
      </c>
      <c r="J969" s="25">
        <f t="array" ref="J969">IFERROR(IF(A969=A968,0,SUM(_xlfn._xlws.FILTER(G969:G989,(A969:A989=A969)*(E969:E989&gt;0)))),0)</f>
        <v>0</v>
      </c>
      <c r="K969" s="25">
        <f>IF(H969&lt;&gt;0,SUM(H$2:H969),0)</f>
        <v>0</v>
      </c>
      <c r="L969" s="25">
        <f>IF(I969&lt;&gt;0,SUM(I$2:I969),0)</f>
        <v>0</v>
      </c>
      <c r="M969" s="25">
        <f>IF(J969&lt;&gt;0,SUM(J$2:J969),0)</f>
        <v>0</v>
      </c>
    </row>
    <row r="970" spans="8:13" x14ac:dyDescent="0.2">
      <c r="H970" s="25">
        <f t="array" ref="H970">IF(A970=A969,0,SUM(_xlfn._xlws.FILTER(G970:G990,A970:A990=A970)))</f>
        <v>0</v>
      </c>
      <c r="I970" s="25">
        <f t="array" ref="I970">IFERROR(IF(A970=A969,0,SUM(_xlfn._xlws.FILTER(G970:G990,(A970:A990=A970)*(E970:E990&lt;0)))),0)</f>
        <v>0</v>
      </c>
      <c r="J970" s="25">
        <f t="array" ref="J970">IFERROR(IF(A970=A969,0,SUM(_xlfn._xlws.FILTER(G970:G990,(A970:A990=A970)*(E970:E990&gt;0)))),0)</f>
        <v>0</v>
      </c>
      <c r="K970" s="25">
        <f>IF(H970&lt;&gt;0,SUM(H$2:H970),0)</f>
        <v>0</v>
      </c>
      <c r="L970" s="25">
        <f>IF(I970&lt;&gt;0,SUM(I$2:I970),0)</f>
        <v>0</v>
      </c>
      <c r="M970" s="25">
        <f>IF(J970&lt;&gt;0,SUM(J$2:J970),0)</f>
        <v>0</v>
      </c>
    </row>
    <row r="971" spans="8:13" x14ac:dyDescent="0.2">
      <c r="H971" s="25">
        <f t="array" ref="H971">IF(A971=A970,0,SUM(_xlfn._xlws.FILTER(G971:G991,A971:A991=A971)))</f>
        <v>0</v>
      </c>
      <c r="I971" s="25">
        <f t="array" ref="I971">IFERROR(IF(A971=A970,0,SUM(_xlfn._xlws.FILTER(G971:G991,(A971:A991=A971)*(E971:E991&lt;0)))),0)</f>
        <v>0</v>
      </c>
      <c r="J971" s="25">
        <f t="array" ref="J971">IFERROR(IF(A971=A970,0,SUM(_xlfn._xlws.FILTER(G971:G991,(A971:A991=A971)*(E971:E991&gt;0)))),0)</f>
        <v>0</v>
      </c>
      <c r="K971" s="25">
        <f>IF(H971&lt;&gt;0,SUM(H$2:H971),0)</f>
        <v>0</v>
      </c>
      <c r="L971" s="25">
        <f>IF(I971&lt;&gt;0,SUM(I$2:I971),0)</f>
        <v>0</v>
      </c>
      <c r="M971" s="25">
        <f>IF(J971&lt;&gt;0,SUM(J$2:J971),0)</f>
        <v>0</v>
      </c>
    </row>
    <row r="972" spans="8:13" x14ac:dyDescent="0.2">
      <c r="H972" s="25">
        <f t="array" ref="H972">IF(A972=A971,0,SUM(_xlfn._xlws.FILTER(G972:G992,A972:A992=A972)))</f>
        <v>0</v>
      </c>
      <c r="I972" s="25">
        <f t="array" ref="I972">IFERROR(IF(A972=A971,0,SUM(_xlfn._xlws.FILTER(G972:G992,(A972:A992=A972)*(E972:E992&lt;0)))),0)</f>
        <v>0</v>
      </c>
      <c r="J972" s="25">
        <f t="array" ref="J972">IFERROR(IF(A972=A971,0,SUM(_xlfn._xlws.FILTER(G972:G992,(A972:A992=A972)*(E972:E992&gt;0)))),0)</f>
        <v>0</v>
      </c>
      <c r="K972" s="25">
        <f>IF(H972&lt;&gt;0,SUM(H$2:H972),0)</f>
        <v>0</v>
      </c>
      <c r="L972" s="25">
        <f>IF(I972&lt;&gt;0,SUM(I$2:I972),0)</f>
        <v>0</v>
      </c>
      <c r="M972" s="25">
        <f>IF(J972&lt;&gt;0,SUM(J$2:J972),0)</f>
        <v>0</v>
      </c>
    </row>
    <row r="973" spans="8:13" x14ac:dyDescent="0.2">
      <c r="H973" s="25">
        <f t="array" ref="H973">IF(A973=A972,0,SUM(_xlfn._xlws.FILTER(G973:G993,A973:A993=A973)))</f>
        <v>0</v>
      </c>
      <c r="I973" s="25">
        <f t="array" ref="I973">IFERROR(IF(A973=A972,0,SUM(_xlfn._xlws.FILTER(G973:G993,(A973:A993=A973)*(E973:E993&lt;0)))),0)</f>
        <v>0</v>
      </c>
      <c r="J973" s="25">
        <f t="array" ref="J973">IFERROR(IF(A973=A972,0,SUM(_xlfn._xlws.FILTER(G973:G993,(A973:A993=A973)*(E973:E993&gt;0)))),0)</f>
        <v>0</v>
      </c>
      <c r="K973" s="25">
        <f>IF(H973&lt;&gt;0,SUM(H$2:H973),0)</f>
        <v>0</v>
      </c>
      <c r="L973" s="25">
        <f>IF(I973&lt;&gt;0,SUM(I$2:I973),0)</f>
        <v>0</v>
      </c>
      <c r="M973" s="25">
        <f>IF(J973&lt;&gt;0,SUM(J$2:J973),0)</f>
        <v>0</v>
      </c>
    </row>
    <row r="974" spans="8:13" x14ac:dyDescent="0.2">
      <c r="H974" s="25">
        <f t="array" ref="H974">IF(A974=A973,0,SUM(_xlfn._xlws.FILTER(G974:G994,A974:A994=A974)))</f>
        <v>0</v>
      </c>
      <c r="I974" s="25">
        <f t="array" ref="I974">IFERROR(IF(A974=A973,0,SUM(_xlfn._xlws.FILTER(G974:G994,(A974:A994=A974)*(E974:E994&lt;0)))),0)</f>
        <v>0</v>
      </c>
      <c r="J974" s="25">
        <f t="array" ref="J974">IFERROR(IF(A974=A973,0,SUM(_xlfn._xlws.FILTER(G974:G994,(A974:A994=A974)*(E974:E994&gt;0)))),0)</f>
        <v>0</v>
      </c>
      <c r="K974" s="25">
        <f>IF(H974&lt;&gt;0,SUM(H$2:H974),0)</f>
        <v>0</v>
      </c>
      <c r="L974" s="25">
        <f>IF(I974&lt;&gt;0,SUM(I$2:I974),0)</f>
        <v>0</v>
      </c>
      <c r="M974" s="25">
        <f>IF(J974&lt;&gt;0,SUM(J$2:J974),0)</f>
        <v>0</v>
      </c>
    </row>
    <row r="975" spans="8:13" x14ac:dyDescent="0.2">
      <c r="H975" s="25">
        <f t="array" ref="H975">IF(A975=A974,0,SUM(_xlfn._xlws.FILTER(G975:G995,A975:A995=A975)))</f>
        <v>0</v>
      </c>
      <c r="I975" s="25">
        <f t="array" ref="I975">IFERROR(IF(A975=A974,0,SUM(_xlfn._xlws.FILTER(G975:G995,(A975:A995=A975)*(E975:E995&lt;0)))),0)</f>
        <v>0</v>
      </c>
      <c r="J975" s="25">
        <f t="array" ref="J975">IFERROR(IF(A975=A974,0,SUM(_xlfn._xlws.FILTER(G975:G995,(A975:A995=A975)*(E975:E995&gt;0)))),0)</f>
        <v>0</v>
      </c>
      <c r="K975" s="25">
        <f>IF(H975&lt;&gt;0,SUM(H$2:H975),0)</f>
        <v>0</v>
      </c>
      <c r="L975" s="25">
        <f>IF(I975&lt;&gt;0,SUM(I$2:I975),0)</f>
        <v>0</v>
      </c>
      <c r="M975" s="25">
        <f>IF(J975&lt;&gt;0,SUM(J$2:J975),0)</f>
        <v>0</v>
      </c>
    </row>
    <row r="976" spans="8:13" x14ac:dyDescent="0.2">
      <c r="H976" s="25">
        <f t="array" ref="H976">IF(A976=A975,0,SUM(_xlfn._xlws.FILTER(G976:G996,A976:A996=A976)))</f>
        <v>0</v>
      </c>
      <c r="I976" s="25">
        <f t="array" ref="I976">IFERROR(IF(A976=A975,0,SUM(_xlfn._xlws.FILTER(G976:G996,(A976:A996=A976)*(E976:E996&lt;0)))),0)</f>
        <v>0</v>
      </c>
      <c r="J976" s="25">
        <f t="array" ref="J976">IFERROR(IF(A976=A975,0,SUM(_xlfn._xlws.FILTER(G976:G996,(A976:A996=A976)*(E976:E996&gt;0)))),0)</f>
        <v>0</v>
      </c>
      <c r="K976" s="25">
        <f>IF(H976&lt;&gt;0,SUM(H$2:H976),0)</f>
        <v>0</v>
      </c>
      <c r="L976" s="25">
        <f>IF(I976&lt;&gt;0,SUM(I$2:I976),0)</f>
        <v>0</v>
      </c>
      <c r="M976" s="25">
        <f>IF(J976&lt;&gt;0,SUM(J$2:J976),0)</f>
        <v>0</v>
      </c>
    </row>
    <row r="977" spans="8:13" x14ac:dyDescent="0.2">
      <c r="H977" s="25">
        <f t="array" ref="H977">IF(A977=A976,0,SUM(_xlfn._xlws.FILTER(G977:G997,A977:A997=A977)))</f>
        <v>0</v>
      </c>
      <c r="I977" s="25">
        <f t="array" ref="I977">IFERROR(IF(A977=A976,0,SUM(_xlfn._xlws.FILTER(G977:G997,(A977:A997=A977)*(E977:E997&lt;0)))),0)</f>
        <v>0</v>
      </c>
      <c r="J977" s="25">
        <f t="array" ref="J977">IFERROR(IF(A977=A976,0,SUM(_xlfn._xlws.FILTER(G977:G997,(A977:A997=A977)*(E977:E997&gt;0)))),0)</f>
        <v>0</v>
      </c>
      <c r="K977" s="25">
        <f>IF(H977&lt;&gt;0,SUM(H$2:H977),0)</f>
        <v>0</v>
      </c>
      <c r="L977" s="25">
        <f>IF(I977&lt;&gt;0,SUM(I$2:I977),0)</f>
        <v>0</v>
      </c>
      <c r="M977" s="25">
        <f>IF(J977&lt;&gt;0,SUM(J$2:J977),0)</f>
        <v>0</v>
      </c>
    </row>
    <row r="978" spans="8:13" x14ac:dyDescent="0.2">
      <c r="H978" s="25">
        <f t="array" ref="H978">IF(A978=A977,0,SUM(_xlfn._xlws.FILTER(G978:G998,A978:A998=A978)))</f>
        <v>0</v>
      </c>
      <c r="I978" s="25">
        <f t="array" ref="I978">IFERROR(IF(A978=A977,0,SUM(_xlfn._xlws.FILTER(G978:G998,(A978:A998=A978)*(E978:E998&lt;0)))),0)</f>
        <v>0</v>
      </c>
      <c r="J978" s="25">
        <f t="array" ref="J978">IFERROR(IF(A978=A977,0,SUM(_xlfn._xlws.FILTER(G978:G998,(A978:A998=A978)*(E978:E998&gt;0)))),0)</f>
        <v>0</v>
      </c>
      <c r="K978" s="25">
        <f>IF(H978&lt;&gt;0,SUM(H$2:H978),0)</f>
        <v>0</v>
      </c>
      <c r="L978" s="25">
        <f>IF(I978&lt;&gt;0,SUM(I$2:I978),0)</f>
        <v>0</v>
      </c>
      <c r="M978" s="25">
        <f>IF(J978&lt;&gt;0,SUM(J$2:J978),0)</f>
        <v>0</v>
      </c>
    </row>
    <row r="979" spans="8:13" x14ac:dyDescent="0.2">
      <c r="H979" s="25">
        <f t="array" ref="H979">IF(A979=A978,0,SUM(_xlfn._xlws.FILTER(G979:G999,A979:A999=A979)))</f>
        <v>0</v>
      </c>
      <c r="I979" s="25">
        <f t="array" ref="I979">IFERROR(IF(A979=A978,0,SUM(_xlfn._xlws.FILTER(G979:G999,(A979:A999=A979)*(E979:E999&lt;0)))),0)</f>
        <v>0</v>
      </c>
      <c r="J979" s="25">
        <f t="array" ref="J979">IFERROR(IF(A979=A978,0,SUM(_xlfn._xlws.FILTER(G979:G999,(A979:A999=A979)*(E979:E999&gt;0)))),0)</f>
        <v>0</v>
      </c>
      <c r="K979" s="25">
        <f>IF(H979&lt;&gt;0,SUM(H$2:H979),0)</f>
        <v>0</v>
      </c>
      <c r="L979" s="25">
        <f>IF(I979&lt;&gt;0,SUM(I$2:I979),0)</f>
        <v>0</v>
      </c>
      <c r="M979" s="25">
        <f>IF(J979&lt;&gt;0,SUM(J$2:J979),0)</f>
        <v>0</v>
      </c>
    </row>
    <row r="980" spans="8:13" x14ac:dyDescent="0.2">
      <c r="H980" s="25">
        <f t="array" ref="H980">IF(A980=A979,0,SUM(_xlfn._xlws.FILTER(G980:G1000,A980:A1000=A980)))</f>
        <v>0</v>
      </c>
      <c r="I980" s="25">
        <f t="array" ref="I980">IFERROR(IF(A980=A979,0,SUM(_xlfn._xlws.FILTER(G980:G1000,(A980:A1000=A980)*(E980:E1000&lt;0)))),0)</f>
        <v>0</v>
      </c>
      <c r="J980" s="25">
        <f t="array" ref="J980">IFERROR(IF(A980=A979,0,SUM(_xlfn._xlws.FILTER(G980:G1000,(A980:A1000=A980)*(E980:E1000&gt;0)))),0)</f>
        <v>0</v>
      </c>
      <c r="K980" s="25">
        <f>IF(H980&lt;&gt;0,SUM(H$2:H980),0)</f>
        <v>0</v>
      </c>
      <c r="L980" s="25">
        <f>IF(I980&lt;&gt;0,SUM(I$2:I980),0)</f>
        <v>0</v>
      </c>
      <c r="M980" s="25">
        <f>IF(J980&lt;&gt;0,SUM(J$2:J980),0)</f>
        <v>0</v>
      </c>
    </row>
    <row r="981" spans="8:13" x14ac:dyDescent="0.2">
      <c r="H981" s="25">
        <f t="array" ref="H981">IF(A981=A980,0,SUM(_xlfn._xlws.FILTER(G981:G1001,A981:A1001=A981)))</f>
        <v>0</v>
      </c>
      <c r="I981" s="25">
        <f t="array" ref="I981">IFERROR(IF(A981=A980,0,SUM(_xlfn._xlws.FILTER(G981:G1001,(A981:A1001=A981)*(E981:E1001&lt;0)))),0)</f>
        <v>0</v>
      </c>
      <c r="J981" s="25">
        <f t="array" ref="J981">IFERROR(IF(A981=A980,0,SUM(_xlfn._xlws.FILTER(G981:G1001,(A981:A1001=A981)*(E981:E1001&gt;0)))),0)</f>
        <v>0</v>
      </c>
      <c r="K981" s="25">
        <f>IF(H981&lt;&gt;0,SUM(H$2:H981),0)</f>
        <v>0</v>
      </c>
      <c r="L981" s="25">
        <f>IF(I981&lt;&gt;0,SUM(I$2:I981),0)</f>
        <v>0</v>
      </c>
      <c r="M981" s="25">
        <f>IF(J981&lt;&gt;0,SUM(J$2:J981),0)</f>
        <v>0</v>
      </c>
    </row>
    <row r="982" spans="8:13" x14ac:dyDescent="0.2">
      <c r="H982" s="25">
        <f t="array" ref="H982">IF(A982=A981,0,SUM(_xlfn._xlws.FILTER(G982:G1002,A982:A1002=A982)))</f>
        <v>0</v>
      </c>
      <c r="I982" s="25">
        <f t="array" ref="I982">IFERROR(IF(A982=A981,0,SUM(_xlfn._xlws.FILTER(G982:G1002,(A982:A1002=A982)*(E982:E1002&lt;0)))),0)</f>
        <v>0</v>
      </c>
      <c r="J982" s="25">
        <f t="array" ref="J982">IFERROR(IF(A982=A981,0,SUM(_xlfn._xlws.FILTER(G982:G1002,(A982:A1002=A982)*(E982:E1002&gt;0)))),0)</f>
        <v>0</v>
      </c>
      <c r="K982" s="25">
        <f>IF(H982&lt;&gt;0,SUM(H$2:H982),0)</f>
        <v>0</v>
      </c>
      <c r="L982" s="25">
        <f>IF(I982&lt;&gt;0,SUM(I$2:I982),0)</f>
        <v>0</v>
      </c>
      <c r="M982" s="25">
        <f>IF(J982&lt;&gt;0,SUM(J$2:J982),0)</f>
        <v>0</v>
      </c>
    </row>
    <row r="983" spans="8:13" x14ac:dyDescent="0.2">
      <c r="H983" s="25">
        <f t="array" ref="H983">IF(A983=A982,0,SUM(_xlfn._xlws.FILTER(G983:G1003,A983:A1003=A983)))</f>
        <v>0</v>
      </c>
      <c r="I983" s="25">
        <f t="array" ref="I983">IFERROR(IF(A983=A982,0,SUM(_xlfn._xlws.FILTER(G983:G1003,(A983:A1003=A983)*(E983:E1003&lt;0)))),0)</f>
        <v>0</v>
      </c>
      <c r="J983" s="25">
        <f t="array" ref="J983">IFERROR(IF(A983=A982,0,SUM(_xlfn._xlws.FILTER(G983:G1003,(A983:A1003=A983)*(E983:E1003&gt;0)))),0)</f>
        <v>0</v>
      </c>
      <c r="K983" s="25">
        <f>IF(H983&lt;&gt;0,SUM(H$2:H983),0)</f>
        <v>0</v>
      </c>
      <c r="L983" s="25">
        <f>IF(I983&lt;&gt;0,SUM(I$2:I983),0)</f>
        <v>0</v>
      </c>
      <c r="M983" s="25">
        <f>IF(J983&lt;&gt;0,SUM(J$2:J983),0)</f>
        <v>0</v>
      </c>
    </row>
    <row r="984" spans="8:13" x14ac:dyDescent="0.2">
      <c r="H984" s="25">
        <f t="array" ref="H984">IF(A984=A983,0,SUM(_xlfn._xlws.FILTER(G984:G1004,A984:A1004=A984)))</f>
        <v>0</v>
      </c>
      <c r="I984" s="25">
        <f t="array" ref="I984">IFERROR(IF(A984=A983,0,SUM(_xlfn._xlws.FILTER(G984:G1004,(A984:A1004=A984)*(E984:E1004&lt;0)))),0)</f>
        <v>0</v>
      </c>
      <c r="J984" s="25">
        <f t="array" ref="J984">IFERROR(IF(A984=A983,0,SUM(_xlfn._xlws.FILTER(G984:G1004,(A984:A1004=A984)*(E984:E1004&gt;0)))),0)</f>
        <v>0</v>
      </c>
      <c r="K984" s="25">
        <f>IF(H984&lt;&gt;0,SUM(H$2:H984),0)</f>
        <v>0</v>
      </c>
      <c r="L984" s="25">
        <f>IF(I984&lt;&gt;0,SUM(I$2:I984),0)</f>
        <v>0</v>
      </c>
      <c r="M984" s="25">
        <f>IF(J984&lt;&gt;0,SUM(J$2:J984),0)</f>
        <v>0</v>
      </c>
    </row>
    <row r="985" spans="8:13" x14ac:dyDescent="0.2">
      <c r="H985" s="25">
        <f t="array" ref="H985">IF(A985=A984,0,SUM(_xlfn._xlws.FILTER(G985:G1005,A985:A1005=A985)))</f>
        <v>0</v>
      </c>
      <c r="I985" s="25">
        <f t="array" ref="I985">IFERROR(IF(A985=A984,0,SUM(_xlfn._xlws.FILTER(G985:G1005,(A985:A1005=A985)*(E985:E1005&lt;0)))),0)</f>
        <v>0</v>
      </c>
      <c r="J985" s="25">
        <f t="array" ref="J985">IFERROR(IF(A985=A984,0,SUM(_xlfn._xlws.FILTER(G985:G1005,(A985:A1005=A985)*(E985:E1005&gt;0)))),0)</f>
        <v>0</v>
      </c>
      <c r="K985" s="25">
        <f>IF(H985&lt;&gt;0,SUM(H$2:H985),0)</f>
        <v>0</v>
      </c>
      <c r="L985" s="25">
        <f>IF(I985&lt;&gt;0,SUM(I$2:I985),0)</f>
        <v>0</v>
      </c>
      <c r="M985" s="25">
        <f>IF(J985&lt;&gt;0,SUM(J$2:J985),0)</f>
        <v>0</v>
      </c>
    </row>
    <row r="986" spans="8:13" x14ac:dyDescent="0.2">
      <c r="H986" s="25">
        <f t="array" ref="H986">IF(A986=A985,0,SUM(_xlfn._xlws.FILTER(G986:G1006,A986:A1006=A986)))</f>
        <v>0</v>
      </c>
      <c r="I986" s="25">
        <f t="array" ref="I986">IFERROR(IF(A986=A985,0,SUM(_xlfn._xlws.FILTER(G986:G1006,(A986:A1006=A986)*(E986:E1006&lt;0)))),0)</f>
        <v>0</v>
      </c>
      <c r="J986" s="25">
        <f t="array" ref="J986">IFERROR(IF(A986=A985,0,SUM(_xlfn._xlws.FILTER(G986:G1006,(A986:A1006=A986)*(E986:E1006&gt;0)))),0)</f>
        <v>0</v>
      </c>
      <c r="K986" s="25">
        <f>IF(H986&lt;&gt;0,SUM(H$2:H986),0)</f>
        <v>0</v>
      </c>
      <c r="L986" s="25">
        <f>IF(I986&lt;&gt;0,SUM(I$2:I986),0)</f>
        <v>0</v>
      </c>
      <c r="M986" s="25">
        <f>IF(J986&lt;&gt;0,SUM(J$2:J986),0)</f>
        <v>0</v>
      </c>
    </row>
    <row r="987" spans="8:13" x14ac:dyDescent="0.2">
      <c r="H987" s="25">
        <f t="array" ref="H987">IF(A987=A986,0,SUM(_xlfn._xlws.FILTER(G987:G1007,A987:A1007=A987)))</f>
        <v>0</v>
      </c>
      <c r="I987" s="25">
        <f t="array" ref="I987">IFERROR(IF(A987=A986,0,SUM(_xlfn._xlws.FILTER(G987:G1007,(A987:A1007=A987)*(E987:E1007&lt;0)))),0)</f>
        <v>0</v>
      </c>
      <c r="J987" s="25">
        <f t="array" ref="J987">IFERROR(IF(A987=A986,0,SUM(_xlfn._xlws.FILTER(G987:G1007,(A987:A1007=A987)*(E987:E1007&gt;0)))),0)</f>
        <v>0</v>
      </c>
      <c r="K987" s="25">
        <f>IF(H987&lt;&gt;0,SUM(H$2:H987),0)</f>
        <v>0</v>
      </c>
      <c r="L987" s="25">
        <f>IF(I987&lt;&gt;0,SUM(I$2:I987),0)</f>
        <v>0</v>
      </c>
      <c r="M987" s="25">
        <f>IF(J987&lt;&gt;0,SUM(J$2:J987),0)</f>
        <v>0</v>
      </c>
    </row>
    <row r="988" spans="8:13" x14ac:dyDescent="0.2">
      <c r="H988" s="25">
        <f t="array" ref="H988">IF(A988=A987,0,SUM(_xlfn._xlws.FILTER(G988:G1008,A988:A1008=A988)))</f>
        <v>0</v>
      </c>
      <c r="I988" s="25">
        <f t="array" ref="I988">IFERROR(IF(A988=A987,0,SUM(_xlfn._xlws.FILTER(G988:G1008,(A988:A1008=A988)*(E988:E1008&lt;0)))),0)</f>
        <v>0</v>
      </c>
      <c r="J988" s="25">
        <f t="array" ref="J988">IFERROR(IF(A988=A987,0,SUM(_xlfn._xlws.FILTER(G988:G1008,(A988:A1008=A988)*(E988:E1008&gt;0)))),0)</f>
        <v>0</v>
      </c>
      <c r="K988" s="25">
        <f>IF(H988&lt;&gt;0,SUM(H$2:H988),0)</f>
        <v>0</v>
      </c>
      <c r="L988" s="25">
        <f>IF(I988&lt;&gt;0,SUM(I$2:I988),0)</f>
        <v>0</v>
      </c>
      <c r="M988" s="25">
        <f>IF(J988&lt;&gt;0,SUM(J$2:J988),0)</f>
        <v>0</v>
      </c>
    </row>
    <row r="989" spans="8:13" x14ac:dyDescent="0.2">
      <c r="H989" s="25">
        <f t="array" ref="H989">IF(A989=A988,0,SUM(_xlfn._xlws.FILTER(G989:G1009,A989:A1009=A989)))</f>
        <v>0</v>
      </c>
      <c r="I989" s="25">
        <f t="array" ref="I989">IFERROR(IF(A989=A988,0,SUM(_xlfn._xlws.FILTER(G989:G1009,(A989:A1009=A989)*(E989:E1009&lt;0)))),0)</f>
        <v>0</v>
      </c>
      <c r="J989" s="25">
        <f t="array" ref="J989">IFERROR(IF(A989=A988,0,SUM(_xlfn._xlws.FILTER(G989:G1009,(A989:A1009=A989)*(E989:E1009&gt;0)))),0)</f>
        <v>0</v>
      </c>
      <c r="K989" s="25">
        <f>IF(H989&lt;&gt;0,SUM(H$2:H989),0)</f>
        <v>0</v>
      </c>
      <c r="L989" s="25">
        <f>IF(I989&lt;&gt;0,SUM(I$2:I989),0)</f>
        <v>0</v>
      </c>
      <c r="M989" s="25">
        <f>IF(J989&lt;&gt;0,SUM(J$2:J989),0)</f>
        <v>0</v>
      </c>
    </row>
    <row r="990" spans="8:13" x14ac:dyDescent="0.2">
      <c r="H990" s="25">
        <f t="array" ref="H990">IF(A990=A989,0,SUM(_xlfn._xlws.FILTER(G990:G1010,A990:A1010=A990)))</f>
        <v>0</v>
      </c>
      <c r="I990" s="25">
        <f t="array" ref="I990">IFERROR(IF(A990=A989,0,SUM(_xlfn._xlws.FILTER(G990:G1010,(A990:A1010=A990)*(E990:E1010&lt;0)))),0)</f>
        <v>0</v>
      </c>
      <c r="J990" s="25">
        <f t="array" ref="J990">IFERROR(IF(A990=A989,0,SUM(_xlfn._xlws.FILTER(G990:G1010,(A990:A1010=A990)*(E990:E1010&gt;0)))),0)</f>
        <v>0</v>
      </c>
      <c r="K990" s="25">
        <f>IF(H990&lt;&gt;0,SUM(H$2:H990),0)</f>
        <v>0</v>
      </c>
      <c r="L990" s="25">
        <f>IF(I990&lt;&gt;0,SUM(I$2:I990),0)</f>
        <v>0</v>
      </c>
      <c r="M990" s="25">
        <f>IF(J990&lt;&gt;0,SUM(J$2:J990),0)</f>
        <v>0</v>
      </c>
    </row>
    <row r="991" spans="8:13" x14ac:dyDescent="0.2">
      <c r="H991" s="25">
        <f t="array" ref="H991">IF(A991=A990,0,SUM(_xlfn._xlws.FILTER(G991:G1011,A991:A1011=A991)))</f>
        <v>0</v>
      </c>
      <c r="I991" s="25">
        <f t="array" ref="I991">IFERROR(IF(A991=A990,0,SUM(_xlfn._xlws.FILTER(G991:G1011,(A991:A1011=A991)*(E991:E1011&lt;0)))),0)</f>
        <v>0</v>
      </c>
      <c r="J991" s="25">
        <f t="array" ref="J991">IFERROR(IF(A991=A990,0,SUM(_xlfn._xlws.FILTER(G991:G1011,(A991:A1011=A991)*(E991:E1011&gt;0)))),0)</f>
        <v>0</v>
      </c>
      <c r="K991" s="25">
        <f>IF(H991&lt;&gt;0,SUM(H$2:H991),0)</f>
        <v>0</v>
      </c>
      <c r="L991" s="25">
        <f>IF(I991&lt;&gt;0,SUM(I$2:I991),0)</f>
        <v>0</v>
      </c>
      <c r="M991" s="25">
        <f>IF(J991&lt;&gt;0,SUM(J$2:J991),0)</f>
        <v>0</v>
      </c>
    </row>
    <row r="992" spans="8:13" x14ac:dyDescent="0.2">
      <c r="H992" s="25">
        <f t="array" ref="H992">IF(A992=A991,0,SUM(_xlfn._xlws.FILTER(G992:G1012,A992:A1012=A992)))</f>
        <v>0</v>
      </c>
      <c r="I992" s="25">
        <f t="array" ref="I992">IFERROR(IF(A992=A991,0,SUM(_xlfn._xlws.FILTER(G992:G1012,(A992:A1012=A992)*(E992:E1012&lt;0)))),0)</f>
        <v>0</v>
      </c>
      <c r="J992" s="25">
        <f t="array" ref="J992">IFERROR(IF(A992=A991,0,SUM(_xlfn._xlws.FILTER(G992:G1012,(A992:A1012=A992)*(E992:E1012&gt;0)))),0)</f>
        <v>0</v>
      </c>
      <c r="K992" s="25">
        <f>IF(H992&lt;&gt;0,SUM(H$2:H992),0)</f>
        <v>0</v>
      </c>
      <c r="L992" s="25">
        <f>IF(I992&lt;&gt;0,SUM(I$2:I992),0)</f>
        <v>0</v>
      </c>
      <c r="M992" s="25">
        <f>IF(J992&lt;&gt;0,SUM(J$2:J992),0)</f>
        <v>0</v>
      </c>
    </row>
    <row r="993" spans="8:13" x14ac:dyDescent="0.2">
      <c r="H993" s="25">
        <f t="array" ref="H993">IF(A993=A992,0,SUM(_xlfn._xlws.FILTER(G993:G1013,A993:A1013=A993)))</f>
        <v>0</v>
      </c>
      <c r="I993" s="25">
        <f t="array" ref="I993">IFERROR(IF(A993=A992,0,SUM(_xlfn._xlws.FILTER(G993:G1013,(A993:A1013=A993)*(E993:E1013&lt;0)))),0)</f>
        <v>0</v>
      </c>
      <c r="J993" s="25">
        <f t="array" ref="J993">IFERROR(IF(A993=A992,0,SUM(_xlfn._xlws.FILTER(G993:G1013,(A993:A1013=A993)*(E993:E1013&gt;0)))),0)</f>
        <v>0</v>
      </c>
      <c r="K993" s="25">
        <f>IF(H993&lt;&gt;0,SUM(H$2:H993),0)</f>
        <v>0</v>
      </c>
      <c r="L993" s="25">
        <f>IF(I993&lt;&gt;0,SUM(I$2:I993),0)</f>
        <v>0</v>
      </c>
      <c r="M993" s="25">
        <f>IF(J993&lt;&gt;0,SUM(J$2:J993),0)</f>
        <v>0</v>
      </c>
    </row>
    <row r="994" spans="8:13" x14ac:dyDescent="0.2">
      <c r="H994" s="25">
        <f t="array" ref="H994">IF(A994=A993,0,SUM(_xlfn._xlws.FILTER(G994:G1014,A994:A1014=A994)))</f>
        <v>0</v>
      </c>
      <c r="I994" s="25">
        <f t="array" ref="I994">IFERROR(IF(A994=A993,0,SUM(_xlfn._xlws.FILTER(G994:G1014,(A994:A1014=A994)*(E994:E1014&lt;0)))),0)</f>
        <v>0</v>
      </c>
      <c r="J994" s="25">
        <f t="array" ref="J994">IFERROR(IF(A994=A993,0,SUM(_xlfn._xlws.FILTER(G994:G1014,(A994:A1014=A994)*(E994:E1014&gt;0)))),0)</f>
        <v>0</v>
      </c>
      <c r="K994" s="25">
        <f>IF(H994&lt;&gt;0,SUM(H$2:H994),0)</f>
        <v>0</v>
      </c>
      <c r="L994" s="25">
        <f>IF(I994&lt;&gt;0,SUM(I$2:I994),0)</f>
        <v>0</v>
      </c>
      <c r="M994" s="25">
        <f>IF(J994&lt;&gt;0,SUM(J$2:J994),0)</f>
        <v>0</v>
      </c>
    </row>
    <row r="995" spans="8:13" x14ac:dyDescent="0.2">
      <c r="H995" s="25">
        <f t="array" ref="H995">IF(A995=A994,0,SUM(_xlfn._xlws.FILTER(G995:G1015,A995:A1015=A995)))</f>
        <v>0</v>
      </c>
      <c r="I995" s="25">
        <f t="array" ref="I995">IFERROR(IF(A995=A994,0,SUM(_xlfn._xlws.FILTER(G995:G1015,(A995:A1015=A995)*(E995:E1015&lt;0)))),0)</f>
        <v>0</v>
      </c>
      <c r="J995" s="25">
        <f t="array" ref="J995">IFERROR(IF(A995=A994,0,SUM(_xlfn._xlws.FILTER(G995:G1015,(A995:A1015=A995)*(E995:E1015&gt;0)))),0)</f>
        <v>0</v>
      </c>
      <c r="K995" s="25">
        <f>IF(H995&lt;&gt;0,SUM(H$2:H995),0)</f>
        <v>0</v>
      </c>
      <c r="L995" s="25">
        <f>IF(I995&lt;&gt;0,SUM(I$2:I995),0)</f>
        <v>0</v>
      </c>
      <c r="M995" s="25">
        <f>IF(J995&lt;&gt;0,SUM(J$2:J995),0)</f>
        <v>0</v>
      </c>
    </row>
    <row r="996" spans="8:13" x14ac:dyDescent="0.2">
      <c r="H996" s="25">
        <f t="array" ref="H996">IF(A996=A995,0,SUM(_xlfn._xlws.FILTER(G996:G1016,A996:A1016=A996)))</f>
        <v>0</v>
      </c>
      <c r="I996" s="25">
        <f t="array" ref="I996">IFERROR(IF(A996=A995,0,SUM(_xlfn._xlws.FILTER(G996:G1016,(A996:A1016=A996)*(E996:E1016&lt;0)))),0)</f>
        <v>0</v>
      </c>
      <c r="J996" s="25">
        <f t="array" ref="J996">IFERROR(IF(A996=A995,0,SUM(_xlfn._xlws.FILTER(G996:G1016,(A996:A1016=A996)*(E996:E1016&gt;0)))),0)</f>
        <v>0</v>
      </c>
      <c r="K996" s="25">
        <f>IF(H996&lt;&gt;0,SUM(H$2:H996),0)</f>
        <v>0</v>
      </c>
      <c r="L996" s="25">
        <f>IF(I996&lt;&gt;0,SUM(I$2:I996),0)</f>
        <v>0</v>
      </c>
      <c r="M996" s="25">
        <f>IF(J996&lt;&gt;0,SUM(J$2:J996),0)</f>
        <v>0</v>
      </c>
    </row>
    <row r="997" spans="8:13" x14ac:dyDescent="0.2">
      <c r="H997" s="25">
        <f t="array" ref="H997">IF(A997=A996,0,SUM(_xlfn._xlws.FILTER(G997:G1017,A997:A1017=A997)))</f>
        <v>0</v>
      </c>
      <c r="I997" s="25">
        <f t="array" ref="I997">IFERROR(IF(A997=A996,0,SUM(_xlfn._xlws.FILTER(G997:G1017,(A997:A1017=A997)*(E997:E1017&lt;0)))),0)</f>
        <v>0</v>
      </c>
      <c r="J997" s="25">
        <f t="array" ref="J997">IFERROR(IF(A997=A996,0,SUM(_xlfn._xlws.FILTER(G997:G1017,(A997:A1017=A997)*(E997:E1017&gt;0)))),0)</f>
        <v>0</v>
      </c>
      <c r="K997" s="25">
        <f>IF(H997&lt;&gt;0,SUM(H$2:H997),0)</f>
        <v>0</v>
      </c>
      <c r="L997" s="25">
        <f>IF(I997&lt;&gt;0,SUM(I$2:I997),0)</f>
        <v>0</v>
      </c>
      <c r="M997" s="25">
        <f>IF(J997&lt;&gt;0,SUM(J$2:J997),0)</f>
        <v>0</v>
      </c>
    </row>
    <row r="998" spans="8:13" x14ac:dyDescent="0.2">
      <c r="H998" s="25">
        <f t="array" ref="H998">IF(A998=A997,0,SUM(_xlfn._xlws.FILTER(G998:G1018,A998:A1018=A998)))</f>
        <v>0</v>
      </c>
      <c r="I998" s="25">
        <f t="array" ref="I998">IFERROR(IF(A998=A997,0,SUM(_xlfn._xlws.FILTER(G998:G1018,(A998:A1018=A998)*(E998:E1018&lt;0)))),0)</f>
        <v>0</v>
      </c>
      <c r="J998" s="25">
        <f t="array" ref="J998">IFERROR(IF(A998=A997,0,SUM(_xlfn._xlws.FILTER(G998:G1018,(A998:A1018=A998)*(E998:E1018&gt;0)))),0)</f>
        <v>0</v>
      </c>
      <c r="K998" s="25">
        <f>IF(H998&lt;&gt;0,SUM(H$2:H998),0)</f>
        <v>0</v>
      </c>
      <c r="L998" s="25">
        <f>IF(I998&lt;&gt;0,SUM(I$2:I998),0)</f>
        <v>0</v>
      </c>
      <c r="M998" s="25">
        <f>IF(J998&lt;&gt;0,SUM(J$2:J998),0)</f>
        <v>0</v>
      </c>
    </row>
    <row r="999" spans="8:13" x14ac:dyDescent="0.2">
      <c r="H999" s="25">
        <f t="array" ref="H999">IF(A999=A998,0,SUM(_xlfn._xlws.FILTER(G999:G1019,A999:A1019=A999)))</f>
        <v>0</v>
      </c>
      <c r="I999" s="25">
        <f t="array" ref="I999">IFERROR(IF(A999=A998,0,SUM(_xlfn._xlws.FILTER(G999:G1019,(A999:A1019=A999)*(E999:E1019&lt;0)))),0)</f>
        <v>0</v>
      </c>
      <c r="J999" s="25">
        <f t="array" ref="J999">IFERROR(IF(A999=A998,0,SUM(_xlfn._xlws.FILTER(G999:G1019,(A999:A1019=A999)*(E999:E1019&gt;0)))),0)</f>
        <v>0</v>
      </c>
      <c r="K999" s="25">
        <f>IF(H999&lt;&gt;0,SUM(H$2:H999),0)</f>
        <v>0</v>
      </c>
      <c r="L999" s="25">
        <f>IF(I999&lt;&gt;0,SUM(I$2:I999),0)</f>
        <v>0</v>
      </c>
      <c r="M999" s="25">
        <f>IF(J999&lt;&gt;0,SUM(J$2:J999),0)</f>
        <v>0</v>
      </c>
    </row>
    <row r="1000" spans="8:13" x14ac:dyDescent="0.2">
      <c r="H1000" s="25">
        <f t="array" ref="H1000">IF(A1000=A999,0,SUM(_xlfn._xlws.FILTER(G1000:G1020,A1000:A1020=A1000)))</f>
        <v>0</v>
      </c>
      <c r="I1000" s="25">
        <f t="array" ref="I1000">IFERROR(IF(A1000=A999,0,SUM(_xlfn._xlws.FILTER(G1000:G1020,(A1000:A1020=A1000)*(E1000:E1020&lt;0)))),0)</f>
        <v>0</v>
      </c>
      <c r="J1000" s="25">
        <f t="array" ref="J1000">IFERROR(IF(A1000=A999,0,SUM(_xlfn._xlws.FILTER(G1000:G1020,(A1000:A1020=A1000)*(E1000:E1020&gt;0)))),0)</f>
        <v>0</v>
      </c>
      <c r="K1000" s="25">
        <f>IF(H1000&lt;&gt;0,SUM(H$2:H1000),0)</f>
        <v>0</v>
      </c>
      <c r="L1000" s="25">
        <f>IF(I1000&lt;&gt;0,SUM(I$2:I1000),0)</f>
        <v>0</v>
      </c>
      <c r="M1000" s="25">
        <f>IF(J1000&lt;&gt;0,SUM(J$2:J1000),0)</f>
        <v>0</v>
      </c>
    </row>
    <row r="1001" spans="8:13" x14ac:dyDescent="0.2">
      <c r="H1001" s="25">
        <f t="array" ref="H1001">IF(A1001=A1000,0,SUM(_xlfn._xlws.FILTER(G1001:G1021,A1001:A1021=A1001)))</f>
        <v>0</v>
      </c>
      <c r="I1001" s="25">
        <f t="array" ref="I1001">IFERROR(IF(A1001=A1000,0,SUM(_xlfn._xlws.FILTER(G1001:G1021,(A1001:A1021=A1001)*(E1001:E1021&lt;0)))),0)</f>
        <v>0</v>
      </c>
      <c r="J1001" s="25">
        <f t="array" ref="J1001">IFERROR(IF(A1001=A1000,0,SUM(_xlfn._xlws.FILTER(G1001:G1021,(A1001:A1021=A1001)*(E1001:E1021&gt;0)))),0)</f>
        <v>0</v>
      </c>
      <c r="K1001" s="25">
        <f>IF(H1001&lt;&gt;0,SUM(H$2:H1001),0)</f>
        <v>0</v>
      </c>
      <c r="L1001" s="25">
        <f>IF(I1001&lt;&gt;0,SUM(I$2:I1001),0)</f>
        <v>0</v>
      </c>
      <c r="M1001" s="25">
        <f>IF(J1001&lt;&gt;0,SUM(J$2:J1001),0)</f>
        <v>0</v>
      </c>
    </row>
    <row r="1002" spans="8:13" x14ac:dyDescent="0.2">
      <c r="I1002" s="25">
        <f t="array" ref="I1002">IF(A1002=A1001,0,SUM(_xlfn._xlws.FILTER(G1002:G1022,(A1002:A1022=A1002)*((E1002:E1022&lt;0)))))</f>
        <v>0</v>
      </c>
      <c r="J1002" s="25">
        <f t="array" ref="J1002">IF(A1002=A1001,0,SUM(_xlfn._xlws.FILTER(G1002:G1022,(A1002:A1022=A1002)*((E1002:E1022&gt;0)))))</f>
        <v>0</v>
      </c>
    </row>
    <row r="1003" spans="8:13" x14ac:dyDescent="0.2">
      <c r="I1003" s="25">
        <f t="array" ref="I1003">IF(A1003=A1002,0,SUM(_xlfn._xlws.FILTER(G1003:G1023,(A1003:A1023=A1003)*((E1003:E1023&lt;0)))))</f>
        <v>0</v>
      </c>
      <c r="J1003" s="25">
        <f t="array" ref="J1003">IF(A1003=A1002,0,SUM(_xlfn._xlws.FILTER(G1003:G1023,(A1003:A1023=A1003)*((E1003:E1023&gt;0)))))</f>
        <v>0</v>
      </c>
    </row>
    <row r="1004" spans="8:13" x14ac:dyDescent="0.2">
      <c r="I1004" s="25">
        <f t="array" ref="I1004">IF(A1004=A1003,0,SUM(_xlfn._xlws.FILTER(G1004:G1024,(A1004:A1024=A1004)*((E1004:E1024&lt;0)))))</f>
        <v>0</v>
      </c>
      <c r="J1004" s="25">
        <f t="array" ref="J1004">IF(A1004=A1003,0,SUM(_xlfn._xlws.FILTER(G1004:G1024,(A1004:A1024=A1004)*((E1004:E1024&gt;0)))))</f>
        <v>0</v>
      </c>
    </row>
    <row r="1005" spans="8:13" x14ac:dyDescent="0.2">
      <c r="I1005" s="25">
        <f t="array" ref="I1005">IF(A1005=A1004,0,SUM(_xlfn._xlws.FILTER(G1005:G1025,(A1005:A1025=A1005)*((E1005:E1025&lt;0)))))</f>
        <v>0</v>
      </c>
      <c r="J1005" s="25">
        <f t="array" ref="J1005">IF(A1005=A1004,0,SUM(_xlfn._xlws.FILTER(G1005:G1025,(A1005:A1025=A1005)*((E1005:E1025&gt;0)))))</f>
        <v>0</v>
      </c>
    </row>
    <row r="1006" spans="8:13" x14ac:dyDescent="0.2">
      <c r="I1006" s="25">
        <f t="array" ref="I1006">IF(A1006=A1005,0,SUM(_xlfn._xlws.FILTER(G1006:G1026,(A1006:A1026=A1006)*((E1006:E1026&lt;0)))))</f>
        <v>0</v>
      </c>
      <c r="J1006" s="25">
        <f t="array" ref="J1006">IF(A1006=A1005,0,SUM(_xlfn._xlws.FILTER(G1006:G1026,(A1006:A1026=A1006)*((E1006:E1026&gt;0)))))</f>
        <v>0</v>
      </c>
    </row>
    <row r="1007" spans="8:13" x14ac:dyDescent="0.2">
      <c r="I1007" s="25">
        <f t="array" ref="I1007">IF(A1007=A1006,0,SUM(_xlfn._xlws.FILTER(G1007:G1027,(A1007:A1027=A1007)*((E1007:E1027&lt;0)))))</f>
        <v>0</v>
      </c>
      <c r="J1007" s="25">
        <f t="array" ref="J1007">IF(A1007=A1006,0,SUM(_xlfn._xlws.FILTER(G1007:G1027,(A1007:A1027=A1007)*((E1007:E1027&gt;0)))))</f>
        <v>0</v>
      </c>
    </row>
    <row r="1008" spans="8:13" x14ac:dyDescent="0.2">
      <c r="I1008" s="25">
        <f t="array" ref="I1008">IF(A1008=A1007,0,SUM(_xlfn._xlws.FILTER(G1008:G1028,(A1008:A1028=A1008)*((E1008:E1028&lt;0)))))</f>
        <v>0</v>
      </c>
      <c r="J1008" s="25">
        <f t="array" ref="J1008">IF(A1008=A1007,0,SUM(_xlfn._xlws.FILTER(G1008:G1028,(A1008:A1028=A1008)*((E1008:E1028&gt;0)))))</f>
        <v>0</v>
      </c>
    </row>
    <row r="1009" spans="9:10" x14ac:dyDescent="0.2">
      <c r="I1009" s="25">
        <f t="array" ref="I1009">IF(A1009=A1008,0,SUM(_xlfn._xlws.FILTER(G1009:G1029,(A1009:A1029=A1009)*((E1009:E1029&lt;0)))))</f>
        <v>0</v>
      </c>
      <c r="J1009" s="25">
        <f t="array" ref="J1009">IF(A1009=A1008,0,SUM(_xlfn._xlws.FILTER(G1009:G1029,(A1009:A1029=A1009)*((E1009:E1029&gt;0)))))</f>
        <v>0</v>
      </c>
    </row>
    <row r="1010" spans="9:10" x14ac:dyDescent="0.2">
      <c r="I1010" s="25">
        <f t="array" ref="I1010">IF(A1010=A1009,0,SUM(_xlfn._xlws.FILTER(G1010:G1030,(A1010:A1030=A1010)*((E1010:E1030&lt;0)))))</f>
        <v>0</v>
      </c>
      <c r="J1010" s="25">
        <f t="array" ref="J1010">IF(A1010=A1009,0,SUM(_xlfn._xlws.FILTER(G1010:G1030,(A1010:A1030=A1010)*((E1010:E1030&gt;0)))))</f>
        <v>0</v>
      </c>
    </row>
    <row r="1011" spans="9:10" x14ac:dyDescent="0.2">
      <c r="I1011" s="25">
        <f t="array" ref="I1011">IF(A1011=A1010,0,SUM(_xlfn._xlws.FILTER(G1011:G1031,(A1011:A1031=A1011)*((E1011:E1031&lt;0)))))</f>
        <v>0</v>
      </c>
      <c r="J1011" s="25">
        <f t="array" ref="J1011">IF(A1011=A1010,0,SUM(_xlfn._xlws.FILTER(G1011:G1031,(A1011:A1031=A1011)*((E1011:E1031&gt;0)))))</f>
        <v>0</v>
      </c>
    </row>
    <row r="1012" spans="9:10" x14ac:dyDescent="0.2">
      <c r="I1012" s="25">
        <f t="array" ref="I1012">IF(A1012=A1011,0,SUM(_xlfn._xlws.FILTER(G1012:G1032,(A1012:A1032=A1012)*((E1012:E1032&lt;0)))))</f>
        <v>0</v>
      </c>
      <c r="J1012" s="25">
        <f t="array" ref="J1012">IF(A1012=A1011,0,SUM(_xlfn._xlws.FILTER(G1012:G1032,(A1012:A1032=A1012)*((E1012:E1032&gt;0)))))</f>
        <v>0</v>
      </c>
    </row>
    <row r="1013" spans="9:10" x14ac:dyDescent="0.2">
      <c r="I1013" s="25">
        <f t="array" ref="I1013">IF(A1013=A1012,0,SUM(_xlfn._xlws.FILTER(G1013:G1033,(A1013:A1033=A1013)*((E1013:E1033&lt;0)))))</f>
        <v>0</v>
      </c>
      <c r="J1013" s="25">
        <f t="array" ref="J1013">IF(A1013=A1012,0,SUM(_xlfn._xlws.FILTER(G1013:G1033,(A1013:A1033=A1013)*((E1013:E1033&gt;0)))))</f>
        <v>0</v>
      </c>
    </row>
    <row r="1014" spans="9:10" x14ac:dyDescent="0.2">
      <c r="I1014" s="25">
        <f t="array" ref="I1014">IF(A1014=A1013,0,SUM(_xlfn._xlws.FILTER(G1014:G1034,(A1014:A1034=A1014)*((E1014:E1034&lt;0)))))</f>
        <v>0</v>
      </c>
      <c r="J1014" s="25">
        <f t="array" ref="J1014">IF(A1014=A1013,0,SUM(_xlfn._xlws.FILTER(G1014:G1034,(A1014:A1034=A1014)*((E1014:E1034&gt;0)))))</f>
        <v>0</v>
      </c>
    </row>
    <row r="1015" spans="9:10" x14ac:dyDescent="0.2">
      <c r="I1015" s="25">
        <f t="array" ref="I1015">IF(A1015=A1014,0,SUM(_xlfn._xlws.FILTER(G1015:G1035,(A1015:A1035=A1015)*((E1015:E1035&lt;0)))))</f>
        <v>0</v>
      </c>
      <c r="J1015" s="25">
        <f t="array" ref="J1015">IF(A1015=A1014,0,SUM(_xlfn._xlws.FILTER(G1015:G1035,(A1015:A1035=A1015)*((E1015:E1035&gt;0)))))</f>
        <v>0</v>
      </c>
    </row>
    <row r="1016" spans="9:10" x14ac:dyDescent="0.2">
      <c r="I1016" s="25">
        <f t="array" ref="I1016">IF(A1016=A1015,0,SUM(_xlfn._xlws.FILTER(G1016:G1036,(A1016:A1036=A1016)*((E1016:E1036&lt;0)))))</f>
        <v>0</v>
      </c>
      <c r="J1016" s="25">
        <f t="array" ref="J1016">IF(A1016=A1015,0,SUM(_xlfn._xlws.FILTER(G1016:G1036,(A1016:A1036=A1016)*((E1016:E1036&gt;0)))))</f>
        <v>0</v>
      </c>
    </row>
    <row r="1017" spans="9:10" x14ac:dyDescent="0.2">
      <c r="I1017" s="25">
        <f t="array" ref="I1017">IF(A1017=A1016,0,SUM(_xlfn._xlws.FILTER(G1017:G1037,(A1017:A1037=A1017)*((E1017:E1037&lt;0)))))</f>
        <v>0</v>
      </c>
      <c r="J1017" s="25">
        <f t="array" ref="J1017">IF(A1017=A1016,0,SUM(_xlfn._xlws.FILTER(G1017:G1037,(A1017:A1037=A1017)*((E1017:E1037&gt;0)))))</f>
        <v>0</v>
      </c>
    </row>
    <row r="1018" spans="9:10" x14ac:dyDescent="0.2">
      <c r="I1018" s="25">
        <f t="array" ref="I1018">IF(A1018=A1017,0,SUM(_xlfn._xlws.FILTER(G1018:G1038,(A1018:A1038=A1018)*((E1018:E1038&lt;0)))))</f>
        <v>0</v>
      </c>
      <c r="J1018" s="25">
        <f t="array" ref="J1018">IF(A1018=A1017,0,SUM(_xlfn._xlws.FILTER(G1018:G1038,(A1018:A1038=A1018)*((E1018:E1038&gt;0)))))</f>
        <v>0</v>
      </c>
    </row>
    <row r="1019" spans="9:10" x14ac:dyDescent="0.2">
      <c r="I1019" s="25">
        <f t="array" ref="I1019">IF(A1019=A1018,0,SUM(_xlfn._xlws.FILTER(G1019:G1039,(A1019:A1039=A1019)*((E1019:E1039&lt;0)))))</f>
        <v>0</v>
      </c>
      <c r="J1019" s="25">
        <f t="array" ref="J1019">IF(A1019=A1018,0,SUM(_xlfn._xlws.FILTER(G1019:G1039,(A1019:A1039=A1019)*((E1019:E1039&gt;0)))))</f>
        <v>0</v>
      </c>
    </row>
    <row r="1020" spans="9:10" x14ac:dyDescent="0.2">
      <c r="I1020" s="25">
        <f t="array" ref="I1020">IF(A1020=A1019,0,SUM(_xlfn._xlws.FILTER(G1020:G1040,(A1020:A1040=A1020)*((E1020:E1040&lt;0)))))</f>
        <v>0</v>
      </c>
      <c r="J1020" s="25">
        <f t="array" ref="J1020">IF(A1020=A1019,0,SUM(_xlfn._xlws.FILTER(G1020:G1040,(A1020:A1040=A1020)*((E1020:E1040&gt;0)))))</f>
        <v>0</v>
      </c>
    </row>
    <row r="1021" spans="9:10" x14ac:dyDescent="0.2">
      <c r="I1021" s="25">
        <f t="array" ref="I1021">IF(A1021=A1020,0,SUM(_xlfn._xlws.FILTER(G1021:G1041,(A1021:A1041=A1021)*((E1021:E1041&lt;0)))))</f>
        <v>0</v>
      </c>
      <c r="J1021" s="25">
        <f t="array" ref="J1021">IF(A1021=A1020,0,SUM(_xlfn._xlws.FILTER(G1021:G1041,(A1021:A1041=A1021)*((E1021:E1041&gt;0)))))</f>
        <v>0</v>
      </c>
    </row>
    <row r="1022" spans="9:10" x14ac:dyDescent="0.2">
      <c r="I1022" s="25">
        <f t="array" ref="I1022">IF(A1022=A1021,0,SUM(_xlfn._xlws.FILTER(G1022:G1042,(A1022:A1042=A1022)*((E1022:E1042&lt;0)))))</f>
        <v>0</v>
      </c>
      <c r="J1022" s="25">
        <f t="array" ref="J1022">IF(A1022=A1021,0,SUM(_xlfn._xlws.FILTER(G1022:G1042,(A1022:A1042=A1022)*((E1022:E1042&gt;0)))))</f>
        <v>0</v>
      </c>
    </row>
    <row r="1023" spans="9:10" x14ac:dyDescent="0.2">
      <c r="I1023" s="25">
        <f t="array" ref="I1023">IF(A1023=A1022,0,SUM(_xlfn._xlws.FILTER(G1023:G1043,(A1023:A1043=A1023)*((E1023:E1043&lt;0)))))</f>
        <v>0</v>
      </c>
      <c r="J1023" s="25">
        <f t="array" ref="J1023">IF(A1023=A1022,0,SUM(_xlfn._xlws.FILTER(G1023:G1043,(A1023:A1043=A1023)*((E1023:E1043&gt;0)))))</f>
        <v>0</v>
      </c>
    </row>
    <row r="1024" spans="9:10" x14ac:dyDescent="0.2">
      <c r="I1024" s="25">
        <f t="array" ref="I1024">IF(A1024=A1023,0,SUM(_xlfn._xlws.FILTER(G1024:G1044,(A1024:A1044=A1024)*((E1024:E1044&lt;0)))))</f>
        <v>0</v>
      </c>
      <c r="J1024" s="25">
        <f t="array" ref="J1024">IF(A1024=A1023,0,SUM(_xlfn._xlws.FILTER(G1024:G1044,(A1024:A1044=A1024)*((E1024:E1044&gt;0)))))</f>
        <v>0</v>
      </c>
    </row>
    <row r="1025" spans="9:10" x14ac:dyDescent="0.2">
      <c r="I1025" s="25">
        <f t="array" ref="I1025">IF(A1025=A1024,0,SUM(_xlfn._xlws.FILTER(G1025:G1045,(A1025:A1045=A1025)*((E1025:E1045&lt;0)))))</f>
        <v>0</v>
      </c>
      <c r="J1025" s="25">
        <f t="array" ref="J1025">IF(A1025=A1024,0,SUM(_xlfn._xlws.FILTER(G1025:G1045,(A1025:A1045=A1025)*((E1025:E1045&gt;0)))))</f>
        <v>0</v>
      </c>
    </row>
    <row r="1026" spans="9:10" x14ac:dyDescent="0.2">
      <c r="I1026" s="25">
        <f t="array" ref="I1026">IF(A1026=A1025,0,SUM(_xlfn._xlws.FILTER(G1026:G1046,(A1026:A1046=A1026)*((E1026:E1046&lt;0)))))</f>
        <v>0</v>
      </c>
      <c r="J1026" s="25">
        <f t="array" ref="J1026">IF(A1026=A1025,0,SUM(_xlfn._xlws.FILTER(G1026:G1046,(A1026:A1046=A1026)*((E1026:E1046&gt;0)))))</f>
        <v>0</v>
      </c>
    </row>
    <row r="1027" spans="9:10" x14ac:dyDescent="0.2">
      <c r="I1027" s="25">
        <f t="array" ref="I1027">IF(A1027=A1026,0,SUM(_xlfn._xlws.FILTER(G1027:G1047,(A1027:A1047=A1027)*((E1027:E1047&lt;0)))))</f>
        <v>0</v>
      </c>
      <c r="J1027" s="25">
        <f t="array" ref="J1027">IF(A1027=A1026,0,SUM(_xlfn._xlws.FILTER(G1027:G1047,(A1027:A1047=A1027)*((E1027:E1047&gt;0)))))</f>
        <v>0</v>
      </c>
    </row>
    <row r="1028" spans="9:10" x14ac:dyDescent="0.2">
      <c r="I1028" s="25">
        <f t="array" ref="I1028">IF(A1028=A1027,0,SUM(_xlfn._xlws.FILTER(G1028:G1048,(A1028:A1048=A1028)*((E1028:E1048&lt;0)))))</f>
        <v>0</v>
      </c>
      <c r="J1028" s="25">
        <f t="array" ref="J1028">IF(A1028=A1027,0,SUM(_xlfn._xlws.FILTER(G1028:G1048,(A1028:A1048=A1028)*((E1028:E1048&gt;0)))))</f>
        <v>0</v>
      </c>
    </row>
    <row r="1029" spans="9:10" x14ac:dyDescent="0.2">
      <c r="I1029" s="25">
        <f t="array" ref="I1029">IF(A1029=A1028,0,SUM(_xlfn._xlws.FILTER(G1029:G1049,(A1029:A1049=A1029)*((E1029:E1049&lt;0)))))</f>
        <v>0</v>
      </c>
      <c r="J1029" s="25">
        <f t="array" ref="J1029">IF(A1029=A1028,0,SUM(_xlfn._xlws.FILTER(G1029:G1049,(A1029:A1049=A1029)*((E1029:E1049&gt;0)))))</f>
        <v>0</v>
      </c>
    </row>
    <row r="1030" spans="9:10" x14ac:dyDescent="0.2">
      <c r="I1030" s="25">
        <f t="array" ref="I1030">IF(A1030=A1029,0,SUM(_xlfn._xlws.FILTER(G1030:G1050,(A1030:A1050=A1030)*((E1030:E1050&lt;0)))))</f>
        <v>0</v>
      </c>
      <c r="J1030" s="25">
        <f t="array" ref="J1030">IF(A1030=A1029,0,SUM(_xlfn._xlws.FILTER(G1030:G1050,(A1030:A1050=A1030)*((E1030:E1050&gt;0)))))</f>
        <v>0</v>
      </c>
    </row>
    <row r="1031" spans="9:10" x14ac:dyDescent="0.2">
      <c r="I1031" s="25">
        <f t="array" ref="I1031">IF(A1031=A1030,0,SUM(_xlfn._xlws.FILTER(G1031:G1051,(A1031:A1051=A1031)*((E1031:E1051&lt;0)))))</f>
        <v>0</v>
      </c>
      <c r="J1031" s="25">
        <f t="array" ref="J1031">IF(A1031=A1030,0,SUM(_xlfn._xlws.FILTER(G1031:G1051,(A1031:A1051=A1031)*((E1031:E1051&gt;0)))))</f>
        <v>0</v>
      </c>
    </row>
    <row r="1032" spans="9:10" x14ac:dyDescent="0.2">
      <c r="I1032" s="25">
        <f t="array" ref="I1032">IF(A1032=A1031,0,SUM(_xlfn._xlws.FILTER(G1032:G1052,(A1032:A1052=A1032)*((E1032:E1052&lt;0)))))</f>
        <v>0</v>
      </c>
      <c r="J1032" s="25">
        <f t="array" ref="J1032">IF(A1032=A1031,0,SUM(_xlfn._xlws.FILTER(G1032:G1052,(A1032:A1052=A1032)*((E1032:E1052&gt;0)))))</f>
        <v>0</v>
      </c>
    </row>
    <row r="1033" spans="9:10" x14ac:dyDescent="0.2">
      <c r="I1033" s="25">
        <f t="array" ref="I1033">IF(A1033=A1032,0,SUM(_xlfn._xlws.FILTER(G1033:G1053,(A1033:A1053=A1033)*((E1033:E1053&lt;0)))))</f>
        <v>0</v>
      </c>
      <c r="J1033" s="25">
        <f t="array" ref="J1033">IF(A1033=A1032,0,SUM(_xlfn._xlws.FILTER(G1033:G1053,(A1033:A1053=A1033)*((E1033:E1053&gt;0)))))</f>
        <v>0</v>
      </c>
    </row>
    <row r="1034" spans="9:10" x14ac:dyDescent="0.2">
      <c r="I1034" s="25">
        <f t="array" ref="I1034">IF(A1034=A1033,0,SUM(_xlfn._xlws.FILTER(G1034:G1054,(A1034:A1054=A1034)*((E1034:E1054&lt;0)))))</f>
        <v>0</v>
      </c>
      <c r="J1034" s="25">
        <f t="array" ref="J1034">IF(A1034=A1033,0,SUM(_xlfn._xlws.FILTER(G1034:G1054,(A1034:A1054=A1034)*((E1034:E1054&gt;0)))))</f>
        <v>0</v>
      </c>
    </row>
    <row r="1035" spans="9:10" x14ac:dyDescent="0.2">
      <c r="I1035" s="25">
        <f t="array" ref="I1035">IF(A1035=A1034,0,SUM(_xlfn._xlws.FILTER(G1035:G1055,(A1035:A1055=A1035)*((E1035:E1055&lt;0)))))</f>
        <v>0</v>
      </c>
      <c r="J1035" s="25">
        <f t="array" ref="J1035">IF(A1035=A1034,0,SUM(_xlfn._xlws.FILTER(G1035:G1055,(A1035:A1055=A1035)*((E1035:E1055&gt;0)))))</f>
        <v>0</v>
      </c>
    </row>
    <row r="1036" spans="9:10" x14ac:dyDescent="0.2">
      <c r="I1036" s="25">
        <f t="array" ref="I1036">IF(A1036=A1035,0,SUM(_xlfn._xlws.FILTER(G1036:G1056,(A1036:A1056=A1036)*((E1036:E1056&lt;0)))))</f>
        <v>0</v>
      </c>
      <c r="J1036" s="25">
        <f t="array" ref="J1036">IF(A1036=A1035,0,SUM(_xlfn._xlws.FILTER(G1036:G1056,(A1036:A1056=A1036)*((E1036:E1056&gt;0)))))</f>
        <v>0</v>
      </c>
    </row>
    <row r="1037" spans="9:10" x14ac:dyDescent="0.2">
      <c r="I1037" s="25">
        <f t="array" ref="I1037">IF(A1037=A1036,0,SUM(_xlfn._xlws.FILTER(G1037:G1057,(A1037:A1057=A1037)*((E1037:E1057&lt;0)))))</f>
        <v>0</v>
      </c>
      <c r="J1037" s="25">
        <f t="array" ref="J1037">IF(A1037=A1036,0,SUM(_xlfn._xlws.FILTER(G1037:G1057,(A1037:A1057=A1037)*((E1037:E1057&gt;0)))))</f>
        <v>0</v>
      </c>
    </row>
    <row r="1038" spans="9:10" x14ac:dyDescent="0.2">
      <c r="I1038" s="25">
        <f t="array" ref="I1038">IF(A1038=A1037,0,SUM(_xlfn._xlws.FILTER(G1038:G1058,(A1038:A1058=A1038)*((E1038:E1058&lt;0)))))</f>
        <v>0</v>
      </c>
      <c r="J1038" s="25">
        <f t="array" ref="J1038">IF(A1038=A1037,0,SUM(_xlfn._xlws.FILTER(G1038:G1058,(A1038:A1058=A1038)*((E1038:E1058&gt;0)))))</f>
        <v>0</v>
      </c>
    </row>
    <row r="1039" spans="9:10" x14ac:dyDescent="0.2">
      <c r="I1039" s="25">
        <f t="array" ref="I1039">IF(A1039=A1038,0,SUM(_xlfn._xlws.FILTER(G1039:G1059,(A1039:A1059=A1039)*((E1039:E1059&lt;0)))))</f>
        <v>0</v>
      </c>
      <c r="J1039" s="25">
        <f t="array" ref="J1039">IF(A1039=A1038,0,SUM(_xlfn._xlws.FILTER(G1039:G1059,(A1039:A1059=A1039)*((E1039:E1059&gt;0)))))</f>
        <v>0</v>
      </c>
    </row>
    <row r="1040" spans="9:10" x14ac:dyDescent="0.2">
      <c r="I1040" s="25">
        <f t="array" ref="I1040">IF(A1040=A1039,0,SUM(_xlfn._xlws.FILTER(G1040:G1060,(A1040:A1060=A1040)*((E1040:E1060&lt;0)))))</f>
        <v>0</v>
      </c>
      <c r="J1040" s="25">
        <f t="array" ref="J1040">IF(A1040=A1039,0,SUM(_xlfn._xlws.FILTER(G1040:G1060,(A1040:A1060=A1040)*((E1040:E1060&gt;0)))))</f>
        <v>0</v>
      </c>
    </row>
    <row r="1041" spans="9:10" x14ac:dyDescent="0.2">
      <c r="I1041" s="25">
        <f t="array" ref="I1041">IF(A1041=A1040,0,SUM(_xlfn._xlws.FILTER(G1041:G1061,(A1041:A1061=A1041)*((E1041:E1061&lt;0)))))</f>
        <v>0</v>
      </c>
      <c r="J1041" s="25">
        <f t="array" ref="J1041">IF(A1041=A1040,0,SUM(_xlfn._xlws.FILTER(G1041:G1061,(A1041:A1061=A1041)*((E1041:E1061&gt;0)))))</f>
        <v>0</v>
      </c>
    </row>
    <row r="1042" spans="9:10" x14ac:dyDescent="0.2">
      <c r="I1042" s="25">
        <f t="array" ref="I1042">IF(A1042=A1041,0,SUM(_xlfn._xlws.FILTER(G1042:G1062,(A1042:A1062=A1042)*((E1042:E1062&lt;0)))))</f>
        <v>0</v>
      </c>
      <c r="J1042" s="25">
        <f t="array" ref="J1042">IF(A1042=A1041,0,SUM(_xlfn._xlws.FILTER(G1042:G1062,(A1042:A1062=A1042)*((E1042:E1062&gt;0)))))</f>
        <v>0</v>
      </c>
    </row>
    <row r="1043" spans="9:10" x14ac:dyDescent="0.2">
      <c r="I1043" s="25">
        <f t="array" ref="I1043">IF(A1043=A1042,0,SUM(_xlfn._xlws.FILTER(G1043:G1063,(A1043:A1063=A1043)*((E1043:E1063&lt;0)))))</f>
        <v>0</v>
      </c>
      <c r="J1043" s="25">
        <f t="array" ref="J1043">IF(A1043=A1042,0,SUM(_xlfn._xlws.FILTER(G1043:G1063,(A1043:A1063=A1043)*((E1043:E1063&gt;0)))))</f>
        <v>0</v>
      </c>
    </row>
    <row r="1044" spans="9:10" x14ac:dyDescent="0.2">
      <c r="I1044" s="25">
        <f t="array" ref="I1044">IF(A1044=A1043,0,SUM(_xlfn._xlws.FILTER(G1044:G1064,(A1044:A1064=A1044)*((E1044:E1064&lt;0)))))</f>
        <v>0</v>
      </c>
      <c r="J1044" s="25">
        <f t="array" ref="J1044">IF(A1044=A1043,0,SUM(_xlfn._xlws.FILTER(G1044:G1064,(A1044:A1064=A1044)*((E1044:E1064&gt;0)))))</f>
        <v>0</v>
      </c>
    </row>
    <row r="1045" spans="9:10" x14ac:dyDescent="0.2">
      <c r="I1045" s="25">
        <f t="array" ref="I1045">IF(A1045=A1044,0,SUM(_xlfn._xlws.FILTER(G1045:G1065,(A1045:A1065=A1045)*((E1045:E1065&lt;0)))))</f>
        <v>0</v>
      </c>
      <c r="J1045" s="25">
        <f t="array" ref="J1045">IF(A1045=A1044,0,SUM(_xlfn._xlws.FILTER(G1045:G1065,(A1045:A1065=A1045)*((E1045:E1065&gt;0)))))</f>
        <v>0</v>
      </c>
    </row>
    <row r="1046" spans="9:10" x14ac:dyDescent="0.2">
      <c r="I1046" s="25">
        <f t="array" ref="I1046">IF(A1046=A1045,0,SUM(_xlfn._xlws.FILTER(G1046:G1066,(A1046:A1066=A1046)*((E1046:E1066&lt;0)))))</f>
        <v>0</v>
      </c>
      <c r="J1046" s="25">
        <f t="array" ref="J1046">IF(A1046=A1045,0,SUM(_xlfn._xlws.FILTER(G1046:G1066,(A1046:A1066=A1046)*((E1046:E1066&gt;0)))))</f>
        <v>0</v>
      </c>
    </row>
    <row r="1047" spans="9:10" x14ac:dyDescent="0.2">
      <c r="I1047" s="25">
        <f t="array" ref="I1047">IF(A1047=A1046,0,SUM(_xlfn._xlws.FILTER(G1047:G1067,(A1047:A1067=A1047)*((E1047:E1067&lt;0)))))</f>
        <v>0</v>
      </c>
      <c r="J1047" s="25">
        <f t="array" ref="J1047">IF(A1047=A1046,0,SUM(_xlfn._xlws.FILTER(G1047:G1067,(A1047:A1067=A1047)*((E1047:E1067&gt;0)))))</f>
        <v>0</v>
      </c>
    </row>
    <row r="1048" spans="9:10" x14ac:dyDescent="0.2">
      <c r="I1048" s="25">
        <f t="array" ref="I1048">IF(A1048=A1047,0,SUM(_xlfn._xlws.FILTER(G1048:G1068,(A1048:A1068=A1048)*((E1048:E1068&lt;0)))))</f>
        <v>0</v>
      </c>
      <c r="J1048" s="25">
        <f t="array" ref="J1048">IF(A1048=A1047,0,SUM(_xlfn._xlws.FILTER(G1048:G1068,(A1048:A1068=A1048)*((E1048:E1068&gt;0)))))</f>
        <v>0</v>
      </c>
    </row>
    <row r="1049" spans="9:10" x14ac:dyDescent="0.2">
      <c r="I1049" s="25">
        <f t="array" ref="I1049">IF(A1049=A1048,0,SUM(_xlfn._xlws.FILTER(G1049:G1069,(A1049:A1069=A1049)*((E1049:E1069&lt;0)))))</f>
        <v>0</v>
      </c>
      <c r="J1049" s="25">
        <f t="array" ref="J1049">IF(A1049=A1048,0,SUM(_xlfn._xlws.FILTER(G1049:G1069,(A1049:A1069=A1049)*((E1049:E1069&gt;0)))))</f>
        <v>0</v>
      </c>
    </row>
    <row r="1050" spans="9:10" x14ac:dyDescent="0.2">
      <c r="I1050" s="25">
        <f t="array" ref="I1050">IF(A1050=A1049,0,SUM(_xlfn._xlws.FILTER(G1050:G1070,(A1050:A1070=A1050)*((E1050:E1070&lt;0)))))</f>
        <v>0</v>
      </c>
      <c r="J1050" s="25">
        <f t="array" ref="J1050">IF(A1050=A1049,0,SUM(_xlfn._xlws.FILTER(G1050:G1070,(A1050:A1070=A1050)*((E1050:E1070&gt;0)))))</f>
        <v>0</v>
      </c>
    </row>
    <row r="1051" spans="9:10" x14ac:dyDescent="0.2">
      <c r="I1051" s="25">
        <f t="array" ref="I1051">IF(A1051=A1050,0,SUM(_xlfn._xlws.FILTER(G1051:G1071,(A1051:A1071=A1051)*((E1051:E1071&lt;0)))))</f>
        <v>0</v>
      </c>
      <c r="J1051" s="25">
        <f t="array" ref="J1051">IF(A1051=A1050,0,SUM(_xlfn._xlws.FILTER(G1051:G1071,(A1051:A1071=A1051)*((E1051:E1071&gt;0)))))</f>
        <v>0</v>
      </c>
    </row>
    <row r="1052" spans="9:10" x14ac:dyDescent="0.2">
      <c r="I1052" s="25">
        <f t="array" ref="I1052">IF(A1052=A1051,0,SUM(_xlfn._xlws.FILTER(G1052:G1072,(A1052:A1072=A1052)*((E1052:E1072&lt;0)))))</f>
        <v>0</v>
      </c>
      <c r="J1052" s="25">
        <f t="array" ref="J1052">IF(A1052=A1051,0,SUM(_xlfn._xlws.FILTER(G1052:G1072,(A1052:A1072=A1052)*((E1052:E1072&gt;0)))))</f>
        <v>0</v>
      </c>
    </row>
    <row r="1053" spans="9:10" x14ac:dyDescent="0.2">
      <c r="I1053" s="25">
        <f t="array" ref="I1053">IF(A1053=A1052,0,SUM(_xlfn._xlws.FILTER(G1053:G1073,(A1053:A1073=A1053)*((E1053:E1073&lt;0)))))</f>
        <v>0</v>
      </c>
      <c r="J1053" s="25">
        <f t="array" ref="J1053">IF(A1053=A1052,0,SUM(_xlfn._xlws.FILTER(G1053:G1073,(A1053:A1073=A1053)*((E1053:E1073&gt;0)))))</f>
        <v>0</v>
      </c>
    </row>
    <row r="1054" spans="9:10" x14ac:dyDescent="0.2">
      <c r="I1054" s="25">
        <f t="array" ref="I1054">IF(A1054=A1053,0,SUM(_xlfn._xlws.FILTER(G1054:G1074,(A1054:A1074=A1054)*((E1054:E1074&lt;0)))))</f>
        <v>0</v>
      </c>
      <c r="J1054" s="25">
        <f t="array" ref="J1054">IF(A1054=A1053,0,SUM(_xlfn._xlws.FILTER(G1054:G1074,(A1054:A1074=A1054)*((E1054:E1074&gt;0)))))</f>
        <v>0</v>
      </c>
    </row>
    <row r="1055" spans="9:10" x14ac:dyDescent="0.2">
      <c r="I1055" s="25">
        <f t="array" ref="I1055">IF(A1055=A1054,0,SUM(_xlfn._xlws.FILTER(G1055:G1075,(A1055:A1075=A1055)*((E1055:E1075&lt;0)))))</f>
        <v>0</v>
      </c>
      <c r="J1055" s="25">
        <f t="array" ref="J1055">IF(A1055=A1054,0,SUM(_xlfn._xlws.FILTER(G1055:G1075,(A1055:A1075=A1055)*((E1055:E1075&gt;0)))))</f>
        <v>0</v>
      </c>
    </row>
    <row r="1056" spans="9:10" x14ac:dyDescent="0.2">
      <c r="I1056" s="25">
        <f t="array" ref="I1056">IF(A1056=A1055,0,SUM(_xlfn._xlws.FILTER(G1056:G1076,(A1056:A1076=A1056)*((E1056:E1076&lt;0)))))</f>
        <v>0</v>
      </c>
      <c r="J1056" s="25">
        <f t="array" ref="J1056">IF(A1056=A1055,0,SUM(_xlfn._xlws.FILTER(G1056:G1076,(A1056:A1076=A1056)*((E1056:E1076&gt;0)))))</f>
        <v>0</v>
      </c>
    </row>
    <row r="1057" spans="9:10" x14ac:dyDescent="0.2">
      <c r="I1057" s="25">
        <f t="array" ref="I1057">IF(A1057=A1056,0,SUM(_xlfn._xlws.FILTER(G1057:G1077,(A1057:A1077=A1057)*((E1057:E1077&lt;0)))))</f>
        <v>0</v>
      </c>
      <c r="J1057" s="25">
        <f t="array" ref="J1057">IF(A1057=A1056,0,SUM(_xlfn._xlws.FILTER(G1057:G1077,(A1057:A1077=A1057)*((E1057:E1077&gt;0)))))</f>
        <v>0</v>
      </c>
    </row>
    <row r="1058" spans="9:10" x14ac:dyDescent="0.2">
      <c r="I1058" s="25">
        <f t="array" ref="I1058">IF(A1058=A1057,0,SUM(_xlfn._xlws.FILTER(G1058:G1078,(A1058:A1078=A1058)*((E1058:E1078&lt;0)))))</f>
        <v>0</v>
      </c>
      <c r="J1058" s="25">
        <f t="array" ref="J1058">IF(A1058=A1057,0,SUM(_xlfn._xlws.FILTER(G1058:G1078,(A1058:A1078=A1058)*((E1058:E1078&gt;0)))))</f>
        <v>0</v>
      </c>
    </row>
    <row r="1059" spans="9:10" x14ac:dyDescent="0.2">
      <c r="I1059" s="25">
        <f t="array" ref="I1059">IF(A1059=A1058,0,SUM(_xlfn._xlws.FILTER(G1059:G1079,(A1059:A1079=A1059)*((E1059:E1079&lt;0)))))</f>
        <v>0</v>
      </c>
      <c r="J1059" s="25">
        <f t="array" ref="J1059">IF(A1059=A1058,0,SUM(_xlfn._xlws.FILTER(G1059:G1079,(A1059:A1079=A1059)*((E1059:E1079&gt;0)))))</f>
        <v>0</v>
      </c>
    </row>
    <row r="1060" spans="9:10" x14ac:dyDescent="0.2">
      <c r="I1060" s="25">
        <f t="array" ref="I1060">IF(A1060=A1059,0,SUM(_xlfn._xlws.FILTER(G1060:G1080,(A1060:A1080=A1060)*((E1060:E1080&lt;0)))))</f>
        <v>0</v>
      </c>
      <c r="J1060" s="25">
        <f t="array" ref="J1060">IF(A1060=A1059,0,SUM(_xlfn._xlws.FILTER(G1060:G1080,(A1060:A1080=A1060)*((E1060:E1080&gt;0)))))</f>
        <v>0</v>
      </c>
    </row>
    <row r="1061" spans="9:10" x14ac:dyDescent="0.2">
      <c r="I1061" s="25">
        <f t="array" ref="I1061">IF(A1061=A1060,0,SUM(_xlfn._xlws.FILTER(G1061:G1081,(A1061:A1081=A1061)*((E1061:E1081&lt;0)))))</f>
        <v>0</v>
      </c>
      <c r="J1061" s="25">
        <f t="array" ref="J1061">IF(A1061=A1060,0,SUM(_xlfn._xlws.FILTER(G1061:G1081,(A1061:A1081=A1061)*((E1061:E1081&gt;0)))))</f>
        <v>0</v>
      </c>
    </row>
    <row r="1062" spans="9:10" x14ac:dyDescent="0.2">
      <c r="I1062" s="25">
        <f t="array" ref="I1062">IF(A1062=A1061,0,SUM(_xlfn._xlws.FILTER(G1062:G1082,(A1062:A1082=A1062)*((E1062:E1082&lt;0)))))</f>
        <v>0</v>
      </c>
      <c r="J1062" s="25">
        <f t="array" ref="J1062">IF(A1062=A1061,0,SUM(_xlfn._xlws.FILTER(G1062:G1082,(A1062:A1082=A1062)*((E1062:E1082&gt;0)))))</f>
        <v>0</v>
      </c>
    </row>
    <row r="1063" spans="9:10" x14ac:dyDescent="0.2">
      <c r="I1063" s="25">
        <f t="array" ref="I1063">IF(A1063=A1062,0,SUM(_xlfn._xlws.FILTER(G1063:G1083,(A1063:A1083=A1063)*((E1063:E1083&lt;0)))))</f>
        <v>0</v>
      </c>
      <c r="J1063" s="25">
        <f t="array" ref="J1063">IF(A1063=A1062,0,SUM(_xlfn._xlws.FILTER(G1063:G1083,(A1063:A1083=A1063)*((E1063:E1083&gt;0)))))</f>
        <v>0</v>
      </c>
    </row>
    <row r="1064" spans="9:10" x14ac:dyDescent="0.2">
      <c r="I1064" s="25">
        <f t="array" ref="I1064">IF(A1064=A1063,0,SUM(_xlfn._xlws.FILTER(G1064:G1084,(A1064:A1084=A1064)*((E1064:E1084&lt;0)))))</f>
        <v>0</v>
      </c>
      <c r="J1064" s="25">
        <f t="array" ref="J1064">IF(A1064=A1063,0,SUM(_xlfn._xlws.FILTER(G1064:G1084,(A1064:A1084=A1064)*((E1064:E1084&gt;0)))))</f>
        <v>0</v>
      </c>
    </row>
    <row r="1065" spans="9:10" x14ac:dyDescent="0.2">
      <c r="I1065" s="25">
        <f t="array" ref="I1065">IF(A1065=A1064,0,SUM(_xlfn._xlws.FILTER(G1065:G1085,(A1065:A1085=A1065)*((E1065:E1085&lt;0)))))</f>
        <v>0</v>
      </c>
      <c r="J1065" s="25">
        <f t="array" ref="J1065">IF(A1065=A1064,0,SUM(_xlfn._xlws.FILTER(G1065:G1085,(A1065:A1085=A1065)*((E1065:E1085&gt;0)))))</f>
        <v>0</v>
      </c>
    </row>
    <row r="1066" spans="9:10" x14ac:dyDescent="0.2">
      <c r="I1066" s="25">
        <f t="array" ref="I1066">IF(A1066=A1065,0,SUM(_xlfn._xlws.FILTER(G1066:G1086,(A1066:A1086=A1066)*((E1066:E1086&lt;0)))))</f>
        <v>0</v>
      </c>
      <c r="J1066" s="25">
        <f t="array" ref="J1066">IF(A1066=A1065,0,SUM(_xlfn._xlws.FILTER(G1066:G1086,(A1066:A1086=A1066)*((E1066:E1086&gt;0)))))</f>
        <v>0</v>
      </c>
    </row>
    <row r="1067" spans="9:10" x14ac:dyDescent="0.2">
      <c r="I1067" s="25">
        <f t="array" ref="I1067">IF(A1067=A1066,0,SUM(_xlfn._xlws.FILTER(G1067:G1087,(A1067:A1087=A1067)*((E1067:E1087&lt;0)))))</f>
        <v>0</v>
      </c>
      <c r="J1067" s="25">
        <f t="array" ref="J1067">IF(A1067=A1066,0,SUM(_xlfn._xlws.FILTER(G1067:G1087,(A1067:A1087=A1067)*((E1067:E1087&gt;0)))))</f>
        <v>0</v>
      </c>
    </row>
    <row r="1068" spans="9:10" x14ac:dyDescent="0.2">
      <c r="I1068" s="25">
        <f t="array" ref="I1068">IF(A1068=A1067,0,SUM(_xlfn._xlws.FILTER(G1068:G1088,(A1068:A1088=A1068)*((E1068:E1088&lt;0)))))</f>
        <v>0</v>
      </c>
      <c r="J1068" s="25">
        <f t="array" ref="J1068">IF(A1068=A1067,0,SUM(_xlfn._xlws.FILTER(G1068:G1088,(A1068:A1088=A1068)*((E1068:E1088&gt;0)))))</f>
        <v>0</v>
      </c>
    </row>
    <row r="1069" spans="9:10" x14ac:dyDescent="0.2">
      <c r="I1069" s="25">
        <f t="array" ref="I1069">IF(A1069=A1068,0,SUM(_xlfn._xlws.FILTER(G1069:G1089,(A1069:A1089=A1069)*((E1069:E1089&lt;0)))))</f>
        <v>0</v>
      </c>
      <c r="J1069" s="25">
        <f t="array" ref="J1069">IF(A1069=A1068,0,SUM(_xlfn._xlws.FILTER(G1069:G1089,(A1069:A1089=A1069)*((E1069:E1089&gt;0)))))</f>
        <v>0</v>
      </c>
    </row>
    <row r="1070" spans="9:10" x14ac:dyDescent="0.2">
      <c r="I1070" s="25">
        <f t="array" ref="I1070">IF(A1070=A1069,0,SUM(_xlfn._xlws.FILTER(G1070:G1090,(A1070:A1090=A1070)*((E1070:E1090&lt;0)))))</f>
        <v>0</v>
      </c>
      <c r="J1070" s="25">
        <f t="array" ref="J1070">IF(A1070=A1069,0,SUM(_xlfn._xlws.FILTER(G1070:G1090,(A1070:A1090=A1070)*((E1070:E1090&gt;0)))))</f>
        <v>0</v>
      </c>
    </row>
    <row r="1071" spans="9:10" x14ac:dyDescent="0.2">
      <c r="I1071" s="25">
        <f t="array" ref="I1071">IF(A1071=A1070,0,SUM(_xlfn._xlws.FILTER(G1071:G1091,(A1071:A1091=A1071)*((E1071:E1091&lt;0)))))</f>
        <v>0</v>
      </c>
      <c r="J1071" s="25">
        <f t="array" ref="J1071">IF(A1071=A1070,0,SUM(_xlfn._xlws.FILTER(G1071:G1091,(A1071:A1091=A1071)*((E1071:E1091&gt;0)))))</f>
        <v>0</v>
      </c>
    </row>
    <row r="1072" spans="9:10" x14ac:dyDescent="0.2">
      <c r="I1072" s="25">
        <f t="array" ref="I1072">IF(A1072=A1071,0,SUM(_xlfn._xlws.FILTER(G1072:G1092,(A1072:A1092=A1072)*((E1072:E1092&lt;0)))))</f>
        <v>0</v>
      </c>
      <c r="J1072" s="25">
        <f t="array" ref="J1072">IF(A1072=A1071,0,SUM(_xlfn._xlws.FILTER(G1072:G1092,(A1072:A1092=A1072)*((E1072:E1092&gt;0)))))</f>
        <v>0</v>
      </c>
    </row>
    <row r="1073" spans="9:10" x14ac:dyDescent="0.2">
      <c r="I1073" s="25">
        <f t="array" ref="I1073">IF(A1073=A1072,0,SUM(_xlfn._xlws.FILTER(G1073:G1093,(A1073:A1093=A1073)*((E1073:E1093&lt;0)))))</f>
        <v>0</v>
      </c>
      <c r="J1073" s="25">
        <f t="array" ref="J1073">IF(A1073=A1072,0,SUM(_xlfn._xlws.FILTER(G1073:G1093,(A1073:A1093=A1073)*((E1073:E1093&gt;0)))))</f>
        <v>0</v>
      </c>
    </row>
    <row r="1074" spans="9:10" x14ac:dyDescent="0.2">
      <c r="I1074" s="25">
        <f t="array" ref="I1074">IF(A1074=A1073,0,SUM(_xlfn._xlws.FILTER(G1074:G1094,(A1074:A1094=A1074)*((E1074:E1094&lt;0)))))</f>
        <v>0</v>
      </c>
      <c r="J1074" s="25">
        <f t="array" ref="J1074">IF(A1074=A1073,0,SUM(_xlfn._xlws.FILTER(G1074:G1094,(A1074:A1094=A1074)*((E1074:E1094&gt;0)))))</f>
        <v>0</v>
      </c>
    </row>
    <row r="1075" spans="9:10" x14ac:dyDescent="0.2">
      <c r="I1075" s="25">
        <f t="array" ref="I1075">IF(A1075=A1074,0,SUM(_xlfn._xlws.FILTER(G1075:G1095,(A1075:A1095=A1075)*((E1075:E1095&lt;0)))))</f>
        <v>0</v>
      </c>
      <c r="J1075" s="25">
        <f t="array" ref="J1075">IF(A1075=A1074,0,SUM(_xlfn._xlws.FILTER(G1075:G1095,(A1075:A1095=A1075)*((E1075:E1095&gt;0)))))</f>
        <v>0</v>
      </c>
    </row>
    <row r="1076" spans="9:10" x14ac:dyDescent="0.2">
      <c r="I1076" s="25">
        <f t="array" ref="I1076">IF(A1076=A1075,0,SUM(_xlfn._xlws.FILTER(G1076:G1096,(A1076:A1096=A1076)*((E1076:E1096&lt;0)))))</f>
        <v>0</v>
      </c>
      <c r="J1076" s="25">
        <f t="array" ref="J1076">IF(A1076=A1075,0,SUM(_xlfn._xlws.FILTER(G1076:G1096,(A1076:A1096=A1076)*((E1076:E1096&gt;0)))))</f>
        <v>0</v>
      </c>
    </row>
    <row r="1077" spans="9:10" x14ac:dyDescent="0.2">
      <c r="I1077" s="25">
        <f t="array" ref="I1077">IF(A1077=A1076,0,SUM(_xlfn._xlws.FILTER(G1077:G1097,(A1077:A1097=A1077)*((E1077:E1097&lt;0)))))</f>
        <v>0</v>
      </c>
      <c r="J1077" s="25">
        <f t="array" ref="J1077">IF(A1077=A1076,0,SUM(_xlfn._xlws.FILTER(G1077:G1097,(A1077:A1097=A1077)*((E1077:E1097&gt;0)))))</f>
        <v>0</v>
      </c>
    </row>
    <row r="1078" spans="9:10" x14ac:dyDescent="0.2">
      <c r="I1078" s="25">
        <f t="array" ref="I1078">IF(A1078=A1077,0,SUM(_xlfn._xlws.FILTER(G1078:G1098,(A1078:A1098=A1078)*((E1078:E1098&lt;0)))))</f>
        <v>0</v>
      </c>
      <c r="J1078" s="25">
        <f t="array" ref="J1078">IF(A1078=A1077,0,SUM(_xlfn._xlws.FILTER(G1078:G1098,(A1078:A1098=A1078)*((E1078:E1098&gt;0)))))</f>
        <v>0</v>
      </c>
    </row>
    <row r="1079" spans="9:10" x14ac:dyDescent="0.2">
      <c r="I1079" s="25">
        <f t="array" ref="I1079">IF(A1079=A1078,0,SUM(_xlfn._xlws.FILTER(G1079:G1099,(A1079:A1099=A1079)*((E1079:E1099&lt;0)))))</f>
        <v>0</v>
      </c>
      <c r="J1079" s="25">
        <f t="array" ref="J1079">IF(A1079=A1078,0,SUM(_xlfn._xlws.FILTER(G1079:G1099,(A1079:A1099=A1079)*((E1079:E1099&gt;0)))))</f>
        <v>0</v>
      </c>
    </row>
    <row r="1080" spans="9:10" x14ac:dyDescent="0.2">
      <c r="I1080" s="25">
        <f t="array" ref="I1080">IF(A1080=A1079,0,SUM(_xlfn._xlws.FILTER(G1080:G1100,(A1080:A1100=A1080)*((E1080:E1100&lt;0)))))</f>
        <v>0</v>
      </c>
      <c r="J1080" s="25">
        <f t="array" ref="J1080">IF(A1080=A1079,0,SUM(_xlfn._xlws.FILTER(G1080:G1100,(A1080:A1100=A1080)*((E1080:E1100&gt;0)))))</f>
        <v>0</v>
      </c>
    </row>
    <row r="1081" spans="9:10" x14ac:dyDescent="0.2">
      <c r="I1081" s="25">
        <f t="array" ref="I1081">IF(A1081=A1080,0,SUM(_xlfn._xlws.FILTER(G1081:G1101,(A1081:A1101=A1081)*((E1081:E1101&lt;0)))))</f>
        <v>0</v>
      </c>
      <c r="J1081" s="25">
        <f t="array" ref="J1081">IF(A1081=A1080,0,SUM(_xlfn._xlws.FILTER(G1081:G1101,(A1081:A1101=A1081)*((E1081:E1101&gt;0)))))</f>
        <v>0</v>
      </c>
    </row>
    <row r="1082" spans="9:10" x14ac:dyDescent="0.2">
      <c r="I1082" s="25">
        <f t="array" ref="I1082">IF(A1082=A1081,0,SUM(_xlfn._xlws.FILTER(G1082:G1102,(A1082:A1102=A1082)*((E1082:E1102&lt;0)))))</f>
        <v>0</v>
      </c>
      <c r="J1082" s="25">
        <f t="array" ref="J1082">IF(A1082=A1081,0,SUM(_xlfn._xlws.FILTER(G1082:G1102,(A1082:A1102=A1082)*((E1082:E1102&gt;0)))))</f>
        <v>0</v>
      </c>
    </row>
    <row r="1083" spans="9:10" x14ac:dyDescent="0.2">
      <c r="I1083" s="25">
        <f t="array" ref="I1083">IF(A1083=A1082,0,SUM(_xlfn._xlws.FILTER(G1083:G1103,(A1083:A1103=A1083)*((E1083:E1103&lt;0)))))</f>
        <v>0</v>
      </c>
      <c r="J1083" s="25">
        <f t="array" ref="J1083">IF(A1083=A1082,0,SUM(_xlfn._xlws.FILTER(G1083:G1103,(A1083:A1103=A1083)*((E1083:E1103&gt;0)))))</f>
        <v>0</v>
      </c>
    </row>
    <row r="1084" spans="9:10" x14ac:dyDescent="0.2">
      <c r="I1084" s="25">
        <f t="array" ref="I1084">IF(A1084=A1083,0,SUM(_xlfn._xlws.FILTER(G1084:G1104,(A1084:A1104=A1084)*((E1084:E1104&lt;0)))))</f>
        <v>0</v>
      </c>
      <c r="J1084" s="25">
        <f t="array" ref="J1084">IF(A1084=A1083,0,SUM(_xlfn._xlws.FILTER(G1084:G1104,(A1084:A1104=A1084)*((E1084:E1104&gt;0)))))</f>
        <v>0</v>
      </c>
    </row>
    <row r="1085" spans="9:10" x14ac:dyDescent="0.2">
      <c r="I1085" s="25">
        <f t="array" ref="I1085">IF(A1085=A1084,0,SUM(_xlfn._xlws.FILTER(G1085:G1105,(A1085:A1105=A1085)*((E1085:E1105&lt;0)))))</f>
        <v>0</v>
      </c>
      <c r="J1085" s="25">
        <f t="array" ref="J1085">IF(A1085=A1084,0,SUM(_xlfn._xlws.FILTER(G1085:G1105,(A1085:A1105=A1085)*((E1085:E1105&gt;0)))))</f>
        <v>0</v>
      </c>
    </row>
    <row r="1086" spans="9:10" x14ac:dyDescent="0.2">
      <c r="I1086" s="25">
        <f t="array" ref="I1086">IF(A1086=A1085,0,SUM(_xlfn._xlws.FILTER(G1086:G1106,(A1086:A1106=A1086)*((E1086:E1106&lt;0)))))</f>
        <v>0</v>
      </c>
      <c r="J1086" s="25">
        <f t="array" ref="J1086">IF(A1086=A1085,0,SUM(_xlfn._xlws.FILTER(G1086:G1106,(A1086:A1106=A1086)*((E1086:E1106&gt;0)))))</f>
        <v>0</v>
      </c>
    </row>
    <row r="1087" spans="9:10" x14ac:dyDescent="0.2">
      <c r="I1087" s="25">
        <f t="array" ref="I1087">IF(A1087=A1086,0,SUM(_xlfn._xlws.FILTER(G1087:G1107,(A1087:A1107=A1087)*((E1087:E1107&lt;0)))))</f>
        <v>0</v>
      </c>
      <c r="J1087" s="25">
        <f t="array" ref="J1087">IF(A1087=A1086,0,SUM(_xlfn._xlws.FILTER(G1087:G1107,(A1087:A1107=A1087)*((E1087:E1107&gt;0)))))</f>
        <v>0</v>
      </c>
    </row>
    <row r="1088" spans="9:10" x14ac:dyDescent="0.2">
      <c r="I1088" s="25">
        <f t="array" ref="I1088">IF(A1088=A1087,0,SUM(_xlfn._xlws.FILTER(G1088:G1108,(A1088:A1108=A1088)*((E1088:E1108&lt;0)))))</f>
        <v>0</v>
      </c>
      <c r="J1088" s="25">
        <f t="array" ref="J1088">IF(A1088=A1087,0,SUM(_xlfn._xlws.FILTER(G1088:G1108,(A1088:A1108=A1088)*((E1088:E1108&gt;0)))))</f>
        <v>0</v>
      </c>
    </row>
    <row r="1089" spans="9:10" x14ac:dyDescent="0.2">
      <c r="I1089" s="25">
        <f t="array" ref="I1089">IF(A1089=A1088,0,SUM(_xlfn._xlws.FILTER(G1089:G1109,(A1089:A1109=A1089)*((E1089:E1109&lt;0)))))</f>
        <v>0</v>
      </c>
      <c r="J1089" s="25">
        <f t="array" ref="J1089">IF(A1089=A1088,0,SUM(_xlfn._xlws.FILTER(G1089:G1109,(A1089:A1109=A1089)*((E1089:E1109&gt;0)))))</f>
        <v>0</v>
      </c>
    </row>
    <row r="1090" spans="9:10" x14ac:dyDescent="0.2">
      <c r="I1090" s="25">
        <f t="array" ref="I1090">IF(A1090=A1089,0,SUM(_xlfn._xlws.FILTER(G1090:G1110,(A1090:A1110=A1090)*((E1090:E1110&lt;0)))))</f>
        <v>0</v>
      </c>
      <c r="J1090" s="25">
        <f t="array" ref="J1090">IF(A1090=A1089,0,SUM(_xlfn._xlws.FILTER(G1090:G1110,(A1090:A1110=A1090)*((E1090:E1110&gt;0)))))</f>
        <v>0</v>
      </c>
    </row>
    <row r="1091" spans="9:10" x14ac:dyDescent="0.2">
      <c r="I1091" s="25">
        <f t="array" ref="I1091">IF(A1091=A1090,0,SUM(_xlfn._xlws.FILTER(G1091:G1111,(A1091:A1111=A1091)*((E1091:E1111&lt;0)))))</f>
        <v>0</v>
      </c>
      <c r="J1091" s="25">
        <f t="array" ref="J1091">IF(A1091=A1090,0,SUM(_xlfn._xlws.FILTER(G1091:G1111,(A1091:A1111=A1091)*((E1091:E1111&gt;0)))))</f>
        <v>0</v>
      </c>
    </row>
    <row r="1092" spans="9:10" x14ac:dyDescent="0.2">
      <c r="I1092" s="25">
        <f t="array" ref="I1092">IF(A1092=A1091,0,SUM(_xlfn._xlws.FILTER(G1092:G1112,(A1092:A1112=A1092)*((E1092:E1112&lt;0)))))</f>
        <v>0</v>
      </c>
      <c r="J1092" s="25">
        <f t="array" ref="J1092">IF(A1092=A1091,0,SUM(_xlfn._xlws.FILTER(G1092:G1112,(A1092:A1112=A1092)*((E1092:E1112&gt;0)))))</f>
        <v>0</v>
      </c>
    </row>
    <row r="1093" spans="9:10" x14ac:dyDescent="0.2">
      <c r="I1093" s="25">
        <f t="array" ref="I1093">IF(A1093=A1092,0,SUM(_xlfn._xlws.FILTER(G1093:G1113,(A1093:A1113=A1093)*((E1093:E1113&lt;0)))))</f>
        <v>0</v>
      </c>
      <c r="J1093" s="25">
        <f t="array" ref="J1093">IF(A1093=A1092,0,SUM(_xlfn._xlws.FILTER(G1093:G1113,(A1093:A1113=A1093)*((E1093:E1113&gt;0)))))</f>
        <v>0</v>
      </c>
    </row>
    <row r="1094" spans="9:10" x14ac:dyDescent="0.2">
      <c r="I1094" s="25">
        <f t="array" ref="I1094">IF(A1094=A1093,0,SUM(_xlfn._xlws.FILTER(G1094:G1114,(A1094:A1114=A1094)*((E1094:E1114&lt;0)))))</f>
        <v>0</v>
      </c>
      <c r="J1094" s="25">
        <f t="array" ref="J1094">IF(A1094=A1093,0,SUM(_xlfn._xlws.FILTER(G1094:G1114,(A1094:A1114=A1094)*((E1094:E1114&gt;0)))))</f>
        <v>0</v>
      </c>
    </row>
    <row r="1095" spans="9:10" x14ac:dyDescent="0.2">
      <c r="I1095" s="25">
        <f t="array" ref="I1095">IF(A1095=A1094,0,SUM(_xlfn._xlws.FILTER(G1095:G1115,(A1095:A1115=A1095)*((E1095:E1115&lt;0)))))</f>
        <v>0</v>
      </c>
      <c r="J1095" s="25">
        <f t="array" ref="J1095">IF(A1095=A1094,0,SUM(_xlfn._xlws.FILTER(G1095:G1115,(A1095:A1115=A1095)*((E1095:E1115&gt;0)))))</f>
        <v>0</v>
      </c>
    </row>
    <row r="1096" spans="9:10" x14ac:dyDescent="0.2">
      <c r="I1096" s="25">
        <f t="array" ref="I1096">IF(A1096=A1095,0,SUM(_xlfn._xlws.FILTER(G1096:G1116,(A1096:A1116=A1096)*((E1096:E1116&lt;0)))))</f>
        <v>0</v>
      </c>
      <c r="J1096" s="25">
        <f t="array" ref="J1096">IF(A1096=A1095,0,SUM(_xlfn._xlws.FILTER(G1096:G1116,(A1096:A1116=A1096)*((E1096:E1116&gt;0)))))</f>
        <v>0</v>
      </c>
    </row>
    <row r="1097" spans="9:10" x14ac:dyDescent="0.2">
      <c r="I1097" s="25">
        <f t="array" ref="I1097">IF(A1097=A1096,0,SUM(_xlfn._xlws.FILTER(G1097:G1117,(A1097:A1117=A1097)*((E1097:E1117&lt;0)))))</f>
        <v>0</v>
      </c>
      <c r="J1097" s="25">
        <f t="array" ref="J1097">IF(A1097=A1096,0,SUM(_xlfn._xlws.FILTER(G1097:G1117,(A1097:A1117=A1097)*((E1097:E1117&gt;0)))))</f>
        <v>0</v>
      </c>
    </row>
    <row r="1098" spans="9:10" x14ac:dyDescent="0.2">
      <c r="I1098" s="25">
        <f t="array" ref="I1098">IF(A1098=A1097,0,SUM(_xlfn._xlws.FILTER(G1098:G1118,(A1098:A1118=A1098)*((E1098:E1118&lt;0)))))</f>
        <v>0</v>
      </c>
      <c r="J1098" s="25">
        <f t="array" ref="J1098">IF(A1098=A1097,0,SUM(_xlfn._xlws.FILTER(G1098:G1118,(A1098:A1118=A1098)*((E1098:E1118&gt;0)))))</f>
        <v>0</v>
      </c>
    </row>
    <row r="1099" spans="9:10" x14ac:dyDescent="0.2">
      <c r="I1099" s="25">
        <f t="array" ref="I1099">IF(A1099=A1098,0,SUM(_xlfn._xlws.FILTER(G1099:G1119,(A1099:A1119=A1099)*((E1099:E1119&lt;0)))))</f>
        <v>0</v>
      </c>
      <c r="J1099" s="25">
        <f t="array" ref="J1099">IF(A1099=A1098,0,SUM(_xlfn._xlws.FILTER(G1099:G1119,(A1099:A1119=A1099)*((E1099:E1119&gt;0)))))</f>
        <v>0</v>
      </c>
    </row>
    <row r="1100" spans="9:10" x14ac:dyDescent="0.2">
      <c r="I1100" s="25">
        <f t="array" ref="I1100">IF(A1100=A1099,0,SUM(_xlfn._xlws.FILTER(G1100:G1120,(A1100:A1120=A1100)*((E1100:E1120&lt;0)))))</f>
        <v>0</v>
      </c>
      <c r="J1100" s="25">
        <f t="array" ref="J1100">IF(A1100=A1099,0,SUM(_xlfn._xlws.FILTER(G1100:G1120,(A1100:A1120=A1100)*((E1100:E1120&gt;0)))))</f>
        <v>0</v>
      </c>
    </row>
    <row r="1101" spans="9:10" x14ac:dyDescent="0.2">
      <c r="I1101" s="25">
        <f t="array" ref="I1101">IF(A1101=A1100,0,SUM(_xlfn._xlws.FILTER(G1101:G1121,(A1101:A1121=A1101)*((E1101:E1121&lt;0)))))</f>
        <v>0</v>
      </c>
      <c r="J1101" s="25">
        <f t="array" ref="J1101">IF(A1101=A1100,0,SUM(_xlfn._xlws.FILTER(G1101:G1121,(A1101:A1121=A1101)*((E1101:E1121&gt;0)))))</f>
        <v>0</v>
      </c>
    </row>
    <row r="1102" spans="9:10" x14ac:dyDescent="0.2">
      <c r="I1102" s="25">
        <f t="array" ref="I1102">IF(A1102=A1101,0,SUM(_xlfn._xlws.FILTER(G1102:G1122,(A1102:A1122=A1102)*((E1102:E1122&lt;0)))))</f>
        <v>0</v>
      </c>
      <c r="J1102" s="25">
        <f t="array" ref="J1102">IF(A1102=A1101,0,SUM(_xlfn._xlws.FILTER(G1102:G1122,(A1102:A1122=A1102)*((E1102:E1122&gt;0)))))</f>
        <v>0</v>
      </c>
    </row>
    <row r="1103" spans="9:10" x14ac:dyDescent="0.2">
      <c r="I1103" s="25">
        <f t="array" ref="I1103">IF(A1103=A1102,0,SUM(_xlfn._xlws.FILTER(G1103:G1123,(A1103:A1123=A1103)*((E1103:E1123&lt;0)))))</f>
        <v>0</v>
      </c>
      <c r="J1103" s="25">
        <f t="array" ref="J1103">IF(A1103=A1102,0,SUM(_xlfn._xlws.FILTER(G1103:G1123,(A1103:A1123=A1103)*((E1103:E1123&gt;0)))))</f>
        <v>0</v>
      </c>
    </row>
    <row r="1104" spans="9:10" x14ac:dyDescent="0.2">
      <c r="I1104" s="25">
        <f t="array" ref="I1104">IF(A1104=A1103,0,SUM(_xlfn._xlws.FILTER(G1104:G1124,(A1104:A1124=A1104)*((E1104:E1124&lt;0)))))</f>
        <v>0</v>
      </c>
      <c r="J1104" s="25">
        <f t="array" ref="J1104">IF(A1104=A1103,0,SUM(_xlfn._xlws.FILTER(G1104:G1124,(A1104:A1124=A1104)*((E1104:E1124&gt;0)))))</f>
        <v>0</v>
      </c>
    </row>
    <row r="1105" spans="9:10" x14ac:dyDescent="0.2">
      <c r="I1105" s="25">
        <f t="array" ref="I1105">IF(A1105=A1104,0,SUM(_xlfn._xlws.FILTER(G1105:G1125,(A1105:A1125=A1105)*((E1105:E1125&lt;0)))))</f>
        <v>0</v>
      </c>
      <c r="J1105" s="25">
        <f t="array" ref="J1105">IF(A1105=A1104,0,SUM(_xlfn._xlws.FILTER(G1105:G1125,(A1105:A1125=A1105)*((E1105:E1125&gt;0)))))</f>
        <v>0</v>
      </c>
    </row>
    <row r="1106" spans="9:10" x14ac:dyDescent="0.2">
      <c r="I1106" s="25">
        <f t="array" ref="I1106">IF(A1106=A1105,0,SUM(_xlfn._xlws.FILTER(G1106:G1126,(A1106:A1126=A1106)*((E1106:E1126&lt;0)))))</f>
        <v>0</v>
      </c>
      <c r="J1106" s="25">
        <f t="array" ref="J1106">IF(A1106=A1105,0,SUM(_xlfn._xlws.FILTER(G1106:G1126,(A1106:A1126=A1106)*((E1106:E1126&gt;0)))))</f>
        <v>0</v>
      </c>
    </row>
    <row r="1107" spans="9:10" x14ac:dyDescent="0.2">
      <c r="I1107" s="25">
        <f t="array" ref="I1107">IF(A1107=A1106,0,SUM(_xlfn._xlws.FILTER(G1107:G1127,(A1107:A1127=A1107)*((E1107:E1127&lt;0)))))</f>
        <v>0</v>
      </c>
      <c r="J1107" s="25">
        <f t="array" ref="J1107">IF(A1107=A1106,0,SUM(_xlfn._xlws.FILTER(G1107:G1127,(A1107:A1127=A1107)*((E1107:E1127&gt;0)))))</f>
        <v>0</v>
      </c>
    </row>
    <row r="1108" spans="9:10" x14ac:dyDescent="0.2">
      <c r="I1108" s="25">
        <f t="array" ref="I1108">IF(A1108=A1107,0,SUM(_xlfn._xlws.FILTER(G1108:G1128,(A1108:A1128=A1108)*((E1108:E1128&lt;0)))))</f>
        <v>0</v>
      </c>
      <c r="J1108" s="25">
        <f t="array" ref="J1108">IF(A1108=A1107,0,SUM(_xlfn._xlws.FILTER(G1108:G1128,(A1108:A1128=A1108)*((E1108:E1128&gt;0)))))</f>
        <v>0</v>
      </c>
    </row>
    <row r="1109" spans="9:10" x14ac:dyDescent="0.2">
      <c r="I1109" s="25">
        <f t="array" ref="I1109">IF(A1109=A1108,0,SUM(_xlfn._xlws.FILTER(G1109:G1129,(A1109:A1129=A1109)*((E1109:E1129&lt;0)))))</f>
        <v>0</v>
      </c>
      <c r="J1109" s="25">
        <f t="array" ref="J1109">IF(A1109=A1108,0,SUM(_xlfn._xlws.FILTER(G1109:G1129,(A1109:A1129=A1109)*((E1109:E1129&gt;0)))))</f>
        <v>0</v>
      </c>
    </row>
    <row r="1110" spans="9:10" x14ac:dyDescent="0.2">
      <c r="I1110" s="25">
        <f t="array" ref="I1110">IF(A1110=A1109,0,SUM(_xlfn._xlws.FILTER(G1110:G1130,(A1110:A1130=A1110)*((E1110:E1130&lt;0)))))</f>
        <v>0</v>
      </c>
      <c r="J1110" s="25">
        <f t="array" ref="J1110">IF(A1110=A1109,0,SUM(_xlfn._xlws.FILTER(G1110:G1130,(A1110:A1130=A1110)*((E1110:E1130&gt;0)))))</f>
        <v>0</v>
      </c>
    </row>
    <row r="1111" spans="9:10" x14ac:dyDescent="0.2">
      <c r="I1111" s="25">
        <f t="array" ref="I1111">IF(A1111=A1110,0,SUM(_xlfn._xlws.FILTER(G1111:G1131,(A1111:A1131=A1111)*((E1111:E1131&lt;0)))))</f>
        <v>0</v>
      </c>
      <c r="J1111" s="25">
        <f t="array" ref="J1111">IF(A1111=A1110,0,SUM(_xlfn._xlws.FILTER(G1111:G1131,(A1111:A1131=A1111)*((E1111:E1131&gt;0)))))</f>
        <v>0</v>
      </c>
    </row>
    <row r="1112" spans="9:10" x14ac:dyDescent="0.2">
      <c r="I1112" s="25">
        <f t="array" ref="I1112">IF(A1112=A1111,0,SUM(_xlfn._xlws.FILTER(G1112:G1132,(A1112:A1132=A1112)*((E1112:E1132&lt;0)))))</f>
        <v>0</v>
      </c>
      <c r="J1112" s="25">
        <f t="array" ref="J1112">IF(A1112=A1111,0,SUM(_xlfn._xlws.FILTER(G1112:G1132,(A1112:A1132=A1112)*((E1112:E1132&gt;0)))))</f>
        <v>0</v>
      </c>
    </row>
    <row r="1113" spans="9:10" x14ac:dyDescent="0.2">
      <c r="I1113" s="25">
        <f t="array" ref="I1113">IF(A1113=A1112,0,SUM(_xlfn._xlws.FILTER(G1113:G1133,(A1113:A1133=A1113)*((E1113:E1133&lt;0)))))</f>
        <v>0</v>
      </c>
      <c r="J1113" s="25">
        <f t="array" ref="J1113">IF(A1113=A1112,0,SUM(_xlfn._xlws.FILTER(G1113:G1133,(A1113:A1133=A1113)*((E1113:E1133&gt;0)))))</f>
        <v>0</v>
      </c>
    </row>
    <row r="1114" spans="9:10" x14ac:dyDescent="0.2">
      <c r="I1114" s="25">
        <f t="array" ref="I1114">IF(A1114=A1113,0,SUM(_xlfn._xlws.FILTER(G1114:G1134,(A1114:A1134=A1114)*((E1114:E1134&lt;0)))))</f>
        <v>0</v>
      </c>
      <c r="J1114" s="25">
        <f t="array" ref="J1114">IF(A1114=A1113,0,SUM(_xlfn._xlws.FILTER(G1114:G1134,(A1114:A1134=A1114)*((E1114:E1134&gt;0)))))</f>
        <v>0</v>
      </c>
    </row>
    <row r="1115" spans="9:10" x14ac:dyDescent="0.2">
      <c r="I1115" s="25">
        <f t="array" ref="I1115">IF(A1115=A1114,0,SUM(_xlfn._xlws.FILTER(G1115:G1135,(A1115:A1135=A1115)*((E1115:E1135&lt;0)))))</f>
        <v>0</v>
      </c>
      <c r="J1115" s="25">
        <f t="array" ref="J1115">IF(A1115=A1114,0,SUM(_xlfn._xlws.FILTER(G1115:G1135,(A1115:A1135=A1115)*((E1115:E1135&gt;0)))))</f>
        <v>0</v>
      </c>
    </row>
    <row r="1116" spans="9:10" x14ac:dyDescent="0.2">
      <c r="I1116" s="25">
        <f t="array" ref="I1116">IF(A1116=A1115,0,SUM(_xlfn._xlws.FILTER(G1116:G1136,(A1116:A1136=A1116)*((E1116:E1136&lt;0)))))</f>
        <v>0</v>
      </c>
      <c r="J1116" s="25">
        <f t="array" ref="J1116">IF(A1116=A1115,0,SUM(_xlfn._xlws.FILTER(G1116:G1136,(A1116:A1136=A1116)*((E1116:E1136&gt;0)))))</f>
        <v>0</v>
      </c>
    </row>
    <row r="1117" spans="9:10" x14ac:dyDescent="0.2">
      <c r="I1117" s="25">
        <f t="array" ref="I1117">IF(A1117=A1116,0,SUM(_xlfn._xlws.FILTER(G1117:G1137,(A1117:A1137=A1117)*((E1117:E1137&lt;0)))))</f>
        <v>0</v>
      </c>
      <c r="J1117" s="25">
        <f t="array" ref="J1117">IF(A1117=A1116,0,SUM(_xlfn._xlws.FILTER(G1117:G1137,(A1117:A1137=A1117)*((E1117:E1137&gt;0)))))</f>
        <v>0</v>
      </c>
    </row>
    <row r="1118" spans="9:10" x14ac:dyDescent="0.2">
      <c r="I1118" s="25">
        <f t="array" ref="I1118">IF(A1118=A1117,0,SUM(_xlfn._xlws.FILTER(G1118:G1138,(A1118:A1138=A1118)*((E1118:E1138&lt;0)))))</f>
        <v>0</v>
      </c>
      <c r="J1118" s="25">
        <f t="array" ref="J1118">IF(A1118=A1117,0,SUM(_xlfn._xlws.FILTER(G1118:G1138,(A1118:A1138=A1118)*((E1118:E1138&gt;0)))))</f>
        <v>0</v>
      </c>
    </row>
    <row r="1119" spans="9:10" x14ac:dyDescent="0.2">
      <c r="I1119" s="25">
        <f t="array" ref="I1119">IF(A1119=A1118,0,SUM(_xlfn._xlws.FILTER(G1119:G1139,(A1119:A1139=A1119)*((E1119:E1139&lt;0)))))</f>
        <v>0</v>
      </c>
      <c r="J1119" s="25">
        <f t="array" ref="J1119">IF(A1119=A1118,0,SUM(_xlfn._xlws.FILTER(G1119:G1139,(A1119:A1139=A1119)*((E1119:E1139&gt;0)))))</f>
        <v>0</v>
      </c>
    </row>
    <row r="1120" spans="9:10" x14ac:dyDescent="0.2">
      <c r="I1120" s="25">
        <f t="array" ref="I1120">IF(A1120=A1119,0,SUM(_xlfn._xlws.FILTER(G1120:G1140,(A1120:A1140=A1120)*((E1120:E1140&lt;0)))))</f>
        <v>0</v>
      </c>
      <c r="J1120" s="25">
        <f t="array" ref="J1120">IF(A1120=A1119,0,SUM(_xlfn._xlws.FILTER(G1120:G1140,(A1120:A1140=A1120)*((E1120:E1140&gt;0)))))</f>
        <v>0</v>
      </c>
    </row>
    <row r="1121" spans="9:10" x14ac:dyDescent="0.2">
      <c r="I1121" s="25">
        <f t="array" ref="I1121">IF(A1121=A1120,0,SUM(_xlfn._xlws.FILTER(G1121:G1141,(A1121:A1141=A1121)*((E1121:E1141&lt;0)))))</f>
        <v>0</v>
      </c>
      <c r="J1121" s="25">
        <f t="array" ref="J1121">IF(A1121=A1120,0,SUM(_xlfn._xlws.FILTER(G1121:G1141,(A1121:A1141=A1121)*((E1121:E1141&gt;0)))))</f>
        <v>0</v>
      </c>
    </row>
    <row r="1122" spans="9:10" x14ac:dyDescent="0.2">
      <c r="I1122" s="25">
        <f t="array" ref="I1122">IF(A1122=A1121,0,SUM(_xlfn._xlws.FILTER(G1122:G1142,(A1122:A1142=A1122)*((E1122:E1142&lt;0)))))</f>
        <v>0</v>
      </c>
      <c r="J1122" s="25">
        <f t="array" ref="J1122">IF(A1122=A1121,0,SUM(_xlfn._xlws.FILTER(G1122:G1142,(A1122:A1142=A1122)*((E1122:E1142&gt;0)))))</f>
        <v>0</v>
      </c>
    </row>
    <row r="1123" spans="9:10" x14ac:dyDescent="0.2">
      <c r="I1123" s="25">
        <f t="array" ref="I1123">IF(A1123=A1122,0,SUM(_xlfn._xlws.FILTER(G1123:G1143,(A1123:A1143=A1123)*((E1123:E1143&lt;0)))))</f>
        <v>0</v>
      </c>
      <c r="J1123" s="25">
        <f t="array" ref="J1123">IF(A1123=A1122,0,SUM(_xlfn._xlws.FILTER(G1123:G1143,(A1123:A1143=A1123)*((E1123:E1143&gt;0)))))</f>
        <v>0</v>
      </c>
    </row>
    <row r="1124" spans="9:10" x14ac:dyDescent="0.2">
      <c r="I1124" s="25">
        <f t="array" ref="I1124">IF(A1124=A1123,0,SUM(_xlfn._xlws.FILTER(G1124:G1144,(A1124:A1144=A1124)*((E1124:E1144&lt;0)))))</f>
        <v>0</v>
      </c>
      <c r="J1124" s="25">
        <f t="array" ref="J1124">IF(A1124=A1123,0,SUM(_xlfn._xlws.FILTER(G1124:G1144,(A1124:A1144=A1124)*((E1124:E1144&gt;0)))))</f>
        <v>0</v>
      </c>
    </row>
    <row r="1125" spans="9:10" x14ac:dyDescent="0.2">
      <c r="I1125" s="25">
        <f t="array" ref="I1125">IF(A1125=A1124,0,SUM(_xlfn._xlws.FILTER(G1125:G1145,(A1125:A1145=A1125)*((E1125:E1145&lt;0)))))</f>
        <v>0</v>
      </c>
      <c r="J1125" s="25">
        <f t="array" ref="J1125">IF(A1125=A1124,0,SUM(_xlfn._xlws.FILTER(G1125:G1145,(A1125:A1145=A1125)*((E1125:E1145&gt;0)))))</f>
        <v>0</v>
      </c>
    </row>
    <row r="1126" spans="9:10" x14ac:dyDescent="0.2">
      <c r="I1126" s="25">
        <f t="array" ref="I1126">IF(A1126=A1125,0,SUM(_xlfn._xlws.FILTER(G1126:G1146,(A1126:A1146=A1126)*((E1126:E1146&lt;0)))))</f>
        <v>0</v>
      </c>
      <c r="J1126" s="25">
        <f t="array" ref="J1126">IF(A1126=A1125,0,SUM(_xlfn._xlws.FILTER(G1126:G1146,(A1126:A1146=A1126)*((E1126:E1146&gt;0)))))</f>
        <v>0</v>
      </c>
    </row>
    <row r="1127" spans="9:10" x14ac:dyDescent="0.2">
      <c r="I1127" s="25">
        <f t="array" ref="I1127">IF(A1127=A1126,0,SUM(_xlfn._xlws.FILTER(G1127:G1147,(A1127:A1147=A1127)*((E1127:E1147&lt;0)))))</f>
        <v>0</v>
      </c>
      <c r="J1127" s="25">
        <f t="array" ref="J1127">IF(A1127=A1126,0,SUM(_xlfn._xlws.FILTER(G1127:G1147,(A1127:A1147=A1127)*((E1127:E1147&gt;0)))))</f>
        <v>0</v>
      </c>
    </row>
    <row r="1128" spans="9:10" x14ac:dyDescent="0.2">
      <c r="I1128" s="25">
        <f t="array" ref="I1128">IF(A1128=A1127,0,SUM(_xlfn._xlws.FILTER(G1128:G1148,(A1128:A1148=A1128)*((E1128:E1148&lt;0)))))</f>
        <v>0</v>
      </c>
      <c r="J1128" s="25">
        <f t="array" ref="J1128">IF(A1128=A1127,0,SUM(_xlfn._xlws.FILTER(G1128:G1148,(A1128:A1148=A1128)*((E1128:E1148&gt;0)))))</f>
        <v>0</v>
      </c>
    </row>
    <row r="1129" spans="9:10" x14ac:dyDescent="0.2">
      <c r="I1129" s="25">
        <f t="array" ref="I1129">IF(A1129=A1128,0,SUM(_xlfn._xlws.FILTER(G1129:G1149,(A1129:A1149=A1129)*((E1129:E1149&lt;0)))))</f>
        <v>0</v>
      </c>
      <c r="J1129" s="25">
        <f t="array" ref="J1129">IF(A1129=A1128,0,SUM(_xlfn._xlws.FILTER(G1129:G1149,(A1129:A1149=A1129)*((E1129:E1149&gt;0)))))</f>
        <v>0</v>
      </c>
    </row>
    <row r="1130" spans="9:10" x14ac:dyDescent="0.2">
      <c r="I1130" s="25">
        <f t="array" ref="I1130">IF(A1130=A1129,0,SUM(_xlfn._xlws.FILTER(G1130:G1150,(A1130:A1150=A1130)*((E1130:E1150&lt;0)))))</f>
        <v>0</v>
      </c>
      <c r="J1130" s="25">
        <f t="array" ref="J1130">IF(A1130=A1129,0,SUM(_xlfn._xlws.FILTER(G1130:G1150,(A1130:A1150=A1130)*((E1130:E1150&gt;0)))))</f>
        <v>0</v>
      </c>
    </row>
    <row r="1131" spans="9:10" x14ac:dyDescent="0.2">
      <c r="I1131" s="25">
        <f t="array" ref="I1131">IF(A1131=A1130,0,SUM(_xlfn._xlws.FILTER(G1131:G1151,(A1131:A1151=A1131)*((E1131:E1151&lt;0)))))</f>
        <v>0</v>
      </c>
      <c r="J1131" s="25">
        <f t="array" ref="J1131">IF(A1131=A1130,0,SUM(_xlfn._xlws.FILTER(G1131:G1151,(A1131:A1151=A1131)*((E1131:E1151&gt;0)))))</f>
        <v>0</v>
      </c>
    </row>
    <row r="1132" spans="9:10" x14ac:dyDescent="0.2">
      <c r="I1132" s="25">
        <f t="array" ref="I1132">IF(A1132=A1131,0,SUM(_xlfn._xlws.FILTER(G1132:G1152,(A1132:A1152=A1132)*((E1132:E1152&lt;0)))))</f>
        <v>0</v>
      </c>
      <c r="J1132" s="25">
        <f t="array" ref="J1132">IF(A1132=A1131,0,SUM(_xlfn._xlws.FILTER(G1132:G1152,(A1132:A1152=A1132)*((E1132:E1152&gt;0)))))</f>
        <v>0</v>
      </c>
    </row>
    <row r="1133" spans="9:10" x14ac:dyDescent="0.2">
      <c r="I1133" s="25">
        <f t="array" ref="I1133">IF(A1133=A1132,0,SUM(_xlfn._xlws.FILTER(G1133:G1153,(A1133:A1153=A1133)*((E1133:E1153&lt;0)))))</f>
        <v>0</v>
      </c>
      <c r="J1133" s="25">
        <f t="array" ref="J1133">IF(A1133=A1132,0,SUM(_xlfn._xlws.FILTER(G1133:G1153,(A1133:A1153=A1133)*((E1133:E1153&gt;0)))))</f>
        <v>0</v>
      </c>
    </row>
    <row r="1134" spans="9:10" x14ac:dyDescent="0.2">
      <c r="I1134" s="25">
        <f t="array" ref="I1134">IF(A1134=A1133,0,SUM(_xlfn._xlws.FILTER(G1134:G1154,(A1134:A1154=A1134)*((E1134:E1154&lt;0)))))</f>
        <v>0</v>
      </c>
      <c r="J1134" s="25">
        <f t="array" ref="J1134">IF(A1134=A1133,0,SUM(_xlfn._xlws.FILTER(G1134:G1154,(A1134:A1154=A1134)*((E1134:E1154&gt;0)))))</f>
        <v>0</v>
      </c>
    </row>
    <row r="1135" spans="9:10" x14ac:dyDescent="0.2">
      <c r="I1135" s="25">
        <f t="array" ref="I1135">IF(A1135=A1134,0,SUM(_xlfn._xlws.FILTER(G1135:G1155,(A1135:A1155=A1135)*((E1135:E1155&lt;0)))))</f>
        <v>0</v>
      </c>
      <c r="J1135" s="25">
        <f t="array" ref="J1135">IF(A1135=A1134,0,SUM(_xlfn._xlws.FILTER(G1135:G1155,(A1135:A1155=A1135)*((E1135:E1155&gt;0)))))</f>
        <v>0</v>
      </c>
    </row>
    <row r="1136" spans="9:10" x14ac:dyDescent="0.2">
      <c r="I1136" s="25">
        <f t="array" ref="I1136">IF(A1136=A1135,0,SUM(_xlfn._xlws.FILTER(G1136:G1156,(A1136:A1156=A1136)*((E1136:E1156&lt;0)))))</f>
        <v>0</v>
      </c>
      <c r="J1136" s="25">
        <f t="array" ref="J1136">IF(A1136=A1135,0,SUM(_xlfn._xlws.FILTER(G1136:G1156,(A1136:A1156=A1136)*((E1136:E1156&gt;0)))))</f>
        <v>0</v>
      </c>
    </row>
    <row r="1137" spans="9:10" x14ac:dyDescent="0.2">
      <c r="I1137" s="25">
        <f t="array" ref="I1137">IF(A1137=A1136,0,SUM(_xlfn._xlws.FILTER(G1137:G1157,(A1137:A1157=A1137)*((E1137:E1157&lt;0)))))</f>
        <v>0</v>
      </c>
      <c r="J1137" s="25">
        <f t="array" ref="J1137">IF(A1137=A1136,0,SUM(_xlfn._xlws.FILTER(G1137:G1157,(A1137:A1157=A1137)*((E1137:E1157&gt;0)))))</f>
        <v>0</v>
      </c>
    </row>
    <row r="1138" spans="9:10" x14ac:dyDescent="0.2">
      <c r="I1138" s="25">
        <f t="array" ref="I1138">IF(A1138=A1137,0,SUM(_xlfn._xlws.FILTER(G1138:G1158,(A1138:A1158=A1138)*((E1138:E1158&lt;0)))))</f>
        <v>0</v>
      </c>
      <c r="J1138" s="25">
        <f t="array" ref="J1138">IF(A1138=A1137,0,SUM(_xlfn._xlws.FILTER(G1138:G1158,(A1138:A1158=A1138)*((E1138:E1158&gt;0)))))</f>
        <v>0</v>
      </c>
    </row>
    <row r="1139" spans="9:10" x14ac:dyDescent="0.2">
      <c r="I1139" s="25">
        <f t="array" ref="I1139">IF(A1139=A1138,0,SUM(_xlfn._xlws.FILTER(G1139:G1159,(A1139:A1159=A1139)*((E1139:E1159&lt;0)))))</f>
        <v>0</v>
      </c>
      <c r="J1139" s="25">
        <f t="array" ref="J1139">IF(A1139=A1138,0,SUM(_xlfn._xlws.FILTER(G1139:G1159,(A1139:A1159=A1139)*((E1139:E1159&gt;0)))))</f>
        <v>0</v>
      </c>
    </row>
    <row r="1140" spans="9:10" x14ac:dyDescent="0.2">
      <c r="I1140" s="25">
        <f t="array" ref="I1140">IF(A1140=A1139,0,SUM(_xlfn._xlws.FILTER(G1140:G1160,(A1140:A1160=A1140)*((E1140:E1160&lt;0)))))</f>
        <v>0</v>
      </c>
      <c r="J1140" s="25">
        <f t="array" ref="J1140">IF(A1140=A1139,0,SUM(_xlfn._xlws.FILTER(G1140:G1160,(A1140:A1160=A1140)*((E1140:E1160&gt;0)))))</f>
        <v>0</v>
      </c>
    </row>
    <row r="1141" spans="9:10" x14ac:dyDescent="0.2">
      <c r="I1141" s="25">
        <f t="array" ref="I1141">IF(A1141=A1140,0,SUM(_xlfn._xlws.FILTER(G1141:G1161,(A1141:A1161=A1141)*((E1141:E1161&lt;0)))))</f>
        <v>0</v>
      </c>
      <c r="J1141" s="25">
        <f t="array" ref="J1141">IF(A1141=A1140,0,SUM(_xlfn._xlws.FILTER(G1141:G1161,(A1141:A1161=A1141)*((E1141:E1161&gt;0)))))</f>
        <v>0</v>
      </c>
    </row>
    <row r="1142" spans="9:10" x14ac:dyDescent="0.2">
      <c r="I1142" s="25">
        <f t="array" ref="I1142">IF(A1142=A1141,0,SUM(_xlfn._xlws.FILTER(G1142:G1162,(A1142:A1162=A1142)*((E1142:E1162&lt;0)))))</f>
        <v>0</v>
      </c>
      <c r="J1142" s="25">
        <f t="array" ref="J1142">IF(A1142=A1141,0,SUM(_xlfn._xlws.FILTER(G1142:G1162,(A1142:A1162=A1142)*((E1142:E1162&gt;0)))))</f>
        <v>0</v>
      </c>
    </row>
    <row r="1143" spans="9:10" x14ac:dyDescent="0.2">
      <c r="I1143" s="25">
        <f t="array" ref="I1143">IF(A1143=A1142,0,SUM(_xlfn._xlws.FILTER(G1143:G1163,(A1143:A1163=A1143)*((E1143:E1163&lt;0)))))</f>
        <v>0</v>
      </c>
      <c r="J1143" s="25">
        <f t="array" ref="J1143">IF(A1143=A1142,0,SUM(_xlfn._xlws.FILTER(G1143:G1163,(A1143:A1163=A1143)*((E1143:E1163&gt;0)))))</f>
        <v>0</v>
      </c>
    </row>
    <row r="1144" spans="9:10" x14ac:dyDescent="0.2">
      <c r="I1144" s="25">
        <f t="array" ref="I1144">IF(A1144=A1143,0,SUM(_xlfn._xlws.FILTER(G1144:G1164,(A1144:A1164=A1144)*((E1144:E1164&lt;0)))))</f>
        <v>0</v>
      </c>
      <c r="J1144" s="25">
        <f t="array" ref="J1144">IF(A1144=A1143,0,SUM(_xlfn._xlws.FILTER(G1144:G1164,(A1144:A1164=A1144)*((E1144:E1164&gt;0)))))</f>
        <v>0</v>
      </c>
    </row>
    <row r="1145" spans="9:10" x14ac:dyDescent="0.2">
      <c r="I1145" s="25">
        <f t="array" ref="I1145">IF(A1145=A1144,0,SUM(_xlfn._xlws.FILTER(G1145:G1165,(A1145:A1165=A1145)*((E1145:E1165&lt;0)))))</f>
        <v>0</v>
      </c>
      <c r="J1145" s="25">
        <f t="array" ref="J1145">IF(A1145=A1144,0,SUM(_xlfn._xlws.FILTER(G1145:G1165,(A1145:A1165=A1145)*((E1145:E1165&gt;0)))))</f>
        <v>0</v>
      </c>
    </row>
    <row r="1146" spans="9:10" x14ac:dyDescent="0.2">
      <c r="I1146" s="25">
        <f t="array" ref="I1146">IF(A1146=A1145,0,SUM(_xlfn._xlws.FILTER(G1146:G1166,(A1146:A1166=A1146)*((E1146:E1166&lt;0)))))</f>
        <v>0</v>
      </c>
      <c r="J1146" s="25">
        <f t="array" ref="J1146">IF(A1146=A1145,0,SUM(_xlfn._xlws.FILTER(G1146:G1166,(A1146:A1166=A1146)*((E1146:E1166&gt;0)))))</f>
        <v>0</v>
      </c>
    </row>
    <row r="1147" spans="9:10" x14ac:dyDescent="0.2">
      <c r="I1147" s="25">
        <f t="array" ref="I1147">IF(A1147=A1146,0,SUM(_xlfn._xlws.FILTER(G1147:G1167,(A1147:A1167=A1147)*((E1147:E1167&lt;0)))))</f>
        <v>0</v>
      </c>
      <c r="J1147" s="25">
        <f t="array" ref="J1147">IF(A1147=A1146,0,SUM(_xlfn._xlws.FILTER(G1147:G1167,(A1147:A1167=A1147)*((E1147:E1167&gt;0)))))</f>
        <v>0</v>
      </c>
    </row>
    <row r="1148" spans="9:10" x14ac:dyDescent="0.2">
      <c r="I1148" s="25">
        <f t="array" ref="I1148">IF(A1148=A1147,0,SUM(_xlfn._xlws.FILTER(G1148:G1168,(A1148:A1168=A1148)*((E1148:E1168&lt;0)))))</f>
        <v>0</v>
      </c>
      <c r="J1148" s="25">
        <f t="array" ref="J1148">IF(A1148=A1147,0,SUM(_xlfn._xlws.FILTER(G1148:G1168,(A1148:A1168=A1148)*((E1148:E1168&gt;0)))))</f>
        <v>0</v>
      </c>
    </row>
    <row r="1149" spans="9:10" x14ac:dyDescent="0.2">
      <c r="I1149" s="25">
        <f t="array" ref="I1149">IF(A1149=A1148,0,SUM(_xlfn._xlws.FILTER(G1149:G1169,(A1149:A1169=A1149)*((E1149:E1169&lt;0)))))</f>
        <v>0</v>
      </c>
      <c r="J1149" s="25">
        <f t="array" ref="J1149">IF(A1149=A1148,0,SUM(_xlfn._xlws.FILTER(G1149:G1169,(A1149:A1169=A1149)*((E1149:E1169&gt;0)))))</f>
        <v>0</v>
      </c>
    </row>
    <row r="1150" spans="9:10" x14ac:dyDescent="0.2">
      <c r="I1150" s="25">
        <f t="array" ref="I1150">IF(A1150=A1149,0,SUM(_xlfn._xlws.FILTER(G1150:G1170,(A1150:A1170=A1150)*((E1150:E1170&lt;0)))))</f>
        <v>0</v>
      </c>
      <c r="J1150" s="25">
        <f t="array" ref="J1150">IF(A1150=A1149,0,SUM(_xlfn._xlws.FILTER(G1150:G1170,(A1150:A1170=A1150)*((E1150:E1170&gt;0)))))</f>
        <v>0</v>
      </c>
    </row>
    <row r="1151" spans="9:10" x14ac:dyDescent="0.2">
      <c r="I1151" s="25">
        <f t="array" ref="I1151">IF(A1151=A1150,0,SUM(_xlfn._xlws.FILTER(G1151:G1171,(A1151:A1171=A1151)*((E1151:E1171&lt;0)))))</f>
        <v>0</v>
      </c>
      <c r="J1151" s="25">
        <f t="array" ref="J1151">IF(A1151=A1150,0,SUM(_xlfn._xlws.FILTER(G1151:G1171,(A1151:A1171=A1151)*((E1151:E1171&gt;0)))))</f>
        <v>0</v>
      </c>
    </row>
    <row r="1152" spans="9:10" x14ac:dyDescent="0.2">
      <c r="I1152" s="25">
        <f t="array" ref="I1152">IF(A1152=A1151,0,SUM(_xlfn._xlws.FILTER(G1152:G1172,(A1152:A1172=A1152)*((E1152:E1172&lt;0)))))</f>
        <v>0</v>
      </c>
      <c r="J1152" s="25">
        <f t="array" ref="J1152">IF(A1152=A1151,0,SUM(_xlfn._xlws.FILTER(G1152:G1172,(A1152:A1172=A1152)*((E1152:E1172&gt;0)))))</f>
        <v>0</v>
      </c>
    </row>
    <row r="1153" spans="9:10" x14ac:dyDescent="0.2">
      <c r="I1153" s="25">
        <f t="array" ref="I1153">IF(A1153=A1152,0,SUM(_xlfn._xlws.FILTER(G1153:G1173,(A1153:A1173=A1153)*((E1153:E1173&lt;0)))))</f>
        <v>0</v>
      </c>
      <c r="J1153" s="25">
        <f t="array" ref="J1153">IF(A1153=A1152,0,SUM(_xlfn._xlws.FILTER(G1153:G1173,(A1153:A1173=A1153)*((E1153:E1173&gt;0)))))</f>
        <v>0</v>
      </c>
    </row>
    <row r="1154" spans="9:10" x14ac:dyDescent="0.2">
      <c r="I1154" s="25">
        <f t="array" ref="I1154">IF(A1154=A1153,0,SUM(_xlfn._xlws.FILTER(G1154:G1174,(A1154:A1174=A1154)*((E1154:E1174&lt;0)))))</f>
        <v>0</v>
      </c>
      <c r="J1154" s="25">
        <f t="array" ref="J1154">IF(A1154=A1153,0,SUM(_xlfn._xlws.FILTER(G1154:G1174,(A1154:A1174=A1154)*((E1154:E1174&gt;0)))))</f>
        <v>0</v>
      </c>
    </row>
    <row r="1155" spans="9:10" x14ac:dyDescent="0.2">
      <c r="I1155" s="25">
        <f t="array" ref="I1155">IF(A1155=A1154,0,SUM(_xlfn._xlws.FILTER(G1155:G1175,(A1155:A1175=A1155)*((E1155:E1175&lt;0)))))</f>
        <v>0</v>
      </c>
      <c r="J1155" s="25">
        <f t="array" ref="J1155">IF(A1155=A1154,0,SUM(_xlfn._xlws.FILTER(G1155:G1175,(A1155:A1175=A1155)*((E1155:E1175&gt;0)))))</f>
        <v>0</v>
      </c>
    </row>
    <row r="1156" spans="9:10" x14ac:dyDescent="0.2">
      <c r="I1156" s="25">
        <f t="array" ref="I1156">IF(A1156=A1155,0,SUM(_xlfn._xlws.FILTER(G1156:G1176,(A1156:A1176=A1156)*((E1156:E1176&lt;0)))))</f>
        <v>0</v>
      </c>
      <c r="J1156" s="25">
        <f t="array" ref="J1156">IF(A1156=A1155,0,SUM(_xlfn._xlws.FILTER(G1156:G1176,(A1156:A1176=A1156)*((E1156:E1176&gt;0)))))</f>
        <v>0</v>
      </c>
    </row>
    <row r="1157" spans="9:10" x14ac:dyDescent="0.2">
      <c r="I1157" s="25">
        <f t="array" ref="I1157">IF(A1157=A1156,0,SUM(_xlfn._xlws.FILTER(G1157:G1177,(A1157:A1177=A1157)*((E1157:E1177&lt;0)))))</f>
        <v>0</v>
      </c>
      <c r="J1157" s="25">
        <f t="array" ref="J1157">IF(A1157=A1156,0,SUM(_xlfn._xlws.FILTER(G1157:G1177,(A1157:A1177=A1157)*((E1157:E1177&gt;0)))))</f>
        <v>0</v>
      </c>
    </row>
    <row r="1158" spans="9:10" x14ac:dyDescent="0.2">
      <c r="I1158" s="25">
        <f t="array" ref="I1158">IF(A1158=A1157,0,SUM(_xlfn._xlws.FILTER(G1158:G1178,(A1158:A1178=A1158)*((E1158:E1178&lt;0)))))</f>
        <v>0</v>
      </c>
      <c r="J1158" s="25">
        <f t="array" ref="J1158">IF(A1158=A1157,0,SUM(_xlfn._xlws.FILTER(G1158:G1178,(A1158:A1178=A1158)*((E1158:E1178&gt;0)))))</f>
        <v>0</v>
      </c>
    </row>
    <row r="1159" spans="9:10" x14ac:dyDescent="0.2">
      <c r="I1159" s="25">
        <f t="array" ref="I1159">IF(A1159=A1158,0,SUM(_xlfn._xlws.FILTER(G1159:G1179,(A1159:A1179=A1159)*((E1159:E1179&lt;0)))))</f>
        <v>0</v>
      </c>
      <c r="J1159" s="25">
        <f t="array" ref="J1159">IF(A1159=A1158,0,SUM(_xlfn._xlws.FILTER(G1159:G1179,(A1159:A1179=A1159)*((E1159:E1179&gt;0)))))</f>
        <v>0</v>
      </c>
    </row>
    <row r="1160" spans="9:10" x14ac:dyDescent="0.2">
      <c r="I1160" s="25">
        <f t="array" ref="I1160">IF(A1160=A1159,0,SUM(_xlfn._xlws.FILTER(G1160:G1180,(A1160:A1180=A1160)*((E1160:E1180&lt;0)))))</f>
        <v>0</v>
      </c>
      <c r="J1160" s="25">
        <f t="array" ref="J1160">IF(A1160=A1159,0,SUM(_xlfn._xlws.FILTER(G1160:G1180,(A1160:A1180=A1160)*((E1160:E1180&gt;0)))))</f>
        <v>0</v>
      </c>
    </row>
    <row r="1161" spans="9:10" x14ac:dyDescent="0.2">
      <c r="I1161" s="25">
        <f t="array" ref="I1161">IF(A1161=A1160,0,SUM(_xlfn._xlws.FILTER(G1161:G1181,(A1161:A1181=A1161)*((E1161:E1181&lt;0)))))</f>
        <v>0</v>
      </c>
      <c r="J1161" s="25">
        <f t="array" ref="J1161">IF(A1161=A1160,0,SUM(_xlfn._xlws.FILTER(G1161:G1181,(A1161:A1181=A1161)*((E1161:E1181&gt;0)))))</f>
        <v>0</v>
      </c>
    </row>
    <row r="1162" spans="9:10" x14ac:dyDescent="0.2">
      <c r="I1162" s="25">
        <f t="array" ref="I1162">IF(A1162=A1161,0,SUM(_xlfn._xlws.FILTER(G1162:G1182,(A1162:A1182=A1162)*((E1162:E1182&lt;0)))))</f>
        <v>0</v>
      </c>
      <c r="J1162" s="25">
        <f t="array" ref="J1162">IF(A1162=A1161,0,SUM(_xlfn._xlws.FILTER(G1162:G1182,(A1162:A1182=A1162)*((E1162:E1182&gt;0)))))</f>
        <v>0</v>
      </c>
    </row>
    <row r="1163" spans="9:10" x14ac:dyDescent="0.2">
      <c r="I1163" s="25">
        <f t="array" ref="I1163">IF(A1163=A1162,0,SUM(_xlfn._xlws.FILTER(G1163:G1183,(A1163:A1183=A1163)*((E1163:E1183&lt;0)))))</f>
        <v>0</v>
      </c>
      <c r="J1163" s="25">
        <f t="array" ref="J1163">IF(A1163=A1162,0,SUM(_xlfn._xlws.FILTER(G1163:G1183,(A1163:A1183=A1163)*((E1163:E1183&gt;0)))))</f>
        <v>0</v>
      </c>
    </row>
    <row r="1164" spans="9:10" x14ac:dyDescent="0.2">
      <c r="I1164" s="25">
        <f t="array" ref="I1164">IF(A1164=A1163,0,SUM(_xlfn._xlws.FILTER(G1164:G1184,(A1164:A1184=A1164)*((E1164:E1184&lt;0)))))</f>
        <v>0</v>
      </c>
      <c r="J1164" s="25">
        <f t="array" ref="J1164">IF(A1164=A1163,0,SUM(_xlfn._xlws.FILTER(G1164:G1184,(A1164:A1184=A1164)*((E1164:E1184&gt;0)))))</f>
        <v>0</v>
      </c>
    </row>
    <row r="1165" spans="9:10" x14ac:dyDescent="0.2">
      <c r="I1165" s="25">
        <f t="array" ref="I1165">IF(A1165=A1164,0,SUM(_xlfn._xlws.FILTER(G1165:G1185,(A1165:A1185=A1165)*((E1165:E1185&lt;0)))))</f>
        <v>0</v>
      </c>
      <c r="J1165" s="25">
        <f t="array" ref="J1165">IF(A1165=A1164,0,SUM(_xlfn._xlws.FILTER(G1165:G1185,(A1165:A1185=A1165)*((E1165:E1185&gt;0)))))</f>
        <v>0</v>
      </c>
    </row>
    <row r="1166" spans="9:10" x14ac:dyDescent="0.2">
      <c r="I1166" s="25">
        <f t="array" ref="I1166">IF(A1166=A1165,0,SUM(_xlfn._xlws.FILTER(G1166:G1186,(A1166:A1186=A1166)*((E1166:E1186&lt;0)))))</f>
        <v>0</v>
      </c>
      <c r="J1166" s="25">
        <f t="array" ref="J1166">IF(A1166=A1165,0,SUM(_xlfn._xlws.FILTER(G1166:G1186,(A1166:A1186=A1166)*((E1166:E1186&gt;0)))))</f>
        <v>0</v>
      </c>
    </row>
    <row r="1167" spans="9:10" x14ac:dyDescent="0.2">
      <c r="I1167" s="25">
        <f t="array" ref="I1167">IF(A1167=A1166,0,SUM(_xlfn._xlws.FILTER(G1167:G1187,(A1167:A1187=A1167)*((E1167:E1187&lt;0)))))</f>
        <v>0</v>
      </c>
      <c r="J1167" s="25">
        <f t="array" ref="J1167">IF(A1167=A1166,0,SUM(_xlfn._xlws.FILTER(G1167:G1187,(A1167:A1187=A1167)*((E1167:E1187&gt;0)))))</f>
        <v>0</v>
      </c>
    </row>
    <row r="1168" spans="9:10" x14ac:dyDescent="0.2">
      <c r="I1168" s="25">
        <f t="array" ref="I1168">IF(A1168=A1167,0,SUM(_xlfn._xlws.FILTER(G1168:G1188,(A1168:A1188=A1168)*((E1168:E1188&lt;0)))))</f>
        <v>0</v>
      </c>
      <c r="J1168" s="25">
        <f t="array" ref="J1168">IF(A1168=A1167,0,SUM(_xlfn._xlws.FILTER(G1168:G1188,(A1168:A1188=A1168)*((E1168:E1188&gt;0)))))</f>
        <v>0</v>
      </c>
    </row>
    <row r="1169" spans="9:10" x14ac:dyDescent="0.2">
      <c r="I1169" s="25">
        <f t="array" ref="I1169">IF(A1169=A1168,0,SUM(_xlfn._xlws.FILTER(G1169:G1189,(A1169:A1189=A1169)*((E1169:E1189&lt;0)))))</f>
        <v>0</v>
      </c>
      <c r="J1169" s="25">
        <f t="array" ref="J1169">IF(A1169=A1168,0,SUM(_xlfn._xlws.FILTER(G1169:G1189,(A1169:A1189=A1169)*((E1169:E1189&gt;0)))))</f>
        <v>0</v>
      </c>
    </row>
    <row r="1170" spans="9:10" x14ac:dyDescent="0.2">
      <c r="I1170" s="25">
        <f t="array" ref="I1170">IF(A1170=A1169,0,SUM(_xlfn._xlws.FILTER(G1170:G1190,(A1170:A1190=A1170)*((E1170:E1190&lt;0)))))</f>
        <v>0</v>
      </c>
      <c r="J1170" s="25">
        <f t="array" ref="J1170">IF(A1170=A1169,0,SUM(_xlfn._xlws.FILTER(G1170:G1190,(A1170:A1190=A1170)*((E1170:E1190&gt;0)))))</f>
        <v>0</v>
      </c>
    </row>
    <row r="1171" spans="9:10" x14ac:dyDescent="0.2">
      <c r="I1171" s="25">
        <f t="array" ref="I1171">IF(A1171=A1170,0,SUM(_xlfn._xlws.FILTER(G1171:G1191,(A1171:A1191=A1171)*((E1171:E1191&lt;0)))))</f>
        <v>0</v>
      </c>
      <c r="J1171" s="25">
        <f t="array" ref="J1171">IF(A1171=A1170,0,SUM(_xlfn._xlws.FILTER(G1171:G1191,(A1171:A1191=A1171)*((E1171:E1191&gt;0)))))</f>
        <v>0</v>
      </c>
    </row>
    <row r="1172" spans="9:10" x14ac:dyDescent="0.2">
      <c r="I1172" s="25">
        <f t="array" ref="I1172">IF(A1172=A1171,0,SUM(_xlfn._xlws.FILTER(G1172:G1192,(A1172:A1192=A1172)*((E1172:E1192&lt;0)))))</f>
        <v>0</v>
      </c>
      <c r="J1172" s="25">
        <f t="array" ref="J1172">IF(A1172=A1171,0,SUM(_xlfn._xlws.FILTER(G1172:G1192,(A1172:A1192=A1172)*((E1172:E1192&gt;0)))))</f>
        <v>0</v>
      </c>
    </row>
    <row r="1173" spans="9:10" x14ac:dyDescent="0.2">
      <c r="I1173" s="25">
        <f t="array" ref="I1173">IF(A1173=A1172,0,SUM(_xlfn._xlws.FILTER(G1173:G1193,(A1173:A1193=A1173)*((E1173:E1193&lt;0)))))</f>
        <v>0</v>
      </c>
      <c r="J1173" s="25">
        <f t="array" ref="J1173">IF(A1173=A1172,0,SUM(_xlfn._xlws.FILTER(G1173:G1193,(A1173:A1193=A1173)*((E1173:E1193&gt;0)))))</f>
        <v>0</v>
      </c>
    </row>
    <row r="1174" spans="9:10" x14ac:dyDescent="0.2">
      <c r="I1174" s="25">
        <f t="array" ref="I1174">IF(A1174=A1173,0,SUM(_xlfn._xlws.FILTER(G1174:G1194,(A1174:A1194=A1174)*((E1174:E1194&lt;0)))))</f>
        <v>0</v>
      </c>
      <c r="J1174" s="25">
        <f t="array" ref="J1174">IF(A1174=A1173,0,SUM(_xlfn._xlws.FILTER(G1174:G1194,(A1174:A1194=A1174)*((E1174:E1194&gt;0)))))</f>
        <v>0</v>
      </c>
    </row>
    <row r="1175" spans="9:10" x14ac:dyDescent="0.2">
      <c r="I1175" s="25">
        <f t="array" ref="I1175">IF(A1175=A1174,0,SUM(_xlfn._xlws.FILTER(G1175:G1195,(A1175:A1195=A1175)*((E1175:E1195&lt;0)))))</f>
        <v>0</v>
      </c>
      <c r="J1175" s="25">
        <f t="array" ref="J1175">IF(A1175=A1174,0,SUM(_xlfn._xlws.FILTER(G1175:G1195,(A1175:A1195=A1175)*((E1175:E1195&gt;0)))))</f>
        <v>0</v>
      </c>
    </row>
    <row r="1176" spans="9:10" x14ac:dyDescent="0.2">
      <c r="I1176" s="25">
        <f t="array" ref="I1176">IF(A1176=A1175,0,SUM(_xlfn._xlws.FILTER(G1176:G1196,(A1176:A1196=A1176)*((E1176:E1196&lt;0)))))</f>
        <v>0</v>
      </c>
      <c r="J1176" s="25">
        <f t="array" ref="J1176">IF(A1176=A1175,0,SUM(_xlfn._xlws.FILTER(G1176:G1196,(A1176:A1196=A1176)*((E1176:E1196&gt;0)))))</f>
        <v>0</v>
      </c>
    </row>
    <row r="1177" spans="9:10" x14ac:dyDescent="0.2">
      <c r="I1177" s="25">
        <f t="array" ref="I1177">IF(A1177=A1176,0,SUM(_xlfn._xlws.FILTER(G1177:G1197,(A1177:A1197=A1177)*((E1177:E1197&lt;0)))))</f>
        <v>0</v>
      </c>
      <c r="J1177" s="25">
        <f t="array" ref="J1177">IF(A1177=A1176,0,SUM(_xlfn._xlws.FILTER(G1177:G1197,(A1177:A1197=A1177)*((E1177:E1197&gt;0)))))</f>
        <v>0</v>
      </c>
    </row>
    <row r="1178" spans="9:10" x14ac:dyDescent="0.2">
      <c r="I1178" s="25">
        <f t="array" ref="I1178">IF(A1178=A1177,0,SUM(_xlfn._xlws.FILTER(G1178:G1198,(A1178:A1198=A1178)*((E1178:E1198&lt;0)))))</f>
        <v>0</v>
      </c>
      <c r="J1178" s="25">
        <f t="array" ref="J1178">IF(A1178=A1177,0,SUM(_xlfn._xlws.FILTER(G1178:G1198,(A1178:A1198=A1178)*((E1178:E1198&gt;0)))))</f>
        <v>0</v>
      </c>
    </row>
    <row r="1179" spans="9:10" x14ac:dyDescent="0.2">
      <c r="I1179" s="25">
        <f t="array" ref="I1179">IF(A1179=A1178,0,SUM(_xlfn._xlws.FILTER(G1179:G1199,(A1179:A1199=A1179)*((E1179:E1199&lt;0)))))</f>
        <v>0</v>
      </c>
      <c r="J1179" s="25">
        <f t="array" ref="J1179">IF(A1179=A1178,0,SUM(_xlfn._xlws.FILTER(G1179:G1199,(A1179:A1199=A1179)*((E1179:E1199&gt;0)))))</f>
        <v>0</v>
      </c>
    </row>
    <row r="1180" spans="9:10" x14ac:dyDescent="0.2">
      <c r="I1180" s="25">
        <f t="array" ref="I1180">IF(A1180=A1179,0,SUM(_xlfn._xlws.FILTER(G1180:G1200,(A1180:A1200=A1180)*((E1180:E1200&lt;0)))))</f>
        <v>0</v>
      </c>
      <c r="J1180" s="25">
        <f t="array" ref="J1180">IF(A1180=A1179,0,SUM(_xlfn._xlws.FILTER(G1180:G1200,(A1180:A1200=A1180)*((E1180:E1200&gt;0)))))</f>
        <v>0</v>
      </c>
    </row>
    <row r="1181" spans="9:10" x14ac:dyDescent="0.2">
      <c r="I1181" s="25">
        <f t="array" ref="I1181">IF(A1181=A1180,0,SUM(_xlfn._xlws.FILTER(G1181:G1201,(A1181:A1201=A1181)*((E1181:E1201&lt;0)))))</f>
        <v>0</v>
      </c>
      <c r="J1181" s="25">
        <f t="array" ref="J1181">IF(A1181=A1180,0,SUM(_xlfn._xlws.FILTER(G1181:G1201,(A1181:A1201=A1181)*((E1181:E1201&gt;0)))))</f>
        <v>0</v>
      </c>
    </row>
    <row r="1182" spans="9:10" x14ac:dyDescent="0.2">
      <c r="I1182" s="25">
        <f t="array" ref="I1182">IF(A1182=A1181,0,SUM(_xlfn._xlws.FILTER(G1182:G1202,(A1182:A1202=A1182)*((E1182:E1202&lt;0)))))</f>
        <v>0</v>
      </c>
      <c r="J1182" s="25">
        <f t="array" ref="J1182">IF(A1182=A1181,0,SUM(_xlfn._xlws.FILTER(G1182:G1202,(A1182:A1202=A1182)*((E1182:E1202&gt;0)))))</f>
        <v>0</v>
      </c>
    </row>
    <row r="1183" spans="9:10" x14ac:dyDescent="0.2">
      <c r="I1183" s="25">
        <f t="array" ref="I1183">IF(A1183=A1182,0,SUM(_xlfn._xlws.FILTER(G1183:G1203,(A1183:A1203=A1183)*((E1183:E1203&lt;0)))))</f>
        <v>0</v>
      </c>
      <c r="J1183" s="25">
        <f t="array" ref="J1183">IF(A1183=A1182,0,SUM(_xlfn._xlws.FILTER(G1183:G1203,(A1183:A1203=A1183)*((E1183:E1203&gt;0)))))</f>
        <v>0</v>
      </c>
    </row>
    <row r="1184" spans="9:10" x14ac:dyDescent="0.2">
      <c r="I1184" s="25">
        <f t="array" ref="I1184">IF(A1184=A1183,0,SUM(_xlfn._xlws.FILTER(G1184:G1204,(A1184:A1204=A1184)*((E1184:E1204&lt;0)))))</f>
        <v>0</v>
      </c>
      <c r="J1184" s="25">
        <f t="array" ref="J1184">IF(A1184=A1183,0,SUM(_xlfn._xlws.FILTER(G1184:G1204,(A1184:A1204=A1184)*((E1184:E1204&gt;0)))))</f>
        <v>0</v>
      </c>
    </row>
    <row r="1185" spans="9:10" x14ac:dyDescent="0.2">
      <c r="I1185" s="25">
        <f t="array" ref="I1185">IF(A1185=A1184,0,SUM(_xlfn._xlws.FILTER(G1185:G1205,(A1185:A1205=A1185)*((E1185:E1205&lt;0)))))</f>
        <v>0</v>
      </c>
      <c r="J1185" s="25">
        <f t="array" ref="J1185">IF(A1185=A1184,0,SUM(_xlfn._xlws.FILTER(G1185:G1205,(A1185:A1205=A1185)*((E1185:E1205&gt;0)))))</f>
        <v>0</v>
      </c>
    </row>
    <row r="1186" spans="9:10" x14ac:dyDescent="0.2">
      <c r="I1186" s="25">
        <f t="array" ref="I1186">IF(A1186=A1185,0,SUM(_xlfn._xlws.FILTER(G1186:G1206,(A1186:A1206=A1186)*((E1186:E1206&lt;0)))))</f>
        <v>0</v>
      </c>
      <c r="J1186" s="25">
        <f t="array" ref="J1186">IF(A1186=A1185,0,SUM(_xlfn._xlws.FILTER(G1186:G1206,(A1186:A1206=A1186)*((E1186:E1206&gt;0)))))</f>
        <v>0</v>
      </c>
    </row>
    <row r="1187" spans="9:10" x14ac:dyDescent="0.2">
      <c r="I1187" s="25">
        <f t="array" ref="I1187">IF(A1187=A1186,0,SUM(_xlfn._xlws.FILTER(G1187:G1207,(A1187:A1207=A1187)*((E1187:E1207&lt;0)))))</f>
        <v>0</v>
      </c>
      <c r="J1187" s="25">
        <f t="array" ref="J1187">IF(A1187=A1186,0,SUM(_xlfn._xlws.FILTER(G1187:G1207,(A1187:A1207=A1187)*((E1187:E1207&gt;0)))))</f>
        <v>0</v>
      </c>
    </row>
    <row r="1188" spans="9:10" x14ac:dyDescent="0.2">
      <c r="I1188" s="25">
        <f t="array" ref="I1188">IF(A1188=A1187,0,SUM(_xlfn._xlws.FILTER(G1188:G1208,(A1188:A1208=A1188)*((E1188:E1208&lt;0)))))</f>
        <v>0</v>
      </c>
      <c r="J1188" s="25">
        <f t="array" ref="J1188">IF(A1188=A1187,0,SUM(_xlfn._xlws.FILTER(G1188:G1208,(A1188:A1208=A1188)*((E1188:E1208&gt;0)))))</f>
        <v>0</v>
      </c>
    </row>
    <row r="1189" spans="9:10" x14ac:dyDescent="0.2">
      <c r="I1189" s="25">
        <f t="array" ref="I1189">IF(A1189=A1188,0,SUM(_xlfn._xlws.FILTER(G1189:G1209,(A1189:A1209=A1189)*((E1189:E1209&lt;0)))))</f>
        <v>0</v>
      </c>
      <c r="J1189" s="25">
        <f t="array" ref="J1189">IF(A1189=A1188,0,SUM(_xlfn._xlws.FILTER(G1189:G1209,(A1189:A1209=A1189)*((E1189:E1209&gt;0)))))</f>
        <v>0</v>
      </c>
    </row>
    <row r="1190" spans="9:10" x14ac:dyDescent="0.2">
      <c r="I1190" s="25">
        <f t="array" ref="I1190">IF(A1190=A1189,0,SUM(_xlfn._xlws.FILTER(G1190:G1210,(A1190:A1210=A1190)*((E1190:E1210&lt;0)))))</f>
        <v>0</v>
      </c>
      <c r="J1190" s="25">
        <f t="array" ref="J1190">IF(A1190=A1189,0,SUM(_xlfn._xlws.FILTER(G1190:G1210,(A1190:A1210=A1190)*((E1190:E1210&gt;0)))))</f>
        <v>0</v>
      </c>
    </row>
    <row r="1191" spans="9:10" x14ac:dyDescent="0.2">
      <c r="I1191" s="25">
        <f t="array" ref="I1191">IF(A1191=A1190,0,SUM(_xlfn._xlws.FILTER(G1191:G1211,(A1191:A1211=A1191)*((E1191:E1211&lt;0)))))</f>
        <v>0</v>
      </c>
      <c r="J1191" s="25">
        <f t="array" ref="J1191">IF(A1191=A1190,0,SUM(_xlfn._xlws.FILTER(G1191:G1211,(A1191:A1211=A1191)*((E1191:E1211&gt;0)))))</f>
        <v>0</v>
      </c>
    </row>
    <row r="1192" spans="9:10" x14ac:dyDescent="0.2">
      <c r="I1192" s="25">
        <f t="array" ref="I1192">IF(A1192=A1191,0,SUM(_xlfn._xlws.FILTER(G1192:G1212,(A1192:A1212=A1192)*((E1192:E1212&lt;0)))))</f>
        <v>0</v>
      </c>
      <c r="J1192" s="25">
        <f t="array" ref="J1192">IF(A1192=A1191,0,SUM(_xlfn._xlws.FILTER(G1192:G1212,(A1192:A1212=A1192)*((E1192:E1212&gt;0)))))</f>
        <v>0</v>
      </c>
    </row>
    <row r="1193" spans="9:10" x14ac:dyDescent="0.2">
      <c r="I1193" s="25">
        <f t="array" ref="I1193">IF(A1193=A1192,0,SUM(_xlfn._xlws.FILTER(G1193:G1213,(A1193:A1213=A1193)*((E1193:E1213&lt;0)))))</f>
        <v>0</v>
      </c>
      <c r="J1193" s="25">
        <f t="array" ref="J1193">IF(A1193=A1192,0,SUM(_xlfn._xlws.FILTER(G1193:G1213,(A1193:A1213=A1193)*((E1193:E1213&gt;0)))))</f>
        <v>0</v>
      </c>
    </row>
    <row r="1194" spans="9:10" x14ac:dyDescent="0.2">
      <c r="I1194" s="25">
        <f t="array" ref="I1194">IF(A1194=A1193,0,SUM(_xlfn._xlws.FILTER(G1194:G1214,(A1194:A1214=A1194)*((E1194:E1214&lt;0)))))</f>
        <v>0</v>
      </c>
      <c r="J1194" s="25">
        <f t="array" ref="J1194">IF(A1194=A1193,0,SUM(_xlfn._xlws.FILTER(G1194:G1214,(A1194:A1214=A1194)*((E1194:E1214&gt;0)))))</f>
        <v>0</v>
      </c>
    </row>
    <row r="1195" spans="9:10" x14ac:dyDescent="0.2">
      <c r="I1195" s="25">
        <f t="array" ref="I1195">IF(A1195=A1194,0,SUM(_xlfn._xlws.FILTER(G1195:G1215,(A1195:A1215=A1195)*((E1195:E1215&lt;0)))))</f>
        <v>0</v>
      </c>
      <c r="J1195" s="25">
        <f t="array" ref="J1195">IF(A1195=A1194,0,SUM(_xlfn._xlws.FILTER(G1195:G1215,(A1195:A1215=A1195)*((E1195:E1215&gt;0)))))</f>
        <v>0</v>
      </c>
    </row>
    <row r="1196" spans="9:10" x14ac:dyDescent="0.2">
      <c r="I1196" s="25">
        <f t="array" ref="I1196">IF(A1196=A1195,0,SUM(_xlfn._xlws.FILTER(G1196:G1216,(A1196:A1216=A1196)*((E1196:E1216&lt;0)))))</f>
        <v>0</v>
      </c>
      <c r="J1196" s="25">
        <f t="array" ref="J1196">IF(A1196=A1195,0,SUM(_xlfn._xlws.FILTER(G1196:G1216,(A1196:A1216=A1196)*((E1196:E1216&gt;0)))))</f>
        <v>0</v>
      </c>
    </row>
    <row r="1197" spans="9:10" x14ac:dyDescent="0.2">
      <c r="I1197" s="25">
        <f t="array" ref="I1197">IF(A1197=A1196,0,SUM(_xlfn._xlws.FILTER(G1197:G1217,(A1197:A1217=A1197)*((E1197:E1217&lt;0)))))</f>
        <v>0</v>
      </c>
      <c r="J1197" s="25">
        <f t="array" ref="J1197">IF(A1197=A1196,0,SUM(_xlfn._xlws.FILTER(G1197:G1217,(A1197:A1217=A1197)*((E1197:E1217&gt;0)))))</f>
        <v>0</v>
      </c>
    </row>
    <row r="1198" spans="9:10" x14ac:dyDescent="0.2">
      <c r="I1198" s="25">
        <f t="array" ref="I1198">IF(A1198=A1197,0,SUM(_xlfn._xlws.FILTER(G1198:G1218,(A1198:A1218=A1198)*((E1198:E1218&lt;0)))))</f>
        <v>0</v>
      </c>
      <c r="J1198" s="25">
        <f t="array" ref="J1198">IF(A1198=A1197,0,SUM(_xlfn._xlws.FILTER(G1198:G1218,(A1198:A1218=A1198)*((E1198:E1218&gt;0)))))</f>
        <v>0</v>
      </c>
    </row>
    <row r="1199" spans="9:10" x14ac:dyDescent="0.2">
      <c r="I1199" s="25">
        <f t="array" ref="I1199">IF(A1199=A1198,0,SUM(_xlfn._xlws.FILTER(G1199:G1219,(A1199:A1219=A1199)*((E1199:E1219&lt;0)))))</f>
        <v>0</v>
      </c>
      <c r="J1199" s="25">
        <f t="array" ref="J1199">IF(A1199=A1198,0,SUM(_xlfn._xlws.FILTER(G1199:G1219,(A1199:A1219=A1199)*((E1199:E1219&gt;0)))))</f>
        <v>0</v>
      </c>
    </row>
    <row r="1200" spans="9:10" x14ac:dyDescent="0.2">
      <c r="I1200" s="25">
        <f t="array" ref="I1200">IF(A1200=A1199,0,SUM(_xlfn._xlws.FILTER(G1200:G1220,(A1200:A1220=A1200)*((E1200:E1220&lt;0)))))</f>
        <v>0</v>
      </c>
      <c r="J1200" s="25">
        <f t="array" ref="J1200">IF(A1200=A1199,0,SUM(_xlfn._xlws.FILTER(G1200:G1220,(A1200:A1220=A1200)*((E1200:E1220&gt;0)))))</f>
        <v>0</v>
      </c>
    </row>
    <row r="1201" spans="9:10" x14ac:dyDescent="0.2">
      <c r="I1201" s="25">
        <f t="array" ref="I1201">IF(A1201=A1200,0,SUM(_xlfn._xlws.FILTER(G1201:G1221,(A1201:A1221=A1201)*((E1201:E1221&lt;0)))))</f>
        <v>0</v>
      </c>
      <c r="J1201" s="25">
        <f t="array" ref="J1201">IF(A1201=A1200,0,SUM(_xlfn._xlws.FILTER(G1201:G1221,(A1201:A1221=A1201)*((E1201:E1221&gt;0)))))</f>
        <v>0</v>
      </c>
    </row>
    <row r="1202" spans="9:10" x14ac:dyDescent="0.2">
      <c r="I1202" s="25">
        <f t="array" ref="I1202">IF(A1202=A1201,0,SUM(_xlfn._xlws.FILTER(G1202:G1222,(A1202:A1222=A1202)*((E1202:E1222&lt;0)))))</f>
        <v>0</v>
      </c>
      <c r="J1202" s="25">
        <f t="array" ref="J1202">IF(A1202=A1201,0,SUM(_xlfn._xlws.FILTER(G1202:G1222,(A1202:A1222=A1202)*((E1202:E1222&gt;0)))))</f>
        <v>0</v>
      </c>
    </row>
    <row r="1203" spans="9:10" x14ac:dyDescent="0.2">
      <c r="I1203" s="25">
        <f t="array" ref="I1203">IF(A1203=A1202,0,SUM(_xlfn._xlws.FILTER(G1203:G1223,(A1203:A1223=A1203)*((E1203:E1223&lt;0)))))</f>
        <v>0</v>
      </c>
      <c r="J1203" s="25">
        <f t="array" ref="J1203">IF(A1203=A1202,0,SUM(_xlfn._xlws.FILTER(G1203:G1223,(A1203:A1223=A1203)*((E1203:E1223&gt;0)))))</f>
        <v>0</v>
      </c>
    </row>
    <row r="1204" spans="9:10" x14ac:dyDescent="0.2">
      <c r="I1204" s="25">
        <f t="array" ref="I1204">IF(A1204=A1203,0,SUM(_xlfn._xlws.FILTER(G1204:G1224,(A1204:A1224=A1204)*((E1204:E1224&lt;0)))))</f>
        <v>0</v>
      </c>
      <c r="J1204" s="25">
        <f t="array" ref="J1204">IF(A1204=A1203,0,SUM(_xlfn._xlws.FILTER(G1204:G1224,(A1204:A1224=A1204)*((E1204:E1224&gt;0)))))</f>
        <v>0</v>
      </c>
    </row>
    <row r="1205" spans="9:10" x14ac:dyDescent="0.2">
      <c r="I1205" s="25">
        <f t="array" ref="I1205">IF(A1205=A1204,0,SUM(_xlfn._xlws.FILTER(G1205:G1225,(A1205:A1225=A1205)*((E1205:E1225&lt;0)))))</f>
        <v>0</v>
      </c>
      <c r="J1205" s="25">
        <f t="array" ref="J1205">IF(A1205=A1204,0,SUM(_xlfn._xlws.FILTER(G1205:G1225,(A1205:A1225=A1205)*((E1205:E1225&gt;0)))))</f>
        <v>0</v>
      </c>
    </row>
    <row r="1206" spans="9:10" x14ac:dyDescent="0.2">
      <c r="I1206" s="25">
        <f t="array" ref="I1206">IF(A1206=A1205,0,SUM(_xlfn._xlws.FILTER(G1206:G1226,(A1206:A1226=A1206)*((E1206:E1226&lt;0)))))</f>
        <v>0</v>
      </c>
      <c r="J1206" s="25">
        <f t="array" ref="J1206">IF(A1206=A1205,0,SUM(_xlfn._xlws.FILTER(G1206:G1226,(A1206:A1226=A1206)*((E1206:E1226&gt;0)))))</f>
        <v>0</v>
      </c>
    </row>
    <row r="1207" spans="9:10" x14ac:dyDescent="0.2">
      <c r="I1207" s="25">
        <f t="array" ref="I1207">IF(A1207=A1206,0,SUM(_xlfn._xlws.FILTER(G1207:G1227,(A1207:A1227=A1207)*((E1207:E1227&lt;0)))))</f>
        <v>0</v>
      </c>
      <c r="J1207" s="25">
        <f t="array" ref="J1207">IF(A1207=A1206,0,SUM(_xlfn._xlws.FILTER(G1207:G1227,(A1207:A1227=A1207)*((E1207:E1227&gt;0)))))</f>
        <v>0</v>
      </c>
    </row>
    <row r="1208" spans="9:10" x14ac:dyDescent="0.2">
      <c r="I1208" s="25">
        <f t="array" ref="I1208">IF(A1208=A1207,0,SUM(_xlfn._xlws.FILTER(G1208:G1228,(A1208:A1228=A1208)*((E1208:E1228&lt;0)))))</f>
        <v>0</v>
      </c>
      <c r="J1208" s="25">
        <f t="array" ref="J1208">IF(A1208=A1207,0,SUM(_xlfn._xlws.FILTER(G1208:G1228,(A1208:A1228=A1208)*((E1208:E1228&gt;0)))))</f>
        <v>0</v>
      </c>
    </row>
    <row r="1209" spans="9:10" x14ac:dyDescent="0.2">
      <c r="I1209" s="25">
        <f t="array" ref="I1209">IF(A1209=A1208,0,SUM(_xlfn._xlws.FILTER(G1209:G1229,(A1209:A1229=A1209)*((E1209:E1229&lt;0)))))</f>
        <v>0</v>
      </c>
      <c r="J1209" s="25">
        <f t="array" ref="J1209">IF(A1209=A1208,0,SUM(_xlfn._xlws.FILTER(G1209:G1229,(A1209:A1229=A1209)*((E1209:E1229&gt;0)))))</f>
        <v>0</v>
      </c>
    </row>
    <row r="1210" spans="9:10" x14ac:dyDescent="0.2">
      <c r="I1210" s="25">
        <f t="array" ref="I1210">IF(A1210=A1209,0,SUM(_xlfn._xlws.FILTER(G1210:G1230,(A1210:A1230=A1210)*((E1210:E1230&lt;0)))))</f>
        <v>0</v>
      </c>
      <c r="J1210" s="25">
        <f t="array" ref="J1210">IF(A1210=A1209,0,SUM(_xlfn._xlws.FILTER(G1210:G1230,(A1210:A1230=A1210)*((E1210:E1230&gt;0)))))</f>
        <v>0</v>
      </c>
    </row>
    <row r="1211" spans="9:10" x14ac:dyDescent="0.2">
      <c r="I1211" s="25">
        <f t="array" ref="I1211">IF(A1211=A1210,0,SUM(_xlfn._xlws.FILTER(G1211:G1231,(A1211:A1231=A1211)*((E1211:E1231&lt;0)))))</f>
        <v>0</v>
      </c>
      <c r="J1211" s="25">
        <f t="array" ref="J1211">IF(A1211=A1210,0,SUM(_xlfn._xlws.FILTER(G1211:G1231,(A1211:A1231=A1211)*((E1211:E1231&gt;0)))))</f>
        <v>0</v>
      </c>
    </row>
    <row r="1212" spans="9:10" x14ac:dyDescent="0.2">
      <c r="I1212" s="25">
        <f t="array" ref="I1212">IF(A1212=A1211,0,SUM(_xlfn._xlws.FILTER(G1212:G1232,(A1212:A1232=A1212)*((E1212:E1232&lt;0)))))</f>
        <v>0</v>
      </c>
      <c r="J1212" s="25">
        <f t="array" ref="J1212">IF(A1212=A1211,0,SUM(_xlfn._xlws.FILTER(G1212:G1232,(A1212:A1232=A1212)*((E1212:E1232&gt;0)))))</f>
        <v>0</v>
      </c>
    </row>
    <row r="1213" spans="9:10" x14ac:dyDescent="0.2">
      <c r="I1213" s="25">
        <f t="array" ref="I1213">IF(A1213=A1212,0,SUM(_xlfn._xlws.FILTER(G1213:G1233,(A1213:A1233=A1213)*((E1213:E1233&lt;0)))))</f>
        <v>0</v>
      </c>
      <c r="J1213" s="25">
        <f t="array" ref="J1213">IF(A1213=A1212,0,SUM(_xlfn._xlws.FILTER(G1213:G1233,(A1213:A1233=A1213)*((E1213:E1233&gt;0)))))</f>
        <v>0</v>
      </c>
    </row>
    <row r="1214" spans="9:10" x14ac:dyDescent="0.2">
      <c r="I1214" s="25">
        <f t="array" ref="I1214">IF(A1214=A1213,0,SUM(_xlfn._xlws.FILTER(G1214:G1234,(A1214:A1234=A1214)*((E1214:E1234&lt;0)))))</f>
        <v>0</v>
      </c>
      <c r="J1214" s="25">
        <f t="array" ref="J1214">IF(A1214=A1213,0,SUM(_xlfn._xlws.FILTER(G1214:G1234,(A1214:A1234=A1214)*((E1214:E1234&gt;0)))))</f>
        <v>0</v>
      </c>
    </row>
    <row r="1215" spans="9:10" x14ac:dyDescent="0.2">
      <c r="I1215" s="25">
        <f t="array" ref="I1215">IF(A1215=A1214,0,SUM(_xlfn._xlws.FILTER(G1215:G1235,(A1215:A1235=A1215)*((E1215:E1235&lt;0)))))</f>
        <v>0</v>
      </c>
      <c r="J1215" s="25">
        <f t="array" ref="J1215">IF(A1215=A1214,0,SUM(_xlfn._xlws.FILTER(G1215:G1235,(A1215:A1235=A1215)*((E1215:E1235&gt;0)))))</f>
        <v>0</v>
      </c>
    </row>
    <row r="1216" spans="9:10" x14ac:dyDescent="0.2">
      <c r="I1216" s="25">
        <f t="array" ref="I1216">IF(A1216=A1215,0,SUM(_xlfn._xlws.FILTER(G1216:G1236,(A1216:A1236=A1216)*((E1216:E1236&lt;0)))))</f>
        <v>0</v>
      </c>
      <c r="J1216" s="25">
        <f t="array" ref="J1216">IF(A1216=A1215,0,SUM(_xlfn._xlws.FILTER(G1216:G1236,(A1216:A1236=A1216)*((E1216:E1236&gt;0)))))</f>
        <v>0</v>
      </c>
    </row>
    <row r="1217" spans="9:10" x14ac:dyDescent="0.2">
      <c r="I1217" s="25">
        <f t="array" ref="I1217">IF(A1217=A1216,0,SUM(_xlfn._xlws.FILTER(G1217:G1237,(A1217:A1237=A1217)*((E1217:E1237&lt;0)))))</f>
        <v>0</v>
      </c>
      <c r="J1217" s="25">
        <f t="array" ref="J1217">IF(A1217=A1216,0,SUM(_xlfn._xlws.FILTER(G1217:G1237,(A1217:A1237=A1217)*((E1217:E1237&gt;0)))))</f>
        <v>0</v>
      </c>
    </row>
    <row r="1218" spans="9:10" x14ac:dyDescent="0.2">
      <c r="I1218" s="25">
        <f t="array" ref="I1218">IF(A1218=A1217,0,SUM(_xlfn._xlws.FILTER(G1218:G1238,(A1218:A1238=A1218)*((E1218:E1238&lt;0)))))</f>
        <v>0</v>
      </c>
      <c r="J1218" s="25">
        <f t="array" ref="J1218">IF(A1218=A1217,0,SUM(_xlfn._xlws.FILTER(G1218:G1238,(A1218:A1238=A1218)*((E1218:E1238&gt;0)))))</f>
        <v>0</v>
      </c>
    </row>
    <row r="1219" spans="9:10" x14ac:dyDescent="0.2">
      <c r="I1219" s="25">
        <f t="array" ref="I1219">IF(A1219=A1218,0,SUM(_xlfn._xlws.FILTER(G1219:G1239,(A1219:A1239=A1219)*((E1219:E1239&lt;0)))))</f>
        <v>0</v>
      </c>
      <c r="J1219" s="25">
        <f t="array" ref="J1219">IF(A1219=A1218,0,SUM(_xlfn._xlws.FILTER(G1219:G1239,(A1219:A1239=A1219)*((E1219:E1239&gt;0)))))</f>
        <v>0</v>
      </c>
    </row>
    <row r="1220" spans="9:10" x14ac:dyDescent="0.2">
      <c r="I1220" s="25">
        <f t="array" ref="I1220">IF(A1220=A1219,0,SUM(_xlfn._xlws.FILTER(G1220:G1240,(A1220:A1240=A1220)*((E1220:E1240&lt;0)))))</f>
        <v>0</v>
      </c>
      <c r="J1220" s="25">
        <f t="array" ref="J1220">IF(A1220=A1219,0,SUM(_xlfn._xlws.FILTER(G1220:G1240,(A1220:A1240=A1220)*((E1220:E1240&gt;0)))))</f>
        <v>0</v>
      </c>
    </row>
    <row r="1221" spans="9:10" x14ac:dyDescent="0.2">
      <c r="I1221" s="25">
        <f t="array" ref="I1221">IF(A1221=A1220,0,SUM(_xlfn._xlws.FILTER(G1221:G1241,(A1221:A1241=A1221)*((E1221:E1241&lt;0)))))</f>
        <v>0</v>
      </c>
      <c r="J1221" s="25">
        <f t="array" ref="J1221">IF(A1221=A1220,0,SUM(_xlfn._xlws.FILTER(G1221:G1241,(A1221:A1241=A1221)*((E1221:E1241&gt;0)))))</f>
        <v>0</v>
      </c>
    </row>
    <row r="1222" spans="9:10" x14ac:dyDescent="0.2">
      <c r="I1222" s="25">
        <f t="array" ref="I1222">IF(A1222=A1221,0,SUM(_xlfn._xlws.FILTER(G1222:G1242,(A1222:A1242=A1222)*((E1222:E1242&lt;0)))))</f>
        <v>0</v>
      </c>
      <c r="J1222" s="25">
        <f t="array" ref="J1222">IF(A1222=A1221,0,SUM(_xlfn._xlws.FILTER(G1222:G1242,(A1222:A1242=A1222)*((E1222:E1242&gt;0)))))</f>
        <v>0</v>
      </c>
    </row>
    <row r="1223" spans="9:10" x14ac:dyDescent="0.2">
      <c r="I1223" s="25">
        <f t="array" ref="I1223">IF(A1223=A1222,0,SUM(_xlfn._xlws.FILTER(G1223:G1243,(A1223:A1243=A1223)*((E1223:E1243&lt;0)))))</f>
        <v>0</v>
      </c>
      <c r="J1223" s="25">
        <f t="array" ref="J1223">IF(A1223=A1222,0,SUM(_xlfn._xlws.FILTER(G1223:G1243,(A1223:A1243=A1223)*((E1223:E1243&gt;0)))))</f>
        <v>0</v>
      </c>
    </row>
    <row r="1224" spans="9:10" x14ac:dyDescent="0.2">
      <c r="I1224" s="25">
        <f t="array" ref="I1224">IF(A1224=A1223,0,SUM(_xlfn._xlws.FILTER(G1224:G1244,(A1224:A1244=A1224)*((E1224:E1244&lt;0)))))</f>
        <v>0</v>
      </c>
      <c r="J1224" s="25">
        <f t="array" ref="J1224">IF(A1224=A1223,0,SUM(_xlfn._xlws.FILTER(G1224:G1244,(A1224:A1244=A1224)*((E1224:E1244&gt;0)))))</f>
        <v>0</v>
      </c>
    </row>
    <row r="1225" spans="9:10" x14ac:dyDescent="0.2">
      <c r="I1225" s="25">
        <f t="array" ref="I1225">IF(A1225=A1224,0,SUM(_xlfn._xlws.FILTER(G1225:G1245,(A1225:A1245=A1225)*((E1225:E1245&lt;0)))))</f>
        <v>0</v>
      </c>
      <c r="J1225" s="25">
        <f t="array" ref="J1225">IF(A1225=A1224,0,SUM(_xlfn._xlws.FILTER(G1225:G1245,(A1225:A1245=A1225)*((E1225:E1245&gt;0)))))</f>
        <v>0</v>
      </c>
    </row>
    <row r="1226" spans="9:10" x14ac:dyDescent="0.2">
      <c r="I1226" s="25">
        <f t="array" ref="I1226">IF(A1226=A1225,0,SUM(_xlfn._xlws.FILTER(G1226:G1246,(A1226:A1246=A1226)*((E1226:E1246&lt;0)))))</f>
        <v>0</v>
      </c>
      <c r="J1226" s="25">
        <f t="array" ref="J1226">IF(A1226=A1225,0,SUM(_xlfn._xlws.FILTER(G1226:G1246,(A1226:A1246=A1226)*((E1226:E1246&gt;0)))))</f>
        <v>0</v>
      </c>
    </row>
    <row r="1227" spans="9:10" x14ac:dyDescent="0.2">
      <c r="I1227" s="25">
        <f t="array" ref="I1227">IF(A1227=A1226,0,SUM(_xlfn._xlws.FILTER(G1227:G1247,(A1227:A1247=A1227)*((E1227:E1247&lt;0)))))</f>
        <v>0</v>
      </c>
      <c r="J1227" s="25">
        <f t="array" ref="J1227">IF(A1227=A1226,0,SUM(_xlfn._xlws.FILTER(G1227:G1247,(A1227:A1247=A1227)*((E1227:E1247&gt;0)))))</f>
        <v>0</v>
      </c>
    </row>
    <row r="1228" spans="9:10" x14ac:dyDescent="0.2">
      <c r="I1228" s="25">
        <f t="array" ref="I1228">IF(A1228=A1227,0,SUM(_xlfn._xlws.FILTER(G1228:G1248,(A1228:A1248=A1228)*((E1228:E1248&lt;0)))))</f>
        <v>0</v>
      </c>
      <c r="J1228" s="25">
        <f t="array" ref="J1228">IF(A1228=A1227,0,SUM(_xlfn._xlws.FILTER(G1228:G1248,(A1228:A1248=A1228)*((E1228:E1248&gt;0)))))</f>
        <v>0</v>
      </c>
    </row>
    <row r="1229" spans="9:10" x14ac:dyDescent="0.2">
      <c r="I1229" s="25">
        <f t="array" ref="I1229">IF(A1229=A1228,0,SUM(_xlfn._xlws.FILTER(G1229:G1249,(A1229:A1249=A1229)*((E1229:E1249&lt;0)))))</f>
        <v>0</v>
      </c>
      <c r="J1229" s="25">
        <f t="array" ref="J1229">IF(A1229=A1228,0,SUM(_xlfn._xlws.FILTER(G1229:G1249,(A1229:A1249=A1229)*((E1229:E1249&gt;0)))))</f>
        <v>0</v>
      </c>
    </row>
    <row r="1230" spans="9:10" x14ac:dyDescent="0.2">
      <c r="I1230" s="25">
        <f t="array" ref="I1230">IF(A1230=A1229,0,SUM(_xlfn._xlws.FILTER(G1230:G1250,(A1230:A1250=A1230)*((E1230:E1250&lt;0)))))</f>
        <v>0</v>
      </c>
      <c r="J1230" s="25">
        <f t="array" ref="J1230">IF(A1230=A1229,0,SUM(_xlfn._xlws.FILTER(G1230:G1250,(A1230:A1250=A1230)*((E1230:E1250&gt;0)))))</f>
        <v>0</v>
      </c>
    </row>
    <row r="1231" spans="9:10" x14ac:dyDescent="0.2">
      <c r="I1231" s="25">
        <f t="array" ref="I1231">IF(A1231=A1230,0,SUM(_xlfn._xlws.FILTER(G1231:G1251,(A1231:A1251=A1231)*((E1231:E1251&lt;0)))))</f>
        <v>0</v>
      </c>
      <c r="J1231" s="25">
        <f t="array" ref="J1231">IF(A1231=A1230,0,SUM(_xlfn._xlws.FILTER(G1231:G1251,(A1231:A1251=A1231)*((E1231:E1251&gt;0)))))</f>
        <v>0</v>
      </c>
    </row>
    <row r="1232" spans="9:10" x14ac:dyDescent="0.2">
      <c r="I1232" s="25">
        <f t="array" ref="I1232">IF(A1232=A1231,0,SUM(_xlfn._xlws.FILTER(G1232:G1252,(A1232:A1252=A1232)*((E1232:E1252&lt;0)))))</f>
        <v>0</v>
      </c>
      <c r="J1232" s="25">
        <f t="array" ref="J1232">IF(A1232=A1231,0,SUM(_xlfn._xlws.FILTER(G1232:G1252,(A1232:A1252=A1232)*((E1232:E1252&gt;0)))))</f>
        <v>0</v>
      </c>
    </row>
    <row r="1233" spans="9:10" x14ac:dyDescent="0.2">
      <c r="I1233" s="25">
        <f t="array" ref="I1233">IF(A1233=A1232,0,SUM(_xlfn._xlws.FILTER(G1233:G1253,(A1233:A1253=A1233)*((E1233:E1253&lt;0)))))</f>
        <v>0</v>
      </c>
      <c r="J1233" s="25">
        <f t="array" ref="J1233">IF(A1233=A1232,0,SUM(_xlfn._xlws.FILTER(G1233:G1253,(A1233:A1253=A1233)*((E1233:E1253&gt;0)))))</f>
        <v>0</v>
      </c>
    </row>
    <row r="1234" spans="9:10" x14ac:dyDescent="0.2">
      <c r="I1234" s="25">
        <f t="array" ref="I1234">IF(A1234=A1233,0,SUM(_xlfn._xlws.FILTER(G1234:G1254,(A1234:A1254=A1234)*((E1234:E1254&lt;0)))))</f>
        <v>0</v>
      </c>
      <c r="J1234" s="25">
        <f t="array" ref="J1234">IF(A1234=A1233,0,SUM(_xlfn._xlws.FILTER(G1234:G1254,(A1234:A1254=A1234)*((E1234:E1254&gt;0)))))</f>
        <v>0</v>
      </c>
    </row>
    <row r="1235" spans="9:10" x14ac:dyDescent="0.2">
      <c r="I1235" s="25">
        <f t="array" ref="I1235">IF(A1235=A1234,0,SUM(_xlfn._xlws.FILTER(G1235:G1255,(A1235:A1255=A1235)*((E1235:E1255&lt;0)))))</f>
        <v>0</v>
      </c>
      <c r="J1235" s="25">
        <f t="array" ref="J1235">IF(A1235=A1234,0,SUM(_xlfn._xlws.FILTER(G1235:G1255,(A1235:A1255=A1235)*((E1235:E1255&gt;0)))))</f>
        <v>0</v>
      </c>
    </row>
    <row r="1236" spans="9:10" x14ac:dyDescent="0.2">
      <c r="I1236" s="25">
        <f t="array" ref="I1236">IF(A1236=A1235,0,SUM(_xlfn._xlws.FILTER(G1236:G1256,(A1236:A1256=A1236)*((E1236:E1256&lt;0)))))</f>
        <v>0</v>
      </c>
      <c r="J1236" s="25">
        <f t="array" ref="J1236">IF(A1236=A1235,0,SUM(_xlfn._xlws.FILTER(G1236:G1256,(A1236:A1256=A1236)*((E1236:E1256&gt;0)))))</f>
        <v>0</v>
      </c>
    </row>
    <row r="1237" spans="9:10" x14ac:dyDescent="0.2">
      <c r="I1237" s="25">
        <f t="array" ref="I1237">IF(A1237=A1236,0,SUM(_xlfn._xlws.FILTER(G1237:G1257,(A1237:A1257=A1237)*((E1237:E1257&lt;0)))))</f>
        <v>0</v>
      </c>
      <c r="J1237" s="25">
        <f t="array" ref="J1237">IF(A1237=A1236,0,SUM(_xlfn._xlws.FILTER(G1237:G1257,(A1237:A1257=A1237)*((E1237:E1257&gt;0)))))</f>
        <v>0</v>
      </c>
    </row>
    <row r="1238" spans="9:10" x14ac:dyDescent="0.2">
      <c r="I1238" s="25">
        <f t="array" ref="I1238">IF(A1238=A1237,0,SUM(_xlfn._xlws.FILTER(G1238:G1258,(A1238:A1258=A1238)*((E1238:E1258&lt;0)))))</f>
        <v>0</v>
      </c>
      <c r="J1238" s="25">
        <f t="array" ref="J1238">IF(A1238=A1237,0,SUM(_xlfn._xlws.FILTER(G1238:G1258,(A1238:A1258=A1238)*((E1238:E1258&gt;0)))))</f>
        <v>0</v>
      </c>
    </row>
    <row r="1239" spans="9:10" x14ac:dyDescent="0.2">
      <c r="I1239" s="25">
        <f t="array" ref="I1239">IF(A1239=A1238,0,SUM(_xlfn._xlws.FILTER(G1239:G1259,(A1239:A1259=A1239)*((E1239:E1259&lt;0)))))</f>
        <v>0</v>
      </c>
      <c r="J1239" s="25">
        <f t="array" ref="J1239">IF(A1239=A1238,0,SUM(_xlfn._xlws.FILTER(G1239:G1259,(A1239:A1259=A1239)*((E1239:E1259&gt;0)))))</f>
        <v>0</v>
      </c>
    </row>
    <row r="1240" spans="9:10" x14ac:dyDescent="0.2">
      <c r="I1240" s="25">
        <f t="array" ref="I1240">IF(A1240=A1239,0,SUM(_xlfn._xlws.FILTER(G1240:G1260,(A1240:A1260=A1240)*((E1240:E1260&lt;0)))))</f>
        <v>0</v>
      </c>
      <c r="J1240" s="25">
        <f t="array" ref="J1240">IF(A1240=A1239,0,SUM(_xlfn._xlws.FILTER(G1240:G1260,(A1240:A1260=A1240)*((E1240:E1260&gt;0)))))</f>
        <v>0</v>
      </c>
    </row>
    <row r="1241" spans="9:10" x14ac:dyDescent="0.2">
      <c r="I1241" s="25">
        <f t="array" ref="I1241">IF(A1241=A1240,0,SUM(_xlfn._xlws.FILTER(G1241:G1261,(A1241:A1261=A1241)*((E1241:E1261&lt;0)))))</f>
        <v>0</v>
      </c>
      <c r="J1241" s="25">
        <f t="array" ref="J1241">IF(A1241=A1240,0,SUM(_xlfn._xlws.FILTER(G1241:G1261,(A1241:A1261=A1241)*((E1241:E1261&gt;0)))))</f>
        <v>0</v>
      </c>
    </row>
    <row r="1242" spans="9:10" x14ac:dyDescent="0.2">
      <c r="I1242" s="25">
        <f t="array" ref="I1242">IF(A1242=A1241,0,SUM(_xlfn._xlws.FILTER(G1242:G1262,(A1242:A1262=A1242)*((E1242:E1262&lt;0)))))</f>
        <v>0</v>
      </c>
      <c r="J1242" s="25">
        <f t="array" ref="J1242">IF(A1242=A1241,0,SUM(_xlfn._xlws.FILTER(G1242:G1262,(A1242:A1262=A1242)*((E1242:E1262&gt;0)))))</f>
        <v>0</v>
      </c>
    </row>
    <row r="1243" spans="9:10" x14ac:dyDescent="0.2">
      <c r="I1243" s="25">
        <f t="array" ref="I1243">IF(A1243=A1242,0,SUM(_xlfn._xlws.FILTER(G1243:G1263,(A1243:A1263=A1243)*((E1243:E1263&lt;0)))))</f>
        <v>0</v>
      </c>
      <c r="J1243" s="25">
        <f t="array" ref="J1243">IF(A1243=A1242,0,SUM(_xlfn._xlws.FILTER(G1243:G1263,(A1243:A1263=A1243)*((E1243:E1263&gt;0)))))</f>
        <v>0</v>
      </c>
    </row>
    <row r="1244" spans="9:10" x14ac:dyDescent="0.2">
      <c r="I1244" s="25">
        <f t="array" ref="I1244">IF(A1244=A1243,0,SUM(_xlfn._xlws.FILTER(G1244:G1264,(A1244:A1264=A1244)*((E1244:E1264&lt;0)))))</f>
        <v>0</v>
      </c>
      <c r="J1244" s="25">
        <f t="array" ref="J1244">IF(A1244=A1243,0,SUM(_xlfn._xlws.FILTER(G1244:G1264,(A1244:A1264=A1244)*((E1244:E1264&gt;0)))))</f>
        <v>0</v>
      </c>
    </row>
    <row r="1245" spans="9:10" x14ac:dyDescent="0.2">
      <c r="I1245" s="25">
        <f t="array" ref="I1245">IF(A1245=A1244,0,SUM(_xlfn._xlws.FILTER(G1245:G1265,(A1245:A1265=A1245)*((E1245:E1265&lt;0)))))</f>
        <v>0</v>
      </c>
      <c r="J1245" s="25">
        <f t="array" ref="J1245">IF(A1245=A1244,0,SUM(_xlfn._xlws.FILTER(G1245:G1265,(A1245:A1265=A1245)*((E1245:E1265&gt;0)))))</f>
        <v>0</v>
      </c>
    </row>
    <row r="1246" spans="9:10" x14ac:dyDescent="0.2">
      <c r="I1246" s="25">
        <f t="array" ref="I1246">IF(A1246=A1245,0,SUM(_xlfn._xlws.FILTER(G1246:G1266,(A1246:A1266=A1246)*((E1246:E1266&lt;0)))))</f>
        <v>0</v>
      </c>
      <c r="J1246" s="25">
        <f t="array" ref="J1246">IF(A1246=A1245,0,SUM(_xlfn._xlws.FILTER(G1246:G1266,(A1246:A1266=A1246)*((E1246:E1266&gt;0)))))</f>
        <v>0</v>
      </c>
    </row>
    <row r="1247" spans="9:10" x14ac:dyDescent="0.2">
      <c r="I1247" s="25">
        <f t="array" ref="I1247">IF(A1247=A1246,0,SUM(_xlfn._xlws.FILTER(G1247:G1267,(A1247:A1267=A1247)*((E1247:E1267&lt;0)))))</f>
        <v>0</v>
      </c>
      <c r="J1247" s="25">
        <f t="array" ref="J1247">IF(A1247=A1246,0,SUM(_xlfn._xlws.FILTER(G1247:G1267,(A1247:A1267=A1247)*((E1247:E1267&gt;0)))))</f>
        <v>0</v>
      </c>
    </row>
    <row r="1248" spans="9:10" x14ac:dyDescent="0.2">
      <c r="I1248" s="25">
        <f t="array" ref="I1248">IF(A1248=A1247,0,SUM(_xlfn._xlws.FILTER(G1248:G1268,(A1248:A1268=A1248)*((E1248:E1268&lt;0)))))</f>
        <v>0</v>
      </c>
      <c r="J1248" s="25">
        <f t="array" ref="J1248">IF(A1248=A1247,0,SUM(_xlfn._xlws.FILTER(G1248:G1268,(A1248:A1268=A1248)*((E1248:E1268&gt;0)))))</f>
        <v>0</v>
      </c>
    </row>
    <row r="1249" spans="9:10" x14ac:dyDescent="0.2">
      <c r="I1249" s="25">
        <f t="array" ref="I1249">IF(A1249=A1248,0,SUM(_xlfn._xlws.FILTER(G1249:G1269,(A1249:A1269=A1249)*((E1249:E1269&lt;0)))))</f>
        <v>0</v>
      </c>
      <c r="J1249" s="25">
        <f t="array" ref="J1249">IF(A1249=A1248,0,SUM(_xlfn._xlws.FILTER(G1249:G1269,(A1249:A1269=A1249)*((E1249:E1269&gt;0)))))</f>
        <v>0</v>
      </c>
    </row>
    <row r="1250" spans="9:10" x14ac:dyDescent="0.2">
      <c r="I1250" s="25">
        <f t="array" ref="I1250">IF(A1250=A1249,0,SUM(_xlfn._xlws.FILTER(G1250:G1270,(A1250:A1270=A1250)*((E1250:E1270&lt;0)))))</f>
        <v>0</v>
      </c>
      <c r="J1250" s="25">
        <f t="array" ref="J1250">IF(A1250=A1249,0,SUM(_xlfn._xlws.FILTER(G1250:G1270,(A1250:A1270=A1250)*((E1250:E1270&gt;0)))))</f>
        <v>0</v>
      </c>
    </row>
    <row r="1251" spans="9:10" x14ac:dyDescent="0.2">
      <c r="I1251" s="25">
        <f t="array" ref="I1251">IF(A1251=A1250,0,SUM(_xlfn._xlws.FILTER(G1251:G1271,(A1251:A1271=A1251)*((E1251:E1271&lt;0)))))</f>
        <v>0</v>
      </c>
      <c r="J1251" s="25">
        <f t="array" ref="J1251">IF(A1251=A1250,0,SUM(_xlfn._xlws.FILTER(G1251:G1271,(A1251:A1271=A1251)*((E1251:E1271&gt;0)))))</f>
        <v>0</v>
      </c>
    </row>
    <row r="1252" spans="9:10" x14ac:dyDescent="0.2">
      <c r="I1252" s="25">
        <f t="array" ref="I1252">IF(A1252=A1251,0,SUM(_xlfn._xlws.FILTER(G1252:G1272,(A1252:A1272=A1252)*((E1252:E1272&lt;0)))))</f>
        <v>0</v>
      </c>
      <c r="J1252" s="25">
        <f t="array" ref="J1252">IF(A1252=A1251,0,SUM(_xlfn._xlws.FILTER(G1252:G1272,(A1252:A1272=A1252)*((E1252:E1272&gt;0)))))</f>
        <v>0</v>
      </c>
    </row>
    <row r="1253" spans="9:10" x14ac:dyDescent="0.2">
      <c r="I1253" s="25">
        <f t="array" ref="I1253">IF(A1253=A1252,0,SUM(_xlfn._xlws.FILTER(G1253:G1273,(A1253:A1273=A1253)*((E1253:E1273&lt;0)))))</f>
        <v>0</v>
      </c>
      <c r="J1253" s="25">
        <f t="array" ref="J1253">IF(A1253=A1252,0,SUM(_xlfn._xlws.FILTER(G1253:G1273,(A1253:A1273=A1253)*((E1253:E1273&gt;0)))))</f>
        <v>0</v>
      </c>
    </row>
    <row r="1254" spans="9:10" x14ac:dyDescent="0.2">
      <c r="I1254" s="25">
        <f t="array" ref="I1254">IF(A1254=A1253,0,SUM(_xlfn._xlws.FILTER(G1254:G1274,(A1254:A1274=A1254)*((E1254:E1274&lt;0)))))</f>
        <v>0</v>
      </c>
      <c r="J1254" s="25">
        <f t="array" ref="J1254">IF(A1254=A1253,0,SUM(_xlfn._xlws.FILTER(G1254:G1274,(A1254:A1274=A1254)*((E1254:E1274&gt;0)))))</f>
        <v>0</v>
      </c>
    </row>
    <row r="1255" spans="9:10" x14ac:dyDescent="0.2">
      <c r="I1255" s="25">
        <f t="array" ref="I1255">IF(A1255=A1254,0,SUM(_xlfn._xlws.FILTER(G1255:G1275,(A1255:A1275=A1255)*((E1255:E1275&lt;0)))))</f>
        <v>0</v>
      </c>
      <c r="J1255" s="25">
        <f t="array" ref="J1255">IF(A1255=A1254,0,SUM(_xlfn._xlws.FILTER(G1255:G1275,(A1255:A1275=A1255)*((E1255:E1275&gt;0)))))</f>
        <v>0</v>
      </c>
    </row>
    <row r="1256" spans="9:10" x14ac:dyDescent="0.2">
      <c r="I1256" s="25">
        <f t="array" ref="I1256">IF(A1256=A1255,0,SUM(_xlfn._xlws.FILTER(G1256:G1276,(A1256:A1276=A1256)*((E1256:E1276&lt;0)))))</f>
        <v>0</v>
      </c>
      <c r="J1256" s="25">
        <f t="array" ref="J1256">IF(A1256=A1255,0,SUM(_xlfn._xlws.FILTER(G1256:G1276,(A1256:A1276=A1256)*((E1256:E1276&gt;0)))))</f>
        <v>0</v>
      </c>
    </row>
    <row r="1257" spans="9:10" x14ac:dyDescent="0.2">
      <c r="I1257" s="25">
        <f t="array" ref="I1257">IF(A1257=A1256,0,SUM(_xlfn._xlws.FILTER(G1257:G1277,(A1257:A1277=A1257)*((E1257:E1277&lt;0)))))</f>
        <v>0</v>
      </c>
      <c r="J1257" s="25">
        <f t="array" ref="J1257">IF(A1257=A1256,0,SUM(_xlfn._xlws.FILTER(G1257:G1277,(A1257:A1277=A1257)*((E1257:E1277&gt;0)))))</f>
        <v>0</v>
      </c>
    </row>
    <row r="1258" spans="9:10" x14ac:dyDescent="0.2">
      <c r="I1258" s="25">
        <f t="array" ref="I1258">IF(A1258=A1257,0,SUM(_xlfn._xlws.FILTER(G1258:G1278,(A1258:A1278=A1258)*((E1258:E1278&lt;0)))))</f>
        <v>0</v>
      </c>
      <c r="J1258" s="25">
        <f t="array" ref="J1258">IF(A1258=A1257,0,SUM(_xlfn._xlws.FILTER(G1258:G1278,(A1258:A1278=A1258)*((E1258:E1278&gt;0)))))</f>
        <v>0</v>
      </c>
    </row>
    <row r="1259" spans="9:10" x14ac:dyDescent="0.2">
      <c r="I1259" s="25">
        <f t="array" ref="I1259">IF(A1259=A1258,0,SUM(_xlfn._xlws.FILTER(G1259:G1279,(A1259:A1279=A1259)*((E1259:E1279&lt;0)))))</f>
        <v>0</v>
      </c>
      <c r="J1259" s="25">
        <f t="array" ref="J1259">IF(A1259=A1258,0,SUM(_xlfn._xlws.FILTER(G1259:G1279,(A1259:A1279=A1259)*((E1259:E1279&gt;0)))))</f>
        <v>0</v>
      </c>
    </row>
    <row r="1260" spans="9:10" x14ac:dyDescent="0.2">
      <c r="I1260" s="25">
        <f t="array" ref="I1260">IF(A1260=A1259,0,SUM(_xlfn._xlws.FILTER(G1260:G1280,(A1260:A1280=A1260)*((E1260:E1280&lt;0)))))</f>
        <v>0</v>
      </c>
      <c r="J1260" s="25">
        <f t="array" ref="J1260">IF(A1260=A1259,0,SUM(_xlfn._xlws.FILTER(G1260:G1280,(A1260:A1280=A1260)*((E1260:E1280&gt;0)))))</f>
        <v>0</v>
      </c>
    </row>
    <row r="1261" spans="9:10" x14ac:dyDescent="0.2">
      <c r="I1261" s="25">
        <f t="array" ref="I1261">IF(A1261=A1260,0,SUM(_xlfn._xlws.FILTER(G1261:G1281,(A1261:A1281=A1261)*((E1261:E1281&lt;0)))))</f>
        <v>0</v>
      </c>
      <c r="J1261" s="25">
        <f t="array" ref="J1261">IF(A1261=A1260,0,SUM(_xlfn._xlws.FILTER(G1261:G1281,(A1261:A1281=A1261)*((E1261:E1281&gt;0)))))</f>
        <v>0</v>
      </c>
    </row>
    <row r="1262" spans="9:10" x14ac:dyDescent="0.2">
      <c r="I1262" s="25">
        <f t="array" ref="I1262">IF(A1262=A1261,0,SUM(_xlfn._xlws.FILTER(G1262:G1282,(A1262:A1282=A1262)*((E1262:E1282&lt;0)))))</f>
        <v>0</v>
      </c>
      <c r="J1262" s="25">
        <f t="array" ref="J1262">IF(A1262=A1261,0,SUM(_xlfn._xlws.FILTER(G1262:G1282,(A1262:A1282=A1262)*((E1262:E1282&gt;0)))))</f>
        <v>0</v>
      </c>
    </row>
    <row r="1263" spans="9:10" x14ac:dyDescent="0.2">
      <c r="I1263" s="25">
        <f t="array" ref="I1263">IF(A1263=A1262,0,SUM(_xlfn._xlws.FILTER(G1263:G1283,(A1263:A1283=A1263)*((E1263:E1283&lt;0)))))</f>
        <v>0</v>
      </c>
      <c r="J1263" s="25">
        <f t="array" ref="J1263">IF(A1263=A1262,0,SUM(_xlfn._xlws.FILTER(G1263:G1283,(A1263:A1283=A1263)*((E1263:E1283&gt;0)))))</f>
        <v>0</v>
      </c>
    </row>
    <row r="1264" spans="9:10" x14ac:dyDescent="0.2">
      <c r="I1264" s="25">
        <f t="array" ref="I1264">IF(A1264=A1263,0,SUM(_xlfn._xlws.FILTER(G1264:G1284,(A1264:A1284=A1264)*((E1264:E1284&lt;0)))))</f>
        <v>0</v>
      </c>
      <c r="J1264" s="25">
        <f t="array" ref="J1264">IF(A1264=A1263,0,SUM(_xlfn._xlws.FILTER(G1264:G1284,(A1264:A1284=A1264)*((E1264:E1284&gt;0)))))</f>
        <v>0</v>
      </c>
    </row>
    <row r="1265" spans="9:10" x14ac:dyDescent="0.2">
      <c r="I1265" s="25">
        <f t="array" ref="I1265">IF(A1265=A1264,0,SUM(_xlfn._xlws.FILTER(G1265:G1285,(A1265:A1285=A1265)*((E1265:E1285&lt;0)))))</f>
        <v>0</v>
      </c>
      <c r="J1265" s="25">
        <f t="array" ref="J1265">IF(A1265=A1264,0,SUM(_xlfn._xlws.FILTER(G1265:G1285,(A1265:A1285=A1265)*((E1265:E1285&gt;0)))))</f>
        <v>0</v>
      </c>
    </row>
    <row r="1266" spans="9:10" x14ac:dyDescent="0.2">
      <c r="I1266" s="25">
        <f t="array" ref="I1266">IF(A1266=A1265,0,SUM(_xlfn._xlws.FILTER(G1266:G1286,(A1266:A1286=A1266)*((E1266:E1286&lt;0)))))</f>
        <v>0</v>
      </c>
      <c r="J1266" s="25">
        <f t="array" ref="J1266">IF(A1266=A1265,0,SUM(_xlfn._xlws.FILTER(G1266:G1286,(A1266:A1286=A1266)*((E1266:E1286&gt;0)))))</f>
        <v>0</v>
      </c>
    </row>
    <row r="1267" spans="9:10" x14ac:dyDescent="0.2">
      <c r="I1267" s="25">
        <f t="array" ref="I1267">IF(A1267=A1266,0,SUM(_xlfn._xlws.FILTER(G1267:G1287,(A1267:A1287=A1267)*((E1267:E1287&lt;0)))))</f>
        <v>0</v>
      </c>
      <c r="J1267" s="25">
        <f t="array" ref="J1267">IF(A1267=A1266,0,SUM(_xlfn._xlws.FILTER(G1267:G1287,(A1267:A1287=A1267)*((E1267:E1287&gt;0)))))</f>
        <v>0</v>
      </c>
    </row>
    <row r="1268" spans="9:10" x14ac:dyDescent="0.2">
      <c r="I1268" s="25">
        <f t="array" ref="I1268">IF(A1268=A1267,0,SUM(_xlfn._xlws.FILTER(G1268:G1288,(A1268:A1288=A1268)*((E1268:E1288&lt;0)))))</f>
        <v>0</v>
      </c>
      <c r="J1268" s="25">
        <f t="array" ref="J1268">IF(A1268=A1267,0,SUM(_xlfn._xlws.FILTER(G1268:G1288,(A1268:A1288=A1268)*((E1268:E1288&gt;0)))))</f>
        <v>0</v>
      </c>
    </row>
    <row r="1269" spans="9:10" x14ac:dyDescent="0.2">
      <c r="I1269" s="25">
        <f t="array" ref="I1269">IF(A1269=A1268,0,SUM(_xlfn._xlws.FILTER(G1269:G1289,(A1269:A1289=A1269)*((E1269:E1289&lt;0)))))</f>
        <v>0</v>
      </c>
      <c r="J1269" s="25">
        <f t="array" ref="J1269">IF(A1269=A1268,0,SUM(_xlfn._xlws.FILTER(G1269:G1289,(A1269:A1289=A1269)*((E1269:E1289&gt;0)))))</f>
        <v>0</v>
      </c>
    </row>
    <row r="1270" spans="9:10" x14ac:dyDescent="0.2">
      <c r="I1270" s="25">
        <f t="array" ref="I1270">IF(A1270=A1269,0,SUM(_xlfn._xlws.FILTER(G1270:G1290,(A1270:A1290=A1270)*((E1270:E1290&lt;0)))))</f>
        <v>0</v>
      </c>
      <c r="J1270" s="25">
        <f t="array" ref="J1270">IF(A1270=A1269,0,SUM(_xlfn._xlws.FILTER(G1270:G1290,(A1270:A1290=A1270)*((E1270:E1290&gt;0)))))</f>
        <v>0</v>
      </c>
    </row>
    <row r="1271" spans="9:10" x14ac:dyDescent="0.2">
      <c r="I1271" s="25">
        <f t="array" ref="I1271">IF(A1271=A1270,0,SUM(_xlfn._xlws.FILTER(G1271:G1291,(A1271:A1291=A1271)*((E1271:E1291&lt;0)))))</f>
        <v>0</v>
      </c>
      <c r="J1271" s="25">
        <f t="array" ref="J1271">IF(A1271=A1270,0,SUM(_xlfn._xlws.FILTER(G1271:G1291,(A1271:A1291=A1271)*((E1271:E1291&gt;0)))))</f>
        <v>0</v>
      </c>
    </row>
    <row r="1272" spans="9:10" x14ac:dyDescent="0.2">
      <c r="I1272" s="25">
        <f t="array" ref="I1272">IF(A1272=A1271,0,SUM(_xlfn._xlws.FILTER(G1272:G1292,(A1272:A1292=A1272)*((E1272:E1292&lt;0)))))</f>
        <v>0</v>
      </c>
      <c r="J1272" s="25">
        <f t="array" ref="J1272">IF(A1272=A1271,0,SUM(_xlfn._xlws.FILTER(G1272:G1292,(A1272:A1292=A1272)*((E1272:E1292&gt;0)))))</f>
        <v>0</v>
      </c>
    </row>
    <row r="1273" spans="9:10" x14ac:dyDescent="0.2">
      <c r="I1273" s="25">
        <f t="array" ref="I1273">IF(A1273=A1272,0,SUM(_xlfn._xlws.FILTER(G1273:G1293,(A1273:A1293=A1273)*((E1273:E1293&lt;0)))))</f>
        <v>0</v>
      </c>
      <c r="J1273" s="25">
        <f t="array" ref="J1273">IF(A1273=A1272,0,SUM(_xlfn._xlws.FILTER(G1273:G1293,(A1273:A1293=A1273)*((E1273:E1293&gt;0)))))</f>
        <v>0</v>
      </c>
    </row>
    <row r="1274" spans="9:10" x14ac:dyDescent="0.2">
      <c r="I1274" s="25">
        <f t="array" ref="I1274">IF(A1274=A1273,0,SUM(_xlfn._xlws.FILTER(G1274:G1294,(A1274:A1294=A1274)*((E1274:E1294&lt;0)))))</f>
        <v>0</v>
      </c>
      <c r="J1274" s="25">
        <f t="array" ref="J1274">IF(A1274=A1273,0,SUM(_xlfn._xlws.FILTER(G1274:G1294,(A1274:A1294=A1274)*((E1274:E1294&gt;0)))))</f>
        <v>0</v>
      </c>
    </row>
    <row r="1275" spans="9:10" x14ac:dyDescent="0.2">
      <c r="I1275" s="25">
        <f t="array" ref="I1275">IF(A1275=A1274,0,SUM(_xlfn._xlws.FILTER(G1275:G1295,(A1275:A1295=A1275)*((E1275:E1295&lt;0)))))</f>
        <v>0</v>
      </c>
      <c r="J1275" s="25">
        <f t="array" ref="J1275">IF(A1275=A1274,0,SUM(_xlfn._xlws.FILTER(G1275:G1295,(A1275:A1295=A1275)*((E1275:E1295&gt;0)))))</f>
        <v>0</v>
      </c>
    </row>
    <row r="1276" spans="9:10" x14ac:dyDescent="0.2">
      <c r="I1276" s="25">
        <f t="array" ref="I1276">IF(A1276=A1275,0,SUM(_xlfn._xlws.FILTER(G1276:G1296,(A1276:A1296=A1276)*((E1276:E1296&lt;0)))))</f>
        <v>0</v>
      </c>
      <c r="J1276" s="25">
        <f t="array" ref="J1276">IF(A1276=A1275,0,SUM(_xlfn._xlws.FILTER(G1276:G1296,(A1276:A1296=A1276)*((E1276:E1296&gt;0)))))</f>
        <v>0</v>
      </c>
    </row>
    <row r="1277" spans="9:10" x14ac:dyDescent="0.2">
      <c r="I1277" s="25">
        <f t="array" ref="I1277">IF(A1277=A1276,0,SUM(_xlfn._xlws.FILTER(G1277:G1297,(A1277:A1297=A1277)*((E1277:E1297&lt;0)))))</f>
        <v>0</v>
      </c>
      <c r="J1277" s="25">
        <f t="array" ref="J1277">IF(A1277=A1276,0,SUM(_xlfn._xlws.FILTER(G1277:G1297,(A1277:A1297=A1277)*((E1277:E1297&gt;0)))))</f>
        <v>0</v>
      </c>
    </row>
    <row r="1278" spans="9:10" x14ac:dyDescent="0.2">
      <c r="I1278" s="25">
        <f t="array" ref="I1278">IF(A1278=A1277,0,SUM(_xlfn._xlws.FILTER(G1278:G1298,(A1278:A1298=A1278)*((E1278:E1298&lt;0)))))</f>
        <v>0</v>
      </c>
      <c r="J1278" s="25">
        <f t="array" ref="J1278">IF(A1278=A1277,0,SUM(_xlfn._xlws.FILTER(G1278:G1298,(A1278:A1298=A1278)*((E1278:E1298&gt;0)))))</f>
        <v>0</v>
      </c>
    </row>
  </sheetData>
  <dataValidations count="3">
    <dataValidation type="decimal" allowBlank="1" showInputMessage="1" showErrorMessage="1" sqref="E2:E20 E29 E50:E60 E66 E69:E78 E90:E99 E101:E112 E123:E124 E131:E137 E144:E149 E154:E158 E167 E169:E173" xr:uid="{00000000-0002-0000-0300-000000000000}">
      <formula1>-2000</formula1>
      <formula2>2000</formula2>
    </dataValidation>
    <dataValidation type="date" allowBlank="1" showInputMessage="1" showErrorMessage="1" sqref="A2:A20 A29 A50:A60 A66 A69:A78 A90:A96 A98:A99 A101:A112 A123:A124 A131:A137 A144:A149 A154:A158 A167 A169:A173" xr:uid="{00000000-0002-0000-0300-000001000000}">
      <formula1>45658</formula1>
      <formula2>46022</formula2>
    </dataValidation>
    <dataValidation type="whole" allowBlank="1" showInputMessage="1" showErrorMessage="1" sqref="D2:D20 D29 D50:D60 D66 D69:D78 D90:D99 D101:D112 D123:D124 D131:D137 D144:D149 D154:D158 D167 D169:D173" xr:uid="{00000000-0002-0000-0300-000002000000}">
      <formula1>1</formula1>
      <formula2>10000000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Transactions</vt:lpstr>
      <vt:lpstr>Stock</vt:lpstr>
      <vt:lpstr>Log</vt:lpstr>
      <vt:lpstr>SumT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Kosta Yanev</cp:lastModifiedBy>
  <dcterms:created xsi:type="dcterms:W3CDTF">2025-11-24T18:40:40Z</dcterms:created>
  <dcterms:modified xsi:type="dcterms:W3CDTF">2025-11-26T04:20:12Z</dcterms:modified>
</cp:coreProperties>
</file>