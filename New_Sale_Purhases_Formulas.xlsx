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stayanev/NikyClean/"/>
    </mc:Choice>
  </mc:AlternateContent>
  <xr:revisionPtr revIDLastSave="0" documentId="8_{27CB7CFE-11FC-264D-A55B-C9EF768DBACD}" xr6:coauthVersionLast="47" xr6:coauthVersionMax="47" xr10:uidLastSave="{00000000-0000-0000-0000-000000000000}"/>
  <bookViews>
    <workbookView xWindow="23360" yWindow="-19020" windowWidth="27360" windowHeight="16180" activeTab="1" xr2:uid="{5275675D-2CED-F34A-BD9C-6B7A83169430}"/>
  </bookViews>
  <sheets>
    <sheet name="Entries" sheetId="1" r:id="rId1"/>
    <sheet name="Sheet2" sheetId="2" r:id="rId2"/>
  </sheets>
  <externalReferences>
    <externalReference r:id="rId3"/>
  </externalReferences>
  <definedNames>
    <definedName name="TranBuys">Sheet2!$A$5:'Sheet2'!$D$1000</definedName>
    <definedName name="TranSale">Sheet2!$F$5:'Sheet2'!$I$1000</definedName>
    <definedName name="TranTick">Sheet2!$A$1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2" l="1" a="1"/>
  <c r="N8" i="2" s="1"/>
  <c r="N5" i="2" a="1"/>
  <c r="N5" i="2" s="1"/>
  <c r="M5" i="2" a="1"/>
  <c r="M5" i="2" s="1"/>
  <c r="L5" i="2"/>
  <c r="A5" i="2" a="1"/>
  <c r="A5" i="2" s="1"/>
  <c r="F5" i="2" a="1"/>
  <c r="F5" i="2" s="1"/>
  <c r="N1000" i="1" a="1"/>
  <c r="N1000" i="1" s="1"/>
  <c r="M1000" i="1" a="1"/>
  <c r="M1000" i="1" s="1"/>
  <c r="L1000" i="1" a="1"/>
  <c r="L1000" i="1" s="1"/>
  <c r="K1000" i="1" a="1"/>
  <c r="K1000" i="1" s="1"/>
  <c r="J1000" i="1"/>
  <c r="I1000" i="1" a="1"/>
  <c r="I1000" i="1" s="1"/>
  <c r="H1000" i="1" a="1"/>
  <c r="H1000" i="1" s="1"/>
  <c r="F1000" i="1" a="1"/>
  <c r="F1000" i="1" s="1"/>
  <c r="G1000" i="1" s="1"/>
  <c r="E1000" i="1"/>
  <c r="N999" i="1" a="1"/>
  <c r="N999" i="1" s="1"/>
  <c r="M999" i="1" a="1"/>
  <c r="M999" i="1" s="1"/>
  <c r="L999" i="1" a="1"/>
  <c r="L999" i="1" s="1"/>
  <c r="K999" i="1" a="1"/>
  <c r="K999" i="1" s="1"/>
  <c r="J999" i="1"/>
  <c r="I999" i="1" a="1"/>
  <c r="I999" i="1" s="1"/>
  <c r="H999" i="1" a="1"/>
  <c r="H999" i="1" s="1"/>
  <c r="F999" i="1" a="1"/>
  <c r="F999" i="1" s="1"/>
  <c r="G999" i="1" s="1"/>
  <c r="E999" i="1"/>
  <c r="N998" i="1" a="1"/>
  <c r="N998" i="1" s="1"/>
  <c r="M998" i="1" a="1"/>
  <c r="M998" i="1" s="1"/>
  <c r="L998" i="1" a="1"/>
  <c r="L998" i="1" s="1"/>
  <c r="K998" i="1" a="1"/>
  <c r="K998" i="1" s="1"/>
  <c r="J998" i="1"/>
  <c r="I998" i="1" a="1"/>
  <c r="I998" i="1" s="1"/>
  <c r="H998" i="1" a="1"/>
  <c r="H998" i="1" s="1"/>
  <c r="F998" i="1" a="1"/>
  <c r="F998" i="1" s="1"/>
  <c r="G998" i="1" s="1"/>
  <c r="E998" i="1"/>
  <c r="N997" i="1" a="1"/>
  <c r="N997" i="1" s="1"/>
  <c r="M997" i="1" a="1"/>
  <c r="M997" i="1" s="1"/>
  <c r="L997" i="1" a="1"/>
  <c r="L997" i="1" s="1"/>
  <c r="K997" i="1" a="1"/>
  <c r="K997" i="1" s="1"/>
  <c r="J997" i="1"/>
  <c r="I997" i="1" a="1"/>
  <c r="I997" i="1" s="1"/>
  <c r="H997" i="1" a="1"/>
  <c r="H997" i="1" s="1"/>
  <c r="F997" i="1" a="1"/>
  <c r="F997" i="1" s="1"/>
  <c r="G997" i="1" s="1"/>
  <c r="E997" i="1"/>
  <c r="N996" i="1" a="1"/>
  <c r="N996" i="1" s="1"/>
  <c r="M996" i="1" a="1"/>
  <c r="M996" i="1" s="1"/>
  <c r="L996" i="1" a="1"/>
  <c r="L996" i="1" s="1"/>
  <c r="K996" i="1" a="1"/>
  <c r="K996" i="1" s="1"/>
  <c r="J996" i="1"/>
  <c r="I996" i="1" a="1"/>
  <c r="I996" i="1" s="1"/>
  <c r="H996" i="1" a="1"/>
  <c r="H996" i="1" s="1"/>
  <c r="F996" i="1" a="1"/>
  <c r="F996" i="1" s="1"/>
  <c r="G996" i="1" s="1"/>
  <c r="E996" i="1"/>
  <c r="N995" i="1" a="1"/>
  <c r="N995" i="1" s="1"/>
  <c r="M995" i="1" a="1"/>
  <c r="M995" i="1" s="1"/>
  <c r="L995" i="1" a="1"/>
  <c r="L995" i="1" s="1"/>
  <c r="K995" i="1" a="1"/>
  <c r="K995" i="1" s="1"/>
  <c r="J995" i="1"/>
  <c r="I995" i="1" a="1"/>
  <c r="I995" i="1" s="1"/>
  <c r="H995" i="1" a="1"/>
  <c r="H995" i="1" s="1"/>
  <c r="F995" i="1" a="1"/>
  <c r="F995" i="1" s="1"/>
  <c r="G995" i="1" s="1"/>
  <c r="E995" i="1"/>
  <c r="N994" i="1" a="1"/>
  <c r="N994" i="1" s="1"/>
  <c r="M994" i="1" a="1"/>
  <c r="M994" i="1" s="1"/>
  <c r="L994" i="1" a="1"/>
  <c r="L994" i="1" s="1"/>
  <c r="K994" i="1" a="1"/>
  <c r="K994" i="1" s="1"/>
  <c r="J994" i="1"/>
  <c r="I994" i="1" a="1"/>
  <c r="I994" i="1" s="1"/>
  <c r="H994" i="1" a="1"/>
  <c r="H994" i="1" s="1"/>
  <c r="F994" i="1" a="1"/>
  <c r="F994" i="1" s="1"/>
  <c r="G994" i="1" s="1"/>
  <c r="E994" i="1"/>
  <c r="N993" i="1" a="1"/>
  <c r="N993" i="1" s="1"/>
  <c r="M993" i="1" a="1"/>
  <c r="M993" i="1" s="1"/>
  <c r="L993" i="1" a="1"/>
  <c r="L993" i="1" s="1"/>
  <c r="K993" i="1" a="1"/>
  <c r="K993" i="1" s="1"/>
  <c r="J993" i="1"/>
  <c r="I993" i="1" a="1"/>
  <c r="I993" i="1" s="1"/>
  <c r="H993" i="1" a="1"/>
  <c r="H993" i="1" s="1"/>
  <c r="F993" i="1" a="1"/>
  <c r="F993" i="1" s="1"/>
  <c r="G993" i="1" s="1"/>
  <c r="E993" i="1"/>
  <c r="N992" i="1" a="1"/>
  <c r="N992" i="1" s="1"/>
  <c r="M992" i="1" a="1"/>
  <c r="M992" i="1" s="1"/>
  <c r="L992" i="1" a="1"/>
  <c r="L992" i="1" s="1"/>
  <c r="K992" i="1" a="1"/>
  <c r="K992" i="1" s="1"/>
  <c r="J992" i="1"/>
  <c r="I992" i="1" a="1"/>
  <c r="I992" i="1" s="1"/>
  <c r="H992" i="1" a="1"/>
  <c r="H992" i="1" s="1"/>
  <c r="F992" i="1" a="1"/>
  <c r="F992" i="1" s="1"/>
  <c r="G992" i="1" s="1"/>
  <c r="E992" i="1"/>
  <c r="N991" i="1" a="1"/>
  <c r="N991" i="1" s="1"/>
  <c r="M991" i="1" a="1"/>
  <c r="M991" i="1" s="1"/>
  <c r="L991" i="1" a="1"/>
  <c r="L991" i="1" s="1"/>
  <c r="K991" i="1" a="1"/>
  <c r="K991" i="1" s="1"/>
  <c r="J991" i="1"/>
  <c r="I991" i="1" a="1"/>
  <c r="I991" i="1" s="1"/>
  <c r="H991" i="1" a="1"/>
  <c r="H991" i="1" s="1"/>
  <c r="F991" i="1" a="1"/>
  <c r="F991" i="1" s="1"/>
  <c r="G991" i="1" s="1"/>
  <c r="E991" i="1"/>
  <c r="N990" i="1" a="1"/>
  <c r="N990" i="1" s="1"/>
  <c r="M990" i="1" a="1"/>
  <c r="M990" i="1" s="1"/>
  <c r="L990" i="1" a="1"/>
  <c r="L990" i="1" s="1"/>
  <c r="K990" i="1" a="1"/>
  <c r="K990" i="1" s="1"/>
  <c r="J990" i="1"/>
  <c r="I990" i="1" a="1"/>
  <c r="I990" i="1" s="1"/>
  <c r="H990" i="1" a="1"/>
  <c r="H990" i="1" s="1"/>
  <c r="F990" i="1" a="1"/>
  <c r="F990" i="1" s="1"/>
  <c r="G990" i="1" s="1"/>
  <c r="E990" i="1"/>
  <c r="N989" i="1" a="1"/>
  <c r="N989" i="1" s="1"/>
  <c r="M989" i="1" a="1"/>
  <c r="M989" i="1" s="1"/>
  <c r="L989" i="1" a="1"/>
  <c r="L989" i="1" s="1"/>
  <c r="K989" i="1" a="1"/>
  <c r="K989" i="1" s="1"/>
  <c r="J989" i="1"/>
  <c r="I989" i="1" a="1"/>
  <c r="I989" i="1" s="1"/>
  <c r="H989" i="1" a="1"/>
  <c r="H989" i="1" s="1"/>
  <c r="F989" i="1" a="1"/>
  <c r="F989" i="1" s="1"/>
  <c r="G989" i="1" s="1"/>
  <c r="E989" i="1"/>
  <c r="N988" i="1" a="1"/>
  <c r="N988" i="1" s="1"/>
  <c r="M988" i="1" a="1"/>
  <c r="M988" i="1" s="1"/>
  <c r="L988" i="1" a="1"/>
  <c r="L988" i="1" s="1"/>
  <c r="K988" i="1" a="1"/>
  <c r="K988" i="1" s="1"/>
  <c r="J988" i="1"/>
  <c r="I988" i="1" a="1"/>
  <c r="I988" i="1" s="1"/>
  <c r="H988" i="1" a="1"/>
  <c r="H988" i="1" s="1"/>
  <c r="F988" i="1" a="1"/>
  <c r="F988" i="1" s="1"/>
  <c r="G988" i="1" s="1"/>
  <c r="E988" i="1"/>
  <c r="N987" i="1" a="1"/>
  <c r="N987" i="1" s="1"/>
  <c r="M987" i="1" a="1"/>
  <c r="M987" i="1" s="1"/>
  <c r="L987" i="1" a="1"/>
  <c r="L987" i="1" s="1"/>
  <c r="K987" i="1" a="1"/>
  <c r="K987" i="1" s="1"/>
  <c r="J987" i="1"/>
  <c r="I987" i="1" a="1"/>
  <c r="I987" i="1" s="1"/>
  <c r="H987" i="1" a="1"/>
  <c r="H987" i="1" s="1"/>
  <c r="F987" i="1" a="1"/>
  <c r="F987" i="1" s="1"/>
  <c r="G987" i="1" s="1"/>
  <c r="E987" i="1"/>
  <c r="N986" i="1" a="1"/>
  <c r="N986" i="1" s="1"/>
  <c r="M986" i="1" a="1"/>
  <c r="M986" i="1" s="1"/>
  <c r="L986" i="1" a="1"/>
  <c r="L986" i="1" s="1"/>
  <c r="K986" i="1" a="1"/>
  <c r="K986" i="1" s="1"/>
  <c r="J986" i="1"/>
  <c r="I986" i="1" a="1"/>
  <c r="I986" i="1" s="1"/>
  <c r="H986" i="1" a="1"/>
  <c r="H986" i="1" s="1"/>
  <c r="F986" i="1" a="1"/>
  <c r="F986" i="1" s="1"/>
  <c r="G986" i="1" s="1"/>
  <c r="E986" i="1"/>
  <c r="N985" i="1" a="1"/>
  <c r="N985" i="1" s="1"/>
  <c r="M985" i="1" a="1"/>
  <c r="M985" i="1" s="1"/>
  <c r="L985" i="1" a="1"/>
  <c r="L985" i="1" s="1"/>
  <c r="K985" i="1" a="1"/>
  <c r="K985" i="1" s="1"/>
  <c r="J985" i="1"/>
  <c r="I985" i="1" a="1"/>
  <c r="I985" i="1" s="1"/>
  <c r="H985" i="1" a="1"/>
  <c r="H985" i="1" s="1"/>
  <c r="F985" i="1" a="1"/>
  <c r="F985" i="1" s="1"/>
  <c r="G985" i="1" s="1"/>
  <c r="E985" i="1"/>
  <c r="N984" i="1" a="1"/>
  <c r="N984" i="1" s="1"/>
  <c r="M984" i="1" a="1"/>
  <c r="M984" i="1" s="1"/>
  <c r="L984" i="1" a="1"/>
  <c r="L984" i="1" s="1"/>
  <c r="K984" i="1" a="1"/>
  <c r="K984" i="1" s="1"/>
  <c r="J984" i="1"/>
  <c r="I984" i="1" a="1"/>
  <c r="I984" i="1" s="1"/>
  <c r="H984" i="1" a="1"/>
  <c r="H984" i="1" s="1"/>
  <c r="F984" i="1" a="1"/>
  <c r="F984" i="1" s="1"/>
  <c r="G984" i="1" s="1"/>
  <c r="E984" i="1"/>
  <c r="N983" i="1" a="1"/>
  <c r="N983" i="1" s="1"/>
  <c r="M983" i="1" a="1"/>
  <c r="M983" i="1" s="1"/>
  <c r="L983" i="1" a="1"/>
  <c r="L983" i="1" s="1"/>
  <c r="K983" i="1" a="1"/>
  <c r="K983" i="1" s="1"/>
  <c r="J983" i="1"/>
  <c r="I983" i="1" a="1"/>
  <c r="I983" i="1" s="1"/>
  <c r="H983" i="1" a="1"/>
  <c r="H983" i="1" s="1"/>
  <c r="F983" i="1" a="1"/>
  <c r="F983" i="1" s="1"/>
  <c r="G983" i="1" s="1"/>
  <c r="E983" i="1"/>
  <c r="N982" i="1" a="1"/>
  <c r="N982" i="1" s="1"/>
  <c r="M982" i="1" a="1"/>
  <c r="M982" i="1" s="1"/>
  <c r="L982" i="1" a="1"/>
  <c r="L982" i="1" s="1"/>
  <c r="K982" i="1" a="1"/>
  <c r="K982" i="1" s="1"/>
  <c r="J982" i="1"/>
  <c r="I982" i="1" a="1"/>
  <c r="I982" i="1" s="1"/>
  <c r="H982" i="1" a="1"/>
  <c r="H982" i="1" s="1"/>
  <c r="F982" i="1" a="1"/>
  <c r="F982" i="1" s="1"/>
  <c r="G982" i="1" s="1"/>
  <c r="E982" i="1"/>
  <c r="N981" i="1" a="1"/>
  <c r="N981" i="1" s="1"/>
  <c r="M981" i="1" a="1"/>
  <c r="M981" i="1" s="1"/>
  <c r="L981" i="1" a="1"/>
  <c r="L981" i="1" s="1"/>
  <c r="K981" i="1" a="1"/>
  <c r="K981" i="1" s="1"/>
  <c r="J981" i="1"/>
  <c r="I981" i="1" a="1"/>
  <c r="I981" i="1" s="1"/>
  <c r="H981" i="1" a="1"/>
  <c r="H981" i="1" s="1"/>
  <c r="F981" i="1" a="1"/>
  <c r="F981" i="1" s="1"/>
  <c r="G981" i="1" s="1"/>
  <c r="E981" i="1"/>
  <c r="N980" i="1" a="1"/>
  <c r="N980" i="1" s="1"/>
  <c r="M980" i="1" a="1"/>
  <c r="M980" i="1" s="1"/>
  <c r="L980" i="1" a="1"/>
  <c r="L980" i="1" s="1"/>
  <c r="K980" i="1" a="1"/>
  <c r="K980" i="1" s="1"/>
  <c r="J980" i="1"/>
  <c r="I980" i="1" a="1"/>
  <c r="I980" i="1" s="1"/>
  <c r="H980" i="1" a="1"/>
  <c r="H980" i="1" s="1"/>
  <c r="F980" i="1" a="1"/>
  <c r="F980" i="1" s="1"/>
  <c r="G980" i="1" s="1"/>
  <c r="E980" i="1"/>
  <c r="N979" i="1" a="1"/>
  <c r="N979" i="1" s="1"/>
  <c r="M979" i="1" a="1"/>
  <c r="M979" i="1" s="1"/>
  <c r="L979" i="1" a="1"/>
  <c r="L979" i="1" s="1"/>
  <c r="K979" i="1" a="1"/>
  <c r="K979" i="1" s="1"/>
  <c r="J979" i="1"/>
  <c r="I979" i="1" a="1"/>
  <c r="I979" i="1" s="1"/>
  <c r="H979" i="1" a="1"/>
  <c r="H979" i="1" s="1"/>
  <c r="F979" i="1" a="1"/>
  <c r="F979" i="1" s="1"/>
  <c r="G979" i="1" s="1"/>
  <c r="E979" i="1"/>
  <c r="N978" i="1" a="1"/>
  <c r="N978" i="1" s="1"/>
  <c r="M978" i="1" a="1"/>
  <c r="M978" i="1" s="1"/>
  <c r="L978" i="1" a="1"/>
  <c r="L978" i="1" s="1"/>
  <c r="K978" i="1" a="1"/>
  <c r="K978" i="1" s="1"/>
  <c r="J978" i="1"/>
  <c r="I978" i="1" a="1"/>
  <c r="I978" i="1" s="1"/>
  <c r="H978" i="1" a="1"/>
  <c r="H978" i="1" s="1"/>
  <c r="F978" i="1" a="1"/>
  <c r="F978" i="1" s="1"/>
  <c r="G978" i="1" s="1"/>
  <c r="E978" i="1"/>
  <c r="N977" i="1" a="1"/>
  <c r="N977" i="1" s="1"/>
  <c r="M977" i="1" a="1"/>
  <c r="M977" i="1" s="1"/>
  <c r="L977" i="1" a="1"/>
  <c r="L977" i="1" s="1"/>
  <c r="K977" i="1" a="1"/>
  <c r="K977" i="1" s="1"/>
  <c r="J977" i="1"/>
  <c r="I977" i="1" a="1"/>
  <c r="I977" i="1" s="1"/>
  <c r="H977" i="1" a="1"/>
  <c r="H977" i="1" s="1"/>
  <c r="F977" i="1" a="1"/>
  <c r="F977" i="1" s="1"/>
  <c r="G977" i="1" s="1"/>
  <c r="E977" i="1"/>
  <c r="N976" i="1" a="1"/>
  <c r="N976" i="1" s="1"/>
  <c r="M976" i="1" a="1"/>
  <c r="M976" i="1" s="1"/>
  <c r="L976" i="1" a="1"/>
  <c r="L976" i="1" s="1"/>
  <c r="K976" i="1" a="1"/>
  <c r="K976" i="1" s="1"/>
  <c r="J976" i="1"/>
  <c r="I976" i="1" a="1"/>
  <c r="I976" i="1" s="1"/>
  <c r="H976" i="1" a="1"/>
  <c r="H976" i="1" s="1"/>
  <c r="F976" i="1" a="1"/>
  <c r="F976" i="1" s="1"/>
  <c r="G976" i="1" s="1"/>
  <c r="E976" i="1"/>
  <c r="N975" i="1" a="1"/>
  <c r="N975" i="1" s="1"/>
  <c r="M975" i="1" a="1"/>
  <c r="M975" i="1" s="1"/>
  <c r="L975" i="1" a="1"/>
  <c r="L975" i="1" s="1"/>
  <c r="K975" i="1" a="1"/>
  <c r="K975" i="1" s="1"/>
  <c r="J975" i="1"/>
  <c r="I975" i="1" a="1"/>
  <c r="I975" i="1" s="1"/>
  <c r="H975" i="1" a="1"/>
  <c r="H975" i="1" s="1"/>
  <c r="F975" i="1" a="1"/>
  <c r="F975" i="1" s="1"/>
  <c r="G975" i="1" s="1"/>
  <c r="E975" i="1"/>
  <c r="N974" i="1" a="1"/>
  <c r="N974" i="1" s="1"/>
  <c r="M974" i="1" a="1"/>
  <c r="M974" i="1" s="1"/>
  <c r="L974" i="1" a="1"/>
  <c r="L974" i="1" s="1"/>
  <c r="K974" i="1" a="1"/>
  <c r="K974" i="1" s="1"/>
  <c r="J974" i="1"/>
  <c r="I974" i="1" a="1"/>
  <c r="I974" i="1" s="1"/>
  <c r="H974" i="1" a="1"/>
  <c r="H974" i="1" s="1"/>
  <c r="F974" i="1" a="1"/>
  <c r="F974" i="1" s="1"/>
  <c r="G974" i="1" s="1"/>
  <c r="E974" i="1"/>
  <c r="N973" i="1" a="1"/>
  <c r="N973" i="1" s="1"/>
  <c r="M973" i="1" a="1"/>
  <c r="M973" i="1" s="1"/>
  <c r="L973" i="1" a="1"/>
  <c r="L973" i="1" s="1"/>
  <c r="K973" i="1" a="1"/>
  <c r="K973" i="1" s="1"/>
  <c r="J973" i="1"/>
  <c r="I973" i="1" a="1"/>
  <c r="I973" i="1" s="1"/>
  <c r="H973" i="1" a="1"/>
  <c r="H973" i="1" s="1"/>
  <c r="F973" i="1" a="1"/>
  <c r="F973" i="1" s="1"/>
  <c r="G973" i="1" s="1"/>
  <c r="E973" i="1"/>
  <c r="N972" i="1" a="1"/>
  <c r="N972" i="1" s="1"/>
  <c r="M972" i="1" a="1"/>
  <c r="M972" i="1" s="1"/>
  <c r="L972" i="1" a="1"/>
  <c r="L972" i="1" s="1"/>
  <c r="K972" i="1" a="1"/>
  <c r="K972" i="1" s="1"/>
  <c r="J972" i="1"/>
  <c r="I972" i="1" a="1"/>
  <c r="I972" i="1" s="1"/>
  <c r="H972" i="1" a="1"/>
  <c r="H972" i="1" s="1"/>
  <c r="F972" i="1" a="1"/>
  <c r="F972" i="1" s="1"/>
  <c r="G972" i="1" s="1"/>
  <c r="E972" i="1"/>
  <c r="N971" i="1" a="1"/>
  <c r="N971" i="1" s="1"/>
  <c r="M971" i="1" a="1"/>
  <c r="M971" i="1" s="1"/>
  <c r="L971" i="1" a="1"/>
  <c r="L971" i="1" s="1"/>
  <c r="K971" i="1" a="1"/>
  <c r="K971" i="1" s="1"/>
  <c r="J971" i="1"/>
  <c r="I971" i="1" a="1"/>
  <c r="I971" i="1" s="1"/>
  <c r="H971" i="1" a="1"/>
  <c r="H971" i="1" s="1"/>
  <c r="F971" i="1" a="1"/>
  <c r="F971" i="1" s="1"/>
  <c r="G971" i="1" s="1"/>
  <c r="E971" i="1"/>
  <c r="N970" i="1" a="1"/>
  <c r="N970" i="1" s="1"/>
  <c r="M970" i="1" a="1"/>
  <c r="M970" i="1" s="1"/>
  <c r="L970" i="1" a="1"/>
  <c r="L970" i="1" s="1"/>
  <c r="K970" i="1" a="1"/>
  <c r="K970" i="1" s="1"/>
  <c r="J970" i="1"/>
  <c r="I970" i="1" a="1"/>
  <c r="I970" i="1" s="1"/>
  <c r="H970" i="1" a="1"/>
  <c r="H970" i="1" s="1"/>
  <c r="F970" i="1" a="1"/>
  <c r="F970" i="1" s="1"/>
  <c r="G970" i="1" s="1"/>
  <c r="E970" i="1"/>
  <c r="N969" i="1" a="1"/>
  <c r="N969" i="1" s="1"/>
  <c r="M969" i="1" a="1"/>
  <c r="M969" i="1" s="1"/>
  <c r="L969" i="1" a="1"/>
  <c r="L969" i="1" s="1"/>
  <c r="K969" i="1" a="1"/>
  <c r="K969" i="1" s="1"/>
  <c r="J969" i="1"/>
  <c r="I969" i="1" a="1"/>
  <c r="I969" i="1" s="1"/>
  <c r="H969" i="1" a="1"/>
  <c r="H969" i="1" s="1"/>
  <c r="F969" i="1" a="1"/>
  <c r="F969" i="1" s="1"/>
  <c r="G969" i="1" s="1"/>
  <c r="E969" i="1"/>
  <c r="N968" i="1" a="1"/>
  <c r="N968" i="1" s="1"/>
  <c r="M968" i="1" a="1"/>
  <c r="M968" i="1" s="1"/>
  <c r="L968" i="1" a="1"/>
  <c r="L968" i="1" s="1"/>
  <c r="K968" i="1" a="1"/>
  <c r="K968" i="1" s="1"/>
  <c r="J968" i="1"/>
  <c r="I968" i="1" a="1"/>
  <c r="I968" i="1" s="1"/>
  <c r="H968" i="1" a="1"/>
  <c r="H968" i="1" s="1"/>
  <c r="F968" i="1" a="1"/>
  <c r="F968" i="1" s="1"/>
  <c r="G968" i="1" s="1"/>
  <c r="E968" i="1"/>
  <c r="N967" i="1" a="1"/>
  <c r="N967" i="1" s="1"/>
  <c r="M967" i="1" a="1"/>
  <c r="M967" i="1" s="1"/>
  <c r="L967" i="1" a="1"/>
  <c r="L967" i="1" s="1"/>
  <c r="K967" i="1" a="1"/>
  <c r="K967" i="1" s="1"/>
  <c r="J967" i="1"/>
  <c r="I967" i="1" a="1"/>
  <c r="I967" i="1" s="1"/>
  <c r="H967" i="1" a="1"/>
  <c r="H967" i="1" s="1"/>
  <c r="F967" i="1" a="1"/>
  <c r="F967" i="1" s="1"/>
  <c r="G967" i="1" s="1"/>
  <c r="E967" i="1"/>
  <c r="N966" i="1" a="1"/>
  <c r="N966" i="1" s="1"/>
  <c r="M966" i="1" a="1"/>
  <c r="M966" i="1" s="1"/>
  <c r="L966" i="1" a="1"/>
  <c r="L966" i="1" s="1"/>
  <c r="K966" i="1" a="1"/>
  <c r="K966" i="1" s="1"/>
  <c r="J966" i="1"/>
  <c r="I966" i="1" a="1"/>
  <c r="I966" i="1" s="1"/>
  <c r="H966" i="1" a="1"/>
  <c r="H966" i="1" s="1"/>
  <c r="F966" i="1" a="1"/>
  <c r="F966" i="1" s="1"/>
  <c r="G966" i="1" s="1"/>
  <c r="E966" i="1"/>
  <c r="N965" i="1" a="1"/>
  <c r="N965" i="1" s="1"/>
  <c r="M965" i="1" a="1"/>
  <c r="M965" i="1" s="1"/>
  <c r="L965" i="1" a="1"/>
  <c r="L965" i="1" s="1"/>
  <c r="K965" i="1" a="1"/>
  <c r="K965" i="1" s="1"/>
  <c r="J965" i="1"/>
  <c r="I965" i="1" a="1"/>
  <c r="I965" i="1" s="1"/>
  <c r="H965" i="1" a="1"/>
  <c r="H965" i="1" s="1"/>
  <c r="F965" i="1" a="1"/>
  <c r="F965" i="1" s="1"/>
  <c r="G965" i="1" s="1"/>
  <c r="E965" i="1"/>
  <c r="N964" i="1" a="1"/>
  <c r="N964" i="1" s="1"/>
  <c r="M964" i="1" a="1"/>
  <c r="M964" i="1" s="1"/>
  <c r="L964" i="1" a="1"/>
  <c r="L964" i="1" s="1"/>
  <c r="K964" i="1" a="1"/>
  <c r="K964" i="1" s="1"/>
  <c r="J964" i="1"/>
  <c r="I964" i="1" a="1"/>
  <c r="I964" i="1" s="1"/>
  <c r="H964" i="1" a="1"/>
  <c r="H964" i="1" s="1"/>
  <c r="F964" i="1" a="1"/>
  <c r="F964" i="1" s="1"/>
  <c r="G964" i="1" s="1"/>
  <c r="E964" i="1"/>
  <c r="N963" i="1" a="1"/>
  <c r="N963" i="1" s="1"/>
  <c r="M963" i="1" a="1"/>
  <c r="M963" i="1" s="1"/>
  <c r="L963" i="1" a="1"/>
  <c r="L963" i="1" s="1"/>
  <c r="K963" i="1" a="1"/>
  <c r="K963" i="1" s="1"/>
  <c r="J963" i="1"/>
  <c r="I963" i="1" a="1"/>
  <c r="I963" i="1" s="1"/>
  <c r="H963" i="1" a="1"/>
  <c r="H963" i="1" s="1"/>
  <c r="F963" i="1" a="1"/>
  <c r="F963" i="1" s="1"/>
  <c r="G963" i="1" s="1"/>
  <c r="E963" i="1"/>
  <c r="N962" i="1" a="1"/>
  <c r="N962" i="1" s="1"/>
  <c r="M962" i="1" a="1"/>
  <c r="M962" i="1" s="1"/>
  <c r="L962" i="1" a="1"/>
  <c r="L962" i="1" s="1"/>
  <c r="K962" i="1" a="1"/>
  <c r="K962" i="1" s="1"/>
  <c r="J962" i="1"/>
  <c r="I962" i="1" a="1"/>
  <c r="I962" i="1" s="1"/>
  <c r="H962" i="1" a="1"/>
  <c r="H962" i="1" s="1"/>
  <c r="F962" i="1" a="1"/>
  <c r="F962" i="1" s="1"/>
  <c r="G962" i="1" s="1"/>
  <c r="E962" i="1"/>
  <c r="N961" i="1" a="1"/>
  <c r="N961" i="1" s="1"/>
  <c r="M961" i="1" a="1"/>
  <c r="M961" i="1" s="1"/>
  <c r="L961" i="1" a="1"/>
  <c r="L961" i="1" s="1"/>
  <c r="K961" i="1" a="1"/>
  <c r="K961" i="1" s="1"/>
  <c r="J961" i="1"/>
  <c r="I961" i="1" a="1"/>
  <c r="I961" i="1" s="1"/>
  <c r="H961" i="1" a="1"/>
  <c r="H961" i="1" s="1"/>
  <c r="F961" i="1" a="1"/>
  <c r="F961" i="1" s="1"/>
  <c r="G961" i="1" s="1"/>
  <c r="E961" i="1"/>
  <c r="N960" i="1" a="1"/>
  <c r="N960" i="1" s="1"/>
  <c r="M960" i="1" a="1"/>
  <c r="M960" i="1" s="1"/>
  <c r="L960" i="1" a="1"/>
  <c r="L960" i="1" s="1"/>
  <c r="K960" i="1" a="1"/>
  <c r="K960" i="1" s="1"/>
  <c r="J960" i="1"/>
  <c r="I960" i="1" a="1"/>
  <c r="I960" i="1" s="1"/>
  <c r="H960" i="1" a="1"/>
  <c r="H960" i="1" s="1"/>
  <c r="F960" i="1" a="1"/>
  <c r="F960" i="1" s="1"/>
  <c r="G960" i="1" s="1"/>
  <c r="E960" i="1"/>
  <c r="N959" i="1" a="1"/>
  <c r="N959" i="1" s="1"/>
  <c r="M959" i="1" a="1"/>
  <c r="M959" i="1" s="1"/>
  <c r="L959" i="1" a="1"/>
  <c r="L959" i="1" s="1"/>
  <c r="K959" i="1" a="1"/>
  <c r="K959" i="1" s="1"/>
  <c r="J959" i="1"/>
  <c r="I959" i="1" a="1"/>
  <c r="I959" i="1" s="1"/>
  <c r="H959" i="1" a="1"/>
  <c r="H959" i="1" s="1"/>
  <c r="F959" i="1" a="1"/>
  <c r="F959" i="1" s="1"/>
  <c r="G959" i="1" s="1"/>
  <c r="E959" i="1"/>
  <c r="N958" i="1" a="1"/>
  <c r="N958" i="1" s="1"/>
  <c r="M958" i="1" a="1"/>
  <c r="M958" i="1" s="1"/>
  <c r="L958" i="1" a="1"/>
  <c r="L958" i="1" s="1"/>
  <c r="K958" i="1" a="1"/>
  <c r="K958" i="1" s="1"/>
  <c r="J958" i="1"/>
  <c r="I958" i="1" a="1"/>
  <c r="I958" i="1" s="1"/>
  <c r="H958" i="1" a="1"/>
  <c r="H958" i="1" s="1"/>
  <c r="F958" i="1" a="1"/>
  <c r="F958" i="1" s="1"/>
  <c r="G958" i="1" s="1"/>
  <c r="E958" i="1"/>
  <c r="N957" i="1" a="1"/>
  <c r="N957" i="1" s="1"/>
  <c r="M957" i="1" a="1"/>
  <c r="M957" i="1" s="1"/>
  <c r="L957" i="1" a="1"/>
  <c r="L957" i="1" s="1"/>
  <c r="K957" i="1" a="1"/>
  <c r="K957" i="1" s="1"/>
  <c r="J957" i="1"/>
  <c r="I957" i="1" a="1"/>
  <c r="I957" i="1" s="1"/>
  <c r="H957" i="1" a="1"/>
  <c r="H957" i="1" s="1"/>
  <c r="F957" i="1" a="1"/>
  <c r="F957" i="1" s="1"/>
  <c r="G957" i="1" s="1"/>
  <c r="E957" i="1"/>
  <c r="N956" i="1" a="1"/>
  <c r="N956" i="1" s="1"/>
  <c r="M956" i="1" a="1"/>
  <c r="M956" i="1" s="1"/>
  <c r="L956" i="1" a="1"/>
  <c r="L956" i="1" s="1"/>
  <c r="K956" i="1" a="1"/>
  <c r="K956" i="1" s="1"/>
  <c r="J956" i="1"/>
  <c r="I956" i="1" a="1"/>
  <c r="I956" i="1" s="1"/>
  <c r="H956" i="1" a="1"/>
  <c r="H956" i="1" s="1"/>
  <c r="F956" i="1" a="1"/>
  <c r="F956" i="1" s="1"/>
  <c r="G956" i="1" s="1"/>
  <c r="E956" i="1"/>
  <c r="N955" i="1" a="1"/>
  <c r="N955" i="1" s="1"/>
  <c r="M955" i="1" a="1"/>
  <c r="M955" i="1" s="1"/>
  <c r="L955" i="1" a="1"/>
  <c r="L955" i="1" s="1"/>
  <c r="K955" i="1" a="1"/>
  <c r="K955" i="1" s="1"/>
  <c r="J955" i="1"/>
  <c r="I955" i="1" a="1"/>
  <c r="I955" i="1" s="1"/>
  <c r="H955" i="1" a="1"/>
  <c r="H955" i="1" s="1"/>
  <c r="F955" i="1" a="1"/>
  <c r="F955" i="1" s="1"/>
  <c r="G955" i="1" s="1"/>
  <c r="E955" i="1"/>
  <c r="N954" i="1" a="1"/>
  <c r="N954" i="1" s="1"/>
  <c r="M954" i="1" a="1"/>
  <c r="M954" i="1" s="1"/>
  <c r="L954" i="1" a="1"/>
  <c r="L954" i="1" s="1"/>
  <c r="K954" i="1" a="1"/>
  <c r="K954" i="1" s="1"/>
  <c r="J954" i="1"/>
  <c r="I954" i="1" a="1"/>
  <c r="I954" i="1" s="1"/>
  <c r="H954" i="1" a="1"/>
  <c r="H954" i="1" s="1"/>
  <c r="F954" i="1" a="1"/>
  <c r="F954" i="1" s="1"/>
  <c r="G954" i="1" s="1"/>
  <c r="E954" i="1"/>
  <c r="N953" i="1" a="1"/>
  <c r="N953" i="1" s="1"/>
  <c r="M953" i="1" a="1"/>
  <c r="M953" i="1" s="1"/>
  <c r="L953" i="1" a="1"/>
  <c r="L953" i="1" s="1"/>
  <c r="K953" i="1" a="1"/>
  <c r="K953" i="1" s="1"/>
  <c r="J953" i="1"/>
  <c r="I953" i="1" a="1"/>
  <c r="I953" i="1" s="1"/>
  <c r="H953" i="1" a="1"/>
  <c r="H953" i="1" s="1"/>
  <c r="F953" i="1" a="1"/>
  <c r="F953" i="1" s="1"/>
  <c r="G953" i="1" s="1"/>
  <c r="E953" i="1"/>
  <c r="N952" i="1" a="1"/>
  <c r="N952" i="1" s="1"/>
  <c r="M952" i="1" a="1"/>
  <c r="M952" i="1" s="1"/>
  <c r="L952" i="1" a="1"/>
  <c r="L952" i="1" s="1"/>
  <c r="K952" i="1" a="1"/>
  <c r="K952" i="1" s="1"/>
  <c r="J952" i="1"/>
  <c r="I952" i="1" a="1"/>
  <c r="I952" i="1" s="1"/>
  <c r="H952" i="1" a="1"/>
  <c r="H952" i="1" s="1"/>
  <c r="F952" i="1" a="1"/>
  <c r="F952" i="1" s="1"/>
  <c r="G952" i="1" s="1"/>
  <c r="E952" i="1"/>
  <c r="N951" i="1" a="1"/>
  <c r="N951" i="1" s="1"/>
  <c r="M951" i="1" a="1"/>
  <c r="M951" i="1" s="1"/>
  <c r="L951" i="1" a="1"/>
  <c r="L951" i="1" s="1"/>
  <c r="K951" i="1" a="1"/>
  <c r="K951" i="1" s="1"/>
  <c r="J951" i="1"/>
  <c r="I951" i="1" a="1"/>
  <c r="I951" i="1" s="1"/>
  <c r="H951" i="1" a="1"/>
  <c r="H951" i="1" s="1"/>
  <c r="F951" i="1" a="1"/>
  <c r="F951" i="1" s="1"/>
  <c r="G951" i="1" s="1"/>
  <c r="E951" i="1"/>
  <c r="N950" i="1" a="1"/>
  <c r="N950" i="1" s="1"/>
  <c r="M950" i="1" a="1"/>
  <c r="M950" i="1" s="1"/>
  <c r="L950" i="1" a="1"/>
  <c r="L950" i="1" s="1"/>
  <c r="K950" i="1" a="1"/>
  <c r="K950" i="1" s="1"/>
  <c r="J950" i="1"/>
  <c r="I950" i="1" a="1"/>
  <c r="I950" i="1" s="1"/>
  <c r="H950" i="1" a="1"/>
  <c r="H950" i="1" s="1"/>
  <c r="F950" i="1" a="1"/>
  <c r="F950" i="1" s="1"/>
  <c r="G950" i="1" s="1"/>
  <c r="E950" i="1"/>
  <c r="N949" i="1" a="1"/>
  <c r="N949" i="1" s="1"/>
  <c r="M949" i="1" a="1"/>
  <c r="M949" i="1" s="1"/>
  <c r="L949" i="1" a="1"/>
  <c r="L949" i="1" s="1"/>
  <c r="K949" i="1" a="1"/>
  <c r="K949" i="1" s="1"/>
  <c r="J949" i="1"/>
  <c r="I949" i="1" a="1"/>
  <c r="I949" i="1" s="1"/>
  <c r="H949" i="1" a="1"/>
  <c r="H949" i="1" s="1"/>
  <c r="F949" i="1" a="1"/>
  <c r="F949" i="1" s="1"/>
  <c r="G949" i="1" s="1"/>
  <c r="E949" i="1"/>
  <c r="N948" i="1" a="1"/>
  <c r="N948" i="1" s="1"/>
  <c r="M948" i="1"/>
  <c r="M948" i="1" a="1"/>
  <c r="L948" i="1" a="1"/>
  <c r="L948" i="1" s="1"/>
  <c r="K948" i="1" a="1"/>
  <c r="K948" i="1" s="1"/>
  <c r="J948" i="1"/>
  <c r="I948" i="1" a="1"/>
  <c r="I948" i="1" s="1"/>
  <c r="H948" i="1" a="1"/>
  <c r="H948" i="1" s="1"/>
  <c r="F948" i="1" a="1"/>
  <c r="F948" i="1" s="1"/>
  <c r="G948" i="1" s="1"/>
  <c r="E948" i="1"/>
  <c r="N947" i="1" a="1"/>
  <c r="N947" i="1" s="1"/>
  <c r="M947" i="1" a="1"/>
  <c r="M947" i="1" s="1"/>
  <c r="L947" i="1" a="1"/>
  <c r="L947" i="1" s="1"/>
  <c r="K947" i="1" a="1"/>
  <c r="K947" i="1" s="1"/>
  <c r="J947" i="1"/>
  <c r="I947" i="1" a="1"/>
  <c r="I947" i="1" s="1"/>
  <c r="H947" i="1" a="1"/>
  <c r="H947" i="1" s="1"/>
  <c r="F947" i="1" a="1"/>
  <c r="F947" i="1" s="1"/>
  <c r="G947" i="1" s="1"/>
  <c r="E947" i="1"/>
  <c r="N946" i="1" a="1"/>
  <c r="N946" i="1" s="1"/>
  <c r="M946" i="1" a="1"/>
  <c r="M946" i="1" s="1"/>
  <c r="L946" i="1" a="1"/>
  <c r="L946" i="1" s="1"/>
  <c r="K946" i="1" a="1"/>
  <c r="K946" i="1" s="1"/>
  <c r="J946" i="1"/>
  <c r="I946" i="1" a="1"/>
  <c r="I946" i="1" s="1"/>
  <c r="H946" i="1" a="1"/>
  <c r="H946" i="1" s="1"/>
  <c r="F946" i="1" a="1"/>
  <c r="F946" i="1" s="1"/>
  <c r="G946" i="1" s="1"/>
  <c r="E946" i="1"/>
  <c r="N945" i="1" a="1"/>
  <c r="N945" i="1" s="1"/>
  <c r="M945" i="1" a="1"/>
  <c r="M945" i="1" s="1"/>
  <c r="L945" i="1" a="1"/>
  <c r="L945" i="1" s="1"/>
  <c r="K945" i="1" a="1"/>
  <c r="K945" i="1" s="1"/>
  <c r="J945" i="1"/>
  <c r="I945" i="1" a="1"/>
  <c r="I945" i="1" s="1"/>
  <c r="H945" i="1" a="1"/>
  <c r="H945" i="1" s="1"/>
  <c r="F945" i="1" a="1"/>
  <c r="F945" i="1" s="1"/>
  <c r="G945" i="1" s="1"/>
  <c r="E945" i="1"/>
  <c r="N944" i="1" a="1"/>
  <c r="N944" i="1" s="1"/>
  <c r="M944" i="1" a="1"/>
  <c r="M944" i="1" s="1"/>
  <c r="L944" i="1" a="1"/>
  <c r="L944" i="1" s="1"/>
  <c r="K944" i="1" a="1"/>
  <c r="K944" i="1" s="1"/>
  <c r="J944" i="1"/>
  <c r="I944" i="1" a="1"/>
  <c r="I944" i="1" s="1"/>
  <c r="H944" i="1" a="1"/>
  <c r="H944" i="1" s="1"/>
  <c r="F944" i="1" a="1"/>
  <c r="F944" i="1" s="1"/>
  <c r="G944" i="1" s="1"/>
  <c r="E944" i="1"/>
  <c r="N943" i="1" a="1"/>
  <c r="N943" i="1" s="1"/>
  <c r="M943" i="1" a="1"/>
  <c r="M943" i="1" s="1"/>
  <c r="L943" i="1" a="1"/>
  <c r="L943" i="1" s="1"/>
  <c r="K943" i="1" a="1"/>
  <c r="K943" i="1" s="1"/>
  <c r="J943" i="1"/>
  <c r="I943" i="1" a="1"/>
  <c r="I943" i="1" s="1"/>
  <c r="H943" i="1" a="1"/>
  <c r="H943" i="1" s="1"/>
  <c r="F943" i="1" a="1"/>
  <c r="F943" i="1" s="1"/>
  <c r="G943" i="1" s="1"/>
  <c r="E943" i="1"/>
  <c r="N942" i="1" a="1"/>
  <c r="N942" i="1" s="1"/>
  <c r="M942" i="1" a="1"/>
  <c r="M942" i="1" s="1"/>
  <c r="L942" i="1" a="1"/>
  <c r="L942" i="1" s="1"/>
  <c r="K942" i="1" a="1"/>
  <c r="K942" i="1" s="1"/>
  <c r="J942" i="1"/>
  <c r="I942" i="1" a="1"/>
  <c r="I942" i="1" s="1"/>
  <c r="H942" i="1" a="1"/>
  <c r="H942" i="1" s="1"/>
  <c r="F942" i="1" a="1"/>
  <c r="F942" i="1" s="1"/>
  <c r="G942" i="1" s="1"/>
  <c r="E942" i="1"/>
  <c r="N941" i="1" a="1"/>
  <c r="N941" i="1" s="1"/>
  <c r="M941" i="1" a="1"/>
  <c r="M941" i="1" s="1"/>
  <c r="L941" i="1" a="1"/>
  <c r="L941" i="1" s="1"/>
  <c r="K941" i="1" a="1"/>
  <c r="K941" i="1" s="1"/>
  <c r="J941" i="1"/>
  <c r="I941" i="1" a="1"/>
  <c r="I941" i="1" s="1"/>
  <c r="H941" i="1" a="1"/>
  <c r="H941" i="1" s="1"/>
  <c r="F941" i="1" a="1"/>
  <c r="F941" i="1" s="1"/>
  <c r="G941" i="1" s="1"/>
  <c r="E941" i="1"/>
  <c r="N940" i="1" a="1"/>
  <c r="N940" i="1" s="1"/>
  <c r="M940" i="1" a="1"/>
  <c r="M940" i="1" s="1"/>
  <c r="L940" i="1" a="1"/>
  <c r="L940" i="1" s="1"/>
  <c r="K940" i="1" a="1"/>
  <c r="K940" i="1" s="1"/>
  <c r="J940" i="1"/>
  <c r="I940" i="1" a="1"/>
  <c r="I940" i="1" s="1"/>
  <c r="H940" i="1" a="1"/>
  <c r="H940" i="1" s="1"/>
  <c r="F940" i="1" a="1"/>
  <c r="F940" i="1" s="1"/>
  <c r="G940" i="1" s="1"/>
  <c r="E940" i="1"/>
  <c r="N939" i="1" a="1"/>
  <c r="N939" i="1" s="1"/>
  <c r="M939" i="1" a="1"/>
  <c r="M939" i="1" s="1"/>
  <c r="L939" i="1" a="1"/>
  <c r="L939" i="1" s="1"/>
  <c r="K939" i="1" a="1"/>
  <c r="K939" i="1" s="1"/>
  <c r="J939" i="1"/>
  <c r="I939" i="1" a="1"/>
  <c r="I939" i="1" s="1"/>
  <c r="H939" i="1" a="1"/>
  <c r="H939" i="1" s="1"/>
  <c r="F939" i="1" a="1"/>
  <c r="F939" i="1" s="1"/>
  <c r="G939" i="1" s="1"/>
  <c r="E939" i="1"/>
  <c r="N938" i="1" a="1"/>
  <c r="N938" i="1" s="1"/>
  <c r="M938" i="1" a="1"/>
  <c r="M938" i="1" s="1"/>
  <c r="L938" i="1" a="1"/>
  <c r="L938" i="1" s="1"/>
  <c r="K938" i="1" a="1"/>
  <c r="K938" i="1" s="1"/>
  <c r="J938" i="1"/>
  <c r="I938" i="1" a="1"/>
  <c r="I938" i="1" s="1"/>
  <c r="H938" i="1" a="1"/>
  <c r="H938" i="1" s="1"/>
  <c r="F938" i="1" a="1"/>
  <c r="F938" i="1" s="1"/>
  <c r="G938" i="1" s="1"/>
  <c r="E938" i="1"/>
  <c r="N937" i="1" a="1"/>
  <c r="N937" i="1" s="1"/>
  <c r="M937" i="1" a="1"/>
  <c r="M937" i="1" s="1"/>
  <c r="L937" i="1" a="1"/>
  <c r="L937" i="1" s="1"/>
  <c r="K937" i="1" a="1"/>
  <c r="K937" i="1" s="1"/>
  <c r="J937" i="1"/>
  <c r="I937" i="1" a="1"/>
  <c r="I937" i="1" s="1"/>
  <c r="H937" i="1" a="1"/>
  <c r="H937" i="1" s="1"/>
  <c r="F937" i="1" a="1"/>
  <c r="F937" i="1" s="1"/>
  <c r="G937" i="1" s="1"/>
  <c r="E937" i="1"/>
  <c r="N936" i="1" a="1"/>
  <c r="N936" i="1" s="1"/>
  <c r="M936" i="1" a="1"/>
  <c r="M936" i="1" s="1"/>
  <c r="L936" i="1" a="1"/>
  <c r="L936" i="1" s="1"/>
  <c r="K936" i="1" a="1"/>
  <c r="K936" i="1" s="1"/>
  <c r="J936" i="1"/>
  <c r="I936" i="1" a="1"/>
  <c r="I936" i="1" s="1"/>
  <c r="H936" i="1" a="1"/>
  <c r="H936" i="1" s="1"/>
  <c r="F936" i="1" a="1"/>
  <c r="F936" i="1" s="1"/>
  <c r="G936" i="1" s="1"/>
  <c r="E936" i="1"/>
  <c r="N935" i="1" a="1"/>
  <c r="N935" i="1" s="1"/>
  <c r="M935" i="1" a="1"/>
  <c r="M935" i="1" s="1"/>
  <c r="L935" i="1" a="1"/>
  <c r="L935" i="1" s="1"/>
  <c r="K935" i="1" a="1"/>
  <c r="K935" i="1" s="1"/>
  <c r="J935" i="1"/>
  <c r="I935" i="1" a="1"/>
  <c r="I935" i="1" s="1"/>
  <c r="H935" i="1" a="1"/>
  <c r="H935" i="1" s="1"/>
  <c r="F935" i="1" a="1"/>
  <c r="F935" i="1" s="1"/>
  <c r="G935" i="1" s="1"/>
  <c r="E935" i="1"/>
  <c r="N934" i="1" a="1"/>
  <c r="N934" i="1" s="1"/>
  <c r="M934" i="1" a="1"/>
  <c r="M934" i="1" s="1"/>
  <c r="L934" i="1" a="1"/>
  <c r="L934" i="1" s="1"/>
  <c r="K934" i="1" a="1"/>
  <c r="K934" i="1" s="1"/>
  <c r="J934" i="1"/>
  <c r="I934" i="1" a="1"/>
  <c r="I934" i="1" s="1"/>
  <c r="H934" i="1" a="1"/>
  <c r="H934" i="1" s="1"/>
  <c r="F934" i="1" a="1"/>
  <c r="F934" i="1" s="1"/>
  <c r="G934" i="1" s="1"/>
  <c r="E934" i="1"/>
  <c r="N933" i="1" a="1"/>
  <c r="N933" i="1" s="1"/>
  <c r="M933" i="1" a="1"/>
  <c r="M933" i="1" s="1"/>
  <c r="L933" i="1" a="1"/>
  <c r="L933" i="1" s="1"/>
  <c r="K933" i="1" a="1"/>
  <c r="K933" i="1" s="1"/>
  <c r="J933" i="1"/>
  <c r="I933" i="1" a="1"/>
  <c r="I933" i="1" s="1"/>
  <c r="H933" i="1" a="1"/>
  <c r="H933" i="1" s="1"/>
  <c r="F933" i="1" a="1"/>
  <c r="F933" i="1" s="1"/>
  <c r="G933" i="1" s="1"/>
  <c r="E933" i="1"/>
  <c r="N932" i="1" a="1"/>
  <c r="N932" i="1" s="1"/>
  <c r="M932" i="1" a="1"/>
  <c r="M932" i="1" s="1"/>
  <c r="L932" i="1" a="1"/>
  <c r="L932" i="1" s="1"/>
  <c r="K932" i="1" a="1"/>
  <c r="K932" i="1" s="1"/>
  <c r="J932" i="1"/>
  <c r="I932" i="1" a="1"/>
  <c r="I932" i="1" s="1"/>
  <c r="H932" i="1" a="1"/>
  <c r="H932" i="1" s="1"/>
  <c r="F932" i="1" a="1"/>
  <c r="F932" i="1" s="1"/>
  <c r="G932" i="1" s="1"/>
  <c r="E932" i="1"/>
  <c r="N931" i="1" a="1"/>
  <c r="N931" i="1" s="1"/>
  <c r="M931" i="1" a="1"/>
  <c r="M931" i="1" s="1"/>
  <c r="L931" i="1" a="1"/>
  <c r="L931" i="1" s="1"/>
  <c r="K931" i="1" a="1"/>
  <c r="K931" i="1" s="1"/>
  <c r="J931" i="1"/>
  <c r="I931" i="1" a="1"/>
  <c r="I931" i="1" s="1"/>
  <c r="H931" i="1" a="1"/>
  <c r="H931" i="1" s="1"/>
  <c r="F931" i="1" a="1"/>
  <c r="F931" i="1" s="1"/>
  <c r="G931" i="1" s="1"/>
  <c r="E931" i="1"/>
  <c r="N930" i="1" a="1"/>
  <c r="N930" i="1" s="1"/>
  <c r="M930" i="1" a="1"/>
  <c r="M930" i="1" s="1"/>
  <c r="L930" i="1" a="1"/>
  <c r="L930" i="1" s="1"/>
  <c r="K930" i="1" a="1"/>
  <c r="K930" i="1" s="1"/>
  <c r="J930" i="1"/>
  <c r="I930" i="1" a="1"/>
  <c r="I930" i="1" s="1"/>
  <c r="H930" i="1" a="1"/>
  <c r="H930" i="1" s="1"/>
  <c r="F930" i="1" a="1"/>
  <c r="F930" i="1" s="1"/>
  <c r="G930" i="1" s="1"/>
  <c r="E930" i="1"/>
  <c r="N929" i="1" a="1"/>
  <c r="N929" i="1" s="1"/>
  <c r="M929" i="1" a="1"/>
  <c r="M929" i="1" s="1"/>
  <c r="L929" i="1" a="1"/>
  <c r="L929" i="1" s="1"/>
  <c r="K929" i="1" a="1"/>
  <c r="K929" i="1" s="1"/>
  <c r="J929" i="1"/>
  <c r="I929" i="1" a="1"/>
  <c r="I929" i="1" s="1"/>
  <c r="H929" i="1" a="1"/>
  <c r="H929" i="1" s="1"/>
  <c r="F929" i="1" a="1"/>
  <c r="F929" i="1" s="1"/>
  <c r="G929" i="1" s="1"/>
  <c r="E929" i="1"/>
  <c r="N928" i="1" a="1"/>
  <c r="N928" i="1" s="1"/>
  <c r="M928" i="1" a="1"/>
  <c r="M928" i="1" s="1"/>
  <c r="L928" i="1" a="1"/>
  <c r="L928" i="1" s="1"/>
  <c r="K928" i="1" a="1"/>
  <c r="K928" i="1" s="1"/>
  <c r="J928" i="1"/>
  <c r="I928" i="1" a="1"/>
  <c r="I928" i="1" s="1"/>
  <c r="H928" i="1" a="1"/>
  <c r="H928" i="1" s="1"/>
  <c r="F928" i="1" a="1"/>
  <c r="F928" i="1" s="1"/>
  <c r="G928" i="1" s="1"/>
  <c r="E928" i="1"/>
  <c r="N927" i="1" a="1"/>
  <c r="N927" i="1" s="1"/>
  <c r="M927" i="1" a="1"/>
  <c r="M927" i="1" s="1"/>
  <c r="L927" i="1" a="1"/>
  <c r="L927" i="1" s="1"/>
  <c r="K927" i="1" a="1"/>
  <c r="K927" i="1" s="1"/>
  <c r="J927" i="1"/>
  <c r="I927" i="1" a="1"/>
  <c r="I927" i="1" s="1"/>
  <c r="H927" i="1" a="1"/>
  <c r="H927" i="1" s="1"/>
  <c r="F927" i="1" a="1"/>
  <c r="F927" i="1" s="1"/>
  <c r="G927" i="1" s="1"/>
  <c r="E927" i="1"/>
  <c r="N926" i="1" a="1"/>
  <c r="N926" i="1" s="1"/>
  <c r="M926" i="1" a="1"/>
  <c r="M926" i="1" s="1"/>
  <c r="L926" i="1" a="1"/>
  <c r="L926" i="1" s="1"/>
  <c r="K926" i="1" a="1"/>
  <c r="K926" i="1" s="1"/>
  <c r="J926" i="1"/>
  <c r="I926" i="1" a="1"/>
  <c r="I926" i="1" s="1"/>
  <c r="H926" i="1" a="1"/>
  <c r="H926" i="1" s="1"/>
  <c r="F926" i="1" a="1"/>
  <c r="F926" i="1" s="1"/>
  <c r="G926" i="1" s="1"/>
  <c r="E926" i="1"/>
  <c r="N925" i="1" a="1"/>
  <c r="N925" i="1" s="1"/>
  <c r="M925" i="1" a="1"/>
  <c r="M925" i="1" s="1"/>
  <c r="L925" i="1" a="1"/>
  <c r="L925" i="1" s="1"/>
  <c r="K925" i="1" a="1"/>
  <c r="K925" i="1" s="1"/>
  <c r="J925" i="1"/>
  <c r="I925" i="1" a="1"/>
  <c r="I925" i="1" s="1"/>
  <c r="H925" i="1" a="1"/>
  <c r="H925" i="1" s="1"/>
  <c r="F925" i="1" a="1"/>
  <c r="F925" i="1" s="1"/>
  <c r="G925" i="1" s="1"/>
  <c r="E925" i="1"/>
  <c r="N924" i="1" a="1"/>
  <c r="N924" i="1" s="1"/>
  <c r="M924" i="1" a="1"/>
  <c r="M924" i="1" s="1"/>
  <c r="L924" i="1" a="1"/>
  <c r="L924" i="1" s="1"/>
  <c r="K924" i="1" a="1"/>
  <c r="K924" i="1" s="1"/>
  <c r="J924" i="1"/>
  <c r="I924" i="1" a="1"/>
  <c r="I924" i="1" s="1"/>
  <c r="H924" i="1" a="1"/>
  <c r="H924" i="1" s="1"/>
  <c r="F924" i="1" a="1"/>
  <c r="F924" i="1" s="1"/>
  <c r="G924" i="1" s="1"/>
  <c r="E924" i="1"/>
  <c r="N923" i="1" a="1"/>
  <c r="N923" i="1" s="1"/>
  <c r="M923" i="1" a="1"/>
  <c r="M923" i="1" s="1"/>
  <c r="L923" i="1" a="1"/>
  <c r="L923" i="1" s="1"/>
  <c r="K923" i="1" a="1"/>
  <c r="K923" i="1" s="1"/>
  <c r="J923" i="1"/>
  <c r="I923" i="1" a="1"/>
  <c r="I923" i="1" s="1"/>
  <c r="H923" i="1" a="1"/>
  <c r="H923" i="1" s="1"/>
  <c r="F923" i="1" a="1"/>
  <c r="F923" i="1" s="1"/>
  <c r="G923" i="1" s="1"/>
  <c r="E923" i="1"/>
  <c r="N922" i="1" a="1"/>
  <c r="N922" i="1" s="1"/>
  <c r="M922" i="1" a="1"/>
  <c r="M922" i="1" s="1"/>
  <c r="L922" i="1" a="1"/>
  <c r="L922" i="1" s="1"/>
  <c r="K922" i="1" a="1"/>
  <c r="K922" i="1" s="1"/>
  <c r="J922" i="1"/>
  <c r="I922" i="1" a="1"/>
  <c r="I922" i="1" s="1"/>
  <c r="H922" i="1" a="1"/>
  <c r="H922" i="1" s="1"/>
  <c r="F922" i="1" a="1"/>
  <c r="F922" i="1" s="1"/>
  <c r="G922" i="1" s="1"/>
  <c r="E922" i="1"/>
  <c r="N921" i="1" a="1"/>
  <c r="N921" i="1" s="1"/>
  <c r="M921" i="1" a="1"/>
  <c r="M921" i="1" s="1"/>
  <c r="L921" i="1" a="1"/>
  <c r="L921" i="1" s="1"/>
  <c r="K921" i="1" a="1"/>
  <c r="K921" i="1" s="1"/>
  <c r="J921" i="1"/>
  <c r="I921" i="1" a="1"/>
  <c r="I921" i="1" s="1"/>
  <c r="H921" i="1" a="1"/>
  <c r="H921" i="1" s="1"/>
  <c r="F921" i="1" a="1"/>
  <c r="F921" i="1" s="1"/>
  <c r="G921" i="1" s="1"/>
  <c r="E921" i="1"/>
  <c r="N920" i="1" a="1"/>
  <c r="N920" i="1" s="1"/>
  <c r="M920" i="1" a="1"/>
  <c r="M920" i="1" s="1"/>
  <c r="L920" i="1" a="1"/>
  <c r="L920" i="1" s="1"/>
  <c r="K920" i="1" a="1"/>
  <c r="K920" i="1" s="1"/>
  <c r="J920" i="1"/>
  <c r="I920" i="1" a="1"/>
  <c r="I920" i="1" s="1"/>
  <c r="H920" i="1" a="1"/>
  <c r="H920" i="1" s="1"/>
  <c r="F920" i="1" a="1"/>
  <c r="F920" i="1" s="1"/>
  <c r="G920" i="1" s="1"/>
  <c r="E920" i="1"/>
  <c r="N919" i="1" a="1"/>
  <c r="N919" i="1" s="1"/>
  <c r="M919" i="1" a="1"/>
  <c r="M919" i="1" s="1"/>
  <c r="L919" i="1" a="1"/>
  <c r="L919" i="1" s="1"/>
  <c r="K919" i="1" a="1"/>
  <c r="K919" i="1" s="1"/>
  <c r="J919" i="1"/>
  <c r="I919" i="1" a="1"/>
  <c r="I919" i="1" s="1"/>
  <c r="H919" i="1" a="1"/>
  <c r="H919" i="1" s="1"/>
  <c r="F919" i="1" a="1"/>
  <c r="F919" i="1" s="1"/>
  <c r="G919" i="1" s="1"/>
  <c r="E919" i="1"/>
  <c r="N918" i="1" a="1"/>
  <c r="N918" i="1" s="1"/>
  <c r="M918" i="1" a="1"/>
  <c r="M918" i="1" s="1"/>
  <c r="L918" i="1" a="1"/>
  <c r="L918" i="1" s="1"/>
  <c r="K918" i="1" a="1"/>
  <c r="K918" i="1" s="1"/>
  <c r="J918" i="1"/>
  <c r="I918" i="1" a="1"/>
  <c r="I918" i="1" s="1"/>
  <c r="H918" i="1" a="1"/>
  <c r="H918" i="1" s="1"/>
  <c r="F918" i="1" a="1"/>
  <c r="F918" i="1" s="1"/>
  <c r="G918" i="1" s="1"/>
  <c r="E918" i="1"/>
  <c r="N917" i="1" a="1"/>
  <c r="N917" i="1" s="1"/>
  <c r="M917" i="1" a="1"/>
  <c r="M917" i="1" s="1"/>
  <c r="L917" i="1" a="1"/>
  <c r="L917" i="1" s="1"/>
  <c r="K917" i="1" a="1"/>
  <c r="K917" i="1" s="1"/>
  <c r="J917" i="1"/>
  <c r="I917" i="1" a="1"/>
  <c r="I917" i="1" s="1"/>
  <c r="H917" i="1" a="1"/>
  <c r="H917" i="1" s="1"/>
  <c r="F917" i="1" a="1"/>
  <c r="F917" i="1" s="1"/>
  <c r="G917" i="1" s="1"/>
  <c r="E917" i="1"/>
  <c r="N916" i="1" a="1"/>
  <c r="N916" i="1" s="1"/>
  <c r="M916" i="1" a="1"/>
  <c r="M916" i="1" s="1"/>
  <c r="L916" i="1" a="1"/>
  <c r="L916" i="1" s="1"/>
  <c r="K916" i="1" a="1"/>
  <c r="K916" i="1" s="1"/>
  <c r="J916" i="1"/>
  <c r="I916" i="1" a="1"/>
  <c r="I916" i="1" s="1"/>
  <c r="H916" i="1" a="1"/>
  <c r="H916" i="1" s="1"/>
  <c r="F916" i="1" a="1"/>
  <c r="F916" i="1" s="1"/>
  <c r="G916" i="1" s="1"/>
  <c r="E916" i="1"/>
  <c r="N915" i="1" a="1"/>
  <c r="N915" i="1" s="1"/>
  <c r="M915" i="1" a="1"/>
  <c r="M915" i="1" s="1"/>
  <c r="L915" i="1" a="1"/>
  <c r="L915" i="1" s="1"/>
  <c r="K915" i="1" a="1"/>
  <c r="K915" i="1" s="1"/>
  <c r="J915" i="1"/>
  <c r="I915" i="1" a="1"/>
  <c r="I915" i="1" s="1"/>
  <c r="H915" i="1" a="1"/>
  <c r="H915" i="1" s="1"/>
  <c r="F915" i="1" a="1"/>
  <c r="F915" i="1" s="1"/>
  <c r="G915" i="1" s="1"/>
  <c r="E915" i="1"/>
  <c r="N914" i="1" a="1"/>
  <c r="N914" i="1" s="1"/>
  <c r="M914" i="1" a="1"/>
  <c r="M914" i="1" s="1"/>
  <c r="L914" i="1" a="1"/>
  <c r="L914" i="1" s="1"/>
  <c r="K914" i="1" a="1"/>
  <c r="K914" i="1" s="1"/>
  <c r="J914" i="1"/>
  <c r="I914" i="1" a="1"/>
  <c r="I914" i="1" s="1"/>
  <c r="H914" i="1" a="1"/>
  <c r="H914" i="1" s="1"/>
  <c r="F914" i="1" a="1"/>
  <c r="F914" i="1" s="1"/>
  <c r="G914" i="1" s="1"/>
  <c r="E914" i="1"/>
  <c r="N913" i="1" a="1"/>
  <c r="N913" i="1" s="1"/>
  <c r="M913" i="1" a="1"/>
  <c r="M913" i="1" s="1"/>
  <c r="L913" i="1" a="1"/>
  <c r="L913" i="1" s="1"/>
  <c r="K913" i="1" a="1"/>
  <c r="K913" i="1" s="1"/>
  <c r="J913" i="1"/>
  <c r="I913" i="1" a="1"/>
  <c r="I913" i="1" s="1"/>
  <c r="H913" i="1" a="1"/>
  <c r="H913" i="1" s="1"/>
  <c r="F913" i="1" a="1"/>
  <c r="F913" i="1" s="1"/>
  <c r="G913" i="1" s="1"/>
  <c r="E913" i="1"/>
  <c r="N912" i="1" a="1"/>
  <c r="N912" i="1" s="1"/>
  <c r="M912" i="1" a="1"/>
  <c r="M912" i="1" s="1"/>
  <c r="L912" i="1" a="1"/>
  <c r="L912" i="1" s="1"/>
  <c r="K912" i="1" a="1"/>
  <c r="K912" i="1" s="1"/>
  <c r="J912" i="1"/>
  <c r="I912" i="1" a="1"/>
  <c r="I912" i="1" s="1"/>
  <c r="H912" i="1" a="1"/>
  <c r="H912" i="1" s="1"/>
  <c r="F912" i="1" a="1"/>
  <c r="F912" i="1" s="1"/>
  <c r="G912" i="1" s="1"/>
  <c r="E912" i="1"/>
  <c r="N911" i="1" a="1"/>
  <c r="N911" i="1" s="1"/>
  <c r="M911" i="1" a="1"/>
  <c r="M911" i="1" s="1"/>
  <c r="L911" i="1" a="1"/>
  <c r="L911" i="1" s="1"/>
  <c r="K911" i="1" a="1"/>
  <c r="K911" i="1" s="1"/>
  <c r="J911" i="1"/>
  <c r="I911" i="1" a="1"/>
  <c r="I911" i="1" s="1"/>
  <c r="H911" i="1" a="1"/>
  <c r="H911" i="1" s="1"/>
  <c r="F911" i="1" a="1"/>
  <c r="F911" i="1" s="1"/>
  <c r="G911" i="1" s="1"/>
  <c r="E911" i="1"/>
  <c r="N910" i="1" a="1"/>
  <c r="N910" i="1" s="1"/>
  <c r="M910" i="1" a="1"/>
  <c r="M910" i="1" s="1"/>
  <c r="L910" i="1" a="1"/>
  <c r="L910" i="1" s="1"/>
  <c r="K910" i="1" a="1"/>
  <c r="K910" i="1" s="1"/>
  <c r="J910" i="1"/>
  <c r="I910" i="1" a="1"/>
  <c r="I910" i="1" s="1"/>
  <c r="H910" i="1" a="1"/>
  <c r="H910" i="1" s="1"/>
  <c r="F910" i="1" a="1"/>
  <c r="F910" i="1" s="1"/>
  <c r="G910" i="1" s="1"/>
  <c r="E910" i="1"/>
  <c r="N909" i="1" a="1"/>
  <c r="N909" i="1" s="1"/>
  <c r="M909" i="1" a="1"/>
  <c r="M909" i="1" s="1"/>
  <c r="L909" i="1" a="1"/>
  <c r="L909" i="1" s="1"/>
  <c r="K909" i="1" a="1"/>
  <c r="K909" i="1" s="1"/>
  <c r="J909" i="1"/>
  <c r="I909" i="1" a="1"/>
  <c r="I909" i="1" s="1"/>
  <c r="H909" i="1" a="1"/>
  <c r="H909" i="1" s="1"/>
  <c r="F909" i="1" a="1"/>
  <c r="F909" i="1" s="1"/>
  <c r="G909" i="1" s="1"/>
  <c r="E909" i="1"/>
  <c r="N908" i="1" a="1"/>
  <c r="N908" i="1" s="1"/>
  <c r="M908" i="1" a="1"/>
  <c r="M908" i="1" s="1"/>
  <c r="L908" i="1" a="1"/>
  <c r="L908" i="1" s="1"/>
  <c r="K908" i="1" a="1"/>
  <c r="K908" i="1" s="1"/>
  <c r="J908" i="1"/>
  <c r="I908" i="1" a="1"/>
  <c r="I908" i="1" s="1"/>
  <c r="H908" i="1" a="1"/>
  <c r="H908" i="1" s="1"/>
  <c r="F908" i="1" a="1"/>
  <c r="F908" i="1" s="1"/>
  <c r="G908" i="1" s="1"/>
  <c r="E908" i="1"/>
  <c r="N907" i="1" a="1"/>
  <c r="N907" i="1" s="1"/>
  <c r="M907" i="1" a="1"/>
  <c r="M907" i="1" s="1"/>
  <c r="L907" i="1" a="1"/>
  <c r="L907" i="1" s="1"/>
  <c r="K907" i="1" a="1"/>
  <c r="K907" i="1" s="1"/>
  <c r="J907" i="1"/>
  <c r="I907" i="1" a="1"/>
  <c r="I907" i="1" s="1"/>
  <c r="H907" i="1" a="1"/>
  <c r="H907" i="1" s="1"/>
  <c r="F907" i="1" a="1"/>
  <c r="F907" i="1" s="1"/>
  <c r="G907" i="1" s="1"/>
  <c r="E907" i="1"/>
  <c r="N906" i="1" a="1"/>
  <c r="N906" i="1" s="1"/>
  <c r="M906" i="1" a="1"/>
  <c r="M906" i="1" s="1"/>
  <c r="L906" i="1" a="1"/>
  <c r="L906" i="1" s="1"/>
  <c r="K906" i="1" a="1"/>
  <c r="K906" i="1" s="1"/>
  <c r="J906" i="1"/>
  <c r="I906" i="1" a="1"/>
  <c r="I906" i="1" s="1"/>
  <c r="H906" i="1" a="1"/>
  <c r="H906" i="1" s="1"/>
  <c r="F906" i="1" a="1"/>
  <c r="F906" i="1" s="1"/>
  <c r="G906" i="1" s="1"/>
  <c r="E906" i="1"/>
  <c r="N905" i="1" a="1"/>
  <c r="N905" i="1" s="1"/>
  <c r="M905" i="1" a="1"/>
  <c r="M905" i="1" s="1"/>
  <c r="L905" i="1" a="1"/>
  <c r="L905" i="1" s="1"/>
  <c r="K905" i="1" a="1"/>
  <c r="K905" i="1" s="1"/>
  <c r="J905" i="1"/>
  <c r="I905" i="1" a="1"/>
  <c r="I905" i="1" s="1"/>
  <c r="H905" i="1" a="1"/>
  <c r="H905" i="1" s="1"/>
  <c r="F905" i="1" a="1"/>
  <c r="F905" i="1" s="1"/>
  <c r="G905" i="1" s="1"/>
  <c r="E905" i="1"/>
  <c r="N904" i="1" a="1"/>
  <c r="N904" i="1" s="1"/>
  <c r="M904" i="1" a="1"/>
  <c r="M904" i="1" s="1"/>
  <c r="L904" i="1" a="1"/>
  <c r="L904" i="1" s="1"/>
  <c r="K904" i="1" a="1"/>
  <c r="K904" i="1" s="1"/>
  <c r="J904" i="1"/>
  <c r="I904" i="1" a="1"/>
  <c r="I904" i="1" s="1"/>
  <c r="H904" i="1" a="1"/>
  <c r="H904" i="1" s="1"/>
  <c r="F904" i="1" a="1"/>
  <c r="F904" i="1" s="1"/>
  <c r="G904" i="1" s="1"/>
  <c r="E904" i="1"/>
  <c r="N903" i="1" a="1"/>
  <c r="N903" i="1" s="1"/>
  <c r="M903" i="1" a="1"/>
  <c r="M903" i="1" s="1"/>
  <c r="L903" i="1" a="1"/>
  <c r="L903" i="1" s="1"/>
  <c r="K903" i="1" a="1"/>
  <c r="K903" i="1" s="1"/>
  <c r="J903" i="1"/>
  <c r="I903" i="1" a="1"/>
  <c r="I903" i="1" s="1"/>
  <c r="H903" i="1" a="1"/>
  <c r="H903" i="1" s="1"/>
  <c r="F903" i="1" a="1"/>
  <c r="F903" i="1" s="1"/>
  <c r="G903" i="1" s="1"/>
  <c r="E903" i="1"/>
  <c r="N902" i="1" a="1"/>
  <c r="N902" i="1" s="1"/>
  <c r="M902" i="1" a="1"/>
  <c r="M902" i="1" s="1"/>
  <c r="L902" i="1" a="1"/>
  <c r="L902" i="1" s="1"/>
  <c r="K902" i="1" a="1"/>
  <c r="K902" i="1" s="1"/>
  <c r="J902" i="1"/>
  <c r="I902" i="1" a="1"/>
  <c r="I902" i="1" s="1"/>
  <c r="H902" i="1" a="1"/>
  <c r="H902" i="1" s="1"/>
  <c r="F902" i="1" a="1"/>
  <c r="F902" i="1" s="1"/>
  <c r="G902" i="1" s="1"/>
  <c r="E902" i="1"/>
  <c r="N901" i="1" a="1"/>
  <c r="N901" i="1" s="1"/>
  <c r="M901" i="1" a="1"/>
  <c r="M901" i="1" s="1"/>
  <c r="L901" i="1" a="1"/>
  <c r="L901" i="1" s="1"/>
  <c r="K901" i="1" a="1"/>
  <c r="K901" i="1" s="1"/>
  <c r="J901" i="1"/>
  <c r="I901" i="1" a="1"/>
  <c r="I901" i="1" s="1"/>
  <c r="H901" i="1" a="1"/>
  <c r="H901" i="1" s="1"/>
  <c r="F901" i="1" a="1"/>
  <c r="F901" i="1" s="1"/>
  <c r="G901" i="1" s="1"/>
  <c r="E901" i="1"/>
  <c r="N900" i="1" a="1"/>
  <c r="N900" i="1" s="1"/>
  <c r="M900" i="1" a="1"/>
  <c r="M900" i="1" s="1"/>
  <c r="L900" i="1" a="1"/>
  <c r="L900" i="1" s="1"/>
  <c r="K900" i="1" a="1"/>
  <c r="K900" i="1" s="1"/>
  <c r="J900" i="1"/>
  <c r="I900" i="1" a="1"/>
  <c r="I900" i="1" s="1"/>
  <c r="H900" i="1" a="1"/>
  <c r="H900" i="1" s="1"/>
  <c r="F900" i="1" a="1"/>
  <c r="F900" i="1" s="1"/>
  <c r="G900" i="1" s="1"/>
  <c r="E900" i="1"/>
  <c r="N899" i="1" a="1"/>
  <c r="N899" i="1" s="1"/>
  <c r="M899" i="1" a="1"/>
  <c r="M899" i="1" s="1"/>
  <c r="L899" i="1" a="1"/>
  <c r="L899" i="1" s="1"/>
  <c r="K899" i="1" a="1"/>
  <c r="K899" i="1" s="1"/>
  <c r="J899" i="1"/>
  <c r="I899" i="1" a="1"/>
  <c r="I899" i="1" s="1"/>
  <c r="H899" i="1" a="1"/>
  <c r="H899" i="1" s="1"/>
  <c r="F899" i="1" a="1"/>
  <c r="F899" i="1" s="1"/>
  <c r="G899" i="1" s="1"/>
  <c r="E899" i="1"/>
  <c r="N898" i="1" a="1"/>
  <c r="N898" i="1" s="1"/>
  <c r="M898" i="1" a="1"/>
  <c r="M898" i="1" s="1"/>
  <c r="L898" i="1" a="1"/>
  <c r="L898" i="1" s="1"/>
  <c r="K898" i="1" a="1"/>
  <c r="K898" i="1" s="1"/>
  <c r="J898" i="1"/>
  <c r="I898" i="1" a="1"/>
  <c r="I898" i="1" s="1"/>
  <c r="H898" i="1" a="1"/>
  <c r="H898" i="1" s="1"/>
  <c r="F898" i="1" a="1"/>
  <c r="F898" i="1" s="1"/>
  <c r="G898" i="1" s="1"/>
  <c r="E898" i="1"/>
  <c r="N897" i="1" a="1"/>
  <c r="N897" i="1" s="1"/>
  <c r="M897" i="1" a="1"/>
  <c r="M897" i="1" s="1"/>
  <c r="L897" i="1" a="1"/>
  <c r="L897" i="1" s="1"/>
  <c r="K897" i="1" a="1"/>
  <c r="K897" i="1" s="1"/>
  <c r="J897" i="1"/>
  <c r="I897" i="1" a="1"/>
  <c r="I897" i="1" s="1"/>
  <c r="H897" i="1" a="1"/>
  <c r="H897" i="1" s="1"/>
  <c r="F897" i="1" a="1"/>
  <c r="F897" i="1" s="1"/>
  <c r="G897" i="1" s="1"/>
  <c r="E897" i="1"/>
  <c r="N896" i="1" a="1"/>
  <c r="N896" i="1" s="1"/>
  <c r="M896" i="1" a="1"/>
  <c r="M896" i="1" s="1"/>
  <c r="L896" i="1" a="1"/>
  <c r="L896" i="1" s="1"/>
  <c r="K896" i="1" a="1"/>
  <c r="K896" i="1" s="1"/>
  <c r="J896" i="1"/>
  <c r="I896" i="1" a="1"/>
  <c r="I896" i="1" s="1"/>
  <c r="H896" i="1" a="1"/>
  <c r="H896" i="1" s="1"/>
  <c r="F896" i="1" a="1"/>
  <c r="F896" i="1" s="1"/>
  <c r="G896" i="1" s="1"/>
  <c r="E896" i="1"/>
  <c r="N895" i="1" a="1"/>
  <c r="N895" i="1" s="1"/>
  <c r="M895" i="1" a="1"/>
  <c r="M895" i="1" s="1"/>
  <c r="L895" i="1" a="1"/>
  <c r="L895" i="1" s="1"/>
  <c r="K895" i="1" a="1"/>
  <c r="K895" i="1" s="1"/>
  <c r="J895" i="1"/>
  <c r="I895" i="1" a="1"/>
  <c r="I895" i="1" s="1"/>
  <c r="H895" i="1" a="1"/>
  <c r="H895" i="1" s="1"/>
  <c r="F895" i="1" a="1"/>
  <c r="F895" i="1" s="1"/>
  <c r="G895" i="1" s="1"/>
  <c r="E895" i="1"/>
  <c r="N894" i="1" a="1"/>
  <c r="N894" i="1" s="1"/>
  <c r="M894" i="1" a="1"/>
  <c r="M894" i="1" s="1"/>
  <c r="L894" i="1" a="1"/>
  <c r="L894" i="1" s="1"/>
  <c r="K894" i="1" a="1"/>
  <c r="K894" i="1" s="1"/>
  <c r="J894" i="1"/>
  <c r="I894" i="1" a="1"/>
  <c r="I894" i="1" s="1"/>
  <c r="H894" i="1" a="1"/>
  <c r="H894" i="1" s="1"/>
  <c r="F894" i="1" a="1"/>
  <c r="F894" i="1" s="1"/>
  <c r="G894" i="1" s="1"/>
  <c r="E894" i="1"/>
  <c r="N893" i="1" a="1"/>
  <c r="N893" i="1" s="1"/>
  <c r="M893" i="1" a="1"/>
  <c r="M893" i="1" s="1"/>
  <c r="L893" i="1" a="1"/>
  <c r="L893" i="1" s="1"/>
  <c r="K893" i="1" a="1"/>
  <c r="K893" i="1" s="1"/>
  <c r="J893" i="1"/>
  <c r="I893" i="1" a="1"/>
  <c r="I893" i="1" s="1"/>
  <c r="H893" i="1" a="1"/>
  <c r="H893" i="1" s="1"/>
  <c r="F893" i="1" a="1"/>
  <c r="F893" i="1" s="1"/>
  <c r="G893" i="1" s="1"/>
  <c r="E893" i="1"/>
  <c r="N892" i="1" a="1"/>
  <c r="N892" i="1" s="1"/>
  <c r="M892" i="1" a="1"/>
  <c r="M892" i="1" s="1"/>
  <c r="L892" i="1" a="1"/>
  <c r="L892" i="1" s="1"/>
  <c r="K892" i="1" a="1"/>
  <c r="K892" i="1" s="1"/>
  <c r="J892" i="1"/>
  <c r="I892" i="1" a="1"/>
  <c r="I892" i="1" s="1"/>
  <c r="H892" i="1" a="1"/>
  <c r="H892" i="1" s="1"/>
  <c r="F892" i="1" a="1"/>
  <c r="F892" i="1" s="1"/>
  <c r="G892" i="1" s="1"/>
  <c r="E892" i="1"/>
  <c r="N891" i="1" a="1"/>
  <c r="N891" i="1" s="1"/>
  <c r="M891" i="1" a="1"/>
  <c r="M891" i="1" s="1"/>
  <c r="L891" i="1" a="1"/>
  <c r="L891" i="1" s="1"/>
  <c r="K891" i="1" a="1"/>
  <c r="K891" i="1" s="1"/>
  <c r="J891" i="1"/>
  <c r="I891" i="1" a="1"/>
  <c r="I891" i="1" s="1"/>
  <c r="H891" i="1" a="1"/>
  <c r="H891" i="1" s="1"/>
  <c r="F891" i="1" a="1"/>
  <c r="F891" i="1" s="1"/>
  <c r="G891" i="1" s="1"/>
  <c r="E891" i="1"/>
  <c r="N890" i="1" a="1"/>
  <c r="N890" i="1" s="1"/>
  <c r="M890" i="1" a="1"/>
  <c r="M890" i="1" s="1"/>
  <c r="L890" i="1" a="1"/>
  <c r="L890" i="1" s="1"/>
  <c r="K890" i="1" a="1"/>
  <c r="K890" i="1" s="1"/>
  <c r="J890" i="1"/>
  <c r="I890" i="1" a="1"/>
  <c r="I890" i="1" s="1"/>
  <c r="H890" i="1" a="1"/>
  <c r="H890" i="1" s="1"/>
  <c r="F890" i="1" a="1"/>
  <c r="F890" i="1" s="1"/>
  <c r="G890" i="1" s="1"/>
  <c r="E890" i="1"/>
  <c r="N889" i="1" a="1"/>
  <c r="N889" i="1" s="1"/>
  <c r="M889" i="1" a="1"/>
  <c r="M889" i="1" s="1"/>
  <c r="L889" i="1" a="1"/>
  <c r="L889" i="1" s="1"/>
  <c r="K889" i="1" a="1"/>
  <c r="K889" i="1" s="1"/>
  <c r="J889" i="1"/>
  <c r="I889" i="1" a="1"/>
  <c r="I889" i="1" s="1"/>
  <c r="H889" i="1" a="1"/>
  <c r="H889" i="1" s="1"/>
  <c r="F889" i="1" a="1"/>
  <c r="F889" i="1" s="1"/>
  <c r="G889" i="1" s="1"/>
  <c r="E889" i="1"/>
  <c r="N888" i="1" a="1"/>
  <c r="N888" i="1" s="1"/>
  <c r="M888" i="1" a="1"/>
  <c r="M888" i="1" s="1"/>
  <c r="L888" i="1" a="1"/>
  <c r="L888" i="1" s="1"/>
  <c r="K888" i="1" a="1"/>
  <c r="K888" i="1" s="1"/>
  <c r="J888" i="1"/>
  <c r="I888" i="1" a="1"/>
  <c r="I888" i="1" s="1"/>
  <c r="H888" i="1" a="1"/>
  <c r="H888" i="1" s="1"/>
  <c r="F888" i="1" a="1"/>
  <c r="F888" i="1" s="1"/>
  <c r="G888" i="1" s="1"/>
  <c r="E888" i="1"/>
  <c r="N887" i="1" a="1"/>
  <c r="N887" i="1" s="1"/>
  <c r="M887" i="1" a="1"/>
  <c r="M887" i="1" s="1"/>
  <c r="L887" i="1" a="1"/>
  <c r="L887" i="1" s="1"/>
  <c r="K887" i="1" a="1"/>
  <c r="K887" i="1" s="1"/>
  <c r="J887" i="1"/>
  <c r="I887" i="1" a="1"/>
  <c r="I887" i="1" s="1"/>
  <c r="H887" i="1" a="1"/>
  <c r="H887" i="1" s="1"/>
  <c r="F887" i="1" a="1"/>
  <c r="F887" i="1" s="1"/>
  <c r="G887" i="1" s="1"/>
  <c r="E887" i="1"/>
  <c r="N886" i="1" a="1"/>
  <c r="N886" i="1" s="1"/>
  <c r="M886" i="1" a="1"/>
  <c r="M886" i="1" s="1"/>
  <c r="L886" i="1" a="1"/>
  <c r="L886" i="1" s="1"/>
  <c r="K886" i="1" a="1"/>
  <c r="K886" i="1" s="1"/>
  <c r="J886" i="1"/>
  <c r="I886" i="1" a="1"/>
  <c r="I886" i="1" s="1"/>
  <c r="H886" i="1" a="1"/>
  <c r="H886" i="1" s="1"/>
  <c r="F886" i="1" a="1"/>
  <c r="F886" i="1" s="1"/>
  <c r="G886" i="1" s="1"/>
  <c r="E886" i="1"/>
  <c r="N885" i="1" a="1"/>
  <c r="N885" i="1" s="1"/>
  <c r="M885" i="1" a="1"/>
  <c r="M885" i="1" s="1"/>
  <c r="L885" i="1" a="1"/>
  <c r="L885" i="1" s="1"/>
  <c r="K885" i="1" a="1"/>
  <c r="K885" i="1" s="1"/>
  <c r="J885" i="1"/>
  <c r="I885" i="1" a="1"/>
  <c r="I885" i="1" s="1"/>
  <c r="H885" i="1" a="1"/>
  <c r="H885" i="1" s="1"/>
  <c r="F885" i="1" a="1"/>
  <c r="F885" i="1" s="1"/>
  <c r="G885" i="1" s="1"/>
  <c r="E885" i="1"/>
  <c r="N884" i="1" a="1"/>
  <c r="N884" i="1" s="1"/>
  <c r="M884" i="1" a="1"/>
  <c r="M884" i="1" s="1"/>
  <c r="L884" i="1" a="1"/>
  <c r="L884" i="1" s="1"/>
  <c r="K884" i="1" a="1"/>
  <c r="K884" i="1" s="1"/>
  <c r="J884" i="1"/>
  <c r="I884" i="1" a="1"/>
  <c r="I884" i="1" s="1"/>
  <c r="H884" i="1" a="1"/>
  <c r="H884" i="1" s="1"/>
  <c r="F884" i="1" a="1"/>
  <c r="F884" i="1" s="1"/>
  <c r="G884" i="1" s="1"/>
  <c r="E884" i="1"/>
  <c r="N883" i="1" a="1"/>
  <c r="N883" i="1" s="1"/>
  <c r="M883" i="1" a="1"/>
  <c r="M883" i="1" s="1"/>
  <c r="L883" i="1" a="1"/>
  <c r="L883" i="1" s="1"/>
  <c r="K883" i="1" a="1"/>
  <c r="K883" i="1" s="1"/>
  <c r="J883" i="1"/>
  <c r="I883" i="1" a="1"/>
  <c r="I883" i="1" s="1"/>
  <c r="H883" i="1" a="1"/>
  <c r="H883" i="1" s="1"/>
  <c r="F883" i="1" a="1"/>
  <c r="F883" i="1" s="1"/>
  <c r="G883" i="1" s="1"/>
  <c r="E883" i="1"/>
  <c r="N882" i="1" a="1"/>
  <c r="N882" i="1" s="1"/>
  <c r="M882" i="1" a="1"/>
  <c r="M882" i="1" s="1"/>
  <c r="L882" i="1" a="1"/>
  <c r="L882" i="1" s="1"/>
  <c r="K882" i="1" a="1"/>
  <c r="K882" i="1" s="1"/>
  <c r="J882" i="1"/>
  <c r="I882" i="1" a="1"/>
  <c r="I882" i="1" s="1"/>
  <c r="H882" i="1" a="1"/>
  <c r="H882" i="1" s="1"/>
  <c r="F882" i="1" a="1"/>
  <c r="F882" i="1" s="1"/>
  <c r="G882" i="1" s="1"/>
  <c r="E882" i="1"/>
  <c r="N881" i="1" a="1"/>
  <c r="N881" i="1" s="1"/>
  <c r="M881" i="1" a="1"/>
  <c r="M881" i="1" s="1"/>
  <c r="L881" i="1" a="1"/>
  <c r="L881" i="1" s="1"/>
  <c r="K881" i="1" a="1"/>
  <c r="K881" i="1" s="1"/>
  <c r="J881" i="1"/>
  <c r="I881" i="1" a="1"/>
  <c r="I881" i="1" s="1"/>
  <c r="H881" i="1" a="1"/>
  <c r="H881" i="1" s="1"/>
  <c r="F881" i="1" a="1"/>
  <c r="F881" i="1" s="1"/>
  <c r="G881" i="1" s="1"/>
  <c r="E881" i="1"/>
  <c r="N880" i="1" a="1"/>
  <c r="N880" i="1" s="1"/>
  <c r="M880" i="1" a="1"/>
  <c r="M880" i="1" s="1"/>
  <c r="L880" i="1" a="1"/>
  <c r="L880" i="1" s="1"/>
  <c r="K880" i="1" a="1"/>
  <c r="K880" i="1" s="1"/>
  <c r="J880" i="1"/>
  <c r="I880" i="1" a="1"/>
  <c r="I880" i="1" s="1"/>
  <c r="H880" i="1" a="1"/>
  <c r="H880" i="1" s="1"/>
  <c r="F880" i="1" a="1"/>
  <c r="F880" i="1" s="1"/>
  <c r="G880" i="1" s="1"/>
  <c r="E880" i="1"/>
  <c r="N879" i="1" a="1"/>
  <c r="N879" i="1" s="1"/>
  <c r="M879" i="1" a="1"/>
  <c r="M879" i="1" s="1"/>
  <c r="L879" i="1" a="1"/>
  <c r="L879" i="1" s="1"/>
  <c r="K879" i="1" a="1"/>
  <c r="K879" i="1" s="1"/>
  <c r="J879" i="1"/>
  <c r="I879" i="1" a="1"/>
  <c r="I879" i="1" s="1"/>
  <c r="H879" i="1" a="1"/>
  <c r="H879" i="1" s="1"/>
  <c r="F879" i="1" a="1"/>
  <c r="F879" i="1" s="1"/>
  <c r="G879" i="1" s="1"/>
  <c r="E879" i="1"/>
  <c r="N878" i="1" a="1"/>
  <c r="N878" i="1" s="1"/>
  <c r="M878" i="1" a="1"/>
  <c r="M878" i="1" s="1"/>
  <c r="L878" i="1" a="1"/>
  <c r="L878" i="1" s="1"/>
  <c r="K878" i="1" a="1"/>
  <c r="K878" i="1" s="1"/>
  <c r="J878" i="1"/>
  <c r="I878" i="1" a="1"/>
  <c r="I878" i="1" s="1"/>
  <c r="H878" i="1" a="1"/>
  <c r="H878" i="1" s="1"/>
  <c r="F878" i="1" a="1"/>
  <c r="F878" i="1" s="1"/>
  <c r="G878" i="1" s="1"/>
  <c r="E878" i="1"/>
  <c r="N877" i="1" a="1"/>
  <c r="N877" i="1" s="1"/>
  <c r="M877" i="1" a="1"/>
  <c r="M877" i="1" s="1"/>
  <c r="L877" i="1" a="1"/>
  <c r="L877" i="1" s="1"/>
  <c r="K877" i="1" a="1"/>
  <c r="K877" i="1" s="1"/>
  <c r="J877" i="1"/>
  <c r="I877" i="1" a="1"/>
  <c r="I877" i="1" s="1"/>
  <c r="H877" i="1" a="1"/>
  <c r="H877" i="1" s="1"/>
  <c r="F877" i="1" a="1"/>
  <c r="F877" i="1" s="1"/>
  <c r="G877" i="1" s="1"/>
  <c r="E877" i="1"/>
  <c r="N876" i="1" a="1"/>
  <c r="N876" i="1" s="1"/>
  <c r="M876" i="1" a="1"/>
  <c r="M876" i="1" s="1"/>
  <c r="L876" i="1" a="1"/>
  <c r="L876" i="1" s="1"/>
  <c r="K876" i="1" a="1"/>
  <c r="K876" i="1" s="1"/>
  <c r="J876" i="1"/>
  <c r="I876" i="1" a="1"/>
  <c r="I876" i="1" s="1"/>
  <c r="H876" i="1" a="1"/>
  <c r="H876" i="1" s="1"/>
  <c r="F876" i="1" a="1"/>
  <c r="F876" i="1" s="1"/>
  <c r="G876" i="1" s="1"/>
  <c r="E876" i="1"/>
  <c r="N875" i="1" a="1"/>
  <c r="N875" i="1" s="1"/>
  <c r="M875" i="1" a="1"/>
  <c r="M875" i="1" s="1"/>
  <c r="L875" i="1" a="1"/>
  <c r="L875" i="1" s="1"/>
  <c r="K875" i="1" a="1"/>
  <c r="K875" i="1" s="1"/>
  <c r="J875" i="1"/>
  <c r="I875" i="1" a="1"/>
  <c r="I875" i="1" s="1"/>
  <c r="H875" i="1" a="1"/>
  <c r="H875" i="1" s="1"/>
  <c r="F875" i="1" a="1"/>
  <c r="F875" i="1" s="1"/>
  <c r="G875" i="1" s="1"/>
  <c r="E875" i="1"/>
  <c r="N874" i="1" a="1"/>
  <c r="N874" i="1" s="1"/>
  <c r="M874" i="1" a="1"/>
  <c r="M874" i="1" s="1"/>
  <c r="L874" i="1" a="1"/>
  <c r="L874" i="1" s="1"/>
  <c r="K874" i="1" a="1"/>
  <c r="K874" i="1" s="1"/>
  <c r="J874" i="1"/>
  <c r="I874" i="1" a="1"/>
  <c r="I874" i="1" s="1"/>
  <c r="H874" i="1" a="1"/>
  <c r="H874" i="1" s="1"/>
  <c r="F874" i="1" a="1"/>
  <c r="F874" i="1" s="1"/>
  <c r="G874" i="1" s="1"/>
  <c r="E874" i="1"/>
  <c r="N873" i="1" a="1"/>
  <c r="N873" i="1" s="1"/>
  <c r="M873" i="1" a="1"/>
  <c r="M873" i="1" s="1"/>
  <c r="L873" i="1" a="1"/>
  <c r="L873" i="1" s="1"/>
  <c r="K873" i="1" a="1"/>
  <c r="K873" i="1" s="1"/>
  <c r="J873" i="1"/>
  <c r="I873" i="1" a="1"/>
  <c r="I873" i="1" s="1"/>
  <c r="H873" i="1" a="1"/>
  <c r="H873" i="1" s="1"/>
  <c r="F873" i="1" a="1"/>
  <c r="F873" i="1" s="1"/>
  <c r="G873" i="1" s="1"/>
  <c r="E873" i="1"/>
  <c r="N872" i="1" a="1"/>
  <c r="N872" i="1" s="1"/>
  <c r="M872" i="1" a="1"/>
  <c r="M872" i="1" s="1"/>
  <c r="L872" i="1" a="1"/>
  <c r="L872" i="1" s="1"/>
  <c r="K872" i="1" a="1"/>
  <c r="K872" i="1" s="1"/>
  <c r="J872" i="1"/>
  <c r="I872" i="1" a="1"/>
  <c r="I872" i="1" s="1"/>
  <c r="H872" i="1" a="1"/>
  <c r="H872" i="1" s="1"/>
  <c r="F872" i="1" a="1"/>
  <c r="F872" i="1" s="1"/>
  <c r="G872" i="1" s="1"/>
  <c r="E872" i="1"/>
  <c r="N871" i="1" a="1"/>
  <c r="N871" i="1" s="1"/>
  <c r="M871" i="1" a="1"/>
  <c r="M871" i="1" s="1"/>
  <c r="L871" i="1" a="1"/>
  <c r="L871" i="1" s="1"/>
  <c r="K871" i="1" a="1"/>
  <c r="K871" i="1" s="1"/>
  <c r="J871" i="1"/>
  <c r="I871" i="1" a="1"/>
  <c r="I871" i="1" s="1"/>
  <c r="H871" i="1" a="1"/>
  <c r="H871" i="1" s="1"/>
  <c r="F871" i="1" a="1"/>
  <c r="F871" i="1" s="1"/>
  <c r="G871" i="1" s="1"/>
  <c r="E871" i="1"/>
  <c r="N870" i="1" a="1"/>
  <c r="N870" i="1" s="1"/>
  <c r="M870" i="1" a="1"/>
  <c r="M870" i="1" s="1"/>
  <c r="L870" i="1" a="1"/>
  <c r="L870" i="1" s="1"/>
  <c r="K870" i="1" a="1"/>
  <c r="K870" i="1" s="1"/>
  <c r="J870" i="1"/>
  <c r="I870" i="1" a="1"/>
  <c r="I870" i="1" s="1"/>
  <c r="H870" i="1" a="1"/>
  <c r="H870" i="1" s="1"/>
  <c r="F870" i="1" a="1"/>
  <c r="F870" i="1" s="1"/>
  <c r="G870" i="1" s="1"/>
  <c r="E870" i="1"/>
  <c r="N869" i="1" a="1"/>
  <c r="N869" i="1" s="1"/>
  <c r="M869" i="1" a="1"/>
  <c r="M869" i="1" s="1"/>
  <c r="L869" i="1" a="1"/>
  <c r="L869" i="1" s="1"/>
  <c r="K869" i="1" a="1"/>
  <c r="K869" i="1" s="1"/>
  <c r="J869" i="1"/>
  <c r="I869" i="1" a="1"/>
  <c r="I869" i="1" s="1"/>
  <c r="H869" i="1" a="1"/>
  <c r="H869" i="1" s="1"/>
  <c r="F869" i="1" a="1"/>
  <c r="F869" i="1" s="1"/>
  <c r="G869" i="1" s="1"/>
  <c r="E869" i="1"/>
  <c r="N868" i="1" a="1"/>
  <c r="N868" i="1" s="1"/>
  <c r="M868" i="1" a="1"/>
  <c r="M868" i="1" s="1"/>
  <c r="L868" i="1" a="1"/>
  <c r="L868" i="1" s="1"/>
  <c r="K868" i="1" a="1"/>
  <c r="K868" i="1" s="1"/>
  <c r="J868" i="1"/>
  <c r="I868" i="1" a="1"/>
  <c r="I868" i="1" s="1"/>
  <c r="H868" i="1" a="1"/>
  <c r="H868" i="1" s="1"/>
  <c r="F868" i="1" a="1"/>
  <c r="F868" i="1" s="1"/>
  <c r="G868" i="1" s="1"/>
  <c r="E868" i="1"/>
  <c r="N867" i="1" a="1"/>
  <c r="N867" i="1" s="1"/>
  <c r="M867" i="1" a="1"/>
  <c r="M867" i="1" s="1"/>
  <c r="L867" i="1" a="1"/>
  <c r="L867" i="1" s="1"/>
  <c r="K867" i="1" a="1"/>
  <c r="K867" i="1" s="1"/>
  <c r="J867" i="1"/>
  <c r="I867" i="1" a="1"/>
  <c r="I867" i="1" s="1"/>
  <c r="H867" i="1" a="1"/>
  <c r="H867" i="1" s="1"/>
  <c r="F867" i="1" a="1"/>
  <c r="F867" i="1" s="1"/>
  <c r="G867" i="1" s="1"/>
  <c r="E867" i="1"/>
  <c r="N866" i="1" a="1"/>
  <c r="N866" i="1" s="1"/>
  <c r="M866" i="1" a="1"/>
  <c r="M866" i="1" s="1"/>
  <c r="L866" i="1" a="1"/>
  <c r="L866" i="1" s="1"/>
  <c r="K866" i="1" a="1"/>
  <c r="K866" i="1" s="1"/>
  <c r="J866" i="1"/>
  <c r="I866" i="1" a="1"/>
  <c r="I866" i="1" s="1"/>
  <c r="H866" i="1" a="1"/>
  <c r="H866" i="1" s="1"/>
  <c r="F866" i="1" a="1"/>
  <c r="F866" i="1" s="1"/>
  <c r="G866" i="1" s="1"/>
  <c r="E866" i="1"/>
  <c r="N865" i="1" a="1"/>
  <c r="N865" i="1" s="1"/>
  <c r="M865" i="1" a="1"/>
  <c r="M865" i="1" s="1"/>
  <c r="L865" i="1" a="1"/>
  <c r="L865" i="1" s="1"/>
  <c r="K865" i="1" a="1"/>
  <c r="K865" i="1" s="1"/>
  <c r="J865" i="1"/>
  <c r="I865" i="1" a="1"/>
  <c r="I865" i="1" s="1"/>
  <c r="H865" i="1" a="1"/>
  <c r="H865" i="1" s="1"/>
  <c r="F865" i="1" a="1"/>
  <c r="F865" i="1" s="1"/>
  <c r="G865" i="1" s="1"/>
  <c r="E865" i="1"/>
  <c r="N864" i="1" a="1"/>
  <c r="N864" i="1" s="1"/>
  <c r="M864" i="1" a="1"/>
  <c r="M864" i="1" s="1"/>
  <c r="L864" i="1" a="1"/>
  <c r="L864" i="1" s="1"/>
  <c r="K864" i="1" a="1"/>
  <c r="K864" i="1" s="1"/>
  <c r="J864" i="1"/>
  <c r="I864" i="1" a="1"/>
  <c r="I864" i="1" s="1"/>
  <c r="H864" i="1" a="1"/>
  <c r="H864" i="1" s="1"/>
  <c r="F864" i="1" a="1"/>
  <c r="F864" i="1" s="1"/>
  <c r="G864" i="1" s="1"/>
  <c r="E864" i="1"/>
  <c r="N863" i="1" a="1"/>
  <c r="N863" i="1" s="1"/>
  <c r="M863" i="1" a="1"/>
  <c r="M863" i="1" s="1"/>
  <c r="L863" i="1" a="1"/>
  <c r="L863" i="1" s="1"/>
  <c r="K863" i="1" a="1"/>
  <c r="K863" i="1" s="1"/>
  <c r="J863" i="1"/>
  <c r="I863" i="1" a="1"/>
  <c r="I863" i="1" s="1"/>
  <c r="H863" i="1" a="1"/>
  <c r="H863" i="1" s="1"/>
  <c r="F863" i="1" a="1"/>
  <c r="F863" i="1" s="1"/>
  <c r="G863" i="1" s="1"/>
  <c r="E863" i="1"/>
  <c r="N862" i="1" a="1"/>
  <c r="N862" i="1" s="1"/>
  <c r="M862" i="1" a="1"/>
  <c r="M862" i="1" s="1"/>
  <c r="L862" i="1" a="1"/>
  <c r="L862" i="1" s="1"/>
  <c r="K862" i="1" a="1"/>
  <c r="K862" i="1" s="1"/>
  <c r="J862" i="1"/>
  <c r="I862" i="1" a="1"/>
  <c r="I862" i="1" s="1"/>
  <c r="H862" i="1" a="1"/>
  <c r="H862" i="1" s="1"/>
  <c r="F862" i="1" a="1"/>
  <c r="F862" i="1" s="1"/>
  <c r="G862" i="1" s="1"/>
  <c r="E862" i="1"/>
  <c r="N861" i="1" a="1"/>
  <c r="N861" i="1" s="1"/>
  <c r="M861" i="1" a="1"/>
  <c r="M861" i="1" s="1"/>
  <c r="L861" i="1" a="1"/>
  <c r="L861" i="1" s="1"/>
  <c r="K861" i="1" a="1"/>
  <c r="K861" i="1" s="1"/>
  <c r="J861" i="1"/>
  <c r="I861" i="1" a="1"/>
  <c r="I861" i="1" s="1"/>
  <c r="H861" i="1" a="1"/>
  <c r="H861" i="1" s="1"/>
  <c r="F861" i="1" a="1"/>
  <c r="F861" i="1" s="1"/>
  <c r="G861" i="1" s="1"/>
  <c r="E861" i="1"/>
  <c r="N860" i="1" a="1"/>
  <c r="N860" i="1" s="1"/>
  <c r="M860" i="1" a="1"/>
  <c r="M860" i="1" s="1"/>
  <c r="L860" i="1" a="1"/>
  <c r="L860" i="1" s="1"/>
  <c r="K860" i="1" a="1"/>
  <c r="K860" i="1" s="1"/>
  <c r="J860" i="1"/>
  <c r="I860" i="1" a="1"/>
  <c r="I860" i="1" s="1"/>
  <c r="H860" i="1" a="1"/>
  <c r="H860" i="1" s="1"/>
  <c r="F860" i="1" a="1"/>
  <c r="F860" i="1" s="1"/>
  <c r="G860" i="1" s="1"/>
  <c r="E860" i="1"/>
  <c r="N859" i="1" a="1"/>
  <c r="N859" i="1" s="1"/>
  <c r="M859" i="1" a="1"/>
  <c r="M859" i="1" s="1"/>
  <c r="L859" i="1" a="1"/>
  <c r="L859" i="1" s="1"/>
  <c r="K859" i="1" a="1"/>
  <c r="K859" i="1" s="1"/>
  <c r="J859" i="1"/>
  <c r="I859" i="1" a="1"/>
  <c r="I859" i="1" s="1"/>
  <c r="H859" i="1" a="1"/>
  <c r="H859" i="1" s="1"/>
  <c r="F859" i="1" a="1"/>
  <c r="F859" i="1" s="1"/>
  <c r="G859" i="1" s="1"/>
  <c r="E859" i="1"/>
  <c r="N858" i="1" a="1"/>
  <c r="N858" i="1" s="1"/>
  <c r="M858" i="1" a="1"/>
  <c r="M858" i="1" s="1"/>
  <c r="L858" i="1" a="1"/>
  <c r="L858" i="1" s="1"/>
  <c r="K858" i="1" a="1"/>
  <c r="K858" i="1" s="1"/>
  <c r="J858" i="1"/>
  <c r="I858" i="1" a="1"/>
  <c r="I858" i="1" s="1"/>
  <c r="H858" i="1" a="1"/>
  <c r="H858" i="1" s="1"/>
  <c r="F858" i="1" a="1"/>
  <c r="F858" i="1" s="1"/>
  <c r="G858" i="1" s="1"/>
  <c r="E858" i="1"/>
  <c r="N857" i="1" a="1"/>
  <c r="N857" i="1" s="1"/>
  <c r="M857" i="1" a="1"/>
  <c r="M857" i="1" s="1"/>
  <c r="L857" i="1" a="1"/>
  <c r="L857" i="1" s="1"/>
  <c r="K857" i="1" a="1"/>
  <c r="K857" i="1" s="1"/>
  <c r="J857" i="1"/>
  <c r="I857" i="1" a="1"/>
  <c r="I857" i="1" s="1"/>
  <c r="H857" i="1" a="1"/>
  <c r="H857" i="1" s="1"/>
  <c r="F857" i="1" a="1"/>
  <c r="F857" i="1" s="1"/>
  <c r="G857" i="1" s="1"/>
  <c r="E857" i="1"/>
  <c r="N856" i="1" a="1"/>
  <c r="N856" i="1" s="1"/>
  <c r="M856" i="1" a="1"/>
  <c r="M856" i="1" s="1"/>
  <c r="L856" i="1" a="1"/>
  <c r="L856" i="1" s="1"/>
  <c r="K856" i="1" a="1"/>
  <c r="K856" i="1" s="1"/>
  <c r="J856" i="1"/>
  <c r="I856" i="1" a="1"/>
  <c r="I856" i="1" s="1"/>
  <c r="H856" i="1" a="1"/>
  <c r="H856" i="1" s="1"/>
  <c r="F856" i="1" a="1"/>
  <c r="F856" i="1" s="1"/>
  <c r="G856" i="1" s="1"/>
  <c r="E856" i="1"/>
  <c r="N855" i="1" a="1"/>
  <c r="N855" i="1" s="1"/>
  <c r="M855" i="1" a="1"/>
  <c r="M855" i="1" s="1"/>
  <c r="L855" i="1" a="1"/>
  <c r="L855" i="1" s="1"/>
  <c r="K855" i="1" a="1"/>
  <c r="K855" i="1" s="1"/>
  <c r="J855" i="1"/>
  <c r="I855" i="1" a="1"/>
  <c r="I855" i="1" s="1"/>
  <c r="H855" i="1" a="1"/>
  <c r="H855" i="1" s="1"/>
  <c r="F855" i="1" a="1"/>
  <c r="F855" i="1" s="1"/>
  <c r="G855" i="1" s="1"/>
  <c r="E855" i="1"/>
  <c r="N854" i="1" a="1"/>
  <c r="N854" i="1" s="1"/>
  <c r="M854" i="1" a="1"/>
  <c r="M854" i="1" s="1"/>
  <c r="L854" i="1" a="1"/>
  <c r="L854" i="1" s="1"/>
  <c r="K854" i="1" a="1"/>
  <c r="K854" i="1" s="1"/>
  <c r="J854" i="1"/>
  <c r="I854" i="1" a="1"/>
  <c r="I854" i="1" s="1"/>
  <c r="H854" i="1" a="1"/>
  <c r="H854" i="1" s="1"/>
  <c r="F854" i="1" a="1"/>
  <c r="F854" i="1" s="1"/>
  <c r="G854" i="1" s="1"/>
  <c r="E854" i="1"/>
  <c r="N853" i="1" a="1"/>
  <c r="N853" i="1" s="1"/>
  <c r="M853" i="1" a="1"/>
  <c r="M853" i="1" s="1"/>
  <c r="L853" i="1" a="1"/>
  <c r="L853" i="1" s="1"/>
  <c r="K853" i="1" a="1"/>
  <c r="K853" i="1" s="1"/>
  <c r="J853" i="1"/>
  <c r="I853" i="1" a="1"/>
  <c r="I853" i="1" s="1"/>
  <c r="H853" i="1" a="1"/>
  <c r="H853" i="1" s="1"/>
  <c r="F853" i="1" a="1"/>
  <c r="F853" i="1" s="1"/>
  <c r="G853" i="1" s="1"/>
  <c r="E853" i="1"/>
  <c r="N852" i="1" a="1"/>
  <c r="N852" i="1" s="1"/>
  <c r="M852" i="1" a="1"/>
  <c r="M852" i="1" s="1"/>
  <c r="L852" i="1" a="1"/>
  <c r="L852" i="1" s="1"/>
  <c r="K852" i="1" a="1"/>
  <c r="K852" i="1" s="1"/>
  <c r="J852" i="1"/>
  <c r="I852" i="1" a="1"/>
  <c r="I852" i="1" s="1"/>
  <c r="H852" i="1" a="1"/>
  <c r="H852" i="1" s="1"/>
  <c r="F852" i="1" a="1"/>
  <c r="F852" i="1" s="1"/>
  <c r="G852" i="1" s="1"/>
  <c r="E852" i="1"/>
  <c r="N851" i="1" a="1"/>
  <c r="N851" i="1" s="1"/>
  <c r="M851" i="1" a="1"/>
  <c r="M851" i="1" s="1"/>
  <c r="L851" i="1" a="1"/>
  <c r="L851" i="1" s="1"/>
  <c r="K851" i="1" a="1"/>
  <c r="K851" i="1" s="1"/>
  <c r="J851" i="1"/>
  <c r="I851" i="1" a="1"/>
  <c r="I851" i="1" s="1"/>
  <c r="H851" i="1" a="1"/>
  <c r="H851" i="1" s="1"/>
  <c r="F851" i="1" a="1"/>
  <c r="F851" i="1" s="1"/>
  <c r="G851" i="1" s="1"/>
  <c r="E851" i="1"/>
  <c r="N850" i="1" a="1"/>
  <c r="N850" i="1" s="1"/>
  <c r="M850" i="1" a="1"/>
  <c r="M850" i="1" s="1"/>
  <c r="L850" i="1" a="1"/>
  <c r="L850" i="1" s="1"/>
  <c r="K850" i="1" a="1"/>
  <c r="K850" i="1" s="1"/>
  <c r="J850" i="1"/>
  <c r="I850" i="1" a="1"/>
  <c r="I850" i="1" s="1"/>
  <c r="H850" i="1" a="1"/>
  <c r="H850" i="1" s="1"/>
  <c r="F850" i="1" a="1"/>
  <c r="F850" i="1" s="1"/>
  <c r="G850" i="1" s="1"/>
  <c r="E850" i="1"/>
  <c r="N849" i="1" a="1"/>
  <c r="N849" i="1" s="1"/>
  <c r="M849" i="1" a="1"/>
  <c r="M849" i="1" s="1"/>
  <c r="L849" i="1" a="1"/>
  <c r="L849" i="1" s="1"/>
  <c r="K849" i="1" a="1"/>
  <c r="K849" i="1" s="1"/>
  <c r="J849" i="1"/>
  <c r="I849" i="1" a="1"/>
  <c r="I849" i="1" s="1"/>
  <c r="H849" i="1" a="1"/>
  <c r="H849" i="1" s="1"/>
  <c r="F849" i="1" a="1"/>
  <c r="F849" i="1" s="1"/>
  <c r="G849" i="1" s="1"/>
  <c r="E849" i="1"/>
  <c r="N848" i="1" a="1"/>
  <c r="N848" i="1" s="1"/>
  <c r="M848" i="1" a="1"/>
  <c r="M848" i="1" s="1"/>
  <c r="L848" i="1" a="1"/>
  <c r="L848" i="1" s="1"/>
  <c r="K848" i="1" a="1"/>
  <c r="K848" i="1" s="1"/>
  <c r="J848" i="1"/>
  <c r="I848" i="1" a="1"/>
  <c r="I848" i="1" s="1"/>
  <c r="H848" i="1" a="1"/>
  <c r="H848" i="1" s="1"/>
  <c r="F848" i="1" a="1"/>
  <c r="F848" i="1" s="1"/>
  <c r="G848" i="1" s="1"/>
  <c r="E848" i="1"/>
  <c r="N847" i="1" a="1"/>
  <c r="N847" i="1" s="1"/>
  <c r="M847" i="1" a="1"/>
  <c r="M847" i="1" s="1"/>
  <c r="L847" i="1" a="1"/>
  <c r="L847" i="1" s="1"/>
  <c r="K847" i="1" a="1"/>
  <c r="K847" i="1" s="1"/>
  <c r="J847" i="1"/>
  <c r="I847" i="1" a="1"/>
  <c r="I847" i="1" s="1"/>
  <c r="H847" i="1" a="1"/>
  <c r="H847" i="1" s="1"/>
  <c r="F847" i="1" a="1"/>
  <c r="F847" i="1" s="1"/>
  <c r="G847" i="1" s="1"/>
  <c r="E847" i="1"/>
  <c r="N846" i="1" a="1"/>
  <c r="N846" i="1" s="1"/>
  <c r="M846" i="1" a="1"/>
  <c r="M846" i="1" s="1"/>
  <c r="L846" i="1" a="1"/>
  <c r="L846" i="1" s="1"/>
  <c r="K846" i="1" a="1"/>
  <c r="K846" i="1" s="1"/>
  <c r="J846" i="1"/>
  <c r="I846" i="1" a="1"/>
  <c r="I846" i="1" s="1"/>
  <c r="H846" i="1" a="1"/>
  <c r="H846" i="1" s="1"/>
  <c r="F846" i="1" a="1"/>
  <c r="F846" i="1" s="1"/>
  <c r="G846" i="1" s="1"/>
  <c r="E846" i="1"/>
  <c r="N845" i="1" a="1"/>
  <c r="N845" i="1" s="1"/>
  <c r="M845" i="1" a="1"/>
  <c r="M845" i="1" s="1"/>
  <c r="L845" i="1" a="1"/>
  <c r="L845" i="1" s="1"/>
  <c r="K845" i="1" a="1"/>
  <c r="K845" i="1" s="1"/>
  <c r="J845" i="1"/>
  <c r="I845" i="1" a="1"/>
  <c r="I845" i="1" s="1"/>
  <c r="H845" i="1" a="1"/>
  <c r="H845" i="1" s="1"/>
  <c r="F845" i="1" a="1"/>
  <c r="F845" i="1" s="1"/>
  <c r="G845" i="1" s="1"/>
  <c r="E845" i="1"/>
  <c r="N844" i="1" a="1"/>
  <c r="N844" i="1" s="1"/>
  <c r="M844" i="1" a="1"/>
  <c r="M844" i="1" s="1"/>
  <c r="L844" i="1" a="1"/>
  <c r="L844" i="1" s="1"/>
  <c r="K844" i="1" a="1"/>
  <c r="K844" i="1" s="1"/>
  <c r="J844" i="1"/>
  <c r="I844" i="1" a="1"/>
  <c r="I844" i="1" s="1"/>
  <c r="H844" i="1" a="1"/>
  <c r="H844" i="1" s="1"/>
  <c r="F844" i="1" a="1"/>
  <c r="F844" i="1" s="1"/>
  <c r="G844" i="1" s="1"/>
  <c r="E844" i="1"/>
  <c r="N843" i="1" a="1"/>
  <c r="N843" i="1" s="1"/>
  <c r="M843" i="1" a="1"/>
  <c r="M843" i="1" s="1"/>
  <c r="L843" i="1" a="1"/>
  <c r="L843" i="1" s="1"/>
  <c r="K843" i="1" a="1"/>
  <c r="K843" i="1" s="1"/>
  <c r="J843" i="1"/>
  <c r="I843" i="1" a="1"/>
  <c r="I843" i="1" s="1"/>
  <c r="H843" i="1" a="1"/>
  <c r="H843" i="1" s="1"/>
  <c r="F843" i="1" a="1"/>
  <c r="F843" i="1" s="1"/>
  <c r="G843" i="1" s="1"/>
  <c r="E843" i="1"/>
  <c r="N842" i="1" a="1"/>
  <c r="N842" i="1" s="1"/>
  <c r="M842" i="1" a="1"/>
  <c r="M842" i="1" s="1"/>
  <c r="L842" i="1" a="1"/>
  <c r="L842" i="1" s="1"/>
  <c r="K842" i="1" a="1"/>
  <c r="K842" i="1" s="1"/>
  <c r="J842" i="1"/>
  <c r="I842" i="1" a="1"/>
  <c r="I842" i="1" s="1"/>
  <c r="H842" i="1" a="1"/>
  <c r="H842" i="1" s="1"/>
  <c r="F842" i="1" a="1"/>
  <c r="F842" i="1" s="1"/>
  <c r="G842" i="1" s="1"/>
  <c r="E842" i="1"/>
  <c r="N841" i="1" a="1"/>
  <c r="N841" i="1" s="1"/>
  <c r="M841" i="1" a="1"/>
  <c r="M841" i="1" s="1"/>
  <c r="L841" i="1" a="1"/>
  <c r="L841" i="1" s="1"/>
  <c r="K841" i="1" a="1"/>
  <c r="K841" i="1" s="1"/>
  <c r="J841" i="1"/>
  <c r="I841" i="1" a="1"/>
  <c r="I841" i="1" s="1"/>
  <c r="H841" i="1" a="1"/>
  <c r="H841" i="1" s="1"/>
  <c r="F841" i="1" a="1"/>
  <c r="F841" i="1" s="1"/>
  <c r="G841" i="1" s="1"/>
  <c r="E841" i="1"/>
  <c r="N840" i="1" a="1"/>
  <c r="N840" i="1" s="1"/>
  <c r="M840" i="1" a="1"/>
  <c r="M840" i="1" s="1"/>
  <c r="L840" i="1" a="1"/>
  <c r="L840" i="1" s="1"/>
  <c r="K840" i="1" a="1"/>
  <c r="K840" i="1" s="1"/>
  <c r="J840" i="1"/>
  <c r="I840" i="1" a="1"/>
  <c r="I840" i="1" s="1"/>
  <c r="H840" i="1" a="1"/>
  <c r="H840" i="1" s="1"/>
  <c r="F840" i="1" a="1"/>
  <c r="F840" i="1" s="1"/>
  <c r="G840" i="1" s="1"/>
  <c r="E840" i="1"/>
  <c r="N839" i="1" a="1"/>
  <c r="N839" i="1" s="1"/>
  <c r="M839" i="1" a="1"/>
  <c r="M839" i="1" s="1"/>
  <c r="L839" i="1" a="1"/>
  <c r="L839" i="1" s="1"/>
  <c r="K839" i="1" a="1"/>
  <c r="K839" i="1" s="1"/>
  <c r="J839" i="1"/>
  <c r="I839" i="1" a="1"/>
  <c r="I839" i="1" s="1"/>
  <c r="H839" i="1" a="1"/>
  <c r="H839" i="1" s="1"/>
  <c r="F839" i="1" a="1"/>
  <c r="F839" i="1" s="1"/>
  <c r="G839" i="1" s="1"/>
  <c r="E839" i="1"/>
  <c r="N838" i="1" a="1"/>
  <c r="N838" i="1" s="1"/>
  <c r="M838" i="1" a="1"/>
  <c r="M838" i="1" s="1"/>
  <c r="L838" i="1" a="1"/>
  <c r="L838" i="1" s="1"/>
  <c r="K838" i="1" a="1"/>
  <c r="K838" i="1" s="1"/>
  <c r="J838" i="1"/>
  <c r="I838" i="1" a="1"/>
  <c r="I838" i="1" s="1"/>
  <c r="H838" i="1" a="1"/>
  <c r="H838" i="1" s="1"/>
  <c r="F838" i="1" a="1"/>
  <c r="F838" i="1" s="1"/>
  <c r="G838" i="1" s="1"/>
  <c r="E838" i="1"/>
  <c r="N837" i="1" a="1"/>
  <c r="N837" i="1" s="1"/>
  <c r="M837" i="1" a="1"/>
  <c r="M837" i="1" s="1"/>
  <c r="L837" i="1" a="1"/>
  <c r="L837" i="1" s="1"/>
  <c r="K837" i="1" a="1"/>
  <c r="K837" i="1" s="1"/>
  <c r="J837" i="1"/>
  <c r="I837" i="1" a="1"/>
  <c r="I837" i="1" s="1"/>
  <c r="H837" i="1" a="1"/>
  <c r="H837" i="1" s="1"/>
  <c r="F837" i="1" a="1"/>
  <c r="F837" i="1" s="1"/>
  <c r="G837" i="1" s="1"/>
  <c r="E837" i="1"/>
  <c r="N836" i="1" a="1"/>
  <c r="N836" i="1" s="1"/>
  <c r="M836" i="1" a="1"/>
  <c r="M836" i="1" s="1"/>
  <c r="L836" i="1" a="1"/>
  <c r="L836" i="1" s="1"/>
  <c r="K836" i="1" a="1"/>
  <c r="K836" i="1" s="1"/>
  <c r="J836" i="1"/>
  <c r="I836" i="1" a="1"/>
  <c r="I836" i="1" s="1"/>
  <c r="H836" i="1" a="1"/>
  <c r="H836" i="1" s="1"/>
  <c r="F836" i="1" a="1"/>
  <c r="F836" i="1" s="1"/>
  <c r="G836" i="1" s="1"/>
  <c r="E836" i="1"/>
  <c r="N835" i="1" a="1"/>
  <c r="N835" i="1" s="1"/>
  <c r="M835" i="1" a="1"/>
  <c r="M835" i="1" s="1"/>
  <c r="L835" i="1" a="1"/>
  <c r="L835" i="1" s="1"/>
  <c r="K835" i="1" a="1"/>
  <c r="K835" i="1" s="1"/>
  <c r="J835" i="1"/>
  <c r="I835" i="1" a="1"/>
  <c r="I835" i="1" s="1"/>
  <c r="H835" i="1" a="1"/>
  <c r="H835" i="1" s="1"/>
  <c r="F835" i="1" a="1"/>
  <c r="F835" i="1" s="1"/>
  <c r="G835" i="1" s="1"/>
  <c r="E835" i="1"/>
  <c r="N834" i="1" a="1"/>
  <c r="N834" i="1" s="1"/>
  <c r="M834" i="1" a="1"/>
  <c r="M834" i="1" s="1"/>
  <c r="L834" i="1" a="1"/>
  <c r="L834" i="1" s="1"/>
  <c r="K834" i="1" a="1"/>
  <c r="K834" i="1" s="1"/>
  <c r="J834" i="1"/>
  <c r="I834" i="1" a="1"/>
  <c r="I834" i="1" s="1"/>
  <c r="H834" i="1" a="1"/>
  <c r="H834" i="1" s="1"/>
  <c r="F834" i="1" a="1"/>
  <c r="F834" i="1" s="1"/>
  <c r="G834" i="1" s="1"/>
  <c r="E834" i="1"/>
  <c r="N833" i="1" a="1"/>
  <c r="N833" i="1" s="1"/>
  <c r="M833" i="1" a="1"/>
  <c r="M833" i="1" s="1"/>
  <c r="L833" i="1" a="1"/>
  <c r="L833" i="1" s="1"/>
  <c r="K833" i="1" a="1"/>
  <c r="K833" i="1" s="1"/>
  <c r="J833" i="1"/>
  <c r="I833" i="1" a="1"/>
  <c r="I833" i="1" s="1"/>
  <c r="H833" i="1" a="1"/>
  <c r="H833" i="1" s="1"/>
  <c r="F833" i="1" a="1"/>
  <c r="F833" i="1" s="1"/>
  <c r="G833" i="1" s="1"/>
  <c r="E833" i="1"/>
  <c r="N832" i="1" a="1"/>
  <c r="N832" i="1" s="1"/>
  <c r="M832" i="1" a="1"/>
  <c r="M832" i="1" s="1"/>
  <c r="L832" i="1" a="1"/>
  <c r="L832" i="1" s="1"/>
  <c r="K832" i="1" a="1"/>
  <c r="K832" i="1" s="1"/>
  <c r="J832" i="1"/>
  <c r="I832" i="1" a="1"/>
  <c r="I832" i="1" s="1"/>
  <c r="H832" i="1" a="1"/>
  <c r="H832" i="1" s="1"/>
  <c r="F832" i="1" a="1"/>
  <c r="F832" i="1" s="1"/>
  <c r="G832" i="1" s="1"/>
  <c r="E832" i="1"/>
  <c r="N831" i="1" a="1"/>
  <c r="N831" i="1" s="1"/>
  <c r="M831" i="1" a="1"/>
  <c r="M831" i="1" s="1"/>
  <c r="L831" i="1" a="1"/>
  <c r="L831" i="1" s="1"/>
  <c r="K831" i="1" a="1"/>
  <c r="K831" i="1" s="1"/>
  <c r="J831" i="1"/>
  <c r="I831" i="1" a="1"/>
  <c r="I831" i="1" s="1"/>
  <c r="H831" i="1" a="1"/>
  <c r="H831" i="1" s="1"/>
  <c r="F831" i="1" a="1"/>
  <c r="F831" i="1" s="1"/>
  <c r="G831" i="1" s="1"/>
  <c r="E831" i="1"/>
  <c r="N830" i="1" a="1"/>
  <c r="N830" i="1" s="1"/>
  <c r="M830" i="1" a="1"/>
  <c r="M830" i="1" s="1"/>
  <c r="L830" i="1" a="1"/>
  <c r="L830" i="1" s="1"/>
  <c r="K830" i="1" a="1"/>
  <c r="K830" i="1" s="1"/>
  <c r="J830" i="1"/>
  <c r="I830" i="1" a="1"/>
  <c r="I830" i="1" s="1"/>
  <c r="H830" i="1" a="1"/>
  <c r="H830" i="1" s="1"/>
  <c r="F830" i="1" a="1"/>
  <c r="F830" i="1" s="1"/>
  <c r="G830" i="1" s="1"/>
  <c r="E830" i="1"/>
  <c r="N829" i="1" a="1"/>
  <c r="N829" i="1" s="1"/>
  <c r="M829" i="1" a="1"/>
  <c r="M829" i="1" s="1"/>
  <c r="L829" i="1" a="1"/>
  <c r="L829" i="1" s="1"/>
  <c r="K829" i="1" a="1"/>
  <c r="K829" i="1" s="1"/>
  <c r="J829" i="1"/>
  <c r="I829" i="1" a="1"/>
  <c r="I829" i="1" s="1"/>
  <c r="H829" i="1" a="1"/>
  <c r="H829" i="1" s="1"/>
  <c r="F829" i="1" a="1"/>
  <c r="F829" i="1" s="1"/>
  <c r="G829" i="1" s="1"/>
  <c r="E829" i="1"/>
  <c r="N828" i="1" a="1"/>
  <c r="N828" i="1" s="1"/>
  <c r="M828" i="1" a="1"/>
  <c r="M828" i="1" s="1"/>
  <c r="L828" i="1" a="1"/>
  <c r="L828" i="1" s="1"/>
  <c r="K828" i="1" a="1"/>
  <c r="K828" i="1" s="1"/>
  <c r="J828" i="1"/>
  <c r="I828" i="1" a="1"/>
  <c r="I828" i="1" s="1"/>
  <c r="H828" i="1" a="1"/>
  <c r="H828" i="1" s="1"/>
  <c r="F828" i="1" a="1"/>
  <c r="F828" i="1" s="1"/>
  <c r="G828" i="1" s="1"/>
  <c r="E828" i="1"/>
  <c r="N827" i="1" a="1"/>
  <c r="N827" i="1" s="1"/>
  <c r="M827" i="1" a="1"/>
  <c r="M827" i="1" s="1"/>
  <c r="L827" i="1" a="1"/>
  <c r="L827" i="1" s="1"/>
  <c r="K827" i="1" a="1"/>
  <c r="K827" i="1" s="1"/>
  <c r="J827" i="1"/>
  <c r="I827" i="1" a="1"/>
  <c r="I827" i="1" s="1"/>
  <c r="H827" i="1" a="1"/>
  <c r="H827" i="1" s="1"/>
  <c r="F827" i="1" a="1"/>
  <c r="F827" i="1" s="1"/>
  <c r="G827" i="1" s="1"/>
  <c r="E827" i="1"/>
  <c r="N826" i="1" a="1"/>
  <c r="N826" i="1" s="1"/>
  <c r="M826" i="1" a="1"/>
  <c r="M826" i="1" s="1"/>
  <c r="L826" i="1" a="1"/>
  <c r="L826" i="1" s="1"/>
  <c r="K826" i="1" a="1"/>
  <c r="K826" i="1" s="1"/>
  <c r="J826" i="1"/>
  <c r="I826" i="1" a="1"/>
  <c r="I826" i="1" s="1"/>
  <c r="H826" i="1" a="1"/>
  <c r="H826" i="1" s="1"/>
  <c r="F826" i="1" a="1"/>
  <c r="F826" i="1" s="1"/>
  <c r="G826" i="1" s="1"/>
  <c r="E826" i="1"/>
  <c r="N825" i="1" a="1"/>
  <c r="N825" i="1" s="1"/>
  <c r="M825" i="1" a="1"/>
  <c r="M825" i="1" s="1"/>
  <c r="L825" i="1" a="1"/>
  <c r="L825" i="1" s="1"/>
  <c r="K825" i="1" a="1"/>
  <c r="K825" i="1" s="1"/>
  <c r="J825" i="1"/>
  <c r="I825" i="1" a="1"/>
  <c r="I825" i="1" s="1"/>
  <c r="H825" i="1" a="1"/>
  <c r="H825" i="1" s="1"/>
  <c r="F825" i="1" a="1"/>
  <c r="F825" i="1" s="1"/>
  <c r="G825" i="1" s="1"/>
  <c r="E825" i="1"/>
  <c r="N824" i="1" a="1"/>
  <c r="N824" i="1" s="1"/>
  <c r="M824" i="1" a="1"/>
  <c r="M824" i="1" s="1"/>
  <c r="L824" i="1" a="1"/>
  <c r="L824" i="1" s="1"/>
  <c r="K824" i="1" a="1"/>
  <c r="K824" i="1" s="1"/>
  <c r="J824" i="1"/>
  <c r="I824" i="1" a="1"/>
  <c r="I824" i="1" s="1"/>
  <c r="H824" i="1" a="1"/>
  <c r="H824" i="1" s="1"/>
  <c r="F824" i="1" a="1"/>
  <c r="F824" i="1" s="1"/>
  <c r="G824" i="1" s="1"/>
  <c r="E824" i="1"/>
  <c r="N823" i="1" a="1"/>
  <c r="N823" i="1" s="1"/>
  <c r="M823" i="1" a="1"/>
  <c r="M823" i="1" s="1"/>
  <c r="L823" i="1" a="1"/>
  <c r="L823" i="1" s="1"/>
  <c r="K823" i="1" a="1"/>
  <c r="K823" i="1" s="1"/>
  <c r="J823" i="1"/>
  <c r="I823" i="1" a="1"/>
  <c r="I823" i="1" s="1"/>
  <c r="H823" i="1" a="1"/>
  <c r="H823" i="1" s="1"/>
  <c r="F823" i="1" a="1"/>
  <c r="F823" i="1" s="1"/>
  <c r="G823" i="1" s="1"/>
  <c r="E823" i="1"/>
  <c r="N822" i="1" a="1"/>
  <c r="N822" i="1" s="1"/>
  <c r="M822" i="1" a="1"/>
  <c r="M822" i="1" s="1"/>
  <c r="L822" i="1" a="1"/>
  <c r="L822" i="1" s="1"/>
  <c r="K822" i="1" a="1"/>
  <c r="K822" i="1" s="1"/>
  <c r="J822" i="1"/>
  <c r="I822" i="1" a="1"/>
  <c r="I822" i="1" s="1"/>
  <c r="H822" i="1" a="1"/>
  <c r="H822" i="1" s="1"/>
  <c r="F822" i="1" a="1"/>
  <c r="F822" i="1" s="1"/>
  <c r="G822" i="1" s="1"/>
  <c r="E822" i="1"/>
  <c r="N821" i="1" a="1"/>
  <c r="N821" i="1" s="1"/>
  <c r="M821" i="1" a="1"/>
  <c r="M821" i="1" s="1"/>
  <c r="L821" i="1" a="1"/>
  <c r="L821" i="1" s="1"/>
  <c r="K821" i="1" a="1"/>
  <c r="K821" i="1" s="1"/>
  <c r="J821" i="1"/>
  <c r="I821" i="1" a="1"/>
  <c r="I821" i="1" s="1"/>
  <c r="H821" i="1" a="1"/>
  <c r="H821" i="1" s="1"/>
  <c r="F821" i="1" a="1"/>
  <c r="F821" i="1" s="1"/>
  <c r="G821" i="1" s="1"/>
  <c r="E821" i="1"/>
  <c r="N820" i="1" a="1"/>
  <c r="N820" i="1" s="1"/>
  <c r="M820" i="1" a="1"/>
  <c r="M820" i="1" s="1"/>
  <c r="L820" i="1" a="1"/>
  <c r="L820" i="1" s="1"/>
  <c r="K820" i="1" a="1"/>
  <c r="K820" i="1" s="1"/>
  <c r="J820" i="1"/>
  <c r="I820" i="1" a="1"/>
  <c r="I820" i="1" s="1"/>
  <c r="H820" i="1" a="1"/>
  <c r="H820" i="1" s="1"/>
  <c r="F820" i="1" a="1"/>
  <c r="F820" i="1" s="1"/>
  <c r="G820" i="1" s="1"/>
  <c r="E820" i="1"/>
  <c r="N819" i="1" a="1"/>
  <c r="N819" i="1" s="1"/>
  <c r="M819" i="1" a="1"/>
  <c r="M819" i="1" s="1"/>
  <c r="L819" i="1" a="1"/>
  <c r="L819" i="1" s="1"/>
  <c r="K819" i="1" a="1"/>
  <c r="K819" i="1" s="1"/>
  <c r="J819" i="1"/>
  <c r="I819" i="1" a="1"/>
  <c r="I819" i="1" s="1"/>
  <c r="H819" i="1" a="1"/>
  <c r="H819" i="1" s="1"/>
  <c r="F819" i="1" a="1"/>
  <c r="F819" i="1" s="1"/>
  <c r="G819" i="1" s="1"/>
  <c r="E819" i="1"/>
  <c r="N818" i="1" a="1"/>
  <c r="N818" i="1" s="1"/>
  <c r="M818" i="1" a="1"/>
  <c r="M818" i="1" s="1"/>
  <c r="L818" i="1" a="1"/>
  <c r="L818" i="1" s="1"/>
  <c r="K818" i="1" a="1"/>
  <c r="K818" i="1" s="1"/>
  <c r="J818" i="1"/>
  <c r="I818" i="1" a="1"/>
  <c r="I818" i="1" s="1"/>
  <c r="H818" i="1" a="1"/>
  <c r="H818" i="1" s="1"/>
  <c r="F818" i="1" a="1"/>
  <c r="F818" i="1" s="1"/>
  <c r="G818" i="1" s="1"/>
  <c r="E818" i="1"/>
  <c r="N817" i="1" a="1"/>
  <c r="N817" i="1" s="1"/>
  <c r="M817" i="1" a="1"/>
  <c r="M817" i="1" s="1"/>
  <c r="L817" i="1" a="1"/>
  <c r="L817" i="1" s="1"/>
  <c r="K817" i="1" a="1"/>
  <c r="K817" i="1" s="1"/>
  <c r="J817" i="1"/>
  <c r="I817" i="1" a="1"/>
  <c r="I817" i="1" s="1"/>
  <c r="H817" i="1" a="1"/>
  <c r="H817" i="1" s="1"/>
  <c r="F817" i="1" a="1"/>
  <c r="F817" i="1" s="1"/>
  <c r="G817" i="1" s="1"/>
  <c r="E817" i="1"/>
  <c r="N816" i="1" a="1"/>
  <c r="N816" i="1" s="1"/>
  <c r="M816" i="1" a="1"/>
  <c r="M816" i="1" s="1"/>
  <c r="L816" i="1" a="1"/>
  <c r="L816" i="1" s="1"/>
  <c r="K816" i="1" a="1"/>
  <c r="K816" i="1" s="1"/>
  <c r="J816" i="1"/>
  <c r="I816" i="1" a="1"/>
  <c r="I816" i="1" s="1"/>
  <c r="H816" i="1" a="1"/>
  <c r="H816" i="1" s="1"/>
  <c r="F816" i="1" a="1"/>
  <c r="F816" i="1" s="1"/>
  <c r="G816" i="1" s="1"/>
  <c r="E816" i="1"/>
  <c r="N815" i="1" a="1"/>
  <c r="N815" i="1" s="1"/>
  <c r="M815" i="1" a="1"/>
  <c r="M815" i="1" s="1"/>
  <c r="L815" i="1" a="1"/>
  <c r="L815" i="1" s="1"/>
  <c r="K815" i="1" a="1"/>
  <c r="K815" i="1" s="1"/>
  <c r="J815" i="1"/>
  <c r="I815" i="1" a="1"/>
  <c r="I815" i="1" s="1"/>
  <c r="H815" i="1" a="1"/>
  <c r="H815" i="1" s="1"/>
  <c r="F815" i="1" a="1"/>
  <c r="F815" i="1" s="1"/>
  <c r="G815" i="1" s="1"/>
  <c r="E815" i="1"/>
  <c r="N814" i="1" a="1"/>
  <c r="N814" i="1" s="1"/>
  <c r="M814" i="1" a="1"/>
  <c r="M814" i="1" s="1"/>
  <c r="L814" i="1" a="1"/>
  <c r="L814" i="1" s="1"/>
  <c r="K814" i="1" a="1"/>
  <c r="K814" i="1" s="1"/>
  <c r="J814" i="1"/>
  <c r="I814" i="1" a="1"/>
  <c r="I814" i="1" s="1"/>
  <c r="H814" i="1" a="1"/>
  <c r="H814" i="1" s="1"/>
  <c r="F814" i="1" a="1"/>
  <c r="F814" i="1" s="1"/>
  <c r="G814" i="1" s="1"/>
  <c r="E814" i="1"/>
  <c r="N813" i="1" a="1"/>
  <c r="N813" i="1" s="1"/>
  <c r="M813" i="1" a="1"/>
  <c r="M813" i="1" s="1"/>
  <c r="L813" i="1" a="1"/>
  <c r="L813" i="1" s="1"/>
  <c r="K813" i="1" a="1"/>
  <c r="K813" i="1" s="1"/>
  <c r="J813" i="1"/>
  <c r="I813" i="1" a="1"/>
  <c r="I813" i="1" s="1"/>
  <c r="H813" i="1" a="1"/>
  <c r="H813" i="1" s="1"/>
  <c r="F813" i="1" a="1"/>
  <c r="F813" i="1" s="1"/>
  <c r="G813" i="1" s="1"/>
  <c r="E813" i="1"/>
  <c r="N812" i="1" a="1"/>
  <c r="N812" i="1" s="1"/>
  <c r="M812" i="1" a="1"/>
  <c r="M812" i="1" s="1"/>
  <c r="L812" i="1" a="1"/>
  <c r="L812" i="1" s="1"/>
  <c r="K812" i="1" a="1"/>
  <c r="K812" i="1" s="1"/>
  <c r="J812" i="1"/>
  <c r="I812" i="1" a="1"/>
  <c r="I812" i="1" s="1"/>
  <c r="H812" i="1" a="1"/>
  <c r="H812" i="1" s="1"/>
  <c r="F812" i="1" a="1"/>
  <c r="F812" i="1" s="1"/>
  <c r="G812" i="1" s="1"/>
  <c r="E812" i="1"/>
  <c r="N811" i="1" a="1"/>
  <c r="N811" i="1" s="1"/>
  <c r="M811" i="1" a="1"/>
  <c r="M811" i="1" s="1"/>
  <c r="L811" i="1" a="1"/>
  <c r="L811" i="1" s="1"/>
  <c r="K811" i="1" a="1"/>
  <c r="K811" i="1" s="1"/>
  <c r="J811" i="1"/>
  <c r="I811" i="1" a="1"/>
  <c r="I811" i="1" s="1"/>
  <c r="H811" i="1" a="1"/>
  <c r="H811" i="1" s="1"/>
  <c r="F811" i="1" a="1"/>
  <c r="F811" i="1" s="1"/>
  <c r="G811" i="1" s="1"/>
  <c r="E811" i="1"/>
  <c r="N810" i="1" a="1"/>
  <c r="N810" i="1" s="1"/>
  <c r="M810" i="1" a="1"/>
  <c r="M810" i="1" s="1"/>
  <c r="L810" i="1" a="1"/>
  <c r="L810" i="1" s="1"/>
  <c r="K810" i="1" a="1"/>
  <c r="K810" i="1" s="1"/>
  <c r="J810" i="1"/>
  <c r="I810" i="1" a="1"/>
  <c r="I810" i="1" s="1"/>
  <c r="H810" i="1" a="1"/>
  <c r="H810" i="1" s="1"/>
  <c r="F810" i="1" a="1"/>
  <c r="F810" i="1" s="1"/>
  <c r="G810" i="1" s="1"/>
  <c r="E810" i="1"/>
  <c r="N809" i="1" a="1"/>
  <c r="N809" i="1" s="1"/>
  <c r="M809" i="1" a="1"/>
  <c r="M809" i="1" s="1"/>
  <c r="L809" i="1" a="1"/>
  <c r="L809" i="1" s="1"/>
  <c r="K809" i="1" a="1"/>
  <c r="K809" i="1" s="1"/>
  <c r="J809" i="1"/>
  <c r="I809" i="1" a="1"/>
  <c r="I809" i="1" s="1"/>
  <c r="H809" i="1" a="1"/>
  <c r="H809" i="1" s="1"/>
  <c r="F809" i="1" a="1"/>
  <c r="F809" i="1" s="1"/>
  <c r="G809" i="1" s="1"/>
  <c r="E809" i="1"/>
  <c r="N808" i="1" a="1"/>
  <c r="N808" i="1" s="1"/>
  <c r="M808" i="1" a="1"/>
  <c r="M808" i="1" s="1"/>
  <c r="L808" i="1" a="1"/>
  <c r="L808" i="1" s="1"/>
  <c r="K808" i="1" a="1"/>
  <c r="K808" i="1" s="1"/>
  <c r="J808" i="1"/>
  <c r="I808" i="1" a="1"/>
  <c r="I808" i="1" s="1"/>
  <c r="H808" i="1" a="1"/>
  <c r="H808" i="1" s="1"/>
  <c r="F808" i="1" a="1"/>
  <c r="F808" i="1" s="1"/>
  <c r="G808" i="1" s="1"/>
  <c r="E808" i="1"/>
  <c r="N807" i="1" a="1"/>
  <c r="N807" i="1" s="1"/>
  <c r="M807" i="1" a="1"/>
  <c r="M807" i="1" s="1"/>
  <c r="L807" i="1" a="1"/>
  <c r="L807" i="1" s="1"/>
  <c r="K807" i="1" a="1"/>
  <c r="K807" i="1" s="1"/>
  <c r="J807" i="1"/>
  <c r="I807" i="1" a="1"/>
  <c r="I807" i="1" s="1"/>
  <c r="H807" i="1" a="1"/>
  <c r="H807" i="1" s="1"/>
  <c r="F807" i="1" a="1"/>
  <c r="F807" i="1" s="1"/>
  <c r="G807" i="1" s="1"/>
  <c r="E807" i="1"/>
  <c r="N806" i="1" a="1"/>
  <c r="N806" i="1" s="1"/>
  <c r="M806" i="1" a="1"/>
  <c r="M806" i="1" s="1"/>
  <c r="L806" i="1" a="1"/>
  <c r="L806" i="1" s="1"/>
  <c r="K806" i="1" a="1"/>
  <c r="K806" i="1" s="1"/>
  <c r="J806" i="1"/>
  <c r="I806" i="1" a="1"/>
  <c r="I806" i="1" s="1"/>
  <c r="H806" i="1" a="1"/>
  <c r="H806" i="1" s="1"/>
  <c r="F806" i="1" a="1"/>
  <c r="F806" i="1" s="1"/>
  <c r="G806" i="1" s="1"/>
  <c r="E806" i="1"/>
  <c r="N805" i="1" a="1"/>
  <c r="N805" i="1" s="1"/>
  <c r="M805" i="1" a="1"/>
  <c r="M805" i="1" s="1"/>
  <c r="L805" i="1" a="1"/>
  <c r="L805" i="1" s="1"/>
  <c r="K805" i="1" a="1"/>
  <c r="K805" i="1" s="1"/>
  <c r="J805" i="1"/>
  <c r="I805" i="1" a="1"/>
  <c r="I805" i="1" s="1"/>
  <c r="H805" i="1" a="1"/>
  <c r="H805" i="1" s="1"/>
  <c r="F805" i="1" a="1"/>
  <c r="F805" i="1" s="1"/>
  <c r="G805" i="1" s="1"/>
  <c r="E805" i="1"/>
  <c r="N804" i="1" a="1"/>
  <c r="N804" i="1" s="1"/>
  <c r="M804" i="1" a="1"/>
  <c r="M804" i="1" s="1"/>
  <c r="L804" i="1" a="1"/>
  <c r="L804" i="1" s="1"/>
  <c r="K804" i="1" a="1"/>
  <c r="K804" i="1" s="1"/>
  <c r="J804" i="1"/>
  <c r="I804" i="1" a="1"/>
  <c r="I804" i="1" s="1"/>
  <c r="H804" i="1" a="1"/>
  <c r="H804" i="1" s="1"/>
  <c r="F804" i="1" a="1"/>
  <c r="F804" i="1" s="1"/>
  <c r="G804" i="1" s="1"/>
  <c r="E804" i="1"/>
  <c r="N803" i="1" a="1"/>
  <c r="N803" i="1" s="1"/>
  <c r="M803" i="1" a="1"/>
  <c r="M803" i="1" s="1"/>
  <c r="L803" i="1" a="1"/>
  <c r="L803" i="1" s="1"/>
  <c r="K803" i="1" a="1"/>
  <c r="K803" i="1" s="1"/>
  <c r="J803" i="1"/>
  <c r="I803" i="1" a="1"/>
  <c r="I803" i="1" s="1"/>
  <c r="H803" i="1" a="1"/>
  <c r="H803" i="1" s="1"/>
  <c r="F803" i="1" a="1"/>
  <c r="F803" i="1" s="1"/>
  <c r="G803" i="1" s="1"/>
  <c r="E803" i="1"/>
  <c r="N802" i="1" a="1"/>
  <c r="N802" i="1" s="1"/>
  <c r="M802" i="1" a="1"/>
  <c r="M802" i="1" s="1"/>
  <c r="L802" i="1" a="1"/>
  <c r="L802" i="1" s="1"/>
  <c r="K802" i="1" a="1"/>
  <c r="K802" i="1" s="1"/>
  <c r="J802" i="1"/>
  <c r="I802" i="1" a="1"/>
  <c r="I802" i="1" s="1"/>
  <c r="H802" i="1" a="1"/>
  <c r="H802" i="1" s="1"/>
  <c r="F802" i="1" a="1"/>
  <c r="F802" i="1" s="1"/>
  <c r="G802" i="1" s="1"/>
  <c r="E802" i="1"/>
  <c r="N801" i="1" a="1"/>
  <c r="N801" i="1" s="1"/>
  <c r="M801" i="1" a="1"/>
  <c r="M801" i="1" s="1"/>
  <c r="L801" i="1" a="1"/>
  <c r="L801" i="1" s="1"/>
  <c r="K801" i="1" a="1"/>
  <c r="K801" i="1" s="1"/>
  <c r="J801" i="1"/>
  <c r="I801" i="1" a="1"/>
  <c r="I801" i="1" s="1"/>
  <c r="H801" i="1" a="1"/>
  <c r="H801" i="1" s="1"/>
  <c r="F801" i="1" a="1"/>
  <c r="F801" i="1" s="1"/>
  <c r="G801" i="1" s="1"/>
  <c r="E801" i="1"/>
  <c r="N800" i="1" a="1"/>
  <c r="N800" i="1" s="1"/>
  <c r="M800" i="1" a="1"/>
  <c r="M800" i="1" s="1"/>
  <c r="L800" i="1" a="1"/>
  <c r="L800" i="1" s="1"/>
  <c r="K800" i="1" a="1"/>
  <c r="K800" i="1" s="1"/>
  <c r="J800" i="1"/>
  <c r="I800" i="1" a="1"/>
  <c r="I800" i="1" s="1"/>
  <c r="H800" i="1" a="1"/>
  <c r="H800" i="1" s="1"/>
  <c r="F800" i="1" a="1"/>
  <c r="F800" i="1" s="1"/>
  <c r="G800" i="1" s="1"/>
  <c r="E800" i="1"/>
  <c r="N799" i="1" a="1"/>
  <c r="N799" i="1" s="1"/>
  <c r="M799" i="1" a="1"/>
  <c r="M799" i="1" s="1"/>
  <c r="L799" i="1" a="1"/>
  <c r="L799" i="1" s="1"/>
  <c r="K799" i="1" a="1"/>
  <c r="K799" i="1" s="1"/>
  <c r="J799" i="1"/>
  <c r="I799" i="1" a="1"/>
  <c r="I799" i="1" s="1"/>
  <c r="H799" i="1" a="1"/>
  <c r="H799" i="1" s="1"/>
  <c r="F799" i="1" a="1"/>
  <c r="F799" i="1" s="1"/>
  <c r="G799" i="1" s="1"/>
  <c r="E799" i="1"/>
  <c r="N798" i="1" a="1"/>
  <c r="N798" i="1" s="1"/>
  <c r="M798" i="1" a="1"/>
  <c r="M798" i="1" s="1"/>
  <c r="L798" i="1" a="1"/>
  <c r="L798" i="1" s="1"/>
  <c r="K798" i="1" a="1"/>
  <c r="K798" i="1" s="1"/>
  <c r="J798" i="1"/>
  <c r="I798" i="1" a="1"/>
  <c r="I798" i="1" s="1"/>
  <c r="H798" i="1" a="1"/>
  <c r="H798" i="1" s="1"/>
  <c r="F798" i="1" a="1"/>
  <c r="F798" i="1" s="1"/>
  <c r="G798" i="1" s="1"/>
  <c r="E798" i="1"/>
  <c r="N797" i="1" a="1"/>
  <c r="N797" i="1" s="1"/>
  <c r="M797" i="1" a="1"/>
  <c r="M797" i="1" s="1"/>
  <c r="L797" i="1" a="1"/>
  <c r="L797" i="1" s="1"/>
  <c r="K797" i="1" a="1"/>
  <c r="K797" i="1" s="1"/>
  <c r="J797" i="1"/>
  <c r="I797" i="1" a="1"/>
  <c r="I797" i="1" s="1"/>
  <c r="H797" i="1" a="1"/>
  <c r="H797" i="1" s="1"/>
  <c r="F797" i="1" a="1"/>
  <c r="F797" i="1" s="1"/>
  <c r="G797" i="1" s="1"/>
  <c r="E797" i="1"/>
  <c r="N796" i="1" a="1"/>
  <c r="N796" i="1" s="1"/>
  <c r="M796" i="1" a="1"/>
  <c r="M796" i="1" s="1"/>
  <c r="L796" i="1" a="1"/>
  <c r="L796" i="1" s="1"/>
  <c r="K796" i="1" a="1"/>
  <c r="K796" i="1" s="1"/>
  <c r="J796" i="1"/>
  <c r="I796" i="1" a="1"/>
  <c r="I796" i="1" s="1"/>
  <c r="H796" i="1" a="1"/>
  <c r="H796" i="1" s="1"/>
  <c r="F796" i="1" a="1"/>
  <c r="F796" i="1" s="1"/>
  <c r="G796" i="1" s="1"/>
  <c r="E796" i="1"/>
  <c r="N795" i="1" a="1"/>
  <c r="N795" i="1" s="1"/>
  <c r="M795" i="1" a="1"/>
  <c r="M795" i="1" s="1"/>
  <c r="L795" i="1" a="1"/>
  <c r="L795" i="1" s="1"/>
  <c r="K795" i="1" a="1"/>
  <c r="K795" i="1" s="1"/>
  <c r="J795" i="1"/>
  <c r="I795" i="1" a="1"/>
  <c r="I795" i="1" s="1"/>
  <c r="H795" i="1" a="1"/>
  <c r="H795" i="1" s="1"/>
  <c r="F795" i="1" a="1"/>
  <c r="F795" i="1" s="1"/>
  <c r="G795" i="1" s="1"/>
  <c r="E795" i="1"/>
  <c r="N794" i="1" a="1"/>
  <c r="N794" i="1" s="1"/>
  <c r="M794" i="1" a="1"/>
  <c r="M794" i="1" s="1"/>
  <c r="L794" i="1" a="1"/>
  <c r="L794" i="1" s="1"/>
  <c r="K794" i="1" a="1"/>
  <c r="K794" i="1" s="1"/>
  <c r="J794" i="1"/>
  <c r="I794" i="1" a="1"/>
  <c r="I794" i="1" s="1"/>
  <c r="H794" i="1" a="1"/>
  <c r="H794" i="1" s="1"/>
  <c r="F794" i="1" a="1"/>
  <c r="F794" i="1" s="1"/>
  <c r="G794" i="1" s="1"/>
  <c r="E794" i="1"/>
  <c r="N793" i="1" a="1"/>
  <c r="N793" i="1" s="1"/>
  <c r="M793" i="1" a="1"/>
  <c r="M793" i="1" s="1"/>
  <c r="L793" i="1" a="1"/>
  <c r="L793" i="1" s="1"/>
  <c r="K793" i="1" a="1"/>
  <c r="K793" i="1" s="1"/>
  <c r="J793" i="1"/>
  <c r="I793" i="1" a="1"/>
  <c r="I793" i="1" s="1"/>
  <c r="H793" i="1" a="1"/>
  <c r="H793" i="1" s="1"/>
  <c r="F793" i="1" a="1"/>
  <c r="F793" i="1" s="1"/>
  <c r="G793" i="1" s="1"/>
  <c r="E793" i="1"/>
  <c r="N792" i="1" a="1"/>
  <c r="N792" i="1" s="1"/>
  <c r="M792" i="1" a="1"/>
  <c r="M792" i="1" s="1"/>
  <c r="L792" i="1" a="1"/>
  <c r="L792" i="1" s="1"/>
  <c r="K792" i="1" a="1"/>
  <c r="K792" i="1" s="1"/>
  <c r="J792" i="1"/>
  <c r="I792" i="1" a="1"/>
  <c r="I792" i="1" s="1"/>
  <c r="H792" i="1" a="1"/>
  <c r="H792" i="1" s="1"/>
  <c r="F792" i="1" a="1"/>
  <c r="F792" i="1" s="1"/>
  <c r="G792" i="1" s="1"/>
  <c r="E792" i="1"/>
  <c r="N791" i="1" a="1"/>
  <c r="N791" i="1" s="1"/>
  <c r="M791" i="1" a="1"/>
  <c r="M791" i="1" s="1"/>
  <c r="L791" i="1" a="1"/>
  <c r="L791" i="1" s="1"/>
  <c r="K791" i="1" a="1"/>
  <c r="K791" i="1" s="1"/>
  <c r="J791" i="1"/>
  <c r="I791" i="1" a="1"/>
  <c r="I791" i="1" s="1"/>
  <c r="H791" i="1" a="1"/>
  <c r="H791" i="1" s="1"/>
  <c r="F791" i="1" a="1"/>
  <c r="F791" i="1" s="1"/>
  <c r="G791" i="1" s="1"/>
  <c r="E791" i="1"/>
  <c r="N790" i="1" a="1"/>
  <c r="N790" i="1" s="1"/>
  <c r="M790" i="1" a="1"/>
  <c r="M790" i="1" s="1"/>
  <c r="L790" i="1" a="1"/>
  <c r="L790" i="1" s="1"/>
  <c r="K790" i="1" a="1"/>
  <c r="K790" i="1" s="1"/>
  <c r="J790" i="1"/>
  <c r="I790" i="1" a="1"/>
  <c r="I790" i="1" s="1"/>
  <c r="H790" i="1" a="1"/>
  <c r="H790" i="1" s="1"/>
  <c r="F790" i="1" a="1"/>
  <c r="F790" i="1" s="1"/>
  <c r="G790" i="1" s="1"/>
  <c r="E790" i="1"/>
  <c r="N789" i="1" a="1"/>
  <c r="N789" i="1" s="1"/>
  <c r="M789" i="1" a="1"/>
  <c r="M789" i="1" s="1"/>
  <c r="L789" i="1" a="1"/>
  <c r="L789" i="1" s="1"/>
  <c r="K789" i="1" a="1"/>
  <c r="K789" i="1" s="1"/>
  <c r="J789" i="1"/>
  <c r="I789" i="1" a="1"/>
  <c r="I789" i="1" s="1"/>
  <c r="H789" i="1" a="1"/>
  <c r="H789" i="1" s="1"/>
  <c r="F789" i="1" a="1"/>
  <c r="F789" i="1" s="1"/>
  <c r="G789" i="1" s="1"/>
  <c r="E789" i="1"/>
  <c r="N788" i="1" a="1"/>
  <c r="N788" i="1" s="1"/>
  <c r="M788" i="1" a="1"/>
  <c r="M788" i="1" s="1"/>
  <c r="L788" i="1" a="1"/>
  <c r="L788" i="1" s="1"/>
  <c r="K788" i="1" a="1"/>
  <c r="K788" i="1" s="1"/>
  <c r="J788" i="1"/>
  <c r="I788" i="1" a="1"/>
  <c r="I788" i="1" s="1"/>
  <c r="H788" i="1" a="1"/>
  <c r="H788" i="1" s="1"/>
  <c r="F788" i="1" a="1"/>
  <c r="F788" i="1" s="1"/>
  <c r="G788" i="1" s="1"/>
  <c r="E788" i="1"/>
  <c r="N787" i="1" a="1"/>
  <c r="N787" i="1" s="1"/>
  <c r="M787" i="1" a="1"/>
  <c r="M787" i="1" s="1"/>
  <c r="L787" i="1" a="1"/>
  <c r="L787" i="1" s="1"/>
  <c r="K787" i="1" a="1"/>
  <c r="K787" i="1" s="1"/>
  <c r="J787" i="1"/>
  <c r="I787" i="1" a="1"/>
  <c r="I787" i="1" s="1"/>
  <c r="H787" i="1" a="1"/>
  <c r="H787" i="1" s="1"/>
  <c r="F787" i="1" a="1"/>
  <c r="F787" i="1" s="1"/>
  <c r="G787" i="1" s="1"/>
  <c r="E787" i="1"/>
  <c r="N786" i="1" a="1"/>
  <c r="N786" i="1" s="1"/>
  <c r="M786" i="1" a="1"/>
  <c r="M786" i="1" s="1"/>
  <c r="L786" i="1" a="1"/>
  <c r="L786" i="1" s="1"/>
  <c r="K786" i="1" a="1"/>
  <c r="K786" i="1" s="1"/>
  <c r="J786" i="1"/>
  <c r="I786" i="1" a="1"/>
  <c r="I786" i="1" s="1"/>
  <c r="H786" i="1" a="1"/>
  <c r="H786" i="1" s="1"/>
  <c r="F786" i="1" a="1"/>
  <c r="F786" i="1" s="1"/>
  <c r="G786" i="1" s="1"/>
  <c r="E786" i="1"/>
  <c r="N785" i="1" a="1"/>
  <c r="N785" i="1" s="1"/>
  <c r="M785" i="1" a="1"/>
  <c r="M785" i="1" s="1"/>
  <c r="L785" i="1" a="1"/>
  <c r="L785" i="1" s="1"/>
  <c r="K785" i="1" a="1"/>
  <c r="K785" i="1" s="1"/>
  <c r="J785" i="1"/>
  <c r="I785" i="1" a="1"/>
  <c r="I785" i="1" s="1"/>
  <c r="H785" i="1" a="1"/>
  <c r="H785" i="1" s="1"/>
  <c r="F785" i="1" a="1"/>
  <c r="F785" i="1" s="1"/>
  <c r="G785" i="1" s="1"/>
  <c r="E785" i="1"/>
  <c r="N784" i="1" a="1"/>
  <c r="N784" i="1" s="1"/>
  <c r="M784" i="1" a="1"/>
  <c r="M784" i="1" s="1"/>
  <c r="L784" i="1" a="1"/>
  <c r="L784" i="1" s="1"/>
  <c r="K784" i="1" a="1"/>
  <c r="K784" i="1" s="1"/>
  <c r="J784" i="1"/>
  <c r="I784" i="1" a="1"/>
  <c r="I784" i="1" s="1"/>
  <c r="H784" i="1" a="1"/>
  <c r="H784" i="1" s="1"/>
  <c r="F784" i="1" a="1"/>
  <c r="F784" i="1" s="1"/>
  <c r="G784" i="1" s="1"/>
  <c r="E784" i="1"/>
  <c r="N783" i="1" a="1"/>
  <c r="N783" i="1" s="1"/>
  <c r="M783" i="1" a="1"/>
  <c r="M783" i="1" s="1"/>
  <c r="L783" i="1" a="1"/>
  <c r="L783" i="1" s="1"/>
  <c r="K783" i="1" a="1"/>
  <c r="K783" i="1" s="1"/>
  <c r="J783" i="1"/>
  <c r="I783" i="1" a="1"/>
  <c r="I783" i="1" s="1"/>
  <c r="H783" i="1" a="1"/>
  <c r="H783" i="1" s="1"/>
  <c r="F783" i="1" a="1"/>
  <c r="F783" i="1" s="1"/>
  <c r="G783" i="1" s="1"/>
  <c r="E783" i="1"/>
  <c r="N782" i="1" a="1"/>
  <c r="N782" i="1" s="1"/>
  <c r="M782" i="1" a="1"/>
  <c r="M782" i="1" s="1"/>
  <c r="L782" i="1" a="1"/>
  <c r="L782" i="1" s="1"/>
  <c r="K782" i="1" a="1"/>
  <c r="K782" i="1" s="1"/>
  <c r="J782" i="1"/>
  <c r="I782" i="1" a="1"/>
  <c r="I782" i="1" s="1"/>
  <c r="H782" i="1" a="1"/>
  <c r="H782" i="1" s="1"/>
  <c r="F782" i="1" a="1"/>
  <c r="F782" i="1" s="1"/>
  <c r="G782" i="1" s="1"/>
  <c r="E782" i="1"/>
  <c r="N781" i="1" a="1"/>
  <c r="N781" i="1" s="1"/>
  <c r="M781" i="1" a="1"/>
  <c r="M781" i="1" s="1"/>
  <c r="L781" i="1" a="1"/>
  <c r="L781" i="1" s="1"/>
  <c r="K781" i="1" a="1"/>
  <c r="K781" i="1" s="1"/>
  <c r="J781" i="1"/>
  <c r="I781" i="1" a="1"/>
  <c r="I781" i="1" s="1"/>
  <c r="H781" i="1" a="1"/>
  <c r="H781" i="1" s="1"/>
  <c r="F781" i="1" a="1"/>
  <c r="F781" i="1" s="1"/>
  <c r="G781" i="1" s="1"/>
  <c r="E781" i="1"/>
  <c r="N780" i="1" a="1"/>
  <c r="N780" i="1" s="1"/>
  <c r="M780" i="1" a="1"/>
  <c r="M780" i="1" s="1"/>
  <c r="L780" i="1" a="1"/>
  <c r="L780" i="1" s="1"/>
  <c r="K780" i="1" a="1"/>
  <c r="K780" i="1" s="1"/>
  <c r="J780" i="1"/>
  <c r="I780" i="1" a="1"/>
  <c r="I780" i="1" s="1"/>
  <c r="H780" i="1" a="1"/>
  <c r="H780" i="1" s="1"/>
  <c r="F780" i="1" a="1"/>
  <c r="F780" i="1" s="1"/>
  <c r="G780" i="1" s="1"/>
  <c r="E780" i="1"/>
  <c r="N779" i="1" a="1"/>
  <c r="N779" i="1" s="1"/>
  <c r="M779" i="1" a="1"/>
  <c r="M779" i="1" s="1"/>
  <c r="L779" i="1" a="1"/>
  <c r="L779" i="1" s="1"/>
  <c r="K779" i="1" a="1"/>
  <c r="K779" i="1" s="1"/>
  <c r="J779" i="1"/>
  <c r="I779" i="1" a="1"/>
  <c r="I779" i="1" s="1"/>
  <c r="H779" i="1" a="1"/>
  <c r="H779" i="1" s="1"/>
  <c r="F779" i="1" a="1"/>
  <c r="F779" i="1" s="1"/>
  <c r="G779" i="1" s="1"/>
  <c r="E779" i="1"/>
  <c r="N778" i="1" a="1"/>
  <c r="N778" i="1" s="1"/>
  <c r="M778" i="1" a="1"/>
  <c r="M778" i="1" s="1"/>
  <c r="L778" i="1" a="1"/>
  <c r="L778" i="1" s="1"/>
  <c r="K778" i="1" a="1"/>
  <c r="K778" i="1" s="1"/>
  <c r="J778" i="1"/>
  <c r="I778" i="1" a="1"/>
  <c r="I778" i="1" s="1"/>
  <c r="H778" i="1" a="1"/>
  <c r="H778" i="1" s="1"/>
  <c r="F778" i="1" a="1"/>
  <c r="F778" i="1" s="1"/>
  <c r="G778" i="1" s="1"/>
  <c r="E778" i="1"/>
  <c r="N777" i="1" a="1"/>
  <c r="N777" i="1" s="1"/>
  <c r="M777" i="1" a="1"/>
  <c r="M777" i="1" s="1"/>
  <c r="L777" i="1" a="1"/>
  <c r="L777" i="1" s="1"/>
  <c r="K777" i="1" a="1"/>
  <c r="K777" i="1" s="1"/>
  <c r="J777" i="1"/>
  <c r="I777" i="1" a="1"/>
  <c r="I777" i="1" s="1"/>
  <c r="H777" i="1" a="1"/>
  <c r="H777" i="1" s="1"/>
  <c r="F777" i="1" a="1"/>
  <c r="F777" i="1" s="1"/>
  <c r="G777" i="1" s="1"/>
  <c r="E777" i="1"/>
  <c r="N776" i="1" a="1"/>
  <c r="N776" i="1" s="1"/>
  <c r="M776" i="1" a="1"/>
  <c r="M776" i="1" s="1"/>
  <c r="L776" i="1" a="1"/>
  <c r="L776" i="1" s="1"/>
  <c r="K776" i="1" a="1"/>
  <c r="K776" i="1" s="1"/>
  <c r="J776" i="1"/>
  <c r="I776" i="1" a="1"/>
  <c r="I776" i="1" s="1"/>
  <c r="H776" i="1" a="1"/>
  <c r="H776" i="1" s="1"/>
  <c r="F776" i="1" a="1"/>
  <c r="F776" i="1" s="1"/>
  <c r="G776" i="1" s="1"/>
  <c r="E776" i="1"/>
  <c r="N775" i="1" a="1"/>
  <c r="N775" i="1" s="1"/>
  <c r="M775" i="1" a="1"/>
  <c r="M775" i="1" s="1"/>
  <c r="L775" i="1" a="1"/>
  <c r="L775" i="1" s="1"/>
  <c r="K775" i="1" a="1"/>
  <c r="K775" i="1" s="1"/>
  <c r="J775" i="1"/>
  <c r="I775" i="1" a="1"/>
  <c r="I775" i="1" s="1"/>
  <c r="H775" i="1" a="1"/>
  <c r="H775" i="1" s="1"/>
  <c r="F775" i="1" a="1"/>
  <c r="F775" i="1" s="1"/>
  <c r="G775" i="1" s="1"/>
  <c r="E775" i="1"/>
  <c r="N774" i="1" a="1"/>
  <c r="N774" i="1" s="1"/>
  <c r="M774" i="1" a="1"/>
  <c r="M774" i="1" s="1"/>
  <c r="L774" i="1" a="1"/>
  <c r="L774" i="1" s="1"/>
  <c r="K774" i="1" a="1"/>
  <c r="K774" i="1" s="1"/>
  <c r="J774" i="1"/>
  <c r="I774" i="1" a="1"/>
  <c r="I774" i="1" s="1"/>
  <c r="H774" i="1" a="1"/>
  <c r="H774" i="1" s="1"/>
  <c r="F774" i="1" a="1"/>
  <c r="F774" i="1" s="1"/>
  <c r="G774" i="1" s="1"/>
  <c r="E774" i="1"/>
  <c r="N773" i="1" a="1"/>
  <c r="N773" i="1" s="1"/>
  <c r="M773" i="1" a="1"/>
  <c r="M773" i="1" s="1"/>
  <c r="L773" i="1" a="1"/>
  <c r="L773" i="1" s="1"/>
  <c r="K773" i="1" a="1"/>
  <c r="K773" i="1" s="1"/>
  <c r="J773" i="1"/>
  <c r="I773" i="1" a="1"/>
  <c r="I773" i="1" s="1"/>
  <c r="H773" i="1" a="1"/>
  <c r="H773" i="1" s="1"/>
  <c r="F773" i="1" a="1"/>
  <c r="F773" i="1" s="1"/>
  <c r="G773" i="1" s="1"/>
  <c r="E773" i="1"/>
  <c r="N772" i="1" a="1"/>
  <c r="N772" i="1" s="1"/>
  <c r="M772" i="1" a="1"/>
  <c r="M772" i="1" s="1"/>
  <c r="L772" i="1" a="1"/>
  <c r="L772" i="1" s="1"/>
  <c r="K772" i="1" a="1"/>
  <c r="K772" i="1" s="1"/>
  <c r="J772" i="1"/>
  <c r="I772" i="1" a="1"/>
  <c r="I772" i="1" s="1"/>
  <c r="H772" i="1" a="1"/>
  <c r="H772" i="1" s="1"/>
  <c r="F772" i="1" a="1"/>
  <c r="F772" i="1" s="1"/>
  <c r="G772" i="1" s="1"/>
  <c r="E772" i="1"/>
  <c r="N771" i="1" a="1"/>
  <c r="N771" i="1" s="1"/>
  <c r="M771" i="1" a="1"/>
  <c r="M771" i="1" s="1"/>
  <c r="L771" i="1" a="1"/>
  <c r="L771" i="1" s="1"/>
  <c r="K771" i="1" a="1"/>
  <c r="K771" i="1" s="1"/>
  <c r="J771" i="1"/>
  <c r="I771" i="1" a="1"/>
  <c r="I771" i="1" s="1"/>
  <c r="H771" i="1" a="1"/>
  <c r="H771" i="1" s="1"/>
  <c r="F771" i="1" a="1"/>
  <c r="F771" i="1" s="1"/>
  <c r="G771" i="1" s="1"/>
  <c r="E771" i="1"/>
  <c r="N770" i="1" a="1"/>
  <c r="N770" i="1" s="1"/>
  <c r="M770" i="1" a="1"/>
  <c r="M770" i="1" s="1"/>
  <c r="L770" i="1" a="1"/>
  <c r="L770" i="1" s="1"/>
  <c r="K770" i="1" a="1"/>
  <c r="K770" i="1" s="1"/>
  <c r="J770" i="1"/>
  <c r="I770" i="1" a="1"/>
  <c r="I770" i="1" s="1"/>
  <c r="H770" i="1" a="1"/>
  <c r="H770" i="1" s="1"/>
  <c r="F770" i="1" a="1"/>
  <c r="F770" i="1" s="1"/>
  <c r="G770" i="1" s="1"/>
  <c r="E770" i="1"/>
  <c r="N769" i="1" a="1"/>
  <c r="N769" i="1" s="1"/>
  <c r="M769" i="1" a="1"/>
  <c r="M769" i="1" s="1"/>
  <c r="L769" i="1" a="1"/>
  <c r="L769" i="1" s="1"/>
  <c r="K769" i="1" a="1"/>
  <c r="K769" i="1" s="1"/>
  <c r="J769" i="1"/>
  <c r="I769" i="1" a="1"/>
  <c r="I769" i="1" s="1"/>
  <c r="H769" i="1" a="1"/>
  <c r="H769" i="1" s="1"/>
  <c r="F769" i="1" a="1"/>
  <c r="F769" i="1" s="1"/>
  <c r="G769" i="1" s="1"/>
  <c r="E769" i="1"/>
  <c r="N768" i="1" a="1"/>
  <c r="N768" i="1" s="1"/>
  <c r="M768" i="1" a="1"/>
  <c r="M768" i="1" s="1"/>
  <c r="L768" i="1" a="1"/>
  <c r="L768" i="1" s="1"/>
  <c r="K768" i="1" a="1"/>
  <c r="K768" i="1" s="1"/>
  <c r="J768" i="1"/>
  <c r="I768" i="1" a="1"/>
  <c r="I768" i="1" s="1"/>
  <c r="H768" i="1" a="1"/>
  <c r="H768" i="1" s="1"/>
  <c r="F768" i="1" a="1"/>
  <c r="F768" i="1" s="1"/>
  <c r="G768" i="1" s="1"/>
  <c r="E768" i="1"/>
  <c r="N767" i="1" a="1"/>
  <c r="N767" i="1" s="1"/>
  <c r="M767" i="1" a="1"/>
  <c r="M767" i="1" s="1"/>
  <c r="L767" i="1" a="1"/>
  <c r="L767" i="1" s="1"/>
  <c r="K767" i="1" a="1"/>
  <c r="K767" i="1" s="1"/>
  <c r="J767" i="1"/>
  <c r="I767" i="1" a="1"/>
  <c r="I767" i="1" s="1"/>
  <c r="H767" i="1" a="1"/>
  <c r="H767" i="1" s="1"/>
  <c r="F767" i="1" a="1"/>
  <c r="F767" i="1" s="1"/>
  <c r="G767" i="1" s="1"/>
  <c r="E767" i="1"/>
  <c r="N766" i="1" a="1"/>
  <c r="N766" i="1" s="1"/>
  <c r="M766" i="1" a="1"/>
  <c r="M766" i="1" s="1"/>
  <c r="L766" i="1" a="1"/>
  <c r="L766" i="1" s="1"/>
  <c r="K766" i="1" a="1"/>
  <c r="K766" i="1" s="1"/>
  <c r="J766" i="1"/>
  <c r="I766" i="1" a="1"/>
  <c r="I766" i="1" s="1"/>
  <c r="H766" i="1" a="1"/>
  <c r="H766" i="1" s="1"/>
  <c r="F766" i="1" a="1"/>
  <c r="F766" i="1" s="1"/>
  <c r="G766" i="1" s="1"/>
  <c r="E766" i="1"/>
  <c r="N765" i="1" a="1"/>
  <c r="N765" i="1" s="1"/>
  <c r="M765" i="1" a="1"/>
  <c r="M765" i="1" s="1"/>
  <c r="L765" i="1" a="1"/>
  <c r="L765" i="1" s="1"/>
  <c r="K765" i="1" a="1"/>
  <c r="K765" i="1" s="1"/>
  <c r="J765" i="1"/>
  <c r="I765" i="1" a="1"/>
  <c r="I765" i="1" s="1"/>
  <c r="H765" i="1" a="1"/>
  <c r="H765" i="1" s="1"/>
  <c r="F765" i="1" a="1"/>
  <c r="F765" i="1" s="1"/>
  <c r="G765" i="1" s="1"/>
  <c r="E765" i="1"/>
  <c r="N764" i="1" a="1"/>
  <c r="N764" i="1" s="1"/>
  <c r="M764" i="1" a="1"/>
  <c r="M764" i="1" s="1"/>
  <c r="L764" i="1" a="1"/>
  <c r="L764" i="1" s="1"/>
  <c r="K764" i="1" a="1"/>
  <c r="K764" i="1" s="1"/>
  <c r="J764" i="1"/>
  <c r="I764" i="1" a="1"/>
  <c r="I764" i="1" s="1"/>
  <c r="H764" i="1" a="1"/>
  <c r="H764" i="1" s="1"/>
  <c r="F764" i="1" a="1"/>
  <c r="F764" i="1" s="1"/>
  <c r="G764" i="1" s="1"/>
  <c r="E764" i="1"/>
  <c r="N763" i="1" a="1"/>
  <c r="N763" i="1" s="1"/>
  <c r="M763" i="1" a="1"/>
  <c r="M763" i="1" s="1"/>
  <c r="L763" i="1" a="1"/>
  <c r="L763" i="1" s="1"/>
  <c r="K763" i="1" a="1"/>
  <c r="K763" i="1" s="1"/>
  <c r="J763" i="1"/>
  <c r="I763" i="1" a="1"/>
  <c r="I763" i="1" s="1"/>
  <c r="H763" i="1" a="1"/>
  <c r="H763" i="1" s="1"/>
  <c r="F763" i="1" a="1"/>
  <c r="F763" i="1" s="1"/>
  <c r="G763" i="1" s="1"/>
  <c r="E763" i="1"/>
  <c r="N762" i="1" a="1"/>
  <c r="N762" i="1" s="1"/>
  <c r="M762" i="1" a="1"/>
  <c r="M762" i="1" s="1"/>
  <c r="L762" i="1" a="1"/>
  <c r="L762" i="1" s="1"/>
  <c r="K762" i="1" a="1"/>
  <c r="K762" i="1" s="1"/>
  <c r="J762" i="1"/>
  <c r="I762" i="1" a="1"/>
  <c r="I762" i="1" s="1"/>
  <c r="H762" i="1" a="1"/>
  <c r="H762" i="1" s="1"/>
  <c r="F762" i="1" a="1"/>
  <c r="F762" i="1" s="1"/>
  <c r="G762" i="1" s="1"/>
  <c r="E762" i="1"/>
  <c r="N761" i="1" a="1"/>
  <c r="N761" i="1" s="1"/>
  <c r="M761" i="1" a="1"/>
  <c r="M761" i="1" s="1"/>
  <c r="L761" i="1" a="1"/>
  <c r="L761" i="1" s="1"/>
  <c r="K761" i="1" a="1"/>
  <c r="K761" i="1" s="1"/>
  <c r="J761" i="1"/>
  <c r="I761" i="1" a="1"/>
  <c r="I761" i="1" s="1"/>
  <c r="H761" i="1" a="1"/>
  <c r="H761" i="1" s="1"/>
  <c r="F761" i="1" a="1"/>
  <c r="F761" i="1" s="1"/>
  <c r="G761" i="1" s="1"/>
  <c r="E761" i="1"/>
  <c r="N760" i="1" a="1"/>
  <c r="N760" i="1" s="1"/>
  <c r="M760" i="1" a="1"/>
  <c r="M760" i="1" s="1"/>
  <c r="L760" i="1" a="1"/>
  <c r="L760" i="1" s="1"/>
  <c r="K760" i="1" a="1"/>
  <c r="K760" i="1" s="1"/>
  <c r="J760" i="1"/>
  <c r="I760" i="1" a="1"/>
  <c r="I760" i="1" s="1"/>
  <c r="H760" i="1" a="1"/>
  <c r="H760" i="1" s="1"/>
  <c r="F760" i="1" a="1"/>
  <c r="F760" i="1" s="1"/>
  <c r="G760" i="1" s="1"/>
  <c r="E760" i="1"/>
  <c r="N759" i="1" a="1"/>
  <c r="N759" i="1" s="1"/>
  <c r="M759" i="1" a="1"/>
  <c r="M759" i="1" s="1"/>
  <c r="L759" i="1" a="1"/>
  <c r="L759" i="1" s="1"/>
  <c r="K759" i="1" a="1"/>
  <c r="K759" i="1" s="1"/>
  <c r="J759" i="1"/>
  <c r="I759" i="1" a="1"/>
  <c r="I759" i="1" s="1"/>
  <c r="H759" i="1" a="1"/>
  <c r="H759" i="1" s="1"/>
  <c r="F759" i="1" a="1"/>
  <c r="F759" i="1" s="1"/>
  <c r="G759" i="1" s="1"/>
  <c r="E759" i="1"/>
  <c r="N758" i="1" a="1"/>
  <c r="N758" i="1" s="1"/>
  <c r="M758" i="1" a="1"/>
  <c r="M758" i="1" s="1"/>
  <c r="L758" i="1" a="1"/>
  <c r="L758" i="1" s="1"/>
  <c r="K758" i="1" a="1"/>
  <c r="K758" i="1" s="1"/>
  <c r="J758" i="1"/>
  <c r="I758" i="1" a="1"/>
  <c r="I758" i="1" s="1"/>
  <c r="H758" i="1" a="1"/>
  <c r="H758" i="1" s="1"/>
  <c r="F758" i="1" a="1"/>
  <c r="F758" i="1" s="1"/>
  <c r="G758" i="1" s="1"/>
  <c r="E758" i="1"/>
  <c r="N757" i="1" a="1"/>
  <c r="N757" i="1" s="1"/>
  <c r="M757" i="1" a="1"/>
  <c r="M757" i="1" s="1"/>
  <c r="L757" i="1" a="1"/>
  <c r="L757" i="1" s="1"/>
  <c r="K757" i="1" a="1"/>
  <c r="K757" i="1" s="1"/>
  <c r="J757" i="1"/>
  <c r="I757" i="1" a="1"/>
  <c r="I757" i="1" s="1"/>
  <c r="H757" i="1" a="1"/>
  <c r="H757" i="1" s="1"/>
  <c r="F757" i="1" a="1"/>
  <c r="F757" i="1" s="1"/>
  <c r="G757" i="1" s="1"/>
  <c r="E757" i="1"/>
  <c r="N756" i="1" a="1"/>
  <c r="N756" i="1" s="1"/>
  <c r="M756" i="1" a="1"/>
  <c r="M756" i="1" s="1"/>
  <c r="L756" i="1" a="1"/>
  <c r="L756" i="1" s="1"/>
  <c r="K756" i="1" a="1"/>
  <c r="K756" i="1" s="1"/>
  <c r="J756" i="1"/>
  <c r="I756" i="1" a="1"/>
  <c r="I756" i="1" s="1"/>
  <c r="H756" i="1" a="1"/>
  <c r="H756" i="1" s="1"/>
  <c r="F756" i="1" a="1"/>
  <c r="F756" i="1" s="1"/>
  <c r="G756" i="1" s="1"/>
  <c r="E756" i="1"/>
  <c r="N755" i="1" a="1"/>
  <c r="N755" i="1" s="1"/>
  <c r="M755" i="1" a="1"/>
  <c r="M755" i="1" s="1"/>
  <c r="L755" i="1" a="1"/>
  <c r="L755" i="1" s="1"/>
  <c r="K755" i="1" a="1"/>
  <c r="K755" i="1" s="1"/>
  <c r="J755" i="1"/>
  <c r="I755" i="1" a="1"/>
  <c r="I755" i="1" s="1"/>
  <c r="H755" i="1" a="1"/>
  <c r="H755" i="1" s="1"/>
  <c r="F755" i="1" a="1"/>
  <c r="F755" i="1" s="1"/>
  <c r="G755" i="1" s="1"/>
  <c r="E755" i="1"/>
  <c r="N754" i="1" a="1"/>
  <c r="N754" i="1" s="1"/>
  <c r="M754" i="1" a="1"/>
  <c r="M754" i="1" s="1"/>
  <c r="L754" i="1" a="1"/>
  <c r="L754" i="1" s="1"/>
  <c r="K754" i="1" a="1"/>
  <c r="K754" i="1" s="1"/>
  <c r="J754" i="1"/>
  <c r="I754" i="1" a="1"/>
  <c r="I754" i="1" s="1"/>
  <c r="H754" i="1" a="1"/>
  <c r="H754" i="1" s="1"/>
  <c r="F754" i="1" a="1"/>
  <c r="F754" i="1" s="1"/>
  <c r="G754" i="1" s="1"/>
  <c r="E754" i="1"/>
  <c r="N753" i="1" a="1"/>
  <c r="N753" i="1" s="1"/>
  <c r="M753" i="1" a="1"/>
  <c r="M753" i="1" s="1"/>
  <c r="L753" i="1" a="1"/>
  <c r="L753" i="1" s="1"/>
  <c r="K753" i="1" a="1"/>
  <c r="K753" i="1" s="1"/>
  <c r="J753" i="1"/>
  <c r="I753" i="1" a="1"/>
  <c r="I753" i="1" s="1"/>
  <c r="H753" i="1" a="1"/>
  <c r="H753" i="1" s="1"/>
  <c r="F753" i="1" a="1"/>
  <c r="F753" i="1" s="1"/>
  <c r="G753" i="1" s="1"/>
  <c r="E753" i="1"/>
  <c r="N752" i="1" a="1"/>
  <c r="N752" i="1" s="1"/>
  <c r="M752" i="1" a="1"/>
  <c r="M752" i="1" s="1"/>
  <c r="L752" i="1" a="1"/>
  <c r="L752" i="1" s="1"/>
  <c r="K752" i="1" a="1"/>
  <c r="K752" i="1" s="1"/>
  <c r="J752" i="1"/>
  <c r="I752" i="1" a="1"/>
  <c r="I752" i="1" s="1"/>
  <c r="H752" i="1" a="1"/>
  <c r="H752" i="1" s="1"/>
  <c r="F752" i="1" a="1"/>
  <c r="F752" i="1" s="1"/>
  <c r="G752" i="1" s="1"/>
  <c r="E752" i="1"/>
  <c r="N751" i="1" a="1"/>
  <c r="N751" i="1" s="1"/>
  <c r="M751" i="1" a="1"/>
  <c r="M751" i="1" s="1"/>
  <c r="L751" i="1" a="1"/>
  <c r="L751" i="1" s="1"/>
  <c r="K751" i="1" a="1"/>
  <c r="K751" i="1" s="1"/>
  <c r="J751" i="1"/>
  <c r="I751" i="1" a="1"/>
  <c r="I751" i="1" s="1"/>
  <c r="H751" i="1" a="1"/>
  <c r="H751" i="1" s="1"/>
  <c r="F751" i="1" a="1"/>
  <c r="F751" i="1" s="1"/>
  <c r="G751" i="1" s="1"/>
  <c r="E751" i="1"/>
  <c r="N750" i="1" a="1"/>
  <c r="N750" i="1" s="1"/>
  <c r="M750" i="1" a="1"/>
  <c r="M750" i="1" s="1"/>
  <c r="L750" i="1" a="1"/>
  <c r="L750" i="1" s="1"/>
  <c r="K750" i="1" a="1"/>
  <c r="K750" i="1" s="1"/>
  <c r="J750" i="1"/>
  <c r="I750" i="1" a="1"/>
  <c r="I750" i="1" s="1"/>
  <c r="H750" i="1" a="1"/>
  <c r="H750" i="1" s="1"/>
  <c r="F750" i="1" a="1"/>
  <c r="F750" i="1" s="1"/>
  <c r="G750" i="1" s="1"/>
  <c r="E750" i="1"/>
  <c r="N749" i="1" a="1"/>
  <c r="N749" i="1" s="1"/>
  <c r="M749" i="1" a="1"/>
  <c r="M749" i="1" s="1"/>
  <c r="L749" i="1" a="1"/>
  <c r="L749" i="1" s="1"/>
  <c r="K749" i="1" a="1"/>
  <c r="K749" i="1" s="1"/>
  <c r="J749" i="1"/>
  <c r="I749" i="1" a="1"/>
  <c r="I749" i="1" s="1"/>
  <c r="H749" i="1" a="1"/>
  <c r="H749" i="1" s="1"/>
  <c r="F749" i="1" a="1"/>
  <c r="F749" i="1" s="1"/>
  <c r="G749" i="1" s="1"/>
  <c r="E749" i="1"/>
  <c r="N748" i="1" a="1"/>
  <c r="N748" i="1" s="1"/>
  <c r="M748" i="1" a="1"/>
  <c r="M748" i="1" s="1"/>
  <c r="L748" i="1" a="1"/>
  <c r="L748" i="1" s="1"/>
  <c r="K748" i="1" a="1"/>
  <c r="K748" i="1" s="1"/>
  <c r="J748" i="1"/>
  <c r="I748" i="1" a="1"/>
  <c r="I748" i="1" s="1"/>
  <c r="H748" i="1" a="1"/>
  <c r="H748" i="1" s="1"/>
  <c r="F748" i="1" a="1"/>
  <c r="F748" i="1" s="1"/>
  <c r="G748" i="1" s="1"/>
  <c r="E748" i="1"/>
  <c r="N747" i="1" a="1"/>
  <c r="N747" i="1" s="1"/>
  <c r="M747" i="1" a="1"/>
  <c r="M747" i="1" s="1"/>
  <c r="L747" i="1" a="1"/>
  <c r="L747" i="1" s="1"/>
  <c r="K747" i="1" a="1"/>
  <c r="K747" i="1" s="1"/>
  <c r="J747" i="1"/>
  <c r="I747" i="1" a="1"/>
  <c r="I747" i="1" s="1"/>
  <c r="H747" i="1" a="1"/>
  <c r="H747" i="1" s="1"/>
  <c r="F747" i="1" a="1"/>
  <c r="F747" i="1" s="1"/>
  <c r="G747" i="1" s="1"/>
  <c r="E747" i="1"/>
  <c r="N746" i="1" a="1"/>
  <c r="N746" i="1" s="1"/>
  <c r="M746" i="1" a="1"/>
  <c r="M746" i="1" s="1"/>
  <c r="L746" i="1" a="1"/>
  <c r="L746" i="1" s="1"/>
  <c r="K746" i="1" a="1"/>
  <c r="K746" i="1" s="1"/>
  <c r="J746" i="1"/>
  <c r="I746" i="1" a="1"/>
  <c r="I746" i="1" s="1"/>
  <c r="H746" i="1" a="1"/>
  <c r="H746" i="1" s="1"/>
  <c r="F746" i="1" a="1"/>
  <c r="F746" i="1" s="1"/>
  <c r="G746" i="1" s="1"/>
  <c r="E746" i="1"/>
  <c r="N745" i="1" a="1"/>
  <c r="N745" i="1" s="1"/>
  <c r="M745" i="1" a="1"/>
  <c r="M745" i="1" s="1"/>
  <c r="L745" i="1" a="1"/>
  <c r="L745" i="1" s="1"/>
  <c r="K745" i="1" a="1"/>
  <c r="K745" i="1" s="1"/>
  <c r="J745" i="1"/>
  <c r="I745" i="1" a="1"/>
  <c r="I745" i="1" s="1"/>
  <c r="H745" i="1" a="1"/>
  <c r="H745" i="1" s="1"/>
  <c r="F745" i="1" a="1"/>
  <c r="F745" i="1" s="1"/>
  <c r="G745" i="1" s="1"/>
  <c r="E745" i="1"/>
  <c r="N744" i="1" a="1"/>
  <c r="N744" i="1" s="1"/>
  <c r="M744" i="1" a="1"/>
  <c r="M744" i="1" s="1"/>
  <c r="L744" i="1" a="1"/>
  <c r="L744" i="1" s="1"/>
  <c r="K744" i="1" a="1"/>
  <c r="K744" i="1" s="1"/>
  <c r="J744" i="1"/>
  <c r="I744" i="1" a="1"/>
  <c r="I744" i="1" s="1"/>
  <c r="H744" i="1" a="1"/>
  <c r="H744" i="1" s="1"/>
  <c r="F744" i="1" a="1"/>
  <c r="F744" i="1" s="1"/>
  <c r="G744" i="1" s="1"/>
  <c r="E744" i="1"/>
  <c r="N743" i="1" a="1"/>
  <c r="N743" i="1" s="1"/>
  <c r="M743" i="1" a="1"/>
  <c r="M743" i="1" s="1"/>
  <c r="L743" i="1" a="1"/>
  <c r="L743" i="1" s="1"/>
  <c r="K743" i="1" a="1"/>
  <c r="K743" i="1" s="1"/>
  <c r="J743" i="1"/>
  <c r="I743" i="1" a="1"/>
  <c r="I743" i="1" s="1"/>
  <c r="H743" i="1" a="1"/>
  <c r="H743" i="1" s="1"/>
  <c r="F743" i="1" a="1"/>
  <c r="F743" i="1" s="1"/>
  <c r="G743" i="1" s="1"/>
  <c r="E743" i="1"/>
  <c r="N742" i="1" a="1"/>
  <c r="N742" i="1" s="1"/>
  <c r="M742" i="1" a="1"/>
  <c r="M742" i="1" s="1"/>
  <c r="L742" i="1" a="1"/>
  <c r="L742" i="1" s="1"/>
  <c r="K742" i="1" a="1"/>
  <c r="K742" i="1" s="1"/>
  <c r="J742" i="1"/>
  <c r="I742" i="1" a="1"/>
  <c r="I742" i="1" s="1"/>
  <c r="H742" i="1" a="1"/>
  <c r="H742" i="1" s="1"/>
  <c r="F742" i="1" a="1"/>
  <c r="F742" i="1" s="1"/>
  <c r="G742" i="1" s="1"/>
  <c r="E742" i="1"/>
  <c r="N741" i="1" a="1"/>
  <c r="N741" i="1" s="1"/>
  <c r="M741" i="1" a="1"/>
  <c r="M741" i="1" s="1"/>
  <c r="L741" i="1" a="1"/>
  <c r="L741" i="1" s="1"/>
  <c r="K741" i="1" a="1"/>
  <c r="K741" i="1" s="1"/>
  <c r="J741" i="1"/>
  <c r="I741" i="1" a="1"/>
  <c r="I741" i="1" s="1"/>
  <c r="H741" i="1" a="1"/>
  <c r="H741" i="1" s="1"/>
  <c r="F741" i="1" a="1"/>
  <c r="F741" i="1" s="1"/>
  <c r="G741" i="1" s="1"/>
  <c r="E741" i="1"/>
  <c r="N740" i="1" a="1"/>
  <c r="N740" i="1" s="1"/>
  <c r="M740" i="1" a="1"/>
  <c r="M740" i="1" s="1"/>
  <c r="L740" i="1" a="1"/>
  <c r="L740" i="1" s="1"/>
  <c r="K740" i="1" a="1"/>
  <c r="K740" i="1" s="1"/>
  <c r="J740" i="1"/>
  <c r="I740" i="1" a="1"/>
  <c r="I740" i="1" s="1"/>
  <c r="H740" i="1" a="1"/>
  <c r="H740" i="1" s="1"/>
  <c r="F740" i="1" a="1"/>
  <c r="F740" i="1" s="1"/>
  <c r="G740" i="1" s="1"/>
  <c r="E740" i="1"/>
  <c r="N739" i="1" a="1"/>
  <c r="N739" i="1" s="1"/>
  <c r="M739" i="1" a="1"/>
  <c r="M739" i="1" s="1"/>
  <c r="L739" i="1" a="1"/>
  <c r="L739" i="1" s="1"/>
  <c r="K739" i="1" a="1"/>
  <c r="K739" i="1" s="1"/>
  <c r="J739" i="1"/>
  <c r="I739" i="1" a="1"/>
  <c r="I739" i="1" s="1"/>
  <c r="H739" i="1" a="1"/>
  <c r="H739" i="1" s="1"/>
  <c r="F739" i="1" a="1"/>
  <c r="F739" i="1" s="1"/>
  <c r="G739" i="1" s="1"/>
  <c r="E739" i="1"/>
  <c r="N738" i="1" a="1"/>
  <c r="N738" i="1" s="1"/>
  <c r="M738" i="1" a="1"/>
  <c r="M738" i="1" s="1"/>
  <c r="L738" i="1" a="1"/>
  <c r="L738" i="1" s="1"/>
  <c r="K738" i="1" a="1"/>
  <c r="K738" i="1" s="1"/>
  <c r="J738" i="1"/>
  <c r="I738" i="1" a="1"/>
  <c r="I738" i="1" s="1"/>
  <c r="H738" i="1" a="1"/>
  <c r="H738" i="1" s="1"/>
  <c r="F738" i="1" a="1"/>
  <c r="F738" i="1" s="1"/>
  <c r="G738" i="1" s="1"/>
  <c r="E738" i="1"/>
  <c r="N737" i="1" a="1"/>
  <c r="N737" i="1" s="1"/>
  <c r="M737" i="1" a="1"/>
  <c r="M737" i="1" s="1"/>
  <c r="L737" i="1" a="1"/>
  <c r="L737" i="1" s="1"/>
  <c r="K737" i="1" a="1"/>
  <c r="K737" i="1" s="1"/>
  <c r="J737" i="1"/>
  <c r="I737" i="1" a="1"/>
  <c r="I737" i="1" s="1"/>
  <c r="H737" i="1" a="1"/>
  <c r="H737" i="1" s="1"/>
  <c r="F737" i="1" a="1"/>
  <c r="F737" i="1" s="1"/>
  <c r="G737" i="1" s="1"/>
  <c r="E737" i="1"/>
  <c r="N736" i="1" a="1"/>
  <c r="N736" i="1" s="1"/>
  <c r="M736" i="1" a="1"/>
  <c r="M736" i="1" s="1"/>
  <c r="L736" i="1" a="1"/>
  <c r="L736" i="1" s="1"/>
  <c r="K736" i="1" a="1"/>
  <c r="K736" i="1" s="1"/>
  <c r="J736" i="1"/>
  <c r="I736" i="1" a="1"/>
  <c r="I736" i="1" s="1"/>
  <c r="H736" i="1" a="1"/>
  <c r="H736" i="1" s="1"/>
  <c r="F736" i="1" a="1"/>
  <c r="F736" i="1" s="1"/>
  <c r="G736" i="1" s="1"/>
  <c r="E736" i="1"/>
  <c r="N735" i="1" a="1"/>
  <c r="N735" i="1" s="1"/>
  <c r="M735" i="1" a="1"/>
  <c r="M735" i="1" s="1"/>
  <c r="L735" i="1" a="1"/>
  <c r="L735" i="1" s="1"/>
  <c r="K735" i="1" a="1"/>
  <c r="K735" i="1" s="1"/>
  <c r="J735" i="1"/>
  <c r="I735" i="1" a="1"/>
  <c r="I735" i="1" s="1"/>
  <c r="H735" i="1" a="1"/>
  <c r="H735" i="1" s="1"/>
  <c r="F735" i="1" a="1"/>
  <c r="F735" i="1" s="1"/>
  <c r="G735" i="1" s="1"/>
  <c r="E735" i="1"/>
  <c r="N734" i="1" a="1"/>
  <c r="N734" i="1" s="1"/>
  <c r="M734" i="1" a="1"/>
  <c r="M734" i="1" s="1"/>
  <c r="L734" i="1" a="1"/>
  <c r="L734" i="1" s="1"/>
  <c r="K734" i="1" a="1"/>
  <c r="K734" i="1" s="1"/>
  <c r="J734" i="1"/>
  <c r="I734" i="1" a="1"/>
  <c r="I734" i="1" s="1"/>
  <c r="H734" i="1" a="1"/>
  <c r="H734" i="1" s="1"/>
  <c r="F734" i="1" a="1"/>
  <c r="F734" i="1" s="1"/>
  <c r="G734" i="1" s="1"/>
  <c r="E734" i="1"/>
  <c r="N733" i="1" a="1"/>
  <c r="N733" i="1" s="1"/>
  <c r="M733" i="1" a="1"/>
  <c r="M733" i="1" s="1"/>
  <c r="L733" i="1" a="1"/>
  <c r="L733" i="1" s="1"/>
  <c r="K733" i="1" a="1"/>
  <c r="K733" i="1" s="1"/>
  <c r="J733" i="1"/>
  <c r="I733" i="1" a="1"/>
  <c r="I733" i="1" s="1"/>
  <c r="H733" i="1" a="1"/>
  <c r="H733" i="1" s="1"/>
  <c r="F733" i="1" a="1"/>
  <c r="F733" i="1" s="1"/>
  <c r="G733" i="1" s="1"/>
  <c r="E733" i="1"/>
  <c r="N732" i="1" a="1"/>
  <c r="N732" i="1" s="1"/>
  <c r="M732" i="1" a="1"/>
  <c r="M732" i="1" s="1"/>
  <c r="L732" i="1" a="1"/>
  <c r="L732" i="1" s="1"/>
  <c r="K732" i="1" a="1"/>
  <c r="K732" i="1" s="1"/>
  <c r="J732" i="1"/>
  <c r="I732" i="1" a="1"/>
  <c r="I732" i="1" s="1"/>
  <c r="H732" i="1" a="1"/>
  <c r="H732" i="1" s="1"/>
  <c r="F732" i="1" a="1"/>
  <c r="F732" i="1" s="1"/>
  <c r="G732" i="1" s="1"/>
  <c r="E732" i="1"/>
  <c r="N731" i="1" a="1"/>
  <c r="N731" i="1" s="1"/>
  <c r="M731" i="1" a="1"/>
  <c r="M731" i="1" s="1"/>
  <c r="L731" i="1" a="1"/>
  <c r="L731" i="1" s="1"/>
  <c r="K731" i="1" a="1"/>
  <c r="K731" i="1" s="1"/>
  <c r="J731" i="1"/>
  <c r="I731" i="1" a="1"/>
  <c r="I731" i="1" s="1"/>
  <c r="H731" i="1" a="1"/>
  <c r="H731" i="1" s="1"/>
  <c r="F731" i="1" a="1"/>
  <c r="F731" i="1" s="1"/>
  <c r="G731" i="1" s="1"/>
  <c r="E731" i="1"/>
  <c r="N730" i="1" a="1"/>
  <c r="N730" i="1" s="1"/>
  <c r="M730" i="1" a="1"/>
  <c r="M730" i="1" s="1"/>
  <c r="L730" i="1" a="1"/>
  <c r="L730" i="1" s="1"/>
  <c r="K730" i="1" a="1"/>
  <c r="K730" i="1" s="1"/>
  <c r="J730" i="1"/>
  <c r="I730" i="1" a="1"/>
  <c r="I730" i="1" s="1"/>
  <c r="H730" i="1" a="1"/>
  <c r="H730" i="1" s="1"/>
  <c r="F730" i="1" a="1"/>
  <c r="F730" i="1" s="1"/>
  <c r="G730" i="1" s="1"/>
  <c r="E730" i="1"/>
  <c r="N729" i="1" a="1"/>
  <c r="N729" i="1" s="1"/>
  <c r="M729" i="1" a="1"/>
  <c r="M729" i="1" s="1"/>
  <c r="L729" i="1" a="1"/>
  <c r="L729" i="1" s="1"/>
  <c r="K729" i="1" a="1"/>
  <c r="K729" i="1" s="1"/>
  <c r="J729" i="1"/>
  <c r="I729" i="1" a="1"/>
  <c r="I729" i="1" s="1"/>
  <c r="H729" i="1" a="1"/>
  <c r="H729" i="1" s="1"/>
  <c r="F729" i="1" a="1"/>
  <c r="F729" i="1" s="1"/>
  <c r="G729" i="1" s="1"/>
  <c r="E729" i="1"/>
  <c r="N728" i="1" a="1"/>
  <c r="N728" i="1" s="1"/>
  <c r="M728" i="1" a="1"/>
  <c r="M728" i="1" s="1"/>
  <c r="L728" i="1" a="1"/>
  <c r="L728" i="1" s="1"/>
  <c r="K728" i="1" a="1"/>
  <c r="K728" i="1" s="1"/>
  <c r="J728" i="1"/>
  <c r="I728" i="1" a="1"/>
  <c r="I728" i="1" s="1"/>
  <c r="H728" i="1" a="1"/>
  <c r="H728" i="1" s="1"/>
  <c r="F728" i="1" a="1"/>
  <c r="F728" i="1" s="1"/>
  <c r="G728" i="1" s="1"/>
  <c r="E728" i="1"/>
  <c r="N727" i="1" a="1"/>
  <c r="N727" i="1" s="1"/>
  <c r="M727" i="1" a="1"/>
  <c r="M727" i="1" s="1"/>
  <c r="L727" i="1" a="1"/>
  <c r="L727" i="1" s="1"/>
  <c r="K727" i="1" a="1"/>
  <c r="K727" i="1" s="1"/>
  <c r="J727" i="1"/>
  <c r="I727" i="1" a="1"/>
  <c r="I727" i="1" s="1"/>
  <c r="H727" i="1" a="1"/>
  <c r="H727" i="1" s="1"/>
  <c r="F727" i="1" a="1"/>
  <c r="F727" i="1" s="1"/>
  <c r="G727" i="1" s="1"/>
  <c r="E727" i="1"/>
  <c r="N726" i="1" a="1"/>
  <c r="N726" i="1" s="1"/>
  <c r="M726" i="1" a="1"/>
  <c r="M726" i="1" s="1"/>
  <c r="L726" i="1" a="1"/>
  <c r="L726" i="1" s="1"/>
  <c r="K726" i="1" a="1"/>
  <c r="K726" i="1" s="1"/>
  <c r="J726" i="1"/>
  <c r="I726" i="1" a="1"/>
  <c r="I726" i="1" s="1"/>
  <c r="H726" i="1" a="1"/>
  <c r="H726" i="1" s="1"/>
  <c r="F726" i="1" a="1"/>
  <c r="F726" i="1" s="1"/>
  <c r="G726" i="1" s="1"/>
  <c r="E726" i="1"/>
  <c r="N725" i="1" a="1"/>
  <c r="N725" i="1" s="1"/>
  <c r="M725" i="1" a="1"/>
  <c r="M725" i="1" s="1"/>
  <c r="L725" i="1" a="1"/>
  <c r="L725" i="1" s="1"/>
  <c r="K725" i="1" a="1"/>
  <c r="K725" i="1" s="1"/>
  <c r="J725" i="1"/>
  <c r="I725" i="1" a="1"/>
  <c r="I725" i="1" s="1"/>
  <c r="H725" i="1" a="1"/>
  <c r="H725" i="1" s="1"/>
  <c r="F725" i="1" a="1"/>
  <c r="F725" i="1" s="1"/>
  <c r="G725" i="1" s="1"/>
  <c r="E725" i="1"/>
  <c r="N724" i="1" a="1"/>
  <c r="N724" i="1" s="1"/>
  <c r="M724" i="1" a="1"/>
  <c r="M724" i="1" s="1"/>
  <c r="L724" i="1" a="1"/>
  <c r="L724" i="1" s="1"/>
  <c r="K724" i="1" a="1"/>
  <c r="K724" i="1" s="1"/>
  <c r="J724" i="1"/>
  <c r="I724" i="1" a="1"/>
  <c r="I724" i="1" s="1"/>
  <c r="H724" i="1" a="1"/>
  <c r="H724" i="1" s="1"/>
  <c r="F724" i="1" a="1"/>
  <c r="F724" i="1" s="1"/>
  <c r="G724" i="1" s="1"/>
  <c r="E724" i="1"/>
  <c r="N723" i="1" a="1"/>
  <c r="N723" i="1" s="1"/>
  <c r="M723" i="1" a="1"/>
  <c r="M723" i="1" s="1"/>
  <c r="L723" i="1" a="1"/>
  <c r="L723" i="1" s="1"/>
  <c r="K723" i="1" a="1"/>
  <c r="K723" i="1" s="1"/>
  <c r="J723" i="1"/>
  <c r="I723" i="1" a="1"/>
  <c r="I723" i="1" s="1"/>
  <c r="H723" i="1" a="1"/>
  <c r="H723" i="1" s="1"/>
  <c r="F723" i="1" a="1"/>
  <c r="F723" i="1" s="1"/>
  <c r="G723" i="1" s="1"/>
  <c r="E723" i="1"/>
  <c r="N722" i="1" a="1"/>
  <c r="N722" i="1" s="1"/>
  <c r="M722" i="1" a="1"/>
  <c r="M722" i="1" s="1"/>
  <c r="L722" i="1" a="1"/>
  <c r="L722" i="1" s="1"/>
  <c r="K722" i="1" a="1"/>
  <c r="K722" i="1" s="1"/>
  <c r="J722" i="1"/>
  <c r="I722" i="1" a="1"/>
  <c r="I722" i="1" s="1"/>
  <c r="H722" i="1" a="1"/>
  <c r="H722" i="1" s="1"/>
  <c r="F722" i="1" a="1"/>
  <c r="F722" i="1" s="1"/>
  <c r="G722" i="1" s="1"/>
  <c r="E722" i="1"/>
  <c r="N721" i="1" a="1"/>
  <c r="N721" i="1" s="1"/>
  <c r="M721" i="1" a="1"/>
  <c r="M721" i="1" s="1"/>
  <c r="L721" i="1" a="1"/>
  <c r="L721" i="1" s="1"/>
  <c r="K721" i="1" a="1"/>
  <c r="K721" i="1" s="1"/>
  <c r="J721" i="1"/>
  <c r="I721" i="1" a="1"/>
  <c r="I721" i="1" s="1"/>
  <c r="H721" i="1" a="1"/>
  <c r="H721" i="1" s="1"/>
  <c r="F721" i="1" a="1"/>
  <c r="F721" i="1" s="1"/>
  <c r="G721" i="1" s="1"/>
  <c r="E721" i="1"/>
  <c r="N720" i="1" a="1"/>
  <c r="N720" i="1" s="1"/>
  <c r="M720" i="1" a="1"/>
  <c r="M720" i="1" s="1"/>
  <c r="L720" i="1" a="1"/>
  <c r="L720" i="1" s="1"/>
  <c r="K720" i="1" a="1"/>
  <c r="K720" i="1" s="1"/>
  <c r="J720" i="1"/>
  <c r="I720" i="1" a="1"/>
  <c r="I720" i="1" s="1"/>
  <c r="H720" i="1" a="1"/>
  <c r="H720" i="1" s="1"/>
  <c r="F720" i="1" a="1"/>
  <c r="F720" i="1" s="1"/>
  <c r="G720" i="1" s="1"/>
  <c r="E720" i="1"/>
  <c r="N719" i="1" a="1"/>
  <c r="N719" i="1" s="1"/>
  <c r="M719" i="1" a="1"/>
  <c r="M719" i="1" s="1"/>
  <c r="L719" i="1" a="1"/>
  <c r="L719" i="1" s="1"/>
  <c r="K719" i="1" a="1"/>
  <c r="K719" i="1" s="1"/>
  <c r="J719" i="1"/>
  <c r="I719" i="1" a="1"/>
  <c r="I719" i="1" s="1"/>
  <c r="H719" i="1" a="1"/>
  <c r="H719" i="1" s="1"/>
  <c r="F719" i="1" a="1"/>
  <c r="F719" i="1" s="1"/>
  <c r="G719" i="1" s="1"/>
  <c r="E719" i="1"/>
  <c r="N718" i="1" a="1"/>
  <c r="N718" i="1" s="1"/>
  <c r="M718" i="1" a="1"/>
  <c r="M718" i="1" s="1"/>
  <c r="L718" i="1" a="1"/>
  <c r="L718" i="1" s="1"/>
  <c r="K718" i="1" a="1"/>
  <c r="K718" i="1" s="1"/>
  <c r="J718" i="1"/>
  <c r="I718" i="1" a="1"/>
  <c r="I718" i="1" s="1"/>
  <c r="H718" i="1" a="1"/>
  <c r="H718" i="1" s="1"/>
  <c r="F718" i="1" a="1"/>
  <c r="F718" i="1" s="1"/>
  <c r="G718" i="1" s="1"/>
  <c r="E718" i="1"/>
  <c r="N717" i="1" a="1"/>
  <c r="N717" i="1" s="1"/>
  <c r="M717" i="1" a="1"/>
  <c r="M717" i="1" s="1"/>
  <c r="L717" i="1" a="1"/>
  <c r="L717" i="1" s="1"/>
  <c r="K717" i="1" a="1"/>
  <c r="K717" i="1" s="1"/>
  <c r="J717" i="1"/>
  <c r="I717" i="1" a="1"/>
  <c r="I717" i="1" s="1"/>
  <c r="H717" i="1" a="1"/>
  <c r="H717" i="1" s="1"/>
  <c r="F717" i="1" a="1"/>
  <c r="F717" i="1" s="1"/>
  <c r="G717" i="1" s="1"/>
  <c r="E717" i="1"/>
  <c r="N716" i="1" a="1"/>
  <c r="N716" i="1" s="1"/>
  <c r="M716" i="1" a="1"/>
  <c r="M716" i="1" s="1"/>
  <c r="L716" i="1" a="1"/>
  <c r="L716" i="1" s="1"/>
  <c r="K716" i="1" a="1"/>
  <c r="K716" i="1" s="1"/>
  <c r="J716" i="1"/>
  <c r="I716" i="1" a="1"/>
  <c r="I716" i="1" s="1"/>
  <c r="H716" i="1" a="1"/>
  <c r="H716" i="1" s="1"/>
  <c r="F716" i="1" a="1"/>
  <c r="F716" i="1" s="1"/>
  <c r="G716" i="1" s="1"/>
  <c r="E716" i="1"/>
  <c r="N715" i="1" a="1"/>
  <c r="N715" i="1" s="1"/>
  <c r="M715" i="1" a="1"/>
  <c r="M715" i="1" s="1"/>
  <c r="L715" i="1" a="1"/>
  <c r="L715" i="1" s="1"/>
  <c r="K715" i="1" a="1"/>
  <c r="K715" i="1" s="1"/>
  <c r="J715" i="1"/>
  <c r="I715" i="1" a="1"/>
  <c r="I715" i="1" s="1"/>
  <c r="H715" i="1" a="1"/>
  <c r="H715" i="1" s="1"/>
  <c r="F715" i="1" a="1"/>
  <c r="F715" i="1" s="1"/>
  <c r="G715" i="1" s="1"/>
  <c r="E715" i="1"/>
  <c r="N714" i="1" a="1"/>
  <c r="N714" i="1" s="1"/>
  <c r="M714" i="1" a="1"/>
  <c r="M714" i="1" s="1"/>
  <c r="L714" i="1" a="1"/>
  <c r="L714" i="1" s="1"/>
  <c r="K714" i="1" a="1"/>
  <c r="K714" i="1" s="1"/>
  <c r="J714" i="1"/>
  <c r="I714" i="1" a="1"/>
  <c r="I714" i="1" s="1"/>
  <c r="H714" i="1" a="1"/>
  <c r="H714" i="1" s="1"/>
  <c r="F714" i="1" a="1"/>
  <c r="F714" i="1" s="1"/>
  <c r="G714" i="1" s="1"/>
  <c r="E714" i="1"/>
  <c r="N713" i="1" a="1"/>
  <c r="N713" i="1" s="1"/>
  <c r="M713" i="1" a="1"/>
  <c r="M713" i="1" s="1"/>
  <c r="L713" i="1" a="1"/>
  <c r="L713" i="1" s="1"/>
  <c r="K713" i="1" a="1"/>
  <c r="K713" i="1" s="1"/>
  <c r="J713" i="1"/>
  <c r="I713" i="1" a="1"/>
  <c r="I713" i="1" s="1"/>
  <c r="H713" i="1" a="1"/>
  <c r="H713" i="1" s="1"/>
  <c r="F713" i="1" a="1"/>
  <c r="F713" i="1" s="1"/>
  <c r="G713" i="1" s="1"/>
  <c r="E713" i="1"/>
  <c r="N712" i="1" a="1"/>
  <c r="N712" i="1" s="1"/>
  <c r="M712" i="1" a="1"/>
  <c r="M712" i="1" s="1"/>
  <c r="L712" i="1" a="1"/>
  <c r="L712" i="1" s="1"/>
  <c r="K712" i="1" a="1"/>
  <c r="K712" i="1" s="1"/>
  <c r="J712" i="1"/>
  <c r="I712" i="1" a="1"/>
  <c r="I712" i="1" s="1"/>
  <c r="H712" i="1" a="1"/>
  <c r="H712" i="1" s="1"/>
  <c r="F712" i="1" a="1"/>
  <c r="F712" i="1" s="1"/>
  <c r="G712" i="1" s="1"/>
  <c r="E712" i="1"/>
  <c r="N711" i="1" a="1"/>
  <c r="N711" i="1" s="1"/>
  <c r="M711" i="1" a="1"/>
  <c r="M711" i="1" s="1"/>
  <c r="L711" i="1" a="1"/>
  <c r="L711" i="1" s="1"/>
  <c r="K711" i="1" a="1"/>
  <c r="K711" i="1" s="1"/>
  <c r="J711" i="1"/>
  <c r="I711" i="1" a="1"/>
  <c r="I711" i="1" s="1"/>
  <c r="H711" i="1" a="1"/>
  <c r="H711" i="1" s="1"/>
  <c r="F711" i="1" a="1"/>
  <c r="F711" i="1" s="1"/>
  <c r="G711" i="1" s="1"/>
  <c r="E711" i="1"/>
  <c r="N710" i="1" a="1"/>
  <c r="N710" i="1" s="1"/>
  <c r="M710" i="1" a="1"/>
  <c r="M710" i="1" s="1"/>
  <c r="L710" i="1" a="1"/>
  <c r="L710" i="1" s="1"/>
  <c r="K710" i="1" a="1"/>
  <c r="K710" i="1" s="1"/>
  <c r="J710" i="1"/>
  <c r="I710" i="1" a="1"/>
  <c r="I710" i="1" s="1"/>
  <c r="H710" i="1" a="1"/>
  <c r="H710" i="1" s="1"/>
  <c r="F710" i="1" a="1"/>
  <c r="F710" i="1" s="1"/>
  <c r="G710" i="1" s="1"/>
  <c r="E710" i="1"/>
  <c r="N709" i="1" a="1"/>
  <c r="N709" i="1" s="1"/>
  <c r="M709" i="1" a="1"/>
  <c r="M709" i="1" s="1"/>
  <c r="L709" i="1" a="1"/>
  <c r="L709" i="1" s="1"/>
  <c r="K709" i="1" a="1"/>
  <c r="K709" i="1" s="1"/>
  <c r="J709" i="1"/>
  <c r="I709" i="1" a="1"/>
  <c r="I709" i="1" s="1"/>
  <c r="H709" i="1" a="1"/>
  <c r="H709" i="1" s="1"/>
  <c r="F709" i="1" a="1"/>
  <c r="F709" i="1" s="1"/>
  <c r="G709" i="1" s="1"/>
  <c r="E709" i="1"/>
  <c r="N708" i="1" a="1"/>
  <c r="N708" i="1" s="1"/>
  <c r="M708" i="1" a="1"/>
  <c r="M708" i="1" s="1"/>
  <c r="L708" i="1" a="1"/>
  <c r="L708" i="1" s="1"/>
  <c r="K708" i="1" a="1"/>
  <c r="K708" i="1" s="1"/>
  <c r="J708" i="1"/>
  <c r="I708" i="1" a="1"/>
  <c r="I708" i="1" s="1"/>
  <c r="H708" i="1" a="1"/>
  <c r="H708" i="1" s="1"/>
  <c r="F708" i="1" a="1"/>
  <c r="F708" i="1" s="1"/>
  <c r="G708" i="1" s="1"/>
  <c r="E708" i="1"/>
  <c r="N707" i="1" a="1"/>
  <c r="N707" i="1" s="1"/>
  <c r="M707" i="1" a="1"/>
  <c r="M707" i="1" s="1"/>
  <c r="L707" i="1" a="1"/>
  <c r="L707" i="1" s="1"/>
  <c r="K707" i="1" a="1"/>
  <c r="K707" i="1" s="1"/>
  <c r="J707" i="1"/>
  <c r="I707" i="1" a="1"/>
  <c r="I707" i="1" s="1"/>
  <c r="H707" i="1" a="1"/>
  <c r="H707" i="1" s="1"/>
  <c r="F707" i="1" a="1"/>
  <c r="F707" i="1" s="1"/>
  <c r="G707" i="1" s="1"/>
  <c r="E707" i="1"/>
  <c r="N706" i="1" a="1"/>
  <c r="N706" i="1" s="1"/>
  <c r="M706" i="1" a="1"/>
  <c r="M706" i="1" s="1"/>
  <c r="L706" i="1" a="1"/>
  <c r="L706" i="1" s="1"/>
  <c r="K706" i="1" a="1"/>
  <c r="K706" i="1" s="1"/>
  <c r="J706" i="1"/>
  <c r="I706" i="1" a="1"/>
  <c r="I706" i="1" s="1"/>
  <c r="H706" i="1" a="1"/>
  <c r="H706" i="1" s="1"/>
  <c r="F706" i="1" a="1"/>
  <c r="F706" i="1" s="1"/>
  <c r="G706" i="1" s="1"/>
  <c r="E706" i="1"/>
  <c r="N705" i="1" a="1"/>
  <c r="N705" i="1" s="1"/>
  <c r="M705" i="1" a="1"/>
  <c r="M705" i="1" s="1"/>
  <c r="L705" i="1" a="1"/>
  <c r="L705" i="1" s="1"/>
  <c r="K705" i="1" a="1"/>
  <c r="K705" i="1" s="1"/>
  <c r="J705" i="1"/>
  <c r="I705" i="1" a="1"/>
  <c r="I705" i="1" s="1"/>
  <c r="H705" i="1" a="1"/>
  <c r="H705" i="1" s="1"/>
  <c r="F705" i="1" a="1"/>
  <c r="F705" i="1" s="1"/>
  <c r="G705" i="1" s="1"/>
  <c r="E705" i="1"/>
  <c r="N704" i="1" a="1"/>
  <c r="N704" i="1" s="1"/>
  <c r="M704" i="1" a="1"/>
  <c r="M704" i="1" s="1"/>
  <c r="L704" i="1" a="1"/>
  <c r="L704" i="1" s="1"/>
  <c r="K704" i="1" a="1"/>
  <c r="K704" i="1" s="1"/>
  <c r="J704" i="1"/>
  <c r="I704" i="1" a="1"/>
  <c r="I704" i="1" s="1"/>
  <c r="H704" i="1" a="1"/>
  <c r="H704" i="1" s="1"/>
  <c r="F704" i="1" a="1"/>
  <c r="F704" i="1" s="1"/>
  <c r="G704" i="1" s="1"/>
  <c r="E704" i="1"/>
  <c r="N703" i="1" a="1"/>
  <c r="N703" i="1" s="1"/>
  <c r="M703" i="1" a="1"/>
  <c r="M703" i="1" s="1"/>
  <c r="L703" i="1" a="1"/>
  <c r="L703" i="1" s="1"/>
  <c r="K703" i="1" a="1"/>
  <c r="K703" i="1" s="1"/>
  <c r="J703" i="1"/>
  <c r="I703" i="1" a="1"/>
  <c r="I703" i="1" s="1"/>
  <c r="H703" i="1" a="1"/>
  <c r="H703" i="1" s="1"/>
  <c r="F703" i="1" a="1"/>
  <c r="F703" i="1" s="1"/>
  <c r="G703" i="1" s="1"/>
  <c r="E703" i="1"/>
  <c r="N702" i="1" a="1"/>
  <c r="N702" i="1" s="1"/>
  <c r="M702" i="1" a="1"/>
  <c r="M702" i="1" s="1"/>
  <c r="L702" i="1" a="1"/>
  <c r="L702" i="1" s="1"/>
  <c r="K702" i="1" a="1"/>
  <c r="K702" i="1" s="1"/>
  <c r="J702" i="1"/>
  <c r="I702" i="1" a="1"/>
  <c r="I702" i="1" s="1"/>
  <c r="H702" i="1" a="1"/>
  <c r="H702" i="1" s="1"/>
  <c r="F702" i="1" a="1"/>
  <c r="F702" i="1" s="1"/>
  <c r="G702" i="1" s="1"/>
  <c r="E702" i="1"/>
  <c r="N701" i="1" a="1"/>
  <c r="N701" i="1" s="1"/>
  <c r="M701" i="1" a="1"/>
  <c r="M701" i="1" s="1"/>
  <c r="L701" i="1" a="1"/>
  <c r="L701" i="1" s="1"/>
  <c r="K701" i="1" a="1"/>
  <c r="K701" i="1" s="1"/>
  <c r="J701" i="1"/>
  <c r="I701" i="1" a="1"/>
  <c r="I701" i="1" s="1"/>
  <c r="H701" i="1" a="1"/>
  <c r="H701" i="1" s="1"/>
  <c r="F701" i="1" a="1"/>
  <c r="F701" i="1" s="1"/>
  <c r="G701" i="1" s="1"/>
  <c r="E701" i="1"/>
  <c r="N700" i="1" a="1"/>
  <c r="N700" i="1" s="1"/>
  <c r="M700" i="1" a="1"/>
  <c r="M700" i="1" s="1"/>
  <c r="L700" i="1" a="1"/>
  <c r="L700" i="1" s="1"/>
  <c r="K700" i="1" a="1"/>
  <c r="K700" i="1" s="1"/>
  <c r="J700" i="1"/>
  <c r="I700" i="1" a="1"/>
  <c r="I700" i="1" s="1"/>
  <c r="H700" i="1" a="1"/>
  <c r="H700" i="1" s="1"/>
  <c r="F700" i="1" a="1"/>
  <c r="F700" i="1" s="1"/>
  <c r="G700" i="1" s="1"/>
  <c r="E700" i="1"/>
  <c r="N699" i="1" a="1"/>
  <c r="N699" i="1" s="1"/>
  <c r="M699" i="1" a="1"/>
  <c r="M699" i="1" s="1"/>
  <c r="L699" i="1" a="1"/>
  <c r="L699" i="1" s="1"/>
  <c r="K699" i="1" a="1"/>
  <c r="K699" i="1" s="1"/>
  <c r="J699" i="1"/>
  <c r="I699" i="1" a="1"/>
  <c r="I699" i="1" s="1"/>
  <c r="H699" i="1" a="1"/>
  <c r="H699" i="1" s="1"/>
  <c r="F699" i="1" a="1"/>
  <c r="F699" i="1" s="1"/>
  <c r="G699" i="1" s="1"/>
  <c r="E699" i="1"/>
  <c r="N698" i="1" a="1"/>
  <c r="N698" i="1" s="1"/>
  <c r="M698" i="1" a="1"/>
  <c r="M698" i="1" s="1"/>
  <c r="L698" i="1" a="1"/>
  <c r="L698" i="1" s="1"/>
  <c r="K698" i="1" a="1"/>
  <c r="K698" i="1" s="1"/>
  <c r="J698" i="1"/>
  <c r="I698" i="1" a="1"/>
  <c r="I698" i="1" s="1"/>
  <c r="H698" i="1" a="1"/>
  <c r="H698" i="1" s="1"/>
  <c r="F698" i="1" a="1"/>
  <c r="F698" i="1" s="1"/>
  <c r="G698" i="1" s="1"/>
  <c r="E698" i="1"/>
  <c r="N697" i="1" a="1"/>
  <c r="N697" i="1" s="1"/>
  <c r="M697" i="1" a="1"/>
  <c r="M697" i="1" s="1"/>
  <c r="L697" i="1" a="1"/>
  <c r="L697" i="1" s="1"/>
  <c r="K697" i="1" a="1"/>
  <c r="K697" i="1" s="1"/>
  <c r="J697" i="1"/>
  <c r="I697" i="1" a="1"/>
  <c r="I697" i="1" s="1"/>
  <c r="H697" i="1" a="1"/>
  <c r="H697" i="1" s="1"/>
  <c r="F697" i="1" a="1"/>
  <c r="F697" i="1" s="1"/>
  <c r="G697" i="1" s="1"/>
  <c r="E697" i="1"/>
  <c r="N696" i="1" a="1"/>
  <c r="N696" i="1" s="1"/>
  <c r="M696" i="1" a="1"/>
  <c r="M696" i="1" s="1"/>
  <c r="L696" i="1" a="1"/>
  <c r="L696" i="1" s="1"/>
  <c r="K696" i="1" a="1"/>
  <c r="K696" i="1" s="1"/>
  <c r="J696" i="1"/>
  <c r="I696" i="1" a="1"/>
  <c r="I696" i="1" s="1"/>
  <c r="H696" i="1" a="1"/>
  <c r="H696" i="1" s="1"/>
  <c r="F696" i="1" a="1"/>
  <c r="F696" i="1" s="1"/>
  <c r="G696" i="1" s="1"/>
  <c r="E696" i="1"/>
  <c r="N695" i="1" a="1"/>
  <c r="N695" i="1" s="1"/>
  <c r="M695" i="1" a="1"/>
  <c r="M695" i="1" s="1"/>
  <c r="L695" i="1" a="1"/>
  <c r="L695" i="1" s="1"/>
  <c r="K695" i="1" a="1"/>
  <c r="K695" i="1" s="1"/>
  <c r="J695" i="1"/>
  <c r="I695" i="1" a="1"/>
  <c r="I695" i="1" s="1"/>
  <c r="H695" i="1" a="1"/>
  <c r="H695" i="1" s="1"/>
  <c r="F695" i="1" a="1"/>
  <c r="F695" i="1" s="1"/>
  <c r="G695" i="1" s="1"/>
  <c r="E695" i="1"/>
  <c r="N694" i="1" a="1"/>
  <c r="N694" i="1" s="1"/>
  <c r="M694" i="1" a="1"/>
  <c r="M694" i="1" s="1"/>
  <c r="L694" i="1" a="1"/>
  <c r="L694" i="1" s="1"/>
  <c r="K694" i="1" a="1"/>
  <c r="K694" i="1" s="1"/>
  <c r="J694" i="1"/>
  <c r="I694" i="1" a="1"/>
  <c r="I694" i="1" s="1"/>
  <c r="H694" i="1" a="1"/>
  <c r="H694" i="1" s="1"/>
  <c r="F694" i="1" a="1"/>
  <c r="F694" i="1" s="1"/>
  <c r="G694" i="1" s="1"/>
  <c r="E694" i="1"/>
  <c r="N693" i="1" a="1"/>
  <c r="N693" i="1" s="1"/>
  <c r="M693" i="1" a="1"/>
  <c r="M693" i="1" s="1"/>
  <c r="L693" i="1" a="1"/>
  <c r="L693" i="1" s="1"/>
  <c r="K693" i="1" a="1"/>
  <c r="K693" i="1" s="1"/>
  <c r="J693" i="1"/>
  <c r="I693" i="1" a="1"/>
  <c r="I693" i="1" s="1"/>
  <c r="H693" i="1" a="1"/>
  <c r="H693" i="1" s="1"/>
  <c r="F693" i="1" a="1"/>
  <c r="F693" i="1" s="1"/>
  <c r="G693" i="1" s="1"/>
  <c r="E693" i="1"/>
  <c r="N692" i="1" a="1"/>
  <c r="N692" i="1" s="1"/>
  <c r="M692" i="1" a="1"/>
  <c r="M692" i="1" s="1"/>
  <c r="L692" i="1" a="1"/>
  <c r="L692" i="1" s="1"/>
  <c r="K692" i="1" a="1"/>
  <c r="K692" i="1" s="1"/>
  <c r="J692" i="1"/>
  <c r="I692" i="1" a="1"/>
  <c r="I692" i="1" s="1"/>
  <c r="H692" i="1" a="1"/>
  <c r="H692" i="1" s="1"/>
  <c r="F692" i="1" a="1"/>
  <c r="F692" i="1" s="1"/>
  <c r="G692" i="1" s="1"/>
  <c r="E692" i="1"/>
  <c r="N691" i="1" a="1"/>
  <c r="N691" i="1" s="1"/>
  <c r="M691" i="1" a="1"/>
  <c r="M691" i="1" s="1"/>
  <c r="L691" i="1" a="1"/>
  <c r="L691" i="1" s="1"/>
  <c r="K691" i="1" a="1"/>
  <c r="K691" i="1" s="1"/>
  <c r="J691" i="1"/>
  <c r="I691" i="1" a="1"/>
  <c r="I691" i="1" s="1"/>
  <c r="H691" i="1" a="1"/>
  <c r="H691" i="1" s="1"/>
  <c r="F691" i="1" a="1"/>
  <c r="F691" i="1" s="1"/>
  <c r="G691" i="1" s="1"/>
  <c r="E691" i="1"/>
  <c r="N690" i="1" a="1"/>
  <c r="N690" i="1" s="1"/>
  <c r="M690" i="1" a="1"/>
  <c r="M690" i="1" s="1"/>
  <c r="L690" i="1" a="1"/>
  <c r="L690" i="1" s="1"/>
  <c r="K690" i="1" a="1"/>
  <c r="K690" i="1" s="1"/>
  <c r="J690" i="1"/>
  <c r="I690" i="1" a="1"/>
  <c r="I690" i="1" s="1"/>
  <c r="H690" i="1" a="1"/>
  <c r="H690" i="1" s="1"/>
  <c r="F690" i="1" a="1"/>
  <c r="F690" i="1" s="1"/>
  <c r="G690" i="1" s="1"/>
  <c r="E690" i="1"/>
  <c r="N689" i="1" a="1"/>
  <c r="N689" i="1" s="1"/>
  <c r="M689" i="1" a="1"/>
  <c r="M689" i="1" s="1"/>
  <c r="L689" i="1" a="1"/>
  <c r="L689" i="1" s="1"/>
  <c r="K689" i="1" a="1"/>
  <c r="K689" i="1" s="1"/>
  <c r="J689" i="1"/>
  <c r="I689" i="1" a="1"/>
  <c r="I689" i="1" s="1"/>
  <c r="H689" i="1" a="1"/>
  <c r="H689" i="1" s="1"/>
  <c r="F689" i="1" a="1"/>
  <c r="F689" i="1" s="1"/>
  <c r="G689" i="1" s="1"/>
  <c r="E689" i="1"/>
  <c r="N688" i="1" a="1"/>
  <c r="N688" i="1" s="1"/>
  <c r="M688" i="1" a="1"/>
  <c r="M688" i="1" s="1"/>
  <c r="L688" i="1" a="1"/>
  <c r="L688" i="1" s="1"/>
  <c r="K688" i="1" a="1"/>
  <c r="K688" i="1" s="1"/>
  <c r="J688" i="1"/>
  <c r="I688" i="1" a="1"/>
  <c r="I688" i="1" s="1"/>
  <c r="H688" i="1" a="1"/>
  <c r="H688" i="1" s="1"/>
  <c r="F688" i="1" a="1"/>
  <c r="F688" i="1" s="1"/>
  <c r="G688" i="1" s="1"/>
  <c r="E688" i="1"/>
  <c r="N687" i="1" a="1"/>
  <c r="N687" i="1" s="1"/>
  <c r="M687" i="1" a="1"/>
  <c r="M687" i="1" s="1"/>
  <c r="L687" i="1" a="1"/>
  <c r="L687" i="1" s="1"/>
  <c r="K687" i="1" a="1"/>
  <c r="K687" i="1" s="1"/>
  <c r="J687" i="1"/>
  <c r="I687" i="1" a="1"/>
  <c r="I687" i="1" s="1"/>
  <c r="H687" i="1" a="1"/>
  <c r="H687" i="1" s="1"/>
  <c r="F687" i="1" a="1"/>
  <c r="F687" i="1" s="1"/>
  <c r="G687" i="1" s="1"/>
  <c r="E687" i="1"/>
  <c r="N686" i="1" a="1"/>
  <c r="N686" i="1" s="1"/>
  <c r="M686" i="1" a="1"/>
  <c r="M686" i="1" s="1"/>
  <c r="L686" i="1" a="1"/>
  <c r="L686" i="1" s="1"/>
  <c r="K686" i="1" a="1"/>
  <c r="K686" i="1" s="1"/>
  <c r="J686" i="1"/>
  <c r="I686" i="1" a="1"/>
  <c r="I686" i="1" s="1"/>
  <c r="H686" i="1" a="1"/>
  <c r="H686" i="1" s="1"/>
  <c r="F686" i="1" a="1"/>
  <c r="F686" i="1" s="1"/>
  <c r="G686" i="1" s="1"/>
  <c r="E686" i="1"/>
  <c r="N685" i="1" a="1"/>
  <c r="N685" i="1" s="1"/>
  <c r="M685" i="1" a="1"/>
  <c r="M685" i="1" s="1"/>
  <c r="L685" i="1" a="1"/>
  <c r="L685" i="1" s="1"/>
  <c r="K685" i="1" a="1"/>
  <c r="K685" i="1" s="1"/>
  <c r="J685" i="1"/>
  <c r="I685" i="1" a="1"/>
  <c r="I685" i="1" s="1"/>
  <c r="H685" i="1" a="1"/>
  <c r="H685" i="1" s="1"/>
  <c r="F685" i="1" a="1"/>
  <c r="F685" i="1" s="1"/>
  <c r="G685" i="1" s="1"/>
  <c r="E685" i="1"/>
  <c r="N684" i="1" a="1"/>
  <c r="N684" i="1" s="1"/>
  <c r="M684" i="1" a="1"/>
  <c r="M684" i="1" s="1"/>
  <c r="L684" i="1" a="1"/>
  <c r="L684" i="1" s="1"/>
  <c r="K684" i="1" a="1"/>
  <c r="K684" i="1" s="1"/>
  <c r="J684" i="1"/>
  <c r="I684" i="1" a="1"/>
  <c r="I684" i="1" s="1"/>
  <c r="H684" i="1" a="1"/>
  <c r="H684" i="1" s="1"/>
  <c r="F684" i="1" a="1"/>
  <c r="F684" i="1" s="1"/>
  <c r="G684" i="1" s="1"/>
  <c r="E684" i="1"/>
  <c r="N683" i="1" a="1"/>
  <c r="N683" i="1" s="1"/>
  <c r="M683" i="1" a="1"/>
  <c r="M683" i="1" s="1"/>
  <c r="L683" i="1" a="1"/>
  <c r="L683" i="1" s="1"/>
  <c r="K683" i="1" a="1"/>
  <c r="K683" i="1" s="1"/>
  <c r="J683" i="1"/>
  <c r="I683" i="1" a="1"/>
  <c r="I683" i="1" s="1"/>
  <c r="H683" i="1" a="1"/>
  <c r="H683" i="1" s="1"/>
  <c r="F683" i="1" a="1"/>
  <c r="F683" i="1" s="1"/>
  <c r="G683" i="1" s="1"/>
  <c r="E683" i="1"/>
  <c r="N682" i="1" a="1"/>
  <c r="N682" i="1" s="1"/>
  <c r="M682" i="1" a="1"/>
  <c r="M682" i="1" s="1"/>
  <c r="L682" i="1" a="1"/>
  <c r="L682" i="1" s="1"/>
  <c r="K682" i="1" a="1"/>
  <c r="K682" i="1" s="1"/>
  <c r="J682" i="1"/>
  <c r="I682" i="1" a="1"/>
  <c r="I682" i="1" s="1"/>
  <c r="H682" i="1" a="1"/>
  <c r="H682" i="1" s="1"/>
  <c r="F682" i="1" a="1"/>
  <c r="F682" i="1" s="1"/>
  <c r="G682" i="1" s="1"/>
  <c r="E682" i="1"/>
  <c r="N681" i="1" a="1"/>
  <c r="N681" i="1" s="1"/>
  <c r="M681" i="1" a="1"/>
  <c r="M681" i="1" s="1"/>
  <c r="L681" i="1" a="1"/>
  <c r="L681" i="1" s="1"/>
  <c r="K681" i="1" a="1"/>
  <c r="K681" i="1" s="1"/>
  <c r="J681" i="1"/>
  <c r="I681" i="1" a="1"/>
  <c r="I681" i="1" s="1"/>
  <c r="H681" i="1" a="1"/>
  <c r="H681" i="1" s="1"/>
  <c r="F681" i="1" a="1"/>
  <c r="F681" i="1" s="1"/>
  <c r="G681" i="1" s="1"/>
  <c r="E681" i="1"/>
  <c r="N680" i="1" a="1"/>
  <c r="N680" i="1" s="1"/>
  <c r="M680" i="1" a="1"/>
  <c r="M680" i="1" s="1"/>
  <c r="L680" i="1" a="1"/>
  <c r="L680" i="1" s="1"/>
  <c r="K680" i="1" a="1"/>
  <c r="K680" i="1" s="1"/>
  <c r="J680" i="1"/>
  <c r="I680" i="1" a="1"/>
  <c r="I680" i="1" s="1"/>
  <c r="H680" i="1" a="1"/>
  <c r="H680" i="1" s="1"/>
  <c r="F680" i="1" a="1"/>
  <c r="F680" i="1" s="1"/>
  <c r="G680" i="1" s="1"/>
  <c r="E680" i="1"/>
  <c r="N679" i="1" a="1"/>
  <c r="N679" i="1" s="1"/>
  <c r="M679" i="1" a="1"/>
  <c r="M679" i="1" s="1"/>
  <c r="L679" i="1" a="1"/>
  <c r="L679" i="1" s="1"/>
  <c r="K679" i="1" a="1"/>
  <c r="K679" i="1" s="1"/>
  <c r="J679" i="1"/>
  <c r="I679" i="1" a="1"/>
  <c r="I679" i="1" s="1"/>
  <c r="H679" i="1" a="1"/>
  <c r="H679" i="1" s="1"/>
  <c r="F679" i="1" a="1"/>
  <c r="F679" i="1" s="1"/>
  <c r="G679" i="1" s="1"/>
  <c r="E679" i="1"/>
  <c r="N678" i="1" a="1"/>
  <c r="N678" i="1" s="1"/>
  <c r="M678" i="1" a="1"/>
  <c r="M678" i="1" s="1"/>
  <c r="L678" i="1" a="1"/>
  <c r="L678" i="1" s="1"/>
  <c r="K678" i="1" a="1"/>
  <c r="K678" i="1" s="1"/>
  <c r="J678" i="1"/>
  <c r="I678" i="1" a="1"/>
  <c r="I678" i="1" s="1"/>
  <c r="H678" i="1" a="1"/>
  <c r="H678" i="1" s="1"/>
  <c r="F678" i="1" a="1"/>
  <c r="F678" i="1" s="1"/>
  <c r="G678" i="1" s="1"/>
  <c r="E678" i="1"/>
  <c r="N677" i="1" a="1"/>
  <c r="N677" i="1" s="1"/>
  <c r="M677" i="1" a="1"/>
  <c r="M677" i="1" s="1"/>
  <c r="L677" i="1" a="1"/>
  <c r="L677" i="1" s="1"/>
  <c r="K677" i="1" a="1"/>
  <c r="K677" i="1" s="1"/>
  <c r="J677" i="1"/>
  <c r="I677" i="1" a="1"/>
  <c r="I677" i="1" s="1"/>
  <c r="H677" i="1" a="1"/>
  <c r="H677" i="1" s="1"/>
  <c r="F677" i="1" a="1"/>
  <c r="F677" i="1" s="1"/>
  <c r="G677" i="1" s="1"/>
  <c r="E677" i="1"/>
  <c r="N676" i="1" a="1"/>
  <c r="N676" i="1" s="1"/>
  <c r="M676" i="1" a="1"/>
  <c r="M676" i="1" s="1"/>
  <c r="L676" i="1" a="1"/>
  <c r="L676" i="1" s="1"/>
  <c r="K676" i="1" a="1"/>
  <c r="K676" i="1" s="1"/>
  <c r="J676" i="1"/>
  <c r="I676" i="1" a="1"/>
  <c r="I676" i="1" s="1"/>
  <c r="H676" i="1" a="1"/>
  <c r="H676" i="1" s="1"/>
  <c r="F676" i="1" a="1"/>
  <c r="F676" i="1" s="1"/>
  <c r="G676" i="1" s="1"/>
  <c r="E676" i="1"/>
  <c r="N675" i="1" a="1"/>
  <c r="N675" i="1" s="1"/>
  <c r="M675" i="1" a="1"/>
  <c r="M675" i="1" s="1"/>
  <c r="L675" i="1" a="1"/>
  <c r="L675" i="1" s="1"/>
  <c r="K675" i="1" a="1"/>
  <c r="K675" i="1" s="1"/>
  <c r="J675" i="1"/>
  <c r="I675" i="1" a="1"/>
  <c r="I675" i="1" s="1"/>
  <c r="H675" i="1" a="1"/>
  <c r="H675" i="1" s="1"/>
  <c r="F675" i="1" a="1"/>
  <c r="F675" i="1" s="1"/>
  <c r="G675" i="1" s="1"/>
  <c r="E675" i="1"/>
  <c r="N674" i="1" a="1"/>
  <c r="N674" i="1" s="1"/>
  <c r="M674" i="1" a="1"/>
  <c r="M674" i="1" s="1"/>
  <c r="L674" i="1" a="1"/>
  <c r="L674" i="1" s="1"/>
  <c r="K674" i="1" a="1"/>
  <c r="K674" i="1" s="1"/>
  <c r="J674" i="1"/>
  <c r="I674" i="1" a="1"/>
  <c r="I674" i="1" s="1"/>
  <c r="H674" i="1" a="1"/>
  <c r="H674" i="1" s="1"/>
  <c r="F674" i="1" a="1"/>
  <c r="F674" i="1" s="1"/>
  <c r="G674" i="1" s="1"/>
  <c r="E674" i="1"/>
  <c r="N673" i="1" a="1"/>
  <c r="N673" i="1" s="1"/>
  <c r="M673" i="1" a="1"/>
  <c r="M673" i="1" s="1"/>
  <c r="L673" i="1" a="1"/>
  <c r="L673" i="1" s="1"/>
  <c r="K673" i="1" a="1"/>
  <c r="K673" i="1" s="1"/>
  <c r="J673" i="1"/>
  <c r="I673" i="1" a="1"/>
  <c r="I673" i="1" s="1"/>
  <c r="H673" i="1" a="1"/>
  <c r="H673" i="1" s="1"/>
  <c r="F673" i="1" a="1"/>
  <c r="F673" i="1" s="1"/>
  <c r="G673" i="1" s="1"/>
  <c r="E673" i="1"/>
  <c r="N672" i="1" a="1"/>
  <c r="N672" i="1" s="1"/>
  <c r="M672" i="1" a="1"/>
  <c r="M672" i="1" s="1"/>
  <c r="L672" i="1" a="1"/>
  <c r="L672" i="1" s="1"/>
  <c r="K672" i="1" a="1"/>
  <c r="K672" i="1" s="1"/>
  <c r="J672" i="1"/>
  <c r="I672" i="1" a="1"/>
  <c r="I672" i="1" s="1"/>
  <c r="H672" i="1" a="1"/>
  <c r="H672" i="1" s="1"/>
  <c r="F672" i="1" a="1"/>
  <c r="F672" i="1" s="1"/>
  <c r="G672" i="1" s="1"/>
  <c r="E672" i="1"/>
  <c r="N671" i="1" a="1"/>
  <c r="N671" i="1" s="1"/>
  <c r="M671" i="1" a="1"/>
  <c r="M671" i="1" s="1"/>
  <c r="L671" i="1" a="1"/>
  <c r="L671" i="1" s="1"/>
  <c r="K671" i="1" a="1"/>
  <c r="K671" i="1" s="1"/>
  <c r="J671" i="1"/>
  <c r="I671" i="1" a="1"/>
  <c r="I671" i="1" s="1"/>
  <c r="H671" i="1" a="1"/>
  <c r="H671" i="1" s="1"/>
  <c r="F671" i="1" a="1"/>
  <c r="F671" i="1" s="1"/>
  <c r="G671" i="1" s="1"/>
  <c r="E671" i="1"/>
  <c r="N670" i="1" a="1"/>
  <c r="N670" i="1" s="1"/>
  <c r="M670" i="1" a="1"/>
  <c r="M670" i="1" s="1"/>
  <c r="L670" i="1" a="1"/>
  <c r="L670" i="1" s="1"/>
  <c r="K670" i="1" a="1"/>
  <c r="K670" i="1" s="1"/>
  <c r="J670" i="1"/>
  <c r="I670" i="1" a="1"/>
  <c r="I670" i="1" s="1"/>
  <c r="H670" i="1" a="1"/>
  <c r="H670" i="1" s="1"/>
  <c r="F670" i="1" a="1"/>
  <c r="F670" i="1" s="1"/>
  <c r="G670" i="1" s="1"/>
  <c r="E670" i="1"/>
  <c r="N669" i="1" a="1"/>
  <c r="N669" i="1" s="1"/>
  <c r="M669" i="1" a="1"/>
  <c r="M669" i="1" s="1"/>
  <c r="L669" i="1" a="1"/>
  <c r="L669" i="1" s="1"/>
  <c r="K669" i="1" a="1"/>
  <c r="K669" i="1" s="1"/>
  <c r="J669" i="1"/>
  <c r="I669" i="1" a="1"/>
  <c r="I669" i="1" s="1"/>
  <c r="H669" i="1" a="1"/>
  <c r="H669" i="1" s="1"/>
  <c r="F669" i="1" a="1"/>
  <c r="F669" i="1" s="1"/>
  <c r="G669" i="1" s="1"/>
  <c r="E669" i="1"/>
  <c r="N668" i="1" a="1"/>
  <c r="N668" i="1" s="1"/>
  <c r="M668" i="1" a="1"/>
  <c r="M668" i="1" s="1"/>
  <c r="L668" i="1" a="1"/>
  <c r="L668" i="1" s="1"/>
  <c r="K668" i="1" a="1"/>
  <c r="K668" i="1" s="1"/>
  <c r="J668" i="1"/>
  <c r="I668" i="1" a="1"/>
  <c r="I668" i="1" s="1"/>
  <c r="H668" i="1" a="1"/>
  <c r="H668" i="1" s="1"/>
  <c r="F668" i="1" a="1"/>
  <c r="F668" i="1" s="1"/>
  <c r="G668" i="1" s="1"/>
  <c r="E668" i="1"/>
  <c r="N667" i="1" a="1"/>
  <c r="N667" i="1" s="1"/>
  <c r="M667" i="1" a="1"/>
  <c r="M667" i="1" s="1"/>
  <c r="L667" i="1" a="1"/>
  <c r="L667" i="1" s="1"/>
  <c r="K667" i="1" a="1"/>
  <c r="K667" i="1" s="1"/>
  <c r="J667" i="1"/>
  <c r="I667" i="1" a="1"/>
  <c r="I667" i="1" s="1"/>
  <c r="H667" i="1" a="1"/>
  <c r="H667" i="1" s="1"/>
  <c r="F667" i="1" a="1"/>
  <c r="F667" i="1" s="1"/>
  <c r="G667" i="1" s="1"/>
  <c r="E667" i="1"/>
  <c r="N666" i="1" a="1"/>
  <c r="N666" i="1" s="1"/>
  <c r="M666" i="1" a="1"/>
  <c r="M666" i="1" s="1"/>
  <c r="L666" i="1" a="1"/>
  <c r="L666" i="1" s="1"/>
  <c r="K666" i="1" a="1"/>
  <c r="K666" i="1" s="1"/>
  <c r="J666" i="1"/>
  <c r="I666" i="1" a="1"/>
  <c r="I666" i="1" s="1"/>
  <c r="H666" i="1" a="1"/>
  <c r="H666" i="1" s="1"/>
  <c r="F666" i="1" a="1"/>
  <c r="F666" i="1" s="1"/>
  <c r="G666" i="1" s="1"/>
  <c r="E666" i="1"/>
  <c r="N665" i="1" a="1"/>
  <c r="N665" i="1" s="1"/>
  <c r="M665" i="1" a="1"/>
  <c r="M665" i="1" s="1"/>
  <c r="L665" i="1" a="1"/>
  <c r="L665" i="1" s="1"/>
  <c r="K665" i="1" a="1"/>
  <c r="K665" i="1" s="1"/>
  <c r="J665" i="1"/>
  <c r="I665" i="1" a="1"/>
  <c r="I665" i="1" s="1"/>
  <c r="H665" i="1" a="1"/>
  <c r="H665" i="1" s="1"/>
  <c r="F665" i="1" a="1"/>
  <c r="F665" i="1" s="1"/>
  <c r="G665" i="1" s="1"/>
  <c r="E665" i="1"/>
  <c r="N664" i="1" a="1"/>
  <c r="N664" i="1" s="1"/>
  <c r="M664" i="1" a="1"/>
  <c r="M664" i="1" s="1"/>
  <c r="L664" i="1" a="1"/>
  <c r="L664" i="1" s="1"/>
  <c r="K664" i="1" a="1"/>
  <c r="K664" i="1" s="1"/>
  <c r="J664" i="1"/>
  <c r="I664" i="1" a="1"/>
  <c r="I664" i="1" s="1"/>
  <c r="H664" i="1" a="1"/>
  <c r="H664" i="1" s="1"/>
  <c r="F664" i="1" a="1"/>
  <c r="F664" i="1" s="1"/>
  <c r="G664" i="1" s="1"/>
  <c r="E664" i="1"/>
  <c r="N663" i="1" a="1"/>
  <c r="N663" i="1" s="1"/>
  <c r="M663" i="1" a="1"/>
  <c r="M663" i="1" s="1"/>
  <c r="L663" i="1" a="1"/>
  <c r="L663" i="1" s="1"/>
  <c r="K663" i="1" a="1"/>
  <c r="K663" i="1" s="1"/>
  <c r="J663" i="1"/>
  <c r="I663" i="1" a="1"/>
  <c r="I663" i="1" s="1"/>
  <c r="H663" i="1" a="1"/>
  <c r="H663" i="1" s="1"/>
  <c r="F663" i="1" a="1"/>
  <c r="F663" i="1" s="1"/>
  <c r="G663" i="1" s="1"/>
  <c r="E663" i="1"/>
  <c r="N662" i="1" a="1"/>
  <c r="N662" i="1" s="1"/>
  <c r="M662" i="1" a="1"/>
  <c r="M662" i="1" s="1"/>
  <c r="L662" i="1" a="1"/>
  <c r="L662" i="1" s="1"/>
  <c r="K662" i="1" a="1"/>
  <c r="K662" i="1" s="1"/>
  <c r="J662" i="1"/>
  <c r="I662" i="1" a="1"/>
  <c r="I662" i="1" s="1"/>
  <c r="H662" i="1" a="1"/>
  <c r="H662" i="1" s="1"/>
  <c r="F662" i="1" a="1"/>
  <c r="F662" i="1" s="1"/>
  <c r="G662" i="1" s="1"/>
  <c r="E662" i="1"/>
  <c r="N661" i="1" a="1"/>
  <c r="N661" i="1" s="1"/>
  <c r="M661" i="1" a="1"/>
  <c r="M661" i="1" s="1"/>
  <c r="L661" i="1" a="1"/>
  <c r="L661" i="1" s="1"/>
  <c r="K661" i="1" a="1"/>
  <c r="K661" i="1" s="1"/>
  <c r="J661" i="1"/>
  <c r="I661" i="1" a="1"/>
  <c r="I661" i="1" s="1"/>
  <c r="H661" i="1" a="1"/>
  <c r="H661" i="1" s="1"/>
  <c r="F661" i="1" a="1"/>
  <c r="F661" i="1" s="1"/>
  <c r="G661" i="1" s="1"/>
  <c r="E661" i="1"/>
  <c r="N660" i="1" a="1"/>
  <c r="N660" i="1" s="1"/>
  <c r="M660" i="1" a="1"/>
  <c r="M660" i="1" s="1"/>
  <c r="L660" i="1" a="1"/>
  <c r="L660" i="1" s="1"/>
  <c r="K660" i="1" a="1"/>
  <c r="K660" i="1" s="1"/>
  <c r="J660" i="1"/>
  <c r="I660" i="1" a="1"/>
  <c r="I660" i="1" s="1"/>
  <c r="H660" i="1" a="1"/>
  <c r="H660" i="1" s="1"/>
  <c r="F660" i="1" a="1"/>
  <c r="F660" i="1" s="1"/>
  <c r="G660" i="1" s="1"/>
  <c r="E660" i="1"/>
  <c r="N659" i="1" a="1"/>
  <c r="N659" i="1" s="1"/>
  <c r="M659" i="1" a="1"/>
  <c r="M659" i="1" s="1"/>
  <c r="L659" i="1" a="1"/>
  <c r="L659" i="1" s="1"/>
  <c r="K659" i="1" a="1"/>
  <c r="K659" i="1" s="1"/>
  <c r="J659" i="1"/>
  <c r="I659" i="1" a="1"/>
  <c r="I659" i="1" s="1"/>
  <c r="H659" i="1" a="1"/>
  <c r="H659" i="1" s="1"/>
  <c r="F659" i="1" a="1"/>
  <c r="F659" i="1" s="1"/>
  <c r="G659" i="1" s="1"/>
  <c r="E659" i="1"/>
  <c r="N658" i="1" a="1"/>
  <c r="N658" i="1" s="1"/>
  <c r="M658" i="1" a="1"/>
  <c r="M658" i="1" s="1"/>
  <c r="L658" i="1" a="1"/>
  <c r="L658" i="1" s="1"/>
  <c r="K658" i="1" a="1"/>
  <c r="K658" i="1" s="1"/>
  <c r="J658" i="1"/>
  <c r="I658" i="1" a="1"/>
  <c r="I658" i="1" s="1"/>
  <c r="H658" i="1" a="1"/>
  <c r="H658" i="1" s="1"/>
  <c r="F658" i="1" a="1"/>
  <c r="F658" i="1" s="1"/>
  <c r="G658" i="1" s="1"/>
  <c r="E658" i="1"/>
  <c r="N657" i="1" a="1"/>
  <c r="N657" i="1" s="1"/>
  <c r="M657" i="1" a="1"/>
  <c r="M657" i="1" s="1"/>
  <c r="L657" i="1" a="1"/>
  <c r="L657" i="1" s="1"/>
  <c r="K657" i="1" a="1"/>
  <c r="K657" i="1" s="1"/>
  <c r="J657" i="1"/>
  <c r="I657" i="1" a="1"/>
  <c r="I657" i="1" s="1"/>
  <c r="H657" i="1" a="1"/>
  <c r="H657" i="1" s="1"/>
  <c r="F657" i="1" a="1"/>
  <c r="F657" i="1" s="1"/>
  <c r="G657" i="1" s="1"/>
  <c r="E657" i="1"/>
  <c r="N656" i="1" a="1"/>
  <c r="N656" i="1" s="1"/>
  <c r="M656" i="1" a="1"/>
  <c r="M656" i="1" s="1"/>
  <c r="L656" i="1" a="1"/>
  <c r="L656" i="1" s="1"/>
  <c r="K656" i="1" a="1"/>
  <c r="K656" i="1" s="1"/>
  <c r="J656" i="1"/>
  <c r="I656" i="1" a="1"/>
  <c r="I656" i="1" s="1"/>
  <c r="H656" i="1" a="1"/>
  <c r="H656" i="1" s="1"/>
  <c r="F656" i="1" a="1"/>
  <c r="F656" i="1" s="1"/>
  <c r="G656" i="1" s="1"/>
  <c r="E656" i="1"/>
  <c r="N655" i="1" a="1"/>
  <c r="N655" i="1" s="1"/>
  <c r="M655" i="1" a="1"/>
  <c r="M655" i="1" s="1"/>
  <c r="L655" i="1" a="1"/>
  <c r="L655" i="1" s="1"/>
  <c r="K655" i="1" a="1"/>
  <c r="K655" i="1" s="1"/>
  <c r="J655" i="1"/>
  <c r="I655" i="1" a="1"/>
  <c r="I655" i="1" s="1"/>
  <c r="H655" i="1" a="1"/>
  <c r="H655" i="1" s="1"/>
  <c r="F655" i="1" a="1"/>
  <c r="F655" i="1" s="1"/>
  <c r="G655" i="1" s="1"/>
  <c r="E655" i="1"/>
  <c r="N654" i="1" a="1"/>
  <c r="N654" i="1" s="1"/>
  <c r="M654" i="1" a="1"/>
  <c r="M654" i="1" s="1"/>
  <c r="L654" i="1" a="1"/>
  <c r="L654" i="1" s="1"/>
  <c r="K654" i="1" a="1"/>
  <c r="K654" i="1" s="1"/>
  <c r="J654" i="1"/>
  <c r="I654" i="1" a="1"/>
  <c r="I654" i="1" s="1"/>
  <c r="H654" i="1" a="1"/>
  <c r="H654" i="1" s="1"/>
  <c r="F654" i="1" a="1"/>
  <c r="F654" i="1" s="1"/>
  <c r="G654" i="1" s="1"/>
  <c r="E654" i="1"/>
  <c r="N653" i="1" a="1"/>
  <c r="N653" i="1" s="1"/>
  <c r="M653" i="1" a="1"/>
  <c r="M653" i="1" s="1"/>
  <c r="L653" i="1" a="1"/>
  <c r="L653" i="1" s="1"/>
  <c r="K653" i="1" a="1"/>
  <c r="K653" i="1" s="1"/>
  <c r="J653" i="1"/>
  <c r="I653" i="1" a="1"/>
  <c r="I653" i="1" s="1"/>
  <c r="H653" i="1" a="1"/>
  <c r="H653" i="1" s="1"/>
  <c r="F653" i="1" a="1"/>
  <c r="F653" i="1" s="1"/>
  <c r="G653" i="1" s="1"/>
  <c r="E653" i="1"/>
  <c r="N652" i="1" a="1"/>
  <c r="N652" i="1" s="1"/>
  <c r="M652" i="1" a="1"/>
  <c r="M652" i="1" s="1"/>
  <c r="L652" i="1" a="1"/>
  <c r="L652" i="1" s="1"/>
  <c r="K652" i="1" a="1"/>
  <c r="K652" i="1" s="1"/>
  <c r="J652" i="1"/>
  <c r="I652" i="1" a="1"/>
  <c r="I652" i="1" s="1"/>
  <c r="H652" i="1" a="1"/>
  <c r="H652" i="1" s="1"/>
  <c r="F652" i="1" a="1"/>
  <c r="F652" i="1" s="1"/>
  <c r="G652" i="1" s="1"/>
  <c r="E652" i="1"/>
  <c r="N651" i="1" a="1"/>
  <c r="N651" i="1" s="1"/>
  <c r="M651" i="1" a="1"/>
  <c r="M651" i="1" s="1"/>
  <c r="L651" i="1" a="1"/>
  <c r="L651" i="1" s="1"/>
  <c r="K651" i="1" a="1"/>
  <c r="K651" i="1" s="1"/>
  <c r="J651" i="1"/>
  <c r="I651" i="1" a="1"/>
  <c r="I651" i="1" s="1"/>
  <c r="H651" i="1" a="1"/>
  <c r="H651" i="1" s="1"/>
  <c r="F651" i="1" a="1"/>
  <c r="F651" i="1" s="1"/>
  <c r="G651" i="1" s="1"/>
  <c r="E651" i="1"/>
  <c r="N650" i="1" a="1"/>
  <c r="N650" i="1" s="1"/>
  <c r="M650" i="1" a="1"/>
  <c r="M650" i="1" s="1"/>
  <c r="L650" i="1" a="1"/>
  <c r="L650" i="1" s="1"/>
  <c r="K650" i="1" a="1"/>
  <c r="K650" i="1" s="1"/>
  <c r="J650" i="1"/>
  <c r="I650" i="1" a="1"/>
  <c r="I650" i="1" s="1"/>
  <c r="H650" i="1" a="1"/>
  <c r="H650" i="1" s="1"/>
  <c r="F650" i="1" a="1"/>
  <c r="F650" i="1" s="1"/>
  <c r="G650" i="1" s="1"/>
  <c r="E650" i="1"/>
  <c r="N649" i="1" a="1"/>
  <c r="N649" i="1" s="1"/>
  <c r="M649" i="1" a="1"/>
  <c r="M649" i="1" s="1"/>
  <c r="L649" i="1" a="1"/>
  <c r="L649" i="1" s="1"/>
  <c r="K649" i="1" a="1"/>
  <c r="K649" i="1" s="1"/>
  <c r="J649" i="1"/>
  <c r="I649" i="1" a="1"/>
  <c r="I649" i="1" s="1"/>
  <c r="H649" i="1" a="1"/>
  <c r="H649" i="1" s="1"/>
  <c r="F649" i="1" a="1"/>
  <c r="F649" i="1" s="1"/>
  <c r="G649" i="1" s="1"/>
  <c r="E649" i="1"/>
  <c r="N648" i="1" a="1"/>
  <c r="N648" i="1" s="1"/>
  <c r="M648" i="1" a="1"/>
  <c r="M648" i="1" s="1"/>
  <c r="L648" i="1" a="1"/>
  <c r="L648" i="1" s="1"/>
  <c r="K648" i="1" a="1"/>
  <c r="K648" i="1" s="1"/>
  <c r="J648" i="1"/>
  <c r="I648" i="1" a="1"/>
  <c r="I648" i="1" s="1"/>
  <c r="H648" i="1" a="1"/>
  <c r="H648" i="1" s="1"/>
  <c r="F648" i="1" a="1"/>
  <c r="F648" i="1" s="1"/>
  <c r="G648" i="1" s="1"/>
  <c r="E648" i="1"/>
  <c r="J647" i="1"/>
  <c r="E647" i="1"/>
  <c r="N646" i="1" a="1"/>
  <c r="N646" i="1" s="1"/>
  <c r="M646" i="1" a="1"/>
  <c r="M646" i="1" s="1"/>
  <c r="L646" i="1" a="1"/>
  <c r="L646" i="1" s="1"/>
  <c r="K646" i="1" a="1"/>
  <c r="K646" i="1" s="1"/>
  <c r="J646" i="1"/>
  <c r="I646" i="1" a="1"/>
  <c r="I646" i="1" s="1"/>
  <c r="H646" i="1" a="1"/>
  <c r="H646" i="1" s="1"/>
  <c r="F646" i="1" a="1"/>
  <c r="F646" i="1" s="1"/>
  <c r="G646" i="1" s="1"/>
  <c r="E646" i="1"/>
  <c r="N645" i="1" a="1"/>
  <c r="N645" i="1" s="1"/>
  <c r="M645" i="1" a="1"/>
  <c r="M645" i="1" s="1"/>
  <c r="L645" i="1" a="1"/>
  <c r="L645" i="1" s="1"/>
  <c r="K645" i="1" a="1"/>
  <c r="K645" i="1" s="1"/>
  <c r="J645" i="1"/>
  <c r="I645" i="1" a="1"/>
  <c r="I645" i="1" s="1"/>
  <c r="H645" i="1" a="1"/>
  <c r="H645" i="1" s="1"/>
  <c r="F645" i="1" a="1"/>
  <c r="F645" i="1" s="1"/>
  <c r="G645" i="1" s="1"/>
  <c r="E645" i="1"/>
  <c r="N644" i="1" a="1"/>
  <c r="N644" i="1" s="1"/>
  <c r="M644" i="1" a="1"/>
  <c r="M644" i="1" s="1"/>
  <c r="L644" i="1" a="1"/>
  <c r="L644" i="1" s="1"/>
  <c r="K644" i="1" a="1"/>
  <c r="K644" i="1" s="1"/>
  <c r="J644" i="1"/>
  <c r="I644" i="1" a="1"/>
  <c r="I644" i="1" s="1"/>
  <c r="H644" i="1" a="1"/>
  <c r="H644" i="1" s="1"/>
  <c r="F644" i="1" a="1"/>
  <c r="F644" i="1" s="1"/>
  <c r="G644" i="1" s="1"/>
  <c r="E644" i="1"/>
  <c r="N643" i="1" a="1"/>
  <c r="N643" i="1" s="1"/>
  <c r="M643" i="1" a="1"/>
  <c r="M643" i="1" s="1"/>
  <c r="L643" i="1" a="1"/>
  <c r="L643" i="1" s="1"/>
  <c r="K643" i="1" a="1"/>
  <c r="K643" i="1" s="1"/>
  <c r="J643" i="1"/>
  <c r="I643" i="1" a="1"/>
  <c r="I643" i="1" s="1"/>
  <c r="H643" i="1" a="1"/>
  <c r="H643" i="1" s="1"/>
  <c r="F643" i="1" a="1"/>
  <c r="F643" i="1" s="1"/>
  <c r="G643" i="1" s="1"/>
  <c r="E643" i="1"/>
  <c r="J642" i="1"/>
  <c r="E642" i="1"/>
  <c r="N641" i="1" a="1"/>
  <c r="N641" i="1" s="1"/>
  <c r="M641" i="1" a="1"/>
  <c r="M641" i="1" s="1"/>
  <c r="L641" i="1" a="1"/>
  <c r="L641" i="1" s="1"/>
  <c r="K641" i="1" a="1"/>
  <c r="K641" i="1" s="1"/>
  <c r="J641" i="1"/>
  <c r="I641" i="1" a="1"/>
  <c r="I641" i="1" s="1"/>
  <c r="H641" i="1" a="1"/>
  <c r="H641" i="1" s="1"/>
  <c r="F641" i="1" a="1"/>
  <c r="F641" i="1" s="1"/>
  <c r="G641" i="1" s="1"/>
  <c r="E641" i="1"/>
  <c r="N640" i="1" a="1"/>
  <c r="N640" i="1" s="1"/>
  <c r="M640" i="1" a="1"/>
  <c r="M640" i="1" s="1"/>
  <c r="L640" i="1" a="1"/>
  <c r="L640" i="1" s="1"/>
  <c r="K640" i="1" a="1"/>
  <c r="K640" i="1" s="1"/>
  <c r="J640" i="1"/>
  <c r="I640" i="1" a="1"/>
  <c r="I640" i="1" s="1"/>
  <c r="H640" i="1" a="1"/>
  <c r="H640" i="1" s="1"/>
  <c r="F640" i="1" a="1"/>
  <c r="F640" i="1" s="1"/>
  <c r="G640" i="1" s="1"/>
  <c r="E640" i="1"/>
  <c r="N639" i="1" a="1"/>
  <c r="N639" i="1" s="1"/>
  <c r="M639" i="1" a="1"/>
  <c r="M639" i="1" s="1"/>
  <c r="L639" i="1" a="1"/>
  <c r="L639" i="1" s="1"/>
  <c r="K639" i="1" a="1"/>
  <c r="K639" i="1" s="1"/>
  <c r="J639" i="1"/>
  <c r="I639" i="1" a="1"/>
  <c r="I639" i="1" s="1"/>
  <c r="H639" i="1" a="1"/>
  <c r="H639" i="1" s="1"/>
  <c r="F639" i="1" a="1"/>
  <c r="F639" i="1" s="1"/>
  <c r="G639" i="1" s="1"/>
  <c r="E639" i="1"/>
  <c r="N638" i="1" a="1"/>
  <c r="N638" i="1" s="1"/>
  <c r="M638" i="1" a="1"/>
  <c r="M638" i="1" s="1"/>
  <c r="L638" i="1" a="1"/>
  <c r="L638" i="1" s="1"/>
  <c r="K638" i="1" a="1"/>
  <c r="K638" i="1" s="1"/>
  <c r="J638" i="1"/>
  <c r="I638" i="1" a="1"/>
  <c r="I638" i="1" s="1"/>
  <c r="H638" i="1" a="1"/>
  <c r="H638" i="1" s="1"/>
  <c r="F638" i="1" a="1"/>
  <c r="F638" i="1" s="1"/>
  <c r="G638" i="1" s="1"/>
  <c r="E638" i="1"/>
  <c r="N637" i="1" a="1"/>
  <c r="N637" i="1" s="1"/>
  <c r="M637" i="1" a="1"/>
  <c r="M637" i="1" s="1"/>
  <c r="L637" i="1" a="1"/>
  <c r="L637" i="1" s="1"/>
  <c r="K637" i="1" a="1"/>
  <c r="K637" i="1" s="1"/>
  <c r="J637" i="1"/>
  <c r="I637" i="1" a="1"/>
  <c r="I637" i="1" s="1"/>
  <c r="H637" i="1" a="1"/>
  <c r="H637" i="1" s="1"/>
  <c r="F637" i="1" a="1"/>
  <c r="F637" i="1" s="1"/>
  <c r="G637" i="1" s="1"/>
  <c r="E637" i="1"/>
  <c r="N636" i="1" a="1"/>
  <c r="N636" i="1" s="1"/>
  <c r="M636" i="1" a="1"/>
  <c r="M636" i="1" s="1"/>
  <c r="L636" i="1" a="1"/>
  <c r="L636" i="1" s="1"/>
  <c r="K636" i="1" a="1"/>
  <c r="K636" i="1" s="1"/>
  <c r="J636" i="1"/>
  <c r="I636" i="1" a="1"/>
  <c r="I636" i="1" s="1"/>
  <c r="H636" i="1" a="1"/>
  <c r="H636" i="1" s="1"/>
  <c r="F636" i="1" a="1"/>
  <c r="F636" i="1" s="1"/>
  <c r="G636" i="1" s="1"/>
  <c r="E636" i="1"/>
  <c r="J635" i="1"/>
  <c r="E635" i="1"/>
  <c r="N634" i="1" a="1"/>
  <c r="N634" i="1" s="1"/>
  <c r="M634" i="1" a="1"/>
  <c r="M634" i="1" s="1"/>
  <c r="L634" i="1" a="1"/>
  <c r="L634" i="1" s="1"/>
  <c r="K634" i="1" a="1"/>
  <c r="K634" i="1" s="1"/>
  <c r="J634" i="1"/>
  <c r="I634" i="1" a="1"/>
  <c r="I634" i="1" s="1"/>
  <c r="H634" i="1" a="1"/>
  <c r="H634" i="1" s="1"/>
  <c r="F634" i="1" a="1"/>
  <c r="F634" i="1" s="1"/>
  <c r="G634" i="1" s="1"/>
  <c r="E634" i="1"/>
  <c r="J633" i="1"/>
  <c r="E633" i="1"/>
  <c r="N632" i="1" a="1"/>
  <c r="N632" i="1" s="1"/>
  <c r="M632" i="1" a="1"/>
  <c r="M632" i="1" s="1"/>
  <c r="L632" i="1" a="1"/>
  <c r="L632" i="1" s="1"/>
  <c r="K632" i="1" a="1"/>
  <c r="K632" i="1" s="1"/>
  <c r="J632" i="1"/>
  <c r="I632" i="1" a="1"/>
  <c r="I632" i="1" s="1"/>
  <c r="H632" i="1" a="1"/>
  <c r="H632" i="1" s="1"/>
  <c r="F632" i="1" a="1"/>
  <c r="F632" i="1" s="1"/>
  <c r="G632" i="1" s="1"/>
  <c r="E632" i="1"/>
  <c r="N631" i="1" a="1"/>
  <c r="N631" i="1" s="1"/>
  <c r="M631" i="1" a="1"/>
  <c r="M631" i="1" s="1"/>
  <c r="L631" i="1" a="1"/>
  <c r="L631" i="1" s="1"/>
  <c r="K631" i="1" a="1"/>
  <c r="K631" i="1" s="1"/>
  <c r="J631" i="1"/>
  <c r="I631" i="1" a="1"/>
  <c r="I631" i="1" s="1"/>
  <c r="H631" i="1" a="1"/>
  <c r="H631" i="1" s="1"/>
  <c r="F631" i="1" a="1"/>
  <c r="F631" i="1" s="1"/>
  <c r="G631" i="1" s="1"/>
  <c r="E631" i="1"/>
  <c r="J630" i="1"/>
  <c r="E630" i="1"/>
  <c r="J629" i="1"/>
  <c r="E629" i="1"/>
  <c r="N628" i="1" a="1"/>
  <c r="N628" i="1" s="1"/>
  <c r="M628" i="1" a="1"/>
  <c r="M628" i="1" s="1"/>
  <c r="L628" i="1" a="1"/>
  <c r="L628" i="1" s="1"/>
  <c r="K628" i="1" a="1"/>
  <c r="K628" i="1" s="1"/>
  <c r="J628" i="1"/>
  <c r="I628" i="1" a="1"/>
  <c r="I628" i="1" s="1"/>
  <c r="H628" i="1" a="1"/>
  <c r="H628" i="1" s="1"/>
  <c r="F628" i="1" a="1"/>
  <c r="F628" i="1" s="1"/>
  <c r="G628" i="1" s="1"/>
  <c r="E628" i="1"/>
  <c r="N627" i="1" a="1"/>
  <c r="N627" i="1" s="1"/>
  <c r="M627" i="1" a="1"/>
  <c r="M627" i="1" s="1"/>
  <c r="L627" i="1" a="1"/>
  <c r="L627" i="1" s="1"/>
  <c r="K627" i="1" a="1"/>
  <c r="K627" i="1" s="1"/>
  <c r="J627" i="1"/>
  <c r="I627" i="1" a="1"/>
  <c r="I627" i="1" s="1"/>
  <c r="H627" i="1" a="1"/>
  <c r="H627" i="1" s="1"/>
  <c r="F627" i="1" a="1"/>
  <c r="F627" i="1" s="1"/>
  <c r="G627" i="1" s="1"/>
  <c r="E627" i="1"/>
  <c r="J626" i="1"/>
  <c r="E626" i="1"/>
  <c r="N625" i="1" a="1"/>
  <c r="N625" i="1" s="1"/>
  <c r="M625" i="1" a="1"/>
  <c r="M625" i="1" s="1"/>
  <c r="L625" i="1" a="1"/>
  <c r="L625" i="1" s="1"/>
  <c r="K625" i="1" a="1"/>
  <c r="K625" i="1" s="1"/>
  <c r="J625" i="1"/>
  <c r="I625" i="1" a="1"/>
  <c r="I625" i="1" s="1"/>
  <c r="H625" i="1" a="1"/>
  <c r="H625" i="1" s="1"/>
  <c r="F625" i="1" a="1"/>
  <c r="F625" i="1" s="1"/>
  <c r="G625" i="1" s="1"/>
  <c r="E625" i="1"/>
  <c r="J624" i="1"/>
  <c r="E624" i="1"/>
  <c r="N623" i="1" a="1"/>
  <c r="N623" i="1" s="1"/>
  <c r="M623" i="1" a="1"/>
  <c r="M623" i="1" s="1"/>
  <c r="L623" i="1" a="1"/>
  <c r="L623" i="1" s="1"/>
  <c r="K623" i="1" a="1"/>
  <c r="K623" i="1" s="1"/>
  <c r="J623" i="1"/>
  <c r="I623" i="1" a="1"/>
  <c r="I623" i="1" s="1"/>
  <c r="H623" i="1" a="1"/>
  <c r="H623" i="1" s="1"/>
  <c r="F623" i="1" a="1"/>
  <c r="F623" i="1" s="1"/>
  <c r="G623" i="1" s="1"/>
  <c r="E623" i="1"/>
  <c r="N622" i="1" a="1"/>
  <c r="N622" i="1" s="1"/>
  <c r="M622" i="1" a="1"/>
  <c r="M622" i="1" s="1"/>
  <c r="L622" i="1" a="1"/>
  <c r="L622" i="1" s="1"/>
  <c r="K622" i="1" a="1"/>
  <c r="K622" i="1" s="1"/>
  <c r="J622" i="1"/>
  <c r="I622" i="1" a="1"/>
  <c r="I622" i="1" s="1"/>
  <c r="H622" i="1" a="1"/>
  <c r="H622" i="1" s="1"/>
  <c r="F622" i="1" a="1"/>
  <c r="F622" i="1" s="1"/>
  <c r="G622" i="1" s="1"/>
  <c r="E622" i="1"/>
  <c r="J621" i="1"/>
  <c r="E621" i="1"/>
  <c r="N620" i="1" a="1"/>
  <c r="N620" i="1" s="1"/>
  <c r="M620" i="1" a="1"/>
  <c r="M620" i="1" s="1"/>
  <c r="L620" i="1" a="1"/>
  <c r="L620" i="1" s="1"/>
  <c r="K620" i="1" a="1"/>
  <c r="K620" i="1" s="1"/>
  <c r="J620" i="1"/>
  <c r="I620" i="1" a="1"/>
  <c r="I620" i="1" s="1"/>
  <c r="H620" i="1" a="1"/>
  <c r="H620" i="1" s="1"/>
  <c r="F620" i="1" a="1"/>
  <c r="F620" i="1" s="1"/>
  <c r="G620" i="1" s="1"/>
  <c r="E620" i="1"/>
  <c r="N619" i="1" a="1"/>
  <c r="N619" i="1" s="1"/>
  <c r="M619" i="1" a="1"/>
  <c r="M619" i="1" s="1"/>
  <c r="L619" i="1" a="1"/>
  <c r="L619" i="1" s="1"/>
  <c r="K619" i="1" a="1"/>
  <c r="K619" i="1" s="1"/>
  <c r="J619" i="1"/>
  <c r="I619" i="1" a="1"/>
  <c r="I619" i="1" s="1"/>
  <c r="H619" i="1" a="1"/>
  <c r="H619" i="1" s="1"/>
  <c r="F619" i="1" a="1"/>
  <c r="F619" i="1" s="1"/>
  <c r="G619" i="1" s="1"/>
  <c r="E619" i="1"/>
  <c r="N618" i="1" a="1"/>
  <c r="N618" i="1" s="1"/>
  <c r="M618" i="1" a="1"/>
  <c r="M618" i="1" s="1"/>
  <c r="L618" i="1" a="1"/>
  <c r="L618" i="1" s="1"/>
  <c r="K618" i="1" a="1"/>
  <c r="K618" i="1" s="1"/>
  <c r="J618" i="1"/>
  <c r="I618" i="1" a="1"/>
  <c r="I618" i="1" s="1"/>
  <c r="H618" i="1" a="1"/>
  <c r="H618" i="1" s="1"/>
  <c r="F618" i="1" a="1"/>
  <c r="F618" i="1" s="1"/>
  <c r="G618" i="1" s="1"/>
  <c r="E618" i="1"/>
  <c r="N617" i="1" a="1"/>
  <c r="N617" i="1" s="1"/>
  <c r="M617" i="1" a="1"/>
  <c r="M617" i="1" s="1"/>
  <c r="L617" i="1" a="1"/>
  <c r="L617" i="1" s="1"/>
  <c r="K617" i="1" a="1"/>
  <c r="K617" i="1" s="1"/>
  <c r="J617" i="1"/>
  <c r="I617" i="1" a="1"/>
  <c r="I617" i="1" s="1"/>
  <c r="H617" i="1" a="1"/>
  <c r="H617" i="1" s="1"/>
  <c r="F617" i="1" a="1"/>
  <c r="F617" i="1" s="1"/>
  <c r="G617" i="1" s="1"/>
  <c r="E617" i="1"/>
  <c r="J616" i="1"/>
  <c r="E616" i="1"/>
  <c r="N615" i="1" a="1"/>
  <c r="N615" i="1" s="1"/>
  <c r="M615" i="1" a="1"/>
  <c r="M615" i="1" s="1"/>
  <c r="L615" i="1" a="1"/>
  <c r="L615" i="1" s="1"/>
  <c r="K615" i="1" a="1"/>
  <c r="K615" i="1" s="1"/>
  <c r="J615" i="1"/>
  <c r="I615" i="1" a="1"/>
  <c r="I615" i="1" s="1"/>
  <c r="H615" i="1" a="1"/>
  <c r="H615" i="1" s="1"/>
  <c r="F615" i="1" a="1"/>
  <c r="F615" i="1" s="1"/>
  <c r="G615" i="1" s="1"/>
  <c r="E615" i="1"/>
  <c r="J614" i="1"/>
  <c r="E614" i="1"/>
  <c r="N613" i="1" a="1"/>
  <c r="N613" i="1" s="1"/>
  <c r="M613" i="1" a="1"/>
  <c r="M613" i="1" s="1"/>
  <c r="L613" i="1" a="1"/>
  <c r="L613" i="1" s="1"/>
  <c r="K613" i="1" a="1"/>
  <c r="K613" i="1" s="1"/>
  <c r="J613" i="1"/>
  <c r="I613" i="1" a="1"/>
  <c r="I613" i="1" s="1"/>
  <c r="H613" i="1" a="1"/>
  <c r="H613" i="1" s="1"/>
  <c r="F613" i="1" a="1"/>
  <c r="F613" i="1" s="1"/>
  <c r="G613" i="1" s="1"/>
  <c r="E613" i="1"/>
  <c r="N612" i="1" a="1"/>
  <c r="N612" i="1" s="1"/>
  <c r="M612" i="1" a="1"/>
  <c r="M612" i="1" s="1"/>
  <c r="L612" i="1" a="1"/>
  <c r="L612" i="1" s="1"/>
  <c r="K612" i="1" a="1"/>
  <c r="K612" i="1" s="1"/>
  <c r="J612" i="1"/>
  <c r="I612" i="1" a="1"/>
  <c r="I612" i="1" s="1"/>
  <c r="H612" i="1" a="1"/>
  <c r="H612" i="1" s="1"/>
  <c r="F612" i="1" a="1"/>
  <c r="F612" i="1" s="1"/>
  <c r="G612" i="1" s="1"/>
  <c r="E612" i="1"/>
  <c r="N611" i="1" a="1"/>
  <c r="N611" i="1" s="1"/>
  <c r="M611" i="1" a="1"/>
  <c r="M611" i="1" s="1"/>
  <c r="L611" i="1" a="1"/>
  <c r="L611" i="1" s="1"/>
  <c r="K611" i="1" a="1"/>
  <c r="K611" i="1" s="1"/>
  <c r="J611" i="1"/>
  <c r="I611" i="1" a="1"/>
  <c r="I611" i="1" s="1"/>
  <c r="H611" i="1" a="1"/>
  <c r="H611" i="1" s="1"/>
  <c r="F611" i="1" a="1"/>
  <c r="F611" i="1" s="1"/>
  <c r="G611" i="1" s="1"/>
  <c r="E611" i="1"/>
  <c r="N610" i="1" a="1"/>
  <c r="N610" i="1" s="1"/>
  <c r="M610" i="1" a="1"/>
  <c r="M610" i="1" s="1"/>
  <c r="L610" i="1" a="1"/>
  <c r="L610" i="1" s="1"/>
  <c r="K610" i="1" a="1"/>
  <c r="K610" i="1" s="1"/>
  <c r="J610" i="1"/>
  <c r="I610" i="1" a="1"/>
  <c r="I610" i="1" s="1"/>
  <c r="H610" i="1" a="1"/>
  <c r="H610" i="1" s="1"/>
  <c r="F610" i="1" a="1"/>
  <c r="F610" i="1" s="1"/>
  <c r="G610" i="1" s="1"/>
  <c r="E610" i="1"/>
  <c r="J609" i="1"/>
  <c r="E609" i="1"/>
  <c r="N608" i="1" a="1"/>
  <c r="N608" i="1" s="1"/>
  <c r="M608" i="1" a="1"/>
  <c r="M608" i="1" s="1"/>
  <c r="L608" i="1" a="1"/>
  <c r="L608" i="1" s="1"/>
  <c r="K608" i="1" a="1"/>
  <c r="K608" i="1" s="1"/>
  <c r="J608" i="1"/>
  <c r="I608" i="1" a="1"/>
  <c r="I608" i="1" s="1"/>
  <c r="H608" i="1" a="1"/>
  <c r="H608" i="1" s="1"/>
  <c r="F608" i="1" a="1"/>
  <c r="F608" i="1" s="1"/>
  <c r="G608" i="1" s="1"/>
  <c r="E608" i="1"/>
  <c r="N607" i="1" a="1"/>
  <c r="N607" i="1" s="1"/>
  <c r="M607" i="1" a="1"/>
  <c r="M607" i="1" s="1"/>
  <c r="L607" i="1" a="1"/>
  <c r="L607" i="1" s="1"/>
  <c r="K607" i="1" a="1"/>
  <c r="K607" i="1" s="1"/>
  <c r="J607" i="1"/>
  <c r="I607" i="1" a="1"/>
  <c r="I607" i="1" s="1"/>
  <c r="H607" i="1" a="1"/>
  <c r="H607" i="1" s="1"/>
  <c r="F607" i="1" a="1"/>
  <c r="F607" i="1" s="1"/>
  <c r="G607" i="1" s="1"/>
  <c r="E607" i="1"/>
  <c r="N606" i="1" a="1"/>
  <c r="N606" i="1" s="1"/>
  <c r="M606" i="1" a="1"/>
  <c r="M606" i="1" s="1"/>
  <c r="L606" i="1" a="1"/>
  <c r="L606" i="1" s="1"/>
  <c r="K606" i="1" a="1"/>
  <c r="K606" i="1" s="1"/>
  <c r="J606" i="1"/>
  <c r="I606" i="1" a="1"/>
  <c r="I606" i="1" s="1"/>
  <c r="H606" i="1" a="1"/>
  <c r="H606" i="1" s="1"/>
  <c r="F606" i="1" a="1"/>
  <c r="F606" i="1" s="1"/>
  <c r="G606" i="1" s="1"/>
  <c r="E606" i="1"/>
  <c r="N605" i="1" a="1"/>
  <c r="N605" i="1" s="1"/>
  <c r="M605" i="1" a="1"/>
  <c r="M605" i="1" s="1"/>
  <c r="L605" i="1" a="1"/>
  <c r="L605" i="1" s="1"/>
  <c r="K605" i="1" a="1"/>
  <c r="K605" i="1" s="1"/>
  <c r="J605" i="1"/>
  <c r="I605" i="1" a="1"/>
  <c r="I605" i="1" s="1"/>
  <c r="H605" i="1" a="1"/>
  <c r="H605" i="1" s="1"/>
  <c r="F605" i="1" a="1"/>
  <c r="F605" i="1" s="1"/>
  <c r="G605" i="1" s="1"/>
  <c r="E605" i="1"/>
  <c r="J604" i="1"/>
  <c r="E604" i="1"/>
  <c r="N603" i="1" a="1"/>
  <c r="N603" i="1" s="1"/>
  <c r="M603" i="1" a="1"/>
  <c r="M603" i="1" s="1"/>
  <c r="L603" i="1" a="1"/>
  <c r="L603" i="1" s="1"/>
  <c r="K603" i="1" a="1"/>
  <c r="K603" i="1" s="1"/>
  <c r="J603" i="1"/>
  <c r="I603" i="1" a="1"/>
  <c r="I603" i="1" s="1"/>
  <c r="H603" i="1" a="1"/>
  <c r="H603" i="1" s="1"/>
  <c r="F603" i="1" a="1"/>
  <c r="F603" i="1" s="1"/>
  <c r="G603" i="1" s="1"/>
  <c r="E603" i="1"/>
  <c r="N602" i="1" a="1"/>
  <c r="N602" i="1" s="1"/>
  <c r="M602" i="1" a="1"/>
  <c r="M602" i="1" s="1"/>
  <c r="L602" i="1" a="1"/>
  <c r="L602" i="1" s="1"/>
  <c r="K602" i="1" a="1"/>
  <c r="K602" i="1" s="1"/>
  <c r="J602" i="1"/>
  <c r="I602" i="1" a="1"/>
  <c r="I602" i="1" s="1"/>
  <c r="H602" i="1" a="1"/>
  <c r="H602" i="1" s="1"/>
  <c r="F602" i="1" a="1"/>
  <c r="F602" i="1" s="1"/>
  <c r="G602" i="1" s="1"/>
  <c r="E602" i="1"/>
  <c r="N601" i="1" a="1"/>
  <c r="N601" i="1" s="1"/>
  <c r="M601" i="1" a="1"/>
  <c r="M601" i="1" s="1"/>
  <c r="L601" i="1" a="1"/>
  <c r="L601" i="1" s="1"/>
  <c r="K601" i="1" a="1"/>
  <c r="K601" i="1" s="1"/>
  <c r="J601" i="1"/>
  <c r="I601" i="1" a="1"/>
  <c r="I601" i="1" s="1"/>
  <c r="H601" i="1" a="1"/>
  <c r="H601" i="1" s="1"/>
  <c r="F601" i="1" a="1"/>
  <c r="F601" i="1" s="1"/>
  <c r="G601" i="1" s="1"/>
  <c r="E601" i="1"/>
  <c r="N600" i="1" a="1"/>
  <c r="N600" i="1" s="1"/>
  <c r="M600" i="1" a="1"/>
  <c r="M600" i="1" s="1"/>
  <c r="L600" i="1" a="1"/>
  <c r="L600" i="1" s="1"/>
  <c r="K600" i="1" a="1"/>
  <c r="K600" i="1" s="1"/>
  <c r="J600" i="1"/>
  <c r="I600" i="1" a="1"/>
  <c r="I600" i="1" s="1"/>
  <c r="H600" i="1" a="1"/>
  <c r="H600" i="1" s="1"/>
  <c r="F600" i="1" a="1"/>
  <c r="F600" i="1" s="1"/>
  <c r="G600" i="1" s="1"/>
  <c r="E600" i="1"/>
  <c r="J599" i="1"/>
  <c r="E599" i="1"/>
  <c r="N598" i="1" a="1"/>
  <c r="N598" i="1" s="1"/>
  <c r="M598" i="1" a="1"/>
  <c r="M598" i="1" s="1"/>
  <c r="L598" i="1" a="1"/>
  <c r="L598" i="1" s="1"/>
  <c r="K598" i="1" a="1"/>
  <c r="K598" i="1" s="1"/>
  <c r="J598" i="1"/>
  <c r="I598" i="1" a="1"/>
  <c r="I598" i="1" s="1"/>
  <c r="H598" i="1" a="1"/>
  <c r="H598" i="1" s="1"/>
  <c r="F598" i="1" a="1"/>
  <c r="F598" i="1" s="1"/>
  <c r="G598" i="1" s="1"/>
  <c r="E598" i="1"/>
  <c r="N597" i="1" a="1"/>
  <c r="N597" i="1" s="1"/>
  <c r="M597" i="1" a="1"/>
  <c r="M597" i="1" s="1"/>
  <c r="L597" i="1" a="1"/>
  <c r="L597" i="1" s="1"/>
  <c r="K597" i="1" a="1"/>
  <c r="K597" i="1" s="1"/>
  <c r="J597" i="1"/>
  <c r="I597" i="1" a="1"/>
  <c r="I597" i="1" s="1"/>
  <c r="H597" i="1" a="1"/>
  <c r="H597" i="1" s="1"/>
  <c r="F597" i="1" a="1"/>
  <c r="F597" i="1" s="1"/>
  <c r="G597" i="1" s="1"/>
  <c r="E597" i="1"/>
  <c r="N596" i="1" a="1"/>
  <c r="N596" i="1" s="1"/>
  <c r="M596" i="1" a="1"/>
  <c r="M596" i="1" s="1"/>
  <c r="L596" i="1" a="1"/>
  <c r="L596" i="1" s="1"/>
  <c r="K596" i="1" a="1"/>
  <c r="K596" i="1" s="1"/>
  <c r="J596" i="1"/>
  <c r="I596" i="1" a="1"/>
  <c r="I596" i="1" s="1"/>
  <c r="H596" i="1" a="1"/>
  <c r="H596" i="1" s="1"/>
  <c r="F596" i="1" a="1"/>
  <c r="F596" i="1" s="1"/>
  <c r="G596" i="1" s="1"/>
  <c r="E596" i="1"/>
  <c r="J595" i="1"/>
  <c r="E595" i="1"/>
  <c r="N594" i="1" a="1"/>
  <c r="N594" i="1" s="1"/>
  <c r="M594" i="1" a="1"/>
  <c r="M594" i="1" s="1"/>
  <c r="L594" i="1" a="1"/>
  <c r="L594" i="1" s="1"/>
  <c r="K594" i="1" a="1"/>
  <c r="K594" i="1" s="1"/>
  <c r="J594" i="1"/>
  <c r="I594" i="1" a="1"/>
  <c r="I594" i="1" s="1"/>
  <c r="H594" i="1" a="1"/>
  <c r="H594" i="1" s="1"/>
  <c r="F594" i="1" a="1"/>
  <c r="F594" i="1" s="1"/>
  <c r="G594" i="1" s="1"/>
  <c r="E594" i="1"/>
  <c r="N593" i="1" a="1"/>
  <c r="N593" i="1" s="1"/>
  <c r="M593" i="1" a="1"/>
  <c r="M593" i="1" s="1"/>
  <c r="L593" i="1" a="1"/>
  <c r="L593" i="1" s="1"/>
  <c r="K593" i="1" a="1"/>
  <c r="K593" i="1" s="1"/>
  <c r="J593" i="1"/>
  <c r="I593" i="1" a="1"/>
  <c r="I593" i="1" s="1"/>
  <c r="H593" i="1" a="1"/>
  <c r="H593" i="1" s="1"/>
  <c r="F593" i="1" a="1"/>
  <c r="F593" i="1" s="1"/>
  <c r="G593" i="1" s="1"/>
  <c r="E593" i="1"/>
  <c r="N592" i="1" a="1"/>
  <c r="N592" i="1" s="1"/>
  <c r="M592" i="1" a="1"/>
  <c r="M592" i="1" s="1"/>
  <c r="L592" i="1" a="1"/>
  <c r="L592" i="1" s="1"/>
  <c r="K592" i="1" a="1"/>
  <c r="K592" i="1" s="1"/>
  <c r="J592" i="1"/>
  <c r="I592" i="1" a="1"/>
  <c r="I592" i="1" s="1"/>
  <c r="H592" i="1" a="1"/>
  <c r="H592" i="1" s="1"/>
  <c r="F592" i="1" a="1"/>
  <c r="F592" i="1" s="1"/>
  <c r="G592" i="1" s="1"/>
  <c r="E592" i="1"/>
  <c r="N591" i="1" a="1"/>
  <c r="N591" i="1" s="1"/>
  <c r="M591" i="1" a="1"/>
  <c r="M591" i="1" s="1"/>
  <c r="L591" i="1" a="1"/>
  <c r="L591" i="1" s="1"/>
  <c r="K591" i="1" a="1"/>
  <c r="K591" i="1" s="1"/>
  <c r="J591" i="1"/>
  <c r="I591" i="1" a="1"/>
  <c r="I591" i="1" s="1"/>
  <c r="H591" i="1" a="1"/>
  <c r="H591" i="1" s="1"/>
  <c r="F591" i="1" a="1"/>
  <c r="F591" i="1" s="1"/>
  <c r="G591" i="1" s="1"/>
  <c r="E591" i="1"/>
  <c r="N590" i="1" a="1"/>
  <c r="N590" i="1" s="1"/>
  <c r="M590" i="1" a="1"/>
  <c r="M590" i="1" s="1"/>
  <c r="L590" i="1" a="1"/>
  <c r="L590" i="1" s="1"/>
  <c r="K590" i="1" a="1"/>
  <c r="K590" i="1" s="1"/>
  <c r="J590" i="1"/>
  <c r="I590" i="1" a="1"/>
  <c r="I590" i="1" s="1"/>
  <c r="H590" i="1" a="1"/>
  <c r="H590" i="1" s="1"/>
  <c r="F590" i="1" a="1"/>
  <c r="F590" i="1" s="1"/>
  <c r="G590" i="1" s="1"/>
  <c r="E590" i="1"/>
  <c r="J589" i="1"/>
  <c r="E589" i="1"/>
  <c r="N588" i="1" a="1"/>
  <c r="N588" i="1" s="1"/>
  <c r="M588" i="1" a="1"/>
  <c r="M588" i="1" s="1"/>
  <c r="L588" i="1" a="1"/>
  <c r="L588" i="1" s="1"/>
  <c r="K588" i="1" a="1"/>
  <c r="K588" i="1" s="1"/>
  <c r="J588" i="1"/>
  <c r="I588" i="1" a="1"/>
  <c r="I588" i="1" s="1"/>
  <c r="H588" i="1" a="1"/>
  <c r="H588" i="1" s="1"/>
  <c r="F588" i="1" a="1"/>
  <c r="F588" i="1" s="1"/>
  <c r="G588" i="1" s="1"/>
  <c r="E588" i="1"/>
  <c r="N587" i="1" a="1"/>
  <c r="N587" i="1" s="1"/>
  <c r="M587" i="1" a="1"/>
  <c r="M587" i="1" s="1"/>
  <c r="L587" i="1" a="1"/>
  <c r="L587" i="1" s="1"/>
  <c r="K587" i="1" a="1"/>
  <c r="K587" i="1" s="1"/>
  <c r="J587" i="1"/>
  <c r="I587" i="1" a="1"/>
  <c r="I587" i="1" s="1"/>
  <c r="H587" i="1" a="1"/>
  <c r="H587" i="1" s="1"/>
  <c r="F587" i="1" a="1"/>
  <c r="F587" i="1" s="1"/>
  <c r="G587" i="1" s="1"/>
  <c r="E587" i="1"/>
  <c r="N586" i="1" a="1"/>
  <c r="N586" i="1" s="1"/>
  <c r="M586" i="1" a="1"/>
  <c r="M586" i="1" s="1"/>
  <c r="L586" i="1" a="1"/>
  <c r="L586" i="1" s="1"/>
  <c r="K586" i="1" a="1"/>
  <c r="K586" i="1" s="1"/>
  <c r="J586" i="1"/>
  <c r="I586" i="1" a="1"/>
  <c r="I586" i="1" s="1"/>
  <c r="H586" i="1" a="1"/>
  <c r="H586" i="1" s="1"/>
  <c r="F586" i="1" a="1"/>
  <c r="F586" i="1" s="1"/>
  <c r="G586" i="1" s="1"/>
  <c r="E586" i="1"/>
  <c r="N585" i="1" a="1"/>
  <c r="N585" i="1" s="1"/>
  <c r="M585" i="1" a="1"/>
  <c r="M585" i="1" s="1"/>
  <c r="L585" i="1" a="1"/>
  <c r="L585" i="1" s="1"/>
  <c r="K585" i="1" a="1"/>
  <c r="K585" i="1" s="1"/>
  <c r="J585" i="1"/>
  <c r="I585" i="1" a="1"/>
  <c r="I585" i="1" s="1"/>
  <c r="H585" i="1" a="1"/>
  <c r="H585" i="1" s="1"/>
  <c r="F585" i="1" a="1"/>
  <c r="F585" i="1" s="1"/>
  <c r="G585" i="1" s="1"/>
  <c r="E585" i="1"/>
  <c r="J584" i="1"/>
  <c r="E584" i="1"/>
  <c r="N583" i="1" a="1"/>
  <c r="N583" i="1" s="1"/>
  <c r="M583" i="1" a="1"/>
  <c r="M583" i="1" s="1"/>
  <c r="L583" i="1" a="1"/>
  <c r="L583" i="1" s="1"/>
  <c r="K583" i="1" a="1"/>
  <c r="K583" i="1" s="1"/>
  <c r="J583" i="1"/>
  <c r="I583" i="1" a="1"/>
  <c r="I583" i="1" s="1"/>
  <c r="H583" i="1" a="1"/>
  <c r="H583" i="1" s="1"/>
  <c r="F583" i="1" a="1"/>
  <c r="F583" i="1" s="1"/>
  <c r="G583" i="1" s="1"/>
  <c r="E583" i="1"/>
  <c r="J582" i="1"/>
  <c r="E582" i="1"/>
  <c r="N581" i="1" a="1"/>
  <c r="N581" i="1" s="1"/>
  <c r="M581" i="1" a="1"/>
  <c r="M581" i="1" s="1"/>
  <c r="L581" i="1" a="1"/>
  <c r="L581" i="1" s="1"/>
  <c r="K581" i="1" a="1"/>
  <c r="K581" i="1" s="1"/>
  <c r="J581" i="1"/>
  <c r="I581" i="1" a="1"/>
  <c r="I581" i="1" s="1"/>
  <c r="H581" i="1" a="1"/>
  <c r="H581" i="1" s="1"/>
  <c r="F581" i="1" a="1"/>
  <c r="F581" i="1" s="1"/>
  <c r="G581" i="1" s="1"/>
  <c r="N580" i="1" a="1"/>
  <c r="N580" i="1" s="1"/>
  <c r="M580" i="1" a="1"/>
  <c r="M580" i="1" s="1"/>
  <c r="L580" i="1" a="1"/>
  <c r="L580" i="1" s="1"/>
  <c r="K580" i="1" a="1"/>
  <c r="K580" i="1" s="1"/>
  <c r="J580" i="1"/>
  <c r="I580" i="1" a="1"/>
  <c r="I580" i="1" s="1"/>
  <c r="H580" i="1" a="1"/>
  <c r="H580" i="1" s="1"/>
  <c r="F580" i="1" a="1"/>
  <c r="F580" i="1" s="1"/>
  <c r="G580" i="1" s="1"/>
  <c r="E580" i="1"/>
  <c r="J579" i="1"/>
  <c r="E579" i="1"/>
  <c r="N578" i="1" a="1"/>
  <c r="N578" i="1" s="1"/>
  <c r="M578" i="1" a="1"/>
  <c r="M578" i="1" s="1"/>
  <c r="L578" i="1" a="1"/>
  <c r="L578" i="1" s="1"/>
  <c r="K578" i="1" a="1"/>
  <c r="K578" i="1" s="1"/>
  <c r="J578" i="1"/>
  <c r="I578" i="1" a="1"/>
  <c r="I578" i="1" s="1"/>
  <c r="H578" i="1" a="1"/>
  <c r="H578" i="1" s="1"/>
  <c r="F578" i="1" a="1"/>
  <c r="F578" i="1" s="1"/>
  <c r="G578" i="1" s="1"/>
  <c r="E578" i="1"/>
  <c r="N577" i="1" a="1"/>
  <c r="N577" i="1" s="1"/>
  <c r="M577" i="1" a="1"/>
  <c r="M577" i="1" s="1"/>
  <c r="L577" i="1" a="1"/>
  <c r="L577" i="1" s="1"/>
  <c r="K577" i="1" a="1"/>
  <c r="K577" i="1" s="1"/>
  <c r="J577" i="1"/>
  <c r="I577" i="1" a="1"/>
  <c r="I577" i="1" s="1"/>
  <c r="H577" i="1" a="1"/>
  <c r="H577" i="1" s="1"/>
  <c r="F577" i="1" a="1"/>
  <c r="F577" i="1" s="1"/>
  <c r="G577" i="1" s="1"/>
  <c r="E577" i="1"/>
  <c r="N576" i="1" a="1"/>
  <c r="N576" i="1" s="1"/>
  <c r="M576" i="1" a="1"/>
  <c r="M576" i="1" s="1"/>
  <c r="L576" i="1" a="1"/>
  <c r="L576" i="1" s="1"/>
  <c r="K576" i="1" a="1"/>
  <c r="K576" i="1" s="1"/>
  <c r="J576" i="1"/>
  <c r="I576" i="1" a="1"/>
  <c r="I576" i="1" s="1"/>
  <c r="H576" i="1" a="1"/>
  <c r="H576" i="1" s="1"/>
  <c r="F576" i="1" a="1"/>
  <c r="F576" i="1" s="1"/>
  <c r="G576" i="1" s="1"/>
  <c r="E576" i="1"/>
  <c r="J575" i="1"/>
  <c r="E575" i="1"/>
  <c r="J574" i="1"/>
  <c r="E574" i="1"/>
  <c r="N573" i="1" a="1"/>
  <c r="N573" i="1" s="1"/>
  <c r="M573" i="1" a="1"/>
  <c r="M573" i="1" s="1"/>
  <c r="L573" i="1" a="1"/>
  <c r="L573" i="1" s="1"/>
  <c r="K573" i="1" a="1"/>
  <c r="K573" i="1" s="1"/>
  <c r="J573" i="1"/>
  <c r="I573" i="1" a="1"/>
  <c r="I573" i="1" s="1"/>
  <c r="H573" i="1" a="1"/>
  <c r="H573" i="1" s="1"/>
  <c r="F573" i="1" a="1"/>
  <c r="F573" i="1" s="1"/>
  <c r="G573" i="1" s="1"/>
  <c r="E573" i="1"/>
  <c r="J572" i="1"/>
  <c r="E572" i="1"/>
  <c r="N571" i="1" a="1"/>
  <c r="N571" i="1" s="1"/>
  <c r="M571" i="1" a="1"/>
  <c r="M571" i="1" s="1"/>
  <c r="L571" i="1" a="1"/>
  <c r="L571" i="1" s="1"/>
  <c r="K571" i="1" a="1"/>
  <c r="K571" i="1" s="1"/>
  <c r="J571" i="1"/>
  <c r="I571" i="1" a="1"/>
  <c r="I571" i="1" s="1"/>
  <c r="H571" i="1" a="1"/>
  <c r="H571" i="1" s="1"/>
  <c r="F571" i="1" a="1"/>
  <c r="F571" i="1" s="1"/>
  <c r="G571" i="1" s="1"/>
  <c r="E571" i="1"/>
  <c r="N570" i="1" a="1"/>
  <c r="N570" i="1" s="1"/>
  <c r="M570" i="1" a="1"/>
  <c r="M570" i="1" s="1"/>
  <c r="L570" i="1" a="1"/>
  <c r="L570" i="1" s="1"/>
  <c r="K570" i="1" a="1"/>
  <c r="K570" i="1" s="1"/>
  <c r="J570" i="1"/>
  <c r="I570" i="1" a="1"/>
  <c r="I570" i="1" s="1"/>
  <c r="H570" i="1" a="1"/>
  <c r="H570" i="1" s="1"/>
  <c r="F570" i="1" a="1"/>
  <c r="F570" i="1" s="1"/>
  <c r="G570" i="1" s="1"/>
  <c r="E570" i="1"/>
  <c r="N569" i="1" a="1"/>
  <c r="N569" i="1" s="1"/>
  <c r="M569" i="1" a="1"/>
  <c r="M569" i="1" s="1"/>
  <c r="L569" i="1" a="1"/>
  <c r="L569" i="1" s="1"/>
  <c r="K569" i="1" a="1"/>
  <c r="K569" i="1" s="1"/>
  <c r="J569" i="1"/>
  <c r="I569" i="1" a="1"/>
  <c r="I569" i="1" s="1"/>
  <c r="H569" i="1" a="1"/>
  <c r="H569" i="1" s="1"/>
  <c r="F569" i="1" a="1"/>
  <c r="F569" i="1" s="1"/>
  <c r="G569" i="1" s="1"/>
  <c r="E569" i="1"/>
  <c r="N568" i="1" a="1"/>
  <c r="N568" i="1" s="1"/>
  <c r="M568" i="1" a="1"/>
  <c r="M568" i="1" s="1"/>
  <c r="L568" i="1" a="1"/>
  <c r="L568" i="1" s="1"/>
  <c r="K568" i="1" a="1"/>
  <c r="K568" i="1" s="1"/>
  <c r="J568" i="1"/>
  <c r="I568" i="1" a="1"/>
  <c r="I568" i="1" s="1"/>
  <c r="H568" i="1" a="1"/>
  <c r="H568" i="1" s="1"/>
  <c r="F568" i="1" a="1"/>
  <c r="F568" i="1" s="1"/>
  <c r="G568" i="1" s="1"/>
  <c r="E568" i="1"/>
  <c r="N567" i="1" a="1"/>
  <c r="N567" i="1" s="1"/>
  <c r="M567" i="1" a="1"/>
  <c r="M567" i="1" s="1"/>
  <c r="L567" i="1" a="1"/>
  <c r="L567" i="1" s="1"/>
  <c r="K567" i="1" a="1"/>
  <c r="K567" i="1" s="1"/>
  <c r="J567" i="1"/>
  <c r="I567" i="1" a="1"/>
  <c r="I567" i="1" s="1"/>
  <c r="H567" i="1" a="1"/>
  <c r="H567" i="1" s="1"/>
  <c r="F567" i="1" a="1"/>
  <c r="F567" i="1" s="1"/>
  <c r="G567" i="1" s="1"/>
  <c r="E567" i="1"/>
  <c r="N566" i="1" a="1"/>
  <c r="N566" i="1" s="1"/>
  <c r="M566" i="1" a="1"/>
  <c r="M566" i="1" s="1"/>
  <c r="L566" i="1" a="1"/>
  <c r="L566" i="1" s="1"/>
  <c r="K566" i="1" a="1"/>
  <c r="K566" i="1" s="1"/>
  <c r="J566" i="1"/>
  <c r="I566" i="1" a="1"/>
  <c r="I566" i="1" s="1"/>
  <c r="H566" i="1" a="1"/>
  <c r="H566" i="1" s="1"/>
  <c r="F566" i="1" a="1"/>
  <c r="F566" i="1" s="1"/>
  <c r="G566" i="1" s="1"/>
  <c r="E566" i="1"/>
  <c r="N565" i="1" a="1"/>
  <c r="N565" i="1" s="1"/>
  <c r="M565" i="1" a="1"/>
  <c r="M565" i="1" s="1"/>
  <c r="L565" i="1" a="1"/>
  <c r="L565" i="1" s="1"/>
  <c r="K565" i="1" a="1"/>
  <c r="K565" i="1" s="1"/>
  <c r="J565" i="1"/>
  <c r="I565" i="1" a="1"/>
  <c r="I565" i="1" s="1"/>
  <c r="H565" i="1" a="1"/>
  <c r="H565" i="1" s="1"/>
  <c r="F565" i="1" a="1"/>
  <c r="F565" i="1" s="1"/>
  <c r="G565" i="1" s="1"/>
  <c r="E565" i="1"/>
  <c r="N564" i="1" a="1"/>
  <c r="N564" i="1" s="1"/>
  <c r="M564" i="1" a="1"/>
  <c r="M564" i="1" s="1"/>
  <c r="L564" i="1" a="1"/>
  <c r="L564" i="1" s="1"/>
  <c r="K564" i="1" a="1"/>
  <c r="K564" i="1" s="1"/>
  <c r="J564" i="1"/>
  <c r="I564" i="1" a="1"/>
  <c r="I564" i="1" s="1"/>
  <c r="H564" i="1" a="1"/>
  <c r="H564" i="1" s="1"/>
  <c r="F564" i="1" a="1"/>
  <c r="F564" i="1" s="1"/>
  <c r="G564" i="1" s="1"/>
  <c r="E564" i="1"/>
  <c r="N563" i="1" a="1"/>
  <c r="N563" i="1" s="1"/>
  <c r="M563" i="1" a="1"/>
  <c r="M563" i="1" s="1"/>
  <c r="L563" i="1" a="1"/>
  <c r="L563" i="1" s="1"/>
  <c r="K563" i="1" a="1"/>
  <c r="K563" i="1" s="1"/>
  <c r="J563" i="1"/>
  <c r="I563" i="1" a="1"/>
  <c r="I563" i="1" s="1"/>
  <c r="H563" i="1" a="1"/>
  <c r="H563" i="1" s="1"/>
  <c r="F563" i="1" a="1"/>
  <c r="F563" i="1" s="1"/>
  <c r="G563" i="1" s="1"/>
  <c r="E563" i="1"/>
  <c r="N562" i="1" a="1"/>
  <c r="N562" i="1" s="1"/>
  <c r="M562" i="1" a="1"/>
  <c r="M562" i="1" s="1"/>
  <c r="L562" i="1" a="1"/>
  <c r="L562" i="1" s="1"/>
  <c r="K562" i="1" a="1"/>
  <c r="K562" i="1" s="1"/>
  <c r="J562" i="1"/>
  <c r="I562" i="1" a="1"/>
  <c r="I562" i="1" s="1"/>
  <c r="H562" i="1" a="1"/>
  <c r="H562" i="1" s="1"/>
  <c r="F562" i="1" a="1"/>
  <c r="F562" i="1" s="1"/>
  <c r="G562" i="1" s="1"/>
  <c r="E562" i="1"/>
  <c r="J561" i="1"/>
  <c r="E561" i="1"/>
  <c r="N560" i="1" a="1"/>
  <c r="N560" i="1" s="1"/>
  <c r="M560" i="1" a="1"/>
  <c r="M560" i="1" s="1"/>
  <c r="L560" i="1" a="1"/>
  <c r="L560" i="1" s="1"/>
  <c r="K560" i="1" a="1"/>
  <c r="K560" i="1" s="1"/>
  <c r="J560" i="1"/>
  <c r="I560" i="1" a="1"/>
  <c r="I560" i="1" s="1"/>
  <c r="H560" i="1" a="1"/>
  <c r="H560" i="1" s="1"/>
  <c r="F560" i="1" a="1"/>
  <c r="F560" i="1" s="1"/>
  <c r="G560" i="1" s="1"/>
  <c r="E560" i="1"/>
  <c r="N559" i="1" a="1"/>
  <c r="N559" i="1" s="1"/>
  <c r="M559" i="1" a="1"/>
  <c r="M559" i="1" s="1"/>
  <c r="L559" i="1" a="1"/>
  <c r="L559" i="1" s="1"/>
  <c r="K559" i="1" a="1"/>
  <c r="K559" i="1" s="1"/>
  <c r="J559" i="1"/>
  <c r="I559" i="1" a="1"/>
  <c r="I559" i="1" s="1"/>
  <c r="H559" i="1" a="1"/>
  <c r="H559" i="1" s="1"/>
  <c r="F559" i="1" a="1"/>
  <c r="F559" i="1" s="1"/>
  <c r="G559" i="1" s="1"/>
  <c r="E559" i="1"/>
  <c r="N558" i="1" a="1"/>
  <c r="N558" i="1" s="1"/>
  <c r="M558" i="1" a="1"/>
  <c r="M558" i="1" s="1"/>
  <c r="L558" i="1" a="1"/>
  <c r="L558" i="1" s="1"/>
  <c r="K558" i="1" a="1"/>
  <c r="K558" i="1" s="1"/>
  <c r="J558" i="1"/>
  <c r="I558" i="1" a="1"/>
  <c r="I558" i="1" s="1"/>
  <c r="H558" i="1" a="1"/>
  <c r="H558" i="1" s="1"/>
  <c r="F558" i="1" a="1"/>
  <c r="F558" i="1" s="1"/>
  <c r="G558" i="1" s="1"/>
  <c r="E558" i="1"/>
  <c r="N557" i="1" a="1"/>
  <c r="N557" i="1" s="1"/>
  <c r="M557" i="1" a="1"/>
  <c r="M557" i="1" s="1"/>
  <c r="L557" i="1" a="1"/>
  <c r="L557" i="1" s="1"/>
  <c r="K557" i="1" a="1"/>
  <c r="K557" i="1" s="1"/>
  <c r="J557" i="1"/>
  <c r="I557" i="1" a="1"/>
  <c r="I557" i="1" s="1"/>
  <c r="H557" i="1" a="1"/>
  <c r="H557" i="1" s="1"/>
  <c r="F557" i="1" a="1"/>
  <c r="F557" i="1" s="1"/>
  <c r="G557" i="1" s="1"/>
  <c r="E557" i="1"/>
  <c r="N556" i="1" a="1"/>
  <c r="N556" i="1" s="1"/>
  <c r="M556" i="1" a="1"/>
  <c r="M556" i="1" s="1"/>
  <c r="L556" i="1" a="1"/>
  <c r="L556" i="1" s="1"/>
  <c r="K556" i="1" a="1"/>
  <c r="K556" i="1" s="1"/>
  <c r="J556" i="1"/>
  <c r="I556" i="1" a="1"/>
  <c r="I556" i="1" s="1"/>
  <c r="H556" i="1" a="1"/>
  <c r="H556" i="1" s="1"/>
  <c r="F556" i="1" a="1"/>
  <c r="F556" i="1" s="1"/>
  <c r="G556" i="1" s="1"/>
  <c r="E556" i="1"/>
  <c r="J555" i="1"/>
  <c r="E555" i="1"/>
  <c r="N554" i="1" a="1"/>
  <c r="N554" i="1" s="1"/>
  <c r="M554" i="1" a="1"/>
  <c r="M554" i="1" s="1"/>
  <c r="L554" i="1" a="1"/>
  <c r="L554" i="1" s="1"/>
  <c r="K554" i="1" a="1"/>
  <c r="K554" i="1" s="1"/>
  <c r="J554" i="1"/>
  <c r="I554" i="1" a="1"/>
  <c r="I554" i="1" s="1"/>
  <c r="H554" i="1" a="1"/>
  <c r="H554" i="1" s="1"/>
  <c r="F554" i="1" a="1"/>
  <c r="F554" i="1" s="1"/>
  <c r="G554" i="1" s="1"/>
  <c r="E554" i="1"/>
  <c r="N553" i="1" a="1"/>
  <c r="N553" i="1" s="1"/>
  <c r="M553" i="1" a="1"/>
  <c r="M553" i="1" s="1"/>
  <c r="L553" i="1" a="1"/>
  <c r="L553" i="1" s="1"/>
  <c r="K553" i="1" a="1"/>
  <c r="K553" i="1" s="1"/>
  <c r="J553" i="1"/>
  <c r="I553" i="1" a="1"/>
  <c r="I553" i="1" s="1"/>
  <c r="H553" i="1" a="1"/>
  <c r="H553" i="1" s="1"/>
  <c r="F553" i="1" a="1"/>
  <c r="F553" i="1" s="1"/>
  <c r="G553" i="1" s="1"/>
  <c r="E553" i="1"/>
  <c r="N552" i="1" a="1"/>
  <c r="N552" i="1" s="1"/>
  <c r="M552" i="1" a="1"/>
  <c r="M552" i="1" s="1"/>
  <c r="L552" i="1" a="1"/>
  <c r="L552" i="1" s="1"/>
  <c r="K552" i="1" a="1"/>
  <c r="K552" i="1" s="1"/>
  <c r="J552" i="1"/>
  <c r="I552" i="1" a="1"/>
  <c r="I552" i="1" s="1"/>
  <c r="H552" i="1" a="1"/>
  <c r="H552" i="1" s="1"/>
  <c r="F552" i="1" a="1"/>
  <c r="F552" i="1" s="1"/>
  <c r="G552" i="1" s="1"/>
  <c r="E552" i="1"/>
  <c r="N551" i="1" a="1"/>
  <c r="N551" i="1" s="1"/>
  <c r="M551" i="1" a="1"/>
  <c r="M551" i="1" s="1"/>
  <c r="L551" i="1" a="1"/>
  <c r="L551" i="1" s="1"/>
  <c r="K551" i="1" a="1"/>
  <c r="K551" i="1" s="1"/>
  <c r="J551" i="1"/>
  <c r="I551" i="1" a="1"/>
  <c r="I551" i="1" s="1"/>
  <c r="H551" i="1" a="1"/>
  <c r="H551" i="1" s="1"/>
  <c r="F551" i="1" a="1"/>
  <c r="F551" i="1" s="1"/>
  <c r="G551" i="1" s="1"/>
  <c r="E551" i="1"/>
  <c r="J550" i="1"/>
  <c r="E550" i="1"/>
  <c r="N549" i="1" a="1"/>
  <c r="N549" i="1" s="1"/>
  <c r="M549" i="1" a="1"/>
  <c r="M549" i="1" s="1"/>
  <c r="L549" i="1" a="1"/>
  <c r="L549" i="1" s="1"/>
  <c r="K549" i="1" a="1"/>
  <c r="K549" i="1" s="1"/>
  <c r="J549" i="1"/>
  <c r="I549" i="1" a="1"/>
  <c r="I549" i="1" s="1"/>
  <c r="H549" i="1" a="1"/>
  <c r="H549" i="1" s="1"/>
  <c r="F549" i="1" a="1"/>
  <c r="F549" i="1" s="1"/>
  <c r="G549" i="1" s="1"/>
  <c r="E549" i="1"/>
  <c r="N548" i="1" a="1"/>
  <c r="N548" i="1" s="1"/>
  <c r="M548" i="1" a="1"/>
  <c r="M548" i="1" s="1"/>
  <c r="L548" i="1" a="1"/>
  <c r="L548" i="1" s="1"/>
  <c r="K548" i="1" a="1"/>
  <c r="K548" i="1" s="1"/>
  <c r="J548" i="1"/>
  <c r="I548" i="1" a="1"/>
  <c r="I548" i="1" s="1"/>
  <c r="H548" i="1" a="1"/>
  <c r="H548" i="1" s="1"/>
  <c r="F548" i="1" a="1"/>
  <c r="F548" i="1" s="1"/>
  <c r="G548" i="1" s="1"/>
  <c r="E548" i="1"/>
  <c r="N547" i="1" a="1"/>
  <c r="N547" i="1" s="1"/>
  <c r="M547" i="1" a="1"/>
  <c r="M547" i="1" s="1"/>
  <c r="L547" i="1" a="1"/>
  <c r="L547" i="1" s="1"/>
  <c r="K547" i="1" a="1"/>
  <c r="K547" i="1" s="1"/>
  <c r="J547" i="1"/>
  <c r="I547" i="1" a="1"/>
  <c r="I547" i="1" s="1"/>
  <c r="H547" i="1" a="1"/>
  <c r="H547" i="1" s="1"/>
  <c r="F547" i="1" a="1"/>
  <c r="F547" i="1" s="1"/>
  <c r="G547" i="1" s="1"/>
  <c r="E547" i="1"/>
  <c r="N546" i="1" a="1"/>
  <c r="N546" i="1" s="1"/>
  <c r="M546" i="1" a="1"/>
  <c r="M546" i="1" s="1"/>
  <c r="L546" i="1" a="1"/>
  <c r="L546" i="1" s="1"/>
  <c r="K546" i="1" a="1"/>
  <c r="K546" i="1" s="1"/>
  <c r="J546" i="1"/>
  <c r="I546" i="1" a="1"/>
  <c r="I546" i="1" s="1"/>
  <c r="H546" i="1" a="1"/>
  <c r="H546" i="1" s="1"/>
  <c r="F546" i="1" a="1"/>
  <c r="F546" i="1" s="1"/>
  <c r="G546" i="1" s="1"/>
  <c r="E546" i="1"/>
  <c r="N545" i="1" a="1"/>
  <c r="N545" i="1" s="1"/>
  <c r="M545" i="1" a="1"/>
  <c r="M545" i="1" s="1"/>
  <c r="L545" i="1" a="1"/>
  <c r="L545" i="1" s="1"/>
  <c r="K545" i="1" a="1"/>
  <c r="K545" i="1" s="1"/>
  <c r="J545" i="1"/>
  <c r="I545" i="1" a="1"/>
  <c r="I545" i="1" s="1"/>
  <c r="H545" i="1" a="1"/>
  <c r="H545" i="1" s="1"/>
  <c r="F545" i="1" a="1"/>
  <c r="F545" i="1" s="1"/>
  <c r="G545" i="1" s="1"/>
  <c r="E545" i="1"/>
  <c r="N544" i="1" a="1"/>
  <c r="N544" i="1" s="1"/>
  <c r="M544" i="1" a="1"/>
  <c r="M544" i="1" s="1"/>
  <c r="L544" i="1" a="1"/>
  <c r="L544" i="1" s="1"/>
  <c r="K544" i="1" a="1"/>
  <c r="K544" i="1" s="1"/>
  <c r="J544" i="1"/>
  <c r="I544" i="1" a="1"/>
  <c r="I544" i="1" s="1"/>
  <c r="H544" i="1" a="1"/>
  <c r="H544" i="1" s="1"/>
  <c r="F544" i="1" a="1"/>
  <c r="F544" i="1" s="1"/>
  <c r="G544" i="1" s="1"/>
  <c r="E544" i="1"/>
  <c r="N543" i="1" a="1"/>
  <c r="N543" i="1" s="1"/>
  <c r="M543" i="1" a="1"/>
  <c r="M543" i="1" s="1"/>
  <c r="L543" i="1" a="1"/>
  <c r="L543" i="1" s="1"/>
  <c r="K543" i="1" a="1"/>
  <c r="K543" i="1" s="1"/>
  <c r="J543" i="1"/>
  <c r="I543" i="1" a="1"/>
  <c r="I543" i="1" s="1"/>
  <c r="H543" i="1" a="1"/>
  <c r="H543" i="1" s="1"/>
  <c r="F543" i="1" a="1"/>
  <c r="F543" i="1" s="1"/>
  <c r="G543" i="1" s="1"/>
  <c r="E543" i="1"/>
  <c r="N542" i="1" a="1"/>
  <c r="N542" i="1" s="1"/>
  <c r="M542" i="1" a="1"/>
  <c r="M542" i="1" s="1"/>
  <c r="L542" i="1" a="1"/>
  <c r="L542" i="1" s="1"/>
  <c r="K542" i="1" a="1"/>
  <c r="K542" i="1" s="1"/>
  <c r="J542" i="1"/>
  <c r="I542" i="1" a="1"/>
  <c r="I542" i="1" s="1"/>
  <c r="H542" i="1" a="1"/>
  <c r="H542" i="1" s="1"/>
  <c r="F542" i="1" a="1"/>
  <c r="F542" i="1" s="1"/>
  <c r="G542" i="1" s="1"/>
  <c r="E542" i="1"/>
  <c r="J541" i="1"/>
  <c r="E541" i="1"/>
  <c r="N540" i="1" a="1"/>
  <c r="N540" i="1" s="1"/>
  <c r="M540" i="1" a="1"/>
  <c r="M540" i="1" s="1"/>
  <c r="L540" i="1" a="1"/>
  <c r="L540" i="1" s="1"/>
  <c r="K540" i="1" a="1"/>
  <c r="K540" i="1" s="1"/>
  <c r="J540" i="1"/>
  <c r="I540" i="1" a="1"/>
  <c r="I540" i="1" s="1"/>
  <c r="H540" i="1" a="1"/>
  <c r="H540" i="1" s="1"/>
  <c r="F540" i="1" a="1"/>
  <c r="F540" i="1" s="1"/>
  <c r="G540" i="1" s="1"/>
  <c r="E540" i="1"/>
  <c r="J539" i="1"/>
  <c r="E539" i="1"/>
  <c r="N538" i="1" a="1"/>
  <c r="N538" i="1" s="1"/>
  <c r="M538" i="1" a="1"/>
  <c r="M538" i="1" s="1"/>
  <c r="L538" i="1" a="1"/>
  <c r="L538" i="1" s="1"/>
  <c r="K538" i="1" a="1"/>
  <c r="K538" i="1" s="1"/>
  <c r="J538" i="1"/>
  <c r="I538" i="1" a="1"/>
  <c r="I538" i="1" s="1"/>
  <c r="H538" i="1" a="1"/>
  <c r="H538" i="1" s="1"/>
  <c r="F538" i="1" a="1"/>
  <c r="F538" i="1" s="1"/>
  <c r="G538" i="1" s="1"/>
  <c r="E538" i="1"/>
  <c r="J537" i="1"/>
  <c r="E537" i="1"/>
  <c r="J536" i="1"/>
  <c r="E536" i="1"/>
  <c r="F536" i="1" s="1" a="1"/>
  <c r="F536" i="1" s="1"/>
  <c r="I536" i="1" s="1" a="1"/>
  <c r="I536" i="1" s="1"/>
  <c r="N535" i="1" a="1"/>
  <c r="N535" i="1" s="1"/>
  <c r="M535" i="1" a="1"/>
  <c r="M535" i="1" s="1"/>
  <c r="L535" i="1" a="1"/>
  <c r="L535" i="1" s="1"/>
  <c r="K535" i="1" a="1"/>
  <c r="K535" i="1" s="1"/>
  <c r="J535" i="1"/>
  <c r="I535" i="1" a="1"/>
  <c r="I535" i="1" s="1"/>
  <c r="H535" i="1" a="1"/>
  <c r="H535" i="1" s="1"/>
  <c r="F535" i="1" a="1"/>
  <c r="F535" i="1" s="1"/>
  <c r="G535" i="1" s="1"/>
  <c r="E535" i="1"/>
  <c r="N534" i="1" a="1"/>
  <c r="N534" i="1" s="1"/>
  <c r="M534" i="1" a="1"/>
  <c r="M534" i="1" s="1"/>
  <c r="L534" i="1" a="1"/>
  <c r="L534" i="1" s="1"/>
  <c r="K534" i="1" a="1"/>
  <c r="K534" i="1" s="1"/>
  <c r="J534" i="1"/>
  <c r="I534" i="1" a="1"/>
  <c r="I534" i="1" s="1"/>
  <c r="H534" i="1" a="1"/>
  <c r="H534" i="1" s="1"/>
  <c r="F534" i="1" a="1"/>
  <c r="F534" i="1" s="1"/>
  <c r="G534" i="1" s="1"/>
  <c r="E534" i="1"/>
  <c r="N533" i="1" a="1"/>
  <c r="N533" i="1" s="1"/>
  <c r="M533" i="1" a="1"/>
  <c r="M533" i="1" s="1"/>
  <c r="L533" i="1" a="1"/>
  <c r="L533" i="1" s="1"/>
  <c r="K533" i="1" a="1"/>
  <c r="K533" i="1" s="1"/>
  <c r="J533" i="1"/>
  <c r="I533" i="1" a="1"/>
  <c r="I533" i="1" s="1"/>
  <c r="H533" i="1" a="1"/>
  <c r="H533" i="1" s="1"/>
  <c r="F533" i="1" a="1"/>
  <c r="F533" i="1" s="1"/>
  <c r="G533" i="1" s="1"/>
  <c r="E533" i="1"/>
  <c r="J532" i="1"/>
  <c r="E532" i="1"/>
  <c r="N531" i="1" a="1"/>
  <c r="N531" i="1" s="1"/>
  <c r="M531" i="1" a="1"/>
  <c r="M531" i="1" s="1"/>
  <c r="L531" i="1" a="1"/>
  <c r="L531" i="1" s="1"/>
  <c r="K531" i="1" a="1"/>
  <c r="K531" i="1" s="1"/>
  <c r="J531" i="1"/>
  <c r="I531" i="1" a="1"/>
  <c r="I531" i="1" s="1"/>
  <c r="H531" i="1" a="1"/>
  <c r="H531" i="1" s="1"/>
  <c r="F531" i="1" a="1"/>
  <c r="F531" i="1" s="1"/>
  <c r="G531" i="1" s="1"/>
  <c r="E531" i="1"/>
  <c r="N530" i="1" a="1"/>
  <c r="N530" i="1" s="1"/>
  <c r="M530" i="1" a="1"/>
  <c r="M530" i="1" s="1"/>
  <c r="L530" i="1" a="1"/>
  <c r="L530" i="1" s="1"/>
  <c r="K530" i="1" a="1"/>
  <c r="K530" i="1" s="1"/>
  <c r="J530" i="1"/>
  <c r="I530" i="1" a="1"/>
  <c r="I530" i="1" s="1"/>
  <c r="H530" i="1" a="1"/>
  <c r="H530" i="1" s="1"/>
  <c r="F530" i="1" a="1"/>
  <c r="F530" i="1" s="1"/>
  <c r="G530" i="1" s="1"/>
  <c r="E530" i="1"/>
  <c r="N529" i="1" a="1"/>
  <c r="N529" i="1" s="1"/>
  <c r="M529" i="1" a="1"/>
  <c r="M529" i="1" s="1"/>
  <c r="L529" i="1" a="1"/>
  <c r="L529" i="1" s="1"/>
  <c r="K529" i="1" a="1"/>
  <c r="K529" i="1" s="1"/>
  <c r="J529" i="1"/>
  <c r="I529" i="1" a="1"/>
  <c r="I529" i="1" s="1"/>
  <c r="H529" i="1" a="1"/>
  <c r="H529" i="1" s="1"/>
  <c r="F529" i="1" a="1"/>
  <c r="F529" i="1" s="1"/>
  <c r="G529" i="1" s="1"/>
  <c r="E529" i="1"/>
  <c r="N528" i="1" a="1"/>
  <c r="N528" i="1" s="1"/>
  <c r="M528" i="1" a="1"/>
  <c r="M528" i="1" s="1"/>
  <c r="L528" i="1" a="1"/>
  <c r="L528" i="1" s="1"/>
  <c r="K528" i="1" a="1"/>
  <c r="K528" i="1" s="1"/>
  <c r="J528" i="1"/>
  <c r="I528" i="1" a="1"/>
  <c r="I528" i="1" s="1"/>
  <c r="H528" i="1" a="1"/>
  <c r="H528" i="1" s="1"/>
  <c r="F528" i="1" a="1"/>
  <c r="F528" i="1" s="1"/>
  <c r="G528" i="1" s="1"/>
  <c r="E528" i="1"/>
  <c r="J527" i="1"/>
  <c r="E527" i="1"/>
  <c r="N526" i="1" a="1"/>
  <c r="N526" i="1" s="1"/>
  <c r="M526" i="1" a="1"/>
  <c r="M526" i="1" s="1"/>
  <c r="L526" i="1" a="1"/>
  <c r="L526" i="1" s="1"/>
  <c r="K526" i="1" a="1"/>
  <c r="K526" i="1" s="1"/>
  <c r="J526" i="1"/>
  <c r="I526" i="1" a="1"/>
  <c r="I526" i="1" s="1"/>
  <c r="H526" i="1" a="1"/>
  <c r="H526" i="1" s="1"/>
  <c r="F526" i="1" a="1"/>
  <c r="F526" i="1" s="1"/>
  <c r="G526" i="1" s="1"/>
  <c r="E526" i="1"/>
  <c r="N525" i="1" a="1"/>
  <c r="N525" i="1" s="1"/>
  <c r="M525" i="1" a="1"/>
  <c r="M525" i="1" s="1"/>
  <c r="L525" i="1" a="1"/>
  <c r="L525" i="1" s="1"/>
  <c r="K525" i="1" a="1"/>
  <c r="K525" i="1" s="1"/>
  <c r="J525" i="1"/>
  <c r="I525" i="1" a="1"/>
  <c r="I525" i="1" s="1"/>
  <c r="H525" i="1" a="1"/>
  <c r="H525" i="1" s="1"/>
  <c r="F525" i="1" a="1"/>
  <c r="F525" i="1" s="1"/>
  <c r="G525" i="1" s="1"/>
  <c r="E525" i="1"/>
  <c r="N524" i="1" a="1"/>
  <c r="N524" i="1" s="1"/>
  <c r="M524" i="1" a="1"/>
  <c r="M524" i="1" s="1"/>
  <c r="L524" i="1" a="1"/>
  <c r="L524" i="1" s="1"/>
  <c r="K524" i="1" a="1"/>
  <c r="K524" i="1" s="1"/>
  <c r="J524" i="1"/>
  <c r="I524" i="1" a="1"/>
  <c r="I524" i="1" s="1"/>
  <c r="H524" i="1" a="1"/>
  <c r="H524" i="1" s="1"/>
  <c r="F524" i="1" a="1"/>
  <c r="F524" i="1" s="1"/>
  <c r="G524" i="1" s="1"/>
  <c r="E524" i="1"/>
  <c r="N523" i="1" a="1"/>
  <c r="N523" i="1" s="1"/>
  <c r="M523" i="1" a="1"/>
  <c r="M523" i="1" s="1"/>
  <c r="L523" i="1" a="1"/>
  <c r="L523" i="1" s="1"/>
  <c r="K523" i="1" a="1"/>
  <c r="K523" i="1" s="1"/>
  <c r="J523" i="1"/>
  <c r="I523" i="1" a="1"/>
  <c r="I523" i="1" s="1"/>
  <c r="H523" i="1" a="1"/>
  <c r="H523" i="1" s="1"/>
  <c r="F523" i="1" a="1"/>
  <c r="F523" i="1" s="1"/>
  <c r="G523" i="1" s="1"/>
  <c r="E523" i="1"/>
  <c r="N522" i="1" a="1"/>
  <c r="N522" i="1" s="1"/>
  <c r="M522" i="1" a="1"/>
  <c r="M522" i="1" s="1"/>
  <c r="L522" i="1" a="1"/>
  <c r="L522" i="1" s="1"/>
  <c r="K522" i="1" a="1"/>
  <c r="K522" i="1" s="1"/>
  <c r="J522" i="1"/>
  <c r="I522" i="1" a="1"/>
  <c r="I522" i="1" s="1"/>
  <c r="H522" i="1" a="1"/>
  <c r="H522" i="1" s="1"/>
  <c r="F522" i="1" a="1"/>
  <c r="F522" i="1" s="1"/>
  <c r="G522" i="1" s="1"/>
  <c r="E522" i="1"/>
  <c r="N521" i="1" a="1"/>
  <c r="N521" i="1" s="1"/>
  <c r="M521" i="1" a="1"/>
  <c r="M521" i="1" s="1"/>
  <c r="L521" i="1" a="1"/>
  <c r="L521" i="1" s="1"/>
  <c r="K521" i="1" a="1"/>
  <c r="K521" i="1" s="1"/>
  <c r="J521" i="1"/>
  <c r="I521" i="1" a="1"/>
  <c r="I521" i="1" s="1"/>
  <c r="H521" i="1" a="1"/>
  <c r="H521" i="1" s="1"/>
  <c r="F521" i="1" a="1"/>
  <c r="F521" i="1" s="1"/>
  <c r="G521" i="1" s="1"/>
  <c r="E521" i="1"/>
  <c r="J520" i="1"/>
  <c r="E520" i="1"/>
  <c r="N519" i="1" a="1"/>
  <c r="N519" i="1" s="1"/>
  <c r="M519" i="1" a="1"/>
  <c r="M519" i="1" s="1"/>
  <c r="L519" i="1" a="1"/>
  <c r="L519" i="1" s="1"/>
  <c r="K519" i="1" a="1"/>
  <c r="K519" i="1" s="1"/>
  <c r="J519" i="1"/>
  <c r="I519" i="1" a="1"/>
  <c r="I519" i="1" s="1"/>
  <c r="H519" i="1" a="1"/>
  <c r="H519" i="1" s="1"/>
  <c r="F519" i="1" a="1"/>
  <c r="F519" i="1" s="1"/>
  <c r="G519" i="1" s="1"/>
  <c r="E519" i="1"/>
  <c r="N518" i="1" a="1"/>
  <c r="N518" i="1" s="1"/>
  <c r="M518" i="1" a="1"/>
  <c r="M518" i="1" s="1"/>
  <c r="L518" i="1" a="1"/>
  <c r="L518" i="1" s="1"/>
  <c r="K518" i="1" a="1"/>
  <c r="K518" i="1" s="1"/>
  <c r="J518" i="1"/>
  <c r="I518" i="1" a="1"/>
  <c r="I518" i="1" s="1"/>
  <c r="H518" i="1" a="1"/>
  <c r="H518" i="1" s="1"/>
  <c r="F518" i="1" a="1"/>
  <c r="F518" i="1" s="1"/>
  <c r="G518" i="1" s="1"/>
  <c r="E518" i="1"/>
  <c r="J517" i="1"/>
  <c r="E517" i="1"/>
  <c r="N516" i="1" a="1"/>
  <c r="N516" i="1" s="1"/>
  <c r="M516" i="1" a="1"/>
  <c r="M516" i="1" s="1"/>
  <c r="L516" i="1" a="1"/>
  <c r="L516" i="1" s="1"/>
  <c r="K516" i="1" a="1"/>
  <c r="K516" i="1" s="1"/>
  <c r="J516" i="1"/>
  <c r="I516" i="1" a="1"/>
  <c r="I516" i="1" s="1"/>
  <c r="H516" i="1" a="1"/>
  <c r="H516" i="1" s="1"/>
  <c r="F516" i="1" a="1"/>
  <c r="F516" i="1" s="1"/>
  <c r="G516" i="1" s="1"/>
  <c r="E516" i="1"/>
  <c r="N515" i="1" a="1"/>
  <c r="N515" i="1" s="1"/>
  <c r="M515" i="1" a="1"/>
  <c r="M515" i="1" s="1"/>
  <c r="L515" i="1" a="1"/>
  <c r="L515" i="1" s="1"/>
  <c r="K515" i="1" a="1"/>
  <c r="K515" i="1" s="1"/>
  <c r="J515" i="1"/>
  <c r="I515" i="1" a="1"/>
  <c r="I515" i="1" s="1"/>
  <c r="H515" i="1" a="1"/>
  <c r="H515" i="1" s="1"/>
  <c r="F515" i="1" a="1"/>
  <c r="F515" i="1" s="1"/>
  <c r="G515" i="1" s="1"/>
  <c r="E515" i="1"/>
  <c r="N514" i="1" a="1"/>
  <c r="N514" i="1" s="1"/>
  <c r="M514" i="1" a="1"/>
  <c r="M514" i="1" s="1"/>
  <c r="L514" i="1" a="1"/>
  <c r="L514" i="1" s="1"/>
  <c r="K514" i="1" a="1"/>
  <c r="K514" i="1" s="1"/>
  <c r="J514" i="1"/>
  <c r="I514" i="1" a="1"/>
  <c r="I514" i="1" s="1"/>
  <c r="H514" i="1" a="1"/>
  <c r="H514" i="1" s="1"/>
  <c r="F514" i="1" a="1"/>
  <c r="F514" i="1" s="1"/>
  <c r="G514" i="1" s="1"/>
  <c r="E514" i="1"/>
  <c r="J513" i="1"/>
  <c r="E513" i="1"/>
  <c r="N512" i="1" a="1"/>
  <c r="N512" i="1" s="1"/>
  <c r="M512" i="1" a="1"/>
  <c r="M512" i="1" s="1"/>
  <c r="L512" i="1" a="1"/>
  <c r="L512" i="1" s="1"/>
  <c r="K512" i="1" a="1"/>
  <c r="K512" i="1" s="1"/>
  <c r="J512" i="1"/>
  <c r="I512" i="1" a="1"/>
  <c r="I512" i="1" s="1"/>
  <c r="H512" i="1" a="1"/>
  <c r="H512" i="1" s="1"/>
  <c r="F512" i="1" a="1"/>
  <c r="F512" i="1" s="1"/>
  <c r="G512" i="1" s="1"/>
  <c r="E512" i="1"/>
  <c r="N511" i="1" a="1"/>
  <c r="N511" i="1" s="1"/>
  <c r="M511" i="1" a="1"/>
  <c r="M511" i="1" s="1"/>
  <c r="L511" i="1" a="1"/>
  <c r="L511" i="1" s="1"/>
  <c r="K511" i="1" a="1"/>
  <c r="K511" i="1" s="1"/>
  <c r="J511" i="1"/>
  <c r="I511" i="1" a="1"/>
  <c r="I511" i="1" s="1"/>
  <c r="H511" i="1" a="1"/>
  <c r="H511" i="1" s="1"/>
  <c r="F511" i="1" a="1"/>
  <c r="F511" i="1" s="1"/>
  <c r="G511" i="1" s="1"/>
  <c r="E511" i="1"/>
  <c r="J510" i="1"/>
  <c r="E510" i="1"/>
  <c r="N509" i="1" a="1"/>
  <c r="N509" i="1" s="1"/>
  <c r="M509" i="1" a="1"/>
  <c r="M509" i="1" s="1"/>
  <c r="L509" i="1" a="1"/>
  <c r="L509" i="1" s="1"/>
  <c r="K509" i="1" a="1"/>
  <c r="K509" i="1" s="1"/>
  <c r="J509" i="1"/>
  <c r="I509" i="1" a="1"/>
  <c r="I509" i="1" s="1"/>
  <c r="H509" i="1" a="1"/>
  <c r="H509" i="1" s="1"/>
  <c r="F509" i="1" a="1"/>
  <c r="F509" i="1" s="1"/>
  <c r="G509" i="1" s="1"/>
  <c r="E509" i="1"/>
  <c r="N508" i="1" a="1"/>
  <c r="N508" i="1" s="1"/>
  <c r="M508" i="1" a="1"/>
  <c r="M508" i="1" s="1"/>
  <c r="L508" i="1" a="1"/>
  <c r="L508" i="1" s="1"/>
  <c r="K508" i="1" a="1"/>
  <c r="K508" i="1" s="1"/>
  <c r="J508" i="1"/>
  <c r="I508" i="1" a="1"/>
  <c r="I508" i="1" s="1"/>
  <c r="H508" i="1" a="1"/>
  <c r="H508" i="1" s="1"/>
  <c r="F508" i="1" a="1"/>
  <c r="F508" i="1" s="1"/>
  <c r="G508" i="1" s="1"/>
  <c r="E508" i="1"/>
  <c r="N507" i="1" a="1"/>
  <c r="N507" i="1" s="1"/>
  <c r="M507" i="1" a="1"/>
  <c r="M507" i="1" s="1"/>
  <c r="L507" i="1" a="1"/>
  <c r="L507" i="1" s="1"/>
  <c r="K507" i="1" a="1"/>
  <c r="K507" i="1" s="1"/>
  <c r="J507" i="1"/>
  <c r="I507" i="1" a="1"/>
  <c r="I507" i="1" s="1"/>
  <c r="H507" i="1" a="1"/>
  <c r="H507" i="1" s="1"/>
  <c r="F507" i="1" a="1"/>
  <c r="F507" i="1" s="1"/>
  <c r="G507" i="1" s="1"/>
  <c r="E507" i="1"/>
  <c r="N506" i="1" a="1"/>
  <c r="N506" i="1" s="1"/>
  <c r="M506" i="1" a="1"/>
  <c r="M506" i="1" s="1"/>
  <c r="L506" i="1" a="1"/>
  <c r="L506" i="1" s="1"/>
  <c r="K506" i="1" a="1"/>
  <c r="K506" i="1" s="1"/>
  <c r="J506" i="1"/>
  <c r="I506" i="1" a="1"/>
  <c r="I506" i="1" s="1"/>
  <c r="H506" i="1" a="1"/>
  <c r="H506" i="1" s="1"/>
  <c r="F506" i="1" a="1"/>
  <c r="F506" i="1" s="1"/>
  <c r="G506" i="1" s="1"/>
  <c r="E506" i="1"/>
  <c r="N505" i="1" a="1"/>
  <c r="N505" i="1" s="1"/>
  <c r="M505" i="1" a="1"/>
  <c r="M505" i="1" s="1"/>
  <c r="L505" i="1" a="1"/>
  <c r="L505" i="1" s="1"/>
  <c r="K505" i="1" a="1"/>
  <c r="K505" i="1" s="1"/>
  <c r="J505" i="1"/>
  <c r="I505" i="1" a="1"/>
  <c r="I505" i="1" s="1"/>
  <c r="H505" i="1" a="1"/>
  <c r="H505" i="1" s="1"/>
  <c r="F505" i="1" a="1"/>
  <c r="F505" i="1" s="1"/>
  <c r="G505" i="1" s="1"/>
  <c r="E505" i="1"/>
  <c r="N504" i="1" a="1"/>
  <c r="N504" i="1" s="1"/>
  <c r="M504" i="1" a="1"/>
  <c r="M504" i="1" s="1"/>
  <c r="L504" i="1" a="1"/>
  <c r="L504" i="1" s="1"/>
  <c r="K504" i="1" a="1"/>
  <c r="K504" i="1" s="1"/>
  <c r="J504" i="1"/>
  <c r="I504" i="1" a="1"/>
  <c r="I504" i="1" s="1"/>
  <c r="H504" i="1" a="1"/>
  <c r="H504" i="1" s="1"/>
  <c r="F504" i="1" a="1"/>
  <c r="F504" i="1" s="1"/>
  <c r="G504" i="1" s="1"/>
  <c r="E504" i="1"/>
  <c r="N503" i="1" a="1"/>
  <c r="N503" i="1" s="1"/>
  <c r="M503" i="1" a="1"/>
  <c r="M503" i="1" s="1"/>
  <c r="L503" i="1" a="1"/>
  <c r="L503" i="1" s="1"/>
  <c r="K503" i="1" a="1"/>
  <c r="K503" i="1" s="1"/>
  <c r="J503" i="1"/>
  <c r="I503" i="1" a="1"/>
  <c r="I503" i="1" s="1"/>
  <c r="H503" i="1" a="1"/>
  <c r="H503" i="1" s="1"/>
  <c r="F503" i="1" a="1"/>
  <c r="F503" i="1" s="1"/>
  <c r="G503" i="1" s="1"/>
  <c r="E503" i="1"/>
  <c r="N502" i="1" a="1"/>
  <c r="N502" i="1" s="1"/>
  <c r="M502" i="1" a="1"/>
  <c r="M502" i="1" s="1"/>
  <c r="L502" i="1" a="1"/>
  <c r="L502" i="1" s="1"/>
  <c r="K502" i="1" a="1"/>
  <c r="K502" i="1" s="1"/>
  <c r="J502" i="1"/>
  <c r="I502" i="1" a="1"/>
  <c r="I502" i="1" s="1"/>
  <c r="H502" i="1" a="1"/>
  <c r="H502" i="1" s="1"/>
  <c r="F502" i="1" a="1"/>
  <c r="F502" i="1" s="1"/>
  <c r="G502" i="1" s="1"/>
  <c r="E502" i="1"/>
  <c r="J501" i="1"/>
  <c r="E501" i="1"/>
  <c r="N500" i="1" a="1"/>
  <c r="N500" i="1" s="1"/>
  <c r="M500" i="1" a="1"/>
  <c r="M500" i="1" s="1"/>
  <c r="L500" i="1" a="1"/>
  <c r="L500" i="1" s="1"/>
  <c r="K500" i="1" a="1"/>
  <c r="K500" i="1" s="1"/>
  <c r="J500" i="1"/>
  <c r="I500" i="1" a="1"/>
  <c r="I500" i="1" s="1"/>
  <c r="H500" i="1" a="1"/>
  <c r="H500" i="1" s="1"/>
  <c r="F500" i="1" a="1"/>
  <c r="F500" i="1" s="1"/>
  <c r="G500" i="1" s="1"/>
  <c r="E500" i="1"/>
  <c r="J499" i="1"/>
  <c r="E499" i="1"/>
  <c r="J498" i="1"/>
  <c r="E498" i="1"/>
  <c r="N497" i="1" a="1"/>
  <c r="N497" i="1" s="1"/>
  <c r="M497" i="1" a="1"/>
  <c r="M497" i="1" s="1"/>
  <c r="L497" i="1" a="1"/>
  <c r="L497" i="1" s="1"/>
  <c r="K497" i="1" a="1"/>
  <c r="K497" i="1" s="1"/>
  <c r="J497" i="1"/>
  <c r="I497" i="1" a="1"/>
  <c r="I497" i="1" s="1"/>
  <c r="H497" i="1" a="1"/>
  <c r="H497" i="1" s="1"/>
  <c r="F497" i="1" a="1"/>
  <c r="F497" i="1" s="1"/>
  <c r="G497" i="1" s="1"/>
  <c r="E497" i="1"/>
  <c r="N496" i="1" a="1"/>
  <c r="N496" i="1" s="1"/>
  <c r="M496" i="1" a="1"/>
  <c r="M496" i="1" s="1"/>
  <c r="L496" i="1" a="1"/>
  <c r="L496" i="1" s="1"/>
  <c r="K496" i="1" a="1"/>
  <c r="K496" i="1" s="1"/>
  <c r="J496" i="1"/>
  <c r="I496" i="1" a="1"/>
  <c r="I496" i="1" s="1"/>
  <c r="H496" i="1" a="1"/>
  <c r="H496" i="1" s="1"/>
  <c r="F496" i="1" a="1"/>
  <c r="F496" i="1" s="1"/>
  <c r="G496" i="1" s="1"/>
  <c r="E496" i="1"/>
  <c r="J495" i="1"/>
  <c r="E495" i="1"/>
  <c r="N494" i="1" a="1"/>
  <c r="N494" i="1" s="1"/>
  <c r="M494" i="1" a="1"/>
  <c r="M494" i="1" s="1"/>
  <c r="L494" i="1" a="1"/>
  <c r="L494" i="1" s="1"/>
  <c r="K494" i="1" a="1"/>
  <c r="K494" i="1" s="1"/>
  <c r="J494" i="1"/>
  <c r="I494" i="1" a="1"/>
  <c r="I494" i="1" s="1"/>
  <c r="H494" i="1" a="1"/>
  <c r="H494" i="1" s="1"/>
  <c r="F494" i="1" a="1"/>
  <c r="F494" i="1" s="1"/>
  <c r="G494" i="1" s="1"/>
  <c r="E494" i="1"/>
  <c r="N493" i="1" a="1"/>
  <c r="N493" i="1" s="1"/>
  <c r="M493" i="1" a="1"/>
  <c r="M493" i="1" s="1"/>
  <c r="L493" i="1" a="1"/>
  <c r="L493" i="1" s="1"/>
  <c r="K493" i="1" a="1"/>
  <c r="K493" i="1" s="1"/>
  <c r="J493" i="1"/>
  <c r="I493" i="1" a="1"/>
  <c r="I493" i="1" s="1"/>
  <c r="H493" i="1" a="1"/>
  <c r="H493" i="1" s="1"/>
  <c r="F493" i="1" a="1"/>
  <c r="F493" i="1" s="1"/>
  <c r="G493" i="1" s="1"/>
  <c r="E493" i="1"/>
  <c r="N492" i="1" a="1"/>
  <c r="N492" i="1" s="1"/>
  <c r="M492" i="1" a="1"/>
  <c r="M492" i="1" s="1"/>
  <c r="L492" i="1" a="1"/>
  <c r="L492" i="1" s="1"/>
  <c r="K492" i="1" a="1"/>
  <c r="K492" i="1" s="1"/>
  <c r="J492" i="1"/>
  <c r="I492" i="1" a="1"/>
  <c r="I492" i="1" s="1"/>
  <c r="H492" i="1" a="1"/>
  <c r="H492" i="1" s="1"/>
  <c r="F492" i="1" a="1"/>
  <c r="F492" i="1" s="1"/>
  <c r="G492" i="1" s="1"/>
  <c r="E492" i="1"/>
  <c r="J491" i="1"/>
  <c r="E491" i="1"/>
  <c r="N490" i="1" a="1"/>
  <c r="N490" i="1" s="1"/>
  <c r="M490" i="1" a="1"/>
  <c r="M490" i="1" s="1"/>
  <c r="L490" i="1" a="1"/>
  <c r="L490" i="1" s="1"/>
  <c r="K490" i="1" a="1"/>
  <c r="K490" i="1" s="1"/>
  <c r="J490" i="1"/>
  <c r="I490" i="1" a="1"/>
  <c r="I490" i="1" s="1"/>
  <c r="H490" i="1" a="1"/>
  <c r="H490" i="1" s="1"/>
  <c r="F490" i="1" a="1"/>
  <c r="F490" i="1" s="1"/>
  <c r="G490" i="1" s="1"/>
  <c r="E490" i="1"/>
  <c r="J489" i="1"/>
  <c r="E489" i="1"/>
  <c r="N488" i="1" a="1"/>
  <c r="N488" i="1" s="1"/>
  <c r="M488" i="1" a="1"/>
  <c r="M488" i="1" s="1"/>
  <c r="L488" i="1" a="1"/>
  <c r="L488" i="1" s="1"/>
  <c r="K488" i="1" a="1"/>
  <c r="K488" i="1" s="1"/>
  <c r="J488" i="1"/>
  <c r="I488" i="1" a="1"/>
  <c r="I488" i="1" s="1"/>
  <c r="H488" i="1" a="1"/>
  <c r="H488" i="1" s="1"/>
  <c r="F488" i="1" a="1"/>
  <c r="F488" i="1" s="1"/>
  <c r="G488" i="1" s="1"/>
  <c r="E488" i="1"/>
  <c r="J487" i="1"/>
  <c r="E487" i="1"/>
  <c r="N486" i="1" a="1"/>
  <c r="N486" i="1" s="1"/>
  <c r="M486" i="1" a="1"/>
  <c r="M486" i="1" s="1"/>
  <c r="L486" i="1" a="1"/>
  <c r="L486" i="1" s="1"/>
  <c r="K486" i="1" a="1"/>
  <c r="K486" i="1" s="1"/>
  <c r="J486" i="1"/>
  <c r="I486" i="1" a="1"/>
  <c r="I486" i="1" s="1"/>
  <c r="H486" i="1" a="1"/>
  <c r="H486" i="1" s="1"/>
  <c r="F486" i="1" a="1"/>
  <c r="F486" i="1" s="1"/>
  <c r="G486" i="1" s="1"/>
  <c r="E486" i="1"/>
  <c r="N485" i="1" a="1"/>
  <c r="N485" i="1" s="1"/>
  <c r="M485" i="1" a="1"/>
  <c r="M485" i="1" s="1"/>
  <c r="L485" i="1" a="1"/>
  <c r="L485" i="1" s="1"/>
  <c r="K485" i="1" a="1"/>
  <c r="K485" i="1" s="1"/>
  <c r="J485" i="1"/>
  <c r="I485" i="1" a="1"/>
  <c r="I485" i="1" s="1"/>
  <c r="H485" i="1" a="1"/>
  <c r="H485" i="1" s="1"/>
  <c r="F485" i="1" a="1"/>
  <c r="F485" i="1" s="1"/>
  <c r="G485" i="1" s="1"/>
  <c r="E485" i="1"/>
  <c r="N484" i="1" a="1"/>
  <c r="N484" i="1" s="1"/>
  <c r="M484" i="1" a="1"/>
  <c r="M484" i="1" s="1"/>
  <c r="L484" i="1" a="1"/>
  <c r="L484" i="1" s="1"/>
  <c r="K484" i="1" a="1"/>
  <c r="K484" i="1" s="1"/>
  <c r="J484" i="1"/>
  <c r="I484" i="1" a="1"/>
  <c r="I484" i="1" s="1"/>
  <c r="H484" i="1" a="1"/>
  <c r="H484" i="1" s="1"/>
  <c r="F484" i="1" a="1"/>
  <c r="F484" i="1" s="1"/>
  <c r="G484" i="1" s="1"/>
  <c r="E484" i="1"/>
  <c r="J483" i="1"/>
  <c r="E483" i="1"/>
  <c r="J482" i="1"/>
  <c r="E482" i="1"/>
  <c r="F482" i="1" s="1" a="1"/>
  <c r="F482" i="1" s="1"/>
  <c r="I482" i="1" s="1" a="1"/>
  <c r="I482" i="1" s="1"/>
  <c r="J481" i="1"/>
  <c r="E481" i="1"/>
  <c r="F481" i="1" s="1" a="1"/>
  <c r="F481" i="1" s="1"/>
  <c r="J480" i="1"/>
  <c r="E480" i="1"/>
  <c r="F480" i="1" s="1" a="1"/>
  <c r="F480" i="1" s="1"/>
  <c r="J479" i="1"/>
  <c r="E479" i="1"/>
  <c r="N478" i="1" a="1"/>
  <c r="N478" i="1" s="1"/>
  <c r="M478" i="1" a="1"/>
  <c r="M478" i="1" s="1"/>
  <c r="L478" i="1" a="1"/>
  <c r="L478" i="1" s="1"/>
  <c r="K478" i="1" a="1"/>
  <c r="K478" i="1" s="1"/>
  <c r="J478" i="1"/>
  <c r="I478" i="1" a="1"/>
  <c r="I478" i="1" s="1"/>
  <c r="H478" i="1" a="1"/>
  <c r="H478" i="1" s="1"/>
  <c r="F478" i="1" a="1"/>
  <c r="F478" i="1" s="1"/>
  <c r="G478" i="1" s="1"/>
  <c r="E478" i="1"/>
  <c r="N477" i="1" a="1"/>
  <c r="N477" i="1" s="1"/>
  <c r="M477" i="1" a="1"/>
  <c r="M477" i="1" s="1"/>
  <c r="L477" i="1" a="1"/>
  <c r="L477" i="1" s="1"/>
  <c r="K477" i="1" a="1"/>
  <c r="K477" i="1" s="1"/>
  <c r="J477" i="1"/>
  <c r="I477" i="1" a="1"/>
  <c r="I477" i="1" s="1"/>
  <c r="H477" i="1" a="1"/>
  <c r="H477" i="1" s="1"/>
  <c r="F477" i="1" a="1"/>
  <c r="F477" i="1" s="1"/>
  <c r="G477" i="1" s="1"/>
  <c r="E477" i="1"/>
  <c r="N476" i="1" a="1"/>
  <c r="N476" i="1" s="1"/>
  <c r="M476" i="1" a="1"/>
  <c r="M476" i="1" s="1"/>
  <c r="L476" i="1" a="1"/>
  <c r="L476" i="1" s="1"/>
  <c r="K476" i="1" a="1"/>
  <c r="K476" i="1" s="1"/>
  <c r="J476" i="1"/>
  <c r="I476" i="1" a="1"/>
  <c r="I476" i="1" s="1"/>
  <c r="H476" i="1" a="1"/>
  <c r="H476" i="1" s="1"/>
  <c r="F476" i="1" a="1"/>
  <c r="F476" i="1" s="1"/>
  <c r="G476" i="1" s="1"/>
  <c r="E476" i="1"/>
  <c r="J475" i="1"/>
  <c r="E475" i="1"/>
  <c r="I474" i="1" a="1"/>
  <c r="I474" i="1" s="1"/>
  <c r="H474" i="1" a="1"/>
  <c r="H474" i="1" s="1"/>
  <c r="F474" i="1" a="1"/>
  <c r="F474" i="1" s="1"/>
  <c r="G474" i="1" s="1"/>
  <c r="E474" i="1"/>
  <c r="E473" i="1"/>
  <c r="E472" i="1"/>
  <c r="I471" i="1" a="1"/>
  <c r="I471" i="1" s="1"/>
  <c r="H471" i="1" a="1"/>
  <c r="H471" i="1" s="1"/>
  <c r="F471" i="1" a="1"/>
  <c r="F471" i="1" s="1"/>
  <c r="G471" i="1" s="1"/>
  <c r="E471" i="1"/>
  <c r="I470" i="1" a="1"/>
  <c r="I470" i="1" s="1"/>
  <c r="H470" i="1" a="1"/>
  <c r="H470" i="1" s="1"/>
  <c r="F470" i="1" a="1"/>
  <c r="F470" i="1" s="1"/>
  <c r="G470" i="1" s="1"/>
  <c r="E470" i="1"/>
  <c r="E469" i="1"/>
  <c r="I468" i="1" a="1"/>
  <c r="I468" i="1" s="1"/>
  <c r="H468" i="1" a="1"/>
  <c r="H468" i="1" s="1"/>
  <c r="F468" i="1" a="1"/>
  <c r="F468" i="1" s="1"/>
  <c r="G468" i="1" s="1"/>
  <c r="E468" i="1"/>
  <c r="I467" i="1" a="1"/>
  <c r="I467" i="1" s="1"/>
  <c r="H467" i="1" a="1"/>
  <c r="H467" i="1" s="1"/>
  <c r="F467" i="1" a="1"/>
  <c r="F467" i="1" s="1"/>
  <c r="G467" i="1" s="1"/>
  <c r="E467" i="1"/>
  <c r="E466" i="1"/>
  <c r="E465" i="1"/>
  <c r="I464" i="1" a="1"/>
  <c r="I464" i="1" s="1"/>
  <c r="H464" i="1" a="1"/>
  <c r="H464" i="1" s="1"/>
  <c r="F464" i="1" a="1"/>
  <c r="F464" i="1" s="1"/>
  <c r="G464" i="1" s="1"/>
  <c r="E464" i="1"/>
  <c r="I463" i="1" a="1"/>
  <c r="I463" i="1" s="1"/>
  <c r="H463" i="1" a="1"/>
  <c r="H463" i="1" s="1"/>
  <c r="F463" i="1" a="1"/>
  <c r="F463" i="1" s="1"/>
  <c r="G463" i="1" s="1"/>
  <c r="E463" i="1"/>
  <c r="E462" i="1"/>
  <c r="I461" i="1" a="1"/>
  <c r="I461" i="1" s="1"/>
  <c r="H461" i="1" a="1"/>
  <c r="H461" i="1" s="1"/>
  <c r="F461" i="1" a="1"/>
  <c r="F461" i="1" s="1"/>
  <c r="G461" i="1" s="1"/>
  <c r="E461" i="1"/>
  <c r="I460" i="1" a="1"/>
  <c r="I460" i="1" s="1"/>
  <c r="H460" i="1" a="1"/>
  <c r="H460" i="1" s="1"/>
  <c r="F460" i="1" a="1"/>
  <c r="F460" i="1" s="1"/>
  <c r="G460" i="1" s="1"/>
  <c r="E460" i="1"/>
  <c r="I459" i="1" a="1"/>
  <c r="I459" i="1" s="1"/>
  <c r="H459" i="1" a="1"/>
  <c r="H459" i="1" s="1"/>
  <c r="F459" i="1" a="1"/>
  <c r="F459" i="1" s="1"/>
  <c r="G459" i="1" s="1"/>
  <c r="E459" i="1"/>
  <c r="E458" i="1"/>
  <c r="I457" i="1" a="1"/>
  <c r="I457" i="1" s="1"/>
  <c r="H457" i="1" a="1"/>
  <c r="H457" i="1" s="1"/>
  <c r="F457" i="1" a="1"/>
  <c r="F457" i="1" s="1"/>
  <c r="G457" i="1" s="1"/>
  <c r="E457" i="1"/>
  <c r="I456" i="1" a="1"/>
  <c r="I456" i="1" s="1"/>
  <c r="H456" i="1" a="1"/>
  <c r="H456" i="1" s="1"/>
  <c r="F456" i="1" a="1"/>
  <c r="F456" i="1" s="1"/>
  <c r="G456" i="1" s="1"/>
  <c r="E456" i="1"/>
  <c r="I455" i="1" a="1"/>
  <c r="I455" i="1" s="1"/>
  <c r="H455" i="1" a="1"/>
  <c r="H455" i="1" s="1"/>
  <c r="F455" i="1" a="1"/>
  <c r="F455" i="1" s="1"/>
  <c r="G455" i="1" s="1"/>
  <c r="E455" i="1"/>
  <c r="I454" i="1" a="1"/>
  <c r="I454" i="1" s="1"/>
  <c r="H454" i="1" a="1"/>
  <c r="H454" i="1" s="1"/>
  <c r="F454" i="1" a="1"/>
  <c r="F454" i="1" s="1"/>
  <c r="G454" i="1" s="1"/>
  <c r="E454" i="1"/>
  <c r="E453" i="1"/>
  <c r="I452" i="1" a="1"/>
  <c r="I452" i="1" s="1"/>
  <c r="H452" i="1" a="1"/>
  <c r="H452" i="1" s="1"/>
  <c r="F452" i="1" a="1"/>
  <c r="F452" i="1" s="1"/>
  <c r="G452" i="1" s="1"/>
  <c r="E452" i="1"/>
  <c r="I451" i="1" a="1"/>
  <c r="I451" i="1" s="1"/>
  <c r="H451" i="1" a="1"/>
  <c r="H451" i="1" s="1"/>
  <c r="F451" i="1" a="1"/>
  <c r="F451" i="1" s="1"/>
  <c r="G451" i="1" s="1"/>
  <c r="E451" i="1"/>
  <c r="I450" i="1" a="1"/>
  <c r="I450" i="1" s="1"/>
  <c r="H450" i="1" a="1"/>
  <c r="H450" i="1" s="1"/>
  <c r="F450" i="1" a="1"/>
  <c r="F450" i="1" s="1"/>
  <c r="G450" i="1" s="1"/>
  <c r="E450" i="1"/>
  <c r="E449" i="1"/>
  <c r="I448" i="1" a="1"/>
  <c r="I448" i="1" s="1"/>
  <c r="H448" i="1" a="1"/>
  <c r="H448" i="1" s="1"/>
  <c r="F448" i="1" a="1"/>
  <c r="F448" i="1" s="1"/>
  <c r="G448" i="1" s="1"/>
  <c r="E448" i="1"/>
  <c r="E447" i="1"/>
  <c r="E446" i="1"/>
  <c r="F446" i="1" s="1" a="1"/>
  <c r="F446" i="1" s="1"/>
  <c r="I445" i="1" a="1"/>
  <c r="I445" i="1" s="1"/>
  <c r="H445" i="1" a="1"/>
  <c r="H445" i="1" s="1"/>
  <c r="F445" i="1" a="1"/>
  <c r="F445" i="1" s="1"/>
  <c r="G445" i="1" s="1"/>
  <c r="E445" i="1"/>
  <c r="E444" i="1"/>
  <c r="E443" i="1"/>
  <c r="F443" i="1" s="1" a="1"/>
  <c r="F443" i="1" s="1"/>
  <c r="E442" i="1"/>
  <c r="F442" i="1" s="1" a="1"/>
  <c r="F442" i="1" s="1"/>
  <c r="E441" i="1"/>
  <c r="F441" i="1" s="1" a="1"/>
  <c r="F441" i="1" s="1"/>
  <c r="I441" i="1" s="1" a="1"/>
  <c r="I441" i="1" s="1"/>
  <c r="I440" i="1" a="1"/>
  <c r="I440" i="1" s="1"/>
  <c r="H440" i="1" a="1"/>
  <c r="H440" i="1" s="1"/>
  <c r="F440" i="1" a="1"/>
  <c r="F440" i="1" s="1"/>
  <c r="G440" i="1" s="1"/>
  <c r="E440" i="1"/>
  <c r="E439" i="1"/>
  <c r="I438" i="1" a="1"/>
  <c r="I438" i="1" s="1"/>
  <c r="H438" i="1" a="1"/>
  <c r="H438" i="1" s="1"/>
  <c r="F438" i="1" a="1"/>
  <c r="F438" i="1" s="1"/>
  <c r="G438" i="1" s="1"/>
  <c r="E438" i="1"/>
  <c r="E437" i="1"/>
  <c r="I436" i="1" a="1"/>
  <c r="I436" i="1" s="1"/>
  <c r="H436" i="1" a="1"/>
  <c r="H436" i="1" s="1"/>
  <c r="F436" i="1" a="1"/>
  <c r="F436" i="1" s="1"/>
  <c r="G436" i="1" s="1"/>
  <c r="E436" i="1"/>
  <c r="I435" i="1" a="1"/>
  <c r="I435" i="1" s="1"/>
  <c r="H435" i="1" a="1"/>
  <c r="H435" i="1" s="1"/>
  <c r="F435" i="1" a="1"/>
  <c r="F435" i="1" s="1"/>
  <c r="G435" i="1" s="1"/>
  <c r="E435" i="1"/>
  <c r="E434" i="1"/>
  <c r="E433" i="1"/>
  <c r="I432" i="1" a="1"/>
  <c r="I432" i="1" s="1"/>
  <c r="H432" i="1" a="1"/>
  <c r="H432" i="1" s="1"/>
  <c r="F432" i="1" a="1"/>
  <c r="F432" i="1" s="1"/>
  <c r="G432" i="1" s="1"/>
  <c r="E432" i="1"/>
  <c r="I431" i="1" a="1"/>
  <c r="I431" i="1" s="1"/>
  <c r="H431" i="1" a="1"/>
  <c r="H431" i="1" s="1"/>
  <c r="F431" i="1" a="1"/>
  <c r="F431" i="1" s="1"/>
  <c r="G431" i="1" s="1"/>
  <c r="E431" i="1"/>
  <c r="I430" i="1" a="1"/>
  <c r="I430" i="1" s="1"/>
  <c r="H430" i="1" a="1"/>
  <c r="H430" i="1" s="1"/>
  <c r="F430" i="1" a="1"/>
  <c r="F430" i="1" s="1"/>
  <c r="G430" i="1" s="1"/>
  <c r="E430" i="1"/>
  <c r="E429" i="1"/>
  <c r="I428" i="1" a="1"/>
  <c r="I428" i="1" s="1"/>
  <c r="H428" i="1" a="1"/>
  <c r="H428" i="1" s="1"/>
  <c r="F428" i="1" a="1"/>
  <c r="F428" i="1" s="1"/>
  <c r="G428" i="1" s="1"/>
  <c r="I427" i="1" a="1"/>
  <c r="I427" i="1" s="1"/>
  <c r="H427" i="1" a="1"/>
  <c r="H427" i="1" s="1"/>
  <c r="F427" i="1" a="1"/>
  <c r="F427" i="1" s="1"/>
  <c r="G427" i="1" s="1"/>
  <c r="E427" i="1"/>
  <c r="E426" i="1"/>
  <c r="I425" i="1" a="1"/>
  <c r="I425" i="1" s="1"/>
  <c r="H425" i="1" a="1"/>
  <c r="H425" i="1" s="1"/>
  <c r="F425" i="1" a="1"/>
  <c r="F425" i="1" s="1"/>
  <c r="G425" i="1" s="1"/>
  <c r="E425" i="1"/>
  <c r="I424" i="1" a="1"/>
  <c r="I424" i="1" s="1"/>
  <c r="H424" i="1" a="1"/>
  <c r="H424" i="1" s="1"/>
  <c r="F424" i="1" a="1"/>
  <c r="F424" i="1" s="1"/>
  <c r="G424" i="1" s="1"/>
  <c r="E424" i="1"/>
  <c r="E423" i="1"/>
  <c r="E422" i="1"/>
  <c r="F422" i="1" s="1" a="1"/>
  <c r="F422" i="1" s="1"/>
  <c r="I421" i="1" a="1"/>
  <c r="I421" i="1" s="1"/>
  <c r="H421" i="1" a="1"/>
  <c r="H421" i="1" s="1"/>
  <c r="F421" i="1" a="1"/>
  <c r="F421" i="1" s="1"/>
  <c r="G421" i="1" s="1"/>
  <c r="E421" i="1"/>
  <c r="E420" i="1"/>
  <c r="I419" i="1" a="1"/>
  <c r="I419" i="1" s="1"/>
  <c r="H419" i="1" a="1"/>
  <c r="H419" i="1" s="1"/>
  <c r="F419" i="1" a="1"/>
  <c r="F419" i="1" s="1"/>
  <c r="G419" i="1" s="1"/>
  <c r="E419" i="1"/>
  <c r="I418" i="1" a="1"/>
  <c r="I418" i="1" s="1"/>
  <c r="H418" i="1" a="1"/>
  <c r="H418" i="1" s="1"/>
  <c r="F418" i="1" a="1"/>
  <c r="F418" i="1" s="1"/>
  <c r="G418" i="1" s="1"/>
  <c r="E418" i="1"/>
  <c r="I417" i="1" a="1"/>
  <c r="I417" i="1" s="1"/>
  <c r="H417" i="1" a="1"/>
  <c r="H417" i="1" s="1"/>
  <c r="F417" i="1" a="1"/>
  <c r="F417" i="1" s="1"/>
  <c r="G417" i="1" s="1"/>
  <c r="E417" i="1"/>
  <c r="I416" i="1" a="1"/>
  <c r="I416" i="1" s="1"/>
  <c r="H416" i="1" a="1"/>
  <c r="H416" i="1" s="1"/>
  <c r="F416" i="1" a="1"/>
  <c r="F416" i="1" s="1"/>
  <c r="G416" i="1" s="1"/>
  <c r="E416" i="1"/>
  <c r="I415" i="1" a="1"/>
  <c r="I415" i="1" s="1"/>
  <c r="H415" i="1" a="1"/>
  <c r="H415" i="1" s="1"/>
  <c r="F415" i="1" a="1"/>
  <c r="F415" i="1" s="1"/>
  <c r="G415" i="1" s="1"/>
  <c r="E415" i="1"/>
  <c r="E414" i="1"/>
  <c r="I413" i="1" a="1"/>
  <c r="I413" i="1" s="1"/>
  <c r="H413" i="1" a="1"/>
  <c r="H413" i="1" s="1"/>
  <c r="F413" i="1" a="1"/>
  <c r="F413" i="1" s="1"/>
  <c r="G413" i="1" s="1"/>
  <c r="E413" i="1"/>
  <c r="I412" i="1" a="1"/>
  <c r="I412" i="1" s="1"/>
  <c r="H412" i="1" a="1"/>
  <c r="H412" i="1" s="1"/>
  <c r="F412" i="1" a="1"/>
  <c r="F412" i="1" s="1"/>
  <c r="G412" i="1" s="1"/>
  <c r="E412" i="1"/>
  <c r="I411" i="1" a="1"/>
  <c r="I411" i="1" s="1"/>
  <c r="H411" i="1" a="1"/>
  <c r="H411" i="1" s="1"/>
  <c r="F411" i="1" a="1"/>
  <c r="F411" i="1" s="1"/>
  <c r="G411" i="1" s="1"/>
  <c r="E411" i="1"/>
  <c r="I410" i="1" a="1"/>
  <c r="I410" i="1" s="1"/>
  <c r="H410" i="1" a="1"/>
  <c r="H410" i="1" s="1"/>
  <c r="F410" i="1" a="1"/>
  <c r="F410" i="1" s="1"/>
  <c r="G410" i="1" s="1"/>
  <c r="E410" i="1"/>
  <c r="I409" i="1" a="1"/>
  <c r="I409" i="1" s="1"/>
  <c r="H409" i="1" a="1"/>
  <c r="H409" i="1" s="1"/>
  <c r="F409" i="1" a="1"/>
  <c r="F409" i="1" s="1"/>
  <c r="G409" i="1" s="1"/>
  <c r="E409" i="1"/>
  <c r="I408" i="1" a="1"/>
  <c r="I408" i="1" s="1"/>
  <c r="H408" i="1" a="1"/>
  <c r="H408" i="1" s="1"/>
  <c r="F408" i="1" a="1"/>
  <c r="F408" i="1" s="1"/>
  <c r="G408" i="1" s="1"/>
  <c r="E408" i="1"/>
  <c r="I407" i="1" a="1"/>
  <c r="I407" i="1" s="1"/>
  <c r="H407" i="1" a="1"/>
  <c r="H407" i="1" s="1"/>
  <c r="F407" i="1" a="1"/>
  <c r="F407" i="1" s="1"/>
  <c r="G407" i="1" s="1"/>
  <c r="E407" i="1"/>
  <c r="E406" i="1"/>
  <c r="E405" i="1"/>
  <c r="F405" i="1" s="1" a="1"/>
  <c r="F405" i="1" s="1"/>
  <c r="I404" i="1" a="1"/>
  <c r="I404" i="1" s="1"/>
  <c r="H404" i="1" a="1"/>
  <c r="H404" i="1" s="1"/>
  <c r="F404" i="1" a="1"/>
  <c r="F404" i="1" s="1"/>
  <c r="G404" i="1" s="1"/>
  <c r="E404" i="1"/>
  <c r="E403" i="1"/>
  <c r="I402" i="1" a="1"/>
  <c r="I402" i="1" s="1"/>
  <c r="H402" i="1" a="1"/>
  <c r="H402" i="1" s="1"/>
  <c r="F402" i="1" a="1"/>
  <c r="F402" i="1" s="1"/>
  <c r="G402" i="1" s="1"/>
  <c r="E402" i="1"/>
  <c r="E401" i="1"/>
  <c r="E400" i="1"/>
  <c r="E399" i="1"/>
  <c r="F399" i="1" s="1" a="1"/>
  <c r="F399" i="1" s="1"/>
  <c r="E398" i="1"/>
  <c r="F398" i="1" s="1" a="1"/>
  <c r="F398" i="1" s="1"/>
  <c r="E397" i="1"/>
  <c r="F397" i="1" s="1" a="1"/>
  <c r="F397" i="1" s="1"/>
  <c r="E396" i="1"/>
  <c r="I395" i="1" a="1"/>
  <c r="I395" i="1" s="1"/>
  <c r="H395" i="1" a="1"/>
  <c r="H395" i="1" s="1"/>
  <c r="F395" i="1" a="1"/>
  <c r="F395" i="1" s="1"/>
  <c r="G395" i="1" s="1"/>
  <c r="E395" i="1"/>
  <c r="I394" i="1" a="1"/>
  <c r="I394" i="1" s="1"/>
  <c r="H394" i="1" a="1"/>
  <c r="H394" i="1" s="1"/>
  <c r="F394" i="1" a="1"/>
  <c r="F394" i="1" s="1"/>
  <c r="G394" i="1" s="1"/>
  <c r="E394" i="1"/>
  <c r="I393" i="1" a="1"/>
  <c r="I393" i="1" s="1"/>
  <c r="H393" i="1" a="1"/>
  <c r="H393" i="1" s="1"/>
  <c r="F393" i="1" a="1"/>
  <c r="F393" i="1" s="1"/>
  <c r="G393" i="1" s="1"/>
  <c r="E393" i="1"/>
  <c r="I392" i="1" a="1"/>
  <c r="I392" i="1" s="1"/>
  <c r="H392" i="1" a="1"/>
  <c r="H392" i="1" s="1"/>
  <c r="F392" i="1" a="1"/>
  <c r="F392" i="1" s="1"/>
  <c r="G392" i="1" s="1"/>
  <c r="E392" i="1"/>
  <c r="E391" i="1"/>
  <c r="I390" i="1" a="1"/>
  <c r="I390" i="1" s="1"/>
  <c r="H390" i="1" a="1"/>
  <c r="H390" i="1" s="1"/>
  <c r="F390" i="1" a="1"/>
  <c r="F390" i="1" s="1"/>
  <c r="G390" i="1" s="1"/>
  <c r="E390" i="1"/>
  <c r="I389" i="1" a="1"/>
  <c r="I389" i="1" s="1"/>
  <c r="H389" i="1" a="1"/>
  <c r="H389" i="1" s="1"/>
  <c r="F389" i="1" a="1"/>
  <c r="F389" i="1" s="1"/>
  <c r="G389" i="1" s="1"/>
  <c r="E389" i="1"/>
  <c r="I388" i="1" a="1"/>
  <c r="I388" i="1" s="1"/>
  <c r="H388" i="1" a="1"/>
  <c r="H388" i="1" s="1"/>
  <c r="F388" i="1" a="1"/>
  <c r="F388" i="1" s="1"/>
  <c r="G388" i="1" s="1"/>
  <c r="E388" i="1"/>
  <c r="I387" i="1" a="1"/>
  <c r="I387" i="1" s="1"/>
  <c r="H387" i="1" a="1"/>
  <c r="H387" i="1" s="1"/>
  <c r="F387" i="1" a="1"/>
  <c r="F387" i="1" s="1"/>
  <c r="G387" i="1" s="1"/>
  <c r="E387" i="1"/>
  <c r="I386" i="1" a="1"/>
  <c r="I386" i="1" s="1"/>
  <c r="H386" i="1" a="1"/>
  <c r="H386" i="1" s="1"/>
  <c r="F386" i="1" a="1"/>
  <c r="F386" i="1" s="1"/>
  <c r="G386" i="1" s="1"/>
  <c r="E386" i="1"/>
  <c r="I385" i="1" a="1"/>
  <c r="I385" i="1" s="1"/>
  <c r="H385" i="1" a="1"/>
  <c r="H385" i="1" s="1"/>
  <c r="F385" i="1" a="1"/>
  <c r="F385" i="1" s="1"/>
  <c r="G385" i="1" s="1"/>
  <c r="E385" i="1"/>
  <c r="I384" i="1" a="1"/>
  <c r="I384" i="1" s="1"/>
  <c r="H384" i="1" a="1"/>
  <c r="H384" i="1" s="1"/>
  <c r="F384" i="1" a="1"/>
  <c r="F384" i="1" s="1"/>
  <c r="G384" i="1" s="1"/>
  <c r="E384" i="1"/>
  <c r="I383" i="1" a="1"/>
  <c r="I383" i="1" s="1"/>
  <c r="H383" i="1" a="1"/>
  <c r="H383" i="1" s="1"/>
  <c r="F383" i="1" a="1"/>
  <c r="F383" i="1" s="1"/>
  <c r="G383" i="1" s="1"/>
  <c r="E383" i="1"/>
  <c r="I382" i="1" a="1"/>
  <c r="I382" i="1" s="1"/>
  <c r="H382" i="1" a="1"/>
  <c r="H382" i="1" s="1"/>
  <c r="F382" i="1" a="1"/>
  <c r="F382" i="1" s="1"/>
  <c r="G382" i="1" s="1"/>
  <c r="E382" i="1"/>
  <c r="I381" i="1" a="1"/>
  <c r="I381" i="1" s="1"/>
  <c r="H381" i="1" a="1"/>
  <c r="H381" i="1" s="1"/>
  <c r="F381" i="1" a="1"/>
  <c r="F381" i="1" s="1"/>
  <c r="G381" i="1" s="1"/>
  <c r="E381" i="1"/>
  <c r="I380" i="1" a="1"/>
  <c r="I380" i="1" s="1"/>
  <c r="H380" i="1" a="1"/>
  <c r="H380" i="1" s="1"/>
  <c r="F380" i="1" a="1"/>
  <c r="F380" i="1" s="1"/>
  <c r="G380" i="1" s="1"/>
  <c r="E380" i="1"/>
  <c r="I379" i="1" a="1"/>
  <c r="I379" i="1" s="1"/>
  <c r="H379" i="1" a="1"/>
  <c r="H379" i="1" s="1"/>
  <c r="F379" i="1" a="1"/>
  <c r="F379" i="1" s="1"/>
  <c r="G379" i="1" s="1"/>
  <c r="E379" i="1"/>
  <c r="E378" i="1"/>
  <c r="I377" i="1" a="1"/>
  <c r="I377" i="1" s="1"/>
  <c r="H377" i="1" a="1"/>
  <c r="H377" i="1" s="1"/>
  <c r="F377" i="1" a="1"/>
  <c r="F377" i="1" s="1"/>
  <c r="G377" i="1" s="1"/>
  <c r="E377" i="1"/>
  <c r="E376" i="1"/>
  <c r="I375" i="1" a="1"/>
  <c r="I375" i="1" s="1"/>
  <c r="H375" i="1" a="1"/>
  <c r="H375" i="1" s="1"/>
  <c r="F375" i="1" a="1"/>
  <c r="F375" i="1" s="1"/>
  <c r="G375" i="1" s="1"/>
  <c r="E375" i="1"/>
  <c r="E374" i="1"/>
  <c r="I373" i="1" a="1"/>
  <c r="I373" i="1" s="1"/>
  <c r="H373" i="1" a="1"/>
  <c r="H373" i="1" s="1"/>
  <c r="F373" i="1" a="1"/>
  <c r="F373" i="1" s="1"/>
  <c r="G373" i="1" s="1"/>
  <c r="E373" i="1"/>
  <c r="I372" i="1" a="1"/>
  <c r="I372" i="1" s="1"/>
  <c r="H372" i="1" a="1"/>
  <c r="H372" i="1" s="1"/>
  <c r="F372" i="1" a="1"/>
  <c r="F372" i="1" s="1"/>
  <c r="G372" i="1" s="1"/>
  <c r="E372" i="1"/>
  <c r="I371" i="1" a="1"/>
  <c r="I371" i="1" s="1"/>
  <c r="H371" i="1" a="1"/>
  <c r="H371" i="1" s="1"/>
  <c r="F371" i="1" a="1"/>
  <c r="F371" i="1" s="1"/>
  <c r="G371" i="1" s="1"/>
  <c r="E371" i="1"/>
  <c r="E370" i="1"/>
  <c r="E369" i="1"/>
  <c r="E368" i="1"/>
  <c r="F368" i="1" s="1" a="1"/>
  <c r="F368" i="1" s="1"/>
  <c r="I367" i="1" a="1"/>
  <c r="I367" i="1" s="1"/>
  <c r="H367" i="1" a="1"/>
  <c r="H367" i="1" s="1"/>
  <c r="F367" i="1" a="1"/>
  <c r="F367" i="1" s="1"/>
  <c r="G367" i="1" s="1"/>
  <c r="E367" i="1"/>
  <c r="I366" i="1" a="1"/>
  <c r="I366" i="1" s="1"/>
  <c r="H366" i="1" a="1"/>
  <c r="H366" i="1" s="1"/>
  <c r="F366" i="1" a="1"/>
  <c r="F366" i="1" s="1"/>
  <c r="G366" i="1" s="1"/>
  <c r="E366" i="1"/>
  <c r="I365" i="1" a="1"/>
  <c r="I365" i="1" s="1"/>
  <c r="H365" i="1" a="1"/>
  <c r="H365" i="1" s="1"/>
  <c r="F365" i="1" a="1"/>
  <c r="F365" i="1" s="1"/>
  <c r="G365" i="1" s="1"/>
  <c r="E365" i="1"/>
  <c r="I364" i="1" a="1"/>
  <c r="I364" i="1" s="1"/>
  <c r="H364" i="1" a="1"/>
  <c r="H364" i="1" s="1"/>
  <c r="F364" i="1" a="1"/>
  <c r="F364" i="1" s="1"/>
  <c r="G364" i="1" s="1"/>
  <c r="E364" i="1"/>
  <c r="I363" i="1" a="1"/>
  <c r="I363" i="1" s="1"/>
  <c r="H363" i="1" a="1"/>
  <c r="H363" i="1" s="1"/>
  <c r="F363" i="1" a="1"/>
  <c r="F363" i="1" s="1"/>
  <c r="G363" i="1" s="1"/>
  <c r="E363" i="1"/>
  <c r="E362" i="1"/>
  <c r="E361" i="1"/>
  <c r="F361" i="1" s="1" a="1"/>
  <c r="F361" i="1" s="1"/>
  <c r="I361" i="1" s="1" a="1"/>
  <c r="I361" i="1" s="1"/>
  <c r="I360" i="1" a="1"/>
  <c r="I360" i="1" s="1"/>
  <c r="H360" i="1" a="1"/>
  <c r="H360" i="1" s="1"/>
  <c r="F360" i="1" a="1"/>
  <c r="F360" i="1" s="1"/>
  <c r="G360" i="1" s="1"/>
  <c r="E360" i="1"/>
  <c r="E359" i="1"/>
  <c r="I358" i="1" a="1"/>
  <c r="I358" i="1" s="1"/>
  <c r="H358" i="1" a="1"/>
  <c r="H358" i="1" s="1"/>
  <c r="F358" i="1" a="1"/>
  <c r="F358" i="1" s="1"/>
  <c r="G358" i="1" s="1"/>
  <c r="E358" i="1"/>
  <c r="I357" i="1" a="1"/>
  <c r="I357" i="1" s="1"/>
  <c r="H357" i="1" a="1"/>
  <c r="H357" i="1" s="1"/>
  <c r="F357" i="1" a="1"/>
  <c r="F357" i="1" s="1"/>
  <c r="G357" i="1" s="1"/>
  <c r="E357" i="1"/>
  <c r="E356" i="1"/>
  <c r="E355" i="1"/>
  <c r="F355" i="1" s="1" a="1"/>
  <c r="F355" i="1" s="1"/>
  <c r="I354" i="1" a="1"/>
  <c r="I354" i="1" s="1"/>
  <c r="H354" i="1" a="1"/>
  <c r="H354" i="1" s="1"/>
  <c r="F354" i="1" a="1"/>
  <c r="F354" i="1" s="1"/>
  <c r="G354" i="1" s="1"/>
  <c r="E354" i="1"/>
  <c r="I353" i="1" a="1"/>
  <c r="I353" i="1" s="1"/>
  <c r="H353" i="1" a="1"/>
  <c r="H353" i="1" s="1"/>
  <c r="F353" i="1" a="1"/>
  <c r="F353" i="1" s="1"/>
  <c r="G353" i="1" s="1"/>
  <c r="E353" i="1"/>
  <c r="I352" i="1" a="1"/>
  <c r="I352" i="1" s="1"/>
  <c r="H352" i="1" a="1"/>
  <c r="H352" i="1" s="1"/>
  <c r="F352" i="1" a="1"/>
  <c r="F352" i="1" s="1"/>
  <c r="G352" i="1" s="1"/>
  <c r="E352" i="1"/>
  <c r="I351" i="1" a="1"/>
  <c r="I351" i="1" s="1"/>
  <c r="H351" i="1" a="1"/>
  <c r="H351" i="1" s="1"/>
  <c r="F351" i="1" a="1"/>
  <c r="F351" i="1" s="1"/>
  <c r="G351" i="1" s="1"/>
  <c r="E351" i="1"/>
  <c r="I350" i="1" a="1"/>
  <c r="I350" i="1" s="1"/>
  <c r="H350" i="1" a="1"/>
  <c r="H350" i="1" s="1"/>
  <c r="F350" i="1" a="1"/>
  <c r="F350" i="1" s="1"/>
  <c r="G350" i="1" s="1"/>
  <c r="E350" i="1"/>
  <c r="E349" i="1"/>
  <c r="I348" i="1" a="1"/>
  <c r="I348" i="1" s="1"/>
  <c r="H348" i="1" a="1"/>
  <c r="H348" i="1" s="1"/>
  <c r="F348" i="1" a="1"/>
  <c r="F348" i="1" s="1"/>
  <c r="G348" i="1" s="1"/>
  <c r="E348" i="1"/>
  <c r="I347" i="1" a="1"/>
  <c r="I347" i="1" s="1"/>
  <c r="H347" i="1" a="1"/>
  <c r="H347" i="1" s="1"/>
  <c r="F347" i="1" a="1"/>
  <c r="F347" i="1" s="1"/>
  <c r="G347" i="1" s="1"/>
  <c r="E347" i="1"/>
  <c r="I346" i="1" a="1"/>
  <c r="I346" i="1" s="1"/>
  <c r="H346" i="1" a="1"/>
  <c r="H346" i="1" s="1"/>
  <c r="F346" i="1" a="1"/>
  <c r="F346" i="1" s="1"/>
  <c r="G346" i="1" s="1"/>
  <c r="E346" i="1"/>
  <c r="I345" i="1" a="1"/>
  <c r="I345" i="1" s="1"/>
  <c r="H345" i="1" a="1"/>
  <c r="H345" i="1" s="1"/>
  <c r="F345" i="1" a="1"/>
  <c r="F345" i="1" s="1"/>
  <c r="G345" i="1" s="1"/>
  <c r="E345" i="1"/>
  <c r="I344" i="1" a="1"/>
  <c r="I344" i="1" s="1"/>
  <c r="H344" i="1" a="1"/>
  <c r="H344" i="1" s="1"/>
  <c r="F344" i="1" a="1"/>
  <c r="F344" i="1" s="1"/>
  <c r="G344" i="1" s="1"/>
  <c r="E344" i="1"/>
  <c r="I343" i="1" a="1"/>
  <c r="I343" i="1" s="1"/>
  <c r="H343" i="1" a="1"/>
  <c r="H343" i="1" s="1"/>
  <c r="F343" i="1" a="1"/>
  <c r="F343" i="1" s="1"/>
  <c r="G343" i="1" s="1"/>
  <c r="E343" i="1"/>
  <c r="I342" i="1" a="1"/>
  <c r="I342" i="1" s="1"/>
  <c r="H342" i="1" a="1"/>
  <c r="H342" i="1" s="1"/>
  <c r="F342" i="1" a="1"/>
  <c r="F342" i="1" s="1"/>
  <c r="G342" i="1" s="1"/>
  <c r="E342" i="1"/>
  <c r="E341" i="1"/>
  <c r="I340" i="1" a="1"/>
  <c r="I340" i="1" s="1"/>
  <c r="H340" i="1" a="1"/>
  <c r="H340" i="1" s="1"/>
  <c r="F340" i="1" a="1"/>
  <c r="F340" i="1" s="1"/>
  <c r="G340" i="1" s="1"/>
  <c r="E340" i="1"/>
  <c r="I339" i="1" a="1"/>
  <c r="I339" i="1" s="1"/>
  <c r="H339" i="1" a="1"/>
  <c r="H339" i="1" s="1"/>
  <c r="F339" i="1" a="1"/>
  <c r="F339" i="1" s="1"/>
  <c r="G339" i="1" s="1"/>
  <c r="E339" i="1"/>
  <c r="E338" i="1"/>
  <c r="E337" i="1"/>
  <c r="F337" i="1" s="1" a="1"/>
  <c r="F337" i="1" s="1"/>
  <c r="I337" i="1" s="1" a="1"/>
  <c r="I337" i="1" s="1"/>
  <c r="I336" i="1" a="1"/>
  <c r="I336" i="1" s="1"/>
  <c r="H336" i="1" a="1"/>
  <c r="H336" i="1" s="1"/>
  <c r="F336" i="1" a="1"/>
  <c r="F336" i="1" s="1"/>
  <c r="G336" i="1" s="1"/>
  <c r="E336" i="1"/>
  <c r="I335" i="1" a="1"/>
  <c r="I335" i="1" s="1"/>
  <c r="H335" i="1" a="1"/>
  <c r="H335" i="1" s="1"/>
  <c r="F335" i="1" a="1"/>
  <c r="F335" i="1" s="1"/>
  <c r="G335" i="1" s="1"/>
  <c r="E335" i="1"/>
  <c r="I334" i="1" a="1"/>
  <c r="I334" i="1" s="1"/>
  <c r="H334" i="1" a="1"/>
  <c r="H334" i="1" s="1"/>
  <c r="F334" i="1" a="1"/>
  <c r="F334" i="1" s="1"/>
  <c r="G334" i="1" s="1"/>
  <c r="E334" i="1"/>
  <c r="I333" i="1" a="1"/>
  <c r="I333" i="1" s="1"/>
  <c r="H333" i="1" a="1"/>
  <c r="H333" i="1" s="1"/>
  <c r="F333" i="1" a="1"/>
  <c r="F333" i="1" s="1"/>
  <c r="G333" i="1" s="1"/>
  <c r="E333" i="1"/>
  <c r="I332" i="1" a="1"/>
  <c r="I332" i="1" s="1"/>
  <c r="H332" i="1" a="1"/>
  <c r="H332" i="1" s="1"/>
  <c r="F332" i="1" a="1"/>
  <c r="F332" i="1" s="1"/>
  <c r="G332" i="1" s="1"/>
  <c r="E332" i="1"/>
  <c r="I331" i="1" a="1"/>
  <c r="I331" i="1" s="1"/>
  <c r="H331" i="1" a="1"/>
  <c r="H331" i="1" s="1"/>
  <c r="F331" i="1" a="1"/>
  <c r="F331" i="1" s="1"/>
  <c r="G331" i="1" s="1"/>
  <c r="E331" i="1"/>
  <c r="I330" i="1" a="1"/>
  <c r="I330" i="1" s="1"/>
  <c r="H330" i="1" a="1"/>
  <c r="H330" i="1" s="1"/>
  <c r="F330" i="1" a="1"/>
  <c r="F330" i="1" s="1"/>
  <c r="G330" i="1" s="1"/>
  <c r="E330" i="1"/>
  <c r="I329" i="1" a="1"/>
  <c r="I329" i="1" s="1"/>
  <c r="H329" i="1" a="1"/>
  <c r="H329" i="1" s="1"/>
  <c r="F329" i="1" a="1"/>
  <c r="F329" i="1" s="1"/>
  <c r="G329" i="1" s="1"/>
  <c r="E329" i="1"/>
  <c r="E328" i="1"/>
  <c r="E327" i="1"/>
  <c r="F327" i="1" s="1" a="1"/>
  <c r="F327" i="1" s="1"/>
  <c r="I327" i="1" s="1" a="1"/>
  <c r="I327" i="1" s="1"/>
  <c r="I326" i="1" a="1"/>
  <c r="I326" i="1" s="1"/>
  <c r="H326" i="1" a="1"/>
  <c r="H326" i="1" s="1"/>
  <c r="F326" i="1" a="1"/>
  <c r="F326" i="1" s="1"/>
  <c r="G326" i="1" s="1"/>
  <c r="E326" i="1"/>
  <c r="I325" i="1" a="1"/>
  <c r="I325" i="1" s="1"/>
  <c r="H325" i="1" a="1"/>
  <c r="H325" i="1" s="1"/>
  <c r="F325" i="1" a="1"/>
  <c r="F325" i="1" s="1"/>
  <c r="G325" i="1" s="1"/>
  <c r="E325" i="1"/>
  <c r="I324" i="1" a="1"/>
  <c r="I324" i="1" s="1"/>
  <c r="H324" i="1" a="1"/>
  <c r="H324" i="1" s="1"/>
  <c r="F324" i="1" a="1"/>
  <c r="F324" i="1" s="1"/>
  <c r="G324" i="1" s="1"/>
  <c r="E324" i="1"/>
  <c r="I323" i="1" a="1"/>
  <c r="I323" i="1" s="1"/>
  <c r="H323" i="1" a="1"/>
  <c r="H323" i="1" s="1"/>
  <c r="F323" i="1" a="1"/>
  <c r="F323" i="1" s="1"/>
  <c r="G323" i="1" s="1"/>
  <c r="E323" i="1"/>
  <c r="I322" i="1" a="1"/>
  <c r="I322" i="1" s="1"/>
  <c r="H322" i="1" a="1"/>
  <c r="H322" i="1" s="1"/>
  <c r="F322" i="1" a="1"/>
  <c r="F322" i="1" s="1"/>
  <c r="G322" i="1" s="1"/>
  <c r="E322" i="1"/>
  <c r="I321" i="1" a="1"/>
  <c r="I321" i="1" s="1"/>
  <c r="H321" i="1" a="1"/>
  <c r="H321" i="1" s="1"/>
  <c r="F321" i="1" a="1"/>
  <c r="F321" i="1" s="1"/>
  <c r="G321" i="1" s="1"/>
  <c r="E321" i="1"/>
  <c r="I320" i="1" a="1"/>
  <c r="I320" i="1" s="1"/>
  <c r="H320" i="1" a="1"/>
  <c r="H320" i="1" s="1"/>
  <c r="F320" i="1" a="1"/>
  <c r="F320" i="1" s="1"/>
  <c r="G320" i="1" s="1"/>
  <c r="E320" i="1"/>
  <c r="I319" i="1" a="1"/>
  <c r="I319" i="1" s="1"/>
  <c r="H319" i="1" a="1"/>
  <c r="H319" i="1" s="1"/>
  <c r="F319" i="1" a="1"/>
  <c r="F319" i="1" s="1"/>
  <c r="G319" i="1" s="1"/>
  <c r="E319" i="1"/>
  <c r="I318" i="1" a="1"/>
  <c r="I318" i="1" s="1"/>
  <c r="H318" i="1" a="1"/>
  <c r="H318" i="1" s="1"/>
  <c r="F318" i="1" a="1"/>
  <c r="F318" i="1" s="1"/>
  <c r="G318" i="1" s="1"/>
  <c r="E318" i="1"/>
  <c r="I317" i="1" a="1"/>
  <c r="I317" i="1" s="1"/>
  <c r="H317" i="1" a="1"/>
  <c r="H317" i="1" s="1"/>
  <c r="F317" i="1" a="1"/>
  <c r="F317" i="1" s="1"/>
  <c r="G317" i="1" s="1"/>
  <c r="E317" i="1"/>
  <c r="I316" i="1" a="1"/>
  <c r="I316" i="1" s="1"/>
  <c r="H316" i="1" a="1"/>
  <c r="H316" i="1" s="1"/>
  <c r="F316" i="1" a="1"/>
  <c r="F316" i="1" s="1"/>
  <c r="G316" i="1" s="1"/>
  <c r="E316" i="1"/>
  <c r="I315" i="1" a="1"/>
  <c r="I315" i="1" s="1"/>
  <c r="H315" i="1" a="1"/>
  <c r="H315" i="1" s="1"/>
  <c r="F315" i="1" a="1"/>
  <c r="F315" i="1" s="1"/>
  <c r="G315" i="1" s="1"/>
  <c r="E315" i="1"/>
  <c r="I314" i="1" a="1"/>
  <c r="I314" i="1" s="1"/>
  <c r="H314" i="1" a="1"/>
  <c r="H314" i="1" s="1"/>
  <c r="F314" i="1" a="1"/>
  <c r="F314" i="1" s="1"/>
  <c r="G314" i="1" s="1"/>
  <c r="E314" i="1"/>
  <c r="I313" i="1" a="1"/>
  <c r="I313" i="1" s="1"/>
  <c r="H313" i="1" a="1"/>
  <c r="H313" i="1" s="1"/>
  <c r="F313" i="1" a="1"/>
  <c r="F313" i="1" s="1"/>
  <c r="G313" i="1" s="1"/>
  <c r="E313" i="1"/>
  <c r="I312" i="1" a="1"/>
  <c r="I312" i="1" s="1"/>
  <c r="H312" i="1" a="1"/>
  <c r="H312" i="1" s="1"/>
  <c r="F312" i="1" a="1"/>
  <c r="F312" i="1" s="1"/>
  <c r="G312" i="1" s="1"/>
  <c r="E312" i="1"/>
  <c r="E311" i="1"/>
  <c r="I310" i="1" a="1"/>
  <c r="I310" i="1" s="1"/>
  <c r="H310" i="1" a="1"/>
  <c r="H310" i="1" s="1"/>
  <c r="F310" i="1" a="1"/>
  <c r="F310" i="1" s="1"/>
  <c r="G310" i="1" s="1"/>
  <c r="E310" i="1"/>
  <c r="I309" i="1" a="1"/>
  <c r="I309" i="1" s="1"/>
  <c r="H309" i="1" a="1"/>
  <c r="H309" i="1" s="1"/>
  <c r="F309" i="1" a="1"/>
  <c r="F309" i="1" s="1"/>
  <c r="G309" i="1" s="1"/>
  <c r="E309" i="1"/>
  <c r="E308" i="1"/>
  <c r="E307" i="1"/>
  <c r="F307" i="1" s="1" a="1"/>
  <c r="F307" i="1" s="1"/>
  <c r="I306" i="1" a="1"/>
  <c r="I306" i="1" s="1"/>
  <c r="H306" i="1" a="1"/>
  <c r="H306" i="1" s="1"/>
  <c r="F306" i="1" a="1"/>
  <c r="F306" i="1" s="1"/>
  <c r="G306" i="1" s="1"/>
  <c r="E306" i="1"/>
  <c r="E305" i="1"/>
  <c r="I304" i="1" a="1"/>
  <c r="I304" i="1" s="1"/>
  <c r="H304" i="1" a="1"/>
  <c r="H304" i="1" s="1"/>
  <c r="F304" i="1" a="1"/>
  <c r="F304" i="1" s="1"/>
  <c r="G304" i="1" s="1"/>
  <c r="E304" i="1"/>
  <c r="I303" i="1" a="1"/>
  <c r="I303" i="1" s="1"/>
  <c r="H303" i="1" a="1"/>
  <c r="H303" i="1" s="1"/>
  <c r="F303" i="1" a="1"/>
  <c r="F303" i="1" s="1"/>
  <c r="G303" i="1" s="1"/>
  <c r="E303" i="1"/>
  <c r="I302" i="1" a="1"/>
  <c r="I302" i="1" s="1"/>
  <c r="H302" i="1" a="1"/>
  <c r="H302" i="1" s="1"/>
  <c r="F302" i="1" a="1"/>
  <c r="F302" i="1" s="1"/>
  <c r="G302" i="1" s="1"/>
  <c r="E302" i="1"/>
  <c r="I301" i="1" a="1"/>
  <c r="I301" i="1" s="1"/>
  <c r="H301" i="1" a="1"/>
  <c r="H301" i="1" s="1"/>
  <c r="F301" i="1" a="1"/>
  <c r="F301" i="1" s="1"/>
  <c r="G301" i="1" s="1"/>
  <c r="E301" i="1"/>
  <c r="E300" i="1"/>
  <c r="I299" i="1" a="1"/>
  <c r="I299" i="1" s="1"/>
  <c r="H299" i="1" a="1"/>
  <c r="H299" i="1" s="1"/>
  <c r="F299" i="1" a="1"/>
  <c r="F299" i="1" s="1"/>
  <c r="G299" i="1" s="1"/>
  <c r="E299" i="1"/>
  <c r="I298" i="1" a="1"/>
  <c r="I298" i="1" s="1"/>
  <c r="H298" i="1" a="1"/>
  <c r="H298" i="1" s="1"/>
  <c r="F298" i="1" a="1"/>
  <c r="F298" i="1" s="1"/>
  <c r="G298" i="1" s="1"/>
  <c r="E298" i="1"/>
  <c r="E297" i="1"/>
  <c r="E296" i="1"/>
  <c r="I295" i="1" a="1"/>
  <c r="I295" i="1" s="1"/>
  <c r="H295" i="1" a="1"/>
  <c r="H295" i="1" s="1"/>
  <c r="F295" i="1" a="1"/>
  <c r="F295" i="1" s="1"/>
  <c r="G295" i="1" s="1"/>
  <c r="E295" i="1"/>
  <c r="I294" i="1" a="1"/>
  <c r="I294" i="1" s="1"/>
  <c r="H294" i="1" a="1"/>
  <c r="H294" i="1" s="1"/>
  <c r="F294" i="1" a="1"/>
  <c r="F294" i="1" s="1"/>
  <c r="G294" i="1" s="1"/>
  <c r="E294" i="1"/>
  <c r="I293" i="1" a="1"/>
  <c r="I293" i="1" s="1"/>
  <c r="H293" i="1" a="1"/>
  <c r="H293" i="1" s="1"/>
  <c r="F293" i="1" a="1"/>
  <c r="F293" i="1" s="1"/>
  <c r="G293" i="1" s="1"/>
  <c r="E293" i="1"/>
  <c r="I292" i="1" a="1"/>
  <c r="I292" i="1" s="1"/>
  <c r="H292" i="1" a="1"/>
  <c r="H292" i="1" s="1"/>
  <c r="F292" i="1" a="1"/>
  <c r="F292" i="1" s="1"/>
  <c r="G292" i="1" s="1"/>
  <c r="E292" i="1"/>
  <c r="I291" i="1" a="1"/>
  <c r="I291" i="1" s="1"/>
  <c r="H291" i="1" a="1"/>
  <c r="H291" i="1" s="1"/>
  <c r="F291" i="1" a="1"/>
  <c r="F291" i="1" s="1"/>
  <c r="G291" i="1" s="1"/>
  <c r="E291" i="1"/>
  <c r="I290" i="1" a="1"/>
  <c r="I290" i="1" s="1"/>
  <c r="H290" i="1" a="1"/>
  <c r="H290" i="1" s="1"/>
  <c r="F290" i="1" a="1"/>
  <c r="F290" i="1" s="1"/>
  <c r="G290" i="1" s="1"/>
  <c r="E290" i="1"/>
  <c r="I289" i="1" a="1"/>
  <c r="I289" i="1" s="1"/>
  <c r="H289" i="1" a="1"/>
  <c r="H289" i="1" s="1"/>
  <c r="F289" i="1" a="1"/>
  <c r="F289" i="1" s="1"/>
  <c r="G289" i="1" s="1"/>
  <c r="E289" i="1"/>
  <c r="I288" i="1" a="1"/>
  <c r="I288" i="1" s="1"/>
  <c r="H288" i="1" a="1"/>
  <c r="H288" i="1" s="1"/>
  <c r="F288" i="1" a="1"/>
  <c r="F288" i="1" s="1"/>
  <c r="G288" i="1" s="1"/>
  <c r="E288" i="1"/>
  <c r="I287" i="1" a="1"/>
  <c r="I287" i="1" s="1"/>
  <c r="H287" i="1" a="1"/>
  <c r="H287" i="1" s="1"/>
  <c r="F287" i="1" a="1"/>
  <c r="F287" i="1" s="1"/>
  <c r="G287" i="1" s="1"/>
  <c r="E287" i="1"/>
  <c r="I286" i="1" a="1"/>
  <c r="I286" i="1" s="1"/>
  <c r="H286" i="1" a="1"/>
  <c r="H286" i="1" s="1"/>
  <c r="F286" i="1" a="1"/>
  <c r="F286" i="1" s="1"/>
  <c r="G286" i="1" s="1"/>
  <c r="E286" i="1"/>
  <c r="E285" i="1"/>
  <c r="E284" i="1"/>
  <c r="F284" i="1" s="1" a="1"/>
  <c r="F284" i="1" s="1"/>
  <c r="I284" i="1" s="1" a="1"/>
  <c r="I284" i="1" s="1"/>
  <c r="I283" i="1" a="1"/>
  <c r="I283" i="1" s="1"/>
  <c r="H283" i="1" a="1"/>
  <c r="H283" i="1" s="1"/>
  <c r="F283" i="1" a="1"/>
  <c r="F283" i="1" s="1"/>
  <c r="G283" i="1" s="1"/>
  <c r="E283" i="1"/>
  <c r="E282" i="1"/>
  <c r="I281" i="1" a="1"/>
  <c r="I281" i="1" s="1"/>
  <c r="H281" i="1" a="1"/>
  <c r="H281" i="1" s="1"/>
  <c r="F281" i="1" a="1"/>
  <c r="F281" i="1" s="1"/>
  <c r="G281" i="1" s="1"/>
  <c r="E281" i="1"/>
  <c r="E280" i="1"/>
  <c r="E279" i="1"/>
  <c r="I278" i="1" a="1"/>
  <c r="I278" i="1" s="1"/>
  <c r="H278" i="1" a="1"/>
  <c r="H278" i="1" s="1"/>
  <c r="F278" i="1" a="1"/>
  <c r="F278" i="1" s="1"/>
  <c r="G278" i="1" s="1"/>
  <c r="E278" i="1"/>
  <c r="I277" i="1" a="1"/>
  <c r="I277" i="1" s="1"/>
  <c r="H277" i="1" a="1"/>
  <c r="H277" i="1" s="1"/>
  <c r="F277" i="1" a="1"/>
  <c r="F277" i="1" s="1"/>
  <c r="G277" i="1" s="1"/>
  <c r="E277" i="1"/>
  <c r="I276" i="1" a="1"/>
  <c r="I276" i="1" s="1"/>
  <c r="H276" i="1" a="1"/>
  <c r="H276" i="1" s="1"/>
  <c r="F276" i="1" a="1"/>
  <c r="F276" i="1" s="1"/>
  <c r="G276" i="1" s="1"/>
  <c r="E276" i="1"/>
  <c r="E275" i="1"/>
  <c r="I274" i="1" a="1"/>
  <c r="I274" i="1" s="1"/>
  <c r="H274" i="1" a="1"/>
  <c r="H274" i="1" s="1"/>
  <c r="F274" i="1" a="1"/>
  <c r="F274" i="1" s="1"/>
  <c r="G274" i="1" s="1"/>
  <c r="E274" i="1"/>
  <c r="I273" i="1" a="1"/>
  <c r="I273" i="1" s="1"/>
  <c r="H273" i="1" a="1"/>
  <c r="H273" i="1" s="1"/>
  <c r="F273" i="1" a="1"/>
  <c r="F273" i="1" s="1"/>
  <c r="G273" i="1" s="1"/>
  <c r="E273" i="1"/>
  <c r="I272" i="1" a="1"/>
  <c r="I272" i="1" s="1"/>
  <c r="H272" i="1" a="1"/>
  <c r="H272" i="1" s="1"/>
  <c r="F272" i="1" a="1"/>
  <c r="F272" i="1" s="1"/>
  <c r="G272" i="1" s="1"/>
  <c r="E272" i="1"/>
  <c r="I271" i="1" a="1"/>
  <c r="I271" i="1" s="1"/>
  <c r="H271" i="1" a="1"/>
  <c r="H271" i="1" s="1"/>
  <c r="F271" i="1" a="1"/>
  <c r="F271" i="1" s="1"/>
  <c r="G271" i="1" s="1"/>
  <c r="E271" i="1"/>
  <c r="E270" i="1"/>
  <c r="E269" i="1"/>
  <c r="E268" i="1"/>
  <c r="F268" i="1" s="1" a="1"/>
  <c r="F268" i="1" s="1"/>
  <c r="I268" i="1" s="1" a="1"/>
  <c r="I268" i="1" s="1"/>
  <c r="I267" i="1" a="1"/>
  <c r="I267" i="1" s="1"/>
  <c r="H267" i="1" a="1"/>
  <c r="H267" i="1" s="1"/>
  <c r="F267" i="1" a="1"/>
  <c r="F267" i="1" s="1"/>
  <c r="G267" i="1" s="1"/>
  <c r="E267" i="1"/>
  <c r="E266" i="1"/>
  <c r="I265" i="1" a="1"/>
  <c r="I265" i="1" s="1"/>
  <c r="H265" i="1" a="1"/>
  <c r="H265" i="1" s="1"/>
  <c r="F265" i="1" a="1"/>
  <c r="F265" i="1" s="1"/>
  <c r="G265" i="1" s="1"/>
  <c r="E265" i="1"/>
  <c r="I264" i="1" a="1"/>
  <c r="I264" i="1" s="1"/>
  <c r="H264" i="1" a="1"/>
  <c r="H264" i="1" s="1"/>
  <c r="F264" i="1" a="1"/>
  <c r="F264" i="1" s="1"/>
  <c r="G264" i="1" s="1"/>
  <c r="E264" i="1"/>
  <c r="I263" i="1" a="1"/>
  <c r="I263" i="1" s="1"/>
  <c r="H263" i="1" a="1"/>
  <c r="H263" i="1" s="1"/>
  <c r="F263" i="1" a="1"/>
  <c r="F263" i="1" s="1"/>
  <c r="G263" i="1" s="1"/>
  <c r="E263" i="1"/>
  <c r="E262" i="1"/>
  <c r="I261" i="1" a="1"/>
  <c r="I261" i="1" s="1"/>
  <c r="H261" i="1" a="1"/>
  <c r="H261" i="1" s="1"/>
  <c r="F261" i="1" a="1"/>
  <c r="F261" i="1" s="1"/>
  <c r="G261" i="1" s="1"/>
  <c r="E261" i="1"/>
  <c r="E260" i="1"/>
  <c r="E259" i="1"/>
  <c r="F259" i="1" s="1" a="1"/>
  <c r="F259" i="1" s="1"/>
  <c r="I259" i="1" s="1" a="1"/>
  <c r="I259" i="1" s="1"/>
  <c r="E258" i="1"/>
  <c r="F258" i="1" s="1" a="1"/>
  <c r="F258" i="1" s="1"/>
  <c r="E257" i="1"/>
  <c r="F257" i="1" s="1" a="1"/>
  <c r="F257" i="1" s="1"/>
  <c r="I257" i="1" s="1" a="1"/>
  <c r="I257" i="1" s="1"/>
  <c r="I256" i="1" a="1"/>
  <c r="I256" i="1" s="1"/>
  <c r="H256" i="1" a="1"/>
  <c r="H256" i="1" s="1"/>
  <c r="F256" i="1" a="1"/>
  <c r="F256" i="1" s="1"/>
  <c r="G256" i="1" s="1"/>
  <c r="E256" i="1"/>
  <c r="E255" i="1"/>
  <c r="I254" i="1" a="1"/>
  <c r="I254" i="1" s="1"/>
  <c r="H254" i="1" a="1"/>
  <c r="H254" i="1" s="1"/>
  <c r="F254" i="1" a="1"/>
  <c r="F254" i="1" s="1"/>
  <c r="G254" i="1" s="1"/>
  <c r="E254" i="1"/>
  <c r="I253" i="1" a="1"/>
  <c r="I253" i="1" s="1"/>
  <c r="H253" i="1" a="1"/>
  <c r="H253" i="1" s="1"/>
  <c r="F253" i="1" a="1"/>
  <c r="F253" i="1" s="1"/>
  <c r="G253" i="1" s="1"/>
  <c r="E253" i="1"/>
  <c r="I252" i="1" a="1"/>
  <c r="I252" i="1" s="1"/>
  <c r="H252" i="1" a="1"/>
  <c r="H252" i="1" s="1"/>
  <c r="F252" i="1" a="1"/>
  <c r="F252" i="1" s="1"/>
  <c r="G252" i="1" s="1"/>
  <c r="E252" i="1"/>
  <c r="I251" i="1" a="1"/>
  <c r="I251" i="1" s="1"/>
  <c r="H251" i="1" a="1"/>
  <c r="H251" i="1" s="1"/>
  <c r="F251" i="1" a="1"/>
  <c r="F251" i="1" s="1"/>
  <c r="G251" i="1" s="1"/>
  <c r="E251" i="1"/>
  <c r="E250" i="1"/>
  <c r="I249" i="1" a="1"/>
  <c r="I249" i="1" s="1"/>
  <c r="H249" i="1" a="1"/>
  <c r="H249" i="1" s="1"/>
  <c r="F249" i="1" a="1"/>
  <c r="F249" i="1" s="1"/>
  <c r="G249" i="1" s="1"/>
  <c r="E249" i="1"/>
  <c r="I248" i="1" a="1"/>
  <c r="I248" i="1" s="1"/>
  <c r="H248" i="1" a="1"/>
  <c r="H248" i="1" s="1"/>
  <c r="F248" i="1" a="1"/>
  <c r="F248" i="1" s="1"/>
  <c r="G248" i="1" s="1"/>
  <c r="E248" i="1"/>
  <c r="E247" i="1"/>
  <c r="I246" i="1" a="1"/>
  <c r="I246" i="1" s="1"/>
  <c r="H246" i="1" a="1"/>
  <c r="H246" i="1" s="1"/>
  <c r="F246" i="1" a="1"/>
  <c r="F246" i="1" s="1"/>
  <c r="G246" i="1" s="1"/>
  <c r="E246" i="1"/>
  <c r="I245" i="1" a="1"/>
  <c r="I245" i="1" s="1"/>
  <c r="H245" i="1" a="1"/>
  <c r="H245" i="1" s="1"/>
  <c r="F245" i="1" a="1"/>
  <c r="F245" i="1" s="1"/>
  <c r="G245" i="1" s="1"/>
  <c r="E245" i="1"/>
  <c r="I244" i="1" a="1"/>
  <c r="I244" i="1" s="1"/>
  <c r="H244" i="1" a="1"/>
  <c r="H244" i="1" s="1"/>
  <c r="F244" i="1" a="1"/>
  <c r="F244" i="1" s="1"/>
  <c r="G244" i="1" s="1"/>
  <c r="E244" i="1"/>
  <c r="I243" i="1" a="1"/>
  <c r="I243" i="1" s="1"/>
  <c r="H243" i="1" a="1"/>
  <c r="H243" i="1" s="1"/>
  <c r="F243" i="1" a="1"/>
  <c r="F243" i="1" s="1"/>
  <c r="G243" i="1" s="1"/>
  <c r="E243" i="1"/>
  <c r="E242" i="1"/>
  <c r="E241" i="1"/>
  <c r="F241" i="1" s="1" a="1"/>
  <c r="F241" i="1" s="1"/>
  <c r="I241" i="1" s="1" a="1"/>
  <c r="I241" i="1" s="1"/>
  <c r="E240" i="1"/>
  <c r="I239" i="1" a="1"/>
  <c r="I239" i="1" s="1"/>
  <c r="H239" i="1" a="1"/>
  <c r="H239" i="1" s="1"/>
  <c r="F239" i="1" a="1"/>
  <c r="F239" i="1" s="1"/>
  <c r="G239" i="1" s="1"/>
  <c r="E239" i="1"/>
  <c r="E238" i="1"/>
  <c r="I237" i="1" a="1"/>
  <c r="I237" i="1" s="1"/>
  <c r="H237" i="1" a="1"/>
  <c r="H237" i="1" s="1"/>
  <c r="F237" i="1" a="1"/>
  <c r="F237" i="1" s="1"/>
  <c r="G237" i="1" s="1"/>
  <c r="E237" i="1"/>
  <c r="I236" i="1" a="1"/>
  <c r="I236" i="1" s="1"/>
  <c r="H236" i="1" a="1"/>
  <c r="H236" i="1" s="1"/>
  <c r="F236" i="1" a="1"/>
  <c r="F236" i="1" s="1"/>
  <c r="G236" i="1" s="1"/>
  <c r="E236" i="1"/>
  <c r="E235" i="1"/>
  <c r="I234" i="1" a="1"/>
  <c r="I234" i="1" s="1"/>
  <c r="H234" i="1" a="1"/>
  <c r="H234" i="1" s="1"/>
  <c r="F234" i="1" a="1"/>
  <c r="F234" i="1" s="1"/>
  <c r="G234" i="1" s="1"/>
  <c r="E234" i="1"/>
  <c r="E233" i="1"/>
  <c r="I232" i="1" a="1"/>
  <c r="I232" i="1" s="1"/>
  <c r="H232" i="1" a="1"/>
  <c r="H232" i="1" s="1"/>
  <c r="F232" i="1" a="1"/>
  <c r="F232" i="1" s="1"/>
  <c r="G232" i="1" s="1"/>
  <c r="E232" i="1"/>
  <c r="E231" i="1"/>
  <c r="I230" i="1" a="1"/>
  <c r="I230" i="1" s="1"/>
  <c r="H230" i="1" a="1"/>
  <c r="H230" i="1" s="1"/>
  <c r="F230" i="1" a="1"/>
  <c r="F230" i="1" s="1"/>
  <c r="G230" i="1" s="1"/>
  <c r="E230" i="1"/>
  <c r="I229" i="1" a="1"/>
  <c r="I229" i="1" s="1"/>
  <c r="H229" i="1" a="1"/>
  <c r="H229" i="1" s="1"/>
  <c r="F229" i="1" a="1"/>
  <c r="F229" i="1" s="1"/>
  <c r="G229" i="1" s="1"/>
  <c r="E229" i="1"/>
  <c r="E228" i="1"/>
  <c r="I227" i="1" a="1"/>
  <c r="I227" i="1" s="1"/>
  <c r="H227" i="1" a="1"/>
  <c r="H227" i="1" s="1"/>
  <c r="F227" i="1" a="1"/>
  <c r="F227" i="1" s="1"/>
  <c r="G227" i="1" s="1"/>
  <c r="E227" i="1"/>
  <c r="E226" i="1"/>
  <c r="I225" i="1" a="1"/>
  <c r="I225" i="1" s="1"/>
  <c r="H225" i="1" a="1"/>
  <c r="H225" i="1" s="1"/>
  <c r="F225" i="1" a="1"/>
  <c r="F225" i="1" s="1"/>
  <c r="G225" i="1" s="1"/>
  <c r="E225" i="1"/>
  <c r="I224" i="1" a="1"/>
  <c r="I224" i="1" s="1"/>
  <c r="H224" i="1" a="1"/>
  <c r="H224" i="1" s="1"/>
  <c r="F224" i="1" a="1"/>
  <c r="F224" i="1" s="1"/>
  <c r="G224" i="1" s="1"/>
  <c r="E224" i="1"/>
  <c r="E223" i="1"/>
  <c r="I222" i="1" a="1"/>
  <c r="I222" i="1" s="1"/>
  <c r="H222" i="1" a="1"/>
  <c r="H222" i="1" s="1"/>
  <c r="F222" i="1" a="1"/>
  <c r="F222" i="1" s="1"/>
  <c r="G222" i="1" s="1"/>
  <c r="E222" i="1"/>
  <c r="I221" i="1" a="1"/>
  <c r="I221" i="1" s="1"/>
  <c r="H221" i="1" a="1"/>
  <c r="H221" i="1" s="1"/>
  <c r="F221" i="1" a="1"/>
  <c r="F221" i="1" s="1"/>
  <c r="G221" i="1" s="1"/>
  <c r="E221" i="1"/>
  <c r="I220" i="1" a="1"/>
  <c r="I220" i="1" s="1"/>
  <c r="H220" i="1" a="1"/>
  <c r="H220" i="1" s="1"/>
  <c r="F220" i="1" a="1"/>
  <c r="F220" i="1" s="1"/>
  <c r="G220" i="1" s="1"/>
  <c r="E220" i="1"/>
  <c r="I219" i="1" a="1"/>
  <c r="I219" i="1" s="1"/>
  <c r="H219" i="1" a="1"/>
  <c r="H219" i="1" s="1"/>
  <c r="F219" i="1" a="1"/>
  <c r="F219" i="1" s="1"/>
  <c r="G219" i="1" s="1"/>
  <c r="E219" i="1"/>
  <c r="I218" i="1" a="1"/>
  <c r="I218" i="1" s="1"/>
  <c r="H218" i="1" a="1"/>
  <c r="H218" i="1" s="1"/>
  <c r="F218" i="1" a="1"/>
  <c r="F218" i="1" s="1"/>
  <c r="G218" i="1" s="1"/>
  <c r="E218" i="1"/>
  <c r="I217" i="1" a="1"/>
  <c r="I217" i="1" s="1"/>
  <c r="H217" i="1" a="1"/>
  <c r="H217" i="1" s="1"/>
  <c r="F217" i="1" a="1"/>
  <c r="F217" i="1" s="1"/>
  <c r="G217" i="1" s="1"/>
  <c r="E217" i="1"/>
  <c r="I216" i="1" a="1"/>
  <c r="I216" i="1" s="1"/>
  <c r="H216" i="1" a="1"/>
  <c r="H216" i="1" s="1"/>
  <c r="F216" i="1" a="1"/>
  <c r="F216" i="1" s="1"/>
  <c r="G216" i="1" s="1"/>
  <c r="E216" i="1"/>
  <c r="E215" i="1"/>
  <c r="I214" i="1" a="1"/>
  <c r="I214" i="1" s="1"/>
  <c r="H214" i="1" a="1"/>
  <c r="H214" i="1" s="1"/>
  <c r="F214" i="1" a="1"/>
  <c r="F214" i="1" s="1"/>
  <c r="G214" i="1" s="1"/>
  <c r="E214" i="1"/>
  <c r="I213" i="1" a="1"/>
  <c r="I213" i="1" s="1"/>
  <c r="H213" i="1" a="1"/>
  <c r="H213" i="1" s="1"/>
  <c r="F213" i="1" a="1"/>
  <c r="F213" i="1" s="1"/>
  <c r="G213" i="1" s="1"/>
  <c r="E213" i="1"/>
  <c r="I212" i="1" a="1"/>
  <c r="I212" i="1" s="1"/>
  <c r="H212" i="1" a="1"/>
  <c r="H212" i="1" s="1"/>
  <c r="F212" i="1" a="1"/>
  <c r="F212" i="1" s="1"/>
  <c r="G212" i="1" s="1"/>
  <c r="E212" i="1"/>
  <c r="I211" i="1" a="1"/>
  <c r="I211" i="1" s="1"/>
  <c r="H211" i="1" a="1"/>
  <c r="H211" i="1" s="1"/>
  <c r="F211" i="1" a="1"/>
  <c r="F211" i="1" s="1"/>
  <c r="G211" i="1" s="1"/>
  <c r="E211" i="1"/>
  <c r="E210" i="1"/>
  <c r="E209" i="1"/>
  <c r="F209" i="1" s="1" a="1"/>
  <c r="F209" i="1" s="1"/>
  <c r="E208" i="1"/>
  <c r="F208" i="1" s="1" a="1"/>
  <c r="F208" i="1" s="1"/>
  <c r="I208" i="1" s="1" a="1"/>
  <c r="I208" i="1" s="1"/>
  <c r="I207" i="1" a="1"/>
  <c r="I207" i="1" s="1"/>
  <c r="H207" i="1" a="1"/>
  <c r="H207" i="1" s="1"/>
  <c r="F207" i="1" a="1"/>
  <c r="F207" i="1" s="1"/>
  <c r="G207" i="1" s="1"/>
  <c r="E207" i="1"/>
  <c r="I206" i="1" a="1"/>
  <c r="I206" i="1" s="1"/>
  <c r="H206" i="1" a="1"/>
  <c r="H206" i="1" s="1"/>
  <c r="F206" i="1" a="1"/>
  <c r="F206" i="1" s="1"/>
  <c r="G206" i="1" s="1"/>
  <c r="E206" i="1"/>
  <c r="I205" i="1" a="1"/>
  <c r="I205" i="1" s="1"/>
  <c r="H205" i="1" a="1"/>
  <c r="H205" i="1" s="1"/>
  <c r="F205" i="1" a="1"/>
  <c r="F205" i="1" s="1"/>
  <c r="G205" i="1" s="1"/>
  <c r="E205" i="1"/>
  <c r="I204" i="1" a="1"/>
  <c r="I204" i="1" s="1"/>
  <c r="H204" i="1" a="1"/>
  <c r="H204" i="1" s="1"/>
  <c r="F204" i="1" a="1"/>
  <c r="F204" i="1" s="1"/>
  <c r="G204" i="1" s="1"/>
  <c r="E204" i="1"/>
  <c r="I203" i="1" a="1"/>
  <c r="I203" i="1" s="1"/>
  <c r="H203" i="1" a="1"/>
  <c r="H203" i="1" s="1"/>
  <c r="F203" i="1" a="1"/>
  <c r="F203" i="1" s="1"/>
  <c r="G203" i="1" s="1"/>
  <c r="E203" i="1"/>
  <c r="I202" i="1" a="1"/>
  <c r="I202" i="1" s="1"/>
  <c r="H202" i="1" a="1"/>
  <c r="H202" i="1" s="1"/>
  <c r="F202" i="1" a="1"/>
  <c r="F202" i="1" s="1"/>
  <c r="G202" i="1" s="1"/>
  <c r="E202" i="1"/>
  <c r="I201" i="1" a="1"/>
  <c r="I201" i="1" s="1"/>
  <c r="H201" i="1" a="1"/>
  <c r="H201" i="1" s="1"/>
  <c r="F201" i="1" a="1"/>
  <c r="F201" i="1" s="1"/>
  <c r="G201" i="1" s="1"/>
  <c r="E201" i="1"/>
  <c r="E200" i="1"/>
  <c r="I199" i="1" a="1"/>
  <c r="I199" i="1" s="1"/>
  <c r="H199" i="1" a="1"/>
  <c r="H199" i="1" s="1"/>
  <c r="F199" i="1" a="1"/>
  <c r="F199" i="1" s="1"/>
  <c r="G199" i="1" s="1"/>
  <c r="E199" i="1"/>
  <c r="I198" i="1" a="1"/>
  <c r="I198" i="1" s="1"/>
  <c r="H198" i="1" a="1"/>
  <c r="H198" i="1" s="1"/>
  <c r="F198" i="1" a="1"/>
  <c r="F198" i="1" s="1"/>
  <c r="G198" i="1" s="1"/>
  <c r="E198" i="1"/>
  <c r="I197" i="1" a="1"/>
  <c r="I197" i="1" s="1"/>
  <c r="H197" i="1" a="1"/>
  <c r="H197" i="1" s="1"/>
  <c r="F197" i="1" a="1"/>
  <c r="F197" i="1" s="1"/>
  <c r="G197" i="1" s="1"/>
  <c r="I196" i="1" a="1"/>
  <c r="I196" i="1" s="1"/>
  <c r="H196" i="1" a="1"/>
  <c r="H196" i="1" s="1"/>
  <c r="F196" i="1" a="1"/>
  <c r="F196" i="1" s="1"/>
  <c r="G196" i="1" s="1"/>
  <c r="E196" i="1"/>
  <c r="E195" i="1"/>
  <c r="I194" i="1" a="1"/>
  <c r="I194" i="1" s="1"/>
  <c r="H194" i="1" a="1"/>
  <c r="H194" i="1" s="1"/>
  <c r="F194" i="1" a="1"/>
  <c r="F194" i="1" s="1"/>
  <c r="G194" i="1" s="1"/>
  <c r="E194" i="1"/>
  <c r="I193" i="1" a="1"/>
  <c r="I193" i="1" s="1"/>
  <c r="H193" i="1" a="1"/>
  <c r="H193" i="1" s="1"/>
  <c r="F193" i="1" a="1"/>
  <c r="F193" i="1" s="1"/>
  <c r="G193" i="1" s="1"/>
  <c r="E193" i="1"/>
  <c r="I192" i="1" a="1"/>
  <c r="I192" i="1" s="1"/>
  <c r="H192" i="1" a="1"/>
  <c r="H192" i="1" s="1"/>
  <c r="F192" i="1" a="1"/>
  <c r="F192" i="1" s="1"/>
  <c r="G192" i="1" s="1"/>
  <c r="E192" i="1"/>
  <c r="E191" i="1"/>
  <c r="I190" i="1" a="1"/>
  <c r="I190" i="1" s="1"/>
  <c r="H190" i="1" a="1"/>
  <c r="H190" i="1" s="1"/>
  <c r="F190" i="1" a="1"/>
  <c r="F190" i="1" s="1"/>
  <c r="G190" i="1" s="1"/>
  <c r="E190" i="1"/>
  <c r="I189" i="1" a="1"/>
  <c r="I189" i="1" s="1"/>
  <c r="H189" i="1" a="1"/>
  <c r="H189" i="1" s="1"/>
  <c r="F189" i="1" a="1"/>
  <c r="F189" i="1" s="1"/>
  <c r="G189" i="1" s="1"/>
  <c r="E189" i="1"/>
  <c r="I188" i="1" a="1"/>
  <c r="I188" i="1" s="1"/>
  <c r="H188" i="1" a="1"/>
  <c r="H188" i="1" s="1"/>
  <c r="F188" i="1" a="1"/>
  <c r="F188" i="1" s="1"/>
  <c r="G188" i="1" s="1"/>
  <c r="E188" i="1"/>
  <c r="I187" i="1" a="1"/>
  <c r="I187" i="1" s="1"/>
  <c r="H187" i="1" a="1"/>
  <c r="H187" i="1" s="1"/>
  <c r="F187" i="1" a="1"/>
  <c r="F187" i="1" s="1"/>
  <c r="G187" i="1" s="1"/>
  <c r="E187" i="1"/>
  <c r="I186" i="1" a="1"/>
  <c r="I186" i="1" s="1"/>
  <c r="H186" i="1" a="1"/>
  <c r="H186" i="1" s="1"/>
  <c r="F186" i="1" a="1"/>
  <c r="F186" i="1" s="1"/>
  <c r="G186" i="1" s="1"/>
  <c r="E186" i="1"/>
  <c r="E185" i="1"/>
  <c r="I184" i="1" a="1"/>
  <c r="I184" i="1" s="1"/>
  <c r="H184" i="1" a="1"/>
  <c r="H184" i="1" s="1"/>
  <c r="F184" i="1" a="1"/>
  <c r="F184" i="1" s="1"/>
  <c r="G184" i="1" s="1"/>
  <c r="E184" i="1"/>
  <c r="I183" i="1" a="1"/>
  <c r="I183" i="1" s="1"/>
  <c r="H183" i="1" a="1"/>
  <c r="H183" i="1" s="1"/>
  <c r="F183" i="1" a="1"/>
  <c r="F183" i="1" s="1"/>
  <c r="G183" i="1" s="1"/>
  <c r="E183" i="1"/>
  <c r="I182" i="1" a="1"/>
  <c r="I182" i="1" s="1"/>
  <c r="H182" i="1" a="1"/>
  <c r="H182" i="1" s="1"/>
  <c r="F182" i="1" a="1"/>
  <c r="F182" i="1" s="1"/>
  <c r="G182" i="1" s="1"/>
  <c r="E182" i="1"/>
  <c r="I181" i="1" a="1"/>
  <c r="I181" i="1" s="1"/>
  <c r="H181" i="1" a="1"/>
  <c r="H181" i="1" s="1"/>
  <c r="F181" i="1" a="1"/>
  <c r="F181" i="1" s="1"/>
  <c r="G181" i="1" s="1"/>
  <c r="E181" i="1"/>
  <c r="I180" i="1" a="1"/>
  <c r="I180" i="1" s="1"/>
  <c r="H180" i="1" a="1"/>
  <c r="H180" i="1" s="1"/>
  <c r="F180" i="1" a="1"/>
  <c r="F180" i="1" s="1"/>
  <c r="G180" i="1" s="1"/>
  <c r="E180" i="1"/>
  <c r="E179" i="1"/>
  <c r="I178" i="1" a="1"/>
  <c r="I178" i="1" s="1"/>
  <c r="H178" i="1" a="1"/>
  <c r="H178" i="1" s="1"/>
  <c r="F178" i="1" a="1"/>
  <c r="F178" i="1" s="1"/>
  <c r="G178" i="1" s="1"/>
  <c r="E178" i="1"/>
  <c r="I177" i="1" a="1"/>
  <c r="I177" i="1" s="1"/>
  <c r="H177" i="1" a="1"/>
  <c r="H177" i="1" s="1"/>
  <c r="F177" i="1" a="1"/>
  <c r="F177" i="1" s="1"/>
  <c r="G177" i="1" s="1"/>
  <c r="E177" i="1"/>
  <c r="I176" i="1" a="1"/>
  <c r="I176" i="1" s="1"/>
  <c r="H176" i="1" a="1"/>
  <c r="H176" i="1" s="1"/>
  <c r="F176" i="1" a="1"/>
  <c r="F176" i="1" s="1"/>
  <c r="G176" i="1" s="1"/>
  <c r="E176" i="1"/>
  <c r="I175" i="1" a="1"/>
  <c r="I175" i="1" s="1"/>
  <c r="H175" i="1" a="1"/>
  <c r="H175" i="1" s="1"/>
  <c r="F175" i="1" a="1"/>
  <c r="F175" i="1" s="1"/>
  <c r="G175" i="1" s="1"/>
  <c r="E175" i="1"/>
  <c r="I174" i="1" a="1"/>
  <c r="I174" i="1" s="1"/>
  <c r="H174" i="1" a="1"/>
  <c r="H174" i="1" s="1"/>
  <c r="F174" i="1" a="1"/>
  <c r="F174" i="1" s="1"/>
  <c r="G174" i="1" s="1"/>
  <c r="E174" i="1"/>
  <c r="I173" i="1" a="1"/>
  <c r="I173" i="1" s="1"/>
  <c r="H173" i="1" a="1"/>
  <c r="H173" i="1" s="1"/>
  <c r="F173" i="1" a="1"/>
  <c r="F173" i="1" s="1"/>
  <c r="G173" i="1" s="1"/>
  <c r="E173" i="1"/>
  <c r="E172" i="1"/>
  <c r="I171" i="1" a="1"/>
  <c r="I171" i="1" s="1"/>
  <c r="H171" i="1" a="1"/>
  <c r="H171" i="1" s="1"/>
  <c r="F171" i="1" a="1"/>
  <c r="F171" i="1" s="1"/>
  <c r="G171" i="1" s="1"/>
  <c r="E171" i="1"/>
  <c r="I170" i="1" a="1"/>
  <c r="I170" i="1" s="1"/>
  <c r="H170" i="1" a="1"/>
  <c r="H170" i="1" s="1"/>
  <c r="F170" i="1" a="1"/>
  <c r="F170" i="1" s="1"/>
  <c r="G170" i="1" s="1"/>
  <c r="E170" i="1"/>
  <c r="I169" i="1" a="1"/>
  <c r="I169" i="1" s="1"/>
  <c r="H169" i="1" a="1"/>
  <c r="H169" i="1" s="1"/>
  <c r="F169" i="1" a="1"/>
  <c r="F169" i="1" s="1"/>
  <c r="G169" i="1" s="1"/>
  <c r="I168" i="1" a="1"/>
  <c r="I168" i="1" s="1"/>
  <c r="H168" i="1" a="1"/>
  <c r="H168" i="1" s="1"/>
  <c r="F168" i="1" a="1"/>
  <c r="F168" i="1" s="1"/>
  <c r="G168" i="1" s="1"/>
  <c r="E168" i="1"/>
  <c r="I167" i="1" a="1"/>
  <c r="I167" i="1" s="1"/>
  <c r="H167" i="1" a="1"/>
  <c r="H167" i="1" s="1"/>
  <c r="F167" i="1" a="1"/>
  <c r="F167" i="1" s="1"/>
  <c r="G167" i="1" s="1"/>
  <c r="E167" i="1"/>
  <c r="E166" i="1"/>
  <c r="I165" i="1" a="1"/>
  <c r="I165" i="1" s="1"/>
  <c r="H165" i="1" a="1"/>
  <c r="H165" i="1" s="1"/>
  <c r="F165" i="1" a="1"/>
  <c r="F165" i="1" s="1"/>
  <c r="G165" i="1" s="1"/>
  <c r="E165" i="1"/>
  <c r="I163" i="1" a="1"/>
  <c r="I163" i="1" s="1"/>
  <c r="H163" i="1" a="1"/>
  <c r="H163" i="1" s="1"/>
  <c r="F163" i="1" a="1"/>
  <c r="F163" i="1" s="1"/>
  <c r="G163" i="1" s="1"/>
  <c r="E163" i="1"/>
  <c r="I162" i="1" a="1"/>
  <c r="I162" i="1" s="1"/>
  <c r="H162" i="1" a="1"/>
  <c r="H162" i="1" s="1"/>
  <c r="F162" i="1" a="1"/>
  <c r="F162" i="1" s="1"/>
  <c r="G162" i="1" s="1"/>
  <c r="E162" i="1"/>
  <c r="I161" i="1" a="1"/>
  <c r="I161" i="1" s="1"/>
  <c r="H161" i="1" a="1"/>
  <c r="H161" i="1" s="1"/>
  <c r="F161" i="1" a="1"/>
  <c r="F161" i="1" s="1"/>
  <c r="G161" i="1" s="1"/>
  <c r="E161" i="1"/>
  <c r="I160" i="1" a="1"/>
  <c r="I160" i="1" s="1"/>
  <c r="H160" i="1" a="1"/>
  <c r="H160" i="1" s="1"/>
  <c r="F160" i="1" a="1"/>
  <c r="F160" i="1" s="1"/>
  <c r="G160" i="1" s="1"/>
  <c r="E160" i="1"/>
  <c r="I159" i="1" a="1"/>
  <c r="I159" i="1" s="1"/>
  <c r="H159" i="1" a="1"/>
  <c r="H159" i="1" s="1"/>
  <c r="F159" i="1" a="1"/>
  <c r="F159" i="1" s="1"/>
  <c r="G159" i="1" s="1"/>
  <c r="E159" i="1"/>
  <c r="I158" i="1" a="1"/>
  <c r="I158" i="1" s="1"/>
  <c r="H158" i="1" a="1"/>
  <c r="H158" i="1" s="1"/>
  <c r="F158" i="1" a="1"/>
  <c r="F158" i="1" s="1"/>
  <c r="G158" i="1" s="1"/>
  <c r="E158" i="1"/>
  <c r="I157" i="1" a="1"/>
  <c r="I157" i="1" s="1"/>
  <c r="H157" i="1" a="1"/>
  <c r="H157" i="1" s="1"/>
  <c r="F157" i="1" a="1"/>
  <c r="F157" i="1" s="1"/>
  <c r="G157" i="1" s="1"/>
  <c r="E157" i="1"/>
  <c r="I156" i="1" a="1"/>
  <c r="I156" i="1" s="1"/>
  <c r="H156" i="1" a="1"/>
  <c r="H156" i="1" s="1"/>
  <c r="F156" i="1" a="1"/>
  <c r="F156" i="1" s="1"/>
  <c r="G156" i="1" s="1"/>
  <c r="E156" i="1"/>
  <c r="I155" i="1" a="1"/>
  <c r="I155" i="1" s="1"/>
  <c r="H155" i="1" a="1"/>
  <c r="H155" i="1" s="1"/>
  <c r="F155" i="1" a="1"/>
  <c r="F155" i="1" s="1"/>
  <c r="G155" i="1" s="1"/>
  <c r="E155" i="1"/>
  <c r="E154" i="1"/>
  <c r="I153" i="1" a="1"/>
  <c r="I153" i="1" s="1"/>
  <c r="H153" i="1" a="1"/>
  <c r="H153" i="1" s="1"/>
  <c r="F153" i="1" a="1"/>
  <c r="F153" i="1" s="1"/>
  <c r="G153" i="1" s="1"/>
  <c r="E153" i="1"/>
  <c r="I152" i="1" a="1"/>
  <c r="I152" i="1" s="1"/>
  <c r="H152" i="1" a="1"/>
  <c r="H152" i="1" s="1"/>
  <c r="F152" i="1" a="1"/>
  <c r="F152" i="1" s="1"/>
  <c r="G152" i="1" s="1"/>
  <c r="E152" i="1"/>
  <c r="I151" i="1" a="1"/>
  <c r="I151" i="1" s="1"/>
  <c r="H151" i="1" a="1"/>
  <c r="H151" i="1" s="1"/>
  <c r="F151" i="1" a="1"/>
  <c r="F151" i="1" s="1"/>
  <c r="G151" i="1" s="1"/>
  <c r="E151" i="1"/>
  <c r="I150" i="1" a="1"/>
  <c r="I150" i="1" s="1"/>
  <c r="H150" i="1" a="1"/>
  <c r="H150" i="1" s="1"/>
  <c r="F150" i="1" a="1"/>
  <c r="F150" i="1" s="1"/>
  <c r="G150" i="1" s="1"/>
  <c r="E150" i="1"/>
  <c r="I149" i="1" a="1"/>
  <c r="I149" i="1" s="1"/>
  <c r="H149" i="1" a="1"/>
  <c r="H149" i="1" s="1"/>
  <c r="F149" i="1" a="1"/>
  <c r="F149" i="1" s="1"/>
  <c r="G149" i="1" s="1"/>
  <c r="E149" i="1"/>
  <c r="I148" i="1" a="1"/>
  <c r="I148" i="1" s="1"/>
  <c r="H148" i="1" a="1"/>
  <c r="H148" i="1" s="1"/>
  <c r="F148" i="1" a="1"/>
  <c r="F148" i="1" s="1"/>
  <c r="G148" i="1" s="1"/>
  <c r="E148" i="1"/>
  <c r="I147" i="1" a="1"/>
  <c r="I147" i="1" s="1"/>
  <c r="H147" i="1" a="1"/>
  <c r="H147" i="1" s="1"/>
  <c r="F147" i="1" a="1"/>
  <c r="F147" i="1" s="1"/>
  <c r="G147" i="1" s="1"/>
  <c r="E147" i="1"/>
  <c r="I146" i="1" a="1"/>
  <c r="I146" i="1" s="1"/>
  <c r="H146" i="1" a="1"/>
  <c r="H146" i="1" s="1"/>
  <c r="F146" i="1" a="1"/>
  <c r="F146" i="1" s="1"/>
  <c r="G146" i="1" s="1"/>
  <c r="E146" i="1"/>
  <c r="I145" i="1" a="1"/>
  <c r="I145" i="1" s="1"/>
  <c r="H145" i="1" a="1"/>
  <c r="H145" i="1" s="1"/>
  <c r="F145" i="1" a="1"/>
  <c r="F145" i="1" s="1"/>
  <c r="G145" i="1" s="1"/>
  <c r="E145" i="1"/>
  <c r="I144" i="1" a="1"/>
  <c r="I144" i="1" s="1"/>
  <c r="H144" i="1" a="1"/>
  <c r="H144" i="1" s="1"/>
  <c r="F144" i="1" a="1"/>
  <c r="F144" i="1" s="1"/>
  <c r="G144" i="1" s="1"/>
  <c r="E144" i="1"/>
  <c r="I143" i="1" a="1"/>
  <c r="I143" i="1" s="1"/>
  <c r="H143" i="1" a="1"/>
  <c r="H143" i="1" s="1"/>
  <c r="F143" i="1" a="1"/>
  <c r="F143" i="1" s="1"/>
  <c r="G143" i="1" s="1"/>
  <c r="E142" i="1"/>
  <c r="E141" i="1"/>
  <c r="F141" i="1" s="1" a="1"/>
  <c r="F141" i="1" s="1"/>
  <c r="I140" i="1" a="1"/>
  <c r="I140" i="1" s="1"/>
  <c r="H140" i="1" a="1"/>
  <c r="H140" i="1" s="1"/>
  <c r="F140" i="1" a="1"/>
  <c r="F140" i="1" s="1"/>
  <c r="G140" i="1" s="1"/>
  <c r="E140" i="1"/>
  <c r="I139" i="1" a="1"/>
  <c r="I139" i="1" s="1"/>
  <c r="H139" i="1" a="1"/>
  <c r="H139" i="1" s="1"/>
  <c r="F139" i="1" a="1"/>
  <c r="F139" i="1" s="1"/>
  <c r="G139" i="1" s="1"/>
  <c r="E139" i="1"/>
  <c r="I138" i="1" a="1"/>
  <c r="I138" i="1" s="1"/>
  <c r="H138" i="1" a="1"/>
  <c r="H138" i="1" s="1"/>
  <c r="F138" i="1" a="1"/>
  <c r="F138" i="1" s="1"/>
  <c r="G138" i="1" s="1"/>
  <c r="E138" i="1"/>
  <c r="I137" i="1" a="1"/>
  <c r="I137" i="1" s="1"/>
  <c r="H137" i="1" a="1"/>
  <c r="H137" i="1" s="1"/>
  <c r="F137" i="1" a="1"/>
  <c r="F137" i="1" s="1"/>
  <c r="G137" i="1" s="1"/>
  <c r="E137" i="1"/>
  <c r="I136" i="1" a="1"/>
  <c r="I136" i="1" s="1"/>
  <c r="H136" i="1" a="1"/>
  <c r="H136" i="1" s="1"/>
  <c r="F136" i="1" a="1"/>
  <c r="F136" i="1" s="1"/>
  <c r="G136" i="1" s="1"/>
  <c r="E136" i="1"/>
  <c r="I135" i="1" a="1"/>
  <c r="I135" i="1" s="1"/>
  <c r="H135" i="1" a="1"/>
  <c r="H135" i="1" s="1"/>
  <c r="F135" i="1" a="1"/>
  <c r="F135" i="1" s="1"/>
  <c r="G135" i="1" s="1"/>
  <c r="E135" i="1"/>
  <c r="I134" i="1" a="1"/>
  <c r="I134" i="1" s="1"/>
  <c r="H134" i="1" a="1"/>
  <c r="H134" i="1" s="1"/>
  <c r="F134" i="1" a="1"/>
  <c r="F134" i="1" s="1"/>
  <c r="G134" i="1" s="1"/>
  <c r="E134" i="1"/>
  <c r="I133" i="1" a="1"/>
  <c r="I133" i="1" s="1"/>
  <c r="H133" i="1" a="1"/>
  <c r="H133" i="1" s="1"/>
  <c r="F133" i="1" a="1"/>
  <c r="F133" i="1" s="1"/>
  <c r="G133" i="1" s="1"/>
  <c r="E133" i="1"/>
  <c r="I132" i="1" a="1"/>
  <c r="I132" i="1" s="1"/>
  <c r="H132" i="1" a="1"/>
  <c r="H132" i="1" s="1"/>
  <c r="F132" i="1" a="1"/>
  <c r="F132" i="1" s="1"/>
  <c r="G132" i="1" s="1"/>
  <c r="E132" i="1"/>
  <c r="E131" i="1"/>
  <c r="I130" i="1" a="1"/>
  <c r="I130" i="1" s="1"/>
  <c r="H130" i="1" a="1"/>
  <c r="H130" i="1" s="1"/>
  <c r="F130" i="1" a="1"/>
  <c r="F130" i="1" s="1"/>
  <c r="G130" i="1" s="1"/>
  <c r="E130" i="1"/>
  <c r="I129" i="1" a="1"/>
  <c r="I129" i="1" s="1"/>
  <c r="H129" i="1" a="1"/>
  <c r="H129" i="1" s="1"/>
  <c r="F129" i="1" a="1"/>
  <c r="F129" i="1" s="1"/>
  <c r="G129" i="1" s="1"/>
  <c r="E129" i="1"/>
  <c r="I128" i="1" a="1"/>
  <c r="I128" i="1" s="1"/>
  <c r="H128" i="1" a="1"/>
  <c r="H128" i="1" s="1"/>
  <c r="F128" i="1" a="1"/>
  <c r="F128" i="1" s="1"/>
  <c r="G128" i="1" s="1"/>
  <c r="E128" i="1"/>
  <c r="I127" i="1" a="1"/>
  <c r="I127" i="1" s="1"/>
  <c r="H127" i="1" a="1"/>
  <c r="H127" i="1" s="1"/>
  <c r="F127" i="1" a="1"/>
  <c r="F127" i="1" s="1"/>
  <c r="G127" i="1" s="1"/>
  <c r="E127" i="1"/>
  <c r="I126" i="1" a="1"/>
  <c r="I126" i="1" s="1"/>
  <c r="H126" i="1" a="1"/>
  <c r="H126" i="1" s="1"/>
  <c r="F126" i="1" a="1"/>
  <c r="F126" i="1" s="1"/>
  <c r="G126" i="1" s="1"/>
  <c r="E126" i="1"/>
  <c r="I125" i="1" a="1"/>
  <c r="I125" i="1" s="1"/>
  <c r="H125" i="1" a="1"/>
  <c r="H125" i="1" s="1"/>
  <c r="F125" i="1" a="1"/>
  <c r="F125" i="1" s="1"/>
  <c r="G125" i="1" s="1"/>
  <c r="E125" i="1"/>
  <c r="I124" i="1" a="1"/>
  <c r="I124" i="1" s="1"/>
  <c r="H124" i="1" a="1"/>
  <c r="H124" i="1" s="1"/>
  <c r="F124" i="1" a="1"/>
  <c r="F124" i="1" s="1"/>
  <c r="G124" i="1" s="1"/>
  <c r="E124" i="1"/>
  <c r="I123" i="1" a="1"/>
  <c r="I123" i="1" s="1"/>
  <c r="H123" i="1" a="1"/>
  <c r="H123" i="1" s="1"/>
  <c r="F123" i="1" a="1"/>
  <c r="F123" i="1" s="1"/>
  <c r="G123" i="1" s="1"/>
  <c r="E123" i="1"/>
  <c r="I122" i="1" a="1"/>
  <c r="I122" i="1" s="1"/>
  <c r="H122" i="1" a="1"/>
  <c r="H122" i="1" s="1"/>
  <c r="F122" i="1" a="1"/>
  <c r="F122" i="1" s="1"/>
  <c r="G122" i="1" s="1"/>
  <c r="E122" i="1"/>
  <c r="I121" i="1" a="1"/>
  <c r="I121" i="1" s="1"/>
  <c r="H121" i="1" a="1"/>
  <c r="H121" i="1" s="1"/>
  <c r="F121" i="1" a="1"/>
  <c r="F121" i="1" s="1"/>
  <c r="G121" i="1" s="1"/>
  <c r="E121" i="1"/>
  <c r="E120" i="1"/>
  <c r="I119" i="1" a="1"/>
  <c r="I119" i="1" s="1"/>
  <c r="H119" i="1" a="1"/>
  <c r="H119" i="1" s="1"/>
  <c r="F119" i="1" a="1"/>
  <c r="F119" i="1" s="1"/>
  <c r="G119" i="1" s="1"/>
  <c r="E119" i="1"/>
  <c r="I118" i="1" a="1"/>
  <c r="I118" i="1" s="1"/>
  <c r="H118" i="1" a="1"/>
  <c r="H118" i="1" s="1"/>
  <c r="F118" i="1" a="1"/>
  <c r="F118" i="1" s="1"/>
  <c r="G118" i="1" s="1"/>
  <c r="E118" i="1"/>
  <c r="I117" i="1" a="1"/>
  <c r="I117" i="1" s="1"/>
  <c r="H117" i="1" a="1"/>
  <c r="H117" i="1" s="1"/>
  <c r="F117" i="1" a="1"/>
  <c r="F117" i="1" s="1"/>
  <c r="G117" i="1" s="1"/>
  <c r="E117" i="1"/>
  <c r="I116" i="1" a="1"/>
  <c r="I116" i="1" s="1"/>
  <c r="H116" i="1" a="1"/>
  <c r="H116" i="1" s="1"/>
  <c r="F116" i="1" a="1"/>
  <c r="F116" i="1" s="1"/>
  <c r="G116" i="1" s="1"/>
  <c r="E116" i="1"/>
  <c r="I115" i="1" a="1"/>
  <c r="I115" i="1" s="1"/>
  <c r="H115" i="1" a="1"/>
  <c r="H115" i="1" s="1"/>
  <c r="F115" i="1" a="1"/>
  <c r="F115" i="1" s="1"/>
  <c r="G115" i="1" s="1"/>
  <c r="E115" i="1"/>
  <c r="I114" i="1" a="1"/>
  <c r="I114" i="1" s="1"/>
  <c r="H114" i="1" a="1"/>
  <c r="H114" i="1" s="1"/>
  <c r="F114" i="1" a="1"/>
  <c r="F114" i="1" s="1"/>
  <c r="G114" i="1" s="1"/>
  <c r="E114" i="1"/>
  <c r="I113" i="1" a="1"/>
  <c r="I113" i="1" s="1"/>
  <c r="H113" i="1" a="1"/>
  <c r="H113" i="1" s="1"/>
  <c r="F113" i="1" a="1"/>
  <c r="F113" i="1" s="1"/>
  <c r="G113" i="1" s="1"/>
  <c r="E113" i="1"/>
  <c r="I112" i="1" a="1"/>
  <c r="I112" i="1" s="1"/>
  <c r="H112" i="1" a="1"/>
  <c r="H112" i="1" s="1"/>
  <c r="F112" i="1" a="1"/>
  <c r="F112" i="1" s="1"/>
  <c r="G112" i="1" s="1"/>
  <c r="E112" i="1"/>
  <c r="I111" i="1" a="1"/>
  <c r="I111" i="1" s="1"/>
  <c r="H111" i="1" a="1"/>
  <c r="H111" i="1" s="1"/>
  <c r="F111" i="1" a="1"/>
  <c r="F111" i="1" s="1"/>
  <c r="G111" i="1" s="1"/>
  <c r="E111" i="1"/>
  <c r="E110" i="1"/>
  <c r="I109" i="1" a="1"/>
  <c r="I109" i="1" s="1"/>
  <c r="H109" i="1" a="1"/>
  <c r="H109" i="1" s="1"/>
  <c r="F109" i="1" a="1"/>
  <c r="F109" i="1" s="1"/>
  <c r="G109" i="1" s="1"/>
  <c r="E109" i="1"/>
  <c r="E108" i="1"/>
  <c r="E107" i="1"/>
  <c r="I106" i="1" a="1"/>
  <c r="I106" i="1" s="1"/>
  <c r="H106" i="1" a="1"/>
  <c r="H106" i="1" s="1"/>
  <c r="F106" i="1" a="1"/>
  <c r="F106" i="1" s="1"/>
  <c r="G106" i="1" s="1"/>
  <c r="E106" i="1"/>
  <c r="I105" i="1" a="1"/>
  <c r="I105" i="1" s="1"/>
  <c r="H105" i="1" a="1"/>
  <c r="H105" i="1" s="1"/>
  <c r="F105" i="1" a="1"/>
  <c r="F105" i="1" s="1"/>
  <c r="G105" i="1" s="1"/>
  <c r="E105" i="1"/>
  <c r="I104" i="1" a="1"/>
  <c r="I104" i="1" s="1"/>
  <c r="H104" i="1" a="1"/>
  <c r="H104" i="1" s="1"/>
  <c r="F104" i="1" a="1"/>
  <c r="F104" i="1" s="1"/>
  <c r="G104" i="1" s="1"/>
  <c r="E104" i="1"/>
  <c r="I103" i="1" a="1"/>
  <c r="I103" i="1" s="1"/>
  <c r="H103" i="1" a="1"/>
  <c r="H103" i="1" s="1"/>
  <c r="F103" i="1" a="1"/>
  <c r="F103" i="1" s="1"/>
  <c r="G103" i="1" s="1"/>
  <c r="E103" i="1"/>
  <c r="E102" i="1"/>
  <c r="I101" i="1" a="1"/>
  <c r="I101" i="1" s="1"/>
  <c r="H101" i="1" a="1"/>
  <c r="H101" i="1" s="1"/>
  <c r="F101" i="1" a="1"/>
  <c r="F101" i="1" s="1"/>
  <c r="G101" i="1" s="1"/>
  <c r="E101" i="1"/>
  <c r="I100" i="1" a="1"/>
  <c r="I100" i="1" s="1"/>
  <c r="H100" i="1" a="1"/>
  <c r="H100" i="1" s="1"/>
  <c r="F100" i="1" a="1"/>
  <c r="F100" i="1" s="1"/>
  <c r="G100" i="1" s="1"/>
  <c r="E100" i="1"/>
  <c r="I99" i="1" a="1"/>
  <c r="I99" i="1" s="1"/>
  <c r="H99" i="1" a="1"/>
  <c r="H99" i="1" s="1"/>
  <c r="F99" i="1" a="1"/>
  <c r="F99" i="1" s="1"/>
  <c r="G99" i="1" s="1"/>
  <c r="E99" i="1"/>
  <c r="I98" i="1" a="1"/>
  <c r="I98" i="1" s="1"/>
  <c r="H98" i="1" a="1"/>
  <c r="H98" i="1" s="1"/>
  <c r="F98" i="1" a="1"/>
  <c r="F98" i="1" s="1"/>
  <c r="G98" i="1" s="1"/>
  <c r="E98" i="1"/>
  <c r="I97" i="1" a="1"/>
  <c r="I97" i="1" s="1"/>
  <c r="H97" i="1" a="1"/>
  <c r="H97" i="1" s="1"/>
  <c r="F97" i="1" a="1"/>
  <c r="F97" i="1" s="1"/>
  <c r="G97" i="1" s="1"/>
  <c r="E97" i="1"/>
  <c r="I96" i="1" a="1"/>
  <c r="I96" i="1" s="1"/>
  <c r="H96" i="1" a="1"/>
  <c r="H96" i="1" s="1"/>
  <c r="F96" i="1" a="1"/>
  <c r="F96" i="1" s="1"/>
  <c r="G96" i="1" s="1"/>
  <c r="E96" i="1"/>
  <c r="I95" i="1" a="1"/>
  <c r="I95" i="1" s="1"/>
  <c r="H95" i="1" a="1"/>
  <c r="H95" i="1" s="1"/>
  <c r="F95" i="1" a="1"/>
  <c r="F95" i="1" s="1"/>
  <c r="G95" i="1" s="1"/>
  <c r="E95" i="1"/>
  <c r="I94" i="1" a="1"/>
  <c r="I94" i="1" s="1"/>
  <c r="H94" i="1" a="1"/>
  <c r="H94" i="1" s="1"/>
  <c r="F94" i="1" a="1"/>
  <c r="F94" i="1" s="1"/>
  <c r="G94" i="1" s="1"/>
  <c r="E94" i="1"/>
  <c r="I93" i="1" a="1"/>
  <c r="I93" i="1" s="1"/>
  <c r="H93" i="1" a="1"/>
  <c r="H93" i="1" s="1"/>
  <c r="F93" i="1" a="1"/>
  <c r="F93" i="1" s="1"/>
  <c r="G93" i="1" s="1"/>
  <c r="E93" i="1"/>
  <c r="I92" i="1" a="1"/>
  <c r="I92" i="1" s="1"/>
  <c r="H92" i="1" a="1"/>
  <c r="H92" i="1" s="1"/>
  <c r="F92" i="1" a="1"/>
  <c r="F92" i="1" s="1"/>
  <c r="G92" i="1" s="1"/>
  <c r="E92" i="1"/>
  <c r="E91" i="1"/>
  <c r="I90" i="1" a="1"/>
  <c r="I90" i="1" s="1"/>
  <c r="H90" i="1" a="1"/>
  <c r="H90" i="1" s="1"/>
  <c r="F90" i="1" a="1"/>
  <c r="F90" i="1" s="1"/>
  <c r="G90" i="1" s="1"/>
  <c r="E90" i="1"/>
  <c r="I89" i="1" a="1"/>
  <c r="I89" i="1" s="1"/>
  <c r="H89" i="1" a="1"/>
  <c r="H89" i="1" s="1"/>
  <c r="F89" i="1" a="1"/>
  <c r="F89" i="1" s="1"/>
  <c r="G89" i="1" s="1"/>
  <c r="E89" i="1"/>
  <c r="I88" i="1" a="1"/>
  <c r="I88" i="1" s="1"/>
  <c r="H88" i="1" a="1"/>
  <c r="H88" i="1" s="1"/>
  <c r="F88" i="1" a="1"/>
  <c r="F88" i="1" s="1"/>
  <c r="G88" i="1" s="1"/>
  <c r="E88" i="1"/>
  <c r="I87" i="1" a="1"/>
  <c r="I87" i="1" s="1"/>
  <c r="H87" i="1" a="1"/>
  <c r="H87" i="1" s="1"/>
  <c r="F87" i="1" a="1"/>
  <c r="F87" i="1" s="1"/>
  <c r="G87" i="1" s="1"/>
  <c r="E87" i="1"/>
  <c r="I86" i="1" a="1"/>
  <c r="I86" i="1" s="1"/>
  <c r="H86" i="1" a="1"/>
  <c r="H86" i="1" s="1"/>
  <c r="F86" i="1" a="1"/>
  <c r="F86" i="1" s="1"/>
  <c r="G86" i="1" s="1"/>
  <c r="E86" i="1"/>
  <c r="I85" i="1" a="1"/>
  <c r="I85" i="1" s="1"/>
  <c r="H85" i="1" a="1"/>
  <c r="H85" i="1" s="1"/>
  <c r="F85" i="1" a="1"/>
  <c r="F85" i="1" s="1"/>
  <c r="G85" i="1" s="1"/>
  <c r="E85" i="1"/>
  <c r="I84" i="1" a="1"/>
  <c r="I84" i="1" s="1"/>
  <c r="H84" i="1" a="1"/>
  <c r="H84" i="1" s="1"/>
  <c r="F84" i="1" a="1"/>
  <c r="F84" i="1" s="1"/>
  <c r="G84" i="1" s="1"/>
  <c r="E84" i="1"/>
  <c r="I83" i="1" a="1"/>
  <c r="I83" i="1" s="1"/>
  <c r="H83" i="1" a="1"/>
  <c r="H83" i="1" s="1"/>
  <c r="F83" i="1" a="1"/>
  <c r="F83" i="1" s="1"/>
  <c r="G83" i="1" s="1"/>
  <c r="E83" i="1"/>
  <c r="I82" i="1" a="1"/>
  <c r="I82" i="1" s="1"/>
  <c r="H82" i="1" a="1"/>
  <c r="H82" i="1" s="1"/>
  <c r="F82" i="1" a="1"/>
  <c r="F82" i="1" s="1"/>
  <c r="G82" i="1" s="1"/>
  <c r="E82" i="1"/>
  <c r="E81" i="1"/>
  <c r="I80" i="1" a="1"/>
  <c r="I80" i="1" s="1"/>
  <c r="H80" i="1" a="1"/>
  <c r="H80" i="1" s="1"/>
  <c r="F80" i="1" a="1"/>
  <c r="F80" i="1" s="1"/>
  <c r="G80" i="1" s="1"/>
  <c r="E80" i="1"/>
  <c r="I79" i="1" a="1"/>
  <c r="I79" i="1" s="1"/>
  <c r="H79" i="1" a="1"/>
  <c r="H79" i="1" s="1"/>
  <c r="F79" i="1" a="1"/>
  <c r="F79" i="1" s="1"/>
  <c r="G79" i="1" s="1"/>
  <c r="E79" i="1"/>
  <c r="I78" i="1" a="1"/>
  <c r="I78" i="1" s="1"/>
  <c r="H78" i="1" a="1"/>
  <c r="H78" i="1" s="1"/>
  <c r="F78" i="1" a="1"/>
  <c r="F78" i="1" s="1"/>
  <c r="G78" i="1" s="1"/>
  <c r="E78" i="1"/>
  <c r="I77" i="1" a="1"/>
  <c r="I77" i="1" s="1"/>
  <c r="H77" i="1" a="1"/>
  <c r="H77" i="1" s="1"/>
  <c r="F77" i="1" a="1"/>
  <c r="F77" i="1" s="1"/>
  <c r="G77" i="1" s="1"/>
  <c r="E77" i="1"/>
  <c r="E76" i="1"/>
  <c r="I75" i="1" a="1"/>
  <c r="I75" i="1" s="1"/>
  <c r="H75" i="1" a="1"/>
  <c r="H75" i="1" s="1"/>
  <c r="F75" i="1" a="1"/>
  <c r="F75" i="1" s="1"/>
  <c r="G75" i="1" s="1"/>
  <c r="E75" i="1"/>
  <c r="I74" i="1" a="1"/>
  <c r="I74" i="1" s="1"/>
  <c r="H74" i="1" a="1"/>
  <c r="H74" i="1" s="1"/>
  <c r="F74" i="1" a="1"/>
  <c r="F74" i="1" s="1"/>
  <c r="G74" i="1" s="1"/>
  <c r="E74" i="1"/>
  <c r="I73" i="1" a="1"/>
  <c r="I73" i="1" s="1"/>
  <c r="H73" i="1" a="1"/>
  <c r="H73" i="1" s="1"/>
  <c r="F73" i="1" a="1"/>
  <c r="F73" i="1" s="1"/>
  <c r="G73" i="1" s="1"/>
  <c r="E73" i="1"/>
  <c r="I72" i="1" a="1"/>
  <c r="I72" i="1" s="1"/>
  <c r="H72" i="1" a="1"/>
  <c r="H72" i="1" s="1"/>
  <c r="F72" i="1" a="1"/>
  <c r="F72" i="1" s="1"/>
  <c r="G72" i="1" s="1"/>
  <c r="E72" i="1"/>
  <c r="E71" i="1"/>
  <c r="E70" i="1"/>
  <c r="I69" i="1" a="1"/>
  <c r="I69" i="1" s="1"/>
  <c r="H69" i="1" a="1"/>
  <c r="H69" i="1" s="1"/>
  <c r="F69" i="1" a="1"/>
  <c r="F69" i="1" s="1"/>
  <c r="G69" i="1" s="1"/>
  <c r="E69" i="1"/>
  <c r="I68" i="1" a="1"/>
  <c r="I68" i="1" s="1"/>
  <c r="H68" i="1" a="1"/>
  <c r="H68" i="1" s="1"/>
  <c r="F68" i="1" a="1"/>
  <c r="F68" i="1" s="1"/>
  <c r="G68" i="1" s="1"/>
  <c r="E68" i="1"/>
  <c r="I67" i="1" a="1"/>
  <c r="I67" i="1" s="1"/>
  <c r="H67" i="1" a="1"/>
  <c r="H67" i="1" s="1"/>
  <c r="F67" i="1" a="1"/>
  <c r="F67" i="1" s="1"/>
  <c r="G67" i="1" s="1"/>
  <c r="E67" i="1"/>
  <c r="I66" i="1" a="1"/>
  <c r="I66" i="1" s="1"/>
  <c r="H66" i="1" a="1"/>
  <c r="H66" i="1" s="1"/>
  <c r="F66" i="1" a="1"/>
  <c r="F66" i="1" s="1"/>
  <c r="G66" i="1" s="1"/>
  <c r="E66" i="1"/>
  <c r="I65" i="1" a="1"/>
  <c r="I65" i="1" s="1"/>
  <c r="H65" i="1" a="1"/>
  <c r="H65" i="1" s="1"/>
  <c r="F65" i="1" a="1"/>
  <c r="F65" i="1" s="1"/>
  <c r="G65" i="1" s="1"/>
  <c r="E65" i="1"/>
  <c r="I64" i="1" a="1"/>
  <c r="I64" i="1" s="1"/>
  <c r="H64" i="1" a="1"/>
  <c r="H64" i="1" s="1"/>
  <c r="F64" i="1" a="1"/>
  <c r="F64" i="1" s="1"/>
  <c r="G64" i="1" s="1"/>
  <c r="E64" i="1"/>
  <c r="I63" i="1" a="1"/>
  <c r="I63" i="1" s="1"/>
  <c r="H63" i="1" a="1"/>
  <c r="H63" i="1" s="1"/>
  <c r="F63" i="1" a="1"/>
  <c r="F63" i="1" s="1"/>
  <c r="G63" i="1" s="1"/>
  <c r="E63" i="1"/>
  <c r="E62" i="1"/>
  <c r="I61" i="1" a="1"/>
  <c r="I61" i="1" s="1"/>
  <c r="H61" i="1" a="1"/>
  <c r="H61" i="1" s="1"/>
  <c r="F61" i="1" a="1"/>
  <c r="F61" i="1" s="1"/>
  <c r="G61" i="1" s="1"/>
  <c r="E61" i="1"/>
  <c r="I60" i="1" a="1"/>
  <c r="I60" i="1" s="1"/>
  <c r="H60" i="1" a="1"/>
  <c r="H60" i="1" s="1"/>
  <c r="F60" i="1" a="1"/>
  <c r="F60" i="1" s="1"/>
  <c r="G60" i="1" s="1"/>
  <c r="E60" i="1"/>
  <c r="I59" i="1" a="1"/>
  <c r="I59" i="1" s="1"/>
  <c r="H59" i="1" a="1"/>
  <c r="H59" i="1" s="1"/>
  <c r="F59" i="1" a="1"/>
  <c r="F59" i="1" s="1"/>
  <c r="G59" i="1" s="1"/>
  <c r="E59" i="1"/>
  <c r="I58" i="1" a="1"/>
  <c r="I58" i="1" s="1"/>
  <c r="H58" i="1" a="1"/>
  <c r="H58" i="1" s="1"/>
  <c r="F58" i="1" a="1"/>
  <c r="F58" i="1" s="1"/>
  <c r="G58" i="1" s="1"/>
  <c r="E58" i="1"/>
  <c r="I57" i="1" a="1"/>
  <c r="I57" i="1" s="1"/>
  <c r="H57" i="1" a="1"/>
  <c r="H57" i="1" s="1"/>
  <c r="F57" i="1" a="1"/>
  <c r="F57" i="1" s="1"/>
  <c r="G57" i="1" s="1"/>
  <c r="E57" i="1"/>
  <c r="I56" i="1" a="1"/>
  <c r="I56" i="1" s="1"/>
  <c r="H56" i="1" a="1"/>
  <c r="H56" i="1" s="1"/>
  <c r="F56" i="1" a="1"/>
  <c r="F56" i="1" s="1"/>
  <c r="G56" i="1" s="1"/>
  <c r="E56" i="1"/>
  <c r="E55" i="1"/>
  <c r="I54" i="1" a="1"/>
  <c r="I54" i="1" s="1"/>
  <c r="H54" i="1" a="1"/>
  <c r="H54" i="1" s="1"/>
  <c r="F54" i="1" a="1"/>
  <c r="F54" i="1" s="1"/>
  <c r="G54" i="1" s="1"/>
  <c r="E54" i="1"/>
  <c r="I53" i="1" a="1"/>
  <c r="I53" i="1" s="1"/>
  <c r="H53" i="1" a="1"/>
  <c r="H53" i="1" s="1"/>
  <c r="F53" i="1" a="1"/>
  <c r="F53" i="1" s="1"/>
  <c r="G53" i="1" s="1"/>
  <c r="E53" i="1"/>
  <c r="I52" i="1" a="1"/>
  <c r="I52" i="1" s="1"/>
  <c r="H52" i="1" a="1"/>
  <c r="H52" i="1" s="1"/>
  <c r="F52" i="1" a="1"/>
  <c r="F52" i="1" s="1"/>
  <c r="G52" i="1" s="1"/>
  <c r="E52" i="1"/>
  <c r="I51" i="1" a="1"/>
  <c r="I51" i="1" s="1"/>
  <c r="H51" i="1" a="1"/>
  <c r="H51" i="1" s="1"/>
  <c r="F51" i="1" a="1"/>
  <c r="F51" i="1" s="1"/>
  <c r="G51" i="1" s="1"/>
  <c r="E51" i="1"/>
  <c r="I50" i="1" a="1"/>
  <c r="I50" i="1" s="1"/>
  <c r="H50" i="1" a="1"/>
  <c r="H50" i="1" s="1"/>
  <c r="F50" i="1" a="1"/>
  <c r="F50" i="1" s="1"/>
  <c r="G50" i="1" s="1"/>
  <c r="E50" i="1"/>
  <c r="I49" i="1" a="1"/>
  <c r="I49" i="1" s="1"/>
  <c r="H49" i="1" a="1"/>
  <c r="H49" i="1" s="1"/>
  <c r="F49" i="1" a="1"/>
  <c r="F49" i="1" s="1"/>
  <c r="G49" i="1" s="1"/>
  <c r="E49" i="1"/>
  <c r="I48" i="1" a="1"/>
  <c r="I48" i="1" s="1"/>
  <c r="H48" i="1" a="1"/>
  <c r="H48" i="1" s="1"/>
  <c r="F48" i="1" a="1"/>
  <c r="F48" i="1" s="1"/>
  <c r="G48" i="1" s="1"/>
  <c r="E48" i="1"/>
  <c r="I47" i="1" a="1"/>
  <c r="I47" i="1" s="1"/>
  <c r="H47" i="1" a="1"/>
  <c r="H47" i="1" s="1"/>
  <c r="F47" i="1" a="1"/>
  <c r="F47" i="1" s="1"/>
  <c r="G47" i="1" s="1"/>
  <c r="E47" i="1"/>
  <c r="I46" i="1" a="1"/>
  <c r="I46" i="1" s="1"/>
  <c r="H46" i="1" a="1"/>
  <c r="H46" i="1" s="1"/>
  <c r="F46" i="1" a="1"/>
  <c r="F46" i="1" s="1"/>
  <c r="G46" i="1" s="1"/>
  <c r="E46" i="1"/>
  <c r="I45" i="1" a="1"/>
  <c r="I45" i="1" s="1"/>
  <c r="H45" i="1" a="1"/>
  <c r="H45" i="1" s="1"/>
  <c r="F45" i="1" a="1"/>
  <c r="F45" i="1" s="1"/>
  <c r="G45" i="1" s="1"/>
  <c r="E45" i="1"/>
  <c r="I44" i="1" a="1"/>
  <c r="I44" i="1" s="1"/>
  <c r="H44" i="1" a="1"/>
  <c r="H44" i="1" s="1"/>
  <c r="F44" i="1" a="1"/>
  <c r="F44" i="1" s="1"/>
  <c r="G44" i="1" s="1"/>
  <c r="E44" i="1"/>
  <c r="E43" i="1"/>
  <c r="E41" i="1"/>
  <c r="D41" i="1"/>
  <c r="F34" i="1"/>
  <c r="E34" i="1"/>
  <c r="D34" i="1"/>
  <c r="C34" i="1"/>
  <c r="A34" i="1"/>
  <c r="B34" i="1" s="1"/>
  <c r="F33" i="1"/>
  <c r="E33" i="1"/>
  <c r="D33" i="1"/>
  <c r="C33" i="1"/>
  <c r="B33" i="1"/>
  <c r="A33" i="1"/>
  <c r="F32" i="1"/>
  <c r="E32" i="1"/>
  <c r="D32" i="1"/>
  <c r="C32" i="1"/>
  <c r="A32" i="1"/>
  <c r="B32" i="1" s="1"/>
  <c r="F31" i="1"/>
  <c r="E31" i="1"/>
  <c r="D31" i="1"/>
  <c r="C31" i="1"/>
  <c r="B31" i="1"/>
  <c r="A31" i="1"/>
  <c r="F30" i="1"/>
  <c r="E30" i="1"/>
  <c r="D30" i="1"/>
  <c r="C30" i="1"/>
  <c r="A30" i="1"/>
  <c r="B30" i="1" s="1"/>
  <c r="F29" i="1"/>
  <c r="E29" i="1"/>
  <c r="D29" i="1"/>
  <c r="C29" i="1"/>
  <c r="B29" i="1"/>
  <c r="A29" i="1"/>
  <c r="F28" i="1"/>
  <c r="E28" i="1"/>
  <c r="D28" i="1"/>
  <c r="C28" i="1"/>
  <c r="A28" i="1"/>
  <c r="B28" i="1" s="1"/>
  <c r="F27" i="1"/>
  <c r="E27" i="1"/>
  <c r="D27" i="1"/>
  <c r="C27" i="1"/>
  <c r="B27" i="1"/>
  <c r="A27" i="1"/>
  <c r="F26" i="1"/>
  <c r="E26" i="1"/>
  <c r="D26" i="1"/>
  <c r="C26" i="1"/>
  <c r="A26" i="1"/>
  <c r="B26" i="1" s="1"/>
  <c r="F25" i="1"/>
  <c r="E25" i="1"/>
  <c r="D25" i="1"/>
  <c r="C25" i="1"/>
  <c r="B25" i="1"/>
  <c r="A25" i="1"/>
  <c r="F24" i="1"/>
  <c r="E24" i="1"/>
  <c r="D24" i="1"/>
  <c r="C24" i="1"/>
  <c r="A24" i="1"/>
  <c r="B24" i="1" s="1"/>
  <c r="F23" i="1"/>
  <c r="E23" i="1"/>
  <c r="D23" i="1"/>
  <c r="C23" i="1"/>
  <c r="B23" i="1"/>
  <c r="A23" i="1"/>
  <c r="F22" i="1"/>
  <c r="E22" i="1"/>
  <c r="D22" i="1"/>
  <c r="C22" i="1"/>
  <c r="A22" i="1"/>
  <c r="B22" i="1" s="1"/>
  <c r="F21" i="1"/>
  <c r="E21" i="1"/>
  <c r="D21" i="1"/>
  <c r="C21" i="1"/>
  <c r="B21" i="1"/>
  <c r="A21" i="1"/>
  <c r="I16" i="1" a="1"/>
  <c r="I16" i="1" s="1"/>
  <c r="F16" i="1"/>
  <c r="I15" i="1" a="1"/>
  <c r="I15" i="1" s="1"/>
  <c r="F15" i="1"/>
  <c r="I14" i="1" a="1"/>
  <c r="I14" i="1" s="1"/>
  <c r="F14" i="1"/>
  <c r="I13" i="1" a="1"/>
  <c r="I13" i="1" s="1"/>
  <c r="F13" i="1"/>
  <c r="I12" i="1" a="1"/>
  <c r="I12" i="1" s="1"/>
  <c r="F12" i="1"/>
  <c r="I11" i="1" a="1"/>
  <c r="I11" i="1" s="1"/>
  <c r="F11" i="1"/>
  <c r="I10" i="1" a="1"/>
  <c r="I10" i="1" s="1"/>
  <c r="F10" i="1"/>
  <c r="I9" i="1" a="1"/>
  <c r="I9" i="1" s="1"/>
  <c r="F9" i="1"/>
  <c r="I8" i="1" a="1"/>
  <c r="I8" i="1" s="1"/>
  <c r="F8" i="1"/>
  <c r="I7" i="1" a="1"/>
  <c r="I7" i="1" s="1"/>
  <c r="F7" i="1"/>
  <c r="T6" i="1"/>
  <c r="T7" i="1" s="1"/>
  <c r="S6" i="1"/>
  <c r="I6" i="1" a="1"/>
  <c r="I6" i="1" s="1"/>
  <c r="F6" i="1"/>
  <c r="I5" i="1" a="1"/>
  <c r="I5" i="1" s="1"/>
  <c r="F5" i="1"/>
  <c r="I4" i="1" a="1"/>
  <c r="I4" i="1" s="1"/>
  <c r="F4" i="1"/>
  <c r="I3" i="1" a="1"/>
  <c r="I3" i="1" s="1"/>
  <c r="F3" i="1"/>
  <c r="F439" i="1" l="1" a="1"/>
  <c r="F439" i="1" s="1"/>
  <c r="F487" i="1" a="1"/>
  <c r="F487" i="1" s="1"/>
  <c r="I487" i="1" s="1" a="1"/>
  <c r="I487" i="1" s="1"/>
  <c r="F238" i="1" a="1"/>
  <c r="F238" i="1" s="1"/>
  <c r="F403" i="1" a="1"/>
  <c r="F403" i="1" s="1"/>
  <c r="F260" i="1" a="1"/>
  <c r="F260" i="1" s="1"/>
  <c r="F308" i="1" a="1"/>
  <c r="F308" i="1" s="1"/>
  <c r="I308" i="1" s="1" a="1"/>
  <c r="I308" i="1" s="1"/>
  <c r="F499" i="1" a="1"/>
  <c r="F499" i="1" s="1"/>
  <c r="F626" i="1" a="1"/>
  <c r="F626" i="1" s="1"/>
  <c r="F517" i="1" a="1"/>
  <c r="F517" i="1" s="1"/>
  <c r="K572" i="1" a="1"/>
  <c r="K572" i="1" s="1"/>
  <c r="M527" i="1" a="1"/>
  <c r="M527" i="1" s="1"/>
  <c r="F579" i="1" a="1"/>
  <c r="F579" i="1" s="1"/>
  <c r="F226" i="1" a="1"/>
  <c r="F226" i="1" s="1"/>
  <c r="F305" i="1" a="1"/>
  <c r="F305" i="1" s="1"/>
  <c r="N481" i="1" a="1"/>
  <c r="N481" i="1" s="1"/>
  <c r="F359" i="1" a="1"/>
  <c r="F359" i="1" s="1"/>
  <c r="I359" i="1" s="1" a="1"/>
  <c r="I359" i="1" s="1"/>
  <c r="L614" i="1" a="1"/>
  <c r="L614" i="1" s="1"/>
  <c r="H311" i="1" a="1"/>
  <c r="H311" i="1" s="1"/>
  <c r="F447" i="1" a="1"/>
  <c r="F447" i="1" s="1"/>
  <c r="F609" i="1" a="1"/>
  <c r="F609" i="1" s="1"/>
  <c r="F102" i="1" a="1"/>
  <c r="F102" i="1" s="1"/>
  <c r="H255" i="1" a="1"/>
  <c r="H255" i="1" s="1"/>
  <c r="F633" i="1" a="1"/>
  <c r="F633" i="1" s="1"/>
  <c r="I633" i="1" s="1" a="1"/>
  <c r="I633" i="1" s="1"/>
  <c r="F370" i="1" a="1"/>
  <c r="F370" i="1" s="1"/>
  <c r="K495" i="1" a="1"/>
  <c r="K495" i="1" s="1"/>
  <c r="K630" i="1" a="1"/>
  <c r="K630" i="1" s="1"/>
  <c r="N555" i="1" a="1"/>
  <c r="N555" i="1" s="1"/>
  <c r="F599" i="1" a="1"/>
  <c r="F599" i="1" s="1"/>
  <c r="I599" i="1" s="1" a="1"/>
  <c r="I599" i="1" s="1"/>
  <c r="F228" i="1" a="1"/>
  <c r="F228" i="1" s="1"/>
  <c r="I228" i="1" s="1" a="1"/>
  <c r="I228" i="1" s="1"/>
  <c r="F231" i="1" a="1"/>
  <c r="F231" i="1" s="1"/>
  <c r="I231" i="1" s="1" a="1"/>
  <c r="I231" i="1" s="1"/>
  <c r="H270" i="1" a="1"/>
  <c r="H270" i="1" s="1"/>
  <c r="F356" i="1" a="1"/>
  <c r="F356" i="1" s="1"/>
  <c r="N475" i="1" a="1"/>
  <c r="N475" i="1" s="1"/>
  <c r="K489" i="1" a="1"/>
  <c r="K489" i="1" s="1"/>
  <c r="F589" i="1" a="1"/>
  <c r="F589" i="1" s="1"/>
  <c r="F341" i="1" a="1"/>
  <c r="F341" i="1" s="1"/>
  <c r="H376" i="1" a="1"/>
  <c r="H376" i="1" s="1"/>
  <c r="N536" i="1" a="1"/>
  <c r="N536" i="1" s="1"/>
  <c r="H110" i="1" a="1"/>
  <c r="H110" i="1" s="1"/>
  <c r="L642" i="1" a="1"/>
  <c r="L642" i="1" s="1"/>
  <c r="L527" i="1" a="1"/>
  <c r="L527" i="1" s="1"/>
  <c r="F282" i="1" a="1"/>
  <c r="F282" i="1" s="1"/>
  <c r="I282" i="1" s="1" a="1"/>
  <c r="I282" i="1" s="1"/>
  <c r="F465" i="1" a="1"/>
  <c r="F465" i="1" s="1"/>
  <c r="I465" i="1" s="1" a="1"/>
  <c r="I465" i="1" s="1"/>
  <c r="L517" i="1" a="1"/>
  <c r="L517" i="1" s="1"/>
  <c r="M572" i="1" a="1"/>
  <c r="M572" i="1" s="1"/>
  <c r="F614" i="1" a="1"/>
  <c r="F614" i="1" s="1"/>
  <c r="N629" i="1" a="1"/>
  <c r="N629" i="1" s="1"/>
  <c r="H228" i="1" a="1"/>
  <c r="H228" i="1" s="1"/>
  <c r="H391" i="1" a="1"/>
  <c r="H391" i="1" s="1"/>
  <c r="L599" i="1" a="1"/>
  <c r="L599" i="1" s="1"/>
  <c r="H378" i="1" a="1"/>
  <c r="H378" i="1" s="1"/>
  <c r="F466" i="1" a="1"/>
  <c r="F466" i="1" s="1"/>
  <c r="I466" i="1" s="1" a="1"/>
  <c r="I466" i="1" s="1"/>
  <c r="N582" i="1" a="1"/>
  <c r="N582" i="1" s="1"/>
  <c r="H233" i="1" a="1"/>
  <c r="H233" i="1" s="1"/>
  <c r="F434" i="1" a="1"/>
  <c r="F434" i="1" s="1"/>
  <c r="H589" i="1" a="1"/>
  <c r="H589" i="1" s="1"/>
  <c r="N642" i="1" a="1"/>
  <c r="N642" i="1" s="1"/>
  <c r="H238" i="1" a="1"/>
  <c r="H238" i="1" s="1"/>
  <c r="N633" i="1" a="1"/>
  <c r="N633" i="1" s="1"/>
  <c r="N626" i="1" a="1"/>
  <c r="N626" i="1" s="1"/>
  <c r="H172" i="1" a="1"/>
  <c r="H172" i="1" s="1"/>
  <c r="F285" i="1" a="1"/>
  <c r="F285" i="1" s="1"/>
  <c r="I285" i="1" s="1" a="1"/>
  <c r="I285" i="1" s="1"/>
  <c r="K499" i="1" a="1"/>
  <c r="K499" i="1" s="1"/>
  <c r="M635" i="1" a="1"/>
  <c r="M635" i="1" s="1"/>
  <c r="H81" i="1" a="1"/>
  <c r="H81" i="1" s="1"/>
  <c r="F242" i="1" a="1"/>
  <c r="F242" i="1" s="1"/>
  <c r="I242" i="1" s="1" a="1"/>
  <c r="I242" i="1" s="1"/>
  <c r="F262" i="1" a="1"/>
  <c r="F262" i="1" s="1"/>
  <c r="I262" i="1" s="1" a="1"/>
  <c r="I262" i="1" s="1"/>
  <c r="H517" i="1" a="1"/>
  <c r="H517" i="1" s="1"/>
  <c r="H55" i="1" a="1"/>
  <c r="H55" i="1" s="1"/>
  <c r="H285" i="1" a="1"/>
  <c r="H285" i="1" s="1"/>
  <c r="H338" i="1" a="1"/>
  <c r="H338" i="1" s="1"/>
  <c r="H280" i="1" a="1"/>
  <c r="H280" i="1" s="1"/>
  <c r="H442" i="1" a="1"/>
  <c r="H442" i="1" s="1"/>
  <c r="H462" i="1" a="1"/>
  <c r="H462" i="1" s="1"/>
  <c r="M495" i="1" a="1"/>
  <c r="M495" i="1" s="1"/>
  <c r="H107" i="1" a="1"/>
  <c r="H107" i="1" s="1"/>
  <c r="H108" i="1" a="1"/>
  <c r="H108" i="1" s="1"/>
  <c r="F255" i="1" a="1"/>
  <c r="F255" i="1" s="1"/>
  <c r="I255" i="1" s="1" a="1"/>
  <c r="I255" i="1" s="1"/>
  <c r="F280" i="1" a="1"/>
  <c r="F280" i="1" s="1"/>
  <c r="I280" i="1" s="1" a="1"/>
  <c r="I280" i="1" s="1"/>
  <c r="H300" i="1" a="1"/>
  <c r="H300" i="1" s="1"/>
  <c r="H131" i="1" a="1"/>
  <c r="H131" i="1" s="1"/>
  <c r="H43" i="1" a="1"/>
  <c r="H43" i="1" s="1"/>
  <c r="H223" i="1" a="1"/>
  <c r="H223" i="1" s="1"/>
  <c r="F266" i="1" a="1"/>
  <c r="F266" i="1" s="1"/>
  <c r="I266" i="1" s="1" a="1"/>
  <c r="I266" i="1" s="1"/>
  <c r="F338" i="1" a="1"/>
  <c r="F338" i="1" s="1"/>
  <c r="I338" i="1" s="1" a="1"/>
  <c r="I338" i="1" s="1"/>
  <c r="F444" i="1" a="1"/>
  <c r="F444" i="1" s="1"/>
  <c r="I444" i="1" s="1" a="1"/>
  <c r="I444" i="1" s="1"/>
  <c r="H465" i="1" a="1"/>
  <c r="H465" i="1" s="1"/>
  <c r="F469" i="1" a="1"/>
  <c r="F469" i="1" s="1"/>
  <c r="I469" i="1" s="1" a="1"/>
  <c r="I469" i="1" s="1"/>
  <c r="H482" i="1" a="1"/>
  <c r="H482" i="1" s="1"/>
  <c r="N579" i="1" a="1"/>
  <c r="N579" i="1" s="1"/>
  <c r="H120" i="1" a="1"/>
  <c r="H120" i="1" s="1"/>
  <c r="H266" i="1" a="1"/>
  <c r="H266" i="1" s="1"/>
  <c r="F472" i="1" a="1"/>
  <c r="F472" i="1" s="1"/>
  <c r="I472" i="1" s="1" a="1"/>
  <c r="I472" i="1" s="1"/>
  <c r="H62" i="1" a="1"/>
  <c r="H62" i="1" s="1"/>
  <c r="H70" i="1" a="1"/>
  <c r="H70" i="1" s="1"/>
  <c r="F81" i="1" a="1"/>
  <c r="F81" i="1" s="1"/>
  <c r="I81" i="1" s="1" a="1"/>
  <c r="I81" i="1" s="1"/>
  <c r="F172" i="1" a="1"/>
  <c r="F172" i="1" s="1"/>
  <c r="I172" i="1" s="1" a="1"/>
  <c r="I172" i="1" s="1"/>
  <c r="H200" i="1" a="1"/>
  <c r="H200" i="1" s="1"/>
  <c r="H269" i="1" a="1"/>
  <c r="H269" i="1" s="1"/>
  <c r="F70" i="1" a="1"/>
  <c r="F70" i="1" s="1"/>
  <c r="I70" i="1" s="1" a="1"/>
  <c r="I70" i="1" s="1"/>
  <c r="H76" i="1" a="1"/>
  <c r="H76" i="1" s="1"/>
  <c r="H185" i="1" a="1"/>
  <c r="H185" i="1" s="1"/>
  <c r="F269" i="1" a="1"/>
  <c r="F269" i="1" s="1"/>
  <c r="I269" i="1" s="1" a="1"/>
  <c r="I269" i="1" s="1"/>
  <c r="H308" i="1" a="1"/>
  <c r="H308" i="1" s="1"/>
  <c r="F391" i="1" a="1"/>
  <c r="F391" i="1" s="1"/>
  <c r="I391" i="1" s="1" a="1"/>
  <c r="I391" i="1" s="1"/>
  <c r="H71" i="1" a="1"/>
  <c r="H71" i="1" s="1"/>
  <c r="F76" i="1" a="1"/>
  <c r="F76" i="1" s="1"/>
  <c r="I76" i="1" s="1" a="1"/>
  <c r="I76" i="1" s="1"/>
  <c r="F110" i="1" a="1"/>
  <c r="F110" i="1" s="1"/>
  <c r="I110" i="1" s="1" a="1"/>
  <c r="I110" i="1" s="1"/>
  <c r="H210" i="1" a="1"/>
  <c r="H210" i="1" s="1"/>
  <c r="H307" i="1" a="1"/>
  <c r="H307" i="1" s="1"/>
  <c r="F328" i="1" a="1"/>
  <c r="F328" i="1" s="1"/>
  <c r="I328" i="1" s="1" a="1"/>
  <c r="I328" i="1" s="1"/>
  <c r="H361" i="1" a="1"/>
  <c r="H361" i="1" s="1"/>
  <c r="F453" i="1" a="1"/>
  <c r="F453" i="1" s="1"/>
  <c r="I453" i="1" s="1" a="1"/>
  <c r="I453" i="1" s="1"/>
  <c r="F458" i="1" a="1"/>
  <c r="F458" i="1" s="1"/>
  <c r="I458" i="1" s="1" a="1"/>
  <c r="I458" i="1" s="1"/>
  <c r="L510" i="1" a="1"/>
  <c r="L510" i="1" s="1"/>
  <c r="N517" i="1" a="1"/>
  <c r="N517" i="1" s="1"/>
  <c r="H91" i="1" a="1"/>
  <c r="H91" i="1" s="1"/>
  <c r="H215" i="1" a="1"/>
  <c r="H215" i="1" s="1"/>
  <c r="F376" i="1" a="1"/>
  <c r="F376" i="1" s="1"/>
  <c r="I376" i="1" s="1" a="1"/>
  <c r="I376" i="1" s="1"/>
  <c r="H257" i="1" a="1"/>
  <c r="H257" i="1" s="1"/>
  <c r="F489" i="1" a="1"/>
  <c r="F489" i="1" s="1"/>
  <c r="I489" i="1" s="1" a="1"/>
  <c r="I489" i="1" s="1"/>
  <c r="L582" i="1" a="1"/>
  <c r="L582" i="1" s="1"/>
  <c r="H621" i="1" a="1"/>
  <c r="H621" i="1" s="1"/>
  <c r="F582" i="1" a="1"/>
  <c r="F582" i="1" s="1"/>
  <c r="I582" i="1" s="1" a="1"/>
  <c r="I582" i="1" s="1"/>
  <c r="H616" i="1" a="1"/>
  <c r="H616" i="1" s="1"/>
  <c r="N575" i="1" a="1"/>
  <c r="N575" i="1" s="1"/>
  <c r="H630" i="1" a="1"/>
  <c r="H630" i="1" s="1"/>
  <c r="H489" i="1" a="1"/>
  <c r="H489" i="1" s="1"/>
  <c r="M499" i="1" a="1"/>
  <c r="M499" i="1" s="1"/>
  <c r="H599" i="1" a="1"/>
  <c r="H599" i="1" s="1"/>
  <c r="H341" i="1" a="1"/>
  <c r="H341" i="1" s="1"/>
  <c r="F420" i="1" a="1"/>
  <c r="F420" i="1" s="1"/>
  <c r="I420" i="1" s="1" a="1"/>
  <c r="I420" i="1" s="1"/>
  <c r="F642" i="1" a="1"/>
  <c r="F642" i="1" s="1"/>
  <c r="I642" i="1" s="1" a="1"/>
  <c r="I642" i="1" s="1"/>
  <c r="M604" i="1" a="1"/>
  <c r="M604" i="1" s="1"/>
  <c r="N604" i="1" a="1"/>
  <c r="N604" i="1" s="1"/>
  <c r="F437" i="1" a="1"/>
  <c r="F437" i="1" s="1"/>
  <c r="I437" i="1" s="1" a="1"/>
  <c r="I437" i="1" s="1"/>
  <c r="F449" i="1" a="1"/>
  <c r="F449" i="1" s="1"/>
  <c r="I449" i="1" s="1" a="1"/>
  <c r="I449" i="1" s="1"/>
  <c r="H561" i="1" a="1"/>
  <c r="H561" i="1" s="1"/>
  <c r="F414" i="1" a="1"/>
  <c r="F414" i="1" s="1"/>
  <c r="I414" i="1" s="1" a="1"/>
  <c r="I414" i="1" s="1"/>
  <c r="M579" i="1" a="1"/>
  <c r="M579" i="1" s="1"/>
  <c r="N599" i="1" a="1"/>
  <c r="N599" i="1" s="1"/>
  <c r="I102" i="1" a="1"/>
  <c r="I102" i="1" s="1"/>
  <c r="I141" i="1" a="1"/>
  <c r="I141" i="1" s="1"/>
  <c r="I209" i="1" a="1"/>
  <c r="I209" i="1" s="1"/>
  <c r="I238" i="1" a="1"/>
  <c r="I238" i="1" s="1"/>
  <c r="I370" i="1" a="1"/>
  <c r="I370" i="1" s="1"/>
  <c r="I480" i="1" a="1"/>
  <c r="I480" i="1" s="1"/>
  <c r="F107" i="1" a="1"/>
  <c r="F107" i="1" s="1"/>
  <c r="F185" i="1" a="1"/>
  <c r="F185" i="1" s="1"/>
  <c r="F210" i="1" a="1"/>
  <c r="F210" i="1" s="1"/>
  <c r="I226" i="1" a="1"/>
  <c r="I226" i="1" s="1"/>
  <c r="F233" i="1" a="1"/>
  <c r="F233" i="1" s="1"/>
  <c r="F296" i="1" a="1"/>
  <c r="F296" i="1" s="1"/>
  <c r="H296" i="1" a="1"/>
  <c r="H296" i="1" s="1"/>
  <c r="I305" i="1" a="1"/>
  <c r="I305" i="1" s="1"/>
  <c r="F91" i="1" a="1"/>
  <c r="F91" i="1" s="1"/>
  <c r="F131" i="1" a="1"/>
  <c r="F131" i="1" s="1"/>
  <c r="F200" i="1" a="1"/>
  <c r="F200" i="1" s="1"/>
  <c r="F62" i="1" a="1"/>
  <c r="F62" i="1" s="1"/>
  <c r="F71" i="1" a="1"/>
  <c r="F71" i="1" s="1"/>
  <c r="H102" i="1" a="1"/>
  <c r="H102" i="1" s="1"/>
  <c r="F191" i="1" a="1"/>
  <c r="F191" i="1" s="1"/>
  <c r="I258" i="1" a="1"/>
  <c r="I258" i="1" s="1"/>
  <c r="I399" i="1" a="1"/>
  <c r="I399" i="1" s="1"/>
  <c r="H208" i="1" a="1"/>
  <c r="H208" i="1" s="1"/>
  <c r="F300" i="1" a="1"/>
  <c r="F300" i="1" s="1"/>
  <c r="H297" i="1" a="1"/>
  <c r="H297" i="1" s="1"/>
  <c r="F55" i="1" a="1"/>
  <c r="F55" i="1" s="1"/>
  <c r="F108" i="1" a="1"/>
  <c r="F108" i="1" s="1"/>
  <c r="F120" i="1" a="1"/>
  <c r="F120" i="1" s="1"/>
  <c r="F154" i="1" a="1"/>
  <c r="F154" i="1" s="1"/>
  <c r="F215" i="1" a="1"/>
  <c r="F215" i="1" s="1"/>
  <c r="F235" i="1" a="1"/>
  <c r="F235" i="1" s="1"/>
  <c r="H235" i="1" a="1"/>
  <c r="H235" i="1" s="1"/>
  <c r="F240" i="1" a="1"/>
  <c r="F240" i="1" s="1"/>
  <c r="H240" i="1" a="1"/>
  <c r="H240" i="1" s="1"/>
  <c r="I307" i="1" a="1"/>
  <c r="I307" i="1" s="1"/>
  <c r="I356" i="1" a="1"/>
  <c r="I356" i="1" s="1"/>
  <c r="I405" i="1" a="1"/>
  <c r="I405" i="1" s="1"/>
  <c r="F43" i="1" a="1"/>
  <c r="F43" i="1" s="1"/>
  <c r="F179" i="1" a="1"/>
  <c r="F179" i="1" s="1"/>
  <c r="F223" i="1" a="1"/>
  <c r="F223" i="1" s="1"/>
  <c r="I260" i="1" a="1"/>
  <c r="I260" i="1" s="1"/>
  <c r="F247" i="1" a="1"/>
  <c r="F247" i="1" s="1"/>
  <c r="H247" i="1" a="1"/>
  <c r="H247" i="1" s="1"/>
  <c r="I341" i="1" a="1"/>
  <c r="I341" i="1" s="1"/>
  <c r="H179" i="1" a="1"/>
  <c r="H179" i="1" s="1"/>
  <c r="H209" i="1" a="1"/>
  <c r="H209" i="1" s="1"/>
  <c r="H279" i="1" a="1"/>
  <c r="H279" i="1" s="1"/>
  <c r="F279" i="1" a="1"/>
  <c r="F279" i="1" s="1"/>
  <c r="I434" i="1" a="1"/>
  <c r="I434" i="1" s="1"/>
  <c r="H374" i="1" a="1"/>
  <c r="H374" i="1" s="1"/>
  <c r="H396" i="1" a="1"/>
  <c r="H396" i="1" s="1"/>
  <c r="H242" i="1" a="1"/>
  <c r="H242" i="1" s="1"/>
  <c r="H260" i="1" a="1"/>
  <c r="H260" i="1" s="1"/>
  <c r="F297" i="1" a="1"/>
  <c r="F297" i="1" s="1"/>
  <c r="F374" i="1" a="1"/>
  <c r="F374" i="1" s="1"/>
  <c r="F396" i="1" a="1"/>
  <c r="F396" i="1" s="1"/>
  <c r="H406" i="1" a="1"/>
  <c r="H406" i="1" s="1"/>
  <c r="F406" i="1" a="1"/>
  <c r="F406" i="1" s="1"/>
  <c r="H403" i="1" a="1"/>
  <c r="H403" i="1" s="1"/>
  <c r="I517" i="1" a="1"/>
  <c r="I517" i="1" s="1"/>
  <c r="H327" i="1" a="1"/>
  <c r="H327" i="1" s="1"/>
  <c r="H359" i="1" a="1"/>
  <c r="H359" i="1" s="1"/>
  <c r="F400" i="1" a="1"/>
  <c r="F400" i="1" s="1"/>
  <c r="H400" i="1" a="1"/>
  <c r="H400" i="1" s="1"/>
  <c r="H399" i="1" a="1"/>
  <c r="H399" i="1" s="1"/>
  <c r="I403" i="1" a="1"/>
  <c r="I403" i="1" s="1"/>
  <c r="N491" i="1" a="1"/>
  <c r="N491" i="1" s="1"/>
  <c r="K491" i="1" a="1"/>
  <c r="K491" i="1" s="1"/>
  <c r="L489" i="1" a="1"/>
  <c r="L489" i="1" s="1"/>
  <c r="M491" i="1" a="1"/>
  <c r="M491" i="1" s="1"/>
  <c r="L491" i="1" a="1"/>
  <c r="L491" i="1" s="1"/>
  <c r="M539" i="1" a="1"/>
  <c r="M539" i="1" s="1"/>
  <c r="N541" i="1" a="1"/>
  <c r="N541" i="1" s="1"/>
  <c r="H284" i="1" a="1"/>
  <c r="H284" i="1" s="1"/>
  <c r="H355" i="1" a="1"/>
  <c r="H355" i="1" s="1"/>
  <c r="H434" i="1" a="1"/>
  <c r="H434" i="1" s="1"/>
  <c r="I442" i="1" a="1"/>
  <c r="I442" i="1" s="1"/>
  <c r="H481" i="1" a="1"/>
  <c r="H481" i="1" s="1"/>
  <c r="K483" i="1" a="1"/>
  <c r="K483" i="1" s="1"/>
  <c r="H241" i="1" a="1"/>
  <c r="H241" i="1" s="1"/>
  <c r="H258" i="1" a="1"/>
  <c r="H258" i="1" s="1"/>
  <c r="H262" i="1" a="1"/>
  <c r="H262" i="1" s="1"/>
  <c r="H282" i="1" a="1"/>
  <c r="H282" i="1" s="1"/>
  <c r="H305" i="1" a="1"/>
  <c r="H305" i="1" s="1"/>
  <c r="H337" i="1" a="1"/>
  <c r="H337" i="1" s="1"/>
  <c r="H349" i="1" a="1"/>
  <c r="H349" i="1" s="1"/>
  <c r="I355" i="1" a="1"/>
  <c r="I355" i="1" s="1"/>
  <c r="F362" i="1" a="1"/>
  <c r="F362" i="1" s="1"/>
  <c r="H362" i="1" a="1"/>
  <c r="H362" i="1" s="1"/>
  <c r="H401" i="1" a="1"/>
  <c r="H401" i="1" s="1"/>
  <c r="F401" i="1" a="1"/>
  <c r="F401" i="1" s="1"/>
  <c r="I439" i="1" a="1"/>
  <c r="I439" i="1" s="1"/>
  <c r="H475" i="1" a="1"/>
  <c r="H475" i="1" s="1"/>
  <c r="F475" i="1" a="1"/>
  <c r="F475" i="1" s="1"/>
  <c r="I481" i="1" a="1"/>
  <c r="I481" i="1" s="1"/>
  <c r="M487" i="1" a="1"/>
  <c r="M487" i="1" s="1"/>
  <c r="F250" i="1" a="1"/>
  <c r="F250" i="1" s="1"/>
  <c r="H275" i="1" a="1"/>
  <c r="H275" i="1" s="1"/>
  <c r="F349" i="1" a="1"/>
  <c r="F349" i="1" s="1"/>
  <c r="H368" i="1" a="1"/>
  <c r="H368" i="1" s="1"/>
  <c r="F378" i="1" a="1"/>
  <c r="F378" i="1" s="1"/>
  <c r="I422" i="1" a="1"/>
  <c r="I422" i="1" s="1"/>
  <c r="H439" i="1" a="1"/>
  <c r="H439" i="1" s="1"/>
  <c r="H449" i="1" a="1"/>
  <c r="H449" i="1" s="1"/>
  <c r="F537" i="1" a="1"/>
  <c r="F537" i="1" s="1"/>
  <c r="H536" i="1" a="1"/>
  <c r="H536" i="1" s="1"/>
  <c r="H537" i="1" a="1"/>
  <c r="H537" i="1" s="1"/>
  <c r="N539" i="1" a="1"/>
  <c r="N539" i="1" s="1"/>
  <c r="F275" i="1" a="1"/>
  <c r="F275" i="1" s="1"/>
  <c r="H328" i="1" a="1"/>
  <c r="H328" i="1" s="1"/>
  <c r="I397" i="1" a="1"/>
  <c r="I397" i="1" s="1"/>
  <c r="I443" i="1" a="1"/>
  <c r="I443" i="1" s="1"/>
  <c r="N479" i="1" a="1"/>
  <c r="N479" i="1" s="1"/>
  <c r="L479" i="1" a="1"/>
  <c r="L479" i="1" s="1"/>
  <c r="H483" i="1" a="1"/>
  <c r="H483" i="1" s="1"/>
  <c r="M501" i="1" a="1"/>
  <c r="M501" i="1" s="1"/>
  <c r="L501" i="1" a="1"/>
  <c r="L501" i="1" s="1"/>
  <c r="N501" i="1" a="1"/>
  <c r="N501" i="1" s="1"/>
  <c r="K501" i="1" a="1"/>
  <c r="K501" i="1" s="1"/>
  <c r="N499" i="1" a="1"/>
  <c r="N499" i="1" s="1"/>
  <c r="M550" i="1" a="1"/>
  <c r="M550" i="1" s="1"/>
  <c r="N550" i="1" a="1"/>
  <c r="N550" i="1" s="1"/>
  <c r="L550" i="1" a="1"/>
  <c r="L550" i="1" s="1"/>
  <c r="H250" i="1" a="1"/>
  <c r="H250" i="1" s="1"/>
  <c r="F270" i="1" a="1"/>
  <c r="F270" i="1" s="1"/>
  <c r="F311" i="1" a="1"/>
  <c r="F311" i="1" s="1"/>
  <c r="I368" i="1" a="1"/>
  <c r="I368" i="1" s="1"/>
  <c r="H437" i="1" a="1"/>
  <c r="H437" i="1" s="1"/>
  <c r="I446" i="1" a="1"/>
  <c r="I446" i="1" s="1"/>
  <c r="H469" i="1" a="1"/>
  <c r="H469" i="1" s="1"/>
  <c r="K479" i="1" a="1"/>
  <c r="K479" i="1" s="1"/>
  <c r="M481" i="1" a="1"/>
  <c r="M481" i="1" s="1"/>
  <c r="F501" i="1" a="1"/>
  <c r="F501" i="1" s="1"/>
  <c r="H501" i="1" a="1"/>
  <c r="H501" i="1" s="1"/>
  <c r="H499" i="1" a="1"/>
  <c r="H499" i="1" s="1"/>
  <c r="F423" i="1" a="1"/>
  <c r="F423" i="1" s="1"/>
  <c r="M475" i="1" a="1"/>
  <c r="M475" i="1" s="1"/>
  <c r="K475" i="1" a="1"/>
  <c r="K475" i="1" s="1"/>
  <c r="M479" i="1" a="1"/>
  <c r="M479" i="1" s="1"/>
  <c r="H356" i="1" a="1"/>
  <c r="H356" i="1" s="1"/>
  <c r="I398" i="1" a="1"/>
  <c r="I398" i="1" s="1"/>
  <c r="H414" i="1" a="1"/>
  <c r="H414" i="1" s="1"/>
  <c r="H429" i="1" a="1"/>
  <c r="H429" i="1" s="1"/>
  <c r="F429" i="1" a="1"/>
  <c r="F429" i="1" s="1"/>
  <c r="I447" i="1" a="1"/>
  <c r="I447" i="1" s="1"/>
  <c r="F462" i="1" a="1"/>
  <c r="F462" i="1" s="1"/>
  <c r="K510" i="1" a="1"/>
  <c r="K510" i="1" s="1"/>
  <c r="H226" i="1" a="1"/>
  <c r="H226" i="1" s="1"/>
  <c r="H231" i="1" a="1"/>
  <c r="H231" i="1" s="1"/>
  <c r="H259" i="1" a="1"/>
  <c r="H259" i="1" s="1"/>
  <c r="F495" i="1" a="1"/>
  <c r="F495" i="1" s="1"/>
  <c r="H495" i="1" a="1"/>
  <c r="H495" i="1" s="1"/>
  <c r="M498" i="1" a="1"/>
  <c r="M498" i="1" s="1"/>
  <c r="H370" i="1" a="1"/>
  <c r="H370" i="1" s="1"/>
  <c r="H441" i="1" a="1"/>
  <c r="H441" i="1" s="1"/>
  <c r="H458" i="1" a="1"/>
  <c r="H458" i="1" s="1"/>
  <c r="H466" i="1" a="1"/>
  <c r="H466" i="1" s="1"/>
  <c r="H491" i="1" a="1"/>
  <c r="H491" i="1" s="1"/>
  <c r="F532" i="1" a="1"/>
  <c r="F532" i="1" s="1"/>
  <c r="H532" i="1" a="1"/>
  <c r="H532" i="1" s="1"/>
  <c r="H398" i="1" a="1"/>
  <c r="H398" i="1" s="1"/>
  <c r="H473" i="1" a="1"/>
  <c r="H473" i="1" s="1"/>
  <c r="H472" i="1" a="1"/>
  <c r="H472" i="1" s="1"/>
  <c r="L480" i="1" a="1"/>
  <c r="L480" i="1" s="1"/>
  <c r="K480" i="1" a="1"/>
  <c r="K480" i="1" s="1"/>
  <c r="M480" i="1" a="1"/>
  <c r="M480" i="1" s="1"/>
  <c r="M517" i="1" a="1"/>
  <c r="M517" i="1" s="1"/>
  <c r="L520" i="1" a="1"/>
  <c r="L520" i="1" s="1"/>
  <c r="H527" i="1" a="1"/>
  <c r="H527" i="1" s="1"/>
  <c r="L536" i="1" a="1"/>
  <c r="L536" i="1" s="1"/>
  <c r="N537" i="1" a="1"/>
  <c r="N537" i="1" s="1"/>
  <c r="L532" i="1" a="1"/>
  <c r="L532" i="1" s="1"/>
  <c r="L537" i="1" a="1"/>
  <c r="L537" i="1" s="1"/>
  <c r="K537" i="1" a="1"/>
  <c r="K537" i="1" s="1"/>
  <c r="L539" i="1" a="1"/>
  <c r="L539" i="1" s="1"/>
  <c r="H447" i="1" a="1"/>
  <c r="H447" i="1" s="1"/>
  <c r="F473" i="1" a="1"/>
  <c r="F473" i="1" s="1"/>
  <c r="N498" i="1" a="1"/>
  <c r="N498" i="1" s="1"/>
  <c r="K498" i="1" a="1"/>
  <c r="K498" i="1" s="1"/>
  <c r="L495" i="1" a="1"/>
  <c r="L495" i="1" s="1"/>
  <c r="K517" i="1" a="1"/>
  <c r="K517" i="1" s="1"/>
  <c r="F527" i="1" a="1"/>
  <c r="F527" i="1" s="1"/>
  <c r="K532" i="1" a="1"/>
  <c r="K532" i="1" s="1"/>
  <c r="H268" i="1" a="1"/>
  <c r="H268" i="1" s="1"/>
  <c r="N480" i="1" a="1"/>
  <c r="N480" i="1" s="1"/>
  <c r="L498" i="1" a="1"/>
  <c r="L498" i="1" s="1"/>
  <c r="H539" i="1" a="1"/>
  <c r="H539" i="1" s="1"/>
  <c r="F539" i="1" a="1"/>
  <c r="F539" i="1" s="1"/>
  <c r="L589" i="1" a="1"/>
  <c r="L589" i="1" s="1"/>
  <c r="L487" i="1" a="1"/>
  <c r="L487" i="1" s="1"/>
  <c r="K481" i="1" a="1"/>
  <c r="K481" i="1" s="1"/>
  <c r="L483" i="1" a="1"/>
  <c r="L483" i="1" s="1"/>
  <c r="K482" i="1" a="1"/>
  <c r="K482" i="1" s="1"/>
  <c r="H397" i="1" a="1"/>
  <c r="H397" i="1" s="1"/>
  <c r="H446" i="1" a="1"/>
  <c r="H446" i="1" s="1"/>
  <c r="H453" i="1" a="1"/>
  <c r="H453" i="1" s="1"/>
  <c r="N482" i="1" a="1"/>
  <c r="N482" i="1" s="1"/>
  <c r="K487" i="1" a="1"/>
  <c r="K487" i="1" s="1"/>
  <c r="M513" i="1" a="1"/>
  <c r="M513" i="1" s="1"/>
  <c r="L513" i="1" a="1"/>
  <c r="L513" i="1" s="1"/>
  <c r="I499" i="1" a="1"/>
  <c r="I499" i="1" s="1"/>
  <c r="K513" i="1" a="1"/>
  <c r="K513" i="1" s="1"/>
  <c r="F520" i="1" a="1"/>
  <c r="F520" i="1" s="1"/>
  <c r="M536" i="1" a="1"/>
  <c r="M536" i="1" s="1"/>
  <c r="H369" i="1" a="1"/>
  <c r="H369" i="1" s="1"/>
  <c r="F369" i="1" a="1"/>
  <c r="F369" i="1" s="1"/>
  <c r="H405" i="1" a="1"/>
  <c r="H405" i="1" s="1"/>
  <c r="H444" i="1" a="1"/>
  <c r="H444" i="1" s="1"/>
  <c r="H480" i="1" a="1"/>
  <c r="H480" i="1" s="1"/>
  <c r="F483" i="1" a="1"/>
  <c r="F483" i="1" s="1"/>
  <c r="N487" i="1" a="1"/>
  <c r="N487" i="1" s="1"/>
  <c r="F491" i="1" a="1"/>
  <c r="F491" i="1" s="1"/>
  <c r="L499" i="1" a="1"/>
  <c r="L499" i="1" s="1"/>
  <c r="N513" i="1" a="1"/>
  <c r="N513" i="1" s="1"/>
  <c r="H520" i="1" a="1"/>
  <c r="H520" i="1" s="1"/>
  <c r="M561" i="1" a="1"/>
  <c r="M561" i="1" s="1"/>
  <c r="L561" i="1" a="1"/>
  <c r="L561" i="1" s="1"/>
  <c r="I589" i="1" a="1"/>
  <c r="I589" i="1" s="1"/>
  <c r="N621" i="1" a="1"/>
  <c r="N621" i="1" s="1"/>
  <c r="M621" i="1" a="1"/>
  <c r="M621" i="1" s="1"/>
  <c r="K621" i="1" a="1"/>
  <c r="K621" i="1" s="1"/>
  <c r="L572" i="1" a="1"/>
  <c r="L572" i="1" s="1"/>
  <c r="N574" i="1" a="1"/>
  <c r="N574" i="1" s="1"/>
  <c r="N572" i="1" a="1"/>
  <c r="N572" i="1" s="1"/>
  <c r="H604" i="1" a="1"/>
  <c r="H604" i="1" s="1"/>
  <c r="F604" i="1" a="1"/>
  <c r="F604" i="1" s="1"/>
  <c r="M614" i="1" a="1"/>
  <c r="M614" i="1" s="1"/>
  <c r="N616" i="1" a="1"/>
  <c r="N616" i="1" s="1"/>
  <c r="M616" i="1" a="1"/>
  <c r="M616" i="1" s="1"/>
  <c r="L616" i="1" a="1"/>
  <c r="L616" i="1" s="1"/>
  <c r="K616" i="1" a="1"/>
  <c r="K616" i="1" s="1"/>
  <c r="L621" i="1" a="1"/>
  <c r="L621" i="1" s="1"/>
  <c r="H555" i="1" a="1"/>
  <c r="H555" i="1" s="1"/>
  <c r="F555" i="1" a="1"/>
  <c r="F555" i="1" s="1"/>
  <c r="N532" i="1" a="1"/>
  <c r="N532" i="1" s="1"/>
  <c r="H541" i="1" a="1"/>
  <c r="H541" i="1" s="1"/>
  <c r="F541" i="1" a="1"/>
  <c r="F541" i="1" s="1"/>
  <c r="I609" i="1" a="1"/>
  <c r="I609" i="1" s="1"/>
  <c r="L541" i="1" a="1"/>
  <c r="L541" i="1" s="1"/>
  <c r="L481" i="1" a="1"/>
  <c r="L481" i="1" s="1"/>
  <c r="N483" i="1" a="1"/>
  <c r="N483" i="1" s="1"/>
  <c r="H510" i="1" a="1"/>
  <c r="H510" i="1" s="1"/>
  <c r="K536" i="1" a="1"/>
  <c r="K536" i="1" s="1"/>
  <c r="K541" i="1" a="1"/>
  <c r="K541" i="1" s="1"/>
  <c r="H584" i="1" a="1"/>
  <c r="H584" i="1" s="1"/>
  <c r="F584" i="1" a="1"/>
  <c r="F584" i="1" s="1"/>
  <c r="H433" i="1" a="1"/>
  <c r="H433" i="1" s="1"/>
  <c r="H479" i="1" a="1"/>
  <c r="H479" i="1" s="1"/>
  <c r="H487" i="1" a="1"/>
  <c r="H487" i="1" s="1"/>
  <c r="N495" i="1" a="1"/>
  <c r="N495" i="1" s="1"/>
  <c r="H498" i="1" a="1"/>
  <c r="H498" i="1" s="1"/>
  <c r="F510" i="1" a="1"/>
  <c r="F510" i="1" s="1"/>
  <c r="F550" i="1" a="1"/>
  <c r="F550" i="1" s="1"/>
  <c r="H572" i="1" a="1"/>
  <c r="H572" i="1" s="1"/>
  <c r="F572" i="1" a="1"/>
  <c r="F572" i="1" s="1"/>
  <c r="I579" i="1" a="1"/>
  <c r="I579" i="1" s="1"/>
  <c r="N595" i="1" a="1"/>
  <c r="N595" i="1" s="1"/>
  <c r="L595" i="1" a="1"/>
  <c r="L595" i="1" s="1"/>
  <c r="K595" i="1" a="1"/>
  <c r="K595" i="1" s="1"/>
  <c r="M595" i="1" a="1"/>
  <c r="M595" i="1" s="1"/>
  <c r="F433" i="1" a="1"/>
  <c r="F433" i="1" s="1"/>
  <c r="H443" i="1" a="1"/>
  <c r="H443" i="1" s="1"/>
  <c r="F479" i="1" a="1"/>
  <c r="F479" i="1" s="1"/>
  <c r="M483" i="1" a="1"/>
  <c r="M483" i="1" s="1"/>
  <c r="F498" i="1" a="1"/>
  <c r="F498" i="1" s="1"/>
  <c r="M541" i="1" a="1"/>
  <c r="M541" i="1" s="1"/>
  <c r="H550" i="1" a="1"/>
  <c r="H550" i="1" s="1"/>
  <c r="K555" i="1" a="1"/>
  <c r="K555" i="1" s="1"/>
  <c r="M555" i="1" a="1"/>
  <c r="M555" i="1" s="1"/>
  <c r="L555" i="1" a="1"/>
  <c r="L555" i="1" s="1"/>
  <c r="M489" i="1" a="1"/>
  <c r="M489" i="1" s="1"/>
  <c r="N510" i="1" a="1"/>
  <c r="N510" i="1" s="1"/>
  <c r="M609" i="1" a="1"/>
  <c r="M609" i="1" s="1"/>
  <c r="I626" i="1" a="1"/>
  <c r="I626" i="1" s="1"/>
  <c r="H579" i="1" a="1"/>
  <c r="H579" i="1" s="1"/>
  <c r="K609" i="1" a="1"/>
  <c r="K609" i="1" s="1"/>
  <c r="F513" i="1" a="1"/>
  <c r="F513" i="1" s="1"/>
  <c r="N520" i="1" a="1"/>
  <c r="N520" i="1" s="1"/>
  <c r="M520" i="1" a="1"/>
  <c r="M520" i="1" s="1"/>
  <c r="N527" i="1" a="1"/>
  <c r="N527" i="1" s="1"/>
  <c r="F561" i="1" a="1"/>
  <c r="F561" i="1" s="1"/>
  <c r="H582" i="1" a="1"/>
  <c r="H582" i="1" s="1"/>
  <c r="L584" i="1" a="1"/>
  <c r="L584" i="1" s="1"/>
  <c r="N584" i="1" a="1"/>
  <c r="N584" i="1" s="1"/>
  <c r="M584" i="1" a="1"/>
  <c r="M584" i="1" s="1"/>
  <c r="N489" i="1" a="1"/>
  <c r="N489" i="1" s="1"/>
  <c r="K520" i="1" a="1"/>
  <c r="K520" i="1" s="1"/>
  <c r="K527" i="1" a="1"/>
  <c r="K527" i="1" s="1"/>
  <c r="K550" i="1" a="1"/>
  <c r="K550" i="1" s="1"/>
  <c r="M582" i="1" a="1"/>
  <c r="M582" i="1" s="1"/>
  <c r="K584" i="1" a="1"/>
  <c r="K584" i="1" s="1"/>
  <c r="L475" i="1" a="1"/>
  <c r="L475" i="1" s="1"/>
  <c r="M482" i="1" a="1"/>
  <c r="M482" i="1" s="1"/>
  <c r="L482" i="1" a="1"/>
  <c r="L482" i="1" s="1"/>
  <c r="M510" i="1" a="1"/>
  <c r="M510" i="1" s="1"/>
  <c r="H513" i="1" a="1"/>
  <c r="H513" i="1" s="1"/>
  <c r="M537" i="1" a="1"/>
  <c r="M537" i="1" s="1"/>
  <c r="I614" i="1" a="1"/>
  <c r="I614" i="1" s="1"/>
  <c r="K642" i="1" a="1"/>
  <c r="K642" i="1" s="1"/>
  <c r="M642" i="1" a="1"/>
  <c r="M642" i="1" s="1"/>
  <c r="H609" i="1" a="1"/>
  <c r="H609" i="1" s="1"/>
  <c r="N609" i="1" a="1"/>
  <c r="N609" i="1" s="1"/>
  <c r="H624" i="1" a="1"/>
  <c r="H624" i="1" s="1"/>
  <c r="F624" i="1" a="1"/>
  <c r="F624" i="1" s="1"/>
  <c r="F647" i="1" a="1"/>
  <c r="F647" i="1" s="1"/>
  <c r="H647" i="1" a="1"/>
  <c r="H647" i="1" s="1"/>
  <c r="K626" i="1" a="1"/>
  <c r="K626" i="1" s="1"/>
  <c r="K539" i="1" a="1"/>
  <c r="K539" i="1" s="1"/>
  <c r="H614" i="1" a="1"/>
  <c r="H614" i="1" s="1"/>
  <c r="N624" i="1" a="1"/>
  <c r="N624" i="1" s="1"/>
  <c r="M624" i="1" a="1"/>
  <c r="M624" i="1" s="1"/>
  <c r="L626" i="1" a="1"/>
  <c r="L626" i="1" s="1"/>
  <c r="F629" i="1" a="1"/>
  <c r="F629" i="1" s="1"/>
  <c r="H629" i="1" a="1"/>
  <c r="H629" i="1" s="1"/>
  <c r="K599" i="1" a="1"/>
  <c r="K599" i="1" s="1"/>
  <c r="K624" i="1" a="1"/>
  <c r="K624" i="1" s="1"/>
  <c r="H635" i="1" a="1"/>
  <c r="H635" i="1" s="1"/>
  <c r="H633" i="1" a="1"/>
  <c r="H633" i="1" s="1"/>
  <c r="K582" i="1" a="1"/>
  <c r="K582" i="1" s="1"/>
  <c r="K589" i="1" a="1"/>
  <c r="K589" i="1" s="1"/>
  <c r="K604" i="1" a="1"/>
  <c r="K604" i="1" s="1"/>
  <c r="M626" i="1" a="1"/>
  <c r="M626" i="1" s="1"/>
  <c r="F635" i="1" a="1"/>
  <c r="F635" i="1" s="1"/>
  <c r="L624" i="1" a="1"/>
  <c r="L624" i="1" s="1"/>
  <c r="M629" i="1" a="1"/>
  <c r="M629" i="1" s="1"/>
  <c r="K629" i="1" a="1"/>
  <c r="K629" i="1" s="1"/>
  <c r="H595" i="1" a="1"/>
  <c r="H595" i="1" s="1"/>
  <c r="L604" i="1" a="1"/>
  <c r="L604" i="1" s="1"/>
  <c r="F616" i="1" a="1"/>
  <c r="F616" i="1" s="1"/>
  <c r="F621" i="1" a="1"/>
  <c r="F621" i="1" s="1"/>
  <c r="M630" i="1" a="1"/>
  <c r="M630" i="1" s="1"/>
  <c r="N635" i="1" a="1"/>
  <c r="N635" i="1" s="1"/>
  <c r="K635" i="1" a="1"/>
  <c r="K635" i="1" s="1"/>
  <c r="M532" i="1" a="1"/>
  <c r="M532" i="1" s="1"/>
  <c r="L579" i="1" a="1"/>
  <c r="L579" i="1" s="1"/>
  <c r="M589" i="1" a="1"/>
  <c r="M589" i="1" s="1"/>
  <c r="F595" i="1" a="1"/>
  <c r="F595" i="1" s="1"/>
  <c r="M599" i="1" a="1"/>
  <c r="M599" i="1" s="1"/>
  <c r="L609" i="1" a="1"/>
  <c r="L609" i="1" s="1"/>
  <c r="N614" i="1" a="1"/>
  <c r="N614" i="1" s="1"/>
  <c r="L629" i="1" a="1"/>
  <c r="L629" i="1" s="1"/>
  <c r="N630" i="1" a="1"/>
  <c r="N630" i="1" s="1"/>
  <c r="M633" i="1" a="1"/>
  <c r="M633" i="1" s="1"/>
  <c r="L633" i="1" a="1"/>
  <c r="L633" i="1" s="1"/>
  <c r="L630" i="1" a="1"/>
  <c r="L630" i="1" s="1"/>
  <c r="M647" i="1" a="1"/>
  <c r="M647" i="1" s="1"/>
  <c r="L647" i="1" a="1"/>
  <c r="L647" i="1" s="1"/>
  <c r="K647" i="1" a="1"/>
  <c r="K647" i="1" s="1"/>
  <c r="N561" i="1" a="1"/>
  <c r="N561" i="1" s="1"/>
  <c r="K579" i="1" a="1"/>
  <c r="K579" i="1" s="1"/>
  <c r="K614" i="1" a="1"/>
  <c r="K614" i="1" s="1"/>
  <c r="K633" i="1" a="1"/>
  <c r="K633" i="1" s="1"/>
  <c r="L635" i="1" a="1"/>
  <c r="L635" i="1" s="1"/>
  <c r="H642" i="1" a="1"/>
  <c r="H642" i="1" s="1"/>
  <c r="K561" i="1" a="1"/>
  <c r="K561" i="1" s="1"/>
  <c r="N589" i="1" a="1"/>
  <c r="N589" i="1" s="1"/>
  <c r="H626" i="1" a="1"/>
  <c r="H626" i="1" s="1"/>
  <c r="F630" i="1" a="1"/>
  <c r="F630" i="1" s="1"/>
  <c r="N647" i="1" a="1"/>
  <c r="N647" i="1" s="1"/>
  <c r="E197" i="1" l="1"/>
  <c r="E143" i="1"/>
  <c r="E169" i="1"/>
  <c r="E164" i="1"/>
  <c r="E428" i="1"/>
  <c r="G81" i="1"/>
  <c r="I595" i="1" a="1"/>
  <c r="I595" i="1" s="1"/>
  <c r="I541" i="1" a="1"/>
  <c r="I541" i="1" s="1"/>
  <c r="I369" i="1" a="1"/>
  <c r="I369" i="1" s="1"/>
  <c r="I532" i="1" a="1"/>
  <c r="I532" i="1" s="1"/>
  <c r="G120" i="1"/>
  <c r="I120" i="1" a="1"/>
  <c r="I120" i="1" s="1"/>
  <c r="I527" i="1" a="1"/>
  <c r="I527" i="1" s="1"/>
  <c r="I378" i="1" a="1"/>
  <c r="I378" i="1" s="1"/>
  <c r="I400" i="1" a="1"/>
  <c r="I400" i="1" s="1"/>
  <c r="G108" i="1"/>
  <c r="I108" i="1" a="1"/>
  <c r="I108" i="1" s="1"/>
  <c r="I629" i="1" a="1"/>
  <c r="I629" i="1" s="1"/>
  <c r="I635" i="1" a="1"/>
  <c r="I635" i="1" s="1"/>
  <c r="I584" i="1" a="1"/>
  <c r="I584" i="1" s="1"/>
  <c r="I297" i="1" a="1"/>
  <c r="I297" i="1" s="1"/>
  <c r="G55" i="1"/>
  <c r="I55" i="1" a="1"/>
  <c r="I55" i="1" s="1"/>
  <c r="I296" i="1" a="1"/>
  <c r="I296" i="1" s="1"/>
  <c r="I561" i="1" a="1"/>
  <c r="I561" i="1" s="1"/>
  <c r="I555" i="1" a="1"/>
  <c r="I555" i="1" s="1"/>
  <c r="I520" i="1" a="1"/>
  <c r="I520" i="1" s="1"/>
  <c r="I349" i="1" a="1"/>
  <c r="I349" i="1" s="1"/>
  <c r="I71" i="1" a="1"/>
  <c r="I71" i="1" s="1"/>
  <c r="G71" i="1"/>
  <c r="G70" i="1"/>
  <c r="I491" i="1" a="1"/>
  <c r="I491" i="1" s="1"/>
  <c r="I401" i="1" a="1"/>
  <c r="I401" i="1" s="1"/>
  <c r="I300" i="1" a="1"/>
  <c r="I300" i="1" s="1"/>
  <c r="I62" i="1" a="1"/>
  <c r="I62" i="1" s="1"/>
  <c r="G62" i="1"/>
  <c r="I630" i="1" a="1"/>
  <c r="I630" i="1" s="1"/>
  <c r="I513" i="1" a="1"/>
  <c r="I513" i="1" s="1"/>
  <c r="I572" i="1" a="1"/>
  <c r="I572" i="1" s="1"/>
  <c r="I462" i="1" a="1"/>
  <c r="I462" i="1" s="1"/>
  <c r="I275" i="1" a="1"/>
  <c r="I275" i="1" s="1"/>
  <c r="I250" i="1" a="1"/>
  <c r="I250" i="1" s="1"/>
  <c r="I223" i="1" a="1"/>
  <c r="I223" i="1" s="1"/>
  <c r="I240" i="1" a="1"/>
  <c r="I240" i="1" s="1"/>
  <c r="I233" i="1" a="1"/>
  <c r="I233" i="1" s="1"/>
  <c r="I498" i="1" a="1"/>
  <c r="I498" i="1" s="1"/>
  <c r="I483" i="1" a="1"/>
  <c r="I483" i="1" s="1"/>
  <c r="I473" i="1" a="1"/>
  <c r="I473" i="1" s="1"/>
  <c r="I200" i="1" a="1"/>
  <c r="I200" i="1" s="1"/>
  <c r="I539" i="1" a="1"/>
  <c r="I539" i="1" s="1"/>
  <c r="I247" i="1" a="1"/>
  <c r="I247" i="1" s="1"/>
  <c r="I179" i="1" a="1"/>
  <c r="I179" i="1" s="1"/>
  <c r="I235" i="1" a="1"/>
  <c r="I235" i="1" s="1"/>
  <c r="I191" i="1" a="1"/>
  <c r="I191" i="1" s="1"/>
  <c r="I131" i="1" a="1"/>
  <c r="I131" i="1" s="1"/>
  <c r="G131" i="1"/>
  <c r="I210" i="1" a="1"/>
  <c r="I210" i="1" s="1"/>
  <c r="I550" i="1" a="1"/>
  <c r="I550" i="1" s="1"/>
  <c r="I616" i="1" a="1"/>
  <c r="I616" i="1" s="1"/>
  <c r="I479" i="1" a="1"/>
  <c r="I479" i="1" s="1"/>
  <c r="I510" i="1" a="1"/>
  <c r="I510" i="1" s="1"/>
  <c r="I429" i="1" a="1"/>
  <c r="I429" i="1" s="1"/>
  <c r="I423" i="1" a="1"/>
  <c r="I423" i="1" s="1"/>
  <c r="I406" i="1" a="1"/>
  <c r="I406" i="1" s="1"/>
  <c r="G43" i="1"/>
  <c r="I43" i="1" a="1"/>
  <c r="I43" i="1" s="1"/>
  <c r="I215" i="1" a="1"/>
  <c r="I215" i="1" s="1"/>
  <c r="I91" i="1" a="1"/>
  <c r="I91" i="1" s="1"/>
  <c r="G91" i="1"/>
  <c r="I185" i="1" a="1"/>
  <c r="I185" i="1" s="1"/>
  <c r="G110" i="1"/>
  <c r="G141" i="1"/>
  <c r="I621" i="1" a="1"/>
  <c r="I621" i="1" s="1"/>
  <c r="I647" i="1" a="1"/>
  <c r="I647" i="1" s="1"/>
  <c r="G647" i="1"/>
  <c r="I311" i="1" a="1"/>
  <c r="I311" i="1" s="1"/>
  <c r="I537" i="1" a="1"/>
  <c r="I537" i="1" s="1"/>
  <c r="I475" i="1" a="1"/>
  <c r="I475" i="1" s="1"/>
  <c r="I362" i="1" a="1"/>
  <c r="I362" i="1" s="1"/>
  <c r="I107" i="1" a="1"/>
  <c r="I107" i="1" s="1"/>
  <c r="G107" i="1"/>
  <c r="I624" i="1" a="1"/>
  <c r="I624" i="1" s="1"/>
  <c r="I433" i="1" a="1"/>
  <c r="I433" i="1" s="1"/>
  <c r="I270" i="1" a="1"/>
  <c r="I270" i="1" s="1"/>
  <c r="I396" i="1" a="1"/>
  <c r="I396" i="1" s="1"/>
  <c r="I279" i="1" a="1"/>
  <c r="I279" i="1" s="1"/>
  <c r="G102" i="1"/>
  <c r="I604" i="1" a="1"/>
  <c r="I604" i="1" s="1"/>
  <c r="I495" i="1" a="1"/>
  <c r="I495" i="1" s="1"/>
  <c r="I501" i="1" a="1"/>
  <c r="I501" i="1" s="1"/>
  <c r="I374" i="1" a="1"/>
  <c r="I374" i="1" s="1"/>
  <c r="I154" i="1" a="1"/>
  <c r="I154" i="1" s="1"/>
  <c r="G76" i="1"/>
  <c r="F426" i="1" l="1" a="1"/>
  <c r="F426" i="1" s="1"/>
  <c r="H423" i="1" a="1"/>
  <c r="H423" i="1" s="1"/>
  <c r="H420" i="1" a="1"/>
  <c r="H420" i="1" s="1"/>
  <c r="H426" i="1" a="1"/>
  <c r="H426" i="1" s="1"/>
  <c r="H422" i="1" a="1"/>
  <c r="H422" i="1" s="1"/>
  <c r="F164" i="1" a="1"/>
  <c r="F164" i="1" s="1"/>
  <c r="H164" i="1" a="1"/>
  <c r="H164" i="1" s="1"/>
  <c r="H154" i="1" a="1"/>
  <c r="H154" i="1" s="1"/>
  <c r="F166" i="1" a="1"/>
  <c r="F166" i="1" s="1"/>
  <c r="H166" i="1" a="1"/>
  <c r="H166" i="1" s="1"/>
  <c r="H141" i="1" a="1"/>
  <c r="H141" i="1" s="1"/>
  <c r="F142" i="1" a="1"/>
  <c r="F142" i="1" s="1"/>
  <c r="H142" i="1" a="1"/>
  <c r="H142" i="1" s="1"/>
  <c r="H191" i="1" a="1"/>
  <c r="H191" i="1" s="1"/>
  <c r="H195" i="1" a="1"/>
  <c r="H195" i="1" s="1"/>
  <c r="F195" i="1" a="1"/>
  <c r="F195" i="1" s="1"/>
  <c r="G270" i="1" l="1"/>
  <c r="G242" i="1"/>
  <c r="G491" i="1"/>
  <c r="G630" i="1"/>
  <c r="G226" i="1"/>
  <c r="G282" i="1"/>
  <c r="G541" i="1"/>
  <c r="G370" i="1"/>
  <c r="G297" i="1"/>
  <c r="G555" i="1"/>
  <c r="G614" i="1"/>
  <c r="G517" i="1"/>
  <c r="G172" i="1"/>
  <c r="G179" i="1"/>
  <c r="G550" i="1"/>
  <c r="G441" i="1"/>
  <c r="G269" i="1"/>
  <c r="G403" i="1"/>
  <c r="G604" i="1"/>
  <c r="G481" i="1"/>
  <c r="G369" i="1"/>
  <c r="G209" i="1"/>
  <c r="G307" i="1"/>
  <c r="G520" i="1"/>
  <c r="G401" i="1"/>
  <c r="G513" i="1"/>
  <c r="G487" i="1"/>
  <c r="G498" i="1"/>
  <c r="G208" i="1"/>
  <c r="G235" i="1"/>
  <c r="G589" i="1"/>
  <c r="G423" i="1"/>
  <c r="G465" i="1"/>
  <c r="G311" i="1"/>
  <c r="G458" i="1"/>
  <c r="G429" i="1"/>
  <c r="G582" i="1"/>
  <c r="G599" i="1"/>
  <c r="G527" i="1"/>
  <c r="G341" i="1"/>
  <c r="G308" i="1"/>
  <c r="G396" i="1"/>
  <c r="G495" i="1"/>
  <c r="G469" i="1"/>
  <c r="G532" i="1"/>
  <c r="G629" i="1"/>
  <c r="G284" i="1"/>
  <c r="G572" i="1"/>
  <c r="G223" i="1"/>
  <c r="G200" i="1"/>
  <c r="I142" i="1" a="1"/>
  <c r="I142" i="1" s="1"/>
  <c r="G616" i="1"/>
  <c r="G537" i="1"/>
  <c r="G279" i="1"/>
  <c r="G501" i="1"/>
  <c r="G268" i="1"/>
  <c r="G349" i="1"/>
  <c r="G406" i="1"/>
  <c r="G185" i="1"/>
  <c r="G624" i="1"/>
  <c r="G191" i="1"/>
  <c r="G374" i="1"/>
  <c r="G376" i="1"/>
  <c r="G635" i="1"/>
  <c r="G399" i="1"/>
  <c r="G300" i="1"/>
  <c r="G483" i="1"/>
  <c r="G142" i="1"/>
  <c r="G642" i="1"/>
  <c r="G255" i="1"/>
  <c r="G475" i="1"/>
  <c r="G231" i="1"/>
  <c r="G433" i="1"/>
  <c r="G327" i="1"/>
  <c r="G260" i="1"/>
  <c r="G482" i="1"/>
  <c r="G443" i="1"/>
  <c r="G422" i="1"/>
  <c r="G499" i="1"/>
  <c r="G240" i="1"/>
  <c r="G473" i="1"/>
  <c r="G539" i="1"/>
  <c r="G626" i="1"/>
  <c r="G338" i="1"/>
  <c r="I42" i="1" a="1"/>
  <c r="I42" i="1" s="1"/>
  <c r="G328" i="1"/>
  <c r="G446" i="1"/>
  <c r="G633" i="1"/>
  <c r="G250" i="1"/>
  <c r="G233" i="1"/>
  <c r="G397" i="1"/>
  <c r="G210" i="1"/>
  <c r="G453" i="1"/>
  <c r="G337" i="1"/>
  <c r="G405" i="1"/>
  <c r="G154" i="1"/>
  <c r="G228" i="1"/>
  <c r="G449" i="1"/>
  <c r="G378" i="1"/>
  <c r="G296" i="1"/>
  <c r="G258" i="1"/>
  <c r="G479" i="1"/>
  <c r="G536" i="1"/>
  <c r="G362" i="1"/>
  <c r="G285" i="1"/>
  <c r="G466" i="1"/>
  <c r="G266" i="1"/>
  <c r="G444" i="1"/>
  <c r="G361" i="1"/>
  <c r="G584" i="1"/>
  <c r="G241" i="1"/>
  <c r="G462" i="1"/>
  <c r="G259" i="1"/>
  <c r="G414" i="1"/>
  <c r="G391" i="1"/>
  <c r="G472" i="1"/>
  <c r="H42" i="1" a="1"/>
  <c r="H42" i="1" s="1"/>
  <c r="G262" i="1"/>
  <c r="G561" i="1"/>
  <c r="G280" i="1"/>
  <c r="G257" i="1"/>
  <c r="G447" i="1"/>
  <c r="G510" i="1"/>
  <c r="G489" i="1"/>
  <c r="F42" i="1"/>
  <c r="G621" i="1"/>
  <c r="G442" i="1"/>
  <c r="G609" i="1"/>
  <c r="G437" i="1"/>
  <c r="G359" i="1"/>
  <c r="G579" i="1"/>
  <c r="G398" i="1"/>
  <c r="G356" i="1"/>
  <c r="G368" i="1"/>
  <c r="G420" i="1"/>
  <c r="G247" i="1"/>
  <c r="G595" i="1"/>
  <c r="G400" i="1"/>
  <c r="G238" i="1"/>
  <c r="G275" i="1"/>
  <c r="G434" i="1"/>
  <c r="G480" i="1"/>
  <c r="G439" i="1"/>
  <c r="G215" i="1"/>
  <c r="G355" i="1"/>
  <c r="G305" i="1"/>
  <c r="I195" i="1" a="1"/>
  <c r="I195" i="1" s="1"/>
  <c r="G195" i="1"/>
  <c r="I166" i="1" a="1"/>
  <c r="I166" i="1" s="1"/>
  <c r="G166" i="1"/>
  <c r="I426" i="1" a="1"/>
  <c r="I426" i="1" s="1"/>
  <c r="G426" i="1"/>
  <c r="I164" i="1" a="1"/>
  <c r="I164" i="1" s="1"/>
  <c r="G164" i="1"/>
  <c r="H40" i="1" l="1"/>
  <c r="I4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<sst xmlns="http://schemas.openxmlformats.org/spreadsheetml/2006/main" count="660" uniqueCount="119">
  <si>
    <t>EntryList</t>
  </si>
  <si>
    <t>Orientation Parameters Below</t>
  </si>
  <si>
    <t>Order Date</t>
  </si>
  <si>
    <t>Ticker</t>
  </si>
  <si>
    <t>Number</t>
  </si>
  <si>
    <t>Price</t>
  </si>
  <si>
    <t>STATUS</t>
  </si>
  <si>
    <t>Market</t>
  </si>
  <si>
    <t>Limited</t>
  </si>
  <si>
    <t>Essentials</t>
  </si>
  <si>
    <t>Booked</t>
  </si>
  <si>
    <t>Watched</t>
  </si>
  <si>
    <t>Rejected</t>
  </si>
  <si>
    <t>Expired</t>
  </si>
  <si>
    <t>Transaction</t>
  </si>
  <si>
    <t>TranParam</t>
  </si>
  <si>
    <t>EUR</t>
  </si>
  <si>
    <t>USD</t>
  </si>
  <si>
    <t>GBp</t>
  </si>
  <si>
    <t>CHF</t>
  </si>
  <si>
    <t>BUYS-SALES</t>
  </si>
  <si>
    <t>Commissions</t>
  </si>
  <si>
    <t>Year 2025</t>
  </si>
  <si>
    <t>Daily Trades</t>
  </si>
  <si>
    <t>Summary</t>
  </si>
  <si>
    <t>Sales</t>
  </si>
  <si>
    <t>Purchases</t>
  </si>
  <si>
    <t>Sum</t>
  </si>
  <si>
    <t>of Dailies</t>
  </si>
  <si>
    <t>DSY</t>
  </si>
  <si>
    <t>ASML</t>
  </si>
  <si>
    <t>TSM</t>
  </si>
  <si>
    <t>NEE</t>
  </si>
  <si>
    <t>DIS</t>
  </si>
  <si>
    <t>HPQ</t>
  </si>
  <si>
    <t>AZN</t>
  </si>
  <si>
    <t>AVGO</t>
  </si>
  <si>
    <t>CSCO</t>
  </si>
  <si>
    <t>KR</t>
  </si>
  <si>
    <t>LUMN</t>
  </si>
  <si>
    <t>HPE</t>
  </si>
  <si>
    <t>NOTE</t>
  </si>
  <si>
    <t>THC</t>
  </si>
  <si>
    <t>MA</t>
  </si>
  <si>
    <t>SAFDIS</t>
  </si>
  <si>
    <t>SAFAAPL</t>
  </si>
  <si>
    <t>SAFASML</t>
  </si>
  <si>
    <t>ORA</t>
  </si>
  <si>
    <t>MVEORA</t>
  </si>
  <si>
    <t>RWE</t>
  </si>
  <si>
    <t>MVERWE</t>
  </si>
  <si>
    <t>C</t>
  </si>
  <si>
    <t>EPIX</t>
  </si>
  <si>
    <t>MRNA</t>
  </si>
  <si>
    <t>NVS</t>
  </si>
  <si>
    <t>AAPL</t>
  </si>
  <si>
    <t>MVEGLE</t>
  </si>
  <si>
    <t>LUV</t>
  </si>
  <si>
    <t>MVEDSY</t>
  </si>
  <si>
    <t>SAFAMZN</t>
  </si>
  <si>
    <t>TSLA</t>
  </si>
  <si>
    <t>AMZN</t>
  </si>
  <si>
    <t>SAFDDD</t>
  </si>
  <si>
    <t>EZJ</t>
  </si>
  <si>
    <t>GNRC</t>
  </si>
  <si>
    <t>ALDNE</t>
  </si>
  <si>
    <t>GLE</t>
  </si>
  <si>
    <t>DDD</t>
  </si>
  <si>
    <t>MVEUN0</t>
  </si>
  <si>
    <t>IAG</t>
  </si>
  <si>
    <t>NVAX</t>
  </si>
  <si>
    <t>SSYS</t>
  </si>
  <si>
    <t>UN0</t>
  </si>
  <si>
    <t>WBA</t>
  </si>
  <si>
    <t>SHECY</t>
  </si>
  <si>
    <t>EOAN</t>
  </si>
  <si>
    <t>AET</t>
  </si>
  <si>
    <t>OXY</t>
  </si>
  <si>
    <t>CVS</t>
  </si>
  <si>
    <t>PROF</t>
  </si>
  <si>
    <t>RIGL</t>
  </si>
  <si>
    <t>VLVLY</t>
  </si>
  <si>
    <t>NEM</t>
  </si>
  <si>
    <t>PAAS</t>
  </si>
  <si>
    <t>BLDP</t>
  </si>
  <si>
    <t>MVEALDNE</t>
  </si>
  <si>
    <t>MVEENI</t>
  </si>
  <si>
    <t>F</t>
  </si>
  <si>
    <t>MVEEOAN</t>
  </si>
  <si>
    <t>ENI</t>
  </si>
  <si>
    <t>SAP</t>
  </si>
  <si>
    <t>MVESAP</t>
  </si>
  <si>
    <t>ADEA</t>
  </si>
  <si>
    <t>MSFT</t>
  </si>
  <si>
    <t>JBEOAN</t>
  </si>
  <si>
    <t>NFLX</t>
  </si>
  <si>
    <t>POET</t>
  </si>
  <si>
    <t>VONN</t>
  </si>
  <si>
    <t>UNIT</t>
  </si>
  <si>
    <t>aet</t>
  </si>
  <si>
    <t>note</t>
  </si>
  <si>
    <t>eoan</t>
  </si>
  <si>
    <t>ezj</t>
  </si>
  <si>
    <t>5/20//25</t>
  </si>
  <si>
    <t>aapl</t>
  </si>
  <si>
    <t>VTRS</t>
  </si>
  <si>
    <t>BLNK</t>
  </si>
  <si>
    <t>DXC</t>
  </si>
  <si>
    <t>DVA</t>
  </si>
  <si>
    <t>RIG</t>
  </si>
  <si>
    <t>XYZ</t>
  </si>
  <si>
    <t>XOM</t>
  </si>
  <si>
    <t>JBASML</t>
  </si>
  <si>
    <t>ddd</t>
  </si>
  <si>
    <t>safdis</t>
  </si>
  <si>
    <t>nflx</t>
  </si>
  <si>
    <t>safddd</t>
  </si>
  <si>
    <t>XPER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</si>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</sst>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_);_(* \(#,##0\);_(* &quot;-&quot;??_);_(@_)"/>
    <numFmt numFmtId="166" formatCode="0.00_);[Red]\(0.00\)"/>
    <numFmt numFmtId="168" formatCode="#,##0.0"/>
  </numFmts>
  <fonts count="11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color rgb="FF00B050"/>
      <name val="Aptos Narrow"/>
      <family val="2"/>
      <scheme val="minor"/>
    </font>
    <font>
      <sz val="10"/>
      <color theme="7" tint="-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0" fillId="2" borderId="0" xfId="0" applyFill="1" applyAlignment="1" applyProtection="1">
      <alignment horizontal="center"/>
      <protection locked="0"/>
    </xf>
    <xf numFmtId="22" fontId="6" fillId="2" borderId="0" xfId="0" applyNumberFormat="1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3" borderId="0" xfId="0" applyFont="1" applyFill="1" applyAlignment="1" applyProtection="1">
      <alignment horizontal="left"/>
      <protection locked="0"/>
    </xf>
    <xf numFmtId="0" fontId="0" fillId="0" borderId="0" xfId="0" applyProtection="1">
      <protection locked="0"/>
    </xf>
    <xf numFmtId="0" fontId="0" fillId="4" borderId="0" xfId="0" applyFill="1" applyProtection="1">
      <protection locked="0"/>
    </xf>
    <xf numFmtId="0" fontId="4" fillId="4" borderId="0" xfId="0" applyFont="1" applyFill="1" applyAlignment="1" applyProtection="1">
      <alignment horizontal="center"/>
      <protection locked="0"/>
    </xf>
    <xf numFmtId="0" fontId="7" fillId="4" borderId="1" xfId="0" applyFont="1" applyFill="1" applyBorder="1" applyAlignment="1" applyProtection="1">
      <alignment horizontal="center"/>
      <protection locked="0"/>
    </xf>
    <xf numFmtId="0" fontId="0" fillId="5" borderId="0" xfId="0" applyFill="1" applyAlignment="1" applyProtection="1">
      <alignment horizontal="center"/>
      <protection locked="0"/>
    </xf>
    <xf numFmtId="14" fontId="0" fillId="4" borderId="2" xfId="0" applyNumberFormat="1" applyFill="1" applyBorder="1" applyProtection="1"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4" borderId="3" xfId="0" applyFill="1" applyBorder="1" applyProtection="1">
      <protection locked="0"/>
    </xf>
    <xf numFmtId="40" fontId="0" fillId="4" borderId="3" xfId="0" applyNumberFormat="1" applyFill="1" applyBorder="1" applyProtection="1">
      <protection locked="0"/>
    </xf>
    <xf numFmtId="0" fontId="4" fillId="4" borderId="4" xfId="0" applyFont="1" applyFill="1" applyBorder="1" applyAlignment="1" applyProtection="1">
      <alignment horizontal="center"/>
      <protection locked="0"/>
    </xf>
    <xf numFmtId="164" fontId="8" fillId="6" borderId="5" xfId="0" applyNumberFormat="1" applyFont="1" applyFill="1" applyBorder="1"/>
    <xf numFmtId="14" fontId="0" fillId="4" borderId="6" xfId="0" applyNumberFormat="1" applyFill="1" applyBorder="1" applyProtection="1">
      <protection locked="0"/>
    </xf>
    <xf numFmtId="0" fontId="0" fillId="4" borderId="6" xfId="0" applyFill="1" applyBorder="1" applyAlignment="1" applyProtection="1">
      <alignment horizontal="center"/>
      <protection locked="0"/>
    </xf>
    <xf numFmtId="3" fontId="0" fillId="4" borderId="0" xfId="0" applyNumberFormat="1" applyFill="1" applyProtection="1">
      <protection locked="0"/>
    </xf>
    <xf numFmtId="40" fontId="0" fillId="4" borderId="0" xfId="0" applyNumberFormat="1" applyFill="1" applyProtection="1">
      <protection locked="0"/>
    </xf>
    <xf numFmtId="0" fontId="4" fillId="4" borderId="7" xfId="0" applyFont="1" applyFill="1" applyBorder="1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165" fontId="0" fillId="0" borderId="0" xfId="1" applyNumberFormat="1" applyFont="1" applyProtection="1">
      <protection locked="0"/>
    </xf>
    <xf numFmtId="43" fontId="0" fillId="0" borderId="0" xfId="0" applyNumberFormat="1" applyProtection="1">
      <protection locked="0"/>
    </xf>
    <xf numFmtId="14" fontId="0" fillId="4" borderId="8" xfId="0" applyNumberFormat="1" applyFill="1" applyBorder="1" applyProtection="1">
      <protection locked="0"/>
    </xf>
    <xf numFmtId="0" fontId="0" fillId="4" borderId="8" xfId="0" applyFill="1" applyBorder="1" applyAlignment="1" applyProtection="1">
      <alignment horizontal="center"/>
      <protection locked="0"/>
    </xf>
    <xf numFmtId="3" fontId="0" fillId="4" borderId="9" xfId="0" applyNumberFormat="1" applyFill="1" applyBorder="1" applyProtection="1">
      <protection locked="0"/>
    </xf>
    <xf numFmtId="40" fontId="0" fillId="4" borderId="9" xfId="0" applyNumberFormat="1" applyFill="1" applyBorder="1" applyProtection="1">
      <protection locked="0"/>
    </xf>
    <xf numFmtId="0" fontId="4" fillId="4" borderId="10" xfId="0" applyFont="1" applyFill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0" fillId="5" borderId="11" xfId="0" applyFill="1" applyBorder="1" applyProtection="1">
      <protection locked="0"/>
    </xf>
    <xf numFmtId="0" fontId="0" fillId="5" borderId="12" xfId="0" applyFill="1" applyBorder="1" applyProtection="1">
      <protection locked="0"/>
    </xf>
    <xf numFmtId="0" fontId="0" fillId="5" borderId="13" xfId="0" applyFill="1" applyBorder="1" applyProtection="1">
      <protection locked="0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14" fontId="0" fillId="0" borderId="6" xfId="0" applyNumberFormat="1" applyBorder="1"/>
    <xf numFmtId="165" fontId="0" fillId="0" borderId="0" xfId="1" applyNumberFormat="1" applyFont="1" applyBorder="1" applyProtection="1"/>
    <xf numFmtId="43" fontId="0" fillId="0" borderId="7" xfId="1" applyFont="1" applyBorder="1" applyProtection="1"/>
    <xf numFmtId="0" fontId="0" fillId="0" borderId="6" xfId="0" applyBorder="1" applyAlignment="1">
      <alignment horizontal="center"/>
    </xf>
    <xf numFmtId="0" fontId="0" fillId="0" borderId="7" xfId="0" applyBorder="1"/>
    <xf numFmtId="0" fontId="9" fillId="0" borderId="0" xfId="0" applyFont="1" applyAlignment="1" applyProtection="1">
      <alignment horizontal="center"/>
      <protection locked="0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14" fontId="0" fillId="0" borderId="8" xfId="0" applyNumberFormat="1" applyBorder="1"/>
    <xf numFmtId="165" fontId="0" fillId="0" borderId="9" xfId="1" applyNumberFormat="1" applyFont="1" applyBorder="1" applyProtection="1"/>
    <xf numFmtId="43" fontId="0" fillId="0" borderId="10" xfId="1" applyFont="1" applyBorder="1" applyProtection="1"/>
    <xf numFmtId="10" fontId="3" fillId="0" borderId="0" xfId="2" applyNumberFormat="1" applyFont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38" fontId="0" fillId="0" borderId="14" xfId="0" applyNumberFormat="1" applyBorder="1" applyProtection="1">
      <protection locked="0"/>
    </xf>
    <xf numFmtId="38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14" fontId="4" fillId="0" borderId="0" xfId="0" applyNumberFormat="1" applyFont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5" borderId="0" xfId="0" applyFill="1" applyProtection="1"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38" fontId="7" fillId="0" borderId="8" xfId="0" applyNumberFormat="1" applyFont="1" applyBorder="1" applyAlignment="1" applyProtection="1">
      <alignment horizontal="center"/>
      <protection locked="0"/>
    </xf>
    <xf numFmtId="38" fontId="0" fillId="0" borderId="10" xfId="0" applyNumberFormat="1" applyBorder="1" applyAlignment="1" applyProtection="1">
      <alignment horizontal="center"/>
      <protection locked="0"/>
    </xf>
    <xf numFmtId="14" fontId="0" fillId="0" borderId="0" xfId="0" applyNumberFormat="1" applyProtection="1">
      <protection locked="0"/>
    </xf>
    <xf numFmtId="3" fontId="0" fillId="0" borderId="0" xfId="0" applyNumberFormat="1" applyProtection="1">
      <protection locked="0"/>
    </xf>
    <xf numFmtId="40" fontId="0" fillId="0" borderId="0" xfId="0" applyNumberFormat="1" applyProtection="1">
      <protection locked="0"/>
    </xf>
    <xf numFmtId="38" fontId="0" fillId="4" borderId="0" xfId="1" applyNumberFormat="1" applyFont="1" applyFill="1" applyBorder="1" applyProtection="1"/>
    <xf numFmtId="38" fontId="0" fillId="4" borderId="0" xfId="1" applyNumberFormat="1" applyFont="1" applyFill="1" applyProtection="1"/>
    <xf numFmtId="38" fontId="0" fillId="4" borderId="0" xfId="0" applyNumberFormat="1" applyFill="1"/>
    <xf numFmtId="14" fontId="0" fillId="4" borderId="0" xfId="0" applyNumberFormat="1" applyFill="1" applyProtection="1">
      <protection locked="0"/>
    </xf>
    <xf numFmtId="0" fontId="0" fillId="4" borderId="6" xfId="0" applyFill="1" applyBorder="1" applyProtection="1">
      <protection locked="0"/>
    </xf>
    <xf numFmtId="14" fontId="10" fillId="8" borderId="0" xfId="0" applyNumberFormat="1" applyFont="1" applyFill="1" applyProtection="1">
      <protection locked="0"/>
    </xf>
    <xf numFmtId="0" fontId="10" fillId="9" borderId="6" xfId="0" applyFont="1" applyFill="1" applyBorder="1" applyProtection="1">
      <protection locked="0"/>
    </xf>
    <xf numFmtId="3" fontId="10" fillId="9" borderId="0" xfId="0" applyNumberFormat="1" applyFont="1" applyFill="1" applyProtection="1">
      <protection locked="0"/>
    </xf>
    <xf numFmtId="40" fontId="10" fillId="9" borderId="0" xfId="0" applyNumberFormat="1" applyFont="1" applyFill="1" applyProtection="1">
      <protection locked="0"/>
    </xf>
    <xf numFmtId="3" fontId="0" fillId="10" borderId="0" xfId="0" applyNumberFormat="1" applyFill="1" applyProtection="1">
      <protection locked="0"/>
    </xf>
    <xf numFmtId="166" fontId="0" fillId="4" borderId="0" xfId="0" applyNumberFormat="1" applyFill="1" applyProtection="1">
      <protection locked="0"/>
    </xf>
    <xf numFmtId="0" fontId="0" fillId="4" borderId="0" xfId="0" applyFill="1" applyAlignment="1" applyProtection="1">
      <alignment horizontal="right"/>
      <protection locked="0"/>
    </xf>
    <xf numFmtId="38" fontId="0" fillId="4" borderId="0" xfId="1" applyNumberFormat="1" applyFont="1" applyFill="1" applyProtection="1">
      <protection locked="0"/>
    </xf>
    <xf numFmtId="166" fontId="0" fillId="0" borderId="0" xfId="0" applyNumberFormat="1" applyProtection="1">
      <protection locked="0"/>
    </xf>
    <xf numFmtId="0" fontId="9" fillId="0" borderId="0" xfId="0" applyFont="1" applyAlignment="1">
      <alignment horizontal="center"/>
    </xf>
    <xf numFmtId="14" fontId="0" fillId="4" borderId="1" xfId="0" applyNumberFormat="1" applyFill="1" applyBorder="1" applyProtection="1">
      <protection locked="0"/>
    </xf>
    <xf numFmtId="0" fontId="0" fillId="4" borderId="1" xfId="0" applyFill="1" applyBorder="1" applyProtection="1">
      <protection locked="0"/>
    </xf>
    <xf numFmtId="3" fontId="0" fillId="4" borderId="1" xfId="0" applyNumberFormat="1" applyFill="1" applyBorder="1" applyProtection="1">
      <protection locked="0"/>
    </xf>
    <xf numFmtId="40" fontId="0" fillId="4" borderId="1" xfId="0" applyNumberFormat="1" applyFill="1" applyBorder="1" applyProtection="1">
      <protection locked="0"/>
    </xf>
    <xf numFmtId="38" fontId="0" fillId="4" borderId="16" xfId="1" applyNumberFormat="1" applyFont="1" applyFill="1" applyBorder="1" applyProtection="1"/>
    <xf numFmtId="38" fontId="0" fillId="4" borderId="16" xfId="0" applyNumberFormat="1" applyFill="1" applyBorder="1"/>
    <xf numFmtId="14" fontId="0" fillId="0" borderId="0" xfId="0" applyNumberFormat="1"/>
    <xf numFmtId="168" fontId="0" fillId="0" borderId="0" xfId="0" applyNumberFormat="1"/>
    <xf numFmtId="3" fontId="0" fillId="0" borderId="0" xfId="0" applyNumberFormat="1"/>
    <xf numFmtId="0" fontId="2" fillId="5" borderId="17" xfId="0" applyFont="1" applyFill="1" applyBorder="1"/>
    <xf numFmtId="0" fontId="2" fillId="7" borderId="18" xfId="0" applyFont="1" applyFill="1" applyBorder="1" applyAlignment="1">
      <alignment horizontal="center"/>
    </xf>
    <xf numFmtId="0" fontId="2" fillId="7" borderId="19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6">
    <dxf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ostayanev/NikyClean/Speedy4.xlsm" TargetMode="External"/><Relationship Id="rId1" Type="http://schemas.openxmlformats.org/officeDocument/2006/relationships/externalLinkPath" Target="Speedy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earch"/>
      <sheetName val="DocComments"/>
      <sheetName val="Doc"/>
      <sheetName val="Ranks"/>
      <sheetName val="StrategySummary"/>
      <sheetName val="SORTING"/>
      <sheetName val="Markov"/>
      <sheetName val="ID"/>
      <sheetName val="NewTrader"/>
      <sheetName val="Calc"/>
      <sheetName val="MSG"/>
      <sheetName val="DataShift"/>
      <sheetName val="Entries"/>
      <sheetName val="Reg"/>
      <sheetName val="Trader"/>
      <sheetName val="Mail"/>
      <sheetName val="TraceMatrix_FIFO"/>
      <sheetName val="Consolid"/>
      <sheetName val="BankCheck"/>
      <sheetName val="ChaRSI"/>
      <sheetName val="ChaCha"/>
      <sheetName val="MessUpd"/>
      <sheetName val="Tim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99EF23-443B-2B4C-B53E-F6DE203A2A19}" name="AllTransactions" displayName="AllTransactions" ref="A42:D1000" totalsRowShown="0" headerRowDxfId="0" dataDxfId="1">
  <autoFilter ref="A42:D1000" xr:uid="{6D99EF23-443B-2B4C-B53E-F6DE203A2A19}"/>
  <tableColumns count="4">
    <tableColumn id="1" xr3:uid="{6FE862BD-B53A-C840-BA3D-CBFFBB071E81}" name="Date" dataDxfId="5"/>
    <tableColumn id="2" xr3:uid="{6282EF3D-BE75-9842-A7FE-DF5DC97A91ED}" name="Ticker" dataDxfId="4"/>
    <tableColumn id="3" xr3:uid="{616D7C59-42BC-1943-940F-87F83FA4352F}" name="Number" dataDxfId="3"/>
    <tableColumn id="4" xr3:uid="{B630F841-1386-134F-9F34-7E8F0C4A3393}" name="Pri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B1F7-690F-AC4D-903E-9D24E1A579B5}">
  <dimension ref="A1:T1000"/>
  <sheetViews>
    <sheetView topLeftCell="A28" workbookViewId="0">
      <selection activeCell="A42" sqref="A42:D42"/>
    </sheetView>
  </sheetViews>
  <sheetFormatPr baseColWidth="10" defaultRowHeight="22" x14ac:dyDescent="0.3"/>
  <cols>
    <col min="1" max="3" width="10.625" style="5"/>
    <col min="4" max="4" width="11.75" style="5" customWidth="1"/>
    <col min="5" max="5" width="10.625" style="29"/>
    <col min="6" max="7" width="10.625" style="5"/>
    <col min="8" max="8" width="11.125" style="5" bestFit="1" customWidth="1"/>
    <col min="9" max="9" width="17.625" style="5" customWidth="1"/>
    <col min="10" max="17" width="10.625" style="5"/>
    <col min="18" max="18" width="11.625" style="5" bestFit="1" customWidth="1"/>
    <col min="19" max="16384" width="10.625" style="5"/>
  </cols>
  <sheetData>
    <row r="1" spans="1:20" x14ac:dyDescent="0.3">
      <c r="A1" s="1" t="s">
        <v>0</v>
      </c>
      <c r="B1" s="1"/>
      <c r="C1" s="1"/>
      <c r="D1" s="1"/>
      <c r="E1" s="2">
        <v>45940.516319444447</v>
      </c>
      <c r="F1" s="3"/>
      <c r="G1" s="3"/>
      <c r="H1" s="3"/>
      <c r="I1" s="4" t="s">
        <v>1</v>
      </c>
      <c r="S1" s="5">
        <v>500</v>
      </c>
      <c r="T1" s="5">
        <v>285.51</v>
      </c>
    </row>
    <row r="2" spans="1:20" ht="23" thickBot="1" x14ac:dyDescent="0.35">
      <c r="A2" s="6" t="s">
        <v>2</v>
      </c>
      <c r="B2" s="6" t="s">
        <v>3</v>
      </c>
      <c r="C2" s="6" t="s">
        <v>4</v>
      </c>
      <c r="D2" s="6" t="s">
        <v>5</v>
      </c>
      <c r="E2" s="7" t="s">
        <v>6</v>
      </c>
      <c r="F2" s="8" t="s">
        <v>7</v>
      </c>
      <c r="H2" s="5" t="s">
        <v>8</v>
      </c>
      <c r="I2" s="9" t="s">
        <v>9</v>
      </c>
      <c r="S2" s="5">
        <v>300</v>
      </c>
      <c r="T2" s="5">
        <v>287.89</v>
      </c>
    </row>
    <row r="3" spans="1:20" ht="24" thickTop="1" thickBot="1" x14ac:dyDescent="0.35">
      <c r="A3" s="10"/>
      <c r="B3" s="11"/>
      <c r="C3" s="12"/>
      <c r="D3" s="13"/>
      <c r="E3" s="14"/>
      <c r="F3" s="5" t="str">
        <f ca="1">_xlfn.XLOOKUP(B3,[1]!TabCalc[Ticker],[1]!TabCalc[M],"no Order")</f>
        <v>no Order</v>
      </c>
      <c r="H3" s="5" t="s">
        <v>10</v>
      </c>
      <c r="I3" s="15" t="str" cm="1">
        <f t="array" aca="1" ref="I3" ca="1">B3&amp;": "&amp;IFERROR(TEXT(_xlfn.XLOOKUP(B3,[1]!TabCalc[Ticker],[1]!TabCalc[NAfter]),"#,#0")&amp;"xM@"&amp;_xlfn.XLOOKUP(B3,[1]!TabCalc[Ticker],[1]!TabCalc[M])&amp;          ", A@ "&amp;TRUNC(_xlfn.XLOOKUP(B3,[1]!TabCalc[Ticker],[1]!TabCalc[A]),2)&amp;           ", Y@ "&amp; _xlfn.XLOOKUP(B3,[1]!TabCalc[Ticker],[1]!TabCalc[Y])&amp;               ", L_Bp@ "&amp;TRUNC(_xlfn.XLOOKUP(B3,[1]!TabCalc[Ticker],[1]!TabCalc[L_Bp]),2)&amp;"x"&amp;_xlfn.XLOOKUP(B3,[1]!TabCalc[Ticker],[1]!TabCalc[L_Bn])&amp;                                  ", L_Sp@ "&amp;IFERROR(TRUNC(_xlfn.XLOOKUP(B3,[1]!TabCalc[Ticker],[1]!TabCalc[L_Sp]),2),0)&amp;"x"&amp;_xlfn.XLOOKUP(B3,[1]!TabCalc[Ticker],[1]!TabCalc[L_Sn])&amp;", Cl@ "&amp;_xlfn.XLOOKUP(B3,ListTickers,[1]!Tab1Close[Close20])&amp;", Low@ "&amp;_xlfn.XLOOKUP(B3,ListTickers,[1]!Tab1Low[Low20])&amp;", High@ "&amp;_xlfn.XLOOKUP(B3,ListTickers,[1]!Tab1High[High20])&amp;  ", Agio="&amp;TEXT(_xlfn.XLOOKUP(B3,[1]!TabCalc[Ticker],[1]!TabCalc[Agiotage]),"#0%"),"")</f>
        <v xml:space="preserve">: </v>
      </c>
      <c r="J3" s="3"/>
    </row>
    <row r="4" spans="1:20" ht="23" thickBot="1" x14ac:dyDescent="0.35">
      <c r="A4" s="16"/>
      <c r="B4" s="17"/>
      <c r="C4" s="18"/>
      <c r="D4" s="19"/>
      <c r="E4" s="20"/>
      <c r="F4" s="5" t="str">
        <f ca="1">_xlfn.XLOOKUP(B4,[1]!TabCalc[Ticker],[1]!TabCalc[M],"no Order")</f>
        <v>no Order</v>
      </c>
      <c r="H4" s="5" t="s">
        <v>11</v>
      </c>
      <c r="I4" s="15" t="str" cm="1">
        <f t="array" aca="1" ref="I4" ca="1">B4&amp;": "&amp;IFERROR(TEXT(_xlfn.XLOOKUP(B4,[1]!TabCalc[Ticker],[1]!TabCalc[NAfter]),"#,#0")&amp;"xM@"&amp;_xlfn.XLOOKUP(B4,[1]!TabCalc[Ticker],[1]!TabCalc[M])&amp;          ", A@ "&amp;TRUNC(_xlfn.XLOOKUP(B4,[1]!TabCalc[Ticker],[1]!TabCalc[A]),2)&amp;           ", Y@ "&amp; _xlfn.XLOOKUP(B4,[1]!TabCalc[Ticker],[1]!TabCalc[Y])&amp;               ", L_Bp@ "&amp;TRUNC(_xlfn.XLOOKUP(B4,[1]!TabCalc[Ticker],[1]!TabCalc[L_Bp]),2)&amp;"x"&amp;_xlfn.XLOOKUP(B4,[1]!TabCalc[Ticker],[1]!TabCalc[L_Bn])&amp;                                  ", L_Sp@ "&amp;IFERROR(TRUNC(_xlfn.XLOOKUP(B4,[1]!TabCalc[Ticker],[1]!TabCalc[L_Sp]),2),0)&amp;"x"&amp;_xlfn.XLOOKUP(B4,[1]!TabCalc[Ticker],[1]!TabCalc[L_Sn])&amp;", Cl@ "&amp;_xlfn.XLOOKUP(B4,ListTickers,[1]!Tab1Close[Close20])&amp;", Low@ "&amp;_xlfn.XLOOKUP(B4,ListTickers,[1]!Tab1Low[Low20])&amp;", High@ "&amp;_xlfn.XLOOKUP(B4,ListTickers,[1]!Tab1High[High20])&amp;  ", Agio="&amp;TEXT(_xlfn.XLOOKUP(B4,[1]!TabCalc[Ticker],[1]!TabCalc[Agiotage]),"#0%"),"")</f>
        <v xml:space="preserve">: </v>
      </c>
      <c r="J4" s="21"/>
    </row>
    <row r="5" spans="1:20" ht="23" thickBot="1" x14ac:dyDescent="0.35">
      <c r="A5" s="16"/>
      <c r="B5" s="17"/>
      <c r="C5" s="18"/>
      <c r="D5" s="19"/>
      <c r="E5" s="20"/>
      <c r="F5" s="5" t="str">
        <f ca="1">_xlfn.XLOOKUP(B5,[1]!TabCalc[Ticker],[1]!TabCalc[M],"no Order")</f>
        <v>no Order</v>
      </c>
      <c r="H5" s="5" t="s">
        <v>12</v>
      </c>
      <c r="I5" s="15" t="str" cm="1">
        <f t="array" aca="1" ref="I5" ca="1">B5&amp;": "&amp;IFERROR(TEXT(_xlfn.XLOOKUP(B5,[1]!TabCalc[Ticker],[1]!TabCalc[NAfter]),"#,#0")&amp;"xM@"&amp;_xlfn.XLOOKUP(B5,[1]!TabCalc[Ticker],[1]!TabCalc[M])&amp;          ", A@ "&amp;TRUNC(_xlfn.XLOOKUP(B5,[1]!TabCalc[Ticker],[1]!TabCalc[A]),2)&amp;           ", Y@ "&amp; _xlfn.XLOOKUP(B5,[1]!TabCalc[Ticker],[1]!TabCalc[Y])&amp;               ", L_Bp@ "&amp;TRUNC(_xlfn.XLOOKUP(B5,[1]!TabCalc[Ticker],[1]!TabCalc[L_Bp]),2)&amp;"x"&amp;_xlfn.XLOOKUP(B5,[1]!TabCalc[Ticker],[1]!TabCalc[L_Bn])&amp;                                  ", L_Sp@ "&amp;IFERROR(TRUNC(_xlfn.XLOOKUP(B5,[1]!TabCalc[Ticker],[1]!TabCalc[L_Sp]),2),0)&amp;"x"&amp;_xlfn.XLOOKUP(B5,[1]!TabCalc[Ticker],[1]!TabCalc[L_Sn])&amp;", Cl@ "&amp;_xlfn.XLOOKUP(B5,ListTickers,[1]!Tab1Close[Close20])&amp;", Low@ "&amp;_xlfn.XLOOKUP(B5,ListTickers,[1]!Tab1Low[Low20])&amp;", High@ "&amp;_xlfn.XLOOKUP(B5,ListTickers,[1]!Tab1High[High20])&amp;  ", Agio="&amp;TEXT(_xlfn.XLOOKUP(B5,[1]!TabCalc[Ticker],[1]!TabCalc[Agiotage]),"#0%"),"")</f>
        <v xml:space="preserve">: </v>
      </c>
    </row>
    <row r="6" spans="1:20" ht="23" thickBot="1" x14ac:dyDescent="0.35">
      <c r="A6" s="16"/>
      <c r="B6" s="17"/>
      <c r="C6" s="18"/>
      <c r="D6" s="19"/>
      <c r="E6" s="20"/>
      <c r="F6" s="5" t="str">
        <f ca="1">_xlfn.XLOOKUP(B6,[1]!TabCalc[Ticker],[1]!TabCalc[M],"no Order")</f>
        <v>no Order</v>
      </c>
      <c r="H6" s="5" t="s">
        <v>13</v>
      </c>
      <c r="I6" s="15" t="str" cm="1">
        <f t="array" aca="1" ref="I6" ca="1">B6&amp;": "&amp;IFERROR(TEXT(_xlfn.XLOOKUP(B6,[1]!TabCalc[Ticker],[1]!TabCalc[NAfter]),"#,#0")&amp;"xM@"&amp;_xlfn.XLOOKUP(B6,[1]!TabCalc[Ticker],[1]!TabCalc[M])&amp;          ", A@ "&amp;TRUNC(_xlfn.XLOOKUP(B6,[1]!TabCalc[Ticker],[1]!TabCalc[A]),2)&amp;           ", Y@ "&amp; _xlfn.XLOOKUP(B6,[1]!TabCalc[Ticker],[1]!TabCalc[Y])&amp;               ", L_Bp@ "&amp;TRUNC(_xlfn.XLOOKUP(B6,[1]!TabCalc[Ticker],[1]!TabCalc[L_Bp]),2)&amp;"x"&amp;_xlfn.XLOOKUP(B6,[1]!TabCalc[Ticker],[1]!TabCalc[L_Bn])&amp;                                  ", L_Sp@ "&amp;IFERROR(TRUNC(_xlfn.XLOOKUP(B6,[1]!TabCalc[Ticker],[1]!TabCalc[L_Sp]),2),0)&amp;"x"&amp;_xlfn.XLOOKUP(B6,[1]!TabCalc[Ticker],[1]!TabCalc[L_Sn])&amp;", Cl@ "&amp;_xlfn.XLOOKUP(B6,ListTickers,[1]!Tab1Close[Close20])&amp;", Low@ "&amp;_xlfn.XLOOKUP(B6,ListTickers,[1]!Tab1Low[Low20])&amp;", High@ "&amp;_xlfn.XLOOKUP(B6,ListTickers,[1]!Tab1High[High20])&amp;  ", Agio="&amp;TEXT(_xlfn.XLOOKUP(B6,[1]!TabCalc[Ticker],[1]!TabCalc[Agiotage]),"#0%"),"")</f>
        <v xml:space="preserve">: </v>
      </c>
      <c r="S6" s="5">
        <f>SUM(S1:S5)</f>
        <v>800</v>
      </c>
      <c r="T6" s="22">
        <f>SUMPRODUCT(S1:S5,T1:T5)</f>
        <v>229122</v>
      </c>
    </row>
    <row r="7" spans="1:20" ht="23" thickBot="1" x14ac:dyDescent="0.35">
      <c r="A7" s="16"/>
      <c r="B7" s="17"/>
      <c r="C7" s="18"/>
      <c r="D7" s="19"/>
      <c r="E7" s="20"/>
      <c r="F7" s="5" t="str">
        <f ca="1">_xlfn.XLOOKUP(B7,[1]!TabCalc[Ticker],[1]!TabCalc[M],"no Order")</f>
        <v>no Order</v>
      </c>
      <c r="I7" s="15" t="str" cm="1">
        <f t="array" aca="1" ref="I7" ca="1">B7&amp;": "&amp;IFERROR(TEXT(_xlfn.XLOOKUP(B7,[1]!TabCalc[Ticker],[1]!TabCalc[NAfter]),"#,#0")&amp;"xM@"&amp;_xlfn.XLOOKUP(B7,[1]!TabCalc[Ticker],[1]!TabCalc[M])&amp;          ", A@ "&amp;TRUNC(_xlfn.XLOOKUP(B7,[1]!TabCalc[Ticker],[1]!TabCalc[A]),2)&amp;           ", Y@ "&amp; _xlfn.XLOOKUP(B7,[1]!TabCalc[Ticker],[1]!TabCalc[Y])&amp;               ", L_Bp@ "&amp;TRUNC(_xlfn.XLOOKUP(B7,[1]!TabCalc[Ticker],[1]!TabCalc[L_Bp]),2)&amp;"x"&amp;_xlfn.XLOOKUP(B7,[1]!TabCalc[Ticker],[1]!TabCalc[L_Bn])&amp;                                  ", L_Sp@ "&amp;IFERROR(TRUNC(_xlfn.XLOOKUP(B7,[1]!TabCalc[Ticker],[1]!TabCalc[L_Sp]),2),0)&amp;"x"&amp;_xlfn.XLOOKUP(B7,[1]!TabCalc[Ticker],[1]!TabCalc[L_Sn])&amp;", Cl@ "&amp;_xlfn.XLOOKUP(B7,ListTickers,[1]!Tab1Close[Close20])&amp;", Low@ "&amp;_xlfn.XLOOKUP(B7,ListTickers,[1]!Tab1Low[Low20])&amp;", High@ "&amp;_xlfn.XLOOKUP(B7,ListTickers,[1]!Tab1High[High20])&amp;  ", Agio="&amp;TEXT(_xlfn.XLOOKUP(B7,[1]!TabCalc[Ticker],[1]!TabCalc[Agiotage]),"#0%"),"")</f>
        <v xml:space="preserve">: </v>
      </c>
      <c r="T7" s="23">
        <f>T6/S6</f>
        <v>286.40249999999997</v>
      </c>
    </row>
    <row r="8" spans="1:20" ht="23" thickBot="1" x14ac:dyDescent="0.35">
      <c r="A8" s="16"/>
      <c r="B8" s="17"/>
      <c r="C8" s="18"/>
      <c r="D8" s="19"/>
      <c r="E8" s="20"/>
      <c r="F8" s="5" t="str">
        <f ca="1">_xlfn.XLOOKUP(B8,[1]!TabCalc[Ticker],[1]!TabCalc[M],"no Order")</f>
        <v>no Order</v>
      </c>
      <c r="I8" s="15" t="str" cm="1">
        <f t="array" aca="1" ref="I8" ca="1">B8&amp;": "&amp;IFERROR(TEXT(_xlfn.XLOOKUP(B8,[1]!TabCalc[Ticker],[1]!TabCalc[NAfter]),"#,#0")&amp;"xM@"&amp;_xlfn.XLOOKUP(B8,[1]!TabCalc[Ticker],[1]!TabCalc[M])&amp;          ", A@ "&amp;TRUNC(_xlfn.XLOOKUP(B8,[1]!TabCalc[Ticker],[1]!TabCalc[A]),2)&amp;           ", Y@ "&amp; _xlfn.XLOOKUP(B8,[1]!TabCalc[Ticker],[1]!TabCalc[Y])&amp;               ", L_Bp@ "&amp;TRUNC(_xlfn.XLOOKUP(B8,[1]!TabCalc[Ticker],[1]!TabCalc[L_Bp]),2)&amp;"x"&amp;_xlfn.XLOOKUP(B8,[1]!TabCalc[Ticker],[1]!TabCalc[L_Bn])&amp;                                  ", L_Sp@ "&amp;IFERROR(TRUNC(_xlfn.XLOOKUP(B8,[1]!TabCalc[Ticker],[1]!TabCalc[L_Sp]),2),0)&amp;"x"&amp;_xlfn.XLOOKUP(B8,[1]!TabCalc[Ticker],[1]!TabCalc[L_Sn])&amp;", Cl@ "&amp;_xlfn.XLOOKUP(B8,ListTickers,[1]!Tab1Close[Close20])&amp;", Low@ "&amp;_xlfn.XLOOKUP(B8,ListTickers,[1]!Tab1Low[Low20])&amp;", High@ "&amp;_xlfn.XLOOKUP(B8,ListTickers,[1]!Tab1High[High20])&amp;  ", Agio="&amp;TEXT(_xlfn.XLOOKUP(B8,[1]!TabCalc[Ticker],[1]!TabCalc[Agiotage]),"#0%"),"")</f>
        <v xml:space="preserve">: </v>
      </c>
    </row>
    <row r="9" spans="1:20" ht="23" thickBot="1" x14ac:dyDescent="0.35">
      <c r="A9" s="16"/>
      <c r="B9" s="17"/>
      <c r="C9" s="18"/>
      <c r="D9" s="19"/>
      <c r="E9" s="20"/>
      <c r="F9" s="5" t="str">
        <f ca="1">_xlfn.XLOOKUP(B9,[1]!TabCalc[Ticker],[1]!TabCalc[M],"no Order")</f>
        <v>no Order</v>
      </c>
      <c r="I9" s="15" t="str" cm="1">
        <f t="array" aca="1" ref="I9" ca="1">B9&amp;": "&amp;IFERROR(TEXT(_xlfn.XLOOKUP(B9,[1]!TabCalc[Ticker],[1]!TabCalc[NAfter]),"#,#0")&amp;"xM@"&amp;_xlfn.XLOOKUP(B9,[1]!TabCalc[Ticker],[1]!TabCalc[M])&amp;          ", A@ "&amp;TRUNC(_xlfn.XLOOKUP(B9,[1]!TabCalc[Ticker],[1]!TabCalc[A]),2)&amp;           ", Y@ "&amp; _xlfn.XLOOKUP(B9,[1]!TabCalc[Ticker],[1]!TabCalc[Y])&amp;               ", L_Bp@ "&amp;TRUNC(_xlfn.XLOOKUP(B9,[1]!TabCalc[Ticker],[1]!TabCalc[L_Bp]),2)&amp;"x"&amp;_xlfn.XLOOKUP(B9,[1]!TabCalc[Ticker],[1]!TabCalc[L_Bn])&amp;                                  ", L_Sp@ "&amp;IFERROR(TRUNC(_xlfn.XLOOKUP(B9,[1]!TabCalc[Ticker],[1]!TabCalc[L_Sp]),2),0)&amp;"x"&amp;_xlfn.XLOOKUP(B9,[1]!TabCalc[Ticker],[1]!TabCalc[L_Sn])&amp;", Cl@ "&amp;_xlfn.XLOOKUP(B9,ListTickers,[1]!Tab1Close[Close20])&amp;", Low@ "&amp;_xlfn.XLOOKUP(B9,ListTickers,[1]!Tab1Low[Low20])&amp;", High@ "&amp;_xlfn.XLOOKUP(B9,ListTickers,[1]!Tab1High[High20])&amp;  ", Agio="&amp;TEXT(_xlfn.XLOOKUP(B9,[1]!TabCalc[Ticker],[1]!TabCalc[Agiotage]),"#0%"),"")</f>
        <v xml:space="preserve">: </v>
      </c>
    </row>
    <row r="10" spans="1:20" ht="23" thickBot="1" x14ac:dyDescent="0.35">
      <c r="A10" s="16"/>
      <c r="B10" s="17"/>
      <c r="C10" s="18"/>
      <c r="D10" s="19"/>
      <c r="E10" s="20"/>
      <c r="F10" s="5" t="str">
        <f ca="1">_xlfn.XLOOKUP(B10,[1]!TabCalc[Ticker],[1]!TabCalc[M],"no Order")</f>
        <v>no Order</v>
      </c>
      <c r="I10" s="15" t="str" cm="1">
        <f t="array" aca="1" ref="I10" ca="1">B10&amp;": "&amp;IFERROR(TEXT(_xlfn.XLOOKUP(B10,[1]!TabCalc[Ticker],[1]!TabCalc[NAfter]),"#,#0")&amp;"xM@"&amp;_xlfn.XLOOKUP(B10,[1]!TabCalc[Ticker],[1]!TabCalc[M])&amp;          ", A@ "&amp;TRUNC(_xlfn.XLOOKUP(B10,[1]!TabCalc[Ticker],[1]!TabCalc[A]),2)&amp;           ", Y@ "&amp; _xlfn.XLOOKUP(B10,[1]!TabCalc[Ticker],[1]!TabCalc[Y])&amp;               ", L_Bp@ "&amp;TRUNC(_xlfn.XLOOKUP(B10,[1]!TabCalc[Ticker],[1]!TabCalc[L_Bp]),2)&amp;"x"&amp;_xlfn.XLOOKUP(B10,[1]!TabCalc[Ticker],[1]!TabCalc[L_Bn])&amp;                                  ", L_Sp@ "&amp;IFERROR(TRUNC(_xlfn.XLOOKUP(B10,[1]!TabCalc[Ticker],[1]!TabCalc[L_Sp]),2),0)&amp;"x"&amp;_xlfn.XLOOKUP(B10,[1]!TabCalc[Ticker],[1]!TabCalc[L_Sn])&amp;", Cl@ "&amp;_xlfn.XLOOKUP(B10,ListTickers,[1]!Tab1Close[Close20])&amp;", Low@ "&amp;_xlfn.XLOOKUP(B10,ListTickers,[1]!Tab1Low[Low20])&amp;", High@ "&amp;_xlfn.XLOOKUP(B10,ListTickers,[1]!Tab1High[High20])&amp;  ", Agio="&amp;TEXT(_xlfn.XLOOKUP(B10,[1]!TabCalc[Ticker],[1]!TabCalc[Agiotage]),"#0%"),"")</f>
        <v xml:space="preserve">: </v>
      </c>
    </row>
    <row r="11" spans="1:20" ht="23" thickBot="1" x14ac:dyDescent="0.35">
      <c r="A11" s="16"/>
      <c r="B11" s="17"/>
      <c r="C11" s="18"/>
      <c r="D11" s="19"/>
      <c r="E11" s="20"/>
      <c r="F11" s="5" t="str">
        <f ca="1">_xlfn.XLOOKUP(B11,[1]!TabCalc[Ticker],[1]!TabCalc[M],"no Order")</f>
        <v>no Order</v>
      </c>
      <c r="I11" s="15" t="str" cm="1">
        <f t="array" aca="1" ref="I11" ca="1">B11&amp;": "&amp;IFERROR(TEXT(_xlfn.XLOOKUP(B11,[1]!TabCalc[Ticker],[1]!TabCalc[NAfter]),"#,#0")&amp;"xM@"&amp;_xlfn.XLOOKUP(B11,[1]!TabCalc[Ticker],[1]!TabCalc[M])&amp;          ", A@ "&amp;TRUNC(_xlfn.XLOOKUP(B11,[1]!TabCalc[Ticker],[1]!TabCalc[A]),2)&amp;           ", Y@ "&amp; _xlfn.XLOOKUP(B11,[1]!TabCalc[Ticker],[1]!TabCalc[Y])&amp;               ", L_Bp@ "&amp;TRUNC(_xlfn.XLOOKUP(B11,[1]!TabCalc[Ticker],[1]!TabCalc[L_Bp]),2)&amp;"x"&amp;_xlfn.XLOOKUP(B11,[1]!TabCalc[Ticker],[1]!TabCalc[L_Bn])&amp;                                  ", L_Sp@ "&amp;IFERROR(TRUNC(_xlfn.XLOOKUP(B11,[1]!TabCalc[Ticker],[1]!TabCalc[L_Sp]),2),0)&amp;"x"&amp;_xlfn.XLOOKUP(B11,[1]!TabCalc[Ticker],[1]!TabCalc[L_Sn])&amp;", Cl@ "&amp;_xlfn.XLOOKUP(B11,ListTickers,[1]!Tab1Close[Close20])&amp;", Low@ "&amp;_xlfn.XLOOKUP(B11,ListTickers,[1]!Tab1Low[Low20])&amp;", High@ "&amp;_xlfn.XLOOKUP(B11,ListTickers,[1]!Tab1High[High20])&amp;  ", Agio="&amp;TEXT(_xlfn.XLOOKUP(B11,[1]!TabCalc[Ticker],[1]!TabCalc[Agiotage]),"#0%"),"")</f>
        <v xml:space="preserve">: </v>
      </c>
    </row>
    <row r="12" spans="1:20" ht="23" thickBot="1" x14ac:dyDescent="0.35">
      <c r="A12" s="16"/>
      <c r="B12" s="17"/>
      <c r="C12" s="18"/>
      <c r="D12" s="19"/>
      <c r="E12" s="20"/>
      <c r="F12" s="5" t="str">
        <f ca="1">_xlfn.XLOOKUP(B12,[1]!TabCalc[Ticker],[1]!TabCalc[M],"no Order")</f>
        <v>no Order</v>
      </c>
      <c r="I12" s="15" t="str" cm="1">
        <f t="array" aca="1" ref="I12" ca="1">B12&amp;": "&amp;IFERROR(TEXT(_xlfn.XLOOKUP(B12,[1]!TabCalc[Ticker],[1]!TabCalc[NAfter]),"#,#0")&amp;"xM@"&amp;_xlfn.XLOOKUP(B12,[1]!TabCalc[Ticker],[1]!TabCalc[M])&amp;          ", A@ "&amp;TRUNC(_xlfn.XLOOKUP(B12,[1]!TabCalc[Ticker],[1]!TabCalc[A]),2)&amp;           ", Y@ "&amp; _xlfn.XLOOKUP(B12,[1]!TabCalc[Ticker],[1]!TabCalc[Y])&amp;               ", L_Bp@ "&amp;TRUNC(_xlfn.XLOOKUP(B12,[1]!TabCalc[Ticker],[1]!TabCalc[L_Bp]),2)&amp;"x"&amp;_xlfn.XLOOKUP(B12,[1]!TabCalc[Ticker],[1]!TabCalc[L_Bn])&amp;                                  ", L_Sp@ "&amp;IFERROR(TRUNC(_xlfn.XLOOKUP(B12,[1]!TabCalc[Ticker],[1]!TabCalc[L_Sp]),2),0)&amp;"x"&amp;_xlfn.XLOOKUP(B12,[1]!TabCalc[Ticker],[1]!TabCalc[L_Sn])&amp;", Cl@ "&amp;_xlfn.XLOOKUP(B12,ListTickers,[1]!Tab1Close[Close20])&amp;", Low@ "&amp;_xlfn.XLOOKUP(B12,ListTickers,[1]!Tab1Low[Low20])&amp;", High@ "&amp;_xlfn.XLOOKUP(B12,ListTickers,[1]!Tab1High[High20])&amp;  ", Agio="&amp;TEXT(_xlfn.XLOOKUP(B12,[1]!TabCalc[Ticker],[1]!TabCalc[Agiotage]),"#0%"),"")</f>
        <v xml:space="preserve">: </v>
      </c>
    </row>
    <row r="13" spans="1:20" ht="23" thickBot="1" x14ac:dyDescent="0.35">
      <c r="A13" s="16"/>
      <c r="B13" s="17"/>
      <c r="C13" s="18"/>
      <c r="D13" s="19"/>
      <c r="E13" s="20"/>
      <c r="F13" s="5" t="str">
        <f ca="1">_xlfn.XLOOKUP(B13,[1]!TabCalc[Ticker],[1]!TabCalc[M],"no Order")</f>
        <v>no Order</v>
      </c>
      <c r="I13" s="15" t="str" cm="1">
        <f t="array" aca="1" ref="I13" ca="1">B13&amp;": "&amp;IFERROR(TEXT(_xlfn.XLOOKUP(B13,[1]!TabCalc[Ticker],[1]!TabCalc[NAfter]),"#,#0")&amp;"xM@"&amp;_xlfn.XLOOKUP(B13,[1]!TabCalc[Ticker],[1]!TabCalc[M])&amp;          ", A@ "&amp;TRUNC(_xlfn.XLOOKUP(B13,[1]!TabCalc[Ticker],[1]!TabCalc[A]),2)&amp;           ", Y@ "&amp; _xlfn.XLOOKUP(B13,[1]!TabCalc[Ticker],[1]!TabCalc[Y])&amp;               ", L_Bp@ "&amp;TRUNC(_xlfn.XLOOKUP(B13,[1]!TabCalc[Ticker],[1]!TabCalc[L_Bp]),2)&amp;"x"&amp;_xlfn.XLOOKUP(B13,[1]!TabCalc[Ticker],[1]!TabCalc[L_Bn])&amp;                                  ", L_Sp@ "&amp;IFERROR(TRUNC(_xlfn.XLOOKUP(B13,[1]!TabCalc[Ticker],[1]!TabCalc[L_Sp]),2),0)&amp;"x"&amp;_xlfn.XLOOKUP(B13,[1]!TabCalc[Ticker],[1]!TabCalc[L_Sn])&amp;", Cl@ "&amp;_xlfn.XLOOKUP(B13,ListTickers,[1]!Tab1Close[Close20])&amp;", Low@ "&amp;_xlfn.XLOOKUP(B13,ListTickers,[1]!Tab1Low[Low20])&amp;", High@ "&amp;_xlfn.XLOOKUP(B13,ListTickers,[1]!Tab1High[High20])&amp;  ", Agio="&amp;TEXT(_xlfn.XLOOKUP(B13,[1]!TabCalc[Ticker],[1]!TabCalc[Agiotage]),"#0%"),"")</f>
        <v xml:space="preserve">: </v>
      </c>
    </row>
    <row r="14" spans="1:20" ht="23" thickBot="1" x14ac:dyDescent="0.35">
      <c r="A14" s="16"/>
      <c r="B14" s="17"/>
      <c r="C14" s="18"/>
      <c r="D14" s="19"/>
      <c r="E14" s="20"/>
      <c r="F14" s="5" t="str">
        <f ca="1">_xlfn.XLOOKUP(B14,[1]!TabCalc[Ticker],[1]!TabCalc[M],"no Order")</f>
        <v>no Order</v>
      </c>
      <c r="I14" s="15" t="str" cm="1">
        <f t="array" aca="1" ref="I14" ca="1">B14&amp;": "&amp;IFERROR(TEXT(_xlfn.XLOOKUP(B14,[1]!TabCalc[Ticker],[1]!TabCalc[NAfter]),"#,#0")&amp;"xM@"&amp;_xlfn.XLOOKUP(B14,[1]!TabCalc[Ticker],[1]!TabCalc[M])&amp;          ", A@ "&amp;TRUNC(_xlfn.XLOOKUP(B14,[1]!TabCalc[Ticker],[1]!TabCalc[A]),2)&amp;           ", Y@ "&amp; _xlfn.XLOOKUP(B14,[1]!TabCalc[Ticker],[1]!TabCalc[Y])&amp;               ", L_Bp@ "&amp;TRUNC(_xlfn.XLOOKUP(B14,[1]!TabCalc[Ticker],[1]!TabCalc[L_Bp]),2)&amp;"x"&amp;_xlfn.XLOOKUP(B14,[1]!TabCalc[Ticker],[1]!TabCalc[L_Bn])&amp;                                  ", L_Sp@ "&amp;IFERROR(TRUNC(_xlfn.XLOOKUP(B14,[1]!TabCalc[Ticker],[1]!TabCalc[L_Sp]),2),0)&amp;"x"&amp;_xlfn.XLOOKUP(B14,[1]!TabCalc[Ticker],[1]!TabCalc[L_Sn])&amp;", Cl@ "&amp;_xlfn.XLOOKUP(B14,ListTickers,[1]!Tab1Close[Close20])&amp;", Low@ "&amp;_xlfn.XLOOKUP(B14,ListTickers,[1]!Tab1Low[Low20])&amp;", High@ "&amp;_xlfn.XLOOKUP(B14,ListTickers,[1]!Tab1High[High20])&amp;  ", Agio="&amp;TEXT(_xlfn.XLOOKUP(B14,[1]!TabCalc[Ticker],[1]!TabCalc[Agiotage]),"#0%"),"")</f>
        <v xml:space="preserve">: </v>
      </c>
    </row>
    <row r="15" spans="1:20" ht="23" thickBot="1" x14ac:dyDescent="0.35">
      <c r="A15" s="16"/>
      <c r="B15" s="17"/>
      <c r="C15" s="18"/>
      <c r="D15" s="19"/>
      <c r="E15" s="20"/>
      <c r="F15" s="5" t="str">
        <f ca="1">_xlfn.XLOOKUP(B15,[1]!TabCalc[Ticker],[1]!TabCalc[M],"no Order")</f>
        <v>no Order</v>
      </c>
      <c r="I15" s="15" t="str" cm="1">
        <f t="array" aca="1" ref="I15" ca="1">B15&amp;": "&amp;IFERROR(TEXT(_xlfn.XLOOKUP(B15,[1]!TabCalc[Ticker],[1]!TabCalc[NAfter]),"#,#0")&amp;"xM@"&amp;_xlfn.XLOOKUP(B15,[1]!TabCalc[Ticker],[1]!TabCalc[M])&amp;          ", A@ "&amp;TRUNC(_xlfn.XLOOKUP(B15,[1]!TabCalc[Ticker],[1]!TabCalc[A]),2)&amp;           ", Y@ "&amp; _xlfn.XLOOKUP(B15,[1]!TabCalc[Ticker],[1]!TabCalc[Y])&amp;               ", L_Bp@ "&amp;TRUNC(_xlfn.XLOOKUP(B15,[1]!TabCalc[Ticker],[1]!TabCalc[L_Bp]),2)&amp;"x"&amp;_xlfn.XLOOKUP(B15,[1]!TabCalc[Ticker],[1]!TabCalc[L_Bn])&amp;                                  ", L_Sp@ "&amp;IFERROR(TRUNC(_xlfn.XLOOKUP(B15,[1]!TabCalc[Ticker],[1]!TabCalc[L_Sp]),2),0)&amp;"x"&amp;_xlfn.XLOOKUP(B15,[1]!TabCalc[Ticker],[1]!TabCalc[L_Sn])&amp;", Cl@ "&amp;_xlfn.XLOOKUP(B15,ListTickers,[1]!Tab1Close[Close20])&amp;", Low@ "&amp;_xlfn.XLOOKUP(B15,ListTickers,[1]!Tab1Low[Low20])&amp;", High@ "&amp;_xlfn.XLOOKUP(B15,ListTickers,[1]!Tab1High[High20])&amp;  ", Agio="&amp;TEXT(_xlfn.XLOOKUP(B15,[1]!TabCalc[Ticker],[1]!TabCalc[Agiotage]),"#0%"),"")</f>
        <v xml:space="preserve">: </v>
      </c>
    </row>
    <row r="16" spans="1:20" ht="23" thickBot="1" x14ac:dyDescent="0.35">
      <c r="A16" s="24"/>
      <c r="B16" s="25"/>
      <c r="C16" s="26"/>
      <c r="D16" s="27"/>
      <c r="E16" s="28"/>
      <c r="F16" s="5" t="str">
        <f ca="1">_xlfn.XLOOKUP(B16,[1]!TabCalc[Ticker],[1]!TabCalc[M],"no Order")</f>
        <v>no Order</v>
      </c>
      <c r="I16" s="15" t="str" cm="1">
        <f t="array" aca="1" ref="I16" ca="1">B16&amp;": "&amp;IFERROR(TEXT(_xlfn.XLOOKUP(B16,[1]!TabCalc[Ticker],[1]!TabCalc[NAfter]),"#,#0")&amp;"xM@"&amp;_xlfn.XLOOKUP(B16,[1]!TabCalc[Ticker],[1]!TabCalc[M])&amp;          ", A@ "&amp;TRUNC(_xlfn.XLOOKUP(B16,[1]!TabCalc[Ticker],[1]!TabCalc[A]),2)&amp;           ", Y@ "&amp; _xlfn.XLOOKUP(B16,[1]!TabCalc[Ticker],[1]!TabCalc[Y])&amp;               ", L_Bp@ "&amp;TRUNC(_xlfn.XLOOKUP(B16,[1]!TabCalc[Ticker],[1]!TabCalc[L_Bp]),2)&amp;"x"&amp;_xlfn.XLOOKUP(B16,[1]!TabCalc[Ticker],[1]!TabCalc[L_Bn])&amp;                                  ", L_Sp@ "&amp;IFERROR(TRUNC(_xlfn.XLOOKUP(B16,[1]!TabCalc[Ticker],[1]!TabCalc[L_Sp]),2),0)&amp;"x"&amp;_xlfn.XLOOKUP(B16,[1]!TabCalc[Ticker],[1]!TabCalc[L_Sn])&amp;", Cl@ "&amp;_xlfn.XLOOKUP(B16,ListTickers,[1]!Tab1Close[Close20])&amp;", Low@ "&amp;_xlfn.XLOOKUP(B16,ListTickers,[1]!Tab1Low[Low20])&amp;", High@ "&amp;_xlfn.XLOOKUP(B16,ListTickers,[1]!Tab1High[High20])&amp;  ", Agio="&amp;TEXT(_xlfn.XLOOKUP(B16,[1]!TabCalc[Ticker],[1]!TabCalc[Agiotage]),"#0%"),"")</f>
        <v xml:space="preserve">: </v>
      </c>
    </row>
    <row r="19" spans="1:6" ht="23" thickBot="1" x14ac:dyDescent="0.35"/>
    <row r="20" spans="1:6" ht="23" thickBot="1" x14ac:dyDescent="0.35">
      <c r="A20" s="30" t="s">
        <v>14</v>
      </c>
      <c r="B20" s="31"/>
      <c r="C20" s="31"/>
      <c r="D20" s="30" t="s">
        <v>15</v>
      </c>
      <c r="E20" s="31"/>
      <c r="F20" s="32"/>
    </row>
    <row r="21" spans="1:6" x14ac:dyDescent="0.3">
      <c r="A21" s="33" t="str">
        <f>IF(B3&lt;&gt;"",B3,"")</f>
        <v/>
      </c>
      <c r="B21" s="34" t="str">
        <f>IF(A21="","",A21&amp;1)</f>
        <v/>
      </c>
      <c r="C21" s="35" t="str">
        <f>IF(B3="","",A21&amp;2)</f>
        <v/>
      </c>
      <c r="D21" s="36" t="str">
        <f>IF(A3="","",A3)</f>
        <v/>
      </c>
      <c r="E21" s="37">
        <f>C3</f>
        <v>0</v>
      </c>
      <c r="F21" s="38">
        <f>D3</f>
        <v>0</v>
      </c>
    </row>
    <row r="22" spans="1:6" x14ac:dyDescent="0.3">
      <c r="A22" s="39" t="str">
        <f t="shared" ref="A22:A34" si="0">IF(B4&lt;&gt;"",B4,"")</f>
        <v/>
      </c>
      <c r="B22" t="str">
        <f t="shared" ref="B22:B34" si="1">IF(A22="","",A22&amp;1)</f>
        <v/>
      </c>
      <c r="C22" s="40" t="str">
        <f t="shared" ref="C22:C34" si="2">IF(B4="","",A22&amp;2)</f>
        <v/>
      </c>
      <c r="D22" s="36" t="str">
        <f t="shared" ref="D22:D34" si="3">IF(A4="","",A4)</f>
        <v/>
      </c>
      <c r="E22" s="37">
        <f t="shared" ref="E22:F34" si="4">C4</f>
        <v>0</v>
      </c>
      <c r="F22" s="38">
        <f t="shared" si="4"/>
        <v>0</v>
      </c>
    </row>
    <row r="23" spans="1:6" x14ac:dyDescent="0.3">
      <c r="A23" s="39" t="str">
        <f t="shared" si="0"/>
        <v/>
      </c>
      <c r="B23" t="str">
        <f t="shared" si="1"/>
        <v/>
      </c>
      <c r="C23" s="40" t="str">
        <f t="shared" si="2"/>
        <v/>
      </c>
      <c r="D23" s="36" t="str">
        <f>IF(A5="","",A5)</f>
        <v/>
      </c>
      <c r="E23" s="37">
        <f t="shared" si="4"/>
        <v>0</v>
      </c>
      <c r="F23" s="38">
        <f t="shared" si="4"/>
        <v>0</v>
      </c>
    </row>
    <row r="24" spans="1:6" x14ac:dyDescent="0.3">
      <c r="A24" s="39" t="str">
        <f t="shared" si="0"/>
        <v/>
      </c>
      <c r="B24" t="str">
        <f t="shared" si="1"/>
        <v/>
      </c>
      <c r="C24" s="40" t="str">
        <f t="shared" si="2"/>
        <v/>
      </c>
      <c r="D24" s="36" t="str">
        <f t="shared" si="3"/>
        <v/>
      </c>
      <c r="E24" s="37">
        <f t="shared" si="4"/>
        <v>0</v>
      </c>
      <c r="F24" s="38">
        <f t="shared" si="4"/>
        <v>0</v>
      </c>
    </row>
    <row r="25" spans="1:6" x14ac:dyDescent="0.3">
      <c r="A25" s="39" t="str">
        <f t="shared" si="0"/>
        <v/>
      </c>
      <c r="B25" t="str">
        <f t="shared" si="1"/>
        <v/>
      </c>
      <c r="C25" s="40" t="str">
        <f t="shared" si="2"/>
        <v/>
      </c>
      <c r="D25" s="36" t="str">
        <f t="shared" si="3"/>
        <v/>
      </c>
      <c r="E25" s="37">
        <f t="shared" si="4"/>
        <v>0</v>
      </c>
      <c r="F25" s="38">
        <f t="shared" si="4"/>
        <v>0</v>
      </c>
    </row>
    <row r="26" spans="1:6" x14ac:dyDescent="0.3">
      <c r="A26" s="39" t="str">
        <f t="shared" si="0"/>
        <v/>
      </c>
      <c r="B26" t="str">
        <f t="shared" si="1"/>
        <v/>
      </c>
      <c r="C26" s="40" t="str">
        <f t="shared" si="2"/>
        <v/>
      </c>
      <c r="D26" s="36" t="str">
        <f t="shared" si="3"/>
        <v/>
      </c>
      <c r="E26" s="37">
        <f t="shared" si="4"/>
        <v>0</v>
      </c>
      <c r="F26" s="38">
        <f t="shared" si="4"/>
        <v>0</v>
      </c>
    </row>
    <row r="27" spans="1:6" x14ac:dyDescent="0.3">
      <c r="A27" s="39" t="str">
        <f t="shared" si="0"/>
        <v/>
      </c>
      <c r="B27" t="str">
        <f t="shared" si="1"/>
        <v/>
      </c>
      <c r="C27" s="40" t="str">
        <f t="shared" si="2"/>
        <v/>
      </c>
      <c r="D27" s="36" t="str">
        <f t="shared" si="3"/>
        <v/>
      </c>
      <c r="E27" s="37">
        <f t="shared" si="4"/>
        <v>0</v>
      </c>
      <c r="F27" s="38">
        <f t="shared" si="4"/>
        <v>0</v>
      </c>
    </row>
    <row r="28" spans="1:6" x14ac:dyDescent="0.3">
      <c r="A28" s="39" t="str">
        <f t="shared" si="0"/>
        <v/>
      </c>
      <c r="B28" t="str">
        <f t="shared" si="1"/>
        <v/>
      </c>
      <c r="C28" s="40" t="str">
        <f t="shared" si="2"/>
        <v/>
      </c>
      <c r="D28" s="36" t="str">
        <f t="shared" si="3"/>
        <v/>
      </c>
      <c r="E28" s="37">
        <f t="shared" si="4"/>
        <v>0</v>
      </c>
      <c r="F28" s="38">
        <f t="shared" si="4"/>
        <v>0</v>
      </c>
    </row>
    <row r="29" spans="1:6" x14ac:dyDescent="0.3">
      <c r="A29" s="39" t="str">
        <f t="shared" si="0"/>
        <v/>
      </c>
      <c r="B29" t="str">
        <f t="shared" si="1"/>
        <v/>
      </c>
      <c r="C29" s="40" t="str">
        <f t="shared" si="2"/>
        <v/>
      </c>
      <c r="D29" s="36" t="str">
        <f t="shared" si="3"/>
        <v/>
      </c>
      <c r="E29" s="37">
        <f t="shared" si="4"/>
        <v>0</v>
      </c>
      <c r="F29" s="38">
        <f t="shared" si="4"/>
        <v>0</v>
      </c>
    </row>
    <row r="30" spans="1:6" x14ac:dyDescent="0.3">
      <c r="A30" s="39" t="str">
        <f t="shared" si="0"/>
        <v/>
      </c>
      <c r="B30" t="str">
        <f t="shared" si="1"/>
        <v/>
      </c>
      <c r="C30" s="40" t="str">
        <f t="shared" si="2"/>
        <v/>
      </c>
      <c r="D30" s="36" t="str">
        <f t="shared" si="3"/>
        <v/>
      </c>
      <c r="E30" s="37">
        <f t="shared" si="4"/>
        <v>0</v>
      </c>
      <c r="F30" s="38">
        <f t="shared" si="4"/>
        <v>0</v>
      </c>
    </row>
    <row r="31" spans="1:6" x14ac:dyDescent="0.3">
      <c r="A31" s="39" t="str">
        <f t="shared" si="0"/>
        <v/>
      </c>
      <c r="B31" t="str">
        <f t="shared" si="1"/>
        <v/>
      </c>
      <c r="C31" s="40" t="str">
        <f t="shared" si="2"/>
        <v/>
      </c>
      <c r="D31" s="36" t="str">
        <f t="shared" si="3"/>
        <v/>
      </c>
      <c r="E31" s="37">
        <f t="shared" si="4"/>
        <v>0</v>
      </c>
      <c r="F31" s="38">
        <f t="shared" si="4"/>
        <v>0</v>
      </c>
    </row>
    <row r="32" spans="1:6" x14ac:dyDescent="0.3">
      <c r="A32" s="39" t="str">
        <f t="shared" si="0"/>
        <v/>
      </c>
      <c r="B32" t="str">
        <f t="shared" si="1"/>
        <v/>
      </c>
      <c r="C32" s="40" t="str">
        <f t="shared" si="2"/>
        <v/>
      </c>
      <c r="D32" s="36" t="str">
        <f t="shared" si="3"/>
        <v/>
      </c>
      <c r="E32" s="37">
        <f t="shared" si="4"/>
        <v>0</v>
      </c>
      <c r="F32" s="38">
        <f t="shared" si="4"/>
        <v>0</v>
      </c>
    </row>
    <row r="33" spans="1:14" x14ac:dyDescent="0.3">
      <c r="A33" s="39" t="str">
        <f t="shared" si="0"/>
        <v/>
      </c>
      <c r="B33" t="str">
        <f t="shared" si="1"/>
        <v/>
      </c>
      <c r="C33" s="40" t="str">
        <f t="shared" si="2"/>
        <v/>
      </c>
      <c r="D33" s="36" t="str">
        <f t="shared" si="3"/>
        <v/>
      </c>
      <c r="E33" s="37">
        <f t="shared" si="4"/>
        <v>0</v>
      </c>
      <c r="F33" s="38">
        <f t="shared" si="4"/>
        <v>0</v>
      </c>
      <c r="K33" s="41" t="s">
        <v>16</v>
      </c>
    </row>
    <row r="34" spans="1:14" ht="23" thickBot="1" x14ac:dyDescent="0.35">
      <c r="A34" s="42" t="str">
        <f t="shared" si="0"/>
        <v/>
      </c>
      <c r="B34" s="43" t="str">
        <f t="shared" si="1"/>
        <v/>
      </c>
      <c r="C34" s="44" t="str">
        <f t="shared" si="2"/>
        <v/>
      </c>
      <c r="D34" s="45" t="str">
        <f t="shared" si="3"/>
        <v/>
      </c>
      <c r="E34" s="46">
        <f t="shared" si="4"/>
        <v>0</v>
      </c>
      <c r="F34" s="47">
        <f t="shared" si="4"/>
        <v>0</v>
      </c>
      <c r="K34" s="41" t="s">
        <v>17</v>
      </c>
    </row>
    <row r="35" spans="1:14" x14ac:dyDescent="0.3">
      <c r="K35" s="41" t="s">
        <v>18</v>
      </c>
    </row>
    <row r="36" spans="1:14" x14ac:dyDescent="0.3">
      <c r="K36" s="41" t="s">
        <v>19</v>
      </c>
    </row>
    <row r="38" spans="1:14" ht="23" thickBot="1" x14ac:dyDescent="0.35">
      <c r="I38" s="48">
        <v>2.5999999999999999E-3</v>
      </c>
      <c r="J38" s="41" t="s">
        <v>16</v>
      </c>
      <c r="K38" s="41" t="s">
        <v>17</v>
      </c>
      <c r="L38" s="41" t="s">
        <v>18</v>
      </c>
      <c r="M38" s="41" t="s">
        <v>19</v>
      </c>
    </row>
    <row r="39" spans="1:14" ht="23" thickBot="1" x14ac:dyDescent="0.35">
      <c r="H39" s="49" t="s">
        <v>20</v>
      </c>
      <c r="I39" s="50" t="s">
        <v>21</v>
      </c>
      <c r="J39" s="41" t="s">
        <v>17</v>
      </c>
    </row>
    <row r="40" spans="1:14" ht="23" thickBot="1" x14ac:dyDescent="0.35">
      <c r="G40" s="51" t="s">
        <v>22</v>
      </c>
      <c r="H40" s="52">
        <f ca="1">H42+I42</f>
        <v>-4842956.8045729958</v>
      </c>
      <c r="I40" s="53">
        <f ca="1">(H42-I42)*I38</f>
        <v>85937.736077889786</v>
      </c>
      <c r="J40" s="41" t="s">
        <v>18</v>
      </c>
    </row>
    <row r="41" spans="1:14" x14ac:dyDescent="0.3">
      <c r="B41" s="3"/>
      <c r="C41" s="3"/>
      <c r="D41" s="54">
        <f>A43</f>
        <v>45684</v>
      </c>
      <c r="E41" s="55">
        <f>MAX(A43:A1004)</f>
        <v>45966</v>
      </c>
      <c r="F41" s="3" t="s">
        <v>23</v>
      </c>
      <c r="G41" s="56" t="s">
        <v>24</v>
      </c>
      <c r="H41" s="57" t="s">
        <v>25</v>
      </c>
      <c r="I41" s="58" t="s">
        <v>26</v>
      </c>
      <c r="J41" s="41" t="s">
        <v>19</v>
      </c>
    </row>
    <row r="42" spans="1:14" ht="23" thickBot="1" x14ac:dyDescent="0.35">
      <c r="A42" s="59" t="s">
        <v>118</v>
      </c>
      <c r="B42" s="60" t="s">
        <v>3</v>
      </c>
      <c r="C42" s="60" t="s">
        <v>4</v>
      </c>
      <c r="D42" s="60" t="s">
        <v>5</v>
      </c>
      <c r="E42" s="60" t="s">
        <v>27</v>
      </c>
      <c r="F42" s="53">
        <f ca="1">SUM(F43:F504)</f>
        <v>-3456714.2445729994</v>
      </c>
      <c r="G42" s="61" t="s">
        <v>28</v>
      </c>
      <c r="H42" s="62" cm="1">
        <f t="array" aca="1" ref="H42" ca="1">SUM(_xlfn._xlws.FILTER(F43:F800,F43:F800&gt;0))</f>
        <v>14105009.305</v>
      </c>
      <c r="I42" s="63" cm="1">
        <f t="array" aca="1" ref="I42" ca="1">SUM(_xlfn._xlws.FILTER(F43:F800,F43:F800&lt;0))</f>
        <v>-18947966.109572995</v>
      </c>
      <c r="K42" s="41" t="s">
        <v>16</v>
      </c>
      <c r="L42" s="41" t="s">
        <v>17</v>
      </c>
      <c r="M42" s="41" t="s">
        <v>18</v>
      </c>
      <c r="N42" s="41" t="s">
        <v>19</v>
      </c>
    </row>
    <row r="43" spans="1:14" x14ac:dyDescent="0.3">
      <c r="A43" s="64">
        <v>45684</v>
      </c>
      <c r="B43" s="5" t="s">
        <v>29</v>
      </c>
      <c r="C43" s="65">
        <v>2000</v>
      </c>
      <c r="D43" s="66">
        <v>36.674999999999997</v>
      </c>
      <c r="E43" s="67">
        <f ca="1">IFERROR(C43*D43*_xlfn.XLOOKUP(B43,[1]!TabCalc[Ticker],[1]!TabCalc[Scale]),0)</f>
        <v>73350</v>
      </c>
      <c r="F43" s="68" cm="1">
        <f t="array" aca="1" ref="F43" ca="1">IF(A43=A42,0,SUM(_xlfn._xlws.FILTER(E43:E53,A43:A53=A43)))</f>
        <v>26251.421999999999</v>
      </c>
      <c r="G43" s="69">
        <f ca="1">IF(F43&lt;&gt;0,SUM($F$43:F43),0)</f>
        <v>26251.421999999999</v>
      </c>
      <c r="H43" s="69" cm="1">
        <f t="array" aca="1" ref="H43" ca="1">IFERROR(IF(A43=A42,0,SUM(_xlfn._xlws.FILTER(E43:E53,(A43:A53=A43)*(E43:E53&gt;0)))),0)</f>
        <v>556728.522</v>
      </c>
      <c r="I43" s="69" cm="1">
        <f t="array" aca="1" ref="I43" ca="1">IFERROR(IF(A43=A42,0,SUM(_xlfn._xlws.FILTER(E43:E53,(A43:A53=A43)*(F43&lt;0)))),0)</f>
        <v>0</v>
      </c>
      <c r="J43"/>
      <c r="K43"/>
      <c r="L43"/>
      <c r="M43"/>
      <c r="N43"/>
    </row>
    <row r="44" spans="1:14" x14ac:dyDescent="0.3">
      <c r="A44" s="64">
        <v>45684</v>
      </c>
      <c r="B44" s="5" t="s">
        <v>30</v>
      </c>
      <c r="C44" s="65">
        <v>200</v>
      </c>
      <c r="D44" s="66">
        <v>-647.1</v>
      </c>
      <c r="E44" s="67">
        <f ca="1">IFERROR(C44*D44*_xlfn.XLOOKUP(B44,[1]!TabCalc[Ticker],[1]!TabCalc[Scale]),0)</f>
        <v>-129420</v>
      </c>
      <c r="F44" s="68" cm="1">
        <f t="array" ref="F44">IF(A44=A43,0,SUM(_xlfn._xlws.FILTER(E44:E54,A44:A54=A44)))</f>
        <v>0</v>
      </c>
      <c r="G44" s="69">
        <f>IF(F44&lt;&gt;0,SUM($F$43:F44),0)</f>
        <v>0</v>
      </c>
      <c r="H44" s="69" cm="1">
        <f t="array" ref="H44">IFERROR(IF(A44=A43,0,SUM(_xlfn._xlws.FILTER(E44:E54,(A44:A54=A44)*(E44:E54&gt;0)))),0)</f>
        <v>0</v>
      </c>
      <c r="I44" s="69" cm="1">
        <f t="array" ref="I44">IFERROR(IF(A44=A43,0,SUM(_xlfn._xlws.FILTER(E44:E54,(A44:A54=A44)*(F44&lt;0)))),0)</f>
        <v>0</v>
      </c>
      <c r="J44"/>
      <c r="K44"/>
      <c r="L44"/>
      <c r="M44"/>
      <c r="N44"/>
    </row>
    <row r="45" spans="1:14" x14ac:dyDescent="0.3">
      <c r="A45" s="64">
        <v>45684</v>
      </c>
      <c r="B45" s="5" t="s">
        <v>31</v>
      </c>
      <c r="C45" s="65">
        <v>800</v>
      </c>
      <c r="D45" s="66">
        <v>-189.88874999999999</v>
      </c>
      <c r="E45" s="67">
        <f ca="1">IFERROR(C45*D45*_xlfn.XLOOKUP(B45,[1]!TabCalc[Ticker],[1]!TabCalc[Scale]),0)</f>
        <v>-151911</v>
      </c>
      <c r="F45" s="68" cm="1">
        <f t="array" ref="F45">IF(A45=A44,0,SUM(_xlfn._xlws.FILTER(E45:E55,A45:A55=A45)))</f>
        <v>0</v>
      </c>
      <c r="G45" s="69">
        <f>IF(F45&lt;&gt;0,SUM($F$43:F45),0)</f>
        <v>0</v>
      </c>
      <c r="H45" s="69" cm="1">
        <f t="array" ref="H45">IFERROR(IF(A45=A44,0,SUM(_xlfn._xlws.FILTER(E45:E55,(A45:A55=A45)*(E45:E55&gt;0)))),0)</f>
        <v>0</v>
      </c>
      <c r="I45" s="69" cm="1">
        <f t="array" ref="I45">IFERROR(IF(A45=A44,0,SUM(_xlfn._xlws.FILTER(E45:E55,(A45:A55=A45)*(F45&lt;0)))),0)</f>
        <v>0</v>
      </c>
      <c r="J45"/>
      <c r="K45"/>
      <c r="L45"/>
      <c r="M45"/>
      <c r="N45"/>
    </row>
    <row r="46" spans="1:14" hidden="1" x14ac:dyDescent="0.3">
      <c r="A46" s="64">
        <v>45684</v>
      </c>
      <c r="B46" s="5" t="s">
        <v>32</v>
      </c>
      <c r="C46" s="65">
        <v>1200</v>
      </c>
      <c r="D46" s="66">
        <v>72.409469999999999</v>
      </c>
      <c r="E46" s="67">
        <f ca="1">IFERROR(C46*D46*_xlfn.XLOOKUP(B46,[1]!TabCalc[Ticker],[1]!TabCalc[Scale]),0)</f>
        <v>86891.364000000001</v>
      </c>
      <c r="F46" s="68" cm="1">
        <f t="array" ref="F46">IF(A46=A45,0,SUM(_xlfn._xlws.FILTER(E46:E56,A46:A56=A46)))</f>
        <v>0</v>
      </c>
      <c r="G46" s="69">
        <f>IF(F46&lt;&gt;0,SUM($F$43:F46),0)</f>
        <v>0</v>
      </c>
      <c r="H46" s="69" cm="1">
        <f t="array" ref="H46">IFERROR(IF(A46=A45,0,SUM(_xlfn._xlws.FILTER(E46:E56,(A46:A56=A46)*(E46:E56&gt;0)))),0)</f>
        <v>0</v>
      </c>
      <c r="I46" s="69" cm="1">
        <f t="array" ref="I46">IFERROR(IF(A46=A45,0,SUM(_xlfn._xlws.FILTER(E46:E56,(A46:A56=A46)*(F46&lt;0)))),0)</f>
        <v>0</v>
      </c>
      <c r="J46"/>
      <c r="K46"/>
      <c r="L46"/>
      <c r="M46"/>
      <c r="N46"/>
    </row>
    <row r="47" spans="1:14" hidden="1" x14ac:dyDescent="0.3">
      <c r="A47" s="64">
        <v>45684</v>
      </c>
      <c r="B47" s="5" t="s">
        <v>33</v>
      </c>
      <c r="C47" s="65">
        <v>900</v>
      </c>
      <c r="D47" s="66">
        <v>113.21462</v>
      </c>
      <c r="E47" s="67">
        <f ca="1">IFERROR(C47*D47*_xlfn.XLOOKUP(B47,[1]!TabCalc[Ticker],[1]!TabCalc[Scale]),0)</f>
        <v>101893.158</v>
      </c>
      <c r="F47" s="68" cm="1">
        <f t="array" ref="F47">IF(A47=A46,0,SUM(_xlfn._xlws.FILTER(E47:E57,A47:A57=A47)))</f>
        <v>0</v>
      </c>
      <c r="G47" s="69">
        <f>IF(F47&lt;&gt;0,SUM($F$43:F47),0)</f>
        <v>0</v>
      </c>
      <c r="H47" s="69" cm="1">
        <f t="array" ref="H47">IFERROR(IF(A47=A46,0,SUM(_xlfn._xlws.FILTER(E47:E57,(A47:A57=A47)*(E47:E57&gt;0)))),0)</f>
        <v>0</v>
      </c>
      <c r="I47" s="69" cm="1">
        <f t="array" ref="I47">IFERROR(IF(A47=A46,0,SUM(_xlfn._xlws.FILTER(E47:E57,(A47:A57=A47)*(F47&lt;0)))),0)</f>
        <v>0</v>
      </c>
      <c r="J47"/>
      <c r="K47"/>
      <c r="L47"/>
      <c r="M47"/>
      <c r="N47"/>
    </row>
    <row r="48" spans="1:14" hidden="1" x14ac:dyDescent="0.3">
      <c r="A48" s="64">
        <v>45684</v>
      </c>
      <c r="B48" s="5" t="s">
        <v>34</v>
      </c>
      <c r="C48" s="65">
        <v>5000</v>
      </c>
      <c r="D48" s="66">
        <v>32.770000000000003</v>
      </c>
      <c r="E48" s="67">
        <f ca="1">IFERROR(C48*D48*_xlfn.XLOOKUP(B48,[1]!TabCalc[Ticker],[1]!TabCalc[Scale]),0)</f>
        <v>163850.00000000003</v>
      </c>
      <c r="F48" s="68" cm="1">
        <f t="array" ref="F48">IF(A48=A47,0,SUM(_xlfn._xlws.FILTER(E48:E58,A48:A58=A48)))</f>
        <v>0</v>
      </c>
      <c r="G48" s="69">
        <f>IF(F48&lt;&gt;0,SUM($F$43:F48),0)</f>
        <v>0</v>
      </c>
      <c r="H48" s="69" cm="1">
        <f t="array" ref="H48">IFERROR(IF(A48=A47,0,SUM(_xlfn._xlws.FILTER(E48:E58,(A48:A58=A48)*(E48:E58&gt;0)))),0)</f>
        <v>0</v>
      </c>
      <c r="I48" s="69" cm="1">
        <f t="array" ref="I48">IFERROR(IF(A48=A47,0,SUM(_xlfn._xlws.FILTER(E48:E58,(A48:A58=A48)*(F48&lt;0)))),0)</f>
        <v>0</v>
      </c>
      <c r="J48"/>
      <c r="K48"/>
      <c r="L48"/>
      <c r="M48"/>
      <c r="N48"/>
    </row>
    <row r="49" spans="1:14" hidden="1" x14ac:dyDescent="0.3">
      <c r="A49" s="64">
        <v>45684</v>
      </c>
      <c r="B49" s="5" t="s">
        <v>35</v>
      </c>
      <c r="C49" s="65">
        <v>1300</v>
      </c>
      <c r="D49" s="66">
        <v>70.209999999999994</v>
      </c>
      <c r="E49" s="67">
        <f ca="1">IFERROR(C49*D49*_xlfn.XLOOKUP(B49,[1]!TabCalc[Ticker],[1]!TabCalc[Scale]),0)</f>
        <v>91272.999999999985</v>
      </c>
      <c r="F49" s="68" cm="1">
        <f t="array" ref="F49">IF(A49=A48,0,SUM(_xlfn._xlws.FILTER(E49:E59,A49:A59=A49)))</f>
        <v>0</v>
      </c>
      <c r="G49" s="69">
        <f>IF(F49&lt;&gt;0,SUM($F$43:F49),0)</f>
        <v>0</v>
      </c>
      <c r="H49" s="69" cm="1">
        <f t="array" ref="H49">IFERROR(IF(A49=A48,0,SUM(_xlfn._xlws.FILTER(E49:E59,(A49:A59=A49)*(E49:E59&gt;0)))),0)</f>
        <v>0</v>
      </c>
      <c r="I49" s="69" cm="1">
        <f t="array" ref="I49">IFERROR(IF(A49=A48,0,SUM(_xlfn._xlws.FILTER(E49:E59,(A49:A59=A49)*(F49&lt;0)))),0)</f>
        <v>0</v>
      </c>
      <c r="J49"/>
      <c r="K49"/>
      <c r="L49"/>
      <c r="M49"/>
      <c r="N49"/>
    </row>
    <row r="50" spans="1:14" hidden="1" x14ac:dyDescent="0.3">
      <c r="A50" s="64">
        <v>45684</v>
      </c>
      <c r="B50" s="5" t="s">
        <v>36</v>
      </c>
      <c r="C50" s="65">
        <v>200</v>
      </c>
      <c r="D50" s="66">
        <v>197.35499999999999</v>
      </c>
      <c r="E50" s="67">
        <f ca="1">IFERROR(C50*D50*_xlfn.XLOOKUP(B50,[1]!TabCalc[Ticker],[1]!TabCalc[Scale]),0)</f>
        <v>39471</v>
      </c>
      <c r="F50" s="68" cm="1">
        <f t="array" ref="F50">IF(A50=A49,0,SUM(_xlfn._xlws.FILTER(E50:E60,A50:A60=A50)))</f>
        <v>0</v>
      </c>
      <c r="G50" s="69">
        <f>IF(F50&lt;&gt;0,SUM($F$43:F50),0)</f>
        <v>0</v>
      </c>
      <c r="H50" s="69" cm="1">
        <f t="array" ref="H50">IFERROR(IF(A50=A49,0,SUM(_xlfn._xlws.FILTER(E50:E60,(A50:A60=A50)*(E50:E60&gt;0)))),0)</f>
        <v>0</v>
      </c>
      <c r="I50" s="69" cm="1">
        <f t="array" ref="I50">IFERROR(IF(A50=A49,0,SUM(_xlfn._xlws.FILTER(E50:E60,(A50:A60=A50)*(F50&lt;0)))),0)</f>
        <v>0</v>
      </c>
      <c r="J50"/>
      <c r="K50"/>
      <c r="L50"/>
      <c r="M50"/>
      <c r="N50"/>
    </row>
    <row r="51" spans="1:14" hidden="1" x14ac:dyDescent="0.3">
      <c r="A51" s="64">
        <v>45684</v>
      </c>
      <c r="B51" s="5" t="s">
        <v>37</v>
      </c>
      <c r="C51" s="65">
        <v>2000</v>
      </c>
      <c r="D51" s="66">
        <v>-59.125</v>
      </c>
      <c r="E51" s="67">
        <f ca="1">IFERROR(C51*D51*_xlfn.XLOOKUP(B51,[1]!TabCalc[Ticker],[1]!TabCalc[Scale]),0)</f>
        <v>-118250</v>
      </c>
      <c r="F51" s="68" cm="1">
        <f t="array" ref="F51">IF(A51=A50,0,SUM(_xlfn._xlws.FILTER(E51:E61,A51:A61=A51)))</f>
        <v>0</v>
      </c>
      <c r="G51" s="69">
        <f>IF(F51&lt;&gt;0,SUM($F$43:F51),0)</f>
        <v>0</v>
      </c>
      <c r="H51" s="69" cm="1">
        <f t="array" ref="H51">IFERROR(IF(A51=A50,0,SUM(_xlfn._xlws.FILTER(E51:E61,(A51:A61=A51)*(E51:E61&gt;0)))),0)</f>
        <v>0</v>
      </c>
      <c r="I51" s="69" cm="1">
        <f t="array" ref="I51">IFERROR(IF(A51=A50,0,SUM(_xlfn._xlws.FILTER(E51:E61,(A51:A61=A51)*(F51&lt;0)))),0)</f>
        <v>0</v>
      </c>
      <c r="J51"/>
      <c r="K51"/>
      <c r="L51"/>
      <c r="M51"/>
      <c r="N51"/>
    </row>
    <row r="52" spans="1:14" hidden="1" x14ac:dyDescent="0.3">
      <c r="A52" s="64">
        <v>45684</v>
      </c>
      <c r="B52" s="5" t="s">
        <v>38</v>
      </c>
      <c r="C52" s="65">
        <v>2000</v>
      </c>
      <c r="D52" s="66">
        <v>-60.379750000000001</v>
      </c>
      <c r="E52" s="67">
        <f ca="1">IFERROR(C52*D52*_xlfn.XLOOKUP(B52,[1]!TabCalc[Ticker],[1]!TabCalc[Scale]),0)</f>
        <v>-120759.5</v>
      </c>
      <c r="F52" s="68" cm="1">
        <f t="array" ref="F52">IF(A52=A51,0,SUM(_xlfn._xlws.FILTER(E52:E62,A52:A62=A52)))</f>
        <v>0</v>
      </c>
      <c r="G52" s="69">
        <f>IF(F52&lt;&gt;0,SUM($F$43:F52),0)</f>
        <v>0</v>
      </c>
      <c r="H52" s="69" cm="1">
        <f t="array" ref="H52">IFERROR(IF(A52=A51,0,SUM(_xlfn._xlws.FILTER(E52:E62,(A52:A62=A52)*(E52:E62&gt;0)))),0)</f>
        <v>0</v>
      </c>
      <c r="I52" s="69" cm="1">
        <f t="array" ref="I52">IFERROR(IF(A52=A51,0,SUM(_xlfn._xlws.FILTER(E52:E62,(A52:A62=A52)*(F52&lt;0)))),0)</f>
        <v>0</v>
      </c>
      <c r="J52"/>
      <c r="K52"/>
      <c r="L52"/>
      <c r="M52"/>
      <c r="N52"/>
    </row>
    <row r="53" spans="1:14" hidden="1" x14ac:dyDescent="0.3">
      <c r="A53" s="64">
        <v>45684</v>
      </c>
      <c r="B53" s="5" t="s">
        <v>39</v>
      </c>
      <c r="C53" s="65">
        <v>2000</v>
      </c>
      <c r="D53" s="66">
        <v>-5.0682999999999998</v>
      </c>
      <c r="E53" s="67">
        <f ca="1">IFERROR(C53*D53*_xlfn.XLOOKUP(B53,[1]!TabCalc[Ticker],[1]!TabCalc[Scale]),0)</f>
        <v>-10136.6</v>
      </c>
      <c r="F53" s="68" cm="1">
        <f t="array" ref="F53">IF(A53=A52,0,SUM(_xlfn._xlws.FILTER(E53:E63,A53:A63=A53)))</f>
        <v>0</v>
      </c>
      <c r="G53" s="69">
        <f>IF(F53&lt;&gt;0,SUM($F$43:F53),0)</f>
        <v>0</v>
      </c>
      <c r="H53" s="69" cm="1">
        <f t="array" ref="H53">IFERROR(IF(A53=A52,0,SUM(_xlfn._xlws.FILTER(E53:E63,(A53:A63=A53)*(E53:E63&gt;0)))),0)</f>
        <v>0</v>
      </c>
      <c r="I53" s="69" cm="1">
        <f t="array" ref="I53">IFERROR(IF(A53=A52,0,SUM(_xlfn._xlws.FILTER(E53:E63,(A53:A63=A53)*(F53&lt;0)))),0)</f>
        <v>0</v>
      </c>
      <c r="J53"/>
      <c r="K53"/>
      <c r="L53"/>
      <c r="M53"/>
      <c r="N53"/>
    </row>
    <row r="54" spans="1:14" hidden="1" x14ac:dyDescent="0.3">
      <c r="A54" s="64">
        <v>45684</v>
      </c>
      <c r="B54" s="5" t="s">
        <v>40</v>
      </c>
      <c r="C54" s="65">
        <v>4000</v>
      </c>
      <c r="D54" s="66">
        <v>-22.580249999999999</v>
      </c>
      <c r="E54" s="67">
        <f ca="1">IFERROR(C54*D54*_xlfn.XLOOKUP(B54,[1]!TabCalc[Ticker],[1]!TabCalc[Scale]),0)</f>
        <v>-90321</v>
      </c>
      <c r="F54" s="68" cm="1">
        <f t="array" ref="F54">IF(A54=A53,0,SUM(_xlfn._xlws.FILTER(E54:E64,A54:A64=A54)))</f>
        <v>0</v>
      </c>
      <c r="G54" s="69">
        <f>IF(F54&lt;&gt;0,SUM($F$43:F54),0)</f>
        <v>0</v>
      </c>
      <c r="H54" s="69" cm="1">
        <f t="array" ref="H54">IFERROR(IF(A54=A53,0,SUM(_xlfn._xlws.FILTER(E54:E64,(A54:A64=A54)*(E54:E64&gt;0)))),0)</f>
        <v>0</v>
      </c>
      <c r="I54" s="69" cm="1">
        <f t="array" ref="I54">IFERROR(IF(A54=A53,0,SUM(_xlfn._xlws.FILTER(E54:E64,(A54:A64=A54)*(F54&lt;0)))),0)</f>
        <v>0</v>
      </c>
      <c r="J54"/>
      <c r="K54"/>
      <c r="L54"/>
      <c r="M54"/>
      <c r="N54"/>
    </row>
    <row r="55" spans="1:14" hidden="1" x14ac:dyDescent="0.3">
      <c r="A55" s="70">
        <v>45685</v>
      </c>
      <c r="B55" s="6" t="s">
        <v>41</v>
      </c>
      <c r="C55" s="18">
        <v>10000</v>
      </c>
      <c r="D55" s="19">
        <v>1.46</v>
      </c>
      <c r="E55" s="67">
        <f ca="1">IFERROR(C55*D55*_xlfn.XLOOKUP(B55,[1]!TabCalc[Ticker],[1]!TabCalc[Scale]),0)</f>
        <v>14600</v>
      </c>
      <c r="F55" s="68" cm="1">
        <f t="array" aca="1" ref="F55" ca="1">IF(A55=A54,0,SUM(_xlfn._xlws.FILTER(E55:E65,A55:A65=A55)))</f>
        <v>121666.84</v>
      </c>
      <c r="G55" s="69">
        <f ca="1">IF(F55&lt;&gt;0,SUM($F$43:F55),0)</f>
        <v>147918.26199999999</v>
      </c>
      <c r="H55" s="69" cm="1">
        <f t="array" aca="1" ref="H55" ca="1">IFERROR(IF(A55=A54,0,SUM(_xlfn._xlws.FILTER(E55:E65,(A55:A65=A55)*(E55:E65&gt;0)))),0)</f>
        <v>256960.69</v>
      </c>
      <c r="I55" s="69" cm="1">
        <f t="array" aca="1" ref="I55" ca="1">IFERROR(IF(A55=A54,0,SUM(_xlfn._xlws.FILTER(E55:E65,(A55:A65=A55)*(F55&lt;0)))),0)</f>
        <v>0</v>
      </c>
      <c r="J55"/>
      <c r="K55"/>
      <c r="L55"/>
      <c r="M55"/>
      <c r="N55"/>
    </row>
    <row r="56" spans="1:14" hidden="1" x14ac:dyDescent="0.3">
      <c r="A56" s="70">
        <v>45685</v>
      </c>
      <c r="B56" s="71" t="s">
        <v>42</v>
      </c>
      <c r="C56" s="18">
        <v>500</v>
      </c>
      <c r="D56" s="19">
        <v>-142.01769999999999</v>
      </c>
      <c r="E56" s="67">
        <f ca="1">IFERROR(C56*D56*_xlfn.XLOOKUP(B56,[1]!TabCalc[Ticker],[1]!TabCalc[Scale]),0)</f>
        <v>-71008.849999999991</v>
      </c>
      <c r="F56" s="68" cm="1">
        <f t="array" ref="F56">IF(A56=A55,0,SUM(_xlfn._xlws.FILTER(E56:E66,A56:A66=A56)))</f>
        <v>0</v>
      </c>
      <c r="G56" s="69">
        <f>IF(F56&lt;&gt;0,SUM($F$43:F56),0)</f>
        <v>0</v>
      </c>
      <c r="H56" s="69" cm="1">
        <f t="array" ref="H56">IFERROR(IF(A56=A55,0,SUM(_xlfn._xlws.FILTER(E56:E66,(A56:A66=A56)*(E56:E66&gt;0)))),0)</f>
        <v>0</v>
      </c>
      <c r="I56" s="69" cm="1">
        <f t="array" ref="I56">IFERROR(IF(A56=A55,0,SUM(_xlfn._xlws.FILTER(E56:E66,(A56:A66=A56)*(F56&lt;0)))),0)</f>
        <v>0</v>
      </c>
      <c r="J56"/>
      <c r="K56"/>
      <c r="L56"/>
      <c r="M56"/>
      <c r="N56"/>
    </row>
    <row r="57" spans="1:14" hidden="1" x14ac:dyDescent="0.3">
      <c r="A57" s="70">
        <v>45685</v>
      </c>
      <c r="B57" s="71" t="s">
        <v>43</v>
      </c>
      <c r="C57" s="18">
        <v>100</v>
      </c>
      <c r="D57" s="19">
        <v>546.66999999999996</v>
      </c>
      <c r="E57" s="67">
        <f ca="1">IFERROR(C57*D57*_xlfn.XLOOKUP(B57,[1]!TabCalc[Ticker],[1]!TabCalc[Scale]),0)</f>
        <v>54666.999999999993</v>
      </c>
      <c r="F57" s="68" cm="1">
        <f t="array" ref="F57">IF(A57=A56,0,SUM(_xlfn._xlws.FILTER(E57:E67,A57:A67=A57)))</f>
        <v>0</v>
      </c>
      <c r="G57" s="69">
        <f>IF(F57&lt;&gt;0,SUM($F$43:F57),0)</f>
        <v>0</v>
      </c>
      <c r="H57" s="69" cm="1">
        <f t="array" ref="H57">IFERROR(IF(A57=A56,0,SUM(_xlfn._xlws.FILTER(E57:E67,(A57:A67=A57)*(E57:E67&gt;0)))),0)</f>
        <v>0</v>
      </c>
      <c r="I57" s="69" cm="1">
        <f t="array" ref="I57">IFERROR(IF(A57=A56,0,SUM(_xlfn._xlws.FILTER(E57:E67,(A57:A67=A57)*(F57&lt;0)))),0)</f>
        <v>0</v>
      </c>
      <c r="J57"/>
      <c r="K57"/>
      <c r="L57"/>
      <c r="M57"/>
      <c r="N57"/>
    </row>
    <row r="58" spans="1:14" hidden="1" x14ac:dyDescent="0.3">
      <c r="A58" s="70">
        <v>45685</v>
      </c>
      <c r="B58" s="71" t="s">
        <v>44</v>
      </c>
      <c r="C58" s="18">
        <v>700</v>
      </c>
      <c r="D58" s="19">
        <v>113.19670000000001</v>
      </c>
      <c r="E58" s="67">
        <f ca="1">IFERROR(C58*D58*_xlfn.XLOOKUP(B58,[1]!TabCalc[Ticker],[1]!TabCalc[Scale]),0)</f>
        <v>79237.69</v>
      </c>
      <c r="F58" s="68" cm="1">
        <f t="array" ref="F58">IF(A58=A57,0,SUM(_xlfn._xlws.FILTER(E58:E68,A58:A68=A58)))</f>
        <v>0</v>
      </c>
      <c r="G58" s="69">
        <f>IF(F58&lt;&gt;0,SUM($F$43:F58),0)</f>
        <v>0</v>
      </c>
      <c r="H58" s="69" cm="1">
        <f t="array" ref="H58">IFERROR(IF(A58=A57,0,SUM(_xlfn._xlws.FILTER(E58:E68,(A58:A68=A58)*(E58:E68&gt;0)))),0)</f>
        <v>0</v>
      </c>
      <c r="I58" s="69" cm="1">
        <f t="array" ref="I58">IFERROR(IF(A58=A57,0,SUM(_xlfn._xlws.FILTER(E58:E68,(A58:A68=A58)*(F58&lt;0)))),0)</f>
        <v>0</v>
      </c>
      <c r="J58"/>
      <c r="K58"/>
      <c r="L58"/>
      <c r="M58"/>
      <c r="N58"/>
    </row>
    <row r="59" spans="1:14" hidden="1" x14ac:dyDescent="0.3">
      <c r="A59" s="70">
        <v>45685</v>
      </c>
      <c r="B59" s="71" t="s">
        <v>45</v>
      </c>
      <c r="C59" s="18">
        <v>200</v>
      </c>
      <c r="D59" s="19">
        <v>231.18</v>
      </c>
      <c r="E59" s="67">
        <f ca="1">IFERROR(C59*D59*_xlfn.XLOOKUP(B59,[1]!TabCalc[Ticker],[1]!TabCalc[Scale]),0)</f>
        <v>46236</v>
      </c>
      <c r="F59" s="68" cm="1">
        <f t="array" ref="F59">IF(A59=A58,0,SUM(_xlfn._xlws.FILTER(E59:E69,A59:A69=A59)))</f>
        <v>0</v>
      </c>
      <c r="G59" s="69">
        <f>IF(F59&lt;&gt;0,SUM($F$43:F59),0)</f>
        <v>0</v>
      </c>
      <c r="H59" s="69" cm="1">
        <f t="array" ref="H59">IFERROR(IF(A59=A58,0,SUM(_xlfn._xlws.FILTER(E59:E69,(A59:A69=A59)*(E59:E69&gt;0)))),0)</f>
        <v>0</v>
      </c>
      <c r="I59" s="69" cm="1">
        <f t="array" ref="I59">IFERROR(IF(A59=A58,0,SUM(_xlfn._xlws.FILTER(E59:E69,(A59:A69=A59)*(F59&lt;0)))),0)</f>
        <v>0</v>
      </c>
      <c r="J59"/>
      <c r="K59"/>
      <c r="L59"/>
      <c r="M59"/>
      <c r="N59"/>
    </row>
    <row r="60" spans="1:14" hidden="1" x14ac:dyDescent="0.3">
      <c r="A60" s="70">
        <v>45685</v>
      </c>
      <c r="B60" s="71" t="s">
        <v>46</v>
      </c>
      <c r="C60" s="18">
        <v>100</v>
      </c>
      <c r="D60" s="19">
        <v>-642.85</v>
      </c>
      <c r="E60" s="67">
        <f ca="1">IFERROR(C60*D60*_xlfn.XLOOKUP(B60,[1]!TabCalc[Ticker],[1]!TabCalc[Scale]),0)</f>
        <v>-64285</v>
      </c>
      <c r="F60" s="68" cm="1">
        <f t="array" ref="F60">IF(A60=A59,0,SUM(_xlfn._xlws.FILTER(E60:E70,A60:A70=A60)))</f>
        <v>0</v>
      </c>
      <c r="G60" s="69">
        <f>IF(F60&lt;&gt;0,SUM($F$43:F60),0)</f>
        <v>0</v>
      </c>
      <c r="H60" s="69" cm="1">
        <f t="array" ref="H60">IFERROR(IF(A60=A59,0,SUM(_xlfn._xlws.FILTER(E60:E70,(A60:A70=A60)*(E60:E70&gt;0)))),0)</f>
        <v>0</v>
      </c>
      <c r="I60" s="69" cm="1">
        <f t="array" ref="I60">IFERROR(IF(A60=A59,0,SUM(_xlfn._xlws.FILTER(E60:E70,(A60:A70=A60)*(F60&lt;0)))),0)</f>
        <v>0</v>
      </c>
      <c r="J60"/>
      <c r="K60"/>
      <c r="L60"/>
      <c r="M60"/>
      <c r="N60"/>
    </row>
    <row r="61" spans="1:14" hidden="1" x14ac:dyDescent="0.3">
      <c r="A61" s="70">
        <v>45685</v>
      </c>
      <c r="B61" s="71" t="s">
        <v>47</v>
      </c>
      <c r="C61" s="18">
        <v>6000</v>
      </c>
      <c r="D61" s="19">
        <v>10.37</v>
      </c>
      <c r="E61" s="67">
        <f ca="1">IFERROR(C61*D61*_xlfn.XLOOKUP(B61,[1]!TabCalc[Ticker],[1]!TabCalc[Scale]),0)</f>
        <v>62219.999999999993</v>
      </c>
      <c r="F61" s="68" cm="1">
        <f t="array" ref="F61">IF(A61=A60,0,SUM(_xlfn._xlws.FILTER(E61:E71,A61:A71=A61)))</f>
        <v>0</v>
      </c>
      <c r="G61" s="69">
        <f>IF(F61&lt;&gt;0,SUM($F$43:F61),0)</f>
        <v>0</v>
      </c>
      <c r="H61" s="69" cm="1">
        <f t="array" ref="H61">IFERROR(IF(A61=A60,0,SUM(_xlfn._xlws.FILTER(E61:E71,(A61:A71=A61)*(E61:E71&gt;0)))),0)</f>
        <v>0</v>
      </c>
      <c r="I61" s="69" cm="1">
        <f t="array" ref="I61">IFERROR(IF(A61=A60,0,SUM(_xlfn._xlws.FILTER(E61:E71,(A61:A71=A61)*(F61&lt;0)))),0)</f>
        <v>0</v>
      </c>
      <c r="J61"/>
      <c r="K61"/>
      <c r="L61"/>
      <c r="M61"/>
      <c r="N61"/>
    </row>
    <row r="62" spans="1:14" hidden="1" x14ac:dyDescent="0.3">
      <c r="A62" s="64">
        <v>45686</v>
      </c>
      <c r="B62" s="5" t="s">
        <v>48</v>
      </c>
      <c r="C62" s="65">
        <v>6300</v>
      </c>
      <c r="D62" s="66">
        <v>10.39</v>
      </c>
      <c r="E62" s="67">
        <f ca="1">IFERROR(C62*D62*_xlfn.XLOOKUP(B62,[1]!TabCalc[Ticker],[1]!TabCalc[Scale]),0)</f>
        <v>65457</v>
      </c>
      <c r="F62" s="68" cm="1">
        <f t="array" aca="1" ref="F62" ca="1">IF(A62=A61,0,SUM(_xlfn._xlws.FILTER(E62:E72,A62:A72=A62)))</f>
        <v>408827.35000000003</v>
      </c>
      <c r="G62" s="69">
        <f ca="1">IF(F62&lt;&gt;0,SUM($F$43:F62),0)</f>
        <v>556745.61199999996</v>
      </c>
      <c r="H62" s="69" cm="1">
        <f t="array" aca="1" ref="H62" ca="1">IFERROR(IF(A62=A61,0,SUM(_xlfn._xlws.FILTER(E62:E72,(A62:A72=A62)*(E62:E72&gt;0)))),0)</f>
        <v>505636.2</v>
      </c>
      <c r="I62" s="69" cm="1">
        <f t="array" aca="1" ref="I62" ca="1">IFERROR(IF(A62=A61,0,SUM(_xlfn._xlws.FILTER(E62:E72,(A62:A72=A62)*(F62&lt;0)))),0)</f>
        <v>0</v>
      </c>
      <c r="J62"/>
      <c r="K62"/>
      <c r="L62"/>
      <c r="M62"/>
      <c r="N62"/>
    </row>
    <row r="63" spans="1:14" hidden="1" x14ac:dyDescent="0.3">
      <c r="A63" s="64">
        <v>45686</v>
      </c>
      <c r="B63" s="5" t="s">
        <v>49</v>
      </c>
      <c r="C63" s="65">
        <v>4000</v>
      </c>
      <c r="D63" s="66">
        <v>29.33</v>
      </c>
      <c r="E63" s="67">
        <f ca="1">IFERROR(C63*D63*_xlfn.XLOOKUP(B63,[1]!TabCalc[Ticker],[1]!TabCalc[Scale]),0)</f>
        <v>117320</v>
      </c>
      <c r="F63" s="68" cm="1">
        <f t="array" ref="F63">IF(A63=A62,0,SUM(_xlfn._xlws.FILTER(E63:E73,A63:A73=A63)))</f>
        <v>0</v>
      </c>
      <c r="G63" s="69">
        <f>IF(F63&lt;&gt;0,SUM($F$43:F63),0)</f>
        <v>0</v>
      </c>
      <c r="H63" s="69" cm="1">
        <f t="array" ref="H63">IFERROR(IF(A63=A62,0,SUM(_xlfn._xlws.FILTER(E63:E73,(A63:A73=A63)*(E63:E73&gt;0)))),0)</f>
        <v>0</v>
      </c>
      <c r="I63" s="69" cm="1">
        <f t="array" ref="I63">IFERROR(IF(A63=A62,0,SUM(_xlfn._xlws.FILTER(E63:E73,(A63:A73=A63)*(F63&lt;0)))),0)</f>
        <v>0</v>
      </c>
      <c r="J63"/>
      <c r="K63"/>
      <c r="L63"/>
      <c r="M63"/>
      <c r="N63"/>
    </row>
    <row r="64" spans="1:14" hidden="1" x14ac:dyDescent="0.3">
      <c r="A64" s="64">
        <v>45686</v>
      </c>
      <c r="B64" s="5" t="s">
        <v>50</v>
      </c>
      <c r="C64" s="65">
        <v>4000</v>
      </c>
      <c r="D64" s="66">
        <v>29.29</v>
      </c>
      <c r="E64" s="67">
        <f ca="1">IFERROR(C64*D64*_xlfn.XLOOKUP(B64,[1]!TabCalc[Ticker],[1]!TabCalc[Scale]),0)</f>
        <v>117160</v>
      </c>
      <c r="F64" s="68" cm="1">
        <f t="array" ref="F64">IF(A64=A63,0,SUM(_xlfn._xlws.FILTER(E64:E74,A64:A74=A64)))</f>
        <v>0</v>
      </c>
      <c r="G64" s="69">
        <f>IF(F64&lt;&gt;0,SUM($F$43:F64),0)</f>
        <v>0</v>
      </c>
      <c r="H64" s="69" cm="1">
        <f t="array" ref="H64">IFERROR(IF(A64=A63,0,SUM(_xlfn._xlws.FILTER(E64:E74,(A64:A74=A64)*(E64:E74&gt;0)))),0)</f>
        <v>0</v>
      </c>
      <c r="I64" s="69" cm="1">
        <f t="array" ref="I64">IFERROR(IF(A64=A63,0,SUM(_xlfn._xlws.FILTER(E64:E74,(A64:A74=A64)*(F64&lt;0)))),0)</f>
        <v>0</v>
      </c>
      <c r="J64"/>
      <c r="K64"/>
      <c r="L64"/>
      <c r="M64"/>
      <c r="N64"/>
    </row>
    <row r="65" spans="1:14" hidden="1" x14ac:dyDescent="0.3">
      <c r="A65" s="64">
        <v>45686</v>
      </c>
      <c r="B65" s="5" t="s">
        <v>51</v>
      </c>
      <c r="C65" s="65">
        <v>500</v>
      </c>
      <c r="D65" s="66">
        <v>80.89</v>
      </c>
      <c r="E65" s="67">
        <f ca="1">IFERROR(C65*D65*_xlfn.XLOOKUP(B65,[1]!TabCalc[Ticker],[1]!TabCalc[Scale]),0)</f>
        <v>40445</v>
      </c>
      <c r="F65" s="68" cm="1">
        <f t="array" ref="F65">IF(A65=A64,0,SUM(_xlfn._xlws.FILTER(E65:E75,A65:A75=A65)))</f>
        <v>0</v>
      </c>
      <c r="G65" s="69">
        <f>IF(F65&lt;&gt;0,SUM($F$43:F65),0)</f>
        <v>0</v>
      </c>
      <c r="H65" s="69" cm="1">
        <f t="array" ref="H65">IFERROR(IF(A65=A64,0,SUM(_xlfn._xlws.FILTER(E65:E75,(A65:A75=A65)*(E65:E75&gt;0)))),0)</f>
        <v>0</v>
      </c>
      <c r="I65" s="69" cm="1">
        <f t="array" ref="I65">IFERROR(IF(A65=A64,0,SUM(_xlfn._xlws.FILTER(E65:E75,(A65:A75=A65)*(F65&lt;0)))),0)</f>
        <v>0</v>
      </c>
      <c r="J65"/>
      <c r="K65"/>
      <c r="L65"/>
      <c r="M65"/>
      <c r="N65"/>
    </row>
    <row r="66" spans="1:14" hidden="1" x14ac:dyDescent="0.3">
      <c r="A66" s="64">
        <v>45686</v>
      </c>
      <c r="B66" s="5" t="s">
        <v>52</v>
      </c>
      <c r="C66" s="65">
        <v>15000</v>
      </c>
      <c r="D66" s="66">
        <v>-1.72</v>
      </c>
      <c r="E66" s="67">
        <f ca="1">IFERROR(C66*D66*_xlfn.XLOOKUP(B66,[1]!TabCalc[Ticker],[1]!TabCalc[Scale]),0)</f>
        <v>-25800</v>
      </c>
      <c r="F66" s="68" cm="1">
        <f t="array" ref="F66">IF(A66=A65,0,SUM(_xlfn._xlws.FILTER(E66:E76,A66:A76=A66)))</f>
        <v>0</v>
      </c>
      <c r="G66" s="69">
        <f>IF(F66&lt;&gt;0,SUM($F$43:F66),0)</f>
        <v>0</v>
      </c>
      <c r="H66" s="69" cm="1">
        <f t="array" ref="H66">IFERROR(IF(A66=A65,0,SUM(_xlfn._xlws.FILTER(E66:E76,(A66:A76=A66)*(E66:E76&gt;0)))),0)</f>
        <v>0</v>
      </c>
      <c r="I66" s="69" cm="1">
        <f t="array" ref="I66">IFERROR(IF(A66=A65,0,SUM(_xlfn._xlws.FILTER(E66:E76,(A66:A76=A66)*(F66&lt;0)))),0)</f>
        <v>0</v>
      </c>
      <c r="J66"/>
      <c r="K66"/>
      <c r="L66"/>
      <c r="M66"/>
      <c r="N66"/>
    </row>
    <row r="67" spans="1:14" hidden="1" x14ac:dyDescent="0.3">
      <c r="A67" s="64">
        <v>45686</v>
      </c>
      <c r="B67" s="5" t="s">
        <v>53</v>
      </c>
      <c r="C67" s="65">
        <v>3000</v>
      </c>
      <c r="D67" s="66">
        <v>41.35</v>
      </c>
      <c r="E67" s="67">
        <f ca="1">IFERROR(C67*D67*_xlfn.XLOOKUP(B67,[1]!TabCalc[Ticker],[1]!TabCalc[Scale]),0)</f>
        <v>124050</v>
      </c>
      <c r="F67" s="68" cm="1">
        <f t="array" ref="F67">IF(A67=A66,0,SUM(_xlfn._xlws.FILTER(E67:E77,A67:A77=A67)))</f>
        <v>0</v>
      </c>
      <c r="G67" s="69">
        <f>IF(F67&lt;&gt;0,SUM($F$43:F67),0)</f>
        <v>0</v>
      </c>
      <c r="H67" s="69" cm="1">
        <f t="array" ref="H67">IFERROR(IF(A67=A66,0,SUM(_xlfn._xlws.FILTER(E67:E77,(A67:A77=A67)*(E67:E77&gt;0)))),0)</f>
        <v>0</v>
      </c>
      <c r="I67" s="69" cm="1">
        <f t="array" ref="I67">IFERROR(IF(A67=A66,0,SUM(_xlfn._xlws.FILTER(E67:E77,(A67:A77=A67)*(F67&lt;0)))),0)</f>
        <v>0</v>
      </c>
      <c r="J67"/>
      <c r="K67"/>
      <c r="L67"/>
      <c r="M67"/>
      <c r="N67"/>
    </row>
    <row r="68" spans="1:14" hidden="1" x14ac:dyDescent="0.3">
      <c r="A68" s="64">
        <v>45686</v>
      </c>
      <c r="B68" s="5" t="s">
        <v>54</v>
      </c>
      <c r="C68" s="65">
        <v>400</v>
      </c>
      <c r="D68" s="66">
        <v>103.01049999999999</v>
      </c>
      <c r="E68" s="67">
        <f ca="1">IFERROR(C68*D68*_xlfn.XLOOKUP(B68,[1]!TabCalc[Ticker],[1]!TabCalc[Scale]),0)</f>
        <v>41204.199999999997</v>
      </c>
      <c r="F68" s="68" cm="1">
        <f t="array" ref="F68">IF(A68=A67,0,SUM(_xlfn._xlws.FILTER(E68:E78,A68:A78=A68)))</f>
        <v>0</v>
      </c>
      <c r="G68" s="69">
        <f>IF(F68&lt;&gt;0,SUM($F$43:F68),0)</f>
        <v>0</v>
      </c>
      <c r="H68" s="69" cm="1">
        <f t="array" ref="H68">IFERROR(IF(A68=A67,0,SUM(_xlfn._xlws.FILTER(E68:E78,(A68:A78=A68)*(E68:E78&gt;0)))),0)</f>
        <v>0</v>
      </c>
      <c r="I68" s="69" cm="1">
        <f t="array" ref="I68">IFERROR(IF(A68=A67,0,SUM(_xlfn._xlws.FILTER(E68:E78,(A68:A78=A68)*(F68&lt;0)))),0)</f>
        <v>0</v>
      </c>
      <c r="J68"/>
      <c r="K68"/>
      <c r="L68"/>
      <c r="M68"/>
      <c r="N68"/>
    </row>
    <row r="69" spans="1:14" hidden="1" x14ac:dyDescent="0.3">
      <c r="A69" s="64">
        <v>45686</v>
      </c>
      <c r="B69" s="5" t="s">
        <v>42</v>
      </c>
      <c r="C69" s="65">
        <v>500</v>
      </c>
      <c r="D69" s="66">
        <v>-142.01769999999999</v>
      </c>
      <c r="E69" s="67">
        <f ca="1">IFERROR(C69*D69*_xlfn.XLOOKUP(B69,[1]!TabCalc[Ticker],[1]!TabCalc[Scale]),0)</f>
        <v>-71008.849999999991</v>
      </c>
      <c r="F69" s="68" cm="1">
        <f t="array" ref="F69">IF(A69=A68,0,SUM(_xlfn._xlws.FILTER(E69:E79,A69:A79=A69)))</f>
        <v>0</v>
      </c>
      <c r="G69" s="69">
        <f>IF(F69&lt;&gt;0,SUM($F$43:F69),0)</f>
        <v>0</v>
      </c>
      <c r="H69" s="69" cm="1">
        <f t="array" ref="H69">IFERROR(IF(A69=A68,0,SUM(_xlfn._xlws.FILTER(E69:E79,(A69:A79=A69)*(E69:E79&gt;0)))),0)</f>
        <v>0</v>
      </c>
      <c r="I69" s="69" cm="1">
        <f t="array" ref="I69">IFERROR(IF(A69=A68,0,SUM(_xlfn._xlws.FILTER(E69:E79,(A69:A79=A69)*(F69&lt;0)))),0)</f>
        <v>0</v>
      </c>
      <c r="J69"/>
      <c r="K69"/>
      <c r="L69"/>
      <c r="M69"/>
      <c r="N69"/>
    </row>
    <row r="70" spans="1:14" hidden="1" x14ac:dyDescent="0.3">
      <c r="A70" s="70">
        <v>45687</v>
      </c>
      <c r="B70" s="71" t="s">
        <v>40</v>
      </c>
      <c r="C70" s="18">
        <v>4000</v>
      </c>
      <c r="D70" s="19">
        <v>-21.21</v>
      </c>
      <c r="E70" s="67">
        <f ca="1">IFERROR(C70*D70*_xlfn.XLOOKUP(B70,[1]!TabCalc[Ticker],[1]!TabCalc[Scale]),0)</f>
        <v>-84840</v>
      </c>
      <c r="F70" s="68" cm="1">
        <f t="array" aca="1" ref="F70" ca="1">IF(A70=A69,0,SUM(_xlfn._xlws.FILTER(E70:E80,A70:A80=A70)))</f>
        <v>-84840</v>
      </c>
      <c r="G70" s="69">
        <f ca="1">IF(F70&lt;&gt;0,SUM($F$43:F70),0)</f>
        <v>471905.61199999996</v>
      </c>
      <c r="H70" s="69" cm="1">
        <f t="array" aca="1" ref="H70" ca="1">IFERROR(IF(A70=A69,0,SUM(_xlfn._xlws.FILTER(E70:E80,(A70:A80=A70)*(E70:E80&gt;0)))),0)</f>
        <v>0</v>
      </c>
      <c r="I70" s="69" cm="1">
        <f t="array" aca="1" ref="I70" ca="1">IFERROR(IF(A70=A69,0,SUM(_xlfn._xlws.FILTER(E70:E80,(A70:A80=A70)*(F70&lt;0)))),0)</f>
        <v>-84840</v>
      </c>
      <c r="J70"/>
      <c r="K70"/>
      <c r="L70"/>
      <c r="M70"/>
      <c r="N70"/>
    </row>
    <row r="71" spans="1:14" hidden="1" x14ac:dyDescent="0.3">
      <c r="A71" s="64">
        <v>45688</v>
      </c>
      <c r="B71" s="5" t="s">
        <v>55</v>
      </c>
      <c r="C71" s="65">
        <v>200</v>
      </c>
      <c r="D71" s="66">
        <v>-233.95</v>
      </c>
      <c r="E71" s="67">
        <f ca="1">IFERROR(C71*D71*_xlfn.XLOOKUP(B71,[1]!TabCalc[Ticker],[1]!TabCalc[Scale]),0)</f>
        <v>-46790</v>
      </c>
      <c r="F71" s="68" cm="1">
        <f t="array" aca="1" ref="F71" ca="1">IF(A71=A70,0,SUM(_xlfn._xlws.FILTER(E71:E81,A71:A81=A71)))</f>
        <v>78944.12</v>
      </c>
      <c r="G71" s="69">
        <f ca="1">IF(F71&lt;&gt;0,SUM($F$43:F71),0)</f>
        <v>550849.73199999996</v>
      </c>
      <c r="H71" s="69" cm="1">
        <f t="array" aca="1" ref="H71" ca="1">IFERROR(IF(A71=A70,0,SUM(_xlfn._xlws.FILTER(E71:E81,(A71:A81=A71)*(E71:E81&gt;0)))),0)</f>
        <v>183640</v>
      </c>
      <c r="I71" s="69" cm="1">
        <f t="array" aca="1" ref="I71" ca="1">IFERROR(IF(A71=A70,0,SUM(_xlfn._xlws.FILTER(E71:E81,(A71:A81=A71)*(F71&lt;0)))),0)</f>
        <v>0</v>
      </c>
      <c r="J71"/>
      <c r="K71"/>
      <c r="L71"/>
      <c r="M71"/>
      <c r="N71"/>
    </row>
    <row r="72" spans="1:14" hidden="1" x14ac:dyDescent="0.3">
      <c r="A72" s="64">
        <v>45688</v>
      </c>
      <c r="B72" s="5" t="s">
        <v>42</v>
      </c>
      <c r="C72" s="65">
        <v>150</v>
      </c>
      <c r="D72" s="66">
        <v>-140.46</v>
      </c>
      <c r="E72" s="67">
        <f ca="1">IFERROR(C72*D72*_xlfn.XLOOKUP(B72,[1]!TabCalc[Ticker],[1]!TabCalc[Scale]),0)</f>
        <v>-21069</v>
      </c>
      <c r="F72" s="68" cm="1">
        <f t="array" ref="F72">IF(A72=A71,0,SUM(_xlfn._xlws.FILTER(E72:E82,A72:A82=A72)))</f>
        <v>0</v>
      </c>
      <c r="G72" s="69">
        <f>IF(F72&lt;&gt;0,SUM($F$43:F72),0)</f>
        <v>0</v>
      </c>
      <c r="H72" s="69" cm="1">
        <f t="array" ref="H72">IFERROR(IF(A72=A71,0,SUM(_xlfn._xlws.FILTER(E72:E82,(A72:A82=A72)*(E72:E82&gt;0)))),0)</f>
        <v>0</v>
      </c>
      <c r="I72" s="69" cm="1">
        <f t="array" ref="I72">IFERROR(IF(A72=A71,0,SUM(_xlfn._xlws.FILTER(E72:E82,(A72:A82=A72)*(F72&lt;0)))),0)</f>
        <v>0</v>
      </c>
      <c r="J72"/>
      <c r="K72"/>
      <c r="L72"/>
      <c r="M72"/>
      <c r="N72"/>
    </row>
    <row r="73" spans="1:14" hidden="1" x14ac:dyDescent="0.3">
      <c r="A73" s="64">
        <v>45688</v>
      </c>
      <c r="B73" s="5" t="s">
        <v>56</v>
      </c>
      <c r="C73" s="65">
        <v>2000</v>
      </c>
      <c r="D73" s="66">
        <v>31.31</v>
      </c>
      <c r="E73" s="67">
        <f ca="1">IFERROR(C73*D73*_xlfn.XLOOKUP(B73,[1]!TabCalc[Ticker],[1]!TabCalc[Scale]),0)</f>
        <v>62620</v>
      </c>
      <c r="F73" s="68" cm="1">
        <f t="array" ref="F73">IF(A73=A72,0,SUM(_xlfn._xlws.FILTER(E73:E83,A73:A83=A73)))</f>
        <v>0</v>
      </c>
      <c r="G73" s="69">
        <f>IF(F73&lt;&gt;0,SUM($F$43:F73),0)</f>
        <v>0</v>
      </c>
      <c r="H73" s="69" cm="1">
        <f t="array" ref="H73">IFERROR(IF(A73=A72,0,SUM(_xlfn._xlws.FILTER(E73:E83,(A73:A83=A73)*(E73:E83&gt;0)))),0)</f>
        <v>0</v>
      </c>
      <c r="I73" s="69" cm="1">
        <f t="array" ref="I73">IFERROR(IF(A73=A72,0,SUM(_xlfn._xlws.FILTER(E73:E83,(A73:A83=A73)*(F73&lt;0)))),0)</f>
        <v>0</v>
      </c>
      <c r="J73"/>
      <c r="K73"/>
      <c r="L73"/>
      <c r="M73"/>
      <c r="N73"/>
    </row>
    <row r="74" spans="1:14" hidden="1" x14ac:dyDescent="0.3">
      <c r="A74" s="64">
        <v>45688</v>
      </c>
      <c r="B74" s="5" t="s">
        <v>37</v>
      </c>
      <c r="C74" s="65">
        <v>2000</v>
      </c>
      <c r="D74" s="66">
        <v>60.51</v>
      </c>
      <c r="E74" s="67">
        <f ca="1">IFERROR(C74*D74*_xlfn.XLOOKUP(B74,[1]!TabCalc[Ticker],[1]!TabCalc[Scale]),0)</f>
        <v>121020</v>
      </c>
      <c r="F74" s="68" cm="1">
        <f t="array" ref="F74">IF(A74=A73,0,SUM(_xlfn._xlws.FILTER(E74:E84,A74:A84=A74)))</f>
        <v>0</v>
      </c>
      <c r="G74" s="69">
        <f>IF(F74&lt;&gt;0,SUM($F$43:F74),0)</f>
        <v>0</v>
      </c>
      <c r="H74" s="69" cm="1">
        <f t="array" ref="H74">IFERROR(IF(A74=A73,0,SUM(_xlfn._xlws.FILTER(E74:E84,(A74:A84=A74)*(E74:E84&gt;0)))),0)</f>
        <v>0</v>
      </c>
      <c r="I74" s="69" cm="1">
        <f t="array" ref="I74">IFERROR(IF(A74=A73,0,SUM(_xlfn._xlws.FILTER(E74:E84,(A74:A84=A74)*(F74&lt;0)))),0)</f>
        <v>0</v>
      </c>
      <c r="J74"/>
      <c r="K74"/>
      <c r="L74"/>
      <c r="M74"/>
      <c r="N74"/>
    </row>
    <row r="75" spans="1:14" hidden="1" x14ac:dyDescent="0.3">
      <c r="A75" s="64">
        <v>45688</v>
      </c>
      <c r="B75" s="5" t="s">
        <v>57</v>
      </c>
      <c r="C75" s="65">
        <v>1200</v>
      </c>
      <c r="D75" s="66">
        <v>-30.697399999999998</v>
      </c>
      <c r="E75" s="67">
        <f ca="1">IFERROR(C75*D75*_xlfn.XLOOKUP(B75,[1]!TabCalc[Ticker],[1]!TabCalc[Scale]),0)</f>
        <v>-36836.879999999997</v>
      </c>
      <c r="F75" s="68" cm="1">
        <f t="array" ref="F75">IF(A75=A74,0,SUM(_xlfn._xlws.FILTER(E75:E85,A75:A85=A75)))</f>
        <v>0</v>
      </c>
      <c r="G75" s="69">
        <f>IF(F75&lt;&gt;0,SUM($F$43:F75),0)</f>
        <v>0</v>
      </c>
      <c r="H75" s="69" cm="1">
        <f t="array" ref="H75">IFERROR(IF(A75=A74,0,SUM(_xlfn._xlws.FILTER(E75:E85,(A75:A85=A75)*(E75:E85&gt;0)))),0)</f>
        <v>0</v>
      </c>
      <c r="I75" s="69" cm="1">
        <f t="array" ref="I75">IFERROR(IF(A75=A74,0,SUM(_xlfn._xlws.FILTER(E75:E85,(A75:A85=A75)*(F75&lt;0)))),0)</f>
        <v>0</v>
      </c>
      <c r="J75"/>
      <c r="K75"/>
      <c r="L75"/>
      <c r="M75"/>
      <c r="N75"/>
    </row>
    <row r="76" spans="1:14" hidden="1" x14ac:dyDescent="0.3">
      <c r="A76" s="70">
        <v>45692</v>
      </c>
      <c r="B76" s="71" t="s">
        <v>55</v>
      </c>
      <c r="C76" s="18">
        <v>300</v>
      </c>
      <c r="D76" s="19">
        <v>-230.7</v>
      </c>
      <c r="E76" s="67">
        <f ca="1">IFERROR(C76*D76*_xlfn.XLOOKUP(B76,[1]!TabCalc[Ticker],[1]!TabCalc[Scale]),0)</f>
        <v>-69210</v>
      </c>
      <c r="F76" s="68" cm="1">
        <f t="array" aca="1" ref="F76" ca="1">IF(A76=A75,0,SUM(_xlfn._xlws.FILTER(E76:E86,A76:A86=A76)))</f>
        <v>170520</v>
      </c>
      <c r="G76" s="69">
        <f ca="1">IF(F76&lt;&gt;0,SUM($F$43:F76),0)</f>
        <v>721369.73199999996</v>
      </c>
      <c r="H76" s="69" cm="1">
        <f t="array" aca="1" ref="H76" ca="1">IFERROR(IF(A76=A75,0,SUM(_xlfn._xlws.FILTER(E76:E86,(A76:A86=A76)*(E76:E86&gt;0)))),0)</f>
        <v>239730</v>
      </c>
      <c r="I76" s="69" cm="1">
        <f t="array" aca="1" ref="I76" ca="1">IFERROR(IF(A76=A75,0,SUM(_xlfn._xlws.FILTER(E76:E86,(A76:A86=A76)*(F76&lt;0)))),0)</f>
        <v>0</v>
      </c>
      <c r="J76"/>
      <c r="K76"/>
      <c r="L76"/>
      <c r="M76"/>
      <c r="N76"/>
    </row>
    <row r="77" spans="1:14" hidden="1" x14ac:dyDescent="0.3">
      <c r="A77" s="70">
        <v>45692</v>
      </c>
      <c r="B77" s="71" t="s">
        <v>29</v>
      </c>
      <c r="C77" s="18">
        <v>1000</v>
      </c>
      <c r="D77" s="19">
        <v>39.119999999999997</v>
      </c>
      <c r="E77" s="67">
        <f ca="1">IFERROR(C77*D77*_xlfn.XLOOKUP(B77,[1]!TabCalc[Ticker],[1]!TabCalc[Scale]),0)</f>
        <v>39120</v>
      </c>
      <c r="F77" s="68" cm="1">
        <f t="array" ref="F77">IF(A77=A76,0,SUM(_xlfn._xlws.FILTER(E77:E87,A77:A87=A77)))</f>
        <v>0</v>
      </c>
      <c r="G77" s="69">
        <f>IF(F77&lt;&gt;0,SUM($F$43:F77),0)</f>
        <v>0</v>
      </c>
      <c r="H77" s="69" cm="1">
        <f t="array" ref="H77">IFERROR(IF(A77=A76,0,SUM(_xlfn._xlws.FILTER(E77:E87,(A77:A87=A77)*(E77:E87&gt;0)))),0)</f>
        <v>0</v>
      </c>
      <c r="I77" s="69" cm="1">
        <f t="array" ref="I77">IFERROR(IF(A77=A76,0,SUM(_xlfn._xlws.FILTER(E77:E87,(A77:A87=A77)*(F77&lt;0)))),0)</f>
        <v>0</v>
      </c>
      <c r="J77"/>
      <c r="K77"/>
      <c r="L77"/>
      <c r="M77"/>
      <c r="N77"/>
    </row>
    <row r="78" spans="1:14" hidden="1" x14ac:dyDescent="0.3">
      <c r="A78" s="70">
        <v>45692</v>
      </c>
      <c r="B78" s="71" t="s">
        <v>29</v>
      </c>
      <c r="C78" s="18">
        <v>2000</v>
      </c>
      <c r="D78" s="19">
        <v>40.119999999999997</v>
      </c>
      <c r="E78" s="67">
        <f ca="1">IFERROR(C78*D78*_xlfn.XLOOKUP(B78,[1]!TabCalc[Ticker],[1]!TabCalc[Scale]),0)</f>
        <v>80240</v>
      </c>
      <c r="F78" s="68" cm="1">
        <f t="array" ref="F78">IF(A78=A77,0,SUM(_xlfn._xlws.FILTER(E78:E88,A78:A88=A78)))</f>
        <v>0</v>
      </c>
      <c r="G78" s="69">
        <f>IF(F78&lt;&gt;0,SUM($F$43:F78),0)</f>
        <v>0</v>
      </c>
      <c r="H78" s="69" cm="1">
        <f t="array" ref="H78">IFERROR(IF(A78=A77,0,SUM(_xlfn._xlws.FILTER(E78:E88,(A78:A88=A78)*(E78:E88&gt;0)))),0)</f>
        <v>0</v>
      </c>
      <c r="I78" s="69" cm="1">
        <f t="array" ref="I78">IFERROR(IF(A78=A77,0,SUM(_xlfn._xlws.FILTER(E78:E88,(A78:A88=A78)*(F78&lt;0)))),0)</f>
        <v>0</v>
      </c>
      <c r="J78"/>
      <c r="K78"/>
      <c r="L78"/>
      <c r="M78"/>
      <c r="N78"/>
    </row>
    <row r="79" spans="1:14" hidden="1" x14ac:dyDescent="0.3">
      <c r="A79" s="70">
        <v>45692</v>
      </c>
      <c r="B79" s="71" t="s">
        <v>58</v>
      </c>
      <c r="C79" s="18">
        <v>1000</v>
      </c>
      <c r="D79" s="19">
        <v>39.549999999999997</v>
      </c>
      <c r="E79" s="67">
        <f ca="1">IFERROR(C79*D79*_xlfn.XLOOKUP(B79,[1]!TabCalc[Ticker],[1]!TabCalc[Scale]),0)</f>
        <v>39550</v>
      </c>
      <c r="F79" s="68" cm="1">
        <f t="array" ref="F79">IF(A79=A78,0,SUM(_xlfn._xlws.FILTER(E79:E89,A79:A89=A79)))</f>
        <v>0</v>
      </c>
      <c r="G79" s="69">
        <f>IF(F79&lt;&gt;0,SUM($F$43:F79),0)</f>
        <v>0</v>
      </c>
      <c r="H79" s="69" cm="1">
        <f t="array" ref="H79">IFERROR(IF(A79=A78,0,SUM(_xlfn._xlws.FILTER(E79:E89,(A79:A89=A79)*(E79:E89&gt;0)))),0)</f>
        <v>0</v>
      </c>
      <c r="I79" s="69" cm="1">
        <f t="array" ref="I79">IFERROR(IF(A79=A78,0,SUM(_xlfn._xlws.FILTER(E79:E89,(A79:A89=A79)*(F79&lt;0)))),0)</f>
        <v>0</v>
      </c>
      <c r="J79"/>
      <c r="K79"/>
      <c r="L79"/>
      <c r="M79"/>
      <c r="N79"/>
    </row>
    <row r="80" spans="1:14" hidden="1" x14ac:dyDescent="0.3">
      <c r="A80" s="70">
        <v>45692</v>
      </c>
      <c r="B80" s="71" t="s">
        <v>58</v>
      </c>
      <c r="C80" s="18">
        <v>2000</v>
      </c>
      <c r="D80" s="19">
        <v>40.409999999999997</v>
      </c>
      <c r="E80" s="67">
        <f ca="1">IFERROR(C80*D80*_xlfn.XLOOKUP(B80,[1]!TabCalc[Ticker],[1]!TabCalc[Scale]),0)</f>
        <v>80820</v>
      </c>
      <c r="F80" s="68" cm="1">
        <f t="array" ref="F80">IF(A80=A79,0,SUM(_xlfn._xlws.FILTER(E80:E90,A80:A90=A80)))</f>
        <v>0</v>
      </c>
      <c r="G80" s="69">
        <f>IF(F80&lt;&gt;0,SUM($F$43:F80),0)</f>
        <v>0</v>
      </c>
      <c r="H80" s="69" cm="1">
        <f t="array" ref="H80">IFERROR(IF(A80=A79,0,SUM(_xlfn._xlws.FILTER(E80:E90,(A80:A90=A80)*(E80:E90&gt;0)))),0)</f>
        <v>0</v>
      </c>
      <c r="I80" s="69" cm="1">
        <f t="array" ref="I80">IFERROR(IF(A80=A79,0,SUM(_xlfn._xlws.FILTER(E80:E90,(A80:A90=A80)*(F80&lt;0)))),0)</f>
        <v>0</v>
      </c>
      <c r="J80"/>
      <c r="K80"/>
      <c r="L80"/>
      <c r="M80"/>
      <c r="N80"/>
    </row>
    <row r="81" spans="1:14" hidden="1" x14ac:dyDescent="0.3">
      <c r="A81" s="64">
        <v>45693</v>
      </c>
      <c r="B81" s="5" t="s">
        <v>59</v>
      </c>
      <c r="C81" s="65">
        <v>250</v>
      </c>
      <c r="D81" s="66">
        <v>-236.91</v>
      </c>
      <c r="E81" s="67">
        <f ca="1">IFERROR(C81*D81*_xlfn.XLOOKUP(B81,[1]!TabCalc[Ticker],[1]!TabCalc[Scale]),0)</f>
        <v>-59227.5</v>
      </c>
      <c r="F81" s="68" cm="1">
        <f t="array" aca="1" ref="F81" ca="1">IF(A81=A80,0,SUM(_xlfn._xlws.FILTER(E81:E91,A81:A91=A81)))</f>
        <v>115626.432</v>
      </c>
      <c r="G81" s="69">
        <f ca="1">IF(F81&lt;&gt;0,SUM($F$43:F81),0)</f>
        <v>836996.16399999999</v>
      </c>
      <c r="H81" s="69" cm="1">
        <f t="array" aca="1" ref="H81" ca="1">IFERROR(IF(A81=A80,0,SUM(_xlfn._xlws.FILTER(E81:E91,(A81:A91=A81)*(E81:E91&gt;0)))),0)</f>
        <v>372004.13199999998</v>
      </c>
      <c r="I81" s="69" cm="1">
        <f t="array" aca="1" ref="I81" ca="1">IFERROR(IF(A81=A80,0,SUM(_xlfn._xlws.FILTER(E81:E91,(A81:A91=A81)*(F81&lt;0)))),0)</f>
        <v>0</v>
      </c>
      <c r="J81"/>
      <c r="K81"/>
      <c r="L81"/>
      <c r="M81"/>
      <c r="N81"/>
    </row>
    <row r="82" spans="1:14" hidden="1" x14ac:dyDescent="0.3">
      <c r="A82" s="64">
        <v>45693</v>
      </c>
      <c r="B82" s="5" t="s">
        <v>29</v>
      </c>
      <c r="C82" s="65">
        <v>1000</v>
      </c>
      <c r="D82" s="66">
        <v>40.700000000000003</v>
      </c>
      <c r="E82" s="67">
        <f ca="1">IFERROR(C82*D82*_xlfn.XLOOKUP(B82,[1]!TabCalc[Ticker],[1]!TabCalc[Scale]),0)</f>
        <v>40700</v>
      </c>
      <c r="F82" s="68" cm="1">
        <f t="array" ref="F82">IF(A82=A81,0,SUM(_xlfn._xlws.FILTER(E82:E92,A82:A92=A82)))</f>
        <v>0</v>
      </c>
      <c r="G82" s="69">
        <f>IF(F82&lt;&gt;0,SUM($F$43:F82),0)</f>
        <v>0</v>
      </c>
      <c r="H82" s="69" cm="1">
        <f t="array" ref="H82">IFERROR(IF(A82=A81,0,SUM(_xlfn._xlws.FILTER(E82:E92,(A82:A92=A82)*(E82:E92&gt;0)))),0)</f>
        <v>0</v>
      </c>
      <c r="I82" s="69" cm="1">
        <f t="array" ref="I82">IFERROR(IF(A82=A81,0,SUM(_xlfn._xlws.FILTER(E82:E92,(A82:A92=A82)*(F82&lt;0)))),0)</f>
        <v>0</v>
      </c>
      <c r="J82"/>
      <c r="K82"/>
      <c r="L82"/>
      <c r="M82"/>
      <c r="N82"/>
    </row>
    <row r="83" spans="1:14" hidden="1" x14ac:dyDescent="0.3">
      <c r="A83" s="64">
        <v>45693</v>
      </c>
      <c r="B83" s="5" t="s">
        <v>60</v>
      </c>
      <c r="C83" s="65">
        <v>100</v>
      </c>
      <c r="D83" s="66">
        <v>-382.16199999999998</v>
      </c>
      <c r="E83" s="67">
        <f ca="1">IFERROR(C83*D83*_xlfn.XLOOKUP(B83,[1]!TabCalc[Ticker],[1]!TabCalc[Scale]),0)</f>
        <v>-38216.199999999997</v>
      </c>
      <c r="F83" s="68" cm="1">
        <f t="array" ref="F83">IF(A83=A82,0,SUM(_xlfn._xlws.FILTER(E83:E93,A83:A93=A83)))</f>
        <v>0</v>
      </c>
      <c r="G83" s="69">
        <f>IF(F83&lt;&gt;0,SUM($F$43:F83),0)</f>
        <v>0</v>
      </c>
      <c r="H83" s="69" cm="1">
        <f t="array" ref="H83">IFERROR(IF(A83=A82,0,SUM(_xlfn._xlws.FILTER(E83:E93,(A83:A93=A83)*(E83:E93&gt;0)))),0)</f>
        <v>0</v>
      </c>
      <c r="I83" s="69" cm="1">
        <f t="array" ref="I83">IFERROR(IF(A83=A82,0,SUM(_xlfn._xlws.FILTER(E83:E93,(A83:A93=A83)*(F83&lt;0)))),0)</f>
        <v>0</v>
      </c>
      <c r="J83"/>
      <c r="K83"/>
      <c r="L83"/>
      <c r="M83"/>
      <c r="N83"/>
    </row>
    <row r="84" spans="1:14" hidden="1" x14ac:dyDescent="0.3">
      <c r="A84" s="64">
        <v>45693</v>
      </c>
      <c r="B84" s="5" t="s">
        <v>40</v>
      </c>
      <c r="C84" s="65">
        <v>4000</v>
      </c>
      <c r="D84" s="66">
        <v>21.358283</v>
      </c>
      <c r="E84" s="67">
        <f ca="1">IFERROR(C84*D84*_xlfn.XLOOKUP(B84,[1]!TabCalc[Ticker],[1]!TabCalc[Scale]),0)</f>
        <v>85433.131999999998</v>
      </c>
      <c r="F84" s="68" cm="1">
        <f t="array" ref="F84">IF(A84=A83,0,SUM(_xlfn._xlws.FILTER(E84:E94,A84:A94=A84)))</f>
        <v>0</v>
      </c>
      <c r="G84" s="69">
        <f>IF(F84&lt;&gt;0,SUM($F$43:F84),0)</f>
        <v>0</v>
      </c>
      <c r="H84" s="69" cm="1">
        <f t="array" ref="H84">IFERROR(IF(A84=A83,0,SUM(_xlfn._xlws.FILTER(E84:E94,(A84:A94=A84)*(E84:E94&gt;0)))),0)</f>
        <v>0</v>
      </c>
      <c r="I84" s="69" cm="1">
        <f t="array" ref="I84">IFERROR(IF(A84=A83,0,SUM(_xlfn._xlws.FILTER(E84:E94,(A84:A94=A84)*(F84&lt;0)))),0)</f>
        <v>0</v>
      </c>
      <c r="J84"/>
      <c r="K84"/>
      <c r="L84"/>
      <c r="M84"/>
      <c r="N84"/>
    </row>
    <row r="85" spans="1:14" hidden="1" x14ac:dyDescent="0.3">
      <c r="A85" s="64">
        <v>45693</v>
      </c>
      <c r="B85" s="5" t="s">
        <v>61</v>
      </c>
      <c r="C85" s="65">
        <v>400</v>
      </c>
      <c r="D85" s="66">
        <v>-236.70750000000001</v>
      </c>
      <c r="E85" s="67">
        <f ca="1">IFERROR(C85*D85*_xlfn.XLOOKUP(B85,[1]!TabCalc[Ticker],[1]!TabCalc[Scale]),0)</f>
        <v>-94683</v>
      </c>
      <c r="F85" s="68" cm="1">
        <f t="array" ref="F85">IF(A85=A84,0,SUM(_xlfn._xlws.FILTER(E85:E95,A85:A95=A85)))</f>
        <v>0</v>
      </c>
      <c r="G85" s="69">
        <f>IF(F85&lt;&gt;0,SUM($F$43:F85),0)</f>
        <v>0</v>
      </c>
      <c r="H85" s="69" cm="1">
        <f t="array" ref="H85">IFERROR(IF(A85=A84,0,SUM(_xlfn._xlws.FILTER(E85:E95,(A85:A95=A85)*(E85:E95&gt;0)))),0)</f>
        <v>0</v>
      </c>
      <c r="I85" s="69" cm="1">
        <f t="array" ref="I85">IFERROR(IF(A85=A84,0,SUM(_xlfn._xlws.FILTER(E85:E95,(A85:A95=A85)*(F85&lt;0)))),0)</f>
        <v>0</v>
      </c>
      <c r="J85"/>
      <c r="K85"/>
      <c r="L85"/>
      <c r="M85"/>
      <c r="N85"/>
    </row>
    <row r="86" spans="1:14" hidden="1" x14ac:dyDescent="0.3">
      <c r="A86" s="64">
        <v>45693</v>
      </c>
      <c r="B86" s="5" t="s">
        <v>38</v>
      </c>
      <c r="C86" s="65">
        <v>1000</v>
      </c>
      <c r="D86" s="66">
        <v>65.63</v>
      </c>
      <c r="E86" s="67">
        <f ca="1">IFERROR(C86*D86*_xlfn.XLOOKUP(B86,[1]!TabCalc[Ticker],[1]!TabCalc[Scale]),0)</f>
        <v>65630</v>
      </c>
      <c r="F86" s="68" cm="1">
        <f t="array" ref="F86">IF(A86=A85,0,SUM(_xlfn._xlws.FILTER(E86:E96,A86:A96=A86)))</f>
        <v>0</v>
      </c>
      <c r="G86" s="69">
        <f>IF(F86&lt;&gt;0,SUM($F$43:F86),0)</f>
        <v>0</v>
      </c>
      <c r="H86" s="69" cm="1">
        <f t="array" ref="H86">IFERROR(IF(A86=A85,0,SUM(_xlfn._xlws.FILTER(E86:E96,(A86:A96=A86)*(E86:E96&gt;0)))),0)</f>
        <v>0</v>
      </c>
      <c r="I86" s="69" cm="1">
        <f t="array" ref="I86">IFERROR(IF(A86=A85,0,SUM(_xlfn._xlws.FILTER(E86:E96,(A86:A96=A86)*(F86&lt;0)))),0)</f>
        <v>0</v>
      </c>
      <c r="J86"/>
      <c r="K86"/>
      <c r="L86"/>
      <c r="M86"/>
      <c r="N86"/>
    </row>
    <row r="87" spans="1:14" hidden="1" x14ac:dyDescent="0.3">
      <c r="A87" s="64">
        <v>45693</v>
      </c>
      <c r="B87" s="5" t="s">
        <v>62</v>
      </c>
      <c r="C87" s="65">
        <v>20000</v>
      </c>
      <c r="D87" s="66">
        <v>4.5999999999999996</v>
      </c>
      <c r="E87" s="67">
        <f ca="1">IFERROR(C87*D87*_xlfn.XLOOKUP(B87,[1]!TabCalc[Ticker],[1]!TabCalc[Scale]),0)</f>
        <v>92000</v>
      </c>
      <c r="F87" s="68" cm="1">
        <f t="array" ref="F87">IF(A87=A86,0,SUM(_xlfn._xlws.FILTER(E87:E97,A87:A97=A87)))</f>
        <v>0</v>
      </c>
      <c r="G87" s="69">
        <f>IF(F87&lt;&gt;0,SUM($F$43:F87),0)</f>
        <v>0</v>
      </c>
      <c r="H87" s="69" cm="1">
        <f t="array" ref="H87">IFERROR(IF(A87=A86,0,SUM(_xlfn._xlws.FILTER(E87:E97,(A87:A97=A87)*(E87:E97&gt;0)))),0)</f>
        <v>0</v>
      </c>
      <c r="I87" s="69" cm="1">
        <f t="array" ref="I87">IFERROR(IF(A87=A86,0,SUM(_xlfn._xlws.FILTER(E87:E97,(A87:A97=A87)*(F87&lt;0)))),0)</f>
        <v>0</v>
      </c>
      <c r="J87"/>
      <c r="K87"/>
      <c r="L87"/>
      <c r="M87"/>
      <c r="N87"/>
    </row>
    <row r="88" spans="1:14" hidden="1" x14ac:dyDescent="0.3">
      <c r="A88" s="64">
        <v>45693</v>
      </c>
      <c r="B88" s="5" t="s">
        <v>63</v>
      </c>
      <c r="C88" s="65">
        <v>9000</v>
      </c>
      <c r="D88" s="66">
        <v>529.4</v>
      </c>
      <c r="E88" s="67">
        <f ca="1">IFERROR(C88*D88*_xlfn.XLOOKUP(B88,[1]!TabCalc[Ticker],[1]!TabCalc[Scale]),0)</f>
        <v>47646</v>
      </c>
      <c r="F88" s="68" cm="1">
        <f t="array" ref="F88">IF(A88=A87,0,SUM(_xlfn._xlws.FILTER(E88:E98,A88:A98=A88)))</f>
        <v>0</v>
      </c>
      <c r="G88" s="69">
        <f>IF(F88&lt;&gt;0,SUM($F$43:F88),0)</f>
        <v>0</v>
      </c>
      <c r="H88" s="69" cm="1">
        <f t="array" ref="H88">IFERROR(IF(A88=A87,0,SUM(_xlfn._xlws.FILTER(E88:E98,(A88:A98=A88)*(E88:E98&gt;0)))),0)</f>
        <v>0</v>
      </c>
      <c r="I88" s="69" cm="1">
        <f t="array" ref="I88">IFERROR(IF(A88=A87,0,SUM(_xlfn._xlws.FILTER(E88:E98,(A88:A98=A88)*(F88&lt;0)))),0)</f>
        <v>0</v>
      </c>
      <c r="J88"/>
      <c r="K88"/>
      <c r="L88"/>
      <c r="M88"/>
      <c r="N88"/>
    </row>
    <row r="89" spans="1:14" hidden="1" x14ac:dyDescent="0.3">
      <c r="A89" s="64">
        <v>45693</v>
      </c>
      <c r="B89" s="5" t="s">
        <v>64</v>
      </c>
      <c r="C89" s="65">
        <v>450</v>
      </c>
      <c r="D89" s="66">
        <v>-142.78</v>
      </c>
      <c r="E89" s="67">
        <f ca="1">IFERROR(C89*D89*_xlfn.XLOOKUP(B89,[1]!TabCalc[Ticker],[1]!TabCalc[Scale]),0)</f>
        <v>-64251</v>
      </c>
      <c r="F89" s="68" cm="1">
        <f t="array" ref="F89">IF(A89=A88,0,SUM(_xlfn._xlws.FILTER(E89:E99,A89:A99=A89)))</f>
        <v>0</v>
      </c>
      <c r="G89" s="69">
        <f>IF(F89&lt;&gt;0,SUM($F$43:F89),0)</f>
        <v>0</v>
      </c>
      <c r="H89" s="69" cm="1">
        <f t="array" ref="H89">IFERROR(IF(A89=A88,0,SUM(_xlfn._xlws.FILTER(E89:E99,(A89:A99=A89)*(E89:E99&gt;0)))),0)</f>
        <v>0</v>
      </c>
      <c r="I89" s="69" cm="1">
        <f t="array" ref="I89">IFERROR(IF(A89=A88,0,SUM(_xlfn._xlws.FILTER(E89:E99,(A89:A99=A89)*(F89&lt;0)))),0)</f>
        <v>0</v>
      </c>
      <c r="J89"/>
      <c r="K89"/>
      <c r="L89"/>
      <c r="M89"/>
      <c r="N89"/>
    </row>
    <row r="90" spans="1:14" hidden="1" x14ac:dyDescent="0.3">
      <c r="A90" s="64">
        <v>45693</v>
      </c>
      <c r="B90" s="5" t="s">
        <v>29</v>
      </c>
      <c r="C90" s="65">
        <v>1000</v>
      </c>
      <c r="D90" s="66">
        <v>40.594999999999999</v>
      </c>
      <c r="E90" s="67">
        <f ca="1">IFERROR(C90*D90*_xlfn.XLOOKUP(B90,[1]!TabCalc[Ticker],[1]!TabCalc[Scale]),0)</f>
        <v>40595</v>
      </c>
      <c r="F90" s="68" cm="1">
        <f t="array" ref="F90">IF(A90=A89,0,SUM(_xlfn._xlws.FILTER(E90:E100,A90:A100=A90)))</f>
        <v>0</v>
      </c>
      <c r="G90" s="69">
        <f>IF(F90&lt;&gt;0,SUM($F$43:F90),0)</f>
        <v>0</v>
      </c>
      <c r="H90" s="69" cm="1">
        <f t="array" ref="H90">IFERROR(IF(A90=A89,0,SUM(_xlfn._xlws.FILTER(E90:E100,(A90:A100=A90)*(E90:E100&gt;0)))),0)</f>
        <v>0</v>
      </c>
      <c r="I90" s="69" cm="1">
        <f t="array" ref="I90">IFERROR(IF(A90=A89,0,SUM(_xlfn._xlws.FILTER(E90:E100,(A90:A100=A90)*(F90&lt;0)))),0)</f>
        <v>0</v>
      </c>
      <c r="J90"/>
      <c r="K90"/>
      <c r="L90"/>
      <c r="M90"/>
      <c r="N90"/>
    </row>
    <row r="91" spans="1:14" hidden="1" x14ac:dyDescent="0.3">
      <c r="A91" s="70">
        <v>45694</v>
      </c>
      <c r="B91" s="71" t="s">
        <v>65</v>
      </c>
      <c r="C91" s="18">
        <v>10000</v>
      </c>
      <c r="D91" s="19">
        <v>-1.1000000000000001</v>
      </c>
      <c r="E91" s="67">
        <f ca="1">IFERROR(C91*D91*_xlfn.XLOOKUP(B91,[1]!TabCalc[Ticker],[1]!TabCalc[Scale]),0)</f>
        <v>-11000</v>
      </c>
      <c r="F91" s="68" cm="1">
        <f t="array" aca="1" ref="F91" ca="1">IF(A91=A90,0,SUM(_xlfn._xlws.FILTER(E91:E101,A91:A101=A91)))</f>
        <v>-163864.0001</v>
      </c>
      <c r="G91" s="69">
        <f ca="1">IF(F91&lt;&gt;0,SUM($F$43:F91),0)</f>
        <v>673132.16390000004</v>
      </c>
      <c r="H91" s="69" cm="1">
        <f t="array" aca="1" ref="H91" ca="1">IFERROR(IF(A91=A90,0,SUM(_xlfn._xlws.FILTER(E91:E101,(A91:A101=A91)*(E91:E101&gt;0)))),0)</f>
        <v>178688.69990000001</v>
      </c>
      <c r="I91" s="69" cm="1">
        <f t="array" aca="1" ref="I91" ca="1">IFERROR(IF(A91=A90,0,SUM(_xlfn._xlws.FILTER(E91:E101,(A91:A101=A91)*(F91&lt;0)))),0)</f>
        <v>-163864.0001</v>
      </c>
      <c r="J91"/>
      <c r="K91"/>
      <c r="L91"/>
      <c r="M91"/>
      <c r="N91"/>
    </row>
    <row r="92" spans="1:14" hidden="1" x14ac:dyDescent="0.3">
      <c r="A92" s="70">
        <v>45694</v>
      </c>
      <c r="B92" s="71" t="s">
        <v>66</v>
      </c>
      <c r="C92" s="18">
        <v>1000</v>
      </c>
      <c r="D92" s="19">
        <v>34.524999999999999</v>
      </c>
      <c r="E92" s="67">
        <f ca="1">IFERROR(C92*D92*_xlfn.XLOOKUP(B92,[1]!TabCalc[Ticker],[1]!TabCalc[Scale]),0)</f>
        <v>34525</v>
      </c>
      <c r="F92" s="68" cm="1">
        <f t="array" ref="F92">IF(A92=A91,0,SUM(_xlfn._xlws.FILTER(E92:E102,A92:A102=A92)))</f>
        <v>0</v>
      </c>
      <c r="G92" s="69">
        <f>IF(F92&lt;&gt;0,SUM($F$43:F92),0)</f>
        <v>0</v>
      </c>
      <c r="H92" s="69" cm="1">
        <f t="array" ref="H92">IFERROR(IF(A92=A91,0,SUM(_xlfn._xlws.FILTER(E92:E102,(A92:A102=A92)*(E92:E102&gt;0)))),0)</f>
        <v>0</v>
      </c>
      <c r="I92" s="69" cm="1">
        <f t="array" ref="I92">IFERROR(IF(A92=A91,0,SUM(_xlfn._xlws.FILTER(E92:E102,(A92:A102=A92)*(F92&lt;0)))),0)</f>
        <v>0</v>
      </c>
      <c r="J92"/>
      <c r="K92"/>
      <c r="L92"/>
      <c r="M92"/>
      <c r="N92"/>
    </row>
    <row r="93" spans="1:14" hidden="1" x14ac:dyDescent="0.3">
      <c r="A93" s="70">
        <v>45694</v>
      </c>
      <c r="B93" s="71" t="s">
        <v>67</v>
      </c>
      <c r="C93" s="18">
        <v>15000</v>
      </c>
      <c r="D93" s="19">
        <v>4.6399999999999997</v>
      </c>
      <c r="E93" s="67">
        <f ca="1">IFERROR(C93*D93*_xlfn.XLOOKUP(B93,[1]!TabCalc[Ticker],[1]!TabCalc[Scale]),0)</f>
        <v>69600</v>
      </c>
      <c r="F93" s="68" cm="1">
        <f t="array" ref="F93">IF(A93=A92,0,SUM(_xlfn._xlws.FILTER(E93:E103,A93:A103=A93)))</f>
        <v>0</v>
      </c>
      <c r="G93" s="69">
        <f>IF(F93&lt;&gt;0,SUM($F$43:F93),0)</f>
        <v>0</v>
      </c>
      <c r="H93" s="69" cm="1">
        <f t="array" ref="H93">IFERROR(IF(A93=A92,0,SUM(_xlfn._xlws.FILTER(E93:E103,(A93:A103=A93)*(E93:E103&gt;0)))),0)</f>
        <v>0</v>
      </c>
      <c r="I93" s="69" cm="1">
        <f t="array" ref="I93">IFERROR(IF(A93=A92,0,SUM(_xlfn._xlws.FILTER(E93:E103,(A93:A103=A93)*(F93&lt;0)))),0)</f>
        <v>0</v>
      </c>
      <c r="J93"/>
      <c r="K93"/>
      <c r="L93"/>
      <c r="M93"/>
      <c r="N93"/>
    </row>
    <row r="94" spans="1:14" hidden="1" x14ac:dyDescent="0.3">
      <c r="A94" s="70">
        <v>45694</v>
      </c>
      <c r="B94" s="71" t="s">
        <v>68</v>
      </c>
      <c r="C94" s="18">
        <v>363</v>
      </c>
      <c r="D94" s="19">
        <v>-42.2</v>
      </c>
      <c r="E94" s="67">
        <f ca="1">IFERROR(C94*D94*_xlfn.XLOOKUP(B94,[1]!TabCalc[Ticker],[1]!TabCalc[Scale]),0)</f>
        <v>-15318.6</v>
      </c>
      <c r="F94" s="68" cm="1">
        <f t="array" ref="F94">IF(A94=A93,0,SUM(_xlfn._xlws.FILTER(E94:E104,A94:A104=A94)))</f>
        <v>0</v>
      </c>
      <c r="G94" s="69">
        <f>IF(F94&lt;&gt;0,SUM($F$43:F94),0)</f>
        <v>0</v>
      </c>
      <c r="H94" s="69" cm="1">
        <f t="array" ref="H94">IFERROR(IF(A94=A93,0,SUM(_xlfn._xlws.FILTER(E94:E104,(A94:A104=A94)*(E94:E104&gt;0)))),0)</f>
        <v>0</v>
      </c>
      <c r="I94" s="69" cm="1">
        <f t="array" ref="I94">IFERROR(IF(A94=A93,0,SUM(_xlfn._xlws.FILTER(E94:E104,(A94:A104=A94)*(F94&lt;0)))),0)</f>
        <v>0</v>
      </c>
      <c r="J94"/>
      <c r="K94"/>
      <c r="L94"/>
      <c r="M94"/>
      <c r="N94"/>
    </row>
    <row r="95" spans="1:14" hidden="1" x14ac:dyDescent="0.3">
      <c r="A95" s="70">
        <v>45694</v>
      </c>
      <c r="B95" s="71" t="s">
        <v>69</v>
      </c>
      <c r="C95" s="18">
        <v>10000</v>
      </c>
      <c r="D95" s="19">
        <v>362.61099999999999</v>
      </c>
      <c r="E95" s="67">
        <f ca="1">IFERROR(C95*D95*_xlfn.XLOOKUP(B95,[1]!TabCalc[Ticker],[1]!TabCalc[Scale]),0)</f>
        <v>36261.1</v>
      </c>
      <c r="F95" s="68" cm="1">
        <f t="array" ref="F95">IF(A95=A94,0,SUM(_xlfn._xlws.FILTER(E95:E105,A95:A105=A95)))</f>
        <v>0</v>
      </c>
      <c r="G95" s="69">
        <f>IF(F95&lt;&gt;0,SUM($F$43:F95),0)</f>
        <v>0</v>
      </c>
      <c r="H95" s="69" cm="1">
        <f t="array" ref="H95">IFERROR(IF(A95=A94,0,SUM(_xlfn._xlws.FILTER(E95:E105,(A95:A105=A95)*(E95:E105&gt;0)))),0)</f>
        <v>0</v>
      </c>
      <c r="I95" s="69" cm="1">
        <f t="array" ref="I95">IFERROR(IF(A95=A94,0,SUM(_xlfn._xlws.FILTER(E95:E105,(A95:A105=A95)*(F95&lt;0)))),0)</f>
        <v>0</v>
      </c>
      <c r="J95"/>
      <c r="K95"/>
      <c r="L95"/>
      <c r="M95"/>
      <c r="N95"/>
    </row>
    <row r="96" spans="1:14" hidden="1" x14ac:dyDescent="0.3">
      <c r="A96" s="70">
        <v>45694</v>
      </c>
      <c r="B96" s="71" t="s">
        <v>32</v>
      </c>
      <c r="C96" s="18">
        <v>1000</v>
      </c>
      <c r="D96" s="19">
        <v>-68.929749999999999</v>
      </c>
      <c r="E96" s="67">
        <f ca="1">IFERROR(C96*D96*_xlfn.XLOOKUP(B96,[1]!TabCalc[Ticker],[1]!TabCalc[Scale]),0)</f>
        <v>-68929.75</v>
      </c>
      <c r="F96" s="68" cm="1">
        <f t="array" ref="F96">IF(A96=A95,0,SUM(_xlfn._xlws.FILTER(E96:E106,A96:A106=A96)))</f>
        <v>0</v>
      </c>
      <c r="G96" s="69">
        <f>IF(F96&lt;&gt;0,SUM($F$43:F96),0)</f>
        <v>0</v>
      </c>
      <c r="H96" s="69" cm="1">
        <f t="array" ref="H96">IFERROR(IF(A96=A95,0,SUM(_xlfn._xlws.FILTER(E96:E106,(A96:A106=A96)*(E96:E106&gt;0)))),0)</f>
        <v>0</v>
      </c>
      <c r="I96" s="69" cm="1">
        <f t="array" ref="I96">IFERROR(IF(A96=A95,0,SUM(_xlfn._xlws.FILTER(E96:E106,(A96:A106=A96)*(F96&lt;0)))),0)</f>
        <v>0</v>
      </c>
      <c r="J96"/>
      <c r="K96"/>
      <c r="L96"/>
      <c r="M96"/>
      <c r="N96"/>
    </row>
    <row r="97" spans="1:14" hidden="1" x14ac:dyDescent="0.3">
      <c r="A97" s="70">
        <v>45694</v>
      </c>
      <c r="B97" s="71" t="s">
        <v>70</v>
      </c>
      <c r="C97" s="18">
        <v>4500</v>
      </c>
      <c r="D97" s="19">
        <v>-9.75</v>
      </c>
      <c r="E97" s="67">
        <f ca="1">IFERROR(C97*D97*_xlfn.XLOOKUP(B97,[1]!TabCalc[Ticker],[1]!TabCalc[Scale]),0)</f>
        <v>-43875</v>
      </c>
      <c r="F97" s="68" cm="1">
        <f t="array" ref="F97">IF(A97=A96,0,SUM(_xlfn._xlws.FILTER(E97:E107,A97:A107=A97)))</f>
        <v>0</v>
      </c>
      <c r="G97" s="69">
        <f>IF(F97&lt;&gt;0,SUM($F$43:F97),0)</f>
        <v>0</v>
      </c>
      <c r="H97" s="69" cm="1">
        <f t="array" ref="H97">IFERROR(IF(A97=A96,0,SUM(_xlfn._xlws.FILTER(E97:E107,(A97:A107=A97)*(E97:E107&gt;0)))),0)</f>
        <v>0</v>
      </c>
      <c r="I97" s="69" cm="1">
        <f t="array" ref="I97">IFERROR(IF(A97=A96,0,SUM(_xlfn._xlws.FILTER(E97:E107,(A97:A107=A97)*(F97&lt;0)))),0)</f>
        <v>0</v>
      </c>
      <c r="J97"/>
      <c r="K97"/>
      <c r="L97"/>
      <c r="M97"/>
      <c r="N97"/>
    </row>
    <row r="98" spans="1:14" hidden="1" x14ac:dyDescent="0.3">
      <c r="A98" s="70">
        <v>45694</v>
      </c>
      <c r="B98" s="71" t="s">
        <v>49</v>
      </c>
      <c r="C98" s="18">
        <v>4000</v>
      </c>
      <c r="D98" s="19">
        <v>-29.234999999999999</v>
      </c>
      <c r="E98" s="67">
        <f ca="1">IFERROR(C98*D98*_xlfn.XLOOKUP(B98,[1]!TabCalc[Ticker],[1]!TabCalc[Scale]),0)</f>
        <v>-116940</v>
      </c>
      <c r="F98" s="68" cm="1">
        <f t="array" ref="F98">IF(A98=A97,0,SUM(_xlfn._xlws.FILTER(E98:E108,A98:A108=A98)))</f>
        <v>0</v>
      </c>
      <c r="G98" s="69">
        <f>IF(F98&lt;&gt;0,SUM($F$43:F98),0)</f>
        <v>0</v>
      </c>
      <c r="H98" s="69" cm="1">
        <f t="array" ref="H98">IFERROR(IF(A98=A97,0,SUM(_xlfn._xlws.FILTER(E98:E108,(A98:A108=A98)*(E98:E108&gt;0)))),0)</f>
        <v>0</v>
      </c>
      <c r="I98" s="69" cm="1">
        <f t="array" ref="I98">IFERROR(IF(A98=A97,0,SUM(_xlfn._xlws.FILTER(E98:E108,(A98:A108=A98)*(F98&lt;0)))),0)</f>
        <v>0</v>
      </c>
      <c r="J98"/>
      <c r="K98"/>
      <c r="L98"/>
      <c r="M98"/>
      <c r="N98"/>
    </row>
    <row r="99" spans="1:14" hidden="1" x14ac:dyDescent="0.3">
      <c r="A99" s="70">
        <v>45694</v>
      </c>
      <c r="B99" s="71" t="s">
        <v>71</v>
      </c>
      <c r="C99" s="18">
        <v>3000</v>
      </c>
      <c r="D99" s="19">
        <v>12.7675333</v>
      </c>
      <c r="E99" s="67">
        <f ca="1">IFERROR(C99*D99*_xlfn.XLOOKUP(B99,[1]!TabCalc[Ticker],[1]!TabCalc[Scale]),0)</f>
        <v>38302.599900000001</v>
      </c>
      <c r="F99" s="68" cm="1">
        <f t="array" ref="F99">IF(A99=A98,0,SUM(_xlfn._xlws.FILTER(E99:E109,A99:A109=A99)))</f>
        <v>0</v>
      </c>
      <c r="G99" s="69">
        <f>IF(F99&lt;&gt;0,SUM($F$43:F99),0)</f>
        <v>0</v>
      </c>
      <c r="H99" s="69" cm="1">
        <f t="array" ref="H99">IFERROR(IF(A99=A98,0,SUM(_xlfn._xlws.FILTER(E99:E109,(A99:A109=A99)*(E99:E109&gt;0)))),0)</f>
        <v>0</v>
      </c>
      <c r="I99" s="69" cm="1">
        <f t="array" ref="I99">IFERROR(IF(A99=A98,0,SUM(_xlfn._xlws.FILTER(E99:E109,(A99:A109=A99)*(F99&lt;0)))),0)</f>
        <v>0</v>
      </c>
      <c r="J99"/>
      <c r="K99"/>
      <c r="L99"/>
      <c r="M99"/>
      <c r="N99"/>
    </row>
    <row r="100" spans="1:14" hidden="1" x14ac:dyDescent="0.3">
      <c r="A100" s="70">
        <v>45694</v>
      </c>
      <c r="B100" s="71" t="s">
        <v>72</v>
      </c>
      <c r="C100" s="18">
        <v>500</v>
      </c>
      <c r="D100" s="19">
        <v>-42.2</v>
      </c>
      <c r="E100" s="67">
        <f ca="1">IFERROR(C100*D100*_xlfn.XLOOKUP(B100,[1]!TabCalc[Ticker],[1]!TabCalc[Scale]),0)</f>
        <v>-21100</v>
      </c>
      <c r="F100" s="68" cm="1">
        <f t="array" ref="F100">IF(A100=A99,0,SUM(_xlfn._xlws.FILTER(E100:E110,A100:A110=A100)))</f>
        <v>0</v>
      </c>
      <c r="G100" s="69">
        <f>IF(F100&lt;&gt;0,SUM($F$43:F100),0)</f>
        <v>0</v>
      </c>
      <c r="H100" s="69" cm="1">
        <f t="array" ref="H100">IFERROR(IF(A100=A99,0,SUM(_xlfn._xlws.FILTER(E100:E110,(A100:A110=A100)*(E100:E110&gt;0)))),0)</f>
        <v>0</v>
      </c>
      <c r="I100" s="69" cm="1">
        <f t="array" ref="I100">IFERROR(IF(A100=A99,0,SUM(_xlfn._xlws.FILTER(E100:E110,(A100:A110=A100)*(F100&lt;0)))),0)</f>
        <v>0</v>
      </c>
      <c r="J100"/>
      <c r="K100"/>
      <c r="L100"/>
      <c r="M100"/>
      <c r="N100"/>
    </row>
    <row r="101" spans="1:14" hidden="1" x14ac:dyDescent="0.3">
      <c r="A101" s="70">
        <v>45694</v>
      </c>
      <c r="B101" s="71" t="s">
        <v>73</v>
      </c>
      <c r="C101" s="18">
        <v>6500</v>
      </c>
      <c r="D101" s="19">
        <v>-10.059900000000001</v>
      </c>
      <c r="E101" s="67">
        <f ca="1">IFERROR(C101*D101*_xlfn.XLOOKUP(B101,[1]!TabCalc[Ticker],[1]!TabCalc[Scale]),0)</f>
        <v>-65389.350000000006</v>
      </c>
      <c r="F101" s="68" cm="1">
        <f t="array" ref="F101">IF(A101=A100,0,SUM(_xlfn._xlws.FILTER(E101:E111,A101:A111=A101)))</f>
        <v>0</v>
      </c>
      <c r="G101" s="69">
        <f>IF(F101&lt;&gt;0,SUM($F$43:F101),0)</f>
        <v>0</v>
      </c>
      <c r="H101" s="69" cm="1">
        <f t="array" ref="H101">IFERROR(IF(A101=A100,0,SUM(_xlfn._xlws.FILTER(E101:E111,(A101:A111=A101)*(E101:E111&gt;0)))),0)</f>
        <v>0</v>
      </c>
      <c r="I101" s="69" cm="1">
        <f t="array" ref="I101">IFERROR(IF(A101=A100,0,SUM(_xlfn._xlws.FILTER(E101:E111,(A101:A111=A101)*(F101&lt;0)))),0)</f>
        <v>0</v>
      </c>
      <c r="J101"/>
      <c r="K101"/>
      <c r="L101"/>
      <c r="M101"/>
      <c r="N101"/>
    </row>
    <row r="102" spans="1:14" hidden="1" x14ac:dyDescent="0.3">
      <c r="A102" s="64">
        <v>45695</v>
      </c>
      <c r="B102" s="5" t="s">
        <v>74</v>
      </c>
      <c r="C102" s="65">
        <v>4000</v>
      </c>
      <c r="D102" s="66">
        <v>15.3</v>
      </c>
      <c r="E102" s="67">
        <f ca="1">IFERROR(C102*D102*_xlfn.XLOOKUP(B102,[1]!TabCalc[Ticker],[1]!TabCalc[Scale]),0)</f>
        <v>61200</v>
      </c>
      <c r="F102" s="68" cm="1">
        <f t="array" aca="1" ref="F102" ca="1">IF(A102=A101,0,SUM(_xlfn._xlws.FILTER(E102:E112,A102:A112=A102)))</f>
        <v>248687.5</v>
      </c>
      <c r="G102" s="69">
        <f ca="1">IF(F102&lt;&gt;0,SUM($F$43:F102),0)</f>
        <v>921819.66390000004</v>
      </c>
      <c r="H102" s="69" cm="1">
        <f t="array" aca="1" ref="H102" ca="1">IFERROR(IF(A102=A101,0,SUM(_xlfn._xlws.FILTER(E102:E112,(A102:A112=A102)*(E102:E112&gt;0)))),0)</f>
        <v>273187.5</v>
      </c>
      <c r="I102" s="69" cm="1">
        <f t="array" aca="1" ref="I102" ca="1">IFERROR(IF(A102=A101,0,SUM(_xlfn._xlws.FILTER(E102:E112,(A102:A112=A102)*(F102&lt;0)))),0)</f>
        <v>0</v>
      </c>
      <c r="J102"/>
      <c r="K102"/>
      <c r="L102"/>
      <c r="M102"/>
      <c r="N102"/>
    </row>
    <row r="103" spans="1:14" hidden="1" x14ac:dyDescent="0.3">
      <c r="A103" s="64">
        <v>45695</v>
      </c>
      <c r="B103" s="5" t="s">
        <v>75</v>
      </c>
      <c r="C103" s="65">
        <v>4000</v>
      </c>
      <c r="D103" s="66">
        <v>11.63</v>
      </c>
      <c r="E103" s="67">
        <f ca="1">IFERROR(C103*D103*_xlfn.XLOOKUP(B103,[1]!TabCalc[Ticker],[1]!TabCalc[Scale]),0)</f>
        <v>46520</v>
      </c>
      <c r="F103" s="68" cm="1">
        <f t="array" ref="F103">IF(A103=A102,0,SUM(_xlfn._xlws.FILTER(E103:E113,A103:A113=A103)))</f>
        <v>0</v>
      </c>
      <c r="G103" s="69">
        <f>IF(F103&lt;&gt;0,SUM($F$43:F103),0)</f>
        <v>0</v>
      </c>
      <c r="H103" s="69" cm="1">
        <f t="array" ref="H103">IFERROR(IF(A103=A102,0,SUM(_xlfn._xlws.FILTER(E103:E113,(A103:A113=A103)*(E103:E113&gt;0)))),0)</f>
        <v>0</v>
      </c>
      <c r="I103" s="69" cm="1">
        <f t="array" ref="I103">IFERROR(IF(A103=A102,0,SUM(_xlfn._xlws.FILTER(E103:E113,(A103:A113=A103)*(F103&lt;0)))),0)</f>
        <v>0</v>
      </c>
      <c r="J103"/>
      <c r="K103"/>
      <c r="L103"/>
      <c r="M103"/>
      <c r="N103"/>
    </row>
    <row r="104" spans="1:14" hidden="1" x14ac:dyDescent="0.3">
      <c r="A104" s="64">
        <v>45695</v>
      </c>
      <c r="B104" s="5" t="s">
        <v>76</v>
      </c>
      <c r="C104" s="65">
        <v>50000</v>
      </c>
      <c r="D104" s="66">
        <v>-49</v>
      </c>
      <c r="E104" s="67">
        <f ca="1">IFERROR(C104*D104*_xlfn.XLOOKUP(B104,[1]!TabCalc[Ticker],[1]!TabCalc[Scale]),0)</f>
        <v>-24500</v>
      </c>
      <c r="F104" s="68" cm="1">
        <f t="array" ref="F104">IF(A104=A103,0,SUM(_xlfn._xlws.FILTER(E104:E114,A104:A114=A104)))</f>
        <v>0</v>
      </c>
      <c r="G104" s="69">
        <f>IF(F104&lt;&gt;0,SUM($F$43:F104),0)</f>
        <v>0</v>
      </c>
      <c r="H104" s="69" cm="1">
        <f t="array" ref="H104">IFERROR(IF(A104=A103,0,SUM(_xlfn._xlws.FILTER(E104:E114,(A104:A114=A104)*(E104:E114&gt;0)))),0)</f>
        <v>0</v>
      </c>
      <c r="I104" s="69" cm="1">
        <f t="array" ref="I104">IFERROR(IF(A104=A103,0,SUM(_xlfn._xlws.FILTER(E104:E114,(A104:A114=A104)*(F104&lt;0)))),0)</f>
        <v>0</v>
      </c>
      <c r="J104"/>
      <c r="K104"/>
      <c r="L104"/>
      <c r="M104"/>
      <c r="N104"/>
    </row>
    <row r="105" spans="1:14" hidden="1" x14ac:dyDescent="0.3">
      <c r="A105" s="64">
        <v>45695</v>
      </c>
      <c r="B105" s="5" t="s">
        <v>61</v>
      </c>
      <c r="C105" s="65">
        <v>450</v>
      </c>
      <c r="D105" s="66">
        <v>228.95</v>
      </c>
      <c r="E105" s="67">
        <f ca="1">IFERROR(C105*D105*_xlfn.XLOOKUP(B105,[1]!TabCalc[Ticker],[1]!TabCalc[Scale]),0)</f>
        <v>103027.5</v>
      </c>
      <c r="F105" s="68" cm="1">
        <f t="array" ref="F105">IF(A105=A104,0,SUM(_xlfn._xlws.FILTER(E105:E115,A105:A115=A105)))</f>
        <v>0</v>
      </c>
      <c r="G105" s="69">
        <f>IF(F105&lt;&gt;0,SUM($F$43:F105),0)</f>
        <v>0</v>
      </c>
      <c r="H105" s="69" cm="1">
        <f t="array" ref="H105">IFERROR(IF(A105=A104,0,SUM(_xlfn._xlws.FILTER(E105:E115,(A105:A115=A105)*(E105:E115&gt;0)))),0)</f>
        <v>0</v>
      </c>
      <c r="I105" s="69" cm="1">
        <f t="array" ref="I105">IFERROR(IF(A105=A104,0,SUM(_xlfn._xlws.FILTER(E105:E115,(A105:A115=A105)*(F105&lt;0)))),0)</f>
        <v>0</v>
      </c>
      <c r="J105"/>
      <c r="K105"/>
      <c r="L105"/>
      <c r="M105"/>
      <c r="N105"/>
    </row>
    <row r="106" spans="1:14" hidden="1" x14ac:dyDescent="0.3">
      <c r="A106" s="64">
        <v>45695</v>
      </c>
      <c r="B106" s="5" t="s">
        <v>37</v>
      </c>
      <c r="C106" s="65">
        <v>1000</v>
      </c>
      <c r="D106" s="66">
        <v>62.44</v>
      </c>
      <c r="E106" s="67">
        <f ca="1">IFERROR(C106*D106*_xlfn.XLOOKUP(B106,[1]!TabCalc[Ticker],[1]!TabCalc[Scale]),0)</f>
        <v>62440</v>
      </c>
      <c r="F106" s="68" cm="1">
        <f t="array" ref="F106">IF(A106=A105,0,SUM(_xlfn._xlws.FILTER(E106:E116,A106:A116=A106)))</f>
        <v>0</v>
      </c>
      <c r="G106" s="69">
        <f>IF(F106&lt;&gt;0,SUM($F$43:F106),0)</f>
        <v>0</v>
      </c>
      <c r="H106" s="69" cm="1">
        <f t="array" ref="H106">IFERROR(IF(A106=A105,0,SUM(_xlfn._xlws.FILTER(E106:E116,(A106:A116=A106)*(E106:E116&gt;0)))),0)</f>
        <v>0</v>
      </c>
      <c r="I106" s="69" cm="1">
        <f t="array" ref="I106">IFERROR(IF(A106=A105,0,SUM(_xlfn._xlws.FILTER(E106:E116,(A106:A116=A106)*(F106&lt;0)))),0)</f>
        <v>0</v>
      </c>
      <c r="J106"/>
      <c r="K106"/>
      <c r="L106"/>
      <c r="M106"/>
      <c r="N106"/>
    </row>
    <row r="107" spans="1:14" hidden="1" x14ac:dyDescent="0.3">
      <c r="A107" s="70">
        <v>45698</v>
      </c>
      <c r="B107" s="71" t="s">
        <v>61</v>
      </c>
      <c r="C107" s="18">
        <v>250</v>
      </c>
      <c r="D107" s="19">
        <v>-232.89</v>
      </c>
      <c r="E107" s="67">
        <f ca="1">IFERROR(C107*D107*_xlfn.XLOOKUP(B107,[1]!TabCalc[Ticker],[1]!TabCalc[Scale]),0)</f>
        <v>-58222.5</v>
      </c>
      <c r="F107" s="68" cm="1">
        <f t="array" aca="1" ref="F107" ca="1">IF(A107=A106,0,SUM(_xlfn._xlws.FILTER(E107:E117,A107:A117=A107)))</f>
        <v>-58222.5</v>
      </c>
      <c r="G107" s="69">
        <f ca="1">IF(F107&lt;&gt;0,SUM($F$43:F107),0)</f>
        <v>863597.16390000004</v>
      </c>
      <c r="H107" s="69" cm="1">
        <f t="array" aca="1" ref="H107" ca="1">IFERROR(IF(A107=A106,0,SUM(_xlfn._xlws.FILTER(E107:E117,(A107:A117=A107)*(E107:E117&gt;0)))),0)</f>
        <v>0</v>
      </c>
      <c r="I107" s="69" cm="1">
        <f t="array" aca="1" ref="I107" ca="1">IFERROR(IF(A107=A106,0,SUM(_xlfn._xlws.FILTER(E107:E117,(A107:A117=A107)*(F107&lt;0)))),0)</f>
        <v>-58222.5</v>
      </c>
      <c r="J107"/>
      <c r="K107"/>
      <c r="L107"/>
      <c r="M107"/>
      <c r="N107"/>
    </row>
    <row r="108" spans="1:14" hidden="1" x14ac:dyDescent="0.3">
      <c r="A108" s="64">
        <v>45699</v>
      </c>
      <c r="B108" s="5" t="s">
        <v>52</v>
      </c>
      <c r="C108" s="65">
        <v>10000</v>
      </c>
      <c r="D108" s="66">
        <v>1.66</v>
      </c>
      <c r="E108" s="67">
        <f ca="1">IFERROR(C108*D108*_xlfn.XLOOKUP(B108,[1]!TabCalc[Ticker],[1]!TabCalc[Scale]),0)</f>
        <v>16600</v>
      </c>
      <c r="F108" s="68" cm="1">
        <f t="array" aca="1" ref="F108" ca="1">IF(A108=A107,0,SUM(_xlfn._xlws.FILTER(E108:E118,A108:A118=A108)))</f>
        <v>-18100</v>
      </c>
      <c r="G108" s="69">
        <f ca="1">IF(F108&lt;&gt;0,SUM($F$43:F108),0)</f>
        <v>845497.16390000004</v>
      </c>
      <c r="H108" s="69" cm="1">
        <f t="array" aca="1" ref="H108" ca="1">IFERROR(IF(A108=A107,0,SUM(_xlfn._xlws.FILTER(E108:E118,(A108:A118=A108)*(E108:E118&gt;0)))),0)</f>
        <v>16600</v>
      </c>
      <c r="I108" s="69" cm="1">
        <f t="array" aca="1" ref="I108" ca="1">IFERROR(IF(A108=A107,0,SUM(_xlfn._xlws.FILTER(E108:E118,(A108:A118=A108)*(F108&lt;0)))),0)</f>
        <v>-18100</v>
      </c>
      <c r="J108"/>
      <c r="K108"/>
      <c r="L108"/>
      <c r="M108"/>
      <c r="N108"/>
    </row>
    <row r="109" spans="1:14" hidden="1" x14ac:dyDescent="0.3">
      <c r="A109" s="64">
        <v>45699</v>
      </c>
      <c r="B109" s="5" t="s">
        <v>69</v>
      </c>
      <c r="C109" s="65">
        <v>10000</v>
      </c>
      <c r="D109" s="66">
        <v>-347</v>
      </c>
      <c r="E109" s="67">
        <f ca="1">IFERROR(C109*D109*_xlfn.XLOOKUP(B109,[1]!TabCalc[Ticker],[1]!TabCalc[Scale]),0)</f>
        <v>-34700</v>
      </c>
      <c r="F109" s="68" cm="1">
        <f t="array" ref="F109">IF(A109=A108,0,SUM(_xlfn._xlws.FILTER(E109:E119,A109:A119=A109)))</f>
        <v>0</v>
      </c>
      <c r="G109" s="69">
        <f>IF(F109&lt;&gt;0,SUM($F$43:F109),0)</f>
        <v>0</v>
      </c>
      <c r="H109" s="69" cm="1">
        <f t="array" ref="H109">IFERROR(IF(A109=A108,0,SUM(_xlfn._xlws.FILTER(E109:E119,(A109:A119=A109)*(E109:E119&gt;0)))),0)</f>
        <v>0</v>
      </c>
      <c r="I109" s="69" cm="1">
        <f t="array" ref="I109">IFERROR(IF(A109=A108,0,SUM(_xlfn._xlws.FILTER(E109:E119,(A109:A119=A109)*(F109&lt;0)))),0)</f>
        <v>0</v>
      </c>
      <c r="J109"/>
      <c r="K109"/>
      <c r="L109"/>
      <c r="M109"/>
      <c r="N109"/>
    </row>
    <row r="110" spans="1:14" hidden="1" x14ac:dyDescent="0.3">
      <c r="A110" s="70">
        <v>45700</v>
      </c>
      <c r="B110" s="71" t="s">
        <v>29</v>
      </c>
      <c r="C110" s="18">
        <v>1000</v>
      </c>
      <c r="D110" s="19">
        <v>40.01</v>
      </c>
      <c r="E110" s="67">
        <f ca="1">IFERROR(C110*D110*_xlfn.XLOOKUP(B110,[1]!TabCalc[Ticker],[1]!TabCalc[Scale]),0)</f>
        <v>40010</v>
      </c>
      <c r="F110" s="68" cm="1">
        <f t="array" aca="1" ref="F110" ca="1">IF(A110=A109,0,SUM(_xlfn._xlws.FILTER(E110:E120,A110:A120=A110)))</f>
        <v>144579.5</v>
      </c>
      <c r="G110" s="69">
        <f ca="1">IF(F110&lt;&gt;0,SUM($F$43:F110),0)</f>
        <v>990076.66390000004</v>
      </c>
      <c r="H110" s="69" cm="1">
        <f t="array" aca="1" ref="H110" ca="1">IFERROR(IF(A110=A109,0,SUM(_xlfn._xlws.FILTER(E110:E120,(A110:A120=A110)*(E110:E120&gt;0)))),0)</f>
        <v>346414.3</v>
      </c>
      <c r="I110" s="69" cm="1">
        <f t="array" aca="1" ref="I110" ca="1">IFERROR(IF(A110=A109,0,SUM(_xlfn._xlws.FILTER(E110:E120,(A110:A120=A110)*(F110&lt;0)))),0)</f>
        <v>0</v>
      </c>
      <c r="J110"/>
      <c r="K110"/>
      <c r="L110"/>
      <c r="M110"/>
      <c r="N110"/>
    </row>
    <row r="111" spans="1:14" hidden="1" x14ac:dyDescent="0.3">
      <c r="A111" s="70">
        <v>45700</v>
      </c>
      <c r="B111" s="71" t="s">
        <v>58</v>
      </c>
      <c r="C111" s="18">
        <v>1000</v>
      </c>
      <c r="D111" s="19">
        <v>40.01</v>
      </c>
      <c r="E111" s="67">
        <f ca="1">IFERROR(C111*D111*_xlfn.XLOOKUP(B111,[1]!TabCalc[Ticker],[1]!TabCalc[Scale]),0)</f>
        <v>40010</v>
      </c>
      <c r="F111" s="68" cm="1">
        <f t="array" ref="F111">IF(A111=A110,0,SUM(_xlfn._xlws.FILTER(E111:E121,A111:A121=A111)))</f>
        <v>0</v>
      </c>
      <c r="G111" s="69">
        <f>IF(F111&lt;&gt;0,SUM($F$43:F111),0)</f>
        <v>0</v>
      </c>
      <c r="H111" s="69" cm="1">
        <f t="array" ref="H111">IFERROR(IF(A111=A110,0,SUM(_xlfn._xlws.FILTER(E111:E121,(A111:A121=A111)*(E111:E121&gt;0)))),0)</f>
        <v>0</v>
      </c>
      <c r="I111" s="69" cm="1">
        <f t="array" ref="I111">IFERROR(IF(A111=A110,0,SUM(_xlfn._xlws.FILTER(E111:E121,(A111:A121=A111)*(F111&lt;0)))),0)</f>
        <v>0</v>
      </c>
      <c r="J111"/>
      <c r="K111"/>
      <c r="L111"/>
      <c r="M111"/>
      <c r="N111"/>
    </row>
    <row r="112" spans="1:14" hidden="1" x14ac:dyDescent="0.3">
      <c r="A112" s="70">
        <v>45700</v>
      </c>
      <c r="B112" s="71" t="s">
        <v>65</v>
      </c>
      <c r="C112" s="18">
        <v>10000</v>
      </c>
      <c r="D112" s="19">
        <v>-1.1499999999999999</v>
      </c>
      <c r="E112" s="67">
        <f ca="1">IFERROR(C112*D112*_xlfn.XLOOKUP(B112,[1]!TabCalc[Ticker],[1]!TabCalc[Scale]),0)</f>
        <v>-11500</v>
      </c>
      <c r="F112" s="68" cm="1">
        <f t="array" ref="F112">IF(A112=A111,0,SUM(_xlfn._xlws.FILTER(E112:E122,A112:A122=A112)))</f>
        <v>0</v>
      </c>
      <c r="G112" s="69">
        <f>IF(F112&lt;&gt;0,SUM($F$43:F112),0)</f>
        <v>0</v>
      </c>
      <c r="H112" s="69" cm="1">
        <f t="array" ref="H112">IFERROR(IF(A112=A111,0,SUM(_xlfn._xlws.FILTER(E112:E122,(A112:A122=A112)*(E112:E122&gt;0)))),0)</f>
        <v>0</v>
      </c>
      <c r="I112" s="69" cm="1">
        <f t="array" ref="I112">IFERROR(IF(A112=A111,0,SUM(_xlfn._xlws.FILTER(E112:E122,(A112:A122=A112)*(F112&lt;0)))),0)</f>
        <v>0</v>
      </c>
      <c r="J112"/>
      <c r="K112"/>
      <c r="L112"/>
      <c r="M112"/>
      <c r="N112"/>
    </row>
    <row r="113" spans="1:14" hidden="1" x14ac:dyDescent="0.3">
      <c r="A113" s="70">
        <v>45700</v>
      </c>
      <c r="B113" s="71" t="s">
        <v>45</v>
      </c>
      <c r="C113" s="18">
        <v>250</v>
      </c>
      <c r="D113" s="19">
        <v>235.47</v>
      </c>
      <c r="E113" s="67">
        <f ca="1">IFERROR(C113*D113*_xlfn.XLOOKUP(B113,[1]!TabCalc[Ticker],[1]!TabCalc[Scale]),0)</f>
        <v>58867.5</v>
      </c>
      <c r="F113" s="68" cm="1">
        <f t="array" ref="F113">IF(A113=A112,0,SUM(_xlfn._xlws.FILTER(E113:E123,A113:A123=A113)))</f>
        <v>0</v>
      </c>
      <c r="G113" s="69">
        <f>IF(F113&lt;&gt;0,SUM($F$43:F113),0)</f>
        <v>0</v>
      </c>
      <c r="H113" s="69" cm="1">
        <f t="array" ref="H113">IFERROR(IF(A113=A112,0,SUM(_xlfn._xlws.FILTER(E113:E123,(A113:A123=A113)*(E113:E123&gt;0)))),0)</f>
        <v>0</v>
      </c>
      <c r="I113" s="69" cm="1">
        <f t="array" ref="I113">IFERROR(IF(A113=A112,0,SUM(_xlfn._xlws.FILTER(E113:E123,(A113:A123=A113)*(F113&lt;0)))),0)</f>
        <v>0</v>
      </c>
      <c r="J113"/>
      <c r="K113"/>
      <c r="L113"/>
      <c r="M113"/>
      <c r="N113"/>
    </row>
    <row r="114" spans="1:14" hidden="1" x14ac:dyDescent="0.3">
      <c r="A114" s="70">
        <v>45700</v>
      </c>
      <c r="B114" s="71" t="s">
        <v>77</v>
      </c>
      <c r="C114" s="18">
        <v>900</v>
      </c>
      <c r="D114" s="19">
        <v>-48.09</v>
      </c>
      <c r="E114" s="67">
        <f ca="1">IFERROR(C114*D114*_xlfn.XLOOKUP(B114,[1]!TabCalc[Ticker],[1]!TabCalc[Scale]),0)</f>
        <v>-43281</v>
      </c>
      <c r="F114" s="68" cm="1">
        <f t="array" ref="F114">IF(A114=A113,0,SUM(_xlfn._xlws.FILTER(E114:E124,A114:A124=A114)))</f>
        <v>0</v>
      </c>
      <c r="G114" s="69">
        <f>IF(F114&lt;&gt;0,SUM($F$43:F114),0)</f>
        <v>0</v>
      </c>
      <c r="H114" s="69" cm="1">
        <f t="array" ref="H114">IFERROR(IF(A114=A113,0,SUM(_xlfn._xlws.FILTER(E114:E124,(A114:A124=A114)*(E114:E124&gt;0)))),0)</f>
        <v>0</v>
      </c>
      <c r="I114" s="69" cm="1">
        <f t="array" ref="I114">IFERROR(IF(A114=A113,0,SUM(_xlfn._xlws.FILTER(E114:E124,(A114:A124=A114)*(F114&lt;0)))),0)</f>
        <v>0</v>
      </c>
      <c r="J114"/>
      <c r="K114"/>
      <c r="L114"/>
      <c r="M114"/>
      <c r="N114"/>
    </row>
    <row r="115" spans="1:14" hidden="1" x14ac:dyDescent="0.3">
      <c r="A115" s="70">
        <v>45700</v>
      </c>
      <c r="B115" s="71" t="s">
        <v>64</v>
      </c>
      <c r="C115" s="18">
        <v>280</v>
      </c>
      <c r="D115" s="19">
        <v>154.81</v>
      </c>
      <c r="E115" s="67">
        <f ca="1">IFERROR(C115*D115*_xlfn.XLOOKUP(B115,[1]!TabCalc[Ticker],[1]!TabCalc[Scale]),0)</f>
        <v>43346.8</v>
      </c>
      <c r="F115" s="68" cm="1">
        <f t="array" ref="F115">IF(A115=A114,0,SUM(_xlfn._xlws.FILTER(E115:E125,A115:A125=A115)))</f>
        <v>0</v>
      </c>
      <c r="G115" s="69">
        <f>IF(F115&lt;&gt;0,SUM($F$43:F115),0)</f>
        <v>0</v>
      </c>
      <c r="H115" s="69" cm="1">
        <f t="array" ref="H115">IFERROR(IF(A115=A114,0,SUM(_xlfn._xlws.FILTER(E115:E125,(A115:A125=A115)*(E115:E125&gt;0)))),0)</f>
        <v>0</v>
      </c>
      <c r="I115" s="69" cm="1">
        <f t="array" ref="I115">IFERROR(IF(A115=A114,0,SUM(_xlfn._xlws.FILTER(E115:E125,(A115:A125=A115)*(F115&lt;0)))),0)</f>
        <v>0</v>
      </c>
      <c r="J115"/>
      <c r="K115"/>
      <c r="L115"/>
      <c r="M115"/>
      <c r="N115"/>
    </row>
    <row r="116" spans="1:14" hidden="1" x14ac:dyDescent="0.3">
      <c r="A116" s="70">
        <v>45700</v>
      </c>
      <c r="B116" s="71" t="s">
        <v>41</v>
      </c>
      <c r="C116" s="18">
        <v>20000</v>
      </c>
      <c r="D116" s="19">
        <v>1.97</v>
      </c>
      <c r="E116" s="67">
        <f ca="1">IFERROR(C116*D116*_xlfn.XLOOKUP(B116,[1]!TabCalc[Ticker],[1]!TabCalc[Scale]),0)</f>
        <v>39400</v>
      </c>
      <c r="F116" s="68" cm="1">
        <f t="array" ref="F116">IF(A116=A115,0,SUM(_xlfn._xlws.FILTER(E116:E126,A116:A126=A116)))</f>
        <v>0</v>
      </c>
      <c r="G116" s="69">
        <f>IF(F116&lt;&gt;0,SUM($F$43:F116),0)</f>
        <v>0</v>
      </c>
      <c r="H116" s="69" cm="1">
        <f t="array" ref="H116">IFERROR(IF(A116=A115,0,SUM(_xlfn._xlws.FILTER(E116:E126,(A116:A126=A116)*(E116:E126&gt;0)))),0)</f>
        <v>0</v>
      </c>
      <c r="I116" s="69" cm="1">
        <f t="array" ref="I116">IFERROR(IF(A116=A115,0,SUM(_xlfn._xlws.FILTER(E116:E126,(A116:A126=A116)*(F116&lt;0)))),0)</f>
        <v>0</v>
      </c>
      <c r="J116"/>
      <c r="K116"/>
      <c r="L116"/>
      <c r="M116"/>
      <c r="N116"/>
    </row>
    <row r="117" spans="1:14" hidden="1" x14ac:dyDescent="0.3">
      <c r="A117" s="70">
        <v>45700</v>
      </c>
      <c r="B117" s="71" t="s">
        <v>78</v>
      </c>
      <c r="C117" s="18">
        <v>2000</v>
      </c>
      <c r="D117" s="19">
        <v>62.39</v>
      </c>
      <c r="E117" s="67">
        <f ca="1">IFERROR(C117*D117*_xlfn.XLOOKUP(B117,[1]!TabCalc[Ticker],[1]!TabCalc[Scale]),0)</f>
        <v>124780</v>
      </c>
      <c r="F117" s="68" cm="1">
        <f t="array" ref="F117">IF(A117=A116,0,SUM(_xlfn._xlws.FILTER(E117:E127,A117:A127=A117)))</f>
        <v>0</v>
      </c>
      <c r="G117" s="69">
        <f>IF(F117&lt;&gt;0,SUM($F$43:F117),0)</f>
        <v>0</v>
      </c>
      <c r="H117" s="69" cm="1">
        <f t="array" ref="H117">IFERROR(IF(A117=A116,0,SUM(_xlfn._xlws.FILTER(E117:E127,(A117:A127=A117)*(E117:E127&gt;0)))),0)</f>
        <v>0</v>
      </c>
      <c r="I117" s="69" cm="1">
        <f t="array" ref="I117">IFERROR(IF(A117=A116,0,SUM(_xlfn._xlws.FILTER(E117:E127,(A117:A127=A117)*(F117&lt;0)))),0)</f>
        <v>0</v>
      </c>
      <c r="J117"/>
      <c r="K117"/>
      <c r="L117"/>
      <c r="M117"/>
      <c r="N117"/>
    </row>
    <row r="118" spans="1:14" hidden="1" x14ac:dyDescent="0.3">
      <c r="A118" s="70">
        <v>45700</v>
      </c>
      <c r="B118" s="71" t="s">
        <v>79</v>
      </c>
      <c r="C118" s="18">
        <v>2000</v>
      </c>
      <c r="D118" s="19">
        <v>-6.2248999999999999</v>
      </c>
      <c r="E118" s="67">
        <f ca="1">IFERROR(C118*D118*_xlfn.XLOOKUP(B118,[1]!TabCalc[Ticker],[1]!TabCalc[Scale]),0)</f>
        <v>-12449.8</v>
      </c>
      <c r="F118" s="68" cm="1">
        <f t="array" ref="F118">IF(A118=A117,0,SUM(_xlfn._xlws.FILTER(E118:E128,A118:A128=A118)))</f>
        <v>0</v>
      </c>
      <c r="G118" s="69">
        <f>IF(F118&lt;&gt;0,SUM($F$43:F118),0)</f>
        <v>0</v>
      </c>
      <c r="H118" s="69" cm="1">
        <f t="array" ref="H118">IFERROR(IF(A118=A117,0,SUM(_xlfn._xlws.FILTER(E118:E128,(A118:A128=A118)*(E118:E128&gt;0)))),0)</f>
        <v>0</v>
      </c>
      <c r="I118" s="69" cm="1">
        <f t="array" ref="I118">IFERROR(IF(A118=A117,0,SUM(_xlfn._xlws.FILTER(E118:E128,(A118:A128=A118)*(F118&lt;0)))),0)</f>
        <v>0</v>
      </c>
      <c r="J118"/>
      <c r="K118"/>
      <c r="L118"/>
      <c r="M118"/>
      <c r="N118"/>
    </row>
    <row r="119" spans="1:14" hidden="1" x14ac:dyDescent="0.3">
      <c r="A119" s="70">
        <v>45700</v>
      </c>
      <c r="B119" s="71" t="s">
        <v>60</v>
      </c>
      <c r="C119" s="18">
        <v>400</v>
      </c>
      <c r="D119" s="19">
        <v>-336.51</v>
      </c>
      <c r="E119" s="67">
        <f ca="1">IFERROR(C119*D119*_xlfn.XLOOKUP(B119,[1]!TabCalc[Ticker],[1]!TabCalc[Scale]),0)</f>
        <v>-134604</v>
      </c>
      <c r="F119" s="68" cm="1">
        <f t="array" ref="F119">IF(A119=A118,0,SUM(_xlfn._xlws.FILTER(E119:E129,A119:A129=A119)))</f>
        <v>0</v>
      </c>
      <c r="G119" s="69">
        <f>IF(F119&lt;&gt;0,SUM($F$43:F119),0)</f>
        <v>0</v>
      </c>
      <c r="H119" s="69" cm="1">
        <f t="array" ref="H119">IFERROR(IF(A119=A118,0,SUM(_xlfn._xlws.FILTER(E119:E129,(A119:A129=A119)*(E119:E129&gt;0)))),0)</f>
        <v>0</v>
      </c>
      <c r="I119" s="69" cm="1">
        <f t="array" ref="I119">IFERROR(IF(A119=A118,0,SUM(_xlfn._xlws.FILTER(E119:E129,(A119:A129=A119)*(F119&lt;0)))),0)</f>
        <v>0</v>
      </c>
      <c r="J119"/>
      <c r="K119"/>
      <c r="L119"/>
      <c r="M119"/>
      <c r="N119"/>
    </row>
    <row r="120" spans="1:14" hidden="1" x14ac:dyDescent="0.3">
      <c r="A120" s="64">
        <v>45701</v>
      </c>
      <c r="B120" s="5" t="s">
        <v>60</v>
      </c>
      <c r="C120" s="65">
        <v>200</v>
      </c>
      <c r="D120" s="66">
        <v>357.3</v>
      </c>
      <c r="E120" s="67">
        <f ca="1">IFERROR(C120*D120*_xlfn.XLOOKUP(B120,[1]!TabCalc[Ticker],[1]!TabCalc[Scale]),0)</f>
        <v>71460</v>
      </c>
      <c r="F120" s="68" cm="1">
        <f t="array" aca="1" ref="F120" ca="1">IF(A120=A119,0,SUM(_xlfn._xlws.FILTER(E120:E130,A120:A130=A120)))</f>
        <v>310489.75</v>
      </c>
      <c r="G120" s="69">
        <f ca="1">IF(F120&lt;&gt;0,SUM($F$43:F120),0)</f>
        <v>1300566.4139</v>
      </c>
      <c r="H120" s="69" cm="1">
        <f t="array" aca="1" ref="H120" ca="1">IFERROR(IF(A120=A119,0,SUM(_xlfn._xlws.FILTER(E120:E130,(A120:A130=A120)*(E120:E130&gt;0)))),0)</f>
        <v>533342</v>
      </c>
      <c r="I120" s="69" cm="1">
        <f t="array" aca="1" ref="I120" ca="1">IFERROR(IF(A120=A119,0,SUM(_xlfn._xlws.FILTER(E120:E130,(A120:A130=A120)*(F120&lt;0)))),0)</f>
        <v>0</v>
      </c>
      <c r="J120"/>
      <c r="K120"/>
      <c r="L120"/>
      <c r="M120"/>
      <c r="N120"/>
    </row>
    <row r="121" spans="1:14" hidden="1" x14ac:dyDescent="0.3">
      <c r="A121" s="64">
        <v>45701</v>
      </c>
      <c r="B121" s="5" t="s">
        <v>30</v>
      </c>
      <c r="C121" s="65">
        <v>100</v>
      </c>
      <c r="D121" s="66">
        <v>737.1</v>
      </c>
      <c r="E121" s="67">
        <f ca="1">IFERROR(C121*D121*_xlfn.XLOOKUP(B121,[1]!TabCalc[Ticker],[1]!TabCalc[Scale]),0)</f>
        <v>73710</v>
      </c>
      <c r="F121" s="68" cm="1">
        <f t="array" ref="F121">IF(A121=A120,0,SUM(_xlfn._xlws.FILTER(E121:E131,A121:A131=A121)))</f>
        <v>0</v>
      </c>
      <c r="G121" s="69">
        <f>IF(F121&lt;&gt;0,SUM($F$43:F121),0)</f>
        <v>0</v>
      </c>
      <c r="H121" s="69" cm="1">
        <f t="array" ref="H121">IFERROR(IF(A121=A120,0,SUM(_xlfn._xlws.FILTER(E121:E131,(A121:A131=A121)*(E121:E131&gt;0)))),0)</f>
        <v>0</v>
      </c>
      <c r="I121" s="69" cm="1">
        <f t="array" ref="I121">IFERROR(IF(A121=A120,0,SUM(_xlfn._xlws.FILTER(E121:E131,(A121:A131=A121)*(F121&lt;0)))),0)</f>
        <v>0</v>
      </c>
      <c r="J121"/>
      <c r="K121"/>
      <c r="L121"/>
      <c r="M121"/>
      <c r="N121"/>
    </row>
    <row r="122" spans="1:14" hidden="1" x14ac:dyDescent="0.3">
      <c r="A122" s="64">
        <v>45701</v>
      </c>
      <c r="B122" s="5" t="s">
        <v>49</v>
      </c>
      <c r="C122" s="65">
        <v>4000</v>
      </c>
      <c r="D122" s="66">
        <v>-28.364999999999998</v>
      </c>
      <c r="E122" s="67">
        <f ca="1">IFERROR(C122*D122*_xlfn.XLOOKUP(B122,[1]!TabCalc[Ticker],[1]!TabCalc[Scale]),0)</f>
        <v>-113460</v>
      </c>
      <c r="F122" s="68" cm="1">
        <f t="array" ref="F122">IF(A122=A121,0,SUM(_xlfn._xlws.FILTER(E122:E132,A122:A132=A122)))</f>
        <v>0</v>
      </c>
      <c r="G122" s="69">
        <f>IF(F122&lt;&gt;0,SUM($F$43:F122),0)</f>
        <v>0</v>
      </c>
      <c r="H122" s="69" cm="1">
        <f t="array" ref="H122">IFERROR(IF(A122=A121,0,SUM(_xlfn._xlws.FILTER(E122:E132,(A122:A132=A122)*(E122:E132&gt;0)))),0)</f>
        <v>0</v>
      </c>
      <c r="I122" s="69" cm="1">
        <f t="array" ref="I122">IFERROR(IF(A122=A121,0,SUM(_xlfn._xlws.FILTER(E122:E132,(A122:A132=A122)*(F122&lt;0)))),0)</f>
        <v>0</v>
      </c>
      <c r="J122"/>
      <c r="K122"/>
      <c r="L122"/>
      <c r="M122"/>
      <c r="N122"/>
    </row>
    <row r="123" spans="1:14" hidden="1" x14ac:dyDescent="0.3">
      <c r="A123" s="64">
        <v>45701</v>
      </c>
      <c r="B123" s="5" t="s">
        <v>80</v>
      </c>
      <c r="C123" s="65">
        <v>2000</v>
      </c>
      <c r="D123" s="66">
        <v>-20.229375000000001</v>
      </c>
      <c r="E123" s="67">
        <f ca="1">IFERROR(C123*D123*_xlfn.XLOOKUP(B123,[1]!TabCalc[Ticker],[1]!TabCalc[Scale]),0)</f>
        <v>-40458.75</v>
      </c>
      <c r="F123" s="68" cm="1">
        <f t="array" ref="F123">IF(A123=A122,0,SUM(_xlfn._xlws.FILTER(E123:E133,A123:A133=A123)))</f>
        <v>0</v>
      </c>
      <c r="G123" s="69">
        <f>IF(F123&lt;&gt;0,SUM($F$43:F123),0)</f>
        <v>0</v>
      </c>
      <c r="H123" s="69" cm="1">
        <f t="array" ref="H123">IFERROR(IF(A123=A122,0,SUM(_xlfn._xlws.FILTER(E123:E133,(A123:A133=A123)*(E123:E133&gt;0)))),0)</f>
        <v>0</v>
      </c>
      <c r="I123" s="69" cm="1">
        <f t="array" ref="I123">IFERROR(IF(A123=A122,0,SUM(_xlfn._xlws.FILTER(E123:E133,(A123:A133=A123)*(F123&lt;0)))),0)</f>
        <v>0</v>
      </c>
      <c r="J123"/>
      <c r="K123"/>
      <c r="L123"/>
      <c r="M123"/>
      <c r="N123"/>
    </row>
    <row r="124" spans="1:14" hidden="1" x14ac:dyDescent="0.3">
      <c r="A124" s="64">
        <v>45701</v>
      </c>
      <c r="B124" s="5" t="s">
        <v>78</v>
      </c>
      <c r="C124" s="65">
        <v>2000</v>
      </c>
      <c r="D124" s="66">
        <v>67.069999999999993</v>
      </c>
      <c r="E124" s="67">
        <f ca="1">IFERROR(C124*D124*_xlfn.XLOOKUP(B124,[1]!TabCalc[Ticker],[1]!TabCalc[Scale]),0)</f>
        <v>134140</v>
      </c>
      <c r="F124" s="68" cm="1">
        <f t="array" ref="F124">IF(A124=A123,0,SUM(_xlfn._xlws.FILTER(E124:E134,A124:A134=A124)))</f>
        <v>0</v>
      </c>
      <c r="G124" s="69">
        <f>IF(F124&lt;&gt;0,SUM($F$43:F124),0)</f>
        <v>0</v>
      </c>
      <c r="H124" s="69" cm="1">
        <f t="array" ref="H124">IFERROR(IF(A124=A123,0,SUM(_xlfn._xlws.FILTER(E124:E134,(A124:A134=A124)*(E124:E134&gt;0)))),0)</f>
        <v>0</v>
      </c>
      <c r="I124" s="69" cm="1">
        <f t="array" ref="I124">IFERROR(IF(A124=A123,0,SUM(_xlfn._xlws.FILTER(E124:E134,(A124:A134=A124)*(F124&lt;0)))),0)</f>
        <v>0</v>
      </c>
      <c r="J124"/>
      <c r="K124"/>
      <c r="L124"/>
      <c r="M124"/>
      <c r="N124"/>
    </row>
    <row r="125" spans="1:14" hidden="1" x14ac:dyDescent="0.3">
      <c r="A125" s="64">
        <v>45701</v>
      </c>
      <c r="B125" s="5" t="s">
        <v>81</v>
      </c>
      <c r="C125" s="65">
        <v>500</v>
      </c>
      <c r="D125" s="66">
        <v>30.08</v>
      </c>
      <c r="E125" s="67">
        <f ca="1">IFERROR(C125*D125*_xlfn.XLOOKUP(B125,[1]!TabCalc[Ticker],[1]!TabCalc[Scale]),0)</f>
        <v>15040</v>
      </c>
      <c r="F125" s="68" cm="1">
        <f t="array" ref="F125">IF(A125=A124,0,SUM(_xlfn._xlws.FILTER(E125:E135,A125:A135=A125)))</f>
        <v>0</v>
      </c>
      <c r="G125" s="69">
        <f>IF(F125&lt;&gt;0,SUM($F$43:F125),0)</f>
        <v>0</v>
      </c>
      <c r="H125" s="69" cm="1">
        <f t="array" ref="H125">IFERROR(IF(A125=A124,0,SUM(_xlfn._xlws.FILTER(E125:E135,(A125:A135=A125)*(E125:E135&gt;0)))),0)</f>
        <v>0</v>
      </c>
      <c r="I125" s="69" cm="1">
        <f t="array" ref="I125">IFERROR(IF(A125=A124,0,SUM(_xlfn._xlws.FILTER(E125:E135,(A125:A135=A125)*(F125&lt;0)))),0)</f>
        <v>0</v>
      </c>
      <c r="J125"/>
      <c r="K125"/>
      <c r="L125"/>
      <c r="M125"/>
      <c r="N125"/>
    </row>
    <row r="126" spans="1:14" hidden="1" x14ac:dyDescent="0.3">
      <c r="A126" s="64">
        <v>45701</v>
      </c>
      <c r="B126" s="5" t="s">
        <v>82</v>
      </c>
      <c r="C126" s="65">
        <v>1500</v>
      </c>
      <c r="D126" s="66">
        <v>47.96</v>
      </c>
      <c r="E126" s="67">
        <f ca="1">IFERROR(C126*D126*_xlfn.XLOOKUP(B126,[1]!TabCalc[Ticker],[1]!TabCalc[Scale]),0)</f>
        <v>71940</v>
      </c>
      <c r="F126" s="68" cm="1">
        <f t="array" ref="F126">IF(A126=A125,0,SUM(_xlfn._xlws.FILTER(E126:E136,A126:A136=A126)))</f>
        <v>0</v>
      </c>
      <c r="G126" s="69">
        <f>IF(F126&lt;&gt;0,SUM($F$43:F126),0)</f>
        <v>0</v>
      </c>
      <c r="H126" s="69" cm="1">
        <f t="array" ref="H126">IFERROR(IF(A126=A125,0,SUM(_xlfn._xlws.FILTER(E126:E136,(A126:A136=A126)*(E126:E136&gt;0)))),0)</f>
        <v>0</v>
      </c>
      <c r="I126" s="69" cm="1">
        <f t="array" ref="I126">IFERROR(IF(A126=A125,0,SUM(_xlfn._xlws.FILTER(E126:E136,(A126:A136=A126)*(F126&lt;0)))),0)</f>
        <v>0</v>
      </c>
      <c r="J126"/>
      <c r="K126"/>
      <c r="L126"/>
      <c r="M126"/>
      <c r="N126"/>
    </row>
    <row r="127" spans="1:14" hidden="1" x14ac:dyDescent="0.3">
      <c r="A127" s="64">
        <v>45701</v>
      </c>
      <c r="B127" s="5" t="s">
        <v>83</v>
      </c>
      <c r="C127" s="65">
        <v>3000</v>
      </c>
      <c r="D127" s="66">
        <v>25.15</v>
      </c>
      <c r="E127" s="67">
        <f ca="1">IFERROR(C127*D127*_xlfn.XLOOKUP(B127,[1]!TabCalc[Ticker],[1]!TabCalc[Scale]),0)</f>
        <v>75450</v>
      </c>
      <c r="F127" s="68" cm="1">
        <f t="array" ref="F127">IF(A127=A126,0,SUM(_xlfn._xlws.FILTER(E127:E137,A127:A137=A127)))</f>
        <v>0</v>
      </c>
      <c r="G127" s="69">
        <f>IF(F127&lt;&gt;0,SUM($F$43:F127),0)</f>
        <v>0</v>
      </c>
      <c r="H127" s="69" cm="1">
        <f t="array" ref="H127">IFERROR(IF(A127=A126,0,SUM(_xlfn._xlws.FILTER(E127:E137,(A127:A137=A127)*(E127:E137&gt;0)))),0)</f>
        <v>0</v>
      </c>
      <c r="I127" s="69" cm="1">
        <f t="array" ref="I127">IFERROR(IF(A127=A126,0,SUM(_xlfn._xlws.FILTER(E127:E137,(A127:A137=A127)*(F127&lt;0)))),0)</f>
        <v>0</v>
      </c>
      <c r="J127"/>
      <c r="K127"/>
      <c r="L127"/>
      <c r="M127"/>
      <c r="N127"/>
    </row>
    <row r="128" spans="1:14" hidden="1" x14ac:dyDescent="0.3">
      <c r="A128" s="64">
        <v>45701</v>
      </c>
      <c r="B128" s="5" t="s">
        <v>61</v>
      </c>
      <c r="C128" s="65">
        <v>400</v>
      </c>
      <c r="D128" s="66">
        <v>229.005</v>
      </c>
      <c r="E128" s="67">
        <f ca="1">IFERROR(C128*D128*_xlfn.XLOOKUP(B128,[1]!TabCalc[Ticker],[1]!TabCalc[Scale]),0)</f>
        <v>91602</v>
      </c>
      <c r="F128" s="68" cm="1">
        <f t="array" ref="F128">IF(A128=A127,0,SUM(_xlfn._xlws.FILTER(E128:E138,A128:A138=A128)))</f>
        <v>0</v>
      </c>
      <c r="G128" s="69">
        <f>IF(F128&lt;&gt;0,SUM($F$43:F128),0)</f>
        <v>0</v>
      </c>
      <c r="H128" s="69" cm="1">
        <f t="array" ref="H128">IFERROR(IF(A128=A127,0,SUM(_xlfn._xlws.FILTER(E128:E138,(A128:A138=A128)*(E128:E138&gt;0)))),0)</f>
        <v>0</v>
      </c>
      <c r="I128" s="69" cm="1">
        <f t="array" ref="I128">IFERROR(IF(A128=A127,0,SUM(_xlfn._xlws.FILTER(E128:E138,(A128:A138=A128)*(F128&lt;0)))),0)</f>
        <v>0</v>
      </c>
      <c r="J128"/>
      <c r="K128"/>
      <c r="L128"/>
      <c r="M128"/>
      <c r="N128"/>
    </row>
    <row r="129" spans="1:14" hidden="1" x14ac:dyDescent="0.3">
      <c r="A129" s="64">
        <v>45701</v>
      </c>
      <c r="B129" s="5" t="s">
        <v>84</v>
      </c>
      <c r="C129" s="65">
        <v>14000</v>
      </c>
      <c r="D129" s="66">
        <v>-1.46</v>
      </c>
      <c r="E129" s="67">
        <f ca="1">IFERROR(C129*D129*_xlfn.XLOOKUP(B129,[1]!TabCalc[Ticker],[1]!TabCalc[Scale]),0)</f>
        <v>-20440</v>
      </c>
      <c r="F129" s="68" cm="1">
        <f t="array" ref="F129">IF(A129=A128,0,SUM(_xlfn._xlws.FILTER(E129:E139,A129:A139=A129)))</f>
        <v>0</v>
      </c>
      <c r="G129" s="69">
        <f>IF(F129&lt;&gt;0,SUM($F$43:F129),0)</f>
        <v>0</v>
      </c>
      <c r="H129" s="69" cm="1">
        <f t="array" ref="H129">IFERROR(IF(A129=A128,0,SUM(_xlfn._xlws.FILTER(E129:E139,(A129:A139=A129)*(E129:E139&gt;0)))),0)</f>
        <v>0</v>
      </c>
      <c r="I129" s="69" cm="1">
        <f t="array" ref="I129">IFERROR(IF(A129=A128,0,SUM(_xlfn._xlws.FILTER(E129:E139,(A129:A139=A129)*(F129&lt;0)))),0)</f>
        <v>0</v>
      </c>
      <c r="J129"/>
      <c r="K129"/>
      <c r="L129"/>
      <c r="M129"/>
      <c r="N129"/>
    </row>
    <row r="130" spans="1:14" hidden="1" x14ac:dyDescent="0.3">
      <c r="A130" s="64">
        <v>45701</v>
      </c>
      <c r="B130" s="5" t="s">
        <v>64</v>
      </c>
      <c r="C130" s="65">
        <v>330</v>
      </c>
      <c r="D130" s="66">
        <v>-146.94999999999999</v>
      </c>
      <c r="E130" s="67">
        <f ca="1">IFERROR(C130*D130*_xlfn.XLOOKUP(B130,[1]!TabCalc[Ticker],[1]!TabCalc[Scale]),0)</f>
        <v>-48493.499999999993</v>
      </c>
      <c r="F130" s="68" cm="1">
        <f t="array" ref="F130">IF(A130=A129,0,SUM(_xlfn._xlws.FILTER(E130:E140,A130:A140=A130)))</f>
        <v>0</v>
      </c>
      <c r="G130" s="69">
        <f>IF(F130&lt;&gt;0,SUM($F$43:F130),0)</f>
        <v>0</v>
      </c>
      <c r="H130" s="69" cm="1">
        <f t="array" ref="H130">IFERROR(IF(A130=A129,0,SUM(_xlfn._xlws.FILTER(E130:E140,(A130:A140=A130)*(E130:E140&gt;0)))),0)</f>
        <v>0</v>
      </c>
      <c r="I130" s="69" cm="1">
        <f t="array" ref="I130">IFERROR(IF(A130=A129,0,SUM(_xlfn._xlws.FILTER(E130:E140,(A130:A140=A130)*(F130&lt;0)))),0)</f>
        <v>0</v>
      </c>
      <c r="J130"/>
      <c r="K130"/>
      <c r="L130"/>
      <c r="M130"/>
      <c r="N130"/>
    </row>
    <row r="131" spans="1:14" hidden="1" x14ac:dyDescent="0.3">
      <c r="A131" s="72">
        <v>45702</v>
      </c>
      <c r="B131" s="73" t="s">
        <v>68</v>
      </c>
      <c r="C131" s="74">
        <v>488</v>
      </c>
      <c r="D131" s="75">
        <v>45.93</v>
      </c>
      <c r="E131" s="67">
        <f ca="1">IFERROR(C131*D131*_xlfn.XLOOKUP(B131,[1]!TabCalc[Ticker],[1]!TabCalc[Scale]),0)</f>
        <v>22413.84</v>
      </c>
      <c r="F131" s="68" cm="1">
        <f t="array" aca="1" ref="F131" ca="1">IF(A131=A130,0,SUM(_xlfn._xlws.FILTER(E131:E141,A131:A141=A131)))</f>
        <v>-118176.95999999999</v>
      </c>
      <c r="G131" s="69">
        <f ca="1">IF(F131&lt;&gt;0,SUM($F$43:F131),0)</f>
        <v>1182389.4539000001</v>
      </c>
      <c r="H131" s="69" cm="1">
        <f t="array" aca="1" ref="H131" ca="1">IFERROR(IF(A131=A130,0,SUM(_xlfn._xlws.FILTER(E131:E141,(A131:A141=A131)*(E131:E141&gt;0)))),0)</f>
        <v>206539.84</v>
      </c>
      <c r="I131" s="69" cm="1">
        <f t="array" aca="1" ref="I131" ca="1">IFERROR(IF(A131=A130,0,SUM(_xlfn._xlws.FILTER(E131:E141,(A131:A141=A131)*(F131&lt;0)))),0)</f>
        <v>-118176.95999999999</v>
      </c>
      <c r="J131"/>
      <c r="K131"/>
      <c r="L131"/>
      <c r="M131"/>
      <c r="N131"/>
    </row>
    <row r="132" spans="1:14" hidden="1" x14ac:dyDescent="0.3">
      <c r="A132" s="72">
        <v>45702</v>
      </c>
      <c r="B132" s="73" t="s">
        <v>48</v>
      </c>
      <c r="C132" s="74">
        <v>5000</v>
      </c>
      <c r="D132" s="75">
        <v>-10.93</v>
      </c>
      <c r="E132" s="67">
        <f ca="1">IFERROR(C132*D132*_xlfn.XLOOKUP(B132,[1]!TabCalc[Ticker],[1]!TabCalc[Scale]),0)</f>
        <v>-54650</v>
      </c>
      <c r="F132" s="68" cm="1">
        <f t="array" ref="F132">IF(A132=A131,0,SUM(_xlfn._xlws.FILTER(E132:E142,A132:A142=A132)))</f>
        <v>0</v>
      </c>
      <c r="G132" s="69">
        <f>IF(F132&lt;&gt;0,SUM($F$43:F132),0)</f>
        <v>0</v>
      </c>
      <c r="H132" s="69" cm="1">
        <f t="array" ref="H132">IFERROR(IF(A132=A131,0,SUM(_xlfn._xlws.FILTER(E132:E142,(A132:A142=A132)*(E132:E142&gt;0)))),0)</f>
        <v>0</v>
      </c>
      <c r="I132" s="69" cm="1">
        <f t="array" ref="I132">IFERROR(IF(A132=A131,0,SUM(_xlfn._xlws.FILTER(E132:E142,(A132:A142=A132)*(F132&lt;0)))),0)</f>
        <v>0</v>
      </c>
      <c r="J132"/>
      <c r="K132"/>
      <c r="L132"/>
      <c r="M132"/>
      <c r="N132"/>
    </row>
    <row r="133" spans="1:14" hidden="1" x14ac:dyDescent="0.3">
      <c r="A133" s="72">
        <v>45702</v>
      </c>
      <c r="B133" s="73" t="s">
        <v>63</v>
      </c>
      <c r="C133" s="74">
        <v>8000</v>
      </c>
      <c r="D133" s="75">
        <v>-514.55999999999995</v>
      </c>
      <c r="E133" s="67">
        <f ca="1">IFERROR(C133*D133*_xlfn.XLOOKUP(B133,[1]!TabCalc[Ticker],[1]!TabCalc[Scale]),0)</f>
        <v>-41164.799999999996</v>
      </c>
      <c r="F133" s="68" cm="1">
        <f t="array" ref="F133">IF(A133=A132,0,SUM(_xlfn._xlws.FILTER(E133:E143,A133:A143=A133)))</f>
        <v>0</v>
      </c>
      <c r="G133" s="69">
        <f>IF(F133&lt;&gt;0,SUM($F$43:F133),0)</f>
        <v>0</v>
      </c>
      <c r="H133" s="69" cm="1">
        <f t="array" ref="H133">IFERROR(IF(A133=A132,0,SUM(_xlfn._xlws.FILTER(E133:E143,(A133:A143=A133)*(E133:E143&gt;0)))),0)</f>
        <v>0</v>
      </c>
      <c r="I133" s="69" cm="1">
        <f t="array" ref="I133">IFERROR(IF(A133=A132,0,SUM(_xlfn._xlws.FILTER(E133:E143,(A133:A143=A133)*(F133&lt;0)))),0)</f>
        <v>0</v>
      </c>
      <c r="J133"/>
      <c r="K133"/>
      <c r="L133"/>
      <c r="M133"/>
      <c r="N133"/>
    </row>
    <row r="134" spans="1:14" hidden="1" x14ac:dyDescent="0.3">
      <c r="A134" s="72">
        <v>45702</v>
      </c>
      <c r="B134" s="73" t="s">
        <v>33</v>
      </c>
      <c r="C134" s="74">
        <v>600</v>
      </c>
      <c r="D134" s="75">
        <v>-110.22</v>
      </c>
      <c r="E134" s="67">
        <f ca="1">IFERROR(C134*D134*_xlfn.XLOOKUP(B134,[1]!TabCalc[Ticker],[1]!TabCalc[Scale]),0)</f>
        <v>-66132</v>
      </c>
      <c r="F134" s="68" cm="1">
        <f t="array" ref="F134">IF(A134=A133,0,SUM(_xlfn._xlws.FILTER(E134:E144,A134:A144=A134)))</f>
        <v>0</v>
      </c>
      <c r="G134" s="69">
        <f>IF(F134&lt;&gt;0,SUM($F$43:F134),0)</f>
        <v>0</v>
      </c>
      <c r="H134" s="69" cm="1">
        <f t="array" ref="H134">IFERROR(IF(A134=A133,0,SUM(_xlfn._xlws.FILTER(E134:E144,(A134:A144=A134)*(E134:E144&gt;0)))),0)</f>
        <v>0</v>
      </c>
      <c r="I134" s="69" cm="1">
        <f t="array" ref="I134">IFERROR(IF(A134=A133,0,SUM(_xlfn._xlws.FILTER(E134:E144,(A134:A144=A134)*(F134&lt;0)))),0)</f>
        <v>0</v>
      </c>
      <c r="J134"/>
      <c r="K134"/>
      <c r="L134"/>
      <c r="M134"/>
      <c r="N134"/>
    </row>
    <row r="135" spans="1:14" hidden="1" x14ac:dyDescent="0.3">
      <c r="A135" s="72">
        <v>45702</v>
      </c>
      <c r="B135" s="73" t="s">
        <v>41</v>
      </c>
      <c r="C135" s="74">
        <v>20000</v>
      </c>
      <c r="D135" s="75">
        <v>-1.67</v>
      </c>
      <c r="E135" s="67">
        <f ca="1">IFERROR(C135*D135*_xlfn.XLOOKUP(B135,[1]!TabCalc[Ticker],[1]!TabCalc[Scale]),0)</f>
        <v>-33400</v>
      </c>
      <c r="F135" s="68" cm="1">
        <f t="array" ref="F135">IF(A135=A134,0,SUM(_xlfn._xlws.FILTER(E135:E145,A135:A145=A135)))</f>
        <v>0</v>
      </c>
      <c r="G135" s="69">
        <f>IF(F135&lt;&gt;0,SUM($F$43:F135),0)</f>
        <v>0</v>
      </c>
      <c r="H135" s="69" cm="1">
        <f t="array" ref="H135">IFERROR(IF(A135=A134,0,SUM(_xlfn._xlws.FILTER(E135:E145,(A135:A145=A135)*(E135:E145&gt;0)))),0)</f>
        <v>0</v>
      </c>
      <c r="I135" s="69" cm="1">
        <f t="array" ref="I135">IFERROR(IF(A135=A134,0,SUM(_xlfn._xlws.FILTER(E135:E145,(A135:A145=A135)*(F135&lt;0)))),0)</f>
        <v>0</v>
      </c>
      <c r="J135"/>
      <c r="K135"/>
      <c r="L135"/>
      <c r="M135"/>
      <c r="N135"/>
    </row>
    <row r="136" spans="1:14" hidden="1" x14ac:dyDescent="0.3">
      <c r="A136" s="72">
        <v>45702</v>
      </c>
      <c r="B136" s="73" t="s">
        <v>55</v>
      </c>
      <c r="C136" s="74">
        <v>300</v>
      </c>
      <c r="D136" s="75">
        <v>244.12</v>
      </c>
      <c r="E136" s="67">
        <f ca="1">IFERROR(C136*D136*_xlfn.XLOOKUP(B136,[1]!TabCalc[Ticker],[1]!TabCalc[Scale]),0)</f>
        <v>73236</v>
      </c>
      <c r="F136" s="68" cm="1">
        <f t="array" ref="F136">IF(A136=A135,0,SUM(_xlfn._xlws.FILTER(E136:E146,A136:A146=A136)))</f>
        <v>0</v>
      </c>
      <c r="G136" s="69">
        <f>IF(F136&lt;&gt;0,SUM($F$43:F136),0)</f>
        <v>0</v>
      </c>
      <c r="H136" s="69" cm="1">
        <f t="array" ref="H136">IFERROR(IF(A136=A135,0,SUM(_xlfn._xlws.FILTER(E136:E146,(A136:A146=A136)*(E136:E146&gt;0)))),0)</f>
        <v>0</v>
      </c>
      <c r="I136" s="69" cm="1">
        <f t="array" ref="I136">IFERROR(IF(A136=A135,0,SUM(_xlfn._xlws.FILTER(E136:E146,(A136:A146=A136)*(F136&lt;0)))),0)</f>
        <v>0</v>
      </c>
      <c r="J136"/>
      <c r="K136"/>
      <c r="L136"/>
      <c r="M136"/>
      <c r="N136"/>
    </row>
    <row r="137" spans="1:14" hidden="1" x14ac:dyDescent="0.3">
      <c r="A137" s="72">
        <v>45702</v>
      </c>
      <c r="B137" s="73" t="s">
        <v>61</v>
      </c>
      <c r="C137" s="74">
        <v>500</v>
      </c>
      <c r="D137" s="75">
        <v>-228.54</v>
      </c>
      <c r="E137" s="67">
        <f ca="1">IFERROR(C137*D137*_xlfn.XLOOKUP(B137,[1]!TabCalc[Ticker],[1]!TabCalc[Scale]),0)</f>
        <v>-114270</v>
      </c>
      <c r="F137" s="68" cm="1">
        <f t="array" ref="F137">IF(A137=A136,0,SUM(_xlfn._xlws.FILTER(E137:E147,A137:A147=A137)))</f>
        <v>0</v>
      </c>
      <c r="G137" s="69">
        <f>IF(F137&lt;&gt;0,SUM($F$43:F137),0)</f>
        <v>0</v>
      </c>
      <c r="H137" s="69" cm="1">
        <f t="array" ref="H137">IFERROR(IF(A137=A136,0,SUM(_xlfn._xlws.FILTER(E137:E147,(A137:A147=A137)*(E137:E147&gt;0)))),0)</f>
        <v>0</v>
      </c>
      <c r="I137" s="69" cm="1">
        <f t="array" ref="I137">IFERROR(IF(A137=A136,0,SUM(_xlfn._xlws.FILTER(E137:E147,(A137:A147=A137)*(F137&lt;0)))),0)</f>
        <v>0</v>
      </c>
      <c r="J137"/>
      <c r="K137"/>
      <c r="L137"/>
      <c r="M137"/>
      <c r="N137"/>
    </row>
    <row r="138" spans="1:14" hidden="1" x14ac:dyDescent="0.3">
      <c r="A138" s="72">
        <v>45702</v>
      </c>
      <c r="B138" s="73" t="s">
        <v>32</v>
      </c>
      <c r="C138" s="74">
        <v>1000</v>
      </c>
      <c r="D138" s="75">
        <v>68.03</v>
      </c>
      <c r="E138" s="67">
        <f ca="1">IFERROR(C138*D138*_xlfn.XLOOKUP(B138,[1]!TabCalc[Ticker],[1]!TabCalc[Scale]),0)</f>
        <v>68030</v>
      </c>
      <c r="F138" s="68" cm="1">
        <f t="array" ref="F138">IF(A138=A137,0,SUM(_xlfn._xlws.FILTER(E138:E148,A138:A148=A138)))</f>
        <v>0</v>
      </c>
      <c r="G138" s="69">
        <f>IF(F138&lt;&gt;0,SUM($F$43:F138),0)</f>
        <v>0</v>
      </c>
      <c r="H138" s="69" cm="1">
        <f t="array" ref="H138">IFERROR(IF(A138=A137,0,SUM(_xlfn._xlws.FILTER(E138:E148,(A138:A148=A138)*(E138:E148&gt;0)))),0)</f>
        <v>0</v>
      </c>
      <c r="I138" s="69" cm="1">
        <f t="array" ref="I138">IFERROR(IF(A138=A137,0,SUM(_xlfn._xlws.FILTER(E138:E148,(A138:A148=A138)*(F138&lt;0)))),0)</f>
        <v>0</v>
      </c>
      <c r="J138"/>
      <c r="K138"/>
      <c r="L138"/>
      <c r="M138"/>
      <c r="N138"/>
    </row>
    <row r="139" spans="1:14" hidden="1" x14ac:dyDescent="0.3">
      <c r="A139" s="72">
        <v>45702</v>
      </c>
      <c r="B139" s="73" t="s">
        <v>80</v>
      </c>
      <c r="C139" s="74">
        <v>2000</v>
      </c>
      <c r="D139" s="75">
        <v>21.43</v>
      </c>
      <c r="E139" s="67">
        <f ca="1">IFERROR(C139*D139*_xlfn.XLOOKUP(B139,[1]!TabCalc[Ticker],[1]!TabCalc[Scale]),0)</f>
        <v>42860</v>
      </c>
      <c r="F139" s="68" cm="1">
        <f t="array" ref="F139">IF(A139=A138,0,SUM(_xlfn._xlws.FILTER(E139:E149,A139:A149=A139)))</f>
        <v>0</v>
      </c>
      <c r="G139" s="69">
        <f>IF(F139&lt;&gt;0,SUM($F$43:F139),0)</f>
        <v>0</v>
      </c>
      <c r="H139" s="69" cm="1">
        <f t="array" ref="H139">IFERROR(IF(A139=A138,0,SUM(_xlfn._xlws.FILTER(E139:E149,(A139:A149=A139)*(E139:E149&gt;0)))),0)</f>
        <v>0</v>
      </c>
      <c r="I139" s="69" cm="1">
        <f t="array" ref="I139">IFERROR(IF(A139=A138,0,SUM(_xlfn._xlws.FILTER(E139:E149,(A139:A149=A139)*(F139&lt;0)))),0)</f>
        <v>0</v>
      </c>
      <c r="J139"/>
      <c r="K139"/>
      <c r="L139"/>
      <c r="M139"/>
      <c r="N139"/>
    </row>
    <row r="140" spans="1:14" hidden="1" x14ac:dyDescent="0.3">
      <c r="A140" s="74">
        <v>45702</v>
      </c>
      <c r="B140" s="73" t="s">
        <v>41</v>
      </c>
      <c r="C140" s="74">
        <v>10000</v>
      </c>
      <c r="D140" s="75">
        <v>-1.51</v>
      </c>
      <c r="E140" s="67">
        <f ca="1">IFERROR(C140*D140*_xlfn.XLOOKUP(B140,[1]!TabCalc[Ticker],[1]!TabCalc[Scale]),0)</f>
        <v>-15100</v>
      </c>
      <c r="F140" s="68" cm="1">
        <f t="array" ref="F140">IF(A140=A139,0,SUM(_xlfn._xlws.FILTER(E140:E150,A140:A150=A140)))</f>
        <v>0</v>
      </c>
      <c r="G140" s="69">
        <f>IF(F140&lt;&gt;0,SUM($F$43:F140),0)</f>
        <v>0</v>
      </c>
      <c r="H140" s="69" cm="1">
        <f t="array" ref="H140">IFERROR(IF(A140=A139,0,SUM(_xlfn._xlws.FILTER(E140:E150,(A140:A150=A140)*(E140:E150&gt;0)))),0)</f>
        <v>0</v>
      </c>
      <c r="I140" s="69" cm="1">
        <f t="array" ref="I140">IFERROR(IF(A140=A139,0,SUM(_xlfn._xlws.FILTER(E140:E150,(A140:A150=A140)*(F140&lt;0)))),0)</f>
        <v>0</v>
      </c>
      <c r="J140"/>
      <c r="K140"/>
      <c r="L140"/>
      <c r="M140"/>
      <c r="N140"/>
    </row>
    <row r="141" spans="1:14" hidden="1" x14ac:dyDescent="0.3">
      <c r="A141" s="64">
        <v>45705</v>
      </c>
      <c r="B141" s="5" t="s">
        <v>69</v>
      </c>
      <c r="C141" s="65">
        <v>10000</v>
      </c>
      <c r="D141" s="66">
        <v>-337</v>
      </c>
      <c r="E141" s="67">
        <f ca="1">IFERROR(C141*D141*_xlfn.XLOOKUP(B141,[1]!TabCalc[Ticker],[1]!TabCalc[Scale]),0)</f>
        <v>-33700</v>
      </c>
      <c r="F141" s="68" cm="1">
        <f t="array" aca="1" ref="F141" ca="1">IF(A141=A140,0,SUM(_xlfn._xlws.FILTER(E141:E151,A141:A151=A141)))</f>
        <v>-33700</v>
      </c>
      <c r="G141" s="69">
        <f ca="1">IF(F141&lt;&gt;0,SUM($F$43:F141),0)</f>
        <v>1148689.4539000001</v>
      </c>
      <c r="H141" s="69" cm="1">
        <f t="array" aca="1" ref="H141" ca="1">IFERROR(IF(A141=A140,0,SUM(_xlfn._xlws.FILTER(E141:E151,(A141:A151=A141)*(E141:E151&gt;0)))),0)</f>
        <v>0</v>
      </c>
      <c r="I141" s="69" cm="1">
        <f t="array" aca="1" ref="I141" ca="1">IFERROR(IF(A141=A140,0,SUM(_xlfn._xlws.FILTER(E141:E151,(A141:A151=A141)*(F141&lt;0)))),0)</f>
        <v>-33700</v>
      </c>
      <c r="J141"/>
      <c r="K141"/>
      <c r="L141"/>
      <c r="M141"/>
      <c r="N141"/>
    </row>
    <row r="142" spans="1:14" hidden="1" x14ac:dyDescent="0.3">
      <c r="A142" s="70">
        <v>45706</v>
      </c>
      <c r="B142" s="71" t="s">
        <v>65</v>
      </c>
      <c r="C142" s="76">
        <v>20000</v>
      </c>
      <c r="D142" s="19">
        <v>-1.1459755</v>
      </c>
      <c r="E142" s="67">
        <f ca="1">IFERROR(C142*D142*_xlfn.XLOOKUP(B142,[1]!TabCalc[Ticker],[1]!TabCalc[Scale]),0)</f>
        <v>-22919.510000000002</v>
      </c>
      <c r="F142" s="68" cm="1">
        <f t="array" aca="1" ref="F142" ca="1">IF(A142=A141,0,SUM(_xlfn._xlws.FILTER(E142:E152,A142:A152=A142)))</f>
        <v>-234428.51</v>
      </c>
      <c r="G142" s="69">
        <f ca="1">IF(F142&lt;&gt;0,SUM($F$43:F142),0)</f>
        <v>914260.94390000007</v>
      </c>
      <c r="H142" s="69" cm="1">
        <f t="array" aca="1" ref="H142" ca="1">IFERROR(IF(A142=A141,0,SUM(_xlfn._xlws.FILTER(E142:E152,(A142:A152=A142)*(E142:E152&gt;0)))),0)</f>
        <v>126420</v>
      </c>
      <c r="I142" s="69" cm="1">
        <f t="array" aca="1" ref="I142" ca="1">IFERROR(IF(A142=A141,0,SUM(_xlfn._xlws.FILTER(E142:E152,(A142:A152=A142)*(F142&lt;0)))),0)</f>
        <v>-234428.51</v>
      </c>
      <c r="J142"/>
      <c r="K142"/>
      <c r="L142"/>
      <c r="M142"/>
      <c r="N142"/>
    </row>
    <row r="143" spans="1:14" hidden="1" x14ac:dyDescent="0.3">
      <c r="A143" s="70">
        <v>45706</v>
      </c>
      <c r="B143" s="71" t="s">
        <v>85</v>
      </c>
      <c r="C143" s="76">
        <v>30000</v>
      </c>
      <c r="D143" s="19">
        <v>-1.1000000000000001</v>
      </c>
      <c r="E143" s="67">
        <f ca="1">IFERROR(C143*D143*_xlfn.XLOOKUP(B143,[1]!TabCalc[Ticker],[1]!TabCalc[Scale]),0)</f>
        <v>-33000</v>
      </c>
      <c r="F143" s="68" cm="1">
        <f t="array" ref="F143">IF(A143=A142,0,SUM(_xlfn._xlws.FILTER(E143:E153,A143:A153=A143)))</f>
        <v>0</v>
      </c>
      <c r="G143" s="69">
        <f>IF(F143&lt;&gt;0,SUM($F$43:F143),0)</f>
        <v>0</v>
      </c>
      <c r="H143" s="69" cm="1">
        <f t="array" ref="H143">IFERROR(IF(A143=A142,0,SUM(_xlfn._xlws.FILTER(E143:E153,(A143:A153=A143)*(E143:E153&gt;0)))),0)</f>
        <v>0</v>
      </c>
      <c r="I143" s="69" cm="1">
        <f t="array" ref="I143">IFERROR(IF(A143=A142,0,SUM(_xlfn._xlws.FILTER(E143:E153,(A143:A153=A143)*(F143&lt;0)))),0)</f>
        <v>0</v>
      </c>
      <c r="J143"/>
      <c r="K143"/>
      <c r="L143"/>
      <c r="M143"/>
      <c r="N143"/>
    </row>
    <row r="144" spans="1:14" hidden="1" x14ac:dyDescent="0.3">
      <c r="A144" s="70">
        <v>45706</v>
      </c>
      <c r="B144" s="71" t="s">
        <v>33</v>
      </c>
      <c r="C144" s="76">
        <v>800</v>
      </c>
      <c r="D144" s="19">
        <v>-109.28</v>
      </c>
      <c r="E144" s="67">
        <f ca="1">IFERROR(C144*D144*_xlfn.XLOOKUP(B144,[1]!TabCalc[Ticker],[1]!TabCalc[Scale]),0)</f>
        <v>-87424</v>
      </c>
      <c r="F144" s="68" cm="1">
        <f t="array" ref="F144">IF(A144=A143,0,SUM(_xlfn._xlws.FILTER(E144:E154,A144:A154=A144)))</f>
        <v>0</v>
      </c>
      <c r="G144" s="69">
        <f>IF(F144&lt;&gt;0,SUM($F$43:F144),0)</f>
        <v>0</v>
      </c>
      <c r="H144" s="69" cm="1">
        <f t="array" ref="H144">IFERROR(IF(A144=A143,0,SUM(_xlfn._xlws.FILTER(E144:E154,(A144:A154=A144)*(E144:E154&gt;0)))),0)</f>
        <v>0</v>
      </c>
      <c r="I144" s="69" cm="1">
        <f t="array" ref="I144">IFERROR(IF(A144=A143,0,SUM(_xlfn._xlws.FILTER(E144:E154,(A144:A154=A144)*(F144&lt;0)))),0)</f>
        <v>0</v>
      </c>
      <c r="J144"/>
      <c r="K144"/>
      <c r="L144"/>
      <c r="M144"/>
      <c r="N144"/>
    </row>
    <row r="145" spans="1:14" hidden="1" x14ac:dyDescent="0.3">
      <c r="A145" s="70">
        <v>45706</v>
      </c>
      <c r="B145" s="71" t="s">
        <v>69</v>
      </c>
      <c r="C145" s="76">
        <v>10000</v>
      </c>
      <c r="D145" s="19">
        <v>-337</v>
      </c>
      <c r="E145" s="67">
        <f ca="1">IFERROR(C145*D145*_xlfn.XLOOKUP(B145,[1]!TabCalc[Ticker],[1]!TabCalc[Scale]),0)</f>
        <v>-33700</v>
      </c>
      <c r="F145" s="68" cm="1">
        <f t="array" ref="F145">IF(A145=A144,0,SUM(_xlfn._xlws.FILTER(E145:E155,A145:A155=A145)))</f>
        <v>0</v>
      </c>
      <c r="G145" s="69">
        <f>IF(F145&lt;&gt;0,SUM($F$43:F145),0)</f>
        <v>0</v>
      </c>
      <c r="H145" s="69" cm="1">
        <f t="array" ref="H145">IFERROR(IF(A145=A144,0,SUM(_xlfn._xlws.FILTER(E145:E155,(A145:A155=A145)*(E145:E155&gt;0)))),0)</f>
        <v>0</v>
      </c>
      <c r="I145" s="69" cm="1">
        <f t="array" ref="I145">IFERROR(IF(A145=A144,0,SUM(_xlfn._xlws.FILTER(E145:E155,(A145:A155=A145)*(F145&lt;0)))),0)</f>
        <v>0</v>
      </c>
      <c r="J145"/>
      <c r="K145"/>
      <c r="L145"/>
      <c r="M145"/>
      <c r="N145"/>
    </row>
    <row r="146" spans="1:14" hidden="1" x14ac:dyDescent="0.3">
      <c r="A146" s="70">
        <v>45706</v>
      </c>
      <c r="B146" s="71" t="s">
        <v>86</v>
      </c>
      <c r="C146" s="76">
        <v>8000</v>
      </c>
      <c r="D146" s="19">
        <v>-14.09</v>
      </c>
      <c r="E146" s="67">
        <f ca="1">IFERROR(C146*D146*_xlfn.XLOOKUP(B146,[1]!TabCalc[Ticker],[1]!TabCalc[Scale]),0)</f>
        <v>-112720</v>
      </c>
      <c r="F146" s="68" cm="1">
        <f t="array" ref="F146">IF(A146=A145,0,SUM(_xlfn._xlws.FILTER(E146:E156,A146:A156=A146)))</f>
        <v>0</v>
      </c>
      <c r="G146" s="69">
        <f>IF(F146&lt;&gt;0,SUM($F$43:F146),0)</f>
        <v>0</v>
      </c>
      <c r="H146" s="69" cm="1">
        <f t="array" ref="H146">IFERROR(IF(A146=A145,0,SUM(_xlfn._xlws.FILTER(E146:E156,(A146:A156=A146)*(E146:E156&gt;0)))),0)</f>
        <v>0</v>
      </c>
      <c r="I146" s="69" cm="1">
        <f t="array" ref="I146">IFERROR(IF(A146=A145,0,SUM(_xlfn._xlws.FILTER(E146:E156,(A146:A156=A146)*(F146&lt;0)))),0)</f>
        <v>0</v>
      </c>
      <c r="J146"/>
      <c r="K146"/>
      <c r="L146"/>
      <c r="M146"/>
      <c r="N146"/>
    </row>
    <row r="147" spans="1:14" hidden="1" x14ac:dyDescent="0.3">
      <c r="A147" s="70">
        <v>45706</v>
      </c>
      <c r="B147" s="71" t="s">
        <v>65</v>
      </c>
      <c r="C147" s="76">
        <v>20000</v>
      </c>
      <c r="D147" s="19">
        <v>-1.1459999999999999</v>
      </c>
      <c r="E147" s="67">
        <f ca="1">IFERROR(C147*D147*_xlfn.XLOOKUP(B147,[1]!TabCalc[Ticker],[1]!TabCalc[Scale]),0)</f>
        <v>-22919.999999999996</v>
      </c>
      <c r="F147" s="68" cm="1">
        <f t="array" ref="F147">IF(A147=A146,0,SUM(_xlfn._xlws.FILTER(E147:E157,A147:A157=A147)))</f>
        <v>0</v>
      </c>
      <c r="G147" s="69">
        <f>IF(F147&lt;&gt;0,SUM($F$43:F147),0)</f>
        <v>0</v>
      </c>
      <c r="H147" s="69" cm="1">
        <f t="array" ref="H147">IFERROR(IF(A147=A146,0,SUM(_xlfn._xlws.FILTER(E147:E157,(A147:A157=A147)*(E147:E157&gt;0)))),0)</f>
        <v>0</v>
      </c>
      <c r="I147" s="69" cm="1">
        <f t="array" ref="I147">IFERROR(IF(A147=A146,0,SUM(_xlfn._xlws.FILTER(E147:E157,(A147:A157=A147)*(F147&lt;0)))),0)</f>
        <v>0</v>
      </c>
      <c r="J147"/>
      <c r="K147"/>
      <c r="L147"/>
      <c r="M147"/>
      <c r="N147"/>
    </row>
    <row r="148" spans="1:14" hidden="1" x14ac:dyDescent="0.3">
      <c r="A148" s="70">
        <v>45706</v>
      </c>
      <c r="B148" s="71" t="s">
        <v>30</v>
      </c>
      <c r="C148" s="76">
        <v>100</v>
      </c>
      <c r="D148" s="19">
        <v>717.2</v>
      </c>
      <c r="E148" s="67">
        <f ca="1">IFERROR(C148*D148*_xlfn.XLOOKUP(B148,[1]!TabCalc[Ticker],[1]!TabCalc[Scale]),0)</f>
        <v>71720</v>
      </c>
      <c r="F148" s="68" cm="1">
        <f t="array" ref="F148">IF(A148=A147,0,SUM(_xlfn._xlws.FILTER(E148:E158,A148:A158=A148)))</f>
        <v>0</v>
      </c>
      <c r="G148" s="69">
        <f>IF(F148&lt;&gt;0,SUM($F$43:F148),0)</f>
        <v>0</v>
      </c>
      <c r="H148" s="69" cm="1">
        <f t="array" ref="H148">IFERROR(IF(A148=A147,0,SUM(_xlfn._xlws.FILTER(E148:E158,(A148:A158=A148)*(E148:E158&gt;0)))),0)</f>
        <v>0</v>
      </c>
      <c r="I148" s="69" cm="1">
        <f t="array" ref="I148">IFERROR(IF(A148=A147,0,SUM(_xlfn._xlws.FILTER(E148:E158,(A148:A158=A148)*(F148&lt;0)))),0)</f>
        <v>0</v>
      </c>
      <c r="J148"/>
      <c r="K148"/>
      <c r="L148"/>
      <c r="M148"/>
      <c r="N148"/>
    </row>
    <row r="149" spans="1:14" hidden="1" x14ac:dyDescent="0.3">
      <c r="A149" s="70">
        <v>45706</v>
      </c>
      <c r="B149" s="71" t="s">
        <v>76</v>
      </c>
      <c r="C149" s="76">
        <v>7000</v>
      </c>
      <c r="D149" s="19">
        <v>-46.5</v>
      </c>
      <c r="E149" s="67">
        <f ca="1">IFERROR(C149*D149*_xlfn.XLOOKUP(B149,[1]!TabCalc[Ticker],[1]!TabCalc[Scale]),0)</f>
        <v>-3255</v>
      </c>
      <c r="F149" s="68" cm="1">
        <f t="array" ref="F149">IF(A149=A148,0,SUM(_xlfn._xlws.FILTER(E149:E159,A149:A159=A149)))</f>
        <v>0</v>
      </c>
      <c r="G149" s="69">
        <f>IF(F149&lt;&gt;0,SUM($F$43:F149),0)</f>
        <v>0</v>
      </c>
      <c r="H149" s="69" cm="1">
        <f t="array" ref="H149">IFERROR(IF(A149=A148,0,SUM(_xlfn._xlws.FILTER(E149:E159,(A149:A159=A149)*(E149:E159&gt;0)))),0)</f>
        <v>0</v>
      </c>
      <c r="I149" s="69" cm="1">
        <f t="array" ref="I149">IFERROR(IF(A149=A148,0,SUM(_xlfn._xlws.FILTER(E149:E159,(A149:A159=A149)*(F149&lt;0)))),0)</f>
        <v>0</v>
      </c>
      <c r="J149"/>
      <c r="K149"/>
      <c r="L149"/>
      <c r="M149"/>
      <c r="N149"/>
    </row>
    <row r="150" spans="1:14" hidden="1" x14ac:dyDescent="0.3">
      <c r="A150" s="70">
        <v>45706</v>
      </c>
      <c r="B150" s="71" t="s">
        <v>61</v>
      </c>
      <c r="C150" s="76">
        <v>200</v>
      </c>
      <c r="D150" s="19">
        <v>-224.55</v>
      </c>
      <c r="E150" s="67">
        <f ca="1">IFERROR(C150*D150*_xlfn.XLOOKUP(B150,[1]!TabCalc[Ticker],[1]!TabCalc[Scale]),0)</f>
        <v>-44910</v>
      </c>
      <c r="F150" s="68" cm="1">
        <f t="array" ref="F150">IF(A150=A149,0,SUM(_xlfn._xlws.FILTER(E150:E160,A150:A160=A150)))</f>
        <v>0</v>
      </c>
      <c r="G150" s="69">
        <f>IF(F150&lt;&gt;0,SUM($F$43:F150),0)</f>
        <v>0</v>
      </c>
      <c r="H150" s="69" cm="1">
        <f t="array" ref="H150">IFERROR(IF(A150=A149,0,SUM(_xlfn._xlws.FILTER(E150:E160,(A150:A160=A150)*(E150:E160&gt;0)))),0)</f>
        <v>0</v>
      </c>
      <c r="I150" s="69" cm="1">
        <f t="array" ref="I150">IFERROR(IF(A150=A149,0,SUM(_xlfn._xlws.FILTER(E150:E160,(A150:A160=A150)*(F150&lt;0)))),0)</f>
        <v>0</v>
      </c>
      <c r="J150"/>
      <c r="K150"/>
      <c r="L150"/>
      <c r="M150"/>
      <c r="N150"/>
    </row>
    <row r="151" spans="1:14" hidden="1" x14ac:dyDescent="0.3">
      <c r="A151" s="70">
        <v>45706</v>
      </c>
      <c r="B151" s="71" t="s">
        <v>73</v>
      </c>
      <c r="C151" s="76">
        <v>3000</v>
      </c>
      <c r="D151" s="19">
        <v>10.765000000000001</v>
      </c>
      <c r="E151" s="67">
        <f ca="1">IFERROR(C151*D151*_xlfn.XLOOKUP(B151,[1]!TabCalc[Ticker],[1]!TabCalc[Scale]),0)</f>
        <v>32295</v>
      </c>
      <c r="F151" s="68" cm="1">
        <f t="array" ref="F151">IF(A151=A150,0,SUM(_xlfn._xlws.FILTER(E151:E161,A151:A161=A151)))</f>
        <v>0</v>
      </c>
      <c r="G151" s="69">
        <f>IF(F151&lt;&gt;0,SUM($F$43:F151),0)</f>
        <v>0</v>
      </c>
      <c r="H151" s="69" cm="1">
        <f t="array" ref="H151">IFERROR(IF(A151=A150,0,SUM(_xlfn._xlws.FILTER(E151:E161,(A151:A161=A151)*(E151:E161&gt;0)))),0)</f>
        <v>0</v>
      </c>
      <c r="I151" s="69" cm="1">
        <f t="array" ref="I151">IFERROR(IF(A151=A150,0,SUM(_xlfn._xlws.FILTER(E151:E161,(A151:A161=A151)*(F151&lt;0)))),0)</f>
        <v>0</v>
      </c>
      <c r="J151"/>
      <c r="K151"/>
      <c r="L151"/>
      <c r="M151"/>
      <c r="N151"/>
    </row>
    <row r="152" spans="1:14" hidden="1" x14ac:dyDescent="0.3">
      <c r="A152" s="70">
        <v>45706</v>
      </c>
      <c r="B152" s="71" t="s">
        <v>62</v>
      </c>
      <c r="C152" s="76">
        <v>5000</v>
      </c>
      <c r="D152" s="19">
        <v>4.4809999999999999</v>
      </c>
      <c r="E152" s="67">
        <f ca="1">IFERROR(C152*D152*_xlfn.XLOOKUP(B152,[1]!TabCalc[Ticker],[1]!TabCalc[Scale]),0)</f>
        <v>22405</v>
      </c>
      <c r="F152" s="68" cm="1">
        <f t="array" ref="F152">IF(A152=A151,0,SUM(_xlfn._xlws.FILTER(E152:E162,A152:A162=A152)))</f>
        <v>0</v>
      </c>
      <c r="G152" s="69">
        <f>IF(F152&lt;&gt;0,SUM($F$43:F152),0)</f>
        <v>0</v>
      </c>
      <c r="H152" s="69" cm="1">
        <f t="array" ref="H152">IFERROR(IF(A152=A151,0,SUM(_xlfn._xlws.FILTER(E152:E162,(A152:A162=A152)*(E152:E162&gt;0)))),0)</f>
        <v>0</v>
      </c>
      <c r="I152" s="69" cm="1">
        <f t="array" ref="I152">IFERROR(IF(A152=A151,0,SUM(_xlfn._xlws.FILTER(E152:E162,(A152:A162=A152)*(F152&lt;0)))),0)</f>
        <v>0</v>
      </c>
      <c r="J152"/>
      <c r="K152"/>
      <c r="L152"/>
      <c r="M152"/>
      <c r="N152"/>
    </row>
    <row r="153" spans="1:14" hidden="1" x14ac:dyDescent="0.3">
      <c r="A153" s="70">
        <v>45706</v>
      </c>
      <c r="B153" s="71" t="s">
        <v>87</v>
      </c>
      <c r="C153" s="76">
        <v>10000</v>
      </c>
      <c r="D153" s="19">
        <v>-9.2349999999999994</v>
      </c>
      <c r="E153" s="67">
        <f ca="1">IFERROR(C153*D153*_xlfn.XLOOKUP(B153,[1]!TabCalc[Ticker],[1]!TabCalc[Scale]),0)</f>
        <v>-92350</v>
      </c>
      <c r="F153" s="68" cm="1">
        <f t="array" ref="F153">IF(A153=A152,0,SUM(_xlfn._xlws.FILTER(E153:E163,A153:A163=A153)))</f>
        <v>0</v>
      </c>
      <c r="G153" s="69">
        <f>IF(F153&lt;&gt;0,SUM($F$43:F153),0)</f>
        <v>0</v>
      </c>
      <c r="H153" s="69" cm="1">
        <f t="array" ref="H153">IFERROR(IF(A153=A152,0,SUM(_xlfn._xlws.FILTER(E153:E163,(A153:A163=A153)*(E153:E163&gt;0)))),0)</f>
        <v>0</v>
      </c>
      <c r="I153" s="69" cm="1">
        <f t="array" ref="I153">IFERROR(IF(A153=A152,0,SUM(_xlfn._xlws.FILTER(E153:E163,(A153:A163=A153)*(F153&lt;0)))),0)</f>
        <v>0</v>
      </c>
      <c r="J153"/>
      <c r="K153"/>
      <c r="L153"/>
      <c r="M153"/>
      <c r="N153"/>
    </row>
    <row r="154" spans="1:14" hidden="1" x14ac:dyDescent="0.3">
      <c r="A154" s="64">
        <v>45707</v>
      </c>
      <c r="B154" s="5" t="s">
        <v>36</v>
      </c>
      <c r="C154" s="65">
        <v>250</v>
      </c>
      <c r="D154" s="66">
        <v>-227.5</v>
      </c>
      <c r="E154" s="67">
        <f ca="1">IFERROR(C154*D154*_xlfn.XLOOKUP(B154,[1]!TabCalc[Ticker],[1]!TabCalc[Scale]),0)</f>
        <v>-56875</v>
      </c>
      <c r="F154" s="68" cm="1">
        <f t="array" aca="1" ref="F154" ca="1">IF(A154=A153,0,SUM(_xlfn._xlws.FILTER(E154:E164,A154:A164=A154)))</f>
        <v>-77950.62</v>
      </c>
      <c r="G154" s="69">
        <f ca="1">IF(F154&lt;&gt;0,SUM($F$43:F154),0)</f>
        <v>836310.32390000008</v>
      </c>
      <c r="H154" s="69" cm="1">
        <f t="array" aca="1" ref="H154" ca="1">IFERROR(IF(A154=A153,0,SUM(_xlfn._xlws.FILTER(E154:E164,(A154:A164=A154)*(E154:E164&gt;0)))),0)</f>
        <v>293444.38</v>
      </c>
      <c r="I154" s="69" cm="1">
        <f t="array" aca="1" ref="I154" ca="1">IFERROR(IF(A154=A153,0,SUM(_xlfn._xlws.FILTER(E154:E164,(A154:A164=A154)*(F154&lt;0)))),0)</f>
        <v>-77950.62</v>
      </c>
      <c r="J154"/>
      <c r="K154"/>
      <c r="L154"/>
      <c r="M154"/>
      <c r="N154"/>
    </row>
    <row r="155" spans="1:14" hidden="1" x14ac:dyDescent="0.3">
      <c r="A155" s="64">
        <v>45707</v>
      </c>
      <c r="B155" s="5" t="s">
        <v>37</v>
      </c>
      <c r="C155" s="65">
        <v>1000</v>
      </c>
      <c r="D155" s="66">
        <v>64.849999999999994</v>
      </c>
      <c r="E155" s="67">
        <f ca="1">IFERROR(C155*D155*_xlfn.XLOOKUP(B155,[1]!TabCalc[Ticker],[1]!TabCalc[Scale]),0)</f>
        <v>64849.999999999993</v>
      </c>
      <c r="F155" s="68" cm="1">
        <f t="array" ref="F155">IF(A155=A154,0,SUM(_xlfn._xlws.FILTER(E155:E165,A155:A165=A155)))</f>
        <v>0</v>
      </c>
      <c r="G155" s="69">
        <f>IF(F155&lt;&gt;0,SUM($F$43:F155),0)</f>
        <v>0</v>
      </c>
      <c r="H155" s="69" cm="1">
        <f t="array" ref="H155">IFERROR(IF(A155=A154,0,SUM(_xlfn._xlws.FILTER(E155:E165,(A155:A165=A155)*(E155:E165&gt;0)))),0)</f>
        <v>0</v>
      </c>
      <c r="I155" s="69" cm="1">
        <f t="array" ref="I155">IFERROR(IF(A155=A154,0,SUM(_xlfn._xlws.FILTER(E155:E165,(A155:A165=A155)*(F155&lt;0)))),0)</f>
        <v>0</v>
      </c>
      <c r="J155"/>
      <c r="K155"/>
      <c r="L155"/>
      <c r="M155"/>
      <c r="N155"/>
    </row>
    <row r="156" spans="1:14" hidden="1" x14ac:dyDescent="0.3">
      <c r="A156" s="64">
        <v>45707</v>
      </c>
      <c r="B156" s="5" t="s">
        <v>33</v>
      </c>
      <c r="C156" s="65">
        <v>400</v>
      </c>
      <c r="D156" s="66">
        <v>111.54</v>
      </c>
      <c r="E156" s="67">
        <f ca="1">IFERROR(C156*D156*_xlfn.XLOOKUP(B156,[1]!TabCalc[Ticker],[1]!TabCalc[Scale]),0)</f>
        <v>44616</v>
      </c>
      <c r="F156" s="68" cm="1">
        <f t="array" ref="F156">IF(A156=A155,0,SUM(_xlfn._xlws.FILTER(E156:E166,A156:A166=A156)))</f>
        <v>0</v>
      </c>
      <c r="G156" s="69">
        <f>IF(F156&lt;&gt;0,SUM($F$43:F156),0)</f>
        <v>0</v>
      </c>
      <c r="H156" s="69" cm="1">
        <f t="array" ref="H156">IFERROR(IF(A156=A155,0,SUM(_xlfn._xlws.FILTER(E156:E166,(A156:A166=A156)*(E156:E166&gt;0)))),0)</f>
        <v>0</v>
      </c>
      <c r="I156" s="69" cm="1">
        <f t="array" ref="I156">IFERROR(IF(A156=A155,0,SUM(_xlfn._xlws.FILTER(E156:E166,(A156:A166=A156)*(F156&lt;0)))),0)</f>
        <v>0</v>
      </c>
      <c r="J156"/>
      <c r="K156"/>
      <c r="L156"/>
      <c r="M156"/>
      <c r="N156"/>
    </row>
    <row r="157" spans="1:14" hidden="1" x14ac:dyDescent="0.3">
      <c r="A157" s="64">
        <v>45707</v>
      </c>
      <c r="B157" s="5" t="s">
        <v>83</v>
      </c>
      <c r="C157" s="65">
        <v>2500</v>
      </c>
      <c r="D157" s="66">
        <v>-24.12</v>
      </c>
      <c r="E157" s="67">
        <f ca="1">IFERROR(C157*D157*_xlfn.XLOOKUP(B157,[1]!TabCalc[Ticker],[1]!TabCalc[Scale]),0)</f>
        <v>-60300</v>
      </c>
      <c r="F157" s="68" cm="1">
        <f t="array" ref="F157">IF(A157=A156,0,SUM(_xlfn._xlws.FILTER(E157:E167,A157:A167=A157)))</f>
        <v>0</v>
      </c>
      <c r="G157" s="69">
        <f>IF(F157&lt;&gt;0,SUM($F$43:F157),0)</f>
        <v>0</v>
      </c>
      <c r="H157" s="69" cm="1">
        <f t="array" ref="H157">IFERROR(IF(A157=A156,0,SUM(_xlfn._xlws.FILTER(E157:E167,(A157:A167=A157)*(E157:E167&gt;0)))),0)</f>
        <v>0</v>
      </c>
      <c r="I157" s="69" cm="1">
        <f t="array" ref="I157">IFERROR(IF(A157=A156,0,SUM(_xlfn._xlws.FILTER(E157:E167,(A157:A167=A157)*(F157&lt;0)))),0)</f>
        <v>0</v>
      </c>
      <c r="J157"/>
      <c r="K157"/>
      <c r="L157"/>
      <c r="M157"/>
      <c r="N157"/>
    </row>
    <row r="158" spans="1:14" hidden="1" x14ac:dyDescent="0.3">
      <c r="A158" s="64">
        <v>45707</v>
      </c>
      <c r="B158" s="5" t="s">
        <v>79</v>
      </c>
      <c r="C158" s="65">
        <v>2000</v>
      </c>
      <c r="D158" s="66">
        <v>6.93</v>
      </c>
      <c r="E158" s="67">
        <f ca="1">IFERROR(C158*D158*_xlfn.XLOOKUP(B158,[1]!TabCalc[Ticker],[1]!TabCalc[Scale]),0)</f>
        <v>13860</v>
      </c>
      <c r="F158" s="68" cm="1">
        <f t="array" ref="F158">IF(A158=A157,0,SUM(_xlfn._xlws.FILTER(E158:E168,A158:A168=A158)))</f>
        <v>0</v>
      </c>
      <c r="G158" s="69">
        <f>IF(F158&lt;&gt;0,SUM($F$43:F158),0)</f>
        <v>0</v>
      </c>
      <c r="H158" s="69" cm="1">
        <f t="array" ref="H158">IFERROR(IF(A158=A157,0,SUM(_xlfn._xlws.FILTER(E158:E168,(A158:A168=A158)*(E158:E168&gt;0)))),0)</f>
        <v>0</v>
      </c>
      <c r="I158" s="69" cm="1">
        <f t="array" ref="I158">IFERROR(IF(A158=A157,0,SUM(_xlfn._xlws.FILTER(E158:E168,(A158:A168=A158)*(F158&lt;0)))),0)</f>
        <v>0</v>
      </c>
      <c r="J158"/>
      <c r="K158"/>
      <c r="L158"/>
      <c r="M158"/>
      <c r="N158"/>
    </row>
    <row r="159" spans="1:14" hidden="1" x14ac:dyDescent="0.3">
      <c r="A159" s="64">
        <v>45707</v>
      </c>
      <c r="B159" s="5" t="s">
        <v>56</v>
      </c>
      <c r="C159" s="65">
        <v>5000</v>
      </c>
      <c r="D159" s="66">
        <v>-37.799999999999997</v>
      </c>
      <c r="E159" s="67">
        <f ca="1">IFERROR(C159*D159*_xlfn.XLOOKUP(B159,[1]!TabCalc[Ticker],[1]!TabCalc[Scale]),0)</f>
        <v>-189000</v>
      </c>
      <c r="F159" s="68" cm="1">
        <f t="array" ref="F159">IF(A159=A158,0,SUM(_xlfn._xlws.FILTER(E159:E169,A159:A169=A159)))</f>
        <v>0</v>
      </c>
      <c r="G159" s="69">
        <f>IF(F159&lt;&gt;0,SUM($F$43:F159),0)</f>
        <v>0</v>
      </c>
      <c r="H159" s="69" cm="1">
        <f t="array" ref="H159">IFERROR(IF(A159=A158,0,SUM(_xlfn._xlws.FILTER(E159:E169,(A159:A169=A159)*(E159:E169&gt;0)))),0)</f>
        <v>0</v>
      </c>
      <c r="I159" s="69" cm="1">
        <f t="array" ref="I159">IFERROR(IF(A159=A158,0,SUM(_xlfn._xlws.FILTER(E159:E169,(A159:A169=A159)*(F159&lt;0)))),0)</f>
        <v>0</v>
      </c>
      <c r="J159"/>
      <c r="K159"/>
      <c r="L159"/>
      <c r="M159"/>
      <c r="N159"/>
    </row>
    <row r="160" spans="1:14" hidden="1" x14ac:dyDescent="0.3">
      <c r="A160" s="64">
        <v>45707</v>
      </c>
      <c r="B160" s="5" t="s">
        <v>48</v>
      </c>
      <c r="C160" s="65">
        <v>6000</v>
      </c>
      <c r="D160" s="66">
        <v>-10.87</v>
      </c>
      <c r="E160" s="67">
        <f ca="1">IFERROR(C160*D160*_xlfn.XLOOKUP(B160,[1]!TabCalc[Ticker],[1]!TabCalc[Scale]),0)</f>
        <v>-65219.999999999993</v>
      </c>
      <c r="F160" s="68" cm="1">
        <f t="array" ref="F160">IF(A160=A159,0,SUM(_xlfn._xlws.FILTER(E160:E170,A160:A170=A160)))</f>
        <v>0</v>
      </c>
      <c r="G160" s="69">
        <f>IF(F160&lt;&gt;0,SUM($F$43:F160),0)</f>
        <v>0</v>
      </c>
      <c r="H160" s="69" cm="1">
        <f t="array" ref="H160">IFERROR(IF(A160=A159,0,SUM(_xlfn._xlws.FILTER(E160:E170,(A160:A170=A160)*(E160:E170&gt;0)))),0)</f>
        <v>0</v>
      </c>
      <c r="I160" s="69" cm="1">
        <f t="array" ref="I160">IFERROR(IF(A160=A159,0,SUM(_xlfn._xlws.FILTER(E160:E170,(A160:A170=A160)*(F160&lt;0)))),0)</f>
        <v>0</v>
      </c>
      <c r="J160"/>
      <c r="K160"/>
      <c r="L160"/>
      <c r="M160"/>
      <c r="N160"/>
    </row>
    <row r="161" spans="1:14" hidden="1" x14ac:dyDescent="0.3">
      <c r="A161" s="64">
        <v>45707</v>
      </c>
      <c r="B161" s="5" t="s">
        <v>45</v>
      </c>
      <c r="C161" s="65">
        <v>240</v>
      </c>
      <c r="D161" s="66">
        <v>244.79</v>
      </c>
      <c r="E161" s="67">
        <f ca="1">IFERROR(C161*D161*_xlfn.XLOOKUP(B161,[1]!TabCalc[Ticker],[1]!TabCalc[Scale]),0)</f>
        <v>58749.599999999999</v>
      </c>
      <c r="F161" s="68" cm="1">
        <f t="array" ref="F161">IF(A161=A160,0,SUM(_xlfn._xlws.FILTER(E161:E171,A161:A171=A161)))</f>
        <v>0</v>
      </c>
      <c r="G161" s="69">
        <f>IF(F161&lt;&gt;0,SUM($F$43:F161),0)</f>
        <v>0</v>
      </c>
      <c r="H161" s="69" cm="1">
        <f t="array" ref="H161">IFERROR(IF(A161=A160,0,SUM(_xlfn._xlws.FILTER(E161:E171,(A161:A171=A161)*(E161:E171&gt;0)))),0)</f>
        <v>0</v>
      </c>
      <c r="I161" s="69" cm="1">
        <f t="array" ref="I161">IFERROR(IF(A161=A160,0,SUM(_xlfn._xlws.FILTER(E161:E171,(A161:A171=A161)*(F161&lt;0)))),0)</f>
        <v>0</v>
      </c>
      <c r="J161"/>
      <c r="K161"/>
      <c r="L161"/>
      <c r="M161"/>
      <c r="N161"/>
    </row>
    <row r="162" spans="1:14" hidden="1" x14ac:dyDescent="0.3">
      <c r="A162" s="64">
        <v>45707</v>
      </c>
      <c r="B162" s="5" t="s">
        <v>63</v>
      </c>
      <c r="C162" s="65">
        <v>10000</v>
      </c>
      <c r="D162" s="66">
        <v>595.08780000000002</v>
      </c>
      <c r="E162" s="67">
        <f ca="1">IFERROR(C162*D162*_xlfn.XLOOKUP(B162,[1]!TabCalc[Ticker],[1]!TabCalc[Scale]),0)</f>
        <v>59508.78</v>
      </c>
      <c r="F162" s="68" cm="1">
        <f t="array" ref="F162">IF(A162=A161,0,SUM(_xlfn._xlws.FILTER(E162:E172,A162:A172=A162)))</f>
        <v>0</v>
      </c>
      <c r="G162" s="69">
        <f>IF(F162&lt;&gt;0,SUM($F$43:F162),0)</f>
        <v>0</v>
      </c>
      <c r="H162" s="69" cm="1">
        <f t="array" ref="H162">IFERROR(IF(A162=A161,0,SUM(_xlfn._xlws.FILTER(E162:E172,(A162:A172=A162)*(E162:E172&gt;0)))),0)</f>
        <v>0</v>
      </c>
      <c r="I162" s="69" cm="1">
        <f t="array" ref="I162">IFERROR(IF(A162=A161,0,SUM(_xlfn._xlws.FILTER(E162:E172,(A162:A172=A162)*(F162&lt;0)))),0)</f>
        <v>0</v>
      </c>
      <c r="J162"/>
      <c r="K162"/>
      <c r="L162"/>
      <c r="M162"/>
      <c r="N162"/>
    </row>
    <row r="163" spans="1:14" hidden="1" x14ac:dyDescent="0.3">
      <c r="A163" s="64">
        <v>45707</v>
      </c>
      <c r="B163" s="5" t="s">
        <v>77</v>
      </c>
      <c r="C163" s="65">
        <v>1000</v>
      </c>
      <c r="D163" s="66">
        <v>51.86</v>
      </c>
      <c r="E163" s="67">
        <f ca="1">IFERROR(C163*D163*_xlfn.XLOOKUP(B163,[1]!TabCalc[Ticker],[1]!TabCalc[Scale]),0)</f>
        <v>51860</v>
      </c>
      <c r="F163" s="68" cm="1">
        <f t="array" ref="F163">IF(A163=A162,0,SUM(_xlfn._xlws.FILTER(E163:E173,A163:A173=A163)))</f>
        <v>0</v>
      </c>
      <c r="G163" s="69">
        <f>IF(F163&lt;&gt;0,SUM($F$43:F163),0)</f>
        <v>0</v>
      </c>
      <c r="H163" s="69" cm="1">
        <f t="array" ref="H163">IFERROR(IF(A163=A162,0,SUM(_xlfn._xlws.FILTER(E163:E173,(A163:A173=A163)*(E163:E173&gt;0)))),0)</f>
        <v>0</v>
      </c>
      <c r="I163" s="69" cm="1">
        <f t="array" ref="I163">IFERROR(IF(A163=A162,0,SUM(_xlfn._xlws.FILTER(E163:E173,(A163:A173=A163)*(F163&lt;0)))),0)</f>
        <v>0</v>
      </c>
      <c r="J163"/>
      <c r="K163"/>
      <c r="L163"/>
      <c r="M163"/>
      <c r="N163"/>
    </row>
    <row r="164" spans="1:14" hidden="1" x14ac:dyDescent="0.3">
      <c r="A164" s="70">
        <v>45708</v>
      </c>
      <c r="B164" s="71" t="s">
        <v>85</v>
      </c>
      <c r="C164" s="18">
        <v>7942</v>
      </c>
      <c r="D164" s="19">
        <v>-1.0740000000000001</v>
      </c>
      <c r="E164" s="67">
        <f ca="1">IFERROR(C164*D164*_xlfn.XLOOKUP(B164,[1]!TabCalc[Ticker],[1]!TabCalc[Scale]),0)</f>
        <v>-8529.7080000000005</v>
      </c>
      <c r="F164" s="68" cm="1">
        <f t="array" aca="1" ref="F164" ca="1">IF(A164=A163,0,SUM(_xlfn._xlws.FILTER(E164:E174,A164:A174=A164)))</f>
        <v>61566.292000000001</v>
      </c>
      <c r="G164" s="69">
        <f ca="1">IF(F164&lt;&gt;0,SUM($F$43:F164),0)</f>
        <v>897876.61590000009</v>
      </c>
      <c r="H164" s="69" cm="1">
        <f t="array" aca="1" ref="H164" ca="1">IFERROR(IF(A164=A163,0,SUM(_xlfn._xlws.FILTER(E164:E174,(A164:A174=A164)*(E164:E174&gt;0)))),0)</f>
        <v>70096</v>
      </c>
      <c r="I164" s="69" cm="1">
        <f t="array" aca="1" ref="I164" ca="1">IFERROR(IF(A164=A163,0,SUM(_xlfn._xlws.FILTER(E164:E174,(A164:A174=A164)*(F164&lt;0)))),0)</f>
        <v>0</v>
      </c>
      <c r="J164"/>
      <c r="K164"/>
      <c r="L164"/>
      <c r="M164"/>
      <c r="N164"/>
    </row>
    <row r="165" spans="1:14" hidden="1" x14ac:dyDescent="0.3">
      <c r="A165" s="70">
        <v>45708</v>
      </c>
      <c r="B165" s="71" t="s">
        <v>32</v>
      </c>
      <c r="C165" s="18">
        <v>1000</v>
      </c>
      <c r="D165" s="19">
        <v>70.096000000000004</v>
      </c>
      <c r="E165" s="67">
        <f ca="1">IFERROR(C165*D165*_xlfn.XLOOKUP(B165,[1]!TabCalc[Ticker],[1]!TabCalc[Scale]),0)</f>
        <v>70096</v>
      </c>
      <c r="F165" s="68" cm="1">
        <f t="array" ref="F165">IF(A165=A164,0,SUM(_xlfn._xlws.FILTER(E165:E175,A165:A175=A165)))</f>
        <v>0</v>
      </c>
      <c r="G165" s="69">
        <f>IF(F165&lt;&gt;0,SUM($F$43:F165),0)</f>
        <v>0</v>
      </c>
      <c r="H165" s="69" cm="1">
        <f t="array" ref="H165">IFERROR(IF(A165=A164,0,SUM(_xlfn._xlws.FILTER(E165:E175,(A165:A175=A165)*(E165:E175&gt;0)))),0)</f>
        <v>0</v>
      </c>
      <c r="I165" s="69" cm="1">
        <f t="array" ref="I165">IFERROR(IF(A165=A164,0,SUM(_xlfn._xlws.FILTER(E165:E175,(A165:A175=A165)*(F165&lt;0)))),0)</f>
        <v>0</v>
      </c>
      <c r="J165"/>
      <c r="K165"/>
      <c r="L165"/>
      <c r="M165"/>
      <c r="N165"/>
    </row>
    <row r="166" spans="1:14" hidden="1" x14ac:dyDescent="0.3">
      <c r="A166" s="64">
        <v>45709</v>
      </c>
      <c r="B166" s="5" t="s">
        <v>61</v>
      </c>
      <c r="C166" s="65">
        <v>500</v>
      </c>
      <c r="D166" s="66">
        <v>-215.45</v>
      </c>
      <c r="E166" s="67">
        <f ca="1">IFERROR(C166*D166*_xlfn.XLOOKUP(B166,[1]!TabCalc[Ticker],[1]!TabCalc[Scale]),0)</f>
        <v>-107725</v>
      </c>
      <c r="F166" s="68" cm="1">
        <f t="array" aca="1" ref="F166" ca="1">IF(A166=A165,0,SUM(_xlfn._xlws.FILTER(E166:E176,A166:A176=A166)))</f>
        <v>-141324.100274</v>
      </c>
      <c r="G166" s="69">
        <f ca="1">IF(F166&lt;&gt;0,SUM($F$43:F166),0)</f>
        <v>756552.51562600012</v>
      </c>
      <c r="H166" s="69" cm="1">
        <f t="array" aca="1" ref="H166" ca="1">IFERROR(IF(A166=A165,0,SUM(_xlfn._xlws.FILTER(E166:E176,(A166:A176=A166)*(E166:E176&gt;0)))),0)</f>
        <v>106193.93</v>
      </c>
      <c r="I166" s="69" cm="1">
        <f t="array" aca="1" ref="I166" ca="1">IFERROR(IF(A166=A165,0,SUM(_xlfn._xlws.FILTER(E166:E176,(A166:A176=A166)*(F166&lt;0)))),0)</f>
        <v>-141324.100274</v>
      </c>
      <c r="J166"/>
      <c r="K166"/>
      <c r="L166"/>
      <c r="M166"/>
      <c r="N166"/>
    </row>
    <row r="167" spans="1:14" hidden="1" x14ac:dyDescent="0.3">
      <c r="A167" s="64">
        <v>45709</v>
      </c>
      <c r="B167" s="5" t="s">
        <v>30</v>
      </c>
      <c r="C167" s="65">
        <v>100</v>
      </c>
      <c r="D167" s="66">
        <v>-706.6</v>
      </c>
      <c r="E167" s="67">
        <f ca="1">IFERROR(C167*D167*_xlfn.XLOOKUP(B167,[1]!TabCalc[Ticker],[1]!TabCalc[Scale]),0)</f>
        <v>-70660</v>
      </c>
      <c r="F167" s="68" cm="1">
        <f t="array" ref="F167">IF(A167=A166,0,SUM(_xlfn._xlws.FILTER(E167:E177,A167:A177=A167)))</f>
        <v>0</v>
      </c>
      <c r="G167" s="69">
        <f>IF(F167&lt;&gt;0,SUM($F$43:F167),0)</f>
        <v>0</v>
      </c>
      <c r="H167" s="69" cm="1">
        <f t="array" ref="H167">IFERROR(IF(A167=A166,0,SUM(_xlfn._xlws.FILTER(E167:E177,(A167:A177=A167)*(E167:E177&gt;0)))),0)</f>
        <v>0</v>
      </c>
      <c r="I167" s="69" cm="1">
        <f t="array" ref="I167">IFERROR(IF(A167=A166,0,SUM(_xlfn._xlws.FILTER(E167:E177,(A167:A177=A167)*(F167&lt;0)))),0)</f>
        <v>0</v>
      </c>
      <c r="J167"/>
      <c r="K167"/>
      <c r="L167"/>
      <c r="M167"/>
      <c r="N167"/>
    </row>
    <row r="168" spans="1:14" hidden="1" x14ac:dyDescent="0.3">
      <c r="A168" s="64">
        <v>45709</v>
      </c>
      <c r="B168" s="5" t="s">
        <v>32</v>
      </c>
      <c r="C168" s="65">
        <v>1000</v>
      </c>
      <c r="D168" s="66">
        <v>71.239999999999995</v>
      </c>
      <c r="E168" s="67">
        <f ca="1">IFERROR(C168*D168*_xlfn.XLOOKUP(B168,[1]!TabCalc[Ticker],[1]!TabCalc[Scale]),0)</f>
        <v>71240</v>
      </c>
      <c r="F168" s="68" cm="1">
        <f t="array" ref="F168">IF(A168=A167,0,SUM(_xlfn._xlws.FILTER(E168:E178,A168:A178=A168)))</f>
        <v>0</v>
      </c>
      <c r="G168" s="69">
        <f>IF(F168&lt;&gt;0,SUM($F$43:F168),0)</f>
        <v>0</v>
      </c>
      <c r="H168" s="69" cm="1">
        <f t="array" ref="H168">IFERROR(IF(A168=A167,0,SUM(_xlfn._xlws.FILTER(E168:E178,(A168:A178=A168)*(E168:E178&gt;0)))),0)</f>
        <v>0</v>
      </c>
      <c r="I168" s="69" cm="1">
        <f t="array" ref="I168">IFERROR(IF(A168=A167,0,SUM(_xlfn._xlws.FILTER(E168:E178,(A168:A178=A168)*(F168&lt;0)))),0)</f>
        <v>0</v>
      </c>
      <c r="J168"/>
      <c r="K168"/>
      <c r="L168"/>
      <c r="M168"/>
      <c r="N168"/>
    </row>
    <row r="169" spans="1:14" hidden="1" x14ac:dyDescent="0.3">
      <c r="A169" s="64">
        <v>45709</v>
      </c>
      <c r="B169" s="5" t="s">
        <v>85</v>
      </c>
      <c r="C169" s="65">
        <v>12058</v>
      </c>
      <c r="D169" s="66">
        <v>-1.0964529999999999</v>
      </c>
      <c r="E169" s="67">
        <f ca="1">IFERROR(C169*D169*_xlfn.XLOOKUP(B169,[1]!TabCalc[Ticker],[1]!TabCalc[Scale]),0)</f>
        <v>-13221.030273999999</v>
      </c>
      <c r="F169" s="68" cm="1">
        <f t="array" ref="F169">IF(A169=A168,0,SUM(_xlfn._xlws.FILTER(E169:E179,A169:A179=A169)))</f>
        <v>0</v>
      </c>
      <c r="G169" s="69">
        <f>IF(F169&lt;&gt;0,SUM($F$43:F169),0)</f>
        <v>0</v>
      </c>
      <c r="H169" s="69" cm="1">
        <f t="array" ref="H169">IFERROR(IF(A169=A168,0,SUM(_xlfn._xlws.FILTER(E169:E179,(A169:A179=A169)*(E169:E179&gt;0)))),0)</f>
        <v>0</v>
      </c>
      <c r="I169" s="69" cm="1">
        <f t="array" ref="I169">IFERROR(IF(A169=A168,0,SUM(_xlfn._xlws.FILTER(E169:E179,(A169:A179=A169)*(F169&lt;0)))),0)</f>
        <v>0</v>
      </c>
      <c r="J169"/>
      <c r="K169"/>
      <c r="L169"/>
      <c r="M169"/>
      <c r="N169"/>
    </row>
    <row r="170" spans="1:14" hidden="1" x14ac:dyDescent="0.3">
      <c r="A170" s="64">
        <v>45709</v>
      </c>
      <c r="B170" s="5" t="s">
        <v>88</v>
      </c>
      <c r="C170" s="65">
        <v>3000</v>
      </c>
      <c r="D170" s="66">
        <v>11.65131</v>
      </c>
      <c r="E170" s="67">
        <f ca="1">IFERROR(C170*D170*_xlfn.XLOOKUP(B170,[1]!TabCalc[Ticker],[1]!TabCalc[Scale]),0)</f>
        <v>34953.93</v>
      </c>
      <c r="F170" s="68" cm="1">
        <f t="array" ref="F170">IF(A170=A169,0,SUM(_xlfn._xlws.FILTER(E170:E180,A170:A180=A170)))</f>
        <v>0</v>
      </c>
      <c r="G170" s="69">
        <f>IF(F170&lt;&gt;0,SUM($F$43:F170),0)</f>
        <v>0</v>
      </c>
      <c r="H170" s="69" cm="1">
        <f t="array" ref="H170">IFERROR(IF(A170=A169,0,SUM(_xlfn._xlws.FILTER(E170:E180,(A170:A180=A170)*(E170:E180&gt;0)))),0)</f>
        <v>0</v>
      </c>
      <c r="I170" s="69" cm="1">
        <f t="array" ref="I170">IFERROR(IF(A170=A169,0,SUM(_xlfn._xlws.FILTER(E170:E180,(A170:A180=A170)*(F170&lt;0)))),0)</f>
        <v>0</v>
      </c>
      <c r="J170"/>
      <c r="K170"/>
      <c r="L170"/>
      <c r="M170"/>
      <c r="N170"/>
    </row>
    <row r="171" spans="1:14" hidden="1" x14ac:dyDescent="0.3">
      <c r="A171" s="64">
        <v>45709</v>
      </c>
      <c r="B171" s="5" t="s">
        <v>89</v>
      </c>
      <c r="C171" s="65">
        <v>4000</v>
      </c>
      <c r="D171" s="66">
        <v>-13.978</v>
      </c>
      <c r="E171" s="67">
        <f ca="1">IFERROR(C171*D171*_xlfn.XLOOKUP(B171,[1]!TabCalc[Ticker],[1]!TabCalc[Scale]),0)</f>
        <v>-55912</v>
      </c>
      <c r="F171" s="68" cm="1">
        <f t="array" ref="F171">IF(A171=A170,0,SUM(_xlfn._xlws.FILTER(E171:E181,A171:A181=A171)))</f>
        <v>0</v>
      </c>
      <c r="G171" s="69">
        <f>IF(F171&lt;&gt;0,SUM($F$43:F171),0)</f>
        <v>0</v>
      </c>
      <c r="H171" s="69" cm="1">
        <f t="array" ref="H171">IFERROR(IF(A171=A170,0,SUM(_xlfn._xlws.FILTER(E171:E181,(A171:A181=A171)*(E171:E181&gt;0)))),0)</f>
        <v>0</v>
      </c>
      <c r="I171" s="69" cm="1">
        <f t="array" ref="I171">IFERROR(IF(A171=A170,0,SUM(_xlfn._xlws.FILTER(E171:E181,(A171:A181=A171)*(F171&lt;0)))),0)</f>
        <v>0</v>
      </c>
      <c r="J171"/>
      <c r="K171"/>
      <c r="L171"/>
      <c r="M171"/>
      <c r="N171"/>
    </row>
    <row r="172" spans="1:14" hidden="1" x14ac:dyDescent="0.3">
      <c r="A172" s="70">
        <v>45712</v>
      </c>
      <c r="B172" s="71" t="s">
        <v>90</v>
      </c>
      <c r="C172" s="18">
        <v>499</v>
      </c>
      <c r="D172" s="19">
        <v>275.52499999999998</v>
      </c>
      <c r="E172" s="67">
        <f ca="1">IFERROR(C172*D172*_xlfn.XLOOKUP(B172,[1]!TabCalc[Ticker],[1]!TabCalc[Scale]),0)</f>
        <v>137486.97499999998</v>
      </c>
      <c r="F172" s="68" cm="1">
        <f t="array" aca="1" ref="F172" ca="1">IF(A172=A171,0,SUM(_xlfn._xlws.FILTER(E172:E182,A172:A182=A172)))</f>
        <v>360547.32499999995</v>
      </c>
      <c r="G172" s="69">
        <f ca="1">IF(F172&lt;&gt;0,SUM($F$43:F172),0)</f>
        <v>1117099.840626</v>
      </c>
      <c r="H172" s="69" cm="1">
        <f t="array" aca="1" ref="H172" ca="1">IFERROR(IF(A172=A171,0,SUM(_xlfn._xlws.FILTER(E172:E182,(A172:A182=A172)*(E172:E182&gt;0)))),0)</f>
        <v>551832.32499999995</v>
      </c>
      <c r="I172" s="69" cm="1">
        <f t="array" aca="1" ref="I172" ca="1">IFERROR(IF(A172=A171,0,SUM(_xlfn._xlws.FILTER(E172:E182,(A172:A182=A172)*(F172&lt;0)))),0)</f>
        <v>0</v>
      </c>
      <c r="J172"/>
      <c r="K172"/>
      <c r="L172"/>
      <c r="M172"/>
      <c r="N172"/>
    </row>
    <row r="173" spans="1:14" hidden="1" x14ac:dyDescent="0.3">
      <c r="A173" s="70">
        <v>45712</v>
      </c>
      <c r="B173" s="71" t="s">
        <v>91</v>
      </c>
      <c r="C173" s="18">
        <v>499</v>
      </c>
      <c r="D173" s="19">
        <v>275.64999999999998</v>
      </c>
      <c r="E173" s="67">
        <f ca="1">IFERROR(C173*D173*_xlfn.XLOOKUP(B173,[1]!TabCalc[Ticker],[1]!TabCalc[Scale]),0)</f>
        <v>137549.34999999998</v>
      </c>
      <c r="F173" s="68" cm="1">
        <f t="array" ref="F173">IF(A173=A172,0,SUM(_xlfn._xlws.FILTER(E173:E183,A173:A183=A173)))</f>
        <v>0</v>
      </c>
      <c r="G173" s="69">
        <f>IF(F173&lt;&gt;0,SUM($F$43:F173),0)</f>
        <v>0</v>
      </c>
      <c r="H173" s="69" cm="1">
        <f t="array" ref="H173">IFERROR(IF(A173=A172,0,SUM(_xlfn._xlws.FILTER(E173:E183,(A173:A183=A173)*(E173:E183&gt;0)))),0)</f>
        <v>0</v>
      </c>
      <c r="I173" s="69" cm="1">
        <f t="array" ref="I173">IFERROR(IF(A173=A172,0,SUM(_xlfn._xlws.FILTER(E173:E183,(A173:A183=A173)*(F173&lt;0)))),0)</f>
        <v>0</v>
      </c>
      <c r="J173"/>
      <c r="K173"/>
      <c r="L173"/>
      <c r="M173"/>
      <c r="N173"/>
    </row>
    <row r="174" spans="1:14" hidden="1" x14ac:dyDescent="0.3">
      <c r="A174" s="70">
        <v>45712</v>
      </c>
      <c r="B174" s="71" t="s">
        <v>75</v>
      </c>
      <c r="C174" s="18">
        <v>8000</v>
      </c>
      <c r="D174" s="19">
        <v>12.09</v>
      </c>
      <c r="E174" s="67">
        <f ca="1">IFERROR(C174*D174*_xlfn.XLOOKUP(B174,[1]!TabCalc[Ticker],[1]!TabCalc[Scale]),0)</f>
        <v>96720</v>
      </c>
      <c r="F174" s="68" cm="1">
        <f t="array" ref="F174">IF(A174=A173,0,SUM(_xlfn._xlws.FILTER(E174:E184,A174:A184=A174)))</f>
        <v>0</v>
      </c>
      <c r="G174" s="69">
        <f>IF(F174&lt;&gt;0,SUM($F$43:F174),0)</f>
        <v>0</v>
      </c>
      <c r="H174" s="69" cm="1">
        <f t="array" ref="H174">IFERROR(IF(A174=A173,0,SUM(_xlfn._xlws.FILTER(E174:E184,(A174:A184=A174)*(E174:E184&gt;0)))),0)</f>
        <v>0</v>
      </c>
      <c r="I174" s="69" cm="1">
        <f t="array" ref="I174">IFERROR(IF(A174=A173,0,SUM(_xlfn._xlws.FILTER(E174:E184,(A174:A184=A174)*(F174&lt;0)))),0)</f>
        <v>0</v>
      </c>
      <c r="J174"/>
      <c r="K174"/>
      <c r="L174"/>
      <c r="M174"/>
      <c r="N174"/>
    </row>
    <row r="175" spans="1:14" hidden="1" x14ac:dyDescent="0.3">
      <c r="A175" s="70">
        <v>45712</v>
      </c>
      <c r="B175" s="71" t="s">
        <v>92</v>
      </c>
      <c r="C175" s="18">
        <v>2990</v>
      </c>
      <c r="D175" s="19">
        <v>16.670000000000002</v>
      </c>
      <c r="E175" s="67">
        <f ca="1">IFERROR(C175*D175*_xlfn.XLOOKUP(B175,[1]!TabCalc[Ticker],[1]!TabCalc[Scale]),0)</f>
        <v>49843.3</v>
      </c>
      <c r="F175" s="68" cm="1">
        <f t="array" ref="F175">IF(A175=A174,0,SUM(_xlfn._xlws.FILTER(E175:E185,A175:A185=A175)))</f>
        <v>0</v>
      </c>
      <c r="G175" s="69">
        <f>IF(F175&lt;&gt;0,SUM($F$43:F175),0)</f>
        <v>0</v>
      </c>
      <c r="H175" s="69" cm="1">
        <f t="array" ref="H175">IFERROR(IF(A175=A174,0,SUM(_xlfn._xlws.FILTER(E175:E185,(A175:A185=A175)*(E175:E185&gt;0)))),0)</f>
        <v>0</v>
      </c>
      <c r="I175" s="69" cm="1">
        <f t="array" ref="I175">IFERROR(IF(A175=A174,0,SUM(_xlfn._xlws.FILTER(E175:E185,(A175:A185=A175)*(F175&lt;0)))),0)</f>
        <v>0</v>
      </c>
      <c r="J175"/>
      <c r="K175"/>
      <c r="L175"/>
      <c r="M175"/>
      <c r="N175"/>
    </row>
    <row r="176" spans="1:14" hidden="1" x14ac:dyDescent="0.3">
      <c r="A176" s="70">
        <v>45712</v>
      </c>
      <c r="B176" s="71" t="s">
        <v>82</v>
      </c>
      <c r="C176" s="18">
        <v>2000</v>
      </c>
      <c r="D176" s="19">
        <v>-43.7</v>
      </c>
      <c r="E176" s="67">
        <f ca="1">IFERROR(C176*D176*_xlfn.XLOOKUP(B176,[1]!TabCalc[Ticker],[1]!TabCalc[Scale]),0)</f>
        <v>-87400</v>
      </c>
      <c r="F176" s="68" cm="1">
        <f t="array" ref="F176">IF(A176=A175,0,SUM(_xlfn._xlws.FILTER(E176:E186,A176:A186=A176)))</f>
        <v>0</v>
      </c>
      <c r="G176" s="69">
        <f>IF(F176&lt;&gt;0,SUM($F$43:F176),0)</f>
        <v>0</v>
      </c>
      <c r="H176" s="69" cm="1">
        <f t="array" ref="H176">IFERROR(IF(A176=A175,0,SUM(_xlfn._xlws.FILTER(E176:E186,(A176:A186=A176)*(E176:E186&gt;0)))),0)</f>
        <v>0</v>
      </c>
      <c r="I176" s="69" cm="1">
        <f t="array" ref="I176">IFERROR(IF(A176=A175,0,SUM(_xlfn._xlws.FILTER(E176:E186,(A176:A186=A176)*(F176&lt;0)))),0)</f>
        <v>0</v>
      </c>
      <c r="J176"/>
      <c r="K176"/>
      <c r="L176"/>
      <c r="M176"/>
      <c r="N176"/>
    </row>
    <row r="177" spans="1:14" hidden="1" x14ac:dyDescent="0.3">
      <c r="A177" s="70">
        <v>45712</v>
      </c>
      <c r="B177" s="71" t="s">
        <v>60</v>
      </c>
      <c r="C177" s="18">
        <v>390</v>
      </c>
      <c r="D177" s="19">
        <v>333.93</v>
      </c>
      <c r="E177" s="67">
        <f ca="1">IFERROR(C177*D177*_xlfn.XLOOKUP(B177,[1]!TabCalc[Ticker],[1]!TabCalc[Scale]),0)</f>
        <v>130232.7</v>
      </c>
      <c r="F177" s="68" cm="1">
        <f t="array" ref="F177">IF(A177=A176,0,SUM(_xlfn._xlws.FILTER(E177:E187,A177:A187=A177)))</f>
        <v>0</v>
      </c>
      <c r="G177" s="69">
        <f>IF(F177&lt;&gt;0,SUM($F$43:F177),0)</f>
        <v>0</v>
      </c>
      <c r="H177" s="69" cm="1">
        <f t="array" ref="H177">IFERROR(IF(A177=A176,0,SUM(_xlfn._xlws.FILTER(E177:E187,(A177:A187=A177)*(E177:E187&gt;0)))),0)</f>
        <v>0</v>
      </c>
      <c r="I177" s="69" cm="1">
        <f t="array" ref="I177">IFERROR(IF(A177=A176,0,SUM(_xlfn._xlws.FILTER(E177:E187,(A177:A187=A177)*(F177&lt;0)))),0)</f>
        <v>0</v>
      </c>
      <c r="J177"/>
      <c r="K177"/>
      <c r="L177"/>
      <c r="M177"/>
      <c r="N177"/>
    </row>
    <row r="178" spans="1:14" hidden="1" x14ac:dyDescent="0.3">
      <c r="A178" s="70">
        <v>45712</v>
      </c>
      <c r="B178" s="71" t="s">
        <v>36</v>
      </c>
      <c r="C178" s="18">
        <v>500</v>
      </c>
      <c r="D178" s="19">
        <v>-207.77</v>
      </c>
      <c r="E178" s="67">
        <f ca="1">IFERROR(C178*D178*_xlfn.XLOOKUP(B178,[1]!TabCalc[Ticker],[1]!TabCalc[Scale]),0)</f>
        <v>-103885</v>
      </c>
      <c r="F178" s="68" cm="1">
        <f t="array" ref="F178">IF(A178=A177,0,SUM(_xlfn._xlws.FILTER(E178:E188,A178:A188=A178)))</f>
        <v>0</v>
      </c>
      <c r="G178" s="69">
        <f>IF(F178&lt;&gt;0,SUM($F$43:F178),0)</f>
        <v>0</v>
      </c>
      <c r="H178" s="69" cm="1">
        <f t="array" ref="H178">IFERROR(IF(A178=A177,0,SUM(_xlfn._xlws.FILTER(E178:E188,(A178:A188=A178)*(E178:E188&gt;0)))),0)</f>
        <v>0</v>
      </c>
      <c r="I178" s="69" cm="1">
        <f t="array" ref="I178">IFERROR(IF(A178=A177,0,SUM(_xlfn._xlws.FILTER(E178:E188,(A178:A188=A178)*(F178&lt;0)))),0)</f>
        <v>0</v>
      </c>
      <c r="J178"/>
      <c r="K178"/>
      <c r="L178"/>
      <c r="M178"/>
      <c r="N178"/>
    </row>
    <row r="179" spans="1:14" hidden="1" x14ac:dyDescent="0.3">
      <c r="A179" s="64">
        <v>45713</v>
      </c>
      <c r="B179" s="5" t="s">
        <v>36</v>
      </c>
      <c r="C179" s="65">
        <v>240</v>
      </c>
      <c r="D179" s="66">
        <v>-203.42583329999999</v>
      </c>
      <c r="E179" s="67">
        <f ca="1">IFERROR(C179*D179*_xlfn.XLOOKUP(B179,[1]!TabCalc[Ticker],[1]!TabCalc[Scale]),0)</f>
        <v>-48822.199992000002</v>
      </c>
      <c r="F179" s="68" cm="1">
        <f t="array" aca="1" ref="F179" ca="1">IF(A179=A178,0,SUM(_xlfn._xlws.FILTER(E179:E189,A179:A189=A179)))</f>
        <v>-937150.96999199991</v>
      </c>
      <c r="G179" s="69">
        <f ca="1">IF(F179&lt;&gt;0,SUM($F$43:F179),0)</f>
        <v>179948.87063400005</v>
      </c>
      <c r="H179" s="69" cm="1">
        <f t="array" aca="1" ref="H179" ca="1">IFERROR(IF(A179=A178,0,SUM(_xlfn._xlws.FILTER(E179:E189,(A179:A189=A179)*(E179:E189&gt;0)))),0)</f>
        <v>284248.55000000005</v>
      </c>
      <c r="I179" s="69" cm="1">
        <f t="array" aca="1" ref="I179" ca="1">IFERROR(IF(A179=A178,0,SUM(_xlfn._xlws.FILTER(E179:E189,(A179:A189=A179)*(F179&lt;0)))),0)</f>
        <v>-937150.96999199991</v>
      </c>
      <c r="J179"/>
      <c r="K179"/>
      <c r="L179"/>
      <c r="M179"/>
      <c r="N179"/>
    </row>
    <row r="180" spans="1:14" hidden="1" x14ac:dyDescent="0.3">
      <c r="A180" s="64">
        <v>45713</v>
      </c>
      <c r="B180" s="5" t="s">
        <v>56</v>
      </c>
      <c r="C180" s="65">
        <v>5000</v>
      </c>
      <c r="D180" s="66">
        <v>38.693710000000003</v>
      </c>
      <c r="E180" s="67">
        <f ca="1">IFERROR(C180*D180*_xlfn.XLOOKUP(B180,[1]!TabCalc[Ticker],[1]!TabCalc[Scale]),0)</f>
        <v>193468.55000000002</v>
      </c>
      <c r="F180" s="68" cm="1">
        <f t="array" ref="F180">IF(A180=A179,0,SUM(_xlfn._xlws.FILTER(E180:E190,A180:A190=A180)))</f>
        <v>0</v>
      </c>
      <c r="G180" s="69">
        <f>IF(F180&lt;&gt;0,SUM($F$43:F180),0)</f>
        <v>0</v>
      </c>
      <c r="H180" s="69" cm="1">
        <f t="array" ref="H180">IFERROR(IF(A180=A179,0,SUM(_xlfn._xlws.FILTER(E180:E190,(A180:A190=A180)*(E180:E190&gt;0)))),0)</f>
        <v>0</v>
      </c>
      <c r="I180" s="69" cm="1">
        <f t="array" ref="I180">IFERROR(IF(A180=A179,0,SUM(_xlfn._xlws.FILTER(E180:E190,(A180:A190=A180)*(F180&lt;0)))),0)</f>
        <v>0</v>
      </c>
      <c r="J180"/>
      <c r="K180"/>
      <c r="L180"/>
      <c r="M180"/>
      <c r="N180"/>
    </row>
    <row r="181" spans="1:14" hidden="1" x14ac:dyDescent="0.3">
      <c r="A181" s="64">
        <v>45713</v>
      </c>
      <c r="B181" s="5" t="s">
        <v>30</v>
      </c>
      <c r="C181" s="65">
        <v>300</v>
      </c>
      <c r="D181" s="66">
        <v>-690.9</v>
      </c>
      <c r="E181" s="67">
        <f ca="1">IFERROR(C181*D181*_xlfn.XLOOKUP(B181,[1]!TabCalc[Ticker],[1]!TabCalc[Scale]),0)</f>
        <v>-207270</v>
      </c>
      <c r="F181" s="68" cm="1">
        <f t="array" ref="F181">IF(A181=A180,0,SUM(_xlfn._xlws.FILTER(E181:E191,A181:A191=A181)))</f>
        <v>0</v>
      </c>
      <c r="G181" s="69">
        <f>IF(F181&lt;&gt;0,SUM($F$43:F181),0)</f>
        <v>0</v>
      </c>
      <c r="H181" s="69" cm="1">
        <f t="array" ref="H181">IFERROR(IF(A181=A180,0,SUM(_xlfn._xlws.FILTER(E181:E191,(A181:A191=A181)*(E181:E191&gt;0)))),0)</f>
        <v>0</v>
      </c>
      <c r="I181" s="69" cm="1">
        <f t="array" ref="I181">IFERROR(IF(A181=A180,0,SUM(_xlfn._xlws.FILTER(E181:E191,(A181:A191=A181)*(F181&lt;0)))),0)</f>
        <v>0</v>
      </c>
      <c r="J181"/>
      <c r="K181"/>
      <c r="L181"/>
      <c r="M181"/>
      <c r="N181"/>
    </row>
    <row r="182" spans="1:14" hidden="1" x14ac:dyDescent="0.3">
      <c r="A182" s="64">
        <v>45713</v>
      </c>
      <c r="B182" s="5" t="s">
        <v>69</v>
      </c>
      <c r="C182" s="65">
        <v>30000</v>
      </c>
      <c r="D182" s="66">
        <v>302.60000000000002</v>
      </c>
      <c r="E182" s="67">
        <f ca="1">IFERROR(C182*D182*_xlfn.XLOOKUP(B182,[1]!TabCalc[Ticker],[1]!TabCalc[Scale]),0)</f>
        <v>90780</v>
      </c>
      <c r="F182" s="68" cm="1">
        <f t="array" ref="F182">IF(A182=A181,0,SUM(_xlfn._xlws.FILTER(E182:E192,A182:A192=A182)))</f>
        <v>0</v>
      </c>
      <c r="G182" s="69">
        <f>IF(F182&lt;&gt;0,SUM($F$43:F182),0)</f>
        <v>0</v>
      </c>
      <c r="H182" s="69" cm="1">
        <f t="array" ref="H182">IFERROR(IF(A182=A181,0,SUM(_xlfn._xlws.FILTER(E182:E192,(A182:A192=A182)*(E182:E192&gt;0)))),0)</f>
        <v>0</v>
      </c>
      <c r="I182" s="69" cm="1">
        <f t="array" ref="I182">IFERROR(IF(A182=A181,0,SUM(_xlfn._xlws.FILTER(E182:E192,(A182:A192=A182)*(F182&lt;0)))),0)</f>
        <v>0</v>
      </c>
      <c r="J182"/>
      <c r="K182"/>
      <c r="L182"/>
      <c r="M182"/>
      <c r="N182"/>
    </row>
    <row r="183" spans="1:14" hidden="1" x14ac:dyDescent="0.3">
      <c r="A183" s="64">
        <v>45713</v>
      </c>
      <c r="B183" s="5" t="s">
        <v>61</v>
      </c>
      <c r="C183" s="65">
        <v>800</v>
      </c>
      <c r="D183" s="66">
        <v>-206.18340000000001</v>
      </c>
      <c r="E183" s="67">
        <f ca="1">IFERROR(C183*D183*_xlfn.XLOOKUP(B183,[1]!TabCalc[Ticker],[1]!TabCalc[Scale]),0)</f>
        <v>-164946.72</v>
      </c>
      <c r="F183" s="68" cm="1">
        <f t="array" ref="F183">IF(A183=A182,0,SUM(_xlfn._xlws.FILTER(E183:E193,A183:A193=A183)))</f>
        <v>0</v>
      </c>
      <c r="G183" s="69">
        <f>IF(F183&lt;&gt;0,SUM($F$43:F183),0)</f>
        <v>0</v>
      </c>
      <c r="H183" s="69" cm="1">
        <f t="array" ref="H183">IFERROR(IF(A183=A182,0,SUM(_xlfn._xlws.FILTER(E183:E193,(A183:A193=A183)*(E183:E193&gt;0)))),0)</f>
        <v>0</v>
      </c>
      <c r="I183" s="69" cm="1">
        <f t="array" ref="I183">IFERROR(IF(A183=A182,0,SUM(_xlfn._xlws.FILTER(E183:E193,(A183:A193=A183)*(F183&lt;0)))),0)</f>
        <v>0</v>
      </c>
      <c r="J183"/>
      <c r="K183"/>
      <c r="L183"/>
      <c r="M183"/>
      <c r="N183"/>
    </row>
    <row r="184" spans="1:14" hidden="1" x14ac:dyDescent="0.3">
      <c r="A184" s="64">
        <v>45713</v>
      </c>
      <c r="B184" s="5" t="s">
        <v>93</v>
      </c>
      <c r="C184" s="65">
        <v>2000</v>
      </c>
      <c r="D184" s="66">
        <v>-400.18029999999999</v>
      </c>
      <c r="E184" s="67">
        <f ca="1">IFERROR(C184*D184*_xlfn.XLOOKUP(B184,[1]!TabCalc[Ticker],[1]!TabCalc[Scale]),0)</f>
        <v>-800360.6</v>
      </c>
      <c r="F184" s="68" cm="1">
        <f t="array" ref="F184">IF(A184=A183,0,SUM(_xlfn._xlws.FILTER(E184:E194,A184:A194=A184)))</f>
        <v>0</v>
      </c>
      <c r="G184" s="69">
        <f>IF(F184&lt;&gt;0,SUM($F$43:F184),0)</f>
        <v>0</v>
      </c>
      <c r="H184" s="69" cm="1">
        <f t="array" ref="H184">IFERROR(IF(A184=A183,0,SUM(_xlfn._xlws.FILTER(E184:E194,(A184:A194=A184)*(E184:E194&gt;0)))),0)</f>
        <v>0</v>
      </c>
      <c r="I184" s="69" cm="1">
        <f t="array" ref="I184">IFERROR(IF(A184=A183,0,SUM(_xlfn._xlws.FILTER(E184:E194,(A184:A194=A184)*(F184&lt;0)))),0)</f>
        <v>0</v>
      </c>
      <c r="J184"/>
      <c r="K184"/>
      <c r="L184"/>
      <c r="M184"/>
      <c r="N184"/>
    </row>
    <row r="185" spans="1:14" hidden="1" x14ac:dyDescent="0.3">
      <c r="A185" s="70">
        <v>45714</v>
      </c>
      <c r="B185" s="71" t="s">
        <v>55</v>
      </c>
      <c r="C185" s="18">
        <v>300</v>
      </c>
      <c r="D185" s="19">
        <v>-240.34</v>
      </c>
      <c r="E185" s="67">
        <f ca="1">IFERROR(C185*D185*_xlfn.XLOOKUP(B185,[1]!TabCalc[Ticker],[1]!TabCalc[Scale]),0)</f>
        <v>-72102</v>
      </c>
      <c r="F185" s="68" cm="1">
        <f t="array" aca="1" ref="F185" ca="1">IF(A185=A184,0,SUM(_xlfn._xlws.FILTER(E185:E195,A185:A195=A185)))</f>
        <v>181614.23199999999</v>
      </c>
      <c r="G185" s="69">
        <f ca="1">IF(F185&lt;&gt;0,SUM($F$43:F185),0)</f>
        <v>361563.10263400001</v>
      </c>
      <c r="H185" s="69" cm="1">
        <f t="array" aca="1" ref="H185" ca="1">IFERROR(IF(A185=A184,0,SUM(_xlfn._xlws.FILTER(E185:E195,(A185:A195=A185)*(E185:E195&gt;0)))),0)</f>
        <v>308616.23199999996</v>
      </c>
      <c r="I185" s="69" cm="1">
        <f t="array" aca="1" ref="I185" ca="1">IFERROR(IF(A185=A184,0,SUM(_xlfn._xlws.FILTER(E185:E195,(A185:A195=A185)*(F185&lt;0)))),0)</f>
        <v>0</v>
      </c>
      <c r="J185"/>
      <c r="K185"/>
      <c r="L185"/>
      <c r="M185"/>
      <c r="N185"/>
    </row>
    <row r="186" spans="1:14" hidden="1" x14ac:dyDescent="0.3">
      <c r="A186" s="70">
        <v>45714</v>
      </c>
      <c r="B186" s="71" t="s">
        <v>67</v>
      </c>
      <c r="C186" s="18">
        <v>15000</v>
      </c>
      <c r="D186" s="19">
        <v>-3.66</v>
      </c>
      <c r="E186" s="67">
        <f ca="1">IFERROR(C186*D186*_xlfn.XLOOKUP(B186,[1]!TabCalc[Ticker],[1]!TabCalc[Scale]),0)</f>
        <v>-54900</v>
      </c>
      <c r="F186" s="68" cm="1">
        <f t="array" ref="F186">IF(A186=A185,0,SUM(_xlfn._xlws.FILTER(E186:E196,A186:A196=A186)))</f>
        <v>0</v>
      </c>
      <c r="G186" s="69">
        <f>IF(F186&lt;&gt;0,SUM($F$43:F186),0)</f>
        <v>0</v>
      </c>
      <c r="H186" s="69" cm="1">
        <f t="array" ref="H186">IFERROR(IF(A186=A185,0,SUM(_xlfn._xlws.FILTER(E186:E196,(A186:A196=A186)*(E186:E196&gt;0)))),0)</f>
        <v>0</v>
      </c>
      <c r="I186" s="69" cm="1">
        <f t="array" ref="I186">IFERROR(IF(A186=A185,0,SUM(_xlfn._xlws.FILTER(E186:E196,(A186:A196=A186)*(F186&lt;0)))),0)</f>
        <v>0</v>
      </c>
      <c r="J186"/>
      <c r="K186"/>
      <c r="L186"/>
      <c r="M186"/>
      <c r="N186"/>
    </row>
    <row r="187" spans="1:14" hidden="1" x14ac:dyDescent="0.3">
      <c r="A187" s="70">
        <v>45714</v>
      </c>
      <c r="B187" s="71" t="s">
        <v>40</v>
      </c>
      <c r="C187" s="18">
        <v>4000</v>
      </c>
      <c r="D187" s="19">
        <v>20.287958</v>
      </c>
      <c r="E187" s="67">
        <f ca="1">IFERROR(C187*D187*_xlfn.XLOOKUP(B187,[1]!TabCalc[Ticker],[1]!TabCalc[Scale]),0)</f>
        <v>81151.831999999995</v>
      </c>
      <c r="F187" s="68" cm="1">
        <f t="array" ref="F187">IF(A187=A186,0,SUM(_xlfn._xlws.FILTER(E187:E197,A187:A197=A187)))</f>
        <v>0</v>
      </c>
      <c r="G187" s="69">
        <f>IF(F187&lt;&gt;0,SUM($F$43:F187),0)</f>
        <v>0</v>
      </c>
      <c r="H187" s="69" cm="1">
        <f t="array" ref="H187">IFERROR(IF(A187=A186,0,SUM(_xlfn._xlws.FILTER(E187:E197,(A187:A197=A187)*(E187:E197&gt;0)))),0)</f>
        <v>0</v>
      </c>
      <c r="I187" s="69" cm="1">
        <f t="array" ref="I187">IFERROR(IF(A187=A186,0,SUM(_xlfn._xlws.FILTER(E187:E197,(A187:A197=A187)*(F187&lt;0)))),0)</f>
        <v>0</v>
      </c>
      <c r="J187"/>
      <c r="K187"/>
      <c r="L187"/>
      <c r="M187"/>
      <c r="N187"/>
    </row>
    <row r="188" spans="1:14" hidden="1" x14ac:dyDescent="0.3">
      <c r="A188" s="70">
        <v>45714</v>
      </c>
      <c r="B188" s="71" t="s">
        <v>49</v>
      </c>
      <c r="C188" s="18">
        <v>4000</v>
      </c>
      <c r="D188" s="19">
        <v>30.52</v>
      </c>
      <c r="E188" s="67">
        <f ca="1">IFERROR(C188*D188*_xlfn.XLOOKUP(B188,[1]!TabCalc[Ticker],[1]!TabCalc[Scale]),0)</f>
        <v>122080</v>
      </c>
      <c r="F188" s="68" cm="1">
        <f t="array" ref="F188">IF(A188=A187,0,SUM(_xlfn._xlws.FILTER(E188:E198,A188:A198=A188)))</f>
        <v>0</v>
      </c>
      <c r="G188" s="69">
        <f>IF(F188&lt;&gt;0,SUM($F$43:F188),0)</f>
        <v>0</v>
      </c>
      <c r="H188" s="69" cm="1">
        <f t="array" ref="H188">IFERROR(IF(A188=A187,0,SUM(_xlfn._xlws.FILTER(E188:E198,(A188:A198=A188)*(E188:E198&gt;0)))),0)</f>
        <v>0</v>
      </c>
      <c r="I188" s="69" cm="1">
        <f t="array" ref="I188">IFERROR(IF(A188=A187,0,SUM(_xlfn._xlws.FILTER(E188:E198,(A188:A198=A188)*(F188&lt;0)))),0)</f>
        <v>0</v>
      </c>
      <c r="J188"/>
      <c r="K188"/>
      <c r="L188"/>
      <c r="M188"/>
      <c r="N188"/>
    </row>
    <row r="189" spans="1:14" hidden="1" x14ac:dyDescent="0.3">
      <c r="A189" s="70">
        <v>45714</v>
      </c>
      <c r="B189" s="71" t="s">
        <v>88</v>
      </c>
      <c r="C189" s="18">
        <v>2990</v>
      </c>
      <c r="D189" s="19">
        <v>12.56</v>
      </c>
      <c r="E189" s="67">
        <f ca="1">IFERROR(C189*D189*_xlfn.XLOOKUP(B189,[1]!TabCalc[Ticker],[1]!TabCalc[Scale]),0)</f>
        <v>37554.400000000001</v>
      </c>
      <c r="F189" s="68" cm="1">
        <f t="array" ref="F189">IF(A189=A188,0,SUM(_xlfn._xlws.FILTER(E189:E199,A189:A199=A189)))</f>
        <v>0</v>
      </c>
      <c r="G189" s="69">
        <f>IF(F189&lt;&gt;0,SUM($F$43:F189),0)</f>
        <v>0</v>
      </c>
      <c r="H189" s="69" cm="1">
        <f t="array" ref="H189">IFERROR(IF(A189=A188,0,SUM(_xlfn._xlws.FILTER(E189:E199,(A189:A199=A189)*(E189:E199&gt;0)))),0)</f>
        <v>0</v>
      </c>
      <c r="I189" s="69" cm="1">
        <f t="array" ref="I189">IFERROR(IF(A189=A188,0,SUM(_xlfn._xlws.FILTER(E189:E199,(A189:A199=A189)*(F189&lt;0)))),0)</f>
        <v>0</v>
      </c>
      <c r="J189"/>
      <c r="K189"/>
      <c r="L189"/>
      <c r="M189"/>
      <c r="N189"/>
    </row>
    <row r="190" spans="1:14" hidden="1" x14ac:dyDescent="0.3">
      <c r="A190" s="70">
        <v>45714</v>
      </c>
      <c r="B190" s="71" t="s">
        <v>47</v>
      </c>
      <c r="C190" s="18">
        <v>6000</v>
      </c>
      <c r="D190" s="19">
        <v>11.305</v>
      </c>
      <c r="E190" s="67">
        <f ca="1">IFERROR(C190*D190*_xlfn.XLOOKUP(B190,[1]!TabCalc[Ticker],[1]!TabCalc[Scale]),0)</f>
        <v>67830</v>
      </c>
      <c r="F190" s="68" cm="1">
        <f t="array" ref="F190">IF(A190=A189,0,SUM(_xlfn._xlws.FILTER(E190:E200,A190:A200=A190)))</f>
        <v>0</v>
      </c>
      <c r="G190" s="69">
        <f>IF(F190&lt;&gt;0,SUM($F$43:F190),0)</f>
        <v>0</v>
      </c>
      <c r="H190" s="69" cm="1">
        <f t="array" ref="H190">IFERROR(IF(A190=A189,0,SUM(_xlfn._xlws.FILTER(E190:E200,(A190:A200=A190)*(E190:E200&gt;0)))),0)</f>
        <v>0</v>
      </c>
      <c r="I190" s="69" cm="1">
        <f t="array" ref="I190">IFERROR(IF(A190=A189,0,SUM(_xlfn._xlws.FILTER(E190:E200,(A190:A200=A190)*(F190&lt;0)))),0)</f>
        <v>0</v>
      </c>
      <c r="J190"/>
      <c r="K190"/>
      <c r="L190"/>
      <c r="M190"/>
      <c r="N190"/>
    </row>
    <row r="191" spans="1:14" hidden="1" x14ac:dyDescent="0.3">
      <c r="A191" s="64">
        <v>45715</v>
      </c>
      <c r="B191" s="5" t="s">
        <v>94</v>
      </c>
      <c r="C191" s="65">
        <v>5000</v>
      </c>
      <c r="D191" s="66">
        <v>12.49</v>
      </c>
      <c r="E191" s="67">
        <f ca="1">IFERROR(C191*D191*_xlfn.XLOOKUP(B191,[1]!TabCalc[Ticker],[1]!TabCalc[Scale]),0)</f>
        <v>62450</v>
      </c>
      <c r="F191" s="68" cm="1">
        <f t="array" aca="1" ref="F191" ca="1">IF(A191=A190,0,SUM(_xlfn._xlws.FILTER(E191:E201,A191:A201=A191)))</f>
        <v>246702.07050000003</v>
      </c>
      <c r="G191" s="69">
        <f ca="1">IF(F191&lt;&gt;0,SUM($F$43:F191),0)</f>
        <v>608265.17313400004</v>
      </c>
      <c r="H191" s="69" cm="1">
        <f t="array" aca="1" ref="H191" ca="1">IFERROR(IF(A191=A190,0,SUM(_xlfn._xlws.FILTER(E191:E201,(A191:A201=A191)*(E191:E201&gt;0)))),0)</f>
        <v>246702.07050000003</v>
      </c>
      <c r="I191" s="69" cm="1">
        <f t="array" aca="1" ref="I191" ca="1">IFERROR(IF(A191=A190,0,SUM(_xlfn._xlws.FILTER(E191:E201,(A191:A201=A191)*(F191&lt;0)))),0)</f>
        <v>0</v>
      </c>
      <c r="J191"/>
      <c r="K191"/>
      <c r="L191"/>
      <c r="M191"/>
      <c r="N191"/>
    </row>
    <row r="192" spans="1:14" hidden="1" x14ac:dyDescent="0.3">
      <c r="A192" s="64">
        <v>45715</v>
      </c>
      <c r="B192" s="5" t="s">
        <v>48</v>
      </c>
      <c r="C192" s="65">
        <v>6000</v>
      </c>
      <c r="D192" s="66">
        <v>11.42</v>
      </c>
      <c r="E192" s="67">
        <f ca="1">IFERROR(C192*D192*_xlfn.XLOOKUP(B192,[1]!TabCalc[Ticker],[1]!TabCalc[Scale]),0)</f>
        <v>68520</v>
      </c>
      <c r="F192" s="68" cm="1">
        <f t="array" ref="F192">IF(A192=A191,0,SUM(_xlfn._xlws.FILTER(E192:E202,A192:A202=A192)))</f>
        <v>0</v>
      </c>
      <c r="G192" s="69">
        <f>IF(F192&lt;&gt;0,SUM($F$43:F192),0)</f>
        <v>0</v>
      </c>
      <c r="H192" s="69" cm="1">
        <f t="array" ref="H192">IFERROR(IF(A192=A191,0,SUM(_xlfn._xlws.FILTER(E192:E202,(A192:A202=A192)*(E192:E202&gt;0)))),0)</f>
        <v>0</v>
      </c>
      <c r="I192" s="69" cm="1">
        <f t="array" ref="I192">IFERROR(IF(A192=A191,0,SUM(_xlfn._xlws.FILTER(E192:E202,(A192:A202=A192)*(F192&lt;0)))),0)</f>
        <v>0</v>
      </c>
      <c r="J192"/>
      <c r="K192"/>
      <c r="L192"/>
      <c r="M192"/>
      <c r="N192"/>
    </row>
    <row r="193" spans="1:14" hidden="1" x14ac:dyDescent="0.3">
      <c r="A193" s="64">
        <v>45715</v>
      </c>
      <c r="B193" s="5" t="s">
        <v>72</v>
      </c>
      <c r="C193" s="65">
        <v>350</v>
      </c>
      <c r="D193" s="66">
        <v>44.298769999999998</v>
      </c>
      <c r="E193" s="67">
        <f ca="1">IFERROR(C193*D193*_xlfn.XLOOKUP(B193,[1]!TabCalc[Ticker],[1]!TabCalc[Scale]),0)</f>
        <v>15504.5695</v>
      </c>
      <c r="F193" s="68" cm="1">
        <f t="array" ref="F193">IF(A193=A192,0,SUM(_xlfn._xlws.FILTER(E193:E203,A193:A203=A193)))</f>
        <v>0</v>
      </c>
      <c r="G193" s="69">
        <f>IF(F193&lt;&gt;0,SUM($F$43:F193),0)</f>
        <v>0</v>
      </c>
      <c r="H193" s="69" cm="1">
        <f t="array" ref="H193">IFERROR(IF(A193=A192,0,SUM(_xlfn._xlws.FILTER(E193:E203,(A193:A203=A193)*(E193:E203&gt;0)))),0)</f>
        <v>0</v>
      </c>
      <c r="I193" s="69" cm="1">
        <f t="array" ref="I193">IFERROR(IF(A193=A192,0,SUM(_xlfn._xlws.FILTER(E193:E203,(A193:A203=A193)*(F193&lt;0)))),0)</f>
        <v>0</v>
      </c>
      <c r="J193"/>
      <c r="K193"/>
      <c r="L193"/>
      <c r="M193"/>
      <c r="N193"/>
    </row>
    <row r="194" spans="1:14" hidden="1" x14ac:dyDescent="0.3">
      <c r="A194" s="64">
        <v>45715</v>
      </c>
      <c r="B194" s="5" t="s">
        <v>69</v>
      </c>
      <c r="C194" s="65">
        <v>30000</v>
      </c>
      <c r="D194" s="66">
        <v>334.09167000000002</v>
      </c>
      <c r="E194" s="67">
        <f ca="1">IFERROR(C194*D194*_xlfn.XLOOKUP(B194,[1]!TabCalc[Ticker],[1]!TabCalc[Scale]),0)</f>
        <v>100227.50100000002</v>
      </c>
      <c r="F194" s="68" cm="1">
        <f t="array" ref="F194">IF(A194=A193,0,SUM(_xlfn._xlws.FILTER(E194:E204,A194:A204=A194)))</f>
        <v>0</v>
      </c>
      <c r="G194" s="69">
        <f>IF(F194&lt;&gt;0,SUM($F$43:F194),0)</f>
        <v>0</v>
      </c>
      <c r="H194" s="69" cm="1">
        <f t="array" ref="H194">IFERROR(IF(A194=A193,0,SUM(_xlfn._xlws.FILTER(E194:E204,(A194:A204=A194)*(E194:E204&gt;0)))),0)</f>
        <v>0</v>
      </c>
      <c r="I194" s="69" cm="1">
        <f t="array" ref="I194">IFERROR(IF(A194=A193,0,SUM(_xlfn._xlws.FILTER(E194:E204,(A194:A204=A194)*(F194&lt;0)))),0)</f>
        <v>0</v>
      </c>
      <c r="J194"/>
      <c r="K194"/>
      <c r="L194"/>
      <c r="M194"/>
      <c r="N194"/>
    </row>
    <row r="195" spans="1:14" hidden="1" x14ac:dyDescent="0.3">
      <c r="A195" s="70">
        <v>45716</v>
      </c>
      <c r="B195" s="71" t="s">
        <v>65</v>
      </c>
      <c r="C195" s="18">
        <v>15000</v>
      </c>
      <c r="D195" s="19">
        <v>-1.2</v>
      </c>
      <c r="E195" s="67">
        <f ca="1">IFERROR(C195*D195*_xlfn.XLOOKUP(B195,[1]!TabCalc[Ticker],[1]!TabCalc[Scale]),0)</f>
        <v>-18000</v>
      </c>
      <c r="F195" s="68" cm="1">
        <f t="array" aca="1" ref="F195" ca="1">IF(A195=A194,0,SUM(_xlfn._xlws.FILTER(E195:E205,A195:A205=A195)))</f>
        <v>-41258.44</v>
      </c>
      <c r="G195" s="69">
        <f ca="1">IF(F195&lt;&gt;0,SUM($F$43:F195),0)</f>
        <v>567006.7331340001</v>
      </c>
      <c r="H195" s="69" cm="1">
        <f t="array" aca="1" ref="H195" ca="1">IFERROR(IF(A195=A194,0,SUM(_xlfn._xlws.FILTER(E195:E205,(A195:A205=A195)*(E195:E205&gt;0)))),0)</f>
        <v>99472.950000000012</v>
      </c>
      <c r="I195" s="69" cm="1">
        <f t="array" aca="1" ref="I195" ca="1">IFERROR(IF(A195=A194,0,SUM(_xlfn._xlws.FILTER(E195:E205,(A195:A205=A195)*(F195&lt;0)))),0)</f>
        <v>-41258.44</v>
      </c>
      <c r="J195"/>
      <c r="K195"/>
      <c r="L195"/>
      <c r="M195"/>
      <c r="N195"/>
    </row>
    <row r="196" spans="1:14" hidden="1" x14ac:dyDescent="0.3">
      <c r="A196" s="70">
        <v>45716</v>
      </c>
      <c r="B196" s="71" t="s">
        <v>69</v>
      </c>
      <c r="C196" s="18">
        <v>10000</v>
      </c>
      <c r="D196" s="19">
        <v>351.42950000000002</v>
      </c>
      <c r="E196" s="67">
        <f ca="1">IFERROR(C196*D196*_xlfn.XLOOKUP(B196,[1]!TabCalc[Ticker],[1]!TabCalc[Scale]),0)</f>
        <v>35142.950000000004</v>
      </c>
      <c r="F196" s="68" cm="1">
        <f t="array" ref="F196">IF(A196=A195,0,SUM(_xlfn._xlws.FILTER(E196:E206,A196:A206=A196)))</f>
        <v>0</v>
      </c>
      <c r="G196" s="69">
        <f>IF(F196&lt;&gt;0,SUM($F$43:F196),0)</f>
        <v>0</v>
      </c>
      <c r="H196" s="69" cm="1">
        <f t="array" ref="H196">IFERROR(IF(A196=A195,0,SUM(_xlfn._xlws.FILTER(E196:E206,(A196:A206=A196)*(E196:E206&gt;0)))),0)</f>
        <v>0</v>
      </c>
      <c r="I196" s="69" cm="1">
        <f t="array" ref="I196">IFERROR(IF(A196=A195,0,SUM(_xlfn._xlws.FILTER(E196:E206,(A196:A206=A196)*(F196&lt;0)))),0)</f>
        <v>0</v>
      </c>
      <c r="J196"/>
      <c r="K196"/>
      <c r="L196"/>
      <c r="M196"/>
      <c r="N196"/>
    </row>
    <row r="197" spans="1:14" hidden="1" x14ac:dyDescent="0.3">
      <c r="A197" s="70">
        <v>45716</v>
      </c>
      <c r="B197" s="71" t="s">
        <v>85</v>
      </c>
      <c r="C197" s="18">
        <v>20000</v>
      </c>
      <c r="D197" s="19">
        <v>-1.01</v>
      </c>
      <c r="E197" s="67">
        <f ca="1">IFERROR(C197*D197*_xlfn.XLOOKUP(B197,[1]!TabCalc[Ticker],[1]!TabCalc[Scale]),0)</f>
        <v>-20200</v>
      </c>
      <c r="F197" s="68" cm="1">
        <f t="array" ref="F197">IF(A197=A196,0,SUM(_xlfn._xlws.FILTER(E197:E207,A197:A207=A197)))</f>
        <v>0</v>
      </c>
      <c r="G197" s="69">
        <f>IF(F197&lt;&gt;0,SUM($F$43:F197),0)</f>
        <v>0</v>
      </c>
      <c r="H197" s="69" cm="1">
        <f t="array" ref="H197">IFERROR(IF(A197=A196,0,SUM(_xlfn._xlws.FILTER(E197:E207,(A197:A207=A197)*(E197:E207&gt;0)))),0)</f>
        <v>0</v>
      </c>
      <c r="I197" s="69" cm="1">
        <f t="array" ref="I197">IFERROR(IF(A197=A196,0,SUM(_xlfn._xlws.FILTER(E197:E207,(A197:A207=A197)*(F197&lt;0)))),0)</f>
        <v>0</v>
      </c>
      <c r="J197"/>
      <c r="K197"/>
      <c r="L197"/>
      <c r="M197"/>
      <c r="N197"/>
    </row>
    <row r="198" spans="1:14" hidden="1" x14ac:dyDescent="0.3">
      <c r="A198" s="70">
        <v>45716</v>
      </c>
      <c r="B198" s="71" t="s">
        <v>46</v>
      </c>
      <c r="C198" s="18">
        <v>150</v>
      </c>
      <c r="D198" s="19">
        <v>-683.54259999999999</v>
      </c>
      <c r="E198" s="67">
        <f ca="1">IFERROR(C198*D198*_xlfn.XLOOKUP(B198,[1]!TabCalc[Ticker],[1]!TabCalc[Scale]),0)</f>
        <v>-102531.39</v>
      </c>
      <c r="F198" s="68" cm="1">
        <f t="array" ref="F198">IF(A198=A197,0,SUM(_xlfn._xlws.FILTER(E198:E208,A198:A208=A198)))</f>
        <v>0</v>
      </c>
      <c r="G198" s="69">
        <f>IF(F198&lt;&gt;0,SUM($F$43:F198),0)</f>
        <v>0</v>
      </c>
      <c r="H198" s="69" cm="1">
        <f t="array" ref="H198">IFERROR(IF(A198=A197,0,SUM(_xlfn._xlws.FILTER(E198:E208,(A198:A208=A198)*(E198:E208&gt;0)))),0)</f>
        <v>0</v>
      </c>
      <c r="I198" s="69" cm="1">
        <f t="array" ref="I198">IFERROR(IF(A198=A197,0,SUM(_xlfn._xlws.FILTER(E198:E208,(A198:A208=A198)*(F198&lt;0)))),0)</f>
        <v>0</v>
      </c>
      <c r="J198"/>
      <c r="K198"/>
      <c r="L198"/>
      <c r="M198"/>
      <c r="N198"/>
    </row>
    <row r="199" spans="1:14" hidden="1" x14ac:dyDescent="0.3">
      <c r="A199" s="70">
        <v>45716</v>
      </c>
      <c r="B199" s="71" t="s">
        <v>37</v>
      </c>
      <c r="C199" s="18">
        <v>1000</v>
      </c>
      <c r="D199" s="19">
        <v>64.33</v>
      </c>
      <c r="E199" s="67">
        <f ca="1">IFERROR(C199*D199*_xlfn.XLOOKUP(B199,[1]!TabCalc[Ticker],[1]!TabCalc[Scale]),0)</f>
        <v>64330</v>
      </c>
      <c r="F199" s="68" cm="1">
        <f t="array" ref="F199">IF(A199=A198,0,SUM(_xlfn._xlws.FILTER(E199:E209,A199:A209=A199)))</f>
        <v>0</v>
      </c>
      <c r="G199" s="69">
        <f>IF(F199&lt;&gt;0,SUM($F$43:F199),0)</f>
        <v>0</v>
      </c>
      <c r="H199" s="69" cm="1">
        <f t="array" ref="H199">IFERROR(IF(A199=A198,0,SUM(_xlfn._xlws.FILTER(E199:E209,(A199:A209=A199)*(E199:E209&gt;0)))),0)</f>
        <v>0</v>
      </c>
      <c r="I199" s="69" cm="1">
        <f t="array" ref="I199">IFERROR(IF(A199=A198,0,SUM(_xlfn._xlws.FILTER(E199:E209,(A199:A209=A199)*(F199&lt;0)))),0)</f>
        <v>0</v>
      </c>
      <c r="J199"/>
      <c r="K199"/>
      <c r="L199"/>
      <c r="M199"/>
      <c r="N199"/>
    </row>
    <row r="200" spans="1:14" hidden="1" x14ac:dyDescent="0.3">
      <c r="A200" s="64">
        <v>45719</v>
      </c>
      <c r="B200" s="5" t="s">
        <v>69</v>
      </c>
      <c r="C200" s="65">
        <v>20000</v>
      </c>
      <c r="D200" s="66">
        <v>344.03</v>
      </c>
      <c r="E200" s="67">
        <f ca="1">IFERROR(C200*D200*_xlfn.XLOOKUP(B200,[1]!TabCalc[Ticker],[1]!TabCalc[Scale]),0)</f>
        <v>68805.999999999985</v>
      </c>
      <c r="F200" s="68" cm="1">
        <f t="array" aca="1" ref="F200" ca="1">IF(A200=A199,0,SUM(_xlfn._xlws.FILTER(E200:E210,A200:A210=A200)))</f>
        <v>186431.2</v>
      </c>
      <c r="G200" s="69">
        <f ca="1">IF(F200&lt;&gt;0,SUM($F$43:F200),0)</f>
        <v>753437.93313400005</v>
      </c>
      <c r="H200" s="69" cm="1">
        <f t="array" aca="1" ref="H200" ca="1">IFERROR(IF(A200=A199,0,SUM(_xlfn._xlws.FILTER(E200:E210,(A200:A210=A200)*(E200:E210&gt;0)))),0)</f>
        <v>350821.2</v>
      </c>
      <c r="I200" s="69" cm="1">
        <f t="array" aca="1" ref="I200" ca="1">IFERROR(IF(A200=A199,0,SUM(_xlfn._xlws.FILTER(E200:E210,(A200:A210=A200)*(F200&lt;0)))),0)</f>
        <v>0</v>
      </c>
      <c r="J200"/>
      <c r="K200"/>
      <c r="L200"/>
      <c r="M200"/>
      <c r="N200"/>
    </row>
    <row r="201" spans="1:14" hidden="1" x14ac:dyDescent="0.3">
      <c r="A201" s="64">
        <v>45719</v>
      </c>
      <c r="B201" s="5" t="s">
        <v>93</v>
      </c>
      <c r="C201" s="65">
        <v>200</v>
      </c>
      <c r="D201" s="66">
        <v>-395.34</v>
      </c>
      <c r="E201" s="67">
        <f ca="1">IFERROR(C201*D201*_xlfn.XLOOKUP(B201,[1]!TabCalc[Ticker],[1]!TabCalc[Scale]),0)</f>
        <v>-79068</v>
      </c>
      <c r="F201" s="68" cm="1">
        <f t="array" ref="F201">IF(A201=A200,0,SUM(_xlfn._xlws.FILTER(E201:E211,A201:A211=A201)))</f>
        <v>0</v>
      </c>
      <c r="G201" s="69">
        <f>IF(F201&lt;&gt;0,SUM($F$43:F201),0)</f>
        <v>0</v>
      </c>
      <c r="H201" s="69" cm="1">
        <f t="array" ref="H201">IFERROR(IF(A201=A200,0,SUM(_xlfn._xlws.FILTER(E201:E211,(A201:A211=A201)*(E201:E211&gt;0)))),0)</f>
        <v>0</v>
      </c>
      <c r="I201" s="69" cm="1">
        <f t="array" ref="I201">IFERROR(IF(A201=A200,0,SUM(_xlfn._xlws.FILTER(E201:E211,(A201:A211=A201)*(F201&lt;0)))),0)</f>
        <v>0</v>
      </c>
      <c r="J201"/>
      <c r="K201"/>
      <c r="L201"/>
      <c r="M201"/>
      <c r="N201"/>
    </row>
    <row r="202" spans="1:14" hidden="1" x14ac:dyDescent="0.3">
      <c r="A202" s="64">
        <v>45719</v>
      </c>
      <c r="B202" s="5" t="s">
        <v>95</v>
      </c>
      <c r="C202" s="65">
        <v>200</v>
      </c>
      <c r="D202" s="66">
        <v>982.61</v>
      </c>
      <c r="E202" s="67">
        <f ca="1">IFERROR(C202*D202*_xlfn.XLOOKUP(B202,[1]!TabCalc[Ticker],[1]!TabCalc[Scale]),0)</f>
        <v>196522</v>
      </c>
      <c r="F202" s="68" cm="1">
        <f t="array" ref="F202">IF(A202=A201,0,SUM(_xlfn._xlws.FILTER(E202:E212,A202:A212=A202)))</f>
        <v>0</v>
      </c>
      <c r="G202" s="69">
        <f>IF(F202&lt;&gt;0,SUM($F$43:F202),0)</f>
        <v>0</v>
      </c>
      <c r="H202" s="69" cm="1">
        <f t="array" ref="H202">IFERROR(IF(A202=A201,0,SUM(_xlfn._xlws.FILTER(E202:E212,(A202:A212=A202)*(E202:E212&gt;0)))),0)</f>
        <v>0</v>
      </c>
      <c r="I202" s="69" cm="1">
        <f t="array" ref="I202">IFERROR(IF(A202=A201,0,SUM(_xlfn._xlws.FILTER(E202:E212,(A202:A212=A202)*(F202&lt;0)))),0)</f>
        <v>0</v>
      </c>
      <c r="J202"/>
      <c r="K202"/>
      <c r="L202"/>
      <c r="M202"/>
      <c r="N202"/>
    </row>
    <row r="203" spans="1:14" hidden="1" x14ac:dyDescent="0.3">
      <c r="A203" s="64">
        <v>45719</v>
      </c>
      <c r="B203" s="5" t="s">
        <v>96</v>
      </c>
      <c r="C203" s="65">
        <v>7000</v>
      </c>
      <c r="D203" s="66">
        <v>-3.78</v>
      </c>
      <c r="E203" s="67">
        <f ca="1">IFERROR(C203*D203*_xlfn.XLOOKUP(B203,[1]!TabCalc[Ticker],[1]!TabCalc[Scale]),0)</f>
        <v>-26460</v>
      </c>
      <c r="F203" s="68" cm="1">
        <f t="array" ref="F203">IF(A203=A202,0,SUM(_xlfn._xlws.FILTER(E203:E213,A203:A213=A203)))</f>
        <v>0</v>
      </c>
      <c r="G203" s="69">
        <f>IF(F203&lt;&gt;0,SUM($F$43:F203),0)</f>
        <v>0</v>
      </c>
      <c r="H203" s="69" cm="1">
        <f t="array" ref="H203">IFERROR(IF(A203=A202,0,SUM(_xlfn._xlws.FILTER(E203:E213,(A203:A213=A203)*(E203:E213&gt;0)))),0)</f>
        <v>0</v>
      </c>
      <c r="I203" s="69" cm="1">
        <f t="array" ref="I203">IFERROR(IF(A203=A202,0,SUM(_xlfn._xlws.FILTER(E203:E213,(A203:A213=A203)*(F203&lt;0)))),0)</f>
        <v>0</v>
      </c>
      <c r="J203"/>
      <c r="K203"/>
      <c r="L203"/>
      <c r="M203"/>
      <c r="N203"/>
    </row>
    <row r="204" spans="1:14" hidden="1" x14ac:dyDescent="0.3">
      <c r="A204" s="64">
        <v>45719</v>
      </c>
      <c r="B204" s="5" t="s">
        <v>56</v>
      </c>
      <c r="C204" s="65">
        <v>990</v>
      </c>
      <c r="D204" s="66">
        <v>39.68</v>
      </c>
      <c r="E204" s="67">
        <f ca="1">IFERROR(C204*D204*_xlfn.XLOOKUP(B204,[1]!TabCalc[Ticker],[1]!TabCalc[Scale]),0)</f>
        <v>39283.199999999997</v>
      </c>
      <c r="F204" s="68" cm="1">
        <f t="array" ref="F204">IF(A204=A203,0,SUM(_xlfn._xlws.FILTER(E204:E214,A204:A214=A204)))</f>
        <v>0</v>
      </c>
      <c r="G204" s="69">
        <f>IF(F204&lt;&gt;0,SUM($F$43:F204),0)</f>
        <v>0</v>
      </c>
      <c r="H204" s="69" cm="1">
        <f t="array" ref="H204">IFERROR(IF(A204=A203,0,SUM(_xlfn._xlws.FILTER(E204:E214,(A204:A214=A204)*(E204:E214&gt;0)))),0)</f>
        <v>0</v>
      </c>
      <c r="I204" s="69" cm="1">
        <f t="array" ref="I204">IFERROR(IF(A204=A203,0,SUM(_xlfn._xlws.FILTER(E204:E214,(A204:A214=A204)*(F204&lt;0)))),0)</f>
        <v>0</v>
      </c>
      <c r="J204"/>
      <c r="K204"/>
      <c r="L204"/>
      <c r="M204"/>
      <c r="N204"/>
    </row>
    <row r="205" spans="1:14" hidden="1" x14ac:dyDescent="0.3">
      <c r="A205" s="64">
        <v>45719</v>
      </c>
      <c r="B205" s="5" t="s">
        <v>47</v>
      </c>
      <c r="C205" s="65">
        <v>4000</v>
      </c>
      <c r="D205" s="66">
        <v>11.5525</v>
      </c>
      <c r="E205" s="67">
        <f ca="1">IFERROR(C205*D205*_xlfn.XLOOKUP(B205,[1]!TabCalc[Ticker],[1]!TabCalc[Scale]),0)</f>
        <v>46210</v>
      </c>
      <c r="F205" s="68" cm="1">
        <f t="array" ref="F205">IF(A205=A204,0,SUM(_xlfn._xlws.FILTER(E205:E215,A205:A215=A205)))</f>
        <v>0</v>
      </c>
      <c r="G205" s="69">
        <f>IF(F205&lt;&gt;0,SUM($F$43:F205),0)</f>
        <v>0</v>
      </c>
      <c r="H205" s="69" cm="1">
        <f t="array" ref="H205">IFERROR(IF(A205=A204,0,SUM(_xlfn._xlws.FILTER(E205:E215,(A205:A215=A205)*(E205:E215&gt;0)))),0)</f>
        <v>0</v>
      </c>
      <c r="I205" s="69" cm="1">
        <f t="array" ref="I205">IFERROR(IF(A205=A204,0,SUM(_xlfn._xlws.FILTER(E205:E215,(A205:A215=A205)*(F205&lt;0)))),0)</f>
        <v>0</v>
      </c>
      <c r="J205"/>
      <c r="K205"/>
      <c r="L205"/>
      <c r="M205"/>
      <c r="N205"/>
    </row>
    <row r="206" spans="1:14" hidden="1" x14ac:dyDescent="0.3">
      <c r="A206" s="64">
        <v>45719</v>
      </c>
      <c r="B206" s="5" t="s">
        <v>41</v>
      </c>
      <c r="C206" s="65">
        <v>20000</v>
      </c>
      <c r="D206" s="66">
        <v>-1.1599999999999999</v>
      </c>
      <c r="E206" s="67">
        <f ca="1">IFERROR(C206*D206*_xlfn.XLOOKUP(B206,[1]!TabCalc[Ticker],[1]!TabCalc[Scale]),0)</f>
        <v>-23200</v>
      </c>
      <c r="F206" s="68" cm="1">
        <f t="array" ref="F206">IF(A206=A205,0,SUM(_xlfn._xlws.FILTER(E206:E216,A206:A216=A206)))</f>
        <v>0</v>
      </c>
      <c r="G206" s="69">
        <f>IF(F206&lt;&gt;0,SUM($F$43:F206),0)</f>
        <v>0</v>
      </c>
      <c r="H206" s="69" cm="1">
        <f t="array" ref="H206">IFERROR(IF(A206=A205,0,SUM(_xlfn._xlws.FILTER(E206:E216,(A206:A216=A206)*(E206:E216&gt;0)))),0)</f>
        <v>0</v>
      </c>
      <c r="I206" s="69" cm="1">
        <f t="array" ref="I206">IFERROR(IF(A206=A205,0,SUM(_xlfn._xlws.FILTER(E206:E216,(A206:A216=A206)*(F206&lt;0)))),0)</f>
        <v>0</v>
      </c>
      <c r="J206"/>
      <c r="K206"/>
      <c r="L206"/>
      <c r="M206"/>
      <c r="N206"/>
    </row>
    <row r="207" spans="1:14" hidden="1" x14ac:dyDescent="0.3">
      <c r="A207" s="64">
        <v>45719</v>
      </c>
      <c r="B207" s="5" t="s">
        <v>31</v>
      </c>
      <c r="C207" s="65">
        <v>200</v>
      </c>
      <c r="D207" s="66">
        <v>-178.31</v>
      </c>
      <c r="E207" s="67">
        <f ca="1">IFERROR(C207*D207*_xlfn.XLOOKUP(B207,[1]!TabCalc[Ticker],[1]!TabCalc[Scale]),0)</f>
        <v>-35662</v>
      </c>
      <c r="F207" s="68" cm="1">
        <f t="array" ref="F207">IF(A207=A206,0,SUM(_xlfn._xlws.FILTER(E207:E217,A207:A217=A207)))</f>
        <v>0</v>
      </c>
      <c r="G207" s="69">
        <f>IF(F207&lt;&gt;0,SUM($F$43:F207),0)</f>
        <v>0</v>
      </c>
      <c r="H207" s="69" cm="1">
        <f t="array" ref="H207">IFERROR(IF(A207=A206,0,SUM(_xlfn._xlws.FILTER(E207:E217,(A207:A217=A207)*(E207:E217&gt;0)))),0)</f>
        <v>0</v>
      </c>
      <c r="I207" s="69" cm="1">
        <f t="array" ref="I207">IFERROR(IF(A207=A206,0,SUM(_xlfn._xlws.FILTER(E207:E217,(A207:A217=A207)*(F207&lt;0)))),0)</f>
        <v>0</v>
      </c>
      <c r="J207"/>
      <c r="K207"/>
      <c r="L207"/>
      <c r="M207"/>
      <c r="N207"/>
    </row>
    <row r="208" spans="1:14" hidden="1" x14ac:dyDescent="0.3">
      <c r="A208" s="70">
        <v>45722</v>
      </c>
      <c r="B208" s="71" t="s">
        <v>35</v>
      </c>
      <c r="C208" s="18">
        <v>800</v>
      </c>
      <c r="D208" s="19">
        <v>-77.67</v>
      </c>
      <c r="E208" s="67">
        <f ca="1">IFERROR(C208*D208*_xlfn.XLOOKUP(B208,[1]!TabCalc[Ticker],[1]!TabCalc[Scale]),0)</f>
        <v>-62136</v>
      </c>
      <c r="F208" s="68" cm="1">
        <f t="array" aca="1" ref="F208" ca="1">IF(A208=A207,0,SUM(_xlfn._xlws.FILTER(E208:E218,A208:A218=A208)))</f>
        <v>-62136</v>
      </c>
      <c r="G208" s="69">
        <f ca="1">IF(F208&lt;&gt;0,SUM($F$43:F208),0)</f>
        <v>691301.93313400005</v>
      </c>
      <c r="H208" s="69" cm="1">
        <f t="array" aca="1" ref="H208" ca="1">IFERROR(IF(A208=A207,0,SUM(_xlfn._xlws.FILTER(E208:E218,(A208:A218=A208)*(E208:E218&gt;0)))),0)</f>
        <v>0</v>
      </c>
      <c r="I208" s="69" cm="1">
        <f t="array" aca="1" ref="I208" ca="1">IFERROR(IF(A208=A207,0,SUM(_xlfn._xlws.FILTER(E208:E218,(A208:A218=A208)*(F208&lt;0)))),0)</f>
        <v>-62136</v>
      </c>
      <c r="J208"/>
      <c r="K208"/>
      <c r="L208"/>
      <c r="M208"/>
      <c r="N208"/>
    </row>
    <row r="209" spans="1:14" hidden="1" x14ac:dyDescent="0.3">
      <c r="A209" s="64">
        <v>45723</v>
      </c>
      <c r="B209" s="5" t="s">
        <v>40</v>
      </c>
      <c r="C209" s="65">
        <v>2000</v>
      </c>
      <c r="D209" s="66">
        <v>-15.76</v>
      </c>
      <c r="E209" s="67">
        <f ca="1">IFERROR(C209*D209*_xlfn.XLOOKUP(B209,[1]!TabCalc[Ticker],[1]!TabCalc[Scale]),0)</f>
        <v>-31520</v>
      </c>
      <c r="F209" s="68" cm="1">
        <f t="array" aca="1" ref="F209" ca="1">IF(A209=A208,0,SUM(_xlfn._xlws.FILTER(E209:E219,A209:A219=A209)))</f>
        <v>-31520</v>
      </c>
      <c r="G209" s="69">
        <f ca="1">IF(F209&lt;&gt;0,SUM($F$43:F209),0)</f>
        <v>659781.93313400005</v>
      </c>
      <c r="H209" s="69" cm="1">
        <f t="array" aca="1" ref="H209" ca="1">IFERROR(IF(A209=A208,0,SUM(_xlfn._xlws.FILTER(E209:E219,(A209:A219=A209)*(E209:E219&gt;0)))),0)</f>
        <v>0</v>
      </c>
      <c r="I209" s="69" cm="1">
        <f t="array" aca="1" ref="I209" ca="1">IFERROR(IF(A209=A208,0,SUM(_xlfn._xlws.FILTER(E209:E219,(A209:A219=A209)*(F209&lt;0)))),0)</f>
        <v>-31520</v>
      </c>
      <c r="J209"/>
      <c r="K209"/>
      <c r="L209"/>
      <c r="M209"/>
      <c r="N209"/>
    </row>
    <row r="210" spans="1:14" hidden="1" x14ac:dyDescent="0.3">
      <c r="A210" s="70">
        <v>45726</v>
      </c>
      <c r="B210" s="71" t="s">
        <v>30</v>
      </c>
      <c r="C210" s="18">
        <v>300</v>
      </c>
      <c r="D210" s="19">
        <v>-632.79999999999995</v>
      </c>
      <c r="E210" s="67">
        <f ca="1">IFERROR(C210*D210*_xlfn.XLOOKUP(B210,[1]!TabCalc[Ticker],[1]!TabCalc[Scale]),0)</f>
        <v>-189840</v>
      </c>
      <c r="F210" s="68" cm="1">
        <f t="array" aca="1" ref="F210" ca="1">IF(A210=A209,0,SUM(_xlfn._xlws.FILTER(E210:E220,A210:A220=A210)))</f>
        <v>-304395.5</v>
      </c>
      <c r="G210" s="69">
        <f ca="1">IF(F210&lt;&gt;0,SUM($F$43:F210),0)</f>
        <v>355386.43313400005</v>
      </c>
      <c r="H210" s="69" cm="1">
        <f t="array" aca="1" ref="H210" ca="1">IFERROR(IF(A210=A209,0,SUM(_xlfn._xlws.FILTER(E210:E220,(A210:A220=A210)*(E210:E220&gt;0)))),0)</f>
        <v>59233.5</v>
      </c>
      <c r="I210" s="69" cm="1">
        <f t="array" aca="1" ref="I210" ca="1">IFERROR(IF(A210=A209,0,SUM(_xlfn._xlws.FILTER(E210:E220,(A210:A220=A210)*(F210&lt;0)))),0)</f>
        <v>-304395.5</v>
      </c>
      <c r="J210"/>
      <c r="K210"/>
      <c r="L210"/>
      <c r="M210"/>
      <c r="N210"/>
    </row>
    <row r="211" spans="1:14" hidden="1" x14ac:dyDescent="0.3">
      <c r="A211" s="70">
        <v>45726</v>
      </c>
      <c r="B211" s="71" t="s">
        <v>69</v>
      </c>
      <c r="C211" s="18">
        <v>20000</v>
      </c>
      <c r="D211" s="19">
        <v>-319.60000000000002</v>
      </c>
      <c r="E211" s="67">
        <f ca="1">IFERROR(C211*D211*_xlfn.XLOOKUP(B211,[1]!TabCalc[Ticker],[1]!TabCalc[Scale]),0)</f>
        <v>-63920</v>
      </c>
      <c r="F211" s="68" cm="1">
        <f t="array" ref="F211">IF(A211=A210,0,SUM(_xlfn._xlws.FILTER(E211:E221,A211:A221=A211)))</f>
        <v>0</v>
      </c>
      <c r="G211" s="69">
        <f>IF(F211&lt;&gt;0,SUM($F$43:F211),0)</f>
        <v>0</v>
      </c>
      <c r="H211" s="69" cm="1">
        <f t="array" ref="H211">IFERROR(IF(A211=A210,0,SUM(_xlfn._xlws.FILTER(E211:E221,(A211:A221=A211)*(E211:E221&gt;0)))),0)</f>
        <v>0</v>
      </c>
      <c r="I211" s="69" cm="1">
        <f t="array" ref="I211">IFERROR(IF(A211=A210,0,SUM(_xlfn._xlws.FILTER(E211:E221,(A211:A221=A211)*(F211&lt;0)))),0)</f>
        <v>0</v>
      </c>
      <c r="J211"/>
      <c r="K211"/>
      <c r="L211"/>
      <c r="M211"/>
      <c r="N211"/>
    </row>
    <row r="212" spans="1:14" hidden="1" x14ac:dyDescent="0.3">
      <c r="A212" s="70">
        <v>45726</v>
      </c>
      <c r="B212" s="71" t="s">
        <v>48</v>
      </c>
      <c r="C212" s="18">
        <v>5000</v>
      </c>
      <c r="D212" s="19">
        <v>11.8467</v>
      </c>
      <c r="E212" s="67">
        <f ca="1">IFERROR(C212*D212*_xlfn.XLOOKUP(B212,[1]!TabCalc[Ticker],[1]!TabCalc[Scale]),0)</f>
        <v>59233.5</v>
      </c>
      <c r="F212" s="68" cm="1">
        <f t="array" ref="F212">IF(A212=A211,0,SUM(_xlfn._xlws.FILTER(E212:E222,A212:A222=A212)))</f>
        <v>0</v>
      </c>
      <c r="G212" s="69">
        <f>IF(F212&lt;&gt;0,SUM($F$43:F212),0)</f>
        <v>0</v>
      </c>
      <c r="H212" s="69" cm="1">
        <f t="array" ref="H212">IFERROR(IF(A212=A211,0,SUM(_xlfn._xlws.FILTER(E212:E222,(A212:A222=A212)*(E212:E222&gt;0)))),0)</f>
        <v>0</v>
      </c>
      <c r="I212" s="69" cm="1">
        <f t="array" ref="I212">IFERROR(IF(A212=A211,0,SUM(_xlfn._xlws.FILTER(E212:E222,(A212:A222=A212)*(F212&lt;0)))),0)</f>
        <v>0</v>
      </c>
      <c r="J212"/>
      <c r="K212"/>
      <c r="L212"/>
      <c r="M212"/>
      <c r="N212"/>
    </row>
    <row r="213" spans="1:14" hidden="1" x14ac:dyDescent="0.3">
      <c r="A213" s="70">
        <v>45726</v>
      </c>
      <c r="B213" s="71" t="s">
        <v>97</v>
      </c>
      <c r="C213" s="18">
        <v>1000</v>
      </c>
      <c r="D213" s="19">
        <v>-61.496499999999997</v>
      </c>
      <c r="E213" s="67">
        <f ca="1">IFERROR(C213*D213*_xlfn.XLOOKUP(B213,[1]!TabCalc[Ticker],[1]!TabCalc[Scale]),0)</f>
        <v>-61496.5</v>
      </c>
      <c r="F213" s="68" cm="1">
        <f t="array" ref="F213">IF(A213=A212,0,SUM(_xlfn._xlws.FILTER(E213:E223,A213:A223=A213)))</f>
        <v>0</v>
      </c>
      <c r="G213" s="69">
        <f>IF(F213&lt;&gt;0,SUM($F$43:F213),0)</f>
        <v>0</v>
      </c>
      <c r="H213" s="69" cm="1">
        <f t="array" ref="H213">IFERROR(IF(A213=A212,0,SUM(_xlfn._xlws.FILTER(E213:E223,(A213:A223=A213)*(E213:E223&gt;0)))),0)</f>
        <v>0</v>
      </c>
      <c r="I213" s="69" cm="1">
        <f t="array" ref="I213">IFERROR(IF(A213=A212,0,SUM(_xlfn._xlws.FILTER(E213:E223,(A213:A223=A213)*(F213&lt;0)))),0)</f>
        <v>0</v>
      </c>
      <c r="J213"/>
      <c r="K213"/>
      <c r="L213"/>
      <c r="M213"/>
      <c r="N213"/>
    </row>
    <row r="214" spans="1:14" hidden="1" x14ac:dyDescent="0.3">
      <c r="A214" s="70">
        <v>45726</v>
      </c>
      <c r="B214" s="71" t="s">
        <v>59</v>
      </c>
      <c r="C214" s="18">
        <v>250</v>
      </c>
      <c r="D214" s="19">
        <v>-193.49</v>
      </c>
      <c r="E214" s="67">
        <f ca="1">IFERROR(C214*D214*_xlfn.XLOOKUP(B214,[1]!TabCalc[Ticker],[1]!TabCalc[Scale]),0)</f>
        <v>-48372.5</v>
      </c>
      <c r="F214" s="68" cm="1">
        <f t="array" ref="F214">IF(A214=A213,0,SUM(_xlfn._xlws.FILTER(E214:E224,A214:A224=A214)))</f>
        <v>0</v>
      </c>
      <c r="G214" s="69">
        <f>IF(F214&lt;&gt;0,SUM($F$43:F214),0)</f>
        <v>0</v>
      </c>
      <c r="H214" s="69" cm="1">
        <f t="array" ref="H214">IFERROR(IF(A214=A213,0,SUM(_xlfn._xlws.FILTER(E214:E224,(A214:A224=A214)*(E214:E224&gt;0)))),0)</f>
        <v>0</v>
      </c>
      <c r="I214" s="69" cm="1">
        <f t="array" ref="I214">IFERROR(IF(A214=A213,0,SUM(_xlfn._xlws.FILTER(E214:E224,(A214:A224=A214)*(F214&lt;0)))),0)</f>
        <v>0</v>
      </c>
      <c r="J214"/>
      <c r="K214"/>
      <c r="L214"/>
      <c r="M214"/>
      <c r="N214"/>
    </row>
    <row r="215" spans="1:14" hidden="1" x14ac:dyDescent="0.3">
      <c r="A215" s="70">
        <v>45730</v>
      </c>
      <c r="B215" s="5" t="s">
        <v>69</v>
      </c>
      <c r="C215" s="65">
        <v>20000</v>
      </c>
      <c r="D215" s="66">
        <v>287.7</v>
      </c>
      <c r="E215" s="67">
        <f ca="1">IFERROR(C215*D215*_xlfn.XLOOKUP(B215,[1]!TabCalc[Ticker],[1]!TabCalc[Scale]),0)</f>
        <v>57540</v>
      </c>
      <c r="F215" s="68" cm="1">
        <f t="array" aca="1" ref="F215" ca="1">IF(A215=A214,0,SUM(_xlfn._xlws.FILTER(E215:E225,A215:A225=A215)))</f>
        <v>-4764.0779999999941</v>
      </c>
      <c r="G215" s="69">
        <f ca="1">IF(F215&lt;&gt;0,SUM($F$43:F215),0)</f>
        <v>350622.35513400007</v>
      </c>
      <c r="H215" s="69" cm="1">
        <f t="array" aca="1" ref="H215" ca="1">IFERROR(IF(A215=A214,0,SUM(_xlfn._xlws.FILTER(E215:E225,(A215:A225=A215)*(E215:E225&gt;0)))),0)</f>
        <v>237449</v>
      </c>
      <c r="I215" s="69" cm="1">
        <f t="array" aca="1" ref="I215" ca="1">IFERROR(IF(A215=A214,0,SUM(_xlfn._xlws.FILTER(E215:E225,(A215:A225=A215)*(F215&lt;0)))),0)</f>
        <v>-4764.0779999999941</v>
      </c>
      <c r="J215"/>
      <c r="K215"/>
      <c r="L215"/>
      <c r="M215"/>
      <c r="N215"/>
    </row>
    <row r="216" spans="1:14" hidden="1" x14ac:dyDescent="0.3">
      <c r="A216" s="64">
        <v>45730</v>
      </c>
      <c r="B216" s="5" t="s">
        <v>39</v>
      </c>
      <c r="C216" s="65">
        <v>2000</v>
      </c>
      <c r="D216" s="66">
        <v>4.9000000000000004</v>
      </c>
      <c r="E216" s="67">
        <f ca="1">IFERROR(C216*D216*_xlfn.XLOOKUP(B216,[1]!TabCalc[Ticker],[1]!TabCalc[Scale]),0)</f>
        <v>9800</v>
      </c>
      <c r="F216" s="68" cm="1">
        <f t="array" ref="F216">IF(A216=A215,0,SUM(_xlfn._xlws.FILTER(E216:E226,A216:A226=A216)))</f>
        <v>0</v>
      </c>
      <c r="G216" s="69">
        <f>IF(F216&lt;&gt;0,SUM($F$43:F216),0)</f>
        <v>0</v>
      </c>
      <c r="H216" s="69" cm="1">
        <f t="array" ref="H216">IFERROR(IF(A216=A215,0,SUM(_xlfn._xlws.FILTER(E216:E226,(A216:A226=A216)*(E216:E226&gt;0)))),0)</f>
        <v>0</v>
      </c>
      <c r="I216" s="69" cm="1">
        <f t="array" ref="I216">IFERROR(IF(A216=A215,0,SUM(_xlfn._xlws.FILTER(E216:E226,(A216:A226=A216)*(F216&lt;0)))),0)</f>
        <v>0</v>
      </c>
      <c r="J216"/>
      <c r="K216"/>
      <c r="L216"/>
      <c r="M216"/>
      <c r="N216"/>
    </row>
    <row r="217" spans="1:14" hidden="1" x14ac:dyDescent="0.3">
      <c r="A217" s="64">
        <v>45730</v>
      </c>
      <c r="B217" s="5" t="s">
        <v>32</v>
      </c>
      <c r="C217" s="65">
        <v>1000</v>
      </c>
      <c r="D217" s="66">
        <v>73.358999999999995</v>
      </c>
      <c r="E217" s="67">
        <f ca="1">IFERROR(C217*D217*_xlfn.XLOOKUP(B217,[1]!TabCalc[Ticker],[1]!TabCalc[Scale]),0)</f>
        <v>73359</v>
      </c>
      <c r="F217" s="68" cm="1">
        <f t="array" ref="F217">IF(A217=A216,0,SUM(_xlfn._xlws.FILTER(E217:E227,A217:A227=A217)))</f>
        <v>0</v>
      </c>
      <c r="G217" s="69">
        <f>IF(F217&lt;&gt;0,SUM($F$43:F217),0)</f>
        <v>0</v>
      </c>
      <c r="H217" s="69" cm="1">
        <f t="array" ref="H217">IFERROR(IF(A217=A216,0,SUM(_xlfn._xlws.FILTER(E217:E227,(A217:A227=A217)*(E217:E227&gt;0)))),0)</f>
        <v>0</v>
      </c>
      <c r="I217" s="69" cm="1">
        <f t="array" ref="I217">IFERROR(IF(A217=A216,0,SUM(_xlfn._xlws.FILTER(E217:E227,(A217:A227=A217)*(F217&lt;0)))),0)</f>
        <v>0</v>
      </c>
      <c r="J217"/>
      <c r="K217"/>
      <c r="L217"/>
      <c r="M217"/>
      <c r="N217"/>
    </row>
    <row r="218" spans="1:14" hidden="1" x14ac:dyDescent="0.3">
      <c r="A218" s="64">
        <v>45730</v>
      </c>
      <c r="B218" s="5" t="s">
        <v>98</v>
      </c>
      <c r="C218" s="65">
        <v>18000</v>
      </c>
      <c r="D218" s="66">
        <v>-4.97</v>
      </c>
      <c r="E218" s="67">
        <f ca="1">IFERROR(C218*D218*_xlfn.XLOOKUP(B218,[1]!TabCalc[Ticker],[1]!TabCalc[Scale]),0)</f>
        <v>-89460</v>
      </c>
      <c r="F218" s="68" cm="1">
        <f t="array" ref="F218">IF(A218=A217,0,SUM(_xlfn._xlws.FILTER(E218:E228,A218:A228=A218)))</f>
        <v>0</v>
      </c>
      <c r="G218" s="69">
        <f>IF(F218&lt;&gt;0,SUM($F$43:F218),0)</f>
        <v>0</v>
      </c>
      <c r="H218" s="69" cm="1">
        <f t="array" ref="H218">IFERROR(IF(A218=A217,0,SUM(_xlfn._xlws.FILTER(E218:E228,(A218:A228=A218)*(E218:E228&gt;0)))),0)</f>
        <v>0</v>
      </c>
      <c r="I218" s="69" cm="1">
        <f t="array" ref="I218">IFERROR(IF(A218=A217,0,SUM(_xlfn._xlws.FILTER(E218:E228,(A218:A228=A218)*(F218&lt;0)))),0)</f>
        <v>0</v>
      </c>
      <c r="J218"/>
      <c r="K218"/>
      <c r="L218"/>
      <c r="M218"/>
      <c r="N218"/>
    </row>
    <row r="219" spans="1:14" hidden="1" x14ac:dyDescent="0.3">
      <c r="A219" s="64">
        <v>45730</v>
      </c>
      <c r="B219" s="5" t="s">
        <v>41</v>
      </c>
      <c r="C219" s="65">
        <v>15000</v>
      </c>
      <c r="D219" s="66">
        <v>-0.91</v>
      </c>
      <c r="E219" s="67">
        <f ca="1">IFERROR(C219*D219*_xlfn.XLOOKUP(B219,[1]!TabCalc[Ticker],[1]!TabCalc[Scale]),0)</f>
        <v>-13650</v>
      </c>
      <c r="F219" s="68" cm="1">
        <f t="array" ref="F219">IF(A219=A218,0,SUM(_xlfn._xlws.FILTER(E219:E229,A219:A229=A219)))</f>
        <v>0</v>
      </c>
      <c r="G219" s="69">
        <f>IF(F219&lt;&gt;0,SUM($F$43:F219),0)</f>
        <v>0</v>
      </c>
      <c r="H219" s="69" cm="1">
        <f t="array" ref="H219">IFERROR(IF(A219=A218,0,SUM(_xlfn._xlws.FILTER(E219:E229,(A219:A229=A219)*(E219:E229&gt;0)))),0)</f>
        <v>0</v>
      </c>
      <c r="I219" s="69" cm="1">
        <f t="array" ref="I219">IFERROR(IF(A219=A218,0,SUM(_xlfn._xlws.FILTER(E219:E229,(A219:A229=A219)*(F219&lt;0)))),0)</f>
        <v>0</v>
      </c>
      <c r="J219"/>
      <c r="K219"/>
      <c r="L219"/>
      <c r="M219"/>
      <c r="N219"/>
    </row>
    <row r="220" spans="1:14" hidden="1" x14ac:dyDescent="0.3">
      <c r="A220" s="64">
        <v>45730</v>
      </c>
      <c r="B220" s="5" t="s">
        <v>31</v>
      </c>
      <c r="C220" s="65">
        <v>450</v>
      </c>
      <c r="D220" s="66">
        <v>-193.52683999999999</v>
      </c>
      <c r="E220" s="67">
        <f ca="1">IFERROR(C220*D220*_xlfn.XLOOKUP(B220,[1]!TabCalc[Ticker],[1]!TabCalc[Scale]),0)</f>
        <v>-87087.077999999994</v>
      </c>
      <c r="F220" s="68" cm="1">
        <f t="array" ref="F220">IF(A220=A219,0,SUM(_xlfn._xlws.FILTER(E220:E230,A220:A230=A220)))</f>
        <v>0</v>
      </c>
      <c r="G220" s="69">
        <f>IF(F220&lt;&gt;0,SUM($F$43:F220),0)</f>
        <v>0</v>
      </c>
      <c r="H220" s="69" cm="1">
        <f t="array" ref="H220">IFERROR(IF(A220=A219,0,SUM(_xlfn._xlws.FILTER(E220:E230,(A220:A230=A220)*(E220:E230&gt;0)))),0)</f>
        <v>0</v>
      </c>
      <c r="I220" s="69" cm="1">
        <f t="array" ref="I220">IFERROR(IF(A220=A219,0,SUM(_xlfn._xlws.FILTER(E220:E230,(A220:A230=A220)*(F220&lt;0)))),0)</f>
        <v>0</v>
      </c>
      <c r="J220"/>
      <c r="K220"/>
      <c r="L220"/>
      <c r="M220"/>
      <c r="N220"/>
    </row>
    <row r="221" spans="1:14" hidden="1" x14ac:dyDescent="0.3">
      <c r="A221" s="64">
        <v>45730</v>
      </c>
      <c r="B221" s="5" t="s">
        <v>64</v>
      </c>
      <c r="C221" s="65">
        <v>400</v>
      </c>
      <c r="D221" s="66">
        <v>-130.04</v>
      </c>
      <c r="E221" s="67">
        <f ca="1">IFERROR(C221*D221*_xlfn.XLOOKUP(B221,[1]!TabCalc[Ticker],[1]!TabCalc[Scale]),0)</f>
        <v>-52016</v>
      </c>
      <c r="F221" s="68" cm="1">
        <f t="array" ref="F221">IF(A221=A220,0,SUM(_xlfn._xlws.FILTER(E221:E231,A221:A231=A221)))</f>
        <v>0</v>
      </c>
      <c r="G221" s="69">
        <f>IF(F221&lt;&gt;0,SUM($F$43:F221),0)</f>
        <v>0</v>
      </c>
      <c r="H221" s="69" cm="1">
        <f t="array" ref="H221">IFERROR(IF(A221=A220,0,SUM(_xlfn._xlws.FILTER(E221:E231,(A221:A231=A221)*(E221:E231&gt;0)))),0)</f>
        <v>0</v>
      </c>
      <c r="I221" s="69" cm="1">
        <f t="array" ref="I221">IFERROR(IF(A221=A220,0,SUM(_xlfn._xlws.FILTER(E221:E231,(A221:A231=A221)*(F221&lt;0)))),0)</f>
        <v>0</v>
      </c>
      <c r="J221"/>
      <c r="K221"/>
      <c r="L221"/>
      <c r="M221"/>
      <c r="N221"/>
    </row>
    <row r="222" spans="1:14" hidden="1" x14ac:dyDescent="0.3">
      <c r="A222" s="64">
        <v>45730</v>
      </c>
      <c r="B222" s="5" t="s">
        <v>87</v>
      </c>
      <c r="C222" s="65">
        <v>10000</v>
      </c>
      <c r="D222" s="66">
        <v>9.6750000000000007</v>
      </c>
      <c r="E222" s="67">
        <f ca="1">IFERROR(C222*D222*_xlfn.XLOOKUP(B222,[1]!TabCalc[Ticker],[1]!TabCalc[Scale]),0)</f>
        <v>96750</v>
      </c>
      <c r="F222" s="68" cm="1">
        <f t="array" ref="F222">IF(A222=A221,0,SUM(_xlfn._xlws.FILTER(E222:E232,A222:A232=A222)))</f>
        <v>0</v>
      </c>
      <c r="G222" s="69">
        <f>IF(F222&lt;&gt;0,SUM($F$43:F222),0)</f>
        <v>0</v>
      </c>
      <c r="H222" s="69" cm="1">
        <f t="array" ref="H222">IFERROR(IF(A222=A221,0,SUM(_xlfn._xlws.FILTER(E222:E232,(A222:A232=A222)*(E222:E232&gt;0)))),0)</f>
        <v>0</v>
      </c>
      <c r="I222" s="69" cm="1">
        <f t="array" ref="I222">IFERROR(IF(A222=A221,0,SUM(_xlfn._xlws.FILTER(E222:E232,(A222:A232=A222)*(F222&lt;0)))),0)</f>
        <v>0</v>
      </c>
      <c r="J222"/>
      <c r="K222"/>
      <c r="L222"/>
      <c r="M222"/>
      <c r="N222"/>
    </row>
    <row r="223" spans="1:14" hidden="1" x14ac:dyDescent="0.3">
      <c r="A223" s="70">
        <v>45733</v>
      </c>
      <c r="B223" s="71" t="s">
        <v>75</v>
      </c>
      <c r="C223" s="18">
        <v>7000</v>
      </c>
      <c r="D223" s="19">
        <v>13.14</v>
      </c>
      <c r="E223" s="67">
        <f ca="1">IFERROR(C223*D223*_xlfn.XLOOKUP(B223,[1]!TabCalc[Ticker],[1]!TabCalc[Scale]),0)</f>
        <v>91980</v>
      </c>
      <c r="F223" s="68" cm="1">
        <f t="array" aca="1" ref="F223" ca="1">IF(A223=A222,0,SUM(_xlfn._xlws.FILTER(E223:E233,A223:A233=A223)))</f>
        <v>-22542.5</v>
      </c>
      <c r="G223" s="69">
        <f ca="1">IF(F223&lt;&gt;0,SUM($F$43:F223),0)</f>
        <v>328079.85513400007</v>
      </c>
      <c r="H223" s="69" cm="1">
        <f t="array" aca="1" ref="H223" ca="1">IFERROR(IF(A223=A222,0,SUM(_xlfn._xlws.FILTER(E223:E233,(A223:A233=A223)*(E223:E233&gt;0)))),0)</f>
        <v>91980</v>
      </c>
      <c r="I223" s="69" cm="1">
        <f t="array" aca="1" ref="I223" ca="1">IFERROR(IF(A223=A222,0,SUM(_xlfn._xlws.FILTER(E223:E233,(A223:A233=A223)*(F223&lt;0)))),0)</f>
        <v>-22542.5</v>
      </c>
      <c r="J223"/>
      <c r="K223"/>
      <c r="L223"/>
      <c r="M223"/>
      <c r="N223"/>
    </row>
    <row r="224" spans="1:14" hidden="1" x14ac:dyDescent="0.3">
      <c r="A224" s="70">
        <v>45733</v>
      </c>
      <c r="B224" s="71" t="s">
        <v>62</v>
      </c>
      <c r="C224" s="18">
        <v>25000</v>
      </c>
      <c r="D224" s="19">
        <v>-2.6913</v>
      </c>
      <c r="E224" s="67">
        <f ca="1">IFERROR(C224*D224*_xlfn.XLOOKUP(B224,[1]!TabCalc[Ticker],[1]!TabCalc[Scale]),0)</f>
        <v>-67282.5</v>
      </c>
      <c r="F224" s="68" cm="1">
        <f t="array" ref="F224">IF(A224=A223,0,SUM(_xlfn._xlws.FILTER(E224:E234,A224:A234=A224)))</f>
        <v>0</v>
      </c>
      <c r="G224" s="69">
        <f>IF(F224&lt;&gt;0,SUM($F$43:F224),0)</f>
        <v>0</v>
      </c>
      <c r="H224" s="69" cm="1">
        <f t="array" ref="H224">IFERROR(IF(A224=A223,0,SUM(_xlfn._xlws.FILTER(E224:E234,(A224:A234=A224)*(E224:E234&gt;0)))),0)</f>
        <v>0</v>
      </c>
      <c r="I224" s="69" cm="1">
        <f t="array" ref="I224">IFERROR(IF(A224=A223,0,SUM(_xlfn._xlws.FILTER(E224:E234,(A224:A234=A224)*(F224&lt;0)))),0)</f>
        <v>0</v>
      </c>
      <c r="J224"/>
      <c r="K224"/>
      <c r="L224"/>
      <c r="M224"/>
      <c r="N224"/>
    </row>
    <row r="225" spans="1:14" hidden="1" x14ac:dyDescent="0.3">
      <c r="A225" s="70">
        <v>45733</v>
      </c>
      <c r="B225" s="71" t="s">
        <v>77</v>
      </c>
      <c r="C225" s="18">
        <v>1000</v>
      </c>
      <c r="D225" s="19">
        <v>-47.24</v>
      </c>
      <c r="E225" s="67">
        <f ca="1">IFERROR(C225*D225*_xlfn.XLOOKUP(B225,[1]!TabCalc[Ticker],[1]!TabCalc[Scale]),0)</f>
        <v>-47240</v>
      </c>
      <c r="F225" s="68" cm="1">
        <f t="array" ref="F225">IF(A225=A224,0,SUM(_xlfn._xlws.FILTER(E225:E235,A225:A235=A225)))</f>
        <v>0</v>
      </c>
      <c r="G225" s="69">
        <f>IF(F225&lt;&gt;0,SUM($F$43:F225),0)</f>
        <v>0</v>
      </c>
      <c r="H225" s="69" cm="1">
        <f t="array" ref="H225">IFERROR(IF(A225=A224,0,SUM(_xlfn._xlws.FILTER(E225:E235,(A225:A235=A225)*(E225:E235&gt;0)))),0)</f>
        <v>0</v>
      </c>
      <c r="I225" s="69" cm="1">
        <f t="array" ref="I225">IFERROR(IF(A225=A224,0,SUM(_xlfn._xlws.FILTER(E225:E235,(A225:A235=A225)*(F225&lt;0)))),0)</f>
        <v>0</v>
      </c>
      <c r="J225"/>
      <c r="K225"/>
      <c r="L225"/>
      <c r="M225"/>
      <c r="N225"/>
    </row>
    <row r="226" spans="1:14" hidden="1" x14ac:dyDescent="0.3">
      <c r="A226" s="64">
        <v>45734</v>
      </c>
      <c r="B226" s="5" t="s">
        <v>65</v>
      </c>
      <c r="C226" s="65">
        <v>15000</v>
      </c>
      <c r="D226" s="5">
        <v>-0.93</v>
      </c>
      <c r="E226" s="67">
        <f ca="1">IFERROR(C226*D226*_xlfn.XLOOKUP(B226,[1]!TabCalc[Ticker],[1]!TabCalc[Scale]),0)</f>
        <v>-13950</v>
      </c>
      <c r="F226" s="68" cm="1">
        <f t="array" aca="1" ref="F226" ca="1">IF(A226=A225,0,SUM(_xlfn._xlws.FILTER(E226:E236,A226:A236=A226)))</f>
        <v>-52730</v>
      </c>
      <c r="G226" s="69">
        <f ca="1">IF(F226&lt;&gt;0,SUM($F$43:F226),0)</f>
        <v>275349.85513400007</v>
      </c>
      <c r="H226" s="69" cm="1">
        <f t="array" aca="1" ref="H226" ca="1">IFERROR(IF(A226=A225,0,SUM(_xlfn._xlws.FILTER(E226:E236,(A226:A236=A226)*(E226:E236&gt;0)))),0)</f>
        <v>0</v>
      </c>
      <c r="I226" s="69" cm="1">
        <f t="array" aca="1" ref="I226" ca="1">IFERROR(IF(A226=A225,0,SUM(_xlfn._xlws.FILTER(E226:E236,(A226:A236=A226)*(F226&lt;0)))),0)</f>
        <v>-52730</v>
      </c>
      <c r="J226"/>
      <c r="K226"/>
      <c r="L226"/>
      <c r="M226"/>
      <c r="N226"/>
    </row>
    <row r="227" spans="1:14" hidden="1" x14ac:dyDescent="0.3">
      <c r="A227" s="64">
        <v>45734</v>
      </c>
      <c r="B227" s="5" t="s">
        <v>29</v>
      </c>
      <c r="C227" s="65">
        <v>1000</v>
      </c>
      <c r="D227" s="5">
        <v>-38.78</v>
      </c>
      <c r="E227" s="67">
        <f ca="1">IFERROR(C227*D227*_xlfn.XLOOKUP(B227,[1]!TabCalc[Ticker],[1]!TabCalc[Scale]),0)</f>
        <v>-38780</v>
      </c>
      <c r="F227" s="68" cm="1">
        <f t="array" ref="F227">IF(A227=A226,0,SUM(_xlfn._xlws.FILTER(E227:E237,A227:A237=A227)))</f>
        <v>0</v>
      </c>
      <c r="G227" s="69">
        <f>IF(F227&lt;&gt;0,SUM($F$43:F227),0)</f>
        <v>0</v>
      </c>
      <c r="H227" s="69" cm="1">
        <f t="array" ref="H227">IFERROR(IF(A227=A226,0,SUM(_xlfn._xlws.FILTER(E227:E237,(A227:A237=A227)*(E227:E237&gt;0)))),0)</f>
        <v>0</v>
      </c>
      <c r="I227" s="69" cm="1">
        <f t="array" ref="I227">IFERROR(IF(A227=A226,0,SUM(_xlfn._xlws.FILTER(E227:E237,(A227:A237=A227)*(F227&lt;0)))),0)</f>
        <v>0</v>
      </c>
      <c r="J227"/>
      <c r="K227"/>
      <c r="L227"/>
      <c r="M227"/>
      <c r="N227"/>
    </row>
    <row r="228" spans="1:14" hidden="1" x14ac:dyDescent="0.3">
      <c r="A228" s="70">
        <v>45735</v>
      </c>
      <c r="B228" s="71" t="s">
        <v>30</v>
      </c>
      <c r="C228" s="18">
        <v>300</v>
      </c>
      <c r="D228" s="19">
        <v>667.6</v>
      </c>
      <c r="E228" s="67">
        <f ca="1">IFERROR(C228*D228*_xlfn.XLOOKUP(B228,[1]!TabCalc[Ticker],[1]!TabCalc[Scale]),0)</f>
        <v>200280</v>
      </c>
      <c r="F228" s="68" cm="1">
        <f t="array" aca="1" ref="F228" ca="1">IF(A228=A227,0,SUM(_xlfn._xlws.FILTER(E228:E238,A228:A238=A228)))</f>
        <v>322582</v>
      </c>
      <c r="G228" s="69">
        <f ca="1">IF(F228&lt;&gt;0,SUM($F$43:F228),0)</f>
        <v>597931.85513400007</v>
      </c>
      <c r="H228" s="69" cm="1">
        <f t="array" aca="1" ref="H228" ca="1">IFERROR(IF(A228=A227,0,SUM(_xlfn._xlws.FILTER(E228:E238,(A228:A238=A228)*(E228:E238&gt;0)))),0)</f>
        <v>322582</v>
      </c>
      <c r="I228" s="69" cm="1">
        <f t="array" aca="1" ref="I228" ca="1">IFERROR(IF(A228=A227,0,SUM(_xlfn._xlws.FILTER(E228:E238,(A228:A238=A228)*(F228&lt;0)))),0)</f>
        <v>0</v>
      </c>
      <c r="J228"/>
      <c r="K228"/>
      <c r="L228"/>
      <c r="M228"/>
      <c r="N228"/>
    </row>
    <row r="229" spans="1:14" hidden="1" x14ac:dyDescent="0.3">
      <c r="A229" s="70">
        <v>45735</v>
      </c>
      <c r="B229" s="71" t="s">
        <v>97</v>
      </c>
      <c r="C229" s="18">
        <v>1000</v>
      </c>
      <c r="D229" s="19">
        <v>63.1</v>
      </c>
      <c r="E229" s="67">
        <f ca="1">IFERROR(C229*D229*_xlfn.XLOOKUP(B229,[1]!TabCalc[Ticker],[1]!TabCalc[Scale]),0)</f>
        <v>63100</v>
      </c>
      <c r="F229" s="68" cm="1">
        <f t="array" ref="F229">IF(A229=A228,0,SUM(_xlfn._xlws.FILTER(E229:E239,A229:A239=A229)))</f>
        <v>0</v>
      </c>
      <c r="G229" s="69">
        <f>IF(F229&lt;&gt;0,SUM($F$43:F229),0)</f>
        <v>0</v>
      </c>
      <c r="H229" s="69" cm="1">
        <f t="array" ref="H229">IFERROR(IF(A229=A228,0,SUM(_xlfn._xlws.FILTER(E229:E239,(A229:A239=A229)*(E229:E239&gt;0)))),0)</f>
        <v>0</v>
      </c>
      <c r="I229" s="69" cm="1">
        <f t="array" ref="I229">IFERROR(IF(A229=A228,0,SUM(_xlfn._xlws.FILTER(E229:E239,(A229:A239=A229)*(F229&lt;0)))),0)</f>
        <v>0</v>
      </c>
      <c r="J229"/>
      <c r="K229"/>
      <c r="L229"/>
      <c r="M229"/>
      <c r="N229"/>
    </row>
    <row r="230" spans="1:14" hidden="1" x14ac:dyDescent="0.3">
      <c r="A230" s="70">
        <v>45735</v>
      </c>
      <c r="B230" s="71" t="s">
        <v>69</v>
      </c>
      <c r="C230" s="18">
        <v>20000</v>
      </c>
      <c r="D230" s="19">
        <v>296.01</v>
      </c>
      <c r="E230" s="67">
        <f ca="1">IFERROR(C230*D230*_xlfn.XLOOKUP(B230,[1]!TabCalc[Ticker],[1]!TabCalc[Scale]),0)</f>
        <v>59202</v>
      </c>
      <c r="F230" s="68" cm="1">
        <f t="array" ref="F230">IF(A230=A229,0,SUM(_xlfn._xlws.FILTER(E230:E240,A230:A240=A230)))</f>
        <v>0</v>
      </c>
      <c r="G230" s="69">
        <f>IF(F230&lt;&gt;0,SUM($F$43:F230),0)</f>
        <v>0</v>
      </c>
      <c r="H230" s="69" cm="1">
        <f t="array" ref="H230">IFERROR(IF(A230=A229,0,SUM(_xlfn._xlws.FILTER(E230:E240,(A230:A240=A230)*(E230:E240&gt;0)))),0)</f>
        <v>0</v>
      </c>
      <c r="I230" s="69" cm="1">
        <f t="array" ref="I230">IFERROR(IF(A230=A229,0,SUM(_xlfn._xlws.FILTER(E230:E240,(A230:A240=A230)*(F230&lt;0)))),0)</f>
        <v>0</v>
      </c>
      <c r="J230"/>
      <c r="K230"/>
      <c r="L230"/>
      <c r="M230"/>
      <c r="N230"/>
    </row>
    <row r="231" spans="1:14" hidden="1" x14ac:dyDescent="0.3">
      <c r="A231" s="64">
        <v>45736</v>
      </c>
      <c r="B231" s="5" t="s">
        <v>90</v>
      </c>
      <c r="C231" s="65">
        <v>1000</v>
      </c>
      <c r="D231" s="5">
        <v>-250.8</v>
      </c>
      <c r="E231" s="67">
        <f ca="1">IFERROR(C231*D231*_xlfn.XLOOKUP(B231,[1]!TabCalc[Ticker],[1]!TabCalc[Scale]),0)</f>
        <v>-250800</v>
      </c>
      <c r="F231" s="68" cm="1">
        <f t="array" aca="1" ref="F231" ca="1">IF(A231=A230,0,SUM(_xlfn._xlws.FILTER(E231:E241,A231:A241=A231)))</f>
        <v>-260330.36</v>
      </c>
      <c r="G231" s="69">
        <f ca="1">IF(F231&lt;&gt;0,SUM($F$43:F231),0)</f>
        <v>337601.49513400008</v>
      </c>
      <c r="H231" s="69" cm="1">
        <f t="array" aca="1" ref="H231" ca="1">IFERROR(IF(A231=A230,0,SUM(_xlfn._xlws.FILTER(E231:E241,(A231:A241=A231)*(E231:E241&gt;0)))),0)</f>
        <v>0</v>
      </c>
      <c r="I231" s="69" cm="1">
        <f t="array" aca="1" ref="I231" ca="1">IFERROR(IF(A231=A230,0,SUM(_xlfn._xlws.FILTER(E231:E241,(A231:A241=A231)*(F231&lt;0)))),0)</f>
        <v>-260330.36</v>
      </c>
      <c r="J231"/>
      <c r="K231"/>
      <c r="L231"/>
      <c r="M231"/>
      <c r="N231"/>
    </row>
    <row r="232" spans="1:14" hidden="1" x14ac:dyDescent="0.3">
      <c r="A232" s="64">
        <v>45736</v>
      </c>
      <c r="B232" s="5" t="s">
        <v>99</v>
      </c>
      <c r="C232" s="65">
        <v>23590</v>
      </c>
      <c r="D232" s="5">
        <v>-40.4</v>
      </c>
      <c r="E232" s="67">
        <f ca="1">IFERROR(C232*D232*_xlfn.XLOOKUP(B232,[1]!TabCalc[Ticker],[1]!TabCalc[Scale]),0)</f>
        <v>-9530.36</v>
      </c>
      <c r="F232" s="68" cm="1">
        <f t="array" ref="F232">IF(A232=A231,0,SUM(_xlfn._xlws.FILTER(E232:E242,A232:A242=A232)))</f>
        <v>0</v>
      </c>
      <c r="G232" s="69">
        <f>IF(F232&lt;&gt;0,SUM($F$43:F232),0)</f>
        <v>0</v>
      </c>
      <c r="H232" s="69" cm="1">
        <f t="array" ref="H232">IFERROR(IF(A232=A231,0,SUM(_xlfn._xlws.FILTER(E232:E242,(A232:A242=A232)*(E232:E242&gt;0)))),0)</f>
        <v>0</v>
      </c>
      <c r="I232" s="69" cm="1">
        <f t="array" ref="I232">IFERROR(IF(A232=A231,0,SUM(_xlfn._xlws.FILTER(E232:E242,(A232:A242=A232)*(F232&lt;0)))),0)</f>
        <v>0</v>
      </c>
      <c r="J232"/>
      <c r="K232"/>
      <c r="L232"/>
      <c r="M232"/>
      <c r="N232"/>
    </row>
    <row r="233" spans="1:14" hidden="1" x14ac:dyDescent="0.3">
      <c r="A233" s="70">
        <v>45737</v>
      </c>
      <c r="B233" s="71" t="s">
        <v>47</v>
      </c>
      <c r="C233" s="18">
        <v>2000</v>
      </c>
      <c r="D233" s="19">
        <v>11.845000000000001</v>
      </c>
      <c r="E233" s="67">
        <f ca="1">IFERROR(C233*D233*_xlfn.XLOOKUP(B233,[1]!TabCalc[Ticker],[1]!TabCalc[Scale]),0)</f>
        <v>23690</v>
      </c>
      <c r="F233" s="68" cm="1">
        <f t="array" aca="1" ref="F233" ca="1">IF(A233=A232,0,SUM(_xlfn._xlws.FILTER(E233:E243,A233:A243=A233)))</f>
        <v>43035</v>
      </c>
      <c r="G233" s="69">
        <f ca="1">IF(F233&lt;&gt;0,SUM($F$43:F233),0)</f>
        <v>380636.49513400008</v>
      </c>
      <c r="H233" s="69" cm="1">
        <f t="array" aca="1" ref="H233" ca="1">IFERROR(IF(A233=A232,0,SUM(_xlfn._xlws.FILTER(E233:E243,(A233:A243=A233)*(E233:E243&gt;0)))),0)</f>
        <v>43035</v>
      </c>
      <c r="I233" s="69" cm="1">
        <f t="array" aca="1" ref="I233" ca="1">IFERROR(IF(A233=A232,0,SUM(_xlfn._xlws.FILTER(E233:E243,(A233:A243=A233)*(F233&lt;0)))),0)</f>
        <v>0</v>
      </c>
      <c r="J233"/>
      <c r="K233"/>
      <c r="L233"/>
      <c r="M233"/>
      <c r="N233"/>
    </row>
    <row r="234" spans="1:14" hidden="1" x14ac:dyDescent="0.3">
      <c r="A234" s="70">
        <v>45737</v>
      </c>
      <c r="B234" s="71" t="s">
        <v>29</v>
      </c>
      <c r="C234" s="18">
        <v>500</v>
      </c>
      <c r="D234" s="19">
        <v>38.69</v>
      </c>
      <c r="E234" s="67">
        <f ca="1">IFERROR(C234*D234*_xlfn.XLOOKUP(B234,[1]!TabCalc[Ticker],[1]!TabCalc[Scale]),0)</f>
        <v>19345</v>
      </c>
      <c r="F234" s="68" cm="1">
        <f t="array" ref="F234">IF(A234=A233,0,SUM(_xlfn._xlws.FILTER(E234:E244,A234:A244=A234)))</f>
        <v>0</v>
      </c>
      <c r="G234" s="69">
        <f>IF(F234&lt;&gt;0,SUM($F$43:F234),0)</f>
        <v>0</v>
      </c>
      <c r="H234" s="69" cm="1">
        <f t="array" ref="H234">IFERROR(IF(A234=A233,0,SUM(_xlfn._xlws.FILTER(E234:E244,(A234:A244=A234)*(E234:E244&gt;0)))),0)</f>
        <v>0</v>
      </c>
      <c r="I234" s="69" cm="1">
        <f t="array" ref="I234">IFERROR(IF(A234=A233,0,SUM(_xlfn._xlws.FILTER(E234:E244,(A234:A244=A234)*(F234&lt;0)))),0)</f>
        <v>0</v>
      </c>
      <c r="J234"/>
      <c r="K234"/>
      <c r="L234"/>
      <c r="M234"/>
      <c r="N234"/>
    </row>
    <row r="235" spans="1:14" hidden="1" x14ac:dyDescent="0.3">
      <c r="A235" s="64">
        <v>45740</v>
      </c>
      <c r="B235" s="5" t="s">
        <v>76</v>
      </c>
      <c r="C235" s="65">
        <v>19410</v>
      </c>
      <c r="D235" s="5">
        <v>-41.404269999999997</v>
      </c>
      <c r="E235" s="67">
        <f ca="1">IFERROR(C235*D235*_xlfn.XLOOKUP(B235,[1]!TabCalc[Ticker],[1]!TabCalc[Scale]),0)</f>
        <v>-8036.5688069999997</v>
      </c>
      <c r="F235" s="68" cm="1">
        <f t="array" aca="1" ref="F235" ca="1">IF(A235=A234,0,SUM(_xlfn._xlws.FILTER(E235:E245,A235:A245=A235)))</f>
        <v>-518276.568807</v>
      </c>
      <c r="G235" s="69">
        <f ca="1">IF(F235&lt;&gt;0,SUM($F$43:F235),0)</f>
        <v>-137640.07367299992</v>
      </c>
      <c r="H235" s="69" cm="1">
        <f t="array" aca="1" ref="H235" ca="1">IFERROR(IF(A235=A234,0,SUM(_xlfn._xlws.FILTER(E235:E245,(A235:A245=A235)*(E235:E245&gt;0)))),0)</f>
        <v>0</v>
      </c>
      <c r="I235" s="69" cm="1">
        <f t="array" aca="1" ref="I235" ca="1">IFERROR(IF(A235=A234,0,SUM(_xlfn._xlws.FILTER(E235:E245,(A235:A245=A235)*(F235&lt;0)))),0)</f>
        <v>-518276.568807</v>
      </c>
      <c r="J235"/>
      <c r="K235"/>
      <c r="L235"/>
      <c r="M235"/>
      <c r="N235"/>
    </row>
    <row r="236" spans="1:14" hidden="1" x14ac:dyDescent="0.3">
      <c r="A236" s="64">
        <v>45740</v>
      </c>
      <c r="B236" s="5" t="s">
        <v>91</v>
      </c>
      <c r="C236" s="65">
        <v>1000</v>
      </c>
      <c r="D236" s="5">
        <v>-255.05</v>
      </c>
      <c r="E236" s="67">
        <f ca="1">IFERROR(C236*D236*_xlfn.XLOOKUP(B236,[1]!TabCalc[Ticker],[1]!TabCalc[Scale]),0)</f>
        <v>-255050</v>
      </c>
      <c r="F236" s="68" cm="1">
        <f t="array" ref="F236">IF(A236=A235,0,SUM(_xlfn._xlws.FILTER(E236:E246,A236:A246=A236)))</f>
        <v>0</v>
      </c>
      <c r="G236" s="69">
        <f>IF(F236&lt;&gt;0,SUM($F$43:F236),0)</f>
        <v>0</v>
      </c>
      <c r="H236" s="69" cm="1">
        <f t="array" ref="H236">IFERROR(IF(A236=A235,0,SUM(_xlfn._xlws.FILTER(E236:E246,(A236:A246=A236)*(E236:E246&gt;0)))),0)</f>
        <v>0</v>
      </c>
      <c r="I236" s="69" cm="1">
        <f t="array" ref="I236">IFERROR(IF(A236=A235,0,SUM(_xlfn._xlws.FILTER(E236:E246,(A236:A246=A236)*(F236&lt;0)))),0)</f>
        <v>0</v>
      </c>
      <c r="J236"/>
      <c r="K236"/>
      <c r="L236"/>
      <c r="M236"/>
      <c r="N236"/>
    </row>
    <row r="237" spans="1:14" hidden="1" x14ac:dyDescent="0.3">
      <c r="A237" s="64">
        <v>45740</v>
      </c>
      <c r="B237" s="5" t="s">
        <v>90</v>
      </c>
      <c r="C237" s="65">
        <v>1000</v>
      </c>
      <c r="D237" s="5">
        <v>-255.19</v>
      </c>
      <c r="E237" s="67">
        <f ca="1">IFERROR(C237*D237*_xlfn.XLOOKUP(B237,[1]!TabCalc[Ticker],[1]!TabCalc[Scale]),0)</f>
        <v>-255190</v>
      </c>
      <c r="F237" s="68" cm="1">
        <f t="array" ref="F237">IF(A237=A236,0,SUM(_xlfn._xlws.FILTER(E237:E247,A237:A247=A237)))</f>
        <v>0</v>
      </c>
      <c r="G237" s="69">
        <f>IF(F237&lt;&gt;0,SUM($F$43:F237),0)</f>
        <v>0</v>
      </c>
      <c r="H237" s="69" cm="1">
        <f t="array" ref="H237">IFERROR(IF(A237=A236,0,SUM(_xlfn._xlws.FILTER(E237:E247,(A237:A247=A237)*(E237:E247&gt;0)))),0)</f>
        <v>0</v>
      </c>
      <c r="I237" s="69" cm="1">
        <f t="array" ref="I237">IFERROR(IF(A237=A236,0,SUM(_xlfn._xlws.FILTER(E237:E247,(A237:A247=A237)*(F237&lt;0)))),0)</f>
        <v>0</v>
      </c>
      <c r="J237"/>
      <c r="K237"/>
      <c r="L237"/>
      <c r="M237"/>
      <c r="N237"/>
    </row>
    <row r="238" spans="1:14" hidden="1" x14ac:dyDescent="0.3">
      <c r="A238" s="70">
        <v>45741</v>
      </c>
      <c r="B238" s="71" t="s">
        <v>82</v>
      </c>
      <c r="C238" s="18">
        <v>500</v>
      </c>
      <c r="D238" s="19">
        <v>47.6</v>
      </c>
      <c r="E238" s="67">
        <f ca="1">IFERROR(C238*D238*_xlfn.XLOOKUP(B238,[1]!TabCalc[Ticker],[1]!TabCalc[Scale]),0)</f>
        <v>23800</v>
      </c>
      <c r="F238" s="68" cm="1">
        <f t="array" aca="1" ref="F238" ca="1">IF(A238=A237,0,SUM(_xlfn._xlws.FILTER(E238:E248,A238:A248=A238)))</f>
        <v>32075</v>
      </c>
      <c r="G238" s="69">
        <f ca="1">IF(F238&lt;&gt;0,SUM($F$43:F238),0)</f>
        <v>-105565.07367299992</v>
      </c>
      <c r="H238" s="69" cm="1">
        <f t="array" aca="1" ref="H238" ca="1">IFERROR(IF(A238=A237,0,SUM(_xlfn._xlws.FILTER(E238:E248,(A238:A248=A238)*(E238:E248&gt;0)))),0)</f>
        <v>32075</v>
      </c>
      <c r="I238" s="69" cm="1">
        <f t="array" aca="1" ref="I238" ca="1">IFERROR(IF(A238=A237,0,SUM(_xlfn._xlws.FILTER(E238:E248,(A238:A248=A238)*(F238&lt;0)))),0)</f>
        <v>0</v>
      </c>
      <c r="J238"/>
      <c r="K238"/>
      <c r="L238"/>
      <c r="M238"/>
      <c r="N238"/>
    </row>
    <row r="239" spans="1:14" hidden="1" x14ac:dyDescent="0.3">
      <c r="A239" s="70">
        <v>45741</v>
      </c>
      <c r="B239" s="71" t="s">
        <v>40</v>
      </c>
      <c r="C239" s="18">
        <v>500</v>
      </c>
      <c r="D239" s="19">
        <v>16.55</v>
      </c>
      <c r="E239" s="67">
        <f ca="1">IFERROR(C239*D239*_xlfn.XLOOKUP(B239,[1]!TabCalc[Ticker],[1]!TabCalc[Scale]),0)</f>
        <v>8275</v>
      </c>
      <c r="F239" s="68" cm="1">
        <f t="array" ref="F239">IF(A239=A238,0,SUM(_xlfn._xlws.FILTER(E239:E249,A239:A249=A239)))</f>
        <v>0</v>
      </c>
      <c r="G239" s="69">
        <f>IF(F239&lt;&gt;0,SUM($F$43:F239),0)</f>
        <v>0</v>
      </c>
      <c r="H239" s="69" cm="1">
        <f t="array" ref="H239">IFERROR(IF(A239=A238,0,SUM(_xlfn._xlws.FILTER(E239:E249,(A239:A249=A239)*(E239:E249&gt;0)))),0)</f>
        <v>0</v>
      </c>
      <c r="I239" s="69" cm="1">
        <f t="array" ref="I239">IFERROR(IF(A239=A238,0,SUM(_xlfn._xlws.FILTER(E239:E249,(A239:A249=A239)*(F239&lt;0)))),0)</f>
        <v>0</v>
      </c>
      <c r="J239"/>
      <c r="K239"/>
      <c r="L239"/>
      <c r="M239"/>
      <c r="N239"/>
    </row>
    <row r="240" spans="1:14" hidden="1" x14ac:dyDescent="0.3">
      <c r="A240" s="64">
        <v>45742</v>
      </c>
      <c r="B240" s="5" t="s">
        <v>46</v>
      </c>
      <c r="C240" s="65">
        <v>50</v>
      </c>
      <c r="D240" s="5">
        <v>-661.5</v>
      </c>
      <c r="E240" s="67">
        <f ca="1">IFERROR(C240*D240*_xlfn.XLOOKUP(B240,[1]!TabCalc[Ticker],[1]!TabCalc[Scale]),0)</f>
        <v>-33075</v>
      </c>
      <c r="F240" s="68" cm="1">
        <f t="array" aca="1" ref="F240" ca="1">IF(A240=A239,0,SUM(_xlfn._xlws.FILTER(E240:E250,A240:A250=A240)))</f>
        <v>-33075</v>
      </c>
      <c r="G240" s="69">
        <f ca="1">IF(F240&lt;&gt;0,SUM($F$43:F240),0)</f>
        <v>-138640.07367299992</v>
      </c>
      <c r="H240" s="69" cm="1">
        <f t="array" aca="1" ref="H240" ca="1">IFERROR(IF(A240=A239,0,SUM(_xlfn._xlws.FILTER(E240:E250,(A240:A250=A240)*(E240:E250&gt;0)))),0)</f>
        <v>0</v>
      </c>
      <c r="I240" s="69" cm="1">
        <f t="array" aca="1" ref="I240" ca="1">IFERROR(IF(A240=A239,0,SUM(_xlfn._xlws.FILTER(E240:E250,(A240:A250=A240)*(F240&lt;0)))),0)</f>
        <v>-33075</v>
      </c>
      <c r="J240"/>
      <c r="K240"/>
      <c r="L240"/>
      <c r="M240"/>
      <c r="N240"/>
    </row>
    <row r="241" spans="1:14" hidden="1" x14ac:dyDescent="0.3">
      <c r="A241" s="70">
        <v>45743</v>
      </c>
      <c r="B241" s="71" t="s">
        <v>30</v>
      </c>
      <c r="C241" s="18">
        <v>300</v>
      </c>
      <c r="D241" s="19">
        <v>-647.29999999999995</v>
      </c>
      <c r="E241" s="67">
        <f ca="1">IFERROR(C241*D241*_xlfn.XLOOKUP(B241,[1]!TabCalc[Ticker],[1]!TabCalc[Scale]),0)</f>
        <v>-194190</v>
      </c>
      <c r="F241" s="68" cm="1">
        <f t="array" aca="1" ref="F241" ca="1">IF(A241=A240,0,SUM(_xlfn._xlws.FILTER(E241:E251,A241:A251=A241)))</f>
        <v>-194190</v>
      </c>
      <c r="G241" s="69">
        <f ca="1">IF(F241&lt;&gt;0,SUM($F$43:F241),0)</f>
        <v>-332830.07367299992</v>
      </c>
      <c r="H241" s="69" cm="1">
        <f t="array" aca="1" ref="H241" ca="1">IFERROR(IF(A241=A240,0,SUM(_xlfn._xlws.FILTER(E241:E251,(A241:A251=A241)*(E241:E251&gt;0)))),0)</f>
        <v>0</v>
      </c>
      <c r="I241" s="69" cm="1">
        <f t="array" aca="1" ref="I241" ca="1">IFERROR(IF(A241=A240,0,SUM(_xlfn._xlws.FILTER(E241:E251,(A241:A251=A241)*(F241&lt;0)))),0)</f>
        <v>-194190</v>
      </c>
      <c r="J241"/>
      <c r="K241"/>
      <c r="L241"/>
      <c r="M241"/>
      <c r="N241"/>
    </row>
    <row r="242" spans="1:14" hidden="1" x14ac:dyDescent="0.3">
      <c r="A242" s="64">
        <v>45744</v>
      </c>
      <c r="B242" s="5" t="s">
        <v>69</v>
      </c>
      <c r="C242" s="65">
        <v>20000</v>
      </c>
      <c r="D242" s="5">
        <v>-284.47789999999998</v>
      </c>
      <c r="E242" s="67">
        <f ca="1">IFERROR(C242*D242*_xlfn.XLOOKUP(B242,[1]!TabCalc[Ticker],[1]!TabCalc[Scale]),0)</f>
        <v>-56895.58</v>
      </c>
      <c r="F242" s="68" cm="1">
        <f t="array" aca="1" ref="F242" ca="1">IF(A242=A241,0,SUM(_xlfn._xlws.FILTER(E242:E252,A242:A252=A242)))</f>
        <v>-20908.750000000007</v>
      </c>
      <c r="G242" s="69">
        <f ca="1">IF(F242&lt;&gt;0,SUM($F$43:F242),0)</f>
        <v>-353738.82367299992</v>
      </c>
      <c r="H242" s="69" cm="1">
        <f t="array" aca="1" ref="H242" ca="1">IFERROR(IF(A242=A241,0,SUM(_xlfn._xlws.FILTER(E242:E252,(A242:A252=A242)*(E242:E252&gt;0)))),0)</f>
        <v>106150.82999999999</v>
      </c>
      <c r="I242" s="69" cm="1">
        <f t="array" aca="1" ref="I242" ca="1">IFERROR(IF(A242=A241,0,SUM(_xlfn._xlws.FILTER(E242:E252,(A242:A252=A242)*(F242&lt;0)))),0)</f>
        <v>-20908.750000000007</v>
      </c>
      <c r="J242"/>
      <c r="K242"/>
      <c r="L242"/>
      <c r="M242"/>
      <c r="N242"/>
    </row>
    <row r="243" spans="1:14" hidden="1" x14ac:dyDescent="0.3">
      <c r="A243" s="64">
        <v>45744</v>
      </c>
      <c r="B243" s="5" t="s">
        <v>83</v>
      </c>
      <c r="C243" s="65">
        <v>2500</v>
      </c>
      <c r="D243" s="5">
        <v>26.31</v>
      </c>
      <c r="E243" s="67">
        <f ca="1">IFERROR(C243*D243*_xlfn.XLOOKUP(B243,[1]!TabCalc[Ticker],[1]!TabCalc[Scale]),0)</f>
        <v>65775</v>
      </c>
      <c r="F243" s="68" cm="1">
        <f t="array" ref="F243">IF(A243=A242,0,SUM(_xlfn._xlws.FILTER(E243:E253,A243:A253=A243)))</f>
        <v>0</v>
      </c>
      <c r="G243" s="69">
        <f>IF(F243&lt;&gt;0,SUM($F$43:F243),0)</f>
        <v>0</v>
      </c>
      <c r="H243" s="69" cm="1">
        <f t="array" ref="H243">IFERROR(IF(A243=A242,0,SUM(_xlfn._xlws.FILTER(E243:E253,(A243:A253=A243)*(E243:E253&gt;0)))),0)</f>
        <v>0</v>
      </c>
      <c r="I243" s="69" cm="1">
        <f t="array" ref="I243">IFERROR(IF(A243=A242,0,SUM(_xlfn._xlws.FILTER(E243:E253,(A243:A253=A243)*(F243&lt;0)))),0)</f>
        <v>0</v>
      </c>
      <c r="J243"/>
      <c r="K243"/>
      <c r="L243"/>
      <c r="M243"/>
      <c r="N243"/>
    </row>
    <row r="244" spans="1:14" hidden="1" x14ac:dyDescent="0.3">
      <c r="A244" s="64">
        <v>45744</v>
      </c>
      <c r="B244" s="5" t="s">
        <v>57</v>
      </c>
      <c r="C244" s="65">
        <v>1200</v>
      </c>
      <c r="D244" s="5">
        <v>33.646524999999997</v>
      </c>
      <c r="E244" s="67">
        <f ca="1">IFERROR(C244*D244*_xlfn.XLOOKUP(B244,[1]!TabCalc[Ticker],[1]!TabCalc[Scale]),0)</f>
        <v>40375.829999999994</v>
      </c>
      <c r="F244" s="68" cm="1">
        <f t="array" ref="F244">IF(A244=A243,0,SUM(_xlfn._xlws.FILTER(E244:E254,A244:A254=A244)))</f>
        <v>0</v>
      </c>
      <c r="G244" s="69">
        <f>IF(F244&lt;&gt;0,SUM($F$43:F244),0)</f>
        <v>0</v>
      </c>
      <c r="H244" s="69" cm="1">
        <f t="array" ref="H244">IFERROR(IF(A244=A243,0,SUM(_xlfn._xlws.FILTER(E244:E254,(A244:A254=A244)*(E244:E254&gt;0)))),0)</f>
        <v>0</v>
      </c>
      <c r="I244" s="69" cm="1">
        <f t="array" ref="I244">IFERROR(IF(A244=A243,0,SUM(_xlfn._xlws.FILTER(E244:E254,(A244:A254=A244)*(F244&lt;0)))),0)</f>
        <v>0</v>
      </c>
      <c r="J244"/>
      <c r="K244"/>
      <c r="L244"/>
      <c r="M244"/>
      <c r="N244"/>
    </row>
    <row r="245" spans="1:14" hidden="1" x14ac:dyDescent="0.3">
      <c r="A245" s="64">
        <v>45744</v>
      </c>
      <c r="B245" s="5" t="s">
        <v>41</v>
      </c>
      <c r="C245" s="65">
        <v>15000</v>
      </c>
      <c r="D245" s="5">
        <v>-0.89</v>
      </c>
      <c r="E245" s="67">
        <f ca="1">IFERROR(C245*D245*_xlfn.XLOOKUP(B245,[1]!TabCalc[Ticker],[1]!TabCalc[Scale]),0)</f>
        <v>-13350</v>
      </c>
      <c r="F245" s="68" cm="1">
        <f t="array" ref="F245">IF(A245=A244,0,SUM(_xlfn._xlws.FILTER(E245:E255,A245:A255=A245)))</f>
        <v>0</v>
      </c>
      <c r="G245" s="69">
        <f>IF(F245&lt;&gt;0,SUM($F$43:F245),0)</f>
        <v>0</v>
      </c>
      <c r="H245" s="69" cm="1">
        <f t="array" ref="H245">IFERROR(IF(A245=A244,0,SUM(_xlfn._xlws.FILTER(E245:E255,(A245:A255=A245)*(E245:E255&gt;0)))),0)</f>
        <v>0</v>
      </c>
      <c r="I245" s="69" cm="1">
        <f t="array" ref="I245">IFERROR(IF(A245=A244,0,SUM(_xlfn._xlws.FILTER(E245:E255,(A245:A255=A245)*(F245&lt;0)))),0)</f>
        <v>0</v>
      </c>
      <c r="J245"/>
      <c r="K245"/>
      <c r="L245"/>
      <c r="M245"/>
      <c r="N245"/>
    </row>
    <row r="246" spans="1:14" hidden="1" x14ac:dyDescent="0.3">
      <c r="A246" s="64">
        <v>45744</v>
      </c>
      <c r="B246" s="5" t="s">
        <v>93</v>
      </c>
      <c r="C246" s="65">
        <v>150</v>
      </c>
      <c r="D246" s="5">
        <v>-378.76</v>
      </c>
      <c r="E246" s="67">
        <f ca="1">IFERROR(C246*D246*_xlfn.XLOOKUP(B246,[1]!TabCalc[Ticker],[1]!TabCalc[Scale]),0)</f>
        <v>-56814</v>
      </c>
      <c r="F246" s="68" cm="1">
        <f t="array" ref="F246">IF(A246=A245,0,SUM(_xlfn._xlws.FILTER(E246:E256,A246:A256=A246)))</f>
        <v>0</v>
      </c>
      <c r="G246" s="69">
        <f>IF(F246&lt;&gt;0,SUM($F$43:F246),0)</f>
        <v>0</v>
      </c>
      <c r="H246" s="69" cm="1">
        <f t="array" ref="H246">IFERROR(IF(A246=A245,0,SUM(_xlfn._xlws.FILTER(E246:E256,(A246:A256=A246)*(E246:E256&gt;0)))),0)</f>
        <v>0</v>
      </c>
      <c r="I246" s="69" cm="1">
        <f t="array" ref="I246">IFERROR(IF(A246=A245,0,SUM(_xlfn._xlws.FILTER(E246:E256,(A246:A256=A246)*(F246&lt;0)))),0)</f>
        <v>0</v>
      </c>
      <c r="J246"/>
      <c r="K246"/>
      <c r="L246"/>
      <c r="M246"/>
      <c r="N246"/>
    </row>
    <row r="247" spans="1:14" hidden="1" x14ac:dyDescent="0.3">
      <c r="A247" s="70">
        <v>45747</v>
      </c>
      <c r="B247" s="6" t="s">
        <v>30</v>
      </c>
      <c r="C247" s="18">
        <v>200</v>
      </c>
      <c r="D247" s="77">
        <v>-603.79999999999995</v>
      </c>
      <c r="E247" s="67">
        <f ca="1">IFERROR(C247*D247*_xlfn.XLOOKUP(B247,[1]!TabCalc[Ticker],[1]!TabCalc[Scale]),0)</f>
        <v>-120759.99999999999</v>
      </c>
      <c r="F247" s="68" cm="1">
        <f t="array" aca="1" ref="F247" ca="1">IF(A247=A246,0,SUM(_xlfn._xlws.FILTER(E247:E257,A247:A257=A247)))</f>
        <v>-11044.599499999986</v>
      </c>
      <c r="G247" s="69">
        <f ca="1">IF(F247&lt;&gt;0,SUM($F$43:F247),0)</f>
        <v>-364783.42317299993</v>
      </c>
      <c r="H247" s="69" cm="1">
        <f t="array" aca="1" ref="H247" ca="1">IFERROR(IF(A247=A246,0,SUM(_xlfn._xlws.FILTER(E247:E257,(A247:A257=A247)*(E247:E257&gt;0)))),0)</f>
        <v>109715.4005</v>
      </c>
      <c r="I247" s="69" cm="1">
        <f t="array" aca="1" ref="I247" ca="1">IFERROR(IF(A247=A246,0,SUM(_xlfn._xlws.FILTER(E247:E257,(A247:A257=A247)*(F247&lt;0)))),0)</f>
        <v>-11044.599499999986</v>
      </c>
      <c r="J247"/>
      <c r="K247"/>
      <c r="L247"/>
      <c r="M247"/>
      <c r="N247"/>
    </row>
    <row r="248" spans="1:14" hidden="1" x14ac:dyDescent="0.3">
      <c r="A248" s="70">
        <v>45747</v>
      </c>
      <c r="B248" s="6" t="s">
        <v>75</v>
      </c>
      <c r="C248" s="18">
        <v>7000</v>
      </c>
      <c r="D248" s="77">
        <v>13.94</v>
      </c>
      <c r="E248" s="67">
        <f ca="1">IFERROR(C248*D248*_xlfn.XLOOKUP(B248,[1]!TabCalc[Ticker],[1]!TabCalc[Scale]),0)</f>
        <v>97580</v>
      </c>
      <c r="F248" s="68" cm="1">
        <f t="array" ref="F248">IF(A248=A247,0,SUM(_xlfn._xlws.FILTER(E248:E258,A248:A258=A248)))</f>
        <v>0</v>
      </c>
      <c r="G248" s="69">
        <f>IF(F248&lt;&gt;0,SUM($F$43:F248),0)</f>
        <v>0</v>
      </c>
      <c r="H248" s="69" cm="1">
        <f t="array" ref="H248">IFERROR(IF(A248=A247,0,SUM(_xlfn._xlws.FILTER(E248:E258,(A248:A258=A248)*(E248:E258&gt;0)))),0)</f>
        <v>0</v>
      </c>
      <c r="I248" s="69" cm="1">
        <f t="array" ref="I248">IFERROR(IF(A248=A247,0,SUM(_xlfn._xlws.FILTER(E248:E258,(A248:A258=A248)*(F248&lt;0)))),0)</f>
        <v>0</v>
      </c>
      <c r="J248"/>
      <c r="K248"/>
      <c r="L248"/>
      <c r="M248"/>
      <c r="N248"/>
    </row>
    <row r="249" spans="1:14" hidden="1" x14ac:dyDescent="0.3">
      <c r="A249" s="70">
        <v>45747</v>
      </c>
      <c r="B249" s="6" t="s">
        <v>41</v>
      </c>
      <c r="C249" s="18">
        <v>15000</v>
      </c>
      <c r="D249" s="77">
        <v>0.80902669999999999</v>
      </c>
      <c r="E249" s="67">
        <f ca="1">IFERROR(C249*D249*_xlfn.XLOOKUP(B249,[1]!TabCalc[Ticker],[1]!TabCalc[Scale]),0)</f>
        <v>12135.4005</v>
      </c>
      <c r="F249" s="68" cm="1">
        <f t="array" ref="F249">IF(A249=A248,0,SUM(_xlfn._xlws.FILTER(E249:E259,A249:A259=A249)))</f>
        <v>0</v>
      </c>
      <c r="G249" s="69">
        <f>IF(F249&lt;&gt;0,SUM($F$43:F249),0)</f>
        <v>0</v>
      </c>
      <c r="H249" s="69" cm="1">
        <f t="array" ref="H249">IFERROR(IF(A249=A248,0,SUM(_xlfn._xlws.FILTER(E249:E259,(A249:A259=A249)*(E249:E259&gt;0)))),0)</f>
        <v>0</v>
      </c>
      <c r="I249" s="69" cm="1">
        <f t="array" ref="I249">IFERROR(IF(A249=A248,0,SUM(_xlfn._xlws.FILTER(E249:E259,(A249:A259=A249)*(F249&lt;0)))),0)</f>
        <v>0</v>
      </c>
      <c r="J249"/>
      <c r="K249"/>
      <c r="L249"/>
      <c r="M249"/>
      <c r="N249"/>
    </row>
    <row r="250" spans="1:14" hidden="1" x14ac:dyDescent="0.3">
      <c r="A250" s="64">
        <v>45748</v>
      </c>
      <c r="B250" s="5" t="s">
        <v>61</v>
      </c>
      <c r="C250" s="65">
        <v>500</v>
      </c>
      <c r="D250" s="5">
        <v>-192.82</v>
      </c>
      <c r="E250" s="67">
        <f ca="1">IFERROR(C250*D250*_xlfn.XLOOKUP(B250,[1]!TabCalc[Ticker],[1]!TabCalc[Scale]),0)</f>
        <v>-96410</v>
      </c>
      <c r="F250" s="68" cm="1">
        <f t="array" aca="1" ref="F250" ca="1">IF(A250=A249,0,SUM(_xlfn._xlws.FILTER(E250:E260,A250:A260=A250)))</f>
        <v>-154345.20000000001</v>
      </c>
      <c r="G250" s="69">
        <f ca="1">IF(F250&lt;&gt;0,SUM($F$43:F250),0)</f>
        <v>-519128.62317299994</v>
      </c>
      <c r="H250" s="69" cm="1">
        <f t="array" aca="1" ref="H250" ca="1">IFERROR(IF(A250=A249,0,SUM(_xlfn._xlws.FILTER(E250:E260,(A250:A260=A250)*(E250:E260&gt;0)))),0)</f>
        <v>52140</v>
      </c>
      <c r="I250" s="69" cm="1">
        <f t="array" aca="1" ref="I250" ca="1">IFERROR(IF(A250=A249,0,SUM(_xlfn._xlws.FILTER(E250:E260,(A250:A260=A250)*(F250&lt;0)))),0)</f>
        <v>-154345.20000000001</v>
      </c>
      <c r="J250"/>
      <c r="K250"/>
      <c r="L250"/>
      <c r="M250"/>
      <c r="N250"/>
    </row>
    <row r="251" spans="1:14" hidden="1" x14ac:dyDescent="0.3">
      <c r="A251" s="64">
        <v>45748</v>
      </c>
      <c r="B251" s="5" t="s">
        <v>75</v>
      </c>
      <c r="C251" s="65">
        <v>2000</v>
      </c>
      <c r="D251" s="5">
        <v>14.04</v>
      </c>
      <c r="E251" s="67">
        <f ca="1">IFERROR(C251*D251*_xlfn.XLOOKUP(B251,[1]!TabCalc[Ticker],[1]!TabCalc[Scale]),0)</f>
        <v>28080</v>
      </c>
      <c r="F251" s="68" cm="1">
        <f t="array" ref="F251">IF(A251=A250,0,SUM(_xlfn._xlws.FILTER(E251:E261,A251:A261=A251)))</f>
        <v>0</v>
      </c>
      <c r="G251" s="69">
        <f>IF(F251&lt;&gt;0,SUM($F$43:F251),0)</f>
        <v>0</v>
      </c>
      <c r="H251" s="69" cm="1">
        <f t="array" ref="H251">IFERROR(IF(A251=A250,0,SUM(_xlfn._xlws.FILTER(E251:E261,(A251:A261=A251)*(E251:E261&gt;0)))),0)</f>
        <v>0</v>
      </c>
      <c r="I251" s="69" cm="1">
        <f t="array" ref="I251">IFERROR(IF(A251=A250,0,SUM(_xlfn._xlws.FILTER(E251:E261,(A251:A261=A251)*(F251&lt;0)))),0)</f>
        <v>0</v>
      </c>
      <c r="J251"/>
      <c r="K251"/>
      <c r="L251"/>
      <c r="M251"/>
      <c r="N251"/>
    </row>
    <row r="252" spans="1:14" hidden="1" x14ac:dyDescent="0.3">
      <c r="A252" s="64">
        <v>45748</v>
      </c>
      <c r="B252" s="5" t="s">
        <v>69</v>
      </c>
      <c r="C252" s="65">
        <v>20000</v>
      </c>
      <c r="D252" s="5">
        <v>-267.01</v>
      </c>
      <c r="E252" s="67">
        <f ca="1">IFERROR(C252*D252*_xlfn.XLOOKUP(B252,[1]!TabCalc[Ticker],[1]!TabCalc[Scale]),0)</f>
        <v>-53402</v>
      </c>
      <c r="F252" s="68" cm="1">
        <f t="array" ref="F252">IF(A252=A251,0,SUM(_xlfn._xlws.FILTER(E252:E262,A252:A262=A252)))</f>
        <v>0</v>
      </c>
      <c r="G252" s="69">
        <f>IF(F252&lt;&gt;0,SUM($F$43:F252),0)</f>
        <v>0</v>
      </c>
      <c r="H252" s="69" cm="1">
        <f t="array" ref="H252">IFERROR(IF(A252=A251,0,SUM(_xlfn._xlws.FILTER(E252:E262,(A252:A262=A252)*(E252:E262&gt;0)))),0)</f>
        <v>0</v>
      </c>
      <c r="I252" s="69" cm="1">
        <f t="array" ref="I252">IFERROR(IF(A252=A251,0,SUM(_xlfn._xlws.FILTER(E252:E262,(A252:A262=A252)*(F252&lt;0)))),0)</f>
        <v>0</v>
      </c>
      <c r="J252"/>
      <c r="K252"/>
      <c r="L252"/>
      <c r="M252"/>
      <c r="N252"/>
    </row>
    <row r="253" spans="1:14" hidden="1" x14ac:dyDescent="0.3">
      <c r="A253" s="64">
        <v>45748</v>
      </c>
      <c r="B253" s="5" t="s">
        <v>74</v>
      </c>
      <c r="C253" s="65">
        <v>4000</v>
      </c>
      <c r="D253" s="5">
        <v>-14.1683</v>
      </c>
      <c r="E253" s="67">
        <f ca="1">IFERROR(C253*D253*_xlfn.XLOOKUP(B253,[1]!TabCalc[Ticker],[1]!TabCalc[Scale]),0)</f>
        <v>-56673.200000000004</v>
      </c>
      <c r="F253" s="68" cm="1">
        <f t="array" ref="F253">IF(A253=A252,0,SUM(_xlfn._xlws.FILTER(E253:E263,A253:A263=A253)))</f>
        <v>0</v>
      </c>
      <c r="G253" s="69">
        <f>IF(F253&lt;&gt;0,SUM($F$43:F253),0)</f>
        <v>0</v>
      </c>
      <c r="H253" s="69" cm="1">
        <f t="array" ref="H253">IFERROR(IF(A253=A252,0,SUM(_xlfn._xlws.FILTER(E253:E263,(A253:A263=A253)*(E253:E263&gt;0)))),0)</f>
        <v>0</v>
      </c>
      <c r="I253" s="69" cm="1">
        <f t="array" ref="I253">IFERROR(IF(A253=A252,0,SUM(_xlfn._xlws.FILTER(E253:E263,(A253:A263=A253)*(F253&lt;0)))),0)</f>
        <v>0</v>
      </c>
      <c r="J253"/>
      <c r="K253"/>
      <c r="L253"/>
      <c r="M253"/>
      <c r="N253"/>
    </row>
    <row r="254" spans="1:14" hidden="1" x14ac:dyDescent="0.3">
      <c r="A254" s="64">
        <v>45748</v>
      </c>
      <c r="B254" s="5" t="s">
        <v>47</v>
      </c>
      <c r="C254" s="65">
        <v>2000</v>
      </c>
      <c r="D254" s="5">
        <v>12.03</v>
      </c>
      <c r="E254" s="67">
        <f ca="1">IFERROR(C254*D254*_xlfn.XLOOKUP(B254,[1]!TabCalc[Ticker],[1]!TabCalc[Scale]),0)</f>
        <v>24060</v>
      </c>
      <c r="F254" s="68" cm="1">
        <f t="array" ref="F254">IF(A254=A253,0,SUM(_xlfn._xlws.FILTER(E254:E264,A254:A264=A254)))</f>
        <v>0</v>
      </c>
      <c r="G254" s="69">
        <f>IF(F254&lt;&gt;0,SUM($F$43:F254),0)</f>
        <v>0</v>
      </c>
      <c r="H254" s="69" cm="1">
        <f t="array" ref="H254">IFERROR(IF(A254=A253,0,SUM(_xlfn._xlws.FILTER(E254:E264,(A254:A264=A254)*(E254:E264&gt;0)))),0)</f>
        <v>0</v>
      </c>
      <c r="I254" s="69" cm="1">
        <f t="array" ref="I254">IFERROR(IF(A254=A253,0,SUM(_xlfn._xlws.FILTER(E254:E264,(A254:A264=A254)*(F254&lt;0)))),0)</f>
        <v>0</v>
      </c>
      <c r="J254"/>
      <c r="K254"/>
      <c r="L254"/>
      <c r="M254"/>
      <c r="N254"/>
    </row>
    <row r="255" spans="1:14" hidden="1" x14ac:dyDescent="0.3">
      <c r="A255" s="70">
        <v>45749</v>
      </c>
      <c r="B255" s="6" t="s">
        <v>29</v>
      </c>
      <c r="C255" s="18">
        <v>2000</v>
      </c>
      <c r="D255" s="77">
        <v>-35.44</v>
      </c>
      <c r="E255" s="67">
        <f ca="1">IFERROR(C255*D255*_xlfn.XLOOKUP(B255,[1]!TabCalc[Ticker],[1]!TabCalc[Scale]),0)</f>
        <v>-70880</v>
      </c>
      <c r="F255" s="68" cm="1">
        <f t="array" aca="1" ref="F255" ca="1">IF(A255=A254,0,SUM(_xlfn._xlws.FILTER(E255:E265,A255:A265=A255)))</f>
        <v>-10830</v>
      </c>
      <c r="G255" s="69">
        <f ca="1">IF(F255&lt;&gt;0,SUM($F$43:F255),0)</f>
        <v>-529958.62317299994</v>
      </c>
      <c r="H255" s="69" cm="1">
        <f t="array" aca="1" ref="H255" ca="1">IFERROR(IF(A255=A254,0,SUM(_xlfn._xlws.FILTER(E255:E265,(A255:A265=A255)*(E255:E265&gt;0)))),0)</f>
        <v>60050</v>
      </c>
      <c r="I255" s="69" cm="1">
        <f t="array" aca="1" ref="I255" ca="1">IFERROR(IF(A255=A254,0,SUM(_xlfn._xlws.FILTER(E255:E265,(A255:A265=A255)*(F255&lt;0)))),0)</f>
        <v>-10830</v>
      </c>
      <c r="J255"/>
      <c r="K255"/>
      <c r="L255"/>
      <c r="M255"/>
      <c r="N255"/>
    </row>
    <row r="256" spans="1:14" hidden="1" x14ac:dyDescent="0.3">
      <c r="A256" s="70">
        <v>45749</v>
      </c>
      <c r="B256" s="6" t="s">
        <v>48</v>
      </c>
      <c r="C256" s="18">
        <v>5000</v>
      </c>
      <c r="D256" s="77">
        <v>12.01</v>
      </c>
      <c r="E256" s="67">
        <f ca="1">IFERROR(C256*D256*_xlfn.XLOOKUP(B256,[1]!TabCalc[Ticker],[1]!TabCalc[Scale]),0)</f>
        <v>60050</v>
      </c>
      <c r="F256" s="68" cm="1">
        <f t="array" ref="F256">IF(A256=A255,0,SUM(_xlfn._xlws.FILTER(E256:E266,A256:A266=A256)))</f>
        <v>0</v>
      </c>
      <c r="G256" s="69">
        <f>IF(F256&lt;&gt;0,SUM($F$43:F256),0)</f>
        <v>0</v>
      </c>
      <c r="H256" s="69" cm="1">
        <f t="array" ref="H256">IFERROR(IF(A256=A255,0,SUM(_xlfn._xlws.FILTER(E256:E266,(A256:A266=A256)*(E256:E266&gt;0)))),0)</f>
        <v>0</v>
      </c>
      <c r="I256" s="69" cm="1">
        <f t="array" ref="I256">IFERROR(IF(A256=A255,0,SUM(_xlfn._xlws.FILTER(E256:E266,(A256:A266=A256)*(F256&lt;0)))),0)</f>
        <v>0</v>
      </c>
      <c r="J256"/>
      <c r="K256"/>
      <c r="L256"/>
      <c r="M256"/>
      <c r="N256"/>
    </row>
    <row r="257" spans="1:14" hidden="1" x14ac:dyDescent="0.3">
      <c r="A257" s="64">
        <v>45755</v>
      </c>
      <c r="B257" s="5" t="s">
        <v>97</v>
      </c>
      <c r="C257" s="65">
        <v>6000</v>
      </c>
      <c r="D257" s="5">
        <v>-56.89</v>
      </c>
      <c r="E257" s="67">
        <f ca="1">IFERROR(C257*D257*_xlfn.XLOOKUP(B257,[1]!TabCalc[Ticker],[1]!TabCalc[Scale]),0)</f>
        <v>-341340</v>
      </c>
      <c r="F257" s="68" cm="1">
        <f t="array" aca="1" ref="F257" ca="1">IF(A257=A256,0,SUM(_xlfn._xlws.FILTER(E257:E267,A257:A267=A257)))</f>
        <v>-341340</v>
      </c>
      <c r="G257" s="69">
        <f ca="1">IF(F257&lt;&gt;0,SUM($F$43:F257),0)</f>
        <v>-871298.62317299994</v>
      </c>
      <c r="H257" s="69" cm="1">
        <f t="array" aca="1" ref="H257" ca="1">IFERROR(IF(A257=A256,0,SUM(_xlfn._xlws.FILTER(E257:E267,(A257:A267=A257)*(E257:E267&gt;0)))),0)</f>
        <v>0</v>
      </c>
      <c r="I257" s="69" cm="1">
        <f t="array" aca="1" ref="I257" ca="1">IFERROR(IF(A257=A256,0,SUM(_xlfn._xlws.FILTER(E257:E267,(A257:A267=A257)*(F257&lt;0)))),0)</f>
        <v>-341340</v>
      </c>
      <c r="J257"/>
      <c r="K257"/>
      <c r="L257"/>
      <c r="M257"/>
      <c r="N257"/>
    </row>
    <row r="258" spans="1:14" hidden="1" x14ac:dyDescent="0.3">
      <c r="A258" s="70">
        <v>45757</v>
      </c>
      <c r="B258" s="6" t="s">
        <v>97</v>
      </c>
      <c r="C258" s="18">
        <v>4000</v>
      </c>
      <c r="D258" s="77">
        <v>-55.7</v>
      </c>
      <c r="E258" s="67">
        <f ca="1">IFERROR(C258*D258*_xlfn.XLOOKUP(B258,[1]!TabCalc[Ticker],[1]!TabCalc[Scale]),0)</f>
        <v>-222800</v>
      </c>
      <c r="F258" s="68" cm="1">
        <f t="array" aca="1" ref="F258" ca="1">IF(A258=A257,0,SUM(_xlfn._xlws.FILTER(E258:E268,A258:A268=A258)))</f>
        <v>-222800</v>
      </c>
      <c r="G258" s="69">
        <f ca="1">IF(F258&lt;&gt;0,SUM($F$43:F258),0)</f>
        <v>-1094098.6231729998</v>
      </c>
      <c r="H258" s="69" cm="1">
        <f t="array" aca="1" ref="H258" ca="1">IFERROR(IF(A258=A257,0,SUM(_xlfn._xlws.FILTER(E258:E268,(A258:A268=A258)*(E258:E268&gt;0)))),0)</f>
        <v>0</v>
      </c>
      <c r="I258" s="69" cm="1">
        <f t="array" aca="1" ref="I258" ca="1">IFERROR(IF(A258=A257,0,SUM(_xlfn._xlws.FILTER(E258:E268,(A258:A268=A258)*(F258&lt;0)))),0)</f>
        <v>-222800</v>
      </c>
      <c r="J258"/>
      <c r="K258"/>
      <c r="L258"/>
      <c r="M258"/>
      <c r="N258"/>
    </row>
    <row r="259" spans="1:14" hidden="1" x14ac:dyDescent="0.3">
      <c r="A259" s="64">
        <v>45759</v>
      </c>
      <c r="B259" s="5" t="s">
        <v>41</v>
      </c>
      <c r="C259" s="65">
        <v>15000</v>
      </c>
      <c r="D259" s="5">
        <v>-0.73</v>
      </c>
      <c r="E259" s="67">
        <f ca="1">IFERROR(C259*D259*_xlfn.XLOOKUP(B259,[1]!TabCalc[Ticker],[1]!TabCalc[Scale]),0)</f>
        <v>-10950</v>
      </c>
      <c r="F259" s="68" cm="1">
        <f t="array" aca="1" ref="F259" ca="1">IF(A259=A258,0,SUM(_xlfn._xlws.FILTER(E259:E269,A259:A269=A259)))</f>
        <v>-10950</v>
      </c>
      <c r="G259" s="69">
        <f ca="1">IF(F259&lt;&gt;0,SUM($F$43:F259),0)</f>
        <v>-1105048.6231729998</v>
      </c>
      <c r="H259" s="69" cm="1">
        <f t="array" aca="1" ref="H259" ca="1">IFERROR(IF(A259=A258,0,SUM(_xlfn._xlws.FILTER(E259:E269,(A259:A269=A259)*(E259:E269&gt;0)))),0)</f>
        <v>0</v>
      </c>
      <c r="I259" s="69" cm="1">
        <f t="array" aca="1" ref="I259" ca="1">IFERROR(IF(A259=A258,0,SUM(_xlfn._xlws.FILTER(E259:E269,(A259:A269=A259)*(F259&lt;0)))),0)</f>
        <v>-10950</v>
      </c>
      <c r="J259"/>
      <c r="K259"/>
      <c r="L259"/>
      <c r="M259"/>
      <c r="N259"/>
    </row>
    <row r="260" spans="1:14" hidden="1" x14ac:dyDescent="0.3">
      <c r="A260" s="70">
        <v>45762</v>
      </c>
      <c r="B260" s="6" t="s">
        <v>41</v>
      </c>
      <c r="C260" s="18">
        <v>50000</v>
      </c>
      <c r="D260" s="6">
        <v>-0.62019999999999997</v>
      </c>
      <c r="E260" s="67">
        <f ca="1">IFERROR(C260*D260*_xlfn.XLOOKUP(B260,[1]!TabCalc[Ticker],[1]!TabCalc[Scale]),0)</f>
        <v>-31010</v>
      </c>
      <c r="F260" s="68" cm="1">
        <f t="array" aca="1" ref="F260" ca="1">IF(A260=A259,0,SUM(_xlfn._xlws.FILTER(E260:E270,A260:A270=A260)))</f>
        <v>-243567.49999999997</v>
      </c>
      <c r="G260" s="69">
        <f ca="1">IF(F260&lt;&gt;0,SUM($F$43:F260),0)</f>
        <v>-1348616.1231729998</v>
      </c>
      <c r="H260" s="69" cm="1">
        <f t="array" aca="1" ref="H260" ca="1">IFERROR(IF(A260=A259,0,SUM(_xlfn._xlws.FILTER(E260:E270,(A260:A270=A260)*(E260:E270&gt;0)))),0)</f>
        <v>0</v>
      </c>
      <c r="I260" s="69" cm="1">
        <f t="array" aca="1" ref="I260" ca="1">IFERROR(IF(A260=A259,0,SUM(_xlfn._xlws.FILTER(E260:E270,(A260:A270=A260)*(F260&lt;0)))),0)</f>
        <v>-243567.49999999997</v>
      </c>
      <c r="J260"/>
      <c r="K260"/>
      <c r="L260"/>
      <c r="M260"/>
      <c r="N260"/>
    </row>
    <row r="261" spans="1:14" hidden="1" x14ac:dyDescent="0.3">
      <c r="A261" s="70">
        <v>45762</v>
      </c>
      <c r="B261" s="6" t="s">
        <v>31</v>
      </c>
      <c r="C261" s="18">
        <v>1350</v>
      </c>
      <c r="D261" s="6">
        <v>-157.44999999999999</v>
      </c>
      <c r="E261" s="67">
        <f ca="1">IFERROR(C261*D261*_xlfn.XLOOKUP(B261,[1]!TabCalc[Ticker],[1]!TabCalc[Scale]),0)</f>
        <v>-212557.49999999997</v>
      </c>
      <c r="F261" s="68" cm="1">
        <f t="array" ref="F261">IF(A261=A260,0,SUM(_xlfn._xlws.FILTER(E261:E271,A261:A271=A261)))</f>
        <v>0</v>
      </c>
      <c r="G261" s="69">
        <f>IF(F261&lt;&gt;0,SUM($F$43:F261),0)</f>
        <v>0</v>
      </c>
      <c r="H261" s="69" cm="1">
        <f t="array" ref="H261">IFERROR(IF(A261=A260,0,SUM(_xlfn._xlws.FILTER(E261:E271,(A261:A271=A261)*(E261:E271&gt;0)))),0)</f>
        <v>0</v>
      </c>
      <c r="I261" s="69" cm="1">
        <f t="array" ref="I261">IFERROR(IF(A261=A260,0,SUM(_xlfn._xlws.FILTER(E261:E271,(A261:A271=A261)*(F261&lt;0)))),0)</f>
        <v>0</v>
      </c>
      <c r="J261"/>
      <c r="K261"/>
      <c r="L261"/>
      <c r="M261"/>
      <c r="N261"/>
    </row>
    <row r="262" spans="1:14" hidden="1" x14ac:dyDescent="0.3">
      <c r="A262" s="64">
        <v>45770</v>
      </c>
      <c r="B262" s="5" t="s">
        <v>97</v>
      </c>
      <c r="C262" s="65">
        <v>4000</v>
      </c>
      <c r="D262" s="5">
        <v>58.63</v>
      </c>
      <c r="E262" s="67">
        <f ca="1">IFERROR(C262*D262*_xlfn.XLOOKUP(B262,[1]!TabCalc[Ticker],[1]!TabCalc[Scale]),0)</f>
        <v>234520</v>
      </c>
      <c r="F262" s="68" cm="1">
        <f t="array" aca="1" ref="F262" ca="1">IF(A262=A261,0,SUM(_xlfn._xlws.FILTER(E262:E272,A262:A272=A262)))</f>
        <v>499130</v>
      </c>
      <c r="G262" s="69">
        <f ca="1">IF(F262&lt;&gt;0,SUM($F$43:F262),0)</f>
        <v>-849486.12317299983</v>
      </c>
      <c r="H262" s="69" cm="1">
        <f t="array" aca="1" ref="H262" ca="1">IFERROR(IF(A262=A261,0,SUM(_xlfn._xlws.FILTER(E262:E272,(A262:A272=A262)*(E262:E272&gt;0)))),0)</f>
        <v>499130</v>
      </c>
      <c r="I262" s="69" cm="1">
        <f t="array" aca="1" ref="I262" ca="1">IFERROR(IF(A262=A261,0,SUM(_xlfn._xlws.FILTER(E262:E272,(A262:A272=A262)*(F262&lt;0)))),0)</f>
        <v>0</v>
      </c>
      <c r="J262"/>
      <c r="K262"/>
      <c r="L262"/>
      <c r="M262"/>
      <c r="N262"/>
    </row>
    <row r="263" spans="1:14" hidden="1" x14ac:dyDescent="0.3">
      <c r="A263" s="64">
        <v>45770</v>
      </c>
      <c r="B263" s="5" t="s">
        <v>56</v>
      </c>
      <c r="C263" s="65">
        <v>3000</v>
      </c>
      <c r="D263" s="5">
        <v>42.22</v>
      </c>
      <c r="E263" s="67">
        <f ca="1">IFERROR(C263*D263*_xlfn.XLOOKUP(B263,[1]!TabCalc[Ticker],[1]!TabCalc[Scale]),0)</f>
        <v>126660</v>
      </c>
      <c r="F263" s="68" cm="1">
        <f t="array" ref="F263">IF(A263=A262,0,SUM(_xlfn._xlws.FILTER(E263:E273,A263:A273=A263)))</f>
        <v>0</v>
      </c>
      <c r="G263" s="69">
        <f>IF(F263&lt;&gt;0,SUM($F$43:F263),0)</f>
        <v>0</v>
      </c>
      <c r="H263" s="69" cm="1">
        <f t="array" ref="H263">IFERROR(IF(A263=A262,0,SUM(_xlfn._xlws.FILTER(E263:E273,(A263:A273=A263)*(E263:E273&gt;0)))),0)</f>
        <v>0</v>
      </c>
      <c r="I263" s="69" cm="1">
        <f t="array" ref="I263">IFERROR(IF(A263=A262,0,SUM(_xlfn._xlws.FILTER(E263:E273,(A263:A273=A263)*(F263&lt;0)))),0)</f>
        <v>0</v>
      </c>
      <c r="J263"/>
      <c r="K263"/>
      <c r="L263"/>
      <c r="M263"/>
      <c r="N263"/>
    </row>
    <row r="264" spans="1:14" hidden="1" x14ac:dyDescent="0.3">
      <c r="A264" s="64">
        <v>45770</v>
      </c>
      <c r="B264" s="5" t="s">
        <v>48</v>
      </c>
      <c r="C264" s="65">
        <v>5000</v>
      </c>
      <c r="D264" s="5">
        <v>12.62</v>
      </c>
      <c r="E264" s="67">
        <f ca="1">IFERROR(C264*D264*_xlfn.XLOOKUP(B264,[1]!TabCalc[Ticker],[1]!TabCalc[Scale]),0)</f>
        <v>63099.999999999993</v>
      </c>
      <c r="F264" s="68" cm="1">
        <f t="array" ref="F264">IF(A264=A263,0,SUM(_xlfn._xlws.FILTER(E264:E274,A264:A274=A264)))</f>
        <v>0</v>
      </c>
      <c r="G264" s="69">
        <f>IF(F264&lt;&gt;0,SUM($F$43:F264),0)</f>
        <v>0</v>
      </c>
      <c r="H264" s="69" cm="1">
        <f t="array" ref="H264">IFERROR(IF(A264=A263,0,SUM(_xlfn._xlws.FILTER(E264:E274,(A264:A274=A264)*(E264:E274&gt;0)))),0)</f>
        <v>0</v>
      </c>
      <c r="I264" s="69" cm="1">
        <f t="array" ref="I264">IFERROR(IF(A264=A263,0,SUM(_xlfn._xlws.FILTER(E264:E274,(A264:A274=A264)*(F264&lt;0)))),0)</f>
        <v>0</v>
      </c>
      <c r="J264"/>
      <c r="K264"/>
      <c r="L264"/>
      <c r="M264"/>
      <c r="N264"/>
    </row>
    <row r="265" spans="1:14" hidden="1" x14ac:dyDescent="0.3">
      <c r="A265" s="64">
        <v>45770</v>
      </c>
      <c r="B265" s="5" t="s">
        <v>94</v>
      </c>
      <c r="C265" s="65">
        <v>5000</v>
      </c>
      <c r="D265" s="5">
        <v>14.97</v>
      </c>
      <c r="E265" s="67">
        <f ca="1">IFERROR(C265*D265*_xlfn.XLOOKUP(B265,[1]!TabCalc[Ticker],[1]!TabCalc[Scale]),0)</f>
        <v>74850</v>
      </c>
      <c r="F265" s="68" cm="1">
        <f t="array" ref="F265">IF(A265=A264,0,SUM(_xlfn._xlws.FILTER(E265:E275,A265:A275=A265)))</f>
        <v>0</v>
      </c>
      <c r="G265" s="69">
        <f>IF(F265&lt;&gt;0,SUM($F$43:F265),0)</f>
        <v>0</v>
      </c>
      <c r="H265" s="69" cm="1">
        <f t="array" ref="H265">IFERROR(IF(A265=A264,0,SUM(_xlfn._xlws.FILTER(E265:E275,(A265:A275=A265)*(E265:E275&gt;0)))),0)</f>
        <v>0</v>
      </c>
      <c r="I265" s="69" cm="1">
        <f t="array" ref="I265">IFERROR(IF(A265=A264,0,SUM(_xlfn._xlws.FILTER(E265:E275,(A265:A275=A265)*(F265&lt;0)))),0)</f>
        <v>0</v>
      </c>
      <c r="J265"/>
      <c r="K265"/>
      <c r="L265"/>
      <c r="M265"/>
      <c r="N265"/>
    </row>
    <row r="266" spans="1:14" hidden="1" x14ac:dyDescent="0.3">
      <c r="A266" s="70">
        <v>45771</v>
      </c>
      <c r="B266" s="6" t="s">
        <v>86</v>
      </c>
      <c r="C266" s="18">
        <v>8000</v>
      </c>
      <c r="D266" s="6">
        <v>-12.6593</v>
      </c>
      <c r="E266" s="67">
        <f ca="1">IFERROR(C266*D266*_xlfn.XLOOKUP(B266,[1]!TabCalc[Ticker],[1]!TabCalc[Scale]),0)</f>
        <v>-101274.4</v>
      </c>
      <c r="F266" s="68" cm="1">
        <f t="array" aca="1" ref="F266" ca="1">IF(A266=A265,0,SUM(_xlfn._xlws.FILTER(E266:E276,A266:A276=A266)))</f>
        <v>-48974.399999999994</v>
      </c>
      <c r="G266" s="69">
        <f ca="1">IF(F266&lt;&gt;0,SUM($F$43:F266),0)</f>
        <v>-898460.52317299985</v>
      </c>
      <c r="H266" s="69" cm="1">
        <f t="array" aca="1" ref="H266" ca="1">IFERROR(IF(A266=A265,0,SUM(_xlfn._xlws.FILTER(E266:E276,(A266:A276=A266)*(E266:E276&gt;0)))),0)</f>
        <v>52300</v>
      </c>
      <c r="I266" s="69" cm="1">
        <f t="array" aca="1" ref="I266" ca="1">IFERROR(IF(A266=A265,0,SUM(_xlfn._xlws.FILTER(E266:E276,(A266:A276=A266)*(F266&lt;0)))),0)</f>
        <v>-48974.399999999994</v>
      </c>
      <c r="J266"/>
      <c r="K266"/>
      <c r="L266"/>
      <c r="M266"/>
      <c r="N266"/>
    </row>
    <row r="267" spans="1:14" hidden="1" x14ac:dyDescent="0.3">
      <c r="A267" s="70">
        <v>45771</v>
      </c>
      <c r="B267" s="6" t="s">
        <v>69</v>
      </c>
      <c r="C267" s="18">
        <v>20000</v>
      </c>
      <c r="D267" s="6">
        <v>261.5</v>
      </c>
      <c r="E267" s="67">
        <f ca="1">IFERROR(C267*D267*_xlfn.XLOOKUP(B267,[1]!TabCalc[Ticker],[1]!TabCalc[Scale]),0)</f>
        <v>52300</v>
      </c>
      <c r="F267" s="68" cm="1">
        <f t="array" ref="F267">IF(A267=A266,0,SUM(_xlfn._xlws.FILTER(E267:E277,A267:A277=A267)))</f>
        <v>0</v>
      </c>
      <c r="G267" s="69">
        <f>IF(F267&lt;&gt;0,SUM($F$43:F267),0)</f>
        <v>0</v>
      </c>
      <c r="H267" s="69" cm="1">
        <f t="array" ref="H267">IFERROR(IF(A267=A266,0,SUM(_xlfn._xlws.FILTER(E267:E277,(A267:A277=A267)*(E267:E277&gt;0)))),0)</f>
        <v>0</v>
      </c>
      <c r="I267" s="69" cm="1">
        <f t="array" ref="I267">IFERROR(IF(A267=A266,0,SUM(_xlfn._xlws.FILTER(E267:E277,(A267:A277=A267)*(F267&lt;0)))),0)</f>
        <v>0</v>
      </c>
      <c r="J267"/>
      <c r="K267"/>
      <c r="L267"/>
      <c r="M267"/>
      <c r="N267"/>
    </row>
    <row r="268" spans="1:14" hidden="1" x14ac:dyDescent="0.3">
      <c r="A268" s="64">
        <v>45768</v>
      </c>
      <c r="B268" s="5" t="s">
        <v>61</v>
      </c>
      <c r="C268" s="65">
        <v>200</v>
      </c>
      <c r="D268" s="5">
        <v>-173.55</v>
      </c>
      <c r="E268" s="67">
        <f ca="1">IFERROR(C268*D268*_xlfn.XLOOKUP(B268,[1]!TabCalc[Ticker],[1]!TabCalc[Scale]),0)</f>
        <v>-34710</v>
      </c>
      <c r="F268" s="68" cm="1">
        <f t="array" aca="1" ref="F268" ca="1">IF(A268=A267,0,SUM(_xlfn._xlws.FILTER(E268:E278,A268:A278=A268)))</f>
        <v>-34710</v>
      </c>
      <c r="G268" s="69">
        <f ca="1">IF(F268&lt;&gt;0,SUM($F$43:F268),0)</f>
        <v>-933170.52317299985</v>
      </c>
      <c r="H268" s="69" cm="1">
        <f t="array" aca="1" ref="H268" ca="1">IFERROR(IF(A268=A267,0,SUM(_xlfn._xlws.FILTER(E268:E278,(A268:A278=A268)*(E268:E278&gt;0)))),0)</f>
        <v>0</v>
      </c>
      <c r="I268" s="69" cm="1">
        <f t="array" aca="1" ref="I268" ca="1">IFERROR(IF(A268=A267,0,SUM(_xlfn._xlws.FILTER(E268:E278,(A268:A278=A268)*(F268&lt;0)))),0)</f>
        <v>-34710</v>
      </c>
      <c r="J268"/>
      <c r="K268"/>
      <c r="L268"/>
      <c r="M268"/>
      <c r="N268"/>
    </row>
    <row r="269" spans="1:14" hidden="1" x14ac:dyDescent="0.3">
      <c r="A269" s="70">
        <v>45764</v>
      </c>
      <c r="B269" s="6" t="s">
        <v>55</v>
      </c>
      <c r="C269" s="18">
        <v>500</v>
      </c>
      <c r="D269" s="6">
        <v>-197.42</v>
      </c>
      <c r="E269" s="67">
        <f ca="1">IFERROR(C269*D269*_xlfn.XLOOKUP(B269,[1]!TabCalc[Ticker],[1]!TabCalc[Scale]),0)</f>
        <v>-98710</v>
      </c>
      <c r="F269" s="68" cm="1">
        <f t="array" aca="1" ref="F269" ca="1">IF(A269=A268,0,SUM(_xlfn._xlws.FILTER(E269:E279,A269:A279=A269)))</f>
        <v>-562369.5</v>
      </c>
      <c r="G269" s="69">
        <f ca="1">IF(F269&lt;&gt;0,SUM($F$43:F269),0)</f>
        <v>-1495540.0231729997</v>
      </c>
      <c r="H269" s="69" cm="1">
        <f t="array" aca="1" ref="H269" ca="1">IFERROR(IF(A269=A268,0,SUM(_xlfn._xlws.FILTER(E269:E279,(A269:A279=A269)*(E269:E279&gt;0)))),0)</f>
        <v>0</v>
      </c>
      <c r="I269" s="69" cm="1">
        <f t="array" aca="1" ref="I269" ca="1">IFERROR(IF(A269=A268,0,SUM(_xlfn._xlws.FILTER(E269:E279,(A269:A279=A269)*(F269&lt;0)))),0)</f>
        <v>-562369.5</v>
      </c>
      <c r="J269"/>
      <c r="K269"/>
      <c r="L269"/>
      <c r="M269"/>
      <c r="N269"/>
    </row>
    <row r="270" spans="1:14" hidden="1" x14ac:dyDescent="0.3">
      <c r="A270" s="64">
        <v>45779</v>
      </c>
      <c r="B270" s="5" t="s">
        <v>30</v>
      </c>
      <c r="C270" s="65">
        <v>200</v>
      </c>
      <c r="D270" s="5">
        <v>-603.79999999999995</v>
      </c>
      <c r="E270" s="67">
        <f ca="1">IFERROR(C270*D270*_xlfn.XLOOKUP(B270,[1]!TabCalc[Ticker],[1]!TabCalc[Scale]),0)</f>
        <v>-120759.99999999999</v>
      </c>
      <c r="F270" s="68" cm="1">
        <f t="array" aca="1" ref="F270" ca="1">IF(A270=A269,0,SUM(_xlfn._xlws.FILTER(E270:E280,A270:A280=A270)))</f>
        <v>-543460.06000000006</v>
      </c>
      <c r="G270" s="69">
        <f ca="1">IF(F270&lt;&gt;0,SUM($F$43:F270),0)</f>
        <v>-2039000.0831729998</v>
      </c>
      <c r="H270" s="69" cm="1">
        <f t="array" aca="1" ref="H270" ca="1">IFERROR(IF(A270=A269,0,SUM(_xlfn._xlws.FILTER(E270:E280,(A270:A280=A270)*(E270:E280&gt;0)))),0)</f>
        <v>0</v>
      </c>
      <c r="I270" s="69" cm="1">
        <f t="array" aca="1" ref="I270" ca="1">IFERROR(IF(A270=A269,0,SUM(_xlfn._xlws.FILTER(E270:E280,(A270:A280=A270)*(F270&lt;0)))),0)</f>
        <v>-543460.06000000006</v>
      </c>
      <c r="J270"/>
      <c r="K270"/>
      <c r="L270"/>
      <c r="M270"/>
      <c r="N270"/>
    </row>
    <row r="271" spans="1:14" hidden="1" x14ac:dyDescent="0.3">
      <c r="A271" s="64">
        <v>45779</v>
      </c>
      <c r="B271" s="5" t="s">
        <v>50</v>
      </c>
      <c r="C271" s="65">
        <v>3000</v>
      </c>
      <c r="D271" s="5">
        <v>-33.094999999999999</v>
      </c>
      <c r="E271" s="67">
        <f ca="1">IFERROR(C271*D271*_xlfn.XLOOKUP(B271,[1]!TabCalc[Ticker],[1]!TabCalc[Scale]),0)</f>
        <v>-99285</v>
      </c>
      <c r="F271" s="68" cm="1">
        <f t="array" ref="F271">IF(A271=A270,0,SUM(_xlfn._xlws.FILTER(E271:E281,A271:A281=A271)))</f>
        <v>0</v>
      </c>
      <c r="G271" s="69">
        <f>IF(F271&lt;&gt;0,SUM($F$43:F271),0)</f>
        <v>0</v>
      </c>
      <c r="H271" s="69" cm="1">
        <f t="array" ref="H271">IFERROR(IF(A271=A270,0,SUM(_xlfn._xlws.FILTER(E271:E281,(A271:A281=A271)*(E271:E281&gt;0)))),0)</f>
        <v>0</v>
      </c>
      <c r="I271" s="69" cm="1">
        <f t="array" ref="I271">IFERROR(IF(A271=A270,0,SUM(_xlfn._xlws.FILTER(E271:E281,(A271:A281=A271)*(F271&lt;0)))),0)</f>
        <v>0</v>
      </c>
      <c r="J271"/>
      <c r="K271"/>
      <c r="L271"/>
      <c r="M271"/>
      <c r="N271"/>
    </row>
    <row r="272" spans="1:14" hidden="1" x14ac:dyDescent="0.3">
      <c r="A272" s="64">
        <v>45779</v>
      </c>
      <c r="B272" s="5" t="s">
        <v>82</v>
      </c>
      <c r="C272" s="65">
        <v>2000</v>
      </c>
      <c r="D272" s="5">
        <v>-51.829875000000001</v>
      </c>
      <c r="E272" s="67">
        <f ca="1">IFERROR(C272*D272*_xlfn.XLOOKUP(B272,[1]!TabCalc[Ticker],[1]!TabCalc[Scale]),0)</f>
        <v>-103659.75</v>
      </c>
      <c r="F272" s="68" cm="1">
        <f t="array" ref="F272">IF(A272=A271,0,SUM(_xlfn._xlws.FILTER(E272:E282,A272:A282=A272)))</f>
        <v>0</v>
      </c>
      <c r="G272" s="69">
        <f>IF(F272&lt;&gt;0,SUM($F$43:F272),0)</f>
        <v>0</v>
      </c>
      <c r="H272" s="69" cm="1">
        <f t="array" ref="H272">IFERROR(IF(A272=A271,0,SUM(_xlfn._xlws.FILTER(E272:E282,(A272:A282=A272)*(E272:E282&gt;0)))),0)</f>
        <v>0</v>
      </c>
      <c r="I272" s="69" cm="1">
        <f t="array" ref="I272">IFERROR(IF(A272=A271,0,SUM(_xlfn._xlws.FILTER(E272:E282,(A272:A282=A272)*(F272&lt;0)))),0)</f>
        <v>0</v>
      </c>
      <c r="J272"/>
      <c r="K272"/>
      <c r="L272"/>
      <c r="M272"/>
      <c r="N272"/>
    </row>
    <row r="273" spans="1:14" hidden="1" x14ac:dyDescent="0.3">
      <c r="A273" s="64">
        <v>45779</v>
      </c>
      <c r="B273" s="5" t="s">
        <v>37</v>
      </c>
      <c r="C273" s="65">
        <v>1990</v>
      </c>
      <c r="D273" s="5">
        <v>-58.935000000000002</v>
      </c>
      <c r="E273" s="67">
        <f ca="1">IFERROR(C273*D273*_xlfn.XLOOKUP(B273,[1]!TabCalc[Ticker],[1]!TabCalc[Scale]),0)</f>
        <v>-117280.65000000001</v>
      </c>
      <c r="F273" s="68" cm="1">
        <f t="array" ref="F273">IF(A273=A272,0,SUM(_xlfn._xlws.FILTER(E273:E283,A273:A283=A273)))</f>
        <v>0</v>
      </c>
      <c r="G273" s="69">
        <f>IF(F273&lt;&gt;0,SUM($F$43:F273),0)</f>
        <v>0</v>
      </c>
      <c r="H273" s="69" cm="1">
        <f t="array" ref="H273">IFERROR(IF(A273=A272,0,SUM(_xlfn._xlws.FILTER(E273:E283,(A273:A283=A273)*(E273:E283&gt;0)))),0)</f>
        <v>0</v>
      </c>
      <c r="I273" s="69" cm="1">
        <f t="array" ref="I273">IFERROR(IF(A273=A272,0,SUM(_xlfn._xlws.FILTER(E273:E283,(A273:A283=A273)*(F273&lt;0)))),0)</f>
        <v>0</v>
      </c>
      <c r="J273"/>
      <c r="K273"/>
      <c r="L273"/>
      <c r="M273"/>
      <c r="N273"/>
    </row>
    <row r="274" spans="1:14" hidden="1" x14ac:dyDescent="0.3">
      <c r="A274" s="64">
        <v>45779</v>
      </c>
      <c r="B274" s="5" t="s">
        <v>45</v>
      </c>
      <c r="C274" s="65">
        <v>500</v>
      </c>
      <c r="D274" s="5">
        <v>-204.94932</v>
      </c>
      <c r="E274" s="67">
        <f ca="1">IFERROR(C274*D274*_xlfn.XLOOKUP(B274,[1]!TabCalc[Ticker],[1]!TabCalc[Scale]),0)</f>
        <v>-102474.66</v>
      </c>
      <c r="F274" s="68" cm="1">
        <f t="array" ref="F274">IF(A274=A273,0,SUM(_xlfn._xlws.FILTER(E274:E284,A274:A284=A274)))</f>
        <v>0</v>
      </c>
      <c r="G274" s="69">
        <f>IF(F274&lt;&gt;0,SUM($F$43:F274),0)</f>
        <v>0</v>
      </c>
      <c r="H274" s="69" cm="1">
        <f t="array" ref="H274">IFERROR(IF(A274=A273,0,SUM(_xlfn._xlws.FILTER(E274:E284,(A274:A284=A274)*(E274:E284&gt;0)))),0)</f>
        <v>0</v>
      </c>
      <c r="I274" s="69" cm="1">
        <f t="array" ref="I274">IFERROR(IF(A274=A273,0,SUM(_xlfn._xlws.FILTER(E274:E284,(A274:A284=A274)*(F274&lt;0)))),0)</f>
        <v>0</v>
      </c>
      <c r="J274"/>
      <c r="K274"/>
      <c r="L274"/>
      <c r="M274"/>
      <c r="N274"/>
    </row>
    <row r="275" spans="1:14" hidden="1" x14ac:dyDescent="0.3">
      <c r="A275" s="70">
        <v>45764</v>
      </c>
      <c r="B275" s="6" t="s">
        <v>51</v>
      </c>
      <c r="C275" s="18">
        <v>500</v>
      </c>
      <c r="D275" s="6">
        <v>-62.75</v>
      </c>
      <c r="E275" s="67">
        <f ca="1">IFERROR(C275*D275*_xlfn.XLOOKUP(B275,[1]!TabCalc[Ticker],[1]!TabCalc[Scale]),0)</f>
        <v>-31375</v>
      </c>
      <c r="F275" s="68" cm="1">
        <f t="array" aca="1" ref="F275" ca="1">IF(A275=A274,0,SUM(_xlfn._xlws.FILTER(E275:E285,A275:A285=A275)))</f>
        <v>-463659.5</v>
      </c>
      <c r="G275" s="69">
        <f ca="1">IF(F275&lt;&gt;0,SUM($F$43:F275),0)</f>
        <v>-2502659.5831729998</v>
      </c>
      <c r="H275" s="69" cm="1">
        <f t="array" aca="1" ref="H275" ca="1">IFERROR(IF(A275=A274,0,SUM(_xlfn._xlws.FILTER(E275:E285,(A275:A285=A275)*(E275:E285&gt;0)))),0)</f>
        <v>0</v>
      </c>
      <c r="I275" s="69" cm="1">
        <f t="array" aca="1" ref="I275" ca="1">IFERROR(IF(A275=A274,0,SUM(_xlfn._xlws.FILTER(E275:E285,(A275:A285=A275)*(F275&lt;0)))),0)</f>
        <v>-463659.5</v>
      </c>
      <c r="J275"/>
      <c r="K275"/>
      <c r="L275"/>
      <c r="M275"/>
      <c r="N275"/>
    </row>
    <row r="276" spans="1:14" hidden="1" x14ac:dyDescent="0.3">
      <c r="A276" s="70">
        <v>45764</v>
      </c>
      <c r="B276" s="6" t="s">
        <v>93</v>
      </c>
      <c r="C276" s="18">
        <v>150</v>
      </c>
      <c r="D276" s="6">
        <v>-378.43</v>
      </c>
      <c r="E276" s="67">
        <f ca="1">IFERROR(C276*D276*_xlfn.XLOOKUP(B276,[1]!TabCalc[Ticker],[1]!TabCalc[Scale]),0)</f>
        <v>-56764.5</v>
      </c>
      <c r="F276" s="68" cm="1">
        <f t="array" ref="F276">IF(A276=A275,0,SUM(_xlfn._xlws.FILTER(E276:E286,A276:A286=A276)))</f>
        <v>0</v>
      </c>
      <c r="G276" s="69">
        <f>IF(F276&lt;&gt;0,SUM($F$43:F276),0)</f>
        <v>0</v>
      </c>
      <c r="H276" s="69" cm="1">
        <f t="array" ref="H276">IFERROR(IF(A276=A275,0,SUM(_xlfn._xlws.FILTER(E276:E286,(A276:A286=A276)*(E276:E286&gt;0)))),0)</f>
        <v>0</v>
      </c>
      <c r="I276" s="69" cm="1">
        <f t="array" ref="I276">IFERROR(IF(A276=A275,0,SUM(_xlfn._xlws.FILTER(E276:E286,(A276:A286=A276)*(F276&lt;0)))),0)</f>
        <v>0</v>
      </c>
      <c r="J276"/>
      <c r="K276"/>
      <c r="L276"/>
      <c r="M276"/>
      <c r="N276"/>
    </row>
    <row r="277" spans="1:14" hidden="1" x14ac:dyDescent="0.3">
      <c r="A277" s="70">
        <v>45764</v>
      </c>
      <c r="B277" s="6" t="s">
        <v>31</v>
      </c>
      <c r="C277" s="18">
        <v>1000</v>
      </c>
      <c r="D277" s="6">
        <v>-152.32</v>
      </c>
      <c r="E277" s="67">
        <f ca="1">IFERROR(C277*D277*_xlfn.XLOOKUP(B277,[1]!TabCalc[Ticker],[1]!TabCalc[Scale]),0)</f>
        <v>-152320</v>
      </c>
      <c r="F277" s="68" cm="1">
        <f t="array" ref="F277">IF(A277=A276,0,SUM(_xlfn._xlws.FILTER(E277:E287,A277:A287=A277)))</f>
        <v>0</v>
      </c>
      <c r="G277" s="69">
        <f>IF(F277&lt;&gt;0,SUM($F$43:F277),0)</f>
        <v>0</v>
      </c>
      <c r="H277" s="69" cm="1">
        <f t="array" ref="H277">IFERROR(IF(A277=A276,0,SUM(_xlfn._xlws.FILTER(E277:E287,(A277:A287=A277)*(E277:E287&gt;0)))),0)</f>
        <v>0</v>
      </c>
      <c r="I277" s="69" cm="1">
        <f t="array" ref="I277">IFERROR(IF(A277=A276,0,SUM(_xlfn._xlws.FILTER(E277:E287,(A277:A287=A277)*(F277&lt;0)))),0)</f>
        <v>0</v>
      </c>
      <c r="J277"/>
      <c r="K277"/>
      <c r="L277"/>
      <c r="M277"/>
      <c r="N277"/>
    </row>
    <row r="278" spans="1:14" hidden="1" x14ac:dyDescent="0.3">
      <c r="A278" s="70">
        <v>45764</v>
      </c>
      <c r="B278" s="6" t="s">
        <v>97</v>
      </c>
      <c r="C278" s="18">
        <v>4000</v>
      </c>
      <c r="D278" s="6">
        <v>-55.8</v>
      </c>
      <c r="E278" s="67">
        <f ca="1">IFERROR(C278*D278*_xlfn.XLOOKUP(B278,[1]!TabCalc[Ticker],[1]!TabCalc[Scale]),0)</f>
        <v>-223200</v>
      </c>
      <c r="F278" s="68" cm="1">
        <f t="array" ref="F278">IF(A278=A277,0,SUM(_xlfn._xlws.FILTER(E278:E288,A278:A288=A278)))</f>
        <v>0</v>
      </c>
      <c r="G278" s="69">
        <f>IF(F278&lt;&gt;0,SUM($F$43:F278),0)</f>
        <v>0</v>
      </c>
      <c r="H278" s="69" cm="1">
        <f t="array" ref="H278">IFERROR(IF(A278=A277,0,SUM(_xlfn._xlws.FILTER(E278:E288,(A278:A288=A278)*(E278:E288&gt;0)))),0)</f>
        <v>0</v>
      </c>
      <c r="I278" s="69" cm="1">
        <f t="array" ref="I278">IFERROR(IF(A278=A277,0,SUM(_xlfn._xlws.FILTER(E278:E288,(A278:A288=A278)*(F278&lt;0)))),0)</f>
        <v>0</v>
      </c>
      <c r="J278"/>
      <c r="K278"/>
      <c r="L278"/>
      <c r="M278"/>
      <c r="N278"/>
    </row>
    <row r="279" spans="1:14" hidden="1" x14ac:dyDescent="0.3">
      <c r="A279" s="64">
        <v>45751</v>
      </c>
      <c r="B279" s="5" t="s">
        <v>58</v>
      </c>
      <c r="C279" s="65">
        <v>2000</v>
      </c>
      <c r="D279" s="5">
        <v>-35.44</v>
      </c>
      <c r="E279" s="67">
        <f ca="1">IFERROR(C279*D279*_xlfn.XLOOKUP(B279,[1]!TabCalc[Ticker],[1]!TabCalc[Scale]),0)</f>
        <v>-70880</v>
      </c>
      <c r="F279" s="68" cm="1">
        <f t="array" aca="1" ref="F279" ca="1">IF(A279=A278,0,SUM(_xlfn._xlws.FILTER(E279:E289,A279:A289=A279)))</f>
        <v>-70880</v>
      </c>
      <c r="G279" s="69">
        <f ca="1">IF(F279&lt;&gt;0,SUM($F$43:F279),0)</f>
        <v>-2573539.5831729998</v>
      </c>
      <c r="H279" s="69" cm="1">
        <f t="array" aca="1" ref="H279" ca="1">IFERROR(IF(A279=A278,0,SUM(_xlfn._xlws.FILTER(E279:E289,(A279:A289=A279)*(E279:E289&gt;0)))),0)</f>
        <v>0</v>
      </c>
      <c r="I279" s="69" cm="1">
        <f t="array" aca="1" ref="I279" ca="1">IFERROR(IF(A279=A278,0,SUM(_xlfn._xlws.FILTER(E279:E289,(A279:A289=A279)*(F279&lt;0)))),0)</f>
        <v>-70880</v>
      </c>
      <c r="J279"/>
      <c r="K279"/>
      <c r="L279"/>
      <c r="M279"/>
      <c r="N279"/>
    </row>
    <row r="280" spans="1:14" hidden="1" x14ac:dyDescent="0.3">
      <c r="A280" s="70">
        <v>45769</v>
      </c>
      <c r="B280" s="6" t="s">
        <v>56</v>
      </c>
      <c r="C280" s="18">
        <v>5000</v>
      </c>
      <c r="D280" s="6">
        <v>-39.590000000000003</v>
      </c>
      <c r="E280" s="67">
        <f ca="1">IFERROR(C280*D280*_xlfn.XLOOKUP(B280,[1]!TabCalc[Ticker],[1]!TabCalc[Scale]),0)</f>
        <v>-197950.00000000003</v>
      </c>
      <c r="F280" s="68" cm="1">
        <f t="array" aca="1" ref="F280" ca="1">IF(A280=A279,0,SUM(_xlfn._xlws.FILTER(E280:E290,A280:A290=A280)))</f>
        <v>-395900.00000000006</v>
      </c>
      <c r="G280" s="69">
        <f ca="1">IF(F280&lt;&gt;0,SUM($F$43:F280),0)</f>
        <v>-2969439.5831729998</v>
      </c>
      <c r="H280" s="69" cm="1">
        <f t="array" aca="1" ref="H280" ca="1">IFERROR(IF(A280=A279,0,SUM(_xlfn._xlws.FILTER(E280:E290,(A280:A290=A280)*(E280:E290&gt;0)))),0)</f>
        <v>0</v>
      </c>
      <c r="I280" s="69" cm="1">
        <f t="array" aca="1" ref="I280" ca="1">IFERROR(IF(A280=A279,0,SUM(_xlfn._xlws.FILTER(E280:E290,(A280:A290=A280)*(F280&lt;0)))),0)</f>
        <v>-395900.00000000006</v>
      </c>
      <c r="J280"/>
      <c r="K280"/>
      <c r="L280"/>
      <c r="M280"/>
      <c r="N280"/>
    </row>
    <row r="281" spans="1:14" hidden="1" x14ac:dyDescent="0.3">
      <c r="A281" s="70">
        <v>45769</v>
      </c>
      <c r="B281" s="6" t="s">
        <v>56</v>
      </c>
      <c r="C281" s="18">
        <v>5000</v>
      </c>
      <c r="D281" s="6">
        <v>-39.590000000000003</v>
      </c>
      <c r="E281" s="67">
        <f ca="1">IFERROR(C281*D281*_xlfn.XLOOKUP(B281,[1]!TabCalc[Ticker],[1]!TabCalc[Scale]),0)</f>
        <v>-197950.00000000003</v>
      </c>
      <c r="F281" s="68" cm="1">
        <f t="array" ref="F281">IF(A281=A280,0,SUM(_xlfn._xlws.FILTER(E281:E291,A281:A291=A281)))</f>
        <v>0</v>
      </c>
      <c r="G281" s="69">
        <f>IF(F281&lt;&gt;0,SUM($F$43:F281),0)</f>
        <v>0</v>
      </c>
      <c r="H281" s="69" cm="1">
        <f t="array" ref="H281">IFERROR(IF(A281=A280,0,SUM(_xlfn._xlws.FILTER(E281:E291,(A281:A291=A281)*(E281:E291&gt;0)))),0)</f>
        <v>0</v>
      </c>
      <c r="I281" s="69" cm="1">
        <f t="array" ref="I281">IFERROR(IF(A281=A280,0,SUM(_xlfn._xlws.FILTER(E281:E291,(A281:A291=A281)*(F281&lt;0)))),0)</f>
        <v>0</v>
      </c>
      <c r="J281"/>
      <c r="K281"/>
      <c r="L281"/>
      <c r="M281"/>
      <c r="N281"/>
    </row>
    <row r="282" spans="1:14" hidden="1" x14ac:dyDescent="0.3">
      <c r="A282" s="64">
        <v>45782</v>
      </c>
      <c r="B282" s="5" t="s">
        <v>86</v>
      </c>
      <c r="C282" s="65">
        <v>2000</v>
      </c>
      <c r="D282" s="5">
        <v>-12.59</v>
      </c>
      <c r="E282" s="67">
        <f ca="1">IFERROR(C282*D282*_xlfn.XLOOKUP(B282,[1]!TabCalc[Ticker],[1]!TabCalc[Scale]),0)</f>
        <v>-25180</v>
      </c>
      <c r="F282" s="68" cm="1">
        <f t="array" aca="1" ref="F282" ca="1">IF(A282=A281,0,SUM(_xlfn._xlws.FILTER(E282:E292,A282:A292=A282)))</f>
        <v>201572</v>
      </c>
      <c r="G282" s="69">
        <f ca="1">IF(F282&lt;&gt;0,SUM($F$43:F282),0)</f>
        <v>-2767867.5831729998</v>
      </c>
      <c r="H282" s="69" cm="1">
        <f t="array" aca="1" ref="H282" ca="1">IFERROR(IF(A282=A281,0,SUM(_xlfn._xlws.FILTER(E282:E292,(A282:A292=A282)*(E282:E292&gt;0)))),0)</f>
        <v>226752</v>
      </c>
      <c r="I282" s="69" cm="1">
        <f t="array" aca="1" ref="I282" ca="1">IFERROR(IF(A282=A281,0,SUM(_xlfn._xlws.FILTER(E282:E292,(A282:A292=A282)*(F282&lt;0)))),0)</f>
        <v>0</v>
      </c>
      <c r="J282"/>
      <c r="K282"/>
      <c r="L282"/>
      <c r="M282"/>
      <c r="N282"/>
    </row>
    <row r="283" spans="1:14" hidden="1" x14ac:dyDescent="0.3">
      <c r="A283" s="64">
        <v>45782</v>
      </c>
      <c r="B283" s="5" t="s">
        <v>95</v>
      </c>
      <c r="C283" s="65">
        <v>200</v>
      </c>
      <c r="D283" s="5">
        <v>1133.76</v>
      </c>
      <c r="E283" s="67">
        <f ca="1">IFERROR(C283*D283*_xlfn.XLOOKUP(B283,[1]!TabCalc[Ticker],[1]!TabCalc[Scale]),0)</f>
        <v>226752</v>
      </c>
      <c r="F283" s="68" cm="1">
        <f t="array" ref="F283">IF(A283=A282,0,SUM(_xlfn._xlws.FILTER(E283:E293,A283:A293=A283)))</f>
        <v>0</v>
      </c>
      <c r="G283" s="69">
        <f>IF(F283&lt;&gt;0,SUM($F$43:F283),0)</f>
        <v>0</v>
      </c>
      <c r="H283" s="69" cm="1">
        <f t="array" ref="H283">IFERROR(IF(A283=A282,0,SUM(_xlfn._xlws.FILTER(E283:E293,(A283:A293=A283)*(E283:E293&gt;0)))),0)</f>
        <v>0</v>
      </c>
      <c r="I283" s="69" cm="1">
        <f t="array" ref="I283">IFERROR(IF(A283=A282,0,SUM(_xlfn._xlws.FILTER(E283:E293,(A283:A293=A283)*(F283&lt;0)))),0)</f>
        <v>0</v>
      </c>
      <c r="J283"/>
      <c r="K283"/>
      <c r="L283"/>
      <c r="M283"/>
      <c r="N283"/>
    </row>
    <row r="284" spans="1:14" hidden="1" x14ac:dyDescent="0.3">
      <c r="A284" s="70">
        <v>45784</v>
      </c>
      <c r="B284" s="6" t="s">
        <v>46</v>
      </c>
      <c r="C284" s="18">
        <v>66</v>
      </c>
      <c r="D284" s="6">
        <v>606.66</v>
      </c>
      <c r="E284" s="67">
        <f ca="1">IFERROR(C284*D284*_xlfn.XLOOKUP(B284,[1]!TabCalc[Ticker],[1]!TabCalc[Scale]),0)</f>
        <v>40039.56</v>
      </c>
      <c r="F284" s="68" cm="1">
        <f t="array" aca="1" ref="F284" ca="1">IF(A284=A283,0,SUM(_xlfn._xlws.FILTER(E284:E294,A284:A294=A284)))</f>
        <v>40039.56</v>
      </c>
      <c r="G284" s="69">
        <f ca="1">IF(F284&lt;&gt;0,SUM($F$43:F284),0)</f>
        <v>-2727828.0231729997</v>
      </c>
      <c r="H284" s="69" cm="1">
        <f t="array" aca="1" ref="H284" ca="1">IFERROR(IF(A284=A283,0,SUM(_xlfn._xlws.FILTER(E284:E294,(A284:A294=A284)*(E284:E294&gt;0)))),0)</f>
        <v>40039.56</v>
      </c>
      <c r="I284" s="69" cm="1">
        <f t="array" aca="1" ref="I284" ca="1">IFERROR(IF(A284=A283,0,SUM(_xlfn._xlws.FILTER(E284:E294,(A284:A294=A284)*(F284&lt;0)))),0)</f>
        <v>0</v>
      </c>
      <c r="J284"/>
      <c r="K284"/>
      <c r="L284"/>
      <c r="M284"/>
      <c r="N284"/>
    </row>
    <row r="285" spans="1:14" hidden="1" x14ac:dyDescent="0.3">
      <c r="A285" s="64">
        <v>45785</v>
      </c>
      <c r="B285" s="5" t="s">
        <v>69</v>
      </c>
      <c r="C285" s="65">
        <v>20000</v>
      </c>
      <c r="D285" s="5">
        <v>2.85</v>
      </c>
      <c r="E285" s="67">
        <f ca="1">IFERROR(C285*D285*_xlfn.XLOOKUP(B285,[1]!TabCalc[Ticker],[1]!TabCalc[Scale]),0)</f>
        <v>570</v>
      </c>
      <c r="F285" s="68" cm="1">
        <f t="array" aca="1" ref="F285" ca="1">IF(A285=A284,0,SUM(_xlfn._xlws.FILTER(E285:E295,A285:A295=A285)))</f>
        <v>303440.3125</v>
      </c>
      <c r="G285" s="69">
        <f ca="1">IF(F285&lt;&gt;0,SUM($F$43:F285),0)</f>
        <v>-2424387.7106729997</v>
      </c>
      <c r="H285" s="69" cm="1">
        <f t="array" aca="1" ref="H285" ca="1">IFERROR(IF(A285=A284,0,SUM(_xlfn._xlws.FILTER(E285:E295,(A285:A295=A285)*(E285:E295&gt;0)))),0)</f>
        <v>566330.3125</v>
      </c>
      <c r="I285" s="69" cm="1">
        <f t="array" aca="1" ref="I285" ca="1">IFERROR(IF(A285=A284,0,SUM(_xlfn._xlws.FILTER(E285:E295,(A285:A295=A285)*(F285&lt;0)))),0)</f>
        <v>0</v>
      </c>
      <c r="J285"/>
      <c r="K285"/>
      <c r="L285"/>
      <c r="M285"/>
      <c r="N285"/>
    </row>
    <row r="286" spans="1:14" hidden="1" x14ac:dyDescent="0.3">
      <c r="A286" s="64">
        <v>45785</v>
      </c>
      <c r="B286" s="5" t="s">
        <v>49</v>
      </c>
      <c r="C286" s="65">
        <v>1250</v>
      </c>
      <c r="D286" s="5">
        <v>32.660249999999998</v>
      </c>
      <c r="E286" s="67">
        <f ca="1">IFERROR(C286*D286*_xlfn.XLOOKUP(B286,[1]!TabCalc[Ticker],[1]!TabCalc[Scale]),0)</f>
        <v>40825.3125</v>
      </c>
      <c r="F286" s="68" cm="1">
        <f t="array" ref="F286">IF(A286=A285,0,SUM(_xlfn._xlws.FILTER(E286:E296,A286:A296=A286)))</f>
        <v>0</v>
      </c>
      <c r="G286" s="69">
        <f>IF(F286&lt;&gt;0,SUM($F$43:F286),0)</f>
        <v>0</v>
      </c>
      <c r="H286" s="69" cm="1">
        <f t="array" ref="H286">IFERROR(IF(A286=A285,0,SUM(_xlfn._xlws.FILTER(E286:E296,(A286:A296=A286)*(E286:E296&gt;0)))),0)</f>
        <v>0</v>
      </c>
      <c r="I286" s="69" cm="1">
        <f t="array" ref="I286">IFERROR(IF(A286=A285,0,SUM(_xlfn._xlws.FILTER(E286:E296,(A286:A296=A286)*(F286&lt;0)))),0)</f>
        <v>0</v>
      </c>
      <c r="J286"/>
      <c r="K286"/>
      <c r="L286"/>
      <c r="M286"/>
      <c r="N286"/>
    </row>
    <row r="287" spans="1:14" hidden="1" x14ac:dyDescent="0.3">
      <c r="A287" s="64">
        <v>45785</v>
      </c>
      <c r="B287" s="5" t="s">
        <v>90</v>
      </c>
      <c r="C287" s="65">
        <v>500</v>
      </c>
      <c r="D287" s="5">
        <v>265.64999999999998</v>
      </c>
      <c r="E287" s="67">
        <f ca="1">IFERROR(C287*D287*_xlfn.XLOOKUP(B287,[1]!TabCalc[Ticker],[1]!TabCalc[Scale]),0)</f>
        <v>132825</v>
      </c>
      <c r="F287" s="68" cm="1">
        <f t="array" ref="F287">IF(A287=A286,0,SUM(_xlfn._xlws.FILTER(E287:E297,A287:A297=A287)))</f>
        <v>0</v>
      </c>
      <c r="G287" s="69">
        <f>IF(F287&lt;&gt;0,SUM($F$43:F287),0)</f>
        <v>0</v>
      </c>
      <c r="H287" s="69" cm="1">
        <f t="array" ref="H287">IFERROR(IF(A287=A286,0,SUM(_xlfn._xlws.FILTER(E287:E297,(A287:A297=A287)*(E287:E297&gt;0)))),0)</f>
        <v>0</v>
      </c>
      <c r="I287" s="69" cm="1">
        <f t="array" ref="I287">IFERROR(IF(A287=A286,0,SUM(_xlfn._xlws.FILTER(E287:E297,(A287:A297=A287)*(F287&lt;0)))),0)</f>
        <v>0</v>
      </c>
      <c r="J287"/>
      <c r="K287"/>
      <c r="L287"/>
      <c r="M287"/>
      <c r="N287"/>
    </row>
    <row r="288" spans="1:14" hidden="1" x14ac:dyDescent="0.3">
      <c r="A288" s="64">
        <v>45785</v>
      </c>
      <c r="B288" s="5" t="s">
        <v>91</v>
      </c>
      <c r="C288" s="65">
        <v>500</v>
      </c>
      <c r="D288" s="5">
        <v>265.64999999999998</v>
      </c>
      <c r="E288" s="67">
        <f ca="1">IFERROR(C288*D288*_xlfn.XLOOKUP(B288,[1]!TabCalc[Ticker],[1]!TabCalc[Scale]),0)</f>
        <v>132825</v>
      </c>
      <c r="F288" s="68" cm="1">
        <f t="array" ref="F288">IF(A288=A287,0,SUM(_xlfn._xlws.FILTER(E288:E298,A288:A298=A288)))</f>
        <v>0</v>
      </c>
      <c r="G288" s="69">
        <f>IF(F288&lt;&gt;0,SUM($F$43:F288),0)</f>
        <v>0</v>
      </c>
      <c r="H288" s="69" cm="1">
        <f t="array" ref="H288">IFERROR(IF(A288=A287,0,SUM(_xlfn._xlws.FILTER(E288:E298,(A288:A298=A288)*(E288:E298&gt;0)))),0)</f>
        <v>0</v>
      </c>
      <c r="I288" s="69" cm="1">
        <f t="array" ref="I288">IFERROR(IF(A288=A287,0,SUM(_xlfn._xlws.FILTER(E288:E298,(A288:A298=A288)*(F288&lt;0)))),0)</f>
        <v>0</v>
      </c>
      <c r="J288"/>
      <c r="K288"/>
      <c r="L288"/>
      <c r="M288"/>
      <c r="N288"/>
    </row>
    <row r="289" spans="1:14" hidden="1" x14ac:dyDescent="0.3">
      <c r="A289" s="64">
        <v>45785</v>
      </c>
      <c r="B289" s="5" t="s">
        <v>56</v>
      </c>
      <c r="C289" s="65">
        <v>1000</v>
      </c>
      <c r="D289" s="5">
        <v>45.76</v>
      </c>
      <c r="E289" s="67">
        <f ca="1">IFERROR(C289*D289*_xlfn.XLOOKUP(B289,[1]!TabCalc[Ticker],[1]!TabCalc[Scale]),0)</f>
        <v>45760</v>
      </c>
      <c r="F289" s="68" cm="1">
        <f t="array" ref="F289">IF(A289=A288,0,SUM(_xlfn._xlws.FILTER(E289:E299,A289:A299=A289)))</f>
        <v>0</v>
      </c>
      <c r="G289" s="69">
        <f>IF(F289&lt;&gt;0,SUM($F$43:F289),0)</f>
        <v>0</v>
      </c>
      <c r="H289" s="69" cm="1">
        <f t="array" ref="H289">IFERROR(IF(A289=A288,0,SUM(_xlfn._xlws.FILTER(E289:E299,(A289:A299=A289)*(E289:E299&gt;0)))),0)</f>
        <v>0</v>
      </c>
      <c r="I289" s="69" cm="1">
        <f t="array" ref="I289">IFERROR(IF(A289=A288,0,SUM(_xlfn._xlws.FILTER(E289:E299,(A289:A299=A289)*(F289&lt;0)))),0)</f>
        <v>0</v>
      </c>
      <c r="J289"/>
      <c r="K289"/>
      <c r="L289"/>
      <c r="M289"/>
      <c r="N289"/>
    </row>
    <row r="290" spans="1:14" hidden="1" x14ac:dyDescent="0.3">
      <c r="A290" s="64">
        <v>45785</v>
      </c>
      <c r="B290" s="5" t="s">
        <v>48</v>
      </c>
      <c r="C290" s="65">
        <v>3000</v>
      </c>
      <c r="D290" s="5">
        <v>12.664999999999999</v>
      </c>
      <c r="E290" s="67">
        <f ca="1">IFERROR(C290*D290*_xlfn.XLOOKUP(B290,[1]!TabCalc[Ticker],[1]!TabCalc[Scale]),0)</f>
        <v>37995</v>
      </c>
      <c r="F290" s="68" cm="1">
        <f t="array" ref="F290">IF(A290=A289,0,SUM(_xlfn._xlws.FILTER(E290:E300,A290:A300=A290)))</f>
        <v>0</v>
      </c>
      <c r="G290" s="69">
        <f>IF(F290&lt;&gt;0,SUM($F$43:F290),0)</f>
        <v>0</v>
      </c>
      <c r="H290" s="69" cm="1">
        <f t="array" ref="H290">IFERROR(IF(A290=A289,0,SUM(_xlfn._xlws.FILTER(E290:E300,(A290:A300=A290)*(E290:E300&gt;0)))),0)</f>
        <v>0</v>
      </c>
      <c r="I290" s="69" cm="1">
        <f t="array" ref="I290">IFERROR(IF(A290=A289,0,SUM(_xlfn._xlws.FILTER(E290:E300,(A290:A300=A290)*(F290&lt;0)))),0)</f>
        <v>0</v>
      </c>
      <c r="J290"/>
      <c r="K290"/>
      <c r="L290"/>
      <c r="M290"/>
      <c r="N290"/>
    </row>
    <row r="291" spans="1:14" hidden="1" x14ac:dyDescent="0.3">
      <c r="A291" s="64">
        <v>45785</v>
      </c>
      <c r="B291" s="5" t="s">
        <v>75</v>
      </c>
      <c r="C291" s="65">
        <v>1250</v>
      </c>
      <c r="D291" s="5">
        <v>15.64</v>
      </c>
      <c r="E291" s="67">
        <f ca="1">IFERROR(C291*D291*_xlfn.XLOOKUP(B291,[1]!TabCalc[Ticker],[1]!TabCalc[Scale]),0)</f>
        <v>19550</v>
      </c>
      <c r="F291" s="68" cm="1">
        <f t="array" ref="F291">IF(A291=A290,0,SUM(_xlfn._xlws.FILTER(E291:E301,A291:A301=A291)))</f>
        <v>0</v>
      </c>
      <c r="G291" s="69">
        <f>IF(F291&lt;&gt;0,SUM($F$43:F291),0)</f>
        <v>0</v>
      </c>
      <c r="H291" s="69" cm="1">
        <f t="array" ref="H291">IFERROR(IF(A291=A290,0,SUM(_xlfn._xlws.FILTER(E291:E301,(A291:A301=A291)*(E291:E301&gt;0)))),0)</f>
        <v>0</v>
      </c>
      <c r="I291" s="69" cm="1">
        <f t="array" ref="I291">IFERROR(IF(A291=A290,0,SUM(_xlfn._xlws.FILTER(E291:E301,(A291:A301=A291)*(F291&lt;0)))),0)</f>
        <v>0</v>
      </c>
      <c r="J291"/>
      <c r="K291"/>
      <c r="L291"/>
      <c r="M291"/>
      <c r="N291"/>
    </row>
    <row r="292" spans="1:14" hidden="1" x14ac:dyDescent="0.3">
      <c r="A292" s="64">
        <v>45785</v>
      </c>
      <c r="B292" s="5" t="s">
        <v>97</v>
      </c>
      <c r="C292" s="65">
        <v>2000</v>
      </c>
      <c r="D292" s="5">
        <v>62.09</v>
      </c>
      <c r="E292" s="67">
        <f ca="1">IFERROR(C292*D292*_xlfn.XLOOKUP(B292,[1]!TabCalc[Ticker],[1]!TabCalc[Scale]),0)</f>
        <v>124180</v>
      </c>
      <c r="F292" s="68" cm="1">
        <f t="array" ref="F292">IF(A292=A291,0,SUM(_xlfn._xlws.FILTER(E292:E302,A292:A302=A292)))</f>
        <v>0</v>
      </c>
      <c r="G292" s="69">
        <f>IF(F292&lt;&gt;0,SUM($F$43:F292),0)</f>
        <v>0</v>
      </c>
      <c r="H292" s="69" cm="1">
        <f t="array" ref="H292">IFERROR(IF(A292=A291,0,SUM(_xlfn._xlws.FILTER(E292:E302,(A292:A302=A292)*(E292:E302&gt;0)))),0)</f>
        <v>0</v>
      </c>
      <c r="I292" s="69" cm="1">
        <f t="array" ref="I292">IFERROR(IF(A292=A291,0,SUM(_xlfn._xlws.FILTER(E292:E302,(A292:A302=A292)*(F292&lt;0)))),0)</f>
        <v>0</v>
      </c>
      <c r="J292"/>
      <c r="K292"/>
      <c r="L292"/>
      <c r="M292"/>
      <c r="N292"/>
    </row>
    <row r="293" spans="1:14" hidden="1" x14ac:dyDescent="0.3">
      <c r="A293" s="64">
        <v>45785</v>
      </c>
      <c r="B293" s="5" t="s">
        <v>94</v>
      </c>
      <c r="C293" s="65">
        <v>2000</v>
      </c>
      <c r="D293" s="5">
        <v>15.9</v>
      </c>
      <c r="E293" s="67">
        <f ca="1">IFERROR(C293*D293*_xlfn.XLOOKUP(B293,[1]!TabCalc[Ticker],[1]!TabCalc[Scale]),0)</f>
        <v>31800</v>
      </c>
      <c r="F293" s="68" cm="1">
        <f t="array" ref="F293">IF(A293=A292,0,SUM(_xlfn._xlws.FILTER(E293:E303,A293:A303=A293)))</f>
        <v>0</v>
      </c>
      <c r="G293" s="69">
        <f>IF(F293&lt;&gt;0,SUM($F$43:F293),0)</f>
        <v>0</v>
      </c>
      <c r="H293" s="69" cm="1">
        <f t="array" ref="H293">IFERROR(IF(A293=A292,0,SUM(_xlfn._xlws.FILTER(E293:E303,(A293:A303=A293)*(E293:E303&gt;0)))),0)</f>
        <v>0</v>
      </c>
      <c r="I293" s="69" cm="1">
        <f t="array" ref="I293">IFERROR(IF(A293=A292,0,SUM(_xlfn._xlws.FILTER(E293:E303,(A293:A303=A293)*(F293&lt;0)))),0)</f>
        <v>0</v>
      </c>
      <c r="J293"/>
      <c r="K293"/>
      <c r="L293"/>
      <c r="M293"/>
      <c r="N293"/>
    </row>
    <row r="294" spans="1:14" hidden="1" x14ac:dyDescent="0.3">
      <c r="A294" s="64">
        <v>45785</v>
      </c>
      <c r="B294" s="5" t="s">
        <v>90</v>
      </c>
      <c r="C294" s="65">
        <v>500</v>
      </c>
      <c r="D294" s="5">
        <v>-262.89999999999998</v>
      </c>
      <c r="E294" s="67">
        <f ca="1">IFERROR(C294*D294*_xlfn.XLOOKUP(B294,[1]!TabCalc[Ticker],[1]!TabCalc[Scale]),0)</f>
        <v>-131450</v>
      </c>
      <c r="F294" s="68" cm="1">
        <f t="array" ref="F294">IF(A294=A293,0,SUM(_xlfn._xlws.FILTER(E294:E304,A294:A304=A294)))</f>
        <v>0</v>
      </c>
      <c r="G294" s="69">
        <f>IF(F294&lt;&gt;0,SUM($F$43:F294),0)</f>
        <v>0</v>
      </c>
      <c r="H294" s="69" cm="1">
        <f t="array" ref="H294">IFERROR(IF(A294=A293,0,SUM(_xlfn._xlws.FILTER(E294:E304,(A294:A304=A294)*(E294:E304&gt;0)))),0)</f>
        <v>0</v>
      </c>
      <c r="I294" s="69" cm="1">
        <f t="array" ref="I294">IFERROR(IF(A294=A293,0,SUM(_xlfn._xlws.FILTER(E294:E304,(A294:A304=A294)*(F294&lt;0)))),0)</f>
        <v>0</v>
      </c>
      <c r="J294"/>
      <c r="K294"/>
      <c r="L294"/>
      <c r="M294"/>
      <c r="N294"/>
    </row>
    <row r="295" spans="1:14" hidden="1" x14ac:dyDescent="0.3">
      <c r="A295" s="64">
        <v>45785</v>
      </c>
      <c r="B295" s="5" t="s">
        <v>91</v>
      </c>
      <c r="C295" s="65">
        <v>500</v>
      </c>
      <c r="D295" s="5">
        <v>-262.88</v>
      </c>
      <c r="E295" s="67">
        <f ca="1">IFERROR(C295*D295*_xlfn.XLOOKUP(B295,[1]!TabCalc[Ticker],[1]!TabCalc[Scale]),0)</f>
        <v>-131440</v>
      </c>
      <c r="F295" s="68" cm="1">
        <f t="array" ref="F295">IF(A295=A294,0,SUM(_xlfn._xlws.FILTER(E295:E305,A295:A305=A295)))</f>
        <v>0</v>
      </c>
      <c r="G295" s="69">
        <f>IF(F295&lt;&gt;0,SUM($F$43:F295),0)</f>
        <v>0</v>
      </c>
      <c r="H295" s="69" cm="1">
        <f t="array" ref="H295">IFERROR(IF(A295=A294,0,SUM(_xlfn._xlws.FILTER(E295:E305,(A295:A305=A295)*(E295:E305&gt;0)))),0)</f>
        <v>0</v>
      </c>
      <c r="I295" s="69" cm="1">
        <f t="array" ref="I295">IFERROR(IF(A295=A294,0,SUM(_xlfn._xlws.FILTER(E295:E305,(A295:A305=A295)*(F295&lt;0)))),0)</f>
        <v>0</v>
      </c>
      <c r="J295"/>
      <c r="K295"/>
      <c r="L295"/>
      <c r="M295"/>
      <c r="N295"/>
    </row>
    <row r="296" spans="1:14" hidden="1" x14ac:dyDescent="0.3">
      <c r="A296" s="70">
        <v>45786</v>
      </c>
      <c r="B296" s="6" t="s">
        <v>100</v>
      </c>
      <c r="C296" s="18">
        <v>11855</v>
      </c>
      <c r="D296" s="6">
        <v>-0.66</v>
      </c>
      <c r="E296" s="67">
        <f ca="1">IFERROR(C296*D296*_xlfn.XLOOKUP(B296,[1]!TabCalc[Ticker],[1]!TabCalc[Scale]),0)</f>
        <v>-7824.3</v>
      </c>
      <c r="F296" s="68" cm="1">
        <f t="array" aca="1" ref="F296" ca="1">IF(A296=A295,0,SUM(_xlfn._xlws.FILTER(E296:E306,A296:A306=A296)))</f>
        <v>-7824.3</v>
      </c>
      <c r="G296" s="69">
        <f ca="1">IF(F296&lt;&gt;0,SUM($F$43:F296),0)</f>
        <v>-2432212.0106729995</v>
      </c>
      <c r="H296" s="69" cm="1">
        <f t="array" aca="1" ref="H296" ca="1">IFERROR(IF(A296=A295,0,SUM(_xlfn._xlws.FILTER(E296:E306,(A296:A306=A296)*(E296:E306&gt;0)))),0)</f>
        <v>0</v>
      </c>
      <c r="I296" s="69" cm="1">
        <f t="array" aca="1" ref="I296" ca="1">IFERROR(IF(A296=A295,0,SUM(_xlfn._xlws.FILTER(E296:E306,(A296:A306=A296)*(F296&lt;0)))),0)</f>
        <v>-7824.3</v>
      </c>
      <c r="J296"/>
      <c r="K296"/>
      <c r="L296"/>
      <c r="M296"/>
      <c r="N296"/>
    </row>
    <row r="297" spans="1:14" hidden="1" x14ac:dyDescent="0.3">
      <c r="A297" s="64">
        <v>45789</v>
      </c>
      <c r="B297" s="5" t="s">
        <v>82</v>
      </c>
      <c r="C297" s="65">
        <v>2000</v>
      </c>
      <c r="D297" s="5">
        <v>-50.63</v>
      </c>
      <c r="E297" s="67">
        <f ca="1">IFERROR(C297*D297*_xlfn.XLOOKUP(B297,[1]!TabCalc[Ticker],[1]!TabCalc[Scale]),0)</f>
        <v>-101260</v>
      </c>
      <c r="F297" s="68" cm="1">
        <f t="array" aca="1" ref="F297" ca="1">IF(A297=A296,0,SUM(_xlfn._xlws.FILTER(E297:E307,A297:A307=A297)))</f>
        <v>-122670</v>
      </c>
      <c r="G297" s="69">
        <f ca="1">IF(F297&lt;&gt;0,SUM($F$43:F297),0)</f>
        <v>-2554882.0106729995</v>
      </c>
      <c r="H297" s="69" cm="1">
        <f t="array" aca="1" ref="H297" ca="1">IFERROR(IF(A297=A296,0,SUM(_xlfn._xlws.FILTER(E297:E307,(A297:A307=A297)*(E297:E307&gt;0)))),0)</f>
        <v>47470</v>
      </c>
      <c r="I297" s="69" cm="1">
        <f t="array" aca="1" ref="I297" ca="1">IFERROR(IF(A297=A296,0,SUM(_xlfn._xlws.FILTER(E297:E307,(A297:A307=A297)*(F297&lt;0)))),0)</f>
        <v>-122670</v>
      </c>
      <c r="J297"/>
      <c r="K297"/>
      <c r="L297"/>
      <c r="M297"/>
      <c r="N297"/>
    </row>
    <row r="298" spans="1:14" hidden="1" x14ac:dyDescent="0.3">
      <c r="A298" s="64">
        <v>45789</v>
      </c>
      <c r="B298" s="5" t="s">
        <v>83</v>
      </c>
      <c r="C298" s="65">
        <v>3000</v>
      </c>
      <c r="D298" s="5">
        <v>-22.96</v>
      </c>
      <c r="E298" s="67">
        <f ca="1">IFERROR(C298*D298*_xlfn.XLOOKUP(B298,[1]!TabCalc[Ticker],[1]!TabCalc[Scale]),0)</f>
        <v>-68880</v>
      </c>
      <c r="F298" s="68" cm="1">
        <f t="array" ref="F298">IF(A298=A297,0,SUM(_xlfn._xlws.FILTER(E298:E308,A298:A308=A298)))</f>
        <v>0</v>
      </c>
      <c r="G298" s="69">
        <f>IF(F298&lt;&gt;0,SUM($F$43:F298),0)</f>
        <v>0</v>
      </c>
      <c r="H298" s="69" cm="1">
        <f t="array" ref="H298">IFERROR(IF(A298=A297,0,SUM(_xlfn._xlws.FILTER(E298:E308,(A298:A308=A298)*(E298:E308&gt;0)))),0)</f>
        <v>0</v>
      </c>
      <c r="I298" s="69" cm="1">
        <f t="array" ref="I298">IFERROR(IF(A298=A297,0,SUM(_xlfn._xlws.FILTER(E298:E308,(A298:A308=A298)*(F298&lt;0)))),0)</f>
        <v>0</v>
      </c>
      <c r="J298"/>
      <c r="K298"/>
      <c r="L298"/>
      <c r="M298"/>
      <c r="N298"/>
    </row>
    <row r="299" spans="1:14" hidden="1" x14ac:dyDescent="0.3">
      <c r="A299" s="64">
        <v>45789</v>
      </c>
      <c r="B299" s="5" t="s">
        <v>56</v>
      </c>
      <c r="C299" s="65">
        <v>1000</v>
      </c>
      <c r="D299" s="5">
        <v>47.47</v>
      </c>
      <c r="E299" s="67">
        <f ca="1">IFERROR(C299*D299*_xlfn.XLOOKUP(B299,[1]!TabCalc[Ticker],[1]!TabCalc[Scale]),0)</f>
        <v>47470</v>
      </c>
      <c r="F299" s="68" cm="1">
        <f t="array" ref="F299">IF(A299=A298,0,SUM(_xlfn._xlws.FILTER(E299:E309,A299:A309=A299)))</f>
        <v>0</v>
      </c>
      <c r="G299" s="69">
        <f>IF(F299&lt;&gt;0,SUM($F$43:F299),0)</f>
        <v>0</v>
      </c>
      <c r="H299" s="69" cm="1">
        <f t="array" ref="H299">IFERROR(IF(A299=A298,0,SUM(_xlfn._xlws.FILTER(E299:E309,(A299:A309=A299)*(E299:E309&gt;0)))),0)</f>
        <v>0</v>
      </c>
      <c r="I299" s="69" cm="1">
        <f t="array" ref="I299">IFERROR(IF(A299=A298,0,SUM(_xlfn._xlws.FILTER(E299:E309,(A299:A309=A299)*(F299&lt;0)))),0)</f>
        <v>0</v>
      </c>
      <c r="J299"/>
      <c r="K299"/>
      <c r="L299"/>
      <c r="M299"/>
      <c r="N299"/>
    </row>
    <row r="300" spans="1:14" hidden="1" x14ac:dyDescent="0.3">
      <c r="A300" s="70">
        <v>45790</v>
      </c>
      <c r="B300" s="6" t="s">
        <v>101</v>
      </c>
      <c r="C300" s="18">
        <v>1250</v>
      </c>
      <c r="D300" s="6">
        <v>-14.7</v>
      </c>
      <c r="E300" s="67">
        <f ca="1">IFERROR(C300*D300*_xlfn.XLOOKUP(B300,[1]!TabCalc[Ticker],[1]!TabCalc[Scale]),0)</f>
        <v>-18375</v>
      </c>
      <c r="F300" s="68" cm="1">
        <f t="array" aca="1" ref="F300" ca="1">IF(A300=A299,0,SUM(_xlfn._xlws.FILTER(E300:E310,A300:A310=A300)))</f>
        <v>-176524</v>
      </c>
      <c r="G300" s="69">
        <f ca="1">IF(F300&lt;&gt;0,SUM($F$43:F300),0)</f>
        <v>-2731406.0106729995</v>
      </c>
      <c r="H300" s="69" cm="1">
        <f t="array" aca="1" ref="H300" ca="1">IFERROR(IF(A300=A299,0,SUM(_xlfn._xlws.FILTER(E300:E310,(A300:A310=A300)*(E300:E310&gt;0)))),0)</f>
        <v>0</v>
      </c>
      <c r="I300" s="69" cm="1">
        <f t="array" aca="1" ref="I300" ca="1">IFERROR(IF(A300=A299,0,SUM(_xlfn._xlws.FILTER(E300:E310,(A300:A310=A300)*(F300&lt;0)))),0)</f>
        <v>-176524</v>
      </c>
      <c r="J300"/>
      <c r="K300"/>
      <c r="L300"/>
      <c r="M300"/>
      <c r="N300"/>
    </row>
    <row r="301" spans="1:14" hidden="1" x14ac:dyDescent="0.3">
      <c r="A301" s="70">
        <v>45790</v>
      </c>
      <c r="B301" s="6" t="s">
        <v>94</v>
      </c>
      <c r="C301" s="18">
        <v>2000</v>
      </c>
      <c r="D301" s="6">
        <v>-14.73</v>
      </c>
      <c r="E301" s="67">
        <f ca="1">IFERROR(C301*D301*_xlfn.XLOOKUP(B301,[1]!TabCalc[Ticker],[1]!TabCalc[Scale]),0)</f>
        <v>-29460</v>
      </c>
      <c r="F301" s="68" cm="1">
        <f t="array" ref="F301">IF(A301=A300,0,SUM(_xlfn._xlws.FILTER(E301:E311,A301:A311=A301)))</f>
        <v>0</v>
      </c>
      <c r="G301" s="69">
        <f>IF(F301&lt;&gt;0,SUM($F$43:F301),0)</f>
        <v>0</v>
      </c>
      <c r="H301" s="69" cm="1">
        <f t="array" ref="H301">IFERROR(IF(A301=A300,0,SUM(_xlfn._xlws.FILTER(E301:E311,(A301:A311=A301)*(E301:E311&gt;0)))),0)</f>
        <v>0</v>
      </c>
      <c r="I301" s="69" cm="1">
        <f t="array" ref="I301">IFERROR(IF(A301=A300,0,SUM(_xlfn._xlws.FILTER(E301:E311,(A301:A311=A301)*(F301&lt;0)))),0)</f>
        <v>0</v>
      </c>
      <c r="J301"/>
      <c r="K301"/>
      <c r="L301"/>
      <c r="M301"/>
      <c r="N301"/>
    </row>
    <row r="302" spans="1:14" hidden="1" x14ac:dyDescent="0.3">
      <c r="A302" s="70">
        <v>45790</v>
      </c>
      <c r="B302" s="6" t="s">
        <v>67</v>
      </c>
      <c r="C302" s="18">
        <v>20000</v>
      </c>
      <c r="D302" s="6">
        <v>-1.91</v>
      </c>
      <c r="E302" s="67">
        <f ca="1">IFERROR(C302*D302*_xlfn.XLOOKUP(B302,[1]!TabCalc[Ticker],[1]!TabCalc[Scale]),0)</f>
        <v>-38200</v>
      </c>
      <c r="F302" s="68" cm="1">
        <f t="array" ref="F302">IF(A302=A301,0,SUM(_xlfn._xlws.FILTER(E302:E312,A302:A312=A302)))</f>
        <v>0</v>
      </c>
      <c r="G302" s="69">
        <f>IF(F302&lt;&gt;0,SUM($F$43:F302),0)</f>
        <v>0</v>
      </c>
      <c r="H302" s="69" cm="1">
        <f t="array" ref="H302">IFERROR(IF(A302=A301,0,SUM(_xlfn._xlws.FILTER(E302:E312,(A302:A312=A302)*(E302:E312&gt;0)))),0)</f>
        <v>0</v>
      </c>
      <c r="I302" s="69" cm="1">
        <f t="array" ref="I302">IFERROR(IF(A302=A301,0,SUM(_xlfn._xlws.FILTER(E302:E312,(A302:A312=A302)*(F302&lt;0)))),0)</f>
        <v>0</v>
      </c>
      <c r="J302"/>
      <c r="K302"/>
      <c r="L302"/>
      <c r="M302"/>
      <c r="N302"/>
    </row>
    <row r="303" spans="1:14" hidden="1" x14ac:dyDescent="0.3">
      <c r="A303" s="70">
        <v>45790</v>
      </c>
      <c r="B303" s="6" t="s">
        <v>62</v>
      </c>
      <c r="C303" s="18">
        <v>21000</v>
      </c>
      <c r="D303" s="6">
        <v>-1.929</v>
      </c>
      <c r="E303" s="67">
        <f ca="1">IFERROR(C303*D303*_xlfn.XLOOKUP(B303,[1]!TabCalc[Ticker],[1]!TabCalc[Scale]),0)</f>
        <v>-40509</v>
      </c>
      <c r="F303" s="68" cm="1">
        <f t="array" ref="F303">IF(A303=A302,0,SUM(_xlfn._xlws.FILTER(E303:E313,A303:A313=A303)))</f>
        <v>0</v>
      </c>
      <c r="G303" s="69">
        <f>IF(F303&lt;&gt;0,SUM($F$43:F303),0)</f>
        <v>0</v>
      </c>
      <c r="H303" s="69" cm="1">
        <f t="array" ref="H303">IFERROR(IF(A303=A302,0,SUM(_xlfn._xlws.FILTER(E303:E313,(A303:A313=A303)*(E303:E313&gt;0)))),0)</f>
        <v>0</v>
      </c>
      <c r="I303" s="69" cm="1">
        <f t="array" ref="I303">IFERROR(IF(A303=A302,0,SUM(_xlfn._xlws.FILTER(E303:E313,(A303:A313=A303)*(F303&lt;0)))),0)</f>
        <v>0</v>
      </c>
      <c r="J303"/>
      <c r="K303"/>
      <c r="L303"/>
      <c r="M303"/>
      <c r="N303"/>
    </row>
    <row r="304" spans="1:14" hidden="1" x14ac:dyDescent="0.3">
      <c r="A304" s="70">
        <v>45790</v>
      </c>
      <c r="B304" s="6" t="s">
        <v>82</v>
      </c>
      <c r="C304" s="18">
        <v>1000</v>
      </c>
      <c r="D304" s="6">
        <v>-49.98</v>
      </c>
      <c r="E304" s="67">
        <f ca="1">IFERROR(C304*D304*_xlfn.XLOOKUP(B304,[1]!TabCalc[Ticker],[1]!TabCalc[Scale]),0)</f>
        <v>-49980</v>
      </c>
      <c r="F304" s="68" cm="1">
        <f t="array" ref="F304">IF(A304=A303,0,SUM(_xlfn._xlws.FILTER(E304:E314,A304:A314=A304)))</f>
        <v>0</v>
      </c>
      <c r="G304" s="69">
        <f>IF(F304&lt;&gt;0,SUM($F$43:F304),0)</f>
        <v>0</v>
      </c>
      <c r="H304" s="69" cm="1">
        <f t="array" ref="H304">IFERROR(IF(A304=A303,0,SUM(_xlfn._xlws.FILTER(E304:E314,(A304:A314=A304)*(E304:E314&gt;0)))),0)</f>
        <v>0</v>
      </c>
      <c r="I304" s="69" cm="1">
        <f t="array" ref="I304">IFERROR(IF(A304=A303,0,SUM(_xlfn._xlws.FILTER(E304:E314,(A304:A314=A304)*(F304&lt;0)))),0)</f>
        <v>0</v>
      </c>
      <c r="J304"/>
      <c r="K304"/>
      <c r="L304"/>
      <c r="M304"/>
      <c r="N304"/>
    </row>
    <row r="305" spans="1:14" hidden="1" x14ac:dyDescent="0.3">
      <c r="A305" s="64">
        <v>45792</v>
      </c>
      <c r="B305" s="5" t="s">
        <v>97</v>
      </c>
      <c r="C305" s="65">
        <v>2000</v>
      </c>
      <c r="D305" s="5">
        <v>63.3</v>
      </c>
      <c r="E305" s="67">
        <f ca="1">IFERROR(C305*D305*_xlfn.XLOOKUP(B305,[1]!TabCalc[Ticker],[1]!TabCalc[Scale]),0)</f>
        <v>126600</v>
      </c>
      <c r="F305" s="68" cm="1">
        <f t="array" aca="1" ref="F305" ca="1">IF(A305=A304,0,SUM(_xlfn._xlws.FILTER(E305:E315,A305:A315=A305)))</f>
        <v>155430</v>
      </c>
      <c r="G305" s="69">
        <f ca="1">IF(F305&lt;&gt;0,SUM($F$43:F305),0)</f>
        <v>-2575976.0106729995</v>
      </c>
      <c r="H305" s="69" cm="1">
        <f t="array" aca="1" ref="H305" ca="1">IFERROR(IF(A305=A304,0,SUM(_xlfn._xlws.FILTER(E305:E315,(A305:A315=A305)*(E305:E315&gt;0)))),0)</f>
        <v>155430</v>
      </c>
      <c r="I305" s="69" cm="1">
        <f t="array" aca="1" ref="I305" ca="1">IFERROR(IF(A305=A304,0,SUM(_xlfn._xlws.FILTER(E305:E315,(A305:A315=A305)*(F305&lt;0)))),0)</f>
        <v>0</v>
      </c>
      <c r="J305"/>
      <c r="K305"/>
      <c r="L305"/>
      <c r="M305"/>
      <c r="N305"/>
    </row>
    <row r="306" spans="1:14" hidden="1" x14ac:dyDescent="0.3">
      <c r="A306" s="64">
        <v>45792</v>
      </c>
      <c r="B306" s="5" t="s">
        <v>34</v>
      </c>
      <c r="C306" s="65">
        <v>1000</v>
      </c>
      <c r="D306" s="5">
        <v>28.83</v>
      </c>
      <c r="E306" s="67">
        <f ca="1">IFERROR(C306*D306*_xlfn.XLOOKUP(B306,[1]!TabCalc[Ticker],[1]!TabCalc[Scale]),0)</f>
        <v>28830</v>
      </c>
      <c r="F306" s="68" cm="1">
        <f t="array" ref="F306">IF(A306=A305,0,SUM(_xlfn._xlws.FILTER(E306:E316,A306:A316=A306)))</f>
        <v>0</v>
      </c>
      <c r="G306" s="69">
        <f>IF(F306&lt;&gt;0,SUM($F$43:F306),0)</f>
        <v>0</v>
      </c>
      <c r="H306" s="69" cm="1">
        <f t="array" ref="H306">IFERROR(IF(A306=A305,0,SUM(_xlfn._xlws.FILTER(E306:E316,(A306:A316=A306)*(E306:E316&gt;0)))),0)</f>
        <v>0</v>
      </c>
      <c r="I306" s="69" cm="1">
        <f t="array" ref="I306">IFERROR(IF(A306=A305,0,SUM(_xlfn._xlws.FILTER(E306:E316,(A306:A316=A306)*(F306&lt;0)))),0)</f>
        <v>0</v>
      </c>
      <c r="J306"/>
      <c r="K306"/>
      <c r="L306"/>
      <c r="M306"/>
      <c r="N306"/>
    </row>
    <row r="307" spans="1:14" hidden="1" x14ac:dyDescent="0.3">
      <c r="A307" s="70">
        <v>45793</v>
      </c>
      <c r="B307" s="6" t="s">
        <v>102</v>
      </c>
      <c r="C307" s="18">
        <v>18000</v>
      </c>
      <c r="D307" s="77">
        <v>544.20000000000005</v>
      </c>
      <c r="E307" s="67">
        <f ca="1">IFERROR(C307*D307*_xlfn.XLOOKUP(B307,[1]!TabCalc[Ticker],[1]!TabCalc[Scale]),0)</f>
        <v>97956</v>
      </c>
      <c r="F307" s="68" cm="1">
        <f t="array" aca="1" ref="F307" ca="1">IF(A307=A306,0,SUM(_xlfn._xlws.FILTER(E307:E317,A307:A317=A307)))</f>
        <v>97956</v>
      </c>
      <c r="G307" s="69">
        <f ca="1">IF(F307&lt;&gt;0,SUM($F$43:F307),0)</f>
        <v>-2478020.0106729995</v>
      </c>
      <c r="H307" s="69" cm="1">
        <f t="array" aca="1" ref="H307" ca="1">IFERROR(IF(A307=A306,0,SUM(_xlfn._xlws.FILTER(E307:E317,(A307:A317=A307)*(E307:E317&gt;0)))),0)</f>
        <v>97956</v>
      </c>
      <c r="I307" s="69" cm="1">
        <f t="array" aca="1" ref="I307" ca="1">IFERROR(IF(A307=A306,0,SUM(_xlfn._xlws.FILTER(E307:E317,(A307:A317=A307)*(F307&lt;0)))),0)</f>
        <v>0</v>
      </c>
      <c r="J307"/>
      <c r="K307"/>
      <c r="L307"/>
      <c r="M307"/>
      <c r="N307"/>
    </row>
    <row r="308" spans="1:14" hidden="1" x14ac:dyDescent="0.3">
      <c r="A308" s="78" t="s">
        <v>103</v>
      </c>
      <c r="B308" s="6" t="s">
        <v>104</v>
      </c>
      <c r="C308" s="18">
        <v>1000</v>
      </c>
      <c r="D308" s="6">
        <v>-206.73</v>
      </c>
      <c r="E308" s="67">
        <f ca="1">IFERROR(C308*D308*_xlfn.XLOOKUP(B308,[1]!TabCalc[Ticker],[1]!TabCalc[Scale]),0)</f>
        <v>-206730</v>
      </c>
      <c r="F308" s="68" cm="1">
        <f t="array" aca="1" ref="F308" ca="1">IF(A308=A307,0,SUM(_xlfn._xlws.FILTER(E308:E318,A308:A318=A308)))</f>
        <v>-377242.5</v>
      </c>
      <c r="G308" s="69">
        <f ca="1">IF(F308&lt;&gt;0,SUM($F$43:F308),0)</f>
        <v>-2855262.5106729995</v>
      </c>
      <c r="H308" s="69" cm="1">
        <f t="array" aca="1" ref="H308" ca="1">IFERROR(IF(A308=A307,0,SUM(_xlfn._xlws.FILTER(E308:E318,(A308:A318=A308)*(E308:E318&gt;0)))),0)</f>
        <v>33585</v>
      </c>
      <c r="I308" s="69" cm="1">
        <f t="array" aca="1" ref="I308" ca="1">IFERROR(IF(A308=A307,0,SUM(_xlfn._xlws.FILTER(E308:E318,(A308:A318=A308)*(F308&lt;0)))),0)</f>
        <v>-377242.5</v>
      </c>
      <c r="J308"/>
      <c r="K308"/>
      <c r="L308"/>
      <c r="M308"/>
      <c r="N308"/>
    </row>
    <row r="309" spans="1:14" hidden="1" x14ac:dyDescent="0.3">
      <c r="A309" s="78" t="s">
        <v>103</v>
      </c>
      <c r="B309" s="6" t="s">
        <v>61</v>
      </c>
      <c r="C309" s="18">
        <v>1000</v>
      </c>
      <c r="D309" s="6">
        <v>-204.0975</v>
      </c>
      <c r="E309" s="67">
        <f ca="1">IFERROR(C309*D309*_xlfn.XLOOKUP(B309,[1]!TabCalc[Ticker],[1]!TabCalc[Scale]),0)</f>
        <v>-204097.5</v>
      </c>
      <c r="F309" s="68" cm="1">
        <f t="array" ref="F309">IF(A309=A308,0,SUM(_xlfn._xlws.FILTER(E309:E319,A309:A319=A309)))</f>
        <v>0</v>
      </c>
      <c r="G309" s="69">
        <f>IF(F309&lt;&gt;0,SUM($F$43:F309),0)</f>
        <v>0</v>
      </c>
      <c r="H309" s="69" cm="1">
        <f t="array" ref="H309">IFERROR(IF(A309=A308,0,SUM(_xlfn._xlws.FILTER(E309:E319,(A309:A319=A309)*(E309:E319&gt;0)))),0)</f>
        <v>0</v>
      </c>
      <c r="I309" s="69" cm="1">
        <f t="array" ref="I309">IFERROR(IF(A309=A308,0,SUM(_xlfn._xlws.FILTER(E309:E319,(A309:A319=A309)*(F309&lt;0)))),0)</f>
        <v>0</v>
      </c>
      <c r="J309"/>
      <c r="K309"/>
      <c r="L309"/>
      <c r="M309"/>
      <c r="N309"/>
    </row>
    <row r="310" spans="1:14" hidden="1" x14ac:dyDescent="0.3">
      <c r="A310" s="78" t="s">
        <v>103</v>
      </c>
      <c r="B310" s="6" t="s">
        <v>69</v>
      </c>
      <c r="C310" s="18">
        <v>10000</v>
      </c>
      <c r="D310" s="6">
        <v>335.85</v>
      </c>
      <c r="E310" s="67">
        <f ca="1">IFERROR(C310*D310*_xlfn.XLOOKUP(B310,[1]!TabCalc[Ticker],[1]!TabCalc[Scale]),0)</f>
        <v>33585</v>
      </c>
      <c r="F310" s="68" cm="1">
        <f t="array" ref="F310">IF(A310=A309,0,SUM(_xlfn._xlws.FILTER(E310:E320,A310:A320=A310)))</f>
        <v>0</v>
      </c>
      <c r="G310" s="69">
        <f>IF(F310&lt;&gt;0,SUM($F$43:F310),0)</f>
        <v>0</v>
      </c>
      <c r="H310" s="69" cm="1">
        <f t="array" ref="H310">IFERROR(IF(A310=A309,0,SUM(_xlfn._xlws.FILTER(E310:E320,(A310:A320=A310)*(E310:E320&gt;0)))),0)</f>
        <v>0</v>
      </c>
      <c r="I310" s="69" cm="1">
        <f t="array" ref="I310">IFERROR(IF(A310=A309,0,SUM(_xlfn._xlws.FILTER(E310:E320,(A310:A320=A310)*(F310&lt;0)))),0)</f>
        <v>0</v>
      </c>
      <c r="J310"/>
      <c r="K310"/>
      <c r="L310"/>
      <c r="M310"/>
      <c r="N310"/>
    </row>
    <row r="311" spans="1:14" hidden="1" x14ac:dyDescent="0.3">
      <c r="A311" s="70">
        <v>45796</v>
      </c>
      <c r="B311" s="6" t="s">
        <v>73</v>
      </c>
      <c r="C311" s="18">
        <v>4000</v>
      </c>
      <c r="D311" s="77">
        <v>11.251099999999999</v>
      </c>
      <c r="E311" s="67">
        <f ca="1">IFERROR(C311*D311*_xlfn.XLOOKUP(B311,[1]!TabCalc[Ticker],[1]!TabCalc[Scale]),0)</f>
        <v>45004.399999999994</v>
      </c>
      <c r="F311" s="68" cm="1">
        <f t="array" aca="1" ref="F311" ca="1">IF(A311=A310,0,SUM(_xlfn._xlws.FILTER(E311:E321,A311:A321=A311)))</f>
        <v>704784.55</v>
      </c>
      <c r="G311" s="69">
        <f ca="1">IF(F311&lt;&gt;0,SUM($F$43:F311),0)</f>
        <v>-2150477.9606729997</v>
      </c>
      <c r="H311" s="69" cm="1">
        <f t="array" aca="1" ref="H311" ca="1">IFERROR(IF(A311=A310,0,SUM(_xlfn._xlws.FILTER(E311:E321,(A311:A321=A311)*(E311:E321&gt;0)))),0)</f>
        <v>704784.55</v>
      </c>
      <c r="I311" s="69" cm="1">
        <f t="array" aca="1" ref="I311" ca="1">IFERROR(IF(A311=A310,0,SUM(_xlfn._xlws.FILTER(E311:E321,(A311:A321=A311)*(F311&lt;0)))),0)</f>
        <v>0</v>
      </c>
      <c r="J311"/>
      <c r="K311"/>
      <c r="L311"/>
      <c r="M311"/>
      <c r="N311"/>
    </row>
    <row r="312" spans="1:14" hidden="1" x14ac:dyDescent="0.3">
      <c r="A312" s="70">
        <v>45796</v>
      </c>
      <c r="B312" s="6" t="s">
        <v>32</v>
      </c>
      <c r="C312" s="18">
        <v>1000</v>
      </c>
      <c r="D312" s="77">
        <v>73.814999999999998</v>
      </c>
      <c r="E312" s="67">
        <f ca="1">IFERROR(C312*D312*_xlfn.XLOOKUP(B312,[1]!TabCalc[Ticker],[1]!TabCalc[Scale]),0)</f>
        <v>73815</v>
      </c>
      <c r="F312" s="68" cm="1">
        <f t="array" ref="F312">IF(A312=A311,0,SUM(_xlfn._xlws.FILTER(E312:E322,A312:A322=A312)))</f>
        <v>0</v>
      </c>
      <c r="G312" s="69">
        <f>IF(F312&lt;&gt;0,SUM($F$43:F312),0)</f>
        <v>0</v>
      </c>
      <c r="H312" s="69" cm="1">
        <f t="array" ref="H312">IFERROR(IF(A312=A311,0,SUM(_xlfn._xlws.FILTER(E312:E322,(A312:A322=A312)*(E312:E322&gt;0)))),0)</f>
        <v>0</v>
      </c>
      <c r="I312" s="69" cm="1">
        <f t="array" ref="I312">IFERROR(IF(A312=A311,0,SUM(_xlfn._xlws.FILTER(E312:E322,(A312:A322=A312)*(F312&lt;0)))),0)</f>
        <v>0</v>
      </c>
      <c r="J312"/>
      <c r="K312"/>
      <c r="L312"/>
      <c r="M312"/>
      <c r="N312"/>
    </row>
    <row r="313" spans="1:14" hidden="1" x14ac:dyDescent="0.3">
      <c r="A313" s="70">
        <v>45796</v>
      </c>
      <c r="B313" s="6" t="s">
        <v>49</v>
      </c>
      <c r="C313" s="18">
        <v>1500</v>
      </c>
      <c r="D313" s="77">
        <v>32.24</v>
      </c>
      <c r="E313" s="67">
        <f ca="1">IFERROR(C313*D313*_xlfn.XLOOKUP(B313,[1]!TabCalc[Ticker],[1]!TabCalc[Scale]),0)</f>
        <v>48360</v>
      </c>
      <c r="F313" s="68" cm="1">
        <f t="array" ref="F313">IF(A313=A312,0,SUM(_xlfn._xlws.FILTER(E313:E323,A313:A323=A313)))</f>
        <v>0</v>
      </c>
      <c r="G313" s="69">
        <f>IF(F313&lt;&gt;0,SUM($F$43:F313),0)</f>
        <v>0</v>
      </c>
      <c r="H313" s="69" cm="1">
        <f t="array" ref="H313">IFERROR(IF(A313=A312,0,SUM(_xlfn._xlws.FILTER(E313:E323,(A313:A323=A313)*(E313:E323&gt;0)))),0)</f>
        <v>0</v>
      </c>
      <c r="I313" s="69" cm="1">
        <f t="array" ref="I313">IFERROR(IF(A313=A312,0,SUM(_xlfn._xlws.FILTER(E313:E323,(A313:A323=A313)*(F313&lt;0)))),0)</f>
        <v>0</v>
      </c>
      <c r="J313"/>
      <c r="K313"/>
      <c r="L313"/>
      <c r="M313"/>
      <c r="N313"/>
    </row>
    <row r="314" spans="1:14" hidden="1" x14ac:dyDescent="0.3">
      <c r="A314" s="70">
        <v>45796</v>
      </c>
      <c r="B314" s="6" t="s">
        <v>90</v>
      </c>
      <c r="C314" s="18">
        <v>500</v>
      </c>
      <c r="D314" s="77">
        <v>263.875</v>
      </c>
      <c r="E314" s="67">
        <f ca="1">IFERROR(C314*D314*_xlfn.XLOOKUP(B314,[1]!TabCalc[Ticker],[1]!TabCalc[Scale]),0)</f>
        <v>131937.5</v>
      </c>
      <c r="F314" s="68" cm="1">
        <f t="array" ref="F314">IF(A314=A313,0,SUM(_xlfn._xlws.FILTER(E314:E324,A314:A324=A314)))</f>
        <v>0</v>
      </c>
      <c r="G314" s="69">
        <f>IF(F314&lt;&gt;0,SUM($F$43:F314),0)</f>
        <v>0</v>
      </c>
      <c r="H314" s="69" cm="1">
        <f t="array" ref="H314">IFERROR(IF(A314=A313,0,SUM(_xlfn._xlws.FILTER(E314:E324,(A314:A324=A314)*(E314:E324&gt;0)))),0)</f>
        <v>0</v>
      </c>
      <c r="I314" s="69" cm="1">
        <f t="array" ref="I314">IFERROR(IF(A314=A313,0,SUM(_xlfn._xlws.FILTER(E314:E324,(A314:A324=A314)*(F314&lt;0)))),0)</f>
        <v>0</v>
      </c>
      <c r="J314"/>
      <c r="K314"/>
      <c r="L314"/>
      <c r="M314"/>
      <c r="N314"/>
    </row>
    <row r="315" spans="1:14" hidden="1" x14ac:dyDescent="0.3">
      <c r="A315" s="70">
        <v>45796</v>
      </c>
      <c r="B315" s="6" t="s">
        <v>91</v>
      </c>
      <c r="C315" s="18">
        <v>500</v>
      </c>
      <c r="D315" s="77">
        <v>263.8</v>
      </c>
      <c r="E315" s="67">
        <f ca="1">IFERROR(C315*D315*_xlfn.XLOOKUP(B315,[1]!TabCalc[Ticker],[1]!TabCalc[Scale]),0)</f>
        <v>131900</v>
      </c>
      <c r="F315" s="68" cm="1">
        <f t="array" ref="F315">IF(A315=A314,0,SUM(_xlfn._xlws.FILTER(E315:E325,A315:A325=A315)))</f>
        <v>0</v>
      </c>
      <c r="G315" s="69">
        <f>IF(F315&lt;&gt;0,SUM($F$43:F315),0)</f>
        <v>0</v>
      </c>
      <c r="H315" s="69" cm="1">
        <f t="array" ref="H315">IFERROR(IF(A315=A314,0,SUM(_xlfn._xlws.FILTER(E315:E325,(A315:A325=A315)*(E315:E325&gt;0)))),0)</f>
        <v>0</v>
      </c>
      <c r="I315" s="69" cm="1">
        <f t="array" ref="I315">IFERROR(IF(A315=A314,0,SUM(_xlfn._xlws.FILTER(E315:E325,(A315:A325=A315)*(F315&lt;0)))),0)</f>
        <v>0</v>
      </c>
      <c r="J315"/>
      <c r="K315"/>
      <c r="L315"/>
      <c r="M315"/>
      <c r="N315"/>
    </row>
    <row r="316" spans="1:14" hidden="1" x14ac:dyDescent="0.3">
      <c r="A316" s="70">
        <v>45796</v>
      </c>
      <c r="B316" s="6" t="s">
        <v>51</v>
      </c>
      <c r="C316" s="18">
        <v>400</v>
      </c>
      <c r="D316" s="77">
        <v>76.105000000000004</v>
      </c>
      <c r="E316" s="67">
        <f ca="1">IFERROR(C316*D316*_xlfn.XLOOKUP(B316,[1]!TabCalc[Ticker],[1]!TabCalc[Scale]),0)</f>
        <v>30442</v>
      </c>
      <c r="F316" s="68" cm="1">
        <f t="array" ref="F316">IF(A316=A315,0,SUM(_xlfn._xlws.FILTER(E316:E326,A316:A326=A316)))</f>
        <v>0</v>
      </c>
      <c r="G316" s="69">
        <f>IF(F316&lt;&gt;0,SUM($F$43:F316),0)</f>
        <v>0</v>
      </c>
      <c r="H316" s="69" cm="1">
        <f t="array" ref="H316">IFERROR(IF(A316=A315,0,SUM(_xlfn._xlws.FILTER(E316:E326,(A316:A326=A316)*(E316:E326&gt;0)))),0)</f>
        <v>0</v>
      </c>
      <c r="I316" s="69" cm="1">
        <f t="array" ref="I316">IFERROR(IF(A316=A315,0,SUM(_xlfn._xlws.FILTER(E316:E326,(A316:A326=A316)*(F316&lt;0)))),0)</f>
        <v>0</v>
      </c>
      <c r="J316"/>
      <c r="K316"/>
      <c r="L316"/>
      <c r="M316"/>
      <c r="N316"/>
    </row>
    <row r="317" spans="1:14" hidden="1" x14ac:dyDescent="0.3">
      <c r="A317" s="70">
        <v>45796</v>
      </c>
      <c r="B317" s="6" t="s">
        <v>34</v>
      </c>
      <c r="C317" s="18">
        <v>1000</v>
      </c>
      <c r="D317" s="77">
        <v>29.094999999999999</v>
      </c>
      <c r="E317" s="67">
        <f ca="1">IFERROR(C317*D317*_xlfn.XLOOKUP(B317,[1]!TabCalc[Ticker],[1]!TabCalc[Scale]),0)</f>
        <v>29095</v>
      </c>
      <c r="F317" s="68" cm="1">
        <f t="array" ref="F317">IF(A317=A316,0,SUM(_xlfn._xlws.FILTER(E317:E327,A317:A327=A317)))</f>
        <v>0</v>
      </c>
      <c r="G317" s="69">
        <f>IF(F317&lt;&gt;0,SUM($F$43:F317),0)</f>
        <v>0</v>
      </c>
      <c r="H317" s="69" cm="1">
        <f t="array" ref="H317">IFERROR(IF(A317=A316,0,SUM(_xlfn._xlws.FILTER(E317:E327,(A317:A327=A317)*(E317:E327&gt;0)))),0)</f>
        <v>0</v>
      </c>
      <c r="I317" s="69" cm="1">
        <f t="array" ref="I317">IFERROR(IF(A317=A316,0,SUM(_xlfn._xlws.FILTER(E317:E327,(A317:A327=A317)*(F317&lt;0)))),0)</f>
        <v>0</v>
      </c>
      <c r="J317"/>
      <c r="K317"/>
      <c r="L317"/>
      <c r="M317"/>
      <c r="N317"/>
    </row>
    <row r="318" spans="1:14" hidden="1" x14ac:dyDescent="0.3">
      <c r="A318" s="70">
        <v>45796</v>
      </c>
      <c r="B318" s="6" t="s">
        <v>78</v>
      </c>
      <c r="C318" s="18">
        <v>750</v>
      </c>
      <c r="D318" s="77">
        <v>62.734999999999999</v>
      </c>
      <c r="E318" s="67">
        <f ca="1">IFERROR(C318*D318*_xlfn.XLOOKUP(B318,[1]!TabCalc[Ticker],[1]!TabCalc[Scale]),0)</f>
        <v>47051.25</v>
      </c>
      <c r="F318" s="68" cm="1">
        <f t="array" ref="F318">IF(A318=A317,0,SUM(_xlfn._xlws.FILTER(E318:E328,A318:A328=A318)))</f>
        <v>0</v>
      </c>
      <c r="G318" s="69">
        <f>IF(F318&lt;&gt;0,SUM($F$43:F318),0)</f>
        <v>0</v>
      </c>
      <c r="H318" s="69" cm="1">
        <f t="array" ref="H318">IFERROR(IF(A318=A317,0,SUM(_xlfn._xlws.FILTER(E318:E328,(A318:A328=A318)*(E318:E328&gt;0)))),0)</f>
        <v>0</v>
      </c>
      <c r="I318" s="69" cm="1">
        <f t="array" ref="I318">IFERROR(IF(A318=A317,0,SUM(_xlfn._xlws.FILTER(E318:E328,(A318:A328=A318)*(F318&lt;0)))),0)</f>
        <v>0</v>
      </c>
      <c r="J318"/>
      <c r="K318"/>
      <c r="L318"/>
      <c r="M318"/>
      <c r="N318"/>
    </row>
    <row r="319" spans="1:14" hidden="1" x14ac:dyDescent="0.3">
      <c r="A319" s="70">
        <v>45796</v>
      </c>
      <c r="B319" s="6" t="s">
        <v>73</v>
      </c>
      <c r="C319" s="18">
        <v>4000</v>
      </c>
      <c r="D319" s="77">
        <v>11.251099999999999</v>
      </c>
      <c r="E319" s="67">
        <f ca="1">IFERROR(C319*D319*_xlfn.XLOOKUP(B319,[1]!TabCalc[Ticker],[1]!TabCalc[Scale]),0)</f>
        <v>45004.399999999994</v>
      </c>
      <c r="F319" s="68" cm="1">
        <f t="array" ref="F319">IF(A319=A318,0,SUM(_xlfn._xlws.FILTER(E319:E329,A319:A329=A319)))</f>
        <v>0</v>
      </c>
      <c r="G319" s="69">
        <f>IF(F319&lt;&gt;0,SUM($F$43:F319),0)</f>
        <v>0</v>
      </c>
      <c r="H319" s="69" cm="1">
        <f t="array" ref="H319">IFERROR(IF(A319=A318,0,SUM(_xlfn._xlws.FILTER(E319:E329,(A319:A329=A319)*(E319:E329&gt;0)))),0)</f>
        <v>0</v>
      </c>
      <c r="I319" s="69" cm="1">
        <f t="array" ref="I319">IFERROR(IF(A319=A318,0,SUM(_xlfn._xlws.FILTER(E319:E329,(A319:A329=A319)*(F319&lt;0)))),0)</f>
        <v>0</v>
      </c>
      <c r="J319"/>
      <c r="K319"/>
      <c r="L319"/>
      <c r="M319"/>
      <c r="N319"/>
    </row>
    <row r="320" spans="1:14" hidden="1" x14ac:dyDescent="0.3">
      <c r="A320" s="70">
        <v>45796</v>
      </c>
      <c r="B320" s="6" t="s">
        <v>32</v>
      </c>
      <c r="C320" s="18">
        <v>1000</v>
      </c>
      <c r="D320" s="77">
        <v>73.814999999999998</v>
      </c>
      <c r="E320" s="67">
        <f ca="1">IFERROR(C320*D320*_xlfn.XLOOKUP(B320,[1]!TabCalc[Ticker],[1]!TabCalc[Scale]),0)</f>
        <v>73815</v>
      </c>
      <c r="F320" s="68" cm="1">
        <f t="array" ref="F320">IF(A320=A319,0,SUM(_xlfn._xlws.FILTER(E320:E330,A320:A330=A320)))</f>
        <v>0</v>
      </c>
      <c r="G320" s="69">
        <f>IF(F320&lt;&gt;0,SUM($F$43:F320),0)</f>
        <v>0</v>
      </c>
      <c r="H320" s="69" cm="1">
        <f t="array" ref="H320">IFERROR(IF(A320=A319,0,SUM(_xlfn._xlws.FILTER(E320:E330,(A320:A330=A320)*(E320:E330&gt;0)))),0)</f>
        <v>0</v>
      </c>
      <c r="I320" s="69" cm="1">
        <f t="array" ref="I320">IFERROR(IF(A320=A319,0,SUM(_xlfn._xlws.FILTER(E320:E330,(A320:A330=A320)*(F320&lt;0)))),0)</f>
        <v>0</v>
      </c>
      <c r="J320"/>
      <c r="K320"/>
      <c r="L320"/>
      <c r="M320"/>
      <c r="N320"/>
    </row>
    <row r="321" spans="1:14" hidden="1" x14ac:dyDescent="0.3">
      <c r="A321" s="70">
        <v>45796</v>
      </c>
      <c r="B321" s="6" t="s">
        <v>49</v>
      </c>
      <c r="C321" s="18">
        <v>1500</v>
      </c>
      <c r="D321" s="77">
        <v>32.24</v>
      </c>
      <c r="E321" s="67">
        <f ca="1">IFERROR(C321*D321*_xlfn.XLOOKUP(B321,[1]!TabCalc[Ticker],[1]!TabCalc[Scale]),0)</f>
        <v>48360</v>
      </c>
      <c r="F321" s="68" cm="1">
        <f t="array" ref="F321">IF(A321=A320,0,SUM(_xlfn._xlws.FILTER(E321:E331,A321:A331=A321)))</f>
        <v>0</v>
      </c>
      <c r="G321" s="69">
        <f>IF(F321&lt;&gt;0,SUM($F$43:F321),0)</f>
        <v>0</v>
      </c>
      <c r="H321" s="69" cm="1">
        <f t="array" ref="H321">IFERROR(IF(A321=A320,0,SUM(_xlfn._xlws.FILTER(E321:E331,(A321:A331=A321)*(E321:E331&gt;0)))),0)</f>
        <v>0</v>
      </c>
      <c r="I321" s="69" cm="1">
        <f t="array" ref="I321">IFERROR(IF(A321=A320,0,SUM(_xlfn._xlws.FILTER(E321:E331,(A321:A331=A321)*(F321&lt;0)))),0)</f>
        <v>0</v>
      </c>
      <c r="J321"/>
      <c r="K321"/>
      <c r="L321"/>
      <c r="M321"/>
      <c r="N321"/>
    </row>
    <row r="322" spans="1:14" hidden="1" x14ac:dyDescent="0.3">
      <c r="A322" s="70">
        <v>45796</v>
      </c>
      <c r="B322" s="6" t="s">
        <v>90</v>
      </c>
      <c r="C322" s="18">
        <v>500</v>
      </c>
      <c r="D322" s="77">
        <v>263.875</v>
      </c>
      <c r="E322" s="67">
        <f ca="1">IFERROR(C322*D322*_xlfn.XLOOKUP(B322,[1]!TabCalc[Ticker],[1]!TabCalc[Scale]),0)</f>
        <v>131937.5</v>
      </c>
      <c r="F322" s="68" cm="1">
        <f t="array" ref="F322">IF(A322=A321,0,SUM(_xlfn._xlws.FILTER(E322:E332,A322:A332=A322)))</f>
        <v>0</v>
      </c>
      <c r="G322" s="69">
        <f>IF(F322&lt;&gt;0,SUM($F$43:F322),0)</f>
        <v>0</v>
      </c>
      <c r="H322" s="69" cm="1">
        <f t="array" ref="H322">IFERROR(IF(A322=A321,0,SUM(_xlfn._xlws.FILTER(E322:E332,(A322:A332=A322)*(E322:E332&gt;0)))),0)</f>
        <v>0</v>
      </c>
      <c r="I322" s="69" cm="1">
        <f t="array" ref="I322">IFERROR(IF(A322=A321,0,SUM(_xlfn._xlws.FILTER(E322:E332,(A322:A332=A322)*(F322&lt;0)))),0)</f>
        <v>0</v>
      </c>
      <c r="J322"/>
      <c r="K322"/>
      <c r="L322"/>
      <c r="M322"/>
      <c r="N322"/>
    </row>
    <row r="323" spans="1:14" hidden="1" x14ac:dyDescent="0.3">
      <c r="A323" s="70">
        <v>45796</v>
      </c>
      <c r="B323" s="6" t="s">
        <v>91</v>
      </c>
      <c r="C323" s="18">
        <v>500</v>
      </c>
      <c r="D323" s="77">
        <v>263.8</v>
      </c>
      <c r="E323" s="67">
        <f ca="1">IFERROR(C323*D323*_xlfn.XLOOKUP(B323,[1]!TabCalc[Ticker],[1]!TabCalc[Scale]),0)</f>
        <v>131900</v>
      </c>
      <c r="F323" s="68" cm="1">
        <f t="array" ref="F323">IF(A323=A322,0,SUM(_xlfn._xlws.FILTER(E323:E333,A323:A333=A323)))</f>
        <v>0</v>
      </c>
      <c r="G323" s="69">
        <f>IF(F323&lt;&gt;0,SUM($F$43:F323),0)</f>
        <v>0</v>
      </c>
      <c r="H323" s="69" cm="1">
        <f t="array" ref="H323">IFERROR(IF(A323=A322,0,SUM(_xlfn._xlws.FILTER(E323:E333,(A323:A333=A323)*(E323:E333&gt;0)))),0)</f>
        <v>0</v>
      </c>
      <c r="I323" s="69" cm="1">
        <f t="array" ref="I323">IFERROR(IF(A323=A322,0,SUM(_xlfn._xlws.FILTER(E323:E333,(A323:A333=A323)*(F323&lt;0)))),0)</f>
        <v>0</v>
      </c>
      <c r="J323"/>
      <c r="K323"/>
      <c r="L323"/>
      <c r="M323"/>
      <c r="N323"/>
    </row>
    <row r="324" spans="1:14" hidden="1" x14ac:dyDescent="0.3">
      <c r="A324" s="70">
        <v>45796</v>
      </c>
      <c r="B324" s="6" t="s">
        <v>51</v>
      </c>
      <c r="C324" s="18">
        <v>400</v>
      </c>
      <c r="D324" s="77">
        <v>76.105000000000004</v>
      </c>
      <c r="E324" s="67">
        <f ca="1">IFERROR(C324*D324*_xlfn.XLOOKUP(B324,[1]!TabCalc[Ticker],[1]!TabCalc[Scale]),0)</f>
        <v>30442</v>
      </c>
      <c r="F324" s="68" cm="1">
        <f t="array" ref="F324">IF(A324=A323,0,SUM(_xlfn._xlws.FILTER(E324:E334,A324:A334=A324)))</f>
        <v>0</v>
      </c>
      <c r="G324" s="69">
        <f>IF(F324&lt;&gt;0,SUM($F$43:F324),0)</f>
        <v>0</v>
      </c>
      <c r="H324" s="69" cm="1">
        <f t="array" ref="H324">IFERROR(IF(A324=A323,0,SUM(_xlfn._xlws.FILTER(E324:E334,(A324:A334=A324)*(E324:E334&gt;0)))),0)</f>
        <v>0</v>
      </c>
      <c r="I324" s="69" cm="1">
        <f t="array" ref="I324">IFERROR(IF(A324=A323,0,SUM(_xlfn._xlws.FILTER(E324:E334,(A324:A334=A324)*(F324&lt;0)))),0)</f>
        <v>0</v>
      </c>
      <c r="J324"/>
      <c r="K324"/>
      <c r="L324"/>
      <c r="M324"/>
      <c r="N324"/>
    </row>
    <row r="325" spans="1:14" hidden="1" x14ac:dyDescent="0.3">
      <c r="A325" s="70">
        <v>45796</v>
      </c>
      <c r="B325" s="6" t="s">
        <v>34</v>
      </c>
      <c r="C325" s="18">
        <v>1000</v>
      </c>
      <c r="D325" s="77">
        <v>29.094999999999999</v>
      </c>
      <c r="E325" s="67">
        <f ca="1">IFERROR(C325*D325*_xlfn.XLOOKUP(B325,[1]!TabCalc[Ticker],[1]!TabCalc[Scale]),0)</f>
        <v>29095</v>
      </c>
      <c r="F325" s="68" cm="1">
        <f t="array" ref="F325">IF(A325=A324,0,SUM(_xlfn._xlws.FILTER(E325:E335,A325:A335=A325)))</f>
        <v>0</v>
      </c>
      <c r="G325" s="69">
        <f>IF(F325&lt;&gt;0,SUM($F$43:F325),0)</f>
        <v>0</v>
      </c>
      <c r="H325" s="69" cm="1">
        <f t="array" ref="H325">IFERROR(IF(A325=A324,0,SUM(_xlfn._xlws.FILTER(E325:E335,(A325:A335=A325)*(E325:E335&gt;0)))),0)</f>
        <v>0</v>
      </c>
      <c r="I325" s="69" cm="1">
        <f t="array" ref="I325">IFERROR(IF(A325=A324,0,SUM(_xlfn._xlws.FILTER(E325:E335,(A325:A335=A325)*(F325&lt;0)))),0)</f>
        <v>0</v>
      </c>
      <c r="J325"/>
      <c r="K325"/>
      <c r="L325"/>
      <c r="M325"/>
      <c r="N325"/>
    </row>
    <row r="326" spans="1:14" hidden="1" x14ac:dyDescent="0.3">
      <c r="A326" s="70">
        <v>45796</v>
      </c>
      <c r="B326" s="6" t="s">
        <v>78</v>
      </c>
      <c r="C326" s="18">
        <v>750</v>
      </c>
      <c r="D326" s="77">
        <v>62.734999999999999</v>
      </c>
      <c r="E326" s="67">
        <f ca="1">IFERROR(C326*D326*_xlfn.XLOOKUP(B326,[1]!TabCalc[Ticker],[1]!TabCalc[Scale]),0)</f>
        <v>47051.25</v>
      </c>
      <c r="F326" s="68" cm="1">
        <f t="array" ref="F326">IF(A326=A325,0,SUM(_xlfn._xlws.FILTER(E326:E336,A326:A336=A326)))</f>
        <v>0</v>
      </c>
      <c r="G326" s="69">
        <f>IF(F326&lt;&gt;0,SUM($F$43:F326),0)</f>
        <v>0</v>
      </c>
      <c r="H326" s="69" cm="1">
        <f t="array" ref="H326">IFERROR(IF(A326=A325,0,SUM(_xlfn._xlws.FILTER(E326:E336,(A326:A336=A326)*(E326:E336&gt;0)))),0)</f>
        <v>0</v>
      </c>
      <c r="I326" s="69" cm="1">
        <f t="array" ref="I326">IFERROR(IF(A326=A325,0,SUM(_xlfn._xlws.FILTER(E326:E336,(A326:A336=A326)*(F326&lt;0)))),0)</f>
        <v>0</v>
      </c>
      <c r="J326"/>
      <c r="K326"/>
      <c r="L326"/>
      <c r="M326"/>
      <c r="N326"/>
    </row>
    <row r="327" spans="1:14" hidden="1" x14ac:dyDescent="0.3">
      <c r="A327" s="64">
        <v>45799</v>
      </c>
      <c r="B327" s="5" t="s">
        <v>48</v>
      </c>
      <c r="C327" s="65">
        <v>3000</v>
      </c>
      <c r="D327" s="5">
        <v>13.3</v>
      </c>
      <c r="E327" s="67">
        <f ca="1">IFERROR(C327*D327*_xlfn.XLOOKUP(B327,[1]!TabCalc[Ticker],[1]!TabCalc[Scale]),0)</f>
        <v>39900</v>
      </c>
      <c r="F327" s="68" cm="1">
        <f t="array" aca="1" ref="F327" ca="1">IF(A327=A326,0,SUM(_xlfn._xlws.FILTER(E327:E337,A327:A337=A327)))</f>
        <v>39900</v>
      </c>
      <c r="G327" s="69">
        <f ca="1">IF(F327&lt;&gt;0,SUM($F$43:F327),0)</f>
        <v>-2110577.9606729997</v>
      </c>
      <c r="H327" s="69" cm="1">
        <f t="array" aca="1" ref="H327" ca="1">IFERROR(IF(A327=A326,0,SUM(_xlfn._xlws.FILTER(E327:E337,(A327:A337=A327)*(E327:E337&gt;0)))),0)</f>
        <v>39900</v>
      </c>
      <c r="I327" s="69" cm="1">
        <f t="array" aca="1" ref="I327" ca="1">IFERROR(IF(A327=A326,0,SUM(_xlfn._xlws.FILTER(E327:E337,(A327:A337=A327)*(F327&lt;0)))),0)</f>
        <v>0</v>
      </c>
      <c r="J327"/>
      <c r="K327"/>
      <c r="L327"/>
      <c r="M327"/>
      <c r="N327"/>
    </row>
    <row r="328" spans="1:14" hidden="1" x14ac:dyDescent="0.3">
      <c r="A328" s="70">
        <v>45800</v>
      </c>
      <c r="B328" s="6" t="s">
        <v>94</v>
      </c>
      <c r="C328" s="18">
        <v>3000</v>
      </c>
      <c r="D328" s="77">
        <v>15.547513</v>
      </c>
      <c r="E328" s="67">
        <f ca="1">IFERROR(C328*D328*_xlfn.XLOOKUP(B328,[1]!TabCalc[Ticker],[1]!TabCalc[Scale]),0)</f>
        <v>46642.539000000004</v>
      </c>
      <c r="F328" s="68" cm="1">
        <f t="array" aca="1" ref="F328" ca="1">IF(A328=A327,0,SUM(_xlfn._xlws.FILTER(E328:E338,A328:A338=A328)))</f>
        <v>-151472.96100000001</v>
      </c>
      <c r="G328" s="69">
        <f ca="1">IF(F328&lt;&gt;0,SUM($F$43:F328),0)</f>
        <v>-2262050.9216729999</v>
      </c>
      <c r="H328" s="69" cm="1">
        <f t="array" aca="1" ref="H328" ca="1">IFERROR(IF(A328=A327,0,SUM(_xlfn._xlws.FILTER(E328:E338,(A328:A338=A328)*(E328:E338&gt;0)))),0)</f>
        <v>244418.03899999999</v>
      </c>
      <c r="I328" s="69" cm="1">
        <f t="array" aca="1" ref="I328" ca="1">IFERROR(IF(A328=A327,0,SUM(_xlfn._xlws.FILTER(E328:E338,(A328:A338=A328)*(F328&lt;0)))),0)</f>
        <v>-151472.96100000001</v>
      </c>
      <c r="J328"/>
      <c r="K328"/>
      <c r="L328"/>
      <c r="M328"/>
      <c r="N328"/>
    </row>
    <row r="329" spans="1:14" hidden="1" x14ac:dyDescent="0.3">
      <c r="A329" s="70">
        <v>45800</v>
      </c>
      <c r="B329" s="6" t="s">
        <v>42</v>
      </c>
      <c r="C329" s="18">
        <v>650</v>
      </c>
      <c r="D329" s="77">
        <v>160.91</v>
      </c>
      <c r="E329" s="67">
        <f ca="1">IFERROR(C329*D329*_xlfn.XLOOKUP(B329,[1]!TabCalc[Ticker],[1]!TabCalc[Scale]),0)</f>
        <v>104591.5</v>
      </c>
      <c r="F329" s="68" cm="1">
        <f t="array" ref="F329">IF(A329=A328,0,SUM(_xlfn._xlws.FILTER(E329:E339,A329:A339=A329)))</f>
        <v>0</v>
      </c>
      <c r="G329" s="69">
        <f>IF(F329&lt;&gt;0,SUM($F$43:F329),0)</f>
        <v>0</v>
      </c>
      <c r="H329" s="69" cm="1">
        <f t="array" ref="H329">IFERROR(IF(A329=A328,0,SUM(_xlfn._xlws.FILTER(E329:E339,(A329:A339=A329)*(E329:E339&gt;0)))),0)</f>
        <v>0</v>
      </c>
      <c r="I329" s="69" cm="1">
        <f t="array" ref="I329">IFERROR(IF(A329=A328,0,SUM(_xlfn._xlws.FILTER(E329:E339,(A329:A339=A329)*(F329&lt;0)))),0)</f>
        <v>0</v>
      </c>
      <c r="J329"/>
      <c r="K329"/>
      <c r="L329"/>
      <c r="M329"/>
      <c r="N329"/>
    </row>
    <row r="330" spans="1:14" hidden="1" x14ac:dyDescent="0.3">
      <c r="A330" s="70">
        <v>45800</v>
      </c>
      <c r="B330" s="6" t="s">
        <v>36</v>
      </c>
      <c r="C330" s="18">
        <v>200</v>
      </c>
      <c r="D330" s="77">
        <v>229.82</v>
      </c>
      <c r="E330" s="67">
        <f ca="1">IFERROR(C330*D330*_xlfn.XLOOKUP(B330,[1]!TabCalc[Ticker],[1]!TabCalc[Scale]),0)</f>
        <v>45964</v>
      </c>
      <c r="F330" s="68" cm="1">
        <f t="array" ref="F330">IF(A330=A329,0,SUM(_xlfn._xlws.FILTER(E330:E340,A330:A340=A330)))</f>
        <v>0</v>
      </c>
      <c r="G330" s="69">
        <f>IF(F330&lt;&gt;0,SUM($F$43:F330),0)</f>
        <v>0</v>
      </c>
      <c r="H330" s="69" cm="1">
        <f t="array" ref="H330">IFERROR(IF(A330=A329,0,SUM(_xlfn._xlws.FILTER(E330:E340,(A330:A340=A330)*(E330:E340&gt;0)))),0)</f>
        <v>0</v>
      </c>
      <c r="I330" s="69" cm="1">
        <f t="array" ref="I330">IFERROR(IF(A330=A329,0,SUM(_xlfn._xlws.FILTER(E330:E340,(A330:A340=A330)*(F330&lt;0)))),0)</f>
        <v>0</v>
      </c>
      <c r="J330"/>
      <c r="K330"/>
      <c r="L330"/>
      <c r="M330"/>
      <c r="N330"/>
    </row>
    <row r="331" spans="1:14" hidden="1" x14ac:dyDescent="0.3">
      <c r="A331" s="70">
        <v>45800</v>
      </c>
      <c r="B331" s="6" t="s">
        <v>89</v>
      </c>
      <c r="C331" s="18">
        <v>10000</v>
      </c>
      <c r="D331" s="77">
        <v>-12.82</v>
      </c>
      <c r="E331" s="67">
        <f ca="1">IFERROR(C331*D331*_xlfn.XLOOKUP(B331,[1]!TabCalc[Ticker],[1]!TabCalc[Scale]),0)</f>
        <v>-128200</v>
      </c>
      <c r="F331" s="68" cm="1">
        <f t="array" ref="F331">IF(A331=A330,0,SUM(_xlfn._xlws.FILTER(E331:E341,A331:A341=A331)))</f>
        <v>0</v>
      </c>
      <c r="G331" s="69">
        <f>IF(F331&lt;&gt;0,SUM($F$43:F331),0)</f>
        <v>0</v>
      </c>
      <c r="H331" s="69" cm="1">
        <f t="array" ref="H331">IFERROR(IF(A331=A330,0,SUM(_xlfn._xlws.FILTER(E331:E341,(A331:A341=A331)*(E331:E341&gt;0)))),0)</f>
        <v>0</v>
      </c>
      <c r="I331" s="69" cm="1">
        <f t="array" ref="I331">IFERROR(IF(A331=A330,0,SUM(_xlfn._xlws.FILTER(E331:E341,(A331:A341=A331)*(F331&lt;0)))),0)</f>
        <v>0</v>
      </c>
      <c r="J331"/>
      <c r="K331"/>
      <c r="L331"/>
      <c r="M331"/>
      <c r="N331"/>
    </row>
    <row r="332" spans="1:14" hidden="1" x14ac:dyDescent="0.3">
      <c r="A332" s="70">
        <v>45800</v>
      </c>
      <c r="B332" s="6" t="s">
        <v>49</v>
      </c>
      <c r="C332" s="18">
        <v>4000</v>
      </c>
      <c r="D332" s="77">
        <v>-32.119999999999997</v>
      </c>
      <c r="E332" s="67">
        <f ca="1">IFERROR(C332*D332*_xlfn.XLOOKUP(B332,[1]!TabCalc[Ticker],[1]!TabCalc[Scale]),0)</f>
        <v>-128479.99999999999</v>
      </c>
      <c r="F332" s="68" cm="1">
        <f t="array" ref="F332">IF(A332=A331,0,SUM(_xlfn._xlws.FILTER(E332:E342,A332:A342=A332)))</f>
        <v>0</v>
      </c>
      <c r="G332" s="69">
        <f>IF(F332&lt;&gt;0,SUM($F$43:F332),0)</f>
        <v>0</v>
      </c>
      <c r="H332" s="69" cm="1">
        <f t="array" ref="H332">IFERROR(IF(A332=A331,0,SUM(_xlfn._xlws.FILTER(E332:E342,(A332:A342=A332)*(E332:E342&gt;0)))),0)</f>
        <v>0</v>
      </c>
      <c r="I332" s="69" cm="1">
        <f t="array" ref="I332">IFERROR(IF(A332=A331,0,SUM(_xlfn._xlws.FILTER(E332:E342,(A332:A342=A332)*(F332&lt;0)))),0)</f>
        <v>0</v>
      </c>
      <c r="J332"/>
      <c r="K332"/>
      <c r="L332"/>
      <c r="M332"/>
      <c r="N332"/>
    </row>
    <row r="333" spans="1:14" hidden="1" x14ac:dyDescent="0.3">
      <c r="A333" s="70">
        <v>45800</v>
      </c>
      <c r="B333" s="6" t="s">
        <v>69</v>
      </c>
      <c r="C333" s="18">
        <v>10000</v>
      </c>
      <c r="D333" s="77">
        <v>-317.01</v>
      </c>
      <c r="E333" s="67">
        <f ca="1">IFERROR(C333*D333*_xlfn.XLOOKUP(B333,[1]!TabCalc[Ticker],[1]!TabCalc[Scale]),0)</f>
        <v>-31701</v>
      </c>
      <c r="F333" s="68" cm="1">
        <f t="array" ref="F333">IF(A333=A332,0,SUM(_xlfn._xlws.FILTER(E333:E343,A333:A343=A333)))</f>
        <v>0</v>
      </c>
      <c r="G333" s="69">
        <f>IF(F333&lt;&gt;0,SUM($F$43:F333),0)</f>
        <v>0</v>
      </c>
      <c r="H333" s="69" cm="1">
        <f t="array" ref="H333">IFERROR(IF(A333=A332,0,SUM(_xlfn._xlws.FILTER(E333:E343,(A333:A343=A333)*(E333:E343&gt;0)))),0)</f>
        <v>0</v>
      </c>
      <c r="I333" s="69" cm="1">
        <f t="array" ref="I333">IFERROR(IF(A333=A332,0,SUM(_xlfn._xlws.FILTER(E333:E343,(A333:A343=A333)*(F333&lt;0)))),0)</f>
        <v>0</v>
      </c>
      <c r="J333"/>
      <c r="K333"/>
      <c r="L333"/>
      <c r="M333"/>
      <c r="N333"/>
    </row>
    <row r="334" spans="1:14" hidden="1" x14ac:dyDescent="0.3">
      <c r="A334" s="70">
        <v>45800</v>
      </c>
      <c r="B334" s="6" t="s">
        <v>32</v>
      </c>
      <c r="C334" s="18">
        <v>1000</v>
      </c>
      <c r="D334" s="77">
        <v>-66.36</v>
      </c>
      <c r="E334" s="67">
        <f ca="1">IFERROR(C334*D334*_xlfn.XLOOKUP(B334,[1]!TabCalc[Ticker],[1]!TabCalc[Scale]),0)</f>
        <v>-66360</v>
      </c>
      <c r="F334" s="68" cm="1">
        <f t="array" ref="F334">IF(A334=A333,0,SUM(_xlfn._xlws.FILTER(E334:E344,A334:A344=A334)))</f>
        <v>0</v>
      </c>
      <c r="G334" s="69">
        <f>IF(F334&lt;&gt;0,SUM($F$43:F334),0)</f>
        <v>0</v>
      </c>
      <c r="H334" s="69" cm="1">
        <f t="array" ref="H334">IFERROR(IF(A334=A333,0,SUM(_xlfn._xlws.FILTER(E334:E344,(A334:A344=A334)*(E334:E344&gt;0)))),0)</f>
        <v>0</v>
      </c>
      <c r="I334" s="69" cm="1">
        <f t="array" ref="I334">IFERROR(IF(A334=A333,0,SUM(_xlfn._xlws.FILTER(E334:E344,(A334:A344=A334)*(F334&lt;0)))),0)</f>
        <v>0</v>
      </c>
      <c r="J334"/>
      <c r="K334"/>
      <c r="L334"/>
      <c r="M334"/>
      <c r="N334"/>
    </row>
    <row r="335" spans="1:14" hidden="1" x14ac:dyDescent="0.3">
      <c r="A335" s="70">
        <v>45800</v>
      </c>
      <c r="B335" s="6" t="s">
        <v>105</v>
      </c>
      <c r="C335" s="18">
        <v>5000</v>
      </c>
      <c r="D335" s="77">
        <v>-8.23</v>
      </c>
      <c r="E335" s="67">
        <f ca="1">IFERROR(C335*D335*_xlfn.XLOOKUP(B335,[1]!TabCalc[Ticker],[1]!TabCalc[Scale]),0)</f>
        <v>-41150</v>
      </c>
      <c r="F335" s="68" cm="1">
        <f t="array" ref="F335">IF(A335=A334,0,SUM(_xlfn._xlws.FILTER(E335:E345,A335:A345=A335)))</f>
        <v>0</v>
      </c>
      <c r="G335" s="69">
        <f>IF(F335&lt;&gt;0,SUM($F$43:F335),0)</f>
        <v>0</v>
      </c>
      <c r="H335" s="69" cm="1">
        <f t="array" ref="H335">IFERROR(IF(A335=A334,0,SUM(_xlfn._xlws.FILTER(E335:E345,(A335:A345=A335)*(E335:E345&gt;0)))),0)</f>
        <v>0</v>
      </c>
      <c r="I335" s="69" cm="1">
        <f t="array" ref="I335">IFERROR(IF(A335=A334,0,SUM(_xlfn._xlws.FILTER(E335:E345,(A335:A345=A335)*(F335&lt;0)))),0)</f>
        <v>0</v>
      </c>
      <c r="J335"/>
      <c r="K335"/>
      <c r="L335"/>
      <c r="M335"/>
      <c r="N335"/>
    </row>
    <row r="336" spans="1:14" hidden="1" x14ac:dyDescent="0.3">
      <c r="A336" s="70">
        <v>45800</v>
      </c>
      <c r="B336" s="6" t="s">
        <v>101</v>
      </c>
      <c r="C336" s="18">
        <v>3000</v>
      </c>
      <c r="D336" s="77">
        <v>15.74</v>
      </c>
      <c r="E336" s="67">
        <f ca="1">IFERROR(C336*D336*_xlfn.XLOOKUP(B336,[1]!TabCalc[Ticker],[1]!TabCalc[Scale]),0)</f>
        <v>47220</v>
      </c>
      <c r="F336" s="68" cm="1">
        <f t="array" ref="F336">IF(A336=A335,0,SUM(_xlfn._xlws.FILTER(E336:E346,A336:A346=A336)))</f>
        <v>0</v>
      </c>
      <c r="G336" s="69">
        <f>IF(F336&lt;&gt;0,SUM($F$43:F336),0)</f>
        <v>0</v>
      </c>
      <c r="H336" s="69" cm="1">
        <f t="array" ref="H336">IFERROR(IF(A336=A335,0,SUM(_xlfn._xlws.FILTER(E336:E346,(A336:A346=A336)*(E336:E346&gt;0)))),0)</f>
        <v>0</v>
      </c>
      <c r="I336" s="69" cm="1">
        <f t="array" ref="I336">IFERROR(IF(A336=A335,0,SUM(_xlfn._xlws.FILTER(E336:E346,(A336:A346=A336)*(F336&lt;0)))),0)</f>
        <v>0</v>
      </c>
      <c r="J336"/>
      <c r="K336"/>
      <c r="L336"/>
      <c r="M336"/>
      <c r="N336"/>
    </row>
    <row r="337" spans="1:14" hidden="1" x14ac:dyDescent="0.3">
      <c r="A337" s="64">
        <v>45804</v>
      </c>
      <c r="B337" s="5" t="s">
        <v>69</v>
      </c>
      <c r="C337" s="65">
        <v>40000</v>
      </c>
      <c r="D337" s="5">
        <v>333.9</v>
      </c>
      <c r="E337" s="67">
        <f ca="1">IFERROR(C337*D337*_xlfn.XLOOKUP(B337,[1]!TabCalc[Ticker],[1]!TabCalc[Scale]),0)</f>
        <v>133560</v>
      </c>
      <c r="F337" s="68" cm="1">
        <f t="array" aca="1" ref="F337" ca="1">IF(A337=A336,0,SUM(_xlfn._xlws.FILTER(E337:E347,A337:A347=A337)))</f>
        <v>133560</v>
      </c>
      <c r="G337" s="69">
        <f ca="1">IF(F337&lt;&gt;0,SUM($F$43:F337),0)</f>
        <v>-2128490.9216729999</v>
      </c>
      <c r="H337" s="69" cm="1">
        <f t="array" aca="1" ref="H337" ca="1">IFERROR(IF(A337=A336,0,SUM(_xlfn._xlws.FILTER(E337:E347,(A337:A347=A337)*(E337:E347&gt;0)))),0)</f>
        <v>133560</v>
      </c>
      <c r="I337" s="69" cm="1">
        <f t="array" aca="1" ref="I337" ca="1">IFERROR(IF(A337=A336,0,SUM(_xlfn._xlws.FILTER(E337:E347,(A337:A347=A337)*(F337&lt;0)))),0)</f>
        <v>0</v>
      </c>
      <c r="J337"/>
      <c r="K337"/>
      <c r="L337"/>
      <c r="M337"/>
      <c r="N337"/>
    </row>
    <row r="338" spans="1:14" hidden="1" x14ac:dyDescent="0.3">
      <c r="A338" s="64">
        <v>45806</v>
      </c>
      <c r="B338" s="5" t="s">
        <v>83</v>
      </c>
      <c r="C338" s="65">
        <v>1000</v>
      </c>
      <c r="D338" s="5">
        <v>-24.42</v>
      </c>
      <c r="E338" s="67">
        <f ca="1">IFERROR(C338*D338*_xlfn.XLOOKUP(B338,[1]!TabCalc[Ticker],[1]!TabCalc[Scale]),0)</f>
        <v>-24420</v>
      </c>
      <c r="F338" s="68" cm="1">
        <f t="array" aca="1" ref="F338" ca="1">IF(A338=A337,0,SUM(_xlfn._xlws.FILTER(E338:E348,A338:A348=A338)))</f>
        <v>137812.25</v>
      </c>
      <c r="G338" s="69">
        <f ca="1">IF(F338&lt;&gt;0,SUM($F$43:F338),0)</f>
        <v>-1990678.6716729999</v>
      </c>
      <c r="H338" s="69" cm="1">
        <f t="array" aca="1" ref="H338" ca="1">IFERROR(IF(A338=A337,0,SUM(_xlfn._xlws.FILTER(E338:E348,(A338:A348=A338)*(E338:E348&gt;0)))),0)</f>
        <v>162232.25</v>
      </c>
      <c r="I338" s="69" cm="1">
        <f t="array" aca="1" ref="I338" ca="1">IFERROR(IF(A338=A337,0,SUM(_xlfn._xlws.FILTER(E338:E348,(A338:A348=A338)*(F338&lt;0)))),0)</f>
        <v>0</v>
      </c>
      <c r="J338"/>
      <c r="K338"/>
      <c r="L338"/>
      <c r="M338"/>
      <c r="N338"/>
    </row>
    <row r="339" spans="1:14" hidden="1" x14ac:dyDescent="0.3">
      <c r="A339" s="64">
        <v>45806</v>
      </c>
      <c r="B339" s="5" t="s">
        <v>36</v>
      </c>
      <c r="C339" s="65">
        <v>250</v>
      </c>
      <c r="D339" s="5">
        <v>241.72900000000001</v>
      </c>
      <c r="E339" s="67">
        <f ca="1">IFERROR(C339*D339*_xlfn.XLOOKUP(B339,[1]!TabCalc[Ticker],[1]!TabCalc[Scale]),0)</f>
        <v>60432.25</v>
      </c>
      <c r="F339" s="68" cm="1">
        <f t="array" ref="F339">IF(A339=A338,0,SUM(_xlfn._xlws.FILTER(E339:E349,A339:A349=A339)))</f>
        <v>0</v>
      </c>
      <c r="G339" s="69">
        <f>IF(F339&lt;&gt;0,SUM($F$43:F339),0)</f>
        <v>0</v>
      </c>
      <c r="H339" s="69" cm="1">
        <f t="array" ref="H339">IFERROR(IF(A339=A338,0,SUM(_xlfn._xlws.FILTER(E339:E349,(A339:A349=A339)*(E339:E349&gt;0)))),0)</f>
        <v>0</v>
      </c>
      <c r="I339" s="69" cm="1">
        <f t="array" ref="I339">IFERROR(IF(A339=A338,0,SUM(_xlfn._xlws.FILTER(E339:E349,(A339:A349=A339)*(F339&lt;0)))),0)</f>
        <v>0</v>
      </c>
      <c r="J339"/>
      <c r="K339"/>
      <c r="L339"/>
      <c r="M339"/>
      <c r="N339"/>
    </row>
    <row r="340" spans="1:14" hidden="1" x14ac:dyDescent="0.3">
      <c r="A340" s="64">
        <v>45806</v>
      </c>
      <c r="B340" s="5" t="s">
        <v>87</v>
      </c>
      <c r="C340" s="65">
        <v>10000</v>
      </c>
      <c r="D340" s="5">
        <v>10.18</v>
      </c>
      <c r="E340" s="67">
        <f ca="1">IFERROR(C340*D340*_xlfn.XLOOKUP(B340,[1]!TabCalc[Ticker],[1]!TabCalc[Scale]),0)</f>
        <v>101800</v>
      </c>
      <c r="F340" s="68" cm="1">
        <f t="array" ref="F340">IF(A340=A339,0,SUM(_xlfn._xlws.FILTER(E340:E350,A340:A350=A340)))</f>
        <v>0</v>
      </c>
      <c r="G340" s="69">
        <f>IF(F340&lt;&gt;0,SUM($F$43:F340),0)</f>
        <v>0</v>
      </c>
      <c r="H340" s="69" cm="1">
        <f t="array" ref="H340">IFERROR(IF(A340=A339,0,SUM(_xlfn._xlws.FILTER(E340:E350,(A340:A350=A340)*(E340:E350&gt;0)))),0)</f>
        <v>0</v>
      </c>
      <c r="I340" s="69" cm="1">
        <f t="array" ref="I340">IFERROR(IF(A340=A339,0,SUM(_xlfn._xlws.FILTER(E340:E350,(A340:A350=A340)*(F340&lt;0)))),0)</f>
        <v>0</v>
      </c>
      <c r="J340"/>
      <c r="K340"/>
      <c r="L340"/>
      <c r="M340"/>
      <c r="N340"/>
    </row>
    <row r="341" spans="1:14" hidden="1" x14ac:dyDescent="0.3">
      <c r="A341" s="70">
        <v>45807</v>
      </c>
      <c r="B341" s="6" t="s">
        <v>29</v>
      </c>
      <c r="C341" s="18">
        <v>500</v>
      </c>
      <c r="D341" s="77">
        <v>-32.950000000000003</v>
      </c>
      <c r="E341" s="67">
        <f ca="1">IFERROR(C341*D341*_xlfn.XLOOKUP(B341,[1]!TabCalc[Ticker],[1]!TabCalc[Scale]),0)</f>
        <v>-16475</v>
      </c>
      <c r="F341" s="68" cm="1">
        <f t="array" aca="1" ref="F341" ca="1">IF(A341=A340,0,SUM(_xlfn._xlws.FILTER(E341:E351,A341:A351=A341)))</f>
        <v>-1289260.112</v>
      </c>
      <c r="G341" s="69">
        <f ca="1">IF(F341&lt;&gt;0,SUM($F$43:F341),0)</f>
        <v>-3279938.7836729996</v>
      </c>
      <c r="H341" s="69" cm="1">
        <f t="array" aca="1" ref="H341" ca="1">IFERROR(IF(A341=A340,0,SUM(_xlfn._xlws.FILTER(E341:E351,(A341:A351=A341)*(E341:E351&gt;0)))),0)</f>
        <v>0</v>
      </c>
      <c r="I341" s="69" cm="1">
        <f t="array" aca="1" ref="I341" ca="1">IFERROR(IF(A341=A340,0,SUM(_xlfn._xlws.FILTER(E341:E351,(A341:A351=A341)*(F341&lt;0)))),0)</f>
        <v>-1289260.112</v>
      </c>
      <c r="J341"/>
      <c r="K341"/>
      <c r="L341"/>
      <c r="M341"/>
      <c r="N341"/>
    </row>
    <row r="342" spans="1:14" hidden="1" x14ac:dyDescent="0.3">
      <c r="A342" s="70">
        <v>45807</v>
      </c>
      <c r="B342" s="6" t="s">
        <v>58</v>
      </c>
      <c r="C342" s="18">
        <v>4000</v>
      </c>
      <c r="D342" s="77">
        <v>-32.950000000000003</v>
      </c>
      <c r="E342" s="67">
        <f ca="1">IFERROR(C342*D342*_xlfn.XLOOKUP(B342,[1]!TabCalc[Ticker],[1]!TabCalc[Scale]),0)</f>
        <v>-131800</v>
      </c>
      <c r="F342" s="68" cm="1">
        <f t="array" ref="F342">IF(A342=A341,0,SUM(_xlfn._xlws.FILTER(E342:E352,A342:A352=A342)))</f>
        <v>0</v>
      </c>
      <c r="G342" s="69">
        <f>IF(F342&lt;&gt;0,SUM($F$43:F342),0)</f>
        <v>0</v>
      </c>
      <c r="H342" s="69" cm="1">
        <f t="array" ref="H342">IFERROR(IF(A342=A341,0,SUM(_xlfn._xlws.FILTER(E342:E352,(A342:A352=A342)*(E342:E352&gt;0)))),0)</f>
        <v>0</v>
      </c>
      <c r="I342" s="69" cm="1">
        <f t="array" ref="I342">IFERROR(IF(A342=A341,0,SUM(_xlfn._xlws.FILTER(E342:E352,(A342:A352=A342)*(F342&lt;0)))),0)</f>
        <v>0</v>
      </c>
      <c r="J342"/>
      <c r="K342"/>
      <c r="L342"/>
      <c r="M342"/>
      <c r="N342"/>
    </row>
    <row r="343" spans="1:14" hidden="1" x14ac:dyDescent="0.3">
      <c r="A343" s="70">
        <v>45807</v>
      </c>
      <c r="B343" s="6" t="s">
        <v>86</v>
      </c>
      <c r="C343" s="18">
        <v>8000</v>
      </c>
      <c r="D343" s="77">
        <v>-12.96</v>
      </c>
      <c r="E343" s="67">
        <f ca="1">IFERROR(C343*D343*_xlfn.XLOOKUP(B343,[1]!TabCalc[Ticker],[1]!TabCalc[Scale]),0)</f>
        <v>-103680</v>
      </c>
      <c r="F343" s="68" cm="1">
        <f t="array" ref="F343">IF(A343=A342,0,SUM(_xlfn._xlws.FILTER(E343:E353,A343:A353=A343)))</f>
        <v>0</v>
      </c>
      <c r="G343" s="69">
        <f>IF(F343&lt;&gt;0,SUM($F$43:F343),0)</f>
        <v>0</v>
      </c>
      <c r="H343" s="69" cm="1">
        <f t="array" ref="H343">IFERROR(IF(A343=A342,0,SUM(_xlfn._xlws.FILTER(E343:E353,(A343:A353=A343)*(E343:E353&gt;0)))),0)</f>
        <v>0</v>
      </c>
      <c r="I343" s="69" cm="1">
        <f t="array" ref="I343">IFERROR(IF(A343=A342,0,SUM(_xlfn._xlws.FILTER(E343:E353,(A343:A353=A343)*(F343&lt;0)))),0)</f>
        <v>0</v>
      </c>
      <c r="J343"/>
      <c r="K343"/>
      <c r="L343"/>
      <c r="M343"/>
      <c r="N343"/>
    </row>
    <row r="344" spans="1:14" hidden="1" x14ac:dyDescent="0.3">
      <c r="A344" s="70">
        <v>45807</v>
      </c>
      <c r="B344" s="6" t="s">
        <v>48</v>
      </c>
      <c r="C344" s="18">
        <v>6000</v>
      </c>
      <c r="D344" s="77">
        <v>-13.19</v>
      </c>
      <c r="E344" s="67">
        <f ca="1">IFERROR(C344*D344*_xlfn.XLOOKUP(B344,[1]!TabCalc[Ticker],[1]!TabCalc[Scale]),0)</f>
        <v>-79140</v>
      </c>
      <c r="F344" s="68" cm="1">
        <f t="array" ref="F344">IF(A344=A343,0,SUM(_xlfn._xlws.FILTER(E344:E354,A344:A354=A344)))</f>
        <v>0</v>
      </c>
      <c r="G344" s="69">
        <f>IF(F344&lt;&gt;0,SUM($F$43:F344),0)</f>
        <v>0</v>
      </c>
      <c r="H344" s="69" cm="1">
        <f t="array" ref="H344">IFERROR(IF(A344=A343,0,SUM(_xlfn._xlws.FILTER(E344:E354,(A344:A354=A344)*(E344:E354&gt;0)))),0)</f>
        <v>0</v>
      </c>
      <c r="I344" s="69" cm="1">
        <f t="array" ref="I344">IFERROR(IF(A344=A343,0,SUM(_xlfn._xlws.FILTER(E344:E354,(A344:A354=A344)*(F344&lt;0)))),0)</f>
        <v>0</v>
      </c>
      <c r="J344"/>
      <c r="K344"/>
      <c r="L344"/>
      <c r="M344"/>
      <c r="N344"/>
    </row>
    <row r="345" spans="1:14" hidden="1" x14ac:dyDescent="0.3">
      <c r="A345" s="70">
        <v>45807</v>
      </c>
      <c r="B345" s="6" t="s">
        <v>55</v>
      </c>
      <c r="C345" s="18">
        <v>3000</v>
      </c>
      <c r="D345" s="77">
        <v>-201.75086999999999</v>
      </c>
      <c r="E345" s="67">
        <f ca="1">IFERROR(C345*D345*_xlfn.XLOOKUP(B345,[1]!TabCalc[Ticker],[1]!TabCalc[Scale]),0)</f>
        <v>-605252.61</v>
      </c>
      <c r="F345" s="68" cm="1">
        <f t="array" ref="F345">IF(A345=A344,0,SUM(_xlfn._xlws.FILTER(E345:E355,A345:A355=A345)))</f>
        <v>0</v>
      </c>
      <c r="G345" s="69">
        <f>IF(F345&lt;&gt;0,SUM($F$43:F345),0)</f>
        <v>0</v>
      </c>
      <c r="H345" s="69" cm="1">
        <f t="array" ref="H345">IFERROR(IF(A345=A344,0,SUM(_xlfn._xlws.FILTER(E345:E355,(A345:A355=A345)*(E345:E355&gt;0)))),0)</f>
        <v>0</v>
      </c>
      <c r="I345" s="69" cm="1">
        <f t="array" ref="I345">IFERROR(IF(A345=A344,0,SUM(_xlfn._xlws.FILTER(E345:E355,(A345:A355=A345)*(F345&lt;0)))),0)</f>
        <v>0</v>
      </c>
      <c r="J345"/>
      <c r="K345"/>
      <c r="L345"/>
      <c r="M345"/>
      <c r="N345"/>
    </row>
    <row r="346" spans="1:14" hidden="1" x14ac:dyDescent="0.3">
      <c r="A346" s="70">
        <v>45807</v>
      </c>
      <c r="B346" s="6" t="s">
        <v>34</v>
      </c>
      <c r="C346" s="18">
        <v>4000</v>
      </c>
      <c r="D346" s="77">
        <v>-24.949998000000001</v>
      </c>
      <c r="E346" s="67">
        <f ca="1">IFERROR(C346*D346*_xlfn.XLOOKUP(B346,[1]!TabCalc[Ticker],[1]!TabCalc[Scale]),0)</f>
        <v>-99799.991999999998</v>
      </c>
      <c r="F346" s="68" cm="1">
        <f t="array" ref="F346">IF(A346=A345,0,SUM(_xlfn._xlws.FILTER(E346:E356,A346:A356=A346)))</f>
        <v>0</v>
      </c>
      <c r="G346" s="69">
        <f>IF(F346&lt;&gt;0,SUM($F$43:F346),0)</f>
        <v>0</v>
      </c>
      <c r="H346" s="69" cm="1">
        <f t="array" ref="H346">IFERROR(IF(A346=A345,0,SUM(_xlfn._xlws.FILTER(E346:E356,(A346:A356=A346)*(E346:E356&gt;0)))),0)</f>
        <v>0</v>
      </c>
      <c r="I346" s="69" cm="1">
        <f t="array" ref="I346">IFERROR(IF(A346=A345,0,SUM(_xlfn._xlws.FILTER(E346:E356,(A346:A356=A346)*(F346&lt;0)))),0)</f>
        <v>0</v>
      </c>
      <c r="J346"/>
      <c r="K346"/>
      <c r="L346"/>
      <c r="M346"/>
      <c r="N346"/>
    </row>
    <row r="347" spans="1:14" hidden="1" x14ac:dyDescent="0.3">
      <c r="A347" s="70">
        <v>45807</v>
      </c>
      <c r="B347" s="6" t="s">
        <v>38</v>
      </c>
      <c r="C347" s="18">
        <v>2000</v>
      </c>
      <c r="D347" s="77">
        <v>-68.399500000000003</v>
      </c>
      <c r="E347" s="67">
        <f ca="1">IFERROR(C347*D347*_xlfn.XLOOKUP(B347,[1]!TabCalc[Ticker],[1]!TabCalc[Scale]),0)</f>
        <v>-136799</v>
      </c>
      <c r="F347" s="68" cm="1">
        <f t="array" ref="F347">IF(A347=A346,0,SUM(_xlfn._xlws.FILTER(E347:E357,A347:A357=A347)))</f>
        <v>0</v>
      </c>
      <c r="G347" s="69">
        <f>IF(F347&lt;&gt;0,SUM($F$43:F347),0)</f>
        <v>0</v>
      </c>
      <c r="H347" s="69" cm="1">
        <f t="array" ref="H347">IFERROR(IF(A347=A346,0,SUM(_xlfn._xlws.FILTER(E347:E357,(A347:A357=A347)*(E347:E357&gt;0)))),0)</f>
        <v>0</v>
      </c>
      <c r="I347" s="69" cm="1">
        <f t="array" ref="I347">IFERROR(IF(A347=A346,0,SUM(_xlfn._xlws.FILTER(E347:E357,(A347:A357=A347)*(F347&lt;0)))),0)</f>
        <v>0</v>
      </c>
      <c r="J347"/>
      <c r="K347"/>
      <c r="L347"/>
      <c r="M347"/>
      <c r="N347"/>
    </row>
    <row r="348" spans="1:14" hidden="1" x14ac:dyDescent="0.3">
      <c r="A348" s="70">
        <v>45807</v>
      </c>
      <c r="B348" s="6" t="s">
        <v>80</v>
      </c>
      <c r="C348" s="18">
        <v>6000</v>
      </c>
      <c r="D348" s="77">
        <v>-19.385584999999999</v>
      </c>
      <c r="E348" s="67">
        <f ca="1">IFERROR(C348*D348*_xlfn.XLOOKUP(B348,[1]!TabCalc[Ticker],[1]!TabCalc[Scale]),0)</f>
        <v>-116313.51</v>
      </c>
      <c r="F348" s="68" cm="1">
        <f t="array" ref="F348">IF(A348=A347,0,SUM(_xlfn._xlws.FILTER(E348:E358,A348:A358=A348)))</f>
        <v>0</v>
      </c>
      <c r="G348" s="69">
        <f>IF(F348&lt;&gt;0,SUM($F$43:F348),0)</f>
        <v>0</v>
      </c>
      <c r="H348" s="69" cm="1">
        <f t="array" ref="H348">IFERROR(IF(A348=A347,0,SUM(_xlfn._xlws.FILTER(E348:E358,(A348:A358=A348)*(E348:E358&gt;0)))),0)</f>
        <v>0</v>
      </c>
      <c r="I348" s="69" cm="1">
        <f t="array" ref="I348">IFERROR(IF(A348=A347,0,SUM(_xlfn._xlws.FILTER(E348:E358,(A348:A358=A348)*(F348&lt;0)))),0)</f>
        <v>0</v>
      </c>
      <c r="J348"/>
      <c r="K348"/>
      <c r="L348"/>
      <c r="M348"/>
      <c r="N348"/>
    </row>
    <row r="349" spans="1:14" hidden="1" x14ac:dyDescent="0.3">
      <c r="A349" s="64">
        <v>45811</v>
      </c>
      <c r="B349" s="5" t="s">
        <v>91</v>
      </c>
      <c r="C349" s="65">
        <v>500</v>
      </c>
      <c r="D349" s="5">
        <v>267.48</v>
      </c>
      <c r="E349" s="67">
        <f ca="1">IFERROR(C349*D349*_xlfn.XLOOKUP(B349,[1]!TabCalc[Ticker],[1]!TabCalc[Scale]),0)</f>
        <v>133740</v>
      </c>
      <c r="F349" s="68" cm="1">
        <f t="array" aca="1" ref="F349" ca="1">IF(A349=A348,0,SUM(_xlfn._xlws.FILTER(E349:E359,A349:A359=A349)))</f>
        <v>944492.64</v>
      </c>
      <c r="G349" s="69">
        <f ca="1">IF(F349&lt;&gt;0,SUM($F$43:F349),0)</f>
        <v>-2335446.1436729995</v>
      </c>
      <c r="H349" s="69" cm="1">
        <f t="array" aca="1" ref="H349" ca="1">IFERROR(IF(A349=A348,0,SUM(_xlfn._xlws.FILTER(E349:E359,(A349:A359=A349)*(E349:E359&gt;0)))),0)</f>
        <v>995732.64</v>
      </c>
      <c r="I349" s="69" cm="1">
        <f t="array" aca="1" ref="I349" ca="1">IFERROR(IF(A349=A348,0,SUM(_xlfn._xlws.FILTER(E349:E359,(A349:A359=A349)*(F349&lt;0)))),0)</f>
        <v>0</v>
      </c>
      <c r="J349"/>
      <c r="K349"/>
      <c r="L349"/>
      <c r="M349"/>
      <c r="N349"/>
    </row>
    <row r="350" spans="1:14" hidden="1" x14ac:dyDescent="0.3">
      <c r="A350" s="64">
        <v>45811</v>
      </c>
      <c r="B350" s="5" t="s">
        <v>50</v>
      </c>
      <c r="C350" s="65">
        <v>3999</v>
      </c>
      <c r="D350" s="5">
        <v>33.36</v>
      </c>
      <c r="E350" s="67">
        <f ca="1">IFERROR(C350*D350*_xlfn.XLOOKUP(B350,[1]!TabCalc[Ticker],[1]!TabCalc[Scale]),0)</f>
        <v>133406.63999999998</v>
      </c>
      <c r="F350" s="68" cm="1">
        <f t="array" ref="F350">IF(A350=A349,0,SUM(_xlfn._xlws.FILTER(E350:E360,A350:A360=A350)))</f>
        <v>0</v>
      </c>
      <c r="G350" s="69">
        <f>IF(F350&lt;&gt;0,SUM($F$43:F350),0)</f>
        <v>0</v>
      </c>
      <c r="H350" s="69" cm="1">
        <f t="array" ref="H350">IFERROR(IF(A350=A349,0,SUM(_xlfn._xlws.FILTER(E350:E360,(A350:A360=A350)*(E350:E360&gt;0)))),0)</f>
        <v>0</v>
      </c>
      <c r="I350" s="69" cm="1">
        <f t="array" ref="I350">IFERROR(IF(A350=A349,0,SUM(_xlfn._xlws.FILTER(E350:E360,(A350:A360=A350)*(F350&lt;0)))),0)</f>
        <v>0</v>
      </c>
      <c r="J350"/>
      <c r="K350"/>
      <c r="L350"/>
      <c r="M350"/>
      <c r="N350"/>
    </row>
    <row r="351" spans="1:14" hidden="1" x14ac:dyDescent="0.3">
      <c r="A351" s="64">
        <v>45811</v>
      </c>
      <c r="B351" s="5" t="s">
        <v>49</v>
      </c>
      <c r="C351" s="65">
        <v>3200</v>
      </c>
      <c r="D351" s="5">
        <v>33.36</v>
      </c>
      <c r="E351" s="67">
        <f ca="1">IFERROR(C351*D351*_xlfn.XLOOKUP(B351,[1]!TabCalc[Ticker],[1]!TabCalc[Scale]),0)</f>
        <v>106752</v>
      </c>
      <c r="F351" s="68" cm="1">
        <f t="array" ref="F351">IF(A351=A350,0,SUM(_xlfn._xlws.FILTER(E351:E361,A351:A361=A351)))</f>
        <v>0</v>
      </c>
      <c r="G351" s="69">
        <f>IF(F351&lt;&gt;0,SUM($F$43:F351),0)</f>
        <v>0</v>
      </c>
      <c r="H351" s="69" cm="1">
        <f t="array" ref="H351">IFERROR(IF(A351=A350,0,SUM(_xlfn._xlws.FILTER(E351:E361,(A351:A361=A351)*(E351:E361&gt;0)))),0)</f>
        <v>0</v>
      </c>
      <c r="I351" s="69" cm="1">
        <f t="array" ref="I351">IFERROR(IF(A351=A350,0,SUM(_xlfn._xlws.FILTER(E351:E361,(A351:A361=A351)*(F351&lt;0)))),0)</f>
        <v>0</v>
      </c>
      <c r="J351"/>
      <c r="K351"/>
      <c r="L351"/>
      <c r="M351"/>
      <c r="N351"/>
    </row>
    <row r="352" spans="1:14" hidden="1" x14ac:dyDescent="0.3">
      <c r="A352" s="64">
        <v>45811</v>
      </c>
      <c r="B352" s="5" t="s">
        <v>97</v>
      </c>
      <c r="C352" s="65">
        <v>6000</v>
      </c>
      <c r="D352" s="5">
        <v>62.9</v>
      </c>
      <c r="E352" s="67">
        <f ca="1">IFERROR(C352*D352*_xlfn.XLOOKUP(B352,[1]!TabCalc[Ticker],[1]!TabCalc[Scale]),0)</f>
        <v>377400</v>
      </c>
      <c r="F352" s="68" cm="1">
        <f t="array" ref="F352">IF(A352=A351,0,SUM(_xlfn._xlws.FILTER(E352:E362,A352:A362=A352)))</f>
        <v>0</v>
      </c>
      <c r="G352" s="69">
        <f>IF(F352&lt;&gt;0,SUM($F$43:F352),0)</f>
        <v>0</v>
      </c>
      <c r="H352" s="69" cm="1">
        <f t="array" ref="H352">IFERROR(IF(A352=A351,0,SUM(_xlfn._xlws.FILTER(E352:E362,(A352:A362=A352)*(E352:E362&gt;0)))),0)</f>
        <v>0</v>
      </c>
      <c r="I352" s="69" cm="1">
        <f t="array" ref="I352">IFERROR(IF(A352=A351,0,SUM(_xlfn._xlws.FILTER(E352:E362,(A352:A362=A352)*(F352&lt;0)))),0)</f>
        <v>0</v>
      </c>
      <c r="J352"/>
      <c r="K352"/>
      <c r="L352"/>
      <c r="M352"/>
      <c r="N352"/>
    </row>
    <row r="353" spans="1:14" hidden="1" x14ac:dyDescent="0.3">
      <c r="A353" s="64">
        <v>45811</v>
      </c>
      <c r="B353" s="5" t="s">
        <v>95</v>
      </c>
      <c r="C353" s="65">
        <v>200</v>
      </c>
      <c r="D353" s="5">
        <v>1222.17</v>
      </c>
      <c r="E353" s="67">
        <f ca="1">IFERROR(C353*D353*_xlfn.XLOOKUP(B353,[1]!TabCalc[Ticker],[1]!TabCalc[Scale]),0)</f>
        <v>244434</v>
      </c>
      <c r="F353" s="68" cm="1">
        <f t="array" ref="F353">IF(A353=A352,0,SUM(_xlfn._xlws.FILTER(E353:E363,A353:A363=A353)))</f>
        <v>0</v>
      </c>
      <c r="G353" s="69">
        <f>IF(F353&lt;&gt;0,SUM($F$43:F353),0)</f>
        <v>0</v>
      </c>
      <c r="H353" s="69" cm="1">
        <f t="array" ref="H353">IFERROR(IF(A353=A352,0,SUM(_xlfn._xlws.FILTER(E353:E363,(A353:A363=A353)*(E353:E363&gt;0)))),0)</f>
        <v>0</v>
      </c>
      <c r="I353" s="69" cm="1">
        <f t="array" ref="I353">IFERROR(IF(A353=A352,0,SUM(_xlfn._xlws.FILTER(E353:E363,(A353:A363=A353)*(F353&lt;0)))),0)</f>
        <v>0</v>
      </c>
      <c r="J353"/>
      <c r="K353"/>
      <c r="L353"/>
      <c r="M353"/>
      <c r="N353"/>
    </row>
    <row r="354" spans="1:14" hidden="1" x14ac:dyDescent="0.3">
      <c r="A354" s="64">
        <v>45811</v>
      </c>
      <c r="B354" s="5" t="s">
        <v>36</v>
      </c>
      <c r="C354" s="65">
        <v>200</v>
      </c>
      <c r="D354" s="5">
        <v>-256.2</v>
      </c>
      <c r="E354" s="67">
        <f ca="1">IFERROR(C354*D354*_xlfn.XLOOKUP(B354,[1]!TabCalc[Ticker],[1]!TabCalc[Scale]),0)</f>
        <v>-51240</v>
      </c>
      <c r="F354" s="68" cm="1">
        <f t="array" ref="F354">IF(A354=A353,0,SUM(_xlfn._xlws.FILTER(E354:E364,A354:A364=A354)))</f>
        <v>0</v>
      </c>
      <c r="G354" s="69">
        <f>IF(F354&lt;&gt;0,SUM($F$43:F354),0)</f>
        <v>0</v>
      </c>
      <c r="H354" s="69" cm="1">
        <f t="array" ref="H354">IFERROR(IF(A354=A353,0,SUM(_xlfn._xlws.FILTER(E354:E364,(A354:A364=A354)*(E354:E364&gt;0)))),0)</f>
        <v>0</v>
      </c>
      <c r="I354" s="69" cm="1">
        <f t="array" ref="I354">IFERROR(IF(A354=A353,0,SUM(_xlfn._xlws.FILTER(E354:E364,(A354:A364=A354)*(F354&lt;0)))),0)</f>
        <v>0</v>
      </c>
      <c r="J354"/>
      <c r="K354"/>
      <c r="L354"/>
      <c r="M354"/>
      <c r="N354"/>
    </row>
    <row r="355" spans="1:14" hidden="1" x14ac:dyDescent="0.3">
      <c r="A355" s="64">
        <v>45813</v>
      </c>
      <c r="B355" s="5" t="s">
        <v>90</v>
      </c>
      <c r="C355" s="65">
        <v>500</v>
      </c>
      <c r="D355" s="5">
        <v>273.14999999999998</v>
      </c>
      <c r="E355" s="67">
        <f ca="1">IFERROR(C355*D355*_xlfn.XLOOKUP(B355,[1]!TabCalc[Ticker],[1]!TabCalc[Scale]),0)</f>
        <v>136575</v>
      </c>
      <c r="F355" s="68" cm="1">
        <f t="array" aca="1" ref="F355" ca="1">IF(A355=A354,0,SUM(_xlfn._xlws.FILTER(E355:E365,A355:A365=A355)))</f>
        <v>136575</v>
      </c>
      <c r="G355" s="69">
        <f ca="1">IF(F355&lt;&gt;0,SUM($F$43:F355),0)</f>
        <v>-2198871.1436729995</v>
      </c>
      <c r="H355" s="69" cm="1">
        <f t="array" aca="1" ref="H355" ca="1">IFERROR(IF(A355=A354,0,SUM(_xlfn._xlws.FILTER(E355:E365,(A355:A365=A355)*(E355:E365&gt;0)))),0)</f>
        <v>136575</v>
      </c>
      <c r="I355" s="69" cm="1">
        <f t="array" aca="1" ref="I355" ca="1">IFERROR(IF(A355=A354,0,SUM(_xlfn._xlws.FILTER(E355:E365,(A355:A365=A355)*(F355&lt;0)))),0)</f>
        <v>0</v>
      </c>
      <c r="J355"/>
      <c r="K355"/>
      <c r="L355"/>
      <c r="M355"/>
      <c r="N355"/>
    </row>
    <row r="356" spans="1:14" hidden="1" x14ac:dyDescent="0.3">
      <c r="A356" s="70">
        <v>45819</v>
      </c>
      <c r="B356" s="6" t="s">
        <v>59</v>
      </c>
      <c r="C356" s="18">
        <v>500</v>
      </c>
      <c r="D356" s="77">
        <v>-213.25</v>
      </c>
      <c r="E356" s="67">
        <f ca="1">IFERROR(C356*D356*_xlfn.XLOOKUP(B356,[1]!TabCalc[Ticker],[1]!TabCalc[Scale]),0)</f>
        <v>-106625</v>
      </c>
      <c r="F356" s="68" cm="1">
        <f t="array" aca="1" ref="F356" ca="1">IF(A356=A355,0,SUM(_xlfn._xlws.FILTER(E356:E366,A356:A366=A356)))</f>
        <v>-270992</v>
      </c>
      <c r="G356" s="69">
        <f ca="1">IF(F356&lt;&gt;0,SUM($F$43:F356),0)</f>
        <v>-2469863.1436729995</v>
      </c>
      <c r="H356" s="69" cm="1">
        <f t="array" aca="1" ref="H356" ca="1">IFERROR(IF(A356=A355,0,SUM(_xlfn._xlws.FILTER(E356:E366,(A356:A366=A356)*(E356:E366&gt;0)))),0)</f>
        <v>0</v>
      </c>
      <c r="I356" s="69" cm="1">
        <f t="array" aca="1" ref="I356" ca="1">IFERROR(IF(A356=A355,0,SUM(_xlfn._xlws.FILTER(E356:E366,(A356:A366=A356)*(F356&lt;0)))),0)</f>
        <v>-270992</v>
      </c>
      <c r="J356"/>
      <c r="K356"/>
      <c r="L356"/>
      <c r="M356"/>
      <c r="N356"/>
    </row>
    <row r="357" spans="1:14" hidden="1" x14ac:dyDescent="0.3">
      <c r="A357" s="70">
        <v>45819</v>
      </c>
      <c r="B357" s="6" t="s">
        <v>61</v>
      </c>
      <c r="C357" s="18">
        <v>500</v>
      </c>
      <c r="D357" s="77">
        <v>-213.43</v>
      </c>
      <c r="E357" s="67">
        <f ca="1">IFERROR(C357*D357*_xlfn.XLOOKUP(B357,[1]!TabCalc[Ticker],[1]!TabCalc[Scale]),0)</f>
        <v>-106715</v>
      </c>
      <c r="F357" s="68" cm="1">
        <f t="array" ref="F357">IF(A357=A356,0,SUM(_xlfn._xlws.FILTER(E357:E367,A357:A367=A357)))</f>
        <v>0</v>
      </c>
      <c r="G357" s="69">
        <f>IF(F357&lt;&gt;0,SUM($F$43:F357),0)</f>
        <v>0</v>
      </c>
      <c r="H357" s="69" cm="1">
        <f t="array" ref="H357">IFERROR(IF(A357=A356,0,SUM(_xlfn._xlws.FILTER(E357:E367,(A357:A367=A357)*(E357:E367&gt;0)))),0)</f>
        <v>0</v>
      </c>
      <c r="I357" s="69" cm="1">
        <f t="array" ref="I357">IFERROR(IF(A357=A356,0,SUM(_xlfn._xlws.FILTER(E357:E367,(A357:A367=A357)*(F357&lt;0)))),0)</f>
        <v>0</v>
      </c>
      <c r="J357"/>
      <c r="K357"/>
      <c r="L357"/>
      <c r="M357"/>
      <c r="N357"/>
    </row>
    <row r="358" spans="1:14" hidden="1" x14ac:dyDescent="0.3">
      <c r="A358" s="70">
        <v>45819</v>
      </c>
      <c r="B358" s="6" t="s">
        <v>45</v>
      </c>
      <c r="C358" s="18">
        <v>290</v>
      </c>
      <c r="D358" s="70">
        <v>-198.8</v>
      </c>
      <c r="E358" s="67">
        <f ca="1">IFERROR(C358*D358*_xlfn.XLOOKUP(B358,[1]!TabCalc[Ticker],[1]!TabCalc[Scale]),0)</f>
        <v>-57652</v>
      </c>
      <c r="F358" s="68" cm="1">
        <f t="array" ref="F358">IF(A358=A357,0,SUM(_xlfn._xlws.FILTER(E358:E368,A358:A368=A358)))</f>
        <v>0</v>
      </c>
      <c r="G358" s="69">
        <f>IF(F358&lt;&gt;0,SUM($F$43:F358),0)</f>
        <v>0</v>
      </c>
      <c r="H358" s="69" cm="1">
        <f t="array" ref="H358">IFERROR(IF(A358=A357,0,SUM(_xlfn._xlws.FILTER(E358:E368,(A358:A368=A358)*(E358:E368&gt;0)))),0)</f>
        <v>0</v>
      </c>
      <c r="I358" s="69" cm="1">
        <f t="array" ref="I358">IFERROR(IF(A358=A357,0,SUM(_xlfn._xlws.FILTER(E358:E368,(A358:A368=A358)*(F358&lt;0)))),0)</f>
        <v>0</v>
      </c>
      <c r="J358"/>
      <c r="K358"/>
      <c r="L358"/>
      <c r="M358"/>
      <c r="N358"/>
    </row>
    <row r="359" spans="1:14" hidden="1" x14ac:dyDescent="0.3">
      <c r="A359" s="5">
        <v>45821</v>
      </c>
      <c r="B359" s="5" t="s">
        <v>55</v>
      </c>
      <c r="C359" s="65">
        <v>500</v>
      </c>
      <c r="D359" s="79">
        <v>-195.75</v>
      </c>
      <c r="E359" s="67">
        <f ca="1">IFERROR(C359*D359*_xlfn.XLOOKUP(B359,[1]!TabCalc[Ticker],[1]!TabCalc[Scale]),0)</f>
        <v>-97875</v>
      </c>
      <c r="F359" s="68" cm="1">
        <f t="array" aca="1" ref="F359" ca="1">IF(A359=A358,0,SUM(_xlfn._xlws.FILTER(E359:E369,A359:A369=A359)))</f>
        <v>-136995</v>
      </c>
      <c r="G359" s="69">
        <f ca="1">IF(F359&lt;&gt;0,SUM($F$43:F359),0)</f>
        <v>-2606858.1436729995</v>
      </c>
      <c r="H359" s="69" cm="1">
        <f t="array" aca="1" ref="H359" ca="1">IFERROR(IF(A359=A358,0,SUM(_xlfn._xlws.FILTER(E359:E369,(A359:A369=A359)*(E359:E369&gt;0)))),0)</f>
        <v>0</v>
      </c>
      <c r="I359" s="69" cm="1">
        <f t="array" aca="1" ref="I359" ca="1">IFERROR(IF(A359=A358,0,SUM(_xlfn._xlws.FILTER(E359:E369,(A359:A369=A359)*(F359&lt;0)))),0)</f>
        <v>-136995</v>
      </c>
      <c r="J359" s="68"/>
      <c r="K359"/>
      <c r="L359"/>
      <c r="M359"/>
      <c r="N359"/>
    </row>
    <row r="360" spans="1:14" hidden="1" x14ac:dyDescent="0.3">
      <c r="A360" s="64">
        <v>45821</v>
      </c>
      <c r="B360" s="5" t="s">
        <v>92</v>
      </c>
      <c r="C360" s="65">
        <v>3000</v>
      </c>
      <c r="D360" s="80">
        <v>-13.04</v>
      </c>
      <c r="E360" s="67">
        <f ca="1">IFERROR(C360*D360*_xlfn.XLOOKUP(B360,[1]!TabCalc[Ticker],[1]!TabCalc[Scale]),0)</f>
        <v>-39120</v>
      </c>
      <c r="F360" s="68" cm="1">
        <f t="array" ref="F360">IF(A360=A359,0,SUM(_xlfn._xlws.FILTER(E360:E370,A360:A370=A360)))</f>
        <v>0</v>
      </c>
      <c r="G360" s="69">
        <f>IF(F360&lt;&gt;0,SUM($F$43:F360),0)</f>
        <v>0</v>
      </c>
      <c r="H360" s="69" cm="1">
        <f t="array" ref="H360">IFERROR(IF(A360=A359,0,SUM(_xlfn._xlws.FILTER(E360:E370,(A360:A370=A360)*(E360:E370&gt;0)))),0)</f>
        <v>0</v>
      </c>
      <c r="I360" s="69" cm="1">
        <f t="array" ref="I360">IFERROR(IF(A360=A359,0,SUM(_xlfn._xlws.FILTER(E360:E370,(A360:A370=A360)*(F360&lt;0)))),0)</f>
        <v>0</v>
      </c>
      <c r="J360"/>
      <c r="K360"/>
      <c r="L360"/>
      <c r="M360"/>
      <c r="N360"/>
    </row>
    <row r="361" spans="1:14" hidden="1" x14ac:dyDescent="0.3">
      <c r="A361" s="70">
        <v>45825</v>
      </c>
      <c r="B361" s="6" t="s">
        <v>95</v>
      </c>
      <c r="C361" s="18">
        <v>200</v>
      </c>
      <c r="D361" s="77">
        <v>1220.52</v>
      </c>
      <c r="E361" s="67">
        <f ca="1">IFERROR(C361*D361*_xlfn.XLOOKUP(B361,[1]!TabCalc[Ticker],[1]!TabCalc[Scale]),0)</f>
        <v>244104</v>
      </c>
      <c r="F361" s="68" cm="1">
        <f t="array" aca="1" ref="F361" ca="1">IF(A361=A360,0,SUM(_xlfn._xlws.FILTER(E361:E371,A361:A371=A361)))</f>
        <v>244104</v>
      </c>
      <c r="G361" s="69">
        <f ca="1">IF(F361&lt;&gt;0,SUM($F$43:F361),0)</f>
        <v>-2362754.1436729995</v>
      </c>
      <c r="H361" s="69" cm="1">
        <f t="array" aca="1" ref="H361" ca="1">IFERROR(IF(A361=A360,0,SUM(_xlfn._xlws.FILTER(E361:E371,(A361:A371=A361)*(E361:E371&gt;0)))),0)</f>
        <v>244104</v>
      </c>
      <c r="I361" s="69" cm="1">
        <f t="array" aca="1" ref="I361" ca="1">IFERROR(IF(A361=A360,0,SUM(_xlfn._xlws.FILTER(E361:E371,(A361:A371=A361)*(F361&lt;0)))),0)</f>
        <v>0</v>
      </c>
      <c r="J361"/>
      <c r="K361"/>
      <c r="L361"/>
      <c r="M361"/>
      <c r="N361"/>
    </row>
    <row r="362" spans="1:14" hidden="1" x14ac:dyDescent="0.3">
      <c r="A362" s="64">
        <v>45826</v>
      </c>
      <c r="B362" s="5" t="s">
        <v>29</v>
      </c>
      <c r="C362" s="65">
        <v>500</v>
      </c>
      <c r="D362" s="80">
        <v>-31.34</v>
      </c>
      <c r="E362" s="67">
        <f ca="1">IFERROR(C362*D362*_xlfn.XLOOKUP(B362,[1]!TabCalc[Ticker],[1]!TabCalc[Scale]),0)</f>
        <v>-15670</v>
      </c>
      <c r="F362" s="68" cm="1">
        <f t="array" aca="1" ref="F362" ca="1">IF(A362=A361,0,SUM(_xlfn._xlws.FILTER(E362:E372,A362:A372=A362)))</f>
        <v>-235092.28289999999</v>
      </c>
      <c r="G362" s="69">
        <f ca="1">IF(F362&lt;&gt;0,SUM($F$43:F362),0)</f>
        <v>-2597846.4265729995</v>
      </c>
      <c r="H362" s="69" cm="1">
        <f t="array" aca="1" ref="H362" ca="1">IFERROR(IF(A362=A361,0,SUM(_xlfn._xlws.FILTER(E362:E372,(A362:A372=A362)*(E362:E372&gt;0)))),0)</f>
        <v>5472.0171</v>
      </c>
      <c r="I362" s="69" cm="1">
        <f t="array" aca="1" ref="I362" ca="1">IFERROR(IF(A362=A361,0,SUM(_xlfn._xlws.FILTER(E362:E372,(A362:A372=A362)*(F362&lt;0)))),0)</f>
        <v>-235092.28289999999</v>
      </c>
      <c r="J362"/>
      <c r="K362"/>
      <c r="L362"/>
      <c r="M362"/>
      <c r="N362"/>
    </row>
    <row r="363" spans="1:14" hidden="1" x14ac:dyDescent="0.3">
      <c r="A363" s="64">
        <v>45826</v>
      </c>
      <c r="B363" s="5" t="s">
        <v>69</v>
      </c>
      <c r="C363" s="65">
        <v>1710</v>
      </c>
      <c r="D363" s="80">
        <v>320.00099999999998</v>
      </c>
      <c r="E363" s="67">
        <f ca="1">IFERROR(C363*D363*_xlfn.XLOOKUP(B363,[1]!TabCalc[Ticker],[1]!TabCalc[Scale]),0)</f>
        <v>5472.0171</v>
      </c>
      <c r="F363" s="68" cm="1">
        <f t="array" ref="F363">IF(A363=A362,0,SUM(_xlfn._xlws.FILTER(E363:E373,A363:A373=A363)))</f>
        <v>0</v>
      </c>
      <c r="G363" s="69">
        <f>IF(F363&lt;&gt;0,SUM($F$43:F363),0)</f>
        <v>0</v>
      </c>
      <c r="H363" s="69" cm="1">
        <f t="array" ref="H363">IFERROR(IF(A363=A362,0,SUM(_xlfn._xlws.FILTER(E363:E373,(A363:A373=A363)*(E363:E373&gt;0)))),0)</f>
        <v>0</v>
      </c>
      <c r="I363" s="69" cm="1">
        <f t="array" ref="I363">IFERROR(IF(A363=A362,0,SUM(_xlfn._xlws.FILTER(E363:E373,(A363:A373=A363)*(F363&lt;0)))),0)</f>
        <v>0</v>
      </c>
      <c r="J363"/>
      <c r="K363"/>
      <c r="L363"/>
      <c r="M363"/>
      <c r="N363"/>
    </row>
    <row r="364" spans="1:14" hidden="1" x14ac:dyDescent="0.3">
      <c r="A364" s="64">
        <v>45826</v>
      </c>
      <c r="B364" s="5" t="s">
        <v>55</v>
      </c>
      <c r="C364" s="65">
        <v>300</v>
      </c>
      <c r="D364" s="80">
        <v>-196.66</v>
      </c>
      <c r="E364" s="67">
        <f ca="1">IFERROR(C364*D364*_xlfn.XLOOKUP(B364,[1]!TabCalc[Ticker],[1]!TabCalc[Scale]),0)</f>
        <v>-58998</v>
      </c>
      <c r="F364" s="68" cm="1">
        <f t="array" ref="F364">IF(A364=A363,0,SUM(_xlfn._xlws.FILTER(E364:E374,A364:A374=A364)))</f>
        <v>0</v>
      </c>
      <c r="G364" s="69">
        <f>IF(F364&lt;&gt;0,SUM($F$43:F364),0)</f>
        <v>0</v>
      </c>
      <c r="H364" s="69" cm="1">
        <f t="array" ref="H364">IFERROR(IF(A364=A363,0,SUM(_xlfn._xlws.FILTER(E364:E374,(A364:A374=A364)*(E364:E374&gt;0)))),0)</f>
        <v>0</v>
      </c>
      <c r="I364" s="69" cm="1">
        <f t="array" ref="I364">IFERROR(IF(A364=A363,0,SUM(_xlfn._xlws.FILTER(E364:E374,(A364:A374=A364)*(F364&lt;0)))),0)</f>
        <v>0</v>
      </c>
      <c r="J364"/>
      <c r="K364"/>
      <c r="L364"/>
      <c r="M364"/>
      <c r="N364"/>
    </row>
    <row r="365" spans="1:14" hidden="1" x14ac:dyDescent="0.3">
      <c r="A365" s="64">
        <v>45826</v>
      </c>
      <c r="B365" s="5" t="s">
        <v>41</v>
      </c>
      <c r="C365" s="65">
        <v>8145</v>
      </c>
      <c r="D365" s="80">
        <v>-0.54</v>
      </c>
      <c r="E365" s="67">
        <f ca="1">IFERROR(C365*D365*_xlfn.XLOOKUP(B365,[1]!TabCalc[Ticker],[1]!TabCalc[Scale]),0)</f>
        <v>-4398.3</v>
      </c>
      <c r="F365" s="68" cm="1">
        <f t="array" ref="F365">IF(A365=A364,0,SUM(_xlfn._xlws.FILTER(E365:E375,A365:A375=A365)))</f>
        <v>0</v>
      </c>
      <c r="G365" s="69">
        <f>IF(F365&lt;&gt;0,SUM($F$43:F365),0)</f>
        <v>0</v>
      </c>
      <c r="H365" s="69" cm="1">
        <f t="array" ref="H365">IFERROR(IF(A365=A364,0,SUM(_xlfn._xlws.FILTER(E365:E375,(A365:A375=A365)*(E365:E375&gt;0)))),0)</f>
        <v>0</v>
      </c>
      <c r="I365" s="69" cm="1">
        <f t="array" ref="I365">IFERROR(IF(A365=A364,0,SUM(_xlfn._xlws.FILTER(E365:E375,(A365:A375=A365)*(F365&lt;0)))),0)</f>
        <v>0</v>
      </c>
      <c r="J365"/>
      <c r="K365"/>
      <c r="L365"/>
      <c r="M365"/>
      <c r="N365"/>
    </row>
    <row r="366" spans="1:14" hidden="1" x14ac:dyDescent="0.3">
      <c r="A366" s="64">
        <v>45826</v>
      </c>
      <c r="B366" s="5" t="s">
        <v>58</v>
      </c>
      <c r="C366" s="65">
        <v>500</v>
      </c>
      <c r="D366" s="80">
        <v>-31.36</v>
      </c>
      <c r="E366" s="67">
        <f ca="1">IFERROR(C366*D366*_xlfn.XLOOKUP(B366,[1]!TabCalc[Ticker],[1]!TabCalc[Scale]),0)</f>
        <v>-15680</v>
      </c>
      <c r="F366" s="68" cm="1">
        <f t="array" ref="F366">IF(A366=A365,0,SUM(_xlfn._xlws.FILTER(E366:E376,A366:A376=A366)))</f>
        <v>0</v>
      </c>
      <c r="G366" s="69">
        <f>IF(F366&lt;&gt;0,SUM($F$43:F366),0)</f>
        <v>0</v>
      </c>
      <c r="H366" s="69" cm="1">
        <f t="array" ref="H366">IFERROR(IF(A366=A365,0,SUM(_xlfn._xlws.FILTER(E366:E376,(A366:A376=A366)*(E366:E376&gt;0)))),0)</f>
        <v>0</v>
      </c>
      <c r="I366" s="69" cm="1">
        <f t="array" ref="I366">IFERROR(IF(A366=A365,0,SUM(_xlfn._xlws.FILTER(E366:E376,(A366:A376=A366)*(F366&lt;0)))),0)</f>
        <v>0</v>
      </c>
      <c r="J366"/>
      <c r="K366"/>
      <c r="L366"/>
      <c r="M366"/>
      <c r="N366"/>
    </row>
    <row r="367" spans="1:14" hidden="1" x14ac:dyDescent="0.3">
      <c r="A367" s="64">
        <v>45826</v>
      </c>
      <c r="B367" s="5" t="s">
        <v>43</v>
      </c>
      <c r="C367" s="65">
        <v>200</v>
      </c>
      <c r="D367" s="80">
        <v>-546.80999999999995</v>
      </c>
      <c r="E367" s="67">
        <f ca="1">IFERROR(C367*D367*_xlfn.XLOOKUP(B367,[1]!TabCalc[Ticker],[1]!TabCalc[Scale]),0)</f>
        <v>-109361.99999999999</v>
      </c>
      <c r="F367" s="68" cm="1">
        <f t="array" ref="F367">IF(A367=A366,0,SUM(_xlfn._xlws.FILTER(E367:E377,A367:A377=A367)))</f>
        <v>0</v>
      </c>
      <c r="G367" s="69">
        <f>IF(F367&lt;&gt;0,SUM($F$43:F367),0)</f>
        <v>0</v>
      </c>
      <c r="H367" s="69" cm="1">
        <f t="array" ref="H367">IFERROR(IF(A367=A366,0,SUM(_xlfn._xlws.FILTER(E367:E377,(A367:A377=A367)*(E367:E377&gt;0)))),0)</f>
        <v>0</v>
      </c>
      <c r="I367" s="69" cm="1">
        <f t="array" ref="I367">IFERROR(IF(A367=A366,0,SUM(_xlfn._xlws.FILTER(E367:E377,(A367:A377=A367)*(F367&lt;0)))),0)</f>
        <v>0</v>
      </c>
      <c r="J367"/>
      <c r="K367"/>
      <c r="L367"/>
      <c r="M367"/>
      <c r="N367"/>
    </row>
    <row r="368" spans="1:14" hidden="1" x14ac:dyDescent="0.3">
      <c r="A368" s="70">
        <v>45827</v>
      </c>
      <c r="B368" s="6" t="s">
        <v>29</v>
      </c>
      <c r="C368" s="18">
        <v>500</v>
      </c>
      <c r="D368" s="77">
        <v>-30.95</v>
      </c>
      <c r="E368" s="67">
        <f ca="1">IFERROR(C368*D368*_xlfn.XLOOKUP(B368,[1]!TabCalc[Ticker],[1]!TabCalc[Scale]),0)</f>
        <v>-15475</v>
      </c>
      <c r="F368" s="68" cm="1">
        <f t="array" aca="1" ref="F368" ca="1">IF(A368=A367,0,SUM(_xlfn._xlws.FILTER(E368:E378,A368:A378=A368)))</f>
        <v>-15475</v>
      </c>
      <c r="G368" s="69">
        <f ca="1">IF(F368&lt;&gt;0,SUM($F$43:F368),0)</f>
        <v>-2613321.4265729995</v>
      </c>
      <c r="H368" s="69" cm="1">
        <f t="array" aca="1" ref="H368" ca="1">IFERROR(IF(A368=A367,0,SUM(_xlfn._xlws.FILTER(E368:E378,(A368:A378=A368)*(E368:E378&gt;0)))),0)</f>
        <v>0</v>
      </c>
      <c r="I368" s="69" cm="1">
        <f t="array" aca="1" ref="I368" ca="1">IFERROR(IF(A368=A367,0,SUM(_xlfn._xlws.FILTER(E368:E378,(A368:A378=A368)*(F368&lt;0)))),0)</f>
        <v>-15475</v>
      </c>
      <c r="J368"/>
      <c r="K368"/>
      <c r="L368"/>
      <c r="M368"/>
      <c r="N368"/>
    </row>
    <row r="369" spans="1:14" hidden="1" x14ac:dyDescent="0.3">
      <c r="A369" s="70">
        <v>45826</v>
      </c>
      <c r="B369" s="6" t="s">
        <v>92</v>
      </c>
      <c r="C369" s="18">
        <v>2800</v>
      </c>
      <c r="D369" s="77">
        <v>-13.02</v>
      </c>
      <c r="E369" s="67">
        <f ca="1">IFERROR(C369*D369*_xlfn.XLOOKUP(B369,[1]!TabCalc[Ticker],[1]!TabCalc[Scale]),0)</f>
        <v>-36456</v>
      </c>
      <c r="F369" s="68" cm="1">
        <f t="array" aca="1" ref="F369" ca="1">IF(A369=A368,0,SUM(_xlfn._xlws.FILTER(E369:E379,A369:A379=A369)))</f>
        <v>-36456</v>
      </c>
      <c r="G369" s="69">
        <f ca="1">IF(F369&lt;&gt;0,SUM($F$43:F369),0)</f>
        <v>-2649777.4265729995</v>
      </c>
      <c r="H369" s="69" cm="1">
        <f t="array" aca="1" ref="H369" ca="1">IFERROR(IF(A369=A368,0,SUM(_xlfn._xlws.FILTER(E369:E379,(A369:A379=A369)*(E369:E379&gt;0)))),0)</f>
        <v>0</v>
      </c>
      <c r="I369" s="69" cm="1">
        <f t="array" aca="1" ref="I369" ca="1">IFERROR(IF(A369=A368,0,SUM(_xlfn._xlws.FILTER(E369:E379,(A369:A379=A369)*(F369&lt;0)))),0)</f>
        <v>-36456</v>
      </c>
      <c r="J369"/>
      <c r="K369"/>
      <c r="L369"/>
      <c r="M369"/>
      <c r="N369"/>
    </row>
    <row r="370" spans="1:14" hidden="1" x14ac:dyDescent="0.3">
      <c r="A370" s="64">
        <v>45828</v>
      </c>
      <c r="B370" s="5" t="s">
        <v>76</v>
      </c>
      <c r="C370" s="65">
        <v>20000</v>
      </c>
      <c r="D370" s="80">
        <v>52.01</v>
      </c>
      <c r="E370" s="67">
        <f ca="1">IFERROR(C370*D370*_xlfn.XLOOKUP(B370,[1]!TabCalc[Ticker],[1]!TabCalc[Scale]),0)</f>
        <v>10402</v>
      </c>
      <c r="F370" s="68" cm="1">
        <f t="array" aca="1" ref="F370" ca="1">IF(A370=A369,0,SUM(_xlfn._xlws.FILTER(E370:E380,A370:A380=A370)))</f>
        <v>-150178</v>
      </c>
      <c r="G370" s="69">
        <f ca="1">IF(F370&lt;&gt;0,SUM($F$43:F370),0)</f>
        <v>-2799955.4265729995</v>
      </c>
      <c r="H370" s="69" cm="1">
        <f t="array" aca="1" ref="H370" ca="1">IFERROR(IF(A370=A369,0,SUM(_xlfn._xlws.FILTER(E370:E380,(A370:A380=A370)*(E370:E380&gt;0)))),0)</f>
        <v>129182</v>
      </c>
      <c r="I370" s="69" cm="1">
        <f t="array" aca="1" ref="I370" ca="1">IFERROR(IF(A370=A369,0,SUM(_xlfn._xlws.FILTER(E370:E380,(A370:A380=A370)*(F370&lt;0)))),0)</f>
        <v>-150178</v>
      </c>
      <c r="J370"/>
      <c r="K370"/>
      <c r="L370"/>
      <c r="M370"/>
      <c r="N370"/>
    </row>
    <row r="371" spans="1:14" hidden="1" x14ac:dyDescent="0.3">
      <c r="A371" s="64">
        <v>45828</v>
      </c>
      <c r="B371" s="5" t="s">
        <v>33</v>
      </c>
      <c r="C371" s="65">
        <v>400</v>
      </c>
      <c r="D371" s="80">
        <v>117.4</v>
      </c>
      <c r="E371" s="67">
        <f ca="1">IFERROR(C371*D371*_xlfn.XLOOKUP(B371,[1]!TabCalc[Ticker],[1]!TabCalc[Scale]),0)</f>
        <v>46960</v>
      </c>
      <c r="F371" s="68" cm="1">
        <f t="array" ref="F371">IF(A371=A370,0,SUM(_xlfn._xlws.FILTER(E371:E381,A371:A381=A371)))</f>
        <v>0</v>
      </c>
      <c r="G371" s="69">
        <f>IF(F371&lt;&gt;0,SUM($F$43:F371),0)</f>
        <v>0</v>
      </c>
      <c r="H371" s="69" cm="1">
        <f t="array" ref="H371">IFERROR(IF(A371=A370,0,SUM(_xlfn._xlws.FILTER(E371:E381,(A371:A381=A371)*(E371:E381&gt;0)))),0)</f>
        <v>0</v>
      </c>
      <c r="I371" s="69" cm="1">
        <f t="array" ref="I371">IFERROR(IF(A371=A370,0,SUM(_xlfn._xlws.FILTER(E371:E381,(A371:A381=A371)*(F371&lt;0)))),0)</f>
        <v>0</v>
      </c>
      <c r="J371"/>
      <c r="K371"/>
      <c r="L371"/>
      <c r="M371"/>
      <c r="N371"/>
    </row>
    <row r="372" spans="1:14" hidden="1" x14ac:dyDescent="0.3">
      <c r="A372" s="64">
        <v>45828</v>
      </c>
      <c r="B372" s="5" t="s">
        <v>35</v>
      </c>
      <c r="C372" s="65">
        <v>4000</v>
      </c>
      <c r="D372" s="80">
        <v>-69.84</v>
      </c>
      <c r="E372" s="67">
        <f ca="1">IFERROR(C372*D372*_xlfn.XLOOKUP(B372,[1]!TabCalc[Ticker],[1]!TabCalc[Scale]),0)</f>
        <v>-279360</v>
      </c>
      <c r="F372" s="68" cm="1">
        <f t="array" ref="F372">IF(A372=A371,0,SUM(_xlfn._xlws.FILTER(E372:E382,A372:A382=A372)))</f>
        <v>0</v>
      </c>
      <c r="G372" s="69">
        <f>IF(F372&lt;&gt;0,SUM($F$43:F372),0)</f>
        <v>0</v>
      </c>
      <c r="H372" s="69" cm="1">
        <f t="array" ref="H372">IFERROR(IF(A372=A371,0,SUM(_xlfn._xlws.FILTER(E372:E382,(A372:A382=A372)*(E372:E382&gt;0)))),0)</f>
        <v>0</v>
      </c>
      <c r="I372" s="69" cm="1">
        <f t="array" ref="I372">IFERROR(IF(A372=A371,0,SUM(_xlfn._xlws.FILTER(E372:E382,(A372:A382=A372)*(F372&lt;0)))),0)</f>
        <v>0</v>
      </c>
      <c r="J372"/>
      <c r="K372"/>
      <c r="L372"/>
      <c r="M372"/>
      <c r="N372"/>
    </row>
    <row r="373" spans="1:14" hidden="1" x14ac:dyDescent="0.3">
      <c r="A373" s="64">
        <v>45828</v>
      </c>
      <c r="B373" s="5" t="s">
        <v>38</v>
      </c>
      <c r="C373" s="65">
        <v>1000</v>
      </c>
      <c r="D373" s="80">
        <v>71.819999999999993</v>
      </c>
      <c r="E373" s="67">
        <f ca="1">IFERROR(C373*D373*_xlfn.XLOOKUP(B373,[1]!TabCalc[Ticker],[1]!TabCalc[Scale]),0)</f>
        <v>71820</v>
      </c>
      <c r="F373" s="68" cm="1">
        <f t="array" ref="F373">IF(A373=A372,0,SUM(_xlfn._xlws.FILTER(E373:E383,A373:A383=A373)))</f>
        <v>0</v>
      </c>
      <c r="G373" s="69">
        <f>IF(F373&lt;&gt;0,SUM($F$43:F373),0)</f>
        <v>0</v>
      </c>
      <c r="H373" s="69" cm="1">
        <f t="array" ref="H373">IFERROR(IF(A373=A372,0,SUM(_xlfn._xlws.FILTER(E373:E383,(A373:A383=A373)*(E373:E383&gt;0)))),0)</f>
        <v>0</v>
      </c>
      <c r="I373" s="69" cm="1">
        <f t="array" ref="I373">IFERROR(IF(A373=A372,0,SUM(_xlfn._xlws.FILTER(E373:E383,(A373:A383=A373)*(F373&lt;0)))),0)</f>
        <v>0</v>
      </c>
      <c r="J373"/>
      <c r="K373"/>
      <c r="L373"/>
      <c r="M373"/>
      <c r="N373"/>
    </row>
    <row r="374" spans="1:14" hidden="1" x14ac:dyDescent="0.3">
      <c r="A374" s="70">
        <v>45831</v>
      </c>
      <c r="B374" s="6" t="s">
        <v>90</v>
      </c>
      <c r="C374" s="18">
        <v>1000</v>
      </c>
      <c r="D374" s="77">
        <v>-250.75</v>
      </c>
      <c r="E374" s="67">
        <f ca="1">IFERROR(C374*D374*_xlfn.XLOOKUP(B374,[1]!TabCalc[Ticker],[1]!TabCalc[Scale]),0)</f>
        <v>-250750</v>
      </c>
      <c r="F374" s="68" cm="1">
        <f t="array" aca="1" ref="F374" ca="1">IF(A374=A373,0,SUM(_xlfn._xlws.FILTER(E374:E384,A374:A384=A374)))</f>
        <v>-500500</v>
      </c>
      <c r="G374" s="69">
        <f ca="1">IF(F374&lt;&gt;0,SUM($F$43:F374),0)</f>
        <v>-3300455.4265729995</v>
      </c>
      <c r="H374" s="69" cm="1">
        <f t="array" aca="1" ref="H374" ca="1">IFERROR(IF(A374=A373,0,SUM(_xlfn._xlws.FILTER(E374:E384,(A374:A384=A374)*(E374:E384&gt;0)))),0)</f>
        <v>0</v>
      </c>
      <c r="I374" s="69" cm="1">
        <f t="array" aca="1" ref="I374" ca="1">IFERROR(IF(A374=A373,0,SUM(_xlfn._xlws.FILTER(E374:E384,(A374:A384=A374)*(F374&lt;0)))),0)</f>
        <v>-500500</v>
      </c>
      <c r="J374"/>
      <c r="K374"/>
      <c r="L374"/>
      <c r="M374"/>
      <c r="N374"/>
    </row>
    <row r="375" spans="1:14" hidden="1" x14ac:dyDescent="0.3">
      <c r="A375" s="70">
        <v>45831</v>
      </c>
      <c r="B375" s="6" t="s">
        <v>90</v>
      </c>
      <c r="C375" s="18">
        <v>1000</v>
      </c>
      <c r="D375" s="77">
        <v>-249.75</v>
      </c>
      <c r="E375" s="67">
        <f ca="1">IFERROR(C375*D375*_xlfn.XLOOKUP(B375,[1]!TabCalc[Ticker],[1]!TabCalc[Scale]),0)</f>
        <v>-249750</v>
      </c>
      <c r="F375" s="68" cm="1">
        <f t="array" ref="F375">IF(A375=A374,0,SUM(_xlfn._xlws.FILTER(E375:E385,A375:A385=A375)))</f>
        <v>0</v>
      </c>
      <c r="G375" s="69">
        <f>IF(F375&lt;&gt;0,SUM($F$43:F375),0)</f>
        <v>0</v>
      </c>
      <c r="H375" s="69" cm="1">
        <f t="array" ref="H375">IFERROR(IF(A375=A374,0,SUM(_xlfn._xlws.FILTER(E375:E385,(A375:A385=A375)*(E375:E385&gt;0)))),0)</f>
        <v>0</v>
      </c>
      <c r="I375" s="69" cm="1">
        <f t="array" ref="I375">IFERROR(IF(A375=A374,0,SUM(_xlfn._xlws.FILTER(E375:E385,(A375:A385=A375)*(F375&lt;0)))),0)</f>
        <v>0</v>
      </c>
      <c r="J375"/>
      <c r="K375"/>
      <c r="L375"/>
      <c r="M375"/>
      <c r="N375"/>
    </row>
    <row r="376" spans="1:14" hidden="1" x14ac:dyDescent="0.3">
      <c r="A376" s="64">
        <v>45832</v>
      </c>
      <c r="B376" s="5" t="s">
        <v>55</v>
      </c>
      <c r="C376" s="65">
        <v>300</v>
      </c>
      <c r="D376" s="80">
        <v>-200.7</v>
      </c>
      <c r="E376" s="67">
        <f ca="1">IFERROR(C376*D376*_xlfn.XLOOKUP(B376,[1]!TabCalc[Ticker],[1]!TabCalc[Scale]),0)</f>
        <v>-60210</v>
      </c>
      <c r="F376" s="68" cm="1">
        <f t="array" aca="1" ref="F376" ca="1">IF(A376=A375,0,SUM(_xlfn._xlws.FILTER(E376:E386,A376:A386=A376)))</f>
        <v>-166700</v>
      </c>
      <c r="G376" s="69">
        <f ca="1">IF(F376&lt;&gt;0,SUM($F$43:F376),0)</f>
        <v>-3467155.4265729995</v>
      </c>
      <c r="H376" s="69" cm="1">
        <f t="array" aca="1" ref="H376" ca="1">IFERROR(IF(A376=A375,0,SUM(_xlfn._xlws.FILTER(E376:E386,(A376:A386=A376)*(E376:E386&gt;0)))),0)</f>
        <v>0</v>
      </c>
      <c r="I376" s="69" cm="1">
        <f t="array" aca="1" ref="I376" ca="1">IFERROR(IF(A376=A375,0,SUM(_xlfn._xlws.FILTER(E376:E386,(A376:A386=A376)*(F376&lt;0)))),0)</f>
        <v>-166700</v>
      </c>
      <c r="J376"/>
      <c r="K376"/>
      <c r="L376"/>
      <c r="M376"/>
      <c r="N376"/>
    </row>
    <row r="377" spans="1:14" hidden="1" x14ac:dyDescent="0.3">
      <c r="A377" s="64">
        <v>45832</v>
      </c>
      <c r="B377" s="5" t="s">
        <v>61</v>
      </c>
      <c r="C377" s="65">
        <v>500</v>
      </c>
      <c r="D377" s="80">
        <v>-212.98</v>
      </c>
      <c r="E377" s="67">
        <f ca="1">IFERROR(C377*D377*_xlfn.XLOOKUP(B377,[1]!TabCalc[Ticker],[1]!TabCalc[Scale]),0)</f>
        <v>-106490</v>
      </c>
      <c r="F377" s="68" cm="1">
        <f t="array" ref="F377">IF(A377=A376,0,SUM(_xlfn._xlws.FILTER(E377:E387,A377:A387=A377)))</f>
        <v>0</v>
      </c>
      <c r="G377" s="69">
        <f>IF(F377&lt;&gt;0,SUM($F$43:F377),0)</f>
        <v>0</v>
      </c>
      <c r="H377" s="69" cm="1">
        <f t="array" ref="H377">IFERROR(IF(A377=A376,0,SUM(_xlfn._xlws.FILTER(E377:E387,(A377:A387=A377)*(E377:E387&gt;0)))),0)</f>
        <v>0</v>
      </c>
      <c r="I377" s="69" cm="1">
        <f t="array" ref="I377">IFERROR(IF(A377=A376,0,SUM(_xlfn._xlws.FILTER(E377:E387,(A377:A387=A377)*(F377&lt;0)))),0)</f>
        <v>0</v>
      </c>
      <c r="J377"/>
      <c r="K377"/>
      <c r="L377"/>
      <c r="M377"/>
      <c r="N377"/>
    </row>
    <row r="378" spans="1:14" hidden="1" x14ac:dyDescent="0.3">
      <c r="A378" s="70">
        <v>45833</v>
      </c>
      <c r="B378" s="6" t="s">
        <v>30</v>
      </c>
      <c r="C378" s="18">
        <v>200</v>
      </c>
      <c r="D378" s="77">
        <v>-695.5</v>
      </c>
      <c r="E378" s="67">
        <f ca="1">IFERROR(C378*D378*_xlfn.XLOOKUP(B378,[1]!TabCalc[Ticker],[1]!TabCalc[Scale]),0)</f>
        <v>-139100</v>
      </c>
      <c r="F378" s="68" cm="1">
        <f t="array" aca="1" ref="F378" ca="1">IF(A378=A377,0,SUM(_xlfn._xlws.FILTER(E378:E388,A378:A388=A378)))</f>
        <v>267268.25</v>
      </c>
      <c r="G378" s="69">
        <f ca="1">IF(F378&lt;&gt;0,SUM($F$43:F378),0)</f>
        <v>-3199887.1765729995</v>
      </c>
      <c r="H378" s="69" cm="1">
        <f t="array" aca="1" ref="H378" ca="1">IFERROR(IF(A378=A377,0,SUM(_xlfn._xlws.FILTER(E378:E388,(A378:A388=A378)*(E378:E388&gt;0)))),0)</f>
        <v>502818.25</v>
      </c>
      <c r="I378" s="69" cm="1">
        <f t="array" aca="1" ref="I378" ca="1">IFERROR(IF(A378=A377,0,SUM(_xlfn._xlws.FILTER(E378:E388,(A378:A388=A378)*(F378&lt;0)))),0)</f>
        <v>0</v>
      </c>
      <c r="J378"/>
      <c r="K378"/>
      <c r="L378"/>
      <c r="M378"/>
      <c r="N378"/>
    </row>
    <row r="379" spans="1:14" hidden="1" x14ac:dyDescent="0.3">
      <c r="A379" s="70">
        <v>45833</v>
      </c>
      <c r="B379" s="6" t="s">
        <v>44</v>
      </c>
      <c r="C379" s="18">
        <v>800</v>
      </c>
      <c r="D379" s="77">
        <v>119.32</v>
      </c>
      <c r="E379" s="67">
        <f ca="1">IFERROR(C379*D379*_xlfn.XLOOKUP(B379,[1]!TabCalc[Ticker],[1]!TabCalc[Scale]),0)</f>
        <v>95456</v>
      </c>
      <c r="F379" s="68" cm="1">
        <f t="array" ref="F379">IF(A379=A378,0,SUM(_xlfn._xlws.FILTER(E379:E389,A379:A389=A379)))</f>
        <v>0</v>
      </c>
      <c r="G379" s="69">
        <f>IF(F379&lt;&gt;0,SUM($F$43:F379),0)</f>
        <v>0</v>
      </c>
      <c r="H379" s="69" cm="1">
        <f t="array" ref="H379">IFERROR(IF(A379=A378,0,SUM(_xlfn._xlws.FILTER(E379:E389,(A379:A389=A379)*(E379:E389&gt;0)))),0)</f>
        <v>0</v>
      </c>
      <c r="I379" s="69" cm="1">
        <f t="array" ref="I379">IFERROR(IF(A379=A378,0,SUM(_xlfn._xlws.FILTER(E379:E389,(A379:A389=A379)*(F379&lt;0)))),0)</f>
        <v>0</v>
      </c>
      <c r="J379"/>
      <c r="K379"/>
      <c r="L379"/>
      <c r="M379"/>
      <c r="N379"/>
    </row>
    <row r="380" spans="1:14" hidden="1" x14ac:dyDescent="0.3">
      <c r="A380" s="70">
        <v>45833</v>
      </c>
      <c r="B380" s="6" t="s">
        <v>87</v>
      </c>
      <c r="C380" s="18">
        <v>5000</v>
      </c>
      <c r="D380" s="77">
        <v>10.5</v>
      </c>
      <c r="E380" s="67">
        <f ca="1">IFERROR(C380*D380*_xlfn.XLOOKUP(B380,[1]!TabCalc[Ticker],[1]!TabCalc[Scale]),0)</f>
        <v>52500</v>
      </c>
      <c r="F380" s="68" cm="1">
        <f t="array" ref="F380">IF(A380=A379,0,SUM(_xlfn._xlws.FILTER(E380:E390,A380:A390=A380)))</f>
        <v>0</v>
      </c>
      <c r="G380" s="69">
        <f>IF(F380&lt;&gt;0,SUM($F$43:F380),0)</f>
        <v>0</v>
      </c>
      <c r="H380" s="69" cm="1">
        <f t="array" ref="H380">IFERROR(IF(A380=A379,0,SUM(_xlfn._xlws.FILTER(E380:E390,(A380:A390=A380)*(E380:E390&gt;0)))),0)</f>
        <v>0</v>
      </c>
      <c r="I380" s="69" cm="1">
        <f t="array" ref="I380">IFERROR(IF(A380=A379,0,SUM(_xlfn._xlws.FILTER(E380:E390,(A380:A390=A380)*(F380&lt;0)))),0)</f>
        <v>0</v>
      </c>
      <c r="J380"/>
      <c r="K380"/>
      <c r="L380"/>
      <c r="M380"/>
      <c r="N380"/>
    </row>
    <row r="381" spans="1:14" hidden="1" x14ac:dyDescent="0.3">
      <c r="A381" s="70">
        <v>45833</v>
      </c>
      <c r="B381" s="6" t="s">
        <v>42</v>
      </c>
      <c r="C381" s="18">
        <v>350</v>
      </c>
      <c r="D381" s="77">
        <v>169.12</v>
      </c>
      <c r="E381" s="67">
        <f ca="1">IFERROR(C381*D381*_xlfn.XLOOKUP(B381,[1]!TabCalc[Ticker],[1]!TabCalc[Scale]),0)</f>
        <v>59192</v>
      </c>
      <c r="F381" s="68" cm="1">
        <f t="array" ref="F381">IF(A381=A380,0,SUM(_xlfn._xlws.FILTER(E381:E391,A381:A391=A381)))</f>
        <v>0</v>
      </c>
      <c r="G381" s="69">
        <f>IF(F381&lt;&gt;0,SUM($F$43:F381),0)</f>
        <v>0</v>
      </c>
      <c r="H381" s="69" cm="1">
        <f t="array" ref="H381">IFERROR(IF(A381=A380,0,SUM(_xlfn._xlws.FILTER(E381:E391,(A381:A391=A381)*(E381:E391&gt;0)))),0)</f>
        <v>0</v>
      </c>
      <c r="I381" s="69" cm="1">
        <f t="array" ref="I381">IFERROR(IF(A381=A380,0,SUM(_xlfn._xlws.FILTER(E381:E391,(A381:A391=A381)*(F381&lt;0)))),0)</f>
        <v>0</v>
      </c>
      <c r="J381"/>
      <c r="K381"/>
      <c r="L381"/>
      <c r="M381"/>
      <c r="N381"/>
    </row>
    <row r="382" spans="1:14" hidden="1" x14ac:dyDescent="0.3">
      <c r="A382" s="70">
        <v>45833</v>
      </c>
      <c r="B382" s="6" t="s">
        <v>74</v>
      </c>
      <c r="C382" s="18">
        <v>3000</v>
      </c>
      <c r="D382" s="77">
        <v>-15.45</v>
      </c>
      <c r="E382" s="67">
        <f ca="1">IFERROR(C382*D382*_xlfn.XLOOKUP(B382,[1]!TabCalc[Ticker],[1]!TabCalc[Scale]),0)</f>
        <v>-46350</v>
      </c>
      <c r="F382" s="68" cm="1">
        <f t="array" ref="F382">IF(A382=A381,0,SUM(_xlfn._xlws.FILTER(E382:E392,A382:A392=A382)))</f>
        <v>0</v>
      </c>
      <c r="G382" s="69">
        <f>IF(F382&lt;&gt;0,SUM($F$43:F382),0)</f>
        <v>0</v>
      </c>
      <c r="H382" s="69" cm="1">
        <f t="array" ref="H382">IFERROR(IF(A382=A381,0,SUM(_xlfn._xlws.FILTER(E382:E392,(A382:A392=A382)*(E382:E392&gt;0)))),0)</f>
        <v>0</v>
      </c>
      <c r="I382" s="69" cm="1">
        <f t="array" ref="I382">IFERROR(IF(A382=A381,0,SUM(_xlfn._xlws.FILTER(E382:E392,(A382:A392=A382)*(F382&lt;0)))),0)</f>
        <v>0</v>
      </c>
      <c r="J382"/>
      <c r="K382"/>
      <c r="L382"/>
      <c r="M382"/>
      <c r="N382"/>
    </row>
    <row r="383" spans="1:14" hidden="1" x14ac:dyDescent="0.3">
      <c r="A383" s="70">
        <v>45833</v>
      </c>
      <c r="B383" s="6" t="s">
        <v>96</v>
      </c>
      <c r="C383" s="18">
        <v>2500</v>
      </c>
      <c r="D383" s="77">
        <v>-5.12</v>
      </c>
      <c r="E383" s="67">
        <f ca="1">IFERROR(C383*D383*_xlfn.XLOOKUP(B383,[1]!TabCalc[Ticker],[1]!TabCalc[Scale]),0)</f>
        <v>-12800</v>
      </c>
      <c r="F383" s="68" cm="1">
        <f t="array" ref="F383">IF(A383=A382,0,SUM(_xlfn._xlws.FILTER(E383:E393,A383:A393=A383)))</f>
        <v>0</v>
      </c>
      <c r="G383" s="69">
        <f>IF(F383&lt;&gt;0,SUM($F$43:F383),0)</f>
        <v>0</v>
      </c>
      <c r="H383" s="69" cm="1">
        <f t="array" ref="H383">IFERROR(IF(A383=A382,0,SUM(_xlfn._xlws.FILTER(E383:E393,(A383:A393=A383)*(E383:E393&gt;0)))),0)</f>
        <v>0</v>
      </c>
      <c r="I383" s="69" cm="1">
        <f t="array" ref="I383">IFERROR(IF(A383=A382,0,SUM(_xlfn._xlws.FILTER(E383:E393,(A383:A393=A383)*(F383&lt;0)))),0)</f>
        <v>0</v>
      </c>
      <c r="J383"/>
      <c r="K383"/>
      <c r="L383"/>
      <c r="M383"/>
      <c r="N383"/>
    </row>
    <row r="384" spans="1:14" hidden="1" x14ac:dyDescent="0.3">
      <c r="A384" s="70">
        <v>45833</v>
      </c>
      <c r="B384" s="6" t="s">
        <v>80</v>
      </c>
      <c r="C384" s="18">
        <v>2000</v>
      </c>
      <c r="D384" s="77">
        <v>-18.649999999999999</v>
      </c>
      <c r="E384" s="67">
        <f ca="1">IFERROR(C384*D384*_xlfn.XLOOKUP(B384,[1]!TabCalc[Ticker],[1]!TabCalc[Scale]),0)</f>
        <v>-37300</v>
      </c>
      <c r="F384" s="68" cm="1">
        <f t="array" ref="F384">IF(A384=A383,0,SUM(_xlfn._xlws.FILTER(E384:E394,A384:A394=A384)))</f>
        <v>0</v>
      </c>
      <c r="G384" s="69">
        <f>IF(F384&lt;&gt;0,SUM($F$43:F384),0)</f>
        <v>0</v>
      </c>
      <c r="H384" s="69" cm="1">
        <f t="array" ref="H384">IFERROR(IF(A384=A383,0,SUM(_xlfn._xlws.FILTER(E384:E394,(A384:A394=A384)*(E384:E394&gt;0)))),0)</f>
        <v>0</v>
      </c>
      <c r="I384" s="69" cm="1">
        <f t="array" ref="I384">IFERROR(IF(A384=A383,0,SUM(_xlfn._xlws.FILTER(E384:E394,(A384:A394=A384)*(F384&lt;0)))),0)</f>
        <v>0</v>
      </c>
      <c r="J384"/>
      <c r="K384"/>
      <c r="L384"/>
      <c r="M384"/>
      <c r="N384"/>
    </row>
    <row r="385" spans="1:14" hidden="1" x14ac:dyDescent="0.3">
      <c r="A385" s="70">
        <v>45833</v>
      </c>
      <c r="B385" s="6" t="s">
        <v>82</v>
      </c>
      <c r="C385" s="18">
        <v>1000</v>
      </c>
      <c r="D385" s="77">
        <v>58.125</v>
      </c>
      <c r="E385" s="67">
        <f ca="1">IFERROR(C385*D385*_xlfn.XLOOKUP(B385,[1]!TabCalc[Ticker],[1]!TabCalc[Scale]),0)</f>
        <v>58125</v>
      </c>
      <c r="F385" s="68" cm="1">
        <f t="array" ref="F385">IF(A385=A384,0,SUM(_xlfn._xlws.FILTER(E385:E395,A385:A395=A385)))</f>
        <v>0</v>
      </c>
      <c r="G385" s="69">
        <f>IF(F385&lt;&gt;0,SUM($F$43:F385),0)</f>
        <v>0</v>
      </c>
      <c r="H385" s="69" cm="1">
        <f t="array" ref="H385">IFERROR(IF(A385=A384,0,SUM(_xlfn._xlws.FILTER(E385:E395,(A385:A395=A385)*(E385:E395&gt;0)))),0)</f>
        <v>0</v>
      </c>
      <c r="I385" s="69" cm="1">
        <f t="array" ref="I385">IFERROR(IF(A385=A384,0,SUM(_xlfn._xlws.FILTER(E385:E395,(A385:A395=A385)*(F385&lt;0)))),0)</f>
        <v>0</v>
      </c>
      <c r="J385"/>
      <c r="K385"/>
      <c r="L385"/>
      <c r="M385"/>
      <c r="N385"/>
    </row>
    <row r="386" spans="1:14" hidden="1" x14ac:dyDescent="0.3">
      <c r="A386" s="70">
        <v>45833</v>
      </c>
      <c r="B386" s="6" t="s">
        <v>93</v>
      </c>
      <c r="C386" s="18">
        <v>150</v>
      </c>
      <c r="D386" s="77">
        <v>491.47500000000002</v>
      </c>
      <c r="E386" s="67">
        <f ca="1">IFERROR(C386*D386*_xlfn.XLOOKUP(B386,[1]!TabCalc[Ticker],[1]!TabCalc[Scale]),0)</f>
        <v>73721.25</v>
      </c>
      <c r="F386" s="68" cm="1">
        <f t="array" ref="F386">IF(A386=A385,0,SUM(_xlfn._xlws.FILTER(E386:E396,A386:A396=A386)))</f>
        <v>0</v>
      </c>
      <c r="G386" s="69">
        <f>IF(F386&lt;&gt;0,SUM($F$43:F386),0)</f>
        <v>0</v>
      </c>
      <c r="H386" s="69" cm="1">
        <f t="array" ref="H386">IFERROR(IF(A386=A385,0,SUM(_xlfn._xlws.FILTER(E386:E396,(A386:A396=A386)*(E386:E396&gt;0)))),0)</f>
        <v>0</v>
      </c>
      <c r="I386" s="69" cm="1">
        <f t="array" ref="I386">IFERROR(IF(A386=A385,0,SUM(_xlfn._xlws.FILTER(E386:E396,(A386:A396=A386)*(F386&lt;0)))),0)</f>
        <v>0</v>
      </c>
      <c r="J386"/>
      <c r="K386"/>
      <c r="L386"/>
      <c r="M386"/>
      <c r="N386"/>
    </row>
    <row r="387" spans="1:14" hidden="1" x14ac:dyDescent="0.3">
      <c r="A387" s="70">
        <v>45833</v>
      </c>
      <c r="B387" s="6" t="s">
        <v>33</v>
      </c>
      <c r="C387" s="18">
        <v>800</v>
      </c>
      <c r="D387" s="77">
        <v>119.38</v>
      </c>
      <c r="E387" s="67">
        <f ca="1">IFERROR(C387*D387*_xlfn.XLOOKUP(B387,[1]!TabCalc[Ticker],[1]!TabCalc[Scale]),0)</f>
        <v>95504</v>
      </c>
      <c r="F387" s="68" cm="1">
        <f t="array" ref="F387">IF(A387=A386,0,SUM(_xlfn._xlws.FILTER(E387:E397,A387:A397=A387)))</f>
        <v>0</v>
      </c>
      <c r="G387" s="69">
        <f>IF(F387&lt;&gt;0,SUM($F$43:F387),0)</f>
        <v>0</v>
      </c>
      <c r="H387" s="69" cm="1">
        <f t="array" ref="H387">IFERROR(IF(A387=A386,0,SUM(_xlfn._xlws.FILTER(E387:E397,(A387:A397=A387)*(E387:E397&gt;0)))),0)</f>
        <v>0</v>
      </c>
      <c r="I387" s="69" cm="1">
        <f t="array" ref="I387">IFERROR(IF(A387=A386,0,SUM(_xlfn._xlws.FILTER(E387:E397,(A387:A397=A387)*(F387&lt;0)))),0)</f>
        <v>0</v>
      </c>
      <c r="J387"/>
      <c r="K387"/>
      <c r="L387"/>
      <c r="M387"/>
      <c r="N387"/>
    </row>
    <row r="388" spans="1:14" hidden="1" x14ac:dyDescent="0.3">
      <c r="A388" s="70">
        <v>45833</v>
      </c>
      <c r="B388" s="6" t="s">
        <v>37</v>
      </c>
      <c r="C388" s="18">
        <v>1000</v>
      </c>
      <c r="D388" s="77">
        <v>68.319999999999993</v>
      </c>
      <c r="E388" s="67">
        <f ca="1">IFERROR(C388*D388*_xlfn.XLOOKUP(B388,[1]!TabCalc[Ticker],[1]!TabCalc[Scale]),0)</f>
        <v>68320</v>
      </c>
      <c r="F388" s="68" cm="1">
        <f t="array" ref="F388">IF(A388=A387,0,SUM(_xlfn._xlws.FILTER(E388:E398,A388:A398=A388)))</f>
        <v>0</v>
      </c>
      <c r="G388" s="69">
        <f>IF(F388&lt;&gt;0,SUM($F$43:F388),0)</f>
        <v>0</v>
      </c>
      <c r="H388" s="69" cm="1">
        <f t="array" ref="H388">IFERROR(IF(A388=A387,0,SUM(_xlfn._xlws.FILTER(E388:E398,(A388:A398=A388)*(E388:E398&gt;0)))),0)</f>
        <v>0</v>
      </c>
      <c r="I388" s="69" cm="1">
        <f t="array" ref="I388">IFERROR(IF(A388=A387,0,SUM(_xlfn._xlws.FILTER(E388:E398,(A388:A398=A388)*(F388&lt;0)))),0)</f>
        <v>0</v>
      </c>
      <c r="J388"/>
      <c r="K388"/>
      <c r="L388"/>
      <c r="M388"/>
      <c r="N388"/>
    </row>
    <row r="389" spans="1:14" hidden="1" x14ac:dyDescent="0.3">
      <c r="A389" s="70">
        <v>45833</v>
      </c>
      <c r="B389" s="6" t="s">
        <v>51</v>
      </c>
      <c r="C389" s="18">
        <v>500</v>
      </c>
      <c r="D389" s="77">
        <v>82.67</v>
      </c>
      <c r="E389" s="67">
        <f ca="1">IFERROR(C389*D389*_xlfn.XLOOKUP(B389,[1]!TabCalc[Ticker],[1]!TabCalc[Scale]),0)</f>
        <v>41335</v>
      </c>
      <c r="F389" s="68" cm="1">
        <f t="array" ref="F389">IF(A389=A388,0,SUM(_xlfn._xlws.FILTER(E389:E399,A389:A399=A389)))</f>
        <v>0</v>
      </c>
      <c r="G389" s="69">
        <f>IF(F389&lt;&gt;0,SUM($F$43:F389),0)</f>
        <v>0</v>
      </c>
      <c r="H389" s="69" cm="1">
        <f t="array" ref="H389">IFERROR(IF(A389=A388,0,SUM(_xlfn._xlws.FILTER(E389:E399,(A389:A399=A389)*(E389:E399&gt;0)))),0)</f>
        <v>0</v>
      </c>
      <c r="I389" s="69" cm="1">
        <f t="array" ref="I389">IFERROR(IF(A389=A388,0,SUM(_xlfn._xlws.FILTER(E389:E399,(A389:A399=A389)*(F389&lt;0)))),0)</f>
        <v>0</v>
      </c>
      <c r="J389"/>
      <c r="K389"/>
      <c r="L389"/>
      <c r="M389"/>
      <c r="N389"/>
    </row>
    <row r="390" spans="1:14" hidden="1" x14ac:dyDescent="0.3">
      <c r="A390" s="70">
        <v>45833</v>
      </c>
      <c r="B390" s="6" t="s">
        <v>69</v>
      </c>
      <c r="C390" s="18">
        <v>20000</v>
      </c>
      <c r="D390" s="77">
        <v>331.3</v>
      </c>
      <c r="E390" s="67">
        <f ca="1">IFERROR(C390*D390*_xlfn.XLOOKUP(B390,[1]!TabCalc[Ticker],[1]!TabCalc[Scale]),0)</f>
        <v>66260</v>
      </c>
      <c r="F390" s="68" cm="1">
        <f t="array" ref="F390">IF(A390=A389,0,SUM(_xlfn._xlws.FILTER(E390:E400,A390:A400=A390)))</f>
        <v>0</v>
      </c>
      <c r="G390" s="69">
        <f>IF(F390&lt;&gt;0,SUM($F$43:F390),0)</f>
        <v>0</v>
      </c>
      <c r="H390" s="69" cm="1">
        <f t="array" ref="H390">IFERROR(IF(A390=A389,0,SUM(_xlfn._xlws.FILTER(E390:E400,(A390:A400=A390)*(E390:E400&gt;0)))),0)</f>
        <v>0</v>
      </c>
      <c r="I390" s="69" cm="1">
        <f t="array" ref="I390">IFERROR(IF(A390=A389,0,SUM(_xlfn._xlws.FILTER(E390:E400,(A390:A400=A390)*(F390&lt;0)))),0)</f>
        <v>0</v>
      </c>
      <c r="J390"/>
      <c r="K390"/>
      <c r="L390"/>
      <c r="M390"/>
      <c r="N390"/>
    </row>
    <row r="391" spans="1:14" hidden="1" x14ac:dyDescent="0.3">
      <c r="A391" s="64">
        <v>45834</v>
      </c>
      <c r="B391" s="5" t="s">
        <v>58</v>
      </c>
      <c r="C391" s="65">
        <v>1500</v>
      </c>
      <c r="D391" s="80">
        <v>-30.22</v>
      </c>
      <c r="E391" s="67">
        <f ca="1">IFERROR(C391*D391*_xlfn.XLOOKUP(B391,[1]!TabCalc[Ticker],[1]!TabCalc[Scale]),0)</f>
        <v>-45330</v>
      </c>
      <c r="F391" s="68" cm="1">
        <f t="array" aca="1" ref="F391" ca="1">IF(A391=A390,0,SUM(_xlfn._xlws.FILTER(E391:E401,A391:A401=A391)))</f>
        <v>160005</v>
      </c>
      <c r="G391" s="69">
        <f ca="1">IF(F391&lt;&gt;0,SUM($F$43:F391),0)</f>
        <v>-3039882.1765729995</v>
      </c>
      <c r="H391" s="69" cm="1">
        <f t="array" aca="1" ref="H391" ca="1">IFERROR(IF(A391=A390,0,SUM(_xlfn._xlws.FILTER(E391:E401,(A391:A401=A391)*(E391:E401&gt;0)))),0)</f>
        <v>245815</v>
      </c>
      <c r="I391" s="69" cm="1">
        <f t="array" aca="1" ref="I391" ca="1">IFERROR(IF(A391=A390,0,SUM(_xlfn._xlws.FILTER(E391:E401,(A391:A401=A391)*(F391&lt;0)))),0)</f>
        <v>0</v>
      </c>
      <c r="J391"/>
      <c r="K391"/>
      <c r="L391"/>
      <c r="M391"/>
      <c r="N391"/>
    </row>
    <row r="392" spans="1:14" hidden="1" x14ac:dyDescent="0.3">
      <c r="A392" s="64">
        <v>45834</v>
      </c>
      <c r="B392" s="5" t="s">
        <v>93</v>
      </c>
      <c r="C392" s="65">
        <v>150</v>
      </c>
      <c r="D392" s="80">
        <v>496.3</v>
      </c>
      <c r="E392" s="67">
        <f ca="1">IFERROR(C392*D392*_xlfn.XLOOKUP(B392,[1]!TabCalc[Ticker],[1]!TabCalc[Scale]),0)</f>
        <v>74445</v>
      </c>
      <c r="F392" s="68" cm="1">
        <f t="array" ref="F392">IF(A392=A391,0,SUM(_xlfn._xlws.FILTER(E392:E402,A392:A402=A392)))</f>
        <v>0</v>
      </c>
      <c r="G392" s="69">
        <f>IF(F392&lt;&gt;0,SUM($F$43:F392),0)</f>
        <v>0</v>
      </c>
      <c r="H392" s="69" cm="1">
        <f t="array" ref="H392">IFERROR(IF(A392=A391,0,SUM(_xlfn._xlws.FILTER(E392:E402,(A392:A402=A392)*(E392:E402&gt;0)))),0)</f>
        <v>0</v>
      </c>
      <c r="I392" s="69" cm="1">
        <f t="array" ref="I392">IFERROR(IF(A392=A391,0,SUM(_xlfn._xlws.FILTER(E392:E402,(A392:A402=A392)*(F392&lt;0)))),0)</f>
        <v>0</v>
      </c>
      <c r="J392"/>
      <c r="K392"/>
      <c r="L392"/>
      <c r="M392"/>
      <c r="N392"/>
    </row>
    <row r="393" spans="1:14" hidden="1" x14ac:dyDescent="0.3">
      <c r="A393" s="64">
        <v>45834</v>
      </c>
      <c r="B393" s="5" t="s">
        <v>106</v>
      </c>
      <c r="C393" s="65">
        <v>40000</v>
      </c>
      <c r="D393" s="80">
        <v>-1.012</v>
      </c>
      <c r="E393" s="67">
        <f ca="1">IFERROR(C393*D393*_xlfn.XLOOKUP(B393,[1]!TabCalc[Ticker],[1]!TabCalc[Scale]),0)</f>
        <v>-40480</v>
      </c>
      <c r="F393" s="68" cm="1">
        <f t="array" ref="F393">IF(A393=A392,0,SUM(_xlfn._xlws.FILTER(E393:E403,A393:A403=A393)))</f>
        <v>0</v>
      </c>
      <c r="G393" s="69">
        <f>IF(F393&lt;&gt;0,SUM($F$43:F393),0)</f>
        <v>0</v>
      </c>
      <c r="H393" s="69" cm="1">
        <f t="array" ref="H393">IFERROR(IF(A393=A392,0,SUM(_xlfn._xlws.FILTER(E393:E403,(A393:A403=A393)*(E393:E403&gt;0)))),0)</f>
        <v>0</v>
      </c>
      <c r="I393" s="69" cm="1">
        <f t="array" ref="I393">IFERROR(IF(A393=A392,0,SUM(_xlfn._xlws.FILTER(E393:E403,(A393:A403=A393)*(F393&lt;0)))),0)</f>
        <v>0</v>
      </c>
      <c r="J393"/>
      <c r="K393"/>
      <c r="L393"/>
      <c r="M393"/>
      <c r="N393"/>
    </row>
    <row r="394" spans="1:14" hidden="1" x14ac:dyDescent="0.3">
      <c r="A394" s="64">
        <v>45834</v>
      </c>
      <c r="B394" s="5" t="s">
        <v>82</v>
      </c>
      <c r="C394" s="65">
        <v>1000</v>
      </c>
      <c r="D394" s="80">
        <v>59.16</v>
      </c>
      <c r="E394" s="67">
        <f ca="1">IFERROR(C394*D394*_xlfn.XLOOKUP(B394,[1]!TabCalc[Ticker],[1]!TabCalc[Scale]),0)</f>
        <v>59160</v>
      </c>
      <c r="F394" s="68" cm="1">
        <f t="array" ref="F394">IF(A394=A393,0,SUM(_xlfn._xlws.FILTER(E394:E404,A394:A404=A394)))</f>
        <v>0</v>
      </c>
      <c r="G394" s="69">
        <f>IF(F394&lt;&gt;0,SUM($F$43:F394),0)</f>
        <v>0</v>
      </c>
      <c r="H394" s="69" cm="1">
        <f t="array" ref="H394">IFERROR(IF(A394=A393,0,SUM(_xlfn._xlws.FILTER(E394:E404,(A394:A404=A394)*(E394:E404&gt;0)))),0)</f>
        <v>0</v>
      </c>
      <c r="I394" s="69" cm="1">
        <f t="array" ref="I394">IFERROR(IF(A394=A393,0,SUM(_xlfn._xlws.FILTER(E394:E404,(A394:A404=A394)*(F394&lt;0)))),0)</f>
        <v>0</v>
      </c>
      <c r="J394"/>
      <c r="K394"/>
      <c r="L394"/>
      <c r="M394"/>
      <c r="N394"/>
    </row>
    <row r="395" spans="1:14" hidden="1" x14ac:dyDescent="0.3">
      <c r="A395" s="64">
        <v>45834</v>
      </c>
      <c r="B395" s="5" t="s">
        <v>31</v>
      </c>
      <c r="C395" s="65">
        <v>500</v>
      </c>
      <c r="D395" s="80">
        <v>224.42</v>
      </c>
      <c r="E395" s="67">
        <f ca="1">IFERROR(C395*D395*_xlfn.XLOOKUP(B395,[1]!TabCalc[Ticker],[1]!TabCalc[Scale]),0)</f>
        <v>112210</v>
      </c>
      <c r="F395" s="68" cm="1">
        <f t="array" ref="F395">IF(A395=A394,0,SUM(_xlfn._xlws.FILTER(E395:E405,A395:A405=A395)))</f>
        <v>0</v>
      </c>
      <c r="G395" s="69">
        <f>IF(F395&lt;&gt;0,SUM($F$43:F395),0)</f>
        <v>0</v>
      </c>
      <c r="H395" s="69" cm="1">
        <f t="array" ref="H395">IFERROR(IF(A395=A394,0,SUM(_xlfn._xlws.FILTER(E395:E405,(A395:A405=A395)*(E395:E405&gt;0)))),0)</f>
        <v>0</v>
      </c>
      <c r="I395" s="69" cm="1">
        <f t="array" ref="I395">IFERROR(IF(A395=A394,0,SUM(_xlfn._xlws.FILTER(E395:E405,(A395:A405=A395)*(F395&lt;0)))),0)</f>
        <v>0</v>
      </c>
      <c r="J395"/>
      <c r="K395"/>
      <c r="L395"/>
      <c r="M395"/>
      <c r="N395"/>
    </row>
    <row r="396" spans="1:14" hidden="1" x14ac:dyDescent="0.3">
      <c r="A396" s="70">
        <v>45835</v>
      </c>
      <c r="B396" s="6" t="s">
        <v>83</v>
      </c>
      <c r="C396" s="18">
        <v>1000</v>
      </c>
      <c r="D396" s="77">
        <v>-27.53</v>
      </c>
      <c r="E396" s="67">
        <f ca="1">IFERROR(C396*D396*_xlfn.XLOOKUP(B396,[1]!TabCalc[Ticker],[1]!TabCalc[Scale]),0)</f>
        <v>-27530</v>
      </c>
      <c r="F396" s="68" cm="1">
        <f t="array" aca="1" ref="F396" ca="1">IF(A396=A395,0,SUM(_xlfn._xlws.FILTER(E396:E406,A396:A406=A396)))</f>
        <v>-27530</v>
      </c>
      <c r="G396" s="69">
        <f ca="1">IF(F396&lt;&gt;0,SUM($F$43:F396),0)</f>
        <v>-3067412.1765729995</v>
      </c>
      <c r="H396" s="69" cm="1">
        <f t="array" aca="1" ref="H396" ca="1">IFERROR(IF(A396=A395,0,SUM(_xlfn._xlws.FILTER(E396:E406,(A396:A406=A396)*(E396:E406&gt;0)))),0)</f>
        <v>0</v>
      </c>
      <c r="I396" s="69" cm="1">
        <f t="array" aca="1" ref="I396" ca="1">IFERROR(IF(A396=A395,0,SUM(_xlfn._xlws.FILTER(E396:E406,(A396:A406=A396)*(F396&lt;0)))),0)</f>
        <v>-27530</v>
      </c>
      <c r="J396"/>
      <c r="K396"/>
      <c r="L396"/>
      <c r="M396"/>
      <c r="N396"/>
    </row>
    <row r="397" spans="1:14" hidden="1" x14ac:dyDescent="0.3">
      <c r="A397" s="64">
        <v>45838</v>
      </c>
      <c r="B397" s="5" t="s">
        <v>40</v>
      </c>
      <c r="C397" s="65">
        <v>2000</v>
      </c>
      <c r="D397" s="80">
        <v>20.52</v>
      </c>
      <c r="E397" s="67">
        <f ca="1">IFERROR(C397*D397*_xlfn.XLOOKUP(B397,[1]!TabCalc[Ticker],[1]!TabCalc[Scale]),0)</f>
        <v>41040</v>
      </c>
      <c r="F397" s="68" cm="1">
        <f t="array" aca="1" ref="F397" ca="1">IF(A397=A396,0,SUM(_xlfn._xlws.FILTER(E397:E407,A397:A407=A397)))</f>
        <v>41040</v>
      </c>
      <c r="G397" s="69">
        <f ca="1">IF(F397&lt;&gt;0,SUM($F$43:F397),0)</f>
        <v>-3026372.1765729995</v>
      </c>
      <c r="H397" s="69" cm="1">
        <f t="array" aca="1" ref="H397" ca="1">IFERROR(IF(A397=A396,0,SUM(_xlfn._xlws.FILTER(E397:E407,(A397:A407=A397)*(E397:E407&gt;0)))),0)</f>
        <v>41040</v>
      </c>
      <c r="I397" s="69" cm="1">
        <f t="array" aca="1" ref="I397" ca="1">IFERROR(IF(A397=A396,0,SUM(_xlfn._xlws.FILTER(E397:E407,(A397:A407=A397)*(F397&lt;0)))),0)</f>
        <v>0</v>
      </c>
      <c r="J397"/>
      <c r="K397"/>
      <c r="L397"/>
      <c r="M397"/>
      <c r="N397"/>
    </row>
    <row r="398" spans="1:14" hidden="1" x14ac:dyDescent="0.3">
      <c r="A398" s="70">
        <v>45841</v>
      </c>
      <c r="B398" s="6" t="s">
        <v>69</v>
      </c>
      <c r="C398" s="18">
        <v>8290</v>
      </c>
      <c r="D398" s="77">
        <v>3.46</v>
      </c>
      <c r="E398" s="67">
        <f ca="1">IFERROR(C398*D398*_xlfn.XLOOKUP(B398,[1]!TabCalc[Ticker],[1]!TabCalc[Scale]),0)</f>
        <v>286.834</v>
      </c>
      <c r="F398" s="68" cm="1">
        <f t="array" aca="1" ref="F398" ca="1">IF(A398=A397,0,SUM(_xlfn._xlws.FILTER(E398:E408,A398:A408=A398)))</f>
        <v>286.834</v>
      </c>
      <c r="G398" s="69">
        <f ca="1">IF(F398&lt;&gt;0,SUM($F$43:F398),0)</f>
        <v>-3026085.3425729997</v>
      </c>
      <c r="H398" s="69" cm="1">
        <f t="array" aca="1" ref="H398" ca="1">IFERROR(IF(A398=A397,0,SUM(_xlfn._xlws.FILTER(E398:E408,(A398:A408=A398)*(E398:E408&gt;0)))),0)</f>
        <v>286.834</v>
      </c>
      <c r="I398" s="69" cm="1">
        <f t="array" aca="1" ref="I398" ca="1">IFERROR(IF(A398=A397,0,SUM(_xlfn._xlws.FILTER(E398:E408,(A398:A408=A398)*(F398&lt;0)))),0)</f>
        <v>0</v>
      </c>
      <c r="J398"/>
      <c r="K398"/>
      <c r="L398"/>
      <c r="M398"/>
      <c r="N398"/>
    </row>
    <row r="399" spans="1:14" hidden="1" x14ac:dyDescent="0.3">
      <c r="A399" s="64">
        <v>45842</v>
      </c>
      <c r="B399" s="5" t="s">
        <v>69</v>
      </c>
      <c r="C399" s="65">
        <v>20000</v>
      </c>
      <c r="D399" s="80">
        <v>345.8</v>
      </c>
      <c r="E399" s="67">
        <f ca="1">IFERROR(C399*D399*_xlfn.XLOOKUP(B399,[1]!TabCalc[Ticker],[1]!TabCalc[Scale]),0)</f>
        <v>69160</v>
      </c>
      <c r="F399" s="68" cm="1">
        <f t="array" aca="1" ref="F399" ca="1">IF(A399=A398,0,SUM(_xlfn._xlws.FILTER(E399:E409,A399:A409=A399)))</f>
        <v>69160</v>
      </c>
      <c r="G399" s="69">
        <f ca="1">IF(F399&lt;&gt;0,SUM($F$43:F399),0)</f>
        <v>-2956925.3425729997</v>
      </c>
      <c r="H399" s="69" cm="1">
        <f t="array" aca="1" ref="H399" ca="1">IFERROR(IF(A399=A398,0,SUM(_xlfn._xlws.FILTER(E399:E409,(A399:A409=A399)*(E399:E409&gt;0)))),0)</f>
        <v>69160</v>
      </c>
      <c r="I399" s="69" cm="1">
        <f t="array" aca="1" ref="I399" ca="1">IFERROR(IF(A399=A398,0,SUM(_xlfn._xlws.FILTER(E399:E409,(A399:A409=A399)*(F399&lt;0)))),0)</f>
        <v>0</v>
      </c>
      <c r="J399"/>
      <c r="K399"/>
      <c r="L399"/>
      <c r="M399"/>
      <c r="N399"/>
    </row>
    <row r="400" spans="1:14" hidden="1" x14ac:dyDescent="0.3">
      <c r="A400" s="70">
        <v>45845</v>
      </c>
      <c r="B400" s="6" t="s">
        <v>44</v>
      </c>
      <c r="C400" s="18">
        <v>330</v>
      </c>
      <c r="D400" s="77">
        <v>122.97</v>
      </c>
      <c r="E400" s="67">
        <f ca="1">IFERROR(C400*D400*_xlfn.XLOOKUP(B400,[1]!TabCalc[Ticker],[1]!TabCalc[Scale]),0)</f>
        <v>40580.1</v>
      </c>
      <c r="F400" s="68" cm="1">
        <f t="array" aca="1" ref="F400" ca="1">IF(A400=A399,0,SUM(_xlfn._xlws.FILTER(E400:E410,A400:A410=A400)))</f>
        <v>40580.1</v>
      </c>
      <c r="G400" s="69">
        <f ca="1">IF(F400&lt;&gt;0,SUM($F$43:F400),0)</f>
        <v>-2916345.2425729996</v>
      </c>
      <c r="H400" s="69" cm="1">
        <f t="array" aca="1" ref="H400" ca="1">IFERROR(IF(A400=A399,0,SUM(_xlfn._xlws.FILTER(E400:E410,(A400:A410=A400)*(E400:E410&gt;0)))),0)</f>
        <v>40580.1</v>
      </c>
      <c r="I400" s="69" cm="1">
        <f t="array" aca="1" ref="I400" ca="1">IFERROR(IF(A400=A399,0,SUM(_xlfn._xlws.FILTER(E400:E410,(A400:A410=A400)*(F400&lt;0)))),0)</f>
        <v>0</v>
      </c>
      <c r="J400"/>
      <c r="K400"/>
      <c r="L400"/>
      <c r="M400"/>
      <c r="N400"/>
    </row>
    <row r="401" spans="1:14" hidden="1" x14ac:dyDescent="0.3">
      <c r="A401" s="64">
        <v>45848</v>
      </c>
      <c r="B401" s="5" t="s">
        <v>63</v>
      </c>
      <c r="C401" s="65">
        <v>10000</v>
      </c>
      <c r="D401" s="80">
        <v>-524.20000000000005</v>
      </c>
      <c r="E401" s="67">
        <f ca="1">IFERROR(C401*D401*_xlfn.XLOOKUP(B401,[1]!TabCalc[Ticker],[1]!TabCalc[Scale]),0)</f>
        <v>-52420</v>
      </c>
      <c r="F401" s="68" cm="1">
        <f t="array" aca="1" ref="F401" ca="1">IF(A401=A400,0,SUM(_xlfn._xlws.FILTER(E401:E411,A401:A411=A401)))</f>
        <v>21420</v>
      </c>
      <c r="G401" s="69">
        <f ca="1">IF(F401&lt;&gt;0,SUM($F$43:F401),0)</f>
        <v>-2894925.2425729996</v>
      </c>
      <c r="H401" s="69" cm="1">
        <f t="array" aca="1" ref="H401" ca="1">IFERROR(IF(A401=A400,0,SUM(_xlfn._xlws.FILTER(E401:E411,(A401:A411=A401)*(E401:E411&gt;0)))),0)</f>
        <v>73840</v>
      </c>
      <c r="I401" s="69" cm="1">
        <f t="array" aca="1" ref="I401" ca="1">IFERROR(IF(A401=A400,0,SUM(_xlfn._xlws.FILTER(E401:E411,(A401:A411=A401)*(F401&lt;0)))),0)</f>
        <v>0</v>
      </c>
      <c r="J401"/>
      <c r="K401"/>
      <c r="L401"/>
      <c r="M401"/>
      <c r="N401"/>
    </row>
    <row r="402" spans="1:14" hidden="1" x14ac:dyDescent="0.3">
      <c r="A402" s="64">
        <v>45848</v>
      </c>
      <c r="B402" s="5" t="s">
        <v>69</v>
      </c>
      <c r="C402" s="65">
        <v>20000</v>
      </c>
      <c r="D402" s="80">
        <v>369.2</v>
      </c>
      <c r="E402" s="67">
        <f ca="1">IFERROR(C402*D402*_xlfn.XLOOKUP(B402,[1]!TabCalc[Ticker],[1]!TabCalc[Scale]),0)</f>
        <v>73840</v>
      </c>
      <c r="F402" s="68" cm="1">
        <f t="array" ref="F402">IF(A402=A401,0,SUM(_xlfn._xlws.FILTER(E402:E412,A402:A412=A402)))</f>
        <v>0</v>
      </c>
      <c r="G402" s="69">
        <f>IF(F402&lt;&gt;0,SUM($F$43:F402),0)</f>
        <v>0</v>
      </c>
      <c r="H402" s="69" cm="1">
        <f t="array" ref="H402">IFERROR(IF(A402=A401,0,SUM(_xlfn._xlws.FILTER(E402:E412,(A402:A412=A402)*(E402:E412&gt;0)))),0)</f>
        <v>0</v>
      </c>
      <c r="I402" s="69" cm="1">
        <f t="array" ref="I402">IFERROR(IF(A402=A401,0,SUM(_xlfn._xlws.FILTER(E402:E412,(A402:A412=A402)*(F402&lt;0)))),0)</f>
        <v>0</v>
      </c>
      <c r="J402"/>
      <c r="K402"/>
      <c r="L402"/>
      <c r="M402"/>
      <c r="N402"/>
    </row>
    <row r="403" spans="1:14" hidden="1" x14ac:dyDescent="0.3">
      <c r="A403" s="70">
        <v>45853</v>
      </c>
      <c r="B403" s="6" t="s">
        <v>94</v>
      </c>
      <c r="C403" s="18">
        <v>5000</v>
      </c>
      <c r="D403" s="77">
        <v>16.068280000000001</v>
      </c>
      <c r="E403" s="67">
        <f ca="1">IFERROR(C403*D403*_xlfn.XLOOKUP(B403,[1]!TabCalc[Ticker],[1]!TabCalc[Scale]),0)</f>
        <v>80341.400000000009</v>
      </c>
      <c r="F403" s="68" cm="1">
        <f t="array" aca="1" ref="F403" ca="1">IF(A403=A402,0,SUM(_xlfn._xlws.FILTER(E403:E413,A403:A413=A403)))</f>
        <v>24371.400000000009</v>
      </c>
      <c r="G403" s="69">
        <f ca="1">IF(F403&lt;&gt;0,SUM($F$43:F403),0)</f>
        <v>-2870553.8425729997</v>
      </c>
      <c r="H403" s="69" cm="1">
        <f t="array" aca="1" ref="H403" ca="1">IFERROR(IF(A403=A402,0,SUM(_xlfn._xlws.FILTER(E403:E413,(A403:A413=A403)*(E403:E413&gt;0)))),0)</f>
        <v>80341.400000000009</v>
      </c>
      <c r="I403" s="69" cm="1">
        <f t="array" aca="1" ref="I403" ca="1">IFERROR(IF(A403=A402,0,SUM(_xlfn._xlws.FILTER(E403:E413,(A403:A413=A403)*(F403&lt;0)))),0)</f>
        <v>0</v>
      </c>
      <c r="J403"/>
      <c r="K403"/>
      <c r="L403"/>
      <c r="M403"/>
      <c r="N403"/>
    </row>
    <row r="404" spans="1:14" hidden="1" x14ac:dyDescent="0.3">
      <c r="A404" s="70">
        <v>45853</v>
      </c>
      <c r="B404" s="6" t="s">
        <v>82</v>
      </c>
      <c r="C404" s="18">
        <v>1000</v>
      </c>
      <c r="D404" s="77">
        <v>-55.97</v>
      </c>
      <c r="E404" s="67">
        <f ca="1">IFERROR(C404*D404*_xlfn.XLOOKUP(B404,[1]!TabCalc[Ticker],[1]!TabCalc[Scale]),0)</f>
        <v>-55970</v>
      </c>
      <c r="F404" s="68" cm="1">
        <f t="array" ref="F404">IF(A404=A403,0,SUM(_xlfn._xlws.FILTER(E404:E414,A404:A414=A404)))</f>
        <v>0</v>
      </c>
      <c r="G404" s="69">
        <f>IF(F404&lt;&gt;0,SUM($F$43:F404),0)</f>
        <v>0</v>
      </c>
      <c r="H404" s="69" cm="1">
        <f t="array" ref="H404">IFERROR(IF(A404=A403,0,SUM(_xlfn._xlws.FILTER(E404:E414,(A404:A414=A404)*(E404:E414&gt;0)))),0)</f>
        <v>0</v>
      </c>
      <c r="I404" s="69" cm="1">
        <f t="array" ref="I404">IFERROR(IF(A404=A403,0,SUM(_xlfn._xlws.FILTER(E404:E414,(A404:A414=A404)*(F404&lt;0)))),0)</f>
        <v>0</v>
      </c>
      <c r="J404"/>
      <c r="K404"/>
      <c r="L404"/>
      <c r="M404"/>
      <c r="N404"/>
    </row>
    <row r="405" spans="1:14" hidden="1" x14ac:dyDescent="0.3">
      <c r="A405" s="64">
        <v>45854</v>
      </c>
      <c r="B405" s="5" t="s">
        <v>69</v>
      </c>
      <c r="C405" s="65">
        <v>250</v>
      </c>
      <c r="D405" s="80">
        <v>386.01</v>
      </c>
      <c r="E405" s="67">
        <f ca="1">IFERROR(C405*D405*_xlfn.XLOOKUP(B405,[1]!TabCalc[Ticker],[1]!TabCalc[Scale]),0)</f>
        <v>965.02499999999998</v>
      </c>
      <c r="F405" s="68" cm="1">
        <f t="array" aca="1" ref="F405" ca="1">IF(A405=A404,0,SUM(_xlfn._xlws.FILTER(E405:E415,A405:A415=A405)))</f>
        <v>965.02499999999998</v>
      </c>
      <c r="G405" s="69">
        <f ca="1">IF(F405&lt;&gt;0,SUM($F$43:F405),0)</f>
        <v>-2869588.8175729997</v>
      </c>
      <c r="H405" s="69" cm="1">
        <f t="array" aca="1" ref="H405" ca="1">IFERROR(IF(A405=A404,0,SUM(_xlfn._xlws.FILTER(E405:E415,(A405:A415=A405)*(E405:E415&gt;0)))),0)</f>
        <v>965.02499999999998</v>
      </c>
      <c r="I405" s="69" cm="1">
        <f t="array" aca="1" ref="I405" ca="1">IFERROR(IF(A405=A404,0,SUM(_xlfn._xlws.FILTER(E405:E415,(A405:A415=A405)*(F405&lt;0)))),0)</f>
        <v>0</v>
      </c>
      <c r="J405"/>
      <c r="K405"/>
      <c r="L405"/>
      <c r="M405"/>
      <c r="N405"/>
    </row>
    <row r="406" spans="1:14" hidden="1" x14ac:dyDescent="0.3">
      <c r="A406" s="70">
        <v>45855</v>
      </c>
      <c r="B406" s="6" t="s">
        <v>92</v>
      </c>
      <c r="C406" s="18">
        <v>190</v>
      </c>
      <c r="D406" s="77">
        <v>-14.25</v>
      </c>
      <c r="E406" s="67">
        <f ca="1">IFERROR(C406*D406*_xlfn.XLOOKUP(B406,[1]!TabCalc[Ticker],[1]!TabCalc[Scale]),0)</f>
        <v>-2707.5</v>
      </c>
      <c r="F406" s="68" cm="1">
        <f t="array" aca="1" ref="F406" ca="1">IF(A406=A405,0,SUM(_xlfn._xlws.FILTER(E406:E416,A406:A416=A406)))</f>
        <v>334724.875</v>
      </c>
      <c r="G406" s="69">
        <f ca="1">IF(F406&lt;&gt;0,SUM($F$43:F406),0)</f>
        <v>-2534863.9425729997</v>
      </c>
      <c r="H406" s="69" cm="1">
        <f t="array" aca="1" ref="H406" ca="1">IFERROR(IF(A406=A405,0,SUM(_xlfn._xlws.FILTER(E406:E416,(A406:A416=A406)*(E406:E416&gt;0)))),0)</f>
        <v>389693.47499999998</v>
      </c>
      <c r="I406" s="69" cm="1">
        <f t="array" aca="1" ref="I406" ca="1">IFERROR(IF(A406=A405,0,SUM(_xlfn._xlws.FILTER(E406:E416,(A406:A416=A406)*(F406&lt;0)))),0)</f>
        <v>0</v>
      </c>
      <c r="J406"/>
      <c r="K406"/>
      <c r="L406"/>
      <c r="M406"/>
      <c r="N406"/>
    </row>
    <row r="407" spans="1:14" hidden="1" x14ac:dyDescent="0.3">
      <c r="A407" s="70">
        <v>45855</v>
      </c>
      <c r="B407" s="6" t="s">
        <v>96</v>
      </c>
      <c r="C407" s="18">
        <v>2500</v>
      </c>
      <c r="D407" s="77">
        <v>6.5</v>
      </c>
      <c r="E407" s="67">
        <f ca="1">IFERROR(C407*D407*_xlfn.XLOOKUP(B407,[1]!TabCalc[Ticker],[1]!TabCalc[Scale]),0)</f>
        <v>16250</v>
      </c>
      <c r="F407" s="68" cm="1">
        <f t="array" ref="F407">IF(A407=A406,0,SUM(_xlfn._xlws.FILTER(E407:E417,A407:A417=A407)))</f>
        <v>0</v>
      </c>
      <c r="G407" s="69">
        <f>IF(F407&lt;&gt;0,SUM($F$43:F407),0)</f>
        <v>0</v>
      </c>
      <c r="H407" s="69" cm="1">
        <f t="array" ref="H407">IFERROR(IF(A407=A406,0,SUM(_xlfn._xlws.FILTER(E407:E417,(A407:A417=A407)*(E407:E417&gt;0)))),0)</f>
        <v>0</v>
      </c>
      <c r="I407" s="69" cm="1">
        <f t="array" ref="I407">IFERROR(IF(A407=A406,0,SUM(_xlfn._xlws.FILTER(E407:E417,(A407:A417=A407)*(F407&lt;0)))),0)</f>
        <v>0</v>
      </c>
      <c r="J407"/>
      <c r="K407"/>
      <c r="L407"/>
      <c r="M407"/>
      <c r="N407"/>
    </row>
    <row r="408" spans="1:14" hidden="1" x14ac:dyDescent="0.3">
      <c r="A408" s="70">
        <v>45855</v>
      </c>
      <c r="B408" s="6" t="s">
        <v>75</v>
      </c>
      <c r="C408" s="18">
        <v>5000</v>
      </c>
      <c r="D408" s="77">
        <v>15.95</v>
      </c>
      <c r="E408" s="67">
        <f ca="1">IFERROR(C408*D408*_xlfn.XLOOKUP(B408,[1]!TabCalc[Ticker],[1]!TabCalc[Scale]),0)</f>
        <v>79750</v>
      </c>
      <c r="F408" s="68" cm="1">
        <f t="array" ref="F408">IF(A408=A407,0,SUM(_xlfn._xlws.FILTER(E408:E418,A408:A418=A408)))</f>
        <v>0</v>
      </c>
      <c r="G408" s="69">
        <f>IF(F408&lt;&gt;0,SUM($F$43:F408),0)</f>
        <v>0</v>
      </c>
      <c r="H408" s="69" cm="1">
        <f t="array" ref="H408">IFERROR(IF(A408=A407,0,SUM(_xlfn._xlws.FILTER(E408:E418,(A408:A418=A408)*(E408:E418&gt;0)))),0)</f>
        <v>0</v>
      </c>
      <c r="I408" s="69" cm="1">
        <f t="array" ref="I408">IFERROR(IF(A408=A407,0,SUM(_xlfn._xlws.FILTER(E408:E418,(A408:A418=A408)*(F408&lt;0)))),0)</f>
        <v>0</v>
      </c>
      <c r="J408"/>
      <c r="K408"/>
      <c r="L408"/>
      <c r="M408"/>
      <c r="N408"/>
    </row>
    <row r="409" spans="1:14" hidden="1" x14ac:dyDescent="0.3">
      <c r="A409" s="70">
        <v>45855</v>
      </c>
      <c r="B409" s="6" t="s">
        <v>69</v>
      </c>
      <c r="C409" s="18">
        <v>9750</v>
      </c>
      <c r="D409" s="77">
        <v>383.01</v>
      </c>
      <c r="E409" s="67">
        <f ca="1">IFERROR(C409*D409*_xlfn.XLOOKUP(B409,[1]!TabCalc[Ticker],[1]!TabCalc[Scale]),0)</f>
        <v>37343.474999999999</v>
      </c>
      <c r="F409" s="68" cm="1">
        <f t="array" ref="F409">IF(A409=A408,0,SUM(_xlfn._xlws.FILTER(E409:E419,A409:A419=A409)))</f>
        <v>0</v>
      </c>
      <c r="G409" s="69">
        <f>IF(F409&lt;&gt;0,SUM($F$43:F409),0)</f>
        <v>0</v>
      </c>
      <c r="H409" s="69" cm="1">
        <f t="array" ref="H409">IFERROR(IF(A409=A408,0,SUM(_xlfn._xlws.FILTER(E409:E419,(A409:A419=A409)*(E409:E419&gt;0)))),0)</f>
        <v>0</v>
      </c>
      <c r="I409" s="69" cm="1">
        <f t="array" ref="I409">IFERROR(IF(A409=A408,0,SUM(_xlfn._xlws.FILTER(E409:E419,(A409:A419=A409)*(F409&lt;0)))),0)</f>
        <v>0</v>
      </c>
      <c r="J409"/>
      <c r="K409"/>
      <c r="L409"/>
      <c r="M409"/>
      <c r="N409"/>
    </row>
    <row r="410" spans="1:14" hidden="1" x14ac:dyDescent="0.3">
      <c r="A410" s="70">
        <v>45855</v>
      </c>
      <c r="B410" s="6" t="s">
        <v>90</v>
      </c>
      <c r="C410" s="18">
        <v>500</v>
      </c>
      <c r="D410" s="77">
        <v>265.05</v>
      </c>
      <c r="E410" s="67">
        <f ca="1">IFERROR(C410*D410*_xlfn.XLOOKUP(B410,[1]!TabCalc[Ticker],[1]!TabCalc[Scale]),0)</f>
        <v>132525</v>
      </c>
      <c r="F410" s="68" cm="1">
        <f t="array" ref="F410">IF(A410=A409,0,SUM(_xlfn._xlws.FILTER(E410:E420,A410:A420=A410)))</f>
        <v>0</v>
      </c>
      <c r="G410" s="69">
        <f>IF(F410&lt;&gt;0,SUM($F$43:F410),0)</f>
        <v>0</v>
      </c>
      <c r="H410" s="69" cm="1">
        <f t="array" ref="H410">IFERROR(IF(A410=A409,0,SUM(_xlfn._xlws.FILTER(E410:E420,(A410:A420=A410)*(E410:E420&gt;0)))),0)</f>
        <v>0</v>
      </c>
      <c r="I410" s="69" cm="1">
        <f t="array" ref="I410">IFERROR(IF(A410=A409,0,SUM(_xlfn._xlws.FILTER(E410:E420,(A410:A420=A410)*(F410&lt;0)))),0)</f>
        <v>0</v>
      </c>
      <c r="J410"/>
      <c r="K410"/>
      <c r="L410"/>
      <c r="M410"/>
      <c r="N410"/>
    </row>
    <row r="411" spans="1:14" hidden="1" x14ac:dyDescent="0.3">
      <c r="A411" s="70">
        <v>45855</v>
      </c>
      <c r="B411" s="6" t="s">
        <v>31</v>
      </c>
      <c r="C411" s="18">
        <v>500</v>
      </c>
      <c r="D411" s="77">
        <v>247.65</v>
      </c>
      <c r="E411" s="67">
        <f ca="1">IFERROR(C411*D411*_xlfn.XLOOKUP(B411,[1]!TabCalc[Ticker],[1]!TabCalc[Scale]),0)</f>
        <v>123825</v>
      </c>
      <c r="F411" s="68" cm="1">
        <f t="array" ref="F411">IF(A411=A410,0,SUM(_xlfn._xlws.FILTER(E411:E421,A411:A421=A411)))</f>
        <v>0</v>
      </c>
      <c r="G411" s="69">
        <f>IF(F411&lt;&gt;0,SUM($F$43:F411),0)</f>
        <v>0</v>
      </c>
      <c r="H411" s="69" cm="1">
        <f t="array" ref="H411">IFERROR(IF(A411=A410,0,SUM(_xlfn._xlws.FILTER(E411:E421,(A411:A421=A411)*(E411:E421&gt;0)))),0)</f>
        <v>0</v>
      </c>
      <c r="I411" s="69" cm="1">
        <f t="array" ref="I411">IFERROR(IF(A411=A410,0,SUM(_xlfn._xlws.FILTER(E411:E421,(A411:A421=A411)*(F411&lt;0)))),0)</f>
        <v>0</v>
      </c>
      <c r="J411"/>
      <c r="K411"/>
      <c r="L411"/>
      <c r="M411"/>
      <c r="N411"/>
    </row>
    <row r="412" spans="1:14" hidden="1" x14ac:dyDescent="0.3">
      <c r="A412" s="70">
        <v>45855</v>
      </c>
      <c r="B412" s="6" t="s">
        <v>68</v>
      </c>
      <c r="C412" s="18">
        <v>9</v>
      </c>
      <c r="D412" s="77">
        <v>-37.9</v>
      </c>
      <c r="E412" s="67">
        <f ca="1">IFERROR(C412*D412*_xlfn.XLOOKUP(B412,[1]!TabCalc[Ticker],[1]!TabCalc[Scale]),0)</f>
        <v>-341.09999999999997</v>
      </c>
      <c r="F412" s="68" cm="1">
        <f t="array" ref="F412">IF(A412=A411,0,SUM(_xlfn._xlws.FILTER(E412:E422,A412:A422=A412)))</f>
        <v>0</v>
      </c>
      <c r="G412" s="69">
        <f>IF(F412&lt;&gt;0,SUM($F$43:F412),0)</f>
        <v>0</v>
      </c>
      <c r="H412" s="69" cm="1">
        <f t="array" ref="H412">IFERROR(IF(A412=A411,0,SUM(_xlfn._xlws.FILTER(E412:E422,(A412:A422=A412)*(E412:E422&gt;0)))),0)</f>
        <v>0</v>
      </c>
      <c r="I412" s="69" cm="1">
        <f t="array" ref="I412">IFERROR(IF(A412=A411,0,SUM(_xlfn._xlws.FILTER(E412:E422,(A412:A422=A412)*(F412&lt;0)))),0)</f>
        <v>0</v>
      </c>
      <c r="J412"/>
      <c r="K412"/>
      <c r="L412"/>
      <c r="M412"/>
      <c r="N412"/>
    </row>
    <row r="413" spans="1:14" hidden="1" x14ac:dyDescent="0.3">
      <c r="A413" s="70">
        <v>45855</v>
      </c>
      <c r="B413" s="6" t="s">
        <v>91</v>
      </c>
      <c r="C413" s="18">
        <v>200</v>
      </c>
      <c r="D413" s="77">
        <v>-259.60000000000002</v>
      </c>
      <c r="E413" s="67">
        <f ca="1">IFERROR(C413*D413*_xlfn.XLOOKUP(B413,[1]!TabCalc[Ticker],[1]!TabCalc[Scale]),0)</f>
        <v>-51920.000000000007</v>
      </c>
      <c r="F413" s="68" cm="1">
        <f t="array" ref="F413">IF(A413=A412,0,SUM(_xlfn._xlws.FILTER(E413:E423,A413:A423=A413)))</f>
        <v>0</v>
      </c>
      <c r="G413" s="69">
        <f>IF(F413&lt;&gt;0,SUM($F$43:F413),0)</f>
        <v>0</v>
      </c>
      <c r="H413" s="69" cm="1">
        <f t="array" ref="H413">IFERROR(IF(A413=A412,0,SUM(_xlfn._xlws.FILTER(E413:E423,(A413:A423=A413)*(E413:E423&gt;0)))),0)</f>
        <v>0</v>
      </c>
      <c r="I413" s="69" cm="1">
        <f t="array" ref="I413">IFERROR(IF(A413=A412,0,SUM(_xlfn._xlws.FILTER(E413:E423,(A413:A423=A413)*(F413&lt;0)))),0)</f>
        <v>0</v>
      </c>
      <c r="J413"/>
      <c r="K413"/>
      <c r="L413"/>
      <c r="M413"/>
      <c r="N413"/>
    </row>
    <row r="414" spans="1:14" hidden="1" x14ac:dyDescent="0.3">
      <c r="A414" s="64">
        <v>45856</v>
      </c>
      <c r="B414" s="5" t="s">
        <v>30</v>
      </c>
      <c r="C414" s="65">
        <v>100</v>
      </c>
      <c r="D414" s="80">
        <v>-632.95000000000005</v>
      </c>
      <c r="E414" s="67">
        <f ca="1">IFERROR(C414*D414*_xlfn.XLOOKUP(B414,[1]!TabCalc[Ticker],[1]!TabCalc[Scale]),0)</f>
        <v>-63295.000000000007</v>
      </c>
      <c r="F414" s="68" cm="1">
        <f t="array" aca="1" ref="F414" ca="1">IF(A414=A413,0,SUM(_xlfn._xlws.FILTER(E414:E424,A414:A424=A414)))</f>
        <v>-811179.82000000007</v>
      </c>
      <c r="G414" s="69">
        <f ca="1">IF(F414&lt;&gt;0,SUM($F$43:F414),0)</f>
        <v>-3346043.762573</v>
      </c>
      <c r="H414" s="69" cm="1">
        <f t="array" aca="1" ref="H414" ca="1">IFERROR(IF(A414=A413,0,SUM(_xlfn._xlws.FILTER(E414:E424,(A414:A424=A414)*(E414:E424&gt;0)))),0)</f>
        <v>0</v>
      </c>
      <c r="I414" s="69" cm="1">
        <f t="array" aca="1" ref="I414" ca="1">IFERROR(IF(A414=A413,0,SUM(_xlfn._xlws.FILTER(E414:E424,(A414:A424=A414)*(F414&lt;0)))),0)</f>
        <v>-811179.82000000007</v>
      </c>
      <c r="J414"/>
      <c r="K414"/>
      <c r="L414"/>
      <c r="M414"/>
      <c r="N414"/>
    </row>
    <row r="415" spans="1:14" hidden="1" x14ac:dyDescent="0.3">
      <c r="A415" s="64">
        <v>45856</v>
      </c>
      <c r="B415" s="5" t="s">
        <v>30</v>
      </c>
      <c r="C415" s="65">
        <v>200</v>
      </c>
      <c r="D415" s="80">
        <v>-645.5</v>
      </c>
      <c r="E415" s="67">
        <f ca="1">IFERROR(C415*D415*_xlfn.XLOOKUP(B415,[1]!TabCalc[Ticker],[1]!TabCalc[Scale]),0)</f>
        <v>-129100</v>
      </c>
      <c r="F415" s="68" cm="1">
        <f t="array" ref="F415">IF(A415=A414,0,SUM(_xlfn._xlws.FILTER(E415:E425,A415:A425=A415)))</f>
        <v>0</v>
      </c>
      <c r="G415" s="69">
        <f>IF(F415&lt;&gt;0,SUM($F$43:F415),0)</f>
        <v>0</v>
      </c>
      <c r="H415" s="69" cm="1">
        <f t="array" ref="H415">IFERROR(IF(A415=A414,0,SUM(_xlfn._xlws.FILTER(E415:E425,(A415:A425=A415)*(E415:E425&gt;0)))),0)</f>
        <v>0</v>
      </c>
      <c r="I415" s="69" cm="1">
        <f t="array" ref="I415">IFERROR(IF(A415=A414,0,SUM(_xlfn._xlws.FILTER(E415:E425,(A415:A425=A415)*(F415&lt;0)))),0)</f>
        <v>0</v>
      </c>
      <c r="J415"/>
      <c r="K415"/>
      <c r="L415"/>
      <c r="M415"/>
      <c r="N415"/>
    </row>
    <row r="416" spans="1:14" hidden="1" x14ac:dyDescent="0.3">
      <c r="A416" s="64">
        <v>45856</v>
      </c>
      <c r="B416" s="5" t="s">
        <v>68</v>
      </c>
      <c r="C416" s="65">
        <v>39</v>
      </c>
      <c r="D416" s="80">
        <v>-37.424999999999997</v>
      </c>
      <c r="E416" s="67">
        <f ca="1">IFERROR(C416*D416*_xlfn.XLOOKUP(B416,[1]!TabCalc[Ticker],[1]!TabCalc[Scale]),0)</f>
        <v>-1459.5749999999998</v>
      </c>
      <c r="F416" s="68" cm="1">
        <f t="array" ref="F416">IF(A416=A415,0,SUM(_xlfn._xlws.FILTER(E416:E426,A416:A426=A416)))</f>
        <v>0</v>
      </c>
      <c r="G416" s="69">
        <f>IF(F416&lt;&gt;0,SUM($F$43:F416),0)</f>
        <v>0</v>
      </c>
      <c r="H416" s="69" cm="1">
        <f t="array" ref="H416">IFERROR(IF(A416=A415,0,SUM(_xlfn._xlws.FILTER(E416:E426,(A416:A426=A416)*(E416:E426&gt;0)))),0)</f>
        <v>0</v>
      </c>
      <c r="I416" s="69" cm="1">
        <f t="array" ref="I416">IFERROR(IF(A416=A415,0,SUM(_xlfn._xlws.FILTER(E416:E426,(A416:A426=A416)*(F416&lt;0)))),0)</f>
        <v>0</v>
      </c>
      <c r="J416"/>
      <c r="K416"/>
      <c r="L416"/>
      <c r="M416"/>
      <c r="N416"/>
    </row>
    <row r="417" spans="1:14" hidden="1" x14ac:dyDescent="0.3">
      <c r="A417" s="64">
        <v>45856</v>
      </c>
      <c r="B417" s="5" t="s">
        <v>72</v>
      </c>
      <c r="C417" s="65">
        <v>350</v>
      </c>
      <c r="D417" s="80">
        <v>-37.240699999999997</v>
      </c>
      <c r="E417" s="67">
        <f ca="1">IFERROR(C417*D417*_xlfn.XLOOKUP(B417,[1]!TabCalc[Ticker],[1]!TabCalc[Scale]),0)</f>
        <v>-13034.244999999999</v>
      </c>
      <c r="F417" s="68" cm="1">
        <f t="array" ref="F417">IF(A417=A416,0,SUM(_xlfn._xlws.FILTER(E417:E427,A417:A427=A417)))</f>
        <v>0</v>
      </c>
      <c r="G417" s="69">
        <f>IF(F417&lt;&gt;0,SUM($F$43:F417),0)</f>
        <v>0</v>
      </c>
      <c r="H417" s="69" cm="1">
        <f t="array" ref="H417">IFERROR(IF(A417=A416,0,SUM(_xlfn._xlws.FILTER(E417:E427,(A417:A427=A417)*(E417:E427&gt;0)))),0)</f>
        <v>0</v>
      </c>
      <c r="I417" s="69" cm="1">
        <f t="array" ref="I417">IFERROR(IF(A417=A416,0,SUM(_xlfn._xlws.FILTER(E417:E427,(A417:A427=A417)*(F417&lt;0)))),0)</f>
        <v>0</v>
      </c>
      <c r="J417"/>
      <c r="K417"/>
      <c r="L417"/>
      <c r="M417"/>
      <c r="N417"/>
    </row>
    <row r="418" spans="1:14" hidden="1" x14ac:dyDescent="0.3">
      <c r="A418" s="64">
        <v>45856</v>
      </c>
      <c r="B418" s="5" t="s">
        <v>95</v>
      </c>
      <c r="C418" s="65">
        <v>400</v>
      </c>
      <c r="D418" s="80">
        <v>-1208.99</v>
      </c>
      <c r="E418" s="67">
        <f ca="1">IFERROR(C418*D418*_xlfn.XLOOKUP(B418,[1]!TabCalc[Ticker],[1]!TabCalc[Scale]),0)</f>
        <v>-483596</v>
      </c>
      <c r="F418" s="68" cm="1">
        <f t="array" ref="F418">IF(A418=A417,0,SUM(_xlfn._xlws.FILTER(E418:E428,A418:A428=A418)))</f>
        <v>0</v>
      </c>
      <c r="G418" s="69">
        <f>IF(F418&lt;&gt;0,SUM($F$43:F418),0)</f>
        <v>0</v>
      </c>
      <c r="H418" s="69" cm="1">
        <f t="array" ref="H418">IFERROR(IF(A418=A417,0,SUM(_xlfn._xlws.FILTER(E418:E428,(A418:A428=A418)*(E418:E428&gt;0)))),0)</f>
        <v>0</v>
      </c>
      <c r="I418" s="69" cm="1">
        <f t="array" ref="I418">IFERROR(IF(A418=A417,0,SUM(_xlfn._xlws.FILTER(E418:E428,(A418:A428=A418)*(F418&lt;0)))),0)</f>
        <v>0</v>
      </c>
      <c r="J418"/>
      <c r="K418"/>
      <c r="L418"/>
      <c r="M418"/>
      <c r="N418"/>
    </row>
    <row r="419" spans="1:14" hidden="1" x14ac:dyDescent="0.3">
      <c r="A419" s="64">
        <v>45856</v>
      </c>
      <c r="B419" s="5" t="s">
        <v>31</v>
      </c>
      <c r="C419" s="65">
        <v>500</v>
      </c>
      <c r="D419" s="80">
        <v>-241.39</v>
      </c>
      <c r="E419" s="67">
        <f ca="1">IFERROR(C419*D419*_xlfn.XLOOKUP(B419,[1]!TabCalc[Ticker],[1]!TabCalc[Scale]),0)</f>
        <v>-120695</v>
      </c>
      <c r="F419" s="68" cm="1">
        <f t="array" ref="F419">IF(A419=A418,0,SUM(_xlfn._xlws.FILTER(E419:E429,A419:A429=A419)))</f>
        <v>0</v>
      </c>
      <c r="G419" s="69">
        <f>IF(F419&lt;&gt;0,SUM($F$43:F419),0)</f>
        <v>0</v>
      </c>
      <c r="H419" s="69" cm="1">
        <f t="array" ref="H419">IFERROR(IF(A419=A418,0,SUM(_xlfn._xlws.FILTER(E419:E429,(A419:A429=A419)*(E419:E429&gt;0)))),0)</f>
        <v>0</v>
      </c>
      <c r="I419" s="69" cm="1">
        <f t="array" ref="I419">IFERROR(IF(A419=A418,0,SUM(_xlfn._xlws.FILTER(E419:E429,(A419:A429=A419)*(F419&lt;0)))),0)</f>
        <v>0</v>
      </c>
      <c r="J419"/>
      <c r="K419"/>
      <c r="L419"/>
      <c r="M419"/>
      <c r="N419"/>
    </row>
    <row r="420" spans="1:14" hidden="1" x14ac:dyDescent="0.3">
      <c r="A420" s="70">
        <v>45859</v>
      </c>
      <c r="B420" s="6" t="s">
        <v>107</v>
      </c>
      <c r="C420" s="18">
        <v>4000</v>
      </c>
      <c r="D420" s="77">
        <v>-14.48</v>
      </c>
      <c r="E420" s="67">
        <f ca="1">IFERROR(C420*D420*_xlfn.XLOOKUP(B420,[1]!TabCalc[Ticker],[1]!TabCalc[Scale]),0)</f>
        <v>-57920</v>
      </c>
      <c r="F420" s="68" cm="1">
        <f t="array" aca="1" ref="F420" ca="1">IF(A420=A419,0,SUM(_xlfn._xlws.FILTER(E420:E430,A420:A430=A420)))</f>
        <v>-196609.1</v>
      </c>
      <c r="G420" s="69">
        <f ca="1">IF(F420&lt;&gt;0,SUM($F$43:F420),0)</f>
        <v>-3542652.8625730001</v>
      </c>
      <c r="H420" s="69" cm="1">
        <f t="array" aca="1" ref="H420" ca="1">IFERROR(IF(A420=A419,0,SUM(_xlfn._xlws.FILTER(E420:E430,(A420:A430=A420)*(E420:E430&gt;0)))),0)</f>
        <v>0</v>
      </c>
      <c r="I420" s="69" cm="1">
        <f t="array" aca="1" ref="I420" ca="1">IFERROR(IF(A420=A419,0,SUM(_xlfn._xlws.FILTER(E420:E430,(A420:A430=A420)*(F420&lt;0)))),0)</f>
        <v>-196609.1</v>
      </c>
      <c r="J420"/>
      <c r="K420"/>
      <c r="L420"/>
      <c r="M420"/>
      <c r="N420"/>
    </row>
    <row r="421" spans="1:14" hidden="1" x14ac:dyDescent="0.3">
      <c r="A421" s="70">
        <v>45859</v>
      </c>
      <c r="B421" s="6" t="s">
        <v>108</v>
      </c>
      <c r="C421" s="18">
        <v>990</v>
      </c>
      <c r="D421" s="77">
        <v>-140.09</v>
      </c>
      <c r="E421" s="67">
        <f ca="1">IFERROR(C421*D421*_xlfn.XLOOKUP(B421,[1]!TabCalc[Ticker],[1]!TabCalc[Scale]),0)</f>
        <v>-138689.1</v>
      </c>
      <c r="F421" s="68" cm="1">
        <f t="array" ref="F421">IF(A421=A420,0,SUM(_xlfn._xlws.FILTER(E421:E431,A421:A431=A421)))</f>
        <v>0</v>
      </c>
      <c r="G421" s="69">
        <f>IF(F421&lt;&gt;0,SUM($F$43:F421),0)</f>
        <v>0</v>
      </c>
      <c r="H421" s="69" cm="1">
        <f t="array" ref="H421">IFERROR(IF(A421=A420,0,SUM(_xlfn._xlws.FILTER(E421:E431,(A421:A431=A421)*(E421:E431&gt;0)))),0)</f>
        <v>0</v>
      </c>
      <c r="I421" s="69" cm="1">
        <f t="array" ref="I421">IFERROR(IF(A421=A420,0,SUM(_xlfn._xlws.FILTER(E421:E431,(A421:A431=A421)*(F421&lt;0)))),0)</f>
        <v>0</v>
      </c>
      <c r="J421"/>
      <c r="K421"/>
      <c r="L421"/>
      <c r="M421"/>
      <c r="N421"/>
    </row>
    <row r="422" spans="1:14" hidden="1" x14ac:dyDescent="0.3">
      <c r="A422" s="64">
        <v>45860</v>
      </c>
      <c r="B422" s="5" t="s">
        <v>30</v>
      </c>
      <c r="C422" s="65">
        <v>300</v>
      </c>
      <c r="D422" s="80">
        <v>-602.54999999999995</v>
      </c>
      <c r="E422" s="67">
        <f ca="1">IFERROR(C422*D422*_xlfn.XLOOKUP(B422,[1]!TabCalc[Ticker],[1]!TabCalc[Scale]),0)</f>
        <v>-180765</v>
      </c>
      <c r="F422" s="68" cm="1">
        <f t="array" aca="1" ref="F422" ca="1">IF(A422=A421,0,SUM(_xlfn._xlws.FILTER(E422:E432,A422:A432=A422)))</f>
        <v>-180765</v>
      </c>
      <c r="G422" s="69">
        <f ca="1">IF(F422&lt;&gt;0,SUM($F$43:F422),0)</f>
        <v>-3723417.8625730001</v>
      </c>
      <c r="H422" s="69" cm="1">
        <f t="array" aca="1" ref="H422" ca="1">IFERROR(IF(A422=A421,0,SUM(_xlfn._xlws.FILTER(E422:E432,(A422:A432=A422)*(E422:E432&gt;0)))),0)</f>
        <v>0</v>
      </c>
      <c r="I422" s="69" cm="1">
        <f t="array" aca="1" ref="I422" ca="1">IFERROR(IF(A422=A421,0,SUM(_xlfn._xlws.FILTER(E422:E432,(A422:A432=A422)*(F422&lt;0)))),0)</f>
        <v>-180765</v>
      </c>
      <c r="J422"/>
      <c r="K422"/>
      <c r="L422"/>
      <c r="M422"/>
      <c r="N422"/>
    </row>
    <row r="423" spans="1:14" hidden="1" x14ac:dyDescent="0.3">
      <c r="A423" s="70">
        <v>45861</v>
      </c>
      <c r="B423" s="6" t="s">
        <v>91</v>
      </c>
      <c r="C423" s="18">
        <v>200</v>
      </c>
      <c r="D423" s="77">
        <v>-250.9</v>
      </c>
      <c r="E423" s="67">
        <f ca="1">IFERROR(C423*D423*_xlfn.XLOOKUP(B423,[1]!TabCalc[Ticker],[1]!TabCalc[Scale]),0)</f>
        <v>-50180</v>
      </c>
      <c r="F423" s="68" cm="1">
        <f t="array" aca="1" ref="F423" ca="1">IF(A423=A422,0,SUM(_xlfn._xlws.FILTER(E423:E433,A423:A433=A423)))</f>
        <v>-393285</v>
      </c>
      <c r="G423" s="69">
        <f ca="1">IF(F423&lt;&gt;0,SUM($F$43:F423),0)</f>
        <v>-4116702.8625730001</v>
      </c>
      <c r="H423" s="69" cm="1">
        <f t="array" aca="1" ref="H423" ca="1">IFERROR(IF(A423=A422,0,SUM(_xlfn._xlws.FILTER(E423:E433,(A423:A433=A423)*(E423:E433&gt;0)))),0)</f>
        <v>0</v>
      </c>
      <c r="I423" s="69" cm="1">
        <f t="array" aca="1" ref="I423" ca="1">IFERROR(IF(A423=A422,0,SUM(_xlfn._xlws.FILTER(E423:E433,(A423:A433=A423)*(F423&lt;0)))),0)</f>
        <v>-393285</v>
      </c>
      <c r="J423"/>
      <c r="K423"/>
      <c r="L423"/>
      <c r="M423"/>
      <c r="N423"/>
    </row>
    <row r="424" spans="1:14" hidden="1" x14ac:dyDescent="0.3">
      <c r="A424" s="70">
        <v>45861</v>
      </c>
      <c r="B424" s="6" t="s">
        <v>90</v>
      </c>
      <c r="C424" s="18">
        <v>500</v>
      </c>
      <c r="D424" s="77">
        <v>-250.85</v>
      </c>
      <c r="E424" s="67">
        <f ca="1">IFERROR(C424*D424*_xlfn.XLOOKUP(B424,[1]!TabCalc[Ticker],[1]!TabCalc[Scale]),0)</f>
        <v>-125425</v>
      </c>
      <c r="F424" s="68" cm="1">
        <f t="array" ref="F424">IF(A424=A423,0,SUM(_xlfn._xlws.FILTER(E424:E434,A424:A434=A424)))</f>
        <v>0</v>
      </c>
      <c r="G424" s="69">
        <f>IF(F424&lt;&gt;0,SUM($F$43:F424),0)</f>
        <v>0</v>
      </c>
      <c r="H424" s="69" cm="1">
        <f t="array" ref="H424">IFERROR(IF(A424=A423,0,SUM(_xlfn._xlws.FILTER(E424:E434,(A424:A434=A424)*(E424:E434&gt;0)))),0)</f>
        <v>0</v>
      </c>
      <c r="I424" s="69" cm="1">
        <f t="array" ref="I424">IFERROR(IF(A424=A423,0,SUM(_xlfn._xlws.FILTER(E424:E434,(A424:A434=A424)*(F424&lt;0)))),0)</f>
        <v>0</v>
      </c>
      <c r="J424"/>
      <c r="K424"/>
      <c r="L424"/>
      <c r="M424"/>
      <c r="N424"/>
    </row>
    <row r="425" spans="1:14" hidden="1" x14ac:dyDescent="0.3">
      <c r="A425" s="70">
        <v>45861</v>
      </c>
      <c r="B425" s="6" t="s">
        <v>32</v>
      </c>
      <c r="C425" s="18">
        <v>3000</v>
      </c>
      <c r="D425" s="77">
        <v>-72.56</v>
      </c>
      <c r="E425" s="67">
        <f ca="1">IFERROR(C425*D425*_xlfn.XLOOKUP(B425,[1]!TabCalc[Ticker],[1]!TabCalc[Scale]),0)</f>
        <v>-217680</v>
      </c>
      <c r="F425" s="68" cm="1">
        <f t="array" ref="F425">IF(A425=A424,0,SUM(_xlfn._xlws.FILTER(E425:E435,A425:A435=A425)))</f>
        <v>0</v>
      </c>
      <c r="G425" s="69">
        <f>IF(F425&lt;&gt;0,SUM($F$43:F425),0)</f>
        <v>0</v>
      </c>
      <c r="H425" s="69" cm="1">
        <f t="array" ref="H425">IFERROR(IF(A425=A424,0,SUM(_xlfn._xlws.FILTER(E425:E435,(A425:A435=A425)*(E425:E435&gt;0)))),0)</f>
        <v>0</v>
      </c>
      <c r="I425" s="69" cm="1">
        <f t="array" ref="I425">IFERROR(IF(A425=A424,0,SUM(_xlfn._xlws.FILTER(E425:E435,(A425:A435=A425)*(F425&lt;0)))),0)</f>
        <v>0</v>
      </c>
      <c r="J425"/>
      <c r="K425"/>
      <c r="L425"/>
      <c r="M425"/>
      <c r="N425"/>
    </row>
    <row r="426" spans="1:14" hidden="1" x14ac:dyDescent="0.3">
      <c r="A426" s="64">
        <v>45862</v>
      </c>
      <c r="B426" s="5" t="s">
        <v>97</v>
      </c>
      <c r="C426" s="65">
        <v>6000</v>
      </c>
      <c r="D426" s="80">
        <v>-61.05</v>
      </c>
      <c r="E426" s="67">
        <f ca="1">IFERROR(C426*D426*_xlfn.XLOOKUP(B426,[1]!TabCalc[Ticker],[1]!TabCalc[Scale]),0)</f>
        <v>-366300</v>
      </c>
      <c r="F426" s="68" cm="1">
        <f t="array" aca="1" ref="F426" ca="1">IF(A426=A425,0,SUM(_xlfn._xlws.FILTER(E426:E436,A426:A436=A426)))</f>
        <v>-231614.27</v>
      </c>
      <c r="G426" s="69">
        <f ca="1">IF(F426&lt;&gt;0,SUM($F$43:F426),0)</f>
        <v>-4348317.1325730002</v>
      </c>
      <c r="H426" s="69" cm="1">
        <f t="array" aca="1" ref="H426" ca="1">IFERROR(IF(A426=A425,0,SUM(_xlfn._xlws.FILTER(E426:E436,(A426:A436=A426)*(E426:E436&gt;0)))),0)</f>
        <v>134685.73000000001</v>
      </c>
      <c r="I426" s="69" cm="1">
        <f t="array" aca="1" ref="I426" ca="1">IFERROR(IF(A426=A425,0,SUM(_xlfn._xlws.FILTER(E426:E436,(A426:A436=A426)*(F426&lt;0)))),0)</f>
        <v>-231614.27</v>
      </c>
      <c r="J426"/>
      <c r="K426"/>
      <c r="L426"/>
      <c r="M426"/>
      <c r="N426"/>
    </row>
    <row r="427" spans="1:14" hidden="1" x14ac:dyDescent="0.3">
      <c r="A427" s="64">
        <v>45862</v>
      </c>
      <c r="B427" s="5" t="s">
        <v>86</v>
      </c>
      <c r="C427" s="65">
        <v>8000</v>
      </c>
      <c r="D427" s="5">
        <v>14.44</v>
      </c>
      <c r="E427" s="67">
        <f ca="1">IFERROR(C427*D427*_xlfn.XLOOKUP(B427,[1]!TabCalc[Ticker],[1]!TabCalc[Scale]),0)</f>
        <v>115520</v>
      </c>
      <c r="F427" s="68" cm="1">
        <f t="array" ref="F427">IF(A427=A426,0,SUM(_xlfn._xlws.FILTER(E427:E437,A427:A437=A427)))</f>
        <v>0</v>
      </c>
      <c r="G427" s="69">
        <f>IF(F427&lt;&gt;0,SUM($F$43:F427),0)</f>
        <v>0</v>
      </c>
      <c r="H427" s="69" cm="1">
        <f t="array" ref="H427">IFERROR(IF(A427=A426,0,SUM(_xlfn._xlws.FILTER(E427:E437,(A427:A437=A427)*(E427:E437&gt;0)))),0)</f>
        <v>0</v>
      </c>
      <c r="I427" s="69" cm="1">
        <f t="array" ref="I427">IFERROR(IF(A427=A426,0,SUM(_xlfn._xlws.FILTER(E427:E437,(A427:A437=A427)*(F427&lt;0)))),0)</f>
        <v>0</v>
      </c>
      <c r="J427"/>
      <c r="K427"/>
      <c r="L427"/>
      <c r="M427"/>
      <c r="N427"/>
    </row>
    <row r="428" spans="1:14" hidden="1" x14ac:dyDescent="0.3">
      <c r="A428" s="64">
        <v>45862</v>
      </c>
      <c r="B428" s="5" t="s">
        <v>85</v>
      </c>
      <c r="C428" s="65">
        <v>20000</v>
      </c>
      <c r="D428" s="5">
        <v>0.95828650000000004</v>
      </c>
      <c r="E428" s="67">
        <f ca="1">IFERROR(C428*D428*_xlfn.XLOOKUP(B428,[1]!TabCalc[Ticker],[1]!TabCalc[Scale]),0)</f>
        <v>19165.73</v>
      </c>
      <c r="F428" s="68" cm="1">
        <f t="array" ref="F428">IF(A428=A427,0,SUM(_xlfn._xlws.FILTER(E428:E438,A428:A438=A428)))</f>
        <v>0</v>
      </c>
      <c r="G428" s="69">
        <f>IF(F428&lt;&gt;0,SUM($F$43:F428),0)</f>
        <v>0</v>
      </c>
      <c r="H428" s="69" cm="1">
        <f t="array" ref="H428">IFERROR(IF(A428=A427,0,SUM(_xlfn._xlws.FILTER(E428:E438,(A428:A438=A428)*(E428:E438&gt;0)))),0)</f>
        <v>0</v>
      </c>
      <c r="I428" s="69" cm="1">
        <f t="array" ref="I428">IFERROR(IF(A428=A427,0,SUM(_xlfn._xlws.FILTER(E428:E438,(A428:A438=A428)*(F428&lt;0)))),0)</f>
        <v>0</v>
      </c>
      <c r="J428"/>
      <c r="K428"/>
      <c r="L428"/>
      <c r="M428"/>
      <c r="N428"/>
    </row>
    <row r="429" spans="1:14" hidden="1" x14ac:dyDescent="0.3">
      <c r="A429" s="70">
        <v>45863</v>
      </c>
      <c r="B429" s="6" t="s">
        <v>82</v>
      </c>
      <c r="C429" s="18">
        <v>800</v>
      </c>
      <c r="D429" s="77">
        <v>65.245000000000005</v>
      </c>
      <c r="E429" s="67">
        <f ca="1">IFERROR(C429*D429*_xlfn.XLOOKUP(B429,[1]!TabCalc[Ticker],[1]!TabCalc[Scale]),0)</f>
        <v>52196</v>
      </c>
      <c r="F429" s="68" cm="1">
        <f t="array" aca="1" ref="F429" ca="1">IF(A429=A428,0,SUM(_xlfn._xlws.FILTER(E429:E439,A429:A439=A429)))</f>
        <v>111396</v>
      </c>
      <c r="G429" s="69">
        <f ca="1">IF(F429&lt;&gt;0,SUM($F$43:F429),0)</f>
        <v>-4236921.1325730002</v>
      </c>
      <c r="H429" s="69" cm="1">
        <f t="array" aca="1" ref="H429" ca="1">IFERROR(IF(A429=A428,0,SUM(_xlfn._xlws.FILTER(E429:E439,(A429:A439=A429)*(E429:E439&gt;0)))),0)</f>
        <v>263576</v>
      </c>
      <c r="I429" s="69" cm="1">
        <f t="array" aca="1" ref="I429" ca="1">IFERROR(IF(A429=A428,0,SUM(_xlfn._xlws.FILTER(E429:E439,(A429:A439=A429)*(F429&lt;0)))),0)</f>
        <v>0</v>
      </c>
      <c r="J429"/>
      <c r="K429"/>
      <c r="L429"/>
      <c r="M429"/>
      <c r="N429"/>
    </row>
    <row r="430" spans="1:14" hidden="1" x14ac:dyDescent="0.3">
      <c r="A430" s="70">
        <v>45863</v>
      </c>
      <c r="B430" s="6" t="s">
        <v>35</v>
      </c>
      <c r="C430" s="18">
        <v>2000</v>
      </c>
      <c r="D430" s="77">
        <v>72.540000000000006</v>
      </c>
      <c r="E430" s="67">
        <f ca="1">IFERROR(C430*D430*_xlfn.XLOOKUP(B430,[1]!TabCalc[Ticker],[1]!TabCalc[Scale]),0)</f>
        <v>145080</v>
      </c>
      <c r="F430" s="68" cm="1">
        <f t="array" ref="F430">IF(A430=A429,0,SUM(_xlfn._xlws.FILTER(E430:E440,A430:A440=A430)))</f>
        <v>0</v>
      </c>
      <c r="G430" s="69">
        <f>IF(F430&lt;&gt;0,SUM($F$43:F430),0)</f>
        <v>0</v>
      </c>
      <c r="H430" s="69" cm="1">
        <f t="array" ref="H430">IFERROR(IF(A430=A429,0,SUM(_xlfn._xlws.FILTER(E430:E440,(A430:A440=A430)*(E430:E440&gt;0)))),0)</f>
        <v>0</v>
      </c>
      <c r="I430" s="69" cm="1">
        <f t="array" ref="I430">IFERROR(IF(A430=A429,0,SUM(_xlfn._xlws.FILTER(E430:E440,(A430:A440=A430)*(F430&lt;0)))),0)</f>
        <v>0</v>
      </c>
      <c r="J430"/>
      <c r="K430"/>
      <c r="L430"/>
      <c r="M430"/>
      <c r="N430"/>
    </row>
    <row r="431" spans="1:14" hidden="1" x14ac:dyDescent="0.3">
      <c r="A431" s="70">
        <v>45863</v>
      </c>
      <c r="B431" s="6" t="s">
        <v>42</v>
      </c>
      <c r="C431" s="18">
        <v>1000</v>
      </c>
      <c r="D431" s="77">
        <v>-152.18</v>
      </c>
      <c r="E431" s="67">
        <f ca="1">IFERROR(C431*D431*_xlfn.XLOOKUP(B431,[1]!TabCalc[Ticker],[1]!TabCalc[Scale]),0)</f>
        <v>-152180</v>
      </c>
      <c r="F431" s="68" cm="1">
        <f t="array" ref="F431">IF(A431=A430,0,SUM(_xlfn._xlws.FILTER(E431:E441,A431:A441=A431)))</f>
        <v>0</v>
      </c>
      <c r="G431" s="69">
        <f>IF(F431&lt;&gt;0,SUM($F$43:F431),0)</f>
        <v>0</v>
      </c>
      <c r="H431" s="69" cm="1">
        <f t="array" ref="H431">IFERROR(IF(A431=A430,0,SUM(_xlfn._xlws.FILTER(E431:E441,(A431:A441=A431)*(E431:E441&gt;0)))),0)</f>
        <v>0</v>
      </c>
      <c r="I431" s="69" cm="1">
        <f t="array" ref="I431">IFERROR(IF(A431=A430,0,SUM(_xlfn._xlws.FILTER(E431:E441,(A431:A441=A431)*(F431&lt;0)))),0)</f>
        <v>0</v>
      </c>
      <c r="J431"/>
      <c r="K431"/>
      <c r="L431"/>
      <c r="M431"/>
      <c r="N431"/>
    </row>
    <row r="432" spans="1:14" hidden="1" x14ac:dyDescent="0.3">
      <c r="A432" s="70">
        <v>45863</v>
      </c>
      <c r="B432" s="6" t="s">
        <v>64</v>
      </c>
      <c r="C432" s="18">
        <v>400</v>
      </c>
      <c r="D432" s="77">
        <v>165.75</v>
      </c>
      <c r="E432" s="67">
        <f ca="1">IFERROR(C432*D432*_xlfn.XLOOKUP(B432,[1]!TabCalc[Ticker],[1]!TabCalc[Scale]),0)</f>
        <v>66300</v>
      </c>
      <c r="F432" s="68" cm="1">
        <f t="array" ref="F432">IF(A432=A431,0,SUM(_xlfn._xlws.FILTER(E432:E442,A432:A442=A432)))</f>
        <v>0</v>
      </c>
      <c r="G432" s="69">
        <f>IF(F432&lt;&gt;0,SUM($F$43:F432),0)</f>
        <v>0</v>
      </c>
      <c r="H432" s="69" cm="1">
        <f t="array" ref="H432">IFERROR(IF(A432=A431,0,SUM(_xlfn._xlws.FILTER(E432:E442,(A432:A442=A432)*(E432:E442&gt;0)))),0)</f>
        <v>0</v>
      </c>
      <c r="I432" s="69" cm="1">
        <f t="array" ref="I432">IFERROR(IF(A432=A431,0,SUM(_xlfn._xlws.FILTER(E432:E442,(A432:A442=A432)*(F432&lt;0)))),0)</f>
        <v>0</v>
      </c>
      <c r="J432"/>
      <c r="K432"/>
      <c r="L432"/>
      <c r="M432"/>
      <c r="N432"/>
    </row>
    <row r="433" spans="1:14" hidden="1" x14ac:dyDescent="0.3">
      <c r="A433" s="64">
        <v>45866</v>
      </c>
      <c r="B433" s="5" t="s">
        <v>109</v>
      </c>
      <c r="C433" s="65">
        <v>25000</v>
      </c>
      <c r="D433" s="5">
        <v>-3.04</v>
      </c>
      <c r="E433" s="67">
        <f ca="1">IFERROR(C433*D433*_xlfn.XLOOKUP(B433,[1]!TabCalc[Ticker],[1]!TabCalc[Scale]),0)</f>
        <v>-76000</v>
      </c>
      <c r="F433" s="68" cm="1">
        <f t="array" aca="1" ref="F433" ca="1">IF(A433=A432,0,SUM(_xlfn._xlws.FILTER(E433:E443,A433:A443=A433)))</f>
        <v>-76000</v>
      </c>
      <c r="G433" s="69">
        <f ca="1">IF(F433&lt;&gt;0,SUM($F$43:F433),0)</f>
        <v>-4312921.1325730002</v>
      </c>
      <c r="H433" s="69" cm="1">
        <f t="array" aca="1" ref="H433" ca="1">IFERROR(IF(A433=A432,0,SUM(_xlfn._xlws.FILTER(E433:E443,(A433:A443=A433)*(E433:E443&gt;0)))),0)</f>
        <v>0</v>
      </c>
      <c r="I433" s="69" cm="1">
        <f t="array" aca="1" ref="I433" ca="1">IFERROR(IF(A433=A432,0,SUM(_xlfn._xlws.FILTER(E433:E443,(A433:A443=A433)*(F433&lt;0)))),0)</f>
        <v>-76000</v>
      </c>
      <c r="J433"/>
      <c r="K433"/>
      <c r="L433"/>
      <c r="M433"/>
      <c r="N433"/>
    </row>
    <row r="434" spans="1:14" hidden="1" x14ac:dyDescent="0.3">
      <c r="A434" s="70">
        <v>45868</v>
      </c>
      <c r="B434" s="6" t="s">
        <v>89</v>
      </c>
      <c r="C434" s="18">
        <v>4000</v>
      </c>
      <c r="D434" s="77">
        <v>14.82</v>
      </c>
      <c r="E434" s="67">
        <f ca="1">IFERROR(C434*D434*_xlfn.XLOOKUP(B434,[1]!TabCalc[Ticker],[1]!TabCalc[Scale]),0)</f>
        <v>59280</v>
      </c>
      <c r="F434" s="68" cm="1">
        <f t="array" aca="1" ref="F434" ca="1">IF(A434=A433,0,SUM(_xlfn._xlws.FILTER(E434:E444,A434:A444=A434)))</f>
        <v>-394920</v>
      </c>
      <c r="G434" s="69">
        <f ca="1">IF(F434&lt;&gt;0,SUM($F$43:F434),0)</f>
        <v>-4707841.1325730002</v>
      </c>
      <c r="H434" s="69" cm="1">
        <f t="array" aca="1" ref="H434" ca="1">IFERROR(IF(A434=A433,0,SUM(_xlfn._xlws.FILTER(E434:E444,(A434:A444=A434)*(E434:E444&gt;0)))),0)</f>
        <v>59280</v>
      </c>
      <c r="I434" s="69" cm="1">
        <f t="array" aca="1" ref="I434" ca="1">IFERROR(IF(A434=A433,0,SUM(_xlfn._xlws.FILTER(E434:E444,(A434:A444=A434)*(F434&lt;0)))),0)</f>
        <v>-394920</v>
      </c>
      <c r="J434"/>
      <c r="K434"/>
      <c r="L434"/>
      <c r="M434"/>
      <c r="N434"/>
    </row>
    <row r="435" spans="1:14" hidden="1" x14ac:dyDescent="0.3">
      <c r="A435" s="70">
        <v>45868</v>
      </c>
      <c r="B435" s="6" t="s">
        <v>97</v>
      </c>
      <c r="C435" s="18">
        <v>6000</v>
      </c>
      <c r="D435" s="77">
        <v>-59.5</v>
      </c>
      <c r="E435" s="67">
        <f ca="1">IFERROR(C435*D435*_xlfn.XLOOKUP(B435,[1]!TabCalc[Ticker],[1]!TabCalc[Scale]),0)</f>
        <v>-357000</v>
      </c>
      <c r="F435" s="68" cm="1">
        <f t="array" ref="F435">IF(A435=A434,0,SUM(_xlfn._xlws.FILTER(E435:E445,A435:A445=A435)))</f>
        <v>0</v>
      </c>
      <c r="G435" s="69">
        <f>IF(F435&lt;&gt;0,SUM($F$43:F435),0)</f>
        <v>0</v>
      </c>
      <c r="H435" s="69" cm="1">
        <f t="array" ref="H435">IFERROR(IF(A435=A434,0,SUM(_xlfn._xlws.FILTER(E435:E445,(A435:A445=A435)*(E435:E445&gt;0)))),0)</f>
        <v>0</v>
      </c>
      <c r="I435" s="69" cm="1">
        <f t="array" ref="I435">IFERROR(IF(A435=A434,0,SUM(_xlfn._xlws.FILTER(E435:E445,(A435:A445=A435)*(F435&lt;0)))),0)</f>
        <v>0</v>
      </c>
      <c r="J435"/>
      <c r="K435"/>
      <c r="L435"/>
      <c r="M435"/>
      <c r="N435"/>
    </row>
    <row r="436" spans="1:14" hidden="1" x14ac:dyDescent="0.3">
      <c r="A436" s="70">
        <v>45868</v>
      </c>
      <c r="B436" s="6" t="s">
        <v>63</v>
      </c>
      <c r="C436" s="18">
        <v>20000</v>
      </c>
      <c r="D436" s="77">
        <v>-486</v>
      </c>
      <c r="E436" s="67">
        <f ca="1">IFERROR(C436*D436*_xlfn.XLOOKUP(B436,[1]!TabCalc[Ticker],[1]!TabCalc[Scale]),0)</f>
        <v>-97200</v>
      </c>
      <c r="F436" s="68" cm="1">
        <f t="array" ref="F436">IF(A436=A435,0,SUM(_xlfn._xlws.FILTER(E436:E446,A436:A446=A436)))</f>
        <v>0</v>
      </c>
      <c r="G436" s="69">
        <f>IF(F436&lt;&gt;0,SUM($F$43:F436),0)</f>
        <v>0</v>
      </c>
      <c r="H436" s="69" cm="1">
        <f t="array" ref="H436">IFERROR(IF(A436=A435,0,SUM(_xlfn._xlws.FILTER(E436:E446,(A436:A446=A436)*(E436:E446&gt;0)))),0)</f>
        <v>0</v>
      </c>
      <c r="I436" s="69" cm="1">
        <f t="array" ref="I436">IFERROR(IF(A436=A435,0,SUM(_xlfn._xlws.FILTER(E436:E446,(A436:A446=A436)*(F436&lt;0)))),0)</f>
        <v>0</v>
      </c>
      <c r="J436"/>
      <c r="K436"/>
      <c r="L436"/>
      <c r="M436"/>
      <c r="N436"/>
    </row>
    <row r="437" spans="1:14" hidden="1" x14ac:dyDescent="0.3">
      <c r="A437" s="64">
        <v>45870</v>
      </c>
      <c r="B437" s="5" t="s">
        <v>61</v>
      </c>
      <c r="C437" s="65">
        <v>2000</v>
      </c>
      <c r="D437" s="80">
        <v>-215.02</v>
      </c>
      <c r="E437" s="67">
        <f ca="1">IFERROR(C437*D437*_xlfn.XLOOKUP(B437,[1]!TabCalc[Ticker],[1]!TabCalc[Scale]),0)</f>
        <v>-430040</v>
      </c>
      <c r="F437" s="68" cm="1">
        <f t="array" aca="1" ref="F437" ca="1">IF(A437=A436,0,SUM(_xlfn._xlws.FILTER(E437:E447,A437:A447=A437)))</f>
        <v>-665290</v>
      </c>
      <c r="G437" s="69">
        <f ca="1">IF(F437&lt;&gt;0,SUM($F$43:F437),0)</f>
        <v>-5373131.1325730002</v>
      </c>
      <c r="H437" s="69" cm="1">
        <f t="array" aca="1" ref="H437" ca="1">IFERROR(IF(A437=A436,0,SUM(_xlfn._xlws.FILTER(E437:E447,(A437:A447=A437)*(E437:E447&gt;0)))),0)</f>
        <v>0</v>
      </c>
      <c r="I437" s="69" cm="1">
        <f t="array" aca="1" ref="I437" ca="1">IFERROR(IF(A437=A436,0,SUM(_xlfn._xlws.FILTER(E437:E447,(A437:A447=A437)*(F437&lt;0)))),0)</f>
        <v>-665290</v>
      </c>
      <c r="J437"/>
      <c r="K437"/>
      <c r="L437"/>
      <c r="M437"/>
      <c r="N437"/>
    </row>
    <row r="438" spans="1:14" hidden="1" x14ac:dyDescent="0.3">
      <c r="A438" s="64">
        <v>45870</v>
      </c>
      <c r="B438" s="5" t="s">
        <v>31</v>
      </c>
      <c r="C438" s="65">
        <v>1000</v>
      </c>
      <c r="D438" s="80">
        <v>-235.25</v>
      </c>
      <c r="E438" s="67">
        <f ca="1">IFERROR(C438*D438*_xlfn.XLOOKUP(B438,[1]!TabCalc[Ticker],[1]!TabCalc[Scale]),0)</f>
        <v>-235250</v>
      </c>
      <c r="F438" s="68" cm="1">
        <f t="array" ref="F438">IF(A438=A437,0,SUM(_xlfn._xlws.FILTER(E438:E448,A438:A448=A438)))</f>
        <v>0</v>
      </c>
      <c r="G438" s="69">
        <f>IF(F438&lt;&gt;0,SUM($F$43:F438),0)</f>
        <v>0</v>
      </c>
      <c r="H438" s="69" cm="1">
        <f t="array" ref="H438">IFERROR(IF(A438=A437,0,SUM(_xlfn._xlws.FILTER(E438:E448,(A438:A448=A438)*(E438:E448&gt;0)))),0)</f>
        <v>0</v>
      </c>
      <c r="I438" s="69" cm="1">
        <f t="array" ref="I438">IFERROR(IF(A438=A437,0,SUM(_xlfn._xlws.FILTER(E438:E448,(A438:A448=A438)*(F438&lt;0)))),0)</f>
        <v>0</v>
      </c>
      <c r="J438"/>
      <c r="K438"/>
      <c r="L438"/>
      <c r="M438"/>
      <c r="N438"/>
    </row>
    <row r="439" spans="1:14" hidden="1" x14ac:dyDescent="0.3">
      <c r="A439" s="70">
        <v>45874</v>
      </c>
      <c r="B439" s="6" t="s">
        <v>30</v>
      </c>
      <c r="C439" s="18">
        <v>500</v>
      </c>
      <c r="D439" s="77">
        <v>-599.29999999999995</v>
      </c>
      <c r="E439" s="67">
        <f ca="1">IFERROR(C439*D439*_xlfn.XLOOKUP(B439,[1]!TabCalc[Ticker],[1]!TabCalc[Scale]),0)</f>
        <v>-299650</v>
      </c>
      <c r="F439" s="68" cm="1">
        <f t="array" aca="1" ref="F439" ca="1">IF(A439=A438,0,SUM(_xlfn._xlws.FILTER(E439:E449,A439:A449=A439)))</f>
        <v>-417850</v>
      </c>
      <c r="G439" s="69">
        <f ca="1">IF(F439&lt;&gt;0,SUM($F$43:F439),0)</f>
        <v>-5790981.1325730002</v>
      </c>
      <c r="H439" s="69" cm="1">
        <f t="array" aca="1" ref="H439" ca="1">IFERROR(IF(A439=A438,0,SUM(_xlfn._xlws.FILTER(E439:E449,(A439:A449=A439)*(E439:E449&gt;0)))),0)</f>
        <v>0</v>
      </c>
      <c r="I439" s="69" cm="1">
        <f t="array" aca="1" ref="I439" ca="1">IFERROR(IF(A439=A438,0,SUM(_xlfn._xlws.FILTER(E439:E449,(A439:A449=A439)*(F439&lt;0)))),0)</f>
        <v>-417850</v>
      </c>
      <c r="J439"/>
      <c r="K439"/>
      <c r="L439"/>
      <c r="M439"/>
      <c r="N439"/>
    </row>
    <row r="440" spans="1:14" hidden="1" x14ac:dyDescent="0.3">
      <c r="A440" s="70">
        <v>45874</v>
      </c>
      <c r="B440" s="6" t="s">
        <v>97</v>
      </c>
      <c r="C440" s="18">
        <v>2000</v>
      </c>
      <c r="D440" s="77">
        <v>-59.1</v>
      </c>
      <c r="E440" s="67">
        <f ca="1">IFERROR(C440*D440*_xlfn.XLOOKUP(B440,[1]!TabCalc[Ticker],[1]!TabCalc[Scale]),0)</f>
        <v>-118200</v>
      </c>
      <c r="F440" s="68" cm="1">
        <f t="array" ref="F440">IF(A440=A439,0,SUM(_xlfn._xlws.FILTER(E440:E450,A440:A450=A440)))</f>
        <v>0</v>
      </c>
      <c r="G440" s="69">
        <f>IF(F440&lt;&gt;0,SUM($F$43:F440),0)</f>
        <v>0</v>
      </c>
      <c r="H440" s="69" cm="1">
        <f t="array" ref="H440">IFERROR(IF(A440=A439,0,SUM(_xlfn._xlws.FILTER(E440:E450,(A440:A450=A440)*(E440:E450&gt;0)))),0)</f>
        <v>0</v>
      </c>
      <c r="I440" s="69" cm="1">
        <f t="array" ref="I440">IFERROR(IF(A440=A439,0,SUM(_xlfn._xlws.FILTER(E440:E450,(A440:A450=A440)*(F440&lt;0)))),0)</f>
        <v>0</v>
      </c>
      <c r="J440"/>
      <c r="K440"/>
      <c r="L440"/>
      <c r="M440"/>
      <c r="N440"/>
    </row>
    <row r="441" spans="1:14" hidden="1" x14ac:dyDescent="0.3">
      <c r="A441" s="64">
        <v>45877</v>
      </c>
      <c r="B441" s="5" t="s">
        <v>75</v>
      </c>
      <c r="C441" s="65">
        <v>5000</v>
      </c>
      <c r="D441" s="80">
        <v>16.510000000000002</v>
      </c>
      <c r="E441" s="67">
        <f ca="1">IFERROR(C441*D441*_xlfn.XLOOKUP(B441,[1]!TabCalc[Ticker],[1]!TabCalc[Scale]),0)</f>
        <v>82550.000000000015</v>
      </c>
      <c r="F441" s="68" cm="1">
        <f t="array" aca="1" ref="F441" ca="1">IF(A441=A440,0,SUM(_xlfn._xlws.FILTER(E441:E451,A441:A451=A441)))</f>
        <v>82550.000000000015</v>
      </c>
      <c r="G441" s="69">
        <f ca="1">IF(F441&lt;&gt;0,SUM($F$43:F441),0)</f>
        <v>-5708431.1325730002</v>
      </c>
      <c r="H441" s="69" cm="1">
        <f t="array" aca="1" ref="H441" ca="1">IFERROR(IF(A441=A440,0,SUM(_xlfn._xlws.FILTER(E441:E451,(A441:A451=A441)*(E441:E451&gt;0)))),0)</f>
        <v>82550.000000000015</v>
      </c>
      <c r="I441" s="69" cm="1">
        <f t="array" aca="1" ref="I441" ca="1">IFERROR(IF(A441=A440,0,SUM(_xlfn._xlws.FILTER(E441:E451,(A441:A451=A441)*(F441&lt;0)))),0)</f>
        <v>0</v>
      </c>
      <c r="J441"/>
      <c r="K441"/>
      <c r="L441"/>
      <c r="M441"/>
      <c r="N441"/>
    </row>
    <row r="442" spans="1:14" hidden="1" x14ac:dyDescent="0.3">
      <c r="A442" s="70">
        <v>45880</v>
      </c>
      <c r="B442" s="6" t="s">
        <v>80</v>
      </c>
      <c r="C442" s="18">
        <v>2000</v>
      </c>
      <c r="D442" s="77">
        <v>31.7</v>
      </c>
      <c r="E442" s="67">
        <f ca="1">IFERROR(C442*D442*_xlfn.XLOOKUP(B442,[1]!TabCalc[Ticker],[1]!TabCalc[Scale]),0)</f>
        <v>63400</v>
      </c>
      <c r="F442" s="68" cm="1">
        <f t="array" aca="1" ref="F442" ca="1">IF(A442=A441,0,SUM(_xlfn._xlws.FILTER(E442:E452,A442:A452=A442)))</f>
        <v>63400</v>
      </c>
      <c r="G442" s="69">
        <f ca="1">IF(F442&lt;&gt;0,SUM($F$43:F442),0)</f>
        <v>-5645031.1325730002</v>
      </c>
      <c r="H442" s="69" cm="1">
        <f t="array" aca="1" ref="H442" ca="1">IFERROR(IF(A442=A441,0,SUM(_xlfn._xlws.FILTER(E442:E452,(A442:A452=A442)*(E442:E452&gt;0)))),0)</f>
        <v>63400</v>
      </c>
      <c r="I442" s="69" cm="1">
        <f t="array" aca="1" ref="I442" ca="1">IFERROR(IF(A442=A441,0,SUM(_xlfn._xlws.FILTER(E442:E452,(A442:A452=A442)*(F442&lt;0)))),0)</f>
        <v>0</v>
      </c>
      <c r="J442"/>
      <c r="K442"/>
      <c r="L442"/>
      <c r="M442"/>
      <c r="N442"/>
    </row>
    <row r="443" spans="1:14" hidden="1" x14ac:dyDescent="0.3">
      <c r="A443" s="64">
        <v>45881</v>
      </c>
      <c r="B443" s="5" t="s">
        <v>90</v>
      </c>
      <c r="C443" s="65">
        <v>499</v>
      </c>
      <c r="D443" s="80">
        <v>-232.45</v>
      </c>
      <c r="E443" s="67">
        <f ca="1">IFERROR(C443*D443*_xlfn.XLOOKUP(B443,[1]!TabCalc[Ticker],[1]!TabCalc[Scale]),0)</f>
        <v>-115992.54999999999</v>
      </c>
      <c r="F443" s="68" cm="1">
        <f t="array" aca="1" ref="F443" ca="1">IF(A443=A442,0,SUM(_xlfn._xlws.FILTER(E443:E453,A443:A453=A443)))</f>
        <v>-115992.54999999999</v>
      </c>
      <c r="G443" s="69">
        <f ca="1">IF(F443&lt;&gt;0,SUM($F$43:F443),0)</f>
        <v>-5761023.682573</v>
      </c>
      <c r="H443" s="69" cm="1">
        <f t="array" aca="1" ref="H443" ca="1">IFERROR(IF(A443=A442,0,SUM(_xlfn._xlws.FILTER(E443:E453,(A443:A453=A443)*(E443:E453&gt;0)))),0)</f>
        <v>0</v>
      </c>
      <c r="I443" s="69" cm="1">
        <f t="array" aca="1" ref="I443" ca="1">IFERROR(IF(A443=A442,0,SUM(_xlfn._xlws.FILTER(E443:E453,(A443:A453=A443)*(F443&lt;0)))),0)</f>
        <v>-115992.54999999999</v>
      </c>
      <c r="J443"/>
      <c r="K443"/>
      <c r="L443"/>
      <c r="M443"/>
      <c r="N443"/>
    </row>
    <row r="444" spans="1:14" hidden="1" x14ac:dyDescent="0.3">
      <c r="A444" s="70">
        <v>45882</v>
      </c>
      <c r="B444" s="6" t="s">
        <v>41</v>
      </c>
      <c r="C444" s="18">
        <v>70000</v>
      </c>
      <c r="D444" s="77">
        <v>-0.54500000000000004</v>
      </c>
      <c r="E444" s="67">
        <f ca="1">IFERROR(C444*D444*_xlfn.XLOOKUP(B444,[1]!TabCalc[Ticker],[1]!TabCalc[Scale]),0)</f>
        <v>-38150</v>
      </c>
      <c r="F444" s="68" cm="1">
        <f t="array" aca="1" ref="F444" ca="1">IF(A444=A443,0,SUM(_xlfn._xlws.FILTER(E444:E454,A444:A454=A444)))</f>
        <v>36090</v>
      </c>
      <c r="G444" s="69">
        <f ca="1">IF(F444&lt;&gt;0,SUM($F$43:F444),0)</f>
        <v>-5724933.682573</v>
      </c>
      <c r="H444" s="69" cm="1">
        <f t="array" aca="1" ref="H444" ca="1">IFERROR(IF(A444=A443,0,SUM(_xlfn._xlws.FILTER(E444:E454,(A444:A454=A444)*(E444:E454&gt;0)))),0)</f>
        <v>74240</v>
      </c>
      <c r="I444" s="69" cm="1">
        <f t="array" aca="1" ref="I444" ca="1">IFERROR(IF(A444=A443,0,SUM(_xlfn._xlws.FILTER(E444:E454,(A444:A454=A444)*(F444&lt;0)))),0)</f>
        <v>0</v>
      </c>
      <c r="J444"/>
      <c r="K444"/>
      <c r="L444"/>
      <c r="M444"/>
      <c r="N444"/>
    </row>
    <row r="445" spans="1:14" hidden="1" x14ac:dyDescent="0.3">
      <c r="A445" s="70">
        <v>45882</v>
      </c>
      <c r="B445" s="6" t="s">
        <v>80</v>
      </c>
      <c r="C445" s="18">
        <v>2000</v>
      </c>
      <c r="D445" s="77">
        <v>37.119999999999997</v>
      </c>
      <c r="E445" s="67">
        <f ca="1">IFERROR(C445*D445*_xlfn.XLOOKUP(B445,[1]!TabCalc[Ticker],[1]!TabCalc[Scale]),0)</f>
        <v>74240</v>
      </c>
      <c r="F445" s="68" cm="1">
        <f t="array" ref="F445">IF(A445=A444,0,SUM(_xlfn._xlws.FILTER(E445:E455,A445:A455=A445)))</f>
        <v>0</v>
      </c>
      <c r="G445" s="69">
        <f>IF(F445&lt;&gt;0,SUM($F$43:F445),0)</f>
        <v>0</v>
      </c>
      <c r="H445" s="69" cm="1">
        <f t="array" ref="H445">IFERROR(IF(A445=A444,0,SUM(_xlfn._xlws.FILTER(E445:E455,(A445:A455=A445)*(E445:E455&gt;0)))),0)</f>
        <v>0</v>
      </c>
      <c r="I445" s="69" cm="1">
        <f t="array" ref="I445">IFERROR(IF(A445=A444,0,SUM(_xlfn._xlws.FILTER(E445:E455,(A445:A455=A445)*(F445&lt;0)))),0)</f>
        <v>0</v>
      </c>
      <c r="J445"/>
      <c r="K445"/>
      <c r="L445"/>
      <c r="M445"/>
      <c r="N445"/>
    </row>
    <row r="446" spans="1:14" hidden="1" x14ac:dyDescent="0.3">
      <c r="A446" s="64">
        <v>45883</v>
      </c>
      <c r="B446" s="5" t="s">
        <v>29</v>
      </c>
      <c r="C446" s="65">
        <v>2000</v>
      </c>
      <c r="D446" s="80">
        <v>-26.64</v>
      </c>
      <c r="E446" s="67">
        <f ca="1">IFERROR(C446*D446*_xlfn.XLOOKUP(B446,[1]!TabCalc[Ticker],[1]!TabCalc[Scale]),0)</f>
        <v>-53280</v>
      </c>
      <c r="F446" s="68" cm="1">
        <f t="array" aca="1" ref="F446" ca="1">IF(A446=A445,0,SUM(_xlfn._xlws.FILTER(E446:E456,A446:A456=A446)))</f>
        <v>-53280</v>
      </c>
      <c r="G446" s="69">
        <f ca="1">IF(F446&lt;&gt;0,SUM($F$43:F446),0)</f>
        <v>-5778213.682573</v>
      </c>
      <c r="H446" s="69" cm="1">
        <f t="array" aca="1" ref="H446" ca="1">IFERROR(IF(A446=A445,0,SUM(_xlfn._xlws.FILTER(E446:E456,(A446:A456=A446)*(E446:E456&gt;0)))),0)</f>
        <v>0</v>
      </c>
      <c r="I446" s="69" cm="1">
        <f t="array" aca="1" ref="I446" ca="1">IFERROR(IF(A446=A445,0,SUM(_xlfn._xlws.FILTER(E446:E456,(A446:A456=A446)*(F446&lt;0)))),0)</f>
        <v>-53280</v>
      </c>
      <c r="J446"/>
      <c r="K446"/>
      <c r="L446"/>
      <c r="M446"/>
      <c r="N446"/>
    </row>
    <row r="447" spans="1:14" hidden="1" x14ac:dyDescent="0.3">
      <c r="A447" s="70">
        <v>45884</v>
      </c>
      <c r="B447" s="6" t="s">
        <v>56</v>
      </c>
      <c r="C447" s="18">
        <v>1990</v>
      </c>
      <c r="D447" s="77">
        <v>-59.09</v>
      </c>
      <c r="E447" s="67">
        <f ca="1">IFERROR(C447*D447*_xlfn.XLOOKUP(B447,[1]!TabCalc[Ticker],[1]!TabCalc[Scale]),0)</f>
        <v>-117589.1</v>
      </c>
      <c r="F447" s="68" cm="1">
        <f t="array" aca="1" ref="F447" ca="1">IF(A447=A446,0,SUM(_xlfn._xlws.FILTER(E447:E457,A447:A457=A447)))</f>
        <v>-160639.1</v>
      </c>
      <c r="G447" s="69">
        <f ca="1">IF(F447&lt;&gt;0,SUM($F$43:F447),0)</f>
        <v>-5938852.7825729996</v>
      </c>
      <c r="H447" s="69" cm="1">
        <f t="array" aca="1" ref="H447" ca="1">IFERROR(IF(A447=A446,0,SUM(_xlfn._xlws.FILTER(E447:E457,(A447:A457=A447)*(E447:E457&gt;0)))),0)</f>
        <v>0</v>
      </c>
      <c r="I447" s="69" cm="1">
        <f t="array" aca="1" ref="I447" ca="1">IFERROR(IF(A447=A446,0,SUM(_xlfn._xlws.FILTER(E447:E457,(A447:A457=A447)*(F447&lt;0)))),0)</f>
        <v>-160639.1</v>
      </c>
      <c r="J447"/>
      <c r="K447"/>
      <c r="L447"/>
      <c r="M447"/>
      <c r="N447"/>
    </row>
    <row r="448" spans="1:14" hidden="1" x14ac:dyDescent="0.3">
      <c r="A448" s="70">
        <v>45884</v>
      </c>
      <c r="B448" s="6" t="s">
        <v>48</v>
      </c>
      <c r="C448" s="18">
        <v>3000</v>
      </c>
      <c r="D448" s="77">
        <v>-14.35</v>
      </c>
      <c r="E448" s="67">
        <f ca="1">IFERROR(C448*D448*_xlfn.XLOOKUP(B448,[1]!TabCalc[Ticker],[1]!TabCalc[Scale]),0)</f>
        <v>-43050</v>
      </c>
      <c r="F448" s="68" cm="1">
        <f t="array" ref="F448">IF(A448=A447,0,SUM(_xlfn._xlws.FILTER(E448:E458,A448:A458=A448)))</f>
        <v>0</v>
      </c>
      <c r="G448" s="69">
        <f>IF(F448&lt;&gt;0,SUM($F$43:F448),0)</f>
        <v>0</v>
      </c>
      <c r="H448" s="69" cm="1">
        <f t="array" ref="H448">IFERROR(IF(A448=A447,0,SUM(_xlfn._xlws.FILTER(E448:E458,(A448:A458=A448)*(E448:E458&gt;0)))),0)</f>
        <v>0</v>
      </c>
      <c r="I448" s="69" cm="1">
        <f t="array" ref="I448">IFERROR(IF(A448=A447,0,SUM(_xlfn._xlws.FILTER(E448:E458,(A448:A458=A448)*(F448&lt;0)))),0)</f>
        <v>0</v>
      </c>
      <c r="J448"/>
      <c r="K448"/>
      <c r="L448"/>
      <c r="M448"/>
      <c r="N448"/>
    </row>
    <row r="449" spans="1:14" hidden="1" x14ac:dyDescent="0.3">
      <c r="A449" s="64">
        <v>45888</v>
      </c>
      <c r="B449" s="5" t="s">
        <v>34</v>
      </c>
      <c r="C449" s="65">
        <v>4000</v>
      </c>
      <c r="D449" s="80">
        <v>27.08</v>
      </c>
      <c r="E449" s="67">
        <f ca="1">IFERROR(C449*D449*_xlfn.XLOOKUP(B449,[1]!TabCalc[Ticker],[1]!TabCalc[Scale]),0)</f>
        <v>108320</v>
      </c>
      <c r="F449" s="68" cm="1">
        <f t="array" aca="1" ref="F449" ca="1">IF(A449=A448,0,SUM(_xlfn._xlws.FILTER(E449:E459,A449:A459=A449)))</f>
        <v>677730</v>
      </c>
      <c r="G449" s="69">
        <f ca="1">IF(F449&lt;&gt;0,SUM($F$43:F449),0)</f>
        <v>-5261122.7825729996</v>
      </c>
      <c r="H449" s="69" cm="1">
        <f t="array" aca="1" ref="H449" ca="1">IFERROR(IF(A449=A448,0,SUM(_xlfn._xlws.FILTER(E449:E459,(A449:A459=A449)*(E449:E459&gt;0)))),0)</f>
        <v>677730</v>
      </c>
      <c r="I449" s="69" cm="1">
        <f t="array" aca="1" ref="I449" ca="1">IFERROR(IF(A449=A448,0,SUM(_xlfn._xlws.FILTER(E449:E459,(A449:A459=A449)*(F449&lt;0)))),0)</f>
        <v>0</v>
      </c>
      <c r="J449"/>
      <c r="K449"/>
      <c r="L449"/>
      <c r="M449"/>
      <c r="N449"/>
    </row>
    <row r="450" spans="1:14" hidden="1" x14ac:dyDescent="0.3">
      <c r="A450" s="64">
        <v>45888</v>
      </c>
      <c r="B450" s="5" t="s">
        <v>83</v>
      </c>
      <c r="C450" s="65">
        <v>3000</v>
      </c>
      <c r="D450" s="80">
        <v>30.68</v>
      </c>
      <c r="E450" s="67">
        <f ca="1">IFERROR(C450*D450*_xlfn.XLOOKUP(B450,[1]!TabCalc[Ticker],[1]!TabCalc[Scale]),0)</f>
        <v>92040</v>
      </c>
      <c r="F450" s="68" cm="1">
        <f t="array" ref="F450">IF(A450=A449,0,SUM(_xlfn._xlws.FILTER(E450:E460,A450:A460=A450)))</f>
        <v>0</v>
      </c>
      <c r="G450" s="69">
        <f>IF(F450&lt;&gt;0,SUM($F$43:F450),0)</f>
        <v>0</v>
      </c>
      <c r="H450" s="69" cm="1">
        <f t="array" ref="H450">IFERROR(IF(A450=A449,0,SUM(_xlfn._xlws.FILTER(E450:E460,(A450:A460=A450)*(E450:E460&gt;0)))),0)</f>
        <v>0</v>
      </c>
      <c r="I450" s="69" cm="1">
        <f t="array" ref="I450">IFERROR(IF(A450=A449,0,SUM(_xlfn._xlws.FILTER(E450:E460,(A450:A460=A450)*(F450&lt;0)))),0)</f>
        <v>0</v>
      </c>
      <c r="J450"/>
      <c r="K450"/>
      <c r="L450"/>
      <c r="M450"/>
      <c r="N450"/>
    </row>
    <row r="451" spans="1:14" hidden="1" x14ac:dyDescent="0.3">
      <c r="A451" s="64">
        <v>45888</v>
      </c>
      <c r="B451" s="5" t="s">
        <v>35</v>
      </c>
      <c r="C451" s="65">
        <v>2000</v>
      </c>
      <c r="D451" s="80">
        <v>79.510000000000005</v>
      </c>
      <c r="E451" s="67">
        <f ca="1">IFERROR(C451*D451*_xlfn.XLOOKUP(B451,[1]!TabCalc[Ticker],[1]!TabCalc[Scale]),0)</f>
        <v>159020</v>
      </c>
      <c r="F451" s="68" cm="1">
        <f t="array" ref="F451">IF(A451=A450,0,SUM(_xlfn._xlws.FILTER(E451:E461,A451:A461=A451)))</f>
        <v>0</v>
      </c>
      <c r="G451" s="69">
        <f>IF(F451&lt;&gt;0,SUM($F$43:F451),0)</f>
        <v>0</v>
      </c>
      <c r="H451" s="69" cm="1">
        <f t="array" ref="H451">IFERROR(IF(A451=A450,0,SUM(_xlfn._xlws.FILTER(E451:E461,(A451:A461=A451)*(E451:E461&gt;0)))),0)</f>
        <v>0</v>
      </c>
      <c r="I451" s="69" cm="1">
        <f t="array" ref="I451">IFERROR(IF(A451=A450,0,SUM(_xlfn._xlws.FILTER(E451:E461,(A451:A461=A451)*(F451&lt;0)))),0)</f>
        <v>0</v>
      </c>
      <c r="J451"/>
      <c r="K451"/>
      <c r="L451"/>
      <c r="M451"/>
      <c r="N451"/>
    </row>
    <row r="452" spans="1:14" hidden="1" x14ac:dyDescent="0.3">
      <c r="A452" s="64">
        <v>45888</v>
      </c>
      <c r="B452" s="5" t="s">
        <v>30</v>
      </c>
      <c r="C452" s="65">
        <v>500</v>
      </c>
      <c r="D452" s="80">
        <v>636.70000000000005</v>
      </c>
      <c r="E452" s="67">
        <f ca="1">IFERROR(C452*D452*_xlfn.XLOOKUP(B452,[1]!TabCalc[Ticker],[1]!TabCalc[Scale]),0)</f>
        <v>318350</v>
      </c>
      <c r="F452" s="68" cm="1">
        <f t="array" ref="F452">IF(A452=A451,0,SUM(_xlfn._xlws.FILTER(E452:E462,A452:A462=A452)))</f>
        <v>0</v>
      </c>
      <c r="G452" s="69">
        <f>IF(F452&lt;&gt;0,SUM($F$43:F452),0)</f>
        <v>0</v>
      </c>
      <c r="H452" s="69" cm="1">
        <f t="array" ref="H452">IFERROR(IF(A452=A451,0,SUM(_xlfn._xlws.FILTER(E452:E462,(A452:A462=A452)*(E452:E462&gt;0)))),0)</f>
        <v>0</v>
      </c>
      <c r="I452" s="69" cm="1">
        <f t="array" ref="I452">IFERROR(IF(A452=A451,0,SUM(_xlfn._xlws.FILTER(E452:E462,(A452:A462=A452)*(F452&lt;0)))),0)</f>
        <v>0</v>
      </c>
      <c r="J452"/>
      <c r="K452"/>
      <c r="L452"/>
      <c r="M452"/>
      <c r="N452"/>
    </row>
    <row r="453" spans="1:14" hidden="1" x14ac:dyDescent="0.3">
      <c r="A453" s="70">
        <v>45891</v>
      </c>
      <c r="B453" s="6" t="s">
        <v>30</v>
      </c>
      <c r="C453" s="18">
        <v>500</v>
      </c>
      <c r="D453" s="77">
        <v>646.20000000000005</v>
      </c>
      <c r="E453" s="67">
        <f ca="1">IFERROR(C453*D453*_xlfn.XLOOKUP(B453,[1]!TabCalc[Ticker],[1]!TabCalc[Scale]),0)</f>
        <v>323100</v>
      </c>
      <c r="F453" s="68" cm="1">
        <f t="array" aca="1" ref="F453" ca="1">IF(A453=A452,0,SUM(_xlfn._xlws.FILTER(E453:E463,A453:A463=A453)))</f>
        <v>808100</v>
      </c>
      <c r="G453" s="69">
        <f ca="1">IF(F453&lt;&gt;0,SUM($F$43:F453),0)</f>
        <v>-4453022.7825729996</v>
      </c>
      <c r="H453" s="69" cm="1">
        <f t="array" aca="1" ref="H453" ca="1">IFERROR(IF(A453=A452,0,SUM(_xlfn._xlws.FILTER(E453:E463,(A453:A463=A453)*(E453:E463&gt;0)))),0)</f>
        <v>808100</v>
      </c>
      <c r="I453" s="69" cm="1">
        <f t="array" aca="1" ref="I453" ca="1">IFERROR(IF(A453=A452,0,SUM(_xlfn._xlws.FILTER(E453:E463,(A453:A463=A453)*(F453&lt;0)))),0)</f>
        <v>0</v>
      </c>
      <c r="J453"/>
      <c r="K453"/>
      <c r="L453"/>
      <c r="M453"/>
      <c r="N453"/>
    </row>
    <row r="454" spans="1:14" hidden="1" x14ac:dyDescent="0.3">
      <c r="A454" s="70">
        <v>45891</v>
      </c>
      <c r="B454" s="70" t="s">
        <v>82</v>
      </c>
      <c r="C454" s="18">
        <v>2000</v>
      </c>
      <c r="D454" s="6">
        <v>70.12</v>
      </c>
      <c r="E454" s="67">
        <f ca="1">IFERROR(C454*D454*_xlfn.XLOOKUP(B454,[1]!TabCalc[Ticker],[1]!TabCalc[Scale]),0)</f>
        <v>140240</v>
      </c>
      <c r="F454" s="68" cm="1">
        <f t="array" ref="F454">IF(A454=A453,0,SUM(_xlfn._xlws.FILTER(E454:E464,A454:A464=A454)))</f>
        <v>0</v>
      </c>
      <c r="G454" s="69">
        <f>IF(F454&lt;&gt;0,SUM($F$43:F454),0)</f>
        <v>0</v>
      </c>
      <c r="H454" s="69" cm="1">
        <f t="array" ref="H454">IFERROR(IF(A454=A453,0,SUM(_xlfn._xlws.FILTER(E454:E464,(A454:A464=A454)*(E454:E464&gt;0)))),0)</f>
        <v>0</v>
      </c>
      <c r="I454" s="69" cm="1">
        <f t="array" ref="I454">IFERROR(IF(A454=A453,0,SUM(_xlfn._xlws.FILTER(E454:E464,(A454:A464=A454)*(F454&lt;0)))),0)</f>
        <v>0</v>
      </c>
      <c r="J454"/>
      <c r="K454"/>
      <c r="L454"/>
      <c r="M454"/>
      <c r="N454"/>
    </row>
    <row r="455" spans="1:14" hidden="1" x14ac:dyDescent="0.3">
      <c r="A455" s="70">
        <v>45891</v>
      </c>
      <c r="B455" s="70" t="s">
        <v>83</v>
      </c>
      <c r="C455" s="18">
        <v>1000</v>
      </c>
      <c r="D455" s="6">
        <v>32.03</v>
      </c>
      <c r="E455" s="67">
        <f ca="1">IFERROR(C455*D455*_xlfn.XLOOKUP(B455,[1]!TabCalc[Ticker],[1]!TabCalc[Scale]),0)</f>
        <v>32030</v>
      </c>
      <c r="F455" s="68" cm="1">
        <f t="array" ref="F455">IF(A455=A454,0,SUM(_xlfn._xlws.FILTER(E455:E465,A455:A465=A455)))</f>
        <v>0</v>
      </c>
      <c r="G455" s="69">
        <f>IF(F455&lt;&gt;0,SUM($F$43:F455),0)</f>
        <v>0</v>
      </c>
      <c r="H455" s="69" cm="1">
        <f t="array" ref="H455">IFERROR(IF(A455=A454,0,SUM(_xlfn._xlws.FILTER(E455:E465,(A455:A465=A455)*(E455:E465&gt;0)))),0)</f>
        <v>0</v>
      </c>
      <c r="I455" s="69" cm="1">
        <f t="array" ref="I455">IFERROR(IF(A455=A454,0,SUM(_xlfn._xlws.FILTER(E455:E465,(A455:A465=A455)*(F455&lt;0)))),0)</f>
        <v>0</v>
      </c>
      <c r="J455"/>
      <c r="K455"/>
      <c r="L455"/>
      <c r="M455"/>
      <c r="N455"/>
    </row>
    <row r="456" spans="1:14" hidden="1" x14ac:dyDescent="0.3">
      <c r="A456" s="70">
        <v>45891</v>
      </c>
      <c r="B456" s="70" t="s">
        <v>32</v>
      </c>
      <c r="C456" s="18">
        <v>3000</v>
      </c>
      <c r="D456" s="6">
        <v>76.209999999999994</v>
      </c>
      <c r="E456" s="67">
        <f ca="1">IFERROR(C456*D456*_xlfn.XLOOKUP(B456,[1]!TabCalc[Ticker],[1]!TabCalc[Scale]),0)</f>
        <v>228629.99999999997</v>
      </c>
      <c r="F456" s="68" cm="1">
        <f t="array" ref="F456">IF(A456=A455,0,SUM(_xlfn._xlws.FILTER(E456:E466,A456:A466=A456)))</f>
        <v>0</v>
      </c>
      <c r="G456" s="69">
        <f>IF(F456&lt;&gt;0,SUM($F$43:F456),0)</f>
        <v>0</v>
      </c>
      <c r="H456" s="69" cm="1">
        <f t="array" ref="H456">IFERROR(IF(A456=A455,0,SUM(_xlfn._xlws.FILTER(E456:E466,(A456:A466=A456)*(E456:E466&gt;0)))),0)</f>
        <v>0</v>
      </c>
      <c r="I456" s="69" cm="1">
        <f t="array" ref="I456">IFERROR(IF(A456=A455,0,SUM(_xlfn._xlws.FILTER(E456:E466,(A456:A466=A456)*(F456&lt;0)))),0)</f>
        <v>0</v>
      </c>
      <c r="J456"/>
      <c r="K456"/>
      <c r="L456"/>
      <c r="M456"/>
      <c r="N456"/>
    </row>
    <row r="457" spans="1:14" hidden="1" x14ac:dyDescent="0.3">
      <c r="A457" s="70">
        <v>45891</v>
      </c>
      <c r="B457" s="70" t="s">
        <v>80</v>
      </c>
      <c r="C457" s="18">
        <v>2000</v>
      </c>
      <c r="D457" s="6">
        <v>42.05</v>
      </c>
      <c r="E457" s="67">
        <f ca="1">IFERROR(C457*D457*_xlfn.XLOOKUP(B457,[1]!TabCalc[Ticker],[1]!TabCalc[Scale]),0)</f>
        <v>84100</v>
      </c>
      <c r="F457" s="68" cm="1">
        <f t="array" ref="F457">IF(A457=A456,0,SUM(_xlfn._xlws.FILTER(E457:E467,A457:A467=A457)))</f>
        <v>0</v>
      </c>
      <c r="G457" s="69">
        <f>IF(F457&lt;&gt;0,SUM($F$43:F457),0)</f>
        <v>0</v>
      </c>
      <c r="H457" s="69" cm="1">
        <f t="array" ref="H457">IFERROR(IF(A457=A456,0,SUM(_xlfn._xlws.FILTER(E457:E467,(A457:A467=A457)*(E457:E467&gt;0)))),0)</f>
        <v>0</v>
      </c>
      <c r="I457" s="69" cm="1">
        <f t="array" ref="I457">IFERROR(IF(A457=A456,0,SUM(_xlfn._xlws.FILTER(E457:E467,(A457:A467=A457)*(F457&lt;0)))),0)</f>
        <v>0</v>
      </c>
      <c r="J457"/>
      <c r="K457"/>
      <c r="L457"/>
      <c r="M457"/>
      <c r="N457"/>
    </row>
    <row r="458" spans="1:14" hidden="1" x14ac:dyDescent="0.3">
      <c r="A458" s="64">
        <v>45894</v>
      </c>
      <c r="B458" s="5" t="s">
        <v>80</v>
      </c>
      <c r="C458" s="65">
        <v>1000</v>
      </c>
      <c r="D458" s="80">
        <v>41.42</v>
      </c>
      <c r="E458" s="67">
        <f ca="1">IFERROR(C458*D458*_xlfn.XLOOKUP(B458,[1]!TabCalc[Ticker],[1]!TabCalc[Scale]),0)</f>
        <v>41420</v>
      </c>
      <c r="F458" s="68" cm="1">
        <f t="array" aca="1" ref="F458" ca="1">IF(A458=A457,0,SUM(_xlfn._xlws.FILTER(E458:E468,A458:A468=A458)))</f>
        <v>384380</v>
      </c>
      <c r="G458" s="69">
        <f ca="1">IF(F458&lt;&gt;0,SUM($F$43:F458),0)</f>
        <v>-4068642.7825729996</v>
      </c>
      <c r="H458" s="69" cm="1">
        <f t="array" aca="1" ref="H458" ca="1">IFERROR(IF(A458=A457,0,SUM(_xlfn._xlws.FILTER(E458:E468,(A458:A468=A458)*(E458:E468&gt;0)))),0)</f>
        <v>384380</v>
      </c>
      <c r="I458" s="69" cm="1">
        <f t="array" aca="1" ref="I458" ca="1">IFERROR(IF(A458=A457,0,SUM(_xlfn._xlws.FILTER(E458:E468,(A458:A468=A458)*(F458&lt;0)))),0)</f>
        <v>0</v>
      </c>
      <c r="J458"/>
      <c r="K458"/>
      <c r="L458"/>
      <c r="M458"/>
      <c r="N458"/>
    </row>
    <row r="459" spans="1:14" hidden="1" x14ac:dyDescent="0.3">
      <c r="A459" s="64">
        <v>45894</v>
      </c>
      <c r="B459" s="5" t="s">
        <v>32</v>
      </c>
      <c r="C459" s="65">
        <v>1000</v>
      </c>
      <c r="D459" s="80">
        <v>75.42</v>
      </c>
      <c r="E459" s="67">
        <f ca="1">IFERROR(C459*D459*_xlfn.XLOOKUP(B459,[1]!TabCalc[Ticker],[1]!TabCalc[Scale]),0)</f>
        <v>75420</v>
      </c>
      <c r="F459" s="68" cm="1">
        <f t="array" ref="F459">IF(A459=A458,0,SUM(_xlfn._xlws.FILTER(E459:E469,A459:A469=A459)))</f>
        <v>0</v>
      </c>
      <c r="G459" s="69">
        <f>IF(F459&lt;&gt;0,SUM($F$43:F459),0)</f>
        <v>0</v>
      </c>
      <c r="H459" s="69" cm="1">
        <f t="array" ref="H459">IFERROR(IF(A459=A458,0,SUM(_xlfn._xlws.FILTER(E459:E469,(A459:A469=A459)*(E459:E469&gt;0)))),0)</f>
        <v>0</v>
      </c>
      <c r="I459" s="69" cm="1">
        <f t="array" ref="I459">IFERROR(IF(A459=A458,0,SUM(_xlfn._xlws.FILTER(E459:E469,(A459:A469=A459)*(F459&lt;0)))),0)</f>
        <v>0</v>
      </c>
      <c r="J459"/>
      <c r="K459"/>
      <c r="L459"/>
      <c r="M459"/>
      <c r="N459"/>
    </row>
    <row r="460" spans="1:14" hidden="1" x14ac:dyDescent="0.3">
      <c r="A460" s="64">
        <v>45894</v>
      </c>
      <c r="B460" s="5" t="s">
        <v>40</v>
      </c>
      <c r="C460" s="65">
        <v>2000</v>
      </c>
      <c r="D460" s="80">
        <v>22.45</v>
      </c>
      <c r="E460" s="67">
        <f ca="1">IFERROR(C460*D460*_xlfn.XLOOKUP(B460,[1]!TabCalc[Ticker],[1]!TabCalc[Scale]),0)</f>
        <v>44900</v>
      </c>
      <c r="F460" s="68" cm="1">
        <f t="array" ref="F460">IF(A460=A459,0,SUM(_xlfn._xlws.FILTER(E460:E470,A460:A470=A460)))</f>
        <v>0</v>
      </c>
      <c r="G460" s="69">
        <f>IF(F460&lt;&gt;0,SUM($F$43:F460),0)</f>
        <v>0</v>
      </c>
      <c r="H460" s="69" cm="1">
        <f t="array" ref="H460">IFERROR(IF(A460=A459,0,SUM(_xlfn._xlws.FILTER(E460:E470,(A460:A470=A460)*(E460:E470&gt;0)))),0)</f>
        <v>0</v>
      </c>
      <c r="I460" s="69" cm="1">
        <f t="array" ref="I460">IFERROR(IF(A460=A459,0,SUM(_xlfn._xlws.FILTER(E460:E470,(A460:A470=A460)*(F460&lt;0)))),0)</f>
        <v>0</v>
      </c>
      <c r="J460"/>
      <c r="K460"/>
      <c r="L460"/>
      <c r="M460"/>
      <c r="N460"/>
    </row>
    <row r="461" spans="1:14" hidden="1" x14ac:dyDescent="0.3">
      <c r="A461" s="64">
        <v>45894</v>
      </c>
      <c r="B461" s="5" t="s">
        <v>105</v>
      </c>
      <c r="C461" s="65">
        <v>5000</v>
      </c>
      <c r="D461" s="80">
        <v>10.58</v>
      </c>
      <c r="E461" s="67">
        <f ca="1">IFERROR(C461*D461*_xlfn.XLOOKUP(B461,[1]!TabCalc[Ticker],[1]!TabCalc[Scale]),0)</f>
        <v>52900</v>
      </c>
      <c r="F461" s="68" cm="1">
        <f t="array" ref="F461">IF(A461=A460,0,SUM(_xlfn._xlws.FILTER(E461:E471,A461:A471=A461)))</f>
        <v>0</v>
      </c>
      <c r="G461" s="69">
        <f>IF(F461&lt;&gt;0,SUM($F$43:F461),0)</f>
        <v>0</v>
      </c>
      <c r="H461" s="69" cm="1">
        <f t="array" ref="H461">IFERROR(IF(A461=A460,0,SUM(_xlfn._xlws.FILTER(E461:E471,(A461:A471=A461)*(E461:E471&gt;0)))),0)</f>
        <v>0</v>
      </c>
      <c r="I461" s="69" cm="1">
        <f t="array" ref="I461">IFERROR(IF(A461=A460,0,SUM(_xlfn._xlws.FILTER(E461:E471,(A461:A471=A461)*(F461&lt;0)))),0)</f>
        <v>0</v>
      </c>
      <c r="J461"/>
      <c r="K461"/>
      <c r="L461"/>
      <c r="M461"/>
      <c r="N461"/>
    </row>
    <row r="462" spans="1:14" hidden="1" x14ac:dyDescent="0.3">
      <c r="A462" s="70">
        <v>45896</v>
      </c>
      <c r="B462" s="6" t="s">
        <v>41</v>
      </c>
      <c r="C462" s="18">
        <v>30000</v>
      </c>
      <c r="D462" s="77">
        <v>-0.45</v>
      </c>
      <c r="E462" s="67">
        <f ca="1">IFERROR(C462*D462*_xlfn.XLOOKUP(B462,[1]!TabCalc[Ticker],[1]!TabCalc[Scale]),0)</f>
        <v>-13500</v>
      </c>
      <c r="F462" s="68" cm="1">
        <f t="array" aca="1" ref="F462" ca="1">IF(A462=A461,0,SUM(_xlfn._xlws.FILTER(E462:E472,A462:A472=A462)))</f>
        <v>261732</v>
      </c>
      <c r="G462" s="69">
        <f ca="1">IF(F462&lt;&gt;0,SUM($F$43:F462),0)</f>
        <v>-3806910.7825729996</v>
      </c>
      <c r="H462" s="69" cm="1">
        <f t="array" aca="1" ref="H462" ca="1">IFERROR(IF(A462=A461,0,SUM(_xlfn._xlws.FILTER(E462:E472,(A462:A472=A462)*(E462:E472&gt;0)))),0)</f>
        <v>288732</v>
      </c>
      <c r="I462" s="69" cm="1">
        <f t="array" aca="1" ref="I462" ca="1">IFERROR(IF(A462=A461,0,SUM(_xlfn._xlws.FILTER(E462:E472,(A462:A472=A462)*(F462&lt;0)))),0)</f>
        <v>0</v>
      </c>
      <c r="J462"/>
      <c r="K462"/>
      <c r="L462"/>
      <c r="M462"/>
      <c r="N462"/>
    </row>
    <row r="463" spans="1:14" hidden="1" x14ac:dyDescent="0.3">
      <c r="A463" s="70">
        <v>45896</v>
      </c>
      <c r="B463" s="6" t="s">
        <v>64</v>
      </c>
      <c r="C463" s="18">
        <v>600</v>
      </c>
      <c r="D463" s="77">
        <v>189.91</v>
      </c>
      <c r="E463" s="67">
        <f ca="1">IFERROR(C463*D463*_xlfn.XLOOKUP(B463,[1]!TabCalc[Ticker],[1]!TabCalc[Scale]),0)</f>
        <v>113946</v>
      </c>
      <c r="F463" s="68" cm="1">
        <f t="array" ref="F463">IF(A463=A462,0,SUM(_xlfn._xlws.FILTER(E463:E473,A463:A473=A463)))</f>
        <v>0</v>
      </c>
      <c r="G463" s="69">
        <f>IF(F463&lt;&gt;0,SUM($F$43:F463),0)</f>
        <v>0</v>
      </c>
      <c r="H463" s="69" cm="1">
        <f t="array" ref="H463">IFERROR(IF(A463=A462,0,SUM(_xlfn._xlws.FILTER(E463:E473,(A463:A473=A463)*(E463:E473&gt;0)))),0)</f>
        <v>0</v>
      </c>
      <c r="I463" s="69" cm="1">
        <f t="array" ref="I463">IFERROR(IF(A463=A462,0,SUM(_xlfn._xlws.FILTER(E463:E473,(A463:A473=A463)*(F463&lt;0)))),0)</f>
        <v>0</v>
      </c>
      <c r="J463"/>
      <c r="K463"/>
      <c r="L463"/>
      <c r="M463"/>
      <c r="N463"/>
    </row>
    <row r="464" spans="1:14" hidden="1" x14ac:dyDescent="0.3">
      <c r="A464" s="70">
        <v>45896</v>
      </c>
      <c r="B464" s="6" t="s">
        <v>89</v>
      </c>
      <c r="C464" s="18">
        <v>2000</v>
      </c>
      <c r="D464" s="77">
        <v>15.21</v>
      </c>
      <c r="E464" s="67">
        <f ca="1">IFERROR(C464*D464*_xlfn.XLOOKUP(B464,[1]!TabCalc[Ticker],[1]!TabCalc[Scale]),0)</f>
        <v>30420</v>
      </c>
      <c r="F464" s="68" cm="1">
        <f t="array" ref="F464">IF(A464=A463,0,SUM(_xlfn._xlws.FILTER(E464:E474,A464:A474=A464)))</f>
        <v>0</v>
      </c>
      <c r="G464" s="69">
        <f>IF(F464&lt;&gt;0,SUM($F$43:F464),0)</f>
        <v>0</v>
      </c>
      <c r="H464" s="69" cm="1">
        <f t="array" ref="H464">IFERROR(IF(A464=A463,0,SUM(_xlfn._xlws.FILTER(E464:E474,(A464:A474=A464)*(E464:E474&gt;0)))),0)</f>
        <v>0</v>
      </c>
      <c r="I464" s="69" cm="1">
        <f t="array" ref="I464">IFERROR(IF(A464=A463,0,SUM(_xlfn._xlws.FILTER(E464:E474,(A464:A474=A464)*(F464&lt;0)))),0)</f>
        <v>0</v>
      </c>
      <c r="J464"/>
      <c r="K464"/>
      <c r="L464"/>
      <c r="M464"/>
      <c r="N464"/>
    </row>
    <row r="465" spans="1:14" hidden="1" x14ac:dyDescent="0.3">
      <c r="A465" s="64">
        <v>45897</v>
      </c>
      <c r="B465" s="5" t="s">
        <v>40</v>
      </c>
      <c r="C465" s="65">
        <v>1500</v>
      </c>
      <c r="D465" s="80">
        <v>23.24</v>
      </c>
      <c r="E465" s="67">
        <f ca="1">IFERROR(C465*D465*_xlfn.XLOOKUP(B465,[1]!TabCalc[Ticker],[1]!TabCalc[Scale]),0)</f>
        <v>34860</v>
      </c>
      <c r="F465" s="68" cm="1">
        <f t="array" aca="1" ref="F465" ca="1">IF(A465=A464,0,SUM(_xlfn._xlws.FILTER(E465:E475,A465:A475=A465)))</f>
        <v>69720</v>
      </c>
      <c r="G465" s="69">
        <f ca="1">IF(F465&lt;&gt;0,SUM($F$43:F465),0)</f>
        <v>-3737190.7825729996</v>
      </c>
      <c r="H465" s="69" cm="1">
        <f t="array" aca="1" ref="H465" ca="1">IFERROR(IF(A465=A464,0,SUM(_xlfn._xlws.FILTER(E465:E475,(A465:A475=A465)*(E465:E475&gt;0)))),0)</f>
        <v>69720</v>
      </c>
      <c r="I465" s="69" cm="1">
        <f t="array" aca="1" ref="I465" ca="1">IFERROR(IF(A465=A464,0,SUM(_xlfn._xlws.FILTER(E465:E475,(A465:A475=A465)*(F465&lt;0)))),0)</f>
        <v>0</v>
      </c>
      <c r="J465"/>
      <c r="K465"/>
      <c r="L465"/>
      <c r="M465"/>
      <c r="N465"/>
    </row>
    <row r="466" spans="1:14" hidden="1" x14ac:dyDescent="0.3">
      <c r="A466" s="64">
        <v>45894</v>
      </c>
      <c r="B466" s="5" t="s">
        <v>80</v>
      </c>
      <c r="C466" s="65">
        <v>1000</v>
      </c>
      <c r="D466" s="80">
        <v>41.42</v>
      </c>
      <c r="E466" s="67">
        <f ca="1">IFERROR(C466*D466*_xlfn.XLOOKUP(B466,[1]!TabCalc[Ticker],[1]!TabCalc[Scale]),0)</f>
        <v>41420</v>
      </c>
      <c r="F466" s="68" cm="1">
        <f t="array" aca="1" ref="F466" ca="1">IF(A466=A465,0,SUM(_xlfn._xlws.FILTER(E466:E476,A466:A476=A466)))</f>
        <v>169740</v>
      </c>
      <c r="G466" s="69">
        <f ca="1">IF(F466&lt;&gt;0,SUM($F$43:F466),0)</f>
        <v>-3567450.7825729996</v>
      </c>
      <c r="H466" s="69" cm="1">
        <f t="array" aca="1" ref="H466" ca="1">IFERROR(IF(A466=A465,0,SUM(_xlfn._xlws.FILTER(E466:E476,(A466:A476=A466)*(E466:E476&gt;0)))),0)</f>
        <v>169740</v>
      </c>
      <c r="I466" s="69" cm="1">
        <f t="array" aca="1" ref="I466" ca="1">IFERROR(IF(A466=A465,0,SUM(_xlfn._xlws.FILTER(E466:E476,(A466:A476=A466)*(F466&lt;0)))),0)</f>
        <v>0</v>
      </c>
      <c r="J466"/>
      <c r="K466"/>
      <c r="L466"/>
      <c r="M466"/>
      <c r="N466"/>
    </row>
    <row r="467" spans="1:14" hidden="1" x14ac:dyDescent="0.3">
      <c r="A467" s="64">
        <v>45894</v>
      </c>
      <c r="B467" s="5" t="s">
        <v>32</v>
      </c>
      <c r="C467" s="65">
        <v>1000</v>
      </c>
      <c r="D467" s="80">
        <v>75.42</v>
      </c>
      <c r="E467" s="67">
        <f ca="1">IFERROR(C467*D467*_xlfn.XLOOKUP(B467,[1]!TabCalc[Ticker],[1]!TabCalc[Scale]),0)</f>
        <v>75420</v>
      </c>
      <c r="F467" s="68" cm="1">
        <f t="array" ref="F467">IF(A467=A466,0,SUM(_xlfn._xlws.FILTER(E467:E477,A467:A477=A467)))</f>
        <v>0</v>
      </c>
      <c r="G467" s="69">
        <f>IF(F467&lt;&gt;0,SUM($F$43:F467),0)</f>
        <v>0</v>
      </c>
      <c r="H467" s="69" cm="1">
        <f t="array" ref="H467">IFERROR(IF(A467=A466,0,SUM(_xlfn._xlws.FILTER(E467:E477,(A467:A477=A467)*(E467:E477&gt;0)))),0)</f>
        <v>0</v>
      </c>
      <c r="I467" s="69" cm="1">
        <f t="array" ref="I467">IFERROR(IF(A467=A466,0,SUM(_xlfn._xlws.FILTER(E467:E477,(A467:A477=A467)*(F467&lt;0)))),0)</f>
        <v>0</v>
      </c>
      <c r="J467"/>
      <c r="K467"/>
      <c r="L467"/>
      <c r="M467"/>
      <c r="N467"/>
    </row>
    <row r="468" spans="1:14" hidden="1" x14ac:dyDescent="0.3">
      <c r="A468" s="64">
        <v>45894</v>
      </c>
      <c r="B468" s="5" t="s">
        <v>105</v>
      </c>
      <c r="C468" s="65">
        <v>5000</v>
      </c>
      <c r="D468" s="80">
        <v>10.58</v>
      </c>
      <c r="E468" s="67">
        <f ca="1">IFERROR(C468*D468*_xlfn.XLOOKUP(B468,[1]!TabCalc[Ticker],[1]!TabCalc[Scale]),0)</f>
        <v>52900</v>
      </c>
      <c r="F468" s="68" cm="1">
        <f t="array" ref="F468">IF(A468=A467,0,SUM(_xlfn._xlws.FILTER(E468:E478,A468:A478=A468)))</f>
        <v>0</v>
      </c>
      <c r="G468" s="69">
        <f>IF(F468&lt;&gt;0,SUM($F$43:F468),0)</f>
        <v>0</v>
      </c>
      <c r="H468" s="69" cm="1">
        <f t="array" ref="H468">IFERROR(IF(A468=A467,0,SUM(_xlfn._xlws.FILTER(E468:E478,(A468:A478=A468)*(E468:E478&gt;0)))),0)</f>
        <v>0</v>
      </c>
      <c r="I468" s="69" cm="1">
        <f t="array" ref="I468">IFERROR(IF(A468=A467,0,SUM(_xlfn._xlws.FILTER(E468:E478,(A468:A478=A468)*(F468&lt;0)))),0)</f>
        <v>0</v>
      </c>
      <c r="J468"/>
      <c r="K468"/>
      <c r="L468"/>
      <c r="M468"/>
      <c r="N468"/>
    </row>
    <row r="469" spans="1:14" hidden="1" x14ac:dyDescent="0.3">
      <c r="A469" s="70">
        <v>45896</v>
      </c>
      <c r="B469" s="6" t="s">
        <v>41</v>
      </c>
      <c r="C469" s="18">
        <v>30000</v>
      </c>
      <c r="D469" s="77">
        <v>-0.45</v>
      </c>
      <c r="E469" s="67">
        <f ca="1">IFERROR(C469*D469*_xlfn.XLOOKUP(B469,[1]!TabCalc[Ticker],[1]!TabCalc[Scale]),0)</f>
        <v>-13500</v>
      </c>
      <c r="F469" s="68" cm="1">
        <f t="array" aca="1" ref="F469" ca="1">IF(A469=A468,0,SUM(_xlfn._xlws.FILTER(E469:E479,A469:A479=A469)))</f>
        <v>130866</v>
      </c>
      <c r="G469" s="69">
        <f ca="1">IF(F469&lt;&gt;0,SUM($F$43:F469),0)</f>
        <v>-3436584.7825729996</v>
      </c>
      <c r="H469" s="69" cm="1">
        <f t="array" aca="1" ref="H469" ca="1">IFERROR(IF(A469=A468,0,SUM(_xlfn._xlws.FILTER(E469:E479,(A469:A479=A469)*(E469:E479&gt;0)))),0)</f>
        <v>144366</v>
      </c>
      <c r="I469" s="69" cm="1">
        <f t="array" aca="1" ref="I469" ca="1">IFERROR(IF(A469=A468,0,SUM(_xlfn._xlws.FILTER(E469:E479,(A469:A479=A469)*(F469&lt;0)))),0)</f>
        <v>0</v>
      </c>
      <c r="J469"/>
      <c r="K469"/>
      <c r="L469"/>
      <c r="M469"/>
      <c r="N469"/>
    </row>
    <row r="470" spans="1:14" hidden="1" x14ac:dyDescent="0.3">
      <c r="A470" s="70">
        <v>45896</v>
      </c>
      <c r="B470" s="6" t="s">
        <v>64</v>
      </c>
      <c r="C470" s="18">
        <v>600</v>
      </c>
      <c r="D470" s="77">
        <v>189.91</v>
      </c>
      <c r="E470" s="67">
        <f ca="1">IFERROR(C470*D470*_xlfn.XLOOKUP(B470,[1]!TabCalc[Ticker],[1]!TabCalc[Scale]),0)</f>
        <v>113946</v>
      </c>
      <c r="F470" s="68" cm="1">
        <f t="array" ref="F470">IF(A470=A469,0,SUM(_xlfn._xlws.FILTER(E470:E480,A470:A480=A470)))</f>
        <v>0</v>
      </c>
      <c r="G470" s="69">
        <f>IF(F470&lt;&gt;0,SUM($F$43:F470),0)</f>
        <v>0</v>
      </c>
      <c r="H470" s="69" cm="1">
        <f t="array" ref="H470">IFERROR(IF(A470=A469,0,SUM(_xlfn._xlws.FILTER(E470:E480,(A470:A480=A470)*(E470:E480&gt;0)))),0)</f>
        <v>0</v>
      </c>
      <c r="I470" s="69" cm="1">
        <f t="array" ref="I470">IFERROR(IF(A470=A469,0,SUM(_xlfn._xlws.FILTER(E470:E480,(A470:A480=A470)*(F470&lt;0)))),0)</f>
        <v>0</v>
      </c>
      <c r="J470"/>
      <c r="K470"/>
      <c r="L470"/>
      <c r="M470"/>
      <c r="N470"/>
    </row>
    <row r="471" spans="1:14" hidden="1" x14ac:dyDescent="0.3">
      <c r="A471" s="70">
        <v>45896</v>
      </c>
      <c r="B471" s="6" t="s">
        <v>89</v>
      </c>
      <c r="C471" s="18">
        <v>2000</v>
      </c>
      <c r="D471" s="77">
        <v>15.21</v>
      </c>
      <c r="E471" s="67">
        <f ca="1">IFERROR(C471*D471*_xlfn.XLOOKUP(B471,[1]!TabCalc[Ticker],[1]!TabCalc[Scale]),0)</f>
        <v>30420</v>
      </c>
      <c r="F471" s="68" cm="1">
        <f t="array" ref="F471">IF(A471=A470,0,SUM(_xlfn._xlws.FILTER(E471:E481,A471:A481=A471)))</f>
        <v>0</v>
      </c>
      <c r="G471" s="69">
        <f>IF(F471&lt;&gt;0,SUM($F$43:F471),0)</f>
        <v>0</v>
      </c>
      <c r="H471" s="69" cm="1">
        <f t="array" ref="H471">IFERROR(IF(A471=A470,0,SUM(_xlfn._xlws.FILTER(E471:E481,(A471:A481=A471)*(E471:E481&gt;0)))),0)</f>
        <v>0</v>
      </c>
      <c r="I471" s="69" cm="1">
        <f t="array" ref="I471">IFERROR(IF(A471=A470,0,SUM(_xlfn._xlws.FILTER(E471:E481,(A471:A481=A471)*(F471&lt;0)))),0)</f>
        <v>0</v>
      </c>
      <c r="J471"/>
      <c r="K471"/>
      <c r="L471"/>
      <c r="M471"/>
      <c r="N471"/>
    </row>
    <row r="472" spans="1:14" hidden="1" x14ac:dyDescent="0.3">
      <c r="A472" s="64">
        <v>45897</v>
      </c>
      <c r="B472" s="5" t="s">
        <v>40</v>
      </c>
      <c r="C472" s="65">
        <v>1500</v>
      </c>
      <c r="D472" s="80">
        <v>23.24</v>
      </c>
      <c r="E472" s="67">
        <f ca="1">IFERROR(C472*D472*_xlfn.XLOOKUP(B472,[1]!TabCalc[Ticker],[1]!TabCalc[Scale]),0)</f>
        <v>34860</v>
      </c>
      <c r="F472" s="68" cm="1">
        <f t="array" aca="1" ref="F472" ca="1">IF(A472=A471,0,SUM(_xlfn._xlws.FILTER(E472:E482,A472:A482=A472)))</f>
        <v>34860</v>
      </c>
      <c r="G472" s="69">
        <f ca="1">IF(F472&lt;&gt;0,SUM($F$43:F472),0)</f>
        <v>-3401724.7825729996</v>
      </c>
      <c r="H472" s="69" cm="1">
        <f t="array" aca="1" ref="H472" ca="1">IFERROR(IF(A472=A471,0,SUM(_xlfn._xlws.FILTER(E472:E482,(A472:A482=A472)*(E472:E482&gt;0)))),0)</f>
        <v>34860</v>
      </c>
      <c r="I472" s="69" cm="1">
        <f t="array" aca="1" ref="I472" ca="1">IFERROR(IF(A472=A471,0,SUM(_xlfn._xlws.FILTER(E472:E482,(A472:A482=A472)*(F472&lt;0)))),0)</f>
        <v>0</v>
      </c>
      <c r="J472"/>
      <c r="K472"/>
      <c r="L472"/>
      <c r="M472"/>
      <c r="N472"/>
    </row>
    <row r="473" spans="1:14" hidden="1" x14ac:dyDescent="0.3">
      <c r="A473" s="70">
        <v>45898</v>
      </c>
      <c r="B473" s="6" t="s">
        <v>38</v>
      </c>
      <c r="C473" s="18">
        <v>660</v>
      </c>
      <c r="D473" s="77">
        <v>-67.180000000000007</v>
      </c>
      <c r="E473" s="67">
        <f ca="1">IFERROR(C473*D473*_xlfn.XLOOKUP(B473,[1]!TabCalc[Ticker],[1]!TabCalc[Scale]),0)</f>
        <v>-44338.8</v>
      </c>
      <c r="F473" s="68" cm="1">
        <f t="array" aca="1" ref="F473" ca="1">IF(A473=A472,0,SUM(_xlfn._xlws.FILTER(E473:E483,A473:A483=A473)))</f>
        <v>-5618.8000000000029</v>
      </c>
      <c r="G473" s="69">
        <f ca="1">IF(F473&lt;&gt;0,SUM($F$43:F473),0)</f>
        <v>-3407343.5825729994</v>
      </c>
      <c r="H473" s="69" cm="1">
        <f t="array" aca="1" ref="H473" ca="1">IFERROR(IF(A473=A472,0,SUM(_xlfn._xlws.FILTER(E473:E483,(A473:A483=A473)*(E473:E483&gt;0)))),0)</f>
        <v>38720</v>
      </c>
      <c r="I473" s="69" cm="1">
        <f t="array" aca="1" ref="I473" ca="1">IFERROR(IF(A473=A472,0,SUM(_xlfn._xlws.FILTER(E473:E483,(A473:A483=A473)*(F473&lt;0)))),0)</f>
        <v>-5618.8000000000029</v>
      </c>
      <c r="J473"/>
      <c r="K473"/>
      <c r="L473"/>
      <c r="M473"/>
      <c r="N473"/>
    </row>
    <row r="474" spans="1:14" hidden="1" x14ac:dyDescent="0.3">
      <c r="A474" s="70">
        <v>45898</v>
      </c>
      <c r="B474" s="6" t="s">
        <v>80</v>
      </c>
      <c r="C474" s="18">
        <v>1000</v>
      </c>
      <c r="D474" s="77">
        <v>38.72</v>
      </c>
      <c r="E474" s="67">
        <f ca="1">IFERROR(C474*D474*_xlfn.XLOOKUP(B474,[1]!TabCalc[Ticker],[1]!TabCalc[Scale]),0)</f>
        <v>38720</v>
      </c>
      <c r="F474" s="68" cm="1">
        <f t="array" ref="F474">IF(A474=A473,0,SUM(_xlfn._xlws.FILTER(E474:E484,A474:A484=A474)))</f>
        <v>0</v>
      </c>
      <c r="G474" s="69">
        <f>IF(F474&lt;&gt;0,SUM($F$43:F474),0)</f>
        <v>0</v>
      </c>
      <c r="H474" s="69" cm="1">
        <f t="array" ref="H474">IFERROR(IF(A474=A473,0,SUM(_xlfn._xlws.FILTER(E474:E484,(A474:A484=A474)*(E474:E484&gt;0)))),0)</f>
        <v>0</v>
      </c>
      <c r="I474" s="69" cm="1">
        <f t="array" ref="I474">IFERROR(IF(A474=A473,0,SUM(_xlfn._xlws.FILTER(E474:E484,(A474:A484=A474)*(F474&lt;0)))),0)</f>
        <v>0</v>
      </c>
      <c r="J474"/>
      <c r="K474"/>
      <c r="L474"/>
      <c r="M474"/>
      <c r="N474"/>
    </row>
    <row r="475" spans="1:14" hidden="1" x14ac:dyDescent="0.3">
      <c r="A475" s="64">
        <v>45902</v>
      </c>
      <c r="B475" s="5" t="s">
        <v>94</v>
      </c>
      <c r="C475" s="65">
        <v>5000</v>
      </c>
      <c r="D475" s="80">
        <v>-14.82</v>
      </c>
      <c r="E475" s="67">
        <f ca="1">IFERROR(C475*D475*_xlfn.XLOOKUP(B475,[1]!TabCalc[Ticker],[1]!TabCalc[Scale]),0)</f>
        <v>-74100</v>
      </c>
      <c r="F475" s="68" cm="1">
        <f t="array" aca="1" ref="F475" ca="1">IF(A475=A474,0,SUM(_xlfn._xlws.FILTER(E475:E485,A475:A485=A475)))</f>
        <v>-507190</v>
      </c>
      <c r="G475" s="69">
        <f ca="1">IF(F475&lt;&gt;0,SUM($F$43:F475),0)</f>
        <v>-3914533.5825729994</v>
      </c>
      <c r="H475" s="69" cm="1">
        <f t="array" aca="1" ref="H475" ca="1">IFERROR(IF(A475=A474,0,SUM(_xlfn._xlws.FILTER(E475:E485,(A475:A485=A475)*(E475:E485&gt;0)))),0)</f>
        <v>0</v>
      </c>
      <c r="I475" s="69" cm="1">
        <f t="array" aca="1" ref="I475" ca="1">IFERROR(IF(A475=A474,0,SUM(_xlfn._xlws.FILTER(E475:E485,(A475:A485=A475)*(F475&lt;0)))),0)</f>
        <v>-507190</v>
      </c>
      <c r="J475" s="81" t="str">
        <f ca="1">IFERROR(_xlfn.XLOOKUP(B475,[1]!TabCalc[Ticker],[1]!TabCalc[Cur]),"")</f>
        <v>EUR</v>
      </c>
      <c r="K475" s="68" cm="1">
        <f t="array" aca="1" ref="K475" ca="1">IFERROR(IF($A475=$A474,0,SUM(_xlfn._xlws.FILTER($E475:$E485,($A475:$A485=$A475)*($J475:$J485=K$42)))),0)</f>
        <v>-459100</v>
      </c>
      <c r="L475" s="68" cm="1">
        <f t="array" aca="1" ref="L475" ca="1">IFERROR(IF($A475=$A474,0,SUM(_xlfn._xlws.FILTER($E475:$E485,($A475:$A485=$A475)*($J475:$J485=L$42)))),0)</f>
        <v>0</v>
      </c>
      <c r="M475" s="68" cm="1">
        <f t="array" aca="1" ref="M475" ca="1">IFERROR(IF($A475=$A474,0,SUM(_xlfn._xlws.FILTER($E475:$E485,($A475:$A485=$A475)*($J475:$J485=M$42)))),0)</f>
        <v>-48090</v>
      </c>
      <c r="N475" s="68" cm="1">
        <f t="array" aca="1" ref="N475" ca="1">IFERROR(IF($A475=$A474,0,SUM(_xlfn._xlws.FILTER($E475:$E485,($A475:$A485=$A475)*($J475:$J485=N$42)))),0)</f>
        <v>0</v>
      </c>
    </row>
    <row r="476" spans="1:14" hidden="1" x14ac:dyDescent="0.3">
      <c r="A476" s="64">
        <v>45902</v>
      </c>
      <c r="B476" s="5" t="s">
        <v>63</v>
      </c>
      <c r="C476" s="65">
        <v>10000</v>
      </c>
      <c r="D476" s="80">
        <v>-480.9</v>
      </c>
      <c r="E476" s="67">
        <f ca="1">IFERROR(C476*D476*_xlfn.XLOOKUP(B476,[1]!TabCalc[Ticker],[1]!TabCalc[Scale]),0)</f>
        <v>-48090</v>
      </c>
      <c r="F476" s="68" cm="1">
        <f t="array" ref="F476">IF(A476=A475,0,SUM(_xlfn._xlws.FILTER(E476:E486,A476:A486=A476)))</f>
        <v>0</v>
      </c>
      <c r="G476" s="69">
        <f>IF(F476&lt;&gt;0,SUM($F$43:F476),0)</f>
        <v>0</v>
      </c>
      <c r="H476" s="69" cm="1">
        <f t="array" ref="H476">IFERROR(IF(A476=A475,0,SUM(_xlfn._xlws.FILTER(E476:E486,(A476:A486=A476)*(E476:E486&gt;0)))),0)</f>
        <v>0</v>
      </c>
      <c r="I476" s="69" cm="1">
        <f t="array" ref="I476">IFERROR(IF(A476=A475,0,SUM(_xlfn._xlws.FILTER(E476:E486,(A476:A486=A476)*(F476&lt;0)))),0)</f>
        <v>0</v>
      </c>
      <c r="J476" s="81" t="str">
        <f ca="1">IFERROR(_xlfn.XLOOKUP(B476,[1]!TabCalc[Ticker],[1]!TabCalc[Cur]),"")</f>
        <v>GBp</v>
      </c>
      <c r="K476" s="68" cm="1">
        <f t="array" ref="K476">IFERROR(IF($A476=$A475,0,SUM(_xlfn._xlws.FILTER($E476:$E486,($A476:$A486=$A476)*($J476:$J486=K$42)))),0)</f>
        <v>0</v>
      </c>
      <c r="L476" s="68" cm="1">
        <f t="array" ref="L476">IFERROR(IF($A476=$A475,0,SUM(_xlfn._xlws.FILTER($E476:$E486,($A476:$A486=$A476)*($J476:$J486=L$42)))),0)</f>
        <v>0</v>
      </c>
      <c r="M476" s="68" cm="1">
        <f t="array" ref="M476">IFERROR(IF($A476=$A475,0,SUM(_xlfn._xlws.FILTER($E476:$E486,($A476:$A486=$A476)*($J476:$J486=M$42)))),0)</f>
        <v>0</v>
      </c>
      <c r="N476" s="68" cm="1">
        <f t="array" ref="N476">IFERROR(IF($A476=$A475,0,SUM(_xlfn._xlws.FILTER($E476:$E486,($A476:$A486=$A476)*($J476:$J486=N$42)))),0)</f>
        <v>0</v>
      </c>
    </row>
    <row r="477" spans="1:14" hidden="1" x14ac:dyDescent="0.3">
      <c r="A477" s="64">
        <v>45902</v>
      </c>
      <c r="B477" s="5" t="s">
        <v>75</v>
      </c>
      <c r="C477" s="65">
        <v>5000</v>
      </c>
      <c r="D477" s="80">
        <v>-14.78</v>
      </c>
      <c r="E477" s="67">
        <f ca="1">IFERROR(C477*D477*_xlfn.XLOOKUP(B477,[1]!TabCalc[Ticker],[1]!TabCalc[Scale]),0)</f>
        <v>-73900</v>
      </c>
      <c r="F477" s="68" cm="1">
        <f t="array" ref="F477">IF(A477=A476,0,SUM(_xlfn._xlws.FILTER(E477:E487,A477:A487=A477)))</f>
        <v>0</v>
      </c>
      <c r="G477" s="69">
        <f>IF(F477&lt;&gt;0,SUM($F$43:F477),0)</f>
        <v>0</v>
      </c>
      <c r="H477" s="69" cm="1">
        <f t="array" ref="H477">IFERROR(IF(A477=A476,0,SUM(_xlfn._xlws.FILTER(E477:E487,(A477:A487=A477)*(E477:E487&gt;0)))),0)</f>
        <v>0</v>
      </c>
      <c r="I477" s="69" cm="1">
        <f t="array" ref="I477">IFERROR(IF(A477=A476,0,SUM(_xlfn._xlws.FILTER(E477:E487,(A477:A487=A477)*(F477&lt;0)))),0)</f>
        <v>0</v>
      </c>
      <c r="J477" s="81" t="str">
        <f ca="1">IFERROR(_xlfn.XLOOKUP(B477,[1]!TabCalc[Ticker],[1]!TabCalc[Cur]),"")</f>
        <v>EUR</v>
      </c>
      <c r="K477" s="68" cm="1">
        <f t="array" ref="K477">IFERROR(IF($A477=$A476,0,SUM(_xlfn._xlws.FILTER($E477:$E487,($A477:$A487=$A477)*($J477:$J487=K$42)))),0)</f>
        <v>0</v>
      </c>
      <c r="L477" s="68" cm="1">
        <f t="array" ref="L477">IFERROR(IF($A477=$A476,0,SUM(_xlfn._xlws.FILTER($E477:$E487,($A477:$A487=$A477)*($J477:$J487=L$42)))),0)</f>
        <v>0</v>
      </c>
      <c r="M477" s="68" cm="1">
        <f t="array" ref="M477">IFERROR(IF($A477=$A476,0,SUM(_xlfn._xlws.FILTER($E477:$E487,($A477:$A487=$A477)*($J477:$J487=M$42)))),0)</f>
        <v>0</v>
      </c>
      <c r="N477" s="68" cm="1">
        <f t="array" ref="N477">IFERROR(IF($A477=$A476,0,SUM(_xlfn._xlws.FILTER($E477:$E487,($A477:$A487=$A477)*($J477:$J487=N$42)))),0)</f>
        <v>0</v>
      </c>
    </row>
    <row r="478" spans="1:14" hidden="1" x14ac:dyDescent="0.3">
      <c r="A478" s="64">
        <v>45902</v>
      </c>
      <c r="B478" s="5" t="s">
        <v>30</v>
      </c>
      <c r="C478" s="65">
        <v>500</v>
      </c>
      <c r="D478" s="80">
        <v>-622.20000000000005</v>
      </c>
      <c r="E478" s="67">
        <f ca="1">IFERROR(C478*D478*_xlfn.XLOOKUP(B478,[1]!TabCalc[Ticker],[1]!TabCalc[Scale]),0)</f>
        <v>-311100</v>
      </c>
      <c r="F478" s="68" cm="1">
        <f t="array" ref="F478">IF(A478=A477,0,SUM(_xlfn._xlws.FILTER(E478:E488,A478:A488=A478)))</f>
        <v>0</v>
      </c>
      <c r="G478" s="69">
        <f>IF(F478&lt;&gt;0,SUM($F$43:F478),0)</f>
        <v>0</v>
      </c>
      <c r="H478" s="69" cm="1">
        <f t="array" ref="H478">IFERROR(IF(A478=A477,0,SUM(_xlfn._xlws.FILTER(E478:E488,(A478:A488=A478)*(E478:E488&gt;0)))),0)</f>
        <v>0</v>
      </c>
      <c r="I478" s="69" cm="1">
        <f t="array" ref="I478">IFERROR(IF(A478=A477,0,SUM(_xlfn._xlws.FILTER(E478:E488,(A478:A488=A478)*(F478&lt;0)))),0)</f>
        <v>0</v>
      </c>
      <c r="J478" s="81" t="str">
        <f ca="1">IFERROR(_xlfn.XLOOKUP(B478,[1]!TabCalc[Ticker],[1]!TabCalc[Cur]),"")</f>
        <v>EUR</v>
      </c>
      <c r="K478" s="68" cm="1">
        <f t="array" ref="K478">IFERROR(IF($A478=$A477,0,SUM(_xlfn._xlws.FILTER($E478:$E488,($A478:$A488=$A478)*($J478:$J488=K$42)))),0)</f>
        <v>0</v>
      </c>
      <c r="L478" s="68" cm="1">
        <f t="array" ref="L478">IFERROR(IF($A478=$A477,0,SUM(_xlfn._xlws.FILTER($E478:$E488,($A478:$A488=$A478)*($J478:$J488=L$42)))),0)</f>
        <v>0</v>
      </c>
      <c r="M478" s="68" cm="1">
        <f t="array" ref="M478">IFERROR(IF($A478=$A477,0,SUM(_xlfn._xlws.FILTER($E478:$E488,($A478:$A488=$A478)*($J478:$J488=M$42)))),0)</f>
        <v>0</v>
      </c>
      <c r="N478" s="68" cm="1">
        <f t="array" ref="N478">IFERROR(IF($A478=$A477,0,SUM(_xlfn._xlws.FILTER($E478:$E488,($A478:$A488=$A478)*($J478:$J488=N$42)))),0)</f>
        <v>0</v>
      </c>
    </row>
    <row r="479" spans="1:14" hidden="1" x14ac:dyDescent="0.3">
      <c r="A479" s="64">
        <v>45904</v>
      </c>
      <c r="B479" s="5" t="s">
        <v>97</v>
      </c>
      <c r="C479" s="65">
        <v>1010</v>
      </c>
      <c r="D479" s="80">
        <v>61.8</v>
      </c>
      <c r="E479" s="67">
        <f ca="1">IFERROR(C479*D479*_xlfn.XLOOKUP(B479,[1]!TabCalc[Ticker],[1]!TabCalc[Scale]),0)</f>
        <v>62418</v>
      </c>
      <c r="F479" s="68" cm="1">
        <f t="array" aca="1" ref="F479" ca="1">IF(A479=A478,0,SUM(_xlfn._xlws.FILTER(E479:E489,A479:A489=A479)))</f>
        <v>62418</v>
      </c>
      <c r="G479" s="69">
        <f ca="1">IF(F479&lt;&gt;0,SUM($F$43:F479),0)</f>
        <v>-3852115.5825729994</v>
      </c>
      <c r="H479" s="69" cm="1">
        <f t="array" aca="1" ref="H479" ca="1">IFERROR(IF(A479=A478,0,SUM(_xlfn._xlws.FILTER(E479:E489,(A479:A489=A479)*(E479:E489&gt;0)))),0)</f>
        <v>62418</v>
      </c>
      <c r="I479" s="69" cm="1">
        <f t="array" aca="1" ref="I479" ca="1">IFERROR(IF(A479=A478,0,SUM(_xlfn._xlws.FILTER(E479:E489,(A479:A489=A479)*(F479&lt;0)))),0)</f>
        <v>0</v>
      </c>
      <c r="J479" s="81" t="str">
        <f ca="1">IFERROR(_xlfn.XLOOKUP(B479,[1]!TabCalc[Ticker],[1]!TabCalc[Cur]),"")</f>
        <v>CHF</v>
      </c>
      <c r="K479" s="68" cm="1">
        <f t="array" aca="1" ref="K479" ca="1">IFERROR(IF($A479=$A478,0,SUM(_xlfn._xlws.FILTER($E479:$E489,($A479:$A489=$A479)*($J479:$J489=K$42)))),0)</f>
        <v>0</v>
      </c>
      <c r="L479" s="68" cm="1">
        <f t="array" aca="1" ref="L479" ca="1">IFERROR(IF($A479=$A478,0,SUM(_xlfn._xlws.FILTER($E479:$E489,($A479:$A489=$A479)*($J479:$J489=L$42)))),0)</f>
        <v>0</v>
      </c>
      <c r="M479" s="68" cm="1">
        <f t="array" aca="1" ref="M479" ca="1">IFERROR(IF($A479=$A478,0,SUM(_xlfn._xlws.FILTER($E479:$E489,($A479:$A489=$A479)*($J479:$J489=M$42)))),0)</f>
        <v>0</v>
      </c>
      <c r="N479" s="68" cm="1">
        <f t="array" aca="1" ref="N479" ca="1">IFERROR(IF($A479=$A478,0,SUM(_xlfn._xlws.FILTER($E479:$E489,($A479:$A489=$A479)*($J479:$J489=N$42)))),0)</f>
        <v>62418</v>
      </c>
    </row>
    <row r="480" spans="1:14" ht="23" hidden="1" thickBot="1" x14ac:dyDescent="0.35">
      <c r="A480" s="82">
        <v>45905</v>
      </c>
      <c r="B480" s="83" t="s">
        <v>46</v>
      </c>
      <c r="C480" s="84">
        <v>54</v>
      </c>
      <c r="D480" s="85">
        <v>660.2</v>
      </c>
      <c r="E480" s="67">
        <f ca="1">IFERROR(C480*D480*_xlfn.XLOOKUP(B480,[1]!TabCalc[Ticker],[1]!TabCalc[Scale]),0)</f>
        <v>35650.800000000003</v>
      </c>
      <c r="F480" s="68" cm="1">
        <f t="array" aca="1" ref="F480" ca="1">IF(A480=A479,0,SUM(_xlfn._xlws.FILTER(E480:E490,A480:A490=A480)))</f>
        <v>35650.800000000003</v>
      </c>
      <c r="G480" s="69">
        <f ca="1">IF(F480&lt;&gt;0,SUM($F$43:F480),0)</f>
        <v>-3816464.7825729996</v>
      </c>
      <c r="H480" s="69" cm="1">
        <f t="array" aca="1" ref="H480" ca="1">IFERROR(IF(A480=A479,0,SUM(_xlfn._xlws.FILTER(E480:E490,(A480:A490=A480)*(E480:E490&gt;0)))),0)</f>
        <v>35650.800000000003</v>
      </c>
      <c r="I480" s="69" cm="1">
        <f t="array" aca="1" ref="I480" ca="1">IFERROR(IF(A480=A479,0,SUM(_xlfn._xlws.FILTER(E480:E490,(A480:A490=A480)*(F480&lt;0)))),0)</f>
        <v>0</v>
      </c>
      <c r="J480" s="81" t="str">
        <f ca="1">IFERROR(_xlfn.XLOOKUP(B480,[1]!TabCalc[Ticker],[1]!TabCalc[Cur]),"")</f>
        <v>EUR</v>
      </c>
      <c r="K480" s="68" cm="1">
        <f t="array" aca="1" ref="K480" ca="1">IFERROR(IF($A480=$A479,0,SUM(_xlfn._xlws.FILTER($E480:$E490,($A480:$A490=$A480)*($J480:$J490=K$42)))),0)</f>
        <v>35650.800000000003</v>
      </c>
      <c r="L480" s="68" cm="1">
        <f t="array" aca="1" ref="L480" ca="1">IFERROR(IF($A480=$A479,0,SUM(_xlfn._xlws.FILTER($E480:$E490,($A480:$A490=$A480)*($J480:$J490=L$42)))),0)</f>
        <v>0</v>
      </c>
      <c r="M480" s="68" cm="1">
        <f t="array" aca="1" ref="M480" ca="1">IFERROR(IF($A480=$A479,0,SUM(_xlfn._xlws.FILTER($E480:$E490,($A480:$A490=$A480)*($J480:$J490=M$42)))),0)</f>
        <v>0</v>
      </c>
      <c r="N480" s="68" cm="1">
        <f t="array" aca="1" ref="N480" ca="1">IFERROR(IF($A480=$A479,0,SUM(_xlfn._xlws.FILTER($E480:$E490,($A480:$A490=$A480)*($J480:$J490=N$42)))),0)</f>
        <v>0</v>
      </c>
    </row>
    <row r="481" spans="1:14" hidden="1" x14ac:dyDescent="0.3">
      <c r="A481" s="64">
        <v>45908</v>
      </c>
      <c r="B481" s="5" t="s">
        <v>30</v>
      </c>
      <c r="C481" s="5">
        <v>200</v>
      </c>
      <c r="D481" s="80">
        <v>667.2</v>
      </c>
      <c r="E481" s="67">
        <f ca="1">IFERROR(C481*D481*_xlfn.XLOOKUP(B481,[1]!TabCalc[Ticker],[1]!TabCalc[Scale]),0)</f>
        <v>133440</v>
      </c>
      <c r="F481" s="68" cm="1">
        <f t="array" aca="1" ref="F481" ca="1">IF(A481=A480,0,SUM(_xlfn._xlws.FILTER(E481:E491,A481:A491=A481)))</f>
        <v>133440</v>
      </c>
      <c r="G481" s="69">
        <f ca="1">IF(F481&lt;&gt;0,SUM($F$43:F481),0)</f>
        <v>-3683024.7825729996</v>
      </c>
      <c r="H481" s="69" cm="1">
        <f t="array" aca="1" ref="H481" ca="1">IFERROR(IF(A481=A480,0,SUM(_xlfn._xlws.FILTER(E481:E491,(A481:A491=A481)*(E481:E491&gt;0)))),0)</f>
        <v>133440</v>
      </c>
      <c r="I481" s="69" cm="1">
        <f t="array" aca="1" ref="I481" ca="1">IFERROR(IF(A481=A480,0,SUM(_xlfn._xlws.FILTER(E481:E491,(A481:A491=A481)*(F481&lt;0)))),0)</f>
        <v>0</v>
      </c>
      <c r="J481" s="81" t="str">
        <f ca="1">IFERROR(_xlfn.XLOOKUP(B481,[1]!TabCalc[Ticker],[1]!TabCalc[Cur]),"")</f>
        <v>EUR</v>
      </c>
      <c r="K481" s="68" cm="1">
        <f t="array" aca="1" ref="K481" ca="1">IFERROR(IF($A481=$A480,0,SUM(_xlfn._xlws.FILTER($E481:$E491,($A481:$A491=$A481)*($J481:$J491=K$42)))),0)</f>
        <v>133440</v>
      </c>
      <c r="L481" s="68" cm="1">
        <f t="array" aca="1" ref="L481" ca="1">IFERROR(IF($A481=$A480,0,SUM(_xlfn._xlws.FILTER($E481:$E491,($A481:$A491=$A481)*($J481:$J491=L$42)))),0)</f>
        <v>0</v>
      </c>
      <c r="M481" s="68" cm="1">
        <f t="array" aca="1" ref="M481" ca="1">IFERROR(IF($A481=$A480,0,SUM(_xlfn._xlws.FILTER($E481:$E491,($A481:$A491=$A481)*($J481:$J491=M$42)))),0)</f>
        <v>0</v>
      </c>
      <c r="N481" s="68" cm="1">
        <f t="array" aca="1" ref="N481" ca="1">IFERROR(IF($A481=$A480,0,SUM(_xlfn._xlws.FILTER($E481:$E491,($A481:$A491=$A481)*($J481:$J491=N$42)))),0)</f>
        <v>0</v>
      </c>
    </row>
    <row r="482" spans="1:14" ht="23" hidden="1" thickBot="1" x14ac:dyDescent="0.35">
      <c r="A482" s="82">
        <v>45909</v>
      </c>
      <c r="B482" s="83" t="s">
        <v>42</v>
      </c>
      <c r="C482" s="84">
        <v>250</v>
      </c>
      <c r="D482" s="85">
        <v>194.28</v>
      </c>
      <c r="E482" s="67">
        <f ca="1">IFERROR(C482*D482*_xlfn.XLOOKUP(B482,[1]!TabCalc[Ticker],[1]!TabCalc[Scale]),0)</f>
        <v>48570</v>
      </c>
      <c r="F482" s="68" cm="1">
        <f t="array" aca="1" ref="F482" ca="1">IF(A482=A481,0,SUM(_xlfn._xlws.FILTER(E482:E492,A482:A492=A482)))</f>
        <v>48570</v>
      </c>
      <c r="G482" s="69">
        <f ca="1">IF(F482&lt;&gt;0,SUM($F$43:F482),0)</f>
        <v>-3634454.7825729996</v>
      </c>
      <c r="H482" s="69" cm="1">
        <f t="array" aca="1" ref="H482" ca="1">IFERROR(IF(A482=A481,0,SUM(_xlfn._xlws.FILTER(E482:E492,(A482:A492=A482)*(E482:E492&gt;0)))),0)</f>
        <v>48570</v>
      </c>
      <c r="I482" s="69" cm="1">
        <f t="array" aca="1" ref="I482" ca="1">IFERROR(IF(A482=A481,0,SUM(_xlfn._xlws.FILTER(E482:E492,(A482:A492=A482)*(F482&lt;0)))),0)</f>
        <v>0</v>
      </c>
      <c r="J482" s="81" t="str">
        <f ca="1">IFERROR(_xlfn.XLOOKUP(B482,[1]!TabCalc[Ticker],[1]!TabCalc[Cur]),"")</f>
        <v>USD</v>
      </c>
      <c r="K482" s="68" cm="1">
        <f t="array" aca="1" ref="K482" ca="1">IFERROR(IF($A482=$A481,0,SUM(_xlfn._xlws.FILTER($E482:$E492,($A482:$A492=$A482)*($J482:$J492=K$42)))),0)</f>
        <v>0</v>
      </c>
      <c r="L482" s="68" cm="1">
        <f t="array" aca="1" ref="L482" ca="1">IFERROR(IF($A482=$A481,0,SUM(_xlfn._xlws.FILTER($E482:$E492,($A482:$A492=$A482)*($J482:$J492=L$42)))),0)</f>
        <v>48570</v>
      </c>
      <c r="M482" s="68" cm="1">
        <f t="array" aca="1" ref="M482" ca="1">IFERROR(IF($A482=$A481,0,SUM(_xlfn._xlws.FILTER($E482:$E492,($A482:$A492=$A482)*($J482:$J492=M$42)))),0)</f>
        <v>0</v>
      </c>
      <c r="N482" s="68" cm="1">
        <f t="array" aca="1" ref="N482" ca="1">IFERROR(IF($A482=$A481,0,SUM(_xlfn._xlws.FILTER($E482:$E492,($A482:$A492=$A482)*($J482:$J492=N$42)))),0)</f>
        <v>0</v>
      </c>
    </row>
    <row r="483" spans="1:14" hidden="1" x14ac:dyDescent="0.3">
      <c r="A483" s="64">
        <v>45910</v>
      </c>
      <c r="B483" s="5" t="s">
        <v>87</v>
      </c>
      <c r="C483" s="5">
        <v>2000</v>
      </c>
      <c r="D483" s="80">
        <v>11.41</v>
      </c>
      <c r="E483" s="67">
        <f ca="1">IFERROR(C483*D483*_xlfn.XLOOKUP(B483,[1]!TabCalc[Ticker],[1]!TabCalc[Scale]),0)</f>
        <v>22820</v>
      </c>
      <c r="F483" s="68" cm="1">
        <f t="array" aca="1" ref="F483" ca="1">IF(A483=A482,0,SUM(_xlfn._xlws.FILTER(E483:E493,A483:A493=A483)))</f>
        <v>-344649.147</v>
      </c>
      <c r="G483" s="69">
        <f ca="1">IF(F483&lt;&gt;0,SUM($F$43:F483),0)</f>
        <v>-3979103.9295729995</v>
      </c>
      <c r="H483" s="69" cm="1">
        <f t="array" aca="1" ref="H483" ca="1">IFERROR(IF(A483=A482,0,SUM(_xlfn._xlws.FILTER(E483:E493,(A483:A493=A483)*(E483:E493&gt;0)))),0)</f>
        <v>32070.625</v>
      </c>
      <c r="I483" s="69" cm="1">
        <f t="array" aca="1" ref="I483" ca="1">IFERROR(IF(A483=A482,0,SUM(_xlfn._xlws.FILTER(E483:E493,(A483:A493=A483)*(F483&lt;0)))),0)</f>
        <v>-344649.147</v>
      </c>
      <c r="J483" s="81" t="str">
        <f ca="1">IFERROR(_xlfn.XLOOKUP(B483,[1]!TabCalc[Ticker],[1]!TabCalc[Cur]),"")</f>
        <v>USD</v>
      </c>
      <c r="K483" s="68" cm="1">
        <f t="array" aca="1" ref="K483" ca="1">IFERROR(IF($A483=$A482,0,SUM(_xlfn._xlws.FILTER($E483:$E493,($A483:$A493=$A483)*($J483:$J493=K$42)))),0)</f>
        <v>0</v>
      </c>
      <c r="L483" s="68" cm="1">
        <f t="array" aca="1" ref="L483" ca="1">IFERROR(IF($A483=$A482,0,SUM(_xlfn._xlws.FILTER($E483:$E493,($A483:$A493=$A483)*($J483:$J493=L$42)))),0)</f>
        <v>-344649.147</v>
      </c>
      <c r="M483" s="68" cm="1">
        <f t="array" aca="1" ref="M483" ca="1">IFERROR(IF($A483=$A482,0,SUM(_xlfn._xlws.FILTER($E483:$E493,($A483:$A493=$A483)*($J483:$J493=M$42)))),0)</f>
        <v>0</v>
      </c>
      <c r="N483" s="68" cm="1">
        <f t="array" aca="1" ref="N483" ca="1">IFERROR(IF($A483=$A482,0,SUM(_xlfn._xlws.FILTER($E483:$E493,($A483:$A493=$A483)*($J483:$J493=N$42)))),0)</f>
        <v>0</v>
      </c>
    </row>
    <row r="484" spans="1:14" hidden="1" x14ac:dyDescent="0.3">
      <c r="A484" s="64">
        <v>45910</v>
      </c>
      <c r="B484" s="5" t="s">
        <v>51</v>
      </c>
      <c r="C484" s="5">
        <v>95</v>
      </c>
      <c r="D484" s="80">
        <v>97.375</v>
      </c>
      <c r="E484" s="67">
        <f ca="1">IFERROR(C484*D484*_xlfn.XLOOKUP(B484,[1]!TabCalc[Ticker],[1]!TabCalc[Scale]),0)</f>
        <v>9250.625</v>
      </c>
      <c r="F484" s="68" cm="1">
        <f t="array" ref="F484">IF(A484=A483,0,SUM(_xlfn._xlws.FILTER(E484:E494,A484:A494=A484)))</f>
        <v>0</v>
      </c>
      <c r="G484" s="69">
        <f>IF(F484&lt;&gt;0,SUM($F$43:F484),0)</f>
        <v>0</v>
      </c>
      <c r="H484" s="69" cm="1">
        <f t="array" ref="H484">IFERROR(IF(A484=A483,0,SUM(_xlfn._xlws.FILTER(E484:E494,(A484:A494=A484)*(E484:E494&gt;0)))),0)</f>
        <v>0</v>
      </c>
      <c r="I484" s="69" cm="1">
        <f t="array" ref="I484">IFERROR(IF(A484=A483,0,SUM(_xlfn._xlws.FILTER(E484:E494,(A484:A494=A484)*(F484&lt;0)))),0)</f>
        <v>0</v>
      </c>
      <c r="J484" s="81" t="str">
        <f ca="1">IFERROR(_xlfn.XLOOKUP(B484,[1]!TabCalc[Ticker],[1]!TabCalc[Cur]),"")</f>
        <v>USD</v>
      </c>
      <c r="K484" s="68" cm="1">
        <f t="array" ref="K484">IFERROR(IF($A484=$A483,0,SUM(_xlfn._xlws.FILTER($E484:$E494,($A484:$A494=$A484)*($J484:$J494=K$42)))),0)</f>
        <v>0</v>
      </c>
      <c r="L484" s="68" cm="1">
        <f t="array" ref="L484">IFERROR(IF($A484=$A483,0,SUM(_xlfn._xlws.FILTER($E484:$E494,($A484:$A494=$A484)*($J484:$J494=L$42)))),0)</f>
        <v>0</v>
      </c>
      <c r="M484" s="68" cm="1">
        <f t="array" ref="M484">IFERROR(IF($A484=$A483,0,SUM(_xlfn._xlws.FILTER($E484:$E494,($A484:$A494=$A484)*($J484:$J494=M$42)))),0)</f>
        <v>0</v>
      </c>
      <c r="N484" s="68" cm="1">
        <f t="array" ref="N484">IFERROR(IF($A484=$A483,0,SUM(_xlfn._xlws.FILTER($E484:$E494,($A484:$A494=$A484)*($J484:$J494=N$42)))),0)</f>
        <v>0</v>
      </c>
    </row>
    <row r="485" spans="1:14" hidden="1" x14ac:dyDescent="0.3">
      <c r="A485" s="64">
        <v>45910</v>
      </c>
      <c r="B485" s="5" t="s">
        <v>32</v>
      </c>
      <c r="C485" s="5">
        <v>4000</v>
      </c>
      <c r="D485" s="80">
        <v>-71.000443000000004</v>
      </c>
      <c r="E485" s="67">
        <f ca="1">IFERROR(C485*D485*_xlfn.XLOOKUP(B485,[1]!TabCalc[Ticker],[1]!TabCalc[Scale]),0)</f>
        <v>-284001.772</v>
      </c>
      <c r="F485" s="68" cm="1">
        <f t="array" ref="F485">IF(A485=A484,0,SUM(_xlfn._xlws.FILTER(E485:E495,A485:A495=A485)))</f>
        <v>0</v>
      </c>
      <c r="G485" s="69">
        <f>IF(F485&lt;&gt;0,SUM($F$43:F485),0)</f>
        <v>0</v>
      </c>
      <c r="H485" s="69" cm="1">
        <f t="array" ref="H485">IFERROR(IF(A485=A484,0,SUM(_xlfn._xlws.FILTER(E485:E495,(A485:A495=A485)*(E485:E495&gt;0)))),0)</f>
        <v>0</v>
      </c>
      <c r="I485" s="69" cm="1">
        <f t="array" ref="I485">IFERROR(IF(A485=A484,0,SUM(_xlfn._xlws.FILTER(E485:E495,(A485:A495=A485)*(F485&lt;0)))),0)</f>
        <v>0</v>
      </c>
      <c r="J485" s="81" t="str">
        <f ca="1">IFERROR(_xlfn.XLOOKUP(B485,[1]!TabCalc[Ticker],[1]!TabCalc[Cur]),"")</f>
        <v>USD</v>
      </c>
      <c r="K485" s="68" cm="1">
        <f t="array" ref="K485">IFERROR(IF($A485=$A484,0,SUM(_xlfn._xlws.FILTER($E485:$E495,($A485:$A495=$A485)*($J485:$J495=K$42)))),0)</f>
        <v>0</v>
      </c>
      <c r="L485" s="68" cm="1">
        <f t="array" ref="L485">IFERROR(IF($A485=$A484,0,SUM(_xlfn._xlws.FILTER($E485:$E495,($A485:$A495=$A485)*($J485:$J495=L$42)))),0)</f>
        <v>0</v>
      </c>
      <c r="M485" s="68" cm="1">
        <f t="array" ref="M485">IFERROR(IF($A485=$A484,0,SUM(_xlfn._xlws.FILTER($E485:$E495,($A485:$A495=$A485)*($J485:$J495=M$42)))),0)</f>
        <v>0</v>
      </c>
      <c r="N485" s="68" cm="1">
        <f t="array" ref="N485">IFERROR(IF($A485=$A484,0,SUM(_xlfn._xlws.FILTER($E485:$E495,($A485:$A495=$A485)*($J485:$J495=N$42)))),0)</f>
        <v>0</v>
      </c>
    </row>
    <row r="486" spans="1:14" hidden="1" x14ac:dyDescent="0.3">
      <c r="A486" s="64">
        <v>45910</v>
      </c>
      <c r="B486" s="5" t="s">
        <v>33</v>
      </c>
      <c r="C486" s="5">
        <v>800</v>
      </c>
      <c r="D486" s="80">
        <v>-115.89749999999999</v>
      </c>
      <c r="E486" s="67">
        <f ca="1">IFERROR(C486*D486*_xlfn.XLOOKUP(B486,[1]!TabCalc[Ticker],[1]!TabCalc[Scale]),0)</f>
        <v>-92718</v>
      </c>
      <c r="F486" s="68" cm="1">
        <f t="array" ref="F486">IF(A486=A485,0,SUM(_xlfn._xlws.FILTER(E486:E496,A486:A496=A486)))</f>
        <v>0</v>
      </c>
      <c r="G486" s="69">
        <f>IF(F486&lt;&gt;0,SUM($F$43:F486),0)</f>
        <v>0</v>
      </c>
      <c r="H486" s="69" cm="1">
        <f t="array" ref="H486">IFERROR(IF(A486=A485,0,SUM(_xlfn._xlws.FILTER(E486:E496,(A486:A496=A486)*(E486:E496&gt;0)))),0)</f>
        <v>0</v>
      </c>
      <c r="I486" s="69" cm="1">
        <f t="array" ref="I486">IFERROR(IF(A486=A485,0,SUM(_xlfn._xlws.FILTER(E486:E496,(A486:A496=A486)*(F486&lt;0)))),0)</f>
        <v>0</v>
      </c>
      <c r="J486" s="81" t="str">
        <f ca="1">IFERROR(_xlfn.XLOOKUP(B486,[1]!TabCalc[Ticker],[1]!TabCalc[Cur]),"")</f>
        <v>USD</v>
      </c>
      <c r="K486" s="68" cm="1">
        <f t="array" ref="K486">IFERROR(IF($A486=$A485,0,SUM(_xlfn._xlws.FILTER($E486:$E496,($A486:$A496=$A486)*($J486:$J496=K$42)))),0)</f>
        <v>0</v>
      </c>
      <c r="L486" s="68" cm="1">
        <f t="array" ref="L486">IFERROR(IF($A486=$A485,0,SUM(_xlfn._xlws.FILTER($E486:$E496,($A486:$A496=$A486)*($J486:$J496=L$42)))),0)</f>
        <v>0</v>
      </c>
      <c r="M486" s="68" cm="1">
        <f t="array" ref="M486">IFERROR(IF($A486=$A485,0,SUM(_xlfn._xlws.FILTER($E486:$E496,($A486:$A496=$A486)*($J486:$J496=M$42)))),0)</f>
        <v>0</v>
      </c>
      <c r="N486" s="68" cm="1">
        <f t="array" ref="N486">IFERROR(IF($A486=$A485,0,SUM(_xlfn._xlws.FILTER($E486:$E496,($A486:$A496=$A486)*($J486:$J496=N$42)))),0)</f>
        <v>0</v>
      </c>
    </row>
    <row r="487" spans="1:14" hidden="1" x14ac:dyDescent="0.3">
      <c r="A487" s="64">
        <v>45911</v>
      </c>
      <c r="B487" s="5" t="s">
        <v>55</v>
      </c>
      <c r="C487" s="5">
        <v>300</v>
      </c>
      <c r="D487" s="80">
        <v>230.35</v>
      </c>
      <c r="E487" s="67">
        <f ca="1">IFERROR(C487*D487*_xlfn.XLOOKUP(B487,[1]!TabCalc[Ticker],[1]!TabCalc[Scale]),0)</f>
        <v>69105</v>
      </c>
      <c r="F487" s="68" cm="1">
        <f t="array" aca="1" ref="F487" ca="1">IF(A487=A486,0,SUM(_xlfn._xlws.FILTER(E487:E497,A487:A497=A487)))</f>
        <v>138168</v>
      </c>
      <c r="G487" s="69">
        <f ca="1">IF(F487&lt;&gt;0,SUM($F$43:F487),0)</f>
        <v>-3840935.9295729995</v>
      </c>
      <c r="H487" s="69" cm="1">
        <f t="array" aca="1" ref="H487" ca="1">IFERROR(IF(A487=A486,0,SUM(_xlfn._xlws.FILTER(E487:E497,(A487:A497=A487)*(E487:E497&gt;0)))),0)</f>
        <v>138168</v>
      </c>
      <c r="I487" s="69" cm="1">
        <f t="array" aca="1" ref="I487" ca="1">IFERROR(IF(A487=A486,0,SUM(_xlfn._xlws.FILTER(E487:E497,(A487:A497=A487)*(F487&lt;0)))),0)</f>
        <v>0</v>
      </c>
      <c r="J487" s="81" t="str">
        <f ca="1">IFERROR(_xlfn.XLOOKUP(B487,[1]!TabCalc[Ticker],[1]!TabCalc[Cur]),"")</f>
        <v>USD</v>
      </c>
      <c r="K487" s="68" cm="1">
        <f t="array" aca="1" ref="K487" ca="1">IFERROR(IF($A487=$A486,0,SUM(_xlfn._xlws.FILTER($E487:$E497,($A487:$A497=$A487)*($J487:$J497=K$42)))),0)</f>
        <v>0</v>
      </c>
      <c r="L487" s="68" cm="1">
        <f t="array" aca="1" ref="L487" ca="1">IFERROR(IF($A487=$A486,0,SUM(_xlfn._xlws.FILTER($E487:$E497,($A487:$A497=$A487)*($J487:$J497=L$42)))),0)</f>
        <v>138168</v>
      </c>
      <c r="M487" s="68" cm="1">
        <f t="array" aca="1" ref="M487" ca="1">IFERROR(IF($A487=$A486,0,SUM(_xlfn._xlws.FILTER($E487:$E497,($A487:$A497=$A487)*($J487:$J497=M$42)))),0)</f>
        <v>0</v>
      </c>
      <c r="N487" s="68" cm="1">
        <f t="array" aca="1" ref="N487" ca="1">IFERROR(IF($A487=$A486,0,SUM(_xlfn._xlws.FILTER($E487:$E497,($A487:$A497=$A487)*($J487:$J497=N$42)))),0)</f>
        <v>0</v>
      </c>
    </row>
    <row r="488" spans="1:14" ht="23" hidden="1" thickBot="1" x14ac:dyDescent="0.35">
      <c r="A488" s="82">
        <v>45911</v>
      </c>
      <c r="B488" s="83" t="s">
        <v>45</v>
      </c>
      <c r="C488" s="84">
        <v>300</v>
      </c>
      <c r="D488" s="85">
        <v>230.21</v>
      </c>
      <c r="E488" s="67">
        <f ca="1">IFERROR(C488*D488*_xlfn.XLOOKUP(B488,[1]!TabCalc[Ticker],[1]!TabCalc[Scale]),0)</f>
        <v>69063</v>
      </c>
      <c r="F488" s="68" cm="1">
        <f t="array" ref="F488">IF(A488=A487,0,SUM(_xlfn._xlws.FILTER(E488:E498,A488:A498=A488)))</f>
        <v>0</v>
      </c>
      <c r="G488" s="69">
        <f>IF(F488&lt;&gt;0,SUM($F$43:F488),0)</f>
        <v>0</v>
      </c>
      <c r="H488" s="69" cm="1">
        <f t="array" ref="H488">IFERROR(IF(A488=A487,0,SUM(_xlfn._xlws.FILTER(E488:E498,(A488:A498=A488)*(E488:E498&gt;0)))),0)</f>
        <v>0</v>
      </c>
      <c r="I488" s="69" cm="1">
        <f t="array" ref="I488">IFERROR(IF(A488=A487,0,SUM(_xlfn._xlws.FILTER(E488:E498,(A488:A498=A488)*(F488&lt;0)))),0)</f>
        <v>0</v>
      </c>
      <c r="J488" s="81" t="str">
        <f ca="1">IFERROR(_xlfn.XLOOKUP(B488,[1]!TabCalc[Ticker],[1]!TabCalc[Cur]),"")</f>
        <v>USD</v>
      </c>
      <c r="K488" s="68" cm="1">
        <f t="array" ref="K488">IFERROR(IF($A488=$A487,0,SUM(_xlfn._xlws.FILTER($E488:$E498,($A488:$A498=$A488)*($J488:$J498=K$42)))),0)</f>
        <v>0</v>
      </c>
      <c r="L488" s="68" cm="1">
        <f t="array" ref="L488">IFERROR(IF($A488=$A487,0,SUM(_xlfn._xlws.FILTER($E488:$E498,($A488:$A498=$A488)*($J488:$J498=L$42)))),0)</f>
        <v>0</v>
      </c>
      <c r="M488" s="68" cm="1">
        <f t="array" ref="M488">IFERROR(IF($A488=$A487,0,SUM(_xlfn._xlws.FILTER($E488:$E498,($A488:$A498=$A488)*($J488:$J498=M$42)))),0)</f>
        <v>0</v>
      </c>
      <c r="N488" s="68" cm="1">
        <f t="array" ref="N488">IFERROR(IF($A488=$A487,0,SUM(_xlfn._xlws.FILTER($E488:$E498,($A488:$A498=$A488)*($J488:$J498=N$42)))),0)</f>
        <v>0</v>
      </c>
    </row>
    <row r="489" spans="1:14" hidden="1" x14ac:dyDescent="0.3">
      <c r="A489" s="64">
        <v>45912</v>
      </c>
      <c r="B489" s="5" t="s">
        <v>75</v>
      </c>
      <c r="C489" s="5">
        <v>3750</v>
      </c>
      <c r="D489" s="80">
        <v>15.53</v>
      </c>
      <c r="E489" s="67">
        <f ca="1">IFERROR(C489*D489*_xlfn.XLOOKUP(B489,[1]!TabCalc[Ticker],[1]!TabCalc[Scale]),0)</f>
        <v>58237.5</v>
      </c>
      <c r="F489" s="68" cm="1">
        <f t="array" aca="1" ref="F489" ca="1">IF(A489=A488,0,SUM(_xlfn._xlws.FILTER(E489:E499,A489:A499=A489)))</f>
        <v>216757.5</v>
      </c>
      <c r="G489" s="69">
        <f ca="1">IF(F489&lt;&gt;0,SUM($F$43:F489),0)</f>
        <v>-3624178.4295729995</v>
      </c>
      <c r="H489" s="69" cm="1">
        <f t="array" aca="1" ref="H489" ca="1">IFERROR(IF(A489=A488,0,SUM(_xlfn._xlws.FILTER(E489:E499,(A489:A499=A489)*(E489:E499&gt;0)))),0)</f>
        <v>216757.5</v>
      </c>
      <c r="I489" s="69" cm="1">
        <f t="array" aca="1" ref="I489" ca="1">IFERROR(IF(A489=A488,0,SUM(_xlfn._xlws.FILTER(E489:E499,(A489:A499=A489)*(F489&lt;0)))),0)</f>
        <v>0</v>
      </c>
      <c r="J489" s="81" t="str">
        <f ca="1">IFERROR(_xlfn.XLOOKUP(B489,[1]!TabCalc[Ticker],[1]!TabCalc[Cur]),"")</f>
        <v>EUR</v>
      </c>
      <c r="K489" s="68" cm="1">
        <f t="array" aca="1" ref="K489" ca="1">IFERROR(IF($A489=$A488,0,SUM(_xlfn._xlws.FILTER($E489:$E499,($A489:$A499=$A489)*($J489:$J499=K$42)))),0)</f>
        <v>58237.5</v>
      </c>
      <c r="L489" s="68" cm="1">
        <f t="array" aca="1" ref="L489" ca="1">IFERROR(IF($A489=$A488,0,SUM(_xlfn._xlws.FILTER($E489:$E499,($A489:$A499=$A489)*($J489:$J499=L$42)))),0)</f>
        <v>158520</v>
      </c>
      <c r="M489" s="68" cm="1">
        <f t="array" aca="1" ref="M489" ca="1">IFERROR(IF($A489=$A488,0,SUM(_xlfn._xlws.FILTER($E489:$E499,($A489:$A499=$A489)*($J489:$J499=M$42)))),0)</f>
        <v>0</v>
      </c>
      <c r="N489" s="68" cm="1">
        <f t="array" aca="1" ref="N489" ca="1">IFERROR(IF($A489=$A488,0,SUM(_xlfn._xlws.FILTER($E489:$E499,($A489:$A499=$A489)*($J489:$J499=N$42)))),0)</f>
        <v>0</v>
      </c>
    </row>
    <row r="490" spans="1:14" hidden="1" x14ac:dyDescent="0.3">
      <c r="A490" s="64">
        <v>45912</v>
      </c>
      <c r="B490" s="5" t="s">
        <v>82</v>
      </c>
      <c r="C490" s="5">
        <v>2000</v>
      </c>
      <c r="D490" s="80">
        <v>79.260000000000005</v>
      </c>
      <c r="E490" s="67">
        <f ca="1">IFERROR(C490*D490*_xlfn.XLOOKUP(B490,[1]!TabCalc[Ticker],[1]!TabCalc[Scale]),0)</f>
        <v>158520</v>
      </c>
      <c r="F490" s="68" cm="1">
        <f t="array" ref="F490">IF(A490=A489,0,SUM(_xlfn._xlws.FILTER(E490:E500,A490:A500=A490)))</f>
        <v>0</v>
      </c>
      <c r="G490" s="69">
        <f>IF(F490&lt;&gt;0,SUM($F$43:F490),0)</f>
        <v>0</v>
      </c>
      <c r="H490" s="69" cm="1">
        <f t="array" ref="H490">IFERROR(IF(A490=A489,0,SUM(_xlfn._xlws.FILTER(E490:E500,(A490:A500=A490)*(E490:E500&gt;0)))),0)</f>
        <v>0</v>
      </c>
      <c r="I490" s="69" cm="1">
        <f t="array" ref="I490">IFERROR(IF(A490=A489,0,SUM(_xlfn._xlws.FILTER(E490:E500,(A490:A500=A490)*(F490&lt;0)))),0)</f>
        <v>0</v>
      </c>
      <c r="J490" s="81" t="str">
        <f ca="1">IFERROR(_xlfn.XLOOKUP(B490,[1]!TabCalc[Ticker],[1]!TabCalc[Cur]),"")</f>
        <v>USD</v>
      </c>
      <c r="K490" s="68" cm="1">
        <f t="array" ref="K490">IFERROR(IF($A490=$A489,0,SUM(_xlfn._xlws.FILTER($E490:$E500,($A490:$A500=$A490)*($J490:$J500=K$42)))),0)</f>
        <v>0</v>
      </c>
      <c r="L490" s="68" cm="1">
        <f t="array" ref="L490">IFERROR(IF($A490=$A489,0,SUM(_xlfn._xlws.FILTER($E490:$E500,($A490:$A500=$A490)*($J490:$J500=L$42)))),0)</f>
        <v>0</v>
      </c>
      <c r="M490" s="68" cm="1">
        <f t="array" ref="M490">IFERROR(IF($A490=$A489,0,SUM(_xlfn._xlws.FILTER($E490:$E500,($A490:$A500=$A490)*($J490:$J500=M$42)))),0)</f>
        <v>0</v>
      </c>
      <c r="N490" s="68" cm="1">
        <f t="array" ref="N490">IFERROR(IF($A490=$A489,0,SUM(_xlfn._xlws.FILTER($E490:$E500,($A490:$A500=$A490)*($J490:$J500=N$42)))),0)</f>
        <v>0</v>
      </c>
    </row>
    <row r="491" spans="1:14" ht="23" hidden="1" thickBot="1" x14ac:dyDescent="0.35">
      <c r="A491" s="82">
        <v>45915</v>
      </c>
      <c r="B491" s="83" t="s">
        <v>94</v>
      </c>
      <c r="C491" s="84">
        <v>5000</v>
      </c>
      <c r="D491" s="85">
        <v>15.63</v>
      </c>
      <c r="E491" s="67">
        <f ca="1">IFERROR(C491*D491*_xlfn.XLOOKUP(B491,[1]!TabCalc[Ticker],[1]!TabCalc[Scale]),0)</f>
        <v>78150</v>
      </c>
      <c r="F491" s="68" cm="1">
        <f t="array" aca="1" ref="F491" ca="1">IF(A491=A490,0,SUM(_xlfn._xlws.FILTER(E491:E501,A491:A501=A491)))</f>
        <v>224336</v>
      </c>
      <c r="G491" s="69">
        <f ca="1">IF(F491&lt;&gt;0,SUM($F$43:F491),0)</f>
        <v>-3399842.4295729995</v>
      </c>
      <c r="H491" s="69" cm="1">
        <f t="array" aca="1" ref="H491" ca="1">IFERROR(IF(A491=A490,0,SUM(_xlfn._xlws.FILTER(E491:E501,(A491:A501=A491)*(E491:E501&gt;0)))),0)</f>
        <v>336170</v>
      </c>
      <c r="I491" s="69" cm="1">
        <f t="array" aca="1" ref="I491" ca="1">IFERROR(IF(A491=A490,0,SUM(_xlfn._xlws.FILTER(E491:E501,(A491:A501=A491)*(F491&lt;0)))),0)</f>
        <v>0</v>
      </c>
      <c r="J491" s="81" t="str">
        <f ca="1">IFERROR(_xlfn.XLOOKUP(B491,[1]!TabCalc[Ticker],[1]!TabCalc[Cur]),"")</f>
        <v>EUR</v>
      </c>
      <c r="K491" s="68" cm="1">
        <f t="array" aca="1" ref="K491" ca="1">IFERROR(IF($A491=$A490,0,SUM(_xlfn._xlws.FILTER($E491:$E501,($A491:$A501=$A491)*($J491:$J501=K$42)))),0)</f>
        <v>336170</v>
      </c>
      <c r="L491" s="68" cm="1">
        <f t="array" aca="1" ref="L491" ca="1">IFERROR(IF($A491=$A490,0,SUM(_xlfn._xlws.FILTER($E491:$E501,($A491:$A501=$A491)*($J491:$J501=L$42)))),0)</f>
        <v>-111833.99999999999</v>
      </c>
      <c r="M491" s="68" cm="1">
        <f t="array" aca="1" ref="M491" ca="1">IFERROR(IF($A491=$A490,0,SUM(_xlfn._xlws.FILTER($E491:$E501,($A491:$A501=$A491)*($J491:$J501=M$42)))),0)</f>
        <v>0</v>
      </c>
      <c r="N491" s="68" cm="1">
        <f t="array" aca="1" ref="N491" ca="1">IFERROR(IF($A491=$A490,0,SUM(_xlfn._xlws.FILTER($E491:$E501,($A491:$A501=$A491)*($J491:$J501=N$42)))),0)</f>
        <v>0</v>
      </c>
    </row>
    <row r="492" spans="1:14" ht="23" hidden="1" thickBot="1" x14ac:dyDescent="0.35">
      <c r="A492" s="82">
        <v>45915</v>
      </c>
      <c r="B492" s="83" t="s">
        <v>75</v>
      </c>
      <c r="C492" s="84">
        <v>2500</v>
      </c>
      <c r="D492" s="85">
        <v>15.8</v>
      </c>
      <c r="E492" s="67">
        <f ca="1">IFERROR(C492*D492*_xlfn.XLOOKUP(B492,[1]!TabCalc[Ticker],[1]!TabCalc[Scale]),0)</f>
        <v>39500</v>
      </c>
      <c r="F492" s="68" cm="1">
        <f t="array" ref="F492">IF(A492=A491,0,SUM(_xlfn._xlws.FILTER(E492:E502,A492:A502=A492)))</f>
        <v>0</v>
      </c>
      <c r="G492" s="69">
        <f>IF(F492&lt;&gt;0,SUM($F$43:F492),0)</f>
        <v>0</v>
      </c>
      <c r="H492" s="69" cm="1">
        <f t="array" ref="H492">IFERROR(IF(A492=A491,0,SUM(_xlfn._xlws.FILTER(E492:E502,(A492:A502=A492)*(E492:E502&gt;0)))),0)</f>
        <v>0</v>
      </c>
      <c r="I492" s="69" cm="1">
        <f t="array" ref="I492">IFERROR(IF(A492=A491,0,SUM(_xlfn._xlws.FILTER(E492:E502,(A492:A502=A492)*(F492&lt;0)))),0)</f>
        <v>0</v>
      </c>
      <c r="J492" s="81" t="str">
        <f ca="1">IFERROR(_xlfn.XLOOKUP(B492,[1]!TabCalc[Ticker],[1]!TabCalc[Cur]),"")</f>
        <v>EUR</v>
      </c>
      <c r="K492" s="68" cm="1">
        <f t="array" ref="K492">IFERROR(IF($A492=$A491,0,SUM(_xlfn._xlws.FILTER($E492:$E502,($A492:$A502=$A492)*($J492:$J502=K$42)))),0)</f>
        <v>0</v>
      </c>
      <c r="L492" s="68" cm="1">
        <f t="array" ref="L492">IFERROR(IF($A492=$A491,0,SUM(_xlfn._xlws.FILTER($E492:$E502,($A492:$A502=$A492)*($J492:$J502=L$42)))),0)</f>
        <v>0</v>
      </c>
      <c r="M492" s="68" cm="1">
        <f t="array" ref="M492">IFERROR(IF($A492=$A491,0,SUM(_xlfn._xlws.FILTER($E492:$E502,($A492:$A502=$A492)*($J492:$J502=M$42)))),0)</f>
        <v>0</v>
      </c>
      <c r="N492" s="68" cm="1">
        <f t="array" ref="N492">IFERROR(IF($A492=$A491,0,SUM(_xlfn._xlws.FILTER($E492:$E502,($A492:$A502=$A492)*($J492:$J502=N$42)))),0)</f>
        <v>0</v>
      </c>
    </row>
    <row r="493" spans="1:14" ht="23" hidden="1" thickBot="1" x14ac:dyDescent="0.35">
      <c r="A493" s="82">
        <v>45915</v>
      </c>
      <c r="B493" s="83" t="s">
        <v>30</v>
      </c>
      <c r="C493" s="84">
        <v>300</v>
      </c>
      <c r="D493" s="85">
        <v>728.4</v>
      </c>
      <c r="E493" s="67">
        <f ca="1">IFERROR(C493*D493*_xlfn.XLOOKUP(B493,[1]!TabCalc[Ticker],[1]!TabCalc[Scale]),0)</f>
        <v>218520</v>
      </c>
      <c r="F493" s="68" cm="1">
        <f t="array" ref="F493">IF(A493=A492,0,SUM(_xlfn._xlws.FILTER(E493:E503,A493:A503=A493)))</f>
        <v>0</v>
      </c>
      <c r="G493" s="69">
        <f>IF(F493&lt;&gt;0,SUM($F$43:F493),0)</f>
        <v>0</v>
      </c>
      <c r="H493" s="69" cm="1">
        <f t="array" ref="H493">IFERROR(IF(A493=A492,0,SUM(_xlfn._xlws.FILTER(E493:E503,(A493:A503=A493)*(E493:E503&gt;0)))),0)</f>
        <v>0</v>
      </c>
      <c r="I493" s="69" cm="1">
        <f t="array" ref="I493">IFERROR(IF(A493=A492,0,SUM(_xlfn._xlws.FILTER(E493:E503,(A493:A503=A493)*(F493&lt;0)))),0)</f>
        <v>0</v>
      </c>
      <c r="J493" s="81" t="str">
        <f ca="1">IFERROR(_xlfn.XLOOKUP(B493,[1]!TabCalc[Ticker],[1]!TabCalc[Cur]),"")</f>
        <v>EUR</v>
      </c>
      <c r="K493" s="68" cm="1">
        <f t="array" ref="K493">IFERROR(IF($A493=$A492,0,SUM(_xlfn._xlws.FILTER($E493:$E503,($A493:$A503=$A493)*($J493:$J503=K$42)))),0)</f>
        <v>0</v>
      </c>
      <c r="L493" s="68" cm="1">
        <f t="array" ref="L493">IFERROR(IF($A493=$A492,0,SUM(_xlfn._xlws.FILTER($E493:$E503,($A493:$A503=$A493)*($J493:$J503=L$42)))),0)</f>
        <v>0</v>
      </c>
      <c r="M493" s="68" cm="1">
        <f t="array" ref="M493">IFERROR(IF($A493=$A492,0,SUM(_xlfn._xlws.FILTER($E493:$E503,($A493:$A503=$A493)*($J493:$J503=M$42)))),0)</f>
        <v>0</v>
      </c>
      <c r="N493" s="68" cm="1">
        <f t="array" ref="N493">IFERROR(IF($A493=$A492,0,SUM(_xlfn._xlws.FILTER($E493:$E503,($A493:$A503=$A493)*($J493:$J503=N$42)))),0)</f>
        <v>0</v>
      </c>
    </row>
    <row r="494" spans="1:14" ht="23" hidden="1" thickBot="1" x14ac:dyDescent="0.35">
      <c r="A494" s="82">
        <v>45915</v>
      </c>
      <c r="B494" s="83" t="s">
        <v>64</v>
      </c>
      <c r="C494" s="84">
        <v>600</v>
      </c>
      <c r="D494" s="85">
        <v>-186.39</v>
      </c>
      <c r="E494" s="67">
        <f ca="1">IFERROR(C494*D494*_xlfn.XLOOKUP(B494,[1]!TabCalc[Ticker],[1]!TabCalc[Scale]),0)</f>
        <v>-111833.99999999999</v>
      </c>
      <c r="F494" s="68" cm="1">
        <f t="array" ref="F494">IF(A494=A493,0,SUM(_xlfn._xlws.FILTER(E494:E504,A494:A504=A494)))</f>
        <v>0</v>
      </c>
      <c r="G494" s="69">
        <f>IF(F494&lt;&gt;0,SUM($F$43:F494),0)</f>
        <v>0</v>
      </c>
      <c r="H494" s="69" cm="1">
        <f t="array" ref="H494">IFERROR(IF(A494=A493,0,SUM(_xlfn._xlws.FILTER(E494:E504,(A494:A504=A494)*(E494:E504&gt;0)))),0)</f>
        <v>0</v>
      </c>
      <c r="I494" s="69" cm="1">
        <f t="array" ref="I494">IFERROR(IF(A494=A493,0,SUM(_xlfn._xlws.FILTER(E494:E504,(A494:A504=A494)*(F494&lt;0)))),0)</f>
        <v>0</v>
      </c>
      <c r="J494" s="81" t="str">
        <f ca="1">IFERROR(_xlfn.XLOOKUP(B494,[1]!TabCalc[Ticker],[1]!TabCalc[Cur]),"")</f>
        <v>USD</v>
      </c>
      <c r="K494" s="68" cm="1">
        <f t="array" ref="K494">IFERROR(IF($A494=$A493,0,SUM(_xlfn._xlws.FILTER($E494:$E504,($A494:$A504=$A494)*($J494:$J504=K$42)))),0)</f>
        <v>0</v>
      </c>
      <c r="L494" s="68" cm="1">
        <f t="array" ref="L494">IFERROR(IF($A494=$A493,0,SUM(_xlfn._xlws.FILTER($E494:$E504,($A494:$A504=$A494)*($J494:$J504=L$42)))),0)</f>
        <v>0</v>
      </c>
      <c r="M494" s="68" cm="1">
        <f t="array" ref="M494">IFERROR(IF($A494=$A493,0,SUM(_xlfn._xlws.FILTER($E494:$E504,($A494:$A504=$A494)*($J494:$J504=M$42)))),0)</f>
        <v>0</v>
      </c>
      <c r="N494" s="68" cm="1">
        <f t="array" ref="N494">IFERROR(IF($A494=$A493,0,SUM(_xlfn._xlws.FILTER($E494:$E504,($A494:$A504=$A494)*($J494:$J504=N$42)))),0)</f>
        <v>0</v>
      </c>
    </row>
    <row r="495" spans="1:14" hidden="1" x14ac:dyDescent="0.3">
      <c r="A495" s="64">
        <v>45916</v>
      </c>
      <c r="B495" s="5" t="s">
        <v>40</v>
      </c>
      <c r="C495" s="5">
        <v>2000</v>
      </c>
      <c r="D495" s="80">
        <v>24.46</v>
      </c>
      <c r="E495" s="67">
        <f ca="1">IFERROR(C495*D495*_xlfn.XLOOKUP(B495,[1]!TabCalc[Ticker],[1]!TabCalc[Scale]),0)</f>
        <v>48920</v>
      </c>
      <c r="F495" s="68" cm="1">
        <f t="array" aca="1" ref="F495" ca="1">IF(A495=A494,0,SUM(_xlfn._xlws.FILTER(E495:E505,A495:A505=A495)))</f>
        <v>90770</v>
      </c>
      <c r="G495" s="69">
        <f ca="1">IF(F495&lt;&gt;0,SUM($F$43:F495),0)</f>
        <v>-3309072.4295729995</v>
      </c>
      <c r="H495" s="69" cm="1">
        <f t="array" aca="1" ref="H495" ca="1">IFERROR(IF(A495=A494,0,SUM(_xlfn._xlws.FILTER(E495:E505,(A495:A505=A495)*(E495:E505&gt;0)))),0)</f>
        <v>90770</v>
      </c>
      <c r="I495" s="69" cm="1">
        <f t="array" aca="1" ref="I495" ca="1">IFERROR(IF(A495=A494,0,SUM(_xlfn._xlws.FILTER(E495:E505,(A495:A505=A495)*(F495&lt;0)))),0)</f>
        <v>0</v>
      </c>
      <c r="J495" s="81" t="str">
        <f ca="1">IFERROR(_xlfn.XLOOKUP(B495,[1]!TabCalc[Ticker],[1]!TabCalc[Cur]),"")</f>
        <v>USD</v>
      </c>
      <c r="K495" s="68" cm="1">
        <f t="array" aca="1" ref="K495" ca="1">IFERROR(IF($A495=$A494,0,SUM(_xlfn._xlws.FILTER($E495:$E505,($A495:$A505=$A495)*($J495:$J505=K$42)))),0)</f>
        <v>0</v>
      </c>
      <c r="L495" s="68" cm="1">
        <f t="array" aca="1" ref="L495" ca="1">IFERROR(IF($A495=$A494,0,SUM(_xlfn._xlws.FILTER($E495:$E505,($A495:$A505=$A495)*($J495:$J505=L$42)))),0)</f>
        <v>90770</v>
      </c>
      <c r="M495" s="68" cm="1">
        <f t="array" aca="1" ref="M495" ca="1">IFERROR(IF($A495=$A494,0,SUM(_xlfn._xlws.FILTER($E495:$E505,($A495:$A505=$A495)*($J495:$J505=M$42)))),0)</f>
        <v>0</v>
      </c>
      <c r="N495" s="68" cm="1">
        <f t="array" aca="1" ref="N495" ca="1">IFERROR(IF($A495=$A494,0,SUM(_xlfn._xlws.FILTER($E495:$E505,($A495:$A505=$A495)*($J495:$J505=N$42)))),0)</f>
        <v>0</v>
      </c>
    </row>
    <row r="496" spans="1:14" hidden="1" x14ac:dyDescent="0.3">
      <c r="A496" s="64">
        <v>45916</v>
      </c>
      <c r="B496" s="5" t="s">
        <v>39</v>
      </c>
      <c r="C496" s="5">
        <v>1000</v>
      </c>
      <c r="D496" s="80">
        <v>5.56</v>
      </c>
      <c r="E496" s="67">
        <f ca="1">IFERROR(C496*D496*_xlfn.XLOOKUP(B496,[1]!TabCalc[Ticker],[1]!TabCalc[Scale]),0)</f>
        <v>5560</v>
      </c>
      <c r="F496" s="68" cm="1">
        <f t="array" ref="F496">IF(A496=A495,0,SUM(_xlfn._xlws.FILTER(E496:E506,A496:A506=A496)))</f>
        <v>0</v>
      </c>
      <c r="G496" s="69">
        <f>IF(F496&lt;&gt;0,SUM($F$43:F496),0)</f>
        <v>0</v>
      </c>
      <c r="H496" s="69" cm="1">
        <f t="array" ref="H496">IFERROR(IF(A496=A495,0,SUM(_xlfn._xlws.FILTER(E496:E506,(A496:A506=A496)*(E496:E506&gt;0)))),0)</f>
        <v>0</v>
      </c>
      <c r="I496" s="69" cm="1">
        <f t="array" ref="I496">IFERROR(IF(A496=A495,0,SUM(_xlfn._xlws.FILTER(E496:E506,(A496:A506=A496)*(F496&lt;0)))),0)</f>
        <v>0</v>
      </c>
      <c r="J496" s="81" t="str">
        <f ca="1">IFERROR(_xlfn.XLOOKUP(B496,[1]!TabCalc[Ticker],[1]!TabCalc[Cur]),"")</f>
        <v>USD</v>
      </c>
      <c r="K496" s="68" cm="1">
        <f t="array" ref="K496">IFERROR(IF($A496=$A495,0,SUM(_xlfn._xlws.FILTER($E496:$E506,($A496:$A506=$A496)*($J496:$J506=K$42)))),0)</f>
        <v>0</v>
      </c>
      <c r="L496" s="68" cm="1">
        <f t="array" ref="L496">IFERROR(IF($A496=$A495,0,SUM(_xlfn._xlws.FILTER($E496:$E506,($A496:$A506=$A496)*($J496:$J506=L$42)))),0)</f>
        <v>0</v>
      </c>
      <c r="M496" s="68" cm="1">
        <f t="array" ref="M496">IFERROR(IF($A496=$A495,0,SUM(_xlfn._xlws.FILTER($E496:$E506,($A496:$A506=$A496)*($J496:$J506=M$42)))),0)</f>
        <v>0</v>
      </c>
      <c r="N496" s="68" cm="1">
        <f t="array" ref="N496">IFERROR(IF($A496=$A495,0,SUM(_xlfn._xlws.FILTER($E496:$E506,($A496:$A506=$A496)*($J496:$J506=N$42)))),0)</f>
        <v>0</v>
      </c>
    </row>
    <row r="497" spans="1:14" hidden="1" x14ac:dyDescent="0.3">
      <c r="A497" s="64">
        <v>45916</v>
      </c>
      <c r="B497" s="5" t="s">
        <v>83</v>
      </c>
      <c r="C497" s="5">
        <v>1000</v>
      </c>
      <c r="D497" s="80">
        <v>36.29</v>
      </c>
      <c r="E497" s="67">
        <f ca="1">IFERROR(C497*D497*_xlfn.XLOOKUP(B497,[1]!TabCalc[Ticker],[1]!TabCalc[Scale]),0)</f>
        <v>36290</v>
      </c>
      <c r="F497" s="68" cm="1">
        <f t="array" ref="F497">IF(A497=A496,0,SUM(_xlfn._xlws.FILTER(E497:E507,A497:A507=A497)))</f>
        <v>0</v>
      </c>
      <c r="G497" s="69">
        <f>IF(F497&lt;&gt;0,SUM($F$43:F497),0)</f>
        <v>0</v>
      </c>
      <c r="H497" s="69" cm="1">
        <f t="array" ref="H497">IFERROR(IF(A497=A496,0,SUM(_xlfn._xlws.FILTER(E497:E507,(A497:A507=A497)*(E497:E507&gt;0)))),0)</f>
        <v>0</v>
      </c>
      <c r="I497" s="69" cm="1">
        <f t="array" ref="I497">IFERROR(IF(A497=A496,0,SUM(_xlfn._xlws.FILTER(E497:E507,(A497:A507=A497)*(F497&lt;0)))),0)</f>
        <v>0</v>
      </c>
      <c r="J497" s="81" t="str">
        <f ca="1">IFERROR(_xlfn.XLOOKUP(B497,[1]!TabCalc[Ticker],[1]!TabCalc[Cur]),"")</f>
        <v>USD</v>
      </c>
      <c r="K497" s="68" cm="1">
        <f t="array" ref="K497">IFERROR(IF($A497=$A496,0,SUM(_xlfn._xlws.FILTER($E497:$E507,($A497:$A507=$A497)*($J497:$J507=K$42)))),0)</f>
        <v>0</v>
      </c>
      <c r="L497" s="68" cm="1">
        <f t="array" ref="L497">IFERROR(IF($A497=$A496,0,SUM(_xlfn._xlws.FILTER($E497:$E507,($A497:$A507=$A497)*($J497:$J507=L$42)))),0)</f>
        <v>0</v>
      </c>
      <c r="M497" s="68" cm="1">
        <f t="array" ref="M497">IFERROR(IF($A497=$A496,0,SUM(_xlfn._xlws.FILTER($E497:$E507,($A497:$A507=$A497)*($J497:$J507=M$42)))),0)</f>
        <v>0</v>
      </c>
      <c r="N497" s="68" cm="1">
        <f t="array" ref="N497">IFERROR(IF($A497=$A496,0,SUM(_xlfn._xlws.FILTER($E497:$E507,($A497:$A507=$A497)*($J497:$J507=N$42)))),0)</f>
        <v>0</v>
      </c>
    </row>
    <row r="498" spans="1:14" ht="23" hidden="1" thickBot="1" x14ac:dyDescent="0.35">
      <c r="A498" s="82">
        <v>45917</v>
      </c>
      <c r="B498" s="83" t="s">
        <v>97</v>
      </c>
      <c r="C498" s="84">
        <v>1000</v>
      </c>
      <c r="D498" s="85">
        <v>-60.1</v>
      </c>
      <c r="E498" s="67">
        <f ca="1">IFERROR(C498*D498*_xlfn.XLOOKUP(B498,[1]!TabCalc[Ticker],[1]!TabCalc[Scale]),0)</f>
        <v>-60100</v>
      </c>
      <c r="F498" s="68" cm="1">
        <f t="array" aca="1" ref="F498" ca="1">IF(A498=A497,0,SUM(_xlfn._xlws.FILTER(E498:E508,A498:A508=A498)))</f>
        <v>-60100</v>
      </c>
      <c r="G498" s="69">
        <f ca="1">IF(F498&lt;&gt;0,SUM($F$43:F498),0)</f>
        <v>-3369172.4295729995</v>
      </c>
      <c r="H498" s="69" cm="1">
        <f t="array" aca="1" ref="H498" ca="1">IFERROR(IF(A498=A497,0,SUM(_xlfn._xlws.FILTER(E498:E508,(A498:A508=A498)*(E498:E508&gt;0)))),0)</f>
        <v>0</v>
      </c>
      <c r="I498" s="69" cm="1">
        <f t="array" aca="1" ref="I498" ca="1">IFERROR(IF(A498=A497,0,SUM(_xlfn._xlws.FILTER(E498:E508,(A498:A508=A498)*(F498&lt;0)))),0)</f>
        <v>-60100</v>
      </c>
      <c r="J498" s="81" t="str">
        <f ca="1">IFERROR(_xlfn.XLOOKUP(B498,[1]!TabCalc[Ticker],[1]!TabCalc[Cur]),"")</f>
        <v>CHF</v>
      </c>
      <c r="K498" s="68" cm="1">
        <f t="array" aca="1" ref="K498" ca="1">IFERROR(IF($A498=$A497,0,SUM(_xlfn._xlws.FILTER($E498:$E508,($A498:$A508=$A498)*($J498:$J508=K$42)))),0)</f>
        <v>0</v>
      </c>
      <c r="L498" s="68" cm="1">
        <f t="array" aca="1" ref="L498" ca="1">IFERROR(IF($A498=$A497,0,SUM(_xlfn._xlws.FILTER($E498:$E508,($A498:$A508=$A498)*($J498:$J508=L$42)))),0)</f>
        <v>0</v>
      </c>
      <c r="M498" s="68" cm="1">
        <f t="array" aca="1" ref="M498" ca="1">IFERROR(IF($A498=$A497,0,SUM(_xlfn._xlws.FILTER($E498:$E508,($A498:$A508=$A498)*($J498:$J508=M$42)))),0)</f>
        <v>0</v>
      </c>
      <c r="N498" s="68" cm="1">
        <f t="array" aca="1" ref="N498" ca="1">IFERROR(IF($A498=$A497,0,SUM(_xlfn._xlws.FILTER($E498:$E508,($A498:$A508=$A498)*($J498:$J508=N$42)))),0)</f>
        <v>-60100</v>
      </c>
    </row>
    <row r="499" spans="1:14" hidden="1" x14ac:dyDescent="0.3">
      <c r="A499" s="64">
        <v>45918</v>
      </c>
      <c r="B499" s="5" t="s">
        <v>30</v>
      </c>
      <c r="C499" s="5">
        <v>100</v>
      </c>
      <c r="D499" s="80">
        <v>772.4</v>
      </c>
      <c r="E499" s="67">
        <f ca="1">IFERROR(C499*D499*_xlfn.XLOOKUP(B499,[1]!TabCalc[Ticker],[1]!TabCalc[Scale]),0)</f>
        <v>77240</v>
      </c>
      <c r="F499" s="68" cm="1">
        <f t="array" aca="1" ref="F499" ca="1">IF(A499=A498,0,SUM(_xlfn._xlws.FILTER(E499:E509,A499:A509=A499)))</f>
        <v>345830</v>
      </c>
      <c r="G499" s="69">
        <f ca="1">IF(F499&lt;&gt;0,SUM($F$43:F499),0)</f>
        <v>-3023342.4295729995</v>
      </c>
      <c r="H499" s="69" cm="1">
        <f t="array" aca="1" ref="H499" ca="1">IFERROR(IF(A499=A498,0,SUM(_xlfn._xlws.FILTER(E499:E509,(A499:A509=A499)*(E499:E509&gt;0)))),0)</f>
        <v>345830</v>
      </c>
      <c r="I499" s="69" cm="1">
        <f t="array" aca="1" ref="I499" ca="1">IFERROR(IF(A499=A498,0,SUM(_xlfn._xlws.FILTER(E499:E509,(A499:A509=A499)*(F499&lt;0)))),0)</f>
        <v>0</v>
      </c>
      <c r="J499" s="81" t="str">
        <f ca="1">IFERROR(_xlfn.XLOOKUP(B499,[1]!TabCalc[Ticker],[1]!TabCalc[Cur]),"")</f>
        <v>EUR</v>
      </c>
      <c r="K499" s="68" cm="1">
        <f t="array" aca="1" ref="K499" ca="1">IFERROR(IF($A499=$A498,0,SUM(_xlfn._xlws.FILTER($E499:$E509,($A499:$A509=$A499)*($J499:$J509=K$42)))),0)</f>
        <v>77240</v>
      </c>
      <c r="L499" s="68" cm="1">
        <f t="array" aca="1" ref="L499" ca="1">IFERROR(IF($A499=$A498,0,SUM(_xlfn._xlws.FILTER($E499:$E509,($A499:$A509=$A499)*($J499:$J509=L$42)))),0)</f>
        <v>268590</v>
      </c>
      <c r="M499" s="68" cm="1">
        <f t="array" aca="1" ref="M499" ca="1">IFERROR(IF($A499=$A498,0,SUM(_xlfn._xlws.FILTER($E499:$E509,($A499:$A509=$A499)*($J499:$J509=M$42)))),0)</f>
        <v>0</v>
      </c>
      <c r="N499" s="68" cm="1">
        <f t="array" aca="1" ref="N499" ca="1">IFERROR(IF($A499=$A498,0,SUM(_xlfn._xlws.FILTER($E499:$E509,($A499:$A509=$A499)*($J499:$J509=N$42)))),0)</f>
        <v>0</v>
      </c>
    </row>
    <row r="500" spans="1:14" hidden="1" x14ac:dyDescent="0.3">
      <c r="A500" s="64">
        <v>45918</v>
      </c>
      <c r="B500" s="5" t="s">
        <v>31</v>
      </c>
      <c r="C500" s="5">
        <v>1000</v>
      </c>
      <c r="D500" s="80">
        <v>268.58999999999997</v>
      </c>
      <c r="E500" s="67">
        <f ca="1">IFERROR(C500*D500*_xlfn.XLOOKUP(B500,[1]!TabCalc[Ticker],[1]!TabCalc[Scale]),0)</f>
        <v>268590</v>
      </c>
      <c r="F500" s="68" cm="1">
        <f t="array" ref="F500">IF(A500=A499,0,SUM(_xlfn._xlws.FILTER(E500:E510,A500:A510=A500)))</f>
        <v>0</v>
      </c>
      <c r="G500" s="69">
        <f>IF(F500&lt;&gt;0,SUM($F$43:F500),0)</f>
        <v>0</v>
      </c>
      <c r="H500" s="69" cm="1">
        <f t="array" ref="H500">IFERROR(IF(A500=A499,0,SUM(_xlfn._xlws.FILTER(E500:E510,(A500:A510=A500)*(E500:E510&gt;0)))),0)</f>
        <v>0</v>
      </c>
      <c r="I500" s="69" cm="1">
        <f t="array" ref="I500">IFERROR(IF(A500=A499,0,SUM(_xlfn._xlws.FILTER(E500:E510,(A500:A510=A500)*(F500&lt;0)))),0)</f>
        <v>0</v>
      </c>
      <c r="J500" s="81" t="str">
        <f ca="1">IFERROR(_xlfn.XLOOKUP(B500,[1]!TabCalc[Ticker],[1]!TabCalc[Cur]),"")</f>
        <v>USD</v>
      </c>
      <c r="K500" s="68" cm="1">
        <f t="array" ref="K500">IFERROR(IF($A500=$A499,0,SUM(_xlfn._xlws.FILTER($E500:$E510,($A500:$A510=$A500)*($J500:$J510=K$42)))),0)</f>
        <v>0</v>
      </c>
      <c r="L500" s="68" cm="1">
        <f t="array" ref="L500">IFERROR(IF($A500=$A499,0,SUM(_xlfn._xlws.FILTER($E500:$E510,($A500:$A510=$A500)*($J500:$J510=L$42)))),0)</f>
        <v>0</v>
      </c>
      <c r="M500" s="68" cm="1">
        <f t="array" ref="M500">IFERROR(IF($A500=$A499,0,SUM(_xlfn._xlws.FILTER($E500:$E510,($A500:$A510=$A500)*($J500:$J510=M$42)))),0)</f>
        <v>0</v>
      </c>
      <c r="N500" s="68" cm="1">
        <f t="array" ref="N500">IFERROR(IF($A500=$A499,0,SUM(_xlfn._xlws.FILTER($E500:$E510,($A500:$A510=$A500)*($J500:$J510=N$42)))),0)</f>
        <v>0</v>
      </c>
    </row>
    <row r="501" spans="1:14" hidden="1" x14ac:dyDescent="0.3">
      <c r="A501" s="70">
        <v>45919</v>
      </c>
      <c r="B501" s="6" t="s">
        <v>89</v>
      </c>
      <c r="C501" s="18">
        <v>9990</v>
      </c>
      <c r="D501" s="19">
        <v>-14.92</v>
      </c>
      <c r="E501" s="67">
        <f ca="1">IFERROR(C501*D501*_xlfn.XLOOKUP(B501,[1]!TabCalc[Ticker],[1]!TabCalc[Scale]),0)</f>
        <v>-149050.79999999999</v>
      </c>
      <c r="F501" s="68" cm="1">
        <f t="array" aca="1" ref="F501" ca="1">IF(A501=A500,0,SUM(_xlfn._xlws.FILTER(E501:E511,A501:A511=A501)))</f>
        <v>-433371.815</v>
      </c>
      <c r="G501" s="69">
        <f ca="1">IF(F501&lt;&gt;0,SUM($F$43:F501),0)</f>
        <v>-3456714.2445729994</v>
      </c>
      <c r="H501" s="69" cm="1">
        <f t="array" aca="1" ref="H501" ca="1">IFERROR(IF(A501=A500,0,SUM(_xlfn._xlws.FILTER(E501:E511,(A501:A511=A501)*(E501:E511&gt;0)))),0)</f>
        <v>228443.685</v>
      </c>
      <c r="I501" s="69" cm="1">
        <f t="array" aca="1" ref="I501" ca="1">IFERROR(IF(A501=A500,0,SUM(_xlfn._xlws.FILTER(E501:E511,(A501:A511=A501)*(F501&lt;0)))),0)</f>
        <v>-433371.815</v>
      </c>
      <c r="J501" s="81" t="str">
        <f ca="1">IFERROR(_xlfn.XLOOKUP(B501,[1]!TabCalc[Ticker],[1]!TabCalc[Cur]),"")</f>
        <v>EUR</v>
      </c>
      <c r="K501" s="68" cm="1">
        <f t="array" aca="1" ref="K501" ca="1">IFERROR(IF($A501=$A500,0,SUM(_xlfn._xlws.FILTER($E501:$E511,($A501:$A511=$A501)*($J501:$J511=K$42)))),0)</f>
        <v>-202372.3</v>
      </c>
      <c r="L501" s="68" cm="1">
        <f t="array" aca="1" ref="L501" ca="1">IFERROR(IF($A501=$A500,0,SUM(_xlfn._xlws.FILTER($E501:$E511,($A501:$A511=$A501)*($J501:$J511=L$42)))),0)</f>
        <v>86752.484999999986</v>
      </c>
      <c r="M501" s="68" cm="1">
        <f t="array" aca="1" ref="M501" ca="1">IFERROR(IF($A501=$A500,0,SUM(_xlfn._xlws.FILTER($E501:$E511,($A501:$A511=$A501)*($J501:$J511=M$42)))),0)</f>
        <v>-90202</v>
      </c>
      <c r="N501" s="68" cm="1">
        <f t="array" aca="1" ref="N501" ca="1">IFERROR(IF($A501=$A500,0,SUM(_xlfn._xlws.FILTER($E501:$E511,($A501:$A511=$A501)*($J501:$J511=N$42)))),0)</f>
        <v>0</v>
      </c>
    </row>
    <row r="502" spans="1:14" hidden="1" x14ac:dyDescent="0.3">
      <c r="A502" s="70">
        <v>45919</v>
      </c>
      <c r="B502" s="6" t="s">
        <v>89</v>
      </c>
      <c r="C502" s="18">
        <v>10010</v>
      </c>
      <c r="D502" s="19">
        <v>-14.87</v>
      </c>
      <c r="E502" s="67">
        <f ca="1">IFERROR(C502*D502*_xlfn.XLOOKUP(B502,[1]!TabCalc[Ticker],[1]!TabCalc[Scale]),0)</f>
        <v>-148848.69999999998</v>
      </c>
      <c r="F502" s="68" cm="1">
        <f t="array" ref="F502">IF(A502=A501,0,SUM(_xlfn._xlws.FILTER(E502:E512,A502:A512=A502)))</f>
        <v>0</v>
      </c>
      <c r="G502" s="69">
        <f>IF(F502&lt;&gt;0,SUM($F$43:F502),0)</f>
        <v>0</v>
      </c>
      <c r="H502" s="69" cm="1">
        <f t="array" ref="H502">IFERROR(IF(A502=A501,0,SUM(_xlfn._xlws.FILTER(E502:E512,(A502:A512=A502)*(E502:E512&gt;0)))),0)</f>
        <v>0</v>
      </c>
      <c r="I502" s="69" cm="1">
        <f t="array" ref="I502">IFERROR(IF(A502=A501,0,SUM(_xlfn._xlws.FILTER(E502:E512,(A502:A512=A502)*(F502&lt;0)))),0)</f>
        <v>0</v>
      </c>
      <c r="J502" s="81" t="str">
        <f ca="1">IFERROR(_xlfn.XLOOKUP(B502,[1]!TabCalc[Ticker],[1]!TabCalc[Cur]),"")</f>
        <v>EUR</v>
      </c>
      <c r="K502" s="68" cm="1">
        <f t="array" ref="K502">IFERROR(IF($A502=$A501,0,SUM(_xlfn._xlws.FILTER($E502:$E512,($A502:$A512=$A502)*($J502:$J512=K$42)))),0)</f>
        <v>0</v>
      </c>
      <c r="L502" s="68" cm="1">
        <f t="array" ref="L502">IFERROR(IF($A502=$A501,0,SUM(_xlfn._xlws.FILTER($E502:$E512,($A502:$A512=$A502)*($J502:$J512=L$42)))),0)</f>
        <v>0</v>
      </c>
      <c r="M502" s="68" cm="1">
        <f t="array" ref="M502">IFERROR(IF($A502=$A501,0,SUM(_xlfn._xlws.FILTER($E502:$E512,($A502:$A512=$A502)*($J502:$J512=M$42)))),0)</f>
        <v>0</v>
      </c>
      <c r="N502" s="68" cm="1">
        <f t="array" ref="N502">IFERROR(IF($A502=$A501,0,SUM(_xlfn._xlws.FILTER($E502:$E512,($A502:$A512=$A502)*($J502:$J512=N$42)))),0)</f>
        <v>0</v>
      </c>
    </row>
    <row r="503" spans="1:14" hidden="1" x14ac:dyDescent="0.3">
      <c r="A503" s="70">
        <v>45919</v>
      </c>
      <c r="B503" s="6" t="s">
        <v>63</v>
      </c>
      <c r="C503" s="18">
        <v>20000</v>
      </c>
      <c r="D503" s="19">
        <v>-451.01</v>
      </c>
      <c r="E503" s="67">
        <f ca="1">IFERROR(C503*D503*_xlfn.XLOOKUP(B503,[1]!TabCalc[Ticker],[1]!TabCalc[Scale]),0)</f>
        <v>-90202</v>
      </c>
      <c r="F503" s="68" cm="1">
        <f t="array" ref="F503">IF(A503=A502,0,SUM(_xlfn._xlws.FILTER(E503:E513,A503:A513=A503)))</f>
        <v>0</v>
      </c>
      <c r="G503" s="69">
        <f>IF(F503&lt;&gt;0,SUM($F$43:F503),0)</f>
        <v>0</v>
      </c>
      <c r="H503" s="69" cm="1">
        <f t="array" ref="H503">IFERROR(IF(A503=A502,0,SUM(_xlfn._xlws.FILTER(E503:E513,(A503:A513=A503)*(E503:E513&gt;0)))),0)</f>
        <v>0</v>
      </c>
      <c r="I503" s="69" cm="1">
        <f t="array" ref="I503">IFERROR(IF(A503=A502,0,SUM(_xlfn._xlws.FILTER(E503:E513,(A503:A513=A503)*(F503&lt;0)))),0)</f>
        <v>0</v>
      </c>
      <c r="J503" s="81" t="str">
        <f ca="1">IFERROR(_xlfn.XLOOKUP(B503,[1]!TabCalc[Ticker],[1]!TabCalc[Cur]),"")</f>
        <v>GBp</v>
      </c>
      <c r="K503" s="68" cm="1">
        <f t="array" ref="K503">IFERROR(IF($A503=$A502,0,SUM(_xlfn._xlws.FILTER($E503:$E513,($A503:$A513=$A503)*($J503:$J513=K$42)))),0)</f>
        <v>0</v>
      </c>
      <c r="L503" s="68" cm="1">
        <f t="array" ref="L503">IFERROR(IF($A503=$A502,0,SUM(_xlfn._xlws.FILTER($E503:$E513,($A503:$A513=$A503)*($J503:$J513=L$42)))),0)</f>
        <v>0</v>
      </c>
      <c r="M503" s="68" cm="1">
        <f t="array" ref="M503">IFERROR(IF($A503=$A502,0,SUM(_xlfn._xlws.FILTER($E503:$E513,($A503:$A513=$A503)*($J503:$J513=M$42)))),0)</f>
        <v>0</v>
      </c>
      <c r="N503" s="68" cm="1">
        <f t="array" ref="N503">IFERROR(IF($A503=$A502,0,SUM(_xlfn._xlws.FILTER($E503:$E513,($A503:$A513=$A503)*($J503:$J513=N$42)))),0)</f>
        <v>0</v>
      </c>
    </row>
    <row r="504" spans="1:14" hidden="1" x14ac:dyDescent="0.3">
      <c r="A504" s="70">
        <v>45919</v>
      </c>
      <c r="B504" s="6" t="s">
        <v>48</v>
      </c>
      <c r="C504" s="18">
        <v>1200</v>
      </c>
      <c r="D504" s="19">
        <v>13.744999999999999</v>
      </c>
      <c r="E504" s="67">
        <f ca="1">IFERROR(C504*D504*_xlfn.XLOOKUP(B504,[1]!TabCalc[Ticker],[1]!TabCalc[Scale]),0)</f>
        <v>16494</v>
      </c>
      <c r="F504" s="68" cm="1">
        <f t="array" ref="F504">IF(A504=A503,0,SUM(_xlfn._xlws.FILTER(E504:E514,A504:A514=A504)))</f>
        <v>0</v>
      </c>
      <c r="G504" s="69">
        <f>IF(F504&lt;&gt;0,SUM($F$43:F504),0)</f>
        <v>0</v>
      </c>
      <c r="H504" s="69" cm="1">
        <f t="array" ref="H504">IFERROR(IF(A504=A503,0,SUM(_xlfn._xlws.FILTER(E504:E514,(A504:A514=A504)*(E504:E514&gt;0)))),0)</f>
        <v>0</v>
      </c>
      <c r="I504" s="69" cm="1">
        <f t="array" ref="I504">IFERROR(IF(A504=A503,0,SUM(_xlfn._xlws.FILTER(E504:E514,(A504:A514=A504)*(F504&lt;0)))),0)</f>
        <v>0</v>
      </c>
      <c r="J504" s="81" t="str">
        <f ca="1">IFERROR(_xlfn.XLOOKUP(B504,[1]!TabCalc[Ticker],[1]!TabCalc[Cur]),"")</f>
        <v>EUR</v>
      </c>
      <c r="K504" s="68" cm="1">
        <f t="array" ref="K504">IFERROR(IF($A504=$A503,0,SUM(_xlfn._xlws.FILTER($E504:$E514,($A504:$A514=$A504)*($J504:$J514=K$42)))),0)</f>
        <v>0</v>
      </c>
      <c r="L504" s="68" cm="1">
        <f t="array" ref="L504">IFERROR(IF($A504=$A503,0,SUM(_xlfn._xlws.FILTER($E504:$E514,($A504:$A514=$A504)*($J504:$J514=L$42)))),0)</f>
        <v>0</v>
      </c>
      <c r="M504" s="68" cm="1">
        <f t="array" ref="M504">IFERROR(IF($A504=$A503,0,SUM(_xlfn._xlws.FILTER($E504:$E514,($A504:$A514=$A504)*($J504:$J514=M$42)))),0)</f>
        <v>0</v>
      </c>
      <c r="N504" s="68" cm="1">
        <f t="array" ref="N504">IFERROR(IF($A504=$A503,0,SUM(_xlfn._xlws.FILTER($E504:$E514,($A504:$A514=$A504)*($J504:$J514=N$42)))),0)</f>
        <v>0</v>
      </c>
    </row>
    <row r="505" spans="1:14" hidden="1" x14ac:dyDescent="0.3">
      <c r="A505" s="70">
        <v>45919</v>
      </c>
      <c r="B505" s="6" t="s">
        <v>30</v>
      </c>
      <c r="C505" s="18">
        <v>100</v>
      </c>
      <c r="D505" s="19">
        <v>790.33199999999999</v>
      </c>
      <c r="E505" s="67">
        <f ca="1">IFERROR(C505*D505*_xlfn.XLOOKUP(B505,[1]!TabCalc[Ticker],[1]!TabCalc[Scale]),0)</f>
        <v>79033.2</v>
      </c>
      <c r="F505" s="68" cm="1">
        <f t="array" ref="F505">IF(A505=A504,0,SUM(_xlfn._xlws.FILTER(E505:E515,A505:A515=A505)))</f>
        <v>0</v>
      </c>
      <c r="G505" s="69">
        <f>IF(F505&lt;&gt;0,SUM($F$43:F505),0)</f>
        <v>0</v>
      </c>
      <c r="H505" s="69" cm="1">
        <f t="array" ref="H505">IFERROR(IF(A505=A504,0,SUM(_xlfn._xlws.FILTER(E505:E515,(A505:A515=A505)*(E505:E515&gt;0)))),0)</f>
        <v>0</v>
      </c>
      <c r="I505" s="69" cm="1">
        <f t="array" ref="I505">IFERROR(IF(A505=A504,0,SUM(_xlfn._xlws.FILTER(E505:E515,(A505:A515=A505)*(F505&lt;0)))),0)</f>
        <v>0</v>
      </c>
      <c r="J505" s="81" t="str">
        <f ca="1">IFERROR(_xlfn.XLOOKUP(B505,[1]!TabCalc[Ticker],[1]!TabCalc[Cur]),"")</f>
        <v>EUR</v>
      </c>
      <c r="K505" s="68" cm="1">
        <f t="array" ref="K505">IFERROR(IF($A505=$A504,0,SUM(_xlfn._xlws.FILTER($E505:$E515,($A505:$A515=$A505)*($J505:$J515=K$42)))),0)</f>
        <v>0</v>
      </c>
      <c r="L505" s="68" cm="1">
        <f t="array" ref="L505">IFERROR(IF($A505=$A504,0,SUM(_xlfn._xlws.FILTER($E505:$E515,($A505:$A515=$A505)*($J505:$J515=L$42)))),0)</f>
        <v>0</v>
      </c>
      <c r="M505" s="68" cm="1">
        <f t="array" ref="M505">IFERROR(IF($A505=$A504,0,SUM(_xlfn._xlws.FILTER($E505:$E515,($A505:$A515=$A505)*($J505:$J515=M$42)))),0)</f>
        <v>0</v>
      </c>
      <c r="N505" s="68" cm="1">
        <f t="array" ref="N505">IFERROR(IF($A505=$A504,0,SUM(_xlfn._xlws.FILTER($E505:$E515,($A505:$A515=$A505)*($J505:$J515=N$42)))),0)</f>
        <v>0</v>
      </c>
    </row>
    <row r="506" spans="1:14" hidden="1" x14ac:dyDescent="0.3">
      <c r="A506" s="70">
        <v>45919</v>
      </c>
      <c r="B506" s="6" t="s">
        <v>110</v>
      </c>
      <c r="C506" s="18">
        <v>600</v>
      </c>
      <c r="D506" s="19">
        <v>-76.94</v>
      </c>
      <c r="E506" s="67">
        <f ca="1">IFERROR(C506*D506*_xlfn.XLOOKUP(B506,[1]!TabCalc[Ticker],[1]!TabCalc[Scale]),0)</f>
        <v>-46164</v>
      </c>
      <c r="F506" s="68" cm="1">
        <f t="array" ref="F506">IF(A506=A505,0,SUM(_xlfn._xlws.FILTER(E506:E516,A506:A516=A506)))</f>
        <v>0</v>
      </c>
      <c r="G506" s="69">
        <f>IF(F506&lt;&gt;0,SUM($F$43:F506),0)</f>
        <v>0</v>
      </c>
      <c r="H506" s="69" cm="1">
        <f t="array" ref="H506">IFERROR(IF(A506=A505,0,SUM(_xlfn._xlws.FILTER(E506:E516,(A506:A516=A506)*(E506:E516&gt;0)))),0)</f>
        <v>0</v>
      </c>
      <c r="I506" s="69" cm="1">
        <f t="array" ref="I506">IFERROR(IF(A506=A505,0,SUM(_xlfn._xlws.FILTER(E506:E516,(A506:A516=A506)*(F506&lt;0)))),0)</f>
        <v>0</v>
      </c>
      <c r="J506" s="81" t="str">
        <f ca="1">IFERROR(_xlfn.XLOOKUP(B506,[1]!TabCalc[Ticker],[1]!TabCalc[Cur]),"")</f>
        <v>USD</v>
      </c>
      <c r="K506" s="68" cm="1">
        <f t="array" ref="K506">IFERROR(IF($A506=$A505,0,SUM(_xlfn._xlws.FILTER($E506:$E516,($A506:$A516=$A506)*($J506:$J516=K$42)))),0)</f>
        <v>0</v>
      </c>
      <c r="L506" s="68" cm="1">
        <f t="array" ref="L506">IFERROR(IF($A506=$A505,0,SUM(_xlfn._xlws.FILTER($E506:$E516,($A506:$A516=$A506)*($J506:$J516=L$42)))),0)</f>
        <v>0</v>
      </c>
      <c r="M506" s="68" cm="1">
        <f t="array" ref="M506">IFERROR(IF($A506=$A505,0,SUM(_xlfn._xlws.FILTER($E506:$E516,($A506:$A516=$A506)*($J506:$J516=M$42)))),0)</f>
        <v>0</v>
      </c>
      <c r="N506" s="68" cm="1">
        <f t="array" ref="N506">IFERROR(IF($A506=$A505,0,SUM(_xlfn._xlws.FILTER($E506:$E516,($A506:$A516=$A506)*($J506:$J516=N$42)))),0)</f>
        <v>0</v>
      </c>
    </row>
    <row r="507" spans="1:14" hidden="1" x14ac:dyDescent="0.3">
      <c r="A507" s="70">
        <v>45919</v>
      </c>
      <c r="B507" s="6" t="s">
        <v>43</v>
      </c>
      <c r="C507" s="18">
        <v>100</v>
      </c>
      <c r="D507" s="19">
        <v>592.67999999999995</v>
      </c>
      <c r="E507" s="67">
        <f ca="1">IFERROR(C507*D507*_xlfn.XLOOKUP(B507,[1]!TabCalc[Ticker],[1]!TabCalc[Scale]),0)</f>
        <v>59267.999999999993</v>
      </c>
      <c r="F507" s="68" cm="1">
        <f t="array" ref="F507">IF(A507=A506,0,SUM(_xlfn._xlws.FILTER(E507:E517,A507:A517=A507)))</f>
        <v>0</v>
      </c>
      <c r="G507" s="69">
        <f>IF(F507&lt;&gt;0,SUM($F$43:F507),0)</f>
        <v>0</v>
      </c>
      <c r="H507" s="69" cm="1">
        <f t="array" ref="H507">IFERROR(IF(A507=A506,0,SUM(_xlfn._xlws.FILTER(E507:E517,(A507:A517=A507)*(E507:E517&gt;0)))),0)</f>
        <v>0</v>
      </c>
      <c r="I507" s="69" cm="1">
        <f t="array" ref="I507">IFERROR(IF(A507=A506,0,SUM(_xlfn._xlws.FILTER(E507:E517,(A507:A517=A507)*(F507&lt;0)))),0)</f>
        <v>0</v>
      </c>
      <c r="J507" s="81" t="str">
        <f ca="1">IFERROR(_xlfn.XLOOKUP(B507,[1]!TabCalc[Ticker],[1]!TabCalc[Cur]),"")</f>
        <v>USD</v>
      </c>
      <c r="K507" s="68" cm="1">
        <f t="array" ref="K507">IFERROR(IF($A507=$A506,0,SUM(_xlfn._xlws.FILTER($E507:$E517,($A507:$A517=$A507)*($J507:$J517=K$42)))),0)</f>
        <v>0</v>
      </c>
      <c r="L507" s="68" cm="1">
        <f t="array" ref="L507">IFERROR(IF($A507=$A506,0,SUM(_xlfn._xlws.FILTER($E507:$E517,($A507:$A517=$A507)*($J507:$J517=L$42)))),0)</f>
        <v>0</v>
      </c>
      <c r="M507" s="68" cm="1">
        <f t="array" ref="M507">IFERROR(IF($A507=$A506,0,SUM(_xlfn._xlws.FILTER($E507:$E517,($A507:$A517=$A507)*($J507:$J517=M$42)))),0)</f>
        <v>0</v>
      </c>
      <c r="N507" s="68" cm="1">
        <f t="array" ref="N507">IFERROR(IF($A507=$A506,0,SUM(_xlfn._xlws.FILTER($E507:$E517,($A507:$A517=$A507)*($J507:$J517=N$42)))),0)</f>
        <v>0</v>
      </c>
    </row>
    <row r="508" spans="1:14" hidden="1" x14ac:dyDescent="0.3">
      <c r="A508" s="70">
        <v>45919</v>
      </c>
      <c r="B508" s="6" t="s">
        <v>55</v>
      </c>
      <c r="C508" s="18">
        <v>300</v>
      </c>
      <c r="D508" s="19">
        <v>245.49494999999999</v>
      </c>
      <c r="E508" s="67">
        <f ca="1">IFERROR(C508*D508*_xlfn.XLOOKUP(B508,[1]!TabCalc[Ticker],[1]!TabCalc[Scale]),0)</f>
        <v>73648.485000000001</v>
      </c>
      <c r="F508" s="68" cm="1">
        <f t="array" ref="F508">IF(A508=A507,0,SUM(_xlfn._xlws.FILTER(E508:E518,A508:A518=A508)))</f>
        <v>0</v>
      </c>
      <c r="G508" s="69">
        <f>IF(F508&lt;&gt;0,SUM($F$43:F508),0)</f>
        <v>0</v>
      </c>
      <c r="H508" s="69" cm="1">
        <f t="array" ref="H508">IFERROR(IF(A508=A507,0,SUM(_xlfn._xlws.FILTER(E508:E518,(A508:A518=A508)*(E508:E518&gt;0)))),0)</f>
        <v>0</v>
      </c>
      <c r="I508" s="69" cm="1">
        <f t="array" ref="I508">IFERROR(IF(A508=A507,0,SUM(_xlfn._xlws.FILTER(E508:E518,(A508:A518=A508)*(F508&lt;0)))),0)</f>
        <v>0</v>
      </c>
      <c r="J508" s="81" t="str">
        <f ca="1">IFERROR(_xlfn.XLOOKUP(B508,[1]!TabCalc[Ticker],[1]!TabCalc[Cur]),"")</f>
        <v>USD</v>
      </c>
      <c r="K508" s="68" cm="1">
        <f t="array" ref="K508">IFERROR(IF($A508=$A507,0,SUM(_xlfn._xlws.FILTER($E508:$E518,($A508:$A518=$A508)*($J508:$J518=K$42)))),0)</f>
        <v>0</v>
      </c>
      <c r="L508" s="68" cm="1">
        <f t="array" ref="L508">IFERROR(IF($A508=$A507,0,SUM(_xlfn._xlws.FILTER($E508:$E518,($A508:$A518=$A508)*($J508:$J518=L$42)))),0)</f>
        <v>0</v>
      </c>
      <c r="M508" s="68" cm="1">
        <f t="array" ref="M508">IFERROR(IF($A508=$A507,0,SUM(_xlfn._xlws.FILTER($E508:$E518,($A508:$A518=$A508)*($J508:$J518=M$42)))),0)</f>
        <v>0</v>
      </c>
      <c r="N508" s="68" cm="1">
        <f t="array" ref="N508">IFERROR(IF($A508=$A507,0,SUM(_xlfn._xlws.FILTER($E508:$E518,($A508:$A518=$A508)*($J508:$J518=N$42)))),0)</f>
        <v>0</v>
      </c>
    </row>
    <row r="509" spans="1:14" hidden="1" x14ac:dyDescent="0.3">
      <c r="A509" s="70">
        <v>45919</v>
      </c>
      <c r="B509" s="6" t="s">
        <v>90</v>
      </c>
      <c r="C509" s="18">
        <v>1000</v>
      </c>
      <c r="D509" s="19">
        <v>-227.55</v>
      </c>
      <c r="E509" s="67">
        <f ca="1">IFERROR(C509*D509*_xlfn.XLOOKUP(B509,[1]!TabCalc[Ticker],[1]!TabCalc[Scale]),0)</f>
        <v>-227550</v>
      </c>
      <c r="F509" s="68" cm="1">
        <f t="array" ref="F509">IF(A509=A508,0,SUM(_xlfn._xlws.FILTER(E509:E519,A509:A519=A509)))</f>
        <v>0</v>
      </c>
      <c r="G509" s="69">
        <f>IF(F509&lt;&gt;0,SUM($F$43:F509),0)</f>
        <v>0</v>
      </c>
      <c r="H509" s="69" cm="1">
        <f t="array" ref="H509">IFERROR(IF(A509=A508,0,SUM(_xlfn._xlws.FILTER(E509:E519,(A509:A519=A509)*(E509:E519&gt;0)))),0)</f>
        <v>0</v>
      </c>
      <c r="I509" s="69" cm="1">
        <f t="array" ref="I509">IFERROR(IF(A509=A508,0,SUM(_xlfn._xlws.FILTER(E509:E519,(A509:A519=A509)*(F509&lt;0)))),0)</f>
        <v>0</v>
      </c>
      <c r="J509" s="81" t="str">
        <f ca="1">IFERROR(_xlfn.XLOOKUP(C509,[1]!TabCalc[Ticker],[1]!TabCalc[Cur]),"")</f>
        <v/>
      </c>
      <c r="K509" s="68" cm="1">
        <f t="array" ref="K509">IFERROR(IF($A509=$A508,0,SUM(_xlfn._xlws.FILTER($E509:$E519,($A509:$A519=$A509)*($J509:$J519=K$42)))),0)</f>
        <v>0</v>
      </c>
      <c r="L509" s="68" cm="1">
        <f t="array" ref="L509">IFERROR(IF($A509=$A508,0,SUM(_xlfn._xlws.FILTER($E509:$E519,($A509:$A519=$A509)*($J509:$J519=L$42)))),0)</f>
        <v>0</v>
      </c>
      <c r="M509" s="68" cm="1">
        <f t="array" ref="M509">IFERROR(IF($A509=$A508,0,SUM(_xlfn._xlws.FILTER($E509:$E519,($A509:$A519=$A509)*($J509:$J519=M$42)))),0)</f>
        <v>0</v>
      </c>
      <c r="N509" s="68" cm="1">
        <f t="array" ref="N509">IFERROR(IF($A509=$A508,0,SUM(_xlfn._xlws.FILTER($E509:$E519,($A509:$A519=$A509)*($J509:$J519=N$42)))),0)</f>
        <v>0</v>
      </c>
    </row>
    <row r="510" spans="1:14" hidden="1" x14ac:dyDescent="0.3">
      <c r="A510" s="64">
        <v>45922</v>
      </c>
      <c r="B510" s="5" t="s">
        <v>30</v>
      </c>
      <c r="C510" s="5">
        <v>100</v>
      </c>
      <c r="D510" s="80">
        <v>814.2</v>
      </c>
      <c r="E510" s="67">
        <f ca="1">IFERROR(C510*D510*_xlfn.XLOOKUP(B510,[1]!TabCalc[Ticker],[1]!TabCalc[Scale]),0)</f>
        <v>81420</v>
      </c>
      <c r="F510" s="68" cm="1">
        <f t="array" aca="1" ref="F510" ca="1">IF(A510=A509,0,SUM(_xlfn._xlws.FILTER(E510:E520,A510:A520=A510)))</f>
        <v>54340</v>
      </c>
      <c r="G510" s="69">
        <f ca="1">IF(F510&lt;&gt;0,SUM($F$43:F510),0)</f>
        <v>-3402374.2445729994</v>
      </c>
      <c r="H510" s="69" cm="1">
        <f t="array" aca="1" ref="H510" ca="1">IFERROR(IF(A510=A509,0,SUM(_xlfn._xlws.FILTER(E510:E520,(A510:A520=A510)*(E510:E520&gt;0)))),0)</f>
        <v>98280</v>
      </c>
      <c r="I510" s="69" cm="1">
        <f t="array" aca="1" ref="I510" ca="1">IFERROR(IF(A510=A509,0,SUM(_xlfn._xlws.FILTER(E510:E520,(A510:A520=A510)*(F510&lt;0)))),0)</f>
        <v>0</v>
      </c>
      <c r="J510" s="81" t="str">
        <f ca="1">IFERROR(_xlfn.XLOOKUP(B510,[1]!TabCalc[Ticker],[1]!TabCalc[Cur]),"")</f>
        <v>EUR</v>
      </c>
      <c r="K510" s="68" cm="1">
        <f t="array" aca="1" ref="K510" ca="1">IFERROR(IF($A510=$A509,0,SUM(_xlfn._xlws.FILTER($E510:$E520,($A510:$A520=$A510)*($J510:$J520=K$42)))),0)</f>
        <v>81420</v>
      </c>
      <c r="L510" s="68" cm="1">
        <f t="array" aca="1" ref="L510" ca="1">IFERROR(IF($A510=$A509,0,SUM(_xlfn._xlws.FILTER($E510:$E520,($A510:$A520=$A510)*($J510:$J520=L$42)))),0)</f>
        <v>-27080</v>
      </c>
      <c r="M510" s="68" cm="1">
        <f t="array" aca="1" ref="M510" ca="1">IFERROR(IF($A510=$A509,0,SUM(_xlfn._xlws.FILTER($E510:$E520,($A510:$A520=$A510)*($J510:$J520=M$42)))),0)</f>
        <v>0</v>
      </c>
      <c r="N510" s="68" cm="1">
        <f t="array" aca="1" ref="N510" ca="1">IFERROR(IF($A510=$A509,0,SUM(_xlfn._xlws.FILTER($E510:$E520,($A510:$A520=$A510)*($J510:$J520=N$42)))),0)</f>
        <v>0</v>
      </c>
    </row>
    <row r="511" spans="1:14" hidden="1" x14ac:dyDescent="0.3">
      <c r="A511" s="64">
        <v>45922</v>
      </c>
      <c r="B511" s="5" t="s">
        <v>92</v>
      </c>
      <c r="C511" s="5">
        <v>1000</v>
      </c>
      <c r="D511" s="80">
        <v>16.86</v>
      </c>
      <c r="E511" s="67">
        <f ca="1">IFERROR(C511*D511*_xlfn.XLOOKUP(B511,[1]!TabCalc[Ticker],[1]!TabCalc[Scale]),0)</f>
        <v>16860</v>
      </c>
      <c r="F511" s="68" cm="1">
        <f t="array" ref="F511">IF(A511=A510,0,SUM(_xlfn._xlws.FILTER(E511:E521,A511:A521=A511)))</f>
        <v>0</v>
      </c>
      <c r="G511" s="69">
        <f>IF(F511&lt;&gt;0,SUM($F$43:F511),0)</f>
        <v>0</v>
      </c>
      <c r="H511" s="69" cm="1">
        <f t="array" ref="H511">IFERROR(IF(A511=A510,0,SUM(_xlfn._xlws.FILTER(E511:E521,(A511:A521=A511)*(E511:E521&gt;0)))),0)</f>
        <v>0</v>
      </c>
      <c r="I511" s="69" cm="1">
        <f t="array" ref="I511">IFERROR(IF(A511=A510,0,SUM(_xlfn._xlws.FILTER(E511:E521,(A511:A521=A511)*(F511&lt;0)))),0)</f>
        <v>0</v>
      </c>
      <c r="J511" s="81" t="str">
        <f ca="1">IFERROR(_xlfn.XLOOKUP(B511,[1]!TabCalc[Ticker],[1]!TabCalc[Cur]),"")</f>
        <v>USD</v>
      </c>
      <c r="K511" s="68" cm="1">
        <f t="array" ref="K511">IFERROR(IF($A511=$A510,0,SUM(_xlfn._xlws.FILTER($E511:$E521,($A511:$A521=$A511)*($J511:$J521=K$42)))),0)</f>
        <v>0</v>
      </c>
      <c r="L511" s="68" cm="1">
        <f t="array" ref="L511">IFERROR(IF($A511=$A510,0,SUM(_xlfn._xlws.FILTER($E511:$E521,($A511:$A521=$A511)*($J511:$J521=L$42)))),0)</f>
        <v>0</v>
      </c>
      <c r="M511" s="68" cm="1">
        <f t="array" ref="M511">IFERROR(IF($A511=$A510,0,SUM(_xlfn._xlws.FILTER($E511:$E521,($A511:$A521=$A511)*($J511:$J521=M$42)))),0)</f>
        <v>0</v>
      </c>
      <c r="N511" s="68" cm="1">
        <f t="array" ref="N511">IFERROR(IF($A511=$A510,0,SUM(_xlfn._xlws.FILTER($E511:$E521,($A511:$A521=$A511)*($J511:$J521=N$42)))),0)</f>
        <v>0</v>
      </c>
    </row>
    <row r="512" spans="1:14" hidden="1" x14ac:dyDescent="0.3">
      <c r="A512" s="64">
        <v>45922</v>
      </c>
      <c r="B512" s="5" t="s">
        <v>109</v>
      </c>
      <c r="C512" s="5">
        <v>13000</v>
      </c>
      <c r="D512" s="80">
        <v>-3.38</v>
      </c>
      <c r="E512" s="67">
        <f ca="1">IFERROR(C512*D512*_xlfn.XLOOKUP(B512,[1]!TabCalc[Ticker],[1]!TabCalc[Scale]),0)</f>
        <v>-43940</v>
      </c>
      <c r="F512" s="68" cm="1">
        <f t="array" ref="F512">IF(A512=A511,0,SUM(_xlfn._xlws.FILTER(E512:E522,A512:A522=A512)))</f>
        <v>0</v>
      </c>
      <c r="G512" s="69">
        <f>IF(F512&lt;&gt;0,SUM($F$43:F512),0)</f>
        <v>0</v>
      </c>
      <c r="H512" s="69" cm="1">
        <f t="array" ref="H512">IFERROR(IF(A512=A511,0,SUM(_xlfn._xlws.FILTER(E512:E522,(A512:A522=A512)*(E512:E522&gt;0)))),0)</f>
        <v>0</v>
      </c>
      <c r="I512" s="69" cm="1">
        <f t="array" ref="I512">IFERROR(IF(A512=A511,0,SUM(_xlfn._xlws.FILTER(E512:E522,(A512:A522=A512)*(F512&lt;0)))),0)</f>
        <v>0</v>
      </c>
      <c r="J512" s="81" t="str">
        <f ca="1">IFERROR(_xlfn.XLOOKUP(B512,[1]!TabCalc[Ticker],[1]!TabCalc[Cur]),"")</f>
        <v>USD</v>
      </c>
      <c r="K512" s="68" cm="1">
        <f t="array" ref="K512">IFERROR(IF($A512=$A511,0,SUM(_xlfn._xlws.FILTER($E512:$E522,($A512:$A522=$A512)*($J512:$J522=K$42)))),0)</f>
        <v>0</v>
      </c>
      <c r="L512" s="68" cm="1">
        <f t="array" ref="L512">IFERROR(IF($A512=$A511,0,SUM(_xlfn._xlws.FILTER($E512:$E522,($A512:$A522=$A512)*($J512:$J522=L$42)))),0)</f>
        <v>0</v>
      </c>
      <c r="M512" s="68" cm="1">
        <f t="array" ref="M512">IFERROR(IF($A512=$A511,0,SUM(_xlfn._xlws.FILTER($E512:$E522,($A512:$A522=$A512)*($J512:$J522=M$42)))),0)</f>
        <v>0</v>
      </c>
      <c r="N512" s="68" cm="1">
        <f t="array" ref="N512">IFERROR(IF($A512=$A511,0,SUM(_xlfn._xlws.FILTER($E512:$E522,($A512:$A522=$A512)*($J512:$J522=N$42)))),0)</f>
        <v>0</v>
      </c>
    </row>
    <row r="513" spans="1:14" hidden="1" x14ac:dyDescent="0.3">
      <c r="A513" s="70">
        <v>45923</v>
      </c>
      <c r="B513" s="6" t="s">
        <v>30</v>
      </c>
      <c r="C513" s="18">
        <v>100</v>
      </c>
      <c r="D513" s="19">
        <v>821.4</v>
      </c>
      <c r="E513" s="67">
        <f ca="1">IFERROR(C513*D513*_xlfn.XLOOKUP(B513,[1]!TabCalc[Ticker],[1]!TabCalc[Scale]),0)</f>
        <v>82140</v>
      </c>
      <c r="F513" s="68" cm="1">
        <f t="array" aca="1" ref="F513" ca="1">IF(A513=A512,0,SUM(_xlfn._xlws.FILTER(E513:E523,A513:A523=A513)))</f>
        <v>138184</v>
      </c>
      <c r="G513" s="69">
        <f ca="1">IF(F513&lt;&gt;0,SUM($F$43:F513),0)</f>
        <v>-3264190.2445729994</v>
      </c>
      <c r="H513" s="69" cm="1">
        <f t="array" aca="1" ref="H513" ca="1">IFERROR(IF(A513=A512,0,SUM(_xlfn._xlws.FILTER(E513:E523,(A513:A523=A513)*(E513:E523&gt;0)))),0)</f>
        <v>171524</v>
      </c>
      <c r="I513" s="69" cm="1">
        <f t="array" aca="1" ref="I513" ca="1">IFERROR(IF(A513=A512,0,SUM(_xlfn._xlws.FILTER(E513:E523,(A513:A523=A513)*(F513&lt;0)))),0)</f>
        <v>0</v>
      </c>
      <c r="J513" s="81" t="str">
        <f ca="1">IFERROR(_xlfn.XLOOKUP(B513,[1]!TabCalc[Ticker],[1]!TabCalc[Cur]),"")</f>
        <v>EUR</v>
      </c>
      <c r="K513" s="68" cm="1">
        <f t="array" aca="1" ref="K513" ca="1">IFERROR(IF($A513=$A512,0,SUM(_xlfn._xlws.FILTER($E513:$E523,($A513:$A523=$A513)*($J513:$J523=K$42)))),0)</f>
        <v>82140</v>
      </c>
      <c r="L513" s="68" cm="1">
        <f t="array" aca="1" ref="L513" ca="1">IFERROR(IF($A513=$A512,0,SUM(_xlfn._xlws.FILTER($E513:$E523,($A513:$A523=$A513)*($J513:$J523=L$42)))),0)</f>
        <v>56044</v>
      </c>
      <c r="M513" s="68" cm="1">
        <f t="array" aca="1" ref="M513" ca="1">IFERROR(IF($A513=$A512,0,SUM(_xlfn._xlws.FILTER($E513:$E523,($A513:$A523=$A513)*($J513:$J523=M$42)))),0)</f>
        <v>0</v>
      </c>
      <c r="N513" s="68" cm="1">
        <f t="array" aca="1" ref="N513" ca="1">IFERROR(IF($A513=$A512,0,SUM(_xlfn._xlws.FILTER($E513:$E523,($A513:$A523=$A513)*($J513:$J523=N$42)))),0)</f>
        <v>0</v>
      </c>
    </row>
    <row r="514" spans="1:14" hidden="1" x14ac:dyDescent="0.3">
      <c r="A514" s="70">
        <v>45923</v>
      </c>
      <c r="B514" s="6" t="s">
        <v>82</v>
      </c>
      <c r="C514" s="18">
        <v>200</v>
      </c>
      <c r="D514" s="19">
        <v>85.32</v>
      </c>
      <c r="E514" s="67">
        <f ca="1">IFERROR(C514*D514*_xlfn.XLOOKUP(B514,[1]!TabCalc[Ticker],[1]!TabCalc[Scale]),0)</f>
        <v>17064</v>
      </c>
      <c r="F514" s="68" cm="1">
        <f t="array" ref="F514">IF(A514=A513,0,SUM(_xlfn._xlws.FILTER(E514:E524,A514:A524=A514)))</f>
        <v>0</v>
      </c>
      <c r="G514" s="69">
        <f>IF(F514&lt;&gt;0,SUM($F$43:F514),0)</f>
        <v>0</v>
      </c>
      <c r="H514" s="69" cm="1">
        <f t="array" ref="H514">IFERROR(IF(A514=A513,0,SUM(_xlfn._xlws.FILTER(E514:E524,(A514:A524=A514)*(E514:E524&gt;0)))),0)</f>
        <v>0</v>
      </c>
      <c r="I514" s="69" cm="1">
        <f t="array" ref="I514">IFERROR(IF(A514=A513,0,SUM(_xlfn._xlws.FILTER(E514:E524,(A514:A524=A514)*(F514&lt;0)))),0)</f>
        <v>0</v>
      </c>
      <c r="J514" s="81" t="str">
        <f ca="1">IFERROR(_xlfn.XLOOKUP(B514,[1]!TabCalc[Ticker],[1]!TabCalc[Cur]),"")</f>
        <v>USD</v>
      </c>
      <c r="K514" s="68" cm="1">
        <f t="array" ref="K514">IFERROR(IF($A514=$A513,0,SUM(_xlfn._xlws.FILTER($E514:$E524,($A514:$A524=$A514)*($J514:$J524=K$42)))),0)</f>
        <v>0</v>
      </c>
      <c r="L514" s="68" cm="1">
        <f t="array" ref="L514">IFERROR(IF($A514=$A513,0,SUM(_xlfn._xlws.FILTER($E514:$E524,($A514:$A524=$A514)*($J514:$J524=L$42)))),0)</f>
        <v>0</v>
      </c>
      <c r="M514" s="68" cm="1">
        <f t="array" ref="M514">IFERROR(IF($A514=$A513,0,SUM(_xlfn._xlws.FILTER($E514:$E524,($A514:$A524=$A514)*($J514:$J524=M$42)))),0)</f>
        <v>0</v>
      </c>
      <c r="N514" s="68" cm="1">
        <f t="array" ref="N514">IFERROR(IF($A514=$A513,0,SUM(_xlfn._xlws.FILTER($E514:$E524,($A514:$A524=$A514)*($J514:$J524=N$42)))),0)</f>
        <v>0</v>
      </c>
    </row>
    <row r="515" spans="1:14" hidden="1" x14ac:dyDescent="0.3">
      <c r="A515" s="70">
        <v>45923</v>
      </c>
      <c r="B515" s="6" t="s">
        <v>64</v>
      </c>
      <c r="C515" s="18">
        <v>200</v>
      </c>
      <c r="D515" s="19">
        <v>-166.7</v>
      </c>
      <c r="E515" s="67">
        <f ca="1">IFERROR(C515*D515*_xlfn.XLOOKUP(B515,[1]!TabCalc[Ticker],[1]!TabCalc[Scale]),0)</f>
        <v>-33340</v>
      </c>
      <c r="F515" s="68" cm="1">
        <f t="array" ref="F515">IF(A515=A514,0,SUM(_xlfn._xlws.FILTER(E515:E525,A515:A525=A515)))</f>
        <v>0</v>
      </c>
      <c r="G515" s="69">
        <f>IF(F515&lt;&gt;0,SUM($F$43:F515),0)</f>
        <v>0</v>
      </c>
      <c r="H515" s="69" cm="1">
        <f t="array" ref="H515">IFERROR(IF(A515=A514,0,SUM(_xlfn._xlws.FILTER(E515:E525,(A515:A525=A515)*(E515:E525&gt;0)))),0)</f>
        <v>0</v>
      </c>
      <c r="I515" s="69" cm="1">
        <f t="array" ref="I515">IFERROR(IF(A515=A514,0,SUM(_xlfn._xlws.FILTER(E515:E525,(A515:A525=A515)*(F515&lt;0)))),0)</f>
        <v>0</v>
      </c>
      <c r="J515" s="81" t="str">
        <f ca="1">IFERROR(_xlfn.XLOOKUP(B515,[1]!TabCalc[Ticker],[1]!TabCalc[Cur]),"")</f>
        <v>USD</v>
      </c>
      <c r="K515" s="68" cm="1">
        <f t="array" ref="K515">IFERROR(IF($A515=$A514,0,SUM(_xlfn._xlws.FILTER($E515:$E525,($A515:$A525=$A515)*($J515:$J525=K$42)))),0)</f>
        <v>0</v>
      </c>
      <c r="L515" s="68" cm="1">
        <f t="array" ref="L515">IFERROR(IF($A515=$A514,0,SUM(_xlfn._xlws.FILTER($E515:$E525,($A515:$A525=$A515)*($J515:$J525=L$42)))),0)</f>
        <v>0</v>
      </c>
      <c r="M515" s="68" cm="1">
        <f t="array" ref="M515">IFERROR(IF($A515=$A514,0,SUM(_xlfn._xlws.FILTER($E515:$E525,($A515:$A525=$A515)*($J515:$J525=M$42)))),0)</f>
        <v>0</v>
      </c>
      <c r="N515" s="68" cm="1">
        <f t="array" ref="N515">IFERROR(IF($A515=$A514,0,SUM(_xlfn._xlws.FILTER($E515:$E525,($A515:$A525=$A515)*($J515:$J525=N$42)))),0)</f>
        <v>0</v>
      </c>
    </row>
    <row r="516" spans="1:14" hidden="1" x14ac:dyDescent="0.3">
      <c r="A516" s="70">
        <v>45923</v>
      </c>
      <c r="B516" s="6" t="s">
        <v>32</v>
      </c>
      <c r="C516" s="18">
        <v>1000</v>
      </c>
      <c r="D516" s="19">
        <v>72.319999999999993</v>
      </c>
      <c r="E516" s="67">
        <f ca="1">IFERROR(C516*D516*_xlfn.XLOOKUP(B516,[1]!TabCalc[Ticker],[1]!TabCalc[Scale]),0)</f>
        <v>72320</v>
      </c>
      <c r="F516" s="68" cm="1">
        <f t="array" ref="F516">IF(A516=A515,0,SUM(_xlfn._xlws.FILTER(E516:E526,A516:A526=A516)))</f>
        <v>0</v>
      </c>
      <c r="G516" s="69">
        <f>IF(F516&lt;&gt;0,SUM($F$43:F516),0)</f>
        <v>0</v>
      </c>
      <c r="H516" s="69" cm="1">
        <f t="array" ref="H516">IFERROR(IF(A516=A515,0,SUM(_xlfn._xlws.FILTER(E516:E526,(A516:A526=A516)*(E516:E526&gt;0)))),0)</f>
        <v>0</v>
      </c>
      <c r="I516" s="69" cm="1">
        <f t="array" ref="I516">IFERROR(IF(A516=A515,0,SUM(_xlfn._xlws.FILTER(E516:E526,(A516:A526=A516)*(F516&lt;0)))),0)</f>
        <v>0</v>
      </c>
      <c r="J516" s="81" t="str">
        <f ca="1">IFERROR(_xlfn.XLOOKUP(B516,[1]!TabCalc[Ticker],[1]!TabCalc[Cur]),"")</f>
        <v>USD</v>
      </c>
      <c r="K516" s="68" cm="1">
        <f t="array" ref="K516">IFERROR(IF($A516=$A515,0,SUM(_xlfn._xlws.FILTER($E516:$E526,($A516:$A526=$A516)*($J516:$J526=K$42)))),0)</f>
        <v>0</v>
      </c>
      <c r="L516" s="68" cm="1">
        <f t="array" ref="L516">IFERROR(IF($A516=$A515,0,SUM(_xlfn._xlws.FILTER($E516:$E526,($A516:$A526=$A516)*($J516:$J526=L$42)))),0)</f>
        <v>0</v>
      </c>
      <c r="M516" s="68" cm="1">
        <f t="array" ref="M516">IFERROR(IF($A516=$A515,0,SUM(_xlfn._xlws.FILTER($E516:$E526,($A516:$A526=$A516)*($J516:$J526=M$42)))),0)</f>
        <v>0</v>
      </c>
      <c r="N516" s="68" cm="1">
        <f t="array" ref="N516">IFERROR(IF($A516=$A515,0,SUM(_xlfn._xlws.FILTER($E516:$E526,($A516:$A526=$A516)*($J516:$J526=N$42)))),0)</f>
        <v>0</v>
      </c>
    </row>
    <row r="517" spans="1:14" hidden="1" x14ac:dyDescent="0.3">
      <c r="A517" s="64">
        <v>45924</v>
      </c>
      <c r="B517" s="5" t="s">
        <v>30</v>
      </c>
      <c r="C517" s="5">
        <v>200</v>
      </c>
      <c r="D517" s="5">
        <v>824.25</v>
      </c>
      <c r="E517" s="67">
        <f ca="1">IFERROR(C517*D517*_xlfn.XLOOKUP(B517,[1]!TabCalc[Ticker],[1]!TabCalc[Scale]),0)</f>
        <v>164850</v>
      </c>
      <c r="F517" s="68" cm="1">
        <f t="array" aca="1" ref="F517" ca="1">IF(A517=A516,0,SUM(_xlfn._xlws.FILTER(E517:E527,A517:A527=A517)))</f>
        <v>87501</v>
      </c>
      <c r="G517" s="69">
        <f ca="1">IF(F517&lt;&gt;0,SUM($F$43:F517),0)</f>
        <v>-3176689.2445729994</v>
      </c>
      <c r="H517" s="69" cm="1">
        <f t="array" aca="1" ref="H517" ca="1">IFERROR(IF(A517=A516,0,SUM(_xlfn._xlws.FILTER(E517:E527,(A517:A527=A517)*(E517:E527&gt;0)))),0)</f>
        <v>164850</v>
      </c>
      <c r="I517" s="69" cm="1">
        <f t="array" aca="1" ref="I517" ca="1">IFERROR(IF(A517=A516,0,SUM(_xlfn._xlws.FILTER(E517:E527,(A517:A527=A517)*(F517&lt;0)))),0)</f>
        <v>0</v>
      </c>
      <c r="J517" s="81" t="str">
        <f ca="1">IFERROR(_xlfn.XLOOKUP(B517,[1]!TabCalc[Ticker],[1]!TabCalc[Cur]),"")</f>
        <v>EUR</v>
      </c>
      <c r="K517" s="68" cm="1">
        <f t="array" aca="1" ref="K517" ca="1">IFERROR(IF($A517=$A516,0,SUM(_xlfn._xlws.FILTER($E517:$E527,($A517:$A527=$A517)*($J517:$J527=K$42)))),0)</f>
        <v>164850</v>
      </c>
      <c r="L517" s="68" cm="1">
        <f t="array" aca="1" ref="L517" ca="1">IFERROR(IF($A517=$A516,0,SUM(_xlfn._xlws.FILTER($E517:$E527,($A517:$A527=$A517)*($J517:$J527=L$42)))),0)</f>
        <v>-77349</v>
      </c>
      <c r="M517" s="68" cm="1">
        <f t="array" aca="1" ref="M517" ca="1">IFERROR(IF($A517=$A516,0,SUM(_xlfn._xlws.FILTER($E517:$E527,($A517:$A527=$A517)*($J517:$J527=M$42)))),0)</f>
        <v>0</v>
      </c>
      <c r="N517" s="68" cm="1">
        <f t="array" aca="1" ref="N517" ca="1">IFERROR(IF($A517=$A516,0,SUM(_xlfn._xlws.FILTER($E517:$E527,($A517:$A527=$A517)*($J517:$J527=N$42)))),0)</f>
        <v>0</v>
      </c>
    </row>
    <row r="518" spans="1:14" hidden="1" x14ac:dyDescent="0.3">
      <c r="A518" s="64">
        <v>45924</v>
      </c>
      <c r="B518" s="5" t="s">
        <v>79</v>
      </c>
      <c r="C518" s="5">
        <v>4000</v>
      </c>
      <c r="D518" s="80">
        <v>-5.19</v>
      </c>
      <c r="E518" s="67">
        <f ca="1">IFERROR(C518*D518*_xlfn.XLOOKUP(B518,[1]!TabCalc[Ticker],[1]!TabCalc[Scale]),0)</f>
        <v>-20760</v>
      </c>
      <c r="F518" s="68" cm="1">
        <f t="array" ref="F518">IF(A518=A517,0,SUM(_xlfn._xlws.FILTER(E518:E528,A518:A528=A518)))</f>
        <v>0</v>
      </c>
      <c r="G518" s="69">
        <f>IF(F518&lt;&gt;0,SUM($F$43:F518),0)</f>
        <v>0</v>
      </c>
      <c r="H518" s="69" cm="1">
        <f t="array" ref="H518">IFERROR(IF(A518=A517,0,SUM(_xlfn._xlws.FILTER(E518:E528,(A518:A528=A518)*(E518:E528&gt;0)))),0)</f>
        <v>0</v>
      </c>
      <c r="I518" s="69" cm="1">
        <f t="array" ref="I518">IFERROR(IF(A518=A517,0,SUM(_xlfn._xlws.FILTER(E518:E528,(A518:A528=A518)*(F518&lt;0)))),0)</f>
        <v>0</v>
      </c>
      <c r="J518" s="81" t="str">
        <f ca="1">IFERROR(_xlfn.XLOOKUP(B518,[1]!TabCalc[Ticker],[1]!TabCalc[Cur]),"")</f>
        <v>USD</v>
      </c>
      <c r="K518" s="68" cm="1">
        <f t="array" ref="K518">IFERROR(IF($A518=$A517,0,SUM(_xlfn._xlws.FILTER($E518:$E528,($A518:$A528=$A518)*($J518:$J528=K$42)))),0)</f>
        <v>0</v>
      </c>
      <c r="L518" s="68" cm="1">
        <f t="array" ref="L518">IFERROR(IF($A518=$A517,0,SUM(_xlfn._xlws.FILTER($E518:$E528,($A518:$A528=$A518)*($J518:$J528=L$42)))),0)</f>
        <v>0</v>
      </c>
      <c r="M518" s="68" cm="1">
        <f t="array" ref="M518">IFERROR(IF($A518=$A517,0,SUM(_xlfn._xlws.FILTER($E518:$E528,($A518:$A528=$A518)*($J518:$J528=M$42)))),0)</f>
        <v>0</v>
      </c>
      <c r="N518" s="68" cm="1">
        <f t="array" ref="N518">IFERROR(IF($A518=$A517,0,SUM(_xlfn._xlws.FILTER($E518:$E528,($A518:$A528=$A518)*($J518:$J528=N$42)))),0)</f>
        <v>0</v>
      </c>
    </row>
    <row r="519" spans="1:14" hidden="1" x14ac:dyDescent="0.3">
      <c r="A519" s="64">
        <v>45924</v>
      </c>
      <c r="B519" s="5" t="s">
        <v>43</v>
      </c>
      <c r="C519" s="5">
        <v>100</v>
      </c>
      <c r="D519" s="5">
        <v>-565.89</v>
      </c>
      <c r="E519" s="67">
        <f ca="1">IFERROR(C519*D519*_xlfn.XLOOKUP(B519,[1]!TabCalc[Ticker],[1]!TabCalc[Scale]),0)</f>
        <v>-56589</v>
      </c>
      <c r="F519" s="68" cm="1">
        <f t="array" ref="F519">IF(A519=A518,0,SUM(_xlfn._xlws.FILTER(E519:E529,A519:A529=A519)))</f>
        <v>0</v>
      </c>
      <c r="G519" s="69">
        <f>IF(F519&lt;&gt;0,SUM($F$43:F519),0)</f>
        <v>0</v>
      </c>
      <c r="H519" s="69" cm="1">
        <f t="array" ref="H519">IFERROR(IF(A519=A518,0,SUM(_xlfn._xlws.FILTER(E519:E529,(A519:A529=A519)*(E519:E529&gt;0)))),0)</f>
        <v>0</v>
      </c>
      <c r="I519" s="69" cm="1">
        <f t="array" ref="I519">IFERROR(IF(A519=A518,0,SUM(_xlfn._xlws.FILTER(E519:E529,(A519:A529=A519)*(F519&lt;0)))),0)</f>
        <v>0</v>
      </c>
      <c r="J519" s="81" t="str">
        <f ca="1">IFERROR(_xlfn.XLOOKUP(B519,[1]!TabCalc[Ticker],[1]!TabCalc[Cur]),"")</f>
        <v>USD</v>
      </c>
      <c r="K519" s="68" cm="1">
        <f t="array" ref="K519">IFERROR(IF($A519=$A518,0,SUM(_xlfn._xlws.FILTER($E519:$E529,($A519:$A529=$A519)*($J519:$J529=K$42)))),0)</f>
        <v>0</v>
      </c>
      <c r="L519" s="68" cm="1">
        <f t="array" ref="L519">IFERROR(IF($A519=$A518,0,SUM(_xlfn._xlws.FILTER($E519:$E529,($A519:$A529=$A519)*($J519:$J529=L$42)))),0)</f>
        <v>0</v>
      </c>
      <c r="M519" s="68" cm="1">
        <f t="array" ref="M519">IFERROR(IF($A519=$A518,0,SUM(_xlfn._xlws.FILTER($E519:$E529,($A519:$A529=$A519)*($J519:$J529=M$42)))),0)</f>
        <v>0</v>
      </c>
      <c r="N519" s="68" cm="1">
        <f t="array" ref="N519">IFERROR(IF($A519=$A518,0,SUM(_xlfn._xlws.FILTER($E519:$E529,($A519:$A529=$A519)*($J519:$J529=N$42)))),0)</f>
        <v>0</v>
      </c>
    </row>
    <row r="520" spans="1:14" hidden="1" x14ac:dyDescent="0.3">
      <c r="A520" s="70">
        <v>45925</v>
      </c>
      <c r="B520" s="6" t="s">
        <v>30</v>
      </c>
      <c r="C520" s="18">
        <v>200</v>
      </c>
      <c r="D520" s="19">
        <v>-804.9</v>
      </c>
      <c r="E520" s="67">
        <f ca="1">IFERROR(C520*D520*_xlfn.XLOOKUP(B520,[1]!TabCalc[Ticker],[1]!TabCalc[Scale]),0)</f>
        <v>-160980</v>
      </c>
      <c r="F520" s="68" cm="1">
        <f t="array" aca="1" ref="F520" ca="1">IF(A520=A519,0,SUM(_xlfn._xlws.FILTER(E520:E530,A520:A530=A520)))</f>
        <v>716.56499999999505</v>
      </c>
      <c r="G520" s="69">
        <f ca="1">IF(F520&lt;&gt;0,SUM($F$43:F520),0)</f>
        <v>-3175972.6795729995</v>
      </c>
      <c r="H520" s="69" cm="1">
        <f t="array" aca="1" ref="H520" ca="1">IFERROR(IF(A520=A519,0,SUM(_xlfn._xlws.FILTER(E520:E530,(A520:A530=A520)*(E520:E530&gt;0)))),0)</f>
        <v>327396.565</v>
      </c>
      <c r="I520" s="69" cm="1">
        <f t="array" aca="1" ref="I520" ca="1">IFERROR(IF(A520=A519,0,SUM(_xlfn._xlws.FILTER(E520:E530,(A520:A530=A520)*(F520&lt;0)))),0)</f>
        <v>0</v>
      </c>
      <c r="J520" s="81" t="str">
        <f ca="1">IFERROR(_xlfn.XLOOKUP(B520,[1]!TabCalc[Ticker],[1]!TabCalc[Cur]),"")</f>
        <v>EUR</v>
      </c>
      <c r="K520" s="68" cm="1">
        <f t="array" aca="1" ref="K520" ca="1">IFERROR(IF($A520=$A519,0,SUM(_xlfn._xlws.FILTER($E520:$E530,($A520:$A530=$A520)*($J520:$J530=K$42)))),0)</f>
        <v>30540</v>
      </c>
      <c r="L520" s="68" cm="1">
        <f t="array" aca="1" ref="L520" ca="1">IFERROR(IF($A520=$A519,0,SUM(_xlfn._xlws.FILTER($E520:$E530,($A520:$A530=$A520)*($J520:$J530=L$42)))),0)</f>
        <v>88576.565000000002</v>
      </c>
      <c r="M520" s="68" cm="1">
        <f t="array" aca="1" ref="M520" ca="1">IFERROR(IF($A520=$A519,0,SUM(_xlfn._xlws.FILTER($E520:$E530,($A520:$A530=$A520)*($J520:$J530=M$42)))),0)</f>
        <v>0</v>
      </c>
      <c r="N520" s="68" cm="1">
        <f t="array" aca="1" ref="N520" ca="1">IFERROR(IF($A520=$A519,0,SUM(_xlfn._xlws.FILTER($E520:$E530,($A520:$A530=$A520)*($J520:$J530=N$42)))),0)</f>
        <v>-118400</v>
      </c>
    </row>
    <row r="521" spans="1:14" hidden="1" x14ac:dyDescent="0.3">
      <c r="A521" s="70">
        <v>45925</v>
      </c>
      <c r="B521" s="6" t="s">
        <v>97</v>
      </c>
      <c r="C521" s="18">
        <v>2000</v>
      </c>
      <c r="D521" s="19">
        <v>-59.2</v>
      </c>
      <c r="E521" s="67">
        <f ca="1">IFERROR(C521*D521*_xlfn.XLOOKUP(B521,[1]!TabCalc[Ticker],[1]!TabCalc[Scale]),0)</f>
        <v>-118400</v>
      </c>
      <c r="F521" s="68" cm="1">
        <f t="array" ref="F521">IF(A521=A520,0,SUM(_xlfn._xlws.FILTER(E521:E531,A521:A531=A521)))</f>
        <v>0</v>
      </c>
      <c r="G521" s="69">
        <f>IF(F521&lt;&gt;0,SUM($F$43:F521),0)</f>
        <v>0</v>
      </c>
      <c r="H521" s="69" cm="1">
        <f t="array" ref="H521">IFERROR(IF(A521=A520,0,SUM(_xlfn._xlws.FILTER(E521:E531,(A521:A531=A521)*(E521:E531&gt;0)))),0)</f>
        <v>0</v>
      </c>
      <c r="I521" s="69" cm="1">
        <f t="array" ref="I521">IFERROR(IF(A521=A520,0,SUM(_xlfn._xlws.FILTER(E521:E531,(A521:A531=A521)*(F521&lt;0)))),0)</f>
        <v>0</v>
      </c>
      <c r="J521" s="81" t="str">
        <f ca="1">IFERROR(_xlfn.XLOOKUP(B521,[1]!TabCalc[Ticker],[1]!TabCalc[Cur]),"")</f>
        <v>CHF</v>
      </c>
      <c r="K521" s="68" cm="1">
        <f t="array" ref="K521">IFERROR(IF($A521=$A520,0,SUM(_xlfn._xlws.FILTER($E521:$E531,($A521:$A531=$A521)*($J521:$J531=K$42)))),0)</f>
        <v>0</v>
      </c>
      <c r="L521" s="68" cm="1">
        <f t="array" ref="L521">IFERROR(IF($A521=$A520,0,SUM(_xlfn._xlws.FILTER($E521:$E531,($A521:$A531=$A521)*($J521:$J531=L$42)))),0)</f>
        <v>0</v>
      </c>
      <c r="M521" s="68" cm="1">
        <f t="array" ref="M521">IFERROR(IF($A521=$A520,0,SUM(_xlfn._xlws.FILTER($E521:$E531,($A521:$A531=$A521)*($J521:$J531=M$42)))),0)</f>
        <v>0</v>
      </c>
      <c r="N521" s="68" cm="1">
        <f t="array" ref="N521">IFERROR(IF($A521=$A520,0,SUM(_xlfn._xlws.FILTER($E521:$E531,($A521:$A531=$A521)*($J521:$J531=N$42)))),0)</f>
        <v>0</v>
      </c>
    </row>
    <row r="522" spans="1:14" hidden="1" x14ac:dyDescent="0.3">
      <c r="A522" s="70">
        <v>45925</v>
      </c>
      <c r="B522" s="6" t="s">
        <v>94</v>
      </c>
      <c r="C522" s="18">
        <v>12000</v>
      </c>
      <c r="D522" s="19">
        <v>15.96</v>
      </c>
      <c r="E522" s="67">
        <f ca="1">IFERROR(C522*D522*_xlfn.XLOOKUP(B522,[1]!TabCalc[Ticker],[1]!TabCalc[Scale]),0)</f>
        <v>191520</v>
      </c>
      <c r="F522" s="68" cm="1">
        <f t="array" ref="F522">IF(A522=A521,0,SUM(_xlfn._xlws.FILTER(E522:E532,A522:A532=A522)))</f>
        <v>0</v>
      </c>
      <c r="G522" s="69">
        <f>IF(F522&lt;&gt;0,SUM($F$43:F522),0)</f>
        <v>0</v>
      </c>
      <c r="H522" s="69" cm="1">
        <f t="array" ref="H522">IFERROR(IF(A522=A521,0,SUM(_xlfn._xlws.FILTER(E522:E532,(A522:A532=A522)*(E522:E532&gt;0)))),0)</f>
        <v>0</v>
      </c>
      <c r="I522" s="69" cm="1">
        <f t="array" ref="I522">IFERROR(IF(A522=A521,0,SUM(_xlfn._xlws.FILTER(E522:E532,(A522:A532=A522)*(F522&lt;0)))),0)</f>
        <v>0</v>
      </c>
      <c r="J522" s="81" t="str">
        <f ca="1">IFERROR(_xlfn.XLOOKUP(B522,[1]!TabCalc[Ticker],[1]!TabCalc[Cur]),"")</f>
        <v>EUR</v>
      </c>
      <c r="K522" s="68" cm="1">
        <f t="array" ref="K522">IFERROR(IF($A522=$A521,0,SUM(_xlfn._xlws.FILTER($E522:$E532,($A522:$A532=$A522)*($J522:$J532=K$42)))),0)</f>
        <v>0</v>
      </c>
      <c r="L522" s="68" cm="1">
        <f t="array" ref="L522">IFERROR(IF($A522=$A521,0,SUM(_xlfn._xlws.FILTER($E522:$E532,($A522:$A532=$A522)*($J522:$J532=L$42)))),0)</f>
        <v>0</v>
      </c>
      <c r="M522" s="68" cm="1">
        <f t="array" ref="M522">IFERROR(IF($A522=$A521,0,SUM(_xlfn._xlws.FILTER($E522:$E532,($A522:$A532=$A522)*($J522:$J532=M$42)))),0)</f>
        <v>0</v>
      </c>
      <c r="N522" s="68" cm="1">
        <f t="array" ref="N522">IFERROR(IF($A522=$A521,0,SUM(_xlfn._xlws.FILTER($E522:$E532,($A522:$A532=$A522)*($J522:$J532=N$42)))),0)</f>
        <v>0</v>
      </c>
    </row>
    <row r="523" spans="1:14" hidden="1" x14ac:dyDescent="0.3">
      <c r="A523" s="70">
        <v>45925</v>
      </c>
      <c r="B523" s="6" t="s">
        <v>78</v>
      </c>
      <c r="C523" s="18">
        <v>249</v>
      </c>
      <c r="D523" s="19">
        <v>74.685000000000002</v>
      </c>
      <c r="E523" s="67">
        <f ca="1">IFERROR(C523*D523*_xlfn.XLOOKUP(B523,[1]!TabCalc[Ticker],[1]!TabCalc[Scale]),0)</f>
        <v>18596.565000000002</v>
      </c>
      <c r="F523" s="68" cm="1">
        <f t="array" ref="F523">IF(A523=A522,0,SUM(_xlfn._xlws.FILTER(E523:E533,A523:A533=A523)))</f>
        <v>0</v>
      </c>
      <c r="G523" s="69">
        <f>IF(F523&lt;&gt;0,SUM($F$43:F523),0)</f>
        <v>0</v>
      </c>
      <c r="H523" s="69" cm="1">
        <f t="array" ref="H523">IFERROR(IF(A523=A522,0,SUM(_xlfn._xlws.FILTER(E523:E533,(A523:A533=A523)*(E523:E533&gt;0)))),0)</f>
        <v>0</v>
      </c>
      <c r="I523" s="69" cm="1">
        <f t="array" ref="I523">IFERROR(IF(A523=A522,0,SUM(_xlfn._xlws.FILTER(E523:E533,(A523:A533=A523)*(F523&lt;0)))),0)</f>
        <v>0</v>
      </c>
      <c r="J523" s="81" t="str">
        <f ca="1">IFERROR(_xlfn.XLOOKUP(B523,[1]!TabCalc[Ticker],[1]!TabCalc[Cur]),"")</f>
        <v>USD</v>
      </c>
      <c r="K523" s="68" cm="1">
        <f t="array" ref="K523">IFERROR(IF($A523=$A522,0,SUM(_xlfn._xlws.FILTER($E523:$E533,($A523:$A533=$A523)*($J523:$J533=K$42)))),0)</f>
        <v>0</v>
      </c>
      <c r="L523" s="68" cm="1">
        <f t="array" ref="L523">IFERROR(IF($A523=$A522,0,SUM(_xlfn._xlws.FILTER($E523:$E533,($A523:$A533=$A523)*($J523:$J533=L$42)))),0)</f>
        <v>0</v>
      </c>
      <c r="M523" s="68" cm="1">
        <f t="array" ref="M523">IFERROR(IF($A523=$A522,0,SUM(_xlfn._xlws.FILTER($E523:$E533,($A523:$A533=$A523)*($J523:$J533=M$42)))),0)</f>
        <v>0</v>
      </c>
      <c r="N523" s="68" cm="1">
        <f t="array" ref="N523">IFERROR(IF($A523=$A522,0,SUM(_xlfn._xlws.FILTER($E523:$E533,($A523:$A533=$A523)*($J523:$J533=N$42)))),0)</f>
        <v>0</v>
      </c>
    </row>
    <row r="524" spans="1:14" hidden="1" x14ac:dyDescent="0.3">
      <c r="A524" s="70">
        <v>45925</v>
      </c>
      <c r="B524" s="6" t="s">
        <v>106</v>
      </c>
      <c r="C524" s="18">
        <v>28000</v>
      </c>
      <c r="D524" s="19">
        <v>1.52</v>
      </c>
      <c r="E524" s="67">
        <f ca="1">IFERROR(C524*D524*_xlfn.XLOOKUP(B524,[1]!TabCalc[Ticker],[1]!TabCalc[Scale]),0)</f>
        <v>42560</v>
      </c>
      <c r="F524" s="68" cm="1">
        <f t="array" ref="F524">IF(A524=A523,0,SUM(_xlfn._xlws.FILTER(E524:E534,A524:A534=A524)))</f>
        <v>0</v>
      </c>
      <c r="G524" s="69">
        <f>IF(F524&lt;&gt;0,SUM($F$43:F524),0)</f>
        <v>0</v>
      </c>
      <c r="H524" s="69" cm="1">
        <f t="array" ref="H524">IFERROR(IF(A524=A523,0,SUM(_xlfn._xlws.FILTER(E524:E534,(A524:A534=A524)*(E524:E534&gt;0)))),0)</f>
        <v>0</v>
      </c>
      <c r="I524" s="69" cm="1">
        <f t="array" ref="I524">IFERROR(IF(A524=A523,0,SUM(_xlfn._xlws.FILTER(E524:E534,(A524:A534=A524)*(F524&lt;0)))),0)</f>
        <v>0</v>
      </c>
      <c r="J524" s="81" t="str">
        <f ca="1">IFERROR(_xlfn.XLOOKUP(B524,[1]!TabCalc[Ticker],[1]!TabCalc[Cur]),"")</f>
        <v>USD</v>
      </c>
      <c r="K524" s="68" cm="1">
        <f t="array" ref="K524">IFERROR(IF($A524=$A523,0,SUM(_xlfn._xlws.FILTER($E524:$E534,($A524:$A534=$A524)*($J524:$J534=K$42)))),0)</f>
        <v>0</v>
      </c>
      <c r="L524" s="68" cm="1">
        <f t="array" ref="L524">IFERROR(IF($A524=$A523,0,SUM(_xlfn._xlws.FILTER($E524:$E534,($A524:$A534=$A524)*($J524:$J534=L$42)))),0)</f>
        <v>0</v>
      </c>
      <c r="M524" s="68" cm="1">
        <f t="array" ref="M524">IFERROR(IF($A524=$A523,0,SUM(_xlfn._xlws.FILTER($E524:$E534,($A524:$A534=$A524)*($J524:$J534=M$42)))),0)</f>
        <v>0</v>
      </c>
      <c r="N524" s="68" cm="1">
        <f t="array" ref="N524">IFERROR(IF($A524=$A523,0,SUM(_xlfn._xlws.FILTER($E524:$E534,($A524:$A534=$A524)*($J524:$J534=N$42)))),0)</f>
        <v>0</v>
      </c>
    </row>
    <row r="525" spans="1:14" hidden="1" x14ac:dyDescent="0.3">
      <c r="A525" s="70">
        <v>45925</v>
      </c>
      <c r="B525" s="6" t="s">
        <v>32</v>
      </c>
      <c r="C525" s="18">
        <v>1000</v>
      </c>
      <c r="D525" s="19">
        <v>74.72</v>
      </c>
      <c r="E525" s="67">
        <f ca="1">IFERROR(C525*D525*_xlfn.XLOOKUP(B525,[1]!TabCalc[Ticker],[1]!TabCalc[Scale]),0)</f>
        <v>74720</v>
      </c>
      <c r="F525" s="68" cm="1">
        <f t="array" ref="F525">IF(A525=A524,0,SUM(_xlfn._xlws.FILTER(E525:E535,A525:A535=A525)))</f>
        <v>0</v>
      </c>
      <c r="G525" s="69">
        <f>IF(F525&lt;&gt;0,SUM($F$43:F525),0)</f>
        <v>0</v>
      </c>
      <c r="H525" s="69" cm="1">
        <f t="array" ref="H525">IFERROR(IF(A525=A524,0,SUM(_xlfn._xlws.FILTER(E525:E535,(A525:A535=A525)*(E525:E535&gt;0)))),0)</f>
        <v>0</v>
      </c>
      <c r="I525" s="69" cm="1">
        <f t="array" ref="I525">IFERROR(IF(A525=A524,0,SUM(_xlfn._xlws.FILTER(E525:E535,(A525:A535=A525)*(F525&lt;0)))),0)</f>
        <v>0</v>
      </c>
      <c r="J525" s="81" t="str">
        <f ca="1">IFERROR(_xlfn.XLOOKUP(B525,[1]!TabCalc[Ticker],[1]!TabCalc[Cur]),"")</f>
        <v>USD</v>
      </c>
      <c r="K525" s="68" cm="1">
        <f t="array" ref="K525">IFERROR(IF($A525=$A524,0,SUM(_xlfn._xlws.FILTER($E525:$E535,($A525:$A535=$A525)*($J525:$J535=K$42)))),0)</f>
        <v>0</v>
      </c>
      <c r="L525" s="68" cm="1">
        <f t="array" ref="L525">IFERROR(IF($A525=$A524,0,SUM(_xlfn._xlws.FILTER($E525:$E535,($A525:$A535=$A525)*($J525:$J535=L$42)))),0)</f>
        <v>0</v>
      </c>
      <c r="M525" s="68" cm="1">
        <f t="array" ref="M525">IFERROR(IF($A525=$A524,0,SUM(_xlfn._xlws.FILTER($E525:$E535,($A525:$A535=$A525)*($J525:$J535=M$42)))),0)</f>
        <v>0</v>
      </c>
      <c r="N525" s="68" cm="1">
        <f t="array" ref="N525">IFERROR(IF($A525=$A524,0,SUM(_xlfn._xlws.FILTER($E525:$E535,($A525:$A535=$A525)*($J525:$J535=N$42)))),0)</f>
        <v>0</v>
      </c>
    </row>
    <row r="526" spans="1:14" hidden="1" x14ac:dyDescent="0.3">
      <c r="A526" s="70">
        <v>45925</v>
      </c>
      <c r="B526" s="6" t="s">
        <v>105</v>
      </c>
      <c r="C526" s="18">
        <v>5000</v>
      </c>
      <c r="D526" s="19">
        <v>-9.4600000000000009</v>
      </c>
      <c r="E526" s="67">
        <f ca="1">IFERROR(C526*D526*_xlfn.XLOOKUP(B526,[1]!TabCalc[Ticker],[1]!TabCalc[Scale]),0)</f>
        <v>-47300.000000000007</v>
      </c>
      <c r="F526" s="68" cm="1">
        <f t="array" ref="F526">IF(A526=A525,0,SUM(_xlfn._xlws.FILTER(E526:E536,A526:A536=A526)))</f>
        <v>0</v>
      </c>
      <c r="G526" s="69">
        <f>IF(F526&lt;&gt;0,SUM($F$43:F526),0)</f>
        <v>0</v>
      </c>
      <c r="H526" s="69" cm="1">
        <f t="array" ref="H526">IFERROR(IF(A526=A525,0,SUM(_xlfn._xlws.FILTER(E526:E536,(A526:A536=A526)*(E526:E536&gt;0)))),0)</f>
        <v>0</v>
      </c>
      <c r="I526" s="69" cm="1">
        <f t="array" ref="I526">IFERROR(IF(A526=A525,0,SUM(_xlfn._xlws.FILTER(E526:E536,(A526:A536=A526)*(F526&lt;0)))),0)</f>
        <v>0</v>
      </c>
      <c r="J526" s="81" t="str">
        <f ca="1">IFERROR(_xlfn.XLOOKUP(B526,[1]!TabCalc[Ticker],[1]!TabCalc[Cur]),"")</f>
        <v>USD</v>
      </c>
      <c r="K526" s="68" cm="1">
        <f t="array" ref="K526">IFERROR(IF($A526=$A525,0,SUM(_xlfn._xlws.FILTER($E526:$E536,($A526:$A536=$A526)*($J526:$J536=K$42)))),0)</f>
        <v>0</v>
      </c>
      <c r="L526" s="68" cm="1">
        <f t="array" ref="L526">IFERROR(IF($A526=$A525,0,SUM(_xlfn._xlws.FILTER($E526:$E536,($A526:$A536=$A526)*($J526:$J536=L$42)))),0)</f>
        <v>0</v>
      </c>
      <c r="M526" s="68" cm="1">
        <f t="array" ref="M526">IFERROR(IF($A526=$A525,0,SUM(_xlfn._xlws.FILTER($E526:$E536,($A526:$A536=$A526)*($J526:$J536=M$42)))),0)</f>
        <v>0</v>
      </c>
      <c r="N526" s="68" cm="1">
        <f t="array" ref="N526">IFERROR(IF($A526=$A525,0,SUM(_xlfn._xlws.FILTER($E526:$E536,($A526:$A536=$A526)*($J526:$J536=N$42)))),0)</f>
        <v>0</v>
      </c>
    </row>
    <row r="527" spans="1:14" hidden="1" x14ac:dyDescent="0.3">
      <c r="A527" s="64">
        <v>45926</v>
      </c>
      <c r="B527" s="5" t="s">
        <v>37</v>
      </c>
      <c r="C527" s="22">
        <v>1000</v>
      </c>
      <c r="D527" s="80">
        <v>-67.2</v>
      </c>
      <c r="E527" s="67">
        <f ca="1">IFERROR(C527*D527*_xlfn.XLOOKUP(B527,[1]!TabCalc[Ticker],[1]!TabCalc[Scale]),0)</f>
        <v>-67200</v>
      </c>
      <c r="F527" s="68" cm="1">
        <f t="array" aca="1" ref="F527" ca="1">IF(A527=A526,0,SUM(_xlfn._xlws.FILTER(E527:E537,A527:A537=A527)))</f>
        <v>19473.509999999995</v>
      </c>
      <c r="G527" s="69">
        <f ca="1">IF(F527&lt;&gt;0,SUM($F$43:F527),0)</f>
        <v>-3156499.1695729997</v>
      </c>
      <c r="H527" s="69" cm="1">
        <f t="array" aca="1" ref="H527" ca="1">IFERROR(IF(A527=A526,0,SUM(_xlfn._xlws.FILTER(E527:E537,(A527:A537=A527)*(E527:E537&gt;0)))),0)</f>
        <v>179011</v>
      </c>
      <c r="I527" s="69" cm="1">
        <f t="array" aca="1" ref="I527" ca="1">IFERROR(IF(A527=A526,0,SUM(_xlfn._xlws.FILTER(E527:E537,(A527:A537=A527)*(F527&lt;0)))),0)</f>
        <v>0</v>
      </c>
      <c r="J527" s="81" t="str">
        <f ca="1">IFERROR(_xlfn.XLOOKUP(B527,[1]!TabCalc[Ticker],[1]!TabCalc[Cur]),"")</f>
        <v>USD</v>
      </c>
      <c r="K527" s="68" cm="1">
        <f t="array" aca="1" ref="K527" ca="1">IFERROR(IF($A527=$A526,0,SUM(_xlfn._xlws.FILTER($E527:$E537,($A527:$A537=$A527)*($J527:$J537=K$42)))),0)</f>
        <v>0</v>
      </c>
      <c r="L527" s="68" cm="1">
        <f t="array" aca="1" ref="L527" ca="1">IFERROR(IF($A527=$A526,0,SUM(_xlfn._xlws.FILTER($E527:$E537,($A527:$A537=$A527)*($J527:$J537=L$42)))),0)</f>
        <v>19473.509999999995</v>
      </c>
      <c r="M527" s="68" cm="1">
        <f t="array" aca="1" ref="M527" ca="1">IFERROR(IF($A527=$A526,0,SUM(_xlfn._xlws.FILTER($E527:$E537,($A527:$A537=$A527)*($J527:$J537=M$42)))),0)</f>
        <v>0</v>
      </c>
      <c r="N527" s="68" cm="1">
        <f t="array" aca="1" ref="N527" ca="1">IFERROR(IF($A527=$A526,0,SUM(_xlfn._xlws.FILTER($E527:$E537,($A527:$A537=$A527)*($J527:$J537=N$42)))),0)</f>
        <v>0</v>
      </c>
    </row>
    <row r="528" spans="1:14" hidden="1" x14ac:dyDescent="0.3">
      <c r="A528" s="64">
        <v>45926</v>
      </c>
      <c r="B528" s="5" t="s">
        <v>111</v>
      </c>
      <c r="C528" s="22">
        <v>300</v>
      </c>
      <c r="D528" s="80">
        <v>-117.49</v>
      </c>
      <c r="E528" s="67">
        <f ca="1">IFERROR(C528*D528*_xlfn.XLOOKUP(B528,[1]!TabCalc[Ticker],[1]!TabCalc[Scale]),0)</f>
        <v>-35247</v>
      </c>
      <c r="F528" s="68" cm="1">
        <f t="array" ref="F528">IF(A528=A527,0,SUM(_xlfn._xlws.FILTER(E528:E538,A528:A538=A528)))</f>
        <v>0</v>
      </c>
      <c r="G528" s="69">
        <f>IF(F528&lt;&gt;0,SUM($F$43:F528),0)</f>
        <v>0</v>
      </c>
      <c r="H528" s="69" cm="1">
        <f t="array" ref="H528">IFERROR(IF(A528=A527,0,SUM(_xlfn._xlws.FILTER(E528:E538,(A528:A538=A528)*(E528:E538&gt;0)))),0)</f>
        <v>0</v>
      </c>
      <c r="I528" s="69" cm="1">
        <f t="array" ref="I528">IFERROR(IF(A528=A527,0,SUM(_xlfn._xlws.FILTER(E528:E538,(A528:A538=A528)*(F528&lt;0)))),0)</f>
        <v>0</v>
      </c>
      <c r="J528" s="81" t="str">
        <f ca="1">IFERROR(_xlfn.XLOOKUP(B528,[1]!TabCalc[Ticker],[1]!TabCalc[Cur]),"")</f>
        <v>USD</v>
      </c>
      <c r="K528" s="68" cm="1">
        <f t="array" ref="K528">IFERROR(IF($A528=$A527,0,SUM(_xlfn._xlws.FILTER($E528:$E538,($A528:$A538=$A528)*($J528:$J538=K$42)))),0)</f>
        <v>0</v>
      </c>
      <c r="L528" s="68" cm="1">
        <f t="array" ref="L528">IFERROR(IF($A528=$A527,0,SUM(_xlfn._xlws.FILTER($E528:$E538,($A528:$A538=$A528)*($J528:$J538=L$42)))),0)</f>
        <v>0</v>
      </c>
      <c r="M528" s="68" cm="1">
        <f t="array" ref="M528">IFERROR(IF($A528=$A527,0,SUM(_xlfn._xlws.FILTER($E528:$E538,($A528:$A538=$A528)*($J528:$J538=M$42)))),0)</f>
        <v>0</v>
      </c>
      <c r="N528" s="68" cm="1">
        <f t="array" ref="N528">IFERROR(IF($A528=$A527,0,SUM(_xlfn._xlws.FILTER($E528:$E538,($A528:$A538=$A528)*($J528:$J538=N$42)))),0)</f>
        <v>0</v>
      </c>
    </row>
    <row r="529" spans="1:14" hidden="1" x14ac:dyDescent="0.3">
      <c r="A529" s="64">
        <v>45926</v>
      </c>
      <c r="B529" s="5" t="s">
        <v>93</v>
      </c>
      <c r="C529" s="22">
        <v>200</v>
      </c>
      <c r="D529" s="80">
        <v>511.495</v>
      </c>
      <c r="E529" s="67">
        <f ca="1">IFERROR(C529*D529*_xlfn.XLOOKUP(B529,[1]!TabCalc[Ticker],[1]!TabCalc[Scale]),0)</f>
        <v>102299</v>
      </c>
      <c r="F529" s="68" cm="1">
        <f t="array" ref="F529">IF(A529=A528,0,SUM(_xlfn._xlws.FILTER(E529:E539,A529:A539=A529)))</f>
        <v>0</v>
      </c>
      <c r="G529" s="69">
        <f>IF(F529&lt;&gt;0,SUM($F$43:F529),0)</f>
        <v>0</v>
      </c>
      <c r="H529" s="69" cm="1">
        <f t="array" ref="H529">IFERROR(IF(A529=A528,0,SUM(_xlfn._xlws.FILTER(E529:E539,(A529:A539=A529)*(E529:E539&gt;0)))),0)</f>
        <v>0</v>
      </c>
      <c r="I529" s="69" cm="1">
        <f t="array" ref="I529">IFERROR(IF(A529=A528,0,SUM(_xlfn._xlws.FILTER(E529:E539,(A529:A539=A529)*(F529&lt;0)))),0)</f>
        <v>0</v>
      </c>
      <c r="J529" s="81" t="str">
        <f ca="1">IFERROR(_xlfn.XLOOKUP(B529,[1]!TabCalc[Ticker],[1]!TabCalc[Cur]),"")</f>
        <v>USD</v>
      </c>
      <c r="K529" s="68" cm="1">
        <f t="array" ref="K529">IFERROR(IF($A529=$A528,0,SUM(_xlfn._xlws.FILTER($E529:$E539,($A529:$A539=$A529)*($J529:$J539=K$42)))),0)</f>
        <v>0</v>
      </c>
      <c r="L529" s="68" cm="1">
        <f t="array" ref="L529">IFERROR(IF($A529=$A528,0,SUM(_xlfn._xlws.FILTER($E529:$E539,($A529:$A539=$A529)*($J529:$J539=L$42)))),0)</f>
        <v>0</v>
      </c>
      <c r="M529" s="68" cm="1">
        <f t="array" ref="M529">IFERROR(IF($A529=$A528,0,SUM(_xlfn._xlws.FILTER($E529:$E539,($A529:$A539=$A529)*($J529:$J539=M$42)))),0)</f>
        <v>0</v>
      </c>
      <c r="N529" s="68" cm="1">
        <f t="array" ref="N529">IFERROR(IF($A529=$A528,0,SUM(_xlfn._xlws.FILTER($E529:$E539,($A529:$A539=$A529)*($J529:$J539=N$42)))),0)</f>
        <v>0</v>
      </c>
    </row>
    <row r="530" spans="1:14" hidden="1" x14ac:dyDescent="0.3">
      <c r="A530" s="64">
        <v>45926</v>
      </c>
      <c r="B530" s="5" t="s">
        <v>32</v>
      </c>
      <c r="C530" s="22">
        <v>1000</v>
      </c>
      <c r="D530" s="5">
        <v>76.712000000000003</v>
      </c>
      <c r="E530" s="67">
        <f ca="1">IFERROR(C530*D530*_xlfn.XLOOKUP(B530,[1]!TabCalc[Ticker],[1]!TabCalc[Scale]),0)</f>
        <v>76712</v>
      </c>
      <c r="F530" s="68" cm="1">
        <f t="array" ref="F530">IF(A530=A529,0,SUM(_xlfn._xlws.FILTER(E530:E540,A530:A540=A530)))</f>
        <v>0</v>
      </c>
      <c r="G530" s="69">
        <f>IF(F530&lt;&gt;0,SUM($F$43:F530),0)</f>
        <v>0</v>
      </c>
      <c r="H530" s="69" cm="1">
        <f t="array" ref="H530">IFERROR(IF(A530=A529,0,SUM(_xlfn._xlws.FILTER(E530:E540,(A530:A540=A530)*(E530:E540&gt;0)))),0)</f>
        <v>0</v>
      </c>
      <c r="I530" s="69" cm="1">
        <f t="array" ref="I530">IFERROR(IF(A530=A529,0,SUM(_xlfn._xlws.FILTER(E530:E540,(A530:A540=A530)*(F530&lt;0)))),0)</f>
        <v>0</v>
      </c>
      <c r="J530" s="81" t="str">
        <f ca="1">IFERROR(_xlfn.XLOOKUP(B530,[1]!TabCalc[Ticker],[1]!TabCalc[Cur]),"")</f>
        <v>USD</v>
      </c>
      <c r="K530" s="68" cm="1">
        <f t="array" ref="K530">IFERROR(IF($A530=$A529,0,SUM(_xlfn._xlws.FILTER($E530:$E540,($A530:$A540=$A530)*($J530:$J540=K$42)))),0)</f>
        <v>0</v>
      </c>
      <c r="L530" s="68" cm="1">
        <f t="array" ref="L530">IFERROR(IF($A530=$A529,0,SUM(_xlfn._xlws.FILTER($E530:$E540,($A530:$A540=$A530)*($J530:$J540=L$42)))),0)</f>
        <v>0</v>
      </c>
      <c r="M530" s="68" cm="1">
        <f t="array" ref="M530">IFERROR(IF($A530=$A529,0,SUM(_xlfn._xlws.FILTER($E530:$E540,($A530:$A540=$A530)*($J530:$J540=M$42)))),0)</f>
        <v>0</v>
      </c>
      <c r="N530" s="68" cm="1">
        <f t="array" ref="N530">IFERROR(IF($A530=$A529,0,SUM(_xlfn._xlws.FILTER($E530:$E540,($A530:$A540=$A530)*($J530:$J540=N$42)))),0)</f>
        <v>0</v>
      </c>
    </row>
    <row r="531" spans="1:14" hidden="1" x14ac:dyDescent="0.3">
      <c r="A531" s="64">
        <v>45926</v>
      </c>
      <c r="B531" s="5" t="s">
        <v>80</v>
      </c>
      <c r="C531" s="22">
        <v>2000</v>
      </c>
      <c r="D531" s="5">
        <v>-28.545245000000001</v>
      </c>
      <c r="E531" s="67">
        <f ca="1">IFERROR(C531*D531*_xlfn.XLOOKUP(B531,[1]!TabCalc[Ticker],[1]!TabCalc[Scale]),0)</f>
        <v>-57090.490000000005</v>
      </c>
      <c r="F531" s="68" cm="1">
        <f t="array" ref="F531">IF(A531=A530,0,SUM(_xlfn._xlws.FILTER(E531:E541,A531:A541=A531)))</f>
        <v>0</v>
      </c>
      <c r="G531" s="69">
        <f>IF(F531&lt;&gt;0,SUM($F$43:F531),0)</f>
        <v>0</v>
      </c>
      <c r="H531" s="69" cm="1">
        <f t="array" ref="H531">IFERROR(IF(A531=A530,0,SUM(_xlfn._xlws.FILTER(E531:E541,(A531:A541=A531)*(E531:E541&gt;0)))),0)</f>
        <v>0</v>
      </c>
      <c r="I531" s="69" cm="1">
        <f t="array" ref="I531">IFERROR(IF(A531=A530,0,SUM(_xlfn._xlws.FILTER(E531:E541,(A531:A541=A531)*(F531&lt;0)))),0)</f>
        <v>0</v>
      </c>
      <c r="J531" s="81" t="str">
        <f ca="1">IFERROR(_xlfn.XLOOKUP(B531,[1]!TabCalc[Ticker],[1]!TabCalc[Cur]),"")</f>
        <v>USD</v>
      </c>
      <c r="K531" s="68" cm="1">
        <f t="array" ref="K531">IFERROR(IF($A531=$A530,0,SUM(_xlfn._xlws.FILTER($E531:$E541,($A531:$A541=$A531)*($J531:$J541=K$42)))),0)</f>
        <v>0</v>
      </c>
      <c r="L531" s="68" cm="1">
        <f t="array" ref="L531">IFERROR(IF($A531=$A530,0,SUM(_xlfn._xlws.FILTER($E531:$E541,($A531:$A541=$A531)*($J531:$J541=L$42)))),0)</f>
        <v>0</v>
      </c>
      <c r="M531" s="68" cm="1">
        <f t="array" ref="M531">IFERROR(IF($A531=$A530,0,SUM(_xlfn._xlws.FILTER($E531:$E541,($A531:$A541=$A531)*($J531:$J541=M$42)))),0)</f>
        <v>0</v>
      </c>
      <c r="N531" s="68" cm="1">
        <f t="array" ref="N531">IFERROR(IF($A531=$A530,0,SUM(_xlfn._xlws.FILTER($E531:$E541,($A531:$A541=$A531)*($J531:$J541=N$42)))),0)</f>
        <v>0</v>
      </c>
    </row>
    <row r="532" spans="1:14" hidden="1" x14ac:dyDescent="0.3">
      <c r="A532" s="70">
        <v>45929</v>
      </c>
      <c r="B532" s="6" t="s">
        <v>112</v>
      </c>
      <c r="C532" s="18">
        <v>300</v>
      </c>
      <c r="D532" s="19">
        <v>828.2</v>
      </c>
      <c r="E532" s="67">
        <f ca="1">IFERROR(C532*D532*_xlfn.XLOOKUP(B532,[1]!TabCalc[Ticker],[1]!TabCalc[Scale]),0)</f>
        <v>248460</v>
      </c>
      <c r="F532" s="68" cm="1">
        <f t="array" aca="1" ref="F532" ca="1">IF(A532=A531,0,SUM(_xlfn._xlws.FILTER(E532:E542,A532:A542=A532)))</f>
        <v>415462.25</v>
      </c>
      <c r="G532" s="69">
        <f ca="1">IF(F532&lt;&gt;0,SUM($F$43:F532),0)</f>
        <v>-2741036.9195729997</v>
      </c>
      <c r="H532" s="69" cm="1">
        <f t="array" aca="1" ref="H532" ca="1">IFERROR(IF(A532=A531,0,SUM(_xlfn._xlws.FILTER(E532:E542,(A532:A542=A532)*(E532:E542&gt;0)))),0)</f>
        <v>415462.25</v>
      </c>
      <c r="I532" s="69" cm="1">
        <f t="array" aca="1" ref="I532" ca="1">IFERROR(IF(A532=A531,0,SUM(_xlfn._xlws.FILTER(E532:E542,(A532:A542=A532)*(F532&lt;0)))),0)</f>
        <v>0</v>
      </c>
      <c r="J532" s="81" t="str">
        <f ca="1">IFERROR(_xlfn.XLOOKUP(B532,[1]!TabCalc[Ticker],[1]!TabCalc[Cur]),"")</f>
        <v>EUR</v>
      </c>
      <c r="K532" s="68" cm="1">
        <f t="array" aca="1" ref="K532" ca="1">IFERROR(IF($A532=$A531,0,SUM(_xlfn._xlws.FILTER($E532:$E542,($A532:$A542=$A532)*($J532:$J542=K$42)))),0)</f>
        <v>248460</v>
      </c>
      <c r="L532" s="68" cm="1">
        <f t="array" aca="1" ref="L532" ca="1">IFERROR(IF($A532=$A531,0,SUM(_xlfn._xlws.FILTER($E532:$E542,($A532:$A542=$A532)*($J532:$J542=L$42)))),0)</f>
        <v>167002.25</v>
      </c>
      <c r="M532" s="68" cm="1">
        <f t="array" aca="1" ref="M532" ca="1">IFERROR(IF($A532=$A531,0,SUM(_xlfn._xlws.FILTER($E532:$E542,($A532:$A542=$A532)*($J532:$J542=M$42)))),0)</f>
        <v>0</v>
      </c>
      <c r="N532" s="68" cm="1">
        <f t="array" aca="1" ref="N532" ca="1">IFERROR(IF($A532=$A531,0,SUM(_xlfn._xlws.FILTER($E532:$E542,($A532:$A542=$A532)*($J532:$J542=N$42)))),0)</f>
        <v>0</v>
      </c>
    </row>
    <row r="533" spans="1:14" hidden="1" x14ac:dyDescent="0.3">
      <c r="A533" s="70">
        <v>45929</v>
      </c>
      <c r="B533" s="6" t="s">
        <v>61</v>
      </c>
      <c r="C533" s="18">
        <v>200</v>
      </c>
      <c r="D533" s="19">
        <v>221.51499999999999</v>
      </c>
      <c r="E533" s="67">
        <f ca="1">IFERROR(C533*D533*_xlfn.XLOOKUP(B533,[1]!TabCalc[Ticker],[1]!TabCalc[Scale]),0)</f>
        <v>44303</v>
      </c>
      <c r="F533" s="68" cm="1">
        <f t="array" ref="F533">IF(A533=A532,0,SUM(_xlfn._xlws.FILTER(E533:E543,A533:A543=A533)))</f>
        <v>0</v>
      </c>
      <c r="G533" s="69">
        <f>IF(F533&lt;&gt;0,SUM($F$43:F533),0)</f>
        <v>0</v>
      </c>
      <c r="H533" s="69" cm="1">
        <f t="array" ref="H533">IFERROR(IF(A533=A532,0,SUM(_xlfn._xlws.FILTER(E533:E543,(A533:A543=A533)*(E533:E543&gt;0)))),0)</f>
        <v>0</v>
      </c>
      <c r="I533" s="69" cm="1">
        <f t="array" ref="I533">IFERROR(IF(A533=A532,0,SUM(_xlfn._xlws.FILTER(E533:E543,(A533:A543=A533)*(F533&lt;0)))),0)</f>
        <v>0</v>
      </c>
      <c r="J533" s="81" t="str">
        <f ca="1">IFERROR(_xlfn.XLOOKUP(B533,[1]!TabCalc[Ticker],[1]!TabCalc[Cur]),"")</f>
        <v>USD</v>
      </c>
      <c r="K533" s="68" cm="1">
        <f t="array" ref="K533">IFERROR(IF($A533=$A532,0,SUM(_xlfn._xlws.FILTER($E533:$E543,($A533:$A543=$A533)*($J533:$J543=K$42)))),0)</f>
        <v>0</v>
      </c>
      <c r="L533" s="68" cm="1">
        <f t="array" ref="L533">IFERROR(IF($A533=$A532,0,SUM(_xlfn._xlws.FILTER($E533:$E543,($A533:$A543=$A533)*($J533:$J543=L$42)))),0)</f>
        <v>0</v>
      </c>
      <c r="M533" s="68" cm="1">
        <f t="array" ref="M533">IFERROR(IF($A533=$A532,0,SUM(_xlfn._xlws.FILTER($E533:$E543,($A533:$A543=$A533)*($J533:$J543=M$42)))),0)</f>
        <v>0</v>
      </c>
      <c r="N533" s="68" cm="1">
        <f t="array" ref="N533">IFERROR(IF($A533=$A532,0,SUM(_xlfn._xlws.FILTER($E533:$E543,($A533:$A543=$A533)*($J533:$J543=N$42)))),0)</f>
        <v>0</v>
      </c>
    </row>
    <row r="534" spans="1:14" hidden="1" x14ac:dyDescent="0.3">
      <c r="A534" s="70">
        <v>45929</v>
      </c>
      <c r="B534" s="6" t="s">
        <v>93</v>
      </c>
      <c r="C534" s="18">
        <v>200</v>
      </c>
      <c r="D534" s="19">
        <v>515.245</v>
      </c>
      <c r="E534" s="67">
        <f ca="1">IFERROR(C534*D534*_xlfn.XLOOKUP(B534,[1]!TabCalc[Ticker],[1]!TabCalc[Scale]),0)</f>
        <v>103049</v>
      </c>
      <c r="F534" s="68" cm="1">
        <f t="array" ref="F534">IF(A534=A533,0,SUM(_xlfn._xlws.FILTER(E534:E544,A534:A544=A534)))</f>
        <v>0</v>
      </c>
      <c r="G534" s="69">
        <f>IF(F534&lt;&gt;0,SUM($F$43:F534),0)</f>
        <v>0</v>
      </c>
      <c r="H534" s="69" cm="1">
        <f t="array" ref="H534">IFERROR(IF(A534=A533,0,SUM(_xlfn._xlws.FILTER(E534:E544,(A534:A544=A534)*(E534:E544&gt;0)))),0)</f>
        <v>0</v>
      </c>
      <c r="I534" s="69" cm="1">
        <f t="array" ref="I534">IFERROR(IF(A534=A533,0,SUM(_xlfn._xlws.FILTER(E534:E544,(A534:A544=A534)*(F534&lt;0)))),0)</f>
        <v>0</v>
      </c>
      <c r="J534" s="81" t="str">
        <f ca="1">IFERROR(_xlfn.XLOOKUP(B534,[1]!TabCalc[Ticker],[1]!TabCalc[Cur]),"")</f>
        <v>USD</v>
      </c>
      <c r="K534" s="68" cm="1">
        <f t="array" ref="K534">IFERROR(IF($A534=$A533,0,SUM(_xlfn._xlws.FILTER($E534:$E544,($A534:$A544=$A534)*($J534:$J544=K$42)))),0)</f>
        <v>0</v>
      </c>
      <c r="L534" s="68" cm="1">
        <f t="array" ref="L534">IFERROR(IF($A534=$A533,0,SUM(_xlfn._xlws.FILTER($E534:$E544,($A534:$A544=$A534)*($J534:$J544=L$42)))),0)</f>
        <v>0</v>
      </c>
      <c r="M534" s="68" cm="1">
        <f t="array" ref="M534">IFERROR(IF($A534=$A533,0,SUM(_xlfn._xlws.FILTER($E534:$E544,($A534:$A544=$A534)*($J534:$J544=M$42)))),0)</f>
        <v>0</v>
      </c>
      <c r="N534" s="68" cm="1">
        <f t="array" ref="N534">IFERROR(IF($A534=$A533,0,SUM(_xlfn._xlws.FILTER($E534:$E544,($A534:$A544=$A534)*($J534:$J544=N$42)))),0)</f>
        <v>0</v>
      </c>
    </row>
    <row r="535" spans="1:14" hidden="1" x14ac:dyDescent="0.3">
      <c r="A535" s="70">
        <v>45929</v>
      </c>
      <c r="B535" s="6" t="s">
        <v>83</v>
      </c>
      <c r="C535" s="18">
        <v>500</v>
      </c>
      <c r="D535" s="19">
        <v>39.3005</v>
      </c>
      <c r="E535" s="67">
        <f ca="1">IFERROR(C535*D535*_xlfn.XLOOKUP(B535,[1]!TabCalc[Ticker],[1]!TabCalc[Scale]),0)</f>
        <v>19650.25</v>
      </c>
      <c r="F535" s="68" cm="1">
        <f t="array" ref="F535">IF(A535=A534,0,SUM(_xlfn._xlws.FILTER(E535:E545,A535:A545=A535)))</f>
        <v>0</v>
      </c>
      <c r="G535" s="69">
        <f>IF(F535&lt;&gt;0,SUM($F$43:F535),0)</f>
        <v>0</v>
      </c>
      <c r="H535" s="69" cm="1">
        <f t="array" ref="H535">IFERROR(IF(A535=A534,0,SUM(_xlfn._xlws.FILTER(E535:E545,(A535:A545=A535)*(E535:E545&gt;0)))),0)</f>
        <v>0</v>
      </c>
      <c r="I535" s="69" cm="1">
        <f t="array" ref="I535">IFERROR(IF(A535=A534,0,SUM(_xlfn._xlws.FILTER(E535:E545,(A535:A545=A535)*(F535&lt;0)))),0)</f>
        <v>0</v>
      </c>
      <c r="J535" s="81" t="str">
        <f ca="1">IFERROR(_xlfn.XLOOKUP(B535,[1]!TabCalc[Ticker],[1]!TabCalc[Cur]),"")</f>
        <v>USD</v>
      </c>
      <c r="K535" s="68" cm="1">
        <f t="array" ref="K535">IFERROR(IF($A535=$A534,0,SUM(_xlfn._xlws.FILTER($E535:$E545,($A535:$A545=$A535)*($J535:$J545=K$42)))),0)</f>
        <v>0</v>
      </c>
      <c r="L535" s="68" cm="1">
        <f t="array" ref="L535">IFERROR(IF($A535=$A534,0,SUM(_xlfn._xlws.FILTER($E535:$E545,($A535:$A545=$A535)*($J535:$J545=L$42)))),0)</f>
        <v>0</v>
      </c>
      <c r="M535" s="68" cm="1">
        <f t="array" ref="M535">IFERROR(IF($A535=$A534,0,SUM(_xlfn._xlws.FILTER($E535:$E545,($A535:$A545=$A535)*($J535:$J545=M$42)))),0)</f>
        <v>0</v>
      </c>
      <c r="N535" s="68" cm="1">
        <f t="array" ref="N535">IFERROR(IF($A535=$A534,0,SUM(_xlfn._xlws.FILTER($E535:$E545,($A535:$A545=$A535)*($J535:$J545=N$42)))),0)</f>
        <v>0</v>
      </c>
    </row>
    <row r="536" spans="1:14" hidden="1" x14ac:dyDescent="0.3">
      <c r="A536" s="64">
        <v>45931</v>
      </c>
      <c r="B536" s="5" t="s">
        <v>40</v>
      </c>
      <c r="C536" s="5">
        <v>800</v>
      </c>
      <c r="D536" s="5">
        <v>24.82</v>
      </c>
      <c r="E536" s="67">
        <f ca="1">IFERROR(C536*D536*_xlfn.XLOOKUP(B536,[1]!TabCalc[Ticker],[1]!TabCalc[Scale]),0)</f>
        <v>19856</v>
      </c>
      <c r="F536" s="68" cm="1">
        <f t="array" aca="1" ref="F536" ca="1">IF(A536=A535,0,SUM(_xlfn._xlws.FILTER(E536:E546,A536:A546=A536)))</f>
        <v>19856</v>
      </c>
      <c r="G536" s="69">
        <f ca="1">IF(F536&lt;&gt;0,SUM($F$43:F536),0)</f>
        <v>-2721180.9195729997</v>
      </c>
      <c r="H536" s="69" cm="1">
        <f t="array" aca="1" ref="H536" ca="1">IFERROR(IF(A536=A535,0,SUM(_xlfn._xlws.FILTER(E536:E546,(A536:A546=A536)*(E536:E546&gt;0)))),0)</f>
        <v>19856</v>
      </c>
      <c r="I536" s="69" cm="1">
        <f t="array" aca="1" ref="I536" ca="1">IFERROR(IF(A536=A535,0,SUM(_xlfn._xlws.FILTER(E536:E546,(A536:A546=A536)*(F536&lt;0)))),0)</f>
        <v>0</v>
      </c>
      <c r="J536" s="81" t="str">
        <f ca="1">IFERROR(_xlfn.XLOOKUP(B536,[1]!TabCalc[Ticker],[1]!TabCalc[Cur]),"")</f>
        <v>USD</v>
      </c>
      <c r="K536" s="68" cm="1">
        <f t="array" aca="1" ref="K536" ca="1">IFERROR(IF($A536=$A535,0,SUM(_xlfn._xlws.FILTER($E536:$E546,($A536:$A546=$A536)*($J536:$J546=K$42)))),0)</f>
        <v>0</v>
      </c>
      <c r="L536" s="68" cm="1">
        <f t="array" aca="1" ref="L536" ca="1">IFERROR(IF($A536=$A535,0,SUM(_xlfn._xlws.FILTER($E536:$E546,($A536:$A546=$A536)*($J536:$J546=L$42)))),0)</f>
        <v>19856</v>
      </c>
      <c r="M536" s="68" cm="1">
        <f t="array" aca="1" ref="M536" ca="1">IFERROR(IF($A536=$A535,0,SUM(_xlfn._xlws.FILTER($E536:$E546,($A536:$A546=$A536)*($J536:$J546=M$42)))),0)</f>
        <v>0</v>
      </c>
      <c r="N536" s="68" cm="1">
        <f t="array" aca="1" ref="N536" ca="1">IFERROR(IF($A536=$A535,0,SUM(_xlfn._xlws.FILTER($E536:$E546,($A536:$A546=$A536)*($J536:$J546=N$42)))),0)</f>
        <v>0</v>
      </c>
    </row>
    <row r="537" spans="1:14" hidden="1" x14ac:dyDescent="0.3">
      <c r="A537" s="70">
        <v>45932</v>
      </c>
      <c r="B537" s="6" t="s">
        <v>30</v>
      </c>
      <c r="C537" s="18">
        <v>200</v>
      </c>
      <c r="D537" s="19">
        <v>880.6</v>
      </c>
      <c r="E537" s="67">
        <f ca="1">IFERROR(C537*D537*_xlfn.XLOOKUP(B537,[1]!TabCalc[Ticker],[1]!TabCalc[Scale]),0)</f>
        <v>176120</v>
      </c>
      <c r="F537" s="68" cm="1">
        <f t="array" aca="1" ref="F537" ca="1">IF(A537=A536,0,SUM(_xlfn._xlws.FILTER(E537:E547,A537:A547=A537)))</f>
        <v>59945</v>
      </c>
      <c r="G537" s="69">
        <f ca="1">IF(F537&lt;&gt;0,SUM($F$43:F537),0)</f>
        <v>-2661235.9195729997</v>
      </c>
      <c r="H537" s="69" cm="1">
        <f t="array" aca="1" ref="H537" ca="1">IFERROR(IF(A537=A536,0,SUM(_xlfn._xlws.FILTER(E537:E547,(A537:A547=A537)*(E537:E547&gt;0)))),0)</f>
        <v>176120</v>
      </c>
      <c r="I537" s="69" cm="1">
        <f t="array" aca="1" ref="I537" ca="1">IFERROR(IF(A537=A536,0,SUM(_xlfn._xlws.FILTER(E537:E547,(A537:A547=A537)*(F537&lt;0)))),0)</f>
        <v>0</v>
      </c>
      <c r="J537" s="81" t="str">
        <f ca="1">IFERROR(_xlfn.XLOOKUP(B537,[1]!TabCalc[Ticker],[1]!TabCalc[Cur]),"")</f>
        <v>EUR</v>
      </c>
      <c r="K537" s="68" cm="1">
        <f t="array" aca="1" ref="K537" ca="1">IFERROR(IF($A537=$A536,0,SUM(_xlfn._xlws.FILTER($E537:$E547,($A537:$A547=$A537)*($J537:$J547=K$42)))),0)</f>
        <v>59945</v>
      </c>
      <c r="L537" s="68" cm="1">
        <f t="array" aca="1" ref="L537" ca="1">IFERROR(IF($A537=$A536,0,SUM(_xlfn._xlws.FILTER($E537:$E547,($A537:$A547=$A537)*($J537:$J547=L$42)))),0)</f>
        <v>0</v>
      </c>
      <c r="M537" s="68" cm="1">
        <f t="array" aca="1" ref="M537" ca="1">IFERROR(IF($A537=$A536,0,SUM(_xlfn._xlws.FILTER($E537:$E547,($A537:$A547=$A537)*($J537:$J547=M$42)))),0)</f>
        <v>0</v>
      </c>
      <c r="N537" s="68" cm="1">
        <f t="array" aca="1" ref="N537" ca="1">IFERROR(IF($A537=$A536,0,SUM(_xlfn._xlws.FILTER($E537:$E547,($A537:$A547=$A537)*($J537:$J547=N$42)))),0)</f>
        <v>0</v>
      </c>
    </row>
    <row r="538" spans="1:14" hidden="1" x14ac:dyDescent="0.3">
      <c r="A538" s="70">
        <v>45932</v>
      </c>
      <c r="B538" s="6" t="s">
        <v>90</v>
      </c>
      <c r="C538" s="18">
        <v>500</v>
      </c>
      <c r="D538" s="19">
        <v>-232.35</v>
      </c>
      <c r="E538" s="67">
        <f ca="1">IFERROR(C538*D538*_xlfn.XLOOKUP(B538,[1]!TabCalc[Ticker],[1]!TabCalc[Scale]),0)</f>
        <v>-116175</v>
      </c>
      <c r="F538" s="68" cm="1">
        <f t="array" ref="F538">IF(A538=A537,0,SUM(_xlfn._xlws.FILTER(E538:E548,A538:A548=A538)))</f>
        <v>0</v>
      </c>
      <c r="G538" s="69">
        <f>IF(F538&lt;&gt;0,SUM($F$43:F538),0)</f>
        <v>0</v>
      </c>
      <c r="H538" s="69" cm="1">
        <f t="array" ref="H538">IFERROR(IF(A538=A537,0,SUM(_xlfn._xlws.FILTER(E538:E548,(A538:A548=A538)*(E538:E548&gt;0)))),0)</f>
        <v>0</v>
      </c>
      <c r="I538" s="69" cm="1">
        <f t="array" ref="I538">IFERROR(IF(A538=A537,0,SUM(_xlfn._xlws.FILTER(E538:E548,(A538:A548=A538)*(F538&lt;0)))),0)</f>
        <v>0</v>
      </c>
      <c r="J538" s="81" t="str">
        <f ca="1">IFERROR(_xlfn.XLOOKUP(B538,[1]!TabCalc[Ticker],[1]!TabCalc[Cur]),"")</f>
        <v>EUR</v>
      </c>
      <c r="K538" s="68" cm="1">
        <f t="array" ref="K538">IFERROR(IF($A538=$A537,0,SUM(_xlfn._xlws.FILTER($E538:$E548,($A538:$A548=$A538)*($J538:$J548=K$42)))),0)</f>
        <v>0</v>
      </c>
      <c r="L538" s="68" cm="1">
        <f t="array" ref="L538">IFERROR(IF($A538=$A537,0,SUM(_xlfn._xlws.FILTER($E538:$E548,($A538:$A548=$A538)*($J538:$J548=L$42)))),0)</f>
        <v>0</v>
      </c>
      <c r="M538" s="68" cm="1">
        <f t="array" ref="M538">IFERROR(IF($A538=$A537,0,SUM(_xlfn._xlws.FILTER($E538:$E548,($A538:$A548=$A538)*($J538:$J548=M$42)))),0)</f>
        <v>0</v>
      </c>
      <c r="N538" s="68" cm="1">
        <f t="array" ref="N538">IFERROR(IF($A538=$A537,0,SUM(_xlfn._xlws.FILTER($E538:$E548,($A538:$A548=$A538)*($J538:$J548=N$42)))),0)</f>
        <v>0</v>
      </c>
    </row>
    <row r="539" spans="1:14" hidden="1" x14ac:dyDescent="0.3">
      <c r="A539" s="64">
        <v>45933</v>
      </c>
      <c r="B539" s="5" t="s">
        <v>97</v>
      </c>
      <c r="C539" s="5">
        <v>1000</v>
      </c>
      <c r="D539" s="5">
        <v>60.2</v>
      </c>
      <c r="E539" s="67">
        <f ca="1">IFERROR(C539*D539*_xlfn.XLOOKUP(B539,[1]!TabCalc[Ticker],[1]!TabCalc[Scale]),0)</f>
        <v>60200</v>
      </c>
      <c r="F539" s="68" cm="1">
        <f t="array" aca="1" ref="F539" ca="1">IF(A539=A538,0,SUM(_xlfn._xlws.FILTER(E539:E549,A539:A549=A539)))</f>
        <v>98660</v>
      </c>
      <c r="G539" s="69">
        <f ca="1">IF(F539&lt;&gt;0,SUM($F$43:F539),0)</f>
        <v>-2562575.9195729997</v>
      </c>
      <c r="H539" s="69" cm="1">
        <f t="array" aca="1" ref="H539" ca="1">IFERROR(IF(A539=A538,0,SUM(_xlfn._xlws.FILTER(E539:E549,(A539:A549=A539)*(E539:E549&gt;0)))),0)</f>
        <v>98660</v>
      </c>
      <c r="I539" s="69" cm="1">
        <f t="array" aca="1" ref="I539" ca="1">IFERROR(IF(A539=A538,0,SUM(_xlfn._xlws.FILTER(E539:E549,(A539:A549=A539)*(F539&lt;0)))),0)</f>
        <v>0</v>
      </c>
      <c r="J539" s="81" t="str">
        <f ca="1">IFERROR(_xlfn.XLOOKUP(B539,[1]!TabCalc[Ticker],[1]!TabCalc[Cur]),"")</f>
        <v>CHF</v>
      </c>
      <c r="K539" s="68" cm="1">
        <f t="array" aca="1" ref="K539" ca="1">IFERROR(IF($A539=$A538,0,SUM(_xlfn._xlws.FILTER($E539:$E549,($A539:$A549=$A539)*($J539:$J549=K$42)))),0)</f>
        <v>0</v>
      </c>
      <c r="L539" s="68" cm="1">
        <f t="array" aca="1" ref="L539" ca="1">IFERROR(IF($A539=$A538,0,SUM(_xlfn._xlws.FILTER($E539:$E549,($A539:$A549=$A539)*($J539:$J549=L$42)))),0)</f>
        <v>0</v>
      </c>
      <c r="M539" s="68" cm="1">
        <f t="array" aca="1" ref="M539" ca="1">IFERROR(IF($A539=$A538,0,SUM(_xlfn._xlws.FILTER($E539:$E549,($A539:$A549=$A539)*($J539:$J549=M$42)))),0)</f>
        <v>38460</v>
      </c>
      <c r="N539" s="68" cm="1">
        <f t="array" aca="1" ref="N539" ca="1">IFERROR(IF($A539=$A538,0,SUM(_xlfn._xlws.FILTER($E539:$E549,($A539:$A549=$A539)*($J539:$J549=N$42)))),0)</f>
        <v>60200</v>
      </c>
    </row>
    <row r="540" spans="1:14" hidden="1" x14ac:dyDescent="0.3">
      <c r="A540" s="64">
        <v>45933</v>
      </c>
      <c r="B540" s="5" t="s">
        <v>69</v>
      </c>
      <c r="C540" s="5">
        <v>10000</v>
      </c>
      <c r="D540" s="5">
        <v>384.6</v>
      </c>
      <c r="E540" s="67">
        <f ca="1">IFERROR(C540*D540*_xlfn.XLOOKUP(B540,[1]!TabCalc[Ticker],[1]!TabCalc[Scale]),0)</f>
        <v>38460</v>
      </c>
      <c r="F540" s="68" cm="1">
        <f t="array" ref="F540">IF(A540=A539,0,SUM(_xlfn._xlws.FILTER(E540:E550,A540:A550=A540)))</f>
        <v>0</v>
      </c>
      <c r="G540" s="69">
        <f>IF(F540&lt;&gt;0,SUM($F$43:F540),0)</f>
        <v>0</v>
      </c>
      <c r="H540" s="69" cm="1">
        <f t="array" ref="H540">IFERROR(IF(A540=A539,0,SUM(_xlfn._xlws.FILTER(E540:E550,(A540:A550=A540)*(E540:E550&gt;0)))),0)</f>
        <v>0</v>
      </c>
      <c r="I540" s="69" cm="1">
        <f t="array" ref="I540">IFERROR(IF(A540=A539,0,SUM(_xlfn._xlws.FILTER(E540:E550,(A540:A550=A540)*(F540&lt;0)))),0)</f>
        <v>0</v>
      </c>
      <c r="J540" s="81" t="str">
        <f ca="1">IFERROR(_xlfn.XLOOKUP(B540,[1]!TabCalc[Ticker],[1]!TabCalc[Cur]),"")</f>
        <v>GBp</v>
      </c>
      <c r="K540" s="68" cm="1">
        <f t="array" ref="K540">IFERROR(IF($A540=$A539,0,SUM(_xlfn._xlws.FILTER($E540:$E550,($A540:$A550=$A540)*($J540:$J550=K$42)))),0)</f>
        <v>0</v>
      </c>
      <c r="L540" s="68" cm="1">
        <f t="array" ref="L540">IFERROR(IF($A540=$A539,0,SUM(_xlfn._xlws.FILTER($E540:$E550,($A540:$A550=$A540)*($J540:$J550=L$42)))),0)</f>
        <v>0</v>
      </c>
      <c r="M540" s="68" cm="1">
        <f t="array" ref="M540">IFERROR(IF($A540=$A539,0,SUM(_xlfn._xlws.FILTER($E540:$E550,($A540:$A550=$A540)*($J540:$J550=M$42)))),0)</f>
        <v>0</v>
      </c>
      <c r="N540" s="68" cm="1">
        <f t="array" ref="N540">IFERROR(IF($A540=$A539,0,SUM(_xlfn._xlws.FILTER($E540:$E550,($A540:$A550=$A540)*($J540:$J550=N$42)))),0)</f>
        <v>0</v>
      </c>
    </row>
    <row r="541" spans="1:14" hidden="1" x14ac:dyDescent="0.3">
      <c r="A541" s="70">
        <v>45936</v>
      </c>
      <c r="B541" s="6" t="s">
        <v>75</v>
      </c>
      <c r="C541" s="18">
        <v>3200</v>
      </c>
      <c r="D541" s="19">
        <v>16.12</v>
      </c>
      <c r="E541" s="67">
        <f ca="1">IFERROR(C541*D541*_xlfn.XLOOKUP(B541,[1]!TabCalc[Ticker],[1]!TabCalc[Scale]),0)</f>
        <v>51584</v>
      </c>
      <c r="F541" s="68" cm="1">
        <f t="array" aca="1" ref="F541" ca="1">IF(A541=A540,0,SUM(_xlfn._xlws.FILTER(E541:E551,A541:A551=A541)))</f>
        <v>49406.600000000006</v>
      </c>
      <c r="G541" s="69">
        <f ca="1">IF(F541&lt;&gt;0,SUM($F$43:F541),0)</f>
        <v>-2513169.3195729996</v>
      </c>
      <c r="H541" s="69" cm="1">
        <f t="array" aca="1" ref="H541" ca="1">IFERROR(IF(A541=A540,0,SUM(_xlfn._xlws.FILTER(E541:E551,(A541:A551=A541)*(E541:E551&gt;0)))),0)</f>
        <v>341624</v>
      </c>
      <c r="I541" s="69" cm="1">
        <f t="array" aca="1" ref="I541" ca="1">IFERROR(IF(A541=A540,0,SUM(_xlfn._xlws.FILTER(E541:E551,(A541:A551=A541)*(F541&lt;0)))),0)</f>
        <v>0</v>
      </c>
      <c r="J541" s="81" t="str">
        <f ca="1">IFERROR(_xlfn.XLOOKUP(B541,[1]!TabCalc[Ticker],[1]!TabCalc[Cur]),"")</f>
        <v>EUR</v>
      </c>
      <c r="K541" s="68" cm="1">
        <f t="array" aca="1" ref="K541" ca="1">IFERROR(IF($A541=$A540,0,SUM(_xlfn._xlws.FILTER($E541:$E551,($A541:$A551=$A541)*($J541:$J551=K$42)))),0)</f>
        <v>250544</v>
      </c>
      <c r="L541" s="68" cm="1">
        <f t="array" aca="1" ref="L541" ca="1">IFERROR(IF($A541=$A540,0,SUM(_xlfn._xlws.FILTER($E541:$E551,($A541:$A551=$A541)*($J541:$J551=L$42)))),0)</f>
        <v>-201137.4</v>
      </c>
      <c r="M541" s="68" cm="1">
        <f t="array" aca="1" ref="M541" ca="1">IFERROR(IF($A541=$A540,0,SUM(_xlfn._xlws.FILTER($E541:$E551,($A541:$A551=$A541)*($J541:$J551=M$42)))),0)</f>
        <v>0</v>
      </c>
      <c r="N541" s="68" cm="1">
        <f t="array" aca="1" ref="N541" ca="1">IFERROR(IF($A541=$A540,0,SUM(_xlfn._xlws.FILTER($E541:$E551,($A541:$A551=$A541)*($J541:$J551=N$42)))),0)</f>
        <v>0</v>
      </c>
    </row>
    <row r="542" spans="1:14" hidden="1" x14ac:dyDescent="0.3">
      <c r="A542" s="70">
        <v>45936</v>
      </c>
      <c r="B542" s="6" t="s">
        <v>86</v>
      </c>
      <c r="C542" s="18">
        <v>4000</v>
      </c>
      <c r="D542" s="19">
        <v>15.12</v>
      </c>
      <c r="E542" s="67">
        <f ca="1">IFERROR(C542*D542*_xlfn.XLOOKUP(B542,[1]!TabCalc[Ticker],[1]!TabCalc[Scale]),0)</f>
        <v>60480</v>
      </c>
      <c r="F542" s="68" cm="1">
        <f t="array" ref="F542">IF(A542=A541,0,SUM(_xlfn._xlws.FILTER(E542:E552,A542:A552=A542)))</f>
        <v>0</v>
      </c>
      <c r="G542" s="69">
        <f>IF(F542&lt;&gt;0,SUM($F$43:F542),0)</f>
        <v>0</v>
      </c>
      <c r="H542" s="69" cm="1">
        <f t="array" ref="H542">IFERROR(IF(A542=A541,0,SUM(_xlfn._xlws.FILTER(E542:E552,(A542:A552=A542)*(E542:E552&gt;0)))),0)</f>
        <v>0</v>
      </c>
      <c r="I542" s="69" cm="1">
        <f t="array" ref="I542">IFERROR(IF(A542=A541,0,SUM(_xlfn._xlws.FILTER(E542:E552,(A542:A552=A542)*(F542&lt;0)))),0)</f>
        <v>0</v>
      </c>
      <c r="J542" s="81" t="str">
        <f ca="1">IFERROR(_xlfn.XLOOKUP(B542,[1]!TabCalc[Ticker],[1]!TabCalc[Cur]),"")</f>
        <v>EUR</v>
      </c>
      <c r="K542" s="68" cm="1">
        <f t="array" ref="K542">IFERROR(IF($A542=$A541,0,SUM(_xlfn._xlws.FILTER($E542:$E552,($A542:$A552=$A542)*($J542:$J552=K$42)))),0)</f>
        <v>0</v>
      </c>
      <c r="L542" s="68" cm="1">
        <f t="array" ref="L542">IFERROR(IF($A542=$A541,0,SUM(_xlfn._xlws.FILTER($E542:$E552,($A542:$A552=$A542)*($J542:$J552=L$42)))),0)</f>
        <v>0</v>
      </c>
      <c r="M542" s="68" cm="1">
        <f t="array" ref="M542">IFERROR(IF($A542=$A541,0,SUM(_xlfn._xlws.FILTER($E542:$E552,($A542:$A552=$A542)*($J542:$J552=M$42)))),0)</f>
        <v>0</v>
      </c>
      <c r="N542" s="68" cm="1">
        <f t="array" ref="N542">IFERROR(IF($A542=$A541,0,SUM(_xlfn._xlws.FILTER($E542:$E552,($A542:$A552=$A542)*($J542:$J552=N$42)))),0)</f>
        <v>0</v>
      </c>
    </row>
    <row r="543" spans="1:14" hidden="1" x14ac:dyDescent="0.3">
      <c r="A543" s="70">
        <v>45936</v>
      </c>
      <c r="B543" s="6" t="s">
        <v>30</v>
      </c>
      <c r="C543" s="18">
        <v>100</v>
      </c>
      <c r="D543" s="19">
        <v>901.2</v>
      </c>
      <c r="E543" s="67">
        <f ca="1">IFERROR(C543*D543*_xlfn.XLOOKUP(B543,[1]!TabCalc[Ticker],[1]!TabCalc[Scale]),0)</f>
        <v>90120</v>
      </c>
      <c r="F543" s="68" cm="1">
        <f t="array" ref="F543">IF(A543=A542,0,SUM(_xlfn._xlws.FILTER(E543:E553,A543:A553=A543)))</f>
        <v>0</v>
      </c>
      <c r="G543" s="69">
        <f>IF(F543&lt;&gt;0,SUM($F$43:F543),0)</f>
        <v>0</v>
      </c>
      <c r="H543" s="69" cm="1">
        <f t="array" ref="H543">IFERROR(IF(A543=A542,0,SUM(_xlfn._xlws.FILTER(E543:E553,(A543:A553=A543)*(E543:E553&gt;0)))),0)</f>
        <v>0</v>
      </c>
      <c r="I543" s="69" cm="1">
        <f t="array" ref="I543">IFERROR(IF(A543=A542,0,SUM(_xlfn._xlws.FILTER(E543:E553,(A543:A553=A543)*(F543&lt;0)))),0)</f>
        <v>0</v>
      </c>
      <c r="J543" s="81" t="str">
        <f ca="1">IFERROR(_xlfn.XLOOKUP(B543,[1]!TabCalc[Ticker],[1]!TabCalc[Cur]),"")</f>
        <v>EUR</v>
      </c>
      <c r="K543" s="68" cm="1">
        <f t="array" ref="K543">IFERROR(IF($A543=$A542,0,SUM(_xlfn._xlws.FILTER($E543:$E553,($A543:$A553=$A543)*($J543:$J553=K$42)))),0)</f>
        <v>0</v>
      </c>
      <c r="L543" s="68" cm="1">
        <f t="array" ref="L543">IFERROR(IF($A543=$A542,0,SUM(_xlfn._xlws.FILTER($E543:$E553,($A543:$A553=$A543)*($J543:$J553=L$42)))),0)</f>
        <v>0</v>
      </c>
      <c r="M543" s="68" cm="1">
        <f t="array" ref="M543">IFERROR(IF($A543=$A542,0,SUM(_xlfn._xlws.FILTER($E543:$E553,($A543:$A553=$A543)*($J543:$J553=M$42)))),0)</f>
        <v>0</v>
      </c>
      <c r="N543" s="68" cm="1">
        <f t="array" ref="N543">IFERROR(IF($A543=$A542,0,SUM(_xlfn._xlws.FILTER($E543:$E553,($A543:$A553=$A543)*($J543:$J553=N$42)))),0)</f>
        <v>0</v>
      </c>
    </row>
    <row r="544" spans="1:14" hidden="1" x14ac:dyDescent="0.3">
      <c r="A544" s="70">
        <v>45936</v>
      </c>
      <c r="B544" s="6" t="s">
        <v>94</v>
      </c>
      <c r="C544" s="18">
        <v>3000</v>
      </c>
      <c r="D544" s="19">
        <v>16.12</v>
      </c>
      <c r="E544" s="67">
        <f ca="1">IFERROR(C544*D544*_xlfn.XLOOKUP(B544,[1]!TabCalc[Ticker],[1]!TabCalc[Scale]),0)</f>
        <v>48360</v>
      </c>
      <c r="F544" s="68" cm="1">
        <f t="array" ref="F544">IF(A544=A543,0,SUM(_xlfn._xlws.FILTER(E544:E554,A544:A554=A544)))</f>
        <v>0</v>
      </c>
      <c r="G544" s="69">
        <f>IF(F544&lt;&gt;0,SUM($F$43:F544),0)</f>
        <v>0</v>
      </c>
      <c r="H544" s="69" cm="1">
        <f t="array" ref="H544">IFERROR(IF(A544=A543,0,SUM(_xlfn._xlws.FILTER(E544:E554,(A544:A554=A544)*(E544:E554&gt;0)))),0)</f>
        <v>0</v>
      </c>
      <c r="I544" s="69" cm="1">
        <f t="array" ref="I544">IFERROR(IF(A544=A543,0,SUM(_xlfn._xlws.FILTER(E544:E554,(A544:A554=A544)*(F544&lt;0)))),0)</f>
        <v>0</v>
      </c>
      <c r="J544" s="81" t="str">
        <f ca="1">IFERROR(_xlfn.XLOOKUP(B544,[1]!TabCalc[Ticker],[1]!TabCalc[Cur]),"")</f>
        <v>EUR</v>
      </c>
      <c r="K544" s="68" cm="1">
        <f t="array" ref="K544">IFERROR(IF($A544=$A543,0,SUM(_xlfn._xlws.FILTER($E544:$E554,($A544:$A554=$A544)*($J544:$J554=K$42)))),0)</f>
        <v>0</v>
      </c>
      <c r="L544" s="68" cm="1">
        <f t="array" ref="L544">IFERROR(IF($A544=$A543,0,SUM(_xlfn._xlws.FILTER($E544:$E554,($A544:$A554=$A544)*($J544:$J554=L$42)))),0)</f>
        <v>0</v>
      </c>
      <c r="M544" s="68" cm="1">
        <f t="array" ref="M544">IFERROR(IF($A544=$A543,0,SUM(_xlfn._xlws.FILTER($E544:$E554,($A544:$A554=$A544)*($J544:$J554=M$42)))),0)</f>
        <v>0</v>
      </c>
      <c r="N544" s="68" cm="1">
        <f t="array" ref="N544">IFERROR(IF($A544=$A543,0,SUM(_xlfn._xlws.FILTER($E544:$E554,($A544:$A554=$A544)*($J544:$J554=N$42)))),0)</f>
        <v>0</v>
      </c>
    </row>
    <row r="545" spans="1:14" hidden="1" x14ac:dyDescent="0.3">
      <c r="A545" s="70">
        <v>45936</v>
      </c>
      <c r="B545" s="6" t="s">
        <v>32</v>
      </c>
      <c r="C545" s="18">
        <v>500</v>
      </c>
      <c r="D545" s="19">
        <v>81.84</v>
      </c>
      <c r="E545" s="67">
        <f ca="1">IFERROR(C545*D545*_xlfn.XLOOKUP(B545,[1]!TabCalc[Ticker],[1]!TabCalc[Scale]),0)</f>
        <v>40920</v>
      </c>
      <c r="F545" s="68" cm="1">
        <f t="array" ref="F545">IF(A545=A544,0,SUM(_xlfn._xlws.FILTER(E545:E555,A545:A555=A545)))</f>
        <v>0</v>
      </c>
      <c r="G545" s="69">
        <f>IF(F545&lt;&gt;0,SUM($F$43:F545),0)</f>
        <v>0</v>
      </c>
      <c r="H545" s="69" cm="1">
        <f t="array" ref="H545">IFERROR(IF(A545=A544,0,SUM(_xlfn._xlws.FILTER(E545:E555,(A545:A555=A545)*(E545:E555&gt;0)))),0)</f>
        <v>0</v>
      </c>
      <c r="I545" s="69" cm="1">
        <f t="array" ref="I545">IFERROR(IF(A545=A544,0,SUM(_xlfn._xlws.FILTER(E545:E555,(A545:A555=A545)*(F545&lt;0)))),0)</f>
        <v>0</v>
      </c>
      <c r="J545" s="81" t="str">
        <f ca="1">IFERROR(_xlfn.XLOOKUP(B545,[1]!TabCalc[Ticker],[1]!TabCalc[Cur]),"")</f>
        <v>USD</v>
      </c>
      <c r="K545" s="68" cm="1">
        <f t="array" ref="K545">IFERROR(IF($A545=$A544,0,SUM(_xlfn._xlws.FILTER($E545:$E555,($A545:$A555=$A545)*($J545:$J555=K$42)))),0)</f>
        <v>0</v>
      </c>
      <c r="L545" s="68" cm="1">
        <f t="array" ref="L545">IFERROR(IF($A545=$A544,0,SUM(_xlfn._xlws.FILTER($E545:$E555,($A545:$A555=$A545)*($J545:$J555=L$42)))),0)</f>
        <v>0</v>
      </c>
      <c r="M545" s="68" cm="1">
        <f t="array" ref="M545">IFERROR(IF($A545=$A544,0,SUM(_xlfn._xlws.FILTER($E545:$E555,($A545:$A555=$A545)*($J545:$J555=M$42)))),0)</f>
        <v>0</v>
      </c>
      <c r="N545" s="68" cm="1">
        <f t="array" ref="N545">IFERROR(IF($A545=$A544,0,SUM(_xlfn._xlws.FILTER($E545:$E555,($A545:$A555=$A545)*($J545:$J555=N$42)))),0)</f>
        <v>0</v>
      </c>
    </row>
    <row r="546" spans="1:14" hidden="1" x14ac:dyDescent="0.3">
      <c r="A546" s="70">
        <v>45936</v>
      </c>
      <c r="B546" s="6" t="s">
        <v>113</v>
      </c>
      <c r="C546" s="18">
        <v>5000</v>
      </c>
      <c r="D546" s="19">
        <v>3.08</v>
      </c>
      <c r="E546" s="67">
        <f ca="1">IFERROR(C546*D546*_xlfn.XLOOKUP(B546,[1]!TabCalc[Ticker],[1]!TabCalc[Scale]),0)</f>
        <v>15400</v>
      </c>
      <c r="F546" s="68" cm="1">
        <f t="array" ref="F546">IF(A546=A545,0,SUM(_xlfn._xlws.FILTER(E546:E556,A546:A556=A546)))</f>
        <v>0</v>
      </c>
      <c r="G546" s="69">
        <f>IF(F546&lt;&gt;0,SUM($F$43:F546),0)</f>
        <v>0</v>
      </c>
      <c r="H546" s="69" cm="1">
        <f t="array" ref="H546">IFERROR(IF(A546=A545,0,SUM(_xlfn._xlws.FILTER(E546:E556,(A546:A556=A546)*(E546:E556&gt;0)))),0)</f>
        <v>0</v>
      </c>
      <c r="I546" s="69" cm="1">
        <f t="array" ref="I546">IFERROR(IF(A546=A545,0,SUM(_xlfn._xlws.FILTER(E546:E556,(A546:A556=A546)*(F546&lt;0)))),0)</f>
        <v>0</v>
      </c>
      <c r="J546" s="81" t="str">
        <f ca="1">IFERROR(_xlfn.XLOOKUP(B546,[1]!TabCalc[Ticker],[1]!TabCalc[Cur]),"")</f>
        <v>USD</v>
      </c>
      <c r="K546" s="68" cm="1">
        <f t="array" ref="K546">IFERROR(IF($A546=$A545,0,SUM(_xlfn._xlws.FILTER($E546:$E556,($A546:$A556=$A546)*($J546:$J556=K$42)))),0)</f>
        <v>0</v>
      </c>
      <c r="L546" s="68" cm="1">
        <f t="array" ref="L546">IFERROR(IF($A546=$A545,0,SUM(_xlfn._xlws.FILTER($E546:$E556,($A546:$A556=$A546)*($J546:$J556=L$42)))),0)</f>
        <v>0</v>
      </c>
      <c r="M546" s="68" cm="1">
        <f t="array" ref="M546">IFERROR(IF($A546=$A545,0,SUM(_xlfn._xlws.FILTER($E546:$E556,($A546:$A556=$A546)*($J546:$J556=M$42)))),0)</f>
        <v>0</v>
      </c>
      <c r="N546" s="68" cm="1">
        <f t="array" ref="N546">IFERROR(IF($A546=$A545,0,SUM(_xlfn._xlws.FILTER($E546:$E556,($A546:$A556=$A546)*($J546:$J556=N$42)))),0)</f>
        <v>0</v>
      </c>
    </row>
    <row r="547" spans="1:14" hidden="1" x14ac:dyDescent="0.3">
      <c r="A547" s="70">
        <v>45936</v>
      </c>
      <c r="B547" s="6" t="s">
        <v>114</v>
      </c>
      <c r="C547" s="18">
        <v>530</v>
      </c>
      <c r="D547" s="19">
        <v>-112.98</v>
      </c>
      <c r="E547" s="67">
        <f ca="1">IFERROR(C547*D547*_xlfn.XLOOKUP(B547,[1]!TabCalc[Ticker],[1]!TabCalc[Scale]),0)</f>
        <v>-59879.4</v>
      </c>
      <c r="F547" s="68" cm="1">
        <f t="array" ref="F547">IF(A547=A546,0,SUM(_xlfn._xlws.FILTER(E547:E557,A547:A557=A547)))</f>
        <v>0</v>
      </c>
      <c r="G547" s="69">
        <f>IF(F547&lt;&gt;0,SUM($F$43:F547),0)</f>
        <v>0</v>
      </c>
      <c r="H547" s="69" cm="1">
        <f t="array" ref="H547">IFERROR(IF(A547=A546,0,SUM(_xlfn._xlws.FILTER(E547:E557,(A547:A557=A547)*(E547:E557&gt;0)))),0)</f>
        <v>0</v>
      </c>
      <c r="I547" s="69" cm="1">
        <f t="array" ref="I547">IFERROR(IF(A547=A546,0,SUM(_xlfn._xlws.FILTER(E547:E557,(A547:A557=A547)*(F547&lt;0)))),0)</f>
        <v>0</v>
      </c>
      <c r="J547" s="81" t="str">
        <f ca="1">IFERROR(_xlfn.XLOOKUP(B547,[1]!TabCalc[Ticker],[1]!TabCalc[Cur]),"")</f>
        <v>USD</v>
      </c>
      <c r="K547" s="68" cm="1">
        <f t="array" ref="K547">IFERROR(IF($A547=$A546,0,SUM(_xlfn._xlws.FILTER($E547:$E557,($A547:$A557=$A547)*($J547:$J557=K$42)))),0)</f>
        <v>0</v>
      </c>
      <c r="L547" s="68" cm="1">
        <f t="array" ref="L547">IFERROR(IF($A547=$A546,0,SUM(_xlfn._xlws.FILTER($E547:$E557,($A547:$A557=$A547)*($J547:$J557=L$42)))),0)</f>
        <v>0</v>
      </c>
      <c r="M547" s="68" cm="1">
        <f t="array" ref="M547">IFERROR(IF($A547=$A546,0,SUM(_xlfn._xlws.FILTER($E547:$E557,($A547:$A557=$A547)*($J547:$J557=M$42)))),0)</f>
        <v>0</v>
      </c>
      <c r="N547" s="68" cm="1">
        <f t="array" ref="N547">IFERROR(IF($A547=$A546,0,SUM(_xlfn._xlws.FILTER($E547:$E557,($A547:$A557=$A547)*($J547:$J557=N$42)))),0)</f>
        <v>0</v>
      </c>
    </row>
    <row r="548" spans="1:14" hidden="1" x14ac:dyDescent="0.3">
      <c r="A548" s="70">
        <v>45936</v>
      </c>
      <c r="B548" s="6" t="s">
        <v>115</v>
      </c>
      <c r="C548" s="18">
        <v>200</v>
      </c>
      <c r="D548" s="19">
        <v>-1161.69</v>
      </c>
      <c r="E548" s="67">
        <f ca="1">IFERROR(C548*D548*_xlfn.XLOOKUP(B548,[1]!TabCalc[Ticker],[1]!TabCalc[Scale]),0)</f>
        <v>-232338</v>
      </c>
      <c r="F548" s="68" cm="1">
        <f t="array" ref="F548">IF(A548=A547,0,SUM(_xlfn._xlws.FILTER(E548:E558,A548:A558=A548)))</f>
        <v>0</v>
      </c>
      <c r="G548" s="69">
        <f>IF(F548&lt;&gt;0,SUM($F$43:F548),0)</f>
        <v>0</v>
      </c>
      <c r="H548" s="69" cm="1">
        <f t="array" ref="H548">IFERROR(IF(A548=A547,0,SUM(_xlfn._xlws.FILTER(E548:E558,(A548:A558=A548)*(E548:E558&gt;0)))),0)</f>
        <v>0</v>
      </c>
      <c r="I548" s="69" cm="1">
        <f t="array" ref="I548">IFERROR(IF(A548=A547,0,SUM(_xlfn._xlws.FILTER(E548:E558,(A548:A558=A548)*(F548&lt;0)))),0)</f>
        <v>0</v>
      </c>
      <c r="J548" s="81" t="str">
        <f ca="1">IFERROR(_xlfn.XLOOKUP(B548,[1]!TabCalc[Ticker],[1]!TabCalc[Cur]),"")</f>
        <v>USD</v>
      </c>
      <c r="K548" s="68" cm="1">
        <f t="array" ref="K548">IFERROR(IF($A548=$A547,0,SUM(_xlfn._xlws.FILTER($E548:$E558,($A548:$A558=$A548)*($J548:$J558=K$42)))),0)</f>
        <v>0</v>
      </c>
      <c r="L548" s="68" cm="1">
        <f t="array" ref="L548">IFERROR(IF($A548=$A547,0,SUM(_xlfn._xlws.FILTER($E548:$E558,($A548:$A558=$A548)*($J548:$J558=L$42)))),0)</f>
        <v>0</v>
      </c>
      <c r="M548" s="68" cm="1">
        <f t="array" ref="M548">IFERROR(IF($A548=$A547,0,SUM(_xlfn._xlws.FILTER($E548:$E558,($A548:$A558=$A548)*($J548:$J558=M$42)))),0)</f>
        <v>0</v>
      </c>
      <c r="N548" s="68" cm="1">
        <f t="array" ref="N548">IFERROR(IF($A548=$A547,0,SUM(_xlfn._xlws.FILTER($E548:$E558,($A548:$A558=$A548)*($J548:$J558=N$42)))),0)</f>
        <v>0</v>
      </c>
    </row>
    <row r="549" spans="1:14" hidden="1" x14ac:dyDescent="0.3">
      <c r="A549" s="70">
        <v>45936</v>
      </c>
      <c r="B549" s="6" t="s">
        <v>116</v>
      </c>
      <c r="C549" s="18">
        <v>11000</v>
      </c>
      <c r="D549" s="19">
        <v>3.16</v>
      </c>
      <c r="E549" s="67">
        <f ca="1">IFERROR(C549*D549*_xlfn.XLOOKUP(B549,[1]!TabCalc[Ticker],[1]!TabCalc[Scale]),0)</f>
        <v>34760</v>
      </c>
      <c r="F549" s="68" cm="1">
        <f t="array" ref="F549">IF(A549=A548,0,SUM(_xlfn._xlws.FILTER(E549:E559,A549:A559=A549)))</f>
        <v>0</v>
      </c>
      <c r="G549" s="69">
        <f>IF(F549&lt;&gt;0,SUM($F$43:F549),0)</f>
        <v>0</v>
      </c>
      <c r="H549" s="69" cm="1">
        <f t="array" ref="H549">IFERROR(IF(A549=A548,0,SUM(_xlfn._xlws.FILTER(E549:E559,(A549:A559=A549)*(E549:E559&gt;0)))),0)</f>
        <v>0</v>
      </c>
      <c r="I549" s="69" cm="1">
        <f t="array" ref="I549">IFERROR(IF(A549=A548,0,SUM(_xlfn._xlws.FILTER(E549:E559,(A549:A559=A549)*(F549&lt;0)))),0)</f>
        <v>0</v>
      </c>
      <c r="J549" s="81" t="str">
        <f ca="1">IFERROR(_xlfn.XLOOKUP(B549,[1]!TabCalc[Ticker],[1]!TabCalc[Cur]),"")</f>
        <v>USD</v>
      </c>
      <c r="K549" s="68" cm="1">
        <f t="array" ref="K549">IFERROR(IF($A549=$A548,0,SUM(_xlfn._xlws.FILTER($E549:$E559,($A549:$A559=$A549)*($J549:$J559=K$42)))),0)</f>
        <v>0</v>
      </c>
      <c r="L549" s="68" cm="1">
        <f t="array" ref="L549">IFERROR(IF($A549=$A548,0,SUM(_xlfn._xlws.FILTER($E549:$E559,($A549:$A559=$A549)*($J549:$J559=L$42)))),0)</f>
        <v>0</v>
      </c>
      <c r="M549" s="68" cm="1">
        <f t="array" ref="M549">IFERROR(IF($A549=$A548,0,SUM(_xlfn._xlws.FILTER($E549:$E559,($A549:$A559=$A549)*($J549:$J559=M$42)))),0)</f>
        <v>0</v>
      </c>
      <c r="N549" s="68" cm="1">
        <f t="array" ref="N549">IFERROR(IF($A549=$A548,0,SUM(_xlfn._xlws.FILTER($E549:$E559,($A549:$A559=$A549)*($J549:$J559=N$42)))),0)</f>
        <v>0</v>
      </c>
    </row>
    <row r="550" spans="1:14" hidden="1" x14ac:dyDescent="0.3">
      <c r="A550" s="64">
        <v>45937</v>
      </c>
      <c r="B550" s="5" t="s">
        <v>96</v>
      </c>
      <c r="C550" s="5">
        <v>2500</v>
      </c>
      <c r="D550" s="5">
        <v>7.4</v>
      </c>
      <c r="E550" s="67">
        <f ca="1">IFERROR(C550*D550*_xlfn.XLOOKUP(B550,[1]!TabCalc[Ticker],[1]!TabCalc[Scale]),0)</f>
        <v>18500</v>
      </c>
      <c r="F550" s="68" cm="1">
        <f t="array" aca="1" ref="F550" ca="1">IF(A550=A549,0,SUM(_xlfn._xlws.FILTER(E550:E560,A550:A560=A550)))</f>
        <v>372128</v>
      </c>
      <c r="G550" s="69">
        <f ca="1">IF(F550&lt;&gt;0,SUM($F$43:F550),0)</f>
        <v>-2141041.3195729996</v>
      </c>
      <c r="H550" s="69" cm="1">
        <f t="array" aca="1" ref="H550" ca="1">IFERROR(IF(A550=A549,0,SUM(_xlfn._xlws.FILTER(E550:E560,(A550:A560=A550)*(E550:E560&gt;0)))),0)</f>
        <v>372128</v>
      </c>
      <c r="I550" s="69" cm="1">
        <f t="array" aca="1" ref="I550" ca="1">IFERROR(IF(A550=A549,0,SUM(_xlfn._xlws.FILTER(E550:E560,(A550:A560=A550)*(F550&lt;0)))),0)</f>
        <v>0</v>
      </c>
      <c r="J550" s="81" t="str">
        <f ca="1">IFERROR(_xlfn.XLOOKUP(B550,[1]!TabCalc[Ticker],[1]!TabCalc[Cur]),"")</f>
        <v>USD</v>
      </c>
      <c r="K550" s="68" cm="1">
        <f t="array" aca="1" ref="K550" ca="1">IFERROR(IF($A550=$A549,0,SUM(_xlfn._xlws.FILTER($E550:$E560,($A550:$A560=$A550)*($J550:$J560=K$42)))),0)</f>
        <v>0</v>
      </c>
      <c r="L550" s="68" cm="1">
        <f t="array" aca="1" ref="L550" ca="1">IFERROR(IF($A550=$A549,0,SUM(_xlfn._xlws.FILTER($E550:$E560,($A550:$A560=$A550)*($J550:$J560=L$42)))),0)</f>
        <v>372128</v>
      </c>
      <c r="M550" s="68" cm="1">
        <f t="array" aca="1" ref="M550" ca="1">IFERROR(IF($A550=$A549,0,SUM(_xlfn._xlws.FILTER($E550:$E560,($A550:$A560=$A550)*($J550:$J560=M$42)))),0)</f>
        <v>0</v>
      </c>
      <c r="N550" s="68" cm="1">
        <f t="array" aca="1" ref="N550" ca="1">IFERROR(IF($A550=$A549,0,SUM(_xlfn._xlws.FILTER($E550:$E560,($A550:$A560=$A550)*($J550:$J560=N$42)))),0)</f>
        <v>0</v>
      </c>
    </row>
    <row r="551" spans="1:14" hidden="1" x14ac:dyDescent="0.3">
      <c r="A551" s="64">
        <v>45937</v>
      </c>
      <c r="B551" s="5" t="s">
        <v>45</v>
      </c>
      <c r="C551" s="5">
        <v>150</v>
      </c>
      <c r="D551" s="5">
        <v>260</v>
      </c>
      <c r="E551" s="67">
        <f ca="1">IFERROR(C551*D551*_xlfn.XLOOKUP(B551,[1]!TabCalc[Ticker],[1]!TabCalc[Scale]),0)</f>
        <v>39000</v>
      </c>
      <c r="F551" s="68" cm="1">
        <f t="array" ref="F551">IF(A551=A550,0,SUM(_xlfn._xlws.FILTER(E551:E561,A551:A561=A551)))</f>
        <v>0</v>
      </c>
      <c r="G551" s="69">
        <f>IF(F551&lt;&gt;0,SUM($F$43:F551),0)</f>
        <v>0</v>
      </c>
      <c r="H551" s="69" cm="1">
        <f t="array" ref="H551">IFERROR(IF(A551=A550,0,SUM(_xlfn._xlws.FILTER(E551:E561,(A551:A561=A551)*(E551:E561&gt;0)))),0)</f>
        <v>0</v>
      </c>
      <c r="I551" s="69" cm="1">
        <f t="array" ref="I551">IFERROR(IF(A551=A550,0,SUM(_xlfn._xlws.FILTER(E551:E561,(A551:A561=A551)*(F551&lt;0)))),0)</f>
        <v>0</v>
      </c>
      <c r="J551" s="81" t="str">
        <f ca="1">IFERROR(_xlfn.XLOOKUP(B551,[1]!TabCalc[Ticker],[1]!TabCalc[Cur]),"")</f>
        <v>USD</v>
      </c>
      <c r="K551" s="68" cm="1">
        <f t="array" ref="K551">IFERROR(IF($A551=$A550,0,SUM(_xlfn._xlws.FILTER($E551:$E561,($A551:$A561=$A551)*($J551:$J561=K$42)))),0)</f>
        <v>0</v>
      </c>
      <c r="L551" s="68" cm="1">
        <f t="array" ref="L551">IFERROR(IF($A551=$A550,0,SUM(_xlfn._xlws.FILTER($E551:$E561,($A551:$A561=$A551)*($J551:$J561=L$42)))),0)</f>
        <v>0</v>
      </c>
      <c r="M551" s="68" cm="1">
        <f t="array" ref="M551">IFERROR(IF($A551=$A550,0,SUM(_xlfn._xlws.FILTER($E551:$E561,($A551:$A561=$A551)*($J551:$J561=M$42)))),0)</f>
        <v>0</v>
      </c>
      <c r="N551" s="68" cm="1">
        <f t="array" ref="N551">IFERROR(IF($A551=$A550,0,SUM(_xlfn._xlws.FILTER($E551:$E561,($A551:$A561=$A551)*($J551:$J561=N$42)))),0)</f>
        <v>0</v>
      </c>
    </row>
    <row r="552" spans="1:14" hidden="1" x14ac:dyDescent="0.3">
      <c r="A552" s="64">
        <v>45937</v>
      </c>
      <c r="B552" s="5" t="s">
        <v>93</v>
      </c>
      <c r="C552" s="5">
        <v>150</v>
      </c>
      <c r="D552" s="5">
        <v>523.91999999999996</v>
      </c>
      <c r="E552" s="67">
        <f ca="1">IFERROR(C552*D552*_xlfn.XLOOKUP(B552,[1]!TabCalc[Ticker],[1]!TabCalc[Scale]),0)</f>
        <v>78588</v>
      </c>
      <c r="F552" s="68" cm="1">
        <f t="array" ref="F552">IF(A552=A551,0,SUM(_xlfn._xlws.FILTER(E552:E562,A552:A562=A552)))</f>
        <v>0</v>
      </c>
      <c r="G552" s="69">
        <f>IF(F552&lt;&gt;0,SUM($F$43:F552),0)</f>
        <v>0</v>
      </c>
      <c r="H552" s="69" cm="1">
        <f t="array" ref="H552">IFERROR(IF(A552=A551,0,SUM(_xlfn._xlws.FILTER(E552:E562,(A552:A562=A552)*(E552:E562&gt;0)))),0)</f>
        <v>0</v>
      </c>
      <c r="I552" s="69" cm="1">
        <f t="array" ref="I552">IFERROR(IF(A552=A551,0,SUM(_xlfn._xlws.FILTER(E552:E562,(A552:A562=A552)*(F552&lt;0)))),0)</f>
        <v>0</v>
      </c>
      <c r="J552" s="81" t="str">
        <f ca="1">IFERROR(_xlfn.XLOOKUP(B552,[1]!TabCalc[Ticker],[1]!TabCalc[Cur]),"")</f>
        <v>USD</v>
      </c>
      <c r="K552" s="68" cm="1">
        <f t="array" ref="K552">IFERROR(IF($A552=$A551,0,SUM(_xlfn._xlws.FILTER($E552:$E562,($A552:$A562=$A552)*($J552:$J562=K$42)))),0)</f>
        <v>0</v>
      </c>
      <c r="L552" s="68" cm="1">
        <f t="array" ref="L552">IFERROR(IF($A552=$A551,0,SUM(_xlfn._xlws.FILTER($E552:$E562,($A552:$A562=$A552)*($J552:$J562=L$42)))),0)</f>
        <v>0</v>
      </c>
      <c r="M552" s="68" cm="1">
        <f t="array" ref="M552">IFERROR(IF($A552=$A551,0,SUM(_xlfn._xlws.FILTER($E552:$E562,($A552:$A562=$A552)*($J552:$J562=M$42)))),0)</f>
        <v>0</v>
      </c>
      <c r="N552" s="68" cm="1">
        <f t="array" ref="N552">IFERROR(IF($A552=$A551,0,SUM(_xlfn._xlws.FILTER($E552:$E562,($A552:$A562=$A552)*($J552:$J562=N$42)))),0)</f>
        <v>0</v>
      </c>
    </row>
    <row r="553" spans="1:14" hidden="1" x14ac:dyDescent="0.3">
      <c r="A553" s="64">
        <v>45937</v>
      </c>
      <c r="B553" s="5" t="s">
        <v>42</v>
      </c>
      <c r="C553" s="5">
        <v>1000</v>
      </c>
      <c r="D553" s="5">
        <v>204.54</v>
      </c>
      <c r="E553" s="67">
        <f ca="1">IFERROR(C553*D553*_xlfn.XLOOKUP(B553,[1]!TabCalc[Ticker],[1]!TabCalc[Scale]),0)</f>
        <v>204540</v>
      </c>
      <c r="F553" s="68" cm="1">
        <f t="array" ref="F553">IF(A553=A552,0,SUM(_xlfn._xlws.FILTER(E553:E563,A553:A563=A553)))</f>
        <v>0</v>
      </c>
      <c r="G553" s="69">
        <f>IF(F553&lt;&gt;0,SUM($F$43:F553),0)</f>
        <v>0</v>
      </c>
      <c r="H553" s="69" cm="1">
        <f t="array" ref="H553">IFERROR(IF(A553=A552,0,SUM(_xlfn._xlws.FILTER(E553:E563,(A553:A563=A553)*(E553:E563&gt;0)))),0)</f>
        <v>0</v>
      </c>
      <c r="I553" s="69" cm="1">
        <f t="array" ref="I553">IFERROR(IF(A553=A552,0,SUM(_xlfn._xlws.FILTER(E553:E563,(A553:A563=A553)*(F553&lt;0)))),0)</f>
        <v>0</v>
      </c>
      <c r="J553" s="81" t="str">
        <f ca="1">IFERROR(_xlfn.XLOOKUP(B553,[1]!TabCalc[Ticker],[1]!TabCalc[Cur]),"")</f>
        <v>USD</v>
      </c>
      <c r="K553" s="68" cm="1">
        <f t="array" ref="K553">IFERROR(IF($A553=$A552,0,SUM(_xlfn._xlws.FILTER($E553:$E563,($A553:$A563=$A553)*($J553:$J563=K$42)))),0)</f>
        <v>0</v>
      </c>
      <c r="L553" s="68" cm="1">
        <f t="array" ref="L553">IFERROR(IF($A553=$A552,0,SUM(_xlfn._xlws.FILTER($E553:$E563,($A553:$A563=$A553)*($J553:$J563=L$42)))),0)</f>
        <v>0</v>
      </c>
      <c r="M553" s="68" cm="1">
        <f t="array" ref="M553">IFERROR(IF($A553=$A552,0,SUM(_xlfn._xlws.FILTER($E553:$E563,($A553:$A563=$A553)*($J553:$J563=M$42)))),0)</f>
        <v>0</v>
      </c>
      <c r="N553" s="68" cm="1">
        <f t="array" ref="N553">IFERROR(IF($A553=$A552,0,SUM(_xlfn._xlws.FILTER($E553:$E563,($A553:$A563=$A553)*($J553:$J563=N$42)))),0)</f>
        <v>0</v>
      </c>
    </row>
    <row r="554" spans="1:14" hidden="1" x14ac:dyDescent="0.3">
      <c r="A554" s="64">
        <v>45937</v>
      </c>
      <c r="B554" s="5" t="s">
        <v>67</v>
      </c>
      <c r="C554" s="5">
        <v>10000</v>
      </c>
      <c r="D554" s="5">
        <v>3.15</v>
      </c>
      <c r="E554" s="67">
        <f ca="1">IFERROR(C554*D554*_xlfn.XLOOKUP(B554,[1]!TabCalc[Ticker],[1]!TabCalc[Scale]),0)</f>
        <v>31500</v>
      </c>
      <c r="F554" s="68" cm="1">
        <f t="array" ref="F554">IF(A554=A553,0,SUM(_xlfn._xlws.FILTER(E554:E564,A554:A564=A554)))</f>
        <v>0</v>
      </c>
      <c r="G554" s="69">
        <f>IF(F554&lt;&gt;0,SUM($F$43:F554),0)</f>
        <v>0</v>
      </c>
      <c r="H554" s="69" cm="1">
        <f t="array" ref="H554">IFERROR(IF(A554=A553,0,SUM(_xlfn._xlws.FILTER(E554:E564,(A554:A564=A554)*(E554:E564&gt;0)))),0)</f>
        <v>0</v>
      </c>
      <c r="I554" s="69" cm="1">
        <f t="array" ref="I554">IFERROR(IF(A554=A553,0,SUM(_xlfn._xlws.FILTER(E554:E564,(A554:A564=A554)*(F554&lt;0)))),0)</f>
        <v>0</v>
      </c>
      <c r="J554" s="81" t="str">
        <f ca="1">IFERROR(_xlfn.XLOOKUP(B554,[1]!TabCalc[Ticker],[1]!TabCalc[Cur]),"")</f>
        <v>USD</v>
      </c>
      <c r="K554" s="68" cm="1">
        <f t="array" ref="K554">IFERROR(IF($A554=$A553,0,SUM(_xlfn._xlws.FILTER($E554:$E564,($A554:$A564=$A554)*($J554:$J564=K$42)))),0)</f>
        <v>0</v>
      </c>
      <c r="L554" s="68" cm="1">
        <f t="array" ref="L554">IFERROR(IF($A554=$A553,0,SUM(_xlfn._xlws.FILTER($E554:$E564,($A554:$A564=$A554)*($J554:$J564=L$42)))),0)</f>
        <v>0</v>
      </c>
      <c r="M554" s="68" cm="1">
        <f t="array" ref="M554">IFERROR(IF($A554=$A553,0,SUM(_xlfn._xlws.FILTER($E554:$E564,($A554:$A564=$A554)*($J554:$J564=M$42)))),0)</f>
        <v>0</v>
      </c>
      <c r="N554" s="68" cm="1">
        <f t="array" ref="N554">IFERROR(IF($A554=$A553,0,SUM(_xlfn._xlws.FILTER($E554:$E564,($A554:$A564=$A554)*($J554:$J564=N$42)))),0)</f>
        <v>0</v>
      </c>
    </row>
    <row r="555" spans="1:14" hidden="1" x14ac:dyDescent="0.3">
      <c r="A555" s="70">
        <v>45938</v>
      </c>
      <c r="B555" s="6" t="s">
        <v>69</v>
      </c>
      <c r="C555" s="18">
        <v>10000</v>
      </c>
      <c r="D555" s="19">
        <v>397.01</v>
      </c>
      <c r="E555" s="67">
        <f ca="1">IFERROR(C555*D555*_xlfn.XLOOKUP(B555,[1]!TabCalc[Ticker],[1]!TabCalc[Scale]),0)</f>
        <v>39701</v>
      </c>
      <c r="F555" s="68" cm="1">
        <f t="array" aca="1" ref="F555" ca="1">IF(A555=A554,0,SUM(_xlfn._xlws.FILTER(E555:E565,A555:A565=A555)))</f>
        <v>-16692</v>
      </c>
      <c r="G555" s="69">
        <f ca="1">IF(F555&lt;&gt;0,SUM($F$43:F555),0)</f>
        <v>-2157733.3195729996</v>
      </c>
      <c r="H555" s="69" cm="1">
        <f t="array" aca="1" ref="H555" ca="1">IFERROR(IF(A555=A554,0,SUM(_xlfn._xlws.FILTER(E555:E565,(A555:A565=A555)*(E555:E565&gt;0)))),0)</f>
        <v>151940</v>
      </c>
      <c r="I555" s="69" cm="1">
        <f t="array" aca="1" ref="I555" ca="1">IFERROR(IF(A555=A554,0,SUM(_xlfn._xlws.FILTER(E555:E565,(A555:A565=A555)*(F555&lt;0)))),0)</f>
        <v>-16692</v>
      </c>
      <c r="J555" s="81" t="str">
        <f ca="1">IFERROR(_xlfn.XLOOKUP(B555,[1]!TabCalc[Ticker],[1]!TabCalc[Cur]),"")</f>
        <v>GBp</v>
      </c>
      <c r="K555" s="68" cm="1">
        <f t="array" aca="1" ref="K555" ca="1">IFERROR(IF($A555=$A554,0,SUM(_xlfn._xlws.FILTER($E555:$E565,($A555:$A565=$A555)*($J555:$J565=K$42)))),0)</f>
        <v>-49980</v>
      </c>
      <c r="L555" s="68" cm="1">
        <f t="array" aca="1" ref="L555" ca="1">IFERROR(IF($A555=$A554,0,SUM(_xlfn._xlws.FILTER($E555:$E565,($A555:$A565=$A555)*($J555:$J565=L$42)))),0)</f>
        <v>-6413</v>
      </c>
      <c r="M555" s="68" cm="1">
        <f t="array" aca="1" ref="M555" ca="1">IFERROR(IF($A555=$A554,0,SUM(_xlfn._xlws.FILTER($E555:$E565,($A555:$A565=$A555)*($J555:$J565=M$42)))),0)</f>
        <v>39701</v>
      </c>
      <c r="N555" s="68" cm="1">
        <f t="array" aca="1" ref="N555" ca="1">IFERROR(IF($A555=$A554,0,SUM(_xlfn._xlws.FILTER($E555:$E565,($A555:$A565=$A555)*($J555:$J565=N$42)))),0)</f>
        <v>0</v>
      </c>
    </row>
    <row r="556" spans="1:14" hidden="1" x14ac:dyDescent="0.3">
      <c r="A556" s="70">
        <v>45938</v>
      </c>
      <c r="B556" s="6" t="s">
        <v>56</v>
      </c>
      <c r="C556" s="18">
        <v>2000</v>
      </c>
      <c r="D556" s="19">
        <v>-54.13</v>
      </c>
      <c r="E556" s="67">
        <f ca="1">IFERROR(C556*D556*_xlfn.XLOOKUP(B556,[1]!TabCalc[Ticker],[1]!TabCalc[Scale]),0)</f>
        <v>-108260</v>
      </c>
      <c r="F556" s="68" cm="1">
        <f t="array" ref="F556">IF(A556=A555,0,SUM(_xlfn._xlws.FILTER(E556:E566,A556:A566=A556)))</f>
        <v>0</v>
      </c>
      <c r="G556" s="69">
        <f>IF(F556&lt;&gt;0,SUM($F$43:F556),0)</f>
        <v>0</v>
      </c>
      <c r="H556" s="69" cm="1">
        <f t="array" ref="H556">IFERROR(IF(A556=A555,0,SUM(_xlfn._xlws.FILTER(E556:E566,(A556:A566=A556)*(E556:E566&gt;0)))),0)</f>
        <v>0</v>
      </c>
      <c r="I556" s="69" cm="1">
        <f t="array" ref="I556">IFERROR(IF(A556=A555,0,SUM(_xlfn._xlws.FILTER(E556:E566,(A556:A566=A556)*(F556&lt;0)))),0)</f>
        <v>0</v>
      </c>
      <c r="J556" s="81" t="str">
        <f ca="1">IFERROR(_xlfn.XLOOKUP(B556,[1]!TabCalc[Ticker],[1]!TabCalc[Cur]),"")</f>
        <v>EUR</v>
      </c>
      <c r="K556" s="68" cm="1">
        <f t="array" ref="K556">IFERROR(IF($A556=$A555,0,SUM(_xlfn._xlws.FILTER($E556:$E566,($A556:$A566=$A556)*($J556:$J566=K$42)))),0)</f>
        <v>0</v>
      </c>
      <c r="L556" s="68" cm="1">
        <f t="array" ref="L556">IFERROR(IF($A556=$A555,0,SUM(_xlfn._xlws.FILTER($E556:$E566,($A556:$A566=$A556)*($J556:$J566=L$42)))),0)</f>
        <v>0</v>
      </c>
      <c r="M556" s="68" cm="1">
        <f t="array" ref="M556">IFERROR(IF($A556=$A555,0,SUM(_xlfn._xlws.FILTER($E556:$E566,($A556:$A566=$A556)*($J556:$J566=M$42)))),0)</f>
        <v>0</v>
      </c>
      <c r="N556" s="68" cm="1">
        <f t="array" ref="N556">IFERROR(IF($A556=$A555,0,SUM(_xlfn._xlws.FILTER($E556:$E566,($A556:$A566=$A556)*($J556:$J566=N$42)))),0)</f>
        <v>0</v>
      </c>
    </row>
    <row r="557" spans="1:14" hidden="1" x14ac:dyDescent="0.3">
      <c r="A557" s="70">
        <v>45938</v>
      </c>
      <c r="B557" s="6" t="s">
        <v>29</v>
      </c>
      <c r="C557" s="18">
        <v>2000</v>
      </c>
      <c r="D557" s="19">
        <v>29.14</v>
      </c>
      <c r="E557" s="67">
        <f ca="1">IFERROR(C557*D557*_xlfn.XLOOKUP(B557,[1]!TabCalc[Ticker],[1]!TabCalc[Scale]),0)</f>
        <v>58280</v>
      </c>
      <c r="F557" s="68" cm="1">
        <f t="array" ref="F557">IF(A557=A556,0,SUM(_xlfn._xlws.FILTER(E557:E567,A557:A567=A557)))</f>
        <v>0</v>
      </c>
      <c r="G557" s="69">
        <f>IF(F557&lt;&gt;0,SUM($F$43:F557),0)</f>
        <v>0</v>
      </c>
      <c r="H557" s="69" cm="1">
        <f t="array" ref="H557">IFERROR(IF(A557=A556,0,SUM(_xlfn._xlws.FILTER(E557:E567,(A557:A567=A557)*(E557:E567&gt;0)))),0)</f>
        <v>0</v>
      </c>
      <c r="I557" s="69" cm="1">
        <f t="array" ref="I557">IFERROR(IF(A557=A556,0,SUM(_xlfn._xlws.FILTER(E557:E567,(A557:A567=A557)*(F557&lt;0)))),0)</f>
        <v>0</v>
      </c>
      <c r="J557" s="81" t="str">
        <f ca="1">IFERROR(_xlfn.XLOOKUP(B557,[1]!TabCalc[Ticker],[1]!TabCalc[Cur]),"")</f>
        <v>EUR</v>
      </c>
      <c r="K557" s="68" cm="1">
        <f t="array" ref="K557">IFERROR(IF($A557=$A556,0,SUM(_xlfn._xlws.FILTER($E557:$E567,($A557:$A567=$A557)*($J557:$J567=K$42)))),0)</f>
        <v>0</v>
      </c>
      <c r="L557" s="68" cm="1">
        <f t="array" ref="L557">IFERROR(IF($A557=$A556,0,SUM(_xlfn._xlws.FILTER($E557:$E567,($A557:$A567=$A557)*($J557:$J567=L$42)))),0)</f>
        <v>0</v>
      </c>
      <c r="M557" s="68" cm="1">
        <f t="array" ref="M557">IFERROR(IF($A557=$A556,0,SUM(_xlfn._xlws.FILTER($E557:$E567,($A557:$A567=$A557)*($J557:$J567=M$42)))),0)</f>
        <v>0</v>
      </c>
      <c r="N557" s="68" cm="1">
        <f t="array" ref="N557">IFERROR(IF($A557=$A556,0,SUM(_xlfn._xlws.FILTER($E557:$E567,($A557:$A567=$A557)*($J557:$J567=N$42)))),0)</f>
        <v>0</v>
      </c>
    </row>
    <row r="558" spans="1:14" hidden="1" x14ac:dyDescent="0.3">
      <c r="A558" s="70">
        <v>45938</v>
      </c>
      <c r="B558" s="6" t="s">
        <v>42</v>
      </c>
      <c r="C558" s="18">
        <v>300</v>
      </c>
      <c r="D558" s="19">
        <v>-201.24</v>
      </c>
      <c r="E558" s="67">
        <f ca="1">IFERROR(C558*D558*_xlfn.XLOOKUP(B558,[1]!TabCalc[Ticker],[1]!TabCalc[Scale]),0)</f>
        <v>-60372</v>
      </c>
      <c r="F558" s="68" cm="1">
        <f t="array" ref="F558">IF(A558=A557,0,SUM(_xlfn._xlws.FILTER(E558:E568,A558:A568=A558)))</f>
        <v>0</v>
      </c>
      <c r="G558" s="69">
        <f>IF(F558&lt;&gt;0,SUM($F$43:F558),0)</f>
        <v>0</v>
      </c>
      <c r="H558" s="69" cm="1">
        <f t="array" ref="H558">IFERROR(IF(A558=A557,0,SUM(_xlfn._xlws.FILTER(E558:E568,(A558:A568=A558)*(E558:E568&gt;0)))),0)</f>
        <v>0</v>
      </c>
      <c r="I558" s="69" cm="1">
        <f t="array" ref="I558">IFERROR(IF(A558=A557,0,SUM(_xlfn._xlws.FILTER(E558:E568,(A558:A568=A558)*(F558&lt;0)))),0)</f>
        <v>0</v>
      </c>
      <c r="J558" s="81" t="str">
        <f ca="1">IFERROR(_xlfn.XLOOKUP(B558,[1]!TabCalc[Ticker],[1]!TabCalc[Cur]),"")</f>
        <v>USD</v>
      </c>
      <c r="K558" s="68" cm="1">
        <f t="array" ref="K558">IFERROR(IF($A558=$A557,0,SUM(_xlfn._xlws.FILTER($E558:$E568,($A558:$A568=$A558)*($J558:$J568=K$42)))),0)</f>
        <v>0</v>
      </c>
      <c r="L558" s="68" cm="1">
        <f t="array" ref="L558">IFERROR(IF($A558=$A557,0,SUM(_xlfn._xlws.FILTER($E558:$E568,($A558:$A568=$A558)*($J558:$J568=L$42)))),0)</f>
        <v>0</v>
      </c>
      <c r="M558" s="68" cm="1">
        <f t="array" ref="M558">IFERROR(IF($A558=$A557,0,SUM(_xlfn._xlws.FILTER($E558:$E568,($A558:$A568=$A558)*($J558:$J568=M$42)))),0)</f>
        <v>0</v>
      </c>
      <c r="N558" s="68" cm="1">
        <f t="array" ref="N558">IFERROR(IF($A558=$A557,0,SUM(_xlfn._xlws.FILTER($E558:$E568,($A558:$A568=$A558)*($J558:$J568=N$42)))),0)</f>
        <v>0</v>
      </c>
    </row>
    <row r="559" spans="1:14" hidden="1" x14ac:dyDescent="0.3">
      <c r="A559" s="70">
        <v>45938</v>
      </c>
      <c r="B559" s="6" t="s">
        <v>40</v>
      </c>
      <c r="C559" s="18">
        <v>1200</v>
      </c>
      <c r="D559" s="19">
        <v>26.07</v>
      </c>
      <c r="E559" s="67">
        <f ca="1">IFERROR(C559*D559*_xlfn.XLOOKUP(B559,[1]!TabCalc[Ticker],[1]!TabCalc[Scale]),0)</f>
        <v>31284</v>
      </c>
      <c r="F559" s="68" cm="1">
        <f t="array" ref="F559">IF(A559=A558,0,SUM(_xlfn._xlws.FILTER(E559:E569,A559:A569=A559)))</f>
        <v>0</v>
      </c>
      <c r="G559" s="69">
        <f>IF(F559&lt;&gt;0,SUM($F$43:F559),0)</f>
        <v>0</v>
      </c>
      <c r="H559" s="69" cm="1">
        <f t="array" ref="H559">IFERROR(IF(A559=A558,0,SUM(_xlfn._xlws.FILTER(E559:E569,(A559:A569=A559)*(E559:E569&gt;0)))),0)</f>
        <v>0</v>
      </c>
      <c r="I559" s="69" cm="1">
        <f t="array" ref="I559">IFERROR(IF(A559=A558,0,SUM(_xlfn._xlws.FILTER(E559:E569,(A559:A569=A559)*(F559&lt;0)))),0)</f>
        <v>0</v>
      </c>
      <c r="J559" s="81" t="str">
        <f ca="1">IFERROR(_xlfn.XLOOKUP(B559,[1]!TabCalc[Ticker],[1]!TabCalc[Cur]),"")</f>
        <v>USD</v>
      </c>
      <c r="K559" s="68" cm="1">
        <f t="array" ref="K559">IFERROR(IF($A559=$A558,0,SUM(_xlfn._xlws.FILTER($E559:$E569,($A559:$A569=$A559)*($J559:$J569=K$42)))),0)</f>
        <v>0</v>
      </c>
      <c r="L559" s="68" cm="1">
        <f t="array" ref="L559">IFERROR(IF($A559=$A558,0,SUM(_xlfn._xlws.FILTER($E559:$E569,($A559:$A569=$A559)*($J559:$J569=L$42)))),0)</f>
        <v>0</v>
      </c>
      <c r="M559" s="68" cm="1">
        <f t="array" ref="M559">IFERROR(IF($A559=$A558,0,SUM(_xlfn._xlws.FILTER($E559:$E569,($A559:$A569=$A559)*($J559:$J569=M$42)))),0)</f>
        <v>0</v>
      </c>
      <c r="N559" s="68" cm="1">
        <f t="array" ref="N559">IFERROR(IF($A559=$A558,0,SUM(_xlfn._xlws.FILTER($E559:$E569,($A559:$A569=$A559)*($J559:$J569=N$42)))),0)</f>
        <v>0</v>
      </c>
    </row>
    <row r="560" spans="1:14" hidden="1" x14ac:dyDescent="0.3">
      <c r="A560" s="70">
        <v>45938</v>
      </c>
      <c r="B560" s="70" t="s">
        <v>96</v>
      </c>
      <c r="C560" s="6">
        <v>2500</v>
      </c>
      <c r="D560" s="18">
        <v>9.07</v>
      </c>
      <c r="E560" s="19">
        <f ca="1">IFERROR(C560*D560*_xlfn.XLOOKUP(B560,[1]!TabCalc[Ticker],[1]!TabCalc[Scale]),0)</f>
        <v>22675</v>
      </c>
      <c r="F560" s="68" cm="1">
        <f t="array" ref="F560">IF(A560=A559,0,SUM(_xlfn._xlws.FILTER(E560:E570,A560:A570=A560)))</f>
        <v>0</v>
      </c>
      <c r="G560" s="69">
        <f>IF(F560&lt;&gt;0,SUM($F$43:F560),0)</f>
        <v>0</v>
      </c>
      <c r="H560" s="69" cm="1">
        <f t="array" ref="H560">IFERROR(IF(A560=A559,0,SUM(_xlfn._xlws.FILTER(E560:E570,(A560:A570=A560)*(E560:E570&gt;0)))),0)</f>
        <v>0</v>
      </c>
      <c r="I560" s="69" cm="1">
        <f t="array" ref="I560">IFERROR(IF(A560=A559,0,SUM(_xlfn._xlws.FILTER(E560:E570,(A560:A570=A560)*(F560&lt;0)))),0)</f>
        <v>0</v>
      </c>
      <c r="J560" s="81" t="str">
        <f ca="1">IFERROR(_xlfn.XLOOKUP(B560,[1]!TabCalc[Ticker],[1]!TabCalc[Cur]),"")</f>
        <v>USD</v>
      </c>
      <c r="K560" s="68" cm="1">
        <f t="array" ref="K560">IFERROR(IF($A560=$A559,0,SUM(_xlfn._xlws.FILTER($E560:$E570,($A560:$A570=$A560)*($J560:$J570=K$42)))),0)</f>
        <v>0</v>
      </c>
      <c r="L560" s="68" cm="1">
        <f t="array" ref="L560">IFERROR(IF($A560=$A559,0,SUM(_xlfn._xlws.FILTER($E560:$E570,($A560:$A570=$A560)*($J560:$J570=L$42)))),0)</f>
        <v>0</v>
      </c>
      <c r="M560" s="68" cm="1">
        <f t="array" ref="M560">IFERROR(IF($A560=$A559,0,SUM(_xlfn._xlws.FILTER($E560:$E570,($A560:$A570=$A560)*($J560:$J570=M$42)))),0)</f>
        <v>0</v>
      </c>
      <c r="N560" s="68" cm="1">
        <f t="array" ref="N560">IFERROR(IF($A560=$A559,0,SUM(_xlfn._xlws.FILTER($E560:$E570,($A560:$A570=$A560)*($J560:$J570=N$42)))),0)</f>
        <v>0</v>
      </c>
    </row>
    <row r="561" spans="1:14" hidden="1" x14ac:dyDescent="0.3">
      <c r="A561" s="64">
        <v>45939</v>
      </c>
      <c r="B561" s="5" t="s">
        <v>56</v>
      </c>
      <c r="C561" s="5">
        <v>2000</v>
      </c>
      <c r="D561" s="66">
        <v>-54.68</v>
      </c>
      <c r="E561" s="67">
        <f ca="1">IFERROR(C561*D561*_xlfn.XLOOKUP(B561,[1]!TabCalc[Ticker],[1]!TabCalc[Scale]),0)</f>
        <v>-109360</v>
      </c>
      <c r="F561" s="68" cm="1">
        <f t="array" aca="1" ref="F561" ca="1">IF(A561=A560,0,SUM(_xlfn._xlws.FILTER(E561:E571,A561:A571=A561)))</f>
        <v>180047.40000000002</v>
      </c>
      <c r="G561" s="69">
        <f ca="1">IF(F561&lt;&gt;0,SUM($F$43:F561),0)</f>
        <v>-1977685.9195729997</v>
      </c>
      <c r="H561" s="69" cm="1">
        <f t="array" aca="1" ref="H561" ca="1">IFERROR(IF(A561=A560,0,SUM(_xlfn._xlws.FILTER(E561:E571,(A561:A571=A561)*(E561:E571&gt;0)))),0)</f>
        <v>382743.4</v>
      </c>
      <c r="I561" s="69" cm="1">
        <f t="array" aca="1" ref="I561" ca="1">IFERROR(IF(A561=A560,0,SUM(_xlfn._xlws.FILTER(E561:E571,(A561:A571=A561)*(F561&lt;0)))),0)</f>
        <v>0</v>
      </c>
      <c r="J561" s="81" t="str">
        <f ca="1">IFERROR(_xlfn.XLOOKUP(B561,[1]!TabCalc[Ticker],[1]!TabCalc[Cur]),"")</f>
        <v>EUR</v>
      </c>
      <c r="K561" s="68" cm="1">
        <f t="array" aca="1" ref="K561" ca="1">IFERROR(IF($A561=$A560,0,SUM(_xlfn._xlws.FILTER($E561:$E571,($A561:$A571=$A561)*($J561:$J571=K$42)))),0)</f>
        <v>-109360</v>
      </c>
      <c r="L561" s="68" cm="1">
        <f t="array" aca="1" ref="L561" ca="1">IFERROR(IF($A561=$A560,0,SUM(_xlfn._xlws.FILTER($E561:$E571,($A561:$A571=$A561)*($J561:$J571=L$42)))),0)</f>
        <v>195337.40000000002</v>
      </c>
      <c r="M561" s="68" cm="1">
        <f t="array" aca="1" ref="M561" ca="1">IFERROR(IF($A561=$A560,0,SUM(_xlfn._xlws.FILTER($E561:$E571,($A561:$A571=$A561)*($J561:$J571=M$42)))),0)</f>
        <v>32270</v>
      </c>
      <c r="N561" s="68" cm="1">
        <f t="array" aca="1" ref="N561" ca="1">IFERROR(IF($A561=$A560,0,SUM(_xlfn._xlws.FILTER($E561:$E571,($A561:$A571=$A561)*($J561:$J571=N$42)))),0)</f>
        <v>61800</v>
      </c>
    </row>
    <row r="562" spans="1:14" hidden="1" x14ac:dyDescent="0.3">
      <c r="A562" s="64">
        <v>45939</v>
      </c>
      <c r="B562" s="5" t="s">
        <v>97</v>
      </c>
      <c r="C562" s="5">
        <v>1000</v>
      </c>
      <c r="D562" s="66">
        <v>61.8</v>
      </c>
      <c r="E562" s="67">
        <f ca="1">IFERROR(C562*D562*_xlfn.XLOOKUP(B562,[1]!TabCalc[Ticker],[1]!TabCalc[Scale]),0)</f>
        <v>61800</v>
      </c>
      <c r="F562" s="68" cm="1">
        <f t="array" ref="F562">IF(A562=A561,0,SUM(_xlfn._xlws.FILTER(E562:E572,A562:A572=A562)))</f>
        <v>0</v>
      </c>
      <c r="G562" s="69">
        <f>IF(F562&lt;&gt;0,SUM($F$43:F562),0)</f>
        <v>0</v>
      </c>
      <c r="H562" s="69" cm="1">
        <f t="array" ref="H562">IFERROR(IF(A562=A561,0,SUM(_xlfn._xlws.FILTER(E562:E572,(A562:A572=A562)*(E562:E572&gt;0)))),0)</f>
        <v>0</v>
      </c>
      <c r="I562" s="69" cm="1">
        <f t="array" ref="I562">IFERROR(IF(A562=A561,0,SUM(_xlfn._xlws.FILTER(E562:E572,(A562:A572=A562)*(F562&lt;0)))),0)</f>
        <v>0</v>
      </c>
      <c r="J562" s="81" t="str">
        <f ca="1">IFERROR(_xlfn.XLOOKUP(B562,[1]!TabCalc[Ticker],[1]!TabCalc[Cur]),"")</f>
        <v>CHF</v>
      </c>
      <c r="K562" s="68" cm="1">
        <f t="array" ref="K562">IFERROR(IF($A562=$A561,0,SUM(_xlfn._xlws.FILTER($E562:$E572,($A562:$A572=$A562)*($J562:$J572=K$42)))),0)</f>
        <v>0</v>
      </c>
      <c r="L562" s="68" cm="1">
        <f t="array" ref="L562">IFERROR(IF($A562=$A561,0,SUM(_xlfn._xlws.FILTER($E562:$E572,($A562:$A572=$A562)*($J562:$J572=L$42)))),0)</f>
        <v>0</v>
      </c>
      <c r="M562" s="68" cm="1">
        <f t="array" ref="M562">IFERROR(IF($A562=$A561,0,SUM(_xlfn._xlws.FILTER($E562:$E572,($A562:$A572=$A562)*($J562:$J572=M$42)))),0)</f>
        <v>0</v>
      </c>
      <c r="N562" s="68" cm="1">
        <f t="array" ref="N562">IFERROR(IF($A562=$A561,0,SUM(_xlfn._xlws.FILTER($E562:$E572,($A562:$A572=$A562)*($J562:$J572=N$42)))),0)</f>
        <v>0</v>
      </c>
    </row>
    <row r="563" spans="1:14" hidden="1" x14ac:dyDescent="0.3">
      <c r="A563" s="64">
        <v>45939</v>
      </c>
      <c r="B563" s="5" t="s">
        <v>69</v>
      </c>
      <c r="C563" s="5">
        <v>10000</v>
      </c>
      <c r="D563" s="66">
        <v>414.7</v>
      </c>
      <c r="E563" s="67">
        <f ca="1">IFERROR(C563*D563*_xlfn.XLOOKUP(B563,[1]!TabCalc[Ticker],[1]!TabCalc[Scale]),0)</f>
        <v>41470</v>
      </c>
      <c r="F563" s="68" cm="1">
        <f t="array" ref="F563">IF(A563=A562,0,SUM(_xlfn._xlws.FILTER(E563:E573,A563:A573=A563)))</f>
        <v>0</v>
      </c>
      <c r="G563" s="69">
        <f>IF(F563&lt;&gt;0,SUM($F$43:F563),0)</f>
        <v>0</v>
      </c>
      <c r="H563" s="69" cm="1">
        <f t="array" ref="H563">IFERROR(IF(A563=A562,0,SUM(_xlfn._xlws.FILTER(E563:E573,(A563:A573=A563)*(E563:E573&gt;0)))),0)</f>
        <v>0</v>
      </c>
      <c r="I563" s="69" cm="1">
        <f t="array" ref="I563">IFERROR(IF(A563=A562,0,SUM(_xlfn._xlws.FILTER(E563:E573,(A563:A573=A563)*(F563&lt;0)))),0)</f>
        <v>0</v>
      </c>
      <c r="J563" s="81" t="str">
        <f ca="1">IFERROR(_xlfn.XLOOKUP(B563,[1]!TabCalc[Ticker],[1]!TabCalc[Cur]),"")</f>
        <v>GBp</v>
      </c>
      <c r="K563" s="68" cm="1">
        <f t="array" ref="K563">IFERROR(IF($A563=$A562,0,SUM(_xlfn._xlws.FILTER($E563:$E573,($A563:$A573=$A563)*($J563:$J573=K$42)))),0)</f>
        <v>0</v>
      </c>
      <c r="L563" s="68" cm="1">
        <f t="array" ref="L563">IFERROR(IF($A563=$A562,0,SUM(_xlfn._xlws.FILTER($E563:$E573,($A563:$A573=$A563)*($J563:$J573=L$42)))),0)</f>
        <v>0</v>
      </c>
      <c r="M563" s="68" cm="1">
        <f t="array" ref="M563">IFERROR(IF($A563=$A562,0,SUM(_xlfn._xlws.FILTER($E563:$E573,($A563:$A573=$A563)*($J563:$J573=M$42)))),0)</f>
        <v>0</v>
      </c>
      <c r="N563" s="68" cm="1">
        <f t="array" ref="N563">IFERROR(IF($A563=$A562,0,SUM(_xlfn._xlws.FILTER($E563:$E573,($A563:$A573=$A563)*($J563:$J573=N$42)))),0)</f>
        <v>0</v>
      </c>
    </row>
    <row r="564" spans="1:14" hidden="1" x14ac:dyDescent="0.3">
      <c r="A564" s="64">
        <v>45939</v>
      </c>
      <c r="B564" s="5" t="s">
        <v>36</v>
      </c>
      <c r="C564" s="5">
        <v>160</v>
      </c>
      <c r="D564" s="66">
        <v>346.09</v>
      </c>
      <c r="E564" s="67">
        <f ca="1">IFERROR(C564*D564*_xlfn.XLOOKUP(B564,[1]!TabCalc[Ticker],[1]!TabCalc[Scale]),0)</f>
        <v>55374.399999999994</v>
      </c>
      <c r="F564" s="68" cm="1">
        <f t="array" ref="F564">IF(A564=A563,0,SUM(_xlfn._xlws.FILTER(E564:E574,A564:A574=A564)))</f>
        <v>0</v>
      </c>
      <c r="G564" s="69">
        <f>IF(F564&lt;&gt;0,SUM($F$43:F564),0)</f>
        <v>0</v>
      </c>
      <c r="H564" s="69" cm="1">
        <f t="array" ref="H564">IFERROR(IF(A564=A563,0,SUM(_xlfn._xlws.FILTER(E564:E574,(A564:A574=A564)*(E564:E574&gt;0)))),0)</f>
        <v>0</v>
      </c>
      <c r="I564" s="69" cm="1">
        <f t="array" ref="I564">IFERROR(IF(A564=A563,0,SUM(_xlfn._xlws.FILTER(E564:E574,(A564:A574=A564)*(F564&lt;0)))),0)</f>
        <v>0</v>
      </c>
      <c r="J564" s="81" t="str">
        <f ca="1">IFERROR(_xlfn.XLOOKUP(B564,[1]!TabCalc[Ticker],[1]!TabCalc[Cur]),"")</f>
        <v>USD</v>
      </c>
      <c r="K564" s="68" cm="1">
        <f t="array" ref="K564">IFERROR(IF($A564=$A563,0,SUM(_xlfn._xlws.FILTER($E564:$E574,($A564:$A574=$A564)*($J564:$J574=K$42)))),0)</f>
        <v>0</v>
      </c>
      <c r="L564" s="68" cm="1">
        <f t="array" ref="L564">IFERROR(IF($A564=$A563,0,SUM(_xlfn._xlws.FILTER($E564:$E574,($A564:$A574=$A564)*($J564:$J574=L$42)))),0)</f>
        <v>0</v>
      </c>
      <c r="M564" s="68" cm="1">
        <f t="array" ref="M564">IFERROR(IF($A564=$A563,0,SUM(_xlfn._xlws.FILTER($E564:$E574,($A564:$A574=$A564)*($J564:$J574=M$42)))),0)</f>
        <v>0</v>
      </c>
      <c r="N564" s="68" cm="1">
        <f t="array" ref="N564">IFERROR(IF($A564=$A563,0,SUM(_xlfn._xlws.FILTER($E564:$E574,($A564:$A574=$A564)*($J564:$J574=N$42)))),0)</f>
        <v>0</v>
      </c>
    </row>
    <row r="565" spans="1:14" hidden="1" x14ac:dyDescent="0.3">
      <c r="A565" s="64">
        <v>45939</v>
      </c>
      <c r="B565" s="5" t="s">
        <v>76</v>
      </c>
      <c r="C565" s="5">
        <v>20000</v>
      </c>
      <c r="D565" s="66">
        <v>-46</v>
      </c>
      <c r="E565" s="67">
        <f ca="1">IFERROR(C565*D565*_xlfn.XLOOKUP(B565,[1]!TabCalc[Ticker],[1]!TabCalc[Scale]),0)</f>
        <v>-9200</v>
      </c>
      <c r="F565" s="68" cm="1">
        <f t="array" ref="F565">IF(A565=A564,0,SUM(_xlfn._xlws.FILTER(E565:E575,A565:A575=A565)))</f>
        <v>0</v>
      </c>
      <c r="G565" s="69">
        <f>IF(F565&lt;&gt;0,SUM($F$43:F565),0)</f>
        <v>0</v>
      </c>
      <c r="H565" s="69" cm="1">
        <f t="array" ref="H565">IFERROR(IF(A565=A564,0,SUM(_xlfn._xlws.FILTER(E565:E575,(A565:A575=A565)*(E565:E575&gt;0)))),0)</f>
        <v>0</v>
      </c>
      <c r="I565" s="69" cm="1">
        <f t="array" ref="I565">IFERROR(IF(A565=A564,0,SUM(_xlfn._xlws.FILTER(E565:E575,(A565:A575=A565)*(F565&lt;0)))),0)</f>
        <v>0</v>
      </c>
      <c r="J565" s="81" t="str">
        <f ca="1">IFERROR(_xlfn.XLOOKUP(B565,[1]!TabCalc[Ticker],[1]!TabCalc[Cur]),"")</f>
        <v>GBp</v>
      </c>
      <c r="K565" s="68" cm="1">
        <f t="array" ref="K565">IFERROR(IF($A565=$A564,0,SUM(_xlfn._xlws.FILTER($E565:$E575,($A565:$A575=$A565)*($J565:$J575=K$42)))),0)</f>
        <v>0</v>
      </c>
      <c r="L565" s="68" cm="1">
        <f t="array" ref="L565">IFERROR(IF($A565=$A564,0,SUM(_xlfn._xlws.FILTER($E565:$E575,($A565:$A575=$A565)*($J565:$J575=L$42)))),0)</f>
        <v>0</v>
      </c>
      <c r="M565" s="68" cm="1">
        <f t="array" ref="M565">IFERROR(IF($A565=$A564,0,SUM(_xlfn._xlws.FILTER($E565:$E575,($A565:$A575=$A565)*($J565:$J575=M$42)))),0)</f>
        <v>0</v>
      </c>
      <c r="N565" s="68" cm="1">
        <f t="array" ref="N565">IFERROR(IF($A565=$A564,0,SUM(_xlfn._xlws.FILTER($E565:$E575,($A565:$A575=$A565)*($J565:$J575=N$42)))),0)</f>
        <v>0</v>
      </c>
    </row>
    <row r="566" spans="1:14" hidden="1" x14ac:dyDescent="0.3">
      <c r="A566" s="64">
        <v>45939</v>
      </c>
      <c r="B566" s="5" t="s">
        <v>35</v>
      </c>
      <c r="C566" s="5">
        <v>500</v>
      </c>
      <c r="D566" s="5">
        <v>86.22</v>
      </c>
      <c r="E566" s="67">
        <f ca="1">IFERROR(C566*D566*_xlfn.XLOOKUP(B566,[1]!TabCalc[Ticker],[1]!TabCalc[Scale]),0)</f>
        <v>43110</v>
      </c>
      <c r="F566" s="68" cm="1">
        <f t="array" ref="F566">IF(A566=A565,0,SUM(_xlfn._xlws.FILTER(E566:E576,A566:A576=A566)))</f>
        <v>0</v>
      </c>
      <c r="G566" s="69">
        <f>IF(F566&lt;&gt;0,SUM($F$43:F566),0)</f>
        <v>0</v>
      </c>
      <c r="H566" s="69" cm="1">
        <f t="array" ref="H566">IFERROR(IF(A566=A565,0,SUM(_xlfn._xlws.FILTER(E566:E576,(A566:A576=A566)*(E566:E576&gt;0)))),0)</f>
        <v>0</v>
      </c>
      <c r="I566" s="69" cm="1">
        <f t="array" ref="I566">IFERROR(IF(A566=A565,0,SUM(_xlfn._xlws.FILTER(E566:E576,(A566:A576=A566)*(F566&lt;0)))),0)</f>
        <v>0</v>
      </c>
      <c r="J566" s="81" t="str">
        <f ca="1">IFERROR(_xlfn.XLOOKUP(B566,[1]!TabCalc[Ticker],[1]!TabCalc[Cur]),"")</f>
        <v>USD</v>
      </c>
      <c r="K566" s="68" cm="1">
        <f t="array" ref="K566">IFERROR(IF($A566=$A565,0,SUM(_xlfn._xlws.FILTER($E566:$E576,($A566:$A576=$A566)*($J566:$J576=K$42)))),0)</f>
        <v>0</v>
      </c>
      <c r="L566" s="68" cm="1">
        <f t="array" ref="L566">IFERROR(IF($A566=$A565,0,SUM(_xlfn._xlws.FILTER($E566:$E576,($A566:$A576=$A566)*($J566:$J576=L$42)))),0)</f>
        <v>0</v>
      </c>
      <c r="M566" s="68" cm="1">
        <f t="array" ref="M566">IFERROR(IF($A566=$A565,0,SUM(_xlfn._xlws.FILTER($E566:$E576,($A566:$A576=$A566)*($J566:$J576=M$42)))),0)</f>
        <v>0</v>
      </c>
      <c r="N566" s="68" cm="1">
        <f t="array" ref="N566">IFERROR(IF($A566=$A565,0,SUM(_xlfn._xlws.FILTER($E566:$E576,($A566:$A576=$A566)*($J566:$J576=N$42)))),0)</f>
        <v>0</v>
      </c>
    </row>
    <row r="567" spans="1:14" hidden="1" x14ac:dyDescent="0.3">
      <c r="A567" s="64">
        <v>45939</v>
      </c>
      <c r="B567" s="5" t="s">
        <v>55</v>
      </c>
      <c r="C567" s="5">
        <v>200</v>
      </c>
      <c r="D567" s="5">
        <v>253.62</v>
      </c>
      <c r="E567" s="67">
        <f ca="1">IFERROR(C567*D567*_xlfn.XLOOKUP(B567,[1]!TabCalc[Ticker],[1]!TabCalc[Scale]),0)</f>
        <v>50724</v>
      </c>
      <c r="F567" s="68" cm="1">
        <f t="array" ref="F567">IF(A567=A566,0,SUM(_xlfn._xlws.FILTER(E567:E577,A567:A577=A567)))</f>
        <v>0</v>
      </c>
      <c r="G567" s="69">
        <f>IF(F567&lt;&gt;0,SUM($F$43:F567),0)</f>
        <v>0</v>
      </c>
      <c r="H567" s="69" cm="1">
        <f t="array" ref="H567">IFERROR(IF(A567=A566,0,SUM(_xlfn._xlws.FILTER(E567:E577,(A567:A577=A567)*(E567:E577&gt;0)))),0)</f>
        <v>0</v>
      </c>
      <c r="I567" s="69" cm="1">
        <f t="array" ref="I567">IFERROR(IF(A567=A566,0,SUM(_xlfn._xlws.FILTER(E567:E577,(A567:A577=A567)*(F567&lt;0)))),0)</f>
        <v>0</v>
      </c>
      <c r="J567" s="81" t="str">
        <f ca="1">IFERROR(_xlfn.XLOOKUP(B567,[1]!TabCalc[Ticker],[1]!TabCalc[Cur]),"")</f>
        <v>USD</v>
      </c>
      <c r="K567" s="68" cm="1">
        <f t="array" ref="K567">IFERROR(IF($A567=$A566,0,SUM(_xlfn._xlws.FILTER($E567:$E577,($A567:$A577=$A567)*($J567:$J577=K$42)))),0)</f>
        <v>0</v>
      </c>
      <c r="L567" s="68" cm="1">
        <f t="array" ref="L567">IFERROR(IF($A567=$A566,0,SUM(_xlfn._xlws.FILTER($E567:$E577,($A567:$A577=$A567)*($J567:$J577=L$42)))),0)</f>
        <v>0</v>
      </c>
      <c r="M567" s="68" cm="1">
        <f t="array" ref="M567">IFERROR(IF($A567=$A566,0,SUM(_xlfn._xlws.FILTER($E567:$E577,($A567:$A577=$A567)*($J567:$J577=M$42)))),0)</f>
        <v>0</v>
      </c>
      <c r="N567" s="68" cm="1">
        <f t="array" ref="N567">IFERROR(IF($A567=$A566,0,SUM(_xlfn._xlws.FILTER($E567:$E577,($A567:$A577=$A567)*($J567:$J577=N$42)))),0)</f>
        <v>0</v>
      </c>
    </row>
    <row r="568" spans="1:14" hidden="1" x14ac:dyDescent="0.3">
      <c r="A568" s="64">
        <v>45939</v>
      </c>
      <c r="B568" s="5" t="s">
        <v>95</v>
      </c>
      <c r="C568" s="5">
        <v>100</v>
      </c>
      <c r="D568" s="66">
        <v>1235.33</v>
      </c>
      <c r="E568" s="67">
        <f ca="1">IFERROR(C568*D568*_xlfn.XLOOKUP(B568,[1]!TabCalc[Ticker],[1]!TabCalc[Scale]),0)</f>
        <v>123533</v>
      </c>
      <c r="F568" s="68" cm="1">
        <f t="array" ref="F568">IF(A568=A567,0,SUM(_xlfn._xlws.FILTER(E568:E578,A568:A578=A568)))</f>
        <v>0</v>
      </c>
      <c r="G568" s="69">
        <f>IF(F568&lt;&gt;0,SUM($F$43:F568),0)</f>
        <v>0</v>
      </c>
      <c r="H568" s="69" cm="1">
        <f t="array" ref="H568">IFERROR(IF(A568=A567,0,SUM(_xlfn._xlws.FILTER(E568:E578,(A568:A578=A568)*(E568:E578&gt;0)))),0)</f>
        <v>0</v>
      </c>
      <c r="I568" s="69" cm="1">
        <f t="array" ref="I568">IFERROR(IF(A568=A567,0,SUM(_xlfn._xlws.FILTER(E568:E578,(A568:A578=A568)*(F568&lt;0)))),0)</f>
        <v>0</v>
      </c>
      <c r="J568" s="81" t="str">
        <f ca="1">IFERROR(_xlfn.XLOOKUP(B568,[1]!TabCalc[Ticker],[1]!TabCalc[Cur]),"")</f>
        <v>USD</v>
      </c>
      <c r="K568" s="68" cm="1">
        <f t="array" ref="K568">IFERROR(IF($A568=$A567,0,SUM(_xlfn._xlws.FILTER($E568:$E578,($A568:$A578=$A568)*($J568:$J578=K$42)))),0)</f>
        <v>0</v>
      </c>
      <c r="L568" s="68" cm="1">
        <f t="array" ref="L568">IFERROR(IF($A568=$A567,0,SUM(_xlfn._xlws.FILTER($E568:$E578,($A568:$A578=$A568)*($J568:$J578=L$42)))),0)</f>
        <v>0</v>
      </c>
      <c r="M568" s="68" cm="1">
        <f t="array" ref="M568">IFERROR(IF($A568=$A567,0,SUM(_xlfn._xlws.FILTER($E568:$E578,($A568:$A578=$A568)*($J568:$J578=M$42)))),0)</f>
        <v>0</v>
      </c>
      <c r="N568" s="68" cm="1">
        <f t="array" ref="N568">IFERROR(IF($A568=$A567,0,SUM(_xlfn._xlws.FILTER($E568:$E578,($A568:$A578=$A568)*($J568:$J578=N$42)))),0)</f>
        <v>0</v>
      </c>
    </row>
    <row r="569" spans="1:14" hidden="1" x14ac:dyDescent="0.3">
      <c r="A569" s="64">
        <v>45939</v>
      </c>
      <c r="B569" s="5" t="s">
        <v>39</v>
      </c>
      <c r="C569" s="5">
        <v>990</v>
      </c>
      <c r="D569" s="66">
        <v>6.8</v>
      </c>
      <c r="E569" s="67">
        <f ca="1">IFERROR(C569*D569*_xlfn.XLOOKUP(B569,[1]!TabCalc[Ticker],[1]!TabCalc[Scale]),0)</f>
        <v>6732</v>
      </c>
      <c r="F569" s="68" cm="1">
        <f t="array" ref="F569">IF(A569=A568,0,SUM(_xlfn._xlws.FILTER(E569:E579,A569:A579=A569)))</f>
        <v>0</v>
      </c>
      <c r="G569" s="69">
        <f>IF(F569&lt;&gt;0,SUM($F$43:F569),0)</f>
        <v>0</v>
      </c>
      <c r="H569" s="69" cm="1">
        <f t="array" ref="H569">IFERROR(IF(A569=A568,0,SUM(_xlfn._xlws.FILTER(E569:E579,(A569:A579=A569)*(E569:E579&gt;0)))),0)</f>
        <v>0</v>
      </c>
      <c r="I569" s="69" cm="1">
        <f t="array" ref="I569">IFERROR(IF(A569=A568,0,SUM(_xlfn._xlws.FILTER(E569:E579,(A569:A579=A569)*(F569&lt;0)))),0)</f>
        <v>0</v>
      </c>
      <c r="J569" s="81" t="str">
        <f ca="1">IFERROR(_xlfn.XLOOKUP(B569,[1]!TabCalc[Ticker],[1]!TabCalc[Cur]),"")</f>
        <v>USD</v>
      </c>
      <c r="K569" s="68" cm="1">
        <f t="array" ref="K569">IFERROR(IF($A569=$A568,0,SUM(_xlfn._xlws.FILTER($E569:$E579,($A569:$A579=$A569)*($J569:$J579=K$42)))),0)</f>
        <v>0</v>
      </c>
      <c r="L569" s="68" cm="1">
        <f t="array" ref="L569">IFERROR(IF($A569=$A568,0,SUM(_xlfn._xlws.FILTER($E569:$E579,($A569:$A579=$A569)*($J569:$J579=L$42)))),0)</f>
        <v>0</v>
      </c>
      <c r="M569" s="68" cm="1">
        <f t="array" ref="M569">IFERROR(IF($A569=$A568,0,SUM(_xlfn._xlws.FILTER($E569:$E579,($A569:$A579=$A569)*($J569:$J579=M$42)))),0)</f>
        <v>0</v>
      </c>
      <c r="N569" s="68" cm="1">
        <f t="array" ref="N569">IFERROR(IF($A569=$A568,0,SUM(_xlfn._xlws.FILTER($E569:$E579,($A569:$A579=$A569)*($J569:$J579=N$42)))),0)</f>
        <v>0</v>
      </c>
    </row>
    <row r="570" spans="1:14" hidden="1" x14ac:dyDescent="0.3">
      <c r="A570" s="64">
        <v>45939</v>
      </c>
      <c r="B570" s="5" t="s">
        <v>108</v>
      </c>
      <c r="C570" s="5">
        <v>400</v>
      </c>
      <c r="D570" s="66">
        <v>-127.09</v>
      </c>
      <c r="E570" s="67">
        <f ca="1">IFERROR(C570*D570*_xlfn.XLOOKUP(B570,[1]!TabCalc[Ticker],[1]!TabCalc[Scale]),0)</f>
        <v>-50836</v>
      </c>
      <c r="F570" s="68" cm="1">
        <f t="array" ref="F570">IF(A570=A569,0,SUM(_xlfn._xlws.FILTER(E570:E580,A570:A580=A570)))</f>
        <v>0</v>
      </c>
      <c r="G570" s="69">
        <f>IF(F570&lt;&gt;0,SUM($F$43:F570),0)</f>
        <v>0</v>
      </c>
      <c r="H570" s="69" cm="1">
        <f t="array" ref="H570">IFERROR(IF(A570=A569,0,SUM(_xlfn._xlws.FILTER(E570:E580,(A570:A580=A570)*(E570:E580&gt;0)))),0)</f>
        <v>0</v>
      </c>
      <c r="I570" s="69" cm="1">
        <f t="array" ref="I570">IFERROR(IF(A570=A569,0,SUM(_xlfn._xlws.FILTER(E570:E580,(A570:A580=A570)*(F570&lt;0)))),0)</f>
        <v>0</v>
      </c>
      <c r="J570" s="81" t="str">
        <f ca="1">IFERROR(_xlfn.XLOOKUP(B570,[1]!TabCalc[Ticker],[1]!TabCalc[Cur]),"")</f>
        <v>USD</v>
      </c>
      <c r="K570" s="68" cm="1">
        <f t="array" ref="K570">IFERROR(IF($A570=$A569,0,SUM(_xlfn._xlws.FILTER($E570:$E580,($A570:$A580=$A570)*($J570:$J580=K$42)))),0)</f>
        <v>0</v>
      </c>
      <c r="L570" s="68" cm="1">
        <f t="array" ref="L570">IFERROR(IF($A570=$A569,0,SUM(_xlfn._xlws.FILTER($E570:$E580,($A570:$A580=$A570)*($J570:$J580=L$42)))),0)</f>
        <v>0</v>
      </c>
      <c r="M570" s="68" cm="1">
        <f t="array" ref="M570">IFERROR(IF($A570=$A569,0,SUM(_xlfn._xlws.FILTER($E570:$E580,($A570:$A580=$A570)*($J570:$J580=M$42)))),0)</f>
        <v>0</v>
      </c>
      <c r="N570" s="68" cm="1">
        <f t="array" ref="N570">IFERROR(IF($A570=$A569,0,SUM(_xlfn._xlws.FILTER($E570:$E580,($A570:$A580=$A570)*($J570:$J580=N$42)))),0)</f>
        <v>0</v>
      </c>
    </row>
    <row r="571" spans="1:14" hidden="1" x14ac:dyDescent="0.3">
      <c r="A571" s="64">
        <v>45939</v>
      </c>
      <c r="B571" s="5" t="s">
        <v>117</v>
      </c>
      <c r="C571" s="5">
        <v>5000</v>
      </c>
      <c r="D571" s="66">
        <v>-6.66</v>
      </c>
      <c r="E571" s="67">
        <f ca="1">IFERROR(C571*D571*_xlfn.XLOOKUP(B571,[1]!TabCalc[Ticker],[1]!TabCalc[Scale]),0)</f>
        <v>-33300</v>
      </c>
      <c r="F571" s="68" cm="1">
        <f t="array" ref="F571">IF(A571=A570,0,SUM(_xlfn._xlws.FILTER(E571:E581,A571:A581=A571)))</f>
        <v>0</v>
      </c>
      <c r="G571" s="69">
        <f>IF(F571&lt;&gt;0,SUM($F$43:F571),0)</f>
        <v>0</v>
      </c>
      <c r="H571" s="69" cm="1">
        <f t="array" ref="H571">IFERROR(IF(A571=A570,0,SUM(_xlfn._xlws.FILTER(E571:E581,(A571:A581=A571)*(E571:E581&gt;0)))),0)</f>
        <v>0</v>
      </c>
      <c r="I571" s="69" cm="1">
        <f t="array" ref="I571">IFERROR(IF(A571=A570,0,SUM(_xlfn._xlws.FILTER(E571:E581,(A571:A581=A571)*(F571&lt;0)))),0)</f>
        <v>0</v>
      </c>
      <c r="J571" s="81" t="str">
        <f ca="1">IFERROR(_xlfn.XLOOKUP(B571,[1]!TabCalc[Ticker],[1]!TabCalc[Cur]),"")</f>
        <v>USD</v>
      </c>
      <c r="K571" s="68" cm="1">
        <f t="array" ref="K571">IFERROR(IF($A571=$A570,0,SUM(_xlfn._xlws.FILTER($E571:$E581,($A571:$A581=$A571)*($J571:$J581=K$42)))),0)</f>
        <v>0</v>
      </c>
      <c r="L571" s="68" cm="1">
        <f t="array" ref="L571">IFERROR(IF($A571=$A570,0,SUM(_xlfn._xlws.FILTER($E571:$E581,($A571:$A581=$A571)*($J571:$J581=L$42)))),0)</f>
        <v>0</v>
      </c>
      <c r="M571" s="68" cm="1">
        <f t="array" ref="M571">IFERROR(IF($A571=$A570,0,SUM(_xlfn._xlws.FILTER($E571:$E581,($A571:$A581=$A571)*($J571:$J581=M$42)))),0)</f>
        <v>0</v>
      </c>
      <c r="N571" s="68" cm="1">
        <f t="array" ref="N571">IFERROR(IF($A571=$A570,0,SUM(_xlfn._xlws.FILTER($E571:$E581,($A571:$A581=$A571)*($J571:$J581=N$42)))),0)</f>
        <v>0</v>
      </c>
    </row>
    <row r="572" spans="1:14" hidden="1" x14ac:dyDescent="0.3">
      <c r="A572" s="70">
        <v>45940</v>
      </c>
      <c r="B572" s="70" t="s">
        <v>90</v>
      </c>
      <c r="C572" s="6">
        <v>200</v>
      </c>
      <c r="D572" s="19">
        <v>237.8</v>
      </c>
      <c r="E572" s="67">
        <f ca="1">IFERROR(C572*D572*_xlfn.XLOOKUP(B572,[1]!TabCalc[Ticker],[1]!TabCalc[Scale]),0)</f>
        <v>47560</v>
      </c>
      <c r="F572" s="68" cm="1">
        <f t="array" aca="1" ref="F572" ca="1">IF(A572=A571,0,SUM(_xlfn._xlws.FILTER(E572:E582,A572:A582=A572)))</f>
        <v>-272301.7</v>
      </c>
      <c r="G572" s="69">
        <f ca="1">IF(F572&lt;&gt;0,SUM($F$43:F572),0)</f>
        <v>-2249987.6195729999</v>
      </c>
      <c r="H572" s="69" cm="1">
        <f t="array" aca="1" ref="H572" ca="1">IFERROR(IF(A572=A571,0,SUM(_xlfn._xlws.FILTER(E572:E582,(A572:A582=A572)*(E572:E582&gt;0)))),0)</f>
        <v>67660.600000000006</v>
      </c>
      <c r="I572" s="69" cm="1">
        <f t="array" aca="1" ref="I572" ca="1">IFERROR(IF(A572=A571,0,SUM(_xlfn._xlws.FILTER(E572:E582,(A572:A582=A572)*(F572&lt;0)))),0)</f>
        <v>-272301.7</v>
      </c>
      <c r="J572" s="81" t="str">
        <f ca="1">IFERROR(_xlfn.XLOOKUP(B572,[1]!TabCalc[Ticker],[1]!TabCalc[Cur]),"")</f>
        <v>EUR</v>
      </c>
      <c r="K572" s="68" cm="1">
        <f t="array" aca="1" ref="K572" ca="1">IFERROR(IF($A572=$A571,0,SUM(_xlfn._xlws.FILTER($E572:$E582,($A572:$A582=$A572)*($J572:$J582=K$42)))),0)</f>
        <v>-115220</v>
      </c>
      <c r="L572" s="68" cm="1">
        <f t="array" aca="1" ref="L572" ca="1">IFERROR(IF($A572=$A571,0,SUM(_xlfn._xlws.FILTER($E572:$E582,($A572:$A582=$A572)*($J572:$J582=L$42)))),0)</f>
        <v>-152501.69999999998</v>
      </c>
      <c r="M572" s="68" cm="1">
        <f t="array" aca="1" ref="M572" ca="1">IFERROR(IF($A572=$A571,0,SUM(_xlfn._xlws.FILTER($E572:$E582,($A572:$A582=$A572)*($J572:$J582=M$42)))),0)</f>
        <v>-4580</v>
      </c>
      <c r="N572" s="68" cm="1">
        <f t="array" aca="1" ref="N572" ca="1">IFERROR(IF($A572=$A571,0,SUM(_xlfn._xlws.FILTER($E572:$E582,($A572:$A582=$A572)*($J572:$J582=N$42)))),0)</f>
        <v>0</v>
      </c>
    </row>
    <row r="573" spans="1:14" hidden="1" x14ac:dyDescent="0.3">
      <c r="A573" s="70">
        <v>45940</v>
      </c>
      <c r="B573" s="70" t="s">
        <v>76</v>
      </c>
      <c r="C573" s="6">
        <v>10000</v>
      </c>
      <c r="D573" s="19">
        <v>-45.8</v>
      </c>
      <c r="E573" s="67">
        <f ca="1">IFERROR(C573*D573*_xlfn.XLOOKUP(B573,[1]!TabCalc[Ticker],[1]!TabCalc[Scale]),0)</f>
        <v>-4580</v>
      </c>
      <c r="F573" s="68" cm="1">
        <f t="array" ref="F573">IF(A573=A572,0,SUM(_xlfn._xlws.FILTER(E573:E583,A573:A583=A573)))</f>
        <v>0</v>
      </c>
      <c r="G573" s="69">
        <f>IF(F573&lt;&gt;0,SUM($F$43:F573),0)</f>
        <v>0</v>
      </c>
      <c r="H573" s="69" cm="1">
        <f t="array" ref="H573">IFERROR(IF(A573=A572,0,SUM(_xlfn._xlws.FILTER(E573:E583,(A573:A583=A573)*(E573:E583&gt;0)))),0)</f>
        <v>0</v>
      </c>
      <c r="I573" s="69" cm="1">
        <f t="array" ref="I573">IFERROR(IF(A573=A572,0,SUM(_xlfn._xlws.FILTER(E573:E583,(A573:A583=A573)*(F573&lt;0)))),0)</f>
        <v>0</v>
      </c>
      <c r="J573" s="81" t="str">
        <f ca="1">IFERROR(_xlfn.XLOOKUP(B573,[1]!TabCalc[Ticker],[1]!TabCalc[Cur]),"")</f>
        <v>GBp</v>
      </c>
      <c r="K573" s="68" cm="1">
        <f t="array" ref="K573">IFERROR(IF($A573=$A572,0,SUM(_xlfn._xlws.FILTER($E573:$E583,($A573:$A583=$A573)*($J573:$J583=K$42)))),0)</f>
        <v>0</v>
      </c>
      <c r="L573" s="68" cm="1">
        <f t="array" ref="L573">IFERROR(IF($A573=$A572,0,SUM(_xlfn._xlws.FILTER($E573:$E583,($A573:$A583=$A573)*($J573:$J583=L$42)))),0)</f>
        <v>0</v>
      </c>
      <c r="M573" s="68" cm="1">
        <f t="array" ref="M573">IFERROR(IF($A573=$A572,0,SUM(_xlfn._xlws.FILTER($E573:$E583,($A573:$A583=$A573)*($J573:$J583=M$42)))),0)</f>
        <v>0</v>
      </c>
      <c r="N573" s="68" cm="1">
        <f t="array" ref="N573">IFERROR(IF($A573=$A572,0,SUM(_xlfn._xlws.FILTER($E573:$E583,($A573:$A583=$A573)*($J573:$J583=N$42)))),0)</f>
        <v>0</v>
      </c>
    </row>
    <row r="574" spans="1:14" hidden="1" x14ac:dyDescent="0.3">
      <c r="A574" s="70">
        <v>45941</v>
      </c>
      <c r="B574" s="70" t="s">
        <v>76</v>
      </c>
      <c r="C574" s="6">
        <v>10000</v>
      </c>
      <c r="D574" s="19">
        <v>-45.6</v>
      </c>
      <c r="E574" s="67">
        <f ca="1">IFERROR(C574*D574*_xlfn.XLOOKUP(B574,[1]!TabCalc[Ticker],[1]!TabCalc[Scale]),0)</f>
        <v>-4560</v>
      </c>
      <c r="F574" s="68"/>
      <c r="G574" s="69"/>
      <c r="H574" s="69"/>
      <c r="I574" s="69"/>
      <c r="J574" s="81" t="str">
        <f ca="1">IFERROR(_xlfn.XLOOKUP(B574,[1]!TabCalc[Ticker],[1]!TabCalc[Cur]),"")</f>
        <v>GBp</v>
      </c>
      <c r="K574" s="68"/>
      <c r="L574" s="68"/>
      <c r="M574" s="68"/>
      <c r="N574" s="68" cm="1">
        <f t="array" aca="1" ref="N574" ca="1">IFERROR(IF($A574=$A573,0,SUM(_xlfn._xlws.FILTER($E574:$E584,($A574:$A584=$A574)*($J574:$J584=N$42)))),0)</f>
        <v>0</v>
      </c>
    </row>
    <row r="575" spans="1:14" hidden="1" x14ac:dyDescent="0.3">
      <c r="A575" s="70">
        <v>45940</v>
      </c>
      <c r="B575" s="70" t="s">
        <v>34</v>
      </c>
      <c r="C575" s="6">
        <v>4000</v>
      </c>
      <c r="D575" s="19">
        <v>-25.74</v>
      </c>
      <c r="E575" s="67">
        <f ca="1">IFERROR(C575*D575*_xlfn.XLOOKUP(B575,[1]!TabCalc[Ticker],[1]!TabCalc[Scale]),0)</f>
        <v>-102960</v>
      </c>
      <c r="F575" s="68"/>
      <c r="G575" s="69"/>
      <c r="H575" s="69"/>
      <c r="I575" s="69"/>
      <c r="J575" s="81" t="str">
        <f ca="1">IFERROR(_xlfn.XLOOKUP(B575,[1]!TabCalc[Ticker],[1]!TabCalc[Cur]),"")</f>
        <v>USD</v>
      </c>
      <c r="K575" s="68"/>
      <c r="L575" s="68"/>
      <c r="M575" s="68"/>
      <c r="N575" s="68" cm="1">
        <f t="array" aca="1" ref="N575" ca="1">IFERROR(IF($A575=$A574,0,SUM(_xlfn._xlws.FILTER($E575:$E585,($A575:$A585=$A575)*($J575:$J585=N$42)))),0)</f>
        <v>0</v>
      </c>
    </row>
    <row r="576" spans="1:14" hidden="1" x14ac:dyDescent="0.3">
      <c r="A576" s="70">
        <v>45940</v>
      </c>
      <c r="B576" s="70" t="s">
        <v>36</v>
      </c>
      <c r="C576" s="6">
        <v>210</v>
      </c>
      <c r="D576" s="19">
        <v>-331.63</v>
      </c>
      <c r="E576" s="67">
        <f ca="1">IFERROR(C576*D576*_xlfn.XLOOKUP(B576,[1]!TabCalc[Ticker],[1]!TabCalc[Scale]),0)</f>
        <v>-69642.3</v>
      </c>
      <c r="F576" s="68" cm="1">
        <f t="array" ref="F576">IF(A576=A575,0,SUM(_xlfn._xlws.FILTER(E576:E586,A576:A586=A576)))</f>
        <v>0</v>
      </c>
      <c r="G576" s="69">
        <f>IF(F576&lt;&gt;0,SUM($F$43:F576),0)</f>
        <v>0</v>
      </c>
      <c r="H576" s="69" cm="1">
        <f t="array" ref="H576">IFERROR(IF(A576=A575,0,SUM(_xlfn._xlws.FILTER(E576:E586,(A576:A586=A576)*(E576:E586&gt;0)))),0)</f>
        <v>0</v>
      </c>
      <c r="I576" s="69" cm="1">
        <f t="array" ref="I576">IFERROR(IF(A576=A575,0,SUM(_xlfn._xlws.FILTER(E576:E586,(A576:A586=A576)*(F576&lt;0)))),0)</f>
        <v>0</v>
      </c>
      <c r="J576" s="81" t="str">
        <f ca="1">IFERROR(_xlfn.XLOOKUP(B576,[1]!TabCalc[Ticker],[1]!TabCalc[Cur]),"")</f>
        <v>USD</v>
      </c>
      <c r="K576" s="68" cm="1">
        <f t="array" ref="K576">IFERROR(IF($A576=$A575,0,SUM(_xlfn._xlws.FILTER($E576:$E586,($A576:$A586=$A576)*($J576:$J586=K$42)))),0)</f>
        <v>0</v>
      </c>
      <c r="L576" s="68" cm="1">
        <f t="array" ref="L576">IFERROR(IF($A576=$A575,0,SUM(_xlfn._xlws.FILTER($E576:$E586,($A576:$A586=$A576)*($J576:$J586=L$42)))),0)</f>
        <v>0</v>
      </c>
      <c r="M576" s="68" cm="1">
        <f t="array" ref="M576">IFERROR(IF($A576=$A575,0,SUM(_xlfn._xlws.FILTER($E576:$E586,($A576:$A586=$A576)*($J576:$J586=M$42)))),0)</f>
        <v>0</v>
      </c>
      <c r="N576" s="68" cm="1">
        <f t="array" ref="N576">IFERROR(IF($A576=$A575,0,SUM(_xlfn._xlws.FILTER($E576:$E586,($A576:$A586=$A576)*($J576:$J586=N$42)))),0)</f>
        <v>0</v>
      </c>
    </row>
    <row r="577" spans="1:14" hidden="1" x14ac:dyDescent="0.3">
      <c r="A577" s="70">
        <v>45940</v>
      </c>
      <c r="B577" s="70" t="s">
        <v>84</v>
      </c>
      <c r="C577" s="6">
        <v>6000</v>
      </c>
      <c r="D577" s="19">
        <v>3.3500999999999999</v>
      </c>
      <c r="E577" s="67">
        <f ca="1">IFERROR(C577*D577*_xlfn.XLOOKUP(B577,[1]!TabCalc[Ticker],[1]!TabCalc[Scale]),0)</f>
        <v>20100.599999999999</v>
      </c>
      <c r="F577" s="68" cm="1">
        <f t="array" ref="F577">IF(A577=A576,0,SUM(_xlfn._xlws.FILTER(E577:E587,A577:A587=A577)))</f>
        <v>0</v>
      </c>
      <c r="G577" s="69">
        <f>IF(F577&lt;&gt;0,SUM($F$43:F577),0)</f>
        <v>0</v>
      </c>
      <c r="H577" s="69" cm="1">
        <f t="array" ref="H577">IFERROR(IF(A577=A576,0,SUM(_xlfn._xlws.FILTER(E577:E587,(A577:A587=A577)*(E577:E587&gt;0)))),0)</f>
        <v>0</v>
      </c>
      <c r="I577" s="69" cm="1">
        <f t="array" ref="I577">IFERROR(IF(A577=A576,0,SUM(_xlfn._xlws.FILTER(E577:E587,(A577:A587=A577)*(F577&lt;0)))),0)</f>
        <v>0</v>
      </c>
      <c r="J577" s="81" t="str">
        <f ca="1">IFERROR(_xlfn.XLOOKUP(B577,[1]!TabCalc[Ticker],[1]!TabCalc[Cur]),"")</f>
        <v>USD</v>
      </c>
      <c r="K577" s="68" cm="1">
        <f t="array" ref="K577">IFERROR(IF($A577=$A576,0,SUM(_xlfn._xlws.FILTER($E577:$E587,($A577:$A587=$A577)*($J577:$J587=K$42)))),0)</f>
        <v>0</v>
      </c>
      <c r="L577" s="68" cm="1">
        <f t="array" ref="L577">IFERROR(IF($A577=$A576,0,SUM(_xlfn._xlws.FILTER($E577:$E587,($A577:$A587=$A577)*($J577:$J587=L$42)))),0)</f>
        <v>0</v>
      </c>
      <c r="M577" s="68" cm="1">
        <f t="array" ref="M577">IFERROR(IF($A577=$A576,0,SUM(_xlfn._xlws.FILTER($E577:$E587,($A577:$A587=$A577)*($J577:$J587=M$42)))),0)</f>
        <v>0</v>
      </c>
      <c r="N577" s="68" cm="1">
        <f t="array" ref="N577">IFERROR(IF($A577=$A576,0,SUM(_xlfn._xlws.FILTER($E577:$E587,($A577:$A587=$A577)*($J577:$J587=N$42)))),0)</f>
        <v>0</v>
      </c>
    </row>
    <row r="578" spans="1:14" hidden="1" x14ac:dyDescent="0.3">
      <c r="A578" s="70">
        <v>45940</v>
      </c>
      <c r="B578" s="70" t="s">
        <v>30</v>
      </c>
      <c r="C578" s="6">
        <v>200</v>
      </c>
      <c r="D578" s="19">
        <v>-813.9</v>
      </c>
      <c r="E578" s="67">
        <f ca="1">IFERROR(C578*D578*_xlfn.XLOOKUP(B578,[1]!TabCalc[Ticker],[1]!TabCalc[Scale]),0)</f>
        <v>-162780</v>
      </c>
      <c r="F578" s="68" cm="1">
        <f t="array" ref="F578">IF(A578=A577,0,SUM(_xlfn._xlws.FILTER(E578:E588,A578:A588=A578)))</f>
        <v>0</v>
      </c>
      <c r="G578" s="69">
        <f>IF(F578&lt;&gt;0,SUM($F$43:F578),0)</f>
        <v>0</v>
      </c>
      <c r="H578" s="69" cm="1">
        <f t="array" ref="H578">IFERROR(IF(A578=A577,0,SUM(_xlfn._xlws.FILTER(E578:E588,(A578:A588=A578)*(E578:E588&gt;0)))),0)</f>
        <v>0</v>
      </c>
      <c r="I578" s="69" cm="1">
        <f t="array" ref="I578">IFERROR(IF(A578=A577,0,SUM(_xlfn._xlws.FILTER(E578:E588,(A578:A588=A578)*(F578&lt;0)))),0)</f>
        <v>0</v>
      </c>
      <c r="J578" s="81" t="str">
        <f ca="1">IFERROR(_xlfn.XLOOKUP(B578,[1]!TabCalc[Ticker],[1]!TabCalc[Cur]),"")</f>
        <v>EUR</v>
      </c>
      <c r="K578" s="68" cm="1">
        <f t="array" ref="K578">IFERROR(IF($A578=$A577,0,SUM(_xlfn._xlws.FILTER($E578:$E588,($A578:$A588=$A578)*($J578:$J588=K$42)))),0)</f>
        <v>0</v>
      </c>
      <c r="L578" s="68" cm="1">
        <f t="array" ref="L578">IFERROR(IF($A578=$A577,0,SUM(_xlfn._xlws.FILTER($E578:$E588,($A578:$A588=$A578)*($J578:$J588=L$42)))),0)</f>
        <v>0</v>
      </c>
      <c r="M578" s="68" cm="1">
        <f t="array" ref="M578">IFERROR(IF($A578=$A577,0,SUM(_xlfn._xlws.FILTER($E578:$E588,($A578:$A588=$A578)*($J578:$J588=M$42)))),0)</f>
        <v>0</v>
      </c>
      <c r="N578" s="68" cm="1">
        <f t="array" ref="N578">IFERROR(IF($A578=$A577,0,SUM(_xlfn._xlws.FILTER($E578:$E588,($A578:$A588=$A578)*($J578:$J588=N$42)))),0)</f>
        <v>0</v>
      </c>
    </row>
    <row r="579" spans="1:14" hidden="1" x14ac:dyDescent="0.3">
      <c r="A579" s="64">
        <v>45943</v>
      </c>
      <c r="B579" s="5" t="s">
        <v>55</v>
      </c>
      <c r="C579" s="5">
        <v>200</v>
      </c>
      <c r="D579" s="66">
        <v>-248.52</v>
      </c>
      <c r="E579" s="67">
        <f ca="1">IFERROR(C579*D579*_xlfn.XLOOKUP(B579,[1]!TabCalc[Ticker],[1]!TabCalc[Scale]),0)</f>
        <v>-49704</v>
      </c>
      <c r="F579" s="68" cm="1">
        <f t="array" aca="1" ref="F579" ca="1">IF(A579=A578,0,SUM(_xlfn._xlws.FILTER(E579:E589,A579:A589=A579)))</f>
        <v>-126693.795</v>
      </c>
      <c r="G579" s="69">
        <f ca="1">IF(F579&lt;&gt;0,SUM($F$43:F579),0)</f>
        <v>-2376681.4145729998</v>
      </c>
      <c r="H579" s="69" cm="1">
        <f t="array" aca="1" ref="H579" ca="1">IFERROR(IF(A579=A578,0,SUM(_xlfn._xlws.FILTER(E579:E589,(A579:A589=A579)*(E579:E589&gt;0)))),0)</f>
        <v>84.704999999999998</v>
      </c>
      <c r="I579" s="69" cm="1">
        <f t="array" aca="1" ref="I579" ca="1">IFERROR(IF(A579=A578,0,SUM(_xlfn._xlws.FILTER(E579:E589,(A579:A589=A579)*(F579&lt;0)))),0)</f>
        <v>-126693.795</v>
      </c>
      <c r="J579" s="81" t="str">
        <f ca="1">IFERROR(_xlfn.XLOOKUP(B579,[1]!TabCalc[Ticker],[1]!TabCalc[Cur]),"")</f>
        <v>USD</v>
      </c>
      <c r="K579" s="68" cm="1">
        <f t="array" aca="1" ref="K579" ca="1">IFERROR(IF($A579=$A578,0,SUM(_xlfn._xlws.FILTER($E579:$E589,($A579:$A589=$A579)*($J579:$J589=K$42)))),0)</f>
        <v>0</v>
      </c>
      <c r="L579" s="68" cm="1">
        <f t="array" aca="1" ref="L579" ca="1">IFERROR(IF($A579=$A578,0,SUM(_xlfn._xlws.FILTER($E579:$E589,($A579:$A589=$A579)*($J579:$J589=L$42)))),0)</f>
        <v>-126693.795</v>
      </c>
      <c r="M579" s="68" cm="1">
        <f t="array" aca="1" ref="M579" ca="1">IFERROR(IF($A579=$A578,0,SUM(_xlfn._xlws.FILTER($E579:$E589,($A579:$A589=$A579)*($J579:$J589=M$42)))),0)</f>
        <v>0</v>
      </c>
      <c r="N579" s="68" cm="1">
        <f t="array" aca="1" ref="N579" ca="1">IFERROR(IF($A579=$A578,0,SUM(_xlfn._xlws.FILTER($E579:$E589,($A579:$A589=$A579)*($J579:$J589=N$42)))),0)</f>
        <v>0</v>
      </c>
    </row>
    <row r="580" spans="1:14" hidden="1" x14ac:dyDescent="0.3">
      <c r="A580" s="64">
        <v>45943</v>
      </c>
      <c r="B580" s="5" t="s">
        <v>93</v>
      </c>
      <c r="C580" s="5">
        <v>150</v>
      </c>
      <c r="D580" s="66">
        <v>-513.83000000000004</v>
      </c>
      <c r="E580" s="67">
        <f ca="1">IFERROR(C580*D580*_xlfn.XLOOKUP(B580,[1]!TabCalc[Ticker],[1]!TabCalc[Scale]),0)</f>
        <v>-77074.5</v>
      </c>
      <c r="F580" s="68" cm="1">
        <f t="array" ref="F580">IF(A580=A579,0,SUM(_xlfn._xlws.FILTER(E580:E590,A580:A590=A580)))</f>
        <v>0</v>
      </c>
      <c r="G580" s="69">
        <f>IF(F580&lt;&gt;0,SUM($F$43:F580),0)</f>
        <v>0</v>
      </c>
      <c r="H580" s="69" cm="1">
        <f t="array" ref="H580">IFERROR(IF(A580=A579,0,SUM(_xlfn._xlws.FILTER(E580:E590,(A580:A590=A580)*(E580:E590&gt;0)))),0)</f>
        <v>0</v>
      </c>
      <c r="I580" s="69" cm="1">
        <f t="array" ref="I580">IFERROR(IF(A580=A579,0,SUM(_xlfn._xlws.FILTER(E580:E590,(A580:A590=A580)*(F580&lt;0)))),0)</f>
        <v>0</v>
      </c>
      <c r="J580" s="81" t="str">
        <f ca="1">IFERROR(_xlfn.XLOOKUP(B580,[1]!TabCalc[Ticker],[1]!TabCalc[Cur]),"")</f>
        <v>USD</v>
      </c>
      <c r="K580" s="68" cm="1">
        <f t="array" ref="K580">IFERROR(IF($A580=$A579,0,SUM(_xlfn._xlws.FILTER($E580:$E590,($A580:$A590=$A580)*($J580:$J590=K$42)))),0)</f>
        <v>0</v>
      </c>
      <c r="L580" s="68" cm="1">
        <f t="array" ref="L580">IFERROR(IF($A580=$A579,0,SUM(_xlfn._xlws.FILTER($E580:$E590,($A580:$A590=$A580)*($J580:$J590=L$42)))),0)</f>
        <v>0</v>
      </c>
      <c r="M580" s="68" cm="1">
        <f t="array" ref="M580">IFERROR(IF($A580=$A579,0,SUM(_xlfn._xlws.FILTER($E580:$E590,($A580:$A590=$A580)*($J580:$J590=M$42)))),0)</f>
        <v>0</v>
      </c>
      <c r="N580" s="68" cm="1">
        <f t="array" ref="N580">IFERROR(IF($A580=$A579,0,SUM(_xlfn._xlws.FILTER($E580:$E590,($A580:$A590=$A580)*($J580:$J590=N$42)))),0)</f>
        <v>0</v>
      </c>
    </row>
    <row r="581" spans="1:14" hidden="1" x14ac:dyDescent="0.3">
      <c r="A581" s="64">
        <v>45943</v>
      </c>
      <c r="B581" s="5" t="s">
        <v>40</v>
      </c>
      <c r="C581" s="5">
        <v>1200</v>
      </c>
      <c r="D581" s="66">
        <v>-24.92</v>
      </c>
      <c r="E581" s="67">
        <v>84.704999999999998</v>
      </c>
      <c r="F581" s="68" cm="1">
        <f t="array" ref="F581">IF(A581=A580,0,SUM(_xlfn._xlws.FILTER(E581:E591,A581:A591=A581)))</f>
        <v>0</v>
      </c>
      <c r="G581" s="69">
        <f>IF(F581&lt;&gt;0,SUM($F$43:F581),0)</f>
        <v>0</v>
      </c>
      <c r="H581" s="69" cm="1">
        <f t="array" ref="H581">IFERROR(IF(A581=A580,0,SUM(_xlfn._xlws.FILTER(E581:E591,(A581:A591=A581)*(E581:E591&gt;0)))),0)</f>
        <v>0</v>
      </c>
      <c r="I581" s="69" cm="1">
        <f t="array" ref="I581">IFERROR(IF(A581=A580,0,SUM(_xlfn._xlws.FILTER(E581:E591,(A581:A591=A581)*(F581&lt;0)))),0)</f>
        <v>0</v>
      </c>
      <c r="J581" s="81" t="str">
        <f ca="1">IFERROR(_xlfn.XLOOKUP(B581,[1]!TabCalc[Ticker],[1]!TabCalc[Cur]),"")</f>
        <v>USD</v>
      </c>
      <c r="K581" s="68" cm="1">
        <f t="array" ref="K581">IFERROR(IF($A581=$A580,0,SUM(_xlfn._xlws.FILTER($E581:$E591,($A581:$A591=$A581)*($J581:$J591=K$42)))),0)</f>
        <v>0</v>
      </c>
      <c r="L581" s="68" cm="1">
        <f t="array" ref="L581">IFERROR(IF($A581=$A580,0,SUM(_xlfn._xlws.FILTER($E581:$E591,($A581:$A591=$A581)*($J581:$J591=L$42)))),0)</f>
        <v>0</v>
      </c>
      <c r="M581" s="68" cm="1">
        <f t="array" ref="M581">IFERROR(IF($A581=$A580,0,SUM(_xlfn._xlws.FILTER($E581:$E591,($A581:$A591=$A581)*($J581:$J591=M$42)))),0)</f>
        <v>0</v>
      </c>
      <c r="N581" s="68" cm="1">
        <f t="array" ref="N581">IFERROR(IF($A581=$A580,0,SUM(_xlfn._xlws.FILTER($E581:$E591,($A581:$A591=$A581)*($J581:$J591=N$42)))),0)</f>
        <v>0</v>
      </c>
    </row>
    <row r="582" spans="1:14" hidden="1" x14ac:dyDescent="0.3">
      <c r="A582" s="70">
        <v>45944</v>
      </c>
      <c r="B582" s="70" t="s">
        <v>32</v>
      </c>
      <c r="C582" s="6">
        <v>300</v>
      </c>
      <c r="D582" s="19">
        <v>84.704999999999998</v>
      </c>
      <c r="E582" s="67">
        <f ca="1">IFERROR(C582*D582*_xlfn.XLOOKUP(B582,[1]!TabCalc[Ticker],[1]!TabCalc[Scale]),0)</f>
        <v>25411.5</v>
      </c>
      <c r="F582" s="68" cm="1">
        <f t="array" aca="1" ref="F582" ca="1">IF(A582=A581,0,SUM(_xlfn._xlws.FILTER(E582:E592,A582:A592=A582)))</f>
        <v>29259.360000000001</v>
      </c>
      <c r="G582" s="69">
        <f ca="1">IF(F582&lt;&gt;0,SUM($F$43:F582),0)</f>
        <v>-2347422.0545729999</v>
      </c>
      <c r="H582" s="69" cm="1">
        <f t="array" aca="1" ref="H582" ca="1">IFERROR(IF(A582=A581,0,SUM(_xlfn._xlws.FILTER(E582:E592,(A582:A592=A582)*(E582:E592&gt;0)))),0)</f>
        <v>29259.360000000001</v>
      </c>
      <c r="I582" s="69" cm="1">
        <f t="array" aca="1" ref="I582" ca="1">IFERROR(IF(A582=A581,0,SUM(_xlfn._xlws.FILTER(E582:E592,(A582:A592=A582)*(F582&lt;0)))),0)</f>
        <v>0</v>
      </c>
      <c r="J582" s="81" t="str">
        <f ca="1">IFERROR(_xlfn.XLOOKUP(B582,[1]!TabCalc[Ticker],[1]!TabCalc[Cur]),"")</f>
        <v>USD</v>
      </c>
      <c r="K582" s="68" cm="1">
        <f t="array" aca="1" ref="K582" ca="1">IFERROR(IF($A582=$A581,0,SUM(_xlfn._xlws.FILTER($E582:$E592,($A582:$A592=$A582)*($J582:$J592=K$42)))),0)</f>
        <v>0</v>
      </c>
      <c r="L582" s="68" cm="1">
        <f t="array" aca="1" ref="L582" ca="1">IFERROR(IF($A582=$A581,0,SUM(_xlfn._xlws.FILTER($E582:$E592,($A582:$A592=$A582)*($J582:$J592=L$42)))),0)</f>
        <v>29259.360000000001</v>
      </c>
      <c r="M582" s="68" cm="1">
        <f t="array" aca="1" ref="M582" ca="1">IFERROR(IF($A582=$A581,0,SUM(_xlfn._xlws.FILTER($E582:$E592,($A582:$A592=$A582)*($J582:$J592=M$42)))),0)</f>
        <v>0</v>
      </c>
      <c r="N582" s="68" cm="1">
        <f t="array" aca="1" ref="N582" ca="1">IFERROR(IF($A582=$A581,0,SUM(_xlfn._xlws.FILTER($E582:$E592,($A582:$A592=$A582)*($J582:$J592=N$42)))),0)</f>
        <v>0</v>
      </c>
    </row>
    <row r="583" spans="1:14" hidden="1" x14ac:dyDescent="0.3">
      <c r="A583" s="70">
        <v>45944</v>
      </c>
      <c r="B583" s="70" t="s">
        <v>60</v>
      </c>
      <c r="C583" s="6">
        <v>9</v>
      </c>
      <c r="D583" s="19">
        <v>427.54</v>
      </c>
      <c r="E583" s="67">
        <f ca="1">IFERROR(C583*D583*_xlfn.XLOOKUP(B583,[1]!TabCalc[Ticker],[1]!TabCalc[Scale]),0)</f>
        <v>3847.86</v>
      </c>
      <c r="F583" s="68" cm="1">
        <f t="array" ref="F583">IF(A583=A582,0,SUM(_xlfn._xlws.FILTER(E583:E593,A583:A593=A583)))</f>
        <v>0</v>
      </c>
      <c r="G583" s="69">
        <f>IF(F583&lt;&gt;0,SUM($F$43:F583),0)</f>
        <v>0</v>
      </c>
      <c r="H583" s="69" cm="1">
        <f t="array" ref="H583">IFERROR(IF(A583=A582,0,SUM(_xlfn._xlws.FILTER(E583:E593,(A583:A593=A583)*(E583:E593&gt;0)))),0)</f>
        <v>0</v>
      </c>
      <c r="I583" s="69" cm="1">
        <f t="array" ref="I583">IFERROR(IF(A583=A582,0,SUM(_xlfn._xlws.FILTER(E583:E593,(A583:A593=A583)*(F583&lt;0)))),0)</f>
        <v>0</v>
      </c>
      <c r="J583" s="81" t="str">
        <f ca="1">IFERROR(_xlfn.XLOOKUP(B583,[1]!TabCalc[Ticker],[1]!TabCalc[Cur]),"")</f>
        <v>USD</v>
      </c>
      <c r="K583" s="68" cm="1">
        <f t="array" ref="K583">IFERROR(IF($A583=$A582,0,SUM(_xlfn._xlws.FILTER($E583:$E593,($A583:$A593=$A583)*($J583:$J593=K$42)))),0)</f>
        <v>0</v>
      </c>
      <c r="L583" s="68" cm="1">
        <f t="array" ref="L583">IFERROR(IF($A583=$A582,0,SUM(_xlfn._xlws.FILTER($E583:$E593,($A583:$A593=$A583)*($J583:$J593=L$42)))),0)</f>
        <v>0</v>
      </c>
      <c r="M583" s="68" cm="1">
        <f t="array" ref="M583">IFERROR(IF($A583=$A582,0,SUM(_xlfn._xlws.FILTER($E583:$E593,($A583:$A593=$A583)*($J583:$J593=M$42)))),0)</f>
        <v>0</v>
      </c>
      <c r="N583" s="68" cm="1">
        <f t="array" ref="N583">IFERROR(IF($A583=$A582,0,SUM(_xlfn._xlws.FILTER($E583:$E593,($A583:$A593=$A583)*($J583:$J593=N$42)))),0)</f>
        <v>0</v>
      </c>
    </row>
    <row r="584" spans="1:14" hidden="1" x14ac:dyDescent="0.3">
      <c r="A584" s="64">
        <v>45945</v>
      </c>
      <c r="B584" s="5" t="s">
        <v>34</v>
      </c>
      <c r="C584" s="5">
        <v>1000</v>
      </c>
      <c r="D584" s="5">
        <v>28.94</v>
      </c>
      <c r="E584" s="67">
        <f ca="1">IFERROR(C584*D584*_xlfn.XLOOKUP(B584,[1]!TabCalc[Ticker],[1]!TabCalc[Scale]),0)</f>
        <v>28940</v>
      </c>
      <c r="F584" s="68" cm="1">
        <f t="array" aca="1" ref="F584" ca="1">IF(A584=A583,0,SUM(_xlfn._xlws.FILTER(E584:E594,A584:A594=A584)))</f>
        <v>150366.46000000002</v>
      </c>
      <c r="G584" s="69">
        <f ca="1">IF(F584&lt;&gt;0,SUM($F$43:F584),0)</f>
        <v>-2197055.594573</v>
      </c>
      <c r="H584" s="69" cm="1">
        <f t="array" aca="1" ref="H584" ca="1">IFERROR(IF(A584=A583,0,SUM(_xlfn._xlws.FILTER(E584:E594,(A584:A594=A584)*(E584:E594&gt;0)))),0)</f>
        <v>150366.46000000002</v>
      </c>
      <c r="I584" s="69" cm="1">
        <f t="array" aca="1" ref="I584" ca="1">IFERROR(IF(A584=A583,0,SUM(_xlfn._xlws.FILTER(E584:E594,(A584:A594=A584)*(F584&lt;0)))),0)</f>
        <v>0</v>
      </c>
      <c r="J584" s="81" t="str">
        <f ca="1">IFERROR(_xlfn.XLOOKUP(B584,[1]!TabCalc[Ticker],[1]!TabCalc[Cur]),"")</f>
        <v>USD</v>
      </c>
      <c r="K584" s="68" cm="1">
        <f t="array" aca="1" ref="K584" ca="1">IFERROR(IF($A584=$A583,0,SUM(_xlfn._xlws.FILTER($E584:$E594,($A584:$A594=$A584)*($J584:$J594=K$42)))),0)</f>
        <v>0</v>
      </c>
      <c r="L584" s="68" cm="1">
        <f t="array" aca="1" ref="L584" ca="1">IFERROR(IF($A584=$A583,0,SUM(_xlfn._xlws.FILTER($E584:$E594,($A584:$A594=$A584)*($J584:$J594=L$42)))),0)</f>
        <v>150366.46000000002</v>
      </c>
      <c r="M584" s="68" cm="1">
        <f t="array" aca="1" ref="M584" ca="1">IFERROR(IF($A584=$A583,0,SUM(_xlfn._xlws.FILTER($E584:$E594,($A584:$A594=$A584)*($J584:$J594=M$42)))),0)</f>
        <v>0</v>
      </c>
      <c r="N584" s="68" cm="1">
        <f t="array" aca="1" ref="N584" ca="1">IFERROR(IF($A584=$A583,0,SUM(_xlfn._xlws.FILTER($E584:$E594,($A584:$A594=$A584)*($J584:$J594=N$42)))),0)</f>
        <v>0</v>
      </c>
    </row>
    <row r="585" spans="1:14" hidden="1" x14ac:dyDescent="0.3">
      <c r="A585" s="64">
        <v>45945</v>
      </c>
      <c r="B585" s="5" t="s">
        <v>79</v>
      </c>
      <c r="C585" s="5">
        <v>2000</v>
      </c>
      <c r="D585" s="5">
        <v>5.61</v>
      </c>
      <c r="E585" s="67">
        <f ca="1">IFERROR(C585*D585*_xlfn.XLOOKUP(B585,[1]!TabCalc[Ticker],[1]!TabCalc[Scale]),0)</f>
        <v>11220</v>
      </c>
      <c r="F585" s="68" cm="1">
        <f t="array" ref="F585">IF(A585=A584,0,SUM(_xlfn._xlws.FILTER(E585:E595,A585:A595=A585)))</f>
        <v>0</v>
      </c>
      <c r="G585" s="69">
        <f>IF(F585&lt;&gt;0,SUM($F$43:F585),0)</f>
        <v>0</v>
      </c>
      <c r="H585" s="69" cm="1">
        <f t="array" ref="H585">IFERROR(IF(A585=A584,0,SUM(_xlfn._xlws.FILTER(E585:E595,(A585:A595=A585)*(E585:E595&gt;0)))),0)</f>
        <v>0</v>
      </c>
      <c r="I585" s="69" cm="1">
        <f t="array" ref="I585">IFERROR(IF(A585=A584,0,SUM(_xlfn._xlws.FILTER(E585:E595,(A585:A595=A585)*(F585&lt;0)))),0)</f>
        <v>0</v>
      </c>
      <c r="J585" s="81" t="str">
        <f ca="1">IFERROR(_xlfn.XLOOKUP(B585,[1]!TabCalc[Ticker],[1]!TabCalc[Cur]),"")</f>
        <v>USD</v>
      </c>
      <c r="K585" s="68" cm="1">
        <f t="array" ref="K585">IFERROR(IF($A585=$A584,0,SUM(_xlfn._xlws.FILTER($E585:$E595,($A585:$A595=$A585)*($J585:$J595=K$42)))),0)</f>
        <v>0</v>
      </c>
      <c r="L585" s="68" cm="1">
        <f t="array" ref="L585">IFERROR(IF($A585=$A584,0,SUM(_xlfn._xlws.FILTER($E585:$E595,($A585:$A595=$A585)*($J585:$J595=L$42)))),0)</f>
        <v>0</v>
      </c>
      <c r="M585" s="68" cm="1">
        <f t="array" ref="M585">IFERROR(IF($A585=$A584,0,SUM(_xlfn._xlws.FILTER($E585:$E595,($A585:$A595=$A585)*($J585:$J595=M$42)))),0)</f>
        <v>0</v>
      </c>
      <c r="N585" s="68" cm="1">
        <f t="array" ref="N585">IFERROR(IF($A585=$A584,0,SUM(_xlfn._xlws.FILTER($E585:$E595,($A585:$A595=$A585)*($J585:$J595=N$42)))),0)</f>
        <v>0</v>
      </c>
    </row>
    <row r="586" spans="1:14" hidden="1" x14ac:dyDescent="0.3">
      <c r="A586" s="64">
        <v>45945</v>
      </c>
      <c r="B586" s="5" t="s">
        <v>37</v>
      </c>
      <c r="C586" s="5">
        <v>1000</v>
      </c>
      <c r="D586" s="5">
        <v>69.34</v>
      </c>
      <c r="E586" s="67">
        <f ca="1">IFERROR(C586*D586*_xlfn.XLOOKUP(B586,[1]!TabCalc[Ticker],[1]!TabCalc[Scale]),0)</f>
        <v>69340</v>
      </c>
      <c r="F586" s="68" cm="1">
        <f t="array" ref="F586">IF(A586=A585,0,SUM(_xlfn._xlws.FILTER(E586:E596,A586:A596=A586)))</f>
        <v>0</v>
      </c>
      <c r="G586" s="69">
        <f>IF(F586&lt;&gt;0,SUM($F$43:F586),0)</f>
        <v>0</v>
      </c>
      <c r="H586" s="69" cm="1">
        <f t="array" ref="H586">IFERROR(IF(A586=A585,0,SUM(_xlfn._xlws.FILTER(E586:E596,(A586:A596=A586)*(E586:E596&gt;0)))),0)</f>
        <v>0</v>
      </c>
      <c r="I586" s="69" cm="1">
        <f t="array" ref="I586">IFERROR(IF(A586=A585,0,SUM(_xlfn._xlws.FILTER(E586:E596,(A586:A596=A586)*(F586&lt;0)))),0)</f>
        <v>0</v>
      </c>
      <c r="J586" s="81" t="str">
        <f ca="1">IFERROR(_xlfn.XLOOKUP(B586,[1]!TabCalc[Ticker],[1]!TabCalc[Cur]),"")</f>
        <v>USD</v>
      </c>
      <c r="K586" s="68" cm="1">
        <f t="array" ref="K586">IFERROR(IF($A586=$A585,0,SUM(_xlfn._xlws.FILTER($E586:$E596,($A586:$A596=$A586)*($J586:$J596=K$42)))),0)</f>
        <v>0</v>
      </c>
      <c r="L586" s="68" cm="1">
        <f t="array" ref="L586">IFERROR(IF($A586=$A585,0,SUM(_xlfn._xlws.FILTER($E586:$E596,($A586:$A596=$A586)*($J586:$J596=L$42)))),0)</f>
        <v>0</v>
      </c>
      <c r="M586" s="68" cm="1">
        <f t="array" ref="M586">IFERROR(IF($A586=$A585,0,SUM(_xlfn._xlws.FILTER($E586:$E596,($A586:$A596=$A586)*($J586:$J596=M$42)))),0)</f>
        <v>0</v>
      </c>
      <c r="N586" s="68" cm="1">
        <f t="array" ref="N586">IFERROR(IF($A586=$A585,0,SUM(_xlfn._xlws.FILTER($E586:$E596,($A586:$A596=$A586)*($J586:$J596=N$42)))),0)</f>
        <v>0</v>
      </c>
    </row>
    <row r="587" spans="1:14" hidden="1" x14ac:dyDescent="0.3">
      <c r="A587" s="64">
        <v>45945</v>
      </c>
      <c r="B587" s="5" t="s">
        <v>74</v>
      </c>
      <c r="C587" s="5">
        <v>149</v>
      </c>
      <c r="D587" s="5">
        <v>16.54</v>
      </c>
      <c r="E587" s="67">
        <f ca="1">IFERROR(C587*D587*_xlfn.XLOOKUP(B587,[1]!TabCalc[Ticker],[1]!TabCalc[Scale]),0)</f>
        <v>2464.46</v>
      </c>
      <c r="F587" s="68" cm="1">
        <f t="array" ref="F587">IF(A587=A586,0,SUM(_xlfn._xlws.FILTER(E587:E597,A587:A597=A587)))</f>
        <v>0</v>
      </c>
      <c r="G587" s="69">
        <f>IF(F587&lt;&gt;0,SUM($F$43:F587),0)</f>
        <v>0</v>
      </c>
      <c r="H587" s="69" cm="1">
        <f t="array" ref="H587">IFERROR(IF(A587=A586,0,SUM(_xlfn._xlws.FILTER(E587:E597,(A587:A597=A587)*(E587:E597&gt;0)))),0)</f>
        <v>0</v>
      </c>
      <c r="I587" s="69" cm="1">
        <f t="array" ref="I587">IFERROR(IF(A587=A586,0,SUM(_xlfn._xlws.FILTER(E587:E597,(A587:A597=A587)*(F587&lt;0)))),0)</f>
        <v>0</v>
      </c>
      <c r="J587" s="81" t="str">
        <f ca="1">IFERROR(_xlfn.XLOOKUP(B587,[1]!TabCalc[Ticker],[1]!TabCalc[Cur]),"")</f>
        <v>USD</v>
      </c>
      <c r="K587" s="68" cm="1">
        <f t="array" ref="K587">IFERROR(IF($A587=$A586,0,SUM(_xlfn._xlws.FILTER($E587:$E597,($A587:$A597=$A587)*($J587:$J597=K$42)))),0)</f>
        <v>0</v>
      </c>
      <c r="L587" s="68" cm="1">
        <f t="array" ref="L587">IFERROR(IF($A587=$A586,0,SUM(_xlfn._xlws.FILTER($E587:$E597,($A587:$A597=$A587)*($J587:$J597=L$42)))),0)</f>
        <v>0</v>
      </c>
      <c r="M587" s="68" cm="1">
        <f t="array" ref="M587">IFERROR(IF($A587=$A586,0,SUM(_xlfn._xlws.FILTER($E587:$E597,($A587:$A597=$A587)*($J587:$J597=M$42)))),0)</f>
        <v>0</v>
      </c>
      <c r="N587" s="68" cm="1">
        <f t="array" ref="N587">IFERROR(IF($A587=$A586,0,SUM(_xlfn._xlws.FILTER($E587:$E597,($A587:$A597=$A587)*($J587:$J597=N$42)))),0)</f>
        <v>0</v>
      </c>
    </row>
    <row r="588" spans="1:14" hidden="1" x14ac:dyDescent="0.3">
      <c r="A588" s="64">
        <v>45945</v>
      </c>
      <c r="B588" s="5" t="s">
        <v>64</v>
      </c>
      <c r="C588" s="5">
        <v>200</v>
      </c>
      <c r="D588" s="5">
        <v>192.01</v>
      </c>
      <c r="E588" s="67">
        <f ca="1">IFERROR(C588*D588*_xlfn.XLOOKUP(B588,[1]!TabCalc[Ticker],[1]!TabCalc[Scale]),0)</f>
        <v>38402</v>
      </c>
      <c r="F588" s="68" cm="1">
        <f t="array" ref="F588">IF(A588=A587,0,SUM(_xlfn._xlws.FILTER(E588:E598,A588:A598=A588)))</f>
        <v>0</v>
      </c>
      <c r="G588" s="69">
        <f>IF(F588&lt;&gt;0,SUM($F$43:F588),0)</f>
        <v>0</v>
      </c>
      <c r="H588" s="69" cm="1">
        <f t="array" ref="H588">IFERROR(IF(A588=A587,0,SUM(_xlfn._xlws.FILTER(E588:E598,(A588:A598=A588)*(E588:E598&gt;0)))),0)</f>
        <v>0</v>
      </c>
      <c r="I588" s="69" cm="1">
        <f t="array" ref="I588">IFERROR(IF(A588=A587,0,SUM(_xlfn._xlws.FILTER(E588:E598,(A588:A598=A588)*(F588&lt;0)))),0)</f>
        <v>0</v>
      </c>
      <c r="J588" s="81" t="str">
        <f ca="1">IFERROR(_xlfn.XLOOKUP(B588,[1]!TabCalc[Ticker],[1]!TabCalc[Cur]),"")</f>
        <v>USD</v>
      </c>
      <c r="K588" s="68" cm="1">
        <f t="array" ref="K588">IFERROR(IF($A588=$A587,0,SUM(_xlfn._xlws.FILTER($E588:$E598,($A588:$A598=$A588)*($J588:$J598=K$42)))),0)</f>
        <v>0</v>
      </c>
      <c r="L588" s="68" cm="1">
        <f t="array" ref="L588">IFERROR(IF($A588=$A587,0,SUM(_xlfn._xlws.FILTER($E588:$E598,($A588:$A598=$A588)*($J588:$J598=L$42)))),0)</f>
        <v>0</v>
      </c>
      <c r="M588" s="68" cm="1">
        <f t="array" ref="M588">IFERROR(IF($A588=$A587,0,SUM(_xlfn._xlws.FILTER($E588:$E598,($A588:$A598=$A588)*($J588:$J598=M$42)))),0)</f>
        <v>0</v>
      </c>
      <c r="N588" s="68" cm="1">
        <f t="array" ref="N588">IFERROR(IF($A588=$A587,0,SUM(_xlfn._xlws.FILTER($E588:$E598,($A588:$A598=$A588)*($J588:$J598=N$42)))),0)</f>
        <v>0</v>
      </c>
    </row>
    <row r="589" spans="1:14" hidden="1" x14ac:dyDescent="0.3">
      <c r="A589" s="70">
        <v>45946</v>
      </c>
      <c r="B589" s="70" t="s">
        <v>30</v>
      </c>
      <c r="C589" s="6">
        <v>100</v>
      </c>
      <c r="D589" s="19">
        <v>893.2</v>
      </c>
      <c r="E589" s="67">
        <f ca="1">IFERROR(C589*D589*_xlfn.XLOOKUP(B589,[1]!TabCalc[Ticker],[1]!TabCalc[Scale]),0)</f>
        <v>89320</v>
      </c>
      <c r="F589" s="68" cm="1">
        <f t="array" aca="1" ref="F589" ca="1">IF(A589=A588,0,SUM(_xlfn._xlws.FILTER(E589:E599,A589:A599=A589)))</f>
        <v>-42706.000000000015</v>
      </c>
      <c r="G589" s="69">
        <f ca="1">IF(F589&lt;&gt;0,SUM($F$43:F589),0)</f>
        <v>-2239761.594573</v>
      </c>
      <c r="H589" s="69" cm="1">
        <f t="array" aca="1" ref="H589" ca="1">IFERROR(IF(A589=A588,0,SUM(_xlfn._xlws.FILTER(E589:E599,(A589:A599=A589)*(E589:E599&gt;0)))),0)</f>
        <v>162590</v>
      </c>
      <c r="I589" s="69" cm="1">
        <f t="array" aca="1" ref="I589" ca="1">IFERROR(IF(A589=A588,0,SUM(_xlfn._xlws.FILTER(E589:E599,(A589:A599=A589)*(F589&lt;0)))),0)</f>
        <v>-42706.000000000015</v>
      </c>
      <c r="J589" s="81" t="str">
        <f ca="1">IFERROR(_xlfn.XLOOKUP(B589,[1]!TabCalc[Ticker],[1]!TabCalc[Cur]),"")</f>
        <v>EUR</v>
      </c>
      <c r="K589" s="68" cm="1">
        <f t="array" aca="1" ref="K589" ca="1">IFERROR(IF($A589=$A588,0,SUM(_xlfn._xlws.FILTER($E589:$E599,($A589:$A599=$A589)*($J589:$J599=K$42)))),0)</f>
        <v>89320</v>
      </c>
      <c r="L589" s="68" cm="1">
        <f t="array" aca="1" ref="L589" ca="1">IFERROR(IF($A589=$A588,0,SUM(_xlfn._xlws.FILTER($E589:$E599,($A589:$A599=$A589)*($J589:$J599=L$42)))),0)</f>
        <v>-72226</v>
      </c>
      <c r="M589" s="68" cm="1">
        <f t="array" aca="1" ref="M589" ca="1">IFERROR(IF($A589=$A588,0,SUM(_xlfn._xlws.FILTER($E589:$E599,($A589:$A599=$A589)*($J589:$J599=M$42)))),0)</f>
        <v>0</v>
      </c>
      <c r="N589" s="68" cm="1">
        <f t="array" aca="1" ref="N589" ca="1">IFERROR(IF($A589=$A588,0,SUM(_xlfn._xlws.FILTER($E589:$E599,($A589:$A599=$A589)*($J589:$J599=N$42)))),0)</f>
        <v>-59800</v>
      </c>
    </row>
    <row r="590" spans="1:14" hidden="1" x14ac:dyDescent="0.3">
      <c r="A590" s="70">
        <v>45946</v>
      </c>
      <c r="B590" s="70" t="s">
        <v>97</v>
      </c>
      <c r="C590" s="6">
        <v>1000</v>
      </c>
      <c r="D590" s="19">
        <v>-59.8</v>
      </c>
      <c r="E590" s="67">
        <f ca="1">IFERROR(C590*D590*_xlfn.XLOOKUP(B590,[1]!TabCalc[Ticker],[1]!TabCalc[Scale]),0)</f>
        <v>-59800</v>
      </c>
      <c r="F590" s="68" cm="1">
        <f t="array" ref="F590">IF(A590=A589,0,SUM(_xlfn._xlws.FILTER(E590:E600,A590:A600=A590)))</f>
        <v>0</v>
      </c>
      <c r="G590" s="69">
        <f>IF(F590&lt;&gt;0,SUM($F$43:F590),0)</f>
        <v>0</v>
      </c>
      <c r="H590" s="69" cm="1">
        <f t="array" ref="H590">IFERROR(IF(A590=A589,0,SUM(_xlfn._xlws.FILTER(E590:E600,(A590:A600=A590)*(E590:E600&gt;0)))),0)</f>
        <v>0</v>
      </c>
      <c r="I590" s="69" cm="1">
        <f t="array" ref="I590">IFERROR(IF(A590=A589,0,SUM(_xlfn._xlws.FILTER(E590:E600,(A590:A600=A590)*(F590&lt;0)))),0)</f>
        <v>0</v>
      </c>
      <c r="J590" s="81" t="str">
        <f ca="1">IFERROR(_xlfn.XLOOKUP(B590,[1]!TabCalc[Ticker],[1]!TabCalc[Cur]),"")</f>
        <v>CHF</v>
      </c>
      <c r="K590" s="68" cm="1">
        <f t="array" ref="K590">IFERROR(IF($A590=$A589,0,SUM(_xlfn._xlws.FILTER($E590:$E600,($A590:$A600=$A590)*($J590:$J600=K$42)))),0)</f>
        <v>0</v>
      </c>
      <c r="L590" s="68" cm="1">
        <f t="array" ref="L590">IFERROR(IF($A590=$A589,0,SUM(_xlfn._xlws.FILTER($E590:$E600,($A590:$A600=$A590)*($J590:$J600=L$42)))),0)</f>
        <v>0</v>
      </c>
      <c r="M590" s="68" cm="1">
        <f t="array" ref="M590">IFERROR(IF($A590=$A589,0,SUM(_xlfn._xlws.FILTER($E590:$E600,($A590:$A600=$A590)*($J590:$J600=M$42)))),0)</f>
        <v>0</v>
      </c>
      <c r="N590" s="68" cm="1">
        <f t="array" ref="N590">IFERROR(IF($A590=$A589,0,SUM(_xlfn._xlws.FILTER($E590:$E600,($A590:$A600=$A590)*($J590:$J600=N$42)))),0)</f>
        <v>0</v>
      </c>
    </row>
    <row r="591" spans="1:14" hidden="1" x14ac:dyDescent="0.3">
      <c r="A591" s="70">
        <v>45946</v>
      </c>
      <c r="B591" s="70" t="s">
        <v>34</v>
      </c>
      <c r="C591" s="6">
        <v>1000</v>
      </c>
      <c r="D591" s="19">
        <v>-27.53</v>
      </c>
      <c r="E591" s="67">
        <f ca="1">IFERROR(C591*D591*_xlfn.XLOOKUP(B591,[1]!TabCalc[Ticker],[1]!TabCalc[Scale]),0)</f>
        <v>-27530</v>
      </c>
      <c r="F591" s="68" cm="1">
        <f t="array" ref="F591">IF(A591=A590,0,SUM(_xlfn._xlws.FILTER(E591:E601,A591:A601=A591)))</f>
        <v>0</v>
      </c>
      <c r="G591" s="69">
        <f>IF(F591&lt;&gt;0,SUM($F$43:F591),0)</f>
        <v>0</v>
      </c>
      <c r="H591" s="69" cm="1">
        <f t="array" ref="H591">IFERROR(IF(A591=A590,0,SUM(_xlfn._xlws.FILTER(E591:E601,(A591:A601=A591)*(E591:E601&gt;0)))),0)</f>
        <v>0</v>
      </c>
      <c r="I591" s="69" cm="1">
        <f t="array" ref="I591">IFERROR(IF(A591=A590,0,SUM(_xlfn._xlws.FILTER(E591:E601,(A591:A601=A591)*(F591&lt;0)))),0)</f>
        <v>0</v>
      </c>
      <c r="J591" s="81" t="str">
        <f ca="1">IFERROR(_xlfn.XLOOKUP(B591,[1]!TabCalc[Ticker],[1]!TabCalc[Cur]),"")</f>
        <v>USD</v>
      </c>
      <c r="K591" s="68" cm="1">
        <f t="array" ref="K591">IFERROR(IF($A591=$A590,0,SUM(_xlfn._xlws.FILTER($E591:$E601,($A591:$A601=$A591)*($J591:$J601=K$42)))),0)</f>
        <v>0</v>
      </c>
      <c r="L591" s="68" cm="1">
        <f t="array" ref="L591">IFERROR(IF($A591=$A590,0,SUM(_xlfn._xlws.FILTER($E591:$E601,($A591:$A601=$A591)*($J591:$J601=L$42)))),0)</f>
        <v>0</v>
      </c>
      <c r="M591" s="68" cm="1">
        <f t="array" ref="M591">IFERROR(IF($A591=$A590,0,SUM(_xlfn._xlws.FILTER($E591:$E601,($A591:$A601=$A591)*($J591:$J601=M$42)))),0)</f>
        <v>0</v>
      </c>
      <c r="N591" s="68" cm="1">
        <f t="array" ref="N591">IFERROR(IF($A591=$A590,0,SUM(_xlfn._xlws.FILTER($E591:$E601,($A591:$A601=$A591)*($J591:$J601=N$42)))),0)</f>
        <v>0</v>
      </c>
    </row>
    <row r="592" spans="1:14" hidden="1" x14ac:dyDescent="0.3">
      <c r="A592" s="70">
        <v>45946</v>
      </c>
      <c r="B592" s="70" t="s">
        <v>95</v>
      </c>
      <c r="C592" s="6">
        <v>100</v>
      </c>
      <c r="D592" s="19">
        <v>-1179.6600000000001</v>
      </c>
      <c r="E592" s="67">
        <f ca="1">IFERROR(C592*D592*_xlfn.XLOOKUP(B592,[1]!TabCalc[Ticker],[1]!TabCalc[Scale]),0)</f>
        <v>-117966.00000000001</v>
      </c>
      <c r="F592" s="68" cm="1">
        <f t="array" ref="F592">IF(A592=A591,0,SUM(_xlfn._xlws.FILTER(E592:E602,A592:A602=A592)))</f>
        <v>0</v>
      </c>
      <c r="G592" s="69">
        <f>IF(F592&lt;&gt;0,SUM($F$43:F592),0)</f>
        <v>0</v>
      </c>
      <c r="H592" s="69" cm="1">
        <f t="array" ref="H592">IFERROR(IF(A592=A591,0,SUM(_xlfn._xlws.FILTER(E592:E602,(A592:A602=A592)*(E592:E602&gt;0)))),0)</f>
        <v>0</v>
      </c>
      <c r="I592" s="69" cm="1">
        <f t="array" ref="I592">IFERROR(IF(A592=A591,0,SUM(_xlfn._xlws.FILTER(E592:E602,(A592:A602=A592)*(F592&lt;0)))),0)</f>
        <v>0</v>
      </c>
      <c r="J592" s="81" t="str">
        <f ca="1">IFERROR(_xlfn.XLOOKUP(B592,[1]!TabCalc[Ticker],[1]!TabCalc[Cur]),"")</f>
        <v>USD</v>
      </c>
      <c r="K592" s="68" cm="1">
        <f t="array" ref="K592">IFERROR(IF($A592=$A591,0,SUM(_xlfn._xlws.FILTER($E592:$E602,($A592:$A602=$A592)*($J592:$J602=K$42)))),0)</f>
        <v>0</v>
      </c>
      <c r="L592" s="68" cm="1">
        <f t="array" ref="L592">IFERROR(IF($A592=$A591,0,SUM(_xlfn._xlws.FILTER($E592:$E602,($A592:$A602=$A592)*($J592:$J602=L$42)))),0)</f>
        <v>0</v>
      </c>
      <c r="M592" s="68" cm="1">
        <f t="array" ref="M592">IFERROR(IF($A592=$A591,0,SUM(_xlfn._xlws.FILTER($E592:$E602,($A592:$A602=$A592)*($J592:$J602=M$42)))),0)</f>
        <v>0</v>
      </c>
      <c r="N592" s="68" cm="1">
        <f t="array" ref="N592">IFERROR(IF($A592=$A591,0,SUM(_xlfn._xlws.FILTER($E592:$E602,($A592:$A602=$A592)*($J592:$J602=N$42)))),0)</f>
        <v>0</v>
      </c>
    </row>
    <row r="593" spans="1:14" hidden="1" x14ac:dyDescent="0.3">
      <c r="A593" s="70">
        <v>45946</v>
      </c>
      <c r="B593" s="70" t="s">
        <v>106</v>
      </c>
      <c r="C593" s="6">
        <v>12000</v>
      </c>
      <c r="D593" s="19">
        <v>1.91</v>
      </c>
      <c r="E593" s="67">
        <f ca="1">IFERROR(C593*D593*_xlfn.XLOOKUP(B593,[1]!TabCalc[Ticker],[1]!TabCalc[Scale]),0)</f>
        <v>22920</v>
      </c>
      <c r="F593" s="68" cm="1">
        <f t="array" ref="F593">IF(A593=A592,0,SUM(_xlfn._xlws.FILTER(E593:E603,A593:A603=A593)))</f>
        <v>0</v>
      </c>
      <c r="G593" s="69">
        <f>IF(F593&lt;&gt;0,SUM($F$43:F593),0)</f>
        <v>0</v>
      </c>
      <c r="H593" s="69" cm="1">
        <f t="array" ref="H593">IFERROR(IF(A593=A592,0,SUM(_xlfn._xlws.FILTER(E593:E603,(A593:A603=A593)*(E593:E603&gt;0)))),0)</f>
        <v>0</v>
      </c>
      <c r="I593" s="69" cm="1">
        <f t="array" ref="I593">IFERROR(IF(A593=A592,0,SUM(_xlfn._xlws.FILTER(E593:E603,(A593:A603=A593)*(F593&lt;0)))),0)</f>
        <v>0</v>
      </c>
      <c r="J593" s="81" t="str">
        <f ca="1">IFERROR(_xlfn.XLOOKUP(B593,[1]!TabCalc[Ticker],[1]!TabCalc[Cur]),"")</f>
        <v>USD</v>
      </c>
      <c r="K593" s="68" cm="1">
        <f t="array" ref="K593">IFERROR(IF($A593=$A592,0,SUM(_xlfn._xlws.FILTER($E593:$E603,($A593:$A603=$A593)*($J593:$J603=K$42)))),0)</f>
        <v>0</v>
      </c>
      <c r="L593" s="68" cm="1">
        <f t="array" ref="L593">IFERROR(IF($A593=$A592,0,SUM(_xlfn._xlws.FILTER($E593:$E603,($A593:$A603=$A593)*($J593:$J603=L$42)))),0)</f>
        <v>0</v>
      </c>
      <c r="M593" s="68" cm="1">
        <f t="array" ref="M593">IFERROR(IF($A593=$A592,0,SUM(_xlfn._xlws.FILTER($E593:$E603,($A593:$A603=$A593)*($J593:$J603=M$42)))),0)</f>
        <v>0</v>
      </c>
      <c r="N593" s="68" cm="1">
        <f t="array" ref="N593">IFERROR(IF($A593=$A592,0,SUM(_xlfn._xlws.FILTER($E593:$E603,($A593:$A603=$A593)*($J593:$J603=N$42)))),0)</f>
        <v>0</v>
      </c>
    </row>
    <row r="594" spans="1:14" hidden="1" x14ac:dyDescent="0.3">
      <c r="A594" s="70">
        <v>45946</v>
      </c>
      <c r="B594" s="70" t="s">
        <v>105</v>
      </c>
      <c r="C594" s="6">
        <v>5000</v>
      </c>
      <c r="D594" s="19">
        <v>10.07</v>
      </c>
      <c r="E594" s="67">
        <f ca="1">IFERROR(C594*D594*_xlfn.XLOOKUP(B594,[1]!TabCalc[Ticker],[1]!TabCalc[Scale]),0)</f>
        <v>50350</v>
      </c>
      <c r="F594" s="68" cm="1">
        <f t="array" ref="F594">IF(A594=A593,0,SUM(_xlfn._xlws.FILTER(E594:E604,A594:A604=A594)))</f>
        <v>0</v>
      </c>
      <c r="G594" s="69">
        <f>IF(F594&lt;&gt;0,SUM($F$43:F594),0)</f>
        <v>0</v>
      </c>
      <c r="H594" s="69" cm="1">
        <f t="array" ref="H594">IFERROR(IF(A594=A593,0,SUM(_xlfn._xlws.FILTER(E594:E604,(A594:A604=A594)*(E594:E604&gt;0)))),0)</f>
        <v>0</v>
      </c>
      <c r="I594" s="69" cm="1">
        <f t="array" ref="I594">IFERROR(IF(A594=A593,0,SUM(_xlfn._xlws.FILTER(E594:E604,(A594:A604=A594)*(F594&lt;0)))),0)</f>
        <v>0</v>
      </c>
      <c r="J594" s="81" t="str">
        <f ca="1">IFERROR(_xlfn.XLOOKUP(B594,[1]!TabCalc[Ticker],[1]!TabCalc[Cur]),"")</f>
        <v>USD</v>
      </c>
      <c r="K594" s="68" cm="1">
        <f t="array" ref="K594">IFERROR(IF($A594=$A593,0,SUM(_xlfn._xlws.FILTER($E594:$E604,($A594:$A604=$A594)*($J594:$J604=K$42)))),0)</f>
        <v>0</v>
      </c>
      <c r="L594" s="68" cm="1">
        <f t="array" ref="L594">IFERROR(IF($A594=$A593,0,SUM(_xlfn._xlws.FILTER($E594:$E604,($A594:$A604=$A594)*($J594:$J604=L$42)))),0)</f>
        <v>0</v>
      </c>
      <c r="M594" s="68" cm="1">
        <f t="array" ref="M594">IFERROR(IF($A594=$A593,0,SUM(_xlfn._xlws.FILTER($E594:$E604,($A594:$A604=$A594)*($J594:$J604=M$42)))),0)</f>
        <v>0</v>
      </c>
      <c r="N594" s="68" cm="1">
        <f t="array" ref="N594">IFERROR(IF($A594=$A593,0,SUM(_xlfn._xlws.FILTER($E594:$E604,($A594:$A604=$A594)*($J594:$J604=N$42)))),0)</f>
        <v>0</v>
      </c>
    </row>
    <row r="595" spans="1:14" hidden="1" x14ac:dyDescent="0.3">
      <c r="A595" s="64">
        <v>45947</v>
      </c>
      <c r="B595" s="5" t="s">
        <v>97</v>
      </c>
      <c r="C595" s="5">
        <v>1000</v>
      </c>
      <c r="D595" s="66">
        <v>-58.89</v>
      </c>
      <c r="E595" s="67">
        <f ca="1">IFERROR(C595*D595*_xlfn.XLOOKUP(B595,[1]!TabCalc[Ticker],[1]!TabCalc[Scale]),0)</f>
        <v>-58890</v>
      </c>
      <c r="F595" s="68" cm="1">
        <f t="array" aca="1" ref="F595" ca="1">IF(A595=A594,0,SUM(_xlfn._xlws.FILTER(E595:E605,A595:A605=A595)))</f>
        <v>121550.1</v>
      </c>
      <c r="G595" s="69">
        <f ca="1">IF(F595&lt;&gt;0,SUM($F$43:F595),0)</f>
        <v>-2118211.4945729999</v>
      </c>
      <c r="H595" s="69" cm="1">
        <f t="array" aca="1" ref="H595" ca="1">IFERROR(IF(A595=A594,0,SUM(_xlfn._xlws.FILTER(E595:E605,(A595:A605=A595)*(E595:E605&gt;0)))),0)</f>
        <v>234460.1</v>
      </c>
      <c r="I595" s="69" cm="1">
        <f t="array" aca="1" ref="I595" ca="1">IFERROR(IF(A595=A594,0,SUM(_xlfn._xlws.FILTER(E595:E605,(A595:A605=A595)*(F595&lt;0)))),0)</f>
        <v>0</v>
      </c>
      <c r="J595" s="81" t="str">
        <f ca="1">IFERROR(_xlfn.XLOOKUP(B595,[1]!TabCalc[Ticker],[1]!TabCalc[Cur]),"")</f>
        <v>CHF</v>
      </c>
      <c r="K595" s="68" cm="1">
        <f t="array" aca="1" ref="K595" ca="1">IFERROR(IF($A595=$A594,0,SUM(_xlfn._xlws.FILTER($E595:$E605,($A595:$A605=$A595)*($J595:$J605=K$42)))),0)</f>
        <v>32240.100000000006</v>
      </c>
      <c r="L595" s="68" cm="1">
        <f t="array" aca="1" ref="L595" ca="1">IFERROR(IF($A595=$A594,0,SUM(_xlfn._xlws.FILTER($E595:$E605,($A595:$A605=$A595)*($J595:$J605=L$42)))),0)</f>
        <v>148200</v>
      </c>
      <c r="M595" s="68" cm="1">
        <f t="array" aca="1" ref="M595" ca="1">IFERROR(IF($A595=$A594,0,SUM(_xlfn._xlws.FILTER($E595:$E605,($A595:$A605=$A595)*($J595:$J605=M$42)))),0)</f>
        <v>0</v>
      </c>
      <c r="N595" s="68" cm="1">
        <f t="array" aca="1" ref="N595" ca="1">IFERROR(IF($A595=$A594,0,SUM(_xlfn._xlws.FILTER($E595:$E605,($A595:$A605=$A595)*($J595:$J605=N$42)))),0)</f>
        <v>-58890</v>
      </c>
    </row>
    <row r="596" spans="1:14" hidden="1" x14ac:dyDescent="0.3">
      <c r="A596" s="64">
        <v>45947</v>
      </c>
      <c r="B596" s="5" t="s">
        <v>56</v>
      </c>
      <c r="C596" s="5">
        <v>1000</v>
      </c>
      <c r="D596" s="66">
        <v>-54.02</v>
      </c>
      <c r="E596" s="67">
        <f ca="1">IFERROR(C596*D596*_xlfn.XLOOKUP(B596,[1]!TabCalc[Ticker],[1]!TabCalc[Scale]),0)</f>
        <v>-54020</v>
      </c>
      <c r="F596" s="68" cm="1">
        <f t="array" ref="F596">IF(A596=A595,0,SUM(_xlfn._xlws.FILTER(E596:E606,A596:A606=A596)))</f>
        <v>0</v>
      </c>
      <c r="G596" s="69">
        <f>IF(F596&lt;&gt;0,SUM($F$43:F596),0)</f>
        <v>0</v>
      </c>
      <c r="H596" s="69" cm="1">
        <f t="array" ref="H596">IFERROR(IF(A596=A595,0,SUM(_xlfn._xlws.FILTER(E596:E606,(A596:A606=A596)*(E596:E606&gt;0)))),0)</f>
        <v>0</v>
      </c>
      <c r="I596" s="69" cm="1">
        <f t="array" ref="I596">IFERROR(IF(A596=A595,0,SUM(_xlfn._xlws.FILTER(E596:E606,(A596:A606=A596)*(F596&lt;0)))),0)</f>
        <v>0</v>
      </c>
      <c r="J596" s="81" t="str">
        <f ca="1">IFERROR(_xlfn.XLOOKUP(B596,[1]!TabCalc[Ticker],[1]!TabCalc[Cur]),"")</f>
        <v>EUR</v>
      </c>
      <c r="K596" s="68" cm="1">
        <f t="array" ref="K596">IFERROR(IF($A596=$A595,0,SUM(_xlfn._xlws.FILTER($E596:$E606,($A596:$A606=$A596)*($J596:$J606=K$42)))),0)</f>
        <v>0</v>
      </c>
      <c r="L596" s="68" cm="1">
        <f t="array" ref="L596">IFERROR(IF($A596=$A595,0,SUM(_xlfn._xlws.FILTER($E596:$E606,($A596:$A606=$A596)*($J596:$J606=L$42)))),0)</f>
        <v>0</v>
      </c>
      <c r="M596" s="68" cm="1">
        <f t="array" ref="M596">IFERROR(IF($A596=$A595,0,SUM(_xlfn._xlws.FILTER($E596:$E606,($A596:$A606=$A596)*($J596:$J606=M$42)))),0)</f>
        <v>0</v>
      </c>
      <c r="N596" s="68" cm="1">
        <f t="array" ref="N596">IFERROR(IF($A596=$A595,0,SUM(_xlfn._xlws.FILTER($E596:$E606,($A596:$A606=$A596)*($J596:$J606=N$42)))),0)</f>
        <v>0</v>
      </c>
    </row>
    <row r="597" spans="1:14" hidden="1" x14ac:dyDescent="0.3">
      <c r="A597" s="64">
        <v>45947</v>
      </c>
      <c r="B597" s="5" t="s">
        <v>30</v>
      </c>
      <c r="C597" s="5">
        <v>100</v>
      </c>
      <c r="D597" s="66">
        <v>862.601</v>
      </c>
      <c r="E597" s="67">
        <f ca="1">IFERROR(C597*D597*_xlfn.XLOOKUP(B597,[1]!TabCalc[Ticker],[1]!TabCalc[Scale]),0)</f>
        <v>86260.1</v>
      </c>
      <c r="F597" s="68" cm="1">
        <f t="array" ref="F597">IF(A597=A596,0,SUM(_xlfn._xlws.FILTER(E597:E607,A597:A607=A597)))</f>
        <v>0</v>
      </c>
      <c r="G597" s="69">
        <f>IF(F597&lt;&gt;0,SUM($F$43:F597),0)</f>
        <v>0</v>
      </c>
      <c r="H597" s="69" cm="1">
        <f t="array" ref="H597">IFERROR(IF(A597=A596,0,SUM(_xlfn._xlws.FILTER(E597:E607,(A597:A607=A597)*(E597:E607&gt;0)))),0)</f>
        <v>0</v>
      </c>
      <c r="I597" s="69" cm="1">
        <f t="array" ref="I597">IFERROR(IF(A597=A596,0,SUM(_xlfn._xlws.FILTER(E597:E607,(A597:A607=A597)*(F597&lt;0)))),0)</f>
        <v>0</v>
      </c>
      <c r="J597" s="81" t="str">
        <f ca="1">IFERROR(_xlfn.XLOOKUP(B597,[1]!TabCalc[Ticker],[1]!TabCalc[Cur]),"")</f>
        <v>EUR</v>
      </c>
      <c r="K597" s="68" cm="1">
        <f t="array" ref="K597">IFERROR(IF($A597=$A596,0,SUM(_xlfn._xlws.FILTER($E597:$E607,($A597:$A607=$A597)*($J597:$J607=K$42)))),0)</f>
        <v>0</v>
      </c>
      <c r="L597" s="68" cm="1">
        <f t="array" ref="L597">IFERROR(IF($A597=$A596,0,SUM(_xlfn._xlws.FILTER($E597:$E607,($A597:$A607=$A597)*($J597:$J607=L$42)))),0)</f>
        <v>0</v>
      </c>
      <c r="M597" s="68" cm="1">
        <f t="array" ref="M597">IFERROR(IF($A597=$A596,0,SUM(_xlfn._xlws.FILTER($E597:$E607,($A597:$A607=$A597)*($J597:$J607=M$42)))),0)</f>
        <v>0</v>
      </c>
      <c r="N597" s="68" cm="1">
        <f t="array" ref="N597">IFERROR(IF($A597=$A596,0,SUM(_xlfn._xlws.FILTER($E597:$E607,($A597:$A607=$A597)*($J597:$J607=N$42)))),0)</f>
        <v>0</v>
      </c>
    </row>
    <row r="598" spans="1:14" hidden="1" x14ac:dyDescent="0.3">
      <c r="A598" s="64">
        <v>45947</v>
      </c>
      <c r="B598" s="5" t="s">
        <v>31</v>
      </c>
      <c r="C598" s="5">
        <v>500</v>
      </c>
      <c r="D598" s="66">
        <v>296.39999999999998</v>
      </c>
      <c r="E598" s="67">
        <f ca="1">IFERROR(C598*D598*_xlfn.XLOOKUP(B598,[1]!TabCalc[Ticker],[1]!TabCalc[Scale]),0)</f>
        <v>148200</v>
      </c>
      <c r="F598" s="68" cm="1">
        <f t="array" ref="F598">IF(A598=A597,0,SUM(_xlfn._xlws.FILTER(E598:E608,A598:A608=A598)))</f>
        <v>0</v>
      </c>
      <c r="G598" s="69">
        <f>IF(F598&lt;&gt;0,SUM($F$43:F598),0)</f>
        <v>0</v>
      </c>
      <c r="H598" s="69" cm="1">
        <f t="array" ref="H598">IFERROR(IF(A598=A597,0,SUM(_xlfn._xlws.FILTER(E598:E608,(A598:A608=A598)*(E598:E608&gt;0)))),0)</f>
        <v>0</v>
      </c>
      <c r="I598" s="69" cm="1">
        <f t="array" ref="I598">IFERROR(IF(A598=A597,0,SUM(_xlfn._xlws.FILTER(E598:E608,(A598:A608=A598)*(F598&lt;0)))),0)</f>
        <v>0</v>
      </c>
      <c r="J598" s="81" t="str">
        <f ca="1">IFERROR(_xlfn.XLOOKUP(B598,[1]!TabCalc[Ticker],[1]!TabCalc[Cur]),"")</f>
        <v>USD</v>
      </c>
      <c r="K598" s="68" cm="1">
        <f t="array" ref="K598">IFERROR(IF($A598=$A597,0,SUM(_xlfn._xlws.FILTER($E598:$E608,($A598:$A608=$A598)*($J598:$J608=K$42)))),0)</f>
        <v>0</v>
      </c>
      <c r="L598" s="68" cm="1">
        <f t="array" ref="L598">IFERROR(IF($A598=$A597,0,SUM(_xlfn._xlws.FILTER($E598:$E608,($A598:$A608=$A598)*($J598:$J608=L$42)))),0)</f>
        <v>0</v>
      </c>
      <c r="M598" s="68" cm="1">
        <f t="array" ref="M598">IFERROR(IF($A598=$A597,0,SUM(_xlfn._xlws.FILTER($E598:$E608,($A598:$A608=$A598)*($J598:$J608=M$42)))),0)</f>
        <v>0</v>
      </c>
      <c r="N598" s="68" cm="1">
        <f t="array" ref="N598">IFERROR(IF($A598=$A597,0,SUM(_xlfn._xlws.FILTER($E598:$E608,($A598:$A608=$A598)*($J598:$J608=N$42)))),0)</f>
        <v>0</v>
      </c>
    </row>
    <row r="599" spans="1:14" hidden="1" x14ac:dyDescent="0.3">
      <c r="A599" s="70">
        <v>45950</v>
      </c>
      <c r="B599" s="70" t="s">
        <v>95</v>
      </c>
      <c r="C599" s="6">
        <v>100</v>
      </c>
      <c r="D599" s="19">
        <v>1233.56</v>
      </c>
      <c r="E599" s="67">
        <f ca="1">IFERROR(C599*D599*_xlfn.XLOOKUP(B599,[1]!TabCalc[Ticker],[1]!TabCalc[Scale]),0)</f>
        <v>123356</v>
      </c>
      <c r="F599" s="68" cm="1">
        <f t="array" aca="1" ref="F599" ca="1">IF(A599=A598,0,SUM(_xlfn._xlws.FILTER(E599:E800,A599:A800=A599)))</f>
        <v>120468.79999999999</v>
      </c>
      <c r="G599" s="69">
        <f ca="1">IF(F599&lt;&gt;0,SUM($F$43:F599),0)</f>
        <v>-1997742.6945729998</v>
      </c>
      <c r="H599" s="69" cm="1">
        <f t="array" aca="1" ref="H599" ca="1">IFERROR(IF(A599=A598,0,SUM(_xlfn._xlws.FILTER(E599:E609,(A599:A609=A599)*(E599:E609&gt;0)))),0)</f>
        <v>253636</v>
      </c>
      <c r="I599" s="69" cm="1">
        <f t="array" aca="1" ref="I599" ca="1">IFERROR(IF(A599=A598,0,SUM(_xlfn._xlws.FILTER(E599:E609,(A599:A609=A599)*(F599&lt;0)))),0)</f>
        <v>0</v>
      </c>
      <c r="J599" s="81" t="str">
        <f ca="1">IFERROR(_xlfn.XLOOKUP(B599,[1]!TabCalc[Ticker],[1]!TabCalc[Cur]),"")</f>
        <v>USD</v>
      </c>
      <c r="K599" s="68" cm="1">
        <f t="array" aca="1" ref="K599" ca="1">IFERROR(IF($A599=$A598,0,SUM(_xlfn._xlws.FILTER($E599:$E609,($A599:$A609=$A599)*($J599:$J609=K$42)))),0)</f>
        <v>0</v>
      </c>
      <c r="L599" s="68" cm="1">
        <f t="array" aca="1" ref="L599" ca="1">IFERROR(IF($A599=$A598,0,SUM(_xlfn._xlws.FILTER($E599:$E609,($A599:$A609=$A599)*($J599:$J609=L$42)))),0)</f>
        <v>120468.79999999999</v>
      </c>
      <c r="M599" s="68" cm="1">
        <f t="array" aca="1" ref="M599" ca="1">IFERROR(IF($A599=$A598,0,SUM(_xlfn._xlws.FILTER($E599:$E609,($A599:$A609=$A599)*($J599:$J609=M$42)))),0)</f>
        <v>0</v>
      </c>
      <c r="N599" s="68" cm="1">
        <f t="array" aca="1" ref="N599" ca="1">IFERROR(IF($A599=$A598,0,SUM(_xlfn._xlws.FILTER($E599:$E609,($A599:$A609=$A599)*($J599:$J609=N$42)))),0)</f>
        <v>0</v>
      </c>
    </row>
    <row r="600" spans="1:14" hidden="1" x14ac:dyDescent="0.3">
      <c r="A600" s="70">
        <v>45950</v>
      </c>
      <c r="B600" s="70" t="s">
        <v>87</v>
      </c>
      <c r="C600" s="6">
        <v>3000</v>
      </c>
      <c r="D600" s="19">
        <v>12.02</v>
      </c>
      <c r="E600" s="67">
        <f ca="1">IFERROR(C600*D600*_xlfn.XLOOKUP(B600,[1]!TabCalc[Ticker],[1]!TabCalc[Scale]),0)</f>
        <v>36060</v>
      </c>
      <c r="F600" s="86" cm="1">
        <f t="array" ref="F600">IF(A600=A599,0,SUM(_xlfn._xlws.FILTER(E600:E610,A600:A610=A600)))</f>
        <v>0</v>
      </c>
      <c r="G600" s="87">
        <f>IF(F600&lt;&gt;0,SUM($F$43:F600),0)</f>
        <v>0</v>
      </c>
      <c r="H600" s="87" cm="1">
        <f t="array" ref="H600">IFERROR(IF(A600=A599,0,SUM(_xlfn._xlws.FILTER(E600:E610,(A600:A610=A600)*(E600:E610&gt;0)))),0)</f>
        <v>0</v>
      </c>
      <c r="I600" s="87" cm="1">
        <f t="array" ref="I600">IFERROR(IF(A600=A599,0,SUM(_xlfn._xlws.FILTER(E600:E610,(A600:A610=A600)*(F600&lt;0)))),0)</f>
        <v>0</v>
      </c>
      <c r="J600" s="81" t="str">
        <f ca="1">IFERROR(_xlfn.XLOOKUP(B600,[1]!TabCalc[Ticker],[1]!TabCalc[Cur]),"")</f>
        <v>USD</v>
      </c>
      <c r="K600" s="68" cm="1">
        <f t="array" ref="K600">IFERROR(IF($A600=$A599,0,SUM(_xlfn._xlws.FILTER($E600:$E610,($A600:$A610=$A600)*($J600:$J610=K$42)))),0)</f>
        <v>0</v>
      </c>
      <c r="L600" s="68" cm="1">
        <f t="array" ref="L600">IFERROR(IF($A600=$A599,0,SUM(_xlfn._xlws.FILTER($E600:$E610,($A600:$A610=$A600)*($J600:$J610=L$42)))),0)</f>
        <v>0</v>
      </c>
      <c r="M600" s="68" cm="1">
        <f t="array" ref="M600">IFERROR(IF($A600=$A599,0,SUM(_xlfn._xlws.FILTER($E600:$E610,($A600:$A610=$A600)*($J600:$J610=M$42)))),0)</f>
        <v>0</v>
      </c>
      <c r="N600" s="68" cm="1">
        <f t="array" ref="N600">IFERROR(IF($A600=$A599,0,SUM(_xlfn._xlws.FILTER($E600:$E610,($A600:$A610=$A600)*($J600:$J610=N$42)))),0)</f>
        <v>0</v>
      </c>
    </row>
    <row r="601" spans="1:14" hidden="1" x14ac:dyDescent="0.3">
      <c r="A601" s="70">
        <v>45950</v>
      </c>
      <c r="B601" s="70" t="s">
        <v>40</v>
      </c>
      <c r="C601" s="6">
        <v>1800</v>
      </c>
      <c r="D601" s="19">
        <v>-22.63</v>
      </c>
      <c r="E601" s="67">
        <f ca="1">IFERROR(C601*D601*_xlfn.XLOOKUP(B601,[1]!TabCalc[Ticker],[1]!TabCalc[Scale]),0)</f>
        <v>-40734</v>
      </c>
      <c r="F601" s="68" cm="1">
        <f t="array" ref="F601">IF(A601=A600,0,SUM(_xlfn._xlws.FILTER(E601:E611,A601:A611=A601)))</f>
        <v>0</v>
      </c>
      <c r="G601" s="69">
        <f>IF(F601&lt;&gt;0,SUM($F$43:F601),0)</f>
        <v>0</v>
      </c>
      <c r="H601" s="69" cm="1">
        <f t="array" ref="H601">IFERROR(IF(A601=A600,0,SUM(_xlfn._xlws.FILTER(E601:E611,(A601:A611=A601)*(E601:E611&gt;0)))),0)</f>
        <v>0</v>
      </c>
      <c r="I601" s="69" cm="1">
        <f t="array" ref="I601">IFERROR(IF(A601=A600,0,SUM(_xlfn._xlws.FILTER(E601:E611,(A601:A611=A601)*(F601&lt;0)))),0)</f>
        <v>0</v>
      </c>
      <c r="J601" s="81" t="str">
        <f ca="1">IFERROR(_xlfn.XLOOKUP(B601,[1]!TabCalc[Ticker],[1]!TabCalc[Cur]),"")</f>
        <v>USD</v>
      </c>
      <c r="K601" s="68" cm="1">
        <f t="array" ref="K601">IFERROR(IF($A601=$A600,0,SUM(_xlfn._xlws.FILTER($E601:$E611,($A601:$A611=$A601)*($J601:$J611=K$42)))),0)</f>
        <v>0</v>
      </c>
      <c r="L601" s="68" cm="1">
        <f t="array" ref="L601">IFERROR(IF($A601=$A600,0,SUM(_xlfn._xlws.FILTER($E601:$E611,($A601:$A611=$A601)*($J601:$J611=L$42)))),0)</f>
        <v>0</v>
      </c>
      <c r="M601" s="68" cm="1">
        <f t="array" ref="M601">IFERROR(IF($A601=$A600,0,SUM(_xlfn._xlws.FILTER($E601:$E611,($A601:$A611=$A601)*($J601:$J611=M$42)))),0)</f>
        <v>0</v>
      </c>
      <c r="N601" s="68" cm="1">
        <f t="array" ref="N601">IFERROR(IF($A601=$A600,0,SUM(_xlfn._xlws.FILTER($E601:$E611,($A601:$A611=$A601)*($J601:$J611=N$42)))),0)</f>
        <v>0</v>
      </c>
    </row>
    <row r="602" spans="1:14" hidden="1" x14ac:dyDescent="0.3">
      <c r="A602" s="70">
        <v>45950</v>
      </c>
      <c r="B602" s="70" t="s">
        <v>38</v>
      </c>
      <c r="C602" s="6">
        <v>1340</v>
      </c>
      <c r="D602" s="19">
        <v>-68.98</v>
      </c>
      <c r="E602" s="67">
        <f ca="1">IFERROR(C602*D602*_xlfn.XLOOKUP(B602,[1]!TabCalc[Ticker],[1]!TabCalc[Scale]),0)</f>
        <v>-92433.200000000012</v>
      </c>
      <c r="F602" s="68" cm="1">
        <f t="array" ref="F602">IF(A602=A601,0,SUM(_xlfn._xlws.FILTER(E602:E612,A602:A612=A602)))</f>
        <v>0</v>
      </c>
      <c r="G602" s="69">
        <f>IF(F602&lt;&gt;0,SUM($F$43:F602),0)</f>
        <v>0</v>
      </c>
      <c r="H602" s="69" cm="1">
        <f t="array" ref="H602">IFERROR(IF(A602=A601,0,SUM(_xlfn._xlws.FILTER(E602:E612,(A602:A612=A602)*(E602:E612&gt;0)))),0)</f>
        <v>0</v>
      </c>
      <c r="I602" s="69" cm="1">
        <f t="array" ref="I602">IFERROR(IF(A602=A601,0,SUM(_xlfn._xlws.FILTER(E602:E612,(A602:A612=A602)*(F602&lt;0)))),0)</f>
        <v>0</v>
      </c>
      <c r="J602" s="81" t="str">
        <f ca="1">IFERROR(_xlfn.XLOOKUP(B602,[1]!TabCalc[Ticker],[1]!TabCalc[Cur]),"")</f>
        <v>USD</v>
      </c>
      <c r="K602" s="68" cm="1">
        <f t="array" ref="K602">IFERROR(IF($A602=$A601,0,SUM(_xlfn._xlws.FILTER($E602:$E612,($A602:$A612=$A602)*($J602:$J612=K$42)))),0)</f>
        <v>0</v>
      </c>
      <c r="L602" s="68" cm="1">
        <f t="array" ref="L602">IFERROR(IF($A602=$A601,0,SUM(_xlfn._xlws.FILTER($E602:$E612,($A602:$A612=$A602)*($J602:$J612=L$42)))),0)</f>
        <v>0</v>
      </c>
      <c r="M602" s="68" cm="1">
        <f t="array" ref="M602">IFERROR(IF($A602=$A601,0,SUM(_xlfn._xlws.FILTER($E602:$E612,($A602:$A612=$A602)*($J602:$J612=M$42)))),0)</f>
        <v>0</v>
      </c>
      <c r="N602" s="68" cm="1">
        <f t="array" ref="N602">IFERROR(IF($A602=$A601,0,SUM(_xlfn._xlws.FILTER($E602:$E612,($A602:$A612=$A602)*($J602:$J612=N$42)))),0)</f>
        <v>0</v>
      </c>
    </row>
    <row r="603" spans="1:14" hidden="1" x14ac:dyDescent="0.3">
      <c r="A603" s="70">
        <v>45950</v>
      </c>
      <c r="B603" s="70" t="s">
        <v>82</v>
      </c>
      <c r="C603" s="6">
        <v>1000</v>
      </c>
      <c r="D603" s="19">
        <v>94.22</v>
      </c>
      <c r="E603" s="67">
        <f ca="1">IFERROR(C603*D603*_xlfn.XLOOKUP(B603,[1]!TabCalc[Ticker],[1]!TabCalc[Scale]),0)</f>
        <v>94220</v>
      </c>
      <c r="F603" s="68" cm="1">
        <f t="array" ref="F603">IF(A603=A602,0,SUM(_xlfn._xlws.FILTER(E603:E613,A603:A613=A603)))</f>
        <v>0</v>
      </c>
      <c r="G603" s="69">
        <f>IF(F603&lt;&gt;0,SUM($F$43:F603),0)</f>
        <v>0</v>
      </c>
      <c r="H603" s="69" cm="1">
        <f t="array" ref="H603">IFERROR(IF(A603=A602,0,SUM(_xlfn._xlws.FILTER(E603:E613,(A603:A613=A603)*(E603:E613&gt;0)))),0)</f>
        <v>0</v>
      </c>
      <c r="I603" s="69" cm="1">
        <f t="array" ref="I603">IFERROR(IF(A603=A602,0,SUM(_xlfn._xlws.FILTER(E603:E613,(A603:A613=A603)*(F603&lt;0)))),0)</f>
        <v>0</v>
      </c>
      <c r="J603" s="81" t="str">
        <f ca="1">IFERROR(_xlfn.XLOOKUP(B603,[1]!TabCalc[Ticker],[1]!TabCalc[Cur]),"")</f>
        <v>USD</v>
      </c>
      <c r="K603" s="68" cm="1">
        <f t="array" ref="K603">IFERROR(IF($A603=$A602,0,SUM(_xlfn._xlws.FILTER($E603:$E613,($A603:$A613=$A603)*($J603:$J613=K$42)))),0)</f>
        <v>0</v>
      </c>
      <c r="L603" s="68" cm="1">
        <f t="array" ref="L603">IFERROR(IF($A603=$A602,0,SUM(_xlfn._xlws.FILTER($E603:$E613,($A603:$A613=$A603)*($J603:$J613=L$42)))),0)</f>
        <v>0</v>
      </c>
      <c r="M603" s="68" cm="1">
        <f t="array" ref="M603">IFERROR(IF($A603=$A602,0,SUM(_xlfn._xlws.FILTER($E603:$E613,($A603:$A613=$A603)*($J603:$J613=M$42)))),0)</f>
        <v>0</v>
      </c>
      <c r="N603" s="68" cm="1">
        <f t="array" ref="N603">IFERROR(IF($A603=$A602,0,SUM(_xlfn._xlws.FILTER($E603:$E613,($A603:$A613=$A603)*($J603:$J613=N$42)))),0)</f>
        <v>0</v>
      </c>
    </row>
    <row r="604" spans="1:14" hidden="1" x14ac:dyDescent="0.3">
      <c r="A604" s="64">
        <v>45951</v>
      </c>
      <c r="B604" s="5" t="s">
        <v>55</v>
      </c>
      <c r="C604" s="5">
        <v>500</v>
      </c>
      <c r="D604" s="66">
        <v>263.58</v>
      </c>
      <c r="E604" s="67">
        <f ca="1">IFERROR(C604*D604*_xlfn.XLOOKUP(B604,[1]!TabCalc[Ticker],[1]!TabCalc[Scale]),0)</f>
        <v>131790</v>
      </c>
      <c r="F604" s="68" cm="1">
        <f t="array" aca="1" ref="F604" ca="1">IF(A604=A603,0,SUM(_xlfn._xlws.FILTER(E604:E614,A604:A614=A604)))</f>
        <v>76055</v>
      </c>
      <c r="G604" s="69">
        <f ca="1">IF(F604&lt;&gt;0,SUM($F$43:F604),0)</f>
        <v>-1921687.6945729998</v>
      </c>
      <c r="H604" s="69" cm="1">
        <f t="array" aca="1" ref="H604" ca="1">IFERROR(IF(A604=A603,0,SUM(_xlfn._xlws.FILTER(E604:E614,(A604:A614=A604)*(E604:E614&gt;0)))),0)</f>
        <v>302455</v>
      </c>
      <c r="I604" s="69" cm="1">
        <f t="array" aca="1" ref="I604" ca="1">IFERROR(IF(A604=A603,0,SUM(_xlfn._xlws.FILTER(E604:E614,(A604:A614=A604)*(F604&lt;0)))),0)</f>
        <v>0</v>
      </c>
      <c r="J604" s="81" t="str">
        <f ca="1">IFERROR(_xlfn.XLOOKUP(B604,[1]!TabCalc[Ticker],[1]!TabCalc[Cur]),"")</f>
        <v>USD</v>
      </c>
      <c r="K604" s="68" cm="1">
        <f t="array" aca="1" ref="K604" ca="1">IFERROR(IF($A604=$A603,0,SUM(_xlfn._xlws.FILTER($E604:$E614,($A604:$A614=$A604)*($J604:$J614=K$42)))),0)</f>
        <v>0</v>
      </c>
      <c r="L604" s="68" cm="1">
        <f t="array" aca="1" ref="L604" ca="1">IFERROR(IF($A604=$A603,0,SUM(_xlfn._xlws.FILTER($E604:$E614,($A604:$A614=$A604)*($J604:$J614=L$42)))),0)</f>
        <v>76055</v>
      </c>
      <c r="M604" s="68" cm="1">
        <f t="array" aca="1" ref="M604" ca="1">IFERROR(IF($A604=$A603,0,SUM(_xlfn._xlws.FILTER($E604:$E614,($A604:$A614=$A604)*($J604:$J614=M$42)))),0)</f>
        <v>0</v>
      </c>
      <c r="N604" s="68" cm="1">
        <f t="array" aca="1" ref="N604" ca="1">IFERROR(IF($A604=$A603,0,SUM(_xlfn._xlws.FILTER($E604:$E614,($A604:$A614=$A604)*($J604:$J614=N$42)))),0)</f>
        <v>0</v>
      </c>
    </row>
    <row r="605" spans="1:14" hidden="1" x14ac:dyDescent="0.3">
      <c r="A605" s="64">
        <v>45951</v>
      </c>
      <c r="B605" s="5" t="s">
        <v>59</v>
      </c>
      <c r="C605" s="5">
        <v>500</v>
      </c>
      <c r="D605" s="66">
        <v>221.65</v>
      </c>
      <c r="E605" s="67">
        <f ca="1">IFERROR(C605*D605*_xlfn.XLOOKUP(B605,[1]!TabCalc[Ticker],[1]!TabCalc[Scale]),0)</f>
        <v>110825</v>
      </c>
      <c r="F605" s="68" cm="1">
        <f t="array" ref="F605">IF(A605=A604,0,SUM(_xlfn._xlws.FILTER(E605:E615,A605:A615=A605)))</f>
        <v>0</v>
      </c>
      <c r="G605" s="69">
        <f>IF(F605&lt;&gt;0,SUM($F$43:F605),0)</f>
        <v>0</v>
      </c>
      <c r="H605" s="69" cm="1">
        <f t="array" ref="H605">IFERROR(IF(A605=A604,0,SUM(_xlfn._xlws.FILTER(E605:E615,(A605:A615=A605)*(E605:E615&gt;0)))),0)</f>
        <v>0</v>
      </c>
      <c r="I605" s="69" cm="1">
        <f t="array" ref="I605">IFERROR(IF(A605=A604,0,SUM(_xlfn._xlws.FILTER(E605:E615,(A605:A615=A605)*(F605&lt;0)))),0)</f>
        <v>0</v>
      </c>
      <c r="J605" s="81" t="str">
        <f ca="1">IFERROR(_xlfn.XLOOKUP(B605,[1]!TabCalc[Ticker],[1]!TabCalc[Cur]),"")</f>
        <v>USD</v>
      </c>
      <c r="K605" s="68" cm="1">
        <f t="array" ref="K605">IFERROR(IF($A605=$A604,0,SUM(_xlfn._xlws.FILTER($E605:$E615,($A605:$A615=$A605)*($J605:$J615=K$42)))),0)</f>
        <v>0</v>
      </c>
      <c r="L605" s="68" cm="1">
        <f t="array" ref="L605">IFERROR(IF($A605=$A604,0,SUM(_xlfn._xlws.FILTER($E605:$E615,($A605:$A615=$A605)*($J605:$J615=L$42)))),0)</f>
        <v>0</v>
      </c>
      <c r="M605" s="68" cm="1">
        <f t="array" ref="M605">IFERROR(IF($A605=$A604,0,SUM(_xlfn._xlws.FILTER($E605:$E615,($A605:$A615=$A605)*($J605:$J615=M$42)))),0)</f>
        <v>0</v>
      </c>
      <c r="N605" s="68" cm="1">
        <f t="array" ref="N605">IFERROR(IF($A605=$A604,0,SUM(_xlfn._xlws.FILTER($E605:$E615,($A605:$A615=$A605)*($J605:$J615=N$42)))),0)</f>
        <v>0</v>
      </c>
    </row>
    <row r="606" spans="1:14" hidden="1" x14ac:dyDescent="0.3">
      <c r="A606" s="64">
        <v>45951</v>
      </c>
      <c r="B606" s="5" t="s">
        <v>82</v>
      </c>
      <c r="C606" s="5">
        <v>2000</v>
      </c>
      <c r="D606" s="66">
        <v>-86.41</v>
      </c>
      <c r="E606" s="67">
        <f ca="1">IFERROR(C606*D606*_xlfn.XLOOKUP(B606,[1]!TabCalc[Ticker],[1]!TabCalc[Scale]),0)</f>
        <v>-172820</v>
      </c>
      <c r="F606" s="68" cm="1">
        <f t="array" ref="F606">IF(A606=A605,0,SUM(_xlfn._xlws.FILTER(E606:E616,A606:A616=A606)))</f>
        <v>0</v>
      </c>
      <c r="G606" s="69">
        <f>IF(F606&lt;&gt;0,SUM($F$43:F606),0)</f>
        <v>0</v>
      </c>
      <c r="H606" s="69" cm="1">
        <f t="array" ref="H606">IFERROR(IF(A606=A605,0,SUM(_xlfn._xlws.FILTER(E606:E616,(A606:A616=A606)*(E606:E616&gt;0)))),0)</f>
        <v>0</v>
      </c>
      <c r="I606" s="69" cm="1">
        <f t="array" ref="I606">IFERROR(IF(A606=A605,0,SUM(_xlfn._xlws.FILTER(E606:E616,(A606:A616=A606)*(F606&lt;0)))),0)</f>
        <v>0</v>
      </c>
      <c r="J606" s="81" t="str">
        <f ca="1">IFERROR(_xlfn.XLOOKUP(B606,[1]!TabCalc[Ticker],[1]!TabCalc[Cur]),"")</f>
        <v>USD</v>
      </c>
      <c r="K606" s="68" cm="1">
        <f t="array" ref="K606">IFERROR(IF($A606=$A605,0,SUM(_xlfn._xlws.FILTER($E606:$E616,($A606:$A616=$A606)*($J606:$J616=K$42)))),0)</f>
        <v>0</v>
      </c>
      <c r="L606" s="68" cm="1">
        <f t="array" ref="L606">IFERROR(IF($A606=$A605,0,SUM(_xlfn._xlws.FILTER($E606:$E616,($A606:$A616=$A606)*($J606:$J616=L$42)))),0)</f>
        <v>0</v>
      </c>
      <c r="M606" s="68" cm="1">
        <f t="array" ref="M606">IFERROR(IF($A606=$A605,0,SUM(_xlfn._xlws.FILTER($E606:$E616,($A606:$A616=$A606)*($J606:$J616=M$42)))),0)</f>
        <v>0</v>
      </c>
      <c r="N606" s="68" cm="1">
        <f t="array" ref="N606">IFERROR(IF($A606=$A605,0,SUM(_xlfn._xlws.FILTER($E606:$E616,($A606:$A616=$A606)*($J606:$J616=N$42)))),0)</f>
        <v>0</v>
      </c>
    </row>
    <row r="607" spans="1:14" hidden="1" x14ac:dyDescent="0.3">
      <c r="A607" s="64">
        <v>45951</v>
      </c>
      <c r="B607" s="5" t="s">
        <v>83</v>
      </c>
      <c r="C607" s="5">
        <v>1500</v>
      </c>
      <c r="D607" s="66">
        <v>-35.72</v>
      </c>
      <c r="E607" s="67">
        <f ca="1">IFERROR(C607*D607*_xlfn.XLOOKUP(B607,[1]!TabCalc[Ticker],[1]!TabCalc[Scale]),0)</f>
        <v>-53580</v>
      </c>
      <c r="F607" s="68" cm="1">
        <f t="array" ref="F607">IF(A607=A606,0,SUM(_xlfn._xlws.FILTER(E607:E617,A607:A617=A607)))</f>
        <v>0</v>
      </c>
      <c r="G607" s="69">
        <f>IF(F607&lt;&gt;0,SUM($F$43:F607),0)</f>
        <v>0</v>
      </c>
      <c r="H607" s="69" cm="1">
        <f t="array" ref="H607">IFERROR(IF(A607=A606,0,SUM(_xlfn._xlws.FILTER(E607:E617,(A607:A617=A607)*(E607:E617&gt;0)))),0)</f>
        <v>0</v>
      </c>
      <c r="I607" s="69" cm="1">
        <f t="array" ref="I607">IFERROR(IF(A607=A606,0,SUM(_xlfn._xlws.FILTER(E607:E617,(A607:A617=A607)*(F607&lt;0)))),0)</f>
        <v>0</v>
      </c>
      <c r="J607" s="81" t="str">
        <f ca="1">IFERROR(_xlfn.XLOOKUP(B607,[1]!TabCalc[Ticker],[1]!TabCalc[Cur]),"")</f>
        <v>USD</v>
      </c>
      <c r="K607" s="68" cm="1">
        <f t="array" ref="K607">IFERROR(IF($A607=$A606,0,SUM(_xlfn._xlws.FILTER($E607:$E617,($A607:$A617=$A607)*($J607:$J617=K$42)))),0)</f>
        <v>0</v>
      </c>
      <c r="L607" s="68" cm="1">
        <f t="array" ref="L607">IFERROR(IF($A607=$A606,0,SUM(_xlfn._xlws.FILTER($E607:$E617,($A607:$A617=$A607)*($J607:$J617=L$42)))),0)</f>
        <v>0</v>
      </c>
      <c r="M607" s="68" cm="1">
        <f t="array" ref="M607">IFERROR(IF($A607=$A606,0,SUM(_xlfn._xlws.FILTER($E607:$E617,($A607:$A617=$A607)*($J607:$J617=M$42)))),0)</f>
        <v>0</v>
      </c>
      <c r="N607" s="68" cm="1">
        <f t="array" ref="N607">IFERROR(IF($A607=$A606,0,SUM(_xlfn._xlws.FILTER($E607:$E617,($A607:$A617=$A607)*($J607:$J617=N$42)))),0)</f>
        <v>0</v>
      </c>
    </row>
    <row r="608" spans="1:14" hidden="1" x14ac:dyDescent="0.3">
      <c r="A608" s="64">
        <v>45951</v>
      </c>
      <c r="B608" s="5" t="s">
        <v>80</v>
      </c>
      <c r="C608" s="5">
        <v>2000</v>
      </c>
      <c r="D608" s="66">
        <v>29.92</v>
      </c>
      <c r="E608" s="67">
        <f ca="1">IFERROR(C608*D608*_xlfn.XLOOKUP(B608,[1]!TabCalc[Ticker],[1]!TabCalc[Scale]),0)</f>
        <v>59840</v>
      </c>
      <c r="F608" s="68" cm="1">
        <f t="array" ref="F608">IF(A608=A607,0,SUM(_xlfn._xlws.FILTER(E608:E618,A608:A618=A608)))</f>
        <v>0</v>
      </c>
      <c r="G608" s="69">
        <f>IF(F608&lt;&gt;0,SUM($F$43:F608),0)</f>
        <v>0</v>
      </c>
      <c r="H608" s="69" cm="1">
        <f t="array" ref="H608">IFERROR(IF(A608=A607,0,SUM(_xlfn._xlws.FILTER(E608:E618,(A608:A618=A608)*(E608:E618&gt;0)))),0)</f>
        <v>0</v>
      </c>
      <c r="I608" s="69" cm="1">
        <f t="array" ref="I608">IFERROR(IF(A608=A607,0,SUM(_xlfn._xlws.FILTER(E608:E618,(A608:A618=A608)*(F608&lt;0)))),0)</f>
        <v>0</v>
      </c>
      <c r="J608" s="81" t="str">
        <f ca="1">IFERROR(_xlfn.XLOOKUP(B608,[1]!TabCalc[Ticker],[1]!TabCalc[Cur]),"")</f>
        <v>USD</v>
      </c>
      <c r="K608" s="68" cm="1">
        <f t="array" ref="K608">IFERROR(IF($A608=$A607,0,SUM(_xlfn._xlws.FILTER($E608:$E618,($A608:$A618=$A608)*($J608:$J618=K$42)))),0)</f>
        <v>0</v>
      </c>
      <c r="L608" s="68" cm="1">
        <f t="array" ref="L608">IFERROR(IF($A608=$A607,0,SUM(_xlfn._xlws.FILTER($E608:$E618,($A608:$A618=$A608)*($J608:$J618=L$42)))),0)</f>
        <v>0</v>
      </c>
      <c r="M608" s="68" cm="1">
        <f t="array" ref="M608">IFERROR(IF($A608=$A607,0,SUM(_xlfn._xlws.FILTER($E608:$E618,($A608:$A618=$A608)*($J608:$J618=M$42)))),0)</f>
        <v>0</v>
      </c>
      <c r="N608" s="68" cm="1">
        <f t="array" ref="N608">IFERROR(IF($A608=$A607,0,SUM(_xlfn._xlws.FILTER($E608:$E618,($A608:$A618=$A608)*($J608:$J618=N$42)))),0)</f>
        <v>0</v>
      </c>
    </row>
    <row r="609" spans="1:14" hidden="1" x14ac:dyDescent="0.3">
      <c r="A609" s="70">
        <v>45952</v>
      </c>
      <c r="B609" s="70" t="s">
        <v>64</v>
      </c>
      <c r="C609" s="6">
        <v>300</v>
      </c>
      <c r="D609" s="19">
        <v>-183.16</v>
      </c>
      <c r="E609" s="67">
        <f ca="1">IFERROR(C609*D609*_xlfn.XLOOKUP(B609,[1]!TabCalc[Ticker],[1]!TabCalc[Scale]),0)</f>
        <v>-54948</v>
      </c>
      <c r="F609" s="68" cm="1">
        <f t="array" aca="1" ref="F609" ca="1">IF(A609=A608,0,SUM(_xlfn._xlws.FILTER(E609:E619,A609:A619=A609)))</f>
        <v>-1646915</v>
      </c>
      <c r="G609" s="69">
        <f ca="1">IF(F609&lt;&gt;0,SUM($F$43:F609),0)</f>
        <v>-3568602.6945730001</v>
      </c>
      <c r="H609" s="69" cm="1">
        <f t="array" aca="1" ref="H609" ca="1">IFERROR(IF(A609=A608,0,SUM(_xlfn._xlws.FILTER(E609:E619,(A609:A619=A609)*(E609:E619&gt;0)))),0)</f>
        <v>89840</v>
      </c>
      <c r="I609" s="69" cm="1">
        <f t="array" aca="1" ref="I609" ca="1">IFERROR(IF(A609=A608,0,SUM(_xlfn._xlws.FILTER(E609:E619,(A609:A619=A609)*(F609&lt;0)))),0)</f>
        <v>-1646915</v>
      </c>
      <c r="J609" s="81" t="str">
        <f ca="1">IFERROR(_xlfn.XLOOKUP(B609,[1]!TabCalc[Ticker],[1]!TabCalc[Cur]),"")</f>
        <v>USD</v>
      </c>
      <c r="K609" s="68" cm="1">
        <f t="array" aca="1" ref="K609" ca="1">IFERROR(IF($A609=$A608,0,SUM(_xlfn._xlws.FILTER($E609:$E619,($A609:$A619=$A609)*($J609:$J619=K$42)))),0)</f>
        <v>0</v>
      </c>
      <c r="L609" s="68" cm="1">
        <f t="array" aca="1" ref="L609" ca="1">IFERROR(IF($A609=$A608,0,SUM(_xlfn._xlws.FILTER($E609:$E619,($A609:$A619=$A609)*($J609:$J619=L$42)))),0)</f>
        <v>-1736755</v>
      </c>
      <c r="M609" s="68" cm="1">
        <f t="array" aca="1" ref="M609" ca="1">IFERROR(IF($A609=$A608,0,SUM(_xlfn._xlws.FILTER($E609:$E619,($A609:$A619=$A609)*($J609:$J619=M$42)))),0)</f>
        <v>89840</v>
      </c>
      <c r="N609" s="68" cm="1">
        <f t="array" aca="1" ref="N609" ca="1">IFERROR(IF($A609=$A608,0,SUM(_xlfn._xlws.FILTER($E609:$E619,($A609:$A619=$A609)*($J609:$J619=N$42)))),0)</f>
        <v>0</v>
      </c>
    </row>
    <row r="610" spans="1:14" hidden="1" x14ac:dyDescent="0.3">
      <c r="A610" s="70">
        <v>45952</v>
      </c>
      <c r="B610" s="70" t="s">
        <v>69</v>
      </c>
      <c r="C610" s="6">
        <v>10000</v>
      </c>
      <c r="D610" s="19">
        <v>402.8</v>
      </c>
      <c r="E610" s="67">
        <f ca="1">IFERROR(C610*D610*_xlfn.XLOOKUP(B610,[1]!TabCalc[Ticker],[1]!TabCalc[Scale]),0)</f>
        <v>40280</v>
      </c>
      <c r="F610" s="68" cm="1">
        <f t="array" ref="F610">IF(A610=A609,0,SUM(_xlfn._xlws.FILTER(E610:E620,A610:A620=A610)))</f>
        <v>0</v>
      </c>
      <c r="G610" s="69">
        <f>IF(F610&lt;&gt;0,SUM($F$43:F610),0)</f>
        <v>0</v>
      </c>
      <c r="H610" s="69" cm="1">
        <f t="array" ref="H610">IFERROR(IF(A610=A609,0,SUM(_xlfn._xlws.FILTER(E610:E620,(A610:A620=A610)*(E610:E620&gt;0)))),0)</f>
        <v>0</v>
      </c>
      <c r="I610" s="69" cm="1">
        <f t="array" ref="I610">IFERROR(IF(A610=A609,0,SUM(_xlfn._xlws.FILTER(E610:E620,(A610:A620=A610)*(F610&lt;0)))),0)</f>
        <v>0</v>
      </c>
      <c r="J610" s="81" t="str">
        <f ca="1">IFERROR(_xlfn.XLOOKUP(B610,[1]!TabCalc[Ticker],[1]!TabCalc[Cur]),"")</f>
        <v>GBp</v>
      </c>
      <c r="K610" s="68" cm="1">
        <f t="array" ref="K610">IFERROR(IF($A610=$A609,0,SUM(_xlfn._xlws.FILTER($E610:$E620,($A610:$A620=$A610)*($J610:$J620=K$42)))),0)</f>
        <v>0</v>
      </c>
      <c r="L610" s="68" cm="1">
        <f t="array" ref="L610">IFERROR(IF($A610=$A609,0,SUM(_xlfn._xlws.FILTER($E610:$E620,($A610:$A620=$A610)*($J610:$J620=L$42)))),0)</f>
        <v>0</v>
      </c>
      <c r="M610" s="68" cm="1">
        <f t="array" ref="M610">IFERROR(IF($A610=$A609,0,SUM(_xlfn._xlws.FILTER($E610:$E620,($A610:$A620=$A610)*($J610:$J620=M$42)))),0)</f>
        <v>0</v>
      </c>
      <c r="N610" s="68" cm="1">
        <f t="array" ref="N610">IFERROR(IF($A610=$A609,0,SUM(_xlfn._xlws.FILTER($E610:$E620,($A610:$A620=$A610)*($J610:$J620=N$42)))),0)</f>
        <v>0</v>
      </c>
    </row>
    <row r="611" spans="1:14" hidden="1" x14ac:dyDescent="0.3">
      <c r="A611" s="70">
        <v>45952</v>
      </c>
      <c r="B611" s="70" t="s">
        <v>63</v>
      </c>
      <c r="C611" s="6">
        <v>10000</v>
      </c>
      <c r="D611" s="19">
        <v>495.6</v>
      </c>
      <c r="E611" s="67">
        <f ca="1">IFERROR(C611*D611*_xlfn.XLOOKUP(B611,[1]!TabCalc[Ticker],[1]!TabCalc[Scale]),0)</f>
        <v>49560</v>
      </c>
      <c r="F611" s="68" cm="1">
        <f t="array" ref="F611">IF(A611=A610,0,SUM(_xlfn._xlws.FILTER(E611:E621,A611:A621=A611)))</f>
        <v>0</v>
      </c>
      <c r="G611" s="69">
        <f>IF(F611&lt;&gt;0,SUM($F$43:F611),0)</f>
        <v>0</v>
      </c>
      <c r="H611" s="69" cm="1">
        <f t="array" ref="H611">IFERROR(IF(A611=A610,0,SUM(_xlfn._xlws.FILTER(E611:E621,(A611:A621=A611)*(E611:E621&gt;0)))),0)</f>
        <v>0</v>
      </c>
      <c r="I611" s="69" cm="1">
        <f t="array" ref="I611">IFERROR(IF(A611=A610,0,SUM(_xlfn._xlws.FILTER(E611:E621,(A611:A621=A611)*(F611&lt;0)))),0)</f>
        <v>0</v>
      </c>
      <c r="J611" s="81" t="str">
        <f ca="1">IFERROR(_xlfn.XLOOKUP(B611,[1]!TabCalc[Ticker],[1]!TabCalc[Cur]),"")</f>
        <v>GBp</v>
      </c>
      <c r="K611" s="68" cm="1">
        <f t="array" ref="K611">IFERROR(IF($A611=$A610,0,SUM(_xlfn._xlws.FILTER($E611:$E621,($A611:$A621=$A611)*($J611:$J621=K$42)))),0)</f>
        <v>0</v>
      </c>
      <c r="L611" s="68" cm="1">
        <f t="array" ref="L611">IFERROR(IF($A611=$A610,0,SUM(_xlfn._xlws.FILTER($E611:$E621,($A611:$A621=$A611)*($J611:$J621=L$42)))),0)</f>
        <v>0</v>
      </c>
      <c r="M611" s="68" cm="1">
        <f t="array" ref="M611">IFERROR(IF($A611=$A610,0,SUM(_xlfn._xlws.FILTER($E611:$E621,($A611:$A621=$A611)*($J611:$J621=M$42)))),0)</f>
        <v>0</v>
      </c>
      <c r="N611" s="68" cm="1">
        <f t="array" ref="N611">IFERROR(IF($A611=$A610,0,SUM(_xlfn._xlws.FILTER($E611:$E621,($A611:$A621=$A611)*($J611:$J621=N$42)))),0)</f>
        <v>0</v>
      </c>
    </row>
    <row r="612" spans="1:14" hidden="1" x14ac:dyDescent="0.3">
      <c r="A612" s="70">
        <v>45952</v>
      </c>
      <c r="B612" s="70" t="s">
        <v>95</v>
      </c>
      <c r="C612" s="6">
        <v>1300</v>
      </c>
      <c r="D612" s="19">
        <v>-1117.45</v>
      </c>
      <c r="E612" s="67">
        <f ca="1">IFERROR(C612*D612*_xlfn.XLOOKUP(B612,[1]!TabCalc[Ticker],[1]!TabCalc[Scale]),0)</f>
        <v>-1452685</v>
      </c>
      <c r="F612" s="68" cm="1">
        <f t="array" ref="F612">IF(A612=A611,0,SUM(_xlfn._xlws.FILTER(E612:E622,A612:A622=A612)))</f>
        <v>0</v>
      </c>
      <c r="G612" s="69">
        <f>IF(F612&lt;&gt;0,SUM($F$43:F612),0)</f>
        <v>0</v>
      </c>
      <c r="H612" s="69" cm="1">
        <f t="array" ref="H612">IFERROR(IF(A612=A611,0,SUM(_xlfn._xlws.FILTER(E612:E622,(A612:A622=A612)*(E612:E622&gt;0)))),0)</f>
        <v>0</v>
      </c>
      <c r="I612" s="69" cm="1">
        <f t="array" ref="I612">IFERROR(IF(A612=A611,0,SUM(_xlfn._xlws.FILTER(E612:E622,(A612:A622=A612)*(F612&lt;0)))),0)</f>
        <v>0</v>
      </c>
      <c r="J612" s="81" t="str">
        <f ca="1">IFERROR(_xlfn.XLOOKUP(B612,[1]!TabCalc[Ticker],[1]!TabCalc[Cur]),"")</f>
        <v>USD</v>
      </c>
      <c r="K612" s="68" cm="1">
        <f t="array" ref="K612">IFERROR(IF($A612=$A611,0,SUM(_xlfn._xlws.FILTER($E612:$E622,($A612:$A622=$A612)*($J612:$J622=K$42)))),0)</f>
        <v>0</v>
      </c>
      <c r="L612" s="68" cm="1">
        <f t="array" ref="L612">IFERROR(IF($A612=$A611,0,SUM(_xlfn._xlws.FILTER($E612:$E622,($A612:$A622=$A612)*($J612:$J622=L$42)))),0)</f>
        <v>0</v>
      </c>
      <c r="M612" s="68" cm="1">
        <f t="array" ref="M612">IFERROR(IF($A612=$A611,0,SUM(_xlfn._xlws.FILTER($E612:$E622,($A612:$A622=$A612)*($J612:$J622=M$42)))),0)</f>
        <v>0</v>
      </c>
      <c r="N612" s="68" cm="1">
        <f t="array" ref="N612">IFERROR(IF($A612=$A611,0,SUM(_xlfn._xlws.FILTER($E612:$E622,($A612:$A622=$A612)*($J612:$J622=N$42)))),0)</f>
        <v>0</v>
      </c>
    </row>
    <row r="613" spans="1:14" hidden="1" x14ac:dyDescent="0.3">
      <c r="A613" s="70">
        <v>45952</v>
      </c>
      <c r="B613" s="70" t="s">
        <v>31</v>
      </c>
      <c r="C613" s="6">
        <v>800</v>
      </c>
      <c r="D613" s="19">
        <v>-286.40249999999997</v>
      </c>
      <c r="E613" s="67">
        <f ca="1">IFERROR(C613*D613*_xlfn.XLOOKUP(B613,[1]!TabCalc[Ticker],[1]!TabCalc[Scale]),0)</f>
        <v>-229121.99999999997</v>
      </c>
      <c r="F613" s="68" cm="1">
        <f t="array" ref="F613">IF(A613=A612,0,SUM(_xlfn._xlws.FILTER(E613:E623,A613:A623=A613)))</f>
        <v>0</v>
      </c>
      <c r="G613" s="69">
        <f>IF(F613&lt;&gt;0,SUM($F$43:F613),0)</f>
        <v>0</v>
      </c>
      <c r="H613" s="69" cm="1">
        <f t="array" ref="H613">IFERROR(IF(A613=A612,0,SUM(_xlfn._xlws.FILTER(E613:E623,(A613:A623=A613)*(E613:E623&gt;0)))),0)</f>
        <v>0</v>
      </c>
      <c r="I613" s="69" cm="1">
        <f t="array" ref="I613">IFERROR(IF(A613=A612,0,SUM(_xlfn._xlws.FILTER(E613:E623,(A613:A623=A613)*(F613&lt;0)))),0)</f>
        <v>0</v>
      </c>
      <c r="J613" s="81" t="str">
        <f ca="1">IFERROR(_xlfn.XLOOKUP(B613,[1]!TabCalc[Ticker],[1]!TabCalc[Cur]),"")</f>
        <v>USD</v>
      </c>
      <c r="K613" s="68" cm="1">
        <f t="array" ref="K613">IFERROR(IF($A613=$A612,0,SUM(_xlfn._xlws.FILTER($E613:$E623,($A613:$A623=$A613)*($J613:$J623=K$42)))),0)</f>
        <v>0</v>
      </c>
      <c r="L613" s="68" cm="1">
        <f t="array" ref="L613">IFERROR(IF($A613=$A612,0,SUM(_xlfn._xlws.FILTER($E613:$E623,($A613:$A623=$A613)*($J613:$J623=L$42)))),0)</f>
        <v>0</v>
      </c>
      <c r="M613" s="68" cm="1">
        <f t="array" ref="M613">IFERROR(IF($A613=$A612,0,SUM(_xlfn._xlws.FILTER($E613:$E623,($A613:$A623=$A613)*($J613:$J623=M$42)))),0)</f>
        <v>0</v>
      </c>
      <c r="N613" s="68" cm="1">
        <f t="array" ref="N613">IFERROR(IF($A613=$A612,0,SUM(_xlfn._xlws.FILTER($E613:$E623,($A613:$A623=$A613)*($J613:$J623=N$42)))),0)</f>
        <v>0</v>
      </c>
    </row>
    <row r="614" spans="1:14" hidden="1" x14ac:dyDescent="0.3">
      <c r="A614" s="64">
        <v>45953</v>
      </c>
      <c r="B614" s="5" t="s">
        <v>69</v>
      </c>
      <c r="C614" s="5">
        <v>10000</v>
      </c>
      <c r="D614" s="66">
        <v>405.01</v>
      </c>
      <c r="E614" s="67">
        <f ca="1">IFERROR(C614*D614*_xlfn.XLOOKUP(B614,[1]!TabCalc[Ticker],[1]!TabCalc[Scale]),0)</f>
        <v>40501</v>
      </c>
      <c r="F614" s="68" cm="1">
        <f t="array" aca="1" ref="F614" ca="1">IF(A614=A613,0,SUM(_xlfn._xlws.FILTER(E614:E624,A614:A624=A614)))</f>
        <v>-511279</v>
      </c>
      <c r="G614" s="69">
        <f ca="1">IF(F614&lt;&gt;0,SUM($F$43:F614),0)</f>
        <v>-4079881.6945730001</v>
      </c>
      <c r="H614" s="69" cm="1">
        <f t="array" aca="1" ref="H614" ca="1">IFERROR(IF(A614=A613,0,SUM(_xlfn._xlws.FILTER(E614:E624,(A614:A624=A614)*(E614:E624&gt;0)))),0)</f>
        <v>40501</v>
      </c>
      <c r="I614" s="69" cm="1">
        <f t="array" aca="1" ref="I614" ca="1">IFERROR(IF(A614=A613,0,SUM(_xlfn._xlws.FILTER(E614:E624,(A614:A624=A614)*(F614&lt;0)))),0)</f>
        <v>-511279</v>
      </c>
      <c r="J614" s="81" t="str">
        <f ca="1">IFERROR(_xlfn.XLOOKUP(B614,[1]!TabCalc[Ticker],[1]!TabCalc[Cur]),"")</f>
        <v>GBp</v>
      </c>
      <c r="K614" s="68" cm="1">
        <f t="array" aca="1" ref="K614" ca="1">IFERROR(IF($A614=$A613,0,SUM(_xlfn._xlws.FILTER($E614:$E624,($A614:$A624=$A614)*($J614:$J624=K$42)))),0)</f>
        <v>0</v>
      </c>
      <c r="L614" s="68" cm="1">
        <f t="array" aca="1" ref="L614" ca="1">IFERROR(IF($A614=$A613,0,SUM(_xlfn._xlws.FILTER($E614:$E624,($A614:$A624=$A614)*($J614:$J624=L$42)))),0)</f>
        <v>-551780</v>
      </c>
      <c r="M614" s="68" cm="1">
        <f t="array" aca="1" ref="M614" ca="1">IFERROR(IF($A614=$A613,0,SUM(_xlfn._xlws.FILTER($E614:$E624,($A614:$A624=$A614)*($J614:$J624=M$42)))),0)</f>
        <v>40501</v>
      </c>
      <c r="N614" s="68" cm="1">
        <f t="array" aca="1" ref="N614" ca="1">IFERROR(IF($A614=$A613,0,SUM(_xlfn._xlws.FILTER($E614:$E624,($A614:$A624=$A614)*($J614:$J624=N$42)))),0)</f>
        <v>0</v>
      </c>
    </row>
    <row r="615" spans="1:14" hidden="1" x14ac:dyDescent="0.3">
      <c r="A615" s="64">
        <v>45953</v>
      </c>
      <c r="B615" s="5" t="s">
        <v>95</v>
      </c>
      <c r="C615" s="5">
        <v>500</v>
      </c>
      <c r="D615" s="66">
        <v>-1103.56</v>
      </c>
      <c r="E615" s="67">
        <f ca="1">IFERROR(C615*D615*_xlfn.XLOOKUP(B615,[1]!TabCalc[Ticker],[1]!TabCalc[Scale]),0)</f>
        <v>-551780</v>
      </c>
      <c r="F615" s="68" cm="1">
        <f t="array" ref="F615">IF(A615=A614,0,SUM(_xlfn._xlws.FILTER(E615:E625,A615:A625=A615)))</f>
        <v>0</v>
      </c>
      <c r="G615" s="69">
        <f>IF(F615&lt;&gt;0,SUM($F$43:F615),0)</f>
        <v>0</v>
      </c>
      <c r="H615" s="69" cm="1">
        <f t="array" ref="H615">IFERROR(IF(A615=A614,0,SUM(_xlfn._xlws.FILTER(E615:E625,(A615:A625=A615)*(E615:E625&gt;0)))),0)</f>
        <v>0</v>
      </c>
      <c r="I615" s="69" cm="1">
        <f t="array" ref="I615">IFERROR(IF(A615=A614,0,SUM(_xlfn._xlws.FILTER(E615:E625,(A615:A625=A615)*(F615&lt;0)))),0)</f>
        <v>0</v>
      </c>
      <c r="J615" s="81" t="str">
        <f ca="1">IFERROR(_xlfn.XLOOKUP(B615,[1]!TabCalc[Ticker],[1]!TabCalc[Cur]),"")</f>
        <v>USD</v>
      </c>
      <c r="K615" s="68" cm="1">
        <f t="array" ref="K615">IFERROR(IF($A615=$A614,0,SUM(_xlfn._xlws.FILTER($E615:$E625,($A615:$A625=$A615)*($J615:$J625=K$42)))),0)</f>
        <v>0</v>
      </c>
      <c r="L615" s="68" cm="1">
        <f t="array" ref="L615">IFERROR(IF($A615=$A614,0,SUM(_xlfn._xlws.FILTER($E615:$E625,($A615:$A625=$A615)*($J615:$J625=L$42)))),0)</f>
        <v>0</v>
      </c>
      <c r="M615" s="68" cm="1">
        <f t="array" ref="M615">IFERROR(IF($A615=$A614,0,SUM(_xlfn._xlws.FILTER($E615:$E625,($A615:$A625=$A615)*($J615:$J625=M$42)))),0)</f>
        <v>0</v>
      </c>
      <c r="N615" s="68" cm="1">
        <f t="array" ref="N615">IFERROR(IF($A615=$A614,0,SUM(_xlfn._xlws.FILTER($E615:$E625,($A615:$A625=$A615)*($J615:$J625=N$42)))),0)</f>
        <v>0</v>
      </c>
    </row>
    <row r="616" spans="1:14" hidden="1" x14ac:dyDescent="0.3">
      <c r="A616" s="70">
        <v>45954</v>
      </c>
      <c r="B616" s="70" t="s">
        <v>30</v>
      </c>
      <c r="C616" s="6">
        <v>100</v>
      </c>
      <c r="D616" s="19">
        <v>894.75</v>
      </c>
      <c r="E616" s="67">
        <f ca="1">IFERROR(C616*D616*_xlfn.XLOOKUP(B616,[1]!TabCalc[Ticker],[1]!TabCalc[Scale]),0)</f>
        <v>89475</v>
      </c>
      <c r="F616" s="68" cm="1">
        <f t="array" aca="1" ref="F616" ca="1">IF(A616=A615,0,SUM(_xlfn._xlws.FILTER(E616:E626,A616:A626=A616)))</f>
        <v>-611723.34</v>
      </c>
      <c r="G616" s="69">
        <f ca="1">IF(F616&lt;&gt;0,SUM($F$43:F616),0)</f>
        <v>-4691605.0345729999</v>
      </c>
      <c r="H616" s="69" cm="1">
        <f t="array" aca="1" ref="H616" ca="1">IFERROR(IF(A616=A615,0,SUM(_xlfn._xlws.FILTER(E616:E626,(A616:A626=A616)*(E616:E626&gt;0)))),0)</f>
        <v>170715</v>
      </c>
      <c r="I616" s="69" cm="1">
        <f t="array" aca="1" ref="I616" ca="1">IFERROR(IF(A616=A615,0,SUM(_xlfn._xlws.FILTER(E616:E626,(A616:A626=A616)*(F616&lt;0)))),0)</f>
        <v>-611723.34</v>
      </c>
      <c r="J616" s="81" t="str">
        <f ca="1">IFERROR(_xlfn.XLOOKUP(B616,[1]!TabCalc[Ticker],[1]!TabCalc[Cur]),"")</f>
        <v>EUR</v>
      </c>
      <c r="K616" s="68" cm="1">
        <f t="array" aca="1" ref="K616" ca="1">IFERROR(IF($A616=$A615,0,SUM(_xlfn._xlws.FILTER($E616:$E626,($A616:$A626=$A616)*($J616:$J626=K$42)))),0)</f>
        <v>89475</v>
      </c>
      <c r="L616" s="68" cm="1">
        <f t="array" aca="1" ref="L616" ca="1">IFERROR(IF($A616=$A615,0,SUM(_xlfn._xlws.FILTER($E616:$E626,($A616:$A626=$A616)*($J616:$J626=L$42)))),0)</f>
        <v>-782438.34</v>
      </c>
      <c r="M616" s="68" cm="1">
        <f t="array" aca="1" ref="M616" ca="1">IFERROR(IF($A616=$A615,0,SUM(_xlfn._xlws.FILTER($E616:$E626,($A616:$A626=$A616)*($J616:$J626=M$42)))),0)</f>
        <v>81240</v>
      </c>
      <c r="N616" s="68" cm="1">
        <f t="array" aca="1" ref="N616" ca="1">IFERROR(IF($A616=$A615,0,SUM(_xlfn._xlws.FILTER($E616:$E626,($A616:$A626=$A616)*($J616:$J626=N$42)))),0)</f>
        <v>0</v>
      </c>
    </row>
    <row r="617" spans="1:14" hidden="1" x14ac:dyDescent="0.3">
      <c r="A617" s="70">
        <v>45954</v>
      </c>
      <c r="B617" s="70" t="s">
        <v>69</v>
      </c>
      <c r="C617" s="6">
        <v>20000</v>
      </c>
      <c r="D617" s="19">
        <v>406.2</v>
      </c>
      <c r="E617" s="67">
        <f ca="1">IFERROR(C617*D617*_xlfn.XLOOKUP(B617,[1]!TabCalc[Ticker],[1]!TabCalc[Scale]),0)</f>
        <v>81240</v>
      </c>
      <c r="F617" s="68" cm="1">
        <f t="array" ref="F617">IF(A617=A616,0,SUM(_xlfn._xlws.FILTER(E617:E627,A617:A627=A617)))</f>
        <v>0</v>
      </c>
      <c r="G617" s="69">
        <f>IF(F617&lt;&gt;0,SUM($F$43:F617),0)</f>
        <v>0</v>
      </c>
      <c r="H617" s="69" cm="1">
        <f t="array" ref="H617">IFERROR(IF(A617=A616,0,SUM(_xlfn._xlws.FILTER(E617:E627,(A617:A627=A617)*(E617:E627&gt;0)))),0)</f>
        <v>0</v>
      </c>
      <c r="I617" s="69" cm="1">
        <f t="array" ref="I617">IFERROR(IF(A617=A616,0,SUM(_xlfn._xlws.FILTER(E617:E627,(A617:A627=A617)*(F617&lt;0)))),0)</f>
        <v>0</v>
      </c>
      <c r="J617" s="81" t="str">
        <f ca="1">IFERROR(_xlfn.XLOOKUP(B617,[1]!TabCalc[Ticker],[1]!TabCalc[Cur]),"")</f>
        <v>GBp</v>
      </c>
      <c r="K617" s="68" cm="1">
        <f t="array" ref="K617">IFERROR(IF($A617=$A616,0,SUM(_xlfn._xlws.FILTER($E617:$E627,($A617:$A627=$A617)*($J617:$J627=K$42)))),0)</f>
        <v>0</v>
      </c>
      <c r="L617" s="68" cm="1">
        <f t="array" ref="L617">IFERROR(IF($A617=$A616,0,SUM(_xlfn._xlws.FILTER($E617:$E627,($A617:$A627=$A617)*($J617:$J627=L$42)))),0)</f>
        <v>0</v>
      </c>
      <c r="M617" s="68" cm="1">
        <f t="array" ref="M617">IFERROR(IF($A617=$A616,0,SUM(_xlfn._xlws.FILTER($E617:$E627,($A617:$A627=$A617)*($J617:$J627=M$42)))),0)</f>
        <v>0</v>
      </c>
      <c r="N617" s="68" cm="1">
        <f t="array" ref="N617">IFERROR(IF($A617=$A616,0,SUM(_xlfn._xlws.FILTER($E617:$E627,($A617:$A627=$A617)*($J617:$J627=N$42)))),0)</f>
        <v>0</v>
      </c>
    </row>
    <row r="618" spans="1:14" hidden="1" x14ac:dyDescent="0.3">
      <c r="A618" s="70">
        <v>45954</v>
      </c>
      <c r="B618" s="70" t="s">
        <v>38</v>
      </c>
      <c r="C618" s="6">
        <v>1000</v>
      </c>
      <c r="D618" s="19">
        <v>-66.995000000000005</v>
      </c>
      <c r="E618" s="67">
        <f ca="1">IFERROR(C618*D618*_xlfn.XLOOKUP(B618,[1]!TabCalc[Ticker],[1]!TabCalc[Scale]),0)</f>
        <v>-66995</v>
      </c>
      <c r="F618" s="68" cm="1">
        <f t="array" ref="F618">IF(A618=A617,0,SUM(_xlfn._xlws.FILTER(E618:E628,A618:A628=A618)))</f>
        <v>0</v>
      </c>
      <c r="G618" s="69">
        <f>IF(F618&lt;&gt;0,SUM($F$43:F618),0)</f>
        <v>0</v>
      </c>
      <c r="H618" s="69" cm="1">
        <f t="array" ref="H618">IFERROR(IF(A618=A617,0,SUM(_xlfn._xlws.FILTER(E618:E628,(A618:A628=A618)*(E618:E628&gt;0)))),0)</f>
        <v>0</v>
      </c>
      <c r="I618" s="69" cm="1">
        <f t="array" ref="I618">IFERROR(IF(A618=A617,0,SUM(_xlfn._xlws.FILTER(E618:E628,(A618:A628=A618)*(F618&lt;0)))),0)</f>
        <v>0</v>
      </c>
      <c r="J618" s="81" t="str">
        <f ca="1">IFERROR(_xlfn.XLOOKUP(B618,[1]!TabCalc[Ticker],[1]!TabCalc[Cur]),"")</f>
        <v>USD</v>
      </c>
      <c r="K618" s="68" cm="1">
        <f t="array" ref="K618">IFERROR(IF($A618=$A617,0,SUM(_xlfn._xlws.FILTER($E618:$E628,($A618:$A628=$A618)*($J618:$J628=K$42)))),0)</f>
        <v>0</v>
      </c>
      <c r="L618" s="68" cm="1">
        <f t="array" ref="L618">IFERROR(IF($A618=$A617,0,SUM(_xlfn._xlws.FILTER($E618:$E628,($A618:$A628=$A618)*($J618:$J628=L$42)))),0)</f>
        <v>0</v>
      </c>
      <c r="M618" s="68" cm="1">
        <f t="array" ref="M618">IFERROR(IF($A618=$A617,0,SUM(_xlfn._xlws.FILTER($E618:$E628,($A618:$A628=$A618)*($J618:$J628=M$42)))),0)</f>
        <v>0</v>
      </c>
      <c r="N618" s="68" cm="1">
        <f t="array" ref="N618">IFERROR(IF($A618=$A617,0,SUM(_xlfn._xlws.FILTER($E618:$E628,($A618:$A628=$A618)*($J618:$J628=N$42)))),0)</f>
        <v>0</v>
      </c>
    </row>
    <row r="619" spans="1:14" hidden="1" x14ac:dyDescent="0.3">
      <c r="A619" s="70">
        <v>45954</v>
      </c>
      <c r="B619" s="70" t="s">
        <v>82</v>
      </c>
      <c r="C619" s="6">
        <v>2000</v>
      </c>
      <c r="D619" s="19">
        <v>-83.501670000000004</v>
      </c>
      <c r="E619" s="67">
        <f ca="1">IFERROR(C619*D619*_xlfn.XLOOKUP(B619,[1]!TabCalc[Ticker],[1]!TabCalc[Scale]),0)</f>
        <v>-167003.34</v>
      </c>
      <c r="F619" s="68" cm="1">
        <f t="array" ref="F619">IF(A619=A618,0,SUM(_xlfn._xlws.FILTER(E619:E629,A619:A629=A619)))</f>
        <v>0</v>
      </c>
      <c r="G619" s="69">
        <f>IF(F619&lt;&gt;0,SUM($F$43:F619),0)</f>
        <v>0</v>
      </c>
      <c r="H619" s="69" cm="1">
        <f t="array" ref="H619">IFERROR(IF(A619=A618,0,SUM(_xlfn._xlws.FILTER(E619:E629,(A619:A629=A619)*(E619:E629&gt;0)))),0)</f>
        <v>0</v>
      </c>
      <c r="I619" s="69" cm="1">
        <f t="array" ref="I619">IFERROR(IF(A619=A618,0,SUM(_xlfn._xlws.FILTER(E619:E629,(A619:A629=A619)*(F619&lt;0)))),0)</f>
        <v>0</v>
      </c>
      <c r="J619" s="81" t="str">
        <f ca="1">IFERROR(_xlfn.XLOOKUP(B619,[1]!TabCalc[Ticker],[1]!TabCalc[Cur]),"")</f>
        <v>USD</v>
      </c>
      <c r="K619" s="68" cm="1">
        <f t="array" ref="K619">IFERROR(IF($A619=$A618,0,SUM(_xlfn._xlws.FILTER($E619:$E629,($A619:$A629=$A619)*($J619:$J629=K$42)))),0)</f>
        <v>0</v>
      </c>
      <c r="L619" s="68" cm="1">
        <f t="array" ref="L619">IFERROR(IF($A619=$A618,0,SUM(_xlfn._xlws.FILTER($E619:$E629,($A619:$A629=$A619)*($J619:$J629=L$42)))),0)</f>
        <v>0</v>
      </c>
      <c r="M619" s="68" cm="1">
        <f t="array" ref="M619">IFERROR(IF($A619=$A618,0,SUM(_xlfn._xlws.FILTER($E619:$E629,($A619:$A629=$A619)*($J619:$J629=M$42)))),0)</f>
        <v>0</v>
      </c>
      <c r="N619" s="68" cm="1">
        <f t="array" ref="N619">IFERROR(IF($A619=$A618,0,SUM(_xlfn._xlws.FILTER($E619:$E629,($A619:$A629=$A619)*($J619:$J629=N$42)))),0)</f>
        <v>0</v>
      </c>
    </row>
    <row r="620" spans="1:14" x14ac:dyDescent="0.3">
      <c r="A620" s="70">
        <v>45954</v>
      </c>
      <c r="B620" s="70" t="s">
        <v>95</v>
      </c>
      <c r="C620" s="6">
        <v>500</v>
      </c>
      <c r="D620" s="19">
        <v>-1096.8800000000001</v>
      </c>
      <c r="E620" s="67">
        <f ca="1">IFERROR(C620*D620*_xlfn.XLOOKUP(B620,[1]!TabCalc[Ticker],[1]!TabCalc[Scale]),0)</f>
        <v>-548440</v>
      </c>
      <c r="F620" s="68" cm="1">
        <f t="array" ref="F620">IF(A620=A619,0,SUM(_xlfn._xlws.FILTER(E620:E630,A620:A630=A620)))</f>
        <v>0</v>
      </c>
      <c r="G620" s="69">
        <f>IF(F620&lt;&gt;0,SUM($F$43:F620),0)</f>
        <v>0</v>
      </c>
      <c r="H620" s="69" cm="1">
        <f t="array" ref="H620">IFERROR(IF(A620=A619,0,SUM(_xlfn._xlws.FILTER(E620:E630,(A620:A630=A620)*(E620:E630&gt;0)))),0)</f>
        <v>0</v>
      </c>
      <c r="I620" s="69" cm="1">
        <f t="array" ref="I620">IFERROR(IF(A620=A619,0,SUM(_xlfn._xlws.FILTER(E620:E630,(A620:A630=A620)*(F620&lt;0)))),0)</f>
        <v>0</v>
      </c>
      <c r="J620" s="81" t="str">
        <f ca="1">IFERROR(_xlfn.XLOOKUP(B620,[1]!TabCalc[Ticker],[1]!TabCalc[Cur]),"")</f>
        <v>USD</v>
      </c>
      <c r="K620" s="68" cm="1">
        <f t="array" ref="K620">IFERROR(IF($A620=$A619,0,SUM(_xlfn._xlws.FILTER($E620:$E630,($A620:$A630=$A620)*($J620:$J630=K$42)))),0)</f>
        <v>0</v>
      </c>
      <c r="L620" s="68" cm="1">
        <f t="array" ref="L620">IFERROR(IF($A620=$A619,0,SUM(_xlfn._xlws.FILTER($E620:$E630,($A620:$A630=$A620)*($J620:$J630=L$42)))),0)</f>
        <v>0</v>
      </c>
      <c r="M620" s="68" cm="1">
        <f t="array" ref="M620">IFERROR(IF($A620=$A619,0,SUM(_xlfn._xlws.FILTER($E620:$E630,($A620:$A630=$A620)*($J620:$J630=M$42)))),0)</f>
        <v>0</v>
      </c>
      <c r="N620" s="68" cm="1">
        <f t="array" ref="N620">IFERROR(IF($A620=$A619,0,SUM(_xlfn._xlws.FILTER($E620:$E630,($A620:$A630=$A620)*($J620:$J630=N$42)))),0)</f>
        <v>0</v>
      </c>
    </row>
    <row r="621" spans="1:14" x14ac:dyDescent="0.3">
      <c r="A621" s="64">
        <v>45957</v>
      </c>
      <c r="B621" s="5" t="s">
        <v>69</v>
      </c>
      <c r="C621" s="5">
        <v>10000</v>
      </c>
      <c r="D621" s="5">
        <v>410.07</v>
      </c>
      <c r="E621" s="67">
        <f ca="1">IFERROR(C621*D621*_xlfn.XLOOKUP(B621,[1]!TabCalc[Ticker],[1]!TabCalc[Scale]),0)</f>
        <v>41007</v>
      </c>
      <c r="F621" s="68" cm="1">
        <f t="array" aca="1" ref="F621" ca="1">IF(A621=A620,0,SUM(_xlfn._xlws.FILTER(E621:E631,A621:A631=A621)))</f>
        <v>133317.20000000001</v>
      </c>
      <c r="G621" s="69">
        <f ca="1">IF(F621&lt;&gt;0,SUM($F$43:F621),0)</f>
        <v>-4558287.8345729997</v>
      </c>
      <c r="H621" s="69" cm="1">
        <f t="array" aca="1" ref="H621" ca="1">IFERROR(IF(A621=A620,0,SUM(_xlfn._xlws.FILTER(E621:E631,(A621:A631=A621)*(E621:E631&gt;0)))),0)</f>
        <v>133317.20000000001</v>
      </c>
      <c r="I621" s="69" cm="1">
        <f t="array" aca="1" ref="I621" ca="1">IFERROR(IF(A621=A620,0,SUM(_xlfn._xlws.FILTER(E621:E631,(A621:A631=A621)*(F621&lt;0)))),0)</f>
        <v>0</v>
      </c>
      <c r="J621" s="81" t="str">
        <f ca="1">IFERROR(_xlfn.XLOOKUP(B621,[1]!TabCalc[Ticker],[1]!TabCalc[Cur]),"")</f>
        <v>GBp</v>
      </c>
      <c r="K621" s="68" cm="1">
        <f t="array" aca="1" ref="K621" ca="1">IFERROR(IF($A621=$A620,0,SUM(_xlfn._xlws.FILTER($E621:$E631,($A621:$A631=$A621)*($J621:$J631=K$42)))),0)</f>
        <v>91025</v>
      </c>
      <c r="L621" s="68" cm="1">
        <f t="array" aca="1" ref="L621" ca="1">IFERROR(IF($A621=$A620,0,SUM(_xlfn._xlws.FILTER($E621:$E631,($A621:$A631=$A621)*($J621:$J631=L$42)))),0)</f>
        <v>0</v>
      </c>
      <c r="M621" s="68" cm="1">
        <f t="array" aca="1" ref="M621" ca="1">IFERROR(IF($A621=$A620,0,SUM(_xlfn._xlws.FILTER($E621:$E631,($A621:$A631=$A621)*($J621:$J631=M$42)))),0)</f>
        <v>41007</v>
      </c>
      <c r="N621" s="68" cm="1">
        <f t="array" aca="1" ref="N621" ca="1">IFERROR(IF($A621=$A620,0,SUM(_xlfn._xlws.FILTER($E621:$E631,($A621:$A631=$A621)*($J621:$J631=N$42)))),0)</f>
        <v>1285.2</v>
      </c>
    </row>
    <row r="622" spans="1:14" x14ac:dyDescent="0.3">
      <c r="A622" s="64">
        <v>45957</v>
      </c>
      <c r="B622" s="5" t="s">
        <v>30</v>
      </c>
      <c r="C622" s="5">
        <v>100</v>
      </c>
      <c r="D622" s="5">
        <v>910.25</v>
      </c>
      <c r="E622" s="67">
        <f ca="1">IFERROR(C622*D622*_xlfn.XLOOKUP(B622,[1]!TabCalc[Ticker],[1]!TabCalc[Scale]),0)</f>
        <v>91025</v>
      </c>
      <c r="F622" s="68" cm="1">
        <f t="array" ref="F622">IF(A622=A621,0,SUM(_xlfn._xlws.FILTER(E622:E632,A622:A632=A622)))</f>
        <v>0</v>
      </c>
      <c r="G622" s="69">
        <f>IF(F622&lt;&gt;0,SUM($F$43:F622),0)</f>
        <v>0</v>
      </c>
      <c r="H622" s="69" cm="1">
        <f t="array" ref="H622">IFERROR(IF(A622=A621,0,SUM(_xlfn._xlws.FILTER(E622:E632,(A622:A632=A622)*(E622:E632&gt;0)))),0)</f>
        <v>0</v>
      </c>
      <c r="I622" s="69" cm="1">
        <f t="array" ref="I622">IFERROR(IF(A622=A621,0,SUM(_xlfn._xlws.FILTER(E622:E632,(A622:A632=A622)*(F622&lt;0)))),0)</f>
        <v>0</v>
      </c>
      <c r="J622" s="81" t="str">
        <f ca="1">IFERROR(_xlfn.XLOOKUP(B622,[1]!TabCalc[Ticker],[1]!TabCalc[Cur]),"")</f>
        <v>EUR</v>
      </c>
      <c r="K622" s="68" cm="1">
        <f t="array" ref="K622">IFERROR(IF($A622=$A621,0,SUM(_xlfn._xlws.FILTER($E622:$E632,($A622:$A632=$A622)*($J622:$J632=K$42)))),0)</f>
        <v>0</v>
      </c>
      <c r="L622" s="68" cm="1">
        <f t="array" ref="L622">IFERROR(IF($A622=$A621,0,SUM(_xlfn._xlws.FILTER($E622:$E632,($A622:$A632=$A622)*($J622:$J632=L$42)))),0)</f>
        <v>0</v>
      </c>
      <c r="M622" s="68" cm="1">
        <f t="array" ref="M622">IFERROR(IF($A622=$A621,0,SUM(_xlfn._xlws.FILTER($E622:$E632,($A622:$A632=$A622)*($J622:$J632=M$42)))),0)</f>
        <v>0</v>
      </c>
      <c r="N622" s="68" cm="1">
        <f t="array" ref="N622">IFERROR(IF($A622=$A621,0,SUM(_xlfn._xlws.FILTER($E622:$E632,($A622:$A632=$A622)*($J622:$J632=N$42)))),0)</f>
        <v>0</v>
      </c>
    </row>
    <row r="623" spans="1:14" x14ac:dyDescent="0.3">
      <c r="A623" s="70">
        <v>45957</v>
      </c>
      <c r="B623" s="70" t="s">
        <v>97</v>
      </c>
      <c r="C623" s="6">
        <v>21</v>
      </c>
      <c r="D623" s="19">
        <v>61.2</v>
      </c>
      <c r="E623" s="67">
        <f ca="1">IFERROR(C623*D623*_xlfn.XLOOKUP(B623,[1]!TabCalc[Ticker],[1]!TabCalc[Scale]),0)</f>
        <v>1285.2</v>
      </c>
      <c r="F623" s="68" cm="1">
        <f t="array" ref="F623">IF(A623=A622,0,SUM(_xlfn._xlws.FILTER(E623:E633,A623:A633=A623)))</f>
        <v>0</v>
      </c>
      <c r="G623" s="69">
        <f>IF(F623&lt;&gt;0,SUM($F$43:F623),0)</f>
        <v>0</v>
      </c>
      <c r="H623" s="69" cm="1">
        <f t="array" ref="H623">IFERROR(IF(A623=A622,0,SUM(_xlfn._xlws.FILTER(E623:E633,(A623:A633=A623)*(E623:E633&gt;0)))),0)</f>
        <v>0</v>
      </c>
      <c r="I623" s="69" cm="1">
        <f t="array" ref="I623">IFERROR(IF(A623=A622,0,SUM(_xlfn._xlws.FILTER(E623:E633,(A623:A633=A623)*(F623&lt;0)))),0)</f>
        <v>0</v>
      </c>
      <c r="J623" s="81" t="str">
        <f ca="1">IFERROR(_xlfn.XLOOKUP(B623,[1]!TabCalc[Ticker],[1]!TabCalc[Cur]),"")</f>
        <v>CHF</v>
      </c>
      <c r="K623" s="68" cm="1">
        <f t="array" ref="K623">IFERROR(IF($A623=$A622,0,SUM(_xlfn._xlws.FILTER($E623:$E633,($A623:$A633=$A623)*($J623:$J633=K$42)))),0)</f>
        <v>0</v>
      </c>
      <c r="L623" s="68" cm="1">
        <f t="array" ref="L623">IFERROR(IF($A623=$A622,0,SUM(_xlfn._xlws.FILTER($E623:$E633,($A623:$A633=$A623)*($J623:$J633=L$42)))),0)</f>
        <v>0</v>
      </c>
      <c r="M623" s="68" cm="1">
        <f t="array" ref="M623">IFERROR(IF($A623=$A622,0,SUM(_xlfn._xlws.FILTER($E623:$E633,($A623:$A633=$A623)*($J623:$J633=M$42)))),0)</f>
        <v>0</v>
      </c>
      <c r="N623" s="68" cm="1">
        <f t="array" ref="N623">IFERROR(IF($A623=$A622,0,SUM(_xlfn._xlws.FILTER($E623:$E633,($A623:$A633=$A623)*($J623:$J633=N$42)))),0)</f>
        <v>0</v>
      </c>
    </row>
    <row r="624" spans="1:14" x14ac:dyDescent="0.3">
      <c r="A624" s="70">
        <v>45958</v>
      </c>
      <c r="B624" s="70" t="s">
        <v>40</v>
      </c>
      <c r="C624" s="6">
        <v>1800</v>
      </c>
      <c r="D624" s="19">
        <v>24.12</v>
      </c>
      <c r="E624" s="67">
        <f ca="1">IFERROR(C624*D624*_xlfn.XLOOKUP(B624,[1]!TabCalc[Ticker],[1]!TabCalc[Scale]),0)</f>
        <v>43416</v>
      </c>
      <c r="F624" s="68" cm="1">
        <f t="array" aca="1" ref="F624" ca="1">IF(A624=A623,0,SUM(_xlfn._xlws.FILTER(E624:E634,A624:A634=A624)))</f>
        <v>-36183</v>
      </c>
      <c r="G624" s="69">
        <f ca="1">IF(F624&lt;&gt;0,SUM($F$43:F624),0)</f>
        <v>-4594470.8345729997</v>
      </c>
      <c r="H624" s="69" cm="1">
        <f t="array" aca="1" ref="H624" ca="1">IFERROR(IF(A624=A623,0,SUM(_xlfn._xlws.FILTER(E624:E634,(A624:A634=A624)*(E624:E634&gt;0)))),0)</f>
        <v>43416</v>
      </c>
      <c r="I624" s="69" cm="1">
        <f t="array" aca="1" ref="I624" ca="1">IFERROR(IF(A624=A623,0,SUM(_xlfn._xlws.FILTER(E624:E634,(A624:A634=A624)*(F624&lt;0)))),0)</f>
        <v>-36183</v>
      </c>
      <c r="J624" s="81" t="str">
        <f ca="1">IFERROR(_xlfn.XLOOKUP(B624,[1]!TabCalc[Ticker],[1]!TabCalc[Cur]),"")</f>
        <v>USD</v>
      </c>
      <c r="K624" s="68" cm="1">
        <f t="array" aca="1" ref="K624" ca="1">IFERROR(IF($A624=$A623,0,SUM(_xlfn._xlws.FILTER($E624:$E634,($A624:$A634=$A624)*($J624:$J634=K$42)))),0)</f>
        <v>0</v>
      </c>
      <c r="L624" s="68" cm="1">
        <f t="array" aca="1" ref="L624" ca="1">IFERROR(IF($A624=$A623,0,SUM(_xlfn._xlws.FILTER($E624:$E634,($A624:$A634=$A624)*($J624:$J634=L$42)))),0)</f>
        <v>-36183</v>
      </c>
      <c r="M624" s="68" cm="1">
        <f t="array" aca="1" ref="M624" ca="1">IFERROR(IF($A624=$A623,0,SUM(_xlfn._xlws.FILTER($E624:$E634,($A624:$A634=$A624)*($J624:$J634=M$42)))),0)</f>
        <v>0</v>
      </c>
      <c r="N624" s="68" cm="1">
        <f t="array" aca="1" ref="N624" ca="1">IFERROR(IF($A624=$A623,0,SUM(_xlfn._xlws.FILTER($E624:$E634,($A624:$A634=$A624)*($J624:$J634=N$42)))),0)</f>
        <v>0</v>
      </c>
    </row>
    <row r="625" spans="1:14" x14ac:dyDescent="0.3">
      <c r="A625" s="70">
        <v>45958</v>
      </c>
      <c r="B625" s="70" t="s">
        <v>82</v>
      </c>
      <c r="C625" s="6">
        <v>1000</v>
      </c>
      <c r="D625" s="19">
        <v>-79.599000000000004</v>
      </c>
      <c r="E625" s="67">
        <f ca="1">IFERROR(C625*D625*_xlfn.XLOOKUP(B625,[1]!TabCalc[Ticker],[1]!TabCalc[Scale]),0)</f>
        <v>-79599</v>
      </c>
      <c r="F625" s="68" cm="1">
        <f t="array" ref="F625">IF(A625=A624,0,SUM(_xlfn._xlws.FILTER(E625:E635,A625:A635=A625)))</f>
        <v>0</v>
      </c>
      <c r="G625" s="69">
        <f>IF(F625&lt;&gt;0,SUM($F$43:F625),0)</f>
        <v>0</v>
      </c>
      <c r="H625" s="69" cm="1">
        <f t="array" ref="H625">IFERROR(IF(A625=A624,0,SUM(_xlfn._xlws.FILTER(E625:E635,(A625:A635=A625)*(E625:E635&gt;0)))),0)</f>
        <v>0</v>
      </c>
      <c r="I625" s="69" cm="1">
        <f t="array" ref="I625">IFERROR(IF(A625=A624,0,SUM(_xlfn._xlws.FILTER(E625:E635,(A625:A635=A625)*(F625&lt;0)))),0)</f>
        <v>0</v>
      </c>
      <c r="J625" s="81" t="str">
        <f ca="1">IFERROR(_xlfn.XLOOKUP(B625,[1]!TabCalc[Ticker],[1]!TabCalc[Cur]),"")</f>
        <v>USD</v>
      </c>
      <c r="K625" s="68" cm="1">
        <f t="array" ref="K625">IFERROR(IF($A625=$A624,0,SUM(_xlfn._xlws.FILTER($E625:$E635,($A625:$A635=$A625)*($J625:$J635=K$42)))),0)</f>
        <v>0</v>
      </c>
      <c r="L625" s="68" cm="1">
        <f t="array" ref="L625">IFERROR(IF($A625=$A624,0,SUM(_xlfn._xlws.FILTER($E625:$E635,($A625:$A635=$A625)*($J625:$J635=L$42)))),0)</f>
        <v>0</v>
      </c>
      <c r="M625" s="68" cm="1">
        <f t="array" ref="M625">IFERROR(IF($A625=$A624,0,SUM(_xlfn._xlws.FILTER($E625:$E635,($A625:$A635=$A625)*($J625:$J635=M$42)))),0)</f>
        <v>0</v>
      </c>
      <c r="N625" s="68" cm="1">
        <f t="array" ref="N625">IFERROR(IF($A625=$A624,0,SUM(_xlfn._xlws.FILTER($E625:$E635,($A625:$A635=$A625)*($J625:$J635=N$42)))),0)</f>
        <v>0</v>
      </c>
    </row>
    <row r="626" spans="1:14" x14ac:dyDescent="0.3">
      <c r="A626" s="64">
        <v>45959</v>
      </c>
      <c r="B626" s="5" t="s">
        <v>81</v>
      </c>
      <c r="C626" s="5">
        <v>1500</v>
      </c>
      <c r="D626" s="66">
        <v>-28</v>
      </c>
      <c r="E626" s="67">
        <f ca="1">IFERROR(C626*D626*_xlfn.XLOOKUP(B626,[1]!TabCalc[Ticker],[1]!TabCalc[Scale]),0)</f>
        <v>-42000</v>
      </c>
      <c r="F626" s="68" cm="1">
        <f t="array" aca="1" ref="F626" ca="1">IF(A626=A625,0,SUM(_xlfn._xlws.FILTER(E626:E636,A626:A636=A626)))</f>
        <v>-61478.899999999994</v>
      </c>
      <c r="G626" s="69">
        <f ca="1">IF(F626&lt;&gt;0,SUM($F$43:F626),0)</f>
        <v>-4655949.7345730001</v>
      </c>
      <c r="H626" s="69" cm="1">
        <f t="array" aca="1" ref="H626" ca="1">IFERROR(IF(A626=A625,0,SUM(_xlfn._xlws.FILTER(E626:E636,(A626:A636=A626)*(E626:E636&gt;0)))),0)</f>
        <v>20527.5</v>
      </c>
      <c r="I626" s="69" cm="1">
        <f t="array" aca="1" ref="I626" ca="1">IFERROR(IF(A626=A625,0,SUM(_xlfn._xlws.FILTER(E626:E636,(A626:A636=A626)*(F626&lt;0)))),0)</f>
        <v>-61478.899999999994</v>
      </c>
      <c r="J626" s="81" t="str">
        <f ca="1">IFERROR(_xlfn.XLOOKUP(B626,[1]!TabCalc[Ticker],[1]!TabCalc[Cur]),"")</f>
        <v>USD</v>
      </c>
      <c r="K626" s="68" cm="1">
        <f t="array" aca="1" ref="K626" ca="1">IFERROR(IF($A626=$A625,0,SUM(_xlfn._xlws.FILTER($E626:$E636,($A626:$A636=$A626)*($J626:$J636=K$42)))),0)</f>
        <v>0</v>
      </c>
      <c r="L626" s="68" cm="1">
        <f t="array" aca="1" ref="L626" ca="1">IFERROR(IF($A626=$A625,0,SUM(_xlfn._xlws.FILTER($E626:$E636,($A626:$A636=$A626)*($J626:$J636=L$42)))),0)</f>
        <v>-82006.399999999994</v>
      </c>
      <c r="M626" s="68" cm="1">
        <f t="array" aca="1" ref="M626" ca="1">IFERROR(IF($A626=$A625,0,SUM(_xlfn._xlws.FILTER($E626:$E636,($A626:$A636=$A626)*($J626:$J636=M$42)))),0)</f>
        <v>20527.5</v>
      </c>
      <c r="N626" s="68" cm="1">
        <f t="array" aca="1" ref="N626" ca="1">IFERROR(IF($A626=$A625,0,SUM(_xlfn._xlws.FILTER($E626:$E636,($A626:$A636=$A626)*($J626:$J636=N$42)))),0)</f>
        <v>0</v>
      </c>
    </row>
    <row r="627" spans="1:14" x14ac:dyDescent="0.3">
      <c r="A627" s="64">
        <v>45959</v>
      </c>
      <c r="B627" s="5" t="s">
        <v>74</v>
      </c>
      <c r="C627" s="5">
        <v>2632</v>
      </c>
      <c r="D627" s="66">
        <v>-15.2</v>
      </c>
      <c r="E627" s="67">
        <f ca="1">IFERROR(C627*D627*_xlfn.XLOOKUP(B627,[1]!TabCalc[Ticker],[1]!TabCalc[Scale]),0)</f>
        <v>-40006.400000000001</v>
      </c>
      <c r="F627" s="68" cm="1">
        <f t="array" ref="F627">IF(A627=A626,0,SUM(_xlfn._xlws.FILTER(E627:E637,A627:A637=A627)))</f>
        <v>0</v>
      </c>
      <c r="G627" s="69">
        <f>IF(F627&lt;&gt;0,SUM($F$43:F627),0)</f>
        <v>0</v>
      </c>
      <c r="H627" s="69" cm="1">
        <f t="array" ref="H627">IFERROR(IF(A627=A626,0,SUM(_xlfn._xlws.FILTER(E627:E637,(A627:A637=A627)*(E627:E637&gt;0)))),0)</f>
        <v>0</v>
      </c>
      <c r="I627" s="69" cm="1">
        <f t="array" ref="I627">IFERROR(IF(A627=A626,0,SUM(_xlfn._xlws.FILTER(E627:E637,(A627:A637=A627)*(F627&lt;0)))),0)</f>
        <v>0</v>
      </c>
      <c r="J627" s="81" t="str">
        <f ca="1">IFERROR(_xlfn.XLOOKUP(B627,[1]!TabCalc[Ticker],[1]!TabCalc[Cur]),"")</f>
        <v>USD</v>
      </c>
      <c r="K627" s="68" cm="1">
        <f t="array" ref="K627">IFERROR(IF($A627=$A626,0,SUM(_xlfn._xlws.FILTER($E627:$E637,($A627:$A637=$A627)*($J627:$J637=K$42)))),0)</f>
        <v>0</v>
      </c>
      <c r="L627" s="68" cm="1">
        <f t="array" ref="L627">IFERROR(IF($A627=$A626,0,SUM(_xlfn._xlws.FILTER($E627:$E637,($A627:$A637=$A627)*($J627:$J637=L$42)))),0)</f>
        <v>0</v>
      </c>
      <c r="M627" s="68" cm="1">
        <f t="array" ref="M627">IFERROR(IF($A627=$A626,0,SUM(_xlfn._xlws.FILTER($E627:$E637,($A627:$A637=$A627)*($J627:$J637=M$42)))),0)</f>
        <v>0</v>
      </c>
      <c r="N627" s="68" cm="1">
        <f t="array" ref="N627">IFERROR(IF($A627=$A626,0,SUM(_xlfn._xlws.FILTER($E627:$E637,($A627:$A637=$A627)*($J627:$J637=N$42)))),0)</f>
        <v>0</v>
      </c>
    </row>
    <row r="628" spans="1:14" x14ac:dyDescent="0.3">
      <c r="A628" s="64">
        <v>45959</v>
      </c>
      <c r="B628" s="5" t="s">
        <v>69</v>
      </c>
      <c r="C628" s="5">
        <v>5000</v>
      </c>
      <c r="D628" s="66">
        <v>410.55</v>
      </c>
      <c r="E628" s="67">
        <f ca="1">IFERROR(C628*D628*_xlfn.XLOOKUP(B628,[1]!TabCalc[Ticker],[1]!TabCalc[Scale]),0)</f>
        <v>20527.5</v>
      </c>
      <c r="F628" s="68" cm="1">
        <f t="array" ref="F628">IF(A628=A627,0,SUM(_xlfn._xlws.FILTER(E628:E638,A628:A638=A628)))</f>
        <v>0</v>
      </c>
      <c r="G628" s="69">
        <f>IF(F628&lt;&gt;0,SUM($F$43:F628),0)</f>
        <v>0</v>
      </c>
      <c r="H628" s="69" cm="1">
        <f t="array" ref="H628">IFERROR(IF(A628=A627,0,SUM(_xlfn._xlws.FILTER(E628:E638,(A628:A638=A628)*(E628:E638&gt;0)))),0)</f>
        <v>0</v>
      </c>
      <c r="I628" s="69" cm="1">
        <f t="array" ref="I628">IFERROR(IF(A628=A627,0,SUM(_xlfn._xlws.FILTER(E628:E638,(A628:A638=A628)*(F628&lt;0)))),0)</f>
        <v>0</v>
      </c>
      <c r="J628" s="81" t="str">
        <f ca="1">IFERROR(_xlfn.XLOOKUP(B628,[1]!TabCalc[Ticker],[1]!TabCalc[Cur]),"")</f>
        <v>GBp</v>
      </c>
      <c r="K628" s="68" cm="1">
        <f t="array" ref="K628">IFERROR(IF($A628=$A627,0,SUM(_xlfn._xlws.FILTER($E628:$E638,($A628:$A638=$A628)*($J628:$J638=K$42)))),0)</f>
        <v>0</v>
      </c>
      <c r="L628" s="68" cm="1">
        <f t="array" ref="L628">IFERROR(IF($A628=$A627,0,SUM(_xlfn._xlws.FILTER($E628:$E638,($A628:$A638=$A628)*($J628:$J638=L$42)))),0)</f>
        <v>0</v>
      </c>
      <c r="M628" s="68" cm="1">
        <f t="array" ref="M628">IFERROR(IF($A628=$A627,0,SUM(_xlfn._xlws.FILTER($E628:$E638,($A628:$A638=$A628)*($J628:$J638=M$42)))),0)</f>
        <v>0</v>
      </c>
      <c r="N628" s="68" cm="1">
        <f t="array" ref="N628">IFERROR(IF($A628=$A627,0,SUM(_xlfn._xlws.FILTER($E628:$E638,($A628:$A638=$A628)*($J628:$J638=N$42)))),0)</f>
        <v>0</v>
      </c>
    </row>
    <row r="629" spans="1:14" x14ac:dyDescent="0.3">
      <c r="A629" s="70">
        <v>45960</v>
      </c>
      <c r="B629" s="70" t="s">
        <v>82</v>
      </c>
      <c r="C629" s="6">
        <v>1000</v>
      </c>
      <c r="D629" s="19">
        <v>-80.88</v>
      </c>
      <c r="E629" s="67">
        <f ca="1">IFERROR(C629*D629*_xlfn.XLOOKUP(B629,[1]!TabCalc[Ticker],[1]!TabCalc[Scale]),0)</f>
        <v>-80880</v>
      </c>
      <c r="F629" s="68" cm="1">
        <f t="array" aca="1" ref="F629" ca="1">IF(A629=A628,0,SUM(_xlfn._xlws.FILTER(E629:E639,A629:A639=A629)))</f>
        <v>-80880</v>
      </c>
      <c r="G629" s="69">
        <f ca="1">IF(F629&lt;&gt;0,SUM($F$43:F629),0)</f>
        <v>-4736829.7345730001</v>
      </c>
      <c r="H629" s="69" cm="1">
        <f t="array" aca="1" ref="H629" ca="1">IFERROR(IF(A629=A628,0,SUM(_xlfn._xlws.FILTER(E629:E639,(A629:A639=A629)*(E629:E639&gt;0)))),0)</f>
        <v>0</v>
      </c>
      <c r="I629" s="69" cm="1">
        <f t="array" aca="1" ref="I629" ca="1">IFERROR(IF(A629=A628,0,SUM(_xlfn._xlws.FILTER(E629:E639,(A629:A639=A629)*(F629&lt;0)))),0)</f>
        <v>-80880</v>
      </c>
      <c r="J629" s="81" t="str">
        <f ca="1">IFERROR(_xlfn.XLOOKUP(B629,[1]!TabCalc[Ticker],[1]!TabCalc[Cur]),"")</f>
        <v>USD</v>
      </c>
      <c r="K629" s="68" cm="1">
        <f t="array" aca="1" ref="K629" ca="1">IFERROR(IF($A629=$A628,0,SUM(_xlfn._xlws.FILTER($E629:$E639,($A629:$A639=$A629)*($J629:$J639=K$42)))),0)</f>
        <v>0</v>
      </c>
      <c r="L629" s="68" cm="1">
        <f t="array" aca="1" ref="L629" ca="1">IFERROR(IF($A629=$A628,0,SUM(_xlfn._xlws.FILTER($E629:$E639,($A629:$A639=$A629)*($J629:$J639=L$42)))),0)</f>
        <v>-80880</v>
      </c>
      <c r="M629" s="68" cm="1">
        <f t="array" aca="1" ref="M629" ca="1">IFERROR(IF($A629=$A628,0,SUM(_xlfn._xlws.FILTER($E629:$E639,($A629:$A639=$A629)*($J629:$J639=M$42)))),0)</f>
        <v>0</v>
      </c>
      <c r="N629" s="68" cm="1">
        <f t="array" aca="1" ref="N629" ca="1">IFERROR(IF($A629=$A628,0,SUM(_xlfn._xlws.FILTER($E629:$E639,($A629:$A639=$A629)*($J629:$J639=N$42)))),0)</f>
        <v>0</v>
      </c>
    </row>
    <row r="630" spans="1:14" x14ac:dyDescent="0.3">
      <c r="A630" s="64">
        <v>45961</v>
      </c>
      <c r="B630" s="5" t="s">
        <v>82</v>
      </c>
      <c r="C630" s="5">
        <v>1000</v>
      </c>
      <c r="D630" s="66">
        <v>-79.88</v>
      </c>
      <c r="E630" s="67">
        <f ca="1">IFERROR(C630*D630*_xlfn.XLOOKUP(B630,[1]!TabCalc[Ticker],[1]!TabCalc[Scale]),0)</f>
        <v>-79880</v>
      </c>
      <c r="F630" s="68" cm="1">
        <f t="array" aca="1" ref="F630" ca="1">IF(A630=A629,0,SUM(_xlfn._xlws.FILTER(E630:E640,A630:A640=A630)))</f>
        <v>22135.800000000003</v>
      </c>
      <c r="G630" s="69">
        <f ca="1">IF(F630&lt;&gt;0,SUM($F$43:F630),0)</f>
        <v>-4714693.9345730003</v>
      </c>
      <c r="H630" s="69" cm="1">
        <f t="array" aca="1" ref="H630" ca="1">IFERROR(IF(A630=A629,0,SUM(_xlfn._xlws.FILTER(E630:E640,(A630:A640=A630)*(E630:E640&gt;0)))),0)</f>
        <v>102015.8</v>
      </c>
      <c r="I630" s="69" cm="1">
        <f t="array" aca="1" ref="I630" ca="1">IFERROR(IF(A630=A629,0,SUM(_xlfn._xlws.FILTER(E630:E640,(A630:A640=A630)*(F630&lt;0)))),0)</f>
        <v>0</v>
      </c>
      <c r="J630" s="81" t="str">
        <f ca="1">IFERROR(_xlfn.XLOOKUP(B630,[1]!TabCalc[Ticker],[1]!TabCalc[Cur]),"")</f>
        <v>USD</v>
      </c>
      <c r="K630" s="68" cm="1">
        <f t="array" aca="1" ref="K630" ca="1">IFERROR(IF($A630=$A629,0,SUM(_xlfn._xlws.FILTER($E630:$E640,($A630:$A640=$A630)*($J630:$J640=K$42)))),0)</f>
        <v>0</v>
      </c>
      <c r="L630" s="68" cm="1">
        <f t="array" aca="1" ref="L630" ca="1">IFERROR(IF($A630=$A629,0,SUM(_xlfn._xlws.FILTER($E630:$E640,($A630:$A640=$A630)*($J630:$J640=L$42)))),0)</f>
        <v>-79880</v>
      </c>
      <c r="M630" s="68" cm="1">
        <f t="array" aca="1" ref="M630" ca="1">IFERROR(IF($A630=$A629,0,SUM(_xlfn._xlws.FILTER($E630:$E640,($A630:$A640=$A630)*($J630:$J640=M$42)))),0)</f>
        <v>42101</v>
      </c>
      <c r="N630" s="68" cm="1">
        <f t="array" aca="1" ref="N630" ca="1">IFERROR(IF($A630=$A629,0,SUM(_xlfn._xlws.FILTER($E630:$E640,($A630:$A640=$A630)*($J630:$J640=N$42)))),0)</f>
        <v>59914.8</v>
      </c>
    </row>
    <row r="631" spans="1:14" x14ac:dyDescent="0.3">
      <c r="A631" s="64">
        <v>45961</v>
      </c>
      <c r="B631" s="5" t="s">
        <v>97</v>
      </c>
      <c r="C631" s="5">
        <v>979</v>
      </c>
      <c r="D631" s="66">
        <v>61.2</v>
      </c>
      <c r="E631" s="67">
        <f ca="1">IFERROR(C631*D631*_xlfn.XLOOKUP(B631,[1]!TabCalc[Ticker],[1]!TabCalc[Scale]),0)</f>
        <v>59914.8</v>
      </c>
      <c r="F631" s="68" cm="1">
        <f t="array" ref="F631">IF(A631=A630,0,SUM(_xlfn._xlws.FILTER(E631:E641,A631:A641=A631)))</f>
        <v>0</v>
      </c>
      <c r="G631" s="69">
        <f>IF(F631&lt;&gt;0,SUM($F$43:F631),0)</f>
        <v>0</v>
      </c>
      <c r="H631" s="69" cm="1">
        <f t="array" ref="H631">IFERROR(IF(A631=A630,0,SUM(_xlfn._xlws.FILTER(E631:E641,(A631:A641=A631)*(E631:E641&gt;0)))),0)</f>
        <v>0</v>
      </c>
      <c r="I631" s="69" cm="1">
        <f t="array" ref="I631">IFERROR(IF(A631=A630,0,SUM(_xlfn._xlws.FILTER(E631:E641,(A631:A641=A631)*(F631&lt;0)))),0)</f>
        <v>0</v>
      </c>
      <c r="J631" s="81" t="str">
        <f ca="1">IFERROR(_xlfn.XLOOKUP(B631,[1]!TabCalc[Ticker],[1]!TabCalc[Cur]),"")</f>
        <v>CHF</v>
      </c>
      <c r="K631" s="68" cm="1">
        <f t="array" ref="K631">IFERROR(IF($A631=$A630,0,SUM(_xlfn._xlws.FILTER($E631:$E641,($A631:$A641=$A631)*($J631:$J641=K$42)))),0)</f>
        <v>0</v>
      </c>
      <c r="L631" s="68" cm="1">
        <f t="array" ref="L631">IFERROR(IF($A631=$A630,0,SUM(_xlfn._xlws.FILTER($E631:$E641,($A631:$A641=$A631)*($J631:$J641=L$42)))),0)</f>
        <v>0</v>
      </c>
      <c r="M631" s="68" cm="1">
        <f t="array" ref="M631">IFERROR(IF($A631=$A630,0,SUM(_xlfn._xlws.FILTER($E631:$E641,($A631:$A641=$A631)*($J631:$J641=M$42)))),0)</f>
        <v>0</v>
      </c>
      <c r="N631" s="68" cm="1">
        <f t="array" ref="N631">IFERROR(IF($A631=$A630,0,SUM(_xlfn._xlws.FILTER($E631:$E641,($A631:$A641=$A631)*($J631:$J641=N$42)))),0)</f>
        <v>0</v>
      </c>
    </row>
    <row r="632" spans="1:14" x14ac:dyDescent="0.3">
      <c r="A632" s="64">
        <v>45961</v>
      </c>
      <c r="B632" s="5" t="s">
        <v>69</v>
      </c>
      <c r="C632" s="5">
        <v>10000</v>
      </c>
      <c r="D632" s="66">
        <v>421.01</v>
      </c>
      <c r="E632" s="67">
        <f ca="1">IFERROR(C632*D632*_xlfn.XLOOKUP(B632,[1]!TabCalc[Ticker],[1]!TabCalc[Scale]),0)</f>
        <v>42101</v>
      </c>
      <c r="F632" s="68" cm="1">
        <f t="array" ref="F632">IF(A632=A631,0,SUM(_xlfn._xlws.FILTER(E632:E642,A632:A642=A632)))</f>
        <v>0</v>
      </c>
      <c r="G632" s="69">
        <f>IF(F632&lt;&gt;0,SUM($F$43:F632),0)</f>
        <v>0</v>
      </c>
      <c r="H632" s="69" cm="1">
        <f t="array" ref="H632">IFERROR(IF(A632=A631,0,SUM(_xlfn._xlws.FILTER(E632:E642,(A632:A642=A632)*(E632:E642&gt;0)))),0)</f>
        <v>0</v>
      </c>
      <c r="I632" s="69" cm="1">
        <f t="array" ref="I632">IFERROR(IF(A632=A631,0,SUM(_xlfn._xlws.FILTER(E632:E642,(A632:A642=A632)*(F632&lt;0)))),0)</f>
        <v>0</v>
      </c>
      <c r="J632" s="81" t="str">
        <f ca="1">IFERROR(_xlfn.XLOOKUP(B632,[1]!TabCalc[Ticker],[1]!TabCalc[Cur]),"")</f>
        <v>GBp</v>
      </c>
      <c r="K632" s="68" cm="1">
        <f t="array" ref="K632">IFERROR(IF($A632=$A631,0,SUM(_xlfn._xlws.FILTER($E632:$E642,($A632:$A642=$A632)*($J632:$J642=K$42)))),0)</f>
        <v>0</v>
      </c>
      <c r="L632" s="68" cm="1">
        <f t="array" ref="L632">IFERROR(IF($A632=$A631,0,SUM(_xlfn._xlws.FILTER($E632:$E642,($A632:$A642=$A632)*($J632:$J642=L$42)))),0)</f>
        <v>0</v>
      </c>
      <c r="M632" s="68" cm="1">
        <f t="array" ref="M632">IFERROR(IF($A632=$A631,0,SUM(_xlfn._xlws.FILTER($E632:$E642,($A632:$A642=$A632)*($J632:$J642=M$42)))),0)</f>
        <v>0</v>
      </c>
      <c r="N632" s="68" cm="1">
        <f t="array" ref="N632">IFERROR(IF($A632=$A631,0,SUM(_xlfn._xlws.FILTER($E632:$E642,($A632:$A642=$A632)*($J632:$J642=N$42)))),0)</f>
        <v>0</v>
      </c>
    </row>
    <row r="633" spans="1:14" x14ac:dyDescent="0.3">
      <c r="A633" s="70">
        <v>45964</v>
      </c>
      <c r="B633" s="70" t="s">
        <v>69</v>
      </c>
      <c r="C633" s="6">
        <v>25000</v>
      </c>
      <c r="D633" s="19">
        <v>427.2</v>
      </c>
      <c r="E633" s="67">
        <f ca="1">IFERROR(C633*D633*_xlfn.XLOOKUP(B633,[1]!TabCalc[Ticker],[1]!TabCalc[Scale]),0)</f>
        <v>106800</v>
      </c>
      <c r="F633" s="68" cm="1">
        <f t="array" aca="1" ref="F633" ca="1">IF(A633=A632,0,SUM(_xlfn._xlws.FILTER(E633:E643,A633:A643=A633)))</f>
        <v>139466.13</v>
      </c>
      <c r="G633" s="69">
        <f ca="1">IF(F633&lt;&gt;0,SUM($F$43:F633),0)</f>
        <v>-4575227.8045730004</v>
      </c>
      <c r="H633" s="69" cm="1">
        <f t="array" aca="1" ref="H633" ca="1">IFERROR(IF(A633=A632,0,SUM(_xlfn._xlws.FILTER(E633:E643,(A633:A643=A633)*(E633:E643&gt;0)))),0)</f>
        <v>139466.13</v>
      </c>
      <c r="I633" s="69" cm="1">
        <f t="array" aca="1" ref="I633" ca="1">IFERROR(IF(A633=A632,0,SUM(_xlfn._xlws.FILTER(E633:E643,(A633:A643=A633)*(F633&lt;0)))),0)</f>
        <v>0</v>
      </c>
      <c r="J633" s="81" t="str">
        <f ca="1">IFERROR(_xlfn.XLOOKUP(B633,[1]!TabCalc[Ticker],[1]!TabCalc[Cur]),"")</f>
        <v>GBp</v>
      </c>
      <c r="K633" s="68" cm="1">
        <f t="array" aca="1" ref="K633" ca="1">IFERROR(IF($A633=$A632,0,SUM(_xlfn._xlws.FILTER($E633:$E643,($A633:$A643=$A633)*($J633:$J643=K$42)))),0)</f>
        <v>0</v>
      </c>
      <c r="L633" s="68" cm="1">
        <f t="array" aca="1" ref="L633" ca="1">IFERROR(IF($A633=$A632,0,SUM(_xlfn._xlws.FILTER($E633:$E643,($A633:$A643=$A633)*($J633:$J643=L$42)))),0)</f>
        <v>32666.13</v>
      </c>
      <c r="M633" s="68" cm="1">
        <f t="array" aca="1" ref="M633" ca="1">IFERROR(IF($A633=$A632,0,SUM(_xlfn._xlws.FILTER($E633:$E643,($A633:$A643=$A633)*($J633:$J643=M$42)))),0)</f>
        <v>106800</v>
      </c>
      <c r="N633" s="68" cm="1">
        <f t="array" aca="1" ref="N633" ca="1">IFERROR(IF($A633=$A632,0,SUM(_xlfn._xlws.FILTER($E633:$E643,($A633:$A643=$A633)*($J633:$J643=N$42)))),0)</f>
        <v>0</v>
      </c>
    </row>
    <row r="634" spans="1:14" x14ac:dyDescent="0.3">
      <c r="A634" s="70">
        <v>45964</v>
      </c>
      <c r="B634" s="70" t="s">
        <v>32</v>
      </c>
      <c r="C634" s="6">
        <v>399</v>
      </c>
      <c r="D634" s="19">
        <v>81.87</v>
      </c>
      <c r="E634" s="67">
        <f ca="1">IFERROR(C634*D634*_xlfn.XLOOKUP(B634,[1]!TabCalc[Ticker],[1]!TabCalc[Scale]),0)</f>
        <v>32666.13</v>
      </c>
      <c r="F634" s="68" cm="1">
        <f t="array" ref="F634">IF(A634=A633,0,SUM(_xlfn._xlws.FILTER(E634:E644,A634:A644=A634)))</f>
        <v>0</v>
      </c>
      <c r="G634" s="69">
        <f>IF(F634&lt;&gt;0,SUM($F$43:F634),0)</f>
        <v>0</v>
      </c>
      <c r="H634" s="69" cm="1">
        <f t="array" ref="H634">IFERROR(IF(A634=A633,0,SUM(_xlfn._xlws.FILTER(E634:E644,(A634:A644=A634)*(E634:E644&gt;0)))),0)</f>
        <v>0</v>
      </c>
      <c r="I634" s="69" cm="1">
        <f t="array" ref="I634">IFERROR(IF(A634=A633,0,SUM(_xlfn._xlws.FILTER(E634:E644,(A634:A644=A634)*(F634&lt;0)))),0)</f>
        <v>0</v>
      </c>
      <c r="J634" s="81" t="str">
        <f ca="1">IFERROR(_xlfn.XLOOKUP(B634,[1]!TabCalc[Ticker],[1]!TabCalc[Cur]),"")</f>
        <v>USD</v>
      </c>
      <c r="K634" s="68" cm="1">
        <f t="array" ref="K634">IFERROR(IF($A634=$A633,0,SUM(_xlfn._xlws.FILTER($E634:$E644,($A634:$A644=$A634)*($J634:$J644=K$42)))),0)</f>
        <v>0</v>
      </c>
      <c r="L634" s="68" cm="1">
        <f t="array" ref="L634">IFERROR(IF($A634=$A633,0,SUM(_xlfn._xlws.FILTER($E634:$E644,($A634:$A644=$A634)*($J634:$J644=L$42)))),0)</f>
        <v>0</v>
      </c>
      <c r="M634" s="68" cm="1">
        <f t="array" ref="M634">IFERROR(IF($A634=$A633,0,SUM(_xlfn._xlws.FILTER($E634:$E644,($A634:$A644=$A634)*($J634:$J644=M$42)))),0)</f>
        <v>0</v>
      </c>
      <c r="N634" s="68" cm="1">
        <f t="array" ref="N634">IFERROR(IF($A634=$A633,0,SUM(_xlfn._xlws.FILTER($E634:$E644,($A634:$A644=$A634)*($J634:$J644=N$42)))),0)</f>
        <v>0</v>
      </c>
    </row>
    <row r="635" spans="1:14" x14ac:dyDescent="0.3">
      <c r="A635" s="64">
        <v>45965</v>
      </c>
      <c r="B635" s="5" t="s">
        <v>108</v>
      </c>
      <c r="C635" s="5">
        <v>1600</v>
      </c>
      <c r="D635" s="66">
        <v>-118.68</v>
      </c>
      <c r="E635" s="67">
        <f ca="1">IFERROR(C635*D635*_xlfn.XLOOKUP(B635,[1]!TabCalc[Ticker],[1]!TabCalc[Scale]),0)</f>
        <v>-189888</v>
      </c>
      <c r="F635" s="68" cm="1">
        <f t="array" aca="1" ref="F635" ca="1">IF(A635=A634,0,SUM(_xlfn._xlws.FILTER(E635:E645,A635:A645=A635)))</f>
        <v>-299131</v>
      </c>
      <c r="G635" s="69">
        <f ca="1">IF(F635&lt;&gt;0,SUM($F$43:F635),0)</f>
        <v>-4874358.8045730004</v>
      </c>
      <c r="H635" s="69" cm="1">
        <f t="array" aca="1" ref="H635" ca="1">IFERROR(IF(A635=A634,0,SUM(_xlfn._xlws.FILTER(E635:E645,(A635:A645=A635)*(E635:E645&gt;0)))),0)</f>
        <v>214320</v>
      </c>
      <c r="I635" s="69" cm="1">
        <f t="array" aca="1" ref="I635" ca="1">IFERROR(IF(A635=A634,0,SUM(_xlfn._xlws.FILTER(E635:E645,(A635:A645=A635)*(F635&lt;0)))),0)</f>
        <v>-299131</v>
      </c>
      <c r="J635" s="81" t="str">
        <f ca="1">IFERROR(_xlfn.XLOOKUP(B635,[1]!TabCalc[Ticker],[1]!TabCalc[Cur]),"")</f>
        <v>USD</v>
      </c>
      <c r="K635" s="68" cm="1">
        <f t="array" aca="1" ref="K635" ca="1">IFERROR(IF($A635=$A634,0,SUM(_xlfn._xlws.FILTER($E635:$E645,($A635:$A645=$A635)*($J635:$J645=K$42)))),0)</f>
        <v>79300</v>
      </c>
      <c r="L635" s="68" cm="1">
        <f t="array" aca="1" ref="L635" ca="1">IFERROR(IF($A635=$A634,0,SUM(_xlfn._xlws.FILTER($E635:$E645,($A635:$A645=$A635)*($J635:$J645=L$42)))),0)</f>
        <v>-378431</v>
      </c>
      <c r="M635" s="68" cm="1">
        <f t="array" aca="1" ref="M635" ca="1">IFERROR(IF($A635=$A634,0,SUM(_xlfn._xlws.FILTER($E635:$E645,($A635:$A645=$A635)*($J635:$J645=M$42)))),0)</f>
        <v>0</v>
      </c>
      <c r="N635" s="68" cm="1">
        <f t="array" aca="1" ref="N635" ca="1">IFERROR(IF($A635=$A634,0,SUM(_xlfn._xlws.FILTER($E635:$E645,($A635:$A645=$A635)*($J635:$J645=N$42)))),0)</f>
        <v>0</v>
      </c>
    </row>
    <row r="636" spans="1:14" x14ac:dyDescent="0.3">
      <c r="A636" s="64">
        <v>45965</v>
      </c>
      <c r="B636" s="5" t="s">
        <v>38</v>
      </c>
      <c r="C636" s="5">
        <v>2000</v>
      </c>
      <c r="D636" s="66">
        <v>-63.69</v>
      </c>
      <c r="E636" s="67">
        <f ca="1">IFERROR(C636*D636*_xlfn.XLOOKUP(B636,[1]!TabCalc[Ticker],[1]!TabCalc[Scale]),0)</f>
        <v>-127380</v>
      </c>
      <c r="F636" s="68" cm="1">
        <f t="array" ref="F636">IF(A636=A635,0,SUM(_xlfn._xlws.FILTER(E636:E646,A636:A646=A636)))</f>
        <v>0</v>
      </c>
      <c r="G636" s="69">
        <f>IF(F636&lt;&gt;0,SUM($F$43:F636),0)</f>
        <v>0</v>
      </c>
      <c r="H636" s="69" cm="1">
        <f t="array" ref="H636">IFERROR(IF(A636=A635,0,SUM(_xlfn._xlws.FILTER(E636:E646,(A636:A646=A636)*(E636:E646&gt;0)))),0)</f>
        <v>0</v>
      </c>
      <c r="I636" s="69" cm="1">
        <f t="array" ref="I636">IFERROR(IF(A636=A635,0,SUM(_xlfn._xlws.FILTER(E636:E646,(A636:A646=A636)*(F636&lt;0)))),0)</f>
        <v>0</v>
      </c>
      <c r="J636" s="81" t="str">
        <f ca="1">IFERROR(_xlfn.XLOOKUP(B636,[1]!TabCalc[Ticker],[1]!TabCalc[Cur]),"")</f>
        <v>USD</v>
      </c>
      <c r="K636" s="68" cm="1">
        <f t="array" ref="K636">IFERROR(IF($A636=$A635,0,SUM(_xlfn._xlws.FILTER($E636:$E646,($A636:$A646=$A636)*($J636:$J646=K$42)))),0)</f>
        <v>0</v>
      </c>
      <c r="L636" s="68" cm="1">
        <f t="array" ref="L636">IFERROR(IF($A636=$A635,0,SUM(_xlfn._xlws.FILTER($E636:$E646,($A636:$A646=$A636)*($J636:$J646=L$42)))),0)</f>
        <v>0</v>
      </c>
      <c r="M636" s="68" cm="1">
        <f t="array" ref="M636">IFERROR(IF($A636=$A635,0,SUM(_xlfn._xlws.FILTER($E636:$E646,($A636:$A646=$A636)*($J636:$J646=M$42)))),0)</f>
        <v>0</v>
      </c>
      <c r="N636" s="68" cm="1">
        <f t="array" ref="N636">IFERROR(IF($A636=$A635,0,SUM(_xlfn._xlws.FILTER($E636:$E646,($A636:$A646=$A636)*($J636:$J646=N$42)))),0)</f>
        <v>0</v>
      </c>
    </row>
    <row r="637" spans="1:14" x14ac:dyDescent="0.3">
      <c r="A637" s="64">
        <v>45965</v>
      </c>
      <c r="B637" s="5" t="s">
        <v>82</v>
      </c>
      <c r="C637" s="5">
        <v>2000</v>
      </c>
      <c r="D637" s="66">
        <v>-78.88</v>
      </c>
      <c r="E637" s="67">
        <f ca="1">IFERROR(C637*D637*_xlfn.XLOOKUP(B637,[1]!TabCalc[Ticker],[1]!TabCalc[Scale]),0)</f>
        <v>-157760</v>
      </c>
      <c r="F637" s="68" cm="1">
        <f t="array" ref="F637">IF(A637=A636,0,SUM(_xlfn._xlws.FILTER(E637:E647,A637:A647=A637)))</f>
        <v>0</v>
      </c>
      <c r="G637" s="69">
        <f>IF(F637&lt;&gt;0,SUM($F$43:F637),0)</f>
        <v>0</v>
      </c>
      <c r="H637" s="69" cm="1">
        <f t="array" ref="H637">IFERROR(IF(A637=A636,0,SUM(_xlfn._xlws.FILTER(E637:E647,(A637:A647=A637)*(E637:E647&gt;0)))),0)</f>
        <v>0</v>
      </c>
      <c r="I637" s="69" cm="1">
        <f t="array" ref="I637">IFERROR(IF(A637=A636,0,SUM(_xlfn._xlws.FILTER(E637:E647,(A637:A647=A637)*(F637&lt;0)))),0)</f>
        <v>0</v>
      </c>
      <c r="J637" s="81" t="str">
        <f ca="1">IFERROR(_xlfn.XLOOKUP(B637,[1]!TabCalc[Ticker],[1]!TabCalc[Cur]),"")</f>
        <v>USD</v>
      </c>
      <c r="K637" s="68" cm="1">
        <f t="array" ref="K637">IFERROR(IF($A637=$A636,0,SUM(_xlfn._xlws.FILTER($E637:$E647,($A637:$A647=$A637)*($J637:$J647=K$42)))),0)</f>
        <v>0</v>
      </c>
      <c r="L637" s="68" cm="1">
        <f t="array" ref="L637">IFERROR(IF($A637=$A636,0,SUM(_xlfn._xlws.FILTER($E637:$E647,($A637:$A647=$A637)*($J637:$J647=L$42)))),0)</f>
        <v>0</v>
      </c>
      <c r="M637" s="68" cm="1">
        <f t="array" ref="M637">IFERROR(IF($A637=$A636,0,SUM(_xlfn._xlws.FILTER($E637:$E647,($A637:$A647=$A637)*($J637:$J647=M$42)))),0)</f>
        <v>0</v>
      </c>
      <c r="N637" s="68" cm="1">
        <f t="array" ref="N637">IFERROR(IF($A637=$A636,0,SUM(_xlfn._xlws.FILTER($E637:$E647,($A637:$A647=$A637)*($J637:$J647=N$42)))),0)</f>
        <v>0</v>
      </c>
    </row>
    <row r="638" spans="1:14" x14ac:dyDescent="0.3">
      <c r="A638" s="64">
        <v>45965</v>
      </c>
      <c r="B638" s="5" t="s">
        <v>89</v>
      </c>
      <c r="C638" s="5">
        <v>5000</v>
      </c>
      <c r="D638" s="66">
        <v>15.86</v>
      </c>
      <c r="E638" s="67">
        <f ca="1">IFERROR(C638*D638*_xlfn.XLOOKUP(B638,[1]!TabCalc[Ticker],[1]!TabCalc[Scale]),0)</f>
        <v>79300</v>
      </c>
      <c r="F638" s="68" cm="1">
        <f t="array" ref="F638">IF(A638=A637,0,SUM(_xlfn._xlws.FILTER(E638:E648,A638:A648=A638)))</f>
        <v>0</v>
      </c>
      <c r="G638" s="69">
        <f>IF(F638&lt;&gt;0,SUM($F$43:F638),0)</f>
        <v>0</v>
      </c>
      <c r="H638" s="69" cm="1">
        <f t="array" ref="H638">IFERROR(IF(A638=A637,0,SUM(_xlfn._xlws.FILTER(E638:E648,(A638:A648=A638)*(E638:E648&gt;0)))),0)</f>
        <v>0</v>
      </c>
      <c r="I638" s="69" cm="1">
        <f t="array" ref="I638">IFERROR(IF(A638=A637,0,SUM(_xlfn._xlws.FILTER(E638:E648,(A638:A648=A638)*(F638&lt;0)))),0)</f>
        <v>0</v>
      </c>
      <c r="J638" s="81" t="str">
        <f ca="1">IFERROR(_xlfn.XLOOKUP(B638,[1]!TabCalc[Ticker],[1]!TabCalc[Cur]),"")</f>
        <v>EUR</v>
      </c>
      <c r="K638" s="68" cm="1">
        <f t="array" ref="K638">IFERROR(IF($A638=$A637,0,SUM(_xlfn._xlws.FILTER($E638:$E648,($A638:$A648=$A638)*($J638:$J648=K$42)))),0)</f>
        <v>0</v>
      </c>
      <c r="L638" s="68" cm="1">
        <f t="array" ref="L638">IFERROR(IF($A638=$A637,0,SUM(_xlfn._xlws.FILTER($E638:$E648,($A638:$A648=$A638)*($J638:$J648=L$42)))),0)</f>
        <v>0</v>
      </c>
      <c r="M638" s="68" cm="1">
        <f t="array" ref="M638">IFERROR(IF($A638=$A637,0,SUM(_xlfn._xlws.FILTER($E638:$E648,($A638:$A648=$A638)*($J638:$J648=M$42)))),0)</f>
        <v>0</v>
      </c>
      <c r="N638" s="68" cm="1">
        <f t="array" ref="N638">IFERROR(IF($A638=$A637,0,SUM(_xlfn._xlws.FILTER($E638:$E648,($A638:$A648=$A638)*($J638:$J648=N$42)))),0)</f>
        <v>0</v>
      </c>
    </row>
    <row r="639" spans="1:14" x14ac:dyDescent="0.3">
      <c r="A639" s="64">
        <v>45965</v>
      </c>
      <c r="B639" s="5" t="s">
        <v>55</v>
      </c>
      <c r="C639" s="5">
        <v>500</v>
      </c>
      <c r="D639" s="66">
        <v>270.04000000000002</v>
      </c>
      <c r="E639" s="67">
        <f ca="1">IFERROR(C639*D639*_xlfn.XLOOKUP(B639,[1]!TabCalc[Ticker],[1]!TabCalc[Scale]),0)</f>
        <v>135020</v>
      </c>
      <c r="F639" s="68" cm="1">
        <f t="array" ref="F639">IF(A639=A638,0,SUM(_xlfn._xlws.FILTER(E639:E649,A639:A649=A639)))</f>
        <v>0</v>
      </c>
      <c r="G639" s="69">
        <f>IF(F639&lt;&gt;0,SUM($F$43:F639),0)</f>
        <v>0</v>
      </c>
      <c r="H639" s="69" cm="1">
        <f t="array" ref="H639">IFERROR(IF(A639=A638,0,SUM(_xlfn._xlws.FILTER(E639:E649,(A639:A649=A639)*(E639:E649&gt;0)))),0)</f>
        <v>0</v>
      </c>
      <c r="I639" s="69" cm="1">
        <f t="array" ref="I639">IFERROR(IF(A639=A638,0,SUM(_xlfn._xlws.FILTER(E639:E649,(A639:A649=A639)*(F639&lt;0)))),0)</f>
        <v>0</v>
      </c>
      <c r="J639" s="81" t="str">
        <f ca="1">IFERROR(_xlfn.XLOOKUP(B639,[1]!TabCalc[Ticker],[1]!TabCalc[Cur]),"")</f>
        <v>USD</v>
      </c>
      <c r="K639" s="68" cm="1">
        <f t="array" ref="K639">IFERROR(IF($A639=$A638,0,SUM(_xlfn._xlws.FILTER($E639:$E649,($A639:$A649=$A639)*($J639:$J649=K$42)))),0)</f>
        <v>0</v>
      </c>
      <c r="L639" s="68" cm="1">
        <f t="array" ref="L639">IFERROR(IF($A639=$A638,0,SUM(_xlfn._xlws.FILTER($E639:$E649,($A639:$A649=$A639)*($J639:$J649=L$42)))),0)</f>
        <v>0</v>
      </c>
      <c r="M639" s="68" cm="1">
        <f t="array" ref="M639">IFERROR(IF($A639=$A638,0,SUM(_xlfn._xlws.FILTER($E639:$E649,($A639:$A649=$A639)*($J639:$J649=M$42)))),0)</f>
        <v>0</v>
      </c>
      <c r="N639" s="68" cm="1">
        <f t="array" ref="N639">IFERROR(IF($A639=$A638,0,SUM(_xlfn._xlws.FILTER($E639:$E649,($A639:$A649=$A639)*($J639:$J649=N$42)))),0)</f>
        <v>0</v>
      </c>
    </row>
    <row r="640" spans="1:14" x14ac:dyDescent="0.3">
      <c r="A640" s="64">
        <v>45965</v>
      </c>
      <c r="B640" s="5" t="s">
        <v>80</v>
      </c>
      <c r="C640" s="5">
        <v>1000</v>
      </c>
      <c r="D640" s="66">
        <v>-28.33</v>
      </c>
      <c r="E640" s="67">
        <f ca="1">IFERROR(C640*D640*_xlfn.XLOOKUP(B640,[1]!TabCalc[Ticker],[1]!TabCalc[Scale]),0)</f>
        <v>-28330</v>
      </c>
      <c r="F640" s="68" cm="1">
        <f t="array" ref="F640">IF(A640=A639,0,SUM(_xlfn._xlws.FILTER(E640:E650,A640:A650=A640)))</f>
        <v>0</v>
      </c>
      <c r="G640" s="69">
        <f>IF(F640&lt;&gt;0,SUM($F$43:F640),0)</f>
        <v>0</v>
      </c>
      <c r="H640" s="69" cm="1">
        <f t="array" ref="H640">IFERROR(IF(A640=A639,0,SUM(_xlfn._xlws.FILTER(E640:E650,(A640:A650=A640)*(E640:E650&gt;0)))),0)</f>
        <v>0</v>
      </c>
      <c r="I640" s="69" cm="1">
        <f t="array" ref="I640">IFERROR(IF(A640=A639,0,SUM(_xlfn._xlws.FILTER(E640:E650,(A640:A650=A640)*(F640&lt;0)))),0)</f>
        <v>0</v>
      </c>
      <c r="J640" s="81" t="str">
        <f ca="1">IFERROR(_xlfn.XLOOKUP(B640,[1]!TabCalc[Ticker],[1]!TabCalc[Cur]),"")</f>
        <v>USD</v>
      </c>
      <c r="K640" s="68" cm="1">
        <f t="array" ref="K640">IFERROR(IF($A640=$A639,0,SUM(_xlfn._xlws.FILTER($E640:$E650,($A640:$A650=$A640)*($J640:$J650=K$42)))),0)</f>
        <v>0</v>
      </c>
      <c r="L640" s="68" cm="1">
        <f t="array" ref="L640">IFERROR(IF($A640=$A639,0,SUM(_xlfn._xlws.FILTER($E640:$E650,($A640:$A650=$A640)*($J640:$J650=L$42)))),0)</f>
        <v>0</v>
      </c>
      <c r="M640" s="68" cm="1">
        <f t="array" ref="M640">IFERROR(IF($A640=$A639,0,SUM(_xlfn._xlws.FILTER($E640:$E650,($A640:$A650=$A640)*($J640:$J650=M$42)))),0)</f>
        <v>0</v>
      </c>
      <c r="N640" s="68" cm="1">
        <f t="array" ref="N640">IFERROR(IF($A640=$A639,0,SUM(_xlfn._xlws.FILTER($E640:$E650,($A640:$A650=$A640)*($J640:$J650=N$42)))),0)</f>
        <v>0</v>
      </c>
    </row>
    <row r="641" spans="1:14" x14ac:dyDescent="0.3">
      <c r="A641" s="64">
        <v>45965</v>
      </c>
      <c r="B641" s="5" t="s">
        <v>51</v>
      </c>
      <c r="C641" s="5">
        <v>100</v>
      </c>
      <c r="D641" s="66">
        <v>-100.93</v>
      </c>
      <c r="E641" s="67">
        <f ca="1">IFERROR(C641*D641*_xlfn.XLOOKUP(B641,[1]!TabCalc[Ticker],[1]!TabCalc[Scale]),0)</f>
        <v>-10093</v>
      </c>
      <c r="F641" s="68" cm="1">
        <f t="array" ref="F641">IF(A641=A640,0,SUM(_xlfn._xlws.FILTER(E641:E651,A641:A651=A641)))</f>
        <v>0</v>
      </c>
      <c r="G641" s="69">
        <f>IF(F641&lt;&gt;0,SUM($F$43:F641),0)</f>
        <v>0</v>
      </c>
      <c r="H641" s="69" cm="1">
        <f t="array" ref="H641">IFERROR(IF(A641=A640,0,SUM(_xlfn._xlws.FILTER(E641:E651,(A641:A651=A641)*(E641:E651&gt;0)))),0)</f>
        <v>0</v>
      </c>
      <c r="I641" s="69" cm="1">
        <f t="array" ref="I641">IFERROR(IF(A641=A640,0,SUM(_xlfn._xlws.FILTER(E641:E651,(A641:A651=A641)*(F641&lt;0)))),0)</f>
        <v>0</v>
      </c>
      <c r="J641" s="81" t="str">
        <f ca="1">IFERROR(_xlfn.XLOOKUP(B641,[1]!TabCalc[Ticker],[1]!TabCalc[Cur]),"")</f>
        <v>USD</v>
      </c>
      <c r="K641" s="68" cm="1">
        <f t="array" ref="K641">IFERROR(IF($A641=$A640,0,SUM(_xlfn._xlws.FILTER($E641:$E651,($A641:$A651=$A641)*($J641:$J651=K$42)))),0)</f>
        <v>0</v>
      </c>
      <c r="L641" s="68" cm="1">
        <f t="array" ref="L641">IFERROR(IF($A641=$A640,0,SUM(_xlfn._xlws.FILTER($E641:$E651,($A641:$A651=$A641)*($J641:$J651=L$42)))),0)</f>
        <v>0</v>
      </c>
      <c r="M641" s="68" cm="1">
        <f t="array" ref="M641">IFERROR(IF($A641=$A640,0,SUM(_xlfn._xlws.FILTER($E641:$E651,($A641:$A651=$A641)*($J641:$J651=M$42)))),0)</f>
        <v>0</v>
      </c>
      <c r="N641" s="68" cm="1">
        <f t="array" ref="N641">IFERROR(IF($A641=$A640,0,SUM(_xlfn._xlws.FILTER($E641:$E651,($A641:$A651=$A641)*($J641:$J651=N$42)))),0)</f>
        <v>0</v>
      </c>
    </row>
    <row r="642" spans="1:14" x14ac:dyDescent="0.3">
      <c r="A642" s="70">
        <v>45966</v>
      </c>
      <c r="B642" s="70" t="s">
        <v>97</v>
      </c>
      <c r="C642" s="6">
        <v>1000</v>
      </c>
      <c r="D642" s="19">
        <v>-59.2</v>
      </c>
      <c r="E642" s="67">
        <f ca="1">IFERROR(C642*D642*_xlfn.XLOOKUP(B642,[1]!TabCalc[Ticker],[1]!TabCalc[Scale]),0)</f>
        <v>-59200</v>
      </c>
      <c r="F642" s="68" cm="1">
        <f t="array" aca="1" ref="F642" ca="1">IF(A642=A641,0,SUM(_xlfn._xlws.FILTER(E642:E652,A642:A652=A642)))</f>
        <v>31402</v>
      </c>
      <c r="G642" s="69">
        <f ca="1">IF(F642&lt;&gt;0,SUM($F$43:F642),0)</f>
        <v>-4842956.8045730004</v>
      </c>
      <c r="H642" s="69" cm="1">
        <f t="array" aca="1" ref="H642" ca="1">IFERROR(IF(A642=A641,0,SUM(_xlfn._xlws.FILTER(E642:E652,(A642:A652=A642)*(E642:E652&gt;0)))),0)</f>
        <v>322380</v>
      </c>
      <c r="I642" s="69" cm="1">
        <f t="array" aca="1" ref="I642" ca="1">IFERROR(IF(A642=A641,0,SUM(_xlfn._xlws.FILTER(E642:E652,(A642:A652=A642)*(F642&lt;0)))),0)</f>
        <v>0</v>
      </c>
      <c r="J642" s="81" t="str">
        <f ca="1">IFERROR(_xlfn.XLOOKUP(B642,[1]!TabCalc[Ticker],[1]!TabCalc[Cur]),"")</f>
        <v>CHF</v>
      </c>
      <c r="K642" s="68" cm="1">
        <f t="array" aca="1" ref="K642" ca="1">IFERROR(IF($A642=$A641,0,SUM(_xlfn._xlws.FILTER($E642:$E652,($A642:$A652=$A642)*($J642:$J652=K$42)))),0)</f>
        <v>-231778</v>
      </c>
      <c r="L642" s="68" cm="1">
        <f t="array" aca="1" ref="L642" ca="1">IFERROR(IF($A642=$A641,0,SUM(_xlfn._xlws.FILTER($E642:$E652,($A642:$A652=$A642)*($J642:$J652=L$42)))),0)</f>
        <v>237360</v>
      </c>
      <c r="M642" s="68" cm="1">
        <f t="array" aca="1" ref="M642" ca="1">IFERROR(IF($A642=$A641,0,SUM(_xlfn._xlws.FILTER($E642:$E652,($A642:$A652=$A642)*($J642:$J652=M$42)))),0)</f>
        <v>85020</v>
      </c>
      <c r="N642" s="68" cm="1">
        <f t="array" aca="1" ref="N642" ca="1">IFERROR(IF($A642=$A641,0,SUM(_xlfn._xlws.FILTER($E642:$E652,($A642:$A652=$A642)*($J642:$J652=N$42)))),0)</f>
        <v>-59200</v>
      </c>
    </row>
    <row r="643" spans="1:14" x14ac:dyDescent="0.3">
      <c r="A643" s="70">
        <v>45966</v>
      </c>
      <c r="B643" s="70" t="s">
        <v>69</v>
      </c>
      <c r="C643" s="6">
        <v>20000</v>
      </c>
      <c r="D643" s="19">
        <v>425.1</v>
      </c>
      <c r="E643" s="67">
        <f ca="1">IFERROR(C643*D643*_xlfn.XLOOKUP(B643,[1]!TabCalc[Ticker],[1]!TabCalc[Scale]),0)</f>
        <v>85020</v>
      </c>
      <c r="F643" s="68" cm="1">
        <f t="array" ref="F643">IF(A643=A642,0,SUM(_xlfn._xlws.FILTER(E643:E653,A643:A653=A643)))</f>
        <v>0</v>
      </c>
      <c r="G643" s="69">
        <f>IF(F643&lt;&gt;0,SUM($F$43:F643),0)</f>
        <v>0</v>
      </c>
      <c r="H643" s="69" cm="1">
        <f t="array" ref="H643">IFERROR(IF(A643=A642,0,SUM(_xlfn._xlws.FILTER(E643:E653,(A643:A653=A643)*(E643:E653&gt;0)))),0)</f>
        <v>0</v>
      </c>
      <c r="I643" s="69" cm="1">
        <f t="array" ref="I643">IFERROR(IF(A643=A642,0,SUM(_xlfn._xlws.FILTER(E643:E653,(A643:A653=A643)*(F643&lt;0)))),0)</f>
        <v>0</v>
      </c>
      <c r="J643" s="81" t="str">
        <f ca="1">IFERROR(_xlfn.XLOOKUP(B643,[1]!TabCalc[Ticker],[1]!TabCalc[Cur]),"")</f>
        <v>GBp</v>
      </c>
      <c r="K643" s="68" cm="1">
        <f t="array" ref="K643">IFERROR(IF($A643=$A642,0,SUM(_xlfn._xlws.FILTER($E643:$E653,($A643:$A653=$A643)*($J643:$J653=K$42)))),0)</f>
        <v>0</v>
      </c>
      <c r="L643" s="68" cm="1">
        <f t="array" ref="L643">IFERROR(IF($A643=$A642,0,SUM(_xlfn._xlws.FILTER($E643:$E653,($A643:$A653=$A643)*($J643:$J653=L$42)))),0)</f>
        <v>0</v>
      </c>
      <c r="M643" s="68" cm="1">
        <f t="array" ref="M643">IFERROR(IF($A643=$A642,0,SUM(_xlfn._xlws.FILTER($E643:$E653,($A643:$A653=$A643)*($J643:$J653=M$42)))),0)</f>
        <v>0</v>
      </c>
      <c r="N643" s="68" cm="1">
        <f t="array" ref="N643">IFERROR(IF($A643=$A642,0,SUM(_xlfn._xlws.FILTER($E643:$E653,($A643:$A653=$A643)*($J643:$J653=N$42)))),0)</f>
        <v>0</v>
      </c>
    </row>
    <row r="644" spans="1:14" x14ac:dyDescent="0.3">
      <c r="A644" s="70">
        <v>45966</v>
      </c>
      <c r="B644" s="70" t="s">
        <v>75</v>
      </c>
      <c r="C644" s="6">
        <v>14450</v>
      </c>
      <c r="D644" s="19">
        <v>-16.04</v>
      </c>
      <c r="E644" s="67">
        <f ca="1">IFERROR(C644*D644*_xlfn.XLOOKUP(B644,[1]!TabCalc[Ticker],[1]!TabCalc[Scale]),0)</f>
        <v>-231778</v>
      </c>
      <c r="F644" s="68" cm="1">
        <f t="array" ref="F644">IF(A644=A643,0,SUM(_xlfn._xlws.FILTER(E644:E654,A644:A654=A644)))</f>
        <v>0</v>
      </c>
      <c r="G644" s="69">
        <f>IF(F644&lt;&gt;0,SUM($F$43:F644),0)</f>
        <v>0</v>
      </c>
      <c r="H644" s="69" cm="1">
        <f t="array" ref="H644">IFERROR(IF(A644=A643,0,SUM(_xlfn._xlws.FILTER(E644:E654,(A644:A654=A644)*(E644:E654&gt;0)))),0)</f>
        <v>0</v>
      </c>
      <c r="I644" s="69" cm="1">
        <f t="array" ref="I644">IFERROR(IF(A644=A643,0,SUM(_xlfn._xlws.FILTER(E644:E654,(A644:A654=A644)*(F644&lt;0)))),0)</f>
        <v>0</v>
      </c>
      <c r="J644" s="81" t="str">
        <f ca="1">IFERROR(_xlfn.XLOOKUP(B644,[1]!TabCalc[Ticker],[1]!TabCalc[Cur]),"")</f>
        <v>EUR</v>
      </c>
      <c r="K644" s="68" cm="1">
        <f t="array" ref="K644">IFERROR(IF($A644=$A643,0,SUM(_xlfn._xlws.FILTER($E644:$E654,($A644:$A654=$A644)*($J644:$J654=K$42)))),0)</f>
        <v>0</v>
      </c>
      <c r="L644" s="68" cm="1">
        <f t="array" ref="L644">IFERROR(IF($A644=$A643,0,SUM(_xlfn._xlws.FILTER($E644:$E654,($A644:$A654=$A644)*($J644:$J654=L$42)))),0)</f>
        <v>0</v>
      </c>
      <c r="M644" s="68" cm="1">
        <f t="array" ref="M644">IFERROR(IF($A644=$A643,0,SUM(_xlfn._xlws.FILTER($E644:$E654,($A644:$A654=$A644)*($J644:$J654=M$42)))),0)</f>
        <v>0</v>
      </c>
      <c r="N644" s="68" cm="1">
        <f t="array" ref="N644">IFERROR(IF($A644=$A643,0,SUM(_xlfn._xlws.FILTER($E644:$E654,($A644:$A654=$A644)*($J644:$J654=N$42)))),0)</f>
        <v>0</v>
      </c>
    </row>
    <row r="645" spans="1:14" x14ac:dyDescent="0.3">
      <c r="A645" s="70">
        <v>45966</v>
      </c>
      <c r="B645" s="70" t="s">
        <v>80</v>
      </c>
      <c r="C645" s="6">
        <v>2000</v>
      </c>
      <c r="D645" s="19">
        <v>37.21</v>
      </c>
      <c r="E645" s="67">
        <f ca="1">IFERROR(C645*D645*_xlfn.XLOOKUP(B645,[1]!TabCalc[Ticker],[1]!TabCalc[Scale]),0)</f>
        <v>74420</v>
      </c>
      <c r="F645" s="68" cm="1">
        <f t="array" ref="F645">IF(A645=A644,0,SUM(_xlfn._xlws.FILTER(E645:E655,A645:A655=A645)))</f>
        <v>0</v>
      </c>
      <c r="G645" s="69">
        <f>IF(F645&lt;&gt;0,SUM($F$43:F645),0)</f>
        <v>0</v>
      </c>
      <c r="H645" s="69" cm="1">
        <f t="array" ref="H645">IFERROR(IF(A645=A644,0,SUM(_xlfn._xlws.FILTER(E645:E655,(A645:A655=A645)*(E645:E655&gt;0)))),0)</f>
        <v>0</v>
      </c>
      <c r="I645" s="69" cm="1">
        <f t="array" ref="I645">IFERROR(IF(A645=A644,0,SUM(_xlfn._xlws.FILTER(E645:E655,(A645:A655=A645)*(F645&lt;0)))),0)</f>
        <v>0</v>
      </c>
      <c r="J645" s="81" t="str">
        <f ca="1">IFERROR(_xlfn.XLOOKUP(B645,[1]!TabCalc[Ticker],[1]!TabCalc[Cur]),"")</f>
        <v>USD</v>
      </c>
      <c r="K645" s="68" cm="1">
        <f t="array" ref="K645">IFERROR(IF($A645=$A644,0,SUM(_xlfn._xlws.FILTER($E645:$E655,($A645:$A655=$A645)*($J645:$J655=K$42)))),0)</f>
        <v>0</v>
      </c>
      <c r="L645" s="68" cm="1">
        <f t="array" ref="L645">IFERROR(IF($A645=$A644,0,SUM(_xlfn._xlws.FILTER($E645:$E655,($A645:$A655=$A645)*($J645:$J655=L$42)))),0)</f>
        <v>0</v>
      </c>
      <c r="M645" s="68" cm="1">
        <f t="array" ref="M645">IFERROR(IF($A645=$A644,0,SUM(_xlfn._xlws.FILTER($E645:$E655,($A645:$A655=$A645)*($J645:$J655=M$42)))),0)</f>
        <v>0</v>
      </c>
      <c r="N645" s="68" cm="1">
        <f t="array" ref="N645">IFERROR(IF($A645=$A644,0,SUM(_xlfn._xlws.FILTER($E645:$E655,($A645:$A655=$A645)*($J645:$J655=N$42)))),0)</f>
        <v>0</v>
      </c>
    </row>
    <row r="646" spans="1:14" x14ac:dyDescent="0.3">
      <c r="A646" s="70">
        <v>45966</v>
      </c>
      <c r="B646" s="70" t="s">
        <v>82</v>
      </c>
      <c r="C646" s="6">
        <v>2000</v>
      </c>
      <c r="D646" s="19">
        <v>81.47</v>
      </c>
      <c r="E646" s="67">
        <f ca="1">IFERROR(C646*D646*_xlfn.XLOOKUP(B646,[1]!TabCalc[Ticker],[1]!TabCalc[Scale]),0)</f>
        <v>162940</v>
      </c>
      <c r="F646" s="68" cm="1">
        <f t="array" ref="F646">IF(A646=A645,0,SUM(_xlfn._xlws.FILTER(E646:E656,A646:A656=A646)))</f>
        <v>0</v>
      </c>
      <c r="G646" s="69">
        <f>IF(F646&lt;&gt;0,SUM($F$43:F646),0)</f>
        <v>0</v>
      </c>
      <c r="H646" s="69" cm="1">
        <f t="array" ref="H646">IFERROR(IF(A646=A645,0,SUM(_xlfn._xlws.FILTER(E646:E656,(A646:A656=A646)*(E646:E656&gt;0)))),0)</f>
        <v>0</v>
      </c>
      <c r="I646" s="69" cm="1">
        <f t="array" ref="I646">IFERROR(IF(A646=A645,0,SUM(_xlfn._xlws.FILTER(E646:E656,(A646:A656=A646)*(F646&lt;0)))),0)</f>
        <v>0</v>
      </c>
      <c r="J646" s="81" t="str">
        <f ca="1">IFERROR(_xlfn.XLOOKUP(B646,[1]!TabCalc[Ticker],[1]!TabCalc[Cur]),"")</f>
        <v>USD</v>
      </c>
      <c r="K646" s="68" cm="1">
        <f t="array" ref="K646">IFERROR(IF($A646=$A645,0,SUM(_xlfn._xlws.FILTER($E646:$E656,($A646:$A656=$A646)*($J646:$J656=K$42)))),0)</f>
        <v>0</v>
      </c>
      <c r="L646" s="68" cm="1">
        <f t="array" ref="L646">IFERROR(IF($A646=$A645,0,SUM(_xlfn._xlws.FILTER($E646:$E656,($A646:$A656=$A646)*($J646:$J656=L$42)))),0)</f>
        <v>0</v>
      </c>
      <c r="M646" s="68" cm="1">
        <f t="array" ref="M646">IFERROR(IF($A646=$A645,0,SUM(_xlfn._xlws.FILTER($E646:$E656,($A646:$A656=$A646)*($J646:$J656=M$42)))),0)</f>
        <v>0</v>
      </c>
      <c r="N646" s="68" cm="1">
        <f t="array" ref="N646">IFERROR(IF($A646=$A645,0,SUM(_xlfn._xlws.FILTER($E646:$E656,($A646:$A656=$A646)*($J646:$J656=N$42)))),0)</f>
        <v>0</v>
      </c>
    </row>
    <row r="647" spans="1:14" x14ac:dyDescent="0.3">
      <c r="A647" s="70"/>
      <c r="E647" s="67">
        <f ca="1">IFERROR(C647*D647*_xlfn.XLOOKUP(B647,[1]!TabCalc[Ticker],[1]!TabCalc[Scale]),0)</f>
        <v>0</v>
      </c>
      <c r="F647" s="68" cm="1">
        <f t="array" aca="1" ref="F647" ca="1">IF(A647=A646,0,SUM(_xlfn._xlws.FILTER(E647:E657,A647:A657=A647)))</f>
        <v>0</v>
      </c>
      <c r="G647" s="69">
        <f ca="1">IF(F647&lt;&gt;0,SUM($F$43:F647),0)</f>
        <v>0</v>
      </c>
      <c r="H647" s="69" cm="1">
        <f t="array" aca="1" ref="H647" ca="1">IFERROR(IF(A647=A646,0,SUM(_xlfn._xlws.FILTER(E647:E657,(A647:A657=A647)*(E647:E657&gt;0)))),0)</f>
        <v>0</v>
      </c>
      <c r="I647" s="69" cm="1">
        <f t="array" aca="1" ref="I647" ca="1">IFERROR(IF(A647=A646,0,SUM(_xlfn._xlws.FILTER(E647:E657,(A647:A657=A647)*(F647&lt;0)))),0)</f>
        <v>0</v>
      </c>
      <c r="J647" s="81" t="str">
        <f ca="1">IFERROR(_xlfn.XLOOKUP(B647,[1]!TabCalc[Ticker],[1]!TabCalc[Cur]),"")</f>
        <v/>
      </c>
      <c r="K647" s="68" cm="1">
        <f t="array" aca="1" ref="K647" ca="1">IFERROR(IF($A647=$A646,0,SUM(_xlfn._xlws.FILTER($E647:$E657,($A647:$A657=$A647)*($J647:$J657=K$42)))),0)</f>
        <v>0</v>
      </c>
      <c r="L647" s="68" cm="1">
        <f t="array" aca="1" ref="L647" ca="1">IFERROR(IF($A647=$A646,0,SUM(_xlfn._xlws.FILTER($E647:$E657,($A647:$A657=$A647)*($J647:$J657=L$42)))),0)</f>
        <v>0</v>
      </c>
      <c r="M647" s="68" cm="1">
        <f t="array" aca="1" ref="M647" ca="1">IFERROR(IF($A647=$A646,0,SUM(_xlfn._xlws.FILTER($E647:$E657,($A647:$A657=$A647)*($J647:$J657=M$42)))),0)</f>
        <v>0</v>
      </c>
      <c r="N647" s="68" cm="1">
        <f t="array" aca="1" ref="N647" ca="1">IFERROR(IF($A647=$A646,0,SUM(_xlfn._xlws.FILTER($E647:$E657,($A647:$A657=$A647)*($J647:$J657=N$42)))),0)</f>
        <v>0</v>
      </c>
    </row>
    <row r="648" spans="1:14" x14ac:dyDescent="0.3">
      <c r="E648" s="67">
        <f ca="1">IFERROR(C648*D648*_xlfn.XLOOKUP(B648,[1]!TabCalc[Ticker],[1]!TabCalc[Scale]),0)</f>
        <v>0</v>
      </c>
      <c r="F648" s="68" cm="1">
        <f t="array" ref="F648">IF(A648=A647,0,SUM(_xlfn._xlws.FILTER(E648:E658,A648:A658=A648)))</f>
        <v>0</v>
      </c>
      <c r="G648" s="69">
        <f>IF(F648&lt;&gt;0,SUM($F$43:F648),0)</f>
        <v>0</v>
      </c>
      <c r="H648" s="69" cm="1">
        <f t="array" ref="H648">IFERROR(IF(A648=A647,0,SUM(_xlfn._xlws.FILTER(E648:E658,(A648:A658=A648)*(E648:E658&gt;0)))),0)</f>
        <v>0</v>
      </c>
      <c r="I648" s="69" cm="1">
        <f t="array" ref="I648">IFERROR(IF(A648=A647,0,SUM(_xlfn._xlws.FILTER(E648:E658,(A648:A658=A648)*(F648&lt;0)))),0)</f>
        <v>0</v>
      </c>
      <c r="J648" s="81" t="str">
        <f ca="1">IFERROR(_xlfn.XLOOKUP(B648,[1]!TabCalc[Ticker],[1]!TabCalc[Cur]),"")</f>
        <v/>
      </c>
      <c r="K648" s="68" cm="1">
        <f t="array" ref="K648">IFERROR(IF($A648=$A647,0,SUM(_xlfn._xlws.FILTER($E648:$E658,($A648:$A658=$A648)*($J648:$J658=K$42)))),0)</f>
        <v>0</v>
      </c>
      <c r="L648" s="68" cm="1">
        <f t="array" ref="L648">IFERROR(IF($A648=$A647,0,SUM(_xlfn._xlws.FILTER($E648:$E658,($A648:$A658=$A648)*($J648:$J658=L$42)))),0)</f>
        <v>0</v>
      </c>
      <c r="M648" s="68" cm="1">
        <f t="array" ref="M648">IFERROR(IF($A648=$A647,0,SUM(_xlfn._xlws.FILTER($E648:$E658,($A648:$A658=$A648)*($J648:$J658=M$42)))),0)</f>
        <v>0</v>
      </c>
      <c r="N648" s="68" cm="1">
        <f t="array" ref="N648">IFERROR(IF($A648=$A647,0,SUM(_xlfn._xlws.FILTER($E648:$E658,($A648:$A658=$A648)*($J648:$J658=N$42)))),0)</f>
        <v>0</v>
      </c>
    </row>
    <row r="649" spans="1:14" x14ac:dyDescent="0.3">
      <c r="E649" s="67">
        <f ca="1">IFERROR(C649*D649*_xlfn.XLOOKUP(B649,[1]!TabCalc[Ticker],[1]!TabCalc[Scale]),0)</f>
        <v>0</v>
      </c>
      <c r="F649" s="68" cm="1">
        <f t="array" ref="F649">IF(A649=A648,0,SUM(_xlfn._xlws.FILTER(E649:E659,A649:A659=A649)))</f>
        <v>0</v>
      </c>
      <c r="G649" s="69">
        <f>IF(F649&lt;&gt;0,SUM($F$43:F649),0)</f>
        <v>0</v>
      </c>
      <c r="H649" s="69" cm="1">
        <f t="array" ref="H649">IFERROR(IF(A649=A648,0,SUM(_xlfn._xlws.FILTER(E649:E659,(A649:A659=A649)*(E649:E659&gt;0)))),0)</f>
        <v>0</v>
      </c>
      <c r="I649" s="69" cm="1">
        <f t="array" ref="I649">IFERROR(IF(A649=A648,0,SUM(_xlfn._xlws.FILTER(E649:E659,(A649:A659=A649)*(F649&lt;0)))),0)</f>
        <v>0</v>
      </c>
      <c r="J649" s="81" t="str">
        <f ca="1">IFERROR(_xlfn.XLOOKUP(B649,[1]!TabCalc[Ticker],[1]!TabCalc[Cur]),"")</f>
        <v/>
      </c>
      <c r="K649" s="68" cm="1">
        <f t="array" ref="K649">IFERROR(IF($A649=$A648,0,SUM(_xlfn._xlws.FILTER($E649:$E659,($A649:$A659=$A649)*($J649:$J659=K$42)))),0)</f>
        <v>0</v>
      </c>
      <c r="L649" s="68" cm="1">
        <f t="array" ref="L649">IFERROR(IF($A649=$A648,0,SUM(_xlfn._xlws.FILTER($E649:$E659,($A649:$A659=$A649)*($J649:$J659=L$42)))),0)</f>
        <v>0</v>
      </c>
      <c r="M649" s="68" cm="1">
        <f t="array" ref="M649">IFERROR(IF($A649=$A648,0,SUM(_xlfn._xlws.FILTER($E649:$E659,($A649:$A659=$A649)*($J649:$J659=M$42)))),0)</f>
        <v>0</v>
      </c>
      <c r="N649" s="68" cm="1">
        <f t="array" ref="N649">IFERROR(IF($A649=$A648,0,SUM(_xlfn._xlws.FILTER($E649:$E659,($A649:$A659=$A649)*($J649:$J659=N$42)))),0)</f>
        <v>0</v>
      </c>
    </row>
    <row r="650" spans="1:14" x14ac:dyDescent="0.3">
      <c r="E650" s="67">
        <f ca="1">IFERROR(C650*D650*_xlfn.XLOOKUP(B650,[1]!TabCalc[Ticker],[1]!TabCalc[Scale]),0)</f>
        <v>0</v>
      </c>
      <c r="F650" s="68" cm="1">
        <f t="array" ref="F650">IF(A650=A649,0,SUM(_xlfn._xlws.FILTER(E650:E660,A650:A660=A650)))</f>
        <v>0</v>
      </c>
      <c r="G650" s="69">
        <f>IF(F650&lt;&gt;0,SUM($F$43:F650),0)</f>
        <v>0</v>
      </c>
      <c r="H650" s="69" cm="1">
        <f t="array" ref="H650">IFERROR(IF(A650=A649,0,SUM(_xlfn._xlws.FILTER(E650:E660,(A650:A660=A650)*(E650:E660&gt;0)))),0)</f>
        <v>0</v>
      </c>
      <c r="I650" s="69" cm="1">
        <f t="array" ref="I650">IFERROR(IF(A650=A649,0,SUM(_xlfn._xlws.FILTER(E650:E660,(A650:A660=A650)*(F650&lt;0)))),0)</f>
        <v>0</v>
      </c>
      <c r="J650" s="81" t="str">
        <f ca="1">IFERROR(_xlfn.XLOOKUP(B650,[1]!TabCalc[Ticker],[1]!TabCalc[Cur]),"")</f>
        <v/>
      </c>
      <c r="K650" s="68" cm="1">
        <f t="array" ref="K650">IFERROR(IF($A650=$A649,0,SUM(_xlfn._xlws.FILTER($E650:$E660,($A650:$A660=$A650)*($J650:$J660=K$42)))),0)</f>
        <v>0</v>
      </c>
      <c r="L650" s="68" cm="1">
        <f t="array" ref="L650">IFERROR(IF($A650=$A649,0,SUM(_xlfn._xlws.FILTER($E650:$E660,($A650:$A660=$A650)*($J650:$J660=L$42)))),0)</f>
        <v>0</v>
      </c>
      <c r="M650" s="68" cm="1">
        <f t="array" ref="M650">IFERROR(IF($A650=$A649,0,SUM(_xlfn._xlws.FILTER($E650:$E660,($A650:$A660=$A650)*($J650:$J660=M$42)))),0)</f>
        <v>0</v>
      </c>
      <c r="N650" s="68" cm="1">
        <f t="array" ref="N650">IFERROR(IF($A650=$A649,0,SUM(_xlfn._xlws.FILTER($E650:$E660,($A650:$A660=$A650)*($J650:$J660=N$42)))),0)</f>
        <v>0</v>
      </c>
    </row>
    <row r="651" spans="1:14" x14ac:dyDescent="0.3">
      <c r="E651" s="67">
        <f ca="1">IFERROR(C651*D651*_xlfn.XLOOKUP(B651,[1]!TabCalc[Ticker],[1]!TabCalc[Scale]),0)</f>
        <v>0</v>
      </c>
      <c r="F651" s="68" cm="1">
        <f t="array" ref="F651">IF(A651=A650,0,SUM(_xlfn._xlws.FILTER(E651:E661,A651:A661=A651)))</f>
        <v>0</v>
      </c>
      <c r="G651" s="69">
        <f>IF(F651&lt;&gt;0,SUM($F$43:F651),0)</f>
        <v>0</v>
      </c>
      <c r="H651" s="69" cm="1">
        <f t="array" ref="H651">IFERROR(IF(A651=A650,0,SUM(_xlfn._xlws.FILTER(E651:E661,(A651:A661=A651)*(E651:E661&gt;0)))),0)</f>
        <v>0</v>
      </c>
      <c r="I651" s="69" cm="1">
        <f t="array" ref="I651">IFERROR(IF(A651=A650,0,SUM(_xlfn._xlws.FILTER(E651:E661,(A651:A661=A651)*(F651&lt;0)))),0)</f>
        <v>0</v>
      </c>
      <c r="J651" s="81" t="str">
        <f ca="1">IFERROR(_xlfn.XLOOKUP(B651,[1]!TabCalc[Ticker],[1]!TabCalc[Cur]),"")</f>
        <v/>
      </c>
      <c r="K651" s="68" cm="1">
        <f t="array" ref="K651">IFERROR(IF($A651=$A650,0,SUM(_xlfn._xlws.FILTER($E651:$E661,($A651:$A661=$A651)*($J651:$J661=K$42)))),0)</f>
        <v>0</v>
      </c>
      <c r="L651" s="68" cm="1">
        <f t="array" ref="L651">IFERROR(IF($A651=$A650,0,SUM(_xlfn._xlws.FILTER($E651:$E661,($A651:$A661=$A651)*($J651:$J661=L$42)))),0)</f>
        <v>0</v>
      </c>
      <c r="M651" s="68" cm="1">
        <f t="array" ref="M651">IFERROR(IF($A651=$A650,0,SUM(_xlfn._xlws.FILTER($E651:$E661,($A651:$A661=$A651)*($J651:$J661=M$42)))),0)</f>
        <v>0</v>
      </c>
      <c r="N651" s="68" cm="1">
        <f t="array" ref="N651">IFERROR(IF($A651=$A650,0,SUM(_xlfn._xlws.FILTER($E651:$E661,($A651:$A661=$A651)*($J651:$J661=N$42)))),0)</f>
        <v>0</v>
      </c>
    </row>
    <row r="652" spans="1:14" x14ac:dyDescent="0.3">
      <c r="E652" s="67">
        <f ca="1">IFERROR(C652*D652*_xlfn.XLOOKUP(B652,[1]!TabCalc[Ticker],[1]!TabCalc[Scale]),0)</f>
        <v>0</v>
      </c>
      <c r="F652" s="68" cm="1">
        <f t="array" ref="F652">IF(A652=A651,0,SUM(_xlfn._xlws.FILTER(E652:E662,A652:A662=A652)))</f>
        <v>0</v>
      </c>
      <c r="G652" s="69">
        <f>IF(F652&lt;&gt;0,SUM($F$43:F652),0)</f>
        <v>0</v>
      </c>
      <c r="H652" s="69" cm="1">
        <f t="array" ref="H652">IFERROR(IF(A652=A651,0,SUM(_xlfn._xlws.FILTER(E652:E662,(A652:A662=A652)*(E652:E662&gt;0)))),0)</f>
        <v>0</v>
      </c>
      <c r="I652" s="69" cm="1">
        <f t="array" ref="I652">IFERROR(IF(A652=A651,0,SUM(_xlfn._xlws.FILTER(E652:E662,(A652:A662=A652)*(F652&lt;0)))),0)</f>
        <v>0</v>
      </c>
      <c r="J652" s="81" t="str">
        <f ca="1">IFERROR(_xlfn.XLOOKUP(B652,[1]!TabCalc[Ticker],[1]!TabCalc[Cur]),"")</f>
        <v/>
      </c>
      <c r="K652" s="68" cm="1">
        <f t="array" ref="K652">IFERROR(IF($A652=$A651,0,SUM(_xlfn._xlws.FILTER($E652:$E662,($A652:$A662=$A652)*($J652:$J662=K$42)))),0)</f>
        <v>0</v>
      </c>
      <c r="L652" s="68" cm="1">
        <f t="array" ref="L652">IFERROR(IF($A652=$A651,0,SUM(_xlfn._xlws.FILTER($E652:$E662,($A652:$A662=$A652)*($J652:$J662=L$42)))),0)</f>
        <v>0</v>
      </c>
      <c r="M652" s="68" cm="1">
        <f t="array" ref="M652">IFERROR(IF($A652=$A651,0,SUM(_xlfn._xlws.FILTER($E652:$E662,($A652:$A662=$A652)*($J652:$J662=M$42)))),0)</f>
        <v>0</v>
      </c>
      <c r="N652" s="68" cm="1">
        <f t="array" ref="N652">IFERROR(IF($A652=$A651,0,SUM(_xlfn._xlws.FILTER($E652:$E662,($A652:$A662=$A652)*($J652:$J662=N$42)))),0)</f>
        <v>0</v>
      </c>
    </row>
    <row r="653" spans="1:14" x14ac:dyDescent="0.3">
      <c r="E653" s="67">
        <f ca="1">IFERROR(C653*D653*_xlfn.XLOOKUP(B653,[1]!TabCalc[Ticker],[1]!TabCalc[Scale]),0)</f>
        <v>0</v>
      </c>
      <c r="F653" s="68" cm="1">
        <f t="array" ref="F653">IF(A653=A652,0,SUM(_xlfn._xlws.FILTER(E653:E663,A653:A663=A653)))</f>
        <v>0</v>
      </c>
      <c r="G653" s="69">
        <f>IF(F653&lt;&gt;0,SUM($F$43:F653),0)</f>
        <v>0</v>
      </c>
      <c r="H653" s="69" cm="1">
        <f t="array" ref="H653">IFERROR(IF(A653=A652,0,SUM(_xlfn._xlws.FILTER(E653:E663,(A653:A663=A653)*(E653:E663&gt;0)))),0)</f>
        <v>0</v>
      </c>
      <c r="I653" s="69" cm="1">
        <f t="array" ref="I653">IFERROR(IF(A653=A652,0,SUM(_xlfn._xlws.FILTER(E653:E663,(A653:A663=A653)*(F653&lt;0)))),0)</f>
        <v>0</v>
      </c>
      <c r="J653" s="81" t="str">
        <f ca="1">IFERROR(_xlfn.XLOOKUP(B653,[1]!TabCalc[Ticker],[1]!TabCalc[Cur]),"")</f>
        <v/>
      </c>
      <c r="K653" s="68" cm="1">
        <f t="array" ref="K653">IFERROR(IF($A653=$A652,0,SUM(_xlfn._xlws.FILTER($E653:$E663,($A653:$A663=$A653)*($J653:$J663=K$42)))),0)</f>
        <v>0</v>
      </c>
      <c r="L653" s="68" cm="1">
        <f t="array" ref="L653">IFERROR(IF($A653=$A652,0,SUM(_xlfn._xlws.FILTER($E653:$E663,($A653:$A663=$A653)*($J653:$J663=L$42)))),0)</f>
        <v>0</v>
      </c>
      <c r="M653" s="68" cm="1">
        <f t="array" ref="M653">IFERROR(IF($A653=$A652,0,SUM(_xlfn._xlws.FILTER($E653:$E663,($A653:$A663=$A653)*($J653:$J663=M$42)))),0)</f>
        <v>0</v>
      </c>
      <c r="N653" s="68" cm="1">
        <f t="array" ref="N653">IFERROR(IF($A653=$A652,0,SUM(_xlfn._xlws.FILTER($E653:$E663,($A653:$A663=$A653)*($J653:$J663=N$42)))),0)</f>
        <v>0</v>
      </c>
    </row>
    <row r="654" spans="1:14" x14ac:dyDescent="0.3">
      <c r="E654" s="67">
        <f ca="1">IFERROR(C654*D654*_xlfn.XLOOKUP(B654,[1]!TabCalc[Ticker],[1]!TabCalc[Scale]),0)</f>
        <v>0</v>
      </c>
      <c r="F654" s="68" cm="1">
        <f t="array" ref="F654">IF(A654=A653,0,SUM(_xlfn._xlws.FILTER(E654:E664,A654:A664=A654)))</f>
        <v>0</v>
      </c>
      <c r="G654" s="69">
        <f>IF(F654&lt;&gt;0,SUM($F$43:F654),0)</f>
        <v>0</v>
      </c>
      <c r="H654" s="69" cm="1">
        <f t="array" ref="H654">IFERROR(IF(A654=A653,0,SUM(_xlfn._xlws.FILTER(E654:E664,(A654:A664=A654)*(E654:E664&gt;0)))),0)</f>
        <v>0</v>
      </c>
      <c r="I654" s="69" cm="1">
        <f t="array" ref="I654">IFERROR(IF(A654=A653,0,SUM(_xlfn._xlws.FILTER(E654:E664,(A654:A664=A654)*(F654&lt;0)))),0)</f>
        <v>0</v>
      </c>
      <c r="J654" s="81" t="str">
        <f ca="1">IFERROR(_xlfn.XLOOKUP(B654,[1]!TabCalc[Ticker],[1]!TabCalc[Cur]),"")</f>
        <v/>
      </c>
      <c r="K654" s="68" cm="1">
        <f t="array" ref="K654">IFERROR(IF($A654=$A653,0,SUM(_xlfn._xlws.FILTER($E654:$E664,($A654:$A664=$A654)*($J654:$J664=K$42)))),0)</f>
        <v>0</v>
      </c>
      <c r="L654" s="68" cm="1">
        <f t="array" ref="L654">IFERROR(IF($A654=$A653,0,SUM(_xlfn._xlws.FILTER($E654:$E664,($A654:$A664=$A654)*($J654:$J664=L$42)))),0)</f>
        <v>0</v>
      </c>
      <c r="M654" s="68" cm="1">
        <f t="array" ref="M654">IFERROR(IF($A654=$A653,0,SUM(_xlfn._xlws.FILTER($E654:$E664,($A654:$A664=$A654)*($J654:$J664=M$42)))),0)</f>
        <v>0</v>
      </c>
      <c r="N654" s="68" cm="1">
        <f t="array" ref="N654">IFERROR(IF($A654=$A653,0,SUM(_xlfn._xlws.FILTER($E654:$E664,($A654:$A664=$A654)*($J654:$J664=N$42)))),0)</f>
        <v>0</v>
      </c>
    </row>
    <row r="655" spans="1:14" x14ac:dyDescent="0.3">
      <c r="E655" s="67">
        <f ca="1">IFERROR(C655*D655*_xlfn.XLOOKUP(B655,[1]!TabCalc[Ticker],[1]!TabCalc[Scale]),0)</f>
        <v>0</v>
      </c>
      <c r="F655" s="68" cm="1">
        <f t="array" ref="F655">IF(A655=A654,0,SUM(_xlfn._xlws.FILTER(E655:E665,A655:A665=A655)))</f>
        <v>0</v>
      </c>
      <c r="G655" s="69">
        <f>IF(F655&lt;&gt;0,SUM($F$43:F655),0)</f>
        <v>0</v>
      </c>
      <c r="H655" s="69" cm="1">
        <f t="array" ref="H655">IFERROR(IF(A655=A654,0,SUM(_xlfn._xlws.FILTER(E655:E665,(A655:A665=A655)*(E655:E665&gt;0)))),0)</f>
        <v>0</v>
      </c>
      <c r="I655" s="69" cm="1">
        <f t="array" ref="I655">IFERROR(IF(A655=A654,0,SUM(_xlfn._xlws.FILTER(E655:E665,(A655:A665=A655)*(F655&lt;0)))),0)</f>
        <v>0</v>
      </c>
      <c r="J655" s="81" t="str">
        <f ca="1">IFERROR(_xlfn.XLOOKUP(B655,[1]!TabCalc[Ticker],[1]!TabCalc[Cur]),"")</f>
        <v/>
      </c>
      <c r="K655" s="68" cm="1">
        <f t="array" ref="K655">IFERROR(IF($A655=$A654,0,SUM(_xlfn._xlws.FILTER($E655:$E665,($A655:$A665=$A655)*($J655:$J665=K$42)))),0)</f>
        <v>0</v>
      </c>
      <c r="L655" s="68" cm="1">
        <f t="array" ref="L655">IFERROR(IF($A655=$A654,0,SUM(_xlfn._xlws.FILTER($E655:$E665,($A655:$A665=$A655)*($J655:$J665=L$42)))),0)</f>
        <v>0</v>
      </c>
      <c r="M655" s="68" cm="1">
        <f t="array" ref="M655">IFERROR(IF($A655=$A654,0,SUM(_xlfn._xlws.FILTER($E655:$E665,($A655:$A665=$A655)*($J655:$J665=M$42)))),0)</f>
        <v>0</v>
      </c>
      <c r="N655" s="68" cm="1">
        <f t="array" ref="N655">IFERROR(IF($A655=$A654,0,SUM(_xlfn._xlws.FILTER($E655:$E665,($A655:$A665=$A655)*($J655:$J665=N$42)))),0)</f>
        <v>0</v>
      </c>
    </row>
    <row r="656" spans="1:14" x14ac:dyDescent="0.3">
      <c r="E656" s="67">
        <f ca="1">IFERROR(C656*D656*_xlfn.XLOOKUP(B656,[1]!TabCalc[Ticker],[1]!TabCalc[Scale]),0)</f>
        <v>0</v>
      </c>
      <c r="F656" s="68" cm="1">
        <f t="array" ref="F656">IF(A656=A655,0,SUM(_xlfn._xlws.FILTER(E656:E666,A656:A666=A656)))</f>
        <v>0</v>
      </c>
      <c r="G656" s="69">
        <f>IF(F656&lt;&gt;0,SUM($F$43:F656),0)</f>
        <v>0</v>
      </c>
      <c r="H656" s="69" cm="1">
        <f t="array" ref="H656">IFERROR(IF(A656=A655,0,SUM(_xlfn._xlws.FILTER(E656:E666,(A656:A666=A656)*(E656:E666&gt;0)))),0)</f>
        <v>0</v>
      </c>
      <c r="I656" s="69" cm="1">
        <f t="array" ref="I656">IFERROR(IF(A656=A655,0,SUM(_xlfn._xlws.FILTER(E656:E666,(A656:A666=A656)*(F656&lt;0)))),0)</f>
        <v>0</v>
      </c>
      <c r="J656" s="81" t="str">
        <f ca="1">IFERROR(_xlfn.XLOOKUP(B656,[1]!TabCalc[Ticker],[1]!TabCalc[Cur]),"")</f>
        <v/>
      </c>
      <c r="K656" s="68" cm="1">
        <f t="array" ref="K656">IFERROR(IF($A656=$A655,0,SUM(_xlfn._xlws.FILTER($E656:$E666,($A656:$A666=$A656)*($J656:$J666=K$42)))),0)</f>
        <v>0</v>
      </c>
      <c r="L656" s="68" cm="1">
        <f t="array" ref="L656">IFERROR(IF($A656=$A655,0,SUM(_xlfn._xlws.FILTER($E656:$E666,($A656:$A666=$A656)*($J656:$J666=L$42)))),0)</f>
        <v>0</v>
      </c>
      <c r="M656" s="68" cm="1">
        <f t="array" ref="M656">IFERROR(IF($A656=$A655,0,SUM(_xlfn._xlws.FILTER($E656:$E666,($A656:$A666=$A656)*($J656:$J666=M$42)))),0)</f>
        <v>0</v>
      </c>
      <c r="N656" s="68" cm="1">
        <f t="array" ref="N656">IFERROR(IF($A656=$A655,0,SUM(_xlfn._xlws.FILTER($E656:$E666,($A656:$A666=$A656)*($J656:$J666=N$42)))),0)</f>
        <v>0</v>
      </c>
    </row>
    <row r="657" spans="5:14" x14ac:dyDescent="0.3">
      <c r="E657" s="67">
        <f ca="1">IFERROR(C657*D657*_xlfn.XLOOKUP(B657,[1]!TabCalc[Ticker],[1]!TabCalc[Scale]),0)</f>
        <v>0</v>
      </c>
      <c r="F657" s="68" cm="1">
        <f t="array" ref="F657">IF(A657=A656,0,SUM(_xlfn._xlws.FILTER(E657:E667,A657:A667=A657)))</f>
        <v>0</v>
      </c>
      <c r="G657" s="69">
        <f>IF(F657&lt;&gt;0,SUM($F$43:F657),0)</f>
        <v>0</v>
      </c>
      <c r="H657" s="69" cm="1">
        <f t="array" ref="H657">IFERROR(IF(A657=A656,0,SUM(_xlfn._xlws.FILTER(E657:E667,(A657:A667=A657)*(E657:E667&gt;0)))),0)</f>
        <v>0</v>
      </c>
      <c r="I657" s="69" cm="1">
        <f t="array" ref="I657">IFERROR(IF(A657=A656,0,SUM(_xlfn._xlws.FILTER(E657:E667,(A657:A667=A657)*(F657&lt;0)))),0)</f>
        <v>0</v>
      </c>
      <c r="J657" s="81" t="str">
        <f ca="1">IFERROR(_xlfn.XLOOKUP(B657,[1]!TabCalc[Ticker],[1]!TabCalc[Cur]),"")</f>
        <v/>
      </c>
      <c r="K657" s="68" cm="1">
        <f t="array" ref="K657">IFERROR(IF($A657=$A656,0,SUM(_xlfn._xlws.FILTER($E657:$E667,($A657:$A667=$A657)*($J657:$J667=K$42)))),0)</f>
        <v>0</v>
      </c>
      <c r="L657" s="68" cm="1">
        <f t="array" ref="L657">IFERROR(IF($A657=$A656,0,SUM(_xlfn._xlws.FILTER($E657:$E667,($A657:$A667=$A657)*($J657:$J667=L$42)))),0)</f>
        <v>0</v>
      </c>
      <c r="M657" s="68" cm="1">
        <f t="array" ref="M657">IFERROR(IF($A657=$A656,0,SUM(_xlfn._xlws.FILTER($E657:$E667,($A657:$A667=$A657)*($J657:$J667=M$42)))),0)</f>
        <v>0</v>
      </c>
      <c r="N657" s="68" cm="1">
        <f t="array" ref="N657">IFERROR(IF($A657=$A656,0,SUM(_xlfn._xlws.FILTER($E657:$E667,($A657:$A667=$A657)*($J657:$J667=N$42)))),0)</f>
        <v>0</v>
      </c>
    </row>
    <row r="658" spans="5:14" x14ac:dyDescent="0.3">
      <c r="E658" s="67">
        <f ca="1">IFERROR(C658*D658*_xlfn.XLOOKUP(B658,[1]!TabCalc[Ticker],[1]!TabCalc[Scale]),0)</f>
        <v>0</v>
      </c>
      <c r="F658" s="68" cm="1">
        <f t="array" ref="F658">IF(A658=A657,0,SUM(_xlfn._xlws.FILTER(E658:E668,A658:A668=A658)))</f>
        <v>0</v>
      </c>
      <c r="G658" s="69">
        <f>IF(F658&lt;&gt;0,SUM($F$43:F658),0)</f>
        <v>0</v>
      </c>
      <c r="H658" s="69" cm="1">
        <f t="array" ref="H658">IFERROR(IF(A658=A657,0,SUM(_xlfn._xlws.FILTER(E658:E668,(A658:A668=A658)*(E658:E668&gt;0)))),0)</f>
        <v>0</v>
      </c>
      <c r="I658" s="69" cm="1">
        <f t="array" ref="I658">IFERROR(IF(A658=A657,0,SUM(_xlfn._xlws.FILTER(E658:E668,(A658:A668=A658)*(F658&lt;0)))),0)</f>
        <v>0</v>
      </c>
      <c r="J658" s="81" t="str">
        <f ca="1">IFERROR(_xlfn.XLOOKUP(B658,[1]!TabCalc[Ticker],[1]!TabCalc[Cur]),"")</f>
        <v/>
      </c>
      <c r="K658" s="68" cm="1">
        <f t="array" ref="K658">IFERROR(IF($A658=$A657,0,SUM(_xlfn._xlws.FILTER($E658:$E668,($A658:$A668=$A658)*($J658:$J668=K$42)))),0)</f>
        <v>0</v>
      </c>
      <c r="L658" s="68" cm="1">
        <f t="array" ref="L658">IFERROR(IF($A658=$A657,0,SUM(_xlfn._xlws.FILTER($E658:$E668,($A658:$A668=$A658)*($J658:$J668=L$42)))),0)</f>
        <v>0</v>
      </c>
      <c r="M658" s="68" cm="1">
        <f t="array" ref="M658">IFERROR(IF($A658=$A657,0,SUM(_xlfn._xlws.FILTER($E658:$E668,($A658:$A668=$A658)*($J658:$J668=M$42)))),0)</f>
        <v>0</v>
      </c>
      <c r="N658" s="68" cm="1">
        <f t="array" ref="N658">IFERROR(IF($A658=$A657,0,SUM(_xlfn._xlws.FILTER($E658:$E668,($A658:$A668=$A658)*($J658:$J668=N$42)))),0)</f>
        <v>0</v>
      </c>
    </row>
    <row r="659" spans="5:14" x14ac:dyDescent="0.3">
      <c r="E659" s="67">
        <f ca="1">IFERROR(C659*D659*_xlfn.XLOOKUP(B659,[1]!TabCalc[Ticker],[1]!TabCalc[Scale]),0)</f>
        <v>0</v>
      </c>
      <c r="F659" s="68" cm="1">
        <f t="array" ref="F659">IF(A659=A658,0,SUM(_xlfn._xlws.FILTER(E659:E669,A659:A669=A659)))</f>
        <v>0</v>
      </c>
      <c r="G659" s="69">
        <f>IF(F659&lt;&gt;0,SUM($F$43:F659),0)</f>
        <v>0</v>
      </c>
      <c r="H659" s="69" cm="1">
        <f t="array" ref="H659">IFERROR(IF(A659=A658,0,SUM(_xlfn._xlws.FILTER(E659:E669,(A659:A669=A659)*(E659:E669&gt;0)))),0)</f>
        <v>0</v>
      </c>
      <c r="I659" s="69" cm="1">
        <f t="array" ref="I659">IFERROR(IF(A659=A658,0,SUM(_xlfn._xlws.FILTER(E659:E669,(A659:A669=A659)*(F659&lt;0)))),0)</f>
        <v>0</v>
      </c>
      <c r="J659" s="81" t="str">
        <f ca="1">IFERROR(_xlfn.XLOOKUP(B659,[1]!TabCalc[Ticker],[1]!TabCalc[Cur]),"")</f>
        <v/>
      </c>
      <c r="K659" s="68" cm="1">
        <f t="array" ref="K659">IFERROR(IF($A659=$A658,0,SUM(_xlfn._xlws.FILTER($E659:$E669,($A659:$A669=$A659)*($J659:$J669=K$42)))),0)</f>
        <v>0</v>
      </c>
      <c r="L659" s="68" cm="1">
        <f t="array" ref="L659">IFERROR(IF($A659=$A658,0,SUM(_xlfn._xlws.FILTER($E659:$E669,($A659:$A669=$A659)*($J659:$J669=L$42)))),0)</f>
        <v>0</v>
      </c>
      <c r="M659" s="68" cm="1">
        <f t="array" ref="M659">IFERROR(IF($A659=$A658,0,SUM(_xlfn._xlws.FILTER($E659:$E669,($A659:$A669=$A659)*($J659:$J669=M$42)))),0)</f>
        <v>0</v>
      </c>
      <c r="N659" s="68" cm="1">
        <f t="array" ref="N659">IFERROR(IF($A659=$A658,0,SUM(_xlfn._xlws.FILTER($E659:$E669,($A659:$A669=$A659)*($J659:$J669=N$42)))),0)</f>
        <v>0</v>
      </c>
    </row>
    <row r="660" spans="5:14" x14ac:dyDescent="0.3">
      <c r="E660" s="67">
        <f ca="1">IFERROR(C660*D660*_xlfn.XLOOKUP(B660,[1]!TabCalc[Ticker],[1]!TabCalc[Scale]),0)</f>
        <v>0</v>
      </c>
      <c r="F660" s="68" cm="1">
        <f t="array" ref="F660">IF(A660=A659,0,SUM(_xlfn._xlws.FILTER(E660:E670,A660:A670=A660)))</f>
        <v>0</v>
      </c>
      <c r="G660" s="69">
        <f>IF(F660&lt;&gt;0,SUM($F$43:F660),0)</f>
        <v>0</v>
      </c>
      <c r="H660" s="69" cm="1">
        <f t="array" ref="H660">IFERROR(IF(A660=A659,0,SUM(_xlfn._xlws.FILTER(E660:E670,(A660:A670=A660)*(E660:E670&gt;0)))),0)</f>
        <v>0</v>
      </c>
      <c r="I660" s="69" cm="1">
        <f t="array" ref="I660">IFERROR(IF(A660=A659,0,SUM(_xlfn._xlws.FILTER(E660:E670,(A660:A670=A660)*(F660&lt;0)))),0)</f>
        <v>0</v>
      </c>
      <c r="J660" s="81" t="str">
        <f ca="1">IFERROR(_xlfn.XLOOKUP(B660,[1]!TabCalc[Ticker],[1]!TabCalc[Cur]),"")</f>
        <v/>
      </c>
      <c r="K660" s="68" cm="1">
        <f t="array" ref="K660">IFERROR(IF($A660=$A659,0,SUM(_xlfn._xlws.FILTER($E660:$E670,($A660:$A670=$A660)*($J660:$J670=K$42)))),0)</f>
        <v>0</v>
      </c>
      <c r="L660" s="68" cm="1">
        <f t="array" ref="L660">IFERROR(IF($A660=$A659,0,SUM(_xlfn._xlws.FILTER($E660:$E670,($A660:$A670=$A660)*($J660:$J670=L$42)))),0)</f>
        <v>0</v>
      </c>
      <c r="M660" s="68" cm="1">
        <f t="array" ref="M660">IFERROR(IF($A660=$A659,0,SUM(_xlfn._xlws.FILTER($E660:$E670,($A660:$A670=$A660)*($J660:$J670=M$42)))),0)</f>
        <v>0</v>
      </c>
      <c r="N660" s="68" cm="1">
        <f t="array" ref="N660">IFERROR(IF($A660=$A659,0,SUM(_xlfn._xlws.FILTER($E660:$E670,($A660:$A670=$A660)*($J660:$J670=N$42)))),0)</f>
        <v>0</v>
      </c>
    </row>
    <row r="661" spans="5:14" x14ac:dyDescent="0.3">
      <c r="E661" s="67">
        <f ca="1">IFERROR(C661*D661*_xlfn.XLOOKUP(B661,[1]!TabCalc[Ticker],[1]!TabCalc[Scale]),0)</f>
        <v>0</v>
      </c>
      <c r="F661" s="68" cm="1">
        <f t="array" ref="F661">IF(A661=A660,0,SUM(_xlfn._xlws.FILTER(E661:E671,A661:A671=A661)))</f>
        <v>0</v>
      </c>
      <c r="G661" s="69">
        <f>IF(F661&lt;&gt;0,SUM($F$43:F661),0)</f>
        <v>0</v>
      </c>
      <c r="H661" s="69" cm="1">
        <f t="array" ref="H661">IFERROR(IF(A661=A660,0,SUM(_xlfn._xlws.FILTER(E661:E671,(A661:A671=A661)*(E661:E671&gt;0)))),0)</f>
        <v>0</v>
      </c>
      <c r="I661" s="69" cm="1">
        <f t="array" ref="I661">IFERROR(IF(A661=A660,0,SUM(_xlfn._xlws.FILTER(E661:E671,(A661:A671=A661)*(F661&lt;0)))),0)</f>
        <v>0</v>
      </c>
      <c r="J661" s="81" t="str">
        <f ca="1">IFERROR(_xlfn.XLOOKUP(B661,[1]!TabCalc[Ticker],[1]!TabCalc[Cur]),"")</f>
        <v/>
      </c>
      <c r="K661" s="68" cm="1">
        <f t="array" ref="K661">IFERROR(IF($A661=$A660,0,SUM(_xlfn._xlws.FILTER($E661:$E671,($A661:$A671=$A661)*($J661:$J671=K$42)))),0)</f>
        <v>0</v>
      </c>
      <c r="L661" s="68" cm="1">
        <f t="array" ref="L661">IFERROR(IF($A661=$A660,0,SUM(_xlfn._xlws.FILTER($E661:$E671,($A661:$A671=$A661)*($J661:$J671=L$42)))),0)</f>
        <v>0</v>
      </c>
      <c r="M661" s="68" cm="1">
        <f t="array" ref="M661">IFERROR(IF($A661=$A660,0,SUM(_xlfn._xlws.FILTER($E661:$E671,($A661:$A671=$A661)*($J661:$J671=M$42)))),0)</f>
        <v>0</v>
      </c>
      <c r="N661" s="68" cm="1">
        <f t="array" ref="N661">IFERROR(IF($A661=$A660,0,SUM(_xlfn._xlws.FILTER($E661:$E671,($A661:$A671=$A661)*($J661:$J671=N$42)))),0)</f>
        <v>0</v>
      </c>
    </row>
    <row r="662" spans="5:14" x14ac:dyDescent="0.3">
      <c r="E662" s="67">
        <f ca="1">IFERROR(C662*D662*_xlfn.XLOOKUP(B662,[1]!TabCalc[Ticker],[1]!TabCalc[Scale]),0)</f>
        <v>0</v>
      </c>
      <c r="F662" s="68" cm="1">
        <f t="array" ref="F662">IF(A662=A661,0,SUM(_xlfn._xlws.FILTER(E662:E672,A662:A672=A662)))</f>
        <v>0</v>
      </c>
      <c r="G662" s="69">
        <f>IF(F662&lt;&gt;0,SUM($F$43:F662),0)</f>
        <v>0</v>
      </c>
      <c r="H662" s="69" cm="1">
        <f t="array" ref="H662">IFERROR(IF(A662=A661,0,SUM(_xlfn._xlws.FILTER(E662:E672,(A662:A672=A662)*(E662:E672&gt;0)))),0)</f>
        <v>0</v>
      </c>
      <c r="I662" s="69" cm="1">
        <f t="array" ref="I662">IFERROR(IF(A662=A661,0,SUM(_xlfn._xlws.FILTER(E662:E672,(A662:A672=A662)*(F662&lt;0)))),0)</f>
        <v>0</v>
      </c>
      <c r="J662" s="81" t="str">
        <f ca="1">IFERROR(_xlfn.XLOOKUP(B662,[1]!TabCalc[Ticker],[1]!TabCalc[Cur]),"")</f>
        <v/>
      </c>
      <c r="K662" s="68" cm="1">
        <f t="array" ref="K662">IFERROR(IF($A662=$A661,0,SUM(_xlfn._xlws.FILTER($E662:$E672,($A662:$A672=$A662)*($J662:$J672=K$42)))),0)</f>
        <v>0</v>
      </c>
      <c r="L662" s="68" cm="1">
        <f t="array" ref="L662">IFERROR(IF($A662=$A661,0,SUM(_xlfn._xlws.FILTER($E662:$E672,($A662:$A672=$A662)*($J662:$J672=L$42)))),0)</f>
        <v>0</v>
      </c>
      <c r="M662" s="68" cm="1">
        <f t="array" ref="M662">IFERROR(IF($A662=$A661,0,SUM(_xlfn._xlws.FILTER($E662:$E672,($A662:$A672=$A662)*($J662:$J672=M$42)))),0)</f>
        <v>0</v>
      </c>
      <c r="N662" s="68" cm="1">
        <f t="array" ref="N662">IFERROR(IF($A662=$A661,0,SUM(_xlfn._xlws.FILTER($E662:$E672,($A662:$A672=$A662)*($J662:$J672=N$42)))),0)</f>
        <v>0</v>
      </c>
    </row>
    <row r="663" spans="5:14" x14ac:dyDescent="0.3">
      <c r="E663" s="67">
        <f ca="1">IFERROR(C663*D663*_xlfn.XLOOKUP(B663,[1]!TabCalc[Ticker],[1]!TabCalc[Scale]),0)</f>
        <v>0</v>
      </c>
      <c r="F663" s="68" cm="1">
        <f t="array" ref="F663">IF(A663=A662,0,SUM(_xlfn._xlws.FILTER(E663:E673,A663:A673=A663)))</f>
        <v>0</v>
      </c>
      <c r="G663" s="69">
        <f>IF(F663&lt;&gt;0,SUM($F$43:F663),0)</f>
        <v>0</v>
      </c>
      <c r="H663" s="69" cm="1">
        <f t="array" ref="H663">IFERROR(IF(A663=A662,0,SUM(_xlfn._xlws.FILTER(E663:E673,(A663:A673=A663)*(E663:E673&gt;0)))),0)</f>
        <v>0</v>
      </c>
      <c r="I663" s="69" cm="1">
        <f t="array" ref="I663">IFERROR(IF(A663=A662,0,SUM(_xlfn._xlws.FILTER(E663:E673,(A663:A673=A663)*(F663&lt;0)))),0)</f>
        <v>0</v>
      </c>
      <c r="J663" s="81" t="str">
        <f ca="1">IFERROR(_xlfn.XLOOKUP(B663,[1]!TabCalc[Ticker],[1]!TabCalc[Cur]),"")</f>
        <v/>
      </c>
      <c r="K663" s="68" cm="1">
        <f t="array" ref="K663">IFERROR(IF($A663=$A662,0,SUM(_xlfn._xlws.FILTER($E663:$E673,($A663:$A673=$A663)*($J663:$J673=K$42)))),0)</f>
        <v>0</v>
      </c>
      <c r="L663" s="68" cm="1">
        <f t="array" ref="L663">IFERROR(IF($A663=$A662,0,SUM(_xlfn._xlws.FILTER($E663:$E673,($A663:$A673=$A663)*($J663:$J673=L$42)))),0)</f>
        <v>0</v>
      </c>
      <c r="M663" s="68" cm="1">
        <f t="array" ref="M663">IFERROR(IF($A663=$A662,0,SUM(_xlfn._xlws.FILTER($E663:$E673,($A663:$A673=$A663)*($J663:$J673=M$42)))),0)</f>
        <v>0</v>
      </c>
      <c r="N663" s="68" cm="1">
        <f t="array" ref="N663">IFERROR(IF($A663=$A662,0,SUM(_xlfn._xlws.FILTER($E663:$E673,($A663:$A673=$A663)*($J663:$J673=N$42)))),0)</f>
        <v>0</v>
      </c>
    </row>
    <row r="664" spans="5:14" x14ac:dyDescent="0.3">
      <c r="E664" s="67">
        <f ca="1">IFERROR(C664*D664*_xlfn.XLOOKUP(B664,[1]!TabCalc[Ticker],[1]!TabCalc[Scale]),0)</f>
        <v>0</v>
      </c>
      <c r="F664" s="68" cm="1">
        <f t="array" ref="F664">IF(A664=A663,0,SUM(_xlfn._xlws.FILTER(E664:E674,A664:A674=A664)))</f>
        <v>0</v>
      </c>
      <c r="G664" s="69">
        <f>IF(F664&lt;&gt;0,SUM($F$43:F664),0)</f>
        <v>0</v>
      </c>
      <c r="H664" s="69" cm="1">
        <f t="array" ref="H664">IFERROR(IF(A664=A663,0,SUM(_xlfn._xlws.FILTER(E664:E674,(A664:A674=A664)*(E664:E674&gt;0)))),0)</f>
        <v>0</v>
      </c>
      <c r="I664" s="69" cm="1">
        <f t="array" ref="I664">IFERROR(IF(A664=A663,0,SUM(_xlfn._xlws.FILTER(E664:E674,(A664:A674=A664)*(F664&lt;0)))),0)</f>
        <v>0</v>
      </c>
      <c r="J664" s="81" t="str">
        <f ca="1">IFERROR(_xlfn.XLOOKUP(B664,[1]!TabCalc[Ticker],[1]!TabCalc[Cur]),"")</f>
        <v/>
      </c>
      <c r="K664" s="68" cm="1">
        <f t="array" ref="K664">IFERROR(IF($A664=$A663,0,SUM(_xlfn._xlws.FILTER($E664:$E674,($A664:$A674=$A664)*($J664:$J674=K$42)))),0)</f>
        <v>0</v>
      </c>
      <c r="L664" s="68" cm="1">
        <f t="array" ref="L664">IFERROR(IF($A664=$A663,0,SUM(_xlfn._xlws.FILTER($E664:$E674,($A664:$A674=$A664)*($J664:$J674=L$42)))),0)</f>
        <v>0</v>
      </c>
      <c r="M664" s="68" cm="1">
        <f t="array" ref="M664">IFERROR(IF($A664=$A663,0,SUM(_xlfn._xlws.FILTER($E664:$E674,($A664:$A674=$A664)*($J664:$J674=M$42)))),0)</f>
        <v>0</v>
      </c>
      <c r="N664" s="68" cm="1">
        <f t="array" ref="N664">IFERROR(IF($A664=$A663,0,SUM(_xlfn._xlws.FILTER($E664:$E674,($A664:$A674=$A664)*($J664:$J674=N$42)))),0)</f>
        <v>0</v>
      </c>
    </row>
    <row r="665" spans="5:14" x14ac:dyDescent="0.3">
      <c r="E665" s="67">
        <f ca="1">IFERROR(C665*D665*_xlfn.XLOOKUP(B665,[1]!TabCalc[Ticker],[1]!TabCalc[Scale]),0)</f>
        <v>0</v>
      </c>
      <c r="F665" s="68" cm="1">
        <f t="array" ref="F665">IF(A665=A664,0,SUM(_xlfn._xlws.FILTER(E665:E675,A665:A675=A665)))</f>
        <v>0</v>
      </c>
      <c r="G665" s="69">
        <f>IF(F665&lt;&gt;0,SUM($F$43:F665),0)</f>
        <v>0</v>
      </c>
      <c r="H665" s="69" cm="1">
        <f t="array" ref="H665">IFERROR(IF(A665=A664,0,SUM(_xlfn._xlws.FILTER(E665:E675,(A665:A675=A665)*(E665:E675&gt;0)))),0)</f>
        <v>0</v>
      </c>
      <c r="I665" s="69" cm="1">
        <f t="array" ref="I665">IFERROR(IF(A665=A664,0,SUM(_xlfn._xlws.FILTER(E665:E675,(A665:A675=A665)*(F665&lt;0)))),0)</f>
        <v>0</v>
      </c>
      <c r="J665" s="81" t="str">
        <f ca="1">IFERROR(_xlfn.XLOOKUP(B665,[1]!TabCalc[Ticker],[1]!TabCalc[Cur]),"")</f>
        <v/>
      </c>
      <c r="K665" s="68" cm="1">
        <f t="array" ref="K665">IFERROR(IF($A665=$A664,0,SUM(_xlfn._xlws.FILTER($E665:$E675,($A665:$A675=$A665)*($J665:$J675=K$42)))),0)</f>
        <v>0</v>
      </c>
      <c r="L665" s="68" cm="1">
        <f t="array" ref="L665">IFERROR(IF($A665=$A664,0,SUM(_xlfn._xlws.FILTER($E665:$E675,($A665:$A675=$A665)*($J665:$J675=L$42)))),0)</f>
        <v>0</v>
      </c>
      <c r="M665" s="68" cm="1">
        <f t="array" ref="M665">IFERROR(IF($A665=$A664,0,SUM(_xlfn._xlws.FILTER($E665:$E675,($A665:$A675=$A665)*($J665:$J675=M$42)))),0)</f>
        <v>0</v>
      </c>
      <c r="N665" s="68" cm="1">
        <f t="array" ref="N665">IFERROR(IF($A665=$A664,0,SUM(_xlfn._xlws.FILTER($E665:$E675,($A665:$A675=$A665)*($J665:$J675=N$42)))),0)</f>
        <v>0</v>
      </c>
    </row>
    <row r="666" spans="5:14" x14ac:dyDescent="0.3">
      <c r="E666" s="67">
        <f ca="1">IFERROR(C666*D666*_xlfn.XLOOKUP(B666,[1]!TabCalc[Ticker],[1]!TabCalc[Scale]),0)</f>
        <v>0</v>
      </c>
      <c r="F666" s="68" cm="1">
        <f t="array" ref="F666">IF(A666=A665,0,SUM(_xlfn._xlws.FILTER(E666:E676,A666:A676=A666)))</f>
        <v>0</v>
      </c>
      <c r="G666" s="69">
        <f>IF(F666&lt;&gt;0,SUM($F$43:F666),0)</f>
        <v>0</v>
      </c>
      <c r="H666" s="69" cm="1">
        <f t="array" ref="H666">IFERROR(IF(A666=A665,0,SUM(_xlfn._xlws.FILTER(E666:E676,(A666:A676=A666)*(E666:E676&gt;0)))),0)</f>
        <v>0</v>
      </c>
      <c r="I666" s="69" cm="1">
        <f t="array" ref="I666">IFERROR(IF(A666=A665,0,SUM(_xlfn._xlws.FILTER(E666:E676,(A666:A676=A666)*(F666&lt;0)))),0)</f>
        <v>0</v>
      </c>
      <c r="J666" s="81" t="str">
        <f ca="1">IFERROR(_xlfn.XLOOKUP(B666,[1]!TabCalc[Ticker],[1]!TabCalc[Cur]),"")</f>
        <v/>
      </c>
      <c r="K666" s="68" cm="1">
        <f t="array" ref="K666">IFERROR(IF($A666=$A665,0,SUM(_xlfn._xlws.FILTER($E666:$E676,($A666:$A676=$A666)*($J666:$J676=K$42)))),0)</f>
        <v>0</v>
      </c>
      <c r="L666" s="68" cm="1">
        <f t="array" ref="L666">IFERROR(IF($A666=$A665,0,SUM(_xlfn._xlws.FILTER($E666:$E676,($A666:$A676=$A666)*($J666:$J676=L$42)))),0)</f>
        <v>0</v>
      </c>
      <c r="M666" s="68" cm="1">
        <f t="array" ref="M666">IFERROR(IF($A666=$A665,0,SUM(_xlfn._xlws.FILTER($E666:$E676,($A666:$A676=$A666)*($J666:$J676=M$42)))),0)</f>
        <v>0</v>
      </c>
      <c r="N666" s="68" cm="1">
        <f t="array" ref="N666">IFERROR(IF($A666=$A665,0,SUM(_xlfn._xlws.FILTER($E666:$E676,($A666:$A676=$A666)*($J666:$J676=N$42)))),0)</f>
        <v>0</v>
      </c>
    </row>
    <row r="667" spans="5:14" x14ac:dyDescent="0.3">
      <c r="E667" s="67">
        <f ca="1">IFERROR(C667*D667*_xlfn.XLOOKUP(B667,[1]!TabCalc[Ticker],[1]!TabCalc[Scale]),0)</f>
        <v>0</v>
      </c>
      <c r="F667" s="68" cm="1">
        <f t="array" ref="F667">IF(A667=A666,0,SUM(_xlfn._xlws.FILTER(E667:E677,A667:A677=A667)))</f>
        <v>0</v>
      </c>
      <c r="G667" s="69">
        <f>IF(F667&lt;&gt;0,SUM($F$43:F667),0)</f>
        <v>0</v>
      </c>
      <c r="H667" s="69" cm="1">
        <f t="array" ref="H667">IFERROR(IF(A667=A666,0,SUM(_xlfn._xlws.FILTER(E667:E677,(A667:A677=A667)*(E667:E677&gt;0)))),0)</f>
        <v>0</v>
      </c>
      <c r="I667" s="69" cm="1">
        <f t="array" ref="I667">IFERROR(IF(A667=A666,0,SUM(_xlfn._xlws.FILTER(E667:E677,(A667:A677=A667)*(F667&lt;0)))),0)</f>
        <v>0</v>
      </c>
      <c r="J667" s="81" t="str">
        <f ca="1">IFERROR(_xlfn.XLOOKUP(B667,[1]!TabCalc[Ticker],[1]!TabCalc[Cur]),"")</f>
        <v/>
      </c>
      <c r="K667" s="68" cm="1">
        <f t="array" ref="K667">IFERROR(IF($A667=$A666,0,SUM(_xlfn._xlws.FILTER($E667:$E677,($A667:$A677=$A667)*($J667:$J677=K$42)))),0)</f>
        <v>0</v>
      </c>
      <c r="L667" s="68" cm="1">
        <f t="array" ref="L667">IFERROR(IF($A667=$A666,0,SUM(_xlfn._xlws.FILTER($E667:$E677,($A667:$A677=$A667)*($J667:$J677=L$42)))),0)</f>
        <v>0</v>
      </c>
      <c r="M667" s="68" cm="1">
        <f t="array" ref="M667">IFERROR(IF($A667=$A666,0,SUM(_xlfn._xlws.FILTER($E667:$E677,($A667:$A677=$A667)*($J667:$J677=M$42)))),0)</f>
        <v>0</v>
      </c>
      <c r="N667" s="68" cm="1">
        <f t="array" ref="N667">IFERROR(IF($A667=$A666,0,SUM(_xlfn._xlws.FILTER($E667:$E677,($A667:$A677=$A667)*($J667:$J677=N$42)))),0)</f>
        <v>0</v>
      </c>
    </row>
    <row r="668" spans="5:14" x14ac:dyDescent="0.3">
      <c r="E668" s="67">
        <f ca="1">IFERROR(C668*D668*_xlfn.XLOOKUP(B668,[1]!TabCalc[Ticker],[1]!TabCalc[Scale]),0)</f>
        <v>0</v>
      </c>
      <c r="F668" s="68" cm="1">
        <f t="array" ref="F668">IF(A668=A667,0,SUM(_xlfn._xlws.FILTER(E668:E678,A668:A678=A668)))</f>
        <v>0</v>
      </c>
      <c r="G668" s="69">
        <f>IF(F668&lt;&gt;0,SUM($F$43:F668),0)</f>
        <v>0</v>
      </c>
      <c r="H668" s="69" cm="1">
        <f t="array" ref="H668">IFERROR(IF(A668=A667,0,SUM(_xlfn._xlws.FILTER(E668:E678,(A668:A678=A668)*(E668:E678&gt;0)))),0)</f>
        <v>0</v>
      </c>
      <c r="I668" s="69" cm="1">
        <f t="array" ref="I668">IFERROR(IF(A668=A667,0,SUM(_xlfn._xlws.FILTER(E668:E678,(A668:A678=A668)*(F668&lt;0)))),0)</f>
        <v>0</v>
      </c>
      <c r="J668" s="81" t="str">
        <f ca="1">IFERROR(_xlfn.XLOOKUP(B668,[1]!TabCalc[Ticker],[1]!TabCalc[Cur]),"")</f>
        <v/>
      </c>
      <c r="K668" s="68" cm="1">
        <f t="array" ref="K668">IFERROR(IF($A668=$A667,0,SUM(_xlfn._xlws.FILTER($E668:$E678,($A668:$A678=$A668)*($J668:$J678=K$42)))),0)</f>
        <v>0</v>
      </c>
      <c r="L668" s="68" cm="1">
        <f t="array" ref="L668">IFERROR(IF($A668=$A667,0,SUM(_xlfn._xlws.FILTER($E668:$E678,($A668:$A678=$A668)*($J668:$J678=L$42)))),0)</f>
        <v>0</v>
      </c>
      <c r="M668" s="68" cm="1">
        <f t="array" ref="M668">IFERROR(IF($A668=$A667,0,SUM(_xlfn._xlws.FILTER($E668:$E678,($A668:$A678=$A668)*($J668:$J678=M$42)))),0)</f>
        <v>0</v>
      </c>
      <c r="N668" s="68" cm="1">
        <f t="array" ref="N668">IFERROR(IF($A668=$A667,0,SUM(_xlfn._xlws.FILTER($E668:$E678,($A668:$A678=$A668)*($J668:$J678=N$42)))),0)</f>
        <v>0</v>
      </c>
    </row>
    <row r="669" spans="5:14" x14ac:dyDescent="0.3">
      <c r="E669" s="67">
        <f ca="1">IFERROR(C669*D669*_xlfn.XLOOKUP(B669,[1]!TabCalc[Ticker],[1]!TabCalc[Scale]),0)</f>
        <v>0</v>
      </c>
      <c r="F669" s="68" cm="1">
        <f t="array" ref="F669">IF(A669=A668,0,SUM(_xlfn._xlws.FILTER(E669:E679,A669:A679=A669)))</f>
        <v>0</v>
      </c>
      <c r="G669" s="69">
        <f>IF(F669&lt;&gt;0,SUM($F$43:F669),0)</f>
        <v>0</v>
      </c>
      <c r="H669" s="69" cm="1">
        <f t="array" ref="H669">IFERROR(IF(A669=A668,0,SUM(_xlfn._xlws.FILTER(E669:E679,(A669:A679=A669)*(E669:E679&gt;0)))),0)</f>
        <v>0</v>
      </c>
      <c r="I669" s="69" cm="1">
        <f t="array" ref="I669">IFERROR(IF(A669=A668,0,SUM(_xlfn._xlws.FILTER(E669:E679,(A669:A679=A669)*(F669&lt;0)))),0)</f>
        <v>0</v>
      </c>
      <c r="J669" s="81" t="str">
        <f ca="1">IFERROR(_xlfn.XLOOKUP(B669,[1]!TabCalc[Ticker],[1]!TabCalc[Cur]),"")</f>
        <v/>
      </c>
      <c r="K669" s="68" cm="1">
        <f t="array" ref="K669">IFERROR(IF($A669=$A668,0,SUM(_xlfn._xlws.FILTER($E669:$E679,($A669:$A679=$A669)*($J669:$J679=K$42)))),0)</f>
        <v>0</v>
      </c>
      <c r="L669" s="68" cm="1">
        <f t="array" ref="L669">IFERROR(IF($A669=$A668,0,SUM(_xlfn._xlws.FILTER($E669:$E679,($A669:$A679=$A669)*($J669:$J679=L$42)))),0)</f>
        <v>0</v>
      </c>
      <c r="M669" s="68" cm="1">
        <f t="array" ref="M669">IFERROR(IF($A669=$A668,0,SUM(_xlfn._xlws.FILTER($E669:$E679,($A669:$A679=$A669)*($J669:$J679=M$42)))),0)</f>
        <v>0</v>
      </c>
      <c r="N669" s="68" cm="1">
        <f t="array" ref="N669">IFERROR(IF($A669=$A668,0,SUM(_xlfn._xlws.FILTER($E669:$E679,($A669:$A679=$A669)*($J669:$J679=N$42)))),0)</f>
        <v>0</v>
      </c>
    </row>
    <row r="670" spans="5:14" x14ac:dyDescent="0.3">
      <c r="E670" s="67">
        <f ca="1">IFERROR(C670*D670*_xlfn.XLOOKUP(B670,[1]!TabCalc[Ticker],[1]!TabCalc[Scale]),0)</f>
        <v>0</v>
      </c>
      <c r="F670" s="68" cm="1">
        <f t="array" ref="F670">IF(A670=A669,0,SUM(_xlfn._xlws.FILTER(E670:E680,A670:A680=A670)))</f>
        <v>0</v>
      </c>
      <c r="G670" s="69">
        <f>IF(F670&lt;&gt;0,SUM($F$43:F670),0)</f>
        <v>0</v>
      </c>
      <c r="H670" s="69" cm="1">
        <f t="array" ref="H670">IFERROR(IF(A670=A669,0,SUM(_xlfn._xlws.FILTER(E670:E680,(A670:A680=A670)*(E670:E680&gt;0)))),0)</f>
        <v>0</v>
      </c>
      <c r="I670" s="69" cm="1">
        <f t="array" ref="I670">IFERROR(IF(A670=A669,0,SUM(_xlfn._xlws.FILTER(E670:E680,(A670:A680=A670)*(F670&lt;0)))),0)</f>
        <v>0</v>
      </c>
      <c r="J670" s="81" t="str">
        <f ca="1">IFERROR(_xlfn.XLOOKUP(B670,[1]!TabCalc[Ticker],[1]!TabCalc[Cur]),"")</f>
        <v/>
      </c>
      <c r="K670" s="68" cm="1">
        <f t="array" ref="K670">IFERROR(IF($A670=$A669,0,SUM(_xlfn._xlws.FILTER($E670:$E680,($A670:$A680=$A670)*($J670:$J680=K$42)))),0)</f>
        <v>0</v>
      </c>
      <c r="L670" s="68" cm="1">
        <f t="array" ref="L670">IFERROR(IF($A670=$A669,0,SUM(_xlfn._xlws.FILTER($E670:$E680,($A670:$A680=$A670)*($J670:$J680=L$42)))),0)</f>
        <v>0</v>
      </c>
      <c r="M670" s="68" cm="1">
        <f t="array" ref="M670">IFERROR(IF($A670=$A669,0,SUM(_xlfn._xlws.FILTER($E670:$E680,($A670:$A680=$A670)*($J670:$J680=M$42)))),0)</f>
        <v>0</v>
      </c>
      <c r="N670" s="68" cm="1">
        <f t="array" ref="N670">IFERROR(IF($A670=$A669,0,SUM(_xlfn._xlws.FILTER($E670:$E680,($A670:$A680=$A670)*($J670:$J680=N$42)))),0)</f>
        <v>0</v>
      </c>
    </row>
    <row r="671" spans="5:14" x14ac:dyDescent="0.3">
      <c r="E671" s="67">
        <f ca="1">IFERROR(C671*D671*_xlfn.XLOOKUP(B671,[1]!TabCalc[Ticker],[1]!TabCalc[Scale]),0)</f>
        <v>0</v>
      </c>
      <c r="F671" s="68" cm="1">
        <f t="array" ref="F671">IF(A671=A670,0,SUM(_xlfn._xlws.FILTER(E671:E681,A671:A681=A671)))</f>
        <v>0</v>
      </c>
      <c r="G671" s="69">
        <f>IF(F671&lt;&gt;0,SUM($F$43:F671),0)</f>
        <v>0</v>
      </c>
      <c r="H671" s="69" cm="1">
        <f t="array" ref="H671">IFERROR(IF(A671=A670,0,SUM(_xlfn._xlws.FILTER(E671:E681,(A671:A681=A671)*(E671:E681&gt;0)))),0)</f>
        <v>0</v>
      </c>
      <c r="I671" s="69" cm="1">
        <f t="array" ref="I671">IFERROR(IF(A671=A670,0,SUM(_xlfn._xlws.FILTER(E671:E681,(A671:A681=A671)*(F671&lt;0)))),0)</f>
        <v>0</v>
      </c>
      <c r="J671" s="81" t="str">
        <f ca="1">IFERROR(_xlfn.XLOOKUP(B671,[1]!TabCalc[Ticker],[1]!TabCalc[Cur]),"")</f>
        <v/>
      </c>
      <c r="K671" s="68" cm="1">
        <f t="array" ref="K671">IFERROR(IF($A671=$A670,0,SUM(_xlfn._xlws.FILTER($E671:$E681,($A671:$A681=$A671)*($J671:$J681=K$42)))),0)</f>
        <v>0</v>
      </c>
      <c r="L671" s="68" cm="1">
        <f t="array" ref="L671">IFERROR(IF($A671=$A670,0,SUM(_xlfn._xlws.FILTER($E671:$E681,($A671:$A681=$A671)*($J671:$J681=L$42)))),0)</f>
        <v>0</v>
      </c>
      <c r="M671" s="68" cm="1">
        <f t="array" ref="M671">IFERROR(IF($A671=$A670,0,SUM(_xlfn._xlws.FILTER($E671:$E681,($A671:$A681=$A671)*($J671:$J681=M$42)))),0)</f>
        <v>0</v>
      </c>
      <c r="N671" s="68" cm="1">
        <f t="array" ref="N671">IFERROR(IF($A671=$A670,0,SUM(_xlfn._xlws.FILTER($E671:$E681,($A671:$A681=$A671)*($J671:$J681=N$42)))),0)</f>
        <v>0</v>
      </c>
    </row>
    <row r="672" spans="5:14" x14ac:dyDescent="0.3">
      <c r="E672" s="67">
        <f ca="1">IFERROR(C672*D672*_xlfn.XLOOKUP(B672,[1]!TabCalc[Ticker],[1]!TabCalc[Scale]),0)</f>
        <v>0</v>
      </c>
      <c r="F672" s="68" cm="1">
        <f t="array" ref="F672">IF(A672=A671,0,SUM(_xlfn._xlws.FILTER(E672:E682,A672:A682=A672)))</f>
        <v>0</v>
      </c>
      <c r="G672" s="69">
        <f>IF(F672&lt;&gt;0,SUM($F$43:F672),0)</f>
        <v>0</v>
      </c>
      <c r="H672" s="69" cm="1">
        <f t="array" ref="H672">IFERROR(IF(A672=A671,0,SUM(_xlfn._xlws.FILTER(E672:E682,(A672:A682=A672)*(E672:E682&gt;0)))),0)</f>
        <v>0</v>
      </c>
      <c r="I672" s="69" cm="1">
        <f t="array" ref="I672">IFERROR(IF(A672=A671,0,SUM(_xlfn._xlws.FILTER(E672:E682,(A672:A682=A672)*(F672&lt;0)))),0)</f>
        <v>0</v>
      </c>
      <c r="J672" s="81" t="str">
        <f ca="1">IFERROR(_xlfn.XLOOKUP(B672,[1]!TabCalc[Ticker],[1]!TabCalc[Cur]),"")</f>
        <v/>
      </c>
      <c r="K672" s="68" cm="1">
        <f t="array" ref="K672">IFERROR(IF($A672=$A671,0,SUM(_xlfn._xlws.FILTER($E672:$E682,($A672:$A682=$A672)*($J672:$J682=K$42)))),0)</f>
        <v>0</v>
      </c>
      <c r="L672" s="68" cm="1">
        <f t="array" ref="L672">IFERROR(IF($A672=$A671,0,SUM(_xlfn._xlws.FILTER($E672:$E682,($A672:$A682=$A672)*($J672:$J682=L$42)))),0)</f>
        <v>0</v>
      </c>
      <c r="M672" s="68" cm="1">
        <f t="array" ref="M672">IFERROR(IF($A672=$A671,0,SUM(_xlfn._xlws.FILTER($E672:$E682,($A672:$A682=$A672)*($J672:$J682=M$42)))),0)</f>
        <v>0</v>
      </c>
      <c r="N672" s="68" cm="1">
        <f t="array" ref="N672">IFERROR(IF($A672=$A671,0,SUM(_xlfn._xlws.FILTER($E672:$E682,($A672:$A682=$A672)*($J672:$J682=N$42)))),0)</f>
        <v>0</v>
      </c>
    </row>
    <row r="673" spans="5:14" x14ac:dyDescent="0.3">
      <c r="E673" s="67">
        <f ca="1">IFERROR(C673*D673*_xlfn.XLOOKUP(B673,[1]!TabCalc[Ticker],[1]!TabCalc[Scale]),0)</f>
        <v>0</v>
      </c>
      <c r="F673" s="68" cm="1">
        <f t="array" ref="F673">IF(A673=A672,0,SUM(_xlfn._xlws.FILTER(E673:E683,A673:A683=A673)))</f>
        <v>0</v>
      </c>
      <c r="G673" s="69">
        <f>IF(F673&lt;&gt;0,SUM($F$43:F673),0)</f>
        <v>0</v>
      </c>
      <c r="H673" s="69" cm="1">
        <f t="array" ref="H673">IFERROR(IF(A673=A672,0,SUM(_xlfn._xlws.FILTER(E673:E683,(A673:A683=A673)*(E673:E683&gt;0)))),0)</f>
        <v>0</v>
      </c>
      <c r="I673" s="69" cm="1">
        <f t="array" ref="I673">IFERROR(IF(A673=A672,0,SUM(_xlfn._xlws.FILTER(E673:E683,(A673:A683=A673)*(F673&lt;0)))),0)</f>
        <v>0</v>
      </c>
      <c r="J673" s="81" t="str">
        <f ca="1">IFERROR(_xlfn.XLOOKUP(B673,[1]!TabCalc[Ticker],[1]!TabCalc[Cur]),"")</f>
        <v/>
      </c>
      <c r="K673" s="68" cm="1">
        <f t="array" ref="K673">IFERROR(IF($A673=$A672,0,SUM(_xlfn._xlws.FILTER($E673:$E683,($A673:$A683=$A673)*($J673:$J683=K$42)))),0)</f>
        <v>0</v>
      </c>
      <c r="L673" s="68" cm="1">
        <f t="array" ref="L673">IFERROR(IF($A673=$A672,0,SUM(_xlfn._xlws.FILTER($E673:$E683,($A673:$A683=$A673)*($J673:$J683=L$42)))),0)</f>
        <v>0</v>
      </c>
      <c r="M673" s="68" cm="1">
        <f t="array" ref="M673">IFERROR(IF($A673=$A672,0,SUM(_xlfn._xlws.FILTER($E673:$E683,($A673:$A683=$A673)*($J673:$J683=M$42)))),0)</f>
        <v>0</v>
      </c>
      <c r="N673" s="68" cm="1">
        <f t="array" ref="N673">IFERROR(IF($A673=$A672,0,SUM(_xlfn._xlws.FILTER($E673:$E683,($A673:$A683=$A673)*($J673:$J683=N$42)))),0)</f>
        <v>0</v>
      </c>
    </row>
    <row r="674" spans="5:14" x14ac:dyDescent="0.3">
      <c r="E674" s="67">
        <f ca="1">IFERROR(C674*D674*_xlfn.XLOOKUP(B674,[1]!TabCalc[Ticker],[1]!TabCalc[Scale]),0)</f>
        <v>0</v>
      </c>
      <c r="F674" s="68" cm="1">
        <f t="array" ref="F674">IF(A674=A673,0,SUM(_xlfn._xlws.FILTER(E674:E684,A674:A684=A674)))</f>
        <v>0</v>
      </c>
      <c r="G674" s="69">
        <f>IF(F674&lt;&gt;0,SUM($F$43:F674),0)</f>
        <v>0</v>
      </c>
      <c r="H674" s="69" cm="1">
        <f t="array" ref="H674">IFERROR(IF(A674=A673,0,SUM(_xlfn._xlws.FILTER(E674:E684,(A674:A684=A674)*(E674:E684&gt;0)))),0)</f>
        <v>0</v>
      </c>
      <c r="I674" s="69" cm="1">
        <f t="array" ref="I674">IFERROR(IF(A674=A673,0,SUM(_xlfn._xlws.FILTER(E674:E684,(A674:A684=A674)*(F674&lt;0)))),0)</f>
        <v>0</v>
      </c>
      <c r="J674" s="81" t="str">
        <f ca="1">IFERROR(_xlfn.XLOOKUP(B674,[1]!TabCalc[Ticker],[1]!TabCalc[Cur]),"")</f>
        <v/>
      </c>
      <c r="K674" s="68" cm="1">
        <f t="array" ref="K674">IFERROR(IF($A674=$A673,0,SUM(_xlfn._xlws.FILTER($E674:$E684,($A674:$A684=$A674)*($J674:$J684=K$42)))),0)</f>
        <v>0</v>
      </c>
      <c r="L674" s="68" cm="1">
        <f t="array" ref="L674">IFERROR(IF($A674=$A673,0,SUM(_xlfn._xlws.FILTER($E674:$E684,($A674:$A684=$A674)*($J674:$J684=L$42)))),0)</f>
        <v>0</v>
      </c>
      <c r="M674" s="68" cm="1">
        <f t="array" ref="M674">IFERROR(IF($A674=$A673,0,SUM(_xlfn._xlws.FILTER($E674:$E684,($A674:$A684=$A674)*($J674:$J684=M$42)))),0)</f>
        <v>0</v>
      </c>
      <c r="N674" s="68" cm="1">
        <f t="array" ref="N674">IFERROR(IF($A674=$A673,0,SUM(_xlfn._xlws.FILTER($E674:$E684,($A674:$A684=$A674)*($J674:$J684=N$42)))),0)</f>
        <v>0</v>
      </c>
    </row>
    <row r="675" spans="5:14" x14ac:dyDescent="0.3">
      <c r="E675" s="67">
        <f ca="1">IFERROR(C675*D675*_xlfn.XLOOKUP(B675,[1]!TabCalc[Ticker],[1]!TabCalc[Scale]),0)</f>
        <v>0</v>
      </c>
      <c r="F675" s="68" cm="1">
        <f t="array" ref="F675">IF(A675=A674,0,SUM(_xlfn._xlws.FILTER(E675:E685,A675:A685=A675)))</f>
        <v>0</v>
      </c>
      <c r="G675" s="69">
        <f>IF(F675&lt;&gt;0,SUM($F$43:F675),0)</f>
        <v>0</v>
      </c>
      <c r="H675" s="69" cm="1">
        <f t="array" ref="H675">IFERROR(IF(A675=A674,0,SUM(_xlfn._xlws.FILTER(E675:E685,(A675:A685=A675)*(E675:E685&gt;0)))),0)</f>
        <v>0</v>
      </c>
      <c r="I675" s="69" cm="1">
        <f t="array" ref="I675">IFERROR(IF(A675=A674,0,SUM(_xlfn._xlws.FILTER(E675:E685,(A675:A685=A675)*(F675&lt;0)))),0)</f>
        <v>0</v>
      </c>
      <c r="J675" s="81" t="str">
        <f ca="1">IFERROR(_xlfn.XLOOKUP(B675,[1]!TabCalc[Ticker],[1]!TabCalc[Cur]),"")</f>
        <v/>
      </c>
      <c r="K675" s="68" cm="1">
        <f t="array" ref="K675">IFERROR(IF($A675=$A674,0,SUM(_xlfn._xlws.FILTER($E675:$E685,($A675:$A685=$A675)*($J675:$J685=K$42)))),0)</f>
        <v>0</v>
      </c>
      <c r="L675" s="68" cm="1">
        <f t="array" ref="L675">IFERROR(IF($A675=$A674,0,SUM(_xlfn._xlws.FILTER($E675:$E685,($A675:$A685=$A675)*($J675:$J685=L$42)))),0)</f>
        <v>0</v>
      </c>
      <c r="M675" s="68" cm="1">
        <f t="array" ref="M675">IFERROR(IF($A675=$A674,0,SUM(_xlfn._xlws.FILTER($E675:$E685,($A675:$A685=$A675)*($J675:$J685=M$42)))),0)</f>
        <v>0</v>
      </c>
      <c r="N675" s="68" cm="1">
        <f t="array" ref="N675">IFERROR(IF($A675=$A674,0,SUM(_xlfn._xlws.FILTER($E675:$E685,($A675:$A685=$A675)*($J675:$J685=N$42)))),0)</f>
        <v>0</v>
      </c>
    </row>
    <row r="676" spans="5:14" x14ac:dyDescent="0.3">
      <c r="E676" s="67">
        <f ca="1">IFERROR(C676*D676*_xlfn.XLOOKUP(B676,[1]!TabCalc[Ticker],[1]!TabCalc[Scale]),0)</f>
        <v>0</v>
      </c>
      <c r="F676" s="68" cm="1">
        <f t="array" ref="F676">IF(A676=A675,0,SUM(_xlfn._xlws.FILTER(E676:E686,A676:A686=A676)))</f>
        <v>0</v>
      </c>
      <c r="G676" s="69">
        <f>IF(F676&lt;&gt;0,SUM($F$43:F676),0)</f>
        <v>0</v>
      </c>
      <c r="H676" s="69" cm="1">
        <f t="array" ref="H676">IFERROR(IF(A676=A675,0,SUM(_xlfn._xlws.FILTER(E676:E686,(A676:A686=A676)*(E676:E686&gt;0)))),0)</f>
        <v>0</v>
      </c>
      <c r="I676" s="69" cm="1">
        <f t="array" ref="I676">IFERROR(IF(A676=A675,0,SUM(_xlfn._xlws.FILTER(E676:E686,(A676:A686=A676)*(F676&lt;0)))),0)</f>
        <v>0</v>
      </c>
      <c r="J676" s="81" t="str">
        <f ca="1">IFERROR(_xlfn.XLOOKUP(B676,[1]!TabCalc[Ticker],[1]!TabCalc[Cur]),"")</f>
        <v/>
      </c>
      <c r="K676" s="68" cm="1">
        <f t="array" ref="K676">IFERROR(IF($A676=$A675,0,SUM(_xlfn._xlws.FILTER($E676:$E686,($A676:$A686=$A676)*($J676:$J686=K$42)))),0)</f>
        <v>0</v>
      </c>
      <c r="L676" s="68" cm="1">
        <f t="array" ref="L676">IFERROR(IF($A676=$A675,0,SUM(_xlfn._xlws.FILTER($E676:$E686,($A676:$A686=$A676)*($J676:$J686=L$42)))),0)</f>
        <v>0</v>
      </c>
      <c r="M676" s="68" cm="1">
        <f t="array" ref="M676">IFERROR(IF($A676=$A675,0,SUM(_xlfn._xlws.FILTER($E676:$E686,($A676:$A686=$A676)*($J676:$J686=M$42)))),0)</f>
        <v>0</v>
      </c>
      <c r="N676" s="68" cm="1">
        <f t="array" ref="N676">IFERROR(IF($A676=$A675,0,SUM(_xlfn._xlws.FILTER($E676:$E686,($A676:$A686=$A676)*($J676:$J686=N$42)))),0)</f>
        <v>0</v>
      </c>
    </row>
    <row r="677" spans="5:14" x14ac:dyDescent="0.3">
      <c r="E677" s="67">
        <f ca="1">IFERROR(C677*D677*_xlfn.XLOOKUP(B677,[1]!TabCalc[Ticker],[1]!TabCalc[Scale]),0)</f>
        <v>0</v>
      </c>
      <c r="F677" s="68" cm="1">
        <f t="array" ref="F677">IF(A677=A676,0,SUM(_xlfn._xlws.FILTER(E677:E687,A677:A687=A677)))</f>
        <v>0</v>
      </c>
      <c r="G677" s="69">
        <f>IF(F677&lt;&gt;0,SUM($F$43:F677),0)</f>
        <v>0</v>
      </c>
      <c r="H677" s="69" cm="1">
        <f t="array" ref="H677">IFERROR(IF(A677=A676,0,SUM(_xlfn._xlws.FILTER(E677:E687,(A677:A687=A677)*(E677:E687&gt;0)))),0)</f>
        <v>0</v>
      </c>
      <c r="I677" s="69" cm="1">
        <f t="array" ref="I677">IFERROR(IF(A677=A676,0,SUM(_xlfn._xlws.FILTER(E677:E687,(A677:A687=A677)*(F677&lt;0)))),0)</f>
        <v>0</v>
      </c>
      <c r="J677" s="81" t="str">
        <f ca="1">IFERROR(_xlfn.XLOOKUP(B677,[1]!TabCalc[Ticker],[1]!TabCalc[Cur]),"")</f>
        <v/>
      </c>
      <c r="K677" s="68" cm="1">
        <f t="array" ref="K677">IFERROR(IF($A677=$A676,0,SUM(_xlfn._xlws.FILTER($E677:$E687,($A677:$A687=$A677)*($J677:$J687=K$42)))),0)</f>
        <v>0</v>
      </c>
      <c r="L677" s="68" cm="1">
        <f t="array" ref="L677">IFERROR(IF($A677=$A676,0,SUM(_xlfn._xlws.FILTER($E677:$E687,($A677:$A687=$A677)*($J677:$J687=L$42)))),0)</f>
        <v>0</v>
      </c>
      <c r="M677" s="68" cm="1">
        <f t="array" ref="M677">IFERROR(IF($A677=$A676,0,SUM(_xlfn._xlws.FILTER($E677:$E687,($A677:$A687=$A677)*($J677:$J687=M$42)))),0)</f>
        <v>0</v>
      </c>
      <c r="N677" s="68" cm="1">
        <f t="array" ref="N677">IFERROR(IF($A677=$A676,0,SUM(_xlfn._xlws.FILTER($E677:$E687,($A677:$A687=$A677)*($J677:$J687=N$42)))),0)</f>
        <v>0</v>
      </c>
    </row>
    <row r="678" spans="5:14" x14ac:dyDescent="0.3">
      <c r="E678" s="67">
        <f ca="1">IFERROR(C678*D678*_xlfn.XLOOKUP(B678,[1]!TabCalc[Ticker],[1]!TabCalc[Scale]),0)</f>
        <v>0</v>
      </c>
      <c r="F678" s="68" cm="1">
        <f t="array" ref="F678">IF(A678=A677,0,SUM(_xlfn._xlws.FILTER(E678:E688,A678:A688=A678)))</f>
        <v>0</v>
      </c>
      <c r="G678" s="69">
        <f>IF(F678&lt;&gt;0,SUM($F$43:F678),0)</f>
        <v>0</v>
      </c>
      <c r="H678" s="69" cm="1">
        <f t="array" ref="H678">IFERROR(IF(A678=A677,0,SUM(_xlfn._xlws.FILTER(E678:E688,(A678:A688=A678)*(E678:E688&gt;0)))),0)</f>
        <v>0</v>
      </c>
      <c r="I678" s="69" cm="1">
        <f t="array" ref="I678">IFERROR(IF(A678=A677,0,SUM(_xlfn._xlws.FILTER(E678:E688,(A678:A688=A678)*(F678&lt;0)))),0)</f>
        <v>0</v>
      </c>
      <c r="J678" s="81" t="str">
        <f ca="1">IFERROR(_xlfn.XLOOKUP(B678,[1]!TabCalc[Ticker],[1]!TabCalc[Cur]),"")</f>
        <v/>
      </c>
      <c r="K678" s="68" cm="1">
        <f t="array" ref="K678">IFERROR(IF($A678=$A677,0,SUM(_xlfn._xlws.FILTER($E678:$E688,($A678:$A688=$A678)*($J678:$J688=K$42)))),0)</f>
        <v>0</v>
      </c>
      <c r="L678" s="68" cm="1">
        <f t="array" ref="L678">IFERROR(IF($A678=$A677,0,SUM(_xlfn._xlws.FILTER($E678:$E688,($A678:$A688=$A678)*($J678:$J688=L$42)))),0)</f>
        <v>0</v>
      </c>
      <c r="M678" s="68" cm="1">
        <f t="array" ref="M678">IFERROR(IF($A678=$A677,0,SUM(_xlfn._xlws.FILTER($E678:$E688,($A678:$A688=$A678)*($J678:$J688=M$42)))),0)</f>
        <v>0</v>
      </c>
      <c r="N678" s="68" cm="1">
        <f t="array" ref="N678">IFERROR(IF($A678=$A677,0,SUM(_xlfn._xlws.FILTER($E678:$E688,($A678:$A688=$A678)*($J678:$J688=N$42)))),0)</f>
        <v>0</v>
      </c>
    </row>
    <row r="679" spans="5:14" x14ac:dyDescent="0.3">
      <c r="E679" s="67">
        <f ca="1">IFERROR(C679*D679*_xlfn.XLOOKUP(B679,[1]!TabCalc[Ticker],[1]!TabCalc[Scale]),0)</f>
        <v>0</v>
      </c>
      <c r="F679" s="68" cm="1">
        <f t="array" ref="F679">IF(A679=A678,0,SUM(_xlfn._xlws.FILTER(E679:E689,A679:A689=A679)))</f>
        <v>0</v>
      </c>
      <c r="G679" s="69">
        <f>IF(F679&lt;&gt;0,SUM($F$43:F679),0)</f>
        <v>0</v>
      </c>
      <c r="H679" s="69" cm="1">
        <f t="array" ref="H679">IFERROR(IF(A679=A678,0,SUM(_xlfn._xlws.FILTER(E679:E689,(A679:A689=A679)*(E679:E689&gt;0)))),0)</f>
        <v>0</v>
      </c>
      <c r="I679" s="69" cm="1">
        <f t="array" ref="I679">IFERROR(IF(A679=A678,0,SUM(_xlfn._xlws.FILTER(E679:E689,(A679:A689=A679)*(F679&lt;0)))),0)</f>
        <v>0</v>
      </c>
      <c r="J679" s="81" t="str">
        <f ca="1">IFERROR(_xlfn.XLOOKUP(B679,[1]!TabCalc[Ticker],[1]!TabCalc[Cur]),"")</f>
        <v/>
      </c>
      <c r="K679" s="68" cm="1">
        <f t="array" ref="K679">IFERROR(IF($A679=$A678,0,SUM(_xlfn._xlws.FILTER($E679:$E689,($A679:$A689=$A679)*($J679:$J689=K$42)))),0)</f>
        <v>0</v>
      </c>
      <c r="L679" s="68" cm="1">
        <f t="array" ref="L679">IFERROR(IF($A679=$A678,0,SUM(_xlfn._xlws.FILTER($E679:$E689,($A679:$A689=$A679)*($J679:$J689=L$42)))),0)</f>
        <v>0</v>
      </c>
      <c r="M679" s="68" cm="1">
        <f t="array" ref="M679">IFERROR(IF($A679=$A678,0,SUM(_xlfn._xlws.FILTER($E679:$E689,($A679:$A689=$A679)*($J679:$J689=M$42)))),0)</f>
        <v>0</v>
      </c>
      <c r="N679" s="68" cm="1">
        <f t="array" ref="N679">IFERROR(IF($A679=$A678,0,SUM(_xlfn._xlws.FILTER($E679:$E689,($A679:$A689=$A679)*($J679:$J689=N$42)))),0)</f>
        <v>0</v>
      </c>
    </row>
    <row r="680" spans="5:14" x14ac:dyDescent="0.3">
      <c r="E680" s="67">
        <f ca="1">IFERROR(C680*D680*_xlfn.XLOOKUP(B680,[1]!TabCalc[Ticker],[1]!TabCalc[Scale]),0)</f>
        <v>0</v>
      </c>
      <c r="F680" s="68" cm="1">
        <f t="array" ref="F680">IF(A680=A679,0,SUM(_xlfn._xlws.FILTER(E680:E690,A680:A690=A680)))</f>
        <v>0</v>
      </c>
      <c r="G680" s="69">
        <f>IF(F680&lt;&gt;0,SUM($F$43:F680),0)</f>
        <v>0</v>
      </c>
      <c r="H680" s="69" cm="1">
        <f t="array" ref="H680">IFERROR(IF(A680=A679,0,SUM(_xlfn._xlws.FILTER(E680:E690,(A680:A690=A680)*(E680:E690&gt;0)))),0)</f>
        <v>0</v>
      </c>
      <c r="I680" s="69" cm="1">
        <f t="array" ref="I680">IFERROR(IF(A680=A679,0,SUM(_xlfn._xlws.FILTER(E680:E690,(A680:A690=A680)*(F680&lt;0)))),0)</f>
        <v>0</v>
      </c>
      <c r="J680" s="81" t="str">
        <f ca="1">IFERROR(_xlfn.XLOOKUP(B680,[1]!TabCalc[Ticker],[1]!TabCalc[Cur]),"")</f>
        <v/>
      </c>
      <c r="K680" s="68" cm="1">
        <f t="array" ref="K680">IFERROR(IF($A680=$A679,0,SUM(_xlfn._xlws.FILTER($E680:$E690,($A680:$A690=$A680)*($J680:$J690=K$42)))),0)</f>
        <v>0</v>
      </c>
      <c r="L680" s="68" cm="1">
        <f t="array" ref="L680">IFERROR(IF($A680=$A679,0,SUM(_xlfn._xlws.FILTER($E680:$E690,($A680:$A690=$A680)*($J680:$J690=L$42)))),0)</f>
        <v>0</v>
      </c>
      <c r="M680" s="68" cm="1">
        <f t="array" ref="M680">IFERROR(IF($A680=$A679,0,SUM(_xlfn._xlws.FILTER($E680:$E690,($A680:$A690=$A680)*($J680:$J690=M$42)))),0)</f>
        <v>0</v>
      </c>
      <c r="N680" s="68" cm="1">
        <f t="array" ref="N680">IFERROR(IF($A680=$A679,0,SUM(_xlfn._xlws.FILTER($E680:$E690,($A680:$A690=$A680)*($J680:$J690=N$42)))),0)</f>
        <v>0</v>
      </c>
    </row>
    <row r="681" spans="5:14" x14ac:dyDescent="0.3">
      <c r="E681" s="67">
        <f ca="1">IFERROR(C681*D681*_xlfn.XLOOKUP(B681,[1]!TabCalc[Ticker],[1]!TabCalc[Scale]),0)</f>
        <v>0</v>
      </c>
      <c r="F681" s="68" cm="1">
        <f t="array" ref="F681">IF(A681=A680,0,SUM(_xlfn._xlws.FILTER(E681:E691,A681:A691=A681)))</f>
        <v>0</v>
      </c>
      <c r="G681" s="69">
        <f>IF(F681&lt;&gt;0,SUM($F$43:F681),0)</f>
        <v>0</v>
      </c>
      <c r="H681" s="69" cm="1">
        <f t="array" ref="H681">IFERROR(IF(A681=A680,0,SUM(_xlfn._xlws.FILTER(E681:E691,(A681:A691=A681)*(E681:E691&gt;0)))),0)</f>
        <v>0</v>
      </c>
      <c r="I681" s="69" cm="1">
        <f t="array" ref="I681">IFERROR(IF(A681=A680,0,SUM(_xlfn._xlws.FILTER(E681:E691,(A681:A691=A681)*(F681&lt;0)))),0)</f>
        <v>0</v>
      </c>
      <c r="J681" s="81" t="str">
        <f ca="1">IFERROR(_xlfn.XLOOKUP(B681,[1]!TabCalc[Ticker],[1]!TabCalc[Cur]),"")</f>
        <v/>
      </c>
      <c r="K681" s="68" cm="1">
        <f t="array" ref="K681">IFERROR(IF($A681=$A680,0,SUM(_xlfn._xlws.FILTER($E681:$E691,($A681:$A691=$A681)*($J681:$J691=K$42)))),0)</f>
        <v>0</v>
      </c>
      <c r="L681" s="68" cm="1">
        <f t="array" ref="L681">IFERROR(IF($A681=$A680,0,SUM(_xlfn._xlws.FILTER($E681:$E691,($A681:$A691=$A681)*($J681:$J691=L$42)))),0)</f>
        <v>0</v>
      </c>
      <c r="M681" s="68" cm="1">
        <f t="array" ref="M681">IFERROR(IF($A681=$A680,0,SUM(_xlfn._xlws.FILTER($E681:$E691,($A681:$A691=$A681)*($J681:$J691=M$42)))),0)</f>
        <v>0</v>
      </c>
      <c r="N681" s="68" cm="1">
        <f t="array" ref="N681">IFERROR(IF($A681=$A680,0,SUM(_xlfn._xlws.FILTER($E681:$E691,($A681:$A691=$A681)*($J681:$J691=N$42)))),0)</f>
        <v>0</v>
      </c>
    </row>
    <row r="682" spans="5:14" x14ac:dyDescent="0.3">
      <c r="E682" s="67">
        <f ca="1">IFERROR(C682*D682*_xlfn.XLOOKUP(B682,[1]!TabCalc[Ticker],[1]!TabCalc[Scale]),0)</f>
        <v>0</v>
      </c>
      <c r="F682" s="68" cm="1">
        <f t="array" ref="F682">IF(A682=A681,0,SUM(_xlfn._xlws.FILTER(E682:E692,A682:A692=A682)))</f>
        <v>0</v>
      </c>
      <c r="G682" s="69">
        <f>IF(F682&lt;&gt;0,SUM($F$43:F682),0)</f>
        <v>0</v>
      </c>
      <c r="H682" s="69" cm="1">
        <f t="array" ref="H682">IFERROR(IF(A682=A681,0,SUM(_xlfn._xlws.FILTER(E682:E692,(A682:A692=A682)*(E682:E692&gt;0)))),0)</f>
        <v>0</v>
      </c>
      <c r="I682" s="69" cm="1">
        <f t="array" ref="I682">IFERROR(IF(A682=A681,0,SUM(_xlfn._xlws.FILTER(E682:E692,(A682:A692=A682)*(F682&lt;0)))),0)</f>
        <v>0</v>
      </c>
      <c r="J682" s="81" t="str">
        <f ca="1">IFERROR(_xlfn.XLOOKUP(B682,[1]!TabCalc[Ticker],[1]!TabCalc[Cur]),"")</f>
        <v/>
      </c>
      <c r="K682" s="68" cm="1">
        <f t="array" ref="K682">IFERROR(IF($A682=$A681,0,SUM(_xlfn._xlws.FILTER($E682:$E692,($A682:$A692=$A682)*($J682:$J692=K$42)))),0)</f>
        <v>0</v>
      </c>
      <c r="L682" s="68" cm="1">
        <f t="array" ref="L682">IFERROR(IF($A682=$A681,0,SUM(_xlfn._xlws.FILTER($E682:$E692,($A682:$A692=$A682)*($J682:$J692=L$42)))),0)</f>
        <v>0</v>
      </c>
      <c r="M682" s="68" cm="1">
        <f t="array" ref="M682">IFERROR(IF($A682=$A681,0,SUM(_xlfn._xlws.FILTER($E682:$E692,($A682:$A692=$A682)*($J682:$J692=M$42)))),0)</f>
        <v>0</v>
      </c>
      <c r="N682" s="68" cm="1">
        <f t="array" ref="N682">IFERROR(IF($A682=$A681,0,SUM(_xlfn._xlws.FILTER($E682:$E692,($A682:$A692=$A682)*($J682:$J692=N$42)))),0)</f>
        <v>0</v>
      </c>
    </row>
    <row r="683" spans="5:14" x14ac:dyDescent="0.3">
      <c r="E683" s="67">
        <f ca="1">IFERROR(C683*D683*_xlfn.XLOOKUP(B683,[1]!TabCalc[Ticker],[1]!TabCalc[Scale]),0)</f>
        <v>0</v>
      </c>
      <c r="F683" s="68" cm="1">
        <f t="array" ref="F683">IF(A683=A682,0,SUM(_xlfn._xlws.FILTER(E683:E693,A683:A693=A683)))</f>
        <v>0</v>
      </c>
      <c r="G683" s="69">
        <f>IF(F683&lt;&gt;0,SUM($F$43:F683),0)</f>
        <v>0</v>
      </c>
      <c r="H683" s="69" cm="1">
        <f t="array" ref="H683">IFERROR(IF(A683=A682,0,SUM(_xlfn._xlws.FILTER(E683:E693,(A683:A693=A683)*(E683:E693&gt;0)))),0)</f>
        <v>0</v>
      </c>
      <c r="I683" s="69" cm="1">
        <f t="array" ref="I683">IFERROR(IF(A683=A682,0,SUM(_xlfn._xlws.FILTER(E683:E693,(A683:A693=A683)*(F683&lt;0)))),0)</f>
        <v>0</v>
      </c>
      <c r="J683" s="81" t="str">
        <f ca="1">IFERROR(_xlfn.XLOOKUP(B683,[1]!TabCalc[Ticker],[1]!TabCalc[Cur]),"")</f>
        <v/>
      </c>
      <c r="K683" s="68" cm="1">
        <f t="array" ref="K683">IFERROR(IF($A683=$A682,0,SUM(_xlfn._xlws.FILTER($E683:$E693,($A683:$A693=$A683)*($J683:$J693=K$42)))),0)</f>
        <v>0</v>
      </c>
      <c r="L683" s="68" cm="1">
        <f t="array" ref="L683">IFERROR(IF($A683=$A682,0,SUM(_xlfn._xlws.FILTER($E683:$E693,($A683:$A693=$A683)*($J683:$J693=L$42)))),0)</f>
        <v>0</v>
      </c>
      <c r="M683" s="68" cm="1">
        <f t="array" ref="M683">IFERROR(IF($A683=$A682,0,SUM(_xlfn._xlws.FILTER($E683:$E693,($A683:$A693=$A683)*($J683:$J693=M$42)))),0)</f>
        <v>0</v>
      </c>
      <c r="N683" s="68" cm="1">
        <f t="array" ref="N683">IFERROR(IF($A683=$A682,0,SUM(_xlfn._xlws.FILTER($E683:$E693,($A683:$A693=$A683)*($J683:$J693=N$42)))),0)</f>
        <v>0</v>
      </c>
    </row>
    <row r="684" spans="5:14" x14ac:dyDescent="0.3">
      <c r="E684" s="67">
        <f ca="1">IFERROR(C684*D684*_xlfn.XLOOKUP(B684,[1]!TabCalc[Ticker],[1]!TabCalc[Scale]),0)</f>
        <v>0</v>
      </c>
      <c r="F684" s="68" cm="1">
        <f t="array" ref="F684">IF(A684=A683,0,SUM(_xlfn._xlws.FILTER(E684:E694,A684:A694=A684)))</f>
        <v>0</v>
      </c>
      <c r="G684" s="69">
        <f>IF(F684&lt;&gt;0,SUM($F$43:F684),0)</f>
        <v>0</v>
      </c>
      <c r="H684" s="69" cm="1">
        <f t="array" ref="H684">IFERROR(IF(A684=A683,0,SUM(_xlfn._xlws.FILTER(E684:E694,(A684:A694=A684)*(E684:E694&gt;0)))),0)</f>
        <v>0</v>
      </c>
      <c r="I684" s="69" cm="1">
        <f t="array" ref="I684">IFERROR(IF(A684=A683,0,SUM(_xlfn._xlws.FILTER(E684:E694,(A684:A694=A684)*(F684&lt;0)))),0)</f>
        <v>0</v>
      </c>
      <c r="J684" s="81" t="str">
        <f ca="1">IFERROR(_xlfn.XLOOKUP(B684,[1]!TabCalc[Ticker],[1]!TabCalc[Cur]),"")</f>
        <v/>
      </c>
      <c r="K684" s="68" cm="1">
        <f t="array" ref="K684">IFERROR(IF($A684=$A683,0,SUM(_xlfn._xlws.FILTER($E684:$E694,($A684:$A694=$A684)*($J684:$J694=K$42)))),0)</f>
        <v>0</v>
      </c>
      <c r="L684" s="68" cm="1">
        <f t="array" ref="L684">IFERROR(IF($A684=$A683,0,SUM(_xlfn._xlws.FILTER($E684:$E694,($A684:$A694=$A684)*($J684:$J694=L$42)))),0)</f>
        <v>0</v>
      </c>
      <c r="M684" s="68" cm="1">
        <f t="array" ref="M684">IFERROR(IF($A684=$A683,0,SUM(_xlfn._xlws.FILTER($E684:$E694,($A684:$A694=$A684)*($J684:$J694=M$42)))),0)</f>
        <v>0</v>
      </c>
      <c r="N684" s="68" cm="1">
        <f t="array" ref="N684">IFERROR(IF($A684=$A683,0,SUM(_xlfn._xlws.FILTER($E684:$E694,($A684:$A694=$A684)*($J684:$J694=N$42)))),0)</f>
        <v>0</v>
      </c>
    </row>
    <row r="685" spans="5:14" x14ac:dyDescent="0.3">
      <c r="E685" s="67">
        <f ca="1">IFERROR(C685*D685*_xlfn.XLOOKUP(B685,[1]!TabCalc[Ticker],[1]!TabCalc[Scale]),0)</f>
        <v>0</v>
      </c>
      <c r="F685" s="68" cm="1">
        <f t="array" ref="F685">IF(A685=A684,0,SUM(_xlfn._xlws.FILTER(E685:E695,A685:A695=A685)))</f>
        <v>0</v>
      </c>
      <c r="G685" s="69">
        <f>IF(F685&lt;&gt;0,SUM($F$43:F685),0)</f>
        <v>0</v>
      </c>
      <c r="H685" s="69" cm="1">
        <f t="array" ref="H685">IFERROR(IF(A685=A684,0,SUM(_xlfn._xlws.FILTER(E685:E695,(A685:A695=A685)*(E685:E695&gt;0)))),0)</f>
        <v>0</v>
      </c>
      <c r="I685" s="69" cm="1">
        <f t="array" ref="I685">IFERROR(IF(A685=A684,0,SUM(_xlfn._xlws.FILTER(E685:E695,(A685:A695=A685)*(F685&lt;0)))),0)</f>
        <v>0</v>
      </c>
      <c r="J685" s="81" t="str">
        <f ca="1">IFERROR(_xlfn.XLOOKUP(B685,[1]!TabCalc[Ticker],[1]!TabCalc[Cur]),"")</f>
        <v/>
      </c>
      <c r="K685" s="68" cm="1">
        <f t="array" ref="K685">IFERROR(IF($A685=$A684,0,SUM(_xlfn._xlws.FILTER($E685:$E695,($A685:$A695=$A685)*($J685:$J695=K$42)))),0)</f>
        <v>0</v>
      </c>
      <c r="L685" s="68" cm="1">
        <f t="array" ref="L685">IFERROR(IF($A685=$A684,0,SUM(_xlfn._xlws.FILTER($E685:$E695,($A685:$A695=$A685)*($J685:$J695=L$42)))),0)</f>
        <v>0</v>
      </c>
      <c r="M685" s="68" cm="1">
        <f t="array" ref="M685">IFERROR(IF($A685=$A684,0,SUM(_xlfn._xlws.FILTER($E685:$E695,($A685:$A695=$A685)*($J685:$J695=M$42)))),0)</f>
        <v>0</v>
      </c>
      <c r="N685" s="68" cm="1">
        <f t="array" ref="N685">IFERROR(IF($A685=$A684,0,SUM(_xlfn._xlws.FILTER($E685:$E695,($A685:$A695=$A685)*($J685:$J695=N$42)))),0)</f>
        <v>0</v>
      </c>
    </row>
    <row r="686" spans="5:14" x14ac:dyDescent="0.3">
      <c r="E686" s="67">
        <f ca="1">IFERROR(C686*D686*_xlfn.XLOOKUP(B686,[1]!TabCalc[Ticker],[1]!TabCalc[Scale]),0)</f>
        <v>0</v>
      </c>
      <c r="F686" s="68" cm="1">
        <f t="array" ref="F686">IF(A686=A685,0,SUM(_xlfn._xlws.FILTER(E686:E696,A686:A696=A686)))</f>
        <v>0</v>
      </c>
      <c r="G686" s="69">
        <f>IF(F686&lt;&gt;0,SUM($F$43:F686),0)</f>
        <v>0</v>
      </c>
      <c r="H686" s="69" cm="1">
        <f t="array" ref="H686">IFERROR(IF(A686=A685,0,SUM(_xlfn._xlws.FILTER(E686:E696,(A686:A696=A686)*(E686:E696&gt;0)))),0)</f>
        <v>0</v>
      </c>
      <c r="I686" s="69" cm="1">
        <f t="array" ref="I686">IFERROR(IF(A686=A685,0,SUM(_xlfn._xlws.FILTER(E686:E696,(A686:A696=A686)*(F686&lt;0)))),0)</f>
        <v>0</v>
      </c>
      <c r="J686" s="81" t="str">
        <f ca="1">IFERROR(_xlfn.XLOOKUP(B686,[1]!TabCalc[Ticker],[1]!TabCalc[Cur]),"")</f>
        <v/>
      </c>
      <c r="K686" s="68" cm="1">
        <f t="array" ref="K686">IFERROR(IF($A686=$A685,0,SUM(_xlfn._xlws.FILTER($E686:$E696,($A686:$A696=$A686)*($J686:$J696=K$42)))),0)</f>
        <v>0</v>
      </c>
      <c r="L686" s="68" cm="1">
        <f t="array" ref="L686">IFERROR(IF($A686=$A685,0,SUM(_xlfn._xlws.FILTER($E686:$E696,($A686:$A696=$A686)*($J686:$J696=L$42)))),0)</f>
        <v>0</v>
      </c>
      <c r="M686" s="68" cm="1">
        <f t="array" ref="M686">IFERROR(IF($A686=$A685,0,SUM(_xlfn._xlws.FILTER($E686:$E696,($A686:$A696=$A686)*($J686:$J696=M$42)))),0)</f>
        <v>0</v>
      </c>
      <c r="N686" s="68" cm="1">
        <f t="array" ref="N686">IFERROR(IF($A686=$A685,0,SUM(_xlfn._xlws.FILTER($E686:$E696,($A686:$A696=$A686)*($J686:$J696=N$42)))),0)</f>
        <v>0</v>
      </c>
    </row>
    <row r="687" spans="5:14" x14ac:dyDescent="0.3">
      <c r="E687" s="67">
        <f ca="1">IFERROR(C687*D687*_xlfn.XLOOKUP(B687,[1]!TabCalc[Ticker],[1]!TabCalc[Scale]),0)</f>
        <v>0</v>
      </c>
      <c r="F687" s="68" cm="1">
        <f t="array" ref="F687">IF(A687=A686,0,SUM(_xlfn._xlws.FILTER(E687:E697,A687:A697=A687)))</f>
        <v>0</v>
      </c>
      <c r="G687" s="69">
        <f>IF(F687&lt;&gt;0,SUM($F$43:F687),0)</f>
        <v>0</v>
      </c>
      <c r="H687" s="69" cm="1">
        <f t="array" ref="H687">IFERROR(IF(A687=A686,0,SUM(_xlfn._xlws.FILTER(E687:E697,(A687:A697=A687)*(E687:E697&gt;0)))),0)</f>
        <v>0</v>
      </c>
      <c r="I687" s="69" cm="1">
        <f t="array" ref="I687">IFERROR(IF(A687=A686,0,SUM(_xlfn._xlws.FILTER(E687:E697,(A687:A697=A687)*(F687&lt;0)))),0)</f>
        <v>0</v>
      </c>
      <c r="J687" s="81" t="str">
        <f ca="1">IFERROR(_xlfn.XLOOKUP(B687,[1]!TabCalc[Ticker],[1]!TabCalc[Cur]),"")</f>
        <v/>
      </c>
      <c r="K687" s="68" cm="1">
        <f t="array" ref="K687">IFERROR(IF($A687=$A686,0,SUM(_xlfn._xlws.FILTER($E687:$E697,($A687:$A697=$A687)*($J687:$J697=K$42)))),0)</f>
        <v>0</v>
      </c>
      <c r="L687" s="68" cm="1">
        <f t="array" ref="L687">IFERROR(IF($A687=$A686,0,SUM(_xlfn._xlws.FILTER($E687:$E697,($A687:$A697=$A687)*($J687:$J697=L$42)))),0)</f>
        <v>0</v>
      </c>
      <c r="M687" s="68" cm="1">
        <f t="array" ref="M687">IFERROR(IF($A687=$A686,0,SUM(_xlfn._xlws.FILTER($E687:$E697,($A687:$A697=$A687)*($J687:$J697=M$42)))),0)</f>
        <v>0</v>
      </c>
      <c r="N687" s="68" cm="1">
        <f t="array" ref="N687">IFERROR(IF($A687=$A686,0,SUM(_xlfn._xlws.FILTER($E687:$E697,($A687:$A697=$A687)*($J687:$J697=N$42)))),0)</f>
        <v>0</v>
      </c>
    </row>
    <row r="688" spans="5:14" x14ac:dyDescent="0.3">
      <c r="E688" s="67">
        <f ca="1">IFERROR(C688*D688*_xlfn.XLOOKUP(B688,[1]!TabCalc[Ticker],[1]!TabCalc[Scale]),0)</f>
        <v>0</v>
      </c>
      <c r="F688" s="68" cm="1">
        <f t="array" ref="F688">IF(A688=A687,0,SUM(_xlfn._xlws.FILTER(E688:E698,A688:A698=A688)))</f>
        <v>0</v>
      </c>
      <c r="G688" s="69">
        <f>IF(F688&lt;&gt;0,SUM($F$43:F688),0)</f>
        <v>0</v>
      </c>
      <c r="H688" s="69" cm="1">
        <f t="array" ref="H688">IFERROR(IF(A688=A687,0,SUM(_xlfn._xlws.FILTER(E688:E698,(A688:A698=A688)*(E688:E698&gt;0)))),0)</f>
        <v>0</v>
      </c>
      <c r="I688" s="69" cm="1">
        <f t="array" ref="I688">IFERROR(IF(A688=A687,0,SUM(_xlfn._xlws.FILTER(E688:E698,(A688:A698=A688)*(F688&lt;0)))),0)</f>
        <v>0</v>
      </c>
      <c r="J688" s="81" t="str">
        <f ca="1">IFERROR(_xlfn.XLOOKUP(B688,[1]!TabCalc[Ticker],[1]!TabCalc[Cur]),"")</f>
        <v/>
      </c>
      <c r="K688" s="68" cm="1">
        <f t="array" ref="K688">IFERROR(IF($A688=$A687,0,SUM(_xlfn._xlws.FILTER($E688:$E698,($A688:$A698=$A688)*($J688:$J698=K$42)))),0)</f>
        <v>0</v>
      </c>
      <c r="L688" s="68" cm="1">
        <f t="array" ref="L688">IFERROR(IF($A688=$A687,0,SUM(_xlfn._xlws.FILTER($E688:$E698,($A688:$A698=$A688)*($J688:$J698=L$42)))),0)</f>
        <v>0</v>
      </c>
      <c r="M688" s="68" cm="1">
        <f t="array" ref="M688">IFERROR(IF($A688=$A687,0,SUM(_xlfn._xlws.FILTER($E688:$E698,($A688:$A698=$A688)*($J688:$J698=M$42)))),0)</f>
        <v>0</v>
      </c>
      <c r="N688" s="68" cm="1">
        <f t="array" ref="N688">IFERROR(IF($A688=$A687,0,SUM(_xlfn._xlws.FILTER($E688:$E698,($A688:$A698=$A688)*($J688:$J698=N$42)))),0)</f>
        <v>0</v>
      </c>
    </row>
    <row r="689" spans="5:14" x14ac:dyDescent="0.3">
      <c r="E689" s="67">
        <f ca="1">IFERROR(C689*D689*_xlfn.XLOOKUP(B689,[1]!TabCalc[Ticker],[1]!TabCalc[Scale]),0)</f>
        <v>0</v>
      </c>
      <c r="F689" s="68" cm="1">
        <f t="array" ref="F689">IF(A689=A688,0,SUM(_xlfn._xlws.FILTER(E689:E699,A689:A699=A689)))</f>
        <v>0</v>
      </c>
      <c r="G689" s="69">
        <f>IF(F689&lt;&gt;0,SUM($F$43:F689),0)</f>
        <v>0</v>
      </c>
      <c r="H689" s="69" cm="1">
        <f t="array" ref="H689">IFERROR(IF(A689=A688,0,SUM(_xlfn._xlws.FILTER(E689:E699,(A689:A699=A689)*(E689:E699&gt;0)))),0)</f>
        <v>0</v>
      </c>
      <c r="I689" s="69" cm="1">
        <f t="array" ref="I689">IFERROR(IF(A689=A688,0,SUM(_xlfn._xlws.FILTER(E689:E699,(A689:A699=A689)*(F689&lt;0)))),0)</f>
        <v>0</v>
      </c>
      <c r="J689" s="81" t="str">
        <f ca="1">IFERROR(_xlfn.XLOOKUP(B689,[1]!TabCalc[Ticker],[1]!TabCalc[Cur]),"")</f>
        <v/>
      </c>
      <c r="K689" s="68" cm="1">
        <f t="array" ref="K689">IFERROR(IF($A689=$A688,0,SUM(_xlfn._xlws.FILTER($E689:$E699,($A689:$A699=$A689)*($J689:$J699=K$42)))),0)</f>
        <v>0</v>
      </c>
      <c r="L689" s="68" cm="1">
        <f t="array" ref="L689">IFERROR(IF($A689=$A688,0,SUM(_xlfn._xlws.FILTER($E689:$E699,($A689:$A699=$A689)*($J689:$J699=L$42)))),0)</f>
        <v>0</v>
      </c>
      <c r="M689" s="68" cm="1">
        <f t="array" ref="M689">IFERROR(IF($A689=$A688,0,SUM(_xlfn._xlws.FILTER($E689:$E699,($A689:$A699=$A689)*($J689:$J699=M$42)))),0)</f>
        <v>0</v>
      </c>
      <c r="N689" s="68" cm="1">
        <f t="array" ref="N689">IFERROR(IF($A689=$A688,0,SUM(_xlfn._xlws.FILTER($E689:$E699,($A689:$A699=$A689)*($J689:$J699=N$42)))),0)</f>
        <v>0</v>
      </c>
    </row>
    <row r="690" spans="5:14" x14ac:dyDescent="0.3">
      <c r="E690" s="67">
        <f ca="1">IFERROR(C690*D690*_xlfn.XLOOKUP(B690,[1]!TabCalc[Ticker],[1]!TabCalc[Scale]),0)</f>
        <v>0</v>
      </c>
      <c r="F690" s="68" cm="1">
        <f t="array" ref="F690">IF(A690=A689,0,SUM(_xlfn._xlws.FILTER(E690:E700,A690:A700=A690)))</f>
        <v>0</v>
      </c>
      <c r="G690" s="69">
        <f>IF(F690&lt;&gt;0,SUM($F$43:F690),0)</f>
        <v>0</v>
      </c>
      <c r="H690" s="69" cm="1">
        <f t="array" ref="H690">IFERROR(IF(A690=A689,0,SUM(_xlfn._xlws.FILTER(E690:E700,(A690:A700=A690)*(E690:E700&gt;0)))),0)</f>
        <v>0</v>
      </c>
      <c r="I690" s="69" cm="1">
        <f t="array" ref="I690">IFERROR(IF(A690=A689,0,SUM(_xlfn._xlws.FILTER(E690:E700,(A690:A700=A690)*(F690&lt;0)))),0)</f>
        <v>0</v>
      </c>
      <c r="J690" s="81" t="str">
        <f ca="1">IFERROR(_xlfn.XLOOKUP(B690,[1]!TabCalc[Ticker],[1]!TabCalc[Cur]),"")</f>
        <v/>
      </c>
      <c r="K690" s="68" cm="1">
        <f t="array" ref="K690">IFERROR(IF($A690=$A689,0,SUM(_xlfn._xlws.FILTER($E690:$E700,($A690:$A700=$A690)*($J690:$J700=K$42)))),0)</f>
        <v>0</v>
      </c>
      <c r="L690" s="68" cm="1">
        <f t="array" ref="L690">IFERROR(IF($A690=$A689,0,SUM(_xlfn._xlws.FILTER($E690:$E700,($A690:$A700=$A690)*($J690:$J700=L$42)))),0)</f>
        <v>0</v>
      </c>
      <c r="M690" s="68" cm="1">
        <f t="array" ref="M690">IFERROR(IF($A690=$A689,0,SUM(_xlfn._xlws.FILTER($E690:$E700,($A690:$A700=$A690)*($J690:$J700=M$42)))),0)</f>
        <v>0</v>
      </c>
      <c r="N690" s="68" cm="1">
        <f t="array" ref="N690">IFERROR(IF($A690=$A689,0,SUM(_xlfn._xlws.FILTER($E690:$E700,($A690:$A700=$A690)*($J690:$J700=N$42)))),0)</f>
        <v>0</v>
      </c>
    </row>
    <row r="691" spans="5:14" x14ac:dyDescent="0.3">
      <c r="E691" s="67">
        <f ca="1">IFERROR(C691*D691*_xlfn.XLOOKUP(B691,[1]!TabCalc[Ticker],[1]!TabCalc[Scale]),0)</f>
        <v>0</v>
      </c>
      <c r="F691" s="68" cm="1">
        <f t="array" ref="F691">IF(A691=A690,0,SUM(_xlfn._xlws.FILTER(E691:E701,A691:A701=A691)))</f>
        <v>0</v>
      </c>
      <c r="G691" s="69">
        <f>IF(F691&lt;&gt;0,SUM($F$43:F691),0)</f>
        <v>0</v>
      </c>
      <c r="H691" s="69" cm="1">
        <f t="array" ref="H691">IFERROR(IF(A691=A690,0,SUM(_xlfn._xlws.FILTER(E691:E701,(A691:A701=A691)*(E691:E701&gt;0)))),0)</f>
        <v>0</v>
      </c>
      <c r="I691" s="69" cm="1">
        <f t="array" ref="I691">IFERROR(IF(A691=A690,0,SUM(_xlfn._xlws.FILTER(E691:E701,(A691:A701=A691)*(F691&lt;0)))),0)</f>
        <v>0</v>
      </c>
      <c r="J691" s="81" t="str">
        <f ca="1">IFERROR(_xlfn.XLOOKUP(B691,[1]!TabCalc[Ticker],[1]!TabCalc[Cur]),"")</f>
        <v/>
      </c>
      <c r="K691" s="68" cm="1">
        <f t="array" ref="K691">IFERROR(IF($A691=$A690,0,SUM(_xlfn._xlws.FILTER($E691:$E701,($A691:$A701=$A691)*($J691:$J701=K$42)))),0)</f>
        <v>0</v>
      </c>
      <c r="L691" s="68" cm="1">
        <f t="array" ref="L691">IFERROR(IF($A691=$A690,0,SUM(_xlfn._xlws.FILTER($E691:$E701,($A691:$A701=$A691)*($J691:$J701=L$42)))),0)</f>
        <v>0</v>
      </c>
      <c r="M691" s="68" cm="1">
        <f t="array" ref="M691">IFERROR(IF($A691=$A690,0,SUM(_xlfn._xlws.FILTER($E691:$E701,($A691:$A701=$A691)*($J691:$J701=M$42)))),0)</f>
        <v>0</v>
      </c>
      <c r="N691" s="68" cm="1">
        <f t="array" ref="N691">IFERROR(IF($A691=$A690,0,SUM(_xlfn._xlws.FILTER($E691:$E701,($A691:$A701=$A691)*($J691:$J701=N$42)))),0)</f>
        <v>0</v>
      </c>
    </row>
    <row r="692" spans="5:14" x14ac:dyDescent="0.3">
      <c r="E692" s="67">
        <f ca="1">IFERROR(C692*D692*_xlfn.XLOOKUP(B692,[1]!TabCalc[Ticker],[1]!TabCalc[Scale]),0)</f>
        <v>0</v>
      </c>
      <c r="F692" s="68" cm="1">
        <f t="array" ref="F692">IF(A692=A691,0,SUM(_xlfn._xlws.FILTER(E692:E702,A692:A702=A692)))</f>
        <v>0</v>
      </c>
      <c r="G692" s="69">
        <f>IF(F692&lt;&gt;0,SUM($F$43:F692),0)</f>
        <v>0</v>
      </c>
      <c r="H692" s="69" cm="1">
        <f t="array" ref="H692">IFERROR(IF(A692=A691,0,SUM(_xlfn._xlws.FILTER(E692:E702,(A692:A702=A692)*(E692:E702&gt;0)))),0)</f>
        <v>0</v>
      </c>
      <c r="I692" s="69" cm="1">
        <f t="array" ref="I692">IFERROR(IF(A692=A691,0,SUM(_xlfn._xlws.FILTER(E692:E702,(A692:A702=A692)*(F692&lt;0)))),0)</f>
        <v>0</v>
      </c>
      <c r="J692" s="81" t="str">
        <f ca="1">IFERROR(_xlfn.XLOOKUP(B692,[1]!TabCalc[Ticker],[1]!TabCalc[Cur]),"")</f>
        <v/>
      </c>
      <c r="K692" s="68" cm="1">
        <f t="array" ref="K692">IFERROR(IF($A692=$A691,0,SUM(_xlfn._xlws.FILTER($E692:$E702,($A692:$A702=$A692)*($J692:$J702=K$42)))),0)</f>
        <v>0</v>
      </c>
      <c r="L692" s="68" cm="1">
        <f t="array" ref="L692">IFERROR(IF($A692=$A691,0,SUM(_xlfn._xlws.FILTER($E692:$E702,($A692:$A702=$A692)*($J692:$J702=L$42)))),0)</f>
        <v>0</v>
      </c>
      <c r="M692" s="68" cm="1">
        <f t="array" ref="M692">IFERROR(IF($A692=$A691,0,SUM(_xlfn._xlws.FILTER($E692:$E702,($A692:$A702=$A692)*($J692:$J702=M$42)))),0)</f>
        <v>0</v>
      </c>
      <c r="N692" s="68" cm="1">
        <f t="array" ref="N692">IFERROR(IF($A692=$A691,0,SUM(_xlfn._xlws.FILTER($E692:$E702,($A692:$A702=$A692)*($J692:$J702=N$42)))),0)</f>
        <v>0</v>
      </c>
    </row>
    <row r="693" spans="5:14" x14ac:dyDescent="0.3">
      <c r="E693" s="67">
        <f ca="1">IFERROR(C693*D693*_xlfn.XLOOKUP(B693,[1]!TabCalc[Ticker],[1]!TabCalc[Scale]),0)</f>
        <v>0</v>
      </c>
      <c r="F693" s="68" cm="1">
        <f t="array" ref="F693">IF(A693=A692,0,SUM(_xlfn._xlws.FILTER(E693:E703,A693:A703=A693)))</f>
        <v>0</v>
      </c>
      <c r="G693" s="69">
        <f>IF(F693&lt;&gt;0,SUM($F$43:F693),0)</f>
        <v>0</v>
      </c>
      <c r="H693" s="69" cm="1">
        <f t="array" ref="H693">IFERROR(IF(A693=A692,0,SUM(_xlfn._xlws.FILTER(E693:E703,(A693:A703=A693)*(E693:E703&gt;0)))),0)</f>
        <v>0</v>
      </c>
      <c r="I693" s="69" cm="1">
        <f t="array" ref="I693">IFERROR(IF(A693=A692,0,SUM(_xlfn._xlws.FILTER(E693:E703,(A693:A703=A693)*(F693&lt;0)))),0)</f>
        <v>0</v>
      </c>
      <c r="J693" s="81" t="str">
        <f ca="1">IFERROR(_xlfn.XLOOKUP(B693,[1]!TabCalc[Ticker],[1]!TabCalc[Cur]),"")</f>
        <v/>
      </c>
      <c r="K693" s="68" cm="1">
        <f t="array" ref="K693">IFERROR(IF($A693=$A692,0,SUM(_xlfn._xlws.FILTER($E693:$E703,($A693:$A703=$A693)*($J693:$J703=K$42)))),0)</f>
        <v>0</v>
      </c>
      <c r="L693" s="68" cm="1">
        <f t="array" ref="L693">IFERROR(IF($A693=$A692,0,SUM(_xlfn._xlws.FILTER($E693:$E703,($A693:$A703=$A693)*($J693:$J703=L$42)))),0)</f>
        <v>0</v>
      </c>
      <c r="M693" s="68" cm="1">
        <f t="array" ref="M693">IFERROR(IF($A693=$A692,0,SUM(_xlfn._xlws.FILTER($E693:$E703,($A693:$A703=$A693)*($J693:$J703=M$42)))),0)</f>
        <v>0</v>
      </c>
      <c r="N693" s="68" cm="1">
        <f t="array" ref="N693">IFERROR(IF($A693=$A692,0,SUM(_xlfn._xlws.FILTER($E693:$E703,($A693:$A703=$A693)*($J693:$J703=N$42)))),0)</f>
        <v>0</v>
      </c>
    </row>
    <row r="694" spans="5:14" x14ac:dyDescent="0.3">
      <c r="E694" s="67">
        <f ca="1">IFERROR(C694*D694*_xlfn.XLOOKUP(B694,[1]!TabCalc[Ticker],[1]!TabCalc[Scale]),0)</f>
        <v>0</v>
      </c>
      <c r="F694" s="68" cm="1">
        <f t="array" ref="F694">IF(A694=A693,0,SUM(_xlfn._xlws.FILTER(E694:E704,A694:A704=A694)))</f>
        <v>0</v>
      </c>
      <c r="G694" s="69">
        <f>IF(F694&lt;&gt;0,SUM($F$43:F694),0)</f>
        <v>0</v>
      </c>
      <c r="H694" s="69" cm="1">
        <f t="array" ref="H694">IFERROR(IF(A694=A693,0,SUM(_xlfn._xlws.FILTER(E694:E704,(A694:A704=A694)*(E694:E704&gt;0)))),0)</f>
        <v>0</v>
      </c>
      <c r="I694" s="69" cm="1">
        <f t="array" ref="I694">IFERROR(IF(A694=A693,0,SUM(_xlfn._xlws.FILTER(E694:E704,(A694:A704=A694)*(F694&lt;0)))),0)</f>
        <v>0</v>
      </c>
      <c r="J694" s="81" t="str">
        <f ca="1">IFERROR(_xlfn.XLOOKUP(B694,[1]!TabCalc[Ticker],[1]!TabCalc[Cur]),"")</f>
        <v/>
      </c>
      <c r="K694" s="68" cm="1">
        <f t="array" ref="K694">IFERROR(IF($A694=$A693,0,SUM(_xlfn._xlws.FILTER($E694:$E704,($A694:$A704=$A694)*($J694:$J704=K$42)))),0)</f>
        <v>0</v>
      </c>
      <c r="L694" s="68" cm="1">
        <f t="array" ref="L694">IFERROR(IF($A694=$A693,0,SUM(_xlfn._xlws.FILTER($E694:$E704,($A694:$A704=$A694)*($J694:$J704=L$42)))),0)</f>
        <v>0</v>
      </c>
      <c r="M694" s="68" cm="1">
        <f t="array" ref="M694">IFERROR(IF($A694=$A693,0,SUM(_xlfn._xlws.FILTER($E694:$E704,($A694:$A704=$A694)*($J694:$J704=M$42)))),0)</f>
        <v>0</v>
      </c>
      <c r="N694" s="68" cm="1">
        <f t="array" ref="N694">IFERROR(IF($A694=$A693,0,SUM(_xlfn._xlws.FILTER($E694:$E704,($A694:$A704=$A694)*($J694:$J704=N$42)))),0)</f>
        <v>0</v>
      </c>
    </row>
    <row r="695" spans="5:14" x14ac:dyDescent="0.3">
      <c r="E695" s="67">
        <f ca="1">IFERROR(C695*D695*_xlfn.XLOOKUP(B695,[1]!TabCalc[Ticker],[1]!TabCalc[Scale]),0)</f>
        <v>0</v>
      </c>
      <c r="F695" s="68" cm="1">
        <f t="array" ref="F695">IF(A695=A694,0,SUM(_xlfn._xlws.FILTER(E695:E705,A695:A705=A695)))</f>
        <v>0</v>
      </c>
      <c r="G695" s="69">
        <f>IF(F695&lt;&gt;0,SUM($F$43:F695),0)</f>
        <v>0</v>
      </c>
      <c r="H695" s="69" cm="1">
        <f t="array" ref="H695">IFERROR(IF(A695=A694,0,SUM(_xlfn._xlws.FILTER(E695:E705,(A695:A705=A695)*(E695:E705&gt;0)))),0)</f>
        <v>0</v>
      </c>
      <c r="I695" s="69" cm="1">
        <f t="array" ref="I695">IFERROR(IF(A695=A694,0,SUM(_xlfn._xlws.FILTER(E695:E705,(A695:A705=A695)*(F695&lt;0)))),0)</f>
        <v>0</v>
      </c>
      <c r="J695" s="81" t="str">
        <f ca="1">IFERROR(_xlfn.XLOOKUP(B695,[1]!TabCalc[Ticker],[1]!TabCalc[Cur]),"")</f>
        <v/>
      </c>
      <c r="K695" s="68" cm="1">
        <f t="array" ref="K695">IFERROR(IF($A695=$A694,0,SUM(_xlfn._xlws.FILTER($E695:$E705,($A695:$A705=$A695)*($J695:$J705=K$42)))),0)</f>
        <v>0</v>
      </c>
      <c r="L695" s="68" cm="1">
        <f t="array" ref="L695">IFERROR(IF($A695=$A694,0,SUM(_xlfn._xlws.FILTER($E695:$E705,($A695:$A705=$A695)*($J695:$J705=L$42)))),0)</f>
        <v>0</v>
      </c>
      <c r="M695" s="68" cm="1">
        <f t="array" ref="M695">IFERROR(IF($A695=$A694,0,SUM(_xlfn._xlws.FILTER($E695:$E705,($A695:$A705=$A695)*($J695:$J705=M$42)))),0)</f>
        <v>0</v>
      </c>
      <c r="N695" s="68" cm="1">
        <f t="array" ref="N695">IFERROR(IF($A695=$A694,0,SUM(_xlfn._xlws.FILTER($E695:$E705,($A695:$A705=$A695)*($J695:$J705=N$42)))),0)</f>
        <v>0</v>
      </c>
    </row>
    <row r="696" spans="5:14" x14ac:dyDescent="0.3">
      <c r="E696" s="67">
        <f ca="1">IFERROR(C696*D696*_xlfn.XLOOKUP(B696,[1]!TabCalc[Ticker],[1]!TabCalc[Scale]),0)</f>
        <v>0</v>
      </c>
      <c r="F696" s="68" cm="1">
        <f t="array" ref="F696">IF(A696=A695,0,SUM(_xlfn._xlws.FILTER(E696:E706,A696:A706=A696)))</f>
        <v>0</v>
      </c>
      <c r="G696" s="69">
        <f>IF(F696&lt;&gt;0,SUM($F$43:F696),0)</f>
        <v>0</v>
      </c>
      <c r="H696" s="69" cm="1">
        <f t="array" ref="H696">IFERROR(IF(A696=A695,0,SUM(_xlfn._xlws.FILTER(E696:E706,(A696:A706=A696)*(E696:E706&gt;0)))),0)</f>
        <v>0</v>
      </c>
      <c r="I696" s="69" cm="1">
        <f t="array" ref="I696">IFERROR(IF(A696=A695,0,SUM(_xlfn._xlws.FILTER(E696:E706,(A696:A706=A696)*(F696&lt;0)))),0)</f>
        <v>0</v>
      </c>
      <c r="J696" s="81" t="str">
        <f ca="1">IFERROR(_xlfn.XLOOKUP(B696,[1]!TabCalc[Ticker],[1]!TabCalc[Cur]),"")</f>
        <v/>
      </c>
      <c r="K696" s="68" cm="1">
        <f t="array" ref="K696">IFERROR(IF($A696=$A695,0,SUM(_xlfn._xlws.FILTER($E696:$E706,($A696:$A706=$A696)*($J696:$J706=K$42)))),0)</f>
        <v>0</v>
      </c>
      <c r="L696" s="68" cm="1">
        <f t="array" ref="L696">IFERROR(IF($A696=$A695,0,SUM(_xlfn._xlws.FILTER($E696:$E706,($A696:$A706=$A696)*($J696:$J706=L$42)))),0)</f>
        <v>0</v>
      </c>
      <c r="M696" s="68" cm="1">
        <f t="array" ref="M696">IFERROR(IF($A696=$A695,0,SUM(_xlfn._xlws.FILTER($E696:$E706,($A696:$A706=$A696)*($J696:$J706=M$42)))),0)</f>
        <v>0</v>
      </c>
      <c r="N696" s="68" cm="1">
        <f t="array" ref="N696">IFERROR(IF($A696=$A695,0,SUM(_xlfn._xlws.FILTER($E696:$E706,($A696:$A706=$A696)*($J696:$J706=N$42)))),0)</f>
        <v>0</v>
      </c>
    </row>
    <row r="697" spans="5:14" x14ac:dyDescent="0.3">
      <c r="E697" s="67">
        <f ca="1">IFERROR(C697*D697*_xlfn.XLOOKUP(B697,[1]!TabCalc[Ticker],[1]!TabCalc[Scale]),0)</f>
        <v>0</v>
      </c>
      <c r="F697" s="68" cm="1">
        <f t="array" ref="F697">IF(A697=A696,0,SUM(_xlfn._xlws.FILTER(E697:E707,A697:A707=A697)))</f>
        <v>0</v>
      </c>
      <c r="G697" s="69">
        <f>IF(F697&lt;&gt;0,SUM($F$43:F697),0)</f>
        <v>0</v>
      </c>
      <c r="H697" s="69" cm="1">
        <f t="array" ref="H697">IFERROR(IF(A697=A696,0,SUM(_xlfn._xlws.FILTER(E697:E707,(A697:A707=A697)*(E697:E707&gt;0)))),0)</f>
        <v>0</v>
      </c>
      <c r="I697" s="69" cm="1">
        <f t="array" ref="I697">IFERROR(IF(A697=A696,0,SUM(_xlfn._xlws.FILTER(E697:E707,(A697:A707=A697)*(F697&lt;0)))),0)</f>
        <v>0</v>
      </c>
      <c r="J697" s="81" t="str">
        <f ca="1">IFERROR(_xlfn.XLOOKUP(B697,[1]!TabCalc[Ticker],[1]!TabCalc[Cur]),"")</f>
        <v/>
      </c>
      <c r="K697" s="68" cm="1">
        <f t="array" ref="K697">IFERROR(IF($A697=$A696,0,SUM(_xlfn._xlws.FILTER($E697:$E707,($A697:$A707=$A697)*($J697:$J707=K$42)))),0)</f>
        <v>0</v>
      </c>
      <c r="L697" s="68" cm="1">
        <f t="array" ref="L697">IFERROR(IF($A697=$A696,0,SUM(_xlfn._xlws.FILTER($E697:$E707,($A697:$A707=$A697)*($J697:$J707=L$42)))),0)</f>
        <v>0</v>
      </c>
      <c r="M697" s="68" cm="1">
        <f t="array" ref="M697">IFERROR(IF($A697=$A696,0,SUM(_xlfn._xlws.FILTER($E697:$E707,($A697:$A707=$A697)*($J697:$J707=M$42)))),0)</f>
        <v>0</v>
      </c>
      <c r="N697" s="68" cm="1">
        <f t="array" ref="N697">IFERROR(IF($A697=$A696,0,SUM(_xlfn._xlws.FILTER($E697:$E707,($A697:$A707=$A697)*($J697:$J707=N$42)))),0)</f>
        <v>0</v>
      </c>
    </row>
    <row r="698" spans="5:14" x14ac:dyDescent="0.3">
      <c r="E698" s="67">
        <f ca="1">IFERROR(C698*D698*_xlfn.XLOOKUP(B698,[1]!TabCalc[Ticker],[1]!TabCalc[Scale]),0)</f>
        <v>0</v>
      </c>
      <c r="F698" s="68" cm="1">
        <f t="array" ref="F698">IF(A698=A697,0,SUM(_xlfn._xlws.FILTER(E698:E708,A698:A708=A698)))</f>
        <v>0</v>
      </c>
      <c r="G698" s="69">
        <f>IF(F698&lt;&gt;0,SUM($F$43:F698),0)</f>
        <v>0</v>
      </c>
      <c r="H698" s="69" cm="1">
        <f t="array" ref="H698">IFERROR(IF(A698=A697,0,SUM(_xlfn._xlws.FILTER(E698:E708,(A698:A708=A698)*(E698:E708&gt;0)))),0)</f>
        <v>0</v>
      </c>
      <c r="I698" s="69" cm="1">
        <f t="array" ref="I698">IFERROR(IF(A698=A697,0,SUM(_xlfn._xlws.FILTER(E698:E708,(A698:A708=A698)*(F698&lt;0)))),0)</f>
        <v>0</v>
      </c>
      <c r="J698" s="81" t="str">
        <f ca="1">IFERROR(_xlfn.XLOOKUP(B698,[1]!TabCalc[Ticker],[1]!TabCalc[Cur]),"")</f>
        <v/>
      </c>
      <c r="K698" s="68" cm="1">
        <f t="array" ref="K698">IFERROR(IF($A698=$A697,0,SUM(_xlfn._xlws.FILTER($E698:$E708,($A698:$A708=$A698)*($J698:$J708=K$42)))),0)</f>
        <v>0</v>
      </c>
      <c r="L698" s="68" cm="1">
        <f t="array" ref="L698">IFERROR(IF($A698=$A697,0,SUM(_xlfn._xlws.FILTER($E698:$E708,($A698:$A708=$A698)*($J698:$J708=L$42)))),0)</f>
        <v>0</v>
      </c>
      <c r="M698" s="68" cm="1">
        <f t="array" ref="M698">IFERROR(IF($A698=$A697,0,SUM(_xlfn._xlws.FILTER($E698:$E708,($A698:$A708=$A698)*($J698:$J708=M$42)))),0)</f>
        <v>0</v>
      </c>
      <c r="N698" s="68" cm="1">
        <f t="array" ref="N698">IFERROR(IF($A698=$A697,0,SUM(_xlfn._xlws.FILTER($E698:$E708,($A698:$A708=$A698)*($J698:$J708=N$42)))),0)</f>
        <v>0</v>
      </c>
    </row>
    <row r="699" spans="5:14" x14ac:dyDescent="0.3">
      <c r="E699" s="67">
        <f ca="1">IFERROR(C699*D699*_xlfn.XLOOKUP(B699,[1]!TabCalc[Ticker],[1]!TabCalc[Scale]),0)</f>
        <v>0</v>
      </c>
      <c r="F699" s="68" cm="1">
        <f t="array" ref="F699">IF(A699=A698,0,SUM(_xlfn._xlws.FILTER(E699:E709,A699:A709=A699)))</f>
        <v>0</v>
      </c>
      <c r="G699" s="69">
        <f>IF(F699&lt;&gt;0,SUM($F$43:F699),0)</f>
        <v>0</v>
      </c>
      <c r="H699" s="69" cm="1">
        <f t="array" ref="H699">IFERROR(IF(A699=A698,0,SUM(_xlfn._xlws.FILTER(E699:E709,(A699:A709=A699)*(E699:E709&gt;0)))),0)</f>
        <v>0</v>
      </c>
      <c r="I699" s="69" cm="1">
        <f t="array" ref="I699">IFERROR(IF(A699=A698,0,SUM(_xlfn._xlws.FILTER(E699:E709,(A699:A709=A699)*(F699&lt;0)))),0)</f>
        <v>0</v>
      </c>
      <c r="J699" s="81" t="str">
        <f ca="1">IFERROR(_xlfn.XLOOKUP(B699,[1]!TabCalc[Ticker],[1]!TabCalc[Cur]),"")</f>
        <v/>
      </c>
      <c r="K699" s="68" cm="1">
        <f t="array" ref="K699">IFERROR(IF($A699=$A698,0,SUM(_xlfn._xlws.FILTER($E699:$E709,($A699:$A709=$A699)*($J699:$J709=K$42)))),0)</f>
        <v>0</v>
      </c>
      <c r="L699" s="68" cm="1">
        <f t="array" ref="L699">IFERROR(IF($A699=$A698,0,SUM(_xlfn._xlws.FILTER($E699:$E709,($A699:$A709=$A699)*($J699:$J709=L$42)))),0)</f>
        <v>0</v>
      </c>
      <c r="M699" s="68" cm="1">
        <f t="array" ref="M699">IFERROR(IF($A699=$A698,0,SUM(_xlfn._xlws.FILTER($E699:$E709,($A699:$A709=$A699)*($J699:$J709=M$42)))),0)</f>
        <v>0</v>
      </c>
      <c r="N699" s="68" cm="1">
        <f t="array" ref="N699">IFERROR(IF($A699=$A698,0,SUM(_xlfn._xlws.FILTER($E699:$E709,($A699:$A709=$A699)*($J699:$J709=N$42)))),0)</f>
        <v>0</v>
      </c>
    </row>
    <row r="700" spans="5:14" x14ac:dyDescent="0.3">
      <c r="E700" s="67">
        <f ca="1">IFERROR(C700*D700*_xlfn.XLOOKUP(B700,[1]!TabCalc[Ticker],[1]!TabCalc[Scale]),0)</f>
        <v>0</v>
      </c>
      <c r="F700" s="68" cm="1">
        <f t="array" ref="F700">IF(A700=A699,0,SUM(_xlfn._xlws.FILTER(E700:E710,A700:A710=A700)))</f>
        <v>0</v>
      </c>
      <c r="G700" s="69">
        <f>IF(F700&lt;&gt;0,SUM($F$43:F700),0)</f>
        <v>0</v>
      </c>
      <c r="H700" s="69" cm="1">
        <f t="array" ref="H700">IFERROR(IF(A700=A699,0,SUM(_xlfn._xlws.FILTER(E700:E710,(A700:A710=A700)*(E700:E710&gt;0)))),0)</f>
        <v>0</v>
      </c>
      <c r="I700" s="69" cm="1">
        <f t="array" ref="I700">IFERROR(IF(A700=A699,0,SUM(_xlfn._xlws.FILTER(E700:E710,(A700:A710=A700)*(F700&lt;0)))),0)</f>
        <v>0</v>
      </c>
      <c r="J700" s="81" t="str">
        <f ca="1">IFERROR(_xlfn.XLOOKUP(B700,[1]!TabCalc[Ticker],[1]!TabCalc[Cur]),"")</f>
        <v/>
      </c>
      <c r="K700" s="68" cm="1">
        <f t="array" ref="K700">IFERROR(IF($A700=$A699,0,SUM(_xlfn._xlws.FILTER($E700:$E710,($A700:$A710=$A700)*($J700:$J710=K$42)))),0)</f>
        <v>0</v>
      </c>
      <c r="L700" s="68" cm="1">
        <f t="array" ref="L700">IFERROR(IF($A700=$A699,0,SUM(_xlfn._xlws.FILTER($E700:$E710,($A700:$A710=$A700)*($J700:$J710=L$42)))),0)</f>
        <v>0</v>
      </c>
      <c r="M700" s="68" cm="1">
        <f t="array" ref="M700">IFERROR(IF($A700=$A699,0,SUM(_xlfn._xlws.FILTER($E700:$E710,($A700:$A710=$A700)*($J700:$J710=M$42)))),0)</f>
        <v>0</v>
      </c>
      <c r="N700" s="68" cm="1">
        <f t="array" ref="N700">IFERROR(IF($A700=$A699,0,SUM(_xlfn._xlws.FILTER($E700:$E710,($A700:$A710=$A700)*($J700:$J710=N$42)))),0)</f>
        <v>0</v>
      </c>
    </row>
    <row r="701" spans="5:14" x14ac:dyDescent="0.3">
      <c r="E701" s="67">
        <f ca="1">IFERROR(C701*D701*_xlfn.XLOOKUP(B701,[1]!TabCalc[Ticker],[1]!TabCalc[Scale]),0)</f>
        <v>0</v>
      </c>
      <c r="F701" s="68" cm="1">
        <f t="array" ref="F701">IF(A701=A700,0,SUM(_xlfn._xlws.FILTER(E701:E711,A701:A711=A701)))</f>
        <v>0</v>
      </c>
      <c r="G701" s="69">
        <f>IF(F701&lt;&gt;0,SUM($F$43:F701),0)</f>
        <v>0</v>
      </c>
      <c r="H701" s="69" cm="1">
        <f t="array" ref="H701">IFERROR(IF(A701=A700,0,SUM(_xlfn._xlws.FILTER(E701:E711,(A701:A711=A701)*(E701:E711&gt;0)))),0)</f>
        <v>0</v>
      </c>
      <c r="I701" s="69" cm="1">
        <f t="array" ref="I701">IFERROR(IF(A701=A700,0,SUM(_xlfn._xlws.FILTER(E701:E711,(A701:A711=A701)*(F701&lt;0)))),0)</f>
        <v>0</v>
      </c>
      <c r="J701" s="81" t="str">
        <f ca="1">IFERROR(_xlfn.XLOOKUP(B701,[1]!TabCalc[Ticker],[1]!TabCalc[Cur]),"")</f>
        <v/>
      </c>
      <c r="K701" s="68" cm="1">
        <f t="array" ref="K701">IFERROR(IF($A701=$A700,0,SUM(_xlfn._xlws.FILTER($E701:$E711,($A701:$A711=$A701)*($J701:$J711=K$42)))),0)</f>
        <v>0</v>
      </c>
      <c r="L701" s="68" cm="1">
        <f t="array" ref="L701">IFERROR(IF($A701=$A700,0,SUM(_xlfn._xlws.FILTER($E701:$E711,($A701:$A711=$A701)*($J701:$J711=L$42)))),0)</f>
        <v>0</v>
      </c>
      <c r="M701" s="68" cm="1">
        <f t="array" ref="M701">IFERROR(IF($A701=$A700,0,SUM(_xlfn._xlws.FILTER($E701:$E711,($A701:$A711=$A701)*($J701:$J711=M$42)))),0)</f>
        <v>0</v>
      </c>
      <c r="N701" s="68" cm="1">
        <f t="array" ref="N701">IFERROR(IF($A701=$A700,0,SUM(_xlfn._xlws.FILTER($E701:$E711,($A701:$A711=$A701)*($J701:$J711=N$42)))),0)</f>
        <v>0</v>
      </c>
    </row>
    <row r="702" spans="5:14" x14ac:dyDescent="0.3">
      <c r="E702" s="67">
        <f ca="1">IFERROR(C702*D702*_xlfn.XLOOKUP(B702,[1]!TabCalc[Ticker],[1]!TabCalc[Scale]),0)</f>
        <v>0</v>
      </c>
      <c r="F702" s="68" cm="1">
        <f t="array" ref="F702">IF(A702=A701,0,SUM(_xlfn._xlws.FILTER(E702:E712,A702:A712=A702)))</f>
        <v>0</v>
      </c>
      <c r="G702" s="69">
        <f>IF(F702&lt;&gt;0,SUM($F$43:F702),0)</f>
        <v>0</v>
      </c>
      <c r="H702" s="69" cm="1">
        <f t="array" ref="H702">IFERROR(IF(A702=A701,0,SUM(_xlfn._xlws.FILTER(E702:E712,(A702:A712=A702)*(E702:E712&gt;0)))),0)</f>
        <v>0</v>
      </c>
      <c r="I702" s="69" cm="1">
        <f t="array" ref="I702">IFERROR(IF(A702=A701,0,SUM(_xlfn._xlws.FILTER(E702:E712,(A702:A712=A702)*(F702&lt;0)))),0)</f>
        <v>0</v>
      </c>
      <c r="J702" s="81" t="str">
        <f ca="1">IFERROR(_xlfn.XLOOKUP(B702,[1]!TabCalc[Ticker],[1]!TabCalc[Cur]),"")</f>
        <v/>
      </c>
      <c r="K702" s="68" cm="1">
        <f t="array" ref="K702">IFERROR(IF($A702=$A701,0,SUM(_xlfn._xlws.FILTER($E702:$E712,($A702:$A712=$A702)*($J702:$J712=K$42)))),0)</f>
        <v>0</v>
      </c>
      <c r="L702" s="68" cm="1">
        <f t="array" ref="L702">IFERROR(IF($A702=$A701,0,SUM(_xlfn._xlws.FILTER($E702:$E712,($A702:$A712=$A702)*($J702:$J712=L$42)))),0)</f>
        <v>0</v>
      </c>
      <c r="M702" s="68" cm="1">
        <f t="array" ref="M702">IFERROR(IF($A702=$A701,0,SUM(_xlfn._xlws.FILTER($E702:$E712,($A702:$A712=$A702)*($J702:$J712=M$42)))),0)</f>
        <v>0</v>
      </c>
      <c r="N702" s="68" cm="1">
        <f t="array" ref="N702">IFERROR(IF($A702=$A701,0,SUM(_xlfn._xlws.FILTER($E702:$E712,($A702:$A712=$A702)*($J702:$J712=N$42)))),0)</f>
        <v>0</v>
      </c>
    </row>
    <row r="703" spans="5:14" x14ac:dyDescent="0.3">
      <c r="E703" s="67">
        <f ca="1">IFERROR(C703*D703*_xlfn.XLOOKUP(B703,[1]!TabCalc[Ticker],[1]!TabCalc[Scale]),0)</f>
        <v>0</v>
      </c>
      <c r="F703" s="68" cm="1">
        <f t="array" ref="F703">IF(A703=A702,0,SUM(_xlfn._xlws.FILTER(E703:E713,A703:A713=A703)))</f>
        <v>0</v>
      </c>
      <c r="G703" s="69">
        <f>IF(F703&lt;&gt;0,SUM($F$43:F703),0)</f>
        <v>0</v>
      </c>
      <c r="H703" s="69" cm="1">
        <f t="array" ref="H703">IFERROR(IF(A703=A702,0,SUM(_xlfn._xlws.FILTER(E703:E713,(A703:A713=A703)*(E703:E713&gt;0)))),0)</f>
        <v>0</v>
      </c>
      <c r="I703" s="69" cm="1">
        <f t="array" ref="I703">IFERROR(IF(A703=A702,0,SUM(_xlfn._xlws.FILTER(E703:E713,(A703:A713=A703)*(F703&lt;0)))),0)</f>
        <v>0</v>
      </c>
      <c r="J703" s="81" t="str">
        <f ca="1">IFERROR(_xlfn.XLOOKUP(B703,[1]!TabCalc[Ticker],[1]!TabCalc[Cur]),"")</f>
        <v/>
      </c>
      <c r="K703" s="68" cm="1">
        <f t="array" ref="K703">IFERROR(IF($A703=$A702,0,SUM(_xlfn._xlws.FILTER($E703:$E713,($A703:$A713=$A703)*($J703:$J713=K$42)))),0)</f>
        <v>0</v>
      </c>
      <c r="L703" s="68" cm="1">
        <f t="array" ref="L703">IFERROR(IF($A703=$A702,0,SUM(_xlfn._xlws.FILTER($E703:$E713,($A703:$A713=$A703)*($J703:$J713=L$42)))),0)</f>
        <v>0</v>
      </c>
      <c r="M703" s="68" cm="1">
        <f t="array" ref="M703">IFERROR(IF($A703=$A702,0,SUM(_xlfn._xlws.FILTER($E703:$E713,($A703:$A713=$A703)*($J703:$J713=M$42)))),0)</f>
        <v>0</v>
      </c>
      <c r="N703" s="68" cm="1">
        <f t="array" ref="N703">IFERROR(IF($A703=$A702,0,SUM(_xlfn._xlws.FILTER($E703:$E713,($A703:$A713=$A703)*($J703:$J713=N$42)))),0)</f>
        <v>0</v>
      </c>
    </row>
    <row r="704" spans="5:14" x14ac:dyDescent="0.3">
      <c r="E704" s="67">
        <f ca="1">IFERROR(C704*D704*_xlfn.XLOOKUP(B704,[1]!TabCalc[Ticker],[1]!TabCalc[Scale]),0)</f>
        <v>0</v>
      </c>
      <c r="F704" s="68" cm="1">
        <f t="array" ref="F704">IF(A704=A703,0,SUM(_xlfn._xlws.FILTER(E704:E714,A704:A714=A704)))</f>
        <v>0</v>
      </c>
      <c r="G704" s="69">
        <f>IF(F704&lt;&gt;0,SUM($F$43:F704),0)</f>
        <v>0</v>
      </c>
      <c r="H704" s="69" cm="1">
        <f t="array" ref="H704">IFERROR(IF(A704=A703,0,SUM(_xlfn._xlws.FILTER(E704:E714,(A704:A714=A704)*(E704:E714&gt;0)))),0)</f>
        <v>0</v>
      </c>
      <c r="I704" s="69" cm="1">
        <f t="array" ref="I704">IFERROR(IF(A704=A703,0,SUM(_xlfn._xlws.FILTER(E704:E714,(A704:A714=A704)*(F704&lt;0)))),0)</f>
        <v>0</v>
      </c>
      <c r="J704" s="81" t="str">
        <f ca="1">IFERROR(_xlfn.XLOOKUP(B704,[1]!TabCalc[Ticker],[1]!TabCalc[Cur]),"")</f>
        <v/>
      </c>
      <c r="K704" s="68" cm="1">
        <f t="array" ref="K704">IFERROR(IF($A704=$A703,0,SUM(_xlfn._xlws.FILTER($E704:$E714,($A704:$A714=$A704)*($J704:$J714=K$42)))),0)</f>
        <v>0</v>
      </c>
      <c r="L704" s="68" cm="1">
        <f t="array" ref="L704">IFERROR(IF($A704=$A703,0,SUM(_xlfn._xlws.FILTER($E704:$E714,($A704:$A714=$A704)*($J704:$J714=L$42)))),0)</f>
        <v>0</v>
      </c>
      <c r="M704" s="68" cm="1">
        <f t="array" ref="M704">IFERROR(IF($A704=$A703,0,SUM(_xlfn._xlws.FILTER($E704:$E714,($A704:$A714=$A704)*($J704:$J714=M$42)))),0)</f>
        <v>0</v>
      </c>
      <c r="N704" s="68" cm="1">
        <f t="array" ref="N704">IFERROR(IF($A704=$A703,0,SUM(_xlfn._xlws.FILTER($E704:$E714,($A704:$A714=$A704)*($J704:$J714=N$42)))),0)</f>
        <v>0</v>
      </c>
    </row>
    <row r="705" spans="5:14" x14ac:dyDescent="0.3">
      <c r="E705" s="67">
        <f ca="1">IFERROR(C705*D705*_xlfn.XLOOKUP(B705,[1]!TabCalc[Ticker],[1]!TabCalc[Scale]),0)</f>
        <v>0</v>
      </c>
      <c r="F705" s="68" cm="1">
        <f t="array" ref="F705">IF(A705=A704,0,SUM(_xlfn._xlws.FILTER(E705:E715,A705:A715=A705)))</f>
        <v>0</v>
      </c>
      <c r="G705" s="69">
        <f>IF(F705&lt;&gt;0,SUM($F$43:F705),0)</f>
        <v>0</v>
      </c>
      <c r="H705" s="69" cm="1">
        <f t="array" ref="H705">IFERROR(IF(A705=A704,0,SUM(_xlfn._xlws.FILTER(E705:E715,(A705:A715=A705)*(E705:E715&gt;0)))),0)</f>
        <v>0</v>
      </c>
      <c r="I705" s="69" cm="1">
        <f t="array" ref="I705">IFERROR(IF(A705=A704,0,SUM(_xlfn._xlws.FILTER(E705:E715,(A705:A715=A705)*(F705&lt;0)))),0)</f>
        <v>0</v>
      </c>
      <c r="J705" s="81" t="str">
        <f ca="1">IFERROR(_xlfn.XLOOKUP(B705,[1]!TabCalc[Ticker],[1]!TabCalc[Cur]),"")</f>
        <v/>
      </c>
      <c r="K705" s="68" cm="1">
        <f t="array" ref="K705">IFERROR(IF($A705=$A704,0,SUM(_xlfn._xlws.FILTER($E705:$E715,($A705:$A715=$A705)*($J705:$J715=K$42)))),0)</f>
        <v>0</v>
      </c>
      <c r="L705" s="68" cm="1">
        <f t="array" ref="L705">IFERROR(IF($A705=$A704,0,SUM(_xlfn._xlws.FILTER($E705:$E715,($A705:$A715=$A705)*($J705:$J715=L$42)))),0)</f>
        <v>0</v>
      </c>
      <c r="M705" s="68" cm="1">
        <f t="array" ref="M705">IFERROR(IF($A705=$A704,0,SUM(_xlfn._xlws.FILTER($E705:$E715,($A705:$A715=$A705)*($J705:$J715=M$42)))),0)</f>
        <v>0</v>
      </c>
      <c r="N705" s="68" cm="1">
        <f t="array" ref="N705">IFERROR(IF($A705=$A704,0,SUM(_xlfn._xlws.FILTER($E705:$E715,($A705:$A715=$A705)*($J705:$J715=N$42)))),0)</f>
        <v>0</v>
      </c>
    </row>
    <row r="706" spans="5:14" x14ac:dyDescent="0.3">
      <c r="E706" s="67">
        <f ca="1">IFERROR(C706*D706*_xlfn.XLOOKUP(B706,[1]!TabCalc[Ticker],[1]!TabCalc[Scale]),0)</f>
        <v>0</v>
      </c>
      <c r="F706" s="68" cm="1">
        <f t="array" ref="F706">IF(A706=A705,0,SUM(_xlfn._xlws.FILTER(E706:E716,A706:A716=A706)))</f>
        <v>0</v>
      </c>
      <c r="G706" s="69">
        <f>IF(F706&lt;&gt;0,SUM($F$43:F706),0)</f>
        <v>0</v>
      </c>
      <c r="H706" s="69" cm="1">
        <f t="array" ref="H706">IFERROR(IF(A706=A705,0,SUM(_xlfn._xlws.FILTER(E706:E716,(A706:A716=A706)*(E706:E716&gt;0)))),0)</f>
        <v>0</v>
      </c>
      <c r="I706" s="69" cm="1">
        <f t="array" ref="I706">IFERROR(IF(A706=A705,0,SUM(_xlfn._xlws.FILTER(E706:E716,(A706:A716=A706)*(F706&lt;0)))),0)</f>
        <v>0</v>
      </c>
      <c r="J706" s="81" t="str">
        <f ca="1">IFERROR(_xlfn.XLOOKUP(B706,[1]!TabCalc[Ticker],[1]!TabCalc[Cur]),"")</f>
        <v/>
      </c>
      <c r="K706" s="68" cm="1">
        <f t="array" ref="K706">IFERROR(IF($A706=$A705,0,SUM(_xlfn._xlws.FILTER($E706:$E716,($A706:$A716=$A706)*($J706:$J716=K$42)))),0)</f>
        <v>0</v>
      </c>
      <c r="L706" s="68" cm="1">
        <f t="array" ref="L706">IFERROR(IF($A706=$A705,0,SUM(_xlfn._xlws.FILTER($E706:$E716,($A706:$A716=$A706)*($J706:$J716=L$42)))),0)</f>
        <v>0</v>
      </c>
      <c r="M706" s="68" cm="1">
        <f t="array" ref="M706">IFERROR(IF($A706=$A705,0,SUM(_xlfn._xlws.FILTER($E706:$E716,($A706:$A716=$A706)*($J706:$J716=M$42)))),0)</f>
        <v>0</v>
      </c>
      <c r="N706" s="68" cm="1">
        <f t="array" ref="N706">IFERROR(IF($A706=$A705,0,SUM(_xlfn._xlws.FILTER($E706:$E716,($A706:$A716=$A706)*($J706:$J716=N$42)))),0)</f>
        <v>0</v>
      </c>
    </row>
    <row r="707" spans="5:14" x14ac:dyDescent="0.3">
      <c r="E707" s="67">
        <f ca="1">IFERROR(C707*D707*_xlfn.XLOOKUP(B707,[1]!TabCalc[Ticker],[1]!TabCalc[Scale]),0)</f>
        <v>0</v>
      </c>
      <c r="F707" s="68" cm="1">
        <f t="array" ref="F707">IF(A707=A706,0,SUM(_xlfn._xlws.FILTER(E707:E717,A707:A717=A707)))</f>
        <v>0</v>
      </c>
      <c r="G707" s="69">
        <f>IF(F707&lt;&gt;0,SUM($F$43:F707),0)</f>
        <v>0</v>
      </c>
      <c r="H707" s="69" cm="1">
        <f t="array" ref="H707">IFERROR(IF(A707=A706,0,SUM(_xlfn._xlws.FILTER(E707:E717,(A707:A717=A707)*(E707:E717&gt;0)))),0)</f>
        <v>0</v>
      </c>
      <c r="I707" s="69" cm="1">
        <f t="array" ref="I707">IFERROR(IF(A707=A706,0,SUM(_xlfn._xlws.FILTER(E707:E717,(A707:A717=A707)*(F707&lt;0)))),0)</f>
        <v>0</v>
      </c>
      <c r="J707" s="81" t="str">
        <f ca="1">IFERROR(_xlfn.XLOOKUP(B707,[1]!TabCalc[Ticker],[1]!TabCalc[Cur]),"")</f>
        <v/>
      </c>
      <c r="K707" s="68" cm="1">
        <f t="array" ref="K707">IFERROR(IF($A707=$A706,0,SUM(_xlfn._xlws.FILTER($E707:$E717,($A707:$A717=$A707)*($J707:$J717=K$42)))),0)</f>
        <v>0</v>
      </c>
      <c r="L707" s="68" cm="1">
        <f t="array" ref="L707">IFERROR(IF($A707=$A706,0,SUM(_xlfn._xlws.FILTER($E707:$E717,($A707:$A717=$A707)*($J707:$J717=L$42)))),0)</f>
        <v>0</v>
      </c>
      <c r="M707" s="68" cm="1">
        <f t="array" ref="M707">IFERROR(IF($A707=$A706,0,SUM(_xlfn._xlws.FILTER($E707:$E717,($A707:$A717=$A707)*($J707:$J717=M$42)))),0)</f>
        <v>0</v>
      </c>
      <c r="N707" s="68" cm="1">
        <f t="array" ref="N707">IFERROR(IF($A707=$A706,0,SUM(_xlfn._xlws.FILTER($E707:$E717,($A707:$A717=$A707)*($J707:$J717=N$42)))),0)</f>
        <v>0</v>
      </c>
    </row>
    <row r="708" spans="5:14" x14ac:dyDescent="0.3">
      <c r="E708" s="67">
        <f ca="1">IFERROR(C708*D708*_xlfn.XLOOKUP(B708,[1]!TabCalc[Ticker],[1]!TabCalc[Scale]),0)</f>
        <v>0</v>
      </c>
      <c r="F708" s="68" cm="1">
        <f t="array" ref="F708">IF(A708=A707,0,SUM(_xlfn._xlws.FILTER(E708:E718,A708:A718=A708)))</f>
        <v>0</v>
      </c>
      <c r="G708" s="69">
        <f>IF(F708&lt;&gt;0,SUM($F$43:F708),0)</f>
        <v>0</v>
      </c>
      <c r="H708" s="69" cm="1">
        <f t="array" ref="H708">IFERROR(IF(A708=A707,0,SUM(_xlfn._xlws.FILTER(E708:E718,(A708:A718=A708)*(E708:E718&gt;0)))),0)</f>
        <v>0</v>
      </c>
      <c r="I708" s="69" cm="1">
        <f t="array" ref="I708">IFERROR(IF(A708=A707,0,SUM(_xlfn._xlws.FILTER(E708:E718,(A708:A718=A708)*(F708&lt;0)))),0)</f>
        <v>0</v>
      </c>
      <c r="J708" s="81" t="str">
        <f ca="1">IFERROR(_xlfn.XLOOKUP(B708,[1]!TabCalc[Ticker],[1]!TabCalc[Cur]),"")</f>
        <v/>
      </c>
      <c r="K708" s="68" cm="1">
        <f t="array" ref="K708">IFERROR(IF($A708=$A707,0,SUM(_xlfn._xlws.FILTER($E708:$E718,($A708:$A718=$A708)*($J708:$J718=K$42)))),0)</f>
        <v>0</v>
      </c>
      <c r="L708" s="68" cm="1">
        <f t="array" ref="L708">IFERROR(IF($A708=$A707,0,SUM(_xlfn._xlws.FILTER($E708:$E718,($A708:$A718=$A708)*($J708:$J718=L$42)))),0)</f>
        <v>0</v>
      </c>
      <c r="M708" s="68" cm="1">
        <f t="array" ref="M708">IFERROR(IF($A708=$A707,0,SUM(_xlfn._xlws.FILTER($E708:$E718,($A708:$A718=$A708)*($J708:$J718=M$42)))),0)</f>
        <v>0</v>
      </c>
      <c r="N708" s="68" cm="1">
        <f t="array" ref="N708">IFERROR(IF($A708=$A707,0,SUM(_xlfn._xlws.FILTER($E708:$E718,($A708:$A718=$A708)*($J708:$J718=N$42)))),0)</f>
        <v>0</v>
      </c>
    </row>
    <row r="709" spans="5:14" x14ac:dyDescent="0.3">
      <c r="E709" s="67">
        <f ca="1">IFERROR(C709*D709*_xlfn.XLOOKUP(B709,[1]!TabCalc[Ticker],[1]!TabCalc[Scale]),0)</f>
        <v>0</v>
      </c>
      <c r="F709" s="68" cm="1">
        <f t="array" ref="F709">IF(A709=A708,0,SUM(_xlfn._xlws.FILTER(E709:E719,A709:A719=A709)))</f>
        <v>0</v>
      </c>
      <c r="G709" s="69">
        <f>IF(F709&lt;&gt;0,SUM($F$43:F709),0)</f>
        <v>0</v>
      </c>
      <c r="H709" s="69" cm="1">
        <f t="array" ref="H709">IFERROR(IF(A709=A708,0,SUM(_xlfn._xlws.FILTER(E709:E719,(A709:A719=A709)*(E709:E719&gt;0)))),0)</f>
        <v>0</v>
      </c>
      <c r="I709" s="69" cm="1">
        <f t="array" ref="I709">IFERROR(IF(A709=A708,0,SUM(_xlfn._xlws.FILTER(E709:E719,(A709:A719=A709)*(F709&lt;0)))),0)</f>
        <v>0</v>
      </c>
      <c r="J709" s="81" t="str">
        <f ca="1">IFERROR(_xlfn.XLOOKUP(B709,[1]!TabCalc[Ticker],[1]!TabCalc[Cur]),"")</f>
        <v/>
      </c>
      <c r="K709" s="68" cm="1">
        <f t="array" ref="K709">IFERROR(IF($A709=$A708,0,SUM(_xlfn._xlws.FILTER($E709:$E719,($A709:$A719=$A709)*($J709:$J719=K$42)))),0)</f>
        <v>0</v>
      </c>
      <c r="L709" s="68" cm="1">
        <f t="array" ref="L709">IFERROR(IF($A709=$A708,0,SUM(_xlfn._xlws.FILTER($E709:$E719,($A709:$A719=$A709)*($J709:$J719=L$42)))),0)</f>
        <v>0</v>
      </c>
      <c r="M709" s="68" cm="1">
        <f t="array" ref="M709">IFERROR(IF($A709=$A708,0,SUM(_xlfn._xlws.FILTER($E709:$E719,($A709:$A719=$A709)*($J709:$J719=M$42)))),0)</f>
        <v>0</v>
      </c>
      <c r="N709" s="68" cm="1">
        <f t="array" ref="N709">IFERROR(IF($A709=$A708,0,SUM(_xlfn._xlws.FILTER($E709:$E719,($A709:$A719=$A709)*($J709:$J719=N$42)))),0)</f>
        <v>0</v>
      </c>
    </row>
    <row r="710" spans="5:14" x14ac:dyDescent="0.3">
      <c r="E710" s="67">
        <f ca="1">IFERROR(C710*D710*_xlfn.XLOOKUP(B710,[1]!TabCalc[Ticker],[1]!TabCalc[Scale]),0)</f>
        <v>0</v>
      </c>
      <c r="F710" s="68" cm="1">
        <f t="array" ref="F710">IF(A710=A709,0,SUM(_xlfn._xlws.FILTER(E710:E720,A710:A720=A710)))</f>
        <v>0</v>
      </c>
      <c r="G710" s="69">
        <f>IF(F710&lt;&gt;0,SUM($F$43:F710),0)</f>
        <v>0</v>
      </c>
      <c r="H710" s="69" cm="1">
        <f t="array" ref="H710">IFERROR(IF(A710=A709,0,SUM(_xlfn._xlws.FILTER(E710:E720,(A710:A720=A710)*(E710:E720&gt;0)))),0)</f>
        <v>0</v>
      </c>
      <c r="I710" s="69" cm="1">
        <f t="array" ref="I710">IFERROR(IF(A710=A709,0,SUM(_xlfn._xlws.FILTER(E710:E720,(A710:A720=A710)*(F710&lt;0)))),0)</f>
        <v>0</v>
      </c>
      <c r="J710" s="81" t="str">
        <f ca="1">IFERROR(_xlfn.XLOOKUP(B710,[1]!TabCalc[Ticker],[1]!TabCalc[Cur]),"")</f>
        <v/>
      </c>
      <c r="K710" s="68" cm="1">
        <f t="array" ref="K710">IFERROR(IF($A710=$A709,0,SUM(_xlfn._xlws.FILTER($E710:$E720,($A710:$A720=$A710)*($J710:$J720=K$42)))),0)</f>
        <v>0</v>
      </c>
      <c r="L710" s="68" cm="1">
        <f t="array" ref="L710">IFERROR(IF($A710=$A709,0,SUM(_xlfn._xlws.FILTER($E710:$E720,($A710:$A720=$A710)*($J710:$J720=L$42)))),0)</f>
        <v>0</v>
      </c>
      <c r="M710" s="68" cm="1">
        <f t="array" ref="M710">IFERROR(IF($A710=$A709,0,SUM(_xlfn._xlws.FILTER($E710:$E720,($A710:$A720=$A710)*($J710:$J720=M$42)))),0)</f>
        <v>0</v>
      </c>
      <c r="N710" s="68" cm="1">
        <f t="array" ref="N710">IFERROR(IF($A710=$A709,0,SUM(_xlfn._xlws.FILTER($E710:$E720,($A710:$A720=$A710)*($J710:$J720=N$42)))),0)</f>
        <v>0</v>
      </c>
    </row>
    <row r="711" spans="5:14" x14ac:dyDescent="0.3">
      <c r="E711" s="67">
        <f ca="1">IFERROR(C711*D711*_xlfn.XLOOKUP(B711,[1]!TabCalc[Ticker],[1]!TabCalc[Scale]),0)</f>
        <v>0</v>
      </c>
      <c r="F711" s="68" cm="1">
        <f t="array" ref="F711">IF(A711=A710,0,SUM(_xlfn._xlws.FILTER(E711:E721,A711:A721=A711)))</f>
        <v>0</v>
      </c>
      <c r="G711" s="69">
        <f>IF(F711&lt;&gt;0,SUM($F$43:F711),0)</f>
        <v>0</v>
      </c>
      <c r="H711" s="69" cm="1">
        <f t="array" ref="H711">IFERROR(IF(A711=A710,0,SUM(_xlfn._xlws.FILTER(E711:E721,(A711:A721=A711)*(E711:E721&gt;0)))),0)</f>
        <v>0</v>
      </c>
      <c r="I711" s="69" cm="1">
        <f t="array" ref="I711">IFERROR(IF(A711=A710,0,SUM(_xlfn._xlws.FILTER(E711:E721,(A711:A721=A711)*(F711&lt;0)))),0)</f>
        <v>0</v>
      </c>
      <c r="J711" s="81" t="str">
        <f ca="1">IFERROR(_xlfn.XLOOKUP(B711,[1]!TabCalc[Ticker],[1]!TabCalc[Cur]),"")</f>
        <v/>
      </c>
      <c r="K711" s="68" cm="1">
        <f t="array" ref="K711">IFERROR(IF($A711=$A710,0,SUM(_xlfn._xlws.FILTER($E711:$E721,($A711:$A721=$A711)*($J711:$J721=K$42)))),0)</f>
        <v>0</v>
      </c>
      <c r="L711" s="68" cm="1">
        <f t="array" ref="L711">IFERROR(IF($A711=$A710,0,SUM(_xlfn._xlws.FILTER($E711:$E721,($A711:$A721=$A711)*($J711:$J721=L$42)))),0)</f>
        <v>0</v>
      </c>
      <c r="M711" s="68" cm="1">
        <f t="array" ref="M711">IFERROR(IF($A711=$A710,0,SUM(_xlfn._xlws.FILTER($E711:$E721,($A711:$A721=$A711)*($J711:$J721=M$42)))),0)</f>
        <v>0</v>
      </c>
      <c r="N711" s="68" cm="1">
        <f t="array" ref="N711">IFERROR(IF($A711=$A710,0,SUM(_xlfn._xlws.FILTER($E711:$E721,($A711:$A721=$A711)*($J711:$J721=N$42)))),0)</f>
        <v>0</v>
      </c>
    </row>
    <row r="712" spans="5:14" x14ac:dyDescent="0.3">
      <c r="E712" s="67">
        <f ca="1">IFERROR(C712*D712*_xlfn.XLOOKUP(B712,[1]!TabCalc[Ticker],[1]!TabCalc[Scale]),0)</f>
        <v>0</v>
      </c>
      <c r="F712" s="68" cm="1">
        <f t="array" ref="F712">IF(A712=A711,0,SUM(_xlfn._xlws.FILTER(E712:E722,A712:A722=A712)))</f>
        <v>0</v>
      </c>
      <c r="G712" s="69">
        <f>IF(F712&lt;&gt;0,SUM($F$43:F712),0)</f>
        <v>0</v>
      </c>
      <c r="H712" s="69" cm="1">
        <f t="array" ref="H712">IFERROR(IF(A712=A711,0,SUM(_xlfn._xlws.FILTER(E712:E722,(A712:A722=A712)*(E712:E722&gt;0)))),0)</f>
        <v>0</v>
      </c>
      <c r="I712" s="69" cm="1">
        <f t="array" ref="I712">IFERROR(IF(A712=A711,0,SUM(_xlfn._xlws.FILTER(E712:E722,(A712:A722=A712)*(F712&lt;0)))),0)</f>
        <v>0</v>
      </c>
      <c r="J712" s="81" t="str">
        <f ca="1">IFERROR(_xlfn.XLOOKUP(B712,[1]!TabCalc[Ticker],[1]!TabCalc[Cur]),"")</f>
        <v/>
      </c>
      <c r="K712" s="68" cm="1">
        <f t="array" ref="K712">IFERROR(IF($A712=$A711,0,SUM(_xlfn._xlws.FILTER($E712:$E722,($A712:$A722=$A712)*($J712:$J722=K$42)))),0)</f>
        <v>0</v>
      </c>
      <c r="L712" s="68" cm="1">
        <f t="array" ref="L712">IFERROR(IF($A712=$A711,0,SUM(_xlfn._xlws.FILTER($E712:$E722,($A712:$A722=$A712)*($J712:$J722=L$42)))),0)</f>
        <v>0</v>
      </c>
      <c r="M712" s="68" cm="1">
        <f t="array" ref="M712">IFERROR(IF($A712=$A711,0,SUM(_xlfn._xlws.FILTER($E712:$E722,($A712:$A722=$A712)*($J712:$J722=M$42)))),0)</f>
        <v>0</v>
      </c>
      <c r="N712" s="68" cm="1">
        <f t="array" ref="N712">IFERROR(IF($A712=$A711,0,SUM(_xlfn._xlws.FILTER($E712:$E722,($A712:$A722=$A712)*($J712:$J722=N$42)))),0)</f>
        <v>0</v>
      </c>
    </row>
    <row r="713" spans="5:14" x14ac:dyDescent="0.3">
      <c r="E713" s="67">
        <f ca="1">IFERROR(C713*D713*_xlfn.XLOOKUP(B713,[1]!TabCalc[Ticker],[1]!TabCalc[Scale]),0)</f>
        <v>0</v>
      </c>
      <c r="F713" s="68" cm="1">
        <f t="array" ref="F713">IF(A713=A712,0,SUM(_xlfn._xlws.FILTER(E713:E723,A713:A723=A713)))</f>
        <v>0</v>
      </c>
      <c r="G713" s="69">
        <f>IF(F713&lt;&gt;0,SUM($F$43:F713),0)</f>
        <v>0</v>
      </c>
      <c r="H713" s="69" cm="1">
        <f t="array" ref="H713">IFERROR(IF(A713=A712,0,SUM(_xlfn._xlws.FILTER(E713:E723,(A713:A723=A713)*(E713:E723&gt;0)))),0)</f>
        <v>0</v>
      </c>
      <c r="I713" s="69" cm="1">
        <f t="array" ref="I713">IFERROR(IF(A713=A712,0,SUM(_xlfn._xlws.FILTER(E713:E723,(A713:A723=A713)*(F713&lt;0)))),0)</f>
        <v>0</v>
      </c>
      <c r="J713" s="81" t="str">
        <f ca="1">IFERROR(_xlfn.XLOOKUP(B713,[1]!TabCalc[Ticker],[1]!TabCalc[Cur]),"")</f>
        <v/>
      </c>
      <c r="K713" s="68" cm="1">
        <f t="array" ref="K713">IFERROR(IF($A713=$A712,0,SUM(_xlfn._xlws.FILTER($E713:$E723,($A713:$A723=$A713)*($J713:$J723=K$42)))),0)</f>
        <v>0</v>
      </c>
      <c r="L713" s="68" cm="1">
        <f t="array" ref="L713">IFERROR(IF($A713=$A712,0,SUM(_xlfn._xlws.FILTER($E713:$E723,($A713:$A723=$A713)*($J713:$J723=L$42)))),0)</f>
        <v>0</v>
      </c>
      <c r="M713" s="68" cm="1">
        <f t="array" ref="M713">IFERROR(IF($A713=$A712,0,SUM(_xlfn._xlws.FILTER($E713:$E723,($A713:$A723=$A713)*($J713:$J723=M$42)))),0)</f>
        <v>0</v>
      </c>
      <c r="N713" s="68" cm="1">
        <f t="array" ref="N713">IFERROR(IF($A713=$A712,0,SUM(_xlfn._xlws.FILTER($E713:$E723,($A713:$A723=$A713)*($J713:$J723=N$42)))),0)</f>
        <v>0</v>
      </c>
    </row>
    <row r="714" spans="5:14" x14ac:dyDescent="0.3">
      <c r="E714" s="67">
        <f ca="1">IFERROR(C714*D714*_xlfn.XLOOKUP(B714,[1]!TabCalc[Ticker],[1]!TabCalc[Scale]),0)</f>
        <v>0</v>
      </c>
      <c r="F714" s="68" cm="1">
        <f t="array" ref="F714">IF(A714=A713,0,SUM(_xlfn._xlws.FILTER(E714:E724,A714:A724=A714)))</f>
        <v>0</v>
      </c>
      <c r="G714" s="69">
        <f>IF(F714&lt;&gt;0,SUM($F$43:F714),0)</f>
        <v>0</v>
      </c>
      <c r="H714" s="69" cm="1">
        <f t="array" ref="H714">IFERROR(IF(A714=A713,0,SUM(_xlfn._xlws.FILTER(E714:E724,(A714:A724=A714)*(E714:E724&gt;0)))),0)</f>
        <v>0</v>
      </c>
      <c r="I714" s="69" cm="1">
        <f t="array" ref="I714">IFERROR(IF(A714=A713,0,SUM(_xlfn._xlws.FILTER(E714:E724,(A714:A724=A714)*(F714&lt;0)))),0)</f>
        <v>0</v>
      </c>
      <c r="J714" s="81" t="str">
        <f ca="1">IFERROR(_xlfn.XLOOKUP(B714,[1]!TabCalc[Ticker],[1]!TabCalc[Cur]),"")</f>
        <v/>
      </c>
      <c r="K714" s="68" cm="1">
        <f t="array" ref="K714">IFERROR(IF($A714=$A713,0,SUM(_xlfn._xlws.FILTER($E714:$E724,($A714:$A724=$A714)*($J714:$J724=K$42)))),0)</f>
        <v>0</v>
      </c>
      <c r="L714" s="68" cm="1">
        <f t="array" ref="L714">IFERROR(IF($A714=$A713,0,SUM(_xlfn._xlws.FILTER($E714:$E724,($A714:$A724=$A714)*($J714:$J724=L$42)))),0)</f>
        <v>0</v>
      </c>
      <c r="M714" s="68" cm="1">
        <f t="array" ref="M714">IFERROR(IF($A714=$A713,0,SUM(_xlfn._xlws.FILTER($E714:$E724,($A714:$A724=$A714)*($J714:$J724=M$42)))),0)</f>
        <v>0</v>
      </c>
      <c r="N714" s="68" cm="1">
        <f t="array" ref="N714">IFERROR(IF($A714=$A713,0,SUM(_xlfn._xlws.FILTER($E714:$E724,($A714:$A724=$A714)*($J714:$J724=N$42)))),0)</f>
        <v>0</v>
      </c>
    </row>
    <row r="715" spans="5:14" x14ac:dyDescent="0.3">
      <c r="E715" s="67">
        <f ca="1">IFERROR(C715*D715*_xlfn.XLOOKUP(B715,[1]!TabCalc[Ticker],[1]!TabCalc[Scale]),0)</f>
        <v>0</v>
      </c>
      <c r="F715" s="68" cm="1">
        <f t="array" ref="F715">IF(A715=A714,0,SUM(_xlfn._xlws.FILTER(E715:E725,A715:A725=A715)))</f>
        <v>0</v>
      </c>
      <c r="G715" s="69">
        <f>IF(F715&lt;&gt;0,SUM($F$43:F715),0)</f>
        <v>0</v>
      </c>
      <c r="H715" s="69" cm="1">
        <f t="array" ref="H715">IFERROR(IF(A715=A714,0,SUM(_xlfn._xlws.FILTER(E715:E725,(A715:A725=A715)*(E715:E725&gt;0)))),0)</f>
        <v>0</v>
      </c>
      <c r="I715" s="69" cm="1">
        <f t="array" ref="I715">IFERROR(IF(A715=A714,0,SUM(_xlfn._xlws.FILTER(E715:E725,(A715:A725=A715)*(F715&lt;0)))),0)</f>
        <v>0</v>
      </c>
      <c r="J715" s="81" t="str">
        <f ca="1">IFERROR(_xlfn.XLOOKUP(B715,[1]!TabCalc[Ticker],[1]!TabCalc[Cur]),"")</f>
        <v/>
      </c>
      <c r="K715" s="68" cm="1">
        <f t="array" ref="K715">IFERROR(IF($A715=$A714,0,SUM(_xlfn._xlws.FILTER($E715:$E725,($A715:$A725=$A715)*($J715:$J725=K$42)))),0)</f>
        <v>0</v>
      </c>
      <c r="L715" s="68" cm="1">
        <f t="array" ref="L715">IFERROR(IF($A715=$A714,0,SUM(_xlfn._xlws.FILTER($E715:$E725,($A715:$A725=$A715)*($J715:$J725=L$42)))),0)</f>
        <v>0</v>
      </c>
      <c r="M715" s="68" cm="1">
        <f t="array" ref="M715">IFERROR(IF($A715=$A714,0,SUM(_xlfn._xlws.FILTER($E715:$E725,($A715:$A725=$A715)*($J715:$J725=M$42)))),0)</f>
        <v>0</v>
      </c>
      <c r="N715" s="68" cm="1">
        <f t="array" ref="N715">IFERROR(IF($A715=$A714,0,SUM(_xlfn._xlws.FILTER($E715:$E725,($A715:$A725=$A715)*($J715:$J725=N$42)))),0)</f>
        <v>0</v>
      </c>
    </row>
    <row r="716" spans="5:14" x14ac:dyDescent="0.3">
      <c r="E716" s="67">
        <f ca="1">IFERROR(C716*D716*_xlfn.XLOOKUP(B716,[1]!TabCalc[Ticker],[1]!TabCalc[Scale]),0)</f>
        <v>0</v>
      </c>
      <c r="F716" s="68" cm="1">
        <f t="array" ref="F716">IF(A716=A715,0,SUM(_xlfn._xlws.FILTER(E716:E726,A716:A726=A716)))</f>
        <v>0</v>
      </c>
      <c r="G716" s="69">
        <f>IF(F716&lt;&gt;0,SUM($F$43:F716),0)</f>
        <v>0</v>
      </c>
      <c r="H716" s="69" cm="1">
        <f t="array" ref="H716">IFERROR(IF(A716=A715,0,SUM(_xlfn._xlws.FILTER(E716:E726,(A716:A726=A716)*(E716:E726&gt;0)))),0)</f>
        <v>0</v>
      </c>
      <c r="I716" s="69" cm="1">
        <f t="array" ref="I716">IFERROR(IF(A716=A715,0,SUM(_xlfn._xlws.FILTER(E716:E726,(A716:A726=A716)*(F716&lt;0)))),0)</f>
        <v>0</v>
      </c>
      <c r="J716" s="81" t="str">
        <f ca="1">IFERROR(_xlfn.XLOOKUP(B716,[1]!TabCalc[Ticker],[1]!TabCalc[Cur]),"")</f>
        <v/>
      </c>
      <c r="K716" s="68" cm="1">
        <f t="array" ref="K716">IFERROR(IF($A716=$A715,0,SUM(_xlfn._xlws.FILTER($E716:$E726,($A716:$A726=$A716)*($J716:$J726=K$42)))),0)</f>
        <v>0</v>
      </c>
      <c r="L716" s="68" cm="1">
        <f t="array" ref="L716">IFERROR(IF($A716=$A715,0,SUM(_xlfn._xlws.FILTER($E716:$E726,($A716:$A726=$A716)*($J716:$J726=L$42)))),0)</f>
        <v>0</v>
      </c>
      <c r="M716" s="68" cm="1">
        <f t="array" ref="M716">IFERROR(IF($A716=$A715,0,SUM(_xlfn._xlws.FILTER($E716:$E726,($A716:$A726=$A716)*($J716:$J726=M$42)))),0)</f>
        <v>0</v>
      </c>
      <c r="N716" s="68" cm="1">
        <f t="array" ref="N716">IFERROR(IF($A716=$A715,0,SUM(_xlfn._xlws.FILTER($E716:$E726,($A716:$A726=$A716)*($J716:$J726=N$42)))),0)</f>
        <v>0</v>
      </c>
    </row>
    <row r="717" spans="5:14" x14ac:dyDescent="0.3">
      <c r="E717" s="67">
        <f ca="1">IFERROR(C717*D717*_xlfn.XLOOKUP(B717,[1]!TabCalc[Ticker],[1]!TabCalc[Scale]),0)</f>
        <v>0</v>
      </c>
      <c r="F717" s="68" cm="1">
        <f t="array" ref="F717">IF(A717=A716,0,SUM(_xlfn._xlws.FILTER(E717:E727,A717:A727=A717)))</f>
        <v>0</v>
      </c>
      <c r="G717" s="69">
        <f>IF(F717&lt;&gt;0,SUM($F$43:F717),0)</f>
        <v>0</v>
      </c>
      <c r="H717" s="69" cm="1">
        <f t="array" ref="H717">IFERROR(IF(A717=A716,0,SUM(_xlfn._xlws.FILTER(E717:E727,(A717:A727=A717)*(E717:E727&gt;0)))),0)</f>
        <v>0</v>
      </c>
      <c r="I717" s="69" cm="1">
        <f t="array" ref="I717">IFERROR(IF(A717=A716,0,SUM(_xlfn._xlws.FILTER(E717:E727,(A717:A727=A717)*(F717&lt;0)))),0)</f>
        <v>0</v>
      </c>
      <c r="J717" s="81" t="str">
        <f ca="1">IFERROR(_xlfn.XLOOKUP(B717,[1]!TabCalc[Ticker],[1]!TabCalc[Cur]),"")</f>
        <v/>
      </c>
      <c r="K717" s="68" cm="1">
        <f t="array" ref="K717">IFERROR(IF($A717=$A716,0,SUM(_xlfn._xlws.FILTER($E717:$E727,($A717:$A727=$A717)*($J717:$J727=K$42)))),0)</f>
        <v>0</v>
      </c>
      <c r="L717" s="68" cm="1">
        <f t="array" ref="L717">IFERROR(IF($A717=$A716,0,SUM(_xlfn._xlws.FILTER($E717:$E727,($A717:$A727=$A717)*($J717:$J727=L$42)))),0)</f>
        <v>0</v>
      </c>
      <c r="M717" s="68" cm="1">
        <f t="array" ref="M717">IFERROR(IF($A717=$A716,0,SUM(_xlfn._xlws.FILTER($E717:$E727,($A717:$A727=$A717)*($J717:$J727=M$42)))),0)</f>
        <v>0</v>
      </c>
      <c r="N717" s="68" cm="1">
        <f t="array" ref="N717">IFERROR(IF($A717=$A716,0,SUM(_xlfn._xlws.FILTER($E717:$E727,($A717:$A727=$A717)*($J717:$J727=N$42)))),0)</f>
        <v>0</v>
      </c>
    </row>
    <row r="718" spans="5:14" x14ac:dyDescent="0.3">
      <c r="E718" s="67">
        <f ca="1">IFERROR(C718*D718*_xlfn.XLOOKUP(B718,[1]!TabCalc[Ticker],[1]!TabCalc[Scale]),0)</f>
        <v>0</v>
      </c>
      <c r="F718" s="68" cm="1">
        <f t="array" ref="F718">IF(A718=A717,0,SUM(_xlfn._xlws.FILTER(E718:E728,A718:A728=A718)))</f>
        <v>0</v>
      </c>
      <c r="G718" s="69">
        <f>IF(F718&lt;&gt;0,SUM($F$43:F718),0)</f>
        <v>0</v>
      </c>
      <c r="H718" s="69" cm="1">
        <f t="array" ref="H718">IFERROR(IF(A718=A717,0,SUM(_xlfn._xlws.FILTER(E718:E728,(A718:A728=A718)*(E718:E728&gt;0)))),0)</f>
        <v>0</v>
      </c>
      <c r="I718" s="69" cm="1">
        <f t="array" ref="I718">IFERROR(IF(A718=A717,0,SUM(_xlfn._xlws.FILTER(E718:E728,(A718:A728=A718)*(F718&lt;0)))),0)</f>
        <v>0</v>
      </c>
      <c r="J718" s="81" t="str">
        <f ca="1">IFERROR(_xlfn.XLOOKUP(B718,[1]!TabCalc[Ticker],[1]!TabCalc[Cur]),"")</f>
        <v/>
      </c>
      <c r="K718" s="68" cm="1">
        <f t="array" ref="K718">IFERROR(IF($A718=$A717,0,SUM(_xlfn._xlws.FILTER($E718:$E728,($A718:$A728=$A718)*($J718:$J728=K$42)))),0)</f>
        <v>0</v>
      </c>
      <c r="L718" s="68" cm="1">
        <f t="array" ref="L718">IFERROR(IF($A718=$A717,0,SUM(_xlfn._xlws.FILTER($E718:$E728,($A718:$A728=$A718)*($J718:$J728=L$42)))),0)</f>
        <v>0</v>
      </c>
      <c r="M718" s="68" cm="1">
        <f t="array" ref="M718">IFERROR(IF($A718=$A717,0,SUM(_xlfn._xlws.FILTER($E718:$E728,($A718:$A728=$A718)*($J718:$J728=M$42)))),0)</f>
        <v>0</v>
      </c>
      <c r="N718" s="68" cm="1">
        <f t="array" ref="N718">IFERROR(IF($A718=$A717,0,SUM(_xlfn._xlws.FILTER($E718:$E728,($A718:$A728=$A718)*($J718:$J728=N$42)))),0)</f>
        <v>0</v>
      </c>
    </row>
    <row r="719" spans="5:14" x14ac:dyDescent="0.3">
      <c r="E719" s="67">
        <f ca="1">IFERROR(C719*D719*_xlfn.XLOOKUP(B719,[1]!TabCalc[Ticker],[1]!TabCalc[Scale]),0)</f>
        <v>0</v>
      </c>
      <c r="F719" s="68" cm="1">
        <f t="array" ref="F719">IF(A719=A718,0,SUM(_xlfn._xlws.FILTER(E719:E729,A719:A729=A719)))</f>
        <v>0</v>
      </c>
      <c r="G719" s="69">
        <f>IF(F719&lt;&gt;0,SUM($F$43:F719),0)</f>
        <v>0</v>
      </c>
      <c r="H719" s="69" cm="1">
        <f t="array" ref="H719">IFERROR(IF(A719=A718,0,SUM(_xlfn._xlws.FILTER(E719:E729,(A719:A729=A719)*(E719:E729&gt;0)))),0)</f>
        <v>0</v>
      </c>
      <c r="I719" s="69" cm="1">
        <f t="array" ref="I719">IFERROR(IF(A719=A718,0,SUM(_xlfn._xlws.FILTER(E719:E729,(A719:A729=A719)*(F719&lt;0)))),0)</f>
        <v>0</v>
      </c>
      <c r="J719" s="81" t="str">
        <f ca="1">IFERROR(_xlfn.XLOOKUP(B719,[1]!TabCalc[Ticker],[1]!TabCalc[Cur]),"")</f>
        <v/>
      </c>
      <c r="K719" s="68" cm="1">
        <f t="array" ref="K719">IFERROR(IF($A719=$A718,0,SUM(_xlfn._xlws.FILTER($E719:$E729,($A719:$A729=$A719)*($J719:$J729=K$42)))),0)</f>
        <v>0</v>
      </c>
      <c r="L719" s="68" cm="1">
        <f t="array" ref="L719">IFERROR(IF($A719=$A718,0,SUM(_xlfn._xlws.FILTER($E719:$E729,($A719:$A729=$A719)*($J719:$J729=L$42)))),0)</f>
        <v>0</v>
      </c>
      <c r="M719" s="68" cm="1">
        <f t="array" ref="M719">IFERROR(IF($A719=$A718,0,SUM(_xlfn._xlws.FILTER($E719:$E729,($A719:$A729=$A719)*($J719:$J729=M$42)))),0)</f>
        <v>0</v>
      </c>
      <c r="N719" s="68" cm="1">
        <f t="array" ref="N719">IFERROR(IF($A719=$A718,0,SUM(_xlfn._xlws.FILTER($E719:$E729,($A719:$A729=$A719)*($J719:$J729=N$42)))),0)</f>
        <v>0</v>
      </c>
    </row>
    <row r="720" spans="5:14" x14ac:dyDescent="0.3">
      <c r="E720" s="67">
        <f ca="1">IFERROR(C720*D720*_xlfn.XLOOKUP(B720,[1]!TabCalc[Ticker],[1]!TabCalc[Scale]),0)</f>
        <v>0</v>
      </c>
      <c r="F720" s="68" cm="1">
        <f t="array" ref="F720">IF(A720=A719,0,SUM(_xlfn._xlws.FILTER(E720:E730,A720:A730=A720)))</f>
        <v>0</v>
      </c>
      <c r="G720" s="69">
        <f>IF(F720&lt;&gt;0,SUM($F$43:F720),0)</f>
        <v>0</v>
      </c>
      <c r="H720" s="69" cm="1">
        <f t="array" ref="H720">IFERROR(IF(A720=A719,0,SUM(_xlfn._xlws.FILTER(E720:E730,(A720:A730=A720)*(E720:E730&gt;0)))),0)</f>
        <v>0</v>
      </c>
      <c r="I720" s="69" cm="1">
        <f t="array" ref="I720">IFERROR(IF(A720=A719,0,SUM(_xlfn._xlws.FILTER(E720:E730,(A720:A730=A720)*(F720&lt;0)))),0)</f>
        <v>0</v>
      </c>
      <c r="J720" s="81" t="str">
        <f ca="1">IFERROR(_xlfn.XLOOKUP(B720,[1]!TabCalc[Ticker],[1]!TabCalc[Cur]),"")</f>
        <v/>
      </c>
      <c r="K720" s="68" cm="1">
        <f t="array" ref="K720">IFERROR(IF($A720=$A719,0,SUM(_xlfn._xlws.FILTER($E720:$E730,($A720:$A730=$A720)*($J720:$J730=K$42)))),0)</f>
        <v>0</v>
      </c>
      <c r="L720" s="68" cm="1">
        <f t="array" ref="L720">IFERROR(IF($A720=$A719,0,SUM(_xlfn._xlws.FILTER($E720:$E730,($A720:$A730=$A720)*($J720:$J730=L$42)))),0)</f>
        <v>0</v>
      </c>
      <c r="M720" s="68" cm="1">
        <f t="array" ref="M720">IFERROR(IF($A720=$A719,0,SUM(_xlfn._xlws.FILTER($E720:$E730,($A720:$A730=$A720)*($J720:$J730=M$42)))),0)</f>
        <v>0</v>
      </c>
      <c r="N720" s="68" cm="1">
        <f t="array" ref="N720">IFERROR(IF($A720=$A719,0,SUM(_xlfn._xlws.FILTER($E720:$E730,($A720:$A730=$A720)*($J720:$J730=N$42)))),0)</f>
        <v>0</v>
      </c>
    </row>
    <row r="721" spans="5:14" x14ac:dyDescent="0.3">
      <c r="E721" s="67">
        <f ca="1">IFERROR(C721*D721*_xlfn.XLOOKUP(B721,[1]!TabCalc[Ticker],[1]!TabCalc[Scale]),0)</f>
        <v>0</v>
      </c>
      <c r="F721" s="68" cm="1">
        <f t="array" ref="F721">IF(A721=A720,0,SUM(_xlfn._xlws.FILTER(E721:E731,A721:A731=A721)))</f>
        <v>0</v>
      </c>
      <c r="G721" s="69">
        <f>IF(F721&lt;&gt;0,SUM($F$43:F721),0)</f>
        <v>0</v>
      </c>
      <c r="H721" s="69" cm="1">
        <f t="array" ref="H721">IFERROR(IF(A721=A720,0,SUM(_xlfn._xlws.FILTER(E721:E731,(A721:A731=A721)*(E721:E731&gt;0)))),0)</f>
        <v>0</v>
      </c>
      <c r="I721" s="69" cm="1">
        <f t="array" ref="I721">IFERROR(IF(A721=A720,0,SUM(_xlfn._xlws.FILTER(E721:E731,(A721:A731=A721)*(F721&lt;0)))),0)</f>
        <v>0</v>
      </c>
      <c r="J721" s="81" t="str">
        <f ca="1">IFERROR(_xlfn.XLOOKUP(B721,[1]!TabCalc[Ticker],[1]!TabCalc[Cur]),"")</f>
        <v/>
      </c>
      <c r="K721" s="68" cm="1">
        <f t="array" ref="K721">IFERROR(IF($A721=$A720,0,SUM(_xlfn._xlws.FILTER($E721:$E731,($A721:$A731=$A721)*($J721:$J731=K$42)))),0)</f>
        <v>0</v>
      </c>
      <c r="L721" s="68" cm="1">
        <f t="array" ref="L721">IFERROR(IF($A721=$A720,0,SUM(_xlfn._xlws.FILTER($E721:$E731,($A721:$A731=$A721)*($J721:$J731=L$42)))),0)</f>
        <v>0</v>
      </c>
      <c r="M721" s="68" cm="1">
        <f t="array" ref="M721">IFERROR(IF($A721=$A720,0,SUM(_xlfn._xlws.FILTER($E721:$E731,($A721:$A731=$A721)*($J721:$J731=M$42)))),0)</f>
        <v>0</v>
      </c>
      <c r="N721" s="68" cm="1">
        <f t="array" ref="N721">IFERROR(IF($A721=$A720,0,SUM(_xlfn._xlws.FILTER($E721:$E731,($A721:$A731=$A721)*($J721:$J731=N$42)))),0)</f>
        <v>0</v>
      </c>
    </row>
    <row r="722" spans="5:14" x14ac:dyDescent="0.3">
      <c r="E722" s="67">
        <f ca="1">IFERROR(C722*D722*_xlfn.XLOOKUP(B722,[1]!TabCalc[Ticker],[1]!TabCalc[Scale]),0)</f>
        <v>0</v>
      </c>
      <c r="F722" s="68" cm="1">
        <f t="array" ref="F722">IF(A722=A721,0,SUM(_xlfn._xlws.FILTER(E722:E732,A722:A732=A722)))</f>
        <v>0</v>
      </c>
      <c r="G722" s="69">
        <f>IF(F722&lt;&gt;0,SUM($F$43:F722),0)</f>
        <v>0</v>
      </c>
      <c r="H722" s="69" cm="1">
        <f t="array" ref="H722">IFERROR(IF(A722=A721,0,SUM(_xlfn._xlws.FILTER(E722:E732,(A722:A732=A722)*(E722:E732&gt;0)))),0)</f>
        <v>0</v>
      </c>
      <c r="I722" s="69" cm="1">
        <f t="array" ref="I722">IFERROR(IF(A722=A721,0,SUM(_xlfn._xlws.FILTER(E722:E732,(A722:A732=A722)*(F722&lt;0)))),0)</f>
        <v>0</v>
      </c>
      <c r="J722" s="81" t="str">
        <f ca="1">IFERROR(_xlfn.XLOOKUP(B722,[1]!TabCalc[Ticker],[1]!TabCalc[Cur]),"")</f>
        <v/>
      </c>
      <c r="K722" s="68" cm="1">
        <f t="array" ref="K722">IFERROR(IF($A722=$A721,0,SUM(_xlfn._xlws.FILTER($E722:$E732,($A722:$A732=$A722)*($J722:$J732=K$42)))),0)</f>
        <v>0</v>
      </c>
      <c r="L722" s="68" cm="1">
        <f t="array" ref="L722">IFERROR(IF($A722=$A721,0,SUM(_xlfn._xlws.FILTER($E722:$E732,($A722:$A732=$A722)*($J722:$J732=L$42)))),0)</f>
        <v>0</v>
      </c>
      <c r="M722" s="68" cm="1">
        <f t="array" ref="M722">IFERROR(IF($A722=$A721,0,SUM(_xlfn._xlws.FILTER($E722:$E732,($A722:$A732=$A722)*($J722:$J732=M$42)))),0)</f>
        <v>0</v>
      </c>
      <c r="N722" s="68" cm="1">
        <f t="array" ref="N722">IFERROR(IF($A722=$A721,0,SUM(_xlfn._xlws.FILTER($E722:$E732,($A722:$A732=$A722)*($J722:$J732=N$42)))),0)</f>
        <v>0</v>
      </c>
    </row>
    <row r="723" spans="5:14" x14ac:dyDescent="0.3">
      <c r="E723" s="67">
        <f ca="1">IFERROR(C723*D723*_xlfn.XLOOKUP(B723,[1]!TabCalc[Ticker],[1]!TabCalc[Scale]),0)</f>
        <v>0</v>
      </c>
      <c r="F723" s="68" cm="1">
        <f t="array" ref="F723">IF(A723=A722,0,SUM(_xlfn._xlws.FILTER(E723:E733,A723:A733=A723)))</f>
        <v>0</v>
      </c>
      <c r="G723" s="69">
        <f>IF(F723&lt;&gt;0,SUM($F$43:F723),0)</f>
        <v>0</v>
      </c>
      <c r="H723" s="69" cm="1">
        <f t="array" ref="H723">IFERROR(IF(A723=A722,0,SUM(_xlfn._xlws.FILTER(E723:E733,(A723:A733=A723)*(E723:E733&gt;0)))),0)</f>
        <v>0</v>
      </c>
      <c r="I723" s="69" cm="1">
        <f t="array" ref="I723">IFERROR(IF(A723=A722,0,SUM(_xlfn._xlws.FILTER(E723:E733,(A723:A733=A723)*(F723&lt;0)))),0)</f>
        <v>0</v>
      </c>
      <c r="J723" s="81" t="str">
        <f ca="1">IFERROR(_xlfn.XLOOKUP(B723,[1]!TabCalc[Ticker],[1]!TabCalc[Cur]),"")</f>
        <v/>
      </c>
      <c r="K723" s="68" cm="1">
        <f t="array" ref="K723">IFERROR(IF($A723=$A722,0,SUM(_xlfn._xlws.FILTER($E723:$E733,($A723:$A733=$A723)*($J723:$J733=K$42)))),0)</f>
        <v>0</v>
      </c>
      <c r="L723" s="68" cm="1">
        <f t="array" ref="L723">IFERROR(IF($A723=$A722,0,SUM(_xlfn._xlws.FILTER($E723:$E733,($A723:$A733=$A723)*($J723:$J733=L$42)))),0)</f>
        <v>0</v>
      </c>
      <c r="M723" s="68" cm="1">
        <f t="array" ref="M723">IFERROR(IF($A723=$A722,0,SUM(_xlfn._xlws.FILTER($E723:$E733,($A723:$A733=$A723)*($J723:$J733=M$42)))),0)</f>
        <v>0</v>
      </c>
      <c r="N723" s="68" cm="1">
        <f t="array" ref="N723">IFERROR(IF($A723=$A722,0,SUM(_xlfn._xlws.FILTER($E723:$E733,($A723:$A733=$A723)*($J723:$J733=N$42)))),0)</f>
        <v>0</v>
      </c>
    </row>
    <row r="724" spans="5:14" x14ac:dyDescent="0.3">
      <c r="E724" s="67">
        <f ca="1">IFERROR(C724*D724*_xlfn.XLOOKUP(B724,[1]!TabCalc[Ticker],[1]!TabCalc[Scale]),0)</f>
        <v>0</v>
      </c>
      <c r="F724" s="68" cm="1">
        <f t="array" ref="F724">IF(A724=A723,0,SUM(_xlfn._xlws.FILTER(E724:E734,A724:A734=A724)))</f>
        <v>0</v>
      </c>
      <c r="G724" s="69">
        <f>IF(F724&lt;&gt;0,SUM($F$43:F724),0)</f>
        <v>0</v>
      </c>
      <c r="H724" s="69" cm="1">
        <f t="array" ref="H724">IFERROR(IF(A724=A723,0,SUM(_xlfn._xlws.FILTER(E724:E734,(A724:A734=A724)*(E724:E734&gt;0)))),0)</f>
        <v>0</v>
      </c>
      <c r="I724" s="69" cm="1">
        <f t="array" ref="I724">IFERROR(IF(A724=A723,0,SUM(_xlfn._xlws.FILTER(E724:E734,(A724:A734=A724)*(F724&lt;0)))),0)</f>
        <v>0</v>
      </c>
      <c r="J724" s="81" t="str">
        <f ca="1">IFERROR(_xlfn.XLOOKUP(B724,[1]!TabCalc[Ticker],[1]!TabCalc[Cur]),"")</f>
        <v/>
      </c>
      <c r="K724" s="68" cm="1">
        <f t="array" ref="K724">IFERROR(IF($A724=$A723,0,SUM(_xlfn._xlws.FILTER($E724:$E734,($A724:$A734=$A724)*($J724:$J734=K$42)))),0)</f>
        <v>0</v>
      </c>
      <c r="L724" s="68" cm="1">
        <f t="array" ref="L724">IFERROR(IF($A724=$A723,0,SUM(_xlfn._xlws.FILTER($E724:$E734,($A724:$A734=$A724)*($J724:$J734=L$42)))),0)</f>
        <v>0</v>
      </c>
      <c r="M724" s="68" cm="1">
        <f t="array" ref="M724">IFERROR(IF($A724=$A723,0,SUM(_xlfn._xlws.FILTER($E724:$E734,($A724:$A734=$A724)*($J724:$J734=M$42)))),0)</f>
        <v>0</v>
      </c>
      <c r="N724" s="68" cm="1">
        <f t="array" ref="N724">IFERROR(IF($A724=$A723,0,SUM(_xlfn._xlws.FILTER($E724:$E734,($A724:$A734=$A724)*($J724:$J734=N$42)))),0)</f>
        <v>0</v>
      </c>
    </row>
    <row r="725" spans="5:14" x14ac:dyDescent="0.3">
      <c r="E725" s="67">
        <f ca="1">IFERROR(C725*D725*_xlfn.XLOOKUP(B725,[1]!TabCalc[Ticker],[1]!TabCalc[Scale]),0)</f>
        <v>0</v>
      </c>
      <c r="F725" s="68" cm="1">
        <f t="array" ref="F725">IF(A725=A724,0,SUM(_xlfn._xlws.FILTER(E725:E735,A725:A735=A725)))</f>
        <v>0</v>
      </c>
      <c r="G725" s="69">
        <f>IF(F725&lt;&gt;0,SUM($F$43:F725),0)</f>
        <v>0</v>
      </c>
      <c r="H725" s="69" cm="1">
        <f t="array" ref="H725">IFERROR(IF(A725=A724,0,SUM(_xlfn._xlws.FILTER(E725:E735,(A725:A735=A725)*(E725:E735&gt;0)))),0)</f>
        <v>0</v>
      </c>
      <c r="I725" s="69" cm="1">
        <f t="array" ref="I725">IFERROR(IF(A725=A724,0,SUM(_xlfn._xlws.FILTER(E725:E735,(A725:A735=A725)*(F725&lt;0)))),0)</f>
        <v>0</v>
      </c>
      <c r="J725" s="81" t="str">
        <f ca="1">IFERROR(_xlfn.XLOOKUP(B725,[1]!TabCalc[Ticker],[1]!TabCalc[Cur]),"")</f>
        <v/>
      </c>
      <c r="K725" s="68" cm="1">
        <f t="array" ref="K725">IFERROR(IF($A725=$A724,0,SUM(_xlfn._xlws.FILTER($E725:$E735,($A725:$A735=$A725)*($J725:$J735=K$42)))),0)</f>
        <v>0</v>
      </c>
      <c r="L725" s="68" cm="1">
        <f t="array" ref="L725">IFERROR(IF($A725=$A724,0,SUM(_xlfn._xlws.FILTER($E725:$E735,($A725:$A735=$A725)*($J725:$J735=L$42)))),0)</f>
        <v>0</v>
      </c>
      <c r="M725" s="68" cm="1">
        <f t="array" ref="M725">IFERROR(IF($A725=$A724,0,SUM(_xlfn._xlws.FILTER($E725:$E735,($A725:$A735=$A725)*($J725:$J735=M$42)))),0)</f>
        <v>0</v>
      </c>
      <c r="N725" s="68" cm="1">
        <f t="array" ref="N725">IFERROR(IF($A725=$A724,0,SUM(_xlfn._xlws.FILTER($E725:$E735,($A725:$A735=$A725)*($J725:$J735=N$42)))),0)</f>
        <v>0</v>
      </c>
    </row>
    <row r="726" spans="5:14" x14ac:dyDescent="0.3">
      <c r="E726" s="67">
        <f ca="1">IFERROR(C726*D726*_xlfn.XLOOKUP(B726,[1]!TabCalc[Ticker],[1]!TabCalc[Scale]),0)</f>
        <v>0</v>
      </c>
      <c r="F726" s="68" cm="1">
        <f t="array" ref="F726">IF(A726=A725,0,SUM(_xlfn._xlws.FILTER(E726:E736,A726:A736=A726)))</f>
        <v>0</v>
      </c>
      <c r="G726" s="69">
        <f>IF(F726&lt;&gt;0,SUM($F$43:F726),0)</f>
        <v>0</v>
      </c>
      <c r="H726" s="69" cm="1">
        <f t="array" ref="H726">IFERROR(IF(A726=A725,0,SUM(_xlfn._xlws.FILTER(E726:E736,(A726:A736=A726)*(E726:E736&gt;0)))),0)</f>
        <v>0</v>
      </c>
      <c r="I726" s="69" cm="1">
        <f t="array" ref="I726">IFERROR(IF(A726=A725,0,SUM(_xlfn._xlws.FILTER(E726:E736,(A726:A736=A726)*(F726&lt;0)))),0)</f>
        <v>0</v>
      </c>
      <c r="J726" s="81" t="str">
        <f ca="1">IFERROR(_xlfn.XLOOKUP(B726,[1]!TabCalc[Ticker],[1]!TabCalc[Cur]),"")</f>
        <v/>
      </c>
      <c r="K726" s="68" cm="1">
        <f t="array" ref="K726">IFERROR(IF($A726=$A725,0,SUM(_xlfn._xlws.FILTER($E726:$E736,($A726:$A736=$A726)*($J726:$J736=K$42)))),0)</f>
        <v>0</v>
      </c>
      <c r="L726" s="68" cm="1">
        <f t="array" ref="L726">IFERROR(IF($A726=$A725,0,SUM(_xlfn._xlws.FILTER($E726:$E736,($A726:$A736=$A726)*($J726:$J736=L$42)))),0)</f>
        <v>0</v>
      </c>
      <c r="M726" s="68" cm="1">
        <f t="array" ref="M726">IFERROR(IF($A726=$A725,0,SUM(_xlfn._xlws.FILTER($E726:$E736,($A726:$A736=$A726)*($J726:$J736=M$42)))),0)</f>
        <v>0</v>
      </c>
      <c r="N726" s="68" cm="1">
        <f t="array" ref="N726">IFERROR(IF($A726=$A725,0,SUM(_xlfn._xlws.FILTER($E726:$E736,($A726:$A736=$A726)*($J726:$J736=N$42)))),0)</f>
        <v>0</v>
      </c>
    </row>
    <row r="727" spans="5:14" x14ac:dyDescent="0.3">
      <c r="E727" s="67">
        <f ca="1">IFERROR(C727*D727*_xlfn.XLOOKUP(B727,[1]!TabCalc[Ticker],[1]!TabCalc[Scale]),0)</f>
        <v>0</v>
      </c>
      <c r="F727" s="68" cm="1">
        <f t="array" ref="F727">IF(A727=A726,0,SUM(_xlfn._xlws.FILTER(E727:E737,A727:A737=A727)))</f>
        <v>0</v>
      </c>
      <c r="G727" s="69">
        <f>IF(F727&lt;&gt;0,SUM($F$43:F727),0)</f>
        <v>0</v>
      </c>
      <c r="H727" s="69" cm="1">
        <f t="array" ref="H727">IFERROR(IF(A727=A726,0,SUM(_xlfn._xlws.FILTER(E727:E737,(A727:A737=A727)*(E727:E737&gt;0)))),0)</f>
        <v>0</v>
      </c>
      <c r="I727" s="69" cm="1">
        <f t="array" ref="I727">IFERROR(IF(A727=A726,0,SUM(_xlfn._xlws.FILTER(E727:E737,(A727:A737=A727)*(F727&lt;0)))),0)</f>
        <v>0</v>
      </c>
      <c r="J727" s="81" t="str">
        <f ca="1">IFERROR(_xlfn.XLOOKUP(B727,[1]!TabCalc[Ticker],[1]!TabCalc[Cur]),"")</f>
        <v/>
      </c>
      <c r="K727" s="68" cm="1">
        <f t="array" ref="K727">IFERROR(IF($A727=$A726,0,SUM(_xlfn._xlws.FILTER($E727:$E737,($A727:$A737=$A727)*($J727:$J737=K$42)))),0)</f>
        <v>0</v>
      </c>
      <c r="L727" s="68" cm="1">
        <f t="array" ref="L727">IFERROR(IF($A727=$A726,0,SUM(_xlfn._xlws.FILTER($E727:$E737,($A727:$A737=$A727)*($J727:$J737=L$42)))),0)</f>
        <v>0</v>
      </c>
      <c r="M727" s="68" cm="1">
        <f t="array" ref="M727">IFERROR(IF($A727=$A726,0,SUM(_xlfn._xlws.FILTER($E727:$E737,($A727:$A737=$A727)*($J727:$J737=M$42)))),0)</f>
        <v>0</v>
      </c>
      <c r="N727" s="68" cm="1">
        <f t="array" ref="N727">IFERROR(IF($A727=$A726,0,SUM(_xlfn._xlws.FILTER($E727:$E737,($A727:$A737=$A727)*($J727:$J737=N$42)))),0)</f>
        <v>0</v>
      </c>
    </row>
    <row r="728" spans="5:14" x14ac:dyDescent="0.3">
      <c r="E728" s="67">
        <f ca="1">IFERROR(C728*D728*_xlfn.XLOOKUP(B728,[1]!TabCalc[Ticker],[1]!TabCalc[Scale]),0)</f>
        <v>0</v>
      </c>
      <c r="F728" s="68" cm="1">
        <f t="array" ref="F728">IF(A728=A727,0,SUM(_xlfn._xlws.FILTER(E728:E738,A728:A738=A728)))</f>
        <v>0</v>
      </c>
      <c r="G728" s="69">
        <f>IF(F728&lt;&gt;0,SUM($F$43:F728),0)</f>
        <v>0</v>
      </c>
      <c r="H728" s="69" cm="1">
        <f t="array" ref="H728">IFERROR(IF(A728=A727,0,SUM(_xlfn._xlws.FILTER(E728:E738,(A728:A738=A728)*(E728:E738&gt;0)))),0)</f>
        <v>0</v>
      </c>
      <c r="I728" s="69" cm="1">
        <f t="array" ref="I728">IFERROR(IF(A728=A727,0,SUM(_xlfn._xlws.FILTER(E728:E738,(A728:A738=A728)*(F728&lt;0)))),0)</f>
        <v>0</v>
      </c>
      <c r="J728" s="81" t="str">
        <f ca="1">IFERROR(_xlfn.XLOOKUP(B728,[1]!TabCalc[Ticker],[1]!TabCalc[Cur]),"")</f>
        <v/>
      </c>
      <c r="K728" s="68" cm="1">
        <f t="array" ref="K728">IFERROR(IF($A728=$A727,0,SUM(_xlfn._xlws.FILTER($E728:$E738,($A728:$A738=$A728)*($J728:$J738=K$42)))),0)</f>
        <v>0</v>
      </c>
      <c r="L728" s="68" cm="1">
        <f t="array" ref="L728">IFERROR(IF($A728=$A727,0,SUM(_xlfn._xlws.FILTER($E728:$E738,($A728:$A738=$A728)*($J728:$J738=L$42)))),0)</f>
        <v>0</v>
      </c>
      <c r="M728" s="68" cm="1">
        <f t="array" ref="M728">IFERROR(IF($A728=$A727,0,SUM(_xlfn._xlws.FILTER($E728:$E738,($A728:$A738=$A728)*($J728:$J738=M$42)))),0)</f>
        <v>0</v>
      </c>
      <c r="N728" s="68" cm="1">
        <f t="array" ref="N728">IFERROR(IF($A728=$A727,0,SUM(_xlfn._xlws.FILTER($E728:$E738,($A728:$A738=$A728)*($J728:$J738=N$42)))),0)</f>
        <v>0</v>
      </c>
    </row>
    <row r="729" spans="5:14" x14ac:dyDescent="0.3">
      <c r="E729" s="67">
        <f ca="1">IFERROR(C729*D729*_xlfn.XLOOKUP(B729,[1]!TabCalc[Ticker],[1]!TabCalc[Scale]),0)</f>
        <v>0</v>
      </c>
      <c r="F729" s="68" cm="1">
        <f t="array" ref="F729">IF(A729=A728,0,SUM(_xlfn._xlws.FILTER(E729:E739,A729:A739=A729)))</f>
        <v>0</v>
      </c>
      <c r="G729" s="69">
        <f>IF(F729&lt;&gt;0,SUM($F$43:F729),0)</f>
        <v>0</v>
      </c>
      <c r="H729" s="69" cm="1">
        <f t="array" ref="H729">IFERROR(IF(A729=A728,0,SUM(_xlfn._xlws.FILTER(E729:E739,(A729:A739=A729)*(E729:E739&gt;0)))),0)</f>
        <v>0</v>
      </c>
      <c r="I729" s="69" cm="1">
        <f t="array" ref="I729">IFERROR(IF(A729=A728,0,SUM(_xlfn._xlws.FILTER(E729:E739,(A729:A739=A729)*(F729&lt;0)))),0)</f>
        <v>0</v>
      </c>
      <c r="J729" s="81" t="str">
        <f ca="1">IFERROR(_xlfn.XLOOKUP(B729,[1]!TabCalc[Ticker],[1]!TabCalc[Cur]),"")</f>
        <v/>
      </c>
      <c r="K729" s="68" cm="1">
        <f t="array" ref="K729">IFERROR(IF($A729=$A728,0,SUM(_xlfn._xlws.FILTER($E729:$E739,($A729:$A739=$A729)*($J729:$J739=K$42)))),0)</f>
        <v>0</v>
      </c>
      <c r="L729" s="68" cm="1">
        <f t="array" ref="L729">IFERROR(IF($A729=$A728,0,SUM(_xlfn._xlws.FILTER($E729:$E739,($A729:$A739=$A729)*($J729:$J739=L$42)))),0)</f>
        <v>0</v>
      </c>
      <c r="M729" s="68" cm="1">
        <f t="array" ref="M729">IFERROR(IF($A729=$A728,0,SUM(_xlfn._xlws.FILTER($E729:$E739,($A729:$A739=$A729)*($J729:$J739=M$42)))),0)</f>
        <v>0</v>
      </c>
      <c r="N729" s="68" cm="1">
        <f t="array" ref="N729">IFERROR(IF($A729=$A728,0,SUM(_xlfn._xlws.FILTER($E729:$E739,($A729:$A739=$A729)*($J729:$J739=N$42)))),0)</f>
        <v>0</v>
      </c>
    </row>
    <row r="730" spans="5:14" x14ac:dyDescent="0.3">
      <c r="E730" s="67">
        <f ca="1">IFERROR(C730*D730*_xlfn.XLOOKUP(B730,[1]!TabCalc[Ticker],[1]!TabCalc[Scale]),0)</f>
        <v>0</v>
      </c>
      <c r="F730" s="68" cm="1">
        <f t="array" ref="F730">IF(A730=A729,0,SUM(_xlfn._xlws.FILTER(E730:E740,A730:A740=A730)))</f>
        <v>0</v>
      </c>
      <c r="G730" s="69">
        <f>IF(F730&lt;&gt;0,SUM($F$43:F730),0)</f>
        <v>0</v>
      </c>
      <c r="H730" s="69" cm="1">
        <f t="array" ref="H730">IFERROR(IF(A730=A729,0,SUM(_xlfn._xlws.FILTER(E730:E740,(A730:A740=A730)*(E730:E740&gt;0)))),0)</f>
        <v>0</v>
      </c>
      <c r="I730" s="69" cm="1">
        <f t="array" ref="I730">IFERROR(IF(A730=A729,0,SUM(_xlfn._xlws.FILTER(E730:E740,(A730:A740=A730)*(F730&lt;0)))),0)</f>
        <v>0</v>
      </c>
      <c r="J730" s="81" t="str">
        <f ca="1">IFERROR(_xlfn.XLOOKUP(B730,[1]!TabCalc[Ticker],[1]!TabCalc[Cur]),"")</f>
        <v/>
      </c>
      <c r="K730" s="68" cm="1">
        <f t="array" ref="K730">IFERROR(IF($A730=$A729,0,SUM(_xlfn._xlws.FILTER($E730:$E740,($A730:$A740=$A730)*($J730:$J740=K$42)))),0)</f>
        <v>0</v>
      </c>
      <c r="L730" s="68" cm="1">
        <f t="array" ref="L730">IFERROR(IF($A730=$A729,0,SUM(_xlfn._xlws.FILTER($E730:$E740,($A730:$A740=$A730)*($J730:$J740=L$42)))),0)</f>
        <v>0</v>
      </c>
      <c r="M730" s="68" cm="1">
        <f t="array" ref="M730">IFERROR(IF($A730=$A729,0,SUM(_xlfn._xlws.FILTER($E730:$E740,($A730:$A740=$A730)*($J730:$J740=M$42)))),0)</f>
        <v>0</v>
      </c>
      <c r="N730" s="68" cm="1">
        <f t="array" ref="N730">IFERROR(IF($A730=$A729,0,SUM(_xlfn._xlws.FILTER($E730:$E740,($A730:$A740=$A730)*($J730:$J740=N$42)))),0)</f>
        <v>0</v>
      </c>
    </row>
    <row r="731" spans="5:14" x14ac:dyDescent="0.3">
      <c r="E731" s="67">
        <f ca="1">IFERROR(C731*D731*_xlfn.XLOOKUP(B731,[1]!TabCalc[Ticker],[1]!TabCalc[Scale]),0)</f>
        <v>0</v>
      </c>
      <c r="F731" s="68" cm="1">
        <f t="array" ref="F731">IF(A731=A730,0,SUM(_xlfn._xlws.FILTER(E731:E741,A731:A741=A731)))</f>
        <v>0</v>
      </c>
      <c r="G731" s="69">
        <f>IF(F731&lt;&gt;0,SUM($F$43:F731),0)</f>
        <v>0</v>
      </c>
      <c r="H731" s="69" cm="1">
        <f t="array" ref="H731">IFERROR(IF(A731=A730,0,SUM(_xlfn._xlws.FILTER(E731:E741,(A731:A741=A731)*(E731:E741&gt;0)))),0)</f>
        <v>0</v>
      </c>
      <c r="I731" s="69" cm="1">
        <f t="array" ref="I731">IFERROR(IF(A731=A730,0,SUM(_xlfn._xlws.FILTER(E731:E741,(A731:A741=A731)*(F731&lt;0)))),0)</f>
        <v>0</v>
      </c>
      <c r="J731" s="81" t="str">
        <f ca="1">IFERROR(_xlfn.XLOOKUP(B731,[1]!TabCalc[Ticker],[1]!TabCalc[Cur]),"")</f>
        <v/>
      </c>
      <c r="K731" s="68" cm="1">
        <f t="array" ref="K731">IFERROR(IF($A731=$A730,0,SUM(_xlfn._xlws.FILTER($E731:$E741,($A731:$A741=$A731)*($J731:$J741=K$42)))),0)</f>
        <v>0</v>
      </c>
      <c r="L731" s="68" cm="1">
        <f t="array" ref="L731">IFERROR(IF($A731=$A730,0,SUM(_xlfn._xlws.FILTER($E731:$E741,($A731:$A741=$A731)*($J731:$J741=L$42)))),0)</f>
        <v>0</v>
      </c>
      <c r="M731" s="68" cm="1">
        <f t="array" ref="M731">IFERROR(IF($A731=$A730,0,SUM(_xlfn._xlws.FILTER($E731:$E741,($A731:$A741=$A731)*($J731:$J741=M$42)))),0)</f>
        <v>0</v>
      </c>
      <c r="N731" s="68" cm="1">
        <f t="array" ref="N731">IFERROR(IF($A731=$A730,0,SUM(_xlfn._xlws.FILTER($E731:$E741,($A731:$A741=$A731)*($J731:$J741=N$42)))),0)</f>
        <v>0</v>
      </c>
    </row>
    <row r="732" spans="5:14" x14ac:dyDescent="0.3">
      <c r="E732" s="67">
        <f ca="1">IFERROR(C732*D732*_xlfn.XLOOKUP(B732,[1]!TabCalc[Ticker],[1]!TabCalc[Scale]),0)</f>
        <v>0</v>
      </c>
      <c r="F732" s="68" cm="1">
        <f t="array" ref="F732">IF(A732=A731,0,SUM(_xlfn._xlws.FILTER(E732:E742,A732:A742=A732)))</f>
        <v>0</v>
      </c>
      <c r="G732" s="69">
        <f>IF(F732&lt;&gt;0,SUM($F$43:F732),0)</f>
        <v>0</v>
      </c>
      <c r="H732" s="69" cm="1">
        <f t="array" ref="H732">IFERROR(IF(A732=A731,0,SUM(_xlfn._xlws.FILTER(E732:E742,(A732:A742=A732)*(E732:E742&gt;0)))),0)</f>
        <v>0</v>
      </c>
      <c r="I732" s="69" cm="1">
        <f t="array" ref="I732">IFERROR(IF(A732=A731,0,SUM(_xlfn._xlws.FILTER(E732:E742,(A732:A742=A732)*(F732&lt;0)))),0)</f>
        <v>0</v>
      </c>
      <c r="J732" s="81" t="str">
        <f ca="1">IFERROR(_xlfn.XLOOKUP(B732,[1]!TabCalc[Ticker],[1]!TabCalc[Cur]),"")</f>
        <v/>
      </c>
      <c r="K732" s="68" cm="1">
        <f t="array" ref="K732">IFERROR(IF($A732=$A731,0,SUM(_xlfn._xlws.FILTER($E732:$E742,($A732:$A742=$A732)*($J732:$J742=K$42)))),0)</f>
        <v>0</v>
      </c>
      <c r="L732" s="68" cm="1">
        <f t="array" ref="L732">IFERROR(IF($A732=$A731,0,SUM(_xlfn._xlws.FILTER($E732:$E742,($A732:$A742=$A732)*($J732:$J742=L$42)))),0)</f>
        <v>0</v>
      </c>
      <c r="M732" s="68" cm="1">
        <f t="array" ref="M732">IFERROR(IF($A732=$A731,0,SUM(_xlfn._xlws.FILTER($E732:$E742,($A732:$A742=$A732)*($J732:$J742=M$42)))),0)</f>
        <v>0</v>
      </c>
      <c r="N732" s="68" cm="1">
        <f t="array" ref="N732">IFERROR(IF($A732=$A731,0,SUM(_xlfn._xlws.FILTER($E732:$E742,($A732:$A742=$A732)*($J732:$J742=N$42)))),0)</f>
        <v>0</v>
      </c>
    </row>
    <row r="733" spans="5:14" x14ac:dyDescent="0.3">
      <c r="E733" s="67">
        <f ca="1">IFERROR(C733*D733*_xlfn.XLOOKUP(B733,[1]!TabCalc[Ticker],[1]!TabCalc[Scale]),0)</f>
        <v>0</v>
      </c>
      <c r="F733" s="68" cm="1">
        <f t="array" ref="F733">IF(A733=A732,0,SUM(_xlfn._xlws.FILTER(E733:E743,A733:A743=A733)))</f>
        <v>0</v>
      </c>
      <c r="G733" s="69">
        <f>IF(F733&lt;&gt;0,SUM($F$43:F733),0)</f>
        <v>0</v>
      </c>
      <c r="H733" s="69" cm="1">
        <f t="array" ref="H733">IFERROR(IF(A733=A732,0,SUM(_xlfn._xlws.FILTER(E733:E743,(A733:A743=A733)*(E733:E743&gt;0)))),0)</f>
        <v>0</v>
      </c>
      <c r="I733" s="69" cm="1">
        <f t="array" ref="I733">IFERROR(IF(A733=A732,0,SUM(_xlfn._xlws.FILTER(E733:E743,(A733:A743=A733)*(F733&lt;0)))),0)</f>
        <v>0</v>
      </c>
      <c r="J733" s="81" t="str">
        <f ca="1">IFERROR(_xlfn.XLOOKUP(B733,[1]!TabCalc[Ticker],[1]!TabCalc[Cur]),"")</f>
        <v/>
      </c>
      <c r="K733" s="68" cm="1">
        <f t="array" ref="K733">IFERROR(IF($A733=$A732,0,SUM(_xlfn._xlws.FILTER($E733:$E743,($A733:$A743=$A733)*($J733:$J743=K$42)))),0)</f>
        <v>0</v>
      </c>
      <c r="L733" s="68" cm="1">
        <f t="array" ref="L733">IFERROR(IF($A733=$A732,0,SUM(_xlfn._xlws.FILTER($E733:$E743,($A733:$A743=$A733)*($J733:$J743=L$42)))),0)</f>
        <v>0</v>
      </c>
      <c r="M733" s="68" cm="1">
        <f t="array" ref="M733">IFERROR(IF($A733=$A732,0,SUM(_xlfn._xlws.FILTER($E733:$E743,($A733:$A743=$A733)*($J733:$J743=M$42)))),0)</f>
        <v>0</v>
      </c>
      <c r="N733" s="68" cm="1">
        <f t="array" ref="N733">IFERROR(IF($A733=$A732,0,SUM(_xlfn._xlws.FILTER($E733:$E743,($A733:$A743=$A733)*($J733:$J743=N$42)))),0)</f>
        <v>0</v>
      </c>
    </row>
    <row r="734" spans="5:14" x14ac:dyDescent="0.3">
      <c r="E734" s="67">
        <f ca="1">IFERROR(C734*D734*_xlfn.XLOOKUP(B734,[1]!TabCalc[Ticker],[1]!TabCalc[Scale]),0)</f>
        <v>0</v>
      </c>
      <c r="F734" s="68" cm="1">
        <f t="array" ref="F734">IF(A734=A733,0,SUM(_xlfn._xlws.FILTER(E734:E744,A734:A744=A734)))</f>
        <v>0</v>
      </c>
      <c r="G734" s="69">
        <f>IF(F734&lt;&gt;0,SUM($F$43:F734),0)</f>
        <v>0</v>
      </c>
      <c r="H734" s="69" cm="1">
        <f t="array" ref="H734">IFERROR(IF(A734=A733,0,SUM(_xlfn._xlws.FILTER(E734:E744,(A734:A744=A734)*(E734:E744&gt;0)))),0)</f>
        <v>0</v>
      </c>
      <c r="I734" s="69" cm="1">
        <f t="array" ref="I734">IFERROR(IF(A734=A733,0,SUM(_xlfn._xlws.FILTER(E734:E744,(A734:A744=A734)*(F734&lt;0)))),0)</f>
        <v>0</v>
      </c>
      <c r="J734" s="81" t="str">
        <f ca="1">IFERROR(_xlfn.XLOOKUP(B734,[1]!TabCalc[Ticker],[1]!TabCalc[Cur]),"")</f>
        <v/>
      </c>
      <c r="K734" s="68" cm="1">
        <f t="array" ref="K734">IFERROR(IF($A734=$A733,0,SUM(_xlfn._xlws.FILTER($E734:$E744,($A734:$A744=$A734)*($J734:$J744=K$42)))),0)</f>
        <v>0</v>
      </c>
      <c r="L734" s="68" cm="1">
        <f t="array" ref="L734">IFERROR(IF($A734=$A733,0,SUM(_xlfn._xlws.FILTER($E734:$E744,($A734:$A744=$A734)*($J734:$J744=L$42)))),0)</f>
        <v>0</v>
      </c>
      <c r="M734" s="68" cm="1">
        <f t="array" ref="M734">IFERROR(IF($A734=$A733,0,SUM(_xlfn._xlws.FILTER($E734:$E744,($A734:$A744=$A734)*($J734:$J744=M$42)))),0)</f>
        <v>0</v>
      </c>
      <c r="N734" s="68" cm="1">
        <f t="array" ref="N734">IFERROR(IF($A734=$A733,0,SUM(_xlfn._xlws.FILTER($E734:$E744,($A734:$A744=$A734)*($J734:$J744=N$42)))),0)</f>
        <v>0</v>
      </c>
    </row>
    <row r="735" spans="5:14" x14ac:dyDescent="0.3">
      <c r="E735" s="67">
        <f ca="1">IFERROR(C735*D735*_xlfn.XLOOKUP(B735,[1]!TabCalc[Ticker],[1]!TabCalc[Scale]),0)</f>
        <v>0</v>
      </c>
      <c r="F735" s="68" cm="1">
        <f t="array" ref="F735">IF(A735=A734,0,SUM(_xlfn._xlws.FILTER(E735:E745,A735:A745=A735)))</f>
        <v>0</v>
      </c>
      <c r="G735" s="69">
        <f>IF(F735&lt;&gt;0,SUM($F$43:F735),0)</f>
        <v>0</v>
      </c>
      <c r="H735" s="69" cm="1">
        <f t="array" ref="H735">IFERROR(IF(A735=A734,0,SUM(_xlfn._xlws.FILTER(E735:E745,(A735:A745=A735)*(E735:E745&gt;0)))),0)</f>
        <v>0</v>
      </c>
      <c r="I735" s="69" cm="1">
        <f t="array" ref="I735">IFERROR(IF(A735=A734,0,SUM(_xlfn._xlws.FILTER(E735:E745,(A735:A745=A735)*(F735&lt;0)))),0)</f>
        <v>0</v>
      </c>
      <c r="J735" s="81" t="str">
        <f ca="1">IFERROR(_xlfn.XLOOKUP(B735,[1]!TabCalc[Ticker],[1]!TabCalc[Cur]),"")</f>
        <v/>
      </c>
      <c r="K735" s="68" cm="1">
        <f t="array" ref="K735">IFERROR(IF($A735=$A734,0,SUM(_xlfn._xlws.FILTER($E735:$E745,($A735:$A745=$A735)*($J735:$J745=K$42)))),0)</f>
        <v>0</v>
      </c>
      <c r="L735" s="68" cm="1">
        <f t="array" ref="L735">IFERROR(IF($A735=$A734,0,SUM(_xlfn._xlws.FILTER($E735:$E745,($A735:$A745=$A735)*($J735:$J745=L$42)))),0)</f>
        <v>0</v>
      </c>
      <c r="M735" s="68" cm="1">
        <f t="array" ref="M735">IFERROR(IF($A735=$A734,0,SUM(_xlfn._xlws.FILTER($E735:$E745,($A735:$A745=$A735)*($J735:$J745=M$42)))),0)</f>
        <v>0</v>
      </c>
      <c r="N735" s="68" cm="1">
        <f t="array" ref="N735">IFERROR(IF($A735=$A734,0,SUM(_xlfn._xlws.FILTER($E735:$E745,($A735:$A745=$A735)*($J735:$J745=N$42)))),0)</f>
        <v>0</v>
      </c>
    </row>
    <row r="736" spans="5:14" x14ac:dyDescent="0.3">
      <c r="E736" s="67">
        <f ca="1">IFERROR(C736*D736*_xlfn.XLOOKUP(B736,[1]!TabCalc[Ticker],[1]!TabCalc[Scale]),0)</f>
        <v>0</v>
      </c>
      <c r="F736" s="68" cm="1">
        <f t="array" ref="F736">IF(A736=A735,0,SUM(_xlfn._xlws.FILTER(E736:E746,A736:A746=A736)))</f>
        <v>0</v>
      </c>
      <c r="G736" s="69">
        <f>IF(F736&lt;&gt;0,SUM($F$43:F736),0)</f>
        <v>0</v>
      </c>
      <c r="H736" s="69" cm="1">
        <f t="array" ref="H736">IFERROR(IF(A736=A735,0,SUM(_xlfn._xlws.FILTER(E736:E746,(A736:A746=A736)*(E736:E746&gt;0)))),0)</f>
        <v>0</v>
      </c>
      <c r="I736" s="69" cm="1">
        <f t="array" ref="I736">IFERROR(IF(A736=A735,0,SUM(_xlfn._xlws.FILTER(E736:E746,(A736:A746=A736)*(F736&lt;0)))),0)</f>
        <v>0</v>
      </c>
      <c r="J736" s="81" t="str">
        <f ca="1">IFERROR(_xlfn.XLOOKUP(B736,[1]!TabCalc[Ticker],[1]!TabCalc[Cur]),"")</f>
        <v/>
      </c>
      <c r="K736" s="68" cm="1">
        <f t="array" ref="K736">IFERROR(IF($A736=$A735,0,SUM(_xlfn._xlws.FILTER($E736:$E746,($A736:$A746=$A736)*($J736:$J746=K$42)))),0)</f>
        <v>0</v>
      </c>
      <c r="L736" s="68" cm="1">
        <f t="array" ref="L736">IFERROR(IF($A736=$A735,0,SUM(_xlfn._xlws.FILTER($E736:$E746,($A736:$A746=$A736)*($J736:$J746=L$42)))),0)</f>
        <v>0</v>
      </c>
      <c r="M736" s="68" cm="1">
        <f t="array" ref="M736">IFERROR(IF($A736=$A735,0,SUM(_xlfn._xlws.FILTER($E736:$E746,($A736:$A746=$A736)*($J736:$J746=M$42)))),0)</f>
        <v>0</v>
      </c>
      <c r="N736" s="68" cm="1">
        <f t="array" ref="N736">IFERROR(IF($A736=$A735,0,SUM(_xlfn._xlws.FILTER($E736:$E746,($A736:$A746=$A736)*($J736:$J746=N$42)))),0)</f>
        <v>0</v>
      </c>
    </row>
    <row r="737" spans="5:14" x14ac:dyDescent="0.3">
      <c r="E737" s="67">
        <f ca="1">IFERROR(C737*D737*_xlfn.XLOOKUP(B737,[1]!TabCalc[Ticker],[1]!TabCalc[Scale]),0)</f>
        <v>0</v>
      </c>
      <c r="F737" s="68" cm="1">
        <f t="array" ref="F737">IF(A737=A736,0,SUM(_xlfn._xlws.FILTER(E737:E747,A737:A747=A737)))</f>
        <v>0</v>
      </c>
      <c r="G737" s="69">
        <f>IF(F737&lt;&gt;0,SUM($F$43:F737),0)</f>
        <v>0</v>
      </c>
      <c r="H737" s="69" cm="1">
        <f t="array" ref="H737">IFERROR(IF(A737=A736,0,SUM(_xlfn._xlws.FILTER(E737:E747,(A737:A747=A737)*(E737:E747&gt;0)))),0)</f>
        <v>0</v>
      </c>
      <c r="I737" s="69" cm="1">
        <f t="array" ref="I737">IFERROR(IF(A737=A736,0,SUM(_xlfn._xlws.FILTER(E737:E747,(A737:A747=A737)*(F737&lt;0)))),0)</f>
        <v>0</v>
      </c>
      <c r="J737" s="81" t="str">
        <f ca="1">IFERROR(_xlfn.XLOOKUP(B737,[1]!TabCalc[Ticker],[1]!TabCalc[Cur]),"")</f>
        <v/>
      </c>
      <c r="K737" s="68" cm="1">
        <f t="array" ref="K737">IFERROR(IF($A737=$A736,0,SUM(_xlfn._xlws.FILTER($E737:$E747,($A737:$A747=$A737)*($J737:$J747=K$42)))),0)</f>
        <v>0</v>
      </c>
      <c r="L737" s="68" cm="1">
        <f t="array" ref="L737">IFERROR(IF($A737=$A736,0,SUM(_xlfn._xlws.FILTER($E737:$E747,($A737:$A747=$A737)*($J737:$J747=L$42)))),0)</f>
        <v>0</v>
      </c>
      <c r="M737" s="68" cm="1">
        <f t="array" ref="M737">IFERROR(IF($A737=$A736,0,SUM(_xlfn._xlws.FILTER($E737:$E747,($A737:$A747=$A737)*($J737:$J747=M$42)))),0)</f>
        <v>0</v>
      </c>
      <c r="N737" s="68" cm="1">
        <f t="array" ref="N737">IFERROR(IF($A737=$A736,0,SUM(_xlfn._xlws.FILTER($E737:$E747,($A737:$A747=$A737)*($J737:$J747=N$42)))),0)</f>
        <v>0</v>
      </c>
    </row>
    <row r="738" spans="5:14" x14ac:dyDescent="0.3">
      <c r="E738" s="67">
        <f ca="1">IFERROR(C738*D738*_xlfn.XLOOKUP(B738,[1]!TabCalc[Ticker],[1]!TabCalc[Scale]),0)</f>
        <v>0</v>
      </c>
      <c r="F738" s="68" cm="1">
        <f t="array" ref="F738">IF(A738=A737,0,SUM(_xlfn._xlws.FILTER(E738:E748,A738:A748=A738)))</f>
        <v>0</v>
      </c>
      <c r="G738" s="69">
        <f>IF(F738&lt;&gt;0,SUM($F$43:F738),0)</f>
        <v>0</v>
      </c>
      <c r="H738" s="69" cm="1">
        <f t="array" ref="H738">IFERROR(IF(A738=A737,0,SUM(_xlfn._xlws.FILTER(E738:E748,(A738:A748=A738)*(E738:E748&gt;0)))),0)</f>
        <v>0</v>
      </c>
      <c r="I738" s="69" cm="1">
        <f t="array" ref="I738">IFERROR(IF(A738=A737,0,SUM(_xlfn._xlws.FILTER(E738:E748,(A738:A748=A738)*(F738&lt;0)))),0)</f>
        <v>0</v>
      </c>
      <c r="J738" s="81" t="str">
        <f ca="1">IFERROR(_xlfn.XLOOKUP(B738,[1]!TabCalc[Ticker],[1]!TabCalc[Cur]),"")</f>
        <v/>
      </c>
      <c r="K738" s="68" cm="1">
        <f t="array" ref="K738">IFERROR(IF($A738=$A737,0,SUM(_xlfn._xlws.FILTER($E738:$E748,($A738:$A748=$A738)*($J738:$J748=K$42)))),0)</f>
        <v>0</v>
      </c>
      <c r="L738" s="68" cm="1">
        <f t="array" ref="L738">IFERROR(IF($A738=$A737,0,SUM(_xlfn._xlws.FILTER($E738:$E748,($A738:$A748=$A738)*($J738:$J748=L$42)))),0)</f>
        <v>0</v>
      </c>
      <c r="M738" s="68" cm="1">
        <f t="array" ref="M738">IFERROR(IF($A738=$A737,0,SUM(_xlfn._xlws.FILTER($E738:$E748,($A738:$A748=$A738)*($J738:$J748=M$42)))),0)</f>
        <v>0</v>
      </c>
      <c r="N738" s="68" cm="1">
        <f t="array" ref="N738">IFERROR(IF($A738=$A737,0,SUM(_xlfn._xlws.FILTER($E738:$E748,($A738:$A748=$A738)*($J738:$J748=N$42)))),0)</f>
        <v>0</v>
      </c>
    </row>
    <row r="739" spans="5:14" x14ac:dyDescent="0.3">
      <c r="E739" s="67">
        <f ca="1">IFERROR(C739*D739*_xlfn.XLOOKUP(B739,[1]!TabCalc[Ticker],[1]!TabCalc[Scale]),0)</f>
        <v>0</v>
      </c>
      <c r="F739" s="68" cm="1">
        <f t="array" ref="F739">IF(A739=A738,0,SUM(_xlfn._xlws.FILTER(E739:E749,A739:A749=A739)))</f>
        <v>0</v>
      </c>
      <c r="G739" s="69">
        <f>IF(F739&lt;&gt;0,SUM($F$43:F739),0)</f>
        <v>0</v>
      </c>
      <c r="H739" s="69" cm="1">
        <f t="array" ref="H739">IFERROR(IF(A739=A738,0,SUM(_xlfn._xlws.FILTER(E739:E749,(A739:A749=A739)*(E739:E749&gt;0)))),0)</f>
        <v>0</v>
      </c>
      <c r="I739" s="69" cm="1">
        <f t="array" ref="I739">IFERROR(IF(A739=A738,0,SUM(_xlfn._xlws.FILTER(E739:E749,(A739:A749=A739)*(F739&lt;0)))),0)</f>
        <v>0</v>
      </c>
      <c r="J739" s="81" t="str">
        <f ca="1">IFERROR(_xlfn.XLOOKUP(B739,[1]!TabCalc[Ticker],[1]!TabCalc[Cur]),"")</f>
        <v/>
      </c>
      <c r="K739" s="68" cm="1">
        <f t="array" ref="K739">IFERROR(IF($A739=$A738,0,SUM(_xlfn._xlws.FILTER($E739:$E749,($A739:$A749=$A739)*($J739:$J749=K$42)))),0)</f>
        <v>0</v>
      </c>
      <c r="L739" s="68" cm="1">
        <f t="array" ref="L739">IFERROR(IF($A739=$A738,0,SUM(_xlfn._xlws.FILTER($E739:$E749,($A739:$A749=$A739)*($J739:$J749=L$42)))),0)</f>
        <v>0</v>
      </c>
      <c r="M739" s="68" cm="1">
        <f t="array" ref="M739">IFERROR(IF($A739=$A738,0,SUM(_xlfn._xlws.FILTER($E739:$E749,($A739:$A749=$A739)*($J739:$J749=M$42)))),0)</f>
        <v>0</v>
      </c>
      <c r="N739" s="68" cm="1">
        <f t="array" ref="N739">IFERROR(IF($A739=$A738,0,SUM(_xlfn._xlws.FILTER($E739:$E749,($A739:$A749=$A739)*($J739:$J749=N$42)))),0)</f>
        <v>0</v>
      </c>
    </row>
    <row r="740" spans="5:14" x14ac:dyDescent="0.3">
      <c r="E740" s="67">
        <f ca="1">IFERROR(C740*D740*_xlfn.XLOOKUP(B740,[1]!TabCalc[Ticker],[1]!TabCalc[Scale]),0)</f>
        <v>0</v>
      </c>
      <c r="F740" s="68" cm="1">
        <f t="array" ref="F740">IF(A740=A739,0,SUM(_xlfn._xlws.FILTER(E740:E750,A740:A750=A740)))</f>
        <v>0</v>
      </c>
      <c r="G740" s="69">
        <f>IF(F740&lt;&gt;0,SUM($F$43:F740),0)</f>
        <v>0</v>
      </c>
      <c r="H740" s="69" cm="1">
        <f t="array" ref="H740">IFERROR(IF(A740=A739,0,SUM(_xlfn._xlws.FILTER(E740:E750,(A740:A750=A740)*(E740:E750&gt;0)))),0)</f>
        <v>0</v>
      </c>
      <c r="I740" s="69" cm="1">
        <f t="array" ref="I740">IFERROR(IF(A740=A739,0,SUM(_xlfn._xlws.FILTER(E740:E750,(A740:A750=A740)*(F740&lt;0)))),0)</f>
        <v>0</v>
      </c>
      <c r="J740" s="81" t="str">
        <f ca="1">IFERROR(_xlfn.XLOOKUP(B740,[1]!TabCalc[Ticker],[1]!TabCalc[Cur]),"")</f>
        <v/>
      </c>
      <c r="K740" s="68" cm="1">
        <f t="array" ref="K740">IFERROR(IF($A740=$A739,0,SUM(_xlfn._xlws.FILTER($E740:$E750,($A740:$A750=$A740)*($J740:$J750=K$42)))),0)</f>
        <v>0</v>
      </c>
      <c r="L740" s="68" cm="1">
        <f t="array" ref="L740">IFERROR(IF($A740=$A739,0,SUM(_xlfn._xlws.FILTER($E740:$E750,($A740:$A750=$A740)*($J740:$J750=L$42)))),0)</f>
        <v>0</v>
      </c>
      <c r="M740" s="68" cm="1">
        <f t="array" ref="M740">IFERROR(IF($A740=$A739,0,SUM(_xlfn._xlws.FILTER($E740:$E750,($A740:$A750=$A740)*($J740:$J750=M$42)))),0)</f>
        <v>0</v>
      </c>
      <c r="N740" s="68" cm="1">
        <f t="array" ref="N740">IFERROR(IF($A740=$A739,0,SUM(_xlfn._xlws.FILTER($E740:$E750,($A740:$A750=$A740)*($J740:$J750=N$42)))),0)</f>
        <v>0</v>
      </c>
    </row>
    <row r="741" spans="5:14" x14ac:dyDescent="0.3">
      <c r="E741" s="67">
        <f ca="1">IFERROR(C741*D741*_xlfn.XLOOKUP(B741,[1]!TabCalc[Ticker],[1]!TabCalc[Scale]),0)</f>
        <v>0</v>
      </c>
      <c r="F741" s="68" cm="1">
        <f t="array" ref="F741">IF(A741=A740,0,SUM(_xlfn._xlws.FILTER(E741:E751,A741:A751=A741)))</f>
        <v>0</v>
      </c>
      <c r="G741" s="69">
        <f>IF(F741&lt;&gt;0,SUM($F$43:F741),0)</f>
        <v>0</v>
      </c>
      <c r="H741" s="69" cm="1">
        <f t="array" ref="H741">IFERROR(IF(A741=A740,0,SUM(_xlfn._xlws.FILTER(E741:E751,(A741:A751=A741)*(E741:E751&gt;0)))),0)</f>
        <v>0</v>
      </c>
      <c r="I741" s="69" cm="1">
        <f t="array" ref="I741">IFERROR(IF(A741=A740,0,SUM(_xlfn._xlws.FILTER(E741:E751,(A741:A751=A741)*(F741&lt;0)))),0)</f>
        <v>0</v>
      </c>
      <c r="J741" s="81" t="str">
        <f ca="1">IFERROR(_xlfn.XLOOKUP(B741,[1]!TabCalc[Ticker],[1]!TabCalc[Cur]),"")</f>
        <v/>
      </c>
      <c r="K741" s="68" cm="1">
        <f t="array" ref="K741">IFERROR(IF($A741=$A740,0,SUM(_xlfn._xlws.FILTER($E741:$E751,($A741:$A751=$A741)*($J741:$J751=K$42)))),0)</f>
        <v>0</v>
      </c>
      <c r="L741" s="68" cm="1">
        <f t="array" ref="L741">IFERROR(IF($A741=$A740,0,SUM(_xlfn._xlws.FILTER($E741:$E751,($A741:$A751=$A741)*($J741:$J751=L$42)))),0)</f>
        <v>0</v>
      </c>
      <c r="M741" s="68" cm="1">
        <f t="array" ref="M741">IFERROR(IF($A741=$A740,0,SUM(_xlfn._xlws.FILTER($E741:$E751,($A741:$A751=$A741)*($J741:$J751=M$42)))),0)</f>
        <v>0</v>
      </c>
      <c r="N741" s="68" cm="1">
        <f t="array" ref="N741">IFERROR(IF($A741=$A740,0,SUM(_xlfn._xlws.FILTER($E741:$E751,($A741:$A751=$A741)*($J741:$J751=N$42)))),0)</f>
        <v>0</v>
      </c>
    </row>
    <row r="742" spans="5:14" x14ac:dyDescent="0.3">
      <c r="E742" s="67">
        <f ca="1">IFERROR(C742*D742*_xlfn.XLOOKUP(B742,[1]!TabCalc[Ticker],[1]!TabCalc[Scale]),0)</f>
        <v>0</v>
      </c>
      <c r="F742" s="68" cm="1">
        <f t="array" ref="F742">IF(A742=A741,0,SUM(_xlfn._xlws.FILTER(E742:E752,A742:A752=A742)))</f>
        <v>0</v>
      </c>
      <c r="G742" s="69">
        <f>IF(F742&lt;&gt;0,SUM($F$43:F742),0)</f>
        <v>0</v>
      </c>
      <c r="H742" s="69" cm="1">
        <f t="array" ref="H742">IFERROR(IF(A742=A741,0,SUM(_xlfn._xlws.FILTER(E742:E752,(A742:A752=A742)*(E742:E752&gt;0)))),0)</f>
        <v>0</v>
      </c>
      <c r="I742" s="69" cm="1">
        <f t="array" ref="I742">IFERROR(IF(A742=A741,0,SUM(_xlfn._xlws.FILTER(E742:E752,(A742:A752=A742)*(F742&lt;0)))),0)</f>
        <v>0</v>
      </c>
      <c r="J742" s="81" t="str">
        <f ca="1">IFERROR(_xlfn.XLOOKUP(B742,[1]!TabCalc[Ticker],[1]!TabCalc[Cur]),"")</f>
        <v/>
      </c>
      <c r="K742" s="68" cm="1">
        <f t="array" ref="K742">IFERROR(IF($A742=$A741,0,SUM(_xlfn._xlws.FILTER($E742:$E752,($A742:$A752=$A742)*($J742:$J752=K$42)))),0)</f>
        <v>0</v>
      </c>
      <c r="L742" s="68" cm="1">
        <f t="array" ref="L742">IFERROR(IF($A742=$A741,0,SUM(_xlfn._xlws.FILTER($E742:$E752,($A742:$A752=$A742)*($J742:$J752=L$42)))),0)</f>
        <v>0</v>
      </c>
      <c r="M742" s="68" cm="1">
        <f t="array" ref="M742">IFERROR(IF($A742=$A741,0,SUM(_xlfn._xlws.FILTER($E742:$E752,($A742:$A752=$A742)*($J742:$J752=M$42)))),0)</f>
        <v>0</v>
      </c>
      <c r="N742" s="68" cm="1">
        <f t="array" ref="N742">IFERROR(IF($A742=$A741,0,SUM(_xlfn._xlws.FILTER($E742:$E752,($A742:$A752=$A742)*($J742:$J752=N$42)))),0)</f>
        <v>0</v>
      </c>
    </row>
    <row r="743" spans="5:14" x14ac:dyDescent="0.3">
      <c r="E743" s="67">
        <f ca="1">IFERROR(C743*D743*_xlfn.XLOOKUP(B743,[1]!TabCalc[Ticker],[1]!TabCalc[Scale]),0)</f>
        <v>0</v>
      </c>
      <c r="F743" s="68" cm="1">
        <f t="array" ref="F743">IF(A743=A742,0,SUM(_xlfn._xlws.FILTER(E743:E753,A743:A753=A743)))</f>
        <v>0</v>
      </c>
      <c r="G743" s="69">
        <f>IF(F743&lt;&gt;0,SUM($F$43:F743),0)</f>
        <v>0</v>
      </c>
      <c r="H743" s="69" cm="1">
        <f t="array" ref="H743">IFERROR(IF(A743=A742,0,SUM(_xlfn._xlws.FILTER(E743:E753,(A743:A753=A743)*(E743:E753&gt;0)))),0)</f>
        <v>0</v>
      </c>
      <c r="I743" s="69" cm="1">
        <f t="array" ref="I743">IFERROR(IF(A743=A742,0,SUM(_xlfn._xlws.FILTER(E743:E753,(A743:A753=A743)*(F743&lt;0)))),0)</f>
        <v>0</v>
      </c>
      <c r="J743" s="81" t="str">
        <f ca="1">IFERROR(_xlfn.XLOOKUP(B743,[1]!TabCalc[Ticker],[1]!TabCalc[Cur]),"")</f>
        <v/>
      </c>
      <c r="K743" s="68" cm="1">
        <f t="array" ref="K743">IFERROR(IF($A743=$A742,0,SUM(_xlfn._xlws.FILTER($E743:$E753,($A743:$A753=$A743)*($J743:$J753=K$42)))),0)</f>
        <v>0</v>
      </c>
      <c r="L743" s="68" cm="1">
        <f t="array" ref="L743">IFERROR(IF($A743=$A742,0,SUM(_xlfn._xlws.FILTER($E743:$E753,($A743:$A753=$A743)*($J743:$J753=L$42)))),0)</f>
        <v>0</v>
      </c>
      <c r="M743" s="68" cm="1">
        <f t="array" ref="M743">IFERROR(IF($A743=$A742,0,SUM(_xlfn._xlws.FILTER($E743:$E753,($A743:$A753=$A743)*($J743:$J753=M$42)))),0)</f>
        <v>0</v>
      </c>
      <c r="N743" s="68" cm="1">
        <f t="array" ref="N743">IFERROR(IF($A743=$A742,0,SUM(_xlfn._xlws.FILTER($E743:$E753,($A743:$A753=$A743)*($J743:$J753=N$42)))),0)</f>
        <v>0</v>
      </c>
    </row>
    <row r="744" spans="5:14" x14ac:dyDescent="0.3">
      <c r="E744" s="67">
        <f ca="1">IFERROR(C744*D744*_xlfn.XLOOKUP(B744,[1]!TabCalc[Ticker],[1]!TabCalc[Scale]),0)</f>
        <v>0</v>
      </c>
      <c r="F744" s="68" cm="1">
        <f t="array" ref="F744">IF(A744=A743,0,SUM(_xlfn._xlws.FILTER(E744:E754,A744:A754=A744)))</f>
        <v>0</v>
      </c>
      <c r="G744" s="69">
        <f>IF(F744&lt;&gt;0,SUM($F$43:F744),0)</f>
        <v>0</v>
      </c>
      <c r="H744" s="69" cm="1">
        <f t="array" ref="H744">IFERROR(IF(A744=A743,0,SUM(_xlfn._xlws.FILTER(E744:E754,(A744:A754=A744)*(E744:E754&gt;0)))),0)</f>
        <v>0</v>
      </c>
      <c r="I744" s="69" cm="1">
        <f t="array" ref="I744">IFERROR(IF(A744=A743,0,SUM(_xlfn._xlws.FILTER(E744:E754,(A744:A754=A744)*(F744&lt;0)))),0)</f>
        <v>0</v>
      </c>
      <c r="J744" s="81" t="str">
        <f ca="1">IFERROR(_xlfn.XLOOKUP(B744,[1]!TabCalc[Ticker],[1]!TabCalc[Cur]),"")</f>
        <v/>
      </c>
      <c r="K744" s="68" cm="1">
        <f t="array" ref="K744">IFERROR(IF($A744=$A743,0,SUM(_xlfn._xlws.FILTER($E744:$E754,($A744:$A754=$A744)*($J744:$J754=K$42)))),0)</f>
        <v>0</v>
      </c>
      <c r="L744" s="68" cm="1">
        <f t="array" ref="L744">IFERROR(IF($A744=$A743,0,SUM(_xlfn._xlws.FILTER($E744:$E754,($A744:$A754=$A744)*($J744:$J754=L$42)))),0)</f>
        <v>0</v>
      </c>
      <c r="M744" s="68" cm="1">
        <f t="array" ref="M744">IFERROR(IF($A744=$A743,0,SUM(_xlfn._xlws.FILTER($E744:$E754,($A744:$A754=$A744)*($J744:$J754=M$42)))),0)</f>
        <v>0</v>
      </c>
      <c r="N744" s="68" cm="1">
        <f t="array" ref="N744">IFERROR(IF($A744=$A743,0,SUM(_xlfn._xlws.FILTER($E744:$E754,($A744:$A754=$A744)*($J744:$J754=N$42)))),0)</f>
        <v>0</v>
      </c>
    </row>
    <row r="745" spans="5:14" x14ac:dyDescent="0.3">
      <c r="E745" s="67">
        <f ca="1">IFERROR(C745*D745*_xlfn.XLOOKUP(B745,[1]!TabCalc[Ticker],[1]!TabCalc[Scale]),0)</f>
        <v>0</v>
      </c>
      <c r="F745" s="68" cm="1">
        <f t="array" ref="F745">IF(A745=A744,0,SUM(_xlfn._xlws.FILTER(E745:E755,A745:A755=A745)))</f>
        <v>0</v>
      </c>
      <c r="G745" s="69">
        <f>IF(F745&lt;&gt;0,SUM($F$43:F745),0)</f>
        <v>0</v>
      </c>
      <c r="H745" s="69" cm="1">
        <f t="array" ref="H745">IFERROR(IF(A745=A744,0,SUM(_xlfn._xlws.FILTER(E745:E755,(A745:A755=A745)*(E745:E755&gt;0)))),0)</f>
        <v>0</v>
      </c>
      <c r="I745" s="69" cm="1">
        <f t="array" ref="I745">IFERROR(IF(A745=A744,0,SUM(_xlfn._xlws.FILTER(E745:E755,(A745:A755=A745)*(F745&lt;0)))),0)</f>
        <v>0</v>
      </c>
      <c r="J745" s="81" t="str">
        <f ca="1">IFERROR(_xlfn.XLOOKUP(B745,[1]!TabCalc[Ticker],[1]!TabCalc[Cur]),"")</f>
        <v/>
      </c>
      <c r="K745" s="68" cm="1">
        <f t="array" ref="K745">IFERROR(IF($A745=$A744,0,SUM(_xlfn._xlws.FILTER($E745:$E755,($A745:$A755=$A745)*($J745:$J755=K$42)))),0)</f>
        <v>0</v>
      </c>
      <c r="L745" s="68" cm="1">
        <f t="array" ref="L745">IFERROR(IF($A745=$A744,0,SUM(_xlfn._xlws.FILTER($E745:$E755,($A745:$A755=$A745)*($J745:$J755=L$42)))),0)</f>
        <v>0</v>
      </c>
      <c r="M745" s="68" cm="1">
        <f t="array" ref="M745">IFERROR(IF($A745=$A744,0,SUM(_xlfn._xlws.FILTER($E745:$E755,($A745:$A755=$A745)*($J745:$J755=M$42)))),0)</f>
        <v>0</v>
      </c>
      <c r="N745" s="68" cm="1">
        <f t="array" ref="N745">IFERROR(IF($A745=$A744,0,SUM(_xlfn._xlws.FILTER($E745:$E755,($A745:$A755=$A745)*($J745:$J755=N$42)))),0)</f>
        <v>0</v>
      </c>
    </row>
    <row r="746" spans="5:14" x14ac:dyDescent="0.3">
      <c r="E746" s="67">
        <f ca="1">IFERROR(C746*D746*_xlfn.XLOOKUP(B746,[1]!TabCalc[Ticker],[1]!TabCalc[Scale]),0)</f>
        <v>0</v>
      </c>
      <c r="F746" s="68" cm="1">
        <f t="array" ref="F746">IF(A746=A745,0,SUM(_xlfn._xlws.FILTER(E746:E756,A746:A756=A746)))</f>
        <v>0</v>
      </c>
      <c r="G746" s="69">
        <f>IF(F746&lt;&gt;0,SUM($F$43:F746),0)</f>
        <v>0</v>
      </c>
      <c r="H746" s="69" cm="1">
        <f t="array" ref="H746">IFERROR(IF(A746=A745,0,SUM(_xlfn._xlws.FILTER(E746:E756,(A746:A756=A746)*(E746:E756&gt;0)))),0)</f>
        <v>0</v>
      </c>
      <c r="I746" s="69" cm="1">
        <f t="array" ref="I746">IFERROR(IF(A746=A745,0,SUM(_xlfn._xlws.FILTER(E746:E756,(A746:A756=A746)*(F746&lt;0)))),0)</f>
        <v>0</v>
      </c>
      <c r="J746" s="81" t="str">
        <f ca="1">IFERROR(_xlfn.XLOOKUP(B746,[1]!TabCalc[Ticker],[1]!TabCalc[Cur]),"")</f>
        <v/>
      </c>
      <c r="K746" s="68" cm="1">
        <f t="array" ref="K746">IFERROR(IF($A746=$A745,0,SUM(_xlfn._xlws.FILTER($E746:$E756,($A746:$A756=$A746)*($J746:$J756=K$42)))),0)</f>
        <v>0</v>
      </c>
      <c r="L746" s="68" cm="1">
        <f t="array" ref="L746">IFERROR(IF($A746=$A745,0,SUM(_xlfn._xlws.FILTER($E746:$E756,($A746:$A756=$A746)*($J746:$J756=L$42)))),0)</f>
        <v>0</v>
      </c>
      <c r="M746" s="68" cm="1">
        <f t="array" ref="M746">IFERROR(IF($A746=$A745,0,SUM(_xlfn._xlws.FILTER($E746:$E756,($A746:$A756=$A746)*($J746:$J756=M$42)))),0)</f>
        <v>0</v>
      </c>
      <c r="N746" s="68" cm="1">
        <f t="array" ref="N746">IFERROR(IF($A746=$A745,0,SUM(_xlfn._xlws.FILTER($E746:$E756,($A746:$A756=$A746)*($J746:$J756=N$42)))),0)</f>
        <v>0</v>
      </c>
    </row>
    <row r="747" spans="5:14" x14ac:dyDescent="0.3">
      <c r="E747" s="67">
        <f ca="1">IFERROR(C747*D747*_xlfn.XLOOKUP(B747,[1]!TabCalc[Ticker],[1]!TabCalc[Scale]),0)</f>
        <v>0</v>
      </c>
      <c r="F747" s="68" cm="1">
        <f t="array" ref="F747">IF(A747=A746,0,SUM(_xlfn._xlws.FILTER(E747:E757,A747:A757=A747)))</f>
        <v>0</v>
      </c>
      <c r="G747" s="69">
        <f>IF(F747&lt;&gt;0,SUM($F$43:F747),0)</f>
        <v>0</v>
      </c>
      <c r="H747" s="69" cm="1">
        <f t="array" ref="H747">IFERROR(IF(A747=A746,0,SUM(_xlfn._xlws.FILTER(E747:E757,(A747:A757=A747)*(E747:E757&gt;0)))),0)</f>
        <v>0</v>
      </c>
      <c r="I747" s="69" cm="1">
        <f t="array" ref="I747">IFERROR(IF(A747=A746,0,SUM(_xlfn._xlws.FILTER(E747:E757,(A747:A757=A747)*(F747&lt;0)))),0)</f>
        <v>0</v>
      </c>
      <c r="J747" s="81" t="str">
        <f ca="1">IFERROR(_xlfn.XLOOKUP(B747,[1]!TabCalc[Ticker],[1]!TabCalc[Cur]),"")</f>
        <v/>
      </c>
      <c r="K747" s="68" cm="1">
        <f t="array" ref="K747">IFERROR(IF($A747=$A746,0,SUM(_xlfn._xlws.FILTER($E747:$E757,($A747:$A757=$A747)*($J747:$J757=K$42)))),0)</f>
        <v>0</v>
      </c>
      <c r="L747" s="68" cm="1">
        <f t="array" ref="L747">IFERROR(IF($A747=$A746,0,SUM(_xlfn._xlws.FILTER($E747:$E757,($A747:$A757=$A747)*($J747:$J757=L$42)))),0)</f>
        <v>0</v>
      </c>
      <c r="M747" s="68" cm="1">
        <f t="array" ref="M747">IFERROR(IF($A747=$A746,0,SUM(_xlfn._xlws.FILTER($E747:$E757,($A747:$A757=$A747)*($J747:$J757=M$42)))),0)</f>
        <v>0</v>
      </c>
      <c r="N747" s="68" cm="1">
        <f t="array" ref="N747">IFERROR(IF($A747=$A746,0,SUM(_xlfn._xlws.FILTER($E747:$E757,($A747:$A757=$A747)*($J747:$J757=N$42)))),0)</f>
        <v>0</v>
      </c>
    </row>
    <row r="748" spans="5:14" x14ac:dyDescent="0.3">
      <c r="E748" s="67">
        <f ca="1">IFERROR(C748*D748*_xlfn.XLOOKUP(B748,[1]!TabCalc[Ticker],[1]!TabCalc[Scale]),0)</f>
        <v>0</v>
      </c>
      <c r="F748" s="68" cm="1">
        <f t="array" ref="F748">IF(A748=A747,0,SUM(_xlfn._xlws.FILTER(E748:E758,A748:A758=A748)))</f>
        <v>0</v>
      </c>
      <c r="G748" s="69">
        <f>IF(F748&lt;&gt;0,SUM($F$43:F748),0)</f>
        <v>0</v>
      </c>
      <c r="H748" s="69" cm="1">
        <f t="array" ref="H748">IFERROR(IF(A748=A747,0,SUM(_xlfn._xlws.FILTER(E748:E758,(A748:A758=A748)*(E748:E758&gt;0)))),0)</f>
        <v>0</v>
      </c>
      <c r="I748" s="69" cm="1">
        <f t="array" ref="I748">IFERROR(IF(A748=A747,0,SUM(_xlfn._xlws.FILTER(E748:E758,(A748:A758=A748)*(F748&lt;0)))),0)</f>
        <v>0</v>
      </c>
      <c r="J748" s="81" t="str">
        <f ca="1">IFERROR(_xlfn.XLOOKUP(B748,[1]!TabCalc[Ticker],[1]!TabCalc[Cur]),"")</f>
        <v/>
      </c>
      <c r="K748" s="68" cm="1">
        <f t="array" ref="K748">IFERROR(IF($A748=$A747,0,SUM(_xlfn._xlws.FILTER($E748:$E758,($A748:$A758=$A748)*($J748:$J758=K$42)))),0)</f>
        <v>0</v>
      </c>
      <c r="L748" s="68" cm="1">
        <f t="array" ref="L748">IFERROR(IF($A748=$A747,0,SUM(_xlfn._xlws.FILTER($E748:$E758,($A748:$A758=$A748)*($J748:$J758=L$42)))),0)</f>
        <v>0</v>
      </c>
      <c r="M748" s="68" cm="1">
        <f t="array" ref="M748">IFERROR(IF($A748=$A747,0,SUM(_xlfn._xlws.FILTER($E748:$E758,($A748:$A758=$A748)*($J748:$J758=M$42)))),0)</f>
        <v>0</v>
      </c>
      <c r="N748" s="68" cm="1">
        <f t="array" ref="N748">IFERROR(IF($A748=$A747,0,SUM(_xlfn._xlws.FILTER($E748:$E758,($A748:$A758=$A748)*($J748:$J758=N$42)))),0)</f>
        <v>0</v>
      </c>
    </row>
    <row r="749" spans="5:14" x14ac:dyDescent="0.3">
      <c r="E749" s="67">
        <f ca="1">IFERROR(C749*D749*_xlfn.XLOOKUP(B749,[1]!TabCalc[Ticker],[1]!TabCalc[Scale]),0)</f>
        <v>0</v>
      </c>
      <c r="F749" s="68" cm="1">
        <f t="array" ref="F749">IF(A749=A748,0,SUM(_xlfn._xlws.FILTER(E749:E759,A749:A759=A749)))</f>
        <v>0</v>
      </c>
      <c r="G749" s="69">
        <f>IF(F749&lt;&gt;0,SUM($F$43:F749),0)</f>
        <v>0</v>
      </c>
      <c r="H749" s="69" cm="1">
        <f t="array" ref="H749">IFERROR(IF(A749=A748,0,SUM(_xlfn._xlws.FILTER(E749:E759,(A749:A759=A749)*(E749:E759&gt;0)))),0)</f>
        <v>0</v>
      </c>
      <c r="I749" s="69" cm="1">
        <f t="array" ref="I749">IFERROR(IF(A749=A748,0,SUM(_xlfn._xlws.FILTER(E749:E759,(A749:A759=A749)*(F749&lt;0)))),0)</f>
        <v>0</v>
      </c>
      <c r="J749" s="81" t="str">
        <f ca="1">IFERROR(_xlfn.XLOOKUP(B749,[1]!TabCalc[Ticker],[1]!TabCalc[Cur]),"")</f>
        <v/>
      </c>
      <c r="K749" s="68" cm="1">
        <f t="array" ref="K749">IFERROR(IF($A749=$A748,0,SUM(_xlfn._xlws.FILTER($E749:$E759,($A749:$A759=$A749)*($J749:$J759=K$42)))),0)</f>
        <v>0</v>
      </c>
      <c r="L749" s="68" cm="1">
        <f t="array" ref="L749">IFERROR(IF($A749=$A748,0,SUM(_xlfn._xlws.FILTER($E749:$E759,($A749:$A759=$A749)*($J749:$J759=L$42)))),0)</f>
        <v>0</v>
      </c>
      <c r="M749" s="68" cm="1">
        <f t="array" ref="M749">IFERROR(IF($A749=$A748,0,SUM(_xlfn._xlws.FILTER($E749:$E759,($A749:$A759=$A749)*($J749:$J759=M$42)))),0)</f>
        <v>0</v>
      </c>
      <c r="N749" s="68" cm="1">
        <f t="array" ref="N749">IFERROR(IF($A749=$A748,0,SUM(_xlfn._xlws.FILTER($E749:$E759,($A749:$A759=$A749)*($J749:$J759=N$42)))),0)</f>
        <v>0</v>
      </c>
    </row>
    <row r="750" spans="5:14" x14ac:dyDescent="0.3">
      <c r="E750" s="67">
        <f ca="1">IFERROR(C750*D750*_xlfn.XLOOKUP(B750,[1]!TabCalc[Ticker],[1]!TabCalc[Scale]),0)</f>
        <v>0</v>
      </c>
      <c r="F750" s="68" cm="1">
        <f t="array" ref="F750">IF(A750=A749,0,SUM(_xlfn._xlws.FILTER(E750:E760,A750:A760=A750)))</f>
        <v>0</v>
      </c>
      <c r="G750" s="69">
        <f>IF(F750&lt;&gt;0,SUM($F$43:F750),0)</f>
        <v>0</v>
      </c>
      <c r="H750" s="69" cm="1">
        <f t="array" ref="H750">IFERROR(IF(A750=A749,0,SUM(_xlfn._xlws.FILTER(E750:E760,(A750:A760=A750)*(E750:E760&gt;0)))),0)</f>
        <v>0</v>
      </c>
      <c r="I750" s="69" cm="1">
        <f t="array" ref="I750">IFERROR(IF(A750=A749,0,SUM(_xlfn._xlws.FILTER(E750:E760,(A750:A760=A750)*(F750&lt;0)))),0)</f>
        <v>0</v>
      </c>
      <c r="J750" s="81" t="str">
        <f ca="1">IFERROR(_xlfn.XLOOKUP(B750,[1]!TabCalc[Ticker],[1]!TabCalc[Cur]),"")</f>
        <v/>
      </c>
      <c r="K750" s="68" cm="1">
        <f t="array" ref="K750">IFERROR(IF($A750=$A749,0,SUM(_xlfn._xlws.FILTER($E750:$E760,($A750:$A760=$A750)*($J750:$J760=K$42)))),0)</f>
        <v>0</v>
      </c>
      <c r="L750" s="68" cm="1">
        <f t="array" ref="L750">IFERROR(IF($A750=$A749,0,SUM(_xlfn._xlws.FILTER($E750:$E760,($A750:$A760=$A750)*($J750:$J760=L$42)))),0)</f>
        <v>0</v>
      </c>
      <c r="M750" s="68" cm="1">
        <f t="array" ref="M750">IFERROR(IF($A750=$A749,0,SUM(_xlfn._xlws.FILTER($E750:$E760,($A750:$A760=$A750)*($J750:$J760=M$42)))),0)</f>
        <v>0</v>
      </c>
      <c r="N750" s="68" cm="1">
        <f t="array" ref="N750">IFERROR(IF($A750=$A749,0,SUM(_xlfn._xlws.FILTER($E750:$E760,($A750:$A760=$A750)*($J750:$J760=N$42)))),0)</f>
        <v>0</v>
      </c>
    </row>
    <row r="751" spans="5:14" x14ac:dyDescent="0.3">
      <c r="E751" s="67">
        <f ca="1">IFERROR(C751*D751*_xlfn.XLOOKUP(B751,[1]!TabCalc[Ticker],[1]!TabCalc[Scale]),0)</f>
        <v>0</v>
      </c>
      <c r="F751" s="68" cm="1">
        <f t="array" ref="F751">IF(A751=A750,0,SUM(_xlfn._xlws.FILTER(E751:E761,A751:A761=A751)))</f>
        <v>0</v>
      </c>
      <c r="G751" s="69">
        <f>IF(F751&lt;&gt;0,SUM($F$43:F751),0)</f>
        <v>0</v>
      </c>
      <c r="H751" s="69" cm="1">
        <f t="array" ref="H751">IFERROR(IF(A751=A750,0,SUM(_xlfn._xlws.FILTER(E751:E761,(A751:A761=A751)*(E751:E761&gt;0)))),0)</f>
        <v>0</v>
      </c>
      <c r="I751" s="69" cm="1">
        <f t="array" ref="I751">IFERROR(IF(A751=A750,0,SUM(_xlfn._xlws.FILTER(E751:E761,(A751:A761=A751)*(F751&lt;0)))),0)</f>
        <v>0</v>
      </c>
      <c r="J751" s="81" t="str">
        <f ca="1">IFERROR(_xlfn.XLOOKUP(B751,[1]!TabCalc[Ticker],[1]!TabCalc[Cur]),"")</f>
        <v/>
      </c>
      <c r="K751" s="68" cm="1">
        <f t="array" ref="K751">IFERROR(IF($A751=$A750,0,SUM(_xlfn._xlws.FILTER($E751:$E761,($A751:$A761=$A751)*($J751:$J761=K$42)))),0)</f>
        <v>0</v>
      </c>
      <c r="L751" s="68" cm="1">
        <f t="array" ref="L751">IFERROR(IF($A751=$A750,0,SUM(_xlfn._xlws.FILTER($E751:$E761,($A751:$A761=$A751)*($J751:$J761=L$42)))),0)</f>
        <v>0</v>
      </c>
      <c r="M751" s="68" cm="1">
        <f t="array" ref="M751">IFERROR(IF($A751=$A750,0,SUM(_xlfn._xlws.FILTER($E751:$E761,($A751:$A761=$A751)*($J751:$J761=M$42)))),0)</f>
        <v>0</v>
      </c>
      <c r="N751" s="68" cm="1">
        <f t="array" ref="N751">IFERROR(IF($A751=$A750,0,SUM(_xlfn._xlws.FILTER($E751:$E761,($A751:$A761=$A751)*($J751:$J761=N$42)))),0)</f>
        <v>0</v>
      </c>
    </row>
    <row r="752" spans="5:14" x14ac:dyDescent="0.3">
      <c r="E752" s="67">
        <f ca="1">IFERROR(C752*D752*_xlfn.XLOOKUP(B752,[1]!TabCalc[Ticker],[1]!TabCalc[Scale]),0)</f>
        <v>0</v>
      </c>
      <c r="F752" s="68" cm="1">
        <f t="array" ref="F752">IF(A752=A751,0,SUM(_xlfn._xlws.FILTER(E752:E762,A752:A762=A752)))</f>
        <v>0</v>
      </c>
      <c r="G752" s="69">
        <f>IF(F752&lt;&gt;0,SUM($F$43:F752),0)</f>
        <v>0</v>
      </c>
      <c r="H752" s="69" cm="1">
        <f t="array" ref="H752">IFERROR(IF(A752=A751,0,SUM(_xlfn._xlws.FILTER(E752:E762,(A752:A762=A752)*(E752:E762&gt;0)))),0)</f>
        <v>0</v>
      </c>
      <c r="I752" s="69" cm="1">
        <f t="array" ref="I752">IFERROR(IF(A752=A751,0,SUM(_xlfn._xlws.FILTER(E752:E762,(A752:A762=A752)*(F752&lt;0)))),0)</f>
        <v>0</v>
      </c>
      <c r="J752" s="81" t="str">
        <f ca="1">IFERROR(_xlfn.XLOOKUP(B752,[1]!TabCalc[Ticker],[1]!TabCalc[Cur]),"")</f>
        <v/>
      </c>
      <c r="K752" s="68" cm="1">
        <f t="array" ref="K752">IFERROR(IF($A752=$A751,0,SUM(_xlfn._xlws.FILTER($E752:$E762,($A752:$A762=$A752)*($J752:$J762=K$42)))),0)</f>
        <v>0</v>
      </c>
      <c r="L752" s="68" cm="1">
        <f t="array" ref="L752">IFERROR(IF($A752=$A751,0,SUM(_xlfn._xlws.FILTER($E752:$E762,($A752:$A762=$A752)*($J752:$J762=L$42)))),0)</f>
        <v>0</v>
      </c>
      <c r="M752" s="68" cm="1">
        <f t="array" ref="M752">IFERROR(IF($A752=$A751,0,SUM(_xlfn._xlws.FILTER($E752:$E762,($A752:$A762=$A752)*($J752:$J762=M$42)))),0)</f>
        <v>0</v>
      </c>
      <c r="N752" s="68" cm="1">
        <f t="array" ref="N752">IFERROR(IF($A752=$A751,0,SUM(_xlfn._xlws.FILTER($E752:$E762,($A752:$A762=$A752)*($J752:$J762=N$42)))),0)</f>
        <v>0</v>
      </c>
    </row>
    <row r="753" spans="5:14" x14ac:dyDescent="0.3">
      <c r="E753" s="67">
        <f ca="1">IFERROR(C753*D753*_xlfn.XLOOKUP(B753,[1]!TabCalc[Ticker],[1]!TabCalc[Scale]),0)</f>
        <v>0</v>
      </c>
      <c r="F753" s="68" cm="1">
        <f t="array" ref="F753">IF(A753=A752,0,SUM(_xlfn._xlws.FILTER(E753:E763,A753:A763=A753)))</f>
        <v>0</v>
      </c>
      <c r="G753" s="69">
        <f>IF(F753&lt;&gt;0,SUM($F$43:F753),0)</f>
        <v>0</v>
      </c>
      <c r="H753" s="69" cm="1">
        <f t="array" ref="H753">IFERROR(IF(A753=A752,0,SUM(_xlfn._xlws.FILTER(E753:E763,(A753:A763=A753)*(E753:E763&gt;0)))),0)</f>
        <v>0</v>
      </c>
      <c r="I753" s="69" cm="1">
        <f t="array" ref="I753">IFERROR(IF(A753=A752,0,SUM(_xlfn._xlws.FILTER(E753:E763,(A753:A763=A753)*(F753&lt;0)))),0)</f>
        <v>0</v>
      </c>
      <c r="J753" s="81" t="str">
        <f ca="1">IFERROR(_xlfn.XLOOKUP(B753,[1]!TabCalc[Ticker],[1]!TabCalc[Cur]),"")</f>
        <v/>
      </c>
      <c r="K753" s="68" cm="1">
        <f t="array" ref="K753">IFERROR(IF($A753=$A752,0,SUM(_xlfn._xlws.FILTER($E753:$E763,($A753:$A763=$A753)*($J753:$J763=K$42)))),0)</f>
        <v>0</v>
      </c>
      <c r="L753" s="68" cm="1">
        <f t="array" ref="L753">IFERROR(IF($A753=$A752,0,SUM(_xlfn._xlws.FILTER($E753:$E763,($A753:$A763=$A753)*($J753:$J763=L$42)))),0)</f>
        <v>0</v>
      </c>
      <c r="M753" s="68" cm="1">
        <f t="array" ref="M753">IFERROR(IF($A753=$A752,0,SUM(_xlfn._xlws.FILTER($E753:$E763,($A753:$A763=$A753)*($J753:$J763=M$42)))),0)</f>
        <v>0</v>
      </c>
      <c r="N753" s="68" cm="1">
        <f t="array" ref="N753">IFERROR(IF($A753=$A752,0,SUM(_xlfn._xlws.FILTER($E753:$E763,($A753:$A763=$A753)*($J753:$J763=N$42)))),0)</f>
        <v>0</v>
      </c>
    </row>
    <row r="754" spans="5:14" x14ac:dyDescent="0.3">
      <c r="E754" s="67">
        <f ca="1">IFERROR(C754*D754*_xlfn.XLOOKUP(B754,[1]!TabCalc[Ticker],[1]!TabCalc[Scale]),0)</f>
        <v>0</v>
      </c>
      <c r="F754" s="68" cm="1">
        <f t="array" ref="F754">IF(A754=A753,0,SUM(_xlfn._xlws.FILTER(E754:E764,A754:A764=A754)))</f>
        <v>0</v>
      </c>
      <c r="G754" s="69">
        <f>IF(F754&lt;&gt;0,SUM($F$43:F754),0)</f>
        <v>0</v>
      </c>
      <c r="H754" s="69" cm="1">
        <f t="array" ref="H754">IFERROR(IF(A754=A753,0,SUM(_xlfn._xlws.FILTER(E754:E764,(A754:A764=A754)*(E754:E764&gt;0)))),0)</f>
        <v>0</v>
      </c>
      <c r="I754" s="69" cm="1">
        <f t="array" ref="I754">IFERROR(IF(A754=A753,0,SUM(_xlfn._xlws.FILTER(E754:E764,(A754:A764=A754)*(F754&lt;0)))),0)</f>
        <v>0</v>
      </c>
      <c r="J754" s="81" t="str">
        <f ca="1">IFERROR(_xlfn.XLOOKUP(B754,[1]!TabCalc[Ticker],[1]!TabCalc[Cur]),"")</f>
        <v/>
      </c>
      <c r="K754" s="68" cm="1">
        <f t="array" ref="K754">IFERROR(IF($A754=$A753,0,SUM(_xlfn._xlws.FILTER($E754:$E764,($A754:$A764=$A754)*($J754:$J764=K$42)))),0)</f>
        <v>0</v>
      </c>
      <c r="L754" s="68" cm="1">
        <f t="array" ref="L754">IFERROR(IF($A754=$A753,0,SUM(_xlfn._xlws.FILTER($E754:$E764,($A754:$A764=$A754)*($J754:$J764=L$42)))),0)</f>
        <v>0</v>
      </c>
      <c r="M754" s="68" cm="1">
        <f t="array" ref="M754">IFERROR(IF($A754=$A753,0,SUM(_xlfn._xlws.FILTER($E754:$E764,($A754:$A764=$A754)*($J754:$J764=M$42)))),0)</f>
        <v>0</v>
      </c>
      <c r="N754" s="68" cm="1">
        <f t="array" ref="N754">IFERROR(IF($A754=$A753,0,SUM(_xlfn._xlws.FILTER($E754:$E764,($A754:$A764=$A754)*($J754:$J764=N$42)))),0)</f>
        <v>0</v>
      </c>
    </row>
    <row r="755" spans="5:14" x14ac:dyDescent="0.3">
      <c r="E755" s="67">
        <f ca="1">IFERROR(C755*D755*_xlfn.XLOOKUP(B755,[1]!TabCalc[Ticker],[1]!TabCalc[Scale]),0)</f>
        <v>0</v>
      </c>
      <c r="F755" s="68" cm="1">
        <f t="array" ref="F755">IF(A755=A754,0,SUM(_xlfn._xlws.FILTER(E755:E765,A755:A765=A755)))</f>
        <v>0</v>
      </c>
      <c r="G755" s="69">
        <f>IF(F755&lt;&gt;0,SUM($F$43:F755),0)</f>
        <v>0</v>
      </c>
      <c r="H755" s="69" cm="1">
        <f t="array" ref="H755">IFERROR(IF(A755=A754,0,SUM(_xlfn._xlws.FILTER(E755:E765,(A755:A765=A755)*(E755:E765&gt;0)))),0)</f>
        <v>0</v>
      </c>
      <c r="I755" s="69" cm="1">
        <f t="array" ref="I755">IFERROR(IF(A755=A754,0,SUM(_xlfn._xlws.FILTER(E755:E765,(A755:A765=A755)*(F755&lt;0)))),0)</f>
        <v>0</v>
      </c>
      <c r="J755" s="81" t="str">
        <f ca="1">IFERROR(_xlfn.XLOOKUP(B755,[1]!TabCalc[Ticker],[1]!TabCalc[Cur]),"")</f>
        <v/>
      </c>
      <c r="K755" s="68" cm="1">
        <f t="array" ref="K755">IFERROR(IF($A755=$A754,0,SUM(_xlfn._xlws.FILTER($E755:$E765,($A755:$A765=$A755)*($J755:$J765=K$42)))),0)</f>
        <v>0</v>
      </c>
      <c r="L755" s="68" cm="1">
        <f t="array" ref="L755">IFERROR(IF($A755=$A754,0,SUM(_xlfn._xlws.FILTER($E755:$E765,($A755:$A765=$A755)*($J755:$J765=L$42)))),0)</f>
        <v>0</v>
      </c>
      <c r="M755" s="68" cm="1">
        <f t="array" ref="M755">IFERROR(IF($A755=$A754,0,SUM(_xlfn._xlws.FILTER($E755:$E765,($A755:$A765=$A755)*($J755:$J765=M$42)))),0)</f>
        <v>0</v>
      </c>
      <c r="N755" s="68" cm="1">
        <f t="array" ref="N755">IFERROR(IF($A755=$A754,0,SUM(_xlfn._xlws.FILTER($E755:$E765,($A755:$A765=$A755)*($J755:$J765=N$42)))),0)</f>
        <v>0</v>
      </c>
    </row>
    <row r="756" spans="5:14" x14ac:dyDescent="0.3">
      <c r="E756" s="67">
        <f ca="1">IFERROR(C756*D756*_xlfn.XLOOKUP(B756,[1]!TabCalc[Ticker],[1]!TabCalc[Scale]),0)</f>
        <v>0</v>
      </c>
      <c r="F756" s="68" cm="1">
        <f t="array" ref="F756">IF(A756=A755,0,SUM(_xlfn._xlws.FILTER(E756:E766,A756:A766=A756)))</f>
        <v>0</v>
      </c>
      <c r="G756" s="69">
        <f>IF(F756&lt;&gt;0,SUM($F$43:F756),0)</f>
        <v>0</v>
      </c>
      <c r="H756" s="69" cm="1">
        <f t="array" ref="H756">IFERROR(IF(A756=A755,0,SUM(_xlfn._xlws.FILTER(E756:E766,(A756:A766=A756)*(E756:E766&gt;0)))),0)</f>
        <v>0</v>
      </c>
      <c r="I756" s="69" cm="1">
        <f t="array" ref="I756">IFERROR(IF(A756=A755,0,SUM(_xlfn._xlws.FILTER(E756:E766,(A756:A766=A756)*(F756&lt;0)))),0)</f>
        <v>0</v>
      </c>
      <c r="J756" s="81" t="str">
        <f ca="1">IFERROR(_xlfn.XLOOKUP(B756,[1]!TabCalc[Ticker],[1]!TabCalc[Cur]),"")</f>
        <v/>
      </c>
      <c r="K756" s="68" cm="1">
        <f t="array" ref="K756">IFERROR(IF($A756=$A755,0,SUM(_xlfn._xlws.FILTER($E756:$E766,($A756:$A766=$A756)*($J756:$J766=K$42)))),0)</f>
        <v>0</v>
      </c>
      <c r="L756" s="68" cm="1">
        <f t="array" ref="L756">IFERROR(IF($A756=$A755,0,SUM(_xlfn._xlws.FILTER($E756:$E766,($A756:$A766=$A756)*($J756:$J766=L$42)))),0)</f>
        <v>0</v>
      </c>
      <c r="M756" s="68" cm="1">
        <f t="array" ref="M756">IFERROR(IF($A756=$A755,0,SUM(_xlfn._xlws.FILTER($E756:$E766,($A756:$A766=$A756)*($J756:$J766=M$42)))),0)</f>
        <v>0</v>
      </c>
      <c r="N756" s="68" cm="1">
        <f t="array" ref="N756">IFERROR(IF($A756=$A755,0,SUM(_xlfn._xlws.FILTER($E756:$E766,($A756:$A766=$A756)*($J756:$J766=N$42)))),0)</f>
        <v>0</v>
      </c>
    </row>
    <row r="757" spans="5:14" x14ac:dyDescent="0.3">
      <c r="E757" s="67">
        <f ca="1">IFERROR(C757*D757*_xlfn.XLOOKUP(B757,[1]!TabCalc[Ticker],[1]!TabCalc[Scale]),0)</f>
        <v>0</v>
      </c>
      <c r="F757" s="68" cm="1">
        <f t="array" ref="F757">IF(A757=A756,0,SUM(_xlfn._xlws.FILTER(E757:E767,A757:A767=A757)))</f>
        <v>0</v>
      </c>
      <c r="G757" s="69">
        <f>IF(F757&lt;&gt;0,SUM($F$43:F757),0)</f>
        <v>0</v>
      </c>
      <c r="H757" s="69" cm="1">
        <f t="array" ref="H757">IFERROR(IF(A757=A756,0,SUM(_xlfn._xlws.FILTER(E757:E767,(A757:A767=A757)*(E757:E767&gt;0)))),0)</f>
        <v>0</v>
      </c>
      <c r="I757" s="69" cm="1">
        <f t="array" ref="I757">IFERROR(IF(A757=A756,0,SUM(_xlfn._xlws.FILTER(E757:E767,(A757:A767=A757)*(F757&lt;0)))),0)</f>
        <v>0</v>
      </c>
      <c r="J757" s="81" t="str">
        <f ca="1">IFERROR(_xlfn.XLOOKUP(B757,[1]!TabCalc[Ticker],[1]!TabCalc[Cur]),"")</f>
        <v/>
      </c>
      <c r="K757" s="68" cm="1">
        <f t="array" ref="K757">IFERROR(IF($A757=$A756,0,SUM(_xlfn._xlws.FILTER($E757:$E767,($A757:$A767=$A757)*($J757:$J767=K$42)))),0)</f>
        <v>0</v>
      </c>
      <c r="L757" s="68" cm="1">
        <f t="array" ref="L757">IFERROR(IF($A757=$A756,0,SUM(_xlfn._xlws.FILTER($E757:$E767,($A757:$A767=$A757)*($J757:$J767=L$42)))),0)</f>
        <v>0</v>
      </c>
      <c r="M757" s="68" cm="1">
        <f t="array" ref="M757">IFERROR(IF($A757=$A756,0,SUM(_xlfn._xlws.FILTER($E757:$E767,($A757:$A767=$A757)*($J757:$J767=M$42)))),0)</f>
        <v>0</v>
      </c>
      <c r="N757" s="68" cm="1">
        <f t="array" ref="N757">IFERROR(IF($A757=$A756,0,SUM(_xlfn._xlws.FILTER($E757:$E767,($A757:$A767=$A757)*($J757:$J767=N$42)))),0)</f>
        <v>0</v>
      </c>
    </row>
    <row r="758" spans="5:14" x14ac:dyDescent="0.3">
      <c r="E758" s="67">
        <f ca="1">IFERROR(C758*D758*_xlfn.XLOOKUP(B758,[1]!TabCalc[Ticker],[1]!TabCalc[Scale]),0)</f>
        <v>0</v>
      </c>
      <c r="F758" s="68" cm="1">
        <f t="array" ref="F758">IF(A758=A757,0,SUM(_xlfn._xlws.FILTER(E758:E768,A758:A768=A758)))</f>
        <v>0</v>
      </c>
      <c r="G758" s="69">
        <f>IF(F758&lt;&gt;0,SUM($F$43:F758),0)</f>
        <v>0</v>
      </c>
      <c r="H758" s="69" cm="1">
        <f t="array" ref="H758">IFERROR(IF(A758=A757,0,SUM(_xlfn._xlws.FILTER(E758:E768,(A758:A768=A758)*(E758:E768&gt;0)))),0)</f>
        <v>0</v>
      </c>
      <c r="I758" s="69" cm="1">
        <f t="array" ref="I758">IFERROR(IF(A758=A757,0,SUM(_xlfn._xlws.FILTER(E758:E768,(A758:A768=A758)*(F758&lt;0)))),0)</f>
        <v>0</v>
      </c>
      <c r="J758" s="81" t="str">
        <f ca="1">IFERROR(_xlfn.XLOOKUP(B758,[1]!TabCalc[Ticker],[1]!TabCalc[Cur]),"")</f>
        <v/>
      </c>
      <c r="K758" s="68" cm="1">
        <f t="array" ref="K758">IFERROR(IF($A758=$A757,0,SUM(_xlfn._xlws.FILTER($E758:$E768,($A758:$A768=$A758)*($J758:$J768=K$42)))),0)</f>
        <v>0</v>
      </c>
      <c r="L758" s="68" cm="1">
        <f t="array" ref="L758">IFERROR(IF($A758=$A757,0,SUM(_xlfn._xlws.FILTER($E758:$E768,($A758:$A768=$A758)*($J758:$J768=L$42)))),0)</f>
        <v>0</v>
      </c>
      <c r="M758" s="68" cm="1">
        <f t="array" ref="M758">IFERROR(IF($A758=$A757,0,SUM(_xlfn._xlws.FILTER($E758:$E768,($A758:$A768=$A758)*($J758:$J768=M$42)))),0)</f>
        <v>0</v>
      </c>
      <c r="N758" s="68" cm="1">
        <f t="array" ref="N758">IFERROR(IF($A758=$A757,0,SUM(_xlfn._xlws.FILTER($E758:$E768,($A758:$A768=$A758)*($J758:$J768=N$42)))),0)</f>
        <v>0</v>
      </c>
    </row>
    <row r="759" spans="5:14" x14ac:dyDescent="0.3">
      <c r="E759" s="67">
        <f ca="1">IFERROR(C759*D759*_xlfn.XLOOKUP(B759,[1]!TabCalc[Ticker],[1]!TabCalc[Scale]),0)</f>
        <v>0</v>
      </c>
      <c r="F759" s="68" cm="1">
        <f t="array" ref="F759">IF(A759=A758,0,SUM(_xlfn._xlws.FILTER(E759:E769,A759:A769=A759)))</f>
        <v>0</v>
      </c>
      <c r="G759" s="69">
        <f>IF(F759&lt;&gt;0,SUM($F$43:F759),0)</f>
        <v>0</v>
      </c>
      <c r="H759" s="69" cm="1">
        <f t="array" ref="H759">IFERROR(IF(A759=A758,0,SUM(_xlfn._xlws.FILTER(E759:E769,(A759:A769=A759)*(E759:E769&gt;0)))),0)</f>
        <v>0</v>
      </c>
      <c r="I759" s="69" cm="1">
        <f t="array" ref="I759">IFERROR(IF(A759=A758,0,SUM(_xlfn._xlws.FILTER(E759:E769,(A759:A769=A759)*(F759&lt;0)))),0)</f>
        <v>0</v>
      </c>
      <c r="J759" s="81" t="str">
        <f ca="1">IFERROR(_xlfn.XLOOKUP(B759,[1]!TabCalc[Ticker],[1]!TabCalc[Cur]),"")</f>
        <v/>
      </c>
      <c r="K759" s="68" cm="1">
        <f t="array" ref="K759">IFERROR(IF($A759=$A758,0,SUM(_xlfn._xlws.FILTER($E759:$E769,($A759:$A769=$A759)*($J759:$J769=K$42)))),0)</f>
        <v>0</v>
      </c>
      <c r="L759" s="68" cm="1">
        <f t="array" ref="L759">IFERROR(IF($A759=$A758,0,SUM(_xlfn._xlws.FILTER($E759:$E769,($A759:$A769=$A759)*($J759:$J769=L$42)))),0)</f>
        <v>0</v>
      </c>
      <c r="M759" s="68" cm="1">
        <f t="array" ref="M759">IFERROR(IF($A759=$A758,0,SUM(_xlfn._xlws.FILTER($E759:$E769,($A759:$A769=$A759)*($J759:$J769=M$42)))),0)</f>
        <v>0</v>
      </c>
      <c r="N759" s="68" cm="1">
        <f t="array" ref="N759">IFERROR(IF($A759=$A758,0,SUM(_xlfn._xlws.FILTER($E759:$E769,($A759:$A769=$A759)*($J759:$J769=N$42)))),0)</f>
        <v>0</v>
      </c>
    </row>
    <row r="760" spans="5:14" x14ac:dyDescent="0.3">
      <c r="E760" s="67">
        <f ca="1">IFERROR(C760*D760*_xlfn.XLOOKUP(B760,[1]!TabCalc[Ticker],[1]!TabCalc[Scale]),0)</f>
        <v>0</v>
      </c>
      <c r="F760" s="68" cm="1">
        <f t="array" ref="F760">IF(A760=A759,0,SUM(_xlfn._xlws.FILTER(E760:E770,A760:A770=A760)))</f>
        <v>0</v>
      </c>
      <c r="G760" s="69">
        <f>IF(F760&lt;&gt;0,SUM($F$43:F760),0)</f>
        <v>0</v>
      </c>
      <c r="H760" s="69" cm="1">
        <f t="array" ref="H760">IFERROR(IF(A760=A759,0,SUM(_xlfn._xlws.FILTER(E760:E770,(A760:A770=A760)*(E760:E770&gt;0)))),0)</f>
        <v>0</v>
      </c>
      <c r="I760" s="69" cm="1">
        <f t="array" ref="I760">IFERROR(IF(A760=A759,0,SUM(_xlfn._xlws.FILTER(E760:E770,(A760:A770=A760)*(F760&lt;0)))),0)</f>
        <v>0</v>
      </c>
      <c r="J760" s="81" t="str">
        <f ca="1">IFERROR(_xlfn.XLOOKUP(B760,[1]!TabCalc[Ticker],[1]!TabCalc[Cur]),"")</f>
        <v/>
      </c>
      <c r="K760" s="68" cm="1">
        <f t="array" ref="K760">IFERROR(IF($A760=$A759,0,SUM(_xlfn._xlws.FILTER($E760:$E770,($A760:$A770=$A760)*($J760:$J770=K$42)))),0)</f>
        <v>0</v>
      </c>
      <c r="L760" s="68" cm="1">
        <f t="array" ref="L760">IFERROR(IF($A760=$A759,0,SUM(_xlfn._xlws.FILTER($E760:$E770,($A760:$A770=$A760)*($J760:$J770=L$42)))),0)</f>
        <v>0</v>
      </c>
      <c r="M760" s="68" cm="1">
        <f t="array" ref="M760">IFERROR(IF($A760=$A759,0,SUM(_xlfn._xlws.FILTER($E760:$E770,($A760:$A770=$A760)*($J760:$J770=M$42)))),0)</f>
        <v>0</v>
      </c>
      <c r="N760" s="68" cm="1">
        <f t="array" ref="N760">IFERROR(IF($A760=$A759,0,SUM(_xlfn._xlws.FILTER($E760:$E770,($A760:$A770=$A760)*($J760:$J770=N$42)))),0)</f>
        <v>0</v>
      </c>
    </row>
    <row r="761" spans="5:14" x14ac:dyDescent="0.3">
      <c r="E761" s="67">
        <f ca="1">IFERROR(C761*D761*_xlfn.XLOOKUP(B761,[1]!TabCalc[Ticker],[1]!TabCalc[Scale]),0)</f>
        <v>0</v>
      </c>
      <c r="F761" s="68" cm="1">
        <f t="array" ref="F761">IF(A761=A760,0,SUM(_xlfn._xlws.FILTER(E761:E771,A761:A771=A761)))</f>
        <v>0</v>
      </c>
      <c r="G761" s="69">
        <f>IF(F761&lt;&gt;0,SUM($F$43:F761),0)</f>
        <v>0</v>
      </c>
      <c r="H761" s="69" cm="1">
        <f t="array" ref="H761">IFERROR(IF(A761=A760,0,SUM(_xlfn._xlws.FILTER(E761:E771,(A761:A771=A761)*(E761:E771&gt;0)))),0)</f>
        <v>0</v>
      </c>
      <c r="I761" s="69" cm="1">
        <f t="array" ref="I761">IFERROR(IF(A761=A760,0,SUM(_xlfn._xlws.FILTER(E761:E771,(A761:A771=A761)*(F761&lt;0)))),0)</f>
        <v>0</v>
      </c>
      <c r="J761" s="81" t="str">
        <f ca="1">IFERROR(_xlfn.XLOOKUP(B761,[1]!TabCalc[Ticker],[1]!TabCalc[Cur]),"")</f>
        <v/>
      </c>
      <c r="K761" s="68" cm="1">
        <f t="array" ref="K761">IFERROR(IF($A761=$A760,0,SUM(_xlfn._xlws.FILTER($E761:$E771,($A761:$A771=$A761)*($J761:$J771=K$42)))),0)</f>
        <v>0</v>
      </c>
      <c r="L761" s="68" cm="1">
        <f t="array" ref="L761">IFERROR(IF($A761=$A760,0,SUM(_xlfn._xlws.FILTER($E761:$E771,($A761:$A771=$A761)*($J761:$J771=L$42)))),0)</f>
        <v>0</v>
      </c>
      <c r="M761" s="68" cm="1">
        <f t="array" ref="M761">IFERROR(IF($A761=$A760,0,SUM(_xlfn._xlws.FILTER($E761:$E771,($A761:$A771=$A761)*($J761:$J771=M$42)))),0)</f>
        <v>0</v>
      </c>
      <c r="N761" s="68" cm="1">
        <f t="array" ref="N761">IFERROR(IF($A761=$A760,0,SUM(_xlfn._xlws.FILTER($E761:$E771,($A761:$A771=$A761)*($J761:$J771=N$42)))),0)</f>
        <v>0</v>
      </c>
    </row>
    <row r="762" spans="5:14" x14ac:dyDescent="0.3">
      <c r="E762" s="67">
        <f ca="1">IFERROR(C762*D762*_xlfn.XLOOKUP(B762,[1]!TabCalc[Ticker],[1]!TabCalc[Scale]),0)</f>
        <v>0</v>
      </c>
      <c r="F762" s="68" cm="1">
        <f t="array" ref="F762">IF(A762=A761,0,SUM(_xlfn._xlws.FILTER(E762:E772,A762:A772=A762)))</f>
        <v>0</v>
      </c>
      <c r="G762" s="69">
        <f>IF(F762&lt;&gt;0,SUM($F$43:F762),0)</f>
        <v>0</v>
      </c>
      <c r="H762" s="69" cm="1">
        <f t="array" ref="H762">IFERROR(IF(A762=A761,0,SUM(_xlfn._xlws.FILTER(E762:E772,(A762:A772=A762)*(E762:E772&gt;0)))),0)</f>
        <v>0</v>
      </c>
      <c r="I762" s="69" cm="1">
        <f t="array" ref="I762">IFERROR(IF(A762=A761,0,SUM(_xlfn._xlws.FILTER(E762:E772,(A762:A772=A762)*(F762&lt;0)))),0)</f>
        <v>0</v>
      </c>
      <c r="J762" s="81" t="str">
        <f ca="1">IFERROR(_xlfn.XLOOKUP(B762,[1]!TabCalc[Ticker],[1]!TabCalc[Cur]),"")</f>
        <v/>
      </c>
      <c r="K762" s="68" cm="1">
        <f t="array" ref="K762">IFERROR(IF($A762=$A761,0,SUM(_xlfn._xlws.FILTER($E762:$E772,($A762:$A772=$A762)*($J762:$J772=K$42)))),0)</f>
        <v>0</v>
      </c>
      <c r="L762" s="68" cm="1">
        <f t="array" ref="L762">IFERROR(IF($A762=$A761,0,SUM(_xlfn._xlws.FILTER($E762:$E772,($A762:$A772=$A762)*($J762:$J772=L$42)))),0)</f>
        <v>0</v>
      </c>
      <c r="M762" s="68" cm="1">
        <f t="array" ref="M762">IFERROR(IF($A762=$A761,0,SUM(_xlfn._xlws.FILTER($E762:$E772,($A762:$A772=$A762)*($J762:$J772=M$42)))),0)</f>
        <v>0</v>
      </c>
      <c r="N762" s="68" cm="1">
        <f t="array" ref="N762">IFERROR(IF($A762=$A761,0,SUM(_xlfn._xlws.FILTER($E762:$E772,($A762:$A772=$A762)*($J762:$J772=N$42)))),0)</f>
        <v>0</v>
      </c>
    </row>
    <row r="763" spans="5:14" x14ac:dyDescent="0.3">
      <c r="E763" s="67">
        <f ca="1">IFERROR(C763*D763*_xlfn.XLOOKUP(B763,[1]!TabCalc[Ticker],[1]!TabCalc[Scale]),0)</f>
        <v>0</v>
      </c>
      <c r="F763" s="68" cm="1">
        <f t="array" ref="F763">IF(A763=A762,0,SUM(_xlfn._xlws.FILTER(E763:E773,A763:A773=A763)))</f>
        <v>0</v>
      </c>
      <c r="G763" s="69">
        <f>IF(F763&lt;&gt;0,SUM($F$43:F763),0)</f>
        <v>0</v>
      </c>
      <c r="H763" s="69" cm="1">
        <f t="array" ref="H763">IFERROR(IF(A763=A762,0,SUM(_xlfn._xlws.FILTER(E763:E773,(A763:A773=A763)*(E763:E773&gt;0)))),0)</f>
        <v>0</v>
      </c>
      <c r="I763" s="69" cm="1">
        <f t="array" ref="I763">IFERROR(IF(A763=A762,0,SUM(_xlfn._xlws.FILTER(E763:E773,(A763:A773=A763)*(F763&lt;0)))),0)</f>
        <v>0</v>
      </c>
      <c r="J763" s="81" t="str">
        <f ca="1">IFERROR(_xlfn.XLOOKUP(B763,[1]!TabCalc[Ticker],[1]!TabCalc[Cur]),"")</f>
        <v/>
      </c>
      <c r="K763" s="68" cm="1">
        <f t="array" ref="K763">IFERROR(IF($A763=$A762,0,SUM(_xlfn._xlws.FILTER($E763:$E773,($A763:$A773=$A763)*($J763:$J773=K$42)))),0)</f>
        <v>0</v>
      </c>
      <c r="L763" s="68" cm="1">
        <f t="array" ref="L763">IFERROR(IF($A763=$A762,0,SUM(_xlfn._xlws.FILTER($E763:$E773,($A763:$A773=$A763)*($J763:$J773=L$42)))),0)</f>
        <v>0</v>
      </c>
      <c r="M763" s="68" cm="1">
        <f t="array" ref="M763">IFERROR(IF($A763=$A762,0,SUM(_xlfn._xlws.FILTER($E763:$E773,($A763:$A773=$A763)*($J763:$J773=M$42)))),0)</f>
        <v>0</v>
      </c>
      <c r="N763" s="68" cm="1">
        <f t="array" ref="N763">IFERROR(IF($A763=$A762,0,SUM(_xlfn._xlws.FILTER($E763:$E773,($A763:$A773=$A763)*($J763:$J773=N$42)))),0)</f>
        <v>0</v>
      </c>
    </row>
    <row r="764" spans="5:14" x14ac:dyDescent="0.3">
      <c r="E764" s="67">
        <f ca="1">IFERROR(C764*D764*_xlfn.XLOOKUP(B764,[1]!TabCalc[Ticker],[1]!TabCalc[Scale]),0)</f>
        <v>0</v>
      </c>
      <c r="F764" s="68" cm="1">
        <f t="array" ref="F764">IF(A764=A763,0,SUM(_xlfn._xlws.FILTER(E764:E774,A764:A774=A764)))</f>
        <v>0</v>
      </c>
      <c r="G764" s="69">
        <f>IF(F764&lt;&gt;0,SUM($F$43:F764),0)</f>
        <v>0</v>
      </c>
      <c r="H764" s="69" cm="1">
        <f t="array" ref="H764">IFERROR(IF(A764=A763,0,SUM(_xlfn._xlws.FILTER(E764:E774,(A764:A774=A764)*(E764:E774&gt;0)))),0)</f>
        <v>0</v>
      </c>
      <c r="I764" s="69" cm="1">
        <f t="array" ref="I764">IFERROR(IF(A764=A763,0,SUM(_xlfn._xlws.FILTER(E764:E774,(A764:A774=A764)*(F764&lt;0)))),0)</f>
        <v>0</v>
      </c>
      <c r="J764" s="81" t="str">
        <f ca="1">IFERROR(_xlfn.XLOOKUP(B764,[1]!TabCalc[Ticker],[1]!TabCalc[Cur]),"")</f>
        <v/>
      </c>
      <c r="K764" s="68" cm="1">
        <f t="array" ref="K764">IFERROR(IF($A764=$A763,0,SUM(_xlfn._xlws.FILTER($E764:$E774,($A764:$A774=$A764)*($J764:$J774=K$42)))),0)</f>
        <v>0</v>
      </c>
      <c r="L764" s="68" cm="1">
        <f t="array" ref="L764">IFERROR(IF($A764=$A763,0,SUM(_xlfn._xlws.FILTER($E764:$E774,($A764:$A774=$A764)*($J764:$J774=L$42)))),0)</f>
        <v>0</v>
      </c>
      <c r="M764" s="68" cm="1">
        <f t="array" ref="M764">IFERROR(IF($A764=$A763,0,SUM(_xlfn._xlws.FILTER($E764:$E774,($A764:$A774=$A764)*($J764:$J774=M$42)))),0)</f>
        <v>0</v>
      </c>
      <c r="N764" s="68" cm="1">
        <f t="array" ref="N764">IFERROR(IF($A764=$A763,0,SUM(_xlfn._xlws.FILTER($E764:$E774,($A764:$A774=$A764)*($J764:$J774=N$42)))),0)</f>
        <v>0</v>
      </c>
    </row>
    <row r="765" spans="5:14" x14ac:dyDescent="0.3">
      <c r="E765" s="67">
        <f ca="1">IFERROR(C765*D765*_xlfn.XLOOKUP(B765,[1]!TabCalc[Ticker],[1]!TabCalc[Scale]),0)</f>
        <v>0</v>
      </c>
      <c r="F765" s="68" cm="1">
        <f t="array" ref="F765">IF(A765=A764,0,SUM(_xlfn._xlws.FILTER(E765:E775,A765:A775=A765)))</f>
        <v>0</v>
      </c>
      <c r="G765" s="69">
        <f>IF(F765&lt;&gt;0,SUM($F$43:F765),0)</f>
        <v>0</v>
      </c>
      <c r="H765" s="69" cm="1">
        <f t="array" ref="H765">IFERROR(IF(A765=A764,0,SUM(_xlfn._xlws.FILTER(E765:E775,(A765:A775=A765)*(E765:E775&gt;0)))),0)</f>
        <v>0</v>
      </c>
      <c r="I765" s="69" cm="1">
        <f t="array" ref="I765">IFERROR(IF(A765=A764,0,SUM(_xlfn._xlws.FILTER(E765:E775,(A765:A775=A765)*(F765&lt;0)))),0)</f>
        <v>0</v>
      </c>
      <c r="J765" s="81" t="str">
        <f ca="1">IFERROR(_xlfn.XLOOKUP(B765,[1]!TabCalc[Ticker],[1]!TabCalc[Cur]),"")</f>
        <v/>
      </c>
      <c r="K765" s="68" cm="1">
        <f t="array" ref="K765">IFERROR(IF($A765=$A764,0,SUM(_xlfn._xlws.FILTER($E765:$E775,($A765:$A775=$A765)*($J765:$J775=K$42)))),0)</f>
        <v>0</v>
      </c>
      <c r="L765" s="68" cm="1">
        <f t="array" ref="L765">IFERROR(IF($A765=$A764,0,SUM(_xlfn._xlws.FILTER($E765:$E775,($A765:$A775=$A765)*($J765:$J775=L$42)))),0)</f>
        <v>0</v>
      </c>
      <c r="M765" s="68" cm="1">
        <f t="array" ref="M765">IFERROR(IF($A765=$A764,0,SUM(_xlfn._xlws.FILTER($E765:$E775,($A765:$A775=$A765)*($J765:$J775=M$42)))),0)</f>
        <v>0</v>
      </c>
      <c r="N765" s="68" cm="1">
        <f t="array" ref="N765">IFERROR(IF($A765=$A764,0,SUM(_xlfn._xlws.FILTER($E765:$E775,($A765:$A775=$A765)*($J765:$J775=N$42)))),0)</f>
        <v>0</v>
      </c>
    </row>
    <row r="766" spans="5:14" x14ac:dyDescent="0.3">
      <c r="E766" s="67">
        <f ca="1">IFERROR(C766*D766*_xlfn.XLOOKUP(B766,[1]!TabCalc[Ticker],[1]!TabCalc[Scale]),0)</f>
        <v>0</v>
      </c>
      <c r="F766" s="68" cm="1">
        <f t="array" ref="F766">IF(A766=A765,0,SUM(_xlfn._xlws.FILTER(E766:E776,A766:A776=A766)))</f>
        <v>0</v>
      </c>
      <c r="G766" s="69">
        <f>IF(F766&lt;&gt;0,SUM($F$43:F766),0)</f>
        <v>0</v>
      </c>
      <c r="H766" s="69" cm="1">
        <f t="array" ref="H766">IFERROR(IF(A766=A765,0,SUM(_xlfn._xlws.FILTER(E766:E776,(A766:A776=A766)*(E766:E776&gt;0)))),0)</f>
        <v>0</v>
      </c>
      <c r="I766" s="69" cm="1">
        <f t="array" ref="I766">IFERROR(IF(A766=A765,0,SUM(_xlfn._xlws.FILTER(E766:E776,(A766:A776=A766)*(F766&lt;0)))),0)</f>
        <v>0</v>
      </c>
      <c r="J766" s="81" t="str">
        <f ca="1">IFERROR(_xlfn.XLOOKUP(B766,[1]!TabCalc[Ticker],[1]!TabCalc[Cur]),"")</f>
        <v/>
      </c>
      <c r="K766" s="68" cm="1">
        <f t="array" ref="K766">IFERROR(IF($A766=$A765,0,SUM(_xlfn._xlws.FILTER($E766:$E776,($A766:$A776=$A766)*($J766:$J776=K$42)))),0)</f>
        <v>0</v>
      </c>
      <c r="L766" s="68" cm="1">
        <f t="array" ref="L766">IFERROR(IF($A766=$A765,0,SUM(_xlfn._xlws.FILTER($E766:$E776,($A766:$A776=$A766)*($J766:$J776=L$42)))),0)</f>
        <v>0</v>
      </c>
      <c r="M766" s="68" cm="1">
        <f t="array" ref="M766">IFERROR(IF($A766=$A765,0,SUM(_xlfn._xlws.FILTER($E766:$E776,($A766:$A776=$A766)*($J766:$J776=M$42)))),0)</f>
        <v>0</v>
      </c>
      <c r="N766" s="68" cm="1">
        <f t="array" ref="N766">IFERROR(IF($A766=$A765,0,SUM(_xlfn._xlws.FILTER($E766:$E776,($A766:$A776=$A766)*($J766:$J776=N$42)))),0)</f>
        <v>0</v>
      </c>
    </row>
    <row r="767" spans="5:14" x14ac:dyDescent="0.3">
      <c r="E767" s="67">
        <f ca="1">IFERROR(C767*D767*_xlfn.XLOOKUP(B767,[1]!TabCalc[Ticker],[1]!TabCalc[Scale]),0)</f>
        <v>0</v>
      </c>
      <c r="F767" s="68" cm="1">
        <f t="array" ref="F767">IF(A767=A766,0,SUM(_xlfn._xlws.FILTER(E767:E777,A767:A777=A767)))</f>
        <v>0</v>
      </c>
      <c r="G767" s="69">
        <f>IF(F767&lt;&gt;0,SUM($F$43:F767),0)</f>
        <v>0</v>
      </c>
      <c r="H767" s="69" cm="1">
        <f t="array" ref="H767">IFERROR(IF(A767=A766,0,SUM(_xlfn._xlws.FILTER(E767:E777,(A767:A777=A767)*(E767:E777&gt;0)))),0)</f>
        <v>0</v>
      </c>
      <c r="I767" s="69" cm="1">
        <f t="array" ref="I767">IFERROR(IF(A767=A766,0,SUM(_xlfn._xlws.FILTER(E767:E777,(A767:A777=A767)*(F767&lt;0)))),0)</f>
        <v>0</v>
      </c>
      <c r="J767" s="81" t="str">
        <f ca="1">IFERROR(_xlfn.XLOOKUP(B767,[1]!TabCalc[Ticker],[1]!TabCalc[Cur]),"")</f>
        <v/>
      </c>
      <c r="K767" s="68" cm="1">
        <f t="array" ref="K767">IFERROR(IF($A767=$A766,0,SUM(_xlfn._xlws.FILTER($E767:$E777,($A767:$A777=$A767)*($J767:$J777=K$42)))),0)</f>
        <v>0</v>
      </c>
      <c r="L767" s="68" cm="1">
        <f t="array" ref="L767">IFERROR(IF($A767=$A766,0,SUM(_xlfn._xlws.FILTER($E767:$E777,($A767:$A777=$A767)*($J767:$J777=L$42)))),0)</f>
        <v>0</v>
      </c>
      <c r="M767" s="68" cm="1">
        <f t="array" ref="M767">IFERROR(IF($A767=$A766,0,SUM(_xlfn._xlws.FILTER($E767:$E777,($A767:$A777=$A767)*($J767:$J777=M$42)))),0)</f>
        <v>0</v>
      </c>
      <c r="N767" s="68" cm="1">
        <f t="array" ref="N767">IFERROR(IF($A767=$A766,0,SUM(_xlfn._xlws.FILTER($E767:$E777,($A767:$A777=$A767)*($J767:$J777=N$42)))),0)</f>
        <v>0</v>
      </c>
    </row>
    <row r="768" spans="5:14" x14ac:dyDescent="0.3">
      <c r="E768" s="67">
        <f ca="1">IFERROR(C768*D768*_xlfn.XLOOKUP(B768,[1]!TabCalc[Ticker],[1]!TabCalc[Scale]),0)</f>
        <v>0</v>
      </c>
      <c r="F768" s="68" cm="1">
        <f t="array" ref="F768">IF(A768=A767,0,SUM(_xlfn._xlws.FILTER(E768:E778,A768:A778=A768)))</f>
        <v>0</v>
      </c>
      <c r="G768" s="69">
        <f>IF(F768&lt;&gt;0,SUM($F$43:F768),0)</f>
        <v>0</v>
      </c>
      <c r="H768" s="69" cm="1">
        <f t="array" ref="H768">IFERROR(IF(A768=A767,0,SUM(_xlfn._xlws.FILTER(E768:E778,(A768:A778=A768)*(E768:E778&gt;0)))),0)</f>
        <v>0</v>
      </c>
      <c r="I768" s="69" cm="1">
        <f t="array" ref="I768">IFERROR(IF(A768=A767,0,SUM(_xlfn._xlws.FILTER(E768:E778,(A768:A778=A768)*(F768&lt;0)))),0)</f>
        <v>0</v>
      </c>
      <c r="J768" s="81" t="str">
        <f ca="1">IFERROR(_xlfn.XLOOKUP(B768,[1]!TabCalc[Ticker],[1]!TabCalc[Cur]),"")</f>
        <v/>
      </c>
      <c r="K768" s="68" cm="1">
        <f t="array" ref="K768">IFERROR(IF($A768=$A767,0,SUM(_xlfn._xlws.FILTER($E768:$E778,($A768:$A778=$A768)*($J768:$J778=K$42)))),0)</f>
        <v>0</v>
      </c>
      <c r="L768" s="68" cm="1">
        <f t="array" ref="L768">IFERROR(IF($A768=$A767,0,SUM(_xlfn._xlws.FILTER($E768:$E778,($A768:$A778=$A768)*($J768:$J778=L$42)))),0)</f>
        <v>0</v>
      </c>
      <c r="M768" s="68" cm="1">
        <f t="array" ref="M768">IFERROR(IF($A768=$A767,0,SUM(_xlfn._xlws.FILTER($E768:$E778,($A768:$A778=$A768)*($J768:$J778=M$42)))),0)</f>
        <v>0</v>
      </c>
      <c r="N768" s="68" cm="1">
        <f t="array" ref="N768">IFERROR(IF($A768=$A767,0,SUM(_xlfn._xlws.FILTER($E768:$E778,($A768:$A778=$A768)*($J768:$J778=N$42)))),0)</f>
        <v>0</v>
      </c>
    </row>
    <row r="769" spans="5:14" x14ac:dyDescent="0.3">
      <c r="E769" s="67">
        <f ca="1">IFERROR(C769*D769*_xlfn.XLOOKUP(B769,[1]!TabCalc[Ticker],[1]!TabCalc[Scale]),0)</f>
        <v>0</v>
      </c>
      <c r="F769" s="68" cm="1">
        <f t="array" ref="F769">IF(A769=A768,0,SUM(_xlfn._xlws.FILTER(E769:E779,A769:A779=A769)))</f>
        <v>0</v>
      </c>
      <c r="G769" s="69">
        <f>IF(F769&lt;&gt;0,SUM($F$43:F769),0)</f>
        <v>0</v>
      </c>
      <c r="H769" s="69" cm="1">
        <f t="array" ref="H769">IFERROR(IF(A769=A768,0,SUM(_xlfn._xlws.FILTER(E769:E779,(A769:A779=A769)*(E769:E779&gt;0)))),0)</f>
        <v>0</v>
      </c>
      <c r="I769" s="69" cm="1">
        <f t="array" ref="I769">IFERROR(IF(A769=A768,0,SUM(_xlfn._xlws.FILTER(E769:E779,(A769:A779=A769)*(F769&lt;0)))),0)</f>
        <v>0</v>
      </c>
      <c r="J769" s="81" t="str">
        <f ca="1">IFERROR(_xlfn.XLOOKUP(B769,[1]!TabCalc[Ticker],[1]!TabCalc[Cur]),"")</f>
        <v/>
      </c>
      <c r="K769" s="68" cm="1">
        <f t="array" ref="K769">IFERROR(IF($A769=$A768,0,SUM(_xlfn._xlws.FILTER($E769:$E779,($A769:$A779=$A769)*($J769:$J779=K$42)))),0)</f>
        <v>0</v>
      </c>
      <c r="L769" s="68" cm="1">
        <f t="array" ref="L769">IFERROR(IF($A769=$A768,0,SUM(_xlfn._xlws.FILTER($E769:$E779,($A769:$A779=$A769)*($J769:$J779=L$42)))),0)</f>
        <v>0</v>
      </c>
      <c r="M769" s="68" cm="1">
        <f t="array" ref="M769">IFERROR(IF($A769=$A768,0,SUM(_xlfn._xlws.FILTER($E769:$E779,($A769:$A779=$A769)*($J769:$J779=M$42)))),0)</f>
        <v>0</v>
      </c>
      <c r="N769" s="68" cm="1">
        <f t="array" ref="N769">IFERROR(IF($A769=$A768,0,SUM(_xlfn._xlws.FILTER($E769:$E779,($A769:$A779=$A769)*($J769:$J779=N$42)))),0)</f>
        <v>0</v>
      </c>
    </row>
    <row r="770" spans="5:14" x14ac:dyDescent="0.3">
      <c r="E770" s="67">
        <f ca="1">IFERROR(C770*D770*_xlfn.XLOOKUP(B770,[1]!TabCalc[Ticker],[1]!TabCalc[Scale]),0)</f>
        <v>0</v>
      </c>
      <c r="F770" s="68" cm="1">
        <f t="array" ref="F770">IF(A770=A769,0,SUM(_xlfn._xlws.FILTER(E770:E780,A770:A780=A770)))</f>
        <v>0</v>
      </c>
      <c r="G770" s="69">
        <f>IF(F770&lt;&gt;0,SUM($F$43:F770),0)</f>
        <v>0</v>
      </c>
      <c r="H770" s="69" cm="1">
        <f t="array" ref="H770">IFERROR(IF(A770=A769,0,SUM(_xlfn._xlws.FILTER(E770:E780,(A770:A780=A770)*(E770:E780&gt;0)))),0)</f>
        <v>0</v>
      </c>
      <c r="I770" s="69" cm="1">
        <f t="array" ref="I770">IFERROR(IF(A770=A769,0,SUM(_xlfn._xlws.FILTER(E770:E780,(A770:A780=A770)*(F770&lt;0)))),0)</f>
        <v>0</v>
      </c>
      <c r="J770" s="81" t="str">
        <f ca="1">IFERROR(_xlfn.XLOOKUP(B770,[1]!TabCalc[Ticker],[1]!TabCalc[Cur]),"")</f>
        <v/>
      </c>
      <c r="K770" s="68" cm="1">
        <f t="array" ref="K770">IFERROR(IF($A770=$A769,0,SUM(_xlfn._xlws.FILTER($E770:$E780,($A770:$A780=$A770)*($J770:$J780=K$42)))),0)</f>
        <v>0</v>
      </c>
      <c r="L770" s="68" cm="1">
        <f t="array" ref="L770">IFERROR(IF($A770=$A769,0,SUM(_xlfn._xlws.FILTER($E770:$E780,($A770:$A780=$A770)*($J770:$J780=L$42)))),0)</f>
        <v>0</v>
      </c>
      <c r="M770" s="68" cm="1">
        <f t="array" ref="M770">IFERROR(IF($A770=$A769,0,SUM(_xlfn._xlws.FILTER($E770:$E780,($A770:$A780=$A770)*($J770:$J780=M$42)))),0)</f>
        <v>0</v>
      </c>
      <c r="N770" s="68" cm="1">
        <f t="array" ref="N770">IFERROR(IF($A770=$A769,0,SUM(_xlfn._xlws.FILTER($E770:$E780,($A770:$A780=$A770)*($J770:$J780=N$42)))),0)</f>
        <v>0</v>
      </c>
    </row>
    <row r="771" spans="5:14" x14ac:dyDescent="0.3">
      <c r="E771" s="67">
        <f ca="1">IFERROR(C771*D771*_xlfn.XLOOKUP(B771,[1]!TabCalc[Ticker],[1]!TabCalc[Scale]),0)</f>
        <v>0</v>
      </c>
      <c r="F771" s="68" cm="1">
        <f t="array" ref="F771">IF(A771=A770,0,SUM(_xlfn._xlws.FILTER(E771:E781,A771:A781=A771)))</f>
        <v>0</v>
      </c>
      <c r="G771" s="69">
        <f>IF(F771&lt;&gt;0,SUM($F$43:F771),0)</f>
        <v>0</v>
      </c>
      <c r="H771" s="69" cm="1">
        <f t="array" ref="H771">IFERROR(IF(A771=A770,0,SUM(_xlfn._xlws.FILTER(E771:E781,(A771:A781=A771)*(E771:E781&gt;0)))),0)</f>
        <v>0</v>
      </c>
      <c r="I771" s="69" cm="1">
        <f t="array" ref="I771">IFERROR(IF(A771=A770,0,SUM(_xlfn._xlws.FILTER(E771:E781,(A771:A781=A771)*(F771&lt;0)))),0)</f>
        <v>0</v>
      </c>
      <c r="J771" s="81" t="str">
        <f ca="1">IFERROR(_xlfn.XLOOKUP(B771,[1]!TabCalc[Ticker],[1]!TabCalc[Cur]),"")</f>
        <v/>
      </c>
      <c r="K771" s="68" cm="1">
        <f t="array" ref="K771">IFERROR(IF($A771=$A770,0,SUM(_xlfn._xlws.FILTER($E771:$E781,($A771:$A781=$A771)*($J771:$J781=K$42)))),0)</f>
        <v>0</v>
      </c>
      <c r="L771" s="68" cm="1">
        <f t="array" ref="L771">IFERROR(IF($A771=$A770,0,SUM(_xlfn._xlws.FILTER($E771:$E781,($A771:$A781=$A771)*($J771:$J781=L$42)))),0)</f>
        <v>0</v>
      </c>
      <c r="M771" s="68" cm="1">
        <f t="array" ref="M771">IFERROR(IF($A771=$A770,0,SUM(_xlfn._xlws.FILTER($E771:$E781,($A771:$A781=$A771)*($J771:$J781=M$42)))),0)</f>
        <v>0</v>
      </c>
      <c r="N771" s="68" cm="1">
        <f t="array" ref="N771">IFERROR(IF($A771=$A770,0,SUM(_xlfn._xlws.FILTER($E771:$E781,($A771:$A781=$A771)*($J771:$J781=N$42)))),0)</f>
        <v>0</v>
      </c>
    </row>
    <row r="772" spans="5:14" x14ac:dyDescent="0.3">
      <c r="E772" s="67">
        <f ca="1">IFERROR(C772*D772*_xlfn.XLOOKUP(B772,[1]!TabCalc[Ticker],[1]!TabCalc[Scale]),0)</f>
        <v>0</v>
      </c>
      <c r="F772" s="68" cm="1">
        <f t="array" ref="F772">IF(A772=A771,0,SUM(_xlfn._xlws.FILTER(E772:E782,A772:A782=A772)))</f>
        <v>0</v>
      </c>
      <c r="G772" s="69">
        <f>IF(F772&lt;&gt;0,SUM($F$43:F772),0)</f>
        <v>0</v>
      </c>
      <c r="H772" s="69" cm="1">
        <f t="array" ref="H772">IFERROR(IF(A772=A771,0,SUM(_xlfn._xlws.FILTER(E772:E782,(A772:A782=A772)*(E772:E782&gt;0)))),0)</f>
        <v>0</v>
      </c>
      <c r="I772" s="69" cm="1">
        <f t="array" ref="I772">IFERROR(IF(A772=A771,0,SUM(_xlfn._xlws.FILTER(E772:E782,(A772:A782=A772)*(F772&lt;0)))),0)</f>
        <v>0</v>
      </c>
      <c r="J772" s="81" t="str">
        <f ca="1">IFERROR(_xlfn.XLOOKUP(B772,[1]!TabCalc[Ticker],[1]!TabCalc[Cur]),"")</f>
        <v/>
      </c>
      <c r="K772" s="68" cm="1">
        <f t="array" ref="K772">IFERROR(IF($A772=$A771,0,SUM(_xlfn._xlws.FILTER($E772:$E782,($A772:$A782=$A772)*($J772:$J782=K$42)))),0)</f>
        <v>0</v>
      </c>
      <c r="L772" s="68" cm="1">
        <f t="array" ref="L772">IFERROR(IF($A772=$A771,0,SUM(_xlfn._xlws.FILTER($E772:$E782,($A772:$A782=$A772)*($J772:$J782=L$42)))),0)</f>
        <v>0</v>
      </c>
      <c r="M772" s="68" cm="1">
        <f t="array" ref="M772">IFERROR(IF($A772=$A771,0,SUM(_xlfn._xlws.FILTER($E772:$E782,($A772:$A782=$A772)*($J772:$J782=M$42)))),0)</f>
        <v>0</v>
      </c>
      <c r="N772" s="68" cm="1">
        <f t="array" ref="N772">IFERROR(IF($A772=$A771,0,SUM(_xlfn._xlws.FILTER($E772:$E782,($A772:$A782=$A772)*($J772:$J782=N$42)))),0)</f>
        <v>0</v>
      </c>
    </row>
    <row r="773" spans="5:14" x14ac:dyDescent="0.3">
      <c r="E773" s="67">
        <f ca="1">IFERROR(C773*D773*_xlfn.XLOOKUP(B773,[1]!TabCalc[Ticker],[1]!TabCalc[Scale]),0)</f>
        <v>0</v>
      </c>
      <c r="F773" s="68" cm="1">
        <f t="array" ref="F773">IF(A773=A772,0,SUM(_xlfn._xlws.FILTER(E773:E783,A773:A783=A773)))</f>
        <v>0</v>
      </c>
      <c r="G773" s="69">
        <f>IF(F773&lt;&gt;0,SUM($F$43:F773),0)</f>
        <v>0</v>
      </c>
      <c r="H773" s="69" cm="1">
        <f t="array" ref="H773">IFERROR(IF(A773=A772,0,SUM(_xlfn._xlws.FILTER(E773:E783,(A773:A783=A773)*(E773:E783&gt;0)))),0)</f>
        <v>0</v>
      </c>
      <c r="I773" s="69" cm="1">
        <f t="array" ref="I773">IFERROR(IF(A773=A772,0,SUM(_xlfn._xlws.FILTER(E773:E783,(A773:A783=A773)*(F773&lt;0)))),0)</f>
        <v>0</v>
      </c>
      <c r="J773" s="81" t="str">
        <f ca="1">IFERROR(_xlfn.XLOOKUP(B773,[1]!TabCalc[Ticker],[1]!TabCalc[Cur]),"")</f>
        <v/>
      </c>
      <c r="K773" s="68" cm="1">
        <f t="array" ref="K773">IFERROR(IF($A773=$A772,0,SUM(_xlfn._xlws.FILTER($E773:$E783,($A773:$A783=$A773)*($J773:$J783=K$42)))),0)</f>
        <v>0</v>
      </c>
      <c r="L773" s="68" cm="1">
        <f t="array" ref="L773">IFERROR(IF($A773=$A772,0,SUM(_xlfn._xlws.FILTER($E773:$E783,($A773:$A783=$A773)*($J773:$J783=L$42)))),0)</f>
        <v>0</v>
      </c>
      <c r="M773" s="68" cm="1">
        <f t="array" ref="M773">IFERROR(IF($A773=$A772,0,SUM(_xlfn._xlws.FILTER($E773:$E783,($A773:$A783=$A773)*($J773:$J783=M$42)))),0)</f>
        <v>0</v>
      </c>
      <c r="N773" s="68" cm="1">
        <f t="array" ref="N773">IFERROR(IF($A773=$A772,0,SUM(_xlfn._xlws.FILTER($E773:$E783,($A773:$A783=$A773)*($J773:$J783=N$42)))),0)</f>
        <v>0</v>
      </c>
    </row>
    <row r="774" spans="5:14" x14ac:dyDescent="0.3">
      <c r="E774" s="67">
        <f ca="1">IFERROR(C774*D774*_xlfn.XLOOKUP(B774,[1]!TabCalc[Ticker],[1]!TabCalc[Scale]),0)</f>
        <v>0</v>
      </c>
      <c r="F774" s="68" cm="1">
        <f t="array" ref="F774">IF(A774=A773,0,SUM(_xlfn._xlws.FILTER(E774:E784,A774:A784=A774)))</f>
        <v>0</v>
      </c>
      <c r="G774" s="69">
        <f>IF(F774&lt;&gt;0,SUM($F$43:F774),0)</f>
        <v>0</v>
      </c>
      <c r="H774" s="69" cm="1">
        <f t="array" ref="H774">IFERROR(IF(A774=A773,0,SUM(_xlfn._xlws.FILTER(E774:E784,(A774:A784=A774)*(E774:E784&gt;0)))),0)</f>
        <v>0</v>
      </c>
      <c r="I774" s="69" cm="1">
        <f t="array" ref="I774">IFERROR(IF(A774=A773,0,SUM(_xlfn._xlws.FILTER(E774:E784,(A774:A784=A774)*(F774&lt;0)))),0)</f>
        <v>0</v>
      </c>
      <c r="J774" s="81" t="str">
        <f ca="1">IFERROR(_xlfn.XLOOKUP(B774,[1]!TabCalc[Ticker],[1]!TabCalc[Cur]),"")</f>
        <v/>
      </c>
      <c r="K774" s="68" cm="1">
        <f t="array" ref="K774">IFERROR(IF($A774=$A773,0,SUM(_xlfn._xlws.FILTER($E774:$E784,($A774:$A784=$A774)*($J774:$J784=K$42)))),0)</f>
        <v>0</v>
      </c>
      <c r="L774" s="68" cm="1">
        <f t="array" ref="L774">IFERROR(IF($A774=$A773,0,SUM(_xlfn._xlws.FILTER($E774:$E784,($A774:$A784=$A774)*($J774:$J784=L$42)))),0)</f>
        <v>0</v>
      </c>
      <c r="M774" s="68" cm="1">
        <f t="array" ref="M774">IFERROR(IF($A774=$A773,0,SUM(_xlfn._xlws.FILTER($E774:$E784,($A774:$A784=$A774)*($J774:$J784=M$42)))),0)</f>
        <v>0</v>
      </c>
      <c r="N774" s="68" cm="1">
        <f t="array" ref="N774">IFERROR(IF($A774=$A773,0,SUM(_xlfn._xlws.FILTER($E774:$E784,($A774:$A784=$A774)*($J774:$J784=N$42)))),0)</f>
        <v>0</v>
      </c>
    </row>
    <row r="775" spans="5:14" x14ac:dyDescent="0.3">
      <c r="E775" s="67">
        <f ca="1">IFERROR(C775*D775*_xlfn.XLOOKUP(B775,[1]!TabCalc[Ticker],[1]!TabCalc[Scale]),0)</f>
        <v>0</v>
      </c>
      <c r="F775" s="68" cm="1">
        <f t="array" ref="F775">IF(A775=A774,0,SUM(_xlfn._xlws.FILTER(E775:E785,A775:A785=A775)))</f>
        <v>0</v>
      </c>
      <c r="G775" s="69">
        <f>IF(F775&lt;&gt;0,SUM($F$43:F775),0)</f>
        <v>0</v>
      </c>
      <c r="H775" s="69" cm="1">
        <f t="array" ref="H775">IFERROR(IF(A775=A774,0,SUM(_xlfn._xlws.FILTER(E775:E785,(A775:A785=A775)*(E775:E785&gt;0)))),0)</f>
        <v>0</v>
      </c>
      <c r="I775" s="69" cm="1">
        <f t="array" ref="I775">IFERROR(IF(A775=A774,0,SUM(_xlfn._xlws.FILTER(E775:E785,(A775:A785=A775)*(F775&lt;0)))),0)</f>
        <v>0</v>
      </c>
      <c r="J775" s="81" t="str">
        <f ca="1">IFERROR(_xlfn.XLOOKUP(B775,[1]!TabCalc[Ticker],[1]!TabCalc[Cur]),"")</f>
        <v/>
      </c>
      <c r="K775" s="68" cm="1">
        <f t="array" ref="K775">IFERROR(IF($A775=$A774,0,SUM(_xlfn._xlws.FILTER($E775:$E785,($A775:$A785=$A775)*($J775:$J785=K$42)))),0)</f>
        <v>0</v>
      </c>
      <c r="L775" s="68" cm="1">
        <f t="array" ref="L775">IFERROR(IF($A775=$A774,0,SUM(_xlfn._xlws.FILTER($E775:$E785,($A775:$A785=$A775)*($J775:$J785=L$42)))),0)</f>
        <v>0</v>
      </c>
      <c r="M775" s="68" cm="1">
        <f t="array" ref="M775">IFERROR(IF($A775=$A774,0,SUM(_xlfn._xlws.FILTER($E775:$E785,($A775:$A785=$A775)*($J775:$J785=M$42)))),0)</f>
        <v>0</v>
      </c>
      <c r="N775" s="68" cm="1">
        <f t="array" ref="N775">IFERROR(IF($A775=$A774,0,SUM(_xlfn._xlws.FILTER($E775:$E785,($A775:$A785=$A775)*($J775:$J785=N$42)))),0)</f>
        <v>0</v>
      </c>
    </row>
    <row r="776" spans="5:14" x14ac:dyDescent="0.3">
      <c r="E776" s="67">
        <f ca="1">IFERROR(C776*D776*_xlfn.XLOOKUP(B776,[1]!TabCalc[Ticker],[1]!TabCalc[Scale]),0)</f>
        <v>0</v>
      </c>
      <c r="F776" s="68" cm="1">
        <f t="array" ref="F776">IF(A776=A775,0,SUM(_xlfn._xlws.FILTER(E776:E786,A776:A786=A776)))</f>
        <v>0</v>
      </c>
      <c r="G776" s="69">
        <f>IF(F776&lt;&gt;0,SUM($F$43:F776),0)</f>
        <v>0</v>
      </c>
      <c r="H776" s="69" cm="1">
        <f t="array" ref="H776">IFERROR(IF(A776=A775,0,SUM(_xlfn._xlws.FILTER(E776:E786,(A776:A786=A776)*(E776:E786&gt;0)))),0)</f>
        <v>0</v>
      </c>
      <c r="I776" s="69" cm="1">
        <f t="array" ref="I776">IFERROR(IF(A776=A775,0,SUM(_xlfn._xlws.FILTER(E776:E786,(A776:A786=A776)*(F776&lt;0)))),0)</f>
        <v>0</v>
      </c>
      <c r="J776" s="81" t="str">
        <f ca="1">IFERROR(_xlfn.XLOOKUP(B776,[1]!TabCalc[Ticker],[1]!TabCalc[Cur]),"")</f>
        <v/>
      </c>
      <c r="K776" s="68" cm="1">
        <f t="array" ref="K776">IFERROR(IF($A776=$A775,0,SUM(_xlfn._xlws.FILTER($E776:$E786,($A776:$A786=$A776)*($J776:$J786=K$42)))),0)</f>
        <v>0</v>
      </c>
      <c r="L776" s="68" cm="1">
        <f t="array" ref="L776">IFERROR(IF($A776=$A775,0,SUM(_xlfn._xlws.FILTER($E776:$E786,($A776:$A786=$A776)*($J776:$J786=L$42)))),0)</f>
        <v>0</v>
      </c>
      <c r="M776" s="68" cm="1">
        <f t="array" ref="M776">IFERROR(IF($A776=$A775,0,SUM(_xlfn._xlws.FILTER($E776:$E786,($A776:$A786=$A776)*($J776:$J786=M$42)))),0)</f>
        <v>0</v>
      </c>
      <c r="N776" s="68" cm="1">
        <f t="array" ref="N776">IFERROR(IF($A776=$A775,0,SUM(_xlfn._xlws.FILTER($E776:$E786,($A776:$A786=$A776)*($J776:$J786=N$42)))),0)</f>
        <v>0</v>
      </c>
    </row>
    <row r="777" spans="5:14" x14ac:dyDescent="0.3">
      <c r="E777" s="67">
        <f ca="1">IFERROR(C777*D777*_xlfn.XLOOKUP(B777,[1]!TabCalc[Ticker],[1]!TabCalc[Scale]),0)</f>
        <v>0</v>
      </c>
      <c r="F777" s="68" cm="1">
        <f t="array" ref="F777">IF(A777=A776,0,SUM(_xlfn._xlws.FILTER(E777:E787,A777:A787=A777)))</f>
        <v>0</v>
      </c>
      <c r="G777" s="69">
        <f>IF(F777&lt;&gt;0,SUM($F$43:F777),0)</f>
        <v>0</v>
      </c>
      <c r="H777" s="69" cm="1">
        <f t="array" ref="H777">IFERROR(IF(A777=A776,0,SUM(_xlfn._xlws.FILTER(E777:E787,(A777:A787=A777)*(E777:E787&gt;0)))),0)</f>
        <v>0</v>
      </c>
      <c r="I777" s="69" cm="1">
        <f t="array" ref="I777">IFERROR(IF(A777=A776,0,SUM(_xlfn._xlws.FILTER(E777:E787,(A777:A787=A777)*(F777&lt;0)))),0)</f>
        <v>0</v>
      </c>
      <c r="J777" s="81" t="str">
        <f ca="1">IFERROR(_xlfn.XLOOKUP(B777,[1]!TabCalc[Ticker],[1]!TabCalc[Cur]),"")</f>
        <v/>
      </c>
      <c r="K777" s="68" cm="1">
        <f t="array" ref="K777">IFERROR(IF($A777=$A776,0,SUM(_xlfn._xlws.FILTER($E777:$E787,($A777:$A787=$A777)*($J777:$J787=K$42)))),0)</f>
        <v>0</v>
      </c>
      <c r="L777" s="68" cm="1">
        <f t="array" ref="L777">IFERROR(IF($A777=$A776,0,SUM(_xlfn._xlws.FILTER($E777:$E787,($A777:$A787=$A777)*($J777:$J787=L$42)))),0)</f>
        <v>0</v>
      </c>
      <c r="M777" s="68" cm="1">
        <f t="array" ref="M777">IFERROR(IF($A777=$A776,0,SUM(_xlfn._xlws.FILTER($E777:$E787,($A777:$A787=$A777)*($J777:$J787=M$42)))),0)</f>
        <v>0</v>
      </c>
      <c r="N777" s="68" cm="1">
        <f t="array" ref="N777">IFERROR(IF($A777=$A776,0,SUM(_xlfn._xlws.FILTER($E777:$E787,($A777:$A787=$A777)*($J777:$J787=N$42)))),0)</f>
        <v>0</v>
      </c>
    </row>
    <row r="778" spans="5:14" x14ac:dyDescent="0.3">
      <c r="E778" s="67">
        <f ca="1">IFERROR(C778*D778*_xlfn.XLOOKUP(B778,[1]!TabCalc[Ticker],[1]!TabCalc[Scale]),0)</f>
        <v>0</v>
      </c>
      <c r="F778" s="68" cm="1">
        <f t="array" ref="F778">IF(A778=A777,0,SUM(_xlfn._xlws.FILTER(E778:E788,A778:A788=A778)))</f>
        <v>0</v>
      </c>
      <c r="G778" s="69">
        <f>IF(F778&lt;&gt;0,SUM($F$43:F778),0)</f>
        <v>0</v>
      </c>
      <c r="H778" s="69" cm="1">
        <f t="array" ref="H778">IFERROR(IF(A778=A777,0,SUM(_xlfn._xlws.FILTER(E778:E788,(A778:A788=A778)*(E778:E788&gt;0)))),0)</f>
        <v>0</v>
      </c>
      <c r="I778" s="69" cm="1">
        <f t="array" ref="I778">IFERROR(IF(A778=A777,0,SUM(_xlfn._xlws.FILTER(E778:E788,(A778:A788=A778)*(F778&lt;0)))),0)</f>
        <v>0</v>
      </c>
      <c r="J778" s="81" t="str">
        <f ca="1">IFERROR(_xlfn.XLOOKUP(B778,[1]!TabCalc[Ticker],[1]!TabCalc[Cur]),"")</f>
        <v/>
      </c>
      <c r="K778" s="68" cm="1">
        <f t="array" ref="K778">IFERROR(IF($A778=$A777,0,SUM(_xlfn._xlws.FILTER($E778:$E788,($A778:$A788=$A778)*($J778:$J788=K$42)))),0)</f>
        <v>0</v>
      </c>
      <c r="L778" s="68" cm="1">
        <f t="array" ref="L778">IFERROR(IF($A778=$A777,0,SUM(_xlfn._xlws.FILTER($E778:$E788,($A778:$A788=$A778)*($J778:$J788=L$42)))),0)</f>
        <v>0</v>
      </c>
      <c r="M778" s="68" cm="1">
        <f t="array" ref="M778">IFERROR(IF($A778=$A777,0,SUM(_xlfn._xlws.FILTER($E778:$E788,($A778:$A788=$A778)*($J778:$J788=M$42)))),0)</f>
        <v>0</v>
      </c>
      <c r="N778" s="68" cm="1">
        <f t="array" ref="N778">IFERROR(IF($A778=$A777,0,SUM(_xlfn._xlws.FILTER($E778:$E788,($A778:$A788=$A778)*($J778:$J788=N$42)))),0)</f>
        <v>0</v>
      </c>
    </row>
    <row r="779" spans="5:14" x14ac:dyDescent="0.3">
      <c r="E779" s="67">
        <f ca="1">IFERROR(C779*D779*_xlfn.XLOOKUP(B779,[1]!TabCalc[Ticker],[1]!TabCalc[Scale]),0)</f>
        <v>0</v>
      </c>
      <c r="F779" s="68" cm="1">
        <f t="array" ref="F779">IF(A779=A778,0,SUM(_xlfn._xlws.FILTER(E779:E789,A779:A789=A779)))</f>
        <v>0</v>
      </c>
      <c r="G779" s="69">
        <f>IF(F779&lt;&gt;0,SUM($F$43:F779),0)</f>
        <v>0</v>
      </c>
      <c r="H779" s="69" cm="1">
        <f t="array" ref="H779">IFERROR(IF(A779=A778,0,SUM(_xlfn._xlws.FILTER(E779:E789,(A779:A789=A779)*(E779:E789&gt;0)))),0)</f>
        <v>0</v>
      </c>
      <c r="I779" s="69" cm="1">
        <f t="array" ref="I779">IFERROR(IF(A779=A778,0,SUM(_xlfn._xlws.FILTER(E779:E789,(A779:A789=A779)*(F779&lt;0)))),0)</f>
        <v>0</v>
      </c>
      <c r="J779" s="81" t="str">
        <f ca="1">IFERROR(_xlfn.XLOOKUP(B779,[1]!TabCalc[Ticker],[1]!TabCalc[Cur]),"")</f>
        <v/>
      </c>
      <c r="K779" s="68" cm="1">
        <f t="array" ref="K779">IFERROR(IF($A779=$A778,0,SUM(_xlfn._xlws.FILTER($E779:$E789,($A779:$A789=$A779)*($J779:$J789=K$42)))),0)</f>
        <v>0</v>
      </c>
      <c r="L779" s="68" cm="1">
        <f t="array" ref="L779">IFERROR(IF($A779=$A778,0,SUM(_xlfn._xlws.FILTER($E779:$E789,($A779:$A789=$A779)*($J779:$J789=L$42)))),0)</f>
        <v>0</v>
      </c>
      <c r="M779" s="68" cm="1">
        <f t="array" ref="M779">IFERROR(IF($A779=$A778,0,SUM(_xlfn._xlws.FILTER($E779:$E789,($A779:$A789=$A779)*($J779:$J789=M$42)))),0)</f>
        <v>0</v>
      </c>
      <c r="N779" s="68" cm="1">
        <f t="array" ref="N779">IFERROR(IF($A779=$A778,0,SUM(_xlfn._xlws.FILTER($E779:$E789,($A779:$A789=$A779)*($J779:$J789=N$42)))),0)</f>
        <v>0</v>
      </c>
    </row>
    <row r="780" spans="5:14" x14ac:dyDescent="0.3">
      <c r="E780" s="67">
        <f ca="1">IFERROR(C780*D780*_xlfn.XLOOKUP(B780,[1]!TabCalc[Ticker],[1]!TabCalc[Scale]),0)</f>
        <v>0</v>
      </c>
      <c r="F780" s="68" cm="1">
        <f t="array" ref="F780">IF(A780=A779,0,SUM(_xlfn._xlws.FILTER(E780:E790,A780:A790=A780)))</f>
        <v>0</v>
      </c>
      <c r="G780" s="69">
        <f>IF(F780&lt;&gt;0,SUM($F$43:F780),0)</f>
        <v>0</v>
      </c>
      <c r="H780" s="69" cm="1">
        <f t="array" ref="H780">IFERROR(IF(A780=A779,0,SUM(_xlfn._xlws.FILTER(E780:E790,(A780:A790=A780)*(E780:E790&gt;0)))),0)</f>
        <v>0</v>
      </c>
      <c r="I780" s="69" cm="1">
        <f t="array" ref="I780">IFERROR(IF(A780=A779,0,SUM(_xlfn._xlws.FILTER(E780:E790,(A780:A790=A780)*(F780&lt;0)))),0)</f>
        <v>0</v>
      </c>
      <c r="J780" s="81" t="str">
        <f ca="1">IFERROR(_xlfn.XLOOKUP(B780,[1]!TabCalc[Ticker],[1]!TabCalc[Cur]),"")</f>
        <v/>
      </c>
      <c r="K780" s="68" cm="1">
        <f t="array" ref="K780">IFERROR(IF($A780=$A779,0,SUM(_xlfn._xlws.FILTER($E780:$E790,($A780:$A790=$A780)*($J780:$J790=K$42)))),0)</f>
        <v>0</v>
      </c>
      <c r="L780" s="68" cm="1">
        <f t="array" ref="L780">IFERROR(IF($A780=$A779,0,SUM(_xlfn._xlws.FILTER($E780:$E790,($A780:$A790=$A780)*($J780:$J790=L$42)))),0)</f>
        <v>0</v>
      </c>
      <c r="M780" s="68" cm="1">
        <f t="array" ref="M780">IFERROR(IF($A780=$A779,0,SUM(_xlfn._xlws.FILTER($E780:$E790,($A780:$A790=$A780)*($J780:$J790=M$42)))),0)</f>
        <v>0</v>
      </c>
      <c r="N780" s="68" cm="1">
        <f t="array" ref="N780">IFERROR(IF($A780=$A779,0,SUM(_xlfn._xlws.FILTER($E780:$E790,($A780:$A790=$A780)*($J780:$J790=N$42)))),0)</f>
        <v>0</v>
      </c>
    </row>
    <row r="781" spans="5:14" x14ac:dyDescent="0.3">
      <c r="E781" s="67">
        <f ca="1">IFERROR(C781*D781*_xlfn.XLOOKUP(B781,[1]!TabCalc[Ticker],[1]!TabCalc[Scale]),0)</f>
        <v>0</v>
      </c>
      <c r="F781" s="68" cm="1">
        <f t="array" ref="F781">IF(A781=A780,0,SUM(_xlfn._xlws.FILTER(E781:E791,A781:A791=A781)))</f>
        <v>0</v>
      </c>
      <c r="G781" s="69">
        <f>IF(F781&lt;&gt;0,SUM($F$43:F781),0)</f>
        <v>0</v>
      </c>
      <c r="H781" s="69" cm="1">
        <f t="array" ref="H781">IFERROR(IF(A781=A780,0,SUM(_xlfn._xlws.FILTER(E781:E791,(A781:A791=A781)*(E781:E791&gt;0)))),0)</f>
        <v>0</v>
      </c>
      <c r="I781" s="69" cm="1">
        <f t="array" ref="I781">IFERROR(IF(A781=A780,0,SUM(_xlfn._xlws.FILTER(E781:E791,(A781:A791=A781)*(F781&lt;0)))),0)</f>
        <v>0</v>
      </c>
      <c r="J781" s="81" t="str">
        <f ca="1">IFERROR(_xlfn.XLOOKUP(B781,[1]!TabCalc[Ticker],[1]!TabCalc[Cur]),"")</f>
        <v/>
      </c>
      <c r="K781" s="68" cm="1">
        <f t="array" ref="K781">IFERROR(IF($A781=$A780,0,SUM(_xlfn._xlws.FILTER($E781:$E791,($A781:$A791=$A781)*($J781:$J791=K$42)))),0)</f>
        <v>0</v>
      </c>
      <c r="L781" s="68" cm="1">
        <f t="array" ref="L781">IFERROR(IF($A781=$A780,0,SUM(_xlfn._xlws.FILTER($E781:$E791,($A781:$A791=$A781)*($J781:$J791=L$42)))),0)</f>
        <v>0</v>
      </c>
      <c r="M781" s="68" cm="1">
        <f t="array" ref="M781">IFERROR(IF($A781=$A780,0,SUM(_xlfn._xlws.FILTER($E781:$E791,($A781:$A791=$A781)*($J781:$J791=M$42)))),0)</f>
        <v>0</v>
      </c>
      <c r="N781" s="68" cm="1">
        <f t="array" ref="N781">IFERROR(IF($A781=$A780,0,SUM(_xlfn._xlws.FILTER($E781:$E791,($A781:$A791=$A781)*($J781:$J791=N$42)))),0)</f>
        <v>0</v>
      </c>
    </row>
    <row r="782" spans="5:14" x14ac:dyDescent="0.3">
      <c r="E782" s="67">
        <f ca="1">IFERROR(C782*D782*_xlfn.XLOOKUP(B782,[1]!TabCalc[Ticker],[1]!TabCalc[Scale]),0)</f>
        <v>0</v>
      </c>
      <c r="F782" s="68" cm="1">
        <f t="array" ref="F782">IF(A782=A781,0,SUM(_xlfn._xlws.FILTER(E782:E792,A782:A792=A782)))</f>
        <v>0</v>
      </c>
      <c r="G782" s="69">
        <f>IF(F782&lt;&gt;0,SUM($F$43:F782),0)</f>
        <v>0</v>
      </c>
      <c r="H782" s="69" cm="1">
        <f t="array" ref="H782">IFERROR(IF(A782=A781,0,SUM(_xlfn._xlws.FILTER(E782:E792,(A782:A792=A782)*(E782:E792&gt;0)))),0)</f>
        <v>0</v>
      </c>
      <c r="I782" s="69" cm="1">
        <f t="array" ref="I782">IFERROR(IF(A782=A781,0,SUM(_xlfn._xlws.FILTER(E782:E792,(A782:A792=A782)*(F782&lt;0)))),0)</f>
        <v>0</v>
      </c>
      <c r="J782" s="81" t="str">
        <f ca="1">IFERROR(_xlfn.XLOOKUP(B782,[1]!TabCalc[Ticker],[1]!TabCalc[Cur]),"")</f>
        <v/>
      </c>
      <c r="K782" s="68" cm="1">
        <f t="array" ref="K782">IFERROR(IF($A782=$A781,0,SUM(_xlfn._xlws.FILTER($E782:$E792,($A782:$A792=$A782)*($J782:$J792=K$42)))),0)</f>
        <v>0</v>
      </c>
      <c r="L782" s="68" cm="1">
        <f t="array" ref="L782">IFERROR(IF($A782=$A781,0,SUM(_xlfn._xlws.FILTER($E782:$E792,($A782:$A792=$A782)*($J782:$J792=L$42)))),0)</f>
        <v>0</v>
      </c>
      <c r="M782" s="68" cm="1">
        <f t="array" ref="M782">IFERROR(IF($A782=$A781,0,SUM(_xlfn._xlws.FILTER($E782:$E792,($A782:$A792=$A782)*($J782:$J792=M$42)))),0)</f>
        <v>0</v>
      </c>
      <c r="N782" s="68" cm="1">
        <f t="array" ref="N782">IFERROR(IF($A782=$A781,0,SUM(_xlfn._xlws.FILTER($E782:$E792,($A782:$A792=$A782)*($J782:$J792=N$42)))),0)</f>
        <v>0</v>
      </c>
    </row>
    <row r="783" spans="5:14" x14ac:dyDescent="0.3">
      <c r="E783" s="67">
        <f ca="1">IFERROR(C783*D783*_xlfn.XLOOKUP(B783,[1]!TabCalc[Ticker],[1]!TabCalc[Scale]),0)</f>
        <v>0</v>
      </c>
      <c r="F783" s="68" cm="1">
        <f t="array" ref="F783">IF(A783=A782,0,SUM(_xlfn._xlws.FILTER(E783:E793,A783:A793=A783)))</f>
        <v>0</v>
      </c>
      <c r="G783" s="69">
        <f>IF(F783&lt;&gt;0,SUM($F$43:F783),0)</f>
        <v>0</v>
      </c>
      <c r="H783" s="69" cm="1">
        <f t="array" ref="H783">IFERROR(IF(A783=A782,0,SUM(_xlfn._xlws.FILTER(E783:E793,(A783:A793=A783)*(E783:E793&gt;0)))),0)</f>
        <v>0</v>
      </c>
      <c r="I783" s="69" cm="1">
        <f t="array" ref="I783">IFERROR(IF(A783=A782,0,SUM(_xlfn._xlws.FILTER(E783:E793,(A783:A793=A783)*(F783&lt;0)))),0)</f>
        <v>0</v>
      </c>
      <c r="J783" s="81" t="str">
        <f ca="1">IFERROR(_xlfn.XLOOKUP(B783,[1]!TabCalc[Ticker],[1]!TabCalc[Cur]),"")</f>
        <v/>
      </c>
      <c r="K783" s="68" cm="1">
        <f t="array" ref="K783">IFERROR(IF($A783=$A782,0,SUM(_xlfn._xlws.FILTER($E783:$E793,($A783:$A793=$A783)*($J783:$J793=K$42)))),0)</f>
        <v>0</v>
      </c>
      <c r="L783" s="68" cm="1">
        <f t="array" ref="L783">IFERROR(IF($A783=$A782,0,SUM(_xlfn._xlws.FILTER($E783:$E793,($A783:$A793=$A783)*($J783:$J793=L$42)))),0)</f>
        <v>0</v>
      </c>
      <c r="M783" s="68" cm="1">
        <f t="array" ref="M783">IFERROR(IF($A783=$A782,0,SUM(_xlfn._xlws.FILTER($E783:$E793,($A783:$A793=$A783)*($J783:$J793=M$42)))),0)</f>
        <v>0</v>
      </c>
      <c r="N783" s="68" cm="1">
        <f t="array" ref="N783">IFERROR(IF($A783=$A782,0,SUM(_xlfn._xlws.FILTER($E783:$E793,($A783:$A793=$A783)*($J783:$J793=N$42)))),0)</f>
        <v>0</v>
      </c>
    </row>
    <row r="784" spans="5:14" x14ac:dyDescent="0.3">
      <c r="E784" s="67">
        <f ca="1">IFERROR(C784*D784*_xlfn.XLOOKUP(B784,[1]!TabCalc[Ticker],[1]!TabCalc[Scale]),0)</f>
        <v>0</v>
      </c>
      <c r="F784" s="68" cm="1">
        <f t="array" ref="F784">IF(A784=A783,0,SUM(_xlfn._xlws.FILTER(E784:E794,A784:A794=A784)))</f>
        <v>0</v>
      </c>
      <c r="G784" s="69">
        <f>IF(F784&lt;&gt;0,SUM($F$43:F784),0)</f>
        <v>0</v>
      </c>
      <c r="H784" s="69" cm="1">
        <f t="array" ref="H784">IFERROR(IF(A784=A783,0,SUM(_xlfn._xlws.FILTER(E784:E794,(A784:A794=A784)*(E784:E794&gt;0)))),0)</f>
        <v>0</v>
      </c>
      <c r="I784" s="69" cm="1">
        <f t="array" ref="I784">IFERROR(IF(A784=A783,0,SUM(_xlfn._xlws.FILTER(E784:E794,(A784:A794=A784)*(F784&lt;0)))),0)</f>
        <v>0</v>
      </c>
      <c r="J784" s="81" t="str">
        <f ca="1">IFERROR(_xlfn.XLOOKUP(B784,[1]!TabCalc[Ticker],[1]!TabCalc[Cur]),"")</f>
        <v/>
      </c>
      <c r="K784" s="68" cm="1">
        <f t="array" ref="K784">IFERROR(IF($A784=$A783,0,SUM(_xlfn._xlws.FILTER($E784:$E794,($A784:$A794=$A784)*($J784:$J794=K$42)))),0)</f>
        <v>0</v>
      </c>
      <c r="L784" s="68" cm="1">
        <f t="array" ref="L784">IFERROR(IF($A784=$A783,0,SUM(_xlfn._xlws.FILTER($E784:$E794,($A784:$A794=$A784)*($J784:$J794=L$42)))),0)</f>
        <v>0</v>
      </c>
      <c r="M784" s="68" cm="1">
        <f t="array" ref="M784">IFERROR(IF($A784=$A783,0,SUM(_xlfn._xlws.FILTER($E784:$E794,($A784:$A794=$A784)*($J784:$J794=M$42)))),0)</f>
        <v>0</v>
      </c>
      <c r="N784" s="68" cm="1">
        <f t="array" ref="N784">IFERROR(IF($A784=$A783,0,SUM(_xlfn._xlws.FILTER($E784:$E794,($A784:$A794=$A784)*($J784:$J794=N$42)))),0)</f>
        <v>0</v>
      </c>
    </row>
    <row r="785" spans="5:14" x14ac:dyDescent="0.3">
      <c r="E785" s="67">
        <f ca="1">IFERROR(C785*D785*_xlfn.XLOOKUP(B785,[1]!TabCalc[Ticker],[1]!TabCalc[Scale]),0)</f>
        <v>0</v>
      </c>
      <c r="F785" s="68" cm="1">
        <f t="array" ref="F785">IF(A785=A784,0,SUM(_xlfn._xlws.FILTER(E785:E795,A785:A795=A785)))</f>
        <v>0</v>
      </c>
      <c r="G785" s="69">
        <f>IF(F785&lt;&gt;0,SUM($F$43:F785),0)</f>
        <v>0</v>
      </c>
      <c r="H785" s="69" cm="1">
        <f t="array" ref="H785">IFERROR(IF(A785=A784,0,SUM(_xlfn._xlws.FILTER(E785:E795,(A785:A795=A785)*(E785:E795&gt;0)))),0)</f>
        <v>0</v>
      </c>
      <c r="I785" s="69" cm="1">
        <f t="array" ref="I785">IFERROR(IF(A785=A784,0,SUM(_xlfn._xlws.FILTER(E785:E795,(A785:A795=A785)*(F785&lt;0)))),0)</f>
        <v>0</v>
      </c>
      <c r="J785" s="81" t="str">
        <f ca="1">IFERROR(_xlfn.XLOOKUP(B785,[1]!TabCalc[Ticker],[1]!TabCalc[Cur]),"")</f>
        <v/>
      </c>
      <c r="K785" s="68" cm="1">
        <f t="array" ref="K785">IFERROR(IF($A785=$A784,0,SUM(_xlfn._xlws.FILTER($E785:$E795,($A785:$A795=$A785)*($J785:$J795=K$42)))),0)</f>
        <v>0</v>
      </c>
      <c r="L785" s="68" cm="1">
        <f t="array" ref="L785">IFERROR(IF($A785=$A784,0,SUM(_xlfn._xlws.FILTER($E785:$E795,($A785:$A795=$A785)*($J785:$J795=L$42)))),0)</f>
        <v>0</v>
      </c>
      <c r="M785" s="68" cm="1">
        <f t="array" ref="M785">IFERROR(IF($A785=$A784,0,SUM(_xlfn._xlws.FILTER($E785:$E795,($A785:$A795=$A785)*($J785:$J795=M$42)))),0)</f>
        <v>0</v>
      </c>
      <c r="N785" s="68" cm="1">
        <f t="array" ref="N785">IFERROR(IF($A785=$A784,0,SUM(_xlfn._xlws.FILTER($E785:$E795,($A785:$A795=$A785)*($J785:$J795=N$42)))),0)</f>
        <v>0</v>
      </c>
    </row>
    <row r="786" spans="5:14" x14ac:dyDescent="0.3">
      <c r="E786" s="67">
        <f ca="1">IFERROR(C786*D786*_xlfn.XLOOKUP(B786,[1]!TabCalc[Ticker],[1]!TabCalc[Scale]),0)</f>
        <v>0</v>
      </c>
      <c r="F786" s="68" cm="1">
        <f t="array" ref="F786">IF(A786=A785,0,SUM(_xlfn._xlws.FILTER(E786:E796,A786:A796=A786)))</f>
        <v>0</v>
      </c>
      <c r="G786" s="69">
        <f>IF(F786&lt;&gt;0,SUM($F$43:F786),0)</f>
        <v>0</v>
      </c>
      <c r="H786" s="69" cm="1">
        <f t="array" ref="H786">IFERROR(IF(A786=A785,0,SUM(_xlfn._xlws.FILTER(E786:E796,(A786:A796=A786)*(E786:E796&gt;0)))),0)</f>
        <v>0</v>
      </c>
      <c r="I786" s="69" cm="1">
        <f t="array" ref="I786">IFERROR(IF(A786=A785,0,SUM(_xlfn._xlws.FILTER(E786:E796,(A786:A796=A786)*(F786&lt;0)))),0)</f>
        <v>0</v>
      </c>
      <c r="J786" s="81" t="str">
        <f ca="1">IFERROR(_xlfn.XLOOKUP(B786,[1]!TabCalc[Ticker],[1]!TabCalc[Cur]),"")</f>
        <v/>
      </c>
      <c r="K786" s="68" cm="1">
        <f t="array" ref="K786">IFERROR(IF($A786=$A785,0,SUM(_xlfn._xlws.FILTER($E786:$E796,($A786:$A796=$A786)*($J786:$J796=K$42)))),0)</f>
        <v>0</v>
      </c>
      <c r="L786" s="68" cm="1">
        <f t="array" ref="L786">IFERROR(IF($A786=$A785,0,SUM(_xlfn._xlws.FILTER($E786:$E796,($A786:$A796=$A786)*($J786:$J796=L$42)))),0)</f>
        <v>0</v>
      </c>
      <c r="M786" s="68" cm="1">
        <f t="array" ref="M786">IFERROR(IF($A786=$A785,0,SUM(_xlfn._xlws.FILTER($E786:$E796,($A786:$A796=$A786)*($J786:$J796=M$42)))),0)</f>
        <v>0</v>
      </c>
      <c r="N786" s="68" cm="1">
        <f t="array" ref="N786">IFERROR(IF($A786=$A785,0,SUM(_xlfn._xlws.FILTER($E786:$E796,($A786:$A796=$A786)*($J786:$J796=N$42)))),0)</f>
        <v>0</v>
      </c>
    </row>
    <row r="787" spans="5:14" x14ac:dyDescent="0.3">
      <c r="E787" s="67">
        <f ca="1">IFERROR(C787*D787*_xlfn.XLOOKUP(B787,[1]!TabCalc[Ticker],[1]!TabCalc[Scale]),0)</f>
        <v>0</v>
      </c>
      <c r="F787" s="68" cm="1">
        <f t="array" ref="F787">IF(A787=A786,0,SUM(_xlfn._xlws.FILTER(E787:E797,A787:A797=A787)))</f>
        <v>0</v>
      </c>
      <c r="G787" s="69">
        <f>IF(F787&lt;&gt;0,SUM($F$43:F787),0)</f>
        <v>0</v>
      </c>
      <c r="H787" s="69" cm="1">
        <f t="array" ref="H787">IFERROR(IF(A787=A786,0,SUM(_xlfn._xlws.FILTER(E787:E797,(A787:A797=A787)*(E787:E797&gt;0)))),0)</f>
        <v>0</v>
      </c>
      <c r="I787" s="69" cm="1">
        <f t="array" ref="I787">IFERROR(IF(A787=A786,0,SUM(_xlfn._xlws.FILTER(E787:E797,(A787:A797=A787)*(F787&lt;0)))),0)</f>
        <v>0</v>
      </c>
      <c r="J787" s="81" t="str">
        <f ca="1">IFERROR(_xlfn.XLOOKUP(B787,[1]!TabCalc[Ticker],[1]!TabCalc[Cur]),"")</f>
        <v/>
      </c>
      <c r="K787" s="68" cm="1">
        <f t="array" ref="K787">IFERROR(IF($A787=$A786,0,SUM(_xlfn._xlws.FILTER($E787:$E797,($A787:$A797=$A787)*($J787:$J797=K$42)))),0)</f>
        <v>0</v>
      </c>
      <c r="L787" s="68" cm="1">
        <f t="array" ref="L787">IFERROR(IF($A787=$A786,0,SUM(_xlfn._xlws.FILTER($E787:$E797,($A787:$A797=$A787)*($J787:$J797=L$42)))),0)</f>
        <v>0</v>
      </c>
      <c r="M787" s="68" cm="1">
        <f t="array" ref="M787">IFERROR(IF($A787=$A786,0,SUM(_xlfn._xlws.FILTER($E787:$E797,($A787:$A797=$A787)*($J787:$J797=M$42)))),0)</f>
        <v>0</v>
      </c>
      <c r="N787" s="68" cm="1">
        <f t="array" ref="N787">IFERROR(IF($A787=$A786,0,SUM(_xlfn._xlws.FILTER($E787:$E797,($A787:$A797=$A787)*($J787:$J797=N$42)))),0)</f>
        <v>0</v>
      </c>
    </row>
    <row r="788" spans="5:14" x14ac:dyDescent="0.3">
      <c r="E788" s="67">
        <f ca="1">IFERROR(C788*D788*_xlfn.XLOOKUP(B788,[1]!TabCalc[Ticker],[1]!TabCalc[Scale]),0)</f>
        <v>0</v>
      </c>
      <c r="F788" s="68" cm="1">
        <f t="array" ref="F788">IF(A788=A787,0,SUM(_xlfn._xlws.FILTER(E788:E798,A788:A798=A788)))</f>
        <v>0</v>
      </c>
      <c r="G788" s="69">
        <f>IF(F788&lt;&gt;0,SUM($F$43:F788),0)</f>
        <v>0</v>
      </c>
      <c r="H788" s="69" cm="1">
        <f t="array" ref="H788">IFERROR(IF(A788=A787,0,SUM(_xlfn._xlws.FILTER(E788:E798,(A788:A798=A788)*(E788:E798&gt;0)))),0)</f>
        <v>0</v>
      </c>
      <c r="I788" s="69" cm="1">
        <f t="array" ref="I788">IFERROR(IF(A788=A787,0,SUM(_xlfn._xlws.FILTER(E788:E798,(A788:A798=A788)*(F788&lt;0)))),0)</f>
        <v>0</v>
      </c>
      <c r="J788" s="81" t="str">
        <f ca="1">IFERROR(_xlfn.XLOOKUP(B788,[1]!TabCalc[Ticker],[1]!TabCalc[Cur]),"")</f>
        <v/>
      </c>
      <c r="K788" s="68" cm="1">
        <f t="array" ref="K788">IFERROR(IF($A788=$A787,0,SUM(_xlfn._xlws.FILTER($E788:$E798,($A788:$A798=$A788)*($J788:$J798=K$42)))),0)</f>
        <v>0</v>
      </c>
      <c r="L788" s="68" cm="1">
        <f t="array" ref="L788">IFERROR(IF($A788=$A787,0,SUM(_xlfn._xlws.FILTER($E788:$E798,($A788:$A798=$A788)*($J788:$J798=L$42)))),0)</f>
        <v>0</v>
      </c>
      <c r="M788" s="68" cm="1">
        <f t="array" ref="M788">IFERROR(IF($A788=$A787,0,SUM(_xlfn._xlws.FILTER($E788:$E798,($A788:$A798=$A788)*($J788:$J798=M$42)))),0)</f>
        <v>0</v>
      </c>
      <c r="N788" s="68" cm="1">
        <f t="array" ref="N788">IFERROR(IF($A788=$A787,0,SUM(_xlfn._xlws.FILTER($E788:$E798,($A788:$A798=$A788)*($J788:$J798=N$42)))),0)</f>
        <v>0</v>
      </c>
    </row>
    <row r="789" spans="5:14" x14ac:dyDescent="0.3">
      <c r="E789" s="67">
        <f ca="1">IFERROR(C789*D789*_xlfn.XLOOKUP(B789,[1]!TabCalc[Ticker],[1]!TabCalc[Scale]),0)</f>
        <v>0</v>
      </c>
      <c r="F789" s="68" cm="1">
        <f t="array" ref="F789">IF(A789=A788,0,SUM(_xlfn._xlws.FILTER(E789:E799,A789:A799=A789)))</f>
        <v>0</v>
      </c>
      <c r="G789" s="69">
        <f>IF(F789&lt;&gt;0,SUM($F$43:F789),0)</f>
        <v>0</v>
      </c>
      <c r="H789" s="69" cm="1">
        <f t="array" ref="H789">IFERROR(IF(A789=A788,0,SUM(_xlfn._xlws.FILTER(E789:E799,(A789:A799=A789)*(E789:E799&gt;0)))),0)</f>
        <v>0</v>
      </c>
      <c r="I789" s="69" cm="1">
        <f t="array" ref="I789">IFERROR(IF(A789=A788,0,SUM(_xlfn._xlws.FILTER(E789:E799,(A789:A799=A789)*(F789&lt;0)))),0)</f>
        <v>0</v>
      </c>
      <c r="J789" s="81" t="str">
        <f ca="1">IFERROR(_xlfn.XLOOKUP(B789,[1]!TabCalc[Ticker],[1]!TabCalc[Cur]),"")</f>
        <v/>
      </c>
      <c r="K789" s="68" cm="1">
        <f t="array" ref="K789">IFERROR(IF($A789=$A788,0,SUM(_xlfn._xlws.FILTER($E789:$E799,($A789:$A799=$A789)*($J789:$J799=K$42)))),0)</f>
        <v>0</v>
      </c>
      <c r="L789" s="68" cm="1">
        <f t="array" ref="L789">IFERROR(IF($A789=$A788,0,SUM(_xlfn._xlws.FILTER($E789:$E799,($A789:$A799=$A789)*($J789:$J799=L$42)))),0)</f>
        <v>0</v>
      </c>
      <c r="M789" s="68" cm="1">
        <f t="array" ref="M789">IFERROR(IF($A789=$A788,0,SUM(_xlfn._xlws.FILTER($E789:$E799,($A789:$A799=$A789)*($J789:$J799=M$42)))),0)</f>
        <v>0</v>
      </c>
      <c r="N789" s="68" cm="1">
        <f t="array" ref="N789">IFERROR(IF($A789=$A788,0,SUM(_xlfn._xlws.FILTER($E789:$E799,($A789:$A799=$A789)*($J789:$J799=N$42)))),0)</f>
        <v>0</v>
      </c>
    </row>
    <row r="790" spans="5:14" x14ac:dyDescent="0.3">
      <c r="E790" s="67">
        <f ca="1">IFERROR(C790*D790*_xlfn.XLOOKUP(B790,[1]!TabCalc[Ticker],[1]!TabCalc[Scale]),0)</f>
        <v>0</v>
      </c>
      <c r="F790" s="68" cm="1">
        <f t="array" ref="F790">IF(A790=A789,0,SUM(_xlfn._xlws.FILTER(E790:E800,A790:A800=A790)))</f>
        <v>0</v>
      </c>
      <c r="G790" s="69">
        <f>IF(F790&lt;&gt;0,SUM($F$43:F790),0)</f>
        <v>0</v>
      </c>
      <c r="H790" s="69" cm="1">
        <f t="array" ref="H790">IFERROR(IF(A790=A789,0,SUM(_xlfn._xlws.FILTER(E790:E800,(A790:A800=A790)*(E790:E800&gt;0)))),0)</f>
        <v>0</v>
      </c>
      <c r="I790" s="69" cm="1">
        <f t="array" ref="I790">IFERROR(IF(A790=A789,0,SUM(_xlfn._xlws.FILTER(E790:E800,(A790:A800=A790)*(F790&lt;0)))),0)</f>
        <v>0</v>
      </c>
      <c r="J790" s="81" t="str">
        <f ca="1">IFERROR(_xlfn.XLOOKUP(B790,[1]!TabCalc[Ticker],[1]!TabCalc[Cur]),"")</f>
        <v/>
      </c>
      <c r="K790" s="68" cm="1">
        <f t="array" ref="K790">IFERROR(IF($A790=$A789,0,SUM(_xlfn._xlws.FILTER($E790:$E800,($A790:$A800=$A790)*($J790:$J800=K$42)))),0)</f>
        <v>0</v>
      </c>
      <c r="L790" s="68" cm="1">
        <f t="array" ref="L790">IFERROR(IF($A790=$A789,0,SUM(_xlfn._xlws.FILTER($E790:$E800,($A790:$A800=$A790)*($J790:$J800=L$42)))),0)</f>
        <v>0</v>
      </c>
      <c r="M790" s="68" cm="1">
        <f t="array" ref="M790">IFERROR(IF($A790=$A789,0,SUM(_xlfn._xlws.FILTER($E790:$E800,($A790:$A800=$A790)*($J790:$J800=M$42)))),0)</f>
        <v>0</v>
      </c>
      <c r="N790" s="68" cm="1">
        <f t="array" ref="N790">IFERROR(IF($A790=$A789,0,SUM(_xlfn._xlws.FILTER($E790:$E800,($A790:$A800=$A790)*($J790:$J800=N$42)))),0)</f>
        <v>0</v>
      </c>
    </row>
    <row r="791" spans="5:14" x14ac:dyDescent="0.3">
      <c r="E791" s="67">
        <f ca="1">IFERROR(C791*D791*_xlfn.XLOOKUP(B791,[1]!TabCalc[Ticker],[1]!TabCalc[Scale]),0)</f>
        <v>0</v>
      </c>
      <c r="F791" s="68" cm="1">
        <f t="array" ref="F791">IF(A791=A790,0,SUM(_xlfn._xlws.FILTER(E791:E801,A791:A801=A791)))</f>
        <v>0</v>
      </c>
      <c r="G791" s="69">
        <f>IF(F791&lt;&gt;0,SUM($F$43:F791),0)</f>
        <v>0</v>
      </c>
      <c r="H791" s="69" cm="1">
        <f t="array" ref="H791">IFERROR(IF(A791=A790,0,SUM(_xlfn._xlws.FILTER(E791:E801,(A791:A801=A791)*(E791:E801&gt;0)))),0)</f>
        <v>0</v>
      </c>
      <c r="I791" s="69" cm="1">
        <f t="array" ref="I791">IFERROR(IF(A791=A790,0,SUM(_xlfn._xlws.FILTER(E791:E801,(A791:A801=A791)*(F791&lt;0)))),0)</f>
        <v>0</v>
      </c>
      <c r="J791" s="81" t="str">
        <f ca="1">IFERROR(_xlfn.XLOOKUP(B791,[1]!TabCalc[Ticker],[1]!TabCalc[Cur]),"")</f>
        <v/>
      </c>
      <c r="K791" s="68" cm="1">
        <f t="array" ref="K791">IFERROR(IF($A791=$A790,0,SUM(_xlfn._xlws.FILTER($E791:$E801,($A791:$A801=$A791)*($J791:$J801=K$42)))),0)</f>
        <v>0</v>
      </c>
      <c r="L791" s="68" cm="1">
        <f t="array" ref="L791">IFERROR(IF($A791=$A790,0,SUM(_xlfn._xlws.FILTER($E791:$E801,($A791:$A801=$A791)*($J791:$J801=L$42)))),0)</f>
        <v>0</v>
      </c>
      <c r="M791" s="68" cm="1">
        <f t="array" ref="M791">IFERROR(IF($A791=$A790,0,SUM(_xlfn._xlws.FILTER($E791:$E801,($A791:$A801=$A791)*($J791:$J801=M$42)))),0)</f>
        <v>0</v>
      </c>
      <c r="N791" s="68" cm="1">
        <f t="array" ref="N791">IFERROR(IF($A791=$A790,0,SUM(_xlfn._xlws.FILTER($E791:$E801,($A791:$A801=$A791)*($J791:$J801=N$42)))),0)</f>
        <v>0</v>
      </c>
    </row>
    <row r="792" spans="5:14" x14ac:dyDescent="0.3">
      <c r="E792" s="67">
        <f ca="1">IFERROR(C792*D792*_xlfn.XLOOKUP(B792,[1]!TabCalc[Ticker],[1]!TabCalc[Scale]),0)</f>
        <v>0</v>
      </c>
      <c r="F792" s="68" cm="1">
        <f t="array" ref="F792">IF(A792=A791,0,SUM(_xlfn._xlws.FILTER(E792:E802,A792:A802=A792)))</f>
        <v>0</v>
      </c>
      <c r="G792" s="69">
        <f>IF(F792&lt;&gt;0,SUM($F$43:F792),0)</f>
        <v>0</v>
      </c>
      <c r="H792" s="69" cm="1">
        <f t="array" ref="H792">IFERROR(IF(A792=A791,0,SUM(_xlfn._xlws.FILTER(E792:E802,(A792:A802=A792)*(E792:E802&gt;0)))),0)</f>
        <v>0</v>
      </c>
      <c r="I792" s="69" cm="1">
        <f t="array" ref="I792">IFERROR(IF(A792=A791,0,SUM(_xlfn._xlws.FILTER(E792:E802,(A792:A802=A792)*(F792&lt;0)))),0)</f>
        <v>0</v>
      </c>
      <c r="J792" s="81" t="str">
        <f ca="1">IFERROR(_xlfn.XLOOKUP(B792,[1]!TabCalc[Ticker],[1]!TabCalc[Cur]),"")</f>
        <v/>
      </c>
      <c r="K792" s="68" cm="1">
        <f t="array" ref="K792">IFERROR(IF($A792=$A791,0,SUM(_xlfn._xlws.FILTER($E792:$E802,($A792:$A802=$A792)*($J792:$J802=K$42)))),0)</f>
        <v>0</v>
      </c>
      <c r="L792" s="68" cm="1">
        <f t="array" ref="L792">IFERROR(IF($A792=$A791,0,SUM(_xlfn._xlws.FILTER($E792:$E802,($A792:$A802=$A792)*($J792:$J802=L$42)))),0)</f>
        <v>0</v>
      </c>
      <c r="M792" s="68" cm="1">
        <f t="array" ref="M792">IFERROR(IF($A792=$A791,0,SUM(_xlfn._xlws.FILTER($E792:$E802,($A792:$A802=$A792)*($J792:$J802=M$42)))),0)</f>
        <v>0</v>
      </c>
      <c r="N792" s="68" cm="1">
        <f t="array" ref="N792">IFERROR(IF($A792=$A791,0,SUM(_xlfn._xlws.FILTER($E792:$E802,($A792:$A802=$A792)*($J792:$J802=N$42)))),0)</f>
        <v>0</v>
      </c>
    </row>
    <row r="793" spans="5:14" x14ac:dyDescent="0.3">
      <c r="E793" s="67">
        <f ca="1">IFERROR(C793*D793*_xlfn.XLOOKUP(B793,[1]!TabCalc[Ticker],[1]!TabCalc[Scale]),0)</f>
        <v>0</v>
      </c>
      <c r="F793" s="68" cm="1">
        <f t="array" ref="F793">IF(A793=A792,0,SUM(_xlfn._xlws.FILTER(E793:E803,A793:A803=A793)))</f>
        <v>0</v>
      </c>
      <c r="G793" s="69">
        <f>IF(F793&lt;&gt;0,SUM($F$43:F793),0)</f>
        <v>0</v>
      </c>
      <c r="H793" s="69" cm="1">
        <f t="array" ref="H793">IFERROR(IF(A793=A792,0,SUM(_xlfn._xlws.FILTER(E793:E803,(A793:A803=A793)*(E793:E803&gt;0)))),0)</f>
        <v>0</v>
      </c>
      <c r="I793" s="69" cm="1">
        <f t="array" ref="I793">IFERROR(IF(A793=A792,0,SUM(_xlfn._xlws.FILTER(E793:E803,(A793:A803=A793)*(F793&lt;0)))),0)</f>
        <v>0</v>
      </c>
      <c r="J793" s="81" t="str">
        <f ca="1">IFERROR(_xlfn.XLOOKUP(B793,[1]!TabCalc[Ticker],[1]!TabCalc[Cur]),"")</f>
        <v/>
      </c>
      <c r="K793" s="68" cm="1">
        <f t="array" ref="K793">IFERROR(IF($A793=$A792,0,SUM(_xlfn._xlws.FILTER($E793:$E803,($A793:$A803=$A793)*($J793:$J803=K$42)))),0)</f>
        <v>0</v>
      </c>
      <c r="L793" s="68" cm="1">
        <f t="array" ref="L793">IFERROR(IF($A793=$A792,0,SUM(_xlfn._xlws.FILTER($E793:$E803,($A793:$A803=$A793)*($J793:$J803=L$42)))),0)</f>
        <v>0</v>
      </c>
      <c r="M793" s="68" cm="1">
        <f t="array" ref="M793">IFERROR(IF($A793=$A792,0,SUM(_xlfn._xlws.FILTER($E793:$E803,($A793:$A803=$A793)*($J793:$J803=M$42)))),0)</f>
        <v>0</v>
      </c>
      <c r="N793" s="68" cm="1">
        <f t="array" ref="N793">IFERROR(IF($A793=$A792,0,SUM(_xlfn._xlws.FILTER($E793:$E803,($A793:$A803=$A793)*($J793:$J803=N$42)))),0)</f>
        <v>0</v>
      </c>
    </row>
    <row r="794" spans="5:14" x14ac:dyDescent="0.3">
      <c r="E794" s="67">
        <f ca="1">IFERROR(C794*D794*_xlfn.XLOOKUP(B794,[1]!TabCalc[Ticker],[1]!TabCalc[Scale]),0)</f>
        <v>0</v>
      </c>
      <c r="F794" s="68" cm="1">
        <f t="array" ref="F794">IF(A794=A793,0,SUM(_xlfn._xlws.FILTER(E794:E804,A794:A804=A794)))</f>
        <v>0</v>
      </c>
      <c r="G794" s="69">
        <f>IF(F794&lt;&gt;0,SUM($F$43:F794),0)</f>
        <v>0</v>
      </c>
      <c r="H794" s="69" cm="1">
        <f t="array" ref="H794">IFERROR(IF(A794=A793,0,SUM(_xlfn._xlws.FILTER(E794:E804,(A794:A804=A794)*(E794:E804&gt;0)))),0)</f>
        <v>0</v>
      </c>
      <c r="I794" s="69" cm="1">
        <f t="array" ref="I794">IFERROR(IF(A794=A793,0,SUM(_xlfn._xlws.FILTER(E794:E804,(A794:A804=A794)*(F794&lt;0)))),0)</f>
        <v>0</v>
      </c>
      <c r="J794" s="81" t="str">
        <f ca="1">IFERROR(_xlfn.XLOOKUP(B794,[1]!TabCalc[Ticker],[1]!TabCalc[Cur]),"")</f>
        <v/>
      </c>
      <c r="K794" s="68" cm="1">
        <f t="array" ref="K794">IFERROR(IF($A794=$A793,0,SUM(_xlfn._xlws.FILTER($E794:$E804,($A794:$A804=$A794)*($J794:$J804=K$42)))),0)</f>
        <v>0</v>
      </c>
      <c r="L794" s="68" cm="1">
        <f t="array" ref="L794">IFERROR(IF($A794=$A793,0,SUM(_xlfn._xlws.FILTER($E794:$E804,($A794:$A804=$A794)*($J794:$J804=L$42)))),0)</f>
        <v>0</v>
      </c>
      <c r="M794" s="68" cm="1">
        <f t="array" ref="M794">IFERROR(IF($A794=$A793,0,SUM(_xlfn._xlws.FILTER($E794:$E804,($A794:$A804=$A794)*($J794:$J804=M$42)))),0)</f>
        <v>0</v>
      </c>
      <c r="N794" s="68" cm="1">
        <f t="array" ref="N794">IFERROR(IF($A794=$A793,0,SUM(_xlfn._xlws.FILTER($E794:$E804,($A794:$A804=$A794)*($J794:$J804=N$42)))),0)</f>
        <v>0</v>
      </c>
    </row>
    <row r="795" spans="5:14" x14ac:dyDescent="0.3">
      <c r="E795" s="67">
        <f ca="1">IFERROR(C795*D795*_xlfn.XLOOKUP(B795,[1]!TabCalc[Ticker],[1]!TabCalc[Scale]),0)</f>
        <v>0</v>
      </c>
      <c r="F795" s="68" cm="1">
        <f t="array" ref="F795">IF(A795=A794,0,SUM(_xlfn._xlws.FILTER(E795:E805,A795:A805=A795)))</f>
        <v>0</v>
      </c>
      <c r="G795" s="69">
        <f>IF(F795&lt;&gt;0,SUM($F$43:F795),0)</f>
        <v>0</v>
      </c>
      <c r="H795" s="69" cm="1">
        <f t="array" ref="H795">IFERROR(IF(A795=A794,0,SUM(_xlfn._xlws.FILTER(E795:E805,(A795:A805=A795)*(E795:E805&gt;0)))),0)</f>
        <v>0</v>
      </c>
      <c r="I795" s="69" cm="1">
        <f t="array" ref="I795">IFERROR(IF(A795=A794,0,SUM(_xlfn._xlws.FILTER(E795:E805,(A795:A805=A795)*(F795&lt;0)))),0)</f>
        <v>0</v>
      </c>
      <c r="J795" s="81" t="str">
        <f ca="1">IFERROR(_xlfn.XLOOKUP(B795,[1]!TabCalc[Ticker],[1]!TabCalc[Cur]),"")</f>
        <v/>
      </c>
      <c r="K795" s="68" cm="1">
        <f t="array" ref="K795">IFERROR(IF($A795=$A794,0,SUM(_xlfn._xlws.FILTER($E795:$E805,($A795:$A805=$A795)*($J795:$J805=K$42)))),0)</f>
        <v>0</v>
      </c>
      <c r="L795" s="68" cm="1">
        <f t="array" ref="L795">IFERROR(IF($A795=$A794,0,SUM(_xlfn._xlws.FILTER($E795:$E805,($A795:$A805=$A795)*($J795:$J805=L$42)))),0)</f>
        <v>0</v>
      </c>
      <c r="M795" s="68" cm="1">
        <f t="array" ref="M795">IFERROR(IF($A795=$A794,0,SUM(_xlfn._xlws.FILTER($E795:$E805,($A795:$A805=$A795)*($J795:$J805=M$42)))),0)</f>
        <v>0</v>
      </c>
      <c r="N795" s="68" cm="1">
        <f t="array" ref="N795">IFERROR(IF($A795=$A794,0,SUM(_xlfn._xlws.FILTER($E795:$E805,($A795:$A805=$A795)*($J795:$J805=N$42)))),0)</f>
        <v>0</v>
      </c>
    </row>
    <row r="796" spans="5:14" x14ac:dyDescent="0.3">
      <c r="E796" s="67">
        <f ca="1">IFERROR(C796*D796*_xlfn.XLOOKUP(B796,[1]!TabCalc[Ticker],[1]!TabCalc[Scale]),0)</f>
        <v>0</v>
      </c>
      <c r="F796" s="68" cm="1">
        <f t="array" ref="F796">IF(A796=A795,0,SUM(_xlfn._xlws.FILTER(E796:E806,A796:A806=A796)))</f>
        <v>0</v>
      </c>
      <c r="G796" s="69">
        <f>IF(F796&lt;&gt;0,SUM($F$43:F796),0)</f>
        <v>0</v>
      </c>
      <c r="H796" s="69" cm="1">
        <f t="array" ref="H796">IFERROR(IF(A796=A795,0,SUM(_xlfn._xlws.FILTER(E796:E806,(A796:A806=A796)*(E796:E806&gt;0)))),0)</f>
        <v>0</v>
      </c>
      <c r="I796" s="69" cm="1">
        <f t="array" ref="I796">IFERROR(IF(A796=A795,0,SUM(_xlfn._xlws.FILTER(E796:E806,(A796:A806=A796)*(F796&lt;0)))),0)</f>
        <v>0</v>
      </c>
      <c r="J796" s="81" t="str">
        <f ca="1">IFERROR(_xlfn.XLOOKUP(B796,[1]!TabCalc[Ticker],[1]!TabCalc[Cur]),"")</f>
        <v/>
      </c>
      <c r="K796" s="68" cm="1">
        <f t="array" ref="K796">IFERROR(IF($A796=$A795,0,SUM(_xlfn._xlws.FILTER($E796:$E806,($A796:$A806=$A796)*($J796:$J806=K$42)))),0)</f>
        <v>0</v>
      </c>
      <c r="L796" s="68" cm="1">
        <f t="array" ref="L796">IFERROR(IF($A796=$A795,0,SUM(_xlfn._xlws.FILTER($E796:$E806,($A796:$A806=$A796)*($J796:$J806=L$42)))),0)</f>
        <v>0</v>
      </c>
      <c r="M796" s="68" cm="1">
        <f t="array" ref="M796">IFERROR(IF($A796=$A795,0,SUM(_xlfn._xlws.FILTER($E796:$E806,($A796:$A806=$A796)*($J796:$J806=M$42)))),0)</f>
        <v>0</v>
      </c>
      <c r="N796" s="68" cm="1">
        <f t="array" ref="N796">IFERROR(IF($A796=$A795,0,SUM(_xlfn._xlws.FILTER($E796:$E806,($A796:$A806=$A796)*($J796:$J806=N$42)))),0)</f>
        <v>0</v>
      </c>
    </row>
    <row r="797" spans="5:14" x14ac:dyDescent="0.3">
      <c r="E797" s="67">
        <f ca="1">IFERROR(C797*D797*_xlfn.XLOOKUP(B797,[1]!TabCalc[Ticker],[1]!TabCalc[Scale]),0)</f>
        <v>0</v>
      </c>
      <c r="F797" s="68" cm="1">
        <f t="array" ref="F797">IF(A797=A796,0,SUM(_xlfn._xlws.FILTER(E797:E807,A797:A807=A797)))</f>
        <v>0</v>
      </c>
      <c r="G797" s="69">
        <f>IF(F797&lt;&gt;0,SUM($F$43:F797),0)</f>
        <v>0</v>
      </c>
      <c r="H797" s="69" cm="1">
        <f t="array" ref="H797">IFERROR(IF(A797=A796,0,SUM(_xlfn._xlws.FILTER(E797:E807,(A797:A807=A797)*(E797:E807&gt;0)))),0)</f>
        <v>0</v>
      </c>
      <c r="I797" s="69" cm="1">
        <f t="array" ref="I797">IFERROR(IF(A797=A796,0,SUM(_xlfn._xlws.FILTER(E797:E807,(A797:A807=A797)*(F797&lt;0)))),0)</f>
        <v>0</v>
      </c>
      <c r="J797" s="81" t="str">
        <f ca="1">IFERROR(_xlfn.XLOOKUP(B797,[1]!TabCalc[Ticker],[1]!TabCalc[Cur]),"")</f>
        <v/>
      </c>
      <c r="K797" s="68" cm="1">
        <f t="array" ref="K797">IFERROR(IF($A797=$A796,0,SUM(_xlfn._xlws.FILTER($E797:$E807,($A797:$A807=$A797)*($J797:$J807=K$42)))),0)</f>
        <v>0</v>
      </c>
      <c r="L797" s="68" cm="1">
        <f t="array" ref="L797">IFERROR(IF($A797=$A796,0,SUM(_xlfn._xlws.FILTER($E797:$E807,($A797:$A807=$A797)*($J797:$J807=L$42)))),0)</f>
        <v>0</v>
      </c>
      <c r="M797" s="68" cm="1">
        <f t="array" ref="M797">IFERROR(IF($A797=$A796,0,SUM(_xlfn._xlws.FILTER($E797:$E807,($A797:$A807=$A797)*($J797:$J807=M$42)))),0)</f>
        <v>0</v>
      </c>
      <c r="N797" s="68" cm="1">
        <f t="array" ref="N797">IFERROR(IF($A797=$A796,0,SUM(_xlfn._xlws.FILTER($E797:$E807,($A797:$A807=$A797)*($J797:$J807=N$42)))),0)</f>
        <v>0</v>
      </c>
    </row>
    <row r="798" spans="5:14" x14ac:dyDescent="0.3">
      <c r="E798" s="67">
        <f ca="1">IFERROR(C798*D798*_xlfn.XLOOKUP(B798,[1]!TabCalc[Ticker],[1]!TabCalc[Scale]),0)</f>
        <v>0</v>
      </c>
      <c r="F798" s="68" cm="1">
        <f t="array" ref="F798">IF(A798=A797,0,SUM(_xlfn._xlws.FILTER(E798:E808,A798:A808=A798)))</f>
        <v>0</v>
      </c>
      <c r="G798" s="69">
        <f>IF(F798&lt;&gt;0,SUM($F$43:F798),0)</f>
        <v>0</v>
      </c>
      <c r="H798" s="69" cm="1">
        <f t="array" ref="H798">IFERROR(IF(A798=A797,0,SUM(_xlfn._xlws.FILTER(E798:E808,(A798:A808=A798)*(E798:E808&gt;0)))),0)</f>
        <v>0</v>
      </c>
      <c r="I798" s="69" cm="1">
        <f t="array" ref="I798">IFERROR(IF(A798=A797,0,SUM(_xlfn._xlws.FILTER(E798:E808,(A798:A808=A798)*(F798&lt;0)))),0)</f>
        <v>0</v>
      </c>
      <c r="J798" s="81" t="str">
        <f ca="1">IFERROR(_xlfn.XLOOKUP(B798,[1]!TabCalc[Ticker],[1]!TabCalc[Cur]),"")</f>
        <v/>
      </c>
      <c r="K798" s="68" cm="1">
        <f t="array" ref="K798">IFERROR(IF($A798=$A797,0,SUM(_xlfn._xlws.FILTER($E798:$E808,($A798:$A808=$A798)*($J798:$J808=K$42)))),0)</f>
        <v>0</v>
      </c>
      <c r="L798" s="68" cm="1">
        <f t="array" ref="L798">IFERROR(IF($A798=$A797,0,SUM(_xlfn._xlws.FILTER($E798:$E808,($A798:$A808=$A798)*($J798:$J808=L$42)))),0)</f>
        <v>0</v>
      </c>
      <c r="M798" s="68" cm="1">
        <f t="array" ref="M798">IFERROR(IF($A798=$A797,0,SUM(_xlfn._xlws.FILTER($E798:$E808,($A798:$A808=$A798)*($J798:$J808=M$42)))),0)</f>
        <v>0</v>
      </c>
      <c r="N798" s="68" cm="1">
        <f t="array" ref="N798">IFERROR(IF($A798=$A797,0,SUM(_xlfn._xlws.FILTER($E798:$E808,($A798:$A808=$A798)*($J798:$J808=N$42)))),0)</f>
        <v>0</v>
      </c>
    </row>
    <row r="799" spans="5:14" x14ac:dyDescent="0.3">
      <c r="E799" s="67">
        <f ca="1">IFERROR(C799*D799*_xlfn.XLOOKUP(B799,[1]!TabCalc[Ticker],[1]!TabCalc[Scale]),0)</f>
        <v>0</v>
      </c>
      <c r="F799" s="68" cm="1">
        <f t="array" ref="F799">IF(A799=A798,0,SUM(_xlfn._xlws.FILTER(E799:E809,A799:A809=A799)))</f>
        <v>0</v>
      </c>
      <c r="G799" s="69">
        <f>IF(F799&lt;&gt;0,SUM($F$43:F799),0)</f>
        <v>0</v>
      </c>
      <c r="H799" s="69" cm="1">
        <f t="array" ref="H799">IFERROR(IF(A799=A798,0,SUM(_xlfn._xlws.FILTER(E799:E809,(A799:A809=A799)*(E799:E809&gt;0)))),0)</f>
        <v>0</v>
      </c>
      <c r="I799" s="69" cm="1">
        <f t="array" ref="I799">IFERROR(IF(A799=A798,0,SUM(_xlfn._xlws.FILTER(E799:E809,(A799:A809=A799)*(F799&lt;0)))),0)</f>
        <v>0</v>
      </c>
      <c r="J799" s="81" t="str">
        <f ca="1">IFERROR(_xlfn.XLOOKUP(B799,[1]!TabCalc[Ticker],[1]!TabCalc[Cur]),"")</f>
        <v/>
      </c>
      <c r="K799" s="68" cm="1">
        <f t="array" ref="K799">IFERROR(IF($A799=$A798,0,SUM(_xlfn._xlws.FILTER($E799:$E809,($A799:$A809=$A799)*($J799:$J809=K$42)))),0)</f>
        <v>0</v>
      </c>
      <c r="L799" s="68" cm="1">
        <f t="array" ref="L799">IFERROR(IF($A799=$A798,0,SUM(_xlfn._xlws.FILTER($E799:$E809,($A799:$A809=$A799)*($J799:$J809=L$42)))),0)</f>
        <v>0</v>
      </c>
      <c r="M799" s="68" cm="1">
        <f t="array" ref="M799">IFERROR(IF($A799=$A798,0,SUM(_xlfn._xlws.FILTER($E799:$E809,($A799:$A809=$A799)*($J799:$J809=M$42)))),0)</f>
        <v>0</v>
      </c>
      <c r="N799" s="68" cm="1">
        <f t="array" ref="N799">IFERROR(IF($A799=$A798,0,SUM(_xlfn._xlws.FILTER($E799:$E809,($A799:$A809=$A799)*($J799:$J809=N$42)))),0)</f>
        <v>0</v>
      </c>
    </row>
    <row r="800" spans="5:14" x14ac:dyDescent="0.3">
      <c r="E800" s="67">
        <f ca="1">IFERROR(C800*D800*_xlfn.XLOOKUP(B800,[1]!TabCalc[Ticker],[1]!TabCalc[Scale]),0)</f>
        <v>0</v>
      </c>
      <c r="F800" s="68" cm="1">
        <f t="array" ref="F800">IF(A800=A799,0,SUM(_xlfn._xlws.FILTER(E800:E810,A800:A810=A800)))</f>
        <v>0</v>
      </c>
      <c r="G800" s="69">
        <f>IF(F800&lt;&gt;0,SUM($F$43:F800),0)</f>
        <v>0</v>
      </c>
      <c r="H800" s="69" cm="1">
        <f t="array" ref="H800">IFERROR(IF(A800=A799,0,SUM(_xlfn._xlws.FILTER(E800:E810,(A800:A810=A800)*(E800:E810&gt;0)))),0)</f>
        <v>0</v>
      </c>
      <c r="I800" s="69" cm="1">
        <f t="array" ref="I800">IFERROR(IF(A800=A799,0,SUM(_xlfn._xlws.FILTER(E800:E810,(A800:A810=A800)*(F800&lt;0)))),0)</f>
        <v>0</v>
      </c>
      <c r="J800" s="81" t="str">
        <f ca="1">IFERROR(_xlfn.XLOOKUP(B800,[1]!TabCalc[Ticker],[1]!TabCalc[Cur]),"")</f>
        <v/>
      </c>
      <c r="K800" s="68" cm="1">
        <f t="array" ref="K800">IFERROR(IF($A800=$A799,0,SUM(_xlfn._xlws.FILTER($E800:$E810,($A800:$A810=$A800)*($J800:$J810=K$42)))),0)</f>
        <v>0</v>
      </c>
      <c r="L800" s="68" cm="1">
        <f t="array" ref="L800">IFERROR(IF($A800=$A799,0,SUM(_xlfn._xlws.FILTER($E800:$E810,($A800:$A810=$A800)*($J800:$J810=L$42)))),0)</f>
        <v>0</v>
      </c>
      <c r="M800" s="68" cm="1">
        <f t="array" ref="M800">IFERROR(IF($A800=$A799,0,SUM(_xlfn._xlws.FILTER($E800:$E810,($A800:$A810=$A800)*($J800:$J810=M$42)))),0)</f>
        <v>0</v>
      </c>
      <c r="N800" s="68" cm="1">
        <f t="array" ref="N800">IFERROR(IF($A800=$A799,0,SUM(_xlfn._xlws.FILTER($E800:$E810,($A800:$A810=$A800)*($J800:$J810=N$42)))),0)</f>
        <v>0</v>
      </c>
    </row>
    <row r="801" spans="5:14" x14ac:dyDescent="0.3">
      <c r="E801" s="67">
        <f ca="1">IFERROR(C801*D801*_xlfn.XLOOKUP(B801,[1]!TabCalc[Ticker],[1]!TabCalc[Scale]),0)</f>
        <v>0</v>
      </c>
      <c r="F801" s="68" cm="1">
        <f t="array" ref="F801">IF(A801=A800,0,SUM(_xlfn._xlws.FILTER(E801:E811,A801:A811=A801)))</f>
        <v>0</v>
      </c>
      <c r="G801" s="69">
        <f>IF(F801&lt;&gt;0,SUM($F$43:F801),0)</f>
        <v>0</v>
      </c>
      <c r="H801" s="69" cm="1">
        <f t="array" ref="H801">IFERROR(IF(A801=A800,0,SUM(_xlfn._xlws.FILTER(E801:E811,(A801:A811=A801)*(E801:E811&gt;0)))),0)</f>
        <v>0</v>
      </c>
      <c r="I801" s="69" cm="1">
        <f t="array" ref="I801">IFERROR(IF(A801=A800,0,SUM(_xlfn._xlws.FILTER(E801:E811,(A801:A811=A801)*(F801&lt;0)))),0)</f>
        <v>0</v>
      </c>
      <c r="J801" s="81" t="str">
        <f ca="1">IFERROR(_xlfn.XLOOKUP(B801,[1]!TabCalc[Ticker],[1]!TabCalc[Cur]),"")</f>
        <v/>
      </c>
      <c r="K801" s="68" cm="1">
        <f t="array" ref="K801">IFERROR(IF($A801=$A800,0,SUM(_xlfn._xlws.FILTER($E801:$E811,($A801:$A811=$A801)*($J801:$J811=K$42)))),0)</f>
        <v>0</v>
      </c>
      <c r="L801" s="68" cm="1">
        <f t="array" ref="L801">IFERROR(IF($A801=$A800,0,SUM(_xlfn._xlws.FILTER($E801:$E811,($A801:$A811=$A801)*($J801:$J811=L$42)))),0)</f>
        <v>0</v>
      </c>
      <c r="M801" s="68" cm="1">
        <f t="array" ref="M801">IFERROR(IF($A801=$A800,0,SUM(_xlfn._xlws.FILTER($E801:$E811,($A801:$A811=$A801)*($J801:$J811=M$42)))),0)</f>
        <v>0</v>
      </c>
      <c r="N801" s="68" cm="1">
        <f t="array" ref="N801">IFERROR(IF($A801=$A800,0,SUM(_xlfn._xlws.FILTER($E801:$E811,($A801:$A811=$A801)*($J801:$J811=N$42)))),0)</f>
        <v>0</v>
      </c>
    </row>
    <row r="802" spans="5:14" x14ac:dyDescent="0.3">
      <c r="E802" s="67">
        <f ca="1">IFERROR(C802*D802*_xlfn.XLOOKUP(B802,[1]!TabCalc[Ticker],[1]!TabCalc[Scale]),0)</f>
        <v>0</v>
      </c>
      <c r="F802" s="68" cm="1">
        <f t="array" ref="F802">IF(A802=A801,0,SUM(_xlfn._xlws.FILTER(E802:E812,A802:A812=A802)))</f>
        <v>0</v>
      </c>
      <c r="G802" s="69">
        <f>IF(F802&lt;&gt;0,SUM($F$43:F802),0)</f>
        <v>0</v>
      </c>
      <c r="H802" s="69" cm="1">
        <f t="array" ref="H802">IFERROR(IF(A802=A801,0,SUM(_xlfn._xlws.FILTER(E802:E812,(A802:A812=A802)*(E802:E812&gt;0)))),0)</f>
        <v>0</v>
      </c>
      <c r="I802" s="69" cm="1">
        <f t="array" ref="I802">IFERROR(IF(A802=A801,0,SUM(_xlfn._xlws.FILTER(E802:E812,(A802:A812=A802)*(F802&lt;0)))),0)</f>
        <v>0</v>
      </c>
      <c r="J802" s="81" t="str">
        <f ca="1">IFERROR(_xlfn.XLOOKUP(B802,[1]!TabCalc[Ticker],[1]!TabCalc[Cur]),"")</f>
        <v/>
      </c>
      <c r="K802" s="68" cm="1">
        <f t="array" ref="K802">IFERROR(IF($A802=$A801,0,SUM(_xlfn._xlws.FILTER($E802:$E812,($A802:$A812=$A802)*($J802:$J812=K$42)))),0)</f>
        <v>0</v>
      </c>
      <c r="L802" s="68" cm="1">
        <f t="array" ref="L802">IFERROR(IF($A802=$A801,0,SUM(_xlfn._xlws.FILTER($E802:$E812,($A802:$A812=$A802)*($J802:$J812=L$42)))),0)</f>
        <v>0</v>
      </c>
      <c r="M802" s="68" cm="1">
        <f t="array" ref="M802">IFERROR(IF($A802=$A801,0,SUM(_xlfn._xlws.FILTER($E802:$E812,($A802:$A812=$A802)*($J802:$J812=M$42)))),0)</f>
        <v>0</v>
      </c>
      <c r="N802" s="68" cm="1">
        <f t="array" ref="N802">IFERROR(IF($A802=$A801,0,SUM(_xlfn._xlws.FILTER($E802:$E812,($A802:$A812=$A802)*($J802:$J812=N$42)))),0)</f>
        <v>0</v>
      </c>
    </row>
    <row r="803" spans="5:14" x14ac:dyDescent="0.3">
      <c r="E803" s="67">
        <f ca="1">IFERROR(C803*D803*_xlfn.XLOOKUP(B803,[1]!TabCalc[Ticker],[1]!TabCalc[Scale]),0)</f>
        <v>0</v>
      </c>
      <c r="F803" s="68" cm="1">
        <f t="array" ref="F803">IF(A803=A802,0,SUM(_xlfn._xlws.FILTER(E803:E813,A803:A813=A803)))</f>
        <v>0</v>
      </c>
      <c r="G803" s="69">
        <f>IF(F803&lt;&gt;0,SUM($F$43:F803),0)</f>
        <v>0</v>
      </c>
      <c r="H803" s="69" cm="1">
        <f t="array" ref="H803">IFERROR(IF(A803=A802,0,SUM(_xlfn._xlws.FILTER(E803:E813,(A803:A813=A803)*(E803:E813&gt;0)))),0)</f>
        <v>0</v>
      </c>
      <c r="I803" s="69" cm="1">
        <f t="array" ref="I803">IFERROR(IF(A803=A802,0,SUM(_xlfn._xlws.FILTER(E803:E813,(A803:A813=A803)*(F803&lt;0)))),0)</f>
        <v>0</v>
      </c>
      <c r="J803" s="81" t="str">
        <f ca="1">IFERROR(_xlfn.XLOOKUP(B803,[1]!TabCalc[Ticker],[1]!TabCalc[Cur]),"")</f>
        <v/>
      </c>
      <c r="K803" s="68" cm="1">
        <f t="array" ref="K803">IFERROR(IF($A803=$A802,0,SUM(_xlfn._xlws.FILTER($E803:$E813,($A803:$A813=$A803)*($J803:$J813=K$42)))),0)</f>
        <v>0</v>
      </c>
      <c r="L803" s="68" cm="1">
        <f t="array" ref="L803">IFERROR(IF($A803=$A802,0,SUM(_xlfn._xlws.FILTER($E803:$E813,($A803:$A813=$A803)*($J803:$J813=L$42)))),0)</f>
        <v>0</v>
      </c>
      <c r="M803" s="68" cm="1">
        <f t="array" ref="M803">IFERROR(IF($A803=$A802,0,SUM(_xlfn._xlws.FILTER($E803:$E813,($A803:$A813=$A803)*($J803:$J813=M$42)))),0)</f>
        <v>0</v>
      </c>
      <c r="N803" s="68" cm="1">
        <f t="array" ref="N803">IFERROR(IF($A803=$A802,0,SUM(_xlfn._xlws.FILTER($E803:$E813,($A803:$A813=$A803)*($J803:$J813=N$42)))),0)</f>
        <v>0</v>
      </c>
    </row>
    <row r="804" spans="5:14" x14ac:dyDescent="0.3">
      <c r="E804" s="67">
        <f ca="1">IFERROR(C804*D804*_xlfn.XLOOKUP(B804,[1]!TabCalc[Ticker],[1]!TabCalc[Scale]),0)</f>
        <v>0</v>
      </c>
      <c r="F804" s="68" cm="1">
        <f t="array" ref="F804">IF(A804=A803,0,SUM(_xlfn._xlws.FILTER(E804:E814,A804:A814=A804)))</f>
        <v>0</v>
      </c>
      <c r="G804" s="69">
        <f>IF(F804&lt;&gt;0,SUM($F$43:F804),0)</f>
        <v>0</v>
      </c>
      <c r="H804" s="69" cm="1">
        <f t="array" ref="H804">IFERROR(IF(A804=A803,0,SUM(_xlfn._xlws.FILTER(E804:E814,(A804:A814=A804)*(E804:E814&gt;0)))),0)</f>
        <v>0</v>
      </c>
      <c r="I804" s="69" cm="1">
        <f t="array" ref="I804">IFERROR(IF(A804=A803,0,SUM(_xlfn._xlws.FILTER(E804:E814,(A804:A814=A804)*(F804&lt;0)))),0)</f>
        <v>0</v>
      </c>
      <c r="J804" s="81" t="str">
        <f ca="1">IFERROR(_xlfn.XLOOKUP(B804,[1]!TabCalc[Ticker],[1]!TabCalc[Cur]),"")</f>
        <v/>
      </c>
      <c r="K804" s="68" cm="1">
        <f t="array" ref="K804">IFERROR(IF($A804=$A803,0,SUM(_xlfn._xlws.FILTER($E804:$E814,($A804:$A814=$A804)*($J804:$J814=K$42)))),0)</f>
        <v>0</v>
      </c>
      <c r="L804" s="68" cm="1">
        <f t="array" ref="L804">IFERROR(IF($A804=$A803,0,SUM(_xlfn._xlws.FILTER($E804:$E814,($A804:$A814=$A804)*($J804:$J814=L$42)))),0)</f>
        <v>0</v>
      </c>
      <c r="M804" s="68" cm="1">
        <f t="array" ref="M804">IFERROR(IF($A804=$A803,0,SUM(_xlfn._xlws.FILTER($E804:$E814,($A804:$A814=$A804)*($J804:$J814=M$42)))),0)</f>
        <v>0</v>
      </c>
      <c r="N804" s="68" cm="1">
        <f t="array" ref="N804">IFERROR(IF($A804=$A803,0,SUM(_xlfn._xlws.FILTER($E804:$E814,($A804:$A814=$A804)*($J804:$J814=N$42)))),0)</f>
        <v>0</v>
      </c>
    </row>
    <row r="805" spans="5:14" x14ac:dyDescent="0.3">
      <c r="E805" s="67">
        <f ca="1">IFERROR(C805*D805*_xlfn.XLOOKUP(B805,[1]!TabCalc[Ticker],[1]!TabCalc[Scale]),0)</f>
        <v>0</v>
      </c>
      <c r="F805" s="68" cm="1">
        <f t="array" ref="F805">IF(A805=A804,0,SUM(_xlfn._xlws.FILTER(E805:E815,A805:A815=A805)))</f>
        <v>0</v>
      </c>
      <c r="G805" s="69">
        <f>IF(F805&lt;&gt;0,SUM($F$43:F805),0)</f>
        <v>0</v>
      </c>
      <c r="H805" s="69" cm="1">
        <f t="array" ref="H805">IFERROR(IF(A805=A804,0,SUM(_xlfn._xlws.FILTER(E805:E815,(A805:A815=A805)*(E805:E815&gt;0)))),0)</f>
        <v>0</v>
      </c>
      <c r="I805" s="69" cm="1">
        <f t="array" ref="I805">IFERROR(IF(A805=A804,0,SUM(_xlfn._xlws.FILTER(E805:E815,(A805:A815=A805)*(F805&lt;0)))),0)</f>
        <v>0</v>
      </c>
      <c r="J805" s="81" t="str">
        <f ca="1">IFERROR(_xlfn.XLOOKUP(B805,[1]!TabCalc[Ticker],[1]!TabCalc[Cur]),"")</f>
        <v/>
      </c>
      <c r="K805" s="68" cm="1">
        <f t="array" ref="K805">IFERROR(IF($A805=$A804,0,SUM(_xlfn._xlws.FILTER($E805:$E815,($A805:$A815=$A805)*($J805:$J815=K$42)))),0)</f>
        <v>0</v>
      </c>
      <c r="L805" s="68" cm="1">
        <f t="array" ref="L805">IFERROR(IF($A805=$A804,0,SUM(_xlfn._xlws.FILTER($E805:$E815,($A805:$A815=$A805)*($J805:$J815=L$42)))),0)</f>
        <v>0</v>
      </c>
      <c r="M805" s="68" cm="1">
        <f t="array" ref="M805">IFERROR(IF($A805=$A804,0,SUM(_xlfn._xlws.FILTER($E805:$E815,($A805:$A815=$A805)*($J805:$J815=M$42)))),0)</f>
        <v>0</v>
      </c>
      <c r="N805" s="68" cm="1">
        <f t="array" ref="N805">IFERROR(IF($A805=$A804,0,SUM(_xlfn._xlws.FILTER($E805:$E815,($A805:$A815=$A805)*($J805:$J815=N$42)))),0)</f>
        <v>0</v>
      </c>
    </row>
    <row r="806" spans="5:14" x14ac:dyDescent="0.3">
      <c r="E806" s="67">
        <f ca="1">IFERROR(C806*D806*_xlfn.XLOOKUP(B806,[1]!TabCalc[Ticker],[1]!TabCalc[Scale]),0)</f>
        <v>0</v>
      </c>
      <c r="F806" s="68" cm="1">
        <f t="array" ref="F806">IF(A806=A805,0,SUM(_xlfn._xlws.FILTER(E806:E816,A806:A816=A806)))</f>
        <v>0</v>
      </c>
      <c r="G806" s="69">
        <f>IF(F806&lt;&gt;0,SUM($F$43:F806),0)</f>
        <v>0</v>
      </c>
      <c r="H806" s="69" cm="1">
        <f t="array" ref="H806">IFERROR(IF(A806=A805,0,SUM(_xlfn._xlws.FILTER(E806:E816,(A806:A816=A806)*(E806:E816&gt;0)))),0)</f>
        <v>0</v>
      </c>
      <c r="I806" s="69" cm="1">
        <f t="array" ref="I806">IFERROR(IF(A806=A805,0,SUM(_xlfn._xlws.FILTER(E806:E816,(A806:A816=A806)*(F806&lt;0)))),0)</f>
        <v>0</v>
      </c>
      <c r="J806" s="81" t="str">
        <f ca="1">IFERROR(_xlfn.XLOOKUP(B806,[1]!TabCalc[Ticker],[1]!TabCalc[Cur]),"")</f>
        <v/>
      </c>
      <c r="K806" s="68" cm="1">
        <f t="array" ref="K806">IFERROR(IF($A806=$A805,0,SUM(_xlfn._xlws.FILTER($E806:$E816,($A806:$A816=$A806)*($J806:$J816=K$42)))),0)</f>
        <v>0</v>
      </c>
      <c r="L806" s="68" cm="1">
        <f t="array" ref="L806">IFERROR(IF($A806=$A805,0,SUM(_xlfn._xlws.FILTER($E806:$E816,($A806:$A816=$A806)*($J806:$J816=L$42)))),0)</f>
        <v>0</v>
      </c>
      <c r="M806" s="68" cm="1">
        <f t="array" ref="M806">IFERROR(IF($A806=$A805,0,SUM(_xlfn._xlws.FILTER($E806:$E816,($A806:$A816=$A806)*($J806:$J816=M$42)))),0)</f>
        <v>0</v>
      </c>
      <c r="N806" s="68" cm="1">
        <f t="array" ref="N806">IFERROR(IF($A806=$A805,0,SUM(_xlfn._xlws.FILTER($E806:$E816,($A806:$A816=$A806)*($J806:$J816=N$42)))),0)</f>
        <v>0</v>
      </c>
    </row>
    <row r="807" spans="5:14" x14ac:dyDescent="0.3">
      <c r="E807" s="67">
        <f ca="1">IFERROR(C807*D807*_xlfn.XLOOKUP(B807,[1]!TabCalc[Ticker],[1]!TabCalc[Scale]),0)</f>
        <v>0</v>
      </c>
      <c r="F807" s="68" cm="1">
        <f t="array" ref="F807">IF(A807=A806,0,SUM(_xlfn._xlws.FILTER(E807:E817,A807:A817=A807)))</f>
        <v>0</v>
      </c>
      <c r="G807" s="69">
        <f>IF(F807&lt;&gt;0,SUM($F$43:F807),0)</f>
        <v>0</v>
      </c>
      <c r="H807" s="69" cm="1">
        <f t="array" ref="H807">IFERROR(IF(A807=A806,0,SUM(_xlfn._xlws.FILTER(E807:E817,(A807:A817=A807)*(E807:E817&gt;0)))),0)</f>
        <v>0</v>
      </c>
      <c r="I807" s="69" cm="1">
        <f t="array" ref="I807">IFERROR(IF(A807=A806,0,SUM(_xlfn._xlws.FILTER(E807:E817,(A807:A817=A807)*(F807&lt;0)))),0)</f>
        <v>0</v>
      </c>
      <c r="J807" s="81" t="str">
        <f ca="1">IFERROR(_xlfn.XLOOKUP(B807,[1]!TabCalc[Ticker],[1]!TabCalc[Cur]),"")</f>
        <v/>
      </c>
      <c r="K807" s="68" cm="1">
        <f t="array" ref="K807">IFERROR(IF($A807=$A806,0,SUM(_xlfn._xlws.FILTER($E807:$E817,($A807:$A817=$A807)*($J807:$J817=K$42)))),0)</f>
        <v>0</v>
      </c>
      <c r="L807" s="68" cm="1">
        <f t="array" ref="L807">IFERROR(IF($A807=$A806,0,SUM(_xlfn._xlws.FILTER($E807:$E817,($A807:$A817=$A807)*($J807:$J817=L$42)))),0)</f>
        <v>0</v>
      </c>
      <c r="M807" s="68" cm="1">
        <f t="array" ref="M807">IFERROR(IF($A807=$A806,0,SUM(_xlfn._xlws.FILTER($E807:$E817,($A807:$A817=$A807)*($J807:$J817=M$42)))),0)</f>
        <v>0</v>
      </c>
      <c r="N807" s="68" cm="1">
        <f t="array" ref="N807">IFERROR(IF($A807=$A806,0,SUM(_xlfn._xlws.FILTER($E807:$E817,($A807:$A817=$A807)*($J807:$J817=N$42)))),0)</f>
        <v>0</v>
      </c>
    </row>
    <row r="808" spans="5:14" x14ac:dyDescent="0.3">
      <c r="E808" s="67">
        <f ca="1">IFERROR(C808*D808*_xlfn.XLOOKUP(B808,[1]!TabCalc[Ticker],[1]!TabCalc[Scale]),0)</f>
        <v>0</v>
      </c>
      <c r="F808" s="68" cm="1">
        <f t="array" ref="F808">IF(A808=A807,0,SUM(_xlfn._xlws.FILTER(E808:E818,A808:A818=A808)))</f>
        <v>0</v>
      </c>
      <c r="G808" s="69">
        <f>IF(F808&lt;&gt;0,SUM($F$43:F808),0)</f>
        <v>0</v>
      </c>
      <c r="H808" s="69" cm="1">
        <f t="array" ref="H808">IFERROR(IF(A808=A807,0,SUM(_xlfn._xlws.FILTER(E808:E818,(A808:A818=A808)*(E808:E818&gt;0)))),0)</f>
        <v>0</v>
      </c>
      <c r="I808" s="69" cm="1">
        <f t="array" ref="I808">IFERROR(IF(A808=A807,0,SUM(_xlfn._xlws.FILTER(E808:E818,(A808:A818=A808)*(F808&lt;0)))),0)</f>
        <v>0</v>
      </c>
      <c r="J808" s="81" t="str">
        <f ca="1">IFERROR(_xlfn.XLOOKUP(B808,[1]!TabCalc[Ticker],[1]!TabCalc[Cur]),"")</f>
        <v/>
      </c>
      <c r="K808" s="68" cm="1">
        <f t="array" ref="K808">IFERROR(IF($A808=$A807,0,SUM(_xlfn._xlws.FILTER($E808:$E818,($A808:$A818=$A808)*($J808:$J818=K$42)))),0)</f>
        <v>0</v>
      </c>
      <c r="L808" s="68" cm="1">
        <f t="array" ref="L808">IFERROR(IF($A808=$A807,0,SUM(_xlfn._xlws.FILTER($E808:$E818,($A808:$A818=$A808)*($J808:$J818=L$42)))),0)</f>
        <v>0</v>
      </c>
      <c r="M808" s="68" cm="1">
        <f t="array" ref="M808">IFERROR(IF($A808=$A807,0,SUM(_xlfn._xlws.FILTER($E808:$E818,($A808:$A818=$A808)*($J808:$J818=M$42)))),0)</f>
        <v>0</v>
      </c>
      <c r="N808" s="68" cm="1">
        <f t="array" ref="N808">IFERROR(IF($A808=$A807,0,SUM(_xlfn._xlws.FILTER($E808:$E818,($A808:$A818=$A808)*($J808:$J818=N$42)))),0)</f>
        <v>0</v>
      </c>
    </row>
    <row r="809" spans="5:14" x14ac:dyDescent="0.3">
      <c r="E809" s="67">
        <f ca="1">IFERROR(C809*D809*_xlfn.XLOOKUP(B809,[1]!TabCalc[Ticker],[1]!TabCalc[Scale]),0)</f>
        <v>0</v>
      </c>
      <c r="F809" s="68" cm="1">
        <f t="array" ref="F809">IF(A809=A808,0,SUM(_xlfn._xlws.FILTER(E809:E819,A809:A819=A809)))</f>
        <v>0</v>
      </c>
      <c r="G809" s="69">
        <f>IF(F809&lt;&gt;0,SUM($F$43:F809),0)</f>
        <v>0</v>
      </c>
      <c r="H809" s="69" cm="1">
        <f t="array" ref="H809">IFERROR(IF(A809=A808,0,SUM(_xlfn._xlws.FILTER(E809:E819,(A809:A819=A809)*(E809:E819&gt;0)))),0)</f>
        <v>0</v>
      </c>
      <c r="I809" s="69" cm="1">
        <f t="array" ref="I809">IFERROR(IF(A809=A808,0,SUM(_xlfn._xlws.FILTER(E809:E819,(A809:A819=A809)*(F809&lt;0)))),0)</f>
        <v>0</v>
      </c>
      <c r="J809" s="81" t="str">
        <f ca="1">IFERROR(_xlfn.XLOOKUP(B809,[1]!TabCalc[Ticker],[1]!TabCalc[Cur]),"")</f>
        <v/>
      </c>
      <c r="K809" s="68" cm="1">
        <f t="array" ref="K809">IFERROR(IF($A809=$A808,0,SUM(_xlfn._xlws.FILTER($E809:$E819,($A809:$A819=$A809)*($J809:$J819=K$42)))),0)</f>
        <v>0</v>
      </c>
      <c r="L809" s="68" cm="1">
        <f t="array" ref="L809">IFERROR(IF($A809=$A808,0,SUM(_xlfn._xlws.FILTER($E809:$E819,($A809:$A819=$A809)*($J809:$J819=L$42)))),0)</f>
        <v>0</v>
      </c>
      <c r="M809" s="68" cm="1">
        <f t="array" ref="M809">IFERROR(IF($A809=$A808,0,SUM(_xlfn._xlws.FILTER($E809:$E819,($A809:$A819=$A809)*($J809:$J819=M$42)))),0)</f>
        <v>0</v>
      </c>
      <c r="N809" s="68" cm="1">
        <f t="array" ref="N809">IFERROR(IF($A809=$A808,0,SUM(_xlfn._xlws.FILTER($E809:$E819,($A809:$A819=$A809)*($J809:$J819=N$42)))),0)</f>
        <v>0</v>
      </c>
    </row>
    <row r="810" spans="5:14" x14ac:dyDescent="0.3">
      <c r="E810" s="67">
        <f ca="1">IFERROR(C810*D810*_xlfn.XLOOKUP(B810,[1]!TabCalc[Ticker],[1]!TabCalc[Scale]),0)</f>
        <v>0</v>
      </c>
      <c r="F810" s="68" cm="1">
        <f t="array" ref="F810">IF(A810=A809,0,SUM(_xlfn._xlws.FILTER(E810:E820,A810:A820=A810)))</f>
        <v>0</v>
      </c>
      <c r="G810" s="69">
        <f>IF(F810&lt;&gt;0,SUM($F$43:F810),0)</f>
        <v>0</v>
      </c>
      <c r="H810" s="69" cm="1">
        <f t="array" ref="H810">IFERROR(IF(A810=A809,0,SUM(_xlfn._xlws.FILTER(E810:E820,(A810:A820=A810)*(E810:E820&gt;0)))),0)</f>
        <v>0</v>
      </c>
      <c r="I810" s="69" cm="1">
        <f t="array" ref="I810">IFERROR(IF(A810=A809,0,SUM(_xlfn._xlws.FILTER(E810:E820,(A810:A820=A810)*(F810&lt;0)))),0)</f>
        <v>0</v>
      </c>
      <c r="J810" s="81" t="str">
        <f ca="1">IFERROR(_xlfn.XLOOKUP(B810,[1]!TabCalc[Ticker],[1]!TabCalc[Cur]),"")</f>
        <v/>
      </c>
      <c r="K810" s="68" cm="1">
        <f t="array" ref="K810">IFERROR(IF($A810=$A809,0,SUM(_xlfn._xlws.FILTER($E810:$E820,($A810:$A820=$A810)*($J810:$J820=K$42)))),0)</f>
        <v>0</v>
      </c>
      <c r="L810" s="68" cm="1">
        <f t="array" ref="L810">IFERROR(IF($A810=$A809,0,SUM(_xlfn._xlws.FILTER($E810:$E820,($A810:$A820=$A810)*($J810:$J820=L$42)))),0)</f>
        <v>0</v>
      </c>
      <c r="M810" s="68" cm="1">
        <f t="array" ref="M810">IFERROR(IF($A810=$A809,0,SUM(_xlfn._xlws.FILTER($E810:$E820,($A810:$A820=$A810)*($J810:$J820=M$42)))),0)</f>
        <v>0</v>
      </c>
      <c r="N810" s="68" cm="1">
        <f t="array" ref="N810">IFERROR(IF($A810=$A809,0,SUM(_xlfn._xlws.FILTER($E810:$E820,($A810:$A820=$A810)*($J810:$J820=N$42)))),0)</f>
        <v>0</v>
      </c>
    </row>
    <row r="811" spans="5:14" x14ac:dyDescent="0.3">
      <c r="E811" s="67">
        <f ca="1">IFERROR(C811*D811*_xlfn.XLOOKUP(B811,[1]!TabCalc[Ticker],[1]!TabCalc[Scale]),0)</f>
        <v>0</v>
      </c>
      <c r="F811" s="68" cm="1">
        <f t="array" ref="F811">IF(A811=A810,0,SUM(_xlfn._xlws.FILTER(E811:E821,A811:A821=A811)))</f>
        <v>0</v>
      </c>
      <c r="G811" s="69">
        <f>IF(F811&lt;&gt;0,SUM($F$43:F811),0)</f>
        <v>0</v>
      </c>
      <c r="H811" s="69" cm="1">
        <f t="array" ref="H811">IFERROR(IF(A811=A810,0,SUM(_xlfn._xlws.FILTER(E811:E821,(A811:A821=A811)*(E811:E821&gt;0)))),0)</f>
        <v>0</v>
      </c>
      <c r="I811" s="69" cm="1">
        <f t="array" ref="I811">IFERROR(IF(A811=A810,0,SUM(_xlfn._xlws.FILTER(E811:E821,(A811:A821=A811)*(F811&lt;0)))),0)</f>
        <v>0</v>
      </c>
      <c r="J811" s="81" t="str">
        <f ca="1">IFERROR(_xlfn.XLOOKUP(B811,[1]!TabCalc[Ticker],[1]!TabCalc[Cur]),"")</f>
        <v/>
      </c>
      <c r="K811" s="68" cm="1">
        <f t="array" ref="K811">IFERROR(IF($A811=$A810,0,SUM(_xlfn._xlws.FILTER($E811:$E821,($A811:$A821=$A811)*($J811:$J821=K$42)))),0)</f>
        <v>0</v>
      </c>
      <c r="L811" s="68" cm="1">
        <f t="array" ref="L811">IFERROR(IF($A811=$A810,0,SUM(_xlfn._xlws.FILTER($E811:$E821,($A811:$A821=$A811)*($J811:$J821=L$42)))),0)</f>
        <v>0</v>
      </c>
      <c r="M811" s="68" cm="1">
        <f t="array" ref="M811">IFERROR(IF($A811=$A810,0,SUM(_xlfn._xlws.FILTER($E811:$E821,($A811:$A821=$A811)*($J811:$J821=M$42)))),0)</f>
        <v>0</v>
      </c>
      <c r="N811" s="68" cm="1">
        <f t="array" ref="N811">IFERROR(IF($A811=$A810,0,SUM(_xlfn._xlws.FILTER($E811:$E821,($A811:$A821=$A811)*($J811:$J821=N$42)))),0)</f>
        <v>0</v>
      </c>
    </row>
    <row r="812" spans="5:14" x14ac:dyDescent="0.3">
      <c r="E812" s="67">
        <f ca="1">IFERROR(C812*D812*_xlfn.XLOOKUP(B812,[1]!TabCalc[Ticker],[1]!TabCalc[Scale]),0)</f>
        <v>0</v>
      </c>
      <c r="F812" s="68" cm="1">
        <f t="array" ref="F812">IF(A812=A811,0,SUM(_xlfn._xlws.FILTER(E812:E822,A812:A822=A812)))</f>
        <v>0</v>
      </c>
      <c r="G812" s="69">
        <f>IF(F812&lt;&gt;0,SUM($F$43:F812),0)</f>
        <v>0</v>
      </c>
      <c r="H812" s="69" cm="1">
        <f t="array" ref="H812">IFERROR(IF(A812=A811,0,SUM(_xlfn._xlws.FILTER(E812:E822,(A812:A822=A812)*(E812:E822&gt;0)))),0)</f>
        <v>0</v>
      </c>
      <c r="I812" s="69" cm="1">
        <f t="array" ref="I812">IFERROR(IF(A812=A811,0,SUM(_xlfn._xlws.FILTER(E812:E822,(A812:A822=A812)*(F812&lt;0)))),0)</f>
        <v>0</v>
      </c>
      <c r="J812" s="81" t="str">
        <f ca="1">IFERROR(_xlfn.XLOOKUP(B812,[1]!TabCalc[Ticker],[1]!TabCalc[Cur]),"")</f>
        <v/>
      </c>
      <c r="K812" s="68" cm="1">
        <f t="array" ref="K812">IFERROR(IF($A812=$A811,0,SUM(_xlfn._xlws.FILTER($E812:$E822,($A812:$A822=$A812)*($J812:$J822=K$42)))),0)</f>
        <v>0</v>
      </c>
      <c r="L812" s="68" cm="1">
        <f t="array" ref="L812">IFERROR(IF($A812=$A811,0,SUM(_xlfn._xlws.FILTER($E812:$E822,($A812:$A822=$A812)*($J812:$J822=L$42)))),0)</f>
        <v>0</v>
      </c>
      <c r="M812" s="68" cm="1">
        <f t="array" ref="M812">IFERROR(IF($A812=$A811,0,SUM(_xlfn._xlws.FILTER($E812:$E822,($A812:$A822=$A812)*($J812:$J822=M$42)))),0)</f>
        <v>0</v>
      </c>
      <c r="N812" s="68" cm="1">
        <f t="array" ref="N812">IFERROR(IF($A812=$A811,0,SUM(_xlfn._xlws.FILTER($E812:$E822,($A812:$A822=$A812)*($J812:$J822=N$42)))),0)</f>
        <v>0</v>
      </c>
    </row>
    <row r="813" spans="5:14" x14ac:dyDescent="0.3">
      <c r="E813" s="67">
        <f ca="1">IFERROR(C813*D813*_xlfn.XLOOKUP(B813,[1]!TabCalc[Ticker],[1]!TabCalc[Scale]),0)</f>
        <v>0</v>
      </c>
      <c r="F813" s="68" cm="1">
        <f t="array" ref="F813">IF(A813=A812,0,SUM(_xlfn._xlws.FILTER(E813:E823,A813:A823=A813)))</f>
        <v>0</v>
      </c>
      <c r="G813" s="69">
        <f>IF(F813&lt;&gt;0,SUM($F$43:F813),0)</f>
        <v>0</v>
      </c>
      <c r="H813" s="69" cm="1">
        <f t="array" ref="H813">IFERROR(IF(A813=A812,0,SUM(_xlfn._xlws.FILTER(E813:E823,(A813:A823=A813)*(E813:E823&gt;0)))),0)</f>
        <v>0</v>
      </c>
      <c r="I813" s="69" cm="1">
        <f t="array" ref="I813">IFERROR(IF(A813=A812,0,SUM(_xlfn._xlws.FILTER(E813:E823,(A813:A823=A813)*(F813&lt;0)))),0)</f>
        <v>0</v>
      </c>
      <c r="J813" s="81" t="str">
        <f ca="1">IFERROR(_xlfn.XLOOKUP(B813,[1]!TabCalc[Ticker],[1]!TabCalc[Cur]),"")</f>
        <v/>
      </c>
      <c r="K813" s="68" cm="1">
        <f t="array" ref="K813">IFERROR(IF($A813=$A812,0,SUM(_xlfn._xlws.FILTER($E813:$E823,($A813:$A823=$A813)*($J813:$J823=K$42)))),0)</f>
        <v>0</v>
      </c>
      <c r="L813" s="68" cm="1">
        <f t="array" ref="L813">IFERROR(IF($A813=$A812,0,SUM(_xlfn._xlws.FILTER($E813:$E823,($A813:$A823=$A813)*($J813:$J823=L$42)))),0)</f>
        <v>0</v>
      </c>
      <c r="M813" s="68" cm="1">
        <f t="array" ref="M813">IFERROR(IF($A813=$A812,0,SUM(_xlfn._xlws.FILTER($E813:$E823,($A813:$A823=$A813)*($J813:$J823=M$42)))),0)</f>
        <v>0</v>
      </c>
      <c r="N813" s="68" cm="1">
        <f t="array" ref="N813">IFERROR(IF($A813=$A812,0,SUM(_xlfn._xlws.FILTER($E813:$E823,($A813:$A823=$A813)*($J813:$J823=N$42)))),0)</f>
        <v>0</v>
      </c>
    </row>
    <row r="814" spans="5:14" x14ac:dyDescent="0.3">
      <c r="E814" s="67">
        <f ca="1">IFERROR(C814*D814*_xlfn.XLOOKUP(B814,[1]!TabCalc[Ticker],[1]!TabCalc[Scale]),0)</f>
        <v>0</v>
      </c>
      <c r="F814" s="68" cm="1">
        <f t="array" ref="F814">IF(A814=A813,0,SUM(_xlfn._xlws.FILTER(E814:E824,A814:A824=A814)))</f>
        <v>0</v>
      </c>
      <c r="G814" s="69">
        <f>IF(F814&lt;&gt;0,SUM($F$43:F814),0)</f>
        <v>0</v>
      </c>
      <c r="H814" s="69" cm="1">
        <f t="array" ref="H814">IFERROR(IF(A814=A813,0,SUM(_xlfn._xlws.FILTER(E814:E824,(A814:A824=A814)*(E814:E824&gt;0)))),0)</f>
        <v>0</v>
      </c>
      <c r="I814" s="69" cm="1">
        <f t="array" ref="I814">IFERROR(IF(A814=A813,0,SUM(_xlfn._xlws.FILTER(E814:E824,(A814:A824=A814)*(F814&lt;0)))),0)</f>
        <v>0</v>
      </c>
      <c r="J814" s="81" t="str">
        <f ca="1">IFERROR(_xlfn.XLOOKUP(B814,[1]!TabCalc[Ticker],[1]!TabCalc[Cur]),"")</f>
        <v/>
      </c>
      <c r="K814" s="68" cm="1">
        <f t="array" ref="K814">IFERROR(IF($A814=$A813,0,SUM(_xlfn._xlws.FILTER($E814:$E824,($A814:$A824=$A814)*($J814:$J824=K$42)))),0)</f>
        <v>0</v>
      </c>
      <c r="L814" s="68" cm="1">
        <f t="array" ref="L814">IFERROR(IF($A814=$A813,0,SUM(_xlfn._xlws.FILTER($E814:$E824,($A814:$A824=$A814)*($J814:$J824=L$42)))),0)</f>
        <v>0</v>
      </c>
      <c r="M814" s="68" cm="1">
        <f t="array" ref="M814">IFERROR(IF($A814=$A813,0,SUM(_xlfn._xlws.FILTER($E814:$E824,($A814:$A824=$A814)*($J814:$J824=M$42)))),0)</f>
        <v>0</v>
      </c>
      <c r="N814" s="68" cm="1">
        <f t="array" ref="N814">IFERROR(IF($A814=$A813,0,SUM(_xlfn._xlws.FILTER($E814:$E824,($A814:$A824=$A814)*($J814:$J824=N$42)))),0)</f>
        <v>0</v>
      </c>
    </row>
    <row r="815" spans="5:14" x14ac:dyDescent="0.3">
      <c r="E815" s="67">
        <f ca="1">IFERROR(C815*D815*_xlfn.XLOOKUP(B815,[1]!TabCalc[Ticker],[1]!TabCalc[Scale]),0)</f>
        <v>0</v>
      </c>
      <c r="F815" s="68" cm="1">
        <f t="array" ref="F815">IF(A815=A814,0,SUM(_xlfn._xlws.FILTER(E815:E825,A815:A825=A815)))</f>
        <v>0</v>
      </c>
      <c r="G815" s="69">
        <f>IF(F815&lt;&gt;0,SUM($F$43:F815),0)</f>
        <v>0</v>
      </c>
      <c r="H815" s="69" cm="1">
        <f t="array" ref="H815">IFERROR(IF(A815=A814,0,SUM(_xlfn._xlws.FILTER(E815:E825,(A815:A825=A815)*(E815:E825&gt;0)))),0)</f>
        <v>0</v>
      </c>
      <c r="I815" s="69" cm="1">
        <f t="array" ref="I815">IFERROR(IF(A815=A814,0,SUM(_xlfn._xlws.FILTER(E815:E825,(A815:A825=A815)*(F815&lt;0)))),0)</f>
        <v>0</v>
      </c>
      <c r="J815" s="81" t="str">
        <f ca="1">IFERROR(_xlfn.XLOOKUP(B815,[1]!TabCalc[Ticker],[1]!TabCalc[Cur]),"")</f>
        <v/>
      </c>
      <c r="K815" s="68" cm="1">
        <f t="array" ref="K815">IFERROR(IF($A815=$A814,0,SUM(_xlfn._xlws.FILTER($E815:$E825,($A815:$A825=$A815)*($J815:$J825=K$42)))),0)</f>
        <v>0</v>
      </c>
      <c r="L815" s="68" cm="1">
        <f t="array" ref="L815">IFERROR(IF($A815=$A814,0,SUM(_xlfn._xlws.FILTER($E815:$E825,($A815:$A825=$A815)*($J815:$J825=L$42)))),0)</f>
        <v>0</v>
      </c>
      <c r="M815" s="68" cm="1">
        <f t="array" ref="M815">IFERROR(IF($A815=$A814,0,SUM(_xlfn._xlws.FILTER($E815:$E825,($A815:$A825=$A815)*($J815:$J825=M$42)))),0)</f>
        <v>0</v>
      </c>
      <c r="N815" s="68" cm="1">
        <f t="array" ref="N815">IFERROR(IF($A815=$A814,0,SUM(_xlfn._xlws.FILTER($E815:$E825,($A815:$A825=$A815)*($J815:$J825=N$42)))),0)</f>
        <v>0</v>
      </c>
    </row>
    <row r="816" spans="5:14" x14ac:dyDescent="0.3">
      <c r="E816" s="67">
        <f ca="1">IFERROR(C816*D816*_xlfn.XLOOKUP(B816,[1]!TabCalc[Ticker],[1]!TabCalc[Scale]),0)</f>
        <v>0</v>
      </c>
      <c r="F816" s="68" cm="1">
        <f t="array" ref="F816">IF(A816=A815,0,SUM(_xlfn._xlws.FILTER(E816:E826,A816:A826=A816)))</f>
        <v>0</v>
      </c>
      <c r="G816" s="69">
        <f>IF(F816&lt;&gt;0,SUM($F$43:F816),0)</f>
        <v>0</v>
      </c>
      <c r="H816" s="69" cm="1">
        <f t="array" ref="H816">IFERROR(IF(A816=A815,0,SUM(_xlfn._xlws.FILTER(E816:E826,(A816:A826=A816)*(E816:E826&gt;0)))),0)</f>
        <v>0</v>
      </c>
      <c r="I816" s="69" cm="1">
        <f t="array" ref="I816">IFERROR(IF(A816=A815,0,SUM(_xlfn._xlws.FILTER(E816:E826,(A816:A826=A816)*(F816&lt;0)))),0)</f>
        <v>0</v>
      </c>
      <c r="J816" s="81" t="str">
        <f ca="1">IFERROR(_xlfn.XLOOKUP(B816,[1]!TabCalc[Ticker],[1]!TabCalc[Cur]),"")</f>
        <v/>
      </c>
      <c r="K816" s="68" cm="1">
        <f t="array" ref="K816">IFERROR(IF($A816=$A815,0,SUM(_xlfn._xlws.FILTER($E816:$E826,($A816:$A826=$A816)*($J816:$J826=K$42)))),0)</f>
        <v>0</v>
      </c>
      <c r="L816" s="68" cm="1">
        <f t="array" ref="L816">IFERROR(IF($A816=$A815,0,SUM(_xlfn._xlws.FILTER($E816:$E826,($A816:$A826=$A816)*($J816:$J826=L$42)))),0)</f>
        <v>0</v>
      </c>
      <c r="M816" s="68" cm="1">
        <f t="array" ref="M816">IFERROR(IF($A816=$A815,0,SUM(_xlfn._xlws.FILTER($E816:$E826,($A816:$A826=$A816)*($J816:$J826=M$42)))),0)</f>
        <v>0</v>
      </c>
      <c r="N816" s="68" cm="1">
        <f t="array" ref="N816">IFERROR(IF($A816=$A815,0,SUM(_xlfn._xlws.FILTER($E816:$E826,($A816:$A826=$A816)*($J816:$J826=N$42)))),0)</f>
        <v>0</v>
      </c>
    </row>
    <row r="817" spans="5:14" x14ac:dyDescent="0.3">
      <c r="E817" s="67">
        <f ca="1">IFERROR(C817*D817*_xlfn.XLOOKUP(B817,[1]!TabCalc[Ticker],[1]!TabCalc[Scale]),0)</f>
        <v>0</v>
      </c>
      <c r="F817" s="68" cm="1">
        <f t="array" ref="F817">IF(A817=A816,0,SUM(_xlfn._xlws.FILTER(E817:E827,A817:A827=A817)))</f>
        <v>0</v>
      </c>
      <c r="G817" s="69">
        <f>IF(F817&lt;&gt;0,SUM($F$43:F817),0)</f>
        <v>0</v>
      </c>
      <c r="H817" s="69" cm="1">
        <f t="array" ref="H817">IFERROR(IF(A817=A816,0,SUM(_xlfn._xlws.FILTER(E817:E827,(A817:A827=A817)*(E817:E827&gt;0)))),0)</f>
        <v>0</v>
      </c>
      <c r="I817" s="69" cm="1">
        <f t="array" ref="I817">IFERROR(IF(A817=A816,0,SUM(_xlfn._xlws.FILTER(E817:E827,(A817:A827=A817)*(F817&lt;0)))),0)</f>
        <v>0</v>
      </c>
      <c r="J817" s="81" t="str">
        <f ca="1">IFERROR(_xlfn.XLOOKUP(B817,[1]!TabCalc[Ticker],[1]!TabCalc[Cur]),"")</f>
        <v/>
      </c>
      <c r="K817" s="68" cm="1">
        <f t="array" ref="K817">IFERROR(IF($A817=$A816,0,SUM(_xlfn._xlws.FILTER($E817:$E827,($A817:$A827=$A817)*($J817:$J827=K$42)))),0)</f>
        <v>0</v>
      </c>
      <c r="L817" s="68" cm="1">
        <f t="array" ref="L817">IFERROR(IF($A817=$A816,0,SUM(_xlfn._xlws.FILTER($E817:$E827,($A817:$A827=$A817)*($J817:$J827=L$42)))),0)</f>
        <v>0</v>
      </c>
      <c r="M817" s="68" cm="1">
        <f t="array" ref="M817">IFERROR(IF($A817=$A816,0,SUM(_xlfn._xlws.FILTER($E817:$E827,($A817:$A827=$A817)*($J817:$J827=M$42)))),0)</f>
        <v>0</v>
      </c>
      <c r="N817" s="68" cm="1">
        <f t="array" ref="N817">IFERROR(IF($A817=$A816,0,SUM(_xlfn._xlws.FILTER($E817:$E827,($A817:$A827=$A817)*($J817:$J827=N$42)))),0)</f>
        <v>0</v>
      </c>
    </row>
    <row r="818" spans="5:14" x14ac:dyDescent="0.3">
      <c r="E818" s="67">
        <f ca="1">IFERROR(C818*D818*_xlfn.XLOOKUP(B818,[1]!TabCalc[Ticker],[1]!TabCalc[Scale]),0)</f>
        <v>0</v>
      </c>
      <c r="F818" s="68" cm="1">
        <f t="array" ref="F818">IF(A818=A817,0,SUM(_xlfn._xlws.FILTER(E818:E828,A818:A828=A818)))</f>
        <v>0</v>
      </c>
      <c r="G818" s="69">
        <f>IF(F818&lt;&gt;0,SUM($F$43:F818),0)</f>
        <v>0</v>
      </c>
      <c r="H818" s="69" cm="1">
        <f t="array" ref="H818">IFERROR(IF(A818=A817,0,SUM(_xlfn._xlws.FILTER(E818:E828,(A818:A828=A818)*(E818:E828&gt;0)))),0)</f>
        <v>0</v>
      </c>
      <c r="I818" s="69" cm="1">
        <f t="array" ref="I818">IFERROR(IF(A818=A817,0,SUM(_xlfn._xlws.FILTER(E818:E828,(A818:A828=A818)*(F818&lt;0)))),0)</f>
        <v>0</v>
      </c>
      <c r="J818" s="81" t="str">
        <f ca="1">IFERROR(_xlfn.XLOOKUP(B818,[1]!TabCalc[Ticker],[1]!TabCalc[Cur]),"")</f>
        <v/>
      </c>
      <c r="K818" s="68" cm="1">
        <f t="array" ref="K818">IFERROR(IF($A818=$A817,0,SUM(_xlfn._xlws.FILTER($E818:$E828,($A818:$A828=$A818)*($J818:$J828=K$42)))),0)</f>
        <v>0</v>
      </c>
      <c r="L818" s="68" cm="1">
        <f t="array" ref="L818">IFERROR(IF($A818=$A817,0,SUM(_xlfn._xlws.FILTER($E818:$E828,($A818:$A828=$A818)*($J818:$J828=L$42)))),0)</f>
        <v>0</v>
      </c>
      <c r="M818" s="68" cm="1">
        <f t="array" ref="M818">IFERROR(IF($A818=$A817,0,SUM(_xlfn._xlws.FILTER($E818:$E828,($A818:$A828=$A818)*($J818:$J828=M$42)))),0)</f>
        <v>0</v>
      </c>
      <c r="N818" s="68" cm="1">
        <f t="array" ref="N818">IFERROR(IF($A818=$A817,0,SUM(_xlfn._xlws.FILTER($E818:$E828,($A818:$A828=$A818)*($J818:$J828=N$42)))),0)</f>
        <v>0</v>
      </c>
    </row>
    <row r="819" spans="5:14" x14ac:dyDescent="0.3">
      <c r="E819" s="67">
        <f ca="1">IFERROR(C819*D819*_xlfn.XLOOKUP(B819,[1]!TabCalc[Ticker],[1]!TabCalc[Scale]),0)</f>
        <v>0</v>
      </c>
      <c r="F819" s="68" cm="1">
        <f t="array" ref="F819">IF(A819=A818,0,SUM(_xlfn._xlws.FILTER(E819:E829,A819:A829=A819)))</f>
        <v>0</v>
      </c>
      <c r="G819" s="69">
        <f>IF(F819&lt;&gt;0,SUM($F$43:F819),0)</f>
        <v>0</v>
      </c>
      <c r="H819" s="69" cm="1">
        <f t="array" ref="H819">IFERROR(IF(A819=A818,0,SUM(_xlfn._xlws.FILTER(E819:E829,(A819:A829=A819)*(E819:E829&gt;0)))),0)</f>
        <v>0</v>
      </c>
      <c r="I819" s="69" cm="1">
        <f t="array" ref="I819">IFERROR(IF(A819=A818,0,SUM(_xlfn._xlws.FILTER(E819:E829,(A819:A829=A819)*(F819&lt;0)))),0)</f>
        <v>0</v>
      </c>
      <c r="J819" s="81" t="str">
        <f ca="1">IFERROR(_xlfn.XLOOKUP(B819,[1]!TabCalc[Ticker],[1]!TabCalc[Cur]),"")</f>
        <v/>
      </c>
      <c r="K819" s="68" cm="1">
        <f t="array" ref="K819">IFERROR(IF($A819=$A818,0,SUM(_xlfn._xlws.FILTER($E819:$E829,($A819:$A829=$A819)*($J819:$J829=K$42)))),0)</f>
        <v>0</v>
      </c>
      <c r="L819" s="68" cm="1">
        <f t="array" ref="L819">IFERROR(IF($A819=$A818,0,SUM(_xlfn._xlws.FILTER($E819:$E829,($A819:$A829=$A819)*($J819:$J829=L$42)))),0)</f>
        <v>0</v>
      </c>
      <c r="M819" s="68" cm="1">
        <f t="array" ref="M819">IFERROR(IF($A819=$A818,0,SUM(_xlfn._xlws.FILTER($E819:$E829,($A819:$A829=$A819)*($J819:$J829=M$42)))),0)</f>
        <v>0</v>
      </c>
      <c r="N819" s="68" cm="1">
        <f t="array" ref="N819">IFERROR(IF($A819=$A818,0,SUM(_xlfn._xlws.FILTER($E819:$E829,($A819:$A829=$A819)*($J819:$J829=N$42)))),0)</f>
        <v>0</v>
      </c>
    </row>
    <row r="820" spans="5:14" x14ac:dyDescent="0.3">
      <c r="E820" s="67">
        <f ca="1">IFERROR(C820*D820*_xlfn.XLOOKUP(B820,[1]!TabCalc[Ticker],[1]!TabCalc[Scale]),0)</f>
        <v>0</v>
      </c>
      <c r="F820" s="68" cm="1">
        <f t="array" ref="F820">IF(A820=A819,0,SUM(_xlfn._xlws.FILTER(E820:E830,A820:A830=A820)))</f>
        <v>0</v>
      </c>
      <c r="G820" s="69">
        <f>IF(F820&lt;&gt;0,SUM($F$43:F820),0)</f>
        <v>0</v>
      </c>
      <c r="H820" s="69" cm="1">
        <f t="array" ref="H820">IFERROR(IF(A820=A819,0,SUM(_xlfn._xlws.FILTER(E820:E830,(A820:A830=A820)*(E820:E830&gt;0)))),0)</f>
        <v>0</v>
      </c>
      <c r="I820" s="69" cm="1">
        <f t="array" ref="I820">IFERROR(IF(A820=A819,0,SUM(_xlfn._xlws.FILTER(E820:E830,(A820:A830=A820)*(F820&lt;0)))),0)</f>
        <v>0</v>
      </c>
      <c r="J820" s="81" t="str">
        <f ca="1">IFERROR(_xlfn.XLOOKUP(B820,[1]!TabCalc[Ticker],[1]!TabCalc[Cur]),"")</f>
        <v/>
      </c>
      <c r="K820" s="68" cm="1">
        <f t="array" ref="K820">IFERROR(IF($A820=$A819,0,SUM(_xlfn._xlws.FILTER($E820:$E830,($A820:$A830=$A820)*($J820:$J830=K$42)))),0)</f>
        <v>0</v>
      </c>
      <c r="L820" s="68" cm="1">
        <f t="array" ref="L820">IFERROR(IF($A820=$A819,0,SUM(_xlfn._xlws.FILTER($E820:$E830,($A820:$A830=$A820)*($J820:$J830=L$42)))),0)</f>
        <v>0</v>
      </c>
      <c r="M820" s="68" cm="1">
        <f t="array" ref="M820">IFERROR(IF($A820=$A819,0,SUM(_xlfn._xlws.FILTER($E820:$E830,($A820:$A830=$A820)*($J820:$J830=M$42)))),0)</f>
        <v>0</v>
      </c>
      <c r="N820" s="68" cm="1">
        <f t="array" ref="N820">IFERROR(IF($A820=$A819,0,SUM(_xlfn._xlws.FILTER($E820:$E830,($A820:$A830=$A820)*($J820:$J830=N$42)))),0)</f>
        <v>0</v>
      </c>
    </row>
    <row r="821" spans="5:14" x14ac:dyDescent="0.3">
      <c r="E821" s="67">
        <f ca="1">IFERROR(C821*D821*_xlfn.XLOOKUP(B821,[1]!TabCalc[Ticker],[1]!TabCalc[Scale]),0)</f>
        <v>0</v>
      </c>
      <c r="F821" s="68" cm="1">
        <f t="array" ref="F821">IF(A821=A820,0,SUM(_xlfn._xlws.FILTER(E821:E831,A821:A831=A821)))</f>
        <v>0</v>
      </c>
      <c r="G821" s="69">
        <f>IF(F821&lt;&gt;0,SUM($F$43:F821),0)</f>
        <v>0</v>
      </c>
      <c r="H821" s="69" cm="1">
        <f t="array" ref="H821">IFERROR(IF(A821=A820,0,SUM(_xlfn._xlws.FILTER(E821:E831,(A821:A831=A821)*(E821:E831&gt;0)))),0)</f>
        <v>0</v>
      </c>
      <c r="I821" s="69" cm="1">
        <f t="array" ref="I821">IFERROR(IF(A821=A820,0,SUM(_xlfn._xlws.FILTER(E821:E831,(A821:A831=A821)*(F821&lt;0)))),0)</f>
        <v>0</v>
      </c>
      <c r="J821" s="81" t="str">
        <f ca="1">IFERROR(_xlfn.XLOOKUP(B821,[1]!TabCalc[Ticker],[1]!TabCalc[Cur]),"")</f>
        <v/>
      </c>
      <c r="K821" s="68" cm="1">
        <f t="array" ref="K821">IFERROR(IF($A821=$A820,0,SUM(_xlfn._xlws.FILTER($E821:$E831,($A821:$A831=$A821)*($J821:$J831=K$42)))),0)</f>
        <v>0</v>
      </c>
      <c r="L821" s="68" cm="1">
        <f t="array" ref="L821">IFERROR(IF($A821=$A820,0,SUM(_xlfn._xlws.FILTER($E821:$E831,($A821:$A831=$A821)*($J821:$J831=L$42)))),0)</f>
        <v>0</v>
      </c>
      <c r="M821" s="68" cm="1">
        <f t="array" ref="M821">IFERROR(IF($A821=$A820,0,SUM(_xlfn._xlws.FILTER($E821:$E831,($A821:$A831=$A821)*($J821:$J831=M$42)))),0)</f>
        <v>0</v>
      </c>
      <c r="N821" s="68" cm="1">
        <f t="array" ref="N821">IFERROR(IF($A821=$A820,0,SUM(_xlfn._xlws.FILTER($E821:$E831,($A821:$A831=$A821)*($J821:$J831=N$42)))),0)</f>
        <v>0</v>
      </c>
    </row>
    <row r="822" spans="5:14" x14ac:dyDescent="0.3">
      <c r="E822" s="67">
        <f ca="1">IFERROR(C822*D822*_xlfn.XLOOKUP(B822,[1]!TabCalc[Ticker],[1]!TabCalc[Scale]),0)</f>
        <v>0</v>
      </c>
      <c r="F822" s="68" cm="1">
        <f t="array" ref="F822">IF(A822=A821,0,SUM(_xlfn._xlws.FILTER(E822:E832,A822:A832=A822)))</f>
        <v>0</v>
      </c>
      <c r="G822" s="69">
        <f>IF(F822&lt;&gt;0,SUM($F$43:F822),0)</f>
        <v>0</v>
      </c>
      <c r="H822" s="69" cm="1">
        <f t="array" ref="H822">IFERROR(IF(A822=A821,0,SUM(_xlfn._xlws.FILTER(E822:E832,(A822:A832=A822)*(E822:E832&gt;0)))),0)</f>
        <v>0</v>
      </c>
      <c r="I822" s="69" cm="1">
        <f t="array" ref="I822">IFERROR(IF(A822=A821,0,SUM(_xlfn._xlws.FILTER(E822:E832,(A822:A832=A822)*(F822&lt;0)))),0)</f>
        <v>0</v>
      </c>
      <c r="J822" s="81" t="str">
        <f ca="1">IFERROR(_xlfn.XLOOKUP(B822,[1]!TabCalc[Ticker],[1]!TabCalc[Cur]),"")</f>
        <v/>
      </c>
      <c r="K822" s="68" cm="1">
        <f t="array" ref="K822">IFERROR(IF($A822=$A821,0,SUM(_xlfn._xlws.FILTER($E822:$E832,($A822:$A832=$A822)*($J822:$J832=K$42)))),0)</f>
        <v>0</v>
      </c>
      <c r="L822" s="68" cm="1">
        <f t="array" ref="L822">IFERROR(IF($A822=$A821,0,SUM(_xlfn._xlws.FILTER($E822:$E832,($A822:$A832=$A822)*($J822:$J832=L$42)))),0)</f>
        <v>0</v>
      </c>
      <c r="M822" s="68" cm="1">
        <f t="array" ref="M822">IFERROR(IF($A822=$A821,0,SUM(_xlfn._xlws.FILTER($E822:$E832,($A822:$A832=$A822)*($J822:$J832=M$42)))),0)</f>
        <v>0</v>
      </c>
      <c r="N822" s="68" cm="1">
        <f t="array" ref="N822">IFERROR(IF($A822=$A821,0,SUM(_xlfn._xlws.FILTER($E822:$E832,($A822:$A832=$A822)*($J822:$J832=N$42)))),0)</f>
        <v>0</v>
      </c>
    </row>
    <row r="823" spans="5:14" x14ac:dyDescent="0.3">
      <c r="E823" s="67">
        <f ca="1">IFERROR(C823*D823*_xlfn.XLOOKUP(B823,[1]!TabCalc[Ticker],[1]!TabCalc[Scale]),0)</f>
        <v>0</v>
      </c>
      <c r="F823" s="68" cm="1">
        <f t="array" ref="F823">IF(A823=A822,0,SUM(_xlfn._xlws.FILTER(E823:E833,A823:A833=A823)))</f>
        <v>0</v>
      </c>
      <c r="G823" s="69">
        <f>IF(F823&lt;&gt;0,SUM($F$43:F823),0)</f>
        <v>0</v>
      </c>
      <c r="H823" s="69" cm="1">
        <f t="array" ref="H823">IFERROR(IF(A823=A822,0,SUM(_xlfn._xlws.FILTER(E823:E833,(A823:A833=A823)*(E823:E833&gt;0)))),0)</f>
        <v>0</v>
      </c>
      <c r="I823" s="69" cm="1">
        <f t="array" ref="I823">IFERROR(IF(A823=A822,0,SUM(_xlfn._xlws.FILTER(E823:E833,(A823:A833=A823)*(F823&lt;0)))),0)</f>
        <v>0</v>
      </c>
      <c r="J823" s="81" t="str">
        <f ca="1">IFERROR(_xlfn.XLOOKUP(B823,[1]!TabCalc[Ticker],[1]!TabCalc[Cur]),"")</f>
        <v/>
      </c>
      <c r="K823" s="68" cm="1">
        <f t="array" ref="K823">IFERROR(IF($A823=$A822,0,SUM(_xlfn._xlws.FILTER($E823:$E833,($A823:$A833=$A823)*($J823:$J833=K$42)))),0)</f>
        <v>0</v>
      </c>
      <c r="L823" s="68" cm="1">
        <f t="array" ref="L823">IFERROR(IF($A823=$A822,0,SUM(_xlfn._xlws.FILTER($E823:$E833,($A823:$A833=$A823)*($J823:$J833=L$42)))),0)</f>
        <v>0</v>
      </c>
      <c r="M823" s="68" cm="1">
        <f t="array" ref="M823">IFERROR(IF($A823=$A822,0,SUM(_xlfn._xlws.FILTER($E823:$E833,($A823:$A833=$A823)*($J823:$J833=M$42)))),0)</f>
        <v>0</v>
      </c>
      <c r="N823" s="68" cm="1">
        <f t="array" ref="N823">IFERROR(IF($A823=$A822,0,SUM(_xlfn._xlws.FILTER($E823:$E833,($A823:$A833=$A823)*($J823:$J833=N$42)))),0)</f>
        <v>0</v>
      </c>
    </row>
    <row r="824" spans="5:14" x14ac:dyDescent="0.3">
      <c r="E824" s="67">
        <f ca="1">IFERROR(C824*D824*_xlfn.XLOOKUP(B824,[1]!TabCalc[Ticker],[1]!TabCalc[Scale]),0)</f>
        <v>0</v>
      </c>
      <c r="F824" s="68" cm="1">
        <f t="array" ref="F824">IF(A824=A823,0,SUM(_xlfn._xlws.FILTER(E824:E834,A824:A834=A824)))</f>
        <v>0</v>
      </c>
      <c r="G824" s="69">
        <f>IF(F824&lt;&gt;0,SUM($F$43:F824),0)</f>
        <v>0</v>
      </c>
      <c r="H824" s="69" cm="1">
        <f t="array" ref="H824">IFERROR(IF(A824=A823,0,SUM(_xlfn._xlws.FILTER(E824:E834,(A824:A834=A824)*(E824:E834&gt;0)))),0)</f>
        <v>0</v>
      </c>
      <c r="I824" s="69" cm="1">
        <f t="array" ref="I824">IFERROR(IF(A824=A823,0,SUM(_xlfn._xlws.FILTER(E824:E834,(A824:A834=A824)*(F824&lt;0)))),0)</f>
        <v>0</v>
      </c>
      <c r="J824" s="81" t="str">
        <f ca="1">IFERROR(_xlfn.XLOOKUP(B824,[1]!TabCalc[Ticker],[1]!TabCalc[Cur]),"")</f>
        <v/>
      </c>
      <c r="K824" s="68" cm="1">
        <f t="array" ref="K824">IFERROR(IF($A824=$A823,0,SUM(_xlfn._xlws.FILTER($E824:$E834,($A824:$A834=$A824)*($J824:$J834=K$42)))),0)</f>
        <v>0</v>
      </c>
      <c r="L824" s="68" cm="1">
        <f t="array" ref="L824">IFERROR(IF($A824=$A823,0,SUM(_xlfn._xlws.FILTER($E824:$E834,($A824:$A834=$A824)*($J824:$J834=L$42)))),0)</f>
        <v>0</v>
      </c>
      <c r="M824" s="68" cm="1">
        <f t="array" ref="M824">IFERROR(IF($A824=$A823,0,SUM(_xlfn._xlws.FILTER($E824:$E834,($A824:$A834=$A824)*($J824:$J834=M$42)))),0)</f>
        <v>0</v>
      </c>
      <c r="N824" s="68" cm="1">
        <f t="array" ref="N824">IFERROR(IF($A824=$A823,0,SUM(_xlfn._xlws.FILTER($E824:$E834,($A824:$A834=$A824)*($J824:$J834=N$42)))),0)</f>
        <v>0</v>
      </c>
    </row>
    <row r="825" spans="5:14" x14ac:dyDescent="0.3">
      <c r="E825" s="67">
        <f ca="1">IFERROR(C825*D825*_xlfn.XLOOKUP(B825,[1]!TabCalc[Ticker],[1]!TabCalc[Scale]),0)</f>
        <v>0</v>
      </c>
      <c r="F825" s="68" cm="1">
        <f t="array" ref="F825">IF(A825=A824,0,SUM(_xlfn._xlws.FILTER(E825:E835,A825:A835=A825)))</f>
        <v>0</v>
      </c>
      <c r="G825" s="69">
        <f>IF(F825&lt;&gt;0,SUM($F$43:F825),0)</f>
        <v>0</v>
      </c>
      <c r="H825" s="69" cm="1">
        <f t="array" ref="H825">IFERROR(IF(A825=A824,0,SUM(_xlfn._xlws.FILTER(E825:E835,(A825:A835=A825)*(E825:E835&gt;0)))),0)</f>
        <v>0</v>
      </c>
      <c r="I825" s="69" cm="1">
        <f t="array" ref="I825">IFERROR(IF(A825=A824,0,SUM(_xlfn._xlws.FILTER(E825:E835,(A825:A835=A825)*(F825&lt;0)))),0)</f>
        <v>0</v>
      </c>
      <c r="J825" s="81" t="str">
        <f ca="1">IFERROR(_xlfn.XLOOKUP(B825,[1]!TabCalc[Ticker],[1]!TabCalc[Cur]),"")</f>
        <v/>
      </c>
      <c r="K825" s="68" cm="1">
        <f t="array" ref="K825">IFERROR(IF($A825=$A824,0,SUM(_xlfn._xlws.FILTER($E825:$E835,($A825:$A835=$A825)*($J825:$J835=K$42)))),0)</f>
        <v>0</v>
      </c>
      <c r="L825" s="68" cm="1">
        <f t="array" ref="L825">IFERROR(IF($A825=$A824,0,SUM(_xlfn._xlws.FILTER($E825:$E835,($A825:$A835=$A825)*($J825:$J835=L$42)))),0)</f>
        <v>0</v>
      </c>
      <c r="M825" s="68" cm="1">
        <f t="array" ref="M825">IFERROR(IF($A825=$A824,0,SUM(_xlfn._xlws.FILTER($E825:$E835,($A825:$A835=$A825)*($J825:$J835=M$42)))),0)</f>
        <v>0</v>
      </c>
      <c r="N825" s="68" cm="1">
        <f t="array" ref="N825">IFERROR(IF($A825=$A824,0,SUM(_xlfn._xlws.FILTER($E825:$E835,($A825:$A835=$A825)*($J825:$J835=N$42)))),0)</f>
        <v>0</v>
      </c>
    </row>
    <row r="826" spans="5:14" x14ac:dyDescent="0.3">
      <c r="E826" s="67">
        <f ca="1">IFERROR(C826*D826*_xlfn.XLOOKUP(B826,[1]!TabCalc[Ticker],[1]!TabCalc[Scale]),0)</f>
        <v>0</v>
      </c>
      <c r="F826" s="68" cm="1">
        <f t="array" ref="F826">IF(A826=A825,0,SUM(_xlfn._xlws.FILTER(E826:E836,A826:A836=A826)))</f>
        <v>0</v>
      </c>
      <c r="G826" s="69">
        <f>IF(F826&lt;&gt;0,SUM($F$43:F826),0)</f>
        <v>0</v>
      </c>
      <c r="H826" s="69" cm="1">
        <f t="array" ref="H826">IFERROR(IF(A826=A825,0,SUM(_xlfn._xlws.FILTER(E826:E836,(A826:A836=A826)*(E826:E836&gt;0)))),0)</f>
        <v>0</v>
      </c>
      <c r="I826" s="69" cm="1">
        <f t="array" ref="I826">IFERROR(IF(A826=A825,0,SUM(_xlfn._xlws.FILTER(E826:E836,(A826:A836=A826)*(F826&lt;0)))),0)</f>
        <v>0</v>
      </c>
      <c r="J826" s="81" t="str">
        <f ca="1">IFERROR(_xlfn.XLOOKUP(B826,[1]!TabCalc[Ticker],[1]!TabCalc[Cur]),"")</f>
        <v/>
      </c>
      <c r="K826" s="68" cm="1">
        <f t="array" ref="K826">IFERROR(IF($A826=$A825,0,SUM(_xlfn._xlws.FILTER($E826:$E836,($A826:$A836=$A826)*($J826:$J836=K$42)))),0)</f>
        <v>0</v>
      </c>
      <c r="L826" s="68" cm="1">
        <f t="array" ref="L826">IFERROR(IF($A826=$A825,0,SUM(_xlfn._xlws.FILTER($E826:$E836,($A826:$A836=$A826)*($J826:$J836=L$42)))),0)</f>
        <v>0</v>
      </c>
      <c r="M826" s="68" cm="1">
        <f t="array" ref="M826">IFERROR(IF($A826=$A825,0,SUM(_xlfn._xlws.FILTER($E826:$E836,($A826:$A836=$A826)*($J826:$J836=M$42)))),0)</f>
        <v>0</v>
      </c>
      <c r="N826" s="68" cm="1">
        <f t="array" ref="N826">IFERROR(IF($A826=$A825,0,SUM(_xlfn._xlws.FILTER($E826:$E836,($A826:$A836=$A826)*($J826:$J836=N$42)))),0)</f>
        <v>0</v>
      </c>
    </row>
    <row r="827" spans="5:14" x14ac:dyDescent="0.3">
      <c r="E827" s="67">
        <f ca="1">IFERROR(C827*D827*_xlfn.XLOOKUP(B827,[1]!TabCalc[Ticker],[1]!TabCalc[Scale]),0)</f>
        <v>0</v>
      </c>
      <c r="F827" s="68" cm="1">
        <f t="array" ref="F827">IF(A827=A826,0,SUM(_xlfn._xlws.FILTER(E827:E837,A827:A837=A827)))</f>
        <v>0</v>
      </c>
      <c r="G827" s="69">
        <f>IF(F827&lt;&gt;0,SUM($F$43:F827),0)</f>
        <v>0</v>
      </c>
      <c r="H827" s="69" cm="1">
        <f t="array" ref="H827">IFERROR(IF(A827=A826,0,SUM(_xlfn._xlws.FILTER(E827:E837,(A827:A837=A827)*(E827:E837&gt;0)))),0)</f>
        <v>0</v>
      </c>
      <c r="I827" s="69" cm="1">
        <f t="array" ref="I827">IFERROR(IF(A827=A826,0,SUM(_xlfn._xlws.FILTER(E827:E837,(A827:A837=A827)*(F827&lt;0)))),0)</f>
        <v>0</v>
      </c>
      <c r="J827" s="81" t="str">
        <f ca="1">IFERROR(_xlfn.XLOOKUP(B827,[1]!TabCalc[Ticker],[1]!TabCalc[Cur]),"")</f>
        <v/>
      </c>
      <c r="K827" s="68" cm="1">
        <f t="array" ref="K827">IFERROR(IF($A827=$A826,0,SUM(_xlfn._xlws.FILTER($E827:$E837,($A827:$A837=$A827)*($J827:$J837=K$42)))),0)</f>
        <v>0</v>
      </c>
      <c r="L827" s="68" cm="1">
        <f t="array" ref="L827">IFERROR(IF($A827=$A826,0,SUM(_xlfn._xlws.FILTER($E827:$E837,($A827:$A837=$A827)*($J827:$J837=L$42)))),0)</f>
        <v>0</v>
      </c>
      <c r="M827" s="68" cm="1">
        <f t="array" ref="M827">IFERROR(IF($A827=$A826,0,SUM(_xlfn._xlws.FILTER($E827:$E837,($A827:$A837=$A827)*($J827:$J837=M$42)))),0)</f>
        <v>0</v>
      </c>
      <c r="N827" s="68" cm="1">
        <f t="array" ref="N827">IFERROR(IF($A827=$A826,0,SUM(_xlfn._xlws.FILTER($E827:$E837,($A827:$A837=$A827)*($J827:$J837=N$42)))),0)</f>
        <v>0</v>
      </c>
    </row>
    <row r="828" spans="5:14" x14ac:dyDescent="0.3">
      <c r="E828" s="67">
        <f ca="1">IFERROR(C828*D828*_xlfn.XLOOKUP(B828,[1]!TabCalc[Ticker],[1]!TabCalc[Scale]),0)</f>
        <v>0</v>
      </c>
      <c r="F828" s="68" cm="1">
        <f t="array" ref="F828">IF(A828=A827,0,SUM(_xlfn._xlws.FILTER(E828:E838,A828:A838=A828)))</f>
        <v>0</v>
      </c>
      <c r="G828" s="69">
        <f>IF(F828&lt;&gt;0,SUM($F$43:F828),0)</f>
        <v>0</v>
      </c>
      <c r="H828" s="69" cm="1">
        <f t="array" ref="H828">IFERROR(IF(A828=A827,0,SUM(_xlfn._xlws.FILTER(E828:E838,(A828:A838=A828)*(E828:E838&gt;0)))),0)</f>
        <v>0</v>
      </c>
      <c r="I828" s="69" cm="1">
        <f t="array" ref="I828">IFERROR(IF(A828=A827,0,SUM(_xlfn._xlws.FILTER(E828:E838,(A828:A838=A828)*(F828&lt;0)))),0)</f>
        <v>0</v>
      </c>
      <c r="J828" s="81" t="str">
        <f ca="1">IFERROR(_xlfn.XLOOKUP(B828,[1]!TabCalc[Ticker],[1]!TabCalc[Cur]),"")</f>
        <v/>
      </c>
      <c r="K828" s="68" cm="1">
        <f t="array" ref="K828">IFERROR(IF($A828=$A827,0,SUM(_xlfn._xlws.FILTER($E828:$E838,($A828:$A838=$A828)*($J828:$J838=K$42)))),0)</f>
        <v>0</v>
      </c>
      <c r="L828" s="68" cm="1">
        <f t="array" ref="L828">IFERROR(IF($A828=$A827,0,SUM(_xlfn._xlws.FILTER($E828:$E838,($A828:$A838=$A828)*($J828:$J838=L$42)))),0)</f>
        <v>0</v>
      </c>
      <c r="M828" s="68" cm="1">
        <f t="array" ref="M828">IFERROR(IF($A828=$A827,0,SUM(_xlfn._xlws.FILTER($E828:$E838,($A828:$A838=$A828)*($J828:$J838=M$42)))),0)</f>
        <v>0</v>
      </c>
      <c r="N828" s="68" cm="1">
        <f t="array" ref="N828">IFERROR(IF($A828=$A827,0,SUM(_xlfn._xlws.FILTER($E828:$E838,($A828:$A838=$A828)*($J828:$J838=N$42)))),0)</f>
        <v>0</v>
      </c>
    </row>
    <row r="829" spans="5:14" x14ac:dyDescent="0.3">
      <c r="E829" s="67">
        <f ca="1">IFERROR(C829*D829*_xlfn.XLOOKUP(B829,[1]!TabCalc[Ticker],[1]!TabCalc[Scale]),0)</f>
        <v>0</v>
      </c>
      <c r="F829" s="68" cm="1">
        <f t="array" ref="F829">IF(A829=A828,0,SUM(_xlfn._xlws.FILTER(E829:E839,A829:A839=A829)))</f>
        <v>0</v>
      </c>
      <c r="G829" s="69">
        <f>IF(F829&lt;&gt;0,SUM($F$43:F829),0)</f>
        <v>0</v>
      </c>
      <c r="H829" s="69" cm="1">
        <f t="array" ref="H829">IFERROR(IF(A829=A828,0,SUM(_xlfn._xlws.FILTER(E829:E839,(A829:A839=A829)*(E829:E839&gt;0)))),0)</f>
        <v>0</v>
      </c>
      <c r="I829" s="69" cm="1">
        <f t="array" ref="I829">IFERROR(IF(A829=A828,0,SUM(_xlfn._xlws.FILTER(E829:E839,(A829:A839=A829)*(F829&lt;0)))),0)</f>
        <v>0</v>
      </c>
      <c r="J829" s="81" t="str">
        <f ca="1">IFERROR(_xlfn.XLOOKUP(B829,[1]!TabCalc[Ticker],[1]!TabCalc[Cur]),"")</f>
        <v/>
      </c>
      <c r="K829" s="68" cm="1">
        <f t="array" ref="K829">IFERROR(IF($A829=$A828,0,SUM(_xlfn._xlws.FILTER($E829:$E839,($A829:$A839=$A829)*($J829:$J839=K$42)))),0)</f>
        <v>0</v>
      </c>
      <c r="L829" s="68" cm="1">
        <f t="array" ref="L829">IFERROR(IF($A829=$A828,0,SUM(_xlfn._xlws.FILTER($E829:$E839,($A829:$A839=$A829)*($J829:$J839=L$42)))),0)</f>
        <v>0</v>
      </c>
      <c r="M829" s="68" cm="1">
        <f t="array" ref="M829">IFERROR(IF($A829=$A828,0,SUM(_xlfn._xlws.FILTER($E829:$E839,($A829:$A839=$A829)*($J829:$J839=M$42)))),0)</f>
        <v>0</v>
      </c>
      <c r="N829" s="68" cm="1">
        <f t="array" ref="N829">IFERROR(IF($A829=$A828,0,SUM(_xlfn._xlws.FILTER($E829:$E839,($A829:$A839=$A829)*($J829:$J839=N$42)))),0)</f>
        <v>0</v>
      </c>
    </row>
    <row r="830" spans="5:14" x14ac:dyDescent="0.3">
      <c r="E830" s="67">
        <f ca="1">IFERROR(C830*D830*_xlfn.XLOOKUP(B830,[1]!TabCalc[Ticker],[1]!TabCalc[Scale]),0)</f>
        <v>0</v>
      </c>
      <c r="F830" s="68" cm="1">
        <f t="array" ref="F830">IF(A830=A829,0,SUM(_xlfn._xlws.FILTER(E830:E840,A830:A840=A830)))</f>
        <v>0</v>
      </c>
      <c r="G830" s="69">
        <f>IF(F830&lt;&gt;0,SUM($F$43:F830),0)</f>
        <v>0</v>
      </c>
      <c r="H830" s="69" cm="1">
        <f t="array" ref="H830">IFERROR(IF(A830=A829,0,SUM(_xlfn._xlws.FILTER(E830:E840,(A830:A840=A830)*(E830:E840&gt;0)))),0)</f>
        <v>0</v>
      </c>
      <c r="I830" s="69" cm="1">
        <f t="array" ref="I830">IFERROR(IF(A830=A829,0,SUM(_xlfn._xlws.FILTER(E830:E840,(A830:A840=A830)*(F830&lt;0)))),0)</f>
        <v>0</v>
      </c>
      <c r="J830" s="81" t="str">
        <f ca="1">IFERROR(_xlfn.XLOOKUP(B830,[1]!TabCalc[Ticker],[1]!TabCalc[Cur]),"")</f>
        <v/>
      </c>
      <c r="K830" s="68" cm="1">
        <f t="array" ref="K830">IFERROR(IF($A830=$A829,0,SUM(_xlfn._xlws.FILTER($E830:$E840,($A830:$A840=$A830)*($J830:$J840=K$42)))),0)</f>
        <v>0</v>
      </c>
      <c r="L830" s="68" cm="1">
        <f t="array" ref="L830">IFERROR(IF($A830=$A829,0,SUM(_xlfn._xlws.FILTER($E830:$E840,($A830:$A840=$A830)*($J830:$J840=L$42)))),0)</f>
        <v>0</v>
      </c>
      <c r="M830" s="68" cm="1">
        <f t="array" ref="M830">IFERROR(IF($A830=$A829,0,SUM(_xlfn._xlws.FILTER($E830:$E840,($A830:$A840=$A830)*($J830:$J840=M$42)))),0)</f>
        <v>0</v>
      </c>
      <c r="N830" s="68" cm="1">
        <f t="array" ref="N830">IFERROR(IF($A830=$A829,0,SUM(_xlfn._xlws.FILTER($E830:$E840,($A830:$A840=$A830)*($J830:$J840=N$42)))),0)</f>
        <v>0</v>
      </c>
    </row>
    <row r="831" spans="5:14" x14ac:dyDescent="0.3">
      <c r="E831" s="67">
        <f ca="1">IFERROR(C831*D831*_xlfn.XLOOKUP(B831,[1]!TabCalc[Ticker],[1]!TabCalc[Scale]),0)</f>
        <v>0</v>
      </c>
      <c r="F831" s="68" cm="1">
        <f t="array" ref="F831">IF(A831=A830,0,SUM(_xlfn._xlws.FILTER(E831:E841,A831:A841=A831)))</f>
        <v>0</v>
      </c>
      <c r="G831" s="69">
        <f>IF(F831&lt;&gt;0,SUM($F$43:F831),0)</f>
        <v>0</v>
      </c>
      <c r="H831" s="69" cm="1">
        <f t="array" ref="H831">IFERROR(IF(A831=A830,0,SUM(_xlfn._xlws.FILTER(E831:E841,(A831:A841=A831)*(E831:E841&gt;0)))),0)</f>
        <v>0</v>
      </c>
      <c r="I831" s="69" cm="1">
        <f t="array" ref="I831">IFERROR(IF(A831=A830,0,SUM(_xlfn._xlws.FILTER(E831:E841,(A831:A841=A831)*(F831&lt;0)))),0)</f>
        <v>0</v>
      </c>
      <c r="J831" s="81" t="str">
        <f ca="1">IFERROR(_xlfn.XLOOKUP(B831,[1]!TabCalc[Ticker],[1]!TabCalc[Cur]),"")</f>
        <v/>
      </c>
      <c r="K831" s="68" cm="1">
        <f t="array" ref="K831">IFERROR(IF($A831=$A830,0,SUM(_xlfn._xlws.FILTER($E831:$E841,($A831:$A841=$A831)*($J831:$J841=K$42)))),0)</f>
        <v>0</v>
      </c>
      <c r="L831" s="68" cm="1">
        <f t="array" ref="L831">IFERROR(IF($A831=$A830,0,SUM(_xlfn._xlws.FILTER($E831:$E841,($A831:$A841=$A831)*($J831:$J841=L$42)))),0)</f>
        <v>0</v>
      </c>
      <c r="M831" s="68" cm="1">
        <f t="array" ref="M831">IFERROR(IF($A831=$A830,0,SUM(_xlfn._xlws.FILTER($E831:$E841,($A831:$A841=$A831)*($J831:$J841=M$42)))),0)</f>
        <v>0</v>
      </c>
      <c r="N831" s="68" cm="1">
        <f t="array" ref="N831">IFERROR(IF($A831=$A830,0,SUM(_xlfn._xlws.FILTER($E831:$E841,($A831:$A841=$A831)*($J831:$J841=N$42)))),0)</f>
        <v>0</v>
      </c>
    </row>
    <row r="832" spans="5:14" x14ac:dyDescent="0.3">
      <c r="E832" s="67">
        <f ca="1">IFERROR(C832*D832*_xlfn.XLOOKUP(B832,[1]!TabCalc[Ticker],[1]!TabCalc[Scale]),0)</f>
        <v>0</v>
      </c>
      <c r="F832" s="68" cm="1">
        <f t="array" ref="F832">IF(A832=A831,0,SUM(_xlfn._xlws.FILTER(E832:E842,A832:A842=A832)))</f>
        <v>0</v>
      </c>
      <c r="G832" s="69">
        <f>IF(F832&lt;&gt;0,SUM($F$43:F832),0)</f>
        <v>0</v>
      </c>
      <c r="H832" s="69" cm="1">
        <f t="array" ref="H832">IFERROR(IF(A832=A831,0,SUM(_xlfn._xlws.FILTER(E832:E842,(A832:A842=A832)*(E832:E842&gt;0)))),0)</f>
        <v>0</v>
      </c>
      <c r="I832" s="69" cm="1">
        <f t="array" ref="I832">IFERROR(IF(A832=A831,0,SUM(_xlfn._xlws.FILTER(E832:E842,(A832:A842=A832)*(F832&lt;0)))),0)</f>
        <v>0</v>
      </c>
      <c r="J832" s="81" t="str">
        <f ca="1">IFERROR(_xlfn.XLOOKUP(B832,[1]!TabCalc[Ticker],[1]!TabCalc[Cur]),"")</f>
        <v/>
      </c>
      <c r="K832" s="68" cm="1">
        <f t="array" ref="K832">IFERROR(IF($A832=$A831,0,SUM(_xlfn._xlws.FILTER($E832:$E842,($A832:$A842=$A832)*($J832:$J842=K$42)))),0)</f>
        <v>0</v>
      </c>
      <c r="L832" s="68" cm="1">
        <f t="array" ref="L832">IFERROR(IF($A832=$A831,0,SUM(_xlfn._xlws.FILTER($E832:$E842,($A832:$A842=$A832)*($J832:$J842=L$42)))),0)</f>
        <v>0</v>
      </c>
      <c r="M832" s="68" cm="1">
        <f t="array" ref="M832">IFERROR(IF($A832=$A831,0,SUM(_xlfn._xlws.FILTER($E832:$E842,($A832:$A842=$A832)*($J832:$J842=M$42)))),0)</f>
        <v>0</v>
      </c>
      <c r="N832" s="68" cm="1">
        <f t="array" ref="N832">IFERROR(IF($A832=$A831,0,SUM(_xlfn._xlws.FILTER($E832:$E842,($A832:$A842=$A832)*($J832:$J842=N$42)))),0)</f>
        <v>0</v>
      </c>
    </row>
    <row r="833" spans="5:14" x14ac:dyDescent="0.3">
      <c r="E833" s="67">
        <f ca="1">IFERROR(C833*D833*_xlfn.XLOOKUP(B833,[1]!TabCalc[Ticker],[1]!TabCalc[Scale]),0)</f>
        <v>0</v>
      </c>
      <c r="F833" s="68" cm="1">
        <f t="array" ref="F833">IF(A833=A832,0,SUM(_xlfn._xlws.FILTER(E833:E843,A833:A843=A833)))</f>
        <v>0</v>
      </c>
      <c r="G833" s="69">
        <f>IF(F833&lt;&gt;0,SUM($F$43:F833),0)</f>
        <v>0</v>
      </c>
      <c r="H833" s="69" cm="1">
        <f t="array" ref="H833">IFERROR(IF(A833=A832,0,SUM(_xlfn._xlws.FILTER(E833:E843,(A833:A843=A833)*(E833:E843&gt;0)))),0)</f>
        <v>0</v>
      </c>
      <c r="I833" s="69" cm="1">
        <f t="array" ref="I833">IFERROR(IF(A833=A832,0,SUM(_xlfn._xlws.FILTER(E833:E843,(A833:A843=A833)*(F833&lt;0)))),0)</f>
        <v>0</v>
      </c>
      <c r="J833" s="81" t="str">
        <f ca="1">IFERROR(_xlfn.XLOOKUP(B833,[1]!TabCalc[Ticker],[1]!TabCalc[Cur]),"")</f>
        <v/>
      </c>
      <c r="K833" s="68" cm="1">
        <f t="array" ref="K833">IFERROR(IF($A833=$A832,0,SUM(_xlfn._xlws.FILTER($E833:$E843,($A833:$A843=$A833)*($J833:$J843=K$42)))),0)</f>
        <v>0</v>
      </c>
      <c r="L833" s="68" cm="1">
        <f t="array" ref="L833">IFERROR(IF($A833=$A832,0,SUM(_xlfn._xlws.FILTER($E833:$E843,($A833:$A843=$A833)*($J833:$J843=L$42)))),0)</f>
        <v>0</v>
      </c>
      <c r="M833" s="68" cm="1">
        <f t="array" ref="M833">IFERROR(IF($A833=$A832,0,SUM(_xlfn._xlws.FILTER($E833:$E843,($A833:$A843=$A833)*($J833:$J843=M$42)))),0)</f>
        <v>0</v>
      </c>
      <c r="N833" s="68" cm="1">
        <f t="array" ref="N833">IFERROR(IF($A833=$A832,0,SUM(_xlfn._xlws.FILTER($E833:$E843,($A833:$A843=$A833)*($J833:$J843=N$42)))),0)</f>
        <v>0</v>
      </c>
    </row>
    <row r="834" spans="5:14" x14ac:dyDescent="0.3">
      <c r="E834" s="67">
        <f ca="1">IFERROR(C834*D834*_xlfn.XLOOKUP(B834,[1]!TabCalc[Ticker],[1]!TabCalc[Scale]),0)</f>
        <v>0</v>
      </c>
      <c r="F834" s="68" cm="1">
        <f t="array" ref="F834">IF(A834=A833,0,SUM(_xlfn._xlws.FILTER(E834:E844,A834:A844=A834)))</f>
        <v>0</v>
      </c>
      <c r="G834" s="69">
        <f>IF(F834&lt;&gt;0,SUM($F$43:F834),0)</f>
        <v>0</v>
      </c>
      <c r="H834" s="69" cm="1">
        <f t="array" ref="H834">IFERROR(IF(A834=A833,0,SUM(_xlfn._xlws.FILTER(E834:E844,(A834:A844=A834)*(E834:E844&gt;0)))),0)</f>
        <v>0</v>
      </c>
      <c r="I834" s="69" cm="1">
        <f t="array" ref="I834">IFERROR(IF(A834=A833,0,SUM(_xlfn._xlws.FILTER(E834:E844,(A834:A844=A834)*(F834&lt;0)))),0)</f>
        <v>0</v>
      </c>
      <c r="J834" s="81" t="str">
        <f ca="1">IFERROR(_xlfn.XLOOKUP(B834,[1]!TabCalc[Ticker],[1]!TabCalc[Cur]),"")</f>
        <v/>
      </c>
      <c r="K834" s="68" cm="1">
        <f t="array" ref="K834">IFERROR(IF($A834=$A833,0,SUM(_xlfn._xlws.FILTER($E834:$E844,($A834:$A844=$A834)*($J834:$J844=K$42)))),0)</f>
        <v>0</v>
      </c>
      <c r="L834" s="68" cm="1">
        <f t="array" ref="L834">IFERROR(IF($A834=$A833,0,SUM(_xlfn._xlws.FILTER($E834:$E844,($A834:$A844=$A834)*($J834:$J844=L$42)))),0)</f>
        <v>0</v>
      </c>
      <c r="M834" s="68" cm="1">
        <f t="array" ref="M834">IFERROR(IF($A834=$A833,0,SUM(_xlfn._xlws.FILTER($E834:$E844,($A834:$A844=$A834)*($J834:$J844=M$42)))),0)</f>
        <v>0</v>
      </c>
      <c r="N834" s="68" cm="1">
        <f t="array" ref="N834">IFERROR(IF($A834=$A833,0,SUM(_xlfn._xlws.FILTER($E834:$E844,($A834:$A844=$A834)*($J834:$J844=N$42)))),0)</f>
        <v>0</v>
      </c>
    </row>
    <row r="835" spans="5:14" x14ac:dyDescent="0.3">
      <c r="E835" s="67">
        <f ca="1">IFERROR(C835*D835*_xlfn.XLOOKUP(B835,[1]!TabCalc[Ticker],[1]!TabCalc[Scale]),0)</f>
        <v>0</v>
      </c>
      <c r="F835" s="68" cm="1">
        <f t="array" ref="F835">IF(A835=A834,0,SUM(_xlfn._xlws.FILTER(E835:E845,A835:A845=A835)))</f>
        <v>0</v>
      </c>
      <c r="G835" s="69">
        <f>IF(F835&lt;&gt;0,SUM($F$43:F835),0)</f>
        <v>0</v>
      </c>
      <c r="H835" s="69" cm="1">
        <f t="array" ref="H835">IFERROR(IF(A835=A834,0,SUM(_xlfn._xlws.FILTER(E835:E845,(A835:A845=A835)*(E835:E845&gt;0)))),0)</f>
        <v>0</v>
      </c>
      <c r="I835" s="69" cm="1">
        <f t="array" ref="I835">IFERROR(IF(A835=A834,0,SUM(_xlfn._xlws.FILTER(E835:E845,(A835:A845=A835)*(F835&lt;0)))),0)</f>
        <v>0</v>
      </c>
      <c r="J835" s="81" t="str">
        <f ca="1">IFERROR(_xlfn.XLOOKUP(B835,[1]!TabCalc[Ticker],[1]!TabCalc[Cur]),"")</f>
        <v/>
      </c>
      <c r="K835" s="68" cm="1">
        <f t="array" ref="K835">IFERROR(IF($A835=$A834,0,SUM(_xlfn._xlws.FILTER($E835:$E845,($A835:$A845=$A835)*($J835:$J845=K$42)))),0)</f>
        <v>0</v>
      </c>
      <c r="L835" s="68" cm="1">
        <f t="array" ref="L835">IFERROR(IF($A835=$A834,0,SUM(_xlfn._xlws.FILTER($E835:$E845,($A835:$A845=$A835)*($J835:$J845=L$42)))),0)</f>
        <v>0</v>
      </c>
      <c r="M835" s="68" cm="1">
        <f t="array" ref="M835">IFERROR(IF($A835=$A834,0,SUM(_xlfn._xlws.FILTER($E835:$E845,($A835:$A845=$A835)*($J835:$J845=M$42)))),0)</f>
        <v>0</v>
      </c>
      <c r="N835" s="68" cm="1">
        <f t="array" ref="N835">IFERROR(IF($A835=$A834,0,SUM(_xlfn._xlws.FILTER($E835:$E845,($A835:$A845=$A835)*($J835:$J845=N$42)))),0)</f>
        <v>0</v>
      </c>
    </row>
    <row r="836" spans="5:14" x14ac:dyDescent="0.3">
      <c r="E836" s="67">
        <f ca="1">IFERROR(C836*D836*_xlfn.XLOOKUP(B836,[1]!TabCalc[Ticker],[1]!TabCalc[Scale]),0)</f>
        <v>0</v>
      </c>
      <c r="F836" s="68" cm="1">
        <f t="array" ref="F836">IF(A836=A835,0,SUM(_xlfn._xlws.FILTER(E836:E846,A836:A846=A836)))</f>
        <v>0</v>
      </c>
      <c r="G836" s="69">
        <f>IF(F836&lt;&gt;0,SUM($F$43:F836),0)</f>
        <v>0</v>
      </c>
      <c r="H836" s="69" cm="1">
        <f t="array" ref="H836">IFERROR(IF(A836=A835,0,SUM(_xlfn._xlws.FILTER(E836:E846,(A836:A846=A836)*(E836:E846&gt;0)))),0)</f>
        <v>0</v>
      </c>
      <c r="I836" s="69" cm="1">
        <f t="array" ref="I836">IFERROR(IF(A836=A835,0,SUM(_xlfn._xlws.FILTER(E836:E846,(A836:A846=A836)*(F836&lt;0)))),0)</f>
        <v>0</v>
      </c>
      <c r="J836" s="81" t="str">
        <f ca="1">IFERROR(_xlfn.XLOOKUP(B836,[1]!TabCalc[Ticker],[1]!TabCalc[Cur]),"")</f>
        <v/>
      </c>
      <c r="K836" s="68" cm="1">
        <f t="array" ref="K836">IFERROR(IF($A836=$A835,0,SUM(_xlfn._xlws.FILTER($E836:$E846,($A836:$A846=$A836)*($J836:$J846=K$42)))),0)</f>
        <v>0</v>
      </c>
      <c r="L836" s="68" cm="1">
        <f t="array" ref="L836">IFERROR(IF($A836=$A835,0,SUM(_xlfn._xlws.FILTER($E836:$E846,($A836:$A846=$A836)*($J836:$J846=L$42)))),0)</f>
        <v>0</v>
      </c>
      <c r="M836" s="68" cm="1">
        <f t="array" ref="M836">IFERROR(IF($A836=$A835,0,SUM(_xlfn._xlws.FILTER($E836:$E846,($A836:$A846=$A836)*($J836:$J846=M$42)))),0)</f>
        <v>0</v>
      </c>
      <c r="N836" s="68" cm="1">
        <f t="array" ref="N836">IFERROR(IF($A836=$A835,0,SUM(_xlfn._xlws.FILTER($E836:$E846,($A836:$A846=$A836)*($J836:$J846=N$42)))),0)</f>
        <v>0</v>
      </c>
    </row>
    <row r="837" spans="5:14" x14ac:dyDescent="0.3">
      <c r="E837" s="67">
        <f ca="1">IFERROR(C837*D837*_xlfn.XLOOKUP(B837,[1]!TabCalc[Ticker],[1]!TabCalc[Scale]),0)</f>
        <v>0</v>
      </c>
      <c r="F837" s="68" cm="1">
        <f t="array" ref="F837">IF(A837=A836,0,SUM(_xlfn._xlws.FILTER(E837:E847,A837:A847=A837)))</f>
        <v>0</v>
      </c>
      <c r="G837" s="69">
        <f>IF(F837&lt;&gt;0,SUM($F$43:F837),0)</f>
        <v>0</v>
      </c>
      <c r="H837" s="69" cm="1">
        <f t="array" ref="H837">IFERROR(IF(A837=A836,0,SUM(_xlfn._xlws.FILTER(E837:E847,(A837:A847=A837)*(E837:E847&gt;0)))),0)</f>
        <v>0</v>
      </c>
      <c r="I837" s="69" cm="1">
        <f t="array" ref="I837">IFERROR(IF(A837=A836,0,SUM(_xlfn._xlws.FILTER(E837:E847,(A837:A847=A837)*(F837&lt;0)))),0)</f>
        <v>0</v>
      </c>
      <c r="J837" s="81" t="str">
        <f ca="1">IFERROR(_xlfn.XLOOKUP(B837,[1]!TabCalc[Ticker],[1]!TabCalc[Cur]),"")</f>
        <v/>
      </c>
      <c r="K837" s="68" cm="1">
        <f t="array" ref="K837">IFERROR(IF($A837=$A836,0,SUM(_xlfn._xlws.FILTER($E837:$E847,($A837:$A847=$A837)*($J837:$J847=K$42)))),0)</f>
        <v>0</v>
      </c>
      <c r="L837" s="68" cm="1">
        <f t="array" ref="L837">IFERROR(IF($A837=$A836,0,SUM(_xlfn._xlws.FILTER($E837:$E847,($A837:$A847=$A837)*($J837:$J847=L$42)))),0)</f>
        <v>0</v>
      </c>
      <c r="M837" s="68" cm="1">
        <f t="array" ref="M837">IFERROR(IF($A837=$A836,0,SUM(_xlfn._xlws.FILTER($E837:$E847,($A837:$A847=$A837)*($J837:$J847=M$42)))),0)</f>
        <v>0</v>
      </c>
      <c r="N837" s="68" cm="1">
        <f t="array" ref="N837">IFERROR(IF($A837=$A836,0,SUM(_xlfn._xlws.FILTER($E837:$E847,($A837:$A847=$A837)*($J837:$J847=N$42)))),0)</f>
        <v>0</v>
      </c>
    </row>
    <row r="838" spans="5:14" x14ac:dyDescent="0.3">
      <c r="E838" s="67">
        <f ca="1">IFERROR(C838*D838*_xlfn.XLOOKUP(B838,[1]!TabCalc[Ticker],[1]!TabCalc[Scale]),0)</f>
        <v>0</v>
      </c>
      <c r="F838" s="68" cm="1">
        <f t="array" ref="F838">IF(A838=A837,0,SUM(_xlfn._xlws.FILTER(E838:E848,A838:A848=A838)))</f>
        <v>0</v>
      </c>
      <c r="G838" s="69">
        <f>IF(F838&lt;&gt;0,SUM($F$43:F838),0)</f>
        <v>0</v>
      </c>
      <c r="H838" s="69" cm="1">
        <f t="array" ref="H838">IFERROR(IF(A838=A837,0,SUM(_xlfn._xlws.FILTER(E838:E848,(A838:A848=A838)*(E838:E848&gt;0)))),0)</f>
        <v>0</v>
      </c>
      <c r="I838" s="69" cm="1">
        <f t="array" ref="I838">IFERROR(IF(A838=A837,0,SUM(_xlfn._xlws.FILTER(E838:E848,(A838:A848=A838)*(F838&lt;0)))),0)</f>
        <v>0</v>
      </c>
      <c r="J838" s="81" t="str">
        <f ca="1">IFERROR(_xlfn.XLOOKUP(B838,[1]!TabCalc[Ticker],[1]!TabCalc[Cur]),"")</f>
        <v/>
      </c>
      <c r="K838" s="68" cm="1">
        <f t="array" ref="K838">IFERROR(IF($A838=$A837,0,SUM(_xlfn._xlws.FILTER($E838:$E848,($A838:$A848=$A838)*($J838:$J848=K$42)))),0)</f>
        <v>0</v>
      </c>
      <c r="L838" s="68" cm="1">
        <f t="array" ref="L838">IFERROR(IF($A838=$A837,0,SUM(_xlfn._xlws.FILTER($E838:$E848,($A838:$A848=$A838)*($J838:$J848=L$42)))),0)</f>
        <v>0</v>
      </c>
      <c r="M838" s="68" cm="1">
        <f t="array" ref="M838">IFERROR(IF($A838=$A837,0,SUM(_xlfn._xlws.FILTER($E838:$E848,($A838:$A848=$A838)*($J838:$J848=M$42)))),0)</f>
        <v>0</v>
      </c>
      <c r="N838" s="68" cm="1">
        <f t="array" ref="N838">IFERROR(IF($A838=$A837,0,SUM(_xlfn._xlws.FILTER($E838:$E848,($A838:$A848=$A838)*($J838:$J848=N$42)))),0)</f>
        <v>0</v>
      </c>
    </row>
    <row r="839" spans="5:14" x14ac:dyDescent="0.3">
      <c r="E839" s="67">
        <f ca="1">IFERROR(C839*D839*_xlfn.XLOOKUP(B839,[1]!TabCalc[Ticker],[1]!TabCalc[Scale]),0)</f>
        <v>0</v>
      </c>
      <c r="F839" s="68" cm="1">
        <f t="array" ref="F839">IF(A839=A838,0,SUM(_xlfn._xlws.FILTER(E839:E849,A839:A849=A839)))</f>
        <v>0</v>
      </c>
      <c r="G839" s="69">
        <f>IF(F839&lt;&gt;0,SUM($F$43:F839),0)</f>
        <v>0</v>
      </c>
      <c r="H839" s="69" cm="1">
        <f t="array" ref="H839">IFERROR(IF(A839=A838,0,SUM(_xlfn._xlws.FILTER(E839:E849,(A839:A849=A839)*(E839:E849&gt;0)))),0)</f>
        <v>0</v>
      </c>
      <c r="I839" s="69" cm="1">
        <f t="array" ref="I839">IFERROR(IF(A839=A838,0,SUM(_xlfn._xlws.FILTER(E839:E849,(A839:A849=A839)*(F839&lt;0)))),0)</f>
        <v>0</v>
      </c>
      <c r="J839" s="81" t="str">
        <f ca="1">IFERROR(_xlfn.XLOOKUP(B839,[1]!TabCalc[Ticker],[1]!TabCalc[Cur]),"")</f>
        <v/>
      </c>
      <c r="K839" s="68" cm="1">
        <f t="array" ref="K839">IFERROR(IF($A839=$A838,0,SUM(_xlfn._xlws.FILTER($E839:$E849,($A839:$A849=$A839)*($J839:$J849=K$42)))),0)</f>
        <v>0</v>
      </c>
      <c r="L839" s="68" cm="1">
        <f t="array" ref="L839">IFERROR(IF($A839=$A838,0,SUM(_xlfn._xlws.FILTER($E839:$E849,($A839:$A849=$A839)*($J839:$J849=L$42)))),0)</f>
        <v>0</v>
      </c>
      <c r="M839" s="68" cm="1">
        <f t="array" ref="M839">IFERROR(IF($A839=$A838,0,SUM(_xlfn._xlws.FILTER($E839:$E849,($A839:$A849=$A839)*($J839:$J849=M$42)))),0)</f>
        <v>0</v>
      </c>
      <c r="N839" s="68" cm="1">
        <f t="array" ref="N839">IFERROR(IF($A839=$A838,0,SUM(_xlfn._xlws.FILTER($E839:$E849,($A839:$A849=$A839)*($J839:$J849=N$42)))),0)</f>
        <v>0</v>
      </c>
    </row>
    <row r="840" spans="5:14" x14ac:dyDescent="0.3">
      <c r="E840" s="67">
        <f ca="1">IFERROR(C840*D840*_xlfn.XLOOKUP(B840,[1]!TabCalc[Ticker],[1]!TabCalc[Scale]),0)</f>
        <v>0</v>
      </c>
      <c r="F840" s="68" cm="1">
        <f t="array" ref="F840">IF(A840=A839,0,SUM(_xlfn._xlws.FILTER(E840:E850,A840:A850=A840)))</f>
        <v>0</v>
      </c>
      <c r="G840" s="69">
        <f>IF(F840&lt;&gt;0,SUM($F$43:F840),0)</f>
        <v>0</v>
      </c>
      <c r="H840" s="69" cm="1">
        <f t="array" ref="H840">IFERROR(IF(A840=A839,0,SUM(_xlfn._xlws.FILTER(E840:E850,(A840:A850=A840)*(E840:E850&gt;0)))),0)</f>
        <v>0</v>
      </c>
      <c r="I840" s="69" cm="1">
        <f t="array" ref="I840">IFERROR(IF(A840=A839,0,SUM(_xlfn._xlws.FILTER(E840:E850,(A840:A850=A840)*(F840&lt;0)))),0)</f>
        <v>0</v>
      </c>
      <c r="J840" s="81" t="str">
        <f ca="1">IFERROR(_xlfn.XLOOKUP(B840,[1]!TabCalc[Ticker],[1]!TabCalc[Cur]),"")</f>
        <v/>
      </c>
      <c r="K840" s="68" cm="1">
        <f t="array" ref="K840">IFERROR(IF($A840=$A839,0,SUM(_xlfn._xlws.FILTER($E840:$E850,($A840:$A850=$A840)*($J840:$J850=K$42)))),0)</f>
        <v>0</v>
      </c>
      <c r="L840" s="68" cm="1">
        <f t="array" ref="L840">IFERROR(IF($A840=$A839,0,SUM(_xlfn._xlws.FILTER($E840:$E850,($A840:$A850=$A840)*($J840:$J850=L$42)))),0)</f>
        <v>0</v>
      </c>
      <c r="M840" s="68" cm="1">
        <f t="array" ref="M840">IFERROR(IF($A840=$A839,0,SUM(_xlfn._xlws.FILTER($E840:$E850,($A840:$A850=$A840)*($J840:$J850=M$42)))),0)</f>
        <v>0</v>
      </c>
      <c r="N840" s="68" cm="1">
        <f t="array" ref="N840">IFERROR(IF($A840=$A839,0,SUM(_xlfn._xlws.FILTER($E840:$E850,($A840:$A850=$A840)*($J840:$J850=N$42)))),0)</f>
        <v>0</v>
      </c>
    </row>
    <row r="841" spans="5:14" x14ac:dyDescent="0.3">
      <c r="E841" s="67">
        <f ca="1">IFERROR(C841*D841*_xlfn.XLOOKUP(B841,[1]!TabCalc[Ticker],[1]!TabCalc[Scale]),0)</f>
        <v>0</v>
      </c>
      <c r="F841" s="68" cm="1">
        <f t="array" ref="F841">IF(A841=A840,0,SUM(_xlfn._xlws.FILTER(E841:E851,A841:A851=A841)))</f>
        <v>0</v>
      </c>
      <c r="G841" s="69">
        <f>IF(F841&lt;&gt;0,SUM($F$43:F841),0)</f>
        <v>0</v>
      </c>
      <c r="H841" s="69" cm="1">
        <f t="array" ref="H841">IFERROR(IF(A841=A840,0,SUM(_xlfn._xlws.FILTER(E841:E851,(A841:A851=A841)*(E841:E851&gt;0)))),0)</f>
        <v>0</v>
      </c>
      <c r="I841" s="69" cm="1">
        <f t="array" ref="I841">IFERROR(IF(A841=A840,0,SUM(_xlfn._xlws.FILTER(E841:E851,(A841:A851=A841)*(F841&lt;0)))),0)</f>
        <v>0</v>
      </c>
      <c r="J841" s="81" t="str">
        <f ca="1">IFERROR(_xlfn.XLOOKUP(B841,[1]!TabCalc[Ticker],[1]!TabCalc[Cur]),"")</f>
        <v/>
      </c>
      <c r="K841" s="68" cm="1">
        <f t="array" ref="K841">IFERROR(IF($A841=$A840,0,SUM(_xlfn._xlws.FILTER($E841:$E851,($A841:$A851=$A841)*($J841:$J851=K$42)))),0)</f>
        <v>0</v>
      </c>
      <c r="L841" s="68" cm="1">
        <f t="array" ref="L841">IFERROR(IF($A841=$A840,0,SUM(_xlfn._xlws.FILTER($E841:$E851,($A841:$A851=$A841)*($J841:$J851=L$42)))),0)</f>
        <v>0</v>
      </c>
      <c r="M841" s="68" cm="1">
        <f t="array" ref="M841">IFERROR(IF($A841=$A840,0,SUM(_xlfn._xlws.FILTER($E841:$E851,($A841:$A851=$A841)*($J841:$J851=M$42)))),0)</f>
        <v>0</v>
      </c>
      <c r="N841" s="68" cm="1">
        <f t="array" ref="N841">IFERROR(IF($A841=$A840,0,SUM(_xlfn._xlws.FILTER($E841:$E851,($A841:$A851=$A841)*($J841:$J851=N$42)))),0)</f>
        <v>0</v>
      </c>
    </row>
    <row r="842" spans="5:14" x14ac:dyDescent="0.3">
      <c r="E842" s="67">
        <f ca="1">IFERROR(C842*D842*_xlfn.XLOOKUP(B842,[1]!TabCalc[Ticker],[1]!TabCalc[Scale]),0)</f>
        <v>0</v>
      </c>
      <c r="F842" s="68" cm="1">
        <f t="array" ref="F842">IF(A842=A841,0,SUM(_xlfn._xlws.FILTER(E842:E852,A842:A852=A842)))</f>
        <v>0</v>
      </c>
      <c r="G842" s="69">
        <f>IF(F842&lt;&gt;0,SUM($F$43:F842),0)</f>
        <v>0</v>
      </c>
      <c r="H842" s="69" cm="1">
        <f t="array" ref="H842">IFERROR(IF(A842=A841,0,SUM(_xlfn._xlws.FILTER(E842:E852,(A842:A852=A842)*(E842:E852&gt;0)))),0)</f>
        <v>0</v>
      </c>
      <c r="I842" s="69" cm="1">
        <f t="array" ref="I842">IFERROR(IF(A842=A841,0,SUM(_xlfn._xlws.FILTER(E842:E852,(A842:A852=A842)*(F842&lt;0)))),0)</f>
        <v>0</v>
      </c>
      <c r="J842" s="81" t="str">
        <f ca="1">IFERROR(_xlfn.XLOOKUP(B842,[1]!TabCalc[Ticker],[1]!TabCalc[Cur]),"")</f>
        <v/>
      </c>
      <c r="K842" s="68" cm="1">
        <f t="array" ref="K842">IFERROR(IF($A842=$A841,0,SUM(_xlfn._xlws.FILTER($E842:$E852,($A842:$A852=$A842)*($J842:$J852=K$42)))),0)</f>
        <v>0</v>
      </c>
      <c r="L842" s="68" cm="1">
        <f t="array" ref="L842">IFERROR(IF($A842=$A841,0,SUM(_xlfn._xlws.FILTER($E842:$E852,($A842:$A852=$A842)*($J842:$J852=L$42)))),0)</f>
        <v>0</v>
      </c>
      <c r="M842" s="68" cm="1">
        <f t="array" ref="M842">IFERROR(IF($A842=$A841,0,SUM(_xlfn._xlws.FILTER($E842:$E852,($A842:$A852=$A842)*($J842:$J852=M$42)))),0)</f>
        <v>0</v>
      </c>
      <c r="N842" s="68" cm="1">
        <f t="array" ref="N842">IFERROR(IF($A842=$A841,0,SUM(_xlfn._xlws.FILTER($E842:$E852,($A842:$A852=$A842)*($J842:$J852=N$42)))),0)</f>
        <v>0</v>
      </c>
    </row>
    <row r="843" spans="5:14" x14ac:dyDescent="0.3">
      <c r="E843" s="67">
        <f ca="1">IFERROR(C843*D843*_xlfn.XLOOKUP(B843,[1]!TabCalc[Ticker],[1]!TabCalc[Scale]),0)</f>
        <v>0</v>
      </c>
      <c r="F843" s="68" cm="1">
        <f t="array" ref="F843">IF(A843=A842,0,SUM(_xlfn._xlws.FILTER(E843:E853,A843:A853=A843)))</f>
        <v>0</v>
      </c>
      <c r="G843" s="69">
        <f>IF(F843&lt;&gt;0,SUM($F$43:F843),0)</f>
        <v>0</v>
      </c>
      <c r="H843" s="69" cm="1">
        <f t="array" ref="H843">IFERROR(IF(A843=A842,0,SUM(_xlfn._xlws.FILTER(E843:E853,(A843:A853=A843)*(E843:E853&gt;0)))),0)</f>
        <v>0</v>
      </c>
      <c r="I843" s="69" cm="1">
        <f t="array" ref="I843">IFERROR(IF(A843=A842,0,SUM(_xlfn._xlws.FILTER(E843:E853,(A843:A853=A843)*(F843&lt;0)))),0)</f>
        <v>0</v>
      </c>
      <c r="J843" s="81" t="str">
        <f ca="1">IFERROR(_xlfn.XLOOKUP(B843,[1]!TabCalc[Ticker],[1]!TabCalc[Cur]),"")</f>
        <v/>
      </c>
      <c r="K843" s="68" cm="1">
        <f t="array" ref="K843">IFERROR(IF($A843=$A842,0,SUM(_xlfn._xlws.FILTER($E843:$E853,($A843:$A853=$A843)*($J843:$J853=K$42)))),0)</f>
        <v>0</v>
      </c>
      <c r="L843" s="68" cm="1">
        <f t="array" ref="L843">IFERROR(IF($A843=$A842,0,SUM(_xlfn._xlws.FILTER($E843:$E853,($A843:$A853=$A843)*($J843:$J853=L$42)))),0)</f>
        <v>0</v>
      </c>
      <c r="M843" s="68" cm="1">
        <f t="array" ref="M843">IFERROR(IF($A843=$A842,0,SUM(_xlfn._xlws.FILTER($E843:$E853,($A843:$A853=$A843)*($J843:$J853=M$42)))),0)</f>
        <v>0</v>
      </c>
      <c r="N843" s="68" cm="1">
        <f t="array" ref="N843">IFERROR(IF($A843=$A842,0,SUM(_xlfn._xlws.FILTER($E843:$E853,($A843:$A853=$A843)*($J843:$J853=N$42)))),0)</f>
        <v>0</v>
      </c>
    </row>
    <row r="844" spans="5:14" x14ac:dyDescent="0.3">
      <c r="E844" s="67">
        <f ca="1">IFERROR(C844*D844*_xlfn.XLOOKUP(B844,[1]!TabCalc[Ticker],[1]!TabCalc[Scale]),0)</f>
        <v>0</v>
      </c>
      <c r="F844" s="68" cm="1">
        <f t="array" ref="F844">IF(A844=A843,0,SUM(_xlfn._xlws.FILTER(E844:E854,A844:A854=A844)))</f>
        <v>0</v>
      </c>
      <c r="G844" s="69">
        <f>IF(F844&lt;&gt;0,SUM($F$43:F844),0)</f>
        <v>0</v>
      </c>
      <c r="H844" s="69" cm="1">
        <f t="array" ref="H844">IFERROR(IF(A844=A843,0,SUM(_xlfn._xlws.FILTER(E844:E854,(A844:A854=A844)*(E844:E854&gt;0)))),0)</f>
        <v>0</v>
      </c>
      <c r="I844" s="69" cm="1">
        <f t="array" ref="I844">IFERROR(IF(A844=A843,0,SUM(_xlfn._xlws.FILTER(E844:E854,(A844:A854=A844)*(F844&lt;0)))),0)</f>
        <v>0</v>
      </c>
      <c r="J844" s="81" t="str">
        <f ca="1">IFERROR(_xlfn.XLOOKUP(B844,[1]!TabCalc[Ticker],[1]!TabCalc[Cur]),"")</f>
        <v/>
      </c>
      <c r="K844" s="68" cm="1">
        <f t="array" ref="K844">IFERROR(IF($A844=$A843,0,SUM(_xlfn._xlws.FILTER($E844:$E854,($A844:$A854=$A844)*($J844:$J854=K$42)))),0)</f>
        <v>0</v>
      </c>
      <c r="L844" s="68" cm="1">
        <f t="array" ref="L844">IFERROR(IF($A844=$A843,0,SUM(_xlfn._xlws.FILTER($E844:$E854,($A844:$A854=$A844)*($J844:$J854=L$42)))),0)</f>
        <v>0</v>
      </c>
      <c r="M844" s="68" cm="1">
        <f t="array" ref="M844">IFERROR(IF($A844=$A843,0,SUM(_xlfn._xlws.FILTER($E844:$E854,($A844:$A854=$A844)*($J844:$J854=M$42)))),0)</f>
        <v>0</v>
      </c>
      <c r="N844" s="68" cm="1">
        <f t="array" ref="N844">IFERROR(IF($A844=$A843,0,SUM(_xlfn._xlws.FILTER($E844:$E854,($A844:$A854=$A844)*($J844:$J854=N$42)))),0)</f>
        <v>0</v>
      </c>
    </row>
    <row r="845" spans="5:14" x14ac:dyDescent="0.3">
      <c r="E845" s="67">
        <f ca="1">IFERROR(C845*D845*_xlfn.XLOOKUP(B845,[1]!TabCalc[Ticker],[1]!TabCalc[Scale]),0)</f>
        <v>0</v>
      </c>
      <c r="F845" s="68" cm="1">
        <f t="array" ref="F845">IF(A845=A844,0,SUM(_xlfn._xlws.FILTER(E845:E855,A845:A855=A845)))</f>
        <v>0</v>
      </c>
      <c r="G845" s="69">
        <f>IF(F845&lt;&gt;0,SUM($F$43:F845),0)</f>
        <v>0</v>
      </c>
      <c r="H845" s="69" cm="1">
        <f t="array" ref="H845">IFERROR(IF(A845=A844,0,SUM(_xlfn._xlws.FILTER(E845:E855,(A845:A855=A845)*(E845:E855&gt;0)))),0)</f>
        <v>0</v>
      </c>
      <c r="I845" s="69" cm="1">
        <f t="array" ref="I845">IFERROR(IF(A845=A844,0,SUM(_xlfn._xlws.FILTER(E845:E855,(A845:A855=A845)*(F845&lt;0)))),0)</f>
        <v>0</v>
      </c>
      <c r="J845" s="81" t="str">
        <f ca="1">IFERROR(_xlfn.XLOOKUP(B845,[1]!TabCalc[Ticker],[1]!TabCalc[Cur]),"")</f>
        <v/>
      </c>
      <c r="K845" s="68" cm="1">
        <f t="array" ref="K845">IFERROR(IF($A845=$A844,0,SUM(_xlfn._xlws.FILTER($E845:$E855,($A845:$A855=$A845)*($J845:$J855=K$42)))),0)</f>
        <v>0</v>
      </c>
      <c r="L845" s="68" cm="1">
        <f t="array" ref="L845">IFERROR(IF($A845=$A844,0,SUM(_xlfn._xlws.FILTER($E845:$E855,($A845:$A855=$A845)*($J845:$J855=L$42)))),0)</f>
        <v>0</v>
      </c>
      <c r="M845" s="68" cm="1">
        <f t="array" ref="M845">IFERROR(IF($A845=$A844,0,SUM(_xlfn._xlws.FILTER($E845:$E855,($A845:$A855=$A845)*($J845:$J855=M$42)))),0)</f>
        <v>0</v>
      </c>
      <c r="N845" s="68" cm="1">
        <f t="array" ref="N845">IFERROR(IF($A845=$A844,0,SUM(_xlfn._xlws.FILTER($E845:$E855,($A845:$A855=$A845)*($J845:$J855=N$42)))),0)</f>
        <v>0</v>
      </c>
    </row>
    <row r="846" spans="5:14" x14ac:dyDescent="0.3">
      <c r="E846" s="67">
        <f ca="1">IFERROR(C846*D846*_xlfn.XLOOKUP(B846,[1]!TabCalc[Ticker],[1]!TabCalc[Scale]),0)</f>
        <v>0</v>
      </c>
      <c r="F846" s="68" cm="1">
        <f t="array" ref="F846">IF(A846=A845,0,SUM(_xlfn._xlws.FILTER(E846:E856,A846:A856=A846)))</f>
        <v>0</v>
      </c>
      <c r="G846" s="69">
        <f>IF(F846&lt;&gt;0,SUM($F$43:F846),0)</f>
        <v>0</v>
      </c>
      <c r="H846" s="69" cm="1">
        <f t="array" ref="H846">IFERROR(IF(A846=A845,0,SUM(_xlfn._xlws.FILTER(E846:E856,(A846:A856=A846)*(E846:E856&gt;0)))),0)</f>
        <v>0</v>
      </c>
      <c r="I846" s="69" cm="1">
        <f t="array" ref="I846">IFERROR(IF(A846=A845,0,SUM(_xlfn._xlws.FILTER(E846:E856,(A846:A856=A846)*(F846&lt;0)))),0)</f>
        <v>0</v>
      </c>
      <c r="J846" s="81" t="str">
        <f ca="1">IFERROR(_xlfn.XLOOKUP(B846,[1]!TabCalc[Ticker],[1]!TabCalc[Cur]),"")</f>
        <v/>
      </c>
      <c r="K846" s="68" cm="1">
        <f t="array" ref="K846">IFERROR(IF($A846=$A845,0,SUM(_xlfn._xlws.FILTER($E846:$E856,($A846:$A856=$A846)*($J846:$J856=K$42)))),0)</f>
        <v>0</v>
      </c>
      <c r="L846" s="68" cm="1">
        <f t="array" ref="L846">IFERROR(IF($A846=$A845,0,SUM(_xlfn._xlws.FILTER($E846:$E856,($A846:$A856=$A846)*($J846:$J856=L$42)))),0)</f>
        <v>0</v>
      </c>
      <c r="M846" s="68" cm="1">
        <f t="array" ref="M846">IFERROR(IF($A846=$A845,0,SUM(_xlfn._xlws.FILTER($E846:$E856,($A846:$A856=$A846)*($J846:$J856=M$42)))),0)</f>
        <v>0</v>
      </c>
      <c r="N846" s="68" cm="1">
        <f t="array" ref="N846">IFERROR(IF($A846=$A845,0,SUM(_xlfn._xlws.FILTER($E846:$E856,($A846:$A856=$A846)*($J846:$J856=N$42)))),0)</f>
        <v>0</v>
      </c>
    </row>
    <row r="847" spans="5:14" x14ac:dyDescent="0.3">
      <c r="E847" s="67">
        <f ca="1">IFERROR(C847*D847*_xlfn.XLOOKUP(B847,[1]!TabCalc[Ticker],[1]!TabCalc[Scale]),0)</f>
        <v>0</v>
      </c>
      <c r="F847" s="68" cm="1">
        <f t="array" ref="F847">IF(A847=A846,0,SUM(_xlfn._xlws.FILTER(E847:E857,A847:A857=A847)))</f>
        <v>0</v>
      </c>
      <c r="G847" s="69">
        <f>IF(F847&lt;&gt;0,SUM($F$43:F847),0)</f>
        <v>0</v>
      </c>
      <c r="H847" s="69" cm="1">
        <f t="array" ref="H847">IFERROR(IF(A847=A846,0,SUM(_xlfn._xlws.FILTER(E847:E857,(A847:A857=A847)*(E847:E857&gt;0)))),0)</f>
        <v>0</v>
      </c>
      <c r="I847" s="69" cm="1">
        <f t="array" ref="I847">IFERROR(IF(A847=A846,0,SUM(_xlfn._xlws.FILTER(E847:E857,(A847:A857=A847)*(F847&lt;0)))),0)</f>
        <v>0</v>
      </c>
      <c r="J847" s="81" t="str">
        <f ca="1">IFERROR(_xlfn.XLOOKUP(B847,[1]!TabCalc[Ticker],[1]!TabCalc[Cur]),"")</f>
        <v/>
      </c>
      <c r="K847" s="68" cm="1">
        <f t="array" ref="K847">IFERROR(IF($A847=$A846,0,SUM(_xlfn._xlws.FILTER($E847:$E857,($A847:$A857=$A847)*($J847:$J857=K$42)))),0)</f>
        <v>0</v>
      </c>
      <c r="L847" s="68" cm="1">
        <f t="array" ref="L847">IFERROR(IF($A847=$A846,0,SUM(_xlfn._xlws.FILTER($E847:$E857,($A847:$A857=$A847)*($J847:$J857=L$42)))),0)</f>
        <v>0</v>
      </c>
      <c r="M847" s="68" cm="1">
        <f t="array" ref="M847">IFERROR(IF($A847=$A846,0,SUM(_xlfn._xlws.FILTER($E847:$E857,($A847:$A857=$A847)*($J847:$J857=M$42)))),0)</f>
        <v>0</v>
      </c>
      <c r="N847" s="68" cm="1">
        <f t="array" ref="N847">IFERROR(IF($A847=$A846,0,SUM(_xlfn._xlws.FILTER($E847:$E857,($A847:$A857=$A847)*($J847:$J857=N$42)))),0)</f>
        <v>0</v>
      </c>
    </row>
    <row r="848" spans="5:14" x14ac:dyDescent="0.3">
      <c r="E848" s="67">
        <f ca="1">IFERROR(C848*D848*_xlfn.XLOOKUP(B848,[1]!TabCalc[Ticker],[1]!TabCalc[Scale]),0)</f>
        <v>0</v>
      </c>
      <c r="F848" s="68" cm="1">
        <f t="array" ref="F848">IF(A848=A847,0,SUM(_xlfn._xlws.FILTER(E848:E858,A848:A858=A848)))</f>
        <v>0</v>
      </c>
      <c r="G848" s="69">
        <f>IF(F848&lt;&gt;0,SUM($F$43:F848),0)</f>
        <v>0</v>
      </c>
      <c r="H848" s="69" cm="1">
        <f t="array" ref="H848">IFERROR(IF(A848=A847,0,SUM(_xlfn._xlws.FILTER(E848:E858,(A848:A858=A848)*(E848:E858&gt;0)))),0)</f>
        <v>0</v>
      </c>
      <c r="I848" s="69" cm="1">
        <f t="array" ref="I848">IFERROR(IF(A848=A847,0,SUM(_xlfn._xlws.FILTER(E848:E858,(A848:A858=A848)*(F848&lt;0)))),0)</f>
        <v>0</v>
      </c>
      <c r="J848" s="81" t="str">
        <f ca="1">IFERROR(_xlfn.XLOOKUP(B848,[1]!TabCalc[Ticker],[1]!TabCalc[Cur]),"")</f>
        <v/>
      </c>
      <c r="K848" s="68" cm="1">
        <f t="array" ref="K848">IFERROR(IF($A848=$A847,0,SUM(_xlfn._xlws.FILTER($E848:$E858,($A848:$A858=$A848)*($J848:$J858=K$42)))),0)</f>
        <v>0</v>
      </c>
      <c r="L848" s="68" cm="1">
        <f t="array" ref="L848">IFERROR(IF($A848=$A847,0,SUM(_xlfn._xlws.FILTER($E848:$E858,($A848:$A858=$A848)*($J848:$J858=L$42)))),0)</f>
        <v>0</v>
      </c>
      <c r="M848" s="68" cm="1">
        <f t="array" ref="M848">IFERROR(IF($A848=$A847,0,SUM(_xlfn._xlws.FILTER($E848:$E858,($A848:$A858=$A848)*($J848:$J858=M$42)))),0)</f>
        <v>0</v>
      </c>
      <c r="N848" s="68" cm="1">
        <f t="array" ref="N848">IFERROR(IF($A848=$A847,0,SUM(_xlfn._xlws.FILTER($E848:$E858,($A848:$A858=$A848)*($J848:$J858=N$42)))),0)</f>
        <v>0</v>
      </c>
    </row>
    <row r="849" spans="5:14" x14ac:dyDescent="0.3">
      <c r="E849" s="67">
        <f ca="1">IFERROR(C849*D849*_xlfn.XLOOKUP(B849,[1]!TabCalc[Ticker],[1]!TabCalc[Scale]),0)</f>
        <v>0</v>
      </c>
      <c r="F849" s="68" cm="1">
        <f t="array" ref="F849">IF(A849=A848,0,SUM(_xlfn._xlws.FILTER(E849:E859,A849:A859=A849)))</f>
        <v>0</v>
      </c>
      <c r="G849" s="69">
        <f>IF(F849&lt;&gt;0,SUM($F$43:F849),0)</f>
        <v>0</v>
      </c>
      <c r="H849" s="69" cm="1">
        <f t="array" ref="H849">IFERROR(IF(A849=A848,0,SUM(_xlfn._xlws.FILTER(E849:E859,(A849:A859=A849)*(E849:E859&gt;0)))),0)</f>
        <v>0</v>
      </c>
      <c r="I849" s="69" cm="1">
        <f t="array" ref="I849">IFERROR(IF(A849=A848,0,SUM(_xlfn._xlws.FILTER(E849:E859,(A849:A859=A849)*(F849&lt;0)))),0)</f>
        <v>0</v>
      </c>
      <c r="J849" s="81" t="str">
        <f ca="1">IFERROR(_xlfn.XLOOKUP(B849,[1]!TabCalc[Ticker],[1]!TabCalc[Cur]),"")</f>
        <v/>
      </c>
      <c r="K849" s="68" cm="1">
        <f t="array" ref="K849">IFERROR(IF($A849=$A848,0,SUM(_xlfn._xlws.FILTER($E849:$E859,($A849:$A859=$A849)*($J849:$J859=K$42)))),0)</f>
        <v>0</v>
      </c>
      <c r="L849" s="68" cm="1">
        <f t="array" ref="L849">IFERROR(IF($A849=$A848,0,SUM(_xlfn._xlws.FILTER($E849:$E859,($A849:$A859=$A849)*($J849:$J859=L$42)))),0)</f>
        <v>0</v>
      </c>
      <c r="M849" s="68" cm="1">
        <f t="array" ref="M849">IFERROR(IF($A849=$A848,0,SUM(_xlfn._xlws.FILTER($E849:$E859,($A849:$A859=$A849)*($J849:$J859=M$42)))),0)</f>
        <v>0</v>
      </c>
      <c r="N849" s="68" cm="1">
        <f t="array" ref="N849">IFERROR(IF($A849=$A848,0,SUM(_xlfn._xlws.FILTER($E849:$E859,($A849:$A859=$A849)*($J849:$J859=N$42)))),0)</f>
        <v>0</v>
      </c>
    </row>
    <row r="850" spans="5:14" x14ac:dyDescent="0.3">
      <c r="E850" s="67">
        <f ca="1">IFERROR(C850*D850*_xlfn.XLOOKUP(B850,[1]!TabCalc[Ticker],[1]!TabCalc[Scale]),0)</f>
        <v>0</v>
      </c>
      <c r="F850" s="68" cm="1">
        <f t="array" ref="F850">IF(A850=A849,0,SUM(_xlfn._xlws.FILTER(E850:E860,A850:A860=A850)))</f>
        <v>0</v>
      </c>
      <c r="G850" s="69">
        <f>IF(F850&lt;&gt;0,SUM($F$43:F850),0)</f>
        <v>0</v>
      </c>
      <c r="H850" s="69" cm="1">
        <f t="array" ref="H850">IFERROR(IF(A850=A849,0,SUM(_xlfn._xlws.FILTER(E850:E860,(A850:A860=A850)*(E850:E860&gt;0)))),0)</f>
        <v>0</v>
      </c>
      <c r="I850" s="69" cm="1">
        <f t="array" ref="I850">IFERROR(IF(A850=A849,0,SUM(_xlfn._xlws.FILTER(E850:E860,(A850:A860=A850)*(F850&lt;0)))),0)</f>
        <v>0</v>
      </c>
      <c r="J850" s="81" t="str">
        <f ca="1">IFERROR(_xlfn.XLOOKUP(B850,[1]!TabCalc[Ticker],[1]!TabCalc[Cur]),"")</f>
        <v/>
      </c>
      <c r="K850" s="68" cm="1">
        <f t="array" ref="K850">IFERROR(IF($A850=$A849,0,SUM(_xlfn._xlws.FILTER($E850:$E860,($A850:$A860=$A850)*($J850:$J860=K$42)))),0)</f>
        <v>0</v>
      </c>
      <c r="L850" s="68" cm="1">
        <f t="array" ref="L850">IFERROR(IF($A850=$A849,0,SUM(_xlfn._xlws.FILTER($E850:$E860,($A850:$A860=$A850)*($J850:$J860=L$42)))),0)</f>
        <v>0</v>
      </c>
      <c r="M850" s="68" cm="1">
        <f t="array" ref="M850">IFERROR(IF($A850=$A849,0,SUM(_xlfn._xlws.FILTER($E850:$E860,($A850:$A860=$A850)*($J850:$J860=M$42)))),0)</f>
        <v>0</v>
      </c>
      <c r="N850" s="68" cm="1">
        <f t="array" ref="N850">IFERROR(IF($A850=$A849,0,SUM(_xlfn._xlws.FILTER($E850:$E860,($A850:$A860=$A850)*($J850:$J860=N$42)))),0)</f>
        <v>0</v>
      </c>
    </row>
    <row r="851" spans="5:14" x14ac:dyDescent="0.3">
      <c r="E851" s="67">
        <f ca="1">IFERROR(C851*D851*_xlfn.XLOOKUP(B851,[1]!TabCalc[Ticker],[1]!TabCalc[Scale]),0)</f>
        <v>0</v>
      </c>
      <c r="F851" s="68" cm="1">
        <f t="array" ref="F851">IF(A851=A850,0,SUM(_xlfn._xlws.FILTER(E851:E861,A851:A861=A851)))</f>
        <v>0</v>
      </c>
      <c r="G851" s="69">
        <f>IF(F851&lt;&gt;0,SUM($F$43:F851),0)</f>
        <v>0</v>
      </c>
      <c r="H851" s="69" cm="1">
        <f t="array" ref="H851">IFERROR(IF(A851=A850,0,SUM(_xlfn._xlws.FILTER(E851:E861,(A851:A861=A851)*(E851:E861&gt;0)))),0)</f>
        <v>0</v>
      </c>
      <c r="I851" s="69" cm="1">
        <f t="array" ref="I851">IFERROR(IF(A851=A850,0,SUM(_xlfn._xlws.FILTER(E851:E861,(A851:A861=A851)*(F851&lt;0)))),0)</f>
        <v>0</v>
      </c>
      <c r="J851" s="81" t="str">
        <f ca="1">IFERROR(_xlfn.XLOOKUP(B851,[1]!TabCalc[Ticker],[1]!TabCalc[Cur]),"")</f>
        <v/>
      </c>
      <c r="K851" s="68" cm="1">
        <f t="array" ref="K851">IFERROR(IF($A851=$A850,0,SUM(_xlfn._xlws.FILTER($E851:$E861,($A851:$A861=$A851)*($J851:$J861=K$42)))),0)</f>
        <v>0</v>
      </c>
      <c r="L851" s="68" cm="1">
        <f t="array" ref="L851">IFERROR(IF($A851=$A850,0,SUM(_xlfn._xlws.FILTER($E851:$E861,($A851:$A861=$A851)*($J851:$J861=L$42)))),0)</f>
        <v>0</v>
      </c>
      <c r="M851" s="68" cm="1">
        <f t="array" ref="M851">IFERROR(IF($A851=$A850,0,SUM(_xlfn._xlws.FILTER($E851:$E861,($A851:$A861=$A851)*($J851:$J861=M$42)))),0)</f>
        <v>0</v>
      </c>
      <c r="N851" s="68" cm="1">
        <f t="array" ref="N851">IFERROR(IF($A851=$A850,0,SUM(_xlfn._xlws.FILTER($E851:$E861,($A851:$A861=$A851)*($J851:$J861=N$42)))),0)</f>
        <v>0</v>
      </c>
    </row>
    <row r="852" spans="5:14" x14ac:dyDescent="0.3">
      <c r="E852" s="67">
        <f ca="1">IFERROR(C852*D852*_xlfn.XLOOKUP(B852,[1]!TabCalc[Ticker],[1]!TabCalc[Scale]),0)</f>
        <v>0</v>
      </c>
      <c r="F852" s="68" cm="1">
        <f t="array" ref="F852">IF(A852=A851,0,SUM(_xlfn._xlws.FILTER(E852:E862,A852:A862=A852)))</f>
        <v>0</v>
      </c>
      <c r="G852" s="69">
        <f>IF(F852&lt;&gt;0,SUM($F$43:F852),0)</f>
        <v>0</v>
      </c>
      <c r="H852" s="69" cm="1">
        <f t="array" ref="H852">IFERROR(IF(A852=A851,0,SUM(_xlfn._xlws.FILTER(E852:E862,(A852:A862=A852)*(E852:E862&gt;0)))),0)</f>
        <v>0</v>
      </c>
      <c r="I852" s="69" cm="1">
        <f t="array" ref="I852">IFERROR(IF(A852=A851,0,SUM(_xlfn._xlws.FILTER(E852:E862,(A852:A862=A852)*(F852&lt;0)))),0)</f>
        <v>0</v>
      </c>
      <c r="J852" s="81" t="str">
        <f ca="1">IFERROR(_xlfn.XLOOKUP(B852,[1]!TabCalc[Ticker],[1]!TabCalc[Cur]),"")</f>
        <v/>
      </c>
      <c r="K852" s="68" cm="1">
        <f t="array" ref="K852">IFERROR(IF($A852=$A851,0,SUM(_xlfn._xlws.FILTER($E852:$E862,($A852:$A862=$A852)*($J852:$J862=K$42)))),0)</f>
        <v>0</v>
      </c>
      <c r="L852" s="68" cm="1">
        <f t="array" ref="L852">IFERROR(IF($A852=$A851,0,SUM(_xlfn._xlws.FILTER($E852:$E862,($A852:$A862=$A852)*($J852:$J862=L$42)))),0)</f>
        <v>0</v>
      </c>
      <c r="M852" s="68" cm="1">
        <f t="array" ref="M852">IFERROR(IF($A852=$A851,0,SUM(_xlfn._xlws.FILTER($E852:$E862,($A852:$A862=$A852)*($J852:$J862=M$42)))),0)</f>
        <v>0</v>
      </c>
      <c r="N852" s="68" cm="1">
        <f t="array" ref="N852">IFERROR(IF($A852=$A851,0,SUM(_xlfn._xlws.FILTER($E852:$E862,($A852:$A862=$A852)*($J852:$J862=N$42)))),0)</f>
        <v>0</v>
      </c>
    </row>
    <row r="853" spans="5:14" x14ac:dyDescent="0.3">
      <c r="E853" s="67">
        <f ca="1">IFERROR(C853*D853*_xlfn.XLOOKUP(B853,[1]!TabCalc[Ticker],[1]!TabCalc[Scale]),0)</f>
        <v>0</v>
      </c>
      <c r="F853" s="68" cm="1">
        <f t="array" ref="F853">IF(A853=A852,0,SUM(_xlfn._xlws.FILTER(E853:E863,A853:A863=A853)))</f>
        <v>0</v>
      </c>
      <c r="G853" s="69">
        <f>IF(F853&lt;&gt;0,SUM($F$43:F853),0)</f>
        <v>0</v>
      </c>
      <c r="H853" s="69" cm="1">
        <f t="array" ref="H853">IFERROR(IF(A853=A852,0,SUM(_xlfn._xlws.FILTER(E853:E863,(A853:A863=A853)*(E853:E863&gt;0)))),0)</f>
        <v>0</v>
      </c>
      <c r="I853" s="69" cm="1">
        <f t="array" ref="I853">IFERROR(IF(A853=A852,0,SUM(_xlfn._xlws.FILTER(E853:E863,(A853:A863=A853)*(F853&lt;0)))),0)</f>
        <v>0</v>
      </c>
      <c r="J853" s="81" t="str">
        <f ca="1">IFERROR(_xlfn.XLOOKUP(B853,[1]!TabCalc[Ticker],[1]!TabCalc[Cur]),"")</f>
        <v/>
      </c>
      <c r="K853" s="68" cm="1">
        <f t="array" ref="K853">IFERROR(IF($A853=$A852,0,SUM(_xlfn._xlws.FILTER($E853:$E863,($A853:$A863=$A853)*($J853:$J863=K$42)))),0)</f>
        <v>0</v>
      </c>
      <c r="L853" s="68" cm="1">
        <f t="array" ref="L853">IFERROR(IF($A853=$A852,0,SUM(_xlfn._xlws.FILTER($E853:$E863,($A853:$A863=$A853)*($J853:$J863=L$42)))),0)</f>
        <v>0</v>
      </c>
      <c r="M853" s="68" cm="1">
        <f t="array" ref="M853">IFERROR(IF($A853=$A852,0,SUM(_xlfn._xlws.FILTER($E853:$E863,($A853:$A863=$A853)*($J853:$J863=M$42)))),0)</f>
        <v>0</v>
      </c>
      <c r="N853" s="68" cm="1">
        <f t="array" ref="N853">IFERROR(IF($A853=$A852,0,SUM(_xlfn._xlws.FILTER($E853:$E863,($A853:$A863=$A853)*($J853:$J863=N$42)))),0)</f>
        <v>0</v>
      </c>
    </row>
    <row r="854" spans="5:14" x14ac:dyDescent="0.3">
      <c r="E854" s="67">
        <f ca="1">IFERROR(C854*D854*_xlfn.XLOOKUP(B854,[1]!TabCalc[Ticker],[1]!TabCalc[Scale]),0)</f>
        <v>0</v>
      </c>
      <c r="F854" s="68" cm="1">
        <f t="array" ref="F854">IF(A854=A853,0,SUM(_xlfn._xlws.FILTER(E854:E864,A854:A864=A854)))</f>
        <v>0</v>
      </c>
      <c r="G854" s="69">
        <f>IF(F854&lt;&gt;0,SUM($F$43:F854),0)</f>
        <v>0</v>
      </c>
      <c r="H854" s="69" cm="1">
        <f t="array" ref="H854">IFERROR(IF(A854=A853,0,SUM(_xlfn._xlws.FILTER(E854:E864,(A854:A864=A854)*(E854:E864&gt;0)))),0)</f>
        <v>0</v>
      </c>
      <c r="I854" s="69" cm="1">
        <f t="array" ref="I854">IFERROR(IF(A854=A853,0,SUM(_xlfn._xlws.FILTER(E854:E864,(A854:A864=A854)*(F854&lt;0)))),0)</f>
        <v>0</v>
      </c>
      <c r="J854" s="81" t="str">
        <f ca="1">IFERROR(_xlfn.XLOOKUP(B854,[1]!TabCalc[Ticker],[1]!TabCalc[Cur]),"")</f>
        <v/>
      </c>
      <c r="K854" s="68" cm="1">
        <f t="array" ref="K854">IFERROR(IF($A854=$A853,0,SUM(_xlfn._xlws.FILTER($E854:$E864,($A854:$A864=$A854)*($J854:$J864=K$42)))),0)</f>
        <v>0</v>
      </c>
      <c r="L854" s="68" cm="1">
        <f t="array" ref="L854">IFERROR(IF($A854=$A853,0,SUM(_xlfn._xlws.FILTER($E854:$E864,($A854:$A864=$A854)*($J854:$J864=L$42)))),0)</f>
        <v>0</v>
      </c>
      <c r="M854" s="68" cm="1">
        <f t="array" ref="M854">IFERROR(IF($A854=$A853,0,SUM(_xlfn._xlws.FILTER($E854:$E864,($A854:$A864=$A854)*($J854:$J864=M$42)))),0)</f>
        <v>0</v>
      </c>
      <c r="N854" s="68" cm="1">
        <f t="array" ref="N854">IFERROR(IF($A854=$A853,0,SUM(_xlfn._xlws.FILTER($E854:$E864,($A854:$A864=$A854)*($J854:$J864=N$42)))),0)</f>
        <v>0</v>
      </c>
    </row>
    <row r="855" spans="5:14" x14ac:dyDescent="0.3">
      <c r="E855" s="67">
        <f ca="1">IFERROR(C855*D855*_xlfn.XLOOKUP(B855,[1]!TabCalc[Ticker],[1]!TabCalc[Scale]),0)</f>
        <v>0</v>
      </c>
      <c r="F855" s="68" cm="1">
        <f t="array" ref="F855">IF(A855=A854,0,SUM(_xlfn._xlws.FILTER(E855:E865,A855:A865=A855)))</f>
        <v>0</v>
      </c>
      <c r="G855" s="69">
        <f>IF(F855&lt;&gt;0,SUM($F$43:F855),0)</f>
        <v>0</v>
      </c>
      <c r="H855" s="69" cm="1">
        <f t="array" ref="H855">IFERROR(IF(A855=A854,0,SUM(_xlfn._xlws.FILTER(E855:E865,(A855:A865=A855)*(E855:E865&gt;0)))),0)</f>
        <v>0</v>
      </c>
      <c r="I855" s="69" cm="1">
        <f t="array" ref="I855">IFERROR(IF(A855=A854,0,SUM(_xlfn._xlws.FILTER(E855:E865,(A855:A865=A855)*(F855&lt;0)))),0)</f>
        <v>0</v>
      </c>
      <c r="J855" s="81" t="str">
        <f ca="1">IFERROR(_xlfn.XLOOKUP(B855,[1]!TabCalc[Ticker],[1]!TabCalc[Cur]),"")</f>
        <v/>
      </c>
      <c r="K855" s="68" cm="1">
        <f t="array" ref="K855">IFERROR(IF($A855=$A854,0,SUM(_xlfn._xlws.FILTER($E855:$E865,($A855:$A865=$A855)*($J855:$J865=K$42)))),0)</f>
        <v>0</v>
      </c>
      <c r="L855" s="68" cm="1">
        <f t="array" ref="L855">IFERROR(IF($A855=$A854,0,SUM(_xlfn._xlws.FILTER($E855:$E865,($A855:$A865=$A855)*($J855:$J865=L$42)))),0)</f>
        <v>0</v>
      </c>
      <c r="M855" s="68" cm="1">
        <f t="array" ref="M855">IFERROR(IF($A855=$A854,0,SUM(_xlfn._xlws.FILTER($E855:$E865,($A855:$A865=$A855)*($J855:$J865=M$42)))),0)</f>
        <v>0</v>
      </c>
      <c r="N855" s="68" cm="1">
        <f t="array" ref="N855">IFERROR(IF($A855=$A854,0,SUM(_xlfn._xlws.FILTER($E855:$E865,($A855:$A865=$A855)*($J855:$J865=N$42)))),0)</f>
        <v>0</v>
      </c>
    </row>
    <row r="856" spans="5:14" x14ac:dyDescent="0.3">
      <c r="E856" s="67">
        <f ca="1">IFERROR(C856*D856*_xlfn.XLOOKUP(B856,[1]!TabCalc[Ticker],[1]!TabCalc[Scale]),0)</f>
        <v>0</v>
      </c>
      <c r="F856" s="68" cm="1">
        <f t="array" ref="F856">IF(A856=A855,0,SUM(_xlfn._xlws.FILTER(E856:E866,A856:A866=A856)))</f>
        <v>0</v>
      </c>
      <c r="G856" s="69">
        <f>IF(F856&lt;&gt;0,SUM($F$43:F856),0)</f>
        <v>0</v>
      </c>
      <c r="H856" s="69" cm="1">
        <f t="array" ref="H856">IFERROR(IF(A856=A855,0,SUM(_xlfn._xlws.FILTER(E856:E866,(A856:A866=A856)*(E856:E866&gt;0)))),0)</f>
        <v>0</v>
      </c>
      <c r="I856" s="69" cm="1">
        <f t="array" ref="I856">IFERROR(IF(A856=A855,0,SUM(_xlfn._xlws.FILTER(E856:E866,(A856:A866=A856)*(F856&lt;0)))),0)</f>
        <v>0</v>
      </c>
      <c r="J856" s="81" t="str">
        <f ca="1">IFERROR(_xlfn.XLOOKUP(B856,[1]!TabCalc[Ticker],[1]!TabCalc[Cur]),"")</f>
        <v/>
      </c>
      <c r="K856" s="68" cm="1">
        <f t="array" ref="K856">IFERROR(IF($A856=$A855,0,SUM(_xlfn._xlws.FILTER($E856:$E866,($A856:$A866=$A856)*($J856:$J866=K$42)))),0)</f>
        <v>0</v>
      </c>
      <c r="L856" s="68" cm="1">
        <f t="array" ref="L856">IFERROR(IF($A856=$A855,0,SUM(_xlfn._xlws.FILTER($E856:$E866,($A856:$A866=$A856)*($J856:$J866=L$42)))),0)</f>
        <v>0</v>
      </c>
      <c r="M856" s="68" cm="1">
        <f t="array" ref="M856">IFERROR(IF($A856=$A855,0,SUM(_xlfn._xlws.FILTER($E856:$E866,($A856:$A866=$A856)*($J856:$J866=M$42)))),0)</f>
        <v>0</v>
      </c>
      <c r="N856" s="68" cm="1">
        <f t="array" ref="N856">IFERROR(IF($A856=$A855,0,SUM(_xlfn._xlws.FILTER($E856:$E866,($A856:$A866=$A856)*($J856:$J866=N$42)))),0)</f>
        <v>0</v>
      </c>
    </row>
    <row r="857" spans="5:14" x14ac:dyDescent="0.3">
      <c r="E857" s="67">
        <f ca="1">IFERROR(C857*D857*_xlfn.XLOOKUP(B857,[1]!TabCalc[Ticker],[1]!TabCalc[Scale]),0)</f>
        <v>0</v>
      </c>
      <c r="F857" s="68" cm="1">
        <f t="array" ref="F857">IF(A857=A856,0,SUM(_xlfn._xlws.FILTER(E857:E867,A857:A867=A857)))</f>
        <v>0</v>
      </c>
      <c r="G857" s="69">
        <f>IF(F857&lt;&gt;0,SUM($F$43:F857),0)</f>
        <v>0</v>
      </c>
      <c r="H857" s="69" cm="1">
        <f t="array" ref="H857">IFERROR(IF(A857=A856,0,SUM(_xlfn._xlws.FILTER(E857:E867,(A857:A867=A857)*(E857:E867&gt;0)))),0)</f>
        <v>0</v>
      </c>
      <c r="I857" s="69" cm="1">
        <f t="array" ref="I857">IFERROR(IF(A857=A856,0,SUM(_xlfn._xlws.FILTER(E857:E867,(A857:A867=A857)*(F857&lt;0)))),0)</f>
        <v>0</v>
      </c>
      <c r="J857" s="81" t="str">
        <f ca="1">IFERROR(_xlfn.XLOOKUP(B857,[1]!TabCalc[Ticker],[1]!TabCalc[Cur]),"")</f>
        <v/>
      </c>
      <c r="K857" s="68" cm="1">
        <f t="array" ref="K857">IFERROR(IF($A857=$A856,0,SUM(_xlfn._xlws.FILTER($E857:$E867,($A857:$A867=$A857)*($J857:$J867=K$42)))),0)</f>
        <v>0</v>
      </c>
      <c r="L857" s="68" cm="1">
        <f t="array" ref="L857">IFERROR(IF($A857=$A856,0,SUM(_xlfn._xlws.FILTER($E857:$E867,($A857:$A867=$A857)*($J857:$J867=L$42)))),0)</f>
        <v>0</v>
      </c>
      <c r="M857" s="68" cm="1">
        <f t="array" ref="M857">IFERROR(IF($A857=$A856,0,SUM(_xlfn._xlws.FILTER($E857:$E867,($A857:$A867=$A857)*($J857:$J867=M$42)))),0)</f>
        <v>0</v>
      </c>
      <c r="N857" s="68" cm="1">
        <f t="array" ref="N857">IFERROR(IF($A857=$A856,0,SUM(_xlfn._xlws.FILTER($E857:$E867,($A857:$A867=$A857)*($J857:$J867=N$42)))),0)</f>
        <v>0</v>
      </c>
    </row>
    <row r="858" spans="5:14" x14ac:dyDescent="0.3">
      <c r="E858" s="67">
        <f ca="1">IFERROR(C858*D858*_xlfn.XLOOKUP(B858,[1]!TabCalc[Ticker],[1]!TabCalc[Scale]),0)</f>
        <v>0</v>
      </c>
      <c r="F858" s="68" cm="1">
        <f t="array" ref="F858">IF(A858=A857,0,SUM(_xlfn._xlws.FILTER(E858:E868,A858:A868=A858)))</f>
        <v>0</v>
      </c>
      <c r="G858" s="69">
        <f>IF(F858&lt;&gt;0,SUM($F$43:F858),0)</f>
        <v>0</v>
      </c>
      <c r="H858" s="69" cm="1">
        <f t="array" ref="H858">IFERROR(IF(A858=A857,0,SUM(_xlfn._xlws.FILTER(E858:E868,(A858:A868=A858)*(E858:E868&gt;0)))),0)</f>
        <v>0</v>
      </c>
      <c r="I858" s="69" cm="1">
        <f t="array" ref="I858">IFERROR(IF(A858=A857,0,SUM(_xlfn._xlws.FILTER(E858:E868,(A858:A868=A858)*(F858&lt;0)))),0)</f>
        <v>0</v>
      </c>
      <c r="J858" s="81" t="str">
        <f ca="1">IFERROR(_xlfn.XLOOKUP(B858,[1]!TabCalc[Ticker],[1]!TabCalc[Cur]),"")</f>
        <v/>
      </c>
      <c r="K858" s="68" cm="1">
        <f t="array" ref="K858">IFERROR(IF($A858=$A857,0,SUM(_xlfn._xlws.FILTER($E858:$E868,($A858:$A868=$A858)*($J858:$J868=K$42)))),0)</f>
        <v>0</v>
      </c>
      <c r="L858" s="68" cm="1">
        <f t="array" ref="L858">IFERROR(IF($A858=$A857,0,SUM(_xlfn._xlws.FILTER($E858:$E868,($A858:$A868=$A858)*($J858:$J868=L$42)))),0)</f>
        <v>0</v>
      </c>
      <c r="M858" s="68" cm="1">
        <f t="array" ref="M858">IFERROR(IF($A858=$A857,0,SUM(_xlfn._xlws.FILTER($E858:$E868,($A858:$A868=$A858)*($J858:$J868=M$42)))),0)</f>
        <v>0</v>
      </c>
      <c r="N858" s="68" cm="1">
        <f t="array" ref="N858">IFERROR(IF($A858=$A857,0,SUM(_xlfn._xlws.FILTER($E858:$E868,($A858:$A868=$A858)*($J858:$J868=N$42)))),0)</f>
        <v>0</v>
      </c>
    </row>
    <row r="859" spans="5:14" x14ac:dyDescent="0.3">
      <c r="E859" s="67">
        <f ca="1">IFERROR(C859*D859*_xlfn.XLOOKUP(B859,[1]!TabCalc[Ticker],[1]!TabCalc[Scale]),0)</f>
        <v>0</v>
      </c>
      <c r="F859" s="68" cm="1">
        <f t="array" ref="F859">IF(A859=A858,0,SUM(_xlfn._xlws.FILTER(E859:E869,A859:A869=A859)))</f>
        <v>0</v>
      </c>
      <c r="G859" s="69">
        <f>IF(F859&lt;&gt;0,SUM($F$43:F859),0)</f>
        <v>0</v>
      </c>
      <c r="H859" s="69" cm="1">
        <f t="array" ref="H859">IFERROR(IF(A859=A858,0,SUM(_xlfn._xlws.FILTER(E859:E869,(A859:A869=A859)*(E859:E869&gt;0)))),0)</f>
        <v>0</v>
      </c>
      <c r="I859" s="69" cm="1">
        <f t="array" ref="I859">IFERROR(IF(A859=A858,0,SUM(_xlfn._xlws.FILTER(E859:E869,(A859:A869=A859)*(F859&lt;0)))),0)</f>
        <v>0</v>
      </c>
      <c r="J859" s="81" t="str">
        <f ca="1">IFERROR(_xlfn.XLOOKUP(B859,[1]!TabCalc[Ticker],[1]!TabCalc[Cur]),"")</f>
        <v/>
      </c>
      <c r="K859" s="68" cm="1">
        <f t="array" ref="K859">IFERROR(IF($A859=$A858,0,SUM(_xlfn._xlws.FILTER($E859:$E869,($A859:$A869=$A859)*($J859:$J869=K$42)))),0)</f>
        <v>0</v>
      </c>
      <c r="L859" s="68" cm="1">
        <f t="array" ref="L859">IFERROR(IF($A859=$A858,0,SUM(_xlfn._xlws.FILTER($E859:$E869,($A859:$A869=$A859)*($J859:$J869=L$42)))),0)</f>
        <v>0</v>
      </c>
      <c r="M859" s="68" cm="1">
        <f t="array" ref="M859">IFERROR(IF($A859=$A858,0,SUM(_xlfn._xlws.FILTER($E859:$E869,($A859:$A869=$A859)*($J859:$J869=M$42)))),0)</f>
        <v>0</v>
      </c>
      <c r="N859" s="68" cm="1">
        <f t="array" ref="N859">IFERROR(IF($A859=$A858,0,SUM(_xlfn._xlws.FILTER($E859:$E869,($A859:$A869=$A859)*($J859:$J869=N$42)))),0)</f>
        <v>0</v>
      </c>
    </row>
    <row r="860" spans="5:14" x14ac:dyDescent="0.3">
      <c r="E860" s="67">
        <f ca="1">IFERROR(C860*D860*_xlfn.XLOOKUP(B860,[1]!TabCalc[Ticker],[1]!TabCalc[Scale]),0)</f>
        <v>0</v>
      </c>
      <c r="F860" s="68" cm="1">
        <f t="array" ref="F860">IF(A860=A859,0,SUM(_xlfn._xlws.FILTER(E860:E870,A860:A870=A860)))</f>
        <v>0</v>
      </c>
      <c r="G860" s="69">
        <f>IF(F860&lt;&gt;0,SUM($F$43:F860),0)</f>
        <v>0</v>
      </c>
      <c r="H860" s="69" cm="1">
        <f t="array" ref="H860">IFERROR(IF(A860=A859,0,SUM(_xlfn._xlws.FILTER(E860:E870,(A860:A870=A860)*(E860:E870&gt;0)))),0)</f>
        <v>0</v>
      </c>
      <c r="I860" s="69" cm="1">
        <f t="array" ref="I860">IFERROR(IF(A860=A859,0,SUM(_xlfn._xlws.FILTER(E860:E870,(A860:A870=A860)*(F860&lt;0)))),0)</f>
        <v>0</v>
      </c>
      <c r="J860" s="81" t="str">
        <f ca="1">IFERROR(_xlfn.XLOOKUP(B860,[1]!TabCalc[Ticker],[1]!TabCalc[Cur]),"")</f>
        <v/>
      </c>
      <c r="K860" s="68" cm="1">
        <f t="array" ref="K860">IFERROR(IF($A860=$A859,0,SUM(_xlfn._xlws.FILTER($E860:$E870,($A860:$A870=$A860)*($J860:$J870=K$42)))),0)</f>
        <v>0</v>
      </c>
      <c r="L860" s="68" cm="1">
        <f t="array" ref="L860">IFERROR(IF($A860=$A859,0,SUM(_xlfn._xlws.FILTER($E860:$E870,($A860:$A870=$A860)*($J860:$J870=L$42)))),0)</f>
        <v>0</v>
      </c>
      <c r="M860" s="68" cm="1">
        <f t="array" ref="M860">IFERROR(IF($A860=$A859,0,SUM(_xlfn._xlws.FILTER($E860:$E870,($A860:$A870=$A860)*($J860:$J870=M$42)))),0)</f>
        <v>0</v>
      </c>
      <c r="N860" s="68" cm="1">
        <f t="array" ref="N860">IFERROR(IF($A860=$A859,0,SUM(_xlfn._xlws.FILTER($E860:$E870,($A860:$A870=$A860)*($J860:$J870=N$42)))),0)</f>
        <v>0</v>
      </c>
    </row>
    <row r="861" spans="5:14" x14ac:dyDescent="0.3">
      <c r="E861" s="67">
        <f ca="1">IFERROR(C861*D861*_xlfn.XLOOKUP(B861,[1]!TabCalc[Ticker],[1]!TabCalc[Scale]),0)</f>
        <v>0</v>
      </c>
      <c r="F861" s="68" cm="1">
        <f t="array" ref="F861">IF(A861=A860,0,SUM(_xlfn._xlws.FILTER(E861:E871,A861:A871=A861)))</f>
        <v>0</v>
      </c>
      <c r="G861" s="69">
        <f>IF(F861&lt;&gt;0,SUM($F$43:F861),0)</f>
        <v>0</v>
      </c>
      <c r="H861" s="69" cm="1">
        <f t="array" ref="H861">IFERROR(IF(A861=A860,0,SUM(_xlfn._xlws.FILTER(E861:E871,(A861:A871=A861)*(E861:E871&gt;0)))),0)</f>
        <v>0</v>
      </c>
      <c r="I861" s="69" cm="1">
        <f t="array" ref="I861">IFERROR(IF(A861=A860,0,SUM(_xlfn._xlws.FILTER(E861:E871,(A861:A871=A861)*(F861&lt;0)))),0)</f>
        <v>0</v>
      </c>
      <c r="J861" s="81" t="str">
        <f ca="1">IFERROR(_xlfn.XLOOKUP(B861,[1]!TabCalc[Ticker],[1]!TabCalc[Cur]),"")</f>
        <v/>
      </c>
      <c r="K861" s="68" cm="1">
        <f t="array" ref="K861">IFERROR(IF($A861=$A860,0,SUM(_xlfn._xlws.FILTER($E861:$E871,($A861:$A871=$A861)*($J861:$J871=K$42)))),0)</f>
        <v>0</v>
      </c>
      <c r="L861" s="68" cm="1">
        <f t="array" ref="L861">IFERROR(IF($A861=$A860,0,SUM(_xlfn._xlws.FILTER($E861:$E871,($A861:$A871=$A861)*($J861:$J871=L$42)))),0)</f>
        <v>0</v>
      </c>
      <c r="M861" s="68" cm="1">
        <f t="array" ref="M861">IFERROR(IF($A861=$A860,0,SUM(_xlfn._xlws.FILTER($E861:$E871,($A861:$A871=$A861)*($J861:$J871=M$42)))),0)</f>
        <v>0</v>
      </c>
      <c r="N861" s="68" cm="1">
        <f t="array" ref="N861">IFERROR(IF($A861=$A860,0,SUM(_xlfn._xlws.FILTER($E861:$E871,($A861:$A871=$A861)*($J861:$J871=N$42)))),0)</f>
        <v>0</v>
      </c>
    </row>
    <row r="862" spans="5:14" x14ac:dyDescent="0.3">
      <c r="E862" s="67">
        <f ca="1">IFERROR(C862*D862*_xlfn.XLOOKUP(B862,[1]!TabCalc[Ticker],[1]!TabCalc[Scale]),0)</f>
        <v>0</v>
      </c>
      <c r="F862" s="68" cm="1">
        <f t="array" ref="F862">IF(A862=A861,0,SUM(_xlfn._xlws.FILTER(E862:E872,A862:A872=A862)))</f>
        <v>0</v>
      </c>
      <c r="G862" s="69">
        <f>IF(F862&lt;&gt;0,SUM($F$43:F862),0)</f>
        <v>0</v>
      </c>
      <c r="H862" s="69" cm="1">
        <f t="array" ref="H862">IFERROR(IF(A862=A861,0,SUM(_xlfn._xlws.FILTER(E862:E872,(A862:A872=A862)*(E862:E872&gt;0)))),0)</f>
        <v>0</v>
      </c>
      <c r="I862" s="69" cm="1">
        <f t="array" ref="I862">IFERROR(IF(A862=A861,0,SUM(_xlfn._xlws.FILTER(E862:E872,(A862:A872=A862)*(F862&lt;0)))),0)</f>
        <v>0</v>
      </c>
      <c r="J862" s="81" t="str">
        <f ca="1">IFERROR(_xlfn.XLOOKUP(B862,[1]!TabCalc[Ticker],[1]!TabCalc[Cur]),"")</f>
        <v/>
      </c>
      <c r="K862" s="68" cm="1">
        <f t="array" ref="K862">IFERROR(IF($A862=$A861,0,SUM(_xlfn._xlws.FILTER($E862:$E872,($A862:$A872=$A862)*($J862:$J872=K$42)))),0)</f>
        <v>0</v>
      </c>
      <c r="L862" s="68" cm="1">
        <f t="array" ref="L862">IFERROR(IF($A862=$A861,0,SUM(_xlfn._xlws.FILTER($E862:$E872,($A862:$A872=$A862)*($J862:$J872=L$42)))),0)</f>
        <v>0</v>
      </c>
      <c r="M862" s="68" cm="1">
        <f t="array" ref="M862">IFERROR(IF($A862=$A861,0,SUM(_xlfn._xlws.FILTER($E862:$E872,($A862:$A872=$A862)*($J862:$J872=M$42)))),0)</f>
        <v>0</v>
      </c>
      <c r="N862" s="68" cm="1">
        <f t="array" ref="N862">IFERROR(IF($A862=$A861,0,SUM(_xlfn._xlws.FILTER($E862:$E872,($A862:$A872=$A862)*($J862:$J872=N$42)))),0)</f>
        <v>0</v>
      </c>
    </row>
    <row r="863" spans="5:14" x14ac:dyDescent="0.3">
      <c r="E863" s="67">
        <f ca="1">IFERROR(C863*D863*_xlfn.XLOOKUP(B863,[1]!TabCalc[Ticker],[1]!TabCalc[Scale]),0)</f>
        <v>0</v>
      </c>
      <c r="F863" s="68" cm="1">
        <f t="array" ref="F863">IF(A863=A862,0,SUM(_xlfn._xlws.FILTER(E863:E873,A863:A873=A863)))</f>
        <v>0</v>
      </c>
      <c r="G863" s="69">
        <f>IF(F863&lt;&gt;0,SUM($F$43:F863),0)</f>
        <v>0</v>
      </c>
      <c r="H863" s="69" cm="1">
        <f t="array" ref="H863">IFERROR(IF(A863=A862,0,SUM(_xlfn._xlws.FILTER(E863:E873,(A863:A873=A863)*(E863:E873&gt;0)))),0)</f>
        <v>0</v>
      </c>
      <c r="I863" s="69" cm="1">
        <f t="array" ref="I863">IFERROR(IF(A863=A862,0,SUM(_xlfn._xlws.FILTER(E863:E873,(A863:A873=A863)*(F863&lt;0)))),0)</f>
        <v>0</v>
      </c>
      <c r="J863" s="81" t="str">
        <f ca="1">IFERROR(_xlfn.XLOOKUP(B863,[1]!TabCalc[Ticker],[1]!TabCalc[Cur]),"")</f>
        <v/>
      </c>
      <c r="K863" s="68" cm="1">
        <f t="array" ref="K863">IFERROR(IF($A863=$A862,0,SUM(_xlfn._xlws.FILTER($E863:$E873,($A863:$A873=$A863)*($J863:$J873=K$42)))),0)</f>
        <v>0</v>
      </c>
      <c r="L863" s="68" cm="1">
        <f t="array" ref="L863">IFERROR(IF($A863=$A862,0,SUM(_xlfn._xlws.FILTER($E863:$E873,($A863:$A873=$A863)*($J863:$J873=L$42)))),0)</f>
        <v>0</v>
      </c>
      <c r="M863" s="68" cm="1">
        <f t="array" ref="M863">IFERROR(IF($A863=$A862,0,SUM(_xlfn._xlws.FILTER($E863:$E873,($A863:$A873=$A863)*($J863:$J873=M$42)))),0)</f>
        <v>0</v>
      </c>
      <c r="N863" s="68" cm="1">
        <f t="array" ref="N863">IFERROR(IF($A863=$A862,0,SUM(_xlfn._xlws.FILTER($E863:$E873,($A863:$A873=$A863)*($J863:$J873=N$42)))),0)</f>
        <v>0</v>
      </c>
    </row>
    <row r="864" spans="5:14" x14ac:dyDescent="0.3">
      <c r="E864" s="67">
        <f ca="1">IFERROR(C864*D864*_xlfn.XLOOKUP(B864,[1]!TabCalc[Ticker],[1]!TabCalc[Scale]),0)</f>
        <v>0</v>
      </c>
      <c r="F864" s="68" cm="1">
        <f t="array" ref="F864">IF(A864=A863,0,SUM(_xlfn._xlws.FILTER(E864:E874,A864:A874=A864)))</f>
        <v>0</v>
      </c>
      <c r="G864" s="69">
        <f>IF(F864&lt;&gt;0,SUM($F$43:F864),0)</f>
        <v>0</v>
      </c>
      <c r="H864" s="69" cm="1">
        <f t="array" ref="H864">IFERROR(IF(A864=A863,0,SUM(_xlfn._xlws.FILTER(E864:E874,(A864:A874=A864)*(E864:E874&gt;0)))),0)</f>
        <v>0</v>
      </c>
      <c r="I864" s="69" cm="1">
        <f t="array" ref="I864">IFERROR(IF(A864=A863,0,SUM(_xlfn._xlws.FILTER(E864:E874,(A864:A874=A864)*(F864&lt;0)))),0)</f>
        <v>0</v>
      </c>
      <c r="J864" s="81" t="str">
        <f ca="1">IFERROR(_xlfn.XLOOKUP(B864,[1]!TabCalc[Ticker],[1]!TabCalc[Cur]),"")</f>
        <v/>
      </c>
      <c r="K864" s="68" cm="1">
        <f t="array" ref="K864">IFERROR(IF($A864=$A863,0,SUM(_xlfn._xlws.FILTER($E864:$E874,($A864:$A874=$A864)*($J864:$J874=K$42)))),0)</f>
        <v>0</v>
      </c>
      <c r="L864" s="68" cm="1">
        <f t="array" ref="L864">IFERROR(IF($A864=$A863,0,SUM(_xlfn._xlws.FILTER($E864:$E874,($A864:$A874=$A864)*($J864:$J874=L$42)))),0)</f>
        <v>0</v>
      </c>
      <c r="M864" s="68" cm="1">
        <f t="array" ref="M864">IFERROR(IF($A864=$A863,0,SUM(_xlfn._xlws.FILTER($E864:$E874,($A864:$A874=$A864)*($J864:$J874=M$42)))),0)</f>
        <v>0</v>
      </c>
      <c r="N864" s="68" cm="1">
        <f t="array" ref="N864">IFERROR(IF($A864=$A863,0,SUM(_xlfn._xlws.FILTER($E864:$E874,($A864:$A874=$A864)*($J864:$J874=N$42)))),0)</f>
        <v>0</v>
      </c>
    </row>
    <row r="865" spans="5:14" x14ac:dyDescent="0.3">
      <c r="E865" s="67">
        <f ca="1">IFERROR(C865*D865*_xlfn.XLOOKUP(B865,[1]!TabCalc[Ticker],[1]!TabCalc[Scale]),0)</f>
        <v>0</v>
      </c>
      <c r="F865" s="68" cm="1">
        <f t="array" ref="F865">IF(A865=A864,0,SUM(_xlfn._xlws.FILTER(E865:E875,A865:A875=A865)))</f>
        <v>0</v>
      </c>
      <c r="G865" s="69">
        <f>IF(F865&lt;&gt;0,SUM($F$43:F865),0)</f>
        <v>0</v>
      </c>
      <c r="H865" s="69" cm="1">
        <f t="array" ref="H865">IFERROR(IF(A865=A864,0,SUM(_xlfn._xlws.FILTER(E865:E875,(A865:A875=A865)*(E865:E875&gt;0)))),0)</f>
        <v>0</v>
      </c>
      <c r="I865" s="69" cm="1">
        <f t="array" ref="I865">IFERROR(IF(A865=A864,0,SUM(_xlfn._xlws.FILTER(E865:E875,(A865:A875=A865)*(F865&lt;0)))),0)</f>
        <v>0</v>
      </c>
      <c r="J865" s="81" t="str">
        <f ca="1">IFERROR(_xlfn.XLOOKUP(B865,[1]!TabCalc[Ticker],[1]!TabCalc[Cur]),"")</f>
        <v/>
      </c>
      <c r="K865" s="68" cm="1">
        <f t="array" ref="K865">IFERROR(IF($A865=$A864,0,SUM(_xlfn._xlws.FILTER($E865:$E875,($A865:$A875=$A865)*($J865:$J875=K$42)))),0)</f>
        <v>0</v>
      </c>
      <c r="L865" s="68" cm="1">
        <f t="array" ref="L865">IFERROR(IF($A865=$A864,0,SUM(_xlfn._xlws.FILTER($E865:$E875,($A865:$A875=$A865)*($J865:$J875=L$42)))),0)</f>
        <v>0</v>
      </c>
      <c r="M865" s="68" cm="1">
        <f t="array" ref="M865">IFERROR(IF($A865=$A864,0,SUM(_xlfn._xlws.FILTER($E865:$E875,($A865:$A875=$A865)*($J865:$J875=M$42)))),0)</f>
        <v>0</v>
      </c>
      <c r="N865" s="68" cm="1">
        <f t="array" ref="N865">IFERROR(IF($A865=$A864,0,SUM(_xlfn._xlws.FILTER($E865:$E875,($A865:$A875=$A865)*($J865:$J875=N$42)))),0)</f>
        <v>0</v>
      </c>
    </row>
    <row r="866" spans="5:14" x14ac:dyDescent="0.3">
      <c r="E866" s="67">
        <f ca="1">IFERROR(C866*D866*_xlfn.XLOOKUP(B866,[1]!TabCalc[Ticker],[1]!TabCalc[Scale]),0)</f>
        <v>0</v>
      </c>
      <c r="F866" s="68" cm="1">
        <f t="array" ref="F866">IF(A866=A865,0,SUM(_xlfn._xlws.FILTER(E866:E876,A866:A876=A866)))</f>
        <v>0</v>
      </c>
      <c r="G866" s="69">
        <f>IF(F866&lt;&gt;0,SUM($F$43:F866),0)</f>
        <v>0</v>
      </c>
      <c r="H866" s="69" cm="1">
        <f t="array" ref="H866">IFERROR(IF(A866=A865,0,SUM(_xlfn._xlws.FILTER(E866:E876,(A866:A876=A866)*(E866:E876&gt;0)))),0)</f>
        <v>0</v>
      </c>
      <c r="I866" s="69" cm="1">
        <f t="array" ref="I866">IFERROR(IF(A866=A865,0,SUM(_xlfn._xlws.FILTER(E866:E876,(A866:A876=A866)*(F866&lt;0)))),0)</f>
        <v>0</v>
      </c>
      <c r="J866" s="81" t="str">
        <f ca="1">IFERROR(_xlfn.XLOOKUP(B866,[1]!TabCalc[Ticker],[1]!TabCalc[Cur]),"")</f>
        <v/>
      </c>
      <c r="K866" s="68" cm="1">
        <f t="array" ref="K866">IFERROR(IF($A866=$A865,0,SUM(_xlfn._xlws.FILTER($E866:$E876,($A866:$A876=$A866)*($J866:$J876=K$42)))),0)</f>
        <v>0</v>
      </c>
      <c r="L866" s="68" cm="1">
        <f t="array" ref="L866">IFERROR(IF($A866=$A865,0,SUM(_xlfn._xlws.FILTER($E866:$E876,($A866:$A876=$A866)*($J866:$J876=L$42)))),0)</f>
        <v>0</v>
      </c>
      <c r="M866" s="68" cm="1">
        <f t="array" ref="M866">IFERROR(IF($A866=$A865,0,SUM(_xlfn._xlws.FILTER($E866:$E876,($A866:$A876=$A866)*($J866:$J876=M$42)))),0)</f>
        <v>0</v>
      </c>
      <c r="N866" s="68" cm="1">
        <f t="array" ref="N866">IFERROR(IF($A866=$A865,0,SUM(_xlfn._xlws.FILTER($E866:$E876,($A866:$A876=$A866)*($J866:$J876=N$42)))),0)</f>
        <v>0</v>
      </c>
    </row>
    <row r="867" spans="5:14" x14ac:dyDescent="0.3">
      <c r="E867" s="67">
        <f ca="1">IFERROR(C867*D867*_xlfn.XLOOKUP(B867,[1]!TabCalc[Ticker],[1]!TabCalc[Scale]),0)</f>
        <v>0</v>
      </c>
      <c r="F867" s="68" cm="1">
        <f t="array" ref="F867">IF(A867=A866,0,SUM(_xlfn._xlws.FILTER(E867:E877,A867:A877=A867)))</f>
        <v>0</v>
      </c>
      <c r="G867" s="69">
        <f>IF(F867&lt;&gt;0,SUM($F$43:F867),0)</f>
        <v>0</v>
      </c>
      <c r="H867" s="69" cm="1">
        <f t="array" ref="H867">IFERROR(IF(A867=A866,0,SUM(_xlfn._xlws.FILTER(E867:E877,(A867:A877=A867)*(E867:E877&gt;0)))),0)</f>
        <v>0</v>
      </c>
      <c r="I867" s="69" cm="1">
        <f t="array" ref="I867">IFERROR(IF(A867=A866,0,SUM(_xlfn._xlws.FILTER(E867:E877,(A867:A877=A867)*(F867&lt;0)))),0)</f>
        <v>0</v>
      </c>
      <c r="J867" s="81" t="str">
        <f ca="1">IFERROR(_xlfn.XLOOKUP(B867,[1]!TabCalc[Ticker],[1]!TabCalc[Cur]),"")</f>
        <v/>
      </c>
      <c r="K867" s="68" cm="1">
        <f t="array" ref="K867">IFERROR(IF($A867=$A866,0,SUM(_xlfn._xlws.FILTER($E867:$E877,($A867:$A877=$A867)*($J867:$J877=K$42)))),0)</f>
        <v>0</v>
      </c>
      <c r="L867" s="68" cm="1">
        <f t="array" ref="L867">IFERROR(IF($A867=$A866,0,SUM(_xlfn._xlws.FILTER($E867:$E877,($A867:$A877=$A867)*($J867:$J877=L$42)))),0)</f>
        <v>0</v>
      </c>
      <c r="M867" s="68" cm="1">
        <f t="array" ref="M867">IFERROR(IF($A867=$A866,0,SUM(_xlfn._xlws.FILTER($E867:$E877,($A867:$A877=$A867)*($J867:$J877=M$42)))),0)</f>
        <v>0</v>
      </c>
      <c r="N867" s="68" cm="1">
        <f t="array" ref="N867">IFERROR(IF($A867=$A866,0,SUM(_xlfn._xlws.FILTER($E867:$E877,($A867:$A877=$A867)*($J867:$J877=N$42)))),0)</f>
        <v>0</v>
      </c>
    </row>
    <row r="868" spans="5:14" x14ac:dyDescent="0.3">
      <c r="E868" s="67">
        <f ca="1">IFERROR(C868*D868*_xlfn.XLOOKUP(B868,[1]!TabCalc[Ticker],[1]!TabCalc[Scale]),0)</f>
        <v>0</v>
      </c>
      <c r="F868" s="68" cm="1">
        <f t="array" ref="F868">IF(A868=A867,0,SUM(_xlfn._xlws.FILTER(E868:E878,A868:A878=A868)))</f>
        <v>0</v>
      </c>
      <c r="G868" s="69">
        <f>IF(F868&lt;&gt;0,SUM($F$43:F868),0)</f>
        <v>0</v>
      </c>
      <c r="H868" s="69" cm="1">
        <f t="array" ref="H868">IFERROR(IF(A868=A867,0,SUM(_xlfn._xlws.FILTER(E868:E878,(A868:A878=A868)*(E868:E878&gt;0)))),0)</f>
        <v>0</v>
      </c>
      <c r="I868" s="69" cm="1">
        <f t="array" ref="I868">IFERROR(IF(A868=A867,0,SUM(_xlfn._xlws.FILTER(E868:E878,(A868:A878=A868)*(F868&lt;0)))),0)</f>
        <v>0</v>
      </c>
      <c r="J868" s="81" t="str">
        <f ca="1">IFERROR(_xlfn.XLOOKUP(B868,[1]!TabCalc[Ticker],[1]!TabCalc[Cur]),"")</f>
        <v/>
      </c>
      <c r="K868" s="68" cm="1">
        <f t="array" ref="K868">IFERROR(IF($A868=$A867,0,SUM(_xlfn._xlws.FILTER($E868:$E878,($A868:$A878=$A868)*($J868:$J878=K$42)))),0)</f>
        <v>0</v>
      </c>
      <c r="L868" s="68" cm="1">
        <f t="array" ref="L868">IFERROR(IF($A868=$A867,0,SUM(_xlfn._xlws.FILTER($E868:$E878,($A868:$A878=$A868)*($J868:$J878=L$42)))),0)</f>
        <v>0</v>
      </c>
      <c r="M868" s="68" cm="1">
        <f t="array" ref="M868">IFERROR(IF($A868=$A867,0,SUM(_xlfn._xlws.FILTER($E868:$E878,($A868:$A878=$A868)*($J868:$J878=M$42)))),0)</f>
        <v>0</v>
      </c>
      <c r="N868" s="68" cm="1">
        <f t="array" ref="N868">IFERROR(IF($A868=$A867,0,SUM(_xlfn._xlws.FILTER($E868:$E878,($A868:$A878=$A868)*($J868:$J878=N$42)))),0)</f>
        <v>0</v>
      </c>
    </row>
    <row r="869" spans="5:14" x14ac:dyDescent="0.3">
      <c r="E869" s="67">
        <f ca="1">IFERROR(C869*D869*_xlfn.XLOOKUP(B869,[1]!TabCalc[Ticker],[1]!TabCalc[Scale]),0)</f>
        <v>0</v>
      </c>
      <c r="F869" s="68" cm="1">
        <f t="array" ref="F869">IF(A869=A868,0,SUM(_xlfn._xlws.FILTER(E869:E879,A869:A879=A869)))</f>
        <v>0</v>
      </c>
      <c r="G869" s="69">
        <f>IF(F869&lt;&gt;0,SUM($F$43:F869),0)</f>
        <v>0</v>
      </c>
      <c r="H869" s="69" cm="1">
        <f t="array" ref="H869">IFERROR(IF(A869=A868,0,SUM(_xlfn._xlws.FILTER(E869:E879,(A869:A879=A869)*(E869:E879&gt;0)))),0)</f>
        <v>0</v>
      </c>
      <c r="I869" s="69" cm="1">
        <f t="array" ref="I869">IFERROR(IF(A869=A868,0,SUM(_xlfn._xlws.FILTER(E869:E879,(A869:A879=A869)*(F869&lt;0)))),0)</f>
        <v>0</v>
      </c>
      <c r="J869" s="81" t="str">
        <f ca="1">IFERROR(_xlfn.XLOOKUP(B869,[1]!TabCalc[Ticker],[1]!TabCalc[Cur]),"")</f>
        <v/>
      </c>
      <c r="K869" s="68" cm="1">
        <f t="array" ref="K869">IFERROR(IF($A869=$A868,0,SUM(_xlfn._xlws.FILTER($E869:$E879,($A869:$A879=$A869)*($J869:$J879=K$42)))),0)</f>
        <v>0</v>
      </c>
      <c r="L869" s="68" cm="1">
        <f t="array" ref="L869">IFERROR(IF($A869=$A868,0,SUM(_xlfn._xlws.FILTER($E869:$E879,($A869:$A879=$A869)*($J869:$J879=L$42)))),0)</f>
        <v>0</v>
      </c>
      <c r="M869" s="68" cm="1">
        <f t="array" ref="M869">IFERROR(IF($A869=$A868,0,SUM(_xlfn._xlws.FILTER($E869:$E879,($A869:$A879=$A869)*($J869:$J879=M$42)))),0)</f>
        <v>0</v>
      </c>
      <c r="N869" s="68" cm="1">
        <f t="array" ref="N869">IFERROR(IF($A869=$A868,0,SUM(_xlfn._xlws.FILTER($E869:$E879,($A869:$A879=$A869)*($J869:$J879=N$42)))),0)</f>
        <v>0</v>
      </c>
    </row>
    <row r="870" spans="5:14" x14ac:dyDescent="0.3">
      <c r="E870" s="67">
        <f ca="1">IFERROR(C870*D870*_xlfn.XLOOKUP(B870,[1]!TabCalc[Ticker],[1]!TabCalc[Scale]),0)</f>
        <v>0</v>
      </c>
      <c r="F870" s="68" cm="1">
        <f t="array" ref="F870">IF(A870=A869,0,SUM(_xlfn._xlws.FILTER(E870:E880,A870:A880=A870)))</f>
        <v>0</v>
      </c>
      <c r="G870" s="69">
        <f>IF(F870&lt;&gt;0,SUM($F$43:F870),0)</f>
        <v>0</v>
      </c>
      <c r="H870" s="69" cm="1">
        <f t="array" ref="H870">IFERROR(IF(A870=A869,0,SUM(_xlfn._xlws.FILTER(E870:E880,(A870:A880=A870)*(E870:E880&gt;0)))),0)</f>
        <v>0</v>
      </c>
      <c r="I870" s="69" cm="1">
        <f t="array" ref="I870">IFERROR(IF(A870=A869,0,SUM(_xlfn._xlws.FILTER(E870:E880,(A870:A880=A870)*(F870&lt;0)))),0)</f>
        <v>0</v>
      </c>
      <c r="J870" s="81" t="str">
        <f ca="1">IFERROR(_xlfn.XLOOKUP(B870,[1]!TabCalc[Ticker],[1]!TabCalc[Cur]),"")</f>
        <v/>
      </c>
      <c r="K870" s="68" cm="1">
        <f t="array" ref="K870">IFERROR(IF($A870=$A869,0,SUM(_xlfn._xlws.FILTER($E870:$E880,($A870:$A880=$A870)*($J870:$J880=K$42)))),0)</f>
        <v>0</v>
      </c>
      <c r="L870" s="68" cm="1">
        <f t="array" ref="L870">IFERROR(IF($A870=$A869,0,SUM(_xlfn._xlws.FILTER($E870:$E880,($A870:$A880=$A870)*($J870:$J880=L$42)))),0)</f>
        <v>0</v>
      </c>
      <c r="M870" s="68" cm="1">
        <f t="array" ref="M870">IFERROR(IF($A870=$A869,0,SUM(_xlfn._xlws.FILTER($E870:$E880,($A870:$A880=$A870)*($J870:$J880=M$42)))),0)</f>
        <v>0</v>
      </c>
      <c r="N870" s="68" cm="1">
        <f t="array" ref="N870">IFERROR(IF($A870=$A869,0,SUM(_xlfn._xlws.FILTER($E870:$E880,($A870:$A880=$A870)*($J870:$J880=N$42)))),0)</f>
        <v>0</v>
      </c>
    </row>
    <row r="871" spans="5:14" x14ac:dyDescent="0.3">
      <c r="E871" s="67">
        <f ca="1">IFERROR(C871*D871*_xlfn.XLOOKUP(B871,[1]!TabCalc[Ticker],[1]!TabCalc[Scale]),0)</f>
        <v>0</v>
      </c>
      <c r="F871" s="68" cm="1">
        <f t="array" ref="F871">IF(A871=A870,0,SUM(_xlfn._xlws.FILTER(E871:E881,A871:A881=A871)))</f>
        <v>0</v>
      </c>
      <c r="G871" s="69">
        <f>IF(F871&lt;&gt;0,SUM($F$43:F871),0)</f>
        <v>0</v>
      </c>
      <c r="H871" s="69" cm="1">
        <f t="array" ref="H871">IFERROR(IF(A871=A870,0,SUM(_xlfn._xlws.FILTER(E871:E881,(A871:A881=A871)*(E871:E881&gt;0)))),0)</f>
        <v>0</v>
      </c>
      <c r="I871" s="69" cm="1">
        <f t="array" ref="I871">IFERROR(IF(A871=A870,0,SUM(_xlfn._xlws.FILTER(E871:E881,(A871:A881=A871)*(F871&lt;0)))),0)</f>
        <v>0</v>
      </c>
      <c r="J871" s="81" t="str">
        <f ca="1">IFERROR(_xlfn.XLOOKUP(B871,[1]!TabCalc[Ticker],[1]!TabCalc[Cur]),"")</f>
        <v/>
      </c>
      <c r="K871" s="68" cm="1">
        <f t="array" ref="K871">IFERROR(IF($A871=$A870,0,SUM(_xlfn._xlws.FILTER($E871:$E881,($A871:$A881=$A871)*($J871:$J881=K$42)))),0)</f>
        <v>0</v>
      </c>
      <c r="L871" s="68" cm="1">
        <f t="array" ref="L871">IFERROR(IF($A871=$A870,0,SUM(_xlfn._xlws.FILTER($E871:$E881,($A871:$A881=$A871)*($J871:$J881=L$42)))),0)</f>
        <v>0</v>
      </c>
      <c r="M871" s="68" cm="1">
        <f t="array" ref="M871">IFERROR(IF($A871=$A870,0,SUM(_xlfn._xlws.FILTER($E871:$E881,($A871:$A881=$A871)*($J871:$J881=M$42)))),0)</f>
        <v>0</v>
      </c>
      <c r="N871" s="68" cm="1">
        <f t="array" ref="N871">IFERROR(IF($A871=$A870,0,SUM(_xlfn._xlws.FILTER($E871:$E881,($A871:$A881=$A871)*($J871:$J881=N$42)))),0)</f>
        <v>0</v>
      </c>
    </row>
    <row r="872" spans="5:14" x14ac:dyDescent="0.3">
      <c r="E872" s="67">
        <f ca="1">IFERROR(C872*D872*_xlfn.XLOOKUP(B872,[1]!TabCalc[Ticker],[1]!TabCalc[Scale]),0)</f>
        <v>0</v>
      </c>
      <c r="F872" s="68" cm="1">
        <f t="array" ref="F872">IF(A872=A871,0,SUM(_xlfn._xlws.FILTER(E872:E882,A872:A882=A872)))</f>
        <v>0</v>
      </c>
      <c r="G872" s="69">
        <f>IF(F872&lt;&gt;0,SUM($F$43:F872),0)</f>
        <v>0</v>
      </c>
      <c r="H872" s="69" cm="1">
        <f t="array" ref="H872">IFERROR(IF(A872=A871,0,SUM(_xlfn._xlws.FILTER(E872:E882,(A872:A882=A872)*(E872:E882&gt;0)))),0)</f>
        <v>0</v>
      </c>
      <c r="I872" s="69" cm="1">
        <f t="array" ref="I872">IFERROR(IF(A872=A871,0,SUM(_xlfn._xlws.FILTER(E872:E882,(A872:A882=A872)*(F872&lt;0)))),0)</f>
        <v>0</v>
      </c>
      <c r="J872" s="81" t="str">
        <f ca="1">IFERROR(_xlfn.XLOOKUP(B872,[1]!TabCalc[Ticker],[1]!TabCalc[Cur]),"")</f>
        <v/>
      </c>
      <c r="K872" s="68" cm="1">
        <f t="array" ref="K872">IFERROR(IF($A872=$A871,0,SUM(_xlfn._xlws.FILTER($E872:$E882,($A872:$A882=$A872)*($J872:$J882=K$42)))),0)</f>
        <v>0</v>
      </c>
      <c r="L872" s="68" cm="1">
        <f t="array" ref="L872">IFERROR(IF($A872=$A871,0,SUM(_xlfn._xlws.FILTER($E872:$E882,($A872:$A882=$A872)*($J872:$J882=L$42)))),0)</f>
        <v>0</v>
      </c>
      <c r="M872" s="68" cm="1">
        <f t="array" ref="M872">IFERROR(IF($A872=$A871,0,SUM(_xlfn._xlws.FILTER($E872:$E882,($A872:$A882=$A872)*($J872:$J882=M$42)))),0)</f>
        <v>0</v>
      </c>
      <c r="N872" s="68" cm="1">
        <f t="array" ref="N872">IFERROR(IF($A872=$A871,0,SUM(_xlfn._xlws.FILTER($E872:$E882,($A872:$A882=$A872)*($J872:$J882=N$42)))),0)</f>
        <v>0</v>
      </c>
    </row>
    <row r="873" spans="5:14" x14ac:dyDescent="0.3">
      <c r="E873" s="67">
        <f ca="1">IFERROR(C873*D873*_xlfn.XLOOKUP(B873,[1]!TabCalc[Ticker],[1]!TabCalc[Scale]),0)</f>
        <v>0</v>
      </c>
      <c r="F873" s="68" cm="1">
        <f t="array" ref="F873">IF(A873=A872,0,SUM(_xlfn._xlws.FILTER(E873:E883,A873:A883=A873)))</f>
        <v>0</v>
      </c>
      <c r="G873" s="69">
        <f>IF(F873&lt;&gt;0,SUM($F$43:F873),0)</f>
        <v>0</v>
      </c>
      <c r="H873" s="69" cm="1">
        <f t="array" ref="H873">IFERROR(IF(A873=A872,0,SUM(_xlfn._xlws.FILTER(E873:E883,(A873:A883=A873)*(E873:E883&gt;0)))),0)</f>
        <v>0</v>
      </c>
      <c r="I873" s="69" cm="1">
        <f t="array" ref="I873">IFERROR(IF(A873=A872,0,SUM(_xlfn._xlws.FILTER(E873:E883,(A873:A883=A873)*(F873&lt;0)))),0)</f>
        <v>0</v>
      </c>
      <c r="J873" s="81" t="str">
        <f ca="1">IFERROR(_xlfn.XLOOKUP(B873,[1]!TabCalc[Ticker],[1]!TabCalc[Cur]),"")</f>
        <v/>
      </c>
      <c r="K873" s="68" cm="1">
        <f t="array" ref="K873">IFERROR(IF($A873=$A872,0,SUM(_xlfn._xlws.FILTER($E873:$E883,($A873:$A883=$A873)*($J873:$J883=K$42)))),0)</f>
        <v>0</v>
      </c>
      <c r="L873" s="68" cm="1">
        <f t="array" ref="L873">IFERROR(IF($A873=$A872,0,SUM(_xlfn._xlws.FILTER($E873:$E883,($A873:$A883=$A873)*($J873:$J883=L$42)))),0)</f>
        <v>0</v>
      </c>
      <c r="M873" s="68" cm="1">
        <f t="array" ref="M873">IFERROR(IF($A873=$A872,0,SUM(_xlfn._xlws.FILTER($E873:$E883,($A873:$A883=$A873)*($J873:$J883=M$42)))),0)</f>
        <v>0</v>
      </c>
      <c r="N873" s="68" cm="1">
        <f t="array" ref="N873">IFERROR(IF($A873=$A872,0,SUM(_xlfn._xlws.FILTER($E873:$E883,($A873:$A883=$A873)*($J873:$J883=N$42)))),0)</f>
        <v>0</v>
      </c>
    </row>
    <row r="874" spans="5:14" x14ac:dyDescent="0.3">
      <c r="E874" s="67">
        <f ca="1">IFERROR(C874*D874*_xlfn.XLOOKUP(B874,[1]!TabCalc[Ticker],[1]!TabCalc[Scale]),0)</f>
        <v>0</v>
      </c>
      <c r="F874" s="68" cm="1">
        <f t="array" ref="F874">IF(A874=A873,0,SUM(_xlfn._xlws.FILTER(E874:E884,A874:A884=A874)))</f>
        <v>0</v>
      </c>
      <c r="G874" s="69">
        <f>IF(F874&lt;&gt;0,SUM($F$43:F874),0)</f>
        <v>0</v>
      </c>
      <c r="H874" s="69" cm="1">
        <f t="array" ref="H874">IFERROR(IF(A874=A873,0,SUM(_xlfn._xlws.FILTER(E874:E884,(A874:A884=A874)*(E874:E884&gt;0)))),0)</f>
        <v>0</v>
      </c>
      <c r="I874" s="69" cm="1">
        <f t="array" ref="I874">IFERROR(IF(A874=A873,0,SUM(_xlfn._xlws.FILTER(E874:E884,(A874:A884=A874)*(F874&lt;0)))),0)</f>
        <v>0</v>
      </c>
      <c r="J874" s="81" t="str">
        <f ca="1">IFERROR(_xlfn.XLOOKUP(B874,[1]!TabCalc[Ticker],[1]!TabCalc[Cur]),"")</f>
        <v/>
      </c>
      <c r="K874" s="68" cm="1">
        <f t="array" ref="K874">IFERROR(IF($A874=$A873,0,SUM(_xlfn._xlws.FILTER($E874:$E884,($A874:$A884=$A874)*($J874:$J884=K$42)))),0)</f>
        <v>0</v>
      </c>
      <c r="L874" s="68" cm="1">
        <f t="array" ref="L874">IFERROR(IF($A874=$A873,0,SUM(_xlfn._xlws.FILTER($E874:$E884,($A874:$A884=$A874)*($J874:$J884=L$42)))),0)</f>
        <v>0</v>
      </c>
      <c r="M874" s="68" cm="1">
        <f t="array" ref="M874">IFERROR(IF($A874=$A873,0,SUM(_xlfn._xlws.FILTER($E874:$E884,($A874:$A884=$A874)*($J874:$J884=M$42)))),0)</f>
        <v>0</v>
      </c>
      <c r="N874" s="68" cm="1">
        <f t="array" ref="N874">IFERROR(IF($A874=$A873,0,SUM(_xlfn._xlws.FILTER($E874:$E884,($A874:$A884=$A874)*($J874:$J884=N$42)))),0)</f>
        <v>0</v>
      </c>
    </row>
    <row r="875" spans="5:14" x14ac:dyDescent="0.3">
      <c r="E875" s="67">
        <f ca="1">IFERROR(C875*D875*_xlfn.XLOOKUP(B875,[1]!TabCalc[Ticker],[1]!TabCalc[Scale]),0)</f>
        <v>0</v>
      </c>
      <c r="F875" s="68" cm="1">
        <f t="array" ref="F875">IF(A875=A874,0,SUM(_xlfn._xlws.FILTER(E875:E885,A875:A885=A875)))</f>
        <v>0</v>
      </c>
      <c r="G875" s="69">
        <f>IF(F875&lt;&gt;0,SUM($F$43:F875),0)</f>
        <v>0</v>
      </c>
      <c r="H875" s="69" cm="1">
        <f t="array" ref="H875">IFERROR(IF(A875=A874,0,SUM(_xlfn._xlws.FILTER(E875:E885,(A875:A885=A875)*(E875:E885&gt;0)))),0)</f>
        <v>0</v>
      </c>
      <c r="I875" s="69" cm="1">
        <f t="array" ref="I875">IFERROR(IF(A875=A874,0,SUM(_xlfn._xlws.FILTER(E875:E885,(A875:A885=A875)*(F875&lt;0)))),0)</f>
        <v>0</v>
      </c>
      <c r="J875" s="81" t="str">
        <f ca="1">IFERROR(_xlfn.XLOOKUP(B875,[1]!TabCalc[Ticker],[1]!TabCalc[Cur]),"")</f>
        <v/>
      </c>
      <c r="K875" s="68" cm="1">
        <f t="array" ref="K875">IFERROR(IF($A875=$A874,0,SUM(_xlfn._xlws.FILTER($E875:$E885,($A875:$A885=$A875)*($J875:$J885=K$42)))),0)</f>
        <v>0</v>
      </c>
      <c r="L875" s="68" cm="1">
        <f t="array" ref="L875">IFERROR(IF($A875=$A874,0,SUM(_xlfn._xlws.FILTER($E875:$E885,($A875:$A885=$A875)*($J875:$J885=L$42)))),0)</f>
        <v>0</v>
      </c>
      <c r="M875" s="68" cm="1">
        <f t="array" ref="M875">IFERROR(IF($A875=$A874,0,SUM(_xlfn._xlws.FILTER($E875:$E885,($A875:$A885=$A875)*($J875:$J885=M$42)))),0)</f>
        <v>0</v>
      </c>
      <c r="N875" s="68" cm="1">
        <f t="array" ref="N875">IFERROR(IF($A875=$A874,0,SUM(_xlfn._xlws.FILTER($E875:$E885,($A875:$A885=$A875)*($J875:$J885=N$42)))),0)</f>
        <v>0</v>
      </c>
    </row>
    <row r="876" spans="5:14" x14ac:dyDescent="0.3">
      <c r="E876" s="67">
        <f ca="1">IFERROR(C876*D876*_xlfn.XLOOKUP(B876,[1]!TabCalc[Ticker],[1]!TabCalc[Scale]),0)</f>
        <v>0</v>
      </c>
      <c r="F876" s="68" cm="1">
        <f t="array" ref="F876">IF(A876=A875,0,SUM(_xlfn._xlws.FILTER(E876:E886,A876:A886=A876)))</f>
        <v>0</v>
      </c>
      <c r="G876" s="69">
        <f>IF(F876&lt;&gt;0,SUM($F$43:F876),0)</f>
        <v>0</v>
      </c>
      <c r="H876" s="69" cm="1">
        <f t="array" ref="H876">IFERROR(IF(A876=A875,0,SUM(_xlfn._xlws.FILTER(E876:E886,(A876:A886=A876)*(E876:E886&gt;0)))),0)</f>
        <v>0</v>
      </c>
      <c r="I876" s="69" cm="1">
        <f t="array" ref="I876">IFERROR(IF(A876=A875,0,SUM(_xlfn._xlws.FILTER(E876:E886,(A876:A886=A876)*(F876&lt;0)))),0)</f>
        <v>0</v>
      </c>
      <c r="J876" s="81" t="str">
        <f ca="1">IFERROR(_xlfn.XLOOKUP(B876,[1]!TabCalc[Ticker],[1]!TabCalc[Cur]),"")</f>
        <v/>
      </c>
      <c r="K876" s="68" cm="1">
        <f t="array" ref="K876">IFERROR(IF($A876=$A875,0,SUM(_xlfn._xlws.FILTER($E876:$E886,($A876:$A886=$A876)*($J876:$J886=K$42)))),0)</f>
        <v>0</v>
      </c>
      <c r="L876" s="68" cm="1">
        <f t="array" ref="L876">IFERROR(IF($A876=$A875,0,SUM(_xlfn._xlws.FILTER($E876:$E886,($A876:$A886=$A876)*($J876:$J886=L$42)))),0)</f>
        <v>0</v>
      </c>
      <c r="M876" s="68" cm="1">
        <f t="array" ref="M876">IFERROR(IF($A876=$A875,0,SUM(_xlfn._xlws.FILTER($E876:$E886,($A876:$A886=$A876)*($J876:$J886=M$42)))),0)</f>
        <v>0</v>
      </c>
      <c r="N876" s="68" cm="1">
        <f t="array" ref="N876">IFERROR(IF($A876=$A875,0,SUM(_xlfn._xlws.FILTER($E876:$E886,($A876:$A886=$A876)*($J876:$J886=N$42)))),0)</f>
        <v>0</v>
      </c>
    </row>
    <row r="877" spans="5:14" x14ac:dyDescent="0.3">
      <c r="E877" s="67">
        <f ca="1">IFERROR(C877*D877*_xlfn.XLOOKUP(B877,[1]!TabCalc[Ticker],[1]!TabCalc[Scale]),0)</f>
        <v>0</v>
      </c>
      <c r="F877" s="68" cm="1">
        <f t="array" ref="F877">IF(A877=A876,0,SUM(_xlfn._xlws.FILTER(E877:E887,A877:A887=A877)))</f>
        <v>0</v>
      </c>
      <c r="G877" s="69">
        <f>IF(F877&lt;&gt;0,SUM($F$43:F877),0)</f>
        <v>0</v>
      </c>
      <c r="H877" s="69" cm="1">
        <f t="array" ref="H877">IFERROR(IF(A877=A876,0,SUM(_xlfn._xlws.FILTER(E877:E887,(A877:A887=A877)*(E877:E887&gt;0)))),0)</f>
        <v>0</v>
      </c>
      <c r="I877" s="69" cm="1">
        <f t="array" ref="I877">IFERROR(IF(A877=A876,0,SUM(_xlfn._xlws.FILTER(E877:E887,(A877:A887=A877)*(F877&lt;0)))),0)</f>
        <v>0</v>
      </c>
      <c r="J877" s="81" t="str">
        <f ca="1">IFERROR(_xlfn.XLOOKUP(B877,[1]!TabCalc[Ticker],[1]!TabCalc[Cur]),"")</f>
        <v/>
      </c>
      <c r="K877" s="68" cm="1">
        <f t="array" ref="K877">IFERROR(IF($A877=$A876,0,SUM(_xlfn._xlws.FILTER($E877:$E887,($A877:$A887=$A877)*($J877:$J887=K$42)))),0)</f>
        <v>0</v>
      </c>
      <c r="L877" s="68" cm="1">
        <f t="array" ref="L877">IFERROR(IF($A877=$A876,0,SUM(_xlfn._xlws.FILTER($E877:$E887,($A877:$A887=$A877)*($J877:$J887=L$42)))),0)</f>
        <v>0</v>
      </c>
      <c r="M877" s="68" cm="1">
        <f t="array" ref="M877">IFERROR(IF($A877=$A876,0,SUM(_xlfn._xlws.FILTER($E877:$E887,($A877:$A887=$A877)*($J877:$J887=M$42)))),0)</f>
        <v>0</v>
      </c>
      <c r="N877" s="68" cm="1">
        <f t="array" ref="N877">IFERROR(IF($A877=$A876,0,SUM(_xlfn._xlws.FILTER($E877:$E887,($A877:$A887=$A877)*($J877:$J887=N$42)))),0)</f>
        <v>0</v>
      </c>
    </row>
    <row r="878" spans="5:14" x14ac:dyDescent="0.3">
      <c r="E878" s="67">
        <f ca="1">IFERROR(C878*D878*_xlfn.XLOOKUP(B878,[1]!TabCalc[Ticker],[1]!TabCalc[Scale]),0)</f>
        <v>0</v>
      </c>
      <c r="F878" s="68" cm="1">
        <f t="array" ref="F878">IF(A878=A877,0,SUM(_xlfn._xlws.FILTER(E878:E888,A878:A888=A878)))</f>
        <v>0</v>
      </c>
      <c r="G878" s="69">
        <f>IF(F878&lt;&gt;0,SUM($F$43:F878),0)</f>
        <v>0</v>
      </c>
      <c r="H878" s="69" cm="1">
        <f t="array" ref="H878">IFERROR(IF(A878=A877,0,SUM(_xlfn._xlws.FILTER(E878:E888,(A878:A888=A878)*(E878:E888&gt;0)))),0)</f>
        <v>0</v>
      </c>
      <c r="I878" s="69" cm="1">
        <f t="array" ref="I878">IFERROR(IF(A878=A877,0,SUM(_xlfn._xlws.FILTER(E878:E888,(A878:A888=A878)*(F878&lt;0)))),0)</f>
        <v>0</v>
      </c>
      <c r="J878" s="81" t="str">
        <f ca="1">IFERROR(_xlfn.XLOOKUP(B878,[1]!TabCalc[Ticker],[1]!TabCalc[Cur]),"")</f>
        <v/>
      </c>
      <c r="K878" s="68" cm="1">
        <f t="array" ref="K878">IFERROR(IF($A878=$A877,0,SUM(_xlfn._xlws.FILTER($E878:$E888,($A878:$A888=$A878)*($J878:$J888=K$42)))),0)</f>
        <v>0</v>
      </c>
      <c r="L878" s="68" cm="1">
        <f t="array" ref="L878">IFERROR(IF($A878=$A877,0,SUM(_xlfn._xlws.FILTER($E878:$E888,($A878:$A888=$A878)*($J878:$J888=L$42)))),0)</f>
        <v>0</v>
      </c>
      <c r="M878" s="68" cm="1">
        <f t="array" ref="M878">IFERROR(IF($A878=$A877,0,SUM(_xlfn._xlws.FILTER($E878:$E888,($A878:$A888=$A878)*($J878:$J888=M$42)))),0)</f>
        <v>0</v>
      </c>
      <c r="N878" s="68" cm="1">
        <f t="array" ref="N878">IFERROR(IF($A878=$A877,0,SUM(_xlfn._xlws.FILTER($E878:$E888,($A878:$A888=$A878)*($J878:$J888=N$42)))),0)</f>
        <v>0</v>
      </c>
    </row>
    <row r="879" spans="5:14" x14ac:dyDescent="0.3">
      <c r="E879" s="67">
        <f ca="1">IFERROR(C879*D879*_xlfn.XLOOKUP(B879,[1]!TabCalc[Ticker],[1]!TabCalc[Scale]),0)</f>
        <v>0</v>
      </c>
      <c r="F879" s="68" cm="1">
        <f t="array" ref="F879">IF(A879=A878,0,SUM(_xlfn._xlws.FILTER(E879:E889,A879:A889=A879)))</f>
        <v>0</v>
      </c>
      <c r="G879" s="69">
        <f>IF(F879&lt;&gt;0,SUM($F$43:F879),0)</f>
        <v>0</v>
      </c>
      <c r="H879" s="69" cm="1">
        <f t="array" ref="H879">IFERROR(IF(A879=A878,0,SUM(_xlfn._xlws.FILTER(E879:E889,(A879:A889=A879)*(E879:E889&gt;0)))),0)</f>
        <v>0</v>
      </c>
      <c r="I879" s="69" cm="1">
        <f t="array" ref="I879">IFERROR(IF(A879=A878,0,SUM(_xlfn._xlws.FILTER(E879:E889,(A879:A889=A879)*(F879&lt;0)))),0)</f>
        <v>0</v>
      </c>
      <c r="J879" s="81" t="str">
        <f ca="1">IFERROR(_xlfn.XLOOKUP(B879,[1]!TabCalc[Ticker],[1]!TabCalc[Cur]),"")</f>
        <v/>
      </c>
      <c r="K879" s="68" cm="1">
        <f t="array" ref="K879">IFERROR(IF($A879=$A878,0,SUM(_xlfn._xlws.FILTER($E879:$E889,($A879:$A889=$A879)*($J879:$J889=K$42)))),0)</f>
        <v>0</v>
      </c>
      <c r="L879" s="68" cm="1">
        <f t="array" ref="L879">IFERROR(IF($A879=$A878,0,SUM(_xlfn._xlws.FILTER($E879:$E889,($A879:$A889=$A879)*($J879:$J889=L$42)))),0)</f>
        <v>0</v>
      </c>
      <c r="M879" s="68" cm="1">
        <f t="array" ref="M879">IFERROR(IF($A879=$A878,0,SUM(_xlfn._xlws.FILTER($E879:$E889,($A879:$A889=$A879)*($J879:$J889=M$42)))),0)</f>
        <v>0</v>
      </c>
      <c r="N879" s="68" cm="1">
        <f t="array" ref="N879">IFERROR(IF($A879=$A878,0,SUM(_xlfn._xlws.FILTER($E879:$E889,($A879:$A889=$A879)*($J879:$J889=N$42)))),0)</f>
        <v>0</v>
      </c>
    </row>
    <row r="880" spans="5:14" x14ac:dyDescent="0.3">
      <c r="E880" s="67">
        <f ca="1">IFERROR(C880*D880*_xlfn.XLOOKUP(B880,[1]!TabCalc[Ticker],[1]!TabCalc[Scale]),0)</f>
        <v>0</v>
      </c>
      <c r="F880" s="68" cm="1">
        <f t="array" ref="F880">IF(A880=A879,0,SUM(_xlfn._xlws.FILTER(E880:E890,A880:A890=A880)))</f>
        <v>0</v>
      </c>
      <c r="G880" s="69">
        <f>IF(F880&lt;&gt;0,SUM($F$43:F880),0)</f>
        <v>0</v>
      </c>
      <c r="H880" s="69" cm="1">
        <f t="array" ref="H880">IFERROR(IF(A880=A879,0,SUM(_xlfn._xlws.FILTER(E880:E890,(A880:A890=A880)*(E880:E890&gt;0)))),0)</f>
        <v>0</v>
      </c>
      <c r="I880" s="69" cm="1">
        <f t="array" ref="I880">IFERROR(IF(A880=A879,0,SUM(_xlfn._xlws.FILTER(E880:E890,(A880:A890=A880)*(F880&lt;0)))),0)</f>
        <v>0</v>
      </c>
      <c r="J880" s="81" t="str">
        <f ca="1">IFERROR(_xlfn.XLOOKUP(B880,[1]!TabCalc[Ticker],[1]!TabCalc[Cur]),"")</f>
        <v/>
      </c>
      <c r="K880" s="68" cm="1">
        <f t="array" ref="K880">IFERROR(IF($A880=$A879,0,SUM(_xlfn._xlws.FILTER($E880:$E890,($A880:$A890=$A880)*($J880:$J890=K$42)))),0)</f>
        <v>0</v>
      </c>
      <c r="L880" s="68" cm="1">
        <f t="array" ref="L880">IFERROR(IF($A880=$A879,0,SUM(_xlfn._xlws.FILTER($E880:$E890,($A880:$A890=$A880)*($J880:$J890=L$42)))),0)</f>
        <v>0</v>
      </c>
      <c r="M880" s="68" cm="1">
        <f t="array" ref="M880">IFERROR(IF($A880=$A879,0,SUM(_xlfn._xlws.FILTER($E880:$E890,($A880:$A890=$A880)*($J880:$J890=M$42)))),0)</f>
        <v>0</v>
      </c>
      <c r="N880" s="68" cm="1">
        <f t="array" ref="N880">IFERROR(IF($A880=$A879,0,SUM(_xlfn._xlws.FILTER($E880:$E890,($A880:$A890=$A880)*($J880:$J890=N$42)))),0)</f>
        <v>0</v>
      </c>
    </row>
    <row r="881" spans="5:14" x14ac:dyDescent="0.3">
      <c r="E881" s="67">
        <f ca="1">IFERROR(C881*D881*_xlfn.XLOOKUP(B881,[1]!TabCalc[Ticker],[1]!TabCalc[Scale]),0)</f>
        <v>0</v>
      </c>
      <c r="F881" s="68" cm="1">
        <f t="array" ref="F881">IF(A881=A880,0,SUM(_xlfn._xlws.FILTER(E881:E891,A881:A891=A881)))</f>
        <v>0</v>
      </c>
      <c r="G881" s="69">
        <f>IF(F881&lt;&gt;0,SUM($F$43:F881),0)</f>
        <v>0</v>
      </c>
      <c r="H881" s="69" cm="1">
        <f t="array" ref="H881">IFERROR(IF(A881=A880,0,SUM(_xlfn._xlws.FILTER(E881:E891,(A881:A891=A881)*(E881:E891&gt;0)))),0)</f>
        <v>0</v>
      </c>
      <c r="I881" s="69" cm="1">
        <f t="array" ref="I881">IFERROR(IF(A881=A880,0,SUM(_xlfn._xlws.FILTER(E881:E891,(A881:A891=A881)*(F881&lt;0)))),0)</f>
        <v>0</v>
      </c>
      <c r="J881" s="81" t="str">
        <f ca="1">IFERROR(_xlfn.XLOOKUP(B881,[1]!TabCalc[Ticker],[1]!TabCalc[Cur]),"")</f>
        <v/>
      </c>
      <c r="K881" s="68" cm="1">
        <f t="array" ref="K881">IFERROR(IF($A881=$A880,0,SUM(_xlfn._xlws.FILTER($E881:$E891,($A881:$A891=$A881)*($J881:$J891=K$42)))),0)</f>
        <v>0</v>
      </c>
      <c r="L881" s="68" cm="1">
        <f t="array" ref="L881">IFERROR(IF($A881=$A880,0,SUM(_xlfn._xlws.FILTER($E881:$E891,($A881:$A891=$A881)*($J881:$J891=L$42)))),0)</f>
        <v>0</v>
      </c>
      <c r="M881" s="68" cm="1">
        <f t="array" ref="M881">IFERROR(IF($A881=$A880,0,SUM(_xlfn._xlws.FILTER($E881:$E891,($A881:$A891=$A881)*($J881:$J891=M$42)))),0)</f>
        <v>0</v>
      </c>
      <c r="N881" s="68" cm="1">
        <f t="array" ref="N881">IFERROR(IF($A881=$A880,0,SUM(_xlfn._xlws.FILTER($E881:$E891,($A881:$A891=$A881)*($J881:$J891=N$42)))),0)</f>
        <v>0</v>
      </c>
    </row>
    <row r="882" spans="5:14" x14ac:dyDescent="0.3">
      <c r="E882" s="67">
        <f ca="1">IFERROR(C882*D882*_xlfn.XLOOKUP(B882,[1]!TabCalc[Ticker],[1]!TabCalc[Scale]),0)</f>
        <v>0</v>
      </c>
      <c r="F882" s="68" cm="1">
        <f t="array" ref="F882">IF(A882=A881,0,SUM(_xlfn._xlws.FILTER(E882:E892,A882:A892=A882)))</f>
        <v>0</v>
      </c>
      <c r="G882" s="69">
        <f>IF(F882&lt;&gt;0,SUM($F$43:F882),0)</f>
        <v>0</v>
      </c>
      <c r="H882" s="69" cm="1">
        <f t="array" ref="H882">IFERROR(IF(A882=A881,0,SUM(_xlfn._xlws.FILTER(E882:E892,(A882:A892=A882)*(E882:E892&gt;0)))),0)</f>
        <v>0</v>
      </c>
      <c r="I882" s="69" cm="1">
        <f t="array" ref="I882">IFERROR(IF(A882=A881,0,SUM(_xlfn._xlws.FILTER(E882:E892,(A882:A892=A882)*(F882&lt;0)))),0)</f>
        <v>0</v>
      </c>
      <c r="J882" s="81" t="str">
        <f ca="1">IFERROR(_xlfn.XLOOKUP(B882,[1]!TabCalc[Ticker],[1]!TabCalc[Cur]),"")</f>
        <v/>
      </c>
      <c r="K882" s="68" cm="1">
        <f t="array" ref="K882">IFERROR(IF($A882=$A881,0,SUM(_xlfn._xlws.FILTER($E882:$E892,($A882:$A892=$A882)*($J882:$J892=K$42)))),0)</f>
        <v>0</v>
      </c>
      <c r="L882" s="68" cm="1">
        <f t="array" ref="L882">IFERROR(IF($A882=$A881,0,SUM(_xlfn._xlws.FILTER($E882:$E892,($A882:$A892=$A882)*($J882:$J892=L$42)))),0)</f>
        <v>0</v>
      </c>
      <c r="M882" s="68" cm="1">
        <f t="array" ref="M882">IFERROR(IF($A882=$A881,0,SUM(_xlfn._xlws.FILTER($E882:$E892,($A882:$A892=$A882)*($J882:$J892=M$42)))),0)</f>
        <v>0</v>
      </c>
      <c r="N882" s="68" cm="1">
        <f t="array" ref="N882">IFERROR(IF($A882=$A881,0,SUM(_xlfn._xlws.FILTER($E882:$E892,($A882:$A892=$A882)*($J882:$J892=N$42)))),0)</f>
        <v>0</v>
      </c>
    </row>
    <row r="883" spans="5:14" x14ac:dyDescent="0.3">
      <c r="E883" s="67">
        <f ca="1">IFERROR(C883*D883*_xlfn.XLOOKUP(B883,[1]!TabCalc[Ticker],[1]!TabCalc[Scale]),0)</f>
        <v>0</v>
      </c>
      <c r="F883" s="68" cm="1">
        <f t="array" ref="F883">IF(A883=A882,0,SUM(_xlfn._xlws.FILTER(E883:E893,A883:A893=A883)))</f>
        <v>0</v>
      </c>
      <c r="G883" s="69">
        <f>IF(F883&lt;&gt;0,SUM($F$43:F883),0)</f>
        <v>0</v>
      </c>
      <c r="H883" s="69" cm="1">
        <f t="array" ref="H883">IFERROR(IF(A883=A882,0,SUM(_xlfn._xlws.FILTER(E883:E893,(A883:A893=A883)*(E883:E893&gt;0)))),0)</f>
        <v>0</v>
      </c>
      <c r="I883" s="69" cm="1">
        <f t="array" ref="I883">IFERROR(IF(A883=A882,0,SUM(_xlfn._xlws.FILTER(E883:E893,(A883:A893=A883)*(F883&lt;0)))),0)</f>
        <v>0</v>
      </c>
      <c r="J883" s="81" t="str">
        <f ca="1">IFERROR(_xlfn.XLOOKUP(B883,[1]!TabCalc[Ticker],[1]!TabCalc[Cur]),"")</f>
        <v/>
      </c>
      <c r="K883" s="68" cm="1">
        <f t="array" ref="K883">IFERROR(IF($A883=$A882,0,SUM(_xlfn._xlws.FILTER($E883:$E893,($A883:$A893=$A883)*($J883:$J893=K$42)))),0)</f>
        <v>0</v>
      </c>
      <c r="L883" s="68" cm="1">
        <f t="array" ref="L883">IFERROR(IF($A883=$A882,0,SUM(_xlfn._xlws.FILTER($E883:$E893,($A883:$A893=$A883)*($J883:$J893=L$42)))),0)</f>
        <v>0</v>
      </c>
      <c r="M883" s="68" cm="1">
        <f t="array" ref="M883">IFERROR(IF($A883=$A882,0,SUM(_xlfn._xlws.FILTER($E883:$E893,($A883:$A893=$A883)*($J883:$J893=M$42)))),0)</f>
        <v>0</v>
      </c>
      <c r="N883" s="68" cm="1">
        <f t="array" ref="N883">IFERROR(IF($A883=$A882,0,SUM(_xlfn._xlws.FILTER($E883:$E893,($A883:$A893=$A883)*($J883:$J893=N$42)))),0)</f>
        <v>0</v>
      </c>
    </row>
    <row r="884" spans="5:14" x14ac:dyDescent="0.3">
      <c r="E884" s="67">
        <f ca="1">IFERROR(C884*D884*_xlfn.XLOOKUP(B884,[1]!TabCalc[Ticker],[1]!TabCalc[Scale]),0)</f>
        <v>0</v>
      </c>
      <c r="F884" s="68" cm="1">
        <f t="array" ref="F884">IF(A884=A883,0,SUM(_xlfn._xlws.FILTER(E884:E894,A884:A894=A884)))</f>
        <v>0</v>
      </c>
      <c r="G884" s="69">
        <f>IF(F884&lt;&gt;0,SUM($F$43:F884),0)</f>
        <v>0</v>
      </c>
      <c r="H884" s="69" cm="1">
        <f t="array" ref="H884">IFERROR(IF(A884=A883,0,SUM(_xlfn._xlws.FILTER(E884:E894,(A884:A894=A884)*(E884:E894&gt;0)))),0)</f>
        <v>0</v>
      </c>
      <c r="I884" s="69" cm="1">
        <f t="array" ref="I884">IFERROR(IF(A884=A883,0,SUM(_xlfn._xlws.FILTER(E884:E894,(A884:A894=A884)*(F884&lt;0)))),0)</f>
        <v>0</v>
      </c>
      <c r="J884" s="81" t="str">
        <f ca="1">IFERROR(_xlfn.XLOOKUP(B884,[1]!TabCalc[Ticker],[1]!TabCalc[Cur]),"")</f>
        <v/>
      </c>
      <c r="K884" s="68" cm="1">
        <f t="array" ref="K884">IFERROR(IF($A884=$A883,0,SUM(_xlfn._xlws.FILTER($E884:$E894,($A884:$A894=$A884)*($J884:$J894=K$42)))),0)</f>
        <v>0</v>
      </c>
      <c r="L884" s="68" cm="1">
        <f t="array" ref="L884">IFERROR(IF($A884=$A883,0,SUM(_xlfn._xlws.FILTER($E884:$E894,($A884:$A894=$A884)*($J884:$J894=L$42)))),0)</f>
        <v>0</v>
      </c>
      <c r="M884" s="68" cm="1">
        <f t="array" ref="M884">IFERROR(IF($A884=$A883,0,SUM(_xlfn._xlws.FILTER($E884:$E894,($A884:$A894=$A884)*($J884:$J894=M$42)))),0)</f>
        <v>0</v>
      </c>
      <c r="N884" s="68" cm="1">
        <f t="array" ref="N884">IFERROR(IF($A884=$A883,0,SUM(_xlfn._xlws.FILTER($E884:$E894,($A884:$A894=$A884)*($J884:$J894=N$42)))),0)</f>
        <v>0</v>
      </c>
    </row>
    <row r="885" spans="5:14" x14ac:dyDescent="0.3">
      <c r="E885" s="67">
        <f ca="1">IFERROR(C885*D885*_xlfn.XLOOKUP(B885,[1]!TabCalc[Ticker],[1]!TabCalc[Scale]),0)</f>
        <v>0</v>
      </c>
      <c r="F885" s="68" cm="1">
        <f t="array" ref="F885">IF(A885=A884,0,SUM(_xlfn._xlws.FILTER(E885:E895,A885:A895=A885)))</f>
        <v>0</v>
      </c>
      <c r="G885" s="69">
        <f>IF(F885&lt;&gt;0,SUM($F$43:F885),0)</f>
        <v>0</v>
      </c>
      <c r="H885" s="69" cm="1">
        <f t="array" ref="H885">IFERROR(IF(A885=A884,0,SUM(_xlfn._xlws.FILTER(E885:E895,(A885:A895=A885)*(E885:E895&gt;0)))),0)</f>
        <v>0</v>
      </c>
      <c r="I885" s="69" cm="1">
        <f t="array" ref="I885">IFERROR(IF(A885=A884,0,SUM(_xlfn._xlws.FILTER(E885:E895,(A885:A895=A885)*(F885&lt;0)))),0)</f>
        <v>0</v>
      </c>
      <c r="J885" s="81" t="str">
        <f ca="1">IFERROR(_xlfn.XLOOKUP(B885,[1]!TabCalc[Ticker],[1]!TabCalc[Cur]),"")</f>
        <v/>
      </c>
      <c r="K885" s="68" cm="1">
        <f t="array" ref="K885">IFERROR(IF($A885=$A884,0,SUM(_xlfn._xlws.FILTER($E885:$E895,($A885:$A895=$A885)*($J885:$J895=K$42)))),0)</f>
        <v>0</v>
      </c>
      <c r="L885" s="68" cm="1">
        <f t="array" ref="L885">IFERROR(IF($A885=$A884,0,SUM(_xlfn._xlws.FILTER($E885:$E895,($A885:$A895=$A885)*($J885:$J895=L$42)))),0)</f>
        <v>0</v>
      </c>
      <c r="M885" s="68" cm="1">
        <f t="array" ref="M885">IFERROR(IF($A885=$A884,0,SUM(_xlfn._xlws.FILTER($E885:$E895,($A885:$A895=$A885)*($J885:$J895=M$42)))),0)</f>
        <v>0</v>
      </c>
      <c r="N885" s="68" cm="1">
        <f t="array" ref="N885">IFERROR(IF($A885=$A884,0,SUM(_xlfn._xlws.FILTER($E885:$E895,($A885:$A895=$A885)*($J885:$J895=N$42)))),0)</f>
        <v>0</v>
      </c>
    </row>
    <row r="886" spans="5:14" x14ac:dyDescent="0.3">
      <c r="E886" s="67">
        <f ca="1">IFERROR(C886*D886*_xlfn.XLOOKUP(B886,[1]!TabCalc[Ticker],[1]!TabCalc[Scale]),0)</f>
        <v>0</v>
      </c>
      <c r="F886" s="68" cm="1">
        <f t="array" ref="F886">IF(A886=A885,0,SUM(_xlfn._xlws.FILTER(E886:E896,A886:A896=A886)))</f>
        <v>0</v>
      </c>
      <c r="G886" s="69">
        <f>IF(F886&lt;&gt;0,SUM($F$43:F886),0)</f>
        <v>0</v>
      </c>
      <c r="H886" s="69" cm="1">
        <f t="array" ref="H886">IFERROR(IF(A886=A885,0,SUM(_xlfn._xlws.FILTER(E886:E896,(A886:A896=A886)*(E886:E896&gt;0)))),0)</f>
        <v>0</v>
      </c>
      <c r="I886" s="69" cm="1">
        <f t="array" ref="I886">IFERROR(IF(A886=A885,0,SUM(_xlfn._xlws.FILTER(E886:E896,(A886:A896=A886)*(F886&lt;0)))),0)</f>
        <v>0</v>
      </c>
      <c r="J886" s="81" t="str">
        <f ca="1">IFERROR(_xlfn.XLOOKUP(B886,[1]!TabCalc[Ticker],[1]!TabCalc[Cur]),"")</f>
        <v/>
      </c>
      <c r="K886" s="68" cm="1">
        <f t="array" ref="K886">IFERROR(IF($A886=$A885,0,SUM(_xlfn._xlws.FILTER($E886:$E896,($A886:$A896=$A886)*($J886:$J896=K$42)))),0)</f>
        <v>0</v>
      </c>
      <c r="L886" s="68" cm="1">
        <f t="array" ref="L886">IFERROR(IF($A886=$A885,0,SUM(_xlfn._xlws.FILTER($E886:$E896,($A886:$A896=$A886)*($J886:$J896=L$42)))),0)</f>
        <v>0</v>
      </c>
      <c r="M886" s="68" cm="1">
        <f t="array" ref="M886">IFERROR(IF($A886=$A885,0,SUM(_xlfn._xlws.FILTER($E886:$E896,($A886:$A896=$A886)*($J886:$J896=M$42)))),0)</f>
        <v>0</v>
      </c>
      <c r="N886" s="68" cm="1">
        <f t="array" ref="N886">IFERROR(IF($A886=$A885,0,SUM(_xlfn._xlws.FILTER($E886:$E896,($A886:$A896=$A886)*($J886:$J896=N$42)))),0)</f>
        <v>0</v>
      </c>
    </row>
    <row r="887" spans="5:14" x14ac:dyDescent="0.3">
      <c r="E887" s="67">
        <f ca="1">IFERROR(C887*D887*_xlfn.XLOOKUP(B887,[1]!TabCalc[Ticker],[1]!TabCalc[Scale]),0)</f>
        <v>0</v>
      </c>
      <c r="F887" s="68" cm="1">
        <f t="array" ref="F887">IF(A887=A886,0,SUM(_xlfn._xlws.FILTER(E887:E897,A887:A897=A887)))</f>
        <v>0</v>
      </c>
      <c r="G887" s="69">
        <f>IF(F887&lt;&gt;0,SUM($F$43:F887),0)</f>
        <v>0</v>
      </c>
      <c r="H887" s="69" cm="1">
        <f t="array" ref="H887">IFERROR(IF(A887=A886,0,SUM(_xlfn._xlws.FILTER(E887:E897,(A887:A897=A887)*(E887:E897&gt;0)))),0)</f>
        <v>0</v>
      </c>
      <c r="I887" s="69" cm="1">
        <f t="array" ref="I887">IFERROR(IF(A887=A886,0,SUM(_xlfn._xlws.FILTER(E887:E897,(A887:A897=A887)*(F887&lt;0)))),0)</f>
        <v>0</v>
      </c>
      <c r="J887" s="81" t="str">
        <f ca="1">IFERROR(_xlfn.XLOOKUP(B887,[1]!TabCalc[Ticker],[1]!TabCalc[Cur]),"")</f>
        <v/>
      </c>
      <c r="K887" s="68" cm="1">
        <f t="array" ref="K887">IFERROR(IF($A887=$A886,0,SUM(_xlfn._xlws.FILTER($E887:$E897,($A887:$A897=$A887)*($J887:$J897=K$42)))),0)</f>
        <v>0</v>
      </c>
      <c r="L887" s="68" cm="1">
        <f t="array" ref="L887">IFERROR(IF($A887=$A886,0,SUM(_xlfn._xlws.FILTER($E887:$E897,($A887:$A897=$A887)*($J887:$J897=L$42)))),0)</f>
        <v>0</v>
      </c>
      <c r="M887" s="68" cm="1">
        <f t="array" ref="M887">IFERROR(IF($A887=$A886,0,SUM(_xlfn._xlws.FILTER($E887:$E897,($A887:$A897=$A887)*($J887:$J897=M$42)))),0)</f>
        <v>0</v>
      </c>
      <c r="N887" s="68" cm="1">
        <f t="array" ref="N887">IFERROR(IF($A887=$A886,0,SUM(_xlfn._xlws.FILTER($E887:$E897,($A887:$A897=$A887)*($J887:$J897=N$42)))),0)</f>
        <v>0</v>
      </c>
    </row>
    <row r="888" spans="5:14" x14ac:dyDescent="0.3">
      <c r="E888" s="67">
        <f ca="1">IFERROR(C888*D888*_xlfn.XLOOKUP(B888,[1]!TabCalc[Ticker],[1]!TabCalc[Scale]),0)</f>
        <v>0</v>
      </c>
      <c r="F888" s="68" cm="1">
        <f t="array" ref="F888">IF(A888=A887,0,SUM(_xlfn._xlws.FILTER(E888:E898,A888:A898=A888)))</f>
        <v>0</v>
      </c>
      <c r="G888" s="69">
        <f>IF(F888&lt;&gt;0,SUM($F$43:F888),0)</f>
        <v>0</v>
      </c>
      <c r="H888" s="69" cm="1">
        <f t="array" ref="H888">IFERROR(IF(A888=A887,0,SUM(_xlfn._xlws.FILTER(E888:E898,(A888:A898=A888)*(E888:E898&gt;0)))),0)</f>
        <v>0</v>
      </c>
      <c r="I888" s="69" cm="1">
        <f t="array" ref="I888">IFERROR(IF(A888=A887,0,SUM(_xlfn._xlws.FILTER(E888:E898,(A888:A898=A888)*(F888&lt;0)))),0)</f>
        <v>0</v>
      </c>
      <c r="J888" s="81" t="str">
        <f ca="1">IFERROR(_xlfn.XLOOKUP(B888,[1]!TabCalc[Ticker],[1]!TabCalc[Cur]),"")</f>
        <v/>
      </c>
      <c r="K888" s="68" cm="1">
        <f t="array" ref="K888">IFERROR(IF($A888=$A887,0,SUM(_xlfn._xlws.FILTER($E888:$E898,($A888:$A898=$A888)*($J888:$J898=K$42)))),0)</f>
        <v>0</v>
      </c>
      <c r="L888" s="68" cm="1">
        <f t="array" ref="L888">IFERROR(IF($A888=$A887,0,SUM(_xlfn._xlws.FILTER($E888:$E898,($A888:$A898=$A888)*($J888:$J898=L$42)))),0)</f>
        <v>0</v>
      </c>
      <c r="M888" s="68" cm="1">
        <f t="array" ref="M888">IFERROR(IF($A888=$A887,0,SUM(_xlfn._xlws.FILTER($E888:$E898,($A888:$A898=$A888)*($J888:$J898=M$42)))),0)</f>
        <v>0</v>
      </c>
      <c r="N888" s="68" cm="1">
        <f t="array" ref="N888">IFERROR(IF($A888=$A887,0,SUM(_xlfn._xlws.FILTER($E888:$E898,($A888:$A898=$A888)*($J888:$J898=N$42)))),0)</f>
        <v>0</v>
      </c>
    </row>
    <row r="889" spans="5:14" x14ac:dyDescent="0.3">
      <c r="E889" s="67">
        <f ca="1">IFERROR(C889*D889*_xlfn.XLOOKUP(B889,[1]!TabCalc[Ticker],[1]!TabCalc[Scale]),0)</f>
        <v>0</v>
      </c>
      <c r="F889" s="68" cm="1">
        <f t="array" ref="F889">IF(A889=A888,0,SUM(_xlfn._xlws.FILTER(E889:E899,A889:A899=A889)))</f>
        <v>0</v>
      </c>
      <c r="G889" s="69">
        <f>IF(F889&lt;&gt;0,SUM($F$43:F889),0)</f>
        <v>0</v>
      </c>
      <c r="H889" s="69" cm="1">
        <f t="array" ref="H889">IFERROR(IF(A889=A888,0,SUM(_xlfn._xlws.FILTER(E889:E899,(A889:A899=A889)*(E889:E899&gt;0)))),0)</f>
        <v>0</v>
      </c>
      <c r="I889" s="69" cm="1">
        <f t="array" ref="I889">IFERROR(IF(A889=A888,0,SUM(_xlfn._xlws.FILTER(E889:E899,(A889:A899=A889)*(F889&lt;0)))),0)</f>
        <v>0</v>
      </c>
      <c r="J889" s="81" t="str">
        <f ca="1">IFERROR(_xlfn.XLOOKUP(B889,[1]!TabCalc[Ticker],[1]!TabCalc[Cur]),"")</f>
        <v/>
      </c>
      <c r="K889" s="68" cm="1">
        <f t="array" ref="K889">IFERROR(IF($A889=$A888,0,SUM(_xlfn._xlws.FILTER($E889:$E899,($A889:$A899=$A889)*($J889:$J899=K$42)))),0)</f>
        <v>0</v>
      </c>
      <c r="L889" s="68" cm="1">
        <f t="array" ref="L889">IFERROR(IF($A889=$A888,0,SUM(_xlfn._xlws.FILTER($E889:$E899,($A889:$A899=$A889)*($J889:$J899=L$42)))),0)</f>
        <v>0</v>
      </c>
      <c r="M889" s="68" cm="1">
        <f t="array" ref="M889">IFERROR(IF($A889=$A888,0,SUM(_xlfn._xlws.FILTER($E889:$E899,($A889:$A899=$A889)*($J889:$J899=M$42)))),0)</f>
        <v>0</v>
      </c>
      <c r="N889" s="68" cm="1">
        <f t="array" ref="N889">IFERROR(IF($A889=$A888,0,SUM(_xlfn._xlws.FILTER($E889:$E899,($A889:$A899=$A889)*($J889:$J899=N$42)))),0)</f>
        <v>0</v>
      </c>
    </row>
    <row r="890" spans="5:14" x14ac:dyDescent="0.3">
      <c r="E890" s="67">
        <f ca="1">IFERROR(C890*D890*_xlfn.XLOOKUP(B890,[1]!TabCalc[Ticker],[1]!TabCalc[Scale]),0)</f>
        <v>0</v>
      </c>
      <c r="F890" s="68" cm="1">
        <f t="array" ref="F890">IF(A890=A889,0,SUM(_xlfn._xlws.FILTER(E890:E900,A890:A900=A890)))</f>
        <v>0</v>
      </c>
      <c r="G890" s="69">
        <f>IF(F890&lt;&gt;0,SUM($F$43:F890),0)</f>
        <v>0</v>
      </c>
      <c r="H890" s="69" cm="1">
        <f t="array" ref="H890">IFERROR(IF(A890=A889,0,SUM(_xlfn._xlws.FILTER(E890:E900,(A890:A900=A890)*(E890:E900&gt;0)))),0)</f>
        <v>0</v>
      </c>
      <c r="I890" s="69" cm="1">
        <f t="array" ref="I890">IFERROR(IF(A890=A889,0,SUM(_xlfn._xlws.FILTER(E890:E900,(A890:A900=A890)*(F890&lt;0)))),0)</f>
        <v>0</v>
      </c>
      <c r="J890" s="81" t="str">
        <f ca="1">IFERROR(_xlfn.XLOOKUP(B890,[1]!TabCalc[Ticker],[1]!TabCalc[Cur]),"")</f>
        <v/>
      </c>
      <c r="K890" s="68" cm="1">
        <f t="array" ref="K890">IFERROR(IF($A890=$A889,0,SUM(_xlfn._xlws.FILTER($E890:$E900,($A890:$A900=$A890)*($J890:$J900=K$42)))),0)</f>
        <v>0</v>
      </c>
      <c r="L890" s="68" cm="1">
        <f t="array" ref="L890">IFERROR(IF($A890=$A889,0,SUM(_xlfn._xlws.FILTER($E890:$E900,($A890:$A900=$A890)*($J890:$J900=L$42)))),0)</f>
        <v>0</v>
      </c>
      <c r="M890" s="68" cm="1">
        <f t="array" ref="M890">IFERROR(IF($A890=$A889,0,SUM(_xlfn._xlws.FILTER($E890:$E900,($A890:$A900=$A890)*($J890:$J900=M$42)))),0)</f>
        <v>0</v>
      </c>
      <c r="N890" s="68" cm="1">
        <f t="array" ref="N890">IFERROR(IF($A890=$A889,0,SUM(_xlfn._xlws.FILTER($E890:$E900,($A890:$A900=$A890)*($J890:$J900=N$42)))),0)</f>
        <v>0</v>
      </c>
    </row>
    <row r="891" spans="5:14" x14ac:dyDescent="0.3">
      <c r="E891" s="67">
        <f ca="1">IFERROR(C891*D891*_xlfn.XLOOKUP(B891,[1]!TabCalc[Ticker],[1]!TabCalc[Scale]),0)</f>
        <v>0</v>
      </c>
      <c r="F891" s="68" cm="1">
        <f t="array" ref="F891">IF(A891=A890,0,SUM(_xlfn._xlws.FILTER(E891:E901,A891:A901=A891)))</f>
        <v>0</v>
      </c>
      <c r="G891" s="69">
        <f>IF(F891&lt;&gt;0,SUM($F$43:F891),0)</f>
        <v>0</v>
      </c>
      <c r="H891" s="69" cm="1">
        <f t="array" ref="H891">IFERROR(IF(A891=A890,0,SUM(_xlfn._xlws.FILTER(E891:E901,(A891:A901=A891)*(E891:E901&gt;0)))),0)</f>
        <v>0</v>
      </c>
      <c r="I891" s="69" cm="1">
        <f t="array" ref="I891">IFERROR(IF(A891=A890,0,SUM(_xlfn._xlws.FILTER(E891:E901,(A891:A901=A891)*(F891&lt;0)))),0)</f>
        <v>0</v>
      </c>
      <c r="J891" s="81" t="str">
        <f ca="1">IFERROR(_xlfn.XLOOKUP(B891,[1]!TabCalc[Ticker],[1]!TabCalc[Cur]),"")</f>
        <v/>
      </c>
      <c r="K891" s="68" cm="1">
        <f t="array" ref="K891">IFERROR(IF($A891=$A890,0,SUM(_xlfn._xlws.FILTER($E891:$E901,($A891:$A901=$A891)*($J891:$J901=K$42)))),0)</f>
        <v>0</v>
      </c>
      <c r="L891" s="68" cm="1">
        <f t="array" ref="L891">IFERROR(IF($A891=$A890,0,SUM(_xlfn._xlws.FILTER($E891:$E901,($A891:$A901=$A891)*($J891:$J901=L$42)))),0)</f>
        <v>0</v>
      </c>
      <c r="M891" s="68" cm="1">
        <f t="array" ref="M891">IFERROR(IF($A891=$A890,0,SUM(_xlfn._xlws.FILTER($E891:$E901,($A891:$A901=$A891)*($J891:$J901=M$42)))),0)</f>
        <v>0</v>
      </c>
      <c r="N891" s="68" cm="1">
        <f t="array" ref="N891">IFERROR(IF($A891=$A890,0,SUM(_xlfn._xlws.FILTER($E891:$E901,($A891:$A901=$A891)*($J891:$J901=N$42)))),0)</f>
        <v>0</v>
      </c>
    </row>
    <row r="892" spans="5:14" x14ac:dyDescent="0.3">
      <c r="E892" s="67">
        <f ca="1">IFERROR(C892*D892*_xlfn.XLOOKUP(B892,[1]!TabCalc[Ticker],[1]!TabCalc[Scale]),0)</f>
        <v>0</v>
      </c>
      <c r="F892" s="68" cm="1">
        <f t="array" ref="F892">IF(A892=A891,0,SUM(_xlfn._xlws.FILTER(E892:E902,A892:A902=A892)))</f>
        <v>0</v>
      </c>
      <c r="G892" s="69">
        <f>IF(F892&lt;&gt;0,SUM($F$43:F892),0)</f>
        <v>0</v>
      </c>
      <c r="H892" s="69" cm="1">
        <f t="array" ref="H892">IFERROR(IF(A892=A891,0,SUM(_xlfn._xlws.FILTER(E892:E902,(A892:A902=A892)*(E892:E902&gt;0)))),0)</f>
        <v>0</v>
      </c>
      <c r="I892" s="69" cm="1">
        <f t="array" ref="I892">IFERROR(IF(A892=A891,0,SUM(_xlfn._xlws.FILTER(E892:E902,(A892:A902=A892)*(F892&lt;0)))),0)</f>
        <v>0</v>
      </c>
      <c r="J892" s="81" t="str">
        <f ca="1">IFERROR(_xlfn.XLOOKUP(B892,[1]!TabCalc[Ticker],[1]!TabCalc[Cur]),"")</f>
        <v/>
      </c>
      <c r="K892" s="68" cm="1">
        <f t="array" ref="K892">IFERROR(IF($A892=$A891,0,SUM(_xlfn._xlws.FILTER($E892:$E902,($A892:$A902=$A892)*($J892:$J902=K$42)))),0)</f>
        <v>0</v>
      </c>
      <c r="L892" s="68" cm="1">
        <f t="array" ref="L892">IFERROR(IF($A892=$A891,0,SUM(_xlfn._xlws.FILTER($E892:$E902,($A892:$A902=$A892)*($J892:$J902=L$42)))),0)</f>
        <v>0</v>
      </c>
      <c r="M892" s="68" cm="1">
        <f t="array" ref="M892">IFERROR(IF($A892=$A891,0,SUM(_xlfn._xlws.FILTER($E892:$E902,($A892:$A902=$A892)*($J892:$J902=M$42)))),0)</f>
        <v>0</v>
      </c>
      <c r="N892" s="68" cm="1">
        <f t="array" ref="N892">IFERROR(IF($A892=$A891,0,SUM(_xlfn._xlws.FILTER($E892:$E902,($A892:$A902=$A892)*($J892:$J902=N$42)))),0)</f>
        <v>0</v>
      </c>
    </row>
    <row r="893" spans="5:14" x14ac:dyDescent="0.3">
      <c r="E893" s="67">
        <f ca="1">IFERROR(C893*D893*_xlfn.XLOOKUP(B893,[1]!TabCalc[Ticker],[1]!TabCalc[Scale]),0)</f>
        <v>0</v>
      </c>
      <c r="F893" s="68" cm="1">
        <f t="array" ref="F893">IF(A893=A892,0,SUM(_xlfn._xlws.FILTER(E893:E903,A893:A903=A893)))</f>
        <v>0</v>
      </c>
      <c r="G893" s="69">
        <f>IF(F893&lt;&gt;0,SUM($F$43:F893),0)</f>
        <v>0</v>
      </c>
      <c r="H893" s="69" cm="1">
        <f t="array" ref="H893">IFERROR(IF(A893=A892,0,SUM(_xlfn._xlws.FILTER(E893:E903,(A893:A903=A893)*(E893:E903&gt;0)))),0)</f>
        <v>0</v>
      </c>
      <c r="I893" s="69" cm="1">
        <f t="array" ref="I893">IFERROR(IF(A893=A892,0,SUM(_xlfn._xlws.FILTER(E893:E903,(A893:A903=A893)*(F893&lt;0)))),0)</f>
        <v>0</v>
      </c>
      <c r="J893" s="81" t="str">
        <f ca="1">IFERROR(_xlfn.XLOOKUP(B893,[1]!TabCalc[Ticker],[1]!TabCalc[Cur]),"")</f>
        <v/>
      </c>
      <c r="K893" s="68" cm="1">
        <f t="array" ref="K893">IFERROR(IF($A893=$A892,0,SUM(_xlfn._xlws.FILTER($E893:$E903,($A893:$A903=$A893)*($J893:$J903=K$42)))),0)</f>
        <v>0</v>
      </c>
      <c r="L893" s="68" cm="1">
        <f t="array" ref="L893">IFERROR(IF($A893=$A892,0,SUM(_xlfn._xlws.FILTER($E893:$E903,($A893:$A903=$A893)*($J893:$J903=L$42)))),0)</f>
        <v>0</v>
      </c>
      <c r="M893" s="68" cm="1">
        <f t="array" ref="M893">IFERROR(IF($A893=$A892,0,SUM(_xlfn._xlws.FILTER($E893:$E903,($A893:$A903=$A893)*($J893:$J903=M$42)))),0)</f>
        <v>0</v>
      </c>
      <c r="N893" s="68" cm="1">
        <f t="array" ref="N893">IFERROR(IF($A893=$A892,0,SUM(_xlfn._xlws.FILTER($E893:$E903,($A893:$A903=$A893)*($J893:$J903=N$42)))),0)</f>
        <v>0</v>
      </c>
    </row>
    <row r="894" spans="5:14" x14ac:dyDescent="0.3">
      <c r="E894" s="67">
        <f ca="1">IFERROR(C894*D894*_xlfn.XLOOKUP(B894,[1]!TabCalc[Ticker],[1]!TabCalc[Scale]),0)</f>
        <v>0</v>
      </c>
      <c r="F894" s="68" cm="1">
        <f t="array" ref="F894">IF(A894=A893,0,SUM(_xlfn._xlws.FILTER(E894:E904,A894:A904=A894)))</f>
        <v>0</v>
      </c>
      <c r="G894" s="69">
        <f>IF(F894&lt;&gt;0,SUM($F$43:F894),0)</f>
        <v>0</v>
      </c>
      <c r="H894" s="69" cm="1">
        <f t="array" ref="H894">IFERROR(IF(A894=A893,0,SUM(_xlfn._xlws.FILTER(E894:E904,(A894:A904=A894)*(E894:E904&gt;0)))),0)</f>
        <v>0</v>
      </c>
      <c r="I894" s="69" cm="1">
        <f t="array" ref="I894">IFERROR(IF(A894=A893,0,SUM(_xlfn._xlws.FILTER(E894:E904,(A894:A904=A894)*(F894&lt;0)))),0)</f>
        <v>0</v>
      </c>
      <c r="J894" s="81" t="str">
        <f ca="1">IFERROR(_xlfn.XLOOKUP(B894,[1]!TabCalc[Ticker],[1]!TabCalc[Cur]),"")</f>
        <v/>
      </c>
      <c r="K894" s="68" cm="1">
        <f t="array" ref="K894">IFERROR(IF($A894=$A893,0,SUM(_xlfn._xlws.FILTER($E894:$E904,($A894:$A904=$A894)*($J894:$J904=K$42)))),0)</f>
        <v>0</v>
      </c>
      <c r="L894" s="68" cm="1">
        <f t="array" ref="L894">IFERROR(IF($A894=$A893,0,SUM(_xlfn._xlws.FILTER($E894:$E904,($A894:$A904=$A894)*($J894:$J904=L$42)))),0)</f>
        <v>0</v>
      </c>
      <c r="M894" s="68" cm="1">
        <f t="array" ref="M894">IFERROR(IF($A894=$A893,0,SUM(_xlfn._xlws.FILTER($E894:$E904,($A894:$A904=$A894)*($J894:$J904=M$42)))),0)</f>
        <v>0</v>
      </c>
      <c r="N894" s="68" cm="1">
        <f t="array" ref="N894">IFERROR(IF($A894=$A893,0,SUM(_xlfn._xlws.FILTER($E894:$E904,($A894:$A904=$A894)*($J894:$J904=N$42)))),0)</f>
        <v>0</v>
      </c>
    </row>
    <row r="895" spans="5:14" x14ac:dyDescent="0.3">
      <c r="E895" s="67">
        <f ca="1">IFERROR(C895*D895*_xlfn.XLOOKUP(B895,[1]!TabCalc[Ticker],[1]!TabCalc[Scale]),0)</f>
        <v>0</v>
      </c>
      <c r="F895" s="68" cm="1">
        <f t="array" ref="F895">IF(A895=A894,0,SUM(_xlfn._xlws.FILTER(E895:E905,A895:A905=A895)))</f>
        <v>0</v>
      </c>
      <c r="G895" s="69">
        <f>IF(F895&lt;&gt;0,SUM($F$43:F895),0)</f>
        <v>0</v>
      </c>
      <c r="H895" s="69" cm="1">
        <f t="array" ref="H895">IFERROR(IF(A895=A894,0,SUM(_xlfn._xlws.FILTER(E895:E905,(A895:A905=A895)*(E895:E905&gt;0)))),0)</f>
        <v>0</v>
      </c>
      <c r="I895" s="69" cm="1">
        <f t="array" ref="I895">IFERROR(IF(A895=A894,0,SUM(_xlfn._xlws.FILTER(E895:E905,(A895:A905=A895)*(F895&lt;0)))),0)</f>
        <v>0</v>
      </c>
      <c r="J895" s="81" t="str">
        <f ca="1">IFERROR(_xlfn.XLOOKUP(B895,[1]!TabCalc[Ticker],[1]!TabCalc[Cur]),"")</f>
        <v/>
      </c>
      <c r="K895" s="68" cm="1">
        <f t="array" ref="K895">IFERROR(IF($A895=$A894,0,SUM(_xlfn._xlws.FILTER($E895:$E905,($A895:$A905=$A895)*($J895:$J905=K$42)))),0)</f>
        <v>0</v>
      </c>
      <c r="L895" s="68" cm="1">
        <f t="array" ref="L895">IFERROR(IF($A895=$A894,0,SUM(_xlfn._xlws.FILTER($E895:$E905,($A895:$A905=$A895)*($J895:$J905=L$42)))),0)</f>
        <v>0</v>
      </c>
      <c r="M895" s="68" cm="1">
        <f t="array" ref="M895">IFERROR(IF($A895=$A894,0,SUM(_xlfn._xlws.FILTER($E895:$E905,($A895:$A905=$A895)*($J895:$J905=M$42)))),0)</f>
        <v>0</v>
      </c>
      <c r="N895" s="68" cm="1">
        <f t="array" ref="N895">IFERROR(IF($A895=$A894,0,SUM(_xlfn._xlws.FILTER($E895:$E905,($A895:$A905=$A895)*($J895:$J905=N$42)))),0)</f>
        <v>0</v>
      </c>
    </row>
    <row r="896" spans="5:14" x14ac:dyDescent="0.3">
      <c r="E896" s="67">
        <f ca="1">IFERROR(C896*D896*_xlfn.XLOOKUP(B896,[1]!TabCalc[Ticker],[1]!TabCalc[Scale]),0)</f>
        <v>0</v>
      </c>
      <c r="F896" s="68" cm="1">
        <f t="array" ref="F896">IF(A896=A895,0,SUM(_xlfn._xlws.FILTER(E896:E906,A896:A906=A896)))</f>
        <v>0</v>
      </c>
      <c r="G896" s="69">
        <f>IF(F896&lt;&gt;0,SUM($F$43:F896),0)</f>
        <v>0</v>
      </c>
      <c r="H896" s="69" cm="1">
        <f t="array" ref="H896">IFERROR(IF(A896=A895,0,SUM(_xlfn._xlws.FILTER(E896:E906,(A896:A906=A896)*(E896:E906&gt;0)))),0)</f>
        <v>0</v>
      </c>
      <c r="I896" s="69" cm="1">
        <f t="array" ref="I896">IFERROR(IF(A896=A895,0,SUM(_xlfn._xlws.FILTER(E896:E906,(A896:A906=A896)*(F896&lt;0)))),0)</f>
        <v>0</v>
      </c>
      <c r="J896" s="81" t="str">
        <f ca="1">IFERROR(_xlfn.XLOOKUP(B896,[1]!TabCalc[Ticker],[1]!TabCalc[Cur]),"")</f>
        <v/>
      </c>
      <c r="K896" s="68" cm="1">
        <f t="array" ref="K896">IFERROR(IF($A896=$A895,0,SUM(_xlfn._xlws.FILTER($E896:$E906,($A896:$A906=$A896)*($J896:$J906=K$42)))),0)</f>
        <v>0</v>
      </c>
      <c r="L896" s="68" cm="1">
        <f t="array" ref="L896">IFERROR(IF($A896=$A895,0,SUM(_xlfn._xlws.FILTER($E896:$E906,($A896:$A906=$A896)*($J896:$J906=L$42)))),0)</f>
        <v>0</v>
      </c>
      <c r="M896" s="68" cm="1">
        <f t="array" ref="M896">IFERROR(IF($A896=$A895,0,SUM(_xlfn._xlws.FILTER($E896:$E906,($A896:$A906=$A896)*($J896:$J906=M$42)))),0)</f>
        <v>0</v>
      </c>
      <c r="N896" s="68" cm="1">
        <f t="array" ref="N896">IFERROR(IF($A896=$A895,0,SUM(_xlfn._xlws.FILTER($E896:$E906,($A896:$A906=$A896)*($J896:$J906=N$42)))),0)</f>
        <v>0</v>
      </c>
    </row>
    <row r="897" spans="5:14" x14ac:dyDescent="0.3">
      <c r="E897" s="67">
        <f ca="1">IFERROR(C897*D897*_xlfn.XLOOKUP(B897,[1]!TabCalc[Ticker],[1]!TabCalc[Scale]),0)</f>
        <v>0</v>
      </c>
      <c r="F897" s="68" cm="1">
        <f t="array" ref="F897">IF(A897=A896,0,SUM(_xlfn._xlws.FILTER(E897:E907,A897:A907=A897)))</f>
        <v>0</v>
      </c>
      <c r="G897" s="69">
        <f>IF(F897&lt;&gt;0,SUM($F$43:F897),0)</f>
        <v>0</v>
      </c>
      <c r="H897" s="69" cm="1">
        <f t="array" ref="H897">IFERROR(IF(A897=A896,0,SUM(_xlfn._xlws.FILTER(E897:E907,(A897:A907=A897)*(E897:E907&gt;0)))),0)</f>
        <v>0</v>
      </c>
      <c r="I897" s="69" cm="1">
        <f t="array" ref="I897">IFERROR(IF(A897=A896,0,SUM(_xlfn._xlws.FILTER(E897:E907,(A897:A907=A897)*(F897&lt;0)))),0)</f>
        <v>0</v>
      </c>
      <c r="J897" s="81" t="str">
        <f ca="1">IFERROR(_xlfn.XLOOKUP(B897,[1]!TabCalc[Ticker],[1]!TabCalc[Cur]),"")</f>
        <v/>
      </c>
      <c r="K897" s="68" cm="1">
        <f t="array" ref="K897">IFERROR(IF($A897=$A896,0,SUM(_xlfn._xlws.FILTER($E897:$E907,($A897:$A907=$A897)*($J897:$J907=K$42)))),0)</f>
        <v>0</v>
      </c>
      <c r="L897" s="68" cm="1">
        <f t="array" ref="L897">IFERROR(IF($A897=$A896,0,SUM(_xlfn._xlws.FILTER($E897:$E907,($A897:$A907=$A897)*($J897:$J907=L$42)))),0)</f>
        <v>0</v>
      </c>
      <c r="M897" s="68" cm="1">
        <f t="array" ref="M897">IFERROR(IF($A897=$A896,0,SUM(_xlfn._xlws.FILTER($E897:$E907,($A897:$A907=$A897)*($J897:$J907=M$42)))),0)</f>
        <v>0</v>
      </c>
      <c r="N897" s="68" cm="1">
        <f t="array" ref="N897">IFERROR(IF($A897=$A896,0,SUM(_xlfn._xlws.FILTER($E897:$E907,($A897:$A907=$A897)*($J897:$J907=N$42)))),0)</f>
        <v>0</v>
      </c>
    </row>
    <row r="898" spans="5:14" x14ac:dyDescent="0.3">
      <c r="E898" s="67">
        <f ca="1">IFERROR(C898*D898*_xlfn.XLOOKUP(B898,[1]!TabCalc[Ticker],[1]!TabCalc[Scale]),0)</f>
        <v>0</v>
      </c>
      <c r="F898" s="68" cm="1">
        <f t="array" ref="F898">IF(A898=A897,0,SUM(_xlfn._xlws.FILTER(E898:E908,A898:A908=A898)))</f>
        <v>0</v>
      </c>
      <c r="G898" s="69">
        <f>IF(F898&lt;&gt;0,SUM($F$43:F898),0)</f>
        <v>0</v>
      </c>
      <c r="H898" s="69" cm="1">
        <f t="array" ref="H898">IFERROR(IF(A898=A897,0,SUM(_xlfn._xlws.FILTER(E898:E908,(A898:A908=A898)*(E898:E908&gt;0)))),0)</f>
        <v>0</v>
      </c>
      <c r="I898" s="69" cm="1">
        <f t="array" ref="I898">IFERROR(IF(A898=A897,0,SUM(_xlfn._xlws.FILTER(E898:E908,(A898:A908=A898)*(F898&lt;0)))),0)</f>
        <v>0</v>
      </c>
      <c r="J898" s="81" t="str">
        <f ca="1">IFERROR(_xlfn.XLOOKUP(B898,[1]!TabCalc[Ticker],[1]!TabCalc[Cur]),"")</f>
        <v/>
      </c>
      <c r="K898" s="68" cm="1">
        <f t="array" ref="K898">IFERROR(IF($A898=$A897,0,SUM(_xlfn._xlws.FILTER($E898:$E908,($A898:$A908=$A898)*($J898:$J908=K$42)))),0)</f>
        <v>0</v>
      </c>
      <c r="L898" s="68" cm="1">
        <f t="array" ref="L898">IFERROR(IF($A898=$A897,0,SUM(_xlfn._xlws.FILTER($E898:$E908,($A898:$A908=$A898)*($J898:$J908=L$42)))),0)</f>
        <v>0</v>
      </c>
      <c r="M898" s="68" cm="1">
        <f t="array" ref="M898">IFERROR(IF($A898=$A897,0,SUM(_xlfn._xlws.FILTER($E898:$E908,($A898:$A908=$A898)*($J898:$J908=M$42)))),0)</f>
        <v>0</v>
      </c>
      <c r="N898" s="68" cm="1">
        <f t="array" ref="N898">IFERROR(IF($A898=$A897,0,SUM(_xlfn._xlws.FILTER($E898:$E908,($A898:$A908=$A898)*($J898:$J908=N$42)))),0)</f>
        <v>0</v>
      </c>
    </row>
    <row r="899" spans="5:14" x14ac:dyDescent="0.3">
      <c r="E899" s="67">
        <f ca="1">IFERROR(C899*D899*_xlfn.XLOOKUP(B899,[1]!TabCalc[Ticker],[1]!TabCalc[Scale]),0)</f>
        <v>0</v>
      </c>
      <c r="F899" s="68" cm="1">
        <f t="array" ref="F899">IF(A899=A898,0,SUM(_xlfn._xlws.FILTER(E899:E909,A899:A909=A899)))</f>
        <v>0</v>
      </c>
      <c r="G899" s="69">
        <f>IF(F899&lt;&gt;0,SUM($F$43:F899),0)</f>
        <v>0</v>
      </c>
      <c r="H899" s="69" cm="1">
        <f t="array" ref="H899">IFERROR(IF(A899=A898,0,SUM(_xlfn._xlws.FILTER(E899:E909,(A899:A909=A899)*(E899:E909&gt;0)))),0)</f>
        <v>0</v>
      </c>
      <c r="I899" s="69" cm="1">
        <f t="array" ref="I899">IFERROR(IF(A899=A898,0,SUM(_xlfn._xlws.FILTER(E899:E909,(A899:A909=A899)*(F899&lt;0)))),0)</f>
        <v>0</v>
      </c>
      <c r="J899" s="81" t="str">
        <f ca="1">IFERROR(_xlfn.XLOOKUP(B899,[1]!TabCalc[Ticker],[1]!TabCalc[Cur]),"")</f>
        <v/>
      </c>
      <c r="K899" s="68" cm="1">
        <f t="array" ref="K899">IFERROR(IF($A899=$A898,0,SUM(_xlfn._xlws.FILTER($E899:$E909,($A899:$A909=$A899)*($J899:$J909=K$42)))),0)</f>
        <v>0</v>
      </c>
      <c r="L899" s="68" cm="1">
        <f t="array" ref="L899">IFERROR(IF($A899=$A898,0,SUM(_xlfn._xlws.FILTER($E899:$E909,($A899:$A909=$A899)*($J899:$J909=L$42)))),0)</f>
        <v>0</v>
      </c>
      <c r="M899" s="68" cm="1">
        <f t="array" ref="M899">IFERROR(IF($A899=$A898,0,SUM(_xlfn._xlws.FILTER($E899:$E909,($A899:$A909=$A899)*($J899:$J909=M$42)))),0)</f>
        <v>0</v>
      </c>
      <c r="N899" s="68" cm="1">
        <f t="array" ref="N899">IFERROR(IF($A899=$A898,0,SUM(_xlfn._xlws.FILTER($E899:$E909,($A899:$A909=$A899)*($J899:$J909=N$42)))),0)</f>
        <v>0</v>
      </c>
    </row>
    <row r="900" spans="5:14" x14ac:dyDescent="0.3">
      <c r="E900" s="67">
        <f ca="1">IFERROR(C900*D900*_xlfn.XLOOKUP(B900,[1]!TabCalc[Ticker],[1]!TabCalc[Scale]),0)</f>
        <v>0</v>
      </c>
      <c r="F900" s="68" cm="1">
        <f t="array" ref="F900">IF(A900=A899,0,SUM(_xlfn._xlws.FILTER(E900:E910,A900:A910=A900)))</f>
        <v>0</v>
      </c>
      <c r="G900" s="69">
        <f>IF(F900&lt;&gt;0,SUM($F$43:F900),0)</f>
        <v>0</v>
      </c>
      <c r="H900" s="69" cm="1">
        <f t="array" ref="H900">IFERROR(IF(A900=A899,0,SUM(_xlfn._xlws.FILTER(E900:E910,(A900:A910=A900)*(E900:E910&gt;0)))),0)</f>
        <v>0</v>
      </c>
      <c r="I900" s="69" cm="1">
        <f t="array" ref="I900">IFERROR(IF(A900=A899,0,SUM(_xlfn._xlws.FILTER(E900:E910,(A900:A910=A900)*(F900&lt;0)))),0)</f>
        <v>0</v>
      </c>
      <c r="J900" s="81" t="str">
        <f ca="1">IFERROR(_xlfn.XLOOKUP(B900,[1]!TabCalc[Ticker],[1]!TabCalc[Cur]),"")</f>
        <v/>
      </c>
      <c r="K900" s="68" cm="1">
        <f t="array" ref="K900">IFERROR(IF($A900=$A899,0,SUM(_xlfn._xlws.FILTER($E900:$E910,($A900:$A910=$A900)*($J900:$J910=K$42)))),0)</f>
        <v>0</v>
      </c>
      <c r="L900" s="68" cm="1">
        <f t="array" ref="L900">IFERROR(IF($A900=$A899,0,SUM(_xlfn._xlws.FILTER($E900:$E910,($A900:$A910=$A900)*($J900:$J910=L$42)))),0)</f>
        <v>0</v>
      </c>
      <c r="M900" s="68" cm="1">
        <f t="array" ref="M900">IFERROR(IF($A900=$A899,0,SUM(_xlfn._xlws.FILTER($E900:$E910,($A900:$A910=$A900)*($J900:$J910=M$42)))),0)</f>
        <v>0</v>
      </c>
      <c r="N900" s="68" cm="1">
        <f t="array" ref="N900">IFERROR(IF($A900=$A899,0,SUM(_xlfn._xlws.FILTER($E900:$E910,($A900:$A910=$A900)*($J900:$J910=N$42)))),0)</f>
        <v>0</v>
      </c>
    </row>
    <row r="901" spans="5:14" x14ac:dyDescent="0.3">
      <c r="E901" s="67">
        <f ca="1">IFERROR(C901*D901*_xlfn.XLOOKUP(B901,[1]!TabCalc[Ticker],[1]!TabCalc[Scale]),0)</f>
        <v>0</v>
      </c>
      <c r="F901" s="68" cm="1">
        <f t="array" ref="F901">IF(A901=A900,0,SUM(_xlfn._xlws.FILTER(E901:E911,A901:A911=A901)))</f>
        <v>0</v>
      </c>
      <c r="G901" s="69">
        <f>IF(F901&lt;&gt;0,SUM($F$43:F901),0)</f>
        <v>0</v>
      </c>
      <c r="H901" s="69" cm="1">
        <f t="array" ref="H901">IFERROR(IF(A901=A900,0,SUM(_xlfn._xlws.FILTER(E901:E911,(A901:A911=A901)*(E901:E911&gt;0)))),0)</f>
        <v>0</v>
      </c>
      <c r="I901" s="69" cm="1">
        <f t="array" ref="I901">IFERROR(IF(A901=A900,0,SUM(_xlfn._xlws.FILTER(E901:E911,(A901:A911=A901)*(F901&lt;0)))),0)</f>
        <v>0</v>
      </c>
      <c r="J901" s="81" t="str">
        <f ca="1">IFERROR(_xlfn.XLOOKUP(B901,[1]!TabCalc[Ticker],[1]!TabCalc[Cur]),"")</f>
        <v/>
      </c>
      <c r="K901" s="68" cm="1">
        <f t="array" ref="K901">IFERROR(IF($A901=$A900,0,SUM(_xlfn._xlws.FILTER($E901:$E911,($A901:$A911=$A901)*($J901:$J911=K$42)))),0)</f>
        <v>0</v>
      </c>
      <c r="L901" s="68" cm="1">
        <f t="array" ref="L901">IFERROR(IF($A901=$A900,0,SUM(_xlfn._xlws.FILTER($E901:$E911,($A901:$A911=$A901)*($J901:$J911=L$42)))),0)</f>
        <v>0</v>
      </c>
      <c r="M901" s="68" cm="1">
        <f t="array" ref="M901">IFERROR(IF($A901=$A900,0,SUM(_xlfn._xlws.FILTER($E901:$E911,($A901:$A911=$A901)*($J901:$J911=M$42)))),0)</f>
        <v>0</v>
      </c>
      <c r="N901" s="68" cm="1">
        <f t="array" ref="N901">IFERROR(IF($A901=$A900,0,SUM(_xlfn._xlws.FILTER($E901:$E911,($A901:$A911=$A901)*($J901:$J911=N$42)))),0)</f>
        <v>0</v>
      </c>
    </row>
    <row r="902" spans="5:14" x14ac:dyDescent="0.3">
      <c r="E902" s="67">
        <f ca="1">IFERROR(C902*D902*_xlfn.XLOOKUP(B902,[1]!TabCalc[Ticker],[1]!TabCalc[Scale]),0)</f>
        <v>0</v>
      </c>
      <c r="F902" s="68" cm="1">
        <f t="array" ref="F902">IF(A902=A901,0,SUM(_xlfn._xlws.FILTER(E902:E912,A902:A912=A902)))</f>
        <v>0</v>
      </c>
      <c r="G902" s="69">
        <f>IF(F902&lt;&gt;0,SUM($F$43:F902),0)</f>
        <v>0</v>
      </c>
      <c r="H902" s="69" cm="1">
        <f t="array" ref="H902">IFERROR(IF(A902=A901,0,SUM(_xlfn._xlws.FILTER(E902:E912,(A902:A912=A902)*(E902:E912&gt;0)))),0)</f>
        <v>0</v>
      </c>
      <c r="I902" s="69" cm="1">
        <f t="array" ref="I902">IFERROR(IF(A902=A901,0,SUM(_xlfn._xlws.FILTER(E902:E912,(A902:A912=A902)*(F902&lt;0)))),0)</f>
        <v>0</v>
      </c>
      <c r="J902" s="81" t="str">
        <f ca="1">IFERROR(_xlfn.XLOOKUP(B902,[1]!TabCalc[Ticker],[1]!TabCalc[Cur]),"")</f>
        <v/>
      </c>
      <c r="K902" s="68" cm="1">
        <f t="array" ref="K902">IFERROR(IF($A902=$A901,0,SUM(_xlfn._xlws.FILTER($E902:$E912,($A902:$A912=$A902)*($J902:$J912=K$42)))),0)</f>
        <v>0</v>
      </c>
      <c r="L902" s="68" cm="1">
        <f t="array" ref="L902">IFERROR(IF($A902=$A901,0,SUM(_xlfn._xlws.FILTER($E902:$E912,($A902:$A912=$A902)*($J902:$J912=L$42)))),0)</f>
        <v>0</v>
      </c>
      <c r="M902" s="68" cm="1">
        <f t="array" ref="M902">IFERROR(IF($A902=$A901,0,SUM(_xlfn._xlws.FILTER($E902:$E912,($A902:$A912=$A902)*($J902:$J912=M$42)))),0)</f>
        <v>0</v>
      </c>
      <c r="N902" s="68" cm="1">
        <f t="array" ref="N902">IFERROR(IF($A902=$A901,0,SUM(_xlfn._xlws.FILTER($E902:$E912,($A902:$A912=$A902)*($J902:$J912=N$42)))),0)</f>
        <v>0</v>
      </c>
    </row>
    <row r="903" spans="5:14" x14ac:dyDescent="0.3">
      <c r="E903" s="67">
        <f ca="1">IFERROR(C903*D903*_xlfn.XLOOKUP(B903,[1]!TabCalc[Ticker],[1]!TabCalc[Scale]),0)</f>
        <v>0</v>
      </c>
      <c r="F903" s="68" cm="1">
        <f t="array" ref="F903">IF(A903=A902,0,SUM(_xlfn._xlws.FILTER(E903:E913,A903:A913=A903)))</f>
        <v>0</v>
      </c>
      <c r="G903" s="69">
        <f>IF(F903&lt;&gt;0,SUM($F$43:F903),0)</f>
        <v>0</v>
      </c>
      <c r="H903" s="69" cm="1">
        <f t="array" ref="H903">IFERROR(IF(A903=A902,0,SUM(_xlfn._xlws.FILTER(E903:E913,(A903:A913=A903)*(E903:E913&gt;0)))),0)</f>
        <v>0</v>
      </c>
      <c r="I903" s="69" cm="1">
        <f t="array" ref="I903">IFERROR(IF(A903=A902,0,SUM(_xlfn._xlws.FILTER(E903:E913,(A903:A913=A903)*(F903&lt;0)))),0)</f>
        <v>0</v>
      </c>
      <c r="J903" s="81" t="str">
        <f ca="1">IFERROR(_xlfn.XLOOKUP(B903,[1]!TabCalc[Ticker],[1]!TabCalc[Cur]),"")</f>
        <v/>
      </c>
      <c r="K903" s="68" cm="1">
        <f t="array" ref="K903">IFERROR(IF($A903=$A902,0,SUM(_xlfn._xlws.FILTER($E903:$E913,($A903:$A913=$A903)*($J903:$J913=K$42)))),0)</f>
        <v>0</v>
      </c>
      <c r="L903" s="68" cm="1">
        <f t="array" ref="L903">IFERROR(IF($A903=$A902,0,SUM(_xlfn._xlws.FILTER($E903:$E913,($A903:$A913=$A903)*($J903:$J913=L$42)))),0)</f>
        <v>0</v>
      </c>
      <c r="M903" s="68" cm="1">
        <f t="array" ref="M903">IFERROR(IF($A903=$A902,0,SUM(_xlfn._xlws.FILTER($E903:$E913,($A903:$A913=$A903)*($J903:$J913=M$42)))),0)</f>
        <v>0</v>
      </c>
      <c r="N903" s="68" cm="1">
        <f t="array" ref="N903">IFERROR(IF($A903=$A902,0,SUM(_xlfn._xlws.FILTER($E903:$E913,($A903:$A913=$A903)*($J903:$J913=N$42)))),0)</f>
        <v>0</v>
      </c>
    </row>
    <row r="904" spans="5:14" x14ac:dyDescent="0.3">
      <c r="E904" s="67">
        <f ca="1">IFERROR(C904*D904*_xlfn.XLOOKUP(B904,[1]!TabCalc[Ticker],[1]!TabCalc[Scale]),0)</f>
        <v>0</v>
      </c>
      <c r="F904" s="68" cm="1">
        <f t="array" ref="F904">IF(A904=A903,0,SUM(_xlfn._xlws.FILTER(E904:E914,A904:A914=A904)))</f>
        <v>0</v>
      </c>
      <c r="G904" s="69">
        <f>IF(F904&lt;&gt;0,SUM($F$43:F904),0)</f>
        <v>0</v>
      </c>
      <c r="H904" s="69" cm="1">
        <f t="array" ref="H904">IFERROR(IF(A904=A903,0,SUM(_xlfn._xlws.FILTER(E904:E914,(A904:A914=A904)*(E904:E914&gt;0)))),0)</f>
        <v>0</v>
      </c>
      <c r="I904" s="69" cm="1">
        <f t="array" ref="I904">IFERROR(IF(A904=A903,0,SUM(_xlfn._xlws.FILTER(E904:E914,(A904:A914=A904)*(F904&lt;0)))),0)</f>
        <v>0</v>
      </c>
      <c r="J904" s="81" t="str">
        <f ca="1">IFERROR(_xlfn.XLOOKUP(B904,[1]!TabCalc[Ticker],[1]!TabCalc[Cur]),"")</f>
        <v/>
      </c>
      <c r="K904" s="68" cm="1">
        <f t="array" ref="K904">IFERROR(IF($A904=$A903,0,SUM(_xlfn._xlws.FILTER($E904:$E914,($A904:$A914=$A904)*($J904:$J914=K$42)))),0)</f>
        <v>0</v>
      </c>
      <c r="L904" s="68" cm="1">
        <f t="array" ref="L904">IFERROR(IF($A904=$A903,0,SUM(_xlfn._xlws.FILTER($E904:$E914,($A904:$A914=$A904)*($J904:$J914=L$42)))),0)</f>
        <v>0</v>
      </c>
      <c r="M904" s="68" cm="1">
        <f t="array" ref="M904">IFERROR(IF($A904=$A903,0,SUM(_xlfn._xlws.FILTER($E904:$E914,($A904:$A914=$A904)*($J904:$J914=M$42)))),0)</f>
        <v>0</v>
      </c>
      <c r="N904" s="68" cm="1">
        <f t="array" ref="N904">IFERROR(IF($A904=$A903,0,SUM(_xlfn._xlws.FILTER($E904:$E914,($A904:$A914=$A904)*($J904:$J914=N$42)))),0)</f>
        <v>0</v>
      </c>
    </row>
    <row r="905" spans="5:14" x14ac:dyDescent="0.3">
      <c r="E905" s="67">
        <f ca="1">IFERROR(C905*D905*_xlfn.XLOOKUP(B905,[1]!TabCalc[Ticker],[1]!TabCalc[Scale]),0)</f>
        <v>0</v>
      </c>
      <c r="F905" s="68" cm="1">
        <f t="array" ref="F905">IF(A905=A904,0,SUM(_xlfn._xlws.FILTER(E905:E915,A905:A915=A905)))</f>
        <v>0</v>
      </c>
      <c r="G905" s="69">
        <f>IF(F905&lt;&gt;0,SUM($F$43:F905),0)</f>
        <v>0</v>
      </c>
      <c r="H905" s="69" cm="1">
        <f t="array" ref="H905">IFERROR(IF(A905=A904,0,SUM(_xlfn._xlws.FILTER(E905:E915,(A905:A915=A905)*(E905:E915&gt;0)))),0)</f>
        <v>0</v>
      </c>
      <c r="I905" s="69" cm="1">
        <f t="array" ref="I905">IFERROR(IF(A905=A904,0,SUM(_xlfn._xlws.FILTER(E905:E915,(A905:A915=A905)*(F905&lt;0)))),0)</f>
        <v>0</v>
      </c>
      <c r="J905" s="81" t="str">
        <f ca="1">IFERROR(_xlfn.XLOOKUP(B905,[1]!TabCalc[Ticker],[1]!TabCalc[Cur]),"")</f>
        <v/>
      </c>
      <c r="K905" s="68" cm="1">
        <f t="array" ref="K905">IFERROR(IF($A905=$A904,0,SUM(_xlfn._xlws.FILTER($E905:$E915,($A905:$A915=$A905)*($J905:$J915=K$42)))),0)</f>
        <v>0</v>
      </c>
      <c r="L905" s="68" cm="1">
        <f t="array" ref="L905">IFERROR(IF($A905=$A904,0,SUM(_xlfn._xlws.FILTER($E905:$E915,($A905:$A915=$A905)*($J905:$J915=L$42)))),0)</f>
        <v>0</v>
      </c>
      <c r="M905" s="68" cm="1">
        <f t="array" ref="M905">IFERROR(IF($A905=$A904,0,SUM(_xlfn._xlws.FILTER($E905:$E915,($A905:$A915=$A905)*($J905:$J915=M$42)))),0)</f>
        <v>0</v>
      </c>
      <c r="N905" s="68" cm="1">
        <f t="array" ref="N905">IFERROR(IF($A905=$A904,0,SUM(_xlfn._xlws.FILTER($E905:$E915,($A905:$A915=$A905)*($J905:$J915=N$42)))),0)</f>
        <v>0</v>
      </c>
    </row>
    <row r="906" spans="5:14" x14ac:dyDescent="0.3">
      <c r="E906" s="67">
        <f ca="1">IFERROR(C906*D906*_xlfn.XLOOKUP(B906,[1]!TabCalc[Ticker],[1]!TabCalc[Scale]),0)</f>
        <v>0</v>
      </c>
      <c r="F906" s="68" cm="1">
        <f t="array" ref="F906">IF(A906=A905,0,SUM(_xlfn._xlws.FILTER(E906:E916,A906:A916=A906)))</f>
        <v>0</v>
      </c>
      <c r="G906" s="69">
        <f>IF(F906&lt;&gt;0,SUM($F$43:F906),0)</f>
        <v>0</v>
      </c>
      <c r="H906" s="69" cm="1">
        <f t="array" ref="H906">IFERROR(IF(A906=A905,0,SUM(_xlfn._xlws.FILTER(E906:E916,(A906:A916=A906)*(E906:E916&gt;0)))),0)</f>
        <v>0</v>
      </c>
      <c r="I906" s="69" cm="1">
        <f t="array" ref="I906">IFERROR(IF(A906=A905,0,SUM(_xlfn._xlws.FILTER(E906:E916,(A906:A916=A906)*(F906&lt;0)))),0)</f>
        <v>0</v>
      </c>
      <c r="J906" s="81" t="str">
        <f ca="1">IFERROR(_xlfn.XLOOKUP(B906,[1]!TabCalc[Ticker],[1]!TabCalc[Cur]),"")</f>
        <v/>
      </c>
      <c r="K906" s="68" cm="1">
        <f t="array" ref="K906">IFERROR(IF($A906=$A905,0,SUM(_xlfn._xlws.FILTER($E906:$E916,($A906:$A916=$A906)*($J906:$J916=K$42)))),0)</f>
        <v>0</v>
      </c>
      <c r="L906" s="68" cm="1">
        <f t="array" ref="L906">IFERROR(IF($A906=$A905,0,SUM(_xlfn._xlws.FILTER($E906:$E916,($A906:$A916=$A906)*($J906:$J916=L$42)))),0)</f>
        <v>0</v>
      </c>
      <c r="M906" s="68" cm="1">
        <f t="array" ref="M906">IFERROR(IF($A906=$A905,0,SUM(_xlfn._xlws.FILTER($E906:$E916,($A906:$A916=$A906)*($J906:$J916=M$42)))),0)</f>
        <v>0</v>
      </c>
      <c r="N906" s="68" cm="1">
        <f t="array" ref="N906">IFERROR(IF($A906=$A905,0,SUM(_xlfn._xlws.FILTER($E906:$E916,($A906:$A916=$A906)*($J906:$J916=N$42)))),0)</f>
        <v>0</v>
      </c>
    </row>
    <row r="907" spans="5:14" x14ac:dyDescent="0.3">
      <c r="E907" s="67">
        <f ca="1">IFERROR(C907*D907*_xlfn.XLOOKUP(B907,[1]!TabCalc[Ticker],[1]!TabCalc[Scale]),0)</f>
        <v>0</v>
      </c>
      <c r="F907" s="68" cm="1">
        <f t="array" ref="F907">IF(A907=A906,0,SUM(_xlfn._xlws.FILTER(E907:E917,A907:A917=A907)))</f>
        <v>0</v>
      </c>
      <c r="G907" s="69">
        <f>IF(F907&lt;&gt;0,SUM($F$43:F907),0)</f>
        <v>0</v>
      </c>
      <c r="H907" s="69" cm="1">
        <f t="array" ref="H907">IFERROR(IF(A907=A906,0,SUM(_xlfn._xlws.FILTER(E907:E917,(A907:A917=A907)*(E907:E917&gt;0)))),0)</f>
        <v>0</v>
      </c>
      <c r="I907" s="69" cm="1">
        <f t="array" ref="I907">IFERROR(IF(A907=A906,0,SUM(_xlfn._xlws.FILTER(E907:E917,(A907:A917=A907)*(F907&lt;0)))),0)</f>
        <v>0</v>
      </c>
      <c r="J907" s="81" t="str">
        <f ca="1">IFERROR(_xlfn.XLOOKUP(B907,[1]!TabCalc[Ticker],[1]!TabCalc[Cur]),"")</f>
        <v/>
      </c>
      <c r="K907" s="68" cm="1">
        <f t="array" ref="K907">IFERROR(IF($A907=$A906,0,SUM(_xlfn._xlws.FILTER($E907:$E917,($A907:$A917=$A907)*($J907:$J917=K$42)))),0)</f>
        <v>0</v>
      </c>
      <c r="L907" s="68" cm="1">
        <f t="array" ref="L907">IFERROR(IF($A907=$A906,0,SUM(_xlfn._xlws.FILTER($E907:$E917,($A907:$A917=$A907)*($J907:$J917=L$42)))),0)</f>
        <v>0</v>
      </c>
      <c r="M907" s="68" cm="1">
        <f t="array" ref="M907">IFERROR(IF($A907=$A906,0,SUM(_xlfn._xlws.FILTER($E907:$E917,($A907:$A917=$A907)*($J907:$J917=M$42)))),0)</f>
        <v>0</v>
      </c>
      <c r="N907" s="68" cm="1">
        <f t="array" ref="N907">IFERROR(IF($A907=$A906,0,SUM(_xlfn._xlws.FILTER($E907:$E917,($A907:$A917=$A907)*($J907:$J917=N$42)))),0)</f>
        <v>0</v>
      </c>
    </row>
    <row r="908" spans="5:14" x14ac:dyDescent="0.3">
      <c r="E908" s="67">
        <f ca="1">IFERROR(C908*D908*_xlfn.XLOOKUP(B908,[1]!TabCalc[Ticker],[1]!TabCalc[Scale]),0)</f>
        <v>0</v>
      </c>
      <c r="F908" s="68" cm="1">
        <f t="array" ref="F908">IF(A908=A907,0,SUM(_xlfn._xlws.FILTER(E908:E918,A908:A918=A908)))</f>
        <v>0</v>
      </c>
      <c r="G908" s="69">
        <f>IF(F908&lt;&gt;0,SUM($F$43:F908),0)</f>
        <v>0</v>
      </c>
      <c r="H908" s="69" cm="1">
        <f t="array" ref="H908">IFERROR(IF(A908=A907,0,SUM(_xlfn._xlws.FILTER(E908:E918,(A908:A918=A908)*(E908:E918&gt;0)))),0)</f>
        <v>0</v>
      </c>
      <c r="I908" s="69" cm="1">
        <f t="array" ref="I908">IFERROR(IF(A908=A907,0,SUM(_xlfn._xlws.FILTER(E908:E918,(A908:A918=A908)*(F908&lt;0)))),0)</f>
        <v>0</v>
      </c>
      <c r="J908" s="81" t="str">
        <f ca="1">IFERROR(_xlfn.XLOOKUP(B908,[1]!TabCalc[Ticker],[1]!TabCalc[Cur]),"")</f>
        <v/>
      </c>
      <c r="K908" s="68" cm="1">
        <f t="array" ref="K908">IFERROR(IF($A908=$A907,0,SUM(_xlfn._xlws.FILTER($E908:$E918,($A908:$A918=$A908)*($J908:$J918=K$42)))),0)</f>
        <v>0</v>
      </c>
      <c r="L908" s="68" cm="1">
        <f t="array" ref="L908">IFERROR(IF($A908=$A907,0,SUM(_xlfn._xlws.FILTER($E908:$E918,($A908:$A918=$A908)*($J908:$J918=L$42)))),0)</f>
        <v>0</v>
      </c>
      <c r="M908" s="68" cm="1">
        <f t="array" ref="M908">IFERROR(IF($A908=$A907,0,SUM(_xlfn._xlws.FILTER($E908:$E918,($A908:$A918=$A908)*($J908:$J918=M$42)))),0)</f>
        <v>0</v>
      </c>
      <c r="N908" s="68" cm="1">
        <f t="array" ref="N908">IFERROR(IF($A908=$A907,0,SUM(_xlfn._xlws.FILTER($E908:$E918,($A908:$A918=$A908)*($J908:$J918=N$42)))),0)</f>
        <v>0</v>
      </c>
    </row>
    <row r="909" spans="5:14" x14ac:dyDescent="0.3">
      <c r="E909" s="67">
        <f ca="1">IFERROR(C909*D909*_xlfn.XLOOKUP(B909,[1]!TabCalc[Ticker],[1]!TabCalc[Scale]),0)</f>
        <v>0</v>
      </c>
      <c r="F909" s="68" cm="1">
        <f t="array" ref="F909">IF(A909=A908,0,SUM(_xlfn._xlws.FILTER(E909:E919,A909:A919=A909)))</f>
        <v>0</v>
      </c>
      <c r="G909" s="69">
        <f>IF(F909&lt;&gt;0,SUM($F$43:F909),0)</f>
        <v>0</v>
      </c>
      <c r="H909" s="69" cm="1">
        <f t="array" ref="H909">IFERROR(IF(A909=A908,0,SUM(_xlfn._xlws.FILTER(E909:E919,(A909:A919=A909)*(E909:E919&gt;0)))),0)</f>
        <v>0</v>
      </c>
      <c r="I909" s="69" cm="1">
        <f t="array" ref="I909">IFERROR(IF(A909=A908,0,SUM(_xlfn._xlws.FILTER(E909:E919,(A909:A919=A909)*(F909&lt;0)))),0)</f>
        <v>0</v>
      </c>
      <c r="J909" s="81" t="str">
        <f ca="1">IFERROR(_xlfn.XLOOKUP(B909,[1]!TabCalc[Ticker],[1]!TabCalc[Cur]),"")</f>
        <v/>
      </c>
      <c r="K909" s="68" cm="1">
        <f t="array" ref="K909">IFERROR(IF($A909=$A908,0,SUM(_xlfn._xlws.FILTER($E909:$E919,($A909:$A919=$A909)*($J909:$J919=K$42)))),0)</f>
        <v>0</v>
      </c>
      <c r="L909" s="68" cm="1">
        <f t="array" ref="L909">IFERROR(IF($A909=$A908,0,SUM(_xlfn._xlws.FILTER($E909:$E919,($A909:$A919=$A909)*($J909:$J919=L$42)))),0)</f>
        <v>0</v>
      </c>
      <c r="M909" s="68" cm="1">
        <f t="array" ref="M909">IFERROR(IF($A909=$A908,0,SUM(_xlfn._xlws.FILTER($E909:$E919,($A909:$A919=$A909)*($J909:$J919=M$42)))),0)</f>
        <v>0</v>
      </c>
      <c r="N909" s="68" cm="1">
        <f t="array" ref="N909">IFERROR(IF($A909=$A908,0,SUM(_xlfn._xlws.FILTER($E909:$E919,($A909:$A919=$A909)*($J909:$J919=N$42)))),0)</f>
        <v>0</v>
      </c>
    </row>
    <row r="910" spans="5:14" x14ac:dyDescent="0.3">
      <c r="E910" s="67">
        <f ca="1">IFERROR(C910*D910*_xlfn.XLOOKUP(B910,[1]!TabCalc[Ticker],[1]!TabCalc[Scale]),0)</f>
        <v>0</v>
      </c>
      <c r="F910" s="68" cm="1">
        <f t="array" ref="F910">IF(A910=A909,0,SUM(_xlfn._xlws.FILTER(E910:E920,A910:A920=A910)))</f>
        <v>0</v>
      </c>
      <c r="G910" s="69">
        <f>IF(F910&lt;&gt;0,SUM($F$43:F910),0)</f>
        <v>0</v>
      </c>
      <c r="H910" s="69" cm="1">
        <f t="array" ref="H910">IFERROR(IF(A910=A909,0,SUM(_xlfn._xlws.FILTER(E910:E920,(A910:A920=A910)*(E910:E920&gt;0)))),0)</f>
        <v>0</v>
      </c>
      <c r="I910" s="69" cm="1">
        <f t="array" ref="I910">IFERROR(IF(A910=A909,0,SUM(_xlfn._xlws.FILTER(E910:E920,(A910:A920=A910)*(F910&lt;0)))),0)</f>
        <v>0</v>
      </c>
      <c r="J910" s="81" t="str">
        <f ca="1">IFERROR(_xlfn.XLOOKUP(B910,[1]!TabCalc[Ticker],[1]!TabCalc[Cur]),"")</f>
        <v/>
      </c>
      <c r="K910" s="68" cm="1">
        <f t="array" ref="K910">IFERROR(IF($A910=$A909,0,SUM(_xlfn._xlws.FILTER($E910:$E920,($A910:$A920=$A910)*($J910:$J920=K$42)))),0)</f>
        <v>0</v>
      </c>
      <c r="L910" s="68" cm="1">
        <f t="array" ref="L910">IFERROR(IF($A910=$A909,0,SUM(_xlfn._xlws.FILTER($E910:$E920,($A910:$A920=$A910)*($J910:$J920=L$42)))),0)</f>
        <v>0</v>
      </c>
      <c r="M910" s="68" cm="1">
        <f t="array" ref="M910">IFERROR(IF($A910=$A909,0,SUM(_xlfn._xlws.FILTER($E910:$E920,($A910:$A920=$A910)*($J910:$J920=M$42)))),0)</f>
        <v>0</v>
      </c>
      <c r="N910" s="68" cm="1">
        <f t="array" ref="N910">IFERROR(IF($A910=$A909,0,SUM(_xlfn._xlws.FILTER($E910:$E920,($A910:$A920=$A910)*($J910:$J920=N$42)))),0)</f>
        <v>0</v>
      </c>
    </row>
    <row r="911" spans="5:14" x14ac:dyDescent="0.3">
      <c r="E911" s="67">
        <f ca="1">IFERROR(C911*D911*_xlfn.XLOOKUP(B911,[1]!TabCalc[Ticker],[1]!TabCalc[Scale]),0)</f>
        <v>0</v>
      </c>
      <c r="F911" s="68" cm="1">
        <f t="array" ref="F911">IF(A911=A910,0,SUM(_xlfn._xlws.FILTER(E911:E921,A911:A921=A911)))</f>
        <v>0</v>
      </c>
      <c r="G911" s="69">
        <f>IF(F911&lt;&gt;0,SUM($F$43:F911),0)</f>
        <v>0</v>
      </c>
      <c r="H911" s="69" cm="1">
        <f t="array" ref="H911">IFERROR(IF(A911=A910,0,SUM(_xlfn._xlws.FILTER(E911:E921,(A911:A921=A911)*(E911:E921&gt;0)))),0)</f>
        <v>0</v>
      </c>
      <c r="I911" s="69" cm="1">
        <f t="array" ref="I911">IFERROR(IF(A911=A910,0,SUM(_xlfn._xlws.FILTER(E911:E921,(A911:A921=A911)*(F911&lt;0)))),0)</f>
        <v>0</v>
      </c>
      <c r="J911" s="81" t="str">
        <f ca="1">IFERROR(_xlfn.XLOOKUP(B911,[1]!TabCalc[Ticker],[1]!TabCalc[Cur]),"")</f>
        <v/>
      </c>
      <c r="K911" s="68" cm="1">
        <f t="array" ref="K911">IFERROR(IF($A911=$A910,0,SUM(_xlfn._xlws.FILTER($E911:$E921,($A911:$A921=$A911)*($J911:$J921=K$42)))),0)</f>
        <v>0</v>
      </c>
      <c r="L911" s="68" cm="1">
        <f t="array" ref="L911">IFERROR(IF($A911=$A910,0,SUM(_xlfn._xlws.FILTER($E911:$E921,($A911:$A921=$A911)*($J911:$J921=L$42)))),0)</f>
        <v>0</v>
      </c>
      <c r="M911" s="68" cm="1">
        <f t="array" ref="M911">IFERROR(IF($A911=$A910,0,SUM(_xlfn._xlws.FILTER($E911:$E921,($A911:$A921=$A911)*($J911:$J921=M$42)))),0)</f>
        <v>0</v>
      </c>
      <c r="N911" s="68" cm="1">
        <f t="array" ref="N911">IFERROR(IF($A911=$A910,0,SUM(_xlfn._xlws.FILTER($E911:$E921,($A911:$A921=$A911)*($J911:$J921=N$42)))),0)</f>
        <v>0</v>
      </c>
    </row>
    <row r="912" spans="5:14" x14ac:dyDescent="0.3">
      <c r="E912" s="67">
        <f ca="1">IFERROR(C912*D912*_xlfn.XLOOKUP(B912,[1]!TabCalc[Ticker],[1]!TabCalc[Scale]),0)</f>
        <v>0</v>
      </c>
      <c r="F912" s="68" cm="1">
        <f t="array" ref="F912">IF(A912=A911,0,SUM(_xlfn._xlws.FILTER(E912:E922,A912:A922=A912)))</f>
        <v>0</v>
      </c>
      <c r="G912" s="69">
        <f>IF(F912&lt;&gt;0,SUM($F$43:F912),0)</f>
        <v>0</v>
      </c>
      <c r="H912" s="69" cm="1">
        <f t="array" ref="H912">IFERROR(IF(A912=A911,0,SUM(_xlfn._xlws.FILTER(E912:E922,(A912:A922=A912)*(E912:E922&gt;0)))),0)</f>
        <v>0</v>
      </c>
      <c r="I912" s="69" cm="1">
        <f t="array" ref="I912">IFERROR(IF(A912=A911,0,SUM(_xlfn._xlws.FILTER(E912:E922,(A912:A922=A912)*(F912&lt;0)))),0)</f>
        <v>0</v>
      </c>
      <c r="J912" s="81" t="str">
        <f ca="1">IFERROR(_xlfn.XLOOKUP(B912,[1]!TabCalc[Ticker],[1]!TabCalc[Cur]),"")</f>
        <v/>
      </c>
      <c r="K912" s="68" cm="1">
        <f t="array" ref="K912">IFERROR(IF($A912=$A911,0,SUM(_xlfn._xlws.FILTER($E912:$E922,($A912:$A922=$A912)*($J912:$J922=K$42)))),0)</f>
        <v>0</v>
      </c>
      <c r="L912" s="68" cm="1">
        <f t="array" ref="L912">IFERROR(IF($A912=$A911,0,SUM(_xlfn._xlws.FILTER($E912:$E922,($A912:$A922=$A912)*($J912:$J922=L$42)))),0)</f>
        <v>0</v>
      </c>
      <c r="M912" s="68" cm="1">
        <f t="array" ref="M912">IFERROR(IF($A912=$A911,0,SUM(_xlfn._xlws.FILTER($E912:$E922,($A912:$A922=$A912)*($J912:$J922=M$42)))),0)</f>
        <v>0</v>
      </c>
      <c r="N912" s="68" cm="1">
        <f t="array" ref="N912">IFERROR(IF($A912=$A911,0,SUM(_xlfn._xlws.FILTER($E912:$E922,($A912:$A922=$A912)*($J912:$J922=N$42)))),0)</f>
        <v>0</v>
      </c>
    </row>
    <row r="913" spans="5:14" x14ac:dyDescent="0.3">
      <c r="E913" s="67">
        <f ca="1">IFERROR(C913*D913*_xlfn.XLOOKUP(B913,[1]!TabCalc[Ticker],[1]!TabCalc[Scale]),0)</f>
        <v>0</v>
      </c>
      <c r="F913" s="68" cm="1">
        <f t="array" ref="F913">IF(A913=A912,0,SUM(_xlfn._xlws.FILTER(E913:E923,A913:A923=A913)))</f>
        <v>0</v>
      </c>
      <c r="G913" s="69">
        <f>IF(F913&lt;&gt;0,SUM($F$43:F913),0)</f>
        <v>0</v>
      </c>
      <c r="H913" s="69" cm="1">
        <f t="array" ref="H913">IFERROR(IF(A913=A912,0,SUM(_xlfn._xlws.FILTER(E913:E923,(A913:A923=A913)*(E913:E923&gt;0)))),0)</f>
        <v>0</v>
      </c>
      <c r="I913" s="69" cm="1">
        <f t="array" ref="I913">IFERROR(IF(A913=A912,0,SUM(_xlfn._xlws.FILTER(E913:E923,(A913:A923=A913)*(F913&lt;0)))),0)</f>
        <v>0</v>
      </c>
      <c r="J913" s="81" t="str">
        <f ca="1">IFERROR(_xlfn.XLOOKUP(B913,[1]!TabCalc[Ticker],[1]!TabCalc[Cur]),"")</f>
        <v/>
      </c>
      <c r="K913" s="68" cm="1">
        <f t="array" ref="K913">IFERROR(IF($A913=$A912,0,SUM(_xlfn._xlws.FILTER($E913:$E923,($A913:$A923=$A913)*($J913:$J923=K$42)))),0)</f>
        <v>0</v>
      </c>
      <c r="L913" s="68" cm="1">
        <f t="array" ref="L913">IFERROR(IF($A913=$A912,0,SUM(_xlfn._xlws.FILTER($E913:$E923,($A913:$A923=$A913)*($J913:$J923=L$42)))),0)</f>
        <v>0</v>
      </c>
      <c r="M913" s="68" cm="1">
        <f t="array" ref="M913">IFERROR(IF($A913=$A912,0,SUM(_xlfn._xlws.FILTER($E913:$E923,($A913:$A923=$A913)*($J913:$J923=M$42)))),0)</f>
        <v>0</v>
      </c>
      <c r="N913" s="68" cm="1">
        <f t="array" ref="N913">IFERROR(IF($A913=$A912,0,SUM(_xlfn._xlws.FILTER($E913:$E923,($A913:$A923=$A913)*($J913:$J923=N$42)))),0)</f>
        <v>0</v>
      </c>
    </row>
    <row r="914" spans="5:14" x14ac:dyDescent="0.3">
      <c r="E914" s="67">
        <f ca="1">IFERROR(C914*D914*_xlfn.XLOOKUP(B914,[1]!TabCalc[Ticker],[1]!TabCalc[Scale]),0)</f>
        <v>0</v>
      </c>
      <c r="F914" s="68" cm="1">
        <f t="array" ref="F914">IF(A914=A913,0,SUM(_xlfn._xlws.FILTER(E914:E924,A914:A924=A914)))</f>
        <v>0</v>
      </c>
      <c r="G914" s="69">
        <f>IF(F914&lt;&gt;0,SUM($F$43:F914),0)</f>
        <v>0</v>
      </c>
      <c r="H914" s="69" cm="1">
        <f t="array" ref="H914">IFERROR(IF(A914=A913,0,SUM(_xlfn._xlws.FILTER(E914:E924,(A914:A924=A914)*(E914:E924&gt;0)))),0)</f>
        <v>0</v>
      </c>
      <c r="I914" s="69" cm="1">
        <f t="array" ref="I914">IFERROR(IF(A914=A913,0,SUM(_xlfn._xlws.FILTER(E914:E924,(A914:A924=A914)*(F914&lt;0)))),0)</f>
        <v>0</v>
      </c>
      <c r="J914" s="81" t="str">
        <f ca="1">IFERROR(_xlfn.XLOOKUP(B914,[1]!TabCalc[Ticker],[1]!TabCalc[Cur]),"")</f>
        <v/>
      </c>
      <c r="K914" s="68" cm="1">
        <f t="array" ref="K914">IFERROR(IF($A914=$A913,0,SUM(_xlfn._xlws.FILTER($E914:$E924,($A914:$A924=$A914)*($J914:$J924=K$42)))),0)</f>
        <v>0</v>
      </c>
      <c r="L914" s="68" cm="1">
        <f t="array" ref="L914">IFERROR(IF($A914=$A913,0,SUM(_xlfn._xlws.FILTER($E914:$E924,($A914:$A924=$A914)*($J914:$J924=L$42)))),0)</f>
        <v>0</v>
      </c>
      <c r="M914" s="68" cm="1">
        <f t="array" ref="M914">IFERROR(IF($A914=$A913,0,SUM(_xlfn._xlws.FILTER($E914:$E924,($A914:$A924=$A914)*($J914:$J924=M$42)))),0)</f>
        <v>0</v>
      </c>
      <c r="N914" s="68" cm="1">
        <f t="array" ref="N914">IFERROR(IF($A914=$A913,0,SUM(_xlfn._xlws.FILTER($E914:$E924,($A914:$A924=$A914)*($J914:$J924=N$42)))),0)</f>
        <v>0</v>
      </c>
    </row>
    <row r="915" spans="5:14" x14ac:dyDescent="0.3">
      <c r="E915" s="67">
        <f ca="1">IFERROR(C915*D915*_xlfn.XLOOKUP(B915,[1]!TabCalc[Ticker],[1]!TabCalc[Scale]),0)</f>
        <v>0</v>
      </c>
      <c r="F915" s="68" cm="1">
        <f t="array" ref="F915">IF(A915=A914,0,SUM(_xlfn._xlws.FILTER(E915:E925,A915:A925=A915)))</f>
        <v>0</v>
      </c>
      <c r="G915" s="69">
        <f>IF(F915&lt;&gt;0,SUM($F$43:F915),0)</f>
        <v>0</v>
      </c>
      <c r="H915" s="69" cm="1">
        <f t="array" ref="H915">IFERROR(IF(A915=A914,0,SUM(_xlfn._xlws.FILTER(E915:E925,(A915:A925=A915)*(E915:E925&gt;0)))),0)</f>
        <v>0</v>
      </c>
      <c r="I915" s="69" cm="1">
        <f t="array" ref="I915">IFERROR(IF(A915=A914,0,SUM(_xlfn._xlws.FILTER(E915:E925,(A915:A925=A915)*(F915&lt;0)))),0)</f>
        <v>0</v>
      </c>
      <c r="J915" s="81" t="str">
        <f ca="1">IFERROR(_xlfn.XLOOKUP(B915,[1]!TabCalc[Ticker],[1]!TabCalc[Cur]),"")</f>
        <v/>
      </c>
      <c r="K915" s="68" cm="1">
        <f t="array" ref="K915">IFERROR(IF($A915=$A914,0,SUM(_xlfn._xlws.FILTER($E915:$E925,($A915:$A925=$A915)*($J915:$J925=K$42)))),0)</f>
        <v>0</v>
      </c>
      <c r="L915" s="68" cm="1">
        <f t="array" ref="L915">IFERROR(IF($A915=$A914,0,SUM(_xlfn._xlws.FILTER($E915:$E925,($A915:$A925=$A915)*($J915:$J925=L$42)))),0)</f>
        <v>0</v>
      </c>
      <c r="M915" s="68" cm="1">
        <f t="array" ref="M915">IFERROR(IF($A915=$A914,0,SUM(_xlfn._xlws.FILTER($E915:$E925,($A915:$A925=$A915)*($J915:$J925=M$42)))),0)</f>
        <v>0</v>
      </c>
      <c r="N915" s="68" cm="1">
        <f t="array" ref="N915">IFERROR(IF($A915=$A914,0,SUM(_xlfn._xlws.FILTER($E915:$E925,($A915:$A925=$A915)*($J915:$J925=N$42)))),0)</f>
        <v>0</v>
      </c>
    </row>
    <row r="916" spans="5:14" x14ac:dyDescent="0.3">
      <c r="E916" s="67">
        <f ca="1">IFERROR(C916*D916*_xlfn.XLOOKUP(B916,[1]!TabCalc[Ticker],[1]!TabCalc[Scale]),0)</f>
        <v>0</v>
      </c>
      <c r="F916" s="68" cm="1">
        <f t="array" ref="F916">IF(A916=A915,0,SUM(_xlfn._xlws.FILTER(E916:E926,A916:A926=A916)))</f>
        <v>0</v>
      </c>
      <c r="G916" s="69">
        <f>IF(F916&lt;&gt;0,SUM($F$43:F916),0)</f>
        <v>0</v>
      </c>
      <c r="H916" s="69" cm="1">
        <f t="array" ref="H916">IFERROR(IF(A916=A915,0,SUM(_xlfn._xlws.FILTER(E916:E926,(A916:A926=A916)*(E916:E926&gt;0)))),0)</f>
        <v>0</v>
      </c>
      <c r="I916" s="69" cm="1">
        <f t="array" ref="I916">IFERROR(IF(A916=A915,0,SUM(_xlfn._xlws.FILTER(E916:E926,(A916:A926=A916)*(F916&lt;0)))),0)</f>
        <v>0</v>
      </c>
      <c r="J916" s="81" t="str">
        <f ca="1">IFERROR(_xlfn.XLOOKUP(B916,[1]!TabCalc[Ticker],[1]!TabCalc[Cur]),"")</f>
        <v/>
      </c>
      <c r="K916" s="68" cm="1">
        <f t="array" ref="K916">IFERROR(IF($A916=$A915,0,SUM(_xlfn._xlws.FILTER($E916:$E926,($A916:$A926=$A916)*($J916:$J926=K$42)))),0)</f>
        <v>0</v>
      </c>
      <c r="L916" s="68" cm="1">
        <f t="array" ref="L916">IFERROR(IF($A916=$A915,0,SUM(_xlfn._xlws.FILTER($E916:$E926,($A916:$A926=$A916)*($J916:$J926=L$42)))),0)</f>
        <v>0</v>
      </c>
      <c r="M916" s="68" cm="1">
        <f t="array" ref="M916">IFERROR(IF($A916=$A915,0,SUM(_xlfn._xlws.FILTER($E916:$E926,($A916:$A926=$A916)*($J916:$J926=M$42)))),0)</f>
        <v>0</v>
      </c>
      <c r="N916" s="68" cm="1">
        <f t="array" ref="N916">IFERROR(IF($A916=$A915,0,SUM(_xlfn._xlws.FILTER($E916:$E926,($A916:$A926=$A916)*($J916:$J926=N$42)))),0)</f>
        <v>0</v>
      </c>
    </row>
    <row r="917" spans="5:14" x14ac:dyDescent="0.3">
      <c r="E917" s="67">
        <f ca="1">IFERROR(C917*D917*_xlfn.XLOOKUP(B917,[1]!TabCalc[Ticker],[1]!TabCalc[Scale]),0)</f>
        <v>0</v>
      </c>
      <c r="F917" s="68" cm="1">
        <f t="array" ref="F917">IF(A917=A916,0,SUM(_xlfn._xlws.FILTER(E917:E927,A917:A927=A917)))</f>
        <v>0</v>
      </c>
      <c r="G917" s="69">
        <f>IF(F917&lt;&gt;0,SUM($F$43:F917),0)</f>
        <v>0</v>
      </c>
      <c r="H917" s="69" cm="1">
        <f t="array" ref="H917">IFERROR(IF(A917=A916,0,SUM(_xlfn._xlws.FILTER(E917:E927,(A917:A927=A917)*(E917:E927&gt;0)))),0)</f>
        <v>0</v>
      </c>
      <c r="I917" s="69" cm="1">
        <f t="array" ref="I917">IFERROR(IF(A917=A916,0,SUM(_xlfn._xlws.FILTER(E917:E927,(A917:A927=A917)*(F917&lt;0)))),0)</f>
        <v>0</v>
      </c>
      <c r="J917" s="81" t="str">
        <f ca="1">IFERROR(_xlfn.XLOOKUP(B917,[1]!TabCalc[Ticker],[1]!TabCalc[Cur]),"")</f>
        <v/>
      </c>
      <c r="K917" s="68" cm="1">
        <f t="array" ref="K917">IFERROR(IF($A917=$A916,0,SUM(_xlfn._xlws.FILTER($E917:$E927,($A917:$A927=$A917)*($J917:$J927=K$42)))),0)</f>
        <v>0</v>
      </c>
      <c r="L917" s="68" cm="1">
        <f t="array" ref="L917">IFERROR(IF($A917=$A916,0,SUM(_xlfn._xlws.FILTER($E917:$E927,($A917:$A927=$A917)*($J917:$J927=L$42)))),0)</f>
        <v>0</v>
      </c>
      <c r="M917" s="68" cm="1">
        <f t="array" ref="M917">IFERROR(IF($A917=$A916,0,SUM(_xlfn._xlws.FILTER($E917:$E927,($A917:$A927=$A917)*($J917:$J927=M$42)))),0)</f>
        <v>0</v>
      </c>
      <c r="N917" s="68" cm="1">
        <f t="array" ref="N917">IFERROR(IF($A917=$A916,0,SUM(_xlfn._xlws.FILTER($E917:$E927,($A917:$A927=$A917)*($J917:$J927=N$42)))),0)</f>
        <v>0</v>
      </c>
    </row>
    <row r="918" spans="5:14" x14ac:dyDescent="0.3">
      <c r="E918" s="67">
        <f ca="1">IFERROR(C918*D918*_xlfn.XLOOKUP(B918,[1]!TabCalc[Ticker],[1]!TabCalc[Scale]),0)</f>
        <v>0</v>
      </c>
      <c r="F918" s="68" cm="1">
        <f t="array" ref="F918">IF(A918=A917,0,SUM(_xlfn._xlws.FILTER(E918:E928,A918:A928=A918)))</f>
        <v>0</v>
      </c>
      <c r="G918" s="69">
        <f>IF(F918&lt;&gt;0,SUM($F$43:F918),0)</f>
        <v>0</v>
      </c>
      <c r="H918" s="69" cm="1">
        <f t="array" ref="H918">IFERROR(IF(A918=A917,0,SUM(_xlfn._xlws.FILTER(E918:E928,(A918:A928=A918)*(E918:E928&gt;0)))),0)</f>
        <v>0</v>
      </c>
      <c r="I918" s="69" cm="1">
        <f t="array" ref="I918">IFERROR(IF(A918=A917,0,SUM(_xlfn._xlws.FILTER(E918:E928,(A918:A928=A918)*(F918&lt;0)))),0)</f>
        <v>0</v>
      </c>
      <c r="J918" s="81" t="str">
        <f ca="1">IFERROR(_xlfn.XLOOKUP(B918,[1]!TabCalc[Ticker],[1]!TabCalc[Cur]),"")</f>
        <v/>
      </c>
      <c r="K918" s="68" cm="1">
        <f t="array" ref="K918">IFERROR(IF($A918=$A917,0,SUM(_xlfn._xlws.FILTER($E918:$E928,($A918:$A928=$A918)*($J918:$J928=K$42)))),0)</f>
        <v>0</v>
      </c>
      <c r="L918" s="68" cm="1">
        <f t="array" ref="L918">IFERROR(IF($A918=$A917,0,SUM(_xlfn._xlws.FILTER($E918:$E928,($A918:$A928=$A918)*($J918:$J928=L$42)))),0)</f>
        <v>0</v>
      </c>
      <c r="M918" s="68" cm="1">
        <f t="array" ref="M918">IFERROR(IF($A918=$A917,0,SUM(_xlfn._xlws.FILTER($E918:$E928,($A918:$A928=$A918)*($J918:$J928=M$42)))),0)</f>
        <v>0</v>
      </c>
      <c r="N918" s="68" cm="1">
        <f t="array" ref="N918">IFERROR(IF($A918=$A917,0,SUM(_xlfn._xlws.FILTER($E918:$E928,($A918:$A928=$A918)*($J918:$J928=N$42)))),0)</f>
        <v>0</v>
      </c>
    </row>
    <row r="919" spans="5:14" x14ac:dyDescent="0.3">
      <c r="E919" s="67">
        <f ca="1">IFERROR(C919*D919*_xlfn.XLOOKUP(B919,[1]!TabCalc[Ticker],[1]!TabCalc[Scale]),0)</f>
        <v>0</v>
      </c>
      <c r="F919" s="68" cm="1">
        <f t="array" ref="F919">IF(A919=A918,0,SUM(_xlfn._xlws.FILTER(E919:E929,A919:A929=A919)))</f>
        <v>0</v>
      </c>
      <c r="G919" s="69">
        <f>IF(F919&lt;&gt;0,SUM($F$43:F919),0)</f>
        <v>0</v>
      </c>
      <c r="H919" s="69" cm="1">
        <f t="array" ref="H919">IFERROR(IF(A919=A918,0,SUM(_xlfn._xlws.FILTER(E919:E929,(A919:A929=A919)*(E919:E929&gt;0)))),0)</f>
        <v>0</v>
      </c>
      <c r="I919" s="69" cm="1">
        <f t="array" ref="I919">IFERROR(IF(A919=A918,0,SUM(_xlfn._xlws.FILTER(E919:E929,(A919:A929=A919)*(F919&lt;0)))),0)</f>
        <v>0</v>
      </c>
      <c r="J919" s="81" t="str">
        <f ca="1">IFERROR(_xlfn.XLOOKUP(B919,[1]!TabCalc[Ticker],[1]!TabCalc[Cur]),"")</f>
        <v/>
      </c>
      <c r="K919" s="68" cm="1">
        <f t="array" ref="K919">IFERROR(IF($A919=$A918,0,SUM(_xlfn._xlws.FILTER($E919:$E929,($A919:$A929=$A919)*($J919:$J929=K$42)))),0)</f>
        <v>0</v>
      </c>
      <c r="L919" s="68" cm="1">
        <f t="array" ref="L919">IFERROR(IF($A919=$A918,0,SUM(_xlfn._xlws.FILTER($E919:$E929,($A919:$A929=$A919)*($J919:$J929=L$42)))),0)</f>
        <v>0</v>
      </c>
      <c r="M919" s="68" cm="1">
        <f t="array" ref="M919">IFERROR(IF($A919=$A918,0,SUM(_xlfn._xlws.FILTER($E919:$E929,($A919:$A929=$A919)*($J919:$J929=M$42)))),0)</f>
        <v>0</v>
      </c>
      <c r="N919" s="68" cm="1">
        <f t="array" ref="N919">IFERROR(IF($A919=$A918,0,SUM(_xlfn._xlws.FILTER($E919:$E929,($A919:$A929=$A919)*($J919:$J929=N$42)))),0)</f>
        <v>0</v>
      </c>
    </row>
    <row r="920" spans="5:14" x14ac:dyDescent="0.3">
      <c r="E920" s="67">
        <f ca="1">IFERROR(C920*D920*_xlfn.XLOOKUP(B920,[1]!TabCalc[Ticker],[1]!TabCalc[Scale]),0)</f>
        <v>0</v>
      </c>
      <c r="F920" s="68" cm="1">
        <f t="array" ref="F920">IF(A920=A919,0,SUM(_xlfn._xlws.FILTER(E920:E930,A920:A930=A920)))</f>
        <v>0</v>
      </c>
      <c r="G920" s="69">
        <f>IF(F920&lt;&gt;0,SUM($F$43:F920),0)</f>
        <v>0</v>
      </c>
      <c r="H920" s="69" cm="1">
        <f t="array" ref="H920">IFERROR(IF(A920=A919,0,SUM(_xlfn._xlws.FILTER(E920:E930,(A920:A930=A920)*(E920:E930&gt;0)))),0)</f>
        <v>0</v>
      </c>
      <c r="I920" s="69" cm="1">
        <f t="array" ref="I920">IFERROR(IF(A920=A919,0,SUM(_xlfn._xlws.FILTER(E920:E930,(A920:A930=A920)*(F920&lt;0)))),0)</f>
        <v>0</v>
      </c>
      <c r="J920" s="81" t="str">
        <f ca="1">IFERROR(_xlfn.XLOOKUP(B920,[1]!TabCalc[Ticker],[1]!TabCalc[Cur]),"")</f>
        <v/>
      </c>
      <c r="K920" s="68" cm="1">
        <f t="array" ref="K920">IFERROR(IF($A920=$A919,0,SUM(_xlfn._xlws.FILTER($E920:$E930,($A920:$A930=$A920)*($J920:$J930=K$42)))),0)</f>
        <v>0</v>
      </c>
      <c r="L920" s="68" cm="1">
        <f t="array" ref="L920">IFERROR(IF($A920=$A919,0,SUM(_xlfn._xlws.FILTER($E920:$E930,($A920:$A930=$A920)*($J920:$J930=L$42)))),0)</f>
        <v>0</v>
      </c>
      <c r="M920" s="68" cm="1">
        <f t="array" ref="M920">IFERROR(IF($A920=$A919,0,SUM(_xlfn._xlws.FILTER($E920:$E930,($A920:$A930=$A920)*($J920:$J930=M$42)))),0)</f>
        <v>0</v>
      </c>
      <c r="N920" s="68" cm="1">
        <f t="array" ref="N920">IFERROR(IF($A920=$A919,0,SUM(_xlfn._xlws.FILTER($E920:$E930,($A920:$A930=$A920)*($J920:$J930=N$42)))),0)</f>
        <v>0</v>
      </c>
    </row>
    <row r="921" spans="5:14" x14ac:dyDescent="0.3">
      <c r="E921" s="67">
        <f ca="1">IFERROR(C921*D921*_xlfn.XLOOKUP(B921,[1]!TabCalc[Ticker],[1]!TabCalc[Scale]),0)</f>
        <v>0</v>
      </c>
      <c r="F921" s="68" cm="1">
        <f t="array" ref="F921">IF(A921=A920,0,SUM(_xlfn._xlws.FILTER(E921:E931,A921:A931=A921)))</f>
        <v>0</v>
      </c>
      <c r="G921" s="69">
        <f>IF(F921&lt;&gt;0,SUM($F$43:F921),0)</f>
        <v>0</v>
      </c>
      <c r="H921" s="69" cm="1">
        <f t="array" ref="H921">IFERROR(IF(A921=A920,0,SUM(_xlfn._xlws.FILTER(E921:E931,(A921:A931=A921)*(E921:E931&gt;0)))),0)</f>
        <v>0</v>
      </c>
      <c r="I921" s="69" cm="1">
        <f t="array" ref="I921">IFERROR(IF(A921=A920,0,SUM(_xlfn._xlws.FILTER(E921:E931,(A921:A931=A921)*(F921&lt;0)))),0)</f>
        <v>0</v>
      </c>
      <c r="J921" s="81" t="str">
        <f ca="1">IFERROR(_xlfn.XLOOKUP(B921,[1]!TabCalc[Ticker],[1]!TabCalc[Cur]),"")</f>
        <v/>
      </c>
      <c r="K921" s="68" cm="1">
        <f t="array" ref="K921">IFERROR(IF($A921=$A920,0,SUM(_xlfn._xlws.FILTER($E921:$E931,($A921:$A931=$A921)*($J921:$J931=K$42)))),0)</f>
        <v>0</v>
      </c>
      <c r="L921" s="68" cm="1">
        <f t="array" ref="L921">IFERROR(IF($A921=$A920,0,SUM(_xlfn._xlws.FILTER($E921:$E931,($A921:$A931=$A921)*($J921:$J931=L$42)))),0)</f>
        <v>0</v>
      </c>
      <c r="M921" s="68" cm="1">
        <f t="array" ref="M921">IFERROR(IF($A921=$A920,0,SUM(_xlfn._xlws.FILTER($E921:$E931,($A921:$A931=$A921)*($J921:$J931=M$42)))),0)</f>
        <v>0</v>
      </c>
      <c r="N921" s="68" cm="1">
        <f t="array" ref="N921">IFERROR(IF($A921=$A920,0,SUM(_xlfn._xlws.FILTER($E921:$E931,($A921:$A931=$A921)*($J921:$J931=N$42)))),0)</f>
        <v>0</v>
      </c>
    </row>
    <row r="922" spans="5:14" x14ac:dyDescent="0.3">
      <c r="E922" s="67">
        <f ca="1">IFERROR(C922*D922*_xlfn.XLOOKUP(B922,[1]!TabCalc[Ticker],[1]!TabCalc[Scale]),0)</f>
        <v>0</v>
      </c>
      <c r="F922" s="68" cm="1">
        <f t="array" ref="F922">IF(A922=A921,0,SUM(_xlfn._xlws.FILTER(E922:E932,A922:A932=A922)))</f>
        <v>0</v>
      </c>
      <c r="G922" s="69">
        <f>IF(F922&lt;&gt;0,SUM($F$43:F922),0)</f>
        <v>0</v>
      </c>
      <c r="H922" s="69" cm="1">
        <f t="array" ref="H922">IFERROR(IF(A922=A921,0,SUM(_xlfn._xlws.FILTER(E922:E932,(A922:A932=A922)*(E922:E932&gt;0)))),0)</f>
        <v>0</v>
      </c>
      <c r="I922" s="69" cm="1">
        <f t="array" ref="I922">IFERROR(IF(A922=A921,0,SUM(_xlfn._xlws.FILTER(E922:E932,(A922:A932=A922)*(F922&lt;0)))),0)</f>
        <v>0</v>
      </c>
      <c r="J922" s="81" t="str">
        <f ca="1">IFERROR(_xlfn.XLOOKUP(B922,[1]!TabCalc[Ticker],[1]!TabCalc[Cur]),"")</f>
        <v/>
      </c>
      <c r="K922" s="68" cm="1">
        <f t="array" ref="K922">IFERROR(IF($A922=$A921,0,SUM(_xlfn._xlws.FILTER($E922:$E932,($A922:$A932=$A922)*($J922:$J932=K$42)))),0)</f>
        <v>0</v>
      </c>
      <c r="L922" s="68" cm="1">
        <f t="array" ref="L922">IFERROR(IF($A922=$A921,0,SUM(_xlfn._xlws.FILTER($E922:$E932,($A922:$A932=$A922)*($J922:$J932=L$42)))),0)</f>
        <v>0</v>
      </c>
      <c r="M922" s="68" cm="1">
        <f t="array" ref="M922">IFERROR(IF($A922=$A921,0,SUM(_xlfn._xlws.FILTER($E922:$E932,($A922:$A932=$A922)*($J922:$J932=M$42)))),0)</f>
        <v>0</v>
      </c>
      <c r="N922" s="68" cm="1">
        <f t="array" ref="N922">IFERROR(IF($A922=$A921,0,SUM(_xlfn._xlws.FILTER($E922:$E932,($A922:$A932=$A922)*($J922:$J932=N$42)))),0)</f>
        <v>0</v>
      </c>
    </row>
    <row r="923" spans="5:14" x14ac:dyDescent="0.3">
      <c r="E923" s="67">
        <f ca="1">IFERROR(C923*D923*_xlfn.XLOOKUP(B923,[1]!TabCalc[Ticker],[1]!TabCalc[Scale]),0)</f>
        <v>0</v>
      </c>
      <c r="F923" s="68" cm="1">
        <f t="array" ref="F923">IF(A923=A922,0,SUM(_xlfn._xlws.FILTER(E923:E933,A923:A933=A923)))</f>
        <v>0</v>
      </c>
      <c r="G923" s="69">
        <f>IF(F923&lt;&gt;0,SUM($F$43:F923),0)</f>
        <v>0</v>
      </c>
      <c r="H923" s="69" cm="1">
        <f t="array" ref="H923">IFERROR(IF(A923=A922,0,SUM(_xlfn._xlws.FILTER(E923:E933,(A923:A933=A923)*(E923:E933&gt;0)))),0)</f>
        <v>0</v>
      </c>
      <c r="I923" s="69" cm="1">
        <f t="array" ref="I923">IFERROR(IF(A923=A922,0,SUM(_xlfn._xlws.FILTER(E923:E933,(A923:A933=A923)*(F923&lt;0)))),0)</f>
        <v>0</v>
      </c>
      <c r="J923" s="81" t="str">
        <f ca="1">IFERROR(_xlfn.XLOOKUP(B923,[1]!TabCalc[Ticker],[1]!TabCalc[Cur]),"")</f>
        <v/>
      </c>
      <c r="K923" s="68" cm="1">
        <f t="array" ref="K923">IFERROR(IF($A923=$A922,0,SUM(_xlfn._xlws.FILTER($E923:$E933,($A923:$A933=$A923)*($J923:$J933=K$42)))),0)</f>
        <v>0</v>
      </c>
      <c r="L923" s="68" cm="1">
        <f t="array" ref="L923">IFERROR(IF($A923=$A922,0,SUM(_xlfn._xlws.FILTER($E923:$E933,($A923:$A933=$A923)*($J923:$J933=L$42)))),0)</f>
        <v>0</v>
      </c>
      <c r="M923" s="68" cm="1">
        <f t="array" ref="M923">IFERROR(IF($A923=$A922,0,SUM(_xlfn._xlws.FILTER($E923:$E933,($A923:$A933=$A923)*($J923:$J933=M$42)))),0)</f>
        <v>0</v>
      </c>
      <c r="N923" s="68" cm="1">
        <f t="array" ref="N923">IFERROR(IF($A923=$A922,0,SUM(_xlfn._xlws.FILTER($E923:$E933,($A923:$A933=$A923)*($J923:$J933=N$42)))),0)</f>
        <v>0</v>
      </c>
    </row>
    <row r="924" spans="5:14" x14ac:dyDescent="0.3">
      <c r="E924" s="67">
        <f ca="1">IFERROR(C924*D924*_xlfn.XLOOKUP(B924,[1]!TabCalc[Ticker],[1]!TabCalc[Scale]),0)</f>
        <v>0</v>
      </c>
      <c r="F924" s="68" cm="1">
        <f t="array" ref="F924">IF(A924=A923,0,SUM(_xlfn._xlws.FILTER(E924:E934,A924:A934=A924)))</f>
        <v>0</v>
      </c>
      <c r="G924" s="69">
        <f>IF(F924&lt;&gt;0,SUM($F$43:F924),0)</f>
        <v>0</v>
      </c>
      <c r="H924" s="69" cm="1">
        <f t="array" ref="H924">IFERROR(IF(A924=A923,0,SUM(_xlfn._xlws.FILTER(E924:E934,(A924:A934=A924)*(E924:E934&gt;0)))),0)</f>
        <v>0</v>
      </c>
      <c r="I924" s="69" cm="1">
        <f t="array" ref="I924">IFERROR(IF(A924=A923,0,SUM(_xlfn._xlws.FILTER(E924:E934,(A924:A934=A924)*(F924&lt;0)))),0)</f>
        <v>0</v>
      </c>
      <c r="J924" s="81" t="str">
        <f ca="1">IFERROR(_xlfn.XLOOKUP(B924,[1]!TabCalc[Ticker],[1]!TabCalc[Cur]),"")</f>
        <v/>
      </c>
      <c r="K924" s="68" cm="1">
        <f t="array" ref="K924">IFERROR(IF($A924=$A923,0,SUM(_xlfn._xlws.FILTER($E924:$E934,($A924:$A934=$A924)*($J924:$J934=K$42)))),0)</f>
        <v>0</v>
      </c>
      <c r="L924" s="68" cm="1">
        <f t="array" ref="L924">IFERROR(IF($A924=$A923,0,SUM(_xlfn._xlws.FILTER($E924:$E934,($A924:$A934=$A924)*($J924:$J934=L$42)))),0)</f>
        <v>0</v>
      </c>
      <c r="M924" s="68" cm="1">
        <f t="array" ref="M924">IFERROR(IF($A924=$A923,0,SUM(_xlfn._xlws.FILTER($E924:$E934,($A924:$A934=$A924)*($J924:$J934=M$42)))),0)</f>
        <v>0</v>
      </c>
      <c r="N924" s="68" cm="1">
        <f t="array" ref="N924">IFERROR(IF($A924=$A923,0,SUM(_xlfn._xlws.FILTER($E924:$E934,($A924:$A934=$A924)*($J924:$J934=N$42)))),0)</f>
        <v>0</v>
      </c>
    </row>
    <row r="925" spans="5:14" x14ac:dyDescent="0.3">
      <c r="E925" s="67">
        <f ca="1">IFERROR(C925*D925*_xlfn.XLOOKUP(B925,[1]!TabCalc[Ticker],[1]!TabCalc[Scale]),0)</f>
        <v>0</v>
      </c>
      <c r="F925" s="68" cm="1">
        <f t="array" ref="F925">IF(A925=A924,0,SUM(_xlfn._xlws.FILTER(E925:E935,A925:A935=A925)))</f>
        <v>0</v>
      </c>
      <c r="G925" s="69">
        <f>IF(F925&lt;&gt;0,SUM($F$43:F925),0)</f>
        <v>0</v>
      </c>
      <c r="H925" s="69" cm="1">
        <f t="array" ref="H925">IFERROR(IF(A925=A924,0,SUM(_xlfn._xlws.FILTER(E925:E935,(A925:A935=A925)*(E925:E935&gt;0)))),0)</f>
        <v>0</v>
      </c>
      <c r="I925" s="69" cm="1">
        <f t="array" ref="I925">IFERROR(IF(A925=A924,0,SUM(_xlfn._xlws.FILTER(E925:E935,(A925:A935=A925)*(F925&lt;0)))),0)</f>
        <v>0</v>
      </c>
      <c r="J925" s="81" t="str">
        <f ca="1">IFERROR(_xlfn.XLOOKUP(B925,[1]!TabCalc[Ticker],[1]!TabCalc[Cur]),"")</f>
        <v/>
      </c>
      <c r="K925" s="68" cm="1">
        <f t="array" ref="K925">IFERROR(IF($A925=$A924,0,SUM(_xlfn._xlws.FILTER($E925:$E935,($A925:$A935=$A925)*($J925:$J935=K$42)))),0)</f>
        <v>0</v>
      </c>
      <c r="L925" s="68" cm="1">
        <f t="array" ref="L925">IFERROR(IF($A925=$A924,0,SUM(_xlfn._xlws.FILTER($E925:$E935,($A925:$A935=$A925)*($J925:$J935=L$42)))),0)</f>
        <v>0</v>
      </c>
      <c r="M925" s="68" cm="1">
        <f t="array" ref="M925">IFERROR(IF($A925=$A924,0,SUM(_xlfn._xlws.FILTER($E925:$E935,($A925:$A935=$A925)*($J925:$J935=M$42)))),0)</f>
        <v>0</v>
      </c>
      <c r="N925" s="68" cm="1">
        <f t="array" ref="N925">IFERROR(IF($A925=$A924,0,SUM(_xlfn._xlws.FILTER($E925:$E935,($A925:$A935=$A925)*($J925:$J935=N$42)))),0)</f>
        <v>0</v>
      </c>
    </row>
    <row r="926" spans="5:14" x14ac:dyDescent="0.3">
      <c r="E926" s="67">
        <f ca="1">IFERROR(C926*D926*_xlfn.XLOOKUP(B926,[1]!TabCalc[Ticker],[1]!TabCalc[Scale]),0)</f>
        <v>0</v>
      </c>
      <c r="F926" s="68" cm="1">
        <f t="array" ref="F926">IF(A926=A925,0,SUM(_xlfn._xlws.FILTER(E926:E936,A926:A936=A926)))</f>
        <v>0</v>
      </c>
      <c r="G926" s="69">
        <f>IF(F926&lt;&gt;0,SUM($F$43:F926),0)</f>
        <v>0</v>
      </c>
      <c r="H926" s="69" cm="1">
        <f t="array" ref="H926">IFERROR(IF(A926=A925,0,SUM(_xlfn._xlws.FILTER(E926:E936,(A926:A936=A926)*(E926:E936&gt;0)))),0)</f>
        <v>0</v>
      </c>
      <c r="I926" s="69" cm="1">
        <f t="array" ref="I926">IFERROR(IF(A926=A925,0,SUM(_xlfn._xlws.FILTER(E926:E936,(A926:A936=A926)*(F926&lt;0)))),0)</f>
        <v>0</v>
      </c>
      <c r="J926" s="81" t="str">
        <f ca="1">IFERROR(_xlfn.XLOOKUP(B926,[1]!TabCalc[Ticker],[1]!TabCalc[Cur]),"")</f>
        <v/>
      </c>
      <c r="K926" s="68" cm="1">
        <f t="array" ref="K926">IFERROR(IF($A926=$A925,0,SUM(_xlfn._xlws.FILTER($E926:$E936,($A926:$A936=$A926)*($J926:$J936=K$42)))),0)</f>
        <v>0</v>
      </c>
      <c r="L926" s="68" cm="1">
        <f t="array" ref="L926">IFERROR(IF($A926=$A925,0,SUM(_xlfn._xlws.FILTER($E926:$E936,($A926:$A936=$A926)*($J926:$J936=L$42)))),0)</f>
        <v>0</v>
      </c>
      <c r="M926" s="68" cm="1">
        <f t="array" ref="M926">IFERROR(IF($A926=$A925,0,SUM(_xlfn._xlws.FILTER($E926:$E936,($A926:$A936=$A926)*($J926:$J936=M$42)))),0)</f>
        <v>0</v>
      </c>
      <c r="N926" s="68" cm="1">
        <f t="array" ref="N926">IFERROR(IF($A926=$A925,0,SUM(_xlfn._xlws.FILTER($E926:$E936,($A926:$A936=$A926)*($J926:$J936=N$42)))),0)</f>
        <v>0</v>
      </c>
    </row>
    <row r="927" spans="5:14" x14ac:dyDescent="0.3">
      <c r="E927" s="67">
        <f ca="1">IFERROR(C927*D927*_xlfn.XLOOKUP(B927,[1]!TabCalc[Ticker],[1]!TabCalc[Scale]),0)</f>
        <v>0</v>
      </c>
      <c r="F927" s="68" cm="1">
        <f t="array" ref="F927">IF(A927=A926,0,SUM(_xlfn._xlws.FILTER(E927:E937,A927:A937=A927)))</f>
        <v>0</v>
      </c>
      <c r="G927" s="69">
        <f>IF(F927&lt;&gt;0,SUM($F$43:F927),0)</f>
        <v>0</v>
      </c>
      <c r="H927" s="69" cm="1">
        <f t="array" ref="H927">IFERROR(IF(A927=A926,0,SUM(_xlfn._xlws.FILTER(E927:E937,(A927:A937=A927)*(E927:E937&gt;0)))),0)</f>
        <v>0</v>
      </c>
      <c r="I927" s="69" cm="1">
        <f t="array" ref="I927">IFERROR(IF(A927=A926,0,SUM(_xlfn._xlws.FILTER(E927:E937,(A927:A937=A927)*(F927&lt;0)))),0)</f>
        <v>0</v>
      </c>
      <c r="J927" s="81" t="str">
        <f ca="1">IFERROR(_xlfn.XLOOKUP(B927,[1]!TabCalc[Ticker],[1]!TabCalc[Cur]),"")</f>
        <v/>
      </c>
      <c r="K927" s="68" cm="1">
        <f t="array" ref="K927">IFERROR(IF($A927=$A926,0,SUM(_xlfn._xlws.FILTER($E927:$E937,($A927:$A937=$A927)*($J927:$J937=K$42)))),0)</f>
        <v>0</v>
      </c>
      <c r="L927" s="68" cm="1">
        <f t="array" ref="L927">IFERROR(IF($A927=$A926,0,SUM(_xlfn._xlws.FILTER($E927:$E937,($A927:$A937=$A927)*($J927:$J937=L$42)))),0)</f>
        <v>0</v>
      </c>
      <c r="M927" s="68" cm="1">
        <f t="array" ref="M927">IFERROR(IF($A927=$A926,0,SUM(_xlfn._xlws.FILTER($E927:$E937,($A927:$A937=$A927)*($J927:$J937=M$42)))),0)</f>
        <v>0</v>
      </c>
      <c r="N927" s="68" cm="1">
        <f t="array" ref="N927">IFERROR(IF($A927=$A926,0,SUM(_xlfn._xlws.FILTER($E927:$E937,($A927:$A937=$A927)*($J927:$J937=N$42)))),0)</f>
        <v>0</v>
      </c>
    </row>
    <row r="928" spans="5:14" x14ac:dyDescent="0.3">
      <c r="E928" s="67">
        <f ca="1">IFERROR(C928*D928*_xlfn.XLOOKUP(B928,[1]!TabCalc[Ticker],[1]!TabCalc[Scale]),0)</f>
        <v>0</v>
      </c>
      <c r="F928" s="68" cm="1">
        <f t="array" ref="F928">IF(A928=A927,0,SUM(_xlfn._xlws.FILTER(E928:E938,A928:A938=A928)))</f>
        <v>0</v>
      </c>
      <c r="G928" s="69">
        <f>IF(F928&lt;&gt;0,SUM($F$43:F928),0)</f>
        <v>0</v>
      </c>
      <c r="H928" s="69" cm="1">
        <f t="array" ref="H928">IFERROR(IF(A928=A927,0,SUM(_xlfn._xlws.FILTER(E928:E938,(A928:A938=A928)*(E928:E938&gt;0)))),0)</f>
        <v>0</v>
      </c>
      <c r="I928" s="69" cm="1">
        <f t="array" ref="I928">IFERROR(IF(A928=A927,0,SUM(_xlfn._xlws.FILTER(E928:E938,(A928:A938=A928)*(F928&lt;0)))),0)</f>
        <v>0</v>
      </c>
      <c r="J928" s="81" t="str">
        <f ca="1">IFERROR(_xlfn.XLOOKUP(B928,[1]!TabCalc[Ticker],[1]!TabCalc[Cur]),"")</f>
        <v/>
      </c>
      <c r="K928" s="68" cm="1">
        <f t="array" ref="K928">IFERROR(IF($A928=$A927,0,SUM(_xlfn._xlws.FILTER($E928:$E938,($A928:$A938=$A928)*($J928:$J938=K$42)))),0)</f>
        <v>0</v>
      </c>
      <c r="L928" s="68" cm="1">
        <f t="array" ref="L928">IFERROR(IF($A928=$A927,0,SUM(_xlfn._xlws.FILTER($E928:$E938,($A928:$A938=$A928)*($J928:$J938=L$42)))),0)</f>
        <v>0</v>
      </c>
      <c r="M928" s="68" cm="1">
        <f t="array" ref="M928">IFERROR(IF($A928=$A927,0,SUM(_xlfn._xlws.FILTER($E928:$E938,($A928:$A938=$A928)*($J928:$J938=M$42)))),0)</f>
        <v>0</v>
      </c>
      <c r="N928" s="68" cm="1">
        <f t="array" ref="N928">IFERROR(IF($A928=$A927,0,SUM(_xlfn._xlws.FILTER($E928:$E938,($A928:$A938=$A928)*($J928:$J938=N$42)))),0)</f>
        <v>0</v>
      </c>
    </row>
    <row r="929" spans="5:14" x14ac:dyDescent="0.3">
      <c r="E929" s="67">
        <f ca="1">IFERROR(C929*D929*_xlfn.XLOOKUP(B929,[1]!TabCalc[Ticker],[1]!TabCalc[Scale]),0)</f>
        <v>0</v>
      </c>
      <c r="F929" s="68" cm="1">
        <f t="array" ref="F929">IF(A929=A928,0,SUM(_xlfn._xlws.FILTER(E929:E939,A929:A939=A929)))</f>
        <v>0</v>
      </c>
      <c r="G929" s="69">
        <f>IF(F929&lt;&gt;0,SUM($F$43:F929),0)</f>
        <v>0</v>
      </c>
      <c r="H929" s="69" cm="1">
        <f t="array" ref="H929">IFERROR(IF(A929=A928,0,SUM(_xlfn._xlws.FILTER(E929:E939,(A929:A939=A929)*(E929:E939&gt;0)))),0)</f>
        <v>0</v>
      </c>
      <c r="I929" s="69" cm="1">
        <f t="array" ref="I929">IFERROR(IF(A929=A928,0,SUM(_xlfn._xlws.FILTER(E929:E939,(A929:A939=A929)*(F929&lt;0)))),0)</f>
        <v>0</v>
      </c>
      <c r="J929" s="81" t="str">
        <f ca="1">IFERROR(_xlfn.XLOOKUP(B929,[1]!TabCalc[Ticker],[1]!TabCalc[Cur]),"")</f>
        <v/>
      </c>
      <c r="K929" s="68" cm="1">
        <f t="array" ref="K929">IFERROR(IF($A929=$A928,0,SUM(_xlfn._xlws.FILTER($E929:$E939,($A929:$A939=$A929)*($J929:$J939=K$42)))),0)</f>
        <v>0</v>
      </c>
      <c r="L929" s="68" cm="1">
        <f t="array" ref="L929">IFERROR(IF($A929=$A928,0,SUM(_xlfn._xlws.FILTER($E929:$E939,($A929:$A939=$A929)*($J929:$J939=L$42)))),0)</f>
        <v>0</v>
      </c>
      <c r="M929" s="68" cm="1">
        <f t="array" ref="M929">IFERROR(IF($A929=$A928,0,SUM(_xlfn._xlws.FILTER($E929:$E939,($A929:$A939=$A929)*($J929:$J939=M$42)))),0)</f>
        <v>0</v>
      </c>
      <c r="N929" s="68" cm="1">
        <f t="array" ref="N929">IFERROR(IF($A929=$A928,0,SUM(_xlfn._xlws.FILTER($E929:$E939,($A929:$A939=$A929)*($J929:$J939=N$42)))),0)</f>
        <v>0</v>
      </c>
    </row>
    <row r="930" spans="5:14" x14ac:dyDescent="0.3">
      <c r="E930" s="67">
        <f ca="1">IFERROR(C930*D930*_xlfn.XLOOKUP(B930,[1]!TabCalc[Ticker],[1]!TabCalc[Scale]),0)</f>
        <v>0</v>
      </c>
      <c r="F930" s="68" cm="1">
        <f t="array" ref="F930">IF(A930=A929,0,SUM(_xlfn._xlws.FILTER(E930:E940,A930:A940=A930)))</f>
        <v>0</v>
      </c>
      <c r="G930" s="69">
        <f>IF(F930&lt;&gt;0,SUM($F$43:F930),0)</f>
        <v>0</v>
      </c>
      <c r="H930" s="69" cm="1">
        <f t="array" ref="H930">IFERROR(IF(A930=A929,0,SUM(_xlfn._xlws.FILTER(E930:E940,(A930:A940=A930)*(E930:E940&gt;0)))),0)</f>
        <v>0</v>
      </c>
      <c r="I930" s="69" cm="1">
        <f t="array" ref="I930">IFERROR(IF(A930=A929,0,SUM(_xlfn._xlws.FILTER(E930:E940,(A930:A940=A930)*(F930&lt;0)))),0)</f>
        <v>0</v>
      </c>
      <c r="J930" s="81" t="str">
        <f ca="1">IFERROR(_xlfn.XLOOKUP(B930,[1]!TabCalc[Ticker],[1]!TabCalc[Cur]),"")</f>
        <v/>
      </c>
      <c r="K930" s="68" cm="1">
        <f t="array" ref="K930">IFERROR(IF($A930=$A929,0,SUM(_xlfn._xlws.FILTER($E930:$E940,($A930:$A940=$A930)*($J930:$J940=K$42)))),0)</f>
        <v>0</v>
      </c>
      <c r="L930" s="68" cm="1">
        <f t="array" ref="L930">IFERROR(IF($A930=$A929,0,SUM(_xlfn._xlws.FILTER($E930:$E940,($A930:$A940=$A930)*($J930:$J940=L$42)))),0)</f>
        <v>0</v>
      </c>
      <c r="M930" s="68" cm="1">
        <f t="array" ref="M930">IFERROR(IF($A930=$A929,0,SUM(_xlfn._xlws.FILTER($E930:$E940,($A930:$A940=$A930)*($J930:$J940=M$42)))),0)</f>
        <v>0</v>
      </c>
      <c r="N930" s="68" cm="1">
        <f t="array" ref="N930">IFERROR(IF($A930=$A929,0,SUM(_xlfn._xlws.FILTER($E930:$E940,($A930:$A940=$A930)*($J930:$J940=N$42)))),0)</f>
        <v>0</v>
      </c>
    </row>
    <row r="931" spans="5:14" x14ac:dyDescent="0.3">
      <c r="E931" s="67">
        <f ca="1">IFERROR(C931*D931*_xlfn.XLOOKUP(B931,[1]!TabCalc[Ticker],[1]!TabCalc[Scale]),0)</f>
        <v>0</v>
      </c>
      <c r="F931" s="68" cm="1">
        <f t="array" ref="F931">IF(A931=A930,0,SUM(_xlfn._xlws.FILTER(E931:E941,A931:A941=A931)))</f>
        <v>0</v>
      </c>
      <c r="G931" s="69">
        <f>IF(F931&lt;&gt;0,SUM($F$43:F931),0)</f>
        <v>0</v>
      </c>
      <c r="H931" s="69" cm="1">
        <f t="array" ref="H931">IFERROR(IF(A931=A930,0,SUM(_xlfn._xlws.FILTER(E931:E941,(A931:A941=A931)*(E931:E941&gt;0)))),0)</f>
        <v>0</v>
      </c>
      <c r="I931" s="69" cm="1">
        <f t="array" ref="I931">IFERROR(IF(A931=A930,0,SUM(_xlfn._xlws.FILTER(E931:E941,(A931:A941=A931)*(F931&lt;0)))),0)</f>
        <v>0</v>
      </c>
      <c r="J931" s="81" t="str">
        <f ca="1">IFERROR(_xlfn.XLOOKUP(B931,[1]!TabCalc[Ticker],[1]!TabCalc[Cur]),"")</f>
        <v/>
      </c>
      <c r="K931" s="68" cm="1">
        <f t="array" ref="K931">IFERROR(IF($A931=$A930,0,SUM(_xlfn._xlws.FILTER($E931:$E941,($A931:$A941=$A931)*($J931:$J941=K$42)))),0)</f>
        <v>0</v>
      </c>
      <c r="L931" s="68" cm="1">
        <f t="array" ref="L931">IFERROR(IF($A931=$A930,0,SUM(_xlfn._xlws.FILTER($E931:$E941,($A931:$A941=$A931)*($J931:$J941=L$42)))),0)</f>
        <v>0</v>
      </c>
      <c r="M931" s="68" cm="1">
        <f t="array" ref="M931">IFERROR(IF($A931=$A930,0,SUM(_xlfn._xlws.FILTER($E931:$E941,($A931:$A941=$A931)*($J931:$J941=M$42)))),0)</f>
        <v>0</v>
      </c>
      <c r="N931" s="68" cm="1">
        <f t="array" ref="N931">IFERROR(IF($A931=$A930,0,SUM(_xlfn._xlws.FILTER($E931:$E941,($A931:$A941=$A931)*($J931:$J941=N$42)))),0)</f>
        <v>0</v>
      </c>
    </row>
    <row r="932" spans="5:14" x14ac:dyDescent="0.3">
      <c r="E932" s="67">
        <f ca="1">IFERROR(C932*D932*_xlfn.XLOOKUP(B932,[1]!TabCalc[Ticker],[1]!TabCalc[Scale]),0)</f>
        <v>0</v>
      </c>
      <c r="F932" s="68" cm="1">
        <f t="array" ref="F932">IF(A932=A931,0,SUM(_xlfn._xlws.FILTER(E932:E942,A932:A942=A932)))</f>
        <v>0</v>
      </c>
      <c r="G932" s="69">
        <f>IF(F932&lt;&gt;0,SUM($F$43:F932),0)</f>
        <v>0</v>
      </c>
      <c r="H932" s="69" cm="1">
        <f t="array" ref="H932">IFERROR(IF(A932=A931,0,SUM(_xlfn._xlws.FILTER(E932:E942,(A932:A942=A932)*(E932:E942&gt;0)))),0)</f>
        <v>0</v>
      </c>
      <c r="I932" s="69" cm="1">
        <f t="array" ref="I932">IFERROR(IF(A932=A931,0,SUM(_xlfn._xlws.FILTER(E932:E942,(A932:A942=A932)*(F932&lt;0)))),0)</f>
        <v>0</v>
      </c>
      <c r="J932" s="81" t="str">
        <f ca="1">IFERROR(_xlfn.XLOOKUP(B932,[1]!TabCalc[Ticker],[1]!TabCalc[Cur]),"")</f>
        <v/>
      </c>
      <c r="K932" s="68" cm="1">
        <f t="array" ref="K932">IFERROR(IF($A932=$A931,0,SUM(_xlfn._xlws.FILTER($E932:$E942,($A932:$A942=$A932)*($J932:$J942=K$42)))),0)</f>
        <v>0</v>
      </c>
      <c r="L932" s="68" cm="1">
        <f t="array" ref="L932">IFERROR(IF($A932=$A931,0,SUM(_xlfn._xlws.FILTER($E932:$E942,($A932:$A942=$A932)*($J932:$J942=L$42)))),0)</f>
        <v>0</v>
      </c>
      <c r="M932" s="68" cm="1">
        <f t="array" ref="M932">IFERROR(IF($A932=$A931,0,SUM(_xlfn._xlws.FILTER($E932:$E942,($A932:$A942=$A932)*($J932:$J942=M$42)))),0)</f>
        <v>0</v>
      </c>
      <c r="N932" s="68" cm="1">
        <f t="array" ref="N932">IFERROR(IF($A932=$A931,0,SUM(_xlfn._xlws.FILTER($E932:$E942,($A932:$A942=$A932)*($J932:$J942=N$42)))),0)</f>
        <v>0</v>
      </c>
    </row>
    <row r="933" spans="5:14" x14ac:dyDescent="0.3">
      <c r="E933" s="67">
        <f ca="1">IFERROR(C933*D933*_xlfn.XLOOKUP(B933,[1]!TabCalc[Ticker],[1]!TabCalc[Scale]),0)</f>
        <v>0</v>
      </c>
      <c r="F933" s="68" cm="1">
        <f t="array" ref="F933">IF(A933=A932,0,SUM(_xlfn._xlws.FILTER(E933:E943,A933:A943=A933)))</f>
        <v>0</v>
      </c>
      <c r="G933" s="69">
        <f>IF(F933&lt;&gt;0,SUM($F$43:F933),0)</f>
        <v>0</v>
      </c>
      <c r="H933" s="69" cm="1">
        <f t="array" ref="H933">IFERROR(IF(A933=A932,0,SUM(_xlfn._xlws.FILTER(E933:E943,(A933:A943=A933)*(E933:E943&gt;0)))),0)</f>
        <v>0</v>
      </c>
      <c r="I933" s="69" cm="1">
        <f t="array" ref="I933">IFERROR(IF(A933=A932,0,SUM(_xlfn._xlws.FILTER(E933:E943,(A933:A943=A933)*(F933&lt;0)))),0)</f>
        <v>0</v>
      </c>
      <c r="J933" s="81" t="str">
        <f ca="1">IFERROR(_xlfn.XLOOKUP(B933,[1]!TabCalc[Ticker],[1]!TabCalc[Cur]),"")</f>
        <v/>
      </c>
      <c r="K933" s="68" cm="1">
        <f t="array" ref="K933">IFERROR(IF($A933=$A932,0,SUM(_xlfn._xlws.FILTER($E933:$E943,($A933:$A943=$A933)*($J933:$J943=K$42)))),0)</f>
        <v>0</v>
      </c>
      <c r="L933" s="68" cm="1">
        <f t="array" ref="L933">IFERROR(IF($A933=$A932,0,SUM(_xlfn._xlws.FILTER($E933:$E943,($A933:$A943=$A933)*($J933:$J943=L$42)))),0)</f>
        <v>0</v>
      </c>
      <c r="M933" s="68" cm="1">
        <f t="array" ref="M933">IFERROR(IF($A933=$A932,0,SUM(_xlfn._xlws.FILTER($E933:$E943,($A933:$A943=$A933)*($J933:$J943=M$42)))),0)</f>
        <v>0</v>
      </c>
      <c r="N933" s="68" cm="1">
        <f t="array" ref="N933">IFERROR(IF($A933=$A932,0,SUM(_xlfn._xlws.FILTER($E933:$E943,($A933:$A943=$A933)*($J933:$J943=N$42)))),0)</f>
        <v>0</v>
      </c>
    </row>
    <row r="934" spans="5:14" x14ac:dyDescent="0.3">
      <c r="E934" s="67">
        <f ca="1">IFERROR(C934*D934*_xlfn.XLOOKUP(B934,[1]!TabCalc[Ticker],[1]!TabCalc[Scale]),0)</f>
        <v>0</v>
      </c>
      <c r="F934" s="68" cm="1">
        <f t="array" ref="F934">IF(A934=A933,0,SUM(_xlfn._xlws.FILTER(E934:E944,A934:A944=A934)))</f>
        <v>0</v>
      </c>
      <c r="G934" s="69">
        <f>IF(F934&lt;&gt;0,SUM($F$43:F934),0)</f>
        <v>0</v>
      </c>
      <c r="H934" s="69" cm="1">
        <f t="array" ref="H934">IFERROR(IF(A934=A933,0,SUM(_xlfn._xlws.FILTER(E934:E944,(A934:A944=A934)*(E934:E944&gt;0)))),0)</f>
        <v>0</v>
      </c>
      <c r="I934" s="69" cm="1">
        <f t="array" ref="I934">IFERROR(IF(A934=A933,0,SUM(_xlfn._xlws.FILTER(E934:E944,(A934:A944=A934)*(F934&lt;0)))),0)</f>
        <v>0</v>
      </c>
      <c r="J934" s="81" t="str">
        <f ca="1">IFERROR(_xlfn.XLOOKUP(B934,[1]!TabCalc[Ticker],[1]!TabCalc[Cur]),"")</f>
        <v/>
      </c>
      <c r="K934" s="68" cm="1">
        <f t="array" ref="K934">IFERROR(IF($A934=$A933,0,SUM(_xlfn._xlws.FILTER($E934:$E944,($A934:$A944=$A934)*($J934:$J944=K$42)))),0)</f>
        <v>0</v>
      </c>
      <c r="L934" s="68" cm="1">
        <f t="array" ref="L934">IFERROR(IF($A934=$A933,0,SUM(_xlfn._xlws.FILTER($E934:$E944,($A934:$A944=$A934)*($J934:$J944=L$42)))),0)</f>
        <v>0</v>
      </c>
      <c r="M934" s="68" cm="1">
        <f t="array" ref="M934">IFERROR(IF($A934=$A933,0,SUM(_xlfn._xlws.FILTER($E934:$E944,($A934:$A944=$A934)*($J934:$J944=M$42)))),0)</f>
        <v>0</v>
      </c>
      <c r="N934" s="68" cm="1">
        <f t="array" ref="N934">IFERROR(IF($A934=$A933,0,SUM(_xlfn._xlws.FILTER($E934:$E944,($A934:$A944=$A934)*($J934:$J944=N$42)))),0)</f>
        <v>0</v>
      </c>
    </row>
    <row r="935" spans="5:14" x14ac:dyDescent="0.3">
      <c r="E935" s="67">
        <f ca="1">IFERROR(C935*D935*_xlfn.XLOOKUP(B935,[1]!TabCalc[Ticker],[1]!TabCalc[Scale]),0)</f>
        <v>0</v>
      </c>
      <c r="F935" s="68" cm="1">
        <f t="array" ref="F935">IF(A935=A934,0,SUM(_xlfn._xlws.FILTER(E935:E945,A935:A945=A935)))</f>
        <v>0</v>
      </c>
      <c r="G935" s="69">
        <f>IF(F935&lt;&gt;0,SUM($F$43:F935),0)</f>
        <v>0</v>
      </c>
      <c r="H935" s="69" cm="1">
        <f t="array" ref="H935">IFERROR(IF(A935=A934,0,SUM(_xlfn._xlws.FILTER(E935:E945,(A935:A945=A935)*(E935:E945&gt;0)))),0)</f>
        <v>0</v>
      </c>
      <c r="I935" s="69" cm="1">
        <f t="array" ref="I935">IFERROR(IF(A935=A934,0,SUM(_xlfn._xlws.FILTER(E935:E945,(A935:A945=A935)*(F935&lt;0)))),0)</f>
        <v>0</v>
      </c>
      <c r="J935" s="81" t="str">
        <f ca="1">IFERROR(_xlfn.XLOOKUP(B935,[1]!TabCalc[Ticker],[1]!TabCalc[Cur]),"")</f>
        <v/>
      </c>
      <c r="K935" s="68" cm="1">
        <f t="array" ref="K935">IFERROR(IF($A935=$A934,0,SUM(_xlfn._xlws.FILTER($E935:$E945,($A935:$A945=$A935)*($J935:$J945=K$42)))),0)</f>
        <v>0</v>
      </c>
      <c r="L935" s="68" cm="1">
        <f t="array" ref="L935">IFERROR(IF($A935=$A934,0,SUM(_xlfn._xlws.FILTER($E935:$E945,($A935:$A945=$A935)*($J935:$J945=L$42)))),0)</f>
        <v>0</v>
      </c>
      <c r="M935" s="68" cm="1">
        <f t="array" ref="M935">IFERROR(IF($A935=$A934,0,SUM(_xlfn._xlws.FILTER($E935:$E945,($A935:$A945=$A935)*($J935:$J945=M$42)))),0)</f>
        <v>0</v>
      </c>
      <c r="N935" s="68" cm="1">
        <f t="array" ref="N935">IFERROR(IF($A935=$A934,0,SUM(_xlfn._xlws.FILTER($E935:$E945,($A935:$A945=$A935)*($J935:$J945=N$42)))),0)</f>
        <v>0</v>
      </c>
    </row>
    <row r="936" spans="5:14" x14ac:dyDescent="0.3">
      <c r="E936" s="67">
        <f ca="1">IFERROR(C936*D936*_xlfn.XLOOKUP(B936,[1]!TabCalc[Ticker],[1]!TabCalc[Scale]),0)</f>
        <v>0</v>
      </c>
      <c r="F936" s="68" cm="1">
        <f t="array" ref="F936">IF(A936=A935,0,SUM(_xlfn._xlws.FILTER(E936:E946,A936:A946=A936)))</f>
        <v>0</v>
      </c>
      <c r="G936" s="69">
        <f>IF(F936&lt;&gt;0,SUM($F$43:F936),0)</f>
        <v>0</v>
      </c>
      <c r="H936" s="69" cm="1">
        <f t="array" ref="H936">IFERROR(IF(A936=A935,0,SUM(_xlfn._xlws.FILTER(E936:E946,(A936:A946=A936)*(E936:E946&gt;0)))),0)</f>
        <v>0</v>
      </c>
      <c r="I936" s="69" cm="1">
        <f t="array" ref="I936">IFERROR(IF(A936=A935,0,SUM(_xlfn._xlws.FILTER(E936:E946,(A936:A946=A936)*(F936&lt;0)))),0)</f>
        <v>0</v>
      </c>
      <c r="J936" s="81" t="str">
        <f ca="1">IFERROR(_xlfn.XLOOKUP(B936,[1]!TabCalc[Ticker],[1]!TabCalc[Cur]),"")</f>
        <v/>
      </c>
      <c r="K936" s="68" cm="1">
        <f t="array" ref="K936">IFERROR(IF($A936=$A935,0,SUM(_xlfn._xlws.FILTER($E936:$E946,($A936:$A946=$A936)*($J936:$J946=K$42)))),0)</f>
        <v>0</v>
      </c>
      <c r="L936" s="68" cm="1">
        <f t="array" ref="L936">IFERROR(IF($A936=$A935,0,SUM(_xlfn._xlws.FILTER($E936:$E946,($A936:$A946=$A936)*($J936:$J946=L$42)))),0)</f>
        <v>0</v>
      </c>
      <c r="M936" s="68" cm="1">
        <f t="array" ref="M936">IFERROR(IF($A936=$A935,0,SUM(_xlfn._xlws.FILTER($E936:$E946,($A936:$A946=$A936)*($J936:$J946=M$42)))),0)</f>
        <v>0</v>
      </c>
      <c r="N936" s="68" cm="1">
        <f t="array" ref="N936">IFERROR(IF($A936=$A935,0,SUM(_xlfn._xlws.FILTER($E936:$E946,($A936:$A946=$A936)*($J936:$J946=N$42)))),0)</f>
        <v>0</v>
      </c>
    </row>
    <row r="937" spans="5:14" x14ac:dyDescent="0.3">
      <c r="E937" s="67">
        <f ca="1">IFERROR(C937*D937*_xlfn.XLOOKUP(B937,[1]!TabCalc[Ticker],[1]!TabCalc[Scale]),0)</f>
        <v>0</v>
      </c>
      <c r="F937" s="68" cm="1">
        <f t="array" ref="F937">IF(A937=A936,0,SUM(_xlfn._xlws.FILTER(E937:E947,A937:A947=A937)))</f>
        <v>0</v>
      </c>
      <c r="G937" s="69">
        <f>IF(F937&lt;&gt;0,SUM($F$43:F937),0)</f>
        <v>0</v>
      </c>
      <c r="H937" s="69" cm="1">
        <f t="array" ref="H937">IFERROR(IF(A937=A936,0,SUM(_xlfn._xlws.FILTER(E937:E947,(A937:A947=A937)*(E937:E947&gt;0)))),0)</f>
        <v>0</v>
      </c>
      <c r="I937" s="69" cm="1">
        <f t="array" ref="I937">IFERROR(IF(A937=A936,0,SUM(_xlfn._xlws.FILTER(E937:E947,(A937:A947=A937)*(F937&lt;0)))),0)</f>
        <v>0</v>
      </c>
      <c r="J937" s="81" t="str">
        <f ca="1">IFERROR(_xlfn.XLOOKUP(B937,[1]!TabCalc[Ticker],[1]!TabCalc[Cur]),"")</f>
        <v/>
      </c>
      <c r="K937" s="68" cm="1">
        <f t="array" ref="K937">IFERROR(IF($A937=$A936,0,SUM(_xlfn._xlws.FILTER($E937:$E947,($A937:$A947=$A937)*($J937:$J947=K$42)))),0)</f>
        <v>0</v>
      </c>
      <c r="L937" s="68" cm="1">
        <f t="array" ref="L937">IFERROR(IF($A937=$A936,0,SUM(_xlfn._xlws.FILTER($E937:$E947,($A937:$A947=$A937)*($J937:$J947=L$42)))),0)</f>
        <v>0</v>
      </c>
      <c r="M937" s="68" cm="1">
        <f t="array" ref="M937">IFERROR(IF($A937=$A936,0,SUM(_xlfn._xlws.FILTER($E937:$E947,($A937:$A947=$A937)*($J937:$J947=M$42)))),0)</f>
        <v>0</v>
      </c>
      <c r="N937" s="68" cm="1">
        <f t="array" ref="N937">IFERROR(IF($A937=$A936,0,SUM(_xlfn._xlws.FILTER($E937:$E947,($A937:$A947=$A937)*($J937:$J947=N$42)))),0)</f>
        <v>0</v>
      </c>
    </row>
    <row r="938" spans="5:14" x14ac:dyDescent="0.3">
      <c r="E938" s="67">
        <f ca="1">IFERROR(C938*D938*_xlfn.XLOOKUP(B938,[1]!TabCalc[Ticker],[1]!TabCalc[Scale]),0)</f>
        <v>0</v>
      </c>
      <c r="F938" s="68" cm="1">
        <f t="array" ref="F938">IF(A938=A937,0,SUM(_xlfn._xlws.FILTER(E938:E948,A938:A948=A938)))</f>
        <v>0</v>
      </c>
      <c r="G938" s="69">
        <f>IF(F938&lt;&gt;0,SUM($F$43:F938),0)</f>
        <v>0</v>
      </c>
      <c r="H938" s="69" cm="1">
        <f t="array" ref="H938">IFERROR(IF(A938=A937,0,SUM(_xlfn._xlws.FILTER(E938:E948,(A938:A948=A938)*(E938:E948&gt;0)))),0)</f>
        <v>0</v>
      </c>
      <c r="I938" s="69" cm="1">
        <f t="array" ref="I938">IFERROR(IF(A938=A937,0,SUM(_xlfn._xlws.FILTER(E938:E948,(A938:A948=A938)*(F938&lt;0)))),0)</f>
        <v>0</v>
      </c>
      <c r="J938" s="81" t="str">
        <f ca="1">IFERROR(_xlfn.XLOOKUP(B938,[1]!TabCalc[Ticker],[1]!TabCalc[Cur]),"")</f>
        <v/>
      </c>
      <c r="K938" s="68" cm="1">
        <f t="array" ref="K938">IFERROR(IF($A938=$A937,0,SUM(_xlfn._xlws.FILTER($E938:$E948,($A938:$A948=$A938)*($J938:$J948=K$42)))),0)</f>
        <v>0</v>
      </c>
      <c r="L938" s="68" cm="1">
        <f t="array" ref="L938">IFERROR(IF($A938=$A937,0,SUM(_xlfn._xlws.FILTER($E938:$E948,($A938:$A948=$A938)*($J938:$J948=L$42)))),0)</f>
        <v>0</v>
      </c>
      <c r="M938" s="68" cm="1">
        <f t="array" ref="M938">IFERROR(IF($A938=$A937,0,SUM(_xlfn._xlws.FILTER($E938:$E948,($A938:$A948=$A938)*($J938:$J948=M$42)))),0)</f>
        <v>0</v>
      </c>
      <c r="N938" s="68" cm="1">
        <f t="array" ref="N938">IFERROR(IF($A938=$A937,0,SUM(_xlfn._xlws.FILTER($E938:$E948,($A938:$A948=$A938)*($J938:$J948=N$42)))),0)</f>
        <v>0</v>
      </c>
    </row>
    <row r="939" spans="5:14" x14ac:dyDescent="0.3">
      <c r="E939" s="67">
        <f ca="1">IFERROR(C939*D939*_xlfn.XLOOKUP(B939,[1]!TabCalc[Ticker],[1]!TabCalc[Scale]),0)</f>
        <v>0</v>
      </c>
      <c r="F939" s="68" cm="1">
        <f t="array" ref="F939">IF(A939=A938,0,SUM(_xlfn._xlws.FILTER(E939:E949,A939:A949=A939)))</f>
        <v>0</v>
      </c>
      <c r="G939" s="69">
        <f>IF(F939&lt;&gt;0,SUM($F$43:F939),0)</f>
        <v>0</v>
      </c>
      <c r="H939" s="69" cm="1">
        <f t="array" ref="H939">IFERROR(IF(A939=A938,0,SUM(_xlfn._xlws.FILTER(E939:E949,(A939:A949=A939)*(E939:E949&gt;0)))),0)</f>
        <v>0</v>
      </c>
      <c r="I939" s="69" cm="1">
        <f t="array" ref="I939">IFERROR(IF(A939=A938,0,SUM(_xlfn._xlws.FILTER(E939:E949,(A939:A949=A939)*(F939&lt;0)))),0)</f>
        <v>0</v>
      </c>
      <c r="J939" s="81" t="str">
        <f ca="1">IFERROR(_xlfn.XLOOKUP(B939,[1]!TabCalc[Ticker],[1]!TabCalc[Cur]),"")</f>
        <v/>
      </c>
      <c r="K939" s="68" cm="1">
        <f t="array" ref="K939">IFERROR(IF($A939=$A938,0,SUM(_xlfn._xlws.FILTER($E939:$E949,($A939:$A949=$A939)*($J939:$J949=K$42)))),0)</f>
        <v>0</v>
      </c>
      <c r="L939" s="68" cm="1">
        <f t="array" ref="L939">IFERROR(IF($A939=$A938,0,SUM(_xlfn._xlws.FILTER($E939:$E949,($A939:$A949=$A939)*($J939:$J949=L$42)))),0)</f>
        <v>0</v>
      </c>
      <c r="M939" s="68" cm="1">
        <f t="array" ref="M939">IFERROR(IF($A939=$A938,0,SUM(_xlfn._xlws.FILTER($E939:$E949,($A939:$A949=$A939)*($J939:$J949=M$42)))),0)</f>
        <v>0</v>
      </c>
      <c r="N939" s="68" cm="1">
        <f t="array" ref="N939">IFERROR(IF($A939=$A938,0,SUM(_xlfn._xlws.FILTER($E939:$E949,($A939:$A949=$A939)*($J939:$J949=N$42)))),0)</f>
        <v>0</v>
      </c>
    </row>
    <row r="940" spans="5:14" x14ac:dyDescent="0.3">
      <c r="E940" s="67">
        <f ca="1">IFERROR(C940*D940*_xlfn.XLOOKUP(B940,[1]!TabCalc[Ticker],[1]!TabCalc[Scale]),0)</f>
        <v>0</v>
      </c>
      <c r="F940" s="68" cm="1">
        <f t="array" ref="F940">IF(A940=A939,0,SUM(_xlfn._xlws.FILTER(E940:E950,A940:A950=A940)))</f>
        <v>0</v>
      </c>
      <c r="G940" s="69">
        <f>IF(F940&lt;&gt;0,SUM($F$43:F940),0)</f>
        <v>0</v>
      </c>
      <c r="H940" s="69" cm="1">
        <f t="array" ref="H940">IFERROR(IF(A940=A939,0,SUM(_xlfn._xlws.FILTER(E940:E950,(A940:A950=A940)*(E940:E950&gt;0)))),0)</f>
        <v>0</v>
      </c>
      <c r="I940" s="69" cm="1">
        <f t="array" ref="I940">IFERROR(IF(A940=A939,0,SUM(_xlfn._xlws.FILTER(E940:E950,(A940:A950=A940)*(F940&lt;0)))),0)</f>
        <v>0</v>
      </c>
      <c r="J940" s="81" t="str">
        <f ca="1">IFERROR(_xlfn.XLOOKUP(B940,[1]!TabCalc[Ticker],[1]!TabCalc[Cur]),"")</f>
        <v/>
      </c>
      <c r="K940" s="68" cm="1">
        <f t="array" ref="K940">IFERROR(IF($A940=$A939,0,SUM(_xlfn._xlws.FILTER($E940:$E950,($A940:$A950=$A940)*($J940:$J950=K$42)))),0)</f>
        <v>0</v>
      </c>
      <c r="L940" s="68" cm="1">
        <f t="array" ref="L940">IFERROR(IF($A940=$A939,0,SUM(_xlfn._xlws.FILTER($E940:$E950,($A940:$A950=$A940)*($J940:$J950=L$42)))),0)</f>
        <v>0</v>
      </c>
      <c r="M940" s="68" cm="1">
        <f t="array" ref="M940">IFERROR(IF($A940=$A939,0,SUM(_xlfn._xlws.FILTER($E940:$E950,($A940:$A950=$A940)*($J940:$J950=M$42)))),0)</f>
        <v>0</v>
      </c>
      <c r="N940" s="68" cm="1">
        <f t="array" ref="N940">IFERROR(IF($A940=$A939,0,SUM(_xlfn._xlws.FILTER($E940:$E950,($A940:$A950=$A940)*($J940:$J950=N$42)))),0)</f>
        <v>0</v>
      </c>
    </row>
    <row r="941" spans="5:14" x14ac:dyDescent="0.3">
      <c r="E941" s="67">
        <f ca="1">IFERROR(C941*D941*_xlfn.XLOOKUP(B941,[1]!TabCalc[Ticker],[1]!TabCalc[Scale]),0)</f>
        <v>0</v>
      </c>
      <c r="F941" s="68" cm="1">
        <f t="array" ref="F941">IF(A941=A940,0,SUM(_xlfn._xlws.FILTER(E941:E951,A941:A951=A941)))</f>
        <v>0</v>
      </c>
      <c r="G941" s="69">
        <f>IF(F941&lt;&gt;0,SUM($F$43:F941),0)</f>
        <v>0</v>
      </c>
      <c r="H941" s="69" cm="1">
        <f t="array" ref="H941">IFERROR(IF(A941=A940,0,SUM(_xlfn._xlws.FILTER(E941:E951,(A941:A951=A941)*(E941:E951&gt;0)))),0)</f>
        <v>0</v>
      </c>
      <c r="I941" s="69" cm="1">
        <f t="array" ref="I941">IFERROR(IF(A941=A940,0,SUM(_xlfn._xlws.FILTER(E941:E951,(A941:A951=A941)*(F941&lt;0)))),0)</f>
        <v>0</v>
      </c>
      <c r="J941" s="81" t="str">
        <f ca="1">IFERROR(_xlfn.XLOOKUP(B941,[1]!TabCalc[Ticker],[1]!TabCalc[Cur]),"")</f>
        <v/>
      </c>
      <c r="K941" s="68" cm="1">
        <f t="array" ref="K941">IFERROR(IF($A941=$A940,0,SUM(_xlfn._xlws.FILTER($E941:$E951,($A941:$A951=$A941)*($J941:$J951=K$42)))),0)</f>
        <v>0</v>
      </c>
      <c r="L941" s="68" cm="1">
        <f t="array" ref="L941">IFERROR(IF($A941=$A940,0,SUM(_xlfn._xlws.FILTER($E941:$E951,($A941:$A951=$A941)*($J941:$J951=L$42)))),0)</f>
        <v>0</v>
      </c>
      <c r="M941" s="68" cm="1">
        <f t="array" ref="M941">IFERROR(IF($A941=$A940,0,SUM(_xlfn._xlws.FILTER($E941:$E951,($A941:$A951=$A941)*($J941:$J951=M$42)))),0)</f>
        <v>0</v>
      </c>
      <c r="N941" s="68" cm="1">
        <f t="array" ref="N941">IFERROR(IF($A941=$A940,0,SUM(_xlfn._xlws.FILTER($E941:$E951,($A941:$A951=$A941)*($J941:$J951=N$42)))),0)</f>
        <v>0</v>
      </c>
    </row>
    <row r="942" spans="5:14" x14ac:dyDescent="0.3">
      <c r="E942" s="67">
        <f ca="1">IFERROR(C942*D942*_xlfn.XLOOKUP(B942,[1]!TabCalc[Ticker],[1]!TabCalc[Scale]),0)</f>
        <v>0</v>
      </c>
      <c r="F942" s="68" cm="1">
        <f t="array" ref="F942">IF(A942=A941,0,SUM(_xlfn._xlws.FILTER(E942:E952,A942:A952=A942)))</f>
        <v>0</v>
      </c>
      <c r="G942" s="69">
        <f>IF(F942&lt;&gt;0,SUM($F$43:F942),0)</f>
        <v>0</v>
      </c>
      <c r="H942" s="69" cm="1">
        <f t="array" ref="H942">IFERROR(IF(A942=A941,0,SUM(_xlfn._xlws.FILTER(E942:E952,(A942:A952=A942)*(E942:E952&gt;0)))),0)</f>
        <v>0</v>
      </c>
      <c r="I942" s="69" cm="1">
        <f t="array" ref="I942">IFERROR(IF(A942=A941,0,SUM(_xlfn._xlws.FILTER(E942:E952,(A942:A952=A942)*(F942&lt;0)))),0)</f>
        <v>0</v>
      </c>
      <c r="J942" s="81" t="str">
        <f ca="1">IFERROR(_xlfn.XLOOKUP(B942,[1]!TabCalc[Ticker],[1]!TabCalc[Cur]),"")</f>
        <v/>
      </c>
      <c r="K942" s="68" cm="1">
        <f t="array" ref="K942">IFERROR(IF($A942=$A941,0,SUM(_xlfn._xlws.FILTER($E942:$E952,($A942:$A952=$A942)*($J942:$J952=K$42)))),0)</f>
        <v>0</v>
      </c>
      <c r="L942" s="68" cm="1">
        <f t="array" ref="L942">IFERROR(IF($A942=$A941,0,SUM(_xlfn._xlws.FILTER($E942:$E952,($A942:$A952=$A942)*($J942:$J952=L$42)))),0)</f>
        <v>0</v>
      </c>
      <c r="M942" s="68" cm="1">
        <f t="array" ref="M942">IFERROR(IF($A942=$A941,0,SUM(_xlfn._xlws.FILTER($E942:$E952,($A942:$A952=$A942)*($J942:$J952=M$42)))),0)</f>
        <v>0</v>
      </c>
      <c r="N942" s="68" cm="1">
        <f t="array" ref="N942">IFERROR(IF($A942=$A941,0,SUM(_xlfn._xlws.FILTER($E942:$E952,($A942:$A952=$A942)*($J942:$J952=N$42)))),0)</f>
        <v>0</v>
      </c>
    </row>
    <row r="943" spans="5:14" x14ac:dyDescent="0.3">
      <c r="E943" s="67">
        <f ca="1">IFERROR(C943*D943*_xlfn.XLOOKUP(B943,[1]!TabCalc[Ticker],[1]!TabCalc[Scale]),0)</f>
        <v>0</v>
      </c>
      <c r="F943" s="68" cm="1">
        <f t="array" ref="F943">IF(A943=A942,0,SUM(_xlfn._xlws.FILTER(E943:E953,A943:A953=A943)))</f>
        <v>0</v>
      </c>
      <c r="G943" s="69">
        <f>IF(F943&lt;&gt;0,SUM($F$43:F943),0)</f>
        <v>0</v>
      </c>
      <c r="H943" s="69" cm="1">
        <f t="array" ref="H943">IFERROR(IF(A943=A942,0,SUM(_xlfn._xlws.FILTER(E943:E953,(A943:A953=A943)*(E943:E953&gt;0)))),0)</f>
        <v>0</v>
      </c>
      <c r="I943" s="69" cm="1">
        <f t="array" ref="I943">IFERROR(IF(A943=A942,0,SUM(_xlfn._xlws.FILTER(E943:E953,(A943:A953=A943)*(F943&lt;0)))),0)</f>
        <v>0</v>
      </c>
      <c r="J943" s="81" t="str">
        <f ca="1">IFERROR(_xlfn.XLOOKUP(B943,[1]!TabCalc[Ticker],[1]!TabCalc[Cur]),"")</f>
        <v/>
      </c>
      <c r="K943" s="68" cm="1">
        <f t="array" ref="K943">IFERROR(IF($A943=$A942,0,SUM(_xlfn._xlws.FILTER($E943:$E953,($A943:$A953=$A943)*($J943:$J953=K$42)))),0)</f>
        <v>0</v>
      </c>
      <c r="L943" s="68" cm="1">
        <f t="array" ref="L943">IFERROR(IF($A943=$A942,0,SUM(_xlfn._xlws.FILTER($E943:$E953,($A943:$A953=$A943)*($J943:$J953=L$42)))),0)</f>
        <v>0</v>
      </c>
      <c r="M943" s="68" cm="1">
        <f t="array" ref="M943">IFERROR(IF($A943=$A942,0,SUM(_xlfn._xlws.FILTER($E943:$E953,($A943:$A953=$A943)*($J943:$J953=M$42)))),0)</f>
        <v>0</v>
      </c>
      <c r="N943" s="68" cm="1">
        <f t="array" ref="N943">IFERROR(IF($A943=$A942,0,SUM(_xlfn._xlws.FILTER($E943:$E953,($A943:$A953=$A943)*($J943:$J953=N$42)))),0)</f>
        <v>0</v>
      </c>
    </row>
    <row r="944" spans="5:14" x14ac:dyDescent="0.3">
      <c r="E944" s="67">
        <f ca="1">IFERROR(C944*D944*_xlfn.XLOOKUP(B944,[1]!TabCalc[Ticker],[1]!TabCalc[Scale]),0)</f>
        <v>0</v>
      </c>
      <c r="F944" s="68" cm="1">
        <f t="array" ref="F944">IF(A944=A943,0,SUM(_xlfn._xlws.FILTER(E944:E954,A944:A954=A944)))</f>
        <v>0</v>
      </c>
      <c r="G944" s="69">
        <f>IF(F944&lt;&gt;0,SUM($F$43:F944),0)</f>
        <v>0</v>
      </c>
      <c r="H944" s="69" cm="1">
        <f t="array" ref="H944">IFERROR(IF(A944=A943,0,SUM(_xlfn._xlws.FILTER(E944:E954,(A944:A954=A944)*(E944:E954&gt;0)))),0)</f>
        <v>0</v>
      </c>
      <c r="I944" s="69" cm="1">
        <f t="array" ref="I944">IFERROR(IF(A944=A943,0,SUM(_xlfn._xlws.FILTER(E944:E954,(A944:A954=A944)*(F944&lt;0)))),0)</f>
        <v>0</v>
      </c>
      <c r="J944" s="81" t="str">
        <f ca="1">IFERROR(_xlfn.XLOOKUP(B944,[1]!TabCalc[Ticker],[1]!TabCalc[Cur]),"")</f>
        <v/>
      </c>
      <c r="K944" s="68" cm="1">
        <f t="array" ref="K944">IFERROR(IF($A944=$A943,0,SUM(_xlfn._xlws.FILTER($E944:$E954,($A944:$A954=$A944)*($J944:$J954=K$42)))),0)</f>
        <v>0</v>
      </c>
      <c r="L944" s="68" cm="1">
        <f t="array" ref="L944">IFERROR(IF($A944=$A943,0,SUM(_xlfn._xlws.FILTER($E944:$E954,($A944:$A954=$A944)*($J944:$J954=L$42)))),0)</f>
        <v>0</v>
      </c>
      <c r="M944" s="68" cm="1">
        <f t="array" ref="M944">IFERROR(IF($A944=$A943,0,SUM(_xlfn._xlws.FILTER($E944:$E954,($A944:$A954=$A944)*($J944:$J954=M$42)))),0)</f>
        <v>0</v>
      </c>
      <c r="N944" s="68" cm="1">
        <f t="array" ref="N944">IFERROR(IF($A944=$A943,0,SUM(_xlfn._xlws.FILTER($E944:$E954,($A944:$A954=$A944)*($J944:$J954=N$42)))),0)</f>
        <v>0</v>
      </c>
    </row>
    <row r="945" spans="5:14" x14ac:dyDescent="0.3">
      <c r="E945" s="67">
        <f ca="1">IFERROR(C945*D945*_xlfn.XLOOKUP(B945,[1]!TabCalc[Ticker],[1]!TabCalc[Scale]),0)</f>
        <v>0</v>
      </c>
      <c r="F945" s="68" cm="1">
        <f t="array" ref="F945">IF(A945=A944,0,SUM(_xlfn._xlws.FILTER(E945:E955,A945:A955=A945)))</f>
        <v>0</v>
      </c>
      <c r="G945" s="69">
        <f>IF(F945&lt;&gt;0,SUM($F$43:F945),0)</f>
        <v>0</v>
      </c>
      <c r="H945" s="69" cm="1">
        <f t="array" ref="H945">IFERROR(IF(A945=A944,0,SUM(_xlfn._xlws.FILTER(E945:E955,(A945:A955=A945)*(E945:E955&gt;0)))),0)</f>
        <v>0</v>
      </c>
      <c r="I945" s="69" cm="1">
        <f t="array" ref="I945">IFERROR(IF(A945=A944,0,SUM(_xlfn._xlws.FILTER(E945:E955,(A945:A955=A945)*(F945&lt;0)))),0)</f>
        <v>0</v>
      </c>
      <c r="J945" s="81" t="str">
        <f ca="1">IFERROR(_xlfn.XLOOKUP(B945,[1]!TabCalc[Ticker],[1]!TabCalc[Cur]),"")</f>
        <v/>
      </c>
      <c r="K945" s="68" cm="1">
        <f t="array" ref="K945">IFERROR(IF($A945=$A944,0,SUM(_xlfn._xlws.FILTER($E945:$E955,($A945:$A955=$A945)*($J945:$J955=K$42)))),0)</f>
        <v>0</v>
      </c>
      <c r="L945" s="68" cm="1">
        <f t="array" ref="L945">IFERROR(IF($A945=$A944,0,SUM(_xlfn._xlws.FILTER($E945:$E955,($A945:$A955=$A945)*($J945:$J955=L$42)))),0)</f>
        <v>0</v>
      </c>
      <c r="M945" s="68" cm="1">
        <f t="array" ref="M945">IFERROR(IF($A945=$A944,0,SUM(_xlfn._xlws.FILTER($E945:$E955,($A945:$A955=$A945)*($J945:$J955=M$42)))),0)</f>
        <v>0</v>
      </c>
      <c r="N945" s="68" cm="1">
        <f t="array" ref="N945">IFERROR(IF($A945=$A944,0,SUM(_xlfn._xlws.FILTER($E945:$E955,($A945:$A955=$A945)*($J945:$J955=N$42)))),0)</f>
        <v>0</v>
      </c>
    </row>
    <row r="946" spans="5:14" x14ac:dyDescent="0.3">
      <c r="E946" s="67">
        <f ca="1">IFERROR(C946*D946*_xlfn.XLOOKUP(B946,[1]!TabCalc[Ticker],[1]!TabCalc[Scale]),0)</f>
        <v>0</v>
      </c>
      <c r="F946" s="68" cm="1">
        <f t="array" ref="F946">IF(A946=A945,0,SUM(_xlfn._xlws.FILTER(E946:E956,A946:A956=A946)))</f>
        <v>0</v>
      </c>
      <c r="G946" s="69">
        <f>IF(F946&lt;&gt;0,SUM($F$43:F946),0)</f>
        <v>0</v>
      </c>
      <c r="H946" s="69" cm="1">
        <f t="array" ref="H946">IFERROR(IF(A946=A945,0,SUM(_xlfn._xlws.FILTER(E946:E956,(A946:A956=A946)*(E946:E956&gt;0)))),0)</f>
        <v>0</v>
      </c>
      <c r="I946" s="69" cm="1">
        <f t="array" ref="I946">IFERROR(IF(A946=A945,0,SUM(_xlfn._xlws.FILTER(E946:E956,(A946:A956=A946)*(F946&lt;0)))),0)</f>
        <v>0</v>
      </c>
      <c r="J946" s="81" t="str">
        <f ca="1">IFERROR(_xlfn.XLOOKUP(B946,[1]!TabCalc[Ticker],[1]!TabCalc[Cur]),"")</f>
        <v/>
      </c>
      <c r="K946" s="68" cm="1">
        <f t="array" ref="K946">IFERROR(IF($A946=$A945,0,SUM(_xlfn._xlws.FILTER($E946:$E956,($A946:$A956=$A946)*($J946:$J956=K$42)))),0)</f>
        <v>0</v>
      </c>
      <c r="L946" s="68" cm="1">
        <f t="array" ref="L946">IFERROR(IF($A946=$A945,0,SUM(_xlfn._xlws.FILTER($E946:$E956,($A946:$A956=$A946)*($J946:$J956=L$42)))),0)</f>
        <v>0</v>
      </c>
      <c r="M946" s="68" cm="1">
        <f t="array" ref="M946">IFERROR(IF($A946=$A945,0,SUM(_xlfn._xlws.FILTER($E946:$E956,($A946:$A956=$A946)*($J946:$J956=M$42)))),0)</f>
        <v>0</v>
      </c>
      <c r="N946" s="68" cm="1">
        <f t="array" ref="N946">IFERROR(IF($A946=$A945,0,SUM(_xlfn._xlws.FILTER($E946:$E956,($A946:$A956=$A946)*($J946:$J956=N$42)))),0)</f>
        <v>0</v>
      </c>
    </row>
    <row r="947" spans="5:14" x14ac:dyDescent="0.3">
      <c r="E947" s="67">
        <f ca="1">IFERROR(C947*D947*_xlfn.XLOOKUP(B947,[1]!TabCalc[Ticker],[1]!TabCalc[Scale]),0)</f>
        <v>0</v>
      </c>
      <c r="F947" s="68" cm="1">
        <f t="array" ref="F947">IF(A947=A946,0,SUM(_xlfn._xlws.FILTER(E947:E957,A947:A957=A947)))</f>
        <v>0</v>
      </c>
      <c r="G947" s="69">
        <f>IF(F947&lt;&gt;0,SUM($F$43:F947),0)</f>
        <v>0</v>
      </c>
      <c r="H947" s="69" cm="1">
        <f t="array" ref="H947">IFERROR(IF(A947=A946,0,SUM(_xlfn._xlws.FILTER(E947:E957,(A947:A957=A947)*(E947:E957&gt;0)))),0)</f>
        <v>0</v>
      </c>
      <c r="I947" s="69" cm="1">
        <f t="array" ref="I947">IFERROR(IF(A947=A946,0,SUM(_xlfn._xlws.FILTER(E947:E957,(A947:A957=A947)*(F947&lt;0)))),0)</f>
        <v>0</v>
      </c>
      <c r="J947" s="81" t="str">
        <f ca="1">IFERROR(_xlfn.XLOOKUP(B947,[1]!TabCalc[Ticker],[1]!TabCalc[Cur]),"")</f>
        <v/>
      </c>
      <c r="K947" s="68" cm="1">
        <f t="array" ref="K947">IFERROR(IF($A947=$A946,0,SUM(_xlfn._xlws.FILTER($E947:$E957,($A947:$A957=$A947)*($J947:$J957=K$42)))),0)</f>
        <v>0</v>
      </c>
      <c r="L947" s="68" cm="1">
        <f t="array" ref="L947">IFERROR(IF($A947=$A946,0,SUM(_xlfn._xlws.FILTER($E947:$E957,($A947:$A957=$A947)*($J947:$J957=L$42)))),0)</f>
        <v>0</v>
      </c>
      <c r="M947" s="68" cm="1">
        <f t="array" ref="M947">IFERROR(IF($A947=$A946,0,SUM(_xlfn._xlws.FILTER($E947:$E957,($A947:$A957=$A947)*($J947:$J957=M$42)))),0)</f>
        <v>0</v>
      </c>
      <c r="N947" s="68" cm="1">
        <f t="array" ref="N947">IFERROR(IF($A947=$A946,0,SUM(_xlfn._xlws.FILTER($E947:$E957,($A947:$A957=$A947)*($J947:$J957=N$42)))),0)</f>
        <v>0</v>
      </c>
    </row>
    <row r="948" spans="5:14" x14ac:dyDescent="0.3">
      <c r="E948" s="67">
        <f ca="1">IFERROR(C948*D948*_xlfn.XLOOKUP(B948,[1]!TabCalc[Ticker],[1]!TabCalc[Scale]),0)</f>
        <v>0</v>
      </c>
      <c r="F948" s="68" cm="1">
        <f t="array" ref="F948">IF(A948=A947,0,SUM(_xlfn._xlws.FILTER(E948:E958,A948:A958=A948)))</f>
        <v>0</v>
      </c>
      <c r="G948" s="69">
        <f>IF(F948&lt;&gt;0,SUM($F$43:F948),0)</f>
        <v>0</v>
      </c>
      <c r="H948" s="69" cm="1">
        <f t="array" ref="H948">IFERROR(IF(A948=A947,0,SUM(_xlfn._xlws.FILTER(E948:E958,(A948:A958=A948)*(E948:E958&gt;0)))),0)</f>
        <v>0</v>
      </c>
      <c r="I948" s="69" cm="1">
        <f t="array" ref="I948">IFERROR(IF(A948=A947,0,SUM(_xlfn._xlws.FILTER(E948:E958,(A948:A958=A948)*(F948&lt;0)))),0)</f>
        <v>0</v>
      </c>
      <c r="J948" s="81" t="str">
        <f ca="1">IFERROR(_xlfn.XLOOKUP(B948,[1]!TabCalc[Ticker],[1]!TabCalc[Cur]),"")</f>
        <v/>
      </c>
      <c r="K948" s="68" cm="1">
        <f t="array" ref="K948">IFERROR(IF($A948=$A947,0,SUM(_xlfn._xlws.FILTER($E948:$E958,($A948:$A958=$A948)*($J948:$J958=K$42)))),0)</f>
        <v>0</v>
      </c>
      <c r="L948" s="68" cm="1">
        <f t="array" ref="L948">IFERROR(IF($A948=$A947,0,SUM(_xlfn._xlws.FILTER($E948:$E958,($A948:$A958=$A948)*($J948:$J958=L$42)))),0)</f>
        <v>0</v>
      </c>
      <c r="M948" s="68" cm="1">
        <f t="array" ref="M948">IFERROR(IF($A948=$A947,0,SUM(_xlfn._xlws.FILTER($E948:$E958,($A948:$A958=$A948)*($J948:$J958=M$42)))),0)</f>
        <v>0</v>
      </c>
      <c r="N948" s="68" cm="1">
        <f t="array" ref="N948">IFERROR(IF($A948=$A947,0,SUM(_xlfn._xlws.FILTER($E948:$E958,($A948:$A958=$A948)*($J948:$J958=N$42)))),0)</f>
        <v>0</v>
      </c>
    </row>
    <row r="949" spans="5:14" x14ac:dyDescent="0.3">
      <c r="E949" s="67">
        <f ca="1">IFERROR(C949*D949*_xlfn.XLOOKUP(B949,[1]!TabCalc[Ticker],[1]!TabCalc[Scale]),0)</f>
        <v>0</v>
      </c>
      <c r="F949" s="68" cm="1">
        <f t="array" ref="F949">IF(A949=A948,0,SUM(_xlfn._xlws.FILTER(E949:E959,A949:A959=A949)))</f>
        <v>0</v>
      </c>
      <c r="G949" s="69">
        <f>IF(F949&lt;&gt;0,SUM($F$43:F949),0)</f>
        <v>0</v>
      </c>
      <c r="H949" s="69" cm="1">
        <f t="array" ref="H949">IFERROR(IF(A949=A948,0,SUM(_xlfn._xlws.FILTER(E949:E959,(A949:A959=A949)*(E949:E959&gt;0)))),0)</f>
        <v>0</v>
      </c>
      <c r="I949" s="69" cm="1">
        <f t="array" ref="I949">IFERROR(IF(A949=A948,0,SUM(_xlfn._xlws.FILTER(E949:E959,(A949:A959=A949)*(F949&lt;0)))),0)</f>
        <v>0</v>
      </c>
      <c r="J949" s="81" t="str">
        <f ca="1">IFERROR(_xlfn.XLOOKUP(B949,[1]!TabCalc[Ticker],[1]!TabCalc[Cur]),"")</f>
        <v/>
      </c>
      <c r="K949" s="68" cm="1">
        <f t="array" ref="K949">IFERROR(IF($A949=$A948,0,SUM(_xlfn._xlws.FILTER($E949:$E959,($A949:$A959=$A949)*($J949:$J959=K$42)))),0)</f>
        <v>0</v>
      </c>
      <c r="L949" s="68" cm="1">
        <f t="array" ref="L949">IFERROR(IF($A949=$A948,0,SUM(_xlfn._xlws.FILTER($E949:$E959,($A949:$A959=$A949)*($J949:$J959=L$42)))),0)</f>
        <v>0</v>
      </c>
      <c r="M949" s="68" cm="1">
        <f t="array" ref="M949">IFERROR(IF($A949=$A948,0,SUM(_xlfn._xlws.FILTER($E949:$E959,($A949:$A959=$A949)*($J949:$J959=M$42)))),0)</f>
        <v>0</v>
      </c>
      <c r="N949" s="68" cm="1">
        <f t="array" ref="N949">IFERROR(IF($A949=$A948,0,SUM(_xlfn._xlws.FILTER($E949:$E959,($A949:$A959=$A949)*($J949:$J959=N$42)))),0)</f>
        <v>0</v>
      </c>
    </row>
    <row r="950" spans="5:14" x14ac:dyDescent="0.3">
      <c r="E950" s="67">
        <f ca="1">IFERROR(C950*D950*_xlfn.XLOOKUP(B950,[1]!TabCalc[Ticker],[1]!TabCalc[Scale]),0)</f>
        <v>0</v>
      </c>
      <c r="F950" s="68" cm="1">
        <f t="array" ref="F950">IF(A950=A949,0,SUM(_xlfn._xlws.FILTER(E950:E960,A950:A960=A950)))</f>
        <v>0</v>
      </c>
      <c r="G950" s="69">
        <f>IF(F950&lt;&gt;0,SUM($F$43:F950),0)</f>
        <v>0</v>
      </c>
      <c r="H950" s="69" cm="1">
        <f t="array" ref="H950">IFERROR(IF(A950=A949,0,SUM(_xlfn._xlws.FILTER(E950:E960,(A950:A960=A950)*(E950:E960&gt;0)))),0)</f>
        <v>0</v>
      </c>
      <c r="I950" s="69" cm="1">
        <f t="array" ref="I950">IFERROR(IF(A950=A949,0,SUM(_xlfn._xlws.FILTER(E950:E960,(A950:A960=A950)*(F950&lt;0)))),0)</f>
        <v>0</v>
      </c>
      <c r="J950" s="81" t="str">
        <f ca="1">IFERROR(_xlfn.XLOOKUP(B950,[1]!TabCalc[Ticker],[1]!TabCalc[Cur]),"")</f>
        <v/>
      </c>
      <c r="K950" s="68" cm="1">
        <f t="array" ref="K950">IFERROR(IF($A950=$A949,0,SUM(_xlfn._xlws.FILTER($E950:$E960,($A950:$A960=$A950)*($J950:$J960=K$42)))),0)</f>
        <v>0</v>
      </c>
      <c r="L950" s="68" cm="1">
        <f t="array" ref="L950">IFERROR(IF($A950=$A949,0,SUM(_xlfn._xlws.FILTER($E950:$E960,($A950:$A960=$A950)*($J950:$J960=L$42)))),0)</f>
        <v>0</v>
      </c>
      <c r="M950" s="68" cm="1">
        <f t="array" ref="M950">IFERROR(IF($A950=$A949,0,SUM(_xlfn._xlws.FILTER($E950:$E960,($A950:$A960=$A950)*($J950:$J960=M$42)))),0)</f>
        <v>0</v>
      </c>
      <c r="N950" s="68" cm="1">
        <f t="array" ref="N950">IFERROR(IF($A950=$A949,0,SUM(_xlfn._xlws.FILTER($E950:$E960,($A950:$A960=$A950)*($J950:$J960=N$42)))),0)</f>
        <v>0</v>
      </c>
    </row>
    <row r="951" spans="5:14" x14ac:dyDescent="0.3">
      <c r="E951" s="67">
        <f ca="1">IFERROR(C951*D951*_xlfn.XLOOKUP(B951,[1]!TabCalc[Ticker],[1]!TabCalc[Scale]),0)</f>
        <v>0</v>
      </c>
      <c r="F951" s="68" cm="1">
        <f t="array" ref="F951">IF(A951=A950,0,SUM(_xlfn._xlws.FILTER(E951:E961,A951:A961=A951)))</f>
        <v>0</v>
      </c>
      <c r="G951" s="69">
        <f>IF(F951&lt;&gt;0,SUM($F$43:F951),0)</f>
        <v>0</v>
      </c>
      <c r="H951" s="69" cm="1">
        <f t="array" ref="H951">IFERROR(IF(A951=A950,0,SUM(_xlfn._xlws.FILTER(E951:E961,(A951:A961=A951)*(E951:E961&gt;0)))),0)</f>
        <v>0</v>
      </c>
      <c r="I951" s="69" cm="1">
        <f t="array" ref="I951">IFERROR(IF(A951=A950,0,SUM(_xlfn._xlws.FILTER(E951:E961,(A951:A961=A951)*(F951&lt;0)))),0)</f>
        <v>0</v>
      </c>
      <c r="J951" s="81" t="str">
        <f ca="1">IFERROR(_xlfn.XLOOKUP(B951,[1]!TabCalc[Ticker],[1]!TabCalc[Cur]),"")</f>
        <v/>
      </c>
      <c r="K951" s="68" cm="1">
        <f t="array" ref="K951">IFERROR(IF($A951=$A950,0,SUM(_xlfn._xlws.FILTER($E951:$E961,($A951:$A961=$A951)*($J951:$J961=K$42)))),0)</f>
        <v>0</v>
      </c>
      <c r="L951" s="68" cm="1">
        <f t="array" ref="L951">IFERROR(IF($A951=$A950,0,SUM(_xlfn._xlws.FILTER($E951:$E961,($A951:$A961=$A951)*($J951:$J961=L$42)))),0)</f>
        <v>0</v>
      </c>
      <c r="M951" s="68" cm="1">
        <f t="array" ref="M951">IFERROR(IF($A951=$A950,0,SUM(_xlfn._xlws.FILTER($E951:$E961,($A951:$A961=$A951)*($J951:$J961=M$42)))),0)</f>
        <v>0</v>
      </c>
      <c r="N951" s="68" cm="1">
        <f t="array" ref="N951">IFERROR(IF($A951=$A950,0,SUM(_xlfn._xlws.FILTER($E951:$E961,($A951:$A961=$A951)*($J951:$J961=N$42)))),0)</f>
        <v>0</v>
      </c>
    </row>
    <row r="952" spans="5:14" x14ac:dyDescent="0.3">
      <c r="E952" s="67">
        <f ca="1">IFERROR(C952*D952*_xlfn.XLOOKUP(B952,[1]!TabCalc[Ticker],[1]!TabCalc[Scale]),0)</f>
        <v>0</v>
      </c>
      <c r="F952" s="68" cm="1">
        <f t="array" ref="F952">IF(A952=A951,0,SUM(_xlfn._xlws.FILTER(E952:E962,A952:A962=A952)))</f>
        <v>0</v>
      </c>
      <c r="G952" s="69">
        <f>IF(F952&lt;&gt;0,SUM($F$43:F952),0)</f>
        <v>0</v>
      </c>
      <c r="H952" s="69" cm="1">
        <f t="array" ref="H952">IFERROR(IF(A952=A951,0,SUM(_xlfn._xlws.FILTER(E952:E962,(A952:A962=A952)*(E952:E962&gt;0)))),0)</f>
        <v>0</v>
      </c>
      <c r="I952" s="69" cm="1">
        <f t="array" ref="I952">IFERROR(IF(A952=A951,0,SUM(_xlfn._xlws.FILTER(E952:E962,(A952:A962=A952)*(F952&lt;0)))),0)</f>
        <v>0</v>
      </c>
      <c r="J952" s="81" t="str">
        <f ca="1">IFERROR(_xlfn.XLOOKUP(B952,[1]!TabCalc[Ticker],[1]!TabCalc[Cur]),"")</f>
        <v/>
      </c>
      <c r="K952" s="68" cm="1">
        <f t="array" ref="K952">IFERROR(IF($A952=$A951,0,SUM(_xlfn._xlws.FILTER($E952:$E962,($A952:$A962=$A952)*($J952:$J962=K$42)))),0)</f>
        <v>0</v>
      </c>
      <c r="L952" s="68" cm="1">
        <f t="array" ref="L952">IFERROR(IF($A952=$A951,0,SUM(_xlfn._xlws.FILTER($E952:$E962,($A952:$A962=$A952)*($J952:$J962=L$42)))),0)</f>
        <v>0</v>
      </c>
      <c r="M952" s="68" cm="1">
        <f t="array" ref="M952">IFERROR(IF($A952=$A951,0,SUM(_xlfn._xlws.FILTER($E952:$E962,($A952:$A962=$A952)*($J952:$J962=M$42)))),0)</f>
        <v>0</v>
      </c>
      <c r="N952" s="68" cm="1">
        <f t="array" ref="N952">IFERROR(IF($A952=$A951,0,SUM(_xlfn._xlws.FILTER($E952:$E962,($A952:$A962=$A952)*($J952:$J962=N$42)))),0)</f>
        <v>0</v>
      </c>
    </row>
    <row r="953" spans="5:14" x14ac:dyDescent="0.3">
      <c r="E953" s="67">
        <f ca="1">IFERROR(C953*D953*_xlfn.XLOOKUP(B953,[1]!TabCalc[Ticker],[1]!TabCalc[Scale]),0)</f>
        <v>0</v>
      </c>
      <c r="F953" s="68" cm="1">
        <f t="array" ref="F953">IF(A953=A952,0,SUM(_xlfn._xlws.FILTER(E953:E963,A953:A963=A953)))</f>
        <v>0</v>
      </c>
      <c r="G953" s="69">
        <f>IF(F953&lt;&gt;0,SUM($F$43:F953),0)</f>
        <v>0</v>
      </c>
      <c r="H953" s="69" cm="1">
        <f t="array" ref="H953">IFERROR(IF(A953=A952,0,SUM(_xlfn._xlws.FILTER(E953:E963,(A953:A963=A953)*(E953:E963&gt;0)))),0)</f>
        <v>0</v>
      </c>
      <c r="I953" s="69" cm="1">
        <f t="array" ref="I953">IFERROR(IF(A953=A952,0,SUM(_xlfn._xlws.FILTER(E953:E963,(A953:A963=A953)*(F953&lt;0)))),0)</f>
        <v>0</v>
      </c>
      <c r="J953" s="81" t="str">
        <f ca="1">IFERROR(_xlfn.XLOOKUP(B953,[1]!TabCalc[Ticker],[1]!TabCalc[Cur]),"")</f>
        <v/>
      </c>
      <c r="K953" s="68" cm="1">
        <f t="array" ref="K953">IFERROR(IF($A953=$A952,0,SUM(_xlfn._xlws.FILTER($E953:$E963,($A953:$A963=$A953)*($J953:$J963=K$42)))),0)</f>
        <v>0</v>
      </c>
      <c r="L953" s="68" cm="1">
        <f t="array" ref="L953">IFERROR(IF($A953=$A952,0,SUM(_xlfn._xlws.FILTER($E953:$E963,($A953:$A963=$A953)*($J953:$J963=L$42)))),0)</f>
        <v>0</v>
      </c>
      <c r="M953" s="68" cm="1">
        <f t="array" ref="M953">IFERROR(IF($A953=$A952,0,SUM(_xlfn._xlws.FILTER($E953:$E963,($A953:$A963=$A953)*($J953:$J963=M$42)))),0)</f>
        <v>0</v>
      </c>
      <c r="N953" s="68" cm="1">
        <f t="array" ref="N953">IFERROR(IF($A953=$A952,0,SUM(_xlfn._xlws.FILTER($E953:$E963,($A953:$A963=$A953)*($J953:$J963=N$42)))),0)</f>
        <v>0</v>
      </c>
    </row>
    <row r="954" spans="5:14" x14ac:dyDescent="0.3">
      <c r="E954" s="67">
        <f ca="1">IFERROR(C954*D954*_xlfn.XLOOKUP(B954,[1]!TabCalc[Ticker],[1]!TabCalc[Scale]),0)</f>
        <v>0</v>
      </c>
      <c r="F954" s="68" cm="1">
        <f t="array" ref="F954">IF(A954=A953,0,SUM(_xlfn._xlws.FILTER(E954:E964,A954:A964=A954)))</f>
        <v>0</v>
      </c>
      <c r="G954" s="69">
        <f>IF(F954&lt;&gt;0,SUM($F$43:F954),0)</f>
        <v>0</v>
      </c>
      <c r="H954" s="69" cm="1">
        <f t="array" ref="H954">IFERROR(IF(A954=A953,0,SUM(_xlfn._xlws.FILTER(E954:E964,(A954:A964=A954)*(E954:E964&gt;0)))),0)</f>
        <v>0</v>
      </c>
      <c r="I954" s="69" cm="1">
        <f t="array" ref="I954">IFERROR(IF(A954=A953,0,SUM(_xlfn._xlws.FILTER(E954:E964,(A954:A964=A954)*(F954&lt;0)))),0)</f>
        <v>0</v>
      </c>
      <c r="J954" s="81" t="str">
        <f ca="1">IFERROR(_xlfn.XLOOKUP(B954,[1]!TabCalc[Ticker],[1]!TabCalc[Cur]),"")</f>
        <v/>
      </c>
      <c r="K954" s="68" cm="1">
        <f t="array" ref="K954">IFERROR(IF($A954=$A953,0,SUM(_xlfn._xlws.FILTER($E954:$E964,($A954:$A964=$A954)*($J954:$J964=K$42)))),0)</f>
        <v>0</v>
      </c>
      <c r="L954" s="68" cm="1">
        <f t="array" ref="L954">IFERROR(IF($A954=$A953,0,SUM(_xlfn._xlws.FILTER($E954:$E964,($A954:$A964=$A954)*($J954:$J964=L$42)))),0)</f>
        <v>0</v>
      </c>
      <c r="M954" s="68" cm="1">
        <f t="array" ref="M954">IFERROR(IF($A954=$A953,0,SUM(_xlfn._xlws.FILTER($E954:$E964,($A954:$A964=$A954)*($J954:$J964=M$42)))),0)</f>
        <v>0</v>
      </c>
      <c r="N954" s="68" cm="1">
        <f t="array" ref="N954">IFERROR(IF($A954=$A953,0,SUM(_xlfn._xlws.FILTER($E954:$E964,($A954:$A964=$A954)*($J954:$J964=N$42)))),0)</f>
        <v>0</v>
      </c>
    </row>
    <row r="955" spans="5:14" x14ac:dyDescent="0.3">
      <c r="E955" s="67">
        <f ca="1">IFERROR(C955*D955*_xlfn.XLOOKUP(B955,[1]!TabCalc[Ticker],[1]!TabCalc[Scale]),0)</f>
        <v>0</v>
      </c>
      <c r="F955" s="68" cm="1">
        <f t="array" ref="F955">IF(A955=A954,0,SUM(_xlfn._xlws.FILTER(E955:E965,A955:A965=A955)))</f>
        <v>0</v>
      </c>
      <c r="G955" s="69">
        <f>IF(F955&lt;&gt;0,SUM($F$43:F955),0)</f>
        <v>0</v>
      </c>
      <c r="H955" s="69" cm="1">
        <f t="array" ref="H955">IFERROR(IF(A955=A954,0,SUM(_xlfn._xlws.FILTER(E955:E965,(A955:A965=A955)*(E955:E965&gt;0)))),0)</f>
        <v>0</v>
      </c>
      <c r="I955" s="69" cm="1">
        <f t="array" ref="I955">IFERROR(IF(A955=A954,0,SUM(_xlfn._xlws.FILTER(E955:E965,(A955:A965=A955)*(F955&lt;0)))),0)</f>
        <v>0</v>
      </c>
      <c r="J955" s="81" t="str">
        <f ca="1">IFERROR(_xlfn.XLOOKUP(B955,[1]!TabCalc[Ticker],[1]!TabCalc[Cur]),"")</f>
        <v/>
      </c>
      <c r="K955" s="68" cm="1">
        <f t="array" ref="K955">IFERROR(IF($A955=$A954,0,SUM(_xlfn._xlws.FILTER($E955:$E965,($A955:$A965=$A955)*($J955:$J965=K$42)))),0)</f>
        <v>0</v>
      </c>
      <c r="L955" s="68" cm="1">
        <f t="array" ref="L955">IFERROR(IF($A955=$A954,0,SUM(_xlfn._xlws.FILTER($E955:$E965,($A955:$A965=$A955)*($J955:$J965=L$42)))),0)</f>
        <v>0</v>
      </c>
      <c r="M955" s="68" cm="1">
        <f t="array" ref="M955">IFERROR(IF($A955=$A954,0,SUM(_xlfn._xlws.FILTER($E955:$E965,($A955:$A965=$A955)*($J955:$J965=M$42)))),0)</f>
        <v>0</v>
      </c>
      <c r="N955" s="68" cm="1">
        <f t="array" ref="N955">IFERROR(IF($A955=$A954,0,SUM(_xlfn._xlws.FILTER($E955:$E965,($A955:$A965=$A955)*($J955:$J965=N$42)))),0)</f>
        <v>0</v>
      </c>
    </row>
    <row r="956" spans="5:14" x14ac:dyDescent="0.3">
      <c r="E956" s="67">
        <f ca="1">IFERROR(C956*D956*_xlfn.XLOOKUP(B956,[1]!TabCalc[Ticker],[1]!TabCalc[Scale]),0)</f>
        <v>0</v>
      </c>
      <c r="F956" s="68" cm="1">
        <f t="array" ref="F956">IF(A956=A955,0,SUM(_xlfn._xlws.FILTER(E956:E966,A956:A966=A956)))</f>
        <v>0</v>
      </c>
      <c r="G956" s="69">
        <f>IF(F956&lt;&gt;0,SUM($F$43:F956),0)</f>
        <v>0</v>
      </c>
      <c r="H956" s="69" cm="1">
        <f t="array" ref="H956">IFERROR(IF(A956=A955,0,SUM(_xlfn._xlws.FILTER(E956:E966,(A956:A966=A956)*(E956:E966&gt;0)))),0)</f>
        <v>0</v>
      </c>
      <c r="I956" s="69" cm="1">
        <f t="array" ref="I956">IFERROR(IF(A956=A955,0,SUM(_xlfn._xlws.FILTER(E956:E966,(A956:A966=A956)*(F956&lt;0)))),0)</f>
        <v>0</v>
      </c>
      <c r="J956" s="81" t="str">
        <f ca="1">IFERROR(_xlfn.XLOOKUP(B956,[1]!TabCalc[Ticker],[1]!TabCalc[Cur]),"")</f>
        <v/>
      </c>
      <c r="K956" s="68" cm="1">
        <f t="array" ref="K956">IFERROR(IF($A956=$A955,0,SUM(_xlfn._xlws.FILTER($E956:$E966,($A956:$A966=$A956)*($J956:$J966=K$42)))),0)</f>
        <v>0</v>
      </c>
      <c r="L956" s="68" cm="1">
        <f t="array" ref="L956">IFERROR(IF($A956=$A955,0,SUM(_xlfn._xlws.FILTER($E956:$E966,($A956:$A966=$A956)*($J956:$J966=L$42)))),0)</f>
        <v>0</v>
      </c>
      <c r="M956" s="68" cm="1">
        <f t="array" ref="M956">IFERROR(IF($A956=$A955,0,SUM(_xlfn._xlws.FILTER($E956:$E966,($A956:$A966=$A956)*($J956:$J966=M$42)))),0)</f>
        <v>0</v>
      </c>
      <c r="N956" s="68" cm="1">
        <f t="array" ref="N956">IFERROR(IF($A956=$A955,0,SUM(_xlfn._xlws.FILTER($E956:$E966,($A956:$A966=$A956)*($J956:$J966=N$42)))),0)</f>
        <v>0</v>
      </c>
    </row>
    <row r="957" spans="5:14" x14ac:dyDescent="0.3">
      <c r="E957" s="67">
        <f ca="1">IFERROR(C957*D957*_xlfn.XLOOKUP(B957,[1]!TabCalc[Ticker],[1]!TabCalc[Scale]),0)</f>
        <v>0</v>
      </c>
      <c r="F957" s="68" cm="1">
        <f t="array" ref="F957">IF(A957=A956,0,SUM(_xlfn._xlws.FILTER(E957:E967,A957:A967=A957)))</f>
        <v>0</v>
      </c>
      <c r="G957" s="69">
        <f>IF(F957&lt;&gt;0,SUM($F$43:F957),0)</f>
        <v>0</v>
      </c>
      <c r="H957" s="69" cm="1">
        <f t="array" ref="H957">IFERROR(IF(A957=A956,0,SUM(_xlfn._xlws.FILTER(E957:E967,(A957:A967=A957)*(E957:E967&gt;0)))),0)</f>
        <v>0</v>
      </c>
      <c r="I957" s="69" cm="1">
        <f t="array" ref="I957">IFERROR(IF(A957=A956,0,SUM(_xlfn._xlws.FILTER(E957:E967,(A957:A967=A957)*(F957&lt;0)))),0)</f>
        <v>0</v>
      </c>
      <c r="J957" s="81" t="str">
        <f ca="1">IFERROR(_xlfn.XLOOKUP(B957,[1]!TabCalc[Ticker],[1]!TabCalc[Cur]),"")</f>
        <v/>
      </c>
      <c r="K957" s="68" cm="1">
        <f t="array" ref="K957">IFERROR(IF($A957=$A956,0,SUM(_xlfn._xlws.FILTER($E957:$E967,($A957:$A967=$A957)*($J957:$J967=K$42)))),0)</f>
        <v>0</v>
      </c>
      <c r="L957" s="68" cm="1">
        <f t="array" ref="L957">IFERROR(IF($A957=$A956,0,SUM(_xlfn._xlws.FILTER($E957:$E967,($A957:$A967=$A957)*($J957:$J967=L$42)))),0)</f>
        <v>0</v>
      </c>
      <c r="M957" s="68" cm="1">
        <f t="array" ref="M957">IFERROR(IF($A957=$A956,0,SUM(_xlfn._xlws.FILTER($E957:$E967,($A957:$A967=$A957)*($J957:$J967=M$42)))),0)</f>
        <v>0</v>
      </c>
      <c r="N957" s="68" cm="1">
        <f t="array" ref="N957">IFERROR(IF($A957=$A956,0,SUM(_xlfn._xlws.FILTER($E957:$E967,($A957:$A967=$A957)*($J957:$J967=N$42)))),0)</f>
        <v>0</v>
      </c>
    </row>
    <row r="958" spans="5:14" x14ac:dyDescent="0.3">
      <c r="E958" s="67">
        <f ca="1">IFERROR(C958*D958*_xlfn.XLOOKUP(B958,[1]!TabCalc[Ticker],[1]!TabCalc[Scale]),0)</f>
        <v>0</v>
      </c>
      <c r="F958" s="68" cm="1">
        <f t="array" ref="F958">IF(A958=A957,0,SUM(_xlfn._xlws.FILTER(E958:E968,A958:A968=A958)))</f>
        <v>0</v>
      </c>
      <c r="G958" s="69">
        <f>IF(F958&lt;&gt;0,SUM($F$43:F958),0)</f>
        <v>0</v>
      </c>
      <c r="H958" s="69" cm="1">
        <f t="array" ref="H958">IFERROR(IF(A958=A957,0,SUM(_xlfn._xlws.FILTER(E958:E968,(A958:A968=A958)*(E958:E968&gt;0)))),0)</f>
        <v>0</v>
      </c>
      <c r="I958" s="69" cm="1">
        <f t="array" ref="I958">IFERROR(IF(A958=A957,0,SUM(_xlfn._xlws.FILTER(E958:E968,(A958:A968=A958)*(F958&lt;0)))),0)</f>
        <v>0</v>
      </c>
      <c r="J958" s="81" t="str">
        <f ca="1">IFERROR(_xlfn.XLOOKUP(B958,[1]!TabCalc[Ticker],[1]!TabCalc[Cur]),"")</f>
        <v/>
      </c>
      <c r="K958" s="68" cm="1">
        <f t="array" ref="K958">IFERROR(IF($A958=$A957,0,SUM(_xlfn._xlws.FILTER($E958:$E968,($A958:$A968=$A958)*($J958:$J968=K$42)))),0)</f>
        <v>0</v>
      </c>
      <c r="L958" s="68" cm="1">
        <f t="array" ref="L958">IFERROR(IF($A958=$A957,0,SUM(_xlfn._xlws.FILTER($E958:$E968,($A958:$A968=$A958)*($J958:$J968=L$42)))),0)</f>
        <v>0</v>
      </c>
      <c r="M958" s="68" cm="1">
        <f t="array" ref="M958">IFERROR(IF($A958=$A957,0,SUM(_xlfn._xlws.FILTER($E958:$E968,($A958:$A968=$A958)*($J958:$J968=M$42)))),0)</f>
        <v>0</v>
      </c>
      <c r="N958" s="68" cm="1">
        <f t="array" ref="N958">IFERROR(IF($A958=$A957,0,SUM(_xlfn._xlws.FILTER($E958:$E968,($A958:$A968=$A958)*($J958:$J968=N$42)))),0)</f>
        <v>0</v>
      </c>
    </row>
    <row r="959" spans="5:14" x14ac:dyDescent="0.3">
      <c r="E959" s="67">
        <f ca="1">IFERROR(C959*D959*_xlfn.XLOOKUP(B959,[1]!TabCalc[Ticker],[1]!TabCalc[Scale]),0)</f>
        <v>0</v>
      </c>
      <c r="F959" s="68" cm="1">
        <f t="array" ref="F959">IF(A959=A958,0,SUM(_xlfn._xlws.FILTER(E959:E969,A959:A969=A959)))</f>
        <v>0</v>
      </c>
      <c r="G959" s="69">
        <f>IF(F959&lt;&gt;0,SUM($F$43:F959),0)</f>
        <v>0</v>
      </c>
      <c r="H959" s="69" cm="1">
        <f t="array" ref="H959">IFERROR(IF(A959=A958,0,SUM(_xlfn._xlws.FILTER(E959:E969,(A959:A969=A959)*(E959:E969&gt;0)))),0)</f>
        <v>0</v>
      </c>
      <c r="I959" s="69" cm="1">
        <f t="array" ref="I959">IFERROR(IF(A959=A958,0,SUM(_xlfn._xlws.FILTER(E959:E969,(A959:A969=A959)*(F959&lt;0)))),0)</f>
        <v>0</v>
      </c>
      <c r="J959" s="81" t="str">
        <f ca="1">IFERROR(_xlfn.XLOOKUP(B959,[1]!TabCalc[Ticker],[1]!TabCalc[Cur]),"")</f>
        <v/>
      </c>
      <c r="K959" s="68" cm="1">
        <f t="array" ref="K959">IFERROR(IF($A959=$A958,0,SUM(_xlfn._xlws.FILTER($E959:$E969,($A959:$A969=$A959)*($J959:$J969=K$42)))),0)</f>
        <v>0</v>
      </c>
      <c r="L959" s="68" cm="1">
        <f t="array" ref="L959">IFERROR(IF($A959=$A958,0,SUM(_xlfn._xlws.FILTER($E959:$E969,($A959:$A969=$A959)*($J959:$J969=L$42)))),0)</f>
        <v>0</v>
      </c>
      <c r="M959" s="68" cm="1">
        <f t="array" ref="M959">IFERROR(IF($A959=$A958,0,SUM(_xlfn._xlws.FILTER($E959:$E969,($A959:$A969=$A959)*($J959:$J969=M$42)))),0)</f>
        <v>0</v>
      </c>
      <c r="N959" s="68" cm="1">
        <f t="array" ref="N959">IFERROR(IF($A959=$A958,0,SUM(_xlfn._xlws.FILTER($E959:$E969,($A959:$A969=$A959)*($J959:$J969=N$42)))),0)</f>
        <v>0</v>
      </c>
    </row>
    <row r="960" spans="5:14" x14ac:dyDescent="0.3">
      <c r="E960" s="67">
        <f ca="1">IFERROR(C960*D960*_xlfn.XLOOKUP(B960,[1]!TabCalc[Ticker],[1]!TabCalc[Scale]),0)</f>
        <v>0</v>
      </c>
      <c r="F960" s="68" cm="1">
        <f t="array" ref="F960">IF(A960=A959,0,SUM(_xlfn._xlws.FILTER(E960:E970,A960:A970=A960)))</f>
        <v>0</v>
      </c>
      <c r="G960" s="69">
        <f>IF(F960&lt;&gt;0,SUM($F$43:F960),0)</f>
        <v>0</v>
      </c>
      <c r="H960" s="69" cm="1">
        <f t="array" ref="H960">IFERROR(IF(A960=A959,0,SUM(_xlfn._xlws.FILTER(E960:E970,(A960:A970=A960)*(E960:E970&gt;0)))),0)</f>
        <v>0</v>
      </c>
      <c r="I960" s="69" cm="1">
        <f t="array" ref="I960">IFERROR(IF(A960=A959,0,SUM(_xlfn._xlws.FILTER(E960:E970,(A960:A970=A960)*(F960&lt;0)))),0)</f>
        <v>0</v>
      </c>
      <c r="J960" s="81" t="str">
        <f ca="1">IFERROR(_xlfn.XLOOKUP(B960,[1]!TabCalc[Ticker],[1]!TabCalc[Cur]),"")</f>
        <v/>
      </c>
      <c r="K960" s="68" cm="1">
        <f t="array" ref="K960">IFERROR(IF($A960=$A959,0,SUM(_xlfn._xlws.FILTER($E960:$E970,($A960:$A970=$A960)*($J960:$J970=K$42)))),0)</f>
        <v>0</v>
      </c>
      <c r="L960" s="68" cm="1">
        <f t="array" ref="L960">IFERROR(IF($A960=$A959,0,SUM(_xlfn._xlws.FILTER($E960:$E970,($A960:$A970=$A960)*($J960:$J970=L$42)))),0)</f>
        <v>0</v>
      </c>
      <c r="M960" s="68" cm="1">
        <f t="array" ref="M960">IFERROR(IF($A960=$A959,0,SUM(_xlfn._xlws.FILTER($E960:$E970,($A960:$A970=$A960)*($J960:$J970=M$42)))),0)</f>
        <v>0</v>
      </c>
      <c r="N960" s="68" cm="1">
        <f t="array" ref="N960">IFERROR(IF($A960=$A959,0,SUM(_xlfn._xlws.FILTER($E960:$E970,($A960:$A970=$A960)*($J960:$J970=N$42)))),0)</f>
        <v>0</v>
      </c>
    </row>
    <row r="961" spans="5:14" x14ac:dyDescent="0.3">
      <c r="E961" s="67">
        <f ca="1">IFERROR(C961*D961*_xlfn.XLOOKUP(B961,[1]!TabCalc[Ticker],[1]!TabCalc[Scale]),0)</f>
        <v>0</v>
      </c>
      <c r="F961" s="68" cm="1">
        <f t="array" ref="F961">IF(A961=A960,0,SUM(_xlfn._xlws.FILTER(E961:E971,A961:A971=A961)))</f>
        <v>0</v>
      </c>
      <c r="G961" s="69">
        <f>IF(F961&lt;&gt;0,SUM($F$43:F961),0)</f>
        <v>0</v>
      </c>
      <c r="H961" s="69" cm="1">
        <f t="array" ref="H961">IFERROR(IF(A961=A960,0,SUM(_xlfn._xlws.FILTER(E961:E971,(A961:A971=A961)*(E961:E971&gt;0)))),0)</f>
        <v>0</v>
      </c>
      <c r="I961" s="69" cm="1">
        <f t="array" ref="I961">IFERROR(IF(A961=A960,0,SUM(_xlfn._xlws.FILTER(E961:E971,(A961:A971=A961)*(F961&lt;0)))),0)</f>
        <v>0</v>
      </c>
      <c r="J961" s="81" t="str">
        <f ca="1">IFERROR(_xlfn.XLOOKUP(B961,[1]!TabCalc[Ticker],[1]!TabCalc[Cur]),"")</f>
        <v/>
      </c>
      <c r="K961" s="68" cm="1">
        <f t="array" ref="K961">IFERROR(IF($A961=$A960,0,SUM(_xlfn._xlws.FILTER($E961:$E971,($A961:$A971=$A961)*($J961:$J971=K$42)))),0)</f>
        <v>0</v>
      </c>
      <c r="L961" s="68" cm="1">
        <f t="array" ref="L961">IFERROR(IF($A961=$A960,0,SUM(_xlfn._xlws.FILTER($E961:$E971,($A961:$A971=$A961)*($J961:$J971=L$42)))),0)</f>
        <v>0</v>
      </c>
      <c r="M961" s="68" cm="1">
        <f t="array" ref="M961">IFERROR(IF($A961=$A960,0,SUM(_xlfn._xlws.FILTER($E961:$E971,($A961:$A971=$A961)*($J961:$J971=M$42)))),0)</f>
        <v>0</v>
      </c>
      <c r="N961" s="68" cm="1">
        <f t="array" ref="N961">IFERROR(IF($A961=$A960,0,SUM(_xlfn._xlws.FILTER($E961:$E971,($A961:$A971=$A961)*($J961:$J971=N$42)))),0)</f>
        <v>0</v>
      </c>
    </row>
    <row r="962" spans="5:14" x14ac:dyDescent="0.3">
      <c r="E962" s="67">
        <f ca="1">IFERROR(C962*D962*_xlfn.XLOOKUP(B962,[1]!TabCalc[Ticker],[1]!TabCalc[Scale]),0)</f>
        <v>0</v>
      </c>
      <c r="F962" s="68" cm="1">
        <f t="array" ref="F962">IF(A962=A961,0,SUM(_xlfn._xlws.FILTER(E962:E972,A962:A972=A962)))</f>
        <v>0</v>
      </c>
      <c r="G962" s="69">
        <f>IF(F962&lt;&gt;0,SUM($F$43:F962),0)</f>
        <v>0</v>
      </c>
      <c r="H962" s="69" cm="1">
        <f t="array" ref="H962">IFERROR(IF(A962=A961,0,SUM(_xlfn._xlws.FILTER(E962:E972,(A962:A972=A962)*(E962:E972&gt;0)))),0)</f>
        <v>0</v>
      </c>
      <c r="I962" s="69" cm="1">
        <f t="array" ref="I962">IFERROR(IF(A962=A961,0,SUM(_xlfn._xlws.FILTER(E962:E972,(A962:A972=A962)*(F962&lt;0)))),0)</f>
        <v>0</v>
      </c>
      <c r="J962" s="81" t="str">
        <f ca="1">IFERROR(_xlfn.XLOOKUP(B962,[1]!TabCalc[Ticker],[1]!TabCalc[Cur]),"")</f>
        <v/>
      </c>
      <c r="K962" s="68" cm="1">
        <f t="array" ref="K962">IFERROR(IF($A962=$A961,0,SUM(_xlfn._xlws.FILTER($E962:$E972,($A962:$A972=$A962)*($J962:$J972=K$42)))),0)</f>
        <v>0</v>
      </c>
      <c r="L962" s="68" cm="1">
        <f t="array" ref="L962">IFERROR(IF($A962=$A961,0,SUM(_xlfn._xlws.FILTER($E962:$E972,($A962:$A972=$A962)*($J962:$J972=L$42)))),0)</f>
        <v>0</v>
      </c>
      <c r="M962" s="68" cm="1">
        <f t="array" ref="M962">IFERROR(IF($A962=$A961,0,SUM(_xlfn._xlws.FILTER($E962:$E972,($A962:$A972=$A962)*($J962:$J972=M$42)))),0)</f>
        <v>0</v>
      </c>
      <c r="N962" s="68" cm="1">
        <f t="array" ref="N962">IFERROR(IF($A962=$A961,0,SUM(_xlfn._xlws.FILTER($E962:$E972,($A962:$A972=$A962)*($J962:$J972=N$42)))),0)</f>
        <v>0</v>
      </c>
    </row>
    <row r="963" spans="5:14" x14ac:dyDescent="0.3">
      <c r="E963" s="67">
        <f ca="1">IFERROR(C963*D963*_xlfn.XLOOKUP(B963,[1]!TabCalc[Ticker],[1]!TabCalc[Scale]),0)</f>
        <v>0</v>
      </c>
      <c r="F963" s="68" cm="1">
        <f t="array" ref="F963">IF(A963=A962,0,SUM(_xlfn._xlws.FILTER(E963:E973,A963:A973=A963)))</f>
        <v>0</v>
      </c>
      <c r="G963" s="69">
        <f>IF(F963&lt;&gt;0,SUM($F$43:F963),0)</f>
        <v>0</v>
      </c>
      <c r="H963" s="69" cm="1">
        <f t="array" ref="H963">IFERROR(IF(A963=A962,0,SUM(_xlfn._xlws.FILTER(E963:E973,(A963:A973=A963)*(E963:E973&gt;0)))),0)</f>
        <v>0</v>
      </c>
      <c r="I963" s="69" cm="1">
        <f t="array" ref="I963">IFERROR(IF(A963=A962,0,SUM(_xlfn._xlws.FILTER(E963:E973,(A963:A973=A963)*(F963&lt;0)))),0)</f>
        <v>0</v>
      </c>
      <c r="J963" s="81" t="str">
        <f ca="1">IFERROR(_xlfn.XLOOKUP(B963,[1]!TabCalc[Ticker],[1]!TabCalc[Cur]),"")</f>
        <v/>
      </c>
      <c r="K963" s="68" cm="1">
        <f t="array" ref="K963">IFERROR(IF($A963=$A962,0,SUM(_xlfn._xlws.FILTER($E963:$E973,($A963:$A973=$A963)*($J963:$J973=K$42)))),0)</f>
        <v>0</v>
      </c>
      <c r="L963" s="68" cm="1">
        <f t="array" ref="L963">IFERROR(IF($A963=$A962,0,SUM(_xlfn._xlws.FILTER($E963:$E973,($A963:$A973=$A963)*($J963:$J973=L$42)))),0)</f>
        <v>0</v>
      </c>
      <c r="M963" s="68" cm="1">
        <f t="array" ref="M963">IFERROR(IF($A963=$A962,0,SUM(_xlfn._xlws.FILTER($E963:$E973,($A963:$A973=$A963)*($J963:$J973=M$42)))),0)</f>
        <v>0</v>
      </c>
      <c r="N963" s="68" cm="1">
        <f t="array" ref="N963">IFERROR(IF($A963=$A962,0,SUM(_xlfn._xlws.FILTER($E963:$E973,($A963:$A973=$A963)*($J963:$J973=N$42)))),0)</f>
        <v>0</v>
      </c>
    </row>
    <row r="964" spans="5:14" x14ac:dyDescent="0.3">
      <c r="E964" s="67">
        <f ca="1">IFERROR(C964*D964*_xlfn.XLOOKUP(B964,[1]!TabCalc[Ticker],[1]!TabCalc[Scale]),0)</f>
        <v>0</v>
      </c>
      <c r="F964" s="68" cm="1">
        <f t="array" ref="F964">IF(A964=A963,0,SUM(_xlfn._xlws.FILTER(E964:E974,A964:A974=A964)))</f>
        <v>0</v>
      </c>
      <c r="G964" s="69">
        <f>IF(F964&lt;&gt;0,SUM($F$43:F964),0)</f>
        <v>0</v>
      </c>
      <c r="H964" s="69" cm="1">
        <f t="array" ref="H964">IFERROR(IF(A964=A963,0,SUM(_xlfn._xlws.FILTER(E964:E974,(A964:A974=A964)*(E964:E974&gt;0)))),0)</f>
        <v>0</v>
      </c>
      <c r="I964" s="69" cm="1">
        <f t="array" ref="I964">IFERROR(IF(A964=A963,0,SUM(_xlfn._xlws.FILTER(E964:E974,(A964:A974=A964)*(F964&lt;0)))),0)</f>
        <v>0</v>
      </c>
      <c r="J964" s="81" t="str">
        <f ca="1">IFERROR(_xlfn.XLOOKUP(B964,[1]!TabCalc[Ticker],[1]!TabCalc[Cur]),"")</f>
        <v/>
      </c>
      <c r="K964" s="68" cm="1">
        <f t="array" ref="K964">IFERROR(IF($A964=$A963,0,SUM(_xlfn._xlws.FILTER($E964:$E974,($A964:$A974=$A964)*($J964:$J974=K$42)))),0)</f>
        <v>0</v>
      </c>
      <c r="L964" s="68" cm="1">
        <f t="array" ref="L964">IFERROR(IF($A964=$A963,0,SUM(_xlfn._xlws.FILTER($E964:$E974,($A964:$A974=$A964)*($J964:$J974=L$42)))),0)</f>
        <v>0</v>
      </c>
      <c r="M964" s="68" cm="1">
        <f t="array" ref="M964">IFERROR(IF($A964=$A963,0,SUM(_xlfn._xlws.FILTER($E964:$E974,($A964:$A974=$A964)*($J964:$J974=M$42)))),0)</f>
        <v>0</v>
      </c>
      <c r="N964" s="68" cm="1">
        <f t="array" ref="N964">IFERROR(IF($A964=$A963,0,SUM(_xlfn._xlws.FILTER($E964:$E974,($A964:$A974=$A964)*($J964:$J974=N$42)))),0)</f>
        <v>0</v>
      </c>
    </row>
    <row r="965" spans="5:14" x14ac:dyDescent="0.3">
      <c r="E965" s="67">
        <f ca="1">IFERROR(C965*D965*_xlfn.XLOOKUP(B965,[1]!TabCalc[Ticker],[1]!TabCalc[Scale]),0)</f>
        <v>0</v>
      </c>
      <c r="F965" s="68" cm="1">
        <f t="array" ref="F965">IF(A965=A964,0,SUM(_xlfn._xlws.FILTER(E965:E975,A965:A975=A965)))</f>
        <v>0</v>
      </c>
      <c r="G965" s="69">
        <f>IF(F965&lt;&gt;0,SUM($F$43:F965),0)</f>
        <v>0</v>
      </c>
      <c r="H965" s="69" cm="1">
        <f t="array" ref="H965">IFERROR(IF(A965=A964,0,SUM(_xlfn._xlws.FILTER(E965:E975,(A965:A975=A965)*(E965:E975&gt;0)))),0)</f>
        <v>0</v>
      </c>
      <c r="I965" s="69" cm="1">
        <f t="array" ref="I965">IFERROR(IF(A965=A964,0,SUM(_xlfn._xlws.FILTER(E965:E975,(A965:A975=A965)*(F965&lt;0)))),0)</f>
        <v>0</v>
      </c>
      <c r="J965" s="81" t="str">
        <f ca="1">IFERROR(_xlfn.XLOOKUP(B965,[1]!TabCalc[Ticker],[1]!TabCalc[Cur]),"")</f>
        <v/>
      </c>
      <c r="K965" s="68" cm="1">
        <f t="array" ref="K965">IFERROR(IF($A965=$A964,0,SUM(_xlfn._xlws.FILTER($E965:$E975,($A965:$A975=$A965)*($J965:$J975=K$42)))),0)</f>
        <v>0</v>
      </c>
      <c r="L965" s="68" cm="1">
        <f t="array" ref="L965">IFERROR(IF($A965=$A964,0,SUM(_xlfn._xlws.FILTER($E965:$E975,($A965:$A975=$A965)*($J965:$J975=L$42)))),0)</f>
        <v>0</v>
      </c>
      <c r="M965" s="68" cm="1">
        <f t="array" ref="M965">IFERROR(IF($A965=$A964,0,SUM(_xlfn._xlws.FILTER($E965:$E975,($A965:$A975=$A965)*($J965:$J975=M$42)))),0)</f>
        <v>0</v>
      </c>
      <c r="N965" s="68" cm="1">
        <f t="array" ref="N965">IFERROR(IF($A965=$A964,0,SUM(_xlfn._xlws.FILTER($E965:$E975,($A965:$A975=$A965)*($J965:$J975=N$42)))),0)</f>
        <v>0</v>
      </c>
    </row>
    <row r="966" spans="5:14" x14ac:dyDescent="0.3">
      <c r="E966" s="67">
        <f ca="1">IFERROR(C966*D966*_xlfn.XLOOKUP(B966,[1]!TabCalc[Ticker],[1]!TabCalc[Scale]),0)</f>
        <v>0</v>
      </c>
      <c r="F966" s="68" cm="1">
        <f t="array" ref="F966">IF(A966=A965,0,SUM(_xlfn._xlws.FILTER(E966:E976,A966:A976=A966)))</f>
        <v>0</v>
      </c>
      <c r="G966" s="69">
        <f>IF(F966&lt;&gt;0,SUM($F$43:F966),0)</f>
        <v>0</v>
      </c>
      <c r="H966" s="69" cm="1">
        <f t="array" ref="H966">IFERROR(IF(A966=A965,0,SUM(_xlfn._xlws.FILTER(E966:E976,(A966:A976=A966)*(E966:E976&gt;0)))),0)</f>
        <v>0</v>
      </c>
      <c r="I966" s="69" cm="1">
        <f t="array" ref="I966">IFERROR(IF(A966=A965,0,SUM(_xlfn._xlws.FILTER(E966:E976,(A966:A976=A966)*(F966&lt;0)))),0)</f>
        <v>0</v>
      </c>
      <c r="J966" s="81" t="str">
        <f ca="1">IFERROR(_xlfn.XLOOKUP(B966,[1]!TabCalc[Ticker],[1]!TabCalc[Cur]),"")</f>
        <v/>
      </c>
      <c r="K966" s="68" cm="1">
        <f t="array" ref="K966">IFERROR(IF($A966=$A965,0,SUM(_xlfn._xlws.FILTER($E966:$E976,($A966:$A976=$A966)*($J966:$J976=K$42)))),0)</f>
        <v>0</v>
      </c>
      <c r="L966" s="68" cm="1">
        <f t="array" ref="L966">IFERROR(IF($A966=$A965,0,SUM(_xlfn._xlws.FILTER($E966:$E976,($A966:$A976=$A966)*($J966:$J976=L$42)))),0)</f>
        <v>0</v>
      </c>
      <c r="M966" s="68" cm="1">
        <f t="array" ref="M966">IFERROR(IF($A966=$A965,0,SUM(_xlfn._xlws.FILTER($E966:$E976,($A966:$A976=$A966)*($J966:$J976=M$42)))),0)</f>
        <v>0</v>
      </c>
      <c r="N966" s="68" cm="1">
        <f t="array" ref="N966">IFERROR(IF($A966=$A965,0,SUM(_xlfn._xlws.FILTER($E966:$E976,($A966:$A976=$A966)*($J966:$J976=N$42)))),0)</f>
        <v>0</v>
      </c>
    </row>
    <row r="967" spans="5:14" x14ac:dyDescent="0.3">
      <c r="E967" s="67">
        <f ca="1">IFERROR(C967*D967*_xlfn.XLOOKUP(B967,[1]!TabCalc[Ticker],[1]!TabCalc[Scale]),0)</f>
        <v>0</v>
      </c>
      <c r="F967" s="68" cm="1">
        <f t="array" ref="F967">IF(A967=A966,0,SUM(_xlfn._xlws.FILTER(E967:E977,A967:A977=A967)))</f>
        <v>0</v>
      </c>
      <c r="G967" s="69">
        <f>IF(F967&lt;&gt;0,SUM($F$43:F967),0)</f>
        <v>0</v>
      </c>
      <c r="H967" s="69" cm="1">
        <f t="array" ref="H967">IFERROR(IF(A967=A966,0,SUM(_xlfn._xlws.FILTER(E967:E977,(A967:A977=A967)*(E967:E977&gt;0)))),0)</f>
        <v>0</v>
      </c>
      <c r="I967" s="69" cm="1">
        <f t="array" ref="I967">IFERROR(IF(A967=A966,0,SUM(_xlfn._xlws.FILTER(E967:E977,(A967:A977=A967)*(F967&lt;0)))),0)</f>
        <v>0</v>
      </c>
      <c r="J967" s="81" t="str">
        <f ca="1">IFERROR(_xlfn.XLOOKUP(B967,[1]!TabCalc[Ticker],[1]!TabCalc[Cur]),"")</f>
        <v/>
      </c>
      <c r="K967" s="68" cm="1">
        <f t="array" ref="K967">IFERROR(IF($A967=$A966,0,SUM(_xlfn._xlws.FILTER($E967:$E977,($A967:$A977=$A967)*($J967:$J977=K$42)))),0)</f>
        <v>0</v>
      </c>
      <c r="L967" s="68" cm="1">
        <f t="array" ref="L967">IFERROR(IF($A967=$A966,0,SUM(_xlfn._xlws.FILTER($E967:$E977,($A967:$A977=$A967)*($J967:$J977=L$42)))),0)</f>
        <v>0</v>
      </c>
      <c r="M967" s="68" cm="1">
        <f t="array" ref="M967">IFERROR(IF($A967=$A966,0,SUM(_xlfn._xlws.FILTER($E967:$E977,($A967:$A977=$A967)*($J967:$J977=M$42)))),0)</f>
        <v>0</v>
      </c>
      <c r="N967" s="68" cm="1">
        <f t="array" ref="N967">IFERROR(IF($A967=$A966,0,SUM(_xlfn._xlws.FILTER($E967:$E977,($A967:$A977=$A967)*($J967:$J977=N$42)))),0)</f>
        <v>0</v>
      </c>
    </row>
    <row r="968" spans="5:14" x14ac:dyDescent="0.3">
      <c r="E968" s="67">
        <f ca="1">IFERROR(C968*D968*_xlfn.XLOOKUP(B968,[1]!TabCalc[Ticker],[1]!TabCalc[Scale]),0)</f>
        <v>0</v>
      </c>
      <c r="F968" s="68" cm="1">
        <f t="array" ref="F968">IF(A968=A967,0,SUM(_xlfn._xlws.FILTER(E968:E978,A968:A978=A968)))</f>
        <v>0</v>
      </c>
      <c r="G968" s="69">
        <f>IF(F968&lt;&gt;0,SUM($F$43:F968),0)</f>
        <v>0</v>
      </c>
      <c r="H968" s="69" cm="1">
        <f t="array" ref="H968">IFERROR(IF(A968=A967,0,SUM(_xlfn._xlws.FILTER(E968:E978,(A968:A978=A968)*(E968:E978&gt;0)))),0)</f>
        <v>0</v>
      </c>
      <c r="I968" s="69" cm="1">
        <f t="array" ref="I968">IFERROR(IF(A968=A967,0,SUM(_xlfn._xlws.FILTER(E968:E978,(A968:A978=A968)*(F968&lt;0)))),0)</f>
        <v>0</v>
      </c>
      <c r="J968" s="81" t="str">
        <f ca="1">IFERROR(_xlfn.XLOOKUP(B968,[1]!TabCalc[Ticker],[1]!TabCalc[Cur]),"")</f>
        <v/>
      </c>
      <c r="K968" s="68" cm="1">
        <f t="array" ref="K968">IFERROR(IF($A968=$A967,0,SUM(_xlfn._xlws.FILTER($E968:$E978,($A968:$A978=$A968)*($J968:$J978=K$42)))),0)</f>
        <v>0</v>
      </c>
      <c r="L968" s="68" cm="1">
        <f t="array" ref="L968">IFERROR(IF($A968=$A967,0,SUM(_xlfn._xlws.FILTER($E968:$E978,($A968:$A978=$A968)*($J968:$J978=L$42)))),0)</f>
        <v>0</v>
      </c>
      <c r="M968" s="68" cm="1">
        <f t="array" ref="M968">IFERROR(IF($A968=$A967,0,SUM(_xlfn._xlws.FILTER($E968:$E978,($A968:$A978=$A968)*($J968:$J978=M$42)))),0)</f>
        <v>0</v>
      </c>
      <c r="N968" s="68" cm="1">
        <f t="array" ref="N968">IFERROR(IF($A968=$A967,0,SUM(_xlfn._xlws.FILTER($E968:$E978,($A968:$A978=$A968)*($J968:$J978=N$42)))),0)</f>
        <v>0</v>
      </c>
    </row>
    <row r="969" spans="5:14" x14ac:dyDescent="0.3">
      <c r="E969" s="67">
        <f ca="1">IFERROR(C969*D969*_xlfn.XLOOKUP(B969,[1]!TabCalc[Ticker],[1]!TabCalc[Scale]),0)</f>
        <v>0</v>
      </c>
      <c r="F969" s="68" cm="1">
        <f t="array" ref="F969">IF(A969=A968,0,SUM(_xlfn._xlws.FILTER(E969:E979,A969:A979=A969)))</f>
        <v>0</v>
      </c>
      <c r="G969" s="69">
        <f>IF(F969&lt;&gt;0,SUM($F$43:F969),0)</f>
        <v>0</v>
      </c>
      <c r="H969" s="69" cm="1">
        <f t="array" ref="H969">IFERROR(IF(A969=A968,0,SUM(_xlfn._xlws.FILTER(E969:E979,(A969:A979=A969)*(E969:E979&gt;0)))),0)</f>
        <v>0</v>
      </c>
      <c r="I969" s="69" cm="1">
        <f t="array" ref="I969">IFERROR(IF(A969=A968,0,SUM(_xlfn._xlws.FILTER(E969:E979,(A969:A979=A969)*(F969&lt;0)))),0)</f>
        <v>0</v>
      </c>
      <c r="J969" s="81" t="str">
        <f ca="1">IFERROR(_xlfn.XLOOKUP(B969,[1]!TabCalc[Ticker],[1]!TabCalc[Cur]),"")</f>
        <v/>
      </c>
      <c r="K969" s="68" cm="1">
        <f t="array" ref="K969">IFERROR(IF($A969=$A968,0,SUM(_xlfn._xlws.FILTER($E969:$E979,($A969:$A979=$A969)*($J969:$J979=K$42)))),0)</f>
        <v>0</v>
      </c>
      <c r="L969" s="68" cm="1">
        <f t="array" ref="L969">IFERROR(IF($A969=$A968,0,SUM(_xlfn._xlws.FILTER($E969:$E979,($A969:$A979=$A969)*($J969:$J979=L$42)))),0)</f>
        <v>0</v>
      </c>
      <c r="M969" s="68" cm="1">
        <f t="array" ref="M969">IFERROR(IF($A969=$A968,0,SUM(_xlfn._xlws.FILTER($E969:$E979,($A969:$A979=$A969)*($J969:$J979=M$42)))),0)</f>
        <v>0</v>
      </c>
      <c r="N969" s="68" cm="1">
        <f t="array" ref="N969">IFERROR(IF($A969=$A968,0,SUM(_xlfn._xlws.FILTER($E969:$E979,($A969:$A979=$A969)*($J969:$J979=N$42)))),0)</f>
        <v>0</v>
      </c>
    </row>
    <row r="970" spans="5:14" x14ac:dyDescent="0.3">
      <c r="E970" s="67">
        <f ca="1">IFERROR(C970*D970*_xlfn.XLOOKUP(B970,[1]!TabCalc[Ticker],[1]!TabCalc[Scale]),0)</f>
        <v>0</v>
      </c>
      <c r="F970" s="68" cm="1">
        <f t="array" ref="F970">IF(A970=A969,0,SUM(_xlfn._xlws.FILTER(E970:E980,A970:A980=A970)))</f>
        <v>0</v>
      </c>
      <c r="G970" s="69">
        <f>IF(F970&lt;&gt;0,SUM($F$43:F970),0)</f>
        <v>0</v>
      </c>
      <c r="H970" s="69" cm="1">
        <f t="array" ref="H970">IFERROR(IF(A970=A969,0,SUM(_xlfn._xlws.FILTER(E970:E980,(A970:A980=A970)*(E970:E980&gt;0)))),0)</f>
        <v>0</v>
      </c>
      <c r="I970" s="69" cm="1">
        <f t="array" ref="I970">IFERROR(IF(A970=A969,0,SUM(_xlfn._xlws.FILTER(E970:E980,(A970:A980=A970)*(F970&lt;0)))),0)</f>
        <v>0</v>
      </c>
      <c r="J970" s="81" t="str">
        <f ca="1">IFERROR(_xlfn.XLOOKUP(B970,[1]!TabCalc[Ticker],[1]!TabCalc[Cur]),"")</f>
        <v/>
      </c>
      <c r="K970" s="68" cm="1">
        <f t="array" ref="K970">IFERROR(IF($A970=$A969,0,SUM(_xlfn._xlws.FILTER($E970:$E980,($A970:$A980=$A970)*($J970:$J980=K$42)))),0)</f>
        <v>0</v>
      </c>
      <c r="L970" s="68" cm="1">
        <f t="array" ref="L970">IFERROR(IF($A970=$A969,0,SUM(_xlfn._xlws.FILTER($E970:$E980,($A970:$A980=$A970)*($J970:$J980=L$42)))),0)</f>
        <v>0</v>
      </c>
      <c r="M970" s="68" cm="1">
        <f t="array" ref="M970">IFERROR(IF($A970=$A969,0,SUM(_xlfn._xlws.FILTER($E970:$E980,($A970:$A980=$A970)*($J970:$J980=M$42)))),0)</f>
        <v>0</v>
      </c>
      <c r="N970" s="68" cm="1">
        <f t="array" ref="N970">IFERROR(IF($A970=$A969,0,SUM(_xlfn._xlws.FILTER($E970:$E980,($A970:$A980=$A970)*($J970:$J980=N$42)))),0)</f>
        <v>0</v>
      </c>
    </row>
    <row r="971" spans="5:14" x14ac:dyDescent="0.3">
      <c r="E971" s="67">
        <f ca="1">IFERROR(C971*D971*_xlfn.XLOOKUP(B971,[1]!TabCalc[Ticker],[1]!TabCalc[Scale]),0)</f>
        <v>0</v>
      </c>
      <c r="F971" s="68" cm="1">
        <f t="array" ref="F971">IF(A971=A970,0,SUM(_xlfn._xlws.FILTER(E971:E981,A971:A981=A971)))</f>
        <v>0</v>
      </c>
      <c r="G971" s="69">
        <f>IF(F971&lt;&gt;0,SUM($F$43:F971),0)</f>
        <v>0</v>
      </c>
      <c r="H971" s="69" cm="1">
        <f t="array" ref="H971">IFERROR(IF(A971=A970,0,SUM(_xlfn._xlws.FILTER(E971:E981,(A971:A981=A971)*(E971:E981&gt;0)))),0)</f>
        <v>0</v>
      </c>
      <c r="I971" s="69" cm="1">
        <f t="array" ref="I971">IFERROR(IF(A971=A970,0,SUM(_xlfn._xlws.FILTER(E971:E981,(A971:A981=A971)*(F971&lt;0)))),0)</f>
        <v>0</v>
      </c>
      <c r="J971" s="81" t="str">
        <f ca="1">IFERROR(_xlfn.XLOOKUP(B971,[1]!TabCalc[Ticker],[1]!TabCalc[Cur]),"")</f>
        <v/>
      </c>
      <c r="K971" s="68" cm="1">
        <f t="array" ref="K971">IFERROR(IF($A971=$A970,0,SUM(_xlfn._xlws.FILTER($E971:$E981,($A971:$A981=$A971)*($J971:$J981=K$42)))),0)</f>
        <v>0</v>
      </c>
      <c r="L971" s="68" cm="1">
        <f t="array" ref="L971">IFERROR(IF($A971=$A970,0,SUM(_xlfn._xlws.FILTER($E971:$E981,($A971:$A981=$A971)*($J971:$J981=L$42)))),0)</f>
        <v>0</v>
      </c>
      <c r="M971" s="68" cm="1">
        <f t="array" ref="M971">IFERROR(IF($A971=$A970,0,SUM(_xlfn._xlws.FILTER($E971:$E981,($A971:$A981=$A971)*($J971:$J981=M$42)))),0)</f>
        <v>0</v>
      </c>
      <c r="N971" s="68" cm="1">
        <f t="array" ref="N971">IFERROR(IF($A971=$A970,0,SUM(_xlfn._xlws.FILTER($E971:$E981,($A971:$A981=$A971)*($J971:$J981=N$42)))),0)</f>
        <v>0</v>
      </c>
    </row>
    <row r="972" spans="5:14" x14ac:dyDescent="0.3">
      <c r="E972" s="67">
        <f ca="1">IFERROR(C972*D972*_xlfn.XLOOKUP(B972,[1]!TabCalc[Ticker],[1]!TabCalc[Scale]),0)</f>
        <v>0</v>
      </c>
      <c r="F972" s="68" cm="1">
        <f t="array" ref="F972">IF(A972=A971,0,SUM(_xlfn._xlws.FILTER(E972:E982,A972:A982=A972)))</f>
        <v>0</v>
      </c>
      <c r="G972" s="69">
        <f>IF(F972&lt;&gt;0,SUM($F$43:F972),0)</f>
        <v>0</v>
      </c>
      <c r="H972" s="69" cm="1">
        <f t="array" ref="H972">IFERROR(IF(A972=A971,0,SUM(_xlfn._xlws.FILTER(E972:E982,(A972:A982=A972)*(E972:E982&gt;0)))),0)</f>
        <v>0</v>
      </c>
      <c r="I972" s="69" cm="1">
        <f t="array" ref="I972">IFERROR(IF(A972=A971,0,SUM(_xlfn._xlws.FILTER(E972:E982,(A972:A982=A972)*(F972&lt;0)))),0)</f>
        <v>0</v>
      </c>
      <c r="J972" s="81" t="str">
        <f ca="1">IFERROR(_xlfn.XLOOKUP(B972,[1]!TabCalc[Ticker],[1]!TabCalc[Cur]),"")</f>
        <v/>
      </c>
      <c r="K972" s="68" cm="1">
        <f t="array" ref="K972">IFERROR(IF($A972=$A971,0,SUM(_xlfn._xlws.FILTER($E972:$E982,($A972:$A982=$A972)*($J972:$J982=K$42)))),0)</f>
        <v>0</v>
      </c>
      <c r="L972" s="68" cm="1">
        <f t="array" ref="L972">IFERROR(IF($A972=$A971,0,SUM(_xlfn._xlws.FILTER($E972:$E982,($A972:$A982=$A972)*($J972:$J982=L$42)))),0)</f>
        <v>0</v>
      </c>
      <c r="M972" s="68" cm="1">
        <f t="array" ref="M972">IFERROR(IF($A972=$A971,0,SUM(_xlfn._xlws.FILTER($E972:$E982,($A972:$A982=$A972)*($J972:$J982=M$42)))),0)</f>
        <v>0</v>
      </c>
      <c r="N972" s="68" cm="1">
        <f t="array" ref="N972">IFERROR(IF($A972=$A971,0,SUM(_xlfn._xlws.FILTER($E972:$E982,($A972:$A982=$A972)*($J972:$J982=N$42)))),0)</f>
        <v>0</v>
      </c>
    </row>
    <row r="973" spans="5:14" x14ac:dyDescent="0.3">
      <c r="E973" s="67">
        <f ca="1">IFERROR(C973*D973*_xlfn.XLOOKUP(B973,[1]!TabCalc[Ticker],[1]!TabCalc[Scale]),0)</f>
        <v>0</v>
      </c>
      <c r="F973" s="68" cm="1">
        <f t="array" ref="F973">IF(A973=A972,0,SUM(_xlfn._xlws.FILTER(E973:E983,A973:A983=A973)))</f>
        <v>0</v>
      </c>
      <c r="G973" s="69">
        <f>IF(F973&lt;&gt;0,SUM($F$43:F973),0)</f>
        <v>0</v>
      </c>
      <c r="H973" s="69" cm="1">
        <f t="array" ref="H973">IFERROR(IF(A973=A972,0,SUM(_xlfn._xlws.FILTER(E973:E983,(A973:A983=A973)*(E973:E983&gt;0)))),0)</f>
        <v>0</v>
      </c>
      <c r="I973" s="69" cm="1">
        <f t="array" ref="I973">IFERROR(IF(A973=A972,0,SUM(_xlfn._xlws.FILTER(E973:E983,(A973:A983=A973)*(F973&lt;0)))),0)</f>
        <v>0</v>
      </c>
      <c r="J973" s="81" t="str">
        <f ca="1">IFERROR(_xlfn.XLOOKUP(B973,[1]!TabCalc[Ticker],[1]!TabCalc[Cur]),"")</f>
        <v/>
      </c>
      <c r="K973" s="68" cm="1">
        <f t="array" ref="K973">IFERROR(IF($A973=$A972,0,SUM(_xlfn._xlws.FILTER($E973:$E983,($A973:$A983=$A973)*($J973:$J983=K$42)))),0)</f>
        <v>0</v>
      </c>
      <c r="L973" s="68" cm="1">
        <f t="array" ref="L973">IFERROR(IF($A973=$A972,0,SUM(_xlfn._xlws.FILTER($E973:$E983,($A973:$A983=$A973)*($J973:$J983=L$42)))),0)</f>
        <v>0</v>
      </c>
      <c r="M973" s="68" cm="1">
        <f t="array" ref="M973">IFERROR(IF($A973=$A972,0,SUM(_xlfn._xlws.FILTER($E973:$E983,($A973:$A983=$A973)*($J973:$J983=M$42)))),0)</f>
        <v>0</v>
      </c>
      <c r="N973" s="68" cm="1">
        <f t="array" ref="N973">IFERROR(IF($A973=$A972,0,SUM(_xlfn._xlws.FILTER($E973:$E983,($A973:$A983=$A973)*($J973:$J983=N$42)))),0)</f>
        <v>0</v>
      </c>
    </row>
    <row r="974" spans="5:14" x14ac:dyDescent="0.3">
      <c r="E974" s="67">
        <f ca="1">IFERROR(C974*D974*_xlfn.XLOOKUP(B974,[1]!TabCalc[Ticker],[1]!TabCalc[Scale]),0)</f>
        <v>0</v>
      </c>
      <c r="F974" s="68" cm="1">
        <f t="array" ref="F974">IF(A974=A973,0,SUM(_xlfn._xlws.FILTER(E974:E984,A974:A984=A974)))</f>
        <v>0</v>
      </c>
      <c r="G974" s="69">
        <f>IF(F974&lt;&gt;0,SUM($F$43:F974),0)</f>
        <v>0</v>
      </c>
      <c r="H974" s="69" cm="1">
        <f t="array" ref="H974">IFERROR(IF(A974=A973,0,SUM(_xlfn._xlws.FILTER(E974:E984,(A974:A984=A974)*(E974:E984&gt;0)))),0)</f>
        <v>0</v>
      </c>
      <c r="I974" s="69" cm="1">
        <f t="array" ref="I974">IFERROR(IF(A974=A973,0,SUM(_xlfn._xlws.FILTER(E974:E984,(A974:A984=A974)*(F974&lt;0)))),0)</f>
        <v>0</v>
      </c>
      <c r="J974" s="81" t="str">
        <f ca="1">IFERROR(_xlfn.XLOOKUP(B974,[1]!TabCalc[Ticker],[1]!TabCalc[Cur]),"")</f>
        <v/>
      </c>
      <c r="K974" s="68" cm="1">
        <f t="array" ref="K974">IFERROR(IF($A974=$A973,0,SUM(_xlfn._xlws.FILTER($E974:$E984,($A974:$A984=$A974)*($J974:$J984=K$42)))),0)</f>
        <v>0</v>
      </c>
      <c r="L974" s="68" cm="1">
        <f t="array" ref="L974">IFERROR(IF($A974=$A973,0,SUM(_xlfn._xlws.FILTER($E974:$E984,($A974:$A984=$A974)*($J974:$J984=L$42)))),0)</f>
        <v>0</v>
      </c>
      <c r="M974" s="68" cm="1">
        <f t="array" ref="M974">IFERROR(IF($A974=$A973,0,SUM(_xlfn._xlws.FILTER($E974:$E984,($A974:$A984=$A974)*($J974:$J984=M$42)))),0)</f>
        <v>0</v>
      </c>
      <c r="N974" s="68" cm="1">
        <f t="array" ref="N974">IFERROR(IF($A974=$A973,0,SUM(_xlfn._xlws.FILTER($E974:$E984,($A974:$A984=$A974)*($J974:$J984=N$42)))),0)</f>
        <v>0</v>
      </c>
    </row>
    <row r="975" spans="5:14" x14ac:dyDescent="0.3">
      <c r="E975" s="67">
        <f ca="1">IFERROR(C975*D975*_xlfn.XLOOKUP(B975,[1]!TabCalc[Ticker],[1]!TabCalc[Scale]),0)</f>
        <v>0</v>
      </c>
      <c r="F975" s="68" cm="1">
        <f t="array" ref="F975">IF(A975=A974,0,SUM(_xlfn._xlws.FILTER(E975:E985,A975:A985=A975)))</f>
        <v>0</v>
      </c>
      <c r="G975" s="69">
        <f>IF(F975&lt;&gt;0,SUM($F$43:F975),0)</f>
        <v>0</v>
      </c>
      <c r="H975" s="69" cm="1">
        <f t="array" ref="H975">IFERROR(IF(A975=A974,0,SUM(_xlfn._xlws.FILTER(E975:E985,(A975:A985=A975)*(E975:E985&gt;0)))),0)</f>
        <v>0</v>
      </c>
      <c r="I975" s="69" cm="1">
        <f t="array" ref="I975">IFERROR(IF(A975=A974,0,SUM(_xlfn._xlws.FILTER(E975:E985,(A975:A985=A975)*(F975&lt;0)))),0)</f>
        <v>0</v>
      </c>
      <c r="J975" s="81" t="str">
        <f ca="1">IFERROR(_xlfn.XLOOKUP(B975,[1]!TabCalc[Ticker],[1]!TabCalc[Cur]),"")</f>
        <v/>
      </c>
      <c r="K975" s="68" cm="1">
        <f t="array" ref="K975">IFERROR(IF($A975=$A974,0,SUM(_xlfn._xlws.FILTER($E975:$E985,($A975:$A985=$A975)*($J975:$J985=K$42)))),0)</f>
        <v>0</v>
      </c>
      <c r="L975" s="68" cm="1">
        <f t="array" ref="L975">IFERROR(IF($A975=$A974,0,SUM(_xlfn._xlws.FILTER($E975:$E985,($A975:$A985=$A975)*($J975:$J985=L$42)))),0)</f>
        <v>0</v>
      </c>
      <c r="M975" s="68" cm="1">
        <f t="array" ref="M975">IFERROR(IF($A975=$A974,0,SUM(_xlfn._xlws.FILTER($E975:$E985,($A975:$A985=$A975)*($J975:$J985=M$42)))),0)</f>
        <v>0</v>
      </c>
      <c r="N975" s="68" cm="1">
        <f t="array" ref="N975">IFERROR(IF($A975=$A974,0,SUM(_xlfn._xlws.FILTER($E975:$E985,($A975:$A985=$A975)*($J975:$J985=N$42)))),0)</f>
        <v>0</v>
      </c>
    </row>
    <row r="976" spans="5:14" x14ac:dyDescent="0.3">
      <c r="E976" s="67">
        <f ca="1">IFERROR(C976*D976*_xlfn.XLOOKUP(B976,[1]!TabCalc[Ticker],[1]!TabCalc[Scale]),0)</f>
        <v>0</v>
      </c>
      <c r="F976" s="68" cm="1">
        <f t="array" ref="F976">IF(A976=A975,0,SUM(_xlfn._xlws.FILTER(E976:E986,A976:A986=A976)))</f>
        <v>0</v>
      </c>
      <c r="G976" s="69">
        <f>IF(F976&lt;&gt;0,SUM($F$43:F976),0)</f>
        <v>0</v>
      </c>
      <c r="H976" s="69" cm="1">
        <f t="array" ref="H976">IFERROR(IF(A976=A975,0,SUM(_xlfn._xlws.FILTER(E976:E986,(A976:A986=A976)*(E976:E986&gt;0)))),0)</f>
        <v>0</v>
      </c>
      <c r="I976" s="69" cm="1">
        <f t="array" ref="I976">IFERROR(IF(A976=A975,0,SUM(_xlfn._xlws.FILTER(E976:E986,(A976:A986=A976)*(F976&lt;0)))),0)</f>
        <v>0</v>
      </c>
      <c r="J976" s="81" t="str">
        <f ca="1">IFERROR(_xlfn.XLOOKUP(B976,[1]!TabCalc[Ticker],[1]!TabCalc[Cur]),"")</f>
        <v/>
      </c>
      <c r="K976" s="68" cm="1">
        <f t="array" ref="K976">IFERROR(IF($A976=$A975,0,SUM(_xlfn._xlws.FILTER($E976:$E986,($A976:$A986=$A976)*($J976:$J986=K$42)))),0)</f>
        <v>0</v>
      </c>
      <c r="L976" s="68" cm="1">
        <f t="array" ref="L976">IFERROR(IF($A976=$A975,0,SUM(_xlfn._xlws.FILTER($E976:$E986,($A976:$A986=$A976)*($J976:$J986=L$42)))),0)</f>
        <v>0</v>
      </c>
      <c r="M976" s="68" cm="1">
        <f t="array" ref="M976">IFERROR(IF($A976=$A975,0,SUM(_xlfn._xlws.FILTER($E976:$E986,($A976:$A986=$A976)*($J976:$J986=M$42)))),0)</f>
        <v>0</v>
      </c>
      <c r="N976" s="68" cm="1">
        <f t="array" ref="N976">IFERROR(IF($A976=$A975,0,SUM(_xlfn._xlws.FILTER($E976:$E986,($A976:$A986=$A976)*($J976:$J986=N$42)))),0)</f>
        <v>0</v>
      </c>
    </row>
    <row r="977" spans="5:14" x14ac:dyDescent="0.3">
      <c r="E977" s="67">
        <f ca="1">IFERROR(C977*D977*_xlfn.XLOOKUP(B977,[1]!TabCalc[Ticker],[1]!TabCalc[Scale]),0)</f>
        <v>0</v>
      </c>
      <c r="F977" s="68" cm="1">
        <f t="array" ref="F977">IF(A977=A976,0,SUM(_xlfn._xlws.FILTER(E977:E987,A977:A987=A977)))</f>
        <v>0</v>
      </c>
      <c r="G977" s="69">
        <f>IF(F977&lt;&gt;0,SUM($F$43:F977),0)</f>
        <v>0</v>
      </c>
      <c r="H977" s="69" cm="1">
        <f t="array" ref="H977">IFERROR(IF(A977=A976,0,SUM(_xlfn._xlws.FILTER(E977:E987,(A977:A987=A977)*(E977:E987&gt;0)))),0)</f>
        <v>0</v>
      </c>
      <c r="I977" s="69" cm="1">
        <f t="array" ref="I977">IFERROR(IF(A977=A976,0,SUM(_xlfn._xlws.FILTER(E977:E987,(A977:A987=A977)*(F977&lt;0)))),0)</f>
        <v>0</v>
      </c>
      <c r="J977" s="81" t="str">
        <f ca="1">IFERROR(_xlfn.XLOOKUP(B977,[1]!TabCalc[Ticker],[1]!TabCalc[Cur]),"")</f>
        <v/>
      </c>
      <c r="K977" s="68" cm="1">
        <f t="array" ref="K977">IFERROR(IF($A977=$A976,0,SUM(_xlfn._xlws.FILTER($E977:$E987,($A977:$A987=$A977)*($J977:$J987=K$42)))),0)</f>
        <v>0</v>
      </c>
      <c r="L977" s="68" cm="1">
        <f t="array" ref="L977">IFERROR(IF($A977=$A976,0,SUM(_xlfn._xlws.FILTER($E977:$E987,($A977:$A987=$A977)*($J977:$J987=L$42)))),0)</f>
        <v>0</v>
      </c>
      <c r="M977" s="68" cm="1">
        <f t="array" ref="M977">IFERROR(IF($A977=$A976,0,SUM(_xlfn._xlws.FILTER($E977:$E987,($A977:$A987=$A977)*($J977:$J987=M$42)))),0)</f>
        <v>0</v>
      </c>
      <c r="N977" s="68" cm="1">
        <f t="array" ref="N977">IFERROR(IF($A977=$A976,0,SUM(_xlfn._xlws.FILTER($E977:$E987,($A977:$A987=$A977)*($J977:$J987=N$42)))),0)</f>
        <v>0</v>
      </c>
    </row>
    <row r="978" spans="5:14" x14ac:dyDescent="0.3">
      <c r="E978" s="67">
        <f ca="1">IFERROR(C978*D978*_xlfn.XLOOKUP(B978,[1]!TabCalc[Ticker],[1]!TabCalc[Scale]),0)</f>
        <v>0</v>
      </c>
      <c r="F978" s="68" cm="1">
        <f t="array" ref="F978">IF(A978=A977,0,SUM(_xlfn._xlws.FILTER(E978:E988,A978:A988=A978)))</f>
        <v>0</v>
      </c>
      <c r="G978" s="69">
        <f>IF(F978&lt;&gt;0,SUM($F$43:F978),0)</f>
        <v>0</v>
      </c>
      <c r="H978" s="69" cm="1">
        <f t="array" ref="H978">IFERROR(IF(A978=A977,0,SUM(_xlfn._xlws.FILTER(E978:E988,(A978:A988=A978)*(E978:E988&gt;0)))),0)</f>
        <v>0</v>
      </c>
      <c r="I978" s="69" cm="1">
        <f t="array" ref="I978">IFERROR(IF(A978=A977,0,SUM(_xlfn._xlws.FILTER(E978:E988,(A978:A988=A978)*(F978&lt;0)))),0)</f>
        <v>0</v>
      </c>
      <c r="J978" s="81" t="str">
        <f ca="1">IFERROR(_xlfn.XLOOKUP(B978,[1]!TabCalc[Ticker],[1]!TabCalc[Cur]),"")</f>
        <v/>
      </c>
      <c r="K978" s="68" cm="1">
        <f t="array" ref="K978">IFERROR(IF($A978=$A977,0,SUM(_xlfn._xlws.FILTER($E978:$E988,($A978:$A988=$A978)*($J978:$J988=K$42)))),0)</f>
        <v>0</v>
      </c>
      <c r="L978" s="68" cm="1">
        <f t="array" ref="L978">IFERROR(IF($A978=$A977,0,SUM(_xlfn._xlws.FILTER($E978:$E988,($A978:$A988=$A978)*($J978:$J988=L$42)))),0)</f>
        <v>0</v>
      </c>
      <c r="M978" s="68" cm="1">
        <f t="array" ref="M978">IFERROR(IF($A978=$A977,0,SUM(_xlfn._xlws.FILTER($E978:$E988,($A978:$A988=$A978)*($J978:$J988=M$42)))),0)</f>
        <v>0</v>
      </c>
      <c r="N978" s="68" cm="1">
        <f t="array" ref="N978">IFERROR(IF($A978=$A977,0,SUM(_xlfn._xlws.FILTER($E978:$E988,($A978:$A988=$A978)*($J978:$J988=N$42)))),0)</f>
        <v>0</v>
      </c>
    </row>
    <row r="979" spans="5:14" x14ac:dyDescent="0.3">
      <c r="E979" s="67">
        <f ca="1">IFERROR(C979*D979*_xlfn.XLOOKUP(B979,[1]!TabCalc[Ticker],[1]!TabCalc[Scale]),0)</f>
        <v>0</v>
      </c>
      <c r="F979" s="68" cm="1">
        <f t="array" ref="F979">IF(A979=A978,0,SUM(_xlfn._xlws.FILTER(E979:E989,A979:A989=A979)))</f>
        <v>0</v>
      </c>
      <c r="G979" s="69">
        <f>IF(F979&lt;&gt;0,SUM($F$43:F979),0)</f>
        <v>0</v>
      </c>
      <c r="H979" s="69" cm="1">
        <f t="array" ref="H979">IFERROR(IF(A979=A978,0,SUM(_xlfn._xlws.FILTER(E979:E989,(A979:A989=A979)*(E979:E989&gt;0)))),0)</f>
        <v>0</v>
      </c>
      <c r="I979" s="69" cm="1">
        <f t="array" ref="I979">IFERROR(IF(A979=A978,0,SUM(_xlfn._xlws.FILTER(E979:E989,(A979:A989=A979)*(F979&lt;0)))),0)</f>
        <v>0</v>
      </c>
      <c r="J979" s="81" t="str">
        <f ca="1">IFERROR(_xlfn.XLOOKUP(B979,[1]!TabCalc[Ticker],[1]!TabCalc[Cur]),"")</f>
        <v/>
      </c>
      <c r="K979" s="68" cm="1">
        <f t="array" ref="K979">IFERROR(IF($A979=$A978,0,SUM(_xlfn._xlws.FILTER($E979:$E989,($A979:$A989=$A979)*($J979:$J989=K$42)))),0)</f>
        <v>0</v>
      </c>
      <c r="L979" s="68" cm="1">
        <f t="array" ref="L979">IFERROR(IF($A979=$A978,0,SUM(_xlfn._xlws.FILTER($E979:$E989,($A979:$A989=$A979)*($J979:$J989=L$42)))),0)</f>
        <v>0</v>
      </c>
      <c r="M979" s="68" cm="1">
        <f t="array" ref="M979">IFERROR(IF($A979=$A978,0,SUM(_xlfn._xlws.FILTER($E979:$E989,($A979:$A989=$A979)*($J979:$J989=M$42)))),0)</f>
        <v>0</v>
      </c>
      <c r="N979" s="68" cm="1">
        <f t="array" ref="N979">IFERROR(IF($A979=$A978,0,SUM(_xlfn._xlws.FILTER($E979:$E989,($A979:$A989=$A979)*($J979:$J989=N$42)))),0)</f>
        <v>0</v>
      </c>
    </row>
    <row r="980" spans="5:14" x14ac:dyDescent="0.3">
      <c r="E980" s="67">
        <f ca="1">IFERROR(C980*D980*_xlfn.XLOOKUP(B980,[1]!TabCalc[Ticker],[1]!TabCalc[Scale]),0)</f>
        <v>0</v>
      </c>
      <c r="F980" s="68" cm="1">
        <f t="array" ref="F980">IF(A980=A979,0,SUM(_xlfn._xlws.FILTER(E980:E990,A980:A990=A980)))</f>
        <v>0</v>
      </c>
      <c r="G980" s="69">
        <f>IF(F980&lt;&gt;0,SUM($F$43:F980),0)</f>
        <v>0</v>
      </c>
      <c r="H980" s="69" cm="1">
        <f t="array" ref="H980">IFERROR(IF(A980=A979,0,SUM(_xlfn._xlws.FILTER(E980:E990,(A980:A990=A980)*(E980:E990&gt;0)))),0)</f>
        <v>0</v>
      </c>
      <c r="I980" s="69" cm="1">
        <f t="array" ref="I980">IFERROR(IF(A980=A979,0,SUM(_xlfn._xlws.FILTER(E980:E990,(A980:A990=A980)*(F980&lt;0)))),0)</f>
        <v>0</v>
      </c>
      <c r="J980" s="81" t="str">
        <f ca="1">IFERROR(_xlfn.XLOOKUP(B980,[1]!TabCalc[Ticker],[1]!TabCalc[Cur]),"")</f>
        <v/>
      </c>
      <c r="K980" s="68" cm="1">
        <f t="array" ref="K980">IFERROR(IF($A980=$A979,0,SUM(_xlfn._xlws.FILTER($E980:$E990,($A980:$A990=$A980)*($J980:$J990=K$42)))),0)</f>
        <v>0</v>
      </c>
      <c r="L980" s="68" cm="1">
        <f t="array" ref="L980">IFERROR(IF($A980=$A979,0,SUM(_xlfn._xlws.FILTER($E980:$E990,($A980:$A990=$A980)*($J980:$J990=L$42)))),0)</f>
        <v>0</v>
      </c>
      <c r="M980" s="68" cm="1">
        <f t="array" ref="M980">IFERROR(IF($A980=$A979,0,SUM(_xlfn._xlws.FILTER($E980:$E990,($A980:$A990=$A980)*($J980:$J990=M$42)))),0)</f>
        <v>0</v>
      </c>
      <c r="N980" s="68" cm="1">
        <f t="array" ref="N980">IFERROR(IF($A980=$A979,0,SUM(_xlfn._xlws.FILTER($E980:$E990,($A980:$A990=$A980)*($J980:$J990=N$42)))),0)</f>
        <v>0</v>
      </c>
    </row>
    <row r="981" spans="5:14" x14ac:dyDescent="0.3">
      <c r="E981" s="67">
        <f ca="1">IFERROR(C981*D981*_xlfn.XLOOKUP(B981,[1]!TabCalc[Ticker],[1]!TabCalc[Scale]),0)</f>
        <v>0</v>
      </c>
      <c r="F981" s="68" cm="1">
        <f t="array" ref="F981">IF(A981=A980,0,SUM(_xlfn._xlws.FILTER(E981:E991,A981:A991=A981)))</f>
        <v>0</v>
      </c>
      <c r="G981" s="69">
        <f>IF(F981&lt;&gt;0,SUM($F$43:F981),0)</f>
        <v>0</v>
      </c>
      <c r="H981" s="69" cm="1">
        <f t="array" ref="H981">IFERROR(IF(A981=A980,0,SUM(_xlfn._xlws.FILTER(E981:E991,(A981:A991=A981)*(E981:E991&gt;0)))),0)</f>
        <v>0</v>
      </c>
      <c r="I981" s="69" cm="1">
        <f t="array" ref="I981">IFERROR(IF(A981=A980,0,SUM(_xlfn._xlws.FILTER(E981:E991,(A981:A991=A981)*(F981&lt;0)))),0)</f>
        <v>0</v>
      </c>
      <c r="J981" s="81" t="str">
        <f ca="1">IFERROR(_xlfn.XLOOKUP(B981,[1]!TabCalc[Ticker],[1]!TabCalc[Cur]),"")</f>
        <v/>
      </c>
      <c r="K981" s="68" cm="1">
        <f t="array" ref="K981">IFERROR(IF($A981=$A980,0,SUM(_xlfn._xlws.FILTER($E981:$E991,($A981:$A991=$A981)*($J981:$J991=K$42)))),0)</f>
        <v>0</v>
      </c>
      <c r="L981" s="68" cm="1">
        <f t="array" ref="L981">IFERROR(IF($A981=$A980,0,SUM(_xlfn._xlws.FILTER($E981:$E991,($A981:$A991=$A981)*($J981:$J991=L$42)))),0)</f>
        <v>0</v>
      </c>
      <c r="M981" s="68" cm="1">
        <f t="array" ref="M981">IFERROR(IF($A981=$A980,0,SUM(_xlfn._xlws.FILTER($E981:$E991,($A981:$A991=$A981)*($J981:$J991=M$42)))),0)</f>
        <v>0</v>
      </c>
      <c r="N981" s="68" cm="1">
        <f t="array" ref="N981">IFERROR(IF($A981=$A980,0,SUM(_xlfn._xlws.FILTER($E981:$E991,($A981:$A991=$A981)*($J981:$J991=N$42)))),0)</f>
        <v>0</v>
      </c>
    </row>
    <row r="982" spans="5:14" x14ac:dyDescent="0.3">
      <c r="E982" s="67">
        <f ca="1">IFERROR(C982*D982*_xlfn.XLOOKUP(B982,[1]!TabCalc[Ticker],[1]!TabCalc[Scale]),0)</f>
        <v>0</v>
      </c>
      <c r="F982" s="68" cm="1">
        <f t="array" ref="F982">IF(A982=A981,0,SUM(_xlfn._xlws.FILTER(E982:E992,A982:A992=A982)))</f>
        <v>0</v>
      </c>
      <c r="G982" s="69">
        <f>IF(F982&lt;&gt;0,SUM($F$43:F982),0)</f>
        <v>0</v>
      </c>
      <c r="H982" s="69" cm="1">
        <f t="array" ref="H982">IFERROR(IF(A982=A981,0,SUM(_xlfn._xlws.FILTER(E982:E992,(A982:A992=A982)*(E982:E992&gt;0)))),0)</f>
        <v>0</v>
      </c>
      <c r="I982" s="69" cm="1">
        <f t="array" ref="I982">IFERROR(IF(A982=A981,0,SUM(_xlfn._xlws.FILTER(E982:E992,(A982:A992=A982)*(F982&lt;0)))),0)</f>
        <v>0</v>
      </c>
      <c r="J982" s="81" t="str">
        <f ca="1">IFERROR(_xlfn.XLOOKUP(B982,[1]!TabCalc[Ticker],[1]!TabCalc[Cur]),"")</f>
        <v/>
      </c>
      <c r="K982" s="68" cm="1">
        <f t="array" ref="K982">IFERROR(IF($A982=$A981,0,SUM(_xlfn._xlws.FILTER($E982:$E992,($A982:$A992=$A982)*($J982:$J992=K$42)))),0)</f>
        <v>0</v>
      </c>
      <c r="L982" s="68" cm="1">
        <f t="array" ref="L982">IFERROR(IF($A982=$A981,0,SUM(_xlfn._xlws.FILTER($E982:$E992,($A982:$A992=$A982)*($J982:$J992=L$42)))),0)</f>
        <v>0</v>
      </c>
      <c r="M982" s="68" cm="1">
        <f t="array" ref="M982">IFERROR(IF($A982=$A981,0,SUM(_xlfn._xlws.FILTER($E982:$E992,($A982:$A992=$A982)*($J982:$J992=M$42)))),0)</f>
        <v>0</v>
      </c>
      <c r="N982" s="68" cm="1">
        <f t="array" ref="N982">IFERROR(IF($A982=$A981,0,SUM(_xlfn._xlws.FILTER($E982:$E992,($A982:$A992=$A982)*($J982:$J992=N$42)))),0)</f>
        <v>0</v>
      </c>
    </row>
    <row r="983" spans="5:14" x14ac:dyDescent="0.3">
      <c r="E983" s="67">
        <f ca="1">IFERROR(C983*D983*_xlfn.XLOOKUP(B983,[1]!TabCalc[Ticker],[1]!TabCalc[Scale]),0)</f>
        <v>0</v>
      </c>
      <c r="F983" s="68" cm="1">
        <f t="array" ref="F983">IF(A983=A982,0,SUM(_xlfn._xlws.FILTER(E983:E993,A983:A993=A983)))</f>
        <v>0</v>
      </c>
      <c r="G983" s="69">
        <f>IF(F983&lt;&gt;0,SUM($F$43:F983),0)</f>
        <v>0</v>
      </c>
      <c r="H983" s="69" cm="1">
        <f t="array" ref="H983">IFERROR(IF(A983=A982,0,SUM(_xlfn._xlws.FILTER(E983:E993,(A983:A993=A983)*(E983:E993&gt;0)))),0)</f>
        <v>0</v>
      </c>
      <c r="I983" s="69" cm="1">
        <f t="array" ref="I983">IFERROR(IF(A983=A982,0,SUM(_xlfn._xlws.FILTER(E983:E993,(A983:A993=A983)*(F983&lt;0)))),0)</f>
        <v>0</v>
      </c>
      <c r="J983" s="81" t="str">
        <f ca="1">IFERROR(_xlfn.XLOOKUP(B983,[1]!TabCalc[Ticker],[1]!TabCalc[Cur]),"")</f>
        <v/>
      </c>
      <c r="K983" s="68" cm="1">
        <f t="array" ref="K983">IFERROR(IF($A983=$A982,0,SUM(_xlfn._xlws.FILTER($E983:$E993,($A983:$A993=$A983)*($J983:$J993=K$42)))),0)</f>
        <v>0</v>
      </c>
      <c r="L983" s="68" cm="1">
        <f t="array" ref="L983">IFERROR(IF($A983=$A982,0,SUM(_xlfn._xlws.FILTER($E983:$E993,($A983:$A993=$A983)*($J983:$J993=L$42)))),0)</f>
        <v>0</v>
      </c>
      <c r="M983" s="68" cm="1">
        <f t="array" ref="M983">IFERROR(IF($A983=$A982,0,SUM(_xlfn._xlws.FILTER($E983:$E993,($A983:$A993=$A983)*($J983:$J993=M$42)))),0)</f>
        <v>0</v>
      </c>
      <c r="N983" s="68" cm="1">
        <f t="array" ref="N983">IFERROR(IF($A983=$A982,0,SUM(_xlfn._xlws.FILTER($E983:$E993,($A983:$A993=$A983)*($J983:$J993=N$42)))),0)</f>
        <v>0</v>
      </c>
    </row>
    <row r="984" spans="5:14" x14ac:dyDescent="0.3">
      <c r="E984" s="67">
        <f ca="1">IFERROR(C984*D984*_xlfn.XLOOKUP(B984,[1]!TabCalc[Ticker],[1]!TabCalc[Scale]),0)</f>
        <v>0</v>
      </c>
      <c r="F984" s="68" cm="1">
        <f t="array" ref="F984">IF(A984=A983,0,SUM(_xlfn._xlws.FILTER(E984:E994,A984:A994=A984)))</f>
        <v>0</v>
      </c>
      <c r="G984" s="69">
        <f>IF(F984&lt;&gt;0,SUM($F$43:F984),0)</f>
        <v>0</v>
      </c>
      <c r="H984" s="69" cm="1">
        <f t="array" ref="H984">IFERROR(IF(A984=A983,0,SUM(_xlfn._xlws.FILTER(E984:E994,(A984:A994=A984)*(E984:E994&gt;0)))),0)</f>
        <v>0</v>
      </c>
      <c r="I984" s="69" cm="1">
        <f t="array" ref="I984">IFERROR(IF(A984=A983,0,SUM(_xlfn._xlws.FILTER(E984:E994,(A984:A994=A984)*(F984&lt;0)))),0)</f>
        <v>0</v>
      </c>
      <c r="J984" s="81" t="str">
        <f ca="1">IFERROR(_xlfn.XLOOKUP(B984,[1]!TabCalc[Ticker],[1]!TabCalc[Cur]),"")</f>
        <v/>
      </c>
      <c r="K984" s="68" cm="1">
        <f t="array" ref="K984">IFERROR(IF($A984=$A983,0,SUM(_xlfn._xlws.FILTER($E984:$E994,($A984:$A994=$A984)*($J984:$J994=K$42)))),0)</f>
        <v>0</v>
      </c>
      <c r="L984" s="68" cm="1">
        <f t="array" ref="L984">IFERROR(IF($A984=$A983,0,SUM(_xlfn._xlws.FILTER($E984:$E994,($A984:$A994=$A984)*($J984:$J994=L$42)))),0)</f>
        <v>0</v>
      </c>
      <c r="M984" s="68" cm="1">
        <f t="array" ref="M984">IFERROR(IF($A984=$A983,0,SUM(_xlfn._xlws.FILTER($E984:$E994,($A984:$A994=$A984)*($J984:$J994=M$42)))),0)</f>
        <v>0</v>
      </c>
      <c r="N984" s="68" cm="1">
        <f t="array" ref="N984">IFERROR(IF($A984=$A983,0,SUM(_xlfn._xlws.FILTER($E984:$E994,($A984:$A994=$A984)*($J984:$J994=N$42)))),0)</f>
        <v>0</v>
      </c>
    </row>
    <row r="985" spans="5:14" x14ac:dyDescent="0.3">
      <c r="E985" s="67">
        <f ca="1">IFERROR(C985*D985*_xlfn.XLOOKUP(B985,[1]!TabCalc[Ticker],[1]!TabCalc[Scale]),0)</f>
        <v>0</v>
      </c>
      <c r="F985" s="68" cm="1">
        <f t="array" ref="F985">IF(A985=A984,0,SUM(_xlfn._xlws.FILTER(E985:E995,A985:A995=A985)))</f>
        <v>0</v>
      </c>
      <c r="G985" s="69">
        <f>IF(F985&lt;&gt;0,SUM($F$43:F985),0)</f>
        <v>0</v>
      </c>
      <c r="H985" s="69" cm="1">
        <f t="array" ref="H985">IFERROR(IF(A985=A984,0,SUM(_xlfn._xlws.FILTER(E985:E995,(A985:A995=A985)*(E985:E995&gt;0)))),0)</f>
        <v>0</v>
      </c>
      <c r="I985" s="69" cm="1">
        <f t="array" ref="I985">IFERROR(IF(A985=A984,0,SUM(_xlfn._xlws.FILTER(E985:E995,(A985:A995=A985)*(F985&lt;0)))),0)</f>
        <v>0</v>
      </c>
      <c r="J985" s="81" t="str">
        <f ca="1">IFERROR(_xlfn.XLOOKUP(B985,[1]!TabCalc[Ticker],[1]!TabCalc[Cur]),"")</f>
        <v/>
      </c>
      <c r="K985" s="68" cm="1">
        <f t="array" ref="K985">IFERROR(IF($A985=$A984,0,SUM(_xlfn._xlws.FILTER($E985:$E995,($A985:$A995=$A985)*($J985:$J995=K$42)))),0)</f>
        <v>0</v>
      </c>
      <c r="L985" s="68" cm="1">
        <f t="array" ref="L985">IFERROR(IF($A985=$A984,0,SUM(_xlfn._xlws.FILTER($E985:$E995,($A985:$A995=$A985)*($J985:$J995=L$42)))),0)</f>
        <v>0</v>
      </c>
      <c r="M985" s="68" cm="1">
        <f t="array" ref="M985">IFERROR(IF($A985=$A984,0,SUM(_xlfn._xlws.FILTER($E985:$E995,($A985:$A995=$A985)*($J985:$J995=M$42)))),0)</f>
        <v>0</v>
      </c>
      <c r="N985" s="68" cm="1">
        <f t="array" ref="N985">IFERROR(IF($A985=$A984,0,SUM(_xlfn._xlws.FILTER($E985:$E995,($A985:$A995=$A985)*($J985:$J995=N$42)))),0)</f>
        <v>0</v>
      </c>
    </row>
    <row r="986" spans="5:14" x14ac:dyDescent="0.3">
      <c r="E986" s="67">
        <f ca="1">IFERROR(C986*D986*_xlfn.XLOOKUP(B986,[1]!TabCalc[Ticker],[1]!TabCalc[Scale]),0)</f>
        <v>0</v>
      </c>
      <c r="F986" s="68" cm="1">
        <f t="array" ref="F986">IF(A986=A985,0,SUM(_xlfn._xlws.FILTER(E986:E996,A986:A996=A986)))</f>
        <v>0</v>
      </c>
      <c r="G986" s="69">
        <f>IF(F986&lt;&gt;0,SUM($F$43:F986),0)</f>
        <v>0</v>
      </c>
      <c r="H986" s="69" cm="1">
        <f t="array" ref="H986">IFERROR(IF(A986=A985,0,SUM(_xlfn._xlws.FILTER(E986:E996,(A986:A996=A986)*(E986:E996&gt;0)))),0)</f>
        <v>0</v>
      </c>
      <c r="I986" s="69" cm="1">
        <f t="array" ref="I986">IFERROR(IF(A986=A985,0,SUM(_xlfn._xlws.FILTER(E986:E996,(A986:A996=A986)*(F986&lt;0)))),0)</f>
        <v>0</v>
      </c>
      <c r="J986" s="81" t="str">
        <f ca="1">IFERROR(_xlfn.XLOOKUP(B986,[1]!TabCalc[Ticker],[1]!TabCalc[Cur]),"")</f>
        <v/>
      </c>
      <c r="K986" s="68" cm="1">
        <f t="array" ref="K986">IFERROR(IF($A986=$A985,0,SUM(_xlfn._xlws.FILTER($E986:$E996,($A986:$A996=$A986)*($J986:$J996=K$42)))),0)</f>
        <v>0</v>
      </c>
      <c r="L986" s="68" cm="1">
        <f t="array" ref="L986">IFERROR(IF($A986=$A985,0,SUM(_xlfn._xlws.FILTER($E986:$E996,($A986:$A996=$A986)*($J986:$J996=L$42)))),0)</f>
        <v>0</v>
      </c>
      <c r="M986" s="68" cm="1">
        <f t="array" ref="M986">IFERROR(IF($A986=$A985,0,SUM(_xlfn._xlws.FILTER($E986:$E996,($A986:$A996=$A986)*($J986:$J996=M$42)))),0)</f>
        <v>0</v>
      </c>
      <c r="N986" s="68" cm="1">
        <f t="array" ref="N986">IFERROR(IF($A986=$A985,0,SUM(_xlfn._xlws.FILTER($E986:$E996,($A986:$A996=$A986)*($J986:$J996=N$42)))),0)</f>
        <v>0</v>
      </c>
    </row>
    <row r="987" spans="5:14" x14ac:dyDescent="0.3">
      <c r="E987" s="67">
        <f ca="1">IFERROR(C987*D987*_xlfn.XLOOKUP(B987,[1]!TabCalc[Ticker],[1]!TabCalc[Scale]),0)</f>
        <v>0</v>
      </c>
      <c r="F987" s="68" cm="1">
        <f t="array" ref="F987">IF(A987=A986,0,SUM(_xlfn._xlws.FILTER(E987:E997,A987:A997=A987)))</f>
        <v>0</v>
      </c>
      <c r="G987" s="69">
        <f>IF(F987&lt;&gt;0,SUM($F$43:F987),0)</f>
        <v>0</v>
      </c>
      <c r="H987" s="69" cm="1">
        <f t="array" ref="H987">IFERROR(IF(A987=A986,0,SUM(_xlfn._xlws.FILTER(E987:E997,(A987:A997=A987)*(E987:E997&gt;0)))),0)</f>
        <v>0</v>
      </c>
      <c r="I987" s="69" cm="1">
        <f t="array" ref="I987">IFERROR(IF(A987=A986,0,SUM(_xlfn._xlws.FILTER(E987:E997,(A987:A997=A987)*(F987&lt;0)))),0)</f>
        <v>0</v>
      </c>
      <c r="J987" s="81" t="str">
        <f ca="1">IFERROR(_xlfn.XLOOKUP(B987,[1]!TabCalc[Ticker],[1]!TabCalc[Cur]),"")</f>
        <v/>
      </c>
      <c r="K987" s="68" cm="1">
        <f t="array" ref="K987">IFERROR(IF($A987=$A986,0,SUM(_xlfn._xlws.FILTER($E987:$E997,($A987:$A997=$A987)*($J987:$J997=K$42)))),0)</f>
        <v>0</v>
      </c>
      <c r="L987" s="68" cm="1">
        <f t="array" ref="L987">IFERROR(IF($A987=$A986,0,SUM(_xlfn._xlws.FILTER($E987:$E997,($A987:$A997=$A987)*($J987:$J997=L$42)))),0)</f>
        <v>0</v>
      </c>
      <c r="M987" s="68" cm="1">
        <f t="array" ref="M987">IFERROR(IF($A987=$A986,0,SUM(_xlfn._xlws.FILTER($E987:$E997,($A987:$A997=$A987)*($J987:$J997=M$42)))),0)</f>
        <v>0</v>
      </c>
      <c r="N987" s="68" cm="1">
        <f t="array" ref="N987">IFERROR(IF($A987=$A986,0,SUM(_xlfn._xlws.FILTER($E987:$E997,($A987:$A997=$A987)*($J987:$J997=N$42)))),0)</f>
        <v>0</v>
      </c>
    </row>
    <row r="988" spans="5:14" x14ac:dyDescent="0.3">
      <c r="E988" s="67">
        <f ca="1">IFERROR(C988*D988*_xlfn.XLOOKUP(B988,[1]!TabCalc[Ticker],[1]!TabCalc[Scale]),0)</f>
        <v>0</v>
      </c>
      <c r="F988" s="68" cm="1">
        <f t="array" ref="F988">IF(A988=A987,0,SUM(_xlfn._xlws.FILTER(E988:E998,A988:A998=A988)))</f>
        <v>0</v>
      </c>
      <c r="G988" s="69">
        <f>IF(F988&lt;&gt;0,SUM($F$43:F988),0)</f>
        <v>0</v>
      </c>
      <c r="H988" s="69" cm="1">
        <f t="array" ref="H988">IFERROR(IF(A988=A987,0,SUM(_xlfn._xlws.FILTER(E988:E998,(A988:A998=A988)*(E988:E998&gt;0)))),0)</f>
        <v>0</v>
      </c>
      <c r="I988" s="69" cm="1">
        <f t="array" ref="I988">IFERROR(IF(A988=A987,0,SUM(_xlfn._xlws.FILTER(E988:E998,(A988:A998=A988)*(F988&lt;0)))),0)</f>
        <v>0</v>
      </c>
      <c r="J988" s="81" t="str">
        <f ca="1">IFERROR(_xlfn.XLOOKUP(B988,[1]!TabCalc[Ticker],[1]!TabCalc[Cur]),"")</f>
        <v/>
      </c>
      <c r="K988" s="68" cm="1">
        <f t="array" ref="K988">IFERROR(IF($A988=$A987,0,SUM(_xlfn._xlws.FILTER($E988:$E998,($A988:$A998=$A988)*($J988:$J998=K$42)))),0)</f>
        <v>0</v>
      </c>
      <c r="L988" s="68" cm="1">
        <f t="array" ref="L988">IFERROR(IF($A988=$A987,0,SUM(_xlfn._xlws.FILTER($E988:$E998,($A988:$A998=$A988)*($J988:$J998=L$42)))),0)</f>
        <v>0</v>
      </c>
      <c r="M988" s="68" cm="1">
        <f t="array" ref="M988">IFERROR(IF($A988=$A987,0,SUM(_xlfn._xlws.FILTER($E988:$E998,($A988:$A998=$A988)*($J988:$J998=M$42)))),0)</f>
        <v>0</v>
      </c>
      <c r="N988" s="68" cm="1">
        <f t="array" ref="N988">IFERROR(IF($A988=$A987,0,SUM(_xlfn._xlws.FILTER($E988:$E998,($A988:$A998=$A988)*($J988:$J998=N$42)))),0)</f>
        <v>0</v>
      </c>
    </row>
    <row r="989" spans="5:14" x14ac:dyDescent="0.3">
      <c r="E989" s="67">
        <f ca="1">IFERROR(C989*D989*_xlfn.XLOOKUP(B989,[1]!TabCalc[Ticker],[1]!TabCalc[Scale]),0)</f>
        <v>0</v>
      </c>
      <c r="F989" s="68" cm="1">
        <f t="array" ref="F989">IF(A989=A988,0,SUM(_xlfn._xlws.FILTER(E989:E999,A989:A999=A989)))</f>
        <v>0</v>
      </c>
      <c r="G989" s="69">
        <f>IF(F989&lt;&gt;0,SUM($F$43:F989),0)</f>
        <v>0</v>
      </c>
      <c r="H989" s="69" cm="1">
        <f t="array" ref="H989">IFERROR(IF(A989=A988,0,SUM(_xlfn._xlws.FILTER(E989:E999,(A989:A999=A989)*(E989:E999&gt;0)))),0)</f>
        <v>0</v>
      </c>
      <c r="I989" s="69" cm="1">
        <f t="array" ref="I989">IFERROR(IF(A989=A988,0,SUM(_xlfn._xlws.FILTER(E989:E999,(A989:A999=A989)*(F989&lt;0)))),0)</f>
        <v>0</v>
      </c>
      <c r="J989" s="81" t="str">
        <f ca="1">IFERROR(_xlfn.XLOOKUP(B989,[1]!TabCalc[Ticker],[1]!TabCalc[Cur]),"")</f>
        <v/>
      </c>
      <c r="K989" s="68" cm="1">
        <f t="array" ref="K989">IFERROR(IF($A989=$A988,0,SUM(_xlfn._xlws.FILTER($E989:$E999,($A989:$A999=$A989)*($J989:$J999=K$42)))),0)</f>
        <v>0</v>
      </c>
      <c r="L989" s="68" cm="1">
        <f t="array" ref="L989">IFERROR(IF($A989=$A988,0,SUM(_xlfn._xlws.FILTER($E989:$E999,($A989:$A999=$A989)*($J989:$J999=L$42)))),0)</f>
        <v>0</v>
      </c>
      <c r="M989" s="68" cm="1">
        <f t="array" ref="M989">IFERROR(IF($A989=$A988,0,SUM(_xlfn._xlws.FILTER($E989:$E999,($A989:$A999=$A989)*($J989:$J999=M$42)))),0)</f>
        <v>0</v>
      </c>
      <c r="N989" s="68" cm="1">
        <f t="array" ref="N989">IFERROR(IF($A989=$A988,0,SUM(_xlfn._xlws.FILTER($E989:$E999,($A989:$A999=$A989)*($J989:$J999=N$42)))),0)</f>
        <v>0</v>
      </c>
    </row>
    <row r="990" spans="5:14" x14ac:dyDescent="0.3">
      <c r="E990" s="67">
        <f ca="1">IFERROR(C990*D990*_xlfn.XLOOKUP(B990,[1]!TabCalc[Ticker],[1]!TabCalc[Scale]),0)</f>
        <v>0</v>
      </c>
      <c r="F990" s="68" cm="1">
        <f t="array" ref="F990">IF(A990=A989,0,SUM(_xlfn._xlws.FILTER(E990:E1000,A990:A1000=A990)))</f>
        <v>0</v>
      </c>
      <c r="G990" s="69">
        <f>IF(F990&lt;&gt;0,SUM($F$43:F990),0)</f>
        <v>0</v>
      </c>
      <c r="H990" s="69" cm="1">
        <f t="array" ref="H990">IFERROR(IF(A990=A989,0,SUM(_xlfn._xlws.FILTER(E990:E1000,(A990:A1000=A990)*(E990:E1000&gt;0)))),0)</f>
        <v>0</v>
      </c>
      <c r="I990" s="69" cm="1">
        <f t="array" ref="I990">IFERROR(IF(A990=A989,0,SUM(_xlfn._xlws.FILTER(E990:E1000,(A990:A1000=A990)*(F990&lt;0)))),0)</f>
        <v>0</v>
      </c>
      <c r="J990" s="81" t="str">
        <f ca="1">IFERROR(_xlfn.XLOOKUP(B990,[1]!TabCalc[Ticker],[1]!TabCalc[Cur]),"")</f>
        <v/>
      </c>
      <c r="K990" s="68" cm="1">
        <f t="array" ref="K990">IFERROR(IF($A990=$A989,0,SUM(_xlfn._xlws.FILTER($E990:$E1000,($A990:$A1000=$A990)*($J990:$J1000=K$42)))),0)</f>
        <v>0</v>
      </c>
      <c r="L990" s="68" cm="1">
        <f t="array" ref="L990">IFERROR(IF($A990=$A989,0,SUM(_xlfn._xlws.FILTER($E990:$E1000,($A990:$A1000=$A990)*($J990:$J1000=L$42)))),0)</f>
        <v>0</v>
      </c>
      <c r="M990" s="68" cm="1">
        <f t="array" ref="M990">IFERROR(IF($A990=$A989,0,SUM(_xlfn._xlws.FILTER($E990:$E1000,($A990:$A1000=$A990)*($J990:$J1000=M$42)))),0)</f>
        <v>0</v>
      </c>
      <c r="N990" s="68" cm="1">
        <f t="array" ref="N990">IFERROR(IF($A990=$A989,0,SUM(_xlfn._xlws.FILTER($E990:$E1000,($A990:$A1000=$A990)*($J990:$J1000=N$42)))),0)</f>
        <v>0</v>
      </c>
    </row>
    <row r="991" spans="5:14" x14ac:dyDescent="0.3">
      <c r="E991" s="67">
        <f ca="1">IFERROR(C991*D991*_xlfn.XLOOKUP(B991,[1]!TabCalc[Ticker],[1]!TabCalc[Scale]),0)</f>
        <v>0</v>
      </c>
      <c r="F991" s="68" cm="1">
        <f t="array" ref="F991">IF(A991=A990,0,SUM(_xlfn._xlws.FILTER(E991:E1001,A991:A1001=A991)))</f>
        <v>0</v>
      </c>
      <c r="G991" s="69">
        <f>IF(F991&lt;&gt;0,SUM($F$43:F991),0)</f>
        <v>0</v>
      </c>
      <c r="H991" s="69" cm="1">
        <f t="array" ref="H991">IFERROR(IF(A991=A990,0,SUM(_xlfn._xlws.FILTER(E991:E1001,(A991:A1001=A991)*(E991:E1001&gt;0)))),0)</f>
        <v>0</v>
      </c>
      <c r="I991" s="69" cm="1">
        <f t="array" ref="I991">IFERROR(IF(A991=A990,0,SUM(_xlfn._xlws.FILTER(E991:E1001,(A991:A1001=A991)*(F991&lt;0)))),0)</f>
        <v>0</v>
      </c>
      <c r="J991" s="81" t="str">
        <f ca="1">IFERROR(_xlfn.XLOOKUP(B991,[1]!TabCalc[Ticker],[1]!TabCalc[Cur]),"")</f>
        <v/>
      </c>
      <c r="K991" s="68" cm="1">
        <f t="array" ref="K991">IFERROR(IF($A991=$A990,0,SUM(_xlfn._xlws.FILTER($E991:$E1001,($A991:$A1001=$A991)*($J991:$J1001=K$42)))),0)</f>
        <v>0</v>
      </c>
      <c r="L991" s="68" cm="1">
        <f t="array" ref="L991">IFERROR(IF($A991=$A990,0,SUM(_xlfn._xlws.FILTER($E991:$E1001,($A991:$A1001=$A991)*($J991:$J1001=L$42)))),0)</f>
        <v>0</v>
      </c>
      <c r="M991" s="68" cm="1">
        <f t="array" ref="M991">IFERROR(IF($A991=$A990,0,SUM(_xlfn._xlws.FILTER($E991:$E1001,($A991:$A1001=$A991)*($J991:$J1001=M$42)))),0)</f>
        <v>0</v>
      </c>
      <c r="N991" s="68" cm="1">
        <f t="array" ref="N991">IFERROR(IF($A991=$A990,0,SUM(_xlfn._xlws.FILTER($E991:$E1001,($A991:$A1001=$A991)*($J991:$J1001=N$42)))),0)</f>
        <v>0</v>
      </c>
    </row>
    <row r="992" spans="5:14" x14ac:dyDescent="0.3">
      <c r="E992" s="67">
        <f ca="1">IFERROR(C992*D992*_xlfn.XLOOKUP(B992,[1]!TabCalc[Ticker],[1]!TabCalc[Scale]),0)</f>
        <v>0</v>
      </c>
      <c r="F992" s="68" cm="1">
        <f t="array" ref="F992">IF(A992=A991,0,SUM(_xlfn._xlws.FILTER(E992:E1002,A992:A1002=A992)))</f>
        <v>0</v>
      </c>
      <c r="G992" s="69">
        <f>IF(F992&lt;&gt;0,SUM($F$43:F992),0)</f>
        <v>0</v>
      </c>
      <c r="H992" s="69" cm="1">
        <f t="array" ref="H992">IFERROR(IF(A992=A991,0,SUM(_xlfn._xlws.FILTER(E992:E1002,(A992:A1002=A992)*(E992:E1002&gt;0)))),0)</f>
        <v>0</v>
      </c>
      <c r="I992" s="69" cm="1">
        <f t="array" ref="I992">IFERROR(IF(A992=A991,0,SUM(_xlfn._xlws.FILTER(E992:E1002,(A992:A1002=A992)*(F992&lt;0)))),0)</f>
        <v>0</v>
      </c>
      <c r="J992" s="81" t="str">
        <f ca="1">IFERROR(_xlfn.XLOOKUP(B992,[1]!TabCalc[Ticker],[1]!TabCalc[Cur]),"")</f>
        <v/>
      </c>
      <c r="K992" s="68" cm="1">
        <f t="array" ref="K992">IFERROR(IF($A992=$A991,0,SUM(_xlfn._xlws.FILTER($E992:$E1002,($A992:$A1002=$A992)*($J992:$J1002=K$42)))),0)</f>
        <v>0</v>
      </c>
      <c r="L992" s="68" cm="1">
        <f t="array" ref="L992">IFERROR(IF($A992=$A991,0,SUM(_xlfn._xlws.FILTER($E992:$E1002,($A992:$A1002=$A992)*($J992:$J1002=L$42)))),0)</f>
        <v>0</v>
      </c>
      <c r="M992" s="68" cm="1">
        <f t="array" ref="M992">IFERROR(IF($A992=$A991,0,SUM(_xlfn._xlws.FILTER($E992:$E1002,($A992:$A1002=$A992)*($J992:$J1002=M$42)))),0)</f>
        <v>0</v>
      </c>
      <c r="N992" s="68" cm="1">
        <f t="array" ref="N992">IFERROR(IF($A992=$A991,0,SUM(_xlfn._xlws.FILTER($E992:$E1002,($A992:$A1002=$A992)*($J992:$J1002=N$42)))),0)</f>
        <v>0</v>
      </c>
    </row>
    <row r="993" spans="5:14" x14ac:dyDescent="0.3">
      <c r="E993" s="67">
        <f ca="1">IFERROR(C993*D993*_xlfn.XLOOKUP(B993,[1]!TabCalc[Ticker],[1]!TabCalc[Scale]),0)</f>
        <v>0</v>
      </c>
      <c r="F993" s="68" cm="1">
        <f t="array" ref="F993">IF(A993=A992,0,SUM(_xlfn._xlws.FILTER(E993:E1003,A993:A1003=A993)))</f>
        <v>0</v>
      </c>
      <c r="G993" s="69">
        <f>IF(F993&lt;&gt;0,SUM($F$43:F993),0)</f>
        <v>0</v>
      </c>
      <c r="H993" s="69" cm="1">
        <f t="array" ref="H993">IFERROR(IF(A993=A992,0,SUM(_xlfn._xlws.FILTER(E993:E1003,(A993:A1003=A993)*(E993:E1003&gt;0)))),0)</f>
        <v>0</v>
      </c>
      <c r="I993" s="69" cm="1">
        <f t="array" ref="I993">IFERROR(IF(A993=A992,0,SUM(_xlfn._xlws.FILTER(E993:E1003,(A993:A1003=A993)*(F993&lt;0)))),0)</f>
        <v>0</v>
      </c>
      <c r="J993" s="81" t="str">
        <f ca="1">IFERROR(_xlfn.XLOOKUP(B993,[1]!TabCalc[Ticker],[1]!TabCalc[Cur]),"")</f>
        <v/>
      </c>
      <c r="K993" s="68" cm="1">
        <f t="array" ref="K993">IFERROR(IF($A993=$A992,0,SUM(_xlfn._xlws.FILTER($E993:$E1003,($A993:$A1003=$A993)*($J993:$J1003=K$42)))),0)</f>
        <v>0</v>
      </c>
      <c r="L993" s="68" cm="1">
        <f t="array" ref="L993">IFERROR(IF($A993=$A992,0,SUM(_xlfn._xlws.FILTER($E993:$E1003,($A993:$A1003=$A993)*($J993:$J1003=L$42)))),0)</f>
        <v>0</v>
      </c>
      <c r="M993" s="68" cm="1">
        <f t="array" ref="M993">IFERROR(IF($A993=$A992,0,SUM(_xlfn._xlws.FILTER($E993:$E1003,($A993:$A1003=$A993)*($J993:$J1003=M$42)))),0)</f>
        <v>0</v>
      </c>
      <c r="N993" s="68" cm="1">
        <f t="array" ref="N993">IFERROR(IF($A993=$A992,0,SUM(_xlfn._xlws.FILTER($E993:$E1003,($A993:$A1003=$A993)*($J993:$J1003=N$42)))),0)</f>
        <v>0</v>
      </c>
    </row>
    <row r="994" spans="5:14" x14ac:dyDescent="0.3">
      <c r="E994" s="67">
        <f ca="1">IFERROR(C994*D994*_xlfn.XLOOKUP(B994,[1]!TabCalc[Ticker],[1]!TabCalc[Scale]),0)</f>
        <v>0</v>
      </c>
      <c r="F994" s="68" cm="1">
        <f t="array" ref="F994">IF(A994=A993,0,SUM(_xlfn._xlws.FILTER(E994:E1004,A994:A1004=A994)))</f>
        <v>0</v>
      </c>
      <c r="G994" s="69">
        <f>IF(F994&lt;&gt;0,SUM($F$43:F994),0)</f>
        <v>0</v>
      </c>
      <c r="H994" s="69" cm="1">
        <f t="array" ref="H994">IFERROR(IF(A994=A993,0,SUM(_xlfn._xlws.FILTER(E994:E1004,(A994:A1004=A994)*(E994:E1004&gt;0)))),0)</f>
        <v>0</v>
      </c>
      <c r="I994" s="69" cm="1">
        <f t="array" ref="I994">IFERROR(IF(A994=A993,0,SUM(_xlfn._xlws.FILTER(E994:E1004,(A994:A1004=A994)*(F994&lt;0)))),0)</f>
        <v>0</v>
      </c>
      <c r="J994" s="81" t="str">
        <f ca="1">IFERROR(_xlfn.XLOOKUP(B994,[1]!TabCalc[Ticker],[1]!TabCalc[Cur]),"")</f>
        <v/>
      </c>
      <c r="K994" s="68" cm="1">
        <f t="array" ref="K994">IFERROR(IF($A994=$A993,0,SUM(_xlfn._xlws.FILTER($E994:$E1004,($A994:$A1004=$A994)*($J994:$J1004=K$42)))),0)</f>
        <v>0</v>
      </c>
      <c r="L994" s="68" cm="1">
        <f t="array" ref="L994">IFERROR(IF($A994=$A993,0,SUM(_xlfn._xlws.FILTER($E994:$E1004,($A994:$A1004=$A994)*($J994:$J1004=L$42)))),0)</f>
        <v>0</v>
      </c>
      <c r="M994" s="68" cm="1">
        <f t="array" ref="M994">IFERROR(IF($A994=$A993,0,SUM(_xlfn._xlws.FILTER($E994:$E1004,($A994:$A1004=$A994)*($J994:$J1004=M$42)))),0)</f>
        <v>0</v>
      </c>
      <c r="N994" s="68" cm="1">
        <f t="array" ref="N994">IFERROR(IF($A994=$A993,0,SUM(_xlfn._xlws.FILTER($E994:$E1004,($A994:$A1004=$A994)*($J994:$J1004=N$42)))),0)</f>
        <v>0</v>
      </c>
    </row>
    <row r="995" spans="5:14" x14ac:dyDescent="0.3">
      <c r="E995" s="67">
        <f ca="1">IFERROR(C995*D995*_xlfn.XLOOKUP(B995,[1]!TabCalc[Ticker],[1]!TabCalc[Scale]),0)</f>
        <v>0</v>
      </c>
      <c r="F995" s="68" cm="1">
        <f t="array" ref="F995">IF(A995=A994,0,SUM(_xlfn._xlws.FILTER(E995:E1005,A995:A1005=A995)))</f>
        <v>0</v>
      </c>
      <c r="G995" s="69">
        <f>IF(F995&lt;&gt;0,SUM($F$43:F995),0)</f>
        <v>0</v>
      </c>
      <c r="H995" s="69" cm="1">
        <f t="array" ref="H995">IFERROR(IF(A995=A994,0,SUM(_xlfn._xlws.FILTER(E995:E1005,(A995:A1005=A995)*(E995:E1005&gt;0)))),0)</f>
        <v>0</v>
      </c>
      <c r="I995" s="69" cm="1">
        <f t="array" ref="I995">IFERROR(IF(A995=A994,0,SUM(_xlfn._xlws.FILTER(E995:E1005,(A995:A1005=A995)*(F995&lt;0)))),0)</f>
        <v>0</v>
      </c>
      <c r="J995" s="81" t="str">
        <f ca="1">IFERROR(_xlfn.XLOOKUP(B995,[1]!TabCalc[Ticker],[1]!TabCalc[Cur]),"")</f>
        <v/>
      </c>
      <c r="K995" s="68" cm="1">
        <f t="array" ref="K995">IFERROR(IF($A995=$A994,0,SUM(_xlfn._xlws.FILTER($E995:$E1005,($A995:$A1005=$A995)*($J995:$J1005=K$42)))),0)</f>
        <v>0</v>
      </c>
      <c r="L995" s="68" cm="1">
        <f t="array" ref="L995">IFERROR(IF($A995=$A994,0,SUM(_xlfn._xlws.FILTER($E995:$E1005,($A995:$A1005=$A995)*($J995:$J1005=L$42)))),0)</f>
        <v>0</v>
      </c>
      <c r="M995" s="68" cm="1">
        <f t="array" ref="M995">IFERROR(IF($A995=$A994,0,SUM(_xlfn._xlws.FILTER($E995:$E1005,($A995:$A1005=$A995)*($J995:$J1005=M$42)))),0)</f>
        <v>0</v>
      </c>
      <c r="N995" s="68" cm="1">
        <f t="array" ref="N995">IFERROR(IF($A995=$A994,0,SUM(_xlfn._xlws.FILTER($E995:$E1005,($A995:$A1005=$A995)*($J995:$J1005=N$42)))),0)</f>
        <v>0</v>
      </c>
    </row>
    <row r="996" spans="5:14" x14ac:dyDescent="0.3">
      <c r="E996" s="67">
        <f ca="1">IFERROR(C996*D996*_xlfn.XLOOKUP(B996,[1]!TabCalc[Ticker],[1]!TabCalc[Scale]),0)</f>
        <v>0</v>
      </c>
      <c r="F996" s="68" cm="1">
        <f t="array" ref="F996">IF(A996=A995,0,SUM(_xlfn._xlws.FILTER(E996:E1006,A996:A1006=A996)))</f>
        <v>0</v>
      </c>
      <c r="G996" s="69">
        <f>IF(F996&lt;&gt;0,SUM($F$43:F996),0)</f>
        <v>0</v>
      </c>
      <c r="H996" s="69" cm="1">
        <f t="array" ref="H996">IFERROR(IF(A996=A995,0,SUM(_xlfn._xlws.FILTER(E996:E1006,(A996:A1006=A996)*(E996:E1006&gt;0)))),0)</f>
        <v>0</v>
      </c>
      <c r="I996" s="69" cm="1">
        <f t="array" ref="I996">IFERROR(IF(A996=A995,0,SUM(_xlfn._xlws.FILTER(E996:E1006,(A996:A1006=A996)*(F996&lt;0)))),0)</f>
        <v>0</v>
      </c>
      <c r="J996" s="81" t="str">
        <f ca="1">IFERROR(_xlfn.XLOOKUP(B996,[1]!TabCalc[Ticker],[1]!TabCalc[Cur]),"")</f>
        <v/>
      </c>
      <c r="K996" s="68" cm="1">
        <f t="array" ref="K996">IFERROR(IF($A996=$A995,0,SUM(_xlfn._xlws.FILTER($E996:$E1006,($A996:$A1006=$A996)*($J996:$J1006=K$42)))),0)</f>
        <v>0</v>
      </c>
      <c r="L996" s="68" cm="1">
        <f t="array" ref="L996">IFERROR(IF($A996=$A995,0,SUM(_xlfn._xlws.FILTER($E996:$E1006,($A996:$A1006=$A996)*($J996:$J1006=L$42)))),0)</f>
        <v>0</v>
      </c>
      <c r="M996" s="68" cm="1">
        <f t="array" ref="M996">IFERROR(IF($A996=$A995,0,SUM(_xlfn._xlws.FILTER($E996:$E1006,($A996:$A1006=$A996)*($J996:$J1006=M$42)))),0)</f>
        <v>0</v>
      </c>
      <c r="N996" s="68" cm="1">
        <f t="array" ref="N996">IFERROR(IF($A996=$A995,0,SUM(_xlfn._xlws.FILTER($E996:$E1006,($A996:$A1006=$A996)*($J996:$J1006=N$42)))),0)</f>
        <v>0</v>
      </c>
    </row>
    <row r="997" spans="5:14" x14ac:dyDescent="0.3">
      <c r="E997" s="67">
        <f ca="1">IFERROR(C997*D997*_xlfn.XLOOKUP(B997,[1]!TabCalc[Ticker],[1]!TabCalc[Scale]),0)</f>
        <v>0</v>
      </c>
      <c r="F997" s="68" cm="1">
        <f t="array" ref="F997">IF(A997=A996,0,SUM(_xlfn._xlws.FILTER(E997:E1007,A997:A1007=A997)))</f>
        <v>0</v>
      </c>
      <c r="G997" s="69">
        <f>IF(F997&lt;&gt;0,SUM($F$43:F997),0)</f>
        <v>0</v>
      </c>
      <c r="H997" s="69" cm="1">
        <f t="array" ref="H997">IFERROR(IF(A997=A996,0,SUM(_xlfn._xlws.FILTER(E997:E1007,(A997:A1007=A997)*(E997:E1007&gt;0)))),0)</f>
        <v>0</v>
      </c>
      <c r="I997" s="69" cm="1">
        <f t="array" ref="I997">IFERROR(IF(A997=A996,0,SUM(_xlfn._xlws.FILTER(E997:E1007,(A997:A1007=A997)*(F997&lt;0)))),0)</f>
        <v>0</v>
      </c>
      <c r="J997" s="81" t="str">
        <f ca="1">IFERROR(_xlfn.XLOOKUP(B997,[1]!TabCalc[Ticker],[1]!TabCalc[Cur]),"")</f>
        <v/>
      </c>
      <c r="K997" s="68" cm="1">
        <f t="array" ref="K997">IFERROR(IF($A997=$A996,0,SUM(_xlfn._xlws.FILTER($E997:$E1007,($A997:$A1007=$A997)*($J997:$J1007=K$42)))),0)</f>
        <v>0</v>
      </c>
      <c r="L997" s="68" cm="1">
        <f t="array" ref="L997">IFERROR(IF($A997=$A996,0,SUM(_xlfn._xlws.FILTER($E997:$E1007,($A997:$A1007=$A997)*($J997:$J1007=L$42)))),0)</f>
        <v>0</v>
      </c>
      <c r="M997" s="68" cm="1">
        <f t="array" ref="M997">IFERROR(IF($A997=$A996,0,SUM(_xlfn._xlws.FILTER($E997:$E1007,($A997:$A1007=$A997)*($J997:$J1007=M$42)))),0)</f>
        <v>0</v>
      </c>
      <c r="N997" s="68" cm="1">
        <f t="array" ref="N997">IFERROR(IF($A997=$A996,0,SUM(_xlfn._xlws.FILTER($E997:$E1007,($A997:$A1007=$A997)*($J997:$J1007=N$42)))),0)</f>
        <v>0</v>
      </c>
    </row>
    <row r="998" spans="5:14" x14ac:dyDescent="0.3">
      <c r="E998" s="67">
        <f ca="1">IFERROR(C998*D998*_xlfn.XLOOKUP(B998,[1]!TabCalc[Ticker],[1]!TabCalc[Scale]),0)</f>
        <v>0</v>
      </c>
      <c r="F998" s="68" cm="1">
        <f t="array" ref="F998">IF(A998=A997,0,SUM(_xlfn._xlws.FILTER(E998:E1008,A998:A1008=A998)))</f>
        <v>0</v>
      </c>
      <c r="G998" s="69">
        <f>IF(F998&lt;&gt;0,SUM($F$43:F998),0)</f>
        <v>0</v>
      </c>
      <c r="H998" s="69" cm="1">
        <f t="array" ref="H998">IFERROR(IF(A998=A997,0,SUM(_xlfn._xlws.FILTER(E998:E1008,(A998:A1008=A998)*(E998:E1008&gt;0)))),0)</f>
        <v>0</v>
      </c>
      <c r="I998" s="69" cm="1">
        <f t="array" ref="I998">IFERROR(IF(A998=A997,0,SUM(_xlfn._xlws.FILTER(E998:E1008,(A998:A1008=A998)*(F998&lt;0)))),0)</f>
        <v>0</v>
      </c>
      <c r="J998" s="81" t="str">
        <f ca="1">IFERROR(_xlfn.XLOOKUP(B998,[1]!TabCalc[Ticker],[1]!TabCalc[Cur]),"")</f>
        <v/>
      </c>
      <c r="K998" s="68" cm="1">
        <f t="array" ref="K998">IFERROR(IF($A998=$A997,0,SUM(_xlfn._xlws.FILTER($E998:$E1008,($A998:$A1008=$A998)*($J998:$J1008=K$42)))),0)</f>
        <v>0</v>
      </c>
      <c r="L998" s="68" cm="1">
        <f t="array" ref="L998">IFERROR(IF($A998=$A997,0,SUM(_xlfn._xlws.FILTER($E998:$E1008,($A998:$A1008=$A998)*($J998:$J1008=L$42)))),0)</f>
        <v>0</v>
      </c>
      <c r="M998" s="68" cm="1">
        <f t="array" ref="M998">IFERROR(IF($A998=$A997,0,SUM(_xlfn._xlws.FILTER($E998:$E1008,($A998:$A1008=$A998)*($J998:$J1008=M$42)))),0)</f>
        <v>0</v>
      </c>
      <c r="N998" s="68" cm="1">
        <f t="array" ref="N998">IFERROR(IF($A998=$A997,0,SUM(_xlfn._xlws.FILTER($E998:$E1008,($A998:$A1008=$A998)*($J998:$J1008=N$42)))),0)</f>
        <v>0</v>
      </c>
    </row>
    <row r="999" spans="5:14" x14ac:dyDescent="0.3">
      <c r="E999" s="67">
        <f ca="1">IFERROR(C999*D999*_xlfn.XLOOKUP(B999,[1]!TabCalc[Ticker],[1]!TabCalc[Scale]),0)</f>
        <v>0</v>
      </c>
      <c r="F999" s="68" cm="1">
        <f t="array" ref="F999">IF(A999=A998,0,SUM(_xlfn._xlws.FILTER(E999:E1009,A999:A1009=A999)))</f>
        <v>0</v>
      </c>
      <c r="G999" s="69">
        <f>IF(F999&lt;&gt;0,SUM($F$43:F999),0)</f>
        <v>0</v>
      </c>
      <c r="H999" s="69" cm="1">
        <f t="array" ref="H999">IFERROR(IF(A999=A998,0,SUM(_xlfn._xlws.FILTER(E999:E1009,(A999:A1009=A999)*(E999:E1009&gt;0)))),0)</f>
        <v>0</v>
      </c>
      <c r="I999" s="69" cm="1">
        <f t="array" ref="I999">IFERROR(IF(A999=A998,0,SUM(_xlfn._xlws.FILTER(E999:E1009,(A999:A1009=A999)*(F999&lt;0)))),0)</f>
        <v>0</v>
      </c>
      <c r="J999" s="81" t="str">
        <f ca="1">IFERROR(_xlfn.XLOOKUP(B999,[1]!TabCalc[Ticker],[1]!TabCalc[Cur]),"")</f>
        <v/>
      </c>
      <c r="K999" s="68" cm="1">
        <f t="array" ref="K999">IFERROR(IF($A999=$A998,0,SUM(_xlfn._xlws.FILTER($E999:$E1009,($A999:$A1009=$A999)*($J999:$J1009=K$42)))),0)</f>
        <v>0</v>
      </c>
      <c r="L999" s="68" cm="1">
        <f t="array" ref="L999">IFERROR(IF($A999=$A998,0,SUM(_xlfn._xlws.FILTER($E999:$E1009,($A999:$A1009=$A999)*($J999:$J1009=L$42)))),0)</f>
        <v>0</v>
      </c>
      <c r="M999" s="68" cm="1">
        <f t="array" ref="M999">IFERROR(IF($A999=$A998,0,SUM(_xlfn._xlws.FILTER($E999:$E1009,($A999:$A1009=$A999)*($J999:$J1009=M$42)))),0)</f>
        <v>0</v>
      </c>
      <c r="N999" s="68" cm="1">
        <f t="array" ref="N999">IFERROR(IF($A999=$A998,0,SUM(_xlfn._xlws.FILTER($E999:$E1009,($A999:$A1009=$A999)*($J999:$J1009=N$42)))),0)</f>
        <v>0</v>
      </c>
    </row>
    <row r="1000" spans="5:14" x14ac:dyDescent="0.3">
      <c r="E1000" s="67">
        <f ca="1">IFERROR(C1000*D1000*_xlfn.XLOOKUP(B1000,[1]!TabCalc[Ticker],[1]!TabCalc[Scale]),0)</f>
        <v>0</v>
      </c>
      <c r="F1000" s="68" cm="1">
        <f t="array" ref="F1000">IF(A1000=A999,0,SUM(_xlfn._xlws.FILTER(E1000:E1010,A1000:A1010=A1000)))</f>
        <v>0</v>
      </c>
      <c r="G1000" s="69">
        <f>IF(F1000&lt;&gt;0,SUM($F$43:F1000),0)</f>
        <v>0</v>
      </c>
      <c r="H1000" s="69" cm="1">
        <f t="array" ref="H1000">IFERROR(IF(A1000=A999,0,SUM(_xlfn._xlws.FILTER(E1000:E1010,(A1000:A1010=A1000)*(E1000:E1010&gt;0)))),0)</f>
        <v>0</v>
      </c>
      <c r="I1000" s="69" cm="1">
        <f t="array" ref="I1000">IFERROR(IF(A1000=A999,0,SUM(_xlfn._xlws.FILTER(E1000:E1010,(A1000:A1010=A1000)*(F1000&lt;0)))),0)</f>
        <v>0</v>
      </c>
      <c r="J1000" s="81" t="str">
        <f ca="1">IFERROR(_xlfn.XLOOKUP(B1000,[1]!TabCalc[Ticker],[1]!TabCalc[Cur]),"")</f>
        <v/>
      </c>
      <c r="K1000" s="68" cm="1">
        <f t="array" ref="K1000">IFERROR(IF($A1000=$A999,0,SUM(_xlfn._xlws.FILTER($E1000:$E1010,($A1000:$A1010=$A1000)*($J1000:$J1010=K$42)))),0)</f>
        <v>0</v>
      </c>
      <c r="L1000" s="68" cm="1">
        <f t="array" ref="L1000">IFERROR(IF($A1000=$A999,0,SUM(_xlfn._xlws.FILTER($E1000:$E1010,($A1000:$A1010=$A1000)*($J1000:$J1010=L$42)))),0)</f>
        <v>0</v>
      </c>
      <c r="M1000" s="68" cm="1">
        <f t="array" ref="M1000">IFERROR(IF($A1000=$A999,0,SUM(_xlfn._xlws.FILTER($E1000:$E1010,($A1000:$A1010=$A1000)*($J1000:$J1010=M$42)))),0)</f>
        <v>0</v>
      </c>
      <c r="N1000" s="68" cm="1">
        <f t="array" ref="N1000">IFERROR(IF($A1000=$A999,0,SUM(_xlfn._xlws.FILTER($E1000:$E1010,($A1000:$A1010=$A1000)*($J1000:$J1010=N$42)))),0)</f>
        <v>0</v>
      </c>
    </row>
  </sheetData>
  <dataValidations count="7">
    <dataValidation type="date" allowBlank="1" showInputMessage="1" showErrorMessage="1" errorTitle="#Incorrect date!" sqref="A8:A16" xr:uid="{F9711CC1-C2F6-0945-A69C-02E61A7FD598}">
      <formula1>45658</formula1>
      <formula2>46022</formula2>
    </dataValidation>
    <dataValidation type="whole" allowBlank="1" showInputMessage="1" showErrorMessage="1" errorTitle="Incorrect number of shares" sqref="C5:C16" xr:uid="{D3DD8B01-68CE-DD4D-B92E-9DD889ED089E}">
      <formula1>1</formula1>
      <formula2>10000000</formula2>
    </dataValidation>
    <dataValidation type="decimal" allowBlank="1" showInputMessage="1" showErrorMessage="1" errorTitle="Price not correct" sqref="D5:D16" xr:uid="{CD7F8953-4C4F-7646-8269-BBB0D19E82DA}">
      <formula1>-2000</formula1>
      <formula2>2000</formula2>
    </dataValidation>
    <dataValidation type="list" allowBlank="1" showInputMessage="1" showErrorMessage="1" sqref="E3:E16" xr:uid="{5E43864C-6151-EC4E-96CD-7627F7492272}">
      <formula1>$H$2:$H$6</formula1>
    </dataValidation>
    <dataValidation type="whole" allowBlank="1" showInputMessage="1" showErrorMessage="1" sqref="C110:C119 C131:C140 C70 C91:C101 C107 C142:C153 C210:C214 C164:C165 C172:C178 C185:C190 C195:C199 C208 C43:C61" xr:uid="{A80D7FE8-A28D-AF48-9E5B-1D319CF717CB}">
      <formula1>1</formula1>
      <formula2>10000000</formula2>
    </dataValidation>
    <dataValidation type="date" allowBlank="1" showInputMessage="1" showErrorMessage="1" sqref="A107 A210:A214 A70 A91:A101 A110:A119 A139:A140 A131:A137 A142:A153 A164:A165 A172:A178 A185:A190 A195:A199 A208 A43:A61" xr:uid="{D79E6B81-6AAB-E24D-9DDD-DA92C3164BA2}">
      <formula1>45658</formula1>
      <formula2>46022</formula2>
    </dataValidation>
    <dataValidation type="decimal" allowBlank="1" showInputMessage="1" showErrorMessage="1" sqref="D110:D119 D131:D140 D70 D91:D101 D107 D142:D153 D210:D214 D164:D165 D172:D178 D185:D190 D195:D199 D208 D43:D61" xr:uid="{CB3179DE-5226-2345-A3BE-EA08C231AF90}">
      <formula1>-2000</formula1>
      <formula2>2000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BB7E-C855-8E4C-ADCC-F57050C6CD3A}">
  <dimension ref="A1:P997"/>
  <sheetViews>
    <sheetView tabSelected="1" topLeftCell="H1" workbookViewId="0">
      <selection activeCell="R5" sqref="R5"/>
    </sheetView>
  </sheetViews>
  <sheetFormatPr baseColWidth="10" defaultRowHeight="22" x14ac:dyDescent="0.3"/>
  <sheetData>
    <row r="1" spans="1:16" x14ac:dyDescent="0.3">
      <c r="A1" t="s">
        <v>30</v>
      </c>
    </row>
    <row r="4" spans="1:16" x14ac:dyDescent="0.3">
      <c r="A4" s="91" t="s">
        <v>118</v>
      </c>
      <c r="B4" s="92" t="s">
        <v>3</v>
      </c>
      <c r="C4" s="92" t="s">
        <v>4</v>
      </c>
      <c r="D4" s="93" t="s">
        <v>5</v>
      </c>
      <c r="F4" s="91" t="s">
        <v>118</v>
      </c>
      <c r="G4" s="92" t="s">
        <v>3</v>
      </c>
      <c r="H4" s="92" t="s">
        <v>4</v>
      </c>
      <c r="I4" s="93" t="s">
        <v>5</v>
      </c>
    </row>
    <row r="5" spans="1:16" x14ac:dyDescent="0.3">
      <c r="A5" s="88" cm="1">
        <f t="array" ref="A5:D19">_xlfn._xlws.FILTER(AllTransactions[], (AllTransactions[Ticker]=TranTick)*(AllTransactions[Price]&lt;0))</f>
        <v>45684</v>
      </c>
      <c r="B5" t="str">
        <v>ASML</v>
      </c>
      <c r="C5" s="90">
        <v>200</v>
      </c>
      <c r="D5">
        <v>-647.1</v>
      </c>
      <c r="F5" s="88" cm="1">
        <f t="array" ref="F5:I22">_xlfn._xlws.FILTER(AllTransactions[], (AllTransactions[Ticker]=TranTick)*(AllTransactions[Price]&gt;0))</f>
        <v>45701</v>
      </c>
      <c r="G5" t="str">
        <v>ASML</v>
      </c>
      <c r="H5" s="90">
        <v>100</v>
      </c>
      <c r="I5">
        <v>737.1</v>
      </c>
      <c r="L5">
        <f>1+1</f>
        <v>2</v>
      </c>
      <c r="M5" cm="1">
        <f t="array" ref="M5:M7">_xlfn.LET(_xlpm.x, _xlfn.SEQUENCE(3), _xlpm.x*10)</f>
        <v>10</v>
      </c>
      <c r="N5" cm="1">
        <f t="array" ref="N5:P5">_xlfn.LET(_xlpm.a,{1,2,3},_xlpm.b,{4,5,6},_xlpm.a+_xlpm.b)</f>
        <v>5</v>
      </c>
      <c r="O5">
        <v>7</v>
      </c>
      <c r="P5">
        <v>9</v>
      </c>
    </row>
    <row r="6" spans="1:16" x14ac:dyDescent="0.3">
      <c r="A6" s="88">
        <v>45709</v>
      </c>
      <c r="B6" t="str">
        <v>ASML</v>
      </c>
      <c r="C6" s="90">
        <v>100</v>
      </c>
      <c r="D6">
        <v>-706.6</v>
      </c>
      <c r="F6" s="88">
        <v>45706</v>
      </c>
      <c r="G6" t="str">
        <v>ASML</v>
      </c>
      <c r="H6" s="90">
        <v>100</v>
      </c>
      <c r="I6">
        <v>717.2</v>
      </c>
      <c r="M6">
        <v>20</v>
      </c>
    </row>
    <row r="7" spans="1:16" x14ac:dyDescent="0.3">
      <c r="A7" s="88">
        <v>45713</v>
      </c>
      <c r="B7" t="str">
        <v>ASML</v>
      </c>
      <c r="C7" s="90">
        <v>300</v>
      </c>
      <c r="D7">
        <v>-690.9</v>
      </c>
      <c r="F7" s="88">
        <v>45735</v>
      </c>
      <c r="G7" t="str">
        <v>ASML</v>
      </c>
      <c r="H7" s="90">
        <v>300</v>
      </c>
      <c r="I7">
        <v>667.6</v>
      </c>
      <c r="M7">
        <v>30</v>
      </c>
    </row>
    <row r="8" spans="1:16" x14ac:dyDescent="0.3">
      <c r="A8" s="88">
        <v>45726</v>
      </c>
      <c r="B8" t="str">
        <v>ASML</v>
      </c>
      <c r="C8" s="90">
        <v>300</v>
      </c>
      <c r="D8">
        <v>-632.79999999999995</v>
      </c>
      <c r="F8" s="88">
        <v>45888</v>
      </c>
      <c r="G8" t="str">
        <v>ASML</v>
      </c>
      <c r="H8" s="90">
        <v>500</v>
      </c>
      <c r="I8">
        <v>636.70000000000005</v>
      </c>
      <c r="N8" cm="1">
        <f t="array" ref="N8:P12">_xlfn.LET(_xlpm.a,_xlfn.SEQUENCE(5),_xlpm.b,_xlpm.a*2,_xlpm.c,_xlpm.a+_xlpm.b,_xlfn.HSTACK(_xlpm.a,_xlpm.b,_xlpm.c))</f>
        <v>1</v>
      </c>
      <c r="O8">
        <v>2</v>
      </c>
      <c r="P8">
        <v>3</v>
      </c>
    </row>
    <row r="9" spans="1:16" x14ac:dyDescent="0.3">
      <c r="A9" s="88">
        <v>45743</v>
      </c>
      <c r="B9" t="str">
        <v>ASML</v>
      </c>
      <c r="C9" s="90">
        <v>300</v>
      </c>
      <c r="D9">
        <v>-647.29999999999995</v>
      </c>
      <c r="F9" s="88">
        <v>45891</v>
      </c>
      <c r="G9" t="str">
        <v>ASML</v>
      </c>
      <c r="H9" s="90">
        <v>500</v>
      </c>
      <c r="I9">
        <v>646.20000000000005</v>
      </c>
      <c r="N9">
        <v>2</v>
      </c>
      <c r="O9">
        <v>4</v>
      </c>
      <c r="P9">
        <v>6</v>
      </c>
    </row>
    <row r="10" spans="1:16" x14ac:dyDescent="0.3">
      <c r="A10" s="88">
        <v>45747</v>
      </c>
      <c r="B10" t="str">
        <v>ASML</v>
      </c>
      <c r="C10" s="90">
        <v>200</v>
      </c>
      <c r="D10">
        <v>-603.79999999999995</v>
      </c>
      <c r="F10" s="88">
        <v>45908</v>
      </c>
      <c r="G10" t="str">
        <v>ASML</v>
      </c>
      <c r="H10" s="90">
        <v>200</v>
      </c>
      <c r="I10">
        <v>667.2</v>
      </c>
      <c r="N10">
        <v>3</v>
      </c>
      <c r="O10">
        <v>6</v>
      </c>
      <c r="P10">
        <v>9</v>
      </c>
    </row>
    <row r="11" spans="1:16" x14ac:dyDescent="0.3">
      <c r="A11" s="88">
        <v>45779</v>
      </c>
      <c r="B11" t="str">
        <v>ASML</v>
      </c>
      <c r="C11" s="90">
        <v>200</v>
      </c>
      <c r="D11">
        <v>-603.79999999999995</v>
      </c>
      <c r="F11" s="88">
        <v>45915</v>
      </c>
      <c r="G11" t="str">
        <v>ASML</v>
      </c>
      <c r="H11" s="90">
        <v>300</v>
      </c>
      <c r="I11">
        <v>728.4</v>
      </c>
      <c r="N11">
        <v>4</v>
      </c>
      <c r="O11">
        <v>8</v>
      </c>
      <c r="P11">
        <v>12</v>
      </c>
    </row>
    <row r="12" spans="1:16" x14ac:dyDescent="0.3">
      <c r="A12" s="88">
        <v>45833</v>
      </c>
      <c r="B12" t="str">
        <v>ASML</v>
      </c>
      <c r="C12" s="90">
        <v>200</v>
      </c>
      <c r="D12">
        <v>-695.5</v>
      </c>
      <c r="F12" s="88">
        <v>45918</v>
      </c>
      <c r="G12" t="str">
        <v>ASML</v>
      </c>
      <c r="H12" s="90">
        <v>100</v>
      </c>
      <c r="I12">
        <v>772.4</v>
      </c>
      <c r="N12">
        <v>5</v>
      </c>
      <c r="O12">
        <v>10</v>
      </c>
      <c r="P12">
        <v>15</v>
      </c>
    </row>
    <row r="13" spans="1:16" x14ac:dyDescent="0.3">
      <c r="A13" s="88">
        <v>45856</v>
      </c>
      <c r="B13" t="str">
        <v>ASML</v>
      </c>
      <c r="C13" s="90">
        <v>100</v>
      </c>
      <c r="D13">
        <v>-632.95000000000005</v>
      </c>
      <c r="F13" s="88">
        <v>45919</v>
      </c>
      <c r="G13" t="str">
        <v>ASML</v>
      </c>
      <c r="H13" s="90">
        <v>100</v>
      </c>
      <c r="I13">
        <v>790.33199999999999</v>
      </c>
    </row>
    <row r="14" spans="1:16" x14ac:dyDescent="0.3">
      <c r="A14" s="88">
        <v>45856</v>
      </c>
      <c r="B14" t="str">
        <v>ASML</v>
      </c>
      <c r="C14" s="90">
        <v>200</v>
      </c>
      <c r="D14">
        <v>-645.5</v>
      </c>
      <c r="F14" s="88">
        <v>45922</v>
      </c>
      <c r="G14" t="str">
        <v>ASML</v>
      </c>
      <c r="H14" s="90">
        <v>100</v>
      </c>
      <c r="I14">
        <v>814.2</v>
      </c>
    </row>
    <row r="15" spans="1:16" x14ac:dyDescent="0.3">
      <c r="A15" s="88">
        <v>45860</v>
      </c>
      <c r="B15" t="str">
        <v>ASML</v>
      </c>
      <c r="C15" s="90">
        <v>300</v>
      </c>
      <c r="D15">
        <v>-602.54999999999995</v>
      </c>
      <c r="F15" s="88">
        <v>45923</v>
      </c>
      <c r="G15" t="str">
        <v>ASML</v>
      </c>
      <c r="H15" s="90">
        <v>100</v>
      </c>
      <c r="I15">
        <v>821.4</v>
      </c>
    </row>
    <row r="16" spans="1:16" x14ac:dyDescent="0.3">
      <c r="A16" s="88">
        <v>45874</v>
      </c>
      <c r="B16" t="str">
        <v>ASML</v>
      </c>
      <c r="C16" s="90">
        <v>500</v>
      </c>
      <c r="D16">
        <v>-599.29999999999995</v>
      </c>
      <c r="F16" s="88">
        <v>45924</v>
      </c>
      <c r="G16" t="str">
        <v>ASML</v>
      </c>
      <c r="H16" s="90">
        <v>200</v>
      </c>
      <c r="I16">
        <v>824.25</v>
      </c>
    </row>
    <row r="17" spans="1:9" x14ac:dyDescent="0.3">
      <c r="A17" s="88">
        <v>45902</v>
      </c>
      <c r="B17" t="str">
        <v>ASML</v>
      </c>
      <c r="C17" s="90">
        <v>500</v>
      </c>
      <c r="D17">
        <v>-622.20000000000005</v>
      </c>
      <c r="F17" s="88">
        <v>45932</v>
      </c>
      <c r="G17" t="str">
        <v>ASML</v>
      </c>
      <c r="H17" s="90">
        <v>200</v>
      </c>
      <c r="I17">
        <v>880.6</v>
      </c>
    </row>
    <row r="18" spans="1:9" x14ac:dyDescent="0.3">
      <c r="A18" s="88">
        <v>45925</v>
      </c>
      <c r="B18" t="str">
        <v>ASML</v>
      </c>
      <c r="C18" s="90">
        <v>200</v>
      </c>
      <c r="D18">
        <v>-804.9</v>
      </c>
      <c r="F18" s="88">
        <v>45936</v>
      </c>
      <c r="G18" t="str">
        <v>ASML</v>
      </c>
      <c r="H18" s="90">
        <v>100</v>
      </c>
      <c r="I18">
        <v>901.2</v>
      </c>
    </row>
    <row r="19" spans="1:9" x14ac:dyDescent="0.3">
      <c r="A19" s="88">
        <v>45940</v>
      </c>
      <c r="B19" t="str">
        <v>ASML</v>
      </c>
      <c r="C19" s="90">
        <v>200</v>
      </c>
      <c r="D19">
        <v>-813.9</v>
      </c>
      <c r="F19" s="88">
        <v>45946</v>
      </c>
      <c r="G19" t="str">
        <v>ASML</v>
      </c>
      <c r="H19" s="90">
        <v>100</v>
      </c>
      <c r="I19">
        <v>893.2</v>
      </c>
    </row>
    <row r="20" spans="1:9" x14ac:dyDescent="0.3">
      <c r="A20" s="88"/>
      <c r="C20" s="90"/>
      <c r="F20" s="88">
        <v>45947</v>
      </c>
      <c r="G20" t="str">
        <v>ASML</v>
      </c>
      <c r="H20" s="90">
        <v>100</v>
      </c>
      <c r="I20">
        <v>862.601</v>
      </c>
    </row>
    <row r="21" spans="1:9" x14ac:dyDescent="0.3">
      <c r="A21" s="88"/>
      <c r="C21" s="90"/>
      <c r="F21" s="88">
        <v>45954</v>
      </c>
      <c r="G21" t="str">
        <v>ASML</v>
      </c>
      <c r="H21" s="90">
        <v>100</v>
      </c>
      <c r="I21">
        <v>894.75</v>
      </c>
    </row>
    <row r="22" spans="1:9" x14ac:dyDescent="0.3">
      <c r="A22" s="88"/>
      <c r="C22" s="90"/>
      <c r="F22" s="88">
        <v>45957</v>
      </c>
      <c r="G22" t="str">
        <v>ASML</v>
      </c>
      <c r="H22" s="90">
        <v>100</v>
      </c>
      <c r="I22">
        <v>910.25</v>
      </c>
    </row>
    <row r="23" spans="1:9" x14ac:dyDescent="0.3">
      <c r="A23" s="88"/>
      <c r="C23" s="90"/>
      <c r="F23" s="88"/>
      <c r="H23" s="90"/>
    </row>
    <row r="24" spans="1:9" x14ac:dyDescent="0.3">
      <c r="A24" s="88"/>
      <c r="C24" s="90"/>
      <c r="F24" s="88"/>
      <c r="H24" s="90"/>
    </row>
    <row r="25" spans="1:9" x14ac:dyDescent="0.3">
      <c r="A25" s="88"/>
      <c r="C25" s="90"/>
      <c r="F25" s="88"/>
      <c r="H25" s="90"/>
    </row>
    <row r="26" spans="1:9" x14ac:dyDescent="0.3">
      <c r="A26" s="88"/>
      <c r="C26" s="90"/>
      <c r="F26" s="88"/>
      <c r="H26" s="90"/>
    </row>
    <row r="27" spans="1:9" x14ac:dyDescent="0.3">
      <c r="A27" s="88"/>
      <c r="C27" s="90"/>
      <c r="F27" s="88"/>
      <c r="H27" s="90"/>
    </row>
    <row r="28" spans="1:9" x14ac:dyDescent="0.3">
      <c r="A28" s="88"/>
      <c r="C28" s="90"/>
      <c r="F28" s="88"/>
      <c r="H28" s="90"/>
    </row>
    <row r="29" spans="1:9" x14ac:dyDescent="0.3">
      <c r="A29" s="88"/>
      <c r="C29" s="90"/>
      <c r="F29" s="88"/>
      <c r="H29" s="90"/>
    </row>
    <row r="30" spans="1:9" x14ac:dyDescent="0.3">
      <c r="A30" s="88"/>
      <c r="C30" s="90"/>
      <c r="F30" s="88"/>
      <c r="H30" s="90"/>
    </row>
    <row r="31" spans="1:9" hidden="1" x14ac:dyDescent="0.3">
      <c r="A31" s="88"/>
      <c r="C31" s="90"/>
      <c r="F31" s="88"/>
      <c r="H31" s="90"/>
    </row>
    <row r="32" spans="1:9" hidden="1" x14ac:dyDescent="0.3">
      <c r="A32" s="88"/>
      <c r="C32" s="90"/>
      <c r="F32" s="88"/>
      <c r="H32" s="90"/>
    </row>
    <row r="33" spans="1:8" hidden="1" x14ac:dyDescent="0.3">
      <c r="A33" s="88"/>
      <c r="C33" s="90"/>
      <c r="F33" s="88"/>
      <c r="H33" s="90"/>
    </row>
    <row r="34" spans="1:8" hidden="1" x14ac:dyDescent="0.3">
      <c r="A34" s="88"/>
      <c r="C34" s="90"/>
      <c r="F34" s="88"/>
      <c r="H34" s="90"/>
    </row>
    <row r="35" spans="1:8" hidden="1" x14ac:dyDescent="0.3">
      <c r="A35" s="88"/>
      <c r="C35" s="90"/>
      <c r="F35" s="88"/>
      <c r="H35" s="90"/>
    </row>
    <row r="36" spans="1:8" hidden="1" x14ac:dyDescent="0.3">
      <c r="A36" s="88"/>
      <c r="C36" s="90"/>
      <c r="F36" s="88"/>
      <c r="H36" s="90"/>
    </row>
    <row r="37" spans="1:8" hidden="1" x14ac:dyDescent="0.3">
      <c r="A37" s="88"/>
      <c r="C37" s="90"/>
      <c r="F37" s="88"/>
      <c r="H37" s="90"/>
    </row>
    <row r="38" spans="1:8" hidden="1" x14ac:dyDescent="0.3">
      <c r="A38" s="88"/>
      <c r="C38" s="90"/>
      <c r="F38" s="88"/>
      <c r="H38" s="90"/>
    </row>
    <row r="39" spans="1:8" hidden="1" x14ac:dyDescent="0.3">
      <c r="A39" s="88"/>
      <c r="C39" s="89"/>
      <c r="F39" s="88"/>
    </row>
    <row r="40" spans="1:8" hidden="1" x14ac:dyDescent="0.3">
      <c r="A40" s="88"/>
      <c r="C40" s="89"/>
      <c r="F40" s="88"/>
    </row>
    <row r="41" spans="1:8" hidden="1" x14ac:dyDescent="0.3">
      <c r="A41" s="88"/>
      <c r="C41" s="89"/>
    </row>
    <row r="42" spans="1:8" hidden="1" x14ac:dyDescent="0.3">
      <c r="A42" s="88"/>
      <c r="C42" s="89"/>
    </row>
    <row r="43" spans="1:8" hidden="1" x14ac:dyDescent="0.3">
      <c r="A43" s="88"/>
      <c r="C43" s="89"/>
    </row>
    <row r="44" spans="1:8" hidden="1" x14ac:dyDescent="0.3">
      <c r="C44" s="89"/>
    </row>
    <row r="45" spans="1:8" hidden="1" x14ac:dyDescent="0.3">
      <c r="C45" s="89"/>
    </row>
    <row r="46" spans="1:8" hidden="1" x14ac:dyDescent="0.3">
      <c r="C46" s="89"/>
    </row>
    <row r="47" spans="1:8" hidden="1" x14ac:dyDescent="0.3">
      <c r="C47" s="89"/>
    </row>
    <row r="48" spans="1:8" hidden="1" x14ac:dyDescent="0.3">
      <c r="C48" s="89"/>
    </row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8" hidden="1" x14ac:dyDescent="0.3"/>
    <row r="59" hidden="1" x14ac:dyDescent="0.3"/>
    <row r="60" hidden="1" x14ac:dyDescent="0.3"/>
    <row r="61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7" hidden="1" x14ac:dyDescent="0.3"/>
    <row r="138" hidden="1" x14ac:dyDescent="0.3"/>
    <row r="139" hidden="1" x14ac:dyDescent="0.3"/>
    <row r="140" hidden="1" x14ac:dyDescent="0.3"/>
    <row r="141" hidden="1" x14ac:dyDescent="0.3"/>
    <row r="142" hidden="1" x14ac:dyDescent="0.3"/>
    <row r="143" hidden="1" x14ac:dyDescent="0.3"/>
    <row r="144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0" hidden="1" x14ac:dyDescent="0.3"/>
    <row r="161" hidden="1" x14ac:dyDescent="0.3"/>
    <row r="162" hidden="1" x14ac:dyDescent="0.3"/>
    <row r="163" hidden="1" x14ac:dyDescent="0.3"/>
    <row r="164" hidden="1" x14ac:dyDescent="0.3"/>
    <row r="165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8" hidden="1" x14ac:dyDescent="0.3"/>
    <row r="179" hidden="1" x14ac:dyDescent="0.3"/>
    <row r="180" hidden="1" x14ac:dyDescent="0.3"/>
    <row r="181" hidden="1" x14ac:dyDescent="0.3"/>
    <row r="182" hidden="1" x14ac:dyDescent="0.3"/>
    <row r="183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4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1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8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5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5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0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8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hidden="1" x14ac:dyDescent="0.3"/>
    <row r="338" hidden="1" x14ac:dyDescent="0.3"/>
    <row r="339" hidden="1" x14ac:dyDescent="0.3"/>
    <row r="340" hidden="1" x14ac:dyDescent="0.3"/>
    <row r="341" hidden="1" x14ac:dyDescent="0.3"/>
    <row r="342" hidden="1" x14ac:dyDescent="0.3"/>
    <row r="343" hidden="1" x14ac:dyDescent="0.3"/>
    <row r="344" hidden="1" x14ac:dyDescent="0.3"/>
    <row r="345" hidden="1" x14ac:dyDescent="0.3"/>
    <row r="346" hidden="1" x14ac:dyDescent="0.3"/>
    <row r="347" hidden="1" x14ac:dyDescent="0.3"/>
    <row r="348" hidden="1" x14ac:dyDescent="0.3"/>
    <row r="349" hidden="1" x14ac:dyDescent="0.3"/>
    <row r="350" hidden="1" x14ac:dyDescent="0.3"/>
    <row r="351" hidden="1" x14ac:dyDescent="0.3"/>
    <row r="352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79" hidden="1" x14ac:dyDescent="0.3"/>
    <row r="380" hidden="1" x14ac:dyDescent="0.3"/>
    <row r="381" hidden="1" x14ac:dyDescent="0.3"/>
    <row r="382" hidden="1" x14ac:dyDescent="0.3"/>
    <row r="383" hidden="1" x14ac:dyDescent="0.3"/>
    <row r="384" hidden="1" x14ac:dyDescent="0.3"/>
    <row r="385" hidden="1" x14ac:dyDescent="0.3"/>
    <row r="386" hidden="1" x14ac:dyDescent="0.3"/>
    <row r="387" hidden="1" x14ac:dyDescent="0.3"/>
    <row r="388" hidden="1" x14ac:dyDescent="0.3"/>
    <row r="389" hidden="1" x14ac:dyDescent="0.3"/>
    <row r="390" hidden="1" x14ac:dyDescent="0.3"/>
    <row r="391" hidden="1" x14ac:dyDescent="0.3"/>
    <row r="392" hidden="1" x14ac:dyDescent="0.3"/>
    <row r="393" hidden="1" x14ac:dyDescent="0.3"/>
    <row r="394" hidden="1" x14ac:dyDescent="0.3"/>
    <row r="395" hidden="1" x14ac:dyDescent="0.3"/>
    <row r="396" hidden="1" x14ac:dyDescent="0.3"/>
    <row r="397" hidden="1" x14ac:dyDescent="0.3"/>
    <row r="398" hidden="1" x14ac:dyDescent="0.3"/>
    <row r="399" hidden="1" x14ac:dyDescent="0.3"/>
    <row r="400" hidden="1" x14ac:dyDescent="0.3"/>
    <row r="401" hidden="1" x14ac:dyDescent="0.3"/>
    <row r="402" hidden="1" x14ac:dyDescent="0.3"/>
    <row r="403" hidden="1" x14ac:dyDescent="0.3"/>
    <row r="404" hidden="1" x14ac:dyDescent="0.3"/>
    <row r="405" hidden="1" x14ac:dyDescent="0.3"/>
    <row r="406" hidden="1" x14ac:dyDescent="0.3"/>
    <row r="407" hidden="1" x14ac:dyDescent="0.3"/>
    <row r="408" hidden="1" x14ac:dyDescent="0.3"/>
    <row r="409" hidden="1" x14ac:dyDescent="0.3"/>
    <row r="410" hidden="1" x14ac:dyDescent="0.3"/>
    <row r="411" hidden="1" x14ac:dyDescent="0.3"/>
    <row r="412" hidden="1" x14ac:dyDescent="0.3"/>
    <row r="413" hidden="1" x14ac:dyDescent="0.3"/>
    <row r="414" hidden="1" x14ac:dyDescent="0.3"/>
    <row r="415" hidden="1" x14ac:dyDescent="0.3"/>
    <row r="416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  <row r="422" hidden="1" x14ac:dyDescent="0.3"/>
    <row r="423" hidden="1" x14ac:dyDescent="0.3"/>
    <row r="424" hidden="1" x14ac:dyDescent="0.3"/>
    <row r="425" hidden="1" x14ac:dyDescent="0.3"/>
    <row r="426" hidden="1" x14ac:dyDescent="0.3"/>
    <row r="427" hidden="1" x14ac:dyDescent="0.3"/>
    <row r="428" hidden="1" x14ac:dyDescent="0.3"/>
    <row r="429" hidden="1" x14ac:dyDescent="0.3"/>
    <row r="430" hidden="1" x14ac:dyDescent="0.3"/>
    <row r="431" hidden="1" x14ac:dyDescent="0.3"/>
    <row r="432" hidden="1" x14ac:dyDescent="0.3"/>
    <row r="433" hidden="1" x14ac:dyDescent="0.3"/>
    <row r="434" hidden="1" x14ac:dyDescent="0.3"/>
    <row r="435" hidden="1" x14ac:dyDescent="0.3"/>
    <row r="436" hidden="1" x14ac:dyDescent="0.3"/>
    <row r="437" hidden="1" x14ac:dyDescent="0.3"/>
    <row r="438" hidden="1" x14ac:dyDescent="0.3"/>
    <row r="439" hidden="1" x14ac:dyDescent="0.3"/>
    <row r="440" hidden="1" x14ac:dyDescent="0.3"/>
    <row r="441" hidden="1" x14ac:dyDescent="0.3"/>
    <row r="442" hidden="1" x14ac:dyDescent="0.3"/>
    <row r="443" hidden="1" x14ac:dyDescent="0.3"/>
    <row r="444" hidden="1" x14ac:dyDescent="0.3"/>
    <row r="445" hidden="1" x14ac:dyDescent="0.3"/>
    <row r="446" hidden="1" x14ac:dyDescent="0.3"/>
    <row r="447" hidden="1" x14ac:dyDescent="0.3"/>
    <row r="448" hidden="1" x14ac:dyDescent="0.3"/>
    <row r="449" hidden="1" x14ac:dyDescent="0.3"/>
    <row r="450" hidden="1" x14ac:dyDescent="0.3"/>
    <row r="451" hidden="1" x14ac:dyDescent="0.3"/>
    <row r="452" hidden="1" x14ac:dyDescent="0.3"/>
    <row r="453" hidden="1" x14ac:dyDescent="0.3"/>
    <row r="454" hidden="1" x14ac:dyDescent="0.3"/>
    <row r="455" hidden="1" x14ac:dyDescent="0.3"/>
    <row r="456" hidden="1" x14ac:dyDescent="0.3"/>
    <row r="457" hidden="1" x14ac:dyDescent="0.3"/>
    <row r="458" hidden="1" x14ac:dyDescent="0.3"/>
    <row r="459" hidden="1" x14ac:dyDescent="0.3"/>
    <row r="460" hidden="1" x14ac:dyDescent="0.3"/>
    <row r="461" hidden="1" x14ac:dyDescent="0.3"/>
    <row r="462" hidden="1" x14ac:dyDescent="0.3"/>
    <row r="463" hidden="1" x14ac:dyDescent="0.3"/>
    <row r="464" hidden="1" x14ac:dyDescent="0.3"/>
    <row r="465" hidden="1" x14ac:dyDescent="0.3"/>
    <row r="466" hidden="1" x14ac:dyDescent="0.3"/>
    <row r="467" hidden="1" x14ac:dyDescent="0.3"/>
    <row r="468" hidden="1" x14ac:dyDescent="0.3"/>
    <row r="469" hidden="1" x14ac:dyDescent="0.3"/>
    <row r="470" hidden="1" x14ac:dyDescent="0.3"/>
    <row r="471" hidden="1" x14ac:dyDescent="0.3"/>
    <row r="472" hidden="1" x14ac:dyDescent="0.3"/>
    <row r="473" hidden="1" x14ac:dyDescent="0.3"/>
    <row r="474" hidden="1" x14ac:dyDescent="0.3"/>
    <row r="475" hidden="1" x14ac:dyDescent="0.3"/>
    <row r="476" hidden="1" x14ac:dyDescent="0.3"/>
    <row r="477" hidden="1" x14ac:dyDescent="0.3"/>
    <row r="478" hidden="1" x14ac:dyDescent="0.3"/>
    <row r="479" hidden="1" x14ac:dyDescent="0.3"/>
    <row r="480" hidden="1" x14ac:dyDescent="0.3"/>
    <row r="481" hidden="1" x14ac:dyDescent="0.3"/>
    <row r="482" hidden="1" x14ac:dyDescent="0.3"/>
    <row r="483" hidden="1" x14ac:dyDescent="0.3"/>
    <row r="484" hidden="1" x14ac:dyDescent="0.3"/>
    <row r="485" hidden="1" x14ac:dyDescent="0.3"/>
    <row r="486" hidden="1" x14ac:dyDescent="0.3"/>
    <row r="487" hidden="1" x14ac:dyDescent="0.3"/>
    <row r="488" hidden="1" x14ac:dyDescent="0.3"/>
    <row r="489" hidden="1" x14ac:dyDescent="0.3"/>
    <row r="490" hidden="1" x14ac:dyDescent="0.3"/>
    <row r="491" hidden="1" x14ac:dyDescent="0.3"/>
    <row r="492" hidden="1" x14ac:dyDescent="0.3"/>
    <row r="493" hidden="1" x14ac:dyDescent="0.3"/>
    <row r="494" hidden="1" x14ac:dyDescent="0.3"/>
    <row r="495" hidden="1" x14ac:dyDescent="0.3"/>
    <row r="496" hidden="1" x14ac:dyDescent="0.3"/>
    <row r="497" hidden="1" x14ac:dyDescent="0.3"/>
    <row r="498" hidden="1" x14ac:dyDescent="0.3"/>
    <row r="499" hidden="1" x14ac:dyDescent="0.3"/>
    <row r="500" hidden="1" x14ac:dyDescent="0.3"/>
    <row r="501" hidden="1" x14ac:dyDescent="0.3"/>
    <row r="502" hidden="1" x14ac:dyDescent="0.3"/>
    <row r="503" hidden="1" x14ac:dyDescent="0.3"/>
    <row r="504" hidden="1" x14ac:dyDescent="0.3"/>
    <row r="505" hidden="1" x14ac:dyDescent="0.3"/>
    <row r="506" hidden="1" x14ac:dyDescent="0.3"/>
    <row r="507" hidden="1" x14ac:dyDescent="0.3"/>
    <row r="508" hidden="1" x14ac:dyDescent="0.3"/>
    <row r="509" hidden="1" x14ac:dyDescent="0.3"/>
    <row r="510" hidden="1" x14ac:dyDescent="0.3"/>
    <row r="511" hidden="1" x14ac:dyDescent="0.3"/>
    <row r="512" hidden="1" x14ac:dyDescent="0.3"/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  <row r="543" hidden="1" x14ac:dyDescent="0.3"/>
    <row r="544" hidden="1" x14ac:dyDescent="0.3"/>
    <row r="545" hidden="1" x14ac:dyDescent="0.3"/>
    <row r="546" hidden="1" x14ac:dyDescent="0.3"/>
    <row r="547" hidden="1" x14ac:dyDescent="0.3"/>
    <row r="548" hidden="1" x14ac:dyDescent="0.3"/>
    <row r="549" hidden="1" x14ac:dyDescent="0.3"/>
    <row r="550" hidden="1" x14ac:dyDescent="0.3"/>
    <row r="551" hidden="1" x14ac:dyDescent="0.3"/>
    <row r="552" hidden="1" x14ac:dyDescent="0.3"/>
    <row r="553" hidden="1" x14ac:dyDescent="0.3"/>
    <row r="554" hidden="1" x14ac:dyDescent="0.3"/>
    <row r="555" hidden="1" x14ac:dyDescent="0.3"/>
    <row r="556" hidden="1" x14ac:dyDescent="0.3"/>
    <row r="557" hidden="1" x14ac:dyDescent="0.3"/>
    <row r="558" hidden="1" x14ac:dyDescent="0.3"/>
    <row r="559" hidden="1" x14ac:dyDescent="0.3"/>
    <row r="560" hidden="1" x14ac:dyDescent="0.3"/>
    <row r="561" hidden="1" x14ac:dyDescent="0.3"/>
    <row r="562" hidden="1" x14ac:dyDescent="0.3"/>
    <row r="563" hidden="1" x14ac:dyDescent="0.3"/>
    <row r="564" hidden="1" x14ac:dyDescent="0.3"/>
    <row r="565" hidden="1" x14ac:dyDescent="0.3"/>
    <row r="566" hidden="1" x14ac:dyDescent="0.3"/>
    <row r="567" hidden="1" x14ac:dyDescent="0.3"/>
    <row r="568" hidden="1" x14ac:dyDescent="0.3"/>
    <row r="569" hidden="1" x14ac:dyDescent="0.3"/>
    <row r="570" hidden="1" x14ac:dyDescent="0.3"/>
    <row r="571" hidden="1" x14ac:dyDescent="0.3"/>
    <row r="572" hidden="1" x14ac:dyDescent="0.3"/>
    <row r="573" hidden="1" x14ac:dyDescent="0.3"/>
    <row r="574" hidden="1" x14ac:dyDescent="0.3"/>
    <row r="575" hidden="1" x14ac:dyDescent="0.3"/>
    <row r="576" hidden="1" x14ac:dyDescent="0.3"/>
    <row r="577" hidden="1" x14ac:dyDescent="0.3"/>
    <row r="578" hidden="1" x14ac:dyDescent="0.3"/>
    <row r="579" hidden="1" x14ac:dyDescent="0.3"/>
    <row r="580" hidden="1" x14ac:dyDescent="0.3"/>
    <row r="581" hidden="1" x14ac:dyDescent="0.3"/>
    <row r="582" hidden="1" x14ac:dyDescent="0.3"/>
    <row r="583" hidden="1" x14ac:dyDescent="0.3"/>
    <row r="584" hidden="1" x14ac:dyDescent="0.3"/>
    <row r="585" hidden="1" x14ac:dyDescent="0.3"/>
    <row r="586" hidden="1" x14ac:dyDescent="0.3"/>
    <row r="587" hidden="1" x14ac:dyDescent="0.3"/>
    <row r="588" hidden="1" x14ac:dyDescent="0.3"/>
    <row r="589" hidden="1" x14ac:dyDescent="0.3"/>
    <row r="590" hidden="1" x14ac:dyDescent="0.3"/>
    <row r="591" hidden="1" x14ac:dyDescent="0.3"/>
    <row r="592" hidden="1" x14ac:dyDescent="0.3"/>
    <row r="593" hidden="1" x14ac:dyDescent="0.3"/>
    <row r="594" hidden="1" x14ac:dyDescent="0.3"/>
    <row r="595" hidden="1" x14ac:dyDescent="0.3"/>
    <row r="596" hidden="1" x14ac:dyDescent="0.3"/>
    <row r="597" hidden="1" x14ac:dyDescent="0.3"/>
    <row r="598" hidden="1" x14ac:dyDescent="0.3"/>
    <row r="599" hidden="1" x14ac:dyDescent="0.3"/>
    <row r="600" hidden="1" x14ac:dyDescent="0.3"/>
    <row r="601" hidden="1" x14ac:dyDescent="0.3"/>
    <row r="602" hidden="1" x14ac:dyDescent="0.3"/>
    <row r="603" hidden="1" x14ac:dyDescent="0.3"/>
    <row r="604" hidden="1" x14ac:dyDescent="0.3"/>
    <row r="605" hidden="1" x14ac:dyDescent="0.3"/>
    <row r="606" hidden="1" x14ac:dyDescent="0.3"/>
    <row r="607" hidden="1" x14ac:dyDescent="0.3"/>
    <row r="608" hidden="1" x14ac:dyDescent="0.3"/>
    <row r="609" hidden="1" x14ac:dyDescent="0.3"/>
    <row r="610" hidden="1" x14ac:dyDescent="0.3"/>
    <row r="611" hidden="1" x14ac:dyDescent="0.3"/>
    <row r="612" hidden="1" x14ac:dyDescent="0.3"/>
    <row r="613" hidden="1" x14ac:dyDescent="0.3"/>
    <row r="614" hidden="1" x14ac:dyDescent="0.3"/>
    <row r="615" hidden="1" x14ac:dyDescent="0.3"/>
    <row r="616" hidden="1" x14ac:dyDescent="0.3"/>
    <row r="617" hidden="1" x14ac:dyDescent="0.3"/>
    <row r="618" hidden="1" x14ac:dyDescent="0.3"/>
    <row r="619" hidden="1" x14ac:dyDescent="0.3"/>
    <row r="620" hidden="1" x14ac:dyDescent="0.3"/>
    <row r="621" hidden="1" x14ac:dyDescent="0.3"/>
    <row r="622" hidden="1" x14ac:dyDescent="0.3"/>
    <row r="623" hidden="1" x14ac:dyDescent="0.3"/>
    <row r="624" hidden="1" x14ac:dyDescent="0.3"/>
    <row r="625" hidden="1" x14ac:dyDescent="0.3"/>
    <row r="626" hidden="1" x14ac:dyDescent="0.3"/>
    <row r="627" hidden="1" x14ac:dyDescent="0.3"/>
    <row r="628" hidden="1" x14ac:dyDescent="0.3"/>
    <row r="629" hidden="1" x14ac:dyDescent="0.3"/>
    <row r="630" hidden="1" x14ac:dyDescent="0.3"/>
    <row r="631" hidden="1" x14ac:dyDescent="0.3"/>
    <row r="632" hidden="1" x14ac:dyDescent="0.3"/>
    <row r="633" hidden="1" x14ac:dyDescent="0.3"/>
    <row r="634" hidden="1" x14ac:dyDescent="0.3"/>
    <row r="635" hidden="1" x14ac:dyDescent="0.3"/>
    <row r="636" hidden="1" x14ac:dyDescent="0.3"/>
    <row r="637" hidden="1" x14ac:dyDescent="0.3"/>
    <row r="638" hidden="1" x14ac:dyDescent="0.3"/>
    <row r="639" hidden="1" x14ac:dyDescent="0.3"/>
    <row r="640" hidden="1" x14ac:dyDescent="0.3"/>
    <row r="641" hidden="1" x14ac:dyDescent="0.3"/>
    <row r="642" hidden="1" x14ac:dyDescent="0.3"/>
    <row r="643" hidden="1" x14ac:dyDescent="0.3"/>
    <row r="644" hidden="1" x14ac:dyDescent="0.3"/>
    <row r="645" hidden="1" x14ac:dyDescent="0.3"/>
    <row r="646" hidden="1" x14ac:dyDescent="0.3"/>
    <row r="647" hidden="1" x14ac:dyDescent="0.3"/>
    <row r="648" hidden="1" x14ac:dyDescent="0.3"/>
    <row r="649" hidden="1" x14ac:dyDescent="0.3"/>
    <row r="650" hidden="1" x14ac:dyDescent="0.3"/>
    <row r="651" hidden="1" x14ac:dyDescent="0.3"/>
    <row r="652" hidden="1" x14ac:dyDescent="0.3"/>
    <row r="653" hidden="1" x14ac:dyDescent="0.3"/>
    <row r="654" hidden="1" x14ac:dyDescent="0.3"/>
    <row r="655" hidden="1" x14ac:dyDescent="0.3"/>
    <row r="656" hidden="1" x14ac:dyDescent="0.3"/>
    <row r="657" hidden="1" x14ac:dyDescent="0.3"/>
    <row r="658" hidden="1" x14ac:dyDescent="0.3"/>
    <row r="659" hidden="1" x14ac:dyDescent="0.3"/>
    <row r="660" hidden="1" x14ac:dyDescent="0.3"/>
    <row r="661" hidden="1" x14ac:dyDescent="0.3"/>
    <row r="662" hidden="1" x14ac:dyDescent="0.3"/>
    <row r="663" hidden="1" x14ac:dyDescent="0.3"/>
    <row r="664" hidden="1" x14ac:dyDescent="0.3"/>
    <row r="665" hidden="1" x14ac:dyDescent="0.3"/>
    <row r="666" hidden="1" x14ac:dyDescent="0.3"/>
    <row r="667" hidden="1" x14ac:dyDescent="0.3"/>
    <row r="668" hidden="1" x14ac:dyDescent="0.3"/>
    <row r="669" hidden="1" x14ac:dyDescent="0.3"/>
    <row r="670" hidden="1" x14ac:dyDescent="0.3"/>
    <row r="671" hidden="1" x14ac:dyDescent="0.3"/>
    <row r="672" hidden="1" x14ac:dyDescent="0.3"/>
    <row r="673" hidden="1" x14ac:dyDescent="0.3"/>
    <row r="674" hidden="1" x14ac:dyDescent="0.3"/>
    <row r="675" hidden="1" x14ac:dyDescent="0.3"/>
    <row r="676" hidden="1" x14ac:dyDescent="0.3"/>
    <row r="677" hidden="1" x14ac:dyDescent="0.3"/>
    <row r="678" hidden="1" x14ac:dyDescent="0.3"/>
    <row r="679" hidden="1" x14ac:dyDescent="0.3"/>
    <row r="680" hidden="1" x14ac:dyDescent="0.3"/>
    <row r="681" hidden="1" x14ac:dyDescent="0.3"/>
    <row r="682" hidden="1" x14ac:dyDescent="0.3"/>
    <row r="683" hidden="1" x14ac:dyDescent="0.3"/>
    <row r="684" hidden="1" x14ac:dyDescent="0.3"/>
    <row r="685" hidden="1" x14ac:dyDescent="0.3"/>
    <row r="686" hidden="1" x14ac:dyDescent="0.3"/>
    <row r="687" hidden="1" x14ac:dyDescent="0.3"/>
    <row r="688" hidden="1" x14ac:dyDescent="0.3"/>
    <row r="689" hidden="1" x14ac:dyDescent="0.3"/>
    <row r="690" hidden="1" x14ac:dyDescent="0.3"/>
    <row r="691" hidden="1" x14ac:dyDescent="0.3"/>
    <row r="692" hidden="1" x14ac:dyDescent="0.3"/>
    <row r="693" hidden="1" x14ac:dyDescent="0.3"/>
    <row r="694" hidden="1" x14ac:dyDescent="0.3"/>
    <row r="695" hidden="1" x14ac:dyDescent="0.3"/>
    <row r="696" hidden="1" x14ac:dyDescent="0.3"/>
    <row r="697" hidden="1" x14ac:dyDescent="0.3"/>
    <row r="698" hidden="1" x14ac:dyDescent="0.3"/>
    <row r="699" hidden="1" x14ac:dyDescent="0.3"/>
    <row r="700" hidden="1" x14ac:dyDescent="0.3"/>
    <row r="701" hidden="1" x14ac:dyDescent="0.3"/>
    <row r="702" hidden="1" x14ac:dyDescent="0.3"/>
    <row r="703" hidden="1" x14ac:dyDescent="0.3"/>
    <row r="704" hidden="1" x14ac:dyDescent="0.3"/>
    <row r="705" hidden="1" x14ac:dyDescent="0.3"/>
    <row r="706" hidden="1" x14ac:dyDescent="0.3"/>
    <row r="707" hidden="1" x14ac:dyDescent="0.3"/>
    <row r="708" hidden="1" x14ac:dyDescent="0.3"/>
    <row r="709" hidden="1" x14ac:dyDescent="0.3"/>
    <row r="710" hidden="1" x14ac:dyDescent="0.3"/>
    <row r="711" hidden="1" x14ac:dyDescent="0.3"/>
    <row r="712" hidden="1" x14ac:dyDescent="0.3"/>
    <row r="713" hidden="1" x14ac:dyDescent="0.3"/>
    <row r="714" hidden="1" x14ac:dyDescent="0.3"/>
    <row r="715" hidden="1" x14ac:dyDescent="0.3"/>
    <row r="716" hidden="1" x14ac:dyDescent="0.3"/>
    <row r="717" hidden="1" x14ac:dyDescent="0.3"/>
    <row r="718" hidden="1" x14ac:dyDescent="0.3"/>
    <row r="719" hidden="1" x14ac:dyDescent="0.3"/>
    <row r="720" hidden="1" x14ac:dyDescent="0.3"/>
    <row r="721" hidden="1" x14ac:dyDescent="0.3"/>
    <row r="722" hidden="1" x14ac:dyDescent="0.3"/>
    <row r="723" hidden="1" x14ac:dyDescent="0.3"/>
    <row r="724" hidden="1" x14ac:dyDescent="0.3"/>
    <row r="725" hidden="1" x14ac:dyDescent="0.3"/>
    <row r="726" hidden="1" x14ac:dyDescent="0.3"/>
    <row r="727" hidden="1" x14ac:dyDescent="0.3"/>
    <row r="728" hidden="1" x14ac:dyDescent="0.3"/>
    <row r="729" hidden="1" x14ac:dyDescent="0.3"/>
    <row r="730" hidden="1" x14ac:dyDescent="0.3"/>
    <row r="731" hidden="1" x14ac:dyDescent="0.3"/>
    <row r="732" hidden="1" x14ac:dyDescent="0.3"/>
    <row r="733" hidden="1" x14ac:dyDescent="0.3"/>
    <row r="734" hidden="1" x14ac:dyDescent="0.3"/>
    <row r="735" hidden="1" x14ac:dyDescent="0.3"/>
    <row r="736" hidden="1" x14ac:dyDescent="0.3"/>
    <row r="737" hidden="1" x14ac:dyDescent="0.3"/>
    <row r="738" hidden="1" x14ac:dyDescent="0.3"/>
    <row r="739" hidden="1" x14ac:dyDescent="0.3"/>
    <row r="740" hidden="1" x14ac:dyDescent="0.3"/>
    <row r="741" hidden="1" x14ac:dyDescent="0.3"/>
    <row r="742" hidden="1" x14ac:dyDescent="0.3"/>
    <row r="743" hidden="1" x14ac:dyDescent="0.3"/>
    <row r="744" hidden="1" x14ac:dyDescent="0.3"/>
    <row r="745" hidden="1" x14ac:dyDescent="0.3"/>
    <row r="746" hidden="1" x14ac:dyDescent="0.3"/>
    <row r="747" hidden="1" x14ac:dyDescent="0.3"/>
    <row r="748" hidden="1" x14ac:dyDescent="0.3"/>
    <row r="749" hidden="1" x14ac:dyDescent="0.3"/>
    <row r="750" hidden="1" x14ac:dyDescent="0.3"/>
    <row r="751" hidden="1" x14ac:dyDescent="0.3"/>
    <row r="752" hidden="1" x14ac:dyDescent="0.3"/>
    <row r="753" hidden="1" x14ac:dyDescent="0.3"/>
    <row r="754" hidden="1" x14ac:dyDescent="0.3"/>
    <row r="755" hidden="1" x14ac:dyDescent="0.3"/>
    <row r="756" hidden="1" x14ac:dyDescent="0.3"/>
    <row r="757" hidden="1" x14ac:dyDescent="0.3"/>
    <row r="758" hidden="1" x14ac:dyDescent="0.3"/>
    <row r="759" hidden="1" x14ac:dyDescent="0.3"/>
    <row r="760" hidden="1" x14ac:dyDescent="0.3"/>
    <row r="761" hidden="1" x14ac:dyDescent="0.3"/>
    <row r="762" hidden="1" x14ac:dyDescent="0.3"/>
    <row r="763" hidden="1" x14ac:dyDescent="0.3"/>
    <row r="764" hidden="1" x14ac:dyDescent="0.3"/>
    <row r="765" hidden="1" x14ac:dyDescent="0.3"/>
    <row r="766" hidden="1" x14ac:dyDescent="0.3"/>
    <row r="767" hidden="1" x14ac:dyDescent="0.3"/>
    <row r="768" hidden="1" x14ac:dyDescent="0.3"/>
    <row r="769" hidden="1" x14ac:dyDescent="0.3"/>
    <row r="770" hidden="1" x14ac:dyDescent="0.3"/>
    <row r="771" hidden="1" x14ac:dyDescent="0.3"/>
    <row r="772" hidden="1" x14ac:dyDescent="0.3"/>
    <row r="773" hidden="1" x14ac:dyDescent="0.3"/>
    <row r="774" hidden="1" x14ac:dyDescent="0.3"/>
    <row r="775" hidden="1" x14ac:dyDescent="0.3"/>
    <row r="776" hidden="1" x14ac:dyDescent="0.3"/>
    <row r="777" hidden="1" x14ac:dyDescent="0.3"/>
    <row r="778" hidden="1" x14ac:dyDescent="0.3"/>
    <row r="779" hidden="1" x14ac:dyDescent="0.3"/>
    <row r="780" hidden="1" x14ac:dyDescent="0.3"/>
    <row r="781" hidden="1" x14ac:dyDescent="0.3"/>
    <row r="782" hidden="1" x14ac:dyDescent="0.3"/>
    <row r="783" hidden="1" x14ac:dyDescent="0.3"/>
    <row r="784" hidden="1" x14ac:dyDescent="0.3"/>
    <row r="785" hidden="1" x14ac:dyDescent="0.3"/>
    <row r="786" hidden="1" x14ac:dyDescent="0.3"/>
    <row r="787" hidden="1" x14ac:dyDescent="0.3"/>
    <row r="788" hidden="1" x14ac:dyDescent="0.3"/>
    <row r="789" hidden="1" x14ac:dyDescent="0.3"/>
    <row r="790" hidden="1" x14ac:dyDescent="0.3"/>
    <row r="791" hidden="1" x14ac:dyDescent="0.3"/>
    <row r="792" hidden="1" x14ac:dyDescent="0.3"/>
    <row r="793" hidden="1" x14ac:dyDescent="0.3"/>
    <row r="794" hidden="1" x14ac:dyDescent="0.3"/>
    <row r="795" hidden="1" x14ac:dyDescent="0.3"/>
    <row r="796" hidden="1" x14ac:dyDescent="0.3"/>
    <row r="797" hidden="1" x14ac:dyDescent="0.3"/>
    <row r="798" hidden="1" x14ac:dyDescent="0.3"/>
    <row r="799" hidden="1" x14ac:dyDescent="0.3"/>
    <row r="800" hidden="1" x14ac:dyDescent="0.3"/>
    <row r="801" hidden="1" x14ac:dyDescent="0.3"/>
    <row r="802" hidden="1" x14ac:dyDescent="0.3"/>
    <row r="803" hidden="1" x14ac:dyDescent="0.3"/>
    <row r="804" hidden="1" x14ac:dyDescent="0.3"/>
    <row r="805" hidden="1" x14ac:dyDescent="0.3"/>
    <row r="806" hidden="1" x14ac:dyDescent="0.3"/>
    <row r="807" hidden="1" x14ac:dyDescent="0.3"/>
    <row r="808" hidden="1" x14ac:dyDescent="0.3"/>
    <row r="809" hidden="1" x14ac:dyDescent="0.3"/>
    <row r="810" hidden="1" x14ac:dyDescent="0.3"/>
    <row r="811" hidden="1" x14ac:dyDescent="0.3"/>
    <row r="812" hidden="1" x14ac:dyDescent="0.3"/>
    <row r="813" hidden="1" x14ac:dyDescent="0.3"/>
    <row r="814" hidden="1" x14ac:dyDescent="0.3"/>
    <row r="815" hidden="1" x14ac:dyDescent="0.3"/>
    <row r="816" hidden="1" x14ac:dyDescent="0.3"/>
    <row r="817" hidden="1" x14ac:dyDescent="0.3"/>
    <row r="818" hidden="1" x14ac:dyDescent="0.3"/>
    <row r="819" hidden="1" x14ac:dyDescent="0.3"/>
    <row r="820" hidden="1" x14ac:dyDescent="0.3"/>
    <row r="821" hidden="1" x14ac:dyDescent="0.3"/>
    <row r="822" hidden="1" x14ac:dyDescent="0.3"/>
    <row r="823" hidden="1" x14ac:dyDescent="0.3"/>
    <row r="824" hidden="1" x14ac:dyDescent="0.3"/>
    <row r="825" hidden="1" x14ac:dyDescent="0.3"/>
    <row r="826" hidden="1" x14ac:dyDescent="0.3"/>
    <row r="827" hidden="1" x14ac:dyDescent="0.3"/>
    <row r="828" hidden="1" x14ac:dyDescent="0.3"/>
    <row r="829" hidden="1" x14ac:dyDescent="0.3"/>
    <row r="830" hidden="1" x14ac:dyDescent="0.3"/>
    <row r="831" hidden="1" x14ac:dyDescent="0.3"/>
    <row r="832" hidden="1" x14ac:dyDescent="0.3"/>
    <row r="833" hidden="1" x14ac:dyDescent="0.3"/>
    <row r="834" hidden="1" x14ac:dyDescent="0.3"/>
    <row r="835" hidden="1" x14ac:dyDescent="0.3"/>
    <row r="836" hidden="1" x14ac:dyDescent="0.3"/>
    <row r="837" hidden="1" x14ac:dyDescent="0.3"/>
    <row r="838" hidden="1" x14ac:dyDescent="0.3"/>
    <row r="839" hidden="1" x14ac:dyDescent="0.3"/>
    <row r="840" hidden="1" x14ac:dyDescent="0.3"/>
    <row r="841" hidden="1" x14ac:dyDescent="0.3"/>
    <row r="842" hidden="1" x14ac:dyDescent="0.3"/>
    <row r="843" hidden="1" x14ac:dyDescent="0.3"/>
    <row r="844" hidden="1" x14ac:dyDescent="0.3"/>
    <row r="845" hidden="1" x14ac:dyDescent="0.3"/>
    <row r="846" hidden="1" x14ac:dyDescent="0.3"/>
    <row r="847" hidden="1" x14ac:dyDescent="0.3"/>
    <row r="848" hidden="1" x14ac:dyDescent="0.3"/>
    <row r="849" hidden="1" x14ac:dyDescent="0.3"/>
    <row r="850" hidden="1" x14ac:dyDescent="0.3"/>
    <row r="851" hidden="1" x14ac:dyDescent="0.3"/>
    <row r="852" hidden="1" x14ac:dyDescent="0.3"/>
    <row r="853" hidden="1" x14ac:dyDescent="0.3"/>
    <row r="854" hidden="1" x14ac:dyDescent="0.3"/>
    <row r="855" hidden="1" x14ac:dyDescent="0.3"/>
    <row r="856" hidden="1" x14ac:dyDescent="0.3"/>
    <row r="857" hidden="1" x14ac:dyDescent="0.3"/>
    <row r="858" hidden="1" x14ac:dyDescent="0.3"/>
    <row r="859" hidden="1" x14ac:dyDescent="0.3"/>
    <row r="860" hidden="1" x14ac:dyDescent="0.3"/>
    <row r="861" hidden="1" x14ac:dyDescent="0.3"/>
    <row r="862" hidden="1" x14ac:dyDescent="0.3"/>
    <row r="863" hidden="1" x14ac:dyDescent="0.3"/>
    <row r="864" hidden="1" x14ac:dyDescent="0.3"/>
    <row r="865" hidden="1" x14ac:dyDescent="0.3"/>
    <row r="866" hidden="1" x14ac:dyDescent="0.3"/>
    <row r="867" hidden="1" x14ac:dyDescent="0.3"/>
    <row r="868" hidden="1" x14ac:dyDescent="0.3"/>
    <row r="869" hidden="1" x14ac:dyDescent="0.3"/>
    <row r="870" hidden="1" x14ac:dyDescent="0.3"/>
    <row r="871" hidden="1" x14ac:dyDescent="0.3"/>
    <row r="872" hidden="1" x14ac:dyDescent="0.3"/>
    <row r="873" hidden="1" x14ac:dyDescent="0.3"/>
    <row r="874" hidden="1" x14ac:dyDescent="0.3"/>
    <row r="875" hidden="1" x14ac:dyDescent="0.3"/>
    <row r="876" hidden="1" x14ac:dyDescent="0.3"/>
    <row r="877" hidden="1" x14ac:dyDescent="0.3"/>
    <row r="878" hidden="1" x14ac:dyDescent="0.3"/>
    <row r="879" hidden="1" x14ac:dyDescent="0.3"/>
    <row r="880" hidden="1" x14ac:dyDescent="0.3"/>
    <row r="881" hidden="1" x14ac:dyDescent="0.3"/>
    <row r="882" hidden="1" x14ac:dyDescent="0.3"/>
    <row r="883" hidden="1" x14ac:dyDescent="0.3"/>
    <row r="884" hidden="1" x14ac:dyDescent="0.3"/>
    <row r="885" hidden="1" x14ac:dyDescent="0.3"/>
    <row r="886" hidden="1" x14ac:dyDescent="0.3"/>
    <row r="887" hidden="1" x14ac:dyDescent="0.3"/>
    <row r="888" hidden="1" x14ac:dyDescent="0.3"/>
    <row r="889" hidden="1" x14ac:dyDescent="0.3"/>
    <row r="890" hidden="1" x14ac:dyDescent="0.3"/>
    <row r="891" hidden="1" x14ac:dyDescent="0.3"/>
    <row r="892" hidden="1" x14ac:dyDescent="0.3"/>
    <row r="893" hidden="1" x14ac:dyDescent="0.3"/>
    <row r="894" hidden="1" x14ac:dyDescent="0.3"/>
    <row r="895" hidden="1" x14ac:dyDescent="0.3"/>
    <row r="896" hidden="1" x14ac:dyDescent="0.3"/>
    <row r="897" hidden="1" x14ac:dyDescent="0.3"/>
    <row r="898" hidden="1" x14ac:dyDescent="0.3"/>
    <row r="899" hidden="1" x14ac:dyDescent="0.3"/>
    <row r="900" hidden="1" x14ac:dyDescent="0.3"/>
    <row r="901" hidden="1" x14ac:dyDescent="0.3"/>
    <row r="902" hidden="1" x14ac:dyDescent="0.3"/>
    <row r="903" hidden="1" x14ac:dyDescent="0.3"/>
    <row r="904" hidden="1" x14ac:dyDescent="0.3"/>
    <row r="905" hidden="1" x14ac:dyDescent="0.3"/>
    <row r="906" hidden="1" x14ac:dyDescent="0.3"/>
    <row r="907" hidden="1" x14ac:dyDescent="0.3"/>
    <row r="908" hidden="1" x14ac:dyDescent="0.3"/>
    <row r="909" hidden="1" x14ac:dyDescent="0.3"/>
    <row r="910" hidden="1" x14ac:dyDescent="0.3"/>
    <row r="911" hidden="1" x14ac:dyDescent="0.3"/>
    <row r="912" hidden="1" x14ac:dyDescent="0.3"/>
    <row r="913" hidden="1" x14ac:dyDescent="0.3"/>
    <row r="914" hidden="1" x14ac:dyDescent="0.3"/>
    <row r="915" hidden="1" x14ac:dyDescent="0.3"/>
    <row r="916" hidden="1" x14ac:dyDescent="0.3"/>
    <row r="917" hidden="1" x14ac:dyDescent="0.3"/>
    <row r="918" hidden="1" x14ac:dyDescent="0.3"/>
    <row r="919" hidden="1" x14ac:dyDescent="0.3"/>
    <row r="920" hidden="1" x14ac:dyDescent="0.3"/>
    <row r="921" hidden="1" x14ac:dyDescent="0.3"/>
    <row r="922" hidden="1" x14ac:dyDescent="0.3"/>
    <row r="923" hidden="1" x14ac:dyDescent="0.3"/>
    <row r="924" hidden="1" x14ac:dyDescent="0.3"/>
    <row r="925" hidden="1" x14ac:dyDescent="0.3"/>
    <row r="926" hidden="1" x14ac:dyDescent="0.3"/>
    <row r="927" hidden="1" x14ac:dyDescent="0.3"/>
    <row r="928" hidden="1" x14ac:dyDescent="0.3"/>
    <row r="929" hidden="1" x14ac:dyDescent="0.3"/>
    <row r="930" hidden="1" x14ac:dyDescent="0.3"/>
    <row r="931" hidden="1" x14ac:dyDescent="0.3"/>
    <row r="932" hidden="1" x14ac:dyDescent="0.3"/>
    <row r="933" hidden="1" x14ac:dyDescent="0.3"/>
    <row r="934" hidden="1" x14ac:dyDescent="0.3"/>
    <row r="935" hidden="1" x14ac:dyDescent="0.3"/>
    <row r="936" hidden="1" x14ac:dyDescent="0.3"/>
    <row r="937" hidden="1" x14ac:dyDescent="0.3"/>
    <row r="938" hidden="1" x14ac:dyDescent="0.3"/>
    <row r="939" hidden="1" x14ac:dyDescent="0.3"/>
    <row r="940" hidden="1" x14ac:dyDescent="0.3"/>
    <row r="941" hidden="1" x14ac:dyDescent="0.3"/>
    <row r="942" hidden="1" x14ac:dyDescent="0.3"/>
    <row r="943" hidden="1" x14ac:dyDescent="0.3"/>
    <row r="944" hidden="1" x14ac:dyDescent="0.3"/>
    <row r="945" hidden="1" x14ac:dyDescent="0.3"/>
    <row r="946" hidden="1" x14ac:dyDescent="0.3"/>
    <row r="947" hidden="1" x14ac:dyDescent="0.3"/>
    <row r="948" hidden="1" x14ac:dyDescent="0.3"/>
    <row r="949" hidden="1" x14ac:dyDescent="0.3"/>
    <row r="950" hidden="1" x14ac:dyDescent="0.3"/>
    <row r="951" hidden="1" x14ac:dyDescent="0.3"/>
    <row r="952" hidden="1" x14ac:dyDescent="0.3"/>
    <row r="953" hidden="1" x14ac:dyDescent="0.3"/>
    <row r="954" hidden="1" x14ac:dyDescent="0.3"/>
    <row r="955" hidden="1" x14ac:dyDescent="0.3"/>
    <row r="956" hidden="1" x14ac:dyDescent="0.3"/>
    <row r="957" hidden="1" x14ac:dyDescent="0.3"/>
    <row r="958" hidden="1" x14ac:dyDescent="0.3"/>
    <row r="959" hidden="1" x14ac:dyDescent="0.3"/>
    <row r="960" hidden="1" x14ac:dyDescent="0.3"/>
    <row r="961" hidden="1" x14ac:dyDescent="0.3"/>
    <row r="962" hidden="1" x14ac:dyDescent="0.3"/>
    <row r="963" hidden="1" x14ac:dyDescent="0.3"/>
    <row r="964" hidden="1" x14ac:dyDescent="0.3"/>
    <row r="965" hidden="1" x14ac:dyDescent="0.3"/>
    <row r="966" hidden="1" x14ac:dyDescent="0.3"/>
    <row r="967" hidden="1" x14ac:dyDescent="0.3"/>
    <row r="968" hidden="1" x14ac:dyDescent="0.3"/>
    <row r="969" hidden="1" x14ac:dyDescent="0.3"/>
    <row r="970" hidden="1" x14ac:dyDescent="0.3"/>
    <row r="971" hidden="1" x14ac:dyDescent="0.3"/>
    <row r="972" hidden="1" x14ac:dyDescent="0.3"/>
    <row r="973" hidden="1" x14ac:dyDescent="0.3"/>
    <row r="974" hidden="1" x14ac:dyDescent="0.3"/>
    <row r="975" hidden="1" x14ac:dyDescent="0.3"/>
    <row r="976" hidden="1" x14ac:dyDescent="0.3"/>
    <row r="977" hidden="1" x14ac:dyDescent="0.3"/>
    <row r="978" hidden="1" x14ac:dyDescent="0.3"/>
    <row r="979" hidden="1" x14ac:dyDescent="0.3"/>
    <row r="980" hidden="1" x14ac:dyDescent="0.3"/>
    <row r="981" hidden="1" x14ac:dyDescent="0.3"/>
    <row r="982" hidden="1" x14ac:dyDescent="0.3"/>
    <row r="983" hidden="1" x14ac:dyDescent="0.3"/>
    <row r="984" hidden="1" x14ac:dyDescent="0.3"/>
    <row r="985" hidden="1" x14ac:dyDescent="0.3"/>
    <row r="986" hidden="1" x14ac:dyDescent="0.3"/>
    <row r="987" hidden="1" x14ac:dyDescent="0.3"/>
    <row r="988" hidden="1" x14ac:dyDescent="0.3"/>
    <row r="989" hidden="1" x14ac:dyDescent="0.3"/>
    <row r="990" hidden="1" x14ac:dyDescent="0.3"/>
    <row r="991" hidden="1" x14ac:dyDescent="0.3"/>
    <row r="992" hidden="1" x14ac:dyDescent="0.3"/>
    <row r="993" hidden="1" x14ac:dyDescent="0.3"/>
    <row r="994" hidden="1" x14ac:dyDescent="0.3"/>
    <row r="995" hidden="1" x14ac:dyDescent="0.3"/>
    <row r="996" hidden="1" x14ac:dyDescent="0.3"/>
    <row r="997" hidden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Entries</vt:lpstr>
      <vt:lpstr>Sheet2</vt:lpstr>
      <vt:lpstr>TranBuys</vt:lpstr>
      <vt:lpstr>TranSale</vt:lpstr>
      <vt:lpstr>TranTick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 Yanev</dc:creator>
  <cp:lastModifiedBy>Kosta Yanev</cp:lastModifiedBy>
  <dcterms:created xsi:type="dcterms:W3CDTF">2025-11-06T14:27:04Z</dcterms:created>
  <dcterms:modified xsi:type="dcterms:W3CDTF">2025-11-06T21:16:20Z</dcterms:modified>
</cp:coreProperties>
</file>