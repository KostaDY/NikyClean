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kostayanev/NikyClean/"/>
    </mc:Choice>
  </mc:AlternateContent>
  <xr:revisionPtr revIDLastSave="0" documentId="8_{F3AF268E-A6BA-2C4C-A3C2-1641CAF540AD}" xr6:coauthVersionLast="47" xr6:coauthVersionMax="47" xr10:uidLastSave="{00000000-0000-0000-0000-000000000000}"/>
  <bookViews>
    <workbookView xWindow="22480" yWindow="-20980" windowWidth="34500" windowHeight="18960" xr2:uid="{00000000-000D-0000-FFFF-FFFF00000000}"/>
  </bookViews>
  <sheets>
    <sheet name="Tickers" sheetId="1" r:id="rId1"/>
    <sheet name="Latest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0" i="1" l="1"/>
  <c r="V110" i="1"/>
  <c r="T110" i="1"/>
  <c r="S110" i="1"/>
  <c r="R110" i="1"/>
  <c r="Q110" i="1"/>
  <c r="M110" i="1"/>
  <c r="L110" i="1"/>
  <c r="K110" i="1"/>
  <c r="J110" i="1"/>
  <c r="G110" i="1"/>
  <c r="W109" i="1"/>
  <c r="V109" i="1"/>
  <c r="U109" i="1"/>
  <c r="T109" i="1"/>
  <c r="R109" i="1"/>
  <c r="Q109" i="1"/>
  <c r="P109" i="1"/>
  <c r="O109" i="1"/>
  <c r="K109" i="1"/>
  <c r="J109" i="1"/>
  <c r="I109" i="1"/>
  <c r="H109" i="1"/>
  <c r="G109" i="1"/>
  <c r="N109" i="1" s="1"/>
  <c r="N108" i="1"/>
  <c r="M108" i="1"/>
  <c r="I108" i="1"/>
  <c r="G108" i="1"/>
  <c r="W107" i="1"/>
  <c r="S107" i="1"/>
  <c r="R107" i="1"/>
  <c r="Q107" i="1"/>
  <c r="P107" i="1"/>
  <c r="O107" i="1"/>
  <c r="N107" i="1"/>
  <c r="M107" i="1"/>
  <c r="L107" i="1"/>
  <c r="K107" i="1"/>
  <c r="G107" i="1"/>
  <c r="X107" i="1" s="1"/>
  <c r="Y106" i="1"/>
  <c r="X106" i="1"/>
  <c r="W106" i="1"/>
  <c r="V106" i="1"/>
  <c r="U106" i="1"/>
  <c r="Q106" i="1"/>
  <c r="P106" i="1"/>
  <c r="O106" i="1"/>
  <c r="N106" i="1"/>
  <c r="M106" i="1"/>
  <c r="L106" i="1"/>
  <c r="K106" i="1"/>
  <c r="J106" i="1"/>
  <c r="I106" i="1"/>
  <c r="G106" i="1"/>
  <c r="T106" i="1" s="1"/>
  <c r="X105" i="1"/>
  <c r="W105" i="1"/>
  <c r="V105" i="1"/>
  <c r="S105" i="1"/>
  <c r="K105" i="1"/>
  <c r="J105" i="1"/>
  <c r="I105" i="1"/>
  <c r="G105" i="1"/>
  <c r="O104" i="1"/>
  <c r="G104" i="1"/>
  <c r="Y103" i="1"/>
  <c r="Q103" i="1"/>
  <c r="G103" i="1"/>
  <c r="S102" i="1"/>
  <c r="R102" i="1"/>
  <c r="Q102" i="1"/>
  <c r="K102" i="1"/>
  <c r="I102" i="1"/>
  <c r="H102" i="1"/>
  <c r="G102" i="1"/>
  <c r="X101" i="1"/>
  <c r="W101" i="1"/>
  <c r="R101" i="1"/>
  <c r="Q101" i="1"/>
  <c r="P101" i="1"/>
  <c r="O101" i="1"/>
  <c r="M101" i="1"/>
  <c r="L101" i="1"/>
  <c r="K101" i="1"/>
  <c r="I101" i="1"/>
  <c r="G101" i="1"/>
  <c r="Y101" i="1" s="1"/>
  <c r="Y100" i="1"/>
  <c r="X100" i="1"/>
  <c r="W100" i="1"/>
  <c r="U100" i="1"/>
  <c r="S100" i="1"/>
  <c r="Q100" i="1"/>
  <c r="P100" i="1"/>
  <c r="O100" i="1"/>
  <c r="L100" i="1"/>
  <c r="K100" i="1"/>
  <c r="J100" i="1"/>
  <c r="I100" i="1"/>
  <c r="G100" i="1"/>
  <c r="Y99" i="1"/>
  <c r="X99" i="1"/>
  <c r="W99" i="1"/>
  <c r="T99" i="1"/>
  <c r="S99" i="1"/>
  <c r="Q99" i="1"/>
  <c r="O99" i="1"/>
  <c r="N99" i="1"/>
  <c r="M99" i="1"/>
  <c r="L99" i="1"/>
  <c r="K99" i="1"/>
  <c r="J99" i="1"/>
  <c r="I99" i="1"/>
  <c r="G99" i="1"/>
  <c r="AA98" i="1"/>
  <c r="Y98" i="1"/>
  <c r="X98" i="1"/>
  <c r="W98" i="1"/>
  <c r="S98" i="1"/>
  <c r="R98" i="1"/>
  <c r="Q98" i="1"/>
  <c r="J98" i="1"/>
  <c r="I98" i="1"/>
  <c r="H98" i="1"/>
  <c r="G98" i="1"/>
  <c r="Y97" i="1"/>
  <c r="W97" i="1"/>
  <c r="T97" i="1"/>
  <c r="S97" i="1"/>
  <c r="R97" i="1"/>
  <c r="Q97" i="1"/>
  <c r="P97" i="1"/>
  <c r="O97" i="1"/>
  <c r="M97" i="1"/>
  <c r="K97" i="1"/>
  <c r="J97" i="1"/>
  <c r="I97" i="1"/>
  <c r="G97" i="1"/>
  <c r="AA96" i="1"/>
  <c r="W96" i="1"/>
  <c r="U96" i="1"/>
  <c r="T96" i="1"/>
  <c r="S96" i="1"/>
  <c r="R96" i="1"/>
  <c r="K96" i="1"/>
  <c r="I96" i="1"/>
  <c r="H96" i="1"/>
  <c r="G96" i="1"/>
  <c r="Y95" i="1"/>
  <c r="U95" i="1"/>
  <c r="S95" i="1"/>
  <c r="R95" i="1"/>
  <c r="Q95" i="1"/>
  <c r="P95" i="1"/>
  <c r="O95" i="1"/>
  <c r="N95" i="1"/>
  <c r="M95" i="1"/>
  <c r="L95" i="1"/>
  <c r="K95" i="1"/>
  <c r="G95" i="1"/>
  <c r="W94" i="1"/>
  <c r="V94" i="1"/>
  <c r="U94" i="1"/>
  <c r="S94" i="1"/>
  <c r="Q94" i="1"/>
  <c r="N94" i="1"/>
  <c r="M94" i="1"/>
  <c r="L94" i="1"/>
  <c r="K94" i="1"/>
  <c r="J94" i="1"/>
  <c r="G94" i="1"/>
  <c r="Y93" i="1"/>
  <c r="T93" i="1"/>
  <c r="S93" i="1"/>
  <c r="G93" i="1"/>
  <c r="X92" i="1"/>
  <c r="W92" i="1"/>
  <c r="V92" i="1"/>
  <c r="U92" i="1"/>
  <c r="M92" i="1"/>
  <c r="L92" i="1"/>
  <c r="K92" i="1"/>
  <c r="G92" i="1"/>
  <c r="R91" i="1"/>
  <c r="Q91" i="1"/>
  <c r="H91" i="1"/>
  <c r="G91" i="1"/>
  <c r="Y90" i="1"/>
  <c r="M90" i="1"/>
  <c r="G90" i="1"/>
  <c r="U89" i="1"/>
  <c r="S89" i="1"/>
  <c r="R89" i="1"/>
  <c r="G89" i="1"/>
  <c r="Y88" i="1"/>
  <c r="X88" i="1"/>
  <c r="W88" i="1"/>
  <c r="O88" i="1"/>
  <c r="N88" i="1"/>
  <c r="M88" i="1"/>
  <c r="J88" i="1"/>
  <c r="G88" i="1"/>
  <c r="X87" i="1"/>
  <c r="V87" i="1"/>
  <c r="U87" i="1"/>
  <c r="T87" i="1"/>
  <c r="S87" i="1"/>
  <c r="Q87" i="1"/>
  <c r="O87" i="1"/>
  <c r="N87" i="1"/>
  <c r="M87" i="1"/>
  <c r="J87" i="1"/>
  <c r="I87" i="1"/>
  <c r="AA87" i="1" s="1"/>
  <c r="H87" i="1"/>
  <c r="G87" i="1"/>
  <c r="Y86" i="1"/>
  <c r="X86" i="1"/>
  <c r="W86" i="1"/>
  <c r="R86" i="1"/>
  <c r="Q86" i="1"/>
  <c r="O86" i="1"/>
  <c r="M86" i="1"/>
  <c r="I86" i="1"/>
  <c r="G86" i="1"/>
  <c r="V85" i="1"/>
  <c r="U85" i="1"/>
  <c r="T85" i="1"/>
  <c r="S85" i="1"/>
  <c r="O85" i="1"/>
  <c r="J85" i="1"/>
  <c r="I85" i="1"/>
  <c r="G85" i="1"/>
  <c r="O84" i="1"/>
  <c r="K84" i="1"/>
  <c r="I84" i="1"/>
  <c r="H84" i="1"/>
  <c r="G84" i="1"/>
  <c r="W83" i="1"/>
  <c r="U83" i="1"/>
  <c r="S83" i="1"/>
  <c r="Q83" i="1"/>
  <c r="P83" i="1"/>
  <c r="O83" i="1"/>
  <c r="M83" i="1"/>
  <c r="L83" i="1"/>
  <c r="G83" i="1"/>
  <c r="R83" i="1" s="1"/>
  <c r="Y82" i="1"/>
  <c r="X82" i="1"/>
  <c r="W82" i="1"/>
  <c r="U82" i="1"/>
  <c r="S82" i="1"/>
  <c r="Q82" i="1"/>
  <c r="P82" i="1"/>
  <c r="O82" i="1"/>
  <c r="N82" i="1"/>
  <c r="M82" i="1"/>
  <c r="L82" i="1"/>
  <c r="AB82" i="1" s="1"/>
  <c r="K82" i="1"/>
  <c r="J82" i="1"/>
  <c r="I82" i="1"/>
  <c r="G82" i="1"/>
  <c r="Y81" i="1"/>
  <c r="U81" i="1"/>
  <c r="T81" i="1"/>
  <c r="S81" i="1"/>
  <c r="O81" i="1"/>
  <c r="M81" i="1"/>
  <c r="L81" i="1"/>
  <c r="K81" i="1"/>
  <c r="J81" i="1"/>
  <c r="G81" i="1"/>
  <c r="Q81" i="1" s="1"/>
  <c r="Y80" i="1"/>
  <c r="X80" i="1"/>
  <c r="U80" i="1"/>
  <c r="T80" i="1"/>
  <c r="S80" i="1"/>
  <c r="R80" i="1"/>
  <c r="Q80" i="1"/>
  <c r="L80" i="1"/>
  <c r="K80" i="1"/>
  <c r="J80" i="1"/>
  <c r="I80" i="1"/>
  <c r="G80" i="1"/>
  <c r="Y79" i="1"/>
  <c r="W79" i="1"/>
  <c r="V79" i="1"/>
  <c r="R79" i="1"/>
  <c r="Q79" i="1"/>
  <c r="O79" i="1"/>
  <c r="K79" i="1"/>
  <c r="J79" i="1"/>
  <c r="I79" i="1"/>
  <c r="G79" i="1"/>
  <c r="G78" i="1"/>
  <c r="T78" i="1" s="1"/>
  <c r="U77" i="1"/>
  <c r="S77" i="1"/>
  <c r="N77" i="1"/>
  <c r="M77" i="1"/>
  <c r="I77" i="1"/>
  <c r="G77" i="1"/>
  <c r="Y76" i="1"/>
  <c r="V76" i="1"/>
  <c r="U76" i="1"/>
  <c r="S76" i="1"/>
  <c r="Q76" i="1"/>
  <c r="P76" i="1"/>
  <c r="O76" i="1"/>
  <c r="N76" i="1"/>
  <c r="M76" i="1"/>
  <c r="L76" i="1"/>
  <c r="AB76" i="1" s="1"/>
  <c r="K76" i="1"/>
  <c r="I76" i="1"/>
  <c r="G76" i="1"/>
  <c r="Y75" i="1"/>
  <c r="X75" i="1"/>
  <c r="V75" i="1"/>
  <c r="U75" i="1"/>
  <c r="T75" i="1"/>
  <c r="S75" i="1"/>
  <c r="O75" i="1"/>
  <c r="K75" i="1"/>
  <c r="J75" i="1"/>
  <c r="I75" i="1"/>
  <c r="G75" i="1"/>
  <c r="AA74" i="1"/>
  <c r="Y74" i="1"/>
  <c r="W74" i="1"/>
  <c r="V74" i="1"/>
  <c r="R74" i="1"/>
  <c r="Q74" i="1"/>
  <c r="O74" i="1"/>
  <c r="L74" i="1"/>
  <c r="K74" i="1"/>
  <c r="I74" i="1"/>
  <c r="H74" i="1"/>
  <c r="G74" i="1"/>
  <c r="W73" i="1"/>
  <c r="V73" i="1"/>
  <c r="U73" i="1"/>
  <c r="S73" i="1"/>
  <c r="Q73" i="1"/>
  <c r="P73" i="1"/>
  <c r="O73" i="1"/>
  <c r="M73" i="1"/>
  <c r="H73" i="1"/>
  <c r="G73" i="1"/>
  <c r="N72" i="1"/>
  <c r="M72" i="1"/>
  <c r="H72" i="1"/>
  <c r="G72" i="1"/>
  <c r="W72" i="1" s="1"/>
  <c r="Y71" i="1"/>
  <c r="W71" i="1"/>
  <c r="U71" i="1"/>
  <c r="S71" i="1"/>
  <c r="Q71" i="1"/>
  <c r="P71" i="1"/>
  <c r="O71" i="1"/>
  <c r="N71" i="1"/>
  <c r="M71" i="1"/>
  <c r="L71" i="1"/>
  <c r="AB71" i="1" s="1"/>
  <c r="K71" i="1"/>
  <c r="I71" i="1"/>
  <c r="G71" i="1"/>
  <c r="Y70" i="1"/>
  <c r="X70" i="1"/>
  <c r="V70" i="1"/>
  <c r="U70" i="1"/>
  <c r="S70" i="1"/>
  <c r="Q70" i="1"/>
  <c r="P70" i="1"/>
  <c r="M70" i="1"/>
  <c r="K70" i="1"/>
  <c r="J70" i="1"/>
  <c r="I70" i="1"/>
  <c r="G70" i="1"/>
  <c r="AA69" i="1"/>
  <c r="Y69" i="1"/>
  <c r="X69" i="1"/>
  <c r="W69" i="1"/>
  <c r="S69" i="1"/>
  <c r="Q69" i="1"/>
  <c r="O69" i="1"/>
  <c r="N69" i="1"/>
  <c r="M69" i="1"/>
  <c r="L69" i="1"/>
  <c r="Z69" i="1" s="1"/>
  <c r="K69" i="1"/>
  <c r="J69" i="1"/>
  <c r="I69" i="1"/>
  <c r="H69" i="1"/>
  <c r="G69" i="1"/>
  <c r="U69" i="1" s="1"/>
  <c r="U68" i="1"/>
  <c r="O68" i="1"/>
  <c r="N68" i="1"/>
  <c r="I68" i="1"/>
  <c r="G68" i="1"/>
  <c r="K67" i="1"/>
  <c r="J67" i="1"/>
  <c r="H67" i="1"/>
  <c r="G67" i="1"/>
  <c r="Y67" i="1" s="1"/>
  <c r="Y66" i="1"/>
  <c r="W66" i="1"/>
  <c r="V66" i="1"/>
  <c r="T66" i="1"/>
  <c r="S66" i="1"/>
  <c r="Q66" i="1"/>
  <c r="P66" i="1"/>
  <c r="O66" i="1"/>
  <c r="K66" i="1"/>
  <c r="J66" i="1"/>
  <c r="I66" i="1"/>
  <c r="H66" i="1"/>
  <c r="G66" i="1"/>
  <c r="Z65" i="1"/>
  <c r="Y65" i="1"/>
  <c r="X65" i="1"/>
  <c r="W65" i="1"/>
  <c r="S65" i="1"/>
  <c r="R65" i="1"/>
  <c r="Q65" i="1"/>
  <c r="P65" i="1"/>
  <c r="O65" i="1"/>
  <c r="M65" i="1"/>
  <c r="L65" i="1"/>
  <c r="K65" i="1"/>
  <c r="I65" i="1"/>
  <c r="AA65" i="1" s="1"/>
  <c r="H65" i="1"/>
  <c r="G65" i="1"/>
  <c r="T65" i="1" s="1"/>
  <c r="Y64" i="1"/>
  <c r="X64" i="1"/>
  <c r="U64" i="1"/>
  <c r="T64" i="1"/>
  <c r="S64" i="1"/>
  <c r="R64" i="1"/>
  <c r="Q64" i="1"/>
  <c r="N64" i="1"/>
  <c r="M64" i="1"/>
  <c r="H64" i="1"/>
  <c r="G64" i="1"/>
  <c r="W63" i="1"/>
  <c r="V63" i="1"/>
  <c r="T63" i="1"/>
  <c r="S63" i="1"/>
  <c r="Q63" i="1"/>
  <c r="N63" i="1"/>
  <c r="M63" i="1"/>
  <c r="J63" i="1"/>
  <c r="G63" i="1"/>
  <c r="Y62" i="1"/>
  <c r="X62" i="1"/>
  <c r="W62" i="1"/>
  <c r="V62" i="1"/>
  <c r="U62" i="1"/>
  <c r="T62" i="1"/>
  <c r="R62" i="1"/>
  <c r="Q62" i="1"/>
  <c r="P62" i="1"/>
  <c r="O62" i="1"/>
  <c r="N62" i="1"/>
  <c r="M62" i="1"/>
  <c r="L62" i="1"/>
  <c r="AB62" i="1" s="1"/>
  <c r="K62" i="1"/>
  <c r="J62" i="1"/>
  <c r="I62" i="1"/>
  <c r="AA62" i="1" s="1"/>
  <c r="H62" i="1"/>
  <c r="G62" i="1"/>
  <c r="S62" i="1" s="1"/>
  <c r="W61" i="1"/>
  <c r="V61" i="1"/>
  <c r="U61" i="1"/>
  <c r="T61" i="1"/>
  <c r="S61" i="1"/>
  <c r="O61" i="1"/>
  <c r="M61" i="1"/>
  <c r="L61" i="1"/>
  <c r="AB61" i="1" s="1"/>
  <c r="J61" i="1"/>
  <c r="I61" i="1"/>
  <c r="G61" i="1"/>
  <c r="X60" i="1"/>
  <c r="W60" i="1"/>
  <c r="V60" i="1"/>
  <c r="U60" i="1"/>
  <c r="S60" i="1"/>
  <c r="R60" i="1"/>
  <c r="Q60" i="1"/>
  <c r="P60" i="1"/>
  <c r="N60" i="1"/>
  <c r="M60" i="1"/>
  <c r="K60" i="1"/>
  <c r="J60" i="1"/>
  <c r="I60" i="1"/>
  <c r="H60" i="1"/>
  <c r="G60" i="1"/>
  <c r="O60" i="1" s="1"/>
  <c r="W59" i="1"/>
  <c r="T59" i="1"/>
  <c r="L59" i="1"/>
  <c r="K59" i="1"/>
  <c r="G59" i="1"/>
  <c r="X59" i="1" s="1"/>
  <c r="X58" i="1"/>
  <c r="M58" i="1"/>
  <c r="G58" i="1"/>
  <c r="V58" i="1" s="1"/>
  <c r="Y57" i="1"/>
  <c r="X57" i="1"/>
  <c r="W57" i="1"/>
  <c r="V57" i="1"/>
  <c r="S57" i="1"/>
  <c r="R57" i="1"/>
  <c r="Q57" i="1"/>
  <c r="P57" i="1"/>
  <c r="O57" i="1"/>
  <c r="L57" i="1"/>
  <c r="K57" i="1"/>
  <c r="J57" i="1"/>
  <c r="H57" i="1"/>
  <c r="Z57" i="1" s="1"/>
  <c r="G57" i="1"/>
  <c r="AB56" i="1"/>
  <c r="Z56" i="1"/>
  <c r="Y56" i="1"/>
  <c r="X56" i="1"/>
  <c r="W56" i="1"/>
  <c r="V56" i="1"/>
  <c r="U56" i="1"/>
  <c r="T56" i="1"/>
  <c r="R56" i="1"/>
  <c r="Q56" i="1"/>
  <c r="P56" i="1"/>
  <c r="O56" i="1"/>
  <c r="N56" i="1"/>
  <c r="M56" i="1"/>
  <c r="L56" i="1"/>
  <c r="K56" i="1"/>
  <c r="J56" i="1"/>
  <c r="I56" i="1"/>
  <c r="H56" i="1"/>
  <c r="AA56" i="1" s="1"/>
  <c r="G56" i="1"/>
  <c r="S56" i="1" s="1"/>
  <c r="V55" i="1"/>
  <c r="T55" i="1"/>
  <c r="R55" i="1"/>
  <c r="P55" i="1"/>
  <c r="O55" i="1"/>
  <c r="N55" i="1"/>
  <c r="L55" i="1"/>
  <c r="K55" i="1"/>
  <c r="J55" i="1"/>
  <c r="G55" i="1"/>
  <c r="W54" i="1"/>
  <c r="R54" i="1"/>
  <c r="Q54" i="1"/>
  <c r="G54" i="1"/>
  <c r="U54" i="1" s="1"/>
  <c r="Y53" i="1"/>
  <c r="W53" i="1"/>
  <c r="V53" i="1"/>
  <c r="U53" i="1"/>
  <c r="T53" i="1"/>
  <c r="R53" i="1"/>
  <c r="Q53" i="1"/>
  <c r="P53" i="1"/>
  <c r="O53" i="1"/>
  <c r="N53" i="1"/>
  <c r="M53" i="1"/>
  <c r="K53" i="1"/>
  <c r="J53" i="1"/>
  <c r="I53" i="1"/>
  <c r="H53" i="1"/>
  <c r="G53" i="1"/>
  <c r="X53" i="1" s="1"/>
  <c r="W52" i="1"/>
  <c r="U52" i="1"/>
  <c r="P52" i="1"/>
  <c r="O52" i="1"/>
  <c r="G52" i="1"/>
  <c r="T52" i="1" s="1"/>
  <c r="G51" i="1"/>
  <c r="V51" i="1" s="1"/>
  <c r="U50" i="1"/>
  <c r="T50" i="1"/>
  <c r="S50" i="1"/>
  <c r="Q50" i="1"/>
  <c r="P50" i="1"/>
  <c r="O50" i="1"/>
  <c r="L50" i="1"/>
  <c r="K50" i="1"/>
  <c r="J50" i="1"/>
  <c r="G50" i="1"/>
  <c r="Z49" i="1"/>
  <c r="Y49" i="1"/>
  <c r="X49" i="1"/>
  <c r="V49" i="1"/>
  <c r="T49" i="1"/>
  <c r="S49" i="1"/>
  <c r="R49" i="1"/>
  <c r="Q49" i="1"/>
  <c r="O49" i="1"/>
  <c r="N49" i="1"/>
  <c r="M49" i="1"/>
  <c r="L49" i="1"/>
  <c r="J49" i="1"/>
  <c r="I49" i="1"/>
  <c r="AB49" i="1" s="1"/>
  <c r="H49" i="1"/>
  <c r="G49" i="1"/>
  <c r="Y48" i="1"/>
  <c r="X48" i="1"/>
  <c r="V48" i="1"/>
  <c r="T48" i="1"/>
  <c r="S48" i="1"/>
  <c r="R48" i="1"/>
  <c r="Q48" i="1"/>
  <c r="P48" i="1"/>
  <c r="M48" i="1"/>
  <c r="L48" i="1"/>
  <c r="K48" i="1"/>
  <c r="J48" i="1"/>
  <c r="H48" i="1"/>
  <c r="G48" i="1"/>
  <c r="Y47" i="1"/>
  <c r="W47" i="1"/>
  <c r="V47" i="1"/>
  <c r="U47" i="1"/>
  <c r="T47" i="1"/>
  <c r="R47" i="1"/>
  <c r="Q47" i="1"/>
  <c r="P47" i="1"/>
  <c r="O47" i="1"/>
  <c r="N47" i="1"/>
  <c r="M47" i="1"/>
  <c r="K47" i="1"/>
  <c r="J47" i="1"/>
  <c r="I47" i="1"/>
  <c r="H47" i="1"/>
  <c r="G47" i="1"/>
  <c r="X47" i="1" s="1"/>
  <c r="Y46" i="1"/>
  <c r="T46" i="1"/>
  <c r="S46" i="1"/>
  <c r="R46" i="1"/>
  <c r="O46" i="1"/>
  <c r="N46" i="1"/>
  <c r="M46" i="1"/>
  <c r="L46" i="1"/>
  <c r="K46" i="1"/>
  <c r="I46" i="1"/>
  <c r="AB46" i="1" s="1"/>
  <c r="G46" i="1"/>
  <c r="U46" i="1" s="1"/>
  <c r="R45" i="1"/>
  <c r="Q45" i="1"/>
  <c r="G45" i="1"/>
  <c r="V45" i="1" s="1"/>
  <c r="X44" i="1"/>
  <c r="W44" i="1"/>
  <c r="O44" i="1"/>
  <c r="N44" i="1"/>
  <c r="I44" i="1"/>
  <c r="H44" i="1"/>
  <c r="G44" i="1"/>
  <c r="U43" i="1"/>
  <c r="T43" i="1"/>
  <c r="S43" i="1"/>
  <c r="R43" i="1"/>
  <c r="Q43" i="1"/>
  <c r="O43" i="1"/>
  <c r="N43" i="1"/>
  <c r="M43" i="1"/>
  <c r="G43" i="1"/>
  <c r="Y42" i="1"/>
  <c r="V42" i="1"/>
  <c r="T42" i="1"/>
  <c r="S42" i="1"/>
  <c r="L42" i="1"/>
  <c r="K42" i="1"/>
  <c r="J42" i="1"/>
  <c r="G42" i="1"/>
  <c r="AA41" i="1"/>
  <c r="Y41" i="1"/>
  <c r="W41" i="1"/>
  <c r="V41" i="1"/>
  <c r="U41" i="1"/>
  <c r="T41" i="1"/>
  <c r="R41" i="1"/>
  <c r="Q41" i="1"/>
  <c r="P41" i="1"/>
  <c r="O41" i="1"/>
  <c r="N41" i="1"/>
  <c r="M41" i="1"/>
  <c r="K41" i="1"/>
  <c r="J41" i="1"/>
  <c r="I41" i="1"/>
  <c r="H41" i="1"/>
  <c r="G41" i="1"/>
  <c r="X41" i="1" s="1"/>
  <c r="Y40" i="1"/>
  <c r="U40" i="1"/>
  <c r="S40" i="1"/>
  <c r="R40" i="1"/>
  <c r="L40" i="1"/>
  <c r="K40" i="1"/>
  <c r="I40" i="1"/>
  <c r="G40" i="1"/>
  <c r="Y39" i="1"/>
  <c r="X39" i="1"/>
  <c r="V39" i="1"/>
  <c r="U39" i="1"/>
  <c r="S39" i="1"/>
  <c r="R39" i="1"/>
  <c r="Q39" i="1"/>
  <c r="P39" i="1"/>
  <c r="N39" i="1"/>
  <c r="L39" i="1"/>
  <c r="K39" i="1"/>
  <c r="J39" i="1"/>
  <c r="I39" i="1"/>
  <c r="G39" i="1"/>
  <c r="X38" i="1"/>
  <c r="W38" i="1"/>
  <c r="V38" i="1"/>
  <c r="T38" i="1"/>
  <c r="S38" i="1"/>
  <c r="Q38" i="1"/>
  <c r="P38" i="1"/>
  <c r="O38" i="1"/>
  <c r="N38" i="1"/>
  <c r="L38" i="1"/>
  <c r="K38" i="1"/>
  <c r="J38" i="1"/>
  <c r="I38" i="1"/>
  <c r="AB38" i="1" s="1"/>
  <c r="H38" i="1"/>
  <c r="Z38" i="1" s="1"/>
  <c r="G38" i="1"/>
  <c r="Y37" i="1"/>
  <c r="X37" i="1"/>
  <c r="O37" i="1"/>
  <c r="M37" i="1"/>
  <c r="I37" i="1"/>
  <c r="H37" i="1"/>
  <c r="G37" i="1"/>
  <c r="T36" i="1"/>
  <c r="S36" i="1"/>
  <c r="P36" i="1"/>
  <c r="O36" i="1"/>
  <c r="M36" i="1"/>
  <c r="G36" i="1"/>
  <c r="Y36" i="1" s="1"/>
  <c r="W35" i="1"/>
  <c r="V35" i="1"/>
  <c r="I35" i="1"/>
  <c r="H35" i="1"/>
  <c r="G35" i="1"/>
  <c r="Q34" i="1"/>
  <c r="P34" i="1"/>
  <c r="O34" i="1"/>
  <c r="G34" i="1"/>
  <c r="L34" i="1" s="1"/>
  <c r="Y33" i="1"/>
  <c r="X33" i="1"/>
  <c r="K33" i="1"/>
  <c r="J33" i="1"/>
  <c r="G33" i="1"/>
  <c r="X32" i="1"/>
  <c r="W32" i="1"/>
  <c r="V32" i="1"/>
  <c r="T32" i="1"/>
  <c r="S32" i="1"/>
  <c r="P32" i="1"/>
  <c r="O32" i="1"/>
  <c r="J32" i="1"/>
  <c r="I32" i="1"/>
  <c r="H32" i="1"/>
  <c r="G32" i="1"/>
  <c r="Y31" i="1"/>
  <c r="X31" i="1"/>
  <c r="W31" i="1"/>
  <c r="T31" i="1"/>
  <c r="S31" i="1"/>
  <c r="R31" i="1"/>
  <c r="Q31" i="1"/>
  <c r="O31" i="1"/>
  <c r="N31" i="1"/>
  <c r="L31" i="1"/>
  <c r="K31" i="1"/>
  <c r="J31" i="1"/>
  <c r="I31" i="1"/>
  <c r="AB31" i="1" s="1"/>
  <c r="G31" i="1"/>
  <c r="U31" i="1" s="1"/>
  <c r="Y30" i="1"/>
  <c r="X30" i="1"/>
  <c r="W30" i="1"/>
  <c r="T30" i="1"/>
  <c r="S30" i="1"/>
  <c r="R30" i="1"/>
  <c r="Q30" i="1"/>
  <c r="K30" i="1"/>
  <c r="J30" i="1"/>
  <c r="H30" i="1"/>
  <c r="G30" i="1"/>
  <c r="Y29" i="1"/>
  <c r="T29" i="1"/>
  <c r="S29" i="1"/>
  <c r="Q29" i="1"/>
  <c r="P29" i="1"/>
  <c r="O29" i="1"/>
  <c r="N29" i="1"/>
  <c r="M29" i="1"/>
  <c r="K29" i="1"/>
  <c r="J29" i="1"/>
  <c r="G29" i="1"/>
  <c r="Y28" i="1"/>
  <c r="X28" i="1"/>
  <c r="T28" i="1"/>
  <c r="S28" i="1"/>
  <c r="R28" i="1"/>
  <c r="K28" i="1"/>
  <c r="I28" i="1"/>
  <c r="G28" i="1"/>
  <c r="U27" i="1"/>
  <c r="S27" i="1"/>
  <c r="R27" i="1"/>
  <c r="Q27" i="1"/>
  <c r="P27" i="1"/>
  <c r="O27" i="1"/>
  <c r="N27" i="1"/>
  <c r="M27" i="1"/>
  <c r="L27" i="1"/>
  <c r="G27" i="1"/>
  <c r="T26" i="1"/>
  <c r="G26" i="1"/>
  <c r="Y26" i="1" s="1"/>
  <c r="T25" i="1"/>
  <c r="S25" i="1"/>
  <c r="Q25" i="1"/>
  <c r="O25" i="1"/>
  <c r="M25" i="1"/>
  <c r="L25" i="1"/>
  <c r="G25" i="1"/>
  <c r="U25" i="1" s="1"/>
  <c r="T24" i="1"/>
  <c r="G24" i="1"/>
  <c r="R24" i="1" s="1"/>
  <c r="T23" i="1"/>
  <c r="P23" i="1"/>
  <c r="O23" i="1"/>
  <c r="N23" i="1"/>
  <c r="G23" i="1"/>
  <c r="R23" i="1" s="1"/>
  <c r="G22" i="1"/>
  <c r="X22" i="1" s="1"/>
  <c r="U21" i="1"/>
  <c r="Q21" i="1"/>
  <c r="P21" i="1"/>
  <c r="O21" i="1"/>
  <c r="G21" i="1"/>
  <c r="M21" i="1" s="1"/>
  <c r="Y20" i="1"/>
  <c r="X20" i="1"/>
  <c r="W20" i="1"/>
  <c r="V20" i="1"/>
  <c r="U20" i="1"/>
  <c r="S20" i="1"/>
  <c r="Q20" i="1"/>
  <c r="P20" i="1"/>
  <c r="O20" i="1"/>
  <c r="N20" i="1"/>
  <c r="M20" i="1"/>
  <c r="L20" i="1"/>
  <c r="Z20" i="1" s="1"/>
  <c r="K20" i="1"/>
  <c r="J20" i="1"/>
  <c r="I20" i="1"/>
  <c r="AB20" i="1" s="1"/>
  <c r="H20" i="1"/>
  <c r="G20" i="1"/>
  <c r="R20" i="1" s="1"/>
  <c r="X19" i="1"/>
  <c r="W19" i="1"/>
  <c r="T19" i="1"/>
  <c r="S19" i="1"/>
  <c r="R19" i="1"/>
  <c r="J19" i="1"/>
  <c r="I19" i="1"/>
  <c r="G19" i="1"/>
  <c r="Y18" i="1"/>
  <c r="T18" i="1"/>
  <c r="S18" i="1"/>
  <c r="R18" i="1"/>
  <c r="Q18" i="1"/>
  <c r="P18" i="1"/>
  <c r="O18" i="1"/>
  <c r="M18" i="1"/>
  <c r="L18" i="1"/>
  <c r="J18" i="1"/>
  <c r="G18" i="1"/>
  <c r="Y17" i="1"/>
  <c r="W17" i="1"/>
  <c r="V17" i="1"/>
  <c r="U17" i="1"/>
  <c r="S17" i="1"/>
  <c r="R17" i="1"/>
  <c r="Q17" i="1"/>
  <c r="P17" i="1"/>
  <c r="O17" i="1"/>
  <c r="N17" i="1"/>
  <c r="M17" i="1"/>
  <c r="K17" i="1"/>
  <c r="J17" i="1"/>
  <c r="I17" i="1"/>
  <c r="H17" i="1"/>
  <c r="AA17" i="1" s="1"/>
  <c r="G17" i="1"/>
  <c r="Y15" i="1"/>
  <c r="X15" i="1"/>
  <c r="W15" i="1"/>
  <c r="V15" i="1"/>
  <c r="U15" i="1"/>
  <c r="T15" i="1"/>
  <c r="R15" i="1"/>
  <c r="Q15" i="1"/>
  <c r="P15" i="1"/>
  <c r="O15" i="1"/>
  <c r="N15" i="1"/>
  <c r="M15" i="1"/>
  <c r="L15" i="1"/>
  <c r="K15" i="1"/>
  <c r="J15" i="1"/>
  <c r="I15" i="1"/>
  <c r="H15" i="1"/>
  <c r="T33" i="1" l="1"/>
  <c r="H33" i="1"/>
  <c r="V33" i="1"/>
  <c r="I33" i="1"/>
  <c r="W33" i="1"/>
  <c r="X35" i="1"/>
  <c r="L35" i="1"/>
  <c r="Z35" i="1" s="1"/>
  <c r="Q35" i="1"/>
  <c r="U35" i="1"/>
  <c r="P37" i="1"/>
  <c r="W37" i="1"/>
  <c r="K37" i="1"/>
  <c r="N37" i="1"/>
  <c r="V37" i="1"/>
  <c r="AB39" i="1"/>
  <c r="R44" i="1"/>
  <c r="Y44" i="1"/>
  <c r="M44" i="1"/>
  <c r="Q44" i="1"/>
  <c r="V44" i="1"/>
  <c r="P45" i="1"/>
  <c r="Z48" i="1"/>
  <c r="S51" i="1"/>
  <c r="N52" i="1"/>
  <c r="P54" i="1"/>
  <c r="S59" i="1"/>
  <c r="AB69" i="1"/>
  <c r="V77" i="1"/>
  <c r="J77" i="1"/>
  <c r="T77" i="1"/>
  <c r="H77" i="1"/>
  <c r="P77" i="1"/>
  <c r="R77" i="1"/>
  <c r="Q77" i="1"/>
  <c r="O77" i="1"/>
  <c r="K77" i="1"/>
  <c r="Y77" i="1"/>
  <c r="X77" i="1"/>
  <c r="W77" i="1"/>
  <c r="L77" i="1"/>
  <c r="AB80" i="1"/>
  <c r="X90" i="1"/>
  <c r="L90" i="1"/>
  <c r="V90" i="1"/>
  <c r="J90" i="1"/>
  <c r="R90" i="1"/>
  <c r="Q90" i="1"/>
  <c r="K90" i="1"/>
  <c r="I90" i="1"/>
  <c r="H90" i="1"/>
  <c r="Z90" i="1" s="1"/>
  <c r="T90" i="1"/>
  <c r="S90" i="1"/>
  <c r="W90" i="1"/>
  <c r="U90" i="1"/>
  <c r="P90" i="1"/>
  <c r="O90" i="1"/>
  <c r="N90" i="1"/>
  <c r="AA77" i="1"/>
  <c r="W58" i="1"/>
  <c r="K58" i="1"/>
  <c r="R58" i="1"/>
  <c r="Q58" i="1"/>
  <c r="Y58" i="1"/>
  <c r="L58" i="1"/>
  <c r="N58" i="1"/>
  <c r="AB65" i="1"/>
  <c r="P68" i="1"/>
  <c r="M68" i="1"/>
  <c r="L68" i="1"/>
  <c r="Y68" i="1"/>
  <c r="K68" i="1"/>
  <c r="X68" i="1"/>
  <c r="J68" i="1"/>
  <c r="T68" i="1"/>
  <c r="S68" i="1"/>
  <c r="R68" i="1"/>
  <c r="Q68" i="1"/>
  <c r="I22" i="1"/>
  <c r="H24" i="1"/>
  <c r="V24" i="1"/>
  <c r="H26" i="1"/>
  <c r="V26" i="1"/>
  <c r="T51" i="1"/>
  <c r="H51" i="1"/>
  <c r="O51" i="1"/>
  <c r="U51" i="1"/>
  <c r="W51" i="1"/>
  <c r="P19" i="1"/>
  <c r="O19" i="1"/>
  <c r="U19" i="1"/>
  <c r="I26" i="1"/>
  <c r="V28" i="1"/>
  <c r="J28" i="1"/>
  <c r="N28" i="1"/>
  <c r="U28" i="1"/>
  <c r="L33" i="1"/>
  <c r="R34" i="1"/>
  <c r="J35" i="1"/>
  <c r="Y35" i="1"/>
  <c r="Q36" i="1"/>
  <c r="J37" i="1"/>
  <c r="V40" i="1"/>
  <c r="J40" i="1"/>
  <c r="Q40" i="1"/>
  <c r="T40" i="1"/>
  <c r="W40" i="1"/>
  <c r="N42" i="1"/>
  <c r="U42" i="1"/>
  <c r="I42" i="1"/>
  <c r="R42" i="1"/>
  <c r="W42" i="1"/>
  <c r="J44" i="1"/>
  <c r="S45" i="1"/>
  <c r="I51" i="1"/>
  <c r="X51" i="1"/>
  <c r="R52" i="1"/>
  <c r="S54" i="1"/>
  <c r="H58" i="1"/>
  <c r="Z58" i="1" s="1"/>
  <c r="H68" i="1"/>
  <c r="Z68" i="1" s="1"/>
  <c r="N91" i="1"/>
  <c r="X91" i="1"/>
  <c r="L91" i="1"/>
  <c r="Y91" i="1"/>
  <c r="J91" i="1"/>
  <c r="W91" i="1"/>
  <c r="I91" i="1"/>
  <c r="V91" i="1"/>
  <c r="U91" i="1"/>
  <c r="T91" i="1"/>
  <c r="P91" i="1"/>
  <c r="O91" i="1"/>
  <c r="S91" i="1"/>
  <c r="M91" i="1"/>
  <c r="K91" i="1"/>
  <c r="V22" i="1"/>
  <c r="J22" i="1"/>
  <c r="O22" i="1"/>
  <c r="U22" i="1"/>
  <c r="R21" i="1"/>
  <c r="K22" i="1"/>
  <c r="Y22" i="1"/>
  <c r="Q23" i="1"/>
  <c r="I24" i="1"/>
  <c r="X24" i="1"/>
  <c r="W26" i="1"/>
  <c r="H19" i="1"/>
  <c r="Z19" i="1" s="1"/>
  <c r="V19" i="1"/>
  <c r="AA20" i="1"/>
  <c r="S21" i="1"/>
  <c r="L22" i="1"/>
  <c r="K24" i="1"/>
  <c r="Y24" i="1"/>
  <c r="R25" i="1"/>
  <c r="J26" i="1"/>
  <c r="X26" i="1"/>
  <c r="H28" i="1"/>
  <c r="W28" i="1"/>
  <c r="N30" i="1"/>
  <c r="V30" i="1"/>
  <c r="I30" i="1"/>
  <c r="U30" i="1"/>
  <c r="R32" i="1"/>
  <c r="Q32" i="1"/>
  <c r="U32" i="1"/>
  <c r="M33" i="1"/>
  <c r="S34" i="1"/>
  <c r="K35" i="1"/>
  <c r="R36" i="1"/>
  <c r="L37" i="1"/>
  <c r="Z37" i="1" s="1"/>
  <c r="AA37" i="1"/>
  <c r="H40" i="1"/>
  <c r="Z40" i="1" s="1"/>
  <c r="X40" i="1"/>
  <c r="H42" i="1"/>
  <c r="Z42" i="1" s="1"/>
  <c r="X42" i="1"/>
  <c r="K44" i="1"/>
  <c r="AA44" i="1"/>
  <c r="U45" i="1"/>
  <c r="J51" i="1"/>
  <c r="Y51" i="1"/>
  <c r="S52" i="1"/>
  <c r="T54" i="1"/>
  <c r="I58" i="1"/>
  <c r="N67" i="1"/>
  <c r="V67" i="1"/>
  <c r="I67" i="1"/>
  <c r="T67" i="1"/>
  <c r="S67" i="1"/>
  <c r="R67" i="1"/>
  <c r="M67" i="1"/>
  <c r="U67" i="1"/>
  <c r="Q67" i="1"/>
  <c r="P67" i="1"/>
  <c r="AB68" i="1"/>
  <c r="X72" i="1"/>
  <c r="L72" i="1"/>
  <c r="V72" i="1"/>
  <c r="J72" i="1"/>
  <c r="K72" i="1"/>
  <c r="R72" i="1"/>
  <c r="Q72" i="1"/>
  <c r="P72" i="1"/>
  <c r="I72" i="1"/>
  <c r="Y72" i="1"/>
  <c r="AA84" i="1"/>
  <c r="Z91" i="1"/>
  <c r="U26" i="1"/>
  <c r="N33" i="1"/>
  <c r="T34" i="1"/>
  <c r="M35" i="1"/>
  <c r="AA35" i="1"/>
  <c r="L44" i="1"/>
  <c r="Z44" i="1" s="1"/>
  <c r="K51" i="1"/>
  <c r="AA53" i="1"/>
  <c r="J58" i="1"/>
  <c r="Y59" i="1"/>
  <c r="M59" i="1"/>
  <c r="V59" i="1"/>
  <c r="I59" i="1"/>
  <c r="U59" i="1"/>
  <c r="H59" i="1"/>
  <c r="Z59" i="1" s="1"/>
  <c r="P59" i="1"/>
  <c r="J59" i="1"/>
  <c r="AA66" i="1"/>
  <c r="Z67" i="1"/>
  <c r="Z72" i="1"/>
  <c r="K26" i="1"/>
  <c r="AA28" i="1"/>
  <c r="V21" i="1"/>
  <c r="T45" i="1"/>
  <c r="H45" i="1"/>
  <c r="Z45" i="1" s="1"/>
  <c r="O45" i="1"/>
  <c r="X45" i="1"/>
  <c r="J45" i="1"/>
  <c r="AB77" i="1"/>
  <c r="R26" i="1"/>
  <c r="S26" i="1"/>
  <c r="X23" i="1"/>
  <c r="L23" i="1"/>
  <c r="S23" i="1"/>
  <c r="U23" i="1"/>
  <c r="M24" i="1"/>
  <c r="L26" i="1"/>
  <c r="L51" i="1"/>
  <c r="K19" i="1"/>
  <c r="Y19" i="1"/>
  <c r="I21" i="1"/>
  <c r="W21" i="1"/>
  <c r="P22" i="1"/>
  <c r="H23" i="1"/>
  <c r="V23" i="1"/>
  <c r="O24" i="1"/>
  <c r="L28" i="1"/>
  <c r="M51" i="1"/>
  <c r="V52" i="1"/>
  <c r="J52" i="1"/>
  <c r="Q52" i="1"/>
  <c r="M52" i="1"/>
  <c r="X78" i="1"/>
  <c r="L78" i="1"/>
  <c r="V78" i="1"/>
  <c r="J78" i="1"/>
  <c r="W78" i="1"/>
  <c r="H78" i="1"/>
  <c r="M78" i="1"/>
  <c r="K78" i="1"/>
  <c r="I78" i="1"/>
  <c r="S78" i="1"/>
  <c r="Y78" i="1"/>
  <c r="U78" i="1"/>
  <c r="O78" i="1"/>
  <c r="O54" i="1"/>
  <c r="N54" i="1"/>
  <c r="V54" i="1"/>
  <c r="I54" i="1"/>
  <c r="K54" i="1"/>
  <c r="X54" i="1"/>
  <c r="L19" i="1"/>
  <c r="P24" i="1"/>
  <c r="K32" i="1"/>
  <c r="Q33" i="1"/>
  <c r="X34" i="1"/>
  <c r="I36" i="1"/>
  <c r="AB40" i="1"/>
  <c r="P58" i="1"/>
  <c r="N59" i="1"/>
  <c r="AA60" i="1"/>
  <c r="Z62" i="1"/>
  <c r="L67" i="1"/>
  <c r="V68" i="1"/>
  <c r="O72" i="1"/>
  <c r="N78" i="1"/>
  <c r="P25" i="1"/>
  <c r="N25" i="1"/>
  <c r="M26" i="1"/>
  <c r="I45" i="1"/>
  <c r="Y45" i="1"/>
  <c r="O58" i="1"/>
  <c r="M42" i="1"/>
  <c r="P43" i="1"/>
  <c r="W43" i="1"/>
  <c r="K43" i="1"/>
  <c r="Y43" i="1"/>
  <c r="J43" i="1"/>
  <c r="V43" i="1"/>
  <c r="P44" i="1"/>
  <c r="K45" i="1"/>
  <c r="N18" i="1"/>
  <c r="X18" i="1"/>
  <c r="K18" i="1"/>
  <c r="U18" i="1"/>
  <c r="M19" i="1"/>
  <c r="L21" i="1"/>
  <c r="R22" i="1"/>
  <c r="J23" i="1"/>
  <c r="Y23" i="1"/>
  <c r="Q24" i="1"/>
  <c r="I25" i="1"/>
  <c r="W25" i="1"/>
  <c r="O26" i="1"/>
  <c r="T27" i="1"/>
  <c r="H27" i="1"/>
  <c r="Z27" i="1" s="1"/>
  <c r="W27" i="1"/>
  <c r="J27" i="1"/>
  <c r="V27" i="1"/>
  <c r="O28" i="1"/>
  <c r="X29" i="1"/>
  <c r="L29" i="1"/>
  <c r="R29" i="1"/>
  <c r="U29" i="1"/>
  <c r="M30" i="1"/>
  <c r="L32" i="1"/>
  <c r="AB32" i="1" s="1"/>
  <c r="R33" i="1"/>
  <c r="K34" i="1"/>
  <c r="Y34" i="1"/>
  <c r="R35" i="1"/>
  <c r="J36" i="1"/>
  <c r="S37" i="1"/>
  <c r="AA38" i="1"/>
  <c r="N40" i="1"/>
  <c r="O42" i="1"/>
  <c r="H43" i="1"/>
  <c r="X43" i="1"/>
  <c r="S44" i="1"/>
  <c r="L45" i="1"/>
  <c r="AA47" i="1"/>
  <c r="R50" i="1"/>
  <c r="Y50" i="1"/>
  <c r="M50" i="1"/>
  <c r="N50" i="1"/>
  <c r="V50" i="1"/>
  <c r="P51" i="1"/>
  <c r="I52" i="1"/>
  <c r="Y52" i="1"/>
  <c r="J54" i="1"/>
  <c r="Q55" i="1"/>
  <c r="S55" i="1"/>
  <c r="M55" i="1"/>
  <c r="U55" i="1"/>
  <c r="W55" i="1"/>
  <c r="S58" i="1"/>
  <c r="O59" i="1"/>
  <c r="O67" i="1"/>
  <c r="W68" i="1"/>
  <c r="S72" i="1"/>
  <c r="P78" i="1"/>
  <c r="AB19" i="1"/>
  <c r="M22" i="1"/>
  <c r="L24" i="1"/>
  <c r="W45" i="1"/>
  <c r="P33" i="1"/>
  <c r="H34" i="1"/>
  <c r="Z34" i="1" s="1"/>
  <c r="W34" i="1"/>
  <c r="O35" i="1"/>
  <c r="N36" i="1"/>
  <c r="U36" i="1"/>
  <c r="V36" i="1"/>
  <c r="H36" i="1"/>
  <c r="Z36" i="1" s="1"/>
  <c r="W36" i="1"/>
  <c r="Q37" i="1"/>
  <c r="J21" i="1"/>
  <c r="Y21" i="1"/>
  <c r="Q22" i="1"/>
  <c r="I23" i="1"/>
  <c r="W23" i="1"/>
  <c r="H25" i="1"/>
  <c r="Z25" i="1" s="1"/>
  <c r="V25" i="1"/>
  <c r="N26" i="1"/>
  <c r="M28" i="1"/>
  <c r="L30" i="1"/>
  <c r="Z30" i="1" s="1"/>
  <c r="AA49" i="1"/>
  <c r="X52" i="1"/>
  <c r="S22" i="1"/>
  <c r="K23" i="1"/>
  <c r="J25" i="1"/>
  <c r="X25" i="1"/>
  <c r="P26" i="1"/>
  <c r="I27" i="1"/>
  <c r="X27" i="1"/>
  <c r="P28" i="1"/>
  <c r="H29" i="1"/>
  <c r="V29" i="1"/>
  <c r="O30" i="1"/>
  <c r="M32" i="1"/>
  <c r="AA32" i="1"/>
  <c r="S33" i="1"/>
  <c r="S35" i="1"/>
  <c r="H50" i="1"/>
  <c r="Z50" i="1" s="1"/>
  <c r="W50" i="1"/>
  <c r="Q51" i="1"/>
  <c r="K52" i="1"/>
  <c r="L54" i="1"/>
  <c r="H55" i="1"/>
  <c r="Z55" i="1" s="1"/>
  <c r="X55" i="1"/>
  <c r="T58" i="1"/>
  <c r="Q59" i="1"/>
  <c r="Q61" i="1"/>
  <c r="R61" i="1"/>
  <c r="P61" i="1"/>
  <c r="X61" i="1"/>
  <c r="K61" i="1"/>
  <c r="N61" i="1"/>
  <c r="Y61" i="1"/>
  <c r="U63" i="1"/>
  <c r="I63" i="1"/>
  <c r="Y63" i="1"/>
  <c r="L63" i="1"/>
  <c r="X63" i="1"/>
  <c r="K63" i="1"/>
  <c r="R63" i="1"/>
  <c r="P63" i="1"/>
  <c r="O63" i="1"/>
  <c r="W67" i="1"/>
  <c r="T72" i="1"/>
  <c r="Q78" i="1"/>
  <c r="H22" i="1"/>
  <c r="Z22" i="1" s="1"/>
  <c r="W22" i="1"/>
  <c r="N24" i="1"/>
  <c r="W24" i="1"/>
  <c r="J24" i="1"/>
  <c r="U24" i="1"/>
  <c r="T21" i="1"/>
  <c r="H21" i="1"/>
  <c r="Z21" i="1" s="1"/>
  <c r="X21" i="1"/>
  <c r="K21" i="1"/>
  <c r="N22" i="1"/>
  <c r="O33" i="1"/>
  <c r="V34" i="1"/>
  <c r="J34" i="1"/>
  <c r="M34" i="1"/>
  <c r="U34" i="1"/>
  <c r="N35" i="1"/>
  <c r="AB28" i="1"/>
  <c r="Y32" i="1"/>
  <c r="I34" i="1"/>
  <c r="P35" i="1"/>
  <c r="X36" i="1"/>
  <c r="R37" i="1"/>
  <c r="M40" i="1"/>
  <c r="N51" i="1"/>
  <c r="H52" i="1"/>
  <c r="H54" i="1"/>
  <c r="Z54" i="1" s="1"/>
  <c r="Y54" i="1"/>
  <c r="H18" i="1"/>
  <c r="Z18" i="1" s="1"/>
  <c r="V18" i="1"/>
  <c r="N19" i="1"/>
  <c r="P31" i="1"/>
  <c r="M31" i="1"/>
  <c r="K36" i="1"/>
  <c r="T37" i="1"/>
  <c r="O40" i="1"/>
  <c r="P42" i="1"/>
  <c r="I43" i="1"/>
  <c r="T44" i="1"/>
  <c r="M45" i="1"/>
  <c r="V46" i="1"/>
  <c r="J46" i="1"/>
  <c r="Q46" i="1"/>
  <c r="P46" i="1"/>
  <c r="W46" i="1"/>
  <c r="I18" i="1"/>
  <c r="W18" i="1"/>
  <c r="Q19" i="1"/>
  <c r="N21" i="1"/>
  <c r="T22" i="1"/>
  <c r="M23" i="1"/>
  <c r="S24" i="1"/>
  <c r="K25" i="1"/>
  <c r="Y25" i="1"/>
  <c r="Q26" i="1"/>
  <c r="K27" i="1"/>
  <c r="Y27" i="1"/>
  <c r="Q28" i="1"/>
  <c r="I29" i="1"/>
  <c r="W29" i="1"/>
  <c r="P30" i="1"/>
  <c r="H31" i="1"/>
  <c r="Z31" i="1" s="1"/>
  <c r="V31" i="1"/>
  <c r="N32" i="1"/>
  <c r="U33" i="1"/>
  <c r="N34" i="1"/>
  <c r="T35" i="1"/>
  <c r="L36" i="1"/>
  <c r="U37" i="1"/>
  <c r="T39" i="1"/>
  <c r="H39" i="1"/>
  <c r="Z39" i="1" s="1"/>
  <c r="O39" i="1"/>
  <c r="M39" i="1"/>
  <c r="W39" i="1"/>
  <c r="P40" i="1"/>
  <c r="Q42" i="1"/>
  <c r="L43" i="1"/>
  <c r="U44" i="1"/>
  <c r="N45" i="1"/>
  <c r="H46" i="1"/>
  <c r="X46" i="1"/>
  <c r="N48" i="1"/>
  <c r="U48" i="1"/>
  <c r="I48" i="1"/>
  <c r="O48" i="1"/>
  <c r="W48" i="1"/>
  <c r="I50" i="1"/>
  <c r="X50" i="1"/>
  <c r="R51" i="1"/>
  <c r="L52" i="1"/>
  <c r="M54" i="1"/>
  <c r="I55" i="1"/>
  <c r="Y55" i="1"/>
  <c r="U58" i="1"/>
  <c r="R59" i="1"/>
  <c r="H61" i="1"/>
  <c r="Z61" i="1" s="1"/>
  <c r="H63" i="1"/>
  <c r="Z63" i="1" s="1"/>
  <c r="W64" i="1"/>
  <c r="K64" i="1"/>
  <c r="P64" i="1"/>
  <c r="O64" i="1"/>
  <c r="V64" i="1"/>
  <c r="I64" i="1"/>
  <c r="L64" i="1"/>
  <c r="Z64" i="1" s="1"/>
  <c r="J64" i="1"/>
  <c r="X67" i="1"/>
  <c r="U72" i="1"/>
  <c r="R78" i="1"/>
  <c r="AB102" i="1"/>
  <c r="AA102" i="1"/>
  <c r="X84" i="1"/>
  <c r="L84" i="1"/>
  <c r="Z84" i="1" s="1"/>
  <c r="V84" i="1"/>
  <c r="J84" i="1"/>
  <c r="T84" i="1"/>
  <c r="S84" i="1"/>
  <c r="W84" i="1"/>
  <c r="U84" i="1"/>
  <c r="R84" i="1"/>
  <c r="N84" i="1"/>
  <c r="M84" i="1"/>
  <c r="P104" i="1"/>
  <c r="N104" i="1"/>
  <c r="L104" i="1"/>
  <c r="Y104" i="1"/>
  <c r="K104" i="1"/>
  <c r="T104" i="1"/>
  <c r="S104" i="1"/>
  <c r="R104" i="1"/>
  <c r="Q104" i="1"/>
  <c r="I104" i="1"/>
  <c r="H104" i="1"/>
  <c r="U104" i="1"/>
  <c r="J104" i="1"/>
  <c r="M104" i="1"/>
  <c r="R93" i="1"/>
  <c r="P93" i="1"/>
  <c r="X93" i="1"/>
  <c r="J93" i="1"/>
  <c r="W93" i="1"/>
  <c r="I93" i="1"/>
  <c r="N93" i="1"/>
  <c r="M93" i="1"/>
  <c r="L93" i="1"/>
  <c r="V93" i="1"/>
  <c r="U93" i="1"/>
  <c r="N103" i="1"/>
  <c r="X103" i="1"/>
  <c r="L103" i="1"/>
  <c r="T103" i="1"/>
  <c r="S103" i="1"/>
  <c r="M103" i="1"/>
  <c r="V103" i="1"/>
  <c r="U103" i="1"/>
  <c r="R103" i="1"/>
  <c r="K103" i="1"/>
  <c r="J103" i="1"/>
  <c r="W103" i="1"/>
  <c r="V104" i="1"/>
  <c r="P84" i="1"/>
  <c r="V89" i="1"/>
  <c r="J89" i="1"/>
  <c r="T89" i="1"/>
  <c r="H89" i="1"/>
  <c r="L89" i="1"/>
  <c r="Y89" i="1"/>
  <c r="K89" i="1"/>
  <c r="P89" i="1"/>
  <c r="O89" i="1"/>
  <c r="N89" i="1"/>
  <c r="X89" i="1"/>
  <c r="W89" i="1"/>
  <c r="H93" i="1"/>
  <c r="Z93" i="1" s="1"/>
  <c r="H103" i="1"/>
  <c r="Z103" i="1" s="1"/>
  <c r="W104" i="1"/>
  <c r="X17" i="1"/>
  <c r="L17" i="1"/>
  <c r="Z17" i="1" s="1"/>
  <c r="S15" i="1"/>
  <c r="T17" i="1"/>
  <c r="T20" i="1"/>
  <c r="R38" i="1"/>
  <c r="Y38" i="1"/>
  <c r="M38" i="1"/>
  <c r="U38" i="1"/>
  <c r="P49" i="1"/>
  <c r="W49" i="1"/>
  <c r="K49" i="1"/>
  <c r="U49" i="1"/>
  <c r="P74" i="1"/>
  <c r="N74" i="1"/>
  <c r="X74" i="1"/>
  <c r="J74" i="1"/>
  <c r="U74" i="1"/>
  <c r="T74" i="1"/>
  <c r="S74" i="1"/>
  <c r="M74" i="1"/>
  <c r="R75" i="1"/>
  <c r="P75" i="1"/>
  <c r="Q75" i="1"/>
  <c r="N75" i="1"/>
  <c r="M75" i="1"/>
  <c r="L75" i="1"/>
  <c r="W75" i="1"/>
  <c r="H75" i="1"/>
  <c r="Z75" i="1" s="1"/>
  <c r="Q84" i="1"/>
  <c r="I89" i="1"/>
  <c r="K93" i="1"/>
  <c r="AA97" i="1"/>
  <c r="P98" i="1"/>
  <c r="N98" i="1"/>
  <c r="O98" i="1"/>
  <c r="M98" i="1"/>
  <c r="V98" i="1"/>
  <c r="U98" i="1"/>
  <c r="T98" i="1"/>
  <c r="L98" i="1"/>
  <c r="K98" i="1"/>
  <c r="I103" i="1"/>
  <c r="X104" i="1"/>
  <c r="AB108" i="1"/>
  <c r="Z74" i="1"/>
  <c r="AB75" i="1"/>
  <c r="AA75" i="1"/>
  <c r="N79" i="1"/>
  <c r="X79" i="1"/>
  <c r="L79" i="1"/>
  <c r="AB79" i="1" s="1"/>
  <c r="P79" i="1"/>
  <c r="U79" i="1"/>
  <c r="T79" i="1"/>
  <c r="S79" i="1"/>
  <c r="M79" i="1"/>
  <c r="Y84" i="1"/>
  <c r="P86" i="1"/>
  <c r="N86" i="1"/>
  <c r="T86" i="1"/>
  <c r="S86" i="1"/>
  <c r="L86" i="1"/>
  <c r="AB86" i="1" s="1"/>
  <c r="K86" i="1"/>
  <c r="J86" i="1"/>
  <c r="V86" i="1"/>
  <c r="U86" i="1"/>
  <c r="T88" i="1"/>
  <c r="H88" i="1"/>
  <c r="Z88" i="1" s="1"/>
  <c r="R88" i="1"/>
  <c r="S88" i="1"/>
  <c r="Q88" i="1"/>
  <c r="V88" i="1"/>
  <c r="U88" i="1"/>
  <c r="P88" i="1"/>
  <c r="L88" i="1"/>
  <c r="K88" i="1"/>
  <c r="M89" i="1"/>
  <c r="P92" i="1"/>
  <c r="N92" i="1"/>
  <c r="R92" i="1"/>
  <c r="Q92" i="1"/>
  <c r="T92" i="1"/>
  <c r="S92" i="1"/>
  <c r="O92" i="1"/>
  <c r="J92" i="1"/>
  <c r="Y92" i="1"/>
  <c r="I92" i="1"/>
  <c r="O93" i="1"/>
  <c r="Z98" i="1"/>
  <c r="O103" i="1"/>
  <c r="N73" i="1"/>
  <c r="X73" i="1"/>
  <c r="L73" i="1"/>
  <c r="Z73" i="1" s="1"/>
  <c r="R73" i="1"/>
  <c r="K73" i="1"/>
  <c r="J73" i="1"/>
  <c r="Y73" i="1"/>
  <c r="I73" i="1"/>
  <c r="T73" i="1"/>
  <c r="AB74" i="1"/>
  <c r="H79" i="1"/>
  <c r="Z79" i="1" s="1"/>
  <c r="H86" i="1"/>
  <c r="I88" i="1"/>
  <c r="Q89" i="1"/>
  <c r="H92" i="1"/>
  <c r="Z92" i="1" s="1"/>
  <c r="Q93" i="1"/>
  <c r="AB98" i="1"/>
  <c r="P103" i="1"/>
  <c r="AB105" i="1"/>
  <c r="X102" i="1"/>
  <c r="L102" i="1"/>
  <c r="Z102" i="1" s="1"/>
  <c r="V102" i="1"/>
  <c r="J102" i="1"/>
  <c r="N102" i="1"/>
  <c r="M102" i="1"/>
  <c r="T102" i="1"/>
  <c r="X108" i="1"/>
  <c r="L108" i="1"/>
  <c r="W108" i="1"/>
  <c r="K108" i="1"/>
  <c r="V108" i="1"/>
  <c r="J108" i="1"/>
  <c r="R108" i="1"/>
  <c r="Q108" i="1"/>
  <c r="P108" i="1"/>
  <c r="H108" i="1"/>
  <c r="Z108" i="1" s="1"/>
  <c r="Z109" i="1"/>
  <c r="AA109" i="1"/>
  <c r="N85" i="1"/>
  <c r="X85" i="1"/>
  <c r="L85" i="1"/>
  <c r="AB85" i="1" s="1"/>
  <c r="M85" i="1"/>
  <c r="K85" i="1"/>
  <c r="W85" i="1"/>
  <c r="O102" i="1"/>
  <c r="R105" i="1"/>
  <c r="Q105" i="1"/>
  <c r="P105" i="1"/>
  <c r="U105" i="1"/>
  <c r="T105" i="1"/>
  <c r="L105" i="1"/>
  <c r="Y105" i="1"/>
  <c r="O108" i="1"/>
  <c r="S41" i="1"/>
  <c r="S47" i="1"/>
  <c r="S53" i="1"/>
  <c r="U57" i="1"/>
  <c r="I57" i="1"/>
  <c r="T57" i="1"/>
  <c r="T60" i="1"/>
  <c r="X66" i="1"/>
  <c r="L66" i="1"/>
  <c r="AB66" i="1" s="1"/>
  <c r="R66" i="1"/>
  <c r="U66" i="1"/>
  <c r="T70" i="1"/>
  <c r="H70" i="1"/>
  <c r="R70" i="1"/>
  <c r="L70" i="1"/>
  <c r="AB70" i="1" s="1"/>
  <c r="W70" i="1"/>
  <c r="P80" i="1"/>
  <c r="N80" i="1"/>
  <c r="V80" i="1"/>
  <c r="H80" i="1"/>
  <c r="Z80" i="1" s="1"/>
  <c r="W80" i="1"/>
  <c r="H85" i="1"/>
  <c r="Y85" i="1"/>
  <c r="X96" i="1"/>
  <c r="L96" i="1"/>
  <c r="V96" i="1"/>
  <c r="J96" i="1"/>
  <c r="P96" i="1"/>
  <c r="O96" i="1"/>
  <c r="Y96" i="1"/>
  <c r="AB99" i="1"/>
  <c r="P102" i="1"/>
  <c r="H105" i="1"/>
  <c r="S108" i="1"/>
  <c r="T108" i="1"/>
  <c r="AB106" i="1"/>
  <c r="U108" i="1"/>
  <c r="Y108" i="1"/>
  <c r="T94" i="1"/>
  <c r="H94" i="1"/>
  <c r="Z94" i="1" s="1"/>
  <c r="R94" i="1"/>
  <c r="P94" i="1"/>
  <c r="O94" i="1"/>
  <c r="X94" i="1"/>
  <c r="M96" i="1"/>
  <c r="AB100" i="1"/>
  <c r="AA100" i="1"/>
  <c r="U102" i="1"/>
  <c r="M105" i="1"/>
  <c r="R81" i="1"/>
  <c r="P81" i="1"/>
  <c r="N81" i="1"/>
  <c r="V81" i="1"/>
  <c r="V83" i="1"/>
  <c r="J83" i="1"/>
  <c r="T83" i="1"/>
  <c r="H83" i="1"/>
  <c r="Z83" i="1" s="1"/>
  <c r="N83" i="1"/>
  <c r="X83" i="1"/>
  <c r="P85" i="1"/>
  <c r="L41" i="1"/>
  <c r="AB41" i="1" s="1"/>
  <c r="L47" i="1"/>
  <c r="Z47" i="1" s="1"/>
  <c r="L53" i="1"/>
  <c r="AB53" i="1" s="1"/>
  <c r="M57" i="1"/>
  <c r="L60" i="1"/>
  <c r="Z60" i="1" s="1"/>
  <c r="Y60" i="1"/>
  <c r="M66" i="1"/>
  <c r="N70" i="1"/>
  <c r="V71" i="1"/>
  <c r="J71" i="1"/>
  <c r="T71" i="1"/>
  <c r="H71" i="1"/>
  <c r="R71" i="1"/>
  <c r="X71" i="1"/>
  <c r="T76" i="1"/>
  <c r="H76" i="1"/>
  <c r="R76" i="1"/>
  <c r="X76" i="1"/>
  <c r="J76" i="1"/>
  <c r="W76" i="1"/>
  <c r="M80" i="1"/>
  <c r="H81" i="1"/>
  <c r="Z81" i="1" s="1"/>
  <c r="W81" i="1"/>
  <c r="I83" i="1"/>
  <c r="Y83" i="1"/>
  <c r="Q85" i="1"/>
  <c r="R87" i="1"/>
  <c r="P87" i="1"/>
  <c r="L87" i="1"/>
  <c r="Z87" i="1" s="1"/>
  <c r="Y87" i="1"/>
  <c r="K87" i="1"/>
  <c r="W87" i="1"/>
  <c r="I94" i="1"/>
  <c r="Y94" i="1"/>
  <c r="N96" i="1"/>
  <c r="V101" i="1"/>
  <c r="J101" i="1"/>
  <c r="T101" i="1"/>
  <c r="H101" i="1"/>
  <c r="Z101" i="1" s="1"/>
  <c r="U101" i="1"/>
  <c r="S101" i="1"/>
  <c r="N101" i="1"/>
  <c r="W102" i="1"/>
  <c r="N105" i="1"/>
  <c r="N57" i="1"/>
  <c r="V65" i="1"/>
  <c r="J65" i="1"/>
  <c r="N65" i="1"/>
  <c r="U65" i="1"/>
  <c r="N66" i="1"/>
  <c r="R69" i="1"/>
  <c r="P69" i="1"/>
  <c r="T69" i="1"/>
  <c r="V69" i="1"/>
  <c r="O70" i="1"/>
  <c r="O80" i="1"/>
  <c r="I81" i="1"/>
  <c r="X81" i="1"/>
  <c r="K83" i="1"/>
  <c r="R85" i="1"/>
  <c r="Q96" i="1"/>
  <c r="AB101" i="1"/>
  <c r="AA101" i="1"/>
  <c r="Y102" i="1"/>
  <c r="O105" i="1"/>
  <c r="T100" i="1"/>
  <c r="H100" i="1"/>
  <c r="Z100" i="1" s="1"/>
  <c r="R100" i="1"/>
  <c r="V100" i="1"/>
  <c r="V95" i="1"/>
  <c r="J95" i="1"/>
  <c r="T95" i="1"/>
  <c r="H95" i="1"/>
  <c r="Z95" i="1" s="1"/>
  <c r="W95" i="1"/>
  <c r="N97" i="1"/>
  <c r="X97" i="1"/>
  <c r="L97" i="1"/>
  <c r="AB97" i="1" s="1"/>
  <c r="U97" i="1"/>
  <c r="R99" i="1"/>
  <c r="P99" i="1"/>
  <c r="U99" i="1"/>
  <c r="M100" i="1"/>
  <c r="T82" i="1"/>
  <c r="H82" i="1"/>
  <c r="Z82" i="1" s="1"/>
  <c r="R82" i="1"/>
  <c r="V82" i="1"/>
  <c r="I95" i="1"/>
  <c r="X95" i="1"/>
  <c r="H97" i="1"/>
  <c r="Z97" i="1" s="1"/>
  <c r="V97" i="1"/>
  <c r="H99" i="1"/>
  <c r="V99" i="1"/>
  <c r="N100" i="1"/>
  <c r="P110" i="1"/>
  <c r="O110" i="1"/>
  <c r="N110" i="1"/>
  <c r="U110" i="1"/>
  <c r="I110" i="1"/>
  <c r="X110" i="1"/>
  <c r="V107" i="1"/>
  <c r="J107" i="1"/>
  <c r="U107" i="1"/>
  <c r="I107" i="1"/>
  <c r="T107" i="1"/>
  <c r="H107" i="1"/>
  <c r="Z107" i="1" s="1"/>
  <c r="Y107" i="1"/>
  <c r="H110" i="1"/>
  <c r="Z110" i="1" s="1"/>
  <c r="Y110" i="1"/>
  <c r="S109" i="1"/>
  <c r="R106" i="1"/>
  <c r="L109" i="1"/>
  <c r="AB109" i="1" s="1"/>
  <c r="X109" i="1"/>
  <c r="S106" i="1"/>
  <c r="M109" i="1"/>
  <c r="Y109" i="1"/>
  <c r="H106" i="1"/>
  <c r="Z106" i="1" s="1"/>
  <c r="Z89" i="1" l="1"/>
  <c r="AA18" i="1"/>
  <c r="AB18" i="1"/>
  <c r="AA80" i="1"/>
  <c r="AB35" i="1"/>
  <c r="AA99" i="1"/>
  <c r="Z99" i="1"/>
  <c r="Z85" i="1"/>
  <c r="AA27" i="1"/>
  <c r="AB27" i="1"/>
  <c r="AB60" i="1"/>
  <c r="AA31" i="1"/>
  <c r="Z51" i="1"/>
  <c r="Z105" i="1"/>
  <c r="AB55" i="1"/>
  <c r="AA55" i="1"/>
  <c r="Z46" i="1"/>
  <c r="AA46" i="1"/>
  <c r="AB34" i="1"/>
  <c r="AA34" i="1"/>
  <c r="AB78" i="1"/>
  <c r="AA78" i="1"/>
  <c r="AB67" i="1"/>
  <c r="AA67" i="1"/>
  <c r="AB37" i="1"/>
  <c r="AB17" i="1"/>
  <c r="AB64" i="1"/>
  <c r="AA64" i="1"/>
  <c r="Z41" i="1"/>
  <c r="AA23" i="1"/>
  <c r="AB23" i="1"/>
  <c r="AB91" i="1"/>
  <c r="AA91" i="1"/>
  <c r="AB90" i="1"/>
  <c r="AA90" i="1"/>
  <c r="AB33" i="1"/>
  <c r="AA33" i="1"/>
  <c r="AB44" i="1"/>
  <c r="AA59" i="1"/>
  <c r="AB59" i="1"/>
  <c r="AB30" i="1"/>
  <c r="AA30" i="1"/>
  <c r="Z26" i="1"/>
  <c r="AA39" i="1"/>
  <c r="Z53" i="1"/>
  <c r="AA76" i="1"/>
  <c r="Z76" i="1"/>
  <c r="AB88" i="1"/>
  <c r="AA88" i="1"/>
  <c r="Z78" i="1"/>
  <c r="AA68" i="1"/>
  <c r="Z66" i="1"/>
  <c r="Z33" i="1"/>
  <c r="AA57" i="1"/>
  <c r="AB57" i="1"/>
  <c r="Z86" i="1"/>
  <c r="AB87" i="1"/>
  <c r="AB103" i="1"/>
  <c r="AA103" i="1"/>
  <c r="AB89" i="1"/>
  <c r="AA89" i="1"/>
  <c r="AA54" i="1"/>
  <c r="AB54" i="1"/>
  <c r="AB58" i="1"/>
  <c r="AA58" i="1"/>
  <c r="AA51" i="1"/>
  <c r="AB51" i="1"/>
  <c r="AA26" i="1"/>
  <c r="AB26" i="1"/>
  <c r="Z24" i="1"/>
  <c r="AA82" i="1"/>
  <c r="AA85" i="1"/>
  <c r="AB50" i="1"/>
  <c r="AA50" i="1"/>
  <c r="Z23" i="1"/>
  <c r="AB22" i="1"/>
  <c r="AA22" i="1"/>
  <c r="AA40" i="1"/>
  <c r="AA108" i="1"/>
  <c r="Z104" i="1"/>
  <c r="AB43" i="1"/>
  <c r="AA43" i="1"/>
  <c r="Z52" i="1"/>
  <c r="AA72" i="1"/>
  <c r="AB72" i="1"/>
  <c r="Z28" i="1"/>
  <c r="AA79" i="1"/>
  <c r="AB84" i="1"/>
  <c r="AB81" i="1"/>
  <c r="AA81" i="1"/>
  <c r="AA94" i="1"/>
  <c r="AB94" i="1"/>
  <c r="AB107" i="1"/>
  <c r="AA107" i="1"/>
  <c r="AB95" i="1"/>
  <c r="AA95" i="1"/>
  <c r="AB104" i="1"/>
  <c r="AA104" i="1"/>
  <c r="AB63" i="1"/>
  <c r="AA63" i="1"/>
  <c r="AA45" i="1"/>
  <c r="AB45" i="1"/>
  <c r="AA24" i="1"/>
  <c r="AB24" i="1"/>
  <c r="AA19" i="1"/>
  <c r="AA61" i="1"/>
  <c r="AB110" i="1"/>
  <c r="AA110" i="1"/>
  <c r="AB83" i="1"/>
  <c r="AA83" i="1"/>
  <c r="AA71" i="1"/>
  <c r="Z71" i="1"/>
  <c r="AB92" i="1"/>
  <c r="AA92" i="1"/>
  <c r="AA106" i="1"/>
  <c r="AB96" i="1"/>
  <c r="Z96" i="1"/>
  <c r="Z70" i="1"/>
  <c r="AA70" i="1"/>
  <c r="AA105" i="1"/>
  <c r="AB73" i="1"/>
  <c r="AA73" i="1"/>
  <c r="AA48" i="1"/>
  <c r="AB48" i="1"/>
  <c r="Z29" i="1"/>
  <c r="Z43" i="1"/>
  <c r="AB25" i="1"/>
  <c r="AA25" i="1"/>
  <c r="AB36" i="1"/>
  <c r="AA36" i="1"/>
  <c r="AB21" i="1"/>
  <c r="AA21" i="1"/>
  <c r="AA86" i="1"/>
  <c r="Z32" i="1"/>
  <c r="AB93" i="1"/>
  <c r="AA93" i="1"/>
  <c r="AA29" i="1"/>
  <c r="AB29" i="1"/>
  <c r="AA52" i="1"/>
  <c r="AB52" i="1"/>
  <c r="AB42" i="1"/>
  <c r="AA42" i="1"/>
  <c r="Z77" i="1"/>
  <c r="AB47" i="1"/>
</calcChain>
</file>

<file path=xl/sharedStrings.xml><?xml version="1.0" encoding="utf-8"?>
<sst xmlns="http://schemas.openxmlformats.org/spreadsheetml/2006/main" count="890" uniqueCount="294">
  <si>
    <t>Ticker</t>
  </si>
  <si>
    <t>BHP.AX</t>
  </si>
  <si>
    <t>CBA.AX</t>
  </si>
  <si>
    <t>CSL.AX</t>
  </si>
  <si>
    <t>QAN.AX</t>
  </si>
  <si>
    <t>LYC.AX</t>
  </si>
  <si>
    <t>ILU.AX</t>
  </si>
  <si>
    <t>ARU.AX</t>
  </si>
  <si>
    <t>ASM.AX</t>
  </si>
  <si>
    <t>AR3.AX</t>
  </si>
  <si>
    <t>NTU.AX</t>
  </si>
  <si>
    <t>LIN.AX</t>
  </si>
  <si>
    <t>ALK.AX</t>
  </si>
  <si>
    <t>ADC.AX</t>
  </si>
  <si>
    <t>HAS.AX</t>
  </si>
  <si>
    <t>OldTick</t>
  </si>
  <si>
    <t>Ex</t>
  </si>
  <si>
    <t>Look</t>
  </si>
  <si>
    <t>Open</t>
  </si>
  <si>
    <t>Price</t>
  </si>
  <si>
    <t>High</t>
  </si>
  <si>
    <t>Low</t>
  </si>
  <si>
    <t>PreviousClose</t>
  </si>
  <si>
    <t>Volume</t>
  </si>
  <si>
    <t>Time</t>
  </si>
  <si>
    <t>Av_Volume</t>
  </si>
  <si>
    <t>marketCap</t>
  </si>
  <si>
    <t>Week52High</t>
  </si>
  <si>
    <t>Week52Low</t>
  </si>
  <si>
    <t>currency</t>
  </si>
  <si>
    <t>T1Y_Mean</t>
  </si>
  <si>
    <t>Advice_Mean</t>
  </si>
  <si>
    <t>Div</t>
  </si>
  <si>
    <t>DivYield</t>
  </si>
  <si>
    <t>exDiv_Date</t>
  </si>
  <si>
    <t>EarnDate</t>
  </si>
  <si>
    <t>Op_Cl</t>
  </si>
  <si>
    <t>M_Op</t>
  </si>
  <si>
    <t>M_Cl</t>
  </si>
  <si>
    <t>M_V_Open</t>
  </si>
  <si>
    <t>M_V_Now</t>
  </si>
  <si>
    <t>AAPL</t>
  </si>
  <si>
    <t>ADEA</t>
  </si>
  <si>
    <t>AET.L</t>
  </si>
  <si>
    <t>AET</t>
  </si>
  <si>
    <t>.L</t>
  </si>
  <si>
    <t>AMZN</t>
  </si>
  <si>
    <t>ALDNE.PA</t>
  </si>
  <si>
    <t>ALDNE</t>
  </si>
  <si>
    <t>.PA</t>
  </si>
  <si>
    <t>ASML.AS</t>
  </si>
  <si>
    <t>ASML</t>
  </si>
  <si>
    <t>.AS</t>
  </si>
  <si>
    <t>AVGO</t>
  </si>
  <si>
    <t>AZN</t>
  </si>
  <si>
    <t>BLDP</t>
  </si>
  <si>
    <t>BMRA</t>
  </si>
  <si>
    <t>C</t>
  </si>
  <si>
    <t>CSCO</t>
  </si>
  <si>
    <t>CVS</t>
  </si>
  <si>
    <t>DDD</t>
  </si>
  <si>
    <t>DIS</t>
  </si>
  <si>
    <t>DSY.PA</t>
  </si>
  <si>
    <t>DSY</t>
  </si>
  <si>
    <t>DVA</t>
  </si>
  <si>
    <t>DXC</t>
  </si>
  <si>
    <t>EOAN.DE</t>
  </si>
  <si>
    <t>EOAN</t>
  </si>
  <si>
    <t>.DE</t>
  </si>
  <si>
    <t>EPIX</t>
  </si>
  <si>
    <t>GM</t>
  </si>
  <si>
    <t>HPE</t>
  </si>
  <si>
    <t>HPQ</t>
  </si>
  <si>
    <t>IAG.L</t>
  </si>
  <si>
    <t>IAG</t>
  </si>
  <si>
    <t>KR</t>
  </si>
  <si>
    <t>LNSR</t>
  </si>
  <si>
    <t>LUMN</t>
  </si>
  <si>
    <t>MRNA</t>
  </si>
  <si>
    <t>MSFT</t>
  </si>
  <si>
    <t>NEE</t>
  </si>
  <si>
    <t>NEM</t>
  </si>
  <si>
    <t>NFLX</t>
  </si>
  <si>
    <t>NOTE</t>
  </si>
  <si>
    <t>PAAS</t>
  </si>
  <si>
    <t>PROF</t>
  </si>
  <si>
    <t>POET</t>
  </si>
  <si>
    <t>PW</t>
  </si>
  <si>
    <t>RIGL</t>
  </si>
  <si>
    <t>RWE.DE</t>
  </si>
  <si>
    <t>RWE</t>
  </si>
  <si>
    <t>SAP.DE</t>
  </si>
  <si>
    <t>SAP</t>
  </si>
  <si>
    <t>SHECY</t>
  </si>
  <si>
    <t>SSYS</t>
  </si>
  <si>
    <t>TSLA</t>
  </si>
  <si>
    <t>TSM</t>
  </si>
  <si>
    <t>UN0.DE</t>
  </si>
  <si>
    <t>UN0</t>
  </si>
  <si>
    <t>UNIT</t>
  </si>
  <si>
    <t>VLVLY</t>
  </si>
  <si>
    <t>VONN.SW</t>
  </si>
  <si>
    <t>VONN</t>
  </si>
  <si>
    <t>.SW</t>
  </si>
  <si>
    <t>VTRS</t>
  </si>
  <si>
    <t>WBA</t>
  </si>
  <si>
    <t>XOM</t>
  </si>
  <si>
    <t>XPER</t>
  </si>
  <si>
    <t>BLNK</t>
  </si>
  <si>
    <t>MVEALDNE</t>
  </si>
  <si>
    <t>ENI.MI</t>
  </si>
  <si>
    <t>MVEDDD</t>
  </si>
  <si>
    <t>EZJ.L</t>
  </si>
  <si>
    <t>MVEDSY</t>
  </si>
  <si>
    <t>F</t>
  </si>
  <si>
    <t>MVEEOAN</t>
  </si>
  <si>
    <t>GLE.PA</t>
  </si>
  <si>
    <t>MVEENI</t>
  </si>
  <si>
    <t>.MI</t>
  </si>
  <si>
    <t>GNRC</t>
  </si>
  <si>
    <t>MVEEPIX</t>
  </si>
  <si>
    <t>GS</t>
  </si>
  <si>
    <t>MVEGLE</t>
  </si>
  <si>
    <t>LAZRQ</t>
  </si>
  <si>
    <t>MVEORA</t>
  </si>
  <si>
    <t>LUV</t>
  </si>
  <si>
    <t>MVERWE</t>
  </si>
  <si>
    <t>MA</t>
  </si>
  <si>
    <t>MVESAP</t>
  </si>
  <si>
    <t>NVAX</t>
  </si>
  <si>
    <t>MVEUN0</t>
  </si>
  <si>
    <t>NVS</t>
  </si>
  <si>
    <t>SAFAAPL</t>
  </si>
  <si>
    <t>ORA.PA</t>
  </si>
  <si>
    <t>SAFAMZN</t>
  </si>
  <si>
    <t>OXY</t>
  </si>
  <si>
    <t>SAFASML</t>
  </si>
  <si>
    <t>PFE</t>
  </si>
  <si>
    <t>SAFDDD</t>
  </si>
  <si>
    <t>RIG</t>
  </si>
  <si>
    <t>SAFDIS</t>
  </si>
  <si>
    <t>RRC</t>
  </si>
  <si>
    <t>SAFGM</t>
  </si>
  <si>
    <t>XYZ</t>
  </si>
  <si>
    <t>SAFIAG</t>
  </si>
  <si>
    <t>THC</t>
  </si>
  <si>
    <t>SAFMRNA</t>
  </si>
  <si>
    <t>X</t>
  </si>
  <si>
    <t>LOCK.L</t>
  </si>
  <si>
    <t>ENI</t>
  </si>
  <si>
    <t>EZJ</t>
  </si>
  <si>
    <t>GLE</t>
  </si>
  <si>
    <t>ORA</t>
  </si>
  <si>
    <t>LOCK</t>
  </si>
  <si>
    <t>JBASML</t>
  </si>
  <si>
    <t>JBEOAN</t>
  </si>
  <si>
    <t>Status</t>
  </si>
  <si>
    <t>MissingFields</t>
  </si>
  <si>
    <t>MarketPrice</t>
  </si>
  <si>
    <t>MarketDayHigh</t>
  </si>
  <si>
    <t>MarketDayLow</t>
  </si>
  <si>
    <t>MarketPreviousClose</t>
  </si>
  <si>
    <t>MarketTime</t>
  </si>
  <si>
    <t>AverageVolume</t>
  </si>
  <si>
    <t>fiftyTwoWeekHigh</t>
  </si>
  <si>
    <t>fiftyTwoWeekLow</t>
  </si>
  <si>
    <t>targetMeanPrice</t>
  </si>
  <si>
    <t>recommendationMean</t>
  </si>
  <si>
    <t>dividendRate</t>
  </si>
  <si>
    <t>dividendYield</t>
  </si>
  <si>
    <t>exDividendDate</t>
  </si>
  <si>
    <t>earningsDate</t>
  </si>
  <si>
    <t>OK</t>
  </si>
  <si>
    <t>05-Jan-2026 16:13</t>
  </si>
  <si>
    <t>AUD</t>
  </si>
  <si>
    <t>04-Sep-2025</t>
  </si>
  <si>
    <t>05-Jan-2026 16:17</t>
  </si>
  <si>
    <t>20-Aug-2025</t>
  </si>
  <si>
    <t>05-Jan-2026 16:18</t>
  </si>
  <si>
    <t>09-Sep-2025</t>
  </si>
  <si>
    <t>10-Feb-2026</t>
  </si>
  <si>
    <t>05-Jan-2026 16:11</t>
  </si>
  <si>
    <t>16-Sep-2025</t>
  </si>
  <si>
    <t>PARTIAL</t>
  </si>
  <si>
    <t>MissingFields,recommendationMean,dividendRate,dividendYield,exDividendDate,earningsDate</t>
  </si>
  <si>
    <t>05-Jan-2026 16:15</t>
  </si>
  <si>
    <t>05-Jan-2026 16:16</t>
  </si>
  <si>
    <t>02-Sep-2025</t>
  </si>
  <si>
    <t>05-Jan-2026 16:10</t>
  </si>
  <si>
    <t>MissingFields,targetMeanPrice,recommendationMean,dividendRate,dividendYield,exDividendDate,earningsDate</t>
  </si>
  <si>
    <t>MissingFields,recommendationMean,dividendRate,dividendYield,exDividendDate</t>
  </si>
  <si>
    <t>12-Feb-2026</t>
  </si>
  <si>
    <t>05-Jan-2026 15:58</t>
  </si>
  <si>
    <t>06-Jan-2026 06:38</t>
  </si>
  <si>
    <t>USD</t>
  </si>
  <si>
    <t>10-Nov-2025</t>
  </si>
  <si>
    <t>29-Jan-2026</t>
  </si>
  <si>
    <t>06-Jan-2026 06:37</t>
  </si>
  <si>
    <t>24-Nov-2025</t>
  </si>
  <si>
    <t>03-Nov-2025</t>
  </si>
  <si>
    <t>MissingFields,dividendRate,dividendYield,exDividendDate,earningsDate</t>
  </si>
  <si>
    <t>06-Jan-2026 03:35</t>
  </si>
  <si>
    <t>GBp</t>
  </si>
  <si>
    <t>MissingFields,dividendRate,dividendYield,exDividendDate</t>
  </si>
  <si>
    <t>05-Feb-2026</t>
  </si>
  <si>
    <t>06-Jan-2026 02:57</t>
  </si>
  <si>
    <t>EUR</t>
  </si>
  <si>
    <t>06-Jan-2026 03:39</t>
  </si>
  <si>
    <t>28-Oct-2025</t>
  </si>
  <si>
    <t>15-Oct-2025</t>
  </si>
  <si>
    <t>22-Dec-2025</t>
  </si>
  <si>
    <t>04-Mar-2026</t>
  </si>
  <si>
    <t>08-Aug-2025</t>
  </si>
  <si>
    <t>13-Nov-2025</t>
  </si>
  <si>
    <t>06-Jan-2026 06:31</t>
  </si>
  <si>
    <t>14-Jan-2026</t>
  </si>
  <si>
    <t>02-Jan-2026</t>
  </si>
  <si>
    <t>11-Feb-2026</t>
  </si>
  <si>
    <t>23-Oct-2025</t>
  </si>
  <si>
    <t>04-Nov-2025</t>
  </si>
  <si>
    <t>30-Jun-2026</t>
  </si>
  <si>
    <t>04-Feb-2026</t>
  </si>
  <si>
    <t>06-Jan-2026 03:38</t>
  </si>
  <si>
    <t>26-May-2025</t>
  </si>
  <si>
    <t>29-Oct-2025</t>
  </si>
  <si>
    <t>MissingFields,recommendationMean,dividendRate,dividendYield</t>
  </si>
  <si>
    <t>24-Mar-2020</t>
  </si>
  <si>
    <t>30-Oct-2025</t>
  </si>
  <si>
    <t>06-Jan-2026 05:49</t>
  </si>
  <si>
    <t>16-May-2025</t>
  </si>
  <si>
    <t>12-Nov-2025</t>
  </si>
  <si>
    <t>NO_DATA</t>
  </si>
  <si>
    <t>'currentTradingPeriod'</t>
  </si>
  <si>
    <t>05-Dec-2025</t>
  </si>
  <si>
    <t>27-Jan-2026</t>
  </si>
  <si>
    <t>19-Dec-2025</t>
  </si>
  <si>
    <t>04-Dec-2025</t>
  </si>
  <si>
    <t>11-Dec-2025</t>
  </si>
  <si>
    <t>25-Nov-2025</t>
  </si>
  <si>
    <t>06-Jan-2026 06:14</t>
  </si>
  <si>
    <t>27-Nov-2025</t>
  </si>
  <si>
    <t>07-Nov-2025</t>
  </si>
  <si>
    <t>14-Nov-2025</t>
  </si>
  <si>
    <t>05-Mar-2026</t>
  </si>
  <si>
    <t>06-Jan-2026 06:32</t>
  </si>
  <si>
    <t>06-Nov-2025</t>
  </si>
  <si>
    <t>29-Aug-2022</t>
  </si>
  <si>
    <t>19-Feb-2026</t>
  </si>
  <si>
    <t>28-Jan-2026</t>
  </si>
  <si>
    <t>21-Nov-2025</t>
  </si>
  <si>
    <t>23-Jan-2026</t>
  </si>
  <si>
    <t>26-Nov-2025</t>
  </si>
  <si>
    <t>20-Jan-2026</t>
  </si>
  <si>
    <t>18-Feb-2026</t>
  </si>
  <si>
    <t>06-Jan-2026 06:39</t>
  </si>
  <si>
    <t>MissingFields,targetMeanPrice,recommendationMean,dividendRate,dividendYield,earningsDate</t>
  </si>
  <si>
    <t>06-Jan-2026 06:09</t>
  </si>
  <si>
    <t>10-Jan-2013</t>
  </si>
  <si>
    <t>06-Jan-2026 06:22</t>
  </si>
  <si>
    <t>02-May-2025</t>
  </si>
  <si>
    <t>06-Jan-2026 06:19</t>
  </si>
  <si>
    <t>14-May-2025</t>
  </si>
  <si>
    <t>22-Oct-2025</t>
  </si>
  <si>
    <t>06-Jan-2026 05:45</t>
  </si>
  <si>
    <t>30-Sep-2025</t>
  </si>
  <si>
    <t>17-Mar-2026</t>
  </si>
  <si>
    <t>15-Jan-2026</t>
  </si>
  <si>
    <t>19-May-2022</t>
  </si>
  <si>
    <t>14-Jun-2024</t>
  </si>
  <si>
    <t>06-Jan-2026 05:40</t>
  </si>
  <si>
    <t>04-Apr-2025</t>
  </si>
  <si>
    <t>06-Jan-2026 03:30</t>
  </si>
  <si>
    <t>CHF</t>
  </si>
  <si>
    <t>30-Jan-2026</t>
  </si>
  <si>
    <t>05-Nov-2025</t>
  </si>
  <si>
    <t>24-Oct-2025</t>
  </si>
  <si>
    <t>07-Oct-2025</t>
  </si>
  <si>
    <t>10-Jun-2013</t>
  </si>
  <si>
    <t>02-Dec-2025</t>
  </si>
  <si>
    <t>06-Jan-2026 06:20</t>
  </si>
  <si>
    <t>26-Dec-2025</t>
  </si>
  <si>
    <t>09-Jan-2026</t>
  </si>
  <si>
    <t>12-Mar-2025</t>
  </si>
  <si>
    <t>10-Dec-2025</t>
  </si>
  <si>
    <t>03-Feb-2026</t>
  </si>
  <si>
    <t>21-Aug-2015</t>
  </si>
  <si>
    <t>12-Dec-2025</t>
  </si>
  <si>
    <t>13-Mar-2000</t>
  </si>
  <si>
    <t>MissingFields,marketCap,fiftyTwoWeekHigh,fiftyTwoWeekLow,currency,targetMeanPrice,recommendationMean,dividendRate,dividendYield,exDividendDate,earningsDate</t>
  </si>
  <si>
    <t>05-Jan-2026 11:00</t>
  </si>
  <si>
    <t>nan</t>
  </si>
  <si>
    <t>MissingFields,targetMeanPrice,recommendationMean,earningsDate</t>
  </si>
  <si>
    <t>06-Jan-2026 06:34</t>
  </si>
  <si>
    <t>15-Dec-2025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</si>
</sst>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%"/>
    <numFmt numFmtId="166" formatCode="m/d/yy\ h:mm;@"/>
    <numFmt numFmtId="167" formatCode="[$-409]d\-mmm\-yy;@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rgb="FF9C0006"/>
      <name val="Aptos Narrow"/>
      <family val="2"/>
      <scheme val="minor"/>
    </font>
    <font>
      <b/>
      <sz val="12"/>
      <color theme="0"/>
      <name val="Aptos Narrow"/>
    </font>
    <font>
      <b/>
      <sz val="12"/>
      <color theme="0"/>
      <name val="Aptos Narrow"/>
      <family val="2"/>
    </font>
    <font>
      <sz val="16"/>
      <color rgb="FF000000"/>
      <name val="Calibri"/>
      <family val="2"/>
    </font>
    <font>
      <b/>
      <sz val="16"/>
      <color rgb="FF000000"/>
      <name val="Calibri"/>
      <family val="2"/>
    </font>
    <font>
      <sz val="12"/>
      <color rgb="FF000000"/>
      <name val="Aptos Narrow"/>
      <family val="2"/>
      <scheme val="minor"/>
    </font>
    <font>
      <b/>
      <sz val="12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FFC7CE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/>
  </cellStyleXfs>
  <cellXfs count="23">
    <xf numFmtId="0" fontId="0" fillId="0" borderId="0" xfId="0"/>
    <xf numFmtId="0" fontId="0" fillId="2" borderId="0" xfId="0" applyFill="1"/>
    <xf numFmtId="0" fontId="3" fillId="0" borderId="1" xfId="0" applyFont="1" applyBorder="1" applyAlignment="1">
      <alignment horizontal="center" vertical="top"/>
    </xf>
    <xf numFmtId="164" fontId="5" fillId="3" borderId="2" xfId="0" applyNumberFormat="1" applyFont="1" applyFill="1" applyBorder="1"/>
    <xf numFmtId="164" fontId="5" fillId="0" borderId="2" xfId="0" applyNumberFormat="1" applyFont="1" applyBorder="1"/>
    <xf numFmtId="164" fontId="2" fillId="4" borderId="2" xfId="0" applyNumberFormat="1" applyFont="1" applyFill="1" applyBorder="1"/>
    <xf numFmtId="164" fontId="6" fillId="3" borderId="2" xfId="0" applyNumberFormat="1" applyFont="1" applyFill="1" applyBorder="1"/>
    <xf numFmtId="164" fontId="6" fillId="0" borderId="2" xfId="0" applyNumberFormat="1" applyFont="1" applyBorder="1"/>
    <xf numFmtId="164" fontId="5" fillId="5" borderId="2" xfId="0" applyNumberFormat="1" applyFont="1" applyFill="1" applyBorder="1"/>
    <xf numFmtId="164" fontId="6" fillId="5" borderId="2" xfId="0" applyNumberFormat="1" applyFont="1" applyFill="1" applyBorder="1"/>
    <xf numFmtId="0" fontId="7" fillId="0" borderId="0" xfId="0" applyFont="1"/>
    <xf numFmtId="4" fontId="0" fillId="0" borderId="0" xfId="0" applyNumberFormat="1"/>
    <xf numFmtId="0" fontId="4" fillId="0" borderId="1" xfId="0" applyFont="1" applyBorder="1" applyAlignment="1">
      <alignment horizontal="center" vertical="top"/>
    </xf>
    <xf numFmtId="165" fontId="0" fillId="0" borderId="0" xfId="1" applyNumberFormat="1" applyFont="1"/>
    <xf numFmtId="166" fontId="0" fillId="0" borderId="0" xfId="0" applyNumberFormat="1"/>
    <xf numFmtId="10" fontId="1" fillId="0" borderId="0" xfId="1" applyNumberFormat="1"/>
    <xf numFmtId="167" fontId="0" fillId="0" borderId="0" xfId="0" applyNumberFormat="1"/>
    <xf numFmtId="0" fontId="4" fillId="6" borderId="1" xfId="0" applyFont="1" applyFill="1" applyBorder="1" applyAlignment="1">
      <alignment horizontal="center" vertical="top"/>
    </xf>
    <xf numFmtId="0" fontId="4" fillId="7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4" fillId="8" borderId="1" xfId="0" applyFont="1" applyFill="1" applyBorder="1" applyAlignment="1">
      <alignment horizontal="left" vertical="center"/>
    </xf>
    <xf numFmtId="0" fontId="8" fillId="0" borderId="3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23">
    <dxf>
      <numFmt numFmtId="4" formatCode="#,##0.00"/>
    </dxf>
    <dxf>
      <numFmt numFmtId="165" formatCode="0.0%"/>
    </dxf>
    <dxf>
      <numFmt numFmtId="165" formatCode="0.0%"/>
    </dxf>
    <dxf>
      <numFmt numFmtId="167" formatCode="[$-409]d\-mmm\-yy;@"/>
    </dxf>
    <dxf>
      <numFmt numFmtId="167" formatCode="[$-409]d\-mmm\-yy;@"/>
    </dxf>
    <dxf>
      <numFmt numFmtId="14" formatCode="0.00%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  <alignment horizontal="center" vertical="bottom"/>
    </dxf>
    <dxf>
      <numFmt numFmtId="4" formatCode="#,##0.00"/>
    </dxf>
    <dxf>
      <numFmt numFmtId="4" formatCode="#,##0.00"/>
    </dxf>
    <dxf>
      <numFmt numFmtId="3" formatCode="#,##0"/>
    </dxf>
    <dxf>
      <numFmt numFmtId="3" formatCode="#,##0"/>
    </dxf>
    <dxf>
      <numFmt numFmtId="166" formatCode="m/d/yy\ h:mm;@"/>
    </dxf>
    <dxf>
      <numFmt numFmtId="168" formatCode="_(* #,##0_);_(* \(#,##0\);_(* &quot;-&quot;??_);_(@_)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6"/>
        <color rgb="FF000000"/>
        <name val="Calibri"/>
        <family val="2"/>
      </font>
      <numFmt numFmtId="164" formatCode="0.00_);[Red]\(0.00\)"/>
      <border>
        <left style="thin">
          <color rgb="FF8EA9DB"/>
        </left>
        <right/>
        <top style="thin">
          <color rgb="FF8EA9DB"/>
        </top>
        <bottom style="thin">
          <color rgb="FF8EA9DB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E16:AD110" totalsRowShown="0">
  <autoFilter ref="E16:AD110" xr:uid="{00000000-0009-0000-0100-000001000000}"/>
  <tableColumns count="26">
    <tableColumn id="1" xr3:uid="{00000000-0010-0000-0000-000001000000}" name="OldTick" dataDxfId="22"/>
    <tableColumn id="2" xr3:uid="{00000000-0010-0000-0000-000002000000}" name="Ex"/>
    <tableColumn id="3" xr3:uid="{00000000-0010-0000-0000-000003000000}" name="Look" dataDxfId="21">
      <calculatedColumnFormula>IF(OR(LEFT(E17,3)="SAF",LEFT(E17,3)="MVE",LEFT(E17,2)="JB"),MID(E17,IF(LEFT(E17,2)="JB",3,4),LEN(E17)-2),E17)&amp;F17</calculatedColumnFormula>
    </tableColumn>
    <tableColumn id="4" xr3:uid="{00000000-0010-0000-0000-000004000000}" name="Open" dataDxfId="20">
      <calculatedColumnFormula>VALUE(_xlfn.XLOOKUP($G17,LatestData!$A$17:$A$89,LatestData!D$17:D$89))</calculatedColumnFormula>
    </tableColumn>
    <tableColumn id="5" xr3:uid="{00000000-0010-0000-0000-000005000000}" name="Price" dataDxfId="19">
      <calculatedColumnFormula>VALUE(_xlfn.XLOOKUP($G17,LatestData!$A$17:$A$89,LatestData!E$17:E$89))</calculatedColumnFormula>
    </tableColumn>
    <tableColumn id="6" xr3:uid="{00000000-0010-0000-0000-000006000000}" name="High" dataDxfId="18">
      <calculatedColumnFormula>VALUE(_xlfn.XLOOKUP($G17,LatestData!$A$17:$A$89,LatestData!F$17:F$89))</calculatedColumnFormula>
    </tableColumn>
    <tableColumn id="7" xr3:uid="{00000000-0010-0000-0000-000007000000}" name="Low" dataDxfId="17">
      <calculatedColumnFormula>VALUE(_xlfn.XLOOKUP($G17,LatestData!$A$17:$A$89,LatestData!G$17:G$89))</calculatedColumnFormula>
    </tableColumn>
    <tableColumn id="8" xr3:uid="{00000000-0010-0000-0000-000008000000}" name="PreviousClose" dataDxfId="16">
      <calculatedColumnFormula>VALUE(_xlfn.XLOOKUP($G17,LatestData!$A$17:$A$89,LatestData!H$17:H$89))</calculatedColumnFormula>
    </tableColumn>
    <tableColumn id="9" xr3:uid="{00000000-0010-0000-0000-000009000000}" name="Volume" dataDxfId="15">
      <calculatedColumnFormula>VALUE(_xlfn.XLOOKUP($G17,LatestData!$A$17:$A$89,LatestData!I$17:I$89))</calculatedColumnFormula>
    </tableColumn>
    <tableColumn id="10" xr3:uid="{00000000-0010-0000-0000-00000A000000}" name="Time" dataDxfId="14">
      <calculatedColumnFormula>VALUE(_xlfn.XLOOKUP($G17,LatestData!$A$17:$A$89,LatestData!J$17:J$89))</calculatedColumnFormula>
    </tableColumn>
    <tableColumn id="11" xr3:uid="{00000000-0010-0000-0000-00000B000000}" name="Av_Volume" dataDxfId="13">
      <calculatedColumnFormula>VALUE(_xlfn.XLOOKUP($G17,LatestData!$A$17:$A$89,LatestData!K$17:K$89))</calculatedColumnFormula>
    </tableColumn>
    <tableColumn id="12" xr3:uid="{00000000-0010-0000-0000-00000C000000}" name="marketCap" dataDxfId="12">
      <calculatedColumnFormula>VALUE(_xlfn.XLOOKUP($G17,LatestData!$A$17:$A$89,LatestData!L$17:L$89))</calculatedColumnFormula>
    </tableColumn>
    <tableColumn id="13" xr3:uid="{00000000-0010-0000-0000-00000D000000}" name="Week52High" dataDxfId="11">
      <calculatedColumnFormula>VALUE(_xlfn.XLOOKUP($G17,LatestData!$A$17:$A$89,LatestData!M$17:M$89))</calculatedColumnFormula>
    </tableColumn>
    <tableColumn id="14" xr3:uid="{00000000-0010-0000-0000-00000E000000}" name="Week52Low" dataDxfId="10">
      <calculatedColumnFormula>VALUE(_xlfn.XLOOKUP($G17,LatestData!$A$17:$A$89,LatestData!N$17:N$89))</calculatedColumnFormula>
    </tableColumn>
    <tableColumn id="15" xr3:uid="{00000000-0010-0000-0000-00000F000000}" name="currency" dataDxfId="9">
      <calculatedColumnFormula>_xlfn.XLOOKUP($G17,LatestData!$A$17:$A$89,LatestData!O$17:O$89)</calculatedColumnFormula>
    </tableColumn>
    <tableColumn id="16" xr3:uid="{00000000-0010-0000-0000-000010000000}" name="T1Y_Mean" dataDxfId="8">
      <calculatedColumnFormula>VALUE(_xlfn.XLOOKUP($G17,LatestData!$A$17:$A$89,LatestData!P$17:P$89))</calculatedColumnFormula>
    </tableColumn>
    <tableColumn id="17" xr3:uid="{00000000-0010-0000-0000-000011000000}" name="Advice_Mean" dataDxfId="7">
      <calculatedColumnFormula>VALUE(_xlfn.XLOOKUP($G17,LatestData!$A$17:$A$89,LatestData!Q$17:Q$89))</calculatedColumnFormula>
    </tableColumn>
    <tableColumn id="18" xr3:uid="{00000000-0010-0000-0000-000012000000}" name="Div" dataDxfId="6">
      <calculatedColumnFormula>VALUE(_xlfn.XLOOKUP($G17,LatestData!$A$17:$A$89,LatestData!R$17:R$89))</calculatedColumnFormula>
    </tableColumn>
    <tableColumn id="19" xr3:uid="{00000000-0010-0000-0000-000013000000}" name="DivYield" dataDxfId="5" dataCellStyle="Percent">
      <calculatedColumnFormula>VALUE(_xlfn.XLOOKUP($G17,LatestData!$A$17:$A$89,LatestData!S$17:S$89)%)</calculatedColumnFormula>
    </tableColumn>
    <tableColumn id="20" xr3:uid="{00000000-0010-0000-0000-000014000000}" name="exDiv_Date" dataDxfId="4">
      <calculatedColumnFormula>VALUE(_xlfn.XLOOKUP($G17,LatestData!$A$17:$A$89,LatestData!T$17:T$89))</calculatedColumnFormula>
    </tableColumn>
    <tableColumn id="21" xr3:uid="{00000000-0010-0000-0000-000015000000}" name="EarnDate" dataDxfId="3">
      <calculatedColumnFormula>VALUE(_xlfn.XLOOKUP($G17,LatestData!$A$17:$A$89,LatestData!U$17:U$89))</calculatedColumnFormula>
    </tableColumn>
    <tableColumn id="22" xr3:uid="{00000000-0010-0000-0000-000016000000}" name="Op_Cl" dataDxfId="2" dataCellStyle="Percent">
      <calculatedColumnFormula>IFERROR((Table2[[#This Row],[Open]]-Table2[[#This Row],[PreviousClose]])/Table2[[#This Row],[PreviousClose]],0)</calculatedColumnFormula>
    </tableColumn>
    <tableColumn id="23" xr3:uid="{00000000-0010-0000-0000-000017000000}" name="M_Op" dataDxfId="1" dataCellStyle="Percent">
      <calculatedColumnFormula>IFERROR((Table2[[#This Row],[Price]]-Table2[[#This Row],[Open]])/Table2[[#This Row],[Open]],0)</calculatedColumnFormula>
    </tableColumn>
    <tableColumn id="24" xr3:uid="{00000000-0010-0000-0000-000018000000}" name="M_Cl" dataDxfId="0">
      <calculatedColumnFormula>Table2[[#This Row],[Price]]-Table2[[#This Row],[PreviousClose]]</calculatedColumnFormula>
    </tableColumn>
    <tableColumn id="25" xr3:uid="{00000000-0010-0000-0000-000019000000}" name="M_V_Open"/>
    <tableColumn id="26" xr3:uid="{00000000-0010-0000-0000-00001A000000}" name="M_V_Now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Tdata" displayName="RTdata" ref="A1:U110">
  <autoFilter ref="A1:U110" xr:uid="{00000000-0009-0000-0100-000002000000}"/>
  <tableColumns count="21">
    <tableColumn id="1" xr3:uid="{00000000-0010-0000-0100-000001000000}" name="Ticker"/>
    <tableColumn id="2" xr3:uid="{00000000-0010-0000-0100-000002000000}" name="Status"/>
    <tableColumn id="3" xr3:uid="{00000000-0010-0000-0100-000003000000}" name="MissingFields"/>
    <tableColumn id="4" xr3:uid="{00000000-0010-0000-0100-000004000000}" name="Open"/>
    <tableColumn id="5" xr3:uid="{00000000-0010-0000-0100-000005000000}" name="MarketPrice"/>
    <tableColumn id="6" xr3:uid="{00000000-0010-0000-0100-000006000000}" name="MarketDayHigh"/>
    <tableColumn id="7" xr3:uid="{00000000-0010-0000-0100-000007000000}" name="MarketDayLow"/>
    <tableColumn id="8" xr3:uid="{00000000-0010-0000-0100-000008000000}" name="MarketPreviousClose"/>
    <tableColumn id="9" xr3:uid="{00000000-0010-0000-0100-000009000000}" name="Volume"/>
    <tableColumn id="10" xr3:uid="{00000000-0010-0000-0100-00000A000000}" name="MarketTime"/>
    <tableColumn id="11" xr3:uid="{00000000-0010-0000-0100-00000B000000}" name="AverageVolume"/>
    <tableColumn id="12" xr3:uid="{00000000-0010-0000-0100-00000C000000}" name="marketCap"/>
    <tableColumn id="13" xr3:uid="{00000000-0010-0000-0100-00000D000000}" name="fiftyTwoWeekHigh"/>
    <tableColumn id="14" xr3:uid="{00000000-0010-0000-0100-00000E000000}" name="fiftyTwoWeekLow"/>
    <tableColumn id="15" xr3:uid="{00000000-0010-0000-0100-00000F000000}" name="currency"/>
    <tableColumn id="16" xr3:uid="{00000000-0010-0000-0100-000010000000}" name="targetMeanPrice"/>
    <tableColumn id="17" xr3:uid="{00000000-0010-0000-0100-000011000000}" name="recommendationMean"/>
    <tableColumn id="18" xr3:uid="{00000000-0010-0000-0100-000012000000}" name="dividendRate"/>
    <tableColumn id="19" xr3:uid="{00000000-0010-0000-0100-000013000000}" name="dividendYield"/>
    <tableColumn id="20" xr3:uid="{00000000-0010-0000-0100-000014000000}" name="exDividendDate"/>
    <tableColumn id="21" xr3:uid="{00000000-0010-0000-0100-000015000000}" name="earnings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D110"/>
  <sheetViews>
    <sheetView tabSelected="1" topLeftCell="H1" workbookViewId="0">
      <selection activeCell="J4" sqref="J4"/>
    </sheetView>
  </sheetViews>
  <sheetFormatPr baseColWidth="10" defaultRowHeight="16" x14ac:dyDescent="0.2"/>
  <cols>
    <col min="5" max="5" width="13.6640625" bestFit="1" customWidth="1"/>
    <col min="8" max="8" width="11" customWidth="1"/>
    <col min="13" max="13" width="12.5" bestFit="1" customWidth="1"/>
    <col min="14" max="14" width="11.33203125" bestFit="1" customWidth="1"/>
    <col min="15" max="15" width="14" bestFit="1" customWidth="1"/>
    <col min="16" max="16" width="18.83203125" bestFit="1" customWidth="1"/>
    <col min="18" max="18" width="16.33203125" bestFit="1" customWidth="1"/>
    <col min="19" max="19" width="10.83203125" style="19" customWidth="1"/>
    <col min="24" max="25" width="12.33203125" bestFit="1" customWidth="1"/>
  </cols>
  <sheetData>
    <row r="1" spans="1:30" x14ac:dyDescent="0.2">
      <c r="A1" t="s">
        <v>0</v>
      </c>
    </row>
    <row r="2" spans="1:30" x14ac:dyDescent="0.2">
      <c r="A2" t="s">
        <v>1</v>
      </c>
    </row>
    <row r="3" spans="1:30" x14ac:dyDescent="0.2">
      <c r="A3" t="s">
        <v>2</v>
      </c>
    </row>
    <row r="4" spans="1:30" x14ac:dyDescent="0.2">
      <c r="A4" t="s">
        <v>3</v>
      </c>
    </row>
    <row r="5" spans="1:30" x14ac:dyDescent="0.2">
      <c r="A5" t="s">
        <v>4</v>
      </c>
    </row>
    <row r="6" spans="1:30" x14ac:dyDescent="0.2">
      <c r="A6" t="s">
        <v>5</v>
      </c>
    </row>
    <row r="7" spans="1:30" x14ac:dyDescent="0.2">
      <c r="A7" t="s">
        <v>6</v>
      </c>
    </row>
    <row r="8" spans="1:30" x14ac:dyDescent="0.2">
      <c r="A8" t="s">
        <v>7</v>
      </c>
    </row>
    <row r="9" spans="1:30" x14ac:dyDescent="0.2">
      <c r="A9" t="s">
        <v>8</v>
      </c>
    </row>
    <row r="10" spans="1:30" x14ac:dyDescent="0.2">
      <c r="A10" t="s">
        <v>9</v>
      </c>
    </row>
    <row r="11" spans="1:30" x14ac:dyDescent="0.2">
      <c r="A11" t="s">
        <v>10</v>
      </c>
    </row>
    <row r="12" spans="1:30" x14ac:dyDescent="0.2">
      <c r="A12" t="s">
        <v>9</v>
      </c>
    </row>
    <row r="13" spans="1:30" x14ac:dyDescent="0.2">
      <c r="A13" t="s">
        <v>11</v>
      </c>
    </row>
    <row r="14" spans="1:30" x14ac:dyDescent="0.2">
      <c r="A14" t="s">
        <v>12</v>
      </c>
    </row>
    <row r="15" spans="1:30" x14ac:dyDescent="0.2">
      <c r="A15" t="s">
        <v>13</v>
      </c>
      <c r="H15">
        <f>VALUE(_xlfn.XLOOKUP($G17,LatestData!$A$17:$A$89,LatestData!D$17:D$89))</f>
        <v>270.71499633789062</v>
      </c>
      <c r="I15">
        <f>VALUE(_xlfn.XLOOKUP($G17,LatestData!$A$17:$A$89,LatestData!E$17:E$89))</f>
        <v>266.65509033203119</v>
      </c>
      <c r="J15">
        <f>VALUE(_xlfn.XLOOKUP($G17,LatestData!$A$17:$A$89,LatestData!F$17:F$89))</f>
        <v>271.5</v>
      </c>
      <c r="K15">
        <f>VALUE(_xlfn.XLOOKUP($G17,LatestData!$A$17:$A$89,LatestData!G$17:G$89))</f>
        <v>266.1400146484375</v>
      </c>
      <c r="L15">
        <f>VALUE(_xlfn.XLOOKUP($G17,LatestData!$A$17:$A$89,LatestData!H$17:H$89))</f>
        <v>270.98</v>
      </c>
      <c r="M15">
        <f>VALUE(_xlfn.XLOOKUP($G17,LatestData!$A$17:$A$89,LatestData!I$17:I$89))</f>
        <v>25661911</v>
      </c>
      <c r="N15">
        <f>VALUE(_xlfn.XLOOKUP($G17,LatestData!$A$17:$A$89,LatestData!J$17:J$89))</f>
        <v>46028.276388888888</v>
      </c>
      <c r="O15">
        <f>VALUE(_xlfn.XLOOKUP($G17,LatestData!$A$17:$A$89,LatestData!K$17:K$89))</f>
        <v>25152158.714285709</v>
      </c>
      <c r="P15">
        <f>VALUE(_xlfn.XLOOKUP($G17,LatestData!$A$17:$A$89,LatestData!L$17:L$89))</f>
        <v>3957265530880</v>
      </c>
      <c r="Q15">
        <f>VALUE(_xlfn.XLOOKUP($G17,LatestData!$A$17:$A$89,LatestData!M$17:M$89))</f>
        <v>288.62</v>
      </c>
      <c r="R15">
        <f>VALUE(_xlfn.XLOOKUP($G17,LatestData!$A$17:$A$89,LatestData!N$17:N$89))</f>
        <v>169.21</v>
      </c>
      <c r="S15" s="19" t="str">
        <f>_xlfn.XLOOKUP($G17,LatestData!$A$17:$A$89,LatestData!O$17:O$89)</f>
        <v>USD</v>
      </c>
      <c r="T15">
        <f>VALUE(_xlfn.XLOOKUP($G17,LatestData!$A$17:$A$89,LatestData!P$17:P$89))</f>
        <v>287.70681999999999</v>
      </c>
      <c r="U15">
        <f>VALUE(_xlfn.XLOOKUP($G17,LatestData!$A$17:$A$89,LatestData!Q$17:Q$89))</f>
        <v>2</v>
      </c>
      <c r="V15">
        <f>VALUE(_xlfn.XLOOKUP($G17,LatestData!$A$17:$A$89,LatestData!R$17:R$89))</f>
        <v>1.04</v>
      </c>
      <c r="W15">
        <f>VALUE(_xlfn.XLOOKUP($G17,LatestData!$A$17:$A$89,LatestData!S$17:S$89)%)</f>
        <v>3.8E-3</v>
      </c>
      <c r="X15">
        <f>VALUE(_xlfn.XLOOKUP($G17,LatestData!$A$17:$A$89,LatestData!T$17:T$89))</f>
        <v>45971</v>
      </c>
      <c r="Y15">
        <f>VALUE(_xlfn.XLOOKUP($G17,LatestData!$A$17:$A$89,LatestData!U$17:U$89))</f>
        <v>46051</v>
      </c>
    </row>
    <row r="16" spans="1:30" x14ac:dyDescent="0.2">
      <c r="A16" t="s">
        <v>14</v>
      </c>
      <c r="E16" t="s">
        <v>15</v>
      </c>
      <c r="F16" t="s">
        <v>16</v>
      </c>
      <c r="G16" t="s">
        <v>17</v>
      </c>
      <c r="H16" s="2" t="s">
        <v>18</v>
      </c>
      <c r="I16" s="17" t="s">
        <v>19</v>
      </c>
      <c r="J16" s="12" t="s">
        <v>20</v>
      </c>
      <c r="K16" s="12" t="s">
        <v>21</v>
      </c>
      <c r="L16" s="12" t="s">
        <v>22</v>
      </c>
      <c r="M16" s="2" t="s">
        <v>23</v>
      </c>
      <c r="N16" s="18" t="s">
        <v>24</v>
      </c>
      <c r="O16" s="12" t="s">
        <v>25</v>
      </c>
      <c r="P16" s="12" t="s">
        <v>26</v>
      </c>
      <c r="Q16" s="12" t="s">
        <v>27</v>
      </c>
      <c r="R16" s="12" t="s">
        <v>28</v>
      </c>
      <c r="S16" s="21" t="s">
        <v>29</v>
      </c>
      <c r="T16" s="12" t="s">
        <v>30</v>
      </c>
      <c r="U16" s="12" t="s">
        <v>31</v>
      </c>
      <c r="V16" s="12" t="s">
        <v>32</v>
      </c>
      <c r="W16" s="12" t="s">
        <v>33</v>
      </c>
      <c r="X16" s="18" t="s">
        <v>34</v>
      </c>
      <c r="Y16" s="18" t="s">
        <v>35</v>
      </c>
      <c r="Z16" t="s">
        <v>36</v>
      </c>
      <c r="AA16" t="s">
        <v>37</v>
      </c>
      <c r="AB16" t="s">
        <v>38</v>
      </c>
      <c r="AC16" t="s">
        <v>39</v>
      </c>
      <c r="AD16" t="s">
        <v>40</v>
      </c>
    </row>
    <row r="17" spans="1:28" ht="21" customHeight="1" x14ac:dyDescent="0.25">
      <c r="A17" s="1" t="s">
        <v>41</v>
      </c>
      <c r="E17" s="3" t="s">
        <v>41</v>
      </c>
      <c r="G17" t="str">
        <f t="shared" ref="G17:G48" si="0">IF(OR(LEFT(E17,3)="SAF",LEFT(E17,3)="MVE",LEFT(E17,2)="JB"),MID(E17,IF(LEFT(E17,2)="JB",3,4),LEN(E17)-2),E17)&amp;F17</f>
        <v>AAPL</v>
      </c>
      <c r="H17" s="11">
        <f>VALUE(_xlfn.XLOOKUP($G17,LatestData!$A$17:$A$89,LatestData!D$17:D$89))</f>
        <v>270.71499633789062</v>
      </c>
      <c r="I17" s="11">
        <f>VALUE(_xlfn.XLOOKUP($G17,LatestData!$A$17:$A$89,LatestData!E$17:E$89))</f>
        <v>266.65509033203119</v>
      </c>
      <c r="J17" s="11">
        <f>VALUE(_xlfn.XLOOKUP($G17,LatestData!$A$17:$A$89,LatestData!F$17:F$89))</f>
        <v>271.5</v>
      </c>
      <c r="K17" s="11">
        <f>VALUE(_xlfn.XLOOKUP($G17,LatestData!$A$17:$A$89,LatestData!G$17:G$89))</f>
        <v>266.1400146484375</v>
      </c>
      <c r="L17" s="11">
        <f>VALUE(_xlfn.XLOOKUP($G17,LatestData!$A$17:$A$89,LatestData!H$17:H$89))</f>
        <v>270.98</v>
      </c>
      <c r="M17" s="11">
        <f>VALUE(_xlfn.XLOOKUP($G17,LatestData!$A$17:$A$89,LatestData!I$17:I$89))</f>
        <v>25661911</v>
      </c>
      <c r="N17" s="14">
        <f>VALUE(_xlfn.XLOOKUP($G17,LatestData!$A$17:$A$89,LatestData!J$17:J$89))</f>
        <v>46028.276388888888</v>
      </c>
      <c r="O17" s="11">
        <f>VALUE(_xlfn.XLOOKUP($G17,LatestData!$A$17:$A$89,LatestData!K$17:K$89))</f>
        <v>25152158.714285709</v>
      </c>
      <c r="P17" s="11">
        <f>VALUE(_xlfn.XLOOKUP($G17,LatestData!$A$17:$A$89,LatestData!L$17:L$89))</f>
        <v>3957265530880</v>
      </c>
      <c r="Q17" s="11">
        <f>VALUE(_xlfn.XLOOKUP($G17,LatestData!$A$17:$A$89,LatestData!M$17:M$89))</f>
        <v>288.62</v>
      </c>
      <c r="R17" s="11">
        <f>VALUE(_xlfn.XLOOKUP($G17,LatestData!$A$17:$A$89,LatestData!N$17:N$89))</f>
        <v>169.21</v>
      </c>
      <c r="S17" s="20" t="str">
        <f>_xlfn.XLOOKUP($G17,LatestData!$A$17:$A$89,LatestData!O$17:O$89)</f>
        <v>USD</v>
      </c>
      <c r="T17" s="11">
        <f>VALUE(_xlfn.XLOOKUP($G17,LatestData!$A$17:$A$89,LatestData!P$17:P$89))</f>
        <v>287.70681999999999</v>
      </c>
      <c r="U17" s="11">
        <f>VALUE(_xlfn.XLOOKUP($G17,LatestData!$A$17:$A$89,LatestData!Q$17:Q$89))</f>
        <v>2</v>
      </c>
      <c r="V17" s="11">
        <f>VALUE(_xlfn.XLOOKUP($G17,LatestData!$A$17:$A$89,LatestData!R$17:R$89))</f>
        <v>1.04</v>
      </c>
      <c r="W17" s="15">
        <f>VALUE(_xlfn.XLOOKUP($G17,LatestData!$A$17:$A$89,LatestData!S$17:S$89)%)</f>
        <v>3.8E-3</v>
      </c>
      <c r="X17" s="16">
        <f>VALUE(_xlfn.XLOOKUP($G17,LatestData!$A$17:$A$89,LatestData!T$17:T$89))</f>
        <v>45971</v>
      </c>
      <c r="Y17" s="16">
        <f>VALUE(_xlfn.XLOOKUP($G17,LatestData!$A$17:$A$89,LatestData!U$17:U$89))</f>
        <v>46051</v>
      </c>
      <c r="Z17" s="13">
        <f>IFERROR((Table2[[#This Row],[Open]]-Table2[[#This Row],[PreviousClose]])/Table2[[#This Row],[PreviousClose]],0)</f>
        <v>-9.7794546501362898E-4</v>
      </c>
      <c r="AA17" s="13">
        <f>IFERROR((Table2[[#This Row],[Price]]-Table2[[#This Row],[Open]])/Table2[[#This Row],[Open]],0)</f>
        <v>-1.4996974902683613E-2</v>
      </c>
      <c r="AB17" s="11">
        <f>Table2[[#This Row],[Price]]-Table2[[#This Row],[PreviousClose]]</f>
        <v>-4.324909667968825</v>
      </c>
    </row>
    <row r="18" spans="1:28" ht="21" customHeight="1" x14ac:dyDescent="0.25">
      <c r="A18" s="1" t="s">
        <v>42</v>
      </c>
      <c r="E18" s="4" t="s">
        <v>42</v>
      </c>
      <c r="G18" t="str">
        <f t="shared" si="0"/>
        <v>ADEA</v>
      </c>
      <c r="H18" s="11">
        <f>VALUE(_xlfn.XLOOKUP($G18,LatestData!$A$17:$A$89,LatestData!D$17:D$89))</f>
        <v>17.739999771118161</v>
      </c>
      <c r="I18" s="11">
        <f>VALUE(_xlfn.XLOOKUP($G18,LatestData!$A$17:$A$89,LatestData!E$17:E$89))</f>
        <v>18.75</v>
      </c>
      <c r="J18" s="11">
        <f>VALUE(_xlfn.XLOOKUP($G18,LatestData!$A$17:$A$89,LatestData!F$17:F$89))</f>
        <v>19.010000228881839</v>
      </c>
      <c r="K18" s="11">
        <f>VALUE(_xlfn.XLOOKUP($G18,LatestData!$A$17:$A$89,LatestData!G$17:G$89))</f>
        <v>17.680000305175781</v>
      </c>
      <c r="L18" s="11">
        <f>VALUE(_xlfn.XLOOKUP($G18,LatestData!$A$17:$A$89,LatestData!H$17:H$89))</f>
        <v>17.3</v>
      </c>
      <c r="M18" s="11">
        <f>VALUE(_xlfn.XLOOKUP($G18,LatestData!$A$17:$A$89,LatestData!I$17:I$89))</f>
        <v>858438</v>
      </c>
      <c r="N18" s="14">
        <f>VALUE(_xlfn.XLOOKUP($G18,LatestData!$A$17:$A$89,LatestData!J$17:J$89))</f>
        <v>46028.275694444441</v>
      </c>
      <c r="O18" s="11">
        <f>VALUE(_xlfn.XLOOKUP($G18,LatestData!$A$17:$A$89,LatestData!K$17:K$89))</f>
        <v>839640.28571428568</v>
      </c>
      <c r="P18" s="11">
        <f>VALUE(_xlfn.XLOOKUP($G18,LatestData!$A$17:$A$89,LatestData!L$17:L$89))</f>
        <v>2053316096</v>
      </c>
      <c r="Q18" s="11">
        <f>VALUE(_xlfn.XLOOKUP($G18,LatestData!$A$17:$A$89,LatestData!M$17:M$89))</f>
        <v>19.010000000000002</v>
      </c>
      <c r="R18" s="11">
        <f>VALUE(_xlfn.XLOOKUP($G18,LatestData!$A$17:$A$89,LatestData!N$17:N$89))</f>
        <v>10.59</v>
      </c>
      <c r="S18" s="20" t="str">
        <f>_xlfn.XLOOKUP($G18,LatestData!$A$17:$A$89,LatestData!O$17:O$89)</f>
        <v>USD</v>
      </c>
      <c r="T18" s="11">
        <f>VALUE(_xlfn.XLOOKUP($G18,LatestData!$A$17:$A$89,LatestData!P$17:P$89))</f>
        <v>22.75</v>
      </c>
      <c r="U18" s="11">
        <f>VALUE(_xlfn.XLOOKUP($G18,LatestData!$A$17:$A$89,LatestData!Q$17:Q$89))</f>
        <v>1.5</v>
      </c>
      <c r="V18" s="11">
        <f>VALUE(_xlfn.XLOOKUP($G18,LatestData!$A$17:$A$89,LatestData!R$17:R$89))</f>
        <v>0.2</v>
      </c>
      <c r="W18" s="15">
        <f>VALUE(_xlfn.XLOOKUP($G18,LatestData!$A$17:$A$89,LatestData!S$17:S$89)%)</f>
        <v>1.1399999999999999E-2</v>
      </c>
      <c r="X18" s="16">
        <f>VALUE(_xlfn.XLOOKUP($G18,LatestData!$A$17:$A$89,LatestData!T$17:T$89))</f>
        <v>45985</v>
      </c>
      <c r="Y18" s="16">
        <f>VALUE(_xlfn.XLOOKUP($G18,LatestData!$A$17:$A$89,LatestData!U$17:U$89))</f>
        <v>45964</v>
      </c>
      <c r="Z18" s="13">
        <f>IFERROR((Table2[[#This Row],[Open]]-Table2[[#This Row],[PreviousClose]])/Table2[[#This Row],[PreviousClose]],0)</f>
        <v>2.5433512781396519E-2</v>
      </c>
      <c r="AA18" s="13">
        <f>IFERROR((Table2[[#This Row],[Price]]-Table2[[#This Row],[Open]])/Table2[[#This Row],[Open]],0)</f>
        <v>5.6933497289339517E-2</v>
      </c>
      <c r="AB18" s="11">
        <f>Table2[[#This Row],[Price]]-Table2[[#This Row],[PreviousClose]]</f>
        <v>1.4499999999999993</v>
      </c>
    </row>
    <row r="19" spans="1:28" ht="21" customHeight="1" x14ac:dyDescent="0.25">
      <c r="A19" s="1" t="s">
        <v>43</v>
      </c>
      <c r="E19" s="3" t="s">
        <v>44</v>
      </c>
      <c r="F19" t="s">
        <v>45</v>
      </c>
      <c r="G19" t="str">
        <f t="shared" si="0"/>
        <v>AET.L</v>
      </c>
      <c r="H19" s="11">
        <f>VALUE(_xlfn.XLOOKUP($G19,LatestData!$A$17:$A$89,LatestData!D$17:D$89))</f>
        <v>43.900001525878913</v>
      </c>
      <c r="I19" s="11">
        <f>VALUE(_xlfn.XLOOKUP($G19,LatestData!$A$17:$A$89,LatestData!E$17:E$89))</f>
        <v>41.099998474121087</v>
      </c>
      <c r="J19" s="11">
        <f>VALUE(_xlfn.XLOOKUP($G19,LatestData!$A$17:$A$89,LatestData!F$17:F$89))</f>
        <v>43.900001525878913</v>
      </c>
      <c r="K19" s="11">
        <f>VALUE(_xlfn.XLOOKUP($G19,LatestData!$A$17:$A$89,LatestData!G$17:G$89))</f>
        <v>40.849998474121087</v>
      </c>
      <c r="L19" s="11">
        <f>VALUE(_xlfn.XLOOKUP($G19,LatestData!$A$17:$A$89,LatestData!H$17:H$89))</f>
        <v>42</v>
      </c>
      <c r="M19" s="11">
        <f>VALUE(_xlfn.XLOOKUP($G19,LatestData!$A$17:$A$89,LatestData!I$17:I$89))</f>
        <v>466830</v>
      </c>
      <c r="N19" s="14">
        <f>VALUE(_xlfn.XLOOKUP($G19,LatestData!$A$17:$A$89,LatestData!J$17:J$89))</f>
        <v>46028.149305555555</v>
      </c>
      <c r="O19" s="11">
        <f>VALUE(_xlfn.XLOOKUP($G19,LatestData!$A$17:$A$89,LatestData!K$17:K$89))</f>
        <v>598055.71428571432</v>
      </c>
      <c r="P19" s="11">
        <f>VALUE(_xlfn.XLOOKUP($G19,LatestData!$A$17:$A$89,LatestData!L$17:L$89))</f>
        <v>92950112</v>
      </c>
      <c r="Q19" s="11">
        <f>VALUE(_xlfn.XLOOKUP($G19,LatestData!$A$17:$A$89,LatestData!M$17:M$89))</f>
        <v>56.2</v>
      </c>
      <c r="R19" s="11">
        <f>VALUE(_xlfn.XLOOKUP($G19,LatestData!$A$17:$A$89,LatestData!N$17:N$89))</f>
        <v>33.064999999999998</v>
      </c>
      <c r="S19" s="20" t="str">
        <f>_xlfn.XLOOKUP($G19,LatestData!$A$17:$A$89,LatestData!O$17:O$89)</f>
        <v>GBp</v>
      </c>
      <c r="T19" s="11">
        <f>VALUE(_xlfn.XLOOKUP($G19,LatestData!$A$17:$A$89,LatestData!P$17:P$89))</f>
        <v>95.26</v>
      </c>
      <c r="U19" s="11">
        <f>VALUE(_xlfn.XLOOKUP($G19,LatestData!$A$17:$A$89,LatestData!Q$17:Q$89))</f>
        <v>1</v>
      </c>
      <c r="V19" s="11">
        <f>VALUE(_xlfn.XLOOKUP($G19,LatestData!$A$17:$A$89,LatestData!R$17:R$89))</f>
        <v>0</v>
      </c>
      <c r="W19" s="15">
        <f>VALUE(_xlfn.XLOOKUP($G19,LatestData!$A$17:$A$89,LatestData!S$17:S$89)%)</f>
        <v>0</v>
      </c>
      <c r="X19" s="16">
        <f>VALUE(_xlfn.XLOOKUP($G19,LatestData!$A$17:$A$89,LatestData!T$17:T$89))</f>
        <v>0</v>
      </c>
      <c r="Y19" s="16">
        <f>VALUE(_xlfn.XLOOKUP($G19,LatestData!$A$17:$A$89,LatestData!U$17:U$89))</f>
        <v>0</v>
      </c>
      <c r="Z19" s="13">
        <f>IFERROR((Table2[[#This Row],[Open]]-Table2[[#This Row],[PreviousClose]])/Table2[[#This Row],[PreviousClose]],0)</f>
        <v>4.5238131568545559E-2</v>
      </c>
      <c r="AA19" s="13">
        <f>IFERROR((Table2[[#This Row],[Price]]-Table2[[#This Row],[Open]])/Table2[[#This Row],[Open]],0)</f>
        <v>-6.3781388483716422E-2</v>
      </c>
      <c r="AB19" s="11">
        <f>Table2[[#This Row],[Price]]-Table2[[#This Row],[PreviousClose]]</f>
        <v>-0.90000152587891336</v>
      </c>
    </row>
    <row r="20" spans="1:28" ht="21" customHeight="1" x14ac:dyDescent="0.25">
      <c r="A20" s="1" t="s">
        <v>46</v>
      </c>
      <c r="E20" s="4" t="s">
        <v>46</v>
      </c>
      <c r="G20" t="str">
        <f t="shared" si="0"/>
        <v>AMZN</v>
      </c>
      <c r="H20" s="11">
        <f>VALUE(_xlfn.XLOOKUP($G20,LatestData!$A$17:$A$89,LatestData!D$17:D$89))</f>
        <v>228.86500549316409</v>
      </c>
      <c r="I20" s="11">
        <f>VALUE(_xlfn.XLOOKUP($G20,LatestData!$A$17:$A$89,LatestData!E$17:E$89))</f>
        <v>232.68009948730469</v>
      </c>
      <c r="J20" s="11">
        <f>VALUE(_xlfn.XLOOKUP($G20,LatestData!$A$17:$A$89,LatestData!F$17:F$89))</f>
        <v>234</v>
      </c>
      <c r="K20" s="11">
        <f>VALUE(_xlfn.XLOOKUP($G20,LatestData!$A$17:$A$89,LatestData!G$17:G$89))</f>
        <v>227.17999267578119</v>
      </c>
      <c r="L20" s="11">
        <f>VALUE(_xlfn.XLOOKUP($G20,LatestData!$A$17:$A$89,LatestData!H$17:H$89))</f>
        <v>226.7</v>
      </c>
      <c r="M20" s="11">
        <f>VALUE(_xlfn.XLOOKUP($G20,LatestData!$A$17:$A$89,LatestData!I$17:I$89))</f>
        <v>32147283</v>
      </c>
      <c r="N20" s="14">
        <f>VALUE(_xlfn.XLOOKUP($G20,LatestData!$A$17:$A$89,LatestData!J$17:J$89))</f>
        <v>46028.276388888888</v>
      </c>
      <c r="O20" s="11">
        <f>VALUE(_xlfn.XLOOKUP($G20,LatestData!$A$17:$A$89,LatestData!K$17:K$89))</f>
        <v>25293383.285714291</v>
      </c>
      <c r="P20" s="11">
        <f>VALUE(_xlfn.XLOOKUP($G20,LatestData!$A$17:$A$89,LatestData!L$17:L$89))</f>
        <v>2487506436096</v>
      </c>
      <c r="Q20" s="11">
        <f>VALUE(_xlfn.XLOOKUP($G20,LatestData!$A$17:$A$89,LatestData!M$17:M$89))</f>
        <v>258.60000000000002</v>
      </c>
      <c r="R20" s="11">
        <f>VALUE(_xlfn.XLOOKUP($G20,LatestData!$A$17:$A$89,LatestData!N$17:N$89))</f>
        <v>161.38</v>
      </c>
      <c r="S20" s="20" t="str">
        <f>_xlfn.XLOOKUP($G20,LatestData!$A$17:$A$89,LatestData!O$17:O$89)</f>
        <v>USD</v>
      </c>
      <c r="T20" s="11">
        <f>VALUE(_xlfn.XLOOKUP($G20,LatestData!$A$17:$A$89,LatestData!P$17:P$89))</f>
        <v>295.59784000000002</v>
      </c>
      <c r="U20" s="11">
        <f>VALUE(_xlfn.XLOOKUP($G20,LatestData!$A$17:$A$89,LatestData!Q$17:Q$89))</f>
        <v>1.32836</v>
      </c>
      <c r="V20" s="11">
        <f>VALUE(_xlfn.XLOOKUP($G20,LatestData!$A$17:$A$89,LatestData!R$17:R$89))</f>
        <v>0</v>
      </c>
      <c r="W20" s="15">
        <f>VALUE(_xlfn.XLOOKUP($G20,LatestData!$A$17:$A$89,LatestData!S$17:S$89)%)</f>
        <v>0</v>
      </c>
      <c r="X20" s="16">
        <f>VALUE(_xlfn.XLOOKUP($G20,LatestData!$A$17:$A$89,LatestData!T$17:T$89))</f>
        <v>0</v>
      </c>
      <c r="Y20" s="16">
        <f>VALUE(_xlfn.XLOOKUP($G20,LatestData!$A$17:$A$89,LatestData!U$17:U$89))</f>
        <v>46058</v>
      </c>
      <c r="Z20" s="13">
        <f>IFERROR((Table2[[#This Row],[Open]]-Table2[[#This Row],[PreviousClose]])/Table2[[#This Row],[PreviousClose]],0)</f>
        <v>9.5500903977243159E-3</v>
      </c>
      <c r="AA20" s="13">
        <f>IFERROR((Table2[[#This Row],[Price]]-Table2[[#This Row],[Open]])/Table2[[#This Row],[Open]],0)</f>
        <v>1.6669625773148393E-2</v>
      </c>
      <c r="AB20" s="11">
        <f>Table2[[#This Row],[Price]]-Table2[[#This Row],[PreviousClose]]</f>
        <v>5.9800994873046989</v>
      </c>
    </row>
    <row r="21" spans="1:28" ht="22" customHeight="1" x14ac:dyDescent="0.3">
      <c r="A21" s="1" t="s">
        <v>47</v>
      </c>
      <c r="E21" s="5" t="s">
        <v>48</v>
      </c>
      <c r="F21" t="s">
        <v>49</v>
      </c>
      <c r="G21" t="str">
        <f t="shared" si="0"/>
        <v>ALDNE.PA</v>
      </c>
      <c r="H21" s="11">
        <f>VALUE(_xlfn.XLOOKUP($G21,LatestData!$A$17:$A$89,LatestData!D$17:D$89))</f>
        <v>0.62999999523162842</v>
      </c>
      <c r="I21" s="11">
        <f>VALUE(_xlfn.XLOOKUP($G21,LatestData!$A$17:$A$89,LatestData!E$17:E$89))</f>
        <v>0.62999999523162842</v>
      </c>
      <c r="J21" s="11">
        <f>VALUE(_xlfn.XLOOKUP($G21,LatestData!$A$17:$A$89,LatestData!F$17:F$89))</f>
        <v>0.64800000190734863</v>
      </c>
      <c r="K21" s="11">
        <f>VALUE(_xlfn.XLOOKUP($G21,LatestData!$A$17:$A$89,LatestData!G$17:G$89))</f>
        <v>0.62999999523162842</v>
      </c>
      <c r="L21" s="11">
        <f>VALUE(_xlfn.XLOOKUP($G21,LatestData!$A$17:$A$89,LatestData!H$17:H$89))</f>
        <v>0.63200002908706665</v>
      </c>
      <c r="M21" s="11">
        <f>VALUE(_xlfn.XLOOKUP($G21,LatestData!$A$17:$A$89,LatestData!I$17:I$89))</f>
        <v>1222</v>
      </c>
      <c r="N21" s="14">
        <f>VALUE(_xlfn.XLOOKUP($G21,LatestData!$A$17:$A$89,LatestData!J$17:J$89))</f>
        <v>46028.122916666667</v>
      </c>
      <c r="O21" s="11">
        <f>VALUE(_xlfn.XLOOKUP($G21,LatestData!$A$17:$A$89,LatestData!K$17:K$89))</f>
        <v>6753.7142857142853</v>
      </c>
      <c r="P21" s="11">
        <f>VALUE(_xlfn.XLOOKUP($G21,LatestData!$A$17:$A$89,LatestData!L$17:L$89))</f>
        <v>8188505</v>
      </c>
      <c r="Q21" s="11">
        <f>VALUE(_xlfn.XLOOKUP($G21,LatestData!$A$17:$A$89,LatestData!M$17:M$89))</f>
        <v>1.4850000000000001</v>
      </c>
      <c r="R21" s="11">
        <f>VALUE(_xlfn.XLOOKUP($G21,LatestData!$A$17:$A$89,LatestData!N$17:N$89))</f>
        <v>0.55000000000000004</v>
      </c>
      <c r="S21" s="20" t="str">
        <f>_xlfn.XLOOKUP($G21,LatestData!$A$17:$A$89,LatestData!O$17:O$89)</f>
        <v>EUR</v>
      </c>
      <c r="T21" s="11">
        <f>VALUE(_xlfn.XLOOKUP($G21,LatestData!$A$17:$A$89,LatestData!P$17:P$89))</f>
        <v>1.56667</v>
      </c>
      <c r="U21" s="11">
        <f>VALUE(_xlfn.XLOOKUP($G21,LatestData!$A$17:$A$89,LatestData!Q$17:Q$89))</f>
        <v>0</v>
      </c>
      <c r="V21" s="11">
        <f>VALUE(_xlfn.XLOOKUP($G21,LatestData!$A$17:$A$89,LatestData!R$17:R$89))</f>
        <v>0</v>
      </c>
      <c r="W21" s="15">
        <f>VALUE(_xlfn.XLOOKUP($G21,LatestData!$A$17:$A$89,LatestData!S$17:S$89)%)</f>
        <v>0</v>
      </c>
      <c r="X21" s="16">
        <f>VALUE(_xlfn.XLOOKUP($G21,LatestData!$A$17:$A$89,LatestData!T$17:T$89))</f>
        <v>0</v>
      </c>
      <c r="Y21" s="16">
        <f>VALUE(_xlfn.XLOOKUP($G21,LatestData!$A$17:$A$89,LatestData!U$17:U$89))</f>
        <v>0</v>
      </c>
      <c r="Z21" s="13">
        <f>IFERROR((Table2[[#This Row],[Open]]-Table2[[#This Row],[PreviousClose]])/Table2[[#This Row],[PreviousClose]],0)</f>
        <v>-3.1646103851091759E-3</v>
      </c>
      <c r="AA21" s="13">
        <f>IFERROR((Table2[[#This Row],[Price]]-Table2[[#This Row],[Open]])/Table2[[#This Row],[Open]],0)</f>
        <v>0</v>
      </c>
      <c r="AB21" s="11">
        <f>Table2[[#This Row],[Price]]-Table2[[#This Row],[PreviousClose]]</f>
        <v>-2.0000338554382324E-3</v>
      </c>
    </row>
    <row r="22" spans="1:28" ht="21" customHeight="1" x14ac:dyDescent="0.25">
      <c r="A22" s="1" t="s">
        <v>50</v>
      </c>
      <c r="E22" s="4" t="s">
        <v>51</v>
      </c>
      <c r="F22" t="s">
        <v>52</v>
      </c>
      <c r="G22" t="str">
        <f t="shared" si="0"/>
        <v>ASML.AS</v>
      </c>
      <c r="H22" s="11">
        <f>VALUE(_xlfn.XLOOKUP($G22,LatestData!$A$17:$A$89,LatestData!D$17:D$89))</f>
        <v>1007.400024414062</v>
      </c>
      <c r="I22" s="11">
        <f>VALUE(_xlfn.XLOOKUP($G22,LatestData!$A$17:$A$89,LatestData!E$17:E$89))</f>
        <v>1053.199951171875</v>
      </c>
      <c r="J22" s="11">
        <f>VALUE(_xlfn.XLOOKUP($G22,LatestData!$A$17:$A$89,LatestData!F$17:F$89))</f>
        <v>1055.400024414062</v>
      </c>
      <c r="K22" s="11">
        <f>VALUE(_xlfn.XLOOKUP($G22,LatestData!$A$17:$A$89,LatestData!G$17:G$89))</f>
        <v>1007.400024414062</v>
      </c>
      <c r="L22" s="11">
        <f>VALUE(_xlfn.XLOOKUP($G22,LatestData!$A$17:$A$89,LatestData!H$17:H$89))</f>
        <v>983.70001220703125</v>
      </c>
      <c r="M22" s="11">
        <f>VALUE(_xlfn.XLOOKUP($G22,LatestData!$A$17:$A$89,LatestData!I$17:I$89))</f>
        <v>958224</v>
      </c>
      <c r="N22" s="14">
        <f>VALUE(_xlfn.XLOOKUP($G22,LatestData!$A$17:$A$89,LatestData!J$17:J$89))</f>
        <v>46028.152083333334</v>
      </c>
      <c r="O22" s="11">
        <f>VALUE(_xlfn.XLOOKUP($G22,LatestData!$A$17:$A$89,LatestData!K$17:K$89))</f>
        <v>430532.57142857142</v>
      </c>
      <c r="P22" s="11">
        <f>VALUE(_xlfn.XLOOKUP($G22,LatestData!$A$17:$A$89,LatestData!L$17:L$89))</f>
        <v>408797118464</v>
      </c>
      <c r="Q22" s="11">
        <f>VALUE(_xlfn.XLOOKUP($G22,LatestData!$A$17:$A$89,LatestData!M$17:M$89))</f>
        <v>1055.4000000000001</v>
      </c>
      <c r="R22" s="11">
        <f>VALUE(_xlfn.XLOOKUP($G22,LatestData!$A$17:$A$89,LatestData!N$17:N$89))</f>
        <v>508.4</v>
      </c>
      <c r="S22" s="20" t="str">
        <f>_xlfn.XLOOKUP($G22,LatestData!$A$17:$A$89,LatestData!O$17:O$89)</f>
        <v>EUR</v>
      </c>
      <c r="T22" s="11">
        <f>VALUE(_xlfn.XLOOKUP($G22,LatestData!$A$17:$A$89,LatestData!P$17:P$89))</f>
        <v>1052.2</v>
      </c>
      <c r="U22" s="11">
        <f>VALUE(_xlfn.XLOOKUP($G22,LatestData!$A$17:$A$89,LatestData!Q$17:Q$89))</f>
        <v>1.7027000000000001</v>
      </c>
      <c r="V22" s="11">
        <f>VALUE(_xlfn.XLOOKUP($G22,LatestData!$A$17:$A$89,LatestData!R$17:R$89))</f>
        <v>6.4</v>
      </c>
      <c r="W22" s="15">
        <f>VALUE(_xlfn.XLOOKUP($G22,LatestData!$A$17:$A$89,LatestData!S$17:S$89)%)</f>
        <v>6.5000000000000006E-3</v>
      </c>
      <c r="X22" s="16">
        <f>VALUE(_xlfn.XLOOKUP($G22,LatestData!$A$17:$A$89,LatestData!T$17:T$89))</f>
        <v>45958</v>
      </c>
      <c r="Y22" s="16">
        <f>VALUE(_xlfn.XLOOKUP($G22,LatestData!$A$17:$A$89,LatestData!U$17:U$89))</f>
        <v>45945</v>
      </c>
      <c r="Z22" s="13">
        <f>IFERROR((Table2[[#This Row],[Open]]-Table2[[#This Row],[PreviousClose]])/Table2[[#This Row],[PreviousClose]],0)</f>
        <v>2.4092723302765243E-2</v>
      </c>
      <c r="AA22" s="13">
        <f>IFERROR((Table2[[#This Row],[Price]]-Table2[[#This Row],[Open]])/Table2[[#This Row],[Open]],0)</f>
        <v>4.5463495779099014E-2</v>
      </c>
      <c r="AB22" s="11">
        <f>Table2[[#This Row],[Price]]-Table2[[#This Row],[PreviousClose]]</f>
        <v>69.49993896484375</v>
      </c>
    </row>
    <row r="23" spans="1:28" ht="21" customHeight="1" x14ac:dyDescent="0.25">
      <c r="A23" s="6" t="s">
        <v>53</v>
      </c>
      <c r="E23" s="6" t="s">
        <v>53</v>
      </c>
      <c r="G23" t="str">
        <f t="shared" si="0"/>
        <v>AVGO</v>
      </c>
      <c r="H23" s="11">
        <f>VALUE(_xlfn.XLOOKUP($G23,LatestData!$A$17:$A$89,LatestData!D$17:D$89))</f>
        <v>354.739990234375</v>
      </c>
      <c r="I23" s="11">
        <f>VALUE(_xlfn.XLOOKUP($G23,LatestData!$A$17:$A$89,LatestData!E$17:E$89))</f>
        <v>340.91751098632812</v>
      </c>
      <c r="J23" s="11">
        <f>VALUE(_xlfn.XLOOKUP($G23,LatestData!$A$17:$A$89,LatestData!F$17:F$89))</f>
        <v>355.02999877929688</v>
      </c>
      <c r="K23" s="11">
        <f>VALUE(_xlfn.XLOOKUP($G23,LatestData!$A$17:$A$89,LatestData!G$17:G$89))</f>
        <v>336.5</v>
      </c>
      <c r="L23" s="11">
        <f>VALUE(_xlfn.XLOOKUP($G23,LatestData!$A$17:$A$89,LatestData!H$17:H$89))</f>
        <v>347.5992</v>
      </c>
      <c r="M23" s="11">
        <f>VALUE(_xlfn.XLOOKUP($G23,LatestData!$A$17:$A$89,LatestData!I$17:I$89))</f>
        <v>21222138</v>
      </c>
      <c r="N23" s="14">
        <f>VALUE(_xlfn.XLOOKUP($G23,LatestData!$A$17:$A$89,LatestData!J$17:J$89))</f>
        <v>46028.276388888888</v>
      </c>
      <c r="O23" s="11">
        <f>VALUE(_xlfn.XLOOKUP($G23,LatestData!$A$17:$A$89,LatestData!K$17:K$89))</f>
        <v>18136648.285714291</v>
      </c>
      <c r="P23" s="11">
        <f>VALUE(_xlfn.XLOOKUP($G23,LatestData!$A$17:$A$89,LatestData!L$17:L$89))</f>
        <v>1616383180800</v>
      </c>
      <c r="Q23" s="11">
        <f>VALUE(_xlfn.XLOOKUP($G23,LatestData!$A$17:$A$89,LatestData!M$17:M$89))</f>
        <v>414.61</v>
      </c>
      <c r="R23" s="11">
        <f>VALUE(_xlfn.XLOOKUP($G23,LatestData!$A$17:$A$89,LatestData!N$17:N$89))</f>
        <v>138.1</v>
      </c>
      <c r="S23" s="20" t="str">
        <f>_xlfn.XLOOKUP($G23,LatestData!$A$17:$A$89,LatestData!O$17:O$89)</f>
        <v>USD</v>
      </c>
      <c r="T23" s="11">
        <f>VALUE(_xlfn.XLOOKUP($G23,LatestData!$A$17:$A$89,LatestData!P$17:P$89))</f>
        <v>457.03455000000002</v>
      </c>
      <c r="U23" s="11">
        <f>VALUE(_xlfn.XLOOKUP($G23,LatestData!$A$17:$A$89,LatestData!Q$17:Q$89))</f>
        <v>1.2708299999999999</v>
      </c>
      <c r="V23" s="11">
        <f>VALUE(_xlfn.XLOOKUP($G23,LatestData!$A$17:$A$89,LatestData!R$17:R$89))</f>
        <v>2.6</v>
      </c>
      <c r="W23" s="15">
        <f>VALUE(_xlfn.XLOOKUP($G23,LatestData!$A$17:$A$89,LatestData!S$17:S$89)%)</f>
        <v>7.4999999999999997E-3</v>
      </c>
      <c r="X23" s="16">
        <f>VALUE(_xlfn.XLOOKUP($G23,LatestData!$A$17:$A$89,LatestData!T$17:T$89))</f>
        <v>46013</v>
      </c>
      <c r="Y23" s="16">
        <f>VALUE(_xlfn.XLOOKUP($G23,LatestData!$A$17:$A$89,LatestData!U$17:U$89))</f>
        <v>46085</v>
      </c>
      <c r="Z23" s="13">
        <f>IFERROR((Table2[[#This Row],[Open]]-Table2[[#This Row],[PreviousClose]])/Table2[[#This Row],[PreviousClose]],0)</f>
        <v>2.0543172235077078E-2</v>
      </c>
      <c r="AA23" s="13">
        <f>IFERROR((Table2[[#This Row],[Price]]-Table2[[#This Row],[Open]])/Table2[[#This Row],[Open]],0)</f>
        <v>-3.8965100153818093E-2</v>
      </c>
      <c r="AB23" s="11">
        <f>Table2[[#This Row],[Price]]-Table2[[#This Row],[PreviousClose]]</f>
        <v>-6.6816890136718712</v>
      </c>
    </row>
    <row r="24" spans="1:28" ht="21" customHeight="1" x14ac:dyDescent="0.25">
      <c r="A24" s="1" t="s">
        <v>54</v>
      </c>
      <c r="E24" s="7" t="s">
        <v>54</v>
      </c>
      <c r="G24" t="str">
        <f t="shared" si="0"/>
        <v>AZN</v>
      </c>
      <c r="H24" s="11">
        <f>VALUE(_xlfn.XLOOKUP($G24,LatestData!$A$17:$A$89,LatestData!D$17:D$89))</f>
        <v>91.165000915527344</v>
      </c>
      <c r="I24" s="11">
        <f>VALUE(_xlfn.XLOOKUP($G24,LatestData!$A$17:$A$89,LatestData!E$17:E$89))</f>
        <v>90.949996948242188</v>
      </c>
      <c r="J24" s="11">
        <f>VALUE(_xlfn.XLOOKUP($G24,LatestData!$A$17:$A$89,LatestData!F$17:F$89))</f>
        <v>91.370002746582031</v>
      </c>
      <c r="K24" s="11">
        <f>VALUE(_xlfn.XLOOKUP($G24,LatestData!$A$17:$A$89,LatestData!G$17:G$89))</f>
        <v>89.529998779296875</v>
      </c>
      <c r="L24" s="11">
        <f>VALUE(_xlfn.XLOOKUP($G24,LatestData!$A$17:$A$89,LatestData!H$17:H$89))</f>
        <v>92.25</v>
      </c>
      <c r="M24" s="11">
        <f>VALUE(_xlfn.XLOOKUP($G24,LatestData!$A$17:$A$89,LatestData!I$17:I$89))</f>
        <v>4410309</v>
      </c>
      <c r="N24" s="14">
        <f>VALUE(_xlfn.XLOOKUP($G24,LatestData!$A$17:$A$89,LatestData!J$17:J$89))</f>
        <v>46028.276388888888</v>
      </c>
      <c r="O24" s="11">
        <f>VALUE(_xlfn.XLOOKUP($G24,LatestData!$A$17:$A$89,LatestData!K$17:K$89))</f>
        <v>2432415.5714285709</v>
      </c>
      <c r="P24" s="11">
        <f>VALUE(_xlfn.XLOOKUP($G24,LatestData!$A$17:$A$89,LatestData!L$17:L$89))</f>
        <v>281996558336</v>
      </c>
      <c r="Q24" s="11">
        <f>VALUE(_xlfn.XLOOKUP($G24,LatestData!$A$17:$A$89,LatestData!M$17:M$89))</f>
        <v>94.02</v>
      </c>
      <c r="R24" s="11">
        <f>VALUE(_xlfn.XLOOKUP($G24,LatestData!$A$17:$A$89,LatestData!N$17:N$89))</f>
        <v>61.24</v>
      </c>
      <c r="S24" s="20" t="str">
        <f>_xlfn.XLOOKUP($G24,LatestData!$A$17:$A$89,LatestData!O$17:O$89)</f>
        <v>USD</v>
      </c>
      <c r="T24" s="11">
        <f>VALUE(_xlfn.XLOOKUP($G24,LatestData!$A$17:$A$89,LatestData!P$17:P$89))</f>
        <v>98.955449999999999</v>
      </c>
      <c r="U24" s="11">
        <f>VALUE(_xlfn.XLOOKUP($G24,LatestData!$A$17:$A$89,LatestData!Q$17:Q$89))</f>
        <v>1.36364</v>
      </c>
      <c r="V24" s="11">
        <f>VALUE(_xlfn.XLOOKUP($G24,LatestData!$A$17:$A$89,LatestData!R$17:R$89))</f>
        <v>1.57</v>
      </c>
      <c r="W24" s="15">
        <f>VALUE(_xlfn.XLOOKUP($G24,LatestData!$A$17:$A$89,LatestData!S$17:S$89)%)</f>
        <v>1.7100000000000001E-2</v>
      </c>
      <c r="X24" s="16">
        <f>VALUE(_xlfn.XLOOKUP($G24,LatestData!$A$17:$A$89,LatestData!T$17:T$89))</f>
        <v>45877</v>
      </c>
      <c r="Y24" s="16">
        <f>VALUE(_xlfn.XLOOKUP($G24,LatestData!$A$17:$A$89,LatestData!U$17:U$89))</f>
        <v>46063</v>
      </c>
      <c r="Z24" s="13">
        <f>IFERROR((Table2[[#This Row],[Open]]-Table2[[#This Row],[PreviousClose]])/Table2[[#This Row],[PreviousClose]],0)</f>
        <v>-1.1761507690760502E-2</v>
      </c>
      <c r="AA24" s="13">
        <f>IFERROR((Table2[[#This Row],[Price]]-Table2[[#This Row],[Open]])/Table2[[#This Row],[Open]],0)</f>
        <v>-2.3584047071351093E-3</v>
      </c>
      <c r="AB24" s="11">
        <f>Table2[[#This Row],[Price]]-Table2[[#This Row],[PreviousClose]]</f>
        <v>-1.3000030517578125</v>
      </c>
    </row>
    <row r="25" spans="1:28" ht="21" customHeight="1" x14ac:dyDescent="0.25">
      <c r="A25" s="1" t="s">
        <v>55</v>
      </c>
      <c r="E25" s="3" t="s">
        <v>55</v>
      </c>
      <c r="G25" t="str">
        <f t="shared" si="0"/>
        <v>BLDP</v>
      </c>
      <c r="H25" s="11">
        <f>VALUE(_xlfn.XLOOKUP($G25,LatestData!$A$17:$A$89,LatestData!D$17:D$89))</f>
        <v>2.7300000190734859</v>
      </c>
      <c r="I25" s="11">
        <f>VALUE(_xlfn.XLOOKUP($G25,LatestData!$A$17:$A$89,LatestData!E$17:E$89))</f>
        <v>2.7699999809265141</v>
      </c>
      <c r="J25" s="11">
        <f>VALUE(_xlfn.XLOOKUP($G25,LatestData!$A$17:$A$89,LatestData!F$17:F$89))</f>
        <v>2.785000085830688</v>
      </c>
      <c r="K25" s="11">
        <f>VALUE(_xlfn.XLOOKUP($G25,LatestData!$A$17:$A$89,LatestData!G$17:G$89))</f>
        <v>2.6700000762939449</v>
      </c>
      <c r="L25" s="11">
        <f>VALUE(_xlfn.XLOOKUP($G25,LatestData!$A$17:$A$89,LatestData!H$17:H$89))</f>
        <v>2.68</v>
      </c>
      <c r="M25" s="11">
        <f>VALUE(_xlfn.XLOOKUP($G25,LatestData!$A$17:$A$89,LatestData!I$17:I$89))</f>
        <v>2552252</v>
      </c>
      <c r="N25" s="14">
        <f>VALUE(_xlfn.XLOOKUP($G25,LatestData!$A$17:$A$89,LatestData!J$17:J$89))</f>
        <v>46028.275694444441</v>
      </c>
      <c r="O25" s="11">
        <f>VALUE(_xlfn.XLOOKUP($G25,LatestData!$A$17:$A$89,LatestData!K$17:K$89))</f>
        <v>2380636</v>
      </c>
      <c r="P25" s="11">
        <f>VALUE(_xlfn.XLOOKUP($G25,LatestData!$A$17:$A$89,LatestData!L$17:L$89))</f>
        <v>833046080</v>
      </c>
      <c r="Q25" s="11">
        <f>VALUE(_xlfn.XLOOKUP($G25,LatestData!$A$17:$A$89,LatestData!M$17:M$89))</f>
        <v>4.0999999999999996</v>
      </c>
      <c r="R25" s="11">
        <f>VALUE(_xlfn.XLOOKUP($G25,LatestData!$A$17:$A$89,LatestData!N$17:N$89))</f>
        <v>1</v>
      </c>
      <c r="S25" s="20" t="str">
        <f>_xlfn.XLOOKUP($G25,LatestData!$A$17:$A$89,LatestData!O$17:O$89)</f>
        <v>USD</v>
      </c>
      <c r="T25" s="11">
        <f>VALUE(_xlfn.XLOOKUP($G25,LatestData!$A$17:$A$89,LatestData!P$17:P$89))</f>
        <v>2.9874999999999998</v>
      </c>
      <c r="U25" s="11">
        <f>VALUE(_xlfn.XLOOKUP($G25,LatestData!$A$17:$A$89,LatestData!Q$17:Q$89))</f>
        <v>0</v>
      </c>
      <c r="V25" s="11">
        <f>VALUE(_xlfn.XLOOKUP($G25,LatestData!$A$17:$A$89,LatestData!R$17:R$89))</f>
        <v>0</v>
      </c>
      <c r="W25" s="15">
        <f>VALUE(_xlfn.XLOOKUP($G25,LatestData!$A$17:$A$89,LatestData!S$17:S$89)%)</f>
        <v>0</v>
      </c>
      <c r="X25" s="16">
        <f>VALUE(_xlfn.XLOOKUP($G25,LatestData!$A$17:$A$89,LatestData!T$17:T$89))</f>
        <v>0</v>
      </c>
      <c r="Y25" s="16">
        <f>VALUE(_xlfn.XLOOKUP($G25,LatestData!$A$17:$A$89,LatestData!U$17:U$89))</f>
        <v>45974</v>
      </c>
      <c r="Z25" s="13">
        <f>IFERROR((Table2[[#This Row],[Open]]-Table2[[#This Row],[PreviousClose]])/Table2[[#This Row],[PreviousClose]],0)</f>
        <v>1.8656723534882732E-2</v>
      </c>
      <c r="AA25" s="13">
        <f>IFERROR((Table2[[#This Row],[Price]]-Table2[[#This Row],[Open]])/Table2[[#This Row],[Open]],0)</f>
        <v>1.4652000576396889E-2</v>
      </c>
      <c r="AB25" s="11">
        <f>Table2[[#This Row],[Price]]-Table2[[#This Row],[PreviousClose]]</f>
        <v>8.9999980926513956E-2</v>
      </c>
    </row>
    <row r="26" spans="1:28" ht="21" customHeight="1" x14ac:dyDescent="0.25">
      <c r="A26" s="1" t="s">
        <v>56</v>
      </c>
      <c r="E26" s="4" t="s">
        <v>56</v>
      </c>
      <c r="G26" t="str">
        <f t="shared" si="0"/>
        <v>BMRA</v>
      </c>
      <c r="H26" s="11">
        <f>VALUE(_xlfn.XLOOKUP($G26,LatestData!$A$17:$A$89,LatestData!D$17:D$89))</f>
        <v>2.5399999618530269</v>
      </c>
      <c r="I26" s="11">
        <f>VALUE(_xlfn.XLOOKUP($G26,LatestData!$A$17:$A$89,LatestData!E$17:E$89))</f>
        <v>2.589999914169312</v>
      </c>
      <c r="J26" s="11">
        <f>VALUE(_xlfn.XLOOKUP($G26,LatestData!$A$17:$A$89,LatestData!F$17:F$89))</f>
        <v>2.619899988174438</v>
      </c>
      <c r="K26" s="11">
        <f>VALUE(_xlfn.XLOOKUP($G26,LatestData!$A$17:$A$89,LatestData!G$17:G$89))</f>
        <v>2.3599998950958252</v>
      </c>
      <c r="L26" s="11">
        <f>VALUE(_xlfn.XLOOKUP($G26,LatestData!$A$17:$A$89,LatestData!H$17:H$89))</f>
        <v>2.58</v>
      </c>
      <c r="M26" s="11">
        <f>VALUE(_xlfn.XLOOKUP($G26,LatestData!$A$17:$A$89,LatestData!I$17:I$89))</f>
        <v>21007</v>
      </c>
      <c r="N26" s="14">
        <f>VALUE(_xlfn.XLOOKUP($G26,LatestData!$A$17:$A$89,LatestData!J$17:J$89))</f>
        <v>46028.271527777775</v>
      </c>
      <c r="O26" s="11">
        <f>VALUE(_xlfn.XLOOKUP($G26,LatestData!$A$17:$A$89,LatestData!K$17:K$89))</f>
        <v>50143.857142857138</v>
      </c>
      <c r="P26" s="11">
        <f>VALUE(_xlfn.XLOOKUP($G26,LatestData!$A$17:$A$89,LatestData!L$17:L$89))</f>
        <v>7635231</v>
      </c>
      <c r="Q26" s="11">
        <f>VALUE(_xlfn.XLOOKUP($G26,LatestData!$A$17:$A$89,LatestData!M$17:M$89))</f>
        <v>10.16</v>
      </c>
      <c r="R26" s="11">
        <f>VALUE(_xlfn.XLOOKUP($G26,LatestData!$A$17:$A$89,LatestData!N$17:N$89))</f>
        <v>2.11</v>
      </c>
      <c r="S26" s="20" t="str">
        <f>_xlfn.XLOOKUP($G26,LatestData!$A$17:$A$89,LatestData!O$17:O$89)</f>
        <v>USD</v>
      </c>
      <c r="T26" s="11">
        <f>VALUE(_xlfn.XLOOKUP($G26,LatestData!$A$17:$A$89,LatestData!P$17:P$89))</f>
        <v>0</v>
      </c>
      <c r="U26" s="11">
        <f>VALUE(_xlfn.XLOOKUP($G26,LatestData!$A$17:$A$89,LatestData!Q$17:Q$89))</f>
        <v>0</v>
      </c>
      <c r="V26" s="11">
        <f>VALUE(_xlfn.XLOOKUP($G26,LatestData!$A$17:$A$89,LatestData!R$17:R$89))</f>
        <v>0</v>
      </c>
      <c r="W26" s="15">
        <f>VALUE(_xlfn.XLOOKUP($G26,LatestData!$A$17:$A$89,LatestData!S$17:S$89)%)</f>
        <v>0</v>
      </c>
      <c r="X26" s="16">
        <f>VALUE(_xlfn.XLOOKUP($G26,LatestData!$A$17:$A$89,LatestData!T$17:T$89))</f>
        <v>0</v>
      </c>
      <c r="Y26" s="16">
        <f>VALUE(_xlfn.XLOOKUP($G26,LatestData!$A$17:$A$89,LatestData!U$17:U$89))</f>
        <v>0</v>
      </c>
      <c r="Z26" s="13">
        <f>IFERROR((Table2[[#This Row],[Open]]-Table2[[#This Row],[PreviousClose]])/Table2[[#This Row],[PreviousClose]],0)</f>
        <v>-1.5503890754640764E-2</v>
      </c>
      <c r="AA26" s="13">
        <f>IFERROR((Table2[[#This Row],[Price]]-Table2[[#This Row],[Open]])/Table2[[#This Row],[Open]],0)</f>
        <v>1.9685020892601979E-2</v>
      </c>
      <c r="AB26" s="11">
        <f>Table2[[#This Row],[Price]]-Table2[[#This Row],[PreviousClose]]</f>
        <v>9.9999141693118965E-3</v>
      </c>
    </row>
    <row r="27" spans="1:28" ht="21" customHeight="1" x14ac:dyDescent="0.25">
      <c r="A27" s="1" t="s">
        <v>57</v>
      </c>
      <c r="E27" s="3" t="s">
        <v>57</v>
      </c>
      <c r="G27" t="str">
        <f t="shared" si="0"/>
        <v>C</v>
      </c>
      <c r="H27" s="11">
        <f>VALUE(_xlfn.XLOOKUP($G27,LatestData!$A$17:$A$89,LatestData!D$17:D$89))</f>
        <v>119.30999755859381</v>
      </c>
      <c r="I27" s="11">
        <f>VALUE(_xlfn.XLOOKUP($G27,LatestData!$A$17:$A$89,LatestData!E$17:E$89))</f>
        <v>123.6699981689453</v>
      </c>
      <c r="J27" s="11">
        <f>VALUE(_xlfn.XLOOKUP($G27,LatestData!$A$17:$A$89,LatestData!F$17:F$89))</f>
        <v>124.0550003051758</v>
      </c>
      <c r="K27" s="11">
        <f>VALUE(_xlfn.XLOOKUP($G27,LatestData!$A$17:$A$89,LatestData!G$17:G$89))</f>
        <v>119.4899978637695</v>
      </c>
      <c r="L27" s="11">
        <f>VALUE(_xlfn.XLOOKUP($G27,LatestData!$A$17:$A$89,LatestData!H$17:H$89))</f>
        <v>118.556</v>
      </c>
      <c r="M27" s="11">
        <f>VALUE(_xlfn.XLOOKUP($G27,LatestData!$A$17:$A$89,LatestData!I$17:I$89))</f>
        <v>9086933</v>
      </c>
      <c r="N27" s="14">
        <f>VALUE(_xlfn.XLOOKUP($G27,LatestData!$A$17:$A$89,LatestData!J$17:J$89))</f>
        <v>46028.276388888888</v>
      </c>
      <c r="O27" s="11">
        <f>VALUE(_xlfn.XLOOKUP($G27,LatestData!$A$17:$A$89,LatestData!K$17:K$89))</f>
        <v>9757676.1428571437</v>
      </c>
      <c r="P27" s="11">
        <f>VALUE(_xlfn.XLOOKUP($G27,LatestData!$A$17:$A$89,LatestData!L$17:L$89))</f>
        <v>227663839232</v>
      </c>
      <c r="Q27" s="11">
        <f>VALUE(_xlfn.XLOOKUP($G27,LatestData!$A$17:$A$89,LatestData!M$17:M$89))</f>
        <v>124.05500000000001</v>
      </c>
      <c r="R27" s="11">
        <f>VALUE(_xlfn.XLOOKUP($G27,LatestData!$A$17:$A$89,LatestData!N$17:N$89))</f>
        <v>55.51</v>
      </c>
      <c r="S27" s="20" t="str">
        <f>_xlfn.XLOOKUP($G27,LatestData!$A$17:$A$89,LatestData!O$17:O$89)</f>
        <v>USD</v>
      </c>
      <c r="T27" s="11">
        <f>VALUE(_xlfn.XLOOKUP($G27,LatestData!$A$17:$A$89,LatestData!P$17:P$89))</f>
        <v>121.28570999999999</v>
      </c>
      <c r="U27" s="11">
        <f>VALUE(_xlfn.XLOOKUP($G27,LatestData!$A$17:$A$89,LatestData!Q$17:Q$89))</f>
        <v>1.7727299999999999</v>
      </c>
      <c r="V27" s="11">
        <f>VALUE(_xlfn.XLOOKUP($G27,LatestData!$A$17:$A$89,LatestData!R$17:R$89))</f>
        <v>2.4</v>
      </c>
      <c r="W27" s="15">
        <f>VALUE(_xlfn.XLOOKUP($G27,LatestData!$A$17:$A$89,LatestData!S$17:S$89)%)</f>
        <v>2.0199999999999999E-2</v>
      </c>
      <c r="X27" s="16">
        <f>VALUE(_xlfn.XLOOKUP($G27,LatestData!$A$17:$A$89,LatestData!T$17:T$89))</f>
        <v>45964</v>
      </c>
      <c r="Y27" s="16">
        <f>VALUE(_xlfn.XLOOKUP($G27,LatestData!$A$17:$A$89,LatestData!U$17:U$89))</f>
        <v>46036</v>
      </c>
      <c r="Z27" s="13">
        <f>IFERROR((Table2[[#This Row],[Open]]-Table2[[#This Row],[PreviousClose]])/Table2[[#This Row],[PreviousClose]],0)</f>
        <v>6.3598431002548118E-3</v>
      </c>
      <c r="AA27" s="13">
        <f>IFERROR((Table2[[#This Row],[Price]]-Table2[[#This Row],[Open]])/Table2[[#This Row],[Open]],0)</f>
        <v>3.6543464081543298E-2</v>
      </c>
      <c r="AB27" s="11">
        <f>Table2[[#This Row],[Price]]-Table2[[#This Row],[PreviousClose]]</f>
        <v>5.1139981689453009</v>
      </c>
    </row>
    <row r="28" spans="1:28" ht="21" customHeight="1" x14ac:dyDescent="0.25">
      <c r="A28" s="1" t="s">
        <v>58</v>
      </c>
      <c r="E28" s="4" t="s">
        <v>58</v>
      </c>
      <c r="G28" t="str">
        <f t="shared" si="0"/>
        <v>CSCO</v>
      </c>
      <c r="H28" s="11">
        <f>VALUE(_xlfn.XLOOKUP($G28,LatestData!$A$17:$A$89,LatestData!D$17:D$89))</f>
        <v>76.449996948242188</v>
      </c>
      <c r="I28" s="11">
        <f>VALUE(_xlfn.XLOOKUP($G28,LatestData!$A$17:$A$89,LatestData!E$17:E$89))</f>
        <v>75.574996948242188</v>
      </c>
      <c r="J28" s="11">
        <f>VALUE(_xlfn.XLOOKUP($G28,LatestData!$A$17:$A$89,LatestData!F$17:F$89))</f>
        <v>76.774803161621094</v>
      </c>
      <c r="K28" s="11">
        <f>VALUE(_xlfn.XLOOKUP($G28,LatestData!$A$17:$A$89,LatestData!G$17:G$89))</f>
        <v>75.205001831054688</v>
      </c>
      <c r="L28" s="11">
        <f>VALUE(_xlfn.XLOOKUP($G28,LatestData!$A$17:$A$89,LatestData!H$17:H$89))</f>
        <v>76.12</v>
      </c>
      <c r="M28" s="11">
        <f>VALUE(_xlfn.XLOOKUP($G28,LatestData!$A$17:$A$89,LatestData!I$17:I$89))</f>
        <v>9066471</v>
      </c>
      <c r="N28" s="14">
        <f>VALUE(_xlfn.XLOOKUP($G28,LatestData!$A$17:$A$89,LatestData!J$17:J$89))</f>
        <v>46028.276388888888</v>
      </c>
      <c r="O28" s="11">
        <f>VALUE(_xlfn.XLOOKUP($G28,LatestData!$A$17:$A$89,LatestData!K$17:K$89))</f>
        <v>12791795.85714286</v>
      </c>
      <c r="P28" s="11">
        <f>VALUE(_xlfn.XLOOKUP($G28,LatestData!$A$17:$A$89,LatestData!L$17:L$89))</f>
        <v>298603970560</v>
      </c>
      <c r="Q28" s="11">
        <f>VALUE(_xlfn.XLOOKUP($G28,LatestData!$A$17:$A$89,LatestData!M$17:M$89))</f>
        <v>80.819999999999993</v>
      </c>
      <c r="R28" s="11">
        <f>VALUE(_xlfn.XLOOKUP($G28,LatestData!$A$17:$A$89,LatestData!N$17:N$89))</f>
        <v>52.11</v>
      </c>
      <c r="S28" s="20" t="str">
        <f>_xlfn.XLOOKUP($G28,LatestData!$A$17:$A$89,LatestData!O$17:O$89)</f>
        <v>USD</v>
      </c>
      <c r="T28" s="11">
        <f>VALUE(_xlfn.XLOOKUP($G28,LatestData!$A$17:$A$89,LatestData!P$17:P$89))</f>
        <v>85.433809999999994</v>
      </c>
      <c r="U28" s="11">
        <f>VALUE(_xlfn.XLOOKUP($G28,LatestData!$A$17:$A$89,LatestData!Q$17:Q$89))</f>
        <v>0</v>
      </c>
      <c r="V28" s="11">
        <f>VALUE(_xlfn.XLOOKUP($G28,LatestData!$A$17:$A$89,LatestData!R$17:R$89))</f>
        <v>1.64</v>
      </c>
      <c r="W28" s="15">
        <f>VALUE(_xlfn.XLOOKUP($G28,LatestData!$A$17:$A$89,LatestData!S$17:S$89)%)</f>
        <v>2.1600000000000001E-2</v>
      </c>
      <c r="X28" s="16">
        <f>VALUE(_xlfn.XLOOKUP($G28,LatestData!$A$17:$A$89,LatestData!T$17:T$89))</f>
        <v>46024</v>
      </c>
      <c r="Y28" s="16">
        <f>VALUE(_xlfn.XLOOKUP($G28,LatestData!$A$17:$A$89,LatestData!U$17:U$89))</f>
        <v>46064</v>
      </c>
      <c r="Z28" s="13">
        <f>IFERROR((Table2[[#This Row],[Open]]-Table2[[#This Row],[PreviousClose]])/Table2[[#This Row],[PreviousClose]],0)</f>
        <v>4.3352200242010369E-3</v>
      </c>
      <c r="AA28" s="13">
        <f>IFERROR((Table2[[#This Row],[Price]]-Table2[[#This Row],[Open]])/Table2[[#This Row],[Open]],0)</f>
        <v>-1.1445389600111931E-2</v>
      </c>
      <c r="AB28" s="11">
        <f>Table2[[#This Row],[Price]]-Table2[[#This Row],[PreviousClose]]</f>
        <v>-0.54500305175781705</v>
      </c>
    </row>
    <row r="29" spans="1:28" ht="21" customHeight="1" x14ac:dyDescent="0.25">
      <c r="A29" s="1" t="s">
        <v>59</v>
      </c>
      <c r="E29" s="3" t="s">
        <v>59</v>
      </c>
      <c r="G29" t="str">
        <f t="shared" si="0"/>
        <v>CVS</v>
      </c>
      <c r="H29" s="11">
        <f>VALUE(_xlfn.XLOOKUP($G29,LatestData!$A$17:$A$89,LatestData!D$17:D$89))</f>
        <v>80</v>
      </c>
      <c r="I29" s="11">
        <f>VALUE(_xlfn.XLOOKUP($G29,LatestData!$A$17:$A$89,LatestData!E$17:E$89))</f>
        <v>80.375</v>
      </c>
      <c r="J29" s="11">
        <f>VALUE(_xlfn.XLOOKUP($G29,LatestData!$A$17:$A$89,LatestData!F$17:F$89))</f>
        <v>80.81500244140625</v>
      </c>
      <c r="K29" s="11">
        <f>VALUE(_xlfn.XLOOKUP($G29,LatestData!$A$17:$A$89,LatestData!G$17:G$89))</f>
        <v>78.224700927734375</v>
      </c>
      <c r="L29" s="11">
        <f>VALUE(_xlfn.XLOOKUP($G29,LatestData!$A$17:$A$89,LatestData!H$17:H$89))</f>
        <v>80.75</v>
      </c>
      <c r="M29" s="11">
        <f>VALUE(_xlfn.XLOOKUP($G29,LatestData!$A$17:$A$89,LatestData!I$17:I$89))</f>
        <v>4200785</v>
      </c>
      <c r="N29" s="14">
        <f>VALUE(_xlfn.XLOOKUP($G29,LatestData!$A$17:$A$89,LatestData!J$17:J$89))</f>
        <v>46028.276388888888</v>
      </c>
      <c r="O29" s="11">
        <f>VALUE(_xlfn.XLOOKUP($G29,LatestData!$A$17:$A$89,LatestData!K$17:K$89))</f>
        <v>3666026.4285714291</v>
      </c>
      <c r="P29" s="11">
        <f>VALUE(_xlfn.XLOOKUP($G29,LatestData!$A$17:$A$89,LatestData!L$17:L$89))</f>
        <v>102030630912</v>
      </c>
      <c r="Q29" s="11">
        <f>VALUE(_xlfn.XLOOKUP($G29,LatestData!$A$17:$A$89,LatestData!M$17:M$89))</f>
        <v>85.15</v>
      </c>
      <c r="R29" s="11">
        <f>VALUE(_xlfn.XLOOKUP($G29,LatestData!$A$17:$A$89,LatestData!N$17:N$89))</f>
        <v>44.92</v>
      </c>
      <c r="S29" s="20" t="str">
        <f>_xlfn.XLOOKUP($G29,LatestData!$A$17:$A$89,LatestData!O$17:O$89)</f>
        <v>USD</v>
      </c>
      <c r="T29" s="11">
        <f>VALUE(_xlfn.XLOOKUP($G29,LatestData!$A$17:$A$89,LatestData!P$17:P$89))</f>
        <v>94.6</v>
      </c>
      <c r="U29" s="11">
        <f>VALUE(_xlfn.XLOOKUP($G29,LatestData!$A$17:$A$89,LatestData!Q$17:Q$89))</f>
        <v>0</v>
      </c>
      <c r="V29" s="11">
        <f>VALUE(_xlfn.XLOOKUP($G29,LatestData!$A$17:$A$89,LatestData!R$17:R$89))</f>
        <v>2.66</v>
      </c>
      <c r="W29" s="15">
        <f>VALUE(_xlfn.XLOOKUP($G29,LatestData!$A$17:$A$89,LatestData!S$17:S$89)%)</f>
        <v>3.32E-2</v>
      </c>
      <c r="X29" s="16">
        <f>VALUE(_xlfn.XLOOKUP($G29,LatestData!$A$17:$A$89,LatestData!T$17:T$89))</f>
        <v>45953</v>
      </c>
      <c r="Y29" s="16">
        <f>VALUE(_xlfn.XLOOKUP($G29,LatestData!$A$17:$A$89,LatestData!U$17:U$89))</f>
        <v>46064</v>
      </c>
      <c r="Z29" s="13">
        <f>IFERROR((Table2[[#This Row],[Open]]-Table2[[#This Row],[PreviousClose]])/Table2[[#This Row],[PreviousClose]],0)</f>
        <v>-9.2879256965944269E-3</v>
      </c>
      <c r="AA29" s="13">
        <f>IFERROR((Table2[[#This Row],[Price]]-Table2[[#This Row],[Open]])/Table2[[#This Row],[Open]],0)</f>
        <v>4.6874999999999998E-3</v>
      </c>
      <c r="AB29" s="11">
        <f>Table2[[#This Row],[Price]]-Table2[[#This Row],[PreviousClose]]</f>
        <v>-0.375</v>
      </c>
    </row>
    <row r="30" spans="1:28" ht="21" customHeight="1" x14ac:dyDescent="0.25">
      <c r="A30" s="1" t="s">
        <v>60</v>
      </c>
      <c r="E30" s="4" t="s">
        <v>60</v>
      </c>
      <c r="G30" t="str">
        <f t="shared" si="0"/>
        <v>DDD</v>
      </c>
      <c r="H30" s="11">
        <f>VALUE(_xlfn.XLOOKUP($G30,LatestData!$A$17:$A$89,LatestData!D$17:D$89))</f>
        <v>1.919999957084656</v>
      </c>
      <c r="I30" s="11">
        <f>VALUE(_xlfn.XLOOKUP($G30,LatestData!$A$17:$A$89,LatestData!E$17:E$89))</f>
        <v>1.9228999614715581</v>
      </c>
      <c r="J30" s="11">
        <f>VALUE(_xlfn.XLOOKUP($G30,LatestData!$A$17:$A$89,LatestData!F$17:F$89))</f>
        <v>2.0250000953674321</v>
      </c>
      <c r="K30" s="11">
        <f>VALUE(_xlfn.XLOOKUP($G30,LatestData!$A$17:$A$89,LatestData!G$17:G$89))</f>
        <v>1.8999999761581421</v>
      </c>
      <c r="L30" s="11">
        <f>VALUE(_xlfn.XLOOKUP($G30,LatestData!$A$17:$A$89,LatestData!H$17:H$89))</f>
        <v>1.85</v>
      </c>
      <c r="M30" s="11">
        <f>VALUE(_xlfn.XLOOKUP($G30,LatestData!$A$17:$A$89,LatestData!I$17:I$89))</f>
        <v>3740991</v>
      </c>
      <c r="N30" s="14">
        <f>VALUE(_xlfn.XLOOKUP($G30,LatestData!$A$17:$A$89,LatestData!J$17:J$89))</f>
        <v>46028.276388888888</v>
      </c>
      <c r="O30" s="11">
        <f>VALUE(_xlfn.XLOOKUP($G30,LatestData!$A$17:$A$89,LatestData!K$17:K$89))</f>
        <v>2487498.7142857141</v>
      </c>
      <c r="P30" s="11">
        <f>VALUE(_xlfn.XLOOKUP($G30,LatestData!$A$17:$A$89,LatestData!L$17:L$89))</f>
        <v>280856256</v>
      </c>
      <c r="Q30" s="11">
        <f>VALUE(_xlfn.XLOOKUP($G30,LatestData!$A$17:$A$89,LatestData!M$17:M$89))</f>
        <v>5</v>
      </c>
      <c r="R30" s="11">
        <f>VALUE(_xlfn.XLOOKUP($G30,LatestData!$A$17:$A$89,LatestData!N$17:N$89))</f>
        <v>1.32</v>
      </c>
      <c r="S30" s="20" t="str">
        <f>_xlfn.XLOOKUP($G30,LatestData!$A$17:$A$89,LatestData!O$17:O$89)</f>
        <v>USD</v>
      </c>
      <c r="T30" s="11">
        <f>VALUE(_xlfn.XLOOKUP($G30,LatestData!$A$17:$A$89,LatestData!P$17:P$89))</f>
        <v>3.625</v>
      </c>
      <c r="U30" s="11">
        <f>VALUE(_xlfn.XLOOKUP($G30,LatestData!$A$17:$A$89,LatestData!Q$17:Q$89))</f>
        <v>0</v>
      </c>
      <c r="V30" s="11">
        <f>VALUE(_xlfn.XLOOKUP($G30,LatestData!$A$17:$A$89,LatestData!R$17:R$89))</f>
        <v>0</v>
      </c>
      <c r="W30" s="15">
        <f>VALUE(_xlfn.XLOOKUP($G30,LatestData!$A$17:$A$89,LatestData!S$17:S$89)%)</f>
        <v>0</v>
      </c>
      <c r="X30" s="16">
        <f>VALUE(_xlfn.XLOOKUP($G30,LatestData!$A$17:$A$89,LatestData!T$17:T$89))</f>
        <v>0</v>
      </c>
      <c r="Y30" s="16">
        <f>VALUE(_xlfn.XLOOKUP($G30,LatestData!$A$17:$A$89,LatestData!U$17:U$89))</f>
        <v>45965</v>
      </c>
      <c r="Z30" s="13">
        <f>IFERROR((Table2[[#This Row],[Open]]-Table2[[#This Row],[PreviousClose]])/Table2[[#This Row],[PreviousClose]],0)</f>
        <v>3.7837814640354538E-2</v>
      </c>
      <c r="AA30" s="13">
        <f>IFERROR((Table2[[#This Row],[Price]]-Table2[[#This Row],[Open]])/Table2[[#This Row],[Open]],0)</f>
        <v>1.5104189852719937E-3</v>
      </c>
      <c r="AB30" s="11">
        <f>Table2[[#This Row],[Price]]-Table2[[#This Row],[PreviousClose]]</f>
        <v>7.2899961471557972E-2</v>
      </c>
    </row>
    <row r="31" spans="1:28" ht="21" customHeight="1" x14ac:dyDescent="0.25">
      <c r="A31" s="1" t="s">
        <v>61</v>
      </c>
      <c r="E31" s="3" t="s">
        <v>61</v>
      </c>
      <c r="G31" t="str">
        <f t="shared" si="0"/>
        <v>DIS</v>
      </c>
      <c r="H31" s="11">
        <f>VALUE(_xlfn.XLOOKUP($G31,LatestData!$A$17:$A$89,LatestData!D$17:D$89))</f>
        <v>111.4199981689453</v>
      </c>
      <c r="I31" s="11">
        <f>VALUE(_xlfn.XLOOKUP($G31,LatestData!$A$17:$A$89,LatestData!E$17:E$89))</f>
        <v>115.5400009155273</v>
      </c>
      <c r="J31" s="11">
        <f>VALUE(_xlfn.XLOOKUP($G31,LatestData!$A$17:$A$89,LatestData!F$17:F$89))</f>
        <v>116.0299987792969</v>
      </c>
      <c r="K31" s="11">
        <f>VALUE(_xlfn.XLOOKUP($G31,LatestData!$A$17:$A$89,LatestData!G$17:G$89))</f>
        <v>111.379997253418</v>
      </c>
      <c r="L31" s="11">
        <f>VALUE(_xlfn.XLOOKUP($G31,LatestData!$A$17:$A$89,LatestData!H$17:H$89))</f>
        <v>111.76</v>
      </c>
      <c r="M31" s="11">
        <f>VALUE(_xlfn.XLOOKUP($G31,LatestData!$A$17:$A$89,LatestData!I$17:I$89))</f>
        <v>6178536</v>
      </c>
      <c r="N31" s="14">
        <f>VALUE(_xlfn.XLOOKUP($G31,LatestData!$A$17:$A$89,LatestData!J$17:J$89))</f>
        <v>46028.276388888888</v>
      </c>
      <c r="O31" s="11">
        <f>VALUE(_xlfn.XLOOKUP($G31,LatestData!$A$17:$A$89,LatestData!K$17:K$89))</f>
        <v>6653619.4285714282</v>
      </c>
      <c r="P31" s="11">
        <f>VALUE(_xlfn.XLOOKUP($G31,LatestData!$A$17:$A$89,LatestData!L$17:L$89))</f>
        <v>207733276672</v>
      </c>
      <c r="Q31" s="11">
        <f>VALUE(_xlfn.XLOOKUP($G31,LatestData!$A$17:$A$89,LatestData!M$17:M$89))</f>
        <v>124.69</v>
      </c>
      <c r="R31" s="11">
        <f>VALUE(_xlfn.XLOOKUP($G31,LatestData!$A$17:$A$89,LatestData!N$17:N$89))</f>
        <v>80.099999999999994</v>
      </c>
      <c r="S31" s="20" t="str">
        <f>_xlfn.XLOOKUP($G31,LatestData!$A$17:$A$89,LatestData!O$17:O$89)</f>
        <v>USD</v>
      </c>
      <c r="T31" s="11">
        <f>VALUE(_xlfn.XLOOKUP($G31,LatestData!$A$17:$A$89,LatestData!P$17:P$89))</f>
        <v>132.50357</v>
      </c>
      <c r="U31" s="11">
        <f>VALUE(_xlfn.XLOOKUP($G31,LatestData!$A$17:$A$89,LatestData!Q$17:Q$89))</f>
        <v>0</v>
      </c>
      <c r="V31" s="11">
        <f>VALUE(_xlfn.XLOOKUP($G31,LatestData!$A$17:$A$89,LatestData!R$17:R$89))</f>
        <v>1.5</v>
      </c>
      <c r="W31" s="15">
        <f>VALUE(_xlfn.XLOOKUP($G31,LatestData!$A$17:$A$89,LatestData!S$17:S$89)%)</f>
        <v>1.34E-2</v>
      </c>
      <c r="X31" s="16">
        <f>VALUE(_xlfn.XLOOKUP($G31,LatestData!$A$17:$A$89,LatestData!T$17:T$89))</f>
        <v>46203</v>
      </c>
      <c r="Y31" s="16">
        <f>VALUE(_xlfn.XLOOKUP($G31,LatestData!$A$17:$A$89,LatestData!U$17:U$89))</f>
        <v>46057</v>
      </c>
      <c r="Z31" s="13">
        <f>IFERROR((Table2[[#This Row],[Open]]-Table2[[#This Row],[PreviousClose]])/Table2[[#This Row],[PreviousClose]],0)</f>
        <v>-3.0422497410048928E-3</v>
      </c>
      <c r="AA31" s="13">
        <f>IFERROR((Table2[[#This Row],[Price]]-Table2[[#This Row],[Open]])/Table2[[#This Row],[Open]],0)</f>
        <v>3.6977228633004226E-2</v>
      </c>
      <c r="AB31" s="11">
        <f>Table2[[#This Row],[Price]]-Table2[[#This Row],[PreviousClose]]</f>
        <v>3.780000915527296</v>
      </c>
    </row>
    <row r="32" spans="1:28" ht="21" customHeight="1" x14ac:dyDescent="0.25">
      <c r="A32" s="1" t="s">
        <v>62</v>
      </c>
      <c r="E32" s="4" t="s">
        <v>63</v>
      </c>
      <c r="F32" t="s">
        <v>49</v>
      </c>
      <c r="G32" t="str">
        <f t="shared" si="0"/>
        <v>DSY.PA</v>
      </c>
      <c r="H32" s="11">
        <f>VALUE(_xlfn.XLOOKUP($G32,LatestData!$A$17:$A$89,LatestData!D$17:D$89))</f>
        <v>23.45999908447266</v>
      </c>
      <c r="I32" s="11">
        <f>VALUE(_xlfn.XLOOKUP($G32,LatestData!$A$17:$A$89,LatestData!E$17:E$89))</f>
        <v>24.030000686645511</v>
      </c>
      <c r="J32" s="11">
        <f>VALUE(_xlfn.XLOOKUP($G32,LatestData!$A$17:$A$89,LatestData!F$17:F$89))</f>
        <v>24.04999923706055</v>
      </c>
      <c r="K32" s="11">
        <f>VALUE(_xlfn.XLOOKUP($G32,LatestData!$A$17:$A$89,LatestData!G$17:G$89))</f>
        <v>23.45000076293945</v>
      </c>
      <c r="L32" s="11">
        <f>VALUE(_xlfn.XLOOKUP($G32,LatestData!$A$17:$A$89,LatestData!H$17:H$89))</f>
        <v>23.420000076293949</v>
      </c>
      <c r="M32" s="11">
        <f>VALUE(_xlfn.XLOOKUP($G32,LatestData!$A$17:$A$89,LatestData!I$17:I$89))</f>
        <v>1860973</v>
      </c>
      <c r="N32" s="14">
        <f>VALUE(_xlfn.XLOOKUP($G32,LatestData!$A$17:$A$89,LatestData!J$17:J$89))</f>
        <v>46028.151388888888</v>
      </c>
      <c r="O32" s="11">
        <f>VALUE(_xlfn.XLOOKUP($G32,LatestData!$A$17:$A$89,LatestData!K$17:K$89))</f>
        <v>1276923.7142857141</v>
      </c>
      <c r="P32" s="11">
        <f>VALUE(_xlfn.XLOOKUP($G32,LatestData!$A$17:$A$89,LatestData!L$17:L$89))</f>
        <v>31633612800</v>
      </c>
      <c r="Q32" s="11">
        <f>VALUE(_xlfn.XLOOKUP($G32,LatestData!$A$17:$A$89,LatestData!M$17:M$89))</f>
        <v>41.17</v>
      </c>
      <c r="R32" s="11">
        <f>VALUE(_xlfn.XLOOKUP($G32,LatestData!$A$17:$A$89,LatestData!N$17:N$89))</f>
        <v>22.79</v>
      </c>
      <c r="S32" s="20" t="str">
        <f>_xlfn.XLOOKUP($G32,LatestData!$A$17:$A$89,LatestData!O$17:O$89)</f>
        <v>EUR</v>
      </c>
      <c r="T32" s="11">
        <f>VALUE(_xlfn.XLOOKUP($G32,LatestData!$A$17:$A$89,LatestData!P$17:P$89))</f>
        <v>31.016670000000001</v>
      </c>
      <c r="U32" s="11">
        <f>VALUE(_xlfn.XLOOKUP($G32,LatestData!$A$17:$A$89,LatestData!Q$17:Q$89))</f>
        <v>2.36842</v>
      </c>
      <c r="V32" s="11">
        <f>VALUE(_xlfn.XLOOKUP($G32,LatestData!$A$17:$A$89,LatestData!R$17:R$89))</f>
        <v>0.26</v>
      </c>
      <c r="W32" s="15">
        <f>VALUE(_xlfn.XLOOKUP($G32,LatestData!$A$17:$A$89,LatestData!S$17:S$89)%)</f>
        <v>1.11E-2</v>
      </c>
      <c r="X32" s="16">
        <f>VALUE(_xlfn.XLOOKUP($G32,LatestData!$A$17:$A$89,LatestData!T$17:T$89))</f>
        <v>45803</v>
      </c>
      <c r="Y32" s="16">
        <f>VALUE(_xlfn.XLOOKUP($G32,LatestData!$A$17:$A$89,LatestData!U$17:U$89))</f>
        <v>45953</v>
      </c>
      <c r="Z32" s="13">
        <f>IFERROR((Table2[[#This Row],[Open]]-Table2[[#This Row],[PreviousClose]])/Table2[[#This Row],[PreviousClose]],0)</f>
        <v>1.7078995750814917E-3</v>
      </c>
      <c r="AA32" s="13">
        <f>IFERROR((Table2[[#This Row],[Price]]-Table2[[#This Row],[Open]])/Table2[[#This Row],[Open]],0)</f>
        <v>2.4296744433810118E-2</v>
      </c>
      <c r="AB32" s="11">
        <f>Table2[[#This Row],[Price]]-Table2[[#This Row],[PreviousClose]]</f>
        <v>0.6100006103515625</v>
      </c>
    </row>
    <row r="33" spans="1:28" ht="21" customHeight="1" x14ac:dyDescent="0.25">
      <c r="A33" s="1" t="s">
        <v>64</v>
      </c>
      <c r="E33" s="3" t="s">
        <v>64</v>
      </c>
      <c r="G33" t="str">
        <f t="shared" si="0"/>
        <v>DVA</v>
      </c>
      <c r="H33" s="11">
        <f>VALUE(_xlfn.XLOOKUP($G33,LatestData!$A$17:$A$89,LatestData!D$17:D$89))</f>
        <v>113.5299987792969</v>
      </c>
      <c r="I33" s="11">
        <f>VALUE(_xlfn.XLOOKUP($G33,LatestData!$A$17:$A$89,LatestData!E$17:E$89))</f>
        <v>113.59999847412109</v>
      </c>
      <c r="J33" s="11">
        <f>VALUE(_xlfn.XLOOKUP($G33,LatestData!$A$17:$A$89,LatestData!F$17:F$89))</f>
        <v>115.8199996948242</v>
      </c>
      <c r="K33" s="11">
        <f>VALUE(_xlfn.XLOOKUP($G33,LatestData!$A$17:$A$89,LatestData!G$17:G$89))</f>
        <v>113.370002746582</v>
      </c>
      <c r="L33" s="11">
        <f>VALUE(_xlfn.XLOOKUP($G33,LatestData!$A$17:$A$89,LatestData!H$17:H$89))</f>
        <v>114.57</v>
      </c>
      <c r="M33" s="11">
        <f>VALUE(_xlfn.XLOOKUP($G33,LatestData!$A$17:$A$89,LatestData!I$17:I$89))</f>
        <v>439979</v>
      </c>
      <c r="N33" s="14">
        <f>VALUE(_xlfn.XLOOKUP($G33,LatestData!$A$17:$A$89,LatestData!J$17:J$89))</f>
        <v>46028.276388888888</v>
      </c>
      <c r="O33" s="11">
        <f>VALUE(_xlfn.XLOOKUP($G33,LatestData!$A$17:$A$89,LatestData!K$17:K$89))</f>
        <v>520682.71428571432</v>
      </c>
      <c r="P33" s="11">
        <f>VALUE(_xlfn.XLOOKUP($G33,LatestData!$A$17:$A$89,LatestData!L$17:L$89))</f>
        <v>8122399744</v>
      </c>
      <c r="Q33" s="11">
        <f>VALUE(_xlfn.XLOOKUP($G33,LatestData!$A$17:$A$89,LatestData!M$17:M$89))</f>
        <v>179.6</v>
      </c>
      <c r="R33" s="11">
        <f>VALUE(_xlfn.XLOOKUP($G33,LatestData!$A$17:$A$89,LatestData!N$17:N$89))</f>
        <v>112.54</v>
      </c>
      <c r="S33" s="20" t="str">
        <f>_xlfn.XLOOKUP($G33,LatestData!$A$17:$A$89,LatestData!O$17:O$89)</f>
        <v>USD</v>
      </c>
      <c r="T33" s="11">
        <f>VALUE(_xlfn.XLOOKUP($G33,LatestData!$A$17:$A$89,LatestData!P$17:P$89))</f>
        <v>143</v>
      </c>
      <c r="U33" s="11">
        <f>VALUE(_xlfn.XLOOKUP($G33,LatestData!$A$17:$A$89,LatestData!Q$17:Q$89))</f>
        <v>0</v>
      </c>
      <c r="V33" s="11">
        <f>VALUE(_xlfn.XLOOKUP($G33,LatestData!$A$17:$A$89,LatestData!R$17:R$89))</f>
        <v>0</v>
      </c>
      <c r="W33" s="15">
        <f>VALUE(_xlfn.XLOOKUP($G33,LatestData!$A$17:$A$89,LatestData!S$17:S$89)%)</f>
        <v>0</v>
      </c>
      <c r="X33" s="16">
        <f>VALUE(_xlfn.XLOOKUP($G33,LatestData!$A$17:$A$89,LatestData!T$17:T$89))</f>
        <v>0</v>
      </c>
      <c r="Y33" s="16">
        <f>VALUE(_xlfn.XLOOKUP($G33,LatestData!$A$17:$A$89,LatestData!U$17:U$89))</f>
        <v>45959</v>
      </c>
      <c r="Z33" s="13">
        <f>IFERROR((Table2[[#This Row],[Open]]-Table2[[#This Row],[PreviousClose]])/Table2[[#This Row],[PreviousClose]],0)</f>
        <v>-9.0774305726026867E-3</v>
      </c>
      <c r="AA33" s="13">
        <f>IFERROR((Table2[[#This Row],[Price]]-Table2[[#This Row],[Open]])/Table2[[#This Row],[Open]],0)</f>
        <v>6.1657443474715629E-4</v>
      </c>
      <c r="AB33" s="11">
        <f>Table2[[#This Row],[Price]]-Table2[[#This Row],[PreviousClose]]</f>
        <v>-0.97000152587889943</v>
      </c>
    </row>
    <row r="34" spans="1:28" ht="21" customHeight="1" x14ac:dyDescent="0.25">
      <c r="A34" s="1" t="s">
        <v>65</v>
      </c>
      <c r="E34" s="4" t="s">
        <v>65</v>
      </c>
      <c r="G34" t="str">
        <f t="shared" si="0"/>
        <v>DXC</v>
      </c>
      <c r="H34" s="11">
        <f>VALUE(_xlfn.XLOOKUP($G34,LatestData!$A$17:$A$89,LatestData!D$17:D$89))</f>
        <v>13.989999771118161</v>
      </c>
      <c r="I34" s="11">
        <f>VALUE(_xlfn.XLOOKUP($G34,LatestData!$A$17:$A$89,LatestData!E$17:E$89))</f>
        <v>14.164999961853029</v>
      </c>
      <c r="J34" s="11">
        <f>VALUE(_xlfn.XLOOKUP($G34,LatestData!$A$17:$A$89,LatestData!F$17:F$89))</f>
        <v>14.460000038146971</v>
      </c>
      <c r="K34" s="11">
        <f>VALUE(_xlfn.XLOOKUP($G34,LatestData!$A$17:$A$89,LatestData!G$17:G$89))</f>
        <v>13.94999980926514</v>
      </c>
      <c r="L34" s="11">
        <f>VALUE(_xlfn.XLOOKUP($G34,LatestData!$A$17:$A$89,LatestData!H$17:H$89))</f>
        <v>14.17</v>
      </c>
      <c r="M34" s="11">
        <f>VALUE(_xlfn.XLOOKUP($G34,LatestData!$A$17:$A$89,LatestData!I$17:I$89))</f>
        <v>841740</v>
      </c>
      <c r="N34" s="14">
        <f>VALUE(_xlfn.XLOOKUP($G34,LatestData!$A$17:$A$89,LatestData!J$17:J$89))</f>
        <v>46028.275694444441</v>
      </c>
      <c r="O34" s="11">
        <f>VALUE(_xlfn.XLOOKUP($G34,LatestData!$A$17:$A$89,LatestData!K$17:K$89))</f>
        <v>1252605.7142857141</v>
      </c>
      <c r="P34" s="11">
        <f>VALUE(_xlfn.XLOOKUP($G34,LatestData!$A$17:$A$89,LatestData!L$17:L$89))</f>
        <v>2535516160</v>
      </c>
      <c r="Q34" s="11">
        <f>VALUE(_xlfn.XLOOKUP($G34,LatestData!$A$17:$A$89,LatestData!M$17:M$89))</f>
        <v>23.75</v>
      </c>
      <c r="R34" s="11">
        <f>VALUE(_xlfn.XLOOKUP($G34,LatestData!$A$17:$A$89,LatestData!N$17:N$89))</f>
        <v>11.82</v>
      </c>
      <c r="S34" s="20" t="str">
        <f>_xlfn.XLOOKUP($G34,LatestData!$A$17:$A$89,LatestData!O$17:O$89)</f>
        <v>USD</v>
      </c>
      <c r="T34" s="11">
        <f>VALUE(_xlfn.XLOOKUP($G34,LatestData!$A$17:$A$89,LatestData!P$17:P$89))</f>
        <v>14.5</v>
      </c>
      <c r="U34" s="11">
        <f>VALUE(_xlfn.XLOOKUP($G34,LatestData!$A$17:$A$89,LatestData!Q$17:Q$89))</f>
        <v>0</v>
      </c>
      <c r="V34" s="11">
        <f>VALUE(_xlfn.XLOOKUP($G34,LatestData!$A$17:$A$89,LatestData!R$17:R$89))</f>
        <v>0</v>
      </c>
      <c r="W34" s="15">
        <f>VALUE(_xlfn.XLOOKUP($G34,LatestData!$A$17:$A$89,LatestData!S$17:S$89)%)</f>
        <v>0</v>
      </c>
      <c r="X34" s="16">
        <f>VALUE(_xlfn.XLOOKUP($G34,LatestData!$A$17:$A$89,LatestData!T$17:T$89))</f>
        <v>43914</v>
      </c>
      <c r="Y34" s="16">
        <f>VALUE(_xlfn.XLOOKUP($G34,LatestData!$A$17:$A$89,LatestData!U$17:U$89))</f>
        <v>45960</v>
      </c>
      <c r="Z34" s="13">
        <f>IFERROR((Table2[[#This Row],[Open]]-Table2[[#This Row],[PreviousClose]])/Table2[[#This Row],[PreviousClose]],0)</f>
        <v>-1.2702909589402922E-2</v>
      </c>
      <c r="AA34" s="13">
        <f>IFERROR((Table2[[#This Row],[Price]]-Table2[[#This Row],[Open]])/Table2[[#This Row],[Open]],0)</f>
        <v>1.2508948791847021E-2</v>
      </c>
      <c r="AB34" s="11">
        <f>Table2[[#This Row],[Price]]-Table2[[#This Row],[PreviousClose]]</f>
        <v>-5.0000381469708088E-3</v>
      </c>
    </row>
    <row r="35" spans="1:28" ht="21" customHeight="1" x14ac:dyDescent="0.25">
      <c r="A35" s="1" t="s">
        <v>66</v>
      </c>
      <c r="E35" s="3" t="s">
        <v>67</v>
      </c>
      <c r="F35" t="s">
        <v>68</v>
      </c>
      <c r="G35" t="str">
        <f t="shared" si="0"/>
        <v>EOAN.DE</v>
      </c>
      <c r="H35" s="11">
        <f>VALUE(_xlfn.XLOOKUP($G35,LatestData!$A$17:$A$89,LatestData!D$17:D$89))</f>
        <v>16.389999389648441</v>
      </c>
      <c r="I35" s="11">
        <f>VALUE(_xlfn.XLOOKUP($G35,LatestData!$A$17:$A$89,LatestData!E$17:E$89))</f>
        <v>16.344999313354489</v>
      </c>
      <c r="J35" s="11">
        <f>VALUE(_xlfn.XLOOKUP($G35,LatestData!$A$17:$A$89,LatestData!F$17:F$89))</f>
        <v>16.54000091552734</v>
      </c>
      <c r="K35" s="11">
        <f>VALUE(_xlfn.XLOOKUP($G35,LatestData!$A$17:$A$89,LatestData!G$17:G$89))</f>
        <v>16.155000686645511</v>
      </c>
      <c r="L35" s="11">
        <f>VALUE(_xlfn.XLOOKUP($G35,LatestData!$A$17:$A$89,LatestData!H$17:H$89))</f>
        <v>16.454999999999998</v>
      </c>
      <c r="M35" s="11">
        <f>VALUE(_xlfn.XLOOKUP($G35,LatestData!$A$17:$A$89,LatestData!I$17:I$89))</f>
        <v>3751116</v>
      </c>
      <c r="N35" s="14">
        <f>VALUE(_xlfn.XLOOKUP($G35,LatestData!$A$17:$A$89,LatestData!J$17:J$89))</f>
        <v>46028.242361111108</v>
      </c>
      <c r="O35" s="11">
        <f>VALUE(_xlfn.XLOOKUP($G35,LatestData!$A$17:$A$89,LatestData!K$17:K$89))</f>
        <v>4620387</v>
      </c>
      <c r="P35" s="11">
        <f>VALUE(_xlfn.XLOOKUP($G35,LatestData!$A$17:$A$89,LatestData!L$17:L$89))</f>
        <v>42710757376</v>
      </c>
      <c r="Q35" s="11">
        <f>VALUE(_xlfn.XLOOKUP($G35,LatestData!$A$17:$A$89,LatestData!M$17:M$89))</f>
        <v>16.55</v>
      </c>
      <c r="R35" s="11">
        <f>VALUE(_xlfn.XLOOKUP($G35,LatestData!$A$17:$A$89,LatestData!N$17:N$89))</f>
        <v>10.435</v>
      </c>
      <c r="S35" s="20" t="str">
        <f>_xlfn.XLOOKUP($G35,LatestData!$A$17:$A$89,LatestData!O$17:O$89)</f>
        <v>EUR</v>
      </c>
      <c r="T35" s="11">
        <f>VALUE(_xlfn.XLOOKUP($G35,LatestData!$A$17:$A$89,LatestData!P$17:P$89))</f>
        <v>17.016529999999999</v>
      </c>
      <c r="U35" s="11">
        <f>VALUE(_xlfn.XLOOKUP($G35,LatestData!$A$17:$A$89,LatestData!Q$17:Q$89))</f>
        <v>0</v>
      </c>
      <c r="V35" s="11">
        <f>VALUE(_xlfn.XLOOKUP($G35,LatestData!$A$17:$A$89,LatestData!R$17:R$89))</f>
        <v>0.55000000000000004</v>
      </c>
      <c r="W35" s="15">
        <f>VALUE(_xlfn.XLOOKUP($G35,LatestData!$A$17:$A$89,LatestData!S$17:S$89)%)</f>
        <v>3.3399999999999999E-2</v>
      </c>
      <c r="X35" s="16">
        <f>VALUE(_xlfn.XLOOKUP($G35,LatestData!$A$17:$A$89,LatestData!T$17:T$89))</f>
        <v>45793</v>
      </c>
      <c r="Y35" s="16">
        <f>VALUE(_xlfn.XLOOKUP($G35,LatestData!$A$17:$A$89,LatestData!U$17:U$89))</f>
        <v>45973</v>
      </c>
      <c r="Z35" s="13">
        <f>IFERROR((Table2[[#This Row],[Open]]-Table2[[#This Row],[PreviousClose]])/Table2[[#This Row],[PreviousClose]],0)</f>
        <v>-3.9502042146190974E-3</v>
      </c>
      <c r="AA35" s="13">
        <f>IFERROR((Table2[[#This Row],[Price]]-Table2[[#This Row],[Open]])/Table2[[#This Row],[Open]],0)</f>
        <v>-2.7455813282319867E-3</v>
      </c>
      <c r="AB35" s="11">
        <f>Table2[[#This Row],[Price]]-Table2[[#This Row],[PreviousClose]]</f>
        <v>-0.11000068664550966</v>
      </c>
    </row>
    <row r="36" spans="1:28" ht="21" customHeight="1" x14ac:dyDescent="0.25">
      <c r="A36" s="1" t="s">
        <v>69</v>
      </c>
      <c r="E36" s="4" t="s">
        <v>69</v>
      </c>
      <c r="G36" t="str">
        <f t="shared" si="0"/>
        <v>EPIX</v>
      </c>
      <c r="H36" s="11">
        <f>VALUE(_xlfn.XLOOKUP($G36,LatestData!$A$17:$A$89,LatestData!D$17:D$89))</f>
        <v>0</v>
      </c>
      <c r="I36" s="11">
        <f>VALUE(_xlfn.XLOOKUP($G36,LatestData!$A$17:$A$89,LatestData!E$17:E$89))</f>
        <v>0</v>
      </c>
      <c r="J36" s="11">
        <f>VALUE(_xlfn.XLOOKUP($G36,LatestData!$A$17:$A$89,LatestData!F$17:F$89))</f>
        <v>0</v>
      </c>
      <c r="K36" s="11">
        <f>VALUE(_xlfn.XLOOKUP($G36,LatestData!$A$17:$A$89,LatestData!G$17:G$89))</f>
        <v>0</v>
      </c>
      <c r="L36" s="11">
        <f>VALUE(_xlfn.XLOOKUP($G36,LatestData!$A$17:$A$89,LatestData!H$17:H$89))</f>
        <v>0</v>
      </c>
      <c r="M36" s="11">
        <f>VALUE(_xlfn.XLOOKUP($G36,LatestData!$A$17:$A$89,LatestData!I$17:I$89))</f>
        <v>0</v>
      </c>
      <c r="N36" s="14">
        <f>VALUE(_xlfn.XLOOKUP($G36,LatestData!$A$17:$A$89,LatestData!J$17:J$89))</f>
        <v>0</v>
      </c>
      <c r="O36" s="11">
        <f>VALUE(_xlfn.XLOOKUP($G36,LatestData!$A$17:$A$89,LatestData!K$17:K$89))</f>
        <v>0</v>
      </c>
      <c r="P36" s="11">
        <f>VALUE(_xlfn.XLOOKUP($G36,LatestData!$A$17:$A$89,LatestData!L$17:L$89))</f>
        <v>0</v>
      </c>
      <c r="Q36" s="11">
        <f>VALUE(_xlfn.XLOOKUP($G36,LatestData!$A$17:$A$89,LatestData!M$17:M$89))</f>
        <v>0</v>
      </c>
      <c r="R36" s="11">
        <f>VALUE(_xlfn.XLOOKUP($G36,LatestData!$A$17:$A$89,LatestData!N$17:N$89))</f>
        <v>0</v>
      </c>
      <c r="S36" s="20">
        <f>_xlfn.XLOOKUP($G36,LatestData!$A$17:$A$89,LatestData!O$17:O$89)</f>
        <v>0</v>
      </c>
      <c r="T36" s="11">
        <f>VALUE(_xlfn.XLOOKUP($G36,LatestData!$A$17:$A$89,LatestData!P$17:P$89))</f>
        <v>0</v>
      </c>
      <c r="U36" s="11">
        <f>VALUE(_xlfn.XLOOKUP($G36,LatestData!$A$17:$A$89,LatestData!Q$17:Q$89))</f>
        <v>0</v>
      </c>
      <c r="V36" s="11">
        <f>VALUE(_xlfn.XLOOKUP($G36,LatestData!$A$17:$A$89,LatestData!R$17:R$89))</f>
        <v>0</v>
      </c>
      <c r="W36" s="15">
        <f>VALUE(_xlfn.XLOOKUP($G36,LatestData!$A$17:$A$89,LatestData!S$17:S$89)%)</f>
        <v>0</v>
      </c>
      <c r="X36" s="16">
        <f>VALUE(_xlfn.XLOOKUP($G36,LatestData!$A$17:$A$89,LatestData!T$17:T$89))</f>
        <v>0</v>
      </c>
      <c r="Y36" s="16">
        <f>VALUE(_xlfn.XLOOKUP($G36,LatestData!$A$17:$A$89,LatestData!U$17:U$89))</f>
        <v>0</v>
      </c>
      <c r="Z36" s="13">
        <f>IFERROR((Table2[[#This Row],[Open]]-Table2[[#This Row],[PreviousClose]])/Table2[[#This Row],[PreviousClose]],0)</f>
        <v>0</v>
      </c>
      <c r="AA36" s="13">
        <f>IFERROR((Table2[[#This Row],[Price]]-Table2[[#This Row],[Open]])/Table2[[#This Row],[Open]],0)</f>
        <v>0</v>
      </c>
      <c r="AB36" s="11">
        <f>Table2[[#This Row],[Price]]-Table2[[#This Row],[PreviousClose]]</f>
        <v>0</v>
      </c>
    </row>
    <row r="37" spans="1:28" ht="21" customHeight="1" x14ac:dyDescent="0.25">
      <c r="A37" s="1" t="s">
        <v>70</v>
      </c>
      <c r="E37" s="3" t="s">
        <v>70</v>
      </c>
      <c r="G37" t="str">
        <f t="shared" si="0"/>
        <v>GM</v>
      </c>
      <c r="H37" s="11">
        <f>VALUE(_xlfn.XLOOKUP($G37,LatestData!$A$17:$A$89,LatestData!D$17:D$89))</f>
        <v>80.540000915527344</v>
      </c>
      <c r="I37" s="11">
        <f>VALUE(_xlfn.XLOOKUP($G37,LatestData!$A$17:$A$89,LatestData!E$17:E$89))</f>
        <v>83.160003662109375</v>
      </c>
      <c r="J37" s="11">
        <f>VALUE(_xlfn.XLOOKUP($G37,LatestData!$A$17:$A$89,LatestData!F$17:F$89))</f>
        <v>83.352897644042969</v>
      </c>
      <c r="K37" s="11">
        <f>VALUE(_xlfn.XLOOKUP($G37,LatestData!$A$17:$A$89,LatestData!G$17:G$89))</f>
        <v>79.970001220703125</v>
      </c>
      <c r="L37" s="11">
        <f>VALUE(_xlfn.XLOOKUP($G37,LatestData!$A$17:$A$89,LatestData!H$17:H$89))</f>
        <v>81.02</v>
      </c>
      <c r="M37" s="11">
        <f>VALUE(_xlfn.XLOOKUP($G37,LatestData!$A$17:$A$89,LatestData!I$17:I$89))</f>
        <v>5872670</v>
      </c>
      <c r="N37" s="14">
        <f>VALUE(_xlfn.XLOOKUP($G37,LatestData!$A$17:$A$89,LatestData!J$17:J$89))</f>
        <v>46028.276388888888</v>
      </c>
      <c r="O37" s="11">
        <f>VALUE(_xlfn.XLOOKUP($G37,LatestData!$A$17:$A$89,LatestData!K$17:K$89))</f>
        <v>4515267.1428571427</v>
      </c>
      <c r="P37" s="11">
        <f>VALUE(_xlfn.XLOOKUP($G37,LatestData!$A$17:$A$89,LatestData!L$17:L$89))</f>
        <v>79174795264</v>
      </c>
      <c r="Q37" s="11">
        <f>VALUE(_xlfn.XLOOKUP($G37,LatestData!$A$17:$A$89,LatestData!M$17:M$89))</f>
        <v>83.68</v>
      </c>
      <c r="R37" s="11">
        <f>VALUE(_xlfn.XLOOKUP($G37,LatestData!$A$17:$A$89,LatestData!N$17:N$89))</f>
        <v>41.6</v>
      </c>
      <c r="S37" s="20" t="str">
        <f>_xlfn.XLOOKUP($G37,LatestData!$A$17:$A$89,LatestData!O$17:O$89)</f>
        <v>USD</v>
      </c>
      <c r="T37" s="11">
        <f>VALUE(_xlfn.XLOOKUP($G37,LatestData!$A$17:$A$89,LatestData!P$17:P$89))</f>
        <v>79.458330000000004</v>
      </c>
      <c r="U37" s="11">
        <f>VALUE(_xlfn.XLOOKUP($G37,LatestData!$A$17:$A$89,LatestData!Q$17:Q$89))</f>
        <v>0</v>
      </c>
      <c r="V37" s="11">
        <f>VALUE(_xlfn.XLOOKUP($G37,LatestData!$A$17:$A$89,LatestData!R$17:R$89))</f>
        <v>0.6</v>
      </c>
      <c r="W37" s="15">
        <f>VALUE(_xlfn.XLOOKUP($G37,LatestData!$A$17:$A$89,LatestData!S$17:S$89)%)</f>
        <v>7.4000000000000003E-3</v>
      </c>
      <c r="X37" s="16">
        <f>VALUE(_xlfn.XLOOKUP($G37,LatestData!$A$17:$A$89,LatestData!T$17:T$89))</f>
        <v>45996</v>
      </c>
      <c r="Y37" s="16">
        <f>VALUE(_xlfn.XLOOKUP($G37,LatestData!$A$17:$A$89,LatestData!U$17:U$89))</f>
        <v>46049</v>
      </c>
      <c r="Z37" s="13">
        <f>IFERROR((Table2[[#This Row],[Open]]-Table2[[#This Row],[PreviousClose]])/Table2[[#This Row],[PreviousClose]],0)</f>
        <v>-5.9244517955153331E-3</v>
      </c>
      <c r="AA37" s="13">
        <f>IFERROR((Table2[[#This Row],[Price]]-Table2[[#This Row],[Open]])/Table2[[#This Row],[Open]],0)</f>
        <v>3.2530453399546952E-2</v>
      </c>
      <c r="AB37" s="11">
        <f>Table2[[#This Row],[Price]]-Table2[[#This Row],[PreviousClose]]</f>
        <v>2.140003662109379</v>
      </c>
    </row>
    <row r="38" spans="1:28" ht="21" customHeight="1" x14ac:dyDescent="0.25">
      <c r="A38" s="1" t="s">
        <v>71</v>
      </c>
      <c r="E38" s="4" t="s">
        <v>71</v>
      </c>
      <c r="G38" t="str">
        <f t="shared" si="0"/>
        <v>HPE</v>
      </c>
      <c r="H38" s="11">
        <f>VALUE(_xlfn.XLOOKUP($G38,LatestData!$A$17:$A$89,LatestData!D$17:D$89))</f>
        <v>24.219999313354489</v>
      </c>
      <c r="I38" s="11">
        <f>VALUE(_xlfn.XLOOKUP($G38,LatestData!$A$17:$A$89,LatestData!E$17:E$89))</f>
        <v>24.055000305175781</v>
      </c>
      <c r="J38" s="11">
        <f>VALUE(_xlfn.XLOOKUP($G38,LatestData!$A$17:$A$89,LatestData!F$17:F$89))</f>
        <v>24.409999847412109</v>
      </c>
      <c r="K38" s="11">
        <f>VALUE(_xlfn.XLOOKUP($G38,LatestData!$A$17:$A$89,LatestData!G$17:G$89))</f>
        <v>23.729999542236332</v>
      </c>
      <c r="L38" s="11">
        <f>VALUE(_xlfn.XLOOKUP($G38,LatestData!$A$17:$A$89,LatestData!H$17:H$89))</f>
        <v>24.28</v>
      </c>
      <c r="M38" s="11">
        <f>VALUE(_xlfn.XLOOKUP($G38,LatestData!$A$17:$A$89,LatestData!I$17:I$89))</f>
        <v>11651036</v>
      </c>
      <c r="N38" s="14">
        <f>VALUE(_xlfn.XLOOKUP($G38,LatestData!$A$17:$A$89,LatestData!J$17:J$89))</f>
        <v>46028.276388888888</v>
      </c>
      <c r="O38" s="11">
        <f>VALUE(_xlfn.XLOOKUP($G38,LatestData!$A$17:$A$89,LatestData!K$17:K$89))</f>
        <v>10995119.428571429</v>
      </c>
      <c r="P38" s="11">
        <f>VALUE(_xlfn.XLOOKUP($G38,LatestData!$A$17:$A$89,LatestData!L$17:L$89))</f>
        <v>32102195200</v>
      </c>
      <c r="Q38" s="11">
        <f>VALUE(_xlfn.XLOOKUP($G38,LatestData!$A$17:$A$89,LatestData!M$17:M$89))</f>
        <v>26.44</v>
      </c>
      <c r="R38" s="11">
        <f>VALUE(_xlfn.XLOOKUP($G38,LatestData!$A$17:$A$89,LatestData!N$17:N$89))</f>
        <v>11.965</v>
      </c>
      <c r="S38" s="20" t="str">
        <f>_xlfn.XLOOKUP($G38,LatestData!$A$17:$A$89,LatestData!O$17:O$89)</f>
        <v>USD</v>
      </c>
      <c r="T38" s="11">
        <f>VALUE(_xlfn.XLOOKUP($G38,LatestData!$A$17:$A$89,LatestData!P$17:P$89))</f>
        <v>26.27778</v>
      </c>
      <c r="U38" s="11">
        <f>VALUE(_xlfn.XLOOKUP($G38,LatestData!$A$17:$A$89,LatestData!Q$17:Q$89))</f>
        <v>0</v>
      </c>
      <c r="V38" s="11">
        <f>VALUE(_xlfn.XLOOKUP($G38,LatestData!$A$17:$A$89,LatestData!R$17:R$89))</f>
        <v>0.56999999999999995</v>
      </c>
      <c r="W38" s="15">
        <f>VALUE(_xlfn.XLOOKUP($G38,LatestData!$A$17:$A$89,LatestData!S$17:S$89)%)</f>
        <v>2.3599999999999999E-2</v>
      </c>
      <c r="X38" s="16">
        <f>VALUE(_xlfn.XLOOKUP($G38,LatestData!$A$17:$A$89,LatestData!T$17:T$89))</f>
        <v>46010</v>
      </c>
      <c r="Y38" s="16">
        <f>VALUE(_xlfn.XLOOKUP($G38,LatestData!$A$17:$A$89,LatestData!U$17:U$89))</f>
        <v>45995</v>
      </c>
      <c r="Z38" s="13">
        <f>IFERROR((Table2[[#This Row],[Open]]-Table2[[#This Row],[PreviousClose]])/Table2[[#This Row],[PreviousClose]],0)</f>
        <v>-2.4711979672781097E-3</v>
      </c>
      <c r="AA38" s="13">
        <f>IFERROR((Table2[[#This Row],[Price]]-Table2[[#This Row],[Open]])/Table2[[#This Row],[Open]],0)</f>
        <v>-6.812510852869008E-3</v>
      </c>
      <c r="AB38" s="11">
        <f>Table2[[#This Row],[Price]]-Table2[[#This Row],[PreviousClose]]</f>
        <v>-0.22499969482421989</v>
      </c>
    </row>
    <row r="39" spans="1:28" ht="21" customHeight="1" x14ac:dyDescent="0.25">
      <c r="A39" s="1" t="s">
        <v>72</v>
      </c>
      <c r="E39" s="3" t="s">
        <v>72</v>
      </c>
      <c r="G39" t="str">
        <f t="shared" si="0"/>
        <v>HPQ</v>
      </c>
      <c r="H39" s="11">
        <f>VALUE(_xlfn.XLOOKUP($G39,LatestData!$A$17:$A$89,LatestData!D$17:D$89))</f>
        <v>22.110000610351559</v>
      </c>
      <c r="I39" s="11">
        <f>VALUE(_xlfn.XLOOKUP($G39,LatestData!$A$17:$A$89,LatestData!E$17:E$89))</f>
        <v>21.77499961853027</v>
      </c>
      <c r="J39" s="11">
        <f>VALUE(_xlfn.XLOOKUP($G39,LatestData!$A$17:$A$89,LatestData!F$17:F$89))</f>
        <v>22.295000076293949</v>
      </c>
      <c r="K39" s="11">
        <f>VALUE(_xlfn.XLOOKUP($G39,LatestData!$A$17:$A$89,LatestData!G$17:G$89))</f>
        <v>21.760000228881839</v>
      </c>
      <c r="L39" s="11">
        <f>VALUE(_xlfn.XLOOKUP($G39,LatestData!$A$17:$A$89,LatestData!H$17:H$89))</f>
        <v>22.14</v>
      </c>
      <c r="M39" s="11">
        <f>VALUE(_xlfn.XLOOKUP($G39,LatestData!$A$17:$A$89,LatestData!I$17:I$89))</f>
        <v>11131124</v>
      </c>
      <c r="N39" s="14">
        <f>VALUE(_xlfn.XLOOKUP($G39,LatestData!$A$17:$A$89,LatestData!J$17:J$89))</f>
        <v>46028.276388888888</v>
      </c>
      <c r="O39" s="11">
        <f>VALUE(_xlfn.XLOOKUP($G39,LatestData!$A$17:$A$89,LatestData!K$17:K$89))</f>
        <v>10396432</v>
      </c>
      <c r="P39" s="11">
        <f>VALUE(_xlfn.XLOOKUP($G39,LatestData!$A$17:$A$89,LatestData!L$17:L$89))</f>
        <v>20353132544</v>
      </c>
      <c r="Q39" s="11">
        <f>VALUE(_xlfn.XLOOKUP($G39,LatestData!$A$17:$A$89,LatestData!M$17:M$89))</f>
        <v>35.28</v>
      </c>
      <c r="R39" s="11">
        <f>VALUE(_xlfn.XLOOKUP($G39,LatestData!$A$17:$A$89,LatestData!N$17:N$89))</f>
        <v>21.21</v>
      </c>
      <c r="S39" s="20" t="str">
        <f>_xlfn.XLOOKUP($G39,LatestData!$A$17:$A$89,LatestData!O$17:O$89)</f>
        <v>USD</v>
      </c>
      <c r="T39" s="11">
        <f>VALUE(_xlfn.XLOOKUP($G39,LatestData!$A$17:$A$89,LatestData!P$17:P$89))</f>
        <v>25.881250000000001</v>
      </c>
      <c r="U39" s="11">
        <f>VALUE(_xlfn.XLOOKUP($G39,LatestData!$A$17:$A$89,LatestData!Q$17:Q$89))</f>
        <v>0</v>
      </c>
      <c r="V39" s="11">
        <f>VALUE(_xlfn.XLOOKUP($G39,LatestData!$A$17:$A$89,LatestData!R$17:R$89))</f>
        <v>1.2</v>
      </c>
      <c r="W39" s="15">
        <f>VALUE(_xlfn.XLOOKUP($G39,LatestData!$A$17:$A$89,LatestData!S$17:S$89)%)</f>
        <v>5.4199999999999998E-2</v>
      </c>
      <c r="X39" s="16">
        <f>VALUE(_xlfn.XLOOKUP($G39,LatestData!$A$17:$A$89,LatestData!T$17:T$89))</f>
        <v>46002</v>
      </c>
      <c r="Y39" s="16">
        <f>VALUE(_xlfn.XLOOKUP($G39,LatestData!$A$17:$A$89,LatestData!U$17:U$89))</f>
        <v>45986</v>
      </c>
      <c r="Z39" s="13">
        <f>IFERROR((Table2[[#This Row],[Open]]-Table2[[#This Row],[PreviousClose]])/Table2[[#This Row],[PreviousClose]],0)</f>
        <v>-1.3549859823144363E-3</v>
      </c>
      <c r="AA39" s="13">
        <f>IFERROR((Table2[[#This Row],[Price]]-Table2[[#This Row],[Open]])/Table2[[#This Row],[Open]],0)</f>
        <v>-1.5151559591746315E-2</v>
      </c>
      <c r="AB39" s="11">
        <f>Table2[[#This Row],[Price]]-Table2[[#This Row],[PreviousClose]]</f>
        <v>-0.36500038146973068</v>
      </c>
    </row>
    <row r="40" spans="1:28" ht="21" customHeight="1" x14ac:dyDescent="0.25">
      <c r="A40" s="1" t="s">
        <v>73</v>
      </c>
      <c r="E40" s="4" t="s">
        <v>74</v>
      </c>
      <c r="F40" t="s">
        <v>45</v>
      </c>
      <c r="G40" t="str">
        <f t="shared" si="0"/>
        <v>IAG.L</v>
      </c>
      <c r="H40" s="11">
        <f>VALUE(_xlfn.XLOOKUP($G40,LatestData!$A$17:$A$89,LatestData!D$17:D$89))</f>
        <v>418.39999389648438</v>
      </c>
      <c r="I40" s="11">
        <f>VALUE(_xlfn.XLOOKUP($G40,LatestData!$A$17:$A$89,LatestData!E$17:E$89))</f>
        <v>425.10000610351562</v>
      </c>
      <c r="J40" s="11">
        <f>VALUE(_xlfn.XLOOKUP($G40,LatestData!$A$17:$A$89,LatestData!F$17:F$89))</f>
        <v>425.5</v>
      </c>
      <c r="K40" s="11">
        <f>VALUE(_xlfn.XLOOKUP($G40,LatestData!$A$17:$A$89,LatestData!G$17:G$89))</f>
        <v>418.39999389648438</v>
      </c>
      <c r="L40" s="11">
        <f>VALUE(_xlfn.XLOOKUP($G40,LatestData!$A$17:$A$89,LatestData!H$17:H$89))</f>
        <v>420</v>
      </c>
      <c r="M40" s="11">
        <f>VALUE(_xlfn.XLOOKUP($G40,LatestData!$A$17:$A$89,LatestData!I$17:I$89))</f>
        <v>14524448</v>
      </c>
      <c r="N40" s="14">
        <f>VALUE(_xlfn.XLOOKUP($G40,LatestData!$A$17:$A$89,LatestData!J$17:J$89))</f>
        <v>46028.259722222225</v>
      </c>
      <c r="O40" s="11">
        <f>VALUE(_xlfn.XLOOKUP($G40,LatestData!$A$17:$A$89,LatestData!K$17:K$89))</f>
        <v>7698892</v>
      </c>
      <c r="P40" s="11">
        <f>VALUE(_xlfn.XLOOKUP($G40,LatestData!$A$17:$A$89,LatestData!L$17:L$89))</f>
        <v>19410960384</v>
      </c>
      <c r="Q40" s="11">
        <f>VALUE(_xlfn.XLOOKUP($G40,LatestData!$A$17:$A$89,LatestData!M$17:M$89))</f>
        <v>430.6</v>
      </c>
      <c r="R40" s="11">
        <f>VALUE(_xlfn.XLOOKUP($G40,LatestData!$A$17:$A$89,LatestData!N$17:N$89))</f>
        <v>210</v>
      </c>
      <c r="S40" s="20" t="str">
        <f>_xlfn.XLOOKUP($G40,LatestData!$A$17:$A$89,LatestData!O$17:O$89)</f>
        <v>GBp</v>
      </c>
      <c r="T40" s="11">
        <f>VALUE(_xlfn.XLOOKUP($G40,LatestData!$A$17:$A$89,LatestData!P$17:P$89))</f>
        <v>471.57812000000001</v>
      </c>
      <c r="U40" s="11">
        <f>VALUE(_xlfn.XLOOKUP($G40,LatestData!$A$17:$A$89,LatestData!Q$17:Q$89))</f>
        <v>1.8</v>
      </c>
      <c r="V40" s="11">
        <f>VALUE(_xlfn.XLOOKUP($G40,LatestData!$A$17:$A$89,LatestData!R$17:R$89))</f>
        <v>0.09</v>
      </c>
      <c r="W40" s="15">
        <f>VALUE(_xlfn.XLOOKUP($G40,LatestData!$A$17:$A$89,LatestData!S$17:S$89)%)</f>
        <v>2.2200000000000001E-2</v>
      </c>
      <c r="X40" s="16">
        <f>VALUE(_xlfn.XLOOKUP($G40,LatestData!$A$17:$A$89,LatestData!T$17:T$89))</f>
        <v>45988</v>
      </c>
      <c r="Y40" s="16">
        <f>VALUE(_xlfn.XLOOKUP($G40,LatestData!$A$17:$A$89,LatestData!U$17:U$89))</f>
        <v>45968</v>
      </c>
      <c r="Z40" s="13">
        <f>IFERROR((Table2[[#This Row],[Open]]-Table2[[#This Row],[PreviousClose]])/Table2[[#This Row],[PreviousClose]],0)</f>
        <v>-3.8095383417038691E-3</v>
      </c>
      <c r="AA40" s="13">
        <f>IFERROR((Table2[[#This Row],[Price]]-Table2[[#This Row],[Open]])/Table2[[#This Row],[Open]],0)</f>
        <v>1.6013413730328323E-2</v>
      </c>
      <c r="AB40" s="11">
        <f>Table2[[#This Row],[Price]]-Table2[[#This Row],[PreviousClose]]</f>
        <v>5.100006103515625</v>
      </c>
    </row>
    <row r="41" spans="1:28" ht="21" customHeight="1" x14ac:dyDescent="0.25">
      <c r="A41" s="1" t="s">
        <v>75</v>
      </c>
      <c r="E41" s="3" t="s">
        <v>75</v>
      </c>
      <c r="G41" t="str">
        <f t="shared" si="0"/>
        <v>KR</v>
      </c>
      <c r="H41" s="11">
        <f>VALUE(_xlfn.XLOOKUP($G41,LatestData!$A$17:$A$89,LatestData!D$17:D$89))</f>
        <v>62.409999847412109</v>
      </c>
      <c r="I41" s="11">
        <f>VALUE(_xlfn.XLOOKUP($G41,LatestData!$A$17:$A$89,LatestData!E$17:E$89))</f>
        <v>61.869998931884773</v>
      </c>
      <c r="J41" s="11">
        <f>VALUE(_xlfn.XLOOKUP($G41,LatestData!$A$17:$A$89,LatestData!F$17:F$89))</f>
        <v>62.599899291992188</v>
      </c>
      <c r="K41" s="11">
        <f>VALUE(_xlfn.XLOOKUP($G41,LatestData!$A$17:$A$89,LatestData!G$17:G$89))</f>
        <v>60.709999084472663</v>
      </c>
      <c r="L41" s="11">
        <f>VALUE(_xlfn.XLOOKUP($G41,LatestData!$A$17:$A$89,LatestData!H$17:H$89))</f>
        <v>62.750100000000003</v>
      </c>
      <c r="M41" s="11">
        <f>VALUE(_xlfn.XLOOKUP($G41,LatestData!$A$17:$A$89,LatestData!I$17:I$89))</f>
        <v>4960816</v>
      </c>
      <c r="N41" s="14">
        <f>VALUE(_xlfn.XLOOKUP($G41,LatestData!$A$17:$A$89,LatestData!J$17:J$89))</f>
        <v>46028.276388888888</v>
      </c>
      <c r="O41" s="11">
        <f>VALUE(_xlfn.XLOOKUP($G41,LatestData!$A$17:$A$89,LatestData!K$17:K$89))</f>
        <v>4021545.1428571432</v>
      </c>
      <c r="P41" s="11">
        <f>VALUE(_xlfn.XLOOKUP($G41,LatestData!$A$17:$A$89,LatestData!L$17:L$89))</f>
        <v>40999899136</v>
      </c>
      <c r="Q41" s="11">
        <f>VALUE(_xlfn.XLOOKUP($G41,LatestData!$A$17:$A$89,LatestData!M$17:M$89))</f>
        <v>74.900000000000006</v>
      </c>
      <c r="R41" s="11">
        <f>VALUE(_xlfn.XLOOKUP($G41,LatestData!$A$17:$A$89,LatestData!N$17:N$89))</f>
        <v>58.12</v>
      </c>
      <c r="S41" s="20" t="str">
        <f>_xlfn.XLOOKUP($G41,LatestData!$A$17:$A$89,LatestData!O$17:O$89)</f>
        <v>USD</v>
      </c>
      <c r="T41" s="11">
        <f>VALUE(_xlfn.XLOOKUP($G41,LatestData!$A$17:$A$89,LatestData!P$17:P$89))</f>
        <v>73.818179999999998</v>
      </c>
      <c r="U41" s="11">
        <f>VALUE(_xlfn.XLOOKUP($G41,LatestData!$A$17:$A$89,LatestData!Q$17:Q$89))</f>
        <v>2.1666699999999999</v>
      </c>
      <c r="V41" s="11">
        <f>VALUE(_xlfn.XLOOKUP($G41,LatestData!$A$17:$A$89,LatestData!R$17:R$89))</f>
        <v>1.4</v>
      </c>
      <c r="W41" s="15">
        <f>VALUE(_xlfn.XLOOKUP($G41,LatestData!$A$17:$A$89,LatestData!S$17:S$89)%)</f>
        <v>2.2200000000000001E-2</v>
      </c>
      <c r="X41" s="16">
        <f>VALUE(_xlfn.XLOOKUP($G41,LatestData!$A$17:$A$89,LatestData!T$17:T$89))</f>
        <v>45975</v>
      </c>
      <c r="Y41" s="16">
        <f>VALUE(_xlfn.XLOOKUP($G41,LatestData!$A$17:$A$89,LatestData!U$17:U$89))</f>
        <v>46086</v>
      </c>
      <c r="Z41" s="13">
        <f>IFERROR((Table2[[#This Row],[Open]]-Table2[[#This Row],[PreviousClose]])/Table2[[#This Row],[PreviousClose]],0)</f>
        <v>-5.4199141130913562E-3</v>
      </c>
      <c r="AA41" s="13">
        <f>IFERROR((Table2[[#This Row],[Price]]-Table2[[#This Row],[Open]])/Table2[[#This Row],[Open]],0)</f>
        <v>-8.6524742324563288E-3</v>
      </c>
      <c r="AB41" s="11">
        <f>Table2[[#This Row],[Price]]-Table2[[#This Row],[PreviousClose]]</f>
        <v>-0.88010106811523059</v>
      </c>
    </row>
    <row r="42" spans="1:28" ht="21" customHeight="1" x14ac:dyDescent="0.25">
      <c r="A42" s="1" t="s">
        <v>76</v>
      </c>
      <c r="E42" s="4" t="s">
        <v>76</v>
      </c>
      <c r="G42" t="str">
        <f t="shared" si="0"/>
        <v>LNSR</v>
      </c>
      <c r="H42" s="11">
        <f>VALUE(_xlfn.XLOOKUP($G42,LatestData!$A$17:$A$89,LatestData!D$17:D$89))</f>
        <v>11.60999965667725</v>
      </c>
      <c r="I42" s="11">
        <f>VALUE(_xlfn.XLOOKUP($G42,LatestData!$A$17:$A$89,LatestData!E$17:E$89))</f>
        <v>11.5</v>
      </c>
      <c r="J42" s="11">
        <f>VALUE(_xlfn.XLOOKUP($G42,LatestData!$A$17:$A$89,LatestData!F$17:F$89))</f>
        <v>11.722800254821779</v>
      </c>
      <c r="K42" s="11">
        <f>VALUE(_xlfn.XLOOKUP($G42,LatestData!$A$17:$A$89,LatestData!G$17:G$89))</f>
        <v>11.460000038146971</v>
      </c>
      <c r="L42" s="11">
        <f>VALUE(_xlfn.XLOOKUP($G42,LatestData!$A$17:$A$89,LatestData!H$17:H$89))</f>
        <v>11.60000038146973</v>
      </c>
      <c r="M42" s="11">
        <f>VALUE(_xlfn.XLOOKUP($G42,LatestData!$A$17:$A$89,LatestData!I$17:I$89))</f>
        <v>46353</v>
      </c>
      <c r="N42" s="14">
        <f>VALUE(_xlfn.XLOOKUP($G42,LatestData!$A$17:$A$89,LatestData!J$17:J$89))</f>
        <v>46028.272222222222</v>
      </c>
      <c r="O42" s="11">
        <f>VALUE(_xlfn.XLOOKUP($G42,LatestData!$A$17:$A$89,LatestData!K$17:K$89))</f>
        <v>29093.28571428571</v>
      </c>
      <c r="P42" s="11">
        <f>VALUE(_xlfn.XLOOKUP($G42,LatestData!$A$17:$A$89,LatestData!L$17:L$89))</f>
        <v>137362272</v>
      </c>
      <c r="Q42" s="11">
        <f>VALUE(_xlfn.XLOOKUP($G42,LatestData!$A$17:$A$89,LatestData!M$17:M$89))</f>
        <v>17.309999999999999</v>
      </c>
      <c r="R42" s="11">
        <f>VALUE(_xlfn.XLOOKUP($G42,LatestData!$A$17:$A$89,LatestData!N$17:N$89))</f>
        <v>7.25</v>
      </c>
      <c r="S42" s="20" t="str">
        <f>_xlfn.XLOOKUP($G42,LatestData!$A$17:$A$89,LatestData!O$17:O$89)</f>
        <v>USD</v>
      </c>
      <c r="T42" s="11">
        <f>VALUE(_xlfn.XLOOKUP($G42,LatestData!$A$17:$A$89,LatestData!P$17:P$89))</f>
        <v>15</v>
      </c>
      <c r="U42" s="11">
        <f>VALUE(_xlfn.XLOOKUP($G42,LatestData!$A$17:$A$89,LatestData!Q$17:Q$89))</f>
        <v>0</v>
      </c>
      <c r="V42" s="11">
        <f>VALUE(_xlfn.XLOOKUP($G42,LatestData!$A$17:$A$89,LatestData!R$17:R$89))</f>
        <v>0</v>
      </c>
      <c r="W42" s="15">
        <f>VALUE(_xlfn.XLOOKUP($G42,LatestData!$A$17:$A$89,LatestData!S$17:S$89)%)</f>
        <v>0</v>
      </c>
      <c r="X42" s="16">
        <f>VALUE(_xlfn.XLOOKUP($G42,LatestData!$A$17:$A$89,LatestData!T$17:T$89))</f>
        <v>0</v>
      </c>
      <c r="Y42" s="16">
        <f>VALUE(_xlfn.XLOOKUP($G42,LatestData!$A$17:$A$89,LatestData!U$17:U$89))</f>
        <v>45967</v>
      </c>
      <c r="Z42" s="13">
        <f>IFERROR((Table2[[#This Row],[Open]]-Table2[[#This Row],[PreviousClose]])/Table2[[#This Row],[PreviousClose]],0)</f>
        <v>8.6200645505949672E-4</v>
      </c>
      <c r="AA42" s="13">
        <f>IFERROR((Table2[[#This Row],[Price]]-Table2[[#This Row],[Open]])/Table2[[#This Row],[Open]],0)</f>
        <v>-9.4745615788184492E-3</v>
      </c>
      <c r="AB42" s="11">
        <f>Table2[[#This Row],[Price]]-Table2[[#This Row],[PreviousClose]]</f>
        <v>-0.10000038146973012</v>
      </c>
    </row>
    <row r="43" spans="1:28" ht="21" customHeight="1" x14ac:dyDescent="0.25">
      <c r="A43" s="1" t="s">
        <v>77</v>
      </c>
      <c r="E43" s="3" t="s">
        <v>77</v>
      </c>
      <c r="G43" t="str">
        <f t="shared" si="0"/>
        <v>LUMN</v>
      </c>
      <c r="H43" s="11">
        <f>VALUE(_xlfn.XLOOKUP($G43,LatestData!$A$17:$A$89,LatestData!D$17:D$89))</f>
        <v>7.690000057220459</v>
      </c>
      <c r="I43" s="11">
        <f>VALUE(_xlfn.XLOOKUP($G43,LatestData!$A$17:$A$89,LatestData!E$17:E$89))</f>
        <v>7.5999999046325684</v>
      </c>
      <c r="J43" s="11">
        <f>VALUE(_xlfn.XLOOKUP($G43,LatestData!$A$17:$A$89,LatestData!F$17:F$89))</f>
        <v>7.7849998474121094</v>
      </c>
      <c r="K43" s="11">
        <f>VALUE(_xlfn.XLOOKUP($G43,LatestData!$A$17:$A$89,LatestData!G$17:G$89))</f>
        <v>7.3499999046325684</v>
      </c>
      <c r="L43" s="11">
        <f>VALUE(_xlfn.XLOOKUP($G43,LatestData!$A$17:$A$89,LatestData!H$17:H$89))</f>
        <v>7.6997</v>
      </c>
      <c r="M43" s="11">
        <f>VALUE(_xlfn.XLOOKUP($G43,LatestData!$A$17:$A$89,LatestData!I$17:I$89))</f>
        <v>5972647</v>
      </c>
      <c r="N43" s="14">
        <f>VALUE(_xlfn.XLOOKUP($G43,LatestData!$A$17:$A$89,LatestData!J$17:J$89))</f>
        <v>46028.276388888888</v>
      </c>
      <c r="O43" s="11">
        <f>VALUE(_xlfn.XLOOKUP($G43,LatestData!$A$17:$A$89,LatestData!K$17:K$89))</f>
        <v>6904306.7142857146</v>
      </c>
      <c r="P43" s="11">
        <f>VALUE(_xlfn.XLOOKUP($G43,LatestData!$A$17:$A$89,LatestData!L$17:L$89))</f>
        <v>7798670848</v>
      </c>
      <c r="Q43" s="11">
        <f>VALUE(_xlfn.XLOOKUP($G43,LatestData!$A$17:$A$89,LatestData!M$17:M$89))</f>
        <v>11.95</v>
      </c>
      <c r="R43" s="11">
        <f>VALUE(_xlfn.XLOOKUP($G43,LatestData!$A$17:$A$89,LatestData!N$17:N$89))</f>
        <v>3.01</v>
      </c>
      <c r="S43" s="20" t="str">
        <f>_xlfn.XLOOKUP($G43,LatestData!$A$17:$A$89,LatestData!O$17:O$89)</f>
        <v>USD</v>
      </c>
      <c r="T43" s="11">
        <f>VALUE(_xlfn.XLOOKUP($G43,LatestData!$A$17:$A$89,LatestData!P$17:P$89))</f>
        <v>7.2329999999999997</v>
      </c>
      <c r="U43" s="11">
        <f>VALUE(_xlfn.XLOOKUP($G43,LatestData!$A$17:$A$89,LatestData!Q$17:Q$89))</f>
        <v>0</v>
      </c>
      <c r="V43" s="11">
        <f>VALUE(_xlfn.XLOOKUP($G43,LatestData!$A$17:$A$89,LatestData!R$17:R$89))</f>
        <v>0</v>
      </c>
      <c r="W43" s="15">
        <f>VALUE(_xlfn.XLOOKUP($G43,LatestData!$A$17:$A$89,LatestData!S$17:S$89)%)</f>
        <v>0</v>
      </c>
      <c r="X43" s="16">
        <f>VALUE(_xlfn.XLOOKUP($G43,LatestData!$A$17:$A$89,LatestData!T$17:T$89))</f>
        <v>44802</v>
      </c>
      <c r="Y43" s="16">
        <f>VALUE(_xlfn.XLOOKUP($G43,LatestData!$A$17:$A$89,LatestData!U$17:U$89))</f>
        <v>45960</v>
      </c>
      <c r="Z43" s="13">
        <f>IFERROR((Table2[[#This Row],[Open]]-Table2[[#This Row],[PreviousClose]])/Table2[[#This Row],[PreviousClose]],0)</f>
        <v>-1.2597819109239326E-3</v>
      </c>
      <c r="AA43" s="13">
        <f>IFERROR((Table2[[#This Row],[Price]]-Table2[[#This Row],[Open]])/Table2[[#This Row],[Open]],0)</f>
        <v>-1.1703530808609782E-2</v>
      </c>
      <c r="AB43" s="11">
        <f>Table2[[#This Row],[Price]]-Table2[[#This Row],[PreviousClose]]</f>
        <v>-9.9700095367431629E-2</v>
      </c>
    </row>
    <row r="44" spans="1:28" ht="21" customHeight="1" x14ac:dyDescent="0.25">
      <c r="A44" s="1" t="s">
        <v>78</v>
      </c>
      <c r="E44" s="4" t="s">
        <v>78</v>
      </c>
      <c r="G44" t="str">
        <f t="shared" si="0"/>
        <v>MRNA</v>
      </c>
      <c r="H44" s="11">
        <f>VALUE(_xlfn.XLOOKUP($G44,LatestData!$A$17:$A$89,LatestData!D$17:D$89))</f>
        <v>31.29999923706055</v>
      </c>
      <c r="I44" s="11">
        <f>VALUE(_xlfn.XLOOKUP($G44,LatestData!$A$17:$A$89,LatestData!E$17:E$89))</f>
        <v>31.70000076293945</v>
      </c>
      <c r="J44" s="11">
        <f>VALUE(_xlfn.XLOOKUP($G44,LatestData!$A$17:$A$89,LatestData!F$17:F$89))</f>
        <v>32.532901763916023</v>
      </c>
      <c r="K44" s="11">
        <f>VALUE(_xlfn.XLOOKUP($G44,LatestData!$A$17:$A$89,LatestData!G$17:G$89))</f>
        <v>31.270000457763668</v>
      </c>
      <c r="L44" s="11">
        <f>VALUE(_xlfn.XLOOKUP($G44,LatestData!$A$17:$A$89,LatestData!H$17:H$89))</f>
        <v>30.92</v>
      </c>
      <c r="M44" s="11">
        <f>VALUE(_xlfn.XLOOKUP($G44,LatestData!$A$17:$A$89,LatestData!I$17:I$89))</f>
        <v>6128471</v>
      </c>
      <c r="N44" s="14">
        <f>VALUE(_xlfn.XLOOKUP($G44,LatestData!$A$17:$A$89,LatestData!J$17:J$89))</f>
        <v>46028.276388888888</v>
      </c>
      <c r="O44" s="11">
        <f>VALUE(_xlfn.XLOOKUP($G44,LatestData!$A$17:$A$89,LatestData!K$17:K$89))</f>
        <v>6478724.4285714282</v>
      </c>
      <c r="P44" s="11">
        <f>VALUE(_xlfn.XLOOKUP($G44,LatestData!$A$17:$A$89,LatestData!L$17:L$89))</f>
        <v>12386256896</v>
      </c>
      <c r="Q44" s="11">
        <f>VALUE(_xlfn.XLOOKUP($G44,LatestData!$A$17:$A$89,LatestData!M$17:M$89))</f>
        <v>48.92</v>
      </c>
      <c r="R44" s="11">
        <f>VALUE(_xlfn.XLOOKUP($G44,LatestData!$A$17:$A$89,LatestData!N$17:N$89))</f>
        <v>22.28</v>
      </c>
      <c r="S44" s="20" t="str">
        <f>_xlfn.XLOOKUP($G44,LatestData!$A$17:$A$89,LatestData!O$17:O$89)</f>
        <v>USD</v>
      </c>
      <c r="T44" s="11">
        <f>VALUE(_xlfn.XLOOKUP($G44,LatestData!$A$17:$A$89,LatestData!P$17:P$89))</f>
        <v>36.75</v>
      </c>
      <c r="U44" s="11">
        <f>VALUE(_xlfn.XLOOKUP($G44,LatestData!$A$17:$A$89,LatestData!Q$17:Q$89))</f>
        <v>2.8333300000000001</v>
      </c>
      <c r="V44" s="11">
        <f>VALUE(_xlfn.XLOOKUP($G44,LatestData!$A$17:$A$89,LatestData!R$17:R$89))</f>
        <v>0</v>
      </c>
      <c r="W44" s="15">
        <f>VALUE(_xlfn.XLOOKUP($G44,LatestData!$A$17:$A$89,LatestData!S$17:S$89)%)</f>
        <v>0</v>
      </c>
      <c r="X44" s="16">
        <f>VALUE(_xlfn.XLOOKUP($G44,LatestData!$A$17:$A$89,LatestData!T$17:T$89))</f>
        <v>0</v>
      </c>
      <c r="Y44" s="16">
        <f>VALUE(_xlfn.XLOOKUP($G44,LatestData!$A$17:$A$89,LatestData!U$17:U$89))</f>
        <v>45967</v>
      </c>
      <c r="Z44" s="13">
        <f>IFERROR((Table2[[#This Row],[Open]]-Table2[[#This Row],[PreviousClose]])/Table2[[#This Row],[PreviousClose]],0)</f>
        <v>1.2289755402993166E-2</v>
      </c>
      <c r="AA44" s="13">
        <f>IFERROR((Table2[[#This Row],[Price]]-Table2[[#This Row],[Open]])/Table2[[#This Row],[Open]],0)</f>
        <v>1.2779601777283114E-2</v>
      </c>
      <c r="AB44" s="11">
        <f>Table2[[#This Row],[Price]]-Table2[[#This Row],[PreviousClose]]</f>
        <v>0.78000076293944787</v>
      </c>
    </row>
    <row r="45" spans="1:28" ht="21" customHeight="1" x14ac:dyDescent="0.25">
      <c r="A45" s="1" t="s">
        <v>79</v>
      </c>
      <c r="E45" s="3" t="s">
        <v>79</v>
      </c>
      <c r="G45" t="str">
        <f t="shared" si="0"/>
        <v>MSFT</v>
      </c>
      <c r="H45" s="11">
        <f>VALUE(_xlfn.XLOOKUP($G45,LatestData!$A$17:$A$89,LatestData!D$17:D$89))</f>
        <v>473.95001220703119</v>
      </c>
      <c r="I45" s="11">
        <f>VALUE(_xlfn.XLOOKUP($G45,LatestData!$A$17:$A$89,LatestData!E$17:E$89))</f>
        <v>474.07000732421881</v>
      </c>
      <c r="J45" s="11">
        <f>VALUE(_xlfn.XLOOKUP($G45,LatestData!$A$17:$A$89,LatestData!F$17:F$89))</f>
        <v>476.05288696289062</v>
      </c>
      <c r="K45" s="11">
        <f>VALUE(_xlfn.XLOOKUP($G45,LatestData!$A$17:$A$89,LatestData!G$17:G$89))</f>
        <v>469.510009765625</v>
      </c>
      <c r="L45" s="11">
        <f>VALUE(_xlfn.XLOOKUP($G45,LatestData!$A$17:$A$89,LatestData!H$17:H$89))</f>
        <v>472.93</v>
      </c>
      <c r="M45" s="11">
        <f>VALUE(_xlfn.XLOOKUP($G45,LatestData!$A$17:$A$89,LatestData!I$17:I$89))</f>
        <v>14223068</v>
      </c>
      <c r="N45" s="14">
        <f>VALUE(_xlfn.XLOOKUP($G45,LatestData!$A$17:$A$89,LatestData!J$17:J$89))</f>
        <v>46028.276388888888</v>
      </c>
      <c r="O45" s="11">
        <f>VALUE(_xlfn.XLOOKUP($G45,LatestData!$A$17:$A$89,LatestData!K$17:K$89))</f>
        <v>13557181.14285714</v>
      </c>
      <c r="P45" s="11">
        <f>VALUE(_xlfn.XLOOKUP($G45,LatestData!$A$17:$A$89,LatestData!L$17:L$89))</f>
        <v>3523841097728</v>
      </c>
      <c r="Q45" s="11">
        <f>VALUE(_xlfn.XLOOKUP($G45,LatestData!$A$17:$A$89,LatestData!M$17:M$89))</f>
        <v>555.45000000000005</v>
      </c>
      <c r="R45" s="11">
        <f>VALUE(_xlfn.XLOOKUP($G45,LatestData!$A$17:$A$89,LatestData!N$17:N$89))</f>
        <v>344.79</v>
      </c>
      <c r="S45" s="20" t="str">
        <f>_xlfn.XLOOKUP($G45,LatestData!$A$17:$A$89,LatestData!O$17:O$89)</f>
        <v>USD</v>
      </c>
      <c r="T45" s="11">
        <f>VALUE(_xlfn.XLOOKUP($G45,LatestData!$A$17:$A$89,LatestData!P$17:P$89))</f>
        <v>622.51415999999995</v>
      </c>
      <c r="U45" s="11">
        <f>VALUE(_xlfn.XLOOKUP($G45,LatestData!$A$17:$A$89,LatestData!Q$17:Q$89))</f>
        <v>1.2806999999999999</v>
      </c>
      <c r="V45" s="11">
        <f>VALUE(_xlfn.XLOOKUP($G45,LatestData!$A$17:$A$89,LatestData!R$17:R$89))</f>
        <v>3.64</v>
      </c>
      <c r="W45" s="15">
        <f>VALUE(_xlfn.XLOOKUP($G45,LatestData!$A$17:$A$89,LatestData!S$17:S$89)%)</f>
        <v>7.7000000000000002E-3</v>
      </c>
      <c r="X45" s="16">
        <f>VALUE(_xlfn.XLOOKUP($G45,LatestData!$A$17:$A$89,LatestData!T$17:T$89))</f>
        <v>46072</v>
      </c>
      <c r="Y45" s="16">
        <f>VALUE(_xlfn.XLOOKUP($G45,LatestData!$A$17:$A$89,LatestData!U$17:U$89))</f>
        <v>46050</v>
      </c>
      <c r="Z45" s="13">
        <f>IFERROR((Table2[[#This Row],[Open]]-Table2[[#This Row],[PreviousClose]])/Table2[[#This Row],[PreviousClose]],0)</f>
        <v>2.1567931977907648E-3</v>
      </c>
      <c r="AA45" s="13">
        <f>IFERROR((Table2[[#This Row],[Price]]-Table2[[#This Row],[Open]])/Table2[[#This Row],[Open]],0)</f>
        <v>2.5318095600174249E-4</v>
      </c>
      <c r="AB45" s="11">
        <f>Table2[[#This Row],[Price]]-Table2[[#This Row],[PreviousClose]]</f>
        <v>1.1400073242188</v>
      </c>
    </row>
    <row r="46" spans="1:28" ht="21" customHeight="1" x14ac:dyDescent="0.25">
      <c r="A46" s="1" t="s">
        <v>80</v>
      </c>
      <c r="E46" s="4" t="s">
        <v>80</v>
      </c>
      <c r="G46" t="str">
        <f t="shared" si="0"/>
        <v>NEE</v>
      </c>
      <c r="H46" s="11">
        <f>VALUE(_xlfn.XLOOKUP($G46,LatestData!$A$17:$A$89,LatestData!D$17:D$89))</f>
        <v>81.160003662109375</v>
      </c>
      <c r="I46" s="11">
        <f>VALUE(_xlfn.XLOOKUP($G46,LatestData!$A$17:$A$89,LatestData!E$17:E$89))</f>
        <v>80.879997253417969</v>
      </c>
      <c r="J46" s="11">
        <f>VALUE(_xlfn.XLOOKUP($G46,LatestData!$A$17:$A$89,LatestData!F$17:F$89))</f>
        <v>81.205001831054688</v>
      </c>
      <c r="K46" s="11">
        <f>VALUE(_xlfn.XLOOKUP($G46,LatestData!$A$17:$A$89,LatestData!G$17:G$89))</f>
        <v>79.25</v>
      </c>
      <c r="L46" s="11">
        <f>VALUE(_xlfn.XLOOKUP($G46,LatestData!$A$17:$A$89,LatestData!H$17:H$89))</f>
        <v>81.2</v>
      </c>
      <c r="M46" s="11">
        <f>VALUE(_xlfn.XLOOKUP($G46,LatestData!$A$17:$A$89,LatestData!I$17:I$89))</f>
        <v>4858053</v>
      </c>
      <c r="N46" s="14">
        <f>VALUE(_xlfn.XLOOKUP($G46,LatestData!$A$17:$A$89,LatestData!J$17:J$89))</f>
        <v>46028.276388888888</v>
      </c>
      <c r="O46" s="11">
        <f>VALUE(_xlfn.XLOOKUP($G46,LatestData!$A$17:$A$89,LatestData!K$17:K$89))</f>
        <v>5046379</v>
      </c>
      <c r="P46" s="11">
        <f>VALUE(_xlfn.XLOOKUP($G46,LatestData!$A$17:$A$89,LatestData!L$17:L$89))</f>
        <v>168441462784</v>
      </c>
      <c r="Q46" s="11">
        <f>VALUE(_xlfn.XLOOKUP($G46,LatestData!$A$17:$A$89,LatestData!M$17:M$89))</f>
        <v>87.53</v>
      </c>
      <c r="R46" s="11">
        <f>VALUE(_xlfn.XLOOKUP($G46,LatestData!$A$17:$A$89,LatestData!N$17:N$89))</f>
        <v>61.72</v>
      </c>
      <c r="S46" s="20" t="str">
        <f>_xlfn.XLOOKUP($G46,LatestData!$A$17:$A$89,LatestData!O$17:O$89)</f>
        <v>USD</v>
      </c>
      <c r="T46" s="11">
        <f>VALUE(_xlfn.XLOOKUP($G46,LatestData!$A$17:$A$89,LatestData!P$17:P$89))</f>
        <v>90.827269999999999</v>
      </c>
      <c r="U46" s="11">
        <f>VALUE(_xlfn.XLOOKUP($G46,LatestData!$A$17:$A$89,LatestData!Q$17:Q$89))</f>
        <v>1.9166700000000001</v>
      </c>
      <c r="V46" s="11">
        <f>VALUE(_xlfn.XLOOKUP($G46,LatestData!$A$17:$A$89,LatestData!R$17:R$89))</f>
        <v>2.27</v>
      </c>
      <c r="W46" s="15">
        <f>VALUE(_xlfn.XLOOKUP($G46,LatestData!$A$17:$A$89,LatestData!S$17:S$89)%)</f>
        <v>2.7999999999999997E-2</v>
      </c>
      <c r="X46" s="16">
        <f>VALUE(_xlfn.XLOOKUP($G46,LatestData!$A$17:$A$89,LatestData!T$17:T$89))</f>
        <v>45982</v>
      </c>
      <c r="Y46" s="16">
        <f>VALUE(_xlfn.XLOOKUP($G46,LatestData!$A$17:$A$89,LatestData!U$17:U$89))</f>
        <v>46045</v>
      </c>
      <c r="Z46" s="13">
        <f>IFERROR((Table2[[#This Row],[Open]]-Table2[[#This Row],[PreviousClose]])/Table2[[#This Row],[PreviousClose]],0)</f>
        <v>-4.925657375693084E-4</v>
      </c>
      <c r="AA46" s="13">
        <f>IFERROR((Table2[[#This Row],[Price]]-Table2[[#This Row],[Open]])/Table2[[#This Row],[Open]],0)</f>
        <v>-3.4500541653145708E-3</v>
      </c>
      <c r="AB46" s="11">
        <f>Table2[[#This Row],[Price]]-Table2[[#This Row],[PreviousClose]]</f>
        <v>-0.32000274658203409</v>
      </c>
    </row>
    <row r="47" spans="1:28" ht="21" customHeight="1" x14ac:dyDescent="0.25">
      <c r="A47" s="1" t="s">
        <v>81</v>
      </c>
      <c r="E47" s="3" t="s">
        <v>81</v>
      </c>
      <c r="G47" t="str">
        <f t="shared" si="0"/>
        <v>NEM</v>
      </c>
      <c r="H47" s="11">
        <f>VALUE(_xlfn.XLOOKUP($G47,LatestData!$A$17:$A$89,LatestData!D$17:D$89))</f>
        <v>102.65000152587891</v>
      </c>
      <c r="I47" s="11">
        <f>VALUE(_xlfn.XLOOKUP($G47,LatestData!$A$17:$A$89,LatestData!E$17:E$89))</f>
        <v>103.90000152587891</v>
      </c>
      <c r="J47" s="11">
        <f>VALUE(_xlfn.XLOOKUP($G47,LatestData!$A$17:$A$89,LatestData!F$17:F$89))</f>
        <v>105.8399963378906</v>
      </c>
      <c r="K47" s="11">
        <f>VALUE(_xlfn.XLOOKUP($G47,LatestData!$A$17:$A$89,LatestData!G$17:G$89))</f>
        <v>102.5899963378906</v>
      </c>
      <c r="L47" s="11">
        <f>VALUE(_xlfn.XLOOKUP($G47,LatestData!$A$17:$A$89,LatestData!H$17:H$89))</f>
        <v>101.27</v>
      </c>
      <c r="M47" s="11">
        <f>VALUE(_xlfn.XLOOKUP($G47,LatestData!$A$17:$A$89,LatestData!I$17:I$89))</f>
        <v>5414322</v>
      </c>
      <c r="N47" s="14">
        <f>VALUE(_xlfn.XLOOKUP($G47,LatestData!$A$17:$A$89,LatestData!J$17:J$89))</f>
        <v>46028.276388888888</v>
      </c>
      <c r="O47" s="11">
        <f>VALUE(_xlfn.XLOOKUP($G47,LatestData!$A$17:$A$89,LatestData!K$17:K$89))</f>
        <v>5608974.5714285718</v>
      </c>
      <c r="P47" s="11">
        <f>VALUE(_xlfn.XLOOKUP($G47,LatestData!$A$17:$A$89,LatestData!L$17:L$89))</f>
        <v>114128920576</v>
      </c>
      <c r="Q47" s="11">
        <f>VALUE(_xlfn.XLOOKUP($G47,LatestData!$A$17:$A$89,LatestData!M$17:M$89))</f>
        <v>106.34</v>
      </c>
      <c r="R47" s="11">
        <f>VALUE(_xlfn.XLOOKUP($G47,LatestData!$A$17:$A$89,LatestData!N$17:N$89))</f>
        <v>37.68</v>
      </c>
      <c r="S47" s="20" t="str">
        <f>_xlfn.XLOOKUP($G47,LatestData!$A$17:$A$89,LatestData!O$17:O$89)</f>
        <v>USD</v>
      </c>
      <c r="T47" s="11">
        <f>VALUE(_xlfn.XLOOKUP($G47,LatestData!$A$17:$A$89,LatestData!P$17:P$89))</f>
        <v>109.295</v>
      </c>
      <c r="U47" s="11">
        <f>VALUE(_xlfn.XLOOKUP($G47,LatestData!$A$17:$A$89,LatestData!Q$17:Q$89))</f>
        <v>1.6666700000000001</v>
      </c>
      <c r="V47" s="11">
        <f>VALUE(_xlfn.XLOOKUP($G47,LatestData!$A$17:$A$89,LatestData!R$17:R$89))</f>
        <v>1</v>
      </c>
      <c r="W47" s="15">
        <f>VALUE(_xlfn.XLOOKUP($G47,LatestData!$A$17:$A$89,LatestData!S$17:S$89)%)</f>
        <v>9.8999999999999991E-3</v>
      </c>
      <c r="X47" s="16">
        <f>VALUE(_xlfn.XLOOKUP($G47,LatestData!$A$17:$A$89,LatestData!T$17:T$89))</f>
        <v>45987</v>
      </c>
      <c r="Y47" s="16">
        <f>VALUE(_xlfn.XLOOKUP($G47,LatestData!$A$17:$A$89,LatestData!U$17:U$89))</f>
        <v>46072</v>
      </c>
      <c r="Z47" s="13">
        <f>IFERROR((Table2[[#This Row],[Open]]-Table2[[#This Row],[PreviousClose]])/Table2[[#This Row],[PreviousClose]],0)</f>
        <v>1.3626952956244795E-2</v>
      </c>
      <c r="AA47" s="13">
        <f>IFERROR((Table2[[#This Row],[Price]]-Table2[[#This Row],[Open]])/Table2[[#This Row],[Open]],0)</f>
        <v>1.2177301328971386E-2</v>
      </c>
      <c r="AB47" s="11">
        <f>Table2[[#This Row],[Price]]-Table2[[#This Row],[PreviousClose]]</f>
        <v>2.6300015258789102</v>
      </c>
    </row>
    <row r="48" spans="1:28" ht="21" customHeight="1" x14ac:dyDescent="0.25">
      <c r="A48" s="1" t="s">
        <v>82</v>
      </c>
      <c r="E48" s="4" t="s">
        <v>82</v>
      </c>
      <c r="G48" t="str">
        <f t="shared" si="0"/>
        <v>NFLX</v>
      </c>
      <c r="H48" s="11">
        <f>VALUE(_xlfn.XLOOKUP($G48,LatestData!$A$17:$A$89,LatestData!D$17:D$89))</f>
        <v>90.91400146484375</v>
      </c>
      <c r="I48" s="11">
        <f>VALUE(_xlfn.XLOOKUP($G48,LatestData!$A$17:$A$89,LatestData!E$17:E$89))</f>
        <v>91.699996948242188</v>
      </c>
      <c r="J48" s="11">
        <f>VALUE(_xlfn.XLOOKUP($G48,LatestData!$A$17:$A$89,LatestData!F$17:F$89))</f>
        <v>92.625</v>
      </c>
      <c r="K48" s="11">
        <f>VALUE(_xlfn.XLOOKUP($G48,LatestData!$A$17:$A$89,LatestData!G$17:G$89))</f>
        <v>90.839996337890625</v>
      </c>
      <c r="L48" s="11">
        <f>VALUE(_xlfn.XLOOKUP($G48,LatestData!$A$17:$A$89,LatestData!H$17:H$89))</f>
        <v>90.99</v>
      </c>
      <c r="M48" s="11">
        <f>VALUE(_xlfn.XLOOKUP($G48,LatestData!$A$17:$A$89,LatestData!I$17:I$89))</f>
        <v>26726934</v>
      </c>
      <c r="N48" s="14">
        <f>VALUE(_xlfn.XLOOKUP($G48,LatestData!$A$17:$A$89,LatestData!J$17:J$89))</f>
        <v>46028.276388888888</v>
      </c>
      <c r="O48" s="11">
        <f>VALUE(_xlfn.XLOOKUP($G48,LatestData!$A$17:$A$89,LatestData!K$17:K$89))</f>
        <v>24812019.142857142</v>
      </c>
      <c r="P48" s="11">
        <f>VALUE(_xlfn.XLOOKUP($G48,LatestData!$A$17:$A$89,LatestData!L$17:L$89))</f>
        <v>388562518016</v>
      </c>
      <c r="Q48" s="11">
        <f>VALUE(_xlfn.XLOOKUP($G48,LatestData!$A$17:$A$89,LatestData!M$17:M$89))</f>
        <v>134.11500000000001</v>
      </c>
      <c r="R48" s="11">
        <f>VALUE(_xlfn.XLOOKUP($G48,LatestData!$A$17:$A$89,LatestData!N$17:N$89))</f>
        <v>82.11</v>
      </c>
      <c r="S48" s="20" t="str">
        <f>_xlfn.XLOOKUP($G48,LatestData!$A$17:$A$89,LatestData!O$17:O$89)</f>
        <v>USD</v>
      </c>
      <c r="T48" s="11">
        <f>VALUE(_xlfn.XLOOKUP($G48,LatestData!$A$17:$A$89,LatestData!P$17:P$89))</f>
        <v>126.19184</v>
      </c>
      <c r="U48" s="11">
        <f>VALUE(_xlfn.XLOOKUP($G48,LatestData!$A$17:$A$89,LatestData!Q$17:Q$89))</f>
        <v>1.9534899999999999</v>
      </c>
      <c r="V48" s="11">
        <f>VALUE(_xlfn.XLOOKUP($G48,LatestData!$A$17:$A$89,LatestData!R$17:R$89))</f>
        <v>0</v>
      </c>
      <c r="W48" s="15">
        <f>VALUE(_xlfn.XLOOKUP($G48,LatestData!$A$17:$A$89,LatestData!S$17:S$89)%)</f>
        <v>0</v>
      </c>
      <c r="X48" s="16">
        <f>VALUE(_xlfn.XLOOKUP($G48,LatestData!$A$17:$A$89,LatestData!T$17:T$89))</f>
        <v>0</v>
      </c>
      <c r="Y48" s="16">
        <f>VALUE(_xlfn.XLOOKUP($G48,LatestData!$A$17:$A$89,LatestData!U$17:U$89))</f>
        <v>46042</v>
      </c>
      <c r="Z48" s="13">
        <f>IFERROR((Table2[[#This Row],[Open]]-Table2[[#This Row],[PreviousClose]])/Table2[[#This Row],[PreviousClose]],0)</f>
        <v>-8.3524052265353211E-4</v>
      </c>
      <c r="AA48" s="13">
        <f>IFERROR((Table2[[#This Row],[Price]]-Table2[[#This Row],[Open]])/Table2[[#This Row],[Open]],0)</f>
        <v>8.6454833219763213E-3</v>
      </c>
      <c r="AB48" s="11">
        <f>Table2[[#This Row],[Price]]-Table2[[#This Row],[PreviousClose]]</f>
        <v>0.70999694824219262</v>
      </c>
    </row>
    <row r="49" spans="1:28" ht="21" customHeight="1" x14ac:dyDescent="0.25">
      <c r="A49" s="1" t="s">
        <v>83</v>
      </c>
      <c r="E49" s="3" t="s">
        <v>83</v>
      </c>
      <c r="G49" t="str">
        <f t="shared" ref="G49:G80" si="1">IF(OR(LEFT(E49,3)="SAF",LEFT(E49,3)="MVE",LEFT(E49,2)="JB"),MID(E49,IF(LEFT(E49,2)="JB",3,4),LEN(E49)-2),E49)&amp;F49</f>
        <v>NOTE</v>
      </c>
      <c r="H49" s="11">
        <f>VALUE(_xlfn.XLOOKUP($G49,LatestData!$A$17:$A$89,LatestData!D$17:D$89))</f>
        <v>1.639999985694885</v>
      </c>
      <c r="I49" s="11">
        <f>VALUE(_xlfn.XLOOKUP($G49,LatestData!$A$17:$A$89,LatestData!E$17:E$89))</f>
        <v>1.7599999904632571</v>
      </c>
      <c r="J49" s="11">
        <f>VALUE(_xlfn.XLOOKUP($G49,LatestData!$A$17:$A$89,LatestData!F$17:F$89))</f>
        <v>1.830000042915344</v>
      </c>
      <c r="K49" s="11">
        <f>VALUE(_xlfn.XLOOKUP($G49,LatestData!$A$17:$A$89,LatestData!G$17:G$89))</f>
        <v>1.5900000333786011</v>
      </c>
      <c r="L49" s="11">
        <f>VALUE(_xlfn.XLOOKUP($G49,LatestData!$A$17:$A$89,LatestData!H$17:H$89))</f>
        <v>1.61</v>
      </c>
      <c r="M49" s="11">
        <f>VALUE(_xlfn.XLOOKUP($G49,LatestData!$A$17:$A$89,LatestData!I$17:I$89))</f>
        <v>360893</v>
      </c>
      <c r="N49" s="14">
        <f>VALUE(_xlfn.XLOOKUP($G49,LatestData!$A$17:$A$89,LatestData!J$17:J$89))</f>
        <v>46028.275694444441</v>
      </c>
      <c r="O49" s="11">
        <f>VALUE(_xlfn.XLOOKUP($G49,LatestData!$A$17:$A$89,LatestData!K$17:K$89))</f>
        <v>300327.57142857142</v>
      </c>
      <c r="P49" s="11">
        <f>VALUE(_xlfn.XLOOKUP($G49,LatestData!$A$17:$A$89,LatestData!L$17:L$89))</f>
        <v>27649416</v>
      </c>
      <c r="Q49" s="11">
        <f>VALUE(_xlfn.XLOOKUP($G49,LatestData!$A$17:$A$89,LatestData!M$17:M$89))</f>
        <v>24.36</v>
      </c>
      <c r="R49" s="11">
        <f>VALUE(_xlfn.XLOOKUP($G49,LatestData!$A$17:$A$89,LatestData!N$17:N$89))</f>
        <v>1.41</v>
      </c>
      <c r="S49" s="20" t="str">
        <f>_xlfn.XLOOKUP($G49,LatestData!$A$17:$A$89,LatestData!O$17:O$89)</f>
        <v>USD</v>
      </c>
      <c r="T49" s="11">
        <f>VALUE(_xlfn.XLOOKUP($G49,LatestData!$A$17:$A$89,LatestData!P$17:P$89))</f>
        <v>19.250540000000001</v>
      </c>
      <c r="U49" s="11">
        <f>VALUE(_xlfn.XLOOKUP($G49,LatestData!$A$17:$A$89,LatestData!Q$17:Q$89))</f>
        <v>0</v>
      </c>
      <c r="V49" s="11">
        <f>VALUE(_xlfn.XLOOKUP($G49,LatestData!$A$17:$A$89,LatestData!R$17:R$89))</f>
        <v>0</v>
      </c>
      <c r="W49" s="15">
        <f>VALUE(_xlfn.XLOOKUP($G49,LatestData!$A$17:$A$89,LatestData!S$17:S$89)%)</f>
        <v>0</v>
      </c>
      <c r="X49" s="16">
        <f>VALUE(_xlfn.XLOOKUP($G49,LatestData!$A$17:$A$89,LatestData!T$17:T$89))</f>
        <v>0</v>
      </c>
      <c r="Y49" s="16">
        <f>VALUE(_xlfn.XLOOKUP($G49,LatestData!$A$17:$A$89,LatestData!U$17:U$89))</f>
        <v>45967</v>
      </c>
      <c r="Z49" s="13">
        <f>IFERROR((Table2[[#This Row],[Open]]-Table2[[#This Row],[PreviousClose]])/Table2[[#This Row],[PreviousClose]],0)</f>
        <v>1.8633531487506169E-2</v>
      </c>
      <c r="AA49" s="13">
        <f>IFERROR((Table2[[#This Row],[Price]]-Table2[[#This Row],[Open]])/Table2[[#This Row],[Open]],0)</f>
        <v>7.3170735253102318E-2</v>
      </c>
      <c r="AB49" s="11">
        <f>Table2[[#This Row],[Price]]-Table2[[#This Row],[PreviousClose]]</f>
        <v>0.14999999046325696</v>
      </c>
    </row>
    <row r="50" spans="1:28" ht="21" customHeight="1" x14ac:dyDescent="0.25">
      <c r="A50" s="1" t="s">
        <v>84</v>
      </c>
      <c r="E50" s="7" t="s">
        <v>84</v>
      </c>
      <c r="G50" t="str">
        <f t="shared" si="1"/>
        <v>PAAS</v>
      </c>
      <c r="H50" s="11">
        <f>VALUE(_xlfn.XLOOKUP($G50,LatestData!$A$17:$A$89,LatestData!D$17:D$89))</f>
        <v>52.490001678466797</v>
      </c>
      <c r="I50" s="11">
        <f>VALUE(_xlfn.XLOOKUP($G50,LatestData!$A$17:$A$89,LatestData!E$17:E$89))</f>
        <v>53.375</v>
      </c>
      <c r="J50" s="11">
        <f>VALUE(_xlfn.XLOOKUP($G50,LatestData!$A$17:$A$89,LatestData!F$17:F$89))</f>
        <v>54.360000610351562</v>
      </c>
      <c r="K50" s="11">
        <f>VALUE(_xlfn.XLOOKUP($G50,LatestData!$A$17:$A$89,LatestData!G$17:G$89))</f>
        <v>51.960098266601562</v>
      </c>
      <c r="L50" s="11">
        <f>VALUE(_xlfn.XLOOKUP($G50,LatestData!$A$17:$A$89,LatestData!H$17:H$89))</f>
        <v>51</v>
      </c>
      <c r="M50" s="11">
        <f>VALUE(_xlfn.XLOOKUP($G50,LatestData!$A$17:$A$89,LatestData!I$17:I$89))</f>
        <v>4482834</v>
      </c>
      <c r="N50" s="14">
        <f>VALUE(_xlfn.XLOOKUP($G50,LatestData!$A$17:$A$89,LatestData!J$17:J$89))</f>
        <v>46028.276388888888</v>
      </c>
      <c r="O50" s="11">
        <f>VALUE(_xlfn.XLOOKUP($G50,LatestData!$A$17:$A$89,LatestData!K$17:K$89))</f>
        <v>5404947.7142857146</v>
      </c>
      <c r="P50" s="11">
        <f>VALUE(_xlfn.XLOOKUP($G50,LatestData!$A$17:$A$89,LatestData!L$17:L$89))</f>
        <v>22526758912</v>
      </c>
      <c r="Q50" s="11">
        <f>VALUE(_xlfn.XLOOKUP($G50,LatestData!$A$17:$A$89,LatestData!M$17:M$89))</f>
        <v>55.85</v>
      </c>
      <c r="R50" s="11">
        <f>VALUE(_xlfn.XLOOKUP($G50,LatestData!$A$17:$A$89,LatestData!N$17:N$89))</f>
        <v>20.350000000000001</v>
      </c>
      <c r="S50" s="20" t="str">
        <f>_xlfn.XLOOKUP($G50,LatestData!$A$17:$A$89,LatestData!O$17:O$89)</f>
        <v>USD</v>
      </c>
      <c r="T50" s="11">
        <f>VALUE(_xlfn.XLOOKUP($G50,LatestData!$A$17:$A$89,LatestData!P$17:P$89))</f>
        <v>51.25</v>
      </c>
      <c r="U50" s="11">
        <f>VALUE(_xlfn.XLOOKUP($G50,LatestData!$A$17:$A$89,LatestData!Q$17:Q$89))</f>
        <v>2</v>
      </c>
      <c r="V50" s="11">
        <f>VALUE(_xlfn.XLOOKUP($G50,LatestData!$A$17:$A$89,LatestData!R$17:R$89))</f>
        <v>0.56000000000000005</v>
      </c>
      <c r="W50" s="15">
        <f>VALUE(_xlfn.XLOOKUP($G50,LatestData!$A$17:$A$89,LatestData!S$17:S$89)%)</f>
        <v>1.1000000000000001E-2</v>
      </c>
      <c r="X50" s="16">
        <f>VALUE(_xlfn.XLOOKUP($G50,LatestData!$A$17:$A$89,LatestData!T$17:T$89))</f>
        <v>45985</v>
      </c>
      <c r="Y50" s="16">
        <f>VALUE(_xlfn.XLOOKUP($G50,LatestData!$A$17:$A$89,LatestData!U$17:U$89))</f>
        <v>46071</v>
      </c>
      <c r="Z50" s="13">
        <f>IFERROR((Table2[[#This Row],[Open]]-Table2[[#This Row],[PreviousClose]])/Table2[[#This Row],[PreviousClose]],0)</f>
        <v>2.9215719185623469E-2</v>
      </c>
      <c r="AA50" s="13">
        <f>IFERROR((Table2[[#This Row],[Price]]-Table2[[#This Row],[Open]])/Table2[[#This Row],[Open]],0)</f>
        <v>1.6860321837182564E-2</v>
      </c>
      <c r="AB50" s="11">
        <f>Table2[[#This Row],[Price]]-Table2[[#This Row],[PreviousClose]]</f>
        <v>2.375</v>
      </c>
    </row>
    <row r="51" spans="1:28" ht="21" customHeight="1" x14ac:dyDescent="0.25">
      <c r="A51" s="1" t="s">
        <v>85</v>
      </c>
      <c r="E51" s="3" t="s">
        <v>85</v>
      </c>
      <c r="G51" t="str">
        <f t="shared" si="1"/>
        <v>PROF</v>
      </c>
      <c r="H51" s="11">
        <f>VALUE(_xlfn.XLOOKUP($G51,LatestData!$A$17:$A$89,LatestData!D$17:D$89))</f>
        <v>7.690000057220459</v>
      </c>
      <c r="I51" s="11">
        <f>VALUE(_xlfn.XLOOKUP($G51,LatestData!$A$17:$A$89,LatestData!E$17:E$89))</f>
        <v>7.880000114440918</v>
      </c>
      <c r="J51" s="11">
        <f>VALUE(_xlfn.XLOOKUP($G51,LatestData!$A$17:$A$89,LatestData!F$17:F$89))</f>
        <v>7.9499998092651367</v>
      </c>
      <c r="K51" s="11">
        <f>VALUE(_xlfn.XLOOKUP($G51,LatestData!$A$17:$A$89,LatestData!G$17:G$89))</f>
        <v>7.3499999046325684</v>
      </c>
      <c r="L51" s="11">
        <f>VALUE(_xlfn.XLOOKUP($G51,LatestData!$A$17:$A$89,LatestData!H$17:H$89))</f>
        <v>7.7899999618530273</v>
      </c>
      <c r="M51" s="11">
        <f>VALUE(_xlfn.XLOOKUP($G51,LatestData!$A$17:$A$89,LatestData!I$17:I$89))</f>
        <v>106404</v>
      </c>
      <c r="N51" s="14">
        <f>VALUE(_xlfn.XLOOKUP($G51,LatestData!$A$17:$A$89,LatestData!J$17:J$89))</f>
        <v>46028.276388888888</v>
      </c>
      <c r="O51" s="11">
        <f>VALUE(_xlfn.XLOOKUP($G51,LatestData!$A$17:$A$89,LatestData!K$17:K$89))</f>
        <v>125143.42857142859</v>
      </c>
      <c r="P51" s="11">
        <f>VALUE(_xlfn.XLOOKUP($G51,LatestData!$A$17:$A$89,LatestData!L$17:L$89))</f>
        <v>285988608</v>
      </c>
      <c r="Q51" s="11">
        <f>VALUE(_xlfn.XLOOKUP($G51,LatestData!$A$17:$A$89,LatestData!M$17:M$89))</f>
        <v>7.99</v>
      </c>
      <c r="R51" s="11">
        <f>VALUE(_xlfn.XLOOKUP($G51,LatestData!$A$17:$A$89,LatestData!N$17:N$89))</f>
        <v>3.76</v>
      </c>
      <c r="S51" s="20" t="str">
        <f>_xlfn.XLOOKUP($G51,LatestData!$A$17:$A$89,LatestData!O$17:O$89)</f>
        <v>USD</v>
      </c>
      <c r="T51" s="11">
        <f>VALUE(_xlfn.XLOOKUP($G51,LatestData!$A$17:$A$89,LatestData!P$17:P$89))</f>
        <v>12.1</v>
      </c>
      <c r="U51" s="11">
        <f>VALUE(_xlfn.XLOOKUP($G51,LatestData!$A$17:$A$89,LatestData!Q$17:Q$89))</f>
        <v>0</v>
      </c>
      <c r="V51" s="11">
        <f>VALUE(_xlfn.XLOOKUP($G51,LatestData!$A$17:$A$89,LatestData!R$17:R$89))</f>
        <v>0</v>
      </c>
      <c r="W51" s="15">
        <f>VALUE(_xlfn.XLOOKUP($G51,LatestData!$A$17:$A$89,LatestData!S$17:S$89)%)</f>
        <v>0</v>
      </c>
      <c r="X51" s="16">
        <f>VALUE(_xlfn.XLOOKUP($G51,LatestData!$A$17:$A$89,LatestData!T$17:T$89))</f>
        <v>0</v>
      </c>
      <c r="Y51" s="16">
        <f>VALUE(_xlfn.XLOOKUP($G51,LatestData!$A$17:$A$89,LatestData!U$17:U$89))</f>
        <v>45974</v>
      </c>
      <c r="Z51" s="13">
        <f>IFERROR((Table2[[#This Row],[Open]]-Table2[[#This Row],[PreviousClose]])/Table2[[#This Row],[PreviousClose]],0)</f>
        <v>-1.2836958295540367E-2</v>
      </c>
      <c r="AA51" s="13">
        <f>IFERROR((Table2[[#This Row],[Price]]-Table2[[#This Row],[Open]])/Table2[[#This Row],[Open]],0)</f>
        <v>2.4707419480713796E-2</v>
      </c>
      <c r="AB51" s="11">
        <f>Table2[[#This Row],[Price]]-Table2[[#This Row],[PreviousClose]]</f>
        <v>9.0000152587890625E-2</v>
      </c>
    </row>
    <row r="52" spans="1:28" ht="21" customHeight="1" x14ac:dyDescent="0.25">
      <c r="A52" s="1" t="s">
        <v>86</v>
      </c>
      <c r="E52" s="4" t="s">
        <v>86</v>
      </c>
      <c r="G52" t="str">
        <f t="shared" si="1"/>
        <v>POET</v>
      </c>
      <c r="H52" s="11">
        <f>VALUE(_xlfn.XLOOKUP($G52,LatestData!$A$17:$A$89,LatestData!D$17:D$89))</f>
        <v>7.2800002098083496</v>
      </c>
      <c r="I52" s="11">
        <f>VALUE(_xlfn.XLOOKUP($G52,LatestData!$A$17:$A$89,LatestData!E$17:E$89))</f>
        <v>7.4050002098083496</v>
      </c>
      <c r="J52" s="11">
        <f>VALUE(_xlfn.XLOOKUP($G52,LatestData!$A$17:$A$89,LatestData!F$17:F$89))</f>
        <v>7.4749999046325684</v>
      </c>
      <c r="K52" s="11">
        <f>VALUE(_xlfn.XLOOKUP($G52,LatestData!$A$17:$A$89,LatestData!G$17:G$89))</f>
        <v>7.0349998474121094</v>
      </c>
      <c r="L52" s="11">
        <f>VALUE(_xlfn.XLOOKUP($G52,LatestData!$A$17:$A$89,LatestData!H$17:H$89))</f>
        <v>7.1608000000000001</v>
      </c>
      <c r="M52" s="11">
        <f>VALUE(_xlfn.XLOOKUP($G52,LatestData!$A$17:$A$89,LatestData!I$17:I$89))</f>
        <v>5150648</v>
      </c>
      <c r="N52" s="14">
        <f>VALUE(_xlfn.XLOOKUP($G52,LatestData!$A$17:$A$89,LatestData!J$17:J$89))</f>
        <v>46028.277083333334</v>
      </c>
      <c r="O52" s="11">
        <f>VALUE(_xlfn.XLOOKUP($G52,LatestData!$A$17:$A$89,LatestData!K$17:K$89))</f>
        <v>5332078.2857142854</v>
      </c>
      <c r="P52" s="11">
        <f>VALUE(_xlfn.XLOOKUP($G52,LatestData!$A$17:$A$89,LatestData!L$17:L$89))</f>
        <v>975754240</v>
      </c>
      <c r="Q52" s="11">
        <f>VALUE(_xlfn.XLOOKUP($G52,LatestData!$A$17:$A$89,LatestData!M$17:M$89))</f>
        <v>9.41</v>
      </c>
      <c r="R52" s="11">
        <f>VALUE(_xlfn.XLOOKUP($G52,LatestData!$A$17:$A$89,LatestData!N$17:N$89))</f>
        <v>3.09</v>
      </c>
      <c r="S52" s="20" t="str">
        <f>_xlfn.XLOOKUP($G52,LatestData!$A$17:$A$89,LatestData!O$17:O$89)</f>
        <v>USD</v>
      </c>
      <c r="T52" s="11">
        <f>VALUE(_xlfn.XLOOKUP($G52,LatestData!$A$17:$A$89,LatestData!P$17:P$89))</f>
        <v>6.9333299999999998</v>
      </c>
      <c r="U52" s="11">
        <f>VALUE(_xlfn.XLOOKUP($G52,LatestData!$A$17:$A$89,LatestData!Q$17:Q$89))</f>
        <v>0</v>
      </c>
      <c r="V52" s="11">
        <f>VALUE(_xlfn.XLOOKUP($G52,LatestData!$A$17:$A$89,LatestData!R$17:R$89))</f>
        <v>0</v>
      </c>
      <c r="W52" s="15">
        <f>VALUE(_xlfn.XLOOKUP($G52,LatestData!$A$17:$A$89,LatestData!S$17:S$89)%)</f>
        <v>0</v>
      </c>
      <c r="X52" s="16">
        <f>VALUE(_xlfn.XLOOKUP($G52,LatestData!$A$17:$A$89,LatestData!T$17:T$89))</f>
        <v>0</v>
      </c>
      <c r="Y52" s="16">
        <f>VALUE(_xlfn.XLOOKUP($G52,LatestData!$A$17:$A$89,LatestData!U$17:U$89))</f>
        <v>45974</v>
      </c>
      <c r="Z52" s="13">
        <f>IFERROR((Table2[[#This Row],[Open]]-Table2[[#This Row],[PreviousClose]])/Table2[[#This Row],[PreviousClose]],0)</f>
        <v>1.664621408339146E-2</v>
      </c>
      <c r="AA52" s="13">
        <f>IFERROR((Table2[[#This Row],[Price]]-Table2[[#This Row],[Open]])/Table2[[#This Row],[Open]],0)</f>
        <v>1.7170329175483733E-2</v>
      </c>
      <c r="AB52" s="11">
        <f>Table2[[#This Row],[Price]]-Table2[[#This Row],[PreviousClose]]</f>
        <v>0.24420020980834956</v>
      </c>
    </row>
    <row r="53" spans="1:28" ht="21" customHeight="1" x14ac:dyDescent="0.25">
      <c r="A53" s="1" t="s">
        <v>87</v>
      </c>
      <c r="E53" s="3" t="s">
        <v>87</v>
      </c>
      <c r="G53" t="str">
        <f t="shared" si="1"/>
        <v>PW</v>
      </c>
      <c r="H53" s="11">
        <f>VALUE(_xlfn.XLOOKUP($G53,LatestData!$A$17:$A$89,LatestData!D$17:D$89))</f>
        <v>0.88910001516342163</v>
      </c>
      <c r="I53" s="11">
        <f>VALUE(_xlfn.XLOOKUP($G53,LatestData!$A$17:$A$89,LatestData!E$17:E$89))</f>
        <v>0.90869998931884766</v>
      </c>
      <c r="J53" s="11">
        <f>VALUE(_xlfn.XLOOKUP($G53,LatestData!$A$17:$A$89,LatestData!F$17:F$89))</f>
        <v>0.91519999504089355</v>
      </c>
      <c r="K53" s="11">
        <f>VALUE(_xlfn.XLOOKUP($G53,LatestData!$A$17:$A$89,LatestData!G$17:G$89))</f>
        <v>0.86000001430511475</v>
      </c>
      <c r="L53" s="11">
        <f>VALUE(_xlfn.XLOOKUP($G53,LatestData!$A$17:$A$89,LatestData!H$17:H$89))</f>
        <v>0.88529999999999998</v>
      </c>
      <c r="M53" s="11">
        <f>VALUE(_xlfn.XLOOKUP($G53,LatestData!$A$17:$A$89,LatestData!I$17:I$89))</f>
        <v>44916</v>
      </c>
      <c r="N53" s="14">
        <f>VALUE(_xlfn.XLOOKUP($G53,LatestData!$A$17:$A$89,LatestData!J$17:J$89))</f>
        <v>46028.256249999999</v>
      </c>
      <c r="O53" s="11">
        <f>VALUE(_xlfn.XLOOKUP($G53,LatestData!$A$17:$A$89,LatestData!K$17:K$89))</f>
        <v>42302.285714285717</v>
      </c>
      <c r="P53" s="11">
        <f>VALUE(_xlfn.XLOOKUP($G53,LatestData!$A$17:$A$89,LatestData!L$17:L$89))</f>
        <v>3080185</v>
      </c>
      <c r="Q53" s="11">
        <f>VALUE(_xlfn.XLOOKUP($G53,LatestData!$A$17:$A$89,LatestData!M$17:M$89))</f>
        <v>1.96</v>
      </c>
      <c r="R53" s="11">
        <f>VALUE(_xlfn.XLOOKUP($G53,LatestData!$A$17:$A$89,LatestData!N$17:N$89))</f>
        <v>0.59</v>
      </c>
      <c r="S53" s="20" t="str">
        <f>_xlfn.XLOOKUP($G53,LatestData!$A$17:$A$89,LatestData!O$17:O$89)</f>
        <v>USD</v>
      </c>
      <c r="T53" s="11">
        <f>VALUE(_xlfn.XLOOKUP($G53,LatestData!$A$17:$A$89,LatestData!P$17:P$89))</f>
        <v>0</v>
      </c>
      <c r="U53" s="11">
        <f>VALUE(_xlfn.XLOOKUP($G53,LatestData!$A$17:$A$89,LatestData!Q$17:Q$89))</f>
        <v>0</v>
      </c>
      <c r="V53" s="11">
        <f>VALUE(_xlfn.XLOOKUP($G53,LatestData!$A$17:$A$89,LatestData!R$17:R$89))</f>
        <v>0</v>
      </c>
      <c r="W53" s="15">
        <f>VALUE(_xlfn.XLOOKUP($G53,LatestData!$A$17:$A$89,LatestData!S$17:S$89)%)</f>
        <v>0</v>
      </c>
      <c r="X53" s="16">
        <f>VALUE(_xlfn.XLOOKUP($G53,LatestData!$A$17:$A$89,LatestData!T$17:T$89))</f>
        <v>41284</v>
      </c>
      <c r="Y53" s="16">
        <f>VALUE(_xlfn.XLOOKUP($G53,LatestData!$A$17:$A$89,LatestData!U$17:U$89))</f>
        <v>0</v>
      </c>
      <c r="Z53" s="13">
        <f>IFERROR((Table2[[#This Row],[Open]]-Table2[[#This Row],[PreviousClose]])/Table2[[#This Row],[PreviousClose]],0)</f>
        <v>4.2923474115233876E-3</v>
      </c>
      <c r="AA53" s="13">
        <f>IFERROR((Table2[[#This Row],[Price]]-Table2[[#This Row],[Open]])/Table2[[#This Row],[Open]],0)</f>
        <v>2.2044734924251956E-2</v>
      </c>
      <c r="AB53" s="11">
        <f>Table2[[#This Row],[Price]]-Table2[[#This Row],[PreviousClose]]</f>
        <v>2.339998931884768E-2</v>
      </c>
    </row>
    <row r="54" spans="1:28" ht="21" customHeight="1" x14ac:dyDescent="0.25">
      <c r="A54" s="1" t="s">
        <v>88</v>
      </c>
      <c r="E54" s="4" t="s">
        <v>88</v>
      </c>
      <c r="G54" t="str">
        <f t="shared" si="1"/>
        <v>RIGL</v>
      </c>
      <c r="H54" s="11">
        <f>VALUE(_xlfn.XLOOKUP($G54,LatestData!$A$17:$A$89,LatestData!D$17:D$89))</f>
        <v>41.759998321533203</v>
      </c>
      <c r="I54" s="11">
        <f>VALUE(_xlfn.XLOOKUP($G54,LatestData!$A$17:$A$89,LatestData!E$17:E$89))</f>
        <v>40.650001525878913</v>
      </c>
      <c r="J54" s="11">
        <f>VALUE(_xlfn.XLOOKUP($G54,LatestData!$A$17:$A$89,LatestData!F$17:F$89))</f>
        <v>42.660301208496087</v>
      </c>
      <c r="K54" s="11">
        <f>VALUE(_xlfn.XLOOKUP($G54,LatestData!$A$17:$A$89,LatestData!G$17:G$89))</f>
        <v>40.509998321533203</v>
      </c>
      <c r="L54" s="11">
        <f>VALUE(_xlfn.XLOOKUP($G54,LatestData!$A$17:$A$89,LatestData!H$17:H$89))</f>
        <v>42.65</v>
      </c>
      <c r="M54" s="11">
        <f>VALUE(_xlfn.XLOOKUP($G54,LatestData!$A$17:$A$89,LatestData!I$17:I$89))</f>
        <v>194860</v>
      </c>
      <c r="N54" s="14">
        <f>VALUE(_xlfn.XLOOKUP($G54,LatestData!$A$17:$A$89,LatestData!J$17:J$89))</f>
        <v>46028.275694444441</v>
      </c>
      <c r="O54" s="11">
        <f>VALUE(_xlfn.XLOOKUP($G54,LatestData!$A$17:$A$89,LatestData!K$17:K$89))</f>
        <v>613594.28571428568</v>
      </c>
      <c r="P54" s="11">
        <f>VALUE(_xlfn.XLOOKUP($G54,LatestData!$A$17:$A$89,LatestData!L$17:L$89))</f>
        <v>737852160</v>
      </c>
      <c r="Q54" s="11">
        <f>VALUE(_xlfn.XLOOKUP($G54,LatestData!$A$17:$A$89,LatestData!M$17:M$89))</f>
        <v>52.24</v>
      </c>
      <c r="R54" s="11">
        <f>VALUE(_xlfn.XLOOKUP($G54,LatestData!$A$17:$A$89,LatestData!N$17:N$89))</f>
        <v>15.5</v>
      </c>
      <c r="S54" s="20" t="str">
        <f>_xlfn.XLOOKUP($G54,LatestData!$A$17:$A$89,LatestData!O$17:O$89)</f>
        <v>USD</v>
      </c>
      <c r="T54" s="11">
        <f>VALUE(_xlfn.XLOOKUP($G54,LatestData!$A$17:$A$89,LatestData!P$17:P$89))</f>
        <v>51.2</v>
      </c>
      <c r="U54" s="11">
        <f>VALUE(_xlfn.XLOOKUP($G54,LatestData!$A$17:$A$89,LatestData!Q$17:Q$89))</f>
        <v>1.8</v>
      </c>
      <c r="V54" s="11">
        <f>VALUE(_xlfn.XLOOKUP($G54,LatestData!$A$17:$A$89,LatestData!R$17:R$89))</f>
        <v>0</v>
      </c>
      <c r="W54" s="15">
        <f>VALUE(_xlfn.XLOOKUP($G54,LatestData!$A$17:$A$89,LatestData!S$17:S$89)%)</f>
        <v>0</v>
      </c>
      <c r="X54" s="16">
        <f>VALUE(_xlfn.XLOOKUP($G54,LatestData!$A$17:$A$89,LatestData!T$17:T$89))</f>
        <v>0</v>
      </c>
      <c r="Y54" s="16">
        <f>VALUE(_xlfn.XLOOKUP($G54,LatestData!$A$17:$A$89,LatestData!U$17:U$89))</f>
        <v>45965</v>
      </c>
      <c r="Z54" s="13">
        <f>IFERROR((Table2[[#This Row],[Open]]-Table2[[#This Row],[PreviousClose]])/Table2[[#This Row],[PreviousClose]],0)</f>
        <v>-2.0867565731929553E-2</v>
      </c>
      <c r="AA54" s="13">
        <f>IFERROR((Table2[[#This Row],[Price]]-Table2[[#This Row],[Open]])/Table2[[#This Row],[Open]],0)</f>
        <v>-2.6580384106048419E-2</v>
      </c>
      <c r="AB54" s="11">
        <f>Table2[[#This Row],[Price]]-Table2[[#This Row],[PreviousClose]]</f>
        <v>-1.9999984741210852</v>
      </c>
    </row>
    <row r="55" spans="1:28" ht="21" customHeight="1" x14ac:dyDescent="0.25">
      <c r="A55" s="1" t="s">
        <v>89</v>
      </c>
      <c r="E55" s="3" t="s">
        <v>90</v>
      </c>
      <c r="F55" t="s">
        <v>68</v>
      </c>
      <c r="G55" t="str">
        <f t="shared" si="1"/>
        <v>RWE.DE</v>
      </c>
      <c r="H55" s="11">
        <f>VALUE(_xlfn.XLOOKUP($G55,LatestData!$A$17:$A$89,LatestData!D$17:D$89))</f>
        <v>46.900001525878913</v>
      </c>
      <c r="I55" s="11">
        <f>VALUE(_xlfn.XLOOKUP($G55,LatestData!$A$17:$A$89,LatestData!E$17:E$89))</f>
        <v>47.240001678466797</v>
      </c>
      <c r="J55" s="11">
        <f>VALUE(_xlfn.XLOOKUP($G55,LatestData!$A$17:$A$89,LatestData!F$17:F$89))</f>
        <v>47.240001678466797</v>
      </c>
      <c r="K55" s="11">
        <f>VALUE(_xlfn.XLOOKUP($G55,LatestData!$A$17:$A$89,LatestData!G$17:G$89))</f>
        <v>46.240001678466797</v>
      </c>
      <c r="L55" s="11">
        <f>VALUE(_xlfn.XLOOKUP($G55,LatestData!$A$17:$A$89,LatestData!H$17:H$89))</f>
        <v>46.91</v>
      </c>
      <c r="M55" s="11">
        <f>VALUE(_xlfn.XLOOKUP($G55,LatestData!$A$17:$A$89,LatestData!I$17:I$89))</f>
        <v>1851472</v>
      </c>
      <c r="N55" s="14">
        <f>VALUE(_xlfn.XLOOKUP($G55,LatestData!$A$17:$A$89,LatestData!J$17:J$89))</f>
        <v>46028.265277777777</v>
      </c>
      <c r="O55" s="11">
        <f>VALUE(_xlfn.XLOOKUP($G55,LatestData!$A$17:$A$89,LatestData!K$17:K$89))</f>
        <v>1370729.4285714291</v>
      </c>
      <c r="P55" s="11">
        <f>VALUE(_xlfn.XLOOKUP($G55,LatestData!$A$17:$A$89,LatestData!L$17:L$89))</f>
        <v>34928918528</v>
      </c>
      <c r="Q55" s="11">
        <f>VALUE(_xlfn.XLOOKUP($G55,LatestData!$A$17:$A$89,LatestData!M$17:M$89))</f>
        <v>47.24</v>
      </c>
      <c r="R55" s="11">
        <f>VALUE(_xlfn.XLOOKUP($G55,LatestData!$A$17:$A$89,LatestData!N$17:N$89))</f>
        <v>27.95</v>
      </c>
      <c r="S55" s="20" t="str">
        <f>_xlfn.XLOOKUP($G55,LatestData!$A$17:$A$89,LatestData!O$17:O$89)</f>
        <v>EUR</v>
      </c>
      <c r="T55" s="11">
        <f>VALUE(_xlfn.XLOOKUP($G55,LatestData!$A$17:$A$89,LatestData!P$17:P$89))</f>
        <v>49.138890000000004</v>
      </c>
      <c r="U55" s="11">
        <f>VALUE(_xlfn.XLOOKUP($G55,LatestData!$A$17:$A$89,LatestData!Q$17:Q$89))</f>
        <v>0</v>
      </c>
      <c r="V55" s="11">
        <f>VALUE(_xlfn.XLOOKUP($G55,LatestData!$A$17:$A$89,LatestData!R$17:R$89))</f>
        <v>1.1000000000000001</v>
      </c>
      <c r="W55" s="15">
        <f>VALUE(_xlfn.XLOOKUP($G55,LatestData!$A$17:$A$89,LatestData!S$17:S$89)%)</f>
        <v>2.3399999999999997E-2</v>
      </c>
      <c r="X55" s="16">
        <f>VALUE(_xlfn.XLOOKUP($G55,LatestData!$A$17:$A$89,LatestData!T$17:T$89))</f>
        <v>45779</v>
      </c>
      <c r="Y55" s="16">
        <f>VALUE(_xlfn.XLOOKUP($G55,LatestData!$A$17:$A$89,LatestData!U$17:U$89))</f>
        <v>45973</v>
      </c>
      <c r="Z55" s="13">
        <f>IFERROR((Table2[[#This Row],[Open]]-Table2[[#This Row],[PreviousClose]])/Table2[[#This Row],[PreviousClose]],0)</f>
        <v>-2.1314163549527253E-4</v>
      </c>
      <c r="AA55" s="13">
        <f>IFERROR((Table2[[#This Row],[Price]]-Table2[[#This Row],[Open]])/Table2[[#This Row],[Open]],0)</f>
        <v>7.2494699685729247E-3</v>
      </c>
      <c r="AB55" s="11">
        <f>Table2[[#This Row],[Price]]-Table2[[#This Row],[PreviousClose]]</f>
        <v>0.33000167846680029</v>
      </c>
    </row>
    <row r="56" spans="1:28" ht="21" customHeight="1" x14ac:dyDescent="0.25">
      <c r="A56" s="1" t="s">
        <v>91</v>
      </c>
      <c r="E56" s="4" t="s">
        <v>92</v>
      </c>
      <c r="F56" t="s">
        <v>68</v>
      </c>
      <c r="G56" t="str">
        <f t="shared" si="1"/>
        <v>SAP.DE</v>
      </c>
      <c r="H56" s="11">
        <f>VALUE(_xlfn.XLOOKUP($G56,LatestData!$A$17:$A$89,LatestData!D$17:D$89))</f>
        <v>200.19999694824219</v>
      </c>
      <c r="I56" s="11">
        <f>VALUE(_xlfn.XLOOKUP($G56,LatestData!$A$17:$A$89,LatestData!E$17:E$89))</f>
        <v>206.19999694824219</v>
      </c>
      <c r="J56" s="11">
        <f>VALUE(_xlfn.XLOOKUP($G56,LatestData!$A$17:$A$89,LatestData!F$17:F$89))</f>
        <v>206.19999694824219</v>
      </c>
      <c r="K56" s="11">
        <f>VALUE(_xlfn.XLOOKUP($G56,LatestData!$A$17:$A$89,LatestData!G$17:G$89))</f>
        <v>199.6000061035156</v>
      </c>
      <c r="L56" s="11">
        <f>VALUE(_xlfn.XLOOKUP($G56,LatestData!$A$17:$A$89,LatestData!H$17:H$89))</f>
        <v>201.95</v>
      </c>
      <c r="M56" s="11">
        <f>VALUE(_xlfn.XLOOKUP($G56,LatestData!$A$17:$A$89,LatestData!I$17:I$89))</f>
        <v>1313735</v>
      </c>
      <c r="N56" s="14">
        <f>VALUE(_xlfn.XLOOKUP($G56,LatestData!$A$17:$A$89,LatestData!J$17:J$89))</f>
        <v>46028.263194444444</v>
      </c>
      <c r="O56" s="11">
        <f>VALUE(_xlfn.XLOOKUP($G56,LatestData!$A$17:$A$89,LatestData!K$17:K$89))</f>
        <v>1415537.857142857</v>
      </c>
      <c r="P56" s="11">
        <f>VALUE(_xlfn.XLOOKUP($G56,LatestData!$A$17:$A$89,LatestData!L$17:L$89))</f>
        <v>240141402112</v>
      </c>
      <c r="Q56" s="11">
        <f>VALUE(_xlfn.XLOOKUP($G56,LatestData!$A$17:$A$89,LatestData!M$17:M$89))</f>
        <v>283.5</v>
      </c>
      <c r="R56" s="11">
        <f>VALUE(_xlfn.XLOOKUP($G56,LatestData!$A$17:$A$89,LatestData!N$17:N$89))</f>
        <v>199.6</v>
      </c>
      <c r="S56" s="20" t="str">
        <f>_xlfn.XLOOKUP($G56,LatestData!$A$17:$A$89,LatestData!O$17:O$89)</f>
        <v>EUR</v>
      </c>
      <c r="T56" s="11">
        <f>VALUE(_xlfn.XLOOKUP($G56,LatestData!$A$17:$A$89,LatestData!P$17:P$89))</f>
        <v>283.20499999999998</v>
      </c>
      <c r="U56" s="11">
        <f>VALUE(_xlfn.XLOOKUP($G56,LatestData!$A$17:$A$89,LatestData!Q$17:Q$89))</f>
        <v>1.6296299999999999</v>
      </c>
      <c r="V56" s="11">
        <f>VALUE(_xlfn.XLOOKUP($G56,LatestData!$A$17:$A$89,LatestData!R$17:R$89))</f>
        <v>2.35</v>
      </c>
      <c r="W56" s="15">
        <f>VALUE(_xlfn.XLOOKUP($G56,LatestData!$A$17:$A$89,LatestData!S$17:S$89)%)</f>
        <v>1.1599999999999999E-2</v>
      </c>
      <c r="X56" s="16">
        <f>VALUE(_xlfn.XLOOKUP($G56,LatestData!$A$17:$A$89,LatestData!T$17:T$89))</f>
        <v>45791</v>
      </c>
      <c r="Y56" s="16">
        <f>VALUE(_xlfn.XLOOKUP($G56,LatestData!$A$17:$A$89,LatestData!U$17:U$89))</f>
        <v>45952</v>
      </c>
      <c r="Z56" s="13">
        <f>IFERROR((Table2[[#This Row],[Open]]-Table2[[#This Row],[PreviousClose]])/Table2[[#This Row],[PreviousClose]],0)</f>
        <v>-8.6655263766169909E-3</v>
      </c>
      <c r="AA56" s="13">
        <f>IFERROR((Table2[[#This Row],[Price]]-Table2[[#This Row],[Open]])/Table2[[#This Row],[Open]],0)</f>
        <v>2.9970030426879492E-2</v>
      </c>
      <c r="AB56" s="11">
        <f>Table2[[#This Row],[Price]]-Table2[[#This Row],[PreviousClose]]</f>
        <v>4.2499969482421989</v>
      </c>
    </row>
    <row r="57" spans="1:28" ht="21" customHeight="1" x14ac:dyDescent="0.25">
      <c r="A57" s="1" t="s">
        <v>93</v>
      </c>
      <c r="E57" s="3" t="s">
        <v>93</v>
      </c>
      <c r="G57" t="str">
        <f t="shared" si="1"/>
        <v>SHECY</v>
      </c>
      <c r="H57" s="11">
        <f>VALUE(_xlfn.XLOOKUP($G57,LatestData!$A$17:$A$89,LatestData!D$17:D$89))</f>
        <v>16.010000228881839</v>
      </c>
      <c r="I57" s="11">
        <f>VALUE(_xlfn.XLOOKUP($G57,LatestData!$A$17:$A$89,LatestData!E$17:E$89))</f>
        <v>15.930000305175779</v>
      </c>
      <c r="J57" s="11">
        <f>VALUE(_xlfn.XLOOKUP($G57,LatestData!$A$17:$A$89,LatestData!F$17:F$89))</f>
        <v>16.010000228881839</v>
      </c>
      <c r="K57" s="11">
        <f>VALUE(_xlfn.XLOOKUP($G57,LatestData!$A$17:$A$89,LatestData!G$17:G$89))</f>
        <v>15.75</v>
      </c>
      <c r="L57" s="11">
        <f>VALUE(_xlfn.XLOOKUP($G57,LatestData!$A$17:$A$89,LatestData!H$17:H$89))</f>
        <v>15.689999580383301</v>
      </c>
      <c r="M57" s="11">
        <f>VALUE(_xlfn.XLOOKUP($G57,LatestData!$A$17:$A$89,LatestData!I$17:I$89))</f>
        <v>28567</v>
      </c>
      <c r="N57" s="14">
        <f>VALUE(_xlfn.XLOOKUP($G57,LatestData!$A$17:$A$89,LatestData!J$17:J$89))</f>
        <v>46028.239583333336</v>
      </c>
      <c r="O57" s="11">
        <f>VALUE(_xlfn.XLOOKUP($G57,LatestData!$A$17:$A$89,LatestData!K$17:K$89))</f>
        <v>359223.85714285722</v>
      </c>
      <c r="P57" s="11">
        <f>VALUE(_xlfn.XLOOKUP($G57,LatestData!$A$17:$A$89,LatestData!L$17:L$89))</f>
        <v>59692425216</v>
      </c>
      <c r="Q57" s="11">
        <f>VALUE(_xlfn.XLOOKUP($G57,LatestData!$A$17:$A$89,LatestData!M$17:M$89))</f>
        <v>17.93</v>
      </c>
      <c r="R57" s="11">
        <f>VALUE(_xlfn.XLOOKUP($G57,LatestData!$A$17:$A$89,LatestData!N$17:N$89))</f>
        <v>11.88</v>
      </c>
      <c r="S57" s="20" t="str">
        <f>_xlfn.XLOOKUP($G57,LatestData!$A$17:$A$89,LatestData!O$17:O$89)</f>
        <v>USD</v>
      </c>
      <c r="T57" s="11">
        <f>VALUE(_xlfn.XLOOKUP($G57,LatestData!$A$17:$A$89,LatestData!P$17:P$89))</f>
        <v>0</v>
      </c>
      <c r="U57" s="11">
        <f>VALUE(_xlfn.XLOOKUP($G57,LatestData!$A$17:$A$89,LatestData!Q$17:Q$89))</f>
        <v>0</v>
      </c>
      <c r="V57" s="11">
        <f>VALUE(_xlfn.XLOOKUP($G57,LatestData!$A$17:$A$89,LatestData!R$17:R$89))</f>
        <v>0.35</v>
      </c>
      <c r="W57" s="15">
        <f>VALUE(_xlfn.XLOOKUP($G57,LatestData!$A$17:$A$89,LatestData!S$17:S$89)%)</f>
        <v>2.2599999999999999E-2</v>
      </c>
      <c r="X57" s="16">
        <f>VALUE(_xlfn.XLOOKUP($G57,LatestData!$A$17:$A$89,LatestData!T$17:T$89))</f>
        <v>45930</v>
      </c>
      <c r="Y57" s="16">
        <f>VALUE(_xlfn.XLOOKUP($G57,LatestData!$A$17:$A$89,LatestData!U$17:U$89))</f>
        <v>46049</v>
      </c>
      <c r="Z57" s="13">
        <f>IFERROR((Table2[[#This Row],[Open]]-Table2[[#This Row],[PreviousClose]])/Table2[[#This Row],[PreviousClose]],0)</f>
        <v>2.0395198027833294E-2</v>
      </c>
      <c r="AA57" s="13">
        <f>IFERROR((Table2[[#This Row],[Price]]-Table2[[#This Row],[Open]])/Table2[[#This Row],[Open]],0)</f>
        <v>-4.9968721150759985E-3</v>
      </c>
      <c r="AB57" s="11">
        <f>Table2[[#This Row],[Price]]-Table2[[#This Row],[PreviousClose]]</f>
        <v>0.24000072479247869</v>
      </c>
    </row>
    <row r="58" spans="1:28" ht="21" customHeight="1" x14ac:dyDescent="0.25">
      <c r="A58" s="1" t="s">
        <v>94</v>
      </c>
      <c r="E58" s="4" t="s">
        <v>94</v>
      </c>
      <c r="G58" t="str">
        <f t="shared" si="1"/>
        <v>SSYS</v>
      </c>
      <c r="H58" s="11">
        <f>VALUE(_xlfn.XLOOKUP($G58,LatestData!$A$17:$A$89,LatestData!D$17:D$89))</f>
        <v>9.119999885559082</v>
      </c>
      <c r="I58" s="11">
        <f>VALUE(_xlfn.XLOOKUP($G58,LatestData!$A$17:$A$89,LatestData!E$17:E$89))</f>
        <v>9.8050003051757812</v>
      </c>
      <c r="J58" s="11">
        <f>VALUE(_xlfn.XLOOKUP($G58,LatestData!$A$17:$A$89,LatestData!F$17:F$89))</f>
        <v>9.8400001525878906</v>
      </c>
      <c r="K58" s="11">
        <f>VALUE(_xlfn.XLOOKUP($G58,LatestData!$A$17:$A$89,LatestData!G$17:G$89))</f>
        <v>9.119999885559082</v>
      </c>
      <c r="L58" s="11">
        <f>VALUE(_xlfn.XLOOKUP($G58,LatestData!$A$17:$A$89,LatestData!H$17:H$89))</f>
        <v>9.15</v>
      </c>
      <c r="M58" s="11">
        <f>VALUE(_xlfn.XLOOKUP($G58,LatestData!$A$17:$A$89,LatestData!I$17:I$89))</f>
        <v>694076</v>
      </c>
      <c r="N58" s="14">
        <f>VALUE(_xlfn.XLOOKUP($G58,LatestData!$A$17:$A$89,LatestData!J$17:J$89))</f>
        <v>46028.276388888888</v>
      </c>
      <c r="O58" s="11">
        <f>VALUE(_xlfn.XLOOKUP($G58,LatestData!$A$17:$A$89,LatestData!K$17:K$89))</f>
        <v>575853.71428571432</v>
      </c>
      <c r="P58" s="11">
        <f>VALUE(_xlfn.XLOOKUP($G58,LatestData!$A$17:$A$89,LatestData!L$17:L$89))</f>
        <v>837700032</v>
      </c>
      <c r="Q58" s="11">
        <f>VALUE(_xlfn.XLOOKUP($G58,LatestData!$A$17:$A$89,LatestData!M$17:M$89))</f>
        <v>12.88</v>
      </c>
      <c r="R58" s="11">
        <f>VALUE(_xlfn.XLOOKUP($G58,LatestData!$A$17:$A$89,LatestData!N$17:N$89))</f>
        <v>8.1199999999999992</v>
      </c>
      <c r="S58" s="20" t="str">
        <f>_xlfn.XLOOKUP($G58,LatestData!$A$17:$A$89,LatestData!O$17:O$89)</f>
        <v>USD</v>
      </c>
      <c r="T58" s="11">
        <f>VALUE(_xlfn.XLOOKUP($G58,LatestData!$A$17:$A$89,LatestData!P$17:P$89))</f>
        <v>13.16667</v>
      </c>
      <c r="U58" s="11">
        <f>VALUE(_xlfn.XLOOKUP($G58,LatestData!$A$17:$A$89,LatestData!Q$17:Q$89))</f>
        <v>0</v>
      </c>
      <c r="V58" s="11">
        <f>VALUE(_xlfn.XLOOKUP($G58,LatestData!$A$17:$A$89,LatestData!R$17:R$89))</f>
        <v>0</v>
      </c>
      <c r="W58" s="15">
        <f>VALUE(_xlfn.XLOOKUP($G58,LatestData!$A$17:$A$89,LatestData!S$17:S$89)%)</f>
        <v>0</v>
      </c>
      <c r="X58" s="16">
        <f>VALUE(_xlfn.XLOOKUP($G58,LatestData!$A$17:$A$89,LatestData!T$17:T$89))</f>
        <v>0</v>
      </c>
      <c r="Y58" s="16">
        <f>VALUE(_xlfn.XLOOKUP($G58,LatestData!$A$17:$A$89,LatestData!U$17:U$89))</f>
        <v>45974</v>
      </c>
      <c r="Z58" s="13">
        <f>IFERROR((Table2[[#This Row],[Open]]-Table2[[#This Row],[PreviousClose]])/Table2[[#This Row],[PreviousClose]],0)</f>
        <v>-3.2787010317943521E-3</v>
      </c>
      <c r="AA58" s="13">
        <f>IFERROR((Table2[[#This Row],[Price]]-Table2[[#This Row],[Open]])/Table2[[#This Row],[Open]],0)</f>
        <v>7.5109696075912474E-2</v>
      </c>
      <c r="AB58" s="11">
        <f>Table2[[#This Row],[Price]]-Table2[[#This Row],[PreviousClose]]</f>
        <v>0.65500030517578089</v>
      </c>
    </row>
    <row r="59" spans="1:28" ht="21" customHeight="1" x14ac:dyDescent="0.25">
      <c r="A59" s="1" t="s">
        <v>95</v>
      </c>
      <c r="E59" s="3" t="s">
        <v>95</v>
      </c>
      <c r="G59" t="str">
        <f t="shared" si="1"/>
        <v>TSLA</v>
      </c>
      <c r="H59" s="11">
        <f>VALUE(_xlfn.XLOOKUP($G59,LatestData!$A$17:$A$89,LatestData!D$17:D$89))</f>
        <v>447.72000122070312</v>
      </c>
      <c r="I59" s="11">
        <f>VALUE(_xlfn.XLOOKUP($G59,LatestData!$A$17:$A$89,LatestData!E$17:E$89))</f>
        <v>455.23989868164062</v>
      </c>
      <c r="J59" s="11">
        <f>VALUE(_xlfn.XLOOKUP($G59,LatestData!$A$17:$A$89,LatestData!F$17:F$89))</f>
        <v>457.54989624023438</v>
      </c>
      <c r="K59" s="11">
        <f>VALUE(_xlfn.XLOOKUP($G59,LatestData!$A$17:$A$89,LatestData!G$17:G$89))</f>
        <v>444.57000732421881</v>
      </c>
      <c r="L59" s="11">
        <f>VALUE(_xlfn.XLOOKUP($G59,LatestData!$A$17:$A$89,LatestData!H$17:H$89))</f>
        <v>440.75940000000003</v>
      </c>
      <c r="M59" s="11">
        <f>VALUE(_xlfn.XLOOKUP($G59,LatestData!$A$17:$A$89,LatestData!I$17:I$89))</f>
        <v>48768598</v>
      </c>
      <c r="N59" s="14">
        <f>VALUE(_xlfn.XLOOKUP($G59,LatestData!$A$17:$A$89,LatestData!J$17:J$89))</f>
        <v>46028.277083333334</v>
      </c>
      <c r="O59" s="11">
        <f>VALUE(_xlfn.XLOOKUP($G59,LatestData!$A$17:$A$89,LatestData!K$17:K$89))</f>
        <v>58382456.857142858</v>
      </c>
      <c r="P59" s="11">
        <f>VALUE(_xlfn.XLOOKUP($G59,LatestData!$A$17:$A$89,LatestData!L$17:L$89))</f>
        <v>1514012672000</v>
      </c>
      <c r="Q59" s="11">
        <f>VALUE(_xlfn.XLOOKUP($G59,LatestData!$A$17:$A$89,LatestData!M$17:M$89))</f>
        <v>498.83</v>
      </c>
      <c r="R59" s="11">
        <f>VALUE(_xlfn.XLOOKUP($G59,LatestData!$A$17:$A$89,LatestData!N$17:N$89))</f>
        <v>214.25</v>
      </c>
      <c r="S59" s="20" t="str">
        <f>_xlfn.XLOOKUP($G59,LatestData!$A$17:$A$89,LatestData!O$17:O$89)</f>
        <v>USD</v>
      </c>
      <c r="T59" s="11">
        <f>VALUE(_xlfn.XLOOKUP($G59,LatestData!$A$17:$A$89,LatestData!P$17:P$89))</f>
        <v>401.74462999999997</v>
      </c>
      <c r="U59" s="11">
        <f>VALUE(_xlfn.XLOOKUP($G59,LatestData!$A$17:$A$89,LatestData!Q$17:Q$89))</f>
        <v>2.63043</v>
      </c>
      <c r="V59" s="11">
        <f>VALUE(_xlfn.XLOOKUP($G59,LatestData!$A$17:$A$89,LatestData!R$17:R$89))</f>
        <v>0</v>
      </c>
      <c r="W59" s="15">
        <f>VALUE(_xlfn.XLOOKUP($G59,LatestData!$A$17:$A$89,LatestData!S$17:S$89)%)</f>
        <v>0</v>
      </c>
      <c r="X59" s="16">
        <f>VALUE(_xlfn.XLOOKUP($G59,LatestData!$A$17:$A$89,LatestData!T$17:T$89))</f>
        <v>0</v>
      </c>
      <c r="Y59" s="16">
        <f>VALUE(_xlfn.XLOOKUP($G59,LatestData!$A$17:$A$89,LatestData!U$17:U$89))</f>
        <v>46050</v>
      </c>
      <c r="Z59" s="13">
        <f>IFERROR((Table2[[#This Row],[Open]]-Table2[[#This Row],[PreviousClose]])/Table2[[#This Row],[PreviousClose]],0)</f>
        <v>1.5792292168251197E-2</v>
      </c>
      <c r="AA59" s="13">
        <f>IFERROR((Table2[[#This Row],[Price]]-Table2[[#This Row],[Open]])/Table2[[#This Row],[Open]],0)</f>
        <v>1.6795982847392546E-2</v>
      </c>
      <c r="AB59" s="11">
        <f>Table2[[#This Row],[Price]]-Table2[[#This Row],[PreviousClose]]</f>
        <v>14.480498681640597</v>
      </c>
    </row>
    <row r="60" spans="1:28" ht="21" customHeight="1" x14ac:dyDescent="0.25">
      <c r="A60" s="1" t="s">
        <v>96</v>
      </c>
      <c r="E60" s="4" t="s">
        <v>96</v>
      </c>
      <c r="G60" t="str">
        <f t="shared" si="1"/>
        <v>TSM</v>
      </c>
      <c r="H60" s="11">
        <f>VALUE(_xlfn.XLOOKUP($G60,LatestData!$A$17:$A$89,LatestData!D$17:D$89))</f>
        <v>330.39999389648438</v>
      </c>
      <c r="I60" s="11">
        <f>VALUE(_xlfn.XLOOKUP($G60,LatestData!$A$17:$A$89,LatestData!E$17:E$89))</f>
        <v>325.08999633789062</v>
      </c>
      <c r="J60" s="11">
        <f>VALUE(_xlfn.XLOOKUP($G60,LatestData!$A$17:$A$89,LatestData!F$17:F$89))</f>
        <v>331.25</v>
      </c>
      <c r="K60" s="11">
        <f>VALUE(_xlfn.XLOOKUP($G60,LatestData!$A$17:$A$89,LatestData!G$17:G$89))</f>
        <v>323.22000122070312</v>
      </c>
      <c r="L60" s="11">
        <f>VALUE(_xlfn.XLOOKUP($G60,LatestData!$A$17:$A$89,LatestData!H$17:H$89))</f>
        <v>320.3</v>
      </c>
      <c r="M60" s="11">
        <f>VALUE(_xlfn.XLOOKUP($G60,LatestData!$A$17:$A$89,LatestData!I$17:I$89))</f>
        <v>18499300</v>
      </c>
      <c r="N60" s="14">
        <f>VALUE(_xlfn.XLOOKUP($G60,LatestData!$A$17:$A$89,LatestData!J$17:J$89))</f>
        <v>46028.277083333334</v>
      </c>
      <c r="O60" s="11">
        <f>VALUE(_xlfn.XLOOKUP($G60,LatestData!$A$17:$A$89,LatestData!K$17:K$89))</f>
        <v>7824983.333333333</v>
      </c>
      <c r="P60" s="11">
        <f>VALUE(_xlfn.XLOOKUP($G60,LatestData!$A$17:$A$89,LatestData!L$17:L$89))</f>
        <v>1685977169920</v>
      </c>
      <c r="Q60" s="11">
        <f>VALUE(_xlfn.XLOOKUP($G60,LatestData!$A$17:$A$89,LatestData!M$17:M$89))</f>
        <v>331.25</v>
      </c>
      <c r="R60" s="11">
        <f>VALUE(_xlfn.XLOOKUP($G60,LatestData!$A$17:$A$89,LatestData!N$17:N$89))</f>
        <v>134.25</v>
      </c>
      <c r="S60" s="20" t="str">
        <f>_xlfn.XLOOKUP($G60,LatestData!$A$17:$A$89,LatestData!O$17:O$89)</f>
        <v>USD</v>
      </c>
      <c r="T60" s="11">
        <f>VALUE(_xlfn.XLOOKUP($G60,LatestData!$A$17:$A$89,LatestData!P$17:P$89))</f>
        <v>356.04</v>
      </c>
      <c r="U60" s="11">
        <f>VALUE(_xlfn.XLOOKUP($G60,LatestData!$A$17:$A$89,LatestData!Q$17:Q$89))</f>
        <v>1.5294099999999999</v>
      </c>
      <c r="V60" s="11">
        <f>VALUE(_xlfn.XLOOKUP($G60,LatestData!$A$17:$A$89,LatestData!R$17:R$89))</f>
        <v>3.37</v>
      </c>
      <c r="W60" s="15">
        <f>VALUE(_xlfn.XLOOKUP($G60,LatestData!$A$17:$A$89,LatestData!S$17:S$89)%)</f>
        <v>1.0500000000000001E-2</v>
      </c>
      <c r="X60" s="16">
        <f>VALUE(_xlfn.XLOOKUP($G60,LatestData!$A$17:$A$89,LatestData!T$17:T$89))</f>
        <v>46098</v>
      </c>
      <c r="Y60" s="16">
        <f>VALUE(_xlfn.XLOOKUP($G60,LatestData!$A$17:$A$89,LatestData!U$17:U$89))</f>
        <v>46037</v>
      </c>
      <c r="Z60" s="13">
        <f>IFERROR((Table2[[#This Row],[Open]]-Table2[[#This Row],[PreviousClose]])/Table2[[#This Row],[PreviousClose]],0)</f>
        <v>3.1532918815124454E-2</v>
      </c>
      <c r="AA60" s="13">
        <f>IFERROR((Table2[[#This Row],[Price]]-Table2[[#This Row],[Open]])/Table2[[#This Row],[Open]],0)</f>
        <v>-1.6071421479073613E-2</v>
      </c>
      <c r="AB60" s="11">
        <f>Table2[[#This Row],[Price]]-Table2[[#This Row],[PreviousClose]]</f>
        <v>4.7899963378906136</v>
      </c>
    </row>
    <row r="61" spans="1:28" ht="21" customHeight="1" x14ac:dyDescent="0.25">
      <c r="A61" s="1" t="s">
        <v>97</v>
      </c>
      <c r="E61" s="3" t="s">
        <v>98</v>
      </c>
      <c r="F61" t="s">
        <v>68</v>
      </c>
      <c r="G61" t="str">
        <f t="shared" si="1"/>
        <v>UN0.DE</v>
      </c>
      <c r="H61" s="11">
        <f>VALUE(_xlfn.XLOOKUP($G61,LatestData!$A$17:$A$89,LatestData!D$17:D$89))</f>
        <v>33.349998474121087</v>
      </c>
      <c r="I61" s="11">
        <f>VALUE(_xlfn.XLOOKUP($G61,LatestData!$A$17:$A$89,LatestData!E$17:E$89))</f>
        <v>33.650001525878913</v>
      </c>
      <c r="J61" s="11">
        <f>VALUE(_xlfn.XLOOKUP($G61,LatestData!$A$17:$A$89,LatestData!F$17:F$89))</f>
        <v>33.799999237060547</v>
      </c>
      <c r="K61" s="11">
        <f>VALUE(_xlfn.XLOOKUP($G61,LatestData!$A$17:$A$89,LatestData!G$17:G$89))</f>
        <v>33.049999237060547</v>
      </c>
      <c r="L61" s="11">
        <f>VALUE(_xlfn.XLOOKUP($G61,LatestData!$A$17:$A$89,LatestData!H$17:H$89))</f>
        <v>33.35</v>
      </c>
      <c r="M61" s="11">
        <f>VALUE(_xlfn.XLOOKUP($G61,LatestData!$A$17:$A$89,LatestData!I$17:I$89))</f>
        <v>1767</v>
      </c>
      <c r="N61" s="14">
        <f>VALUE(_xlfn.XLOOKUP($G61,LatestData!$A$17:$A$89,LatestData!J$17:J$89))</f>
        <v>46028.149305555555</v>
      </c>
      <c r="O61" s="11">
        <f>VALUE(_xlfn.XLOOKUP($G61,LatestData!$A$17:$A$89,LatestData!K$17:K$89))</f>
        <v>5538</v>
      </c>
      <c r="P61" s="11">
        <f>VALUE(_xlfn.XLOOKUP($G61,LatestData!$A$17:$A$89,LatestData!L$17:L$89))</f>
        <v>14014395392</v>
      </c>
      <c r="Q61" s="11">
        <f>VALUE(_xlfn.XLOOKUP($G61,LatestData!$A$17:$A$89,LatestData!M$17:M$89))</f>
        <v>47.3</v>
      </c>
      <c r="R61" s="11">
        <f>VALUE(_xlfn.XLOOKUP($G61,LatestData!$A$17:$A$89,LatestData!N$17:N$89))</f>
        <v>27.3</v>
      </c>
      <c r="S61" s="20" t="str">
        <f>_xlfn.XLOOKUP($G61,LatestData!$A$17:$A$89,LatestData!O$17:O$89)</f>
        <v>EUR</v>
      </c>
      <c r="T61" s="11">
        <f>VALUE(_xlfn.XLOOKUP($G61,LatestData!$A$17:$A$89,LatestData!P$17:P$89))</f>
        <v>30.5</v>
      </c>
      <c r="U61" s="11">
        <f>VALUE(_xlfn.XLOOKUP($G61,LatestData!$A$17:$A$89,LatestData!Q$17:Q$89))</f>
        <v>0</v>
      </c>
      <c r="V61" s="11">
        <f>VALUE(_xlfn.XLOOKUP($G61,LatestData!$A$17:$A$89,LatestData!R$17:R$89))</f>
        <v>0</v>
      </c>
      <c r="W61" s="15">
        <f>VALUE(_xlfn.XLOOKUP($G61,LatestData!$A$17:$A$89,LatestData!S$17:S$89)%)</f>
        <v>0</v>
      </c>
      <c r="X61" s="16">
        <f>VALUE(_xlfn.XLOOKUP($G61,LatestData!$A$17:$A$89,LatestData!T$17:T$89))</f>
        <v>44700</v>
      </c>
      <c r="Y61" s="16">
        <f>VALUE(_xlfn.XLOOKUP($G61,LatestData!$A$17:$A$89,LatestData!U$17:U$89))</f>
        <v>45967</v>
      </c>
      <c r="Z61" s="13">
        <f>IFERROR((Table2[[#This Row],[Open]]-Table2[[#This Row],[PreviousClose]])/Table2[[#This Row],[PreviousClose]],0)</f>
        <v>-4.575349069794641E-8</v>
      </c>
      <c r="AA61" s="13">
        <f>IFERROR((Table2[[#This Row],[Price]]-Table2[[#This Row],[Open]])/Table2[[#This Row],[Open]],0)</f>
        <v>8.995594167436706E-3</v>
      </c>
      <c r="AB61" s="11">
        <f>Table2[[#This Row],[Price]]-Table2[[#This Row],[PreviousClose]]</f>
        <v>0.30000152587891193</v>
      </c>
    </row>
    <row r="62" spans="1:28" ht="21" customHeight="1" x14ac:dyDescent="0.25">
      <c r="A62" s="1" t="s">
        <v>99</v>
      </c>
      <c r="E62" s="4" t="s">
        <v>99</v>
      </c>
      <c r="G62" t="str">
        <f t="shared" si="1"/>
        <v>UNIT</v>
      </c>
      <c r="H62" s="11">
        <f>VALUE(_xlfn.XLOOKUP($G62,LatestData!$A$17:$A$89,LatestData!D$17:D$89))</f>
        <v>6.809999942779541</v>
      </c>
      <c r="I62" s="11">
        <f>VALUE(_xlfn.XLOOKUP($G62,LatestData!$A$17:$A$89,LatestData!E$17:E$89))</f>
        <v>7.1700000762939453</v>
      </c>
      <c r="J62" s="11">
        <f>VALUE(_xlfn.XLOOKUP($G62,LatestData!$A$17:$A$89,LatestData!F$17:F$89))</f>
        <v>7.179999828338623</v>
      </c>
      <c r="K62" s="11">
        <f>VALUE(_xlfn.XLOOKUP($G62,LatestData!$A$17:$A$89,LatestData!G$17:G$89))</f>
        <v>6.6100001335144043</v>
      </c>
      <c r="L62" s="11">
        <f>VALUE(_xlfn.XLOOKUP($G62,LatestData!$A$17:$A$89,LatestData!H$17:H$89))</f>
        <v>6.82</v>
      </c>
      <c r="M62" s="11">
        <f>VALUE(_xlfn.XLOOKUP($G62,LatestData!$A$17:$A$89,LatestData!I$17:I$89))</f>
        <v>1156410</v>
      </c>
      <c r="N62" s="14">
        <f>VALUE(_xlfn.XLOOKUP($G62,LatestData!$A$17:$A$89,LatestData!J$17:J$89))</f>
        <v>46028.277083333334</v>
      </c>
      <c r="O62" s="11">
        <f>VALUE(_xlfn.XLOOKUP($G62,LatestData!$A$17:$A$89,LatestData!K$17:K$89))</f>
        <v>1635387.142857143</v>
      </c>
      <c r="P62" s="11">
        <f>VALUE(_xlfn.XLOOKUP($G62,LatestData!$A$17:$A$89,LatestData!L$17:L$89))</f>
        <v>1713890432</v>
      </c>
      <c r="Q62" s="11">
        <f>VALUE(_xlfn.XLOOKUP($G62,LatestData!$A$17:$A$89,LatestData!M$17:M$89))</f>
        <v>10.249169</v>
      </c>
      <c r="R62" s="11">
        <f>VALUE(_xlfn.XLOOKUP($G62,LatestData!$A$17:$A$89,LatestData!N$17:N$89))</f>
        <v>5.3</v>
      </c>
      <c r="S62" s="20" t="str">
        <f>_xlfn.XLOOKUP($G62,LatestData!$A$17:$A$89,LatestData!O$17:O$89)</f>
        <v>USD</v>
      </c>
      <c r="T62" s="11">
        <f>VALUE(_xlfn.XLOOKUP($G62,LatestData!$A$17:$A$89,LatestData!P$17:P$89))</f>
        <v>7.25556</v>
      </c>
      <c r="U62" s="11">
        <f>VALUE(_xlfn.XLOOKUP($G62,LatestData!$A$17:$A$89,LatestData!Q$17:Q$89))</f>
        <v>2.7777799999999999</v>
      </c>
      <c r="V62" s="11">
        <f>VALUE(_xlfn.XLOOKUP($G62,LatestData!$A$17:$A$89,LatestData!R$17:R$89))</f>
        <v>0</v>
      </c>
      <c r="W62" s="15">
        <f>VALUE(_xlfn.XLOOKUP($G62,LatestData!$A$17:$A$89,LatestData!S$17:S$89)%)</f>
        <v>0</v>
      </c>
      <c r="X62" s="16">
        <f>VALUE(_xlfn.XLOOKUP($G62,LatestData!$A$17:$A$89,LatestData!T$17:T$89))</f>
        <v>45457</v>
      </c>
      <c r="Y62" s="16">
        <f>VALUE(_xlfn.XLOOKUP($G62,LatestData!$A$17:$A$89,LatestData!U$17:U$89))</f>
        <v>45965</v>
      </c>
      <c r="Z62" s="13">
        <f>IFERROR((Table2[[#This Row],[Open]]-Table2[[#This Row],[PreviousClose]])/Table2[[#This Row],[PreviousClose]],0)</f>
        <v>-1.4662840499207138E-3</v>
      </c>
      <c r="AA62" s="13">
        <f>IFERROR((Table2[[#This Row],[Price]]-Table2[[#This Row],[Open]])/Table2[[#This Row],[Open]],0)</f>
        <v>5.2863456173168212E-2</v>
      </c>
      <c r="AB62" s="11">
        <f>Table2[[#This Row],[Price]]-Table2[[#This Row],[PreviousClose]]</f>
        <v>0.35000007629394503</v>
      </c>
    </row>
    <row r="63" spans="1:28" ht="21" customHeight="1" x14ac:dyDescent="0.25">
      <c r="A63" s="1" t="s">
        <v>100</v>
      </c>
      <c r="E63" s="3" t="s">
        <v>100</v>
      </c>
      <c r="G63" t="str">
        <f t="shared" si="1"/>
        <v>VLVLY</v>
      </c>
      <c r="H63" s="11">
        <f>VALUE(_xlfn.XLOOKUP($G63,LatestData!$A$17:$A$89,LatestData!D$17:D$89))</f>
        <v>32.669998168945312</v>
      </c>
      <c r="I63" s="11">
        <f>VALUE(_xlfn.XLOOKUP($G63,LatestData!$A$17:$A$89,LatestData!E$17:E$89))</f>
        <v>32.669998168945312</v>
      </c>
      <c r="J63" s="11">
        <f>VALUE(_xlfn.XLOOKUP($G63,LatestData!$A$17:$A$89,LatestData!F$17:F$89))</f>
        <v>32.700000762939453</v>
      </c>
      <c r="K63" s="11">
        <f>VALUE(_xlfn.XLOOKUP($G63,LatestData!$A$17:$A$89,LatestData!G$17:G$89))</f>
        <v>32.650001525878913</v>
      </c>
      <c r="L63" s="11">
        <f>VALUE(_xlfn.XLOOKUP($G63,LatestData!$A$17:$A$89,LatestData!H$17:H$89))</f>
        <v>32.330001831054688</v>
      </c>
      <c r="M63" s="11">
        <f>VALUE(_xlfn.XLOOKUP($G63,LatestData!$A$17:$A$89,LatestData!I$17:I$89))</f>
        <v>1275</v>
      </c>
      <c r="N63" s="14">
        <f>VALUE(_xlfn.XLOOKUP($G63,LatestData!$A$17:$A$89,LatestData!J$17:J$89))</f>
        <v>46028.236111111109</v>
      </c>
      <c r="O63" s="11">
        <f>VALUE(_xlfn.XLOOKUP($G63,LatestData!$A$17:$A$89,LatestData!K$17:K$89))</f>
        <v>46539.285714285717</v>
      </c>
      <c r="P63" s="11">
        <f>VALUE(_xlfn.XLOOKUP($G63,LatestData!$A$17:$A$89,LatestData!L$17:L$89))</f>
        <v>66432872448</v>
      </c>
      <c r="Q63" s="11">
        <f>VALUE(_xlfn.XLOOKUP($G63,LatestData!$A$17:$A$89,LatestData!M$17:M$89))</f>
        <v>33.33</v>
      </c>
      <c r="R63" s="11">
        <f>VALUE(_xlfn.XLOOKUP($G63,LatestData!$A$17:$A$89,LatestData!N$17:N$89))</f>
        <v>22.55</v>
      </c>
      <c r="S63" s="20" t="str">
        <f>_xlfn.XLOOKUP($G63,LatestData!$A$17:$A$89,LatestData!O$17:O$89)</f>
        <v>USD</v>
      </c>
      <c r="T63" s="11">
        <f>VALUE(_xlfn.XLOOKUP($G63,LatestData!$A$17:$A$89,LatestData!P$17:P$89))</f>
        <v>35</v>
      </c>
      <c r="U63" s="11">
        <f>VALUE(_xlfn.XLOOKUP($G63,LatestData!$A$17:$A$89,LatestData!Q$17:Q$89))</f>
        <v>0</v>
      </c>
      <c r="V63" s="11">
        <f>VALUE(_xlfn.XLOOKUP($G63,LatestData!$A$17:$A$89,LatestData!R$17:R$89))</f>
        <v>0.8</v>
      </c>
      <c r="W63" s="15">
        <f>VALUE(_xlfn.XLOOKUP($G63,LatestData!$A$17:$A$89,LatestData!S$17:S$89)%)</f>
        <v>2.4700000000000003E-2</v>
      </c>
      <c r="X63" s="16">
        <f>VALUE(_xlfn.XLOOKUP($G63,LatestData!$A$17:$A$89,LatestData!T$17:T$89))</f>
        <v>45751</v>
      </c>
      <c r="Y63" s="16">
        <f>VALUE(_xlfn.XLOOKUP($G63,LatestData!$A$17:$A$89,LatestData!U$17:U$89))</f>
        <v>46050</v>
      </c>
      <c r="Z63" s="13">
        <f>IFERROR((Table2[[#This Row],[Open]]-Table2[[#This Row],[PreviousClose]])/Table2[[#This Row],[PreviousClose]],0)</f>
        <v>1.0516434229336801E-2</v>
      </c>
      <c r="AA63" s="13">
        <f>IFERROR((Table2[[#This Row],[Price]]-Table2[[#This Row],[Open]])/Table2[[#This Row],[Open]],0)</f>
        <v>0</v>
      </c>
      <c r="AB63" s="11">
        <f>Table2[[#This Row],[Price]]-Table2[[#This Row],[PreviousClose]]</f>
        <v>0.339996337890625</v>
      </c>
    </row>
    <row r="64" spans="1:28" ht="21" customHeight="1" x14ac:dyDescent="0.25">
      <c r="A64" s="1" t="s">
        <v>101</v>
      </c>
      <c r="E64" s="4" t="s">
        <v>102</v>
      </c>
      <c r="F64" t="s">
        <v>103</v>
      </c>
      <c r="G64" t="str">
        <f t="shared" si="1"/>
        <v>VONN.SW</v>
      </c>
      <c r="H64" s="11">
        <f>VALUE(_xlfn.XLOOKUP($G64,LatestData!$A$17:$A$89,LatestData!D$17:D$89))</f>
        <v>65.099998474121094</v>
      </c>
      <c r="I64" s="11">
        <f>VALUE(_xlfn.XLOOKUP($G64,LatestData!$A$17:$A$89,LatestData!E$17:E$89))</f>
        <v>66</v>
      </c>
      <c r="J64" s="11">
        <f>VALUE(_xlfn.XLOOKUP($G64,LatestData!$A$17:$A$89,LatestData!F$17:F$89))</f>
        <v>66</v>
      </c>
      <c r="K64" s="11">
        <f>VALUE(_xlfn.XLOOKUP($G64,LatestData!$A$17:$A$89,LatestData!G$17:G$89))</f>
        <v>64.699996948242188</v>
      </c>
      <c r="L64" s="11">
        <f>VALUE(_xlfn.XLOOKUP($G64,LatestData!$A$17:$A$89,LatestData!H$17:H$89))</f>
        <v>64.300003051757812</v>
      </c>
      <c r="M64" s="11">
        <f>VALUE(_xlfn.XLOOKUP($G64,LatestData!$A$17:$A$89,LatestData!I$17:I$89))</f>
        <v>85951</v>
      </c>
      <c r="N64" s="14">
        <f>VALUE(_xlfn.XLOOKUP($G64,LatestData!$A$17:$A$89,LatestData!J$17:J$89))</f>
        <v>46028.145833333336</v>
      </c>
      <c r="O64" s="11">
        <f>VALUE(_xlfn.XLOOKUP($G64,LatestData!$A$17:$A$89,LatestData!K$17:K$89))</f>
        <v>52320</v>
      </c>
      <c r="P64" s="11">
        <f>VALUE(_xlfn.XLOOKUP($G64,LatestData!$A$17:$A$89,LatestData!L$17:L$89))</f>
        <v>3716786688</v>
      </c>
      <c r="Q64" s="11">
        <f>VALUE(_xlfn.XLOOKUP($G64,LatestData!$A$17:$A$89,LatestData!M$17:M$89))</f>
        <v>69.5</v>
      </c>
      <c r="R64" s="11">
        <f>VALUE(_xlfn.XLOOKUP($G64,LatestData!$A$17:$A$89,LatestData!N$17:N$89))</f>
        <v>51.1</v>
      </c>
      <c r="S64" s="20" t="str">
        <f>_xlfn.XLOOKUP($G64,LatestData!$A$17:$A$89,LatestData!O$17:O$89)</f>
        <v>CHF</v>
      </c>
      <c r="T64" s="11">
        <f>VALUE(_xlfn.XLOOKUP($G64,LatestData!$A$17:$A$89,LatestData!P$17:P$89))</f>
        <v>64</v>
      </c>
      <c r="U64" s="11">
        <f>VALUE(_xlfn.XLOOKUP($G64,LatestData!$A$17:$A$89,LatestData!Q$17:Q$89))</f>
        <v>0</v>
      </c>
      <c r="V64" s="11">
        <f>VALUE(_xlfn.XLOOKUP($G64,LatestData!$A$17:$A$89,LatestData!R$17:R$89))</f>
        <v>3</v>
      </c>
      <c r="W64" s="15">
        <f>VALUE(_xlfn.XLOOKUP($G64,LatestData!$A$17:$A$89,LatestData!S$17:S$89)%)</f>
        <v>4.6699999999999998E-2</v>
      </c>
      <c r="X64" s="16">
        <f>VALUE(_xlfn.XLOOKUP($G64,LatestData!$A$17:$A$89,LatestData!T$17:T$89))</f>
        <v>45751</v>
      </c>
      <c r="Y64" s="16">
        <f>VALUE(_xlfn.XLOOKUP($G64,LatestData!$A$17:$A$89,LatestData!U$17:U$89))</f>
        <v>0</v>
      </c>
      <c r="Z64" s="13">
        <f>IFERROR((Table2[[#This Row],[Open]]-Table2[[#This Row],[PreviousClose]])/Table2[[#This Row],[PreviousClose]],0)</f>
        <v>1.2441607844393581E-2</v>
      </c>
      <c r="AA64" s="13">
        <f>IFERROR((Table2[[#This Row],[Price]]-Table2[[#This Row],[Open]])/Table2[[#This Row],[Open]],0)</f>
        <v>1.3824908555668857E-2</v>
      </c>
      <c r="AB64" s="11">
        <f>Table2[[#This Row],[Price]]-Table2[[#This Row],[PreviousClose]]</f>
        <v>1.6999969482421875</v>
      </c>
    </row>
    <row r="65" spans="1:28" ht="21" customHeight="1" x14ac:dyDescent="0.25">
      <c r="A65" s="1" t="s">
        <v>104</v>
      </c>
      <c r="E65" s="3" t="s">
        <v>104</v>
      </c>
      <c r="G65" t="str">
        <f t="shared" si="1"/>
        <v>VTRS</v>
      </c>
      <c r="H65" s="11">
        <f>VALUE(_xlfn.XLOOKUP($G65,LatestData!$A$17:$A$89,LatestData!D$17:D$89))</f>
        <v>12.420000076293951</v>
      </c>
      <c r="I65" s="11">
        <f>VALUE(_xlfn.XLOOKUP($G65,LatestData!$A$17:$A$89,LatestData!E$17:E$89))</f>
        <v>12.375</v>
      </c>
      <c r="J65" s="11">
        <f>VALUE(_xlfn.XLOOKUP($G65,LatestData!$A$17:$A$89,LatestData!F$17:F$89))</f>
        <v>12.430000305175779</v>
      </c>
      <c r="K65" s="11">
        <f>VALUE(_xlfn.XLOOKUP($G65,LatestData!$A$17:$A$89,LatestData!G$17:G$89))</f>
        <v>12.189999580383301</v>
      </c>
      <c r="L65" s="11">
        <f>VALUE(_xlfn.XLOOKUP($G65,LatestData!$A$17:$A$89,LatestData!H$17:H$89))</f>
        <v>12.4117</v>
      </c>
      <c r="M65" s="11">
        <f>VALUE(_xlfn.XLOOKUP($G65,LatestData!$A$17:$A$89,LatestData!I$17:I$89))</f>
        <v>5662781</v>
      </c>
      <c r="N65" s="14">
        <f>VALUE(_xlfn.XLOOKUP($G65,LatestData!$A$17:$A$89,LatestData!J$17:J$89))</f>
        <v>46028.276388888888</v>
      </c>
      <c r="O65" s="11">
        <f>VALUE(_xlfn.XLOOKUP($G65,LatestData!$A$17:$A$89,LatestData!K$17:K$89))</f>
        <v>5767068.7142857146</v>
      </c>
      <c r="P65" s="11">
        <f>VALUE(_xlfn.XLOOKUP($G65,LatestData!$A$17:$A$89,LatestData!L$17:L$89))</f>
        <v>14286531584</v>
      </c>
      <c r="Q65" s="11">
        <f>VALUE(_xlfn.XLOOKUP($G65,LatestData!$A$17:$A$89,LatestData!M$17:M$89))</f>
        <v>12.62</v>
      </c>
      <c r="R65" s="11">
        <f>VALUE(_xlfn.XLOOKUP($G65,LatestData!$A$17:$A$89,LatestData!N$17:N$89))</f>
        <v>6.85</v>
      </c>
      <c r="S65" s="20" t="str">
        <f>_xlfn.XLOOKUP($G65,LatestData!$A$17:$A$89,LatestData!O$17:O$89)</f>
        <v>USD</v>
      </c>
      <c r="T65" s="11">
        <f>VALUE(_xlfn.XLOOKUP($G65,LatestData!$A$17:$A$89,LatestData!P$17:P$89))</f>
        <v>12.55556</v>
      </c>
      <c r="U65" s="11">
        <f>VALUE(_xlfn.XLOOKUP($G65,LatestData!$A$17:$A$89,LatestData!Q$17:Q$89))</f>
        <v>0</v>
      </c>
      <c r="V65" s="11">
        <f>VALUE(_xlfn.XLOOKUP($G65,LatestData!$A$17:$A$89,LatestData!R$17:R$89))</f>
        <v>0.48</v>
      </c>
      <c r="W65" s="15">
        <f>VALUE(_xlfn.XLOOKUP($G65,LatestData!$A$17:$A$89,LatestData!S$17:S$89)%)</f>
        <v>3.85E-2</v>
      </c>
      <c r="X65" s="16">
        <f>VALUE(_xlfn.XLOOKUP($G65,LatestData!$A$17:$A$89,LatestData!T$17:T$89))</f>
        <v>45985</v>
      </c>
      <c r="Y65" s="16">
        <f>VALUE(_xlfn.XLOOKUP($G65,LatestData!$A$17:$A$89,LatestData!U$17:U$89))</f>
        <v>45967</v>
      </c>
      <c r="Z65" s="13">
        <f>IFERROR((Table2[[#This Row],[Open]]-Table2[[#This Row],[PreviousClose]])/Table2[[#This Row],[PreviousClose]],0)</f>
        <v>6.6873001232312329E-4</v>
      </c>
      <c r="AA65" s="13">
        <f>IFERROR((Table2[[#This Row],[Price]]-Table2[[#This Row],[Open]])/Table2[[#This Row],[Open]],0)</f>
        <v>-3.623194526370597E-3</v>
      </c>
      <c r="AB65" s="11">
        <f>Table2[[#This Row],[Price]]-Table2[[#This Row],[PreviousClose]]</f>
        <v>-3.6699999999999733E-2</v>
      </c>
    </row>
    <row r="66" spans="1:28" ht="21" customHeight="1" x14ac:dyDescent="0.25">
      <c r="A66" s="1" t="s">
        <v>105</v>
      </c>
      <c r="E66" s="4" t="s">
        <v>105</v>
      </c>
      <c r="G66" t="str">
        <f t="shared" si="1"/>
        <v>WBA</v>
      </c>
      <c r="H66" s="11">
        <f>VALUE(_xlfn.XLOOKUP($G66,LatestData!$A$17:$A$89,LatestData!D$17:D$89))</f>
        <v>0</v>
      </c>
      <c r="I66" s="11">
        <f>VALUE(_xlfn.XLOOKUP($G66,LatestData!$A$17:$A$89,LatestData!E$17:E$89))</f>
        <v>0</v>
      </c>
      <c r="J66" s="11">
        <f>VALUE(_xlfn.XLOOKUP($G66,LatestData!$A$17:$A$89,LatestData!F$17:F$89))</f>
        <v>0</v>
      </c>
      <c r="K66" s="11">
        <f>VALUE(_xlfn.XLOOKUP($G66,LatestData!$A$17:$A$89,LatestData!G$17:G$89))</f>
        <v>0</v>
      </c>
      <c r="L66" s="11">
        <f>VALUE(_xlfn.XLOOKUP($G66,LatestData!$A$17:$A$89,LatestData!H$17:H$89))</f>
        <v>0</v>
      </c>
      <c r="M66" s="11">
        <f>VALUE(_xlfn.XLOOKUP($G66,LatestData!$A$17:$A$89,LatestData!I$17:I$89))</f>
        <v>0</v>
      </c>
      <c r="N66" s="14">
        <f>VALUE(_xlfn.XLOOKUP($G66,LatestData!$A$17:$A$89,LatestData!J$17:J$89))</f>
        <v>0</v>
      </c>
      <c r="O66" s="11">
        <f>VALUE(_xlfn.XLOOKUP($G66,LatestData!$A$17:$A$89,LatestData!K$17:K$89))</f>
        <v>0</v>
      </c>
      <c r="P66" s="11">
        <f>VALUE(_xlfn.XLOOKUP($G66,LatestData!$A$17:$A$89,LatestData!L$17:L$89))</f>
        <v>0</v>
      </c>
      <c r="Q66" s="11">
        <f>VALUE(_xlfn.XLOOKUP($G66,LatestData!$A$17:$A$89,LatestData!M$17:M$89))</f>
        <v>0</v>
      </c>
      <c r="R66" s="11">
        <f>VALUE(_xlfn.XLOOKUP($G66,LatestData!$A$17:$A$89,LatestData!N$17:N$89))</f>
        <v>0</v>
      </c>
      <c r="S66" s="20">
        <f>_xlfn.XLOOKUP($G66,LatestData!$A$17:$A$89,LatestData!O$17:O$89)</f>
        <v>0</v>
      </c>
      <c r="T66" s="11">
        <f>VALUE(_xlfn.XLOOKUP($G66,LatestData!$A$17:$A$89,LatestData!P$17:P$89))</f>
        <v>0</v>
      </c>
      <c r="U66" s="11">
        <f>VALUE(_xlfn.XLOOKUP($G66,LatestData!$A$17:$A$89,LatestData!Q$17:Q$89))</f>
        <v>0</v>
      </c>
      <c r="V66" s="11">
        <f>VALUE(_xlfn.XLOOKUP($G66,LatestData!$A$17:$A$89,LatestData!R$17:R$89))</f>
        <v>0</v>
      </c>
      <c r="W66" s="15">
        <f>VALUE(_xlfn.XLOOKUP($G66,LatestData!$A$17:$A$89,LatestData!S$17:S$89)%)</f>
        <v>0</v>
      </c>
      <c r="X66" s="16">
        <f>VALUE(_xlfn.XLOOKUP($G66,LatestData!$A$17:$A$89,LatestData!T$17:T$89))</f>
        <v>0</v>
      </c>
      <c r="Y66" s="16">
        <f>VALUE(_xlfn.XLOOKUP($G66,LatestData!$A$17:$A$89,LatestData!U$17:U$89))</f>
        <v>0</v>
      </c>
      <c r="Z66" s="13">
        <f>IFERROR((Table2[[#This Row],[Open]]-Table2[[#This Row],[PreviousClose]])/Table2[[#This Row],[PreviousClose]],0)</f>
        <v>0</v>
      </c>
      <c r="AA66" s="13">
        <f>IFERROR((Table2[[#This Row],[Price]]-Table2[[#This Row],[Open]])/Table2[[#This Row],[Open]],0)</f>
        <v>0</v>
      </c>
      <c r="AB66" s="11">
        <f>Table2[[#This Row],[Price]]-Table2[[#This Row],[PreviousClose]]</f>
        <v>0</v>
      </c>
    </row>
    <row r="67" spans="1:28" ht="21" customHeight="1" x14ac:dyDescent="0.25">
      <c r="A67" s="1" t="s">
        <v>106</v>
      </c>
      <c r="E67" s="3" t="s">
        <v>106</v>
      </c>
      <c r="G67" t="str">
        <f t="shared" si="1"/>
        <v>XOM</v>
      </c>
      <c r="H67" s="11">
        <f>VALUE(_xlfn.XLOOKUP($G67,LatestData!$A$17:$A$89,LatestData!D$17:D$89))</f>
        <v>125.2099990844727</v>
      </c>
      <c r="I67" s="11">
        <f>VALUE(_xlfn.XLOOKUP($G67,LatestData!$A$17:$A$89,LatestData!E$17:E$89))</f>
        <v>125.629997253418</v>
      </c>
      <c r="J67" s="11">
        <f>VALUE(_xlfn.XLOOKUP($G67,LatestData!$A$17:$A$89,LatestData!F$17:F$89))</f>
        <v>125.9300003051758</v>
      </c>
      <c r="K67" s="11">
        <f>VALUE(_xlfn.XLOOKUP($G67,LatestData!$A$17:$A$89,LatestData!G$17:G$89))</f>
        <v>122.40000152587891</v>
      </c>
      <c r="L67" s="11">
        <f>VALUE(_xlfn.XLOOKUP($G67,LatestData!$A$17:$A$89,LatestData!H$17:H$89))</f>
        <v>122.63</v>
      </c>
      <c r="M67" s="11">
        <f>VALUE(_xlfn.XLOOKUP($G67,LatestData!$A$17:$A$89,LatestData!I$17:I$89))</f>
        <v>20230089</v>
      </c>
      <c r="N67" s="14">
        <f>VALUE(_xlfn.XLOOKUP($G67,LatestData!$A$17:$A$89,LatestData!J$17:J$89))</f>
        <v>46028.277083333334</v>
      </c>
      <c r="O67" s="11">
        <f>VALUE(_xlfn.XLOOKUP($G67,LatestData!$A$17:$A$89,LatestData!K$17:K$89))</f>
        <v>12157041.285714289</v>
      </c>
      <c r="P67" s="11">
        <f>VALUE(_xlfn.XLOOKUP($G67,LatestData!$A$17:$A$89,LatestData!L$17:L$89))</f>
        <v>535591714816</v>
      </c>
      <c r="Q67" s="11">
        <f>VALUE(_xlfn.XLOOKUP($G67,LatestData!$A$17:$A$89,LatestData!M$17:M$89))</f>
        <v>125.93</v>
      </c>
      <c r="R67" s="11">
        <f>VALUE(_xlfn.XLOOKUP($G67,LatestData!$A$17:$A$89,LatestData!N$17:N$89))</f>
        <v>97.8</v>
      </c>
      <c r="S67" s="20" t="str">
        <f>_xlfn.XLOOKUP($G67,LatestData!$A$17:$A$89,LatestData!O$17:O$89)</f>
        <v>USD</v>
      </c>
      <c r="T67" s="11">
        <f>VALUE(_xlfn.XLOOKUP($G67,LatestData!$A$17:$A$89,LatestData!P$17:P$89))</f>
        <v>131.32</v>
      </c>
      <c r="U67" s="11">
        <f>VALUE(_xlfn.XLOOKUP($G67,LatestData!$A$17:$A$89,LatestData!Q$17:Q$89))</f>
        <v>2.2222200000000001</v>
      </c>
      <c r="V67" s="11">
        <f>VALUE(_xlfn.XLOOKUP($G67,LatestData!$A$17:$A$89,LatestData!R$17:R$89))</f>
        <v>4.12</v>
      </c>
      <c r="W67" s="15">
        <f>VALUE(_xlfn.XLOOKUP($G67,LatestData!$A$17:$A$89,LatestData!S$17:S$89)%)</f>
        <v>3.3599999999999998E-2</v>
      </c>
      <c r="X67" s="16">
        <f>VALUE(_xlfn.XLOOKUP($G67,LatestData!$A$17:$A$89,LatestData!T$17:T$89))</f>
        <v>45975</v>
      </c>
      <c r="Y67" s="16">
        <f>VALUE(_xlfn.XLOOKUP($G67,LatestData!$A$17:$A$89,LatestData!U$17:U$89))</f>
        <v>46052</v>
      </c>
      <c r="Z67" s="13">
        <f>IFERROR((Table2[[#This Row],[Open]]-Table2[[#This Row],[PreviousClose]])/Table2[[#This Row],[PreviousClose]],0)</f>
        <v>2.103889003076493E-2</v>
      </c>
      <c r="AA67" s="13">
        <f>IFERROR((Table2[[#This Row],[Price]]-Table2[[#This Row],[Open]])/Table2[[#This Row],[Open]],0)</f>
        <v>3.3543500680161117E-3</v>
      </c>
      <c r="AB67" s="11">
        <f>Table2[[#This Row],[Price]]-Table2[[#This Row],[PreviousClose]]</f>
        <v>2.9999972534180017</v>
      </c>
    </row>
    <row r="68" spans="1:28" ht="21" customHeight="1" x14ac:dyDescent="0.25">
      <c r="A68" s="1" t="s">
        <v>107</v>
      </c>
      <c r="E68" s="4" t="s">
        <v>107</v>
      </c>
      <c r="G68" t="str">
        <f t="shared" si="1"/>
        <v>XPER</v>
      </c>
      <c r="H68" s="11">
        <f>VALUE(_xlfn.XLOOKUP($G68,LatestData!$A$17:$A$89,LatestData!D$17:D$89))</f>
        <v>5.7800002098083496</v>
      </c>
      <c r="I68" s="11">
        <f>VALUE(_xlfn.XLOOKUP($G68,LatestData!$A$17:$A$89,LatestData!E$17:E$89))</f>
        <v>6.1750001907348633</v>
      </c>
      <c r="J68" s="11">
        <f>VALUE(_xlfn.XLOOKUP($G68,LatestData!$A$17:$A$89,LatestData!F$17:F$89))</f>
        <v>6.2399997711181641</v>
      </c>
      <c r="K68" s="11">
        <f>VALUE(_xlfn.XLOOKUP($G68,LatestData!$A$17:$A$89,LatestData!G$17:G$89))</f>
        <v>5.7800002098083496</v>
      </c>
      <c r="L68" s="11">
        <f>VALUE(_xlfn.XLOOKUP($G68,LatestData!$A$17:$A$89,LatestData!H$17:H$89))</f>
        <v>5.77</v>
      </c>
      <c r="M68" s="11">
        <f>VALUE(_xlfn.XLOOKUP($G68,LatestData!$A$17:$A$89,LatestData!I$17:I$89))</f>
        <v>440804</v>
      </c>
      <c r="N68" s="14">
        <f>VALUE(_xlfn.XLOOKUP($G68,LatestData!$A$17:$A$89,LatestData!J$17:J$89))</f>
        <v>46028.276388888888</v>
      </c>
      <c r="O68" s="11">
        <f>VALUE(_xlfn.XLOOKUP($G68,LatestData!$A$17:$A$89,LatestData!K$17:K$89))</f>
        <v>328986.28571428568</v>
      </c>
      <c r="P68" s="11">
        <f>VALUE(_xlfn.XLOOKUP($G68,LatestData!$A$17:$A$89,LatestData!L$17:L$89))</f>
        <v>286120992</v>
      </c>
      <c r="Q68" s="11">
        <f>VALUE(_xlfn.XLOOKUP($G68,LatestData!$A$17:$A$89,LatestData!M$17:M$89))</f>
        <v>10.62</v>
      </c>
      <c r="R68" s="11">
        <f>VALUE(_xlfn.XLOOKUP($G68,LatestData!$A$17:$A$89,LatestData!N$17:N$89))</f>
        <v>5.4</v>
      </c>
      <c r="S68" s="20" t="str">
        <f>_xlfn.XLOOKUP($G68,LatestData!$A$17:$A$89,LatestData!O$17:O$89)</f>
        <v>USD</v>
      </c>
      <c r="T68" s="11">
        <f>VALUE(_xlfn.XLOOKUP($G68,LatestData!$A$17:$A$89,LatestData!P$17:P$89))</f>
        <v>11.4</v>
      </c>
      <c r="U68" s="11">
        <f>VALUE(_xlfn.XLOOKUP($G68,LatestData!$A$17:$A$89,LatestData!Q$17:Q$89))</f>
        <v>0</v>
      </c>
      <c r="V68" s="11">
        <f>VALUE(_xlfn.XLOOKUP($G68,LatestData!$A$17:$A$89,LatestData!R$17:R$89))</f>
        <v>0</v>
      </c>
      <c r="W68" s="15">
        <f>VALUE(_xlfn.XLOOKUP($G68,LatestData!$A$17:$A$89,LatestData!S$17:S$89)%)</f>
        <v>0</v>
      </c>
      <c r="X68" s="16">
        <f>VALUE(_xlfn.XLOOKUP($G68,LatestData!$A$17:$A$89,LatestData!T$17:T$89))</f>
        <v>0</v>
      </c>
      <c r="Y68" s="16">
        <f>VALUE(_xlfn.XLOOKUP($G68,LatestData!$A$17:$A$89,LatestData!U$17:U$89))</f>
        <v>45966</v>
      </c>
      <c r="Z68" s="13">
        <f>IFERROR((Table2[[#This Row],[Open]]-Table2[[#This Row],[PreviousClose]])/Table2[[#This Row],[PreviousClose]],0)</f>
        <v>1.7331386149653442E-3</v>
      </c>
      <c r="AA68" s="13">
        <f>IFERROR((Table2[[#This Row],[Price]]-Table2[[#This Row],[Open]])/Table2[[#This Row],[Open]],0)</f>
        <v>6.8339094565467301E-2</v>
      </c>
      <c r="AB68" s="11">
        <f>Table2[[#This Row],[Price]]-Table2[[#This Row],[PreviousClose]]</f>
        <v>0.40500019073486371</v>
      </c>
    </row>
    <row r="69" spans="1:28" ht="21" customHeight="1" x14ac:dyDescent="0.25">
      <c r="A69" s="1" t="s">
        <v>108</v>
      </c>
      <c r="E69" s="8" t="s">
        <v>109</v>
      </c>
      <c r="F69" s="10" t="s">
        <v>49</v>
      </c>
      <c r="G69" t="str">
        <f t="shared" si="1"/>
        <v>ALDNE.PA</v>
      </c>
      <c r="H69" s="11">
        <f>VALUE(_xlfn.XLOOKUP($G69,LatestData!$A$17:$A$89,LatestData!D$17:D$89))</f>
        <v>0.62999999523162842</v>
      </c>
      <c r="I69" s="11">
        <f>VALUE(_xlfn.XLOOKUP($G69,LatestData!$A$17:$A$89,LatestData!E$17:E$89))</f>
        <v>0.62999999523162842</v>
      </c>
      <c r="J69" s="11">
        <f>VALUE(_xlfn.XLOOKUP($G69,LatestData!$A$17:$A$89,LatestData!F$17:F$89))</f>
        <v>0.64800000190734863</v>
      </c>
      <c r="K69" s="11">
        <f>VALUE(_xlfn.XLOOKUP($G69,LatestData!$A$17:$A$89,LatestData!G$17:G$89))</f>
        <v>0.62999999523162842</v>
      </c>
      <c r="L69" s="11">
        <f>VALUE(_xlfn.XLOOKUP($G69,LatestData!$A$17:$A$89,LatestData!H$17:H$89))</f>
        <v>0.63200002908706665</v>
      </c>
      <c r="M69" s="11">
        <f>VALUE(_xlfn.XLOOKUP($G69,LatestData!$A$17:$A$89,LatestData!I$17:I$89))</f>
        <v>1222</v>
      </c>
      <c r="N69" s="14">
        <f>VALUE(_xlfn.XLOOKUP($G69,LatestData!$A$17:$A$89,LatestData!J$17:J$89))</f>
        <v>46028.122916666667</v>
      </c>
      <c r="O69" s="11">
        <f>VALUE(_xlfn.XLOOKUP($G69,LatestData!$A$17:$A$89,LatestData!K$17:K$89))</f>
        <v>6753.7142857142853</v>
      </c>
      <c r="P69" s="11">
        <f>VALUE(_xlfn.XLOOKUP($G69,LatestData!$A$17:$A$89,LatestData!L$17:L$89))</f>
        <v>8188505</v>
      </c>
      <c r="Q69" s="11">
        <f>VALUE(_xlfn.XLOOKUP($G69,LatestData!$A$17:$A$89,LatestData!M$17:M$89))</f>
        <v>1.4850000000000001</v>
      </c>
      <c r="R69" s="11">
        <f>VALUE(_xlfn.XLOOKUP($G69,LatestData!$A$17:$A$89,LatestData!N$17:N$89))</f>
        <v>0.55000000000000004</v>
      </c>
      <c r="S69" s="20" t="str">
        <f>_xlfn.XLOOKUP($G69,LatestData!$A$17:$A$89,LatestData!O$17:O$89)</f>
        <v>EUR</v>
      </c>
      <c r="T69" s="11">
        <f>VALUE(_xlfn.XLOOKUP($G69,LatestData!$A$17:$A$89,LatestData!P$17:P$89))</f>
        <v>1.56667</v>
      </c>
      <c r="U69" s="11">
        <f>VALUE(_xlfn.XLOOKUP($G69,LatestData!$A$17:$A$89,LatestData!Q$17:Q$89))</f>
        <v>0</v>
      </c>
      <c r="V69" s="11">
        <f>VALUE(_xlfn.XLOOKUP($G69,LatestData!$A$17:$A$89,LatestData!R$17:R$89))</f>
        <v>0</v>
      </c>
      <c r="W69" s="15">
        <f>VALUE(_xlfn.XLOOKUP($G69,LatestData!$A$17:$A$89,LatestData!S$17:S$89)%)</f>
        <v>0</v>
      </c>
      <c r="X69" s="16">
        <f>VALUE(_xlfn.XLOOKUP($G69,LatestData!$A$17:$A$89,LatestData!T$17:T$89))</f>
        <v>0</v>
      </c>
      <c r="Y69" s="16">
        <f>VALUE(_xlfn.XLOOKUP($G69,LatestData!$A$17:$A$89,LatestData!U$17:U$89))</f>
        <v>0</v>
      </c>
      <c r="Z69" s="13">
        <f>IFERROR((Table2[[#This Row],[Open]]-Table2[[#This Row],[PreviousClose]])/Table2[[#This Row],[PreviousClose]],0)</f>
        <v>-3.1646103851091759E-3</v>
      </c>
      <c r="AA69" s="13">
        <f>IFERROR((Table2[[#This Row],[Price]]-Table2[[#This Row],[Open]])/Table2[[#This Row],[Open]],0)</f>
        <v>0</v>
      </c>
      <c r="AB69" s="11">
        <f>Table2[[#This Row],[Price]]-Table2[[#This Row],[PreviousClose]]</f>
        <v>-2.0000338554382324E-3</v>
      </c>
    </row>
    <row r="70" spans="1:28" ht="21" customHeight="1" x14ac:dyDescent="0.25">
      <c r="A70" s="1" t="s">
        <v>110</v>
      </c>
      <c r="E70" s="9" t="s">
        <v>111</v>
      </c>
      <c r="G70" t="str">
        <f t="shared" si="1"/>
        <v>DDD</v>
      </c>
      <c r="H70" s="11">
        <f>VALUE(_xlfn.XLOOKUP($G70,LatestData!$A$17:$A$89,LatestData!D$17:D$89))</f>
        <v>1.919999957084656</v>
      </c>
      <c r="I70" s="11">
        <f>VALUE(_xlfn.XLOOKUP($G70,LatestData!$A$17:$A$89,LatestData!E$17:E$89))</f>
        <v>1.9228999614715581</v>
      </c>
      <c r="J70" s="11">
        <f>VALUE(_xlfn.XLOOKUP($G70,LatestData!$A$17:$A$89,LatestData!F$17:F$89))</f>
        <v>2.0250000953674321</v>
      </c>
      <c r="K70" s="11">
        <f>VALUE(_xlfn.XLOOKUP($G70,LatestData!$A$17:$A$89,LatestData!G$17:G$89))</f>
        <v>1.8999999761581421</v>
      </c>
      <c r="L70" s="11">
        <f>VALUE(_xlfn.XLOOKUP($G70,LatestData!$A$17:$A$89,LatestData!H$17:H$89))</f>
        <v>1.85</v>
      </c>
      <c r="M70" s="11">
        <f>VALUE(_xlfn.XLOOKUP($G70,LatestData!$A$17:$A$89,LatestData!I$17:I$89))</f>
        <v>3740991</v>
      </c>
      <c r="N70" s="14">
        <f>VALUE(_xlfn.XLOOKUP($G70,LatestData!$A$17:$A$89,LatestData!J$17:J$89))</f>
        <v>46028.276388888888</v>
      </c>
      <c r="O70" s="11">
        <f>VALUE(_xlfn.XLOOKUP($G70,LatestData!$A$17:$A$89,LatestData!K$17:K$89))</f>
        <v>2487498.7142857141</v>
      </c>
      <c r="P70" s="11">
        <f>VALUE(_xlfn.XLOOKUP($G70,LatestData!$A$17:$A$89,LatestData!L$17:L$89))</f>
        <v>280856256</v>
      </c>
      <c r="Q70" s="11">
        <f>VALUE(_xlfn.XLOOKUP($G70,LatestData!$A$17:$A$89,LatestData!M$17:M$89))</f>
        <v>5</v>
      </c>
      <c r="R70" s="11">
        <f>VALUE(_xlfn.XLOOKUP($G70,LatestData!$A$17:$A$89,LatestData!N$17:N$89))</f>
        <v>1.32</v>
      </c>
      <c r="S70" s="20" t="str">
        <f>_xlfn.XLOOKUP($G70,LatestData!$A$17:$A$89,LatestData!O$17:O$89)</f>
        <v>USD</v>
      </c>
      <c r="T70" s="11">
        <f>VALUE(_xlfn.XLOOKUP($G70,LatestData!$A$17:$A$89,LatestData!P$17:P$89))</f>
        <v>3.625</v>
      </c>
      <c r="U70" s="11">
        <f>VALUE(_xlfn.XLOOKUP($G70,LatestData!$A$17:$A$89,LatestData!Q$17:Q$89))</f>
        <v>0</v>
      </c>
      <c r="V70" s="11">
        <f>VALUE(_xlfn.XLOOKUP($G70,LatestData!$A$17:$A$89,LatestData!R$17:R$89))</f>
        <v>0</v>
      </c>
      <c r="W70" s="15">
        <f>VALUE(_xlfn.XLOOKUP($G70,LatestData!$A$17:$A$89,LatestData!S$17:S$89)%)</f>
        <v>0</v>
      </c>
      <c r="X70" s="16">
        <f>VALUE(_xlfn.XLOOKUP($G70,LatestData!$A$17:$A$89,LatestData!T$17:T$89))</f>
        <v>0</v>
      </c>
      <c r="Y70" s="16">
        <f>VALUE(_xlfn.XLOOKUP($G70,LatestData!$A$17:$A$89,LatestData!U$17:U$89))</f>
        <v>45965</v>
      </c>
      <c r="Z70" s="13">
        <f>IFERROR((Table2[[#This Row],[Open]]-Table2[[#This Row],[PreviousClose]])/Table2[[#This Row],[PreviousClose]],0)</f>
        <v>3.7837814640354538E-2</v>
      </c>
      <c r="AA70" s="13">
        <f>IFERROR((Table2[[#This Row],[Price]]-Table2[[#This Row],[Open]])/Table2[[#This Row],[Open]],0)</f>
        <v>1.5104189852719937E-3</v>
      </c>
      <c r="AB70" s="11">
        <f>Table2[[#This Row],[Price]]-Table2[[#This Row],[PreviousClose]]</f>
        <v>7.2899961471557972E-2</v>
      </c>
    </row>
    <row r="71" spans="1:28" ht="21" customHeight="1" x14ac:dyDescent="0.25">
      <c r="A71" s="1" t="s">
        <v>112</v>
      </c>
      <c r="E71" s="9" t="s">
        <v>113</v>
      </c>
      <c r="F71" s="10" t="s">
        <v>49</v>
      </c>
      <c r="G71" t="str">
        <f t="shared" si="1"/>
        <v>DSY.PA</v>
      </c>
      <c r="H71" s="11">
        <f>VALUE(_xlfn.XLOOKUP($G71,LatestData!$A$17:$A$89,LatestData!D$17:D$89))</f>
        <v>23.45999908447266</v>
      </c>
      <c r="I71" s="11">
        <f>VALUE(_xlfn.XLOOKUP($G71,LatestData!$A$17:$A$89,LatestData!E$17:E$89))</f>
        <v>24.030000686645511</v>
      </c>
      <c r="J71" s="11">
        <f>VALUE(_xlfn.XLOOKUP($G71,LatestData!$A$17:$A$89,LatestData!F$17:F$89))</f>
        <v>24.04999923706055</v>
      </c>
      <c r="K71" s="11">
        <f>VALUE(_xlfn.XLOOKUP($G71,LatestData!$A$17:$A$89,LatestData!G$17:G$89))</f>
        <v>23.45000076293945</v>
      </c>
      <c r="L71" s="11">
        <f>VALUE(_xlfn.XLOOKUP($G71,LatestData!$A$17:$A$89,LatestData!H$17:H$89))</f>
        <v>23.420000076293949</v>
      </c>
      <c r="M71" s="11">
        <f>VALUE(_xlfn.XLOOKUP($G71,LatestData!$A$17:$A$89,LatestData!I$17:I$89))</f>
        <v>1860973</v>
      </c>
      <c r="N71" s="14">
        <f>VALUE(_xlfn.XLOOKUP($G71,LatestData!$A$17:$A$89,LatestData!J$17:J$89))</f>
        <v>46028.151388888888</v>
      </c>
      <c r="O71" s="11">
        <f>VALUE(_xlfn.XLOOKUP($G71,LatestData!$A$17:$A$89,LatestData!K$17:K$89))</f>
        <v>1276923.7142857141</v>
      </c>
      <c r="P71" s="11">
        <f>VALUE(_xlfn.XLOOKUP($G71,LatestData!$A$17:$A$89,LatestData!L$17:L$89))</f>
        <v>31633612800</v>
      </c>
      <c r="Q71" s="11">
        <f>VALUE(_xlfn.XLOOKUP($G71,LatestData!$A$17:$A$89,LatestData!M$17:M$89))</f>
        <v>41.17</v>
      </c>
      <c r="R71" s="11">
        <f>VALUE(_xlfn.XLOOKUP($G71,LatestData!$A$17:$A$89,LatestData!N$17:N$89))</f>
        <v>22.79</v>
      </c>
      <c r="S71" s="20" t="str">
        <f>_xlfn.XLOOKUP($G71,LatestData!$A$17:$A$89,LatestData!O$17:O$89)</f>
        <v>EUR</v>
      </c>
      <c r="T71" s="11">
        <f>VALUE(_xlfn.XLOOKUP($G71,LatestData!$A$17:$A$89,LatestData!P$17:P$89))</f>
        <v>31.016670000000001</v>
      </c>
      <c r="U71" s="11">
        <f>VALUE(_xlfn.XLOOKUP($G71,LatestData!$A$17:$A$89,LatestData!Q$17:Q$89))</f>
        <v>2.36842</v>
      </c>
      <c r="V71" s="11">
        <f>VALUE(_xlfn.XLOOKUP($G71,LatestData!$A$17:$A$89,LatestData!R$17:R$89))</f>
        <v>0.26</v>
      </c>
      <c r="W71" s="15">
        <f>VALUE(_xlfn.XLOOKUP($G71,LatestData!$A$17:$A$89,LatestData!S$17:S$89)%)</f>
        <v>1.11E-2</v>
      </c>
      <c r="X71" s="16">
        <f>VALUE(_xlfn.XLOOKUP($G71,LatestData!$A$17:$A$89,LatestData!T$17:T$89))</f>
        <v>45803</v>
      </c>
      <c r="Y71" s="16">
        <f>VALUE(_xlfn.XLOOKUP($G71,LatestData!$A$17:$A$89,LatestData!U$17:U$89))</f>
        <v>45953</v>
      </c>
      <c r="Z71" s="13">
        <f>IFERROR((Table2[[#This Row],[Open]]-Table2[[#This Row],[PreviousClose]])/Table2[[#This Row],[PreviousClose]],0)</f>
        <v>1.7078995750814917E-3</v>
      </c>
      <c r="AA71" s="13">
        <f>IFERROR((Table2[[#This Row],[Price]]-Table2[[#This Row],[Open]])/Table2[[#This Row],[Open]],0)</f>
        <v>2.4296744433810118E-2</v>
      </c>
      <c r="AB71" s="11">
        <f>Table2[[#This Row],[Price]]-Table2[[#This Row],[PreviousClose]]</f>
        <v>0.6100006103515625</v>
      </c>
    </row>
    <row r="72" spans="1:28" ht="21" customHeight="1" x14ac:dyDescent="0.25">
      <c r="A72" s="1" t="s">
        <v>114</v>
      </c>
      <c r="E72" s="9" t="s">
        <v>115</v>
      </c>
      <c r="F72" t="s">
        <v>68</v>
      </c>
      <c r="G72" t="str">
        <f t="shared" si="1"/>
        <v>EOAN.DE</v>
      </c>
      <c r="H72" s="11">
        <f>VALUE(_xlfn.XLOOKUP($G72,LatestData!$A$17:$A$89,LatestData!D$17:D$89))</f>
        <v>16.389999389648441</v>
      </c>
      <c r="I72" s="11">
        <f>VALUE(_xlfn.XLOOKUP($G72,LatestData!$A$17:$A$89,LatestData!E$17:E$89))</f>
        <v>16.344999313354489</v>
      </c>
      <c r="J72" s="11">
        <f>VALUE(_xlfn.XLOOKUP($G72,LatestData!$A$17:$A$89,LatestData!F$17:F$89))</f>
        <v>16.54000091552734</v>
      </c>
      <c r="K72" s="11">
        <f>VALUE(_xlfn.XLOOKUP($G72,LatestData!$A$17:$A$89,LatestData!G$17:G$89))</f>
        <v>16.155000686645511</v>
      </c>
      <c r="L72" s="11">
        <f>VALUE(_xlfn.XLOOKUP($G72,LatestData!$A$17:$A$89,LatestData!H$17:H$89))</f>
        <v>16.454999999999998</v>
      </c>
      <c r="M72" s="11">
        <f>VALUE(_xlfn.XLOOKUP($G72,LatestData!$A$17:$A$89,LatestData!I$17:I$89))</f>
        <v>3751116</v>
      </c>
      <c r="N72" s="14">
        <f>VALUE(_xlfn.XLOOKUP($G72,LatestData!$A$17:$A$89,LatestData!J$17:J$89))</f>
        <v>46028.242361111108</v>
      </c>
      <c r="O72" s="11">
        <f>VALUE(_xlfn.XLOOKUP($G72,LatestData!$A$17:$A$89,LatestData!K$17:K$89))</f>
        <v>4620387</v>
      </c>
      <c r="P72" s="11">
        <f>VALUE(_xlfn.XLOOKUP($G72,LatestData!$A$17:$A$89,LatestData!L$17:L$89))</f>
        <v>42710757376</v>
      </c>
      <c r="Q72" s="11">
        <f>VALUE(_xlfn.XLOOKUP($G72,LatestData!$A$17:$A$89,LatestData!M$17:M$89))</f>
        <v>16.55</v>
      </c>
      <c r="R72" s="11">
        <f>VALUE(_xlfn.XLOOKUP($G72,LatestData!$A$17:$A$89,LatestData!N$17:N$89))</f>
        <v>10.435</v>
      </c>
      <c r="S72" s="20" t="str">
        <f>_xlfn.XLOOKUP($G72,LatestData!$A$17:$A$89,LatestData!O$17:O$89)</f>
        <v>EUR</v>
      </c>
      <c r="T72" s="11">
        <f>VALUE(_xlfn.XLOOKUP($G72,LatestData!$A$17:$A$89,LatestData!P$17:P$89))</f>
        <v>17.016529999999999</v>
      </c>
      <c r="U72" s="11">
        <f>VALUE(_xlfn.XLOOKUP($G72,LatestData!$A$17:$A$89,LatestData!Q$17:Q$89))</f>
        <v>0</v>
      </c>
      <c r="V72" s="11">
        <f>VALUE(_xlfn.XLOOKUP($G72,LatestData!$A$17:$A$89,LatestData!R$17:R$89))</f>
        <v>0.55000000000000004</v>
      </c>
      <c r="W72" s="15">
        <f>VALUE(_xlfn.XLOOKUP($G72,LatestData!$A$17:$A$89,LatestData!S$17:S$89)%)</f>
        <v>3.3399999999999999E-2</v>
      </c>
      <c r="X72" s="16">
        <f>VALUE(_xlfn.XLOOKUP($G72,LatestData!$A$17:$A$89,LatestData!T$17:T$89))</f>
        <v>45793</v>
      </c>
      <c r="Y72" s="16">
        <f>VALUE(_xlfn.XLOOKUP($G72,LatestData!$A$17:$A$89,LatestData!U$17:U$89))</f>
        <v>45973</v>
      </c>
      <c r="Z72" s="13">
        <f>IFERROR((Table2[[#This Row],[Open]]-Table2[[#This Row],[PreviousClose]])/Table2[[#This Row],[PreviousClose]],0)</f>
        <v>-3.9502042146190974E-3</v>
      </c>
      <c r="AA72" s="13">
        <f>IFERROR((Table2[[#This Row],[Price]]-Table2[[#This Row],[Open]])/Table2[[#This Row],[Open]],0)</f>
        <v>-2.7455813282319867E-3</v>
      </c>
      <c r="AB72" s="11">
        <f>Table2[[#This Row],[Price]]-Table2[[#This Row],[PreviousClose]]</f>
        <v>-0.11000068664550966</v>
      </c>
    </row>
    <row r="73" spans="1:28" ht="21" customHeight="1" x14ac:dyDescent="0.25">
      <c r="A73" s="1" t="s">
        <v>116</v>
      </c>
      <c r="E73" s="8" t="s">
        <v>117</v>
      </c>
      <c r="F73" s="10" t="s">
        <v>118</v>
      </c>
      <c r="G73" t="str">
        <f t="shared" si="1"/>
        <v>ENI.MI</v>
      </c>
      <c r="H73" s="11">
        <f>VALUE(_xlfn.XLOOKUP($G73,LatestData!$A$17:$A$89,LatestData!D$17:D$89))</f>
        <v>16.510000228881839</v>
      </c>
      <c r="I73" s="11">
        <f>VALUE(_xlfn.XLOOKUP($G73,LatestData!$A$17:$A$89,LatestData!E$17:E$89))</f>
        <v>16.60000038146973</v>
      </c>
      <c r="J73" s="11">
        <f>VALUE(_xlfn.XLOOKUP($G73,LatestData!$A$17:$A$89,LatestData!F$17:F$89))</f>
        <v>16.75</v>
      </c>
      <c r="K73" s="11">
        <f>VALUE(_xlfn.XLOOKUP($G73,LatestData!$A$17:$A$89,LatestData!G$17:G$89))</f>
        <v>16.256000518798832</v>
      </c>
      <c r="L73" s="11">
        <f>VALUE(_xlfn.XLOOKUP($G73,LatestData!$A$17:$A$89,LatestData!H$17:H$89))</f>
        <v>16.413999557495121</v>
      </c>
      <c r="M73" s="11">
        <f>VALUE(_xlfn.XLOOKUP($G73,LatestData!$A$17:$A$89,LatestData!I$17:I$89))</f>
        <v>15694062</v>
      </c>
      <c r="N73" s="14">
        <f>VALUE(_xlfn.XLOOKUP($G73,LatestData!$A$17:$A$89,LatestData!J$17:J$89))</f>
        <v>46028.151388888888</v>
      </c>
      <c r="O73" s="11">
        <f>VALUE(_xlfn.XLOOKUP($G73,LatestData!$A$17:$A$89,LatestData!K$17:K$89))</f>
        <v>10579705.571428571</v>
      </c>
      <c r="P73" s="11">
        <f>VALUE(_xlfn.XLOOKUP($G73,LatestData!$A$17:$A$89,LatestData!L$17:L$89))</f>
        <v>49243525120</v>
      </c>
      <c r="Q73" s="11">
        <f>VALUE(_xlfn.XLOOKUP($G73,LatestData!$A$17:$A$89,LatestData!M$17:M$89))</f>
        <v>16.75</v>
      </c>
      <c r="R73" s="11">
        <f>VALUE(_xlfn.XLOOKUP($G73,LatestData!$A$17:$A$89,LatestData!N$17:N$89))</f>
        <v>11.01</v>
      </c>
      <c r="S73" s="20" t="str">
        <f>_xlfn.XLOOKUP($G73,LatestData!$A$17:$A$89,LatestData!O$17:O$89)</f>
        <v>EUR</v>
      </c>
      <c r="T73" s="11">
        <f>VALUE(_xlfn.XLOOKUP($G73,LatestData!$A$17:$A$89,LatestData!P$17:P$89))</f>
        <v>16.536359999999998</v>
      </c>
      <c r="U73" s="11">
        <f>VALUE(_xlfn.XLOOKUP($G73,LatestData!$A$17:$A$89,LatestData!Q$17:Q$89))</f>
        <v>2.5</v>
      </c>
      <c r="V73" s="11">
        <f>VALUE(_xlfn.XLOOKUP($G73,LatestData!$A$17:$A$89,LatestData!R$17:R$89))</f>
        <v>1.04</v>
      </c>
      <c r="W73" s="15">
        <f>VALUE(_xlfn.XLOOKUP($G73,LatestData!$A$17:$A$89,LatestData!S$17:S$89)%)</f>
        <v>6.3600000000000004E-2</v>
      </c>
      <c r="X73" s="16">
        <f>VALUE(_xlfn.XLOOKUP($G73,LatestData!$A$17:$A$89,LatestData!T$17:T$89))</f>
        <v>45985</v>
      </c>
      <c r="Y73" s="16">
        <f>VALUE(_xlfn.XLOOKUP($G73,LatestData!$A$17:$A$89,LatestData!U$17:U$89))</f>
        <v>45954</v>
      </c>
      <c r="Z73" s="13">
        <f>IFERROR((Table2[[#This Row],[Open]]-Table2[[#This Row],[PreviousClose]])/Table2[[#This Row],[PreviousClose]],0)</f>
        <v>5.8487068340928516E-3</v>
      </c>
      <c r="AA73" s="13">
        <f>IFERROR((Table2[[#This Row],[Price]]-Table2[[#This Row],[Open]])/Table2[[#This Row],[Open]],0)</f>
        <v>5.4512508382918417E-3</v>
      </c>
      <c r="AB73" s="11">
        <f>Table2[[#This Row],[Price]]-Table2[[#This Row],[PreviousClose]]</f>
        <v>0.18600082397460938</v>
      </c>
    </row>
    <row r="74" spans="1:28" ht="21" customHeight="1" x14ac:dyDescent="0.25">
      <c r="A74" s="1" t="s">
        <v>119</v>
      </c>
      <c r="E74" s="9" t="s">
        <v>120</v>
      </c>
      <c r="G74" t="str">
        <f t="shared" si="1"/>
        <v>EPIX</v>
      </c>
      <c r="H74" s="11">
        <f>VALUE(_xlfn.XLOOKUP($G74,LatestData!$A$17:$A$89,LatestData!D$17:D$89))</f>
        <v>0</v>
      </c>
      <c r="I74" s="11">
        <f>VALUE(_xlfn.XLOOKUP($G74,LatestData!$A$17:$A$89,LatestData!E$17:E$89))</f>
        <v>0</v>
      </c>
      <c r="J74" s="11">
        <f>VALUE(_xlfn.XLOOKUP($G74,LatestData!$A$17:$A$89,LatestData!F$17:F$89))</f>
        <v>0</v>
      </c>
      <c r="K74" s="11">
        <f>VALUE(_xlfn.XLOOKUP($G74,LatestData!$A$17:$A$89,LatestData!G$17:G$89))</f>
        <v>0</v>
      </c>
      <c r="L74" s="11">
        <f>VALUE(_xlfn.XLOOKUP($G74,LatestData!$A$17:$A$89,LatestData!H$17:H$89))</f>
        <v>0</v>
      </c>
      <c r="M74" s="11">
        <f>VALUE(_xlfn.XLOOKUP($G74,LatestData!$A$17:$A$89,LatestData!I$17:I$89))</f>
        <v>0</v>
      </c>
      <c r="N74" s="14">
        <f>VALUE(_xlfn.XLOOKUP($G74,LatestData!$A$17:$A$89,LatestData!J$17:J$89))</f>
        <v>0</v>
      </c>
      <c r="O74" s="11">
        <f>VALUE(_xlfn.XLOOKUP($G74,LatestData!$A$17:$A$89,LatestData!K$17:K$89))</f>
        <v>0</v>
      </c>
      <c r="P74" s="11">
        <f>VALUE(_xlfn.XLOOKUP($G74,LatestData!$A$17:$A$89,LatestData!L$17:L$89))</f>
        <v>0</v>
      </c>
      <c r="Q74" s="11">
        <f>VALUE(_xlfn.XLOOKUP($G74,LatestData!$A$17:$A$89,LatestData!M$17:M$89))</f>
        <v>0</v>
      </c>
      <c r="R74" s="11">
        <f>VALUE(_xlfn.XLOOKUP($G74,LatestData!$A$17:$A$89,LatestData!N$17:N$89))</f>
        <v>0</v>
      </c>
      <c r="S74" s="20">
        <f>_xlfn.XLOOKUP($G74,LatestData!$A$17:$A$89,LatestData!O$17:O$89)</f>
        <v>0</v>
      </c>
      <c r="T74" s="11">
        <f>VALUE(_xlfn.XLOOKUP($G74,LatestData!$A$17:$A$89,LatestData!P$17:P$89))</f>
        <v>0</v>
      </c>
      <c r="U74" s="11">
        <f>VALUE(_xlfn.XLOOKUP($G74,LatestData!$A$17:$A$89,LatestData!Q$17:Q$89))</f>
        <v>0</v>
      </c>
      <c r="V74" s="11">
        <f>VALUE(_xlfn.XLOOKUP($G74,LatestData!$A$17:$A$89,LatestData!R$17:R$89))</f>
        <v>0</v>
      </c>
      <c r="W74" s="15">
        <f>VALUE(_xlfn.XLOOKUP($G74,LatestData!$A$17:$A$89,LatestData!S$17:S$89)%)</f>
        <v>0</v>
      </c>
      <c r="X74" s="16">
        <f>VALUE(_xlfn.XLOOKUP($G74,LatestData!$A$17:$A$89,LatestData!T$17:T$89))</f>
        <v>0</v>
      </c>
      <c r="Y74" s="16">
        <f>VALUE(_xlfn.XLOOKUP($G74,LatestData!$A$17:$A$89,LatestData!U$17:U$89))</f>
        <v>0</v>
      </c>
      <c r="Z74" s="13">
        <f>IFERROR((Table2[[#This Row],[Open]]-Table2[[#This Row],[PreviousClose]])/Table2[[#This Row],[PreviousClose]],0)</f>
        <v>0</v>
      </c>
      <c r="AA74" s="13">
        <f>IFERROR((Table2[[#This Row],[Price]]-Table2[[#This Row],[Open]])/Table2[[#This Row],[Open]],0)</f>
        <v>0</v>
      </c>
      <c r="AB74" s="11">
        <f>Table2[[#This Row],[Price]]-Table2[[#This Row],[PreviousClose]]</f>
        <v>0</v>
      </c>
    </row>
    <row r="75" spans="1:28" ht="21" customHeight="1" x14ac:dyDescent="0.25">
      <c r="A75" s="1" t="s">
        <v>121</v>
      </c>
      <c r="E75" s="9" t="s">
        <v>122</v>
      </c>
      <c r="F75" s="10" t="s">
        <v>49</v>
      </c>
      <c r="G75" t="str">
        <f t="shared" si="1"/>
        <v>GLE.PA</v>
      </c>
      <c r="H75" s="11">
        <f>VALUE(_xlfn.XLOOKUP($G75,LatestData!$A$17:$A$89,LatestData!D$17:D$89))</f>
        <v>70.099998474121094</v>
      </c>
      <c r="I75" s="11">
        <f>VALUE(_xlfn.XLOOKUP($G75,LatestData!$A$17:$A$89,LatestData!E$17:E$89))</f>
        <v>70.319999694824219</v>
      </c>
      <c r="J75" s="11">
        <f>VALUE(_xlfn.XLOOKUP($G75,LatestData!$A$17:$A$89,LatestData!F$17:F$89))</f>
        <v>70.739997863769531</v>
      </c>
      <c r="K75" s="11">
        <f>VALUE(_xlfn.XLOOKUP($G75,LatestData!$A$17:$A$89,LatestData!G$17:G$89))</f>
        <v>69.379997253417969</v>
      </c>
      <c r="L75" s="11">
        <f>VALUE(_xlfn.XLOOKUP($G75,LatestData!$A$17:$A$89,LatestData!H$17:H$89))</f>
        <v>69.94000244140625</v>
      </c>
      <c r="M75" s="11">
        <f>VALUE(_xlfn.XLOOKUP($G75,LatestData!$A$17:$A$89,LatestData!I$17:I$89))</f>
        <v>1885241</v>
      </c>
      <c r="N75" s="14">
        <f>VALUE(_xlfn.XLOOKUP($G75,LatestData!$A$17:$A$89,LatestData!J$17:J$89))</f>
        <v>46028.149305555555</v>
      </c>
      <c r="O75" s="11">
        <f>VALUE(_xlfn.XLOOKUP($G75,LatestData!$A$17:$A$89,LatestData!K$17:K$89))</f>
        <v>1180373.142857143</v>
      </c>
      <c r="P75" s="11">
        <f>VALUE(_xlfn.XLOOKUP($G75,LatestData!$A$17:$A$89,LatestData!L$17:L$89))</f>
        <v>53195681792</v>
      </c>
      <c r="Q75" s="11">
        <f>VALUE(_xlfn.XLOOKUP($G75,LatestData!$A$17:$A$89,LatestData!M$17:M$89))</f>
        <v>70.739999999999995</v>
      </c>
      <c r="R75" s="11">
        <f>VALUE(_xlfn.XLOOKUP($G75,LatestData!$A$17:$A$89,LatestData!N$17:N$89))</f>
        <v>26.625</v>
      </c>
      <c r="S75" s="20" t="str">
        <f>_xlfn.XLOOKUP($G75,LatestData!$A$17:$A$89,LatestData!O$17:O$89)</f>
        <v>EUR</v>
      </c>
      <c r="T75" s="11">
        <f>VALUE(_xlfn.XLOOKUP($G75,LatestData!$A$17:$A$89,LatestData!P$17:P$89))</f>
        <v>68.422219999999996</v>
      </c>
      <c r="U75" s="11">
        <f>VALUE(_xlfn.XLOOKUP($G75,LatestData!$A$17:$A$89,LatestData!Q$17:Q$89))</f>
        <v>0</v>
      </c>
      <c r="V75" s="11">
        <f>VALUE(_xlfn.XLOOKUP($G75,LatestData!$A$17:$A$89,LatestData!R$17:R$89))</f>
        <v>1.7</v>
      </c>
      <c r="W75" s="15">
        <f>VALUE(_xlfn.XLOOKUP($G75,LatestData!$A$17:$A$89,LatestData!S$17:S$89)%)</f>
        <v>2.4300000000000002E-2</v>
      </c>
      <c r="X75" s="16">
        <f>VALUE(_xlfn.XLOOKUP($G75,LatestData!$A$17:$A$89,LatestData!T$17:T$89))</f>
        <v>45937</v>
      </c>
      <c r="Y75" s="16">
        <f>VALUE(_xlfn.XLOOKUP($G75,LatestData!$A$17:$A$89,LatestData!U$17:U$89))</f>
        <v>45960</v>
      </c>
      <c r="Z75" s="13">
        <f>IFERROR((Table2[[#This Row],[Open]]-Table2[[#This Row],[PreviousClose]])/Table2[[#This Row],[PreviousClose]],0)</f>
        <v>2.2876183461515301E-3</v>
      </c>
      <c r="AA75" s="13">
        <f>IFERROR((Table2[[#This Row],[Price]]-Table2[[#This Row],[Open]])/Table2[[#This Row],[Open]],0)</f>
        <v>3.1383912338363764E-3</v>
      </c>
      <c r="AB75" s="11">
        <f>Table2[[#This Row],[Price]]-Table2[[#This Row],[PreviousClose]]</f>
        <v>0.37999725341796875</v>
      </c>
    </row>
    <row r="76" spans="1:28" ht="21" customHeight="1" x14ac:dyDescent="0.25">
      <c r="A76" s="1" t="s">
        <v>123</v>
      </c>
      <c r="E76" s="9" t="s">
        <v>124</v>
      </c>
      <c r="F76" s="10" t="s">
        <v>49</v>
      </c>
      <c r="G76" t="str">
        <f t="shared" si="1"/>
        <v>ORA.PA</v>
      </c>
      <c r="H76" s="11">
        <f>VALUE(_xlfn.XLOOKUP($G76,LatestData!$A$17:$A$89,LatestData!D$17:D$89))</f>
        <v>14.335000038146971</v>
      </c>
      <c r="I76" s="11">
        <f>VALUE(_xlfn.XLOOKUP($G76,LatestData!$A$17:$A$89,LatestData!E$17:E$89))</f>
        <v>14.15499973297119</v>
      </c>
      <c r="J76" s="11">
        <f>VALUE(_xlfn.XLOOKUP($G76,LatestData!$A$17:$A$89,LatestData!F$17:F$89))</f>
        <v>14.340000152587891</v>
      </c>
      <c r="K76" s="11">
        <f>VALUE(_xlfn.XLOOKUP($G76,LatestData!$A$17:$A$89,LatestData!G$17:G$89))</f>
        <v>13.99499988555908</v>
      </c>
      <c r="L76" s="11">
        <f>VALUE(_xlfn.XLOOKUP($G76,LatestData!$A$17:$A$89,LatestData!H$17:H$89))</f>
        <v>14.32499980926514</v>
      </c>
      <c r="M76" s="11">
        <f>VALUE(_xlfn.XLOOKUP($G76,LatestData!$A$17:$A$89,LatestData!I$17:I$89))</f>
        <v>3294023</v>
      </c>
      <c r="N76" s="14">
        <f>VALUE(_xlfn.XLOOKUP($G76,LatestData!$A$17:$A$89,LatestData!J$17:J$89))</f>
        <v>46028.149305555555</v>
      </c>
      <c r="O76" s="11">
        <f>VALUE(_xlfn.XLOOKUP($G76,LatestData!$A$17:$A$89,LatestData!K$17:K$89))</f>
        <v>2160048.2857142859</v>
      </c>
      <c r="P76" s="11">
        <f>VALUE(_xlfn.XLOOKUP($G76,LatestData!$A$17:$A$89,LatestData!L$17:L$89))</f>
        <v>37632479232</v>
      </c>
      <c r="Q76" s="11">
        <f>VALUE(_xlfn.XLOOKUP($G76,LatestData!$A$17:$A$89,LatestData!M$17:M$89))</f>
        <v>14.56</v>
      </c>
      <c r="R76" s="11">
        <f>VALUE(_xlfn.XLOOKUP($G76,LatestData!$A$17:$A$89,LatestData!N$17:N$89))</f>
        <v>9.44</v>
      </c>
      <c r="S76" s="20" t="str">
        <f>_xlfn.XLOOKUP($G76,LatestData!$A$17:$A$89,LatestData!O$17:O$89)</f>
        <v>EUR</v>
      </c>
      <c r="T76" s="11">
        <f>VALUE(_xlfn.XLOOKUP($G76,LatestData!$A$17:$A$89,LatestData!P$17:P$89))</f>
        <v>15.68824</v>
      </c>
      <c r="U76" s="11">
        <f>VALUE(_xlfn.XLOOKUP($G76,LatestData!$A$17:$A$89,LatestData!Q$17:Q$89))</f>
        <v>0</v>
      </c>
      <c r="V76" s="11">
        <f>VALUE(_xlfn.XLOOKUP($G76,LatestData!$A$17:$A$89,LatestData!R$17:R$89))</f>
        <v>0.75</v>
      </c>
      <c r="W76" s="15">
        <f>VALUE(_xlfn.XLOOKUP($G76,LatestData!$A$17:$A$89,LatestData!S$17:S$89)%)</f>
        <v>5.2300000000000006E-2</v>
      </c>
      <c r="X76" s="16">
        <f>VALUE(_xlfn.XLOOKUP($G76,LatestData!$A$17:$A$89,LatestData!T$17:T$89))</f>
        <v>45993</v>
      </c>
      <c r="Y76" s="16">
        <f>VALUE(_xlfn.XLOOKUP($G76,LatestData!$A$17:$A$89,LatestData!U$17:U$89))</f>
        <v>46071</v>
      </c>
      <c r="Z76" s="13">
        <f>IFERROR((Table2[[#This Row],[Open]]-Table2[[#This Row],[PreviousClose]])/Table2[[#This Row],[PreviousClose]],0)</f>
        <v>6.9809626631636311E-4</v>
      </c>
      <c r="AA76" s="13">
        <f>IFERROR((Table2[[#This Row],[Price]]-Table2[[#This Row],[Open]])/Table2[[#This Row],[Open]],0)</f>
        <v>-1.2556700711320624E-2</v>
      </c>
      <c r="AB76" s="11">
        <f>Table2[[#This Row],[Price]]-Table2[[#This Row],[PreviousClose]]</f>
        <v>-0.17000007629395064</v>
      </c>
    </row>
    <row r="77" spans="1:28" ht="21" customHeight="1" x14ac:dyDescent="0.25">
      <c r="A77" s="1" t="s">
        <v>125</v>
      </c>
      <c r="E77" s="9" t="s">
        <v>126</v>
      </c>
      <c r="F77" s="10" t="s">
        <v>68</v>
      </c>
      <c r="G77" t="str">
        <f t="shared" si="1"/>
        <v>RWE.DE</v>
      </c>
      <c r="H77" s="11">
        <f>VALUE(_xlfn.XLOOKUP($G77,LatestData!$A$17:$A$89,LatestData!D$17:D$89))</f>
        <v>46.900001525878913</v>
      </c>
      <c r="I77" s="11">
        <f>VALUE(_xlfn.XLOOKUP($G77,LatestData!$A$17:$A$89,LatestData!E$17:E$89))</f>
        <v>47.240001678466797</v>
      </c>
      <c r="J77" s="11">
        <f>VALUE(_xlfn.XLOOKUP($G77,LatestData!$A$17:$A$89,LatestData!F$17:F$89))</f>
        <v>47.240001678466797</v>
      </c>
      <c r="K77" s="11">
        <f>VALUE(_xlfn.XLOOKUP($G77,LatestData!$A$17:$A$89,LatestData!G$17:G$89))</f>
        <v>46.240001678466797</v>
      </c>
      <c r="L77" s="11">
        <f>VALUE(_xlfn.XLOOKUP($G77,LatestData!$A$17:$A$89,LatestData!H$17:H$89))</f>
        <v>46.91</v>
      </c>
      <c r="M77" s="11">
        <f>VALUE(_xlfn.XLOOKUP($G77,LatestData!$A$17:$A$89,LatestData!I$17:I$89))</f>
        <v>1851472</v>
      </c>
      <c r="N77" s="14">
        <f>VALUE(_xlfn.XLOOKUP($G77,LatestData!$A$17:$A$89,LatestData!J$17:J$89))</f>
        <v>46028.265277777777</v>
      </c>
      <c r="O77" s="11">
        <f>VALUE(_xlfn.XLOOKUP($G77,LatestData!$A$17:$A$89,LatestData!K$17:K$89))</f>
        <v>1370729.4285714291</v>
      </c>
      <c r="P77" s="11">
        <f>VALUE(_xlfn.XLOOKUP($G77,LatestData!$A$17:$A$89,LatestData!L$17:L$89))</f>
        <v>34928918528</v>
      </c>
      <c r="Q77" s="11">
        <f>VALUE(_xlfn.XLOOKUP($G77,LatestData!$A$17:$A$89,LatestData!M$17:M$89))</f>
        <v>47.24</v>
      </c>
      <c r="R77" s="11">
        <f>VALUE(_xlfn.XLOOKUP($G77,LatestData!$A$17:$A$89,LatestData!N$17:N$89))</f>
        <v>27.95</v>
      </c>
      <c r="S77" s="20" t="str">
        <f>_xlfn.XLOOKUP($G77,LatestData!$A$17:$A$89,LatestData!O$17:O$89)</f>
        <v>EUR</v>
      </c>
      <c r="T77" s="11">
        <f>VALUE(_xlfn.XLOOKUP($G77,LatestData!$A$17:$A$89,LatestData!P$17:P$89))</f>
        <v>49.138890000000004</v>
      </c>
      <c r="U77" s="11">
        <f>VALUE(_xlfn.XLOOKUP($G77,LatestData!$A$17:$A$89,LatestData!Q$17:Q$89))</f>
        <v>0</v>
      </c>
      <c r="V77" s="11">
        <f>VALUE(_xlfn.XLOOKUP($G77,LatestData!$A$17:$A$89,LatestData!R$17:R$89))</f>
        <v>1.1000000000000001</v>
      </c>
      <c r="W77" s="15">
        <f>VALUE(_xlfn.XLOOKUP($G77,LatestData!$A$17:$A$89,LatestData!S$17:S$89)%)</f>
        <v>2.3399999999999997E-2</v>
      </c>
      <c r="X77" s="16">
        <f>VALUE(_xlfn.XLOOKUP($G77,LatestData!$A$17:$A$89,LatestData!T$17:T$89))</f>
        <v>45779</v>
      </c>
      <c r="Y77" s="16">
        <f>VALUE(_xlfn.XLOOKUP($G77,LatestData!$A$17:$A$89,LatestData!U$17:U$89))</f>
        <v>45973</v>
      </c>
      <c r="Z77" s="13">
        <f>IFERROR((Table2[[#This Row],[Open]]-Table2[[#This Row],[PreviousClose]])/Table2[[#This Row],[PreviousClose]],0)</f>
        <v>-2.1314163549527253E-4</v>
      </c>
      <c r="AA77" s="13">
        <f>IFERROR((Table2[[#This Row],[Price]]-Table2[[#This Row],[Open]])/Table2[[#This Row],[Open]],0)</f>
        <v>7.2494699685729247E-3</v>
      </c>
      <c r="AB77" s="11">
        <f>Table2[[#This Row],[Price]]-Table2[[#This Row],[PreviousClose]]</f>
        <v>0.33000167846680029</v>
      </c>
    </row>
    <row r="78" spans="1:28" ht="21" customHeight="1" x14ac:dyDescent="0.25">
      <c r="A78" s="1" t="s">
        <v>127</v>
      </c>
      <c r="E78" s="9" t="s">
        <v>128</v>
      </c>
      <c r="F78" s="10" t="s">
        <v>68</v>
      </c>
      <c r="G78" t="str">
        <f t="shared" si="1"/>
        <v>SAP.DE</v>
      </c>
      <c r="H78" s="11">
        <f>VALUE(_xlfn.XLOOKUP($G78,LatestData!$A$17:$A$89,LatestData!D$17:D$89))</f>
        <v>200.19999694824219</v>
      </c>
      <c r="I78" s="11">
        <f>VALUE(_xlfn.XLOOKUP($G78,LatestData!$A$17:$A$89,LatestData!E$17:E$89))</f>
        <v>206.19999694824219</v>
      </c>
      <c r="J78" s="11">
        <f>VALUE(_xlfn.XLOOKUP($G78,LatestData!$A$17:$A$89,LatestData!F$17:F$89))</f>
        <v>206.19999694824219</v>
      </c>
      <c r="K78" s="11">
        <f>VALUE(_xlfn.XLOOKUP($G78,LatestData!$A$17:$A$89,LatestData!G$17:G$89))</f>
        <v>199.6000061035156</v>
      </c>
      <c r="L78" s="11">
        <f>VALUE(_xlfn.XLOOKUP($G78,LatestData!$A$17:$A$89,LatestData!H$17:H$89))</f>
        <v>201.95</v>
      </c>
      <c r="M78" s="11">
        <f>VALUE(_xlfn.XLOOKUP($G78,LatestData!$A$17:$A$89,LatestData!I$17:I$89))</f>
        <v>1313735</v>
      </c>
      <c r="N78" s="14">
        <f>VALUE(_xlfn.XLOOKUP($G78,LatestData!$A$17:$A$89,LatestData!J$17:J$89))</f>
        <v>46028.263194444444</v>
      </c>
      <c r="O78" s="11">
        <f>VALUE(_xlfn.XLOOKUP($G78,LatestData!$A$17:$A$89,LatestData!K$17:K$89))</f>
        <v>1415537.857142857</v>
      </c>
      <c r="P78" s="11">
        <f>VALUE(_xlfn.XLOOKUP($G78,LatestData!$A$17:$A$89,LatestData!L$17:L$89))</f>
        <v>240141402112</v>
      </c>
      <c r="Q78" s="11">
        <f>VALUE(_xlfn.XLOOKUP($G78,LatestData!$A$17:$A$89,LatestData!M$17:M$89))</f>
        <v>283.5</v>
      </c>
      <c r="R78" s="11">
        <f>VALUE(_xlfn.XLOOKUP($G78,LatestData!$A$17:$A$89,LatestData!N$17:N$89))</f>
        <v>199.6</v>
      </c>
      <c r="S78" s="20" t="str">
        <f>_xlfn.XLOOKUP($G78,LatestData!$A$17:$A$89,LatestData!O$17:O$89)</f>
        <v>EUR</v>
      </c>
      <c r="T78" s="11">
        <f>VALUE(_xlfn.XLOOKUP($G78,LatestData!$A$17:$A$89,LatestData!P$17:P$89))</f>
        <v>283.20499999999998</v>
      </c>
      <c r="U78" s="11">
        <f>VALUE(_xlfn.XLOOKUP($G78,LatestData!$A$17:$A$89,LatestData!Q$17:Q$89))</f>
        <v>1.6296299999999999</v>
      </c>
      <c r="V78" s="11">
        <f>VALUE(_xlfn.XLOOKUP($G78,LatestData!$A$17:$A$89,LatestData!R$17:R$89))</f>
        <v>2.35</v>
      </c>
      <c r="W78" s="15">
        <f>VALUE(_xlfn.XLOOKUP($G78,LatestData!$A$17:$A$89,LatestData!S$17:S$89)%)</f>
        <v>1.1599999999999999E-2</v>
      </c>
      <c r="X78" s="16">
        <f>VALUE(_xlfn.XLOOKUP($G78,LatestData!$A$17:$A$89,LatestData!T$17:T$89))</f>
        <v>45791</v>
      </c>
      <c r="Y78" s="16">
        <f>VALUE(_xlfn.XLOOKUP($G78,LatestData!$A$17:$A$89,LatestData!U$17:U$89))</f>
        <v>45952</v>
      </c>
      <c r="Z78" s="13">
        <f>IFERROR((Table2[[#This Row],[Open]]-Table2[[#This Row],[PreviousClose]])/Table2[[#This Row],[PreviousClose]],0)</f>
        <v>-8.6655263766169909E-3</v>
      </c>
      <c r="AA78" s="13">
        <f>IFERROR((Table2[[#This Row],[Price]]-Table2[[#This Row],[Open]])/Table2[[#This Row],[Open]],0)</f>
        <v>2.9970030426879492E-2</v>
      </c>
      <c r="AB78" s="11">
        <f>Table2[[#This Row],[Price]]-Table2[[#This Row],[PreviousClose]]</f>
        <v>4.2499969482421989</v>
      </c>
    </row>
    <row r="79" spans="1:28" ht="21" customHeight="1" x14ac:dyDescent="0.25">
      <c r="A79" s="1" t="s">
        <v>129</v>
      </c>
      <c r="E79" s="9" t="s">
        <v>130</v>
      </c>
      <c r="F79" s="10" t="s">
        <v>68</v>
      </c>
      <c r="G79" t="str">
        <f t="shared" si="1"/>
        <v>UN0.DE</v>
      </c>
      <c r="H79" s="11">
        <f>VALUE(_xlfn.XLOOKUP($G79,LatestData!$A$17:$A$89,LatestData!D$17:D$89))</f>
        <v>33.349998474121087</v>
      </c>
      <c r="I79" s="11">
        <f>VALUE(_xlfn.XLOOKUP($G79,LatestData!$A$17:$A$89,LatestData!E$17:E$89))</f>
        <v>33.650001525878913</v>
      </c>
      <c r="J79" s="11">
        <f>VALUE(_xlfn.XLOOKUP($G79,LatestData!$A$17:$A$89,LatestData!F$17:F$89))</f>
        <v>33.799999237060547</v>
      </c>
      <c r="K79" s="11">
        <f>VALUE(_xlfn.XLOOKUP($G79,LatestData!$A$17:$A$89,LatestData!G$17:G$89))</f>
        <v>33.049999237060547</v>
      </c>
      <c r="L79" s="11">
        <f>VALUE(_xlfn.XLOOKUP($G79,LatestData!$A$17:$A$89,LatestData!H$17:H$89))</f>
        <v>33.35</v>
      </c>
      <c r="M79" s="11">
        <f>VALUE(_xlfn.XLOOKUP($G79,LatestData!$A$17:$A$89,LatestData!I$17:I$89))</f>
        <v>1767</v>
      </c>
      <c r="N79" s="14">
        <f>VALUE(_xlfn.XLOOKUP($G79,LatestData!$A$17:$A$89,LatestData!J$17:J$89))</f>
        <v>46028.149305555555</v>
      </c>
      <c r="O79" s="11">
        <f>VALUE(_xlfn.XLOOKUP($G79,LatestData!$A$17:$A$89,LatestData!K$17:K$89))</f>
        <v>5538</v>
      </c>
      <c r="P79" s="11">
        <f>VALUE(_xlfn.XLOOKUP($G79,LatestData!$A$17:$A$89,LatestData!L$17:L$89))</f>
        <v>14014395392</v>
      </c>
      <c r="Q79" s="11">
        <f>VALUE(_xlfn.XLOOKUP($G79,LatestData!$A$17:$A$89,LatestData!M$17:M$89))</f>
        <v>47.3</v>
      </c>
      <c r="R79" s="11">
        <f>VALUE(_xlfn.XLOOKUP($G79,LatestData!$A$17:$A$89,LatestData!N$17:N$89))</f>
        <v>27.3</v>
      </c>
      <c r="S79" s="20" t="str">
        <f>_xlfn.XLOOKUP($G79,LatestData!$A$17:$A$89,LatestData!O$17:O$89)</f>
        <v>EUR</v>
      </c>
      <c r="T79" s="11">
        <f>VALUE(_xlfn.XLOOKUP($G79,LatestData!$A$17:$A$89,LatestData!P$17:P$89))</f>
        <v>30.5</v>
      </c>
      <c r="U79" s="11">
        <f>VALUE(_xlfn.XLOOKUP($G79,LatestData!$A$17:$A$89,LatestData!Q$17:Q$89))</f>
        <v>0</v>
      </c>
      <c r="V79" s="11">
        <f>VALUE(_xlfn.XLOOKUP($G79,LatestData!$A$17:$A$89,LatestData!R$17:R$89))</f>
        <v>0</v>
      </c>
      <c r="W79" s="15">
        <f>VALUE(_xlfn.XLOOKUP($G79,LatestData!$A$17:$A$89,LatestData!S$17:S$89)%)</f>
        <v>0</v>
      </c>
      <c r="X79" s="16">
        <f>VALUE(_xlfn.XLOOKUP($G79,LatestData!$A$17:$A$89,LatestData!T$17:T$89))</f>
        <v>44700</v>
      </c>
      <c r="Y79" s="16">
        <f>VALUE(_xlfn.XLOOKUP($G79,LatestData!$A$17:$A$89,LatestData!U$17:U$89))</f>
        <v>45967</v>
      </c>
      <c r="Z79" s="13">
        <f>IFERROR((Table2[[#This Row],[Open]]-Table2[[#This Row],[PreviousClose]])/Table2[[#This Row],[PreviousClose]],0)</f>
        <v>-4.575349069794641E-8</v>
      </c>
      <c r="AA79" s="13">
        <f>IFERROR((Table2[[#This Row],[Price]]-Table2[[#This Row],[Open]])/Table2[[#This Row],[Open]],0)</f>
        <v>8.995594167436706E-3</v>
      </c>
      <c r="AB79" s="11">
        <f>Table2[[#This Row],[Price]]-Table2[[#This Row],[PreviousClose]]</f>
        <v>0.30000152587891193</v>
      </c>
    </row>
    <row r="80" spans="1:28" ht="21" customHeight="1" x14ac:dyDescent="0.25">
      <c r="A80" s="1" t="s">
        <v>131</v>
      </c>
      <c r="E80" s="7" t="s">
        <v>132</v>
      </c>
      <c r="G80" t="str">
        <f t="shared" si="1"/>
        <v>AAPL</v>
      </c>
      <c r="H80" s="11">
        <f>VALUE(_xlfn.XLOOKUP($G80,LatestData!$A$17:$A$89,LatestData!D$17:D$89))</f>
        <v>270.71499633789062</v>
      </c>
      <c r="I80" s="11">
        <f>VALUE(_xlfn.XLOOKUP($G80,LatestData!$A$17:$A$89,LatestData!E$17:E$89))</f>
        <v>266.65509033203119</v>
      </c>
      <c r="J80" s="11">
        <f>VALUE(_xlfn.XLOOKUP($G80,LatestData!$A$17:$A$89,LatestData!F$17:F$89))</f>
        <v>271.5</v>
      </c>
      <c r="K80" s="11">
        <f>VALUE(_xlfn.XLOOKUP($G80,LatestData!$A$17:$A$89,LatestData!G$17:G$89))</f>
        <v>266.1400146484375</v>
      </c>
      <c r="L80" s="11">
        <f>VALUE(_xlfn.XLOOKUP($G80,LatestData!$A$17:$A$89,LatestData!H$17:H$89))</f>
        <v>270.98</v>
      </c>
      <c r="M80" s="11">
        <f>VALUE(_xlfn.XLOOKUP($G80,LatestData!$A$17:$A$89,LatestData!I$17:I$89))</f>
        <v>25661911</v>
      </c>
      <c r="N80" s="14">
        <f>VALUE(_xlfn.XLOOKUP($G80,LatestData!$A$17:$A$89,LatestData!J$17:J$89))</f>
        <v>46028.276388888888</v>
      </c>
      <c r="O80" s="11">
        <f>VALUE(_xlfn.XLOOKUP($G80,LatestData!$A$17:$A$89,LatestData!K$17:K$89))</f>
        <v>25152158.714285709</v>
      </c>
      <c r="P80" s="11">
        <f>VALUE(_xlfn.XLOOKUP($G80,LatestData!$A$17:$A$89,LatestData!L$17:L$89))</f>
        <v>3957265530880</v>
      </c>
      <c r="Q80" s="11">
        <f>VALUE(_xlfn.XLOOKUP($G80,LatestData!$A$17:$A$89,LatestData!M$17:M$89))</f>
        <v>288.62</v>
      </c>
      <c r="R80" s="11">
        <f>VALUE(_xlfn.XLOOKUP($G80,LatestData!$A$17:$A$89,LatestData!N$17:N$89))</f>
        <v>169.21</v>
      </c>
      <c r="S80" s="20" t="str">
        <f>_xlfn.XLOOKUP($G80,LatestData!$A$17:$A$89,LatestData!O$17:O$89)</f>
        <v>USD</v>
      </c>
      <c r="T80" s="11">
        <f>VALUE(_xlfn.XLOOKUP($G80,LatestData!$A$17:$A$89,LatestData!P$17:P$89))</f>
        <v>287.70681999999999</v>
      </c>
      <c r="U80" s="11">
        <f>VALUE(_xlfn.XLOOKUP($G80,LatestData!$A$17:$A$89,LatestData!Q$17:Q$89))</f>
        <v>2</v>
      </c>
      <c r="V80" s="11">
        <f>VALUE(_xlfn.XLOOKUP($G80,LatestData!$A$17:$A$89,LatestData!R$17:R$89))</f>
        <v>1.04</v>
      </c>
      <c r="W80" s="15">
        <f>VALUE(_xlfn.XLOOKUP($G80,LatestData!$A$17:$A$89,LatestData!S$17:S$89)%)</f>
        <v>3.8E-3</v>
      </c>
      <c r="X80" s="16">
        <f>VALUE(_xlfn.XLOOKUP($G80,LatestData!$A$17:$A$89,LatestData!T$17:T$89))</f>
        <v>45971</v>
      </c>
      <c r="Y80" s="16">
        <f>VALUE(_xlfn.XLOOKUP($G80,LatestData!$A$17:$A$89,LatestData!U$17:U$89))</f>
        <v>46051</v>
      </c>
      <c r="Z80" s="13">
        <f>IFERROR((Table2[[#This Row],[Open]]-Table2[[#This Row],[PreviousClose]])/Table2[[#This Row],[PreviousClose]],0)</f>
        <v>-9.7794546501362898E-4</v>
      </c>
      <c r="AA80" s="13">
        <f>IFERROR((Table2[[#This Row],[Price]]-Table2[[#This Row],[Open]])/Table2[[#This Row],[Open]],0)</f>
        <v>-1.4996974902683613E-2</v>
      </c>
      <c r="AB80" s="11">
        <f>Table2[[#This Row],[Price]]-Table2[[#This Row],[PreviousClose]]</f>
        <v>-4.324909667968825</v>
      </c>
    </row>
    <row r="81" spans="1:28" ht="21" customHeight="1" x14ac:dyDescent="0.25">
      <c r="A81" s="1" t="s">
        <v>133</v>
      </c>
      <c r="E81" s="6" t="s">
        <v>134</v>
      </c>
      <c r="G81" t="str">
        <f t="shared" ref="G81:G112" si="2">IF(OR(LEFT(E81,3)="SAF",LEFT(E81,3)="MVE",LEFT(E81,2)="JB"),MID(E81,IF(LEFT(E81,2)="JB",3,4),LEN(E81)-2),E81)&amp;F81</f>
        <v>AMZN</v>
      </c>
      <c r="H81" s="11">
        <f>VALUE(_xlfn.XLOOKUP($G81,LatestData!$A$17:$A$89,LatestData!D$17:D$89))</f>
        <v>228.86500549316409</v>
      </c>
      <c r="I81" s="11">
        <f>VALUE(_xlfn.XLOOKUP($G81,LatestData!$A$17:$A$89,LatestData!E$17:E$89))</f>
        <v>232.68009948730469</v>
      </c>
      <c r="J81" s="11">
        <f>VALUE(_xlfn.XLOOKUP($G81,LatestData!$A$17:$A$89,LatestData!F$17:F$89))</f>
        <v>234</v>
      </c>
      <c r="K81" s="11">
        <f>VALUE(_xlfn.XLOOKUP($G81,LatestData!$A$17:$A$89,LatestData!G$17:G$89))</f>
        <v>227.17999267578119</v>
      </c>
      <c r="L81" s="11">
        <f>VALUE(_xlfn.XLOOKUP($G81,LatestData!$A$17:$A$89,LatestData!H$17:H$89))</f>
        <v>226.7</v>
      </c>
      <c r="M81" s="11">
        <f>VALUE(_xlfn.XLOOKUP($G81,LatestData!$A$17:$A$89,LatestData!I$17:I$89))</f>
        <v>32147283</v>
      </c>
      <c r="N81" s="14">
        <f>VALUE(_xlfn.XLOOKUP($G81,LatestData!$A$17:$A$89,LatestData!J$17:J$89))</f>
        <v>46028.276388888888</v>
      </c>
      <c r="O81" s="11">
        <f>VALUE(_xlfn.XLOOKUP($G81,LatestData!$A$17:$A$89,LatestData!K$17:K$89))</f>
        <v>25293383.285714291</v>
      </c>
      <c r="P81" s="11">
        <f>VALUE(_xlfn.XLOOKUP($G81,LatestData!$A$17:$A$89,LatestData!L$17:L$89))</f>
        <v>2487506436096</v>
      </c>
      <c r="Q81" s="11">
        <f>VALUE(_xlfn.XLOOKUP($G81,LatestData!$A$17:$A$89,LatestData!M$17:M$89))</f>
        <v>258.60000000000002</v>
      </c>
      <c r="R81" s="11">
        <f>VALUE(_xlfn.XLOOKUP($G81,LatestData!$A$17:$A$89,LatestData!N$17:N$89))</f>
        <v>161.38</v>
      </c>
      <c r="S81" s="20" t="str">
        <f>_xlfn.XLOOKUP($G81,LatestData!$A$17:$A$89,LatestData!O$17:O$89)</f>
        <v>USD</v>
      </c>
      <c r="T81" s="11">
        <f>VALUE(_xlfn.XLOOKUP($G81,LatestData!$A$17:$A$89,LatestData!P$17:P$89))</f>
        <v>295.59784000000002</v>
      </c>
      <c r="U81" s="11">
        <f>VALUE(_xlfn.XLOOKUP($G81,LatestData!$A$17:$A$89,LatestData!Q$17:Q$89))</f>
        <v>1.32836</v>
      </c>
      <c r="V81" s="11">
        <f>VALUE(_xlfn.XLOOKUP($G81,LatestData!$A$17:$A$89,LatestData!R$17:R$89))</f>
        <v>0</v>
      </c>
      <c r="W81" s="15">
        <f>VALUE(_xlfn.XLOOKUP($G81,LatestData!$A$17:$A$89,LatestData!S$17:S$89)%)</f>
        <v>0</v>
      </c>
      <c r="X81" s="16">
        <f>VALUE(_xlfn.XLOOKUP($G81,LatestData!$A$17:$A$89,LatestData!T$17:T$89))</f>
        <v>0</v>
      </c>
      <c r="Y81" s="16">
        <f>VALUE(_xlfn.XLOOKUP($G81,LatestData!$A$17:$A$89,LatestData!U$17:U$89))</f>
        <v>46058</v>
      </c>
      <c r="Z81" s="13">
        <f>IFERROR((Table2[[#This Row],[Open]]-Table2[[#This Row],[PreviousClose]])/Table2[[#This Row],[PreviousClose]],0)</f>
        <v>9.5500903977243159E-3</v>
      </c>
      <c r="AA81" s="13">
        <f>IFERROR((Table2[[#This Row],[Price]]-Table2[[#This Row],[Open]])/Table2[[#This Row],[Open]],0)</f>
        <v>1.6669625773148393E-2</v>
      </c>
      <c r="AB81" s="11">
        <f>Table2[[#This Row],[Price]]-Table2[[#This Row],[PreviousClose]]</f>
        <v>5.9800994873046989</v>
      </c>
    </row>
    <row r="82" spans="1:28" ht="21" customHeight="1" x14ac:dyDescent="0.25">
      <c r="A82" s="1" t="s">
        <v>135</v>
      </c>
      <c r="E82" s="7" t="s">
        <v>136</v>
      </c>
      <c r="F82" s="10" t="s">
        <v>52</v>
      </c>
      <c r="G82" t="str">
        <f t="shared" si="2"/>
        <v>ASML.AS</v>
      </c>
      <c r="H82" s="11">
        <f>VALUE(_xlfn.XLOOKUP($G82,LatestData!$A$17:$A$89,LatestData!D$17:D$89))</f>
        <v>1007.400024414062</v>
      </c>
      <c r="I82" s="11">
        <f>VALUE(_xlfn.XLOOKUP($G82,LatestData!$A$17:$A$89,LatestData!E$17:E$89))</f>
        <v>1053.199951171875</v>
      </c>
      <c r="J82" s="11">
        <f>VALUE(_xlfn.XLOOKUP($G82,LatestData!$A$17:$A$89,LatestData!F$17:F$89))</f>
        <v>1055.400024414062</v>
      </c>
      <c r="K82" s="11">
        <f>VALUE(_xlfn.XLOOKUP($G82,LatestData!$A$17:$A$89,LatestData!G$17:G$89))</f>
        <v>1007.400024414062</v>
      </c>
      <c r="L82" s="11">
        <f>VALUE(_xlfn.XLOOKUP($G82,LatestData!$A$17:$A$89,LatestData!H$17:H$89))</f>
        <v>983.70001220703125</v>
      </c>
      <c r="M82" s="11">
        <f>VALUE(_xlfn.XLOOKUP($G82,LatestData!$A$17:$A$89,LatestData!I$17:I$89))</f>
        <v>958224</v>
      </c>
      <c r="N82" s="14">
        <f>VALUE(_xlfn.XLOOKUP($G82,LatestData!$A$17:$A$89,LatestData!J$17:J$89))</f>
        <v>46028.152083333334</v>
      </c>
      <c r="O82" s="11">
        <f>VALUE(_xlfn.XLOOKUP($G82,LatestData!$A$17:$A$89,LatestData!K$17:K$89))</f>
        <v>430532.57142857142</v>
      </c>
      <c r="P82" s="11">
        <f>VALUE(_xlfn.XLOOKUP($G82,LatestData!$A$17:$A$89,LatestData!L$17:L$89))</f>
        <v>408797118464</v>
      </c>
      <c r="Q82" s="11">
        <f>VALUE(_xlfn.XLOOKUP($G82,LatestData!$A$17:$A$89,LatestData!M$17:M$89))</f>
        <v>1055.4000000000001</v>
      </c>
      <c r="R82" s="11">
        <f>VALUE(_xlfn.XLOOKUP($G82,LatestData!$A$17:$A$89,LatestData!N$17:N$89))</f>
        <v>508.4</v>
      </c>
      <c r="S82" s="20" t="str">
        <f>_xlfn.XLOOKUP($G82,LatestData!$A$17:$A$89,LatestData!O$17:O$89)</f>
        <v>EUR</v>
      </c>
      <c r="T82" s="11">
        <f>VALUE(_xlfn.XLOOKUP($G82,LatestData!$A$17:$A$89,LatestData!P$17:P$89))</f>
        <v>1052.2</v>
      </c>
      <c r="U82" s="11">
        <f>VALUE(_xlfn.XLOOKUP($G82,LatestData!$A$17:$A$89,LatestData!Q$17:Q$89))</f>
        <v>1.7027000000000001</v>
      </c>
      <c r="V82" s="11">
        <f>VALUE(_xlfn.XLOOKUP($G82,LatestData!$A$17:$A$89,LatestData!R$17:R$89))</f>
        <v>6.4</v>
      </c>
      <c r="W82" s="15">
        <f>VALUE(_xlfn.XLOOKUP($G82,LatestData!$A$17:$A$89,LatestData!S$17:S$89)%)</f>
        <v>6.5000000000000006E-3</v>
      </c>
      <c r="X82" s="16">
        <f>VALUE(_xlfn.XLOOKUP($G82,LatestData!$A$17:$A$89,LatestData!T$17:T$89))</f>
        <v>45958</v>
      </c>
      <c r="Y82" s="16">
        <f>VALUE(_xlfn.XLOOKUP($G82,LatestData!$A$17:$A$89,LatestData!U$17:U$89))</f>
        <v>45945</v>
      </c>
      <c r="Z82" s="13">
        <f>IFERROR((Table2[[#This Row],[Open]]-Table2[[#This Row],[PreviousClose]])/Table2[[#This Row],[PreviousClose]],0)</f>
        <v>2.4092723302765243E-2</v>
      </c>
      <c r="AA82" s="13">
        <f>IFERROR((Table2[[#This Row],[Price]]-Table2[[#This Row],[Open]])/Table2[[#This Row],[Open]],0)</f>
        <v>4.5463495779099014E-2</v>
      </c>
      <c r="AB82" s="11">
        <f>Table2[[#This Row],[Price]]-Table2[[#This Row],[PreviousClose]]</f>
        <v>69.49993896484375</v>
      </c>
    </row>
    <row r="83" spans="1:28" ht="21" customHeight="1" x14ac:dyDescent="0.25">
      <c r="A83" s="1" t="s">
        <v>137</v>
      </c>
      <c r="E83" s="6" t="s">
        <v>138</v>
      </c>
      <c r="G83" t="str">
        <f t="shared" si="2"/>
        <v>DDD</v>
      </c>
      <c r="H83" s="11">
        <f>VALUE(_xlfn.XLOOKUP($G83,LatestData!$A$17:$A$89,LatestData!D$17:D$89))</f>
        <v>1.919999957084656</v>
      </c>
      <c r="I83" s="11">
        <f>VALUE(_xlfn.XLOOKUP($G83,LatestData!$A$17:$A$89,LatestData!E$17:E$89))</f>
        <v>1.9228999614715581</v>
      </c>
      <c r="J83" s="11">
        <f>VALUE(_xlfn.XLOOKUP($G83,LatestData!$A$17:$A$89,LatestData!F$17:F$89))</f>
        <v>2.0250000953674321</v>
      </c>
      <c r="K83" s="11">
        <f>VALUE(_xlfn.XLOOKUP($G83,LatestData!$A$17:$A$89,LatestData!G$17:G$89))</f>
        <v>1.8999999761581421</v>
      </c>
      <c r="L83" s="11">
        <f>VALUE(_xlfn.XLOOKUP($G83,LatestData!$A$17:$A$89,LatestData!H$17:H$89))</f>
        <v>1.85</v>
      </c>
      <c r="M83" s="11">
        <f>VALUE(_xlfn.XLOOKUP($G83,LatestData!$A$17:$A$89,LatestData!I$17:I$89))</f>
        <v>3740991</v>
      </c>
      <c r="N83" s="14">
        <f>VALUE(_xlfn.XLOOKUP($G83,LatestData!$A$17:$A$89,LatestData!J$17:J$89))</f>
        <v>46028.276388888888</v>
      </c>
      <c r="O83" s="11">
        <f>VALUE(_xlfn.XLOOKUP($G83,LatestData!$A$17:$A$89,LatestData!K$17:K$89))</f>
        <v>2487498.7142857141</v>
      </c>
      <c r="P83" s="11">
        <f>VALUE(_xlfn.XLOOKUP($G83,LatestData!$A$17:$A$89,LatestData!L$17:L$89))</f>
        <v>280856256</v>
      </c>
      <c r="Q83" s="11">
        <f>VALUE(_xlfn.XLOOKUP($G83,LatestData!$A$17:$A$89,LatestData!M$17:M$89))</f>
        <v>5</v>
      </c>
      <c r="R83" s="11">
        <f>VALUE(_xlfn.XLOOKUP($G83,LatestData!$A$17:$A$89,LatestData!N$17:N$89))</f>
        <v>1.32</v>
      </c>
      <c r="S83" s="20" t="str">
        <f>_xlfn.XLOOKUP($G83,LatestData!$A$17:$A$89,LatestData!O$17:O$89)</f>
        <v>USD</v>
      </c>
      <c r="T83" s="11">
        <f>VALUE(_xlfn.XLOOKUP($G83,LatestData!$A$17:$A$89,LatestData!P$17:P$89))</f>
        <v>3.625</v>
      </c>
      <c r="U83" s="11">
        <f>VALUE(_xlfn.XLOOKUP($G83,LatestData!$A$17:$A$89,LatestData!Q$17:Q$89))</f>
        <v>0</v>
      </c>
      <c r="V83" s="11">
        <f>VALUE(_xlfn.XLOOKUP($G83,LatestData!$A$17:$A$89,LatestData!R$17:R$89))</f>
        <v>0</v>
      </c>
      <c r="W83" s="15">
        <f>VALUE(_xlfn.XLOOKUP($G83,LatestData!$A$17:$A$89,LatestData!S$17:S$89)%)</f>
        <v>0</v>
      </c>
      <c r="X83" s="16">
        <f>VALUE(_xlfn.XLOOKUP($G83,LatestData!$A$17:$A$89,LatestData!T$17:T$89))</f>
        <v>0</v>
      </c>
      <c r="Y83" s="16">
        <f>VALUE(_xlfn.XLOOKUP($G83,LatestData!$A$17:$A$89,LatestData!U$17:U$89))</f>
        <v>45965</v>
      </c>
      <c r="Z83" s="13">
        <f>IFERROR((Table2[[#This Row],[Open]]-Table2[[#This Row],[PreviousClose]])/Table2[[#This Row],[PreviousClose]],0)</f>
        <v>3.7837814640354538E-2</v>
      </c>
      <c r="AA83" s="13">
        <f>IFERROR((Table2[[#This Row],[Price]]-Table2[[#This Row],[Open]])/Table2[[#This Row],[Open]],0)</f>
        <v>1.5104189852719937E-3</v>
      </c>
      <c r="AB83" s="11">
        <f>Table2[[#This Row],[Price]]-Table2[[#This Row],[PreviousClose]]</f>
        <v>7.2899961471557972E-2</v>
      </c>
    </row>
    <row r="84" spans="1:28" ht="21" customHeight="1" x14ac:dyDescent="0.25">
      <c r="A84" s="1" t="s">
        <v>139</v>
      </c>
      <c r="E84" s="7" t="s">
        <v>140</v>
      </c>
      <c r="G84" t="str">
        <f t="shared" si="2"/>
        <v>DIS</v>
      </c>
      <c r="H84" s="11">
        <f>VALUE(_xlfn.XLOOKUP($G84,LatestData!$A$17:$A$89,LatestData!D$17:D$89))</f>
        <v>111.4199981689453</v>
      </c>
      <c r="I84" s="11">
        <f>VALUE(_xlfn.XLOOKUP($G84,LatestData!$A$17:$A$89,LatestData!E$17:E$89))</f>
        <v>115.5400009155273</v>
      </c>
      <c r="J84" s="11">
        <f>VALUE(_xlfn.XLOOKUP($G84,LatestData!$A$17:$A$89,LatestData!F$17:F$89))</f>
        <v>116.0299987792969</v>
      </c>
      <c r="K84" s="11">
        <f>VALUE(_xlfn.XLOOKUP($G84,LatestData!$A$17:$A$89,LatestData!G$17:G$89))</f>
        <v>111.379997253418</v>
      </c>
      <c r="L84" s="11">
        <f>VALUE(_xlfn.XLOOKUP($G84,LatestData!$A$17:$A$89,LatestData!H$17:H$89))</f>
        <v>111.76</v>
      </c>
      <c r="M84" s="11">
        <f>VALUE(_xlfn.XLOOKUP($G84,LatestData!$A$17:$A$89,LatestData!I$17:I$89))</f>
        <v>6178536</v>
      </c>
      <c r="N84" s="14">
        <f>VALUE(_xlfn.XLOOKUP($G84,LatestData!$A$17:$A$89,LatestData!J$17:J$89))</f>
        <v>46028.276388888888</v>
      </c>
      <c r="O84" s="11">
        <f>VALUE(_xlfn.XLOOKUP($G84,LatestData!$A$17:$A$89,LatestData!K$17:K$89))</f>
        <v>6653619.4285714282</v>
      </c>
      <c r="P84" s="11">
        <f>VALUE(_xlfn.XLOOKUP($G84,LatestData!$A$17:$A$89,LatestData!L$17:L$89))</f>
        <v>207733276672</v>
      </c>
      <c r="Q84" s="11">
        <f>VALUE(_xlfn.XLOOKUP($G84,LatestData!$A$17:$A$89,LatestData!M$17:M$89))</f>
        <v>124.69</v>
      </c>
      <c r="R84" s="11">
        <f>VALUE(_xlfn.XLOOKUP($G84,LatestData!$A$17:$A$89,LatestData!N$17:N$89))</f>
        <v>80.099999999999994</v>
      </c>
      <c r="S84" s="20" t="str">
        <f>_xlfn.XLOOKUP($G84,LatestData!$A$17:$A$89,LatestData!O$17:O$89)</f>
        <v>USD</v>
      </c>
      <c r="T84" s="11">
        <f>VALUE(_xlfn.XLOOKUP($G84,LatestData!$A$17:$A$89,LatestData!P$17:P$89))</f>
        <v>132.50357</v>
      </c>
      <c r="U84" s="11">
        <f>VALUE(_xlfn.XLOOKUP($G84,LatestData!$A$17:$A$89,LatestData!Q$17:Q$89))</f>
        <v>0</v>
      </c>
      <c r="V84" s="11">
        <f>VALUE(_xlfn.XLOOKUP($G84,LatestData!$A$17:$A$89,LatestData!R$17:R$89))</f>
        <v>1.5</v>
      </c>
      <c r="W84" s="15">
        <f>VALUE(_xlfn.XLOOKUP($G84,LatestData!$A$17:$A$89,LatestData!S$17:S$89)%)</f>
        <v>1.34E-2</v>
      </c>
      <c r="X84" s="16">
        <f>VALUE(_xlfn.XLOOKUP($G84,LatestData!$A$17:$A$89,LatestData!T$17:T$89))</f>
        <v>46203</v>
      </c>
      <c r="Y84" s="16">
        <f>VALUE(_xlfn.XLOOKUP($G84,LatestData!$A$17:$A$89,LatestData!U$17:U$89))</f>
        <v>46057</v>
      </c>
      <c r="Z84" s="13">
        <f>IFERROR((Table2[[#This Row],[Open]]-Table2[[#This Row],[PreviousClose]])/Table2[[#This Row],[PreviousClose]],0)</f>
        <v>-3.0422497410048928E-3</v>
      </c>
      <c r="AA84" s="13">
        <f>IFERROR((Table2[[#This Row],[Price]]-Table2[[#This Row],[Open]])/Table2[[#This Row],[Open]],0)</f>
        <v>3.6977228633004226E-2</v>
      </c>
      <c r="AB84" s="11">
        <f>Table2[[#This Row],[Price]]-Table2[[#This Row],[PreviousClose]]</f>
        <v>3.780000915527296</v>
      </c>
    </row>
    <row r="85" spans="1:28" ht="21" customHeight="1" x14ac:dyDescent="0.25">
      <c r="A85" s="1" t="s">
        <v>141</v>
      </c>
      <c r="E85" s="6" t="s">
        <v>142</v>
      </c>
      <c r="G85" t="str">
        <f t="shared" si="2"/>
        <v>GM</v>
      </c>
      <c r="H85" s="11">
        <f>VALUE(_xlfn.XLOOKUP($G85,LatestData!$A$17:$A$89,LatestData!D$17:D$89))</f>
        <v>80.540000915527344</v>
      </c>
      <c r="I85" s="11">
        <f>VALUE(_xlfn.XLOOKUP($G85,LatestData!$A$17:$A$89,LatestData!E$17:E$89))</f>
        <v>83.160003662109375</v>
      </c>
      <c r="J85" s="11">
        <f>VALUE(_xlfn.XLOOKUP($G85,LatestData!$A$17:$A$89,LatestData!F$17:F$89))</f>
        <v>83.352897644042969</v>
      </c>
      <c r="K85" s="11">
        <f>VALUE(_xlfn.XLOOKUP($G85,LatestData!$A$17:$A$89,LatestData!G$17:G$89))</f>
        <v>79.970001220703125</v>
      </c>
      <c r="L85" s="11">
        <f>VALUE(_xlfn.XLOOKUP($G85,LatestData!$A$17:$A$89,LatestData!H$17:H$89))</f>
        <v>81.02</v>
      </c>
      <c r="M85" s="11">
        <f>VALUE(_xlfn.XLOOKUP($G85,LatestData!$A$17:$A$89,LatestData!I$17:I$89))</f>
        <v>5872670</v>
      </c>
      <c r="N85" s="14">
        <f>VALUE(_xlfn.XLOOKUP($G85,LatestData!$A$17:$A$89,LatestData!J$17:J$89))</f>
        <v>46028.276388888888</v>
      </c>
      <c r="O85" s="11">
        <f>VALUE(_xlfn.XLOOKUP($G85,LatestData!$A$17:$A$89,LatestData!K$17:K$89))</f>
        <v>4515267.1428571427</v>
      </c>
      <c r="P85" s="11">
        <f>VALUE(_xlfn.XLOOKUP($G85,LatestData!$A$17:$A$89,LatestData!L$17:L$89))</f>
        <v>79174795264</v>
      </c>
      <c r="Q85" s="11">
        <f>VALUE(_xlfn.XLOOKUP($G85,LatestData!$A$17:$A$89,LatestData!M$17:M$89))</f>
        <v>83.68</v>
      </c>
      <c r="R85" s="11">
        <f>VALUE(_xlfn.XLOOKUP($G85,LatestData!$A$17:$A$89,LatestData!N$17:N$89))</f>
        <v>41.6</v>
      </c>
      <c r="S85" s="20" t="str">
        <f>_xlfn.XLOOKUP($G85,LatestData!$A$17:$A$89,LatestData!O$17:O$89)</f>
        <v>USD</v>
      </c>
      <c r="T85" s="11">
        <f>VALUE(_xlfn.XLOOKUP($G85,LatestData!$A$17:$A$89,LatestData!P$17:P$89))</f>
        <v>79.458330000000004</v>
      </c>
      <c r="U85" s="11">
        <f>VALUE(_xlfn.XLOOKUP($G85,LatestData!$A$17:$A$89,LatestData!Q$17:Q$89))</f>
        <v>0</v>
      </c>
      <c r="V85" s="11">
        <f>VALUE(_xlfn.XLOOKUP($G85,LatestData!$A$17:$A$89,LatestData!R$17:R$89))</f>
        <v>0.6</v>
      </c>
      <c r="W85" s="15">
        <f>VALUE(_xlfn.XLOOKUP($G85,LatestData!$A$17:$A$89,LatestData!S$17:S$89)%)</f>
        <v>7.4000000000000003E-3</v>
      </c>
      <c r="X85" s="16">
        <f>VALUE(_xlfn.XLOOKUP($G85,LatestData!$A$17:$A$89,LatestData!T$17:T$89))</f>
        <v>45996</v>
      </c>
      <c r="Y85" s="16">
        <f>VALUE(_xlfn.XLOOKUP($G85,LatestData!$A$17:$A$89,LatestData!U$17:U$89))</f>
        <v>46049</v>
      </c>
      <c r="Z85" s="13">
        <f>IFERROR((Table2[[#This Row],[Open]]-Table2[[#This Row],[PreviousClose]])/Table2[[#This Row],[PreviousClose]],0)</f>
        <v>-5.9244517955153331E-3</v>
      </c>
      <c r="AA85" s="13">
        <f>IFERROR((Table2[[#This Row],[Price]]-Table2[[#This Row],[Open]])/Table2[[#This Row],[Open]],0)</f>
        <v>3.2530453399546952E-2</v>
      </c>
      <c r="AB85" s="11">
        <f>Table2[[#This Row],[Price]]-Table2[[#This Row],[PreviousClose]]</f>
        <v>2.140003662109379</v>
      </c>
    </row>
    <row r="86" spans="1:28" ht="21" customHeight="1" x14ac:dyDescent="0.25">
      <c r="A86" s="1" t="s">
        <v>143</v>
      </c>
      <c r="E86" s="7" t="s">
        <v>144</v>
      </c>
      <c r="F86" t="s">
        <v>45</v>
      </c>
      <c r="G86" t="str">
        <f t="shared" si="2"/>
        <v>IAG.L</v>
      </c>
      <c r="H86" s="11">
        <f>VALUE(_xlfn.XLOOKUP($G86,LatestData!$A$17:$A$89,LatestData!D$17:D$89))</f>
        <v>418.39999389648438</v>
      </c>
      <c r="I86" s="11">
        <f>VALUE(_xlfn.XLOOKUP($G86,LatestData!$A$17:$A$89,LatestData!E$17:E$89))</f>
        <v>425.10000610351562</v>
      </c>
      <c r="J86" s="11">
        <f>VALUE(_xlfn.XLOOKUP($G86,LatestData!$A$17:$A$89,LatestData!F$17:F$89))</f>
        <v>425.5</v>
      </c>
      <c r="K86" s="11">
        <f>VALUE(_xlfn.XLOOKUP($G86,LatestData!$A$17:$A$89,LatestData!G$17:G$89))</f>
        <v>418.39999389648438</v>
      </c>
      <c r="L86" s="11">
        <f>VALUE(_xlfn.XLOOKUP($G86,LatestData!$A$17:$A$89,LatestData!H$17:H$89))</f>
        <v>420</v>
      </c>
      <c r="M86" s="11">
        <f>VALUE(_xlfn.XLOOKUP($G86,LatestData!$A$17:$A$89,LatestData!I$17:I$89))</f>
        <v>14524448</v>
      </c>
      <c r="N86" s="14">
        <f>VALUE(_xlfn.XLOOKUP($G86,LatestData!$A$17:$A$89,LatestData!J$17:J$89))</f>
        <v>46028.259722222225</v>
      </c>
      <c r="O86" s="11">
        <f>VALUE(_xlfn.XLOOKUP($G86,LatestData!$A$17:$A$89,LatestData!K$17:K$89))</f>
        <v>7698892</v>
      </c>
      <c r="P86" s="11">
        <f>VALUE(_xlfn.XLOOKUP($G86,LatestData!$A$17:$A$89,LatestData!L$17:L$89))</f>
        <v>19410960384</v>
      </c>
      <c r="Q86" s="11">
        <f>VALUE(_xlfn.XLOOKUP($G86,LatestData!$A$17:$A$89,LatestData!M$17:M$89))</f>
        <v>430.6</v>
      </c>
      <c r="R86" s="11">
        <f>VALUE(_xlfn.XLOOKUP($G86,LatestData!$A$17:$A$89,LatestData!N$17:N$89))</f>
        <v>210</v>
      </c>
      <c r="S86" s="20" t="str">
        <f>_xlfn.XLOOKUP($G86,LatestData!$A$17:$A$89,LatestData!O$17:O$89)</f>
        <v>GBp</v>
      </c>
      <c r="T86" s="11">
        <f>VALUE(_xlfn.XLOOKUP($G86,LatestData!$A$17:$A$89,LatestData!P$17:P$89))</f>
        <v>471.57812000000001</v>
      </c>
      <c r="U86" s="11">
        <f>VALUE(_xlfn.XLOOKUP($G86,LatestData!$A$17:$A$89,LatestData!Q$17:Q$89))</f>
        <v>1.8</v>
      </c>
      <c r="V86" s="11">
        <f>VALUE(_xlfn.XLOOKUP($G86,LatestData!$A$17:$A$89,LatestData!R$17:R$89))</f>
        <v>0.09</v>
      </c>
      <c r="W86" s="15">
        <f>VALUE(_xlfn.XLOOKUP($G86,LatestData!$A$17:$A$89,LatestData!S$17:S$89)%)</f>
        <v>2.2200000000000001E-2</v>
      </c>
      <c r="X86" s="16">
        <f>VALUE(_xlfn.XLOOKUP($G86,LatestData!$A$17:$A$89,LatestData!T$17:T$89))</f>
        <v>45988</v>
      </c>
      <c r="Y86" s="16">
        <f>VALUE(_xlfn.XLOOKUP($G86,LatestData!$A$17:$A$89,LatestData!U$17:U$89))</f>
        <v>45968</v>
      </c>
      <c r="Z86" s="13">
        <f>IFERROR((Table2[[#This Row],[Open]]-Table2[[#This Row],[PreviousClose]])/Table2[[#This Row],[PreviousClose]],0)</f>
        <v>-3.8095383417038691E-3</v>
      </c>
      <c r="AA86" s="13">
        <f>IFERROR((Table2[[#This Row],[Price]]-Table2[[#This Row],[Open]])/Table2[[#This Row],[Open]],0)</f>
        <v>1.6013413730328323E-2</v>
      </c>
      <c r="AB86" s="11">
        <f>Table2[[#This Row],[Price]]-Table2[[#This Row],[PreviousClose]]</f>
        <v>5.100006103515625</v>
      </c>
    </row>
    <row r="87" spans="1:28" ht="21" customHeight="1" x14ac:dyDescent="0.25">
      <c r="A87" s="1" t="s">
        <v>145</v>
      </c>
      <c r="E87" s="6" t="s">
        <v>146</v>
      </c>
      <c r="G87" t="str">
        <f t="shared" si="2"/>
        <v>MRNA</v>
      </c>
      <c r="H87" s="11">
        <f>VALUE(_xlfn.XLOOKUP($G87,LatestData!$A$17:$A$89,LatestData!D$17:D$89))</f>
        <v>31.29999923706055</v>
      </c>
      <c r="I87" s="11">
        <f>VALUE(_xlfn.XLOOKUP($G87,LatestData!$A$17:$A$89,LatestData!E$17:E$89))</f>
        <v>31.70000076293945</v>
      </c>
      <c r="J87" s="11">
        <f>VALUE(_xlfn.XLOOKUP($G87,LatestData!$A$17:$A$89,LatestData!F$17:F$89))</f>
        <v>32.532901763916023</v>
      </c>
      <c r="K87" s="11">
        <f>VALUE(_xlfn.XLOOKUP($G87,LatestData!$A$17:$A$89,LatestData!G$17:G$89))</f>
        <v>31.270000457763668</v>
      </c>
      <c r="L87" s="11">
        <f>VALUE(_xlfn.XLOOKUP($G87,LatestData!$A$17:$A$89,LatestData!H$17:H$89))</f>
        <v>30.92</v>
      </c>
      <c r="M87" s="11">
        <f>VALUE(_xlfn.XLOOKUP($G87,LatestData!$A$17:$A$89,LatestData!I$17:I$89))</f>
        <v>6128471</v>
      </c>
      <c r="N87" s="14">
        <f>VALUE(_xlfn.XLOOKUP($G87,LatestData!$A$17:$A$89,LatestData!J$17:J$89))</f>
        <v>46028.276388888888</v>
      </c>
      <c r="O87" s="11">
        <f>VALUE(_xlfn.XLOOKUP($G87,LatestData!$A$17:$A$89,LatestData!K$17:K$89))</f>
        <v>6478724.4285714282</v>
      </c>
      <c r="P87" s="11">
        <f>VALUE(_xlfn.XLOOKUP($G87,LatestData!$A$17:$A$89,LatestData!L$17:L$89))</f>
        <v>12386256896</v>
      </c>
      <c r="Q87" s="11">
        <f>VALUE(_xlfn.XLOOKUP($G87,LatestData!$A$17:$A$89,LatestData!M$17:M$89))</f>
        <v>48.92</v>
      </c>
      <c r="R87" s="11">
        <f>VALUE(_xlfn.XLOOKUP($G87,LatestData!$A$17:$A$89,LatestData!N$17:N$89))</f>
        <v>22.28</v>
      </c>
      <c r="S87" s="20" t="str">
        <f>_xlfn.XLOOKUP($G87,LatestData!$A$17:$A$89,LatestData!O$17:O$89)</f>
        <v>USD</v>
      </c>
      <c r="T87" s="11">
        <f>VALUE(_xlfn.XLOOKUP($G87,LatestData!$A$17:$A$89,LatestData!P$17:P$89))</f>
        <v>36.75</v>
      </c>
      <c r="U87" s="11">
        <f>VALUE(_xlfn.XLOOKUP($G87,LatestData!$A$17:$A$89,LatestData!Q$17:Q$89))</f>
        <v>2.8333300000000001</v>
      </c>
      <c r="V87" s="11">
        <f>VALUE(_xlfn.XLOOKUP($G87,LatestData!$A$17:$A$89,LatestData!R$17:R$89))</f>
        <v>0</v>
      </c>
      <c r="W87" s="15">
        <f>VALUE(_xlfn.XLOOKUP($G87,LatestData!$A$17:$A$89,LatestData!S$17:S$89)%)</f>
        <v>0</v>
      </c>
      <c r="X87" s="16">
        <f>VALUE(_xlfn.XLOOKUP($G87,LatestData!$A$17:$A$89,LatestData!T$17:T$89))</f>
        <v>0</v>
      </c>
      <c r="Y87" s="16">
        <f>VALUE(_xlfn.XLOOKUP($G87,LatestData!$A$17:$A$89,LatestData!U$17:U$89))</f>
        <v>45967</v>
      </c>
      <c r="Z87" s="13">
        <f>IFERROR((Table2[[#This Row],[Open]]-Table2[[#This Row],[PreviousClose]])/Table2[[#This Row],[PreviousClose]],0)</f>
        <v>1.2289755402993166E-2</v>
      </c>
      <c r="AA87" s="13">
        <f>IFERROR((Table2[[#This Row],[Price]]-Table2[[#This Row],[Open]])/Table2[[#This Row],[Open]],0)</f>
        <v>1.2779601777283114E-2</v>
      </c>
      <c r="AB87" s="11">
        <f>Table2[[#This Row],[Price]]-Table2[[#This Row],[PreviousClose]]</f>
        <v>0.78000076293944787</v>
      </c>
    </row>
    <row r="88" spans="1:28" ht="21" customHeight="1" x14ac:dyDescent="0.25">
      <c r="A88" s="1" t="s">
        <v>147</v>
      </c>
      <c r="E88" s="7" t="s">
        <v>108</v>
      </c>
      <c r="G88" t="str">
        <f t="shared" si="2"/>
        <v>BLNK</v>
      </c>
      <c r="H88" s="11">
        <f>VALUE(_xlfn.XLOOKUP($G88,LatestData!$A$17:$A$89,LatestData!D$17:D$89))</f>
        <v>0.75999999046325684</v>
      </c>
      <c r="I88" s="11">
        <f>VALUE(_xlfn.XLOOKUP($G88,LatestData!$A$17:$A$89,LatestData!E$17:E$89))</f>
        <v>0.73519998788833618</v>
      </c>
      <c r="J88" s="11">
        <f>VALUE(_xlfn.XLOOKUP($G88,LatestData!$A$17:$A$89,LatestData!F$17:F$89))</f>
        <v>0.76440000534057617</v>
      </c>
      <c r="K88" s="11">
        <f>VALUE(_xlfn.XLOOKUP($G88,LatestData!$A$17:$A$89,LatestData!G$17:G$89))</f>
        <v>0.72000002861022949</v>
      </c>
      <c r="L88" s="11">
        <f>VALUE(_xlfn.XLOOKUP($G88,LatestData!$A$17:$A$89,LatestData!H$17:H$89))</f>
        <v>0.74</v>
      </c>
      <c r="M88" s="11">
        <f>VALUE(_xlfn.XLOOKUP($G88,LatestData!$A$17:$A$89,LatestData!I$17:I$89))</f>
        <v>2771336</v>
      </c>
      <c r="N88" s="14">
        <f>VALUE(_xlfn.XLOOKUP($G88,LatestData!$A$17:$A$89,LatestData!J$17:J$89))</f>
        <v>46028.277083333334</v>
      </c>
      <c r="O88" s="11">
        <f>VALUE(_xlfn.XLOOKUP($G88,LatestData!$A$17:$A$89,LatestData!K$17:K$89))</f>
        <v>4050776.5714285709</v>
      </c>
      <c r="P88" s="11">
        <f>VALUE(_xlfn.XLOOKUP($G88,LatestData!$A$17:$A$89,LatestData!L$17:L$89))</f>
        <v>103849008</v>
      </c>
      <c r="Q88" s="11">
        <f>VALUE(_xlfn.XLOOKUP($G88,LatestData!$A$17:$A$89,LatestData!M$17:M$89))</f>
        <v>2.65</v>
      </c>
      <c r="R88" s="11">
        <f>VALUE(_xlfn.XLOOKUP($G88,LatestData!$A$17:$A$89,LatestData!N$17:N$89))</f>
        <v>0.63</v>
      </c>
      <c r="S88" s="20" t="str">
        <f>_xlfn.XLOOKUP($G88,LatestData!$A$17:$A$89,LatestData!O$17:O$89)</f>
        <v>USD</v>
      </c>
      <c r="T88" s="11">
        <f>VALUE(_xlfn.XLOOKUP($G88,LatestData!$A$17:$A$89,LatestData!P$17:P$89))</f>
        <v>2.4</v>
      </c>
      <c r="U88" s="11">
        <f>VALUE(_xlfn.XLOOKUP($G88,LatestData!$A$17:$A$89,LatestData!Q$17:Q$89))</f>
        <v>0</v>
      </c>
      <c r="V88" s="11">
        <f>VALUE(_xlfn.XLOOKUP($G88,LatestData!$A$17:$A$89,LatestData!R$17:R$89))</f>
        <v>0</v>
      </c>
      <c r="W88" s="15">
        <f>VALUE(_xlfn.XLOOKUP($G88,LatestData!$A$17:$A$89,LatestData!S$17:S$89)%)</f>
        <v>0</v>
      </c>
      <c r="X88" s="16">
        <f>VALUE(_xlfn.XLOOKUP($G88,LatestData!$A$17:$A$89,LatestData!T$17:T$89))</f>
        <v>0</v>
      </c>
      <c r="Y88" s="16">
        <f>VALUE(_xlfn.XLOOKUP($G88,LatestData!$A$17:$A$89,LatestData!U$17:U$89))</f>
        <v>45967</v>
      </c>
      <c r="Z88" s="13">
        <f>IFERROR((Table2[[#This Row],[Open]]-Table2[[#This Row],[PreviousClose]])/Table2[[#This Row],[PreviousClose]],0)</f>
        <v>2.7027014139536277E-2</v>
      </c>
      <c r="AA88" s="13">
        <f>IFERROR((Table2[[#This Row],[Price]]-Table2[[#This Row],[Open]])/Table2[[#This Row],[Open]],0)</f>
        <v>-3.2631582744894312E-2</v>
      </c>
      <c r="AB88" s="11">
        <f>Table2[[#This Row],[Price]]-Table2[[#This Row],[PreviousClose]]</f>
        <v>-4.8000121116638095E-3</v>
      </c>
    </row>
    <row r="89" spans="1:28" ht="21" customHeight="1" x14ac:dyDescent="0.25">
      <c r="A89" s="1" t="s">
        <v>148</v>
      </c>
      <c r="E89" s="6" t="s">
        <v>149</v>
      </c>
      <c r="F89" t="s">
        <v>118</v>
      </c>
      <c r="G89" t="str">
        <f t="shared" si="2"/>
        <v>ENI.MI</v>
      </c>
      <c r="H89" s="11">
        <f>VALUE(_xlfn.XLOOKUP($G89,LatestData!$A$17:$A$89,LatestData!D$17:D$89))</f>
        <v>16.510000228881839</v>
      </c>
      <c r="I89" s="11">
        <f>VALUE(_xlfn.XLOOKUP($G89,LatestData!$A$17:$A$89,LatestData!E$17:E$89))</f>
        <v>16.60000038146973</v>
      </c>
      <c r="J89" s="11">
        <f>VALUE(_xlfn.XLOOKUP($G89,LatestData!$A$17:$A$89,LatestData!F$17:F$89))</f>
        <v>16.75</v>
      </c>
      <c r="K89" s="11">
        <f>VALUE(_xlfn.XLOOKUP($G89,LatestData!$A$17:$A$89,LatestData!G$17:G$89))</f>
        <v>16.256000518798832</v>
      </c>
      <c r="L89" s="11">
        <f>VALUE(_xlfn.XLOOKUP($G89,LatestData!$A$17:$A$89,LatestData!H$17:H$89))</f>
        <v>16.413999557495121</v>
      </c>
      <c r="M89" s="11">
        <f>VALUE(_xlfn.XLOOKUP($G89,LatestData!$A$17:$A$89,LatestData!I$17:I$89))</f>
        <v>15694062</v>
      </c>
      <c r="N89" s="14">
        <f>VALUE(_xlfn.XLOOKUP($G89,LatestData!$A$17:$A$89,LatestData!J$17:J$89))</f>
        <v>46028.151388888888</v>
      </c>
      <c r="O89" s="11">
        <f>VALUE(_xlfn.XLOOKUP($G89,LatestData!$A$17:$A$89,LatestData!K$17:K$89))</f>
        <v>10579705.571428571</v>
      </c>
      <c r="P89" s="11">
        <f>VALUE(_xlfn.XLOOKUP($G89,LatestData!$A$17:$A$89,LatestData!L$17:L$89))</f>
        <v>49243525120</v>
      </c>
      <c r="Q89" s="11">
        <f>VALUE(_xlfn.XLOOKUP($G89,LatestData!$A$17:$A$89,LatestData!M$17:M$89))</f>
        <v>16.75</v>
      </c>
      <c r="R89" s="11">
        <f>VALUE(_xlfn.XLOOKUP($G89,LatestData!$A$17:$A$89,LatestData!N$17:N$89))</f>
        <v>11.01</v>
      </c>
      <c r="S89" s="20" t="str">
        <f>_xlfn.XLOOKUP($G89,LatestData!$A$17:$A$89,LatestData!O$17:O$89)</f>
        <v>EUR</v>
      </c>
      <c r="T89" s="11">
        <f>VALUE(_xlfn.XLOOKUP($G89,LatestData!$A$17:$A$89,LatestData!P$17:P$89))</f>
        <v>16.536359999999998</v>
      </c>
      <c r="U89" s="11">
        <f>VALUE(_xlfn.XLOOKUP($G89,LatestData!$A$17:$A$89,LatestData!Q$17:Q$89))</f>
        <v>2.5</v>
      </c>
      <c r="V89" s="11">
        <f>VALUE(_xlfn.XLOOKUP($G89,LatestData!$A$17:$A$89,LatestData!R$17:R$89))</f>
        <v>1.04</v>
      </c>
      <c r="W89" s="15">
        <f>VALUE(_xlfn.XLOOKUP($G89,LatestData!$A$17:$A$89,LatestData!S$17:S$89)%)</f>
        <v>6.3600000000000004E-2</v>
      </c>
      <c r="X89" s="16">
        <f>VALUE(_xlfn.XLOOKUP($G89,LatestData!$A$17:$A$89,LatestData!T$17:T$89))</f>
        <v>45985</v>
      </c>
      <c r="Y89" s="16">
        <f>VALUE(_xlfn.XLOOKUP($G89,LatestData!$A$17:$A$89,LatestData!U$17:U$89))</f>
        <v>45954</v>
      </c>
      <c r="Z89" s="13">
        <f>IFERROR((Table2[[#This Row],[Open]]-Table2[[#This Row],[PreviousClose]])/Table2[[#This Row],[PreviousClose]],0)</f>
        <v>5.8487068340928516E-3</v>
      </c>
      <c r="AA89" s="13">
        <f>IFERROR((Table2[[#This Row],[Price]]-Table2[[#This Row],[Open]])/Table2[[#This Row],[Open]],0)</f>
        <v>5.4512508382918417E-3</v>
      </c>
      <c r="AB89" s="11">
        <f>Table2[[#This Row],[Price]]-Table2[[#This Row],[PreviousClose]]</f>
        <v>0.18600082397460938</v>
      </c>
    </row>
    <row r="90" spans="1:28" ht="21" customHeight="1" x14ac:dyDescent="0.25">
      <c r="E90" s="7" t="s">
        <v>150</v>
      </c>
      <c r="F90" t="s">
        <v>45</v>
      </c>
      <c r="G90" t="str">
        <f t="shared" si="2"/>
        <v>EZJ.L</v>
      </c>
      <c r="H90" s="11">
        <f>VALUE(_xlfn.XLOOKUP($G90,LatestData!$A$17:$A$89,LatestData!D$17:D$89))</f>
        <v>516.5999755859375</v>
      </c>
      <c r="I90" s="11">
        <f>VALUE(_xlfn.XLOOKUP($G90,LatestData!$A$17:$A$89,LatestData!E$17:E$89))</f>
        <v>515</v>
      </c>
      <c r="J90" s="11">
        <f>VALUE(_xlfn.XLOOKUP($G90,LatestData!$A$17:$A$89,LatestData!F$17:F$89))</f>
        <v>517.5999755859375</v>
      </c>
      <c r="K90" s="11">
        <f>VALUE(_xlfn.XLOOKUP($G90,LatestData!$A$17:$A$89,LatestData!G$17:G$89))</f>
        <v>502.20001220703119</v>
      </c>
      <c r="L90" s="11">
        <f>VALUE(_xlfn.XLOOKUP($G90,LatestData!$A$17:$A$89,LatestData!H$17:H$89))</f>
        <v>513.79999999999995</v>
      </c>
      <c r="M90" s="11">
        <f>VALUE(_xlfn.XLOOKUP($G90,LatestData!$A$17:$A$89,LatestData!I$17:I$89))</f>
        <v>2575176</v>
      </c>
      <c r="N90" s="14">
        <f>VALUE(_xlfn.XLOOKUP($G90,LatestData!$A$17:$A$89,LatestData!J$17:J$89))</f>
        <v>46028.256249999999</v>
      </c>
      <c r="O90" s="11">
        <f>VALUE(_xlfn.XLOOKUP($G90,LatestData!$A$17:$A$89,LatestData!K$17:K$89))</f>
        <v>1645390.4285714291</v>
      </c>
      <c r="P90" s="11">
        <f>VALUE(_xlfn.XLOOKUP($G90,LatestData!$A$17:$A$89,LatestData!L$17:L$89))</f>
        <v>3866563584</v>
      </c>
      <c r="Q90" s="11">
        <f>VALUE(_xlfn.XLOOKUP($G90,LatestData!$A$17:$A$89,LatestData!M$17:M$89))</f>
        <v>590.6</v>
      </c>
      <c r="R90" s="11">
        <f>VALUE(_xlfn.XLOOKUP($G90,LatestData!$A$17:$A$89,LatestData!N$17:N$89))</f>
        <v>401.05</v>
      </c>
      <c r="S90" s="20" t="str">
        <f>_xlfn.XLOOKUP($G90,LatestData!$A$17:$A$89,LatestData!O$17:O$89)</f>
        <v>GBp</v>
      </c>
      <c r="T90" s="11">
        <f>VALUE(_xlfn.XLOOKUP($G90,LatestData!$A$17:$A$89,LatestData!P$17:P$89))</f>
        <v>607.63199999999995</v>
      </c>
      <c r="U90" s="11">
        <f>VALUE(_xlfn.XLOOKUP($G90,LatestData!$A$17:$A$89,LatestData!Q$17:Q$89))</f>
        <v>0</v>
      </c>
      <c r="V90" s="11">
        <f>VALUE(_xlfn.XLOOKUP($G90,LatestData!$A$17:$A$89,LatestData!R$17:R$89))</f>
        <v>0.13</v>
      </c>
      <c r="W90" s="15">
        <f>VALUE(_xlfn.XLOOKUP($G90,LatestData!$A$17:$A$89,LatestData!S$17:S$89)%)</f>
        <v>2.5699999999999997E-2</v>
      </c>
      <c r="X90" s="16">
        <f>VALUE(_xlfn.XLOOKUP($G90,LatestData!$A$17:$A$89,LatestData!T$17:T$89))</f>
        <v>46072</v>
      </c>
      <c r="Y90" s="16">
        <f>VALUE(_xlfn.XLOOKUP($G90,LatestData!$A$17:$A$89,LatestData!U$17:U$89))</f>
        <v>45986</v>
      </c>
      <c r="Z90" s="13">
        <f>IFERROR((Table2[[#This Row],[Open]]-Table2[[#This Row],[PreviousClose]])/Table2[[#This Row],[PreviousClose]],0)</f>
        <v>5.4495437639889956E-3</v>
      </c>
      <c r="AA90" s="13">
        <f>IFERROR((Table2[[#This Row],[Price]]-Table2[[#This Row],[Open]])/Table2[[#This Row],[Open]],0)</f>
        <v>-3.097126716126491E-3</v>
      </c>
      <c r="AB90" s="11">
        <f>Table2[[#This Row],[Price]]-Table2[[#This Row],[PreviousClose]]</f>
        <v>1.2000000000000455</v>
      </c>
    </row>
    <row r="91" spans="1:28" ht="21" customHeight="1" x14ac:dyDescent="0.25">
      <c r="E91" s="6" t="s">
        <v>114</v>
      </c>
      <c r="G91" t="str">
        <f t="shared" si="2"/>
        <v>F</v>
      </c>
      <c r="H91" s="11">
        <f>VALUE(_xlfn.XLOOKUP($G91,LatestData!$A$17:$A$89,LatestData!D$17:D$89))</f>
        <v>13.25</v>
      </c>
      <c r="I91" s="11">
        <f>VALUE(_xlfn.XLOOKUP($G91,LatestData!$A$17:$A$89,LatestData!E$17:E$89))</f>
        <v>13.44999980926514</v>
      </c>
      <c r="J91" s="11">
        <f>VALUE(_xlfn.XLOOKUP($G91,LatestData!$A$17:$A$89,LatestData!F$17:F$89))</f>
        <v>13.47999954223633</v>
      </c>
      <c r="K91" s="11">
        <f>VALUE(_xlfn.XLOOKUP($G91,LatestData!$A$17:$A$89,LatestData!G$17:G$89))</f>
        <v>13.200099945068359</v>
      </c>
      <c r="L91" s="11">
        <f>VALUE(_xlfn.XLOOKUP($G91,LatestData!$A$17:$A$89,LatestData!H$17:H$89))</f>
        <v>13.32</v>
      </c>
      <c r="M91" s="11">
        <f>VALUE(_xlfn.XLOOKUP($G91,LatestData!$A$17:$A$89,LatestData!I$17:I$89))</f>
        <v>32754112</v>
      </c>
      <c r="N91" s="14">
        <f>VALUE(_xlfn.XLOOKUP($G91,LatestData!$A$17:$A$89,LatestData!J$17:J$89))</f>
        <v>46028.277083333334</v>
      </c>
      <c r="O91" s="11">
        <f>VALUE(_xlfn.XLOOKUP($G91,LatestData!$A$17:$A$89,LatestData!K$17:K$89))</f>
        <v>27069358.857142858</v>
      </c>
      <c r="P91" s="11">
        <f>VALUE(_xlfn.XLOOKUP($G91,LatestData!$A$17:$A$89,LatestData!L$17:L$89))</f>
        <v>53591506944</v>
      </c>
      <c r="Q91" s="11">
        <f>VALUE(_xlfn.XLOOKUP($G91,LatestData!$A$17:$A$89,LatestData!M$17:M$89))</f>
        <v>13.99</v>
      </c>
      <c r="R91" s="11">
        <f>VALUE(_xlfn.XLOOKUP($G91,LatestData!$A$17:$A$89,LatestData!N$17:N$89))</f>
        <v>8.44</v>
      </c>
      <c r="S91" s="20" t="str">
        <f>_xlfn.XLOOKUP($G91,LatestData!$A$17:$A$89,LatestData!O$17:O$89)</f>
        <v>USD</v>
      </c>
      <c r="T91" s="11">
        <f>VALUE(_xlfn.XLOOKUP($G91,LatestData!$A$17:$A$89,LatestData!P$17:P$89))</f>
        <v>12.998419999999999</v>
      </c>
      <c r="U91" s="11">
        <f>VALUE(_xlfn.XLOOKUP($G91,LatestData!$A$17:$A$89,LatestData!Q$17:Q$89))</f>
        <v>2.90476</v>
      </c>
      <c r="V91" s="11">
        <f>VALUE(_xlfn.XLOOKUP($G91,LatestData!$A$17:$A$89,LatestData!R$17:R$89))</f>
        <v>0.6</v>
      </c>
      <c r="W91" s="15">
        <f>VALUE(_xlfn.XLOOKUP($G91,LatestData!$A$17:$A$89,LatestData!S$17:S$89)%)</f>
        <v>4.4999999999999998E-2</v>
      </c>
      <c r="X91" s="16">
        <f>VALUE(_xlfn.XLOOKUP($G91,LatestData!$A$17:$A$89,LatestData!T$17:T$89))</f>
        <v>45968</v>
      </c>
      <c r="Y91" s="16">
        <f>VALUE(_xlfn.XLOOKUP($G91,LatestData!$A$17:$A$89,LatestData!U$17:U$89))</f>
        <v>46063</v>
      </c>
      <c r="Z91" s="13">
        <f>IFERROR((Table2[[#This Row],[Open]]-Table2[[#This Row],[PreviousClose]])/Table2[[#This Row],[PreviousClose]],0)</f>
        <v>-5.2552552552552765E-3</v>
      </c>
      <c r="AA91" s="13">
        <f>IFERROR((Table2[[#This Row],[Price]]-Table2[[#This Row],[Open]])/Table2[[#This Row],[Open]],0)</f>
        <v>1.5094325227557756E-2</v>
      </c>
      <c r="AB91" s="11">
        <f>Table2[[#This Row],[Price]]-Table2[[#This Row],[PreviousClose]]</f>
        <v>0.12999980926513999</v>
      </c>
    </row>
    <row r="92" spans="1:28" ht="21" customHeight="1" x14ac:dyDescent="0.25">
      <c r="E92" s="7" t="s">
        <v>151</v>
      </c>
      <c r="F92" t="s">
        <v>49</v>
      </c>
      <c r="G92" t="str">
        <f t="shared" si="2"/>
        <v>GLE.PA</v>
      </c>
      <c r="H92" s="11">
        <f>VALUE(_xlfn.XLOOKUP($G92,LatestData!$A$17:$A$89,LatestData!D$17:D$89))</f>
        <v>70.099998474121094</v>
      </c>
      <c r="I92" s="11">
        <f>VALUE(_xlfn.XLOOKUP($G92,LatestData!$A$17:$A$89,LatestData!E$17:E$89))</f>
        <v>70.319999694824219</v>
      </c>
      <c r="J92" s="11">
        <f>VALUE(_xlfn.XLOOKUP($G92,LatestData!$A$17:$A$89,LatestData!F$17:F$89))</f>
        <v>70.739997863769531</v>
      </c>
      <c r="K92" s="11">
        <f>VALUE(_xlfn.XLOOKUP($G92,LatestData!$A$17:$A$89,LatestData!G$17:G$89))</f>
        <v>69.379997253417969</v>
      </c>
      <c r="L92" s="11">
        <f>VALUE(_xlfn.XLOOKUP($G92,LatestData!$A$17:$A$89,LatestData!H$17:H$89))</f>
        <v>69.94000244140625</v>
      </c>
      <c r="M92" s="11">
        <f>VALUE(_xlfn.XLOOKUP($G92,LatestData!$A$17:$A$89,LatestData!I$17:I$89))</f>
        <v>1885241</v>
      </c>
      <c r="N92" s="14">
        <f>VALUE(_xlfn.XLOOKUP($G92,LatestData!$A$17:$A$89,LatestData!J$17:J$89))</f>
        <v>46028.149305555555</v>
      </c>
      <c r="O92" s="11">
        <f>VALUE(_xlfn.XLOOKUP($G92,LatestData!$A$17:$A$89,LatestData!K$17:K$89))</f>
        <v>1180373.142857143</v>
      </c>
      <c r="P92" s="11">
        <f>VALUE(_xlfn.XLOOKUP($G92,LatestData!$A$17:$A$89,LatestData!L$17:L$89))</f>
        <v>53195681792</v>
      </c>
      <c r="Q92" s="11">
        <f>VALUE(_xlfn.XLOOKUP($G92,LatestData!$A$17:$A$89,LatestData!M$17:M$89))</f>
        <v>70.739999999999995</v>
      </c>
      <c r="R92" s="11">
        <f>VALUE(_xlfn.XLOOKUP($G92,LatestData!$A$17:$A$89,LatestData!N$17:N$89))</f>
        <v>26.625</v>
      </c>
      <c r="S92" s="20" t="str">
        <f>_xlfn.XLOOKUP($G92,LatestData!$A$17:$A$89,LatestData!O$17:O$89)</f>
        <v>EUR</v>
      </c>
      <c r="T92" s="11">
        <f>VALUE(_xlfn.XLOOKUP($G92,LatestData!$A$17:$A$89,LatestData!P$17:P$89))</f>
        <v>68.422219999999996</v>
      </c>
      <c r="U92" s="11">
        <f>VALUE(_xlfn.XLOOKUP($G92,LatestData!$A$17:$A$89,LatestData!Q$17:Q$89))</f>
        <v>0</v>
      </c>
      <c r="V92" s="11">
        <f>VALUE(_xlfn.XLOOKUP($G92,LatestData!$A$17:$A$89,LatestData!R$17:R$89))</f>
        <v>1.7</v>
      </c>
      <c r="W92" s="15">
        <f>VALUE(_xlfn.XLOOKUP($G92,LatestData!$A$17:$A$89,LatestData!S$17:S$89)%)</f>
        <v>2.4300000000000002E-2</v>
      </c>
      <c r="X92" s="16">
        <f>VALUE(_xlfn.XLOOKUP($G92,LatestData!$A$17:$A$89,LatestData!T$17:T$89))</f>
        <v>45937</v>
      </c>
      <c r="Y92" s="16">
        <f>VALUE(_xlfn.XLOOKUP($G92,LatestData!$A$17:$A$89,LatestData!U$17:U$89))</f>
        <v>45960</v>
      </c>
      <c r="Z92" s="13">
        <f>IFERROR((Table2[[#This Row],[Open]]-Table2[[#This Row],[PreviousClose]])/Table2[[#This Row],[PreviousClose]],0)</f>
        <v>2.2876183461515301E-3</v>
      </c>
      <c r="AA92" s="13">
        <f>IFERROR((Table2[[#This Row],[Price]]-Table2[[#This Row],[Open]])/Table2[[#This Row],[Open]],0)</f>
        <v>3.1383912338363764E-3</v>
      </c>
      <c r="AB92" s="11">
        <f>Table2[[#This Row],[Price]]-Table2[[#This Row],[PreviousClose]]</f>
        <v>0.37999725341796875</v>
      </c>
    </row>
    <row r="93" spans="1:28" ht="21" customHeight="1" x14ac:dyDescent="0.25">
      <c r="E93" s="6" t="s">
        <v>119</v>
      </c>
      <c r="G93" t="str">
        <f t="shared" si="2"/>
        <v>GNRC</v>
      </c>
      <c r="H93" s="11">
        <f>VALUE(_xlfn.XLOOKUP($G93,LatestData!$A$17:$A$89,LatestData!D$17:D$89))</f>
        <v>143</v>
      </c>
      <c r="I93" s="11">
        <f>VALUE(_xlfn.XLOOKUP($G93,LatestData!$A$17:$A$89,LatestData!E$17:E$89))</f>
        <v>148.43499755859381</v>
      </c>
      <c r="J93" s="11">
        <f>VALUE(_xlfn.XLOOKUP($G93,LatestData!$A$17:$A$89,LatestData!F$17:F$89))</f>
        <v>148.55000305175781</v>
      </c>
      <c r="K93" s="11">
        <f>VALUE(_xlfn.XLOOKUP($G93,LatestData!$A$17:$A$89,LatestData!G$17:G$89))</f>
        <v>142.25999450683591</v>
      </c>
      <c r="L93" s="11">
        <f>VALUE(_xlfn.XLOOKUP($G93,LatestData!$A$17:$A$89,LatestData!H$17:H$89))</f>
        <v>142.11000000000001</v>
      </c>
      <c r="M93" s="11">
        <f>VALUE(_xlfn.XLOOKUP($G93,LatestData!$A$17:$A$89,LatestData!I$17:I$89))</f>
        <v>510711</v>
      </c>
      <c r="N93" s="14">
        <f>VALUE(_xlfn.XLOOKUP($G93,LatestData!$A$17:$A$89,LatestData!J$17:J$89))</f>
        <v>46028.276388888888</v>
      </c>
      <c r="O93" s="11">
        <f>VALUE(_xlfn.XLOOKUP($G93,LatestData!$A$17:$A$89,LatestData!K$17:K$89))</f>
        <v>572630.14285714284</v>
      </c>
      <c r="P93" s="11">
        <f>VALUE(_xlfn.XLOOKUP($G93,LatestData!$A$17:$A$89,LatestData!L$17:L$89))</f>
        <v>8710768640</v>
      </c>
      <c r="Q93" s="11">
        <f>VALUE(_xlfn.XLOOKUP($G93,LatestData!$A$17:$A$89,LatestData!M$17:M$89))</f>
        <v>203.25</v>
      </c>
      <c r="R93" s="11">
        <f>VALUE(_xlfn.XLOOKUP($G93,LatestData!$A$17:$A$89,LatestData!N$17:N$89))</f>
        <v>99.5</v>
      </c>
      <c r="S93" s="20" t="str">
        <f>_xlfn.XLOOKUP($G93,LatestData!$A$17:$A$89,LatestData!O$17:O$89)</f>
        <v>USD</v>
      </c>
      <c r="T93" s="11">
        <f>VALUE(_xlfn.XLOOKUP($G93,LatestData!$A$17:$A$89,LatestData!P$17:P$89))</f>
        <v>206.52940000000001</v>
      </c>
      <c r="U93" s="11">
        <f>VALUE(_xlfn.XLOOKUP($G93,LatestData!$A$17:$A$89,LatestData!Q$17:Q$89))</f>
        <v>0</v>
      </c>
      <c r="V93" s="11">
        <f>VALUE(_xlfn.XLOOKUP($G93,LatestData!$A$17:$A$89,LatestData!R$17:R$89))</f>
        <v>0</v>
      </c>
      <c r="W93" s="15">
        <f>VALUE(_xlfn.XLOOKUP($G93,LatestData!$A$17:$A$89,LatestData!S$17:S$89)%)</f>
        <v>0</v>
      </c>
      <c r="X93" s="16">
        <f>VALUE(_xlfn.XLOOKUP($G93,LatestData!$A$17:$A$89,LatestData!T$17:T$89))</f>
        <v>41435</v>
      </c>
      <c r="Y93" s="16">
        <f>VALUE(_xlfn.XLOOKUP($G93,LatestData!$A$17:$A$89,LatestData!U$17:U$89))</f>
        <v>45959</v>
      </c>
      <c r="Z93" s="13">
        <f>IFERROR((Table2[[#This Row],[Open]]-Table2[[#This Row],[PreviousClose]])/Table2[[#This Row],[PreviousClose]],0)</f>
        <v>6.2627542044893835E-3</v>
      </c>
      <c r="AA93" s="13">
        <f>IFERROR((Table2[[#This Row],[Price]]-Table2[[#This Row],[Open]])/Table2[[#This Row],[Open]],0)</f>
        <v>3.8006975934222427E-2</v>
      </c>
      <c r="AB93" s="11">
        <f>Table2[[#This Row],[Price]]-Table2[[#This Row],[PreviousClose]]</f>
        <v>6.3249975585937932</v>
      </c>
    </row>
    <row r="94" spans="1:28" ht="21" customHeight="1" x14ac:dyDescent="0.25">
      <c r="E94" s="7" t="s">
        <v>121</v>
      </c>
      <c r="G94" t="str">
        <f t="shared" si="2"/>
        <v>GS</v>
      </c>
      <c r="H94" s="11">
        <f>VALUE(_xlfn.XLOOKUP($G94,LatestData!$A$17:$A$89,LatestData!D$17:D$89))</f>
        <v>914.4000244140625</v>
      </c>
      <c r="I94" s="11">
        <f>VALUE(_xlfn.XLOOKUP($G94,LatestData!$A$17:$A$89,LatestData!E$17:E$89))</f>
        <v>955.219970703125</v>
      </c>
      <c r="J94" s="11">
        <f>VALUE(_xlfn.XLOOKUP($G94,LatestData!$A$17:$A$89,LatestData!F$17:F$89))</f>
        <v>961.65997314453125</v>
      </c>
      <c r="K94" s="11">
        <f>VALUE(_xlfn.XLOOKUP($G94,LatestData!$A$17:$A$89,LatestData!G$17:G$89))</f>
        <v>914.4000244140625</v>
      </c>
      <c r="L94" s="11">
        <f>VALUE(_xlfn.XLOOKUP($G94,LatestData!$A$17:$A$89,LatestData!H$17:H$89))</f>
        <v>914.3</v>
      </c>
      <c r="M94" s="11">
        <f>VALUE(_xlfn.XLOOKUP($G94,LatestData!$A$17:$A$89,LatestData!I$17:I$89))</f>
        <v>2585775</v>
      </c>
      <c r="N94" s="14">
        <f>VALUE(_xlfn.XLOOKUP($G94,LatestData!$A$17:$A$89,LatestData!J$17:J$89))</f>
        <v>46028.277083333334</v>
      </c>
      <c r="O94" s="11">
        <f>VALUE(_xlfn.XLOOKUP($G94,LatestData!$A$17:$A$89,LatestData!K$17:K$89))</f>
        <v>1685982.142857143</v>
      </c>
      <c r="P94" s="11">
        <f>VALUE(_xlfn.XLOOKUP($G94,LatestData!$A$17:$A$89,LatestData!L$17:L$89))</f>
        <v>289165213696</v>
      </c>
      <c r="Q94" s="11">
        <f>VALUE(_xlfn.XLOOKUP($G94,LatestData!$A$17:$A$89,LatestData!M$17:M$89))</f>
        <v>961.66</v>
      </c>
      <c r="R94" s="11">
        <f>VALUE(_xlfn.XLOOKUP($G94,LatestData!$A$17:$A$89,LatestData!N$17:N$89))</f>
        <v>439.38</v>
      </c>
      <c r="S94" s="20" t="str">
        <f>_xlfn.XLOOKUP($G94,LatestData!$A$17:$A$89,LatestData!O$17:O$89)</f>
        <v>USD</v>
      </c>
      <c r="T94" s="11">
        <f>VALUE(_xlfn.XLOOKUP($G94,LatestData!$A$17:$A$89,LatestData!P$17:P$89))</f>
        <v>829.94740000000002</v>
      </c>
      <c r="U94" s="11">
        <f>VALUE(_xlfn.XLOOKUP($G94,LatestData!$A$17:$A$89,LatestData!Q$17:Q$89))</f>
        <v>2.52</v>
      </c>
      <c r="V94" s="11">
        <f>VALUE(_xlfn.XLOOKUP($G94,LatestData!$A$17:$A$89,LatestData!R$17:R$89))</f>
        <v>16</v>
      </c>
      <c r="W94" s="15">
        <f>VALUE(_xlfn.XLOOKUP($G94,LatestData!$A$17:$A$89,LatestData!S$17:S$89)%)</f>
        <v>1.7500000000000002E-2</v>
      </c>
      <c r="X94" s="16">
        <f>VALUE(_xlfn.XLOOKUP($G94,LatestData!$A$17:$A$89,LatestData!T$17:T$89))</f>
        <v>45993</v>
      </c>
      <c r="Y94" s="16">
        <f>VALUE(_xlfn.XLOOKUP($G94,LatestData!$A$17:$A$89,LatestData!U$17:U$89))</f>
        <v>46037</v>
      </c>
      <c r="Z94" s="13">
        <f>IFERROR((Table2[[#This Row],[Open]]-Table2[[#This Row],[PreviousClose]])/Table2[[#This Row],[PreviousClose]],0)</f>
        <v>1.0939999350601059E-4</v>
      </c>
      <c r="AA94" s="13">
        <f>IFERROR((Table2[[#This Row],[Price]]-Table2[[#This Row],[Open]])/Table2[[#This Row],[Open]],0)</f>
        <v>4.4641234907249125E-2</v>
      </c>
      <c r="AB94" s="11">
        <f>Table2[[#This Row],[Price]]-Table2[[#This Row],[PreviousClose]]</f>
        <v>40.919970703125045</v>
      </c>
    </row>
    <row r="95" spans="1:28" ht="21" customHeight="1" x14ac:dyDescent="0.25">
      <c r="E95" s="6" t="s">
        <v>123</v>
      </c>
      <c r="G95" t="str">
        <f t="shared" si="2"/>
        <v>LAZRQ</v>
      </c>
      <c r="H95" s="11">
        <f>VALUE(_xlfn.XLOOKUP($G95,LatestData!$A$17:$A$89,LatestData!D$17:D$89))</f>
        <v>7.6499998569488525E-2</v>
      </c>
      <c r="I95" s="11">
        <f>VALUE(_xlfn.XLOOKUP($G95,LatestData!$A$17:$A$89,LatestData!E$17:E$89))</f>
        <v>7.590000331401825E-2</v>
      </c>
      <c r="J95" s="11">
        <f>VALUE(_xlfn.XLOOKUP($G95,LatestData!$A$17:$A$89,LatestData!F$17:F$89))</f>
        <v>7.9999998211860657E-2</v>
      </c>
      <c r="K95" s="11">
        <f>VALUE(_xlfn.XLOOKUP($G95,LatestData!$A$17:$A$89,LatestData!G$17:G$89))</f>
        <v>7.0000000298023224E-2</v>
      </c>
      <c r="L95" s="11">
        <f>VALUE(_xlfn.XLOOKUP($G95,LatestData!$A$17:$A$89,LatestData!H$17:H$89))</f>
        <v>8.4700003266334534E-2</v>
      </c>
      <c r="M95" s="11">
        <f>VALUE(_xlfn.XLOOKUP($G95,LatestData!$A$17:$A$89,LatestData!I$17:I$89))</f>
        <v>645221</v>
      </c>
      <c r="N95" s="14">
        <f>VALUE(_xlfn.XLOOKUP($G95,LatestData!$A$17:$A$89,LatestData!J$17:J$89))</f>
        <v>46028.263888888891</v>
      </c>
      <c r="O95" s="11">
        <f>VALUE(_xlfn.XLOOKUP($G95,LatestData!$A$17:$A$89,LatestData!K$17:K$89))</f>
        <v>6309145.8571428573</v>
      </c>
      <c r="P95" s="11">
        <f>VALUE(_xlfn.XLOOKUP($G95,LatestData!$A$17:$A$89,LatestData!L$17:L$89))</f>
        <v>5909504</v>
      </c>
      <c r="Q95" s="11">
        <f>VALUE(_xlfn.XLOOKUP($G95,LatestData!$A$17:$A$89,LatestData!M$17:M$89))</f>
        <v>10.4</v>
      </c>
      <c r="R95" s="11">
        <f>VALUE(_xlfn.XLOOKUP($G95,LatestData!$A$17:$A$89,LatestData!N$17:N$89))</f>
        <v>6.8000000000000005E-2</v>
      </c>
      <c r="S95" s="20" t="str">
        <f>_xlfn.XLOOKUP($G95,LatestData!$A$17:$A$89,LatestData!O$17:O$89)</f>
        <v>USD</v>
      </c>
      <c r="T95" s="11">
        <f>VALUE(_xlfn.XLOOKUP($G95,LatestData!$A$17:$A$89,LatestData!P$17:P$89))</f>
        <v>2.1071399999999998</v>
      </c>
      <c r="U95" s="11">
        <f>VALUE(_xlfn.XLOOKUP($G95,LatestData!$A$17:$A$89,LatestData!Q$17:Q$89))</f>
        <v>3</v>
      </c>
      <c r="V95" s="11">
        <f>VALUE(_xlfn.XLOOKUP($G95,LatestData!$A$17:$A$89,LatestData!R$17:R$89))</f>
        <v>0</v>
      </c>
      <c r="W95" s="15">
        <f>VALUE(_xlfn.XLOOKUP($G95,LatestData!$A$17:$A$89,LatestData!S$17:S$89)%)</f>
        <v>0</v>
      </c>
      <c r="X95" s="16">
        <f>VALUE(_xlfn.XLOOKUP($G95,LatestData!$A$17:$A$89,LatestData!T$17:T$89))</f>
        <v>0</v>
      </c>
      <c r="Y95" s="16">
        <f>VALUE(_xlfn.XLOOKUP($G95,LatestData!$A$17:$A$89,LatestData!U$17:U$89))</f>
        <v>46085</v>
      </c>
      <c r="Z95" s="13">
        <f>IFERROR((Table2[[#This Row],[Open]]-Table2[[#This Row],[PreviousClose]])/Table2[[#This Row],[PreviousClose]],0)</f>
        <v>-9.6812330349758557E-2</v>
      </c>
      <c r="AA95" s="13">
        <f>IFERROR((Table2[[#This Row],[Price]]-Table2[[#This Row],[Open]])/Table2[[#This Row],[Open]],0)</f>
        <v>-7.8430753815671266E-3</v>
      </c>
      <c r="AB95" s="11">
        <f>Table2[[#This Row],[Price]]-Table2[[#This Row],[PreviousClose]]</f>
        <v>-8.7999999523162842E-3</v>
      </c>
    </row>
    <row r="96" spans="1:28" ht="21" customHeight="1" x14ac:dyDescent="0.25">
      <c r="E96" s="7" t="s">
        <v>125</v>
      </c>
      <c r="G96" t="str">
        <f t="shared" si="2"/>
        <v>LUV</v>
      </c>
      <c r="H96" s="11">
        <f>VALUE(_xlfn.XLOOKUP($G96,LatestData!$A$17:$A$89,LatestData!D$17:D$89))</f>
        <v>41.130001068115227</v>
      </c>
      <c r="I96" s="11">
        <f>VALUE(_xlfn.XLOOKUP($G96,LatestData!$A$17:$A$89,LatestData!E$17:E$89))</f>
        <v>42.720001220703118</v>
      </c>
      <c r="J96" s="11">
        <f>VALUE(_xlfn.XLOOKUP($G96,LatestData!$A$17:$A$89,LatestData!F$17:F$89))</f>
        <v>42.720001220703118</v>
      </c>
      <c r="K96" s="11">
        <f>VALUE(_xlfn.XLOOKUP($G96,LatestData!$A$17:$A$89,LatestData!G$17:G$89))</f>
        <v>41.115001678466797</v>
      </c>
      <c r="L96" s="11">
        <f>VALUE(_xlfn.XLOOKUP($G96,LatestData!$A$17:$A$89,LatestData!H$17:H$89))</f>
        <v>41.32</v>
      </c>
      <c r="M96" s="11">
        <f>VALUE(_xlfn.XLOOKUP($G96,LatestData!$A$17:$A$89,LatestData!I$17:I$89))</f>
        <v>4447355</v>
      </c>
      <c r="N96" s="14">
        <f>VALUE(_xlfn.XLOOKUP($G96,LatestData!$A$17:$A$89,LatestData!J$17:J$89))</f>
        <v>46028.277083333334</v>
      </c>
      <c r="O96" s="11">
        <f>VALUE(_xlfn.XLOOKUP($G96,LatestData!$A$17:$A$89,LatestData!K$17:K$89))</f>
        <v>5132465</v>
      </c>
      <c r="P96" s="11">
        <f>VALUE(_xlfn.XLOOKUP($G96,LatestData!$A$17:$A$89,LatestData!L$17:L$89))</f>
        <v>22436020224</v>
      </c>
      <c r="Q96" s="11">
        <f>VALUE(_xlfn.XLOOKUP($G96,LatestData!$A$17:$A$89,LatestData!M$17:M$89))</f>
        <v>43.54</v>
      </c>
      <c r="R96" s="11">
        <f>VALUE(_xlfn.XLOOKUP($G96,LatestData!$A$17:$A$89,LatestData!N$17:N$89))</f>
        <v>23.82</v>
      </c>
      <c r="S96" s="20" t="str">
        <f>_xlfn.XLOOKUP($G96,LatestData!$A$17:$A$89,LatestData!O$17:O$89)</f>
        <v>USD</v>
      </c>
      <c r="T96" s="11">
        <f>VALUE(_xlfn.XLOOKUP($G96,LatestData!$A$17:$A$89,LatestData!P$17:P$89))</f>
        <v>37.930430000000001</v>
      </c>
      <c r="U96" s="11">
        <f>VALUE(_xlfn.XLOOKUP($G96,LatestData!$A$17:$A$89,LatestData!Q$17:Q$89))</f>
        <v>0</v>
      </c>
      <c r="V96" s="11">
        <f>VALUE(_xlfn.XLOOKUP($G96,LatestData!$A$17:$A$89,LatestData!R$17:R$89))</f>
        <v>0.72</v>
      </c>
      <c r="W96" s="15">
        <f>VALUE(_xlfn.XLOOKUP($G96,LatestData!$A$17:$A$89,LatestData!S$17:S$89)%)</f>
        <v>1.7399999999999999E-2</v>
      </c>
      <c r="X96" s="16">
        <f>VALUE(_xlfn.XLOOKUP($G96,LatestData!$A$17:$A$89,LatestData!T$17:T$89))</f>
        <v>46017</v>
      </c>
      <c r="Y96" s="16">
        <f>VALUE(_xlfn.XLOOKUP($G96,LatestData!$A$17:$A$89,LatestData!U$17:U$89))</f>
        <v>46050</v>
      </c>
      <c r="Z96" s="13">
        <f>IFERROR((Table2[[#This Row],[Open]]-Table2[[#This Row],[PreviousClose]])/Table2[[#This Row],[PreviousClose]],0)</f>
        <v>-4.5982316525840514E-3</v>
      </c>
      <c r="AA96" s="13">
        <f>IFERROR((Table2[[#This Row],[Price]]-Table2[[#This Row],[Open]])/Table2[[#This Row],[Open]],0)</f>
        <v>3.8657916637412623E-2</v>
      </c>
      <c r="AB96" s="11">
        <f>Table2[[#This Row],[Price]]-Table2[[#This Row],[PreviousClose]]</f>
        <v>1.4000012207031176</v>
      </c>
    </row>
    <row r="97" spans="5:28" ht="21" customHeight="1" x14ac:dyDescent="0.25">
      <c r="E97" s="6" t="s">
        <v>127</v>
      </c>
      <c r="G97" t="str">
        <f t="shared" si="2"/>
        <v>MA</v>
      </c>
      <c r="H97" s="11">
        <f>VALUE(_xlfn.XLOOKUP($G97,LatestData!$A$17:$A$89,LatestData!D$17:D$89))</f>
        <v>559.6199951171875</v>
      </c>
      <c r="I97" s="11">
        <f>VALUE(_xlfn.XLOOKUP($G97,LatestData!$A$17:$A$89,LatestData!E$17:E$89))</f>
        <v>574.27001953125</v>
      </c>
      <c r="J97" s="11">
        <f>VALUE(_xlfn.XLOOKUP($G97,LatestData!$A$17:$A$89,LatestData!F$17:F$89))</f>
        <v>576.260009765625</v>
      </c>
      <c r="K97" s="11">
        <f>VALUE(_xlfn.XLOOKUP($G97,LatestData!$A$17:$A$89,LatestData!G$17:G$89))</f>
        <v>558.45001220703125</v>
      </c>
      <c r="L97" s="11">
        <f>VALUE(_xlfn.XLOOKUP($G97,LatestData!$A$17:$A$89,LatestData!H$17:H$89))</f>
        <v>563.13</v>
      </c>
      <c r="M97" s="11">
        <f>VALUE(_xlfn.XLOOKUP($G97,LatestData!$A$17:$A$89,LatestData!I$17:I$89))</f>
        <v>1356496</v>
      </c>
      <c r="N97" s="14">
        <f>VALUE(_xlfn.XLOOKUP($G97,LatestData!$A$17:$A$89,LatestData!J$17:J$89))</f>
        <v>46028.277083333334</v>
      </c>
      <c r="O97" s="11">
        <f>VALUE(_xlfn.XLOOKUP($G97,LatestData!$A$17:$A$89,LatestData!K$17:K$89))</f>
        <v>1687685.142857143</v>
      </c>
      <c r="P97" s="11">
        <f>VALUE(_xlfn.XLOOKUP($G97,LatestData!$A$17:$A$89,LatestData!L$17:L$89))</f>
        <v>519146897408</v>
      </c>
      <c r="Q97" s="11">
        <f>VALUE(_xlfn.XLOOKUP($G97,LatestData!$A$17:$A$89,LatestData!M$17:M$89))</f>
        <v>601.77</v>
      </c>
      <c r="R97" s="11">
        <f>VALUE(_xlfn.XLOOKUP($G97,LatestData!$A$17:$A$89,LatestData!N$17:N$89))</f>
        <v>465.59</v>
      </c>
      <c r="S97" s="20" t="str">
        <f>_xlfn.XLOOKUP($G97,LatestData!$A$17:$A$89,LatestData!O$17:O$89)</f>
        <v>USD</v>
      </c>
      <c r="T97" s="11">
        <f>VALUE(_xlfn.XLOOKUP($G97,LatestData!$A$17:$A$89,LatestData!P$17:P$89))</f>
        <v>657.92223999999999</v>
      </c>
      <c r="U97" s="11">
        <f>VALUE(_xlfn.XLOOKUP($G97,LatestData!$A$17:$A$89,LatestData!Q$17:Q$89))</f>
        <v>1.5897399999999999</v>
      </c>
      <c r="V97" s="11">
        <f>VALUE(_xlfn.XLOOKUP($G97,LatestData!$A$17:$A$89,LatestData!R$17:R$89))</f>
        <v>3.48</v>
      </c>
      <c r="W97" s="15">
        <f>VALUE(_xlfn.XLOOKUP($G97,LatestData!$A$17:$A$89,LatestData!S$17:S$89)%)</f>
        <v>6.1999999999999998E-3</v>
      </c>
      <c r="X97" s="16">
        <f>VALUE(_xlfn.XLOOKUP($G97,LatestData!$A$17:$A$89,LatestData!T$17:T$89))</f>
        <v>46031</v>
      </c>
      <c r="Y97" s="16">
        <f>VALUE(_xlfn.XLOOKUP($G97,LatestData!$A$17:$A$89,LatestData!U$17:U$89))</f>
        <v>46051</v>
      </c>
      <c r="Z97" s="13">
        <f>IFERROR((Table2[[#This Row],[Open]]-Table2[[#This Row],[PreviousClose]])/Table2[[#This Row],[PreviousClose]],0)</f>
        <v>-6.2330276895432588E-3</v>
      </c>
      <c r="AA97" s="13">
        <f>IFERROR((Table2[[#This Row],[Price]]-Table2[[#This Row],[Open]])/Table2[[#This Row],[Open]],0)</f>
        <v>2.6178522107657545E-2</v>
      </c>
      <c r="AB97" s="11">
        <f>Table2[[#This Row],[Price]]-Table2[[#This Row],[PreviousClose]]</f>
        <v>11.140019531250005</v>
      </c>
    </row>
    <row r="98" spans="5:28" ht="21" customHeight="1" x14ac:dyDescent="0.25">
      <c r="E98" s="7" t="s">
        <v>129</v>
      </c>
      <c r="G98" t="str">
        <f t="shared" si="2"/>
        <v>NVAX</v>
      </c>
      <c r="H98" s="11">
        <f>VALUE(_xlfn.XLOOKUP($G98,LatestData!$A$17:$A$89,LatestData!D$17:D$89))</f>
        <v>7.1020002365112296</v>
      </c>
      <c r="I98" s="11">
        <f>VALUE(_xlfn.XLOOKUP($G98,LatestData!$A$17:$A$89,LatestData!E$17:E$89))</f>
        <v>7.255000114440918</v>
      </c>
      <c r="J98" s="11">
        <f>VALUE(_xlfn.XLOOKUP($G98,LatestData!$A$17:$A$89,LatestData!F$17:F$89))</f>
        <v>7.3550000190734863</v>
      </c>
      <c r="K98" s="11">
        <f>VALUE(_xlfn.XLOOKUP($G98,LatestData!$A$17:$A$89,LatestData!G$17:G$89))</f>
        <v>7.0900001525878906</v>
      </c>
      <c r="L98" s="11">
        <f>VALUE(_xlfn.XLOOKUP($G98,LatestData!$A$17:$A$89,LatestData!H$17:H$89))</f>
        <v>7.15</v>
      </c>
      <c r="M98" s="11">
        <f>VALUE(_xlfn.XLOOKUP($G98,LatestData!$A$17:$A$89,LatestData!I$17:I$89))</f>
        <v>2152357</v>
      </c>
      <c r="N98" s="14">
        <f>VALUE(_xlfn.XLOOKUP($G98,LatestData!$A$17:$A$89,LatestData!J$17:J$89))</f>
        <v>46028.276388888888</v>
      </c>
      <c r="O98" s="11">
        <f>VALUE(_xlfn.XLOOKUP($G98,LatestData!$A$17:$A$89,LatestData!K$17:K$89))</f>
        <v>2609151</v>
      </c>
      <c r="P98" s="11">
        <f>VALUE(_xlfn.XLOOKUP($G98,LatestData!$A$17:$A$89,LatestData!L$17:L$89))</f>
        <v>1178930176</v>
      </c>
      <c r="Q98" s="11">
        <f>VALUE(_xlfn.XLOOKUP($G98,LatestData!$A$17:$A$89,LatestData!M$17:M$89))</f>
        <v>11.55</v>
      </c>
      <c r="R98" s="11">
        <f>VALUE(_xlfn.XLOOKUP($G98,LatestData!$A$17:$A$89,LatestData!N$17:N$89))</f>
        <v>5.01</v>
      </c>
      <c r="S98" s="20" t="str">
        <f>_xlfn.XLOOKUP($G98,LatestData!$A$17:$A$89,LatestData!O$17:O$89)</f>
        <v>USD</v>
      </c>
      <c r="T98" s="11">
        <f>VALUE(_xlfn.XLOOKUP($G98,LatestData!$A$17:$A$89,LatestData!P$17:P$89))</f>
        <v>12.77778</v>
      </c>
      <c r="U98" s="11">
        <f>VALUE(_xlfn.XLOOKUP($G98,LatestData!$A$17:$A$89,LatestData!Q$17:Q$89))</f>
        <v>2.3333300000000001</v>
      </c>
      <c r="V98" s="11">
        <f>VALUE(_xlfn.XLOOKUP($G98,LatestData!$A$17:$A$89,LatestData!R$17:R$89))</f>
        <v>0</v>
      </c>
      <c r="W98" s="15">
        <f>VALUE(_xlfn.XLOOKUP($G98,LatestData!$A$17:$A$89,LatestData!S$17:S$89)%)</f>
        <v>0</v>
      </c>
      <c r="X98" s="16">
        <f>VALUE(_xlfn.XLOOKUP($G98,LatestData!$A$17:$A$89,LatestData!T$17:T$89))</f>
        <v>0</v>
      </c>
      <c r="Y98" s="16">
        <f>VALUE(_xlfn.XLOOKUP($G98,LatestData!$A$17:$A$89,LatestData!U$17:U$89))</f>
        <v>45967</v>
      </c>
      <c r="Z98" s="13">
        <f>IFERROR((Table2[[#This Row],[Open]]-Table2[[#This Row],[PreviousClose]])/Table2[[#This Row],[PreviousClose]],0)</f>
        <v>-6.7132536347931154E-3</v>
      </c>
      <c r="AA98" s="13">
        <f>IFERROR((Table2[[#This Row],[Price]]-Table2[[#This Row],[Open]])/Table2[[#This Row],[Open]],0)</f>
        <v>2.1543209354333633E-2</v>
      </c>
      <c r="AB98" s="11">
        <f>Table2[[#This Row],[Price]]-Table2[[#This Row],[PreviousClose]]</f>
        <v>0.10500011444091761</v>
      </c>
    </row>
    <row r="99" spans="5:28" ht="21" customHeight="1" x14ac:dyDescent="0.25">
      <c r="E99" s="6" t="s">
        <v>131</v>
      </c>
      <c r="G99" t="str">
        <f t="shared" si="2"/>
        <v>NVS</v>
      </c>
      <c r="H99" s="11">
        <f>VALUE(_xlfn.XLOOKUP($G99,LatestData!$A$17:$A$89,LatestData!D$17:D$89))</f>
        <v>137.13499450683591</v>
      </c>
      <c r="I99" s="11">
        <f>VALUE(_xlfn.XLOOKUP($G99,LatestData!$A$17:$A$89,LatestData!E$17:E$89))</f>
        <v>137.22999572753909</v>
      </c>
      <c r="J99" s="11">
        <f>VALUE(_xlfn.XLOOKUP($G99,LatestData!$A$17:$A$89,LatestData!F$17:F$89))</f>
        <v>137.50999450683591</v>
      </c>
      <c r="K99" s="11">
        <f>VALUE(_xlfn.XLOOKUP($G99,LatestData!$A$17:$A$89,LatestData!G$17:G$89))</f>
        <v>135.55000305175781</v>
      </c>
      <c r="L99" s="11">
        <f>VALUE(_xlfn.XLOOKUP($G99,LatestData!$A$17:$A$89,LatestData!H$17:H$89))</f>
        <v>138.88999999999999</v>
      </c>
      <c r="M99" s="11">
        <f>VALUE(_xlfn.XLOOKUP($G99,LatestData!$A$17:$A$89,LatestData!I$17:I$89))</f>
        <v>782218</v>
      </c>
      <c r="N99" s="14">
        <f>VALUE(_xlfn.XLOOKUP($G99,LatestData!$A$17:$A$89,LatestData!J$17:J$89))</f>
        <v>46028.276388888888</v>
      </c>
      <c r="O99" s="11">
        <f>VALUE(_xlfn.XLOOKUP($G99,LatestData!$A$17:$A$89,LatestData!K$17:K$89))</f>
        <v>757174</v>
      </c>
      <c r="P99" s="11">
        <f>VALUE(_xlfn.XLOOKUP($G99,LatestData!$A$17:$A$89,LatestData!L$17:L$89))</f>
        <v>263315832832</v>
      </c>
      <c r="Q99" s="11">
        <f>VALUE(_xlfn.XLOOKUP($G99,LatestData!$A$17:$A$89,LatestData!M$17:M$89))</f>
        <v>140.18</v>
      </c>
      <c r="R99" s="11">
        <f>VALUE(_xlfn.XLOOKUP($G99,LatestData!$A$17:$A$89,LatestData!N$17:N$89))</f>
        <v>97.39</v>
      </c>
      <c r="S99" s="20" t="str">
        <f>_xlfn.XLOOKUP($G99,LatestData!$A$17:$A$89,LatestData!O$17:O$89)</f>
        <v>USD</v>
      </c>
      <c r="T99" s="11">
        <f>VALUE(_xlfn.XLOOKUP($G99,LatestData!$A$17:$A$89,LatestData!P$17:P$89))</f>
        <v>134.88221999999999</v>
      </c>
      <c r="U99" s="11">
        <f>VALUE(_xlfn.XLOOKUP($G99,LatestData!$A$17:$A$89,LatestData!Q$17:Q$89))</f>
        <v>3.09091</v>
      </c>
      <c r="V99" s="11">
        <f>VALUE(_xlfn.XLOOKUP($G99,LatestData!$A$17:$A$89,LatestData!R$17:R$89))</f>
        <v>3.99</v>
      </c>
      <c r="W99" s="15">
        <f>VALUE(_xlfn.XLOOKUP($G99,LatestData!$A$17:$A$89,LatestData!S$17:S$89)%)</f>
        <v>2.8799999999999999E-2</v>
      </c>
      <c r="X99" s="16">
        <f>VALUE(_xlfn.XLOOKUP($G99,LatestData!$A$17:$A$89,LatestData!T$17:T$89))</f>
        <v>45728</v>
      </c>
      <c r="Y99" s="16">
        <f>VALUE(_xlfn.XLOOKUP($G99,LatestData!$A$17:$A$89,LatestData!U$17:U$89))</f>
        <v>46057</v>
      </c>
      <c r="Z99" s="13">
        <f>IFERROR((Table2[[#This Row],[Open]]-Table2[[#This Row],[PreviousClose]])/Table2[[#This Row],[PreviousClose]],0)</f>
        <v>-1.2635938463273651E-2</v>
      </c>
      <c r="AA99" s="13">
        <f>IFERROR((Table2[[#This Row],[Price]]-Table2[[#This Row],[Open]])/Table2[[#This Row],[Open]],0)</f>
        <v>6.9275695124227548E-4</v>
      </c>
      <c r="AB99" s="11">
        <f>Table2[[#This Row],[Price]]-Table2[[#This Row],[PreviousClose]]</f>
        <v>-1.6600042724608954</v>
      </c>
    </row>
    <row r="100" spans="5:28" ht="21" customHeight="1" x14ac:dyDescent="0.25">
      <c r="E100" s="7" t="s">
        <v>152</v>
      </c>
      <c r="F100" t="s">
        <v>49</v>
      </c>
      <c r="G100" t="str">
        <f t="shared" si="2"/>
        <v>ORA.PA</v>
      </c>
      <c r="H100" s="11">
        <f>VALUE(_xlfn.XLOOKUP($G100,LatestData!$A$17:$A$89,LatestData!D$17:D$89))</f>
        <v>14.335000038146971</v>
      </c>
      <c r="I100" s="11">
        <f>VALUE(_xlfn.XLOOKUP($G100,LatestData!$A$17:$A$89,LatestData!E$17:E$89))</f>
        <v>14.15499973297119</v>
      </c>
      <c r="J100" s="11">
        <f>VALUE(_xlfn.XLOOKUP($G100,LatestData!$A$17:$A$89,LatestData!F$17:F$89))</f>
        <v>14.340000152587891</v>
      </c>
      <c r="K100" s="11">
        <f>VALUE(_xlfn.XLOOKUP($G100,LatestData!$A$17:$A$89,LatestData!G$17:G$89))</f>
        <v>13.99499988555908</v>
      </c>
      <c r="L100" s="11">
        <f>VALUE(_xlfn.XLOOKUP($G100,LatestData!$A$17:$A$89,LatestData!H$17:H$89))</f>
        <v>14.32499980926514</v>
      </c>
      <c r="M100" s="11">
        <f>VALUE(_xlfn.XLOOKUP($G100,LatestData!$A$17:$A$89,LatestData!I$17:I$89))</f>
        <v>3294023</v>
      </c>
      <c r="N100" s="14">
        <f>VALUE(_xlfn.XLOOKUP($G100,LatestData!$A$17:$A$89,LatestData!J$17:J$89))</f>
        <v>46028.149305555555</v>
      </c>
      <c r="O100" s="11">
        <f>VALUE(_xlfn.XLOOKUP($G100,LatestData!$A$17:$A$89,LatestData!K$17:K$89))</f>
        <v>2160048.2857142859</v>
      </c>
      <c r="P100" s="11">
        <f>VALUE(_xlfn.XLOOKUP($G100,LatestData!$A$17:$A$89,LatestData!L$17:L$89))</f>
        <v>37632479232</v>
      </c>
      <c r="Q100" s="11">
        <f>VALUE(_xlfn.XLOOKUP($G100,LatestData!$A$17:$A$89,LatestData!M$17:M$89))</f>
        <v>14.56</v>
      </c>
      <c r="R100" s="11">
        <f>VALUE(_xlfn.XLOOKUP($G100,LatestData!$A$17:$A$89,LatestData!N$17:N$89))</f>
        <v>9.44</v>
      </c>
      <c r="S100" s="20" t="str">
        <f>_xlfn.XLOOKUP($G100,LatestData!$A$17:$A$89,LatestData!O$17:O$89)</f>
        <v>EUR</v>
      </c>
      <c r="T100" s="11">
        <f>VALUE(_xlfn.XLOOKUP($G100,LatestData!$A$17:$A$89,LatestData!P$17:P$89))</f>
        <v>15.68824</v>
      </c>
      <c r="U100" s="11">
        <f>VALUE(_xlfn.XLOOKUP($G100,LatestData!$A$17:$A$89,LatestData!Q$17:Q$89))</f>
        <v>0</v>
      </c>
      <c r="V100" s="11">
        <f>VALUE(_xlfn.XLOOKUP($G100,LatestData!$A$17:$A$89,LatestData!R$17:R$89))</f>
        <v>0.75</v>
      </c>
      <c r="W100" s="15">
        <f>VALUE(_xlfn.XLOOKUP($G100,LatestData!$A$17:$A$89,LatestData!S$17:S$89)%)</f>
        <v>5.2300000000000006E-2</v>
      </c>
      <c r="X100" s="16">
        <f>VALUE(_xlfn.XLOOKUP($G100,LatestData!$A$17:$A$89,LatestData!T$17:T$89))</f>
        <v>45993</v>
      </c>
      <c r="Y100" s="16">
        <f>VALUE(_xlfn.XLOOKUP($G100,LatestData!$A$17:$A$89,LatestData!U$17:U$89))</f>
        <v>46071</v>
      </c>
      <c r="Z100" s="13">
        <f>IFERROR((Table2[[#This Row],[Open]]-Table2[[#This Row],[PreviousClose]])/Table2[[#This Row],[PreviousClose]],0)</f>
        <v>6.9809626631636311E-4</v>
      </c>
      <c r="AA100" s="13">
        <f>IFERROR((Table2[[#This Row],[Price]]-Table2[[#This Row],[Open]])/Table2[[#This Row],[Open]],0)</f>
        <v>-1.2556700711320624E-2</v>
      </c>
      <c r="AB100" s="11">
        <f>Table2[[#This Row],[Price]]-Table2[[#This Row],[PreviousClose]]</f>
        <v>-0.17000007629395064</v>
      </c>
    </row>
    <row r="101" spans="5:28" ht="21" customHeight="1" x14ac:dyDescent="0.25">
      <c r="E101" s="6" t="s">
        <v>135</v>
      </c>
      <c r="G101" t="str">
        <f t="shared" si="2"/>
        <v>OXY</v>
      </c>
      <c r="H101" s="11">
        <f>VALUE(_xlfn.XLOOKUP($G101,LatestData!$A$17:$A$89,LatestData!D$17:D$89))</f>
        <v>43.040000915527337</v>
      </c>
      <c r="I101" s="11">
        <f>VALUE(_xlfn.XLOOKUP($G101,LatestData!$A$17:$A$89,LatestData!E$17:E$89))</f>
        <v>41.693500518798828</v>
      </c>
      <c r="J101" s="11">
        <f>VALUE(_xlfn.XLOOKUP($G101,LatestData!$A$17:$A$89,LatestData!F$17:F$89))</f>
        <v>43.189998626708977</v>
      </c>
      <c r="K101" s="11">
        <f>VALUE(_xlfn.XLOOKUP($G101,LatestData!$A$17:$A$89,LatestData!G$17:G$89))</f>
        <v>40.384998321533203</v>
      </c>
      <c r="L101" s="11">
        <f>VALUE(_xlfn.XLOOKUP($G101,LatestData!$A$17:$A$89,LatestData!H$17:H$89))</f>
        <v>42.29</v>
      </c>
      <c r="M101" s="11">
        <f>VALUE(_xlfn.XLOOKUP($G101,LatestData!$A$17:$A$89,LatestData!I$17:I$89))</f>
        <v>15605458</v>
      </c>
      <c r="N101" s="14">
        <f>VALUE(_xlfn.XLOOKUP($G101,LatestData!$A$17:$A$89,LatestData!J$17:J$89))</f>
        <v>46028.277083333334</v>
      </c>
      <c r="O101" s="11">
        <f>VALUE(_xlfn.XLOOKUP($G101,LatestData!$A$17:$A$89,LatestData!K$17:K$89))</f>
        <v>9280608.2857142854</v>
      </c>
      <c r="P101" s="11">
        <f>VALUE(_xlfn.XLOOKUP($G101,LatestData!$A$17:$A$89,LatestData!L$17:L$89))</f>
        <v>41076871168</v>
      </c>
      <c r="Q101" s="11">
        <f>VALUE(_xlfn.XLOOKUP($G101,LatestData!$A$17:$A$89,LatestData!M$17:M$89))</f>
        <v>53.2</v>
      </c>
      <c r="R101" s="11">
        <f>VALUE(_xlfn.XLOOKUP($G101,LatestData!$A$17:$A$89,LatestData!N$17:N$89))</f>
        <v>34.78</v>
      </c>
      <c r="S101" s="20" t="str">
        <f>_xlfn.XLOOKUP($G101,LatestData!$A$17:$A$89,LatestData!O$17:O$89)</f>
        <v>USD</v>
      </c>
      <c r="T101" s="11">
        <f>VALUE(_xlfn.XLOOKUP($G101,LatestData!$A$17:$A$89,LatestData!P$17:P$89))</f>
        <v>49.625</v>
      </c>
      <c r="U101" s="11">
        <f>VALUE(_xlfn.XLOOKUP($G101,LatestData!$A$17:$A$89,LatestData!Q$17:Q$89))</f>
        <v>2.8</v>
      </c>
      <c r="V101" s="11">
        <f>VALUE(_xlfn.XLOOKUP($G101,LatestData!$A$17:$A$89,LatestData!R$17:R$89))</f>
        <v>0.96</v>
      </c>
      <c r="W101" s="15">
        <f>VALUE(_xlfn.XLOOKUP($G101,LatestData!$A$17:$A$89,LatestData!S$17:S$89)%)</f>
        <v>2.2700000000000001E-2</v>
      </c>
      <c r="X101" s="16">
        <f>VALUE(_xlfn.XLOOKUP($G101,LatestData!$A$17:$A$89,LatestData!T$17:T$89))</f>
        <v>46001</v>
      </c>
      <c r="Y101" s="16">
        <f>VALUE(_xlfn.XLOOKUP($G101,LatestData!$A$17:$A$89,LatestData!U$17:U$89))</f>
        <v>45971</v>
      </c>
      <c r="Z101" s="13">
        <f>IFERROR((Table2[[#This Row],[Open]]-Table2[[#This Row],[PreviousClose]])/Table2[[#This Row],[PreviousClose]],0)</f>
        <v>1.7734710700575491E-2</v>
      </c>
      <c r="AA101" s="13">
        <f>IFERROR((Table2[[#This Row],[Price]]-Table2[[#This Row],[Open]])/Table2[[#This Row],[Open]],0)</f>
        <v>-3.1284859853307714E-2</v>
      </c>
      <c r="AB101" s="11">
        <f>Table2[[#This Row],[Price]]-Table2[[#This Row],[PreviousClose]]</f>
        <v>-0.59649948120117102</v>
      </c>
    </row>
    <row r="102" spans="5:28" ht="21" customHeight="1" x14ac:dyDescent="0.25">
      <c r="E102" s="7" t="s">
        <v>137</v>
      </c>
      <c r="G102" t="str">
        <f t="shared" si="2"/>
        <v>PFE</v>
      </c>
      <c r="H102" s="11">
        <f>VALUE(_xlfn.XLOOKUP($G102,LatestData!$A$17:$A$89,LatestData!D$17:D$89))</f>
        <v>25.20000076293945</v>
      </c>
      <c r="I102" s="11">
        <f>VALUE(_xlfn.XLOOKUP($G102,LatestData!$A$17:$A$89,LatestData!E$17:E$89))</f>
        <v>25.028900146484379</v>
      </c>
      <c r="J102" s="11">
        <f>VALUE(_xlfn.XLOOKUP($G102,LatestData!$A$17:$A$89,LatestData!F$17:F$89))</f>
        <v>25.39999961853027</v>
      </c>
      <c r="K102" s="11">
        <f>VALUE(_xlfn.XLOOKUP($G102,LatestData!$A$17:$A$89,LatestData!G$17:G$89))</f>
        <v>24.95000076293945</v>
      </c>
      <c r="L102" s="11">
        <f>VALUE(_xlfn.XLOOKUP($G102,LatestData!$A$17:$A$89,LatestData!H$17:H$89))</f>
        <v>25.151499999999999</v>
      </c>
      <c r="M102" s="11">
        <f>VALUE(_xlfn.XLOOKUP($G102,LatestData!$A$17:$A$89,LatestData!I$17:I$89))</f>
        <v>36763018</v>
      </c>
      <c r="N102" s="14">
        <f>VALUE(_xlfn.XLOOKUP($G102,LatestData!$A$17:$A$89,LatestData!J$17:J$89))</f>
        <v>46028.277083333334</v>
      </c>
      <c r="O102" s="11">
        <f>VALUE(_xlfn.XLOOKUP($G102,LatestData!$A$17:$A$89,LatestData!K$17:K$89))</f>
        <v>29281059.714285709</v>
      </c>
      <c r="P102" s="11">
        <f>VALUE(_xlfn.XLOOKUP($G102,LatestData!$A$17:$A$89,LatestData!L$17:L$89))</f>
        <v>142307016704</v>
      </c>
      <c r="Q102" s="11">
        <f>VALUE(_xlfn.XLOOKUP($G102,LatestData!$A$17:$A$89,LatestData!M$17:M$89))</f>
        <v>27.69</v>
      </c>
      <c r="R102" s="11">
        <f>VALUE(_xlfn.XLOOKUP($G102,LatestData!$A$17:$A$89,LatestData!N$17:N$89))</f>
        <v>20.92</v>
      </c>
      <c r="S102" s="20" t="str">
        <f>_xlfn.XLOOKUP($G102,LatestData!$A$17:$A$89,LatestData!O$17:O$89)</f>
        <v>USD</v>
      </c>
      <c r="T102" s="11">
        <f>VALUE(_xlfn.XLOOKUP($G102,LatestData!$A$17:$A$89,LatestData!P$17:P$89))</f>
        <v>28.622920000000001</v>
      </c>
      <c r="U102" s="11">
        <f>VALUE(_xlfn.XLOOKUP($G102,LatestData!$A$17:$A$89,LatestData!Q$17:Q$89))</f>
        <v>2.4230800000000001</v>
      </c>
      <c r="V102" s="11">
        <f>VALUE(_xlfn.XLOOKUP($G102,LatestData!$A$17:$A$89,LatestData!R$17:R$89))</f>
        <v>1.72</v>
      </c>
      <c r="W102" s="15">
        <f>VALUE(_xlfn.XLOOKUP($G102,LatestData!$A$17:$A$89,LatestData!S$17:S$89)%)</f>
        <v>6.83E-2</v>
      </c>
      <c r="X102" s="16">
        <f>VALUE(_xlfn.XLOOKUP($G102,LatestData!$A$17:$A$89,LatestData!T$17:T$89))</f>
        <v>46045</v>
      </c>
      <c r="Y102" s="16">
        <f>VALUE(_xlfn.XLOOKUP($G102,LatestData!$A$17:$A$89,LatestData!U$17:U$89))</f>
        <v>46056</v>
      </c>
      <c r="Z102" s="13">
        <f>IFERROR((Table2[[#This Row],[Open]]-Table2[[#This Row],[PreviousClose]])/Table2[[#This Row],[PreviousClose]],0)</f>
        <v>1.9283447484027172E-3</v>
      </c>
      <c r="AA102" s="13">
        <f>IFERROR((Table2[[#This Row],[Price]]-Table2[[#This Row],[Open]])/Table2[[#This Row],[Open]],0)</f>
        <v>-6.7897067966244387E-3</v>
      </c>
      <c r="AB102" s="11">
        <f>Table2[[#This Row],[Price]]-Table2[[#This Row],[PreviousClose]]</f>
        <v>-0.12259985351562008</v>
      </c>
    </row>
    <row r="103" spans="5:28" ht="21" customHeight="1" x14ac:dyDescent="0.25">
      <c r="E103" s="6" t="s">
        <v>139</v>
      </c>
      <c r="G103" t="str">
        <f t="shared" si="2"/>
        <v>RIG</v>
      </c>
      <c r="H103" s="11">
        <f>VALUE(_xlfn.XLOOKUP($G103,LatestData!$A$17:$A$89,LatestData!D$17:D$89))</f>
        <v>4.429999828338623</v>
      </c>
      <c r="I103" s="11">
        <f>VALUE(_xlfn.XLOOKUP($G103,LatestData!$A$17:$A$89,LatestData!E$17:E$89))</f>
        <v>4.3400001525878906</v>
      </c>
      <c r="J103" s="11">
        <f>VALUE(_xlfn.XLOOKUP($G103,LatestData!$A$17:$A$89,LatestData!F$17:F$89))</f>
        <v>4.429999828338623</v>
      </c>
      <c r="K103" s="11">
        <f>VALUE(_xlfn.XLOOKUP($G103,LatestData!$A$17:$A$89,LatestData!G$17:G$89))</f>
        <v>4.0999999046325684</v>
      </c>
      <c r="L103" s="11">
        <f>VALUE(_xlfn.XLOOKUP($G103,LatestData!$A$17:$A$89,LatestData!H$17:H$89))</f>
        <v>4.24</v>
      </c>
      <c r="M103" s="11">
        <f>VALUE(_xlfn.XLOOKUP($G103,LatestData!$A$17:$A$89,LatestData!I$17:I$89))</f>
        <v>32208392</v>
      </c>
      <c r="N103" s="14">
        <f>VALUE(_xlfn.XLOOKUP($G103,LatestData!$A$17:$A$89,LatestData!J$17:J$89))</f>
        <v>46028.277083333334</v>
      </c>
      <c r="O103" s="11">
        <f>VALUE(_xlfn.XLOOKUP($G103,LatestData!$A$17:$A$89,LatestData!K$17:K$89))</f>
        <v>23151913.142857142</v>
      </c>
      <c r="P103" s="11">
        <f>VALUE(_xlfn.XLOOKUP($G103,LatestData!$A$17:$A$89,LatestData!L$17:L$89))</f>
        <v>4780254720</v>
      </c>
      <c r="Q103" s="11">
        <f>VALUE(_xlfn.XLOOKUP($G103,LatestData!$A$17:$A$89,LatestData!M$17:M$89))</f>
        <v>4.5599999999999996</v>
      </c>
      <c r="R103" s="11">
        <f>VALUE(_xlfn.XLOOKUP($G103,LatestData!$A$17:$A$89,LatestData!N$17:N$89))</f>
        <v>1.97</v>
      </c>
      <c r="S103" s="20" t="str">
        <f>_xlfn.XLOOKUP($G103,LatestData!$A$17:$A$89,LatestData!O$17:O$89)</f>
        <v>USD</v>
      </c>
      <c r="T103" s="11">
        <f>VALUE(_xlfn.XLOOKUP($G103,LatestData!$A$17:$A$89,LatestData!P$17:P$89))</f>
        <v>4.1583300000000003</v>
      </c>
      <c r="U103" s="11">
        <f>VALUE(_xlfn.XLOOKUP($G103,LatestData!$A$17:$A$89,LatestData!Q$17:Q$89))</f>
        <v>0</v>
      </c>
      <c r="V103" s="11">
        <f>VALUE(_xlfn.XLOOKUP($G103,LatestData!$A$17:$A$89,LatestData!R$17:R$89))</f>
        <v>0</v>
      </c>
      <c r="W103" s="15">
        <f>VALUE(_xlfn.XLOOKUP($G103,LatestData!$A$17:$A$89,LatestData!S$17:S$89)%)</f>
        <v>0</v>
      </c>
      <c r="X103" s="16">
        <f>VALUE(_xlfn.XLOOKUP($G103,LatestData!$A$17:$A$89,LatestData!T$17:T$89))</f>
        <v>42237</v>
      </c>
      <c r="Y103" s="16">
        <f>VALUE(_xlfn.XLOOKUP($G103,LatestData!$A$17:$A$89,LatestData!U$17:U$89))</f>
        <v>45959</v>
      </c>
      <c r="Z103" s="13">
        <f>IFERROR((Table2[[#This Row],[Open]]-Table2[[#This Row],[PreviousClose]])/Table2[[#This Row],[PreviousClose]],0)</f>
        <v>4.481128026854312E-2</v>
      </c>
      <c r="AA103" s="13">
        <f>IFERROR((Table2[[#This Row],[Price]]-Table2[[#This Row],[Open]])/Table2[[#This Row],[Open]],0)</f>
        <v>-2.0315954681308618E-2</v>
      </c>
      <c r="AB103" s="11">
        <f>Table2[[#This Row],[Price]]-Table2[[#This Row],[PreviousClose]]</f>
        <v>0.10000015258789041</v>
      </c>
    </row>
    <row r="104" spans="5:28" ht="21" customHeight="1" x14ac:dyDescent="0.25">
      <c r="E104" s="7" t="s">
        <v>141</v>
      </c>
      <c r="G104" t="str">
        <f t="shared" si="2"/>
        <v>RRC</v>
      </c>
      <c r="H104" s="11">
        <f>VALUE(_xlfn.XLOOKUP($G104,LatestData!$A$17:$A$89,LatestData!D$17:D$89))</f>
        <v>34.889999389648438</v>
      </c>
      <c r="I104" s="11">
        <f>VALUE(_xlfn.XLOOKUP($G104,LatestData!$A$17:$A$89,LatestData!E$17:E$89))</f>
        <v>34.634998321533203</v>
      </c>
      <c r="J104" s="11">
        <f>VALUE(_xlfn.XLOOKUP($G104,LatestData!$A$17:$A$89,LatestData!F$17:F$89))</f>
        <v>35.039901733398438</v>
      </c>
      <c r="K104" s="11">
        <f>VALUE(_xlfn.XLOOKUP($G104,LatestData!$A$17:$A$89,LatestData!G$17:G$89))</f>
        <v>33.569999694824219</v>
      </c>
      <c r="L104" s="11">
        <f>VALUE(_xlfn.XLOOKUP($G104,LatestData!$A$17:$A$89,LatestData!H$17:H$89))</f>
        <v>35.200000000000003</v>
      </c>
      <c r="M104" s="11">
        <f>VALUE(_xlfn.XLOOKUP($G104,LatestData!$A$17:$A$89,LatestData!I$17:I$89))</f>
        <v>2983643</v>
      </c>
      <c r="N104" s="14">
        <f>VALUE(_xlfn.XLOOKUP($G104,LatestData!$A$17:$A$89,LatestData!J$17:J$89))</f>
        <v>46028.277083333334</v>
      </c>
      <c r="O104" s="11">
        <f>VALUE(_xlfn.XLOOKUP($G104,LatestData!$A$17:$A$89,LatestData!K$17:K$89))</f>
        <v>2093220.4285714291</v>
      </c>
      <c r="P104" s="11">
        <f>VALUE(_xlfn.XLOOKUP($G104,LatestData!$A$17:$A$89,LatestData!L$17:L$89))</f>
        <v>8249747968</v>
      </c>
      <c r="Q104" s="11">
        <f>VALUE(_xlfn.XLOOKUP($G104,LatestData!$A$17:$A$89,LatestData!M$17:M$89))</f>
        <v>43.5</v>
      </c>
      <c r="R104" s="11">
        <f>VALUE(_xlfn.XLOOKUP($G104,LatestData!$A$17:$A$89,LatestData!N$17:N$89))</f>
        <v>30.32</v>
      </c>
      <c r="S104" s="20" t="str">
        <f>_xlfn.XLOOKUP($G104,LatestData!$A$17:$A$89,LatestData!O$17:O$89)</f>
        <v>USD</v>
      </c>
      <c r="T104" s="11">
        <f>VALUE(_xlfn.XLOOKUP($G104,LatestData!$A$17:$A$89,LatestData!P$17:P$89))</f>
        <v>41.791670000000003</v>
      </c>
      <c r="U104" s="11">
        <f>VALUE(_xlfn.XLOOKUP($G104,LatestData!$A$17:$A$89,LatestData!Q$17:Q$89))</f>
        <v>2.44</v>
      </c>
      <c r="V104" s="11">
        <f>VALUE(_xlfn.XLOOKUP($G104,LatestData!$A$17:$A$89,LatestData!R$17:R$89))</f>
        <v>0.36</v>
      </c>
      <c r="W104" s="15">
        <f>VALUE(_xlfn.XLOOKUP($G104,LatestData!$A$17:$A$89,LatestData!S$17:S$89)%)</f>
        <v>1.0200000000000001E-2</v>
      </c>
      <c r="X104" s="16">
        <f>VALUE(_xlfn.XLOOKUP($G104,LatestData!$A$17:$A$89,LatestData!T$17:T$89))</f>
        <v>46003</v>
      </c>
      <c r="Y104" s="16">
        <f>VALUE(_xlfn.XLOOKUP($G104,LatestData!$A$17:$A$89,LatestData!U$17:U$89))</f>
        <v>45958</v>
      </c>
      <c r="Z104" s="13">
        <f>IFERROR((Table2[[#This Row],[Open]]-Table2[[#This Row],[PreviousClose]])/Table2[[#This Row],[PreviousClose]],0)</f>
        <v>-8.8068355213512875E-3</v>
      </c>
      <c r="AA104" s="13">
        <f>IFERROR((Table2[[#This Row],[Price]]-Table2[[#This Row],[Open]])/Table2[[#This Row],[Open]],0)</f>
        <v>-7.3087151784499886E-3</v>
      </c>
      <c r="AB104" s="11">
        <f>Table2[[#This Row],[Price]]-Table2[[#This Row],[PreviousClose]]</f>
        <v>-0.56500167846679972</v>
      </c>
    </row>
    <row r="105" spans="5:28" ht="21" customHeight="1" x14ac:dyDescent="0.25">
      <c r="E105" s="6" t="s">
        <v>143</v>
      </c>
      <c r="G105" t="str">
        <f t="shared" si="2"/>
        <v>XYZ</v>
      </c>
      <c r="H105" s="11">
        <f>VALUE(_xlfn.XLOOKUP($G105,LatestData!$A$17:$A$89,LatestData!D$17:D$89))</f>
        <v>65.095001220703125</v>
      </c>
      <c r="I105" s="11">
        <f>VALUE(_xlfn.XLOOKUP($G105,LatestData!$A$17:$A$89,LatestData!E$17:E$89))</f>
        <v>68.69000244140625</v>
      </c>
      <c r="J105" s="11">
        <f>VALUE(_xlfn.XLOOKUP($G105,LatestData!$A$17:$A$89,LatestData!F$17:F$89))</f>
        <v>69.300003051757812</v>
      </c>
      <c r="K105" s="11">
        <f>VALUE(_xlfn.XLOOKUP($G105,LatestData!$A$17:$A$89,LatestData!G$17:G$89))</f>
        <v>64.900001525878906</v>
      </c>
      <c r="L105" s="11">
        <f>VALUE(_xlfn.XLOOKUP($G105,LatestData!$A$17:$A$89,LatestData!H$17:H$89))</f>
        <v>65.16</v>
      </c>
      <c r="M105" s="11">
        <f>VALUE(_xlfn.XLOOKUP($G105,LatestData!$A$17:$A$89,LatestData!I$17:I$89))</f>
        <v>5472355</v>
      </c>
      <c r="N105" s="14">
        <f>VALUE(_xlfn.XLOOKUP($G105,LatestData!$A$17:$A$89,LatestData!J$17:J$89))</f>
        <v>46028.277083333334</v>
      </c>
      <c r="O105" s="11">
        <f>VALUE(_xlfn.XLOOKUP($G105,LatestData!$A$17:$A$89,LatestData!K$17:K$89))</f>
        <v>4157093.5714285709</v>
      </c>
      <c r="P105" s="11">
        <f>VALUE(_xlfn.XLOOKUP($G105,LatestData!$A$17:$A$89,LatestData!L$17:L$89))</f>
        <v>41872326656</v>
      </c>
      <c r="Q105" s="11">
        <f>VALUE(_xlfn.XLOOKUP($G105,LatestData!$A$17:$A$89,LatestData!M$17:M$89))</f>
        <v>94.25</v>
      </c>
      <c r="R105" s="11">
        <f>VALUE(_xlfn.XLOOKUP($G105,LatestData!$A$17:$A$89,LatestData!N$17:N$89))</f>
        <v>44.27</v>
      </c>
      <c r="S105" s="20" t="str">
        <f>_xlfn.XLOOKUP($G105,LatestData!$A$17:$A$89,LatestData!O$17:O$89)</f>
        <v>USD</v>
      </c>
      <c r="T105" s="11">
        <f>VALUE(_xlfn.XLOOKUP($G105,LatestData!$A$17:$A$89,LatestData!P$17:P$89))</f>
        <v>83.873679999999993</v>
      </c>
      <c r="U105" s="11">
        <f>VALUE(_xlfn.XLOOKUP($G105,LatestData!$A$17:$A$89,LatestData!Q$17:Q$89))</f>
        <v>1.8478300000000001</v>
      </c>
      <c r="V105" s="11">
        <f>VALUE(_xlfn.XLOOKUP($G105,LatestData!$A$17:$A$89,LatestData!R$17:R$89))</f>
        <v>0</v>
      </c>
      <c r="W105" s="15">
        <f>VALUE(_xlfn.XLOOKUP($G105,LatestData!$A$17:$A$89,LatestData!S$17:S$89)%)</f>
        <v>0</v>
      </c>
      <c r="X105" s="16">
        <f>VALUE(_xlfn.XLOOKUP($G105,LatestData!$A$17:$A$89,LatestData!T$17:T$89))</f>
        <v>0</v>
      </c>
      <c r="Y105" s="16">
        <f>VALUE(_xlfn.XLOOKUP($G105,LatestData!$A$17:$A$89,LatestData!U$17:U$89))</f>
        <v>45967</v>
      </c>
      <c r="Z105" s="13">
        <f>IFERROR((Table2[[#This Row],[Open]]-Table2[[#This Row],[PreviousClose]])/Table2[[#This Row],[PreviousClose]],0)</f>
        <v>-9.9752577189796804E-4</v>
      </c>
      <c r="AA105" s="13">
        <f>IFERROR((Table2[[#This Row],[Price]]-Table2[[#This Row],[Open]])/Table2[[#This Row],[Open]],0)</f>
        <v>5.522699367520334E-2</v>
      </c>
      <c r="AB105" s="11">
        <f>Table2[[#This Row],[Price]]-Table2[[#This Row],[PreviousClose]]</f>
        <v>3.5300024414062534</v>
      </c>
    </row>
    <row r="106" spans="5:28" ht="21" customHeight="1" x14ac:dyDescent="0.25">
      <c r="E106" s="7" t="s">
        <v>145</v>
      </c>
      <c r="G106" t="str">
        <f t="shared" si="2"/>
        <v>THC</v>
      </c>
      <c r="H106" s="11">
        <f>VALUE(_xlfn.XLOOKUP($G106,LatestData!$A$17:$A$89,LatestData!D$17:D$89))</f>
        <v>198.8800048828125</v>
      </c>
      <c r="I106" s="11">
        <f>VALUE(_xlfn.XLOOKUP($G106,LatestData!$A$17:$A$89,LatestData!E$17:E$89))</f>
        <v>205.19999694824219</v>
      </c>
      <c r="J106" s="11">
        <f>VALUE(_xlfn.XLOOKUP($G106,LatestData!$A$17:$A$89,LatestData!F$17:F$89))</f>
        <v>208.28999328613281</v>
      </c>
      <c r="K106" s="11">
        <f>VALUE(_xlfn.XLOOKUP($G106,LatestData!$A$17:$A$89,LatestData!G$17:G$89))</f>
        <v>199.375</v>
      </c>
      <c r="L106" s="11">
        <f>VALUE(_xlfn.XLOOKUP($G106,LatestData!$A$17:$A$89,LatestData!H$17:H$89))</f>
        <v>199.45</v>
      </c>
      <c r="M106" s="11">
        <f>VALUE(_xlfn.XLOOKUP($G106,LatestData!$A$17:$A$89,LatestData!I$17:I$89))</f>
        <v>594350</v>
      </c>
      <c r="N106" s="14">
        <f>VALUE(_xlfn.XLOOKUP($G106,LatestData!$A$17:$A$89,LatestData!J$17:J$89))</f>
        <v>46028.277083333334</v>
      </c>
      <c r="O106" s="11">
        <f>VALUE(_xlfn.XLOOKUP($G106,LatestData!$A$17:$A$89,LatestData!K$17:K$89))</f>
        <v>626864.28571428568</v>
      </c>
      <c r="P106" s="11">
        <f>VALUE(_xlfn.XLOOKUP($G106,LatestData!$A$17:$A$89,LatestData!L$17:L$89))</f>
        <v>18129625088</v>
      </c>
      <c r="Q106" s="11">
        <f>VALUE(_xlfn.XLOOKUP($G106,LatestData!$A$17:$A$89,LatestData!M$17:M$89))</f>
        <v>222.82</v>
      </c>
      <c r="R106" s="11">
        <f>VALUE(_xlfn.XLOOKUP($G106,LatestData!$A$17:$A$89,LatestData!N$17:N$89))</f>
        <v>109.82</v>
      </c>
      <c r="S106" s="20" t="str">
        <f>_xlfn.XLOOKUP($G106,LatestData!$A$17:$A$89,LatestData!O$17:O$89)</f>
        <v>USD</v>
      </c>
      <c r="T106" s="11">
        <f>VALUE(_xlfn.XLOOKUP($G106,LatestData!$A$17:$A$89,LatestData!P$17:P$89))</f>
        <v>237.2381</v>
      </c>
      <c r="U106" s="11">
        <f>VALUE(_xlfn.XLOOKUP($G106,LatestData!$A$17:$A$89,LatestData!Q$17:Q$89))</f>
        <v>0</v>
      </c>
      <c r="V106" s="11">
        <f>VALUE(_xlfn.XLOOKUP($G106,LatestData!$A$17:$A$89,LatestData!R$17:R$89))</f>
        <v>0</v>
      </c>
      <c r="W106" s="15">
        <f>VALUE(_xlfn.XLOOKUP($G106,LatestData!$A$17:$A$89,LatestData!S$17:S$89)%)</f>
        <v>0</v>
      </c>
      <c r="X106" s="16">
        <f>VALUE(_xlfn.XLOOKUP($G106,LatestData!$A$17:$A$89,LatestData!T$17:T$89))</f>
        <v>36598</v>
      </c>
      <c r="Y106" s="16">
        <f>VALUE(_xlfn.XLOOKUP($G106,LatestData!$A$17:$A$89,LatestData!U$17:U$89))</f>
        <v>45958</v>
      </c>
      <c r="Z106" s="13">
        <f>IFERROR((Table2[[#This Row],[Open]]-Table2[[#This Row],[PreviousClose]])/Table2[[#This Row],[PreviousClose]],0)</f>
        <v>-2.8578346311731694E-3</v>
      </c>
      <c r="AA106" s="13">
        <f>IFERROR((Table2[[#This Row],[Price]]-Table2[[#This Row],[Open]])/Table2[[#This Row],[Open]],0)</f>
        <v>3.1777915880249814E-2</v>
      </c>
      <c r="AB106" s="11">
        <f>Table2[[#This Row],[Price]]-Table2[[#This Row],[PreviousClose]]</f>
        <v>5.7499969482421989</v>
      </c>
    </row>
    <row r="107" spans="5:28" ht="21" customHeight="1" x14ac:dyDescent="0.25">
      <c r="E107" s="6" t="s">
        <v>147</v>
      </c>
      <c r="G107" t="str">
        <f t="shared" si="2"/>
        <v>X</v>
      </c>
      <c r="H107" s="11">
        <f>VALUE(_xlfn.XLOOKUP($G107,LatestData!$A$17:$A$89,LatestData!D$17:D$89))</f>
        <v>0</v>
      </c>
      <c r="I107" s="11">
        <f>VALUE(_xlfn.XLOOKUP($G107,LatestData!$A$17:$A$89,LatestData!E$17:E$89))</f>
        <v>0</v>
      </c>
      <c r="J107" s="11">
        <f>VALUE(_xlfn.XLOOKUP($G107,LatestData!$A$17:$A$89,LatestData!F$17:F$89))</f>
        <v>0</v>
      </c>
      <c r="K107" s="11">
        <f>VALUE(_xlfn.XLOOKUP($G107,LatestData!$A$17:$A$89,LatestData!G$17:G$89))</f>
        <v>0</v>
      </c>
      <c r="L107" s="11">
        <f>VALUE(_xlfn.XLOOKUP($G107,LatestData!$A$17:$A$89,LatestData!H$17:H$89))</f>
        <v>0</v>
      </c>
      <c r="M107" s="11">
        <f>VALUE(_xlfn.XLOOKUP($G107,LatestData!$A$17:$A$89,LatestData!I$17:I$89))</f>
        <v>0</v>
      </c>
      <c r="N107" s="14">
        <f>VALUE(_xlfn.XLOOKUP($G107,LatestData!$A$17:$A$89,LatestData!J$17:J$89))</f>
        <v>0</v>
      </c>
      <c r="O107" s="11">
        <f>VALUE(_xlfn.XLOOKUP($G107,LatestData!$A$17:$A$89,LatestData!K$17:K$89))</f>
        <v>0</v>
      </c>
      <c r="P107" s="11">
        <f>VALUE(_xlfn.XLOOKUP($G107,LatestData!$A$17:$A$89,LatestData!L$17:L$89))</f>
        <v>0</v>
      </c>
      <c r="Q107" s="11">
        <f>VALUE(_xlfn.XLOOKUP($G107,LatestData!$A$17:$A$89,LatestData!M$17:M$89))</f>
        <v>0</v>
      </c>
      <c r="R107" s="11">
        <f>VALUE(_xlfn.XLOOKUP($G107,LatestData!$A$17:$A$89,LatestData!N$17:N$89))</f>
        <v>0</v>
      </c>
      <c r="S107" s="20">
        <f>_xlfn.XLOOKUP($G107,LatestData!$A$17:$A$89,LatestData!O$17:O$89)</f>
        <v>0</v>
      </c>
      <c r="T107" s="11">
        <f>VALUE(_xlfn.XLOOKUP($G107,LatestData!$A$17:$A$89,LatestData!P$17:P$89))</f>
        <v>0</v>
      </c>
      <c r="U107" s="11">
        <f>VALUE(_xlfn.XLOOKUP($G107,LatestData!$A$17:$A$89,LatestData!Q$17:Q$89))</f>
        <v>0</v>
      </c>
      <c r="V107" s="11">
        <f>VALUE(_xlfn.XLOOKUP($G107,LatestData!$A$17:$A$89,LatestData!R$17:R$89))</f>
        <v>0</v>
      </c>
      <c r="W107" s="15">
        <f>VALUE(_xlfn.XLOOKUP($G107,LatestData!$A$17:$A$89,LatestData!S$17:S$89)%)</f>
        <v>0</v>
      </c>
      <c r="X107" s="16">
        <f>VALUE(_xlfn.XLOOKUP($G107,LatestData!$A$17:$A$89,LatestData!T$17:T$89))</f>
        <v>0</v>
      </c>
      <c r="Y107" s="16">
        <f>VALUE(_xlfn.XLOOKUP($G107,LatestData!$A$17:$A$89,LatestData!U$17:U$89))</f>
        <v>0</v>
      </c>
      <c r="Z107" s="13">
        <f>IFERROR((Table2[[#This Row],[Open]]-Table2[[#This Row],[PreviousClose]])/Table2[[#This Row],[PreviousClose]],0)</f>
        <v>0</v>
      </c>
      <c r="AA107" s="13">
        <f>IFERROR((Table2[[#This Row],[Price]]-Table2[[#This Row],[Open]])/Table2[[#This Row],[Open]],0)</f>
        <v>0</v>
      </c>
      <c r="AB107" s="11">
        <f>Table2[[#This Row],[Price]]-Table2[[#This Row],[PreviousClose]]</f>
        <v>0</v>
      </c>
    </row>
    <row r="108" spans="5:28" ht="21" customHeight="1" x14ac:dyDescent="0.25">
      <c r="E108" s="7" t="s">
        <v>153</v>
      </c>
      <c r="F108" t="s">
        <v>45</v>
      </c>
      <c r="G108" t="str">
        <f t="shared" si="2"/>
        <v>LOCK.L</v>
      </c>
      <c r="H108" s="11">
        <f>VALUE(_xlfn.XLOOKUP($G108,LatestData!$A$17:$A$89,LatestData!D$17:D$89))</f>
        <v>10.048000335693359</v>
      </c>
      <c r="I108" s="11">
        <f>VALUE(_xlfn.XLOOKUP($G108,LatestData!$A$17:$A$89,LatestData!E$17:E$89))</f>
        <v>10.069999694824221</v>
      </c>
      <c r="J108" s="11">
        <f>VALUE(_xlfn.XLOOKUP($G108,LatestData!$A$17:$A$89,LatestData!F$17:F$89))</f>
        <v>10.14200019836426</v>
      </c>
      <c r="K108" s="11">
        <f>VALUE(_xlfn.XLOOKUP($G108,LatestData!$A$17:$A$89,LatestData!G$17:G$89))</f>
        <v>10.0019998550415</v>
      </c>
      <c r="L108" s="11">
        <f>VALUE(_xlfn.XLOOKUP($G108,LatestData!$A$17:$A$89,LatestData!H$17:H$89))</f>
        <v>10.02499961853027</v>
      </c>
      <c r="M108" s="11">
        <f>VALUE(_xlfn.XLOOKUP($G108,LatestData!$A$17:$A$89,LatestData!I$17:I$89))</f>
        <v>27582</v>
      </c>
      <c r="N108" s="14">
        <f>VALUE(_xlfn.XLOOKUP($G108,LatestData!$A$17:$A$89,LatestData!J$17:J$89))</f>
        <v>46027.458333333336</v>
      </c>
      <c r="O108" s="11">
        <f>VALUE(_xlfn.XLOOKUP($G108,LatestData!$A$17:$A$89,LatestData!K$17:K$89))</f>
        <v>30477.71428571429</v>
      </c>
      <c r="P108" s="11">
        <f>VALUE(_xlfn.XLOOKUP($G108,LatestData!$A$17:$A$89,LatestData!L$17:L$89))</f>
        <v>0</v>
      </c>
      <c r="Q108" s="11">
        <f>VALUE(_xlfn.XLOOKUP($G108,LatestData!$A$17:$A$89,LatestData!M$17:M$89))</f>
        <v>0</v>
      </c>
      <c r="R108" s="11">
        <f>VALUE(_xlfn.XLOOKUP($G108,LatestData!$A$17:$A$89,LatestData!N$17:N$89))</f>
        <v>0</v>
      </c>
      <c r="S108" s="20">
        <f>_xlfn.XLOOKUP($G108,LatestData!$A$17:$A$89,LatestData!O$17:O$89)</f>
        <v>0</v>
      </c>
      <c r="T108" s="11">
        <f>VALUE(_xlfn.XLOOKUP($G108,LatestData!$A$17:$A$89,LatestData!P$17:P$89))</f>
        <v>0</v>
      </c>
      <c r="U108" s="11">
        <f>VALUE(_xlfn.XLOOKUP($G108,LatestData!$A$17:$A$89,LatestData!Q$17:Q$89))</f>
        <v>0</v>
      </c>
      <c r="V108" s="11">
        <f>VALUE(_xlfn.XLOOKUP($G108,LatestData!$A$17:$A$89,LatestData!R$17:R$89))</f>
        <v>0</v>
      </c>
      <c r="W108" s="15">
        <f>VALUE(_xlfn.XLOOKUP($G108,LatestData!$A$17:$A$89,LatestData!S$17:S$89)%)</f>
        <v>0</v>
      </c>
      <c r="X108" s="16">
        <f>VALUE(_xlfn.XLOOKUP($G108,LatestData!$A$17:$A$89,LatestData!T$17:T$89))</f>
        <v>0</v>
      </c>
      <c r="Y108" s="16">
        <f>VALUE(_xlfn.XLOOKUP($G108,LatestData!$A$17:$A$89,LatestData!U$17:U$89))</f>
        <v>0</v>
      </c>
      <c r="Z108" s="13">
        <f>IFERROR((Table2[[#This Row],[Open]]-Table2[[#This Row],[PreviousClose]])/Table2[[#This Row],[PreviousClose]],0)</f>
        <v>2.2943359639211185E-3</v>
      </c>
      <c r="AA108" s="13">
        <f>IFERROR((Table2[[#This Row],[Price]]-Table2[[#This Row],[Open]])/Table2[[#This Row],[Open]],0)</f>
        <v>2.1894265919471718E-3</v>
      </c>
      <c r="AB108" s="11">
        <f>Table2[[#This Row],[Price]]-Table2[[#This Row],[PreviousClose]]</f>
        <v>4.5000076293950642E-2</v>
      </c>
    </row>
    <row r="109" spans="5:28" ht="21" customHeight="1" x14ac:dyDescent="0.25">
      <c r="E109" s="6" t="s">
        <v>154</v>
      </c>
      <c r="F109" t="s">
        <v>52</v>
      </c>
      <c r="G109" t="str">
        <f t="shared" si="2"/>
        <v>ASML.AS</v>
      </c>
      <c r="H109" s="11">
        <f>VALUE(_xlfn.XLOOKUP($G109,LatestData!$A$17:$A$89,LatestData!D$17:D$89))</f>
        <v>1007.400024414062</v>
      </c>
      <c r="I109" s="11">
        <f>VALUE(_xlfn.XLOOKUP($G109,LatestData!$A$17:$A$89,LatestData!E$17:E$89))</f>
        <v>1053.199951171875</v>
      </c>
      <c r="J109" s="11">
        <f>VALUE(_xlfn.XLOOKUP($G109,LatestData!$A$17:$A$89,LatestData!F$17:F$89))</f>
        <v>1055.400024414062</v>
      </c>
      <c r="K109" s="11">
        <f>VALUE(_xlfn.XLOOKUP($G109,LatestData!$A$17:$A$89,LatestData!G$17:G$89))</f>
        <v>1007.400024414062</v>
      </c>
      <c r="L109" s="11">
        <f>VALUE(_xlfn.XLOOKUP($G109,LatestData!$A$17:$A$89,LatestData!H$17:H$89))</f>
        <v>983.70001220703125</v>
      </c>
      <c r="M109" s="11">
        <f>VALUE(_xlfn.XLOOKUP($G109,LatestData!$A$17:$A$89,LatestData!I$17:I$89))</f>
        <v>958224</v>
      </c>
      <c r="N109" s="14">
        <f>VALUE(_xlfn.XLOOKUP($G109,LatestData!$A$17:$A$89,LatestData!J$17:J$89))</f>
        <v>46028.152083333334</v>
      </c>
      <c r="O109" s="11">
        <f>VALUE(_xlfn.XLOOKUP($G109,LatestData!$A$17:$A$89,LatestData!K$17:K$89))</f>
        <v>430532.57142857142</v>
      </c>
      <c r="P109" s="11">
        <f>VALUE(_xlfn.XLOOKUP($G109,LatestData!$A$17:$A$89,LatestData!L$17:L$89))</f>
        <v>408797118464</v>
      </c>
      <c r="Q109" s="11">
        <f>VALUE(_xlfn.XLOOKUP($G109,LatestData!$A$17:$A$89,LatestData!M$17:M$89))</f>
        <v>1055.4000000000001</v>
      </c>
      <c r="R109" s="11">
        <f>VALUE(_xlfn.XLOOKUP($G109,LatestData!$A$17:$A$89,LatestData!N$17:N$89))</f>
        <v>508.4</v>
      </c>
      <c r="S109" s="20" t="str">
        <f>_xlfn.XLOOKUP($G109,LatestData!$A$17:$A$89,LatestData!O$17:O$89)</f>
        <v>EUR</v>
      </c>
      <c r="T109" s="11">
        <f>VALUE(_xlfn.XLOOKUP($G109,LatestData!$A$17:$A$89,LatestData!P$17:P$89))</f>
        <v>1052.2</v>
      </c>
      <c r="U109" s="11">
        <f>VALUE(_xlfn.XLOOKUP($G109,LatestData!$A$17:$A$89,LatestData!Q$17:Q$89))</f>
        <v>1.7027000000000001</v>
      </c>
      <c r="V109" s="11">
        <f>VALUE(_xlfn.XLOOKUP($G109,LatestData!$A$17:$A$89,LatestData!R$17:R$89))</f>
        <v>6.4</v>
      </c>
      <c r="W109" s="15">
        <f>VALUE(_xlfn.XLOOKUP($G109,LatestData!$A$17:$A$89,LatestData!S$17:S$89)%)</f>
        <v>6.5000000000000006E-3</v>
      </c>
      <c r="X109" s="16">
        <f>VALUE(_xlfn.XLOOKUP($G109,LatestData!$A$17:$A$89,LatestData!T$17:T$89))</f>
        <v>45958</v>
      </c>
      <c r="Y109" s="16">
        <f>VALUE(_xlfn.XLOOKUP($G109,LatestData!$A$17:$A$89,LatestData!U$17:U$89))</f>
        <v>45945</v>
      </c>
      <c r="Z109" s="13">
        <f>IFERROR((Table2[[#This Row],[Open]]-Table2[[#This Row],[PreviousClose]])/Table2[[#This Row],[PreviousClose]],0)</f>
        <v>2.4092723302765243E-2</v>
      </c>
      <c r="AA109" s="13">
        <f>IFERROR((Table2[[#This Row],[Price]]-Table2[[#This Row],[Open]])/Table2[[#This Row],[Open]],0)</f>
        <v>4.5463495779099014E-2</v>
      </c>
      <c r="AB109" s="11">
        <f>Table2[[#This Row],[Price]]-Table2[[#This Row],[PreviousClose]]</f>
        <v>69.49993896484375</v>
      </c>
    </row>
    <row r="110" spans="5:28" ht="21" customHeight="1" x14ac:dyDescent="0.25">
      <c r="E110" s="7" t="s">
        <v>155</v>
      </c>
      <c r="F110" t="s">
        <v>68</v>
      </c>
      <c r="G110" t="str">
        <f t="shared" si="2"/>
        <v>EOAN.DE</v>
      </c>
      <c r="H110" s="11">
        <f>VALUE(_xlfn.XLOOKUP($G110,LatestData!$A$17:$A$89,LatestData!D$17:D$89))</f>
        <v>16.389999389648441</v>
      </c>
      <c r="I110" s="11">
        <f>VALUE(_xlfn.XLOOKUP($G110,LatestData!$A$17:$A$89,LatestData!E$17:E$89))</f>
        <v>16.344999313354489</v>
      </c>
      <c r="J110" s="11">
        <f>VALUE(_xlfn.XLOOKUP($G110,LatestData!$A$17:$A$89,LatestData!F$17:F$89))</f>
        <v>16.54000091552734</v>
      </c>
      <c r="K110" s="11">
        <f>VALUE(_xlfn.XLOOKUP($G110,LatestData!$A$17:$A$89,LatestData!G$17:G$89))</f>
        <v>16.155000686645511</v>
      </c>
      <c r="L110" s="11">
        <f>VALUE(_xlfn.XLOOKUP($G110,LatestData!$A$17:$A$89,LatestData!H$17:H$89))</f>
        <v>16.454999999999998</v>
      </c>
      <c r="M110" s="11">
        <f>VALUE(_xlfn.XLOOKUP($G110,LatestData!$A$17:$A$89,LatestData!I$17:I$89))</f>
        <v>3751116</v>
      </c>
      <c r="N110" s="14">
        <f>VALUE(_xlfn.XLOOKUP($G110,LatestData!$A$17:$A$89,LatestData!J$17:J$89))</f>
        <v>46028.242361111108</v>
      </c>
      <c r="O110" s="11">
        <f>VALUE(_xlfn.XLOOKUP($G110,LatestData!$A$17:$A$89,LatestData!K$17:K$89))</f>
        <v>4620387</v>
      </c>
      <c r="P110" s="11">
        <f>VALUE(_xlfn.XLOOKUP($G110,LatestData!$A$17:$A$89,LatestData!L$17:L$89))</f>
        <v>42710757376</v>
      </c>
      <c r="Q110" s="11">
        <f>VALUE(_xlfn.XLOOKUP($G110,LatestData!$A$17:$A$89,LatestData!M$17:M$89))</f>
        <v>16.55</v>
      </c>
      <c r="R110" s="11">
        <f>VALUE(_xlfn.XLOOKUP($G110,LatestData!$A$17:$A$89,LatestData!N$17:N$89))</f>
        <v>10.435</v>
      </c>
      <c r="S110" s="20" t="str">
        <f>_xlfn.XLOOKUP($G110,LatestData!$A$17:$A$89,LatestData!O$17:O$89)</f>
        <v>EUR</v>
      </c>
      <c r="T110" s="11">
        <f>VALUE(_xlfn.XLOOKUP($G110,LatestData!$A$17:$A$89,LatestData!P$17:P$89))</f>
        <v>17.016529999999999</v>
      </c>
      <c r="U110" s="11">
        <f>VALUE(_xlfn.XLOOKUP($G110,LatestData!$A$17:$A$89,LatestData!Q$17:Q$89))</f>
        <v>0</v>
      </c>
      <c r="V110" s="11">
        <f>VALUE(_xlfn.XLOOKUP($G110,LatestData!$A$17:$A$89,LatestData!R$17:R$89))</f>
        <v>0.55000000000000004</v>
      </c>
      <c r="W110" s="15">
        <f>VALUE(_xlfn.XLOOKUP($G110,LatestData!$A$17:$A$89,LatestData!S$17:S$89)%)</f>
        <v>3.3399999999999999E-2</v>
      </c>
      <c r="X110" s="16">
        <f>VALUE(_xlfn.XLOOKUP($G110,LatestData!$A$17:$A$89,LatestData!T$17:T$89))</f>
        <v>45793</v>
      </c>
      <c r="Y110" s="16">
        <f>VALUE(_xlfn.XLOOKUP($G110,LatestData!$A$17:$A$89,LatestData!U$17:U$89))</f>
        <v>45973</v>
      </c>
      <c r="Z110" s="13">
        <f>IFERROR((Table2[[#This Row],[Open]]-Table2[[#This Row],[PreviousClose]])/Table2[[#This Row],[PreviousClose]],0)</f>
        <v>-3.9502042146190974E-3</v>
      </c>
      <c r="AA110" s="13">
        <f>IFERROR((Table2[[#This Row],[Price]]-Table2[[#This Row],[Open]])/Table2[[#This Row],[Open]],0)</f>
        <v>-2.7455813282319867E-3</v>
      </c>
      <c r="AB110" s="11">
        <f>Table2[[#This Row],[Price]]-Table2[[#This Row],[PreviousClose]]</f>
        <v>-0.11000068664550966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10"/>
  <sheetViews>
    <sheetView workbookViewId="0"/>
  </sheetViews>
  <sheetFormatPr baseColWidth="10" defaultColWidth="8.83203125" defaultRowHeight="16" x14ac:dyDescent="0.2"/>
  <sheetData>
    <row r="1" spans="1:21" x14ac:dyDescent="0.2">
      <c r="A1" s="22" t="s">
        <v>0</v>
      </c>
      <c r="B1" s="22" t="s">
        <v>156</v>
      </c>
      <c r="C1" s="22" t="s">
        <v>157</v>
      </c>
      <c r="D1" s="22" t="s">
        <v>18</v>
      </c>
      <c r="E1" s="22" t="s">
        <v>158</v>
      </c>
      <c r="F1" s="22" t="s">
        <v>159</v>
      </c>
      <c r="G1" s="22" t="s">
        <v>160</v>
      </c>
      <c r="H1" s="22" t="s">
        <v>161</v>
      </c>
      <c r="I1" s="22" t="s">
        <v>23</v>
      </c>
      <c r="J1" s="22" t="s">
        <v>162</v>
      </c>
      <c r="K1" s="22" t="s">
        <v>163</v>
      </c>
      <c r="L1" s="22" t="s">
        <v>26</v>
      </c>
      <c r="M1" s="22" t="s">
        <v>164</v>
      </c>
      <c r="N1" s="22" t="s">
        <v>165</v>
      </c>
      <c r="O1" s="22" t="s">
        <v>29</v>
      </c>
      <c r="P1" s="22" t="s">
        <v>166</v>
      </c>
      <c r="Q1" s="22" t="s">
        <v>167</v>
      </c>
      <c r="R1" s="22" t="s">
        <v>168</v>
      </c>
      <c r="S1" s="22" t="s">
        <v>169</v>
      </c>
      <c r="T1" s="22" t="s">
        <v>170</v>
      </c>
      <c r="U1" s="22" t="s">
        <v>171</v>
      </c>
    </row>
    <row r="2" spans="1:21" x14ac:dyDescent="0.2">
      <c r="A2" t="s">
        <v>1</v>
      </c>
      <c r="B2" t="s">
        <v>172</v>
      </c>
      <c r="D2">
        <v>46</v>
      </c>
      <c r="E2">
        <v>46.479999542236328</v>
      </c>
      <c r="F2">
        <v>46.650001525878913</v>
      </c>
      <c r="G2">
        <v>45.909999847412109</v>
      </c>
      <c r="H2">
        <v>45.759998321533203</v>
      </c>
      <c r="I2">
        <v>5489027</v>
      </c>
      <c r="J2" t="s">
        <v>173</v>
      </c>
      <c r="K2">
        <v>3996618.8571428568</v>
      </c>
      <c r="L2">
        <v>236035276800</v>
      </c>
      <c r="M2">
        <v>46.65</v>
      </c>
      <c r="N2">
        <v>33.25</v>
      </c>
      <c r="O2" t="s">
        <v>174</v>
      </c>
      <c r="P2">
        <v>44.686750000000004</v>
      </c>
      <c r="Q2">
        <v>2.5333299999999999</v>
      </c>
      <c r="R2">
        <v>1.71</v>
      </c>
      <c r="S2">
        <v>3.68</v>
      </c>
      <c r="T2" t="s">
        <v>175</v>
      </c>
    </row>
    <row r="3" spans="1:21" x14ac:dyDescent="0.2">
      <c r="A3" t="s">
        <v>2</v>
      </c>
      <c r="B3" t="s">
        <v>172</v>
      </c>
      <c r="D3">
        <v>161.1199951171875</v>
      </c>
      <c r="E3">
        <v>160.58000183105469</v>
      </c>
      <c r="F3">
        <v>161.55000305175781</v>
      </c>
      <c r="G3">
        <v>160.30000305175781</v>
      </c>
      <c r="H3">
        <v>161.1199951171875</v>
      </c>
      <c r="I3">
        <v>949359</v>
      </c>
      <c r="J3" t="s">
        <v>176</v>
      </c>
      <c r="K3">
        <v>1007821.714285714</v>
      </c>
      <c r="L3">
        <v>268489555968</v>
      </c>
      <c r="M3">
        <v>192</v>
      </c>
      <c r="N3">
        <v>140.21</v>
      </c>
      <c r="O3" t="s">
        <v>174</v>
      </c>
      <c r="P3">
        <v>121.62309</v>
      </c>
      <c r="Q3">
        <v>4.7857099999999999</v>
      </c>
      <c r="R3">
        <v>4.8499999999999996</v>
      </c>
      <c r="S3">
        <v>3.02</v>
      </c>
      <c r="T3" t="s">
        <v>177</v>
      </c>
    </row>
    <row r="4" spans="1:21" x14ac:dyDescent="0.2">
      <c r="A4" t="s">
        <v>3</v>
      </c>
      <c r="B4" t="s">
        <v>172</v>
      </c>
      <c r="D4">
        <v>172.00999450683591</v>
      </c>
      <c r="E4">
        <v>172.46000671386719</v>
      </c>
      <c r="F4">
        <v>173.02000427246091</v>
      </c>
      <c r="G4">
        <v>171.75</v>
      </c>
      <c r="H4">
        <v>171.96000671386719</v>
      </c>
      <c r="I4">
        <v>478021</v>
      </c>
      <c r="J4" t="s">
        <v>178</v>
      </c>
      <c r="K4">
        <v>566432.42857142852</v>
      </c>
      <c r="L4">
        <v>83669213184</v>
      </c>
      <c r="M4">
        <v>290.315</v>
      </c>
      <c r="N4">
        <v>168</v>
      </c>
      <c r="O4" t="s">
        <v>174</v>
      </c>
      <c r="P4">
        <v>233.6782</v>
      </c>
      <c r="R4">
        <v>4.5199999999999996</v>
      </c>
      <c r="S4">
        <v>2.62</v>
      </c>
      <c r="T4" t="s">
        <v>179</v>
      </c>
      <c r="U4" t="s">
        <v>180</v>
      </c>
    </row>
    <row r="5" spans="1:21" x14ac:dyDescent="0.2">
      <c r="A5" t="s">
        <v>4</v>
      </c>
      <c r="B5" t="s">
        <v>172</v>
      </c>
      <c r="D5">
        <v>10.539999961853029</v>
      </c>
      <c r="E5">
        <v>10.489999771118161</v>
      </c>
      <c r="F5">
        <v>10.61999988555908</v>
      </c>
      <c r="G5">
        <v>10.409999847412109</v>
      </c>
      <c r="H5">
        <v>10.489999771118161</v>
      </c>
      <c r="I5">
        <v>2718113</v>
      </c>
      <c r="J5" t="s">
        <v>181</v>
      </c>
      <c r="K5">
        <v>2353261.4285714291</v>
      </c>
      <c r="L5">
        <v>15873459200</v>
      </c>
      <c r="M5">
        <v>12.62</v>
      </c>
      <c r="N5">
        <v>7.55</v>
      </c>
      <c r="O5" t="s">
        <v>174</v>
      </c>
      <c r="P5">
        <v>12.094670000000001</v>
      </c>
      <c r="R5">
        <v>0.33</v>
      </c>
      <c r="S5">
        <v>3.15</v>
      </c>
      <c r="T5" t="s">
        <v>182</v>
      </c>
    </row>
    <row r="6" spans="1:21" x14ac:dyDescent="0.2">
      <c r="A6" t="s">
        <v>5</v>
      </c>
      <c r="B6" t="s">
        <v>183</v>
      </c>
      <c r="C6" t="s">
        <v>184</v>
      </c>
      <c r="D6">
        <v>12.60999965667725</v>
      </c>
      <c r="E6">
        <v>12.97000026702881</v>
      </c>
      <c r="F6">
        <v>13.27000045776367</v>
      </c>
      <c r="G6">
        <v>12.569999694824221</v>
      </c>
      <c r="H6">
        <v>12.22000026702881</v>
      </c>
      <c r="I6">
        <v>6834623</v>
      </c>
      <c r="J6" t="s">
        <v>185</v>
      </c>
      <c r="K6">
        <v>3719220.7142857141</v>
      </c>
      <c r="L6">
        <v>13054339072</v>
      </c>
      <c r="M6">
        <v>21.96</v>
      </c>
      <c r="N6">
        <v>6.16</v>
      </c>
      <c r="O6" t="s">
        <v>174</v>
      </c>
      <c r="P6">
        <v>15.633330000000001</v>
      </c>
    </row>
    <row r="7" spans="1:21" x14ac:dyDescent="0.2">
      <c r="A7" t="s">
        <v>6</v>
      </c>
      <c r="B7" t="s">
        <v>172</v>
      </c>
      <c r="D7">
        <v>6.0300002098083496</v>
      </c>
      <c r="E7">
        <v>6.2300000190734863</v>
      </c>
      <c r="F7">
        <v>6.2699999809265137</v>
      </c>
      <c r="G7">
        <v>6.0100002288818359</v>
      </c>
      <c r="H7">
        <v>5.869999885559082</v>
      </c>
      <c r="I7">
        <v>2609140</v>
      </c>
      <c r="J7" t="s">
        <v>186</v>
      </c>
      <c r="K7">
        <v>1947630</v>
      </c>
      <c r="L7">
        <v>2677055232</v>
      </c>
      <c r="M7">
        <v>9.48</v>
      </c>
      <c r="N7">
        <v>3.14</v>
      </c>
      <c r="O7" t="s">
        <v>174</v>
      </c>
      <c r="P7">
        <v>7.4450000000000003</v>
      </c>
      <c r="R7">
        <v>0.04</v>
      </c>
      <c r="S7">
        <v>0.64</v>
      </c>
      <c r="T7" t="s">
        <v>187</v>
      </c>
    </row>
    <row r="8" spans="1:21" x14ac:dyDescent="0.2">
      <c r="A8" t="s">
        <v>7</v>
      </c>
      <c r="B8" t="s">
        <v>183</v>
      </c>
      <c r="C8" t="s">
        <v>184</v>
      </c>
      <c r="D8">
        <v>0.25999999046325678</v>
      </c>
      <c r="E8">
        <v>0.27500000596046448</v>
      </c>
      <c r="F8">
        <v>0.28499999642372131</v>
      </c>
      <c r="G8">
        <v>0.25999999046325678</v>
      </c>
      <c r="H8">
        <v>0.26499998569488531</v>
      </c>
      <c r="I8">
        <v>37652546</v>
      </c>
      <c r="J8" t="s">
        <v>181</v>
      </c>
      <c r="K8">
        <v>25059504.714285709</v>
      </c>
      <c r="L8">
        <v>1280585344</v>
      </c>
      <c r="M8">
        <v>0.62</v>
      </c>
      <c r="N8">
        <v>0.11</v>
      </c>
      <c r="O8" t="s">
        <v>174</v>
      </c>
      <c r="P8">
        <v>0.27</v>
      </c>
    </row>
    <row r="9" spans="1:21" x14ac:dyDescent="0.2">
      <c r="A9" t="s">
        <v>8</v>
      </c>
      <c r="B9" t="s">
        <v>183</v>
      </c>
      <c r="C9" t="s">
        <v>184</v>
      </c>
      <c r="D9">
        <v>0.72000002861022949</v>
      </c>
      <c r="E9">
        <v>0.70499998331069946</v>
      </c>
      <c r="F9">
        <v>0.73500001430511475</v>
      </c>
      <c r="G9">
        <v>0.68999999761581421</v>
      </c>
      <c r="H9">
        <v>0.70499998331069946</v>
      </c>
      <c r="I9">
        <v>998849</v>
      </c>
      <c r="J9" t="s">
        <v>188</v>
      </c>
      <c r="K9">
        <v>964496.71428571432</v>
      </c>
      <c r="L9">
        <v>188978544</v>
      </c>
      <c r="M9">
        <v>2.06</v>
      </c>
      <c r="N9">
        <v>0.32</v>
      </c>
      <c r="O9" t="s">
        <v>174</v>
      </c>
      <c r="P9">
        <v>2.2799999999999998</v>
      </c>
    </row>
    <row r="10" spans="1:21" x14ac:dyDescent="0.2">
      <c r="A10" t="s">
        <v>9</v>
      </c>
      <c r="B10" t="s">
        <v>183</v>
      </c>
      <c r="C10" t="s">
        <v>189</v>
      </c>
      <c r="D10">
        <v>0.20499999821186071</v>
      </c>
      <c r="E10">
        <v>0.21500000357627869</v>
      </c>
      <c r="F10">
        <v>0.23000000417232511</v>
      </c>
      <c r="G10">
        <v>0.20499999821186071</v>
      </c>
      <c r="H10">
        <v>0.1949999928474426</v>
      </c>
      <c r="I10">
        <v>1161644</v>
      </c>
      <c r="J10" t="s">
        <v>188</v>
      </c>
      <c r="K10">
        <v>443206.57142857142</v>
      </c>
      <c r="L10">
        <v>47790436</v>
      </c>
      <c r="M10">
        <v>0.41</v>
      </c>
      <c r="N10">
        <v>0.05</v>
      </c>
      <c r="O10" t="s">
        <v>174</v>
      </c>
    </row>
    <row r="11" spans="1:21" x14ac:dyDescent="0.2">
      <c r="A11" t="s">
        <v>10</v>
      </c>
      <c r="B11" t="s">
        <v>183</v>
      </c>
      <c r="C11" t="s">
        <v>184</v>
      </c>
      <c r="D11">
        <v>3.0999999493360519E-2</v>
      </c>
      <c r="E11">
        <v>3.2000001519918442E-2</v>
      </c>
      <c r="F11">
        <v>3.2999999821186073E-2</v>
      </c>
      <c r="G11">
        <v>3.0999999493360519E-2</v>
      </c>
      <c r="H11">
        <v>3.0999999493360519E-2</v>
      </c>
      <c r="I11">
        <v>34469696</v>
      </c>
      <c r="J11" t="s">
        <v>188</v>
      </c>
      <c r="K11">
        <v>12413326.571428571</v>
      </c>
      <c r="L11">
        <v>305552256</v>
      </c>
      <c r="M11">
        <v>8.2000000000000003E-2</v>
      </c>
      <c r="N11">
        <v>1.6E-2</v>
      </c>
      <c r="O11" t="s">
        <v>174</v>
      </c>
      <c r="P11">
        <v>0.05</v>
      </c>
    </row>
    <row r="12" spans="1:21" x14ac:dyDescent="0.2">
      <c r="A12" t="s">
        <v>9</v>
      </c>
      <c r="B12" t="s">
        <v>183</v>
      </c>
      <c r="C12" t="s">
        <v>189</v>
      </c>
      <c r="D12">
        <v>0.20499999821186071</v>
      </c>
      <c r="E12">
        <v>0.21500000357627869</v>
      </c>
      <c r="F12">
        <v>0.23000000417232511</v>
      </c>
      <c r="G12">
        <v>0.20499999821186071</v>
      </c>
      <c r="H12">
        <v>0.1949999928474426</v>
      </c>
      <c r="I12">
        <v>1161644</v>
      </c>
      <c r="J12" t="s">
        <v>188</v>
      </c>
      <c r="K12">
        <v>443206.57142857142</v>
      </c>
      <c r="L12">
        <v>47790436</v>
      </c>
      <c r="M12">
        <v>0.41</v>
      </c>
      <c r="N12">
        <v>0.05</v>
      </c>
      <c r="O12" t="s">
        <v>174</v>
      </c>
    </row>
    <row r="13" spans="1:21" x14ac:dyDescent="0.2">
      <c r="A13" t="s">
        <v>11</v>
      </c>
      <c r="B13" t="s">
        <v>183</v>
      </c>
      <c r="C13" t="s">
        <v>189</v>
      </c>
      <c r="D13">
        <v>0.41999998688697809</v>
      </c>
      <c r="E13">
        <v>0.43000000715255737</v>
      </c>
      <c r="F13">
        <v>0.43000000715255737</v>
      </c>
      <c r="G13">
        <v>0.4050000011920929</v>
      </c>
      <c r="H13">
        <v>0.41499999165534968</v>
      </c>
      <c r="I13">
        <v>4588977</v>
      </c>
      <c r="J13" t="s">
        <v>188</v>
      </c>
      <c r="K13">
        <v>5135925</v>
      </c>
      <c r="L13">
        <v>719585792</v>
      </c>
      <c r="M13">
        <v>0.4375</v>
      </c>
      <c r="N13">
        <v>7.9000000000000001E-2</v>
      </c>
      <c r="O13" t="s">
        <v>174</v>
      </c>
    </row>
    <row r="14" spans="1:21" x14ac:dyDescent="0.2">
      <c r="A14" t="s">
        <v>12</v>
      </c>
      <c r="B14" t="s">
        <v>183</v>
      </c>
      <c r="C14" t="s">
        <v>190</v>
      </c>
      <c r="D14">
        <v>1.3650000095367429</v>
      </c>
      <c r="E14">
        <v>1.360000014305115</v>
      </c>
      <c r="F14">
        <v>1.370000004768372</v>
      </c>
      <c r="G14">
        <v>1.325000047683716</v>
      </c>
      <c r="H14">
        <v>1.379999995231628</v>
      </c>
      <c r="I14">
        <v>5767751</v>
      </c>
      <c r="J14" t="s">
        <v>188</v>
      </c>
      <c r="K14">
        <v>5713223.4285714282</v>
      </c>
      <c r="L14">
        <v>1858037504</v>
      </c>
      <c r="M14">
        <v>1.425</v>
      </c>
      <c r="N14">
        <v>0.46</v>
      </c>
      <c r="O14" t="s">
        <v>174</v>
      </c>
      <c r="P14">
        <v>1.57</v>
      </c>
      <c r="U14" t="s">
        <v>191</v>
      </c>
    </row>
    <row r="15" spans="1:21" x14ac:dyDescent="0.2">
      <c r="A15" t="s">
        <v>13</v>
      </c>
      <c r="B15" t="s">
        <v>183</v>
      </c>
      <c r="C15" t="s">
        <v>189</v>
      </c>
      <c r="D15">
        <v>6.1999998986721039E-2</v>
      </c>
      <c r="E15">
        <v>6.1000000685453408E-2</v>
      </c>
      <c r="F15">
        <v>6.1999998986721039E-2</v>
      </c>
      <c r="G15">
        <v>6.1000000685453408E-2</v>
      </c>
      <c r="H15">
        <v>5.9999998658895493E-2</v>
      </c>
      <c r="I15">
        <v>320000</v>
      </c>
      <c r="J15" t="s">
        <v>192</v>
      </c>
      <c r="K15">
        <v>146952.42857142861</v>
      </c>
      <c r="L15">
        <v>4570776</v>
      </c>
      <c r="M15">
        <v>0.16</v>
      </c>
      <c r="N15">
        <v>3.5999999999999997E-2</v>
      </c>
      <c r="O15" t="s">
        <v>174</v>
      </c>
    </row>
    <row r="16" spans="1:21" x14ac:dyDescent="0.2">
      <c r="A16" t="s">
        <v>14</v>
      </c>
      <c r="B16" t="s">
        <v>183</v>
      </c>
      <c r="C16" t="s">
        <v>184</v>
      </c>
      <c r="D16">
        <v>0.51999998092651367</v>
      </c>
      <c r="E16">
        <v>0.52499997615814209</v>
      </c>
      <c r="F16">
        <v>0.54000002145767212</v>
      </c>
      <c r="G16">
        <v>0.51499998569488525</v>
      </c>
      <c r="H16">
        <v>0.51999998092651367</v>
      </c>
      <c r="I16">
        <v>474221</v>
      </c>
      <c r="J16" t="s">
        <v>188</v>
      </c>
      <c r="K16">
        <v>181977.71428571429</v>
      </c>
      <c r="L16">
        <v>116480168</v>
      </c>
      <c r="M16">
        <v>1.03</v>
      </c>
      <c r="N16">
        <v>0.25</v>
      </c>
      <c r="O16" t="s">
        <v>174</v>
      </c>
      <c r="P16">
        <v>0.435</v>
      </c>
    </row>
    <row r="17" spans="1:21" x14ac:dyDescent="0.2">
      <c r="A17" t="s">
        <v>41</v>
      </c>
      <c r="B17" t="s">
        <v>172</v>
      </c>
      <c r="D17">
        <v>270.71499633789062</v>
      </c>
      <c r="E17">
        <v>266.65509033203119</v>
      </c>
      <c r="F17">
        <v>271.5</v>
      </c>
      <c r="G17">
        <v>266.1400146484375</v>
      </c>
      <c r="H17">
        <v>270.98</v>
      </c>
      <c r="I17">
        <v>25661911</v>
      </c>
      <c r="J17" t="s">
        <v>193</v>
      </c>
      <c r="K17">
        <v>25152158.714285709</v>
      </c>
      <c r="L17">
        <v>3957265530880</v>
      </c>
      <c r="M17">
        <v>288.62</v>
      </c>
      <c r="N17">
        <v>169.21</v>
      </c>
      <c r="O17" t="s">
        <v>194</v>
      </c>
      <c r="P17">
        <v>287.70681999999999</v>
      </c>
      <c r="Q17">
        <v>2</v>
      </c>
      <c r="R17">
        <v>1.04</v>
      </c>
      <c r="S17">
        <v>0.38</v>
      </c>
      <c r="T17" t="s">
        <v>195</v>
      </c>
      <c r="U17" t="s">
        <v>196</v>
      </c>
    </row>
    <row r="18" spans="1:21" x14ac:dyDescent="0.2">
      <c r="A18" t="s">
        <v>42</v>
      </c>
      <c r="B18" t="s">
        <v>172</v>
      </c>
      <c r="D18">
        <v>17.739999771118161</v>
      </c>
      <c r="E18">
        <v>18.75</v>
      </c>
      <c r="F18">
        <v>19.010000228881839</v>
      </c>
      <c r="G18">
        <v>17.680000305175781</v>
      </c>
      <c r="H18">
        <v>17.3</v>
      </c>
      <c r="I18">
        <v>858438</v>
      </c>
      <c r="J18" t="s">
        <v>197</v>
      </c>
      <c r="K18">
        <v>839640.28571428568</v>
      </c>
      <c r="L18">
        <v>2053316096</v>
      </c>
      <c r="M18">
        <v>19.010000000000002</v>
      </c>
      <c r="N18">
        <v>10.59</v>
      </c>
      <c r="O18" t="s">
        <v>194</v>
      </c>
      <c r="P18">
        <v>22.75</v>
      </c>
      <c r="Q18">
        <v>1.5</v>
      </c>
      <c r="R18">
        <v>0.2</v>
      </c>
      <c r="S18">
        <v>1.1399999999999999</v>
      </c>
      <c r="T18" t="s">
        <v>198</v>
      </c>
      <c r="U18" t="s">
        <v>199</v>
      </c>
    </row>
    <row r="19" spans="1:21" x14ac:dyDescent="0.2">
      <c r="A19" t="s">
        <v>43</v>
      </c>
      <c r="B19" t="s">
        <v>183</v>
      </c>
      <c r="C19" t="s">
        <v>200</v>
      </c>
      <c r="D19">
        <v>43.900001525878913</v>
      </c>
      <c r="E19">
        <v>41.099998474121087</v>
      </c>
      <c r="F19">
        <v>43.900001525878913</v>
      </c>
      <c r="G19">
        <v>40.849998474121087</v>
      </c>
      <c r="H19">
        <v>42</v>
      </c>
      <c r="I19">
        <v>466830</v>
      </c>
      <c r="J19" t="s">
        <v>201</v>
      </c>
      <c r="K19">
        <v>598055.71428571432</v>
      </c>
      <c r="L19">
        <v>92950112</v>
      </c>
      <c r="M19">
        <v>56.2</v>
      </c>
      <c r="N19">
        <v>33.064999999999998</v>
      </c>
      <c r="O19" t="s">
        <v>202</v>
      </c>
      <c r="P19">
        <v>95.26</v>
      </c>
      <c r="Q19">
        <v>1</v>
      </c>
    </row>
    <row r="20" spans="1:21" x14ac:dyDescent="0.2">
      <c r="A20" t="s">
        <v>46</v>
      </c>
      <c r="B20" t="s">
        <v>183</v>
      </c>
      <c r="C20" t="s">
        <v>203</v>
      </c>
      <c r="D20">
        <v>228.86500549316409</v>
      </c>
      <c r="E20">
        <v>232.68009948730469</v>
      </c>
      <c r="F20">
        <v>234</v>
      </c>
      <c r="G20">
        <v>227.17999267578119</v>
      </c>
      <c r="H20">
        <v>226.7</v>
      </c>
      <c r="I20">
        <v>32147283</v>
      </c>
      <c r="J20" t="s">
        <v>193</v>
      </c>
      <c r="K20">
        <v>25293383.285714291</v>
      </c>
      <c r="L20">
        <v>2487506436096</v>
      </c>
      <c r="M20">
        <v>258.60000000000002</v>
      </c>
      <c r="N20">
        <v>161.38</v>
      </c>
      <c r="O20" t="s">
        <v>194</v>
      </c>
      <c r="P20">
        <v>295.59784000000002</v>
      </c>
      <c r="Q20">
        <v>1.32836</v>
      </c>
      <c r="U20" t="s">
        <v>204</v>
      </c>
    </row>
    <row r="21" spans="1:21" x14ac:dyDescent="0.2">
      <c r="A21" t="s">
        <v>47</v>
      </c>
      <c r="B21" t="s">
        <v>183</v>
      </c>
      <c r="C21" t="s">
        <v>184</v>
      </c>
      <c r="D21">
        <v>0.62999999523162842</v>
      </c>
      <c r="E21">
        <v>0.62999999523162842</v>
      </c>
      <c r="F21">
        <v>0.64800000190734863</v>
      </c>
      <c r="G21">
        <v>0.62999999523162842</v>
      </c>
      <c r="H21">
        <v>0.63200002908706665</v>
      </c>
      <c r="I21">
        <v>1222</v>
      </c>
      <c r="J21" t="s">
        <v>205</v>
      </c>
      <c r="K21">
        <v>6753.7142857142853</v>
      </c>
      <c r="L21">
        <v>8188505</v>
      </c>
      <c r="M21">
        <v>1.4850000000000001</v>
      </c>
      <c r="N21">
        <v>0.55000000000000004</v>
      </c>
      <c r="O21" t="s">
        <v>206</v>
      </c>
      <c r="P21">
        <v>1.56667</v>
      </c>
    </row>
    <row r="22" spans="1:21" x14ac:dyDescent="0.2">
      <c r="A22" t="s">
        <v>50</v>
      </c>
      <c r="B22" t="s">
        <v>172</v>
      </c>
      <c r="D22">
        <v>1007.400024414062</v>
      </c>
      <c r="E22">
        <v>1053.199951171875</v>
      </c>
      <c r="F22">
        <v>1055.400024414062</v>
      </c>
      <c r="G22">
        <v>1007.400024414062</v>
      </c>
      <c r="H22">
        <v>983.70001220703125</v>
      </c>
      <c r="I22">
        <v>958224</v>
      </c>
      <c r="J22" t="s">
        <v>207</v>
      </c>
      <c r="K22">
        <v>430532.57142857142</v>
      </c>
      <c r="L22">
        <v>408797118464</v>
      </c>
      <c r="M22">
        <v>1055.4000000000001</v>
      </c>
      <c r="N22">
        <v>508.4</v>
      </c>
      <c r="O22" t="s">
        <v>206</v>
      </c>
      <c r="P22">
        <v>1052.2</v>
      </c>
      <c r="Q22">
        <v>1.7027000000000001</v>
      </c>
      <c r="R22">
        <v>6.4</v>
      </c>
      <c r="S22">
        <v>0.65</v>
      </c>
      <c r="T22" t="s">
        <v>208</v>
      </c>
      <c r="U22" t="s">
        <v>209</v>
      </c>
    </row>
    <row r="23" spans="1:21" x14ac:dyDescent="0.2">
      <c r="A23" t="s">
        <v>53</v>
      </c>
      <c r="B23" t="s">
        <v>172</v>
      </c>
      <c r="D23">
        <v>354.739990234375</v>
      </c>
      <c r="E23">
        <v>340.91751098632812</v>
      </c>
      <c r="F23">
        <v>355.02999877929688</v>
      </c>
      <c r="G23">
        <v>336.5</v>
      </c>
      <c r="H23">
        <v>347.5992</v>
      </c>
      <c r="I23">
        <v>21222138</v>
      </c>
      <c r="J23" t="s">
        <v>193</v>
      </c>
      <c r="K23">
        <v>18136648.285714291</v>
      </c>
      <c r="L23">
        <v>1616383180800</v>
      </c>
      <c r="M23">
        <v>414.61</v>
      </c>
      <c r="N23">
        <v>138.1</v>
      </c>
      <c r="O23" t="s">
        <v>194</v>
      </c>
      <c r="P23">
        <v>457.03455000000002</v>
      </c>
      <c r="Q23">
        <v>1.2708299999999999</v>
      </c>
      <c r="R23">
        <v>2.6</v>
      </c>
      <c r="S23">
        <v>0.75</v>
      </c>
      <c r="T23" t="s">
        <v>210</v>
      </c>
      <c r="U23" t="s">
        <v>211</v>
      </c>
    </row>
    <row r="24" spans="1:21" x14ac:dyDescent="0.2">
      <c r="A24" t="s">
        <v>54</v>
      </c>
      <c r="B24" t="s">
        <v>172</v>
      </c>
      <c r="D24">
        <v>91.165000915527344</v>
      </c>
      <c r="E24">
        <v>90.949996948242188</v>
      </c>
      <c r="F24">
        <v>91.370002746582031</v>
      </c>
      <c r="G24">
        <v>89.529998779296875</v>
      </c>
      <c r="H24">
        <v>92.25</v>
      </c>
      <c r="I24">
        <v>4410309</v>
      </c>
      <c r="J24" t="s">
        <v>193</v>
      </c>
      <c r="K24">
        <v>2432415.5714285709</v>
      </c>
      <c r="L24">
        <v>281996558336</v>
      </c>
      <c r="M24">
        <v>94.02</v>
      </c>
      <c r="N24">
        <v>61.24</v>
      </c>
      <c r="O24" t="s">
        <v>194</v>
      </c>
      <c r="P24">
        <v>98.955449999999999</v>
      </c>
      <c r="Q24">
        <v>1.36364</v>
      </c>
      <c r="R24">
        <v>1.57</v>
      </c>
      <c r="S24">
        <v>1.71</v>
      </c>
      <c r="T24" t="s">
        <v>212</v>
      </c>
      <c r="U24" t="s">
        <v>180</v>
      </c>
    </row>
    <row r="25" spans="1:21" x14ac:dyDescent="0.2">
      <c r="A25" t="s">
        <v>55</v>
      </c>
      <c r="B25" t="s">
        <v>183</v>
      </c>
      <c r="C25" t="s">
        <v>190</v>
      </c>
      <c r="D25">
        <v>2.7300000190734859</v>
      </c>
      <c r="E25">
        <v>2.7699999809265141</v>
      </c>
      <c r="F25">
        <v>2.785000085830688</v>
      </c>
      <c r="G25">
        <v>2.6700000762939449</v>
      </c>
      <c r="H25">
        <v>2.68</v>
      </c>
      <c r="I25">
        <v>2552252</v>
      </c>
      <c r="J25" t="s">
        <v>197</v>
      </c>
      <c r="K25">
        <v>2380636</v>
      </c>
      <c r="L25">
        <v>833046080</v>
      </c>
      <c r="M25">
        <v>4.0999999999999996</v>
      </c>
      <c r="N25">
        <v>1</v>
      </c>
      <c r="O25" t="s">
        <v>194</v>
      </c>
      <c r="P25">
        <v>2.9874999999999998</v>
      </c>
      <c r="U25" t="s">
        <v>213</v>
      </c>
    </row>
    <row r="26" spans="1:21" x14ac:dyDescent="0.2">
      <c r="A26" t="s">
        <v>56</v>
      </c>
      <c r="B26" t="s">
        <v>183</v>
      </c>
      <c r="C26" t="s">
        <v>189</v>
      </c>
      <c r="D26">
        <v>2.5399999618530269</v>
      </c>
      <c r="E26">
        <v>2.589999914169312</v>
      </c>
      <c r="F26">
        <v>2.619899988174438</v>
      </c>
      <c r="G26">
        <v>2.3599998950958252</v>
      </c>
      <c r="H26">
        <v>2.58</v>
      </c>
      <c r="I26">
        <v>21007</v>
      </c>
      <c r="J26" t="s">
        <v>214</v>
      </c>
      <c r="K26">
        <v>50143.857142857138</v>
      </c>
      <c r="L26">
        <v>7635231</v>
      </c>
      <c r="M26">
        <v>10.16</v>
      </c>
      <c r="N26">
        <v>2.11</v>
      </c>
      <c r="O26" t="s">
        <v>194</v>
      </c>
    </row>
    <row r="27" spans="1:21" x14ac:dyDescent="0.2">
      <c r="A27" t="s">
        <v>57</v>
      </c>
      <c r="B27" t="s">
        <v>172</v>
      </c>
      <c r="D27">
        <v>119.30999755859381</v>
      </c>
      <c r="E27">
        <v>123.6699981689453</v>
      </c>
      <c r="F27">
        <v>124.0550003051758</v>
      </c>
      <c r="G27">
        <v>119.4899978637695</v>
      </c>
      <c r="H27">
        <v>118.556</v>
      </c>
      <c r="I27">
        <v>9086933</v>
      </c>
      <c r="J27" t="s">
        <v>193</v>
      </c>
      <c r="K27">
        <v>9757676.1428571437</v>
      </c>
      <c r="L27">
        <v>227663839232</v>
      </c>
      <c r="M27">
        <v>124.05500000000001</v>
      </c>
      <c r="N27">
        <v>55.51</v>
      </c>
      <c r="O27" t="s">
        <v>194</v>
      </c>
      <c r="P27">
        <v>121.28570999999999</v>
      </c>
      <c r="Q27">
        <v>1.7727299999999999</v>
      </c>
      <c r="R27">
        <v>2.4</v>
      </c>
      <c r="S27">
        <v>2.02</v>
      </c>
      <c r="T27" t="s">
        <v>199</v>
      </c>
      <c r="U27" t="s">
        <v>215</v>
      </c>
    </row>
    <row r="28" spans="1:21" x14ac:dyDescent="0.2">
      <c r="A28" t="s">
        <v>58</v>
      </c>
      <c r="B28" t="s">
        <v>172</v>
      </c>
      <c r="D28">
        <v>76.449996948242188</v>
      </c>
      <c r="E28">
        <v>75.574996948242188</v>
      </c>
      <c r="F28">
        <v>76.774803161621094</v>
      </c>
      <c r="G28">
        <v>75.205001831054688</v>
      </c>
      <c r="H28">
        <v>76.12</v>
      </c>
      <c r="I28">
        <v>9066471</v>
      </c>
      <c r="J28" t="s">
        <v>193</v>
      </c>
      <c r="K28">
        <v>12791795.85714286</v>
      </c>
      <c r="L28">
        <v>298603970560</v>
      </c>
      <c r="M28">
        <v>80.819999999999993</v>
      </c>
      <c r="N28">
        <v>52.11</v>
      </c>
      <c r="O28" t="s">
        <v>194</v>
      </c>
      <c r="P28">
        <v>85.433809999999994</v>
      </c>
      <c r="R28">
        <v>1.64</v>
      </c>
      <c r="S28">
        <v>2.16</v>
      </c>
      <c r="T28" t="s">
        <v>216</v>
      </c>
      <c r="U28" t="s">
        <v>217</v>
      </c>
    </row>
    <row r="29" spans="1:21" x14ac:dyDescent="0.2">
      <c r="A29" t="s">
        <v>59</v>
      </c>
      <c r="B29" t="s">
        <v>172</v>
      </c>
      <c r="D29">
        <v>80</v>
      </c>
      <c r="E29">
        <v>80.375</v>
      </c>
      <c r="F29">
        <v>80.81500244140625</v>
      </c>
      <c r="G29">
        <v>78.224700927734375</v>
      </c>
      <c r="H29">
        <v>80.75</v>
      </c>
      <c r="I29">
        <v>4200785</v>
      </c>
      <c r="J29" t="s">
        <v>193</v>
      </c>
      <c r="K29">
        <v>3666026.4285714291</v>
      </c>
      <c r="L29">
        <v>102030630912</v>
      </c>
      <c r="M29">
        <v>85.15</v>
      </c>
      <c r="N29">
        <v>44.92</v>
      </c>
      <c r="O29" t="s">
        <v>194</v>
      </c>
      <c r="P29">
        <v>94.6</v>
      </c>
      <c r="R29">
        <v>2.66</v>
      </c>
      <c r="S29">
        <v>3.32</v>
      </c>
      <c r="T29" t="s">
        <v>218</v>
      </c>
      <c r="U29" t="s">
        <v>217</v>
      </c>
    </row>
    <row r="30" spans="1:21" x14ac:dyDescent="0.2">
      <c r="A30" t="s">
        <v>60</v>
      </c>
      <c r="B30" t="s">
        <v>183</v>
      </c>
      <c r="C30" t="s">
        <v>190</v>
      </c>
      <c r="D30">
        <v>1.919999957084656</v>
      </c>
      <c r="E30">
        <v>1.9228999614715581</v>
      </c>
      <c r="F30">
        <v>2.0250000953674321</v>
      </c>
      <c r="G30">
        <v>1.8999999761581421</v>
      </c>
      <c r="H30">
        <v>1.85</v>
      </c>
      <c r="I30">
        <v>3740991</v>
      </c>
      <c r="J30" t="s">
        <v>193</v>
      </c>
      <c r="K30">
        <v>2487498.7142857141</v>
      </c>
      <c r="L30">
        <v>280856256</v>
      </c>
      <c r="M30">
        <v>5</v>
      </c>
      <c r="N30">
        <v>1.32</v>
      </c>
      <c r="O30" t="s">
        <v>194</v>
      </c>
      <c r="P30">
        <v>3.625</v>
      </c>
      <c r="U30" t="s">
        <v>219</v>
      </c>
    </row>
    <row r="31" spans="1:21" x14ac:dyDescent="0.2">
      <c r="A31" t="s">
        <v>61</v>
      </c>
      <c r="B31" t="s">
        <v>172</v>
      </c>
      <c r="D31">
        <v>111.4199981689453</v>
      </c>
      <c r="E31">
        <v>115.5400009155273</v>
      </c>
      <c r="F31">
        <v>116.0299987792969</v>
      </c>
      <c r="G31">
        <v>111.379997253418</v>
      </c>
      <c r="H31">
        <v>111.76</v>
      </c>
      <c r="I31">
        <v>6178536</v>
      </c>
      <c r="J31" t="s">
        <v>193</v>
      </c>
      <c r="K31">
        <v>6653619.4285714282</v>
      </c>
      <c r="L31">
        <v>207733276672</v>
      </c>
      <c r="M31">
        <v>124.69</v>
      </c>
      <c r="N31">
        <v>80.099999999999994</v>
      </c>
      <c r="O31" t="s">
        <v>194</v>
      </c>
      <c r="P31">
        <v>132.50357</v>
      </c>
      <c r="R31">
        <v>1.5</v>
      </c>
      <c r="S31">
        <v>1.34</v>
      </c>
      <c r="T31" t="s">
        <v>220</v>
      </c>
      <c r="U31" t="s">
        <v>221</v>
      </c>
    </row>
    <row r="32" spans="1:21" x14ac:dyDescent="0.2">
      <c r="A32" t="s">
        <v>62</v>
      </c>
      <c r="B32" t="s">
        <v>172</v>
      </c>
      <c r="D32">
        <v>23.45999908447266</v>
      </c>
      <c r="E32">
        <v>24.030000686645511</v>
      </c>
      <c r="F32">
        <v>24.04999923706055</v>
      </c>
      <c r="G32">
        <v>23.45000076293945</v>
      </c>
      <c r="H32">
        <v>23.420000076293949</v>
      </c>
      <c r="I32">
        <v>1860973</v>
      </c>
      <c r="J32" t="s">
        <v>222</v>
      </c>
      <c r="K32">
        <v>1276923.7142857141</v>
      </c>
      <c r="L32">
        <v>31633612800</v>
      </c>
      <c r="M32">
        <v>41.17</v>
      </c>
      <c r="N32">
        <v>22.79</v>
      </c>
      <c r="O32" t="s">
        <v>206</v>
      </c>
      <c r="P32">
        <v>31.016670000000001</v>
      </c>
      <c r="Q32">
        <v>2.36842</v>
      </c>
      <c r="R32">
        <v>0.26</v>
      </c>
      <c r="S32">
        <v>1.1100000000000001</v>
      </c>
      <c r="T32" t="s">
        <v>223</v>
      </c>
      <c r="U32" t="s">
        <v>218</v>
      </c>
    </row>
    <row r="33" spans="1:21" x14ac:dyDescent="0.2">
      <c r="A33" t="s">
        <v>64</v>
      </c>
      <c r="B33" t="s">
        <v>183</v>
      </c>
      <c r="C33" t="s">
        <v>190</v>
      </c>
      <c r="D33">
        <v>113.5299987792969</v>
      </c>
      <c r="E33">
        <v>113.59999847412109</v>
      </c>
      <c r="F33">
        <v>115.8199996948242</v>
      </c>
      <c r="G33">
        <v>113.370002746582</v>
      </c>
      <c r="H33">
        <v>114.57</v>
      </c>
      <c r="I33">
        <v>439979</v>
      </c>
      <c r="J33" t="s">
        <v>193</v>
      </c>
      <c r="K33">
        <v>520682.71428571432</v>
      </c>
      <c r="L33">
        <v>8122399744</v>
      </c>
      <c r="M33">
        <v>179.6</v>
      </c>
      <c r="N33">
        <v>112.54</v>
      </c>
      <c r="O33" t="s">
        <v>194</v>
      </c>
      <c r="P33">
        <v>143</v>
      </c>
      <c r="U33" t="s">
        <v>224</v>
      </c>
    </row>
    <row r="34" spans="1:21" x14ac:dyDescent="0.2">
      <c r="A34" t="s">
        <v>65</v>
      </c>
      <c r="B34" t="s">
        <v>183</v>
      </c>
      <c r="C34" t="s">
        <v>225</v>
      </c>
      <c r="D34">
        <v>13.989999771118161</v>
      </c>
      <c r="E34">
        <v>14.164999961853029</v>
      </c>
      <c r="F34">
        <v>14.460000038146971</v>
      </c>
      <c r="G34">
        <v>13.94999980926514</v>
      </c>
      <c r="H34">
        <v>14.17</v>
      </c>
      <c r="I34">
        <v>841740</v>
      </c>
      <c r="J34" t="s">
        <v>197</v>
      </c>
      <c r="K34">
        <v>1252605.7142857141</v>
      </c>
      <c r="L34">
        <v>2535516160</v>
      </c>
      <c r="M34">
        <v>23.75</v>
      </c>
      <c r="N34">
        <v>11.82</v>
      </c>
      <c r="O34" t="s">
        <v>194</v>
      </c>
      <c r="P34">
        <v>14.5</v>
      </c>
      <c r="T34" t="s">
        <v>226</v>
      </c>
      <c r="U34" t="s">
        <v>227</v>
      </c>
    </row>
    <row r="35" spans="1:21" x14ac:dyDescent="0.2">
      <c r="A35" t="s">
        <v>66</v>
      </c>
      <c r="B35" t="s">
        <v>172</v>
      </c>
      <c r="D35">
        <v>16.389999389648441</v>
      </c>
      <c r="E35">
        <v>16.344999313354489</v>
      </c>
      <c r="F35">
        <v>16.54000091552734</v>
      </c>
      <c r="G35">
        <v>16.155000686645511</v>
      </c>
      <c r="H35">
        <v>16.454999999999998</v>
      </c>
      <c r="I35">
        <v>3751116</v>
      </c>
      <c r="J35" t="s">
        <v>228</v>
      </c>
      <c r="K35">
        <v>4620387</v>
      </c>
      <c r="L35">
        <v>42710757376</v>
      </c>
      <c r="M35">
        <v>16.55</v>
      </c>
      <c r="N35">
        <v>10.435</v>
      </c>
      <c r="O35" t="s">
        <v>206</v>
      </c>
      <c r="P35">
        <v>17.016529999999999</v>
      </c>
      <c r="R35">
        <v>0.55000000000000004</v>
      </c>
      <c r="S35">
        <v>3.34</v>
      </c>
      <c r="T35" t="s">
        <v>229</v>
      </c>
      <c r="U35" t="s">
        <v>230</v>
      </c>
    </row>
    <row r="36" spans="1:21" x14ac:dyDescent="0.2">
      <c r="A36" t="s">
        <v>69</v>
      </c>
      <c r="B36" t="s">
        <v>231</v>
      </c>
      <c r="C36" t="s">
        <v>232</v>
      </c>
    </row>
    <row r="37" spans="1:21" x14ac:dyDescent="0.2">
      <c r="A37" t="s">
        <v>70</v>
      </c>
      <c r="B37" t="s">
        <v>172</v>
      </c>
      <c r="D37">
        <v>80.540000915527344</v>
      </c>
      <c r="E37">
        <v>83.160003662109375</v>
      </c>
      <c r="F37">
        <v>83.352897644042969</v>
      </c>
      <c r="G37">
        <v>79.970001220703125</v>
      </c>
      <c r="H37">
        <v>81.02</v>
      </c>
      <c r="I37">
        <v>5872670</v>
      </c>
      <c r="J37" t="s">
        <v>193</v>
      </c>
      <c r="K37">
        <v>4515267.1428571427</v>
      </c>
      <c r="L37">
        <v>79174795264</v>
      </c>
      <c r="M37">
        <v>83.68</v>
      </c>
      <c r="N37">
        <v>41.6</v>
      </c>
      <c r="O37" t="s">
        <v>194</v>
      </c>
      <c r="P37">
        <v>79.458330000000004</v>
      </c>
      <c r="R37">
        <v>0.6</v>
      </c>
      <c r="S37">
        <v>0.74</v>
      </c>
      <c r="T37" t="s">
        <v>233</v>
      </c>
      <c r="U37" t="s">
        <v>234</v>
      </c>
    </row>
    <row r="38" spans="1:21" x14ac:dyDescent="0.2">
      <c r="A38" t="s">
        <v>71</v>
      </c>
      <c r="B38" t="s">
        <v>172</v>
      </c>
      <c r="D38">
        <v>24.219999313354489</v>
      </c>
      <c r="E38">
        <v>24.055000305175781</v>
      </c>
      <c r="F38">
        <v>24.409999847412109</v>
      </c>
      <c r="G38">
        <v>23.729999542236332</v>
      </c>
      <c r="H38">
        <v>24.28</v>
      </c>
      <c r="I38">
        <v>11651036</v>
      </c>
      <c r="J38" t="s">
        <v>193</v>
      </c>
      <c r="K38">
        <v>10995119.428571429</v>
      </c>
      <c r="L38">
        <v>32102195200</v>
      </c>
      <c r="M38">
        <v>26.44</v>
      </c>
      <c r="N38">
        <v>11.965</v>
      </c>
      <c r="O38" t="s">
        <v>194</v>
      </c>
      <c r="P38">
        <v>26.27778</v>
      </c>
      <c r="R38">
        <v>0.56999999999999995</v>
      </c>
      <c r="S38">
        <v>2.36</v>
      </c>
      <c r="T38" t="s">
        <v>235</v>
      </c>
      <c r="U38" t="s">
        <v>236</v>
      </c>
    </row>
    <row r="39" spans="1:21" x14ac:dyDescent="0.2">
      <c r="A39" t="s">
        <v>72</v>
      </c>
      <c r="B39" t="s">
        <v>172</v>
      </c>
      <c r="D39">
        <v>22.110000610351559</v>
      </c>
      <c r="E39">
        <v>21.77499961853027</v>
      </c>
      <c r="F39">
        <v>22.295000076293949</v>
      </c>
      <c r="G39">
        <v>21.760000228881839</v>
      </c>
      <c r="H39">
        <v>22.14</v>
      </c>
      <c r="I39">
        <v>11131124</v>
      </c>
      <c r="J39" t="s">
        <v>193</v>
      </c>
      <c r="K39">
        <v>10396432</v>
      </c>
      <c r="L39">
        <v>20353132544</v>
      </c>
      <c r="M39">
        <v>35.28</v>
      </c>
      <c r="N39">
        <v>21.21</v>
      </c>
      <c r="O39" t="s">
        <v>194</v>
      </c>
      <c r="P39">
        <v>25.881250000000001</v>
      </c>
      <c r="R39">
        <v>1.2</v>
      </c>
      <c r="S39">
        <v>5.42</v>
      </c>
      <c r="T39" t="s">
        <v>237</v>
      </c>
      <c r="U39" t="s">
        <v>238</v>
      </c>
    </row>
    <row r="40" spans="1:21" x14ac:dyDescent="0.2">
      <c r="A40" t="s">
        <v>73</v>
      </c>
      <c r="B40" t="s">
        <v>172</v>
      </c>
      <c r="D40">
        <v>418.39999389648438</v>
      </c>
      <c r="E40">
        <v>425.10000610351562</v>
      </c>
      <c r="F40">
        <v>425.5</v>
      </c>
      <c r="G40">
        <v>418.39999389648438</v>
      </c>
      <c r="H40">
        <v>420</v>
      </c>
      <c r="I40">
        <v>14524448</v>
      </c>
      <c r="J40" t="s">
        <v>239</v>
      </c>
      <c r="K40">
        <v>7698892</v>
      </c>
      <c r="L40">
        <v>19410960384</v>
      </c>
      <c r="M40">
        <v>430.6</v>
      </c>
      <c r="N40">
        <v>210</v>
      </c>
      <c r="O40" t="s">
        <v>202</v>
      </c>
      <c r="P40">
        <v>471.57812000000001</v>
      </c>
      <c r="Q40">
        <v>1.8</v>
      </c>
      <c r="R40">
        <v>0.09</v>
      </c>
      <c r="S40">
        <v>2.2200000000000002</v>
      </c>
      <c r="T40" t="s">
        <v>240</v>
      </c>
      <c r="U40" t="s">
        <v>241</v>
      </c>
    </row>
    <row r="41" spans="1:21" x14ac:dyDescent="0.2">
      <c r="A41" t="s">
        <v>75</v>
      </c>
      <c r="B41" t="s">
        <v>172</v>
      </c>
      <c r="D41">
        <v>62.409999847412109</v>
      </c>
      <c r="E41">
        <v>61.869998931884773</v>
      </c>
      <c r="F41">
        <v>62.599899291992188</v>
      </c>
      <c r="G41">
        <v>60.709999084472663</v>
      </c>
      <c r="H41">
        <v>62.750100000000003</v>
      </c>
      <c r="I41">
        <v>4960816</v>
      </c>
      <c r="J41" t="s">
        <v>193</v>
      </c>
      <c r="K41">
        <v>4021545.1428571432</v>
      </c>
      <c r="L41">
        <v>40999899136</v>
      </c>
      <c r="M41">
        <v>74.900000000000006</v>
      </c>
      <c r="N41">
        <v>58.12</v>
      </c>
      <c r="O41" t="s">
        <v>194</v>
      </c>
      <c r="P41">
        <v>73.818179999999998</v>
      </c>
      <c r="Q41">
        <v>2.1666699999999999</v>
      </c>
      <c r="R41">
        <v>1.4</v>
      </c>
      <c r="S41">
        <v>2.2200000000000002</v>
      </c>
      <c r="T41" t="s">
        <v>242</v>
      </c>
      <c r="U41" t="s">
        <v>243</v>
      </c>
    </row>
    <row r="42" spans="1:21" x14ac:dyDescent="0.2">
      <c r="A42" t="s">
        <v>76</v>
      </c>
      <c r="B42" t="s">
        <v>183</v>
      </c>
      <c r="C42" t="s">
        <v>190</v>
      </c>
      <c r="D42">
        <v>11.60999965667725</v>
      </c>
      <c r="E42">
        <v>11.5</v>
      </c>
      <c r="F42">
        <v>11.722800254821779</v>
      </c>
      <c r="G42">
        <v>11.460000038146971</v>
      </c>
      <c r="H42">
        <v>11.60000038146973</v>
      </c>
      <c r="I42">
        <v>46353</v>
      </c>
      <c r="J42" t="s">
        <v>244</v>
      </c>
      <c r="K42">
        <v>29093.28571428571</v>
      </c>
      <c r="L42">
        <v>137362272</v>
      </c>
      <c r="M42">
        <v>17.309999999999999</v>
      </c>
      <c r="N42">
        <v>7.25</v>
      </c>
      <c r="O42" t="s">
        <v>194</v>
      </c>
      <c r="P42">
        <v>15</v>
      </c>
      <c r="U42" t="s">
        <v>245</v>
      </c>
    </row>
    <row r="43" spans="1:21" x14ac:dyDescent="0.2">
      <c r="A43" t="s">
        <v>77</v>
      </c>
      <c r="B43" t="s">
        <v>183</v>
      </c>
      <c r="C43" t="s">
        <v>225</v>
      </c>
      <c r="D43">
        <v>7.690000057220459</v>
      </c>
      <c r="E43">
        <v>7.5999999046325684</v>
      </c>
      <c r="F43">
        <v>7.7849998474121094</v>
      </c>
      <c r="G43">
        <v>7.3499999046325684</v>
      </c>
      <c r="H43">
        <v>7.6997</v>
      </c>
      <c r="I43">
        <v>5972647</v>
      </c>
      <c r="J43" t="s">
        <v>193</v>
      </c>
      <c r="K43">
        <v>6904306.7142857146</v>
      </c>
      <c r="L43">
        <v>7798670848</v>
      </c>
      <c r="M43">
        <v>11.95</v>
      </c>
      <c r="N43">
        <v>3.01</v>
      </c>
      <c r="O43" t="s">
        <v>194</v>
      </c>
      <c r="P43">
        <v>7.2329999999999997</v>
      </c>
      <c r="T43" t="s">
        <v>246</v>
      </c>
      <c r="U43" t="s">
        <v>227</v>
      </c>
    </row>
    <row r="44" spans="1:21" x14ac:dyDescent="0.2">
      <c r="A44" t="s">
        <v>78</v>
      </c>
      <c r="B44" t="s">
        <v>183</v>
      </c>
      <c r="C44" t="s">
        <v>203</v>
      </c>
      <c r="D44">
        <v>31.29999923706055</v>
      </c>
      <c r="E44">
        <v>31.70000076293945</v>
      </c>
      <c r="F44">
        <v>32.532901763916023</v>
      </c>
      <c r="G44">
        <v>31.270000457763668</v>
      </c>
      <c r="H44">
        <v>30.92</v>
      </c>
      <c r="I44">
        <v>6128471</v>
      </c>
      <c r="J44" t="s">
        <v>193</v>
      </c>
      <c r="K44">
        <v>6478724.4285714282</v>
      </c>
      <c r="L44">
        <v>12386256896</v>
      </c>
      <c r="M44">
        <v>48.92</v>
      </c>
      <c r="N44">
        <v>22.28</v>
      </c>
      <c r="O44" t="s">
        <v>194</v>
      </c>
      <c r="P44">
        <v>36.75</v>
      </c>
      <c r="Q44">
        <v>2.8333300000000001</v>
      </c>
      <c r="U44" t="s">
        <v>245</v>
      </c>
    </row>
    <row r="45" spans="1:21" x14ac:dyDescent="0.2">
      <c r="A45" t="s">
        <v>79</v>
      </c>
      <c r="B45" t="s">
        <v>172</v>
      </c>
      <c r="D45">
        <v>473.95001220703119</v>
      </c>
      <c r="E45">
        <v>474.07000732421881</v>
      </c>
      <c r="F45">
        <v>476.05288696289062</v>
      </c>
      <c r="G45">
        <v>469.510009765625</v>
      </c>
      <c r="H45">
        <v>472.93</v>
      </c>
      <c r="I45">
        <v>14223068</v>
      </c>
      <c r="J45" t="s">
        <v>193</v>
      </c>
      <c r="K45">
        <v>13557181.14285714</v>
      </c>
      <c r="L45">
        <v>3523841097728</v>
      </c>
      <c r="M45">
        <v>555.45000000000005</v>
      </c>
      <c r="N45">
        <v>344.79</v>
      </c>
      <c r="O45" t="s">
        <v>194</v>
      </c>
      <c r="P45">
        <v>622.51415999999995</v>
      </c>
      <c r="Q45">
        <v>1.2806999999999999</v>
      </c>
      <c r="R45">
        <v>3.64</v>
      </c>
      <c r="S45">
        <v>0.77</v>
      </c>
      <c r="T45" t="s">
        <v>247</v>
      </c>
      <c r="U45" t="s">
        <v>248</v>
      </c>
    </row>
    <row r="46" spans="1:21" x14ac:dyDescent="0.2">
      <c r="A46" t="s">
        <v>80</v>
      </c>
      <c r="B46" t="s">
        <v>172</v>
      </c>
      <c r="D46">
        <v>81.160003662109375</v>
      </c>
      <c r="E46">
        <v>80.879997253417969</v>
      </c>
      <c r="F46">
        <v>81.205001831054688</v>
      </c>
      <c r="G46">
        <v>79.25</v>
      </c>
      <c r="H46">
        <v>81.2</v>
      </c>
      <c r="I46">
        <v>4858053</v>
      </c>
      <c r="J46" t="s">
        <v>193</v>
      </c>
      <c r="K46">
        <v>5046379</v>
      </c>
      <c r="L46">
        <v>168441462784</v>
      </c>
      <c r="M46">
        <v>87.53</v>
      </c>
      <c r="N46">
        <v>61.72</v>
      </c>
      <c r="O46" t="s">
        <v>194</v>
      </c>
      <c r="P46">
        <v>90.827269999999999</v>
      </c>
      <c r="Q46">
        <v>1.9166700000000001</v>
      </c>
      <c r="R46">
        <v>2.27</v>
      </c>
      <c r="S46">
        <v>2.8</v>
      </c>
      <c r="T46" t="s">
        <v>249</v>
      </c>
      <c r="U46" t="s">
        <v>250</v>
      </c>
    </row>
    <row r="47" spans="1:21" x14ac:dyDescent="0.2">
      <c r="A47" t="s">
        <v>81</v>
      </c>
      <c r="B47" t="s">
        <v>172</v>
      </c>
      <c r="D47">
        <v>102.65000152587891</v>
      </c>
      <c r="E47">
        <v>103.90000152587891</v>
      </c>
      <c r="F47">
        <v>105.8399963378906</v>
      </c>
      <c r="G47">
        <v>102.5899963378906</v>
      </c>
      <c r="H47">
        <v>101.27</v>
      </c>
      <c r="I47">
        <v>5414322</v>
      </c>
      <c r="J47" t="s">
        <v>193</v>
      </c>
      <c r="K47">
        <v>5608974.5714285718</v>
      </c>
      <c r="L47">
        <v>114128920576</v>
      </c>
      <c r="M47">
        <v>106.34</v>
      </c>
      <c r="N47">
        <v>37.68</v>
      </c>
      <c r="O47" t="s">
        <v>194</v>
      </c>
      <c r="P47">
        <v>109.295</v>
      </c>
      <c r="Q47">
        <v>1.6666700000000001</v>
      </c>
      <c r="R47">
        <v>1</v>
      </c>
      <c r="S47">
        <v>0.99</v>
      </c>
      <c r="T47" t="s">
        <v>251</v>
      </c>
      <c r="U47" t="s">
        <v>247</v>
      </c>
    </row>
    <row r="48" spans="1:21" x14ac:dyDescent="0.2">
      <c r="A48" t="s">
        <v>82</v>
      </c>
      <c r="B48" t="s">
        <v>183</v>
      </c>
      <c r="C48" t="s">
        <v>203</v>
      </c>
      <c r="D48">
        <v>90.91400146484375</v>
      </c>
      <c r="E48">
        <v>91.699996948242188</v>
      </c>
      <c r="F48">
        <v>92.625</v>
      </c>
      <c r="G48">
        <v>90.839996337890625</v>
      </c>
      <c r="H48">
        <v>90.99</v>
      </c>
      <c r="I48">
        <v>26726934</v>
      </c>
      <c r="J48" t="s">
        <v>193</v>
      </c>
      <c r="K48">
        <v>24812019.142857142</v>
      </c>
      <c r="L48">
        <v>388562518016</v>
      </c>
      <c r="M48">
        <v>134.11500000000001</v>
      </c>
      <c r="N48">
        <v>82.11</v>
      </c>
      <c r="O48" t="s">
        <v>194</v>
      </c>
      <c r="P48">
        <v>126.19184</v>
      </c>
      <c r="Q48">
        <v>1.9534899999999999</v>
      </c>
      <c r="U48" t="s">
        <v>252</v>
      </c>
    </row>
    <row r="49" spans="1:21" x14ac:dyDescent="0.2">
      <c r="A49" t="s">
        <v>83</v>
      </c>
      <c r="B49" t="s">
        <v>183</v>
      </c>
      <c r="C49" t="s">
        <v>190</v>
      </c>
      <c r="D49">
        <v>1.639999985694885</v>
      </c>
      <c r="E49">
        <v>1.7599999904632571</v>
      </c>
      <c r="F49">
        <v>1.830000042915344</v>
      </c>
      <c r="G49">
        <v>1.5900000333786011</v>
      </c>
      <c r="H49">
        <v>1.61</v>
      </c>
      <c r="I49">
        <v>360893</v>
      </c>
      <c r="J49" t="s">
        <v>197</v>
      </c>
      <c r="K49">
        <v>300327.57142857142</v>
      </c>
      <c r="L49">
        <v>27649416</v>
      </c>
      <c r="M49">
        <v>24.36</v>
      </c>
      <c r="N49">
        <v>1.41</v>
      </c>
      <c r="O49" t="s">
        <v>194</v>
      </c>
      <c r="P49">
        <v>19.250540000000001</v>
      </c>
      <c r="U49" t="s">
        <v>245</v>
      </c>
    </row>
    <row r="50" spans="1:21" x14ac:dyDescent="0.2">
      <c r="A50" t="s">
        <v>84</v>
      </c>
      <c r="B50" t="s">
        <v>172</v>
      </c>
      <c r="D50">
        <v>52.490001678466797</v>
      </c>
      <c r="E50">
        <v>53.375</v>
      </c>
      <c r="F50">
        <v>54.360000610351562</v>
      </c>
      <c r="G50">
        <v>51.960098266601562</v>
      </c>
      <c r="H50">
        <v>51</v>
      </c>
      <c r="I50">
        <v>4482834</v>
      </c>
      <c r="J50" t="s">
        <v>193</v>
      </c>
      <c r="K50">
        <v>5404947.7142857146</v>
      </c>
      <c r="L50">
        <v>22526758912</v>
      </c>
      <c r="M50">
        <v>55.85</v>
      </c>
      <c r="N50">
        <v>20.350000000000001</v>
      </c>
      <c r="O50" t="s">
        <v>194</v>
      </c>
      <c r="P50">
        <v>51.25</v>
      </c>
      <c r="Q50">
        <v>2</v>
      </c>
      <c r="R50">
        <v>0.56000000000000005</v>
      </c>
      <c r="S50">
        <v>1.1000000000000001</v>
      </c>
      <c r="T50" t="s">
        <v>198</v>
      </c>
      <c r="U50" t="s">
        <v>253</v>
      </c>
    </row>
    <row r="51" spans="1:21" x14ac:dyDescent="0.2">
      <c r="A51" t="s">
        <v>85</v>
      </c>
      <c r="B51" t="s">
        <v>183</v>
      </c>
      <c r="C51" t="s">
        <v>190</v>
      </c>
      <c r="D51">
        <v>7.690000057220459</v>
      </c>
      <c r="E51">
        <v>7.880000114440918</v>
      </c>
      <c r="F51">
        <v>7.9499998092651367</v>
      </c>
      <c r="G51">
        <v>7.3499999046325684</v>
      </c>
      <c r="H51">
        <v>7.7899999618530273</v>
      </c>
      <c r="I51">
        <v>106404</v>
      </c>
      <c r="J51" t="s">
        <v>193</v>
      </c>
      <c r="K51">
        <v>125143.42857142859</v>
      </c>
      <c r="L51">
        <v>285988608</v>
      </c>
      <c r="M51">
        <v>7.99</v>
      </c>
      <c r="N51">
        <v>3.76</v>
      </c>
      <c r="O51" t="s">
        <v>194</v>
      </c>
      <c r="P51">
        <v>12.1</v>
      </c>
      <c r="U51" t="s">
        <v>213</v>
      </c>
    </row>
    <row r="52" spans="1:21" x14ac:dyDescent="0.2">
      <c r="A52" t="s">
        <v>86</v>
      </c>
      <c r="B52" t="s">
        <v>183</v>
      </c>
      <c r="C52" t="s">
        <v>190</v>
      </c>
      <c r="D52">
        <v>7.2800002098083496</v>
      </c>
      <c r="E52">
        <v>7.4050002098083496</v>
      </c>
      <c r="F52">
        <v>7.4749999046325684</v>
      </c>
      <c r="G52">
        <v>7.0349998474121094</v>
      </c>
      <c r="H52">
        <v>7.1608000000000001</v>
      </c>
      <c r="I52">
        <v>5150648</v>
      </c>
      <c r="J52" t="s">
        <v>254</v>
      </c>
      <c r="K52">
        <v>5332078.2857142854</v>
      </c>
      <c r="L52">
        <v>975754240</v>
      </c>
      <c r="M52">
        <v>9.41</v>
      </c>
      <c r="N52">
        <v>3.09</v>
      </c>
      <c r="O52" t="s">
        <v>194</v>
      </c>
      <c r="P52">
        <v>6.9333299999999998</v>
      </c>
      <c r="U52" t="s">
        <v>213</v>
      </c>
    </row>
    <row r="53" spans="1:21" x14ac:dyDescent="0.2">
      <c r="A53" t="s">
        <v>87</v>
      </c>
      <c r="B53" t="s">
        <v>183</v>
      </c>
      <c r="C53" t="s">
        <v>255</v>
      </c>
      <c r="D53">
        <v>0.88910001516342163</v>
      </c>
      <c r="E53">
        <v>0.90869998931884766</v>
      </c>
      <c r="F53">
        <v>0.91519999504089355</v>
      </c>
      <c r="G53">
        <v>0.86000001430511475</v>
      </c>
      <c r="H53">
        <v>0.88529999999999998</v>
      </c>
      <c r="I53">
        <v>44916</v>
      </c>
      <c r="J53" t="s">
        <v>256</v>
      </c>
      <c r="K53">
        <v>42302.285714285717</v>
      </c>
      <c r="L53">
        <v>3080185</v>
      </c>
      <c r="M53">
        <v>1.96</v>
      </c>
      <c r="N53">
        <v>0.59</v>
      </c>
      <c r="O53" t="s">
        <v>194</v>
      </c>
      <c r="T53" t="s">
        <v>257</v>
      </c>
    </row>
    <row r="54" spans="1:21" x14ac:dyDescent="0.2">
      <c r="A54" t="s">
        <v>88</v>
      </c>
      <c r="B54" t="s">
        <v>183</v>
      </c>
      <c r="C54" t="s">
        <v>203</v>
      </c>
      <c r="D54">
        <v>41.759998321533203</v>
      </c>
      <c r="E54">
        <v>40.650001525878913</v>
      </c>
      <c r="F54">
        <v>42.660301208496087</v>
      </c>
      <c r="G54">
        <v>40.509998321533203</v>
      </c>
      <c r="H54">
        <v>42.65</v>
      </c>
      <c r="I54">
        <v>194860</v>
      </c>
      <c r="J54" t="s">
        <v>197</v>
      </c>
      <c r="K54">
        <v>613594.28571428568</v>
      </c>
      <c r="L54">
        <v>737852160</v>
      </c>
      <c r="M54">
        <v>52.24</v>
      </c>
      <c r="N54">
        <v>15.5</v>
      </c>
      <c r="O54" t="s">
        <v>194</v>
      </c>
      <c r="P54">
        <v>51.2</v>
      </c>
      <c r="Q54">
        <v>1.8</v>
      </c>
      <c r="U54" t="s">
        <v>219</v>
      </c>
    </row>
    <row r="55" spans="1:21" x14ac:dyDescent="0.2">
      <c r="A55" t="s">
        <v>89</v>
      </c>
      <c r="B55" t="s">
        <v>172</v>
      </c>
      <c r="D55">
        <v>46.900001525878913</v>
      </c>
      <c r="E55">
        <v>47.240001678466797</v>
      </c>
      <c r="F55">
        <v>47.240001678466797</v>
      </c>
      <c r="G55">
        <v>46.240001678466797</v>
      </c>
      <c r="H55">
        <v>46.91</v>
      </c>
      <c r="I55">
        <v>1851472</v>
      </c>
      <c r="J55" t="s">
        <v>258</v>
      </c>
      <c r="K55">
        <v>1370729.4285714291</v>
      </c>
      <c r="L55">
        <v>34928918528</v>
      </c>
      <c r="M55">
        <v>47.24</v>
      </c>
      <c r="N55">
        <v>27.95</v>
      </c>
      <c r="O55" t="s">
        <v>206</v>
      </c>
      <c r="P55">
        <v>49.138890000000004</v>
      </c>
      <c r="R55">
        <v>1.1000000000000001</v>
      </c>
      <c r="S55">
        <v>2.34</v>
      </c>
      <c r="T55" t="s">
        <v>259</v>
      </c>
      <c r="U55" t="s">
        <v>230</v>
      </c>
    </row>
    <row r="56" spans="1:21" x14ac:dyDescent="0.2">
      <c r="A56" t="s">
        <v>91</v>
      </c>
      <c r="B56" t="s">
        <v>172</v>
      </c>
      <c r="D56">
        <v>200.19999694824219</v>
      </c>
      <c r="E56">
        <v>206.19999694824219</v>
      </c>
      <c r="F56">
        <v>206.19999694824219</v>
      </c>
      <c r="G56">
        <v>199.6000061035156</v>
      </c>
      <c r="H56">
        <v>201.95</v>
      </c>
      <c r="I56">
        <v>1313735</v>
      </c>
      <c r="J56" t="s">
        <v>260</v>
      </c>
      <c r="K56">
        <v>1415537.857142857</v>
      </c>
      <c r="L56">
        <v>240141402112</v>
      </c>
      <c r="M56">
        <v>283.5</v>
      </c>
      <c r="N56">
        <v>199.6</v>
      </c>
      <c r="O56" t="s">
        <v>206</v>
      </c>
      <c r="P56">
        <v>283.20499999999998</v>
      </c>
      <c r="Q56">
        <v>1.6296299999999999</v>
      </c>
      <c r="R56">
        <v>2.35</v>
      </c>
      <c r="S56">
        <v>1.1599999999999999</v>
      </c>
      <c r="T56" t="s">
        <v>261</v>
      </c>
      <c r="U56" t="s">
        <v>262</v>
      </c>
    </row>
    <row r="57" spans="1:21" x14ac:dyDescent="0.2">
      <c r="A57" t="s">
        <v>93</v>
      </c>
      <c r="B57" t="s">
        <v>172</v>
      </c>
      <c r="D57">
        <v>16.010000228881839</v>
      </c>
      <c r="E57">
        <v>15.930000305175779</v>
      </c>
      <c r="F57">
        <v>16.010000228881839</v>
      </c>
      <c r="G57">
        <v>15.75</v>
      </c>
      <c r="H57">
        <v>15.689999580383301</v>
      </c>
      <c r="I57">
        <v>28567</v>
      </c>
      <c r="J57" t="s">
        <v>263</v>
      </c>
      <c r="K57">
        <v>359223.85714285722</v>
      </c>
      <c r="L57">
        <v>59692425216</v>
      </c>
      <c r="M57">
        <v>17.93</v>
      </c>
      <c r="N57">
        <v>11.88</v>
      </c>
      <c r="O57" t="s">
        <v>194</v>
      </c>
      <c r="R57">
        <v>0.35</v>
      </c>
      <c r="S57">
        <v>2.2599999999999998</v>
      </c>
      <c r="T57" t="s">
        <v>264</v>
      </c>
      <c r="U57" t="s">
        <v>234</v>
      </c>
    </row>
    <row r="58" spans="1:21" x14ac:dyDescent="0.2">
      <c r="A58" t="s">
        <v>94</v>
      </c>
      <c r="B58" t="s">
        <v>183</v>
      </c>
      <c r="C58" t="s">
        <v>190</v>
      </c>
      <c r="D58">
        <v>9.119999885559082</v>
      </c>
      <c r="E58">
        <v>9.8050003051757812</v>
      </c>
      <c r="F58">
        <v>9.8400001525878906</v>
      </c>
      <c r="G58">
        <v>9.119999885559082</v>
      </c>
      <c r="H58">
        <v>9.15</v>
      </c>
      <c r="I58">
        <v>694076</v>
      </c>
      <c r="J58" t="s">
        <v>193</v>
      </c>
      <c r="K58">
        <v>575853.71428571432</v>
      </c>
      <c r="L58">
        <v>837700032</v>
      </c>
      <c r="M58">
        <v>12.88</v>
      </c>
      <c r="N58">
        <v>8.1199999999999992</v>
      </c>
      <c r="O58" t="s">
        <v>194</v>
      </c>
      <c r="P58">
        <v>13.16667</v>
      </c>
      <c r="U58" t="s">
        <v>213</v>
      </c>
    </row>
    <row r="59" spans="1:21" x14ac:dyDescent="0.2">
      <c r="A59" t="s">
        <v>95</v>
      </c>
      <c r="B59" t="s">
        <v>183</v>
      </c>
      <c r="C59" t="s">
        <v>203</v>
      </c>
      <c r="D59">
        <v>447.72000122070312</v>
      </c>
      <c r="E59">
        <v>455.23989868164062</v>
      </c>
      <c r="F59">
        <v>457.54989624023438</v>
      </c>
      <c r="G59">
        <v>444.57000732421881</v>
      </c>
      <c r="H59">
        <v>440.75940000000003</v>
      </c>
      <c r="I59">
        <v>48768598</v>
      </c>
      <c r="J59" t="s">
        <v>254</v>
      </c>
      <c r="K59">
        <v>58382456.857142858</v>
      </c>
      <c r="L59">
        <v>1514012672000</v>
      </c>
      <c r="M59">
        <v>498.83</v>
      </c>
      <c r="N59">
        <v>214.25</v>
      </c>
      <c r="O59" t="s">
        <v>194</v>
      </c>
      <c r="P59">
        <v>401.74462999999997</v>
      </c>
      <c r="Q59">
        <v>2.63043</v>
      </c>
      <c r="U59" t="s">
        <v>248</v>
      </c>
    </row>
    <row r="60" spans="1:21" x14ac:dyDescent="0.2">
      <c r="A60" t="s">
        <v>96</v>
      </c>
      <c r="B60" t="s">
        <v>172</v>
      </c>
      <c r="D60">
        <v>330.39999389648438</v>
      </c>
      <c r="E60">
        <v>325.08999633789062</v>
      </c>
      <c r="F60">
        <v>331.25</v>
      </c>
      <c r="G60">
        <v>323.22000122070312</v>
      </c>
      <c r="H60">
        <v>320.3</v>
      </c>
      <c r="I60">
        <v>18499300</v>
      </c>
      <c r="J60" t="s">
        <v>254</v>
      </c>
      <c r="K60">
        <v>7824983.333333333</v>
      </c>
      <c r="L60">
        <v>1685977169920</v>
      </c>
      <c r="M60">
        <v>331.25</v>
      </c>
      <c r="N60">
        <v>134.25</v>
      </c>
      <c r="O60" t="s">
        <v>194</v>
      </c>
      <c r="P60">
        <v>356.04</v>
      </c>
      <c r="Q60">
        <v>1.5294099999999999</v>
      </c>
      <c r="R60">
        <v>3.37</v>
      </c>
      <c r="S60">
        <v>1.05</v>
      </c>
      <c r="T60" t="s">
        <v>265</v>
      </c>
      <c r="U60" t="s">
        <v>266</v>
      </c>
    </row>
    <row r="61" spans="1:21" x14ac:dyDescent="0.2">
      <c r="A61" t="s">
        <v>97</v>
      </c>
      <c r="B61" t="s">
        <v>183</v>
      </c>
      <c r="C61" t="s">
        <v>225</v>
      </c>
      <c r="D61">
        <v>33.349998474121087</v>
      </c>
      <c r="E61">
        <v>33.650001525878913</v>
      </c>
      <c r="F61">
        <v>33.799999237060547</v>
      </c>
      <c r="G61">
        <v>33.049999237060547</v>
      </c>
      <c r="H61">
        <v>33.35</v>
      </c>
      <c r="I61">
        <v>1767</v>
      </c>
      <c r="J61" t="s">
        <v>201</v>
      </c>
      <c r="K61">
        <v>5538</v>
      </c>
      <c r="L61">
        <v>14014395392</v>
      </c>
      <c r="M61">
        <v>47.3</v>
      </c>
      <c r="N61">
        <v>27.3</v>
      </c>
      <c r="O61" t="s">
        <v>206</v>
      </c>
      <c r="P61">
        <v>30.5</v>
      </c>
      <c r="T61" t="s">
        <v>267</v>
      </c>
      <c r="U61" t="s">
        <v>245</v>
      </c>
    </row>
    <row r="62" spans="1:21" x14ac:dyDescent="0.2">
      <c r="A62" t="s">
        <v>99</v>
      </c>
      <c r="B62" t="s">
        <v>172</v>
      </c>
      <c r="D62">
        <v>6.809999942779541</v>
      </c>
      <c r="E62">
        <v>7.1700000762939453</v>
      </c>
      <c r="F62">
        <v>7.179999828338623</v>
      </c>
      <c r="G62">
        <v>6.6100001335144043</v>
      </c>
      <c r="H62">
        <v>6.82</v>
      </c>
      <c r="I62">
        <v>1156410</v>
      </c>
      <c r="J62" t="s">
        <v>254</v>
      </c>
      <c r="K62">
        <v>1635387.142857143</v>
      </c>
      <c r="L62">
        <v>1713890432</v>
      </c>
      <c r="M62">
        <v>10.249169</v>
      </c>
      <c r="N62">
        <v>5.3</v>
      </c>
      <c r="O62" t="s">
        <v>194</v>
      </c>
      <c r="P62">
        <v>7.25556</v>
      </c>
      <c r="Q62">
        <v>2.7777799999999999</v>
      </c>
      <c r="T62" t="s">
        <v>268</v>
      </c>
      <c r="U62" t="s">
        <v>219</v>
      </c>
    </row>
    <row r="63" spans="1:21" x14ac:dyDescent="0.2">
      <c r="A63" t="s">
        <v>100</v>
      </c>
      <c r="B63" t="s">
        <v>172</v>
      </c>
      <c r="D63">
        <v>32.669998168945312</v>
      </c>
      <c r="E63">
        <v>32.669998168945312</v>
      </c>
      <c r="F63">
        <v>32.700000762939453</v>
      </c>
      <c r="G63">
        <v>32.650001525878913</v>
      </c>
      <c r="H63">
        <v>32.330001831054688</v>
      </c>
      <c r="I63">
        <v>1275</v>
      </c>
      <c r="J63" t="s">
        <v>269</v>
      </c>
      <c r="K63">
        <v>46539.285714285717</v>
      </c>
      <c r="L63">
        <v>66432872448</v>
      </c>
      <c r="M63">
        <v>33.33</v>
      </c>
      <c r="N63">
        <v>22.55</v>
      </c>
      <c r="O63" t="s">
        <v>194</v>
      </c>
      <c r="P63">
        <v>35</v>
      </c>
      <c r="R63">
        <v>0.8</v>
      </c>
      <c r="S63">
        <v>2.4700000000000002</v>
      </c>
      <c r="T63" t="s">
        <v>270</v>
      </c>
      <c r="U63" t="s">
        <v>248</v>
      </c>
    </row>
    <row r="64" spans="1:21" x14ac:dyDescent="0.2">
      <c r="A64" t="s">
        <v>101</v>
      </c>
      <c r="B64" t="s">
        <v>172</v>
      </c>
      <c r="D64">
        <v>65.099998474121094</v>
      </c>
      <c r="E64">
        <v>66</v>
      </c>
      <c r="F64">
        <v>66</v>
      </c>
      <c r="G64">
        <v>64.699996948242188</v>
      </c>
      <c r="H64">
        <v>64.300003051757812</v>
      </c>
      <c r="I64">
        <v>85951</v>
      </c>
      <c r="J64" t="s">
        <v>271</v>
      </c>
      <c r="K64">
        <v>52320</v>
      </c>
      <c r="L64">
        <v>3716786688</v>
      </c>
      <c r="M64">
        <v>69.5</v>
      </c>
      <c r="N64">
        <v>51.1</v>
      </c>
      <c r="O64" t="s">
        <v>272</v>
      </c>
      <c r="P64">
        <v>64</v>
      </c>
      <c r="R64">
        <v>3</v>
      </c>
      <c r="S64">
        <v>4.67</v>
      </c>
      <c r="T64" t="s">
        <v>270</v>
      </c>
    </row>
    <row r="65" spans="1:21" x14ac:dyDescent="0.2">
      <c r="A65" t="s">
        <v>104</v>
      </c>
      <c r="B65" t="s">
        <v>172</v>
      </c>
      <c r="D65">
        <v>12.420000076293951</v>
      </c>
      <c r="E65">
        <v>12.375</v>
      </c>
      <c r="F65">
        <v>12.430000305175779</v>
      </c>
      <c r="G65">
        <v>12.189999580383301</v>
      </c>
      <c r="H65">
        <v>12.4117</v>
      </c>
      <c r="I65">
        <v>5662781</v>
      </c>
      <c r="J65" t="s">
        <v>193</v>
      </c>
      <c r="K65">
        <v>5767068.7142857146</v>
      </c>
      <c r="L65">
        <v>14286531584</v>
      </c>
      <c r="M65">
        <v>12.62</v>
      </c>
      <c r="N65">
        <v>6.85</v>
      </c>
      <c r="O65" t="s">
        <v>194</v>
      </c>
      <c r="P65">
        <v>12.55556</v>
      </c>
      <c r="R65">
        <v>0.48</v>
      </c>
      <c r="S65">
        <v>3.85</v>
      </c>
      <c r="T65" t="s">
        <v>198</v>
      </c>
      <c r="U65" t="s">
        <v>245</v>
      </c>
    </row>
    <row r="66" spans="1:21" x14ac:dyDescent="0.2">
      <c r="A66" t="s">
        <v>105</v>
      </c>
      <c r="B66" t="s">
        <v>231</v>
      </c>
      <c r="C66" t="s">
        <v>232</v>
      </c>
    </row>
    <row r="67" spans="1:21" x14ac:dyDescent="0.2">
      <c r="A67" t="s">
        <v>106</v>
      </c>
      <c r="B67" t="s">
        <v>172</v>
      </c>
      <c r="D67">
        <v>125.2099990844727</v>
      </c>
      <c r="E67">
        <v>125.629997253418</v>
      </c>
      <c r="F67">
        <v>125.9300003051758</v>
      </c>
      <c r="G67">
        <v>122.40000152587891</v>
      </c>
      <c r="H67">
        <v>122.63</v>
      </c>
      <c r="I67">
        <v>20230089</v>
      </c>
      <c r="J67" t="s">
        <v>254</v>
      </c>
      <c r="K67">
        <v>12157041.285714289</v>
      </c>
      <c r="L67">
        <v>535591714816</v>
      </c>
      <c r="M67">
        <v>125.93</v>
      </c>
      <c r="N67">
        <v>97.8</v>
      </c>
      <c r="O67" t="s">
        <v>194</v>
      </c>
      <c r="P67">
        <v>131.32</v>
      </c>
      <c r="Q67">
        <v>2.2222200000000001</v>
      </c>
      <c r="R67">
        <v>4.12</v>
      </c>
      <c r="S67">
        <v>3.36</v>
      </c>
      <c r="T67" t="s">
        <v>242</v>
      </c>
      <c r="U67" t="s">
        <v>273</v>
      </c>
    </row>
    <row r="68" spans="1:21" x14ac:dyDescent="0.2">
      <c r="A68" t="s">
        <v>107</v>
      </c>
      <c r="B68" t="s">
        <v>183</v>
      </c>
      <c r="C68" t="s">
        <v>190</v>
      </c>
      <c r="D68">
        <v>5.7800002098083496</v>
      </c>
      <c r="E68">
        <v>6.1750001907348633</v>
      </c>
      <c r="F68">
        <v>6.2399997711181641</v>
      </c>
      <c r="G68">
        <v>5.7800002098083496</v>
      </c>
      <c r="H68">
        <v>5.77</v>
      </c>
      <c r="I68">
        <v>440804</v>
      </c>
      <c r="J68" t="s">
        <v>193</v>
      </c>
      <c r="K68">
        <v>328986.28571428568</v>
      </c>
      <c r="L68">
        <v>286120992</v>
      </c>
      <c r="M68">
        <v>10.62</v>
      </c>
      <c r="N68">
        <v>5.4</v>
      </c>
      <c r="O68" t="s">
        <v>194</v>
      </c>
      <c r="P68">
        <v>11.4</v>
      </c>
      <c r="U68" t="s">
        <v>274</v>
      </c>
    </row>
    <row r="69" spans="1:21" x14ac:dyDescent="0.2">
      <c r="A69" t="s">
        <v>108</v>
      </c>
      <c r="B69" t="s">
        <v>183</v>
      </c>
      <c r="C69" t="s">
        <v>190</v>
      </c>
      <c r="D69">
        <v>0.75999999046325684</v>
      </c>
      <c r="E69">
        <v>0.73519998788833618</v>
      </c>
      <c r="F69">
        <v>0.76440000534057617</v>
      </c>
      <c r="G69">
        <v>0.72000002861022949</v>
      </c>
      <c r="H69">
        <v>0.74</v>
      </c>
      <c r="I69">
        <v>2771336</v>
      </c>
      <c r="J69" t="s">
        <v>254</v>
      </c>
      <c r="K69">
        <v>4050776.5714285709</v>
      </c>
      <c r="L69">
        <v>103849008</v>
      </c>
      <c r="M69">
        <v>2.65</v>
      </c>
      <c r="N69">
        <v>0.63</v>
      </c>
      <c r="O69" t="s">
        <v>194</v>
      </c>
      <c r="P69">
        <v>2.4</v>
      </c>
      <c r="U69" t="s">
        <v>245</v>
      </c>
    </row>
    <row r="70" spans="1:21" x14ac:dyDescent="0.2">
      <c r="A70" t="s">
        <v>110</v>
      </c>
      <c r="B70" t="s">
        <v>172</v>
      </c>
      <c r="D70">
        <v>16.510000228881839</v>
      </c>
      <c r="E70">
        <v>16.60000038146973</v>
      </c>
      <c r="F70">
        <v>16.75</v>
      </c>
      <c r="G70">
        <v>16.256000518798832</v>
      </c>
      <c r="H70">
        <v>16.413999557495121</v>
      </c>
      <c r="I70">
        <v>15694062</v>
      </c>
      <c r="J70" t="s">
        <v>222</v>
      </c>
      <c r="K70">
        <v>10579705.571428571</v>
      </c>
      <c r="L70">
        <v>49243525120</v>
      </c>
      <c r="M70">
        <v>16.75</v>
      </c>
      <c r="N70">
        <v>11.01</v>
      </c>
      <c r="O70" t="s">
        <v>206</v>
      </c>
      <c r="P70">
        <v>16.536359999999998</v>
      </c>
      <c r="Q70">
        <v>2.5</v>
      </c>
      <c r="R70">
        <v>1.04</v>
      </c>
      <c r="S70">
        <v>6.36</v>
      </c>
      <c r="T70" t="s">
        <v>198</v>
      </c>
      <c r="U70" t="s">
        <v>275</v>
      </c>
    </row>
    <row r="71" spans="1:21" x14ac:dyDescent="0.2">
      <c r="A71" t="s">
        <v>112</v>
      </c>
      <c r="B71" t="s">
        <v>172</v>
      </c>
      <c r="D71">
        <v>516.5999755859375</v>
      </c>
      <c r="E71">
        <v>515</v>
      </c>
      <c r="F71">
        <v>517.5999755859375</v>
      </c>
      <c r="G71">
        <v>502.20001220703119</v>
      </c>
      <c r="H71">
        <v>513.79999999999995</v>
      </c>
      <c r="I71">
        <v>2575176</v>
      </c>
      <c r="J71" t="s">
        <v>256</v>
      </c>
      <c r="K71">
        <v>1645390.4285714291</v>
      </c>
      <c r="L71">
        <v>3866563584</v>
      </c>
      <c r="M71">
        <v>590.6</v>
      </c>
      <c r="N71">
        <v>401.05</v>
      </c>
      <c r="O71" t="s">
        <v>202</v>
      </c>
      <c r="P71">
        <v>607.63199999999995</v>
      </c>
      <c r="R71">
        <v>0.13</v>
      </c>
      <c r="S71">
        <v>2.57</v>
      </c>
      <c r="T71" t="s">
        <v>247</v>
      </c>
      <c r="U71" t="s">
        <v>238</v>
      </c>
    </row>
    <row r="72" spans="1:21" x14ac:dyDescent="0.2">
      <c r="A72" t="s">
        <v>114</v>
      </c>
      <c r="B72" t="s">
        <v>172</v>
      </c>
      <c r="D72">
        <v>13.25</v>
      </c>
      <c r="E72">
        <v>13.44999980926514</v>
      </c>
      <c r="F72">
        <v>13.47999954223633</v>
      </c>
      <c r="G72">
        <v>13.200099945068359</v>
      </c>
      <c r="H72">
        <v>13.32</v>
      </c>
      <c r="I72">
        <v>32754112</v>
      </c>
      <c r="J72" t="s">
        <v>254</v>
      </c>
      <c r="K72">
        <v>27069358.857142858</v>
      </c>
      <c r="L72">
        <v>53591506944</v>
      </c>
      <c r="M72">
        <v>13.99</v>
      </c>
      <c r="N72">
        <v>8.44</v>
      </c>
      <c r="O72" t="s">
        <v>194</v>
      </c>
      <c r="P72">
        <v>12.998419999999999</v>
      </c>
      <c r="Q72">
        <v>2.90476</v>
      </c>
      <c r="R72">
        <v>0.6</v>
      </c>
      <c r="S72">
        <v>4.5</v>
      </c>
      <c r="T72" t="s">
        <v>241</v>
      </c>
      <c r="U72" t="s">
        <v>180</v>
      </c>
    </row>
    <row r="73" spans="1:21" x14ac:dyDescent="0.2">
      <c r="A73" t="s">
        <v>116</v>
      </c>
      <c r="B73" t="s">
        <v>172</v>
      </c>
      <c r="D73">
        <v>70.099998474121094</v>
      </c>
      <c r="E73">
        <v>70.319999694824219</v>
      </c>
      <c r="F73">
        <v>70.739997863769531</v>
      </c>
      <c r="G73">
        <v>69.379997253417969</v>
      </c>
      <c r="H73">
        <v>69.94000244140625</v>
      </c>
      <c r="I73">
        <v>1885241</v>
      </c>
      <c r="J73" t="s">
        <v>201</v>
      </c>
      <c r="K73">
        <v>1180373.142857143</v>
      </c>
      <c r="L73">
        <v>53195681792</v>
      </c>
      <c r="M73">
        <v>70.739999999999995</v>
      </c>
      <c r="N73">
        <v>26.625</v>
      </c>
      <c r="O73" t="s">
        <v>206</v>
      </c>
      <c r="P73">
        <v>68.422219999999996</v>
      </c>
      <c r="R73">
        <v>1.7</v>
      </c>
      <c r="S73">
        <v>2.4300000000000002</v>
      </c>
      <c r="T73" t="s">
        <v>276</v>
      </c>
      <c r="U73" t="s">
        <v>227</v>
      </c>
    </row>
    <row r="74" spans="1:21" x14ac:dyDescent="0.2">
      <c r="A74" t="s">
        <v>119</v>
      </c>
      <c r="B74" t="s">
        <v>183</v>
      </c>
      <c r="C74" t="s">
        <v>225</v>
      </c>
      <c r="D74">
        <v>143</v>
      </c>
      <c r="E74">
        <v>148.43499755859381</v>
      </c>
      <c r="F74">
        <v>148.55000305175781</v>
      </c>
      <c r="G74">
        <v>142.25999450683591</v>
      </c>
      <c r="H74">
        <v>142.11000000000001</v>
      </c>
      <c r="I74">
        <v>510711</v>
      </c>
      <c r="J74" t="s">
        <v>193</v>
      </c>
      <c r="K74">
        <v>572630.14285714284</v>
      </c>
      <c r="L74">
        <v>8710768640</v>
      </c>
      <c r="M74">
        <v>203.25</v>
      </c>
      <c r="N74">
        <v>99.5</v>
      </c>
      <c r="O74" t="s">
        <v>194</v>
      </c>
      <c r="P74">
        <v>206.52940000000001</v>
      </c>
      <c r="T74" t="s">
        <v>277</v>
      </c>
      <c r="U74" t="s">
        <v>224</v>
      </c>
    </row>
    <row r="75" spans="1:21" x14ac:dyDescent="0.2">
      <c r="A75" t="s">
        <v>121</v>
      </c>
      <c r="B75" t="s">
        <v>172</v>
      </c>
      <c r="D75">
        <v>914.4000244140625</v>
      </c>
      <c r="E75">
        <v>955.219970703125</v>
      </c>
      <c r="F75">
        <v>961.65997314453125</v>
      </c>
      <c r="G75">
        <v>914.4000244140625</v>
      </c>
      <c r="H75">
        <v>914.3</v>
      </c>
      <c r="I75">
        <v>2585775</v>
      </c>
      <c r="J75" t="s">
        <v>254</v>
      </c>
      <c r="K75">
        <v>1685982.142857143</v>
      </c>
      <c r="L75">
        <v>289165213696</v>
      </c>
      <c r="M75">
        <v>961.66</v>
      </c>
      <c r="N75">
        <v>439.38</v>
      </c>
      <c r="O75" t="s">
        <v>194</v>
      </c>
      <c r="P75">
        <v>829.94740000000002</v>
      </c>
      <c r="Q75">
        <v>2.52</v>
      </c>
      <c r="R75">
        <v>16</v>
      </c>
      <c r="S75">
        <v>1.75</v>
      </c>
      <c r="T75" t="s">
        <v>278</v>
      </c>
      <c r="U75" t="s">
        <v>266</v>
      </c>
    </row>
    <row r="76" spans="1:21" x14ac:dyDescent="0.2">
      <c r="A76" t="s">
        <v>123</v>
      </c>
      <c r="B76" t="s">
        <v>183</v>
      </c>
      <c r="C76" t="s">
        <v>203</v>
      </c>
      <c r="D76">
        <v>7.6499998569488525E-2</v>
      </c>
      <c r="E76">
        <v>7.590000331401825E-2</v>
      </c>
      <c r="F76">
        <v>7.9999998211860657E-2</v>
      </c>
      <c r="G76">
        <v>7.0000000298023224E-2</v>
      </c>
      <c r="H76">
        <v>8.4700003266334534E-2</v>
      </c>
      <c r="I76">
        <v>645221</v>
      </c>
      <c r="J76" t="s">
        <v>279</v>
      </c>
      <c r="K76">
        <v>6309145.8571428573</v>
      </c>
      <c r="L76">
        <v>5909504</v>
      </c>
      <c r="M76">
        <v>10.4</v>
      </c>
      <c r="N76">
        <v>6.8000000000000005E-2</v>
      </c>
      <c r="O76" t="s">
        <v>194</v>
      </c>
      <c r="P76">
        <v>2.1071399999999998</v>
      </c>
      <c r="Q76">
        <v>3</v>
      </c>
      <c r="U76" t="s">
        <v>211</v>
      </c>
    </row>
    <row r="77" spans="1:21" x14ac:dyDescent="0.2">
      <c r="A77" t="s">
        <v>125</v>
      </c>
      <c r="B77" t="s">
        <v>172</v>
      </c>
      <c r="D77">
        <v>41.130001068115227</v>
      </c>
      <c r="E77">
        <v>42.720001220703118</v>
      </c>
      <c r="F77">
        <v>42.720001220703118</v>
      </c>
      <c r="G77">
        <v>41.115001678466797</v>
      </c>
      <c r="H77">
        <v>41.32</v>
      </c>
      <c r="I77">
        <v>4447355</v>
      </c>
      <c r="J77" t="s">
        <v>254</v>
      </c>
      <c r="K77">
        <v>5132465</v>
      </c>
      <c r="L77">
        <v>22436020224</v>
      </c>
      <c r="M77">
        <v>43.54</v>
      </c>
      <c r="N77">
        <v>23.82</v>
      </c>
      <c r="O77" t="s">
        <v>194</v>
      </c>
      <c r="P77">
        <v>37.930430000000001</v>
      </c>
      <c r="R77">
        <v>0.72</v>
      </c>
      <c r="S77">
        <v>1.74</v>
      </c>
      <c r="T77" t="s">
        <v>280</v>
      </c>
      <c r="U77" t="s">
        <v>248</v>
      </c>
    </row>
    <row r="78" spans="1:21" x14ac:dyDescent="0.2">
      <c r="A78" t="s">
        <v>127</v>
      </c>
      <c r="B78" t="s">
        <v>172</v>
      </c>
      <c r="D78">
        <v>559.6199951171875</v>
      </c>
      <c r="E78">
        <v>574.27001953125</v>
      </c>
      <c r="F78">
        <v>576.260009765625</v>
      </c>
      <c r="G78">
        <v>558.45001220703125</v>
      </c>
      <c r="H78">
        <v>563.13</v>
      </c>
      <c r="I78">
        <v>1356496</v>
      </c>
      <c r="J78" t="s">
        <v>254</v>
      </c>
      <c r="K78">
        <v>1687685.142857143</v>
      </c>
      <c r="L78">
        <v>519146897408</v>
      </c>
      <c r="M78">
        <v>601.77</v>
      </c>
      <c r="N78">
        <v>465.59</v>
      </c>
      <c r="O78" t="s">
        <v>194</v>
      </c>
      <c r="P78">
        <v>657.92223999999999</v>
      </c>
      <c r="Q78">
        <v>1.5897399999999999</v>
      </c>
      <c r="R78">
        <v>3.48</v>
      </c>
      <c r="S78">
        <v>0.62</v>
      </c>
      <c r="T78" t="s">
        <v>281</v>
      </c>
      <c r="U78" t="s">
        <v>196</v>
      </c>
    </row>
    <row r="79" spans="1:21" x14ac:dyDescent="0.2">
      <c r="A79" t="s">
        <v>129</v>
      </c>
      <c r="B79" t="s">
        <v>183</v>
      </c>
      <c r="C79" t="s">
        <v>203</v>
      </c>
      <c r="D79">
        <v>7.1020002365112296</v>
      </c>
      <c r="E79">
        <v>7.255000114440918</v>
      </c>
      <c r="F79">
        <v>7.3550000190734863</v>
      </c>
      <c r="G79">
        <v>7.0900001525878906</v>
      </c>
      <c r="H79">
        <v>7.15</v>
      </c>
      <c r="I79">
        <v>2152357</v>
      </c>
      <c r="J79" t="s">
        <v>193</v>
      </c>
      <c r="K79">
        <v>2609151</v>
      </c>
      <c r="L79">
        <v>1178930176</v>
      </c>
      <c r="M79">
        <v>11.55</v>
      </c>
      <c r="N79">
        <v>5.01</v>
      </c>
      <c r="O79" t="s">
        <v>194</v>
      </c>
      <c r="P79">
        <v>12.77778</v>
      </c>
      <c r="Q79">
        <v>2.3333300000000001</v>
      </c>
      <c r="U79" t="s">
        <v>245</v>
      </c>
    </row>
    <row r="80" spans="1:21" x14ac:dyDescent="0.2">
      <c r="A80" t="s">
        <v>131</v>
      </c>
      <c r="B80" t="s">
        <v>172</v>
      </c>
      <c r="D80">
        <v>137.13499450683591</v>
      </c>
      <c r="E80">
        <v>137.22999572753909</v>
      </c>
      <c r="F80">
        <v>137.50999450683591</v>
      </c>
      <c r="G80">
        <v>135.55000305175781</v>
      </c>
      <c r="H80">
        <v>138.88999999999999</v>
      </c>
      <c r="I80">
        <v>782218</v>
      </c>
      <c r="J80" t="s">
        <v>193</v>
      </c>
      <c r="K80">
        <v>757174</v>
      </c>
      <c r="L80">
        <v>263315832832</v>
      </c>
      <c r="M80">
        <v>140.18</v>
      </c>
      <c r="N80">
        <v>97.39</v>
      </c>
      <c r="O80" t="s">
        <v>194</v>
      </c>
      <c r="P80">
        <v>134.88221999999999</v>
      </c>
      <c r="Q80">
        <v>3.09091</v>
      </c>
      <c r="R80">
        <v>3.99</v>
      </c>
      <c r="S80">
        <v>2.88</v>
      </c>
      <c r="T80" t="s">
        <v>282</v>
      </c>
      <c r="U80" t="s">
        <v>221</v>
      </c>
    </row>
    <row r="81" spans="1:21" x14ac:dyDescent="0.2">
      <c r="A81" t="s">
        <v>133</v>
      </c>
      <c r="B81" t="s">
        <v>172</v>
      </c>
      <c r="D81">
        <v>14.335000038146971</v>
      </c>
      <c r="E81">
        <v>14.15499973297119</v>
      </c>
      <c r="F81">
        <v>14.340000152587891</v>
      </c>
      <c r="G81">
        <v>13.99499988555908</v>
      </c>
      <c r="H81">
        <v>14.32499980926514</v>
      </c>
      <c r="I81">
        <v>3294023</v>
      </c>
      <c r="J81" t="s">
        <v>201</v>
      </c>
      <c r="K81">
        <v>2160048.2857142859</v>
      </c>
      <c r="L81">
        <v>37632479232</v>
      </c>
      <c r="M81">
        <v>14.56</v>
      </c>
      <c r="N81">
        <v>9.44</v>
      </c>
      <c r="O81" t="s">
        <v>206</v>
      </c>
      <c r="P81">
        <v>15.68824</v>
      </c>
      <c r="R81">
        <v>0.75</v>
      </c>
      <c r="S81">
        <v>5.23</v>
      </c>
      <c r="T81" t="s">
        <v>278</v>
      </c>
      <c r="U81" t="s">
        <v>253</v>
      </c>
    </row>
    <row r="82" spans="1:21" x14ac:dyDescent="0.2">
      <c r="A82" t="s">
        <v>135</v>
      </c>
      <c r="B82" t="s">
        <v>172</v>
      </c>
      <c r="D82">
        <v>43.040000915527337</v>
      </c>
      <c r="E82">
        <v>41.693500518798828</v>
      </c>
      <c r="F82">
        <v>43.189998626708977</v>
      </c>
      <c r="G82">
        <v>40.384998321533203</v>
      </c>
      <c r="H82">
        <v>42.29</v>
      </c>
      <c r="I82">
        <v>15605458</v>
      </c>
      <c r="J82" t="s">
        <v>254</v>
      </c>
      <c r="K82">
        <v>9280608.2857142854</v>
      </c>
      <c r="L82">
        <v>41076871168</v>
      </c>
      <c r="M82">
        <v>53.2</v>
      </c>
      <c r="N82">
        <v>34.78</v>
      </c>
      <c r="O82" t="s">
        <v>194</v>
      </c>
      <c r="P82">
        <v>49.625</v>
      </c>
      <c r="Q82">
        <v>2.8</v>
      </c>
      <c r="R82">
        <v>0.96</v>
      </c>
      <c r="S82">
        <v>2.27</v>
      </c>
      <c r="T82" t="s">
        <v>283</v>
      </c>
      <c r="U82" t="s">
        <v>195</v>
      </c>
    </row>
    <row r="83" spans="1:21" x14ac:dyDescent="0.2">
      <c r="A83" t="s">
        <v>137</v>
      </c>
      <c r="B83" t="s">
        <v>172</v>
      </c>
      <c r="D83">
        <v>25.20000076293945</v>
      </c>
      <c r="E83">
        <v>25.028900146484379</v>
      </c>
      <c r="F83">
        <v>25.39999961853027</v>
      </c>
      <c r="G83">
        <v>24.95000076293945</v>
      </c>
      <c r="H83">
        <v>25.151499999999999</v>
      </c>
      <c r="I83">
        <v>36763018</v>
      </c>
      <c r="J83" t="s">
        <v>254</v>
      </c>
      <c r="K83">
        <v>29281059.714285709</v>
      </c>
      <c r="L83">
        <v>142307016704</v>
      </c>
      <c r="M83">
        <v>27.69</v>
      </c>
      <c r="N83">
        <v>20.92</v>
      </c>
      <c r="O83" t="s">
        <v>194</v>
      </c>
      <c r="P83">
        <v>28.622920000000001</v>
      </c>
      <c r="Q83">
        <v>2.4230800000000001</v>
      </c>
      <c r="R83">
        <v>1.72</v>
      </c>
      <c r="S83">
        <v>6.83</v>
      </c>
      <c r="T83" t="s">
        <v>250</v>
      </c>
      <c r="U83" t="s">
        <v>284</v>
      </c>
    </row>
    <row r="84" spans="1:21" x14ac:dyDescent="0.2">
      <c r="A84" t="s">
        <v>139</v>
      </c>
      <c r="B84" t="s">
        <v>183</v>
      </c>
      <c r="C84" t="s">
        <v>225</v>
      </c>
      <c r="D84">
        <v>4.429999828338623</v>
      </c>
      <c r="E84">
        <v>4.3400001525878906</v>
      </c>
      <c r="F84">
        <v>4.429999828338623</v>
      </c>
      <c r="G84">
        <v>4.0999999046325684</v>
      </c>
      <c r="H84">
        <v>4.24</v>
      </c>
      <c r="I84">
        <v>32208392</v>
      </c>
      <c r="J84" t="s">
        <v>254</v>
      </c>
      <c r="K84">
        <v>23151913.142857142</v>
      </c>
      <c r="L84">
        <v>4780254720</v>
      </c>
      <c r="M84">
        <v>4.5599999999999996</v>
      </c>
      <c r="N84">
        <v>1.97</v>
      </c>
      <c r="O84" t="s">
        <v>194</v>
      </c>
      <c r="P84">
        <v>4.1583300000000003</v>
      </c>
      <c r="T84" t="s">
        <v>285</v>
      </c>
      <c r="U84" t="s">
        <v>224</v>
      </c>
    </row>
    <row r="85" spans="1:21" x14ac:dyDescent="0.2">
      <c r="A85" t="s">
        <v>141</v>
      </c>
      <c r="B85" t="s">
        <v>172</v>
      </c>
      <c r="D85">
        <v>34.889999389648438</v>
      </c>
      <c r="E85">
        <v>34.634998321533203</v>
      </c>
      <c r="F85">
        <v>35.039901733398438</v>
      </c>
      <c r="G85">
        <v>33.569999694824219</v>
      </c>
      <c r="H85">
        <v>35.200000000000003</v>
      </c>
      <c r="I85">
        <v>2983643</v>
      </c>
      <c r="J85" t="s">
        <v>254</v>
      </c>
      <c r="K85">
        <v>2093220.4285714291</v>
      </c>
      <c r="L85">
        <v>8249747968</v>
      </c>
      <c r="M85">
        <v>43.5</v>
      </c>
      <c r="N85">
        <v>30.32</v>
      </c>
      <c r="O85" t="s">
        <v>194</v>
      </c>
      <c r="P85">
        <v>41.791670000000003</v>
      </c>
      <c r="Q85">
        <v>2.44</v>
      </c>
      <c r="R85">
        <v>0.36</v>
      </c>
      <c r="S85">
        <v>1.02</v>
      </c>
      <c r="T85" t="s">
        <v>286</v>
      </c>
      <c r="U85" t="s">
        <v>208</v>
      </c>
    </row>
    <row r="86" spans="1:21" x14ac:dyDescent="0.2">
      <c r="A86" t="s">
        <v>143</v>
      </c>
      <c r="B86" t="s">
        <v>183</v>
      </c>
      <c r="C86" t="s">
        <v>203</v>
      </c>
      <c r="D86">
        <v>65.095001220703125</v>
      </c>
      <c r="E86">
        <v>68.69000244140625</v>
      </c>
      <c r="F86">
        <v>69.300003051757812</v>
      </c>
      <c r="G86">
        <v>64.900001525878906</v>
      </c>
      <c r="H86">
        <v>65.16</v>
      </c>
      <c r="I86">
        <v>5472355</v>
      </c>
      <c r="J86" t="s">
        <v>254</v>
      </c>
      <c r="K86">
        <v>4157093.5714285709</v>
      </c>
      <c r="L86">
        <v>41872326656</v>
      </c>
      <c r="M86">
        <v>94.25</v>
      </c>
      <c r="N86">
        <v>44.27</v>
      </c>
      <c r="O86" t="s">
        <v>194</v>
      </c>
      <c r="P86">
        <v>83.873679999999993</v>
      </c>
      <c r="Q86">
        <v>1.8478300000000001</v>
      </c>
      <c r="U86" t="s">
        <v>245</v>
      </c>
    </row>
    <row r="87" spans="1:21" x14ac:dyDescent="0.2">
      <c r="A87" t="s">
        <v>145</v>
      </c>
      <c r="B87" t="s">
        <v>183</v>
      </c>
      <c r="C87" t="s">
        <v>225</v>
      </c>
      <c r="D87">
        <v>198.8800048828125</v>
      </c>
      <c r="E87">
        <v>205.19999694824219</v>
      </c>
      <c r="F87">
        <v>208.28999328613281</v>
      </c>
      <c r="G87">
        <v>199.375</v>
      </c>
      <c r="H87">
        <v>199.45</v>
      </c>
      <c r="I87">
        <v>594350</v>
      </c>
      <c r="J87" t="s">
        <v>254</v>
      </c>
      <c r="K87">
        <v>626864.28571428568</v>
      </c>
      <c r="L87">
        <v>18129625088</v>
      </c>
      <c r="M87">
        <v>222.82</v>
      </c>
      <c r="N87">
        <v>109.82</v>
      </c>
      <c r="O87" t="s">
        <v>194</v>
      </c>
      <c r="P87">
        <v>237.2381</v>
      </c>
      <c r="T87" t="s">
        <v>287</v>
      </c>
      <c r="U87" t="s">
        <v>208</v>
      </c>
    </row>
    <row r="88" spans="1:21" x14ac:dyDescent="0.2">
      <c r="A88" t="s">
        <v>147</v>
      </c>
      <c r="B88" t="s">
        <v>231</v>
      </c>
      <c r="C88" t="s">
        <v>232</v>
      </c>
    </row>
    <row r="89" spans="1:21" x14ac:dyDescent="0.2">
      <c r="A89" t="s">
        <v>148</v>
      </c>
      <c r="B89" t="s">
        <v>183</v>
      </c>
      <c r="C89" t="s">
        <v>288</v>
      </c>
      <c r="D89">
        <v>10.048000335693359</v>
      </c>
      <c r="E89">
        <v>10.069999694824221</v>
      </c>
      <c r="F89">
        <v>10.14200019836426</v>
      </c>
      <c r="G89">
        <v>10.0019998550415</v>
      </c>
      <c r="H89">
        <v>10.02499961853027</v>
      </c>
      <c r="I89">
        <v>27582</v>
      </c>
      <c r="J89" t="s">
        <v>289</v>
      </c>
      <c r="K89">
        <v>30477.71428571429</v>
      </c>
    </row>
    <row r="90" spans="1:21" x14ac:dyDescent="0.2">
      <c r="A90" t="s">
        <v>290</v>
      </c>
      <c r="B90" t="s">
        <v>183</v>
      </c>
      <c r="C90" t="s">
        <v>291</v>
      </c>
      <c r="D90">
        <v>11.35000038146973</v>
      </c>
      <c r="E90">
        <v>11.328800201416019</v>
      </c>
      <c r="F90">
        <v>11.38000011444092</v>
      </c>
      <c r="G90">
        <v>11.319999694824221</v>
      </c>
      <c r="H90">
        <v>11.3</v>
      </c>
      <c r="I90">
        <v>58482</v>
      </c>
      <c r="J90" t="s">
        <v>292</v>
      </c>
      <c r="K90">
        <v>118797.42857142859</v>
      </c>
      <c r="L90">
        <v>351685664</v>
      </c>
      <c r="M90">
        <v>11.89</v>
      </c>
      <c r="N90">
        <v>10.69</v>
      </c>
      <c r="O90" t="s">
        <v>194</v>
      </c>
      <c r="R90">
        <v>0.86</v>
      </c>
      <c r="S90">
        <v>7.65</v>
      </c>
      <c r="T90" t="s">
        <v>293</v>
      </c>
    </row>
    <row r="91" spans="1:21" x14ac:dyDescent="0.2">
      <c r="A91" t="s">
        <v>290</v>
      </c>
      <c r="B91" t="s">
        <v>183</v>
      </c>
      <c r="C91" t="s">
        <v>291</v>
      </c>
      <c r="D91">
        <v>11.35000038146973</v>
      </c>
      <c r="E91">
        <v>11.328800201416019</v>
      </c>
      <c r="F91">
        <v>11.38000011444092</v>
      </c>
      <c r="G91">
        <v>11.319999694824221</v>
      </c>
      <c r="H91">
        <v>11.3</v>
      </c>
      <c r="I91">
        <v>58482</v>
      </c>
      <c r="J91" t="s">
        <v>292</v>
      </c>
      <c r="K91">
        <v>118797.42857142859</v>
      </c>
      <c r="L91">
        <v>351685664</v>
      </c>
      <c r="M91">
        <v>11.89</v>
      </c>
      <c r="N91">
        <v>10.69</v>
      </c>
      <c r="O91" t="s">
        <v>194</v>
      </c>
      <c r="R91">
        <v>0.86</v>
      </c>
      <c r="S91">
        <v>7.65</v>
      </c>
      <c r="T91" t="s">
        <v>293</v>
      </c>
    </row>
    <row r="92" spans="1:21" x14ac:dyDescent="0.2">
      <c r="A92" t="s">
        <v>290</v>
      </c>
      <c r="B92" t="s">
        <v>183</v>
      </c>
      <c r="C92" t="s">
        <v>291</v>
      </c>
      <c r="D92">
        <v>11.35000038146973</v>
      </c>
      <c r="E92">
        <v>11.328800201416019</v>
      </c>
      <c r="F92">
        <v>11.38000011444092</v>
      </c>
      <c r="G92">
        <v>11.319999694824221</v>
      </c>
      <c r="H92">
        <v>11.3</v>
      </c>
      <c r="I92">
        <v>58482</v>
      </c>
      <c r="J92" t="s">
        <v>292</v>
      </c>
      <c r="K92">
        <v>118797.42857142859</v>
      </c>
      <c r="L92">
        <v>351685664</v>
      </c>
      <c r="M92">
        <v>11.89</v>
      </c>
      <c r="N92">
        <v>10.69</v>
      </c>
      <c r="O92" t="s">
        <v>194</v>
      </c>
      <c r="R92">
        <v>0.86</v>
      </c>
      <c r="S92">
        <v>7.65</v>
      </c>
      <c r="T92" t="s">
        <v>293</v>
      </c>
    </row>
    <row r="93" spans="1:21" x14ac:dyDescent="0.2">
      <c r="A93" t="s">
        <v>290</v>
      </c>
      <c r="B93" t="s">
        <v>183</v>
      </c>
      <c r="C93" t="s">
        <v>291</v>
      </c>
      <c r="D93">
        <v>11.35000038146973</v>
      </c>
      <c r="E93">
        <v>11.328800201416019</v>
      </c>
      <c r="F93">
        <v>11.38000011444092</v>
      </c>
      <c r="G93">
        <v>11.319999694824221</v>
      </c>
      <c r="H93">
        <v>11.3</v>
      </c>
      <c r="I93">
        <v>58482</v>
      </c>
      <c r="J93" t="s">
        <v>292</v>
      </c>
      <c r="K93">
        <v>118797.42857142859</v>
      </c>
      <c r="L93">
        <v>351685664</v>
      </c>
      <c r="M93">
        <v>11.89</v>
      </c>
      <c r="N93">
        <v>10.69</v>
      </c>
      <c r="O93" t="s">
        <v>194</v>
      </c>
      <c r="R93">
        <v>0.86</v>
      </c>
      <c r="S93">
        <v>7.65</v>
      </c>
      <c r="T93" t="s">
        <v>293</v>
      </c>
    </row>
    <row r="94" spans="1:21" x14ac:dyDescent="0.2">
      <c r="A94" t="s">
        <v>290</v>
      </c>
      <c r="B94" t="s">
        <v>183</v>
      </c>
      <c r="C94" t="s">
        <v>291</v>
      </c>
      <c r="D94">
        <v>11.35000038146973</v>
      </c>
      <c r="E94">
        <v>11.328800201416019</v>
      </c>
      <c r="F94">
        <v>11.38000011444092</v>
      </c>
      <c r="G94">
        <v>11.319999694824221</v>
      </c>
      <c r="H94">
        <v>11.3</v>
      </c>
      <c r="I94">
        <v>58482</v>
      </c>
      <c r="J94" t="s">
        <v>292</v>
      </c>
      <c r="K94">
        <v>118797.42857142859</v>
      </c>
      <c r="L94">
        <v>351685664</v>
      </c>
      <c r="M94">
        <v>11.89</v>
      </c>
      <c r="N94">
        <v>10.69</v>
      </c>
      <c r="O94" t="s">
        <v>194</v>
      </c>
      <c r="R94">
        <v>0.86</v>
      </c>
      <c r="S94">
        <v>7.65</v>
      </c>
      <c r="T94" t="s">
        <v>293</v>
      </c>
    </row>
    <row r="95" spans="1:21" x14ac:dyDescent="0.2">
      <c r="A95" t="s">
        <v>290</v>
      </c>
      <c r="B95" t="s">
        <v>183</v>
      </c>
      <c r="C95" t="s">
        <v>291</v>
      </c>
      <c r="D95">
        <v>11.35000038146973</v>
      </c>
      <c r="E95">
        <v>11.328800201416019</v>
      </c>
      <c r="F95">
        <v>11.38000011444092</v>
      </c>
      <c r="G95">
        <v>11.319999694824221</v>
      </c>
      <c r="H95">
        <v>11.3</v>
      </c>
      <c r="I95">
        <v>58482</v>
      </c>
      <c r="J95" t="s">
        <v>292</v>
      </c>
      <c r="K95">
        <v>118797.42857142859</v>
      </c>
      <c r="L95">
        <v>351685664</v>
      </c>
      <c r="M95">
        <v>11.89</v>
      </c>
      <c r="N95">
        <v>10.69</v>
      </c>
      <c r="O95" t="s">
        <v>194</v>
      </c>
      <c r="R95">
        <v>0.86</v>
      </c>
      <c r="S95">
        <v>7.65</v>
      </c>
      <c r="T95" t="s">
        <v>293</v>
      </c>
    </row>
    <row r="96" spans="1:21" x14ac:dyDescent="0.2">
      <c r="A96" t="s">
        <v>290</v>
      </c>
      <c r="B96" t="s">
        <v>183</v>
      </c>
      <c r="C96" t="s">
        <v>291</v>
      </c>
      <c r="D96">
        <v>11.35000038146973</v>
      </c>
      <c r="E96">
        <v>11.328800201416019</v>
      </c>
      <c r="F96">
        <v>11.38000011444092</v>
      </c>
      <c r="G96">
        <v>11.319999694824221</v>
      </c>
      <c r="H96">
        <v>11.3</v>
      </c>
      <c r="I96">
        <v>58482</v>
      </c>
      <c r="J96" t="s">
        <v>292</v>
      </c>
      <c r="K96">
        <v>118797.42857142859</v>
      </c>
      <c r="L96">
        <v>351685664</v>
      </c>
      <c r="M96">
        <v>11.89</v>
      </c>
      <c r="N96">
        <v>10.69</v>
      </c>
      <c r="O96" t="s">
        <v>194</v>
      </c>
      <c r="R96">
        <v>0.86</v>
      </c>
      <c r="S96">
        <v>7.65</v>
      </c>
      <c r="T96" t="s">
        <v>293</v>
      </c>
    </row>
    <row r="97" spans="1:20" x14ac:dyDescent="0.2">
      <c r="A97" t="s">
        <v>290</v>
      </c>
      <c r="B97" t="s">
        <v>183</v>
      </c>
      <c r="C97" t="s">
        <v>291</v>
      </c>
      <c r="D97">
        <v>11.35000038146973</v>
      </c>
      <c r="E97">
        <v>11.328800201416019</v>
      </c>
      <c r="F97">
        <v>11.38000011444092</v>
      </c>
      <c r="G97">
        <v>11.319999694824221</v>
      </c>
      <c r="H97">
        <v>11.3</v>
      </c>
      <c r="I97">
        <v>58482</v>
      </c>
      <c r="J97" t="s">
        <v>292</v>
      </c>
      <c r="K97">
        <v>118797.42857142859</v>
      </c>
      <c r="L97">
        <v>351685664</v>
      </c>
      <c r="M97">
        <v>11.89</v>
      </c>
      <c r="N97">
        <v>10.69</v>
      </c>
      <c r="O97" t="s">
        <v>194</v>
      </c>
      <c r="R97">
        <v>0.86</v>
      </c>
      <c r="S97">
        <v>7.65</v>
      </c>
      <c r="T97" t="s">
        <v>293</v>
      </c>
    </row>
    <row r="98" spans="1:20" x14ac:dyDescent="0.2">
      <c r="A98" t="s">
        <v>290</v>
      </c>
      <c r="B98" t="s">
        <v>183</v>
      </c>
      <c r="C98" t="s">
        <v>291</v>
      </c>
      <c r="D98">
        <v>11.35000038146973</v>
      </c>
      <c r="E98">
        <v>11.328800201416019</v>
      </c>
      <c r="F98">
        <v>11.38000011444092</v>
      </c>
      <c r="G98">
        <v>11.319999694824221</v>
      </c>
      <c r="H98">
        <v>11.3</v>
      </c>
      <c r="I98">
        <v>58482</v>
      </c>
      <c r="J98" t="s">
        <v>292</v>
      </c>
      <c r="K98">
        <v>118797.42857142859</v>
      </c>
      <c r="L98">
        <v>351685664</v>
      </c>
      <c r="M98">
        <v>11.89</v>
      </c>
      <c r="N98">
        <v>10.69</v>
      </c>
      <c r="O98" t="s">
        <v>194</v>
      </c>
      <c r="R98">
        <v>0.86</v>
      </c>
      <c r="S98">
        <v>7.65</v>
      </c>
      <c r="T98" t="s">
        <v>293</v>
      </c>
    </row>
    <row r="99" spans="1:20" x14ac:dyDescent="0.2">
      <c r="A99" t="s">
        <v>290</v>
      </c>
      <c r="B99" t="s">
        <v>183</v>
      </c>
      <c r="C99" t="s">
        <v>291</v>
      </c>
      <c r="D99">
        <v>11.35000038146973</v>
      </c>
      <c r="E99">
        <v>11.328800201416019</v>
      </c>
      <c r="F99">
        <v>11.38000011444092</v>
      </c>
      <c r="G99">
        <v>11.319999694824221</v>
      </c>
      <c r="H99">
        <v>11.3</v>
      </c>
      <c r="I99">
        <v>58482</v>
      </c>
      <c r="J99" t="s">
        <v>292</v>
      </c>
      <c r="K99">
        <v>118797.42857142859</v>
      </c>
      <c r="L99">
        <v>351685664</v>
      </c>
      <c r="M99">
        <v>11.89</v>
      </c>
      <c r="N99">
        <v>10.69</v>
      </c>
      <c r="O99" t="s">
        <v>194</v>
      </c>
      <c r="R99">
        <v>0.86</v>
      </c>
      <c r="S99">
        <v>7.65</v>
      </c>
      <c r="T99" t="s">
        <v>293</v>
      </c>
    </row>
    <row r="100" spans="1:20" x14ac:dyDescent="0.2">
      <c r="A100" t="s">
        <v>290</v>
      </c>
      <c r="B100" t="s">
        <v>183</v>
      </c>
      <c r="C100" t="s">
        <v>291</v>
      </c>
      <c r="D100">
        <v>11.35000038146973</v>
      </c>
      <c r="E100">
        <v>11.328800201416019</v>
      </c>
      <c r="F100">
        <v>11.38000011444092</v>
      </c>
      <c r="G100">
        <v>11.319999694824221</v>
      </c>
      <c r="H100">
        <v>11.3</v>
      </c>
      <c r="I100">
        <v>58482</v>
      </c>
      <c r="J100" t="s">
        <v>292</v>
      </c>
      <c r="K100">
        <v>118797.42857142859</v>
      </c>
      <c r="L100">
        <v>351685664</v>
      </c>
      <c r="M100">
        <v>11.89</v>
      </c>
      <c r="N100">
        <v>10.69</v>
      </c>
      <c r="O100" t="s">
        <v>194</v>
      </c>
      <c r="R100">
        <v>0.86</v>
      </c>
      <c r="S100">
        <v>7.65</v>
      </c>
      <c r="T100" t="s">
        <v>293</v>
      </c>
    </row>
    <row r="101" spans="1:20" x14ac:dyDescent="0.2">
      <c r="A101" t="s">
        <v>290</v>
      </c>
      <c r="B101" t="s">
        <v>183</v>
      </c>
      <c r="C101" t="s">
        <v>291</v>
      </c>
      <c r="D101">
        <v>11.35000038146973</v>
      </c>
      <c r="E101">
        <v>11.328800201416019</v>
      </c>
      <c r="F101">
        <v>11.38000011444092</v>
      </c>
      <c r="G101">
        <v>11.319999694824221</v>
      </c>
      <c r="H101">
        <v>11.3</v>
      </c>
      <c r="I101">
        <v>58482</v>
      </c>
      <c r="J101" t="s">
        <v>292</v>
      </c>
      <c r="K101">
        <v>118797.42857142859</v>
      </c>
      <c r="L101">
        <v>351685664</v>
      </c>
      <c r="M101">
        <v>11.89</v>
      </c>
      <c r="N101">
        <v>10.69</v>
      </c>
      <c r="O101" t="s">
        <v>194</v>
      </c>
      <c r="R101">
        <v>0.86</v>
      </c>
      <c r="S101">
        <v>7.65</v>
      </c>
      <c r="T101" t="s">
        <v>293</v>
      </c>
    </row>
    <row r="102" spans="1:20" x14ac:dyDescent="0.2">
      <c r="A102" t="s">
        <v>290</v>
      </c>
      <c r="B102" t="s">
        <v>183</v>
      </c>
      <c r="C102" t="s">
        <v>291</v>
      </c>
      <c r="D102">
        <v>11.35000038146973</v>
      </c>
      <c r="E102">
        <v>11.328800201416019</v>
      </c>
      <c r="F102">
        <v>11.38000011444092</v>
      </c>
      <c r="G102">
        <v>11.319999694824221</v>
      </c>
      <c r="H102">
        <v>11.3</v>
      </c>
      <c r="I102">
        <v>58482</v>
      </c>
      <c r="J102" t="s">
        <v>292</v>
      </c>
      <c r="K102">
        <v>118797.42857142859</v>
      </c>
      <c r="L102">
        <v>351685664</v>
      </c>
      <c r="M102">
        <v>11.89</v>
      </c>
      <c r="N102">
        <v>10.69</v>
      </c>
      <c r="O102" t="s">
        <v>194</v>
      </c>
      <c r="R102">
        <v>0.86</v>
      </c>
      <c r="S102">
        <v>7.65</v>
      </c>
      <c r="T102" t="s">
        <v>293</v>
      </c>
    </row>
    <row r="103" spans="1:20" x14ac:dyDescent="0.2">
      <c r="A103" t="s">
        <v>290</v>
      </c>
      <c r="B103" t="s">
        <v>183</v>
      </c>
      <c r="C103" t="s">
        <v>291</v>
      </c>
      <c r="D103">
        <v>11.35000038146973</v>
      </c>
      <c r="E103">
        <v>11.328800201416019</v>
      </c>
      <c r="F103">
        <v>11.38000011444092</v>
      </c>
      <c r="G103">
        <v>11.319999694824221</v>
      </c>
      <c r="H103">
        <v>11.3</v>
      </c>
      <c r="I103">
        <v>58482</v>
      </c>
      <c r="J103" t="s">
        <v>292</v>
      </c>
      <c r="K103">
        <v>118797.42857142859</v>
      </c>
      <c r="L103">
        <v>351685664</v>
      </c>
      <c r="M103">
        <v>11.89</v>
      </c>
      <c r="N103">
        <v>10.69</v>
      </c>
      <c r="O103" t="s">
        <v>194</v>
      </c>
      <c r="R103">
        <v>0.86</v>
      </c>
      <c r="S103">
        <v>7.65</v>
      </c>
      <c r="T103" t="s">
        <v>293</v>
      </c>
    </row>
    <row r="104" spans="1:20" x14ac:dyDescent="0.2">
      <c r="A104" t="s">
        <v>290</v>
      </c>
      <c r="B104" t="s">
        <v>183</v>
      </c>
      <c r="C104" t="s">
        <v>291</v>
      </c>
      <c r="D104">
        <v>11.35000038146973</v>
      </c>
      <c r="E104">
        <v>11.328800201416019</v>
      </c>
      <c r="F104">
        <v>11.38000011444092</v>
      </c>
      <c r="G104">
        <v>11.319999694824221</v>
      </c>
      <c r="H104">
        <v>11.3</v>
      </c>
      <c r="I104">
        <v>58482</v>
      </c>
      <c r="J104" t="s">
        <v>292</v>
      </c>
      <c r="K104">
        <v>118797.42857142859</v>
      </c>
      <c r="L104">
        <v>351685664</v>
      </c>
      <c r="M104">
        <v>11.89</v>
      </c>
      <c r="N104">
        <v>10.69</v>
      </c>
      <c r="O104" t="s">
        <v>194</v>
      </c>
      <c r="R104">
        <v>0.86</v>
      </c>
      <c r="S104">
        <v>7.65</v>
      </c>
      <c r="T104" t="s">
        <v>293</v>
      </c>
    </row>
    <row r="105" spans="1:20" x14ac:dyDescent="0.2">
      <c r="A105" t="s">
        <v>290</v>
      </c>
      <c r="B105" t="s">
        <v>183</v>
      </c>
      <c r="C105" t="s">
        <v>291</v>
      </c>
      <c r="D105">
        <v>11.35000038146973</v>
      </c>
      <c r="E105">
        <v>11.328800201416019</v>
      </c>
      <c r="F105">
        <v>11.38000011444092</v>
      </c>
      <c r="G105">
        <v>11.319999694824221</v>
      </c>
      <c r="H105">
        <v>11.3</v>
      </c>
      <c r="I105">
        <v>58482</v>
      </c>
      <c r="J105" t="s">
        <v>292</v>
      </c>
      <c r="K105">
        <v>118797.42857142859</v>
      </c>
      <c r="L105">
        <v>351685664</v>
      </c>
      <c r="M105">
        <v>11.89</v>
      </c>
      <c r="N105">
        <v>10.69</v>
      </c>
      <c r="O105" t="s">
        <v>194</v>
      </c>
      <c r="R105">
        <v>0.86</v>
      </c>
      <c r="S105">
        <v>7.65</v>
      </c>
      <c r="T105" t="s">
        <v>293</v>
      </c>
    </row>
    <row r="106" spans="1:20" x14ac:dyDescent="0.2">
      <c r="A106" t="s">
        <v>290</v>
      </c>
      <c r="B106" t="s">
        <v>183</v>
      </c>
      <c r="C106" t="s">
        <v>291</v>
      </c>
      <c r="D106">
        <v>11.35000038146973</v>
      </c>
      <c r="E106">
        <v>11.328800201416019</v>
      </c>
      <c r="F106">
        <v>11.38000011444092</v>
      </c>
      <c r="G106">
        <v>11.319999694824221</v>
      </c>
      <c r="H106">
        <v>11.3</v>
      </c>
      <c r="I106">
        <v>58482</v>
      </c>
      <c r="J106" t="s">
        <v>292</v>
      </c>
      <c r="K106">
        <v>118797.42857142859</v>
      </c>
      <c r="L106">
        <v>351685664</v>
      </c>
      <c r="M106">
        <v>11.89</v>
      </c>
      <c r="N106">
        <v>10.69</v>
      </c>
      <c r="O106" t="s">
        <v>194</v>
      </c>
      <c r="R106">
        <v>0.86</v>
      </c>
      <c r="S106">
        <v>7.65</v>
      </c>
      <c r="T106" t="s">
        <v>293</v>
      </c>
    </row>
    <row r="107" spans="1:20" x14ac:dyDescent="0.2">
      <c r="A107" t="s">
        <v>290</v>
      </c>
      <c r="B107" t="s">
        <v>183</v>
      </c>
      <c r="C107" t="s">
        <v>291</v>
      </c>
      <c r="D107">
        <v>11.35000038146973</v>
      </c>
      <c r="E107">
        <v>11.328800201416019</v>
      </c>
      <c r="F107">
        <v>11.38000011444092</v>
      </c>
      <c r="G107">
        <v>11.319999694824221</v>
      </c>
      <c r="H107">
        <v>11.3</v>
      </c>
      <c r="I107">
        <v>58482</v>
      </c>
      <c r="J107" t="s">
        <v>292</v>
      </c>
      <c r="K107">
        <v>118797.42857142859</v>
      </c>
      <c r="L107">
        <v>351685664</v>
      </c>
      <c r="M107">
        <v>11.89</v>
      </c>
      <c r="N107">
        <v>10.69</v>
      </c>
      <c r="O107" t="s">
        <v>194</v>
      </c>
      <c r="R107">
        <v>0.86</v>
      </c>
      <c r="S107">
        <v>7.65</v>
      </c>
      <c r="T107" t="s">
        <v>293</v>
      </c>
    </row>
    <row r="108" spans="1:20" x14ac:dyDescent="0.2">
      <c r="A108" t="s">
        <v>290</v>
      </c>
      <c r="B108" t="s">
        <v>183</v>
      </c>
      <c r="C108" t="s">
        <v>291</v>
      </c>
      <c r="D108">
        <v>11.35000038146973</v>
      </c>
      <c r="E108">
        <v>11.328800201416019</v>
      </c>
      <c r="F108">
        <v>11.38000011444092</v>
      </c>
      <c r="G108">
        <v>11.319999694824221</v>
      </c>
      <c r="H108">
        <v>11.3</v>
      </c>
      <c r="I108">
        <v>58482</v>
      </c>
      <c r="J108" t="s">
        <v>292</v>
      </c>
      <c r="K108">
        <v>118797.42857142859</v>
      </c>
      <c r="L108">
        <v>351685664</v>
      </c>
      <c r="M108">
        <v>11.89</v>
      </c>
      <c r="N108">
        <v>10.69</v>
      </c>
      <c r="O108" t="s">
        <v>194</v>
      </c>
      <c r="R108">
        <v>0.86</v>
      </c>
      <c r="S108">
        <v>7.65</v>
      </c>
      <c r="T108" t="s">
        <v>293</v>
      </c>
    </row>
    <row r="109" spans="1:20" x14ac:dyDescent="0.2">
      <c r="A109" t="s">
        <v>290</v>
      </c>
      <c r="B109" t="s">
        <v>183</v>
      </c>
      <c r="C109" t="s">
        <v>291</v>
      </c>
      <c r="D109">
        <v>11.35000038146973</v>
      </c>
      <c r="E109">
        <v>11.328800201416019</v>
      </c>
      <c r="F109">
        <v>11.38000011444092</v>
      </c>
      <c r="G109">
        <v>11.319999694824221</v>
      </c>
      <c r="H109">
        <v>11.3</v>
      </c>
      <c r="I109">
        <v>58482</v>
      </c>
      <c r="J109" t="s">
        <v>292</v>
      </c>
      <c r="K109">
        <v>118797.42857142859</v>
      </c>
      <c r="L109">
        <v>351685664</v>
      </c>
      <c r="M109">
        <v>11.89</v>
      </c>
      <c r="N109">
        <v>10.69</v>
      </c>
      <c r="O109" t="s">
        <v>194</v>
      </c>
      <c r="R109">
        <v>0.86</v>
      </c>
      <c r="S109">
        <v>7.65</v>
      </c>
      <c r="T109" t="s">
        <v>293</v>
      </c>
    </row>
    <row r="110" spans="1:20" x14ac:dyDescent="0.2">
      <c r="A110" t="s">
        <v>290</v>
      </c>
      <c r="B110" t="s">
        <v>183</v>
      </c>
      <c r="C110" t="s">
        <v>291</v>
      </c>
      <c r="D110">
        <v>11.35000038146973</v>
      </c>
      <c r="E110">
        <v>11.328800201416019</v>
      </c>
      <c r="F110">
        <v>11.38000011444092</v>
      </c>
      <c r="G110">
        <v>11.319999694824221</v>
      </c>
      <c r="H110">
        <v>11.3</v>
      </c>
      <c r="I110">
        <v>58482</v>
      </c>
      <c r="J110" t="s">
        <v>292</v>
      </c>
      <c r="K110">
        <v>118797.42857142859</v>
      </c>
      <c r="L110">
        <v>351685664</v>
      </c>
      <c r="M110">
        <v>11.89</v>
      </c>
      <c r="N110">
        <v>10.69</v>
      </c>
      <c r="O110" t="s">
        <v>194</v>
      </c>
      <c r="R110">
        <v>0.86</v>
      </c>
      <c r="S110">
        <v>7.65</v>
      </c>
      <c r="T110" t="s">
        <v>293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Tickers</vt:lpstr>
      <vt:lpstr>LatestData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Kosta Yanev</dc:creator>
  <cp:lastModifiedBy>Kosta Yanev</cp:lastModifiedBy>
  <dcterms:created xsi:type="dcterms:W3CDTF">2025-11-03T11:18:36Z</dcterms:created>
  <dcterms:modified xsi:type="dcterms:W3CDTF">2026-01-05T23:30:51Z</dcterms:modified>
</cp:coreProperties>
</file>