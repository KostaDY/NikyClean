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2480" yWindow="-20980" windowWidth="34500" windowHeight="18960" tabRatio="600" firstSheet="0" activeTab="0" autoFilterDateGrouping="1"/>
  </bookViews>
  <sheets>
    <sheet xmlns:r="http://schemas.openxmlformats.org/officeDocument/2006/relationships" name="Tickers" sheetId="1" state="visible" r:id="rId1"/>
    <sheet xmlns:r="http://schemas.openxmlformats.org/officeDocument/2006/relationships" name="LatestData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0.00_);[Red]\(0.00\)"/>
    <numFmt numFmtId="165" formatCode="0.0%"/>
    <numFmt numFmtId="166" formatCode="m/d/yy\ h:mm;@"/>
    <numFmt numFmtId="167" formatCode="[$-409]d\-mmm\-yy;@"/>
    <numFmt numFmtId="168" formatCode="yyyy-mm-dd h:mm:ss"/>
    <numFmt numFmtId="169" formatCode="YYYY-MM-DD HH:MM:SS"/>
  </numFmts>
  <fonts count="10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family val="2"/>
      <color rgb="FF9C0006"/>
      <sz val="16"/>
      <scheme val="minor"/>
    </font>
    <font>
      <name val="Aptos Narrow"/>
      <b val="1"/>
      <color theme="0"/>
      <sz val="12"/>
    </font>
    <font>
      <name val="Aptos Narrow"/>
      <family val="2"/>
      <b val="1"/>
      <color theme="0"/>
      <sz val="12"/>
    </font>
    <font>
      <name val="Calibri"/>
      <family val="2"/>
      <color rgb="FF000000"/>
      <sz val="16"/>
    </font>
    <font>
      <name val="Calibri"/>
      <family val="2"/>
      <b val="1"/>
      <color rgb="FF000000"/>
      <sz val="16"/>
    </font>
    <font>
      <name val="Aptos Narrow"/>
      <family val="2"/>
      <color rgb="FF000000"/>
      <sz val="12"/>
      <scheme val="minor"/>
    </font>
    <font>
      <name val="Aptos Narrow"/>
      <b val="1"/>
      <sz val="12"/>
    </font>
    <font>
      <b val="1"/>
    </font>
  </fonts>
  <fills count="9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rgb="FFD9E1F2"/>
        <bgColor rgb="FFD9E1F2"/>
      </patternFill>
    </fill>
    <fill>
      <patternFill patternType="solid">
        <fgColor rgb="FFFFC7CE"/>
        <bgColor rgb="FF000000"/>
      </patternFill>
    </fill>
    <fill>
      <patternFill patternType="solid">
        <fgColor rgb="FFADADAD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2">
    <xf numFmtId="0" fontId="1" fillId="0" borderId="0"/>
    <xf numFmtId="9" fontId="1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top"/>
    </xf>
    <xf numFmtId="164" fontId="5" fillId="3" borderId="2" pivotButton="0" quotePrefix="0" xfId="0"/>
    <xf numFmtId="164" fontId="5" fillId="0" borderId="2" pivotButton="0" quotePrefix="0" xfId="0"/>
    <xf numFmtId="164" fontId="2" fillId="4" borderId="2" pivotButton="0" quotePrefix="0" xfId="0"/>
    <xf numFmtId="164" fontId="6" fillId="3" borderId="2" pivotButton="0" quotePrefix="0" xfId="0"/>
    <xf numFmtId="164" fontId="6" fillId="0" borderId="2" pivotButton="0" quotePrefix="0" xfId="0"/>
    <xf numFmtId="164" fontId="5" fillId="5" borderId="2" pivotButton="0" quotePrefix="0" xfId="0"/>
    <xf numFmtId="164" fontId="6" fillId="5" borderId="2" pivotButton="0" quotePrefix="0" xfId="0"/>
    <xf numFmtId="0" fontId="7" fillId="0" borderId="0" pivotButton="0" quotePrefix="0" xfId="0"/>
    <xf numFmtId="4" fontId="0" fillId="0" borderId="0" pivotButton="0" quotePrefix="0" xfId="0"/>
    <xf numFmtId="0" fontId="4" fillId="0" borderId="1" applyAlignment="1" pivotButton="0" quotePrefix="0" xfId="0">
      <alignment horizontal="center" vertical="top"/>
    </xf>
    <xf numFmtId="165" fontId="0" fillId="0" borderId="0" pivotButton="0" quotePrefix="0" xfId="1"/>
    <xf numFmtId="0" fontId="8" fillId="0" borderId="3" applyAlignment="1" pivotButton="0" quotePrefix="0" xfId="0">
      <alignment horizontal="center" vertical="top"/>
    </xf>
    <xf numFmtId="166" fontId="0" fillId="0" borderId="0" pivotButton="0" quotePrefix="0" xfId="0"/>
    <xf numFmtId="10" fontId="1" fillId="0" borderId="0" pivotButton="0" quotePrefix="0" xfId="1"/>
    <xf numFmtId="167" fontId="0" fillId="0" borderId="0" pivotButton="0" quotePrefix="0" xfId="0"/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/>
    </xf>
    <xf numFmtId="4" fontId="0" fillId="0" borderId="0" applyAlignment="1" pivotButton="0" quotePrefix="0" xfId="0">
      <alignment horizontal="center"/>
    </xf>
    <xf numFmtId="0" fontId="4" fillId="8" borderId="1" applyAlignment="1" pivotButton="0" quotePrefix="0" xfId="0">
      <alignment horizontal="left" vertical="center"/>
    </xf>
    <xf numFmtId="0" fontId="9" fillId="0" borderId="4" applyAlignment="1" pivotButton="0" quotePrefix="0" xfId="0">
      <alignment horizontal="center" vertical="top"/>
    </xf>
    <xf numFmtId="169" fontId="0" fillId="0" borderId="0" pivotButton="0" quotePrefix="0" xfId="0"/>
  </cellXfs>
  <cellStyles count="2">
    <cellStyle name="Normal" xfId="0" builtinId="0"/>
    <cellStyle name="Percent" xfId="1" builtinId="5"/>
  </cellStyles>
  <dxfs count="23">
    <dxf>
      <numFmt numFmtId="4" formatCode="#,##0.00"/>
    </dxf>
    <dxf>
      <numFmt numFmtId="165" formatCode="0.0%"/>
    </dxf>
    <dxf>
      <numFmt numFmtId="165" formatCode="0.0%"/>
    </dxf>
    <dxf>
      <numFmt numFmtId="167" formatCode="[$-409]d\-mmm\-yy;@"/>
    </dxf>
    <dxf>
      <numFmt numFmtId="167" formatCode="[$-409]d\-mmm\-yy;@"/>
    </dxf>
    <dxf>
      <numFmt numFmtId="14" formatCode="0.00%"/>
    </dxf>
    <dxf>
      <numFmt numFmtId="0" formatCode="General"/>
    </dxf>
    <dxf>
      <numFmt numFmtId="0" formatCode="General"/>
    </dxf>
    <dxf>
      <numFmt numFmtId="4" formatCode="#,##0.00"/>
    </dxf>
    <dxf>
      <numFmt numFmtId="0" formatCode="General"/>
      <alignment horizontal="center" vertical="bottom"/>
    </dxf>
    <dxf>
      <numFmt numFmtId="4" formatCode="#,##0.00"/>
    </dxf>
    <dxf>
      <numFmt numFmtId="4" formatCode="#,##0.00"/>
    </dxf>
    <dxf>
      <numFmt numFmtId="3" formatCode="#,##0"/>
    </dxf>
    <dxf>
      <numFmt numFmtId="3" formatCode="#,##0"/>
    </dxf>
    <dxf>
      <numFmt numFmtId="166" formatCode="m/d/yy\ h:mm;@"/>
    </dxf>
    <dxf>
      <numFmt numFmtId="168" formatCode="_(* #,##0_);_(* \(#,##0\);_(* &quot;-&quot;??_);_(@_)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6"/>
        <vertAlign val="baseline"/>
      </font>
      <numFmt numFmtId="164" formatCode="0.00_);[Red]\(0.00\)"/>
      <border>
        <left style="thin">
          <color rgb="FF8EA9DB"/>
        </left>
        <right/>
        <top style="thin">
          <color rgb="FF8EA9DB"/>
        </top>
        <bottom style="thin">
          <color rgb="FF8EA9DB"/>
        </bottom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2" displayName="Table2" ref="E16:AD110" headerRowCount="1" totalsRowShown="0">
  <autoFilter ref="E16:AD110"/>
  <tableColumns count="26">
    <tableColumn id="1" name="OldTick" dataDxfId="22"/>
    <tableColumn id="2" name="Ex"/>
    <tableColumn id="3" name="Look" dataDxfId="21">
      <calculatedColumnFormula>IF(OR(LEFT(E17,3)="SAF",LEFT(E17,3)="MVE",LEFT(E17,2)="JB"),MID(E17,IF(LEFT(E17,2)="JB",3,4),LEN(E17)-2),E17)&amp;F17</calculatedColumnFormula>
    </tableColumn>
    <tableColumn id="4" name="Open" dataDxfId="20">
      <calculatedColumnFormula>VALUE(_xlfn.XLOOKUP($G17,LatestData!$A$17:$A$89,LatestData!D$17:D$89))</calculatedColumnFormula>
    </tableColumn>
    <tableColumn id="5" name="Price" dataDxfId="19">
      <calculatedColumnFormula>VALUE(_xlfn.XLOOKUP($G17,LatestData!$A$17:$A$89,LatestData!E$17:E$89))</calculatedColumnFormula>
    </tableColumn>
    <tableColumn id="6" name="High" dataDxfId="18">
      <calculatedColumnFormula>VALUE(_xlfn.XLOOKUP($G17,LatestData!$A$17:$A$89,LatestData!F$17:F$89))</calculatedColumnFormula>
    </tableColumn>
    <tableColumn id="7" name="Low" dataDxfId="17">
      <calculatedColumnFormula>VALUE(_xlfn.XLOOKUP($G17,LatestData!$A$17:$A$89,LatestData!G$17:G$89))</calculatedColumnFormula>
    </tableColumn>
    <tableColumn id="8" name="PreviousClose" dataDxfId="16">
      <calculatedColumnFormula>VALUE(_xlfn.XLOOKUP($G17,LatestData!$A$17:$A$89,LatestData!H$17:H$89))</calculatedColumnFormula>
    </tableColumn>
    <tableColumn id="9" name="Volume" dataDxfId="15">
      <calculatedColumnFormula>VALUE(_xlfn.XLOOKUP($G17,LatestData!$A$17:$A$89,LatestData!I$17:I$89))</calculatedColumnFormula>
    </tableColumn>
    <tableColumn id="10" name="Time" dataDxfId="14">
      <calculatedColumnFormula>VALUE(_xlfn.XLOOKUP($G17,LatestData!$A$17:$A$89,LatestData!J$17:J$89))</calculatedColumnFormula>
    </tableColumn>
    <tableColumn id="11" name="Av_Volume" dataDxfId="13">
      <calculatedColumnFormula>VALUE(_xlfn.XLOOKUP($G17,LatestData!$A$17:$A$89,LatestData!K$17:K$89))</calculatedColumnFormula>
    </tableColumn>
    <tableColumn id="12" name="marketCap" dataDxfId="12">
      <calculatedColumnFormula>VALUE(_xlfn.XLOOKUP($G17,LatestData!$A$17:$A$89,LatestData!L$17:L$89))</calculatedColumnFormula>
    </tableColumn>
    <tableColumn id="13" name="Week52High" dataDxfId="11">
      <calculatedColumnFormula>VALUE(_xlfn.XLOOKUP($G17,LatestData!$A$17:$A$89,LatestData!M$17:M$89))</calculatedColumnFormula>
    </tableColumn>
    <tableColumn id="14" name="Week52Low" dataDxfId="10">
      <calculatedColumnFormula>VALUE(_xlfn.XLOOKUP($G17,LatestData!$A$17:$A$89,LatestData!N$17:N$89))</calculatedColumnFormula>
    </tableColumn>
    <tableColumn id="15" name="currency" dataDxfId="9">
      <calculatedColumnFormula>_xlfn.XLOOKUP($G17,LatestData!$A$17:$A$89,LatestData!O$17:O$89)</calculatedColumnFormula>
    </tableColumn>
    <tableColumn id="16" name="T1Y_Mean" dataDxfId="8">
      <calculatedColumnFormula>VALUE(_xlfn.XLOOKUP($G17,LatestData!$A$17:$A$89,LatestData!P$17:P$89))</calculatedColumnFormula>
    </tableColumn>
    <tableColumn id="17" name="Advice_Mean" dataDxfId="7">
      <calculatedColumnFormula>VALUE(_xlfn.XLOOKUP($G17,LatestData!$A$17:$A$89,LatestData!Q$17:Q$89))</calculatedColumnFormula>
    </tableColumn>
    <tableColumn id="18" name="Div" dataDxfId="6">
      <calculatedColumnFormula>VALUE(_xlfn.XLOOKUP($G17,LatestData!$A$17:$A$89,LatestData!R$17:R$89))</calculatedColumnFormula>
    </tableColumn>
    <tableColumn id="19" name="DivYield" dataDxfId="5" dataCellStyle="Percent">
      <calculatedColumnFormula>VALUE(_xlfn.XLOOKUP($G17,LatestData!$A$17:$A$89,LatestData!S$17:S$89)%)</calculatedColumnFormula>
    </tableColumn>
    <tableColumn id="20" name="exDiv_Date" dataDxfId="4">
      <calculatedColumnFormula>VALUE(_xlfn.XLOOKUP($G17,LatestData!$A$17:$A$89,LatestData!T$17:T$89))</calculatedColumnFormula>
    </tableColumn>
    <tableColumn id="21" name="EarnDate" dataDxfId="3">
      <calculatedColumnFormula>VALUE(_xlfn.XLOOKUP($G17,LatestData!$A$17:$A$89,LatestData!U$17:U$89))</calculatedColumnFormula>
    </tableColumn>
    <tableColumn id="22" name="Op_Cl" dataDxfId="2" dataCellStyle="Percent">
      <calculatedColumnFormula>IFERROR((Table2[[#This Row],[Open]]-Table2[[#This Row],[PreviousClose]])/Table2[[#This Row],[PreviousClose]],0)</calculatedColumnFormula>
    </tableColumn>
    <tableColumn id="23" name="M_Op" dataDxfId="1" dataCellStyle="Percent">
      <calculatedColumnFormula>IFERROR((Table2[[#This Row],[Price]]-Table2[[#This Row],[Open]])/Table2[[#This Row],[Open]],0)</calculatedColumnFormula>
    </tableColumn>
    <tableColumn id="24" name="M_Cl" dataDxfId="0">
      <calculatedColumnFormula>Table2[[#This Row],[Price]]-Table2[[#This Row],[PreviousClose]]</calculatedColumnFormula>
    </tableColumn>
    <tableColumn id="25" name="M_V_Open"/>
    <tableColumn id="26" name="M_V_Now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Tdata" displayName="RTdata" ref="A1:U89" headerRowCount="1">
  <autoFilter ref="A1:U89"/>
  <tableColumns count="21">
    <tableColumn id="1" name="Ticker"/>
    <tableColumn id="2" name="Status"/>
    <tableColumn id="3" name="MissingFields"/>
    <tableColumn id="4" name="Open"/>
    <tableColumn id="5" name="MarketPrice"/>
    <tableColumn id="6" name="MarketDayHigh"/>
    <tableColumn id="7" name="MarketDayLow"/>
    <tableColumn id="8" name="MarketPreviousClose"/>
    <tableColumn id="9" name="Volume"/>
    <tableColumn id="10" name="MarketTime"/>
    <tableColumn id="11" name="AverageVolume"/>
    <tableColumn id="12" name="marketCap"/>
    <tableColumn id="13" name="fiftyTwoWeekHigh"/>
    <tableColumn id="14" name="fiftyTwoWeekLow"/>
    <tableColumn id="15" name="currency"/>
    <tableColumn id="16" name="targetMeanPrice"/>
    <tableColumn id="17" name="recommendationMean"/>
    <tableColumn id="18" name="dividendRate"/>
    <tableColumn id="19" name="dividendYield"/>
    <tableColumn id="20" name="exDividendDate"/>
    <tableColumn id="21" name="earningsDa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D110"/>
  <sheetViews>
    <sheetView tabSelected="1" topLeftCell="H8" workbookViewId="0">
      <selection activeCell="J4" sqref="J4"/>
    </sheetView>
  </sheetViews>
  <sheetFormatPr baseColWidth="10" defaultRowHeight="16"/>
  <cols>
    <col width="13.6640625" bestFit="1" customWidth="1" min="5" max="5"/>
    <col width="11" customWidth="1" min="8" max="8"/>
    <col width="12.5" bestFit="1" customWidth="1" min="13" max="13"/>
    <col width="11.33203125" bestFit="1" customWidth="1" min="14" max="14"/>
    <col width="14" bestFit="1" customWidth="1" min="15" max="15"/>
    <col width="18.83203125" bestFit="1" customWidth="1" min="16" max="16"/>
    <col width="16.33203125" bestFit="1" customWidth="1" min="18" max="18"/>
    <col width="10.83203125" customWidth="1" style="20" min="19" max="19"/>
    <col width="12.33203125" bestFit="1" customWidth="1" min="24" max="25"/>
  </cols>
  <sheetData>
    <row r="1">
      <c r="A1" t="inlineStr">
        <is>
          <t>Ticker</t>
        </is>
      </c>
    </row>
    <row r="2">
      <c r="A2" t="inlineStr">
        <is>
          <t>BHP.AX</t>
        </is>
      </c>
    </row>
    <row r="3">
      <c r="A3" t="inlineStr">
        <is>
          <t>CBA.AX</t>
        </is>
      </c>
    </row>
    <row r="4">
      <c r="A4" t="inlineStr">
        <is>
          <t>CSL.AX</t>
        </is>
      </c>
    </row>
    <row r="5">
      <c r="A5" t="inlineStr">
        <is>
          <t>QAN.AX</t>
        </is>
      </c>
    </row>
    <row r="6">
      <c r="A6" t="inlineStr">
        <is>
          <t>LYC.AX</t>
        </is>
      </c>
    </row>
    <row r="7">
      <c r="A7" t="inlineStr">
        <is>
          <t>ILU.AX</t>
        </is>
      </c>
    </row>
    <row r="8">
      <c r="A8" t="inlineStr">
        <is>
          <t>ARU.AX</t>
        </is>
      </c>
    </row>
    <row r="9">
      <c r="A9" t="inlineStr">
        <is>
          <t>ASM.AX</t>
        </is>
      </c>
    </row>
    <row r="10">
      <c r="A10" t="inlineStr">
        <is>
          <t>AR3.AX</t>
        </is>
      </c>
    </row>
    <row r="11">
      <c r="A11" t="inlineStr">
        <is>
          <t>NTU.AX</t>
        </is>
      </c>
    </row>
    <row r="12">
      <c r="A12" t="inlineStr">
        <is>
          <t>AR3.AX</t>
        </is>
      </c>
    </row>
    <row r="13">
      <c r="A13" t="inlineStr">
        <is>
          <t>LIN.AX</t>
        </is>
      </c>
    </row>
    <row r="14">
      <c r="A14" t="inlineStr">
        <is>
          <t>ALK.AX</t>
        </is>
      </c>
    </row>
    <row r="15">
      <c r="A15" t="inlineStr">
        <is>
          <t>ADC.AX</t>
        </is>
      </c>
      <c r="H15">
        <f>VALUE(_xlfn.XLOOKUP($G17,LatestData!$A$17:$A$89,LatestData!D$17:D$89))</f>
        <v/>
      </c>
      <c r="I15">
        <f>VALUE(_xlfn.XLOOKUP($G17,LatestData!$A$17:$A$89,LatestData!E$17:E$89))</f>
        <v/>
      </c>
      <c r="J15">
        <f>VALUE(_xlfn.XLOOKUP($G17,LatestData!$A$17:$A$89,LatestData!F$17:F$89))</f>
        <v/>
      </c>
      <c r="K15">
        <f>VALUE(_xlfn.XLOOKUP($G17,LatestData!$A$17:$A$89,LatestData!G$17:G$89))</f>
        <v/>
      </c>
      <c r="L15">
        <f>VALUE(_xlfn.XLOOKUP($G17,LatestData!$A$17:$A$89,LatestData!H$17:H$89))</f>
        <v/>
      </c>
      <c r="M15">
        <f>VALUE(_xlfn.XLOOKUP($G17,LatestData!$A$17:$A$89,LatestData!I$17:I$89))</f>
        <v/>
      </c>
      <c r="N15">
        <f>VALUE(_xlfn.XLOOKUP($G17,LatestData!$A$17:$A$89,LatestData!J$17:J$89))</f>
        <v/>
      </c>
      <c r="O15">
        <f>VALUE(_xlfn.XLOOKUP($G17,LatestData!$A$17:$A$89,LatestData!K$17:K$89))</f>
        <v/>
      </c>
      <c r="P15">
        <f>VALUE(_xlfn.XLOOKUP($G17,LatestData!$A$17:$A$89,LatestData!L$17:L$89))</f>
        <v/>
      </c>
      <c r="Q15">
        <f>VALUE(_xlfn.XLOOKUP($G17,LatestData!$A$17:$A$89,LatestData!M$17:M$89))</f>
        <v/>
      </c>
      <c r="R15">
        <f>VALUE(_xlfn.XLOOKUP($G17,LatestData!$A$17:$A$89,LatestData!N$17:N$89))</f>
        <v/>
      </c>
      <c r="S15" s="20">
        <f>_xlfn.XLOOKUP($G17,LatestData!$A$17:$A$89,LatestData!O$17:O$89)</f>
        <v/>
      </c>
      <c r="T15">
        <f>VALUE(_xlfn.XLOOKUP($G17,LatestData!$A$17:$A$89,LatestData!P$17:P$89))</f>
        <v/>
      </c>
      <c r="U15">
        <f>VALUE(_xlfn.XLOOKUP($G17,LatestData!$A$17:$A$89,LatestData!Q$17:Q$89))</f>
        <v/>
      </c>
      <c r="V15">
        <f>VALUE(_xlfn.XLOOKUP($G17,LatestData!$A$17:$A$89,LatestData!R$17:R$89))</f>
        <v/>
      </c>
      <c r="W15">
        <f>VALUE(_xlfn.XLOOKUP($G17,LatestData!$A$17:$A$89,LatestData!S$17:S$89)%)</f>
        <v/>
      </c>
      <c r="X15">
        <f>VALUE(_xlfn.XLOOKUP($G17,LatestData!$A$17:$A$89,LatestData!T$17:T$89))</f>
        <v/>
      </c>
      <c r="Y15">
        <f>VALUE(_xlfn.XLOOKUP($G17,LatestData!$A$17:$A$89,LatestData!U$17:U$89))</f>
        <v/>
      </c>
    </row>
    <row r="16">
      <c r="A16" t="inlineStr">
        <is>
          <t>HAS.AX</t>
        </is>
      </c>
      <c r="E16" t="inlineStr">
        <is>
          <t>OldTick</t>
        </is>
      </c>
      <c r="F16" t="inlineStr">
        <is>
          <t>Ex</t>
        </is>
      </c>
      <c r="G16" t="inlineStr">
        <is>
          <t>Look</t>
        </is>
      </c>
      <c r="H16" s="2" t="inlineStr">
        <is>
          <t>Open</t>
        </is>
      </c>
      <c r="I16" s="18" t="inlineStr">
        <is>
          <t>Price</t>
        </is>
      </c>
      <c r="J16" s="12" t="inlineStr">
        <is>
          <t>High</t>
        </is>
      </c>
      <c r="K16" s="12" t="inlineStr">
        <is>
          <t>Low</t>
        </is>
      </c>
      <c r="L16" s="12" t="inlineStr">
        <is>
          <t>PreviousClose</t>
        </is>
      </c>
      <c r="M16" s="2" t="inlineStr">
        <is>
          <t>Volume</t>
        </is>
      </c>
      <c r="N16" s="19" t="inlineStr">
        <is>
          <t>Time</t>
        </is>
      </c>
      <c r="O16" s="12" t="inlineStr">
        <is>
          <t>Av_Volume</t>
        </is>
      </c>
      <c r="P16" s="12" t="inlineStr">
        <is>
          <t>marketCap</t>
        </is>
      </c>
      <c r="Q16" s="12" t="inlineStr">
        <is>
          <t>Week52High</t>
        </is>
      </c>
      <c r="R16" s="12" t="inlineStr">
        <is>
          <t>Week52Low</t>
        </is>
      </c>
      <c r="S16" s="22" t="inlineStr">
        <is>
          <t>currency</t>
        </is>
      </c>
      <c r="T16" s="12" t="inlineStr">
        <is>
          <t>T1Y_Mean</t>
        </is>
      </c>
      <c r="U16" s="12" t="inlineStr">
        <is>
          <t>Advice_Mean</t>
        </is>
      </c>
      <c r="V16" s="12" t="inlineStr">
        <is>
          <t>Div</t>
        </is>
      </c>
      <c r="W16" s="12" t="inlineStr">
        <is>
          <t>DivYield</t>
        </is>
      </c>
      <c r="X16" s="19" t="inlineStr">
        <is>
          <t>exDiv_Date</t>
        </is>
      </c>
      <c r="Y16" s="19" t="inlineStr">
        <is>
          <t>EarnDate</t>
        </is>
      </c>
      <c r="Z16" t="inlineStr">
        <is>
          <t>Op_Cl</t>
        </is>
      </c>
      <c r="AA16" t="inlineStr">
        <is>
          <t>M_Op</t>
        </is>
      </c>
      <c r="AB16" t="inlineStr">
        <is>
          <t>M_Cl</t>
        </is>
      </c>
      <c r="AC16" t="inlineStr">
        <is>
          <t>M_V_Open</t>
        </is>
      </c>
      <c r="AD16" t="inlineStr">
        <is>
          <t>M_V_Now</t>
        </is>
      </c>
    </row>
    <row r="17" ht="21" customHeight="1">
      <c r="A17" s="1" t="inlineStr">
        <is>
          <t>AAPL</t>
        </is>
      </c>
      <c r="E17" s="3" t="inlineStr">
        <is>
          <t>AAPL</t>
        </is>
      </c>
      <c r="G17">
        <f>IF(OR(LEFT(E17,3)="SAF",LEFT(E17,3)="MVE",LEFT(E17,2)="JB"),MID(E17,IF(LEFT(E17,2)="JB",3,4),LEN(E17)-2),E17)&amp;F17</f>
        <v/>
      </c>
      <c r="H17" s="11">
        <f>VALUE(_xlfn.XLOOKUP($G17,LatestData!$A$17:$A$89,LatestData!D$17:D$89))</f>
        <v/>
      </c>
      <c r="I17" s="11">
        <f>VALUE(_xlfn.XLOOKUP($G17,LatestData!$A$17:$A$89,LatestData!E$17:E$89))</f>
        <v/>
      </c>
      <c r="J17" s="11">
        <f>VALUE(_xlfn.XLOOKUP($G17,LatestData!$A$17:$A$89,LatestData!F$17:F$89))</f>
        <v/>
      </c>
      <c r="K17" s="11">
        <f>VALUE(_xlfn.XLOOKUP($G17,LatestData!$A$17:$A$89,LatestData!G$17:G$89))</f>
        <v/>
      </c>
      <c r="L17" s="11">
        <f>VALUE(_xlfn.XLOOKUP($G17,LatestData!$A$17:$A$89,LatestData!H$17:H$89))</f>
        <v/>
      </c>
      <c r="M17" s="11">
        <f>VALUE(_xlfn.XLOOKUP($G17,LatestData!$A$17:$A$89,LatestData!I$17:I$89))</f>
        <v/>
      </c>
      <c r="N17" s="15">
        <f>VALUE(_xlfn.XLOOKUP($G17,LatestData!$A$17:$A$89,LatestData!J$17:J$89))</f>
        <v/>
      </c>
      <c r="O17" s="11">
        <f>VALUE(_xlfn.XLOOKUP($G17,LatestData!$A$17:$A$89,LatestData!K$17:K$89))</f>
        <v/>
      </c>
      <c r="P17" s="11">
        <f>VALUE(_xlfn.XLOOKUP($G17,LatestData!$A$17:$A$89,LatestData!L$17:L$89))</f>
        <v/>
      </c>
      <c r="Q17" s="11">
        <f>VALUE(_xlfn.XLOOKUP($G17,LatestData!$A$17:$A$89,LatestData!M$17:M$89))</f>
        <v/>
      </c>
      <c r="R17" s="11">
        <f>VALUE(_xlfn.XLOOKUP($G17,LatestData!$A$17:$A$89,LatestData!N$17:N$89))</f>
        <v/>
      </c>
      <c r="S17" s="21">
        <f>_xlfn.XLOOKUP($G17,LatestData!$A$17:$A$89,LatestData!O$17:O$89)</f>
        <v/>
      </c>
      <c r="T17" s="11">
        <f>VALUE(_xlfn.XLOOKUP($G17,LatestData!$A$17:$A$89,LatestData!P$17:P$89))</f>
        <v/>
      </c>
      <c r="U17" s="11">
        <f>VALUE(_xlfn.XLOOKUP($G17,LatestData!$A$17:$A$89,LatestData!Q$17:Q$89))</f>
        <v/>
      </c>
      <c r="V17" s="11">
        <f>VALUE(_xlfn.XLOOKUP($G17,LatestData!$A$17:$A$89,LatestData!R$17:R$89))</f>
        <v/>
      </c>
      <c r="W17" s="16">
        <f>VALUE(_xlfn.XLOOKUP($G17,LatestData!$A$17:$A$89,LatestData!S$17:S$89)%)</f>
        <v/>
      </c>
      <c r="X17" s="17">
        <f>VALUE(_xlfn.XLOOKUP($G17,LatestData!$A$17:$A$89,LatestData!T$17:T$89))</f>
        <v/>
      </c>
      <c r="Y17" s="17">
        <f>VALUE(_xlfn.XLOOKUP($G17,LatestData!$A$17:$A$89,LatestData!U$17:U$89))</f>
        <v/>
      </c>
      <c r="Z17" s="13">
        <f>IFERROR((Table2[[#This Row],[Open]]-Table2[[#This Row],[PreviousClose]])/Table2[[#This Row],[PreviousClose]],0)</f>
        <v/>
      </c>
      <c r="AA17" s="13">
        <f>IFERROR((Table2[[#This Row],[Price]]-Table2[[#This Row],[Open]])/Table2[[#This Row],[Open]],0)</f>
        <v/>
      </c>
      <c r="AB17" s="11">
        <f>Table2[[#This Row],[Price]]-Table2[[#This Row],[PreviousClose]]</f>
        <v/>
      </c>
    </row>
    <row r="18" ht="21" customHeight="1">
      <c r="A18" s="1" t="inlineStr">
        <is>
          <t>ADEA</t>
        </is>
      </c>
      <c r="E18" s="4" t="inlineStr">
        <is>
          <t>ADEA</t>
        </is>
      </c>
      <c r="G18">
        <f>IF(OR(LEFT(E18,3)="SAF",LEFT(E18,3)="MVE",LEFT(E18,2)="JB"),MID(E18,IF(LEFT(E18,2)="JB",3,4),LEN(E18)-2),E18)&amp;F18</f>
        <v/>
      </c>
      <c r="H18" s="11">
        <f>VALUE(_xlfn.XLOOKUP($G18,LatestData!$A$17:$A$89,LatestData!D$17:D$89))</f>
        <v/>
      </c>
      <c r="I18" s="11">
        <f>VALUE(_xlfn.XLOOKUP($G18,LatestData!$A$17:$A$89,LatestData!E$17:E$89))</f>
        <v/>
      </c>
      <c r="J18" s="11">
        <f>VALUE(_xlfn.XLOOKUP($G18,LatestData!$A$17:$A$89,LatestData!F$17:F$89))</f>
        <v/>
      </c>
      <c r="K18" s="11">
        <f>VALUE(_xlfn.XLOOKUP($G18,LatestData!$A$17:$A$89,LatestData!G$17:G$89))</f>
        <v/>
      </c>
      <c r="L18" s="11">
        <f>VALUE(_xlfn.XLOOKUP($G18,LatestData!$A$17:$A$89,LatestData!H$17:H$89))</f>
        <v/>
      </c>
      <c r="M18" s="11">
        <f>VALUE(_xlfn.XLOOKUP($G18,LatestData!$A$17:$A$89,LatestData!I$17:I$89))</f>
        <v/>
      </c>
      <c r="N18" s="15">
        <f>VALUE(_xlfn.XLOOKUP($G18,LatestData!$A$17:$A$89,LatestData!J$17:J$89))</f>
        <v/>
      </c>
      <c r="O18" s="11">
        <f>VALUE(_xlfn.XLOOKUP($G18,LatestData!$A$17:$A$89,LatestData!K$17:K$89))</f>
        <v/>
      </c>
      <c r="P18" s="11">
        <f>VALUE(_xlfn.XLOOKUP($G18,LatestData!$A$17:$A$89,LatestData!L$17:L$89))</f>
        <v/>
      </c>
      <c r="Q18" s="11">
        <f>VALUE(_xlfn.XLOOKUP($G18,LatestData!$A$17:$A$89,LatestData!M$17:M$89))</f>
        <v/>
      </c>
      <c r="R18" s="11">
        <f>VALUE(_xlfn.XLOOKUP($G18,LatestData!$A$17:$A$89,LatestData!N$17:N$89))</f>
        <v/>
      </c>
      <c r="S18" s="21">
        <f>_xlfn.XLOOKUP($G18,LatestData!$A$17:$A$89,LatestData!O$17:O$89)</f>
        <v/>
      </c>
      <c r="T18" s="11">
        <f>VALUE(_xlfn.XLOOKUP($G18,LatestData!$A$17:$A$89,LatestData!P$17:P$89))</f>
        <v/>
      </c>
      <c r="U18" s="11">
        <f>VALUE(_xlfn.XLOOKUP($G18,LatestData!$A$17:$A$89,LatestData!Q$17:Q$89))</f>
        <v/>
      </c>
      <c r="V18" s="11">
        <f>VALUE(_xlfn.XLOOKUP($G18,LatestData!$A$17:$A$89,LatestData!R$17:R$89))</f>
        <v/>
      </c>
      <c r="W18" s="16">
        <f>VALUE(_xlfn.XLOOKUP($G18,LatestData!$A$17:$A$89,LatestData!S$17:S$89)%)</f>
        <v/>
      </c>
      <c r="X18" s="17">
        <f>VALUE(_xlfn.XLOOKUP($G18,LatestData!$A$17:$A$89,LatestData!T$17:T$89))</f>
        <v/>
      </c>
      <c r="Y18" s="17">
        <f>VALUE(_xlfn.XLOOKUP($G18,LatestData!$A$17:$A$89,LatestData!U$17:U$89))</f>
        <v/>
      </c>
      <c r="Z18" s="13">
        <f>IFERROR((Table2[[#This Row],[Open]]-Table2[[#This Row],[PreviousClose]])/Table2[[#This Row],[PreviousClose]],0)</f>
        <v/>
      </c>
      <c r="AA18" s="13">
        <f>IFERROR((Table2[[#This Row],[Price]]-Table2[[#This Row],[Open]])/Table2[[#This Row],[Open]],0)</f>
        <v/>
      </c>
      <c r="AB18" s="11">
        <f>Table2[[#This Row],[Price]]-Table2[[#This Row],[PreviousClose]]</f>
        <v/>
      </c>
    </row>
    <row r="19" ht="21" customHeight="1">
      <c r="A19" s="1" t="inlineStr">
        <is>
          <t>AET.L</t>
        </is>
      </c>
      <c r="E19" s="3" t="inlineStr">
        <is>
          <t>AET</t>
        </is>
      </c>
      <c r="F19" t="inlineStr">
        <is>
          <t>.L</t>
        </is>
      </c>
      <c r="G19">
        <f>IF(OR(LEFT(E19,3)="SAF",LEFT(E19,3)="MVE",LEFT(E19,2)="JB"),MID(E19,IF(LEFT(E19,2)="JB",3,4),LEN(E19)-2),E19)&amp;F19</f>
        <v/>
      </c>
      <c r="H19" s="11">
        <f>VALUE(_xlfn.XLOOKUP($G19,LatestData!$A$17:$A$89,LatestData!D$17:D$89))</f>
        <v/>
      </c>
      <c r="I19" s="11">
        <f>VALUE(_xlfn.XLOOKUP($G19,LatestData!$A$17:$A$89,LatestData!E$17:E$89))</f>
        <v/>
      </c>
      <c r="J19" s="11">
        <f>VALUE(_xlfn.XLOOKUP($G19,LatestData!$A$17:$A$89,LatestData!F$17:F$89))</f>
        <v/>
      </c>
      <c r="K19" s="11">
        <f>VALUE(_xlfn.XLOOKUP($G19,LatestData!$A$17:$A$89,LatestData!G$17:G$89))</f>
        <v/>
      </c>
      <c r="L19" s="11">
        <f>VALUE(_xlfn.XLOOKUP($G19,LatestData!$A$17:$A$89,LatestData!H$17:H$89))</f>
        <v/>
      </c>
      <c r="M19" s="11">
        <f>VALUE(_xlfn.XLOOKUP($G19,LatestData!$A$17:$A$89,LatestData!I$17:I$89))</f>
        <v/>
      </c>
      <c r="N19" s="15">
        <f>VALUE(_xlfn.XLOOKUP($G19,LatestData!$A$17:$A$89,LatestData!J$17:J$89))</f>
        <v/>
      </c>
      <c r="O19" s="11">
        <f>VALUE(_xlfn.XLOOKUP($G19,LatestData!$A$17:$A$89,LatestData!K$17:K$89))</f>
        <v/>
      </c>
      <c r="P19" s="11">
        <f>VALUE(_xlfn.XLOOKUP($G19,LatestData!$A$17:$A$89,LatestData!L$17:L$89))</f>
        <v/>
      </c>
      <c r="Q19" s="11">
        <f>VALUE(_xlfn.XLOOKUP($G19,LatestData!$A$17:$A$89,LatestData!M$17:M$89))</f>
        <v/>
      </c>
      <c r="R19" s="11">
        <f>VALUE(_xlfn.XLOOKUP($G19,LatestData!$A$17:$A$89,LatestData!N$17:N$89))</f>
        <v/>
      </c>
      <c r="S19" s="21">
        <f>_xlfn.XLOOKUP($G19,LatestData!$A$17:$A$89,LatestData!O$17:O$89)</f>
        <v/>
      </c>
      <c r="T19" s="11">
        <f>VALUE(_xlfn.XLOOKUP($G19,LatestData!$A$17:$A$89,LatestData!P$17:P$89))</f>
        <v/>
      </c>
      <c r="U19" s="11">
        <f>VALUE(_xlfn.XLOOKUP($G19,LatestData!$A$17:$A$89,LatestData!Q$17:Q$89))</f>
        <v/>
      </c>
      <c r="V19" s="11">
        <f>VALUE(_xlfn.XLOOKUP($G19,LatestData!$A$17:$A$89,LatestData!R$17:R$89))</f>
        <v/>
      </c>
      <c r="W19" s="16">
        <f>VALUE(_xlfn.XLOOKUP($G19,LatestData!$A$17:$A$89,LatestData!S$17:S$89)%)</f>
        <v/>
      </c>
      <c r="X19" s="17">
        <f>VALUE(_xlfn.XLOOKUP($G19,LatestData!$A$17:$A$89,LatestData!T$17:T$89))</f>
        <v/>
      </c>
      <c r="Y19" s="17">
        <f>VALUE(_xlfn.XLOOKUP($G19,LatestData!$A$17:$A$89,LatestData!U$17:U$89))</f>
        <v/>
      </c>
      <c r="Z19" s="13">
        <f>IFERROR((Table2[[#This Row],[Open]]-Table2[[#This Row],[PreviousClose]])/Table2[[#This Row],[PreviousClose]],0)</f>
        <v/>
      </c>
      <c r="AA19" s="13">
        <f>IFERROR((Table2[[#This Row],[Price]]-Table2[[#This Row],[Open]])/Table2[[#This Row],[Open]],0)</f>
        <v/>
      </c>
      <c r="AB19" s="11">
        <f>Table2[[#This Row],[Price]]-Table2[[#This Row],[PreviousClose]]</f>
        <v/>
      </c>
    </row>
    <row r="20" ht="21" customHeight="1">
      <c r="A20" s="1" t="inlineStr">
        <is>
          <t>AMZN</t>
        </is>
      </c>
      <c r="E20" s="4" t="inlineStr">
        <is>
          <t>AMZN</t>
        </is>
      </c>
      <c r="G20">
        <f>IF(OR(LEFT(E20,3)="SAF",LEFT(E20,3)="MVE",LEFT(E20,2)="JB"),MID(E20,IF(LEFT(E20,2)="JB",3,4),LEN(E20)-2),E20)&amp;F20</f>
        <v/>
      </c>
      <c r="H20" s="11">
        <f>VALUE(_xlfn.XLOOKUP($G20,LatestData!$A$17:$A$89,LatestData!D$17:D$89))</f>
        <v/>
      </c>
      <c r="I20" s="11">
        <f>VALUE(_xlfn.XLOOKUP($G20,LatestData!$A$17:$A$89,LatestData!E$17:E$89))</f>
        <v/>
      </c>
      <c r="J20" s="11">
        <f>VALUE(_xlfn.XLOOKUP($G20,LatestData!$A$17:$A$89,LatestData!F$17:F$89))</f>
        <v/>
      </c>
      <c r="K20" s="11">
        <f>VALUE(_xlfn.XLOOKUP($G20,LatestData!$A$17:$A$89,LatestData!G$17:G$89))</f>
        <v/>
      </c>
      <c r="L20" s="11">
        <f>VALUE(_xlfn.XLOOKUP($G20,LatestData!$A$17:$A$89,LatestData!H$17:H$89))</f>
        <v/>
      </c>
      <c r="M20" s="11">
        <f>VALUE(_xlfn.XLOOKUP($G20,LatestData!$A$17:$A$89,LatestData!I$17:I$89))</f>
        <v/>
      </c>
      <c r="N20" s="15">
        <f>VALUE(_xlfn.XLOOKUP($G20,LatestData!$A$17:$A$89,LatestData!J$17:J$89))</f>
        <v/>
      </c>
      <c r="O20" s="11">
        <f>VALUE(_xlfn.XLOOKUP($G20,LatestData!$A$17:$A$89,LatestData!K$17:K$89))</f>
        <v/>
      </c>
      <c r="P20" s="11">
        <f>VALUE(_xlfn.XLOOKUP($G20,LatestData!$A$17:$A$89,LatestData!L$17:L$89))</f>
        <v/>
      </c>
      <c r="Q20" s="11">
        <f>VALUE(_xlfn.XLOOKUP($G20,LatestData!$A$17:$A$89,LatestData!M$17:M$89))</f>
        <v/>
      </c>
      <c r="R20" s="11">
        <f>VALUE(_xlfn.XLOOKUP($G20,LatestData!$A$17:$A$89,LatestData!N$17:N$89))</f>
        <v/>
      </c>
      <c r="S20" s="21">
        <f>_xlfn.XLOOKUP($G20,LatestData!$A$17:$A$89,LatestData!O$17:O$89)</f>
        <v/>
      </c>
      <c r="T20" s="11">
        <f>VALUE(_xlfn.XLOOKUP($G20,LatestData!$A$17:$A$89,LatestData!P$17:P$89))</f>
        <v/>
      </c>
      <c r="U20" s="11">
        <f>VALUE(_xlfn.XLOOKUP($G20,LatestData!$A$17:$A$89,LatestData!Q$17:Q$89))</f>
        <v/>
      </c>
      <c r="V20" s="11">
        <f>VALUE(_xlfn.XLOOKUP($G20,LatestData!$A$17:$A$89,LatestData!R$17:R$89))</f>
        <v/>
      </c>
      <c r="W20" s="16">
        <f>VALUE(_xlfn.XLOOKUP($G20,LatestData!$A$17:$A$89,LatestData!S$17:S$89)%)</f>
        <v/>
      </c>
      <c r="X20" s="17">
        <f>VALUE(_xlfn.XLOOKUP($G20,LatestData!$A$17:$A$89,LatestData!T$17:T$89))</f>
        <v/>
      </c>
      <c r="Y20" s="17">
        <f>VALUE(_xlfn.XLOOKUP($G20,LatestData!$A$17:$A$89,LatestData!U$17:U$89))</f>
        <v/>
      </c>
      <c r="Z20" s="13">
        <f>IFERROR((Table2[[#This Row],[Open]]-Table2[[#This Row],[PreviousClose]])/Table2[[#This Row],[PreviousClose]],0)</f>
        <v/>
      </c>
      <c r="AA20" s="13">
        <f>IFERROR((Table2[[#This Row],[Price]]-Table2[[#This Row],[Open]])/Table2[[#This Row],[Open]],0)</f>
        <v/>
      </c>
      <c r="AB20" s="11">
        <f>Table2[[#This Row],[Price]]-Table2[[#This Row],[PreviousClose]]</f>
        <v/>
      </c>
    </row>
    <row r="21" ht="22" customHeight="1">
      <c r="A21" s="1" t="inlineStr">
        <is>
          <t>ALDNE.PA</t>
        </is>
      </c>
      <c r="E21" s="5" t="inlineStr">
        <is>
          <t>ALDNE</t>
        </is>
      </c>
      <c r="F21" t="inlineStr">
        <is>
          <t>.PA</t>
        </is>
      </c>
      <c r="G21">
        <f>IF(OR(LEFT(E21,3)="SAF",LEFT(E21,3)="MVE",LEFT(E21,2)="JB"),MID(E21,IF(LEFT(E21,2)="JB",3,4),LEN(E21)-2),E21)&amp;F21</f>
        <v/>
      </c>
      <c r="H21" s="11">
        <f>VALUE(_xlfn.XLOOKUP($G21,LatestData!$A$17:$A$89,LatestData!D$17:D$89))</f>
        <v/>
      </c>
      <c r="I21" s="11">
        <f>VALUE(_xlfn.XLOOKUP($G21,LatestData!$A$17:$A$89,LatestData!E$17:E$89))</f>
        <v/>
      </c>
      <c r="J21" s="11">
        <f>VALUE(_xlfn.XLOOKUP($G21,LatestData!$A$17:$A$89,LatestData!F$17:F$89))</f>
        <v/>
      </c>
      <c r="K21" s="11">
        <f>VALUE(_xlfn.XLOOKUP($G21,LatestData!$A$17:$A$89,LatestData!G$17:G$89))</f>
        <v/>
      </c>
      <c r="L21" s="11">
        <f>VALUE(_xlfn.XLOOKUP($G21,LatestData!$A$17:$A$89,LatestData!H$17:H$89))</f>
        <v/>
      </c>
      <c r="M21" s="11">
        <f>VALUE(_xlfn.XLOOKUP($G21,LatestData!$A$17:$A$89,LatestData!I$17:I$89))</f>
        <v/>
      </c>
      <c r="N21" s="15">
        <f>VALUE(_xlfn.XLOOKUP($G21,LatestData!$A$17:$A$89,LatestData!J$17:J$89))</f>
        <v/>
      </c>
      <c r="O21" s="11">
        <f>VALUE(_xlfn.XLOOKUP($G21,LatestData!$A$17:$A$89,LatestData!K$17:K$89))</f>
        <v/>
      </c>
      <c r="P21" s="11">
        <f>VALUE(_xlfn.XLOOKUP($G21,LatestData!$A$17:$A$89,LatestData!L$17:L$89))</f>
        <v/>
      </c>
      <c r="Q21" s="11">
        <f>VALUE(_xlfn.XLOOKUP($G21,LatestData!$A$17:$A$89,LatestData!M$17:M$89))</f>
        <v/>
      </c>
      <c r="R21" s="11">
        <f>VALUE(_xlfn.XLOOKUP($G21,LatestData!$A$17:$A$89,LatestData!N$17:N$89))</f>
        <v/>
      </c>
      <c r="S21" s="21">
        <f>_xlfn.XLOOKUP($G21,LatestData!$A$17:$A$89,LatestData!O$17:O$89)</f>
        <v/>
      </c>
      <c r="T21" s="11">
        <f>VALUE(_xlfn.XLOOKUP($G21,LatestData!$A$17:$A$89,LatestData!P$17:P$89))</f>
        <v/>
      </c>
      <c r="U21" s="11">
        <f>VALUE(_xlfn.XLOOKUP($G21,LatestData!$A$17:$A$89,LatestData!Q$17:Q$89))</f>
        <v/>
      </c>
      <c r="V21" s="11">
        <f>VALUE(_xlfn.XLOOKUP($G21,LatestData!$A$17:$A$89,LatestData!R$17:R$89))</f>
        <v/>
      </c>
      <c r="W21" s="16">
        <f>VALUE(_xlfn.XLOOKUP($G21,LatestData!$A$17:$A$89,LatestData!S$17:S$89)%)</f>
        <v/>
      </c>
      <c r="X21" s="17">
        <f>VALUE(_xlfn.XLOOKUP($G21,LatestData!$A$17:$A$89,LatestData!T$17:T$89))</f>
        <v/>
      </c>
      <c r="Y21" s="17">
        <f>VALUE(_xlfn.XLOOKUP($G21,LatestData!$A$17:$A$89,LatestData!U$17:U$89))</f>
        <v/>
      </c>
      <c r="Z21" s="13">
        <f>IFERROR((Table2[[#This Row],[Open]]-Table2[[#This Row],[PreviousClose]])/Table2[[#This Row],[PreviousClose]],0)</f>
        <v/>
      </c>
      <c r="AA21" s="13">
        <f>IFERROR((Table2[[#This Row],[Price]]-Table2[[#This Row],[Open]])/Table2[[#This Row],[Open]],0)</f>
        <v/>
      </c>
      <c r="AB21" s="11">
        <f>Table2[[#This Row],[Price]]-Table2[[#This Row],[PreviousClose]]</f>
        <v/>
      </c>
    </row>
    <row r="22" ht="21" customHeight="1">
      <c r="A22" s="1" t="inlineStr">
        <is>
          <t>ASML.AS</t>
        </is>
      </c>
      <c r="E22" s="4" t="inlineStr">
        <is>
          <t>ASML</t>
        </is>
      </c>
      <c r="F22" t="inlineStr">
        <is>
          <t>.AS</t>
        </is>
      </c>
      <c r="G22">
        <f>IF(OR(LEFT(E22,3)="SAF",LEFT(E22,3)="MVE",LEFT(E22,2)="JB"),MID(E22,IF(LEFT(E22,2)="JB",3,4),LEN(E22)-2),E22)&amp;F22</f>
        <v/>
      </c>
      <c r="H22" s="11">
        <f>VALUE(_xlfn.XLOOKUP($G22,LatestData!$A$17:$A$89,LatestData!D$17:D$89))</f>
        <v/>
      </c>
      <c r="I22" s="11">
        <f>VALUE(_xlfn.XLOOKUP($G22,LatestData!$A$17:$A$89,LatestData!E$17:E$89))</f>
        <v/>
      </c>
      <c r="J22" s="11">
        <f>VALUE(_xlfn.XLOOKUP($G22,LatestData!$A$17:$A$89,LatestData!F$17:F$89))</f>
        <v/>
      </c>
      <c r="K22" s="11">
        <f>VALUE(_xlfn.XLOOKUP($G22,LatestData!$A$17:$A$89,LatestData!G$17:G$89))</f>
        <v/>
      </c>
      <c r="L22" s="11">
        <f>VALUE(_xlfn.XLOOKUP($G22,LatestData!$A$17:$A$89,LatestData!H$17:H$89))</f>
        <v/>
      </c>
      <c r="M22" s="11">
        <f>VALUE(_xlfn.XLOOKUP($G22,LatestData!$A$17:$A$89,LatestData!I$17:I$89))</f>
        <v/>
      </c>
      <c r="N22" s="15">
        <f>VALUE(_xlfn.XLOOKUP($G22,LatestData!$A$17:$A$89,LatestData!J$17:J$89))</f>
        <v/>
      </c>
      <c r="O22" s="11">
        <f>VALUE(_xlfn.XLOOKUP($G22,LatestData!$A$17:$A$89,LatestData!K$17:K$89))</f>
        <v/>
      </c>
      <c r="P22" s="11">
        <f>VALUE(_xlfn.XLOOKUP($G22,LatestData!$A$17:$A$89,LatestData!L$17:L$89))</f>
        <v/>
      </c>
      <c r="Q22" s="11">
        <f>VALUE(_xlfn.XLOOKUP($G22,LatestData!$A$17:$A$89,LatestData!M$17:M$89))</f>
        <v/>
      </c>
      <c r="R22" s="11">
        <f>VALUE(_xlfn.XLOOKUP($G22,LatestData!$A$17:$A$89,LatestData!N$17:N$89))</f>
        <v/>
      </c>
      <c r="S22" s="21">
        <f>_xlfn.XLOOKUP($G22,LatestData!$A$17:$A$89,LatestData!O$17:O$89)</f>
        <v/>
      </c>
      <c r="T22" s="11">
        <f>VALUE(_xlfn.XLOOKUP($G22,LatestData!$A$17:$A$89,LatestData!P$17:P$89))</f>
        <v/>
      </c>
      <c r="U22" s="11">
        <f>VALUE(_xlfn.XLOOKUP($G22,LatestData!$A$17:$A$89,LatestData!Q$17:Q$89))</f>
        <v/>
      </c>
      <c r="V22" s="11">
        <f>VALUE(_xlfn.XLOOKUP($G22,LatestData!$A$17:$A$89,LatestData!R$17:R$89))</f>
        <v/>
      </c>
      <c r="W22" s="16">
        <f>VALUE(_xlfn.XLOOKUP($G22,LatestData!$A$17:$A$89,LatestData!S$17:S$89)%)</f>
        <v/>
      </c>
      <c r="X22" s="17">
        <f>VALUE(_xlfn.XLOOKUP($G22,LatestData!$A$17:$A$89,LatestData!T$17:T$89))</f>
        <v/>
      </c>
      <c r="Y22" s="17">
        <f>VALUE(_xlfn.XLOOKUP($G22,LatestData!$A$17:$A$89,LatestData!U$17:U$89))</f>
        <v/>
      </c>
      <c r="Z22" s="13">
        <f>IFERROR((Table2[[#This Row],[Open]]-Table2[[#This Row],[PreviousClose]])/Table2[[#This Row],[PreviousClose]],0)</f>
        <v/>
      </c>
      <c r="AA22" s="13">
        <f>IFERROR((Table2[[#This Row],[Price]]-Table2[[#This Row],[Open]])/Table2[[#This Row],[Open]],0)</f>
        <v/>
      </c>
      <c r="AB22" s="11">
        <f>Table2[[#This Row],[Price]]-Table2[[#This Row],[PreviousClose]]</f>
        <v/>
      </c>
    </row>
    <row r="23" ht="21" customHeight="1">
      <c r="A23" s="6" t="inlineStr">
        <is>
          <t>AVGO</t>
        </is>
      </c>
      <c r="E23" s="6" t="inlineStr">
        <is>
          <t>AVGO</t>
        </is>
      </c>
      <c r="G23">
        <f>IF(OR(LEFT(E23,3)="SAF",LEFT(E23,3)="MVE",LEFT(E23,2)="JB"),MID(E23,IF(LEFT(E23,2)="JB",3,4),LEN(E23)-2),E23)&amp;F23</f>
        <v/>
      </c>
      <c r="H23" s="11">
        <f>VALUE(_xlfn.XLOOKUP($G23,LatestData!$A$17:$A$89,LatestData!D$17:D$89))</f>
        <v/>
      </c>
      <c r="I23" s="11">
        <f>VALUE(_xlfn.XLOOKUP($G23,LatestData!$A$17:$A$89,LatestData!E$17:E$89))</f>
        <v/>
      </c>
      <c r="J23" s="11">
        <f>VALUE(_xlfn.XLOOKUP($G23,LatestData!$A$17:$A$89,LatestData!F$17:F$89))</f>
        <v/>
      </c>
      <c r="K23" s="11">
        <f>VALUE(_xlfn.XLOOKUP($G23,LatestData!$A$17:$A$89,LatestData!G$17:G$89))</f>
        <v/>
      </c>
      <c r="L23" s="11">
        <f>VALUE(_xlfn.XLOOKUP($G23,LatestData!$A$17:$A$89,LatestData!H$17:H$89))</f>
        <v/>
      </c>
      <c r="M23" s="11">
        <f>VALUE(_xlfn.XLOOKUP($G23,LatestData!$A$17:$A$89,LatestData!I$17:I$89))</f>
        <v/>
      </c>
      <c r="N23" s="15">
        <f>VALUE(_xlfn.XLOOKUP($G23,LatestData!$A$17:$A$89,LatestData!J$17:J$89))</f>
        <v/>
      </c>
      <c r="O23" s="11">
        <f>VALUE(_xlfn.XLOOKUP($G23,LatestData!$A$17:$A$89,LatestData!K$17:K$89))</f>
        <v/>
      </c>
      <c r="P23" s="11">
        <f>VALUE(_xlfn.XLOOKUP($G23,LatestData!$A$17:$A$89,LatestData!L$17:L$89))</f>
        <v/>
      </c>
      <c r="Q23" s="11">
        <f>VALUE(_xlfn.XLOOKUP($G23,LatestData!$A$17:$A$89,LatestData!M$17:M$89))</f>
        <v/>
      </c>
      <c r="R23" s="11">
        <f>VALUE(_xlfn.XLOOKUP($G23,LatestData!$A$17:$A$89,LatestData!N$17:N$89))</f>
        <v/>
      </c>
      <c r="S23" s="21">
        <f>_xlfn.XLOOKUP($G23,LatestData!$A$17:$A$89,LatestData!O$17:O$89)</f>
        <v/>
      </c>
      <c r="T23" s="11">
        <f>VALUE(_xlfn.XLOOKUP($G23,LatestData!$A$17:$A$89,LatestData!P$17:P$89))</f>
        <v/>
      </c>
      <c r="U23" s="11">
        <f>VALUE(_xlfn.XLOOKUP($G23,LatestData!$A$17:$A$89,LatestData!Q$17:Q$89))</f>
        <v/>
      </c>
      <c r="V23" s="11">
        <f>VALUE(_xlfn.XLOOKUP($G23,LatestData!$A$17:$A$89,LatestData!R$17:R$89))</f>
        <v/>
      </c>
      <c r="W23" s="16">
        <f>VALUE(_xlfn.XLOOKUP($G23,LatestData!$A$17:$A$89,LatestData!S$17:S$89)%)</f>
        <v/>
      </c>
      <c r="X23" s="17">
        <f>VALUE(_xlfn.XLOOKUP($G23,LatestData!$A$17:$A$89,LatestData!T$17:T$89))</f>
        <v/>
      </c>
      <c r="Y23" s="17">
        <f>VALUE(_xlfn.XLOOKUP($G23,LatestData!$A$17:$A$89,LatestData!U$17:U$89))</f>
        <v/>
      </c>
      <c r="Z23" s="13">
        <f>IFERROR((Table2[[#This Row],[Open]]-Table2[[#This Row],[PreviousClose]])/Table2[[#This Row],[PreviousClose]],0)</f>
        <v/>
      </c>
      <c r="AA23" s="13">
        <f>IFERROR((Table2[[#This Row],[Price]]-Table2[[#This Row],[Open]])/Table2[[#This Row],[Open]],0)</f>
        <v/>
      </c>
      <c r="AB23" s="11">
        <f>Table2[[#This Row],[Price]]-Table2[[#This Row],[PreviousClose]]</f>
        <v/>
      </c>
    </row>
    <row r="24" ht="21" customHeight="1">
      <c r="A24" s="1" t="inlineStr">
        <is>
          <t>AZN</t>
        </is>
      </c>
      <c r="E24" s="7" t="inlineStr">
        <is>
          <t>AZN</t>
        </is>
      </c>
      <c r="G24">
        <f>IF(OR(LEFT(E24,3)="SAF",LEFT(E24,3)="MVE",LEFT(E24,2)="JB"),MID(E24,IF(LEFT(E24,2)="JB",3,4),LEN(E24)-2),E24)&amp;F24</f>
        <v/>
      </c>
      <c r="H24" s="11">
        <f>VALUE(_xlfn.XLOOKUP($G24,LatestData!$A$17:$A$89,LatestData!D$17:D$89))</f>
        <v/>
      </c>
      <c r="I24" s="11">
        <f>VALUE(_xlfn.XLOOKUP($G24,LatestData!$A$17:$A$89,LatestData!E$17:E$89))</f>
        <v/>
      </c>
      <c r="J24" s="11">
        <f>VALUE(_xlfn.XLOOKUP($G24,LatestData!$A$17:$A$89,LatestData!F$17:F$89))</f>
        <v/>
      </c>
      <c r="K24" s="11">
        <f>VALUE(_xlfn.XLOOKUP($G24,LatestData!$A$17:$A$89,LatestData!G$17:G$89))</f>
        <v/>
      </c>
      <c r="L24" s="11">
        <f>VALUE(_xlfn.XLOOKUP($G24,LatestData!$A$17:$A$89,LatestData!H$17:H$89))</f>
        <v/>
      </c>
      <c r="M24" s="11">
        <f>VALUE(_xlfn.XLOOKUP($G24,LatestData!$A$17:$A$89,LatestData!I$17:I$89))</f>
        <v/>
      </c>
      <c r="N24" s="15">
        <f>VALUE(_xlfn.XLOOKUP($G24,LatestData!$A$17:$A$89,LatestData!J$17:J$89))</f>
        <v/>
      </c>
      <c r="O24" s="11">
        <f>VALUE(_xlfn.XLOOKUP($G24,LatestData!$A$17:$A$89,LatestData!K$17:K$89))</f>
        <v/>
      </c>
      <c r="P24" s="11">
        <f>VALUE(_xlfn.XLOOKUP($G24,LatestData!$A$17:$A$89,LatestData!L$17:L$89))</f>
        <v/>
      </c>
      <c r="Q24" s="11">
        <f>VALUE(_xlfn.XLOOKUP($G24,LatestData!$A$17:$A$89,LatestData!M$17:M$89))</f>
        <v/>
      </c>
      <c r="R24" s="11">
        <f>VALUE(_xlfn.XLOOKUP($G24,LatestData!$A$17:$A$89,LatestData!N$17:N$89))</f>
        <v/>
      </c>
      <c r="S24" s="21">
        <f>_xlfn.XLOOKUP($G24,LatestData!$A$17:$A$89,LatestData!O$17:O$89)</f>
        <v/>
      </c>
      <c r="T24" s="11">
        <f>VALUE(_xlfn.XLOOKUP($G24,LatestData!$A$17:$A$89,LatestData!P$17:P$89))</f>
        <v/>
      </c>
      <c r="U24" s="11">
        <f>VALUE(_xlfn.XLOOKUP($G24,LatestData!$A$17:$A$89,LatestData!Q$17:Q$89))</f>
        <v/>
      </c>
      <c r="V24" s="11">
        <f>VALUE(_xlfn.XLOOKUP($G24,LatestData!$A$17:$A$89,LatestData!R$17:R$89))</f>
        <v/>
      </c>
      <c r="W24" s="16">
        <f>VALUE(_xlfn.XLOOKUP($G24,LatestData!$A$17:$A$89,LatestData!S$17:S$89)%)</f>
        <v/>
      </c>
      <c r="X24" s="17">
        <f>VALUE(_xlfn.XLOOKUP($G24,LatestData!$A$17:$A$89,LatestData!T$17:T$89))</f>
        <v/>
      </c>
      <c r="Y24" s="17">
        <f>VALUE(_xlfn.XLOOKUP($G24,LatestData!$A$17:$A$89,LatestData!U$17:U$89))</f>
        <v/>
      </c>
      <c r="Z24" s="13">
        <f>IFERROR((Table2[[#This Row],[Open]]-Table2[[#This Row],[PreviousClose]])/Table2[[#This Row],[PreviousClose]],0)</f>
        <v/>
      </c>
      <c r="AA24" s="13">
        <f>IFERROR((Table2[[#This Row],[Price]]-Table2[[#This Row],[Open]])/Table2[[#This Row],[Open]],0)</f>
        <v/>
      </c>
      <c r="AB24" s="11">
        <f>Table2[[#This Row],[Price]]-Table2[[#This Row],[PreviousClose]]</f>
        <v/>
      </c>
    </row>
    <row r="25" ht="21" customHeight="1">
      <c r="A25" s="1" t="inlineStr">
        <is>
          <t>BLDP</t>
        </is>
      </c>
      <c r="E25" s="3" t="inlineStr">
        <is>
          <t>BLDP</t>
        </is>
      </c>
      <c r="G25">
        <f>IF(OR(LEFT(E25,3)="SAF",LEFT(E25,3)="MVE",LEFT(E25,2)="JB"),MID(E25,IF(LEFT(E25,2)="JB",3,4),LEN(E25)-2),E25)&amp;F25</f>
        <v/>
      </c>
      <c r="H25" s="11">
        <f>VALUE(_xlfn.XLOOKUP($G25,LatestData!$A$17:$A$89,LatestData!D$17:D$89))</f>
        <v/>
      </c>
      <c r="I25" s="11">
        <f>VALUE(_xlfn.XLOOKUP($G25,LatestData!$A$17:$A$89,LatestData!E$17:E$89))</f>
        <v/>
      </c>
      <c r="J25" s="11">
        <f>VALUE(_xlfn.XLOOKUP($G25,LatestData!$A$17:$A$89,LatestData!F$17:F$89))</f>
        <v/>
      </c>
      <c r="K25" s="11">
        <f>VALUE(_xlfn.XLOOKUP($G25,LatestData!$A$17:$A$89,LatestData!G$17:G$89))</f>
        <v/>
      </c>
      <c r="L25" s="11">
        <f>VALUE(_xlfn.XLOOKUP($G25,LatestData!$A$17:$A$89,LatestData!H$17:H$89))</f>
        <v/>
      </c>
      <c r="M25" s="11">
        <f>VALUE(_xlfn.XLOOKUP($G25,LatestData!$A$17:$A$89,LatestData!I$17:I$89))</f>
        <v/>
      </c>
      <c r="N25" s="15">
        <f>VALUE(_xlfn.XLOOKUP($G25,LatestData!$A$17:$A$89,LatestData!J$17:J$89))</f>
        <v/>
      </c>
      <c r="O25" s="11">
        <f>VALUE(_xlfn.XLOOKUP($G25,LatestData!$A$17:$A$89,LatestData!K$17:K$89))</f>
        <v/>
      </c>
      <c r="P25" s="11">
        <f>VALUE(_xlfn.XLOOKUP($G25,LatestData!$A$17:$A$89,LatestData!L$17:L$89))</f>
        <v/>
      </c>
      <c r="Q25" s="11">
        <f>VALUE(_xlfn.XLOOKUP($G25,LatestData!$A$17:$A$89,LatestData!M$17:M$89))</f>
        <v/>
      </c>
      <c r="R25" s="11">
        <f>VALUE(_xlfn.XLOOKUP($G25,LatestData!$A$17:$A$89,LatestData!N$17:N$89))</f>
        <v/>
      </c>
      <c r="S25" s="21">
        <f>_xlfn.XLOOKUP($G25,LatestData!$A$17:$A$89,LatestData!O$17:O$89)</f>
        <v/>
      </c>
      <c r="T25" s="11">
        <f>VALUE(_xlfn.XLOOKUP($G25,LatestData!$A$17:$A$89,LatestData!P$17:P$89))</f>
        <v/>
      </c>
      <c r="U25" s="11">
        <f>VALUE(_xlfn.XLOOKUP($G25,LatestData!$A$17:$A$89,LatestData!Q$17:Q$89))</f>
        <v/>
      </c>
      <c r="V25" s="11">
        <f>VALUE(_xlfn.XLOOKUP($G25,LatestData!$A$17:$A$89,LatestData!R$17:R$89))</f>
        <v/>
      </c>
      <c r="W25" s="16">
        <f>VALUE(_xlfn.XLOOKUP($G25,LatestData!$A$17:$A$89,LatestData!S$17:S$89)%)</f>
        <v/>
      </c>
      <c r="X25" s="17">
        <f>VALUE(_xlfn.XLOOKUP($G25,LatestData!$A$17:$A$89,LatestData!T$17:T$89))</f>
        <v/>
      </c>
      <c r="Y25" s="17">
        <f>VALUE(_xlfn.XLOOKUP($G25,LatestData!$A$17:$A$89,LatestData!U$17:U$89))</f>
        <v/>
      </c>
      <c r="Z25" s="13">
        <f>IFERROR((Table2[[#This Row],[Open]]-Table2[[#This Row],[PreviousClose]])/Table2[[#This Row],[PreviousClose]],0)</f>
        <v/>
      </c>
      <c r="AA25" s="13">
        <f>IFERROR((Table2[[#This Row],[Price]]-Table2[[#This Row],[Open]])/Table2[[#This Row],[Open]],0)</f>
        <v/>
      </c>
      <c r="AB25" s="11">
        <f>Table2[[#This Row],[Price]]-Table2[[#This Row],[PreviousClose]]</f>
        <v/>
      </c>
    </row>
    <row r="26" ht="21" customHeight="1">
      <c r="A26" s="1" t="inlineStr">
        <is>
          <t>BMRA</t>
        </is>
      </c>
      <c r="E26" s="4" t="inlineStr">
        <is>
          <t>BMRA</t>
        </is>
      </c>
      <c r="G26">
        <f>IF(OR(LEFT(E26,3)="SAF",LEFT(E26,3)="MVE",LEFT(E26,2)="JB"),MID(E26,IF(LEFT(E26,2)="JB",3,4),LEN(E26)-2),E26)&amp;F26</f>
        <v/>
      </c>
      <c r="H26" s="11">
        <f>VALUE(_xlfn.XLOOKUP($G26,LatestData!$A$17:$A$89,LatestData!D$17:D$89))</f>
        <v/>
      </c>
      <c r="I26" s="11">
        <f>VALUE(_xlfn.XLOOKUP($G26,LatestData!$A$17:$A$89,LatestData!E$17:E$89))</f>
        <v/>
      </c>
      <c r="J26" s="11">
        <f>VALUE(_xlfn.XLOOKUP($G26,LatestData!$A$17:$A$89,LatestData!F$17:F$89))</f>
        <v/>
      </c>
      <c r="K26" s="11">
        <f>VALUE(_xlfn.XLOOKUP($G26,LatestData!$A$17:$A$89,LatestData!G$17:G$89))</f>
        <v/>
      </c>
      <c r="L26" s="11">
        <f>VALUE(_xlfn.XLOOKUP($G26,LatestData!$A$17:$A$89,LatestData!H$17:H$89))</f>
        <v/>
      </c>
      <c r="M26" s="11">
        <f>VALUE(_xlfn.XLOOKUP($G26,LatestData!$A$17:$A$89,LatestData!I$17:I$89))</f>
        <v/>
      </c>
      <c r="N26" s="15">
        <f>VALUE(_xlfn.XLOOKUP($G26,LatestData!$A$17:$A$89,LatestData!J$17:J$89))</f>
        <v/>
      </c>
      <c r="O26" s="11">
        <f>VALUE(_xlfn.XLOOKUP($G26,LatestData!$A$17:$A$89,LatestData!K$17:K$89))</f>
        <v/>
      </c>
      <c r="P26" s="11">
        <f>VALUE(_xlfn.XLOOKUP($G26,LatestData!$A$17:$A$89,LatestData!L$17:L$89))</f>
        <v/>
      </c>
      <c r="Q26" s="11">
        <f>VALUE(_xlfn.XLOOKUP($G26,LatestData!$A$17:$A$89,LatestData!M$17:M$89))</f>
        <v/>
      </c>
      <c r="R26" s="11">
        <f>VALUE(_xlfn.XLOOKUP($G26,LatestData!$A$17:$A$89,LatestData!N$17:N$89))</f>
        <v/>
      </c>
      <c r="S26" s="21">
        <f>_xlfn.XLOOKUP($G26,LatestData!$A$17:$A$89,LatestData!O$17:O$89)</f>
        <v/>
      </c>
      <c r="T26" s="11">
        <f>VALUE(_xlfn.XLOOKUP($G26,LatestData!$A$17:$A$89,LatestData!P$17:P$89))</f>
        <v/>
      </c>
      <c r="U26" s="11">
        <f>VALUE(_xlfn.XLOOKUP($G26,LatestData!$A$17:$A$89,LatestData!Q$17:Q$89))</f>
        <v/>
      </c>
      <c r="V26" s="11">
        <f>VALUE(_xlfn.XLOOKUP($G26,LatestData!$A$17:$A$89,LatestData!R$17:R$89))</f>
        <v/>
      </c>
      <c r="W26" s="16">
        <f>VALUE(_xlfn.XLOOKUP($G26,LatestData!$A$17:$A$89,LatestData!S$17:S$89)%)</f>
        <v/>
      </c>
      <c r="X26" s="17">
        <f>VALUE(_xlfn.XLOOKUP($G26,LatestData!$A$17:$A$89,LatestData!T$17:T$89))</f>
        <v/>
      </c>
      <c r="Y26" s="17">
        <f>VALUE(_xlfn.XLOOKUP($G26,LatestData!$A$17:$A$89,LatestData!U$17:U$89))</f>
        <v/>
      </c>
      <c r="Z26" s="13">
        <f>IFERROR((Table2[[#This Row],[Open]]-Table2[[#This Row],[PreviousClose]])/Table2[[#This Row],[PreviousClose]],0)</f>
        <v/>
      </c>
      <c r="AA26" s="13">
        <f>IFERROR((Table2[[#This Row],[Price]]-Table2[[#This Row],[Open]])/Table2[[#This Row],[Open]],0)</f>
        <v/>
      </c>
      <c r="AB26" s="11">
        <f>Table2[[#This Row],[Price]]-Table2[[#This Row],[PreviousClose]]</f>
        <v/>
      </c>
    </row>
    <row r="27" ht="21" customHeight="1">
      <c r="A27" s="1" t="inlineStr">
        <is>
          <t>C</t>
        </is>
      </c>
      <c r="E27" s="3" t="inlineStr">
        <is>
          <t>C</t>
        </is>
      </c>
      <c r="G27">
        <f>IF(OR(LEFT(E27,3)="SAF",LEFT(E27,3)="MVE",LEFT(E27,2)="JB"),MID(E27,IF(LEFT(E27,2)="JB",3,4),LEN(E27)-2),E27)&amp;F27</f>
        <v/>
      </c>
      <c r="H27" s="11">
        <f>VALUE(_xlfn.XLOOKUP($G27,LatestData!$A$17:$A$89,LatestData!D$17:D$89))</f>
        <v/>
      </c>
      <c r="I27" s="11">
        <f>VALUE(_xlfn.XLOOKUP($G27,LatestData!$A$17:$A$89,LatestData!E$17:E$89))</f>
        <v/>
      </c>
      <c r="J27" s="11">
        <f>VALUE(_xlfn.XLOOKUP($G27,LatestData!$A$17:$A$89,LatestData!F$17:F$89))</f>
        <v/>
      </c>
      <c r="K27" s="11">
        <f>VALUE(_xlfn.XLOOKUP($G27,LatestData!$A$17:$A$89,LatestData!G$17:G$89))</f>
        <v/>
      </c>
      <c r="L27" s="11">
        <f>VALUE(_xlfn.XLOOKUP($G27,LatestData!$A$17:$A$89,LatestData!H$17:H$89))</f>
        <v/>
      </c>
      <c r="M27" s="11">
        <f>VALUE(_xlfn.XLOOKUP($G27,LatestData!$A$17:$A$89,LatestData!I$17:I$89))</f>
        <v/>
      </c>
      <c r="N27" s="15">
        <f>VALUE(_xlfn.XLOOKUP($G27,LatestData!$A$17:$A$89,LatestData!J$17:J$89))</f>
        <v/>
      </c>
      <c r="O27" s="11">
        <f>VALUE(_xlfn.XLOOKUP($G27,LatestData!$A$17:$A$89,LatestData!K$17:K$89))</f>
        <v/>
      </c>
      <c r="P27" s="11">
        <f>VALUE(_xlfn.XLOOKUP($G27,LatestData!$A$17:$A$89,LatestData!L$17:L$89))</f>
        <v/>
      </c>
      <c r="Q27" s="11">
        <f>VALUE(_xlfn.XLOOKUP($G27,LatestData!$A$17:$A$89,LatestData!M$17:M$89))</f>
        <v/>
      </c>
      <c r="R27" s="11">
        <f>VALUE(_xlfn.XLOOKUP($G27,LatestData!$A$17:$A$89,LatestData!N$17:N$89))</f>
        <v/>
      </c>
      <c r="S27" s="21">
        <f>_xlfn.XLOOKUP($G27,LatestData!$A$17:$A$89,LatestData!O$17:O$89)</f>
        <v/>
      </c>
      <c r="T27" s="11">
        <f>VALUE(_xlfn.XLOOKUP($G27,LatestData!$A$17:$A$89,LatestData!P$17:P$89))</f>
        <v/>
      </c>
      <c r="U27" s="11">
        <f>VALUE(_xlfn.XLOOKUP($G27,LatestData!$A$17:$A$89,LatestData!Q$17:Q$89))</f>
        <v/>
      </c>
      <c r="V27" s="11">
        <f>VALUE(_xlfn.XLOOKUP($G27,LatestData!$A$17:$A$89,LatestData!R$17:R$89))</f>
        <v/>
      </c>
      <c r="W27" s="16">
        <f>VALUE(_xlfn.XLOOKUP($G27,LatestData!$A$17:$A$89,LatestData!S$17:S$89)%)</f>
        <v/>
      </c>
      <c r="X27" s="17">
        <f>VALUE(_xlfn.XLOOKUP($G27,LatestData!$A$17:$A$89,LatestData!T$17:T$89))</f>
        <v/>
      </c>
      <c r="Y27" s="17">
        <f>VALUE(_xlfn.XLOOKUP($G27,LatestData!$A$17:$A$89,LatestData!U$17:U$89))</f>
        <v/>
      </c>
      <c r="Z27" s="13">
        <f>IFERROR((Table2[[#This Row],[Open]]-Table2[[#This Row],[PreviousClose]])/Table2[[#This Row],[PreviousClose]],0)</f>
        <v/>
      </c>
      <c r="AA27" s="13">
        <f>IFERROR((Table2[[#This Row],[Price]]-Table2[[#This Row],[Open]])/Table2[[#This Row],[Open]],0)</f>
        <v/>
      </c>
      <c r="AB27" s="11">
        <f>Table2[[#This Row],[Price]]-Table2[[#This Row],[PreviousClose]]</f>
        <v/>
      </c>
    </row>
    <row r="28" ht="21" customHeight="1">
      <c r="A28" s="1" t="inlineStr">
        <is>
          <t>CSCO</t>
        </is>
      </c>
      <c r="E28" s="4" t="inlineStr">
        <is>
          <t>CSCO</t>
        </is>
      </c>
      <c r="G28">
        <f>IF(OR(LEFT(E28,3)="SAF",LEFT(E28,3)="MVE",LEFT(E28,2)="JB"),MID(E28,IF(LEFT(E28,2)="JB",3,4),LEN(E28)-2),E28)&amp;F28</f>
        <v/>
      </c>
      <c r="H28" s="11">
        <f>VALUE(_xlfn.XLOOKUP($G28,LatestData!$A$17:$A$89,LatestData!D$17:D$89))</f>
        <v/>
      </c>
      <c r="I28" s="11">
        <f>VALUE(_xlfn.XLOOKUP($G28,LatestData!$A$17:$A$89,LatestData!E$17:E$89))</f>
        <v/>
      </c>
      <c r="J28" s="11">
        <f>VALUE(_xlfn.XLOOKUP($G28,LatestData!$A$17:$A$89,LatestData!F$17:F$89))</f>
        <v/>
      </c>
      <c r="K28" s="11">
        <f>VALUE(_xlfn.XLOOKUP($G28,LatestData!$A$17:$A$89,LatestData!G$17:G$89))</f>
        <v/>
      </c>
      <c r="L28" s="11">
        <f>VALUE(_xlfn.XLOOKUP($G28,LatestData!$A$17:$A$89,LatestData!H$17:H$89))</f>
        <v/>
      </c>
      <c r="M28" s="11">
        <f>VALUE(_xlfn.XLOOKUP($G28,LatestData!$A$17:$A$89,LatestData!I$17:I$89))</f>
        <v/>
      </c>
      <c r="N28" s="15">
        <f>VALUE(_xlfn.XLOOKUP($G28,LatestData!$A$17:$A$89,LatestData!J$17:J$89))</f>
        <v/>
      </c>
      <c r="O28" s="11">
        <f>VALUE(_xlfn.XLOOKUP($G28,LatestData!$A$17:$A$89,LatestData!K$17:K$89))</f>
        <v/>
      </c>
      <c r="P28" s="11">
        <f>VALUE(_xlfn.XLOOKUP($G28,LatestData!$A$17:$A$89,LatestData!L$17:L$89))</f>
        <v/>
      </c>
      <c r="Q28" s="11">
        <f>VALUE(_xlfn.XLOOKUP($G28,LatestData!$A$17:$A$89,LatestData!M$17:M$89))</f>
        <v/>
      </c>
      <c r="R28" s="11">
        <f>VALUE(_xlfn.XLOOKUP($G28,LatestData!$A$17:$A$89,LatestData!N$17:N$89))</f>
        <v/>
      </c>
      <c r="S28" s="21">
        <f>_xlfn.XLOOKUP($G28,LatestData!$A$17:$A$89,LatestData!O$17:O$89)</f>
        <v/>
      </c>
      <c r="T28" s="11">
        <f>VALUE(_xlfn.XLOOKUP($G28,LatestData!$A$17:$A$89,LatestData!P$17:P$89))</f>
        <v/>
      </c>
      <c r="U28" s="11">
        <f>VALUE(_xlfn.XLOOKUP($G28,LatestData!$A$17:$A$89,LatestData!Q$17:Q$89))</f>
        <v/>
      </c>
      <c r="V28" s="11">
        <f>VALUE(_xlfn.XLOOKUP($G28,LatestData!$A$17:$A$89,LatestData!R$17:R$89))</f>
        <v/>
      </c>
      <c r="W28" s="16">
        <f>VALUE(_xlfn.XLOOKUP($G28,LatestData!$A$17:$A$89,LatestData!S$17:S$89)%)</f>
        <v/>
      </c>
      <c r="X28" s="17">
        <f>VALUE(_xlfn.XLOOKUP($G28,LatestData!$A$17:$A$89,LatestData!T$17:T$89))</f>
        <v/>
      </c>
      <c r="Y28" s="17">
        <f>VALUE(_xlfn.XLOOKUP($G28,LatestData!$A$17:$A$89,LatestData!U$17:U$89))</f>
        <v/>
      </c>
      <c r="Z28" s="13">
        <f>IFERROR((Table2[[#This Row],[Open]]-Table2[[#This Row],[PreviousClose]])/Table2[[#This Row],[PreviousClose]],0)</f>
        <v/>
      </c>
      <c r="AA28" s="13">
        <f>IFERROR((Table2[[#This Row],[Price]]-Table2[[#This Row],[Open]])/Table2[[#This Row],[Open]],0)</f>
        <v/>
      </c>
      <c r="AB28" s="11">
        <f>Table2[[#This Row],[Price]]-Table2[[#This Row],[PreviousClose]]</f>
        <v/>
      </c>
    </row>
    <row r="29" ht="21" customHeight="1">
      <c r="A29" s="1" t="inlineStr">
        <is>
          <t>CVS</t>
        </is>
      </c>
      <c r="E29" s="3" t="inlineStr">
        <is>
          <t>CVS</t>
        </is>
      </c>
      <c r="G29">
        <f>IF(OR(LEFT(E29,3)="SAF",LEFT(E29,3)="MVE",LEFT(E29,2)="JB"),MID(E29,IF(LEFT(E29,2)="JB",3,4),LEN(E29)-2),E29)&amp;F29</f>
        <v/>
      </c>
      <c r="H29" s="11">
        <f>VALUE(_xlfn.XLOOKUP($G29,LatestData!$A$17:$A$89,LatestData!D$17:D$89))</f>
        <v/>
      </c>
      <c r="I29" s="11">
        <f>VALUE(_xlfn.XLOOKUP($G29,LatestData!$A$17:$A$89,LatestData!E$17:E$89))</f>
        <v/>
      </c>
      <c r="J29" s="11">
        <f>VALUE(_xlfn.XLOOKUP($G29,LatestData!$A$17:$A$89,LatestData!F$17:F$89))</f>
        <v/>
      </c>
      <c r="K29" s="11">
        <f>VALUE(_xlfn.XLOOKUP($G29,LatestData!$A$17:$A$89,LatestData!G$17:G$89))</f>
        <v/>
      </c>
      <c r="L29" s="11">
        <f>VALUE(_xlfn.XLOOKUP($G29,LatestData!$A$17:$A$89,LatestData!H$17:H$89))</f>
        <v/>
      </c>
      <c r="M29" s="11">
        <f>VALUE(_xlfn.XLOOKUP($G29,LatestData!$A$17:$A$89,LatestData!I$17:I$89))</f>
        <v/>
      </c>
      <c r="N29" s="15">
        <f>VALUE(_xlfn.XLOOKUP($G29,LatestData!$A$17:$A$89,LatestData!J$17:J$89))</f>
        <v/>
      </c>
      <c r="O29" s="11">
        <f>VALUE(_xlfn.XLOOKUP($G29,LatestData!$A$17:$A$89,LatestData!K$17:K$89))</f>
        <v/>
      </c>
      <c r="P29" s="11">
        <f>VALUE(_xlfn.XLOOKUP($G29,LatestData!$A$17:$A$89,LatestData!L$17:L$89))</f>
        <v/>
      </c>
      <c r="Q29" s="11">
        <f>VALUE(_xlfn.XLOOKUP($G29,LatestData!$A$17:$A$89,LatestData!M$17:M$89))</f>
        <v/>
      </c>
      <c r="R29" s="11">
        <f>VALUE(_xlfn.XLOOKUP($G29,LatestData!$A$17:$A$89,LatestData!N$17:N$89))</f>
        <v/>
      </c>
      <c r="S29" s="21">
        <f>_xlfn.XLOOKUP($G29,LatestData!$A$17:$A$89,LatestData!O$17:O$89)</f>
        <v/>
      </c>
      <c r="T29" s="11">
        <f>VALUE(_xlfn.XLOOKUP($G29,LatestData!$A$17:$A$89,LatestData!P$17:P$89))</f>
        <v/>
      </c>
      <c r="U29" s="11">
        <f>VALUE(_xlfn.XLOOKUP($G29,LatestData!$A$17:$A$89,LatestData!Q$17:Q$89))</f>
        <v/>
      </c>
      <c r="V29" s="11">
        <f>VALUE(_xlfn.XLOOKUP($G29,LatestData!$A$17:$A$89,LatestData!R$17:R$89))</f>
        <v/>
      </c>
      <c r="W29" s="16">
        <f>VALUE(_xlfn.XLOOKUP($G29,LatestData!$A$17:$A$89,LatestData!S$17:S$89)%)</f>
        <v/>
      </c>
      <c r="X29" s="17">
        <f>VALUE(_xlfn.XLOOKUP($G29,LatestData!$A$17:$A$89,LatestData!T$17:T$89))</f>
        <v/>
      </c>
      <c r="Y29" s="17">
        <f>VALUE(_xlfn.XLOOKUP($G29,LatestData!$A$17:$A$89,LatestData!U$17:U$89))</f>
        <v/>
      </c>
      <c r="Z29" s="13">
        <f>IFERROR((Table2[[#This Row],[Open]]-Table2[[#This Row],[PreviousClose]])/Table2[[#This Row],[PreviousClose]],0)</f>
        <v/>
      </c>
      <c r="AA29" s="13">
        <f>IFERROR((Table2[[#This Row],[Price]]-Table2[[#This Row],[Open]])/Table2[[#This Row],[Open]],0)</f>
        <v/>
      </c>
      <c r="AB29" s="11">
        <f>Table2[[#This Row],[Price]]-Table2[[#This Row],[PreviousClose]]</f>
        <v/>
      </c>
    </row>
    <row r="30" ht="21" customHeight="1">
      <c r="A30" s="1" t="inlineStr">
        <is>
          <t>DDD</t>
        </is>
      </c>
      <c r="E30" s="4" t="inlineStr">
        <is>
          <t>DDD</t>
        </is>
      </c>
      <c r="G30">
        <f>IF(OR(LEFT(E30,3)="SAF",LEFT(E30,3)="MVE",LEFT(E30,2)="JB"),MID(E30,IF(LEFT(E30,2)="JB",3,4),LEN(E30)-2),E30)&amp;F30</f>
        <v/>
      </c>
      <c r="H30" s="11">
        <f>VALUE(_xlfn.XLOOKUP($G30,LatestData!$A$17:$A$89,LatestData!D$17:D$89))</f>
        <v/>
      </c>
      <c r="I30" s="11">
        <f>VALUE(_xlfn.XLOOKUP($G30,LatestData!$A$17:$A$89,LatestData!E$17:E$89))</f>
        <v/>
      </c>
      <c r="J30" s="11">
        <f>VALUE(_xlfn.XLOOKUP($G30,LatestData!$A$17:$A$89,LatestData!F$17:F$89))</f>
        <v/>
      </c>
      <c r="K30" s="11">
        <f>VALUE(_xlfn.XLOOKUP($G30,LatestData!$A$17:$A$89,LatestData!G$17:G$89))</f>
        <v/>
      </c>
      <c r="L30" s="11">
        <f>VALUE(_xlfn.XLOOKUP($G30,LatestData!$A$17:$A$89,LatestData!H$17:H$89))</f>
        <v/>
      </c>
      <c r="M30" s="11">
        <f>VALUE(_xlfn.XLOOKUP($G30,LatestData!$A$17:$A$89,LatestData!I$17:I$89))</f>
        <v/>
      </c>
      <c r="N30" s="15">
        <f>VALUE(_xlfn.XLOOKUP($G30,LatestData!$A$17:$A$89,LatestData!J$17:J$89))</f>
        <v/>
      </c>
      <c r="O30" s="11">
        <f>VALUE(_xlfn.XLOOKUP($G30,LatestData!$A$17:$A$89,LatestData!K$17:K$89))</f>
        <v/>
      </c>
      <c r="P30" s="11">
        <f>VALUE(_xlfn.XLOOKUP($G30,LatestData!$A$17:$A$89,LatestData!L$17:L$89))</f>
        <v/>
      </c>
      <c r="Q30" s="11">
        <f>VALUE(_xlfn.XLOOKUP($G30,LatestData!$A$17:$A$89,LatestData!M$17:M$89))</f>
        <v/>
      </c>
      <c r="R30" s="11">
        <f>VALUE(_xlfn.XLOOKUP($G30,LatestData!$A$17:$A$89,LatestData!N$17:N$89))</f>
        <v/>
      </c>
      <c r="S30" s="21">
        <f>_xlfn.XLOOKUP($G30,LatestData!$A$17:$A$89,LatestData!O$17:O$89)</f>
        <v/>
      </c>
      <c r="T30" s="11">
        <f>VALUE(_xlfn.XLOOKUP($G30,LatestData!$A$17:$A$89,LatestData!P$17:P$89))</f>
        <v/>
      </c>
      <c r="U30" s="11">
        <f>VALUE(_xlfn.XLOOKUP($G30,LatestData!$A$17:$A$89,LatestData!Q$17:Q$89))</f>
        <v/>
      </c>
      <c r="V30" s="11">
        <f>VALUE(_xlfn.XLOOKUP($G30,LatestData!$A$17:$A$89,LatestData!R$17:R$89))</f>
        <v/>
      </c>
      <c r="W30" s="16">
        <f>VALUE(_xlfn.XLOOKUP($G30,LatestData!$A$17:$A$89,LatestData!S$17:S$89)%)</f>
        <v/>
      </c>
      <c r="X30" s="17">
        <f>VALUE(_xlfn.XLOOKUP($G30,LatestData!$A$17:$A$89,LatestData!T$17:T$89))</f>
        <v/>
      </c>
      <c r="Y30" s="17">
        <f>VALUE(_xlfn.XLOOKUP($G30,LatestData!$A$17:$A$89,LatestData!U$17:U$89))</f>
        <v/>
      </c>
      <c r="Z30" s="13">
        <f>IFERROR((Table2[[#This Row],[Open]]-Table2[[#This Row],[PreviousClose]])/Table2[[#This Row],[PreviousClose]],0)</f>
        <v/>
      </c>
      <c r="AA30" s="13">
        <f>IFERROR((Table2[[#This Row],[Price]]-Table2[[#This Row],[Open]])/Table2[[#This Row],[Open]],0)</f>
        <v/>
      </c>
      <c r="AB30" s="11">
        <f>Table2[[#This Row],[Price]]-Table2[[#This Row],[PreviousClose]]</f>
        <v/>
      </c>
    </row>
    <row r="31" ht="21" customHeight="1">
      <c r="A31" s="1" t="inlineStr">
        <is>
          <t>DIS</t>
        </is>
      </c>
      <c r="E31" s="3" t="inlineStr">
        <is>
          <t>DIS</t>
        </is>
      </c>
      <c r="G31">
        <f>IF(OR(LEFT(E31,3)="SAF",LEFT(E31,3)="MVE",LEFT(E31,2)="JB"),MID(E31,IF(LEFT(E31,2)="JB",3,4),LEN(E31)-2),E31)&amp;F31</f>
        <v/>
      </c>
      <c r="H31" s="11">
        <f>VALUE(_xlfn.XLOOKUP($G31,LatestData!$A$17:$A$89,LatestData!D$17:D$89))</f>
        <v/>
      </c>
      <c r="I31" s="11">
        <f>VALUE(_xlfn.XLOOKUP($G31,LatestData!$A$17:$A$89,LatestData!E$17:E$89))</f>
        <v/>
      </c>
      <c r="J31" s="11">
        <f>VALUE(_xlfn.XLOOKUP($G31,LatestData!$A$17:$A$89,LatestData!F$17:F$89))</f>
        <v/>
      </c>
      <c r="K31" s="11">
        <f>VALUE(_xlfn.XLOOKUP($G31,LatestData!$A$17:$A$89,LatestData!G$17:G$89))</f>
        <v/>
      </c>
      <c r="L31" s="11">
        <f>VALUE(_xlfn.XLOOKUP($G31,LatestData!$A$17:$A$89,LatestData!H$17:H$89))</f>
        <v/>
      </c>
      <c r="M31" s="11">
        <f>VALUE(_xlfn.XLOOKUP($G31,LatestData!$A$17:$A$89,LatestData!I$17:I$89))</f>
        <v/>
      </c>
      <c r="N31" s="15">
        <f>VALUE(_xlfn.XLOOKUP($G31,LatestData!$A$17:$A$89,LatestData!J$17:J$89))</f>
        <v/>
      </c>
      <c r="O31" s="11">
        <f>VALUE(_xlfn.XLOOKUP($G31,LatestData!$A$17:$A$89,LatestData!K$17:K$89))</f>
        <v/>
      </c>
      <c r="P31" s="11">
        <f>VALUE(_xlfn.XLOOKUP($G31,LatestData!$A$17:$A$89,LatestData!L$17:L$89))</f>
        <v/>
      </c>
      <c r="Q31" s="11">
        <f>VALUE(_xlfn.XLOOKUP($G31,LatestData!$A$17:$A$89,LatestData!M$17:M$89))</f>
        <v/>
      </c>
      <c r="R31" s="11">
        <f>VALUE(_xlfn.XLOOKUP($G31,LatestData!$A$17:$A$89,LatestData!N$17:N$89))</f>
        <v/>
      </c>
      <c r="S31" s="21">
        <f>_xlfn.XLOOKUP($G31,LatestData!$A$17:$A$89,LatestData!O$17:O$89)</f>
        <v/>
      </c>
      <c r="T31" s="11">
        <f>VALUE(_xlfn.XLOOKUP($G31,LatestData!$A$17:$A$89,LatestData!P$17:P$89))</f>
        <v/>
      </c>
      <c r="U31" s="11">
        <f>VALUE(_xlfn.XLOOKUP($G31,LatestData!$A$17:$A$89,LatestData!Q$17:Q$89))</f>
        <v/>
      </c>
      <c r="V31" s="11">
        <f>VALUE(_xlfn.XLOOKUP($G31,LatestData!$A$17:$A$89,LatestData!R$17:R$89))</f>
        <v/>
      </c>
      <c r="W31" s="16">
        <f>VALUE(_xlfn.XLOOKUP($G31,LatestData!$A$17:$A$89,LatestData!S$17:S$89)%)</f>
        <v/>
      </c>
      <c r="X31" s="17">
        <f>VALUE(_xlfn.XLOOKUP($G31,LatestData!$A$17:$A$89,LatestData!T$17:T$89))</f>
        <v/>
      </c>
      <c r="Y31" s="17">
        <f>VALUE(_xlfn.XLOOKUP($G31,LatestData!$A$17:$A$89,LatestData!U$17:U$89))</f>
        <v/>
      </c>
      <c r="Z31" s="13">
        <f>IFERROR((Table2[[#This Row],[Open]]-Table2[[#This Row],[PreviousClose]])/Table2[[#This Row],[PreviousClose]],0)</f>
        <v/>
      </c>
      <c r="AA31" s="13">
        <f>IFERROR((Table2[[#This Row],[Price]]-Table2[[#This Row],[Open]])/Table2[[#This Row],[Open]],0)</f>
        <v/>
      </c>
      <c r="AB31" s="11">
        <f>Table2[[#This Row],[Price]]-Table2[[#This Row],[PreviousClose]]</f>
        <v/>
      </c>
    </row>
    <row r="32" ht="21" customHeight="1">
      <c r="A32" s="1" t="inlineStr">
        <is>
          <t>DSY.PA</t>
        </is>
      </c>
      <c r="E32" s="4" t="inlineStr">
        <is>
          <t>DSY</t>
        </is>
      </c>
      <c r="F32" t="inlineStr">
        <is>
          <t>.PA</t>
        </is>
      </c>
      <c r="G32">
        <f>IF(OR(LEFT(E32,3)="SAF",LEFT(E32,3)="MVE",LEFT(E32,2)="JB"),MID(E32,IF(LEFT(E32,2)="JB",3,4),LEN(E32)-2),E32)&amp;F32</f>
        <v/>
      </c>
      <c r="H32" s="11">
        <f>VALUE(_xlfn.XLOOKUP($G32,LatestData!$A$17:$A$89,LatestData!D$17:D$89))</f>
        <v/>
      </c>
      <c r="I32" s="11">
        <f>VALUE(_xlfn.XLOOKUP($G32,LatestData!$A$17:$A$89,LatestData!E$17:E$89))</f>
        <v/>
      </c>
      <c r="J32" s="11">
        <f>VALUE(_xlfn.XLOOKUP($G32,LatestData!$A$17:$A$89,LatestData!F$17:F$89))</f>
        <v/>
      </c>
      <c r="K32" s="11">
        <f>VALUE(_xlfn.XLOOKUP($G32,LatestData!$A$17:$A$89,LatestData!G$17:G$89))</f>
        <v/>
      </c>
      <c r="L32" s="11">
        <f>VALUE(_xlfn.XLOOKUP($G32,LatestData!$A$17:$A$89,LatestData!H$17:H$89))</f>
        <v/>
      </c>
      <c r="M32" s="11">
        <f>VALUE(_xlfn.XLOOKUP($G32,LatestData!$A$17:$A$89,LatestData!I$17:I$89))</f>
        <v/>
      </c>
      <c r="N32" s="15">
        <f>VALUE(_xlfn.XLOOKUP($G32,LatestData!$A$17:$A$89,LatestData!J$17:J$89))</f>
        <v/>
      </c>
      <c r="O32" s="11">
        <f>VALUE(_xlfn.XLOOKUP($G32,LatestData!$A$17:$A$89,LatestData!K$17:K$89))</f>
        <v/>
      </c>
      <c r="P32" s="11">
        <f>VALUE(_xlfn.XLOOKUP($G32,LatestData!$A$17:$A$89,LatestData!L$17:L$89))</f>
        <v/>
      </c>
      <c r="Q32" s="11">
        <f>VALUE(_xlfn.XLOOKUP($G32,LatestData!$A$17:$A$89,LatestData!M$17:M$89))</f>
        <v/>
      </c>
      <c r="R32" s="11">
        <f>VALUE(_xlfn.XLOOKUP($G32,LatestData!$A$17:$A$89,LatestData!N$17:N$89))</f>
        <v/>
      </c>
      <c r="S32" s="21">
        <f>_xlfn.XLOOKUP($G32,LatestData!$A$17:$A$89,LatestData!O$17:O$89)</f>
        <v/>
      </c>
      <c r="T32" s="11">
        <f>VALUE(_xlfn.XLOOKUP($G32,LatestData!$A$17:$A$89,LatestData!P$17:P$89))</f>
        <v/>
      </c>
      <c r="U32" s="11">
        <f>VALUE(_xlfn.XLOOKUP($G32,LatestData!$A$17:$A$89,LatestData!Q$17:Q$89))</f>
        <v/>
      </c>
      <c r="V32" s="11">
        <f>VALUE(_xlfn.XLOOKUP($G32,LatestData!$A$17:$A$89,LatestData!R$17:R$89))</f>
        <v/>
      </c>
      <c r="W32" s="16">
        <f>VALUE(_xlfn.XLOOKUP($G32,LatestData!$A$17:$A$89,LatestData!S$17:S$89)%)</f>
        <v/>
      </c>
      <c r="X32" s="17">
        <f>VALUE(_xlfn.XLOOKUP($G32,LatestData!$A$17:$A$89,LatestData!T$17:T$89))</f>
        <v/>
      </c>
      <c r="Y32" s="17">
        <f>VALUE(_xlfn.XLOOKUP($G32,LatestData!$A$17:$A$89,LatestData!U$17:U$89))</f>
        <v/>
      </c>
      <c r="Z32" s="13">
        <f>IFERROR((Table2[[#This Row],[Open]]-Table2[[#This Row],[PreviousClose]])/Table2[[#This Row],[PreviousClose]],0)</f>
        <v/>
      </c>
      <c r="AA32" s="13">
        <f>IFERROR((Table2[[#This Row],[Price]]-Table2[[#This Row],[Open]])/Table2[[#This Row],[Open]],0)</f>
        <v/>
      </c>
      <c r="AB32" s="11">
        <f>Table2[[#This Row],[Price]]-Table2[[#This Row],[PreviousClose]]</f>
        <v/>
      </c>
    </row>
    <row r="33" ht="21" customHeight="1">
      <c r="A33" s="1" t="inlineStr">
        <is>
          <t>DVA</t>
        </is>
      </c>
      <c r="E33" s="3" t="inlineStr">
        <is>
          <t>DVA</t>
        </is>
      </c>
      <c r="G33">
        <f>IF(OR(LEFT(E33,3)="SAF",LEFT(E33,3)="MVE",LEFT(E33,2)="JB"),MID(E33,IF(LEFT(E33,2)="JB",3,4),LEN(E33)-2),E33)&amp;F33</f>
        <v/>
      </c>
      <c r="H33" s="11">
        <f>VALUE(_xlfn.XLOOKUP($G33,LatestData!$A$17:$A$89,LatestData!D$17:D$89))</f>
        <v/>
      </c>
      <c r="I33" s="11">
        <f>VALUE(_xlfn.XLOOKUP($G33,LatestData!$A$17:$A$89,LatestData!E$17:E$89))</f>
        <v/>
      </c>
      <c r="J33" s="11">
        <f>VALUE(_xlfn.XLOOKUP($G33,LatestData!$A$17:$A$89,LatestData!F$17:F$89))</f>
        <v/>
      </c>
      <c r="K33" s="11">
        <f>VALUE(_xlfn.XLOOKUP($G33,LatestData!$A$17:$A$89,LatestData!G$17:G$89))</f>
        <v/>
      </c>
      <c r="L33" s="11">
        <f>VALUE(_xlfn.XLOOKUP($G33,LatestData!$A$17:$A$89,LatestData!H$17:H$89))</f>
        <v/>
      </c>
      <c r="M33" s="11">
        <f>VALUE(_xlfn.XLOOKUP($G33,LatestData!$A$17:$A$89,LatestData!I$17:I$89))</f>
        <v/>
      </c>
      <c r="N33" s="15">
        <f>VALUE(_xlfn.XLOOKUP($G33,LatestData!$A$17:$A$89,LatestData!J$17:J$89))</f>
        <v/>
      </c>
      <c r="O33" s="11">
        <f>VALUE(_xlfn.XLOOKUP($G33,LatestData!$A$17:$A$89,LatestData!K$17:K$89))</f>
        <v/>
      </c>
      <c r="P33" s="11">
        <f>VALUE(_xlfn.XLOOKUP($G33,LatestData!$A$17:$A$89,LatestData!L$17:L$89))</f>
        <v/>
      </c>
      <c r="Q33" s="11">
        <f>VALUE(_xlfn.XLOOKUP($G33,LatestData!$A$17:$A$89,LatestData!M$17:M$89))</f>
        <v/>
      </c>
      <c r="R33" s="11">
        <f>VALUE(_xlfn.XLOOKUP($G33,LatestData!$A$17:$A$89,LatestData!N$17:N$89))</f>
        <v/>
      </c>
      <c r="S33" s="21">
        <f>_xlfn.XLOOKUP($G33,LatestData!$A$17:$A$89,LatestData!O$17:O$89)</f>
        <v/>
      </c>
      <c r="T33" s="11">
        <f>VALUE(_xlfn.XLOOKUP($G33,LatestData!$A$17:$A$89,LatestData!P$17:P$89))</f>
        <v/>
      </c>
      <c r="U33" s="11">
        <f>VALUE(_xlfn.XLOOKUP($G33,LatestData!$A$17:$A$89,LatestData!Q$17:Q$89))</f>
        <v/>
      </c>
      <c r="V33" s="11">
        <f>VALUE(_xlfn.XLOOKUP($G33,LatestData!$A$17:$A$89,LatestData!R$17:R$89))</f>
        <v/>
      </c>
      <c r="W33" s="16">
        <f>VALUE(_xlfn.XLOOKUP($G33,LatestData!$A$17:$A$89,LatestData!S$17:S$89)%)</f>
        <v/>
      </c>
      <c r="X33" s="17">
        <f>VALUE(_xlfn.XLOOKUP($G33,LatestData!$A$17:$A$89,LatestData!T$17:T$89))</f>
        <v/>
      </c>
      <c r="Y33" s="17">
        <f>VALUE(_xlfn.XLOOKUP($G33,LatestData!$A$17:$A$89,LatestData!U$17:U$89))</f>
        <v/>
      </c>
      <c r="Z33" s="13">
        <f>IFERROR((Table2[[#This Row],[Open]]-Table2[[#This Row],[PreviousClose]])/Table2[[#This Row],[PreviousClose]],0)</f>
        <v/>
      </c>
      <c r="AA33" s="13">
        <f>IFERROR((Table2[[#This Row],[Price]]-Table2[[#This Row],[Open]])/Table2[[#This Row],[Open]],0)</f>
        <v/>
      </c>
      <c r="AB33" s="11">
        <f>Table2[[#This Row],[Price]]-Table2[[#This Row],[PreviousClose]]</f>
        <v/>
      </c>
    </row>
    <row r="34" ht="21" customHeight="1">
      <c r="A34" s="1" t="inlineStr">
        <is>
          <t>DXC</t>
        </is>
      </c>
      <c r="E34" s="4" t="inlineStr">
        <is>
          <t>DXC</t>
        </is>
      </c>
      <c r="G34">
        <f>IF(OR(LEFT(E34,3)="SAF",LEFT(E34,3)="MVE",LEFT(E34,2)="JB"),MID(E34,IF(LEFT(E34,2)="JB",3,4),LEN(E34)-2),E34)&amp;F34</f>
        <v/>
      </c>
      <c r="H34" s="11">
        <f>VALUE(_xlfn.XLOOKUP($G34,LatestData!$A$17:$A$89,LatestData!D$17:D$89))</f>
        <v/>
      </c>
      <c r="I34" s="11">
        <f>VALUE(_xlfn.XLOOKUP($G34,LatestData!$A$17:$A$89,LatestData!E$17:E$89))</f>
        <v/>
      </c>
      <c r="J34" s="11">
        <f>VALUE(_xlfn.XLOOKUP($G34,LatestData!$A$17:$A$89,LatestData!F$17:F$89))</f>
        <v/>
      </c>
      <c r="K34" s="11">
        <f>VALUE(_xlfn.XLOOKUP($G34,LatestData!$A$17:$A$89,LatestData!G$17:G$89))</f>
        <v/>
      </c>
      <c r="L34" s="11">
        <f>VALUE(_xlfn.XLOOKUP($G34,LatestData!$A$17:$A$89,LatestData!H$17:H$89))</f>
        <v/>
      </c>
      <c r="M34" s="11">
        <f>VALUE(_xlfn.XLOOKUP($G34,LatestData!$A$17:$A$89,LatestData!I$17:I$89))</f>
        <v/>
      </c>
      <c r="N34" s="15">
        <f>VALUE(_xlfn.XLOOKUP($G34,LatestData!$A$17:$A$89,LatestData!J$17:J$89))</f>
        <v/>
      </c>
      <c r="O34" s="11">
        <f>VALUE(_xlfn.XLOOKUP($G34,LatestData!$A$17:$A$89,LatestData!K$17:K$89))</f>
        <v/>
      </c>
      <c r="P34" s="11">
        <f>VALUE(_xlfn.XLOOKUP($G34,LatestData!$A$17:$A$89,LatestData!L$17:L$89))</f>
        <v/>
      </c>
      <c r="Q34" s="11">
        <f>VALUE(_xlfn.XLOOKUP($G34,LatestData!$A$17:$A$89,LatestData!M$17:M$89))</f>
        <v/>
      </c>
      <c r="R34" s="11">
        <f>VALUE(_xlfn.XLOOKUP($G34,LatestData!$A$17:$A$89,LatestData!N$17:N$89))</f>
        <v/>
      </c>
      <c r="S34" s="21">
        <f>_xlfn.XLOOKUP($G34,LatestData!$A$17:$A$89,LatestData!O$17:O$89)</f>
        <v/>
      </c>
      <c r="T34" s="11">
        <f>VALUE(_xlfn.XLOOKUP($G34,LatestData!$A$17:$A$89,LatestData!P$17:P$89))</f>
        <v/>
      </c>
      <c r="U34" s="11">
        <f>VALUE(_xlfn.XLOOKUP($G34,LatestData!$A$17:$A$89,LatestData!Q$17:Q$89))</f>
        <v/>
      </c>
      <c r="V34" s="11">
        <f>VALUE(_xlfn.XLOOKUP($G34,LatestData!$A$17:$A$89,LatestData!R$17:R$89))</f>
        <v/>
      </c>
      <c r="W34" s="16">
        <f>VALUE(_xlfn.XLOOKUP($G34,LatestData!$A$17:$A$89,LatestData!S$17:S$89)%)</f>
        <v/>
      </c>
      <c r="X34" s="17">
        <f>VALUE(_xlfn.XLOOKUP($G34,LatestData!$A$17:$A$89,LatestData!T$17:T$89))</f>
        <v/>
      </c>
      <c r="Y34" s="17">
        <f>VALUE(_xlfn.XLOOKUP($G34,LatestData!$A$17:$A$89,LatestData!U$17:U$89))</f>
        <v/>
      </c>
      <c r="Z34" s="13">
        <f>IFERROR((Table2[[#This Row],[Open]]-Table2[[#This Row],[PreviousClose]])/Table2[[#This Row],[PreviousClose]],0)</f>
        <v/>
      </c>
      <c r="AA34" s="13">
        <f>IFERROR((Table2[[#This Row],[Price]]-Table2[[#This Row],[Open]])/Table2[[#This Row],[Open]],0)</f>
        <v/>
      </c>
      <c r="AB34" s="11">
        <f>Table2[[#This Row],[Price]]-Table2[[#This Row],[PreviousClose]]</f>
        <v/>
      </c>
    </row>
    <row r="35" ht="21" customHeight="1">
      <c r="A35" s="1" t="inlineStr">
        <is>
          <t>EOAN.DE</t>
        </is>
      </c>
      <c r="E35" s="3" t="inlineStr">
        <is>
          <t>EOAN</t>
        </is>
      </c>
      <c r="F35" t="inlineStr">
        <is>
          <t>.DE</t>
        </is>
      </c>
      <c r="G35">
        <f>IF(OR(LEFT(E35,3)="SAF",LEFT(E35,3)="MVE",LEFT(E35,2)="JB"),MID(E35,IF(LEFT(E35,2)="JB",3,4),LEN(E35)-2),E35)&amp;F35</f>
        <v/>
      </c>
      <c r="H35" s="11">
        <f>VALUE(_xlfn.XLOOKUP($G35,LatestData!$A$17:$A$89,LatestData!D$17:D$89))</f>
        <v/>
      </c>
      <c r="I35" s="11">
        <f>VALUE(_xlfn.XLOOKUP($G35,LatestData!$A$17:$A$89,LatestData!E$17:E$89))</f>
        <v/>
      </c>
      <c r="J35" s="11">
        <f>VALUE(_xlfn.XLOOKUP($G35,LatestData!$A$17:$A$89,LatestData!F$17:F$89))</f>
        <v/>
      </c>
      <c r="K35" s="11">
        <f>VALUE(_xlfn.XLOOKUP($G35,LatestData!$A$17:$A$89,LatestData!G$17:G$89))</f>
        <v/>
      </c>
      <c r="L35" s="11">
        <f>VALUE(_xlfn.XLOOKUP($G35,LatestData!$A$17:$A$89,LatestData!H$17:H$89))</f>
        <v/>
      </c>
      <c r="M35" s="11">
        <f>VALUE(_xlfn.XLOOKUP($G35,LatestData!$A$17:$A$89,LatestData!I$17:I$89))</f>
        <v/>
      </c>
      <c r="N35" s="15">
        <f>VALUE(_xlfn.XLOOKUP($G35,LatestData!$A$17:$A$89,LatestData!J$17:J$89))</f>
        <v/>
      </c>
      <c r="O35" s="11">
        <f>VALUE(_xlfn.XLOOKUP($G35,LatestData!$A$17:$A$89,LatestData!K$17:K$89))</f>
        <v/>
      </c>
      <c r="P35" s="11">
        <f>VALUE(_xlfn.XLOOKUP($G35,LatestData!$A$17:$A$89,LatestData!L$17:L$89))</f>
        <v/>
      </c>
      <c r="Q35" s="11">
        <f>VALUE(_xlfn.XLOOKUP($G35,LatestData!$A$17:$A$89,LatestData!M$17:M$89))</f>
        <v/>
      </c>
      <c r="R35" s="11">
        <f>VALUE(_xlfn.XLOOKUP($G35,LatestData!$A$17:$A$89,LatestData!N$17:N$89))</f>
        <v/>
      </c>
      <c r="S35" s="21">
        <f>_xlfn.XLOOKUP($G35,LatestData!$A$17:$A$89,LatestData!O$17:O$89)</f>
        <v/>
      </c>
      <c r="T35" s="11">
        <f>VALUE(_xlfn.XLOOKUP($G35,LatestData!$A$17:$A$89,LatestData!P$17:P$89))</f>
        <v/>
      </c>
      <c r="U35" s="11">
        <f>VALUE(_xlfn.XLOOKUP($G35,LatestData!$A$17:$A$89,LatestData!Q$17:Q$89))</f>
        <v/>
      </c>
      <c r="V35" s="11">
        <f>VALUE(_xlfn.XLOOKUP($G35,LatestData!$A$17:$A$89,LatestData!R$17:R$89))</f>
        <v/>
      </c>
      <c r="W35" s="16">
        <f>VALUE(_xlfn.XLOOKUP($G35,LatestData!$A$17:$A$89,LatestData!S$17:S$89)%)</f>
        <v/>
      </c>
      <c r="X35" s="17">
        <f>VALUE(_xlfn.XLOOKUP($G35,LatestData!$A$17:$A$89,LatestData!T$17:T$89))</f>
        <v/>
      </c>
      <c r="Y35" s="17">
        <f>VALUE(_xlfn.XLOOKUP($G35,LatestData!$A$17:$A$89,LatestData!U$17:U$89))</f>
        <v/>
      </c>
      <c r="Z35" s="13">
        <f>IFERROR((Table2[[#This Row],[Open]]-Table2[[#This Row],[PreviousClose]])/Table2[[#This Row],[PreviousClose]],0)</f>
        <v/>
      </c>
      <c r="AA35" s="13">
        <f>IFERROR((Table2[[#This Row],[Price]]-Table2[[#This Row],[Open]])/Table2[[#This Row],[Open]],0)</f>
        <v/>
      </c>
      <c r="AB35" s="11">
        <f>Table2[[#This Row],[Price]]-Table2[[#This Row],[PreviousClose]]</f>
        <v/>
      </c>
    </row>
    <row r="36" ht="21" customHeight="1">
      <c r="A36" s="1" t="inlineStr">
        <is>
          <t>EPIX</t>
        </is>
      </c>
      <c r="E36" s="4" t="inlineStr">
        <is>
          <t>EPIX</t>
        </is>
      </c>
      <c r="G36">
        <f>IF(OR(LEFT(E36,3)="SAF",LEFT(E36,3)="MVE",LEFT(E36,2)="JB"),MID(E36,IF(LEFT(E36,2)="JB",3,4),LEN(E36)-2),E36)&amp;F36</f>
        <v/>
      </c>
      <c r="H36" s="11">
        <f>VALUE(_xlfn.XLOOKUP($G36,LatestData!$A$17:$A$89,LatestData!D$17:D$89))</f>
        <v/>
      </c>
      <c r="I36" s="11">
        <f>VALUE(_xlfn.XLOOKUP($G36,LatestData!$A$17:$A$89,LatestData!E$17:E$89))</f>
        <v/>
      </c>
      <c r="J36" s="11">
        <f>VALUE(_xlfn.XLOOKUP($G36,LatestData!$A$17:$A$89,LatestData!F$17:F$89))</f>
        <v/>
      </c>
      <c r="K36" s="11">
        <f>VALUE(_xlfn.XLOOKUP($G36,LatestData!$A$17:$A$89,LatestData!G$17:G$89))</f>
        <v/>
      </c>
      <c r="L36" s="11">
        <f>VALUE(_xlfn.XLOOKUP($G36,LatestData!$A$17:$A$89,LatestData!H$17:H$89))</f>
        <v/>
      </c>
      <c r="M36" s="11">
        <f>VALUE(_xlfn.XLOOKUP($G36,LatestData!$A$17:$A$89,LatestData!I$17:I$89))</f>
        <v/>
      </c>
      <c r="N36" s="15">
        <f>VALUE(_xlfn.XLOOKUP($G36,LatestData!$A$17:$A$89,LatestData!J$17:J$89))</f>
        <v/>
      </c>
      <c r="O36" s="11">
        <f>VALUE(_xlfn.XLOOKUP($G36,LatestData!$A$17:$A$89,LatestData!K$17:K$89))</f>
        <v/>
      </c>
      <c r="P36" s="11">
        <f>VALUE(_xlfn.XLOOKUP($G36,LatestData!$A$17:$A$89,LatestData!L$17:L$89))</f>
        <v/>
      </c>
      <c r="Q36" s="11">
        <f>VALUE(_xlfn.XLOOKUP($G36,LatestData!$A$17:$A$89,LatestData!M$17:M$89))</f>
        <v/>
      </c>
      <c r="R36" s="11">
        <f>VALUE(_xlfn.XLOOKUP($G36,LatestData!$A$17:$A$89,LatestData!N$17:N$89))</f>
        <v/>
      </c>
      <c r="S36" s="21">
        <f>_xlfn.XLOOKUP($G36,LatestData!$A$17:$A$89,LatestData!O$17:O$89)</f>
        <v/>
      </c>
      <c r="T36" s="11">
        <f>VALUE(_xlfn.XLOOKUP($G36,LatestData!$A$17:$A$89,LatestData!P$17:P$89))</f>
        <v/>
      </c>
      <c r="U36" s="11">
        <f>VALUE(_xlfn.XLOOKUP($G36,LatestData!$A$17:$A$89,LatestData!Q$17:Q$89))</f>
        <v/>
      </c>
      <c r="V36" s="11">
        <f>VALUE(_xlfn.XLOOKUP($G36,LatestData!$A$17:$A$89,LatestData!R$17:R$89))</f>
        <v/>
      </c>
      <c r="W36" s="16">
        <f>VALUE(_xlfn.XLOOKUP($G36,LatestData!$A$17:$A$89,LatestData!S$17:S$89)%)</f>
        <v/>
      </c>
      <c r="X36" s="17">
        <f>VALUE(_xlfn.XLOOKUP($G36,LatestData!$A$17:$A$89,LatestData!T$17:T$89))</f>
        <v/>
      </c>
      <c r="Y36" s="17">
        <f>VALUE(_xlfn.XLOOKUP($G36,LatestData!$A$17:$A$89,LatestData!U$17:U$89))</f>
        <v/>
      </c>
      <c r="Z36" s="13">
        <f>IFERROR((Table2[[#This Row],[Open]]-Table2[[#This Row],[PreviousClose]])/Table2[[#This Row],[PreviousClose]],0)</f>
        <v/>
      </c>
      <c r="AA36" s="13">
        <f>IFERROR((Table2[[#This Row],[Price]]-Table2[[#This Row],[Open]])/Table2[[#This Row],[Open]],0)</f>
        <v/>
      </c>
      <c r="AB36" s="11">
        <f>Table2[[#This Row],[Price]]-Table2[[#This Row],[PreviousClose]]</f>
        <v/>
      </c>
    </row>
    <row r="37" ht="21" customHeight="1">
      <c r="A37" s="1" t="inlineStr">
        <is>
          <t>GM</t>
        </is>
      </c>
      <c r="E37" s="3" t="inlineStr">
        <is>
          <t>GM</t>
        </is>
      </c>
      <c r="G37">
        <f>IF(OR(LEFT(E37,3)="SAF",LEFT(E37,3)="MVE",LEFT(E37,2)="JB"),MID(E37,IF(LEFT(E37,2)="JB",3,4),LEN(E37)-2),E37)&amp;F37</f>
        <v/>
      </c>
      <c r="H37" s="11">
        <f>VALUE(_xlfn.XLOOKUP($G37,LatestData!$A$17:$A$89,LatestData!D$17:D$89))</f>
        <v/>
      </c>
      <c r="I37" s="11">
        <f>VALUE(_xlfn.XLOOKUP($G37,LatestData!$A$17:$A$89,LatestData!E$17:E$89))</f>
        <v/>
      </c>
      <c r="J37" s="11">
        <f>VALUE(_xlfn.XLOOKUP($G37,LatestData!$A$17:$A$89,LatestData!F$17:F$89))</f>
        <v/>
      </c>
      <c r="K37" s="11">
        <f>VALUE(_xlfn.XLOOKUP($G37,LatestData!$A$17:$A$89,LatestData!G$17:G$89))</f>
        <v/>
      </c>
      <c r="L37" s="11">
        <f>VALUE(_xlfn.XLOOKUP($G37,LatestData!$A$17:$A$89,LatestData!H$17:H$89))</f>
        <v/>
      </c>
      <c r="M37" s="11">
        <f>VALUE(_xlfn.XLOOKUP($G37,LatestData!$A$17:$A$89,LatestData!I$17:I$89))</f>
        <v/>
      </c>
      <c r="N37" s="15">
        <f>VALUE(_xlfn.XLOOKUP($G37,LatestData!$A$17:$A$89,LatestData!J$17:J$89))</f>
        <v/>
      </c>
      <c r="O37" s="11">
        <f>VALUE(_xlfn.XLOOKUP($G37,LatestData!$A$17:$A$89,LatestData!K$17:K$89))</f>
        <v/>
      </c>
      <c r="P37" s="11">
        <f>VALUE(_xlfn.XLOOKUP($G37,LatestData!$A$17:$A$89,LatestData!L$17:L$89))</f>
        <v/>
      </c>
      <c r="Q37" s="11">
        <f>VALUE(_xlfn.XLOOKUP($G37,LatestData!$A$17:$A$89,LatestData!M$17:M$89))</f>
        <v/>
      </c>
      <c r="R37" s="11">
        <f>VALUE(_xlfn.XLOOKUP($G37,LatestData!$A$17:$A$89,LatestData!N$17:N$89))</f>
        <v/>
      </c>
      <c r="S37" s="21">
        <f>_xlfn.XLOOKUP($G37,LatestData!$A$17:$A$89,LatestData!O$17:O$89)</f>
        <v/>
      </c>
      <c r="T37" s="11">
        <f>VALUE(_xlfn.XLOOKUP($G37,LatestData!$A$17:$A$89,LatestData!P$17:P$89))</f>
        <v/>
      </c>
      <c r="U37" s="11">
        <f>VALUE(_xlfn.XLOOKUP($G37,LatestData!$A$17:$A$89,LatestData!Q$17:Q$89))</f>
        <v/>
      </c>
      <c r="V37" s="11">
        <f>VALUE(_xlfn.XLOOKUP($G37,LatestData!$A$17:$A$89,LatestData!R$17:R$89))</f>
        <v/>
      </c>
      <c r="W37" s="16">
        <f>VALUE(_xlfn.XLOOKUP($G37,LatestData!$A$17:$A$89,LatestData!S$17:S$89)%)</f>
        <v/>
      </c>
      <c r="X37" s="17">
        <f>VALUE(_xlfn.XLOOKUP($G37,LatestData!$A$17:$A$89,LatestData!T$17:T$89))</f>
        <v/>
      </c>
      <c r="Y37" s="17">
        <f>VALUE(_xlfn.XLOOKUP($G37,LatestData!$A$17:$A$89,LatestData!U$17:U$89))</f>
        <v/>
      </c>
      <c r="Z37" s="13">
        <f>IFERROR((Table2[[#This Row],[Open]]-Table2[[#This Row],[PreviousClose]])/Table2[[#This Row],[PreviousClose]],0)</f>
        <v/>
      </c>
      <c r="AA37" s="13">
        <f>IFERROR((Table2[[#This Row],[Price]]-Table2[[#This Row],[Open]])/Table2[[#This Row],[Open]],0)</f>
        <v/>
      </c>
      <c r="AB37" s="11">
        <f>Table2[[#This Row],[Price]]-Table2[[#This Row],[PreviousClose]]</f>
        <v/>
      </c>
    </row>
    <row r="38" ht="21" customHeight="1">
      <c r="A38" s="1" t="inlineStr">
        <is>
          <t>HPE</t>
        </is>
      </c>
      <c r="E38" s="4" t="inlineStr">
        <is>
          <t>HPE</t>
        </is>
      </c>
      <c r="G38">
        <f>IF(OR(LEFT(E38,3)="SAF",LEFT(E38,3)="MVE",LEFT(E38,2)="JB"),MID(E38,IF(LEFT(E38,2)="JB",3,4),LEN(E38)-2),E38)&amp;F38</f>
        <v/>
      </c>
      <c r="H38" s="11">
        <f>VALUE(_xlfn.XLOOKUP($G38,LatestData!$A$17:$A$89,LatestData!D$17:D$89))</f>
        <v/>
      </c>
      <c r="I38" s="11">
        <f>VALUE(_xlfn.XLOOKUP($G38,LatestData!$A$17:$A$89,LatestData!E$17:E$89))</f>
        <v/>
      </c>
      <c r="J38" s="11">
        <f>VALUE(_xlfn.XLOOKUP($G38,LatestData!$A$17:$A$89,LatestData!F$17:F$89))</f>
        <v/>
      </c>
      <c r="K38" s="11">
        <f>VALUE(_xlfn.XLOOKUP($G38,LatestData!$A$17:$A$89,LatestData!G$17:G$89))</f>
        <v/>
      </c>
      <c r="L38" s="11">
        <f>VALUE(_xlfn.XLOOKUP($G38,LatestData!$A$17:$A$89,LatestData!H$17:H$89))</f>
        <v/>
      </c>
      <c r="M38" s="11">
        <f>VALUE(_xlfn.XLOOKUP($G38,LatestData!$A$17:$A$89,LatestData!I$17:I$89))</f>
        <v/>
      </c>
      <c r="N38" s="15">
        <f>VALUE(_xlfn.XLOOKUP($G38,LatestData!$A$17:$A$89,LatestData!J$17:J$89))</f>
        <v/>
      </c>
      <c r="O38" s="11">
        <f>VALUE(_xlfn.XLOOKUP($G38,LatestData!$A$17:$A$89,LatestData!K$17:K$89))</f>
        <v/>
      </c>
      <c r="P38" s="11">
        <f>VALUE(_xlfn.XLOOKUP($G38,LatestData!$A$17:$A$89,LatestData!L$17:L$89))</f>
        <v/>
      </c>
      <c r="Q38" s="11">
        <f>VALUE(_xlfn.XLOOKUP($G38,LatestData!$A$17:$A$89,LatestData!M$17:M$89))</f>
        <v/>
      </c>
      <c r="R38" s="11">
        <f>VALUE(_xlfn.XLOOKUP($G38,LatestData!$A$17:$A$89,LatestData!N$17:N$89))</f>
        <v/>
      </c>
      <c r="S38" s="21">
        <f>_xlfn.XLOOKUP($G38,LatestData!$A$17:$A$89,LatestData!O$17:O$89)</f>
        <v/>
      </c>
      <c r="T38" s="11">
        <f>VALUE(_xlfn.XLOOKUP($G38,LatestData!$A$17:$A$89,LatestData!P$17:P$89))</f>
        <v/>
      </c>
      <c r="U38" s="11">
        <f>VALUE(_xlfn.XLOOKUP($G38,LatestData!$A$17:$A$89,LatestData!Q$17:Q$89))</f>
        <v/>
      </c>
      <c r="V38" s="11">
        <f>VALUE(_xlfn.XLOOKUP($G38,LatestData!$A$17:$A$89,LatestData!R$17:R$89))</f>
        <v/>
      </c>
      <c r="W38" s="16">
        <f>VALUE(_xlfn.XLOOKUP($G38,LatestData!$A$17:$A$89,LatestData!S$17:S$89)%)</f>
        <v/>
      </c>
      <c r="X38" s="17">
        <f>VALUE(_xlfn.XLOOKUP($G38,LatestData!$A$17:$A$89,LatestData!T$17:T$89))</f>
        <v/>
      </c>
      <c r="Y38" s="17">
        <f>VALUE(_xlfn.XLOOKUP($G38,LatestData!$A$17:$A$89,LatestData!U$17:U$89))</f>
        <v/>
      </c>
      <c r="Z38" s="13">
        <f>IFERROR((Table2[[#This Row],[Open]]-Table2[[#This Row],[PreviousClose]])/Table2[[#This Row],[PreviousClose]],0)</f>
        <v/>
      </c>
      <c r="AA38" s="13">
        <f>IFERROR((Table2[[#This Row],[Price]]-Table2[[#This Row],[Open]])/Table2[[#This Row],[Open]],0)</f>
        <v/>
      </c>
      <c r="AB38" s="11">
        <f>Table2[[#This Row],[Price]]-Table2[[#This Row],[PreviousClose]]</f>
        <v/>
      </c>
    </row>
    <row r="39" ht="21" customHeight="1">
      <c r="A39" s="1" t="inlineStr">
        <is>
          <t>HPQ</t>
        </is>
      </c>
      <c r="E39" s="3" t="inlineStr">
        <is>
          <t>HPQ</t>
        </is>
      </c>
      <c r="G39">
        <f>IF(OR(LEFT(E39,3)="SAF",LEFT(E39,3)="MVE",LEFT(E39,2)="JB"),MID(E39,IF(LEFT(E39,2)="JB",3,4),LEN(E39)-2),E39)&amp;F39</f>
        <v/>
      </c>
      <c r="H39" s="11">
        <f>VALUE(_xlfn.XLOOKUP($G39,LatestData!$A$17:$A$89,LatestData!D$17:D$89))</f>
        <v/>
      </c>
      <c r="I39" s="11">
        <f>VALUE(_xlfn.XLOOKUP($G39,LatestData!$A$17:$A$89,LatestData!E$17:E$89))</f>
        <v/>
      </c>
      <c r="J39" s="11">
        <f>VALUE(_xlfn.XLOOKUP($G39,LatestData!$A$17:$A$89,LatestData!F$17:F$89))</f>
        <v/>
      </c>
      <c r="K39" s="11">
        <f>VALUE(_xlfn.XLOOKUP($G39,LatestData!$A$17:$A$89,LatestData!G$17:G$89))</f>
        <v/>
      </c>
      <c r="L39" s="11">
        <f>VALUE(_xlfn.XLOOKUP($G39,LatestData!$A$17:$A$89,LatestData!H$17:H$89))</f>
        <v/>
      </c>
      <c r="M39" s="11">
        <f>VALUE(_xlfn.XLOOKUP($G39,LatestData!$A$17:$A$89,LatestData!I$17:I$89))</f>
        <v/>
      </c>
      <c r="N39" s="15">
        <f>VALUE(_xlfn.XLOOKUP($G39,LatestData!$A$17:$A$89,LatestData!J$17:J$89))</f>
        <v/>
      </c>
      <c r="O39" s="11">
        <f>VALUE(_xlfn.XLOOKUP($G39,LatestData!$A$17:$A$89,LatestData!K$17:K$89))</f>
        <v/>
      </c>
      <c r="P39" s="11">
        <f>VALUE(_xlfn.XLOOKUP($G39,LatestData!$A$17:$A$89,LatestData!L$17:L$89))</f>
        <v/>
      </c>
      <c r="Q39" s="11">
        <f>VALUE(_xlfn.XLOOKUP($G39,LatestData!$A$17:$A$89,LatestData!M$17:M$89))</f>
        <v/>
      </c>
      <c r="R39" s="11">
        <f>VALUE(_xlfn.XLOOKUP($G39,LatestData!$A$17:$A$89,LatestData!N$17:N$89))</f>
        <v/>
      </c>
      <c r="S39" s="21">
        <f>_xlfn.XLOOKUP($G39,LatestData!$A$17:$A$89,LatestData!O$17:O$89)</f>
        <v/>
      </c>
      <c r="T39" s="11">
        <f>VALUE(_xlfn.XLOOKUP($G39,LatestData!$A$17:$A$89,LatestData!P$17:P$89))</f>
        <v/>
      </c>
      <c r="U39" s="11">
        <f>VALUE(_xlfn.XLOOKUP($G39,LatestData!$A$17:$A$89,LatestData!Q$17:Q$89))</f>
        <v/>
      </c>
      <c r="V39" s="11">
        <f>VALUE(_xlfn.XLOOKUP($G39,LatestData!$A$17:$A$89,LatestData!R$17:R$89))</f>
        <v/>
      </c>
      <c r="W39" s="16">
        <f>VALUE(_xlfn.XLOOKUP($G39,LatestData!$A$17:$A$89,LatestData!S$17:S$89)%)</f>
        <v/>
      </c>
      <c r="X39" s="17">
        <f>VALUE(_xlfn.XLOOKUP($G39,LatestData!$A$17:$A$89,LatestData!T$17:T$89))</f>
        <v/>
      </c>
      <c r="Y39" s="17">
        <f>VALUE(_xlfn.XLOOKUP($G39,LatestData!$A$17:$A$89,LatestData!U$17:U$89))</f>
        <v/>
      </c>
      <c r="Z39" s="13">
        <f>IFERROR((Table2[[#This Row],[Open]]-Table2[[#This Row],[PreviousClose]])/Table2[[#This Row],[PreviousClose]],0)</f>
        <v/>
      </c>
      <c r="AA39" s="13">
        <f>IFERROR((Table2[[#This Row],[Price]]-Table2[[#This Row],[Open]])/Table2[[#This Row],[Open]],0)</f>
        <v/>
      </c>
      <c r="AB39" s="11">
        <f>Table2[[#This Row],[Price]]-Table2[[#This Row],[PreviousClose]]</f>
        <v/>
      </c>
    </row>
    <row r="40" ht="21" customHeight="1">
      <c r="A40" s="1" t="inlineStr">
        <is>
          <t>IAG.L</t>
        </is>
      </c>
      <c r="E40" s="4" t="inlineStr">
        <is>
          <t>IAG</t>
        </is>
      </c>
      <c r="F40" t="inlineStr">
        <is>
          <t>.L</t>
        </is>
      </c>
      <c r="G40">
        <f>IF(OR(LEFT(E40,3)="SAF",LEFT(E40,3)="MVE",LEFT(E40,2)="JB"),MID(E40,IF(LEFT(E40,2)="JB",3,4),LEN(E40)-2),E40)&amp;F40</f>
        <v/>
      </c>
      <c r="H40" s="11">
        <f>VALUE(_xlfn.XLOOKUP($G40,LatestData!$A$17:$A$89,LatestData!D$17:D$89))</f>
        <v/>
      </c>
      <c r="I40" s="11">
        <f>VALUE(_xlfn.XLOOKUP($G40,LatestData!$A$17:$A$89,LatestData!E$17:E$89))</f>
        <v/>
      </c>
      <c r="J40" s="11">
        <f>VALUE(_xlfn.XLOOKUP($G40,LatestData!$A$17:$A$89,LatestData!F$17:F$89))</f>
        <v/>
      </c>
      <c r="K40" s="11">
        <f>VALUE(_xlfn.XLOOKUP($G40,LatestData!$A$17:$A$89,LatestData!G$17:G$89))</f>
        <v/>
      </c>
      <c r="L40" s="11">
        <f>VALUE(_xlfn.XLOOKUP($G40,LatestData!$A$17:$A$89,LatestData!H$17:H$89))</f>
        <v/>
      </c>
      <c r="M40" s="11">
        <f>VALUE(_xlfn.XLOOKUP($G40,LatestData!$A$17:$A$89,LatestData!I$17:I$89))</f>
        <v/>
      </c>
      <c r="N40" s="15">
        <f>VALUE(_xlfn.XLOOKUP($G40,LatestData!$A$17:$A$89,LatestData!J$17:J$89))</f>
        <v/>
      </c>
      <c r="O40" s="11">
        <f>VALUE(_xlfn.XLOOKUP($G40,LatestData!$A$17:$A$89,LatestData!K$17:K$89))</f>
        <v/>
      </c>
      <c r="P40" s="11">
        <f>VALUE(_xlfn.XLOOKUP($G40,LatestData!$A$17:$A$89,LatestData!L$17:L$89))</f>
        <v/>
      </c>
      <c r="Q40" s="11">
        <f>VALUE(_xlfn.XLOOKUP($G40,LatestData!$A$17:$A$89,LatestData!M$17:M$89))</f>
        <v/>
      </c>
      <c r="R40" s="11">
        <f>VALUE(_xlfn.XLOOKUP($G40,LatestData!$A$17:$A$89,LatestData!N$17:N$89))</f>
        <v/>
      </c>
      <c r="S40" s="21">
        <f>_xlfn.XLOOKUP($G40,LatestData!$A$17:$A$89,LatestData!O$17:O$89)</f>
        <v/>
      </c>
      <c r="T40" s="11">
        <f>VALUE(_xlfn.XLOOKUP($G40,LatestData!$A$17:$A$89,LatestData!P$17:P$89))</f>
        <v/>
      </c>
      <c r="U40" s="11">
        <f>VALUE(_xlfn.XLOOKUP($G40,LatestData!$A$17:$A$89,LatestData!Q$17:Q$89))</f>
        <v/>
      </c>
      <c r="V40" s="11">
        <f>VALUE(_xlfn.XLOOKUP($G40,LatestData!$A$17:$A$89,LatestData!R$17:R$89))</f>
        <v/>
      </c>
      <c r="W40" s="16">
        <f>VALUE(_xlfn.XLOOKUP($G40,LatestData!$A$17:$A$89,LatestData!S$17:S$89)%)</f>
        <v/>
      </c>
      <c r="X40" s="17">
        <f>VALUE(_xlfn.XLOOKUP($G40,LatestData!$A$17:$A$89,LatestData!T$17:T$89))</f>
        <v/>
      </c>
      <c r="Y40" s="17">
        <f>VALUE(_xlfn.XLOOKUP($G40,LatestData!$A$17:$A$89,LatestData!U$17:U$89))</f>
        <v/>
      </c>
      <c r="Z40" s="13">
        <f>IFERROR((Table2[[#This Row],[Open]]-Table2[[#This Row],[PreviousClose]])/Table2[[#This Row],[PreviousClose]],0)</f>
        <v/>
      </c>
      <c r="AA40" s="13">
        <f>IFERROR((Table2[[#This Row],[Price]]-Table2[[#This Row],[Open]])/Table2[[#This Row],[Open]],0)</f>
        <v/>
      </c>
      <c r="AB40" s="11">
        <f>Table2[[#This Row],[Price]]-Table2[[#This Row],[PreviousClose]]</f>
        <v/>
      </c>
    </row>
    <row r="41" ht="21" customHeight="1">
      <c r="A41" s="1" t="inlineStr">
        <is>
          <t>KR</t>
        </is>
      </c>
      <c r="E41" s="3" t="inlineStr">
        <is>
          <t>KR</t>
        </is>
      </c>
      <c r="G41">
        <f>IF(OR(LEFT(E41,3)="SAF",LEFT(E41,3)="MVE",LEFT(E41,2)="JB"),MID(E41,IF(LEFT(E41,2)="JB",3,4),LEN(E41)-2),E41)&amp;F41</f>
        <v/>
      </c>
      <c r="H41" s="11">
        <f>VALUE(_xlfn.XLOOKUP($G41,LatestData!$A$17:$A$89,LatestData!D$17:D$89))</f>
        <v/>
      </c>
      <c r="I41" s="11">
        <f>VALUE(_xlfn.XLOOKUP($G41,LatestData!$A$17:$A$89,LatestData!E$17:E$89))</f>
        <v/>
      </c>
      <c r="J41" s="11">
        <f>VALUE(_xlfn.XLOOKUP($G41,LatestData!$A$17:$A$89,LatestData!F$17:F$89))</f>
        <v/>
      </c>
      <c r="K41" s="11">
        <f>VALUE(_xlfn.XLOOKUP($G41,LatestData!$A$17:$A$89,LatestData!G$17:G$89))</f>
        <v/>
      </c>
      <c r="L41" s="11">
        <f>VALUE(_xlfn.XLOOKUP($G41,LatestData!$A$17:$A$89,LatestData!H$17:H$89))</f>
        <v/>
      </c>
      <c r="M41" s="11">
        <f>VALUE(_xlfn.XLOOKUP($G41,LatestData!$A$17:$A$89,LatestData!I$17:I$89))</f>
        <v/>
      </c>
      <c r="N41" s="15">
        <f>VALUE(_xlfn.XLOOKUP($G41,LatestData!$A$17:$A$89,LatestData!J$17:J$89))</f>
        <v/>
      </c>
      <c r="O41" s="11">
        <f>VALUE(_xlfn.XLOOKUP($G41,LatestData!$A$17:$A$89,LatestData!K$17:K$89))</f>
        <v/>
      </c>
      <c r="P41" s="11">
        <f>VALUE(_xlfn.XLOOKUP($G41,LatestData!$A$17:$A$89,LatestData!L$17:L$89))</f>
        <v/>
      </c>
      <c r="Q41" s="11">
        <f>VALUE(_xlfn.XLOOKUP($G41,LatestData!$A$17:$A$89,LatestData!M$17:M$89))</f>
        <v/>
      </c>
      <c r="R41" s="11">
        <f>VALUE(_xlfn.XLOOKUP($G41,LatestData!$A$17:$A$89,LatestData!N$17:N$89))</f>
        <v/>
      </c>
      <c r="S41" s="21">
        <f>_xlfn.XLOOKUP($G41,LatestData!$A$17:$A$89,LatestData!O$17:O$89)</f>
        <v/>
      </c>
      <c r="T41" s="11">
        <f>VALUE(_xlfn.XLOOKUP($G41,LatestData!$A$17:$A$89,LatestData!P$17:P$89))</f>
        <v/>
      </c>
      <c r="U41" s="11">
        <f>VALUE(_xlfn.XLOOKUP($G41,LatestData!$A$17:$A$89,LatestData!Q$17:Q$89))</f>
        <v/>
      </c>
      <c r="V41" s="11">
        <f>VALUE(_xlfn.XLOOKUP($G41,LatestData!$A$17:$A$89,LatestData!R$17:R$89))</f>
        <v/>
      </c>
      <c r="W41" s="16">
        <f>VALUE(_xlfn.XLOOKUP($G41,LatestData!$A$17:$A$89,LatestData!S$17:S$89)%)</f>
        <v/>
      </c>
      <c r="X41" s="17">
        <f>VALUE(_xlfn.XLOOKUP($G41,LatestData!$A$17:$A$89,LatestData!T$17:T$89))</f>
        <v/>
      </c>
      <c r="Y41" s="17">
        <f>VALUE(_xlfn.XLOOKUP($G41,LatestData!$A$17:$A$89,LatestData!U$17:U$89))</f>
        <v/>
      </c>
      <c r="Z41" s="13">
        <f>IFERROR((Table2[[#This Row],[Open]]-Table2[[#This Row],[PreviousClose]])/Table2[[#This Row],[PreviousClose]],0)</f>
        <v/>
      </c>
      <c r="AA41" s="13">
        <f>IFERROR((Table2[[#This Row],[Price]]-Table2[[#This Row],[Open]])/Table2[[#This Row],[Open]],0)</f>
        <v/>
      </c>
      <c r="AB41" s="11">
        <f>Table2[[#This Row],[Price]]-Table2[[#This Row],[PreviousClose]]</f>
        <v/>
      </c>
    </row>
    <row r="42" ht="21" customHeight="1">
      <c r="A42" s="1" t="inlineStr">
        <is>
          <t>LNSR</t>
        </is>
      </c>
      <c r="E42" s="4" t="inlineStr">
        <is>
          <t>LNSR</t>
        </is>
      </c>
      <c r="G42">
        <f>IF(OR(LEFT(E42,3)="SAF",LEFT(E42,3)="MVE",LEFT(E42,2)="JB"),MID(E42,IF(LEFT(E42,2)="JB",3,4),LEN(E42)-2),E42)&amp;F42</f>
        <v/>
      </c>
      <c r="H42" s="11">
        <f>VALUE(_xlfn.XLOOKUP($G42,LatestData!$A$17:$A$89,LatestData!D$17:D$89))</f>
        <v/>
      </c>
      <c r="I42" s="11">
        <f>VALUE(_xlfn.XLOOKUP($G42,LatestData!$A$17:$A$89,LatestData!E$17:E$89))</f>
        <v/>
      </c>
      <c r="J42" s="11">
        <f>VALUE(_xlfn.XLOOKUP($G42,LatestData!$A$17:$A$89,LatestData!F$17:F$89))</f>
        <v/>
      </c>
      <c r="K42" s="11">
        <f>VALUE(_xlfn.XLOOKUP($G42,LatestData!$A$17:$A$89,LatestData!G$17:G$89))</f>
        <v/>
      </c>
      <c r="L42" s="11">
        <f>VALUE(_xlfn.XLOOKUP($G42,LatestData!$A$17:$A$89,LatestData!H$17:H$89))</f>
        <v/>
      </c>
      <c r="M42" s="11">
        <f>VALUE(_xlfn.XLOOKUP($G42,LatestData!$A$17:$A$89,LatestData!I$17:I$89))</f>
        <v/>
      </c>
      <c r="N42" s="15">
        <f>VALUE(_xlfn.XLOOKUP($G42,LatestData!$A$17:$A$89,LatestData!J$17:J$89))</f>
        <v/>
      </c>
      <c r="O42" s="11">
        <f>VALUE(_xlfn.XLOOKUP($G42,LatestData!$A$17:$A$89,LatestData!K$17:K$89))</f>
        <v/>
      </c>
      <c r="P42" s="11">
        <f>VALUE(_xlfn.XLOOKUP($G42,LatestData!$A$17:$A$89,LatestData!L$17:L$89))</f>
        <v/>
      </c>
      <c r="Q42" s="11">
        <f>VALUE(_xlfn.XLOOKUP($G42,LatestData!$A$17:$A$89,LatestData!M$17:M$89))</f>
        <v/>
      </c>
      <c r="R42" s="11">
        <f>VALUE(_xlfn.XLOOKUP($G42,LatestData!$A$17:$A$89,LatestData!N$17:N$89))</f>
        <v/>
      </c>
      <c r="S42" s="21">
        <f>_xlfn.XLOOKUP($G42,LatestData!$A$17:$A$89,LatestData!O$17:O$89)</f>
        <v/>
      </c>
      <c r="T42" s="11">
        <f>VALUE(_xlfn.XLOOKUP($G42,LatestData!$A$17:$A$89,LatestData!P$17:P$89))</f>
        <v/>
      </c>
      <c r="U42" s="11">
        <f>VALUE(_xlfn.XLOOKUP($G42,LatestData!$A$17:$A$89,LatestData!Q$17:Q$89))</f>
        <v/>
      </c>
      <c r="V42" s="11">
        <f>VALUE(_xlfn.XLOOKUP($G42,LatestData!$A$17:$A$89,LatestData!R$17:R$89))</f>
        <v/>
      </c>
      <c r="W42" s="16">
        <f>VALUE(_xlfn.XLOOKUP($G42,LatestData!$A$17:$A$89,LatestData!S$17:S$89)%)</f>
        <v/>
      </c>
      <c r="X42" s="17">
        <f>VALUE(_xlfn.XLOOKUP($G42,LatestData!$A$17:$A$89,LatestData!T$17:T$89))</f>
        <v/>
      </c>
      <c r="Y42" s="17">
        <f>VALUE(_xlfn.XLOOKUP($G42,LatestData!$A$17:$A$89,LatestData!U$17:U$89))</f>
        <v/>
      </c>
      <c r="Z42" s="13">
        <f>IFERROR((Table2[[#This Row],[Open]]-Table2[[#This Row],[PreviousClose]])/Table2[[#This Row],[PreviousClose]],0)</f>
        <v/>
      </c>
      <c r="AA42" s="13">
        <f>IFERROR((Table2[[#This Row],[Price]]-Table2[[#This Row],[Open]])/Table2[[#This Row],[Open]],0)</f>
        <v/>
      </c>
      <c r="AB42" s="11">
        <f>Table2[[#This Row],[Price]]-Table2[[#This Row],[PreviousClose]]</f>
        <v/>
      </c>
    </row>
    <row r="43" ht="21" customHeight="1">
      <c r="A43" s="1" t="inlineStr">
        <is>
          <t>LUMN</t>
        </is>
      </c>
      <c r="E43" s="3" t="inlineStr">
        <is>
          <t>LUMN</t>
        </is>
      </c>
      <c r="G43">
        <f>IF(OR(LEFT(E43,3)="SAF",LEFT(E43,3)="MVE",LEFT(E43,2)="JB"),MID(E43,IF(LEFT(E43,2)="JB",3,4),LEN(E43)-2),E43)&amp;F43</f>
        <v/>
      </c>
      <c r="H43" s="11">
        <f>VALUE(_xlfn.XLOOKUP($G43,LatestData!$A$17:$A$89,LatestData!D$17:D$89))</f>
        <v/>
      </c>
      <c r="I43" s="11">
        <f>VALUE(_xlfn.XLOOKUP($G43,LatestData!$A$17:$A$89,LatestData!E$17:E$89))</f>
        <v/>
      </c>
      <c r="J43" s="11">
        <f>VALUE(_xlfn.XLOOKUP($G43,LatestData!$A$17:$A$89,LatestData!F$17:F$89))</f>
        <v/>
      </c>
      <c r="K43" s="11">
        <f>VALUE(_xlfn.XLOOKUP($G43,LatestData!$A$17:$A$89,LatestData!G$17:G$89))</f>
        <v/>
      </c>
      <c r="L43" s="11">
        <f>VALUE(_xlfn.XLOOKUP($G43,LatestData!$A$17:$A$89,LatestData!H$17:H$89))</f>
        <v/>
      </c>
      <c r="M43" s="11">
        <f>VALUE(_xlfn.XLOOKUP($G43,LatestData!$A$17:$A$89,LatestData!I$17:I$89))</f>
        <v/>
      </c>
      <c r="N43" s="15">
        <f>VALUE(_xlfn.XLOOKUP($G43,LatestData!$A$17:$A$89,LatestData!J$17:J$89))</f>
        <v/>
      </c>
      <c r="O43" s="11">
        <f>VALUE(_xlfn.XLOOKUP($G43,LatestData!$A$17:$A$89,LatestData!K$17:K$89))</f>
        <v/>
      </c>
      <c r="P43" s="11">
        <f>VALUE(_xlfn.XLOOKUP($G43,LatestData!$A$17:$A$89,LatestData!L$17:L$89))</f>
        <v/>
      </c>
      <c r="Q43" s="11">
        <f>VALUE(_xlfn.XLOOKUP($G43,LatestData!$A$17:$A$89,LatestData!M$17:M$89))</f>
        <v/>
      </c>
      <c r="R43" s="11">
        <f>VALUE(_xlfn.XLOOKUP($G43,LatestData!$A$17:$A$89,LatestData!N$17:N$89))</f>
        <v/>
      </c>
      <c r="S43" s="21">
        <f>_xlfn.XLOOKUP($G43,LatestData!$A$17:$A$89,LatestData!O$17:O$89)</f>
        <v/>
      </c>
      <c r="T43" s="11">
        <f>VALUE(_xlfn.XLOOKUP($G43,LatestData!$A$17:$A$89,LatestData!P$17:P$89))</f>
        <v/>
      </c>
      <c r="U43" s="11">
        <f>VALUE(_xlfn.XLOOKUP($G43,LatestData!$A$17:$A$89,LatestData!Q$17:Q$89))</f>
        <v/>
      </c>
      <c r="V43" s="11">
        <f>VALUE(_xlfn.XLOOKUP($G43,LatestData!$A$17:$A$89,LatestData!R$17:R$89))</f>
        <v/>
      </c>
      <c r="W43" s="16">
        <f>VALUE(_xlfn.XLOOKUP($G43,LatestData!$A$17:$A$89,LatestData!S$17:S$89)%)</f>
        <v/>
      </c>
      <c r="X43" s="17">
        <f>VALUE(_xlfn.XLOOKUP($G43,LatestData!$A$17:$A$89,LatestData!T$17:T$89))</f>
        <v/>
      </c>
      <c r="Y43" s="17">
        <f>VALUE(_xlfn.XLOOKUP($G43,LatestData!$A$17:$A$89,LatestData!U$17:U$89))</f>
        <v/>
      </c>
      <c r="Z43" s="13">
        <f>IFERROR((Table2[[#This Row],[Open]]-Table2[[#This Row],[PreviousClose]])/Table2[[#This Row],[PreviousClose]],0)</f>
        <v/>
      </c>
      <c r="AA43" s="13">
        <f>IFERROR((Table2[[#This Row],[Price]]-Table2[[#This Row],[Open]])/Table2[[#This Row],[Open]],0)</f>
        <v/>
      </c>
      <c r="AB43" s="11">
        <f>Table2[[#This Row],[Price]]-Table2[[#This Row],[PreviousClose]]</f>
        <v/>
      </c>
    </row>
    <row r="44" ht="21" customHeight="1">
      <c r="A44" s="1" t="inlineStr">
        <is>
          <t>MRNA</t>
        </is>
      </c>
      <c r="E44" s="4" t="inlineStr">
        <is>
          <t>MRNA</t>
        </is>
      </c>
      <c r="G44">
        <f>IF(OR(LEFT(E44,3)="SAF",LEFT(E44,3)="MVE",LEFT(E44,2)="JB"),MID(E44,IF(LEFT(E44,2)="JB",3,4),LEN(E44)-2),E44)&amp;F44</f>
        <v/>
      </c>
      <c r="H44" s="11">
        <f>VALUE(_xlfn.XLOOKUP($G44,LatestData!$A$17:$A$89,LatestData!D$17:D$89))</f>
        <v/>
      </c>
      <c r="I44" s="11">
        <f>VALUE(_xlfn.XLOOKUP($G44,LatestData!$A$17:$A$89,LatestData!E$17:E$89))</f>
        <v/>
      </c>
      <c r="J44" s="11">
        <f>VALUE(_xlfn.XLOOKUP($G44,LatestData!$A$17:$A$89,LatestData!F$17:F$89))</f>
        <v/>
      </c>
      <c r="K44" s="11">
        <f>VALUE(_xlfn.XLOOKUP($G44,LatestData!$A$17:$A$89,LatestData!G$17:G$89))</f>
        <v/>
      </c>
      <c r="L44" s="11">
        <f>VALUE(_xlfn.XLOOKUP($G44,LatestData!$A$17:$A$89,LatestData!H$17:H$89))</f>
        <v/>
      </c>
      <c r="M44" s="11">
        <f>VALUE(_xlfn.XLOOKUP($G44,LatestData!$A$17:$A$89,LatestData!I$17:I$89))</f>
        <v/>
      </c>
      <c r="N44" s="15">
        <f>VALUE(_xlfn.XLOOKUP($G44,LatestData!$A$17:$A$89,LatestData!J$17:J$89))</f>
        <v/>
      </c>
      <c r="O44" s="11">
        <f>VALUE(_xlfn.XLOOKUP($G44,LatestData!$A$17:$A$89,LatestData!K$17:K$89))</f>
        <v/>
      </c>
      <c r="P44" s="11">
        <f>VALUE(_xlfn.XLOOKUP($G44,LatestData!$A$17:$A$89,LatestData!L$17:L$89))</f>
        <v/>
      </c>
      <c r="Q44" s="11">
        <f>VALUE(_xlfn.XLOOKUP($G44,LatestData!$A$17:$A$89,LatestData!M$17:M$89))</f>
        <v/>
      </c>
      <c r="R44" s="11">
        <f>VALUE(_xlfn.XLOOKUP($G44,LatestData!$A$17:$A$89,LatestData!N$17:N$89))</f>
        <v/>
      </c>
      <c r="S44" s="21">
        <f>_xlfn.XLOOKUP($G44,LatestData!$A$17:$A$89,LatestData!O$17:O$89)</f>
        <v/>
      </c>
      <c r="T44" s="11">
        <f>VALUE(_xlfn.XLOOKUP($G44,LatestData!$A$17:$A$89,LatestData!P$17:P$89))</f>
        <v/>
      </c>
      <c r="U44" s="11">
        <f>VALUE(_xlfn.XLOOKUP($G44,LatestData!$A$17:$A$89,LatestData!Q$17:Q$89))</f>
        <v/>
      </c>
      <c r="V44" s="11">
        <f>VALUE(_xlfn.XLOOKUP($G44,LatestData!$A$17:$A$89,LatestData!R$17:R$89))</f>
        <v/>
      </c>
      <c r="W44" s="16">
        <f>VALUE(_xlfn.XLOOKUP($G44,LatestData!$A$17:$A$89,LatestData!S$17:S$89)%)</f>
        <v/>
      </c>
      <c r="X44" s="17">
        <f>VALUE(_xlfn.XLOOKUP($G44,LatestData!$A$17:$A$89,LatestData!T$17:T$89))</f>
        <v/>
      </c>
      <c r="Y44" s="17">
        <f>VALUE(_xlfn.XLOOKUP($G44,LatestData!$A$17:$A$89,LatestData!U$17:U$89))</f>
        <v/>
      </c>
      <c r="Z44" s="13">
        <f>IFERROR((Table2[[#This Row],[Open]]-Table2[[#This Row],[PreviousClose]])/Table2[[#This Row],[PreviousClose]],0)</f>
        <v/>
      </c>
      <c r="AA44" s="13">
        <f>IFERROR((Table2[[#This Row],[Price]]-Table2[[#This Row],[Open]])/Table2[[#This Row],[Open]],0)</f>
        <v/>
      </c>
      <c r="AB44" s="11">
        <f>Table2[[#This Row],[Price]]-Table2[[#This Row],[PreviousClose]]</f>
        <v/>
      </c>
    </row>
    <row r="45" ht="21" customHeight="1">
      <c r="A45" s="1" t="inlineStr">
        <is>
          <t>MSFT</t>
        </is>
      </c>
      <c r="E45" s="3" t="inlineStr">
        <is>
          <t>MSFT</t>
        </is>
      </c>
      <c r="G45">
        <f>IF(OR(LEFT(E45,3)="SAF",LEFT(E45,3)="MVE",LEFT(E45,2)="JB"),MID(E45,IF(LEFT(E45,2)="JB",3,4),LEN(E45)-2),E45)&amp;F45</f>
        <v/>
      </c>
      <c r="H45" s="11">
        <f>VALUE(_xlfn.XLOOKUP($G45,LatestData!$A$17:$A$89,LatestData!D$17:D$89))</f>
        <v/>
      </c>
      <c r="I45" s="11">
        <f>VALUE(_xlfn.XLOOKUP($G45,LatestData!$A$17:$A$89,LatestData!E$17:E$89))</f>
        <v/>
      </c>
      <c r="J45" s="11">
        <f>VALUE(_xlfn.XLOOKUP($G45,LatestData!$A$17:$A$89,LatestData!F$17:F$89))</f>
        <v/>
      </c>
      <c r="K45" s="11">
        <f>VALUE(_xlfn.XLOOKUP($G45,LatestData!$A$17:$A$89,LatestData!G$17:G$89))</f>
        <v/>
      </c>
      <c r="L45" s="11">
        <f>VALUE(_xlfn.XLOOKUP($G45,LatestData!$A$17:$A$89,LatestData!H$17:H$89))</f>
        <v/>
      </c>
      <c r="M45" s="11">
        <f>VALUE(_xlfn.XLOOKUP($G45,LatestData!$A$17:$A$89,LatestData!I$17:I$89))</f>
        <v/>
      </c>
      <c r="N45" s="15">
        <f>VALUE(_xlfn.XLOOKUP($G45,LatestData!$A$17:$A$89,LatestData!J$17:J$89))</f>
        <v/>
      </c>
      <c r="O45" s="11">
        <f>VALUE(_xlfn.XLOOKUP($G45,LatestData!$A$17:$A$89,LatestData!K$17:K$89))</f>
        <v/>
      </c>
      <c r="P45" s="11">
        <f>VALUE(_xlfn.XLOOKUP($G45,LatestData!$A$17:$A$89,LatestData!L$17:L$89))</f>
        <v/>
      </c>
      <c r="Q45" s="11">
        <f>VALUE(_xlfn.XLOOKUP($G45,LatestData!$A$17:$A$89,LatestData!M$17:M$89))</f>
        <v/>
      </c>
      <c r="R45" s="11">
        <f>VALUE(_xlfn.XLOOKUP($G45,LatestData!$A$17:$A$89,LatestData!N$17:N$89))</f>
        <v/>
      </c>
      <c r="S45" s="21">
        <f>_xlfn.XLOOKUP($G45,LatestData!$A$17:$A$89,LatestData!O$17:O$89)</f>
        <v/>
      </c>
      <c r="T45" s="11">
        <f>VALUE(_xlfn.XLOOKUP($G45,LatestData!$A$17:$A$89,LatestData!P$17:P$89))</f>
        <v/>
      </c>
      <c r="U45" s="11">
        <f>VALUE(_xlfn.XLOOKUP($G45,LatestData!$A$17:$A$89,LatestData!Q$17:Q$89))</f>
        <v/>
      </c>
      <c r="V45" s="11">
        <f>VALUE(_xlfn.XLOOKUP($G45,LatestData!$A$17:$A$89,LatestData!R$17:R$89))</f>
        <v/>
      </c>
      <c r="W45" s="16">
        <f>VALUE(_xlfn.XLOOKUP($G45,LatestData!$A$17:$A$89,LatestData!S$17:S$89)%)</f>
        <v/>
      </c>
      <c r="X45" s="17">
        <f>VALUE(_xlfn.XLOOKUP($G45,LatestData!$A$17:$A$89,LatestData!T$17:T$89))</f>
        <v/>
      </c>
      <c r="Y45" s="17">
        <f>VALUE(_xlfn.XLOOKUP($G45,LatestData!$A$17:$A$89,LatestData!U$17:U$89))</f>
        <v/>
      </c>
      <c r="Z45" s="13">
        <f>IFERROR((Table2[[#This Row],[Open]]-Table2[[#This Row],[PreviousClose]])/Table2[[#This Row],[PreviousClose]],0)</f>
        <v/>
      </c>
      <c r="AA45" s="13">
        <f>IFERROR((Table2[[#This Row],[Price]]-Table2[[#This Row],[Open]])/Table2[[#This Row],[Open]],0)</f>
        <v/>
      </c>
      <c r="AB45" s="11">
        <f>Table2[[#This Row],[Price]]-Table2[[#This Row],[PreviousClose]]</f>
        <v/>
      </c>
    </row>
    <row r="46" ht="21" customHeight="1">
      <c r="A46" s="1" t="inlineStr">
        <is>
          <t>NEE</t>
        </is>
      </c>
      <c r="E46" s="4" t="inlineStr">
        <is>
          <t>NEE</t>
        </is>
      </c>
      <c r="G46">
        <f>IF(OR(LEFT(E46,3)="SAF",LEFT(E46,3)="MVE",LEFT(E46,2)="JB"),MID(E46,IF(LEFT(E46,2)="JB",3,4),LEN(E46)-2),E46)&amp;F46</f>
        <v/>
      </c>
      <c r="H46" s="11">
        <f>VALUE(_xlfn.XLOOKUP($G46,LatestData!$A$17:$A$89,LatestData!D$17:D$89))</f>
        <v/>
      </c>
      <c r="I46" s="11">
        <f>VALUE(_xlfn.XLOOKUP($G46,LatestData!$A$17:$A$89,LatestData!E$17:E$89))</f>
        <v/>
      </c>
      <c r="J46" s="11">
        <f>VALUE(_xlfn.XLOOKUP($G46,LatestData!$A$17:$A$89,LatestData!F$17:F$89))</f>
        <v/>
      </c>
      <c r="K46" s="11">
        <f>VALUE(_xlfn.XLOOKUP($G46,LatestData!$A$17:$A$89,LatestData!G$17:G$89))</f>
        <v/>
      </c>
      <c r="L46" s="11">
        <f>VALUE(_xlfn.XLOOKUP($G46,LatestData!$A$17:$A$89,LatestData!H$17:H$89))</f>
        <v/>
      </c>
      <c r="M46" s="11">
        <f>VALUE(_xlfn.XLOOKUP($G46,LatestData!$A$17:$A$89,LatestData!I$17:I$89))</f>
        <v/>
      </c>
      <c r="N46" s="15">
        <f>VALUE(_xlfn.XLOOKUP($G46,LatestData!$A$17:$A$89,LatestData!J$17:J$89))</f>
        <v/>
      </c>
      <c r="O46" s="11">
        <f>VALUE(_xlfn.XLOOKUP($G46,LatestData!$A$17:$A$89,LatestData!K$17:K$89))</f>
        <v/>
      </c>
      <c r="P46" s="11">
        <f>VALUE(_xlfn.XLOOKUP($G46,LatestData!$A$17:$A$89,LatestData!L$17:L$89))</f>
        <v/>
      </c>
      <c r="Q46" s="11">
        <f>VALUE(_xlfn.XLOOKUP($G46,LatestData!$A$17:$A$89,LatestData!M$17:M$89))</f>
        <v/>
      </c>
      <c r="R46" s="11">
        <f>VALUE(_xlfn.XLOOKUP($G46,LatestData!$A$17:$A$89,LatestData!N$17:N$89))</f>
        <v/>
      </c>
      <c r="S46" s="21">
        <f>_xlfn.XLOOKUP($G46,LatestData!$A$17:$A$89,LatestData!O$17:O$89)</f>
        <v/>
      </c>
      <c r="T46" s="11">
        <f>VALUE(_xlfn.XLOOKUP($G46,LatestData!$A$17:$A$89,LatestData!P$17:P$89))</f>
        <v/>
      </c>
      <c r="U46" s="11">
        <f>VALUE(_xlfn.XLOOKUP($G46,LatestData!$A$17:$A$89,LatestData!Q$17:Q$89))</f>
        <v/>
      </c>
      <c r="V46" s="11">
        <f>VALUE(_xlfn.XLOOKUP($G46,LatestData!$A$17:$A$89,LatestData!R$17:R$89))</f>
        <v/>
      </c>
      <c r="W46" s="16">
        <f>VALUE(_xlfn.XLOOKUP($G46,LatestData!$A$17:$A$89,LatestData!S$17:S$89)%)</f>
        <v/>
      </c>
      <c r="X46" s="17">
        <f>VALUE(_xlfn.XLOOKUP($G46,LatestData!$A$17:$A$89,LatestData!T$17:T$89))</f>
        <v/>
      </c>
      <c r="Y46" s="17">
        <f>VALUE(_xlfn.XLOOKUP($G46,LatestData!$A$17:$A$89,LatestData!U$17:U$89))</f>
        <v/>
      </c>
      <c r="Z46" s="13">
        <f>IFERROR((Table2[[#This Row],[Open]]-Table2[[#This Row],[PreviousClose]])/Table2[[#This Row],[PreviousClose]],0)</f>
        <v/>
      </c>
      <c r="AA46" s="13">
        <f>IFERROR((Table2[[#This Row],[Price]]-Table2[[#This Row],[Open]])/Table2[[#This Row],[Open]],0)</f>
        <v/>
      </c>
      <c r="AB46" s="11">
        <f>Table2[[#This Row],[Price]]-Table2[[#This Row],[PreviousClose]]</f>
        <v/>
      </c>
    </row>
    <row r="47" ht="21" customHeight="1">
      <c r="A47" s="1" t="inlineStr">
        <is>
          <t>NEM</t>
        </is>
      </c>
      <c r="E47" s="3" t="inlineStr">
        <is>
          <t>NEM</t>
        </is>
      </c>
      <c r="G47">
        <f>IF(OR(LEFT(E47,3)="SAF",LEFT(E47,3)="MVE",LEFT(E47,2)="JB"),MID(E47,IF(LEFT(E47,2)="JB",3,4),LEN(E47)-2),E47)&amp;F47</f>
        <v/>
      </c>
      <c r="H47" s="11">
        <f>VALUE(_xlfn.XLOOKUP($G47,LatestData!$A$17:$A$89,LatestData!D$17:D$89))</f>
        <v/>
      </c>
      <c r="I47" s="11">
        <f>VALUE(_xlfn.XLOOKUP($G47,LatestData!$A$17:$A$89,LatestData!E$17:E$89))</f>
        <v/>
      </c>
      <c r="J47" s="11">
        <f>VALUE(_xlfn.XLOOKUP($G47,LatestData!$A$17:$A$89,LatestData!F$17:F$89))</f>
        <v/>
      </c>
      <c r="K47" s="11">
        <f>VALUE(_xlfn.XLOOKUP($G47,LatestData!$A$17:$A$89,LatestData!G$17:G$89))</f>
        <v/>
      </c>
      <c r="L47" s="11">
        <f>VALUE(_xlfn.XLOOKUP($G47,LatestData!$A$17:$A$89,LatestData!H$17:H$89))</f>
        <v/>
      </c>
      <c r="M47" s="11">
        <f>VALUE(_xlfn.XLOOKUP($G47,LatestData!$A$17:$A$89,LatestData!I$17:I$89))</f>
        <v/>
      </c>
      <c r="N47" s="15">
        <f>VALUE(_xlfn.XLOOKUP($G47,LatestData!$A$17:$A$89,LatestData!J$17:J$89))</f>
        <v/>
      </c>
      <c r="O47" s="11">
        <f>VALUE(_xlfn.XLOOKUP($G47,LatestData!$A$17:$A$89,LatestData!K$17:K$89))</f>
        <v/>
      </c>
      <c r="P47" s="11">
        <f>VALUE(_xlfn.XLOOKUP($G47,LatestData!$A$17:$A$89,LatestData!L$17:L$89))</f>
        <v/>
      </c>
      <c r="Q47" s="11">
        <f>VALUE(_xlfn.XLOOKUP($G47,LatestData!$A$17:$A$89,LatestData!M$17:M$89))</f>
        <v/>
      </c>
      <c r="R47" s="11">
        <f>VALUE(_xlfn.XLOOKUP($G47,LatestData!$A$17:$A$89,LatestData!N$17:N$89))</f>
        <v/>
      </c>
      <c r="S47" s="21">
        <f>_xlfn.XLOOKUP($G47,LatestData!$A$17:$A$89,LatestData!O$17:O$89)</f>
        <v/>
      </c>
      <c r="T47" s="11">
        <f>VALUE(_xlfn.XLOOKUP($G47,LatestData!$A$17:$A$89,LatestData!P$17:P$89))</f>
        <v/>
      </c>
      <c r="U47" s="11">
        <f>VALUE(_xlfn.XLOOKUP($G47,LatestData!$A$17:$A$89,LatestData!Q$17:Q$89))</f>
        <v/>
      </c>
      <c r="V47" s="11">
        <f>VALUE(_xlfn.XLOOKUP($G47,LatestData!$A$17:$A$89,LatestData!R$17:R$89))</f>
        <v/>
      </c>
      <c r="W47" s="16">
        <f>VALUE(_xlfn.XLOOKUP($G47,LatestData!$A$17:$A$89,LatestData!S$17:S$89)%)</f>
        <v/>
      </c>
      <c r="X47" s="17">
        <f>VALUE(_xlfn.XLOOKUP($G47,LatestData!$A$17:$A$89,LatestData!T$17:T$89))</f>
        <v/>
      </c>
      <c r="Y47" s="17">
        <f>VALUE(_xlfn.XLOOKUP($G47,LatestData!$A$17:$A$89,LatestData!U$17:U$89))</f>
        <v/>
      </c>
      <c r="Z47" s="13">
        <f>IFERROR((Table2[[#This Row],[Open]]-Table2[[#This Row],[PreviousClose]])/Table2[[#This Row],[PreviousClose]],0)</f>
        <v/>
      </c>
      <c r="AA47" s="13">
        <f>IFERROR((Table2[[#This Row],[Price]]-Table2[[#This Row],[Open]])/Table2[[#This Row],[Open]],0)</f>
        <v/>
      </c>
      <c r="AB47" s="11">
        <f>Table2[[#This Row],[Price]]-Table2[[#This Row],[PreviousClose]]</f>
        <v/>
      </c>
    </row>
    <row r="48" ht="21" customHeight="1">
      <c r="A48" s="1" t="inlineStr">
        <is>
          <t>NFLX</t>
        </is>
      </c>
      <c r="E48" s="4" t="inlineStr">
        <is>
          <t>NFLX</t>
        </is>
      </c>
      <c r="G48">
        <f>IF(OR(LEFT(E48,3)="SAF",LEFT(E48,3)="MVE",LEFT(E48,2)="JB"),MID(E48,IF(LEFT(E48,2)="JB",3,4),LEN(E48)-2),E48)&amp;F48</f>
        <v/>
      </c>
      <c r="H48" s="11">
        <f>VALUE(_xlfn.XLOOKUP($G48,LatestData!$A$17:$A$89,LatestData!D$17:D$89))</f>
        <v/>
      </c>
      <c r="I48" s="11">
        <f>VALUE(_xlfn.XLOOKUP($G48,LatestData!$A$17:$A$89,LatestData!E$17:E$89))</f>
        <v/>
      </c>
      <c r="J48" s="11">
        <f>VALUE(_xlfn.XLOOKUP($G48,LatestData!$A$17:$A$89,LatestData!F$17:F$89))</f>
        <v/>
      </c>
      <c r="K48" s="11">
        <f>VALUE(_xlfn.XLOOKUP($G48,LatestData!$A$17:$A$89,LatestData!G$17:G$89))</f>
        <v/>
      </c>
      <c r="L48" s="11">
        <f>VALUE(_xlfn.XLOOKUP($G48,LatestData!$A$17:$A$89,LatestData!H$17:H$89))</f>
        <v/>
      </c>
      <c r="M48" s="11">
        <f>VALUE(_xlfn.XLOOKUP($G48,LatestData!$A$17:$A$89,LatestData!I$17:I$89))</f>
        <v/>
      </c>
      <c r="N48" s="15">
        <f>VALUE(_xlfn.XLOOKUP($G48,LatestData!$A$17:$A$89,LatestData!J$17:J$89))</f>
        <v/>
      </c>
      <c r="O48" s="11">
        <f>VALUE(_xlfn.XLOOKUP($G48,LatestData!$A$17:$A$89,LatestData!K$17:K$89))</f>
        <v/>
      </c>
      <c r="P48" s="11">
        <f>VALUE(_xlfn.XLOOKUP($G48,LatestData!$A$17:$A$89,LatestData!L$17:L$89))</f>
        <v/>
      </c>
      <c r="Q48" s="11">
        <f>VALUE(_xlfn.XLOOKUP($G48,LatestData!$A$17:$A$89,LatestData!M$17:M$89))</f>
        <v/>
      </c>
      <c r="R48" s="11">
        <f>VALUE(_xlfn.XLOOKUP($G48,LatestData!$A$17:$A$89,LatestData!N$17:N$89))</f>
        <v/>
      </c>
      <c r="S48" s="21">
        <f>_xlfn.XLOOKUP($G48,LatestData!$A$17:$A$89,LatestData!O$17:O$89)</f>
        <v/>
      </c>
      <c r="T48" s="11">
        <f>VALUE(_xlfn.XLOOKUP($G48,LatestData!$A$17:$A$89,LatestData!P$17:P$89))</f>
        <v/>
      </c>
      <c r="U48" s="11">
        <f>VALUE(_xlfn.XLOOKUP($G48,LatestData!$A$17:$A$89,LatestData!Q$17:Q$89))</f>
        <v/>
      </c>
      <c r="V48" s="11">
        <f>VALUE(_xlfn.XLOOKUP($G48,LatestData!$A$17:$A$89,LatestData!R$17:R$89))</f>
        <v/>
      </c>
      <c r="W48" s="16">
        <f>VALUE(_xlfn.XLOOKUP($G48,LatestData!$A$17:$A$89,LatestData!S$17:S$89)%)</f>
        <v/>
      </c>
      <c r="X48" s="17">
        <f>VALUE(_xlfn.XLOOKUP($G48,LatestData!$A$17:$A$89,LatestData!T$17:T$89))</f>
        <v/>
      </c>
      <c r="Y48" s="17">
        <f>VALUE(_xlfn.XLOOKUP($G48,LatestData!$A$17:$A$89,LatestData!U$17:U$89))</f>
        <v/>
      </c>
      <c r="Z48" s="13">
        <f>IFERROR((Table2[[#This Row],[Open]]-Table2[[#This Row],[PreviousClose]])/Table2[[#This Row],[PreviousClose]],0)</f>
        <v/>
      </c>
      <c r="AA48" s="13">
        <f>IFERROR((Table2[[#This Row],[Price]]-Table2[[#This Row],[Open]])/Table2[[#This Row],[Open]],0)</f>
        <v/>
      </c>
      <c r="AB48" s="11">
        <f>Table2[[#This Row],[Price]]-Table2[[#This Row],[PreviousClose]]</f>
        <v/>
      </c>
    </row>
    <row r="49" ht="21" customHeight="1">
      <c r="A49" s="1" t="inlineStr">
        <is>
          <t>NOTE</t>
        </is>
      </c>
      <c r="E49" s="3" t="inlineStr">
        <is>
          <t>NOTE</t>
        </is>
      </c>
      <c r="G49">
        <f>IF(OR(LEFT(E49,3)="SAF",LEFT(E49,3)="MVE",LEFT(E49,2)="JB"),MID(E49,IF(LEFT(E49,2)="JB",3,4),LEN(E49)-2),E49)&amp;F49</f>
        <v/>
      </c>
      <c r="H49" s="11">
        <f>VALUE(_xlfn.XLOOKUP($G49,LatestData!$A$17:$A$89,LatestData!D$17:D$89))</f>
        <v/>
      </c>
      <c r="I49" s="11">
        <f>VALUE(_xlfn.XLOOKUP($G49,LatestData!$A$17:$A$89,LatestData!E$17:E$89))</f>
        <v/>
      </c>
      <c r="J49" s="11">
        <f>VALUE(_xlfn.XLOOKUP($G49,LatestData!$A$17:$A$89,LatestData!F$17:F$89))</f>
        <v/>
      </c>
      <c r="K49" s="11">
        <f>VALUE(_xlfn.XLOOKUP($G49,LatestData!$A$17:$A$89,LatestData!G$17:G$89))</f>
        <v/>
      </c>
      <c r="L49" s="11">
        <f>VALUE(_xlfn.XLOOKUP($G49,LatestData!$A$17:$A$89,LatestData!H$17:H$89))</f>
        <v/>
      </c>
      <c r="M49" s="11">
        <f>VALUE(_xlfn.XLOOKUP($G49,LatestData!$A$17:$A$89,LatestData!I$17:I$89))</f>
        <v/>
      </c>
      <c r="N49" s="15">
        <f>VALUE(_xlfn.XLOOKUP($G49,LatestData!$A$17:$A$89,LatestData!J$17:J$89))</f>
        <v/>
      </c>
      <c r="O49" s="11">
        <f>VALUE(_xlfn.XLOOKUP($G49,LatestData!$A$17:$A$89,LatestData!K$17:K$89))</f>
        <v/>
      </c>
      <c r="P49" s="11">
        <f>VALUE(_xlfn.XLOOKUP($G49,LatestData!$A$17:$A$89,LatestData!L$17:L$89))</f>
        <v/>
      </c>
      <c r="Q49" s="11">
        <f>VALUE(_xlfn.XLOOKUP($G49,LatestData!$A$17:$A$89,LatestData!M$17:M$89))</f>
        <v/>
      </c>
      <c r="R49" s="11">
        <f>VALUE(_xlfn.XLOOKUP($G49,LatestData!$A$17:$A$89,LatestData!N$17:N$89))</f>
        <v/>
      </c>
      <c r="S49" s="21">
        <f>_xlfn.XLOOKUP($G49,LatestData!$A$17:$A$89,LatestData!O$17:O$89)</f>
        <v/>
      </c>
      <c r="T49" s="11">
        <f>VALUE(_xlfn.XLOOKUP($G49,LatestData!$A$17:$A$89,LatestData!P$17:P$89))</f>
        <v/>
      </c>
      <c r="U49" s="11">
        <f>VALUE(_xlfn.XLOOKUP($G49,LatestData!$A$17:$A$89,LatestData!Q$17:Q$89))</f>
        <v/>
      </c>
      <c r="V49" s="11">
        <f>VALUE(_xlfn.XLOOKUP($G49,LatestData!$A$17:$A$89,LatestData!R$17:R$89))</f>
        <v/>
      </c>
      <c r="W49" s="16">
        <f>VALUE(_xlfn.XLOOKUP($G49,LatestData!$A$17:$A$89,LatestData!S$17:S$89)%)</f>
        <v/>
      </c>
      <c r="X49" s="17">
        <f>VALUE(_xlfn.XLOOKUP($G49,LatestData!$A$17:$A$89,LatestData!T$17:T$89))</f>
        <v/>
      </c>
      <c r="Y49" s="17">
        <f>VALUE(_xlfn.XLOOKUP($G49,LatestData!$A$17:$A$89,LatestData!U$17:U$89))</f>
        <v/>
      </c>
      <c r="Z49" s="13">
        <f>IFERROR((Table2[[#This Row],[Open]]-Table2[[#This Row],[PreviousClose]])/Table2[[#This Row],[PreviousClose]],0)</f>
        <v/>
      </c>
      <c r="AA49" s="13">
        <f>IFERROR((Table2[[#This Row],[Price]]-Table2[[#This Row],[Open]])/Table2[[#This Row],[Open]],0)</f>
        <v/>
      </c>
      <c r="AB49" s="11">
        <f>Table2[[#This Row],[Price]]-Table2[[#This Row],[PreviousClose]]</f>
        <v/>
      </c>
    </row>
    <row r="50" ht="21" customHeight="1">
      <c r="A50" s="1" t="inlineStr">
        <is>
          <t>PAAS</t>
        </is>
      </c>
      <c r="E50" s="7" t="inlineStr">
        <is>
          <t>PAAS</t>
        </is>
      </c>
      <c r="G50">
        <f>IF(OR(LEFT(E50,3)="SAF",LEFT(E50,3)="MVE",LEFT(E50,2)="JB"),MID(E50,IF(LEFT(E50,2)="JB",3,4),LEN(E50)-2),E50)&amp;F50</f>
        <v/>
      </c>
      <c r="H50" s="11">
        <f>VALUE(_xlfn.XLOOKUP($G50,LatestData!$A$17:$A$89,LatestData!D$17:D$89))</f>
        <v/>
      </c>
      <c r="I50" s="11">
        <f>VALUE(_xlfn.XLOOKUP($G50,LatestData!$A$17:$A$89,LatestData!E$17:E$89))</f>
        <v/>
      </c>
      <c r="J50" s="11">
        <f>VALUE(_xlfn.XLOOKUP($G50,LatestData!$A$17:$A$89,LatestData!F$17:F$89))</f>
        <v/>
      </c>
      <c r="K50" s="11">
        <f>VALUE(_xlfn.XLOOKUP($G50,LatestData!$A$17:$A$89,LatestData!G$17:G$89))</f>
        <v/>
      </c>
      <c r="L50" s="11">
        <f>VALUE(_xlfn.XLOOKUP($G50,LatestData!$A$17:$A$89,LatestData!H$17:H$89))</f>
        <v/>
      </c>
      <c r="M50" s="11">
        <f>VALUE(_xlfn.XLOOKUP($G50,LatestData!$A$17:$A$89,LatestData!I$17:I$89))</f>
        <v/>
      </c>
      <c r="N50" s="15">
        <f>VALUE(_xlfn.XLOOKUP($G50,LatestData!$A$17:$A$89,LatestData!J$17:J$89))</f>
        <v/>
      </c>
      <c r="O50" s="11">
        <f>VALUE(_xlfn.XLOOKUP($G50,LatestData!$A$17:$A$89,LatestData!K$17:K$89))</f>
        <v/>
      </c>
      <c r="P50" s="11">
        <f>VALUE(_xlfn.XLOOKUP($G50,LatestData!$A$17:$A$89,LatestData!L$17:L$89))</f>
        <v/>
      </c>
      <c r="Q50" s="11">
        <f>VALUE(_xlfn.XLOOKUP($G50,LatestData!$A$17:$A$89,LatestData!M$17:M$89))</f>
        <v/>
      </c>
      <c r="R50" s="11">
        <f>VALUE(_xlfn.XLOOKUP($G50,LatestData!$A$17:$A$89,LatestData!N$17:N$89))</f>
        <v/>
      </c>
      <c r="S50" s="21">
        <f>_xlfn.XLOOKUP($G50,LatestData!$A$17:$A$89,LatestData!O$17:O$89)</f>
        <v/>
      </c>
      <c r="T50" s="11">
        <f>VALUE(_xlfn.XLOOKUP($G50,LatestData!$A$17:$A$89,LatestData!P$17:P$89))</f>
        <v/>
      </c>
      <c r="U50" s="11">
        <f>VALUE(_xlfn.XLOOKUP($G50,LatestData!$A$17:$A$89,LatestData!Q$17:Q$89))</f>
        <v/>
      </c>
      <c r="V50" s="11">
        <f>VALUE(_xlfn.XLOOKUP($G50,LatestData!$A$17:$A$89,LatestData!R$17:R$89))</f>
        <v/>
      </c>
      <c r="W50" s="16">
        <f>VALUE(_xlfn.XLOOKUP($G50,LatestData!$A$17:$A$89,LatestData!S$17:S$89)%)</f>
        <v/>
      </c>
      <c r="X50" s="17">
        <f>VALUE(_xlfn.XLOOKUP($G50,LatestData!$A$17:$A$89,LatestData!T$17:T$89))</f>
        <v/>
      </c>
      <c r="Y50" s="17">
        <f>VALUE(_xlfn.XLOOKUP($G50,LatestData!$A$17:$A$89,LatestData!U$17:U$89))</f>
        <v/>
      </c>
      <c r="Z50" s="13">
        <f>IFERROR((Table2[[#This Row],[Open]]-Table2[[#This Row],[PreviousClose]])/Table2[[#This Row],[PreviousClose]],0)</f>
        <v/>
      </c>
      <c r="AA50" s="13">
        <f>IFERROR((Table2[[#This Row],[Price]]-Table2[[#This Row],[Open]])/Table2[[#This Row],[Open]],0)</f>
        <v/>
      </c>
      <c r="AB50" s="11">
        <f>Table2[[#This Row],[Price]]-Table2[[#This Row],[PreviousClose]]</f>
        <v/>
      </c>
    </row>
    <row r="51" ht="21" customHeight="1">
      <c r="A51" s="1" t="inlineStr">
        <is>
          <t>PROF</t>
        </is>
      </c>
      <c r="E51" s="3" t="inlineStr">
        <is>
          <t>PROF</t>
        </is>
      </c>
      <c r="G51">
        <f>IF(OR(LEFT(E51,3)="SAF",LEFT(E51,3)="MVE",LEFT(E51,2)="JB"),MID(E51,IF(LEFT(E51,2)="JB",3,4),LEN(E51)-2),E51)&amp;F51</f>
        <v/>
      </c>
      <c r="H51" s="11">
        <f>VALUE(_xlfn.XLOOKUP($G51,LatestData!$A$17:$A$89,LatestData!D$17:D$89))</f>
        <v/>
      </c>
      <c r="I51" s="11">
        <f>VALUE(_xlfn.XLOOKUP($G51,LatestData!$A$17:$A$89,LatestData!E$17:E$89))</f>
        <v/>
      </c>
      <c r="J51" s="11">
        <f>VALUE(_xlfn.XLOOKUP($G51,LatestData!$A$17:$A$89,LatestData!F$17:F$89))</f>
        <v/>
      </c>
      <c r="K51" s="11">
        <f>VALUE(_xlfn.XLOOKUP($G51,LatestData!$A$17:$A$89,LatestData!G$17:G$89))</f>
        <v/>
      </c>
      <c r="L51" s="11">
        <f>VALUE(_xlfn.XLOOKUP($G51,LatestData!$A$17:$A$89,LatestData!H$17:H$89))</f>
        <v/>
      </c>
      <c r="M51" s="11">
        <f>VALUE(_xlfn.XLOOKUP($G51,LatestData!$A$17:$A$89,LatestData!I$17:I$89))</f>
        <v/>
      </c>
      <c r="N51" s="15">
        <f>VALUE(_xlfn.XLOOKUP($G51,LatestData!$A$17:$A$89,LatestData!J$17:J$89))</f>
        <v/>
      </c>
      <c r="O51" s="11">
        <f>VALUE(_xlfn.XLOOKUP($G51,LatestData!$A$17:$A$89,LatestData!K$17:K$89))</f>
        <v/>
      </c>
      <c r="P51" s="11">
        <f>VALUE(_xlfn.XLOOKUP($G51,LatestData!$A$17:$A$89,LatestData!L$17:L$89))</f>
        <v/>
      </c>
      <c r="Q51" s="11">
        <f>VALUE(_xlfn.XLOOKUP($G51,LatestData!$A$17:$A$89,LatestData!M$17:M$89))</f>
        <v/>
      </c>
      <c r="R51" s="11">
        <f>VALUE(_xlfn.XLOOKUP($G51,LatestData!$A$17:$A$89,LatestData!N$17:N$89))</f>
        <v/>
      </c>
      <c r="S51" s="21">
        <f>_xlfn.XLOOKUP($G51,LatestData!$A$17:$A$89,LatestData!O$17:O$89)</f>
        <v/>
      </c>
      <c r="T51" s="11">
        <f>VALUE(_xlfn.XLOOKUP($G51,LatestData!$A$17:$A$89,LatestData!P$17:P$89))</f>
        <v/>
      </c>
      <c r="U51" s="11">
        <f>VALUE(_xlfn.XLOOKUP($G51,LatestData!$A$17:$A$89,LatestData!Q$17:Q$89))</f>
        <v/>
      </c>
      <c r="V51" s="11">
        <f>VALUE(_xlfn.XLOOKUP($G51,LatestData!$A$17:$A$89,LatestData!R$17:R$89))</f>
        <v/>
      </c>
      <c r="W51" s="16">
        <f>VALUE(_xlfn.XLOOKUP($G51,LatestData!$A$17:$A$89,LatestData!S$17:S$89)%)</f>
        <v/>
      </c>
      <c r="X51" s="17">
        <f>VALUE(_xlfn.XLOOKUP($G51,LatestData!$A$17:$A$89,LatestData!T$17:T$89))</f>
        <v/>
      </c>
      <c r="Y51" s="17">
        <f>VALUE(_xlfn.XLOOKUP($G51,LatestData!$A$17:$A$89,LatestData!U$17:U$89))</f>
        <v/>
      </c>
      <c r="Z51" s="13">
        <f>IFERROR((Table2[[#This Row],[Open]]-Table2[[#This Row],[PreviousClose]])/Table2[[#This Row],[PreviousClose]],0)</f>
        <v/>
      </c>
      <c r="AA51" s="13">
        <f>IFERROR((Table2[[#This Row],[Price]]-Table2[[#This Row],[Open]])/Table2[[#This Row],[Open]],0)</f>
        <v/>
      </c>
      <c r="AB51" s="11">
        <f>Table2[[#This Row],[Price]]-Table2[[#This Row],[PreviousClose]]</f>
        <v/>
      </c>
    </row>
    <row r="52" ht="21" customHeight="1">
      <c r="A52" s="1" t="inlineStr">
        <is>
          <t>POET</t>
        </is>
      </c>
      <c r="E52" s="4" t="inlineStr">
        <is>
          <t>POET</t>
        </is>
      </c>
      <c r="G52">
        <f>IF(OR(LEFT(E52,3)="SAF",LEFT(E52,3)="MVE",LEFT(E52,2)="JB"),MID(E52,IF(LEFT(E52,2)="JB",3,4),LEN(E52)-2),E52)&amp;F52</f>
        <v/>
      </c>
      <c r="H52" s="11">
        <f>VALUE(_xlfn.XLOOKUP($G52,LatestData!$A$17:$A$89,LatestData!D$17:D$89))</f>
        <v/>
      </c>
      <c r="I52" s="11">
        <f>VALUE(_xlfn.XLOOKUP($G52,LatestData!$A$17:$A$89,LatestData!E$17:E$89))</f>
        <v/>
      </c>
      <c r="J52" s="11">
        <f>VALUE(_xlfn.XLOOKUP($G52,LatestData!$A$17:$A$89,LatestData!F$17:F$89))</f>
        <v/>
      </c>
      <c r="K52" s="11">
        <f>VALUE(_xlfn.XLOOKUP($G52,LatestData!$A$17:$A$89,LatestData!G$17:G$89))</f>
        <v/>
      </c>
      <c r="L52" s="11">
        <f>VALUE(_xlfn.XLOOKUP($G52,LatestData!$A$17:$A$89,LatestData!H$17:H$89))</f>
        <v/>
      </c>
      <c r="M52" s="11">
        <f>VALUE(_xlfn.XLOOKUP($G52,LatestData!$A$17:$A$89,LatestData!I$17:I$89))</f>
        <v/>
      </c>
      <c r="N52" s="15">
        <f>VALUE(_xlfn.XLOOKUP($G52,LatestData!$A$17:$A$89,LatestData!J$17:J$89))</f>
        <v/>
      </c>
      <c r="O52" s="11">
        <f>VALUE(_xlfn.XLOOKUP($G52,LatestData!$A$17:$A$89,LatestData!K$17:K$89))</f>
        <v/>
      </c>
      <c r="P52" s="11">
        <f>VALUE(_xlfn.XLOOKUP($G52,LatestData!$A$17:$A$89,LatestData!L$17:L$89))</f>
        <v/>
      </c>
      <c r="Q52" s="11">
        <f>VALUE(_xlfn.XLOOKUP($G52,LatestData!$A$17:$A$89,LatestData!M$17:M$89))</f>
        <v/>
      </c>
      <c r="R52" s="11">
        <f>VALUE(_xlfn.XLOOKUP($G52,LatestData!$A$17:$A$89,LatestData!N$17:N$89))</f>
        <v/>
      </c>
      <c r="S52" s="21">
        <f>_xlfn.XLOOKUP($G52,LatestData!$A$17:$A$89,LatestData!O$17:O$89)</f>
        <v/>
      </c>
      <c r="T52" s="11">
        <f>VALUE(_xlfn.XLOOKUP($G52,LatestData!$A$17:$A$89,LatestData!P$17:P$89))</f>
        <v/>
      </c>
      <c r="U52" s="11">
        <f>VALUE(_xlfn.XLOOKUP($G52,LatestData!$A$17:$A$89,LatestData!Q$17:Q$89))</f>
        <v/>
      </c>
      <c r="V52" s="11">
        <f>VALUE(_xlfn.XLOOKUP($G52,LatestData!$A$17:$A$89,LatestData!R$17:R$89))</f>
        <v/>
      </c>
      <c r="W52" s="16">
        <f>VALUE(_xlfn.XLOOKUP($G52,LatestData!$A$17:$A$89,LatestData!S$17:S$89)%)</f>
        <v/>
      </c>
      <c r="X52" s="17">
        <f>VALUE(_xlfn.XLOOKUP($G52,LatestData!$A$17:$A$89,LatestData!T$17:T$89))</f>
        <v/>
      </c>
      <c r="Y52" s="17">
        <f>VALUE(_xlfn.XLOOKUP($G52,LatestData!$A$17:$A$89,LatestData!U$17:U$89))</f>
        <v/>
      </c>
      <c r="Z52" s="13">
        <f>IFERROR((Table2[[#This Row],[Open]]-Table2[[#This Row],[PreviousClose]])/Table2[[#This Row],[PreviousClose]],0)</f>
        <v/>
      </c>
      <c r="AA52" s="13">
        <f>IFERROR((Table2[[#This Row],[Price]]-Table2[[#This Row],[Open]])/Table2[[#This Row],[Open]],0)</f>
        <v/>
      </c>
      <c r="AB52" s="11">
        <f>Table2[[#This Row],[Price]]-Table2[[#This Row],[PreviousClose]]</f>
        <v/>
      </c>
    </row>
    <row r="53" ht="21" customHeight="1">
      <c r="A53" s="1" t="inlineStr">
        <is>
          <t>PW</t>
        </is>
      </c>
      <c r="E53" s="3" t="inlineStr">
        <is>
          <t>PW</t>
        </is>
      </c>
      <c r="G53">
        <f>IF(OR(LEFT(E53,3)="SAF",LEFT(E53,3)="MVE",LEFT(E53,2)="JB"),MID(E53,IF(LEFT(E53,2)="JB",3,4),LEN(E53)-2),E53)&amp;F53</f>
        <v/>
      </c>
      <c r="H53" s="11">
        <f>VALUE(_xlfn.XLOOKUP($G53,LatestData!$A$17:$A$89,LatestData!D$17:D$89))</f>
        <v/>
      </c>
      <c r="I53" s="11">
        <f>VALUE(_xlfn.XLOOKUP($G53,LatestData!$A$17:$A$89,LatestData!E$17:E$89))</f>
        <v/>
      </c>
      <c r="J53" s="11">
        <f>VALUE(_xlfn.XLOOKUP($G53,LatestData!$A$17:$A$89,LatestData!F$17:F$89))</f>
        <v/>
      </c>
      <c r="K53" s="11">
        <f>VALUE(_xlfn.XLOOKUP($G53,LatestData!$A$17:$A$89,LatestData!G$17:G$89))</f>
        <v/>
      </c>
      <c r="L53" s="11">
        <f>VALUE(_xlfn.XLOOKUP($G53,LatestData!$A$17:$A$89,LatestData!H$17:H$89))</f>
        <v/>
      </c>
      <c r="M53" s="11">
        <f>VALUE(_xlfn.XLOOKUP($G53,LatestData!$A$17:$A$89,LatestData!I$17:I$89))</f>
        <v/>
      </c>
      <c r="N53" s="15">
        <f>VALUE(_xlfn.XLOOKUP($G53,LatestData!$A$17:$A$89,LatestData!J$17:J$89))</f>
        <v/>
      </c>
      <c r="O53" s="11">
        <f>VALUE(_xlfn.XLOOKUP($G53,LatestData!$A$17:$A$89,LatestData!K$17:K$89))</f>
        <v/>
      </c>
      <c r="P53" s="11">
        <f>VALUE(_xlfn.XLOOKUP($G53,LatestData!$A$17:$A$89,LatestData!L$17:L$89))</f>
        <v/>
      </c>
      <c r="Q53" s="11">
        <f>VALUE(_xlfn.XLOOKUP($G53,LatestData!$A$17:$A$89,LatestData!M$17:M$89))</f>
        <v/>
      </c>
      <c r="R53" s="11">
        <f>VALUE(_xlfn.XLOOKUP($G53,LatestData!$A$17:$A$89,LatestData!N$17:N$89))</f>
        <v/>
      </c>
      <c r="S53" s="21">
        <f>_xlfn.XLOOKUP($G53,LatestData!$A$17:$A$89,LatestData!O$17:O$89)</f>
        <v/>
      </c>
      <c r="T53" s="11">
        <f>VALUE(_xlfn.XLOOKUP($G53,LatestData!$A$17:$A$89,LatestData!P$17:P$89))</f>
        <v/>
      </c>
      <c r="U53" s="11">
        <f>VALUE(_xlfn.XLOOKUP($G53,LatestData!$A$17:$A$89,LatestData!Q$17:Q$89))</f>
        <v/>
      </c>
      <c r="V53" s="11">
        <f>VALUE(_xlfn.XLOOKUP($G53,LatestData!$A$17:$A$89,LatestData!R$17:R$89))</f>
        <v/>
      </c>
      <c r="W53" s="16">
        <f>VALUE(_xlfn.XLOOKUP($G53,LatestData!$A$17:$A$89,LatestData!S$17:S$89)%)</f>
        <v/>
      </c>
      <c r="X53" s="17">
        <f>VALUE(_xlfn.XLOOKUP($G53,LatestData!$A$17:$A$89,LatestData!T$17:T$89))</f>
        <v/>
      </c>
      <c r="Y53" s="17">
        <f>VALUE(_xlfn.XLOOKUP($G53,LatestData!$A$17:$A$89,LatestData!U$17:U$89))</f>
        <v/>
      </c>
      <c r="Z53" s="13">
        <f>IFERROR((Table2[[#This Row],[Open]]-Table2[[#This Row],[PreviousClose]])/Table2[[#This Row],[PreviousClose]],0)</f>
        <v/>
      </c>
      <c r="AA53" s="13">
        <f>IFERROR((Table2[[#This Row],[Price]]-Table2[[#This Row],[Open]])/Table2[[#This Row],[Open]],0)</f>
        <v/>
      </c>
      <c r="AB53" s="11">
        <f>Table2[[#This Row],[Price]]-Table2[[#This Row],[PreviousClose]]</f>
        <v/>
      </c>
    </row>
    <row r="54" ht="21" customHeight="1">
      <c r="A54" s="1" t="inlineStr">
        <is>
          <t>RIGL</t>
        </is>
      </c>
      <c r="E54" s="4" t="inlineStr">
        <is>
          <t>RIGL</t>
        </is>
      </c>
      <c r="G54">
        <f>IF(OR(LEFT(E54,3)="SAF",LEFT(E54,3)="MVE",LEFT(E54,2)="JB"),MID(E54,IF(LEFT(E54,2)="JB",3,4),LEN(E54)-2),E54)&amp;F54</f>
        <v/>
      </c>
      <c r="H54" s="11">
        <f>VALUE(_xlfn.XLOOKUP($G54,LatestData!$A$17:$A$89,LatestData!D$17:D$89))</f>
        <v/>
      </c>
      <c r="I54" s="11">
        <f>VALUE(_xlfn.XLOOKUP($G54,LatestData!$A$17:$A$89,LatestData!E$17:E$89))</f>
        <v/>
      </c>
      <c r="J54" s="11">
        <f>VALUE(_xlfn.XLOOKUP($G54,LatestData!$A$17:$A$89,LatestData!F$17:F$89))</f>
        <v/>
      </c>
      <c r="K54" s="11">
        <f>VALUE(_xlfn.XLOOKUP($G54,LatestData!$A$17:$A$89,LatestData!G$17:G$89))</f>
        <v/>
      </c>
      <c r="L54" s="11">
        <f>VALUE(_xlfn.XLOOKUP($G54,LatestData!$A$17:$A$89,LatestData!H$17:H$89))</f>
        <v/>
      </c>
      <c r="M54" s="11">
        <f>VALUE(_xlfn.XLOOKUP($G54,LatestData!$A$17:$A$89,LatestData!I$17:I$89))</f>
        <v/>
      </c>
      <c r="N54" s="15">
        <f>VALUE(_xlfn.XLOOKUP($G54,LatestData!$A$17:$A$89,LatestData!J$17:J$89))</f>
        <v/>
      </c>
      <c r="O54" s="11">
        <f>VALUE(_xlfn.XLOOKUP($G54,LatestData!$A$17:$A$89,LatestData!K$17:K$89))</f>
        <v/>
      </c>
      <c r="P54" s="11">
        <f>VALUE(_xlfn.XLOOKUP($G54,LatestData!$A$17:$A$89,LatestData!L$17:L$89))</f>
        <v/>
      </c>
      <c r="Q54" s="11">
        <f>VALUE(_xlfn.XLOOKUP($G54,LatestData!$A$17:$A$89,LatestData!M$17:M$89))</f>
        <v/>
      </c>
      <c r="R54" s="11">
        <f>VALUE(_xlfn.XLOOKUP($G54,LatestData!$A$17:$A$89,LatestData!N$17:N$89))</f>
        <v/>
      </c>
      <c r="S54" s="21">
        <f>_xlfn.XLOOKUP($G54,LatestData!$A$17:$A$89,LatestData!O$17:O$89)</f>
        <v/>
      </c>
      <c r="T54" s="11">
        <f>VALUE(_xlfn.XLOOKUP($G54,LatestData!$A$17:$A$89,LatestData!P$17:P$89))</f>
        <v/>
      </c>
      <c r="U54" s="11">
        <f>VALUE(_xlfn.XLOOKUP($G54,LatestData!$A$17:$A$89,LatestData!Q$17:Q$89))</f>
        <v/>
      </c>
      <c r="V54" s="11">
        <f>VALUE(_xlfn.XLOOKUP($G54,LatestData!$A$17:$A$89,LatestData!R$17:R$89))</f>
        <v/>
      </c>
      <c r="W54" s="16">
        <f>VALUE(_xlfn.XLOOKUP($G54,LatestData!$A$17:$A$89,LatestData!S$17:S$89)%)</f>
        <v/>
      </c>
      <c r="X54" s="17">
        <f>VALUE(_xlfn.XLOOKUP($G54,LatestData!$A$17:$A$89,LatestData!T$17:T$89))</f>
        <v/>
      </c>
      <c r="Y54" s="17">
        <f>VALUE(_xlfn.XLOOKUP($G54,LatestData!$A$17:$A$89,LatestData!U$17:U$89))</f>
        <v/>
      </c>
      <c r="Z54" s="13">
        <f>IFERROR((Table2[[#This Row],[Open]]-Table2[[#This Row],[PreviousClose]])/Table2[[#This Row],[PreviousClose]],0)</f>
        <v/>
      </c>
      <c r="AA54" s="13">
        <f>IFERROR((Table2[[#This Row],[Price]]-Table2[[#This Row],[Open]])/Table2[[#This Row],[Open]],0)</f>
        <v/>
      </c>
      <c r="AB54" s="11">
        <f>Table2[[#This Row],[Price]]-Table2[[#This Row],[PreviousClose]]</f>
        <v/>
      </c>
    </row>
    <row r="55" ht="21" customHeight="1">
      <c r="A55" s="1" t="inlineStr">
        <is>
          <t>RWE.DE</t>
        </is>
      </c>
      <c r="E55" s="3" t="inlineStr">
        <is>
          <t>RWE</t>
        </is>
      </c>
      <c r="F55" t="inlineStr">
        <is>
          <t>.DE</t>
        </is>
      </c>
      <c r="G55">
        <f>IF(OR(LEFT(E55,3)="SAF",LEFT(E55,3)="MVE",LEFT(E55,2)="JB"),MID(E55,IF(LEFT(E55,2)="JB",3,4),LEN(E55)-2),E55)&amp;F55</f>
        <v/>
      </c>
      <c r="H55" s="11">
        <f>VALUE(_xlfn.XLOOKUP($G55,LatestData!$A$17:$A$89,LatestData!D$17:D$89))</f>
        <v/>
      </c>
      <c r="I55" s="11">
        <f>VALUE(_xlfn.XLOOKUP($G55,LatestData!$A$17:$A$89,LatestData!E$17:E$89))</f>
        <v/>
      </c>
      <c r="J55" s="11">
        <f>VALUE(_xlfn.XLOOKUP($G55,LatestData!$A$17:$A$89,LatestData!F$17:F$89))</f>
        <v/>
      </c>
      <c r="K55" s="11">
        <f>VALUE(_xlfn.XLOOKUP($G55,LatestData!$A$17:$A$89,LatestData!G$17:G$89))</f>
        <v/>
      </c>
      <c r="L55" s="11">
        <f>VALUE(_xlfn.XLOOKUP($G55,LatestData!$A$17:$A$89,LatestData!H$17:H$89))</f>
        <v/>
      </c>
      <c r="M55" s="11">
        <f>VALUE(_xlfn.XLOOKUP($G55,LatestData!$A$17:$A$89,LatestData!I$17:I$89))</f>
        <v/>
      </c>
      <c r="N55" s="15">
        <f>VALUE(_xlfn.XLOOKUP($G55,LatestData!$A$17:$A$89,LatestData!J$17:J$89))</f>
        <v/>
      </c>
      <c r="O55" s="11">
        <f>VALUE(_xlfn.XLOOKUP($G55,LatestData!$A$17:$A$89,LatestData!K$17:K$89))</f>
        <v/>
      </c>
      <c r="P55" s="11">
        <f>VALUE(_xlfn.XLOOKUP($G55,LatestData!$A$17:$A$89,LatestData!L$17:L$89))</f>
        <v/>
      </c>
      <c r="Q55" s="11">
        <f>VALUE(_xlfn.XLOOKUP($G55,LatestData!$A$17:$A$89,LatestData!M$17:M$89))</f>
        <v/>
      </c>
      <c r="R55" s="11">
        <f>VALUE(_xlfn.XLOOKUP($G55,LatestData!$A$17:$A$89,LatestData!N$17:N$89))</f>
        <v/>
      </c>
      <c r="S55" s="21">
        <f>_xlfn.XLOOKUP($G55,LatestData!$A$17:$A$89,LatestData!O$17:O$89)</f>
        <v/>
      </c>
      <c r="T55" s="11">
        <f>VALUE(_xlfn.XLOOKUP($G55,LatestData!$A$17:$A$89,LatestData!P$17:P$89))</f>
        <v/>
      </c>
      <c r="U55" s="11">
        <f>VALUE(_xlfn.XLOOKUP($G55,LatestData!$A$17:$A$89,LatestData!Q$17:Q$89))</f>
        <v/>
      </c>
      <c r="V55" s="11">
        <f>VALUE(_xlfn.XLOOKUP($G55,LatestData!$A$17:$A$89,LatestData!R$17:R$89))</f>
        <v/>
      </c>
      <c r="W55" s="16">
        <f>VALUE(_xlfn.XLOOKUP($G55,LatestData!$A$17:$A$89,LatestData!S$17:S$89)%)</f>
        <v/>
      </c>
      <c r="X55" s="17">
        <f>VALUE(_xlfn.XLOOKUP($G55,LatestData!$A$17:$A$89,LatestData!T$17:T$89))</f>
        <v/>
      </c>
      <c r="Y55" s="17">
        <f>VALUE(_xlfn.XLOOKUP($G55,LatestData!$A$17:$A$89,LatestData!U$17:U$89))</f>
        <v/>
      </c>
      <c r="Z55" s="13">
        <f>IFERROR((Table2[[#This Row],[Open]]-Table2[[#This Row],[PreviousClose]])/Table2[[#This Row],[PreviousClose]],0)</f>
        <v/>
      </c>
      <c r="AA55" s="13">
        <f>IFERROR((Table2[[#This Row],[Price]]-Table2[[#This Row],[Open]])/Table2[[#This Row],[Open]],0)</f>
        <v/>
      </c>
      <c r="AB55" s="11">
        <f>Table2[[#This Row],[Price]]-Table2[[#This Row],[PreviousClose]]</f>
        <v/>
      </c>
    </row>
    <row r="56" ht="21" customHeight="1">
      <c r="A56" s="1" t="inlineStr">
        <is>
          <t>SAP.DE</t>
        </is>
      </c>
      <c r="E56" s="4" t="inlineStr">
        <is>
          <t>SAP</t>
        </is>
      </c>
      <c r="F56" t="inlineStr">
        <is>
          <t>.DE</t>
        </is>
      </c>
      <c r="G56">
        <f>IF(OR(LEFT(E56,3)="SAF",LEFT(E56,3)="MVE",LEFT(E56,2)="JB"),MID(E56,IF(LEFT(E56,2)="JB",3,4),LEN(E56)-2),E56)&amp;F56</f>
        <v/>
      </c>
      <c r="H56" s="11">
        <f>VALUE(_xlfn.XLOOKUP($G56,LatestData!$A$17:$A$89,LatestData!D$17:D$89))</f>
        <v/>
      </c>
      <c r="I56" s="11">
        <f>VALUE(_xlfn.XLOOKUP($G56,LatestData!$A$17:$A$89,LatestData!E$17:E$89))</f>
        <v/>
      </c>
      <c r="J56" s="11">
        <f>VALUE(_xlfn.XLOOKUP($G56,LatestData!$A$17:$A$89,LatestData!F$17:F$89))</f>
        <v/>
      </c>
      <c r="K56" s="11">
        <f>VALUE(_xlfn.XLOOKUP($G56,LatestData!$A$17:$A$89,LatestData!G$17:G$89))</f>
        <v/>
      </c>
      <c r="L56" s="11">
        <f>VALUE(_xlfn.XLOOKUP($G56,LatestData!$A$17:$A$89,LatestData!H$17:H$89))</f>
        <v/>
      </c>
      <c r="M56" s="11">
        <f>VALUE(_xlfn.XLOOKUP($G56,LatestData!$A$17:$A$89,LatestData!I$17:I$89))</f>
        <v/>
      </c>
      <c r="N56" s="15">
        <f>VALUE(_xlfn.XLOOKUP($G56,LatestData!$A$17:$A$89,LatestData!J$17:J$89))</f>
        <v/>
      </c>
      <c r="O56" s="11">
        <f>VALUE(_xlfn.XLOOKUP($G56,LatestData!$A$17:$A$89,LatestData!K$17:K$89))</f>
        <v/>
      </c>
      <c r="P56" s="11">
        <f>VALUE(_xlfn.XLOOKUP($G56,LatestData!$A$17:$A$89,LatestData!L$17:L$89))</f>
        <v/>
      </c>
      <c r="Q56" s="11">
        <f>VALUE(_xlfn.XLOOKUP($G56,LatestData!$A$17:$A$89,LatestData!M$17:M$89))</f>
        <v/>
      </c>
      <c r="R56" s="11">
        <f>VALUE(_xlfn.XLOOKUP($G56,LatestData!$A$17:$A$89,LatestData!N$17:N$89))</f>
        <v/>
      </c>
      <c r="S56" s="21">
        <f>_xlfn.XLOOKUP($G56,LatestData!$A$17:$A$89,LatestData!O$17:O$89)</f>
        <v/>
      </c>
      <c r="T56" s="11">
        <f>VALUE(_xlfn.XLOOKUP($G56,LatestData!$A$17:$A$89,LatestData!P$17:P$89))</f>
        <v/>
      </c>
      <c r="U56" s="11">
        <f>VALUE(_xlfn.XLOOKUP($G56,LatestData!$A$17:$A$89,LatestData!Q$17:Q$89))</f>
        <v/>
      </c>
      <c r="V56" s="11">
        <f>VALUE(_xlfn.XLOOKUP($G56,LatestData!$A$17:$A$89,LatestData!R$17:R$89))</f>
        <v/>
      </c>
      <c r="W56" s="16">
        <f>VALUE(_xlfn.XLOOKUP($G56,LatestData!$A$17:$A$89,LatestData!S$17:S$89)%)</f>
        <v/>
      </c>
      <c r="X56" s="17">
        <f>VALUE(_xlfn.XLOOKUP($G56,LatestData!$A$17:$A$89,LatestData!T$17:T$89))</f>
        <v/>
      </c>
      <c r="Y56" s="17">
        <f>VALUE(_xlfn.XLOOKUP($G56,LatestData!$A$17:$A$89,LatestData!U$17:U$89))</f>
        <v/>
      </c>
      <c r="Z56" s="13">
        <f>IFERROR((Table2[[#This Row],[Open]]-Table2[[#This Row],[PreviousClose]])/Table2[[#This Row],[PreviousClose]],0)</f>
        <v/>
      </c>
      <c r="AA56" s="13">
        <f>IFERROR((Table2[[#This Row],[Price]]-Table2[[#This Row],[Open]])/Table2[[#This Row],[Open]],0)</f>
        <v/>
      </c>
      <c r="AB56" s="11">
        <f>Table2[[#This Row],[Price]]-Table2[[#This Row],[PreviousClose]]</f>
        <v/>
      </c>
    </row>
    <row r="57" ht="21" customHeight="1">
      <c r="A57" s="1" t="inlineStr">
        <is>
          <t>SHECY</t>
        </is>
      </c>
      <c r="E57" s="3" t="inlineStr">
        <is>
          <t>SHECY</t>
        </is>
      </c>
      <c r="G57">
        <f>IF(OR(LEFT(E57,3)="SAF",LEFT(E57,3)="MVE",LEFT(E57,2)="JB"),MID(E57,IF(LEFT(E57,2)="JB",3,4),LEN(E57)-2),E57)&amp;F57</f>
        <v/>
      </c>
      <c r="H57" s="11">
        <f>VALUE(_xlfn.XLOOKUP($G57,LatestData!$A$17:$A$89,LatestData!D$17:D$89))</f>
        <v/>
      </c>
      <c r="I57" s="11">
        <f>VALUE(_xlfn.XLOOKUP($G57,LatestData!$A$17:$A$89,LatestData!E$17:E$89))</f>
        <v/>
      </c>
      <c r="J57" s="11">
        <f>VALUE(_xlfn.XLOOKUP($G57,LatestData!$A$17:$A$89,LatestData!F$17:F$89))</f>
        <v/>
      </c>
      <c r="K57" s="11">
        <f>VALUE(_xlfn.XLOOKUP($G57,LatestData!$A$17:$A$89,LatestData!G$17:G$89))</f>
        <v/>
      </c>
      <c r="L57" s="11">
        <f>VALUE(_xlfn.XLOOKUP($G57,LatestData!$A$17:$A$89,LatestData!H$17:H$89))</f>
        <v/>
      </c>
      <c r="M57" s="11">
        <f>VALUE(_xlfn.XLOOKUP($G57,LatestData!$A$17:$A$89,LatestData!I$17:I$89))</f>
        <v/>
      </c>
      <c r="N57" s="15">
        <f>VALUE(_xlfn.XLOOKUP($G57,LatestData!$A$17:$A$89,LatestData!J$17:J$89))</f>
        <v/>
      </c>
      <c r="O57" s="11">
        <f>VALUE(_xlfn.XLOOKUP($G57,LatestData!$A$17:$A$89,LatestData!K$17:K$89))</f>
        <v/>
      </c>
      <c r="P57" s="11">
        <f>VALUE(_xlfn.XLOOKUP($G57,LatestData!$A$17:$A$89,LatestData!L$17:L$89))</f>
        <v/>
      </c>
      <c r="Q57" s="11">
        <f>VALUE(_xlfn.XLOOKUP($G57,LatestData!$A$17:$A$89,LatestData!M$17:M$89))</f>
        <v/>
      </c>
      <c r="R57" s="11">
        <f>VALUE(_xlfn.XLOOKUP($G57,LatestData!$A$17:$A$89,LatestData!N$17:N$89))</f>
        <v/>
      </c>
      <c r="S57" s="21">
        <f>_xlfn.XLOOKUP($G57,LatestData!$A$17:$A$89,LatestData!O$17:O$89)</f>
        <v/>
      </c>
      <c r="T57" s="11">
        <f>VALUE(_xlfn.XLOOKUP($G57,LatestData!$A$17:$A$89,LatestData!P$17:P$89))</f>
        <v/>
      </c>
      <c r="U57" s="11">
        <f>VALUE(_xlfn.XLOOKUP($G57,LatestData!$A$17:$A$89,LatestData!Q$17:Q$89))</f>
        <v/>
      </c>
      <c r="V57" s="11">
        <f>VALUE(_xlfn.XLOOKUP($G57,LatestData!$A$17:$A$89,LatestData!R$17:R$89))</f>
        <v/>
      </c>
      <c r="W57" s="16">
        <f>VALUE(_xlfn.XLOOKUP($G57,LatestData!$A$17:$A$89,LatestData!S$17:S$89)%)</f>
        <v/>
      </c>
      <c r="X57" s="17">
        <f>VALUE(_xlfn.XLOOKUP($G57,LatestData!$A$17:$A$89,LatestData!T$17:T$89))</f>
        <v/>
      </c>
      <c r="Y57" s="17">
        <f>VALUE(_xlfn.XLOOKUP($G57,LatestData!$A$17:$A$89,LatestData!U$17:U$89))</f>
        <v/>
      </c>
      <c r="Z57" s="13">
        <f>IFERROR((Table2[[#This Row],[Open]]-Table2[[#This Row],[PreviousClose]])/Table2[[#This Row],[PreviousClose]],0)</f>
        <v/>
      </c>
      <c r="AA57" s="13">
        <f>IFERROR((Table2[[#This Row],[Price]]-Table2[[#This Row],[Open]])/Table2[[#This Row],[Open]],0)</f>
        <v/>
      </c>
      <c r="AB57" s="11">
        <f>Table2[[#This Row],[Price]]-Table2[[#This Row],[PreviousClose]]</f>
        <v/>
      </c>
    </row>
    <row r="58" ht="21" customHeight="1">
      <c r="A58" s="1" t="inlineStr">
        <is>
          <t>SSYS</t>
        </is>
      </c>
      <c r="E58" s="4" t="inlineStr">
        <is>
          <t>SSYS</t>
        </is>
      </c>
      <c r="G58">
        <f>IF(OR(LEFT(E58,3)="SAF",LEFT(E58,3)="MVE",LEFT(E58,2)="JB"),MID(E58,IF(LEFT(E58,2)="JB",3,4),LEN(E58)-2),E58)&amp;F58</f>
        <v/>
      </c>
      <c r="H58" s="11">
        <f>VALUE(_xlfn.XLOOKUP($G58,LatestData!$A$17:$A$89,LatestData!D$17:D$89))</f>
        <v/>
      </c>
      <c r="I58" s="11">
        <f>VALUE(_xlfn.XLOOKUP($G58,LatestData!$A$17:$A$89,LatestData!E$17:E$89))</f>
        <v/>
      </c>
      <c r="J58" s="11">
        <f>VALUE(_xlfn.XLOOKUP($G58,LatestData!$A$17:$A$89,LatestData!F$17:F$89))</f>
        <v/>
      </c>
      <c r="K58" s="11">
        <f>VALUE(_xlfn.XLOOKUP($G58,LatestData!$A$17:$A$89,LatestData!G$17:G$89))</f>
        <v/>
      </c>
      <c r="L58" s="11">
        <f>VALUE(_xlfn.XLOOKUP($G58,LatestData!$A$17:$A$89,LatestData!H$17:H$89))</f>
        <v/>
      </c>
      <c r="M58" s="11">
        <f>VALUE(_xlfn.XLOOKUP($G58,LatestData!$A$17:$A$89,LatestData!I$17:I$89))</f>
        <v/>
      </c>
      <c r="N58" s="15">
        <f>VALUE(_xlfn.XLOOKUP($G58,LatestData!$A$17:$A$89,LatestData!J$17:J$89))</f>
        <v/>
      </c>
      <c r="O58" s="11">
        <f>VALUE(_xlfn.XLOOKUP($G58,LatestData!$A$17:$A$89,LatestData!K$17:K$89))</f>
        <v/>
      </c>
      <c r="P58" s="11">
        <f>VALUE(_xlfn.XLOOKUP($G58,LatestData!$A$17:$A$89,LatestData!L$17:L$89))</f>
        <v/>
      </c>
      <c r="Q58" s="11">
        <f>VALUE(_xlfn.XLOOKUP($G58,LatestData!$A$17:$A$89,LatestData!M$17:M$89))</f>
        <v/>
      </c>
      <c r="R58" s="11">
        <f>VALUE(_xlfn.XLOOKUP($G58,LatestData!$A$17:$A$89,LatestData!N$17:N$89))</f>
        <v/>
      </c>
      <c r="S58" s="21">
        <f>_xlfn.XLOOKUP($G58,LatestData!$A$17:$A$89,LatestData!O$17:O$89)</f>
        <v/>
      </c>
      <c r="T58" s="11">
        <f>VALUE(_xlfn.XLOOKUP($G58,LatestData!$A$17:$A$89,LatestData!P$17:P$89))</f>
        <v/>
      </c>
      <c r="U58" s="11">
        <f>VALUE(_xlfn.XLOOKUP($G58,LatestData!$A$17:$A$89,LatestData!Q$17:Q$89))</f>
        <v/>
      </c>
      <c r="V58" s="11">
        <f>VALUE(_xlfn.XLOOKUP($G58,LatestData!$A$17:$A$89,LatestData!R$17:R$89))</f>
        <v/>
      </c>
      <c r="W58" s="16">
        <f>VALUE(_xlfn.XLOOKUP($G58,LatestData!$A$17:$A$89,LatestData!S$17:S$89)%)</f>
        <v/>
      </c>
      <c r="X58" s="17">
        <f>VALUE(_xlfn.XLOOKUP($G58,LatestData!$A$17:$A$89,LatestData!T$17:T$89))</f>
        <v/>
      </c>
      <c r="Y58" s="17">
        <f>VALUE(_xlfn.XLOOKUP($G58,LatestData!$A$17:$A$89,LatestData!U$17:U$89))</f>
        <v/>
      </c>
      <c r="Z58" s="13">
        <f>IFERROR((Table2[[#This Row],[Open]]-Table2[[#This Row],[PreviousClose]])/Table2[[#This Row],[PreviousClose]],0)</f>
        <v/>
      </c>
      <c r="AA58" s="13">
        <f>IFERROR((Table2[[#This Row],[Price]]-Table2[[#This Row],[Open]])/Table2[[#This Row],[Open]],0)</f>
        <v/>
      </c>
      <c r="AB58" s="11">
        <f>Table2[[#This Row],[Price]]-Table2[[#This Row],[PreviousClose]]</f>
        <v/>
      </c>
    </row>
    <row r="59" ht="21" customHeight="1">
      <c r="A59" s="1" t="inlineStr">
        <is>
          <t>TSLA</t>
        </is>
      </c>
      <c r="E59" s="3" t="inlineStr">
        <is>
          <t>TSLA</t>
        </is>
      </c>
      <c r="G59">
        <f>IF(OR(LEFT(E59,3)="SAF",LEFT(E59,3)="MVE",LEFT(E59,2)="JB"),MID(E59,IF(LEFT(E59,2)="JB",3,4),LEN(E59)-2),E59)&amp;F59</f>
        <v/>
      </c>
      <c r="H59" s="11">
        <f>VALUE(_xlfn.XLOOKUP($G59,LatestData!$A$17:$A$89,LatestData!D$17:D$89))</f>
        <v/>
      </c>
      <c r="I59" s="11">
        <f>VALUE(_xlfn.XLOOKUP($G59,LatestData!$A$17:$A$89,LatestData!E$17:E$89))</f>
        <v/>
      </c>
      <c r="J59" s="11">
        <f>VALUE(_xlfn.XLOOKUP($G59,LatestData!$A$17:$A$89,LatestData!F$17:F$89))</f>
        <v/>
      </c>
      <c r="K59" s="11">
        <f>VALUE(_xlfn.XLOOKUP($G59,LatestData!$A$17:$A$89,LatestData!G$17:G$89))</f>
        <v/>
      </c>
      <c r="L59" s="11">
        <f>VALUE(_xlfn.XLOOKUP($G59,LatestData!$A$17:$A$89,LatestData!H$17:H$89))</f>
        <v/>
      </c>
      <c r="M59" s="11">
        <f>VALUE(_xlfn.XLOOKUP($G59,LatestData!$A$17:$A$89,LatestData!I$17:I$89))</f>
        <v/>
      </c>
      <c r="N59" s="15">
        <f>VALUE(_xlfn.XLOOKUP($G59,LatestData!$A$17:$A$89,LatestData!J$17:J$89))</f>
        <v/>
      </c>
      <c r="O59" s="11">
        <f>VALUE(_xlfn.XLOOKUP($G59,LatestData!$A$17:$A$89,LatestData!K$17:K$89))</f>
        <v/>
      </c>
      <c r="P59" s="11">
        <f>VALUE(_xlfn.XLOOKUP($G59,LatestData!$A$17:$A$89,LatestData!L$17:L$89))</f>
        <v/>
      </c>
      <c r="Q59" s="11">
        <f>VALUE(_xlfn.XLOOKUP($G59,LatestData!$A$17:$A$89,LatestData!M$17:M$89))</f>
        <v/>
      </c>
      <c r="R59" s="11">
        <f>VALUE(_xlfn.XLOOKUP($G59,LatestData!$A$17:$A$89,LatestData!N$17:N$89))</f>
        <v/>
      </c>
      <c r="S59" s="21">
        <f>_xlfn.XLOOKUP($G59,LatestData!$A$17:$A$89,LatestData!O$17:O$89)</f>
        <v/>
      </c>
      <c r="T59" s="11">
        <f>VALUE(_xlfn.XLOOKUP($G59,LatestData!$A$17:$A$89,LatestData!P$17:P$89))</f>
        <v/>
      </c>
      <c r="U59" s="11">
        <f>VALUE(_xlfn.XLOOKUP($G59,LatestData!$A$17:$A$89,LatestData!Q$17:Q$89))</f>
        <v/>
      </c>
      <c r="V59" s="11">
        <f>VALUE(_xlfn.XLOOKUP($G59,LatestData!$A$17:$A$89,LatestData!R$17:R$89))</f>
        <v/>
      </c>
      <c r="W59" s="16">
        <f>VALUE(_xlfn.XLOOKUP($G59,LatestData!$A$17:$A$89,LatestData!S$17:S$89)%)</f>
        <v/>
      </c>
      <c r="X59" s="17">
        <f>VALUE(_xlfn.XLOOKUP($G59,LatestData!$A$17:$A$89,LatestData!T$17:T$89))</f>
        <v/>
      </c>
      <c r="Y59" s="17">
        <f>VALUE(_xlfn.XLOOKUP($G59,LatestData!$A$17:$A$89,LatestData!U$17:U$89))</f>
        <v/>
      </c>
      <c r="Z59" s="13">
        <f>IFERROR((Table2[[#This Row],[Open]]-Table2[[#This Row],[PreviousClose]])/Table2[[#This Row],[PreviousClose]],0)</f>
        <v/>
      </c>
      <c r="AA59" s="13">
        <f>IFERROR((Table2[[#This Row],[Price]]-Table2[[#This Row],[Open]])/Table2[[#This Row],[Open]],0)</f>
        <v/>
      </c>
      <c r="AB59" s="11">
        <f>Table2[[#This Row],[Price]]-Table2[[#This Row],[PreviousClose]]</f>
        <v/>
      </c>
    </row>
    <row r="60" ht="21" customHeight="1">
      <c r="A60" s="1" t="inlineStr">
        <is>
          <t>TSM</t>
        </is>
      </c>
      <c r="E60" s="4" t="inlineStr">
        <is>
          <t>TSM</t>
        </is>
      </c>
      <c r="G60">
        <f>IF(OR(LEFT(E60,3)="SAF",LEFT(E60,3)="MVE",LEFT(E60,2)="JB"),MID(E60,IF(LEFT(E60,2)="JB",3,4),LEN(E60)-2),E60)&amp;F60</f>
        <v/>
      </c>
      <c r="H60" s="11">
        <f>VALUE(_xlfn.XLOOKUP($G60,LatestData!$A$17:$A$89,LatestData!D$17:D$89))</f>
        <v/>
      </c>
      <c r="I60" s="11">
        <f>VALUE(_xlfn.XLOOKUP($G60,LatestData!$A$17:$A$89,LatestData!E$17:E$89))</f>
        <v/>
      </c>
      <c r="J60" s="11">
        <f>VALUE(_xlfn.XLOOKUP($G60,LatestData!$A$17:$A$89,LatestData!F$17:F$89))</f>
        <v/>
      </c>
      <c r="K60" s="11">
        <f>VALUE(_xlfn.XLOOKUP($G60,LatestData!$A$17:$A$89,LatestData!G$17:G$89))</f>
        <v/>
      </c>
      <c r="L60" s="11">
        <f>VALUE(_xlfn.XLOOKUP($G60,LatestData!$A$17:$A$89,LatestData!H$17:H$89))</f>
        <v/>
      </c>
      <c r="M60" s="11">
        <f>VALUE(_xlfn.XLOOKUP($G60,LatestData!$A$17:$A$89,LatestData!I$17:I$89))</f>
        <v/>
      </c>
      <c r="N60" s="15">
        <f>VALUE(_xlfn.XLOOKUP($G60,LatestData!$A$17:$A$89,LatestData!J$17:J$89))</f>
        <v/>
      </c>
      <c r="O60" s="11">
        <f>VALUE(_xlfn.XLOOKUP($G60,LatestData!$A$17:$A$89,LatestData!K$17:K$89))</f>
        <v/>
      </c>
      <c r="P60" s="11">
        <f>VALUE(_xlfn.XLOOKUP($G60,LatestData!$A$17:$A$89,LatestData!L$17:L$89))</f>
        <v/>
      </c>
      <c r="Q60" s="11">
        <f>VALUE(_xlfn.XLOOKUP($G60,LatestData!$A$17:$A$89,LatestData!M$17:M$89))</f>
        <v/>
      </c>
      <c r="R60" s="11">
        <f>VALUE(_xlfn.XLOOKUP($G60,LatestData!$A$17:$A$89,LatestData!N$17:N$89))</f>
        <v/>
      </c>
      <c r="S60" s="21">
        <f>_xlfn.XLOOKUP($G60,LatestData!$A$17:$A$89,LatestData!O$17:O$89)</f>
        <v/>
      </c>
      <c r="T60" s="11">
        <f>VALUE(_xlfn.XLOOKUP($G60,LatestData!$A$17:$A$89,LatestData!P$17:P$89))</f>
        <v/>
      </c>
      <c r="U60" s="11">
        <f>VALUE(_xlfn.XLOOKUP($G60,LatestData!$A$17:$A$89,LatestData!Q$17:Q$89))</f>
        <v/>
      </c>
      <c r="V60" s="11">
        <f>VALUE(_xlfn.XLOOKUP($G60,LatestData!$A$17:$A$89,LatestData!R$17:R$89))</f>
        <v/>
      </c>
      <c r="W60" s="16">
        <f>VALUE(_xlfn.XLOOKUP($G60,LatestData!$A$17:$A$89,LatestData!S$17:S$89)%)</f>
        <v/>
      </c>
      <c r="X60" s="17">
        <f>VALUE(_xlfn.XLOOKUP($G60,LatestData!$A$17:$A$89,LatestData!T$17:T$89))</f>
        <v/>
      </c>
      <c r="Y60" s="17">
        <f>VALUE(_xlfn.XLOOKUP($G60,LatestData!$A$17:$A$89,LatestData!U$17:U$89))</f>
        <v/>
      </c>
      <c r="Z60" s="13">
        <f>IFERROR((Table2[[#This Row],[Open]]-Table2[[#This Row],[PreviousClose]])/Table2[[#This Row],[PreviousClose]],0)</f>
        <v/>
      </c>
      <c r="AA60" s="13">
        <f>IFERROR((Table2[[#This Row],[Price]]-Table2[[#This Row],[Open]])/Table2[[#This Row],[Open]],0)</f>
        <v/>
      </c>
      <c r="AB60" s="11">
        <f>Table2[[#This Row],[Price]]-Table2[[#This Row],[PreviousClose]]</f>
        <v/>
      </c>
    </row>
    <row r="61" ht="21" customHeight="1">
      <c r="A61" s="1" t="inlineStr">
        <is>
          <t>UN0.DE</t>
        </is>
      </c>
      <c r="E61" s="3" t="inlineStr">
        <is>
          <t>UN0</t>
        </is>
      </c>
      <c r="F61" t="inlineStr">
        <is>
          <t>.DE</t>
        </is>
      </c>
      <c r="G61">
        <f>IF(OR(LEFT(E61,3)="SAF",LEFT(E61,3)="MVE",LEFT(E61,2)="JB"),MID(E61,IF(LEFT(E61,2)="JB",3,4),LEN(E61)-2),E61)&amp;F61</f>
        <v/>
      </c>
      <c r="H61" s="11">
        <f>VALUE(_xlfn.XLOOKUP($G61,LatestData!$A$17:$A$89,LatestData!D$17:D$89))</f>
        <v/>
      </c>
      <c r="I61" s="11">
        <f>VALUE(_xlfn.XLOOKUP($G61,LatestData!$A$17:$A$89,LatestData!E$17:E$89))</f>
        <v/>
      </c>
      <c r="J61" s="11">
        <f>VALUE(_xlfn.XLOOKUP($G61,LatestData!$A$17:$A$89,LatestData!F$17:F$89))</f>
        <v/>
      </c>
      <c r="K61" s="11">
        <f>VALUE(_xlfn.XLOOKUP($G61,LatestData!$A$17:$A$89,LatestData!G$17:G$89))</f>
        <v/>
      </c>
      <c r="L61" s="11">
        <f>VALUE(_xlfn.XLOOKUP($G61,LatestData!$A$17:$A$89,LatestData!H$17:H$89))</f>
        <v/>
      </c>
      <c r="M61" s="11">
        <f>VALUE(_xlfn.XLOOKUP($G61,LatestData!$A$17:$A$89,LatestData!I$17:I$89))</f>
        <v/>
      </c>
      <c r="N61" s="15">
        <f>VALUE(_xlfn.XLOOKUP($G61,LatestData!$A$17:$A$89,LatestData!J$17:J$89))</f>
        <v/>
      </c>
      <c r="O61" s="11">
        <f>VALUE(_xlfn.XLOOKUP($G61,LatestData!$A$17:$A$89,LatestData!K$17:K$89))</f>
        <v/>
      </c>
      <c r="P61" s="11">
        <f>VALUE(_xlfn.XLOOKUP($G61,LatestData!$A$17:$A$89,LatestData!L$17:L$89))</f>
        <v/>
      </c>
      <c r="Q61" s="11">
        <f>VALUE(_xlfn.XLOOKUP($G61,LatestData!$A$17:$A$89,LatestData!M$17:M$89))</f>
        <v/>
      </c>
      <c r="R61" s="11">
        <f>VALUE(_xlfn.XLOOKUP($G61,LatestData!$A$17:$A$89,LatestData!N$17:N$89))</f>
        <v/>
      </c>
      <c r="S61" s="21">
        <f>_xlfn.XLOOKUP($G61,LatestData!$A$17:$A$89,LatestData!O$17:O$89)</f>
        <v/>
      </c>
      <c r="T61" s="11">
        <f>VALUE(_xlfn.XLOOKUP($G61,LatestData!$A$17:$A$89,LatestData!P$17:P$89))</f>
        <v/>
      </c>
      <c r="U61" s="11">
        <f>VALUE(_xlfn.XLOOKUP($G61,LatestData!$A$17:$A$89,LatestData!Q$17:Q$89))</f>
        <v/>
      </c>
      <c r="V61" s="11">
        <f>VALUE(_xlfn.XLOOKUP($G61,LatestData!$A$17:$A$89,LatestData!R$17:R$89))</f>
        <v/>
      </c>
      <c r="W61" s="16">
        <f>VALUE(_xlfn.XLOOKUP($G61,LatestData!$A$17:$A$89,LatestData!S$17:S$89)%)</f>
        <v/>
      </c>
      <c r="X61" s="17">
        <f>VALUE(_xlfn.XLOOKUP($G61,LatestData!$A$17:$A$89,LatestData!T$17:T$89))</f>
        <v/>
      </c>
      <c r="Y61" s="17">
        <f>VALUE(_xlfn.XLOOKUP($G61,LatestData!$A$17:$A$89,LatestData!U$17:U$89))</f>
        <v/>
      </c>
      <c r="Z61" s="13">
        <f>IFERROR((Table2[[#This Row],[Open]]-Table2[[#This Row],[PreviousClose]])/Table2[[#This Row],[PreviousClose]],0)</f>
        <v/>
      </c>
      <c r="AA61" s="13">
        <f>IFERROR((Table2[[#This Row],[Price]]-Table2[[#This Row],[Open]])/Table2[[#This Row],[Open]],0)</f>
        <v/>
      </c>
      <c r="AB61" s="11">
        <f>Table2[[#This Row],[Price]]-Table2[[#This Row],[PreviousClose]]</f>
        <v/>
      </c>
    </row>
    <row r="62" ht="21" customHeight="1">
      <c r="A62" s="1" t="inlineStr">
        <is>
          <t>UNIT</t>
        </is>
      </c>
      <c r="E62" s="4" t="inlineStr">
        <is>
          <t>UNIT</t>
        </is>
      </c>
      <c r="G62">
        <f>IF(OR(LEFT(E62,3)="SAF",LEFT(E62,3)="MVE",LEFT(E62,2)="JB"),MID(E62,IF(LEFT(E62,2)="JB",3,4),LEN(E62)-2),E62)&amp;F62</f>
        <v/>
      </c>
      <c r="H62" s="11">
        <f>VALUE(_xlfn.XLOOKUP($G62,LatestData!$A$17:$A$89,LatestData!D$17:D$89))</f>
        <v/>
      </c>
      <c r="I62" s="11">
        <f>VALUE(_xlfn.XLOOKUP($G62,LatestData!$A$17:$A$89,LatestData!E$17:E$89))</f>
        <v/>
      </c>
      <c r="J62" s="11">
        <f>VALUE(_xlfn.XLOOKUP($G62,LatestData!$A$17:$A$89,LatestData!F$17:F$89))</f>
        <v/>
      </c>
      <c r="K62" s="11">
        <f>VALUE(_xlfn.XLOOKUP($G62,LatestData!$A$17:$A$89,LatestData!G$17:G$89))</f>
        <v/>
      </c>
      <c r="L62" s="11">
        <f>VALUE(_xlfn.XLOOKUP($G62,LatestData!$A$17:$A$89,LatestData!H$17:H$89))</f>
        <v/>
      </c>
      <c r="M62" s="11">
        <f>VALUE(_xlfn.XLOOKUP($G62,LatestData!$A$17:$A$89,LatestData!I$17:I$89))</f>
        <v/>
      </c>
      <c r="N62" s="15">
        <f>VALUE(_xlfn.XLOOKUP($G62,LatestData!$A$17:$A$89,LatestData!J$17:J$89))</f>
        <v/>
      </c>
      <c r="O62" s="11">
        <f>VALUE(_xlfn.XLOOKUP($G62,LatestData!$A$17:$A$89,LatestData!K$17:K$89))</f>
        <v/>
      </c>
      <c r="P62" s="11">
        <f>VALUE(_xlfn.XLOOKUP($G62,LatestData!$A$17:$A$89,LatestData!L$17:L$89))</f>
        <v/>
      </c>
      <c r="Q62" s="11">
        <f>VALUE(_xlfn.XLOOKUP($G62,LatestData!$A$17:$A$89,LatestData!M$17:M$89))</f>
        <v/>
      </c>
      <c r="R62" s="11">
        <f>VALUE(_xlfn.XLOOKUP($G62,LatestData!$A$17:$A$89,LatestData!N$17:N$89))</f>
        <v/>
      </c>
      <c r="S62" s="21">
        <f>_xlfn.XLOOKUP($G62,LatestData!$A$17:$A$89,LatestData!O$17:O$89)</f>
        <v/>
      </c>
      <c r="T62" s="11">
        <f>VALUE(_xlfn.XLOOKUP($G62,LatestData!$A$17:$A$89,LatestData!P$17:P$89))</f>
        <v/>
      </c>
      <c r="U62" s="11">
        <f>VALUE(_xlfn.XLOOKUP($G62,LatestData!$A$17:$A$89,LatestData!Q$17:Q$89))</f>
        <v/>
      </c>
      <c r="V62" s="11">
        <f>VALUE(_xlfn.XLOOKUP($G62,LatestData!$A$17:$A$89,LatestData!R$17:R$89))</f>
        <v/>
      </c>
      <c r="W62" s="16">
        <f>VALUE(_xlfn.XLOOKUP($G62,LatestData!$A$17:$A$89,LatestData!S$17:S$89)%)</f>
        <v/>
      </c>
      <c r="X62" s="17">
        <f>VALUE(_xlfn.XLOOKUP($G62,LatestData!$A$17:$A$89,LatestData!T$17:T$89))</f>
        <v/>
      </c>
      <c r="Y62" s="17">
        <f>VALUE(_xlfn.XLOOKUP($G62,LatestData!$A$17:$A$89,LatestData!U$17:U$89))</f>
        <v/>
      </c>
      <c r="Z62" s="13">
        <f>IFERROR((Table2[[#This Row],[Open]]-Table2[[#This Row],[PreviousClose]])/Table2[[#This Row],[PreviousClose]],0)</f>
        <v/>
      </c>
      <c r="AA62" s="13">
        <f>IFERROR((Table2[[#This Row],[Price]]-Table2[[#This Row],[Open]])/Table2[[#This Row],[Open]],0)</f>
        <v/>
      </c>
      <c r="AB62" s="11">
        <f>Table2[[#This Row],[Price]]-Table2[[#This Row],[PreviousClose]]</f>
        <v/>
      </c>
    </row>
    <row r="63" ht="21" customHeight="1">
      <c r="A63" s="1" t="inlineStr">
        <is>
          <t>VLVLY</t>
        </is>
      </c>
      <c r="E63" s="3" t="inlineStr">
        <is>
          <t>VLVLY</t>
        </is>
      </c>
      <c r="G63">
        <f>IF(OR(LEFT(E63,3)="SAF",LEFT(E63,3)="MVE",LEFT(E63,2)="JB"),MID(E63,IF(LEFT(E63,2)="JB",3,4),LEN(E63)-2),E63)&amp;F63</f>
        <v/>
      </c>
      <c r="H63" s="11">
        <f>VALUE(_xlfn.XLOOKUP($G63,LatestData!$A$17:$A$89,LatestData!D$17:D$89))</f>
        <v/>
      </c>
      <c r="I63" s="11">
        <f>VALUE(_xlfn.XLOOKUP($G63,LatestData!$A$17:$A$89,LatestData!E$17:E$89))</f>
        <v/>
      </c>
      <c r="J63" s="11">
        <f>VALUE(_xlfn.XLOOKUP($G63,LatestData!$A$17:$A$89,LatestData!F$17:F$89))</f>
        <v/>
      </c>
      <c r="K63" s="11">
        <f>VALUE(_xlfn.XLOOKUP($G63,LatestData!$A$17:$A$89,LatestData!G$17:G$89))</f>
        <v/>
      </c>
      <c r="L63" s="11">
        <f>VALUE(_xlfn.XLOOKUP($G63,LatestData!$A$17:$A$89,LatestData!H$17:H$89))</f>
        <v/>
      </c>
      <c r="M63" s="11">
        <f>VALUE(_xlfn.XLOOKUP($G63,LatestData!$A$17:$A$89,LatestData!I$17:I$89))</f>
        <v/>
      </c>
      <c r="N63" s="15">
        <f>VALUE(_xlfn.XLOOKUP($G63,LatestData!$A$17:$A$89,LatestData!J$17:J$89))</f>
        <v/>
      </c>
      <c r="O63" s="11">
        <f>VALUE(_xlfn.XLOOKUP($G63,LatestData!$A$17:$A$89,LatestData!K$17:K$89))</f>
        <v/>
      </c>
      <c r="P63" s="11">
        <f>VALUE(_xlfn.XLOOKUP($G63,LatestData!$A$17:$A$89,LatestData!L$17:L$89))</f>
        <v/>
      </c>
      <c r="Q63" s="11">
        <f>VALUE(_xlfn.XLOOKUP($G63,LatestData!$A$17:$A$89,LatestData!M$17:M$89))</f>
        <v/>
      </c>
      <c r="R63" s="11">
        <f>VALUE(_xlfn.XLOOKUP($G63,LatestData!$A$17:$A$89,LatestData!N$17:N$89))</f>
        <v/>
      </c>
      <c r="S63" s="21">
        <f>_xlfn.XLOOKUP($G63,LatestData!$A$17:$A$89,LatestData!O$17:O$89)</f>
        <v/>
      </c>
      <c r="T63" s="11">
        <f>VALUE(_xlfn.XLOOKUP($G63,LatestData!$A$17:$A$89,LatestData!P$17:P$89))</f>
        <v/>
      </c>
      <c r="U63" s="11">
        <f>VALUE(_xlfn.XLOOKUP($G63,LatestData!$A$17:$A$89,LatestData!Q$17:Q$89))</f>
        <v/>
      </c>
      <c r="V63" s="11">
        <f>VALUE(_xlfn.XLOOKUP($G63,LatestData!$A$17:$A$89,LatestData!R$17:R$89))</f>
        <v/>
      </c>
      <c r="W63" s="16">
        <f>VALUE(_xlfn.XLOOKUP($G63,LatestData!$A$17:$A$89,LatestData!S$17:S$89)%)</f>
        <v/>
      </c>
      <c r="X63" s="17">
        <f>VALUE(_xlfn.XLOOKUP($G63,LatestData!$A$17:$A$89,LatestData!T$17:T$89))</f>
        <v/>
      </c>
      <c r="Y63" s="17">
        <f>VALUE(_xlfn.XLOOKUP($G63,LatestData!$A$17:$A$89,LatestData!U$17:U$89))</f>
        <v/>
      </c>
      <c r="Z63" s="13">
        <f>IFERROR((Table2[[#This Row],[Open]]-Table2[[#This Row],[PreviousClose]])/Table2[[#This Row],[PreviousClose]],0)</f>
        <v/>
      </c>
      <c r="AA63" s="13">
        <f>IFERROR((Table2[[#This Row],[Price]]-Table2[[#This Row],[Open]])/Table2[[#This Row],[Open]],0)</f>
        <v/>
      </c>
      <c r="AB63" s="11">
        <f>Table2[[#This Row],[Price]]-Table2[[#This Row],[PreviousClose]]</f>
        <v/>
      </c>
    </row>
    <row r="64" ht="21" customHeight="1">
      <c r="A64" s="1" t="inlineStr">
        <is>
          <t>VONN.SW</t>
        </is>
      </c>
      <c r="E64" s="4" t="inlineStr">
        <is>
          <t>VONN</t>
        </is>
      </c>
      <c r="F64" t="inlineStr">
        <is>
          <t>.SW</t>
        </is>
      </c>
      <c r="G64">
        <f>IF(OR(LEFT(E64,3)="SAF",LEFT(E64,3)="MVE",LEFT(E64,2)="JB"),MID(E64,IF(LEFT(E64,2)="JB",3,4),LEN(E64)-2),E64)&amp;F64</f>
        <v/>
      </c>
      <c r="H64" s="11">
        <f>VALUE(_xlfn.XLOOKUP($G64,LatestData!$A$17:$A$89,LatestData!D$17:D$89))</f>
        <v/>
      </c>
      <c r="I64" s="11">
        <f>VALUE(_xlfn.XLOOKUP($G64,LatestData!$A$17:$A$89,LatestData!E$17:E$89))</f>
        <v/>
      </c>
      <c r="J64" s="11">
        <f>VALUE(_xlfn.XLOOKUP($G64,LatestData!$A$17:$A$89,LatestData!F$17:F$89))</f>
        <v/>
      </c>
      <c r="K64" s="11">
        <f>VALUE(_xlfn.XLOOKUP($G64,LatestData!$A$17:$A$89,LatestData!G$17:G$89))</f>
        <v/>
      </c>
      <c r="L64" s="11">
        <f>VALUE(_xlfn.XLOOKUP($G64,LatestData!$A$17:$A$89,LatestData!H$17:H$89))</f>
        <v/>
      </c>
      <c r="M64" s="11">
        <f>VALUE(_xlfn.XLOOKUP($G64,LatestData!$A$17:$A$89,LatestData!I$17:I$89))</f>
        <v/>
      </c>
      <c r="N64" s="15">
        <f>VALUE(_xlfn.XLOOKUP($G64,LatestData!$A$17:$A$89,LatestData!J$17:J$89))</f>
        <v/>
      </c>
      <c r="O64" s="11">
        <f>VALUE(_xlfn.XLOOKUP($G64,LatestData!$A$17:$A$89,LatestData!K$17:K$89))</f>
        <v/>
      </c>
      <c r="P64" s="11">
        <f>VALUE(_xlfn.XLOOKUP($G64,LatestData!$A$17:$A$89,LatestData!L$17:L$89))</f>
        <v/>
      </c>
      <c r="Q64" s="11">
        <f>VALUE(_xlfn.XLOOKUP($G64,LatestData!$A$17:$A$89,LatestData!M$17:M$89))</f>
        <v/>
      </c>
      <c r="R64" s="11">
        <f>VALUE(_xlfn.XLOOKUP($G64,LatestData!$A$17:$A$89,LatestData!N$17:N$89))</f>
        <v/>
      </c>
      <c r="S64" s="21">
        <f>_xlfn.XLOOKUP($G64,LatestData!$A$17:$A$89,LatestData!O$17:O$89)</f>
        <v/>
      </c>
      <c r="T64" s="11">
        <f>VALUE(_xlfn.XLOOKUP($G64,LatestData!$A$17:$A$89,LatestData!P$17:P$89))</f>
        <v/>
      </c>
      <c r="U64" s="11">
        <f>VALUE(_xlfn.XLOOKUP($G64,LatestData!$A$17:$A$89,LatestData!Q$17:Q$89))</f>
        <v/>
      </c>
      <c r="V64" s="11">
        <f>VALUE(_xlfn.XLOOKUP($G64,LatestData!$A$17:$A$89,LatestData!R$17:R$89))</f>
        <v/>
      </c>
      <c r="W64" s="16">
        <f>VALUE(_xlfn.XLOOKUP($G64,LatestData!$A$17:$A$89,LatestData!S$17:S$89)%)</f>
        <v/>
      </c>
      <c r="X64" s="17">
        <f>VALUE(_xlfn.XLOOKUP($G64,LatestData!$A$17:$A$89,LatestData!T$17:T$89))</f>
        <v/>
      </c>
      <c r="Y64" s="17">
        <f>VALUE(_xlfn.XLOOKUP($G64,LatestData!$A$17:$A$89,LatestData!U$17:U$89))</f>
        <v/>
      </c>
      <c r="Z64" s="13">
        <f>IFERROR((Table2[[#This Row],[Open]]-Table2[[#This Row],[PreviousClose]])/Table2[[#This Row],[PreviousClose]],0)</f>
        <v/>
      </c>
      <c r="AA64" s="13">
        <f>IFERROR((Table2[[#This Row],[Price]]-Table2[[#This Row],[Open]])/Table2[[#This Row],[Open]],0)</f>
        <v/>
      </c>
      <c r="AB64" s="11">
        <f>Table2[[#This Row],[Price]]-Table2[[#This Row],[PreviousClose]]</f>
        <v/>
      </c>
    </row>
    <row r="65" ht="21" customHeight="1">
      <c r="A65" s="1" t="inlineStr">
        <is>
          <t>VTRS</t>
        </is>
      </c>
      <c r="E65" s="3" t="inlineStr">
        <is>
          <t>VTRS</t>
        </is>
      </c>
      <c r="G65">
        <f>IF(OR(LEFT(E65,3)="SAF",LEFT(E65,3)="MVE",LEFT(E65,2)="JB"),MID(E65,IF(LEFT(E65,2)="JB",3,4),LEN(E65)-2),E65)&amp;F65</f>
        <v/>
      </c>
      <c r="H65" s="11">
        <f>VALUE(_xlfn.XLOOKUP($G65,LatestData!$A$17:$A$89,LatestData!D$17:D$89))</f>
        <v/>
      </c>
      <c r="I65" s="11">
        <f>VALUE(_xlfn.XLOOKUP($G65,LatestData!$A$17:$A$89,LatestData!E$17:E$89))</f>
        <v/>
      </c>
      <c r="J65" s="11">
        <f>VALUE(_xlfn.XLOOKUP($G65,LatestData!$A$17:$A$89,LatestData!F$17:F$89))</f>
        <v/>
      </c>
      <c r="K65" s="11">
        <f>VALUE(_xlfn.XLOOKUP($G65,LatestData!$A$17:$A$89,LatestData!G$17:G$89))</f>
        <v/>
      </c>
      <c r="L65" s="11">
        <f>VALUE(_xlfn.XLOOKUP($G65,LatestData!$A$17:$A$89,LatestData!H$17:H$89))</f>
        <v/>
      </c>
      <c r="M65" s="11">
        <f>VALUE(_xlfn.XLOOKUP($G65,LatestData!$A$17:$A$89,LatestData!I$17:I$89))</f>
        <v/>
      </c>
      <c r="N65" s="15">
        <f>VALUE(_xlfn.XLOOKUP($G65,LatestData!$A$17:$A$89,LatestData!J$17:J$89))</f>
        <v/>
      </c>
      <c r="O65" s="11">
        <f>VALUE(_xlfn.XLOOKUP($G65,LatestData!$A$17:$A$89,LatestData!K$17:K$89))</f>
        <v/>
      </c>
      <c r="P65" s="11">
        <f>VALUE(_xlfn.XLOOKUP($G65,LatestData!$A$17:$A$89,LatestData!L$17:L$89))</f>
        <v/>
      </c>
      <c r="Q65" s="11">
        <f>VALUE(_xlfn.XLOOKUP($G65,LatestData!$A$17:$A$89,LatestData!M$17:M$89))</f>
        <v/>
      </c>
      <c r="R65" s="11">
        <f>VALUE(_xlfn.XLOOKUP($G65,LatestData!$A$17:$A$89,LatestData!N$17:N$89))</f>
        <v/>
      </c>
      <c r="S65" s="21">
        <f>_xlfn.XLOOKUP($G65,LatestData!$A$17:$A$89,LatestData!O$17:O$89)</f>
        <v/>
      </c>
      <c r="T65" s="11">
        <f>VALUE(_xlfn.XLOOKUP($G65,LatestData!$A$17:$A$89,LatestData!P$17:P$89))</f>
        <v/>
      </c>
      <c r="U65" s="11">
        <f>VALUE(_xlfn.XLOOKUP($G65,LatestData!$A$17:$A$89,LatestData!Q$17:Q$89))</f>
        <v/>
      </c>
      <c r="V65" s="11">
        <f>VALUE(_xlfn.XLOOKUP($G65,LatestData!$A$17:$A$89,LatestData!R$17:R$89))</f>
        <v/>
      </c>
      <c r="W65" s="16">
        <f>VALUE(_xlfn.XLOOKUP($G65,LatestData!$A$17:$A$89,LatestData!S$17:S$89)%)</f>
        <v/>
      </c>
      <c r="X65" s="17">
        <f>VALUE(_xlfn.XLOOKUP($G65,LatestData!$A$17:$A$89,LatestData!T$17:T$89))</f>
        <v/>
      </c>
      <c r="Y65" s="17">
        <f>VALUE(_xlfn.XLOOKUP($G65,LatestData!$A$17:$A$89,LatestData!U$17:U$89))</f>
        <v/>
      </c>
      <c r="Z65" s="13">
        <f>IFERROR((Table2[[#This Row],[Open]]-Table2[[#This Row],[PreviousClose]])/Table2[[#This Row],[PreviousClose]],0)</f>
        <v/>
      </c>
      <c r="AA65" s="13">
        <f>IFERROR((Table2[[#This Row],[Price]]-Table2[[#This Row],[Open]])/Table2[[#This Row],[Open]],0)</f>
        <v/>
      </c>
      <c r="AB65" s="11">
        <f>Table2[[#This Row],[Price]]-Table2[[#This Row],[PreviousClose]]</f>
        <v/>
      </c>
    </row>
    <row r="66" ht="21" customHeight="1">
      <c r="A66" s="1" t="inlineStr">
        <is>
          <t>WBA</t>
        </is>
      </c>
      <c r="E66" s="4" t="inlineStr">
        <is>
          <t>WBA</t>
        </is>
      </c>
      <c r="G66">
        <f>IF(OR(LEFT(E66,3)="SAF",LEFT(E66,3)="MVE",LEFT(E66,2)="JB"),MID(E66,IF(LEFT(E66,2)="JB",3,4),LEN(E66)-2),E66)&amp;F66</f>
        <v/>
      </c>
      <c r="H66" s="11">
        <f>VALUE(_xlfn.XLOOKUP($G66,LatestData!$A$17:$A$89,LatestData!D$17:D$89))</f>
        <v/>
      </c>
      <c r="I66" s="11">
        <f>VALUE(_xlfn.XLOOKUP($G66,LatestData!$A$17:$A$89,LatestData!E$17:E$89))</f>
        <v/>
      </c>
      <c r="J66" s="11">
        <f>VALUE(_xlfn.XLOOKUP($G66,LatestData!$A$17:$A$89,LatestData!F$17:F$89))</f>
        <v/>
      </c>
      <c r="K66" s="11">
        <f>VALUE(_xlfn.XLOOKUP($G66,LatestData!$A$17:$A$89,LatestData!G$17:G$89))</f>
        <v/>
      </c>
      <c r="L66" s="11">
        <f>VALUE(_xlfn.XLOOKUP($G66,LatestData!$A$17:$A$89,LatestData!H$17:H$89))</f>
        <v/>
      </c>
      <c r="M66" s="11">
        <f>VALUE(_xlfn.XLOOKUP($G66,LatestData!$A$17:$A$89,LatestData!I$17:I$89))</f>
        <v/>
      </c>
      <c r="N66" s="15">
        <f>VALUE(_xlfn.XLOOKUP($G66,LatestData!$A$17:$A$89,LatestData!J$17:J$89))</f>
        <v/>
      </c>
      <c r="O66" s="11">
        <f>VALUE(_xlfn.XLOOKUP($G66,LatestData!$A$17:$A$89,LatestData!K$17:K$89))</f>
        <v/>
      </c>
      <c r="P66" s="11">
        <f>VALUE(_xlfn.XLOOKUP($G66,LatestData!$A$17:$A$89,LatestData!L$17:L$89))</f>
        <v/>
      </c>
      <c r="Q66" s="11">
        <f>VALUE(_xlfn.XLOOKUP($G66,LatestData!$A$17:$A$89,LatestData!M$17:M$89))</f>
        <v/>
      </c>
      <c r="R66" s="11">
        <f>VALUE(_xlfn.XLOOKUP($G66,LatestData!$A$17:$A$89,LatestData!N$17:N$89))</f>
        <v/>
      </c>
      <c r="S66" s="21">
        <f>_xlfn.XLOOKUP($G66,LatestData!$A$17:$A$89,LatestData!O$17:O$89)</f>
        <v/>
      </c>
      <c r="T66" s="11">
        <f>VALUE(_xlfn.XLOOKUP($G66,LatestData!$A$17:$A$89,LatestData!P$17:P$89))</f>
        <v/>
      </c>
      <c r="U66" s="11">
        <f>VALUE(_xlfn.XLOOKUP($G66,LatestData!$A$17:$A$89,LatestData!Q$17:Q$89))</f>
        <v/>
      </c>
      <c r="V66" s="11">
        <f>VALUE(_xlfn.XLOOKUP($G66,LatestData!$A$17:$A$89,LatestData!R$17:R$89))</f>
        <v/>
      </c>
      <c r="W66" s="16">
        <f>VALUE(_xlfn.XLOOKUP($G66,LatestData!$A$17:$A$89,LatestData!S$17:S$89)%)</f>
        <v/>
      </c>
      <c r="X66" s="17">
        <f>VALUE(_xlfn.XLOOKUP($G66,LatestData!$A$17:$A$89,LatestData!T$17:T$89))</f>
        <v/>
      </c>
      <c r="Y66" s="17">
        <f>VALUE(_xlfn.XLOOKUP($G66,LatestData!$A$17:$A$89,LatestData!U$17:U$89))</f>
        <v/>
      </c>
      <c r="Z66" s="13">
        <f>IFERROR((Table2[[#This Row],[Open]]-Table2[[#This Row],[PreviousClose]])/Table2[[#This Row],[PreviousClose]],0)</f>
        <v/>
      </c>
      <c r="AA66" s="13">
        <f>IFERROR((Table2[[#This Row],[Price]]-Table2[[#This Row],[Open]])/Table2[[#This Row],[Open]],0)</f>
        <v/>
      </c>
      <c r="AB66" s="11">
        <f>Table2[[#This Row],[Price]]-Table2[[#This Row],[PreviousClose]]</f>
        <v/>
      </c>
    </row>
    <row r="67" ht="21" customHeight="1">
      <c r="A67" s="1" t="inlineStr">
        <is>
          <t>XOM</t>
        </is>
      </c>
      <c r="E67" s="3" t="inlineStr">
        <is>
          <t>XOM</t>
        </is>
      </c>
      <c r="G67">
        <f>IF(OR(LEFT(E67,3)="SAF",LEFT(E67,3)="MVE",LEFT(E67,2)="JB"),MID(E67,IF(LEFT(E67,2)="JB",3,4),LEN(E67)-2),E67)&amp;F67</f>
        <v/>
      </c>
      <c r="H67" s="11">
        <f>VALUE(_xlfn.XLOOKUP($G67,LatestData!$A$17:$A$89,LatestData!D$17:D$89))</f>
        <v/>
      </c>
      <c r="I67" s="11">
        <f>VALUE(_xlfn.XLOOKUP($G67,LatestData!$A$17:$A$89,LatestData!E$17:E$89))</f>
        <v/>
      </c>
      <c r="J67" s="11">
        <f>VALUE(_xlfn.XLOOKUP($G67,LatestData!$A$17:$A$89,LatestData!F$17:F$89))</f>
        <v/>
      </c>
      <c r="K67" s="11">
        <f>VALUE(_xlfn.XLOOKUP($G67,LatestData!$A$17:$A$89,LatestData!G$17:G$89))</f>
        <v/>
      </c>
      <c r="L67" s="11">
        <f>VALUE(_xlfn.XLOOKUP($G67,LatestData!$A$17:$A$89,LatestData!H$17:H$89))</f>
        <v/>
      </c>
      <c r="M67" s="11">
        <f>VALUE(_xlfn.XLOOKUP($G67,LatestData!$A$17:$A$89,LatestData!I$17:I$89))</f>
        <v/>
      </c>
      <c r="N67" s="15">
        <f>VALUE(_xlfn.XLOOKUP($G67,LatestData!$A$17:$A$89,LatestData!J$17:J$89))</f>
        <v/>
      </c>
      <c r="O67" s="11">
        <f>VALUE(_xlfn.XLOOKUP($G67,LatestData!$A$17:$A$89,LatestData!K$17:K$89))</f>
        <v/>
      </c>
      <c r="P67" s="11">
        <f>VALUE(_xlfn.XLOOKUP($G67,LatestData!$A$17:$A$89,LatestData!L$17:L$89))</f>
        <v/>
      </c>
      <c r="Q67" s="11">
        <f>VALUE(_xlfn.XLOOKUP($G67,LatestData!$A$17:$A$89,LatestData!M$17:M$89))</f>
        <v/>
      </c>
      <c r="R67" s="11">
        <f>VALUE(_xlfn.XLOOKUP($G67,LatestData!$A$17:$A$89,LatestData!N$17:N$89))</f>
        <v/>
      </c>
      <c r="S67" s="21">
        <f>_xlfn.XLOOKUP($G67,LatestData!$A$17:$A$89,LatestData!O$17:O$89)</f>
        <v/>
      </c>
      <c r="T67" s="11">
        <f>VALUE(_xlfn.XLOOKUP($G67,LatestData!$A$17:$A$89,LatestData!P$17:P$89))</f>
        <v/>
      </c>
      <c r="U67" s="11">
        <f>VALUE(_xlfn.XLOOKUP($G67,LatestData!$A$17:$A$89,LatestData!Q$17:Q$89))</f>
        <v/>
      </c>
      <c r="V67" s="11">
        <f>VALUE(_xlfn.XLOOKUP($G67,LatestData!$A$17:$A$89,LatestData!R$17:R$89))</f>
        <v/>
      </c>
      <c r="W67" s="16">
        <f>VALUE(_xlfn.XLOOKUP($G67,LatestData!$A$17:$A$89,LatestData!S$17:S$89)%)</f>
        <v/>
      </c>
      <c r="X67" s="17">
        <f>VALUE(_xlfn.XLOOKUP($G67,LatestData!$A$17:$A$89,LatestData!T$17:T$89))</f>
        <v/>
      </c>
      <c r="Y67" s="17">
        <f>VALUE(_xlfn.XLOOKUP($G67,LatestData!$A$17:$A$89,LatestData!U$17:U$89))</f>
        <v/>
      </c>
      <c r="Z67" s="13">
        <f>IFERROR((Table2[[#This Row],[Open]]-Table2[[#This Row],[PreviousClose]])/Table2[[#This Row],[PreviousClose]],0)</f>
        <v/>
      </c>
      <c r="AA67" s="13">
        <f>IFERROR((Table2[[#This Row],[Price]]-Table2[[#This Row],[Open]])/Table2[[#This Row],[Open]],0)</f>
        <v/>
      </c>
      <c r="AB67" s="11">
        <f>Table2[[#This Row],[Price]]-Table2[[#This Row],[PreviousClose]]</f>
        <v/>
      </c>
    </row>
    <row r="68" ht="21" customHeight="1">
      <c r="A68" s="1" t="inlineStr">
        <is>
          <t>XPER</t>
        </is>
      </c>
      <c r="E68" s="4" t="inlineStr">
        <is>
          <t>XPER</t>
        </is>
      </c>
      <c r="G68">
        <f>IF(OR(LEFT(E68,3)="SAF",LEFT(E68,3)="MVE",LEFT(E68,2)="JB"),MID(E68,IF(LEFT(E68,2)="JB",3,4),LEN(E68)-2),E68)&amp;F68</f>
        <v/>
      </c>
      <c r="H68" s="11">
        <f>VALUE(_xlfn.XLOOKUP($G68,LatestData!$A$17:$A$89,LatestData!D$17:D$89))</f>
        <v/>
      </c>
      <c r="I68" s="11">
        <f>VALUE(_xlfn.XLOOKUP($G68,LatestData!$A$17:$A$89,LatestData!E$17:E$89))</f>
        <v/>
      </c>
      <c r="J68" s="11">
        <f>VALUE(_xlfn.XLOOKUP($G68,LatestData!$A$17:$A$89,LatestData!F$17:F$89))</f>
        <v/>
      </c>
      <c r="K68" s="11">
        <f>VALUE(_xlfn.XLOOKUP($G68,LatestData!$A$17:$A$89,LatestData!G$17:G$89))</f>
        <v/>
      </c>
      <c r="L68" s="11">
        <f>VALUE(_xlfn.XLOOKUP($G68,LatestData!$A$17:$A$89,LatestData!H$17:H$89))</f>
        <v/>
      </c>
      <c r="M68" s="11">
        <f>VALUE(_xlfn.XLOOKUP($G68,LatestData!$A$17:$A$89,LatestData!I$17:I$89))</f>
        <v/>
      </c>
      <c r="N68" s="15">
        <f>VALUE(_xlfn.XLOOKUP($G68,LatestData!$A$17:$A$89,LatestData!J$17:J$89))</f>
        <v/>
      </c>
      <c r="O68" s="11">
        <f>VALUE(_xlfn.XLOOKUP($G68,LatestData!$A$17:$A$89,LatestData!K$17:K$89))</f>
        <v/>
      </c>
      <c r="P68" s="11">
        <f>VALUE(_xlfn.XLOOKUP($G68,LatestData!$A$17:$A$89,LatestData!L$17:L$89))</f>
        <v/>
      </c>
      <c r="Q68" s="11">
        <f>VALUE(_xlfn.XLOOKUP($G68,LatestData!$A$17:$A$89,LatestData!M$17:M$89))</f>
        <v/>
      </c>
      <c r="R68" s="11">
        <f>VALUE(_xlfn.XLOOKUP($G68,LatestData!$A$17:$A$89,LatestData!N$17:N$89))</f>
        <v/>
      </c>
      <c r="S68" s="21">
        <f>_xlfn.XLOOKUP($G68,LatestData!$A$17:$A$89,LatestData!O$17:O$89)</f>
        <v/>
      </c>
      <c r="T68" s="11">
        <f>VALUE(_xlfn.XLOOKUP($G68,LatestData!$A$17:$A$89,LatestData!P$17:P$89))</f>
        <v/>
      </c>
      <c r="U68" s="11">
        <f>VALUE(_xlfn.XLOOKUP($G68,LatestData!$A$17:$A$89,LatestData!Q$17:Q$89))</f>
        <v/>
      </c>
      <c r="V68" s="11">
        <f>VALUE(_xlfn.XLOOKUP($G68,LatestData!$A$17:$A$89,LatestData!R$17:R$89))</f>
        <v/>
      </c>
      <c r="W68" s="16">
        <f>VALUE(_xlfn.XLOOKUP($G68,LatestData!$A$17:$A$89,LatestData!S$17:S$89)%)</f>
        <v/>
      </c>
      <c r="X68" s="17">
        <f>VALUE(_xlfn.XLOOKUP($G68,LatestData!$A$17:$A$89,LatestData!T$17:T$89))</f>
        <v/>
      </c>
      <c r="Y68" s="17">
        <f>VALUE(_xlfn.XLOOKUP($G68,LatestData!$A$17:$A$89,LatestData!U$17:U$89))</f>
        <v/>
      </c>
      <c r="Z68" s="13">
        <f>IFERROR((Table2[[#This Row],[Open]]-Table2[[#This Row],[PreviousClose]])/Table2[[#This Row],[PreviousClose]],0)</f>
        <v/>
      </c>
      <c r="AA68" s="13">
        <f>IFERROR((Table2[[#This Row],[Price]]-Table2[[#This Row],[Open]])/Table2[[#This Row],[Open]],0)</f>
        <v/>
      </c>
      <c r="AB68" s="11">
        <f>Table2[[#This Row],[Price]]-Table2[[#This Row],[PreviousClose]]</f>
        <v/>
      </c>
    </row>
    <row r="69" ht="21" customHeight="1">
      <c r="A69" s="1" t="inlineStr">
        <is>
          <t>BLNK</t>
        </is>
      </c>
      <c r="E69" s="8" t="inlineStr">
        <is>
          <t>MVEALDNE</t>
        </is>
      </c>
      <c r="F69" s="10" t="inlineStr">
        <is>
          <t>.PA</t>
        </is>
      </c>
      <c r="G69">
        <f>IF(OR(LEFT(E69,3)="SAF",LEFT(E69,3)="MVE",LEFT(E69,2)="JB"),MID(E69,IF(LEFT(E69,2)="JB",3,4),LEN(E69)-2),E69)&amp;F69</f>
        <v/>
      </c>
      <c r="H69" s="11">
        <f>VALUE(_xlfn.XLOOKUP($G69,LatestData!$A$17:$A$89,LatestData!D$17:D$89))</f>
        <v/>
      </c>
      <c r="I69" s="11">
        <f>VALUE(_xlfn.XLOOKUP($G69,LatestData!$A$17:$A$89,LatestData!E$17:E$89))</f>
        <v/>
      </c>
      <c r="J69" s="11">
        <f>VALUE(_xlfn.XLOOKUP($G69,LatestData!$A$17:$A$89,LatestData!F$17:F$89))</f>
        <v/>
      </c>
      <c r="K69" s="11">
        <f>VALUE(_xlfn.XLOOKUP($G69,LatestData!$A$17:$A$89,LatestData!G$17:G$89))</f>
        <v/>
      </c>
      <c r="L69" s="11">
        <f>VALUE(_xlfn.XLOOKUP($G69,LatestData!$A$17:$A$89,LatestData!H$17:H$89))</f>
        <v/>
      </c>
      <c r="M69" s="11">
        <f>VALUE(_xlfn.XLOOKUP($G69,LatestData!$A$17:$A$89,LatestData!I$17:I$89))</f>
        <v/>
      </c>
      <c r="N69" s="15">
        <f>VALUE(_xlfn.XLOOKUP($G69,LatestData!$A$17:$A$89,LatestData!J$17:J$89))</f>
        <v/>
      </c>
      <c r="O69" s="11">
        <f>VALUE(_xlfn.XLOOKUP($G69,LatestData!$A$17:$A$89,LatestData!K$17:K$89))</f>
        <v/>
      </c>
      <c r="P69" s="11">
        <f>VALUE(_xlfn.XLOOKUP($G69,LatestData!$A$17:$A$89,LatestData!L$17:L$89))</f>
        <v/>
      </c>
      <c r="Q69" s="11">
        <f>VALUE(_xlfn.XLOOKUP($G69,LatestData!$A$17:$A$89,LatestData!M$17:M$89))</f>
        <v/>
      </c>
      <c r="R69" s="11">
        <f>VALUE(_xlfn.XLOOKUP($G69,LatestData!$A$17:$A$89,LatestData!N$17:N$89))</f>
        <v/>
      </c>
      <c r="S69" s="21">
        <f>_xlfn.XLOOKUP($G69,LatestData!$A$17:$A$89,LatestData!O$17:O$89)</f>
        <v/>
      </c>
      <c r="T69" s="11">
        <f>VALUE(_xlfn.XLOOKUP($G69,LatestData!$A$17:$A$89,LatestData!P$17:P$89))</f>
        <v/>
      </c>
      <c r="U69" s="11">
        <f>VALUE(_xlfn.XLOOKUP($G69,LatestData!$A$17:$A$89,LatestData!Q$17:Q$89))</f>
        <v/>
      </c>
      <c r="V69" s="11">
        <f>VALUE(_xlfn.XLOOKUP($G69,LatestData!$A$17:$A$89,LatestData!R$17:R$89))</f>
        <v/>
      </c>
      <c r="W69" s="16">
        <f>VALUE(_xlfn.XLOOKUP($G69,LatestData!$A$17:$A$89,LatestData!S$17:S$89)%)</f>
        <v/>
      </c>
      <c r="X69" s="17">
        <f>VALUE(_xlfn.XLOOKUP($G69,LatestData!$A$17:$A$89,LatestData!T$17:T$89))</f>
        <v/>
      </c>
      <c r="Y69" s="17">
        <f>VALUE(_xlfn.XLOOKUP($G69,LatestData!$A$17:$A$89,LatestData!U$17:U$89))</f>
        <v/>
      </c>
      <c r="Z69" s="13">
        <f>IFERROR((Table2[[#This Row],[Open]]-Table2[[#This Row],[PreviousClose]])/Table2[[#This Row],[PreviousClose]],0)</f>
        <v/>
      </c>
      <c r="AA69" s="13">
        <f>IFERROR((Table2[[#This Row],[Price]]-Table2[[#This Row],[Open]])/Table2[[#This Row],[Open]],0)</f>
        <v/>
      </c>
      <c r="AB69" s="11">
        <f>Table2[[#This Row],[Price]]-Table2[[#This Row],[PreviousClose]]</f>
        <v/>
      </c>
    </row>
    <row r="70" ht="21" customHeight="1">
      <c r="A70" s="1" t="inlineStr">
        <is>
          <t>ENI.MI</t>
        </is>
      </c>
      <c r="E70" s="9" t="inlineStr">
        <is>
          <t>MVEDDD</t>
        </is>
      </c>
      <c r="G70">
        <f>IF(OR(LEFT(E70,3)="SAF",LEFT(E70,3)="MVE",LEFT(E70,2)="JB"),MID(E70,IF(LEFT(E70,2)="JB",3,4),LEN(E70)-2),E70)&amp;F70</f>
        <v/>
      </c>
      <c r="H70" s="11">
        <f>VALUE(_xlfn.XLOOKUP($G70,LatestData!$A$17:$A$89,LatestData!D$17:D$89))</f>
        <v/>
      </c>
      <c r="I70" s="11">
        <f>VALUE(_xlfn.XLOOKUP($G70,LatestData!$A$17:$A$89,LatestData!E$17:E$89))</f>
        <v/>
      </c>
      <c r="J70" s="11">
        <f>VALUE(_xlfn.XLOOKUP($G70,LatestData!$A$17:$A$89,LatestData!F$17:F$89))</f>
        <v/>
      </c>
      <c r="K70" s="11">
        <f>VALUE(_xlfn.XLOOKUP($G70,LatestData!$A$17:$A$89,LatestData!G$17:G$89))</f>
        <v/>
      </c>
      <c r="L70" s="11">
        <f>VALUE(_xlfn.XLOOKUP($G70,LatestData!$A$17:$A$89,LatestData!H$17:H$89))</f>
        <v/>
      </c>
      <c r="M70" s="11">
        <f>VALUE(_xlfn.XLOOKUP($G70,LatestData!$A$17:$A$89,LatestData!I$17:I$89))</f>
        <v/>
      </c>
      <c r="N70" s="15">
        <f>VALUE(_xlfn.XLOOKUP($G70,LatestData!$A$17:$A$89,LatestData!J$17:J$89))</f>
        <v/>
      </c>
      <c r="O70" s="11">
        <f>VALUE(_xlfn.XLOOKUP($G70,LatestData!$A$17:$A$89,LatestData!K$17:K$89))</f>
        <v/>
      </c>
      <c r="P70" s="11">
        <f>VALUE(_xlfn.XLOOKUP($G70,LatestData!$A$17:$A$89,LatestData!L$17:L$89))</f>
        <v/>
      </c>
      <c r="Q70" s="11">
        <f>VALUE(_xlfn.XLOOKUP($G70,LatestData!$A$17:$A$89,LatestData!M$17:M$89))</f>
        <v/>
      </c>
      <c r="R70" s="11">
        <f>VALUE(_xlfn.XLOOKUP($G70,LatestData!$A$17:$A$89,LatestData!N$17:N$89))</f>
        <v/>
      </c>
      <c r="S70" s="21">
        <f>_xlfn.XLOOKUP($G70,LatestData!$A$17:$A$89,LatestData!O$17:O$89)</f>
        <v/>
      </c>
      <c r="T70" s="11">
        <f>VALUE(_xlfn.XLOOKUP($G70,LatestData!$A$17:$A$89,LatestData!P$17:P$89))</f>
        <v/>
      </c>
      <c r="U70" s="11">
        <f>VALUE(_xlfn.XLOOKUP($G70,LatestData!$A$17:$A$89,LatestData!Q$17:Q$89))</f>
        <v/>
      </c>
      <c r="V70" s="11">
        <f>VALUE(_xlfn.XLOOKUP($G70,LatestData!$A$17:$A$89,LatestData!R$17:R$89))</f>
        <v/>
      </c>
      <c r="W70" s="16">
        <f>VALUE(_xlfn.XLOOKUP($G70,LatestData!$A$17:$A$89,LatestData!S$17:S$89)%)</f>
        <v/>
      </c>
      <c r="X70" s="17">
        <f>VALUE(_xlfn.XLOOKUP($G70,LatestData!$A$17:$A$89,LatestData!T$17:T$89))</f>
        <v/>
      </c>
      <c r="Y70" s="17">
        <f>VALUE(_xlfn.XLOOKUP($G70,LatestData!$A$17:$A$89,LatestData!U$17:U$89))</f>
        <v/>
      </c>
      <c r="Z70" s="13">
        <f>IFERROR((Table2[[#This Row],[Open]]-Table2[[#This Row],[PreviousClose]])/Table2[[#This Row],[PreviousClose]],0)</f>
        <v/>
      </c>
      <c r="AA70" s="13">
        <f>IFERROR((Table2[[#This Row],[Price]]-Table2[[#This Row],[Open]])/Table2[[#This Row],[Open]],0)</f>
        <v/>
      </c>
      <c r="AB70" s="11">
        <f>Table2[[#This Row],[Price]]-Table2[[#This Row],[PreviousClose]]</f>
        <v/>
      </c>
    </row>
    <row r="71" ht="21" customHeight="1">
      <c r="A71" s="1" t="inlineStr">
        <is>
          <t>EZJ.L</t>
        </is>
      </c>
      <c r="E71" s="9" t="inlineStr">
        <is>
          <t>MVEDSY</t>
        </is>
      </c>
      <c r="F71" s="10" t="inlineStr">
        <is>
          <t>.PA</t>
        </is>
      </c>
      <c r="G71">
        <f>IF(OR(LEFT(E71,3)="SAF",LEFT(E71,3)="MVE",LEFT(E71,2)="JB"),MID(E71,IF(LEFT(E71,2)="JB",3,4),LEN(E71)-2),E71)&amp;F71</f>
        <v/>
      </c>
      <c r="H71" s="11">
        <f>VALUE(_xlfn.XLOOKUP($G71,LatestData!$A$17:$A$89,LatestData!D$17:D$89))</f>
        <v/>
      </c>
      <c r="I71" s="11">
        <f>VALUE(_xlfn.XLOOKUP($G71,LatestData!$A$17:$A$89,LatestData!E$17:E$89))</f>
        <v/>
      </c>
      <c r="J71" s="11">
        <f>VALUE(_xlfn.XLOOKUP($G71,LatestData!$A$17:$A$89,LatestData!F$17:F$89))</f>
        <v/>
      </c>
      <c r="K71" s="11">
        <f>VALUE(_xlfn.XLOOKUP($G71,LatestData!$A$17:$A$89,LatestData!G$17:G$89))</f>
        <v/>
      </c>
      <c r="L71" s="11">
        <f>VALUE(_xlfn.XLOOKUP($G71,LatestData!$A$17:$A$89,LatestData!H$17:H$89))</f>
        <v/>
      </c>
      <c r="M71" s="11">
        <f>VALUE(_xlfn.XLOOKUP($G71,LatestData!$A$17:$A$89,LatestData!I$17:I$89))</f>
        <v/>
      </c>
      <c r="N71" s="15">
        <f>VALUE(_xlfn.XLOOKUP($G71,LatestData!$A$17:$A$89,LatestData!J$17:J$89))</f>
        <v/>
      </c>
      <c r="O71" s="11">
        <f>VALUE(_xlfn.XLOOKUP($G71,LatestData!$A$17:$A$89,LatestData!K$17:K$89))</f>
        <v/>
      </c>
      <c r="P71" s="11">
        <f>VALUE(_xlfn.XLOOKUP($G71,LatestData!$A$17:$A$89,LatestData!L$17:L$89))</f>
        <v/>
      </c>
      <c r="Q71" s="11">
        <f>VALUE(_xlfn.XLOOKUP($G71,LatestData!$A$17:$A$89,LatestData!M$17:M$89))</f>
        <v/>
      </c>
      <c r="R71" s="11">
        <f>VALUE(_xlfn.XLOOKUP($G71,LatestData!$A$17:$A$89,LatestData!N$17:N$89))</f>
        <v/>
      </c>
      <c r="S71" s="21">
        <f>_xlfn.XLOOKUP($G71,LatestData!$A$17:$A$89,LatestData!O$17:O$89)</f>
        <v/>
      </c>
      <c r="T71" s="11">
        <f>VALUE(_xlfn.XLOOKUP($G71,LatestData!$A$17:$A$89,LatestData!P$17:P$89))</f>
        <v/>
      </c>
      <c r="U71" s="11">
        <f>VALUE(_xlfn.XLOOKUP($G71,LatestData!$A$17:$A$89,LatestData!Q$17:Q$89))</f>
        <v/>
      </c>
      <c r="V71" s="11">
        <f>VALUE(_xlfn.XLOOKUP($G71,LatestData!$A$17:$A$89,LatestData!R$17:R$89))</f>
        <v/>
      </c>
      <c r="W71" s="16">
        <f>VALUE(_xlfn.XLOOKUP($G71,LatestData!$A$17:$A$89,LatestData!S$17:S$89)%)</f>
        <v/>
      </c>
      <c r="X71" s="17">
        <f>VALUE(_xlfn.XLOOKUP($G71,LatestData!$A$17:$A$89,LatestData!T$17:T$89))</f>
        <v/>
      </c>
      <c r="Y71" s="17">
        <f>VALUE(_xlfn.XLOOKUP($G71,LatestData!$A$17:$A$89,LatestData!U$17:U$89))</f>
        <v/>
      </c>
      <c r="Z71" s="13">
        <f>IFERROR((Table2[[#This Row],[Open]]-Table2[[#This Row],[PreviousClose]])/Table2[[#This Row],[PreviousClose]],0)</f>
        <v/>
      </c>
      <c r="AA71" s="13">
        <f>IFERROR((Table2[[#This Row],[Price]]-Table2[[#This Row],[Open]])/Table2[[#This Row],[Open]],0)</f>
        <v/>
      </c>
      <c r="AB71" s="11">
        <f>Table2[[#This Row],[Price]]-Table2[[#This Row],[PreviousClose]]</f>
        <v/>
      </c>
    </row>
    <row r="72" ht="21" customHeight="1">
      <c r="A72" s="1" t="inlineStr">
        <is>
          <t>F</t>
        </is>
      </c>
      <c r="E72" s="9" t="inlineStr">
        <is>
          <t>MVEEOAN</t>
        </is>
      </c>
      <c r="F72" t="inlineStr">
        <is>
          <t>.DE</t>
        </is>
      </c>
      <c r="G72">
        <f>IF(OR(LEFT(E72,3)="SAF",LEFT(E72,3)="MVE",LEFT(E72,2)="JB"),MID(E72,IF(LEFT(E72,2)="JB",3,4),LEN(E72)-2),E72)&amp;F72</f>
        <v/>
      </c>
      <c r="H72" s="11">
        <f>VALUE(_xlfn.XLOOKUP($G72,LatestData!$A$17:$A$89,LatestData!D$17:D$89))</f>
        <v/>
      </c>
      <c r="I72" s="11">
        <f>VALUE(_xlfn.XLOOKUP($G72,LatestData!$A$17:$A$89,LatestData!E$17:E$89))</f>
        <v/>
      </c>
      <c r="J72" s="11">
        <f>VALUE(_xlfn.XLOOKUP($G72,LatestData!$A$17:$A$89,LatestData!F$17:F$89))</f>
        <v/>
      </c>
      <c r="K72" s="11">
        <f>VALUE(_xlfn.XLOOKUP($G72,LatestData!$A$17:$A$89,LatestData!G$17:G$89))</f>
        <v/>
      </c>
      <c r="L72" s="11">
        <f>VALUE(_xlfn.XLOOKUP($G72,LatestData!$A$17:$A$89,LatestData!H$17:H$89))</f>
        <v/>
      </c>
      <c r="M72" s="11">
        <f>VALUE(_xlfn.XLOOKUP($G72,LatestData!$A$17:$A$89,LatestData!I$17:I$89))</f>
        <v/>
      </c>
      <c r="N72" s="15">
        <f>VALUE(_xlfn.XLOOKUP($G72,LatestData!$A$17:$A$89,LatestData!J$17:J$89))</f>
        <v/>
      </c>
      <c r="O72" s="11">
        <f>VALUE(_xlfn.XLOOKUP($G72,LatestData!$A$17:$A$89,LatestData!K$17:K$89))</f>
        <v/>
      </c>
      <c r="P72" s="11">
        <f>VALUE(_xlfn.XLOOKUP($G72,LatestData!$A$17:$A$89,LatestData!L$17:L$89))</f>
        <v/>
      </c>
      <c r="Q72" s="11">
        <f>VALUE(_xlfn.XLOOKUP($G72,LatestData!$A$17:$A$89,LatestData!M$17:M$89))</f>
        <v/>
      </c>
      <c r="R72" s="11">
        <f>VALUE(_xlfn.XLOOKUP($G72,LatestData!$A$17:$A$89,LatestData!N$17:N$89))</f>
        <v/>
      </c>
      <c r="S72" s="21">
        <f>_xlfn.XLOOKUP($G72,LatestData!$A$17:$A$89,LatestData!O$17:O$89)</f>
        <v/>
      </c>
      <c r="T72" s="11">
        <f>VALUE(_xlfn.XLOOKUP($G72,LatestData!$A$17:$A$89,LatestData!P$17:P$89))</f>
        <v/>
      </c>
      <c r="U72" s="11">
        <f>VALUE(_xlfn.XLOOKUP($G72,LatestData!$A$17:$A$89,LatestData!Q$17:Q$89))</f>
        <v/>
      </c>
      <c r="V72" s="11">
        <f>VALUE(_xlfn.XLOOKUP($G72,LatestData!$A$17:$A$89,LatestData!R$17:R$89))</f>
        <v/>
      </c>
      <c r="W72" s="16">
        <f>VALUE(_xlfn.XLOOKUP($G72,LatestData!$A$17:$A$89,LatestData!S$17:S$89)%)</f>
        <v/>
      </c>
      <c r="X72" s="17">
        <f>VALUE(_xlfn.XLOOKUP($G72,LatestData!$A$17:$A$89,LatestData!T$17:T$89))</f>
        <v/>
      </c>
      <c r="Y72" s="17">
        <f>VALUE(_xlfn.XLOOKUP($G72,LatestData!$A$17:$A$89,LatestData!U$17:U$89))</f>
        <v/>
      </c>
      <c r="Z72" s="13">
        <f>IFERROR((Table2[[#This Row],[Open]]-Table2[[#This Row],[PreviousClose]])/Table2[[#This Row],[PreviousClose]],0)</f>
        <v/>
      </c>
      <c r="AA72" s="13">
        <f>IFERROR((Table2[[#This Row],[Price]]-Table2[[#This Row],[Open]])/Table2[[#This Row],[Open]],0)</f>
        <v/>
      </c>
      <c r="AB72" s="11">
        <f>Table2[[#This Row],[Price]]-Table2[[#This Row],[PreviousClose]]</f>
        <v/>
      </c>
    </row>
    <row r="73" ht="21" customHeight="1">
      <c r="A73" s="1" t="inlineStr">
        <is>
          <t>GLE.PA</t>
        </is>
      </c>
      <c r="E73" s="8" t="inlineStr">
        <is>
          <t>MVEENI</t>
        </is>
      </c>
      <c r="F73" s="10" t="inlineStr">
        <is>
          <t>.MI</t>
        </is>
      </c>
      <c r="G73">
        <f>IF(OR(LEFT(E73,3)="SAF",LEFT(E73,3)="MVE",LEFT(E73,2)="JB"),MID(E73,IF(LEFT(E73,2)="JB",3,4),LEN(E73)-2),E73)&amp;F73</f>
        <v/>
      </c>
      <c r="H73" s="11">
        <f>VALUE(_xlfn.XLOOKUP($G73,LatestData!$A$17:$A$89,LatestData!D$17:D$89))</f>
        <v/>
      </c>
      <c r="I73" s="11">
        <f>VALUE(_xlfn.XLOOKUP($G73,LatestData!$A$17:$A$89,LatestData!E$17:E$89))</f>
        <v/>
      </c>
      <c r="J73" s="11">
        <f>VALUE(_xlfn.XLOOKUP($G73,LatestData!$A$17:$A$89,LatestData!F$17:F$89))</f>
        <v/>
      </c>
      <c r="K73" s="11">
        <f>VALUE(_xlfn.XLOOKUP($G73,LatestData!$A$17:$A$89,LatestData!G$17:G$89))</f>
        <v/>
      </c>
      <c r="L73" s="11">
        <f>VALUE(_xlfn.XLOOKUP($G73,LatestData!$A$17:$A$89,LatestData!H$17:H$89))</f>
        <v/>
      </c>
      <c r="M73" s="11">
        <f>VALUE(_xlfn.XLOOKUP($G73,LatestData!$A$17:$A$89,LatestData!I$17:I$89))</f>
        <v/>
      </c>
      <c r="N73" s="15">
        <f>VALUE(_xlfn.XLOOKUP($G73,LatestData!$A$17:$A$89,LatestData!J$17:J$89))</f>
        <v/>
      </c>
      <c r="O73" s="11">
        <f>VALUE(_xlfn.XLOOKUP($G73,LatestData!$A$17:$A$89,LatestData!K$17:K$89))</f>
        <v/>
      </c>
      <c r="P73" s="11">
        <f>VALUE(_xlfn.XLOOKUP($G73,LatestData!$A$17:$A$89,LatestData!L$17:L$89))</f>
        <v/>
      </c>
      <c r="Q73" s="11">
        <f>VALUE(_xlfn.XLOOKUP($G73,LatestData!$A$17:$A$89,LatestData!M$17:M$89))</f>
        <v/>
      </c>
      <c r="R73" s="11">
        <f>VALUE(_xlfn.XLOOKUP($G73,LatestData!$A$17:$A$89,LatestData!N$17:N$89))</f>
        <v/>
      </c>
      <c r="S73" s="21">
        <f>_xlfn.XLOOKUP($G73,LatestData!$A$17:$A$89,LatestData!O$17:O$89)</f>
        <v/>
      </c>
      <c r="T73" s="11">
        <f>VALUE(_xlfn.XLOOKUP($G73,LatestData!$A$17:$A$89,LatestData!P$17:P$89))</f>
        <v/>
      </c>
      <c r="U73" s="11">
        <f>VALUE(_xlfn.XLOOKUP($G73,LatestData!$A$17:$A$89,LatestData!Q$17:Q$89))</f>
        <v/>
      </c>
      <c r="V73" s="11">
        <f>VALUE(_xlfn.XLOOKUP($G73,LatestData!$A$17:$A$89,LatestData!R$17:R$89))</f>
        <v/>
      </c>
      <c r="W73" s="16">
        <f>VALUE(_xlfn.XLOOKUP($G73,LatestData!$A$17:$A$89,LatestData!S$17:S$89)%)</f>
        <v/>
      </c>
      <c r="X73" s="17">
        <f>VALUE(_xlfn.XLOOKUP($G73,LatestData!$A$17:$A$89,LatestData!T$17:T$89))</f>
        <v/>
      </c>
      <c r="Y73" s="17">
        <f>VALUE(_xlfn.XLOOKUP($G73,LatestData!$A$17:$A$89,LatestData!U$17:U$89))</f>
        <v/>
      </c>
      <c r="Z73" s="13">
        <f>IFERROR((Table2[[#This Row],[Open]]-Table2[[#This Row],[PreviousClose]])/Table2[[#This Row],[PreviousClose]],0)</f>
        <v/>
      </c>
      <c r="AA73" s="13">
        <f>IFERROR((Table2[[#This Row],[Price]]-Table2[[#This Row],[Open]])/Table2[[#This Row],[Open]],0)</f>
        <v/>
      </c>
      <c r="AB73" s="11">
        <f>Table2[[#This Row],[Price]]-Table2[[#This Row],[PreviousClose]]</f>
        <v/>
      </c>
    </row>
    <row r="74" ht="21" customHeight="1">
      <c r="A74" s="1" t="inlineStr">
        <is>
          <t>GNRC</t>
        </is>
      </c>
      <c r="E74" s="9" t="inlineStr">
        <is>
          <t>MVEEPIX</t>
        </is>
      </c>
      <c r="G74">
        <f>IF(OR(LEFT(E74,3)="SAF",LEFT(E74,3)="MVE",LEFT(E74,2)="JB"),MID(E74,IF(LEFT(E74,2)="JB",3,4),LEN(E74)-2),E74)&amp;F74</f>
        <v/>
      </c>
      <c r="H74" s="11">
        <f>VALUE(_xlfn.XLOOKUP($G74,LatestData!$A$17:$A$89,LatestData!D$17:D$89))</f>
        <v/>
      </c>
      <c r="I74" s="11">
        <f>VALUE(_xlfn.XLOOKUP($G74,LatestData!$A$17:$A$89,LatestData!E$17:E$89))</f>
        <v/>
      </c>
      <c r="J74" s="11">
        <f>VALUE(_xlfn.XLOOKUP($G74,LatestData!$A$17:$A$89,LatestData!F$17:F$89))</f>
        <v/>
      </c>
      <c r="K74" s="11">
        <f>VALUE(_xlfn.XLOOKUP($G74,LatestData!$A$17:$A$89,LatestData!G$17:G$89))</f>
        <v/>
      </c>
      <c r="L74" s="11">
        <f>VALUE(_xlfn.XLOOKUP($G74,LatestData!$A$17:$A$89,LatestData!H$17:H$89))</f>
        <v/>
      </c>
      <c r="M74" s="11">
        <f>VALUE(_xlfn.XLOOKUP($G74,LatestData!$A$17:$A$89,LatestData!I$17:I$89))</f>
        <v/>
      </c>
      <c r="N74" s="15">
        <f>VALUE(_xlfn.XLOOKUP($G74,LatestData!$A$17:$A$89,LatestData!J$17:J$89))</f>
        <v/>
      </c>
      <c r="O74" s="11">
        <f>VALUE(_xlfn.XLOOKUP($G74,LatestData!$A$17:$A$89,LatestData!K$17:K$89))</f>
        <v/>
      </c>
      <c r="P74" s="11">
        <f>VALUE(_xlfn.XLOOKUP($G74,LatestData!$A$17:$A$89,LatestData!L$17:L$89))</f>
        <v/>
      </c>
      <c r="Q74" s="11">
        <f>VALUE(_xlfn.XLOOKUP($G74,LatestData!$A$17:$A$89,LatestData!M$17:M$89))</f>
        <v/>
      </c>
      <c r="R74" s="11">
        <f>VALUE(_xlfn.XLOOKUP($G74,LatestData!$A$17:$A$89,LatestData!N$17:N$89))</f>
        <v/>
      </c>
      <c r="S74" s="21">
        <f>_xlfn.XLOOKUP($G74,LatestData!$A$17:$A$89,LatestData!O$17:O$89)</f>
        <v/>
      </c>
      <c r="T74" s="11">
        <f>VALUE(_xlfn.XLOOKUP($G74,LatestData!$A$17:$A$89,LatestData!P$17:P$89))</f>
        <v/>
      </c>
      <c r="U74" s="11">
        <f>VALUE(_xlfn.XLOOKUP($G74,LatestData!$A$17:$A$89,LatestData!Q$17:Q$89))</f>
        <v/>
      </c>
      <c r="V74" s="11">
        <f>VALUE(_xlfn.XLOOKUP($G74,LatestData!$A$17:$A$89,LatestData!R$17:R$89))</f>
        <v/>
      </c>
      <c r="W74" s="16">
        <f>VALUE(_xlfn.XLOOKUP($G74,LatestData!$A$17:$A$89,LatestData!S$17:S$89)%)</f>
        <v/>
      </c>
      <c r="X74" s="17">
        <f>VALUE(_xlfn.XLOOKUP($G74,LatestData!$A$17:$A$89,LatestData!T$17:T$89))</f>
        <v/>
      </c>
      <c r="Y74" s="17">
        <f>VALUE(_xlfn.XLOOKUP($G74,LatestData!$A$17:$A$89,LatestData!U$17:U$89))</f>
        <v/>
      </c>
      <c r="Z74" s="13">
        <f>IFERROR((Table2[[#This Row],[Open]]-Table2[[#This Row],[PreviousClose]])/Table2[[#This Row],[PreviousClose]],0)</f>
        <v/>
      </c>
      <c r="AA74" s="13">
        <f>IFERROR((Table2[[#This Row],[Price]]-Table2[[#This Row],[Open]])/Table2[[#This Row],[Open]],0)</f>
        <v/>
      </c>
      <c r="AB74" s="11">
        <f>Table2[[#This Row],[Price]]-Table2[[#This Row],[PreviousClose]]</f>
        <v/>
      </c>
    </row>
    <row r="75" ht="21" customHeight="1">
      <c r="A75" s="1" t="inlineStr">
        <is>
          <t>GS</t>
        </is>
      </c>
      <c r="E75" s="9" t="inlineStr">
        <is>
          <t>MVEGLE</t>
        </is>
      </c>
      <c r="F75" s="10" t="inlineStr">
        <is>
          <t>.PA</t>
        </is>
      </c>
      <c r="G75">
        <f>IF(OR(LEFT(E75,3)="SAF",LEFT(E75,3)="MVE",LEFT(E75,2)="JB"),MID(E75,IF(LEFT(E75,2)="JB",3,4),LEN(E75)-2),E75)&amp;F75</f>
        <v/>
      </c>
      <c r="H75" s="11">
        <f>VALUE(_xlfn.XLOOKUP($G75,LatestData!$A$17:$A$89,LatestData!D$17:D$89))</f>
        <v/>
      </c>
      <c r="I75" s="11">
        <f>VALUE(_xlfn.XLOOKUP($G75,LatestData!$A$17:$A$89,LatestData!E$17:E$89))</f>
        <v/>
      </c>
      <c r="J75" s="11">
        <f>VALUE(_xlfn.XLOOKUP($G75,LatestData!$A$17:$A$89,LatestData!F$17:F$89))</f>
        <v/>
      </c>
      <c r="K75" s="11">
        <f>VALUE(_xlfn.XLOOKUP($G75,LatestData!$A$17:$A$89,LatestData!G$17:G$89))</f>
        <v/>
      </c>
      <c r="L75" s="11">
        <f>VALUE(_xlfn.XLOOKUP($G75,LatestData!$A$17:$A$89,LatestData!H$17:H$89))</f>
        <v/>
      </c>
      <c r="M75" s="11">
        <f>VALUE(_xlfn.XLOOKUP($G75,LatestData!$A$17:$A$89,LatestData!I$17:I$89))</f>
        <v/>
      </c>
      <c r="N75" s="15">
        <f>VALUE(_xlfn.XLOOKUP($G75,LatestData!$A$17:$A$89,LatestData!J$17:J$89))</f>
        <v/>
      </c>
      <c r="O75" s="11">
        <f>VALUE(_xlfn.XLOOKUP($G75,LatestData!$A$17:$A$89,LatestData!K$17:K$89))</f>
        <v/>
      </c>
      <c r="P75" s="11">
        <f>VALUE(_xlfn.XLOOKUP($G75,LatestData!$A$17:$A$89,LatestData!L$17:L$89))</f>
        <v/>
      </c>
      <c r="Q75" s="11">
        <f>VALUE(_xlfn.XLOOKUP($G75,LatestData!$A$17:$A$89,LatestData!M$17:M$89))</f>
        <v/>
      </c>
      <c r="R75" s="11">
        <f>VALUE(_xlfn.XLOOKUP($G75,LatestData!$A$17:$A$89,LatestData!N$17:N$89))</f>
        <v/>
      </c>
      <c r="S75" s="21">
        <f>_xlfn.XLOOKUP($G75,LatestData!$A$17:$A$89,LatestData!O$17:O$89)</f>
        <v/>
      </c>
      <c r="T75" s="11">
        <f>VALUE(_xlfn.XLOOKUP($G75,LatestData!$A$17:$A$89,LatestData!P$17:P$89))</f>
        <v/>
      </c>
      <c r="U75" s="11">
        <f>VALUE(_xlfn.XLOOKUP($G75,LatestData!$A$17:$A$89,LatestData!Q$17:Q$89))</f>
        <v/>
      </c>
      <c r="V75" s="11">
        <f>VALUE(_xlfn.XLOOKUP($G75,LatestData!$A$17:$A$89,LatestData!R$17:R$89))</f>
        <v/>
      </c>
      <c r="W75" s="16">
        <f>VALUE(_xlfn.XLOOKUP($G75,LatestData!$A$17:$A$89,LatestData!S$17:S$89)%)</f>
        <v/>
      </c>
      <c r="X75" s="17">
        <f>VALUE(_xlfn.XLOOKUP($G75,LatestData!$A$17:$A$89,LatestData!T$17:T$89))</f>
        <v/>
      </c>
      <c r="Y75" s="17">
        <f>VALUE(_xlfn.XLOOKUP($G75,LatestData!$A$17:$A$89,LatestData!U$17:U$89))</f>
        <v/>
      </c>
      <c r="Z75" s="13">
        <f>IFERROR((Table2[[#This Row],[Open]]-Table2[[#This Row],[PreviousClose]])/Table2[[#This Row],[PreviousClose]],0)</f>
        <v/>
      </c>
      <c r="AA75" s="13">
        <f>IFERROR((Table2[[#This Row],[Price]]-Table2[[#This Row],[Open]])/Table2[[#This Row],[Open]],0)</f>
        <v/>
      </c>
      <c r="AB75" s="11">
        <f>Table2[[#This Row],[Price]]-Table2[[#This Row],[PreviousClose]]</f>
        <v/>
      </c>
    </row>
    <row r="76" ht="21" customHeight="1">
      <c r="A76" s="1" t="inlineStr">
        <is>
          <t>LAZRQ</t>
        </is>
      </c>
      <c r="E76" s="9" t="inlineStr">
        <is>
          <t>MVEORA</t>
        </is>
      </c>
      <c r="F76" s="10" t="inlineStr">
        <is>
          <t>.PA</t>
        </is>
      </c>
      <c r="G76">
        <f>IF(OR(LEFT(E76,3)="SAF",LEFT(E76,3)="MVE",LEFT(E76,2)="JB"),MID(E76,IF(LEFT(E76,2)="JB",3,4),LEN(E76)-2),E76)&amp;F76</f>
        <v/>
      </c>
      <c r="H76" s="11">
        <f>VALUE(_xlfn.XLOOKUP($G76,LatestData!$A$17:$A$89,LatestData!D$17:D$89))</f>
        <v/>
      </c>
      <c r="I76" s="11">
        <f>VALUE(_xlfn.XLOOKUP($G76,LatestData!$A$17:$A$89,LatestData!E$17:E$89))</f>
        <v/>
      </c>
      <c r="J76" s="11">
        <f>VALUE(_xlfn.XLOOKUP($G76,LatestData!$A$17:$A$89,LatestData!F$17:F$89))</f>
        <v/>
      </c>
      <c r="K76" s="11">
        <f>VALUE(_xlfn.XLOOKUP($G76,LatestData!$A$17:$A$89,LatestData!G$17:G$89))</f>
        <v/>
      </c>
      <c r="L76" s="11">
        <f>VALUE(_xlfn.XLOOKUP($G76,LatestData!$A$17:$A$89,LatestData!H$17:H$89))</f>
        <v/>
      </c>
      <c r="M76" s="11">
        <f>VALUE(_xlfn.XLOOKUP($G76,LatestData!$A$17:$A$89,LatestData!I$17:I$89))</f>
        <v/>
      </c>
      <c r="N76" s="15">
        <f>VALUE(_xlfn.XLOOKUP($G76,LatestData!$A$17:$A$89,LatestData!J$17:J$89))</f>
        <v/>
      </c>
      <c r="O76" s="11">
        <f>VALUE(_xlfn.XLOOKUP($G76,LatestData!$A$17:$A$89,LatestData!K$17:K$89))</f>
        <v/>
      </c>
      <c r="P76" s="11">
        <f>VALUE(_xlfn.XLOOKUP($G76,LatestData!$A$17:$A$89,LatestData!L$17:L$89))</f>
        <v/>
      </c>
      <c r="Q76" s="11">
        <f>VALUE(_xlfn.XLOOKUP($G76,LatestData!$A$17:$A$89,LatestData!M$17:M$89))</f>
        <v/>
      </c>
      <c r="R76" s="11">
        <f>VALUE(_xlfn.XLOOKUP($G76,LatestData!$A$17:$A$89,LatestData!N$17:N$89))</f>
        <v/>
      </c>
      <c r="S76" s="21">
        <f>_xlfn.XLOOKUP($G76,LatestData!$A$17:$A$89,LatestData!O$17:O$89)</f>
        <v/>
      </c>
      <c r="T76" s="11">
        <f>VALUE(_xlfn.XLOOKUP($G76,LatestData!$A$17:$A$89,LatestData!P$17:P$89))</f>
        <v/>
      </c>
      <c r="U76" s="11">
        <f>VALUE(_xlfn.XLOOKUP($G76,LatestData!$A$17:$A$89,LatestData!Q$17:Q$89))</f>
        <v/>
      </c>
      <c r="V76" s="11">
        <f>VALUE(_xlfn.XLOOKUP($G76,LatestData!$A$17:$A$89,LatestData!R$17:R$89))</f>
        <v/>
      </c>
      <c r="W76" s="16">
        <f>VALUE(_xlfn.XLOOKUP($G76,LatestData!$A$17:$A$89,LatestData!S$17:S$89)%)</f>
        <v/>
      </c>
      <c r="X76" s="17">
        <f>VALUE(_xlfn.XLOOKUP($G76,LatestData!$A$17:$A$89,LatestData!T$17:T$89))</f>
        <v/>
      </c>
      <c r="Y76" s="17">
        <f>VALUE(_xlfn.XLOOKUP($G76,LatestData!$A$17:$A$89,LatestData!U$17:U$89))</f>
        <v/>
      </c>
      <c r="Z76" s="13">
        <f>IFERROR((Table2[[#This Row],[Open]]-Table2[[#This Row],[PreviousClose]])/Table2[[#This Row],[PreviousClose]],0)</f>
        <v/>
      </c>
      <c r="AA76" s="13">
        <f>IFERROR((Table2[[#This Row],[Price]]-Table2[[#This Row],[Open]])/Table2[[#This Row],[Open]],0)</f>
        <v/>
      </c>
      <c r="AB76" s="11">
        <f>Table2[[#This Row],[Price]]-Table2[[#This Row],[PreviousClose]]</f>
        <v/>
      </c>
    </row>
    <row r="77" ht="21" customHeight="1">
      <c r="A77" s="1" t="inlineStr">
        <is>
          <t>LUV</t>
        </is>
      </c>
      <c r="E77" s="9" t="inlineStr">
        <is>
          <t>MVERWE</t>
        </is>
      </c>
      <c r="F77" s="10" t="inlineStr">
        <is>
          <t>.DE</t>
        </is>
      </c>
      <c r="G77">
        <f>IF(OR(LEFT(E77,3)="SAF",LEFT(E77,3)="MVE",LEFT(E77,2)="JB"),MID(E77,IF(LEFT(E77,2)="JB",3,4),LEN(E77)-2),E77)&amp;F77</f>
        <v/>
      </c>
      <c r="H77" s="11">
        <f>VALUE(_xlfn.XLOOKUP($G77,LatestData!$A$17:$A$89,LatestData!D$17:D$89))</f>
        <v/>
      </c>
      <c r="I77" s="11">
        <f>VALUE(_xlfn.XLOOKUP($G77,LatestData!$A$17:$A$89,LatestData!E$17:E$89))</f>
        <v/>
      </c>
      <c r="J77" s="11">
        <f>VALUE(_xlfn.XLOOKUP($G77,LatestData!$A$17:$A$89,LatestData!F$17:F$89))</f>
        <v/>
      </c>
      <c r="K77" s="11">
        <f>VALUE(_xlfn.XLOOKUP($G77,LatestData!$A$17:$A$89,LatestData!G$17:G$89))</f>
        <v/>
      </c>
      <c r="L77" s="11">
        <f>VALUE(_xlfn.XLOOKUP($G77,LatestData!$A$17:$A$89,LatestData!H$17:H$89))</f>
        <v/>
      </c>
      <c r="M77" s="11">
        <f>VALUE(_xlfn.XLOOKUP($G77,LatestData!$A$17:$A$89,LatestData!I$17:I$89))</f>
        <v/>
      </c>
      <c r="N77" s="15">
        <f>VALUE(_xlfn.XLOOKUP($G77,LatestData!$A$17:$A$89,LatestData!J$17:J$89))</f>
        <v/>
      </c>
      <c r="O77" s="11">
        <f>VALUE(_xlfn.XLOOKUP($G77,LatestData!$A$17:$A$89,LatestData!K$17:K$89))</f>
        <v/>
      </c>
      <c r="P77" s="11">
        <f>VALUE(_xlfn.XLOOKUP($G77,LatestData!$A$17:$A$89,LatestData!L$17:L$89))</f>
        <v/>
      </c>
      <c r="Q77" s="11">
        <f>VALUE(_xlfn.XLOOKUP($G77,LatestData!$A$17:$A$89,LatestData!M$17:M$89))</f>
        <v/>
      </c>
      <c r="R77" s="11">
        <f>VALUE(_xlfn.XLOOKUP($G77,LatestData!$A$17:$A$89,LatestData!N$17:N$89))</f>
        <v/>
      </c>
      <c r="S77" s="21">
        <f>_xlfn.XLOOKUP($G77,LatestData!$A$17:$A$89,LatestData!O$17:O$89)</f>
        <v/>
      </c>
      <c r="T77" s="11">
        <f>VALUE(_xlfn.XLOOKUP($G77,LatestData!$A$17:$A$89,LatestData!P$17:P$89))</f>
        <v/>
      </c>
      <c r="U77" s="11">
        <f>VALUE(_xlfn.XLOOKUP($G77,LatestData!$A$17:$A$89,LatestData!Q$17:Q$89))</f>
        <v/>
      </c>
      <c r="V77" s="11">
        <f>VALUE(_xlfn.XLOOKUP($G77,LatestData!$A$17:$A$89,LatestData!R$17:R$89))</f>
        <v/>
      </c>
      <c r="W77" s="16">
        <f>VALUE(_xlfn.XLOOKUP($G77,LatestData!$A$17:$A$89,LatestData!S$17:S$89)%)</f>
        <v/>
      </c>
      <c r="X77" s="17">
        <f>VALUE(_xlfn.XLOOKUP($G77,LatestData!$A$17:$A$89,LatestData!T$17:T$89))</f>
        <v/>
      </c>
      <c r="Y77" s="17">
        <f>VALUE(_xlfn.XLOOKUP($G77,LatestData!$A$17:$A$89,LatestData!U$17:U$89))</f>
        <v/>
      </c>
      <c r="Z77" s="13">
        <f>IFERROR((Table2[[#This Row],[Open]]-Table2[[#This Row],[PreviousClose]])/Table2[[#This Row],[PreviousClose]],0)</f>
        <v/>
      </c>
      <c r="AA77" s="13">
        <f>IFERROR((Table2[[#This Row],[Price]]-Table2[[#This Row],[Open]])/Table2[[#This Row],[Open]],0)</f>
        <v/>
      </c>
      <c r="AB77" s="11">
        <f>Table2[[#This Row],[Price]]-Table2[[#This Row],[PreviousClose]]</f>
        <v/>
      </c>
    </row>
    <row r="78" ht="21" customHeight="1">
      <c r="A78" s="1" t="inlineStr">
        <is>
          <t>MA</t>
        </is>
      </c>
      <c r="E78" s="9" t="inlineStr">
        <is>
          <t>MVESAP</t>
        </is>
      </c>
      <c r="F78" s="10" t="inlineStr">
        <is>
          <t>.DE</t>
        </is>
      </c>
      <c r="G78">
        <f>IF(OR(LEFT(E78,3)="SAF",LEFT(E78,3)="MVE",LEFT(E78,2)="JB"),MID(E78,IF(LEFT(E78,2)="JB",3,4),LEN(E78)-2),E78)&amp;F78</f>
        <v/>
      </c>
      <c r="H78" s="11">
        <f>VALUE(_xlfn.XLOOKUP($G78,LatestData!$A$17:$A$89,LatestData!D$17:D$89))</f>
        <v/>
      </c>
      <c r="I78" s="11">
        <f>VALUE(_xlfn.XLOOKUP($G78,LatestData!$A$17:$A$89,LatestData!E$17:E$89))</f>
        <v/>
      </c>
      <c r="J78" s="11">
        <f>VALUE(_xlfn.XLOOKUP($G78,LatestData!$A$17:$A$89,LatestData!F$17:F$89))</f>
        <v/>
      </c>
      <c r="K78" s="11">
        <f>VALUE(_xlfn.XLOOKUP($G78,LatestData!$A$17:$A$89,LatestData!G$17:G$89))</f>
        <v/>
      </c>
      <c r="L78" s="11">
        <f>VALUE(_xlfn.XLOOKUP($G78,LatestData!$A$17:$A$89,LatestData!H$17:H$89))</f>
        <v/>
      </c>
      <c r="M78" s="11">
        <f>VALUE(_xlfn.XLOOKUP($G78,LatestData!$A$17:$A$89,LatestData!I$17:I$89))</f>
        <v/>
      </c>
      <c r="N78" s="15">
        <f>VALUE(_xlfn.XLOOKUP($G78,LatestData!$A$17:$A$89,LatestData!J$17:J$89))</f>
        <v/>
      </c>
      <c r="O78" s="11">
        <f>VALUE(_xlfn.XLOOKUP($G78,LatestData!$A$17:$A$89,LatestData!K$17:K$89))</f>
        <v/>
      </c>
      <c r="P78" s="11">
        <f>VALUE(_xlfn.XLOOKUP($G78,LatestData!$A$17:$A$89,LatestData!L$17:L$89))</f>
        <v/>
      </c>
      <c r="Q78" s="11">
        <f>VALUE(_xlfn.XLOOKUP($G78,LatestData!$A$17:$A$89,LatestData!M$17:M$89))</f>
        <v/>
      </c>
      <c r="R78" s="11">
        <f>VALUE(_xlfn.XLOOKUP($G78,LatestData!$A$17:$A$89,LatestData!N$17:N$89))</f>
        <v/>
      </c>
      <c r="S78" s="21">
        <f>_xlfn.XLOOKUP($G78,LatestData!$A$17:$A$89,LatestData!O$17:O$89)</f>
        <v/>
      </c>
      <c r="T78" s="11">
        <f>VALUE(_xlfn.XLOOKUP($G78,LatestData!$A$17:$A$89,LatestData!P$17:P$89))</f>
        <v/>
      </c>
      <c r="U78" s="11">
        <f>VALUE(_xlfn.XLOOKUP($G78,LatestData!$A$17:$A$89,LatestData!Q$17:Q$89))</f>
        <v/>
      </c>
      <c r="V78" s="11">
        <f>VALUE(_xlfn.XLOOKUP($G78,LatestData!$A$17:$A$89,LatestData!R$17:R$89))</f>
        <v/>
      </c>
      <c r="W78" s="16">
        <f>VALUE(_xlfn.XLOOKUP($G78,LatestData!$A$17:$A$89,LatestData!S$17:S$89)%)</f>
        <v/>
      </c>
      <c r="X78" s="17">
        <f>VALUE(_xlfn.XLOOKUP($G78,LatestData!$A$17:$A$89,LatestData!T$17:T$89))</f>
        <v/>
      </c>
      <c r="Y78" s="17">
        <f>VALUE(_xlfn.XLOOKUP($G78,LatestData!$A$17:$A$89,LatestData!U$17:U$89))</f>
        <v/>
      </c>
      <c r="Z78" s="13">
        <f>IFERROR((Table2[[#This Row],[Open]]-Table2[[#This Row],[PreviousClose]])/Table2[[#This Row],[PreviousClose]],0)</f>
        <v/>
      </c>
      <c r="AA78" s="13">
        <f>IFERROR((Table2[[#This Row],[Price]]-Table2[[#This Row],[Open]])/Table2[[#This Row],[Open]],0)</f>
        <v/>
      </c>
      <c r="AB78" s="11">
        <f>Table2[[#This Row],[Price]]-Table2[[#This Row],[PreviousClose]]</f>
        <v/>
      </c>
    </row>
    <row r="79" ht="21" customHeight="1">
      <c r="A79" s="1" t="inlineStr">
        <is>
          <t>NVAX</t>
        </is>
      </c>
      <c r="E79" s="9" t="inlineStr">
        <is>
          <t>MVEUN0</t>
        </is>
      </c>
      <c r="F79" s="10" t="inlineStr">
        <is>
          <t>.DE</t>
        </is>
      </c>
      <c r="G79">
        <f>IF(OR(LEFT(E79,3)="SAF",LEFT(E79,3)="MVE",LEFT(E79,2)="JB"),MID(E79,IF(LEFT(E79,2)="JB",3,4),LEN(E79)-2),E79)&amp;F79</f>
        <v/>
      </c>
      <c r="H79" s="11">
        <f>VALUE(_xlfn.XLOOKUP($G79,LatestData!$A$17:$A$89,LatestData!D$17:D$89))</f>
        <v/>
      </c>
      <c r="I79" s="11">
        <f>VALUE(_xlfn.XLOOKUP($G79,LatestData!$A$17:$A$89,LatestData!E$17:E$89))</f>
        <v/>
      </c>
      <c r="J79" s="11">
        <f>VALUE(_xlfn.XLOOKUP($G79,LatestData!$A$17:$A$89,LatestData!F$17:F$89))</f>
        <v/>
      </c>
      <c r="K79" s="11">
        <f>VALUE(_xlfn.XLOOKUP($G79,LatestData!$A$17:$A$89,LatestData!G$17:G$89))</f>
        <v/>
      </c>
      <c r="L79" s="11">
        <f>VALUE(_xlfn.XLOOKUP($G79,LatestData!$A$17:$A$89,LatestData!H$17:H$89))</f>
        <v/>
      </c>
      <c r="M79" s="11">
        <f>VALUE(_xlfn.XLOOKUP($G79,LatestData!$A$17:$A$89,LatestData!I$17:I$89))</f>
        <v/>
      </c>
      <c r="N79" s="15">
        <f>VALUE(_xlfn.XLOOKUP($G79,LatestData!$A$17:$A$89,LatestData!J$17:J$89))</f>
        <v/>
      </c>
      <c r="O79" s="11">
        <f>VALUE(_xlfn.XLOOKUP($G79,LatestData!$A$17:$A$89,LatestData!K$17:K$89))</f>
        <v/>
      </c>
      <c r="P79" s="11">
        <f>VALUE(_xlfn.XLOOKUP($G79,LatestData!$A$17:$A$89,LatestData!L$17:L$89))</f>
        <v/>
      </c>
      <c r="Q79" s="11">
        <f>VALUE(_xlfn.XLOOKUP($G79,LatestData!$A$17:$A$89,LatestData!M$17:M$89))</f>
        <v/>
      </c>
      <c r="R79" s="11">
        <f>VALUE(_xlfn.XLOOKUP($G79,LatestData!$A$17:$A$89,LatestData!N$17:N$89))</f>
        <v/>
      </c>
      <c r="S79" s="21">
        <f>_xlfn.XLOOKUP($G79,LatestData!$A$17:$A$89,LatestData!O$17:O$89)</f>
        <v/>
      </c>
      <c r="T79" s="11">
        <f>VALUE(_xlfn.XLOOKUP($G79,LatestData!$A$17:$A$89,LatestData!P$17:P$89))</f>
        <v/>
      </c>
      <c r="U79" s="11">
        <f>VALUE(_xlfn.XLOOKUP($G79,LatestData!$A$17:$A$89,LatestData!Q$17:Q$89))</f>
        <v/>
      </c>
      <c r="V79" s="11">
        <f>VALUE(_xlfn.XLOOKUP($G79,LatestData!$A$17:$A$89,LatestData!R$17:R$89))</f>
        <v/>
      </c>
      <c r="W79" s="16">
        <f>VALUE(_xlfn.XLOOKUP($G79,LatestData!$A$17:$A$89,LatestData!S$17:S$89)%)</f>
        <v/>
      </c>
      <c r="X79" s="17">
        <f>VALUE(_xlfn.XLOOKUP($G79,LatestData!$A$17:$A$89,LatestData!T$17:T$89))</f>
        <v/>
      </c>
      <c r="Y79" s="17">
        <f>VALUE(_xlfn.XLOOKUP($G79,LatestData!$A$17:$A$89,LatestData!U$17:U$89))</f>
        <v/>
      </c>
      <c r="Z79" s="13">
        <f>IFERROR((Table2[[#This Row],[Open]]-Table2[[#This Row],[PreviousClose]])/Table2[[#This Row],[PreviousClose]],0)</f>
        <v/>
      </c>
      <c r="AA79" s="13">
        <f>IFERROR((Table2[[#This Row],[Price]]-Table2[[#This Row],[Open]])/Table2[[#This Row],[Open]],0)</f>
        <v/>
      </c>
      <c r="AB79" s="11">
        <f>Table2[[#This Row],[Price]]-Table2[[#This Row],[PreviousClose]]</f>
        <v/>
      </c>
    </row>
    <row r="80" ht="21" customHeight="1">
      <c r="A80" s="1" t="inlineStr">
        <is>
          <t>NVS</t>
        </is>
      </c>
      <c r="E80" s="7" t="inlineStr">
        <is>
          <t>SAFAAPL</t>
        </is>
      </c>
      <c r="G80">
        <f>IF(OR(LEFT(E80,3)="SAF",LEFT(E80,3)="MVE",LEFT(E80,2)="JB"),MID(E80,IF(LEFT(E80,2)="JB",3,4),LEN(E80)-2),E80)&amp;F80</f>
        <v/>
      </c>
      <c r="H80" s="11">
        <f>VALUE(_xlfn.XLOOKUP($G80,LatestData!$A$17:$A$89,LatestData!D$17:D$89))</f>
        <v/>
      </c>
      <c r="I80" s="11">
        <f>VALUE(_xlfn.XLOOKUP($G80,LatestData!$A$17:$A$89,LatestData!E$17:E$89))</f>
        <v/>
      </c>
      <c r="J80" s="11">
        <f>VALUE(_xlfn.XLOOKUP($G80,LatestData!$A$17:$A$89,LatestData!F$17:F$89))</f>
        <v/>
      </c>
      <c r="K80" s="11">
        <f>VALUE(_xlfn.XLOOKUP($G80,LatestData!$A$17:$A$89,LatestData!G$17:G$89))</f>
        <v/>
      </c>
      <c r="L80" s="11">
        <f>VALUE(_xlfn.XLOOKUP($G80,LatestData!$A$17:$A$89,LatestData!H$17:H$89))</f>
        <v/>
      </c>
      <c r="M80" s="11">
        <f>VALUE(_xlfn.XLOOKUP($G80,LatestData!$A$17:$A$89,LatestData!I$17:I$89))</f>
        <v/>
      </c>
      <c r="N80" s="15">
        <f>VALUE(_xlfn.XLOOKUP($G80,LatestData!$A$17:$A$89,LatestData!J$17:J$89))</f>
        <v/>
      </c>
      <c r="O80" s="11">
        <f>VALUE(_xlfn.XLOOKUP($G80,LatestData!$A$17:$A$89,LatestData!K$17:K$89))</f>
        <v/>
      </c>
      <c r="P80" s="11">
        <f>VALUE(_xlfn.XLOOKUP($G80,LatestData!$A$17:$A$89,LatestData!L$17:L$89))</f>
        <v/>
      </c>
      <c r="Q80" s="11">
        <f>VALUE(_xlfn.XLOOKUP($G80,LatestData!$A$17:$A$89,LatestData!M$17:M$89))</f>
        <v/>
      </c>
      <c r="R80" s="11">
        <f>VALUE(_xlfn.XLOOKUP($G80,LatestData!$A$17:$A$89,LatestData!N$17:N$89))</f>
        <v/>
      </c>
      <c r="S80" s="21">
        <f>_xlfn.XLOOKUP($G80,LatestData!$A$17:$A$89,LatestData!O$17:O$89)</f>
        <v/>
      </c>
      <c r="T80" s="11">
        <f>VALUE(_xlfn.XLOOKUP($G80,LatestData!$A$17:$A$89,LatestData!P$17:P$89))</f>
        <v/>
      </c>
      <c r="U80" s="11">
        <f>VALUE(_xlfn.XLOOKUP($G80,LatestData!$A$17:$A$89,LatestData!Q$17:Q$89))</f>
        <v/>
      </c>
      <c r="V80" s="11">
        <f>VALUE(_xlfn.XLOOKUP($G80,LatestData!$A$17:$A$89,LatestData!R$17:R$89))</f>
        <v/>
      </c>
      <c r="W80" s="16">
        <f>VALUE(_xlfn.XLOOKUP($G80,LatestData!$A$17:$A$89,LatestData!S$17:S$89)%)</f>
        <v/>
      </c>
      <c r="X80" s="17">
        <f>VALUE(_xlfn.XLOOKUP($G80,LatestData!$A$17:$A$89,LatestData!T$17:T$89))</f>
        <v/>
      </c>
      <c r="Y80" s="17">
        <f>VALUE(_xlfn.XLOOKUP($G80,LatestData!$A$17:$A$89,LatestData!U$17:U$89))</f>
        <v/>
      </c>
      <c r="Z80" s="13">
        <f>IFERROR((Table2[[#This Row],[Open]]-Table2[[#This Row],[PreviousClose]])/Table2[[#This Row],[PreviousClose]],0)</f>
        <v/>
      </c>
      <c r="AA80" s="13">
        <f>IFERROR((Table2[[#This Row],[Price]]-Table2[[#This Row],[Open]])/Table2[[#This Row],[Open]],0)</f>
        <v/>
      </c>
      <c r="AB80" s="11">
        <f>Table2[[#This Row],[Price]]-Table2[[#This Row],[PreviousClose]]</f>
        <v/>
      </c>
    </row>
    <row r="81" ht="21" customHeight="1">
      <c r="A81" s="1" t="inlineStr">
        <is>
          <t>ORA.PA</t>
        </is>
      </c>
      <c r="E81" s="6" t="inlineStr">
        <is>
          <t>SAFAMZN</t>
        </is>
      </c>
      <c r="G81">
        <f>IF(OR(LEFT(E81,3)="SAF",LEFT(E81,3)="MVE",LEFT(E81,2)="JB"),MID(E81,IF(LEFT(E81,2)="JB",3,4),LEN(E81)-2),E81)&amp;F81</f>
        <v/>
      </c>
      <c r="H81" s="11">
        <f>VALUE(_xlfn.XLOOKUP($G81,LatestData!$A$17:$A$89,LatestData!D$17:D$89))</f>
        <v/>
      </c>
      <c r="I81" s="11">
        <f>VALUE(_xlfn.XLOOKUP($G81,LatestData!$A$17:$A$89,LatestData!E$17:E$89))</f>
        <v/>
      </c>
      <c r="J81" s="11">
        <f>VALUE(_xlfn.XLOOKUP($G81,LatestData!$A$17:$A$89,LatestData!F$17:F$89))</f>
        <v/>
      </c>
      <c r="K81" s="11">
        <f>VALUE(_xlfn.XLOOKUP($G81,LatestData!$A$17:$A$89,LatestData!G$17:G$89))</f>
        <v/>
      </c>
      <c r="L81" s="11">
        <f>VALUE(_xlfn.XLOOKUP($G81,LatestData!$A$17:$A$89,LatestData!H$17:H$89))</f>
        <v/>
      </c>
      <c r="M81" s="11">
        <f>VALUE(_xlfn.XLOOKUP($G81,LatestData!$A$17:$A$89,LatestData!I$17:I$89))</f>
        <v/>
      </c>
      <c r="N81" s="15">
        <f>VALUE(_xlfn.XLOOKUP($G81,LatestData!$A$17:$A$89,LatestData!J$17:J$89))</f>
        <v/>
      </c>
      <c r="O81" s="11">
        <f>VALUE(_xlfn.XLOOKUP($G81,LatestData!$A$17:$A$89,LatestData!K$17:K$89))</f>
        <v/>
      </c>
      <c r="P81" s="11">
        <f>VALUE(_xlfn.XLOOKUP($G81,LatestData!$A$17:$A$89,LatestData!L$17:L$89))</f>
        <v/>
      </c>
      <c r="Q81" s="11">
        <f>VALUE(_xlfn.XLOOKUP($G81,LatestData!$A$17:$A$89,LatestData!M$17:M$89))</f>
        <v/>
      </c>
      <c r="R81" s="11">
        <f>VALUE(_xlfn.XLOOKUP($G81,LatestData!$A$17:$A$89,LatestData!N$17:N$89))</f>
        <v/>
      </c>
      <c r="S81" s="21">
        <f>_xlfn.XLOOKUP($G81,LatestData!$A$17:$A$89,LatestData!O$17:O$89)</f>
        <v/>
      </c>
      <c r="T81" s="11">
        <f>VALUE(_xlfn.XLOOKUP($G81,LatestData!$A$17:$A$89,LatestData!P$17:P$89))</f>
        <v/>
      </c>
      <c r="U81" s="11">
        <f>VALUE(_xlfn.XLOOKUP($G81,LatestData!$A$17:$A$89,LatestData!Q$17:Q$89))</f>
        <v/>
      </c>
      <c r="V81" s="11">
        <f>VALUE(_xlfn.XLOOKUP($G81,LatestData!$A$17:$A$89,LatestData!R$17:R$89))</f>
        <v/>
      </c>
      <c r="W81" s="16">
        <f>VALUE(_xlfn.XLOOKUP($G81,LatestData!$A$17:$A$89,LatestData!S$17:S$89)%)</f>
        <v/>
      </c>
      <c r="X81" s="17">
        <f>VALUE(_xlfn.XLOOKUP($G81,LatestData!$A$17:$A$89,LatestData!T$17:T$89))</f>
        <v/>
      </c>
      <c r="Y81" s="17">
        <f>VALUE(_xlfn.XLOOKUP($G81,LatestData!$A$17:$A$89,LatestData!U$17:U$89))</f>
        <v/>
      </c>
      <c r="Z81" s="13">
        <f>IFERROR((Table2[[#This Row],[Open]]-Table2[[#This Row],[PreviousClose]])/Table2[[#This Row],[PreviousClose]],0)</f>
        <v/>
      </c>
      <c r="AA81" s="13">
        <f>IFERROR((Table2[[#This Row],[Price]]-Table2[[#This Row],[Open]])/Table2[[#This Row],[Open]],0)</f>
        <v/>
      </c>
      <c r="AB81" s="11">
        <f>Table2[[#This Row],[Price]]-Table2[[#This Row],[PreviousClose]]</f>
        <v/>
      </c>
    </row>
    <row r="82" ht="21" customHeight="1">
      <c r="A82" s="1" t="inlineStr">
        <is>
          <t>OXY</t>
        </is>
      </c>
      <c r="E82" s="7" t="inlineStr">
        <is>
          <t>SAFASML</t>
        </is>
      </c>
      <c r="F82" s="10" t="inlineStr">
        <is>
          <t>.AS</t>
        </is>
      </c>
      <c r="G82">
        <f>IF(OR(LEFT(E82,3)="SAF",LEFT(E82,3)="MVE",LEFT(E82,2)="JB"),MID(E82,IF(LEFT(E82,2)="JB",3,4),LEN(E82)-2),E82)&amp;F82</f>
        <v/>
      </c>
      <c r="H82" s="11">
        <f>VALUE(_xlfn.XLOOKUP($G82,LatestData!$A$17:$A$89,LatestData!D$17:D$89))</f>
        <v/>
      </c>
      <c r="I82" s="11">
        <f>VALUE(_xlfn.XLOOKUP($G82,LatestData!$A$17:$A$89,LatestData!E$17:E$89))</f>
        <v/>
      </c>
      <c r="J82" s="11">
        <f>VALUE(_xlfn.XLOOKUP($G82,LatestData!$A$17:$A$89,LatestData!F$17:F$89))</f>
        <v/>
      </c>
      <c r="K82" s="11">
        <f>VALUE(_xlfn.XLOOKUP($G82,LatestData!$A$17:$A$89,LatestData!G$17:G$89))</f>
        <v/>
      </c>
      <c r="L82" s="11">
        <f>VALUE(_xlfn.XLOOKUP($G82,LatestData!$A$17:$A$89,LatestData!H$17:H$89))</f>
        <v/>
      </c>
      <c r="M82" s="11">
        <f>VALUE(_xlfn.XLOOKUP($G82,LatestData!$A$17:$A$89,LatestData!I$17:I$89))</f>
        <v/>
      </c>
      <c r="N82" s="15">
        <f>VALUE(_xlfn.XLOOKUP($G82,LatestData!$A$17:$A$89,LatestData!J$17:J$89))</f>
        <v/>
      </c>
      <c r="O82" s="11">
        <f>VALUE(_xlfn.XLOOKUP($G82,LatestData!$A$17:$A$89,LatestData!K$17:K$89))</f>
        <v/>
      </c>
      <c r="P82" s="11">
        <f>VALUE(_xlfn.XLOOKUP($G82,LatestData!$A$17:$A$89,LatestData!L$17:L$89))</f>
        <v/>
      </c>
      <c r="Q82" s="11">
        <f>VALUE(_xlfn.XLOOKUP($G82,LatestData!$A$17:$A$89,LatestData!M$17:M$89))</f>
        <v/>
      </c>
      <c r="R82" s="11">
        <f>VALUE(_xlfn.XLOOKUP($G82,LatestData!$A$17:$A$89,LatestData!N$17:N$89))</f>
        <v/>
      </c>
      <c r="S82" s="21">
        <f>_xlfn.XLOOKUP($G82,LatestData!$A$17:$A$89,LatestData!O$17:O$89)</f>
        <v/>
      </c>
      <c r="T82" s="11">
        <f>VALUE(_xlfn.XLOOKUP($G82,LatestData!$A$17:$A$89,LatestData!P$17:P$89))</f>
        <v/>
      </c>
      <c r="U82" s="11">
        <f>VALUE(_xlfn.XLOOKUP($G82,LatestData!$A$17:$A$89,LatestData!Q$17:Q$89))</f>
        <v/>
      </c>
      <c r="V82" s="11">
        <f>VALUE(_xlfn.XLOOKUP($G82,LatestData!$A$17:$A$89,LatestData!R$17:R$89))</f>
        <v/>
      </c>
      <c r="W82" s="16">
        <f>VALUE(_xlfn.XLOOKUP($G82,LatestData!$A$17:$A$89,LatestData!S$17:S$89)%)</f>
        <v/>
      </c>
      <c r="X82" s="17">
        <f>VALUE(_xlfn.XLOOKUP($G82,LatestData!$A$17:$A$89,LatestData!T$17:T$89))</f>
        <v/>
      </c>
      <c r="Y82" s="17">
        <f>VALUE(_xlfn.XLOOKUP($G82,LatestData!$A$17:$A$89,LatestData!U$17:U$89))</f>
        <v/>
      </c>
      <c r="Z82" s="13">
        <f>IFERROR((Table2[[#This Row],[Open]]-Table2[[#This Row],[PreviousClose]])/Table2[[#This Row],[PreviousClose]],0)</f>
        <v/>
      </c>
      <c r="AA82" s="13">
        <f>IFERROR((Table2[[#This Row],[Price]]-Table2[[#This Row],[Open]])/Table2[[#This Row],[Open]],0)</f>
        <v/>
      </c>
      <c r="AB82" s="11">
        <f>Table2[[#This Row],[Price]]-Table2[[#This Row],[PreviousClose]]</f>
        <v/>
      </c>
    </row>
    <row r="83" ht="21" customHeight="1">
      <c r="A83" s="1" t="inlineStr">
        <is>
          <t>PFE</t>
        </is>
      </c>
      <c r="E83" s="6" t="inlineStr">
        <is>
          <t>SAFDDD</t>
        </is>
      </c>
      <c r="G83">
        <f>IF(OR(LEFT(E83,3)="SAF",LEFT(E83,3)="MVE",LEFT(E83,2)="JB"),MID(E83,IF(LEFT(E83,2)="JB",3,4),LEN(E83)-2),E83)&amp;F83</f>
        <v/>
      </c>
      <c r="H83" s="11">
        <f>VALUE(_xlfn.XLOOKUP($G83,LatestData!$A$17:$A$89,LatestData!D$17:D$89))</f>
        <v/>
      </c>
      <c r="I83" s="11">
        <f>VALUE(_xlfn.XLOOKUP($G83,LatestData!$A$17:$A$89,LatestData!E$17:E$89))</f>
        <v/>
      </c>
      <c r="J83" s="11">
        <f>VALUE(_xlfn.XLOOKUP($G83,LatestData!$A$17:$A$89,LatestData!F$17:F$89))</f>
        <v/>
      </c>
      <c r="K83" s="11">
        <f>VALUE(_xlfn.XLOOKUP($G83,LatestData!$A$17:$A$89,LatestData!G$17:G$89))</f>
        <v/>
      </c>
      <c r="L83" s="11">
        <f>VALUE(_xlfn.XLOOKUP($G83,LatestData!$A$17:$A$89,LatestData!H$17:H$89))</f>
        <v/>
      </c>
      <c r="M83" s="11">
        <f>VALUE(_xlfn.XLOOKUP($G83,LatestData!$A$17:$A$89,LatestData!I$17:I$89))</f>
        <v/>
      </c>
      <c r="N83" s="15">
        <f>VALUE(_xlfn.XLOOKUP($G83,LatestData!$A$17:$A$89,LatestData!J$17:J$89))</f>
        <v/>
      </c>
      <c r="O83" s="11">
        <f>VALUE(_xlfn.XLOOKUP($G83,LatestData!$A$17:$A$89,LatestData!K$17:K$89))</f>
        <v/>
      </c>
      <c r="P83" s="11">
        <f>VALUE(_xlfn.XLOOKUP($G83,LatestData!$A$17:$A$89,LatestData!L$17:L$89))</f>
        <v/>
      </c>
      <c r="Q83" s="11">
        <f>VALUE(_xlfn.XLOOKUP($G83,LatestData!$A$17:$A$89,LatestData!M$17:M$89))</f>
        <v/>
      </c>
      <c r="R83" s="11">
        <f>VALUE(_xlfn.XLOOKUP($G83,LatestData!$A$17:$A$89,LatestData!N$17:N$89))</f>
        <v/>
      </c>
      <c r="S83" s="21">
        <f>_xlfn.XLOOKUP($G83,LatestData!$A$17:$A$89,LatestData!O$17:O$89)</f>
        <v/>
      </c>
      <c r="T83" s="11">
        <f>VALUE(_xlfn.XLOOKUP($G83,LatestData!$A$17:$A$89,LatestData!P$17:P$89))</f>
        <v/>
      </c>
      <c r="U83" s="11">
        <f>VALUE(_xlfn.XLOOKUP($G83,LatestData!$A$17:$A$89,LatestData!Q$17:Q$89))</f>
        <v/>
      </c>
      <c r="V83" s="11">
        <f>VALUE(_xlfn.XLOOKUP($G83,LatestData!$A$17:$A$89,LatestData!R$17:R$89))</f>
        <v/>
      </c>
      <c r="W83" s="16">
        <f>VALUE(_xlfn.XLOOKUP($G83,LatestData!$A$17:$A$89,LatestData!S$17:S$89)%)</f>
        <v/>
      </c>
      <c r="X83" s="17">
        <f>VALUE(_xlfn.XLOOKUP($G83,LatestData!$A$17:$A$89,LatestData!T$17:T$89))</f>
        <v/>
      </c>
      <c r="Y83" s="17">
        <f>VALUE(_xlfn.XLOOKUP($G83,LatestData!$A$17:$A$89,LatestData!U$17:U$89))</f>
        <v/>
      </c>
      <c r="Z83" s="13">
        <f>IFERROR((Table2[[#This Row],[Open]]-Table2[[#This Row],[PreviousClose]])/Table2[[#This Row],[PreviousClose]],0)</f>
        <v/>
      </c>
      <c r="AA83" s="13">
        <f>IFERROR((Table2[[#This Row],[Price]]-Table2[[#This Row],[Open]])/Table2[[#This Row],[Open]],0)</f>
        <v/>
      </c>
      <c r="AB83" s="11">
        <f>Table2[[#This Row],[Price]]-Table2[[#This Row],[PreviousClose]]</f>
        <v/>
      </c>
    </row>
    <row r="84" ht="21" customHeight="1">
      <c r="A84" s="1" t="inlineStr">
        <is>
          <t>RIG</t>
        </is>
      </c>
      <c r="E84" s="7" t="inlineStr">
        <is>
          <t>SAFDIS</t>
        </is>
      </c>
      <c r="G84">
        <f>IF(OR(LEFT(E84,3)="SAF",LEFT(E84,3)="MVE",LEFT(E84,2)="JB"),MID(E84,IF(LEFT(E84,2)="JB",3,4),LEN(E84)-2),E84)&amp;F84</f>
        <v/>
      </c>
      <c r="H84" s="11">
        <f>VALUE(_xlfn.XLOOKUP($G84,LatestData!$A$17:$A$89,LatestData!D$17:D$89))</f>
        <v/>
      </c>
      <c r="I84" s="11">
        <f>VALUE(_xlfn.XLOOKUP($G84,LatestData!$A$17:$A$89,LatestData!E$17:E$89))</f>
        <v/>
      </c>
      <c r="J84" s="11">
        <f>VALUE(_xlfn.XLOOKUP($G84,LatestData!$A$17:$A$89,LatestData!F$17:F$89))</f>
        <v/>
      </c>
      <c r="K84" s="11">
        <f>VALUE(_xlfn.XLOOKUP($G84,LatestData!$A$17:$A$89,LatestData!G$17:G$89))</f>
        <v/>
      </c>
      <c r="L84" s="11">
        <f>VALUE(_xlfn.XLOOKUP($G84,LatestData!$A$17:$A$89,LatestData!H$17:H$89))</f>
        <v/>
      </c>
      <c r="M84" s="11">
        <f>VALUE(_xlfn.XLOOKUP($G84,LatestData!$A$17:$A$89,LatestData!I$17:I$89))</f>
        <v/>
      </c>
      <c r="N84" s="15">
        <f>VALUE(_xlfn.XLOOKUP($G84,LatestData!$A$17:$A$89,LatestData!J$17:J$89))</f>
        <v/>
      </c>
      <c r="O84" s="11">
        <f>VALUE(_xlfn.XLOOKUP($G84,LatestData!$A$17:$A$89,LatestData!K$17:K$89))</f>
        <v/>
      </c>
      <c r="P84" s="11">
        <f>VALUE(_xlfn.XLOOKUP($G84,LatestData!$A$17:$A$89,LatestData!L$17:L$89))</f>
        <v/>
      </c>
      <c r="Q84" s="11">
        <f>VALUE(_xlfn.XLOOKUP($G84,LatestData!$A$17:$A$89,LatestData!M$17:M$89))</f>
        <v/>
      </c>
      <c r="R84" s="11">
        <f>VALUE(_xlfn.XLOOKUP($G84,LatestData!$A$17:$A$89,LatestData!N$17:N$89))</f>
        <v/>
      </c>
      <c r="S84" s="21">
        <f>_xlfn.XLOOKUP($G84,LatestData!$A$17:$A$89,LatestData!O$17:O$89)</f>
        <v/>
      </c>
      <c r="T84" s="11">
        <f>VALUE(_xlfn.XLOOKUP($G84,LatestData!$A$17:$A$89,LatestData!P$17:P$89))</f>
        <v/>
      </c>
      <c r="U84" s="11">
        <f>VALUE(_xlfn.XLOOKUP($G84,LatestData!$A$17:$A$89,LatestData!Q$17:Q$89))</f>
        <v/>
      </c>
      <c r="V84" s="11">
        <f>VALUE(_xlfn.XLOOKUP($G84,LatestData!$A$17:$A$89,LatestData!R$17:R$89))</f>
        <v/>
      </c>
      <c r="W84" s="16">
        <f>VALUE(_xlfn.XLOOKUP($G84,LatestData!$A$17:$A$89,LatestData!S$17:S$89)%)</f>
        <v/>
      </c>
      <c r="X84" s="17">
        <f>VALUE(_xlfn.XLOOKUP($G84,LatestData!$A$17:$A$89,LatestData!T$17:T$89))</f>
        <v/>
      </c>
      <c r="Y84" s="17">
        <f>VALUE(_xlfn.XLOOKUP($G84,LatestData!$A$17:$A$89,LatestData!U$17:U$89))</f>
        <v/>
      </c>
      <c r="Z84" s="13">
        <f>IFERROR((Table2[[#This Row],[Open]]-Table2[[#This Row],[PreviousClose]])/Table2[[#This Row],[PreviousClose]],0)</f>
        <v/>
      </c>
      <c r="AA84" s="13">
        <f>IFERROR((Table2[[#This Row],[Price]]-Table2[[#This Row],[Open]])/Table2[[#This Row],[Open]],0)</f>
        <v/>
      </c>
      <c r="AB84" s="11">
        <f>Table2[[#This Row],[Price]]-Table2[[#This Row],[PreviousClose]]</f>
        <v/>
      </c>
    </row>
    <row r="85" ht="21" customHeight="1">
      <c r="A85" s="1" t="inlineStr">
        <is>
          <t>RRC</t>
        </is>
      </c>
      <c r="E85" s="6" t="inlineStr">
        <is>
          <t>SAFGM</t>
        </is>
      </c>
      <c r="G85">
        <f>IF(OR(LEFT(E85,3)="SAF",LEFT(E85,3)="MVE",LEFT(E85,2)="JB"),MID(E85,IF(LEFT(E85,2)="JB",3,4),LEN(E85)-2),E85)&amp;F85</f>
        <v/>
      </c>
      <c r="H85" s="11">
        <f>VALUE(_xlfn.XLOOKUP($G85,LatestData!$A$17:$A$89,LatestData!D$17:D$89))</f>
        <v/>
      </c>
      <c r="I85" s="11">
        <f>VALUE(_xlfn.XLOOKUP($G85,LatestData!$A$17:$A$89,LatestData!E$17:E$89))</f>
        <v/>
      </c>
      <c r="J85" s="11">
        <f>VALUE(_xlfn.XLOOKUP($G85,LatestData!$A$17:$A$89,LatestData!F$17:F$89))</f>
        <v/>
      </c>
      <c r="K85" s="11">
        <f>VALUE(_xlfn.XLOOKUP($G85,LatestData!$A$17:$A$89,LatestData!G$17:G$89))</f>
        <v/>
      </c>
      <c r="L85" s="11">
        <f>VALUE(_xlfn.XLOOKUP($G85,LatestData!$A$17:$A$89,LatestData!H$17:H$89))</f>
        <v/>
      </c>
      <c r="M85" s="11">
        <f>VALUE(_xlfn.XLOOKUP($G85,LatestData!$A$17:$A$89,LatestData!I$17:I$89))</f>
        <v/>
      </c>
      <c r="N85" s="15">
        <f>VALUE(_xlfn.XLOOKUP($G85,LatestData!$A$17:$A$89,LatestData!J$17:J$89))</f>
        <v/>
      </c>
      <c r="O85" s="11">
        <f>VALUE(_xlfn.XLOOKUP($G85,LatestData!$A$17:$A$89,LatestData!K$17:K$89))</f>
        <v/>
      </c>
      <c r="P85" s="11">
        <f>VALUE(_xlfn.XLOOKUP($G85,LatestData!$A$17:$A$89,LatestData!L$17:L$89))</f>
        <v/>
      </c>
      <c r="Q85" s="11">
        <f>VALUE(_xlfn.XLOOKUP($G85,LatestData!$A$17:$A$89,LatestData!M$17:M$89))</f>
        <v/>
      </c>
      <c r="R85" s="11">
        <f>VALUE(_xlfn.XLOOKUP($G85,LatestData!$A$17:$A$89,LatestData!N$17:N$89))</f>
        <v/>
      </c>
      <c r="S85" s="21">
        <f>_xlfn.XLOOKUP($G85,LatestData!$A$17:$A$89,LatestData!O$17:O$89)</f>
        <v/>
      </c>
      <c r="T85" s="11">
        <f>VALUE(_xlfn.XLOOKUP($G85,LatestData!$A$17:$A$89,LatestData!P$17:P$89))</f>
        <v/>
      </c>
      <c r="U85" s="11">
        <f>VALUE(_xlfn.XLOOKUP($G85,LatestData!$A$17:$A$89,LatestData!Q$17:Q$89))</f>
        <v/>
      </c>
      <c r="V85" s="11">
        <f>VALUE(_xlfn.XLOOKUP($G85,LatestData!$A$17:$A$89,LatestData!R$17:R$89))</f>
        <v/>
      </c>
      <c r="W85" s="16">
        <f>VALUE(_xlfn.XLOOKUP($G85,LatestData!$A$17:$A$89,LatestData!S$17:S$89)%)</f>
        <v/>
      </c>
      <c r="X85" s="17">
        <f>VALUE(_xlfn.XLOOKUP($G85,LatestData!$A$17:$A$89,LatestData!T$17:T$89))</f>
        <v/>
      </c>
      <c r="Y85" s="17">
        <f>VALUE(_xlfn.XLOOKUP($G85,LatestData!$A$17:$A$89,LatestData!U$17:U$89))</f>
        <v/>
      </c>
      <c r="Z85" s="13">
        <f>IFERROR((Table2[[#This Row],[Open]]-Table2[[#This Row],[PreviousClose]])/Table2[[#This Row],[PreviousClose]],0)</f>
        <v/>
      </c>
      <c r="AA85" s="13">
        <f>IFERROR((Table2[[#This Row],[Price]]-Table2[[#This Row],[Open]])/Table2[[#This Row],[Open]],0)</f>
        <v/>
      </c>
      <c r="AB85" s="11">
        <f>Table2[[#This Row],[Price]]-Table2[[#This Row],[PreviousClose]]</f>
        <v/>
      </c>
    </row>
    <row r="86" ht="21" customHeight="1">
      <c r="A86" s="1" t="inlineStr">
        <is>
          <t>XYZ</t>
        </is>
      </c>
      <c r="E86" s="7" t="inlineStr">
        <is>
          <t>SAFIAG</t>
        </is>
      </c>
      <c r="F86" t="inlineStr">
        <is>
          <t>.L</t>
        </is>
      </c>
      <c r="G86">
        <f>IF(OR(LEFT(E86,3)="SAF",LEFT(E86,3)="MVE",LEFT(E86,2)="JB"),MID(E86,IF(LEFT(E86,2)="JB",3,4),LEN(E86)-2),E86)&amp;F86</f>
        <v/>
      </c>
      <c r="H86" s="11">
        <f>VALUE(_xlfn.XLOOKUP($G86,LatestData!$A$17:$A$89,LatestData!D$17:D$89))</f>
        <v/>
      </c>
      <c r="I86" s="11">
        <f>VALUE(_xlfn.XLOOKUP($G86,LatestData!$A$17:$A$89,LatestData!E$17:E$89))</f>
        <v/>
      </c>
      <c r="J86" s="11">
        <f>VALUE(_xlfn.XLOOKUP($G86,LatestData!$A$17:$A$89,LatestData!F$17:F$89))</f>
        <v/>
      </c>
      <c r="K86" s="11">
        <f>VALUE(_xlfn.XLOOKUP($G86,LatestData!$A$17:$A$89,LatestData!G$17:G$89))</f>
        <v/>
      </c>
      <c r="L86" s="11">
        <f>VALUE(_xlfn.XLOOKUP($G86,LatestData!$A$17:$A$89,LatestData!H$17:H$89))</f>
        <v/>
      </c>
      <c r="M86" s="11">
        <f>VALUE(_xlfn.XLOOKUP($G86,LatestData!$A$17:$A$89,LatestData!I$17:I$89))</f>
        <v/>
      </c>
      <c r="N86" s="15">
        <f>VALUE(_xlfn.XLOOKUP($G86,LatestData!$A$17:$A$89,LatestData!J$17:J$89))</f>
        <v/>
      </c>
      <c r="O86" s="11">
        <f>VALUE(_xlfn.XLOOKUP($G86,LatestData!$A$17:$A$89,LatestData!K$17:K$89))</f>
        <v/>
      </c>
      <c r="P86" s="11">
        <f>VALUE(_xlfn.XLOOKUP($G86,LatestData!$A$17:$A$89,LatestData!L$17:L$89))</f>
        <v/>
      </c>
      <c r="Q86" s="11">
        <f>VALUE(_xlfn.XLOOKUP($G86,LatestData!$A$17:$A$89,LatestData!M$17:M$89))</f>
        <v/>
      </c>
      <c r="R86" s="11">
        <f>VALUE(_xlfn.XLOOKUP($G86,LatestData!$A$17:$A$89,LatestData!N$17:N$89))</f>
        <v/>
      </c>
      <c r="S86" s="21">
        <f>_xlfn.XLOOKUP($G86,LatestData!$A$17:$A$89,LatestData!O$17:O$89)</f>
        <v/>
      </c>
      <c r="T86" s="11">
        <f>VALUE(_xlfn.XLOOKUP($G86,LatestData!$A$17:$A$89,LatestData!P$17:P$89))</f>
        <v/>
      </c>
      <c r="U86" s="11">
        <f>VALUE(_xlfn.XLOOKUP($G86,LatestData!$A$17:$A$89,LatestData!Q$17:Q$89))</f>
        <v/>
      </c>
      <c r="V86" s="11">
        <f>VALUE(_xlfn.XLOOKUP($G86,LatestData!$A$17:$A$89,LatestData!R$17:R$89))</f>
        <v/>
      </c>
      <c r="W86" s="16">
        <f>VALUE(_xlfn.XLOOKUP($G86,LatestData!$A$17:$A$89,LatestData!S$17:S$89)%)</f>
        <v/>
      </c>
      <c r="X86" s="17">
        <f>VALUE(_xlfn.XLOOKUP($G86,LatestData!$A$17:$A$89,LatestData!T$17:T$89))</f>
        <v/>
      </c>
      <c r="Y86" s="17">
        <f>VALUE(_xlfn.XLOOKUP($G86,LatestData!$A$17:$A$89,LatestData!U$17:U$89))</f>
        <v/>
      </c>
      <c r="Z86" s="13">
        <f>IFERROR((Table2[[#This Row],[Open]]-Table2[[#This Row],[PreviousClose]])/Table2[[#This Row],[PreviousClose]],0)</f>
        <v/>
      </c>
      <c r="AA86" s="13">
        <f>IFERROR((Table2[[#This Row],[Price]]-Table2[[#This Row],[Open]])/Table2[[#This Row],[Open]],0)</f>
        <v/>
      </c>
      <c r="AB86" s="11">
        <f>Table2[[#This Row],[Price]]-Table2[[#This Row],[PreviousClose]]</f>
        <v/>
      </c>
    </row>
    <row r="87" ht="21" customHeight="1">
      <c r="A87" s="1" t="inlineStr">
        <is>
          <t>THC</t>
        </is>
      </c>
      <c r="E87" s="6" t="inlineStr">
        <is>
          <t>SAFMRNA</t>
        </is>
      </c>
      <c r="G87">
        <f>IF(OR(LEFT(E87,3)="SAF",LEFT(E87,3)="MVE",LEFT(E87,2)="JB"),MID(E87,IF(LEFT(E87,2)="JB",3,4),LEN(E87)-2),E87)&amp;F87</f>
        <v/>
      </c>
      <c r="H87" s="11">
        <f>VALUE(_xlfn.XLOOKUP($G87,LatestData!$A$17:$A$89,LatestData!D$17:D$89))</f>
        <v/>
      </c>
      <c r="I87" s="11">
        <f>VALUE(_xlfn.XLOOKUP($G87,LatestData!$A$17:$A$89,LatestData!E$17:E$89))</f>
        <v/>
      </c>
      <c r="J87" s="11">
        <f>VALUE(_xlfn.XLOOKUP($G87,LatestData!$A$17:$A$89,LatestData!F$17:F$89))</f>
        <v/>
      </c>
      <c r="K87" s="11">
        <f>VALUE(_xlfn.XLOOKUP($G87,LatestData!$A$17:$A$89,LatestData!G$17:G$89))</f>
        <v/>
      </c>
      <c r="L87" s="11">
        <f>VALUE(_xlfn.XLOOKUP($G87,LatestData!$A$17:$A$89,LatestData!H$17:H$89))</f>
        <v/>
      </c>
      <c r="M87" s="11">
        <f>VALUE(_xlfn.XLOOKUP($G87,LatestData!$A$17:$A$89,LatestData!I$17:I$89))</f>
        <v/>
      </c>
      <c r="N87" s="15">
        <f>VALUE(_xlfn.XLOOKUP($G87,LatestData!$A$17:$A$89,LatestData!J$17:J$89))</f>
        <v/>
      </c>
      <c r="O87" s="11">
        <f>VALUE(_xlfn.XLOOKUP($G87,LatestData!$A$17:$A$89,LatestData!K$17:K$89))</f>
        <v/>
      </c>
      <c r="P87" s="11">
        <f>VALUE(_xlfn.XLOOKUP($G87,LatestData!$A$17:$A$89,LatestData!L$17:L$89))</f>
        <v/>
      </c>
      <c r="Q87" s="11">
        <f>VALUE(_xlfn.XLOOKUP($G87,LatestData!$A$17:$A$89,LatestData!M$17:M$89))</f>
        <v/>
      </c>
      <c r="R87" s="11">
        <f>VALUE(_xlfn.XLOOKUP($G87,LatestData!$A$17:$A$89,LatestData!N$17:N$89))</f>
        <v/>
      </c>
      <c r="S87" s="21">
        <f>_xlfn.XLOOKUP($G87,LatestData!$A$17:$A$89,LatestData!O$17:O$89)</f>
        <v/>
      </c>
      <c r="T87" s="11">
        <f>VALUE(_xlfn.XLOOKUP($G87,LatestData!$A$17:$A$89,LatestData!P$17:P$89))</f>
        <v/>
      </c>
      <c r="U87" s="11">
        <f>VALUE(_xlfn.XLOOKUP($G87,LatestData!$A$17:$A$89,LatestData!Q$17:Q$89))</f>
        <v/>
      </c>
      <c r="V87" s="11">
        <f>VALUE(_xlfn.XLOOKUP($G87,LatestData!$A$17:$A$89,LatestData!R$17:R$89))</f>
        <v/>
      </c>
      <c r="W87" s="16">
        <f>VALUE(_xlfn.XLOOKUP($G87,LatestData!$A$17:$A$89,LatestData!S$17:S$89)%)</f>
        <v/>
      </c>
      <c r="X87" s="17">
        <f>VALUE(_xlfn.XLOOKUP($G87,LatestData!$A$17:$A$89,LatestData!T$17:T$89))</f>
        <v/>
      </c>
      <c r="Y87" s="17">
        <f>VALUE(_xlfn.XLOOKUP($G87,LatestData!$A$17:$A$89,LatestData!U$17:U$89))</f>
        <v/>
      </c>
      <c r="Z87" s="13">
        <f>IFERROR((Table2[[#This Row],[Open]]-Table2[[#This Row],[PreviousClose]])/Table2[[#This Row],[PreviousClose]],0)</f>
        <v/>
      </c>
      <c r="AA87" s="13">
        <f>IFERROR((Table2[[#This Row],[Price]]-Table2[[#This Row],[Open]])/Table2[[#This Row],[Open]],0)</f>
        <v/>
      </c>
      <c r="AB87" s="11">
        <f>Table2[[#This Row],[Price]]-Table2[[#This Row],[PreviousClose]]</f>
        <v/>
      </c>
    </row>
    <row r="88" ht="21" customHeight="1">
      <c r="A88" s="1" t="inlineStr">
        <is>
          <t>X</t>
        </is>
      </c>
      <c r="E88" s="7" t="inlineStr">
        <is>
          <t>BLNK</t>
        </is>
      </c>
      <c r="G88">
        <f>IF(OR(LEFT(E88,3)="SAF",LEFT(E88,3)="MVE",LEFT(E88,2)="JB"),MID(E88,IF(LEFT(E88,2)="JB",3,4),LEN(E88)-2),E88)&amp;F88</f>
        <v/>
      </c>
      <c r="H88" s="11">
        <f>VALUE(_xlfn.XLOOKUP($G88,LatestData!$A$17:$A$89,LatestData!D$17:D$89))</f>
        <v/>
      </c>
      <c r="I88" s="11">
        <f>VALUE(_xlfn.XLOOKUP($G88,LatestData!$A$17:$A$89,LatestData!E$17:E$89))</f>
        <v/>
      </c>
      <c r="J88" s="11">
        <f>VALUE(_xlfn.XLOOKUP($G88,LatestData!$A$17:$A$89,LatestData!F$17:F$89))</f>
        <v/>
      </c>
      <c r="K88" s="11">
        <f>VALUE(_xlfn.XLOOKUP($G88,LatestData!$A$17:$A$89,LatestData!G$17:G$89))</f>
        <v/>
      </c>
      <c r="L88" s="11">
        <f>VALUE(_xlfn.XLOOKUP($G88,LatestData!$A$17:$A$89,LatestData!H$17:H$89))</f>
        <v/>
      </c>
      <c r="M88" s="11">
        <f>VALUE(_xlfn.XLOOKUP($G88,LatestData!$A$17:$A$89,LatestData!I$17:I$89))</f>
        <v/>
      </c>
      <c r="N88" s="15">
        <f>VALUE(_xlfn.XLOOKUP($G88,LatestData!$A$17:$A$89,LatestData!J$17:J$89))</f>
        <v/>
      </c>
      <c r="O88" s="11">
        <f>VALUE(_xlfn.XLOOKUP($G88,LatestData!$A$17:$A$89,LatestData!K$17:K$89))</f>
        <v/>
      </c>
      <c r="P88" s="11">
        <f>VALUE(_xlfn.XLOOKUP($G88,LatestData!$A$17:$A$89,LatestData!L$17:L$89))</f>
        <v/>
      </c>
      <c r="Q88" s="11">
        <f>VALUE(_xlfn.XLOOKUP($G88,LatestData!$A$17:$A$89,LatestData!M$17:M$89))</f>
        <v/>
      </c>
      <c r="R88" s="11">
        <f>VALUE(_xlfn.XLOOKUP($G88,LatestData!$A$17:$A$89,LatestData!N$17:N$89))</f>
        <v/>
      </c>
      <c r="S88" s="21">
        <f>_xlfn.XLOOKUP($G88,LatestData!$A$17:$A$89,LatestData!O$17:O$89)</f>
        <v/>
      </c>
      <c r="T88" s="11">
        <f>VALUE(_xlfn.XLOOKUP($G88,LatestData!$A$17:$A$89,LatestData!P$17:P$89))</f>
        <v/>
      </c>
      <c r="U88" s="11">
        <f>VALUE(_xlfn.XLOOKUP($G88,LatestData!$A$17:$A$89,LatestData!Q$17:Q$89))</f>
        <v/>
      </c>
      <c r="V88" s="11">
        <f>VALUE(_xlfn.XLOOKUP($G88,LatestData!$A$17:$A$89,LatestData!R$17:R$89))</f>
        <v/>
      </c>
      <c r="W88" s="16">
        <f>VALUE(_xlfn.XLOOKUP($G88,LatestData!$A$17:$A$89,LatestData!S$17:S$89)%)</f>
        <v/>
      </c>
      <c r="X88" s="17">
        <f>VALUE(_xlfn.XLOOKUP($G88,LatestData!$A$17:$A$89,LatestData!T$17:T$89))</f>
        <v/>
      </c>
      <c r="Y88" s="17">
        <f>VALUE(_xlfn.XLOOKUP($G88,LatestData!$A$17:$A$89,LatestData!U$17:U$89))</f>
        <v/>
      </c>
      <c r="Z88" s="13">
        <f>IFERROR((Table2[[#This Row],[Open]]-Table2[[#This Row],[PreviousClose]])/Table2[[#This Row],[PreviousClose]],0)</f>
        <v/>
      </c>
      <c r="AA88" s="13">
        <f>IFERROR((Table2[[#This Row],[Price]]-Table2[[#This Row],[Open]])/Table2[[#This Row],[Open]],0)</f>
        <v/>
      </c>
      <c r="AB88" s="11">
        <f>Table2[[#This Row],[Price]]-Table2[[#This Row],[PreviousClose]]</f>
        <v/>
      </c>
    </row>
    <row r="89" ht="21" customHeight="1">
      <c r="A89" s="1" t="inlineStr">
        <is>
          <t>LOCK.L</t>
        </is>
      </c>
      <c r="E89" s="6" t="inlineStr">
        <is>
          <t>ENI</t>
        </is>
      </c>
      <c r="F89" t="inlineStr">
        <is>
          <t>.MI</t>
        </is>
      </c>
      <c r="G89">
        <f>IF(OR(LEFT(E89,3)="SAF",LEFT(E89,3)="MVE",LEFT(E89,2)="JB"),MID(E89,IF(LEFT(E89,2)="JB",3,4),LEN(E89)-2),E89)&amp;F89</f>
        <v/>
      </c>
      <c r="H89" s="11">
        <f>VALUE(_xlfn.XLOOKUP($G89,LatestData!$A$17:$A$89,LatestData!D$17:D$89))</f>
        <v/>
      </c>
      <c r="I89" s="11">
        <f>VALUE(_xlfn.XLOOKUP($G89,LatestData!$A$17:$A$89,LatestData!E$17:E$89))</f>
        <v/>
      </c>
      <c r="J89" s="11">
        <f>VALUE(_xlfn.XLOOKUP($G89,LatestData!$A$17:$A$89,LatestData!F$17:F$89))</f>
        <v/>
      </c>
      <c r="K89" s="11">
        <f>VALUE(_xlfn.XLOOKUP($G89,LatestData!$A$17:$A$89,LatestData!G$17:G$89))</f>
        <v/>
      </c>
      <c r="L89" s="11">
        <f>VALUE(_xlfn.XLOOKUP($G89,LatestData!$A$17:$A$89,LatestData!H$17:H$89))</f>
        <v/>
      </c>
      <c r="M89" s="11">
        <f>VALUE(_xlfn.XLOOKUP($G89,LatestData!$A$17:$A$89,LatestData!I$17:I$89))</f>
        <v/>
      </c>
      <c r="N89" s="15">
        <f>VALUE(_xlfn.XLOOKUP($G89,LatestData!$A$17:$A$89,LatestData!J$17:J$89))</f>
        <v/>
      </c>
      <c r="O89" s="11">
        <f>VALUE(_xlfn.XLOOKUP($G89,LatestData!$A$17:$A$89,LatestData!K$17:K$89))</f>
        <v/>
      </c>
      <c r="P89" s="11">
        <f>VALUE(_xlfn.XLOOKUP($G89,LatestData!$A$17:$A$89,LatestData!L$17:L$89))</f>
        <v/>
      </c>
      <c r="Q89" s="11">
        <f>VALUE(_xlfn.XLOOKUP($G89,LatestData!$A$17:$A$89,LatestData!M$17:M$89))</f>
        <v/>
      </c>
      <c r="R89" s="11">
        <f>VALUE(_xlfn.XLOOKUP($G89,LatestData!$A$17:$A$89,LatestData!N$17:N$89))</f>
        <v/>
      </c>
      <c r="S89" s="21">
        <f>_xlfn.XLOOKUP($G89,LatestData!$A$17:$A$89,LatestData!O$17:O$89)</f>
        <v/>
      </c>
      <c r="T89" s="11">
        <f>VALUE(_xlfn.XLOOKUP($G89,LatestData!$A$17:$A$89,LatestData!P$17:P$89))</f>
        <v/>
      </c>
      <c r="U89" s="11">
        <f>VALUE(_xlfn.XLOOKUP($G89,LatestData!$A$17:$A$89,LatestData!Q$17:Q$89))</f>
        <v/>
      </c>
      <c r="V89" s="11">
        <f>VALUE(_xlfn.XLOOKUP($G89,LatestData!$A$17:$A$89,LatestData!R$17:R$89))</f>
        <v/>
      </c>
      <c r="W89" s="16">
        <f>VALUE(_xlfn.XLOOKUP($G89,LatestData!$A$17:$A$89,LatestData!S$17:S$89)%)</f>
        <v/>
      </c>
      <c r="X89" s="17">
        <f>VALUE(_xlfn.XLOOKUP($G89,LatestData!$A$17:$A$89,LatestData!T$17:T$89))</f>
        <v/>
      </c>
      <c r="Y89" s="17">
        <f>VALUE(_xlfn.XLOOKUP($G89,LatestData!$A$17:$A$89,LatestData!U$17:U$89))</f>
        <v/>
      </c>
      <c r="Z89" s="13">
        <f>IFERROR((Table2[[#This Row],[Open]]-Table2[[#This Row],[PreviousClose]])/Table2[[#This Row],[PreviousClose]],0)</f>
        <v/>
      </c>
      <c r="AA89" s="13">
        <f>IFERROR((Table2[[#This Row],[Price]]-Table2[[#This Row],[Open]])/Table2[[#This Row],[Open]],0)</f>
        <v/>
      </c>
      <c r="AB89" s="11">
        <f>Table2[[#This Row],[Price]]-Table2[[#This Row],[PreviousClose]]</f>
        <v/>
      </c>
    </row>
    <row r="90" ht="21" customHeight="1">
      <c r="E90" s="7" t="inlineStr">
        <is>
          <t>EZJ</t>
        </is>
      </c>
      <c r="F90" t="inlineStr">
        <is>
          <t>.L</t>
        </is>
      </c>
      <c r="G90">
        <f>IF(OR(LEFT(E90,3)="SAF",LEFT(E90,3)="MVE",LEFT(E90,2)="JB"),MID(E90,IF(LEFT(E90,2)="JB",3,4),LEN(E90)-2),E90)&amp;F90</f>
        <v/>
      </c>
      <c r="H90" s="11">
        <f>VALUE(_xlfn.XLOOKUP($G90,LatestData!$A$17:$A$89,LatestData!D$17:D$89))</f>
        <v/>
      </c>
      <c r="I90" s="11">
        <f>VALUE(_xlfn.XLOOKUP($G90,LatestData!$A$17:$A$89,LatestData!E$17:E$89))</f>
        <v/>
      </c>
      <c r="J90" s="11">
        <f>VALUE(_xlfn.XLOOKUP($G90,LatestData!$A$17:$A$89,LatestData!F$17:F$89))</f>
        <v/>
      </c>
      <c r="K90" s="11">
        <f>VALUE(_xlfn.XLOOKUP($G90,LatestData!$A$17:$A$89,LatestData!G$17:G$89))</f>
        <v/>
      </c>
      <c r="L90" s="11">
        <f>VALUE(_xlfn.XLOOKUP($G90,LatestData!$A$17:$A$89,LatestData!H$17:H$89))</f>
        <v/>
      </c>
      <c r="M90" s="11">
        <f>VALUE(_xlfn.XLOOKUP($G90,LatestData!$A$17:$A$89,LatestData!I$17:I$89))</f>
        <v/>
      </c>
      <c r="N90" s="15">
        <f>VALUE(_xlfn.XLOOKUP($G90,LatestData!$A$17:$A$89,LatestData!J$17:J$89))</f>
        <v/>
      </c>
      <c r="O90" s="11">
        <f>VALUE(_xlfn.XLOOKUP($G90,LatestData!$A$17:$A$89,LatestData!K$17:K$89))</f>
        <v/>
      </c>
      <c r="P90" s="11">
        <f>VALUE(_xlfn.XLOOKUP($G90,LatestData!$A$17:$A$89,LatestData!L$17:L$89))</f>
        <v/>
      </c>
      <c r="Q90" s="11">
        <f>VALUE(_xlfn.XLOOKUP($G90,LatestData!$A$17:$A$89,LatestData!M$17:M$89))</f>
        <v/>
      </c>
      <c r="R90" s="11">
        <f>VALUE(_xlfn.XLOOKUP($G90,LatestData!$A$17:$A$89,LatestData!N$17:N$89))</f>
        <v/>
      </c>
      <c r="S90" s="21">
        <f>_xlfn.XLOOKUP($G90,LatestData!$A$17:$A$89,LatestData!O$17:O$89)</f>
        <v/>
      </c>
      <c r="T90" s="11">
        <f>VALUE(_xlfn.XLOOKUP($G90,LatestData!$A$17:$A$89,LatestData!P$17:P$89))</f>
        <v/>
      </c>
      <c r="U90" s="11">
        <f>VALUE(_xlfn.XLOOKUP($G90,LatestData!$A$17:$A$89,LatestData!Q$17:Q$89))</f>
        <v/>
      </c>
      <c r="V90" s="11">
        <f>VALUE(_xlfn.XLOOKUP($G90,LatestData!$A$17:$A$89,LatestData!R$17:R$89))</f>
        <v/>
      </c>
      <c r="W90" s="16">
        <f>VALUE(_xlfn.XLOOKUP($G90,LatestData!$A$17:$A$89,LatestData!S$17:S$89)%)</f>
        <v/>
      </c>
      <c r="X90" s="17">
        <f>VALUE(_xlfn.XLOOKUP($G90,LatestData!$A$17:$A$89,LatestData!T$17:T$89))</f>
        <v/>
      </c>
      <c r="Y90" s="17">
        <f>VALUE(_xlfn.XLOOKUP($G90,LatestData!$A$17:$A$89,LatestData!U$17:U$89))</f>
        <v/>
      </c>
      <c r="Z90" s="13">
        <f>IFERROR((Table2[[#This Row],[Open]]-Table2[[#This Row],[PreviousClose]])/Table2[[#This Row],[PreviousClose]],0)</f>
        <v/>
      </c>
      <c r="AA90" s="13">
        <f>IFERROR((Table2[[#This Row],[Price]]-Table2[[#This Row],[Open]])/Table2[[#This Row],[Open]],0)</f>
        <v/>
      </c>
      <c r="AB90" s="11">
        <f>Table2[[#This Row],[Price]]-Table2[[#This Row],[PreviousClose]]</f>
        <v/>
      </c>
    </row>
    <row r="91" ht="21" customHeight="1">
      <c r="E91" s="6" t="inlineStr">
        <is>
          <t>F</t>
        </is>
      </c>
      <c r="G91">
        <f>IF(OR(LEFT(E91,3)="SAF",LEFT(E91,3)="MVE",LEFT(E91,2)="JB"),MID(E91,IF(LEFT(E91,2)="JB",3,4),LEN(E91)-2),E91)&amp;F91</f>
        <v/>
      </c>
      <c r="H91" s="11">
        <f>VALUE(_xlfn.XLOOKUP($G91,LatestData!$A$17:$A$89,LatestData!D$17:D$89))</f>
        <v/>
      </c>
      <c r="I91" s="11">
        <f>VALUE(_xlfn.XLOOKUP($G91,LatestData!$A$17:$A$89,LatestData!E$17:E$89))</f>
        <v/>
      </c>
      <c r="J91" s="11">
        <f>VALUE(_xlfn.XLOOKUP($G91,LatestData!$A$17:$A$89,LatestData!F$17:F$89))</f>
        <v/>
      </c>
      <c r="K91" s="11">
        <f>VALUE(_xlfn.XLOOKUP($G91,LatestData!$A$17:$A$89,LatestData!G$17:G$89))</f>
        <v/>
      </c>
      <c r="L91" s="11">
        <f>VALUE(_xlfn.XLOOKUP($G91,LatestData!$A$17:$A$89,LatestData!H$17:H$89))</f>
        <v/>
      </c>
      <c r="M91" s="11">
        <f>VALUE(_xlfn.XLOOKUP($G91,LatestData!$A$17:$A$89,LatestData!I$17:I$89))</f>
        <v/>
      </c>
      <c r="N91" s="15">
        <f>VALUE(_xlfn.XLOOKUP($G91,LatestData!$A$17:$A$89,LatestData!J$17:J$89))</f>
        <v/>
      </c>
      <c r="O91" s="11">
        <f>VALUE(_xlfn.XLOOKUP($G91,LatestData!$A$17:$A$89,LatestData!K$17:K$89))</f>
        <v/>
      </c>
      <c r="P91" s="11">
        <f>VALUE(_xlfn.XLOOKUP($G91,LatestData!$A$17:$A$89,LatestData!L$17:L$89))</f>
        <v/>
      </c>
      <c r="Q91" s="11">
        <f>VALUE(_xlfn.XLOOKUP($G91,LatestData!$A$17:$A$89,LatestData!M$17:M$89))</f>
        <v/>
      </c>
      <c r="R91" s="11">
        <f>VALUE(_xlfn.XLOOKUP($G91,LatestData!$A$17:$A$89,LatestData!N$17:N$89))</f>
        <v/>
      </c>
      <c r="S91" s="21">
        <f>_xlfn.XLOOKUP($G91,LatestData!$A$17:$A$89,LatestData!O$17:O$89)</f>
        <v/>
      </c>
      <c r="T91" s="11">
        <f>VALUE(_xlfn.XLOOKUP($G91,LatestData!$A$17:$A$89,LatestData!P$17:P$89))</f>
        <v/>
      </c>
      <c r="U91" s="11">
        <f>VALUE(_xlfn.XLOOKUP($G91,LatestData!$A$17:$A$89,LatestData!Q$17:Q$89))</f>
        <v/>
      </c>
      <c r="V91" s="11">
        <f>VALUE(_xlfn.XLOOKUP($G91,LatestData!$A$17:$A$89,LatestData!R$17:R$89))</f>
        <v/>
      </c>
      <c r="W91" s="16">
        <f>VALUE(_xlfn.XLOOKUP($G91,LatestData!$A$17:$A$89,LatestData!S$17:S$89)%)</f>
        <v/>
      </c>
      <c r="X91" s="17">
        <f>VALUE(_xlfn.XLOOKUP($G91,LatestData!$A$17:$A$89,LatestData!T$17:T$89))</f>
        <v/>
      </c>
      <c r="Y91" s="17">
        <f>VALUE(_xlfn.XLOOKUP($G91,LatestData!$A$17:$A$89,LatestData!U$17:U$89))</f>
        <v/>
      </c>
      <c r="Z91" s="13">
        <f>IFERROR((Table2[[#This Row],[Open]]-Table2[[#This Row],[PreviousClose]])/Table2[[#This Row],[PreviousClose]],0)</f>
        <v/>
      </c>
      <c r="AA91" s="13">
        <f>IFERROR((Table2[[#This Row],[Price]]-Table2[[#This Row],[Open]])/Table2[[#This Row],[Open]],0)</f>
        <v/>
      </c>
      <c r="AB91" s="11">
        <f>Table2[[#This Row],[Price]]-Table2[[#This Row],[PreviousClose]]</f>
        <v/>
      </c>
    </row>
    <row r="92" ht="21" customHeight="1">
      <c r="E92" s="7" t="inlineStr">
        <is>
          <t>GLE</t>
        </is>
      </c>
      <c r="F92" t="inlineStr">
        <is>
          <t>.PA</t>
        </is>
      </c>
      <c r="G92">
        <f>IF(OR(LEFT(E92,3)="SAF",LEFT(E92,3)="MVE",LEFT(E92,2)="JB"),MID(E92,IF(LEFT(E92,2)="JB",3,4),LEN(E92)-2),E92)&amp;F92</f>
        <v/>
      </c>
      <c r="H92" s="11">
        <f>VALUE(_xlfn.XLOOKUP($G92,LatestData!$A$17:$A$89,LatestData!D$17:D$89))</f>
        <v/>
      </c>
      <c r="I92" s="11">
        <f>VALUE(_xlfn.XLOOKUP($G92,LatestData!$A$17:$A$89,LatestData!E$17:E$89))</f>
        <v/>
      </c>
      <c r="J92" s="11">
        <f>VALUE(_xlfn.XLOOKUP($G92,LatestData!$A$17:$A$89,LatestData!F$17:F$89))</f>
        <v/>
      </c>
      <c r="K92" s="11">
        <f>VALUE(_xlfn.XLOOKUP($G92,LatestData!$A$17:$A$89,LatestData!G$17:G$89))</f>
        <v/>
      </c>
      <c r="L92" s="11">
        <f>VALUE(_xlfn.XLOOKUP($G92,LatestData!$A$17:$A$89,LatestData!H$17:H$89))</f>
        <v/>
      </c>
      <c r="M92" s="11">
        <f>VALUE(_xlfn.XLOOKUP($G92,LatestData!$A$17:$A$89,LatestData!I$17:I$89))</f>
        <v/>
      </c>
      <c r="N92" s="15">
        <f>VALUE(_xlfn.XLOOKUP($G92,LatestData!$A$17:$A$89,LatestData!J$17:J$89))</f>
        <v/>
      </c>
      <c r="O92" s="11">
        <f>VALUE(_xlfn.XLOOKUP($G92,LatestData!$A$17:$A$89,LatestData!K$17:K$89))</f>
        <v/>
      </c>
      <c r="P92" s="11">
        <f>VALUE(_xlfn.XLOOKUP($G92,LatestData!$A$17:$A$89,LatestData!L$17:L$89))</f>
        <v/>
      </c>
      <c r="Q92" s="11">
        <f>VALUE(_xlfn.XLOOKUP($G92,LatestData!$A$17:$A$89,LatestData!M$17:M$89))</f>
        <v/>
      </c>
      <c r="R92" s="11">
        <f>VALUE(_xlfn.XLOOKUP($G92,LatestData!$A$17:$A$89,LatestData!N$17:N$89))</f>
        <v/>
      </c>
      <c r="S92" s="21">
        <f>_xlfn.XLOOKUP($G92,LatestData!$A$17:$A$89,LatestData!O$17:O$89)</f>
        <v/>
      </c>
      <c r="T92" s="11">
        <f>VALUE(_xlfn.XLOOKUP($G92,LatestData!$A$17:$A$89,LatestData!P$17:P$89))</f>
        <v/>
      </c>
      <c r="U92" s="11">
        <f>VALUE(_xlfn.XLOOKUP($G92,LatestData!$A$17:$A$89,LatestData!Q$17:Q$89))</f>
        <v/>
      </c>
      <c r="V92" s="11">
        <f>VALUE(_xlfn.XLOOKUP($G92,LatestData!$A$17:$A$89,LatestData!R$17:R$89))</f>
        <v/>
      </c>
      <c r="W92" s="16">
        <f>VALUE(_xlfn.XLOOKUP($G92,LatestData!$A$17:$A$89,LatestData!S$17:S$89)%)</f>
        <v/>
      </c>
      <c r="X92" s="17">
        <f>VALUE(_xlfn.XLOOKUP($G92,LatestData!$A$17:$A$89,LatestData!T$17:T$89))</f>
        <v/>
      </c>
      <c r="Y92" s="17">
        <f>VALUE(_xlfn.XLOOKUP($G92,LatestData!$A$17:$A$89,LatestData!U$17:U$89))</f>
        <v/>
      </c>
      <c r="Z92" s="13">
        <f>IFERROR((Table2[[#This Row],[Open]]-Table2[[#This Row],[PreviousClose]])/Table2[[#This Row],[PreviousClose]],0)</f>
        <v/>
      </c>
      <c r="AA92" s="13">
        <f>IFERROR((Table2[[#This Row],[Price]]-Table2[[#This Row],[Open]])/Table2[[#This Row],[Open]],0)</f>
        <v/>
      </c>
      <c r="AB92" s="11">
        <f>Table2[[#This Row],[Price]]-Table2[[#This Row],[PreviousClose]]</f>
        <v/>
      </c>
    </row>
    <row r="93" ht="21" customHeight="1">
      <c r="E93" s="6" t="inlineStr">
        <is>
          <t>GNRC</t>
        </is>
      </c>
      <c r="G93">
        <f>IF(OR(LEFT(E93,3)="SAF",LEFT(E93,3)="MVE",LEFT(E93,2)="JB"),MID(E93,IF(LEFT(E93,2)="JB",3,4),LEN(E93)-2),E93)&amp;F93</f>
        <v/>
      </c>
      <c r="H93" s="11">
        <f>VALUE(_xlfn.XLOOKUP($G93,LatestData!$A$17:$A$89,LatestData!D$17:D$89))</f>
        <v/>
      </c>
      <c r="I93" s="11">
        <f>VALUE(_xlfn.XLOOKUP($G93,LatestData!$A$17:$A$89,LatestData!E$17:E$89))</f>
        <v/>
      </c>
      <c r="J93" s="11">
        <f>VALUE(_xlfn.XLOOKUP($G93,LatestData!$A$17:$A$89,LatestData!F$17:F$89))</f>
        <v/>
      </c>
      <c r="K93" s="11">
        <f>VALUE(_xlfn.XLOOKUP($G93,LatestData!$A$17:$A$89,LatestData!G$17:G$89))</f>
        <v/>
      </c>
      <c r="L93" s="11">
        <f>VALUE(_xlfn.XLOOKUP($G93,LatestData!$A$17:$A$89,LatestData!H$17:H$89))</f>
        <v/>
      </c>
      <c r="M93" s="11">
        <f>VALUE(_xlfn.XLOOKUP($G93,LatestData!$A$17:$A$89,LatestData!I$17:I$89))</f>
        <v/>
      </c>
      <c r="N93" s="15">
        <f>VALUE(_xlfn.XLOOKUP($G93,LatestData!$A$17:$A$89,LatestData!J$17:J$89))</f>
        <v/>
      </c>
      <c r="O93" s="11">
        <f>VALUE(_xlfn.XLOOKUP($G93,LatestData!$A$17:$A$89,LatestData!K$17:K$89))</f>
        <v/>
      </c>
      <c r="P93" s="11">
        <f>VALUE(_xlfn.XLOOKUP($G93,LatestData!$A$17:$A$89,LatestData!L$17:L$89))</f>
        <v/>
      </c>
      <c r="Q93" s="11">
        <f>VALUE(_xlfn.XLOOKUP($G93,LatestData!$A$17:$A$89,LatestData!M$17:M$89))</f>
        <v/>
      </c>
      <c r="R93" s="11">
        <f>VALUE(_xlfn.XLOOKUP($G93,LatestData!$A$17:$A$89,LatestData!N$17:N$89))</f>
        <v/>
      </c>
      <c r="S93" s="21">
        <f>_xlfn.XLOOKUP($G93,LatestData!$A$17:$A$89,LatestData!O$17:O$89)</f>
        <v/>
      </c>
      <c r="T93" s="11">
        <f>VALUE(_xlfn.XLOOKUP($G93,LatestData!$A$17:$A$89,LatestData!P$17:P$89))</f>
        <v/>
      </c>
      <c r="U93" s="11">
        <f>VALUE(_xlfn.XLOOKUP($G93,LatestData!$A$17:$A$89,LatestData!Q$17:Q$89))</f>
        <v/>
      </c>
      <c r="V93" s="11">
        <f>VALUE(_xlfn.XLOOKUP($G93,LatestData!$A$17:$A$89,LatestData!R$17:R$89))</f>
        <v/>
      </c>
      <c r="W93" s="16">
        <f>VALUE(_xlfn.XLOOKUP($G93,LatestData!$A$17:$A$89,LatestData!S$17:S$89)%)</f>
        <v/>
      </c>
      <c r="X93" s="17">
        <f>VALUE(_xlfn.XLOOKUP($G93,LatestData!$A$17:$A$89,LatestData!T$17:T$89))</f>
        <v/>
      </c>
      <c r="Y93" s="17">
        <f>VALUE(_xlfn.XLOOKUP($G93,LatestData!$A$17:$A$89,LatestData!U$17:U$89))</f>
        <v/>
      </c>
      <c r="Z93" s="13">
        <f>IFERROR((Table2[[#This Row],[Open]]-Table2[[#This Row],[PreviousClose]])/Table2[[#This Row],[PreviousClose]],0)</f>
        <v/>
      </c>
      <c r="AA93" s="13">
        <f>IFERROR((Table2[[#This Row],[Price]]-Table2[[#This Row],[Open]])/Table2[[#This Row],[Open]],0)</f>
        <v/>
      </c>
      <c r="AB93" s="11">
        <f>Table2[[#This Row],[Price]]-Table2[[#This Row],[PreviousClose]]</f>
        <v/>
      </c>
    </row>
    <row r="94" ht="21" customHeight="1">
      <c r="E94" s="7" t="inlineStr">
        <is>
          <t>GS</t>
        </is>
      </c>
      <c r="G94">
        <f>IF(OR(LEFT(E94,3)="SAF",LEFT(E94,3)="MVE",LEFT(E94,2)="JB"),MID(E94,IF(LEFT(E94,2)="JB",3,4),LEN(E94)-2),E94)&amp;F94</f>
        <v/>
      </c>
      <c r="H94" s="11">
        <f>VALUE(_xlfn.XLOOKUP($G94,LatestData!$A$17:$A$89,LatestData!D$17:D$89))</f>
        <v/>
      </c>
      <c r="I94" s="11">
        <f>VALUE(_xlfn.XLOOKUP($G94,LatestData!$A$17:$A$89,LatestData!E$17:E$89))</f>
        <v/>
      </c>
      <c r="J94" s="11">
        <f>VALUE(_xlfn.XLOOKUP($G94,LatestData!$A$17:$A$89,LatestData!F$17:F$89))</f>
        <v/>
      </c>
      <c r="K94" s="11">
        <f>VALUE(_xlfn.XLOOKUP($G94,LatestData!$A$17:$A$89,LatestData!G$17:G$89))</f>
        <v/>
      </c>
      <c r="L94" s="11">
        <f>VALUE(_xlfn.XLOOKUP($G94,LatestData!$A$17:$A$89,LatestData!H$17:H$89))</f>
        <v/>
      </c>
      <c r="M94" s="11">
        <f>VALUE(_xlfn.XLOOKUP($G94,LatestData!$A$17:$A$89,LatestData!I$17:I$89))</f>
        <v/>
      </c>
      <c r="N94" s="15">
        <f>VALUE(_xlfn.XLOOKUP($G94,LatestData!$A$17:$A$89,LatestData!J$17:J$89))</f>
        <v/>
      </c>
      <c r="O94" s="11">
        <f>VALUE(_xlfn.XLOOKUP($G94,LatestData!$A$17:$A$89,LatestData!K$17:K$89))</f>
        <v/>
      </c>
      <c r="P94" s="11">
        <f>VALUE(_xlfn.XLOOKUP($G94,LatestData!$A$17:$A$89,LatestData!L$17:L$89))</f>
        <v/>
      </c>
      <c r="Q94" s="11">
        <f>VALUE(_xlfn.XLOOKUP($G94,LatestData!$A$17:$A$89,LatestData!M$17:M$89))</f>
        <v/>
      </c>
      <c r="R94" s="11">
        <f>VALUE(_xlfn.XLOOKUP($G94,LatestData!$A$17:$A$89,LatestData!N$17:N$89))</f>
        <v/>
      </c>
      <c r="S94" s="21">
        <f>_xlfn.XLOOKUP($G94,LatestData!$A$17:$A$89,LatestData!O$17:O$89)</f>
        <v/>
      </c>
      <c r="T94" s="11">
        <f>VALUE(_xlfn.XLOOKUP($G94,LatestData!$A$17:$A$89,LatestData!P$17:P$89))</f>
        <v/>
      </c>
      <c r="U94" s="11">
        <f>VALUE(_xlfn.XLOOKUP($G94,LatestData!$A$17:$A$89,LatestData!Q$17:Q$89))</f>
        <v/>
      </c>
      <c r="V94" s="11">
        <f>VALUE(_xlfn.XLOOKUP($G94,LatestData!$A$17:$A$89,LatestData!R$17:R$89))</f>
        <v/>
      </c>
      <c r="W94" s="16">
        <f>VALUE(_xlfn.XLOOKUP($G94,LatestData!$A$17:$A$89,LatestData!S$17:S$89)%)</f>
        <v/>
      </c>
      <c r="X94" s="17">
        <f>VALUE(_xlfn.XLOOKUP($G94,LatestData!$A$17:$A$89,LatestData!T$17:T$89))</f>
        <v/>
      </c>
      <c r="Y94" s="17">
        <f>VALUE(_xlfn.XLOOKUP($G94,LatestData!$A$17:$A$89,LatestData!U$17:U$89))</f>
        <v/>
      </c>
      <c r="Z94" s="13">
        <f>IFERROR((Table2[[#This Row],[Open]]-Table2[[#This Row],[PreviousClose]])/Table2[[#This Row],[PreviousClose]],0)</f>
        <v/>
      </c>
      <c r="AA94" s="13">
        <f>IFERROR((Table2[[#This Row],[Price]]-Table2[[#This Row],[Open]])/Table2[[#This Row],[Open]],0)</f>
        <v/>
      </c>
      <c r="AB94" s="11">
        <f>Table2[[#This Row],[Price]]-Table2[[#This Row],[PreviousClose]]</f>
        <v/>
      </c>
    </row>
    <row r="95" ht="21" customHeight="1">
      <c r="E95" s="6" t="inlineStr">
        <is>
          <t>LAZRQ</t>
        </is>
      </c>
      <c r="G95">
        <f>IF(OR(LEFT(E95,3)="SAF",LEFT(E95,3)="MVE",LEFT(E95,2)="JB"),MID(E95,IF(LEFT(E95,2)="JB",3,4),LEN(E95)-2),E95)&amp;F95</f>
        <v/>
      </c>
      <c r="H95" s="11">
        <f>VALUE(_xlfn.XLOOKUP($G95,LatestData!$A$17:$A$89,LatestData!D$17:D$89))</f>
        <v/>
      </c>
      <c r="I95" s="11">
        <f>VALUE(_xlfn.XLOOKUP($G95,LatestData!$A$17:$A$89,LatestData!E$17:E$89))</f>
        <v/>
      </c>
      <c r="J95" s="11">
        <f>VALUE(_xlfn.XLOOKUP($G95,LatestData!$A$17:$A$89,LatestData!F$17:F$89))</f>
        <v/>
      </c>
      <c r="K95" s="11">
        <f>VALUE(_xlfn.XLOOKUP($G95,LatestData!$A$17:$A$89,LatestData!G$17:G$89))</f>
        <v/>
      </c>
      <c r="L95" s="11">
        <f>VALUE(_xlfn.XLOOKUP($G95,LatestData!$A$17:$A$89,LatestData!H$17:H$89))</f>
        <v/>
      </c>
      <c r="M95" s="11">
        <f>VALUE(_xlfn.XLOOKUP($G95,LatestData!$A$17:$A$89,LatestData!I$17:I$89))</f>
        <v/>
      </c>
      <c r="N95" s="15">
        <f>VALUE(_xlfn.XLOOKUP($G95,LatestData!$A$17:$A$89,LatestData!J$17:J$89))</f>
        <v/>
      </c>
      <c r="O95" s="11">
        <f>VALUE(_xlfn.XLOOKUP($G95,LatestData!$A$17:$A$89,LatestData!K$17:K$89))</f>
        <v/>
      </c>
      <c r="P95" s="11">
        <f>VALUE(_xlfn.XLOOKUP($G95,LatestData!$A$17:$A$89,LatestData!L$17:L$89))</f>
        <v/>
      </c>
      <c r="Q95" s="11">
        <f>VALUE(_xlfn.XLOOKUP($G95,LatestData!$A$17:$A$89,LatestData!M$17:M$89))</f>
        <v/>
      </c>
      <c r="R95" s="11">
        <f>VALUE(_xlfn.XLOOKUP($G95,LatestData!$A$17:$A$89,LatestData!N$17:N$89))</f>
        <v/>
      </c>
      <c r="S95" s="21">
        <f>_xlfn.XLOOKUP($G95,LatestData!$A$17:$A$89,LatestData!O$17:O$89)</f>
        <v/>
      </c>
      <c r="T95" s="11">
        <f>VALUE(_xlfn.XLOOKUP($G95,LatestData!$A$17:$A$89,LatestData!P$17:P$89))</f>
        <v/>
      </c>
      <c r="U95" s="11">
        <f>VALUE(_xlfn.XLOOKUP($G95,LatestData!$A$17:$A$89,LatestData!Q$17:Q$89))</f>
        <v/>
      </c>
      <c r="V95" s="11">
        <f>VALUE(_xlfn.XLOOKUP($G95,LatestData!$A$17:$A$89,LatestData!R$17:R$89))</f>
        <v/>
      </c>
      <c r="W95" s="16">
        <f>VALUE(_xlfn.XLOOKUP($G95,LatestData!$A$17:$A$89,LatestData!S$17:S$89)%)</f>
        <v/>
      </c>
      <c r="X95" s="17">
        <f>VALUE(_xlfn.XLOOKUP($G95,LatestData!$A$17:$A$89,LatestData!T$17:T$89))</f>
        <v/>
      </c>
      <c r="Y95" s="17">
        <f>VALUE(_xlfn.XLOOKUP($G95,LatestData!$A$17:$A$89,LatestData!U$17:U$89))</f>
        <v/>
      </c>
      <c r="Z95" s="13">
        <f>IFERROR((Table2[[#This Row],[Open]]-Table2[[#This Row],[PreviousClose]])/Table2[[#This Row],[PreviousClose]],0)</f>
        <v/>
      </c>
      <c r="AA95" s="13">
        <f>IFERROR((Table2[[#This Row],[Price]]-Table2[[#This Row],[Open]])/Table2[[#This Row],[Open]],0)</f>
        <v/>
      </c>
      <c r="AB95" s="11">
        <f>Table2[[#This Row],[Price]]-Table2[[#This Row],[PreviousClose]]</f>
        <v/>
      </c>
    </row>
    <row r="96" ht="21" customHeight="1">
      <c r="E96" s="7" t="inlineStr">
        <is>
          <t>LUV</t>
        </is>
      </c>
      <c r="G96">
        <f>IF(OR(LEFT(E96,3)="SAF",LEFT(E96,3)="MVE",LEFT(E96,2)="JB"),MID(E96,IF(LEFT(E96,2)="JB",3,4),LEN(E96)-2),E96)&amp;F96</f>
        <v/>
      </c>
      <c r="H96" s="11">
        <f>VALUE(_xlfn.XLOOKUP($G96,LatestData!$A$17:$A$89,LatestData!D$17:D$89))</f>
        <v/>
      </c>
      <c r="I96" s="11">
        <f>VALUE(_xlfn.XLOOKUP($G96,LatestData!$A$17:$A$89,LatestData!E$17:E$89))</f>
        <v/>
      </c>
      <c r="J96" s="11">
        <f>VALUE(_xlfn.XLOOKUP($G96,LatestData!$A$17:$A$89,LatestData!F$17:F$89))</f>
        <v/>
      </c>
      <c r="K96" s="11">
        <f>VALUE(_xlfn.XLOOKUP($G96,LatestData!$A$17:$A$89,LatestData!G$17:G$89))</f>
        <v/>
      </c>
      <c r="L96" s="11">
        <f>VALUE(_xlfn.XLOOKUP($G96,LatestData!$A$17:$A$89,LatestData!H$17:H$89))</f>
        <v/>
      </c>
      <c r="M96" s="11">
        <f>VALUE(_xlfn.XLOOKUP($G96,LatestData!$A$17:$A$89,LatestData!I$17:I$89))</f>
        <v/>
      </c>
      <c r="N96" s="15">
        <f>VALUE(_xlfn.XLOOKUP($G96,LatestData!$A$17:$A$89,LatestData!J$17:J$89))</f>
        <v/>
      </c>
      <c r="O96" s="11">
        <f>VALUE(_xlfn.XLOOKUP($G96,LatestData!$A$17:$A$89,LatestData!K$17:K$89))</f>
        <v/>
      </c>
      <c r="P96" s="11">
        <f>VALUE(_xlfn.XLOOKUP($G96,LatestData!$A$17:$A$89,LatestData!L$17:L$89))</f>
        <v/>
      </c>
      <c r="Q96" s="11">
        <f>VALUE(_xlfn.XLOOKUP($G96,LatestData!$A$17:$A$89,LatestData!M$17:M$89))</f>
        <v/>
      </c>
      <c r="R96" s="11">
        <f>VALUE(_xlfn.XLOOKUP($G96,LatestData!$A$17:$A$89,LatestData!N$17:N$89))</f>
        <v/>
      </c>
      <c r="S96" s="21">
        <f>_xlfn.XLOOKUP($G96,LatestData!$A$17:$A$89,LatestData!O$17:O$89)</f>
        <v/>
      </c>
      <c r="T96" s="11">
        <f>VALUE(_xlfn.XLOOKUP($G96,LatestData!$A$17:$A$89,LatestData!P$17:P$89))</f>
        <v/>
      </c>
      <c r="U96" s="11">
        <f>VALUE(_xlfn.XLOOKUP($G96,LatestData!$A$17:$A$89,LatestData!Q$17:Q$89))</f>
        <v/>
      </c>
      <c r="V96" s="11">
        <f>VALUE(_xlfn.XLOOKUP($G96,LatestData!$A$17:$A$89,LatestData!R$17:R$89))</f>
        <v/>
      </c>
      <c r="W96" s="16">
        <f>VALUE(_xlfn.XLOOKUP($G96,LatestData!$A$17:$A$89,LatestData!S$17:S$89)%)</f>
        <v/>
      </c>
      <c r="X96" s="17">
        <f>VALUE(_xlfn.XLOOKUP($G96,LatestData!$A$17:$A$89,LatestData!T$17:T$89))</f>
        <v/>
      </c>
      <c r="Y96" s="17">
        <f>VALUE(_xlfn.XLOOKUP($G96,LatestData!$A$17:$A$89,LatestData!U$17:U$89))</f>
        <v/>
      </c>
      <c r="Z96" s="13">
        <f>IFERROR((Table2[[#This Row],[Open]]-Table2[[#This Row],[PreviousClose]])/Table2[[#This Row],[PreviousClose]],0)</f>
        <v/>
      </c>
      <c r="AA96" s="13">
        <f>IFERROR((Table2[[#This Row],[Price]]-Table2[[#This Row],[Open]])/Table2[[#This Row],[Open]],0)</f>
        <v/>
      </c>
      <c r="AB96" s="11">
        <f>Table2[[#This Row],[Price]]-Table2[[#This Row],[PreviousClose]]</f>
        <v/>
      </c>
    </row>
    <row r="97" ht="21" customHeight="1">
      <c r="E97" s="6" t="inlineStr">
        <is>
          <t>MA</t>
        </is>
      </c>
      <c r="G97">
        <f>IF(OR(LEFT(E97,3)="SAF",LEFT(E97,3)="MVE",LEFT(E97,2)="JB"),MID(E97,IF(LEFT(E97,2)="JB",3,4),LEN(E97)-2),E97)&amp;F97</f>
        <v/>
      </c>
      <c r="H97" s="11">
        <f>VALUE(_xlfn.XLOOKUP($G97,LatestData!$A$17:$A$89,LatestData!D$17:D$89))</f>
        <v/>
      </c>
      <c r="I97" s="11">
        <f>VALUE(_xlfn.XLOOKUP($G97,LatestData!$A$17:$A$89,LatestData!E$17:E$89))</f>
        <v/>
      </c>
      <c r="J97" s="11">
        <f>VALUE(_xlfn.XLOOKUP($G97,LatestData!$A$17:$A$89,LatestData!F$17:F$89))</f>
        <v/>
      </c>
      <c r="K97" s="11">
        <f>VALUE(_xlfn.XLOOKUP($G97,LatestData!$A$17:$A$89,LatestData!G$17:G$89))</f>
        <v/>
      </c>
      <c r="L97" s="11">
        <f>VALUE(_xlfn.XLOOKUP($G97,LatestData!$A$17:$A$89,LatestData!H$17:H$89))</f>
        <v/>
      </c>
      <c r="M97" s="11">
        <f>VALUE(_xlfn.XLOOKUP($G97,LatestData!$A$17:$A$89,LatestData!I$17:I$89))</f>
        <v/>
      </c>
      <c r="N97" s="15">
        <f>VALUE(_xlfn.XLOOKUP($G97,LatestData!$A$17:$A$89,LatestData!J$17:J$89))</f>
        <v/>
      </c>
      <c r="O97" s="11">
        <f>VALUE(_xlfn.XLOOKUP($G97,LatestData!$A$17:$A$89,LatestData!K$17:K$89))</f>
        <v/>
      </c>
      <c r="P97" s="11">
        <f>VALUE(_xlfn.XLOOKUP($G97,LatestData!$A$17:$A$89,LatestData!L$17:L$89))</f>
        <v/>
      </c>
      <c r="Q97" s="11">
        <f>VALUE(_xlfn.XLOOKUP($G97,LatestData!$A$17:$A$89,LatestData!M$17:M$89))</f>
        <v/>
      </c>
      <c r="R97" s="11">
        <f>VALUE(_xlfn.XLOOKUP($G97,LatestData!$A$17:$A$89,LatestData!N$17:N$89))</f>
        <v/>
      </c>
      <c r="S97" s="21">
        <f>_xlfn.XLOOKUP($G97,LatestData!$A$17:$A$89,LatestData!O$17:O$89)</f>
        <v/>
      </c>
      <c r="T97" s="11">
        <f>VALUE(_xlfn.XLOOKUP($G97,LatestData!$A$17:$A$89,LatestData!P$17:P$89))</f>
        <v/>
      </c>
      <c r="U97" s="11">
        <f>VALUE(_xlfn.XLOOKUP($G97,LatestData!$A$17:$A$89,LatestData!Q$17:Q$89))</f>
        <v/>
      </c>
      <c r="V97" s="11">
        <f>VALUE(_xlfn.XLOOKUP($G97,LatestData!$A$17:$A$89,LatestData!R$17:R$89))</f>
        <v/>
      </c>
      <c r="W97" s="16">
        <f>VALUE(_xlfn.XLOOKUP($G97,LatestData!$A$17:$A$89,LatestData!S$17:S$89)%)</f>
        <v/>
      </c>
      <c r="X97" s="17">
        <f>VALUE(_xlfn.XLOOKUP($G97,LatestData!$A$17:$A$89,LatestData!T$17:T$89))</f>
        <v/>
      </c>
      <c r="Y97" s="17">
        <f>VALUE(_xlfn.XLOOKUP($G97,LatestData!$A$17:$A$89,LatestData!U$17:U$89))</f>
        <v/>
      </c>
      <c r="Z97" s="13">
        <f>IFERROR((Table2[[#This Row],[Open]]-Table2[[#This Row],[PreviousClose]])/Table2[[#This Row],[PreviousClose]],0)</f>
        <v/>
      </c>
      <c r="AA97" s="13">
        <f>IFERROR((Table2[[#This Row],[Price]]-Table2[[#This Row],[Open]])/Table2[[#This Row],[Open]],0)</f>
        <v/>
      </c>
      <c r="AB97" s="11">
        <f>Table2[[#This Row],[Price]]-Table2[[#This Row],[PreviousClose]]</f>
        <v/>
      </c>
    </row>
    <row r="98" ht="21" customHeight="1">
      <c r="E98" s="7" t="inlineStr">
        <is>
          <t>NVAX</t>
        </is>
      </c>
      <c r="G98">
        <f>IF(OR(LEFT(E98,3)="SAF",LEFT(E98,3)="MVE",LEFT(E98,2)="JB"),MID(E98,IF(LEFT(E98,2)="JB",3,4),LEN(E98)-2),E98)&amp;F98</f>
        <v/>
      </c>
      <c r="H98" s="11">
        <f>VALUE(_xlfn.XLOOKUP($G98,LatestData!$A$17:$A$89,LatestData!D$17:D$89))</f>
        <v/>
      </c>
      <c r="I98" s="11">
        <f>VALUE(_xlfn.XLOOKUP($G98,LatestData!$A$17:$A$89,LatestData!E$17:E$89))</f>
        <v/>
      </c>
      <c r="J98" s="11">
        <f>VALUE(_xlfn.XLOOKUP($G98,LatestData!$A$17:$A$89,LatestData!F$17:F$89))</f>
        <v/>
      </c>
      <c r="K98" s="11">
        <f>VALUE(_xlfn.XLOOKUP($G98,LatestData!$A$17:$A$89,LatestData!G$17:G$89))</f>
        <v/>
      </c>
      <c r="L98" s="11">
        <f>VALUE(_xlfn.XLOOKUP($G98,LatestData!$A$17:$A$89,LatestData!H$17:H$89))</f>
        <v/>
      </c>
      <c r="M98" s="11">
        <f>VALUE(_xlfn.XLOOKUP($G98,LatestData!$A$17:$A$89,LatestData!I$17:I$89))</f>
        <v/>
      </c>
      <c r="N98" s="15">
        <f>VALUE(_xlfn.XLOOKUP($G98,LatestData!$A$17:$A$89,LatestData!J$17:J$89))</f>
        <v/>
      </c>
      <c r="O98" s="11">
        <f>VALUE(_xlfn.XLOOKUP($G98,LatestData!$A$17:$A$89,LatestData!K$17:K$89))</f>
        <v/>
      </c>
      <c r="P98" s="11">
        <f>VALUE(_xlfn.XLOOKUP($G98,LatestData!$A$17:$A$89,LatestData!L$17:L$89))</f>
        <v/>
      </c>
      <c r="Q98" s="11">
        <f>VALUE(_xlfn.XLOOKUP($G98,LatestData!$A$17:$A$89,LatestData!M$17:M$89))</f>
        <v/>
      </c>
      <c r="R98" s="11">
        <f>VALUE(_xlfn.XLOOKUP($G98,LatestData!$A$17:$A$89,LatestData!N$17:N$89))</f>
        <v/>
      </c>
      <c r="S98" s="21">
        <f>_xlfn.XLOOKUP($G98,LatestData!$A$17:$A$89,LatestData!O$17:O$89)</f>
        <v/>
      </c>
      <c r="T98" s="11">
        <f>VALUE(_xlfn.XLOOKUP($G98,LatestData!$A$17:$A$89,LatestData!P$17:P$89))</f>
        <v/>
      </c>
      <c r="U98" s="11">
        <f>VALUE(_xlfn.XLOOKUP($G98,LatestData!$A$17:$A$89,LatestData!Q$17:Q$89))</f>
        <v/>
      </c>
      <c r="V98" s="11">
        <f>VALUE(_xlfn.XLOOKUP($G98,LatestData!$A$17:$A$89,LatestData!R$17:R$89))</f>
        <v/>
      </c>
      <c r="W98" s="16">
        <f>VALUE(_xlfn.XLOOKUP($G98,LatestData!$A$17:$A$89,LatestData!S$17:S$89)%)</f>
        <v/>
      </c>
      <c r="X98" s="17">
        <f>VALUE(_xlfn.XLOOKUP($G98,LatestData!$A$17:$A$89,LatestData!T$17:T$89))</f>
        <v/>
      </c>
      <c r="Y98" s="17">
        <f>VALUE(_xlfn.XLOOKUP($G98,LatestData!$A$17:$A$89,LatestData!U$17:U$89))</f>
        <v/>
      </c>
      <c r="Z98" s="13">
        <f>IFERROR((Table2[[#This Row],[Open]]-Table2[[#This Row],[PreviousClose]])/Table2[[#This Row],[PreviousClose]],0)</f>
        <v/>
      </c>
      <c r="AA98" s="13">
        <f>IFERROR((Table2[[#This Row],[Price]]-Table2[[#This Row],[Open]])/Table2[[#This Row],[Open]],0)</f>
        <v/>
      </c>
      <c r="AB98" s="11">
        <f>Table2[[#This Row],[Price]]-Table2[[#This Row],[PreviousClose]]</f>
        <v/>
      </c>
    </row>
    <row r="99" ht="21" customHeight="1">
      <c r="E99" s="6" t="inlineStr">
        <is>
          <t>NVS</t>
        </is>
      </c>
      <c r="G99">
        <f>IF(OR(LEFT(E99,3)="SAF",LEFT(E99,3)="MVE",LEFT(E99,2)="JB"),MID(E99,IF(LEFT(E99,2)="JB",3,4),LEN(E99)-2),E99)&amp;F99</f>
        <v/>
      </c>
      <c r="H99" s="11">
        <f>VALUE(_xlfn.XLOOKUP($G99,LatestData!$A$17:$A$89,LatestData!D$17:D$89))</f>
        <v/>
      </c>
      <c r="I99" s="11">
        <f>VALUE(_xlfn.XLOOKUP($G99,LatestData!$A$17:$A$89,LatestData!E$17:E$89))</f>
        <v/>
      </c>
      <c r="J99" s="11">
        <f>VALUE(_xlfn.XLOOKUP($G99,LatestData!$A$17:$A$89,LatestData!F$17:F$89))</f>
        <v/>
      </c>
      <c r="K99" s="11">
        <f>VALUE(_xlfn.XLOOKUP($G99,LatestData!$A$17:$A$89,LatestData!G$17:G$89))</f>
        <v/>
      </c>
      <c r="L99" s="11">
        <f>VALUE(_xlfn.XLOOKUP($G99,LatestData!$A$17:$A$89,LatestData!H$17:H$89))</f>
        <v/>
      </c>
      <c r="M99" s="11">
        <f>VALUE(_xlfn.XLOOKUP($G99,LatestData!$A$17:$A$89,LatestData!I$17:I$89))</f>
        <v/>
      </c>
      <c r="N99" s="15">
        <f>VALUE(_xlfn.XLOOKUP($G99,LatestData!$A$17:$A$89,LatestData!J$17:J$89))</f>
        <v/>
      </c>
      <c r="O99" s="11">
        <f>VALUE(_xlfn.XLOOKUP($G99,LatestData!$A$17:$A$89,LatestData!K$17:K$89))</f>
        <v/>
      </c>
      <c r="P99" s="11">
        <f>VALUE(_xlfn.XLOOKUP($G99,LatestData!$A$17:$A$89,LatestData!L$17:L$89))</f>
        <v/>
      </c>
      <c r="Q99" s="11">
        <f>VALUE(_xlfn.XLOOKUP($G99,LatestData!$A$17:$A$89,LatestData!M$17:M$89))</f>
        <v/>
      </c>
      <c r="R99" s="11">
        <f>VALUE(_xlfn.XLOOKUP($G99,LatestData!$A$17:$A$89,LatestData!N$17:N$89))</f>
        <v/>
      </c>
      <c r="S99" s="21">
        <f>_xlfn.XLOOKUP($G99,LatestData!$A$17:$A$89,LatestData!O$17:O$89)</f>
        <v/>
      </c>
      <c r="T99" s="11">
        <f>VALUE(_xlfn.XLOOKUP($G99,LatestData!$A$17:$A$89,LatestData!P$17:P$89))</f>
        <v/>
      </c>
      <c r="U99" s="11">
        <f>VALUE(_xlfn.XLOOKUP($G99,LatestData!$A$17:$A$89,LatestData!Q$17:Q$89))</f>
        <v/>
      </c>
      <c r="V99" s="11">
        <f>VALUE(_xlfn.XLOOKUP($G99,LatestData!$A$17:$A$89,LatestData!R$17:R$89))</f>
        <v/>
      </c>
      <c r="W99" s="16">
        <f>VALUE(_xlfn.XLOOKUP($G99,LatestData!$A$17:$A$89,LatestData!S$17:S$89)%)</f>
        <v/>
      </c>
      <c r="X99" s="17">
        <f>VALUE(_xlfn.XLOOKUP($G99,LatestData!$A$17:$A$89,LatestData!T$17:T$89))</f>
        <v/>
      </c>
      <c r="Y99" s="17">
        <f>VALUE(_xlfn.XLOOKUP($G99,LatestData!$A$17:$A$89,LatestData!U$17:U$89))</f>
        <v/>
      </c>
      <c r="Z99" s="13">
        <f>IFERROR((Table2[[#This Row],[Open]]-Table2[[#This Row],[PreviousClose]])/Table2[[#This Row],[PreviousClose]],0)</f>
        <v/>
      </c>
      <c r="AA99" s="13">
        <f>IFERROR((Table2[[#This Row],[Price]]-Table2[[#This Row],[Open]])/Table2[[#This Row],[Open]],0)</f>
        <v/>
      </c>
      <c r="AB99" s="11">
        <f>Table2[[#This Row],[Price]]-Table2[[#This Row],[PreviousClose]]</f>
        <v/>
      </c>
    </row>
    <row r="100" ht="21" customHeight="1">
      <c r="E100" s="7" t="inlineStr">
        <is>
          <t>ORA</t>
        </is>
      </c>
      <c r="F100" t="inlineStr">
        <is>
          <t>.PA</t>
        </is>
      </c>
      <c r="G100">
        <f>IF(OR(LEFT(E100,3)="SAF",LEFT(E100,3)="MVE",LEFT(E100,2)="JB"),MID(E100,IF(LEFT(E100,2)="JB",3,4),LEN(E100)-2),E100)&amp;F100</f>
        <v/>
      </c>
      <c r="H100" s="11">
        <f>VALUE(_xlfn.XLOOKUP($G100,LatestData!$A$17:$A$89,LatestData!D$17:D$89))</f>
        <v/>
      </c>
      <c r="I100" s="11">
        <f>VALUE(_xlfn.XLOOKUP($G100,LatestData!$A$17:$A$89,LatestData!E$17:E$89))</f>
        <v/>
      </c>
      <c r="J100" s="11">
        <f>VALUE(_xlfn.XLOOKUP($G100,LatestData!$A$17:$A$89,LatestData!F$17:F$89))</f>
        <v/>
      </c>
      <c r="K100" s="11">
        <f>VALUE(_xlfn.XLOOKUP($G100,LatestData!$A$17:$A$89,LatestData!G$17:G$89))</f>
        <v/>
      </c>
      <c r="L100" s="11">
        <f>VALUE(_xlfn.XLOOKUP($G100,LatestData!$A$17:$A$89,LatestData!H$17:H$89))</f>
        <v/>
      </c>
      <c r="M100" s="11">
        <f>VALUE(_xlfn.XLOOKUP($G100,LatestData!$A$17:$A$89,LatestData!I$17:I$89))</f>
        <v/>
      </c>
      <c r="N100" s="15">
        <f>VALUE(_xlfn.XLOOKUP($G100,LatestData!$A$17:$A$89,LatestData!J$17:J$89))</f>
        <v/>
      </c>
      <c r="O100" s="11">
        <f>VALUE(_xlfn.XLOOKUP($G100,LatestData!$A$17:$A$89,LatestData!K$17:K$89))</f>
        <v/>
      </c>
      <c r="P100" s="11">
        <f>VALUE(_xlfn.XLOOKUP($G100,LatestData!$A$17:$A$89,LatestData!L$17:L$89))</f>
        <v/>
      </c>
      <c r="Q100" s="11">
        <f>VALUE(_xlfn.XLOOKUP($G100,LatestData!$A$17:$A$89,LatestData!M$17:M$89))</f>
        <v/>
      </c>
      <c r="R100" s="11">
        <f>VALUE(_xlfn.XLOOKUP($G100,LatestData!$A$17:$A$89,LatestData!N$17:N$89))</f>
        <v/>
      </c>
      <c r="S100" s="21">
        <f>_xlfn.XLOOKUP($G100,LatestData!$A$17:$A$89,LatestData!O$17:O$89)</f>
        <v/>
      </c>
      <c r="T100" s="11">
        <f>VALUE(_xlfn.XLOOKUP($G100,LatestData!$A$17:$A$89,LatestData!P$17:P$89))</f>
        <v/>
      </c>
      <c r="U100" s="11">
        <f>VALUE(_xlfn.XLOOKUP($G100,LatestData!$A$17:$A$89,LatestData!Q$17:Q$89))</f>
        <v/>
      </c>
      <c r="V100" s="11">
        <f>VALUE(_xlfn.XLOOKUP($G100,LatestData!$A$17:$A$89,LatestData!R$17:R$89))</f>
        <v/>
      </c>
      <c r="W100" s="16">
        <f>VALUE(_xlfn.XLOOKUP($G100,LatestData!$A$17:$A$89,LatestData!S$17:S$89)%)</f>
        <v/>
      </c>
      <c r="X100" s="17">
        <f>VALUE(_xlfn.XLOOKUP($G100,LatestData!$A$17:$A$89,LatestData!T$17:T$89))</f>
        <v/>
      </c>
      <c r="Y100" s="17">
        <f>VALUE(_xlfn.XLOOKUP($G100,LatestData!$A$17:$A$89,LatestData!U$17:U$89))</f>
        <v/>
      </c>
      <c r="Z100" s="13">
        <f>IFERROR((Table2[[#This Row],[Open]]-Table2[[#This Row],[PreviousClose]])/Table2[[#This Row],[PreviousClose]],0)</f>
        <v/>
      </c>
      <c r="AA100" s="13">
        <f>IFERROR((Table2[[#This Row],[Price]]-Table2[[#This Row],[Open]])/Table2[[#This Row],[Open]],0)</f>
        <v/>
      </c>
      <c r="AB100" s="11">
        <f>Table2[[#This Row],[Price]]-Table2[[#This Row],[PreviousClose]]</f>
        <v/>
      </c>
    </row>
    <row r="101" ht="21" customHeight="1">
      <c r="E101" s="6" t="inlineStr">
        <is>
          <t>OXY</t>
        </is>
      </c>
      <c r="G101">
        <f>IF(OR(LEFT(E101,3)="SAF",LEFT(E101,3)="MVE",LEFT(E101,2)="JB"),MID(E101,IF(LEFT(E101,2)="JB",3,4),LEN(E101)-2),E101)&amp;F101</f>
        <v/>
      </c>
      <c r="H101" s="11">
        <f>VALUE(_xlfn.XLOOKUP($G101,LatestData!$A$17:$A$89,LatestData!D$17:D$89))</f>
        <v/>
      </c>
      <c r="I101" s="11">
        <f>VALUE(_xlfn.XLOOKUP($G101,LatestData!$A$17:$A$89,LatestData!E$17:E$89))</f>
        <v/>
      </c>
      <c r="J101" s="11">
        <f>VALUE(_xlfn.XLOOKUP($G101,LatestData!$A$17:$A$89,LatestData!F$17:F$89))</f>
        <v/>
      </c>
      <c r="K101" s="11">
        <f>VALUE(_xlfn.XLOOKUP($G101,LatestData!$A$17:$A$89,LatestData!G$17:G$89))</f>
        <v/>
      </c>
      <c r="L101" s="11">
        <f>VALUE(_xlfn.XLOOKUP($G101,LatestData!$A$17:$A$89,LatestData!H$17:H$89))</f>
        <v/>
      </c>
      <c r="M101" s="11">
        <f>VALUE(_xlfn.XLOOKUP($G101,LatestData!$A$17:$A$89,LatestData!I$17:I$89))</f>
        <v/>
      </c>
      <c r="N101" s="15">
        <f>VALUE(_xlfn.XLOOKUP($G101,LatestData!$A$17:$A$89,LatestData!J$17:J$89))</f>
        <v/>
      </c>
      <c r="O101" s="11">
        <f>VALUE(_xlfn.XLOOKUP($G101,LatestData!$A$17:$A$89,LatestData!K$17:K$89))</f>
        <v/>
      </c>
      <c r="P101" s="11">
        <f>VALUE(_xlfn.XLOOKUP($G101,LatestData!$A$17:$A$89,LatestData!L$17:L$89))</f>
        <v/>
      </c>
      <c r="Q101" s="11">
        <f>VALUE(_xlfn.XLOOKUP($G101,LatestData!$A$17:$A$89,LatestData!M$17:M$89))</f>
        <v/>
      </c>
      <c r="R101" s="11">
        <f>VALUE(_xlfn.XLOOKUP($G101,LatestData!$A$17:$A$89,LatestData!N$17:N$89))</f>
        <v/>
      </c>
      <c r="S101" s="21">
        <f>_xlfn.XLOOKUP($G101,LatestData!$A$17:$A$89,LatestData!O$17:O$89)</f>
        <v/>
      </c>
      <c r="T101" s="11">
        <f>VALUE(_xlfn.XLOOKUP($G101,LatestData!$A$17:$A$89,LatestData!P$17:P$89))</f>
        <v/>
      </c>
      <c r="U101" s="11">
        <f>VALUE(_xlfn.XLOOKUP($G101,LatestData!$A$17:$A$89,LatestData!Q$17:Q$89))</f>
        <v/>
      </c>
      <c r="V101" s="11">
        <f>VALUE(_xlfn.XLOOKUP($G101,LatestData!$A$17:$A$89,LatestData!R$17:R$89))</f>
        <v/>
      </c>
      <c r="W101" s="16">
        <f>VALUE(_xlfn.XLOOKUP($G101,LatestData!$A$17:$A$89,LatestData!S$17:S$89)%)</f>
        <v/>
      </c>
      <c r="X101" s="17">
        <f>VALUE(_xlfn.XLOOKUP($G101,LatestData!$A$17:$A$89,LatestData!T$17:T$89))</f>
        <v/>
      </c>
      <c r="Y101" s="17">
        <f>VALUE(_xlfn.XLOOKUP($G101,LatestData!$A$17:$A$89,LatestData!U$17:U$89))</f>
        <v/>
      </c>
      <c r="Z101" s="13">
        <f>IFERROR((Table2[[#This Row],[Open]]-Table2[[#This Row],[PreviousClose]])/Table2[[#This Row],[PreviousClose]],0)</f>
        <v/>
      </c>
      <c r="AA101" s="13">
        <f>IFERROR((Table2[[#This Row],[Price]]-Table2[[#This Row],[Open]])/Table2[[#This Row],[Open]],0)</f>
        <v/>
      </c>
      <c r="AB101" s="11">
        <f>Table2[[#This Row],[Price]]-Table2[[#This Row],[PreviousClose]]</f>
        <v/>
      </c>
    </row>
    <row r="102" ht="21" customHeight="1">
      <c r="E102" s="7" t="inlineStr">
        <is>
          <t>PFE</t>
        </is>
      </c>
      <c r="G102">
        <f>IF(OR(LEFT(E102,3)="SAF",LEFT(E102,3)="MVE",LEFT(E102,2)="JB"),MID(E102,IF(LEFT(E102,2)="JB",3,4),LEN(E102)-2),E102)&amp;F102</f>
        <v/>
      </c>
      <c r="H102" s="11">
        <f>VALUE(_xlfn.XLOOKUP($G102,LatestData!$A$17:$A$89,LatestData!D$17:D$89))</f>
        <v/>
      </c>
      <c r="I102" s="11">
        <f>VALUE(_xlfn.XLOOKUP($G102,LatestData!$A$17:$A$89,LatestData!E$17:E$89))</f>
        <v/>
      </c>
      <c r="J102" s="11">
        <f>VALUE(_xlfn.XLOOKUP($G102,LatestData!$A$17:$A$89,LatestData!F$17:F$89))</f>
        <v/>
      </c>
      <c r="K102" s="11">
        <f>VALUE(_xlfn.XLOOKUP($G102,LatestData!$A$17:$A$89,LatestData!G$17:G$89))</f>
        <v/>
      </c>
      <c r="L102" s="11">
        <f>VALUE(_xlfn.XLOOKUP($G102,LatestData!$A$17:$A$89,LatestData!H$17:H$89))</f>
        <v/>
      </c>
      <c r="M102" s="11">
        <f>VALUE(_xlfn.XLOOKUP($G102,LatestData!$A$17:$A$89,LatestData!I$17:I$89))</f>
        <v/>
      </c>
      <c r="N102" s="15">
        <f>VALUE(_xlfn.XLOOKUP($G102,LatestData!$A$17:$A$89,LatestData!J$17:J$89))</f>
        <v/>
      </c>
      <c r="O102" s="11">
        <f>VALUE(_xlfn.XLOOKUP($G102,LatestData!$A$17:$A$89,LatestData!K$17:K$89))</f>
        <v/>
      </c>
      <c r="P102" s="11">
        <f>VALUE(_xlfn.XLOOKUP($G102,LatestData!$A$17:$A$89,LatestData!L$17:L$89))</f>
        <v/>
      </c>
      <c r="Q102" s="11">
        <f>VALUE(_xlfn.XLOOKUP($G102,LatestData!$A$17:$A$89,LatestData!M$17:M$89))</f>
        <v/>
      </c>
      <c r="R102" s="11">
        <f>VALUE(_xlfn.XLOOKUP($G102,LatestData!$A$17:$A$89,LatestData!N$17:N$89))</f>
        <v/>
      </c>
      <c r="S102" s="21">
        <f>_xlfn.XLOOKUP($G102,LatestData!$A$17:$A$89,LatestData!O$17:O$89)</f>
        <v/>
      </c>
      <c r="T102" s="11">
        <f>VALUE(_xlfn.XLOOKUP($G102,LatestData!$A$17:$A$89,LatestData!P$17:P$89))</f>
        <v/>
      </c>
      <c r="U102" s="11">
        <f>VALUE(_xlfn.XLOOKUP($G102,LatestData!$A$17:$A$89,LatestData!Q$17:Q$89))</f>
        <v/>
      </c>
      <c r="V102" s="11">
        <f>VALUE(_xlfn.XLOOKUP($G102,LatestData!$A$17:$A$89,LatestData!R$17:R$89))</f>
        <v/>
      </c>
      <c r="W102" s="16">
        <f>VALUE(_xlfn.XLOOKUP($G102,LatestData!$A$17:$A$89,LatestData!S$17:S$89)%)</f>
        <v/>
      </c>
      <c r="X102" s="17">
        <f>VALUE(_xlfn.XLOOKUP($G102,LatestData!$A$17:$A$89,LatestData!T$17:T$89))</f>
        <v/>
      </c>
      <c r="Y102" s="17">
        <f>VALUE(_xlfn.XLOOKUP($G102,LatestData!$A$17:$A$89,LatestData!U$17:U$89))</f>
        <v/>
      </c>
      <c r="Z102" s="13">
        <f>IFERROR((Table2[[#This Row],[Open]]-Table2[[#This Row],[PreviousClose]])/Table2[[#This Row],[PreviousClose]],0)</f>
        <v/>
      </c>
      <c r="AA102" s="13">
        <f>IFERROR((Table2[[#This Row],[Price]]-Table2[[#This Row],[Open]])/Table2[[#This Row],[Open]],0)</f>
        <v/>
      </c>
      <c r="AB102" s="11">
        <f>Table2[[#This Row],[Price]]-Table2[[#This Row],[PreviousClose]]</f>
        <v/>
      </c>
    </row>
    <row r="103" ht="21" customHeight="1">
      <c r="E103" s="6" t="inlineStr">
        <is>
          <t>RIG</t>
        </is>
      </c>
      <c r="G103">
        <f>IF(OR(LEFT(E103,3)="SAF",LEFT(E103,3)="MVE",LEFT(E103,2)="JB"),MID(E103,IF(LEFT(E103,2)="JB",3,4),LEN(E103)-2),E103)&amp;F103</f>
        <v/>
      </c>
      <c r="H103" s="11">
        <f>VALUE(_xlfn.XLOOKUP($G103,LatestData!$A$17:$A$89,LatestData!D$17:D$89))</f>
        <v/>
      </c>
      <c r="I103" s="11">
        <f>VALUE(_xlfn.XLOOKUP($G103,LatestData!$A$17:$A$89,LatestData!E$17:E$89))</f>
        <v/>
      </c>
      <c r="J103" s="11">
        <f>VALUE(_xlfn.XLOOKUP($G103,LatestData!$A$17:$A$89,LatestData!F$17:F$89))</f>
        <v/>
      </c>
      <c r="K103" s="11">
        <f>VALUE(_xlfn.XLOOKUP($G103,LatestData!$A$17:$A$89,LatestData!G$17:G$89))</f>
        <v/>
      </c>
      <c r="L103" s="11">
        <f>VALUE(_xlfn.XLOOKUP($G103,LatestData!$A$17:$A$89,LatestData!H$17:H$89))</f>
        <v/>
      </c>
      <c r="M103" s="11">
        <f>VALUE(_xlfn.XLOOKUP($G103,LatestData!$A$17:$A$89,LatestData!I$17:I$89))</f>
        <v/>
      </c>
      <c r="N103" s="15">
        <f>VALUE(_xlfn.XLOOKUP($G103,LatestData!$A$17:$A$89,LatestData!J$17:J$89))</f>
        <v/>
      </c>
      <c r="O103" s="11">
        <f>VALUE(_xlfn.XLOOKUP($G103,LatestData!$A$17:$A$89,LatestData!K$17:K$89))</f>
        <v/>
      </c>
      <c r="P103" s="11">
        <f>VALUE(_xlfn.XLOOKUP($G103,LatestData!$A$17:$A$89,LatestData!L$17:L$89))</f>
        <v/>
      </c>
      <c r="Q103" s="11">
        <f>VALUE(_xlfn.XLOOKUP($G103,LatestData!$A$17:$A$89,LatestData!M$17:M$89))</f>
        <v/>
      </c>
      <c r="R103" s="11">
        <f>VALUE(_xlfn.XLOOKUP($G103,LatestData!$A$17:$A$89,LatestData!N$17:N$89))</f>
        <v/>
      </c>
      <c r="S103" s="21">
        <f>_xlfn.XLOOKUP($G103,LatestData!$A$17:$A$89,LatestData!O$17:O$89)</f>
        <v/>
      </c>
      <c r="T103" s="11">
        <f>VALUE(_xlfn.XLOOKUP($G103,LatestData!$A$17:$A$89,LatestData!P$17:P$89))</f>
        <v/>
      </c>
      <c r="U103" s="11">
        <f>VALUE(_xlfn.XLOOKUP($G103,LatestData!$A$17:$A$89,LatestData!Q$17:Q$89))</f>
        <v/>
      </c>
      <c r="V103" s="11">
        <f>VALUE(_xlfn.XLOOKUP($G103,LatestData!$A$17:$A$89,LatestData!R$17:R$89))</f>
        <v/>
      </c>
      <c r="W103" s="16">
        <f>VALUE(_xlfn.XLOOKUP($G103,LatestData!$A$17:$A$89,LatestData!S$17:S$89)%)</f>
        <v/>
      </c>
      <c r="X103" s="17">
        <f>VALUE(_xlfn.XLOOKUP($G103,LatestData!$A$17:$A$89,LatestData!T$17:T$89))</f>
        <v/>
      </c>
      <c r="Y103" s="17">
        <f>VALUE(_xlfn.XLOOKUP($G103,LatestData!$A$17:$A$89,LatestData!U$17:U$89))</f>
        <v/>
      </c>
      <c r="Z103" s="13">
        <f>IFERROR((Table2[[#This Row],[Open]]-Table2[[#This Row],[PreviousClose]])/Table2[[#This Row],[PreviousClose]],0)</f>
        <v/>
      </c>
      <c r="AA103" s="13">
        <f>IFERROR((Table2[[#This Row],[Price]]-Table2[[#This Row],[Open]])/Table2[[#This Row],[Open]],0)</f>
        <v/>
      </c>
      <c r="AB103" s="11">
        <f>Table2[[#This Row],[Price]]-Table2[[#This Row],[PreviousClose]]</f>
        <v/>
      </c>
    </row>
    <row r="104" ht="21" customHeight="1">
      <c r="E104" s="7" t="inlineStr">
        <is>
          <t>RRC</t>
        </is>
      </c>
      <c r="G104">
        <f>IF(OR(LEFT(E104,3)="SAF",LEFT(E104,3)="MVE",LEFT(E104,2)="JB"),MID(E104,IF(LEFT(E104,2)="JB",3,4),LEN(E104)-2),E104)&amp;F104</f>
        <v/>
      </c>
      <c r="H104" s="11">
        <f>VALUE(_xlfn.XLOOKUP($G104,LatestData!$A$17:$A$89,LatestData!D$17:D$89))</f>
        <v/>
      </c>
      <c r="I104" s="11">
        <f>VALUE(_xlfn.XLOOKUP($G104,LatestData!$A$17:$A$89,LatestData!E$17:E$89))</f>
        <v/>
      </c>
      <c r="J104" s="11">
        <f>VALUE(_xlfn.XLOOKUP($G104,LatestData!$A$17:$A$89,LatestData!F$17:F$89))</f>
        <v/>
      </c>
      <c r="K104" s="11">
        <f>VALUE(_xlfn.XLOOKUP($G104,LatestData!$A$17:$A$89,LatestData!G$17:G$89))</f>
        <v/>
      </c>
      <c r="L104" s="11">
        <f>VALUE(_xlfn.XLOOKUP($G104,LatestData!$A$17:$A$89,LatestData!H$17:H$89))</f>
        <v/>
      </c>
      <c r="M104" s="11">
        <f>VALUE(_xlfn.XLOOKUP($G104,LatestData!$A$17:$A$89,LatestData!I$17:I$89))</f>
        <v/>
      </c>
      <c r="N104" s="15">
        <f>VALUE(_xlfn.XLOOKUP($G104,LatestData!$A$17:$A$89,LatestData!J$17:J$89))</f>
        <v/>
      </c>
      <c r="O104" s="11">
        <f>VALUE(_xlfn.XLOOKUP($G104,LatestData!$A$17:$A$89,LatestData!K$17:K$89))</f>
        <v/>
      </c>
      <c r="P104" s="11">
        <f>VALUE(_xlfn.XLOOKUP($G104,LatestData!$A$17:$A$89,LatestData!L$17:L$89))</f>
        <v/>
      </c>
      <c r="Q104" s="11">
        <f>VALUE(_xlfn.XLOOKUP($G104,LatestData!$A$17:$A$89,LatestData!M$17:M$89))</f>
        <v/>
      </c>
      <c r="R104" s="11">
        <f>VALUE(_xlfn.XLOOKUP($G104,LatestData!$A$17:$A$89,LatestData!N$17:N$89))</f>
        <v/>
      </c>
      <c r="S104" s="21">
        <f>_xlfn.XLOOKUP($G104,LatestData!$A$17:$A$89,LatestData!O$17:O$89)</f>
        <v/>
      </c>
      <c r="T104" s="11">
        <f>VALUE(_xlfn.XLOOKUP($G104,LatestData!$A$17:$A$89,LatestData!P$17:P$89))</f>
        <v/>
      </c>
      <c r="U104" s="11">
        <f>VALUE(_xlfn.XLOOKUP($G104,LatestData!$A$17:$A$89,LatestData!Q$17:Q$89))</f>
        <v/>
      </c>
      <c r="V104" s="11">
        <f>VALUE(_xlfn.XLOOKUP($G104,LatestData!$A$17:$A$89,LatestData!R$17:R$89))</f>
        <v/>
      </c>
      <c r="W104" s="16">
        <f>VALUE(_xlfn.XLOOKUP($G104,LatestData!$A$17:$A$89,LatestData!S$17:S$89)%)</f>
        <v/>
      </c>
      <c r="X104" s="17">
        <f>VALUE(_xlfn.XLOOKUP($G104,LatestData!$A$17:$A$89,LatestData!T$17:T$89))</f>
        <v/>
      </c>
      <c r="Y104" s="17">
        <f>VALUE(_xlfn.XLOOKUP($G104,LatestData!$A$17:$A$89,LatestData!U$17:U$89))</f>
        <v/>
      </c>
      <c r="Z104" s="13">
        <f>IFERROR((Table2[[#This Row],[Open]]-Table2[[#This Row],[PreviousClose]])/Table2[[#This Row],[PreviousClose]],0)</f>
        <v/>
      </c>
      <c r="AA104" s="13">
        <f>IFERROR((Table2[[#This Row],[Price]]-Table2[[#This Row],[Open]])/Table2[[#This Row],[Open]],0)</f>
        <v/>
      </c>
      <c r="AB104" s="11">
        <f>Table2[[#This Row],[Price]]-Table2[[#This Row],[PreviousClose]]</f>
        <v/>
      </c>
    </row>
    <row r="105" ht="21" customHeight="1">
      <c r="E105" s="6" t="inlineStr">
        <is>
          <t>XYZ</t>
        </is>
      </c>
      <c r="G105">
        <f>IF(OR(LEFT(E105,3)="SAF",LEFT(E105,3)="MVE",LEFT(E105,2)="JB"),MID(E105,IF(LEFT(E105,2)="JB",3,4),LEN(E105)-2),E105)&amp;F105</f>
        <v/>
      </c>
      <c r="H105" s="11">
        <f>VALUE(_xlfn.XLOOKUP($G105,LatestData!$A$17:$A$89,LatestData!D$17:D$89))</f>
        <v/>
      </c>
      <c r="I105" s="11">
        <f>VALUE(_xlfn.XLOOKUP($G105,LatestData!$A$17:$A$89,LatestData!E$17:E$89))</f>
        <v/>
      </c>
      <c r="J105" s="11">
        <f>VALUE(_xlfn.XLOOKUP($G105,LatestData!$A$17:$A$89,LatestData!F$17:F$89))</f>
        <v/>
      </c>
      <c r="K105" s="11">
        <f>VALUE(_xlfn.XLOOKUP($G105,LatestData!$A$17:$A$89,LatestData!G$17:G$89))</f>
        <v/>
      </c>
      <c r="L105" s="11">
        <f>VALUE(_xlfn.XLOOKUP($G105,LatestData!$A$17:$A$89,LatestData!H$17:H$89))</f>
        <v/>
      </c>
      <c r="M105" s="11">
        <f>VALUE(_xlfn.XLOOKUP($G105,LatestData!$A$17:$A$89,LatestData!I$17:I$89))</f>
        <v/>
      </c>
      <c r="N105" s="15">
        <f>VALUE(_xlfn.XLOOKUP($G105,LatestData!$A$17:$A$89,LatestData!J$17:J$89))</f>
        <v/>
      </c>
      <c r="O105" s="11">
        <f>VALUE(_xlfn.XLOOKUP($G105,LatestData!$A$17:$A$89,LatestData!K$17:K$89))</f>
        <v/>
      </c>
      <c r="P105" s="11">
        <f>VALUE(_xlfn.XLOOKUP($G105,LatestData!$A$17:$A$89,LatestData!L$17:L$89))</f>
        <v/>
      </c>
      <c r="Q105" s="11">
        <f>VALUE(_xlfn.XLOOKUP($G105,LatestData!$A$17:$A$89,LatestData!M$17:M$89))</f>
        <v/>
      </c>
      <c r="R105" s="11">
        <f>VALUE(_xlfn.XLOOKUP($G105,LatestData!$A$17:$A$89,LatestData!N$17:N$89))</f>
        <v/>
      </c>
      <c r="S105" s="21">
        <f>_xlfn.XLOOKUP($G105,LatestData!$A$17:$A$89,LatestData!O$17:O$89)</f>
        <v/>
      </c>
      <c r="T105" s="11">
        <f>VALUE(_xlfn.XLOOKUP($G105,LatestData!$A$17:$A$89,LatestData!P$17:P$89))</f>
        <v/>
      </c>
      <c r="U105" s="11">
        <f>VALUE(_xlfn.XLOOKUP($G105,LatestData!$A$17:$A$89,LatestData!Q$17:Q$89))</f>
        <v/>
      </c>
      <c r="V105" s="11">
        <f>VALUE(_xlfn.XLOOKUP($G105,LatestData!$A$17:$A$89,LatestData!R$17:R$89))</f>
        <v/>
      </c>
      <c r="W105" s="16">
        <f>VALUE(_xlfn.XLOOKUP($G105,LatestData!$A$17:$A$89,LatestData!S$17:S$89)%)</f>
        <v/>
      </c>
      <c r="X105" s="17">
        <f>VALUE(_xlfn.XLOOKUP($G105,LatestData!$A$17:$A$89,LatestData!T$17:T$89))</f>
        <v/>
      </c>
      <c r="Y105" s="17">
        <f>VALUE(_xlfn.XLOOKUP($G105,LatestData!$A$17:$A$89,LatestData!U$17:U$89))</f>
        <v/>
      </c>
      <c r="Z105" s="13">
        <f>IFERROR((Table2[[#This Row],[Open]]-Table2[[#This Row],[PreviousClose]])/Table2[[#This Row],[PreviousClose]],0)</f>
        <v/>
      </c>
      <c r="AA105" s="13">
        <f>IFERROR((Table2[[#This Row],[Price]]-Table2[[#This Row],[Open]])/Table2[[#This Row],[Open]],0)</f>
        <v/>
      </c>
      <c r="AB105" s="11">
        <f>Table2[[#This Row],[Price]]-Table2[[#This Row],[PreviousClose]]</f>
        <v/>
      </c>
    </row>
    <row r="106" ht="21" customHeight="1">
      <c r="E106" s="7" t="inlineStr">
        <is>
          <t>THC</t>
        </is>
      </c>
      <c r="G106">
        <f>IF(OR(LEFT(E106,3)="SAF",LEFT(E106,3)="MVE",LEFT(E106,2)="JB"),MID(E106,IF(LEFT(E106,2)="JB",3,4),LEN(E106)-2),E106)&amp;F106</f>
        <v/>
      </c>
      <c r="H106" s="11">
        <f>VALUE(_xlfn.XLOOKUP($G106,LatestData!$A$17:$A$89,LatestData!D$17:D$89))</f>
        <v/>
      </c>
      <c r="I106" s="11">
        <f>VALUE(_xlfn.XLOOKUP($G106,LatestData!$A$17:$A$89,LatestData!E$17:E$89))</f>
        <v/>
      </c>
      <c r="J106" s="11">
        <f>VALUE(_xlfn.XLOOKUP($G106,LatestData!$A$17:$A$89,LatestData!F$17:F$89))</f>
        <v/>
      </c>
      <c r="K106" s="11">
        <f>VALUE(_xlfn.XLOOKUP($G106,LatestData!$A$17:$A$89,LatestData!G$17:G$89))</f>
        <v/>
      </c>
      <c r="L106" s="11">
        <f>VALUE(_xlfn.XLOOKUP($G106,LatestData!$A$17:$A$89,LatestData!H$17:H$89))</f>
        <v/>
      </c>
      <c r="M106" s="11">
        <f>VALUE(_xlfn.XLOOKUP($G106,LatestData!$A$17:$A$89,LatestData!I$17:I$89))</f>
        <v/>
      </c>
      <c r="N106" s="15">
        <f>VALUE(_xlfn.XLOOKUP($G106,LatestData!$A$17:$A$89,LatestData!J$17:J$89))</f>
        <v/>
      </c>
      <c r="O106" s="11">
        <f>VALUE(_xlfn.XLOOKUP($G106,LatestData!$A$17:$A$89,LatestData!K$17:K$89))</f>
        <v/>
      </c>
      <c r="P106" s="11">
        <f>VALUE(_xlfn.XLOOKUP($G106,LatestData!$A$17:$A$89,LatestData!L$17:L$89))</f>
        <v/>
      </c>
      <c r="Q106" s="11">
        <f>VALUE(_xlfn.XLOOKUP($G106,LatestData!$A$17:$A$89,LatestData!M$17:M$89))</f>
        <v/>
      </c>
      <c r="R106" s="11">
        <f>VALUE(_xlfn.XLOOKUP($G106,LatestData!$A$17:$A$89,LatestData!N$17:N$89))</f>
        <v/>
      </c>
      <c r="S106" s="21">
        <f>_xlfn.XLOOKUP($G106,LatestData!$A$17:$A$89,LatestData!O$17:O$89)</f>
        <v/>
      </c>
      <c r="T106" s="11">
        <f>VALUE(_xlfn.XLOOKUP($G106,LatestData!$A$17:$A$89,LatestData!P$17:P$89))</f>
        <v/>
      </c>
      <c r="U106" s="11">
        <f>VALUE(_xlfn.XLOOKUP($G106,LatestData!$A$17:$A$89,LatestData!Q$17:Q$89))</f>
        <v/>
      </c>
      <c r="V106" s="11">
        <f>VALUE(_xlfn.XLOOKUP($G106,LatestData!$A$17:$A$89,LatestData!R$17:R$89))</f>
        <v/>
      </c>
      <c r="W106" s="16">
        <f>VALUE(_xlfn.XLOOKUP($G106,LatestData!$A$17:$A$89,LatestData!S$17:S$89)%)</f>
        <v/>
      </c>
      <c r="X106" s="17">
        <f>VALUE(_xlfn.XLOOKUP($G106,LatestData!$A$17:$A$89,LatestData!T$17:T$89))</f>
        <v/>
      </c>
      <c r="Y106" s="17">
        <f>VALUE(_xlfn.XLOOKUP($G106,LatestData!$A$17:$A$89,LatestData!U$17:U$89))</f>
        <v/>
      </c>
      <c r="Z106" s="13">
        <f>IFERROR((Table2[[#This Row],[Open]]-Table2[[#This Row],[PreviousClose]])/Table2[[#This Row],[PreviousClose]],0)</f>
        <v/>
      </c>
      <c r="AA106" s="13">
        <f>IFERROR((Table2[[#This Row],[Price]]-Table2[[#This Row],[Open]])/Table2[[#This Row],[Open]],0)</f>
        <v/>
      </c>
      <c r="AB106" s="11">
        <f>Table2[[#This Row],[Price]]-Table2[[#This Row],[PreviousClose]]</f>
        <v/>
      </c>
    </row>
    <row r="107" ht="21" customHeight="1">
      <c r="E107" s="6" t="inlineStr">
        <is>
          <t>X</t>
        </is>
      </c>
      <c r="G107">
        <f>IF(OR(LEFT(E107,3)="SAF",LEFT(E107,3)="MVE",LEFT(E107,2)="JB"),MID(E107,IF(LEFT(E107,2)="JB",3,4),LEN(E107)-2),E107)&amp;F107</f>
        <v/>
      </c>
      <c r="H107" s="11">
        <f>VALUE(_xlfn.XLOOKUP($G107,LatestData!$A$17:$A$89,LatestData!D$17:D$89))</f>
        <v/>
      </c>
      <c r="I107" s="11">
        <f>VALUE(_xlfn.XLOOKUP($G107,LatestData!$A$17:$A$89,LatestData!E$17:E$89))</f>
        <v/>
      </c>
      <c r="J107" s="11">
        <f>VALUE(_xlfn.XLOOKUP($G107,LatestData!$A$17:$A$89,LatestData!F$17:F$89))</f>
        <v/>
      </c>
      <c r="K107" s="11">
        <f>VALUE(_xlfn.XLOOKUP($G107,LatestData!$A$17:$A$89,LatestData!G$17:G$89))</f>
        <v/>
      </c>
      <c r="L107" s="11">
        <f>VALUE(_xlfn.XLOOKUP($G107,LatestData!$A$17:$A$89,LatestData!H$17:H$89))</f>
        <v/>
      </c>
      <c r="M107" s="11">
        <f>VALUE(_xlfn.XLOOKUP($G107,LatestData!$A$17:$A$89,LatestData!I$17:I$89))</f>
        <v/>
      </c>
      <c r="N107" s="15">
        <f>VALUE(_xlfn.XLOOKUP($G107,LatestData!$A$17:$A$89,LatestData!J$17:J$89))</f>
        <v/>
      </c>
      <c r="O107" s="11">
        <f>VALUE(_xlfn.XLOOKUP($G107,LatestData!$A$17:$A$89,LatestData!K$17:K$89))</f>
        <v/>
      </c>
      <c r="P107" s="11">
        <f>VALUE(_xlfn.XLOOKUP($G107,LatestData!$A$17:$A$89,LatestData!L$17:L$89))</f>
        <v/>
      </c>
      <c r="Q107" s="11">
        <f>VALUE(_xlfn.XLOOKUP($G107,LatestData!$A$17:$A$89,LatestData!M$17:M$89))</f>
        <v/>
      </c>
      <c r="R107" s="11">
        <f>VALUE(_xlfn.XLOOKUP($G107,LatestData!$A$17:$A$89,LatestData!N$17:N$89))</f>
        <v/>
      </c>
      <c r="S107" s="21">
        <f>_xlfn.XLOOKUP($G107,LatestData!$A$17:$A$89,LatestData!O$17:O$89)</f>
        <v/>
      </c>
      <c r="T107" s="11">
        <f>VALUE(_xlfn.XLOOKUP($G107,LatestData!$A$17:$A$89,LatestData!P$17:P$89))</f>
        <v/>
      </c>
      <c r="U107" s="11">
        <f>VALUE(_xlfn.XLOOKUP($G107,LatestData!$A$17:$A$89,LatestData!Q$17:Q$89))</f>
        <v/>
      </c>
      <c r="V107" s="11">
        <f>VALUE(_xlfn.XLOOKUP($G107,LatestData!$A$17:$A$89,LatestData!R$17:R$89))</f>
        <v/>
      </c>
      <c r="W107" s="16">
        <f>VALUE(_xlfn.XLOOKUP($G107,LatestData!$A$17:$A$89,LatestData!S$17:S$89)%)</f>
        <v/>
      </c>
      <c r="X107" s="17">
        <f>VALUE(_xlfn.XLOOKUP($G107,LatestData!$A$17:$A$89,LatestData!T$17:T$89))</f>
        <v/>
      </c>
      <c r="Y107" s="17">
        <f>VALUE(_xlfn.XLOOKUP($G107,LatestData!$A$17:$A$89,LatestData!U$17:U$89))</f>
        <v/>
      </c>
      <c r="Z107" s="13">
        <f>IFERROR((Table2[[#This Row],[Open]]-Table2[[#This Row],[PreviousClose]])/Table2[[#This Row],[PreviousClose]],0)</f>
        <v/>
      </c>
      <c r="AA107" s="13">
        <f>IFERROR((Table2[[#This Row],[Price]]-Table2[[#This Row],[Open]])/Table2[[#This Row],[Open]],0)</f>
        <v/>
      </c>
      <c r="AB107" s="11">
        <f>Table2[[#This Row],[Price]]-Table2[[#This Row],[PreviousClose]]</f>
        <v/>
      </c>
    </row>
    <row r="108" ht="21" customHeight="1">
      <c r="E108" s="7" t="inlineStr">
        <is>
          <t>LOCK</t>
        </is>
      </c>
      <c r="F108" t="inlineStr">
        <is>
          <t>.L</t>
        </is>
      </c>
      <c r="G108">
        <f>IF(OR(LEFT(E108,3)="SAF",LEFT(E108,3)="MVE",LEFT(E108,2)="JB"),MID(E108,IF(LEFT(E108,2)="JB",3,4),LEN(E108)-2),E108)&amp;F108</f>
        <v/>
      </c>
      <c r="H108" s="11">
        <f>VALUE(_xlfn.XLOOKUP($G108,LatestData!$A$17:$A$89,LatestData!D$17:D$89))</f>
        <v/>
      </c>
      <c r="I108" s="11">
        <f>VALUE(_xlfn.XLOOKUP($G108,LatestData!$A$17:$A$89,LatestData!E$17:E$89))</f>
        <v/>
      </c>
      <c r="J108" s="11">
        <f>VALUE(_xlfn.XLOOKUP($G108,LatestData!$A$17:$A$89,LatestData!F$17:F$89))</f>
        <v/>
      </c>
      <c r="K108" s="11">
        <f>VALUE(_xlfn.XLOOKUP($G108,LatestData!$A$17:$A$89,LatestData!G$17:G$89))</f>
        <v/>
      </c>
      <c r="L108" s="11">
        <f>VALUE(_xlfn.XLOOKUP($G108,LatestData!$A$17:$A$89,LatestData!H$17:H$89))</f>
        <v/>
      </c>
      <c r="M108" s="11">
        <f>VALUE(_xlfn.XLOOKUP($G108,LatestData!$A$17:$A$89,LatestData!I$17:I$89))</f>
        <v/>
      </c>
      <c r="N108" s="15">
        <f>VALUE(_xlfn.XLOOKUP($G108,LatestData!$A$17:$A$89,LatestData!J$17:J$89))</f>
        <v/>
      </c>
      <c r="O108" s="11">
        <f>VALUE(_xlfn.XLOOKUP($G108,LatestData!$A$17:$A$89,LatestData!K$17:K$89))</f>
        <v/>
      </c>
      <c r="P108" s="11">
        <f>VALUE(_xlfn.XLOOKUP($G108,LatestData!$A$17:$A$89,LatestData!L$17:L$89))</f>
        <v/>
      </c>
      <c r="Q108" s="11">
        <f>VALUE(_xlfn.XLOOKUP($G108,LatestData!$A$17:$A$89,LatestData!M$17:M$89))</f>
        <v/>
      </c>
      <c r="R108" s="11">
        <f>VALUE(_xlfn.XLOOKUP($G108,LatestData!$A$17:$A$89,LatestData!N$17:N$89))</f>
        <v/>
      </c>
      <c r="S108" s="21">
        <f>_xlfn.XLOOKUP($G108,LatestData!$A$17:$A$89,LatestData!O$17:O$89)</f>
        <v/>
      </c>
      <c r="T108" s="11">
        <f>VALUE(_xlfn.XLOOKUP($G108,LatestData!$A$17:$A$89,LatestData!P$17:P$89))</f>
        <v/>
      </c>
      <c r="U108" s="11">
        <f>VALUE(_xlfn.XLOOKUP($G108,LatestData!$A$17:$A$89,LatestData!Q$17:Q$89))</f>
        <v/>
      </c>
      <c r="V108" s="11">
        <f>VALUE(_xlfn.XLOOKUP($G108,LatestData!$A$17:$A$89,LatestData!R$17:R$89))</f>
        <v/>
      </c>
      <c r="W108" s="16">
        <f>VALUE(_xlfn.XLOOKUP($G108,LatestData!$A$17:$A$89,LatestData!S$17:S$89)%)</f>
        <v/>
      </c>
      <c r="X108" s="17">
        <f>VALUE(_xlfn.XLOOKUP($G108,LatestData!$A$17:$A$89,LatestData!T$17:T$89))</f>
        <v/>
      </c>
      <c r="Y108" s="17">
        <f>VALUE(_xlfn.XLOOKUP($G108,LatestData!$A$17:$A$89,LatestData!U$17:U$89))</f>
        <v/>
      </c>
      <c r="Z108" s="13">
        <f>IFERROR((Table2[[#This Row],[Open]]-Table2[[#This Row],[PreviousClose]])/Table2[[#This Row],[PreviousClose]],0)</f>
        <v/>
      </c>
      <c r="AA108" s="13">
        <f>IFERROR((Table2[[#This Row],[Price]]-Table2[[#This Row],[Open]])/Table2[[#This Row],[Open]],0)</f>
        <v/>
      </c>
      <c r="AB108" s="11">
        <f>Table2[[#This Row],[Price]]-Table2[[#This Row],[PreviousClose]]</f>
        <v/>
      </c>
    </row>
    <row r="109" ht="21" customHeight="1">
      <c r="E109" s="6" t="inlineStr">
        <is>
          <t>JBASML</t>
        </is>
      </c>
      <c r="F109" t="inlineStr">
        <is>
          <t>.AS</t>
        </is>
      </c>
      <c r="G109">
        <f>IF(OR(LEFT(E109,3)="SAF",LEFT(E109,3)="MVE",LEFT(E109,2)="JB"),MID(E109,IF(LEFT(E109,2)="JB",3,4),LEN(E109)-2),E109)&amp;F109</f>
        <v/>
      </c>
      <c r="H109" s="11">
        <f>VALUE(_xlfn.XLOOKUP($G109,LatestData!$A$17:$A$89,LatestData!D$17:D$89))</f>
        <v/>
      </c>
      <c r="I109" s="11">
        <f>VALUE(_xlfn.XLOOKUP($G109,LatestData!$A$17:$A$89,LatestData!E$17:E$89))</f>
        <v/>
      </c>
      <c r="J109" s="11">
        <f>VALUE(_xlfn.XLOOKUP($G109,LatestData!$A$17:$A$89,LatestData!F$17:F$89))</f>
        <v/>
      </c>
      <c r="K109" s="11">
        <f>VALUE(_xlfn.XLOOKUP($G109,LatestData!$A$17:$A$89,LatestData!G$17:G$89))</f>
        <v/>
      </c>
      <c r="L109" s="11">
        <f>VALUE(_xlfn.XLOOKUP($G109,LatestData!$A$17:$A$89,LatestData!H$17:H$89))</f>
        <v/>
      </c>
      <c r="M109" s="11">
        <f>VALUE(_xlfn.XLOOKUP($G109,LatestData!$A$17:$A$89,LatestData!I$17:I$89))</f>
        <v/>
      </c>
      <c r="N109" s="15">
        <f>VALUE(_xlfn.XLOOKUP($G109,LatestData!$A$17:$A$89,LatestData!J$17:J$89))</f>
        <v/>
      </c>
      <c r="O109" s="11">
        <f>VALUE(_xlfn.XLOOKUP($G109,LatestData!$A$17:$A$89,LatestData!K$17:K$89))</f>
        <v/>
      </c>
      <c r="P109" s="11">
        <f>VALUE(_xlfn.XLOOKUP($G109,LatestData!$A$17:$A$89,LatestData!L$17:L$89))</f>
        <v/>
      </c>
      <c r="Q109" s="11">
        <f>VALUE(_xlfn.XLOOKUP($G109,LatestData!$A$17:$A$89,LatestData!M$17:M$89))</f>
        <v/>
      </c>
      <c r="R109" s="11">
        <f>VALUE(_xlfn.XLOOKUP($G109,LatestData!$A$17:$A$89,LatestData!N$17:N$89))</f>
        <v/>
      </c>
      <c r="S109" s="21">
        <f>_xlfn.XLOOKUP($G109,LatestData!$A$17:$A$89,LatestData!O$17:O$89)</f>
        <v/>
      </c>
      <c r="T109" s="11">
        <f>VALUE(_xlfn.XLOOKUP($G109,LatestData!$A$17:$A$89,LatestData!P$17:P$89))</f>
        <v/>
      </c>
      <c r="U109" s="11">
        <f>VALUE(_xlfn.XLOOKUP($G109,LatestData!$A$17:$A$89,LatestData!Q$17:Q$89))</f>
        <v/>
      </c>
      <c r="V109" s="11">
        <f>VALUE(_xlfn.XLOOKUP($G109,LatestData!$A$17:$A$89,LatestData!R$17:R$89))</f>
        <v/>
      </c>
      <c r="W109" s="16">
        <f>VALUE(_xlfn.XLOOKUP($G109,LatestData!$A$17:$A$89,LatestData!S$17:S$89)%)</f>
        <v/>
      </c>
      <c r="X109" s="17">
        <f>VALUE(_xlfn.XLOOKUP($G109,LatestData!$A$17:$A$89,LatestData!T$17:T$89))</f>
        <v/>
      </c>
      <c r="Y109" s="17">
        <f>VALUE(_xlfn.XLOOKUP($G109,LatestData!$A$17:$A$89,LatestData!U$17:U$89))</f>
        <v/>
      </c>
      <c r="Z109" s="13">
        <f>IFERROR((Table2[[#This Row],[Open]]-Table2[[#This Row],[PreviousClose]])/Table2[[#This Row],[PreviousClose]],0)</f>
        <v/>
      </c>
      <c r="AA109" s="13">
        <f>IFERROR((Table2[[#This Row],[Price]]-Table2[[#This Row],[Open]])/Table2[[#This Row],[Open]],0)</f>
        <v/>
      </c>
      <c r="AB109" s="11">
        <f>Table2[[#This Row],[Price]]-Table2[[#This Row],[PreviousClose]]</f>
        <v/>
      </c>
    </row>
    <row r="110" ht="21" customHeight="1">
      <c r="E110" s="7" t="inlineStr">
        <is>
          <t>JBEOAN</t>
        </is>
      </c>
      <c r="F110" t="inlineStr">
        <is>
          <t>.DE</t>
        </is>
      </c>
      <c r="G110">
        <f>IF(OR(LEFT(E110,3)="SAF",LEFT(E110,3)="MVE",LEFT(E110,2)="JB"),MID(E110,IF(LEFT(E110,2)="JB",3,4),LEN(E110)-2),E110)&amp;F110</f>
        <v/>
      </c>
      <c r="H110" s="11">
        <f>VALUE(_xlfn.XLOOKUP($G110,LatestData!$A$17:$A$89,LatestData!D$17:D$89))</f>
        <v/>
      </c>
      <c r="I110" s="11">
        <f>VALUE(_xlfn.XLOOKUP($G110,LatestData!$A$17:$A$89,LatestData!E$17:E$89))</f>
        <v/>
      </c>
      <c r="J110" s="11">
        <f>VALUE(_xlfn.XLOOKUP($G110,LatestData!$A$17:$A$89,LatestData!F$17:F$89))</f>
        <v/>
      </c>
      <c r="K110" s="11">
        <f>VALUE(_xlfn.XLOOKUP($G110,LatestData!$A$17:$A$89,LatestData!G$17:G$89))</f>
        <v/>
      </c>
      <c r="L110" s="11">
        <f>VALUE(_xlfn.XLOOKUP($G110,LatestData!$A$17:$A$89,LatestData!H$17:H$89))</f>
        <v/>
      </c>
      <c r="M110" s="11">
        <f>VALUE(_xlfn.XLOOKUP($G110,LatestData!$A$17:$A$89,LatestData!I$17:I$89))</f>
        <v/>
      </c>
      <c r="N110" s="15">
        <f>VALUE(_xlfn.XLOOKUP($G110,LatestData!$A$17:$A$89,LatestData!J$17:J$89))</f>
        <v/>
      </c>
      <c r="O110" s="11">
        <f>VALUE(_xlfn.XLOOKUP($G110,LatestData!$A$17:$A$89,LatestData!K$17:K$89))</f>
        <v/>
      </c>
      <c r="P110" s="11">
        <f>VALUE(_xlfn.XLOOKUP($G110,LatestData!$A$17:$A$89,LatestData!L$17:L$89))</f>
        <v/>
      </c>
      <c r="Q110" s="11">
        <f>VALUE(_xlfn.XLOOKUP($G110,LatestData!$A$17:$A$89,LatestData!M$17:M$89))</f>
        <v/>
      </c>
      <c r="R110" s="11">
        <f>VALUE(_xlfn.XLOOKUP($G110,LatestData!$A$17:$A$89,LatestData!N$17:N$89))</f>
        <v/>
      </c>
      <c r="S110" s="21">
        <f>_xlfn.XLOOKUP($G110,LatestData!$A$17:$A$89,LatestData!O$17:O$89)</f>
        <v/>
      </c>
      <c r="T110" s="11">
        <f>VALUE(_xlfn.XLOOKUP($G110,LatestData!$A$17:$A$89,LatestData!P$17:P$89))</f>
        <v/>
      </c>
      <c r="U110" s="11">
        <f>VALUE(_xlfn.XLOOKUP($G110,LatestData!$A$17:$A$89,LatestData!Q$17:Q$89))</f>
        <v/>
      </c>
      <c r="V110" s="11">
        <f>VALUE(_xlfn.XLOOKUP($G110,LatestData!$A$17:$A$89,LatestData!R$17:R$89))</f>
        <v/>
      </c>
      <c r="W110" s="16">
        <f>VALUE(_xlfn.XLOOKUP($G110,LatestData!$A$17:$A$89,LatestData!S$17:S$89)%)</f>
        <v/>
      </c>
      <c r="X110" s="17">
        <f>VALUE(_xlfn.XLOOKUP($G110,LatestData!$A$17:$A$89,LatestData!T$17:T$89))</f>
        <v/>
      </c>
      <c r="Y110" s="17">
        <f>VALUE(_xlfn.XLOOKUP($G110,LatestData!$A$17:$A$89,LatestData!U$17:U$89))</f>
        <v/>
      </c>
      <c r="Z110" s="13">
        <f>IFERROR((Table2[[#This Row],[Open]]-Table2[[#This Row],[PreviousClose]])/Table2[[#This Row],[PreviousClose]],0)</f>
        <v/>
      </c>
      <c r="AA110" s="13">
        <f>IFERROR((Table2[[#This Row],[Price]]-Table2[[#This Row],[Open]])/Table2[[#This Row],[Open]],0)</f>
        <v/>
      </c>
      <c r="AB110" s="11">
        <f>Table2[[#This Row],[Price]]-Table2[[#This Row],[PreviousClose]]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89"/>
  <sheetViews>
    <sheetView workbookViewId="0">
      <selection activeCell="A1" sqref="A1"/>
    </sheetView>
  </sheetViews>
  <sheetFormatPr baseColWidth="8" defaultRowHeight="15"/>
  <sheetData>
    <row r="1">
      <c r="A1" s="23" t="inlineStr">
        <is>
          <t>Ticker</t>
        </is>
      </c>
      <c r="B1" s="23" t="inlineStr">
        <is>
          <t>Status</t>
        </is>
      </c>
      <c r="C1" s="23" t="inlineStr">
        <is>
          <t>MissingFields</t>
        </is>
      </c>
      <c r="D1" s="23" t="inlineStr">
        <is>
          <t>Open</t>
        </is>
      </c>
      <c r="E1" s="23" t="inlineStr">
        <is>
          <t>MarketPrice</t>
        </is>
      </c>
      <c r="F1" s="23" t="inlineStr">
        <is>
          <t>MarketDayHigh</t>
        </is>
      </c>
      <c r="G1" s="23" t="inlineStr">
        <is>
          <t>MarketDayLow</t>
        </is>
      </c>
      <c r="H1" s="23" t="inlineStr">
        <is>
          <t>MarketPreviousClose</t>
        </is>
      </c>
      <c r="I1" s="23" t="inlineStr">
        <is>
          <t>Volume</t>
        </is>
      </c>
      <c r="J1" s="23" t="inlineStr">
        <is>
          <t>MarketTime</t>
        </is>
      </c>
      <c r="K1" s="23" t="inlineStr">
        <is>
          <t>AverageVolume</t>
        </is>
      </c>
      <c r="L1" s="23" t="inlineStr">
        <is>
          <t>marketCap</t>
        </is>
      </c>
      <c r="M1" s="23" t="inlineStr">
        <is>
          <t>fiftyTwoWeekHigh</t>
        </is>
      </c>
      <c r="N1" s="23" t="inlineStr">
        <is>
          <t>fiftyTwoWeekLow</t>
        </is>
      </c>
      <c r="O1" s="23" t="inlineStr">
        <is>
          <t>currency</t>
        </is>
      </c>
      <c r="P1" s="23" t="inlineStr">
        <is>
          <t>targetMeanPrice</t>
        </is>
      </c>
      <c r="Q1" s="23" t="inlineStr">
        <is>
          <t>recommendationMean</t>
        </is>
      </c>
      <c r="R1" s="23" t="inlineStr">
        <is>
          <t>dividendRate</t>
        </is>
      </c>
      <c r="S1" s="23" t="inlineStr">
        <is>
          <t>dividendYield</t>
        </is>
      </c>
      <c r="T1" s="23" t="inlineStr">
        <is>
          <t>exDividendDate</t>
        </is>
      </c>
      <c r="U1" s="23" t="inlineStr">
        <is>
          <t>earningsDate</t>
        </is>
      </c>
    </row>
    <row r="2">
      <c r="A2" t="inlineStr">
        <is>
          <t>BHP.AX</t>
        </is>
      </c>
      <c r="B2" t="inlineStr">
        <is>
          <t>OK</t>
        </is>
      </c>
      <c r="C2" t="inlineStr"/>
      <c r="D2" t="n">
        <v>46.90000152587891</v>
      </c>
      <c r="E2" t="n">
        <v>47.72000122070312</v>
      </c>
      <c r="F2" t="n">
        <v>47.95000076293945</v>
      </c>
      <c r="G2" t="n">
        <v>46.68000030517578</v>
      </c>
      <c r="H2" t="n">
        <v>47.34000015258789</v>
      </c>
      <c r="I2" t="n">
        <v>10410820</v>
      </c>
      <c r="J2" s="24" t="n">
        <v>46031.67430555556</v>
      </c>
      <c r="K2" t="n">
        <v>6423290.428571428</v>
      </c>
      <c r="L2" t="n">
        <v>242332270592</v>
      </c>
      <c r="M2" t="n">
        <v>48.49</v>
      </c>
      <c r="N2" t="n">
        <v>33.25</v>
      </c>
      <c r="O2" t="inlineStr">
        <is>
          <t>AUD</t>
        </is>
      </c>
      <c r="P2" t="n">
        <v>45.951134</v>
      </c>
      <c r="Q2" t="n">
        <v>2.53333</v>
      </c>
      <c r="R2" t="n">
        <v>1.71</v>
      </c>
      <c r="S2" t="n">
        <v>3.58</v>
      </c>
      <c r="T2" t="inlineStr">
        <is>
          <t>01-Jan-1970</t>
        </is>
      </c>
      <c r="U2" t="inlineStr"/>
    </row>
    <row r="3">
      <c r="A3" t="inlineStr">
        <is>
          <t>CBA.AX</t>
        </is>
      </c>
      <c r="B3" t="inlineStr">
        <is>
          <t>OK</t>
        </is>
      </c>
      <c r="C3" t="inlineStr"/>
      <c r="D3" t="n">
        <v>154.5899963378906</v>
      </c>
      <c r="E3" t="n">
        <v>153.2200012207031</v>
      </c>
      <c r="F3" t="n">
        <v>155</v>
      </c>
      <c r="G3" t="n">
        <v>152.4100036621094</v>
      </c>
      <c r="H3" t="n">
        <v>153.3399963378906</v>
      </c>
      <c r="I3" t="n">
        <v>1579170</v>
      </c>
      <c r="J3" s="24" t="n">
        <v>46031.67430555556</v>
      </c>
      <c r="K3" t="n">
        <v>1465748.857142857</v>
      </c>
      <c r="L3" t="n">
        <v>256183648256</v>
      </c>
      <c r="M3" t="n">
        <v>192</v>
      </c>
      <c r="N3" t="n">
        <v>140.21</v>
      </c>
      <c r="O3" t="inlineStr">
        <is>
          <t>AUD</t>
        </is>
      </c>
      <c r="P3" t="n">
        <v>121.62309</v>
      </c>
      <c r="Q3" t="n">
        <v>4.78571</v>
      </c>
      <c r="R3" t="n">
        <v>4.85</v>
      </c>
      <c r="S3" t="n">
        <v>3.17</v>
      </c>
      <c r="T3" t="inlineStr">
        <is>
          <t>01-Jan-1970</t>
        </is>
      </c>
      <c r="U3" t="inlineStr"/>
    </row>
    <row r="4">
      <c r="A4" t="inlineStr">
        <is>
          <t>CSL.AX</t>
        </is>
      </c>
      <c r="B4" t="inlineStr">
        <is>
          <t>OK</t>
        </is>
      </c>
      <c r="C4" t="inlineStr"/>
      <c r="D4" t="n">
        <v>175</v>
      </c>
      <c r="E4" t="n">
        <v>174.2899932861328</v>
      </c>
      <c r="F4" t="n">
        <v>175.6000061035156</v>
      </c>
      <c r="G4" t="n">
        <v>173.4700012207031</v>
      </c>
      <c r="H4" t="n">
        <v>174.4499969482422</v>
      </c>
      <c r="I4" t="n">
        <v>735053</v>
      </c>
      <c r="J4" s="24" t="n">
        <v>46031.67361111111</v>
      </c>
      <c r="K4" t="n">
        <v>741299</v>
      </c>
      <c r="L4" t="n">
        <v>84557029376</v>
      </c>
      <c r="M4" t="n">
        <v>287.98</v>
      </c>
      <c r="N4" t="n">
        <v>168</v>
      </c>
      <c r="O4" t="inlineStr">
        <is>
          <t>AUD</t>
        </is>
      </c>
      <c r="P4" t="n">
        <v>234.22542</v>
      </c>
      <c r="Q4" t="n">
        <v>1.6875</v>
      </c>
      <c r="R4" t="n">
        <v>4.52</v>
      </c>
      <c r="S4" t="n">
        <v>2.6</v>
      </c>
      <c r="T4" t="inlineStr">
        <is>
          <t>01-Jan-1970</t>
        </is>
      </c>
      <c r="U4" t="inlineStr">
        <is>
          <t>10-Feb-2026</t>
        </is>
      </c>
    </row>
    <row r="5">
      <c r="A5" t="inlineStr">
        <is>
          <t>QAN.AX</t>
        </is>
      </c>
      <c r="B5" t="inlineStr">
        <is>
          <t>OK</t>
        </is>
      </c>
      <c r="C5" t="inlineStr"/>
      <c r="D5" t="n">
        <v>10.47999954223633</v>
      </c>
      <c r="E5" t="n">
        <v>10.3100004196167</v>
      </c>
      <c r="F5" t="n">
        <v>10.51000022888184</v>
      </c>
      <c r="G5" t="n">
        <v>10.25</v>
      </c>
      <c r="H5" t="n">
        <v>10.51000022888184</v>
      </c>
      <c r="I5" t="n">
        <v>4131705</v>
      </c>
      <c r="J5" s="24" t="n">
        <v>46031.67361111111</v>
      </c>
      <c r="K5" t="n">
        <v>3040057.142857143</v>
      </c>
      <c r="L5" t="n">
        <v>15601084416</v>
      </c>
      <c r="M5" t="n">
        <v>12.62</v>
      </c>
      <c r="N5" t="n">
        <v>7.55</v>
      </c>
      <c r="O5" t="inlineStr">
        <is>
          <t>AUD</t>
        </is>
      </c>
      <c r="P5" t="n">
        <v>12.09467</v>
      </c>
      <c r="Q5" t="inlineStr"/>
      <c r="R5" t="n">
        <v>0.33</v>
      </c>
      <c r="S5" t="n">
        <v>3.2</v>
      </c>
      <c r="T5" t="inlineStr">
        <is>
          <t>01-Jan-1970</t>
        </is>
      </c>
      <c r="U5" t="inlineStr"/>
    </row>
    <row r="6">
      <c r="A6" t="inlineStr">
        <is>
          <t>LYC.AX</t>
        </is>
      </c>
      <c r="B6" t="inlineStr">
        <is>
          <t>PARTIAL</t>
        </is>
      </c>
      <c r="C6" t="inlineStr">
        <is>
          <t>MissingFields,dividendRate,dividendYield,exDividendDate</t>
        </is>
      </c>
      <c r="D6" t="n">
        <v>14.77999973297119</v>
      </c>
      <c r="E6" t="n">
        <v>14.10000038146973</v>
      </c>
      <c r="F6" t="n">
        <v>14.77999973297119</v>
      </c>
      <c r="G6" t="n">
        <v>14.02000045776367</v>
      </c>
      <c r="H6" t="n">
        <v>14.23999977111816</v>
      </c>
      <c r="I6" t="n">
        <v>7232482</v>
      </c>
      <c r="J6" s="24" t="n">
        <v>46031.67361111111</v>
      </c>
      <c r="K6" t="n">
        <v>7453014.571428572</v>
      </c>
      <c r="L6" t="n">
        <v>14191686656</v>
      </c>
      <c r="M6" t="n">
        <v>21.96</v>
      </c>
      <c r="N6" t="n">
        <v>6.16</v>
      </c>
      <c r="O6" t="inlineStr">
        <is>
          <t>AUD</t>
        </is>
      </c>
      <c r="P6" t="n">
        <v>15.3</v>
      </c>
      <c r="Q6" t="n">
        <v>2.66667</v>
      </c>
      <c r="R6" t="inlineStr"/>
      <c r="S6" t="inlineStr"/>
      <c r="T6" t="inlineStr"/>
      <c r="U6" t="inlineStr"/>
    </row>
    <row r="7">
      <c r="A7" t="inlineStr">
        <is>
          <t>ILU.AX</t>
        </is>
      </c>
      <c r="B7" t="inlineStr">
        <is>
          <t>OK</t>
        </is>
      </c>
      <c r="C7" t="inlineStr"/>
      <c r="D7" t="n">
        <v>6.25</v>
      </c>
      <c r="E7" t="n">
        <v>6.179999828338623</v>
      </c>
      <c r="F7" t="n">
        <v>6.320000171661377</v>
      </c>
      <c r="G7" t="n">
        <v>6.125</v>
      </c>
      <c r="H7" t="n">
        <v>6.380000114440918</v>
      </c>
      <c r="I7" t="n">
        <v>3677379</v>
      </c>
      <c r="J7" s="24" t="n">
        <v>46031.67361111111</v>
      </c>
      <c r="K7" t="n">
        <v>2845412.428571429</v>
      </c>
      <c r="L7" t="n">
        <v>2655570176</v>
      </c>
      <c r="M7" t="n">
        <v>9.48</v>
      </c>
      <c r="N7" t="n">
        <v>3.14</v>
      </c>
      <c r="O7" t="inlineStr">
        <is>
          <t>AUD</t>
        </is>
      </c>
      <c r="P7" t="n">
        <v>7.445</v>
      </c>
      <c r="Q7" t="n">
        <v>2.5</v>
      </c>
      <c r="R7" t="n">
        <v>0.04</v>
      </c>
      <c r="S7" t="n">
        <v>0.65</v>
      </c>
      <c r="T7" t="inlineStr">
        <is>
          <t>01-Jan-1970</t>
        </is>
      </c>
      <c r="U7" t="inlineStr"/>
    </row>
    <row r="8">
      <c r="A8" t="inlineStr">
        <is>
          <t>ARU.AX</t>
        </is>
      </c>
      <c r="B8" t="inlineStr">
        <is>
          <t>PARTIAL</t>
        </is>
      </c>
      <c r="C8" t="inlineStr">
        <is>
          <t>MissingFields,recommendationMean,dividendRate,dividendYield,exDividendDate</t>
        </is>
      </c>
      <c r="D8" t="n">
        <v>0.300000011920929</v>
      </c>
      <c r="E8" t="n">
        <v>0.2949999868869781</v>
      </c>
      <c r="F8" t="n">
        <v>0.300000011920929</v>
      </c>
      <c r="G8" t="n">
        <v>0.2899999916553497</v>
      </c>
      <c r="H8" t="n">
        <v>0.2949999868869781</v>
      </c>
      <c r="I8" t="n">
        <v>25547067</v>
      </c>
      <c r="J8" s="24" t="n">
        <v>46031.67361111111</v>
      </c>
      <c r="K8" t="n">
        <v>31687118.14285714</v>
      </c>
      <c r="L8" t="n">
        <v>1373718656</v>
      </c>
      <c r="M8" t="n">
        <v>0.62</v>
      </c>
      <c r="N8" t="n">
        <v>0.115</v>
      </c>
      <c r="O8" t="inlineStr">
        <is>
          <t>AUD</t>
        </is>
      </c>
      <c r="P8" t="n">
        <v>0.27</v>
      </c>
      <c r="Q8" t="inlineStr"/>
      <c r="R8" t="inlineStr"/>
      <c r="S8" t="inlineStr"/>
      <c r="T8" t="inlineStr"/>
      <c r="U8" t="inlineStr"/>
    </row>
    <row r="9">
      <c r="A9" t="inlineStr">
        <is>
          <t>ASM.AX</t>
        </is>
      </c>
      <c r="B9" t="inlineStr">
        <is>
          <t>PARTIAL</t>
        </is>
      </c>
      <c r="C9" t="inlineStr">
        <is>
          <t>MissingFields,recommendationMean,dividendRate,dividendYield,exDividendDate</t>
        </is>
      </c>
      <c r="D9" t="n">
        <v>0.7549999952316284</v>
      </c>
      <c r="E9" t="n">
        <v>0.75</v>
      </c>
      <c r="F9" t="n">
        <v>0.7699999809265137</v>
      </c>
      <c r="G9" t="n">
        <v>0.7450000047683716</v>
      </c>
      <c r="H9" t="n">
        <v>0.7549999952316284</v>
      </c>
      <c r="I9" t="n">
        <v>598748</v>
      </c>
      <c r="J9" s="24" t="n">
        <v>46031.67361111111</v>
      </c>
      <c r="K9" t="n">
        <v>1062689.714285714</v>
      </c>
      <c r="L9" t="n">
        <v>201041024</v>
      </c>
      <c r="M9" t="n">
        <v>2.06</v>
      </c>
      <c r="N9" t="n">
        <v>0.32</v>
      </c>
      <c r="O9" t="inlineStr">
        <is>
          <t>AUD</t>
        </is>
      </c>
      <c r="P9" t="n">
        <v>2.28</v>
      </c>
      <c r="Q9" t="inlineStr"/>
      <c r="R9" t="inlineStr"/>
      <c r="S9" t="inlineStr"/>
      <c r="T9" t="inlineStr"/>
      <c r="U9" t="inlineStr"/>
    </row>
    <row r="10">
      <c r="A10" t="inlineStr">
        <is>
          <t>AR3.AX</t>
        </is>
      </c>
      <c r="B10" t="inlineStr">
        <is>
          <t>PARTIAL</t>
        </is>
      </c>
      <c r="C10" t="inlineStr">
        <is>
          <t>MissingFields,targetMeanPrice,recommendationMean,dividendRate,dividendYield,exDividendDate</t>
        </is>
      </c>
      <c r="D10" t="n">
        <v>0.2349999994039536</v>
      </c>
      <c r="E10" t="n">
        <v>0.2300000041723251</v>
      </c>
      <c r="F10" t="n">
        <v>0.239999994635582</v>
      </c>
      <c r="G10" t="n">
        <v>0.2269999980926514</v>
      </c>
      <c r="H10" t="n">
        <v>0.2300000041723251</v>
      </c>
      <c r="I10" t="n">
        <v>262027</v>
      </c>
      <c r="J10" s="24" t="n">
        <v>46031.67361111111</v>
      </c>
      <c r="K10" t="n">
        <v>607651.4285714285</v>
      </c>
      <c r="L10" t="n">
        <v>51124652</v>
      </c>
      <c r="M10" t="n">
        <v>0.41</v>
      </c>
      <c r="N10" t="n">
        <v>0.05</v>
      </c>
      <c r="O10" t="inlineStr">
        <is>
          <t>AUD</t>
        </is>
      </c>
      <c r="P10" t="inlineStr"/>
      <c r="Q10" t="inlineStr"/>
      <c r="R10" t="inlineStr"/>
      <c r="S10" t="inlineStr"/>
      <c r="T10" t="inlineStr"/>
      <c r="U10" t="inlineStr"/>
    </row>
    <row r="11">
      <c r="A11" t="inlineStr">
        <is>
          <t>NTU.AX</t>
        </is>
      </c>
      <c r="B11" t="inlineStr">
        <is>
          <t>PARTIAL</t>
        </is>
      </c>
      <c r="C11" t="inlineStr">
        <is>
          <t>MissingFields,recommendationMean,dividendRate,dividendYield,exDividendDate</t>
        </is>
      </c>
      <c r="D11" t="n">
        <v>0.03299999982118607</v>
      </c>
      <c r="E11" t="n">
        <v>0.03200000151991844</v>
      </c>
      <c r="F11" t="n">
        <v>0.03299999982118607</v>
      </c>
      <c r="G11" t="n">
        <v>0.03200000151991844</v>
      </c>
      <c r="H11" t="n">
        <v>0.03299999982118607</v>
      </c>
      <c r="I11" t="n">
        <v>15328368</v>
      </c>
      <c r="J11" s="24" t="n">
        <v>46031.67361111111</v>
      </c>
      <c r="K11" t="n">
        <v>20520115.71428571</v>
      </c>
      <c r="L11" t="n">
        <v>305552256</v>
      </c>
      <c r="M11" t="n">
        <v>0.082</v>
      </c>
      <c r="N11" t="n">
        <v>0.016</v>
      </c>
      <c r="O11" t="inlineStr">
        <is>
          <t>AUD</t>
        </is>
      </c>
      <c r="P11" t="n">
        <v>0.05</v>
      </c>
      <c r="Q11" t="inlineStr"/>
      <c r="R11" t="inlineStr"/>
      <c r="S11" t="inlineStr"/>
      <c r="T11" t="inlineStr"/>
      <c r="U11" t="inlineStr"/>
    </row>
    <row r="12">
      <c r="A12" t="inlineStr">
        <is>
          <t>AR3.AX</t>
        </is>
      </c>
      <c r="B12" t="inlineStr">
        <is>
          <t>PARTIAL</t>
        </is>
      </c>
      <c r="C12" t="inlineStr">
        <is>
          <t>MissingFields,targetMeanPrice,recommendationMean,dividendRate,dividendYield,exDividendDate</t>
        </is>
      </c>
      <c r="D12" t="n">
        <v>0.2349999994039536</v>
      </c>
      <c r="E12" t="n">
        <v>0.2300000041723251</v>
      </c>
      <c r="F12" t="n">
        <v>0.239999994635582</v>
      </c>
      <c r="G12" t="n">
        <v>0.2269999980926514</v>
      </c>
      <c r="H12" t="n">
        <v>0.2300000041723251</v>
      </c>
      <c r="I12" t="n">
        <v>262027</v>
      </c>
      <c r="J12" s="24" t="n">
        <v>46031.67361111111</v>
      </c>
      <c r="K12" t="n">
        <v>607651.4285714285</v>
      </c>
      <c r="L12" t="n">
        <v>51124652</v>
      </c>
      <c r="M12" t="n">
        <v>0.41</v>
      </c>
      <c r="N12" t="n">
        <v>0.05</v>
      </c>
      <c r="O12" t="inlineStr">
        <is>
          <t>AUD</t>
        </is>
      </c>
      <c r="P12" t="inlineStr"/>
      <c r="Q12" t="inlineStr"/>
      <c r="R12" t="inlineStr"/>
      <c r="S12" t="inlineStr"/>
      <c r="T12" t="inlineStr"/>
      <c r="U12" t="inlineStr"/>
    </row>
    <row r="13">
      <c r="A13" t="inlineStr">
        <is>
          <t>LIN.AX</t>
        </is>
      </c>
      <c r="B13" t="inlineStr">
        <is>
          <t>PARTIAL</t>
        </is>
      </c>
      <c r="C13" t="inlineStr">
        <is>
          <t>MissingFields,targetMeanPrice,recommendationMean,dividendRate,dividendYield,exDividendDate</t>
        </is>
      </c>
      <c r="D13" t="n">
        <v>0.4699999988079071</v>
      </c>
      <c r="E13" t="n">
        <v>0.4600000083446503</v>
      </c>
      <c r="F13" t="n">
        <v>0.4699999988079071</v>
      </c>
      <c r="G13" t="n">
        <v>0.449999988079071</v>
      </c>
      <c r="H13" t="n">
        <v>0.4749999940395355</v>
      </c>
      <c r="I13" t="n">
        <v>3276735</v>
      </c>
      <c r="J13" s="24" t="n">
        <v>46031.67361111111</v>
      </c>
      <c r="K13" t="n">
        <v>6381822.285714285</v>
      </c>
      <c r="L13" t="n">
        <v>769789504</v>
      </c>
      <c r="M13" t="n">
        <v>0.485</v>
      </c>
      <c r="N13" t="n">
        <v>0.08599999999999999</v>
      </c>
      <c r="O13" t="inlineStr">
        <is>
          <t>AUD</t>
        </is>
      </c>
      <c r="P13" t="inlineStr"/>
      <c r="Q13" t="inlineStr"/>
      <c r="R13" t="inlineStr"/>
      <c r="S13" t="inlineStr"/>
      <c r="T13" t="inlineStr"/>
      <c r="U13" t="inlineStr"/>
    </row>
    <row r="14">
      <c r="A14" t="inlineStr">
        <is>
          <t>ALK.AX</t>
        </is>
      </c>
      <c r="B14" t="inlineStr">
        <is>
          <t>PARTIAL</t>
        </is>
      </c>
      <c r="C14" t="inlineStr">
        <is>
          <t>MissingFields,dividendRate,dividendYield,exDividendDate</t>
        </is>
      </c>
      <c r="D14" t="n">
        <v>1.419999957084656</v>
      </c>
      <c r="E14" t="n">
        <v>1.524999976158142</v>
      </c>
      <c r="F14" t="n">
        <v>1.524999976158142</v>
      </c>
      <c r="G14" t="n">
        <v>1.399999976158142</v>
      </c>
      <c r="H14" t="n">
        <v>1.370000004768372</v>
      </c>
      <c r="I14" t="n">
        <v>12647971</v>
      </c>
      <c r="J14" s="24" t="n">
        <v>46031.67361111111</v>
      </c>
      <c r="K14" t="n">
        <v>5191050</v>
      </c>
      <c r="L14" t="n">
        <v>2083462272</v>
      </c>
      <c r="M14" t="n">
        <v>1.525</v>
      </c>
      <c r="N14" t="n">
        <v>0.46</v>
      </c>
      <c r="O14" t="inlineStr">
        <is>
          <t>AUD</t>
        </is>
      </c>
      <c r="P14" t="n">
        <v>1.63</v>
      </c>
      <c r="Q14" t="n">
        <v>1.2</v>
      </c>
      <c r="R14" t="inlineStr"/>
      <c r="S14" t="inlineStr"/>
      <c r="T14" t="inlineStr"/>
      <c r="U14" t="inlineStr">
        <is>
          <t>12-Feb-2026</t>
        </is>
      </c>
    </row>
    <row r="15">
      <c r="A15" t="inlineStr">
        <is>
          <t>ADC.AX</t>
        </is>
      </c>
      <c r="B15" t="inlineStr">
        <is>
          <t>PARTIAL</t>
        </is>
      </c>
      <c r="C15" t="inlineStr">
        <is>
          <t>MissingFields,targetMeanPrice,recommendationMean,dividendRate,dividendYield,exDividendDate</t>
        </is>
      </c>
      <c r="D15" t="n">
        <v>0.06400000303983688</v>
      </c>
      <c r="E15" t="n">
        <v>0.05999999865889549</v>
      </c>
      <c r="F15" t="n">
        <v>0.06400000303983688</v>
      </c>
      <c r="G15" t="n">
        <v>0.05999999865889549</v>
      </c>
      <c r="H15" t="n">
        <v>0.06300000101327896</v>
      </c>
      <c r="I15" t="n">
        <v>14794</v>
      </c>
      <c r="J15" s="24" t="n">
        <v>46031.53611111111</v>
      </c>
      <c r="K15" t="n">
        <v>81817.71428571429</v>
      </c>
      <c r="L15" t="n">
        <v>4495845</v>
      </c>
      <c r="M15" t="n">
        <v>0.16</v>
      </c>
      <c r="N15" t="n">
        <v>0.036</v>
      </c>
      <c r="O15" t="inlineStr">
        <is>
          <t>AUD</t>
        </is>
      </c>
      <c r="P15" t="inlineStr"/>
      <c r="Q15" t="inlineStr"/>
      <c r="R15" t="inlineStr"/>
      <c r="S15" t="inlineStr"/>
      <c r="T15" t="inlineStr"/>
      <c r="U15" t="inlineStr"/>
    </row>
    <row r="16">
      <c r="A16" t="inlineStr">
        <is>
          <t>HAS.AX</t>
        </is>
      </c>
      <c r="B16" t="inlineStr">
        <is>
          <t>PARTIAL</t>
        </is>
      </c>
      <c r="C16" t="inlineStr">
        <is>
          <t>MissingFields,recommendationMean,dividendRate,dividendYield,exDividendDate</t>
        </is>
      </c>
      <c r="D16" t="n">
        <v>0.5899999737739563</v>
      </c>
      <c r="E16" t="n">
        <v>0.5899999737739563</v>
      </c>
      <c r="F16" t="n">
        <v>0.6000000238418579</v>
      </c>
      <c r="G16" t="n">
        <v>0.5649999976158142</v>
      </c>
      <c r="H16" t="n">
        <v>0.6000000238418579</v>
      </c>
      <c r="I16" t="n">
        <v>466802</v>
      </c>
      <c r="J16" s="24" t="n">
        <v>46031.67361111111</v>
      </c>
      <c r="K16" t="n">
        <v>401232.5714285714</v>
      </c>
      <c r="L16" t="n">
        <v>130901520</v>
      </c>
      <c r="M16" t="n">
        <v>1.03</v>
      </c>
      <c r="N16" t="n">
        <v>0.25</v>
      </c>
      <c r="O16" t="inlineStr">
        <is>
          <t>AUD</t>
        </is>
      </c>
      <c r="P16" t="n">
        <v>0.435</v>
      </c>
      <c r="Q16" t="inlineStr"/>
      <c r="R16" t="inlineStr"/>
      <c r="S16" t="inlineStr"/>
      <c r="T16" t="inlineStr"/>
      <c r="U16" t="inlineStr"/>
    </row>
    <row r="17">
      <c r="A17" t="inlineStr">
        <is>
          <t>AAPL</t>
        </is>
      </c>
      <c r="B17" t="inlineStr">
        <is>
          <t>OK</t>
        </is>
      </c>
      <c r="C17" t="inlineStr"/>
      <c r="D17" t="n">
        <v>259.0750122070312</v>
      </c>
      <c r="E17" t="n">
        <v>259.3699951171875</v>
      </c>
      <c r="F17" t="n">
        <v>260.2099914550781</v>
      </c>
      <c r="G17" t="n">
        <v>256.2200927734375</v>
      </c>
      <c r="H17" t="n">
        <v>259.1</v>
      </c>
      <c r="I17" t="n">
        <v>39911019</v>
      </c>
      <c r="J17" s="24" t="n">
        <v>46031.66597222222</v>
      </c>
      <c r="K17" t="n">
        <v>43110159.85714286</v>
      </c>
      <c r="L17" t="n">
        <v>3849151840256</v>
      </c>
      <c r="M17" t="n">
        <v>288.62</v>
      </c>
      <c r="N17" t="n">
        <v>169.21</v>
      </c>
      <c r="O17" t="inlineStr">
        <is>
          <t>USD</t>
        </is>
      </c>
      <c r="P17" t="n">
        <v>287.82877</v>
      </c>
      <c r="Q17" t="n">
        <v>2</v>
      </c>
      <c r="R17" t="n">
        <v>1.04</v>
      </c>
      <c r="S17" t="n">
        <v>0.4</v>
      </c>
      <c r="T17" t="inlineStr">
        <is>
          <t>01-Jan-1970</t>
        </is>
      </c>
      <c r="U17" t="inlineStr">
        <is>
          <t>29-Jan-2026</t>
        </is>
      </c>
    </row>
    <row r="18">
      <c r="A18" t="inlineStr">
        <is>
          <t>ADEA</t>
        </is>
      </c>
      <c r="B18" t="inlineStr">
        <is>
          <t>OK</t>
        </is>
      </c>
      <c r="C18" t="inlineStr"/>
      <c r="D18" t="n">
        <v>17.96999931335449</v>
      </c>
      <c r="E18" t="n">
        <v>18.54000091552734</v>
      </c>
      <c r="F18" t="n">
        <v>18.92000007629395</v>
      </c>
      <c r="G18" t="n">
        <v>17.75</v>
      </c>
      <c r="H18" t="n">
        <v>17.95</v>
      </c>
      <c r="I18" t="n">
        <v>735238</v>
      </c>
      <c r="J18" s="24" t="n">
        <v>46031.66597222222</v>
      </c>
      <c r="K18" t="n">
        <v>868234.2857142857</v>
      </c>
      <c r="L18" t="n">
        <v>2030319104</v>
      </c>
      <c r="M18" t="n">
        <v>19.01</v>
      </c>
      <c r="N18" t="n">
        <v>10.59</v>
      </c>
      <c r="O18" t="inlineStr">
        <is>
          <t>USD</t>
        </is>
      </c>
      <c r="P18" t="n">
        <v>22.75</v>
      </c>
      <c r="Q18" t="n">
        <v>1.5</v>
      </c>
      <c r="R18" t="n">
        <v>0.2</v>
      </c>
      <c r="S18" t="n">
        <v>1.11</v>
      </c>
      <c r="T18" t="inlineStr">
        <is>
          <t>01-Jan-1970</t>
        </is>
      </c>
      <c r="U18" t="inlineStr">
        <is>
          <t>03-Nov-2025</t>
        </is>
      </c>
    </row>
    <row r="19">
      <c r="A19" t="inlineStr">
        <is>
          <t>AET.L</t>
        </is>
      </c>
      <c r="B19" t="inlineStr">
        <is>
          <t>PARTIAL</t>
        </is>
      </c>
      <c r="C19" t="inlineStr">
        <is>
          <t>MissingFields,dividendRate,dividendYield,exDividendDate</t>
        </is>
      </c>
      <c r="D19" t="n">
        <v>40.70000076293945</v>
      </c>
      <c r="E19" t="n">
        <v>41.29999923706055</v>
      </c>
      <c r="F19" t="n">
        <v>41.90000152587891</v>
      </c>
      <c r="G19" t="n">
        <v>40.67599868774414</v>
      </c>
      <c r="H19" t="n">
        <v>40.7</v>
      </c>
      <c r="I19" t="n">
        <v>306309</v>
      </c>
      <c r="J19" s="24" t="n">
        <v>46031.67986111111</v>
      </c>
      <c r="K19" t="n">
        <v>619994.2857142857</v>
      </c>
      <c r="L19" t="n">
        <v>93402416</v>
      </c>
      <c r="M19" t="n">
        <v>56.2</v>
      </c>
      <c r="N19" t="n">
        <v>33.065</v>
      </c>
      <c r="O19" t="inlineStr">
        <is>
          <t>GBp</t>
        </is>
      </c>
      <c r="P19" t="n">
        <v>95.26000000000001</v>
      </c>
      <c r="Q19" t="n">
        <v>1</v>
      </c>
      <c r="R19" t="inlineStr"/>
      <c r="S19" t="inlineStr"/>
      <c r="T19" t="inlineStr"/>
      <c r="U19" t="inlineStr"/>
    </row>
    <row r="20">
      <c r="A20" t="inlineStr">
        <is>
          <t>AMZN</t>
        </is>
      </c>
      <c r="B20" t="inlineStr">
        <is>
          <t>PARTIAL</t>
        </is>
      </c>
      <c r="C20" t="inlineStr">
        <is>
          <t>MissingFields,dividendRate,dividendYield,exDividendDate</t>
        </is>
      </c>
      <c r="D20" t="n">
        <v>244.5679931640625</v>
      </c>
      <c r="E20" t="n">
        <v>247.3800048828125</v>
      </c>
      <c r="F20" t="n">
        <v>247.8600006103516</v>
      </c>
      <c r="G20" t="n">
        <v>242.25</v>
      </c>
      <c r="H20" t="n">
        <v>245.9</v>
      </c>
      <c r="I20" t="n">
        <v>32191833</v>
      </c>
      <c r="J20" s="24" t="n">
        <v>46031.66597222222</v>
      </c>
      <c r="K20" t="n">
        <v>41896576.14285714</v>
      </c>
      <c r="L20" t="n">
        <v>2644545634304</v>
      </c>
      <c r="M20" t="n">
        <v>258.6</v>
      </c>
      <c r="N20" t="n">
        <v>161.38</v>
      </c>
      <c r="O20" t="inlineStr">
        <is>
          <t>USD</t>
        </is>
      </c>
      <c r="P20" t="n">
        <v>294.9478</v>
      </c>
      <c r="Q20" t="n">
        <v>1.32836</v>
      </c>
      <c r="R20" t="inlineStr"/>
      <c r="S20" t="inlineStr"/>
      <c r="T20" t="inlineStr"/>
      <c r="U20" t="inlineStr">
        <is>
          <t>05-Feb-2026</t>
        </is>
      </c>
    </row>
    <row r="21">
      <c r="A21" t="inlineStr">
        <is>
          <t>ALDNE.PA</t>
        </is>
      </c>
      <c r="B21" t="inlineStr">
        <is>
          <t>PARTIAL</t>
        </is>
      </c>
      <c r="C21" t="inlineStr">
        <is>
          <t>MissingFields,recommendationMean,dividendRate,dividendYield,exDividendDate</t>
        </is>
      </c>
      <c r="D21" t="n">
        <v>0.6299999952316284</v>
      </c>
      <c r="E21" t="n">
        <v>0.6880000233650208</v>
      </c>
      <c r="F21" t="n">
        <v>0.699999988079071</v>
      </c>
      <c r="G21" t="n">
        <v>0.6299999952316284</v>
      </c>
      <c r="H21" t="n">
        <v>0.6499999761581421</v>
      </c>
      <c r="I21" t="n">
        <v>14451</v>
      </c>
      <c r="J21" s="24" t="n">
        <v>46031.68402777778</v>
      </c>
      <c r="K21" t="n">
        <v>4108</v>
      </c>
      <c r="L21" t="n">
        <v>8942368</v>
      </c>
      <c r="M21" t="n">
        <v>1.425</v>
      </c>
      <c r="N21" t="n">
        <v>0.55</v>
      </c>
      <c r="O21" t="inlineStr">
        <is>
          <t>EUR</t>
        </is>
      </c>
      <c r="P21" t="n">
        <v>1.56667</v>
      </c>
      <c r="Q21" t="inlineStr"/>
      <c r="R21" t="inlineStr"/>
      <c r="S21" t="inlineStr"/>
      <c r="T21" t="inlineStr"/>
      <c r="U21" t="inlineStr"/>
    </row>
    <row r="22">
      <c r="A22" t="inlineStr">
        <is>
          <t>ASML.AS</t>
        </is>
      </c>
      <c r="B22" t="inlineStr">
        <is>
          <t>OK</t>
        </is>
      </c>
      <c r="C22" t="inlineStr"/>
      <c r="D22" t="n">
        <v>1025.599975585938</v>
      </c>
      <c r="E22" t="n">
        <v>1081.599975585938</v>
      </c>
      <c r="F22" t="n">
        <v>1083.900024414062</v>
      </c>
      <c r="G22" t="n">
        <v>1021</v>
      </c>
      <c r="H22" t="n">
        <v>1013.200012207031</v>
      </c>
      <c r="I22" t="n">
        <v>757403</v>
      </c>
      <c r="J22" s="24" t="n">
        <v>46031.72847222222</v>
      </c>
      <c r="K22" t="n">
        <v>651346.5714285715</v>
      </c>
      <c r="L22" t="n">
        <v>419820535808</v>
      </c>
      <c r="M22" t="n">
        <v>1083.9</v>
      </c>
      <c r="N22" t="n">
        <v>508.4</v>
      </c>
      <c r="O22" t="inlineStr">
        <is>
          <t>EUR</t>
        </is>
      </c>
      <c r="P22" t="n">
        <v>1080.2903</v>
      </c>
      <c r="Q22" t="n">
        <v>1.54054</v>
      </c>
      <c r="R22" t="n">
        <v>6.4</v>
      </c>
      <c r="S22" t="n">
        <v>0.63</v>
      </c>
      <c r="T22" t="inlineStr">
        <is>
          <t>01-Jan-1970</t>
        </is>
      </c>
      <c r="U22" t="inlineStr">
        <is>
          <t>15-Oct-2025</t>
        </is>
      </c>
    </row>
    <row r="23">
      <c r="A23" t="inlineStr">
        <is>
          <t>AVGO</t>
        </is>
      </c>
      <c r="B23" t="inlineStr">
        <is>
          <t>OK</t>
        </is>
      </c>
      <c r="C23" t="inlineStr"/>
      <c r="D23" t="n">
        <v>337.9200134277344</v>
      </c>
      <c r="E23" t="n">
        <v>344.9700012207031</v>
      </c>
      <c r="F23" t="n">
        <v>347.3900146484375</v>
      </c>
      <c r="G23" t="n">
        <v>333.5</v>
      </c>
      <c r="H23" t="n">
        <v>332.25</v>
      </c>
      <c r="I23" t="n">
        <v>21346815</v>
      </c>
      <c r="J23" s="24" t="n">
        <v>46031.66597222222</v>
      </c>
      <c r="K23" t="n">
        <v>23571073.57142857</v>
      </c>
      <c r="L23" t="n">
        <v>1635597156352</v>
      </c>
      <c r="M23" t="n">
        <v>414.61</v>
      </c>
      <c r="N23" t="n">
        <v>138.1</v>
      </c>
      <c r="O23" t="inlineStr">
        <is>
          <t>USD</t>
        </is>
      </c>
      <c r="P23" t="n">
        <v>457.03455</v>
      </c>
      <c r="Q23" t="n">
        <v>1.27083</v>
      </c>
      <c r="R23" t="n">
        <v>2.6</v>
      </c>
      <c r="S23" t="n">
        <v>0.78</v>
      </c>
      <c r="T23" t="inlineStr">
        <is>
          <t>01-Jan-1970</t>
        </is>
      </c>
      <c r="U23" t="inlineStr">
        <is>
          <t>04-Mar-2026</t>
        </is>
      </c>
    </row>
    <row r="24">
      <c r="A24" t="inlineStr">
        <is>
          <t>AZN</t>
        </is>
      </c>
      <c r="B24" t="inlineStr">
        <is>
          <t>OK</t>
        </is>
      </c>
      <c r="C24" t="inlineStr"/>
      <c r="D24" t="n">
        <v>95.23999786376953</v>
      </c>
      <c r="E24" t="n">
        <v>94.65000152587891</v>
      </c>
      <c r="F24" t="n">
        <v>95.93499755859375</v>
      </c>
      <c r="G24" t="n">
        <v>94.53500366210938</v>
      </c>
      <c r="H24" t="n">
        <v>95.0595</v>
      </c>
      <c r="I24" t="n">
        <v>6069223</v>
      </c>
      <c r="J24" s="24" t="n">
        <v>46031.66597222222</v>
      </c>
      <c r="K24" t="n">
        <v>5170589</v>
      </c>
      <c r="L24" t="n">
        <v>293468667904</v>
      </c>
      <c r="M24" t="n">
        <v>96.51000000000001</v>
      </c>
      <c r="N24" t="n">
        <v>61.24</v>
      </c>
      <c r="O24" t="inlineStr">
        <is>
          <t>USD</t>
        </is>
      </c>
      <c r="P24" t="n">
        <v>98.95545</v>
      </c>
      <c r="Q24" t="n">
        <v>1.36364</v>
      </c>
      <c r="R24" t="n">
        <v>1.57</v>
      </c>
      <c r="S24" t="n">
        <v>1.66</v>
      </c>
      <c r="T24" t="inlineStr">
        <is>
          <t>01-Jan-1970</t>
        </is>
      </c>
      <c r="U24" t="inlineStr">
        <is>
          <t>10-Feb-2026</t>
        </is>
      </c>
    </row>
    <row r="25">
      <c r="A25" t="inlineStr">
        <is>
          <t>BLDP</t>
        </is>
      </c>
      <c r="B25" t="inlineStr">
        <is>
          <t>PARTIAL</t>
        </is>
      </c>
      <c r="C25" t="inlineStr">
        <is>
          <t>MissingFields,dividendRate,dividendYield,exDividendDate</t>
        </is>
      </c>
      <c r="D25" t="n">
        <v>2.75</v>
      </c>
      <c r="E25" t="n">
        <v>2.759999990463257</v>
      </c>
      <c r="F25" t="n">
        <v>2.788899898529053</v>
      </c>
      <c r="G25" t="n">
        <v>2.714999914169312</v>
      </c>
      <c r="H25" t="n">
        <v>2.73</v>
      </c>
      <c r="I25" t="n">
        <v>2900997</v>
      </c>
      <c r="J25" s="24" t="n">
        <v>46031.66597222222</v>
      </c>
      <c r="K25" t="n">
        <v>3050728.142857143</v>
      </c>
      <c r="L25" t="n">
        <v>830038656</v>
      </c>
      <c r="M25" t="n">
        <v>4.1</v>
      </c>
      <c r="N25" t="n">
        <v>1</v>
      </c>
      <c r="O25" t="inlineStr">
        <is>
          <t>USD</t>
        </is>
      </c>
      <c r="P25" t="n">
        <v>2.9875</v>
      </c>
      <c r="Q25" t="n">
        <v>3.42857</v>
      </c>
      <c r="R25" t="inlineStr"/>
      <c r="S25" t="inlineStr"/>
      <c r="T25" t="inlineStr"/>
      <c r="U25" t="inlineStr">
        <is>
          <t>13-Nov-2025</t>
        </is>
      </c>
    </row>
    <row r="26">
      <c r="A26" t="inlineStr">
        <is>
          <t>BMRA</t>
        </is>
      </c>
      <c r="B26" t="inlineStr">
        <is>
          <t>PARTIAL</t>
        </is>
      </c>
      <c r="C26" t="inlineStr">
        <is>
          <t>MissingFields,targetMeanPrice,recommendationMean,dividendRate,dividendYield,exDividendDate</t>
        </is>
      </c>
      <c r="D26" t="n">
        <v>2.829999923706055</v>
      </c>
      <c r="E26" t="n">
        <v>2.730000019073486</v>
      </c>
      <c r="F26" t="n">
        <v>2.829999923706055</v>
      </c>
      <c r="G26" t="n">
        <v>2.700000047683716</v>
      </c>
      <c r="H26" t="n">
        <v>2.7</v>
      </c>
      <c r="I26" t="n">
        <v>30678</v>
      </c>
      <c r="J26" s="24" t="n">
        <v>46031.66597222222</v>
      </c>
      <c r="K26" t="n">
        <v>38711.14285714286</v>
      </c>
      <c r="L26" t="n">
        <v>8047947</v>
      </c>
      <c r="M26" t="n">
        <v>10.16</v>
      </c>
      <c r="N26" t="n">
        <v>2.11</v>
      </c>
      <c r="O26" t="inlineStr">
        <is>
          <t>USD</t>
        </is>
      </c>
      <c r="P26" t="inlineStr"/>
      <c r="Q26" t="inlineStr"/>
      <c r="R26" t="inlineStr"/>
      <c r="S26" t="inlineStr"/>
      <c r="T26" t="inlineStr"/>
      <c r="U26" t="inlineStr"/>
    </row>
    <row r="27">
      <c r="A27" t="inlineStr">
        <is>
          <t>C</t>
        </is>
      </c>
      <c r="B27" t="inlineStr">
        <is>
          <t>OK</t>
        </is>
      </c>
      <c r="C27" t="inlineStr"/>
      <c r="D27" t="n">
        <v>120.9400024414062</v>
      </c>
      <c r="E27" t="n">
        <v>121.3199996948242</v>
      </c>
      <c r="F27" t="n">
        <v>121.7399978637695</v>
      </c>
      <c r="G27" t="n">
        <v>120.1500015258789</v>
      </c>
      <c r="H27" t="n">
        <v>120.81</v>
      </c>
      <c r="I27" t="n">
        <v>7519690</v>
      </c>
      <c r="J27" s="24" t="n">
        <v>46031.66597222222</v>
      </c>
      <c r="K27" t="n">
        <v>11614170</v>
      </c>
      <c r="L27" t="n">
        <v>223337742336</v>
      </c>
      <c r="M27" t="n">
        <v>124.17</v>
      </c>
      <c r="N27" t="n">
        <v>55.51</v>
      </c>
      <c r="O27" t="inlineStr">
        <is>
          <t>USD</t>
        </is>
      </c>
      <c r="P27" t="n">
        <v>131.33333</v>
      </c>
      <c r="Q27" t="n">
        <v>1.77273</v>
      </c>
      <c r="R27" t="n">
        <v>2.4</v>
      </c>
      <c r="S27" t="n">
        <v>1.99</v>
      </c>
      <c r="T27" t="inlineStr">
        <is>
          <t>01-Jan-1970</t>
        </is>
      </c>
      <c r="U27" t="inlineStr">
        <is>
          <t>14-Jan-2026</t>
        </is>
      </c>
    </row>
    <row r="28">
      <c r="A28" t="inlineStr">
        <is>
          <t>CSCO</t>
        </is>
      </c>
      <c r="B28" t="inlineStr">
        <is>
          <t>OK</t>
        </is>
      </c>
      <c r="C28" t="inlineStr"/>
      <c r="D28" t="n">
        <v>73.44999694824219</v>
      </c>
      <c r="E28" t="n">
        <v>73.87999725341797</v>
      </c>
      <c r="F28" t="n">
        <v>74.32810211181641</v>
      </c>
      <c r="G28" t="n">
        <v>73.33499908447266</v>
      </c>
      <c r="H28" t="n">
        <v>73.98</v>
      </c>
      <c r="I28" t="n">
        <v>18848377</v>
      </c>
      <c r="J28" s="24" t="n">
        <v>46031.66597222222</v>
      </c>
      <c r="K28" t="n">
        <v>17007753.85714286</v>
      </c>
      <c r="L28" t="n">
        <v>291906846720</v>
      </c>
      <c r="M28" t="n">
        <v>80.81999999999999</v>
      </c>
      <c r="N28" t="n">
        <v>52.11</v>
      </c>
      <c r="O28" t="inlineStr">
        <is>
          <t>USD</t>
        </is>
      </c>
      <c r="P28" t="n">
        <v>85.43380999999999</v>
      </c>
      <c r="Q28" t="inlineStr"/>
      <c r="R28" t="n">
        <v>1.64</v>
      </c>
      <c r="S28" t="n">
        <v>2.22</v>
      </c>
      <c r="T28" t="inlineStr">
        <is>
          <t>01-Jan-1970</t>
        </is>
      </c>
      <c r="U28" t="inlineStr">
        <is>
          <t>11-Feb-2026</t>
        </is>
      </c>
    </row>
    <row r="29">
      <c r="A29" t="inlineStr">
        <is>
          <t>CVS</t>
        </is>
      </c>
      <c r="B29" t="inlineStr">
        <is>
          <t>OK</t>
        </is>
      </c>
      <c r="C29" t="inlineStr"/>
      <c r="D29" t="n">
        <v>80.80999755859375</v>
      </c>
      <c r="E29" t="n">
        <v>80.30000305175781</v>
      </c>
      <c r="F29" t="n">
        <v>81.15000152587891</v>
      </c>
      <c r="G29" t="n">
        <v>79.29139709472656</v>
      </c>
      <c r="H29" t="n">
        <v>80.79000000000001</v>
      </c>
      <c r="I29" t="n">
        <v>6844792</v>
      </c>
      <c r="J29" s="24" t="n">
        <v>46031.66597222222</v>
      </c>
      <c r="K29" t="n">
        <v>6747598.857142857</v>
      </c>
      <c r="L29" t="n">
        <v>101935431680</v>
      </c>
      <c r="M29" t="n">
        <v>85.15000000000001</v>
      </c>
      <c r="N29" t="n">
        <v>46.34</v>
      </c>
      <c r="O29" t="inlineStr">
        <is>
          <t>USD</t>
        </is>
      </c>
      <c r="P29" t="n">
        <v>94.95999999999999</v>
      </c>
      <c r="Q29" t="n">
        <v>1.51852</v>
      </c>
      <c r="R29" t="n">
        <v>2.66</v>
      </c>
      <c r="S29" t="n">
        <v>3.3</v>
      </c>
      <c r="T29" t="inlineStr">
        <is>
          <t>01-Jan-1970</t>
        </is>
      </c>
      <c r="U29" t="inlineStr">
        <is>
          <t>11-Feb-2026</t>
        </is>
      </c>
    </row>
    <row r="30">
      <c r="A30" t="inlineStr">
        <is>
          <t>DDD</t>
        </is>
      </c>
      <c r="B30" t="inlineStr">
        <is>
          <t>PARTIAL</t>
        </is>
      </c>
      <c r="C30" t="inlineStr">
        <is>
          <t>MissingFields,recommendationMean,dividendRate,dividendYield,exDividendDate</t>
        </is>
      </c>
      <c r="D30" t="n">
        <v>2.720000028610229</v>
      </c>
      <c r="E30" t="n">
        <v>2.329999923706055</v>
      </c>
      <c r="F30" t="n">
        <v>2.720000028610229</v>
      </c>
      <c r="G30" t="n">
        <v>2.210000038146973</v>
      </c>
      <c r="H30" t="n">
        <v>2.7383</v>
      </c>
      <c r="I30" t="n">
        <v>13647540</v>
      </c>
      <c r="J30" s="24" t="n">
        <v>46031.66597222222</v>
      </c>
      <c r="K30" t="n">
        <v>7032905.714285715</v>
      </c>
      <c r="L30" t="n">
        <v>340316736</v>
      </c>
      <c r="M30" t="n">
        <v>5</v>
      </c>
      <c r="N30" t="n">
        <v>1.32</v>
      </c>
      <c r="O30" t="inlineStr">
        <is>
          <t>USD</t>
        </is>
      </c>
      <c r="P30" t="n">
        <v>3.625</v>
      </c>
      <c r="Q30" t="inlineStr"/>
      <c r="R30" t="inlineStr"/>
      <c r="S30" t="inlineStr"/>
      <c r="T30" t="inlineStr"/>
      <c r="U30" t="inlineStr">
        <is>
          <t>04-Nov-2025</t>
        </is>
      </c>
    </row>
    <row r="31">
      <c r="A31" t="inlineStr">
        <is>
          <t>DIS</t>
        </is>
      </c>
      <c r="B31" t="inlineStr">
        <is>
          <t>OK</t>
        </is>
      </c>
      <c r="C31" t="inlineStr"/>
      <c r="D31" t="n">
        <v>114.3099975585938</v>
      </c>
      <c r="E31" t="n">
        <v>115.879997253418</v>
      </c>
      <c r="F31" t="n">
        <v>115.9599990844727</v>
      </c>
      <c r="G31" t="n">
        <v>113.9000015258789</v>
      </c>
      <c r="H31" t="n">
        <v>114.15</v>
      </c>
      <c r="I31" t="n">
        <v>7309872</v>
      </c>
      <c r="J31" s="24" t="n">
        <v>46031.66597222222</v>
      </c>
      <c r="K31" t="n">
        <v>8616553.142857144</v>
      </c>
      <c r="L31" t="n">
        <v>208344563712</v>
      </c>
      <c r="M31" t="n">
        <v>124.69</v>
      </c>
      <c r="N31" t="n">
        <v>80.09999999999999</v>
      </c>
      <c r="O31" t="inlineStr">
        <is>
          <t>USD</t>
        </is>
      </c>
      <c r="P31" t="n">
        <v>132.7357</v>
      </c>
      <c r="Q31" t="n">
        <v>1.64516</v>
      </c>
      <c r="R31" t="n">
        <v>1.5</v>
      </c>
      <c r="S31" t="n">
        <v>1.31</v>
      </c>
      <c r="T31" t="inlineStr">
        <is>
          <t>01-Jan-1970</t>
        </is>
      </c>
      <c r="U31" t="inlineStr">
        <is>
          <t>04-Feb-2026</t>
        </is>
      </c>
    </row>
    <row r="32">
      <c r="A32" t="inlineStr">
        <is>
          <t>DSY.PA</t>
        </is>
      </c>
      <c r="B32" t="inlineStr">
        <is>
          <t>OK</t>
        </is>
      </c>
      <c r="C32" t="inlineStr"/>
      <c r="D32" t="n">
        <v>24.26000022888184</v>
      </c>
      <c r="E32" t="n">
        <v>24.75</v>
      </c>
      <c r="F32" t="n">
        <v>24.90999984741211</v>
      </c>
      <c r="G32" t="n">
        <v>24.20000076293945</v>
      </c>
      <c r="H32" t="n">
        <v>24.22999954223633</v>
      </c>
      <c r="I32" t="n">
        <v>2290882</v>
      </c>
      <c r="J32" s="24" t="n">
        <v>46031.72847222222</v>
      </c>
      <c r="K32" t="n">
        <v>1748757.285714286</v>
      </c>
      <c r="L32" t="n">
        <v>32582021120</v>
      </c>
      <c r="M32" t="n">
        <v>41.17</v>
      </c>
      <c r="N32" t="n">
        <v>22.79</v>
      </c>
      <c r="O32" t="inlineStr">
        <is>
          <t>EUR</t>
        </is>
      </c>
      <c r="P32" t="n">
        <v>30.73889</v>
      </c>
      <c r="Q32" t="n">
        <v>2.36842</v>
      </c>
      <c r="R32" t="n">
        <v>0.26</v>
      </c>
      <c r="S32" t="n">
        <v>1.07</v>
      </c>
      <c r="T32" t="inlineStr">
        <is>
          <t>01-Jan-1970</t>
        </is>
      </c>
      <c r="U32" t="inlineStr">
        <is>
          <t>23-Oct-2025</t>
        </is>
      </c>
    </row>
    <row r="33">
      <c r="A33" t="inlineStr">
        <is>
          <t>DVA</t>
        </is>
      </c>
      <c r="B33" t="inlineStr">
        <is>
          <t>PARTIAL</t>
        </is>
      </c>
      <c r="C33" t="inlineStr">
        <is>
          <t>MissingFields,dividendRate,dividendYield,exDividendDate</t>
        </is>
      </c>
      <c r="D33" t="n">
        <v>113</v>
      </c>
      <c r="E33" t="n">
        <v>111.4499969482422</v>
      </c>
      <c r="F33" t="n">
        <v>113.504997253418</v>
      </c>
      <c r="G33" t="n">
        <v>108.6675033569336</v>
      </c>
      <c r="H33" t="n">
        <v>112.59</v>
      </c>
      <c r="I33" t="n">
        <v>904646</v>
      </c>
      <c r="J33" s="24" t="n">
        <v>46031.66597222222</v>
      </c>
      <c r="K33" t="n">
        <v>800406.5714285715</v>
      </c>
      <c r="L33" t="n">
        <v>7968674816</v>
      </c>
      <c r="M33" t="n">
        <v>179.6</v>
      </c>
      <c r="N33" t="n">
        <v>108.6675</v>
      </c>
      <c r="O33" t="inlineStr">
        <is>
          <t>USD</t>
        </is>
      </c>
      <c r="P33" t="n">
        <v>143</v>
      </c>
      <c r="Q33" t="n">
        <v>2.88889</v>
      </c>
      <c r="R33" t="inlineStr"/>
      <c r="S33" t="inlineStr"/>
      <c r="T33" t="inlineStr"/>
      <c r="U33" t="inlineStr">
        <is>
          <t>29-Oct-2025</t>
        </is>
      </c>
    </row>
    <row r="34">
      <c r="A34" t="inlineStr">
        <is>
          <t>DXC</t>
        </is>
      </c>
      <c r="B34" t="inlineStr">
        <is>
          <t>OK</t>
        </is>
      </c>
      <c r="C34" t="inlineStr"/>
      <c r="D34" t="n">
        <v>15.26000022888184</v>
      </c>
      <c r="E34" t="n">
        <v>15.38000011444092</v>
      </c>
      <c r="F34" t="n">
        <v>15.47500038146973</v>
      </c>
      <c r="G34" t="n">
        <v>15.0600004196167</v>
      </c>
      <c r="H34" t="n">
        <v>15.07</v>
      </c>
      <c r="I34" t="n">
        <v>1191436</v>
      </c>
      <c r="J34" s="24" t="n">
        <v>46031.66597222222</v>
      </c>
      <c r="K34" t="n">
        <v>1582776.571428571</v>
      </c>
      <c r="L34" t="n">
        <v>2752999680</v>
      </c>
      <c r="M34" t="n">
        <v>23.75</v>
      </c>
      <c r="N34" t="n">
        <v>11.82</v>
      </c>
      <c r="O34" t="inlineStr">
        <is>
          <t>USD</t>
        </is>
      </c>
      <c r="P34" t="n">
        <v>14.625</v>
      </c>
      <c r="Q34" t="n">
        <v>3.33333</v>
      </c>
      <c r="R34" t="inlineStr"/>
      <c r="S34" t="inlineStr"/>
      <c r="T34" t="inlineStr">
        <is>
          <t>01-Jan-1970</t>
        </is>
      </c>
      <c r="U34" t="inlineStr">
        <is>
          <t>29-Jan-2026</t>
        </is>
      </c>
    </row>
    <row r="35">
      <c r="A35" t="inlineStr">
        <is>
          <t>EOAN.DE</t>
        </is>
      </c>
      <c r="B35" t="inlineStr">
        <is>
          <t>OK</t>
        </is>
      </c>
      <c r="C35" t="inlineStr"/>
      <c r="D35" t="n">
        <v>16.84000015258789</v>
      </c>
      <c r="E35" t="n">
        <v>16.83499908447266</v>
      </c>
      <c r="F35" t="n">
        <v>16.93499946594238</v>
      </c>
      <c r="G35" t="n">
        <v>16.70999908447266</v>
      </c>
      <c r="H35" t="n">
        <v>16.945</v>
      </c>
      <c r="I35" t="n">
        <v>4666341</v>
      </c>
      <c r="J35" s="24" t="n">
        <v>46031.72847222222</v>
      </c>
      <c r="K35" t="n">
        <v>3738718.142857143</v>
      </c>
      <c r="L35" t="n">
        <v>43991166976</v>
      </c>
      <c r="M35" t="n">
        <v>16.965</v>
      </c>
      <c r="N35" t="n">
        <v>10.435</v>
      </c>
      <c r="O35" t="inlineStr">
        <is>
          <t>EUR</t>
        </is>
      </c>
      <c r="P35" t="n">
        <v>17.01653</v>
      </c>
      <c r="Q35" t="n">
        <v>2.11765</v>
      </c>
      <c r="R35" t="n">
        <v>0.55</v>
      </c>
      <c r="S35" t="n">
        <v>3.25</v>
      </c>
      <c r="T35" t="inlineStr">
        <is>
          <t>01-Jan-1970</t>
        </is>
      </c>
      <c r="U35" t="inlineStr">
        <is>
          <t>12-Nov-2025</t>
        </is>
      </c>
    </row>
    <row r="36">
      <c r="A36" t="inlineStr">
        <is>
          <t>EPIX</t>
        </is>
      </c>
      <c r="B36" t="inlineStr">
        <is>
          <t>NO_DATA</t>
        </is>
      </c>
      <c r="C36" t="inlineStr">
        <is>
          <t>'currentTradingPeriod'</t>
        </is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/>
      <c r="P36" t="inlineStr"/>
      <c r="Q36" t="inlineStr"/>
      <c r="R36" t="inlineStr"/>
      <c r="S36" t="inlineStr"/>
      <c r="T36" t="inlineStr"/>
      <c r="U36" t="inlineStr"/>
    </row>
    <row r="37">
      <c r="A37" t="inlineStr">
        <is>
          <t>GM</t>
        </is>
      </c>
      <c r="B37" t="inlineStr">
        <is>
          <t>OK</t>
        </is>
      </c>
      <c r="C37" t="inlineStr"/>
      <c r="D37" t="n">
        <v>83.51000213623047</v>
      </c>
      <c r="E37" t="n">
        <v>82.87000274658203</v>
      </c>
      <c r="F37" t="n">
        <v>84.41000366210938</v>
      </c>
      <c r="G37" t="n">
        <v>81</v>
      </c>
      <c r="H37" t="n">
        <v>83.69</v>
      </c>
      <c r="I37" t="n">
        <v>12140274</v>
      </c>
      <c r="J37" s="24" t="n">
        <v>46031.66597222222</v>
      </c>
      <c r="K37" t="n">
        <v>8648510.571428571</v>
      </c>
      <c r="L37" t="n">
        <v>78898692096</v>
      </c>
      <c r="M37" t="n">
        <v>85.18000000000001</v>
      </c>
      <c r="N37" t="n">
        <v>41.6</v>
      </c>
      <c r="O37" t="inlineStr">
        <is>
          <t>USD</t>
        </is>
      </c>
      <c r="P37" t="n">
        <v>81.16667</v>
      </c>
      <c r="Q37" t="n">
        <v>2</v>
      </c>
      <c r="R37" t="n">
        <v>0.6</v>
      </c>
      <c r="S37" t="n">
        <v>0.7</v>
      </c>
      <c r="T37" t="inlineStr">
        <is>
          <t>01-Jan-1970</t>
        </is>
      </c>
      <c r="U37" t="inlineStr">
        <is>
          <t>27-Jan-2026</t>
        </is>
      </c>
    </row>
    <row r="38">
      <c r="A38" t="inlineStr">
        <is>
          <t>HPE</t>
        </is>
      </c>
      <c r="B38" t="inlineStr">
        <is>
          <t>OK</t>
        </is>
      </c>
      <c r="C38" t="inlineStr"/>
      <c r="D38" t="n">
        <v>22.10000038146973</v>
      </c>
      <c r="E38" t="n">
        <v>22.17000007629395</v>
      </c>
      <c r="F38" t="n">
        <v>22.38999938964844</v>
      </c>
      <c r="G38" t="n">
        <v>21.76000022888184</v>
      </c>
      <c r="H38" t="n">
        <v>22.0987</v>
      </c>
      <c r="I38" t="n">
        <v>22126528</v>
      </c>
      <c r="J38" s="24" t="n">
        <v>46031.66597222222</v>
      </c>
      <c r="K38" t="n">
        <v>19013918.28571429</v>
      </c>
      <c r="L38" t="n">
        <v>29586599936</v>
      </c>
      <c r="M38" t="n">
        <v>26.44</v>
      </c>
      <c r="N38" t="n">
        <v>11.965</v>
      </c>
      <c r="O38" t="inlineStr">
        <is>
          <t>USD</t>
        </is>
      </c>
      <c r="P38" t="n">
        <v>26.27778</v>
      </c>
      <c r="Q38" t="inlineStr"/>
      <c r="R38" t="n">
        <v>0.57</v>
      </c>
      <c r="S38" t="n">
        <v>2.59</v>
      </c>
      <c r="T38" t="inlineStr">
        <is>
          <t>01-Jan-1970</t>
        </is>
      </c>
      <c r="U38" t="inlineStr">
        <is>
          <t>04-Dec-2025</t>
        </is>
      </c>
    </row>
    <row r="39">
      <c r="A39" t="inlineStr">
        <is>
          <t>HPQ</t>
        </is>
      </c>
      <c r="B39" t="inlineStr">
        <is>
          <t>OK</t>
        </is>
      </c>
      <c r="C39" t="inlineStr"/>
      <c r="D39" t="n">
        <v>21.61000061035156</v>
      </c>
      <c r="E39" t="n">
        <v>21.46999931335449</v>
      </c>
      <c r="F39" t="n">
        <v>21.63999938964844</v>
      </c>
      <c r="G39" t="n">
        <v>20.92000007629395</v>
      </c>
      <c r="H39" t="n">
        <v>21.56</v>
      </c>
      <c r="I39" t="n">
        <v>17088235</v>
      </c>
      <c r="J39" s="24" t="n">
        <v>46031.66597222222</v>
      </c>
      <c r="K39" t="n">
        <v>18003005</v>
      </c>
      <c r="L39" t="n">
        <v>20068046848</v>
      </c>
      <c r="M39" t="n">
        <v>35.28</v>
      </c>
      <c r="N39" t="n">
        <v>20.65</v>
      </c>
      <c r="O39" t="inlineStr">
        <is>
          <t>USD</t>
        </is>
      </c>
      <c r="P39" t="n">
        <v>25.88125</v>
      </c>
      <c r="Q39" t="n">
        <v>2.94118</v>
      </c>
      <c r="R39" t="n">
        <v>1.2</v>
      </c>
      <c r="S39" t="n">
        <v>5.61</v>
      </c>
      <c r="T39" t="inlineStr">
        <is>
          <t>01-Jan-1970</t>
        </is>
      </c>
      <c r="U39" t="inlineStr">
        <is>
          <t>25-Nov-2025</t>
        </is>
      </c>
    </row>
    <row r="40">
      <c r="A40" t="inlineStr">
        <is>
          <t>IAG.L</t>
        </is>
      </c>
      <c r="B40" t="inlineStr">
        <is>
          <t>OK</t>
        </is>
      </c>
      <c r="C40" t="inlineStr"/>
      <c r="D40" t="n">
        <v>433.6000061035156</v>
      </c>
      <c r="E40" t="n">
        <v>424.1000061035156</v>
      </c>
      <c r="F40" t="n">
        <v>435.8999938964844</v>
      </c>
      <c r="G40" t="n">
        <v>420</v>
      </c>
      <c r="H40" t="n">
        <v>435.9</v>
      </c>
      <c r="I40" t="n">
        <v>11213137</v>
      </c>
      <c r="J40" s="24" t="n">
        <v>46031.68680555555</v>
      </c>
      <c r="K40" t="n">
        <v>13459445.57142857</v>
      </c>
      <c r="L40" t="n">
        <v>19360274432</v>
      </c>
      <c r="M40" t="n">
        <v>438.6</v>
      </c>
      <c r="N40" t="n">
        <v>210</v>
      </c>
      <c r="O40" t="inlineStr">
        <is>
          <t>GBp</t>
        </is>
      </c>
      <c r="P40" t="n">
        <v>474.12796</v>
      </c>
      <c r="Q40" t="n">
        <v>1.8</v>
      </c>
      <c r="R40" t="n">
        <v>0.09</v>
      </c>
      <c r="S40" t="n">
        <v>2.14</v>
      </c>
      <c r="T40" t="inlineStr">
        <is>
          <t>01-Jan-1970</t>
        </is>
      </c>
      <c r="U40" t="inlineStr">
        <is>
          <t>07-Nov-2025</t>
        </is>
      </c>
    </row>
    <row r="41">
      <c r="A41" t="inlineStr">
        <is>
          <t>KR</t>
        </is>
      </c>
      <c r="B41" t="inlineStr">
        <is>
          <t>OK</t>
        </is>
      </c>
      <c r="C41" t="inlineStr"/>
      <c r="D41" t="n">
        <v>59.77999877929688</v>
      </c>
      <c r="E41" t="n">
        <v>59.5099983215332</v>
      </c>
      <c r="F41" t="n">
        <v>60.08000183105469</v>
      </c>
      <c r="G41" t="n">
        <v>58.75</v>
      </c>
      <c r="H41" t="n">
        <v>59.95</v>
      </c>
      <c r="I41" t="n">
        <v>7336382</v>
      </c>
      <c r="J41" s="24" t="n">
        <v>46031.66597222222</v>
      </c>
      <c r="K41" t="n">
        <v>7092668.857142857</v>
      </c>
      <c r="L41" t="n">
        <v>39435980800</v>
      </c>
      <c r="M41" t="n">
        <v>74.90000000000001</v>
      </c>
      <c r="N41" t="n">
        <v>58.12</v>
      </c>
      <c r="O41" t="inlineStr">
        <is>
          <t>USD</t>
        </is>
      </c>
      <c r="P41" t="n">
        <v>73.86364</v>
      </c>
      <c r="Q41" t="n">
        <v>2.08333</v>
      </c>
      <c r="R41" t="n">
        <v>1.4</v>
      </c>
      <c r="S41" t="n">
        <v>2.34</v>
      </c>
      <c r="T41" t="inlineStr">
        <is>
          <t>01-Jan-1970</t>
        </is>
      </c>
      <c r="U41" t="inlineStr">
        <is>
          <t>05-Mar-2026</t>
        </is>
      </c>
    </row>
    <row r="42">
      <c r="A42" t="inlineStr">
        <is>
          <t>LNSR</t>
        </is>
      </c>
      <c r="B42" t="inlineStr">
        <is>
          <t>PARTIAL</t>
        </is>
      </c>
      <c r="C42" t="inlineStr">
        <is>
          <t>MissingFields,recommendationMean,dividendRate,dividendYield,exDividendDate</t>
        </is>
      </c>
      <c r="D42" t="n">
        <v>11.5600004196167</v>
      </c>
      <c r="E42" t="n">
        <v>11.56999969482422</v>
      </c>
      <c r="F42" t="n">
        <v>11.85000038146973</v>
      </c>
      <c r="G42" t="n">
        <v>11.5</v>
      </c>
      <c r="H42" t="n">
        <v>11.67</v>
      </c>
      <c r="I42" t="n">
        <v>29769</v>
      </c>
      <c r="J42" s="24" t="n">
        <v>46031.66597222222</v>
      </c>
      <c r="K42" t="n">
        <v>39867</v>
      </c>
      <c r="L42" t="n">
        <v>138198400</v>
      </c>
      <c r="M42" t="n">
        <v>17.31</v>
      </c>
      <c r="N42" t="n">
        <v>7.25</v>
      </c>
      <c r="O42" t="inlineStr">
        <is>
          <t>USD</t>
        </is>
      </c>
      <c r="P42" t="n">
        <v>15</v>
      </c>
      <c r="Q42" t="inlineStr"/>
      <c r="R42" t="inlineStr"/>
      <c r="S42" t="inlineStr"/>
      <c r="T42" t="inlineStr"/>
      <c r="U42" t="inlineStr">
        <is>
          <t>06-Nov-2025</t>
        </is>
      </c>
    </row>
    <row r="43">
      <c r="A43" t="inlineStr">
        <is>
          <t>LUMN</t>
        </is>
      </c>
      <c r="B43" t="inlineStr">
        <is>
          <t>OK</t>
        </is>
      </c>
      <c r="C43" t="inlineStr"/>
      <c r="D43" t="n">
        <v>8.100000381469727</v>
      </c>
      <c r="E43" t="n">
        <v>7.909999847412109</v>
      </c>
      <c r="F43" t="n">
        <v>8.305000305175781</v>
      </c>
      <c r="G43" t="n">
        <v>7.900000095367432</v>
      </c>
      <c r="H43" t="n">
        <v>8.18</v>
      </c>
      <c r="I43" t="n">
        <v>7381753</v>
      </c>
      <c r="J43" s="24" t="n">
        <v>46031.66597222222</v>
      </c>
      <c r="K43" t="n">
        <v>9405150.428571429</v>
      </c>
      <c r="L43" t="n">
        <v>8116774400</v>
      </c>
      <c r="M43" t="n">
        <v>11.95</v>
      </c>
      <c r="N43" t="n">
        <v>3.01</v>
      </c>
      <c r="O43" t="inlineStr">
        <is>
          <t>USD</t>
        </is>
      </c>
      <c r="P43" t="n">
        <v>7.783</v>
      </c>
      <c r="Q43" t="n">
        <v>2.81818</v>
      </c>
      <c r="R43" t="inlineStr"/>
      <c r="S43" t="inlineStr"/>
      <c r="T43" t="inlineStr">
        <is>
          <t>01-Jan-1970</t>
        </is>
      </c>
      <c r="U43" t="inlineStr">
        <is>
          <t>30-Oct-2025</t>
        </is>
      </c>
    </row>
    <row r="44">
      <c r="A44" t="inlineStr">
        <is>
          <t>MRNA</t>
        </is>
      </c>
      <c r="B44" t="inlineStr">
        <is>
          <t>PARTIAL</t>
        </is>
      </c>
      <c r="C44" t="inlineStr">
        <is>
          <t>MissingFields,dividendRate,dividendYield,exDividendDate</t>
        </is>
      </c>
      <c r="D44" t="n">
        <v>34.29800033569336</v>
      </c>
      <c r="E44" t="n">
        <v>34.29999923706055</v>
      </c>
      <c r="F44" t="n">
        <v>35.4098014831543</v>
      </c>
      <c r="G44" t="n">
        <v>33.94200134277344</v>
      </c>
      <c r="H44" t="n">
        <v>33.95</v>
      </c>
      <c r="I44" t="n">
        <v>7423653</v>
      </c>
      <c r="J44" s="24" t="n">
        <v>46031.66597222222</v>
      </c>
      <c r="K44" t="n">
        <v>11394393.28571429</v>
      </c>
      <c r="L44" t="n">
        <v>13402163200</v>
      </c>
      <c r="M44" t="n">
        <v>45.4</v>
      </c>
      <c r="N44" t="n">
        <v>22.28</v>
      </c>
      <c r="O44" t="inlineStr">
        <is>
          <t>USD</t>
        </is>
      </c>
      <c r="P44" t="n">
        <v>36.6</v>
      </c>
      <c r="Q44" t="n">
        <v>2.83333</v>
      </c>
      <c r="R44" t="inlineStr"/>
      <c r="S44" t="inlineStr"/>
      <c r="T44" t="inlineStr"/>
      <c r="U44" t="inlineStr">
        <is>
          <t>06-Nov-2025</t>
        </is>
      </c>
    </row>
    <row r="45">
      <c r="A45" t="inlineStr">
        <is>
          <t>MSFT</t>
        </is>
      </c>
      <c r="B45" t="inlineStr">
        <is>
          <t>OK</t>
        </is>
      </c>
      <c r="C45" t="inlineStr"/>
      <c r="D45" t="n">
        <v>474.0599975585938</v>
      </c>
      <c r="E45" t="n">
        <v>479.2799987792969</v>
      </c>
      <c r="F45" t="n">
        <v>479.8200073242188</v>
      </c>
      <c r="G45" t="n">
        <v>472.2001037597656</v>
      </c>
      <c r="H45" t="n">
        <v>477.9975</v>
      </c>
      <c r="I45" t="n">
        <v>18349119</v>
      </c>
      <c r="J45" s="24" t="n">
        <v>46031.66597222222</v>
      </c>
      <c r="K45" t="n">
        <v>21648159.85714286</v>
      </c>
      <c r="L45" t="n">
        <v>3562567892992</v>
      </c>
      <c r="M45" t="n">
        <v>555.45</v>
      </c>
      <c r="N45" t="n">
        <v>344.79</v>
      </c>
      <c r="O45" t="inlineStr">
        <is>
          <t>USD</t>
        </is>
      </c>
      <c r="P45" t="n">
        <v>622.5141599999999</v>
      </c>
      <c r="Q45" t="n">
        <v>1.2807</v>
      </c>
      <c r="R45" t="n">
        <v>3.64</v>
      </c>
      <c r="S45" t="n">
        <v>0.76</v>
      </c>
      <c r="T45" t="inlineStr">
        <is>
          <t>01-Jan-1970</t>
        </is>
      </c>
      <c r="U45" t="inlineStr">
        <is>
          <t>28-Jan-2026</t>
        </is>
      </c>
    </row>
    <row r="46">
      <c r="A46" t="inlineStr">
        <is>
          <t>NEE</t>
        </is>
      </c>
      <c r="B46" t="inlineStr">
        <is>
          <t>OK</t>
        </is>
      </c>
      <c r="C46" t="inlineStr"/>
      <c r="D46" t="n">
        <v>80.19999694824219</v>
      </c>
      <c r="E46" t="n">
        <v>79.88999938964844</v>
      </c>
      <c r="F46" t="n">
        <v>80.91500091552734</v>
      </c>
      <c r="G46" t="n">
        <v>79.87000274658203</v>
      </c>
      <c r="H46" t="n">
        <v>79.75</v>
      </c>
      <c r="I46" t="n">
        <v>5834030</v>
      </c>
      <c r="J46" s="24" t="n">
        <v>46031.66597222222</v>
      </c>
      <c r="K46" t="n">
        <v>7690875.714285715</v>
      </c>
      <c r="L46" t="n">
        <v>166379683840</v>
      </c>
      <c r="M46" t="n">
        <v>87.53</v>
      </c>
      <c r="N46" t="n">
        <v>61.72</v>
      </c>
      <c r="O46" t="inlineStr">
        <is>
          <t>USD</t>
        </is>
      </c>
      <c r="P46" t="n">
        <v>90.82863999999999</v>
      </c>
      <c r="Q46" t="n">
        <v>1.91667</v>
      </c>
      <c r="R46" t="n">
        <v>2.27</v>
      </c>
      <c r="S46" t="n">
        <v>2.85</v>
      </c>
      <c r="T46" t="inlineStr">
        <is>
          <t>01-Jan-1970</t>
        </is>
      </c>
      <c r="U46" t="inlineStr">
        <is>
          <t>23-Jan-2026</t>
        </is>
      </c>
    </row>
    <row r="47">
      <c r="A47" t="inlineStr">
        <is>
          <t>NEM</t>
        </is>
      </c>
      <c r="B47" t="inlineStr">
        <is>
          <t>OK</t>
        </is>
      </c>
      <c r="C47" t="inlineStr"/>
      <c r="D47" t="n">
        <v>107.4300003051758</v>
      </c>
      <c r="E47" t="n">
        <v>108.9899978637695</v>
      </c>
      <c r="F47" t="n">
        <v>109.0849990844727</v>
      </c>
      <c r="G47" t="n">
        <v>106.2699966430664</v>
      </c>
      <c r="H47" t="n">
        <v>106.21</v>
      </c>
      <c r="I47" t="n">
        <v>7569680</v>
      </c>
      <c r="J47" s="24" t="n">
        <v>46031.66597222222</v>
      </c>
      <c r="K47" t="n">
        <v>8152054.285714285</v>
      </c>
      <c r="L47" t="n">
        <v>119720026112</v>
      </c>
      <c r="M47" t="n">
        <v>109.3</v>
      </c>
      <c r="N47" t="n">
        <v>38.53</v>
      </c>
      <c r="O47" t="inlineStr">
        <is>
          <t>USD</t>
        </is>
      </c>
      <c r="P47" t="n">
        <v>110.645</v>
      </c>
      <c r="Q47" t="n">
        <v>1.66667</v>
      </c>
      <c r="R47" t="n">
        <v>1</v>
      </c>
      <c r="S47" t="n">
        <v>0.9399999999999999</v>
      </c>
      <c r="T47" t="inlineStr">
        <is>
          <t>01-Jan-1970</t>
        </is>
      </c>
      <c r="U47" t="inlineStr">
        <is>
          <t>19-Feb-2026</t>
        </is>
      </c>
    </row>
    <row r="48">
      <c r="A48" t="inlineStr">
        <is>
          <t>NFLX</t>
        </is>
      </c>
      <c r="B48" t="inlineStr">
        <is>
          <t>PARTIAL</t>
        </is>
      </c>
      <c r="C48" t="inlineStr">
        <is>
          <t>MissingFields,dividendRate,dividendYield,exDividendDate</t>
        </is>
      </c>
      <c r="D48" t="n">
        <v>90.02999877929688</v>
      </c>
      <c r="E48" t="n">
        <v>89.45999908447266</v>
      </c>
      <c r="F48" t="n">
        <v>90.04000091552734</v>
      </c>
      <c r="G48" t="n">
        <v>88.31999969482422</v>
      </c>
      <c r="H48" t="n">
        <v>90.61920000000001</v>
      </c>
      <c r="I48" t="n">
        <v>53636497</v>
      </c>
      <c r="J48" s="24" t="n">
        <v>46031.66597222222</v>
      </c>
      <c r="K48" t="n">
        <v>39627971</v>
      </c>
      <c r="L48" t="n">
        <v>379070939136</v>
      </c>
      <c r="M48" t="n">
        <v>134.115</v>
      </c>
      <c r="N48" t="n">
        <v>82.11</v>
      </c>
      <c r="O48" t="inlineStr">
        <is>
          <t>USD</t>
        </is>
      </c>
      <c r="P48" t="n">
        <v>125.705</v>
      </c>
      <c r="Q48" t="n">
        <v>1.95349</v>
      </c>
      <c r="R48" t="inlineStr"/>
      <c r="S48" t="inlineStr"/>
      <c r="T48" t="inlineStr"/>
      <c r="U48" t="inlineStr">
        <is>
          <t>20-Jan-2026</t>
        </is>
      </c>
    </row>
    <row r="49">
      <c r="A49" t="inlineStr">
        <is>
          <t>NOTE</t>
        </is>
      </c>
      <c r="B49" t="inlineStr">
        <is>
          <t>PARTIAL</t>
        </is>
      </c>
      <c r="C49" t="inlineStr">
        <is>
          <t>MissingFields,recommendationMean,dividendRate,dividendYield,exDividendDate</t>
        </is>
      </c>
      <c r="D49" t="n">
        <v>1.700000047683716</v>
      </c>
      <c r="E49" t="n">
        <v>1.570000052452087</v>
      </c>
      <c r="F49" t="n">
        <v>1.705000042915344</v>
      </c>
      <c r="G49" t="n">
        <v>1.570000052452087</v>
      </c>
      <c r="H49" t="n">
        <v>1.67</v>
      </c>
      <c r="I49" t="n">
        <v>260981</v>
      </c>
      <c r="J49" s="24" t="n">
        <v>46031.66597222222</v>
      </c>
      <c r="K49" t="n">
        <v>230525.8571428571</v>
      </c>
      <c r="L49" t="n">
        <v>24664536</v>
      </c>
      <c r="M49" t="n">
        <v>24.36</v>
      </c>
      <c r="N49" t="n">
        <v>1.41</v>
      </c>
      <c r="O49" t="inlineStr">
        <is>
          <t>USD</t>
        </is>
      </c>
      <c r="P49" t="n">
        <v>19.25054</v>
      </c>
      <c r="Q49" t="inlineStr"/>
      <c r="R49" t="inlineStr"/>
      <c r="S49" t="inlineStr"/>
      <c r="T49" t="inlineStr"/>
      <c r="U49" t="inlineStr">
        <is>
          <t>06-Nov-2025</t>
        </is>
      </c>
    </row>
    <row r="50">
      <c r="A50" t="inlineStr">
        <is>
          <t>PAAS</t>
        </is>
      </c>
      <c r="B50" t="inlineStr">
        <is>
          <t>OK</t>
        </is>
      </c>
      <c r="C50" t="inlineStr"/>
      <c r="D50" t="n">
        <v>54.79000091552734</v>
      </c>
      <c r="E50" t="n">
        <v>54.27000045776367</v>
      </c>
      <c r="F50" t="n">
        <v>54.79000091552734</v>
      </c>
      <c r="G50" t="n">
        <v>53.31999969482422</v>
      </c>
      <c r="H50" t="n">
        <v>53.05</v>
      </c>
      <c r="I50" t="n">
        <v>4774168</v>
      </c>
      <c r="J50" s="24" t="n">
        <v>46031.66597222222</v>
      </c>
      <c r="K50" t="n">
        <v>5587366.857142857</v>
      </c>
      <c r="L50" t="n">
        <v>22904492032</v>
      </c>
      <c r="M50" t="n">
        <v>55.85</v>
      </c>
      <c r="N50" t="n">
        <v>20.35</v>
      </c>
      <c r="O50" t="inlineStr">
        <is>
          <t>USD</t>
        </is>
      </c>
      <c r="P50" t="n">
        <v>51.25</v>
      </c>
      <c r="Q50" t="n">
        <v>2</v>
      </c>
      <c r="R50" t="n">
        <v>0.5600000000000001</v>
      </c>
      <c r="S50" t="n">
        <v>1.05</v>
      </c>
      <c r="T50" t="inlineStr">
        <is>
          <t>01-Jan-1970</t>
        </is>
      </c>
      <c r="U50" t="inlineStr">
        <is>
          <t>18-Feb-2026</t>
        </is>
      </c>
    </row>
    <row r="51">
      <c r="A51" t="inlineStr">
        <is>
          <t>PROF</t>
        </is>
      </c>
      <c r="B51" t="inlineStr">
        <is>
          <t>PARTIAL</t>
        </is>
      </c>
      <c r="C51" t="inlineStr">
        <is>
          <t>MissingFields,dividendRate,dividendYield,exDividendDate</t>
        </is>
      </c>
      <c r="D51" t="n">
        <v>8.520000457763672</v>
      </c>
      <c r="E51" t="n">
        <v>8.439999580383301</v>
      </c>
      <c r="F51" t="n">
        <v>8.560000419616699</v>
      </c>
      <c r="G51" t="n">
        <v>8.369999885559082</v>
      </c>
      <c r="H51" t="n">
        <v>8.48</v>
      </c>
      <c r="I51" t="n">
        <v>99167</v>
      </c>
      <c r="J51" s="24" t="n">
        <v>46031.66597222222</v>
      </c>
      <c r="K51" t="n">
        <v>209195.2857142857</v>
      </c>
      <c r="L51" t="n">
        <v>306312672</v>
      </c>
      <c r="M51" t="n">
        <v>8.619999999999999</v>
      </c>
      <c r="N51" t="n">
        <v>3.76</v>
      </c>
      <c r="O51" t="inlineStr">
        <is>
          <t>USD</t>
        </is>
      </c>
      <c r="P51" t="n">
        <v>12.3</v>
      </c>
      <c r="Q51" t="n">
        <v>1.2</v>
      </c>
      <c r="R51" t="inlineStr"/>
      <c r="S51" t="inlineStr"/>
      <c r="T51" t="inlineStr"/>
      <c r="U51" t="inlineStr">
        <is>
          <t>13-Nov-2025</t>
        </is>
      </c>
    </row>
    <row r="52">
      <c r="A52" t="inlineStr">
        <is>
          <t>POET</t>
        </is>
      </c>
      <c r="B52" t="inlineStr">
        <is>
          <t>PARTIAL</t>
        </is>
      </c>
      <c r="C52" t="inlineStr">
        <is>
          <t>MissingFields,recommendationMean,dividendRate,dividendYield,exDividendDate</t>
        </is>
      </c>
      <c r="D52" t="n">
        <v>7.300000190734863</v>
      </c>
      <c r="E52" t="n">
        <v>7.389999866485596</v>
      </c>
      <c r="F52" t="n">
        <v>7.840000152587891</v>
      </c>
      <c r="G52" t="n">
        <v>7.230000019073486</v>
      </c>
      <c r="H52" t="n">
        <v>7.2</v>
      </c>
      <c r="I52" t="n">
        <v>7558686</v>
      </c>
      <c r="J52" s="24" t="n">
        <v>46031.66597222222</v>
      </c>
      <c r="K52" t="n">
        <v>6527269.428571428</v>
      </c>
      <c r="L52" t="n">
        <v>973777600</v>
      </c>
      <c r="M52" t="n">
        <v>9.41</v>
      </c>
      <c r="N52" t="n">
        <v>3.09</v>
      </c>
      <c r="O52" t="inlineStr">
        <is>
          <t>USD</t>
        </is>
      </c>
      <c r="P52" t="n">
        <v>6.93333</v>
      </c>
      <c r="Q52" t="inlineStr"/>
      <c r="R52" t="inlineStr"/>
      <c r="S52" t="inlineStr"/>
      <c r="T52" t="inlineStr"/>
      <c r="U52" t="inlineStr">
        <is>
          <t>13-Nov-2025</t>
        </is>
      </c>
    </row>
    <row r="53">
      <c r="A53" t="inlineStr">
        <is>
          <t>PW</t>
        </is>
      </c>
      <c r="B53" t="inlineStr">
        <is>
          <t>PARTIAL</t>
        </is>
      </c>
      <c r="C53" t="inlineStr">
        <is>
          <t>MissingFields,targetMeanPrice,recommendationMean,dividendRate,dividendYield</t>
        </is>
      </c>
      <c r="D53" t="n">
        <v>0.8705999851226807</v>
      </c>
      <c r="E53" t="n">
        <v>1.009999990463257</v>
      </c>
      <c r="F53" t="n">
        <v>1.149999976158142</v>
      </c>
      <c r="G53" t="n">
        <v>0.8888000249862671</v>
      </c>
      <c r="H53" t="n">
        <v>1.0394</v>
      </c>
      <c r="I53" t="n">
        <v>392734</v>
      </c>
      <c r="J53" s="24" t="n">
        <v>46031.66597222222</v>
      </c>
      <c r="K53" t="n">
        <v>88247.71428571429</v>
      </c>
      <c r="L53" t="n">
        <v>3423557</v>
      </c>
      <c r="M53" t="n">
        <v>1.96</v>
      </c>
      <c r="N53" t="n">
        <v>0.59</v>
      </c>
      <c r="O53" t="inlineStr">
        <is>
          <t>USD</t>
        </is>
      </c>
      <c r="P53" t="inlineStr"/>
      <c r="Q53" t="inlineStr"/>
      <c r="R53" t="inlineStr"/>
      <c r="S53" t="inlineStr"/>
      <c r="T53" t="inlineStr">
        <is>
          <t>01-Jan-1970</t>
        </is>
      </c>
      <c r="U53" t="inlineStr"/>
    </row>
    <row r="54">
      <c r="A54" t="inlineStr">
        <is>
          <t>RIGL</t>
        </is>
      </c>
      <c r="B54" t="inlineStr">
        <is>
          <t>PARTIAL</t>
        </is>
      </c>
      <c r="C54" t="inlineStr">
        <is>
          <t>MissingFields,recommendationMean,dividendRate,dividendYield,exDividendDate</t>
        </is>
      </c>
      <c r="D54" t="n">
        <v>44.91999816894531</v>
      </c>
      <c r="E54" t="n">
        <v>40.84000015258789</v>
      </c>
      <c r="F54" t="n">
        <v>45.25</v>
      </c>
      <c r="G54" t="n">
        <v>40.75</v>
      </c>
      <c r="H54" t="n">
        <v>45.25</v>
      </c>
      <c r="I54" t="n">
        <v>679409</v>
      </c>
      <c r="J54" s="24" t="n">
        <v>46031.66597222222</v>
      </c>
      <c r="K54" t="n">
        <v>652287</v>
      </c>
      <c r="L54" t="n">
        <v>741300864</v>
      </c>
      <c r="M54" t="n">
        <v>52.24</v>
      </c>
      <c r="N54" t="n">
        <v>15.5</v>
      </c>
      <c r="O54" t="inlineStr">
        <is>
          <t>USD</t>
        </is>
      </c>
      <c r="P54" t="n">
        <v>51.2</v>
      </c>
      <c r="Q54" t="inlineStr"/>
      <c r="R54" t="inlineStr"/>
      <c r="S54" t="inlineStr"/>
      <c r="T54" t="inlineStr"/>
      <c r="U54" t="inlineStr">
        <is>
          <t>04-Nov-2025</t>
        </is>
      </c>
    </row>
    <row r="55">
      <c r="A55" t="inlineStr">
        <is>
          <t>RWE.DE</t>
        </is>
      </c>
      <c r="B55" t="inlineStr">
        <is>
          <t>OK</t>
        </is>
      </c>
      <c r="C55" t="inlineStr"/>
      <c r="D55" t="n">
        <v>47.84000015258789</v>
      </c>
      <c r="E55" t="n">
        <v>47.95999908447266</v>
      </c>
      <c r="F55" t="n">
        <v>48.22999954223633</v>
      </c>
      <c r="G55" t="n">
        <v>47.43000030517578</v>
      </c>
      <c r="H55" t="n">
        <v>47.95</v>
      </c>
      <c r="I55" t="n">
        <v>1294212</v>
      </c>
      <c r="J55" s="24" t="n">
        <v>46031.72847222222</v>
      </c>
      <c r="K55" t="n">
        <v>1523906.142857143</v>
      </c>
      <c r="L55" t="n">
        <v>35461279744</v>
      </c>
      <c r="M55" t="n">
        <v>48.82</v>
      </c>
      <c r="N55" t="n">
        <v>27.95</v>
      </c>
      <c r="O55" t="inlineStr">
        <is>
          <t>EUR</t>
        </is>
      </c>
      <c r="P55" t="n">
        <v>49.69444</v>
      </c>
      <c r="Q55" t="inlineStr"/>
      <c r="R55" t="n">
        <v>1.1</v>
      </c>
      <c r="S55" t="n">
        <v>2.29</v>
      </c>
      <c r="T55" t="inlineStr">
        <is>
          <t>01-Jan-1970</t>
        </is>
      </c>
      <c r="U55" t="inlineStr">
        <is>
          <t>12-Nov-2025</t>
        </is>
      </c>
    </row>
    <row r="56">
      <c r="A56" t="inlineStr">
        <is>
          <t>SAP.DE</t>
        </is>
      </c>
      <c r="B56" t="inlineStr">
        <is>
          <t>OK</t>
        </is>
      </c>
      <c r="C56" t="inlineStr"/>
      <c r="D56" t="n">
        <v>207</v>
      </c>
      <c r="E56" t="n">
        <v>212.3500061035156</v>
      </c>
      <c r="F56" t="n">
        <v>214.25</v>
      </c>
      <c r="G56" t="n">
        <v>206</v>
      </c>
      <c r="H56" t="n">
        <v>206.5</v>
      </c>
      <c r="I56" t="n">
        <v>1743178</v>
      </c>
      <c r="J56" s="24" t="n">
        <v>46031.72847222222</v>
      </c>
      <c r="K56" t="n">
        <v>1408775.571428571</v>
      </c>
      <c r="L56" t="n">
        <v>247303733248</v>
      </c>
      <c r="M56" t="n">
        <v>283.5</v>
      </c>
      <c r="N56" t="n">
        <v>199.6</v>
      </c>
      <c r="O56" t="inlineStr">
        <is>
          <t>EUR</t>
        </is>
      </c>
      <c r="P56" t="n">
        <v>282.05115</v>
      </c>
      <c r="Q56" t="n">
        <v>1.62963</v>
      </c>
      <c r="R56" t="n">
        <v>2.35</v>
      </c>
      <c r="S56" t="n">
        <v>1.14</v>
      </c>
      <c r="T56" t="inlineStr">
        <is>
          <t>01-Jan-1970</t>
        </is>
      </c>
      <c r="U56" t="inlineStr">
        <is>
          <t>22-Oct-2025</t>
        </is>
      </c>
    </row>
    <row r="57">
      <c r="A57" t="inlineStr">
        <is>
          <t>SHECY</t>
        </is>
      </c>
      <c r="B57" t="inlineStr">
        <is>
          <t>OK</t>
        </is>
      </c>
      <c r="C57" t="inlineStr"/>
      <c r="D57" t="n">
        <v>16.67000007629395</v>
      </c>
      <c r="E57" t="n">
        <v>16.68000030517578</v>
      </c>
      <c r="F57" t="n">
        <v>16.68000030517578</v>
      </c>
      <c r="G57" t="n">
        <v>16.59000015258789</v>
      </c>
      <c r="H57" t="n">
        <v>16.48999977111816</v>
      </c>
      <c r="I57" t="n">
        <v>32218</v>
      </c>
      <c r="J57" s="24" t="n">
        <v>46031.66388888889</v>
      </c>
      <c r="K57" t="n">
        <v>317288.2857142857</v>
      </c>
      <c r="L57" t="n">
        <v>62502801408</v>
      </c>
      <c r="M57" t="n">
        <v>17.93</v>
      </c>
      <c r="N57" t="n">
        <v>11.88</v>
      </c>
      <c r="O57" t="inlineStr">
        <is>
          <t>USD</t>
        </is>
      </c>
      <c r="P57" t="inlineStr"/>
      <c r="Q57" t="inlineStr"/>
      <c r="R57" t="n">
        <v>0.35</v>
      </c>
      <c r="S57" t="n">
        <v>2.15</v>
      </c>
      <c r="T57" t="inlineStr">
        <is>
          <t>01-Jan-1970</t>
        </is>
      </c>
      <c r="U57" t="inlineStr">
        <is>
          <t>27-Jan-2026</t>
        </is>
      </c>
    </row>
    <row r="58">
      <c r="A58" t="inlineStr">
        <is>
          <t>SSYS</t>
        </is>
      </c>
      <c r="B58" t="inlineStr">
        <is>
          <t>PARTIAL</t>
        </is>
      </c>
      <c r="C58" t="inlineStr">
        <is>
          <t>MissingFields,recommendationMean,dividendRate,dividendYield,exDividendDate</t>
        </is>
      </c>
      <c r="D58" t="n">
        <v>10.43000030517578</v>
      </c>
      <c r="E58" t="n">
        <v>10.31999969482422</v>
      </c>
      <c r="F58" t="n">
        <v>10.51500034332275</v>
      </c>
      <c r="G58" t="n">
        <v>10.17000007629395</v>
      </c>
      <c r="H58" t="n">
        <v>10.45</v>
      </c>
      <c r="I58" t="n">
        <v>645055</v>
      </c>
      <c r="J58" s="24" t="n">
        <v>46031.66597222222</v>
      </c>
      <c r="K58" t="n">
        <v>948750.7142857143</v>
      </c>
      <c r="L58" t="n">
        <v>881699520</v>
      </c>
      <c r="M58" t="n">
        <v>12.88</v>
      </c>
      <c r="N58" t="n">
        <v>8.119999999999999</v>
      </c>
      <c r="O58" t="inlineStr">
        <is>
          <t>USD</t>
        </is>
      </c>
      <c r="P58" t="n">
        <v>13.16667</v>
      </c>
      <c r="Q58" t="inlineStr"/>
      <c r="R58" t="inlineStr"/>
      <c r="S58" t="inlineStr"/>
      <c r="T58" t="inlineStr"/>
      <c r="U58" t="inlineStr">
        <is>
          <t>13-Nov-2025</t>
        </is>
      </c>
    </row>
    <row r="59">
      <c r="A59" t="inlineStr">
        <is>
          <t>TSLA</t>
        </is>
      </c>
      <c r="B59" t="inlineStr">
        <is>
          <t>PARTIAL</t>
        </is>
      </c>
      <c r="C59" t="inlineStr">
        <is>
          <t>MissingFields,dividendRate,dividendYield,exDividendDate</t>
        </is>
      </c>
      <c r="D59" t="n">
        <v>435.9450073242188</v>
      </c>
      <c r="E59" t="n">
        <v>445.010009765625</v>
      </c>
      <c r="F59" t="n">
        <v>449.0499877929688</v>
      </c>
      <c r="G59" t="n">
        <v>430.3900146484375</v>
      </c>
      <c r="H59" t="n">
        <v>435.49</v>
      </c>
      <c r="I59" t="n">
        <v>66012462</v>
      </c>
      <c r="J59" s="24" t="n">
        <v>46031.66597222222</v>
      </c>
      <c r="K59" t="n">
        <v>67790051.71428572</v>
      </c>
      <c r="L59" t="n">
        <v>1480022818816</v>
      </c>
      <c r="M59" t="n">
        <v>498.83</v>
      </c>
      <c r="N59" t="n">
        <v>214.25</v>
      </c>
      <c r="O59" t="inlineStr">
        <is>
          <t>USD</t>
        </is>
      </c>
      <c r="P59" t="n">
        <v>401.401</v>
      </c>
      <c r="Q59" t="n">
        <v>2.63043</v>
      </c>
      <c r="R59" t="inlineStr"/>
      <c r="S59" t="inlineStr"/>
      <c r="T59" t="inlineStr"/>
      <c r="U59" t="inlineStr">
        <is>
          <t>28-Jan-2026</t>
        </is>
      </c>
    </row>
    <row r="60">
      <c r="A60" t="inlineStr">
        <is>
          <t>TSM</t>
        </is>
      </c>
      <c r="B60" t="inlineStr">
        <is>
          <t>OK</t>
        </is>
      </c>
      <c r="C60" t="inlineStr"/>
      <c r="D60" t="n">
        <v>319.8299865722656</v>
      </c>
      <c r="E60" t="n">
        <v>323.6300048828125</v>
      </c>
      <c r="F60" t="n">
        <v>324.7699890136719</v>
      </c>
      <c r="G60" t="n">
        <v>318.2500915527344</v>
      </c>
      <c r="H60" t="n">
        <v>318.72</v>
      </c>
      <c r="I60" t="n">
        <v>12290433</v>
      </c>
      <c r="J60" s="24" t="n">
        <v>46031.66597222222</v>
      </c>
      <c r="K60" t="n">
        <v>13519133.28571429</v>
      </c>
      <c r="L60" t="n">
        <v>1678508556288</v>
      </c>
      <c r="M60" t="n">
        <v>333.08</v>
      </c>
      <c r="N60" t="n">
        <v>134.25</v>
      </c>
      <c r="O60" t="inlineStr">
        <is>
          <t>USD</t>
        </is>
      </c>
      <c r="P60" t="n">
        <v>357.70667</v>
      </c>
      <c r="Q60" t="n">
        <v>1.52941</v>
      </c>
      <c r="R60" t="n">
        <v>3.37</v>
      </c>
      <c r="S60" t="n">
        <v>1.06</v>
      </c>
      <c r="T60" t="inlineStr">
        <is>
          <t>01-Jan-1970</t>
        </is>
      </c>
      <c r="U60" t="inlineStr">
        <is>
          <t>15-Jan-2026</t>
        </is>
      </c>
    </row>
    <row r="61">
      <c r="A61" t="inlineStr">
        <is>
          <t>UN0.DE</t>
        </is>
      </c>
      <c r="B61" t="inlineStr">
        <is>
          <t>PARTIAL</t>
        </is>
      </c>
      <c r="C61" t="inlineStr">
        <is>
          <t>MissingFields,recommendationMean,dividendRate,dividendYield</t>
        </is>
      </c>
      <c r="D61" t="n">
        <v>34.5</v>
      </c>
      <c r="E61" t="n">
        <v>34.75</v>
      </c>
      <c r="F61" t="n">
        <v>35</v>
      </c>
      <c r="G61" t="n">
        <v>34.5</v>
      </c>
      <c r="H61" t="n">
        <v>34.8</v>
      </c>
      <c r="I61" t="n">
        <v>2676</v>
      </c>
      <c r="J61" s="24" t="n">
        <v>46031.70069444444</v>
      </c>
      <c r="K61" t="n">
        <v>3281.428571428572</v>
      </c>
      <c r="L61" t="n">
        <v>14472517632</v>
      </c>
      <c r="M61" t="n">
        <v>47.3</v>
      </c>
      <c r="N61" t="n">
        <v>27.3</v>
      </c>
      <c r="O61" t="inlineStr">
        <is>
          <t>EUR</t>
        </is>
      </c>
      <c r="P61" t="n">
        <v>29.5</v>
      </c>
      <c r="Q61" t="inlineStr"/>
      <c r="R61" t="inlineStr"/>
      <c r="S61" t="inlineStr"/>
      <c r="T61" t="inlineStr">
        <is>
          <t>01-Jan-1970</t>
        </is>
      </c>
      <c r="U61" t="inlineStr">
        <is>
          <t>06-Nov-2025</t>
        </is>
      </c>
    </row>
    <row r="62">
      <c r="A62" t="inlineStr">
        <is>
          <t>UNIT</t>
        </is>
      </c>
      <c r="B62" t="inlineStr">
        <is>
          <t>OK</t>
        </is>
      </c>
      <c r="C62" t="inlineStr"/>
      <c r="D62" t="n">
        <v>7.28000020980835</v>
      </c>
      <c r="E62" t="n">
        <v>7.519999980926514</v>
      </c>
      <c r="F62" t="n">
        <v>7.559999942779541</v>
      </c>
      <c r="G62" t="n">
        <v>7.244999885559082</v>
      </c>
      <c r="H62" t="n">
        <v>7.3</v>
      </c>
      <c r="I62" t="n">
        <v>2127062</v>
      </c>
      <c r="J62" s="24" t="n">
        <v>46031.66597222222</v>
      </c>
      <c r="K62" t="n">
        <v>2226466</v>
      </c>
      <c r="L62" t="n">
        <v>1797553152</v>
      </c>
      <c r="M62" t="n">
        <v>10.249169</v>
      </c>
      <c r="N62" t="n">
        <v>5.3</v>
      </c>
      <c r="O62" t="inlineStr">
        <is>
          <t>USD</t>
        </is>
      </c>
      <c r="P62" t="n">
        <v>7.25556</v>
      </c>
      <c r="Q62" t="n">
        <v>2.77778</v>
      </c>
      <c r="R62" t="inlineStr"/>
      <c r="S62" t="inlineStr"/>
      <c r="T62" t="inlineStr">
        <is>
          <t>01-Jan-1970</t>
        </is>
      </c>
      <c r="U62" t="inlineStr">
        <is>
          <t>04-Nov-2025</t>
        </is>
      </c>
    </row>
    <row r="63">
      <c r="A63" t="inlineStr">
        <is>
          <t>VLVLY</t>
        </is>
      </c>
      <c r="B63" t="inlineStr">
        <is>
          <t>OK</t>
        </is>
      </c>
      <c r="C63" t="inlineStr"/>
      <c r="D63" t="n">
        <v>33.58000183105469</v>
      </c>
      <c r="E63" t="n">
        <v>33.61999893188477</v>
      </c>
      <c r="F63" t="n">
        <v>33.65000152587891</v>
      </c>
      <c r="G63" t="n">
        <v>33.34999847412109</v>
      </c>
      <c r="H63" t="n">
        <v>33.29999923706055</v>
      </c>
      <c r="I63" t="n">
        <v>8524</v>
      </c>
      <c r="J63" s="24" t="n">
        <v>46031.64166666667</v>
      </c>
      <c r="K63" t="n">
        <v>80489.14285714286</v>
      </c>
      <c r="L63" t="n">
        <v>68364656640</v>
      </c>
      <c r="M63" t="n">
        <v>33.84</v>
      </c>
      <c r="N63" t="n">
        <v>22.55</v>
      </c>
      <c r="O63" t="inlineStr">
        <is>
          <t>USD</t>
        </is>
      </c>
      <c r="P63" t="n">
        <v>35</v>
      </c>
      <c r="Q63" t="inlineStr"/>
      <c r="R63" t="n">
        <v>0.8</v>
      </c>
      <c r="S63" t="n">
        <v>2.4</v>
      </c>
      <c r="T63" t="inlineStr">
        <is>
          <t>01-Jan-1970</t>
        </is>
      </c>
      <c r="U63" t="inlineStr">
        <is>
          <t>28-Jan-2026</t>
        </is>
      </c>
    </row>
    <row r="64">
      <c r="A64" t="inlineStr">
        <is>
          <t>VONN.SW</t>
        </is>
      </c>
      <c r="B64" t="inlineStr">
        <is>
          <t>OK</t>
        </is>
      </c>
      <c r="C64" t="inlineStr"/>
      <c r="D64" t="n">
        <v>65.80000305175781</v>
      </c>
      <c r="E64" t="n">
        <v>65.59999847412109</v>
      </c>
      <c r="F64" t="n">
        <v>65.80000305175781</v>
      </c>
      <c r="G64" t="n">
        <v>65</v>
      </c>
      <c r="H64" t="n">
        <v>65.5</v>
      </c>
      <c r="I64" t="n">
        <v>26769</v>
      </c>
      <c r="J64" s="24" t="n">
        <v>46031.72152777778</v>
      </c>
      <c r="K64" t="n">
        <v>34976.71428571428</v>
      </c>
      <c r="L64" t="n">
        <v>3694260480</v>
      </c>
      <c r="M64" t="n">
        <v>69.5</v>
      </c>
      <c r="N64" t="n">
        <v>51.1</v>
      </c>
      <c r="O64" t="inlineStr">
        <is>
          <t>CHF</t>
        </is>
      </c>
      <c r="P64" t="n">
        <v>64</v>
      </c>
      <c r="Q64" t="inlineStr"/>
      <c r="R64" t="n">
        <v>3</v>
      </c>
      <c r="S64" t="n">
        <v>4.57</v>
      </c>
      <c r="T64" t="inlineStr">
        <is>
          <t>01-Jan-1970</t>
        </is>
      </c>
      <c r="U64" t="inlineStr"/>
    </row>
    <row r="65">
      <c r="A65" t="inlineStr">
        <is>
          <t>VTRS</t>
        </is>
      </c>
      <c r="B65" t="inlineStr">
        <is>
          <t>OK</t>
        </is>
      </c>
      <c r="C65" t="inlineStr"/>
      <c r="D65" t="n">
        <v>12.63000011444092</v>
      </c>
      <c r="E65" t="n">
        <v>12.76000022888184</v>
      </c>
      <c r="F65" t="n">
        <v>12.78999996185303</v>
      </c>
      <c r="G65" t="n">
        <v>12.57999992370605</v>
      </c>
      <c r="H65" t="n">
        <v>12.59</v>
      </c>
      <c r="I65" t="n">
        <v>9162066</v>
      </c>
      <c r="J65" s="24" t="n">
        <v>46031.66597222222</v>
      </c>
      <c r="K65" t="n">
        <v>8931380.857142856</v>
      </c>
      <c r="L65" t="n">
        <v>14731001856</v>
      </c>
      <c r="M65" t="n">
        <v>12.79</v>
      </c>
      <c r="N65" t="n">
        <v>6.85</v>
      </c>
      <c r="O65" t="inlineStr">
        <is>
          <t>USD</t>
        </is>
      </c>
      <c r="P65" t="n">
        <v>12.77778</v>
      </c>
      <c r="Q65" t="n">
        <v>2.45455</v>
      </c>
      <c r="R65" t="n">
        <v>0.48</v>
      </c>
      <c r="S65" t="n">
        <v>3.81</v>
      </c>
      <c r="T65" t="inlineStr">
        <is>
          <t>01-Jan-1970</t>
        </is>
      </c>
      <c r="U65" t="inlineStr">
        <is>
          <t>06-Nov-2025</t>
        </is>
      </c>
    </row>
    <row r="66">
      <c r="A66" t="inlineStr">
        <is>
          <t>WBA</t>
        </is>
      </c>
      <c r="B66" t="inlineStr">
        <is>
          <t>NO_DATA</t>
        </is>
      </c>
      <c r="C66" t="inlineStr">
        <is>
          <t>'currentTradingPeriod'</t>
        </is>
      </c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 t="inlineStr"/>
      <c r="P66" t="inlineStr"/>
      <c r="Q66" t="inlineStr"/>
      <c r="R66" t="inlineStr"/>
      <c r="S66" t="inlineStr"/>
      <c r="T66" t="inlineStr"/>
      <c r="U66" t="inlineStr"/>
    </row>
    <row r="67">
      <c r="A67" t="inlineStr">
        <is>
          <t>XOM</t>
        </is>
      </c>
      <c r="B67" t="inlineStr">
        <is>
          <t>OK</t>
        </is>
      </c>
      <c r="C67" t="inlineStr"/>
      <c r="D67" t="n">
        <v>123.2300033569336</v>
      </c>
      <c r="E67" t="n">
        <v>124.6100006103516</v>
      </c>
      <c r="F67" t="n">
        <v>124.8600006103516</v>
      </c>
      <c r="G67" t="n">
        <v>123.0950012207031</v>
      </c>
      <c r="H67" t="n">
        <v>123.2199</v>
      </c>
      <c r="I67" t="n">
        <v>16075526</v>
      </c>
      <c r="J67" s="24" t="n">
        <v>46031.66597222222</v>
      </c>
      <c r="K67" t="n">
        <v>19262432.28571429</v>
      </c>
      <c r="L67" t="n">
        <v>531243237376</v>
      </c>
      <c r="M67" t="n">
        <v>125.93</v>
      </c>
      <c r="N67" t="n">
        <v>97.8</v>
      </c>
      <c r="O67" t="inlineStr">
        <is>
          <t>USD</t>
        </is>
      </c>
      <c r="P67" t="n">
        <v>131.36</v>
      </c>
      <c r="Q67" t="n">
        <v>2.2963</v>
      </c>
      <c r="R67" t="n">
        <v>4.12</v>
      </c>
      <c r="S67" t="n">
        <v>3.35</v>
      </c>
      <c r="T67" t="inlineStr">
        <is>
          <t>01-Jan-1970</t>
        </is>
      </c>
      <c r="U67" t="inlineStr">
        <is>
          <t>30-Jan-2026</t>
        </is>
      </c>
    </row>
    <row r="68">
      <c r="A68" t="inlineStr">
        <is>
          <t>XPER</t>
        </is>
      </c>
      <c r="B68" t="inlineStr">
        <is>
          <t>PARTIAL</t>
        </is>
      </c>
      <c r="C68" t="inlineStr">
        <is>
          <t>MissingFields,recommendationMean,dividendRate,dividendYield,exDividendDate</t>
        </is>
      </c>
      <c r="D68" t="n">
        <v>6.110000133514404</v>
      </c>
      <c r="E68" t="n">
        <v>6.110000133514404</v>
      </c>
      <c r="F68" t="n">
        <v>6.169000148773193</v>
      </c>
      <c r="G68" t="n">
        <v>5.914999961853027</v>
      </c>
      <c r="H68" t="n">
        <v>6.11</v>
      </c>
      <c r="I68" t="n">
        <v>349942</v>
      </c>
      <c r="J68" s="24" t="n">
        <v>46031.66597222222</v>
      </c>
      <c r="K68" t="n">
        <v>420948.8571428572</v>
      </c>
      <c r="L68" t="n">
        <v>283109216</v>
      </c>
      <c r="M68" t="n">
        <v>9.77</v>
      </c>
      <c r="N68" t="n">
        <v>5.4</v>
      </c>
      <c r="O68" t="inlineStr">
        <is>
          <t>USD</t>
        </is>
      </c>
      <c r="P68" t="n">
        <v>11.4</v>
      </c>
      <c r="Q68" t="inlineStr"/>
      <c r="R68" t="inlineStr"/>
      <c r="S68" t="inlineStr"/>
      <c r="T68" t="inlineStr"/>
      <c r="U68" t="inlineStr">
        <is>
          <t>05-Nov-2025</t>
        </is>
      </c>
    </row>
    <row r="69">
      <c r="A69" t="inlineStr">
        <is>
          <t>BLNK</t>
        </is>
      </c>
      <c r="B69" t="inlineStr">
        <is>
          <t>PARTIAL</t>
        </is>
      </c>
      <c r="C69" t="inlineStr">
        <is>
          <t>MissingFields,recommendationMean,dividendRate,dividendYield,exDividendDate</t>
        </is>
      </c>
      <c r="D69" t="n">
        <v>0.7883999943733215</v>
      </c>
      <c r="E69" t="n">
        <v>0.75</v>
      </c>
      <c r="F69" t="n">
        <v>0.7979999780654907</v>
      </c>
      <c r="G69" t="n">
        <v>0.75</v>
      </c>
      <c r="H69" t="n">
        <v>0.79</v>
      </c>
      <c r="I69" t="n">
        <v>3070523</v>
      </c>
      <c r="J69" s="24" t="n">
        <v>46031.66597222222</v>
      </c>
      <c r="K69" t="n">
        <v>3889146.142857143</v>
      </c>
      <c r="L69" t="n">
        <v>105939552</v>
      </c>
      <c r="M69" t="n">
        <v>2.65</v>
      </c>
      <c r="N69" t="n">
        <v>0.63</v>
      </c>
      <c r="O69" t="inlineStr">
        <is>
          <t>USD</t>
        </is>
      </c>
      <c r="P69" t="n">
        <v>2.4</v>
      </c>
      <c r="Q69" t="inlineStr"/>
      <c r="R69" t="inlineStr"/>
      <c r="S69" t="inlineStr"/>
      <c r="T69" t="inlineStr"/>
      <c r="U69" t="inlineStr">
        <is>
          <t>06-Nov-2025</t>
        </is>
      </c>
    </row>
    <row r="70">
      <c r="A70" t="inlineStr">
        <is>
          <t>ENI.MI</t>
        </is>
      </c>
      <c r="B70" t="inlineStr">
        <is>
          <t>OK</t>
        </is>
      </c>
      <c r="C70" t="inlineStr"/>
      <c r="D70" t="n">
        <v>15.89999961853027</v>
      </c>
      <c r="E70" t="n">
        <v>16.06599998474121</v>
      </c>
      <c r="F70" t="n">
        <v>16.09799957275391</v>
      </c>
      <c r="G70" t="n">
        <v>15.83399963378906</v>
      </c>
      <c r="H70" t="n">
        <v>15.72000026702881</v>
      </c>
      <c r="I70" t="n">
        <v>14017810</v>
      </c>
      <c r="J70" s="24" t="n">
        <v>46031.72847222222</v>
      </c>
      <c r="K70" t="n">
        <v>13205409.28571429</v>
      </c>
      <c r="L70" t="n">
        <v>47538110464</v>
      </c>
      <c r="M70" t="n">
        <v>16.75</v>
      </c>
      <c r="N70" t="n">
        <v>11.01</v>
      </c>
      <c r="O70" t="inlineStr">
        <is>
          <t>EUR</t>
        </is>
      </c>
      <c r="P70" t="n">
        <v>16.57273</v>
      </c>
      <c r="Q70" t="n">
        <v>2.5</v>
      </c>
      <c r="R70" t="n">
        <v>1.04</v>
      </c>
      <c r="S70" t="n">
        <v>6.61</v>
      </c>
      <c r="T70" t="inlineStr">
        <is>
          <t>01-Jan-1970</t>
        </is>
      </c>
      <c r="U70" t="inlineStr">
        <is>
          <t>24-Oct-2025</t>
        </is>
      </c>
    </row>
    <row r="71">
      <c r="A71" t="inlineStr">
        <is>
          <t>EZJ.L</t>
        </is>
      </c>
      <c r="B71" t="inlineStr">
        <is>
          <t>OK</t>
        </is>
      </c>
      <c r="C71" t="inlineStr"/>
      <c r="D71" t="n">
        <v>504</v>
      </c>
      <c r="E71" t="n">
        <v>502.6000061035156</v>
      </c>
      <c r="F71" t="n">
        <v>508.6000061035156</v>
      </c>
      <c r="G71" t="n">
        <v>501.2999877929688</v>
      </c>
      <c r="H71" t="n">
        <v>505.4</v>
      </c>
      <c r="I71" t="n">
        <v>2032835</v>
      </c>
      <c r="J71" s="24" t="n">
        <v>46031.68680555555</v>
      </c>
      <c r="K71" t="n">
        <v>3023258.714285714</v>
      </c>
      <c r="L71" t="n">
        <v>3773465856</v>
      </c>
      <c r="M71" t="n">
        <v>590.6</v>
      </c>
      <c r="N71" t="n">
        <v>401.05</v>
      </c>
      <c r="O71" t="inlineStr">
        <is>
          <t>GBp</t>
        </is>
      </c>
      <c r="P71" t="n">
        <v>607.6319999999999</v>
      </c>
      <c r="Q71" t="n">
        <v>2.16667</v>
      </c>
      <c r="R71" t="n">
        <v>0.13</v>
      </c>
      <c r="S71" t="n">
        <v>2.61</v>
      </c>
      <c r="T71" t="inlineStr">
        <is>
          <t>01-Jan-1970</t>
        </is>
      </c>
      <c r="U71" t="inlineStr">
        <is>
          <t>25-Nov-2025</t>
        </is>
      </c>
    </row>
    <row r="72">
      <c r="A72" t="inlineStr">
        <is>
          <t>F</t>
        </is>
      </c>
      <c r="B72" t="inlineStr">
        <is>
          <t>OK</t>
        </is>
      </c>
      <c r="C72" t="inlineStr"/>
      <c r="D72" t="n">
        <v>14.3499002456665</v>
      </c>
      <c r="E72" t="n">
        <v>14.19999980926514</v>
      </c>
      <c r="F72" t="n">
        <v>14.40999984741211</v>
      </c>
      <c r="G72" t="n">
        <v>14.08500003814697</v>
      </c>
      <c r="H72" t="n">
        <v>14.39</v>
      </c>
      <c r="I72" t="n">
        <v>61822866</v>
      </c>
      <c r="J72" s="24" t="n">
        <v>46031.66597222222</v>
      </c>
      <c r="K72" t="n">
        <v>67721109.42857143</v>
      </c>
      <c r="L72" t="n">
        <v>56579878912</v>
      </c>
      <c r="M72" t="n">
        <v>14.5</v>
      </c>
      <c r="N72" t="n">
        <v>8.44</v>
      </c>
      <c r="O72" t="inlineStr">
        <is>
          <t>USD</t>
        </is>
      </c>
      <c r="P72" t="n">
        <v>13.26158</v>
      </c>
      <c r="Q72" t="n">
        <v>2.85714</v>
      </c>
      <c r="R72" t="n">
        <v>0.6</v>
      </c>
      <c r="S72" t="n">
        <v>4.17</v>
      </c>
      <c r="T72" t="inlineStr">
        <is>
          <t>01-Jan-1970</t>
        </is>
      </c>
      <c r="U72" t="inlineStr">
        <is>
          <t>10-Feb-2026</t>
        </is>
      </c>
    </row>
    <row r="73">
      <c r="A73" t="inlineStr">
        <is>
          <t>GLE.PA</t>
        </is>
      </c>
      <c r="B73" t="inlineStr">
        <is>
          <t>OK</t>
        </is>
      </c>
      <c r="C73" t="inlineStr"/>
      <c r="D73" t="n">
        <v>68.76000213623047</v>
      </c>
      <c r="E73" t="n">
        <v>69.59999847412109</v>
      </c>
      <c r="F73" t="n">
        <v>69.73999786376953</v>
      </c>
      <c r="G73" t="n">
        <v>68.31999969482422</v>
      </c>
      <c r="H73" t="n">
        <v>70.19999694824219</v>
      </c>
      <c r="I73" t="n">
        <v>2512256</v>
      </c>
      <c r="J73" s="24" t="n">
        <v>46031.72847222222</v>
      </c>
      <c r="K73" t="n">
        <v>1727191.571428571</v>
      </c>
      <c r="L73" t="n">
        <v>52601126912</v>
      </c>
      <c r="M73" t="n">
        <v>71.18000000000001</v>
      </c>
      <c r="N73" t="n">
        <v>26.95</v>
      </c>
      <c r="O73" t="inlineStr">
        <is>
          <t>EUR</t>
        </is>
      </c>
      <c r="P73" t="n">
        <v>68.16842</v>
      </c>
      <c r="Q73" t="inlineStr"/>
      <c r="R73" t="n">
        <v>1.7</v>
      </c>
      <c r="S73" t="n">
        <v>2.42</v>
      </c>
      <c r="T73" t="inlineStr">
        <is>
          <t>01-Jan-1970</t>
        </is>
      </c>
      <c r="U73" t="inlineStr">
        <is>
          <t>30-Oct-2025</t>
        </is>
      </c>
    </row>
    <row r="74">
      <c r="A74" t="inlineStr">
        <is>
          <t>GNRC</t>
        </is>
      </c>
      <c r="B74" t="inlineStr">
        <is>
          <t>OK</t>
        </is>
      </c>
      <c r="C74" t="inlineStr"/>
      <c r="D74" t="n">
        <v>151.3200073242188</v>
      </c>
      <c r="E74" t="n">
        <v>152.7799987792969</v>
      </c>
      <c r="F74" t="n">
        <v>153.2899932861328</v>
      </c>
      <c r="G74" t="n">
        <v>148.4400024414062</v>
      </c>
      <c r="H74" t="n">
        <v>152</v>
      </c>
      <c r="I74" t="n">
        <v>1014803</v>
      </c>
      <c r="J74" s="24" t="n">
        <v>46031.66597222222</v>
      </c>
      <c r="K74" t="n">
        <v>913114.7142857143</v>
      </c>
      <c r="L74" t="n">
        <v>8965750784</v>
      </c>
      <c r="M74" t="n">
        <v>203.25</v>
      </c>
      <c r="N74" t="n">
        <v>99.5</v>
      </c>
      <c r="O74" t="inlineStr">
        <is>
          <t>USD</t>
        </is>
      </c>
      <c r="P74" t="n">
        <v>204.88235</v>
      </c>
      <c r="Q74" t="n">
        <v>1.71429</v>
      </c>
      <c r="R74" t="inlineStr"/>
      <c r="S74" t="inlineStr"/>
      <c r="T74" t="inlineStr">
        <is>
          <t>01-Jan-1970</t>
        </is>
      </c>
      <c r="U74" t="inlineStr">
        <is>
          <t>29-Oct-2025</t>
        </is>
      </c>
    </row>
    <row r="75">
      <c r="A75" t="inlineStr">
        <is>
          <t>GS</t>
        </is>
      </c>
      <c r="B75" t="inlineStr">
        <is>
          <t>OK</t>
        </is>
      </c>
      <c r="C75" t="inlineStr"/>
      <c r="D75" t="n">
        <v>938.77001953125</v>
      </c>
      <c r="E75" t="n">
        <v>938.97998046875</v>
      </c>
      <c r="F75" t="n">
        <v>946.1400146484375</v>
      </c>
      <c r="G75" t="n">
        <v>932.8400268554688</v>
      </c>
      <c r="H75" t="n">
        <v>935.01</v>
      </c>
      <c r="I75" t="n">
        <v>1331794</v>
      </c>
      <c r="J75" s="24" t="n">
        <v>46031.66597222222</v>
      </c>
      <c r="K75" t="n">
        <v>2246142</v>
      </c>
      <c r="L75" t="n">
        <v>284249030656</v>
      </c>
      <c r="M75" t="n">
        <v>961.6900000000001</v>
      </c>
      <c r="N75" t="n">
        <v>439.38</v>
      </c>
      <c r="O75" t="inlineStr">
        <is>
          <t>USD</t>
        </is>
      </c>
      <c r="P75" t="n">
        <v>893.7895</v>
      </c>
      <c r="Q75" t="n">
        <v>2.52</v>
      </c>
      <c r="R75" t="n">
        <v>16</v>
      </c>
      <c r="S75" t="n">
        <v>1.71</v>
      </c>
      <c r="T75" t="inlineStr">
        <is>
          <t>01-Jan-1970</t>
        </is>
      </c>
      <c r="U75" t="inlineStr">
        <is>
          <t>15-Jan-2026</t>
        </is>
      </c>
    </row>
    <row r="76">
      <c r="A76" t="inlineStr">
        <is>
          <t>LAZRQ</t>
        </is>
      </c>
      <c r="B76" t="inlineStr">
        <is>
          <t>PARTIAL</t>
        </is>
      </c>
      <c r="C76" t="inlineStr">
        <is>
          <t>MissingFields,dividendRate,dividendYield,exDividendDate</t>
        </is>
      </c>
      <c r="D76" t="n">
        <v>0.07999999821186066</v>
      </c>
      <c r="E76" t="n">
        <v>0.1000000014901161</v>
      </c>
      <c r="F76" t="n">
        <v>0.1067000031471252</v>
      </c>
      <c r="G76" t="n">
        <v>0.07840000092983246</v>
      </c>
      <c r="H76" t="n">
        <v>0.08609999716281891</v>
      </c>
      <c r="I76" t="n">
        <v>538355</v>
      </c>
      <c r="J76" s="24" t="n">
        <v>46031.66597222222</v>
      </c>
      <c r="K76" t="n">
        <v>1831050.714285714</v>
      </c>
      <c r="L76" t="n">
        <v>8002589</v>
      </c>
      <c r="M76" t="n">
        <v>8.529999999999999</v>
      </c>
      <c r="N76" t="n">
        <v>0.068</v>
      </c>
      <c r="O76" t="inlineStr">
        <is>
          <t>USD</t>
        </is>
      </c>
      <c r="P76" t="n">
        <v>2.10714</v>
      </c>
      <c r="Q76" t="n">
        <v>3</v>
      </c>
      <c r="R76" t="inlineStr"/>
      <c r="S76" t="inlineStr"/>
      <c r="T76" t="inlineStr"/>
      <c r="U76" t="inlineStr">
        <is>
          <t>04-Mar-2026</t>
        </is>
      </c>
    </row>
    <row r="77">
      <c r="A77" t="inlineStr">
        <is>
          <t>LUV</t>
        </is>
      </c>
      <c r="B77" t="inlineStr">
        <is>
          <t>OK</t>
        </is>
      </c>
      <c r="C77" t="inlineStr"/>
      <c r="D77" t="n">
        <v>44.20000076293945</v>
      </c>
      <c r="E77" t="n">
        <v>44.52000045776367</v>
      </c>
      <c r="F77" t="n">
        <v>45.02000045776367</v>
      </c>
      <c r="G77" t="n">
        <v>43.86999893188477</v>
      </c>
      <c r="H77" t="n">
        <v>42.9199</v>
      </c>
      <c r="I77" t="n">
        <v>10456230</v>
      </c>
      <c r="J77" s="24" t="n">
        <v>46031.66597222222</v>
      </c>
      <c r="K77" t="n">
        <v>8183132.857142857</v>
      </c>
      <c r="L77" t="n">
        <v>23381356544</v>
      </c>
      <c r="M77" t="n">
        <v>45.02</v>
      </c>
      <c r="N77" t="n">
        <v>23.82</v>
      </c>
      <c r="O77" t="inlineStr">
        <is>
          <t>USD</t>
        </is>
      </c>
      <c r="P77" t="n">
        <v>41.01739</v>
      </c>
      <c r="Q77" t="n">
        <v>2.92</v>
      </c>
      <c r="R77" t="n">
        <v>0.72</v>
      </c>
      <c r="S77" t="n">
        <v>1.68</v>
      </c>
      <c r="T77" t="inlineStr">
        <is>
          <t>01-Jan-1970</t>
        </is>
      </c>
      <c r="U77" t="inlineStr">
        <is>
          <t>28-Jan-2026</t>
        </is>
      </c>
    </row>
    <row r="78">
      <c r="A78" t="inlineStr">
        <is>
          <t>MA</t>
        </is>
      </c>
      <c r="B78" t="inlineStr">
        <is>
          <t>OK</t>
        </is>
      </c>
      <c r="C78" t="inlineStr"/>
      <c r="D78" t="n">
        <v>578.1099853515625</v>
      </c>
      <c r="E78" t="n">
        <v>575.5399780273438</v>
      </c>
      <c r="F78" t="n">
        <v>581.3109741210938</v>
      </c>
      <c r="G78" t="n">
        <v>575.3400268554688</v>
      </c>
      <c r="H78" t="n">
        <v>588.37</v>
      </c>
      <c r="I78" t="n">
        <v>1786796</v>
      </c>
      <c r="J78" s="24" t="n">
        <v>46031.66597222222</v>
      </c>
      <c r="K78" t="n">
        <v>3055770.857142857</v>
      </c>
      <c r="L78" t="n">
        <v>520294957056</v>
      </c>
      <c r="M78" t="n">
        <v>601.77</v>
      </c>
      <c r="N78" t="n">
        <v>465.59</v>
      </c>
      <c r="O78" t="inlineStr">
        <is>
          <t>USD</t>
        </is>
      </c>
      <c r="P78" t="n">
        <v>661.3945</v>
      </c>
      <c r="Q78" t="n">
        <v>1.58974</v>
      </c>
      <c r="R78" t="n">
        <v>3.48</v>
      </c>
      <c r="S78" t="n">
        <v>0.6</v>
      </c>
      <c r="T78" t="inlineStr">
        <is>
          <t>01-Jan-1970</t>
        </is>
      </c>
      <c r="U78" t="inlineStr">
        <is>
          <t>29-Jan-2026</t>
        </is>
      </c>
    </row>
    <row r="79">
      <c r="A79" t="inlineStr">
        <is>
          <t>NVAX</t>
        </is>
      </c>
      <c r="B79" t="inlineStr">
        <is>
          <t>PARTIAL</t>
        </is>
      </c>
      <c r="C79" t="inlineStr">
        <is>
          <t>MissingFields,dividendRate,dividendYield,exDividendDate</t>
        </is>
      </c>
      <c r="D79" t="n">
        <v>7.380000114440918</v>
      </c>
      <c r="E79" t="n">
        <v>7.269999980926514</v>
      </c>
      <c r="F79" t="n">
        <v>7.550000190734863</v>
      </c>
      <c r="G79" t="n">
        <v>7.255000114440918</v>
      </c>
      <c r="H79" t="n">
        <v>7.32</v>
      </c>
      <c r="I79" t="n">
        <v>2766724</v>
      </c>
      <c r="J79" s="24" t="n">
        <v>46031.66597222222</v>
      </c>
      <c r="K79" t="n">
        <v>3425317.714285714</v>
      </c>
      <c r="L79" t="n">
        <v>1181367680</v>
      </c>
      <c r="M79" t="n">
        <v>10.64</v>
      </c>
      <c r="N79" t="n">
        <v>5.01</v>
      </c>
      <c r="O79" t="inlineStr">
        <is>
          <t>USD</t>
        </is>
      </c>
      <c r="P79" t="n">
        <v>12.77778</v>
      </c>
      <c r="Q79" t="n">
        <v>2.33333</v>
      </c>
      <c r="R79" t="inlineStr"/>
      <c r="S79" t="inlineStr"/>
      <c r="T79" t="inlineStr"/>
      <c r="U79" t="inlineStr">
        <is>
          <t>06-Nov-2025</t>
        </is>
      </c>
    </row>
    <row r="80">
      <c r="A80" t="inlineStr">
        <is>
          <t>NVS</t>
        </is>
      </c>
      <c r="B80" t="inlineStr">
        <is>
          <t>OK</t>
        </is>
      </c>
      <c r="C80" t="inlineStr"/>
      <c r="D80" t="n">
        <v>141.9900054931641</v>
      </c>
      <c r="E80" t="n">
        <v>141.5399932861328</v>
      </c>
      <c r="F80" t="n">
        <v>142.8999938964844</v>
      </c>
      <c r="G80" t="n">
        <v>141.5950012207031</v>
      </c>
      <c r="H80" t="n">
        <v>144</v>
      </c>
      <c r="I80" t="n">
        <v>1083121</v>
      </c>
      <c r="J80" s="24" t="n">
        <v>46031.66597222222</v>
      </c>
      <c r="K80" t="n">
        <v>1565917.285714286</v>
      </c>
      <c r="L80" t="n">
        <v>271585820672</v>
      </c>
      <c r="M80" t="n">
        <v>143.49</v>
      </c>
      <c r="N80" t="n">
        <v>97.39</v>
      </c>
      <c r="O80" t="inlineStr">
        <is>
          <t>USD</t>
        </is>
      </c>
      <c r="P80" t="n">
        <v>134.88222</v>
      </c>
      <c r="Q80" t="n">
        <v>3.09091</v>
      </c>
      <c r="R80" t="n">
        <v>3.99</v>
      </c>
      <c r="S80" t="n">
        <v>2.82</v>
      </c>
      <c r="T80" t="inlineStr">
        <is>
          <t>01-Jan-1970</t>
        </is>
      </c>
      <c r="U80" t="inlineStr">
        <is>
          <t>04-Feb-2026</t>
        </is>
      </c>
    </row>
    <row r="81">
      <c r="A81" t="inlineStr">
        <is>
          <t>ORA.PA</t>
        </is>
      </c>
      <c r="B81" t="inlineStr">
        <is>
          <t>OK</t>
        </is>
      </c>
      <c r="C81" t="inlineStr"/>
      <c r="D81" t="n">
        <v>14.65999984741211</v>
      </c>
      <c r="E81" t="n">
        <v>14.19499969482422</v>
      </c>
      <c r="F81" t="n">
        <v>14.66499996185303</v>
      </c>
      <c r="G81" t="n">
        <v>14.19499969482422</v>
      </c>
      <c r="H81" t="n">
        <v>14.63000011444092</v>
      </c>
      <c r="I81" t="n">
        <v>4686100</v>
      </c>
      <c r="J81" s="24" t="n">
        <v>46031.72847222222</v>
      </c>
      <c r="K81" t="n">
        <v>3759173.857142857</v>
      </c>
      <c r="L81" t="n">
        <v>37738823680</v>
      </c>
      <c r="M81" t="n">
        <v>14.69</v>
      </c>
      <c r="N81" t="n">
        <v>9.635999999999999</v>
      </c>
      <c r="O81" t="inlineStr">
        <is>
          <t>EUR</t>
        </is>
      </c>
      <c r="P81" t="n">
        <v>15.85294</v>
      </c>
      <c r="Q81" t="n">
        <v>1.77778</v>
      </c>
      <c r="R81" t="n">
        <v>0.75</v>
      </c>
      <c r="S81" t="n">
        <v>5.13</v>
      </c>
      <c r="T81" t="inlineStr">
        <is>
          <t>01-Jan-1970</t>
        </is>
      </c>
      <c r="U81" t="inlineStr">
        <is>
          <t>18-Feb-2026</t>
        </is>
      </c>
    </row>
    <row r="82">
      <c r="A82" t="inlineStr">
        <is>
          <t>OXY</t>
        </is>
      </c>
      <c r="B82" t="inlineStr">
        <is>
          <t>OK</t>
        </is>
      </c>
      <c r="C82" t="inlineStr"/>
      <c r="D82" t="n">
        <v>43.59999847412109</v>
      </c>
      <c r="E82" t="n">
        <v>42.86000061035156</v>
      </c>
      <c r="F82" t="n">
        <v>43.86000061035156</v>
      </c>
      <c r="G82" t="n">
        <v>42.68500137329102</v>
      </c>
      <c r="H82" t="n">
        <v>43.14</v>
      </c>
      <c r="I82" t="n">
        <v>10143128</v>
      </c>
      <c r="J82" s="24" t="n">
        <v>46031.66597222222</v>
      </c>
      <c r="K82" t="n">
        <v>12691118.28571429</v>
      </c>
      <c r="L82" t="n">
        <v>42226118656</v>
      </c>
      <c r="M82" t="n">
        <v>53.2</v>
      </c>
      <c r="N82" t="n">
        <v>34.78</v>
      </c>
      <c r="O82" t="inlineStr">
        <is>
          <t>USD</t>
        </is>
      </c>
      <c r="P82" t="n">
        <v>49.625</v>
      </c>
      <c r="Q82" t="n">
        <v>2.8</v>
      </c>
      <c r="R82" t="n">
        <v>0.96</v>
      </c>
      <c r="S82" t="n">
        <v>2.22</v>
      </c>
      <c r="T82" t="inlineStr">
        <is>
          <t>01-Jan-1970</t>
        </is>
      </c>
      <c r="U82" t="inlineStr">
        <is>
          <t>18-Feb-2026</t>
        </is>
      </c>
    </row>
    <row r="83">
      <c r="A83" t="inlineStr">
        <is>
          <t>PFE</t>
        </is>
      </c>
      <c r="B83" t="inlineStr">
        <is>
          <t>OK</t>
        </is>
      </c>
      <c r="C83" t="inlineStr"/>
      <c r="D83" t="n">
        <v>25.34000015258789</v>
      </c>
      <c r="E83" t="n">
        <v>25.47999954223633</v>
      </c>
      <c r="F83" t="n">
        <v>25.54999923706055</v>
      </c>
      <c r="G83" t="n">
        <v>25.22999954223633</v>
      </c>
      <c r="H83" t="n">
        <v>25.3195</v>
      </c>
      <c r="I83" t="n">
        <v>34162064</v>
      </c>
      <c r="J83" s="24" t="n">
        <v>46031.66597222222</v>
      </c>
      <c r="K83" t="n">
        <v>42502752</v>
      </c>
      <c r="L83" t="n">
        <v>144871833600</v>
      </c>
      <c r="M83" t="n">
        <v>27.69</v>
      </c>
      <c r="N83" t="n">
        <v>20.92</v>
      </c>
      <c r="O83" t="inlineStr">
        <is>
          <t>USD</t>
        </is>
      </c>
      <c r="P83" t="n">
        <v>28.65708</v>
      </c>
      <c r="Q83" t="n">
        <v>2.42308</v>
      </c>
      <c r="R83" t="n">
        <v>1.72</v>
      </c>
      <c r="S83" t="n">
        <v>6.8</v>
      </c>
      <c r="T83" t="inlineStr">
        <is>
          <t>01-Jan-1970</t>
        </is>
      </c>
      <c r="U83" t="inlineStr">
        <is>
          <t>03-Feb-2026</t>
        </is>
      </c>
    </row>
    <row r="84">
      <c r="A84" t="inlineStr">
        <is>
          <t>RIG</t>
        </is>
      </c>
      <c r="B84" t="inlineStr">
        <is>
          <t>OK</t>
        </is>
      </c>
      <c r="C84" t="inlineStr"/>
      <c r="D84" t="n">
        <v>4.289999961853027</v>
      </c>
      <c r="E84" t="n">
        <v>4.25</v>
      </c>
      <c r="F84" t="n">
        <v>4.360000133514404</v>
      </c>
      <c r="G84" t="n">
        <v>4.164599895477295</v>
      </c>
      <c r="H84" t="n">
        <v>4.28</v>
      </c>
      <c r="I84" t="n">
        <v>25006372</v>
      </c>
      <c r="J84" s="24" t="n">
        <v>46031.66597222222</v>
      </c>
      <c r="K84" t="n">
        <v>31372910.28571429</v>
      </c>
      <c r="L84" t="n">
        <v>4681124864</v>
      </c>
      <c r="M84" t="n">
        <v>4.56</v>
      </c>
      <c r="N84" t="n">
        <v>1.97</v>
      </c>
      <c r="O84" t="inlineStr">
        <is>
          <t>USD</t>
        </is>
      </c>
      <c r="P84" t="n">
        <v>4.2</v>
      </c>
      <c r="Q84" t="n">
        <v>2.61538</v>
      </c>
      <c r="R84" t="inlineStr"/>
      <c r="S84" t="inlineStr"/>
      <c r="T84" t="inlineStr">
        <is>
          <t>01-Jan-1970</t>
        </is>
      </c>
      <c r="U84" t="inlineStr">
        <is>
          <t>29-Oct-2025</t>
        </is>
      </c>
    </row>
    <row r="85">
      <c r="A85" t="inlineStr">
        <is>
          <t>RRC</t>
        </is>
      </c>
      <c r="B85" t="inlineStr">
        <is>
          <t>OK</t>
        </is>
      </c>
      <c r="C85" t="inlineStr"/>
      <c r="D85" t="n">
        <v>33.7599983215332</v>
      </c>
      <c r="E85" t="n">
        <v>33.45000076293945</v>
      </c>
      <c r="F85" t="n">
        <v>33.93500137329102</v>
      </c>
      <c r="G85" t="n">
        <v>32.90999984741211</v>
      </c>
      <c r="H85" t="n">
        <v>33.9</v>
      </c>
      <c r="I85" t="n">
        <v>3683287</v>
      </c>
      <c r="J85" s="24" t="n">
        <v>46031.66597222222</v>
      </c>
      <c r="K85" t="n">
        <v>3044512.428571429</v>
      </c>
      <c r="L85" t="n">
        <v>7967492096</v>
      </c>
      <c r="M85" t="n">
        <v>43.5</v>
      </c>
      <c r="N85" t="n">
        <v>30.32</v>
      </c>
      <c r="O85" t="inlineStr">
        <is>
          <t>USD</t>
        </is>
      </c>
      <c r="P85" t="n">
        <v>41.70833</v>
      </c>
      <c r="Q85" t="n">
        <v>2.44</v>
      </c>
      <c r="R85" t="n">
        <v>0.36</v>
      </c>
      <c r="S85" t="n">
        <v>1.06</v>
      </c>
      <c r="T85" t="inlineStr">
        <is>
          <t>01-Jan-1970</t>
        </is>
      </c>
      <c r="U85" t="inlineStr">
        <is>
          <t>28-Oct-2025</t>
        </is>
      </c>
    </row>
    <row r="86">
      <c r="A86" t="inlineStr">
        <is>
          <t>XYZ</t>
        </is>
      </c>
      <c r="B86" t="inlineStr">
        <is>
          <t>PARTIAL</t>
        </is>
      </c>
      <c r="C86" t="inlineStr">
        <is>
          <t>MissingFields,dividendRate,dividendYield,exDividendDate</t>
        </is>
      </c>
      <c r="D86" t="n">
        <v>70.58999633789062</v>
      </c>
      <c r="E86" t="n">
        <v>69.55000305175781</v>
      </c>
      <c r="F86" t="n">
        <v>70.87999725341797</v>
      </c>
      <c r="G86" t="n">
        <v>68.38999938964844</v>
      </c>
      <c r="H86" t="n">
        <v>70.41</v>
      </c>
      <c r="I86" t="n">
        <v>3384291</v>
      </c>
      <c r="J86" s="24" t="n">
        <v>46031.66597222222</v>
      </c>
      <c r="K86" t="n">
        <v>5587413</v>
      </c>
      <c r="L86" t="n">
        <v>42396569600</v>
      </c>
      <c r="M86" t="n">
        <v>94.25</v>
      </c>
      <c r="N86" t="n">
        <v>44.27</v>
      </c>
      <c r="O86" t="inlineStr">
        <is>
          <t>USD</t>
        </is>
      </c>
      <c r="P86" t="n">
        <v>84.21579</v>
      </c>
      <c r="Q86" t="n">
        <v>1.84783</v>
      </c>
      <c r="R86" t="inlineStr"/>
      <c r="S86" t="inlineStr"/>
      <c r="T86" t="inlineStr"/>
      <c r="U86" t="inlineStr">
        <is>
          <t>06-Nov-2025</t>
        </is>
      </c>
    </row>
    <row r="87">
      <c r="A87" t="inlineStr">
        <is>
          <t>THC</t>
        </is>
      </c>
      <c r="B87" t="inlineStr">
        <is>
          <t>OK</t>
        </is>
      </c>
      <c r="C87" t="inlineStr"/>
      <c r="D87" t="n">
        <v>204.6699981689453</v>
      </c>
      <c r="E87" t="n">
        <v>201.1999969482422</v>
      </c>
      <c r="F87" t="n">
        <v>205.4799957275391</v>
      </c>
      <c r="G87" t="n">
        <v>200.25</v>
      </c>
      <c r="H87" t="n">
        <v>199.29</v>
      </c>
      <c r="I87" t="n">
        <v>325292</v>
      </c>
      <c r="J87" s="24" t="n">
        <v>46031.66597222222</v>
      </c>
      <c r="K87" t="n">
        <v>808827.4285714285</v>
      </c>
      <c r="L87" t="n">
        <v>17776220160</v>
      </c>
      <c r="M87" t="n">
        <v>222.82</v>
      </c>
      <c r="N87" t="n">
        <v>109.82</v>
      </c>
      <c r="O87" t="inlineStr">
        <is>
          <t>USD</t>
        </is>
      </c>
      <c r="P87" t="n">
        <v>236.4762</v>
      </c>
      <c r="Q87" t="n">
        <v>1.54545</v>
      </c>
      <c r="R87" t="inlineStr"/>
      <c r="S87" t="inlineStr"/>
      <c r="T87" t="inlineStr">
        <is>
          <t>01-Jan-1970</t>
        </is>
      </c>
      <c r="U87" t="inlineStr">
        <is>
          <t>11-Feb-2026</t>
        </is>
      </c>
    </row>
    <row r="88">
      <c r="A88" t="inlineStr">
        <is>
          <t>X</t>
        </is>
      </c>
      <c r="B88" t="inlineStr">
        <is>
          <t>NO_DATA</t>
        </is>
      </c>
      <c r="C88" t="inlineStr">
        <is>
          <t>'currentTradingPeriod'</t>
        </is>
      </c>
      <c r="D88" t="inlineStr"/>
      <c r="E88" t="inlineStr"/>
      <c r="F88" t="inlineStr"/>
      <c r="G88" t="inlineStr"/>
      <c r="H88" t="inlineStr"/>
      <c r="I88" t="inlineStr"/>
      <c r="J88" t="inlineStr"/>
      <c r="K88" t="inlineStr"/>
      <c r="L88" t="inlineStr"/>
      <c r="M88" t="inlineStr"/>
      <c r="N88" t="inlineStr"/>
      <c r="O88" t="inlineStr"/>
      <c r="P88" t="inlineStr"/>
      <c r="Q88" t="inlineStr"/>
      <c r="R88" t="inlineStr"/>
      <c r="S88" t="inlineStr"/>
      <c r="T88" t="inlineStr"/>
      <c r="U88" t="inlineStr"/>
    </row>
    <row r="89">
      <c r="A89" t="inlineStr">
        <is>
          <t>LOCK.L</t>
        </is>
      </c>
      <c r="B89" t="inlineStr">
        <is>
          <t>PARTIAL</t>
        </is>
      </c>
      <c r="C89" t="inlineStr">
        <is>
          <t>MissingFields,marketCap,fiftyTwoWeekHigh,fiftyTwoWeekLow,currency,targetMeanPrice,recommendationMean,dividendRate,dividendYield,exDividendDate,earningsDate</t>
        </is>
      </c>
      <c r="D89" t="n">
        <v>10.1560001373291</v>
      </c>
      <c r="E89" t="n">
        <v>10.17599964141846</v>
      </c>
      <c r="F89" t="n">
        <v>10.22000026702881</v>
      </c>
      <c r="G89" t="n">
        <v>10.13799953460693</v>
      </c>
      <c r="H89" t="n">
        <v>10.17</v>
      </c>
      <c r="I89" t="n">
        <v>17055</v>
      </c>
      <c r="J89" s="24" t="n">
        <v>46031.68402777778</v>
      </c>
      <c r="K89" t="n">
        <v>29295.85714285714</v>
      </c>
      <c r="L89" t="inlineStr"/>
      <c r="M89" t="inlineStr"/>
      <c r="N89" t="inlineStr"/>
      <c r="O89" t="inlineStr"/>
      <c r="P89" t="inlineStr"/>
      <c r="Q89" t="inlineStr"/>
      <c r="R89" t="inlineStr"/>
      <c r="S89" t="inlineStr"/>
      <c r="T89" t="inlineStr"/>
      <c r="U89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Kosta Yanev</dc:creator>
  <dcterms:created xmlns:dcterms="http://purl.org/dc/terms/" xmlns:xsi="http://www.w3.org/2001/XMLSchema-instance" xsi:type="dcterms:W3CDTF">2025-11-03T11:18:36Z</dcterms:created>
  <dcterms:modified xmlns:dcterms="http://purl.org/dc/terms/" xmlns:xsi="http://www.w3.org/2001/XMLSchema-instance" xsi:type="dcterms:W3CDTF">2026-01-10T00:15:10Z</dcterms:modified>
  <cp:lastModifiedBy>Kosta Yanev</cp:lastModifiedBy>
</cp:coreProperties>
</file>