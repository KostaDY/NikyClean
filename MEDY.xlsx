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C010B505-96A3-B94C-A6F2-5B51C2F26E44}"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<sst xmlns="http://schemas.openxmlformats.org/spreadsheetml/2006/main" count="283" uniqueCount="174">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</sst>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8">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 numFmtId="180" formatCode="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8">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80" fontId="0" fillId="0" borderId="0" xfId="2" applyNumberFormat="1" applyFon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numFmt numFmtId="178" formatCode="0.0%;[Red]\-0.0%"/>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rgb="FF00B050"/>
        <name val="Aptos Narrow"/>
        <family val="2"/>
        <scheme val="minor"/>
      </font>
    </dxf>
    <dxf>
      <numFmt numFmtId="13" formatCode="0%"/>
    </dxf>
    <dxf>
      <numFmt numFmtId="3" formatCode="#,##0"/>
    </dxf>
    <dxf>
      <numFmt numFmtId="3" formatCode="#,##0"/>
    </dxf>
    <dxf>
      <numFmt numFmtId="14" formatCode="0.00%"/>
    </dxf>
    <dxf>
      <numFmt numFmtId="165" formatCode="0.00_);[Red]\(0.00\)"/>
    </dxf>
    <dxf>
      <numFmt numFmtId="173" formatCode="_(&quot;$&quot;* #,##0_);_(&quot;$&quot;* \(#,##0\);_(&quot;$&quot;* &quot;-&quot;??_);_(@_)"/>
    </dxf>
    <dxf>
      <font>
        <b val="0"/>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dxf>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strike val="0"/>
        <outline val="0"/>
        <shadow val="0"/>
        <u val="none"/>
        <vertAlign val="baseline"/>
        <color rgb="FFFF0000"/>
      </font>
      <numFmt numFmtId="177" formatCode="[$-409]d\-mmm\-yy;@"/>
      <fill>
        <patternFill patternType="solid">
          <fgColor indexed="64"/>
          <bgColor theme="4" tint="0.79998168889431442"/>
        </patternFill>
      </fill>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fill>
        <patternFill patternType="solid">
          <fgColor indexed="64"/>
          <bgColor rgb="FFFFC000"/>
        </patternFill>
      </fill>
    </dxf>
    <dxf>
      <numFmt numFmtId="167" formatCode="_([$$-409]* #,##0.00_);_([$$-409]* \(#,##0.00\);_([$$-409]* &quot;-&quot;??_);_(@_)"/>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65" formatCode="0.00_);[Red]\(0.00\)"/>
    </dxf>
    <dxf>
      <numFmt numFmtId="4" formatCode="#,##0.00"/>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row r="2">
          <cell r="B2" t="str">
            <v>AAPL</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1.1039000000000001</v>
    <v>-3.7818000000000001</v>
    <v>-1.3883000000000001E-2</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270.49</v>
    <v>Computers, Phones &amp; Household Electronics</v>
    <v>Stock</v>
    <v>45978.694876909372</v>
    <v>0</v>
    <v>266.64999999999998</v>
    <v>3969344303070</v>
    <v>APPLE INC.</v>
    <v>APPLE INC.</v>
    <v>268.93</v>
    <v>36.171100000000003</v>
    <v>272.41000000000003</v>
    <v>268.62819999999999</v>
    <v>14776350000</v>
    <v>AAPL</v>
    <v>APPLE INC. (XNAS:AAPL)</v>
    <v>16517005</v>
    <v>48749657</v>
    <v>1977</v>
  </rv>
  <rv s="2">
    <v>1</v>
  </rv>
  <rv s="0">
    <v>https://www.bing.com/financeapi/forcetrigger?t=a269vh&amp;q=XNAS%3aXPER&amp;form=skydnc</v>
    <v>Learn more on Bing</v>
  </rv>
  <rv s="1">
    <v>0</v>
    <v>ADEIA INC. (XNAS:ADEA)</v>
    <v>2</v>
    <v>3</v>
    <v>Finance</v>
    <v>4</v>
    <v>en-US</v>
    <v>a269vh</v>
    <v>268435456</v>
    <v>1</v>
    <v>Powered by Refinitiv</v>
    <v>18.25</v>
    <v>10.59</v>
    <v>2.4137</v>
    <v>-0.245</v>
    <v>-1.9050999999999998E-2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12.79</v>
    <v>Software &amp; IT Services</v>
    <v>Stock</v>
    <v>45978.694897117966</v>
    <v>3</v>
    <v>12.55</v>
    <v>1381471173</v>
    <v>ADEIA INC.</v>
    <v>ADEIA INC.</v>
    <v>12.79</v>
    <v>19.4376</v>
    <v>12.86</v>
    <v>12.615</v>
    <v>109510200</v>
    <v>ADEA</v>
    <v>ADEIA INC. (XNAS:ADEA)</v>
    <v>112122</v>
    <v>851399</v>
    <v>2019</v>
  </rv>
  <rv s="2">
    <v>4</v>
  </rv>
  <rv s="0">
    <v>https://www.bing.com/financeapi/forcetrigger?t=aodfgh&amp;q=XLON%3aAET&amp;form=skydnc</v>
    <v>Learn more on Bing</v>
  </rv>
  <rv s="1">
    <v>0</v>
    <v>AFENTRA PLC (XLON:AET)</v>
    <v>2</v>
    <v>5</v>
    <v>Finance</v>
    <v>6</v>
    <v>en-US</v>
    <v>aodfgh</v>
    <v>268435456</v>
    <v>1</v>
    <v>Powered by Refinitiv</v>
    <v>56.2</v>
    <v>33.064999999999998</v>
    <v>1.6380999999999999</v>
    <v>0.5756</v>
    <v>1.2735000000000002E-2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47</v>
    <v>Oil &amp; Gas</v>
    <v>Stock</v>
    <v>45978.682813575782</v>
    <v>6</v>
    <v>45</v>
    <v>102222500</v>
    <v>AFENTRA PLC</v>
    <v>AFENTRA PLC</v>
    <v>47</v>
    <v>3.9735999999999998</v>
    <v>45.2</v>
    <v>45.775599999999997</v>
    <v>226156000</v>
    <v>AET</v>
    <v>AFENTRA PLC (XLON:AET)</v>
    <v>219333</v>
    <v>362000</v>
    <v>1983</v>
  </rv>
  <rv s="2">
    <v>7</v>
  </rv>
  <rv s="0">
    <v>https://www.bing.com/financeapi/forcetrigger?t=a1nhlh&amp;q=XNAS%3aAMZN&amp;form=skydnc</v>
    <v>Learn more on Bing</v>
  </rv>
  <rv s="1">
    <v>0</v>
    <v>AMAZON.COM, INC. (XNAS:AMZN)</v>
    <v>2</v>
    <v>3</v>
    <v>Finance</v>
    <v>4</v>
    <v>en-US</v>
    <v>a1nhlh</v>
    <v>268435456</v>
    <v>1</v>
    <v>Powered by Refinitiv</v>
    <v>258.60000000000002</v>
    <v>161.38</v>
    <v>1.3703000000000001</v>
    <v>-1.4699</v>
    <v>-6.2629999999999995E-3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234.6</v>
    <v>Diversified Retail</v>
    <v>Stock</v>
    <v>45978.694943356248</v>
    <v>9</v>
    <v>229.19</v>
    <v>2493174177422</v>
    <v>AMAZON.COM, INC.</v>
    <v>AMAZON.COM, INC.</v>
    <v>233</v>
    <v>32.945300000000003</v>
    <v>234.69</v>
    <v>233.2201</v>
    <v>10690220000</v>
    <v>AMZN</v>
    <v>AMAZON.COM, INC. (XNAS:AMZN)</v>
    <v>31636550</v>
    <v>51192660</v>
    <v>1996</v>
  </rv>
  <rv s="2">
    <v>10</v>
  </rv>
  <rv s="0">
    <v>https://www.bing.com/financeapi/forcetrigger?t=b125ww&amp;q=XPAR%3aALDNE&amp;form=skydnc</v>
    <v>Learn more on Bing</v>
  </rv>
  <rv s="1">
    <v>0</v>
    <v>Dont Nod Entertainment SA (XPAR:ALDNE)</v>
    <v>2</v>
    <v>7</v>
    <v>Finance</v>
    <v>8</v>
    <v>en-US</v>
    <v>b125ww</v>
    <v>268435456</v>
    <v>1</v>
    <v>Powered by Refinitiv</v>
    <v>1.53</v>
    <v>0.65</v>
    <v>0.95499999999999996</v>
    <v>1.4E-2</v>
    <v>2.1021000000000001E-2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0.68799999999999994</v>
    <v>Software &amp; IT Services</v>
    <v>Stock</v>
    <v>45978.677213240626</v>
    <v>12</v>
    <v>0.68</v>
    <v>8712450</v>
    <v>Dont Nod Entertainment SA</v>
    <v>Dont Nod Entertainment SA</v>
    <v>0.68</v>
    <v>0</v>
    <v>0.66600000000000004</v>
    <v>0.68</v>
    <v>13081760</v>
    <v>ALDNE</v>
    <v>Dont Nod Entertainment SA (XPAR:ALDNE)</v>
    <v>1263</v>
    <v>6940</v>
    <v>2008</v>
  </rv>
  <rv s="2">
    <v>13</v>
  </rv>
  <rv s="0">
    <v>https://www.bing.com/financeapi/forcetrigger?t=alnz5r&amp;q=XAMS%3aASML&amp;form=skydnc</v>
    <v>Learn more on Bing</v>
  </rv>
  <rv s="1">
    <v>0</v>
    <v>ASML Holding NV (XAMS:ASML)</v>
    <v>2</v>
    <v>7</v>
    <v>Finance</v>
    <v>8</v>
    <v>en-US</v>
    <v>alnz5r</v>
    <v>268435456</v>
    <v>1</v>
    <v>Powered by Refinitiv</v>
    <v>938.6</v>
    <v>508.4</v>
    <v>2.1217000000000001</v>
    <v>0.6</v>
    <v>6.864000000000001E-4</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883.9</v>
    <v>Semiconductors &amp; Semiconductor Equipment</v>
    <v>Stock</v>
    <v>45978.684467592589</v>
    <v>15</v>
    <v>864.3</v>
    <v>339279900000</v>
    <v>ASML Holding NV</v>
    <v>ASML Holding NV</v>
    <v>879.3</v>
    <v>33.585299999999997</v>
    <v>874.1</v>
    <v>874.7</v>
    <v>388147700</v>
    <v>ASML</v>
    <v>ASML Holding NV (XAMS:ASML)</v>
    <v>276973</v>
    <v>552590</v>
    <v>1994</v>
  </rv>
  <rv s="2">
    <v>16</v>
  </rv>
  <rv s="0">
    <v>https://www.bing.com/financeapi/forcetrigger?t=a1nz8m&amp;q=XNAS%3aAVGO&amp;form=skydnc</v>
    <v>Learn more on Bing</v>
  </rv>
  <rv s="1">
    <v>0</v>
    <v>BROADCOM INC. (XNAS:AVGO)</v>
    <v>2</v>
    <v>3</v>
    <v>Finance</v>
    <v>4</v>
    <v>en-US</v>
    <v>a1nz8m</v>
    <v>268435456</v>
    <v>1</v>
    <v>Powered by Refinitiv</v>
    <v>386.48</v>
    <v>138.1</v>
    <v>1.2295</v>
    <v>4.5599999999999996</v>
    <v>1.3314999999999999E-2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352.2</v>
    <v>Semiconductors &amp; Semiconductor Equipment</v>
    <v>Stock</v>
    <v>45978.694944652343</v>
    <v>18</v>
    <v>337.52</v>
    <v>1638755102300</v>
    <v>BROADCOM INC.</v>
    <v>BROADCOM INC.</v>
    <v>340.47</v>
    <v>88.956699999999998</v>
    <v>342.46</v>
    <v>347.02</v>
    <v>4722365000</v>
    <v>AVGO</v>
    <v>BROADCOM INC. (XNAS:AVGO)</v>
    <v>4987820</v>
    <v>20461161</v>
    <v>2018</v>
  </rv>
  <rv s="2">
    <v>19</v>
  </rv>
  <rv s="0">
    <v>https://www.bing.com/financeapi/forcetrigger?t=a1o3qh&amp;q=XNAS%3aAZN&amp;form=skydnc</v>
    <v>Learn more on Bing</v>
  </rv>
  <rv s="1">
    <v>0</v>
    <v>ASTRAZENECA PLC (XNAS:AZN)</v>
    <v>2</v>
    <v>3</v>
    <v>Finance</v>
    <v>4</v>
    <v>en-US</v>
    <v>a1o3qh</v>
    <v>268435456</v>
    <v>1</v>
    <v>Powered by Refinitiv</v>
    <v>89.91</v>
    <v>61.24</v>
    <v>0.31769999999999998</v>
    <v>0.54</v>
    <v>6.0609999999999995E-3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89.91</v>
    <v>Pharmaceuticals</v>
    <v>Stock</v>
    <v>45978.694943286719</v>
    <v>21</v>
    <v>89.114999999999995</v>
    <v>276760300000</v>
    <v>ASTRAZENECA PLC</v>
    <v>ASTRAZENECA PLC</v>
    <v>89.26</v>
    <v>29.7807</v>
    <v>89.1</v>
    <v>89.64</v>
    <v>3101426000</v>
    <v>AZN</v>
    <v>ASTRAZENECA PLC (XNAS:AZN)</v>
    <v>1239517</v>
    <v>4490741</v>
    <v>1992</v>
  </rv>
  <rv s="2">
    <v>22</v>
  </rv>
  <rv s="0">
    <v>https://www.bing.com/financeapi/forcetrigger?t=a1oldm&amp;q=XNAS%3aBLDP&amp;form=skydnc</v>
    <v>Learn more on Bing</v>
  </rv>
  <rv s="1">
    <v>0</v>
    <v>BALLARD POWER SYSTEMS INC. (XNAS:BLDP)</v>
    <v>2</v>
    <v>9</v>
    <v>Finance</v>
    <v>4</v>
    <v>en-US</v>
    <v>a1oldm</v>
    <v>268435456</v>
    <v>1</v>
    <v>Powered by Refinitiv</v>
    <v>4.0999999999999996</v>
    <v>1</v>
    <v>1.7289000000000001</v>
    <v>-0.02</v>
    <v>-6.6010000000000001E-3</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3.1093000000000002</v>
    <v>Renewable Energy</v>
    <v>Stock</v>
    <v>45978.694941967187</v>
    <v>24</v>
    <v>2.9701</v>
    <v>1280479000</v>
    <v>BALLARD POWER SYSTEMS INC.</v>
    <v>BALLARD POWER SYSTEMS INC.</v>
    <v>2.99</v>
    <v>0</v>
    <v>3.03</v>
    <v>3.01</v>
    <v>300581900</v>
    <v>BLDP</v>
    <v>BALLARD POWER SYSTEMS INC. (XNAS:BLDP)</v>
    <v>2118444</v>
    <v>7221431</v>
    <v>2016</v>
  </rv>
  <rv s="2">
    <v>25</v>
  </rv>
  <rv s="0">
    <v>https://www.bing.com/financeapi/forcetrigger?t=a1oo5r&amp;q=XNAS%3aBMRA&amp;form=skydnc</v>
    <v>Learn more on Bing</v>
  </rv>
  <rv s="1">
    <v>0</v>
    <v>BIOMERICA, INC. (XNAS:BMRA)</v>
    <v>2</v>
    <v>3</v>
    <v>Finance</v>
    <v>4</v>
    <v>en-US</v>
    <v>a1oo5r</v>
    <v>268435456</v>
    <v>1</v>
    <v>Powered by Refinitiv</v>
    <v>10.16</v>
    <v>2.08</v>
    <v>7.1499999999999994E-2</v>
    <v>0.01</v>
    <v>4.1149999999999997E-3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2.44</v>
    <v>Healthcare Equipment &amp; Supplies</v>
    <v>Stock</v>
    <v>45978.694779895312</v>
    <v>27</v>
    <v>2.42</v>
    <v>7104600</v>
    <v>BIOMERICA, INC.</v>
    <v>BIOMERICA, INC.</v>
    <v>2.42</v>
    <v>0</v>
    <v>2.4300000000000002</v>
    <v>2.44</v>
    <v>2947970</v>
    <v>BMRA</v>
    <v>BIOMERICA, INC. (XNAS:BMRA)</v>
    <v>6552</v>
    <v>197737</v>
    <v>1971</v>
  </rv>
  <rv s="2">
    <v>28</v>
  </rv>
  <rv s="0">
    <v>https://www.bing.com/financeapi/forcetrigger?t=a1p3ww&amp;q=XNYS%3aC&amp;form=skydnc</v>
    <v>Learn more on Bing</v>
  </rv>
  <rv s="1">
    <v>0</v>
    <v>CITIGROUP INC. (XNYS:C)</v>
    <v>2</v>
    <v>3</v>
    <v>Finance</v>
    <v>4</v>
    <v>en-US</v>
    <v>a1p3ww</v>
    <v>268435456</v>
    <v>1</v>
    <v>Powered by Refinitiv</v>
    <v>105.59</v>
    <v>55.51</v>
    <v>1.1956</v>
    <v>-0.46</v>
    <v>-4.5859999999999998E-3</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100.28</v>
    <v>Investment Banking &amp; Investment Services</v>
    <v>Stock</v>
    <v>45978.694950416408</v>
    <v>30</v>
    <v>99.02</v>
    <v>178643712000</v>
    <v>CITIGROUP INC.</v>
    <v>CITIGROUP INC.</v>
    <v>100.09</v>
    <v>14.0351</v>
    <v>100.3</v>
    <v>99.84</v>
    <v>1789300000</v>
    <v>C</v>
    <v>CITIGROUP INC. (XNYS:C)</v>
    <v>3240989</v>
    <v>13095873</v>
    <v>1988</v>
  </rv>
  <rv s="2">
    <v>31</v>
  </rv>
  <rv s="0">
    <v>https://www.bing.com/financeapi/forcetrigger?t=a1qe5r&amp;q=XNAS%3aCSCO&amp;form=skydnc</v>
    <v>Learn more on Bing</v>
  </rv>
  <rv s="1">
    <v>0</v>
    <v>CISCO SYSTEMS, INC. (XNAS:CSCO)</v>
    <v>2</v>
    <v>3</v>
    <v>Finance</v>
    <v>4</v>
    <v>en-US</v>
    <v>a1qe5r</v>
    <v>268435456</v>
    <v>1</v>
    <v>Powered by Refinitiv</v>
    <v>79.5</v>
    <v>52.11</v>
    <v>0.84960000000000002</v>
    <v>1.27</v>
    <v>1.6282000000000001E-2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79.37</v>
    <v>Communications &amp; Networking</v>
    <v>Stock</v>
    <v>45978.694953182814</v>
    <v>33</v>
    <v>77.5</v>
    <v>312381270750</v>
    <v>CISCO SYSTEMS, INC.</v>
    <v>CISCO SYSTEMS, INC.</v>
    <v>77.98</v>
    <v>30.658300000000001</v>
    <v>78</v>
    <v>79.27</v>
    <v>3940725000</v>
    <v>CSCO</v>
    <v>CISCO SYSTEMS, INC. (XNAS:CSCO)</v>
    <v>9332243</v>
    <v>21355410</v>
    <v>2021</v>
  </rv>
  <rv s="2">
    <v>34</v>
  </rv>
  <rv s="0">
    <v>https://www.bing.com/financeapi/forcetrigger?t=a1qlnm&amp;q=XNYS%3aCVS&amp;form=skydnc</v>
    <v>Learn more on Bing</v>
  </rv>
  <rv s="1">
    <v>0</v>
    <v>CVS HEALTH CORPORATION (XNYS:CVS)</v>
    <v>2</v>
    <v>3</v>
    <v>Finance</v>
    <v>4</v>
    <v>en-US</v>
    <v>a1qlnm</v>
    <v>268435456</v>
    <v>1</v>
    <v>Powered by Refinitiv</v>
    <v>85.15</v>
    <v>43.56</v>
    <v>0.48180000000000001</v>
    <v>1.73</v>
    <v>2.2233999999999997E-2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79.66</v>
    <v>Healthcare Providers &amp; Services</v>
    <v>Stock</v>
    <v>45978.694848310159</v>
    <v>36</v>
    <v>77.78</v>
    <v>98774540000</v>
    <v>CVS HEALTH CORPORATION</v>
    <v>CVS HEALTH CORPORATION</v>
    <v>77.92</v>
    <v>208.3835</v>
    <v>77.81</v>
    <v>79.540000000000006</v>
    <v>1269432000</v>
    <v>CVS</v>
    <v>CVS HEALTH CORPORATION (XNYS:CVS)</v>
    <v>1247365</v>
    <v>7917386</v>
    <v>1996</v>
  </rv>
  <rv s="2">
    <v>37</v>
  </rv>
  <rv s="0">
    <v>https://www.bing.com/financeapi/forcetrigger?t=a1qu2w&amp;q=XNYS%3aDDD&amp;form=skydnc</v>
    <v>Learn more on Bing</v>
  </rv>
  <rv s="3">
    <v>10</v>
    <v>3D SYSTEMS CORPORATION (XNYS:DDD)</v>
    <v>2</v>
    <v>11</v>
    <v>Finance</v>
    <v>4</v>
    <v>en-US</v>
    <v>a1qu2w</v>
    <v>268435456</v>
    <v>1</v>
    <v>Powered by Refinitiv</v>
    <v>4.9991000000000003</v>
    <v>1.32</v>
    <v>1.9165000000000001</v>
    <v>-5.0000000000000001E-3</v>
    <v>-2.3150000000000002E-3</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2.1951999999999998</v>
    <v>Electronic Equipment &amp; Parts</v>
    <v>Stock</v>
    <v>45978.694840821096</v>
    <v>39</v>
    <v>2.12</v>
    <v>277430390</v>
    <v>3D SYSTEMS CORPORATION</v>
    <v>3D SYSTEMS CORPORATION</v>
    <v>2.15</v>
    <v>2.16</v>
    <v>2.1549999999999998</v>
    <v>128738000</v>
    <v>DDD</v>
    <v>3D SYSTEMS CORPORATION (XNYS:DDD)</v>
    <v>557788</v>
    <v>3855945</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1.4954000000000001</v>
    <v>1.0049999999999999</v>
    <v>9.4990000000000005E-3</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107.67</v>
    <v>45</v>
    <v>Media &amp; Publishing</v>
    <v>Stock</v>
    <v>45978.694930335158</v>
    <v>46</v>
    <v>105.3</v>
    <v>190677791645</v>
    <v>THE WALT DISNEY COMPANY</v>
    <v>THE WALT DISNEY COMPANY</v>
    <v>105.97</v>
    <v>15.588100000000001</v>
    <v>105.8</v>
    <v>106.80500000000001</v>
    <v>1785289000</v>
    <v>DIS</v>
    <v>THE WALT DISNEY COMPANY (XNYS:DIS)</v>
    <v>4416812</v>
    <v>10003020</v>
    <v>2018</v>
  </rv>
  <rv s="2">
    <v>47</v>
  </rv>
  <rv s="0">
    <v>https://www.bing.com/financeapi/forcetrigger?t=ae8e9c&amp;q=XPAR%3aDSY&amp;form=skydnc</v>
    <v>Learn more on Bing</v>
  </rv>
  <rv s="1">
    <v>0</v>
    <v>Dassault Systemes SE (XPAR:DSY)</v>
    <v>2</v>
    <v>7</v>
    <v>Finance</v>
    <v>8</v>
    <v>en-US</v>
    <v>ae8e9c</v>
    <v>268435456</v>
    <v>1</v>
    <v>Powered by Refinitiv</v>
    <v>41.17</v>
    <v>23.03</v>
    <v>0.78580000000000005</v>
    <v>-0.45</v>
    <v>-1.8758E-2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v>
    <v>Software &amp; IT Services</v>
    <v>Stock</v>
    <v>45978.684363425928</v>
    <v>49</v>
    <v>23.52</v>
    <v>32181530000</v>
    <v>Dassault Systemes SE</v>
    <v>Dassault Systemes SE</v>
    <v>24</v>
    <v>26.3017</v>
    <v>23.99</v>
    <v>23.54</v>
    <v>1341456000</v>
    <v>DSY</v>
    <v>Dassault Systemes SE (XPAR:DSY)</v>
    <v>604262</v>
    <v>1909500</v>
    <v>1981</v>
  </rv>
  <rv s="2">
    <v>50</v>
  </rv>
  <rv s="0">
    <v>https://www.bing.com/financeapi/forcetrigger?t=a1rec7&amp;q=XNYS%3aDVA&amp;form=skydnc</v>
    <v>Learn more on Bing</v>
  </rv>
  <rv s="1">
    <v>0</v>
    <v>DAVITA INC. (XNYS:DVA)</v>
    <v>2</v>
    <v>3</v>
    <v>Finance</v>
    <v>4</v>
    <v>en-US</v>
    <v>a1rec7</v>
    <v>268435456</v>
    <v>1</v>
    <v>Powered by Refinitiv</v>
    <v>179.6</v>
    <v>115.39</v>
    <v>0.98419999999999996</v>
    <v>-1.37</v>
    <v>-1.1271E-2</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121.8</v>
    <v>Healthcare Providers &amp; Services</v>
    <v>Stock</v>
    <v>45978.694783796091</v>
    <v>52</v>
    <v>119.27</v>
    <v>8484708000</v>
    <v>DAVITA INC.</v>
    <v>DAVITA INC.</v>
    <v>121.35</v>
    <v>12.3736</v>
    <v>121.55</v>
    <v>120.18</v>
    <v>70600000</v>
    <v>DVA</v>
    <v>DAVITA INC. (XNYS:DVA)</v>
    <v>165684</v>
    <v>884048</v>
    <v>1994</v>
  </rv>
  <rv s="2">
    <v>53</v>
  </rv>
  <rv s="0">
    <v>https://www.bing.com/financeapi/forcetrigger?t=a1rgur&amp;q=XNYS%3aDXC&amp;form=skydnc</v>
    <v>Learn more on Bing</v>
  </rv>
  <rv s="1">
    <v>0</v>
    <v>DXC TECHNOLOGY COMPANY (XNYS:DXC)</v>
    <v>2</v>
    <v>3</v>
    <v>Finance</v>
    <v>4</v>
    <v>en-US</v>
    <v>a1rgur</v>
    <v>268435456</v>
    <v>1</v>
    <v>Powered by Refinitiv</v>
    <v>23.75</v>
    <v>12.24</v>
    <v>1.1008</v>
    <v>-0.115</v>
    <v>-8.908000000000001E-3</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12.88</v>
    <v>Software &amp; IT Services</v>
    <v>Stock</v>
    <v>45978.694840207812</v>
    <v>55</v>
    <v>12.71</v>
    <v>2248069000</v>
    <v>DXC TECHNOLOGY COMPANY</v>
    <v>DXC TECHNOLOGY COMPANY</v>
    <v>12.83</v>
    <v>6.2476000000000003</v>
    <v>12.91</v>
    <v>12.795</v>
    <v>174134000</v>
    <v>DXC</v>
    <v>DXC TECHNOLOGY COMPANY (XNYS:DXC)</v>
    <v>373682</v>
    <v>2027134</v>
    <v>2017</v>
  </rv>
  <rv s="2">
    <v>56</v>
  </rv>
  <rv s="0">
    <v>https://www.bing.com/financeapi/forcetrigger?t=af9doc&amp;q=XFRA%3aEOAN&amp;form=skydnc</v>
    <v>Learn more on Bing</v>
  </rv>
  <rv s="1">
    <v>0</v>
    <v>E.ON SE (XFRA:EOAN)</v>
    <v>2</v>
    <v>7</v>
    <v>Finance</v>
    <v>8</v>
    <v>en-US</v>
    <v>af9doc</v>
    <v>268435456</v>
    <v>1</v>
    <v>Powered by Refinitiv</v>
    <v>16.515000000000001</v>
    <v>7.3</v>
    <v>0.85699999999999998</v>
    <v>-0.01</v>
    <v>-6.5600000000000001E-4</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15.234999999999999</v>
    <v>Multiline Utilities</v>
    <v>Stock</v>
    <v>45978.684027777781</v>
    <v>58</v>
    <v>15.19</v>
    <v>40280110000</v>
    <v>E.ON SE</v>
    <v>E.ON SE</v>
    <v>15.195</v>
    <v>13.2478</v>
    <v>15.244999999999999</v>
    <v>15.234999999999999</v>
    <v>2641319000</v>
    <v>EOAN</v>
    <v>E.ON SE (XFRA:EOAN)</v>
    <v>14996</v>
    <v>4554990</v>
    <v>2017</v>
  </rv>
  <rv s="2">
    <v>59</v>
  </rv>
  <rv s="0">
    <v>https://www.bing.com/financeapi/forcetrigger?t=a1s2zr&amp;q=XNAS%3aEPIX&amp;form=skydnc</v>
    <v>Learn more on Bing</v>
  </rv>
  <rv s="7">
    <v>17</v>
    <v>ESSA Pharma Inc. (XNAS:EPIX)</v>
    <v>2</v>
    <v>3</v>
    <v>Finance</v>
    <v>18</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72.87</v>
    <v>41.6</v>
    <v>1.3005</v>
    <v>-1.04</v>
    <v>-1.4748000000000001E-2</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70.459999999999994</v>
    <v>Automobiles &amp; Auto Parts</v>
    <v>Stock</v>
    <v>45978.694893159372</v>
    <v>64</v>
    <v>69.015000000000001</v>
    <v>64815203124</v>
    <v>GENERAL MOTORS COMPANY</v>
    <v>GENERAL MOTORS COMPANY</v>
    <v>70.314999999999998</v>
    <v>13.3636</v>
    <v>70.52</v>
    <v>69.48</v>
    <v>932861300</v>
    <v>GM</v>
    <v>GENERAL MOTORS COMPANY (XNYS:GM)</v>
    <v>1783236</v>
    <v>10476882</v>
    <v>2009</v>
  </rv>
  <rv s="2">
    <v>65</v>
  </rv>
  <rv s="0">
    <v>https://www.bing.com/financeapi/forcetrigger?t=a1utqh&amp;q=XNYS%3aHPE&amp;form=skydnc</v>
    <v>Learn more on Bing</v>
  </rv>
  <rv s="1">
    <v>0</v>
    <v>HEWLETT PACKARD ENTERPRISE COMPANY (XNYS:HPE)</v>
    <v>2</v>
    <v>3</v>
    <v>Finance</v>
    <v>4</v>
    <v>en-US</v>
    <v>a1utqh</v>
    <v>268435456</v>
    <v>1</v>
    <v>Powered by Refinitiv</v>
    <v>26.44</v>
    <v>11.965</v>
    <v>1.3492</v>
    <v>-1.4650000000000001</v>
    <v>-6.4170000000000005E-2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22.19</v>
    <v>Computers, Phones &amp; Household Electronics</v>
    <v>Stock</v>
    <v>45978.694943020309</v>
    <v>67</v>
    <v>21.18</v>
    <v>28190049249</v>
    <v>HEWLETT PACKARD ENTERPRISE COMPANY</v>
    <v>HEWLETT PACKARD ENTERPRISE COMPANY</v>
    <v>21.94</v>
    <v>25.6267</v>
    <v>22.83</v>
    <v>21.364999999999998</v>
    <v>1319450000</v>
    <v>HPE</v>
    <v>HEWLETT PACKARD ENTERPRISE COMPANY (XNYS:HPE)</v>
    <v>14415568</v>
    <v>39899119</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4</v>
    <v>en-US</v>
    <v>a1uu5r</v>
    <v>268435456</v>
    <v>1</v>
    <v>Powered by Refinitiv</v>
    <v>39.795000000000002</v>
    <v>21.21</v>
    <v>1.2413000000000001</v>
    <v>-0.91500000000000004</v>
    <v>-3.7301000000000001E-2</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23.99</v>
    <v>72</v>
    <v>Computers, Phones &amp; Household Electronics</v>
    <v>Stock</v>
    <v>45978.694882245312</v>
    <v>73</v>
    <v>23.37</v>
    <v>22072983007</v>
    <v>HP INC.</v>
    <v>HP INC.</v>
    <v>23.45</v>
    <v>8.6026000000000007</v>
    <v>24.53</v>
    <v>23.614999999999998</v>
    <v>934701800</v>
    <v>HPQ</v>
    <v>HP INC. (XNYS:HPQ)</v>
    <v>6879912</v>
    <v>11993628</v>
    <v>1998</v>
  </rv>
  <rv s="2">
    <v>74</v>
  </rv>
  <rv s="0">
    <v>https://www.bing.com/financeapi/forcetrigger?t=ao9wcw&amp;q=XLON%3aIAG&amp;form=skydnc</v>
    <v>Learn more on Bing</v>
  </rv>
  <rv s="1">
    <v>0</v>
    <v>International Consolidated Airlines Group SA (XLON:IAG)</v>
    <v>2</v>
    <v>5</v>
    <v>Finance</v>
    <v>6</v>
    <v>en-US</v>
    <v>ao9wcw</v>
    <v>268435456</v>
    <v>1</v>
    <v>Powered by Refinitiv</v>
    <v>429.3</v>
    <v>210</v>
    <v>2.3138000000000001</v>
    <v>-7.2</v>
    <v>-1.8581E-2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389.3</v>
    <v>Passenger Transportation Services</v>
    <v>Stock</v>
    <v>45978.684237685156</v>
    <v>76</v>
    <v>378.6</v>
    <v>17745730000</v>
    <v>International Consolidated Airlines Group SA</v>
    <v>International Consolidated Airlines Group SA</v>
    <v>388.5</v>
    <v>6.851</v>
    <v>387.5</v>
    <v>380.3</v>
    <v>4579543000</v>
    <v>IAG</v>
    <v>International Consolidated Airlines Group SA (XLON:IAG)</v>
    <v>16258648</v>
    <v>19170400</v>
    <v>2009</v>
  </rv>
  <rv s="2">
    <v>77</v>
  </rv>
  <rv s="0">
    <v>https://www.bing.com/financeapi/forcetrigger?t=a1wmu2&amp;q=XNYS%3aKR&amp;form=skydnc</v>
    <v>Learn more on Bing</v>
  </rv>
  <rv s="1">
    <v>0</v>
    <v>THE KROGER CO. (XNYS:KR)</v>
    <v>2</v>
    <v>3</v>
    <v>Finance</v>
    <v>4</v>
    <v>en-US</v>
    <v>a1wmu2</v>
    <v>268435456</v>
    <v>1</v>
    <v>Powered by Refinitiv</v>
    <v>74.900000000000006</v>
    <v>57.08</v>
    <v>0.56940000000000002</v>
    <v>-0.77</v>
    <v>-1.1541999999999998E-2</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66.8</v>
    <v>Food &amp; Drug Retailing</v>
    <v>Stock</v>
    <v>45978.694875948437</v>
    <v>79</v>
    <v>65.930000000000007</v>
    <v>43697000508</v>
    <v>THE KROGER CO.</v>
    <v>THE KROGER CO.</v>
    <v>66.754999999999995</v>
    <v>16.705500000000001</v>
    <v>66.709999999999994</v>
    <v>65.94</v>
    <v>662678200</v>
    <v>KR</v>
    <v>THE KROGER CO. (XNYS:KR)</v>
    <v>1114372</v>
    <v>5977826</v>
    <v>1902</v>
  </rv>
  <rv s="2">
    <v>80</v>
  </rv>
  <rv s="0">
    <v>https://www.bing.com/financeapi/forcetrigger?t=bvuap2&amp;q=XNAS%3aLNSR&amp;form=skydnc</v>
    <v>Learn more on Bing</v>
  </rv>
  <rv s="1">
    <v>0</v>
    <v>LENSAR, INC. (XNAS:LNSR)</v>
    <v>2</v>
    <v>3</v>
    <v>Finance</v>
    <v>4</v>
    <v>en-US</v>
    <v>bvuap2</v>
    <v>268435456</v>
    <v>1</v>
    <v>Powered by Refinitiv</v>
    <v>17.309999999999999</v>
    <v>7</v>
    <v>0.68899999999999995</v>
    <v>-0.13</v>
    <v>-1.2859000000000001E-2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10.3</v>
    <v>Healthcare Equipment &amp; Supplies</v>
    <v>Stock</v>
    <v>45978.690619490626</v>
    <v>82</v>
    <v>9.9</v>
    <v>119206609</v>
    <v>LENSAR, INC.</v>
    <v>LENSAR, INC.</v>
    <v>10.07</v>
    <v>0</v>
    <v>10.11</v>
    <v>9.98</v>
    <v>11944550</v>
    <v>LNSR</v>
    <v>LENSAR, INC. (XNAS:LNSR)</v>
    <v>26687</v>
    <v>67390</v>
    <v>2004</v>
  </rv>
  <rv s="2">
    <v>83</v>
  </rv>
  <rv s="0">
    <v>https://www.bing.com/financeapi/forcetrigger?t=a1qgzr&amp;q=XNYS%3aLUMN&amp;form=skydnc</v>
    <v>Learn more on Bing</v>
  </rv>
  <rv s="3">
    <v>10</v>
    <v>LUMEN TECHNOLOGIES, INC. (XNYS:LUMN)</v>
    <v>2</v>
    <v>11</v>
    <v>Finance</v>
    <v>4</v>
    <v>en-US</v>
    <v>a1qgzr</v>
    <v>268435456</v>
    <v>1</v>
    <v>Powered by Refinitiv</v>
    <v>11.95</v>
    <v>3.01</v>
    <v>1.4663999999999999</v>
    <v>0.16</v>
    <v>2.0025000000000001E-2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8.39</v>
    <v>Telecommunications Services</v>
    <v>Stock</v>
    <v>45978.694932210157</v>
    <v>85</v>
    <v>7.98</v>
    <v>8358998600</v>
    <v>LUMEN TECHNOLOGIES, INC.</v>
    <v>LUMEN TECHNOLOGIES, INC.</v>
    <v>7.98</v>
    <v>7.99</v>
    <v>8.15</v>
    <v>1025644000</v>
    <v>LUMN</v>
    <v>LUMEN TECHNOLOGIES, INC. (XNYS:LUMN)</v>
    <v>4205856</v>
    <v>24469319</v>
    <v>1968</v>
  </rv>
  <rv s="2">
    <v>86</v>
  </rv>
  <rv s="0">
    <v>https://www.bing.com/financeapi/forcetrigger?t=bo5fpr&amp;q=XNAS%3aMRNA&amp;form=skydnc</v>
    <v>Learn more on Bing</v>
  </rv>
  <rv s="1">
    <v>0</v>
    <v>MODERNA, INC. (XNAS:MRNA)</v>
    <v>2</v>
    <v>3</v>
    <v>Finance</v>
    <v>4</v>
    <v>en-US</v>
    <v>bo5fpr</v>
    <v>268435456</v>
    <v>1</v>
    <v>Powered by Refinitiv</v>
    <v>48.92</v>
    <v>23.04</v>
    <v>1.1214999999999999</v>
    <v>0.11</v>
    <v>4.4409999999999996E-3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24.91</v>
    <v>Pharmaceuticals</v>
    <v>Stock</v>
    <v>45978.69486658516</v>
    <v>88</v>
    <v>24.27</v>
    <v>9720105960</v>
    <v>MODERNA, INC.</v>
    <v>MODERNA, INC.</v>
    <v>24.33</v>
    <v>0</v>
    <v>24.77</v>
    <v>24.88</v>
    <v>390679500</v>
    <v>MRNA</v>
    <v>MODERNA, INC. (XNAS:MRNA)</v>
    <v>2734249</v>
    <v>11510483</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4</v>
    <v>en-US</v>
    <v>a1xzim</v>
    <v>268435456</v>
    <v>1</v>
    <v>Powered by Refinitiv</v>
    <v>555.45000000000005</v>
    <v>344.79</v>
    <v>1.0657000000000001</v>
    <v>-1.4763999999999999</v>
    <v>-2.8939999999999999E-3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512.12</v>
    <v>93</v>
    <v>Software &amp; IT Services</v>
    <v>Stock</v>
    <v>45978.694888356251</v>
    <v>94</v>
    <v>505.6</v>
    <v>3780876936457</v>
    <v>MICROSOFT CORPORATION</v>
    <v>MICROSOFT CORPORATION</v>
    <v>508</v>
    <v>36.192799999999998</v>
    <v>510.18</v>
    <v>508.70359999999999</v>
    <v>7432377000</v>
    <v>MSFT</v>
    <v>MICROSOFT CORPORATION (XNAS:MSFT)</v>
    <v>5583299</v>
    <v>22394163</v>
    <v>1993</v>
  </rv>
  <rv s="2">
    <v>95</v>
  </rv>
  <rv s="0">
    <v>https://www.bing.com/financeapi/forcetrigger?t=a1ye2w&amp;q=XNYS%3aNEE&amp;form=skydnc</v>
    <v>Learn more on Bing</v>
  </rv>
  <rv s="1">
    <v>0</v>
    <v>NEXTERA ENERGY, INC. (XNYS:NEE)</v>
    <v>2</v>
    <v>3</v>
    <v>Finance</v>
    <v>4</v>
    <v>en-US</v>
    <v>a1ye2w</v>
    <v>268435456</v>
    <v>1</v>
    <v>Powered by Refinitiv</v>
    <v>87.53</v>
    <v>61.72</v>
    <v>0.72699999999999998</v>
    <v>1.23</v>
    <v>1.4664E-2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85.3</v>
    <v>Electrical Utilities &amp; IPPs</v>
    <v>Stock</v>
    <v>45978.694886863283</v>
    <v>97</v>
    <v>83.745000000000005</v>
    <v>177250937100</v>
    <v>NEXTERA ENERGY, INC.</v>
    <v>NEXTERA ENERGY, INC.</v>
    <v>83.77</v>
    <v>27.031099999999999</v>
    <v>83.88</v>
    <v>85.11</v>
    <v>2082610000</v>
    <v>NEE</v>
    <v>NEXTERA ENERGY, INC. (XNYS:NEE)</v>
    <v>4606650</v>
    <v>9121315</v>
    <v>1984</v>
  </rv>
  <rv s="2">
    <v>98</v>
  </rv>
  <rv s="0">
    <v>https://www.bing.com/financeapi/forcetrigger?t=a1yeec&amp;q=XNYS%3aNEM&amp;form=skydnc</v>
    <v>Learn more on Bing</v>
  </rv>
  <rv s="1">
    <v>0</v>
    <v>NEWMONT CORPORATION (XNYS:NEM)</v>
    <v>2</v>
    <v>3</v>
    <v>Finance</v>
    <v>4</v>
    <v>en-US</v>
    <v>a1yeec</v>
    <v>268435456</v>
    <v>1</v>
    <v>Powered by Refinitiv</v>
    <v>98.578000000000003</v>
    <v>36.86</v>
    <v>0.42070000000000002</v>
    <v>0.53</v>
    <v>6.0360000000000006E-3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89.2</v>
    <v>Metals &amp; Mining</v>
    <v>Stock</v>
    <v>45978.694927835153</v>
    <v>100</v>
    <v>86.6</v>
    <v>96391260790</v>
    <v>NEWMONT CORPORATION</v>
    <v>NEWMONT CORPORATION</v>
    <v>87.42</v>
    <v>13.7265</v>
    <v>87.8</v>
    <v>88.33</v>
    <v>1091263000</v>
    <v>NEM</v>
    <v>NEWMONT CORPORATION (XNYS:NEM)</v>
    <v>2200457</v>
    <v>12097134</v>
    <v>2001</v>
  </rv>
  <rv s="2">
    <v>101</v>
  </rv>
  <rv s="0">
    <v>https://www.bing.com/financeapi/forcetrigger?t=a1ygoc&amp;q=XNAS%3aNFLX&amp;form=skydnc</v>
    <v>Learn more on Bing</v>
  </rv>
  <rv s="1">
    <v>0</v>
    <v>NETFLIX, INC. (XNAS:NFLX)</v>
    <v>2</v>
    <v>3</v>
    <v>Finance</v>
    <v>4</v>
    <v>en-US</v>
    <v>a1ygoc</v>
    <v>268435456</v>
    <v>1</v>
    <v>Powered by Refinitiv</v>
    <v>134.11500000000001</v>
    <v>80.933000000000007</v>
    <v>1.6979</v>
    <v>-0.36699999999999999</v>
    <v>-3.3E-3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111.85</v>
    <v>Software &amp; IT Services</v>
    <v>Stock</v>
    <v>45978.694962001566</v>
    <v>103</v>
    <v>109.63</v>
    <v>471262400000</v>
    <v>NETFLIX, INC.</v>
    <v>NETFLIX, INC.</v>
    <v>110.77</v>
    <v>46.307499999999997</v>
    <v>111.217</v>
    <v>110.85</v>
    <v>423732300</v>
    <v>NFLX</v>
    <v>NETFLIX, INC. (XNAS:NFLX)</v>
    <v>11361238</v>
    <v>45790779</v>
    <v>1997</v>
  </rv>
  <rv s="2">
    <v>104</v>
  </rv>
  <rv s="0">
    <v>https://www.bing.com/financeapi/forcetrigger?t=bwxx4c&amp;q=XNAS%3aDSAC&amp;form=skydnc</v>
    <v>Learn more on Bing</v>
  </rv>
  <rv s="3">
    <v>10</v>
    <v>FISCALNOTE HOLDINGS, INC. (XNYS:NOTE)</v>
    <v>2</v>
    <v>11</v>
    <v>Finance</v>
    <v>4</v>
    <v>en-US</v>
    <v>bwxx4c</v>
    <v>268435456</v>
    <v>1</v>
    <v>Powered by Refinitiv</v>
    <v>24.36</v>
    <v>2.42</v>
    <v>0.62</v>
    <v>-0.06</v>
    <v>-2.3622000000000001E-2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2.5876999999999999</v>
    <v>Software &amp; IT Services</v>
    <v>Stock</v>
    <v>45978.694318691407</v>
    <v>106</v>
    <v>2.4300000000000002</v>
    <v>38960527</v>
    <v>FISCALNOTE HOLDINGS, INC.</v>
    <v>FISCALNOTE HOLDINGS, INC.</v>
    <v>2.4700000000000002</v>
    <v>2.54</v>
    <v>2.48</v>
    <v>15709890</v>
    <v>NOTE</v>
    <v>FISCALNOTE HOLDINGS, INC. (XNYS:NOTE)</v>
    <v>109610</v>
    <v>240142</v>
    <v>2022</v>
  </rv>
  <rv s="2">
    <v>107</v>
  </rv>
  <rv s="0">
    <v>https://www.bing.com/financeapi/forcetrigger?t=a1zfec&amp;q=XNAS%3aPAAS&amp;form=skydnc</v>
    <v>Learn more on Bing</v>
  </rv>
  <rv s="1">
    <v>0</v>
    <v>Pan American Silver Corp. (XNYS:PAAS)</v>
    <v>2</v>
    <v>9</v>
    <v>Finance</v>
    <v>4</v>
    <v>en-US</v>
    <v>a1zfec</v>
    <v>268435456</v>
    <v>1</v>
    <v>Powered by Refinitiv</v>
    <v>42.57</v>
    <v>19.8017</v>
    <v>1.1413</v>
    <v>-0.39250000000000002</v>
    <v>-1.0192000000000001E-2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38.484699999999997</v>
    <v>Metals &amp; Mining</v>
    <v>Stock</v>
    <v>45978.694850103908</v>
    <v>109</v>
    <v>37.840000000000003</v>
    <v>22799360000</v>
    <v>Pan American Silver Corp.</v>
    <v>Pan American Silver Corp.</v>
    <v>38.1</v>
    <v>22.044699999999999</v>
    <v>38.51</v>
    <v>38.1175</v>
    <v>421976000</v>
    <v>PAAS</v>
    <v>Pan American Silver Corp. (XNYS:PAAS)</v>
    <v>1830391</v>
    <v>6195419</v>
    <v>1979</v>
  </rv>
  <rv s="2">
    <v>110</v>
  </rv>
  <rv s="0">
    <v>https://www.bing.com/financeapi/forcetrigger?t=a2sqhw&amp;q=XNAS%3aPROF&amp;form=skydnc</v>
    <v>Learn more on Bing</v>
  </rv>
  <rv s="1">
    <v>0</v>
    <v>Profound Medical Corp. (XNAS:PROF)</v>
    <v>2</v>
    <v>9</v>
    <v>Finance</v>
    <v>4</v>
    <v>en-US</v>
    <v>a2sqhw</v>
    <v>268435456</v>
    <v>1</v>
    <v>Powered by Refinitiv</v>
    <v>8.7492999999999999</v>
    <v>3.76</v>
    <v>0.1739</v>
    <v>-7.0000000000000007E-2</v>
    <v>-1.0219000000000001E-2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6.86</v>
    <v>Healthcare Equipment &amp; Supplies</v>
    <v>Stock</v>
    <v>45978.69475561328</v>
    <v>112</v>
    <v>6.52</v>
    <v>284423600</v>
    <v>Profound Medical Corp.</v>
    <v>Profound Medical Corp.</v>
    <v>6.86</v>
    <v>0</v>
    <v>6.85</v>
    <v>6.78</v>
    <v>30193590</v>
    <v>PROF</v>
    <v>Profound Medical Corp. (XNAS:PROF)</v>
    <v>67002</v>
    <v>67533</v>
    <v>2014</v>
  </rv>
  <rv s="2">
    <v>113</v>
  </rv>
  <rv s="0">
    <v>https://www.bing.com/financeapi/forcetrigger?t=a2si9c&amp;q=XNAS%3aPOET&amp;form=skydnc</v>
    <v>Learn more on Bing</v>
  </rv>
  <rv s="1">
    <v>0</v>
    <v>POET Technologies Inc. (XNAS:POET)</v>
    <v>2</v>
    <v>3</v>
    <v>Finance</v>
    <v>4</v>
    <v>en-US</v>
    <v>a2si9c</v>
    <v>268435456</v>
    <v>1</v>
    <v>Powered by Refinitiv</v>
    <v>9.41</v>
    <v>3.09</v>
    <v>0.53239999999999998</v>
    <v>0</v>
    <v>0</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4.5</v>
    <v>Semiconductors &amp; Semiconductor Equipment</v>
    <v>Stock</v>
    <v>45978.694854120309</v>
    <v>115</v>
    <v>4.3</v>
    <v>459244720</v>
    <v>POET Technologies Inc.</v>
    <v>POET Technologies Inc.</v>
    <v>4.3899999999999997</v>
    <v>0</v>
    <v>4.4000000000000004</v>
    <v>4.4000000000000004</v>
    <v>104373800</v>
    <v>POET</v>
    <v>POET Technologies Inc. (XNAS:POET)</v>
    <v>2593900</v>
    <v>13761398</v>
    <v>2010</v>
  </rv>
  <rv s="2">
    <v>116</v>
  </rv>
  <rv s="0">
    <v>https://www.bing.com/financeapi/forcetrigger?t=a21g2w&amp;q=XNYS%3aPW&amp;form=skydnc</v>
    <v>Learn more on Bing</v>
  </rv>
  <rv s="3">
    <v>10</v>
    <v>POWER REIT (XNYS:PW)</v>
    <v>2</v>
    <v>11</v>
    <v>Finance</v>
    <v>4</v>
    <v>en-US</v>
    <v>a21g2w</v>
    <v>268435456</v>
    <v>1</v>
    <v>Powered by Refinitiv</v>
    <v>2.59</v>
    <v>0.59409999999999996</v>
    <v>1.5348999999999999</v>
    <v>8.4199999999999997E-2</v>
    <v>0.11859199999999999</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0.80989999999999995</v>
    <v>Residential &amp; Commercial REIT</v>
    <v>Stock</v>
    <v>45978.693406260936</v>
    <v>118</v>
    <v>0.74009999999999998</v>
    <v>2406660</v>
    <v>POWER REIT</v>
    <v>POWER REIT</v>
    <v>0.78</v>
    <v>0.71</v>
    <v>0.79420000000000002</v>
    <v>3389660</v>
    <v>PW</v>
    <v>POWER REIT (XNYS:PW)</v>
    <v>120525</v>
    <v>92743</v>
    <v>2011</v>
  </rv>
  <rv s="2">
    <v>119</v>
  </rv>
  <rv s="0">
    <v>https://www.bing.com/financeapi/forcetrigger?t=a2218m&amp;q=XNAS%3aRIGL&amp;form=skydnc</v>
    <v>Learn more on Bing</v>
  </rv>
  <rv s="1">
    <v>0</v>
    <v>RIGEL PHARMACEUTICALS, INC. (XNAS:RIGL)</v>
    <v>2</v>
    <v>3</v>
    <v>Finance</v>
    <v>4</v>
    <v>en-US</v>
    <v>a2218m</v>
    <v>268435456</v>
    <v>1</v>
    <v>Powered by Refinitiv</v>
    <v>43.7181</v>
    <v>14.63</v>
    <v>1.0828</v>
    <v>0.38</v>
    <v>9.0609999999999996E-3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42.65</v>
    <v>Pharmaceuticals</v>
    <v>Stock</v>
    <v>45978.694883263284</v>
    <v>121</v>
    <v>41.3</v>
    <v>768164708</v>
    <v>RIGEL PHARMACEUTICALS, INC.</v>
    <v>RIGEL PHARMACEUTICALS, INC.</v>
    <v>41.94</v>
    <v>6.8616999999999999</v>
    <v>41.94</v>
    <v>42.32</v>
    <v>18151340</v>
    <v>RIGL</v>
    <v>RIGEL PHARMACEUTICALS, INC. (XNAS:RIGL)</v>
    <v>199203</v>
    <v>607425</v>
    <v>1996</v>
  </rv>
  <rv s="2">
    <v>122</v>
  </rv>
  <rv s="0">
    <v>https://www.bing.com/financeapi/forcetrigger?t=afjzfr&amp;q=XFRA%3aRWE&amp;form=skydnc</v>
    <v>Learn more on Bing</v>
  </rv>
  <rv s="1">
    <v>0</v>
    <v>RWE AG (XFRA:RWE)</v>
    <v>2</v>
    <v>7</v>
    <v>Finance</v>
    <v>8</v>
    <v>en-US</v>
    <v>afjzfr</v>
    <v>268435456</v>
    <v>1</v>
    <v>Powered by Refinitiv</v>
    <v>46.82</v>
    <v>14.231</v>
    <v>0.47510000000000002</v>
    <v>0.39</v>
    <v>8.6040000000000005E-3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45.77</v>
    <v>Multiline Utilities</v>
    <v>Stock</v>
    <v>45978.684027777781</v>
    <v>124</v>
    <v>45.38</v>
    <v>33986110000</v>
    <v>RWE AG</v>
    <v>RWE AG</v>
    <v>45.7</v>
    <v>14.7484</v>
    <v>45.33</v>
    <v>45.72</v>
    <v>743841200</v>
    <v>RWE</v>
    <v>RWE AG (XFRA:RWE)</v>
    <v>4462</v>
    <v>2310700</v>
    <v>2000</v>
  </rv>
  <rv s="2">
    <v>125</v>
  </rv>
  <rv s="0">
    <v>https://www.bing.com/financeapi/forcetrigger?t=aftlr7&amp;q=XETR%3aSAP&amp;form=skydnc</v>
    <v>Learn more on Bing</v>
  </rv>
  <rv s="1">
    <v>0</v>
    <v>Sap Se (XETR:SAP)</v>
    <v>2</v>
    <v>7</v>
    <v>Finance</v>
    <v>8</v>
    <v>en-US</v>
    <v>aftlr7</v>
    <v>268435456</v>
    <v>1</v>
    <v>Powered by Refinitiv</v>
    <v>283.5</v>
    <v>205.7</v>
    <v>1.0510999999999999</v>
    <v>-4.75</v>
    <v>-2.2501000000000004E-2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211.8</v>
    <v>Software &amp; IT Services</v>
    <v>Stock</v>
    <v>45978.684479166666</v>
    <v>127</v>
    <v>205.7</v>
    <v>259337300000</v>
    <v>Sap Se</v>
    <v>Sap Se</v>
    <v>211.6</v>
    <v>33.990600000000001</v>
    <v>211.1</v>
    <v>206.35</v>
    <v>1228504000</v>
    <v>SAP</v>
    <v>Sap Se (XETR:SAP)</v>
    <v>718618</v>
    <v>1226460</v>
    <v>2014</v>
  </rv>
  <rv s="2">
    <v>128</v>
  </rv>
  <rv s="0">
    <v>https://www.bing.com/financeapi/forcetrigger?t=a2vkww&amp;q=OTCM%3aSHECY&amp;form=skydnc</v>
    <v>Learn more on Bing</v>
  </rv>
  <rv s="1">
    <v>0</v>
    <v>Shin-Etsu Chemical Co., Ltd. (OTCM:SHECY)</v>
    <v>2</v>
    <v>19</v>
    <v>Finance</v>
    <v>8</v>
    <v>en-US</v>
    <v>a2vkww</v>
    <v>268435456</v>
    <v>1</v>
    <v>Powered by Refinitiv</v>
    <v>19.38</v>
    <v>11.88</v>
    <v>1.2906</v>
    <v>-0.21</v>
    <v>-1.4009000000000001E-2</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15.074999999999999</v>
    <v>Chemicals</v>
    <v>Stock</v>
    <v>45978.68399852969</v>
    <v>130</v>
    <v>14.37</v>
    <v>9212366000000</v>
    <v>Shin-Etsu Chemical Co., Ltd.</v>
    <v>Shin-Etsu Chemical Co., Ltd.</v>
    <v>14.602</v>
    <v>0</v>
    <v>14.99</v>
    <v>14.78</v>
    <v>1984996000</v>
    <v>SHECY</v>
    <v>Shin-Etsu Chemical Co., Ltd. (OTCM:SHECY)</v>
    <v>93155</v>
    <v>6235920</v>
    <v>1926</v>
  </rv>
  <rv s="2">
    <v>131</v>
  </rv>
  <rv s="0">
    <v>https://www.bing.com/financeapi/forcetrigger?t=a23myc&amp;q=XNAS%3aSSYS&amp;form=skydnc</v>
    <v>Learn more on Bing</v>
  </rv>
  <rv s="1">
    <v>0</v>
    <v>STRATASYS LTD (XNAS:SSYS)</v>
    <v>2</v>
    <v>3</v>
    <v>Finance</v>
    <v>4</v>
    <v>en-US</v>
    <v>a23myc</v>
    <v>268435456</v>
    <v>1</v>
    <v>Powered by Refinitiv</v>
    <v>12.88</v>
    <v>8.3571000000000009</v>
    <v>1.4923</v>
    <v>-0.125</v>
    <v>-1.3966000000000001E-2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9.08</v>
    <v>Electronic Equipment &amp; Parts</v>
    <v>Stock</v>
    <v>45978.694872303124</v>
    <v>133</v>
    <v>8.65</v>
    <v>753972699</v>
    <v>STRATASYS LTD</v>
    <v>STRATASYS LTD</v>
    <v>8.98</v>
    <v>0</v>
    <v>8.9499999999999993</v>
    <v>8.8249999999999993</v>
    <v>85436000</v>
    <v>SSYS</v>
    <v>STRATASYS LTD (XNAS:SSYS)</v>
    <v>296074</v>
    <v>1010548</v>
    <v>1998</v>
  </rv>
  <rv s="2">
    <v>134</v>
  </rv>
  <rv s="0">
    <v>https://www.bing.com/financeapi/forcetrigger?t=a24kar&amp;q=XNAS%3aTSLA&amp;form=skydnc</v>
    <v>Learn more on Bing</v>
  </rv>
  <rv s="1">
    <v>0</v>
    <v>TESLA, INC. (XNAS:TSLA)</v>
    <v>2</v>
    <v>3</v>
    <v>Finance</v>
    <v>4</v>
    <v>en-US</v>
    <v>a24kar</v>
    <v>268435456</v>
    <v>1</v>
    <v>Powered by Refinitiv</v>
    <v>488.53989999999999</v>
    <v>214.25</v>
    <v>1.8934</v>
    <v>16.12</v>
    <v>3.9865999999999999E-2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420.65</v>
    <v>Automobiles &amp; Auto Parts</v>
    <v>Stock</v>
    <v>45978.694857904688</v>
    <v>136</v>
    <v>398.83089999999999</v>
    <v>1398407114930</v>
    <v>TESLA, INC.</v>
    <v>TESLA, INC.</v>
    <v>399.06</v>
    <v>291.5274</v>
    <v>404.35</v>
    <v>420.47</v>
    <v>3325819000</v>
    <v>TSLA</v>
    <v>TESLA, INC. (XNAS:TSLA)</v>
    <v>44416988</v>
    <v>84582050</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1.3174999999999999</v>
    <v>-1.39</v>
    <v>-4.8799999999999998E-3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286.52999999999997</v>
    <v>Semiconductors &amp; Semiconductor Equipment</v>
    <v>Stock</v>
    <v>45978.69493379609</v>
    <v>139</v>
    <v>280.41000000000003</v>
    <v>1191595000000</v>
    <v>Taiwan Semiconductor Manufacturing Co., Ltd.</v>
    <v>Taiwan Semiconductor Manufacturing Co., Ltd.</v>
    <v>281.3</v>
    <v>28.203099999999999</v>
    <v>284.82</v>
    <v>283.43</v>
    <v>5186523000</v>
    <v>TSM</v>
    <v>Taiwan Semiconductor Manufacturing Co., Ltd. (XNYS:TSM)</v>
    <v>4611622</v>
    <v>14061210</v>
    <v>1987</v>
  </rv>
  <rv s="2">
    <v>140</v>
  </rv>
  <rv s="0">
    <v>https://www.bing.com/financeapi/forcetrigger?t=afn5ec&amp;q=XFRA%3aUN01&amp;form=skydnc</v>
    <v>Learn more on Bing</v>
  </rv>
  <rv s="3">
    <v>10</v>
    <v>Uniper SE (XFRA:UN0)</v>
    <v>2</v>
    <v>20</v>
    <v>Finance</v>
    <v>8</v>
    <v>en-US</v>
    <v>afn5ec</v>
    <v>268435456</v>
    <v>1</v>
    <v>Powered by Refinitiv</v>
    <v>73.5</v>
    <v>2.1</v>
    <v>1.0952999999999999</v>
    <v>1.85</v>
    <v>6.4684999999999993E-2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30.55</v>
    <v>Multiline Utilities</v>
    <v>Stock</v>
    <v>45978.683333333334</v>
    <v>142</v>
    <v>29.65</v>
    <v>12056960000</v>
    <v>Uniper SE</v>
    <v>Uniper SE</v>
    <v>29.65</v>
    <v>28.6</v>
    <v>30.45</v>
    <v>416475300</v>
    <v>UN0</v>
    <v>Uniper SE (XFRA:UN0)</v>
    <v>1694</v>
    <v>4140</v>
    <v>2016</v>
  </rv>
  <rv s="2">
    <v>143</v>
  </rv>
  <rv s="0">
    <v>https://www.bing.com/financeapi/forcetrigger?t=a24xoc&amp;q=XNAS%3aUNIT&amp;form=skydnc</v>
    <v>Learn more on Bing</v>
  </rv>
  <rv s="1">
    <v>0</v>
    <v>UNITI GROUP INC. (XNAS:UNIT)</v>
    <v>2</v>
    <v>3</v>
    <v>Finance</v>
    <v>4</v>
    <v>en-US</v>
    <v>a24xoc</v>
    <v>268435456</v>
    <v>1</v>
    <v>Powered by Refinitiv</v>
    <v>10.466100000000001</v>
    <v>5.3</v>
    <v>1.4772000000000001</v>
    <v>4.4999999999999998E-2</v>
    <v>7.1660000000000005E-3</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6.3449999999999998</v>
    <v>Telecommunications Services</v>
    <v>Stock</v>
    <v>45978.694748981252</v>
    <v>145</v>
    <v>6.1950000000000003</v>
    <v>1511904597</v>
    <v>UNITI GROUP INC.</v>
    <v>UNITI GROUP INC.</v>
    <v>6.25</v>
    <v>1.2457</v>
    <v>6.28</v>
    <v>6.3250000000000002</v>
    <v>239036300</v>
    <v>UNIT</v>
    <v>UNITI GROUP INC. (XNAS:UNIT)</v>
    <v>498712</v>
    <v>2764975</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21</v>
    <v>Finance</v>
    <v>8</v>
    <v>en-US</v>
    <v>a31af2</v>
    <v>268435456</v>
    <v>1</v>
    <v>Powered by Refinitiv</v>
    <v>33.33</v>
    <v>22.55</v>
    <v>0.89710000000000001</v>
    <v>-0.16</v>
    <v>-5.7060000000000001E-3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27.98</v>
    <v>150</v>
    <v>Machinery, Equipment &amp; Components</v>
    <v>Stock</v>
    <v>45978.68425326328</v>
    <v>151</v>
    <v>27.86</v>
    <v>541959400000</v>
    <v>Volvo AB</v>
    <v>Volvo AB</v>
    <v>27.87</v>
    <v>0</v>
    <v>28.04</v>
    <v>27.88</v>
    <v>2033452000</v>
    <v>VLVLY</v>
    <v>Volvo AB (OTCM:VLVLY)</v>
    <v>22974</v>
    <v>2485470</v>
    <v>1915</v>
  </rv>
  <rv s="2">
    <v>152</v>
  </rv>
  <rv s="0">
    <v>https://www.bing.com/financeapi/forcetrigger?t=an41hw&amp;q=XSWX%3aVONN&amp;form=skydnc</v>
    <v>Learn more on Bing</v>
  </rv>
  <rv s="1">
    <v>0</v>
    <v>Vontobel Holding Ltd (XSWX:VONN)</v>
    <v>2</v>
    <v>22</v>
    <v>Finance</v>
    <v>8</v>
    <v>en-US</v>
    <v>an41hw</v>
    <v>268435456</v>
    <v>1</v>
    <v>Powered by Refinitiv</v>
    <v>69.5</v>
    <v>51.1</v>
    <v>0.81979999999999997</v>
    <v>-0.6</v>
    <v>-0.01</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60.3</v>
    <v>Investment Banking &amp; Investment Services</v>
    <v>Stock</v>
    <v>45978.684386574074</v>
    <v>154</v>
    <v>59.3</v>
    <v>3412500000</v>
    <v>Vontobel Holding Ltd</v>
    <v>Vontobel Holding Ltd</v>
    <v>60</v>
    <v>13.4086</v>
    <v>60</v>
    <v>59.4</v>
    <v>56875000</v>
    <v>VONN</v>
    <v>Vontobel Holding Ltd (XSWX:VONN)</v>
    <v>28466</v>
    <v>36710</v>
    <v>1936</v>
  </rv>
  <rv s="2">
    <v>155</v>
  </rv>
  <rv s="0">
    <v>https://www.bing.com/financeapi/forcetrigger?t=a1y7rw&amp;q=XNAS%3aVTRS&amp;form=skydnc</v>
    <v>Learn more on Bing</v>
  </rv>
  <rv s="1">
    <v>0</v>
    <v>VIATRIS INC. (XNAS:VTRS)</v>
    <v>2</v>
    <v>3</v>
    <v>Finance</v>
    <v>4</v>
    <v>en-US</v>
    <v>a1y7rw</v>
    <v>268435456</v>
    <v>1</v>
    <v>Powered by Refinitiv</v>
    <v>13.55</v>
    <v>6.85</v>
    <v>0.82199999999999995</v>
    <v>0.105</v>
    <v>9.7949999999999999E-3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10.855</v>
    <v>Pharmaceuticals</v>
    <v>Stock</v>
    <v>45978.694789791407</v>
    <v>157</v>
    <v>10.69</v>
    <v>12346970000</v>
    <v>VIATRIS INC.</v>
    <v>VIATRIS INC.</v>
    <v>10.73</v>
    <v>0</v>
    <v>10.72</v>
    <v>10.824999999999999</v>
    <v>1151770000</v>
    <v>VTRS</v>
    <v>VIATRIS INC. (XNAS:VTRS)</v>
    <v>1320474</v>
    <v>8888052</v>
    <v>2019</v>
  </rv>
  <rv s="2">
    <v>158</v>
  </rv>
  <rv s="0">
    <v>https://www.bing.com/financeapi/forcetrigger?t=a25pm7&amp;q=XNAS%3aWBA&amp;form=skydnc</v>
    <v>Learn more on Bing</v>
  </rv>
  <rv s="7">
    <v>17</v>
    <v>WALGREENS BOOTS ALLIANCE, INC. (XNAS:WBA)</v>
    <v>2</v>
    <v>3</v>
    <v>Finance</v>
    <v>18</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0.37119999999999997</v>
    <v>-0.58489999999999998</v>
    <v>-4.9030000000000002E-3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119.08</v>
    <v>Oil &amp; Gas</v>
    <v>Stock</v>
    <v>45978.694860185155</v>
    <v>163</v>
    <v>118.26</v>
    <v>500599111746</v>
    <v>EXXON MOBIL CORPORATION</v>
    <v>EXXON MOBIL CORPORATION</v>
    <v>118.97</v>
    <v>17.255199999999999</v>
    <v>119.29</v>
    <v>118.7051</v>
    <v>4217166000</v>
    <v>XOM</v>
    <v>EXXON MOBIL CORPORATION (XNYS:XOM)</v>
    <v>5582957</v>
    <v>13406658</v>
    <v>1882</v>
  </rv>
  <rv s="2">
    <v>164</v>
  </rv>
  <rv s="8">
    <v>23</v>
    <v>XPERI INC. (XNYS:XPER)</v>
    <v>24</v>
    <v>3</v>
    <v>Finance</v>
    <v>4</v>
    <v>en-US</v>
    <v>c7dbfr</v>
    <v>268435456</v>
    <v>1</v>
    <v>Powered by Refinitiv</v>
    <v>11.074999999999999</v>
    <v>5.6849999999999996</v>
    <v>1.1910000000000001</v>
    <v>-9.5000000000000001E-2</v>
    <v>-1.5347E-2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6.2210000000000001</v>
    <v>Software &amp; IT Services</v>
    <v>Stock</v>
    <v>45978.694457916405</v>
    <v>6.0549999999999997</v>
    <v>282414202</v>
    <v>XPERI INC.</v>
    <v>XPERI INC.</v>
    <v>6.15</v>
    <v>35.9375</v>
    <v>6.19</v>
    <v>6.0949999999999998</v>
    <v>46335390</v>
    <v>XPER</v>
    <v>XPERI INC. (XNYS:XPER)</v>
    <v>139854</v>
    <v>479897</v>
    <v>2019</v>
  </rv>
  <rv s="2">
    <v>166</v>
  </rv>
  <rv s="0">
    <v>https://www.bing.com/financeapi/forcetrigger?t=ajezf2&amp;q=XMIL%3aENI&amp;form=skydnc</v>
    <v>Learn more on Bing</v>
  </rv>
  <rv s="9">
    <v>25</v>
    <v>Eni SpA (XMIL:ENI)</v>
    <v>2</v>
    <v>26</v>
    <v>Finance</v>
    <v>27</v>
    <v>en-US</v>
    <v>ajezf2</v>
    <v>268435456</v>
    <v>1</v>
    <v>Powered by Refinitiv</v>
    <v>16.606000000000002</v>
    <v>11.01</v>
    <v>0.8306</v>
    <v>0.108</v>
    <v>6.5559999999999993E-3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16.606000000000002</v>
    <v>Oil &amp; Gas</v>
    <v>Stock</v>
    <v>45978.684498066403</v>
    <v>168</v>
    <v>16.437999999999999</v>
    <v>51839810000</v>
    <v>Eni SpA</v>
    <v>Eni SpA</v>
    <v>16.47</v>
    <v>18.3125</v>
    <v>16.474</v>
    <v>16.582000000000001</v>
    <v>3146765000</v>
    <v>ENI</v>
    <v>Eni SpA (XMIL:ENI)</v>
    <v>5898465</v>
    <v>8743270</v>
  </rv>
  <rv s="2">
    <v>169</v>
  </rv>
  <rv s="0">
    <v>https://www.bing.com/financeapi/forcetrigger?t=ae8t4c&amp;q=XPAR%3aGLE&amp;form=skydnc</v>
    <v>Learn more on Bing</v>
  </rv>
  <rv s="9">
    <v>25</v>
    <v>Societe Generale SA (XPAR:GLE)</v>
    <v>2</v>
    <v>26</v>
    <v>Finance</v>
    <v>8</v>
    <v>en-US</v>
    <v>ae8t4c</v>
    <v>268435456</v>
    <v>1</v>
    <v>Powered by Refinitiv</v>
    <v>59.9</v>
    <v>24.03</v>
    <v>1.3888</v>
    <v>0.08</v>
    <v>1.3800000000000002E-3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58.82</v>
    <v>Banking Services</v>
    <v>Stock</v>
    <v>45978.68440972222</v>
    <v>171</v>
    <v>57.52</v>
    <v>44464560000</v>
    <v>Societe Generale SA</v>
    <v>Societe Generale SA</v>
    <v>58.54</v>
    <v>9.2974999999999994</v>
    <v>57.98</v>
    <v>58.06</v>
    <v>766894800</v>
    <v>GLE</v>
    <v>Societe Generale SA (XPAR:GLE)</v>
    <v>665075</v>
    <v>1825620</v>
  </rv>
  <rv s="2">
    <v>172</v>
  </rv>
  <rv s="0">
    <v>https://www.bing.com/financeapi/forcetrigger?t=ae9qlh&amp;q=XPAR%3aORA&amp;form=skydnc</v>
    <v>Learn more on Bing</v>
  </rv>
  <rv s="1">
    <v>0</v>
    <v>Orange SA (XPAR:ORA)</v>
    <v>2</v>
    <v>7</v>
    <v>Finance</v>
    <v>8</v>
    <v>en-US</v>
    <v>ae9qlh</v>
    <v>268435456</v>
    <v>1</v>
    <v>Powered by Refinitiv</v>
    <v>14.56</v>
    <v>9.3699999999999992</v>
    <v>0.2392</v>
    <v>0.01</v>
    <v>7.1330000000000005E-4</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14.065</v>
    <v>Telecommunications Services</v>
    <v>Stock</v>
    <v>45978.684432870374</v>
    <v>174</v>
    <v>13.875</v>
    <v>37293990000</v>
    <v>Orange SA</v>
    <v>Orange SA</v>
    <v>14.025</v>
    <v>44.314599999999999</v>
    <v>14.02</v>
    <v>14.03</v>
    <v>2660057000</v>
    <v>ORA</v>
    <v>Orange SA (XPAR:ORA)</v>
    <v>1024603</v>
    <v>3333320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1.8971</v>
    <v>3.7999999999999999E-2</v>
    <v>2.6949999999999998E-2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1.47</v>
    <v>Electrical Utilities &amp; IPPs</v>
    <v>Stock</v>
    <v>45978.694305728903</v>
    <v>177</v>
    <v>1.39</v>
    <v>165893450</v>
    <v>BLINK CHARGING CO.</v>
    <v>BLINK CHARGING CO.</v>
    <v>1.41</v>
    <v>0</v>
    <v>1.41</v>
    <v>1.448</v>
    <v>114567300</v>
    <v>BLNK</v>
    <v>BLINK CHARGING CO. (XNAS:BLNK)</v>
    <v>950847</v>
    <v>3409902</v>
    <v>2006</v>
  </rv>
  <rv s="2">
    <v>178</v>
  </rv>
  <rv s="0">
    <v>https://www.bing.com/financeapi/forcetrigger?t=ao8g3m&amp;q=XLON%3aEZJ&amp;form=skydnc</v>
    <v>Learn more on Bing</v>
  </rv>
  <rv s="1">
    <v>0</v>
    <v>EASYJET PLC (XLON:EZJ)</v>
    <v>2</v>
    <v>5</v>
    <v>Finance</v>
    <v>6</v>
    <v>en-US</v>
    <v>ao8g3m</v>
    <v>268435456</v>
    <v>1</v>
    <v>Powered by Refinitiv</v>
    <v>594</v>
    <v>401.05</v>
    <v>2.2410999999999999</v>
    <v>-8.6</v>
    <v>-1.8328999999999998E-2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470</v>
    <v>Passenger Transportation Services</v>
    <v>Stock</v>
    <v>45978.684245312499</v>
    <v>180</v>
    <v>459.5</v>
    <v>3556583000</v>
    <v>EASYJET PLC</v>
    <v>EASYJET PLC</v>
    <v>468</v>
    <v>8.3306000000000004</v>
    <v>469.2</v>
    <v>460.6</v>
    <v>758010000</v>
    <v>EZJ</v>
    <v>EASYJET PLC (XLON:EZJ)</v>
    <v>1240290</v>
    <v>3993430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1.5939000000000001</v>
    <v>-0.125</v>
    <v>-9.4769999999999993E-3</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13.1751</v>
    <v>185</v>
    <v>Automobiles &amp; Auto Parts</v>
    <v>Stock</v>
    <v>45978.694854606249</v>
    <v>186</v>
    <v>13</v>
    <v>52057479435</v>
    <v>FORD MOTOR COMPANY</v>
    <v>FORD MOTOR COMPANY</v>
    <v>13.14</v>
    <v>11.2194</v>
    <v>13.19</v>
    <v>13.065</v>
    <v>3984499000</v>
    <v>F</v>
    <v>FORD MOTOR COMPANY (XNYS:F)</v>
    <v>19007971</v>
    <v>131466278</v>
    <v>1919</v>
  </rv>
  <rv s="2">
    <v>187</v>
  </rv>
  <rv s="0">
    <v>https://www.bing.com/financeapi/forcetrigger?t=a1u1z2&amp;q=XNYS%3aGNRC&amp;form=skydnc</v>
    <v>Learn more on Bing</v>
  </rv>
  <rv s="1">
    <v>0</v>
    <v>GENERAC HOLDINGS INC. (XNYS:GNRC)</v>
    <v>2</v>
    <v>3</v>
    <v>Finance</v>
    <v>4</v>
    <v>en-US</v>
    <v>a1u1z2</v>
    <v>268435456</v>
    <v>1</v>
    <v>Powered by Refinitiv</v>
    <v>203.2499</v>
    <v>99.5</v>
    <v>1.8244</v>
    <v>-5.58</v>
    <v>-3.6901999999999997E-2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150.32</v>
    <v>Machinery, Equipment &amp; Components</v>
    <v>Stock</v>
    <v>45978.694843298435</v>
    <v>189</v>
    <v>144.815</v>
    <v>8546161114</v>
    <v>GENERAC HOLDINGS INC.</v>
    <v>GENERAC HOLDINGS INC.</v>
    <v>150.09</v>
    <v>27.7105</v>
    <v>151.21</v>
    <v>145.63</v>
    <v>58684070</v>
    <v>GNRC</v>
    <v>GENERAC HOLDINGS INC. (XNYS:GNRC)</v>
    <v>344042</v>
    <v>1367194</v>
    <v>2006</v>
  </rv>
  <rv s="2">
    <v>190</v>
  </rv>
  <rv s="0">
    <v>https://www.bing.com/financeapi/forcetrigger?t=a1u7xm&amp;q=XNYS%3aGS&amp;form=skydnc</v>
    <v>Learn more on Bing</v>
  </rv>
  <rv s="1">
    <v>0</v>
    <v>THE GOLDMAN SACHS GROUP, INC. (XNYS:GS)</v>
    <v>2</v>
    <v>3</v>
    <v>Finance</v>
    <v>4</v>
    <v>en-US</v>
    <v>a1u7xm</v>
    <v>268435456</v>
    <v>1</v>
    <v>Powered by Refinitiv</v>
    <v>841.28</v>
    <v>439.38</v>
    <v>1.3468</v>
    <v>0.45</v>
    <v>5.6899999999999995E-4</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796.37</v>
    <v>Investment Banking &amp; Investment Services</v>
    <v>Stock</v>
    <v>45978.694910289065</v>
    <v>192</v>
    <v>784.64</v>
    <v>237351417760</v>
    <v>THE GOLDMAN SACHS GROUP, INC.</v>
    <v>THE GOLDMAN SACHS GROUP, INC.</v>
    <v>789.53</v>
    <v>16.075700000000001</v>
    <v>790.91</v>
    <v>791.36</v>
    <v>299928500</v>
    <v>GS</v>
    <v>THE GOLDMAN SACHS GROUP, INC. (XNYS:GS)</v>
    <v>414730</v>
    <v>2216372</v>
    <v>1998</v>
  </rv>
  <rv s="2">
    <v>193</v>
  </rv>
  <rv s="0">
    <v>https://www.bing.com/financeapi/forcetrigger?t=bplbur&amp;q=XNAS%3aLAZR&amp;form=skydnc</v>
    <v>Learn more on Bing</v>
  </rv>
  <rv s="1">
    <v>0</v>
    <v>LUMINAR TECHNOLOGIES, INC. (XNAS:LAZR)</v>
    <v>2</v>
    <v>3</v>
    <v>Finance</v>
    <v>4</v>
    <v>en-US</v>
    <v>bplbur</v>
    <v>268435456</v>
    <v>1</v>
    <v>Powered by Refinitiv</v>
    <v>13.3378</v>
    <v>0.9</v>
    <v>1.4676</v>
    <v>-9.8799999999999999E-2</v>
    <v>-9.7821999999999992E-2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1.03</v>
    <v>Automobiles &amp; Auto Parts</v>
    <v>Stock</v>
    <v>45978.694771087503</v>
    <v>195</v>
    <v>0.9</v>
    <v>70945184</v>
    <v>LUMINAR TECHNOLOGIES, INC.</v>
    <v>LUMINAR TECHNOLOGIES, INC.</v>
    <v>0.97</v>
    <v>0</v>
    <v>1.01</v>
    <v>0.91120000000000001</v>
    <v>77859070</v>
    <v>LAZR</v>
    <v>LUMINAR TECHNOLOGIES, INC. (XNAS:LAZR)</v>
    <v>6359366</v>
    <v>10898869</v>
    <v>2018</v>
  </rv>
  <rv s="2">
    <v>196</v>
  </rv>
  <rv s="0">
    <v>https://www.bing.com/financeapi/forcetrigger?t=a1x6rw&amp;q=XNYS%3aLUV&amp;form=skydnc</v>
    <v>Learn more on Bing</v>
  </rv>
  <rv s="1">
    <v>0</v>
    <v>SOUTHWEST AIRLINES CO. (XNYS:LUV)</v>
    <v>2</v>
    <v>3</v>
    <v>Finance</v>
    <v>4</v>
    <v>en-US</v>
    <v>a1x6rw</v>
    <v>268435456</v>
    <v>1</v>
    <v>Powered by Refinitiv</v>
    <v>37.96</v>
    <v>23.815000000000001</v>
    <v>1.1537999999999999</v>
    <v>-0.40500000000000003</v>
    <v>-1.234E-2</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32.83</v>
    <v>Passenger Transportation Services</v>
    <v>Stock</v>
    <v>45978.694811770314</v>
    <v>198</v>
    <v>32.17</v>
    <v>16763582566</v>
    <v>SOUTHWEST AIRLINES CO.</v>
    <v>SOUTHWEST AIRLINES CO.</v>
    <v>32.78</v>
    <v>48.445700000000002</v>
    <v>32.82</v>
    <v>32.414999999999999</v>
    <v>517155100</v>
    <v>LUV</v>
    <v>SOUTHWEST AIRLINES CO. (XNYS:LUV)</v>
    <v>1329175</v>
    <v>9895449</v>
    <v>1967</v>
  </rv>
  <rv s="2">
    <v>199</v>
  </rv>
  <rv s="0">
    <v>https://www.bing.com/financeapi/forcetrigger?t=a1x8w7&amp;q=XNYS%3aMA&amp;form=skydnc</v>
    <v>Learn more on Bing</v>
  </rv>
  <rv s="1">
    <v>0</v>
    <v>MASTERCARD INCORPORATED. (XNYS:MA)</v>
    <v>2</v>
    <v>3</v>
    <v>Finance</v>
    <v>4</v>
    <v>en-US</v>
    <v>a1x8w7</v>
    <v>268435456</v>
    <v>1</v>
    <v>Powered by Refinitiv</v>
    <v>601.77</v>
    <v>465.59</v>
    <v>0.86680000000000001</v>
    <v>-3.105</v>
    <v>-5.6899999999999997E-3</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549.17499999999995</v>
    <v>Software &amp; IT Services</v>
    <v>Stock</v>
    <v>45978.694897742971</v>
    <v>201</v>
    <v>539.63</v>
    <v>487274970975</v>
    <v>MASTERCARD INCORPORATED.</v>
    <v>MASTERCARD INCORPORATED.</v>
    <v>546.20000000000005</v>
    <v>34.694899999999997</v>
    <v>545.73</v>
    <v>542.625</v>
    <v>897995800</v>
    <v>MA</v>
    <v>MASTERCARD INCORPORATED. (XNYS:MA)</v>
    <v>745793</v>
    <v>2611542</v>
    <v>2001</v>
  </rv>
  <rv s="2">
    <v>202</v>
  </rv>
  <rv s="0">
    <v>https://www.bing.com/financeapi/forcetrigger?t=a1yuvh&amp;q=XNAS%3aNVAX&amp;form=skydnc</v>
    <v>Learn more on Bing</v>
  </rv>
  <rv s="1">
    <v>0</v>
    <v>NOVAVAX, INC. (XNAS:NVAX)</v>
    <v>2</v>
    <v>3</v>
    <v>Finance</v>
    <v>4</v>
    <v>en-US</v>
    <v>a1yuvh</v>
    <v>268435456</v>
    <v>1</v>
    <v>Powered by Refinitiv</v>
    <v>11.55</v>
    <v>5.01</v>
    <v>2.3212000000000002</v>
    <v>-8.8999999999999996E-2</v>
    <v>-1.2768999999999999E-2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6.97</v>
    <v>Biotechnology &amp; Medical Research</v>
    <v>Stock</v>
    <v>45978.694838703123</v>
    <v>204</v>
    <v>6.85</v>
    <v>1118155619</v>
    <v>NOVAVAX, INC.</v>
    <v>NOVAVAX, INC.</v>
    <v>6.91</v>
    <v>3.8258000000000001</v>
    <v>6.97</v>
    <v>6.8810000000000002</v>
    <v>162499000</v>
    <v>NVAX</v>
    <v>NOVAVAX, INC. (XNAS:NVAX)</v>
    <v>1848193</v>
    <v>4394917</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134</v>
    <v>96.061999999999998</v>
    <v>0.50149999999999995</v>
    <v>1.6999</v>
    <v>1.2950999999999999E-2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133.17500000000001</v>
    <v>209</v>
    <v>Pharmaceuticals</v>
    <v>Stock</v>
    <v>45978.694750485934</v>
    <v>210</v>
    <v>132.33000000000001</v>
    <v>278227900000</v>
    <v>Novartis Inc.</v>
    <v>Novartis Inc.</v>
    <v>132.47</v>
    <v>18.183800000000002</v>
    <v>131.26</v>
    <v>132.9599</v>
    <v>2112422000</v>
    <v>NVS</v>
    <v>Novartis Inc. (XNYS:NVS)</v>
    <v>554154</v>
    <v>1673929</v>
    <v>1996</v>
  </rv>
  <rv s="2">
    <v>211</v>
  </rv>
  <rv s="0">
    <v>https://www.bing.com/financeapi/forcetrigger?t=a1zez2&amp;q=XNYS%3aOXY&amp;form=skydnc</v>
    <v>Learn more on Bing</v>
  </rv>
  <rv s="1">
    <v>0</v>
    <v>OCCIDENTAL PETROLEUM CORPORATION (XNYS:OXY)</v>
    <v>2</v>
    <v>3</v>
    <v>Finance</v>
    <v>4</v>
    <v>en-US</v>
    <v>a1zez2</v>
    <v>268435456</v>
    <v>1</v>
    <v>Powered by Refinitiv</v>
    <v>53.2</v>
    <v>34.784999999999997</v>
    <v>0.38590000000000002</v>
    <v>-0.11890000000000001</v>
    <v>-2.7810000000000001E-3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42.664999999999999</v>
    <v>Oil &amp; Gas</v>
    <v>Stock</v>
    <v>45978.694903760937</v>
    <v>213</v>
    <v>42.110300000000002</v>
    <v>42010455187</v>
    <v>OCCIDENTAL PETROLEUM CORPORATION</v>
    <v>OCCIDENTAL PETROLEUM CORPORATION</v>
    <v>42.56</v>
    <v>31.1294</v>
    <v>42.76</v>
    <v>42.641100000000002</v>
    <v>985210400</v>
    <v>OXY</v>
    <v>OCCIDENTAL PETROLEUM CORPORATION (XNYS:OXY)</v>
    <v>3074733</v>
    <v>9852458</v>
    <v>1986</v>
  </rv>
  <rv s="2">
    <v>214</v>
  </rv>
  <rv s="0">
    <v>https://www.bing.com/financeapi/forcetrigger?t=a1zqnm&amp;q=XNYS%3aPFE&amp;form=skydnc</v>
    <v>Learn more on Bing</v>
  </rv>
  <rv s="1">
    <v>0</v>
    <v>PFIZER INC. (XNYS:PFE)</v>
    <v>2</v>
    <v>3</v>
    <v>Finance</v>
    <v>4</v>
    <v>en-US</v>
    <v>a1zqnm</v>
    <v>268435456</v>
    <v>1</v>
    <v>Powered by Refinitiv</v>
    <v>27.69</v>
    <v>20.914999999999999</v>
    <v>0.4168</v>
    <v>0.42499999999999999</v>
    <v>1.6958999999999998E-2</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25.54</v>
    <v>Pharmaceuticals</v>
    <v>Stock</v>
    <v>45978.694914976564</v>
    <v>216</v>
    <v>24.954999999999998</v>
    <v>144900268380</v>
    <v>PFIZER INC.</v>
    <v>PFIZER INC.</v>
    <v>25.08</v>
    <v>14.854900000000001</v>
    <v>25.06</v>
    <v>25.484999999999999</v>
    <v>5685708000</v>
    <v>PFE</v>
    <v>PFIZER INC. (XNYS:PFE)</v>
    <v>28946875</v>
    <v>84317171</v>
    <v>1942</v>
  </rv>
  <rv s="2">
    <v>217</v>
  </rv>
  <rv s="0">
    <v>https://www.bing.com/financeapi/forcetrigger?t=a2215r&amp;q=XNYS%3aRIG&amp;form=skydnc</v>
    <v>Learn more on Bing</v>
  </rv>
  <rv s="3">
    <v>10</v>
    <v>Transocean Ltd (XNYS:RIG)</v>
    <v>2</v>
    <v>11</v>
    <v>Finance</v>
    <v>4</v>
    <v>en-US</v>
    <v>a2215r</v>
    <v>268435456</v>
    <v>1</v>
    <v>Powered by Refinitiv</v>
    <v>4.5149999999999997</v>
    <v>1.97</v>
    <v>1.3972</v>
    <v>0.15</v>
    <v>3.7406000000000002E-2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4.18</v>
    <v>Oil &amp; Gas Related Equipment and Services</v>
    <v>Stock</v>
    <v>45978.694831712499</v>
    <v>219</v>
    <v>3.95</v>
    <v>4581994560</v>
    <v>Transocean Ltd</v>
    <v>Transocean Ltd</v>
    <v>4.0199999999999996</v>
    <v>4.01</v>
    <v>4.16</v>
    <v>1101441000</v>
    <v>RIG</v>
    <v>Transocean Ltd (XNYS:RIG)</v>
    <v>18323926</v>
    <v>56735385</v>
    <v>2008</v>
  </rv>
  <rv s="2">
    <v>220</v>
  </rv>
  <rv s="0">
    <v>https://www.bing.com/financeapi/forcetrigger?t=a228w7&amp;q=XNYS%3aRRC&amp;form=skydnc</v>
    <v>Learn more on Bing</v>
  </rv>
  <rv s="1">
    <v>0</v>
    <v>RANGE RESOURCES CORPORATION (XNYS:RRC)</v>
    <v>2</v>
    <v>3</v>
    <v>Finance</v>
    <v>4</v>
    <v>en-US</v>
    <v>a228w7</v>
    <v>268435456</v>
    <v>1</v>
    <v>Powered by Refinitiv</v>
    <v>43.5</v>
    <v>30.32</v>
    <v>0.46489999999999998</v>
    <v>0.255</v>
    <v>6.6700000000000006E-3</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38.5</v>
    <v>Oil &amp; Gas</v>
    <v>Stock</v>
    <v>45978.694860856252</v>
    <v>222</v>
    <v>37.75</v>
    <v>9118474263</v>
    <v>RANGE RESOURCES CORPORATION</v>
    <v>RANGE RESOURCES CORPORATION</v>
    <v>37.82</v>
    <v>16.161300000000001</v>
    <v>38.229999999999997</v>
    <v>38.484999999999999</v>
    <v>236935800</v>
    <v>RRC</v>
    <v>RANGE RESOURCES CORPORATION (XNYS:RRC)</v>
    <v>557861</v>
    <v>2945352</v>
    <v>1980</v>
  </rv>
  <rv s="2">
    <v>223</v>
  </rv>
  <rv s="0">
    <v>https://www.bing.com/financeapi/forcetrigger?t=a23i8m&amp;q=XNYS%3aSQ&amp;form=skydnc</v>
    <v>Learn more on Bing</v>
  </rv>
  <rv s="1">
    <v>0</v>
    <v>BLOCK, INC. (XNYS:XYZ)</v>
    <v>2</v>
    <v>3</v>
    <v>Finance</v>
    <v>4</v>
    <v>en-US</v>
    <v>a23i8m</v>
    <v>268435456</v>
    <v>1</v>
    <v>Powered by Refinitiv</v>
    <v>99.26</v>
    <v>44.27</v>
    <v>2.6798999999999999</v>
    <v>-0.42</v>
    <v>-6.9440000000000005E-3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61.414000000000001</v>
    <v>Professional &amp; Commercial Services</v>
    <v>Stock</v>
    <v>45978.694771503906</v>
    <v>225</v>
    <v>59.072000000000003</v>
    <v>36496359900</v>
    <v>BLOCK, INC.</v>
    <v>BLOCK, INC.</v>
    <v>61.23</v>
    <v>30.199100000000001</v>
    <v>60.48</v>
    <v>60.06</v>
    <v>607665000</v>
    <v>XYZ</v>
    <v>BLOCK, INC. (XNYS:XYZ)</v>
    <v>2558492</v>
    <v>6470201</v>
    <v>2009</v>
  </rv>
  <rv s="2">
    <v>226</v>
  </rv>
  <rv s="0">
    <v>https://www.bing.com/financeapi/forcetrigger?t=a2475r&amp;q=XNYS%3aTHC&amp;form=skydnc</v>
    <v>Learn more on Bing</v>
  </rv>
  <rv s="1">
    <v>0</v>
    <v>TENET HEALTHCARE CORPORATION (XNYS:THC)</v>
    <v>2</v>
    <v>3</v>
    <v>Finance</v>
    <v>4</v>
    <v>en-US</v>
    <v>a2475r</v>
    <v>268435456</v>
    <v>1</v>
    <v>Powered by Refinitiv</v>
    <v>217.42500000000001</v>
    <v>109.82389999999999</v>
    <v>1.4623999999999999</v>
    <v>0.23499999999999999</v>
    <v>1.2180000000000001E-3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194.92</v>
    <v>Healthcare Providers &amp; Services</v>
    <v>Stock</v>
    <v>45978.694780659374</v>
    <v>228</v>
    <v>191.965</v>
    <v>16974548325</v>
    <v>TENET HEALTHCARE CORPORATION</v>
    <v>TENET HEALTHCARE CORPORATION</v>
    <v>192.8</v>
    <v>12.837199999999999</v>
    <v>192.91</v>
    <v>193.14500000000001</v>
    <v>87885000</v>
    <v>THC</v>
    <v>TENET HEALTHCARE CORPORATION (XNYS:THC)</v>
    <v>227248</v>
    <v>1047856</v>
    <v>1975</v>
  </rv>
  <rv s="2">
    <v>229</v>
  </rv>
  <rv s="0">
    <v>https://www.bing.com/financeapi/forcetrigger?t=a265bh&amp;q=XNYS%3aX&amp;form=skydnc</v>
    <v>Learn more on Bing</v>
  </rv>
  <rv s="7">
    <v>17</v>
    <v>UNITED STATES STEEL CORPORATION (XNYS:X)</v>
    <v>2</v>
    <v>3</v>
    <v>Finance</v>
    <v>18</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0">
    <v>28</v>
    <v>iShs Digtl Sec UCITS ETF USD A (XSWX:LOCK)</v>
    <v>29</v>
    <v>30</v>
    <v>Finance</v>
    <v>8</v>
    <v>en-US</v>
    <v>bnyaur</v>
    <v>268435456</v>
    <v>1</v>
    <v>Powered by Refinitiv</v>
    <v>10.672000000000001</v>
    <v>7.4260000000000002</v>
    <v>0.58169999999999999</v>
    <v>-3.5999999999999997E-2</v>
    <v>-3.5690000000000001E-3</v>
    <v>USD</v>
    <v>SIX Swiss Exchange</v>
    <v>XSWX</v>
    <v>4.0000000000000001E-3</v>
    <v>10.206</v>
    <v>ETF</v>
    <v>45978.684328703705</v>
    <v>234</v>
    <v>10.050000000000001</v>
    <v>1752597552.51</v>
    <v>iShs Digtl Sec UCITS ETF USD A</v>
    <v>10.206</v>
    <v>10.086</v>
    <v>10.050000000000001</v>
    <v>LOCK</v>
    <v>iShs Digtl Sec UCITS ETF USD A (XSWX:LOCK)</v>
    <v>5431</v>
  </rv>
  <rv s="2">
    <v>235</v>
  </rv>
  <rv s="11">
    <v>12</v>
    <v>Volume average</v>
    <v>0</v>
  </rv>
  <rv s="12">
    <v>12</v>
    <v>1</v>
  </rv>
  <rv s="13">
    <v>31</v>
    <v>EUR/USD</v>
    <v>32</v>
    <v>33</v>
    <v>Finance</v>
    <v>34</v>
    <v>en-US</v>
    <v>av932w</v>
    <v>268435456</v>
    <v>1</v>
    <v>Powered by Refinitiv</v>
    <v>1.1918</v>
    <v>1.0176000000000001</v>
    <v>-2.3E-3</v>
    <v>-1.9789999999999999E-3</v>
    <v>USD</v>
    <v>EUR</v>
    <v>1.1624000000000001</v>
    <v>Currency Pair</v>
    <v>45978.694791666669</v>
    <v>1.1583000000000001</v>
    <v>Euro/US Dollar FX Spot Rate</v>
    <v>1.1619999999999999</v>
    <v>1.1619999999999999</v>
    <v>1.1597</v>
    <v>EURUSD</v>
    <v>EUR/USD</v>
  </rv>
  <rv s="2">
    <v>239</v>
  </rv>
  <rv s="13">
    <v>31</v>
    <v>EUR/CHF</v>
    <v>32</v>
    <v>35</v>
    <v>Finance</v>
    <v>34</v>
    <v>en-US</v>
    <v>av923m</v>
    <v>268435456</v>
    <v>1</v>
    <v>Powered by Refinitiv</v>
    <v>0.96609999999999996</v>
    <v>0.91749999999999998</v>
    <v>0</v>
    <v>0</v>
    <v>CHF</v>
    <v>EUR</v>
    <v>0.92290000000000005</v>
    <v>Currency Pair</v>
    <v>45978.694803240738</v>
    <v>0.92120000000000002</v>
    <v>Euro/Swiss Franc FX Cross Rate</v>
    <v>0.92230000000000001</v>
    <v>0.92230000000000001</v>
    <v>0.92230000000000001</v>
    <v>EURCHF</v>
    <v>EUR/CHF</v>
  </rv>
  <rv s="2">
    <v>241</v>
  </rv>
  <rv s="13">
    <v>31</v>
    <v>EUR/GBP</v>
    <v>32</v>
    <v>36</v>
    <v>Finance</v>
    <v>34</v>
    <v>en-US</v>
    <v>av92z2</v>
    <v>268435456</v>
    <v>1</v>
    <v>Powered by Refinitiv</v>
    <v>0.88649999999999995</v>
    <v>0.82189999999999996</v>
    <v>-1.8E-3</v>
    <v>-2.0409999999999998E-3</v>
    <v>GBP</v>
    <v>EUR</v>
    <v>0.88339999999999996</v>
    <v>Currency Pair</v>
    <v>45978.694803240738</v>
    <v>0.87929999999999997</v>
    <v>Euro/UK Pound Sterling FX Cross Rate</v>
    <v>0.88180000000000003</v>
    <v>0.88180000000000003</v>
    <v>0.88</v>
    <v>EURGBP</v>
    <v>EUR/GBP</v>
  </rv>
  <rv s="2">
    <v>243</v>
  </rv>
  <rv s="13">
    <v>31</v>
    <v>EUR/AUD</v>
    <v>32</v>
    <v>37</v>
    <v>Finance</v>
    <v>34</v>
    <v>en-US</v>
    <v>av8sfr</v>
    <v>268435456</v>
    <v>1</v>
    <v>Powered by Refinitiv</v>
    <v>1.8554999999999999</v>
    <v>1.5899000000000001</v>
    <v>4.3E-3</v>
    <v>2.4190000000000001E-3</v>
    <v>AUD</v>
    <v>EUR</v>
    <v>1.7841</v>
    <v>Currency Pair</v>
    <v>45978.694780092592</v>
    <v>1.7765</v>
    <v>Euro/Australian Dollar FX Cross Rate</v>
    <v>1.7773000000000001</v>
    <v>1.7773000000000001</v>
    <v>1.7816000000000001</v>
    <v>EURAUD</v>
    <v>EUR/AUD</v>
  </rv>
  <rv s="2">
    <v>245</v>
  </rv>
  <rv s="13">
    <v>31</v>
    <v>EUR/CAD</v>
    <v>32</v>
    <v>38</v>
    <v>Finance</v>
    <v>34</v>
    <v>en-US</v>
    <v>av8ttc</v>
    <v>268435456</v>
    <v>1</v>
    <v>Powered by Refinitiv</v>
    <v>1.6468</v>
    <v>1.4484999999999999</v>
    <v>-2.0999999999999999E-3</v>
    <v>-1.2889999999999998E-3</v>
    <v>CAD</v>
    <v>EUR</v>
    <v>1.6304000000000001</v>
    <v>Currency Pair</v>
    <v>45978.694791666669</v>
    <v>1.6253</v>
    <v>Euro/Canadian Dollar FX Cross Rate</v>
    <v>1.629</v>
    <v>1.629</v>
    <v>1.6269</v>
    <v>EURCAD</v>
    <v>EUR/CAD</v>
  </rv>
  <rv s="2">
    <v>247</v>
  </rv>
  <rv s="13">
    <v>31</v>
    <v>USD/JPY</v>
    <v>32</v>
    <v>39</v>
    <v>Finance</v>
    <v>34</v>
    <v>en-US</v>
    <v>avyomw</v>
    <v>268435456</v>
    <v>1</v>
    <v>Powered by Refinitiv</v>
    <v>158.87</v>
    <v>139.86000000000001</v>
    <v>0.63</v>
    <v>4.0769999999999999E-3</v>
    <v>JPY</v>
    <v>USD</v>
    <v>155.30000000000001</v>
    <v>Currency Pair</v>
    <v>45978.694814814815</v>
    <v>154.41</v>
    <v>US Dollar/Japanese Yen FX Spot Rate</v>
    <v>154.4</v>
    <v>154.54</v>
    <v>155.16999999999999</v>
    <v>USDJPY</v>
    <v>USD/JPY</v>
  </rv>
  <rv s="2">
    <v>249</v>
  </rv>
  <rv s="13">
    <v>31</v>
    <v>USD/CHF</v>
    <v>32</v>
    <v>35</v>
    <v>Finance</v>
    <v>34</v>
    <v>en-US</v>
    <v>avyt7w</v>
    <v>268435456</v>
    <v>1</v>
    <v>Powered by Refinitiv</v>
    <v>0.92</v>
    <v>0.78269999999999995</v>
    <v>1.6999999999999999E-3</v>
    <v>2.1419999999999998E-3</v>
    <v>CHF</v>
    <v>USD</v>
    <v>0.79620000000000002</v>
    <v>Currency Pair</v>
    <v>45978.694745370369</v>
    <v>0.79320000000000002</v>
    <v>US Dollar/Swiss Franc FX Spot Rate</v>
    <v>0.79330000000000001</v>
    <v>0.79369999999999996</v>
    <v>0.7954</v>
    <v>USDCHF</v>
    <v>USD/CHF</v>
  </rv>
  <rv s="2">
    <v>251</v>
  </rv>
  <rv s="13">
    <v>31</v>
    <v>USD/GBP</v>
    <v>32</v>
    <v>36</v>
    <v>Finance</v>
    <v>34</v>
    <v>en-US</v>
    <v>avyu4c</v>
    <v>268435456</v>
    <v>1</v>
    <v>Powered by Refinitiv</v>
    <v>0.82650000000000001</v>
    <v>0.72509999999999997</v>
    <v>5.8E-5</v>
    <v>7.6429999999999998E-5</v>
    <v>GBP</v>
    <v>USD</v>
    <v>0.76129999999999998</v>
    <v>Currency Pair</v>
    <v>45978.694837962961</v>
    <v>0.75800000000000001</v>
    <v>US Dollar/UK Pound Sterling FX Cross Rate</v>
    <v>0.76019999999999999</v>
    <v>0.75890000000000002</v>
    <v>0.75900000000000001</v>
    <v>USDGBP</v>
    <v>USD/GBP</v>
  </rv>
  <rv s="2">
    <v>253</v>
  </rv>
  <rv s="0">
    <v>https://www.bing.com/financeapi/forcetrigger?t=a6qja2&amp;q=DOW+JONES+INDU+AVERAGE+NDX&amp;form=skydnc</v>
    <v>Learn more on Bing</v>
  </rv>
  <rv s="14">
    <v>40</v>
    <v>DOW JONES INDU AVERAGE NDX</v>
    <v>29</v>
    <v>41</v>
    <v>Finance</v>
    <v>42</v>
    <v>en-US</v>
    <v>a6qja2</v>
    <v>268435456</v>
    <v>1</v>
    <v>Powered by Refinitiv</v>
    <v>48431.57</v>
    <v>36611.78</v>
    <v>-56.66</v>
    <v>-1.2019999999999999E-3</v>
    <v>US</v>
    <v>47202.559999999998</v>
    <v>Index</v>
    <v>255</v>
    <v>46863.8</v>
    <v>DOW JONES INDU AVERAGE NDX</v>
    <v>47068.06</v>
    <v>47147.48</v>
    <v>47090.82</v>
    <v>DJI</v>
    <v>DOW JONES INDU AVERAGE NDX</v>
  </rv>
  <rv s="2">
    <v>256</v>
  </rv>
  <rv s="0">
    <v>https://www.bing.com/financeapi/forcetrigger?t=bxjpp2&amp;q=XLON%3aXNAS&amp;form=skydnc</v>
    <v>Learn more on Bing</v>
  </rv>
  <rv s="10">
    <v>28</v>
    <v>X NASDAQ 100 UCITS ETF 1C (XLON:XNAS)</v>
    <v>29</v>
    <v>30</v>
    <v>Finance</v>
    <v>43</v>
    <v>en-US</v>
    <v>bxjpp2</v>
    <v>268435456</v>
    <v>1</v>
    <v>Powered by Refinitiv</v>
    <v>60.56</v>
    <v>37.74</v>
    <v>1.1051</v>
    <v>-0.61499999999999999</v>
    <v>-1.057E-2</v>
    <v>USD</v>
    <v>London Stock Exchange</v>
    <v>XLON</v>
    <v>2E-3</v>
    <v>58.46</v>
    <v>ETF</v>
    <v>45978.682444085156</v>
    <v>258</v>
    <v>57.53</v>
    <v>1860372611.6900001</v>
    <v>X NASDAQ 100 UCITS ETF 1C</v>
    <v>58.36</v>
    <v>58.185000000000002</v>
    <v>57.57</v>
    <v>XNAS</v>
    <v>X NASDAQ 100 UCITS ETF 1C (XLON:XNAS)</v>
    <v>56112</v>
  </rv>
  <rv s="2">
    <v>259</v>
  </rv>
  <rv s="11">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1.8774</v>
    <v>13.07</v>
    <v>1.2979000000000001E-2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1024.46</v>
    <v>Semiconductors &amp; Semiconductor Equipment</v>
    <v>Stock</v>
    <v>45978.694917395311</v>
    <v>262</v>
    <v>1004.2665</v>
    <v>394617000000</v>
    <v>ASML Holding NV</v>
    <v>ASML Holding NV</v>
    <v>1004.72</v>
    <v>35.992199999999997</v>
    <v>1006.98</v>
    <v>1020.05</v>
    <v>388147700</v>
    <v>ASML</v>
    <v>ASML Holding NV (XNAS:ASML)</v>
    <v>614644</v>
    <v>1426796</v>
    <v>1994</v>
  </rv>
  <rv s="2">
    <v>263</v>
  </rv>
  <rv s="15">
    <v>44</v>
    <v>Big Tree Cloud Holdings Limited (XNAS:DSY)</v>
    <v>24</v>
    <v>45</v>
    <v>Finance</v>
    <v>4</v>
    <v>en-US</v>
    <v>c8kfk2</v>
    <v>268435456</v>
    <v>1</v>
    <v>Powered by Refinitiv</v>
    <v>7.33</v>
    <v>0.50049999999999994</v>
    <v>-1E-4</v>
    <v>-1.9269999999999999E-4</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0.53190000000000004</v>
    <v>Personal &amp; Household Products &amp; Services</v>
    <v>Stock</v>
    <v>45978.692466180466</v>
    <v>0.51429999999999998</v>
    <v>49562030</v>
    <v>Big Tree Cloud Holdings Limited</v>
    <v>Big Tree Cloud Holdings Limited</v>
    <v>0.53</v>
    <v>0</v>
    <v>0.51890000000000003</v>
    <v>0.51880000000000004</v>
    <v>95037440</v>
    <v>DSY</v>
    <v>Big Tree Cloud Holdings Limited (XNAS:DSY)</v>
    <v>41241</v>
    <v>216780</v>
  </rv>
  <rv s="2">
    <v>265</v>
  </rv>
  <rv s="0">
    <v>https://www.bing.com/financeapi/forcetrigger?t=a1v3sm&amp;q=XNYS%3aIAG&amp;form=skydnc</v>
    <v>Learn more on Bing</v>
  </rv>
  <rv s="1">
    <v>0</v>
    <v>IAMGOLD CORPORATION (XNYS:IAG)</v>
    <v>2</v>
    <v>9</v>
    <v>Finance</v>
    <v>4</v>
    <v>en-US</v>
    <v>a1v3sm</v>
    <v>268435456</v>
    <v>1</v>
    <v>Powered by Refinitiv</v>
    <v>14.675000000000001</v>
    <v>4.9800000000000004</v>
    <v>1.7741</v>
    <v>5.0000000000000001E-3</v>
    <v>3.6420000000000002E-4</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4391</v>
    <v>New York Stock Exchange</v>
    <v>XNYS</v>
    <v>XNYS</v>
    <v>150 King Street West, Suite 2200, TORONTO, ON, M5H 1J9 CA</v>
    <v>13.875500000000001</v>
    <v>Metals &amp; Mining</v>
    <v>Stock</v>
    <v>45978.694873541404</v>
    <v>267</v>
    <v>13.54</v>
    <v>11092400000</v>
    <v>IAMGOLD CORPORATION</v>
    <v>IAMGOLD CORPORATION</v>
    <v>13.7</v>
    <v>23.177499999999998</v>
    <v>13.73</v>
    <v>13.734999999999999</v>
    <v>575332100</v>
    <v>IAG</v>
    <v>IAMGOLD CORPORATION (XNYS:IAG)</v>
    <v>3624276</v>
    <v>12407898</v>
    <v>2017</v>
  </rv>
  <rv s="2">
    <v>268</v>
  </rv>
  <rv s="0">
    <v>https://www.bing.com/financeapi/forcetrigger?t=bvct77&amp;q=XFRA%3aNQA&amp;form=skydnc</v>
    <v>Learn more on Bing</v>
  </rv>
  <rv s="16">
    <v>46</v>
    <v>Note AB (publ) (XFRA:NQA)</v>
    <v>2</v>
    <v>47</v>
    <v>Finance</v>
    <v>8</v>
    <v>en-US</v>
    <v>bvct77</v>
    <v>268435456</v>
    <v>1</v>
    <v>Powered by Refinitiv</v>
    <v>0.90369999999999995</v>
    <v>-0.71</v>
    <v>-4.3109000000000001E-2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15.76</v>
    <v>Semiconductors &amp; Semiconductor Equipment</v>
    <v>Stock</v>
    <v>45978.684027777781</v>
    <v>270</v>
    <v>15.76</v>
    <v>5083724000</v>
    <v>Note AB (publ)</v>
    <v>Note AB (publ)</v>
    <v>15.76</v>
    <v>18.5412</v>
    <v>16.47</v>
    <v>15.76</v>
    <v>28983600</v>
    <v>NQA</v>
    <v>Note AB (publ) (XFRA:NQA)</v>
    <v>90</v>
    <v>27920</v>
    <v>1990</v>
  </rv>
  <rv s="2">
    <v>271</v>
  </rv>
  <rv s="0">
    <v>https://www.bing.com/financeapi/forcetrigger?t=a1rjbh&amp;q=XNYS%3aE&amp;form=skydnc</v>
    <v>Learn more on Bing</v>
  </rv>
  <rv s="9">
    <v>25</v>
    <v>Eni SpA (XNYS:E)</v>
    <v>2</v>
    <v>48</v>
    <v>Finance</v>
    <v>4</v>
    <v>en-US</v>
    <v>a1rjbh</v>
    <v>268435456</v>
    <v>1</v>
    <v>Powered by Refinitiv</v>
    <v>38.469900000000003</v>
    <v>24.65</v>
    <v>0.623</v>
    <v>0.13</v>
    <v>3.4009999999999999E-3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38.469900000000003</v>
    <v>Oil &amp; Gas</v>
    <v>Stock</v>
    <v>45978.694903113283</v>
    <v>273</v>
    <v>38.32</v>
    <v>60294970000</v>
    <v>Eni SpA</v>
    <v>Eni SpA</v>
    <v>38.35</v>
    <v>18.4224</v>
    <v>38.22</v>
    <v>38.35</v>
    <v>1573383000</v>
    <v>E</v>
    <v>Eni SpA (XNYS:E)</v>
    <v>120350</v>
    <v>263485</v>
  </rv>
  <rv s="2">
    <v>274</v>
  </rv>
  <rv s="0">
    <v>https://www.bing.com/financeapi/forcetrigger?t=aazgim&amp;q=XTSE%3aORA&amp;form=skydnc</v>
    <v>Learn more on Bing</v>
  </rv>
  <rv s="17">
    <v>49</v>
    <v>Aura Minerals Inc. (XTSE:ORA)</v>
    <v>2</v>
    <v>50</v>
    <v>Finance</v>
    <v>51</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18">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2">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13</v>
      <v>1</v>
      <v>1</v>
      <v>1</v>
      <v>1</v>
    </spb>
    <spb s="9">
      <v>1</v>
      <v>2</v>
      <v>2</v>
      <v>1</v>
      <v>3</v>
      <v>1</v>
      <v>15</v>
      <v>1</v>
      <v>1</v>
      <v>4</v>
      <v>4</v>
      <v>5</v>
      <v>6</v>
      <v>1</v>
      <v>1</v>
      <v>1</v>
      <v>4</v>
      <v>7</v>
      <v>8</v>
      <v>9</v>
      <v>4</v>
    </spb>
    <spb s="10">
      <v>Powered by Refinitiv</v>
    </spb>
    <spb s="0">
      <v>3</v>
      <v>Name</v>
      <v>LearnMoreOnLink</v>
    </spb>
    <spb s="4">
      <v>Delayed 15 minutes</v>
      <v>from previous close</v>
      <v>from previous close</v>
      <v>Source: Nasdaq</v>
      <v>GMT</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1">
      <v>4</v>
      <v>Name</v>
    </spb>
    <spb s="12">
      <v>1</v>
      <v>1</v>
      <v>1</v>
    </spb>
    <spb s="0">
      <v>5</v>
      <v>Name</v>
      <v>LearnMoreOnLink</v>
    </spb>
    <spb s="13">
      <v>12</v>
      <v>2</v>
      <v>2</v>
      <v>12</v>
      <v>3</v>
      <v>12</v>
      <v>12</v>
      <v>12</v>
      <v>4</v>
      <v>4</v>
      <v>5</v>
      <v>13</v>
      <v>12</v>
      <v>12</v>
      <v>12</v>
      <v>4</v>
      <v>7</v>
      <v>9</v>
      <v>4</v>
    </spb>
    <spb s="4">
      <v>Delayed 15 minutes</v>
      <v>from previous close</v>
      <v>from previous close</v>
      <v>Borsa Italia</v>
      <v>GMT</v>
    </spb>
    <spb s="0">
      <v>6</v>
      <v>Name</v>
      <v>LearnMoreOnLink</v>
    </spb>
    <spb s="14">
      <v>1</v>
      <v>1</v>
      <v>1</v>
    </spb>
    <spb s="15">
      <v>1</v>
      <v>2</v>
      <v>1</v>
      <v>3</v>
      <v>1</v>
      <v>1</v>
      <v>1</v>
      <v>4</v>
      <v>5</v>
      <v>6</v>
      <v>1</v>
      <v>1</v>
      <v>5</v>
      <v>1</v>
      <v>7</v>
      <v>9</v>
    </spb>
    <spb s="11">
      <v>7</v>
      <v>Name</v>
    </spb>
    <spb s="16">
      <v>1</v>
      <v>1</v>
    </spb>
    <spb s="17">
      <v>1</v>
      <v>1</v>
      <v>3</v>
      <v>1</v>
      <v>1</v>
      <v>1</v>
      <v>5</v>
      <v>1</v>
      <v>1</v>
      <v>1</v>
      <v>7</v>
      <v>9</v>
    </spb>
    <spb s="18">
      <v>GMT</v>
    </spb>
    <spb s="17">
      <v>18</v>
      <v>18</v>
      <v>3</v>
      <v>18</v>
      <v>18</v>
      <v>18</v>
      <v>5</v>
      <v>18</v>
      <v>18</v>
      <v>18</v>
      <v>7</v>
      <v>9</v>
    </spb>
    <spb s="17">
      <v>20</v>
      <v>20</v>
      <v>3</v>
      <v>20</v>
      <v>20</v>
      <v>20</v>
      <v>5</v>
      <v>20</v>
      <v>20</v>
      <v>20</v>
      <v>7</v>
      <v>9</v>
    </spb>
    <spb s="17">
      <v>21</v>
      <v>21</v>
      <v>3</v>
      <v>21</v>
      <v>21</v>
      <v>21</v>
      <v>5</v>
      <v>21</v>
      <v>21</v>
      <v>21</v>
      <v>7</v>
      <v>9</v>
    </spb>
    <spb s="17">
      <v>22</v>
      <v>22</v>
      <v>3</v>
      <v>22</v>
      <v>22</v>
      <v>22</v>
      <v>5</v>
      <v>22</v>
      <v>22</v>
      <v>22</v>
      <v>7</v>
      <v>9</v>
    </spb>
    <spb s="17">
      <v>23</v>
      <v>23</v>
      <v>3</v>
      <v>23</v>
      <v>23</v>
      <v>23</v>
      <v>5</v>
      <v>23</v>
      <v>23</v>
      <v>23</v>
      <v>7</v>
      <v>9</v>
    </spb>
    <spb s="0">
      <v>8</v>
      <v>Name</v>
      <v>LearnMoreOnLink</v>
    </spb>
    <spb s="19">
      <v>1</v>
      <v>1</v>
      <v>3</v>
      <v>1</v>
      <v>1</v>
      <v>1</v>
      <v>5</v>
      <v>1</v>
      <v>1</v>
      <v>1</v>
      <v>9</v>
    </spb>
    <spb s="20">
      <v>from previous close</v>
      <v>from previous close</v>
    </spb>
    <spb s="21">
      <v>Delayed 15 minutes</v>
      <v>from previous close</v>
      <v>LSE</v>
      <v>from previous close</v>
      <v>GMT</v>
    </spb>
    <spb s="11">
      <v>9</v>
      <v>Name</v>
    </spb>
    <spb s="22">
      <v>1</v>
      <v>2</v>
      <v>1</v>
      <v>3</v>
      <v>1</v>
      <v>1</v>
      <v>1</v>
      <v>4</v>
      <v>4</v>
      <v>5</v>
      <v>6</v>
      <v>1</v>
      <v>1</v>
      <v>1</v>
      <v>4</v>
      <v>7</v>
      <v>9</v>
      <v>4</v>
    </spb>
    <spb s="0">
      <v>10</v>
      <v>Name</v>
      <v>LearnMoreOnLink</v>
    </spb>
    <spb s="23">
      <v>12</v>
      <v>2</v>
      <v>2</v>
      <v>12</v>
      <v>3</v>
      <v>12</v>
      <v>12</v>
      <v>12</v>
      <v>4</v>
      <v>4</v>
      <v>5</v>
      <v>17</v>
      <v>12</v>
      <v>4</v>
      <v>7</v>
      <v>8</v>
      <v>9</v>
      <v>4</v>
    </spb>
    <spb s="13">
      <v>1</v>
      <v>2</v>
      <v>2</v>
      <v>1</v>
      <v>3</v>
      <v>1</v>
      <v>1</v>
      <v>1</v>
      <v>4</v>
      <v>4</v>
      <v>5</v>
      <v>6</v>
      <v>1</v>
      <v>1</v>
      <v>1</v>
      <v>4</v>
      <v>7</v>
      <v>9</v>
      <v>4</v>
    </spb>
    <spb s="0">
      <v>11</v>
      <v>Name</v>
      <v>LearnMoreOnLink</v>
    </spb>
    <spb s="24">
      <v>22</v>
      <v>2</v>
      <v>2</v>
      <v>22</v>
      <v>3</v>
      <v>22</v>
      <v>22</v>
      <v>22</v>
      <v>4</v>
      <v>4</v>
      <v>5</v>
      <v>14</v>
      <v>22</v>
      <v>22</v>
      <v>22</v>
      <v>4</v>
      <v>7</v>
      <v>9</v>
      <v>4</v>
      <v>22</v>
      <v>22</v>
      <v>5</v>
    </spb>
    <spb s="25">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13">
      <calculatedColumnFormula array="1">_xlfn.SINGLE(RTData[suffix])&amp;_FV(RTData[[#This Row],[Company Name]],"Ticker symbol",TRUE)</calculatedColumnFormula>
    </tableColumn>
    <tableColumn id="7" xr3:uid="{499A2502-9862-974B-B3F4-42E9D6C812C8}" name="ExchR" dataDxfId="45" totalsRowDxfId="12">
      <calculatedColumnFormula>RTData[[#This Row],[Currency]]</calculatedColumnFormula>
    </tableColumn>
    <tableColumn id="3" xr3:uid="{5A6CBBC9-8B27-C94D-8965-6BDAEC21DC67}" name="Company Name" dataDxfId="44" totalsRowDxfId="11"/>
    <tableColumn id="53" xr3:uid="{B14728A6-B009-7546-B848-E719B03540DC}" name="Currency" dataDxfId="43" totalsRowDxfId="10">
      <calculatedColumnFormula array="1">_FV(RTData[[#This Row],[Company Name]],"Currency")</calculatedColumnFormula>
    </tableColumn>
    <tableColumn id="20" xr3:uid="{D82CD65F-7990-6441-B746-5B546F13E893}" name="Last trade time" dataDxfId="42">
      <calculatedColumnFormula array="1">_FV(RTData[[#This Row],[Company Name]],"Last trade time",TRUE)</calculatedColumnFormula>
    </tableColumn>
    <tableColumn id="24" xr3:uid="{50AD8F7D-A008-1E4B-8CDC-ED5A311B2F87}" name="Close" dataDxfId="41">
      <calculatedColumnFormula array="1">_FV(RTData[[#This Row],[Company Name]],"Previous close",TRUE)</calculatedColumnFormula>
    </tableColumn>
    <tableColumn id="41" xr3:uid="{5E6391A6-59FD-5740-8C73-F858AA473A29}" name="Open" dataDxfId="40">
      <calculatedColumnFormula array="1">IFERROR(_FV(RTData[[#This Row],[Company Name]],"Open"),RTData[[#This Row],[Close]])</calculatedColumnFormula>
    </tableColumn>
    <tableColumn id="42" xr3:uid="{4E05AFBD-23DD-3143-BF73-10371B600ACA}" name="M-Price" dataDxfId="39">
      <calculatedColumnFormula array="1">_FV(RTData[[#This Row],[Company Name]],"Price")</calculatedColumnFormula>
    </tableColumn>
    <tableColumn id="43" xr3:uid="{E688C267-1B9D-F141-8056-E51CA38246AF}" name="Low" dataDxfId="38">
      <calculatedColumnFormula array="1">IFERROR(_FV(RTData[[#This Row],[Company Name]],"Low"),0)</calculatedColumnFormula>
    </tableColumn>
    <tableColumn id="44" xr3:uid="{F544ECB3-E642-0B49-BC8C-3FF19572390B}" name="High" dataDxfId="37" totalsRowDxfId="9">
      <calculatedColumnFormula array="1">IFERROR(_FV(RTData[[#This Row],[Company Name]],"High"),0)</calculatedColumnFormula>
    </tableColumn>
    <tableColumn id="45" xr3:uid="{719B2CAC-13BF-6E48-8695-F62AD7F1022B}" name="P/E" dataDxfId="36">
      <calculatedColumnFormula array="1">IFERROR(_FV(RTData[[#This Row],[Company Name]],"P/E",TRUE),99)</calculatedColumnFormula>
    </tableColumn>
    <tableColumn id="46" xr3:uid="{779A9617-BAD5-A445-AFD5-37567FCA27C4}" name="Change" totalsRowFunction="average" dataDxfId="35" totalsRowDxfId="8">
      <calculatedColumnFormula array="1">_FV(RTData[[#This Row],[Company Name]],"Change")</calculatedColumnFormula>
    </tableColumn>
    <tableColumn id="47" xr3:uid="{B66A6A9C-3452-4E40-8656-B7251B427A3F}" name="Change%" totalsRowFunction="max" dataDxfId="34" totalsRowDxfId="7" dataCellStyle="Percent">
      <calculatedColumnFormula array="1">_FV(RTData[[#This Row],[Company Name]],"Change (%)",TRUE)</calculatedColumnFormula>
    </tableColumn>
    <tableColumn id="48" xr3:uid="{DB75E524-1711-3047-A0FA-27F4B501D06A}" name="52_week_low" dataDxfId="33">
      <calculatedColumnFormula array="1">_FV(RTData[[#This Row],[Company Name]],"52 week low",TRUE)</calculatedColumnFormula>
    </tableColumn>
    <tableColumn id="49" xr3:uid="{AF4DD0CC-0EAF-094F-996C-D692420E9592}" name="52_week_high" dataDxfId="32">
      <calculatedColumnFormula array="1">_FV(RTData[[#This Row],[Company Name]],"52 week high",TRUE)</calculatedColumnFormula>
    </tableColumn>
    <tableColumn id="50" xr3:uid="{B4995C94-74C8-AB40-AEF1-25C01418FF11}" name="Volume" totalsRowFunction="max" dataDxfId="31" totalsRowDxfId="6">
      <calculatedColumnFormula array="1">_FV(RTData[[#This Row],[Company Name]],"Volume")</calculatedColumnFormula>
    </tableColumn>
    <tableColumn id="51" xr3:uid="{D7282A85-9AD4-3A4B-B3FA-A2A6E0F8F1EF}" name="Volume average" totalsRowFunction="average" dataDxfId="30" totalsRowDxfId="5">
      <calculatedColumnFormula array="1">_FV(RTData[[#This Row],[Company Name]],"Volume average",TRUE)</calculatedColumnFormula>
    </tableColumn>
    <tableColumn id="52" xr3:uid="{761404C5-AEDD-5640-8AA0-28CD8FF36D32}" name="Beta" dataDxfId="29">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28" totalsRowDxfId="4" dataCellStyle="Percent">
      <calculatedColumnFormula>IFERROR(RTData[[#This Row],[Volume]]/RTData[[#This Row],[Volume average]],1)</calculatedColumnFormula>
    </tableColumn>
    <tableColumn id="11" xr3:uid="{551C9784-9D61-904F-BD9F-2415ABFADFB4}" name="Column1" dataDxfId="27" dataCellStyle="Percent"/>
    <tableColumn id="8" xr3:uid="{90408EC2-90F5-784C-8E52-9D73F1A46BE0}" name="1YT" dataDxfId="26" totalsRowDxfId="3" dataCellStyle="Comma">
      <calculatedColumnFormula>_xlfn.XLOOKUP(RTData[[#This Row],[Ticker_Symbol]],TickerList!$G2:$G96,TickerList!L2:L96)</calculatedColumnFormula>
    </tableColumn>
    <tableColumn id="9" xr3:uid="{82656052-4D5E-8C41-9A70-30228A467DE8}" name="Ddate" dataDxfId="25" totalsRowDxfId="2">
      <calculatedColumnFormula>_xlfn.XLOOKUP(RTData[[#This Row],[Ticker_Symbol]],TickerList!$G2:$G96,TickerList!M2:M96)</calculatedColumnFormula>
    </tableColumn>
    <tableColumn id="15" xr3:uid="{FA897C27-6E9E-4C44-A46F-4D6AD99895C6}" name="EarningDate" dataDxfId="24" totalsRowDxfId="1">
      <calculatedColumnFormula>_xlfn.XLOOKUP(RTData[[#This Row],[Ticker_Symbol]],TickerList!$G2:$G96,TickerList!N2:N96)</calculatedColumnFormula>
    </tableColumn>
    <tableColumn id="1" xr3:uid="{4849786B-34A5-AF4F-84A7-3D73882815FC}" name="RepDiv" dataDxfId="23">
      <calculatedColumnFormula>_xlfn.XLOOKUP(RTData[[#This Row],[Ticker_Symbol]],TickerList!$G2:$G96,TickerList!O2:O96)</calculatedColumnFormula>
    </tableColumn>
    <tableColumn id="13" xr3:uid="{90E79FCB-F3E0-AA4A-96E9-5A0084FC3877}" name="Broker" dataDxfId="22"/>
    <tableColumn id="12" xr3:uid="{C8725869-ED97-5247-8457-FA16BCBAD72F}" name="Stamp" dataDxfId="21">
      <calculatedColumnFormula array="1">_FV(RTData[[#This Row],[Company Name]],"Expense ratio",TRUE)</calculatedColumnFormula>
    </tableColumn>
    <tableColumn id="14" xr3:uid="{23E778F9-C953-6245-A7F5-663B0E49CA92}" name="Old1YT" dataDxfId="20"/>
    <tableColumn id="16" xr3:uid="{566E9185-0BE5-034F-88E1-D852F05FADC9}" name="YTChange" dataDxfId="19" totalsRowDxfId="0"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18"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17">
      <calculatedColumnFormula array="1">_FV(A99,"Price")</calculatedColumnFormula>
    </tableColumn>
    <tableColumn id="3" xr3:uid="{7735EDB4-8F6C-2B4F-9D87-70384666EE29}" name="52 W High" dataDxfId="16">
      <calculatedColumnFormula array="1">_FV(A99,"52 week high",TRUE)</calculatedColumnFormula>
    </tableColumn>
    <tableColumn id="4" xr3:uid="{2ECF53F1-E986-1E43-881C-9B2531046487}" name="1/RT" dataDxfId="15">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B3" activePane="bottomRight" state="frozen"/>
      <selection pane="topRight" activeCell="B1" sqref="B1"/>
      <selection pane="bottomLeft" activeCell="A3" sqref="A3"/>
      <selection pane="bottomRight" activeCell="E21" sqref="E21"/>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45978.694962001566</v>
      </c>
      <c r="B1" s="2" t="s">
        <v>0</v>
      </c>
      <c r="C1" s="2"/>
      <c r="D1" s="3"/>
      <c r="E1" s="4" t="s">
        <v>0</v>
      </c>
      <c r="F1" s="5">
        <f ca="1">NOW()</f>
        <v>45979.02436087963</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0.86229197206174013</v>
      </c>
      <c r="C3" s="16" t="e" vm="1">
        <v>#VALUE!</v>
      </c>
      <c r="D3" s="113" t="str" cm="1">
        <f t="array" aca="1" ref="D3" ca="1">_FV(RTData[[#This Row],[Company Name]],"Currency")</f>
        <v>USD</v>
      </c>
      <c r="E3" s="17" cm="1">
        <f t="array" aca="1" ref="E3" ca="1">_FV(RTData[[#This Row],[Company Name]],"Last trade time",TRUE)</f>
        <v>45978.694876909372</v>
      </c>
      <c r="F3" s="18" cm="1">
        <f t="array" aca="1" ref="F3" ca="1">_FV(RTData[[#This Row],[Company Name]],"Previous close",TRUE)</f>
        <v>272.41000000000003</v>
      </c>
      <c r="G3" s="18" cm="1">
        <f t="array" aca="1" ref="G3" ca="1">IFERROR(_FV(RTData[[#This Row],[Company Name]],"Open"),RTData[[#This Row],[Close]])</f>
        <v>268.93</v>
      </c>
      <c r="H3" s="18" cm="1">
        <f t="array" aca="1" ref="H3" ca="1">_FV(RTData[[#This Row],[Company Name]],"Price")</f>
        <v>268.62819999999999</v>
      </c>
      <c r="I3" s="18" cm="1">
        <f t="array" aca="1" ref="I3" ca="1">IFERROR(_FV(RTData[[#This Row],[Company Name]],"Low"),0)</f>
        <v>266.64999999999998</v>
      </c>
      <c r="J3" s="18" cm="1">
        <f t="array" aca="1" ref="J3" ca="1">IFERROR(_FV(RTData[[#This Row],[Company Name]],"High"),0)</f>
        <v>270.49</v>
      </c>
      <c r="K3" s="19" cm="1">
        <f t="array" aca="1" ref="K3" ca="1">IFERROR(_FV(RTData[[#This Row],[Company Name]],"P/E",TRUE),99)</f>
        <v>36.171100000000003</v>
      </c>
      <c r="L3" s="20" cm="1">
        <f t="array" aca="1" ref="L3" ca="1">_FV(RTData[[#This Row],[Company Name]],"Change")</f>
        <v>-3.7818000000000001</v>
      </c>
      <c r="M3" s="21" cm="1">
        <f t="array" aca="1" ref="M3" ca="1">_FV(RTData[[#This Row],[Company Name]],"Change (%)",TRUE)</f>
        <v>-1.3883000000000001E-2</v>
      </c>
      <c r="N3" s="18" cm="1">
        <f t="array" aca="1" ref="N3" ca="1">_FV(RTData[[#This Row],[Company Name]],"52 week low",TRUE)</f>
        <v>169.21010000000001</v>
      </c>
      <c r="O3" s="18" cm="1">
        <f t="array" aca="1" ref="O3" ca="1">_FV(RTData[[#This Row],[Company Name]],"52 week high",TRUE)</f>
        <v>277.32</v>
      </c>
      <c r="P3" s="22" cm="1">
        <f t="array" aca="1" ref="P3" ca="1">_FV(RTData[[#This Row],[Company Name]],"Volume")</f>
        <v>16517005</v>
      </c>
      <c r="Q3" s="22" cm="1">
        <f t="array" aca="1" ref="Q3" ca="1">_FV(RTData[[#This Row],[Company Name]],"Volume average",TRUE)</f>
        <v>48749657</v>
      </c>
      <c r="R3" s="18" cm="1">
        <f t="array" aca="1" ref="R3" ca="1">_FV(RTData[[#This Row],[Company Name]],"Beta")</f>
        <v>1.1039000000000001</v>
      </c>
      <c r="T3" t="s">
        <v>19</v>
      </c>
      <c r="U3" t="str" cm="1">
        <f t="array" aca="1" ref="U3" ca="1">_FV(RTData[[#This Row],[Company Name]],"Exchange abbreviation",TRUE)</f>
        <v>XNAS</v>
      </c>
      <c r="V3" s="106">
        <f ca="1">IFERROR(RTData[[#This Row],[Volume]]/RTData[[#This Row],[Volume average]],1)</f>
        <v>0.33881274282606749</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0.86229197206174013</v>
      </c>
      <c r="C4" s="24" t="e" vm="2">
        <v>#VALUE!</v>
      </c>
      <c r="D4" s="113" t="str" cm="1">
        <f t="array" aca="1" ref="D4" ca="1">_FV(RTData[[#This Row],[Company Name]],"Currency")</f>
        <v>USD</v>
      </c>
      <c r="E4" s="17" cm="1">
        <f t="array" aca="1" ref="E4" ca="1">_FV(RTData[[#This Row],[Company Name]],"Last trade time",TRUE)</f>
        <v>45978.694897117966</v>
      </c>
      <c r="F4" s="18" cm="1">
        <f t="array" aca="1" ref="F4" ca="1">_FV(RTData[[#This Row],[Company Name]],"Previous close",TRUE)</f>
        <v>12.86</v>
      </c>
      <c r="G4" s="18" cm="1">
        <f t="array" aca="1" ref="G4" ca="1">IFERROR(_FV(RTData[[#This Row],[Company Name]],"Open"),RTData[[#This Row],[Close]])</f>
        <v>12.79</v>
      </c>
      <c r="H4" s="18" cm="1">
        <f t="array" aca="1" ref="H4" ca="1">_FV(RTData[[#This Row],[Company Name]],"Price")</f>
        <v>12.615</v>
      </c>
      <c r="I4" s="18" cm="1">
        <f t="array" aca="1" ref="I4" ca="1">IFERROR(_FV(RTData[[#This Row],[Company Name]],"Low"),0)</f>
        <v>12.55</v>
      </c>
      <c r="J4" s="18" cm="1">
        <f t="array" aca="1" ref="J4" ca="1">IFERROR(_FV(RTData[[#This Row],[Company Name]],"High"),0)</f>
        <v>12.79</v>
      </c>
      <c r="K4" s="19" cm="1">
        <f t="array" aca="1" ref="K4" ca="1">IFERROR(_FV(RTData[[#This Row],[Company Name]],"P/E",TRUE),99)</f>
        <v>19.4376</v>
      </c>
      <c r="L4" s="20" cm="1">
        <f t="array" aca="1" ref="L4" ca="1">_FV(RTData[[#This Row],[Company Name]],"Change")</f>
        <v>-0.245</v>
      </c>
      <c r="M4" s="21" cm="1">
        <f t="array" aca="1" ref="M4" ca="1">_FV(RTData[[#This Row],[Company Name]],"Change (%)",TRUE)</f>
        <v>-1.9050999999999998E-2</v>
      </c>
      <c r="N4" s="18" cm="1">
        <f t="array" aca="1" ref="N4" ca="1">_FV(RTData[[#This Row],[Company Name]],"52 week low",TRUE)</f>
        <v>10.59</v>
      </c>
      <c r="O4" s="18" cm="1">
        <f t="array" aca="1" ref="O4" ca="1">_FV(RTData[[#This Row],[Company Name]],"52 week high",TRUE)</f>
        <v>18.25</v>
      </c>
      <c r="P4" s="22" cm="1">
        <f t="array" aca="1" ref="P4" ca="1">_FV(RTData[[#This Row],[Company Name]],"Volume")</f>
        <v>112122</v>
      </c>
      <c r="Q4" s="22" cm="1">
        <f t="array" aca="1" ref="Q4" ca="1">_FV(RTData[[#This Row],[Company Name]],"Volume average",TRUE)</f>
        <v>851399</v>
      </c>
      <c r="R4" s="18" cm="1">
        <f t="array" aca="1" ref="R4" ca="1">_FV(RTData[[#This Row],[Company Name]],"Beta")</f>
        <v>2.4137</v>
      </c>
      <c r="T4" t="s">
        <v>19</v>
      </c>
      <c r="U4" t="str" cm="1">
        <f t="array" aca="1" ref="U4" ca="1">_FV(RTData[[#This Row],[Company Name]],"Exchange abbreviation",TRUE)</f>
        <v>XNAS</v>
      </c>
      <c r="V4" s="23">
        <f ca="1">IFERROR(RTData[[#This Row],[Volume]]/RTData[[#This Row],[Volume average]],1)</f>
        <v>0.13169148660028965</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1.1363636363636364E-2</v>
      </c>
      <c r="C5" s="24" t="e" vm="3">
        <v>#VALUE!</v>
      </c>
      <c r="D5" s="113" t="str" cm="1">
        <f t="array" aca="1" ref="D5" ca="1">_FV(RTData[[#This Row],[Company Name]],"Currency")</f>
        <v>GBp</v>
      </c>
      <c r="E5" s="17" cm="1">
        <f t="array" aca="1" ref="E5" ca="1">_FV(RTData[[#This Row],[Company Name]],"Last trade time",TRUE)</f>
        <v>45978.682813575782</v>
      </c>
      <c r="F5" s="18" cm="1">
        <f t="array" aca="1" ref="F5" ca="1">_FV(RTData[[#This Row],[Company Name]],"Previous close",TRUE)</f>
        <v>45.2</v>
      </c>
      <c r="G5" s="18" cm="1">
        <f t="array" aca="1" ref="G5" ca="1">IFERROR(_FV(RTData[[#This Row],[Company Name]],"Open"),RTData[[#This Row],[Close]])</f>
        <v>47</v>
      </c>
      <c r="H5" s="18" cm="1">
        <f t="array" aca="1" ref="H5" ca="1">_FV(RTData[[#This Row],[Company Name]],"Price")</f>
        <v>45.775599999999997</v>
      </c>
      <c r="I5" s="18" cm="1">
        <f t="array" aca="1" ref="I5" ca="1">IFERROR(_FV(RTData[[#This Row],[Company Name]],"Low"),0)</f>
        <v>45</v>
      </c>
      <c r="J5" s="18" cm="1">
        <f t="array" aca="1" ref="J5" ca="1">IFERROR(_FV(RTData[[#This Row],[Company Name]],"High"),0)</f>
        <v>47</v>
      </c>
      <c r="K5" s="19" cm="1">
        <f t="array" aca="1" ref="K5" ca="1">IFERROR(_FV(RTData[[#This Row],[Company Name]],"P/E",TRUE),99)</f>
        <v>3.9735999999999998</v>
      </c>
      <c r="L5" s="20" cm="1">
        <f t="array" aca="1" ref="L5" ca="1">_FV(RTData[[#This Row],[Company Name]],"Change")</f>
        <v>0.5756</v>
      </c>
      <c r="M5" s="21" cm="1">
        <f t="array" aca="1" ref="M5" ca="1">_FV(RTData[[#This Row],[Company Name]],"Change (%)",TRUE)</f>
        <v>1.2735000000000002E-2</v>
      </c>
      <c r="N5" s="25" cm="1">
        <f t="array" aca="1" ref="N5" ca="1">_FV(RTData[[#This Row],[Company Name]],"52 week low",TRUE)</f>
        <v>33.064999999999998</v>
      </c>
      <c r="O5" s="25" cm="1">
        <f t="array" aca="1" ref="O5" ca="1">_FV(RTData[[#This Row],[Company Name]],"52 week high",TRUE)</f>
        <v>56.2</v>
      </c>
      <c r="P5" s="22" cm="1">
        <f t="array" aca="1" ref="P5" ca="1">_FV(RTData[[#This Row],[Company Name]],"Volume")</f>
        <v>219333</v>
      </c>
      <c r="Q5" s="22" cm="1">
        <f t="array" aca="1" ref="Q5" ca="1">_FV(RTData[[#This Row],[Company Name]],"Volume average",TRUE)</f>
        <v>362000</v>
      </c>
      <c r="R5" s="18" cm="1">
        <f t="array" aca="1" ref="R5" ca="1">_FV(RTData[[#This Row],[Company Name]],"Beta")</f>
        <v>1.6380999999999999</v>
      </c>
      <c r="T5" t="s">
        <v>19</v>
      </c>
      <c r="U5" t="str" cm="1">
        <f t="array" aca="1" ref="U5" ca="1">_FV(RTData[[#This Row],[Company Name]],"Exchange abbreviation",TRUE)</f>
        <v>XLON</v>
      </c>
      <c r="V5" s="23">
        <f ca="1">IFERROR(RTData[[#This Row],[Volume]]/RTData[[#This Row],[Volume average]],1)</f>
        <v>0.60589226519337014</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0.86229197206174013</v>
      </c>
      <c r="C6" t="e" vm="4">
        <v>#VALUE!</v>
      </c>
      <c r="D6" s="113" t="str" cm="1">
        <f t="array" aca="1" ref="D6" ca="1">_FV(RTData[[#This Row],[Company Name]],"Currency")</f>
        <v>USD</v>
      </c>
      <c r="E6" s="17" cm="1">
        <f t="array" aca="1" ref="E6" ca="1">_FV(RTData[[#This Row],[Company Name]],"Last trade time",TRUE)</f>
        <v>45978.694943356248</v>
      </c>
      <c r="F6" s="18" cm="1">
        <f t="array" aca="1" ref="F6" ca="1">_FV(RTData[[#This Row],[Company Name]],"Previous close",TRUE)</f>
        <v>234.69</v>
      </c>
      <c r="G6" s="18" cm="1">
        <f t="array" aca="1" ref="G6" ca="1">IFERROR(_FV(RTData[[#This Row],[Company Name]],"Open"),RTData[[#This Row],[Close]])</f>
        <v>233</v>
      </c>
      <c r="H6" s="18" cm="1">
        <f t="array" aca="1" ref="H6" ca="1">_FV(RTData[[#This Row],[Company Name]],"Price")</f>
        <v>233.2201</v>
      </c>
      <c r="I6" s="18" cm="1">
        <f t="array" aca="1" ref="I6" ca="1">IFERROR(_FV(RTData[[#This Row],[Company Name]],"Low"),0)</f>
        <v>229.19</v>
      </c>
      <c r="J6" s="115" cm="1">
        <f t="array" aca="1" ref="J6" ca="1">IFERROR(_FV(RTData[[#This Row],[Company Name]],"High"),0)</f>
        <v>234.6</v>
      </c>
      <c r="K6" s="19" cm="1">
        <f t="array" aca="1" ref="K6" ca="1">IFERROR(_FV(RTData[[#This Row],[Company Name]],"P/E",TRUE),99)</f>
        <v>32.945300000000003</v>
      </c>
      <c r="L6" s="20" cm="1">
        <f t="array" aca="1" ref="L6" ca="1">_FV(RTData[[#This Row],[Company Name]],"Change")</f>
        <v>-1.4699</v>
      </c>
      <c r="M6" s="21" cm="1">
        <f t="array" aca="1" ref="M6" ca="1">_FV(RTData[[#This Row],[Company Name]],"Change (%)",TRUE)</f>
        <v>-6.2629999999999995E-3</v>
      </c>
      <c r="N6" s="18" cm="1">
        <f t="array" aca="1" ref="N6" ca="1">_FV(RTData[[#This Row],[Company Name]],"52 week low",TRUE)</f>
        <v>161.38</v>
      </c>
      <c r="O6" s="18" cm="1">
        <f t="array" aca="1" ref="O6" ca="1">_FV(RTData[[#This Row],[Company Name]],"52 week high",TRUE)</f>
        <v>258.60000000000002</v>
      </c>
      <c r="P6" s="22" cm="1">
        <f t="array" aca="1" ref="P6" ca="1">_FV(RTData[[#This Row],[Company Name]],"Volume")</f>
        <v>31636550</v>
      </c>
      <c r="Q6" s="22" cm="1">
        <f t="array" aca="1" ref="Q6" ca="1">_FV(RTData[[#This Row],[Company Name]],"Volume average",TRUE)</f>
        <v>51192660</v>
      </c>
      <c r="R6" s="18" cm="1">
        <f t="array" aca="1" ref="R6" ca="1">_FV(RTData[[#This Row],[Company Name]],"Beta")</f>
        <v>1.3703000000000001</v>
      </c>
      <c r="T6" t="s">
        <v>19</v>
      </c>
      <c r="U6" t="str" cm="1">
        <f t="array" aca="1" ref="U6" ca="1">_FV(RTData[[#This Row],[Company Name]],"Exchange abbreviation",TRUE)</f>
        <v>XNAS</v>
      </c>
      <c r="V6" s="23">
        <f ca="1">IFERROR(RTData[[#This Row],[Volume]]/RTData[[#This Row],[Volume average]],1)</f>
        <v>0.61798996184218602</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45978.677213240626</v>
      </c>
      <c r="F7" s="27" cm="1">
        <f t="array" aca="1" ref="F7" ca="1">_FV(RTData[[#This Row],[Company Name]],"Previous close",TRUE)</f>
        <v>0.66600000000000004</v>
      </c>
      <c r="G7" s="18" cm="1">
        <f t="array" aca="1" ref="G7" ca="1">IFERROR(_FV(RTData[[#This Row],[Company Name]],"Open"),RTData[[#This Row],[Close]])</f>
        <v>0.68</v>
      </c>
      <c r="H7" s="27" cm="1">
        <f t="array" aca="1" ref="H7" ca="1">_FV(RTData[[#This Row],[Company Name]],"Price")</f>
        <v>0.68</v>
      </c>
      <c r="I7" s="27" cm="1">
        <f t="array" aca="1" ref="I7" ca="1">IFERROR(_FV(RTData[[#This Row],[Company Name]],"Low"),0)</f>
        <v>0.68</v>
      </c>
      <c r="J7" s="27" cm="1">
        <f t="array" aca="1" ref="J7" ca="1">IFERROR(_FV(RTData[[#This Row],[Company Name]],"High"),0)</f>
        <v>0.68799999999999994</v>
      </c>
      <c r="K7" s="19" cm="1">
        <f t="array" aca="1" ref="K7" ca="1">IFERROR(_FV(RTData[[#This Row],[Company Name]],"P/E",TRUE),99)</f>
        <v>0</v>
      </c>
      <c r="L7" s="20" cm="1">
        <f t="array" aca="1" ref="L7" ca="1">_FV(RTData[[#This Row],[Company Name]],"Change")</f>
        <v>1.4E-2</v>
      </c>
      <c r="M7" s="21" cm="1">
        <f t="array" aca="1" ref="M7" ca="1">_FV(RTData[[#This Row],[Company Name]],"Change (%)",TRUE)</f>
        <v>2.1021000000000001E-2</v>
      </c>
      <c r="N7" s="27" cm="1">
        <f t="array" aca="1" ref="N7" ca="1">_FV(RTData[[#This Row],[Company Name]],"52 week low",TRUE)</f>
        <v>0.65</v>
      </c>
      <c r="O7" s="27" cm="1">
        <f t="array" aca="1" ref="O7" ca="1">_FV(RTData[[#This Row],[Company Name]],"52 week high",TRUE)</f>
        <v>1.53</v>
      </c>
      <c r="P7" s="22" cm="1">
        <f t="array" aca="1" ref="P7" ca="1">_FV(RTData[[#This Row],[Company Name]],"Volume")</f>
        <v>1263</v>
      </c>
      <c r="Q7" s="22" cm="1">
        <f t="array" aca="1" ref="Q7" ca="1">_FV(RTData[[#This Row],[Company Name]],"Volume average",TRUE)</f>
        <v>6940</v>
      </c>
      <c r="R7" s="18" cm="1">
        <f t="array" aca="1" ref="R7" ca="1">_FV(RTData[[#This Row],[Company Name]],"Beta")</f>
        <v>0.95499999999999996</v>
      </c>
      <c r="T7" t="s">
        <v>19</v>
      </c>
      <c r="U7" t="str" cm="1">
        <f t="array" aca="1" ref="U7" ca="1">_FV(RTData[[#This Row],[Company Name]],"Exchange abbreviation",TRUE)</f>
        <v>XPAR</v>
      </c>
      <c r="V7" s="23">
        <f ca="1">IFERROR(RTData[[#This Row],[Volume]]/RTData[[#This Row],[Volume average]],1)</f>
        <v>0.18198847262247839</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45978.684467592589</v>
      </c>
      <c r="F8" s="27" cm="1">
        <f t="array" aca="1" ref="F8" ca="1">_FV(RTData[[#This Row],[Company Name]],"Previous close",TRUE)</f>
        <v>874.1</v>
      </c>
      <c r="G8" s="27" cm="1">
        <f t="array" aca="1" ref="G8" ca="1">IFERROR(_FV(RTData[[#This Row],[Company Name]],"Open"),RTData[[#This Row],[Close]])</f>
        <v>879.3</v>
      </c>
      <c r="H8" s="27" cm="1">
        <f t="array" aca="1" ref="H8" ca="1">_FV(RTData[[#This Row],[Company Name]],"Price")</f>
        <v>874.7</v>
      </c>
      <c r="I8" s="27" cm="1">
        <f t="array" aca="1" ref="I8" ca="1">IFERROR(_FV(RTData[[#This Row],[Company Name]],"Low"),0)</f>
        <v>864.3</v>
      </c>
      <c r="J8" s="27" cm="1">
        <f t="array" aca="1" ref="J8" ca="1">IFERROR(_FV(RTData[[#This Row],[Company Name]],"High"),0)</f>
        <v>883.9</v>
      </c>
      <c r="K8" s="19" cm="1">
        <f t="array" aca="1" ref="K8" ca="1">IFERROR(_FV(RTData[[#This Row],[Company Name]],"P/E",TRUE),99)</f>
        <v>33.585299999999997</v>
      </c>
      <c r="L8" s="20" cm="1">
        <f t="array" aca="1" ref="L8" ca="1">_FV(RTData[[#This Row],[Company Name]],"Change")</f>
        <v>0.6</v>
      </c>
      <c r="M8" s="21" cm="1">
        <f t="array" aca="1" ref="M8" ca="1">_FV(RTData[[#This Row],[Company Name]],"Change (%)",TRUE)</f>
        <v>6.864000000000001E-4</v>
      </c>
      <c r="N8" s="27" cm="1">
        <f t="array" aca="1" ref="N8" ca="1">_FV(RTData[[#This Row],[Company Name]],"52 week low",TRUE)</f>
        <v>508.4</v>
      </c>
      <c r="O8" s="27" cm="1">
        <f t="array" aca="1" ref="O8" ca="1">_FV(RTData[[#This Row],[Company Name]],"52 week high",TRUE)</f>
        <v>938.6</v>
      </c>
      <c r="P8" s="22" cm="1">
        <f t="array" aca="1" ref="P8" ca="1">_FV(RTData[[#This Row],[Company Name]],"Volume")</f>
        <v>276973</v>
      </c>
      <c r="Q8" s="22" cm="1">
        <f t="array" aca="1" ref="Q8" ca="1">_FV(RTData[[#This Row],[Company Name]],"Volume average",TRUE)</f>
        <v>552590</v>
      </c>
      <c r="R8" s="18" cm="1">
        <f t="array" aca="1" ref="R8" ca="1">_FV(RTData[[#This Row],[Company Name]],"Beta")</f>
        <v>2.1217000000000001</v>
      </c>
      <c r="T8" t="s">
        <v>19</v>
      </c>
      <c r="U8" t="str" cm="1">
        <f t="array" aca="1" ref="U8" ca="1">_FV(RTData[[#This Row],[Company Name]],"Exchange abbreviation",TRUE)</f>
        <v>XAMS</v>
      </c>
      <c r="V8" s="23">
        <f ca="1">IFERROR(RTData[[#This Row],[Volume]]/RTData[[#This Row],[Volume average]],1)</f>
        <v>0.50122694945619717</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45978.694944652343</v>
      </c>
      <c r="F9" s="18" cm="1">
        <f t="array" aca="1" ref="F9" ca="1">_FV(RTData[[#This Row],[Company Name]],"Previous close",TRUE)</f>
        <v>342.46</v>
      </c>
      <c r="G9" s="18" cm="1">
        <f t="array" aca="1" ref="G9" ca="1">IFERROR(_FV(RTData[[#This Row],[Company Name]],"Open"),RTData[[#This Row],[Close]])</f>
        <v>340.47</v>
      </c>
      <c r="H9" s="18" cm="1">
        <f t="array" aca="1" ref="H9" ca="1">_FV(RTData[[#This Row],[Company Name]],"Price")</f>
        <v>347.02</v>
      </c>
      <c r="I9" s="18" cm="1">
        <f t="array" aca="1" ref="I9" ca="1">IFERROR(_FV(RTData[[#This Row],[Company Name]],"Low"),0)</f>
        <v>337.52</v>
      </c>
      <c r="J9" s="18" cm="1">
        <f t="array" aca="1" ref="J9" ca="1">IFERROR(_FV(RTData[[#This Row],[Company Name]],"High"),0)</f>
        <v>352.2</v>
      </c>
      <c r="K9" s="19" cm="1">
        <f t="array" aca="1" ref="K9" ca="1">IFERROR(_FV(RTData[[#This Row],[Company Name]],"P/E",TRUE),99)</f>
        <v>88.956699999999998</v>
      </c>
      <c r="L9" s="20" cm="1">
        <f t="array" aca="1" ref="L9" ca="1">_FV(RTData[[#This Row],[Company Name]],"Change")</f>
        <v>4.5599999999999996</v>
      </c>
      <c r="M9" s="21" cm="1">
        <f t="array" aca="1" ref="M9" ca="1">_FV(RTData[[#This Row],[Company Name]],"Change (%)",TRUE)</f>
        <v>1.3314999999999999E-2</v>
      </c>
      <c r="N9" s="18" cm="1">
        <f t="array" aca="1" ref="N9" ca="1">_FV(RTData[[#This Row],[Company Name]],"52 week low",TRUE)</f>
        <v>138.1</v>
      </c>
      <c r="O9" s="18" cm="1">
        <f t="array" aca="1" ref="O9" ca="1">_FV(RTData[[#This Row],[Company Name]],"52 week high",TRUE)</f>
        <v>386.48</v>
      </c>
      <c r="P9" s="22" cm="1">
        <f t="array" aca="1" ref="P9" ca="1">_FV(RTData[[#This Row],[Company Name]],"Volume")</f>
        <v>4987820</v>
      </c>
      <c r="Q9" s="22" cm="1">
        <f t="array" aca="1" ref="Q9" ca="1">_FV(RTData[[#This Row],[Company Name]],"Volume average",TRUE)</f>
        <v>20461161</v>
      </c>
      <c r="R9" s="18" cm="1">
        <f t="array" aca="1" ref="R9" ca="1">_FV(RTData[[#This Row],[Company Name]],"Beta")</f>
        <v>1.2295</v>
      </c>
      <c r="S9"/>
      <c r="T9"/>
      <c r="U9" t="str" cm="1">
        <f t="array" aca="1" ref="U9" ca="1">_FV(RTData[[#This Row],[Company Name]],"Exchange abbreviation",TRUE)</f>
        <v>XNAS</v>
      </c>
      <c r="V9" s="103">
        <f ca="1">IFERROR(RTData[[#This Row],[Volume]]/RTData[[#This Row],[Volume average]],1)</f>
        <v>0.24377013601525349</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45978.694943286719</v>
      </c>
      <c r="F10" s="18" cm="1">
        <f t="array" aca="1" ref="F10" ca="1">_FV(RTData[[#This Row],[Company Name]],"Previous close",TRUE)</f>
        <v>89.1</v>
      </c>
      <c r="G10" s="18" cm="1">
        <f t="array" aca="1" ref="G10" ca="1">IFERROR(_FV(RTData[[#This Row],[Company Name]],"Open"),RTData[[#This Row],[Close]])</f>
        <v>89.26</v>
      </c>
      <c r="H10" s="18" cm="1">
        <f t="array" aca="1" ref="H10" ca="1">_FV(RTData[[#This Row],[Company Name]],"Price")</f>
        <v>89.64</v>
      </c>
      <c r="I10" s="18" cm="1">
        <f t="array" aca="1" ref="I10" ca="1">IFERROR(_FV(RTData[[#This Row],[Company Name]],"Low"),0)</f>
        <v>89.114999999999995</v>
      </c>
      <c r="J10" s="18" cm="1">
        <f t="array" aca="1" ref="J10" ca="1">IFERROR(_FV(RTData[[#This Row],[Company Name]],"High"),0)</f>
        <v>89.91</v>
      </c>
      <c r="K10" s="19" cm="1">
        <f t="array" aca="1" ref="K10" ca="1">IFERROR(_FV(RTData[[#This Row],[Company Name]],"P/E",TRUE),99)</f>
        <v>29.7807</v>
      </c>
      <c r="L10" s="20" cm="1">
        <f t="array" aca="1" ref="L10" ca="1">_FV(RTData[[#This Row],[Company Name]],"Change")</f>
        <v>0.54</v>
      </c>
      <c r="M10" s="21" cm="1">
        <f t="array" aca="1" ref="M10" ca="1">_FV(RTData[[#This Row],[Company Name]],"Change (%)",TRUE)</f>
        <v>6.0609999999999995E-3</v>
      </c>
      <c r="N10" s="18" cm="1">
        <f t="array" aca="1" ref="N10" ca="1">_FV(RTData[[#This Row],[Company Name]],"52 week low",TRUE)</f>
        <v>61.24</v>
      </c>
      <c r="O10" s="18" cm="1">
        <f t="array" aca="1" ref="O10" ca="1">_FV(RTData[[#This Row],[Company Name]],"52 week high",TRUE)</f>
        <v>89.91</v>
      </c>
      <c r="P10" s="22" cm="1">
        <f t="array" aca="1" ref="P10" ca="1">_FV(RTData[[#This Row],[Company Name]],"Volume")</f>
        <v>1239517</v>
      </c>
      <c r="Q10" s="22" cm="1">
        <f t="array" aca="1" ref="Q10" ca="1">_FV(RTData[[#This Row],[Company Name]],"Volume average",TRUE)</f>
        <v>4490741</v>
      </c>
      <c r="R10" s="18" cm="1">
        <f t="array" aca="1" ref="R10" ca="1">_FV(RTData[[#This Row],[Company Name]],"Beta")</f>
        <v>0.31769999999999998</v>
      </c>
      <c r="U10" t="str" cm="1">
        <f t="array" aca="1" ref="U10" ca="1">_FV(RTData[[#This Row],[Company Name]],"Exchange abbreviation",TRUE)</f>
        <v>XNAS</v>
      </c>
      <c r="V10" s="103">
        <f ca="1">IFERROR(RTData[[#This Row],[Volume]]/RTData[[#This Row],[Volume average]],1)</f>
        <v>0.27601614076607844</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0.86229197206174013</v>
      </c>
      <c r="C11" t="e" vm="9">
        <v>#VALUE!</v>
      </c>
      <c r="D11" s="114" t="str" cm="1">
        <f t="array" aca="1" ref="D11" ca="1">_FV(RTData[[#This Row],[Company Name]],"Currency")</f>
        <v>USD</v>
      </c>
      <c r="E11" s="28" cm="1">
        <f t="array" aca="1" ref="E11" ca="1">_FV(RTData[[#This Row],[Company Name]],"Last trade time",TRUE)</f>
        <v>45978.694941967187</v>
      </c>
      <c r="F11" s="18" cm="1">
        <f t="array" aca="1" ref="F11" ca="1">_FV(RTData[[#This Row],[Company Name]],"Previous close",TRUE)</f>
        <v>3.03</v>
      </c>
      <c r="G11" s="18" cm="1">
        <f t="array" aca="1" ref="G11" ca="1">IFERROR(_FV(RTData[[#This Row],[Company Name]],"Open"),RTData[[#This Row],[Close]])</f>
        <v>2.99</v>
      </c>
      <c r="H11" s="18" cm="1">
        <f t="array" aca="1" ref="H11" ca="1">_FV(RTData[[#This Row],[Company Name]],"Price")</f>
        <v>3.01</v>
      </c>
      <c r="I11" s="29" cm="1">
        <f t="array" aca="1" ref="I11" ca="1">IFERROR(_FV(RTData[[#This Row],[Company Name]],"Low"),0)</f>
        <v>2.9701</v>
      </c>
      <c r="J11" s="29" cm="1">
        <f t="array" aca="1" ref="J11" ca="1">IFERROR(_FV(RTData[[#This Row],[Company Name]],"High"),0)</f>
        <v>3.1093000000000002</v>
      </c>
      <c r="K11" s="19" cm="1">
        <f t="array" aca="1" ref="K11" ca="1">IFERROR(_FV(RTData[[#This Row],[Company Name]],"P/E",TRUE),99)</f>
        <v>0</v>
      </c>
      <c r="L11" s="30" cm="1">
        <f t="array" aca="1" ref="L11" ca="1">_FV(RTData[[#This Row],[Company Name]],"Change")</f>
        <v>-0.02</v>
      </c>
      <c r="M11" s="31" cm="1">
        <f t="array" aca="1" ref="M11" ca="1">_FV(RTData[[#This Row],[Company Name]],"Change (%)",TRUE)</f>
        <v>-6.6010000000000001E-3</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2118444</v>
      </c>
      <c r="Q11" s="32" cm="1">
        <f t="array" aca="1" ref="Q11" ca="1">_FV(RTData[[#This Row],[Company Name]],"Volume average",TRUE)</f>
        <v>7221431</v>
      </c>
      <c r="R11" s="29" cm="1">
        <f t="array" aca="1" ref="R11" ca="1">_FV(RTData[[#This Row],[Company Name]],"Beta")</f>
        <v>1.7289000000000001</v>
      </c>
      <c r="S11" s="33"/>
      <c r="T11" t="s">
        <v>19</v>
      </c>
      <c r="U11" s="33" t="str" cm="1">
        <f t="array" aca="1" ref="U11" ca="1">_FV(RTData[[#This Row],[Company Name]],"Exchange abbreviation",TRUE)</f>
        <v>XNAS</v>
      </c>
      <c r="V11" s="89">
        <f ca="1">IFERROR(RTData[[#This Row],[Volume]]/RTData[[#This Row],[Volume average]],1)</f>
        <v>0.29335515356997804</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0.86229197206174013</v>
      </c>
      <c r="C12" t="e" vm="10">
        <v>#VALUE!</v>
      </c>
      <c r="D12" s="113" t="str" cm="1">
        <f t="array" aca="1" ref="D12" ca="1">_FV(RTData[[#This Row],[Company Name]],"Currency")</f>
        <v>USD</v>
      </c>
      <c r="E12" s="17" cm="1">
        <f t="array" aca="1" ref="E12" ca="1">_FV(RTData[[#This Row],[Company Name]],"Last trade time",TRUE)</f>
        <v>45978.694779895312</v>
      </c>
      <c r="F12" s="18" cm="1">
        <f t="array" aca="1" ref="F12" ca="1">_FV(RTData[[#This Row],[Company Name]],"Previous close",TRUE)</f>
        <v>2.4300000000000002</v>
      </c>
      <c r="G12" s="18" cm="1">
        <f t="array" aca="1" ref="G12" ca="1">IFERROR(_FV(RTData[[#This Row],[Company Name]],"Open"),RTData[[#This Row],[Close]])</f>
        <v>2.42</v>
      </c>
      <c r="H12" s="18" cm="1">
        <f t="array" aca="1" ref="H12" ca="1">_FV(RTData[[#This Row],[Company Name]],"Price")</f>
        <v>2.44</v>
      </c>
      <c r="I12" s="18" cm="1">
        <f t="array" aca="1" ref="I12" ca="1">IFERROR(_FV(RTData[[#This Row],[Company Name]],"Low"),0)</f>
        <v>2.42</v>
      </c>
      <c r="J12" s="18" cm="1">
        <f t="array" aca="1" ref="J12" ca="1">IFERROR(_FV(RTData[[#This Row],[Company Name]],"High"),0)</f>
        <v>2.44</v>
      </c>
      <c r="K12" s="19" cm="1">
        <f t="array" aca="1" ref="K12" ca="1">IFERROR(_FV(RTData[[#This Row],[Company Name]],"P/E",TRUE),99)</f>
        <v>0</v>
      </c>
      <c r="L12" s="20" cm="1">
        <f t="array" aca="1" ref="L12" ca="1">_FV(RTData[[#This Row],[Company Name]],"Change")</f>
        <v>0.01</v>
      </c>
      <c r="M12" s="21" cm="1">
        <f t="array" aca="1" ref="M12" ca="1">_FV(RTData[[#This Row],[Company Name]],"Change (%)",TRUE)</f>
        <v>4.1149999999999997E-3</v>
      </c>
      <c r="N12" s="18" cm="1">
        <f t="array" aca="1" ref="N12" ca="1">_FV(RTData[[#This Row],[Company Name]],"52 week low",TRUE)</f>
        <v>2.08</v>
      </c>
      <c r="O12" s="18" cm="1">
        <f t="array" aca="1" ref="O12" ca="1">_FV(RTData[[#This Row],[Company Name]],"52 week high",TRUE)</f>
        <v>10.16</v>
      </c>
      <c r="P12" s="22" cm="1">
        <f t="array" aca="1" ref="P12" ca="1">_FV(RTData[[#This Row],[Company Name]],"Volume")</f>
        <v>6552</v>
      </c>
      <c r="Q12" s="22" cm="1">
        <f t="array" aca="1" ref="Q12" ca="1">_FV(RTData[[#This Row],[Company Name]],"Volume average",TRUE)</f>
        <v>197737</v>
      </c>
      <c r="R12" s="18" cm="1">
        <f t="array" aca="1" ref="R12" ca="1">_FV(RTData[[#This Row],[Company Name]],"Beta")</f>
        <v>7.1499999999999994E-2</v>
      </c>
      <c r="T12" t="s">
        <v>19</v>
      </c>
      <c r="U12" t="str" cm="1">
        <f t="array" aca="1" ref="U12" ca="1">_FV(RTData[[#This Row],[Company Name]],"Exchange abbreviation",TRUE)</f>
        <v>XNAS</v>
      </c>
      <c r="V12" s="23">
        <f ca="1">IFERROR(RTData[[#This Row],[Volume]]/RTData[[#This Row],[Volume average]],1)</f>
        <v>3.313492163833779E-2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0.86229197206174013</v>
      </c>
      <c r="C13" t="e" vm="11">
        <v>#VALUE!</v>
      </c>
      <c r="D13" s="113" t="str" cm="1">
        <f t="array" aca="1" ref="D13" ca="1">_FV(RTData[[#This Row],[Company Name]],"Currency")</f>
        <v>USD</v>
      </c>
      <c r="E13" s="17" cm="1">
        <f t="array" aca="1" ref="E13" ca="1">_FV(RTData[[#This Row],[Company Name]],"Last trade time",TRUE)</f>
        <v>45978.694950416408</v>
      </c>
      <c r="F13" s="18" cm="1">
        <f t="array" aca="1" ref="F13" ca="1">_FV(RTData[[#This Row],[Company Name]],"Previous close",TRUE)</f>
        <v>100.3</v>
      </c>
      <c r="G13" s="18" cm="1">
        <f t="array" aca="1" ref="G13" ca="1">IFERROR(_FV(RTData[[#This Row],[Company Name]],"Open"),RTData[[#This Row],[Close]])</f>
        <v>100.09</v>
      </c>
      <c r="H13" s="18" cm="1">
        <f t="array" aca="1" ref="H13" ca="1">_FV(RTData[[#This Row],[Company Name]],"Price")</f>
        <v>99.84</v>
      </c>
      <c r="I13" s="18" cm="1">
        <f t="array" aca="1" ref="I13" ca="1">IFERROR(_FV(RTData[[#This Row],[Company Name]],"Low"),0)</f>
        <v>99.02</v>
      </c>
      <c r="J13" s="18" cm="1">
        <f t="array" aca="1" ref="J13" ca="1">IFERROR(_FV(RTData[[#This Row],[Company Name]],"High"),0)</f>
        <v>100.28</v>
      </c>
      <c r="K13" s="19" cm="1">
        <f t="array" aca="1" ref="K13" ca="1">IFERROR(_FV(RTData[[#This Row],[Company Name]],"P/E",TRUE),99)</f>
        <v>14.0351</v>
      </c>
      <c r="L13" s="20" cm="1">
        <f t="array" aca="1" ref="L13" ca="1">_FV(RTData[[#This Row],[Company Name]],"Change")</f>
        <v>-0.46</v>
      </c>
      <c r="M13" s="21" cm="1">
        <f t="array" aca="1" ref="M13" ca="1">_FV(RTData[[#This Row],[Company Name]],"Change (%)",TRUE)</f>
        <v>-4.5859999999999998E-3</v>
      </c>
      <c r="N13" s="18" cm="1">
        <f t="array" aca="1" ref="N13" ca="1">_FV(RTData[[#This Row],[Company Name]],"52 week low",TRUE)</f>
        <v>55.51</v>
      </c>
      <c r="O13" s="18" cm="1">
        <f t="array" aca="1" ref="O13" ca="1">_FV(RTData[[#This Row],[Company Name]],"52 week high",TRUE)</f>
        <v>105.59</v>
      </c>
      <c r="P13" s="22" cm="1">
        <f t="array" aca="1" ref="P13" ca="1">_FV(RTData[[#This Row],[Company Name]],"Volume")</f>
        <v>3240989</v>
      </c>
      <c r="Q13" s="22" cm="1">
        <f t="array" aca="1" ref="Q13" ca="1">_FV(RTData[[#This Row],[Company Name]],"Volume average",TRUE)</f>
        <v>13095873</v>
      </c>
      <c r="R13" s="18" cm="1">
        <f t="array" aca="1" ref="R13" ca="1">_FV(RTData[[#This Row],[Company Name]],"Beta")</f>
        <v>1.1956</v>
      </c>
      <c r="T13" t="s">
        <v>19</v>
      </c>
      <c r="U13" t="str" cm="1">
        <f t="array" aca="1" ref="U13" ca="1">_FV(RTData[[#This Row],[Company Name]],"Exchange abbreviation",TRUE)</f>
        <v>XNYS</v>
      </c>
      <c r="V13" s="23">
        <f ca="1">IFERROR(RTData[[#This Row],[Volume]]/RTData[[#This Row],[Volume average]],1)</f>
        <v>0.24748170664147401</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0.86229197206174013</v>
      </c>
      <c r="C14" t="e" vm="12">
        <v>#VALUE!</v>
      </c>
      <c r="D14" s="113" t="str" cm="1">
        <f t="array" aca="1" ref="D14" ca="1">_FV(RTData[[#This Row],[Company Name]],"Currency")</f>
        <v>USD</v>
      </c>
      <c r="E14" s="17" cm="1">
        <f t="array" aca="1" ref="E14" ca="1">_FV(RTData[[#This Row],[Company Name]],"Last trade time",TRUE)</f>
        <v>45978.694953182814</v>
      </c>
      <c r="F14" s="18" cm="1">
        <f t="array" aca="1" ref="F14" ca="1">_FV(RTData[[#This Row],[Company Name]],"Previous close",TRUE)</f>
        <v>78</v>
      </c>
      <c r="G14" s="18" cm="1">
        <f t="array" aca="1" ref="G14" ca="1">IFERROR(_FV(RTData[[#This Row],[Company Name]],"Open"),RTData[[#This Row],[Close]])</f>
        <v>77.98</v>
      </c>
      <c r="H14" s="18" cm="1">
        <f t="array" aca="1" ref="H14" ca="1">_FV(RTData[[#This Row],[Company Name]],"Price")</f>
        <v>79.27</v>
      </c>
      <c r="I14" s="18" cm="1">
        <f t="array" aca="1" ref="I14" ca="1">IFERROR(_FV(RTData[[#This Row],[Company Name]],"Low"),0)</f>
        <v>77.5</v>
      </c>
      <c r="J14" s="18" cm="1">
        <f t="array" aca="1" ref="J14" ca="1">IFERROR(_FV(RTData[[#This Row],[Company Name]],"High"),0)</f>
        <v>79.37</v>
      </c>
      <c r="K14" s="19" cm="1">
        <f t="array" aca="1" ref="K14" ca="1">IFERROR(_FV(RTData[[#This Row],[Company Name]],"P/E",TRUE),99)</f>
        <v>30.658300000000001</v>
      </c>
      <c r="L14" s="20" cm="1">
        <f t="array" aca="1" ref="L14" ca="1">_FV(RTData[[#This Row],[Company Name]],"Change")</f>
        <v>1.27</v>
      </c>
      <c r="M14" s="21" cm="1">
        <f t="array" aca="1" ref="M14" ca="1">_FV(RTData[[#This Row],[Company Name]],"Change (%)",TRUE)</f>
        <v>1.6282000000000001E-2</v>
      </c>
      <c r="N14" s="18" cm="1">
        <f t="array" aca="1" ref="N14" ca="1">_FV(RTData[[#This Row],[Company Name]],"52 week low",TRUE)</f>
        <v>52.11</v>
      </c>
      <c r="O14" s="18" cm="1">
        <f t="array" aca="1" ref="O14" ca="1">_FV(RTData[[#This Row],[Company Name]],"52 week high",TRUE)</f>
        <v>79.5</v>
      </c>
      <c r="P14" s="22" cm="1">
        <f t="array" aca="1" ref="P14" ca="1">_FV(RTData[[#This Row],[Company Name]],"Volume")</f>
        <v>9332243</v>
      </c>
      <c r="Q14" s="22" cm="1">
        <f t="array" aca="1" ref="Q14" ca="1">_FV(RTData[[#This Row],[Company Name]],"Volume average",TRUE)</f>
        <v>21355410</v>
      </c>
      <c r="R14" s="18" cm="1">
        <f t="array" aca="1" ref="R14" ca="1">_FV(RTData[[#This Row],[Company Name]],"Beta")</f>
        <v>0.84960000000000002</v>
      </c>
      <c r="T14" t="s">
        <v>19</v>
      </c>
      <c r="U14" t="str" cm="1">
        <f t="array" aca="1" ref="U14" ca="1">_FV(RTData[[#This Row],[Company Name]],"Exchange abbreviation",TRUE)</f>
        <v>XNAS</v>
      </c>
      <c r="V14" s="23">
        <f ca="1">IFERROR(RTData[[#This Row],[Volume]]/RTData[[#This Row],[Volume average]],1)</f>
        <v>0.43699666735501685</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0.86229197206174013</v>
      </c>
      <c r="C15" t="e" vm="13">
        <v>#VALUE!</v>
      </c>
      <c r="D15" s="113" t="str" cm="1">
        <f t="array" aca="1" ref="D15" ca="1">_FV(RTData[[#This Row],[Company Name]],"Currency")</f>
        <v>USD</v>
      </c>
      <c r="E15" s="17" cm="1">
        <f t="array" aca="1" ref="E15" ca="1">_FV(RTData[[#This Row],[Company Name]],"Last trade time",TRUE)</f>
        <v>45978.694848310159</v>
      </c>
      <c r="F15" s="18" cm="1">
        <f t="array" aca="1" ref="F15" ca="1">_FV(RTData[[#This Row],[Company Name]],"Previous close",TRUE)</f>
        <v>77.81</v>
      </c>
      <c r="G15" s="18" cm="1">
        <f t="array" aca="1" ref="G15" ca="1">IFERROR(_FV(RTData[[#This Row],[Company Name]],"Open"),RTData[[#This Row],[Close]])</f>
        <v>77.92</v>
      </c>
      <c r="H15" s="18" cm="1">
        <f t="array" aca="1" ref="H15" ca="1">_FV(RTData[[#This Row],[Company Name]],"Price")</f>
        <v>79.540000000000006</v>
      </c>
      <c r="I15" s="18" cm="1">
        <f t="array" aca="1" ref="I15" ca="1">IFERROR(_FV(RTData[[#This Row],[Company Name]],"Low"),0)</f>
        <v>77.78</v>
      </c>
      <c r="J15" s="18" cm="1">
        <f t="array" aca="1" ref="J15" ca="1">IFERROR(_FV(RTData[[#This Row],[Company Name]],"High"),0)</f>
        <v>79.66</v>
      </c>
      <c r="K15" s="19" cm="1">
        <f t="array" aca="1" ref="K15" ca="1">IFERROR(_FV(RTData[[#This Row],[Company Name]],"P/E",TRUE),99)</f>
        <v>208.3835</v>
      </c>
      <c r="L15" s="20" cm="1">
        <f t="array" aca="1" ref="L15" ca="1">_FV(RTData[[#This Row],[Company Name]],"Change")</f>
        <v>1.73</v>
      </c>
      <c r="M15" s="21" cm="1">
        <f t="array" aca="1" ref="M15" ca="1">_FV(RTData[[#This Row],[Company Name]],"Change (%)",TRUE)</f>
        <v>2.2233999999999997E-2</v>
      </c>
      <c r="N15" s="18" cm="1">
        <f t="array" aca="1" ref="N15" ca="1">_FV(RTData[[#This Row],[Company Name]],"52 week low",TRUE)</f>
        <v>43.56</v>
      </c>
      <c r="O15" s="18" cm="1">
        <f t="array" aca="1" ref="O15" ca="1">_FV(RTData[[#This Row],[Company Name]],"52 week high",TRUE)</f>
        <v>85.15</v>
      </c>
      <c r="P15" s="22" cm="1">
        <f t="array" aca="1" ref="P15" ca="1">_FV(RTData[[#This Row],[Company Name]],"Volume")</f>
        <v>1247365</v>
      </c>
      <c r="Q15" s="22" cm="1">
        <f t="array" aca="1" ref="Q15" ca="1">_FV(RTData[[#This Row],[Company Name]],"Volume average",TRUE)</f>
        <v>7917386</v>
      </c>
      <c r="R15" s="18" cm="1">
        <f t="array" aca="1" ref="R15" ca="1">_FV(RTData[[#This Row],[Company Name]],"Beta")</f>
        <v>0.48180000000000001</v>
      </c>
      <c r="T15" t="s">
        <v>19</v>
      </c>
      <c r="U15" t="str" cm="1">
        <f t="array" aca="1" ref="U15" ca="1">_FV(RTData[[#This Row],[Company Name]],"Exchange abbreviation",TRUE)</f>
        <v>XNYS</v>
      </c>
      <c r="V15" s="23">
        <f ca="1">IFERROR(RTData[[#This Row],[Volume]]/RTData[[#This Row],[Volume average]],1)</f>
        <v>0.15754757946625314</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0.86229197206174013</v>
      </c>
      <c r="C16" t="e" vm="14">
        <v>#VALUE!</v>
      </c>
      <c r="D16" s="113" t="str" cm="1">
        <f t="array" aca="1" ref="D16" ca="1">_FV(RTData[[#This Row],[Company Name]],"Currency")</f>
        <v>USD</v>
      </c>
      <c r="E16" s="17" cm="1">
        <f t="array" aca="1" ref="E16" ca="1">_FV(RTData[[#This Row],[Company Name]],"Last trade time",TRUE)</f>
        <v>45978.694840821096</v>
      </c>
      <c r="F16" s="18" cm="1">
        <f t="array" aca="1" ref="F16" ca="1">_FV(RTData[[#This Row],[Company Name]],"Previous close",TRUE)</f>
        <v>2.16</v>
      </c>
      <c r="G16" s="18" cm="1">
        <f t="array" aca="1" ref="G16" ca="1">IFERROR(_FV(RTData[[#This Row],[Company Name]],"Open"),RTData[[#This Row],[Close]])</f>
        <v>2.15</v>
      </c>
      <c r="H16" s="18" cm="1">
        <f t="array" aca="1" ref="H16" ca="1">_FV(RTData[[#This Row],[Company Name]],"Price")</f>
        <v>2.1549999999999998</v>
      </c>
      <c r="I16" s="18" cm="1">
        <f t="array" aca="1" ref="I16" ca="1">IFERROR(_FV(RTData[[#This Row],[Company Name]],"Low"),0)</f>
        <v>2.12</v>
      </c>
      <c r="J16" s="18" cm="1">
        <f t="array" aca="1" ref="J16" ca="1">IFERROR(_FV(RTData[[#This Row],[Company Name]],"High"),0)</f>
        <v>2.1951999999999998</v>
      </c>
      <c r="K16" s="19" cm="1">
        <f t="array" ref="K16">IFERROR(_FV(RTData[[#This Row],[Company Name]],"P/E",TRUE),99)</f>
        <v>99</v>
      </c>
      <c r="L16" s="20" cm="1">
        <f t="array" aca="1" ref="L16" ca="1">_FV(RTData[[#This Row],[Company Name]],"Change")</f>
        <v>-5.0000000000000001E-3</v>
      </c>
      <c r="M16" s="21" cm="1">
        <f t="array" aca="1" ref="M16" ca="1">_FV(RTData[[#This Row],[Company Name]],"Change (%)",TRUE)</f>
        <v>-2.3150000000000002E-3</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557788</v>
      </c>
      <c r="Q16" s="22" cm="1">
        <f t="array" aca="1" ref="Q16" ca="1">_FV(RTData[[#This Row],[Company Name]],"Volume average",TRUE)</f>
        <v>3855945</v>
      </c>
      <c r="R16" s="18" cm="1">
        <f t="array" aca="1" ref="R16" ca="1">_FV(RTData[[#This Row],[Company Name]],"Beta")</f>
        <v>1.9165000000000001</v>
      </c>
      <c r="T16" t="s">
        <v>19</v>
      </c>
      <c r="U16" t="str" cm="1">
        <f t="array" aca="1" ref="U16" ca="1">_FV(RTData[[#This Row],[Company Name]],"Exchange abbreviation",TRUE)</f>
        <v>XNYS</v>
      </c>
      <c r="V16" s="23">
        <f ca="1">IFERROR(RTData[[#This Row],[Volume]]/RTData[[#This Row],[Volume average]],1)</f>
        <v>0.14465662762305997</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0.86229197206174013</v>
      </c>
      <c r="C17" t="e" vm="15">
        <v>#VALUE!</v>
      </c>
      <c r="D17" s="113" t="str" cm="1">
        <f t="array" aca="1" ref="D17" ca="1">_FV(RTData[[#This Row],[Company Name]],"Currency")</f>
        <v>USD</v>
      </c>
      <c r="E17" s="17" cm="1">
        <f t="array" aca="1" ref="E17" ca="1">_FV(RTData[[#This Row],[Company Name]],"Last trade time",TRUE)</f>
        <v>45978.694930335158</v>
      </c>
      <c r="F17" s="18" cm="1">
        <f t="array" aca="1" ref="F17" ca="1">_FV(RTData[[#This Row],[Company Name]],"Previous close",TRUE)</f>
        <v>105.8</v>
      </c>
      <c r="G17" s="18" cm="1">
        <f t="array" aca="1" ref="G17" ca="1">IFERROR(_FV(RTData[[#This Row],[Company Name]],"Open"),RTData[[#This Row],[Close]])</f>
        <v>105.97</v>
      </c>
      <c r="H17" s="18" cm="1">
        <f t="array" aca="1" ref="H17" ca="1">_FV(RTData[[#This Row],[Company Name]],"Price")</f>
        <v>106.80500000000001</v>
      </c>
      <c r="I17" s="18" cm="1">
        <f t="array" aca="1" ref="I17" ca="1">IFERROR(_FV(RTData[[#This Row],[Company Name]],"Low"),0)</f>
        <v>105.3</v>
      </c>
      <c r="J17" s="18" cm="1">
        <f t="array" aca="1" ref="J17" ca="1">IFERROR(_FV(RTData[[#This Row],[Company Name]],"High"),0)</f>
        <v>107.67</v>
      </c>
      <c r="K17" s="19" cm="1">
        <f t="array" aca="1" ref="K17" ca="1">IFERROR(_FV(RTData[[#This Row],[Company Name]],"P/E",TRUE),99)</f>
        <v>15.588100000000001</v>
      </c>
      <c r="L17" s="20" cm="1">
        <f t="array" aca="1" ref="L17" ca="1">_FV(RTData[[#This Row],[Company Name]],"Change")</f>
        <v>1.0049999999999999</v>
      </c>
      <c r="M17" s="21" cm="1">
        <f t="array" aca="1" ref="M17" ca="1">_FV(RTData[[#This Row],[Company Name]],"Change (%)",TRUE)</f>
        <v>9.4990000000000005E-3</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4416812</v>
      </c>
      <c r="Q17" s="22" cm="1">
        <f t="array" aca="1" ref="Q17" ca="1">_FV(RTData[[#This Row],[Company Name]],"Volume average",TRUE)</f>
        <v>10003020</v>
      </c>
      <c r="R17" s="18" cm="1">
        <f t="array" aca="1" ref="R17" ca="1">_FV(RTData[[#This Row],[Company Name]],"Beta")</f>
        <v>1.4954000000000001</v>
      </c>
      <c r="T17" t="s">
        <v>19</v>
      </c>
      <c r="U17" t="str" cm="1">
        <f t="array" aca="1" ref="U17" ca="1">_FV(RTData[[#This Row],[Company Name]],"Exchange abbreviation",TRUE)</f>
        <v>XNYS</v>
      </c>
      <c r="V17" s="23">
        <f ca="1">IFERROR(RTData[[#This Row],[Volume]]/RTData[[#This Row],[Volume average]],1)</f>
        <v>0.44154785254853035</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0.86229197206174013</v>
      </c>
      <c r="C18" t="e" vm="16">
        <v>#VALUE!</v>
      </c>
      <c r="D18" s="113" t="str" cm="1">
        <f t="array" aca="1" ref="D18" ca="1">_FV(RTData[[#This Row],[Company Name]],"Currency")</f>
        <v>EUR</v>
      </c>
      <c r="E18" s="17" cm="1">
        <f t="array" aca="1" ref="E18" ca="1">_FV(RTData[[#This Row],[Company Name]],"Last trade time",TRUE)</f>
        <v>45978.684363425928</v>
      </c>
      <c r="F18" s="18" cm="1">
        <f t="array" aca="1" ref="F18" ca="1">_FV(RTData[[#This Row],[Company Name]],"Previous close",TRUE)</f>
        <v>23.99</v>
      </c>
      <c r="G18" s="18" cm="1">
        <f t="array" aca="1" ref="G18" ca="1">IFERROR(_FV(RTData[[#This Row],[Company Name]],"Open"),RTData[[#This Row],[Close]])</f>
        <v>24</v>
      </c>
      <c r="H18" s="18" cm="1">
        <f t="array" aca="1" ref="H18" ca="1">_FV(RTData[[#This Row],[Company Name]],"Price")</f>
        <v>23.54</v>
      </c>
      <c r="I18" s="18" cm="1">
        <f t="array" aca="1" ref="I18" ca="1">IFERROR(_FV(RTData[[#This Row],[Company Name]],"Low"),0)</f>
        <v>23.52</v>
      </c>
      <c r="J18" s="18" cm="1">
        <f t="array" aca="1" ref="J18" ca="1">IFERROR(_FV(RTData[[#This Row],[Company Name]],"High"),0)</f>
        <v>24</v>
      </c>
      <c r="K18" s="19" cm="1">
        <f t="array" aca="1" ref="K18" ca="1">IFERROR(_FV(RTData[[#This Row],[Company Name]],"P/E",TRUE),99)</f>
        <v>26.3017</v>
      </c>
      <c r="L18" s="20" cm="1">
        <f t="array" aca="1" ref="L18" ca="1">_FV(RTData[[#This Row],[Company Name]],"Change")</f>
        <v>-0.45</v>
      </c>
      <c r="M18" s="21" cm="1">
        <f t="array" aca="1" ref="M18" ca="1">_FV(RTData[[#This Row],[Company Name]],"Change (%)",TRUE)</f>
        <v>-1.8758E-2</v>
      </c>
      <c r="N18" s="18" cm="1">
        <f t="array" aca="1" ref="N18" ca="1">_FV(RTData[[#This Row],[Company Name]],"52 week low",TRUE)</f>
        <v>23.03</v>
      </c>
      <c r="O18" s="18" cm="1">
        <f t="array" aca="1" ref="O18" ca="1">_FV(RTData[[#This Row],[Company Name]],"52 week high",TRUE)</f>
        <v>41.17</v>
      </c>
      <c r="P18" s="22" cm="1">
        <f t="array" aca="1" ref="P18" ca="1">_FV(RTData[[#This Row],[Company Name]],"Volume")</f>
        <v>604262</v>
      </c>
      <c r="Q18" s="22" cm="1">
        <f t="array" aca="1" ref="Q18" ca="1">_FV(RTData[[#This Row],[Company Name]],"Volume average",TRUE)</f>
        <v>1909500</v>
      </c>
      <c r="R18" s="18" cm="1">
        <f t="array" aca="1" ref="R18" ca="1">_FV(RTData[[#This Row],[Company Name]],"Beta")</f>
        <v>0.78580000000000005</v>
      </c>
      <c r="T18" t="s">
        <v>19</v>
      </c>
      <c r="U18" t="str" cm="1">
        <f t="array" aca="1" ref="U18" ca="1">_FV(RTData[[#This Row],[Company Name]],"Exchange abbreviation",TRUE)</f>
        <v>XPAR</v>
      </c>
      <c r="V18" s="23">
        <f ca="1">IFERROR(RTData[[#This Row],[Volume]]/RTData[[#This Row],[Volume average]],1)</f>
        <v>0.31645037968054462</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45978.694783796091</v>
      </c>
      <c r="F19" s="27" cm="1">
        <f t="array" aca="1" ref="F19" ca="1">_FV(RTData[[#This Row],[Company Name]],"Previous close",TRUE)</f>
        <v>121.55</v>
      </c>
      <c r="G19" s="27" cm="1">
        <f t="array" aca="1" ref="G19" ca="1">IFERROR(_FV(RTData[[#This Row],[Company Name]],"Open"),RTData[[#This Row],[Close]])</f>
        <v>121.35</v>
      </c>
      <c r="H19" s="27" cm="1">
        <f t="array" aca="1" ref="H19" ca="1">_FV(RTData[[#This Row],[Company Name]],"Price")</f>
        <v>120.18</v>
      </c>
      <c r="I19" s="27" cm="1">
        <f t="array" aca="1" ref="I19" ca="1">IFERROR(_FV(RTData[[#This Row],[Company Name]],"Low"),0)</f>
        <v>119.27</v>
      </c>
      <c r="J19" s="27" cm="1">
        <f t="array" aca="1" ref="J19" ca="1">IFERROR(_FV(RTData[[#This Row],[Company Name]],"High"),0)</f>
        <v>121.8</v>
      </c>
      <c r="K19" s="19" cm="1">
        <f t="array" aca="1" ref="K19" ca="1">IFERROR(_FV(RTData[[#This Row],[Company Name]],"P/E",TRUE),99)</f>
        <v>12.3736</v>
      </c>
      <c r="L19" s="20" cm="1">
        <f t="array" aca="1" ref="L19" ca="1">_FV(RTData[[#This Row],[Company Name]],"Change")</f>
        <v>-1.37</v>
      </c>
      <c r="M19" s="21" cm="1">
        <f t="array" aca="1" ref="M19" ca="1">_FV(RTData[[#This Row],[Company Name]],"Change (%)",TRUE)</f>
        <v>-1.1271E-2</v>
      </c>
      <c r="N19" s="27" cm="1">
        <f t="array" aca="1" ref="N19" ca="1">_FV(RTData[[#This Row],[Company Name]],"52 week low",TRUE)</f>
        <v>115.39</v>
      </c>
      <c r="O19" s="27" cm="1">
        <f t="array" aca="1" ref="O19" ca="1">_FV(RTData[[#This Row],[Company Name]],"52 week high",TRUE)</f>
        <v>179.6</v>
      </c>
      <c r="P19" s="22" cm="1">
        <f t="array" aca="1" ref="P19" ca="1">_FV(RTData[[#This Row],[Company Name]],"Volume")</f>
        <v>165684</v>
      </c>
      <c r="Q19" s="22" cm="1">
        <f t="array" aca="1" ref="Q19" ca="1">_FV(RTData[[#This Row],[Company Name]],"Volume average",TRUE)</f>
        <v>884048</v>
      </c>
      <c r="R19" s="27" cm="1">
        <f t="array" aca="1" ref="R19" ca="1">_FV(RTData[[#This Row],[Company Name]],"Beta")</f>
        <v>0.98419999999999996</v>
      </c>
      <c r="T19" t="s">
        <v>19</v>
      </c>
      <c r="U19" t="str" cm="1">
        <f t="array" aca="1" ref="U19" ca="1">_FV(RTData[[#This Row],[Company Name]],"Exchange abbreviation",TRUE)</f>
        <v>XNYS</v>
      </c>
      <c r="V19" s="23">
        <f ca="1">IFERROR(RTData[[#This Row],[Volume]]/RTData[[#This Row],[Volume average]],1)</f>
        <v>0.18741516297757588</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0.86229197206174013</v>
      </c>
      <c r="C20" t="e" vm="18">
        <v>#VALUE!</v>
      </c>
      <c r="D20" s="113" t="str" cm="1">
        <f t="array" aca="1" ref="D20" ca="1">_FV(RTData[[#This Row],[Company Name]],"Currency")</f>
        <v>USD</v>
      </c>
      <c r="E20" s="17" cm="1">
        <f t="array" aca="1" ref="E20" ca="1">_FV(RTData[[#This Row],[Company Name]],"Last trade time",TRUE)</f>
        <v>45978.694840207812</v>
      </c>
      <c r="F20" s="18" cm="1">
        <f t="array" aca="1" ref="F20" ca="1">_FV(RTData[[#This Row],[Company Name]],"Previous close",TRUE)</f>
        <v>12.91</v>
      </c>
      <c r="G20" s="18" cm="1">
        <f t="array" aca="1" ref="G20" ca="1">IFERROR(_FV(RTData[[#This Row],[Company Name]],"Open"),RTData[[#This Row],[Close]])</f>
        <v>12.83</v>
      </c>
      <c r="H20" s="18" cm="1">
        <f t="array" aca="1" ref="H20" ca="1">_FV(RTData[[#This Row],[Company Name]],"Price")</f>
        <v>12.795</v>
      </c>
      <c r="I20" s="18" cm="1">
        <f t="array" aca="1" ref="I20" ca="1">IFERROR(_FV(RTData[[#This Row],[Company Name]],"Low"),0)</f>
        <v>12.71</v>
      </c>
      <c r="J20" s="18" cm="1">
        <f t="array" aca="1" ref="J20" ca="1">IFERROR(_FV(RTData[[#This Row],[Company Name]],"High"),0)</f>
        <v>12.88</v>
      </c>
      <c r="K20" s="19" cm="1">
        <f t="array" aca="1" ref="K20" ca="1">IFERROR(_FV(RTData[[#This Row],[Company Name]],"P/E",TRUE),99)</f>
        <v>6.2476000000000003</v>
      </c>
      <c r="L20" s="20" cm="1">
        <f t="array" aca="1" ref="L20" ca="1">_FV(RTData[[#This Row],[Company Name]],"Change")</f>
        <v>-0.115</v>
      </c>
      <c r="M20" s="21" cm="1">
        <f t="array" aca="1" ref="M20" ca="1">_FV(RTData[[#This Row],[Company Name]],"Change (%)",TRUE)</f>
        <v>-8.908000000000001E-3</v>
      </c>
      <c r="N20" s="18" cm="1">
        <f t="array" aca="1" ref="N20" ca="1">_FV(RTData[[#This Row],[Company Name]],"52 week low",TRUE)</f>
        <v>12.24</v>
      </c>
      <c r="O20" s="18" cm="1">
        <f t="array" aca="1" ref="O20" ca="1">_FV(RTData[[#This Row],[Company Name]],"52 week high",TRUE)</f>
        <v>23.75</v>
      </c>
      <c r="P20" s="22" cm="1">
        <f t="array" aca="1" ref="P20" ca="1">_FV(RTData[[#This Row],[Company Name]],"Volume")</f>
        <v>373682</v>
      </c>
      <c r="Q20" s="22" cm="1">
        <f t="array" aca="1" ref="Q20" ca="1">_FV(RTData[[#This Row],[Company Name]],"Volume average",TRUE)</f>
        <v>2027134</v>
      </c>
      <c r="R20" s="18" cm="1">
        <f t="array" aca="1" ref="R20" ca="1">_FV(RTData[[#This Row],[Company Name]],"Beta")</f>
        <v>1.1008</v>
      </c>
      <c r="T20" t="s">
        <v>19</v>
      </c>
      <c r="U20" t="str" cm="1">
        <f t="array" aca="1" ref="U20" ca="1">_FV(RTData[[#This Row],[Company Name]],"Exchange abbreviation",TRUE)</f>
        <v>XNYS</v>
      </c>
      <c r="V20" s="23">
        <f ca="1">IFERROR(RTData[[#This Row],[Volume]]/RTData[[#This Row],[Volume average]],1)</f>
        <v>0.1843400584273166</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0.86229197206174013</v>
      </c>
      <c r="C21" t="e" vm="19">
        <v>#VALUE!</v>
      </c>
      <c r="D21" s="113" t="str" cm="1">
        <f t="array" aca="1" ref="D21" ca="1">_FV(RTData[[#This Row],[Company Name]],"Currency")</f>
        <v>EUR</v>
      </c>
      <c r="E21" s="17" cm="1">
        <f t="array" aca="1" ref="E21" ca="1">_FV(RTData[[#This Row],[Company Name]],"Last trade time",TRUE)</f>
        <v>45978.684027777781</v>
      </c>
      <c r="F21" s="18" cm="1">
        <f t="array" aca="1" ref="F21" ca="1">_FV(RTData[[#This Row],[Company Name]],"Previous close",TRUE)</f>
        <v>15.244999999999999</v>
      </c>
      <c r="G21" s="18" cm="1">
        <f t="array" aca="1" ref="G21" ca="1">IFERROR(_FV(RTData[[#This Row],[Company Name]],"Open"),RTData[[#This Row],[Close]])</f>
        <v>15.195</v>
      </c>
      <c r="H21" s="18" cm="1">
        <f t="array" aca="1" ref="H21" ca="1">_FV(RTData[[#This Row],[Company Name]],"Price")</f>
        <v>15.234999999999999</v>
      </c>
      <c r="I21" s="18" cm="1">
        <f t="array" aca="1" ref="I21" ca="1">IFERROR(_FV(RTData[[#This Row],[Company Name]],"Low"),0)</f>
        <v>15.19</v>
      </c>
      <c r="J21" s="18" cm="1">
        <f t="array" aca="1" ref="J21" ca="1">IFERROR(_FV(RTData[[#This Row],[Company Name]],"High"),0)</f>
        <v>15.234999999999999</v>
      </c>
      <c r="K21" s="19" cm="1">
        <f t="array" aca="1" ref="K21" ca="1">IFERROR(_FV(RTData[[#This Row],[Company Name]],"P/E",TRUE),99)</f>
        <v>13.2478</v>
      </c>
      <c r="L21" s="20" cm="1">
        <f t="array" aca="1" ref="L21" ca="1">_FV(RTData[[#This Row],[Company Name]],"Change")</f>
        <v>-0.01</v>
      </c>
      <c r="M21" s="21" cm="1">
        <f t="array" aca="1" ref="M21" ca="1">_FV(RTData[[#This Row],[Company Name]],"Change (%)",TRUE)</f>
        <v>-6.5600000000000001E-4</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14996</v>
      </c>
      <c r="Q21" s="22" cm="1">
        <f t="array" aca="1" ref="Q21" ca="1">_FV(RTData[[#This Row],[Company Name]],"Volume average",TRUE)</f>
        <v>4554990</v>
      </c>
      <c r="R21" s="18" cm="1">
        <f t="array" aca="1" ref="R21" ca="1">_FV(RTData[[#This Row],[Company Name]],"Beta")</f>
        <v>0.85699999999999998</v>
      </c>
      <c r="T21" t="s">
        <v>19</v>
      </c>
      <c r="U21" t="str" cm="1">
        <f t="array" aca="1" ref="U21" ca="1">_FV(RTData[[#This Row],[Company Name]],"Exchange abbreviation",TRUE)</f>
        <v>XFRA</v>
      </c>
      <c r="V21" s="117">
        <f ca="1">IFERROR(RTData[[#This Row],[Volume]]/RTData[[#This Row],[Volume average]],1)</f>
        <v>3.2922135943218318E-3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0.86229197206174013</v>
      </c>
      <c r="C23" t="e" vm="21">
        <v>#VALUE!</v>
      </c>
      <c r="D23" s="113" t="str" cm="1">
        <f t="array" aca="1" ref="D23" ca="1">_FV(RTData[[#This Row],[Company Name]],"Currency")</f>
        <v>USD</v>
      </c>
      <c r="E23" s="17" cm="1">
        <f t="array" aca="1" ref="E23" ca="1">_FV(RTData[[#This Row],[Company Name]],"Last trade time",TRUE)</f>
        <v>45978.694893159372</v>
      </c>
      <c r="F23" s="18" cm="1">
        <f t="array" aca="1" ref="F23" ca="1">_FV(RTData[[#This Row],[Company Name]],"Previous close",TRUE)</f>
        <v>70.52</v>
      </c>
      <c r="G23" s="18" cm="1">
        <f t="array" aca="1" ref="G23" ca="1">IFERROR(_FV(RTData[[#This Row],[Company Name]],"Open"),RTData[[#This Row],[Close]])</f>
        <v>70.314999999999998</v>
      </c>
      <c r="H23" s="18" cm="1">
        <f t="array" aca="1" ref="H23" ca="1">_FV(RTData[[#This Row],[Company Name]],"Price")</f>
        <v>69.48</v>
      </c>
      <c r="I23" s="18" cm="1">
        <f t="array" aca="1" ref="I23" ca="1">IFERROR(_FV(RTData[[#This Row],[Company Name]],"Low"),0)</f>
        <v>69.015000000000001</v>
      </c>
      <c r="J23" s="18" cm="1">
        <f t="array" aca="1" ref="J23" ca="1">IFERROR(_FV(RTData[[#This Row],[Company Name]],"High"),0)</f>
        <v>70.459999999999994</v>
      </c>
      <c r="K23" s="19" cm="1">
        <f t="array" aca="1" ref="K23" ca="1">IFERROR(_FV(RTData[[#This Row],[Company Name]],"P/E",TRUE),99)</f>
        <v>13.3636</v>
      </c>
      <c r="L23" s="20" cm="1">
        <f t="array" aca="1" ref="L23" ca="1">_FV(RTData[[#This Row],[Company Name]],"Change")</f>
        <v>-1.04</v>
      </c>
      <c r="M23" s="21" cm="1">
        <f t="array" aca="1" ref="M23" ca="1">_FV(RTData[[#This Row],[Company Name]],"Change (%)",TRUE)</f>
        <v>-1.4748000000000001E-2</v>
      </c>
      <c r="N23" s="18" cm="1">
        <f t="array" aca="1" ref="N23" ca="1">_FV(RTData[[#This Row],[Company Name]],"52 week low",TRUE)</f>
        <v>41.6</v>
      </c>
      <c r="O23" s="18" cm="1">
        <f t="array" aca="1" ref="O23" ca="1">_FV(RTData[[#This Row],[Company Name]],"52 week high",TRUE)</f>
        <v>72.87</v>
      </c>
      <c r="P23" s="22" cm="1">
        <f t="array" aca="1" ref="P23" ca="1">_FV(RTData[[#This Row],[Company Name]],"Volume")</f>
        <v>1783236</v>
      </c>
      <c r="Q23" s="22" cm="1">
        <f t="array" aca="1" ref="Q23" ca="1">_FV(RTData[[#This Row],[Company Name]],"Volume average",TRUE)</f>
        <v>10476882</v>
      </c>
      <c r="R23" s="18" cm="1">
        <f t="array" aca="1" ref="R23" ca="1">_FV(RTData[[#This Row],[Company Name]],"Beta")</f>
        <v>1.3005</v>
      </c>
      <c r="T23" t="s">
        <v>19</v>
      </c>
      <c r="U23" t="str" cm="1">
        <f t="array" aca="1" ref="U23" ca="1">_FV(RTData[[#This Row],[Company Name]],"Exchange abbreviation",TRUE)</f>
        <v>XNYS</v>
      </c>
      <c r="V23" s="23">
        <f ca="1">IFERROR(RTData[[#This Row],[Volume]]/RTData[[#This Row],[Volume average]],1)</f>
        <v>0.17020674662557048</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0.86229197206174013</v>
      </c>
      <c r="C24" t="e" vm="22">
        <v>#VALUE!</v>
      </c>
      <c r="D24" s="113" t="str" cm="1">
        <f t="array" aca="1" ref="D24" ca="1">_FV(RTData[[#This Row],[Company Name]],"Currency")</f>
        <v>USD</v>
      </c>
      <c r="E24" s="17" cm="1">
        <f t="array" aca="1" ref="E24" ca="1">_FV(RTData[[#This Row],[Company Name]],"Last trade time",TRUE)</f>
        <v>45978.694943020309</v>
      </c>
      <c r="F24" s="18" cm="1">
        <f t="array" aca="1" ref="F24" ca="1">_FV(RTData[[#This Row],[Company Name]],"Previous close",TRUE)</f>
        <v>22.83</v>
      </c>
      <c r="G24" s="18" cm="1">
        <f t="array" aca="1" ref="G24" ca="1">IFERROR(_FV(RTData[[#This Row],[Company Name]],"Open"),RTData[[#This Row],[Close]])</f>
        <v>21.94</v>
      </c>
      <c r="H24" s="18" cm="1">
        <f t="array" aca="1" ref="H24" ca="1">_FV(RTData[[#This Row],[Company Name]],"Price")</f>
        <v>21.364999999999998</v>
      </c>
      <c r="I24" s="18" cm="1">
        <f t="array" aca="1" ref="I24" ca="1">IFERROR(_FV(RTData[[#This Row],[Company Name]],"Low"),0)</f>
        <v>21.18</v>
      </c>
      <c r="J24" s="18" cm="1">
        <f t="array" aca="1" ref="J24" ca="1">IFERROR(_FV(RTData[[#This Row],[Company Name]],"High"),0)</f>
        <v>22.19</v>
      </c>
      <c r="K24" s="19" cm="1">
        <f t="array" aca="1" ref="K24" ca="1">IFERROR(_FV(RTData[[#This Row],[Company Name]],"P/E",TRUE),99)</f>
        <v>25.6267</v>
      </c>
      <c r="L24" s="20" cm="1">
        <f t="array" aca="1" ref="L24" ca="1">_FV(RTData[[#This Row],[Company Name]],"Change")</f>
        <v>-1.4650000000000001</v>
      </c>
      <c r="M24" s="21" cm="1">
        <f t="array" aca="1" ref="M24" ca="1">_FV(RTData[[#This Row],[Company Name]],"Change (%)",TRUE)</f>
        <v>-6.4170000000000005E-2</v>
      </c>
      <c r="N24" s="18" cm="1">
        <f t="array" aca="1" ref="N24" ca="1">_FV(RTData[[#This Row],[Company Name]],"52 week low",TRUE)</f>
        <v>11.965</v>
      </c>
      <c r="O24" s="18" cm="1">
        <f t="array" aca="1" ref="O24" ca="1">_FV(RTData[[#This Row],[Company Name]],"52 week high",TRUE)</f>
        <v>26.44</v>
      </c>
      <c r="P24" s="22" cm="1">
        <f t="array" aca="1" ref="P24" ca="1">_FV(RTData[[#This Row],[Company Name]],"Volume")</f>
        <v>14415568</v>
      </c>
      <c r="Q24" s="22" cm="1">
        <f t="array" aca="1" ref="Q24" ca="1">_FV(RTData[[#This Row],[Company Name]],"Volume average",TRUE)</f>
        <v>39899119</v>
      </c>
      <c r="R24" s="18" cm="1">
        <f t="array" aca="1" ref="R24" ca="1">_FV(RTData[[#This Row],[Company Name]],"Beta")</f>
        <v>1.3492</v>
      </c>
      <c r="T24" t="s">
        <v>19</v>
      </c>
      <c r="U24" t="str" cm="1">
        <f t="array" aca="1" ref="U24" ca="1">_FV(RTData[[#This Row],[Company Name]],"Exchange abbreviation",TRUE)</f>
        <v>XNYS</v>
      </c>
      <c r="V24" s="23">
        <f ca="1">IFERROR(RTData[[#This Row],[Volume]]/RTData[[#This Row],[Volume average]],1)</f>
        <v>0.36130040866315871</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0.86229197206174013</v>
      </c>
      <c r="C25" t="e" vm="23">
        <v>#VALUE!</v>
      </c>
      <c r="D25" s="113" t="str" cm="1">
        <f t="array" aca="1" ref="D25" ca="1">_FV(RTData[[#This Row],[Company Name]],"Currency")</f>
        <v>USD</v>
      </c>
      <c r="E25" s="17" cm="1">
        <f t="array" aca="1" ref="E25" ca="1">_FV(RTData[[#This Row],[Company Name]],"Last trade time",TRUE)</f>
        <v>45978.694882245312</v>
      </c>
      <c r="F25" s="18" cm="1">
        <f t="array" aca="1" ref="F25" ca="1">_FV(RTData[[#This Row],[Company Name]],"Previous close",TRUE)</f>
        <v>24.53</v>
      </c>
      <c r="G25" s="18" cm="1">
        <f t="array" aca="1" ref="G25" ca="1">IFERROR(_FV(RTData[[#This Row],[Company Name]],"Open"),RTData[[#This Row],[Close]])</f>
        <v>23.45</v>
      </c>
      <c r="H25" s="18" cm="1">
        <f t="array" aca="1" ref="H25" ca="1">_FV(RTData[[#This Row],[Company Name]],"Price")</f>
        <v>23.614999999999998</v>
      </c>
      <c r="I25" s="18" cm="1">
        <f t="array" aca="1" ref="I25" ca="1">IFERROR(_FV(RTData[[#This Row],[Company Name]],"Low"),0)</f>
        <v>23.37</v>
      </c>
      <c r="J25" s="18" cm="1">
        <f t="array" aca="1" ref="J25" ca="1">IFERROR(_FV(RTData[[#This Row],[Company Name]],"High"),0)</f>
        <v>23.99</v>
      </c>
      <c r="K25" s="19" cm="1">
        <f t="array" aca="1" ref="K25" ca="1">IFERROR(_FV(RTData[[#This Row],[Company Name]],"P/E",TRUE),99)</f>
        <v>8.6026000000000007</v>
      </c>
      <c r="L25" s="20" cm="1">
        <f t="array" aca="1" ref="L25" ca="1">_FV(RTData[[#This Row],[Company Name]],"Change")</f>
        <v>-0.91500000000000004</v>
      </c>
      <c r="M25" s="21" cm="1">
        <f t="array" aca="1" ref="M25" ca="1">_FV(RTData[[#This Row],[Company Name]],"Change (%)",TRUE)</f>
        <v>-3.7301000000000001E-2</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6879912</v>
      </c>
      <c r="Q25" s="22" cm="1">
        <f t="array" aca="1" ref="Q25" ca="1">_FV(RTData[[#This Row],[Company Name]],"Volume average",TRUE)</f>
        <v>11993628</v>
      </c>
      <c r="R25" s="18" cm="1">
        <f t="array" aca="1" ref="R25" ca="1">_FV(RTData[[#This Row],[Company Name]],"Beta")</f>
        <v>1.2413000000000001</v>
      </c>
      <c r="T25" t="s">
        <v>19</v>
      </c>
      <c r="U25" t="str" cm="1">
        <f t="array" aca="1" ref="U25" ca="1">_FV(RTData[[#This Row],[Company Name]],"Exchange abbreviation",TRUE)</f>
        <v>XNYS</v>
      </c>
      <c r="V25" s="23">
        <f ca="1">IFERROR(RTData[[#This Row],[Volume]]/RTData[[#This Row],[Volume average]],1)</f>
        <v>0.57363059784745696</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0.86229197206174013</v>
      </c>
      <c r="C26" t="e" vm="24">
        <v>#VALUE!</v>
      </c>
      <c r="D26" s="113" t="str" cm="1">
        <f t="array" aca="1" ref="D26" ca="1">_FV(RTData[[#This Row],[Company Name]],"Currency")</f>
        <v>GBp</v>
      </c>
      <c r="E26" s="17" cm="1">
        <f t="array" aca="1" ref="E26" ca="1">_FV(RTData[[#This Row],[Company Name]],"Last trade time",TRUE)</f>
        <v>45978.684237685156</v>
      </c>
      <c r="F26" s="18" cm="1">
        <f t="array" aca="1" ref="F26" ca="1">_FV(RTData[[#This Row],[Company Name]],"Previous close",TRUE)</f>
        <v>387.5</v>
      </c>
      <c r="G26" s="18" cm="1">
        <f t="array" aca="1" ref="G26" ca="1">IFERROR(_FV(RTData[[#This Row],[Company Name]],"Open"),RTData[[#This Row],[Close]])</f>
        <v>388.5</v>
      </c>
      <c r="H26" s="18" cm="1">
        <f t="array" aca="1" ref="H26" ca="1">_FV(RTData[[#This Row],[Company Name]],"Price")</f>
        <v>380.3</v>
      </c>
      <c r="I26" s="18" cm="1">
        <f t="array" aca="1" ref="I26" ca="1">IFERROR(_FV(RTData[[#This Row],[Company Name]],"Low"),0)</f>
        <v>378.6</v>
      </c>
      <c r="J26" s="18" cm="1">
        <f t="array" aca="1" ref="J26" ca="1">IFERROR(_FV(RTData[[#This Row],[Company Name]],"High"),0)</f>
        <v>389.3</v>
      </c>
      <c r="K26" s="19" cm="1">
        <f t="array" aca="1" ref="K26" ca="1">IFERROR(_FV(RTData[[#This Row],[Company Name]],"P/E",TRUE),99)</f>
        <v>6.851</v>
      </c>
      <c r="L26" s="20" cm="1">
        <f t="array" aca="1" ref="L26" ca="1">_FV(RTData[[#This Row],[Company Name]],"Change")</f>
        <v>-7.2</v>
      </c>
      <c r="M26" s="21" cm="1">
        <f t="array" aca="1" ref="M26" ca="1">_FV(RTData[[#This Row],[Company Name]],"Change (%)",TRUE)</f>
        <v>-1.8581E-2</v>
      </c>
      <c r="N26" s="18" cm="1">
        <f t="array" aca="1" ref="N26" ca="1">_FV(RTData[[#This Row],[Company Name]],"52 week low",TRUE)</f>
        <v>210</v>
      </c>
      <c r="O26" s="18" cm="1">
        <f t="array" aca="1" ref="O26" ca="1">_FV(RTData[[#This Row],[Company Name]],"52 week high",TRUE)</f>
        <v>429.3</v>
      </c>
      <c r="P26" s="22" cm="1">
        <f t="array" aca="1" ref="P26" ca="1">_FV(RTData[[#This Row],[Company Name]],"Volume")</f>
        <v>16258648</v>
      </c>
      <c r="Q26" s="22" cm="1">
        <f t="array" aca="1" ref="Q26" ca="1">_FV(RTData[[#This Row],[Company Name]],"Volume average",TRUE)</f>
        <v>19170400</v>
      </c>
      <c r="R26" s="18" cm="1">
        <f t="array" aca="1" ref="R26" ca="1">_FV(RTData[[#This Row],[Company Name]],"Beta")</f>
        <v>2.3138000000000001</v>
      </c>
      <c r="T26" t="s">
        <v>19</v>
      </c>
      <c r="U26" t="str" cm="1">
        <f t="array" aca="1" ref="U26" ca="1">_FV(RTData[[#This Row],[Company Name]],"Exchange abbreviation",TRUE)</f>
        <v>XLON</v>
      </c>
      <c r="V26" s="23">
        <f ca="1">IFERROR(RTData[[#This Row],[Volume]]/RTData[[#This Row],[Volume average]],1)</f>
        <v>0.84811208947126826</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1.1363636363636364E-2</v>
      </c>
      <c r="C27" t="e" vm="25">
        <v>#VALUE!</v>
      </c>
      <c r="D27" s="113" t="str" cm="1">
        <f t="array" aca="1" ref="D27" ca="1">_FV(RTData[[#This Row],[Company Name]],"Currency")</f>
        <v>USD</v>
      </c>
      <c r="E27" s="17" cm="1">
        <f t="array" aca="1" ref="E27" ca="1">_FV(RTData[[#This Row],[Company Name]],"Last trade time",TRUE)</f>
        <v>45978.694875948437</v>
      </c>
      <c r="F27" s="25" cm="1">
        <f t="array" aca="1" ref="F27" ca="1">_FV(RTData[[#This Row],[Company Name]],"Previous close",TRUE)</f>
        <v>66.709999999999994</v>
      </c>
      <c r="G27" s="25" cm="1">
        <f t="array" aca="1" ref="G27" ca="1">IFERROR(_FV(RTData[[#This Row],[Company Name]],"Open"),RTData[[#This Row],[Close]])</f>
        <v>66.754999999999995</v>
      </c>
      <c r="H27" s="25" cm="1">
        <f t="array" aca="1" ref="H27" ca="1">_FV(RTData[[#This Row],[Company Name]],"Price")</f>
        <v>65.94</v>
      </c>
      <c r="I27" s="25" cm="1">
        <f t="array" aca="1" ref="I27" ca="1">IFERROR(_FV(RTData[[#This Row],[Company Name]],"Low"),0)</f>
        <v>65.930000000000007</v>
      </c>
      <c r="J27" s="25" cm="1">
        <f t="array" aca="1" ref="J27" ca="1">IFERROR(_FV(RTData[[#This Row],[Company Name]],"High"),0)</f>
        <v>66.8</v>
      </c>
      <c r="K27" s="19" cm="1">
        <f t="array" aca="1" ref="K27" ca="1">IFERROR(_FV(RTData[[#This Row],[Company Name]],"P/E",TRUE),99)</f>
        <v>16.705500000000001</v>
      </c>
      <c r="L27" s="20" cm="1">
        <f t="array" aca="1" ref="L27" ca="1">_FV(RTData[[#This Row],[Company Name]],"Change")</f>
        <v>-0.77</v>
      </c>
      <c r="M27" s="21" cm="1">
        <f t="array" aca="1" ref="M27" ca="1">_FV(RTData[[#This Row],[Company Name]],"Change (%)",TRUE)</f>
        <v>-1.1541999999999998E-2</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1114372</v>
      </c>
      <c r="Q27" s="22" cm="1">
        <f t="array" aca="1" ref="Q27" ca="1">_FV(RTData[[#This Row],[Company Name]],"Volume average",TRUE)</f>
        <v>5977826</v>
      </c>
      <c r="R27" s="18" cm="1">
        <f t="array" aca="1" ref="R27" ca="1">_FV(RTData[[#This Row],[Company Name]],"Beta")</f>
        <v>0.56940000000000002</v>
      </c>
      <c r="T27" t="s">
        <v>19</v>
      </c>
      <c r="U27" t="str" cm="1">
        <f t="array" aca="1" ref="U27" ca="1">_FV(RTData[[#This Row],[Company Name]],"Exchange abbreviation",TRUE)</f>
        <v>XNYS</v>
      </c>
      <c r="V27" s="23">
        <f ca="1">IFERROR(RTData[[#This Row],[Volume]]/RTData[[#This Row],[Volume average]],1)</f>
        <v>0.18641760399181909</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0.86229197206174013</v>
      </c>
      <c r="C28" t="e" vm="26">
        <v>#VALUE!</v>
      </c>
      <c r="D28" s="113" t="str" cm="1">
        <f t="array" aca="1" ref="D28" ca="1">_FV(RTData[[#This Row],[Company Name]],"Currency")</f>
        <v>USD</v>
      </c>
      <c r="E28" s="17" cm="1">
        <f t="array" aca="1" ref="E28" ca="1">_FV(RTData[[#This Row],[Company Name]],"Last trade time",TRUE)</f>
        <v>45978.690619490626</v>
      </c>
      <c r="F28" s="18" cm="1">
        <f t="array" aca="1" ref="F28" ca="1">_FV(RTData[[#This Row],[Company Name]],"Previous close",TRUE)</f>
        <v>10.11</v>
      </c>
      <c r="G28" s="18" cm="1">
        <f t="array" aca="1" ref="G28" ca="1">IFERROR(_FV(RTData[[#This Row],[Company Name]],"Open"),RTData[[#This Row],[Close]])</f>
        <v>10.07</v>
      </c>
      <c r="H28" s="18" cm="1">
        <f t="array" aca="1" ref="H28" ca="1">_FV(RTData[[#This Row],[Company Name]],"Price")</f>
        <v>9.98</v>
      </c>
      <c r="I28" s="18" cm="1">
        <f t="array" aca="1" ref="I28" ca="1">IFERROR(_FV(RTData[[#This Row],[Company Name]],"Low"),0)</f>
        <v>9.9</v>
      </c>
      <c r="J28" s="18" cm="1">
        <f t="array" aca="1" ref="J28" ca="1">IFERROR(_FV(RTData[[#This Row],[Company Name]],"High"),0)</f>
        <v>10.3</v>
      </c>
      <c r="K28" s="19" cm="1">
        <f t="array" aca="1" ref="K28" ca="1">IFERROR(_FV(RTData[[#This Row],[Company Name]],"P/E",TRUE),99)</f>
        <v>0</v>
      </c>
      <c r="L28" s="20" cm="1">
        <f t="array" aca="1" ref="L28" ca="1">_FV(RTData[[#This Row],[Company Name]],"Change")</f>
        <v>-0.13</v>
      </c>
      <c r="M28" s="21" cm="1">
        <f t="array" aca="1" ref="M28" ca="1">_FV(RTData[[#This Row],[Company Name]],"Change (%)",TRUE)</f>
        <v>-1.2859000000000001E-2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26687</v>
      </c>
      <c r="Q28" s="22" cm="1">
        <f t="array" aca="1" ref="Q28" ca="1">_FV(RTData[[#This Row],[Company Name]],"Volume average",TRUE)</f>
        <v>67390</v>
      </c>
      <c r="R28" s="18" cm="1">
        <f t="array" aca="1" ref="R28" ca="1">_FV(RTData[[#This Row],[Company Name]],"Beta")</f>
        <v>0.68899999999999995</v>
      </c>
      <c r="T28" t="s">
        <v>19</v>
      </c>
      <c r="U28" t="str" cm="1">
        <f t="array" aca="1" ref="U28" ca="1">_FV(RTData[[#This Row],[Company Name]],"Exchange abbreviation",TRUE)</f>
        <v>XNAS</v>
      </c>
      <c r="V28" s="23">
        <f ca="1">IFERROR(RTData[[#This Row],[Volume]]/RTData[[#This Row],[Volume average]],1)</f>
        <v>0.39600830983825491</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0.86229197206174013</v>
      </c>
      <c r="C29" t="e" vm="27">
        <v>#VALUE!</v>
      </c>
      <c r="D29" s="113" t="str" cm="1">
        <f t="array" aca="1" ref="D29" ca="1">_FV(RTData[[#This Row],[Company Name]],"Currency")</f>
        <v>USD</v>
      </c>
      <c r="E29" s="17" cm="1">
        <f t="array" aca="1" ref="E29" ca="1">_FV(RTData[[#This Row],[Company Name]],"Last trade time",TRUE)</f>
        <v>45978.694932210157</v>
      </c>
      <c r="F29" s="18" cm="1">
        <f t="array" aca="1" ref="F29" ca="1">_FV(RTData[[#This Row],[Company Name]],"Previous close",TRUE)</f>
        <v>7.99</v>
      </c>
      <c r="G29" s="18" cm="1">
        <f t="array" aca="1" ref="G29" ca="1">IFERROR(_FV(RTData[[#This Row],[Company Name]],"Open"),RTData[[#This Row],[Close]])</f>
        <v>7.98</v>
      </c>
      <c r="H29" s="18" cm="1">
        <f t="array" aca="1" ref="H29" ca="1">_FV(RTData[[#This Row],[Company Name]],"Price")</f>
        <v>8.15</v>
      </c>
      <c r="I29" s="18" cm="1">
        <f t="array" aca="1" ref="I29" ca="1">IFERROR(_FV(RTData[[#This Row],[Company Name]],"Low"),0)</f>
        <v>7.98</v>
      </c>
      <c r="J29" s="18" cm="1">
        <f t="array" aca="1" ref="J29" ca="1">IFERROR(_FV(RTData[[#This Row],[Company Name]],"High"),0)</f>
        <v>8.39</v>
      </c>
      <c r="K29" s="19" cm="1">
        <f t="array" ref="K29">IFERROR(_FV(RTData[[#This Row],[Company Name]],"P/E",TRUE),99)</f>
        <v>99</v>
      </c>
      <c r="L29" s="20" cm="1">
        <f t="array" aca="1" ref="L29" ca="1">_FV(RTData[[#This Row],[Company Name]],"Change")</f>
        <v>0.16</v>
      </c>
      <c r="M29" s="21" cm="1">
        <f t="array" aca="1" ref="M29" ca="1">_FV(RTData[[#This Row],[Company Name]],"Change (%)",TRUE)</f>
        <v>2.0025000000000001E-2</v>
      </c>
      <c r="N29" s="18" cm="1">
        <f t="array" aca="1" ref="N29" ca="1">_FV(RTData[[#This Row],[Company Name]],"52 week low",TRUE)</f>
        <v>3.01</v>
      </c>
      <c r="O29" s="18" cm="1">
        <f t="array" aca="1" ref="O29" ca="1">_FV(RTData[[#This Row],[Company Name]],"52 week high",TRUE)</f>
        <v>11.95</v>
      </c>
      <c r="P29" s="22" cm="1">
        <f t="array" aca="1" ref="P29" ca="1">_FV(RTData[[#This Row],[Company Name]],"Volume")</f>
        <v>4205856</v>
      </c>
      <c r="Q29" s="22" cm="1">
        <f t="array" aca="1" ref="Q29" ca="1">_FV(RTData[[#This Row],[Company Name]],"Volume average",TRUE)</f>
        <v>24469319</v>
      </c>
      <c r="R29" s="18" cm="1">
        <f t="array" aca="1" ref="R29" ca="1">_FV(RTData[[#This Row],[Company Name]],"Beta")</f>
        <v>1.4663999999999999</v>
      </c>
      <c r="T29" t="s">
        <v>19</v>
      </c>
      <c r="U29" t="str" cm="1">
        <f t="array" aca="1" ref="U29" ca="1">_FV(RTData[[#This Row],[Company Name]],"Exchange abbreviation",TRUE)</f>
        <v>XNYS</v>
      </c>
      <c r="V29" s="23">
        <f ca="1">IFERROR(RTData[[#This Row],[Volume]]/RTData[[#This Row],[Volume average]],1)</f>
        <v>0.17188283825961809</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0.86229197206174013</v>
      </c>
      <c r="C30" t="e" vm="28">
        <v>#VALUE!</v>
      </c>
      <c r="D30" s="113" t="str" cm="1">
        <f t="array" aca="1" ref="D30" ca="1">_FV(RTData[[#This Row],[Company Name]],"Currency")</f>
        <v>USD</v>
      </c>
      <c r="E30" s="17" cm="1">
        <f t="array" aca="1" ref="E30" ca="1">_FV(RTData[[#This Row],[Company Name]],"Last trade time",TRUE)</f>
        <v>45978.69486658516</v>
      </c>
      <c r="F30" s="18" cm="1">
        <f t="array" aca="1" ref="F30" ca="1">_FV(RTData[[#This Row],[Company Name]],"Previous close",TRUE)</f>
        <v>24.77</v>
      </c>
      <c r="G30" s="18" cm="1">
        <f t="array" aca="1" ref="G30" ca="1">IFERROR(_FV(RTData[[#This Row],[Company Name]],"Open"),RTData[[#This Row],[Close]])</f>
        <v>24.33</v>
      </c>
      <c r="H30" s="18" cm="1">
        <f t="array" aca="1" ref="H30" ca="1">_FV(RTData[[#This Row],[Company Name]],"Price")</f>
        <v>24.88</v>
      </c>
      <c r="I30" s="18" cm="1">
        <f t="array" aca="1" ref="I30" ca="1">IFERROR(_FV(RTData[[#This Row],[Company Name]],"Low"),0)</f>
        <v>24.27</v>
      </c>
      <c r="J30" s="18" cm="1">
        <f t="array" aca="1" ref="J30" ca="1">IFERROR(_FV(RTData[[#This Row],[Company Name]],"High"),0)</f>
        <v>24.91</v>
      </c>
      <c r="K30" s="19" cm="1">
        <f t="array" aca="1" ref="K30" ca="1">IFERROR(_FV(RTData[[#This Row],[Company Name]],"P/E",TRUE),99)</f>
        <v>0</v>
      </c>
      <c r="L30" s="20" cm="1">
        <f t="array" aca="1" ref="L30" ca="1">_FV(RTData[[#This Row],[Company Name]],"Change")</f>
        <v>0.11</v>
      </c>
      <c r="M30" s="21" cm="1">
        <f t="array" aca="1" ref="M30" ca="1">_FV(RTData[[#This Row],[Company Name]],"Change (%)",TRUE)</f>
        <v>4.4409999999999996E-3</v>
      </c>
      <c r="N30" s="18" cm="1">
        <f t="array" aca="1" ref="N30" ca="1">_FV(RTData[[#This Row],[Company Name]],"52 week low",TRUE)</f>
        <v>23.04</v>
      </c>
      <c r="O30" s="18" cm="1">
        <f t="array" aca="1" ref="O30" ca="1">_FV(RTData[[#This Row],[Company Name]],"52 week high",TRUE)</f>
        <v>48.92</v>
      </c>
      <c r="P30" s="22" cm="1">
        <f t="array" aca="1" ref="P30" ca="1">_FV(RTData[[#This Row],[Company Name]],"Volume")</f>
        <v>2734249</v>
      </c>
      <c r="Q30" s="22" cm="1">
        <f t="array" aca="1" ref="Q30" ca="1">_FV(RTData[[#This Row],[Company Name]],"Volume average",TRUE)</f>
        <v>11510483</v>
      </c>
      <c r="R30" s="18" cm="1">
        <f t="array" aca="1" ref="R30" ca="1">_FV(RTData[[#This Row],[Company Name]],"Beta")</f>
        <v>1.1214999999999999</v>
      </c>
      <c r="T30" t="s">
        <v>19</v>
      </c>
      <c r="U30" t="str" cm="1">
        <f t="array" aca="1" ref="U30" ca="1">_FV(RTData[[#This Row],[Company Name]],"Exchange abbreviation",TRUE)</f>
        <v>XNAS</v>
      </c>
      <c r="V30" s="23">
        <f ca="1">IFERROR(RTData[[#This Row],[Volume]]/RTData[[#This Row],[Volume average]],1)</f>
        <v>0.23754424553687278</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0.86229197206174013</v>
      </c>
      <c r="C31" t="e" vm="29">
        <v>#VALUE!</v>
      </c>
      <c r="D31" s="113" t="str" cm="1">
        <f t="array" aca="1" ref="D31" ca="1">_FV(RTData[[#This Row],[Company Name]],"Currency")</f>
        <v>USD</v>
      </c>
      <c r="E31" s="17" cm="1">
        <f t="array" aca="1" ref="E31" ca="1">_FV(RTData[[#This Row],[Company Name]],"Last trade time",TRUE)</f>
        <v>45978.694888356251</v>
      </c>
      <c r="F31" s="18" cm="1">
        <f t="array" aca="1" ref="F31" ca="1">_FV(RTData[[#This Row],[Company Name]],"Previous close",TRUE)</f>
        <v>510.18</v>
      </c>
      <c r="G31" s="18" cm="1">
        <f t="array" aca="1" ref="G31" ca="1">IFERROR(_FV(RTData[[#This Row],[Company Name]],"Open"),RTData[[#This Row],[Close]])</f>
        <v>508</v>
      </c>
      <c r="H31" s="18" cm="1">
        <f t="array" aca="1" ref="H31" ca="1">_FV(RTData[[#This Row],[Company Name]],"Price")</f>
        <v>508.70359999999999</v>
      </c>
      <c r="I31" s="18" cm="1">
        <f t="array" aca="1" ref="I31" ca="1">IFERROR(_FV(RTData[[#This Row],[Company Name]],"Low"),0)</f>
        <v>505.6</v>
      </c>
      <c r="J31" s="18" cm="1">
        <f t="array" aca="1" ref="J31" ca="1">IFERROR(_FV(RTData[[#This Row],[Company Name]],"High"),0)</f>
        <v>512.12</v>
      </c>
      <c r="K31" s="19" cm="1">
        <f t="array" aca="1" ref="K31" ca="1">IFERROR(_FV(RTData[[#This Row],[Company Name]],"P/E",TRUE),99)</f>
        <v>36.192799999999998</v>
      </c>
      <c r="L31" s="20" cm="1">
        <f t="array" aca="1" ref="L31" ca="1">_FV(RTData[[#This Row],[Company Name]],"Change")</f>
        <v>-1.4763999999999999</v>
      </c>
      <c r="M31" s="21" cm="1">
        <f t="array" aca="1" ref="M31" ca="1">_FV(RTData[[#This Row],[Company Name]],"Change (%)",TRUE)</f>
        <v>-2.8939999999999999E-3</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5583299</v>
      </c>
      <c r="Q31" s="22" cm="1">
        <f t="array" aca="1" ref="Q31" ca="1">_FV(RTData[[#This Row],[Company Name]],"Volume average",TRUE)</f>
        <v>22394163</v>
      </c>
      <c r="R31" s="18" cm="1">
        <f t="array" aca="1" ref="R31" ca="1">_FV(RTData[[#This Row],[Company Name]],"Beta")</f>
        <v>1.0657000000000001</v>
      </c>
      <c r="T31" t="s">
        <v>19</v>
      </c>
      <c r="U31" t="str" cm="1">
        <f t="array" aca="1" ref="U31" ca="1">_FV(RTData[[#This Row],[Company Name]],"Exchange abbreviation",TRUE)</f>
        <v>XNAS</v>
      </c>
      <c r="V31" s="23">
        <f ca="1">IFERROR(RTData[[#This Row],[Volume]]/RTData[[#This Row],[Volume average]],1)</f>
        <v>0.24931938737786272</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0.86229197206174013</v>
      </c>
      <c r="C32" t="e" vm="30">
        <v>#VALUE!</v>
      </c>
      <c r="D32" s="113" t="str" cm="1">
        <f t="array" aca="1" ref="D32" ca="1">_FV(RTData[[#This Row],[Company Name]],"Currency")</f>
        <v>USD</v>
      </c>
      <c r="E32" s="17" cm="1">
        <f t="array" aca="1" ref="E32" ca="1">_FV(RTData[[#This Row],[Company Name]],"Last trade time",TRUE)</f>
        <v>45978.694886863283</v>
      </c>
      <c r="F32" s="18" cm="1">
        <f t="array" aca="1" ref="F32" ca="1">_FV(RTData[[#This Row],[Company Name]],"Previous close",TRUE)</f>
        <v>83.88</v>
      </c>
      <c r="G32" s="18" cm="1">
        <f t="array" aca="1" ref="G32" ca="1">IFERROR(_FV(RTData[[#This Row],[Company Name]],"Open"),RTData[[#This Row],[Close]])</f>
        <v>83.77</v>
      </c>
      <c r="H32" s="18" cm="1">
        <f t="array" aca="1" ref="H32" ca="1">_FV(RTData[[#This Row],[Company Name]],"Price")</f>
        <v>85.11</v>
      </c>
      <c r="I32" s="18" cm="1">
        <f t="array" aca="1" ref="I32" ca="1">IFERROR(_FV(RTData[[#This Row],[Company Name]],"Low"),0)</f>
        <v>83.745000000000005</v>
      </c>
      <c r="J32" s="18" cm="1">
        <f t="array" aca="1" ref="J32" ca="1">IFERROR(_FV(RTData[[#This Row],[Company Name]],"High"),0)</f>
        <v>85.3</v>
      </c>
      <c r="K32" s="19" cm="1">
        <f t="array" aca="1" ref="K32" ca="1">IFERROR(_FV(RTData[[#This Row],[Company Name]],"P/E",TRUE),99)</f>
        <v>27.031099999999999</v>
      </c>
      <c r="L32" s="20" cm="1">
        <f t="array" aca="1" ref="L32" ca="1">_FV(RTData[[#This Row],[Company Name]],"Change")</f>
        <v>1.23</v>
      </c>
      <c r="M32" s="21" cm="1">
        <f t="array" aca="1" ref="M32" ca="1">_FV(RTData[[#This Row],[Company Name]],"Change (%)",TRUE)</f>
        <v>1.4664E-2</v>
      </c>
      <c r="N32" s="18" cm="1">
        <f t="array" aca="1" ref="N32" ca="1">_FV(RTData[[#This Row],[Company Name]],"52 week low",TRUE)</f>
        <v>61.72</v>
      </c>
      <c r="O32" s="18" cm="1">
        <f t="array" aca="1" ref="O32" ca="1">_FV(RTData[[#This Row],[Company Name]],"52 week high",TRUE)</f>
        <v>87.53</v>
      </c>
      <c r="P32" s="22" cm="1">
        <f t="array" aca="1" ref="P32" ca="1">_FV(RTData[[#This Row],[Company Name]],"Volume")</f>
        <v>4606650</v>
      </c>
      <c r="Q32" s="22" cm="1">
        <f t="array" aca="1" ref="Q32" ca="1">_FV(RTData[[#This Row],[Company Name]],"Volume average",TRUE)</f>
        <v>9121315</v>
      </c>
      <c r="R32" s="18" cm="1">
        <f t="array" aca="1" ref="R32" ca="1">_FV(RTData[[#This Row],[Company Name]],"Beta")</f>
        <v>0.72699999999999998</v>
      </c>
      <c r="T32" t="s">
        <v>19</v>
      </c>
      <c r="U32" t="str" cm="1">
        <f t="array" aca="1" ref="U32" ca="1">_FV(RTData[[#This Row],[Company Name]],"Exchange abbreviation",TRUE)</f>
        <v>XNYS</v>
      </c>
      <c r="V32" s="23">
        <f ca="1">IFERROR(RTData[[#This Row],[Volume]]/RTData[[#This Row],[Volume average]],1)</f>
        <v>0.50504231023706558</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0.86229197206174013</v>
      </c>
      <c r="C33" t="e" vm="31">
        <v>#VALUE!</v>
      </c>
      <c r="D33" s="113" t="str" cm="1">
        <f t="array" aca="1" ref="D33" ca="1">_FV(RTData[[#This Row],[Company Name]],"Currency")</f>
        <v>USD</v>
      </c>
      <c r="E33" s="17" cm="1">
        <f t="array" aca="1" ref="E33" ca="1">_FV(RTData[[#This Row],[Company Name]],"Last trade time",TRUE)</f>
        <v>45978.694927835153</v>
      </c>
      <c r="F33" s="18" cm="1">
        <f t="array" aca="1" ref="F33" ca="1">_FV(RTData[[#This Row],[Company Name]],"Previous close",TRUE)</f>
        <v>87.8</v>
      </c>
      <c r="G33" s="18" cm="1">
        <f t="array" aca="1" ref="G33" ca="1">IFERROR(_FV(RTData[[#This Row],[Company Name]],"Open"),RTData[[#This Row],[Close]])</f>
        <v>87.42</v>
      </c>
      <c r="H33" s="18" cm="1">
        <f t="array" aca="1" ref="H33" ca="1">_FV(RTData[[#This Row],[Company Name]],"Price")</f>
        <v>88.33</v>
      </c>
      <c r="I33" s="18" cm="1">
        <f t="array" aca="1" ref="I33" ca="1">IFERROR(_FV(RTData[[#This Row],[Company Name]],"Low"),0)</f>
        <v>86.6</v>
      </c>
      <c r="J33" s="18" cm="1">
        <f t="array" aca="1" ref="J33" ca="1">IFERROR(_FV(RTData[[#This Row],[Company Name]],"High"),0)</f>
        <v>89.2</v>
      </c>
      <c r="K33" s="19" cm="1">
        <f t="array" aca="1" ref="K33" ca="1">IFERROR(_FV(RTData[[#This Row],[Company Name]],"P/E",TRUE),99)</f>
        <v>13.7265</v>
      </c>
      <c r="L33" s="20" cm="1">
        <f t="array" aca="1" ref="L33" ca="1">_FV(RTData[[#This Row],[Company Name]],"Change")</f>
        <v>0.53</v>
      </c>
      <c r="M33" s="21" cm="1">
        <f t="array" aca="1" ref="M33" ca="1">_FV(RTData[[#This Row],[Company Name]],"Change (%)",TRUE)</f>
        <v>6.0360000000000006E-3</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2200457</v>
      </c>
      <c r="Q33" s="22" cm="1">
        <f t="array" aca="1" ref="Q33" ca="1">_FV(RTData[[#This Row],[Company Name]],"Volume average",TRUE)</f>
        <v>12097134</v>
      </c>
      <c r="R33" s="18" cm="1">
        <f t="array" aca="1" ref="R33" ca="1">_FV(RTData[[#This Row],[Company Name]],"Beta")</f>
        <v>0.42070000000000002</v>
      </c>
      <c r="T33" t="s">
        <v>19</v>
      </c>
      <c r="U33" t="str" cm="1">
        <f t="array" aca="1" ref="U33" ca="1">_FV(RTData[[#This Row],[Company Name]],"Exchange abbreviation",TRUE)</f>
        <v>XNYS</v>
      </c>
      <c r="V33" s="23">
        <f ca="1">IFERROR(RTData[[#This Row],[Volume]]/RTData[[#This Row],[Volume average]],1)</f>
        <v>0.18189903492843842</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0.86229197206174013</v>
      </c>
      <c r="C34" t="e" vm="32">
        <v>#VALUE!</v>
      </c>
      <c r="D34" s="113" t="str" cm="1">
        <f t="array" aca="1" ref="D34" ca="1">_FV(RTData[[#This Row],[Company Name]],"Currency")</f>
        <v>USD</v>
      </c>
      <c r="E34" s="17" cm="1">
        <f t="array" aca="1" ref="E34" ca="1">_FV(RTData[[#This Row],[Company Name]],"Last trade time",TRUE)</f>
        <v>45978.694962001566</v>
      </c>
      <c r="F34" s="18" cm="1">
        <f t="array" aca="1" ref="F34" ca="1">_FV(RTData[[#This Row],[Company Name]],"Previous close",TRUE)</f>
        <v>111.217</v>
      </c>
      <c r="G34" s="18" cm="1">
        <f t="array" aca="1" ref="G34" ca="1">IFERROR(_FV(RTData[[#This Row],[Company Name]],"Open"),RTData[[#This Row],[Close]])</f>
        <v>110.77</v>
      </c>
      <c r="H34" s="18" cm="1">
        <f t="array" aca="1" ref="H34" ca="1">_FV(RTData[[#This Row],[Company Name]],"Price")</f>
        <v>110.85</v>
      </c>
      <c r="I34" s="18" cm="1">
        <f t="array" aca="1" ref="I34" ca="1">IFERROR(_FV(RTData[[#This Row],[Company Name]],"Low"),0)</f>
        <v>109.63</v>
      </c>
      <c r="J34" s="18" cm="1">
        <f t="array" aca="1" ref="J34" ca="1">IFERROR(_FV(RTData[[#This Row],[Company Name]],"High"),0)</f>
        <v>111.85</v>
      </c>
      <c r="K34" s="19" cm="1">
        <f t="array" aca="1" ref="K34" ca="1">IFERROR(_FV(RTData[[#This Row],[Company Name]],"P/E",TRUE),99)</f>
        <v>46.307499999999997</v>
      </c>
      <c r="L34" s="20" cm="1">
        <f t="array" aca="1" ref="L34" ca="1">_FV(RTData[[#This Row],[Company Name]],"Change")</f>
        <v>-0.36699999999999999</v>
      </c>
      <c r="M34" s="21" cm="1">
        <f t="array" aca="1" ref="M34" ca="1">_FV(RTData[[#This Row],[Company Name]],"Change (%)",TRUE)</f>
        <v>-3.3E-3</v>
      </c>
      <c r="N34" s="18" cm="1">
        <f t="array" aca="1" ref="N34" ca="1">_FV(RTData[[#This Row],[Company Name]],"52 week low",TRUE)</f>
        <v>80.933000000000007</v>
      </c>
      <c r="O34" s="18" cm="1">
        <f t="array" aca="1" ref="O34" ca="1">_FV(RTData[[#This Row],[Company Name]],"52 week high",TRUE)</f>
        <v>134.11500000000001</v>
      </c>
      <c r="P34" s="22" cm="1">
        <f t="array" aca="1" ref="P34" ca="1">_FV(RTData[[#This Row],[Company Name]],"Volume")</f>
        <v>11361238</v>
      </c>
      <c r="Q34" s="22" cm="1">
        <f t="array" aca="1" ref="Q34" ca="1">_FV(RTData[[#This Row],[Company Name]],"Volume average",TRUE)</f>
        <v>45790779</v>
      </c>
      <c r="R34" s="18" cm="1">
        <f t="array" aca="1" ref="R34" ca="1">_FV(RTData[[#This Row],[Company Name]],"Beta")</f>
        <v>1.6979</v>
      </c>
      <c r="T34" t="s">
        <v>19</v>
      </c>
      <c r="U34" t="str" cm="1">
        <f t="array" aca="1" ref="U34" ca="1">_FV(RTData[[#This Row],[Company Name]],"Exchange abbreviation",TRUE)</f>
        <v>XNAS</v>
      </c>
      <c r="V34" s="23">
        <f ca="1">IFERROR(RTData[[#This Row],[Volume]]/RTData[[#This Row],[Volume average]],1)</f>
        <v>0.24811191790382076</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0.86229197206174013</v>
      </c>
      <c r="C35" t="e" vm="33">
        <v>#VALUE!</v>
      </c>
      <c r="D35" s="113" t="str" cm="1">
        <f t="array" aca="1" ref="D35" ca="1">_FV(RTData[[#This Row],[Company Name]],"Currency")</f>
        <v>USD</v>
      </c>
      <c r="E35" s="17" cm="1">
        <f t="array" aca="1" ref="E35" ca="1">_FV(RTData[[#This Row],[Company Name]],"Last trade time",TRUE)</f>
        <v>45978.694318691407</v>
      </c>
      <c r="F35" s="18" cm="1">
        <f t="array" aca="1" ref="F35" ca="1">_FV(RTData[[#This Row],[Company Name]],"Previous close",TRUE)</f>
        <v>2.54</v>
      </c>
      <c r="G35" s="18" cm="1">
        <f t="array" aca="1" ref="G35" ca="1">IFERROR(_FV(RTData[[#This Row],[Company Name]],"Open"),RTData[[#This Row],[Close]])</f>
        <v>2.4700000000000002</v>
      </c>
      <c r="H35" s="18" cm="1">
        <f t="array" aca="1" ref="H35" ca="1">_FV(RTData[[#This Row],[Company Name]],"Price")</f>
        <v>2.48</v>
      </c>
      <c r="I35" s="18" cm="1">
        <f t="array" aca="1" ref="I35" ca="1">IFERROR(_FV(RTData[[#This Row],[Company Name]],"Low"),0)</f>
        <v>2.4300000000000002</v>
      </c>
      <c r="J35" s="18" cm="1">
        <f t="array" aca="1" ref="J35" ca="1">IFERROR(_FV(RTData[[#This Row],[Company Name]],"High"),0)</f>
        <v>2.5876999999999999</v>
      </c>
      <c r="K35" s="19" cm="1">
        <f t="array" ref="K35">IFERROR(_FV(RTData[[#This Row],[Company Name]],"P/E",TRUE),99)</f>
        <v>99</v>
      </c>
      <c r="L35" s="20" cm="1">
        <f t="array" aca="1" ref="L35" ca="1">_FV(RTData[[#This Row],[Company Name]],"Change")</f>
        <v>-0.06</v>
      </c>
      <c r="M35" s="21" cm="1">
        <f t="array" aca="1" ref="M35" ca="1">_FV(RTData[[#This Row],[Company Name]],"Change (%)",TRUE)</f>
        <v>-2.3622000000000001E-2</v>
      </c>
      <c r="N35" s="18" cm="1">
        <f t="array" aca="1" ref="N35" ca="1">_FV(RTData[[#This Row],[Company Name]],"52 week low",TRUE)</f>
        <v>2.42</v>
      </c>
      <c r="O35" s="18" cm="1">
        <f t="array" aca="1" ref="O35" ca="1">_FV(RTData[[#This Row],[Company Name]],"52 week high",TRUE)</f>
        <v>24.36</v>
      </c>
      <c r="P35" s="22" cm="1">
        <f t="array" aca="1" ref="P35" ca="1">_FV(RTData[[#This Row],[Company Name]],"Volume")</f>
        <v>109610</v>
      </c>
      <c r="Q35" s="22" cm="1">
        <f t="array" aca="1" ref="Q35" ca="1">_FV(RTData[[#This Row],[Company Name]],"Volume average",TRUE)</f>
        <v>240142</v>
      </c>
      <c r="R35" s="18" cm="1">
        <f t="array" aca="1" ref="R35" ca="1">_FV(RTData[[#This Row],[Company Name]],"Beta")</f>
        <v>0.62</v>
      </c>
      <c r="T35" t="s">
        <v>19</v>
      </c>
      <c r="U35" t="str" cm="1">
        <f t="array" aca="1" ref="U35" ca="1">_FV(RTData[[#This Row],[Company Name]],"Exchange abbreviation",TRUE)</f>
        <v>XNYS</v>
      </c>
      <c r="V35" s="23">
        <f ca="1">IFERROR(RTData[[#This Row],[Volume]]/RTData[[#This Row],[Volume average]],1)</f>
        <v>0.45643827402120413</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0.86229197206174013</v>
      </c>
      <c r="C36" t="e" vm="34">
        <v>#VALUE!</v>
      </c>
      <c r="D36" s="113" t="str" cm="1">
        <f t="array" aca="1" ref="D36" ca="1">_FV(RTData[[#This Row],[Company Name]],"Currency")</f>
        <v>USD</v>
      </c>
      <c r="E36" s="17" cm="1">
        <f t="array" aca="1" ref="E36" ca="1">_FV(RTData[[#This Row],[Company Name]],"Last trade time",TRUE)</f>
        <v>45978.694850103908</v>
      </c>
      <c r="F36" s="18" cm="1">
        <f t="array" aca="1" ref="F36" ca="1">_FV(RTData[[#This Row],[Company Name]],"Previous close",TRUE)</f>
        <v>38.51</v>
      </c>
      <c r="G36" s="18" cm="1">
        <f t="array" aca="1" ref="G36" ca="1">IFERROR(_FV(RTData[[#This Row],[Company Name]],"Open"),RTData[[#This Row],[Close]])</f>
        <v>38.1</v>
      </c>
      <c r="H36" s="18" cm="1">
        <f t="array" aca="1" ref="H36" ca="1">_FV(RTData[[#This Row],[Company Name]],"Price")</f>
        <v>38.1175</v>
      </c>
      <c r="I36" s="18" cm="1">
        <f t="array" aca="1" ref="I36" ca="1">IFERROR(_FV(RTData[[#This Row],[Company Name]],"Low"),0)</f>
        <v>37.840000000000003</v>
      </c>
      <c r="J36" s="18" cm="1">
        <f t="array" aca="1" ref="J36" ca="1">IFERROR(_FV(RTData[[#This Row],[Company Name]],"High"),0)</f>
        <v>38.484699999999997</v>
      </c>
      <c r="K36" s="19" cm="1">
        <f t="array" aca="1" ref="K36" ca="1">IFERROR(_FV(RTData[[#This Row],[Company Name]],"P/E",TRUE),99)</f>
        <v>22.044699999999999</v>
      </c>
      <c r="L36" s="20" cm="1">
        <f t="array" aca="1" ref="L36" ca="1">_FV(RTData[[#This Row],[Company Name]],"Change")</f>
        <v>-0.39250000000000002</v>
      </c>
      <c r="M36" s="21" cm="1">
        <f t="array" aca="1" ref="M36" ca="1">_FV(RTData[[#This Row],[Company Name]],"Change (%)",TRUE)</f>
        <v>-1.0192000000000001E-2</v>
      </c>
      <c r="N36" s="18" cm="1">
        <f t="array" aca="1" ref="N36" ca="1">_FV(RTData[[#This Row],[Company Name]],"52 week low",TRUE)</f>
        <v>19.8017</v>
      </c>
      <c r="O36" s="18" cm="1">
        <f t="array" aca="1" ref="O36" ca="1">_FV(RTData[[#This Row],[Company Name]],"52 week high",TRUE)</f>
        <v>42.57</v>
      </c>
      <c r="P36" s="22" cm="1">
        <f t="array" aca="1" ref="P36" ca="1">_FV(RTData[[#This Row],[Company Name]],"Volume")</f>
        <v>1830391</v>
      </c>
      <c r="Q36" s="22" cm="1">
        <f t="array" aca="1" ref="Q36" ca="1">_FV(RTData[[#This Row],[Company Name]],"Volume average",TRUE)</f>
        <v>6195419</v>
      </c>
      <c r="R36" s="18" cm="1">
        <f t="array" aca="1" ref="R36" ca="1">_FV(RTData[[#This Row],[Company Name]],"Beta")</f>
        <v>1.1413</v>
      </c>
      <c r="T36" t="s">
        <v>19</v>
      </c>
      <c r="U36" t="str" cm="1">
        <f t="array" aca="1" ref="U36" ca="1">_FV(RTData[[#This Row],[Company Name]],"Exchange abbreviation",TRUE)</f>
        <v>XNYS</v>
      </c>
      <c r="V36" s="23">
        <f ca="1">IFERROR(RTData[[#This Row],[Volume]]/RTData[[#This Row],[Volume average]],1)</f>
        <v>0.29544264883456633</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0.86229197206174013</v>
      </c>
      <c r="C37" t="e" vm="35">
        <v>#VALUE!</v>
      </c>
      <c r="D37" s="113" t="str" cm="1">
        <f t="array" aca="1" ref="D37" ca="1">_FV(RTData[[#This Row],[Company Name]],"Currency")</f>
        <v>USD</v>
      </c>
      <c r="E37" s="17" cm="1">
        <f t="array" aca="1" ref="E37" ca="1">_FV(RTData[[#This Row],[Company Name]],"Last trade time",TRUE)</f>
        <v>45978.69475561328</v>
      </c>
      <c r="F37" s="18" cm="1">
        <f t="array" aca="1" ref="F37" ca="1">_FV(RTData[[#This Row],[Company Name]],"Previous close",TRUE)</f>
        <v>6.85</v>
      </c>
      <c r="G37" s="18" cm="1">
        <f t="array" aca="1" ref="G37" ca="1">IFERROR(_FV(RTData[[#This Row],[Company Name]],"Open"),RTData[[#This Row],[Close]])</f>
        <v>6.86</v>
      </c>
      <c r="H37" s="18" cm="1">
        <f t="array" aca="1" ref="H37" ca="1">_FV(RTData[[#This Row],[Company Name]],"Price")</f>
        <v>6.78</v>
      </c>
      <c r="I37" s="18" cm="1">
        <f t="array" aca="1" ref="I37" ca="1">IFERROR(_FV(RTData[[#This Row],[Company Name]],"Low"),0)</f>
        <v>6.52</v>
      </c>
      <c r="J37" s="18" cm="1">
        <f t="array" aca="1" ref="J37" ca="1">IFERROR(_FV(RTData[[#This Row],[Company Name]],"High"),0)</f>
        <v>6.86</v>
      </c>
      <c r="K37" s="19" cm="1">
        <f t="array" aca="1" ref="K37" ca="1">IFERROR(_FV(RTData[[#This Row],[Company Name]],"P/E",TRUE),99)</f>
        <v>0</v>
      </c>
      <c r="L37" s="20" cm="1">
        <f t="array" aca="1" ref="L37" ca="1">_FV(RTData[[#This Row],[Company Name]],"Change")</f>
        <v>-7.0000000000000007E-2</v>
      </c>
      <c r="M37" s="21" cm="1">
        <f t="array" aca="1" ref="M37" ca="1">_FV(RTData[[#This Row],[Company Name]],"Change (%)",TRUE)</f>
        <v>-1.0219000000000001E-2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67002</v>
      </c>
      <c r="Q37" s="22" cm="1">
        <f t="array" aca="1" ref="Q37" ca="1">_FV(RTData[[#This Row],[Company Name]],"Volume average",TRUE)</f>
        <v>67533</v>
      </c>
      <c r="R37" s="18" cm="1">
        <f t="array" aca="1" ref="R37" ca="1">_FV(RTData[[#This Row],[Company Name]],"Beta")</f>
        <v>0.1739</v>
      </c>
      <c r="T37" t="s">
        <v>19</v>
      </c>
      <c r="U37" t="str" cm="1">
        <f t="array" aca="1" ref="U37" ca="1">_FV(RTData[[#This Row],[Company Name]],"Exchange abbreviation",TRUE)</f>
        <v>XNAS</v>
      </c>
      <c r="V37" s="23">
        <f ca="1">IFERROR(RTData[[#This Row],[Volume]]/RTData[[#This Row],[Volume average]],1)</f>
        <v>0.99213717737994755</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0.86229197206174013</v>
      </c>
      <c r="C38" t="e" vm="36">
        <v>#VALUE!</v>
      </c>
      <c r="D38" s="113" t="str" cm="1">
        <f t="array" aca="1" ref="D38" ca="1">_FV(RTData[[#This Row],[Company Name]],"Currency")</f>
        <v>USD</v>
      </c>
      <c r="E38" s="17" cm="1">
        <f t="array" aca="1" ref="E38" ca="1">_FV(RTData[[#This Row],[Company Name]],"Last trade time",TRUE)</f>
        <v>45978.694854120309</v>
      </c>
      <c r="F38" s="18" cm="1">
        <f t="array" aca="1" ref="F38" ca="1">_FV(RTData[[#This Row],[Company Name]],"Previous close",TRUE)</f>
        <v>4.4000000000000004</v>
      </c>
      <c r="G38" s="18" cm="1">
        <f t="array" aca="1" ref="G38" ca="1">IFERROR(_FV(RTData[[#This Row],[Company Name]],"Open"),RTData[[#This Row],[Close]])</f>
        <v>4.3899999999999997</v>
      </c>
      <c r="H38" s="18" cm="1">
        <f t="array" aca="1" ref="H38" ca="1">_FV(RTData[[#This Row],[Company Name]],"Price")</f>
        <v>4.4000000000000004</v>
      </c>
      <c r="I38" s="18" cm="1">
        <f t="array" aca="1" ref="I38" ca="1">IFERROR(_FV(RTData[[#This Row],[Company Name]],"Low"),0)</f>
        <v>4.3</v>
      </c>
      <c r="J38" s="18" cm="1">
        <f t="array" aca="1" ref="J38" ca="1">IFERROR(_FV(RTData[[#This Row],[Company Name]],"High"),0)</f>
        <v>4.5</v>
      </c>
      <c r="K38" s="19" cm="1">
        <f t="array" aca="1" ref="K38" ca="1">IFERROR(_FV(RTData[[#This Row],[Company Name]],"P/E",TRUE),99)</f>
        <v>0</v>
      </c>
      <c r="L38" s="20" cm="1">
        <f t="array" aca="1" ref="L38" ca="1">_FV(RTData[[#This Row],[Company Name]],"Change")</f>
        <v>0</v>
      </c>
      <c r="M38" s="21" cm="1">
        <f t="array" aca="1" ref="M38" ca="1">_FV(RTData[[#This Row],[Company Name]],"Change (%)",TRUE)</f>
        <v>0</v>
      </c>
      <c r="N38" s="18" cm="1">
        <f t="array" aca="1" ref="N38" ca="1">_FV(RTData[[#This Row],[Company Name]],"52 week low",TRUE)</f>
        <v>3.09</v>
      </c>
      <c r="O38" s="18" cm="1">
        <f t="array" aca="1" ref="O38" ca="1">_FV(RTData[[#This Row],[Company Name]],"52 week high",TRUE)</f>
        <v>9.41</v>
      </c>
      <c r="P38" s="22" cm="1">
        <f t="array" aca="1" ref="P38" ca="1">_FV(RTData[[#This Row],[Company Name]],"Volume")</f>
        <v>2593900</v>
      </c>
      <c r="Q38" s="22" cm="1">
        <f t="array" aca="1" ref="Q38" ca="1">_FV(RTData[[#This Row],[Company Name]],"Volume average",TRUE)</f>
        <v>13761398</v>
      </c>
      <c r="R38" s="18" cm="1">
        <f t="array" aca="1" ref="R38" ca="1">_FV(RTData[[#This Row],[Company Name]],"Beta")</f>
        <v>0.53239999999999998</v>
      </c>
      <c r="T38" t="s">
        <v>19</v>
      </c>
      <c r="U38" t="str" cm="1">
        <f t="array" aca="1" ref="U38" ca="1">_FV(RTData[[#This Row],[Company Name]],"Exchange abbreviation",TRUE)</f>
        <v>XNAS</v>
      </c>
      <c r="V38" s="23">
        <f ca="1">IFERROR(RTData[[#This Row],[Volume]]/RTData[[#This Row],[Volume average]],1)</f>
        <v>0.18849102394974696</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0.6146659290675518</v>
      </c>
      <c r="C39" t="e" vm="37">
        <v>#VALUE!</v>
      </c>
      <c r="D39" s="113" t="str" cm="1">
        <f t="array" aca="1" ref="D39" ca="1">_FV(RTData[[#This Row],[Company Name]],"Currency")</f>
        <v>USD</v>
      </c>
      <c r="E39" s="17" cm="1">
        <f t="array" aca="1" ref="E39" ca="1">_FV(RTData[[#This Row],[Company Name]],"Last trade time",TRUE)</f>
        <v>45978.693406260936</v>
      </c>
      <c r="F39" s="34" cm="1">
        <f t="array" aca="1" ref="F39" ca="1">_FV(RTData[[#This Row],[Company Name]],"Previous close",TRUE)</f>
        <v>0.71</v>
      </c>
      <c r="G39" s="34" cm="1">
        <f t="array" aca="1" ref="G39" ca="1">IFERROR(_FV(RTData[[#This Row],[Company Name]],"Open"),RTData[[#This Row],[Close]])</f>
        <v>0.78</v>
      </c>
      <c r="H39" s="34" cm="1">
        <f t="array" aca="1" ref="H39" ca="1">_FV(RTData[[#This Row],[Company Name]],"Price")</f>
        <v>0.79420000000000002</v>
      </c>
      <c r="I39" s="34" cm="1">
        <f t="array" aca="1" ref="I39" ca="1">IFERROR(_FV(RTData[[#This Row],[Company Name]],"Low"),0)</f>
        <v>0.74009999999999998</v>
      </c>
      <c r="J39" s="34" cm="1">
        <f t="array" aca="1" ref="J39" ca="1">IFERROR(_FV(RTData[[#This Row],[Company Name]],"High"),0)</f>
        <v>0.80989999999999995</v>
      </c>
      <c r="K39" s="19" cm="1">
        <f t="array" ref="K39">IFERROR(_FV(RTData[[#This Row],[Company Name]],"P/E",TRUE),99)</f>
        <v>99</v>
      </c>
      <c r="L39" s="20" cm="1">
        <f t="array" aca="1" ref="L39" ca="1">_FV(RTData[[#This Row],[Company Name]],"Change")</f>
        <v>8.4199999999999997E-2</v>
      </c>
      <c r="M39" s="21" cm="1">
        <f t="array" aca="1" ref="M39" ca="1">_FV(RTData[[#This Row],[Company Name]],"Change (%)",TRUE)</f>
        <v>0.11859199999999999</v>
      </c>
      <c r="N39" s="34" cm="1">
        <f t="array" aca="1" ref="N39" ca="1">_FV(RTData[[#This Row],[Company Name]],"52 week low",TRUE)</f>
        <v>0.59409999999999996</v>
      </c>
      <c r="O39" s="34" cm="1">
        <f t="array" aca="1" ref="O39" ca="1">_FV(RTData[[#This Row],[Company Name]],"52 week high",TRUE)</f>
        <v>2.59</v>
      </c>
      <c r="P39" s="22" cm="1">
        <f t="array" aca="1" ref="P39" ca="1">_FV(RTData[[#This Row],[Company Name]],"Volume")</f>
        <v>120525</v>
      </c>
      <c r="Q39" s="22" cm="1">
        <f t="array" aca="1" ref="Q39" ca="1">_FV(RTData[[#This Row],[Company Name]],"Volume average",TRUE)</f>
        <v>92743</v>
      </c>
      <c r="R39" s="18" cm="1">
        <f t="array" aca="1" ref="R39" ca="1">_FV(RTData[[#This Row],[Company Name]],"Beta")</f>
        <v>1.5348999999999999</v>
      </c>
      <c r="T39" t="s">
        <v>19</v>
      </c>
      <c r="U39" t="str" cm="1">
        <f t="array" aca="1" ref="U39" ca="1">_FV(RTData[[#This Row],[Company Name]],"Exchange abbreviation",TRUE)</f>
        <v>XNYS</v>
      </c>
      <c r="V39" s="23">
        <f ca="1">IFERROR(RTData[[#This Row],[Volume]]/RTData[[#This Row],[Volume average]],1)</f>
        <v>1.2995589963663026</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0.86229197206174013</v>
      </c>
      <c r="C40" t="e" vm="38">
        <v>#VALUE!</v>
      </c>
      <c r="D40" s="113" t="str" cm="1">
        <f t="array" aca="1" ref="D40" ca="1">_FV(RTData[[#This Row],[Company Name]],"Currency")</f>
        <v>USD</v>
      </c>
      <c r="E40" s="17" cm="1">
        <f t="array" aca="1" ref="E40" ca="1">_FV(RTData[[#This Row],[Company Name]],"Last trade time",TRUE)</f>
        <v>45978.694883263284</v>
      </c>
      <c r="F40" s="18" cm="1">
        <f t="array" aca="1" ref="F40" ca="1">_FV(RTData[[#This Row],[Company Name]],"Previous close",TRUE)</f>
        <v>41.94</v>
      </c>
      <c r="G40" s="18" cm="1">
        <f t="array" aca="1" ref="G40" ca="1">IFERROR(_FV(RTData[[#This Row],[Company Name]],"Open"),RTData[[#This Row],[Close]])</f>
        <v>41.94</v>
      </c>
      <c r="H40" s="18" cm="1">
        <f t="array" aca="1" ref="H40" ca="1">_FV(RTData[[#This Row],[Company Name]],"Price")</f>
        <v>42.32</v>
      </c>
      <c r="I40" s="18" cm="1">
        <f t="array" aca="1" ref="I40" ca="1">IFERROR(_FV(RTData[[#This Row],[Company Name]],"Low"),0)</f>
        <v>41.3</v>
      </c>
      <c r="J40" s="18" cm="1">
        <f t="array" aca="1" ref="J40" ca="1">IFERROR(_FV(RTData[[#This Row],[Company Name]],"High"),0)</f>
        <v>42.65</v>
      </c>
      <c r="K40" s="19" cm="1">
        <f t="array" aca="1" ref="K40" ca="1">IFERROR(_FV(RTData[[#This Row],[Company Name]],"P/E",TRUE),99)</f>
        <v>6.8616999999999999</v>
      </c>
      <c r="L40" s="20" cm="1">
        <f t="array" aca="1" ref="L40" ca="1">_FV(RTData[[#This Row],[Company Name]],"Change")</f>
        <v>0.38</v>
      </c>
      <c r="M40" s="21" cm="1">
        <f t="array" aca="1" ref="M40" ca="1">_FV(RTData[[#This Row],[Company Name]],"Change (%)",TRUE)</f>
        <v>9.0609999999999996E-3</v>
      </c>
      <c r="N40" s="18" cm="1">
        <f t="array" aca="1" ref="N40" ca="1">_FV(RTData[[#This Row],[Company Name]],"52 week low",TRUE)</f>
        <v>14.63</v>
      </c>
      <c r="O40" s="18" cm="1">
        <f t="array" aca="1" ref="O40" ca="1">_FV(RTData[[#This Row],[Company Name]],"52 week high",TRUE)</f>
        <v>43.7181</v>
      </c>
      <c r="P40" s="22" cm="1">
        <f t="array" aca="1" ref="P40" ca="1">_FV(RTData[[#This Row],[Company Name]],"Volume")</f>
        <v>199203</v>
      </c>
      <c r="Q40" s="22" cm="1">
        <f t="array" aca="1" ref="Q40" ca="1">_FV(RTData[[#This Row],[Company Name]],"Volume average",TRUE)</f>
        <v>607425</v>
      </c>
      <c r="R40" s="18" cm="1">
        <f t="array" aca="1" ref="R40" ca="1">_FV(RTData[[#This Row],[Company Name]],"Beta")</f>
        <v>1.0828</v>
      </c>
      <c r="T40" t="s">
        <v>19</v>
      </c>
      <c r="U40" t="str" cm="1">
        <f t="array" aca="1" ref="U40" ca="1">_FV(RTData[[#This Row],[Company Name]],"Exchange abbreviation",TRUE)</f>
        <v>XNAS</v>
      </c>
      <c r="V40" s="23">
        <f ca="1">IFERROR(RTData[[#This Row],[Volume]]/RTData[[#This Row],[Volume average]],1)</f>
        <v>0.32794666008149154</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0.86229197206174013</v>
      </c>
      <c r="C41" t="e" vm="39">
        <v>#VALUE!</v>
      </c>
      <c r="D41" s="113" t="str" cm="1">
        <f t="array" aca="1" ref="D41" ca="1">_FV(RTData[[#This Row],[Company Name]],"Currency")</f>
        <v>EUR</v>
      </c>
      <c r="E41" s="17" cm="1">
        <f t="array" aca="1" ref="E41" ca="1">_FV(RTData[[#This Row],[Company Name]],"Last trade time",TRUE)</f>
        <v>45978.684027777781</v>
      </c>
      <c r="F41" s="18" cm="1">
        <f t="array" aca="1" ref="F41" ca="1">_FV(RTData[[#This Row],[Company Name]],"Previous close",TRUE)</f>
        <v>45.33</v>
      </c>
      <c r="G41" s="18" cm="1">
        <f t="array" aca="1" ref="G41" ca="1">IFERROR(_FV(RTData[[#This Row],[Company Name]],"Open"),RTData[[#This Row],[Close]])</f>
        <v>45.7</v>
      </c>
      <c r="H41" s="18" cm="1">
        <f t="array" aca="1" ref="H41" ca="1">_FV(RTData[[#This Row],[Company Name]],"Price")</f>
        <v>45.72</v>
      </c>
      <c r="I41" s="18" cm="1">
        <f t="array" aca="1" ref="I41" ca="1">IFERROR(_FV(RTData[[#This Row],[Company Name]],"Low"),0)</f>
        <v>45.38</v>
      </c>
      <c r="J41" s="18" cm="1">
        <f t="array" aca="1" ref="J41" ca="1">IFERROR(_FV(RTData[[#This Row],[Company Name]],"High"),0)</f>
        <v>45.77</v>
      </c>
      <c r="K41" s="19" cm="1">
        <f t="array" aca="1" ref="K41" ca="1">IFERROR(_FV(RTData[[#This Row],[Company Name]],"P/E",TRUE),99)</f>
        <v>14.7484</v>
      </c>
      <c r="L41" s="20" cm="1">
        <f t="array" aca="1" ref="L41" ca="1">_FV(RTData[[#This Row],[Company Name]],"Change")</f>
        <v>0.39</v>
      </c>
      <c r="M41" s="21" cm="1">
        <f t="array" aca="1" ref="M41" ca="1">_FV(RTData[[#This Row],[Company Name]],"Change (%)",TRUE)</f>
        <v>8.6040000000000005E-3</v>
      </c>
      <c r="N41" s="18" cm="1">
        <f t="array" aca="1" ref="N41" ca="1">_FV(RTData[[#This Row],[Company Name]],"52 week low",TRUE)</f>
        <v>14.231</v>
      </c>
      <c r="O41" s="18" cm="1">
        <f t="array" aca="1" ref="O41" ca="1">_FV(RTData[[#This Row],[Company Name]],"52 week high",TRUE)</f>
        <v>46.82</v>
      </c>
      <c r="P41" s="22" cm="1">
        <f t="array" aca="1" ref="P41" ca="1">_FV(RTData[[#This Row],[Company Name]],"Volume")</f>
        <v>4462</v>
      </c>
      <c r="Q41" s="22" cm="1">
        <f t="array" aca="1" ref="Q41" ca="1">_FV(RTData[[#This Row],[Company Name]],"Volume average",TRUE)</f>
        <v>2310700</v>
      </c>
      <c r="R41" s="18" cm="1">
        <f t="array" aca="1" ref="R41" ca="1">_FV(RTData[[#This Row],[Company Name]],"Beta")</f>
        <v>0.47510000000000002</v>
      </c>
      <c r="T41" t="s">
        <v>19</v>
      </c>
      <c r="U41" t="str" cm="1">
        <f t="array" aca="1" ref="U41" ca="1">_FV(RTData[[#This Row],[Company Name]],"Exchange abbreviation",TRUE)</f>
        <v>XFRA</v>
      </c>
      <c r="V41" s="23">
        <f ca="1">IFERROR(RTData[[#This Row],[Volume]]/RTData[[#This Row],[Volume average]],1)</f>
        <v>1.9310165750638334E-3</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45978.684479166666</v>
      </c>
      <c r="F42" s="27" cm="1">
        <f t="array" aca="1" ref="F42" ca="1">_FV(RTData[[#This Row],[Company Name]],"Previous close",TRUE)</f>
        <v>211.1</v>
      </c>
      <c r="G42" s="27" cm="1">
        <f t="array" aca="1" ref="G42" ca="1">IFERROR(_FV(RTData[[#This Row],[Company Name]],"Open"),RTData[[#This Row],[Close]])</f>
        <v>211.6</v>
      </c>
      <c r="H42" s="27" cm="1">
        <f t="array" aca="1" ref="H42" ca="1">_FV(RTData[[#This Row],[Company Name]],"Price")</f>
        <v>206.35</v>
      </c>
      <c r="I42" s="27" cm="1">
        <f t="array" aca="1" ref="I42" ca="1">IFERROR(_FV(RTData[[#This Row],[Company Name]],"Low"),0)</f>
        <v>205.7</v>
      </c>
      <c r="J42" s="27" cm="1">
        <f t="array" aca="1" ref="J42" ca="1">IFERROR(_FV(RTData[[#This Row],[Company Name]],"High"),0)</f>
        <v>211.8</v>
      </c>
      <c r="K42" s="19" cm="1">
        <f t="array" aca="1" ref="K42" ca="1">IFERROR(_FV(RTData[[#This Row],[Company Name]],"P/E",TRUE),99)</f>
        <v>33.990600000000001</v>
      </c>
      <c r="L42" s="20" cm="1">
        <f t="array" aca="1" ref="L42" ca="1">_FV(RTData[[#This Row],[Company Name]],"Change")</f>
        <v>-4.75</v>
      </c>
      <c r="M42" s="21" cm="1">
        <f t="array" aca="1" ref="M42" ca="1">_FV(RTData[[#This Row],[Company Name]],"Change (%)",TRUE)</f>
        <v>-2.2501000000000004E-2</v>
      </c>
      <c r="N42" s="27" cm="1">
        <f t="array" aca="1" ref="N42" ca="1">_FV(RTData[[#This Row],[Company Name]],"52 week low",TRUE)</f>
        <v>205.7</v>
      </c>
      <c r="O42" s="27" cm="1">
        <f t="array" aca="1" ref="O42" ca="1">_FV(RTData[[#This Row],[Company Name]],"52 week high",TRUE)</f>
        <v>283.5</v>
      </c>
      <c r="P42" s="22" cm="1">
        <f t="array" aca="1" ref="P42" ca="1">_FV(RTData[[#This Row],[Company Name]],"Volume")</f>
        <v>718618</v>
      </c>
      <c r="Q42" s="22" cm="1">
        <f t="array" aca="1" ref="Q42" ca="1">_FV(RTData[[#This Row],[Company Name]],"Volume average",TRUE)</f>
        <v>1226460</v>
      </c>
      <c r="R42" s="18" cm="1">
        <f t="array" aca="1" ref="R42" ca="1">_FV(RTData[[#This Row],[Company Name]],"Beta")</f>
        <v>1.0510999999999999</v>
      </c>
      <c r="T42" t="s">
        <v>19</v>
      </c>
      <c r="U42" t="str" cm="1">
        <f t="array" aca="1" ref="U42" ca="1">_FV(RTData[[#This Row],[Company Name]],"Exchange abbreviation",TRUE)</f>
        <v>XETR</v>
      </c>
      <c r="V42" s="23">
        <f ca="1">IFERROR(RTData[[#This Row],[Volume]]/RTData[[#This Row],[Volume average]],1)</f>
        <v>0.58592860753713938</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45978.68399852969</v>
      </c>
      <c r="F43" s="27" cm="1">
        <f t="array" aca="1" ref="F43" ca="1">_FV(RTData[[#This Row],[Company Name]],"Previous close",TRUE)</f>
        <v>14.99</v>
      </c>
      <c r="G43" s="27" cm="1">
        <f t="array" aca="1" ref="G43" ca="1">IFERROR(_FV(RTData[[#This Row],[Company Name]],"Open"),RTData[[#This Row],[Close]])</f>
        <v>14.602</v>
      </c>
      <c r="H43" s="27" cm="1">
        <f t="array" aca="1" ref="H43" ca="1">_FV(RTData[[#This Row],[Company Name]],"Price")</f>
        <v>14.78</v>
      </c>
      <c r="I43" s="27" cm="1">
        <f t="array" aca="1" ref="I43" ca="1">IFERROR(_FV(RTData[[#This Row],[Company Name]],"Low"),0)</f>
        <v>14.37</v>
      </c>
      <c r="J43" s="27" cm="1">
        <f t="array" aca="1" ref="J43" ca="1">IFERROR(_FV(RTData[[#This Row],[Company Name]],"High"),0)</f>
        <v>15.074999999999999</v>
      </c>
      <c r="K43" s="19" cm="1">
        <f t="array" aca="1" ref="K43" ca="1">IFERROR(_FV(RTData[[#This Row],[Company Name]],"P/E",TRUE),99)</f>
        <v>0</v>
      </c>
      <c r="L43" s="20" cm="1">
        <f t="array" aca="1" ref="L43" ca="1">_FV(RTData[[#This Row],[Company Name]],"Change")</f>
        <v>-0.21</v>
      </c>
      <c r="M43" s="21" cm="1">
        <f t="array" aca="1" ref="M43" ca="1">_FV(RTData[[#This Row],[Company Name]],"Change (%)",TRUE)</f>
        <v>-1.4009000000000001E-2</v>
      </c>
      <c r="N43" s="27" cm="1">
        <f t="array" aca="1" ref="N43" ca="1">_FV(RTData[[#This Row],[Company Name]],"52 week low",TRUE)</f>
        <v>11.88</v>
      </c>
      <c r="O43" s="27" cm="1">
        <f t="array" aca="1" ref="O43" ca="1">_FV(RTData[[#This Row],[Company Name]],"52 week high",TRUE)</f>
        <v>19.38</v>
      </c>
      <c r="P43" s="22" cm="1">
        <f t="array" aca="1" ref="P43" ca="1">_FV(RTData[[#This Row],[Company Name]],"Volume")</f>
        <v>93155</v>
      </c>
      <c r="Q43" s="22" cm="1">
        <f t="array" aca="1" ref="Q43" ca="1">_FV(RTData[[#This Row],[Company Name]],"Volume average",TRUE)</f>
        <v>6235920</v>
      </c>
      <c r="R43" s="27" cm="1">
        <f t="array" aca="1" ref="R43" ca="1">_FV(RTData[[#This Row],[Company Name]],"Beta")</f>
        <v>1.2906</v>
      </c>
      <c r="T43" t="s">
        <v>19</v>
      </c>
      <c r="U43" t="str" cm="1">
        <f t="array" aca="1" ref="U43" ca="1">_FV(RTData[[#This Row],[Company Name]],"Exchange abbreviation",TRUE)</f>
        <v>OTCM</v>
      </c>
      <c r="V43" s="23">
        <f ca="1">IFERROR(RTData[[#This Row],[Volume]]/RTData[[#This Row],[Volume average]],1)</f>
        <v>1.4938453347701702E-2</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0.86229197206174013</v>
      </c>
      <c r="C44" t="e" vm="42">
        <v>#VALUE!</v>
      </c>
      <c r="D44" s="113" t="str" cm="1">
        <f t="array" aca="1" ref="D44" ca="1">_FV(RTData[[#This Row],[Company Name]],"Currency")</f>
        <v>USD</v>
      </c>
      <c r="E44" s="17" cm="1">
        <f t="array" aca="1" ref="E44" ca="1">_FV(RTData[[#This Row],[Company Name]],"Last trade time",TRUE)</f>
        <v>45978.694872303124</v>
      </c>
      <c r="F44" s="18" cm="1">
        <f t="array" aca="1" ref="F44" ca="1">_FV(RTData[[#This Row],[Company Name]],"Previous close",TRUE)</f>
        <v>8.9499999999999993</v>
      </c>
      <c r="G44" s="18" cm="1">
        <f t="array" aca="1" ref="G44" ca="1">IFERROR(_FV(RTData[[#This Row],[Company Name]],"Open"),RTData[[#This Row],[Close]])</f>
        <v>8.98</v>
      </c>
      <c r="H44" s="18" cm="1">
        <f t="array" aca="1" ref="H44" ca="1">_FV(RTData[[#This Row],[Company Name]],"Price")</f>
        <v>8.8249999999999993</v>
      </c>
      <c r="I44" s="18" cm="1">
        <f t="array" aca="1" ref="I44" ca="1">IFERROR(_FV(RTData[[#This Row],[Company Name]],"Low"),0)</f>
        <v>8.65</v>
      </c>
      <c r="J44" s="18" cm="1">
        <f t="array" aca="1" ref="J44" ca="1">IFERROR(_FV(RTData[[#This Row],[Company Name]],"High"),0)</f>
        <v>9.08</v>
      </c>
      <c r="K44" s="19" cm="1">
        <f t="array" aca="1" ref="K44" ca="1">IFERROR(_FV(RTData[[#This Row],[Company Name]],"P/E",TRUE),99)</f>
        <v>0</v>
      </c>
      <c r="L44" s="20" cm="1">
        <f t="array" aca="1" ref="L44" ca="1">_FV(RTData[[#This Row],[Company Name]],"Change")</f>
        <v>-0.125</v>
      </c>
      <c r="M44" s="21" cm="1">
        <f t="array" aca="1" ref="M44" ca="1">_FV(RTData[[#This Row],[Company Name]],"Change (%)",TRUE)</f>
        <v>-1.3966000000000001E-2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296074</v>
      </c>
      <c r="Q44" s="22" cm="1">
        <f t="array" aca="1" ref="Q44" ca="1">_FV(RTData[[#This Row],[Company Name]],"Volume average",TRUE)</f>
        <v>1010548</v>
      </c>
      <c r="R44" s="18" cm="1">
        <f t="array" aca="1" ref="R44" ca="1">_FV(RTData[[#This Row],[Company Name]],"Beta")</f>
        <v>1.4923</v>
      </c>
      <c r="T44" t="s">
        <v>19</v>
      </c>
      <c r="U44" t="str" cm="1">
        <f t="array" aca="1" ref="U44" ca="1">_FV(RTData[[#This Row],[Company Name]],"Exchange abbreviation",TRUE)</f>
        <v>XNAS</v>
      </c>
      <c r="V44" s="23">
        <f ca="1">IFERROR(RTData[[#This Row],[Volume]]/RTData[[#This Row],[Volume average]],1)</f>
        <v>0.29298360889339248</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0.86229197206174013</v>
      </c>
      <c r="C45" t="e" vm="43">
        <v>#VALUE!</v>
      </c>
      <c r="D45" s="113" t="str" cm="1">
        <f t="array" aca="1" ref="D45" ca="1">_FV(RTData[[#This Row],[Company Name]],"Currency")</f>
        <v>USD</v>
      </c>
      <c r="E45" s="17" cm="1">
        <f t="array" aca="1" ref="E45" ca="1">_FV(RTData[[#This Row],[Company Name]],"Last trade time",TRUE)</f>
        <v>45978.694857904688</v>
      </c>
      <c r="F45" s="18" cm="1">
        <f t="array" aca="1" ref="F45" ca="1">_FV(RTData[[#This Row],[Company Name]],"Previous close",TRUE)</f>
        <v>404.35</v>
      </c>
      <c r="G45" s="18" cm="1">
        <f t="array" aca="1" ref="G45" ca="1">IFERROR(_FV(RTData[[#This Row],[Company Name]],"Open"),RTData[[#This Row],[Close]])</f>
        <v>399.06</v>
      </c>
      <c r="H45" s="18" cm="1">
        <f t="array" aca="1" ref="H45" ca="1">_FV(RTData[[#This Row],[Company Name]],"Price")</f>
        <v>420.47</v>
      </c>
      <c r="I45" s="18" cm="1">
        <f t="array" aca="1" ref="I45" ca="1">IFERROR(_FV(RTData[[#This Row],[Company Name]],"Low"),0)</f>
        <v>398.83089999999999</v>
      </c>
      <c r="J45" s="18" cm="1">
        <f t="array" aca="1" ref="J45" ca="1">IFERROR(_FV(RTData[[#This Row],[Company Name]],"High"),0)</f>
        <v>420.65</v>
      </c>
      <c r="K45" s="19" cm="1">
        <f t="array" aca="1" ref="K45" ca="1">IFERROR(_FV(RTData[[#This Row],[Company Name]],"P/E",TRUE),99)</f>
        <v>291.5274</v>
      </c>
      <c r="L45" s="20" cm="1">
        <f t="array" aca="1" ref="L45" ca="1">_FV(RTData[[#This Row],[Company Name]],"Change")</f>
        <v>16.12</v>
      </c>
      <c r="M45" s="21" cm="1">
        <f t="array" aca="1" ref="M45" ca="1">_FV(RTData[[#This Row],[Company Name]],"Change (%)",TRUE)</f>
        <v>3.9865999999999999E-2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44416988</v>
      </c>
      <c r="Q45" s="22" cm="1">
        <f t="array" aca="1" ref="Q45" ca="1">_FV(RTData[[#This Row],[Company Name]],"Volume average",TRUE)</f>
        <v>84582050</v>
      </c>
      <c r="R45" s="18" cm="1">
        <f t="array" aca="1" ref="R45" ca="1">_FV(RTData[[#This Row],[Company Name]],"Beta")</f>
        <v>1.8934</v>
      </c>
      <c r="T45" t="s">
        <v>19</v>
      </c>
      <c r="U45" t="str" cm="1">
        <f t="array" aca="1" ref="U45" ca="1">_FV(RTData[[#This Row],[Company Name]],"Exchange abbreviation",TRUE)</f>
        <v>XNAS</v>
      </c>
      <c r="V45" s="23">
        <f ca="1">IFERROR(RTData[[#This Row],[Volume]]/RTData[[#This Row],[Volume average]],1)</f>
        <v>0.52513491928843059</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0.86229197206174013</v>
      </c>
      <c r="C46" t="e" vm="44">
        <v>#VALUE!</v>
      </c>
      <c r="D46" s="113" t="str" cm="1">
        <f t="array" aca="1" ref="D46" ca="1">_FV(RTData[[#This Row],[Company Name]],"Currency")</f>
        <v>USD</v>
      </c>
      <c r="E46" s="17" cm="1">
        <f t="array" aca="1" ref="E46" ca="1">_FV(RTData[[#This Row],[Company Name]],"Last trade time",TRUE)</f>
        <v>45978.69493379609</v>
      </c>
      <c r="F46" s="18" cm="1">
        <f t="array" aca="1" ref="F46" ca="1">_FV(RTData[[#This Row],[Company Name]],"Previous close",TRUE)</f>
        <v>284.82</v>
      </c>
      <c r="G46" s="18" cm="1">
        <f t="array" aca="1" ref="G46" ca="1">IFERROR(_FV(RTData[[#This Row],[Company Name]],"Open"),RTData[[#This Row],[Close]])</f>
        <v>281.3</v>
      </c>
      <c r="H46" s="18" cm="1">
        <f t="array" aca="1" ref="H46" ca="1">_FV(RTData[[#This Row],[Company Name]],"Price")</f>
        <v>283.43</v>
      </c>
      <c r="I46" s="18" cm="1">
        <f t="array" aca="1" ref="I46" ca="1">IFERROR(_FV(RTData[[#This Row],[Company Name]],"Low"),0)</f>
        <v>280.41000000000003</v>
      </c>
      <c r="J46" s="18" cm="1">
        <f t="array" aca="1" ref="J46" ca="1">IFERROR(_FV(RTData[[#This Row],[Company Name]],"High"),0)</f>
        <v>286.52999999999997</v>
      </c>
      <c r="K46" s="19" cm="1">
        <f t="array" aca="1" ref="K46" ca="1">IFERROR(_FV(RTData[[#This Row],[Company Name]],"P/E",TRUE),99)</f>
        <v>28.203099999999999</v>
      </c>
      <c r="L46" s="20" cm="1">
        <f t="array" aca="1" ref="L46" ca="1">_FV(RTData[[#This Row],[Company Name]],"Change")</f>
        <v>-1.39</v>
      </c>
      <c r="M46" s="21" cm="1">
        <f t="array" aca="1" ref="M46" ca="1">_FV(RTData[[#This Row],[Company Name]],"Change (%)",TRUE)</f>
        <v>-4.8799999999999998E-3</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4611622</v>
      </c>
      <c r="Q46" s="22" cm="1">
        <f t="array" aca="1" ref="Q46" ca="1">_FV(RTData[[#This Row],[Company Name]],"Volume average",TRUE)</f>
        <v>14061210</v>
      </c>
      <c r="R46" s="18" cm="1">
        <f t="array" aca="1" ref="R46" ca="1">_FV(RTData[[#This Row],[Company Name]],"Beta")</f>
        <v>1.3174999999999999</v>
      </c>
      <c r="T46" t="s">
        <v>19</v>
      </c>
      <c r="U46" t="str" cm="1">
        <f t="array" aca="1" ref="U46" ca="1">_FV(RTData[[#This Row],[Company Name]],"Exchange abbreviation",TRUE)</f>
        <v>XNYS</v>
      </c>
      <c r="V46" s="23">
        <f ca="1">IFERROR(RTData[[#This Row],[Volume]]/RTData[[#This Row],[Volume average]],1)</f>
        <v>0.32796765001020539</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0.86229197206174013</v>
      </c>
      <c r="C47" t="e" vm="45">
        <v>#VALUE!</v>
      </c>
      <c r="D47" s="113" t="str" cm="1">
        <f t="array" aca="1" ref="D47" ca="1">_FV(RTData[[#This Row],[Company Name]],"Currency")</f>
        <v>EUR</v>
      </c>
      <c r="E47" s="17" cm="1">
        <f t="array" aca="1" ref="E47" ca="1">_FV(RTData[[#This Row],[Company Name]],"Last trade time",TRUE)</f>
        <v>45978.683333333334</v>
      </c>
      <c r="F47" s="18" cm="1">
        <f t="array" aca="1" ref="F47" ca="1">_FV(RTData[[#This Row],[Company Name]],"Previous close",TRUE)</f>
        <v>28.6</v>
      </c>
      <c r="G47" s="18" cm="1">
        <f t="array" aca="1" ref="G47" ca="1">IFERROR(_FV(RTData[[#This Row],[Company Name]],"Open"),RTData[[#This Row],[Close]])</f>
        <v>29.65</v>
      </c>
      <c r="H47" s="18" cm="1">
        <f t="array" aca="1" ref="H47" ca="1">_FV(RTData[[#This Row],[Company Name]],"Price")</f>
        <v>30.45</v>
      </c>
      <c r="I47" s="18" cm="1">
        <f t="array" aca="1" ref="I47" ca="1">IFERROR(_FV(RTData[[#This Row],[Company Name]],"Low"),0)</f>
        <v>29.65</v>
      </c>
      <c r="J47" s="18" cm="1">
        <f t="array" aca="1" ref="J47" ca="1">IFERROR(_FV(RTData[[#This Row],[Company Name]],"High"),0)</f>
        <v>30.55</v>
      </c>
      <c r="K47" s="19" cm="1">
        <f t="array" ref="K47">IFERROR(_FV(RTData[[#This Row],[Company Name]],"P/E",TRUE),99)</f>
        <v>99</v>
      </c>
      <c r="L47" s="20" cm="1">
        <f t="array" aca="1" ref="L47" ca="1">_FV(RTData[[#This Row],[Company Name]],"Change")</f>
        <v>1.85</v>
      </c>
      <c r="M47" s="21" cm="1">
        <f t="array" aca="1" ref="M47" ca="1">_FV(RTData[[#This Row],[Company Name]],"Change (%)",TRUE)</f>
        <v>6.4684999999999993E-2</v>
      </c>
      <c r="N47" s="18" cm="1">
        <f t="array" aca="1" ref="N47" ca="1">_FV(RTData[[#This Row],[Company Name]],"52 week low",TRUE)</f>
        <v>2.1</v>
      </c>
      <c r="O47" s="18" cm="1">
        <f t="array" aca="1" ref="O47" ca="1">_FV(RTData[[#This Row],[Company Name]],"52 week high",TRUE)</f>
        <v>73.5</v>
      </c>
      <c r="P47" s="22" cm="1">
        <f t="array" aca="1" ref="P47" ca="1">_FV(RTData[[#This Row],[Company Name]],"Volume")</f>
        <v>1694</v>
      </c>
      <c r="Q47" s="22" cm="1">
        <f t="array" aca="1" ref="Q47" ca="1">_FV(RTData[[#This Row],[Company Name]],"Volume average",TRUE)</f>
        <v>4140</v>
      </c>
      <c r="R47" s="18" cm="1">
        <f t="array" aca="1" ref="R47" ca="1">_FV(RTData[[#This Row],[Company Name]],"Beta")</f>
        <v>1.0952999999999999</v>
      </c>
      <c r="T47" t="s">
        <v>19</v>
      </c>
      <c r="U47" t="str" cm="1">
        <f t="array" aca="1" ref="U47" ca="1">_FV(RTData[[#This Row],[Company Name]],"Exchange abbreviation",TRUE)</f>
        <v>XFRA</v>
      </c>
      <c r="V47" s="23">
        <f ca="1">IFERROR(RTData[[#This Row],[Volume]]/RTData[[#This Row],[Volume average]],1)</f>
        <v>0.40917874396135268</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45978.694748981252</v>
      </c>
      <c r="F48" s="27" cm="1">
        <f t="array" aca="1" ref="F48" ca="1">_FV(RTData[[#This Row],[Company Name]],"Previous close",TRUE)</f>
        <v>6.28</v>
      </c>
      <c r="G48" s="27" cm="1">
        <f t="array" aca="1" ref="G48" ca="1">IFERROR(_FV(RTData[[#This Row],[Company Name]],"Open"),RTData[[#This Row],[Close]])</f>
        <v>6.25</v>
      </c>
      <c r="H48" s="27" cm="1">
        <f t="array" aca="1" ref="H48" ca="1">_FV(RTData[[#This Row],[Company Name]],"Price")</f>
        <v>6.3250000000000002</v>
      </c>
      <c r="I48" s="27" cm="1">
        <f t="array" aca="1" ref="I48" ca="1">IFERROR(_FV(RTData[[#This Row],[Company Name]],"Low"),0)</f>
        <v>6.1950000000000003</v>
      </c>
      <c r="J48" s="27" cm="1">
        <f t="array" aca="1" ref="J48" ca="1">IFERROR(_FV(RTData[[#This Row],[Company Name]],"High"),0)</f>
        <v>6.3449999999999998</v>
      </c>
      <c r="K48" s="19" cm="1">
        <f t="array" aca="1" ref="K48" ca="1">IFERROR(_FV(RTData[[#This Row],[Company Name]],"P/E",TRUE),99)</f>
        <v>1.2457</v>
      </c>
      <c r="L48" s="20" cm="1">
        <f t="array" aca="1" ref="L48" ca="1">_FV(RTData[[#This Row],[Company Name]],"Change")</f>
        <v>4.4999999999999998E-2</v>
      </c>
      <c r="M48" s="21" cm="1">
        <f t="array" aca="1" ref="M48" ca="1">_FV(RTData[[#This Row],[Company Name]],"Change (%)",TRUE)</f>
        <v>7.1660000000000005E-3</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498712</v>
      </c>
      <c r="Q48" s="22" cm="1">
        <f t="array" aca="1" ref="Q48" ca="1">_FV(RTData[[#This Row],[Company Name]],"Volume average",TRUE)</f>
        <v>2764975</v>
      </c>
      <c r="R48" s="27" cm="1">
        <f t="array" aca="1" ref="R48" ca="1">_FV(RTData[[#This Row],[Company Name]],"Beta")</f>
        <v>1.4772000000000001</v>
      </c>
      <c r="T48" t="s">
        <v>19</v>
      </c>
      <c r="U48" t="str" cm="1">
        <f t="array" aca="1" ref="U48" ca="1">_FV(RTData[[#This Row],[Company Name]],"Exchange abbreviation",TRUE)</f>
        <v>XNAS</v>
      </c>
      <c r="V48" s="23">
        <f ca="1">IFERROR(RTData[[#This Row],[Volume]]/RTData[[#This Row],[Volume average]],1)</f>
        <v>0.18036763442707437</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0.86229197206174013</v>
      </c>
      <c r="C49" t="e" vm="47">
        <v>#VALUE!</v>
      </c>
      <c r="D49" s="113" t="str" cm="1">
        <f t="array" aca="1" ref="D49" ca="1">_FV(RTData[[#This Row],[Company Name]],"Currency")</f>
        <v>USD</v>
      </c>
      <c r="E49" s="17" cm="1">
        <f t="array" aca="1" ref="E49" ca="1">_FV(RTData[[#This Row],[Company Name]],"Last trade time",TRUE)</f>
        <v>45978.68425326328</v>
      </c>
      <c r="F49" s="18" cm="1">
        <f t="array" aca="1" ref="F49" ca="1">_FV(RTData[[#This Row],[Company Name]],"Previous close",TRUE)</f>
        <v>28.04</v>
      </c>
      <c r="G49" s="18" cm="1">
        <f t="array" aca="1" ref="G49" ca="1">IFERROR(_FV(RTData[[#This Row],[Company Name]],"Open"),RTData[[#This Row],[Close]])</f>
        <v>27.87</v>
      </c>
      <c r="H49" s="18" cm="1">
        <f t="array" aca="1" ref="H49" ca="1">_FV(RTData[[#This Row],[Company Name]],"Price")</f>
        <v>27.88</v>
      </c>
      <c r="I49" s="18" cm="1">
        <f t="array" aca="1" ref="I49" ca="1">IFERROR(_FV(RTData[[#This Row],[Company Name]],"Low"),0)</f>
        <v>27.86</v>
      </c>
      <c r="J49" s="18" cm="1">
        <f t="array" aca="1" ref="J49" ca="1">IFERROR(_FV(RTData[[#This Row],[Company Name]],"High"),0)</f>
        <v>27.98</v>
      </c>
      <c r="K49" s="19" cm="1">
        <f t="array" aca="1" ref="K49" ca="1">IFERROR(_FV(RTData[[#This Row],[Company Name]],"P/E",TRUE),99)</f>
        <v>0</v>
      </c>
      <c r="L49" s="20" cm="1">
        <f t="array" aca="1" ref="L49" ca="1">_FV(RTData[[#This Row],[Company Name]],"Change")</f>
        <v>-0.16</v>
      </c>
      <c r="M49" s="21" cm="1">
        <f t="array" aca="1" ref="M49" ca="1">_FV(RTData[[#This Row],[Company Name]],"Change (%)",TRUE)</f>
        <v>-5.7060000000000001E-3</v>
      </c>
      <c r="N49" s="18" cm="1">
        <f t="array" aca="1" ref="N49" ca="1">_FV(RTData[[#This Row],[Company Name]],"52 week low",TRUE)</f>
        <v>22.55</v>
      </c>
      <c r="O49" s="18" cm="1">
        <f t="array" aca="1" ref="O49" ca="1">_FV(RTData[[#This Row],[Company Name]],"52 week high",TRUE)</f>
        <v>33.33</v>
      </c>
      <c r="P49" s="22" cm="1">
        <f t="array" aca="1" ref="P49" ca="1">_FV(RTData[[#This Row],[Company Name]],"Volume")</f>
        <v>22974</v>
      </c>
      <c r="Q49" s="22" cm="1">
        <f t="array" aca="1" ref="Q49" ca="1">_FV(RTData[[#This Row],[Company Name]],"Volume average",TRUE)</f>
        <v>2485470</v>
      </c>
      <c r="R49" s="18" cm="1">
        <f t="array" aca="1" ref="R49" ca="1">_FV(RTData[[#This Row],[Company Name]],"Beta")</f>
        <v>0.89710000000000001</v>
      </c>
      <c r="T49" t="s">
        <v>19</v>
      </c>
      <c r="U49" t="str" cm="1">
        <f t="array" aca="1" ref="U49" ca="1">_FV(RTData[[#This Row],[Company Name]],"Exchange abbreviation",TRUE)</f>
        <v>OTCM</v>
      </c>
      <c r="V49" s="23">
        <f ca="1">IFERROR(RTData[[#This Row],[Volume]]/RTData[[#This Row],[Volume average]],1)</f>
        <v>9.2433221885599107E-3</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1.0842459069717012</v>
      </c>
      <c r="C50" t="e" vm="48">
        <v>#VALUE!</v>
      </c>
      <c r="D50" s="113" t="str" cm="1">
        <f t="array" aca="1" ref="D50" ca="1">_FV(RTData[[#This Row],[Company Name]],"Currency")</f>
        <v>CHF</v>
      </c>
      <c r="E50" s="17" cm="1">
        <f t="array" aca="1" ref="E50" ca="1">_FV(RTData[[#This Row],[Company Name]],"Last trade time",TRUE)</f>
        <v>45978.684386574074</v>
      </c>
      <c r="F50" s="35" cm="1">
        <f t="array" aca="1" ref="F50" ca="1">_FV(RTData[[#This Row],[Company Name]],"Previous close",TRUE)</f>
        <v>60</v>
      </c>
      <c r="G50" s="35" cm="1">
        <f t="array" aca="1" ref="G50" ca="1">IFERROR(_FV(RTData[[#This Row],[Company Name]],"Open"),RTData[[#This Row],[Close]])</f>
        <v>60</v>
      </c>
      <c r="H50" s="35" cm="1">
        <f t="array" aca="1" ref="H50" ca="1">_FV(RTData[[#This Row],[Company Name]],"Price")</f>
        <v>59.4</v>
      </c>
      <c r="I50" s="36" cm="1">
        <f t="array" aca="1" ref="I50" ca="1">IFERROR(_FV(RTData[[#This Row],[Company Name]],"Low"),0)</f>
        <v>59.3</v>
      </c>
      <c r="J50" s="36" cm="1">
        <f t="array" aca="1" ref="J50" ca="1">IFERROR(_FV(RTData[[#This Row],[Company Name]],"High"),0)</f>
        <v>60.3</v>
      </c>
      <c r="K50" s="19" cm="1">
        <f t="array" aca="1" ref="K50" ca="1">IFERROR(_FV(RTData[[#This Row],[Company Name]],"P/E",TRUE),99)</f>
        <v>13.4086</v>
      </c>
      <c r="L50" s="20" cm="1">
        <f t="array" aca="1" ref="L50" ca="1">_FV(RTData[[#This Row],[Company Name]],"Change")</f>
        <v>-0.6</v>
      </c>
      <c r="M50" s="37" cm="1">
        <f t="array" aca="1" ref="M50" ca="1">_FV(RTData[[#This Row],[Company Name]],"Change (%)",TRUE)</f>
        <v>-0.01</v>
      </c>
      <c r="N50" s="36" cm="1">
        <f t="array" aca="1" ref="N50" ca="1">_FV(RTData[[#This Row],[Company Name]],"52 week low",TRUE)</f>
        <v>51.1</v>
      </c>
      <c r="O50" s="36" cm="1">
        <f t="array" aca="1" ref="O50" ca="1">_FV(RTData[[#This Row],[Company Name]],"52 week high",TRUE)</f>
        <v>69.5</v>
      </c>
      <c r="P50" s="22" cm="1">
        <f t="array" aca="1" ref="P50" ca="1">_FV(RTData[[#This Row],[Company Name]],"Volume")</f>
        <v>28466</v>
      </c>
      <c r="Q50" s="22" cm="1">
        <f t="array" aca="1" ref="Q50" ca="1">_FV(RTData[[#This Row],[Company Name]],"Volume average",TRUE)</f>
        <v>36710</v>
      </c>
      <c r="R50" s="18" cm="1">
        <f t="array" aca="1" ref="R50" ca="1">_FV(RTData[[#This Row],[Company Name]],"Beta")</f>
        <v>0.81979999999999997</v>
      </c>
      <c r="T50" t="s">
        <v>19</v>
      </c>
      <c r="U50" t="str" cm="1">
        <f t="array" aca="1" ref="U50" ca="1">_FV(RTData[[#This Row],[Company Name]],"Exchange abbreviation",TRUE)</f>
        <v>XSWX</v>
      </c>
      <c r="V50" s="23">
        <f ca="1">IFERROR(RTData[[#This Row],[Volume]]/RTData[[#This Row],[Volume average]],1)</f>
        <v>0.77542903840915278</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0.86229197206174013</v>
      </c>
      <c r="C51" t="e" vm="49">
        <v>#VALUE!</v>
      </c>
      <c r="D51" s="113" t="str" cm="1">
        <f t="array" aca="1" ref="D51" ca="1">_FV(RTData[[#This Row],[Company Name]],"Currency")</f>
        <v>USD</v>
      </c>
      <c r="E51" s="17" cm="1">
        <f t="array" aca="1" ref="E51" ca="1">_FV(RTData[[#This Row],[Company Name]],"Last trade time",TRUE)</f>
        <v>45978.694789791407</v>
      </c>
      <c r="F51" s="18" cm="1">
        <f t="array" aca="1" ref="F51" ca="1">_FV(RTData[[#This Row],[Company Name]],"Previous close",TRUE)</f>
        <v>10.72</v>
      </c>
      <c r="G51" s="18" cm="1">
        <f t="array" aca="1" ref="G51" ca="1">IFERROR(_FV(RTData[[#This Row],[Company Name]],"Open"),RTData[[#This Row],[Close]])</f>
        <v>10.73</v>
      </c>
      <c r="H51" s="18" cm="1">
        <f t="array" aca="1" ref="H51" ca="1">_FV(RTData[[#This Row],[Company Name]],"Price")</f>
        <v>10.824999999999999</v>
      </c>
      <c r="I51" s="18" cm="1">
        <f t="array" aca="1" ref="I51" ca="1">IFERROR(_FV(RTData[[#This Row],[Company Name]],"Low"),0)</f>
        <v>10.69</v>
      </c>
      <c r="J51" s="18" cm="1">
        <f t="array" aca="1" ref="J51" ca="1">IFERROR(_FV(RTData[[#This Row],[Company Name]],"High"),0)</f>
        <v>10.855</v>
      </c>
      <c r="K51" s="19" cm="1">
        <f t="array" aca="1" ref="K51" ca="1">IFERROR(_FV(RTData[[#This Row],[Company Name]],"P/E",TRUE),99)</f>
        <v>0</v>
      </c>
      <c r="L51" s="20" cm="1">
        <f t="array" aca="1" ref="L51" ca="1">_FV(RTData[[#This Row],[Company Name]],"Change")</f>
        <v>0.105</v>
      </c>
      <c r="M51" s="21" cm="1">
        <f t="array" aca="1" ref="M51" ca="1">_FV(RTData[[#This Row],[Company Name]],"Change (%)",TRUE)</f>
        <v>9.7949999999999999E-3</v>
      </c>
      <c r="N51" s="18" cm="1">
        <f t="array" aca="1" ref="N51" ca="1">_FV(RTData[[#This Row],[Company Name]],"52 week low",TRUE)</f>
        <v>6.85</v>
      </c>
      <c r="O51" s="18" cm="1">
        <f t="array" aca="1" ref="O51" ca="1">_FV(RTData[[#This Row],[Company Name]],"52 week high",TRUE)</f>
        <v>13.55</v>
      </c>
      <c r="P51" s="22" cm="1">
        <f t="array" aca="1" ref="P51" ca="1">_FV(RTData[[#This Row],[Company Name]],"Volume")</f>
        <v>1320474</v>
      </c>
      <c r="Q51" s="22" cm="1">
        <f t="array" aca="1" ref="Q51" ca="1">_FV(RTData[[#This Row],[Company Name]],"Volume average",TRUE)</f>
        <v>8888052</v>
      </c>
      <c r="R51" s="18" cm="1">
        <f t="array" aca="1" ref="R51" ca="1">_FV(RTData[[#This Row],[Company Name]],"Beta")</f>
        <v>0.82199999999999995</v>
      </c>
      <c r="T51" t="s">
        <v>19</v>
      </c>
      <c r="U51" t="str" cm="1">
        <f t="array" aca="1" ref="U51" ca="1">_FV(RTData[[#This Row],[Company Name]],"Exchange abbreviation",TRUE)</f>
        <v>XNAS</v>
      </c>
      <c r="V51" s="23">
        <f ca="1">IFERROR(RTData[[#This Row],[Volume]]/RTData[[#This Row],[Volume average]],1)</f>
        <v>0.14856731261248246</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0.86229197206174013</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0.86229197206174013</v>
      </c>
      <c r="C53" t="e" vm="51">
        <v>#VALUE!</v>
      </c>
      <c r="D53" s="113" t="str" cm="1">
        <f t="array" aca="1" ref="D53" ca="1">_FV(RTData[[#This Row],[Company Name]],"Currency")</f>
        <v>USD</v>
      </c>
      <c r="E53" s="17" cm="1">
        <f t="array" aca="1" ref="E53" ca="1">_FV(RTData[[#This Row],[Company Name]],"Last trade time",TRUE)</f>
        <v>45978.694860185155</v>
      </c>
      <c r="F53" s="18" cm="1">
        <f t="array" aca="1" ref="F53" ca="1">_FV(RTData[[#This Row],[Company Name]],"Previous close",TRUE)</f>
        <v>119.29</v>
      </c>
      <c r="G53" s="18" cm="1">
        <f t="array" aca="1" ref="G53" ca="1">IFERROR(_FV(RTData[[#This Row],[Company Name]],"Open"),RTData[[#This Row],[Close]])</f>
        <v>118.97</v>
      </c>
      <c r="H53" s="18" cm="1">
        <f t="array" aca="1" ref="H53" ca="1">_FV(RTData[[#This Row],[Company Name]],"Price")</f>
        <v>118.7051</v>
      </c>
      <c r="I53" s="18" cm="1">
        <f t="array" aca="1" ref="I53" ca="1">IFERROR(_FV(RTData[[#This Row],[Company Name]],"Low"),0)</f>
        <v>118.26</v>
      </c>
      <c r="J53" s="18" cm="1">
        <f t="array" aca="1" ref="J53" ca="1">IFERROR(_FV(RTData[[#This Row],[Company Name]],"High"),0)</f>
        <v>119.08</v>
      </c>
      <c r="K53" s="19" cm="1">
        <f t="array" aca="1" ref="K53" ca="1">IFERROR(_FV(RTData[[#This Row],[Company Name]],"P/E",TRUE),99)</f>
        <v>17.255199999999999</v>
      </c>
      <c r="L53" s="20" cm="1">
        <f t="array" aca="1" ref="L53" ca="1">_FV(RTData[[#This Row],[Company Name]],"Change")</f>
        <v>-0.58489999999999998</v>
      </c>
      <c r="M53" s="21" cm="1">
        <f t="array" aca="1" ref="M53" ca="1">_FV(RTData[[#This Row],[Company Name]],"Change (%)",TRUE)</f>
        <v>-4.9030000000000002E-3</v>
      </c>
      <c r="N53" s="18" cm="1">
        <f t="array" aca="1" ref="N53" ca="1">_FV(RTData[[#This Row],[Company Name]],"52 week low",TRUE)</f>
        <v>97.8</v>
      </c>
      <c r="O53" s="18" cm="1">
        <f t="array" aca="1" ref="O53" ca="1">_FV(RTData[[#This Row],[Company Name]],"52 week high",TRUE)</f>
        <v>123.21</v>
      </c>
      <c r="P53" s="22" cm="1">
        <f t="array" aca="1" ref="P53" ca="1">_FV(RTData[[#This Row],[Company Name]],"Volume")</f>
        <v>5582957</v>
      </c>
      <c r="Q53" s="22" cm="1">
        <f t="array" aca="1" ref="Q53" ca="1">_FV(RTData[[#This Row],[Company Name]],"Volume average",TRUE)</f>
        <v>13406658</v>
      </c>
      <c r="R53" s="18" cm="1">
        <f t="array" aca="1" ref="R53" ca="1">_FV(RTData[[#This Row],[Company Name]],"Beta")</f>
        <v>0.37119999999999997</v>
      </c>
      <c r="T53" t="s">
        <v>19</v>
      </c>
      <c r="U53" t="str" cm="1">
        <f t="array" aca="1" ref="U53" ca="1">_FV(RTData[[#This Row],[Company Name]],"Exchange abbreviation",TRUE)</f>
        <v>XNYS</v>
      </c>
      <c r="V53" s="23">
        <f ca="1">IFERROR(RTData[[#This Row],[Volume]]/RTData[[#This Row],[Volume average]],1)</f>
        <v>0.41643167148740573</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0.86229197206174013</v>
      </c>
      <c r="C54" t="e" vm="52">
        <v>#VALUE!</v>
      </c>
      <c r="D54" s="113" t="str" cm="1">
        <f t="array" aca="1" ref="D54" ca="1">_FV(RTData[[#This Row],[Company Name]],"Currency")</f>
        <v>USD</v>
      </c>
      <c r="E54" s="17" cm="1">
        <f t="array" aca="1" ref="E54" ca="1">_FV(RTData[[#This Row],[Company Name]],"Last trade time",TRUE)</f>
        <v>45978.694457916405</v>
      </c>
      <c r="F54" s="18" cm="1">
        <f t="array" aca="1" ref="F54" ca="1">_FV(RTData[[#This Row],[Company Name]],"Previous close",TRUE)</f>
        <v>6.19</v>
      </c>
      <c r="G54" s="18" cm="1">
        <f t="array" aca="1" ref="G54" ca="1">IFERROR(_FV(RTData[[#This Row],[Company Name]],"Open"),RTData[[#This Row],[Close]])</f>
        <v>6.15</v>
      </c>
      <c r="H54" s="18" cm="1">
        <f t="array" aca="1" ref="H54" ca="1">_FV(RTData[[#This Row],[Company Name]],"Price")</f>
        <v>6.0949999999999998</v>
      </c>
      <c r="I54" s="18" cm="1">
        <f t="array" aca="1" ref="I54" ca="1">IFERROR(_FV(RTData[[#This Row],[Company Name]],"Low"),0)</f>
        <v>6.0549999999999997</v>
      </c>
      <c r="J54" s="18" cm="1">
        <f t="array" aca="1" ref="J54" ca="1">IFERROR(_FV(RTData[[#This Row],[Company Name]],"High"),0)</f>
        <v>6.2210000000000001</v>
      </c>
      <c r="K54" s="19" cm="1">
        <f t="array" aca="1" ref="K54" ca="1">IFERROR(_FV(RTData[[#This Row],[Company Name]],"P/E",TRUE),99)</f>
        <v>35.9375</v>
      </c>
      <c r="L54" s="20" cm="1">
        <f t="array" aca="1" ref="L54" ca="1">_FV(RTData[[#This Row],[Company Name]],"Change")</f>
        <v>-9.5000000000000001E-2</v>
      </c>
      <c r="M54" s="21" cm="1">
        <f t="array" aca="1" ref="M54" ca="1">_FV(RTData[[#This Row],[Company Name]],"Change (%)",TRUE)</f>
        <v>-1.5347E-2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139854</v>
      </c>
      <c r="Q54" s="22" cm="1">
        <f t="array" aca="1" ref="Q54" ca="1">_FV(RTData[[#This Row],[Company Name]],"Volume average",TRUE)</f>
        <v>479897</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0.29142503495541749</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45978.677213240626</v>
      </c>
      <c r="F55" s="64" cm="1">
        <f t="array" aca="1" ref="F55" ca="1">_FV(RTData[[#This Row],[Company Name]],"Previous close",TRUE)</f>
        <v>0.66600000000000004</v>
      </c>
      <c r="G55" s="64" cm="1">
        <f t="array" aca="1" ref="G55" ca="1">IFERROR(_FV(RTData[[#This Row],[Company Name]],"Open"),RTData[[#This Row],[Close]])</f>
        <v>0.68</v>
      </c>
      <c r="H55" s="64" cm="1">
        <f t="array" aca="1" ref="H55" ca="1">_FV(RTData[[#This Row],[Company Name]],"Price")</f>
        <v>0.68</v>
      </c>
      <c r="I55" s="64" cm="1">
        <f t="array" aca="1" ref="I55" ca="1">IFERROR(_FV(RTData[[#This Row],[Company Name]],"Low"),0)</f>
        <v>0.68</v>
      </c>
      <c r="J55" s="64" cm="1">
        <f t="array" aca="1" ref="J55" ca="1">IFERROR(_FV(RTData[[#This Row],[Company Name]],"High"),0)</f>
        <v>0.68799999999999994</v>
      </c>
      <c r="K55" s="59" cm="1">
        <f t="array" aca="1" ref="K55" ca="1">IFERROR(_FV(RTData[[#This Row],[Company Name]],"P/E",TRUE),99)</f>
        <v>0</v>
      </c>
      <c r="L55" s="60" cm="1">
        <f t="array" aca="1" ref="L55" ca="1">_FV(RTData[[#This Row],[Company Name]],"Change")</f>
        <v>1.4E-2</v>
      </c>
      <c r="M55" s="61" cm="1">
        <f t="array" aca="1" ref="M55" ca="1">_FV(RTData[[#This Row],[Company Name]],"Change (%)",TRUE)</f>
        <v>2.1021000000000001E-2</v>
      </c>
      <c r="N55" s="64" cm="1">
        <f t="array" aca="1" ref="N55" ca="1">_FV(RTData[[#This Row],[Company Name]],"52 week low",TRUE)</f>
        <v>0.65</v>
      </c>
      <c r="O55" s="64" cm="1">
        <f t="array" aca="1" ref="O55" ca="1">_FV(RTData[[#This Row],[Company Name]],"52 week high",TRUE)</f>
        <v>1.53</v>
      </c>
      <c r="P55" s="62" cm="1">
        <f t="array" aca="1" ref="P55" ca="1">_FV(RTData[[#This Row],[Company Name]],"Volume")</f>
        <v>1263</v>
      </c>
      <c r="Q55" s="62" cm="1">
        <f t="array" aca="1" ref="Q55" ca="1">_FV(RTData[[#This Row],[Company Name]],"Volume average",TRUE)</f>
        <v>6940</v>
      </c>
      <c r="R55" s="57" cm="1">
        <f t="array" aca="1" ref="R55" ca="1">_FV(RTData[[#This Row],[Company Name]],"Beta")</f>
        <v>0.95499999999999996</v>
      </c>
      <c r="S55" s="63" t="s">
        <v>22</v>
      </c>
      <c r="T55" s="63" t="s">
        <v>19</v>
      </c>
      <c r="U55" s="63" t="str" cm="1">
        <f t="array" aca="1" ref="U55" ca="1">_FV(RTData[[#This Row],[Company Name]],"Exchange abbreviation",TRUE)</f>
        <v>XPAR</v>
      </c>
      <c r="V55" s="90">
        <f ca="1">IFERROR(RTData[[#This Row],[Volume]]/RTData[[#This Row],[Volume average]],1)</f>
        <v>0.18198847262247839</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0.86229197206174013</v>
      </c>
      <c r="C56" t="e" vm="14">
        <v>#VALUE!</v>
      </c>
      <c r="D56" s="57" t="str" cm="1">
        <f t="array" aca="1" ref="D56" ca="1">_FV(RTData[[#This Row],[Company Name]],"Currency")</f>
        <v>USD</v>
      </c>
      <c r="E56" s="58" cm="1">
        <f t="array" aca="1" ref="E56" ca="1">_FV(RTData[[#This Row],[Company Name]],"Last trade time",TRUE)</f>
        <v>45978.694840821096</v>
      </c>
      <c r="F56" s="57" cm="1">
        <f t="array" aca="1" ref="F56" ca="1">_FV(RTData[[#This Row],[Company Name]],"Previous close",TRUE)</f>
        <v>2.16</v>
      </c>
      <c r="G56" s="57" cm="1">
        <f t="array" aca="1" ref="G56" ca="1">IFERROR(_FV(RTData[[#This Row],[Company Name]],"Open"),RTData[[#This Row],[Close]])</f>
        <v>2.15</v>
      </c>
      <c r="H56" s="57" cm="1">
        <f t="array" aca="1" ref="H56" ca="1">_FV(RTData[[#This Row],[Company Name]],"Price")</f>
        <v>2.1549999999999998</v>
      </c>
      <c r="I56" s="57" cm="1">
        <f t="array" aca="1" ref="I56" ca="1">IFERROR(_FV(RTData[[#This Row],[Company Name]],"Low"),0)</f>
        <v>2.12</v>
      </c>
      <c r="J56" s="57" cm="1">
        <f t="array" aca="1" ref="J56" ca="1">IFERROR(_FV(RTData[[#This Row],[Company Name]],"High"),0)</f>
        <v>2.1951999999999998</v>
      </c>
      <c r="K56" s="59" cm="1">
        <f t="array" ref="K56">IFERROR(_FV(RTData[[#This Row],[Company Name]],"P/E",TRUE),99)</f>
        <v>99</v>
      </c>
      <c r="L56" s="60" cm="1">
        <f t="array" aca="1" ref="L56" ca="1">_FV(RTData[[#This Row],[Company Name]],"Change")</f>
        <v>-5.0000000000000001E-3</v>
      </c>
      <c r="M56" s="61" cm="1">
        <f t="array" aca="1" ref="M56" ca="1">_FV(RTData[[#This Row],[Company Name]],"Change (%)",TRUE)</f>
        <v>-2.3150000000000002E-3</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557788</v>
      </c>
      <c r="Q56" s="62" cm="1">
        <f t="array" aca="1" ref="Q56" ca="1">_FV(RTData[[#This Row],[Company Name]],"Volume average",TRUE)</f>
        <v>3855945</v>
      </c>
      <c r="R56" s="57" cm="1">
        <f t="array" aca="1" ref="R56" ca="1">_FV(RTData[[#This Row],[Company Name]],"Beta")</f>
        <v>1.9165000000000001</v>
      </c>
      <c r="S56" s="63" t="s">
        <v>22</v>
      </c>
      <c r="T56" s="63" t="s">
        <v>23</v>
      </c>
      <c r="U56" s="63" t="str" cm="1">
        <f t="array" aca="1" ref="U56" ca="1">_FV(RTData[[#This Row],[Company Name]],"Exchange abbreviation",TRUE)</f>
        <v>XNYS</v>
      </c>
      <c r="V56" s="90">
        <f ca="1">IFERROR(RTData[[#This Row],[Volume]]/RTData[[#This Row],[Volume average]],1)</f>
        <v>0.14465662762305997</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45978.684363425928</v>
      </c>
      <c r="F57" s="64" cm="1">
        <f t="array" aca="1" ref="F57" ca="1">_FV(RTData[[#This Row],[Company Name]],"Previous close",TRUE)</f>
        <v>23.99</v>
      </c>
      <c r="G57" s="64" cm="1">
        <f t="array" aca="1" ref="G57" ca="1">IFERROR(_FV(RTData[[#This Row],[Company Name]],"Open"),RTData[[#This Row],[Close]])</f>
        <v>24</v>
      </c>
      <c r="H57" s="64" cm="1">
        <f t="array" aca="1" ref="H57" ca="1">_FV(RTData[[#This Row],[Company Name]],"Price")</f>
        <v>23.54</v>
      </c>
      <c r="I57" s="64" cm="1">
        <f t="array" aca="1" ref="I57" ca="1">IFERROR(_FV(RTData[[#This Row],[Company Name]],"Low"),0)</f>
        <v>23.52</v>
      </c>
      <c r="J57" s="64" cm="1">
        <f t="array" aca="1" ref="J57" ca="1">IFERROR(_FV(RTData[[#This Row],[Company Name]],"High"),0)</f>
        <v>24</v>
      </c>
      <c r="K57" s="59" cm="1">
        <f t="array" aca="1" ref="K57" ca="1">IFERROR(_FV(RTData[[#This Row],[Company Name]],"P/E",TRUE),99)</f>
        <v>26.3017</v>
      </c>
      <c r="L57" s="60" cm="1">
        <f t="array" aca="1" ref="L57" ca="1">_FV(RTData[[#This Row],[Company Name]],"Change")</f>
        <v>-0.45</v>
      </c>
      <c r="M57" s="61" cm="1">
        <f t="array" aca="1" ref="M57" ca="1">_FV(RTData[[#This Row],[Company Name]],"Change (%)",TRUE)</f>
        <v>-1.8758E-2</v>
      </c>
      <c r="N57" s="64" cm="1">
        <f t="array" aca="1" ref="N57" ca="1">_FV(RTData[[#This Row],[Company Name]],"52 week low",TRUE)</f>
        <v>23.03</v>
      </c>
      <c r="O57" s="64" cm="1">
        <f t="array" aca="1" ref="O57" ca="1">_FV(RTData[[#This Row],[Company Name]],"52 week high",TRUE)</f>
        <v>41.17</v>
      </c>
      <c r="P57" s="62" cm="1">
        <f t="array" aca="1" ref="P57" ca="1">_FV(RTData[[#This Row],[Company Name]],"Volume")</f>
        <v>604262</v>
      </c>
      <c r="Q57" s="62" cm="1">
        <f t="array" aca="1" ref="Q57" ca="1">_FV(RTData[[#This Row],[Company Name]],"Volume average",TRUE)</f>
        <v>1909500</v>
      </c>
      <c r="R57" s="57" cm="1">
        <f t="array" aca="1" ref="R57" ca="1">_FV(RTData[[#This Row],[Company Name]],"Beta")</f>
        <v>0.78580000000000005</v>
      </c>
      <c r="S57" s="63" t="s">
        <v>22</v>
      </c>
      <c r="T57" s="63" t="s">
        <v>23</v>
      </c>
      <c r="U57" s="63" t="str" cm="1">
        <f t="array" aca="1" ref="U57" ca="1">_FV(RTData[[#This Row],[Company Name]],"Exchange abbreviation",TRUE)</f>
        <v>XPAR</v>
      </c>
      <c r="V57" s="90">
        <f ca="1">IFERROR(RTData[[#This Row],[Volume]]/RTData[[#This Row],[Volume average]],1)</f>
        <v>0.31645037968054462</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45978.684027777781</v>
      </c>
      <c r="F58" s="64" cm="1">
        <f t="array" aca="1" ref="F58" ca="1">_FV(RTData[[#This Row],[Company Name]],"Previous close",TRUE)</f>
        <v>15.244999999999999</v>
      </c>
      <c r="G58" s="64" cm="1">
        <f t="array" aca="1" ref="G58" ca="1">IFERROR(_FV(RTData[[#This Row],[Company Name]],"Open"),RTData[[#This Row],[Close]])</f>
        <v>15.195</v>
      </c>
      <c r="H58" s="64" cm="1">
        <f t="array" aca="1" ref="H58" ca="1">_FV(RTData[[#This Row],[Company Name]],"Price")</f>
        <v>15.234999999999999</v>
      </c>
      <c r="I58" s="64" cm="1">
        <f t="array" aca="1" ref="I58" ca="1">IFERROR(_FV(RTData[[#This Row],[Company Name]],"Low"),0)</f>
        <v>15.19</v>
      </c>
      <c r="J58" s="64" cm="1">
        <f t="array" aca="1" ref="J58" ca="1">IFERROR(_FV(RTData[[#This Row],[Company Name]],"High"),0)</f>
        <v>15.234999999999999</v>
      </c>
      <c r="K58" s="59" cm="1">
        <f t="array" aca="1" ref="K58" ca="1">IFERROR(_FV(RTData[[#This Row],[Company Name]],"P/E",TRUE),99)</f>
        <v>13.2478</v>
      </c>
      <c r="L58" s="60" cm="1">
        <f t="array" aca="1" ref="L58" ca="1">_FV(RTData[[#This Row],[Company Name]],"Change")</f>
        <v>-0.01</v>
      </c>
      <c r="M58" s="61" cm="1">
        <f t="array" aca="1" ref="M58" ca="1">_FV(RTData[[#This Row],[Company Name]],"Change (%)",TRUE)</f>
        <v>-6.5600000000000001E-4</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14996</v>
      </c>
      <c r="Q58" s="62" cm="1">
        <f t="array" aca="1" ref="Q58" ca="1">_FV(RTData[[#This Row],[Company Name]],"Volume average",TRUE)</f>
        <v>4554990</v>
      </c>
      <c r="R58" s="57" cm="1">
        <f t="array" aca="1" ref="R58" ca="1">_FV(RTData[[#This Row],[Company Name]],"Beta")</f>
        <v>0.85699999999999998</v>
      </c>
      <c r="S58" s="63" t="s">
        <v>22</v>
      </c>
      <c r="T58" s="63" t="s">
        <v>23</v>
      </c>
      <c r="U58" s="63" t="str" cm="1">
        <f t="array" aca="1" ref="U58" ca="1">_FV(RTData[[#This Row],[Company Name]],"Exchange abbreviation",TRUE)</f>
        <v>XFRA</v>
      </c>
      <c r="V58" s="90">
        <f ca="1">IFERROR(RTData[[#This Row],[Volume]]/RTData[[#This Row],[Volume average]],1)</f>
        <v>3.2922135943218318E-3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45978.684498066403</v>
      </c>
      <c r="F59" s="64" cm="1">
        <f t="array" aca="1" ref="F59" ca="1">_FV(RTData[[#This Row],[Company Name]],"Previous close",TRUE)</f>
        <v>16.474</v>
      </c>
      <c r="G59" s="64" cm="1">
        <f t="array" aca="1" ref="G59" ca="1">IFERROR(_FV(RTData[[#This Row],[Company Name]],"Open"),RTData[[#This Row],[Close]])</f>
        <v>16.47</v>
      </c>
      <c r="H59" s="64" cm="1">
        <f t="array" aca="1" ref="H59" ca="1">_FV(RTData[[#This Row],[Company Name]],"Price")</f>
        <v>16.582000000000001</v>
      </c>
      <c r="I59" s="64" cm="1">
        <f t="array" aca="1" ref="I59" ca="1">IFERROR(_FV(RTData[[#This Row],[Company Name]],"Low"),0)</f>
        <v>16.437999999999999</v>
      </c>
      <c r="J59" s="64" cm="1">
        <f t="array" aca="1" ref="J59" ca="1">IFERROR(_FV(RTData[[#This Row],[Company Name]],"High"),0)</f>
        <v>16.606000000000002</v>
      </c>
      <c r="K59" s="59" cm="1">
        <f t="array" aca="1" ref="K59" ca="1">IFERROR(_FV(RTData[[#This Row],[Company Name]],"P/E",TRUE),99)</f>
        <v>18.3125</v>
      </c>
      <c r="L59" s="60" cm="1">
        <f t="array" aca="1" ref="L59" ca="1">_FV(RTData[[#This Row],[Company Name]],"Change")</f>
        <v>0.108</v>
      </c>
      <c r="M59" s="61" cm="1">
        <f t="array" aca="1" ref="M59" ca="1">_FV(RTData[[#This Row],[Company Name]],"Change (%)",TRUE)</f>
        <v>6.5559999999999993E-3</v>
      </c>
      <c r="N59" s="64" cm="1">
        <f t="array" aca="1" ref="N59" ca="1">_FV(RTData[[#This Row],[Company Name]],"52 week low",TRUE)</f>
        <v>11.01</v>
      </c>
      <c r="O59" s="64" cm="1">
        <f t="array" aca="1" ref="O59" ca="1">_FV(RTData[[#This Row],[Company Name]],"52 week high",TRUE)</f>
        <v>16.606000000000002</v>
      </c>
      <c r="P59" s="62" cm="1">
        <f t="array" aca="1" ref="P59" ca="1">_FV(RTData[[#This Row],[Company Name]],"Volume")</f>
        <v>5898465</v>
      </c>
      <c r="Q59" s="62" cm="1">
        <f t="array" aca="1" ref="Q59" ca="1">_FV(RTData[[#This Row],[Company Name]],"Volume average",TRUE)</f>
        <v>8743270</v>
      </c>
      <c r="R59" s="57" cm="1">
        <f t="array" aca="1" ref="R59" ca="1">_FV(RTData[[#This Row],[Company Name]],"Beta")</f>
        <v>0.8306</v>
      </c>
      <c r="S59" s="63" t="s">
        <v>22</v>
      </c>
      <c r="T59" s="63" t="s">
        <v>23</v>
      </c>
      <c r="U59" s="63" t="str" cm="1">
        <f t="array" aca="1" ref="U59" ca="1">_FV(RTData[[#This Row],[Company Name]],"Exchange abbreviation",TRUE)</f>
        <v>XMIL</v>
      </c>
      <c r="V59" s="90">
        <f ca="1">IFERROR(RTData[[#This Row],[Volume]]/RTData[[#This Row],[Volume average]],1)</f>
        <v>0.67462917192309058</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0.86229197206174013</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45978.68440972222</v>
      </c>
      <c r="F61" s="64" cm="1">
        <f t="array" aca="1" ref="F61" ca="1">_FV(RTData[[#This Row],[Company Name]],"Previous close",TRUE)</f>
        <v>57.98</v>
      </c>
      <c r="G61" s="64" cm="1">
        <f t="array" aca="1" ref="G61" ca="1">IFERROR(_FV(RTData[[#This Row],[Company Name]],"Open"),RTData[[#This Row],[Close]])</f>
        <v>58.54</v>
      </c>
      <c r="H61" s="64" cm="1">
        <f t="array" aca="1" ref="H61" ca="1">_FV(RTData[[#This Row],[Company Name]],"Price")</f>
        <v>58.06</v>
      </c>
      <c r="I61" s="64" cm="1">
        <f t="array" aca="1" ref="I61" ca="1">IFERROR(_FV(RTData[[#This Row],[Company Name]],"Low"),0)</f>
        <v>57.52</v>
      </c>
      <c r="J61" s="64" cm="1">
        <f t="array" aca="1" ref="J61" ca="1">IFERROR(_FV(RTData[[#This Row],[Company Name]],"High"),0)</f>
        <v>58.82</v>
      </c>
      <c r="K61" s="59" cm="1">
        <f t="array" aca="1" ref="K61" ca="1">IFERROR(_FV(RTData[[#This Row],[Company Name]],"P/E",TRUE),99)</f>
        <v>9.2974999999999994</v>
      </c>
      <c r="L61" s="60" cm="1">
        <f t="array" aca="1" ref="L61" ca="1">_FV(RTData[[#This Row],[Company Name]],"Change")</f>
        <v>0.08</v>
      </c>
      <c r="M61" s="61" cm="1">
        <f t="array" aca="1" ref="M61" ca="1">_FV(RTData[[#This Row],[Company Name]],"Change (%)",TRUE)</f>
        <v>1.3800000000000002E-3</v>
      </c>
      <c r="N61" s="64" cm="1">
        <f t="array" aca="1" ref="N61" ca="1">_FV(RTData[[#This Row],[Company Name]],"52 week low",TRUE)</f>
        <v>24.03</v>
      </c>
      <c r="O61" s="64" cm="1">
        <f t="array" aca="1" ref="O61" ca="1">_FV(RTData[[#This Row],[Company Name]],"52 week high",TRUE)</f>
        <v>59.9</v>
      </c>
      <c r="P61" s="62" cm="1">
        <f t="array" aca="1" ref="P61" ca="1">_FV(RTData[[#This Row],[Company Name]],"Volume")</f>
        <v>665075</v>
      </c>
      <c r="Q61" s="62" cm="1">
        <f t="array" aca="1" ref="Q61" ca="1">_FV(RTData[[#This Row],[Company Name]],"Volume average",TRUE)</f>
        <v>1825620</v>
      </c>
      <c r="R61" s="57" cm="1">
        <f t="array" aca="1" ref="R61" ca="1">_FV(RTData[[#This Row],[Company Name]],"Beta")</f>
        <v>1.3888</v>
      </c>
      <c r="S61" s="63" t="s">
        <v>22</v>
      </c>
      <c r="T61" s="63" t="s">
        <v>23</v>
      </c>
      <c r="U61" s="63" t="str" cm="1">
        <f t="array" aca="1" ref="U61" ca="1">_FV(RTData[[#This Row],[Company Name]],"Exchange abbreviation",TRUE)</f>
        <v>XPAR</v>
      </c>
      <c r="V61" s="90">
        <f ca="1">IFERROR(RTData[[#This Row],[Volume]]/RTData[[#This Row],[Volume average]],1)</f>
        <v>0.36430089503839791</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45978.684432870374</v>
      </c>
      <c r="F62" s="64" cm="1">
        <f t="array" aca="1" ref="F62" ca="1">_FV(RTData[[#This Row],[Company Name]],"Previous close",TRUE)</f>
        <v>14.02</v>
      </c>
      <c r="G62" s="64" cm="1">
        <f t="array" aca="1" ref="G62" ca="1">IFERROR(_FV(RTData[[#This Row],[Company Name]],"Open"),RTData[[#This Row],[Close]])</f>
        <v>14.025</v>
      </c>
      <c r="H62" s="64" cm="1">
        <f t="array" aca="1" ref="H62" ca="1">_FV(RTData[[#This Row],[Company Name]],"Price")</f>
        <v>14.03</v>
      </c>
      <c r="I62" s="64" cm="1">
        <f t="array" aca="1" ref="I62" ca="1">IFERROR(_FV(RTData[[#This Row],[Company Name]],"Low"),0)</f>
        <v>13.875</v>
      </c>
      <c r="J62" s="64" cm="1">
        <f t="array" aca="1" ref="J62" ca="1">IFERROR(_FV(RTData[[#This Row],[Company Name]],"High"),0)</f>
        <v>14.065</v>
      </c>
      <c r="K62" s="59" cm="1">
        <f t="array" aca="1" ref="K62" ca="1">IFERROR(_FV(RTData[[#This Row],[Company Name]],"P/E",TRUE),99)</f>
        <v>44.314599999999999</v>
      </c>
      <c r="L62" s="60" cm="1">
        <f t="array" aca="1" ref="L62" ca="1">_FV(RTData[[#This Row],[Company Name]],"Change")</f>
        <v>0.01</v>
      </c>
      <c r="M62" s="61" cm="1">
        <f t="array" aca="1" ref="M62" ca="1">_FV(RTData[[#This Row],[Company Name]],"Change (%)",TRUE)</f>
        <v>7.1330000000000005E-4</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1024603</v>
      </c>
      <c r="Q62" s="62" cm="1">
        <f t="array" aca="1" ref="Q62" ca="1">_FV(RTData[[#This Row],[Company Name]],"Volume average",TRUE)</f>
        <v>3333320</v>
      </c>
      <c r="R62" s="57" cm="1">
        <f t="array" aca="1" ref="R62" ca="1">_FV(RTData[[#This Row],[Company Name]],"Beta")</f>
        <v>0.2392</v>
      </c>
      <c r="S62" s="63" t="s">
        <v>22</v>
      </c>
      <c r="T62" s="63" t="s">
        <v>23</v>
      </c>
      <c r="U62" s="63" t="str" cm="1">
        <f t="array" aca="1" ref="U62" ca="1">_FV(RTData[[#This Row],[Company Name]],"Exchange abbreviation",TRUE)</f>
        <v>XPAR</v>
      </c>
      <c r="V62" s="90">
        <f ca="1">IFERROR(RTData[[#This Row],[Volume]]/RTData[[#This Row],[Volume average]],1)</f>
        <v>0.30738212952851812</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45978.684027777781</v>
      </c>
      <c r="F63" s="64" cm="1">
        <f t="array" aca="1" ref="F63" ca="1">_FV(RTData[[#This Row],[Company Name]],"Previous close",TRUE)</f>
        <v>45.33</v>
      </c>
      <c r="G63" s="64" cm="1">
        <f t="array" aca="1" ref="G63" ca="1">IFERROR(_FV(RTData[[#This Row],[Company Name]],"Open"),RTData[[#This Row],[Close]])</f>
        <v>45.7</v>
      </c>
      <c r="H63" s="64" cm="1">
        <f t="array" aca="1" ref="H63" ca="1">_FV(RTData[[#This Row],[Company Name]],"Price")</f>
        <v>45.72</v>
      </c>
      <c r="I63" s="64" cm="1">
        <f t="array" aca="1" ref="I63" ca="1">IFERROR(_FV(RTData[[#This Row],[Company Name]],"Low"),0)</f>
        <v>45.38</v>
      </c>
      <c r="J63" s="64" cm="1">
        <f t="array" aca="1" ref="J63" ca="1">IFERROR(_FV(RTData[[#This Row],[Company Name]],"High"),0)</f>
        <v>45.77</v>
      </c>
      <c r="K63" s="59" cm="1">
        <f t="array" aca="1" ref="K63" ca="1">IFERROR(_FV(RTData[[#This Row],[Company Name]],"P/E",TRUE),99)</f>
        <v>14.7484</v>
      </c>
      <c r="L63" s="60" cm="1">
        <f t="array" aca="1" ref="L63" ca="1">_FV(RTData[[#This Row],[Company Name]],"Change")</f>
        <v>0.39</v>
      </c>
      <c r="M63" s="61" cm="1">
        <f t="array" aca="1" ref="M63" ca="1">_FV(RTData[[#This Row],[Company Name]],"Change (%)",TRUE)</f>
        <v>8.6040000000000005E-3</v>
      </c>
      <c r="N63" s="64" cm="1">
        <f t="array" aca="1" ref="N63" ca="1">_FV(RTData[[#This Row],[Company Name]],"52 week low",TRUE)</f>
        <v>14.231</v>
      </c>
      <c r="O63" s="64" cm="1">
        <f t="array" aca="1" ref="O63" ca="1">_FV(RTData[[#This Row],[Company Name]],"52 week high",TRUE)</f>
        <v>46.82</v>
      </c>
      <c r="P63" s="62" cm="1">
        <f t="array" aca="1" ref="P63" ca="1">_FV(RTData[[#This Row],[Company Name]],"Volume")</f>
        <v>4462</v>
      </c>
      <c r="Q63" s="62" cm="1">
        <f t="array" aca="1" ref="Q63" ca="1">_FV(RTData[[#This Row],[Company Name]],"Volume average",TRUE)</f>
        <v>2310700</v>
      </c>
      <c r="R63" s="57" cm="1">
        <f t="array" aca="1" ref="R63" ca="1">_FV(RTData[[#This Row],[Company Name]],"Beta")</f>
        <v>0.47510000000000002</v>
      </c>
      <c r="S63" s="63" t="s">
        <v>22</v>
      </c>
      <c r="T63" s="63" t="s">
        <v>23</v>
      </c>
      <c r="U63" s="63" t="str" cm="1">
        <f t="array" aca="1" ref="U63" ca="1">_FV(RTData[[#This Row],[Company Name]],"Exchange abbreviation",TRUE)</f>
        <v>XFRA</v>
      </c>
      <c r="V63" s="90">
        <f ca="1">IFERROR(RTData[[#This Row],[Volume]]/RTData[[#This Row],[Volume average]],1)</f>
        <v>1.9310165750638334E-3</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45978.684479166666</v>
      </c>
      <c r="F64" s="64" cm="1">
        <f t="array" aca="1" ref="F64" ca="1">_FV(RTData[[#This Row],[Company Name]],"Previous close",TRUE)</f>
        <v>211.1</v>
      </c>
      <c r="G64" s="64" cm="1">
        <f t="array" aca="1" ref="G64" ca="1">IFERROR(_FV(RTData[[#This Row],[Company Name]],"Open"),RTData[[#This Row],[Close]])</f>
        <v>211.6</v>
      </c>
      <c r="H64" s="64" cm="1">
        <f t="array" aca="1" ref="H64" ca="1">_FV(RTData[[#This Row],[Company Name]],"Price")</f>
        <v>206.35</v>
      </c>
      <c r="I64" s="64" cm="1">
        <f t="array" aca="1" ref="I64" ca="1">IFERROR(_FV(RTData[[#This Row],[Company Name]],"Low"),0)</f>
        <v>205.7</v>
      </c>
      <c r="J64" s="64" cm="1">
        <f t="array" aca="1" ref="J64" ca="1">IFERROR(_FV(RTData[[#This Row],[Company Name]],"High"),0)</f>
        <v>211.8</v>
      </c>
      <c r="K64" s="59" cm="1">
        <f t="array" aca="1" ref="K64" ca="1">IFERROR(_FV(RTData[[#This Row],[Company Name]],"P/E",TRUE),99)</f>
        <v>33.990600000000001</v>
      </c>
      <c r="L64" s="60" cm="1">
        <f t="array" aca="1" ref="L64" ca="1">_FV(RTData[[#This Row],[Company Name]],"Change")</f>
        <v>-4.75</v>
      </c>
      <c r="M64" s="61" cm="1">
        <f t="array" aca="1" ref="M64" ca="1">_FV(RTData[[#This Row],[Company Name]],"Change (%)",TRUE)</f>
        <v>-2.2501000000000004E-2</v>
      </c>
      <c r="N64" s="64" cm="1">
        <f t="array" aca="1" ref="N64" ca="1">_FV(RTData[[#This Row],[Company Name]],"52 week low",TRUE)</f>
        <v>205.7</v>
      </c>
      <c r="O64" s="64" cm="1">
        <f t="array" aca="1" ref="O64" ca="1">_FV(RTData[[#This Row],[Company Name]],"52 week high",TRUE)</f>
        <v>283.5</v>
      </c>
      <c r="P64" s="62" cm="1">
        <f t="array" aca="1" ref="P64" ca="1">_FV(RTData[[#This Row],[Company Name]],"Volume")</f>
        <v>718618</v>
      </c>
      <c r="Q64" s="62" cm="1">
        <f t="array" aca="1" ref="Q64" ca="1">_FV(RTData[[#This Row],[Company Name]],"Volume average",TRUE)</f>
        <v>1226460</v>
      </c>
      <c r="R64" s="64" cm="1">
        <f t="array" aca="1" ref="R64" ca="1">_FV(RTData[[#This Row],[Company Name]],"Beta")</f>
        <v>1.0510999999999999</v>
      </c>
      <c r="S64" s="63" t="s">
        <v>22</v>
      </c>
      <c r="T64" s="63" t="s">
        <v>23</v>
      </c>
      <c r="U64" s="63" t="str" cm="1">
        <f t="array" aca="1" ref="U64" ca="1">_FV(RTData[[#This Row],[Company Name]],"Exchange abbreviation",TRUE)</f>
        <v>XETR</v>
      </c>
      <c r="V64" s="90">
        <f ca="1">IFERROR(RTData[[#This Row],[Volume]]/RTData[[#This Row],[Volume average]],1)</f>
        <v>0.58592860753713938</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45978.683333333334</v>
      </c>
      <c r="F65" s="64" cm="1">
        <f t="array" aca="1" ref="F65" ca="1">_FV(RTData[[#This Row],[Company Name]],"Previous close",TRUE)</f>
        <v>28.6</v>
      </c>
      <c r="G65" s="64" cm="1">
        <f t="array" aca="1" ref="G65" ca="1">IFERROR(_FV(RTData[[#This Row],[Company Name]],"Open"),RTData[[#This Row],[Close]])</f>
        <v>29.65</v>
      </c>
      <c r="H65" s="64" cm="1">
        <f t="array" aca="1" ref="H65" ca="1">_FV(RTData[[#This Row],[Company Name]],"Price")</f>
        <v>30.45</v>
      </c>
      <c r="I65" s="64" cm="1">
        <f t="array" aca="1" ref="I65" ca="1">IFERROR(_FV(RTData[[#This Row],[Company Name]],"Low"),0)</f>
        <v>29.65</v>
      </c>
      <c r="J65" s="64" cm="1">
        <f t="array" aca="1" ref="J65" ca="1">IFERROR(_FV(RTData[[#This Row],[Company Name]],"High"),0)</f>
        <v>30.55</v>
      </c>
      <c r="K65" s="59" cm="1">
        <f t="array" ref="K65">IFERROR(_FV(RTData[[#This Row],[Company Name]],"P/E",TRUE),99)</f>
        <v>99</v>
      </c>
      <c r="L65" s="60" cm="1">
        <f t="array" aca="1" ref="L65" ca="1">_FV(RTData[[#This Row],[Company Name]],"Change")</f>
        <v>1.85</v>
      </c>
      <c r="M65" s="61" cm="1">
        <f t="array" aca="1" ref="M65" ca="1">_FV(RTData[[#This Row],[Company Name]],"Change (%)",TRUE)</f>
        <v>6.4684999999999993E-2</v>
      </c>
      <c r="N65" s="64" cm="1">
        <f t="array" aca="1" ref="N65" ca="1">_FV(RTData[[#This Row],[Company Name]],"52 week low",TRUE)</f>
        <v>2.1</v>
      </c>
      <c r="O65" s="64" cm="1">
        <f t="array" aca="1" ref="O65" ca="1">_FV(RTData[[#This Row],[Company Name]],"52 week high",TRUE)</f>
        <v>73.5</v>
      </c>
      <c r="P65" s="62" cm="1">
        <f t="array" aca="1" ref="P65" ca="1">_FV(RTData[[#This Row],[Company Name]],"Volume")</f>
        <v>1694</v>
      </c>
      <c r="Q65" s="62" cm="1">
        <f t="array" aca="1" ref="Q65" ca="1">_FV(RTData[[#This Row],[Company Name]],"Volume average",TRUE)</f>
        <v>4140</v>
      </c>
      <c r="R65" s="57" cm="1">
        <f t="array" aca="1" ref="R65" ca="1">_FV(RTData[[#This Row],[Company Name]],"Beta")</f>
        <v>1.0952999999999999</v>
      </c>
      <c r="S65" s="63" t="s">
        <v>22</v>
      </c>
      <c r="T65" s="63" t="s">
        <v>23</v>
      </c>
      <c r="U65" s="63" t="str" cm="1">
        <f t="array" aca="1" ref="U65" ca="1">_FV(RTData[[#This Row],[Company Name]],"Exchange abbreviation",TRUE)</f>
        <v>XFRA</v>
      </c>
      <c r="V65" s="90">
        <f ca="1">IFERROR(RTData[[#This Row],[Volume]]/RTData[[#This Row],[Volume average]],1)</f>
        <v>0.40917874396135268</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0.86229197206174013</v>
      </c>
      <c r="C66" t="e" vm="1">
        <v>#VALUE!</v>
      </c>
      <c r="D66" s="113" t="str" cm="1">
        <f t="array" aca="1" ref="D66" ca="1">_FV(RTData[[#This Row],[Company Name]],"Currency")</f>
        <v>USD</v>
      </c>
      <c r="E66" s="17" cm="1">
        <f t="array" aca="1" ref="E66" ca="1">_FV(RTData[[#This Row],[Company Name]],"Last trade time",TRUE)</f>
        <v>45978.694876909372</v>
      </c>
      <c r="F66" s="18" cm="1">
        <f t="array" aca="1" ref="F66" ca="1">_FV(RTData[[#This Row],[Company Name]],"Previous close",TRUE)</f>
        <v>272.41000000000003</v>
      </c>
      <c r="G66" s="18" cm="1">
        <f t="array" aca="1" ref="G66" ca="1">IFERROR(_FV(RTData[[#This Row],[Company Name]],"Open"),RTData[[#This Row],[Close]])</f>
        <v>268.93</v>
      </c>
      <c r="H66" s="18" cm="1">
        <f t="array" aca="1" ref="H66" ca="1">_FV(RTData[[#This Row],[Company Name]],"Price")</f>
        <v>268.62819999999999</v>
      </c>
      <c r="I66" s="18" cm="1">
        <f t="array" aca="1" ref="I66" ca="1">IFERROR(_FV(RTData[[#This Row],[Company Name]],"Low"),0)</f>
        <v>266.64999999999998</v>
      </c>
      <c r="J66" s="18" cm="1">
        <f t="array" aca="1" ref="J66" ca="1">IFERROR(_FV(RTData[[#This Row],[Company Name]],"High"),0)</f>
        <v>270.49</v>
      </c>
      <c r="K66" s="19" cm="1">
        <f t="array" aca="1" ref="K66" ca="1">IFERROR(_FV(RTData[[#This Row],[Company Name]],"P/E",TRUE),99)</f>
        <v>36.171100000000003</v>
      </c>
      <c r="L66" s="20" cm="1">
        <f t="array" aca="1" ref="L66" ca="1">_FV(RTData[[#This Row],[Company Name]],"Change")</f>
        <v>-3.7818000000000001</v>
      </c>
      <c r="M66" s="21" cm="1">
        <f t="array" aca="1" ref="M66" ca="1">_FV(RTData[[#This Row],[Company Name]],"Change (%)",TRUE)</f>
        <v>-1.3883000000000001E-2</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16517005</v>
      </c>
      <c r="Q66" s="22" cm="1">
        <f t="array" aca="1" ref="Q66" ca="1">_FV(RTData[[#This Row],[Company Name]],"Volume average",TRUE)</f>
        <v>48749657</v>
      </c>
      <c r="R66" s="18" cm="1">
        <f t="array" aca="1" ref="R66" ca="1">_FV(RTData[[#This Row],[Company Name]],"Beta")</f>
        <v>1.1039000000000001</v>
      </c>
      <c r="S66" t="s">
        <v>24</v>
      </c>
      <c r="T66" t="s">
        <v>25</v>
      </c>
      <c r="U66" t="str" cm="1">
        <f t="array" aca="1" ref="U66" ca="1">_FV(RTData[[#This Row],[Company Name]],"Exchange abbreviation",TRUE)</f>
        <v>XNAS</v>
      </c>
      <c r="V66" s="23">
        <f ca="1">IFERROR(RTData[[#This Row],[Volume]]/RTData[[#This Row],[Volume average]],1)</f>
        <v>0.33881274282606749</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0.86229197206174013</v>
      </c>
      <c r="C67" t="e" vm="4">
        <v>#VALUE!</v>
      </c>
      <c r="D67" s="113" t="str" cm="1">
        <f t="array" aca="1" ref="D67" ca="1">_FV(RTData[[#This Row],[Company Name]],"Currency")</f>
        <v>USD</v>
      </c>
      <c r="E67" s="17" cm="1">
        <f t="array" aca="1" ref="E67" ca="1">_FV(RTData[[#This Row],[Company Name]],"Last trade time",TRUE)</f>
        <v>45978.694943356248</v>
      </c>
      <c r="F67" s="18" cm="1">
        <f t="array" aca="1" ref="F67" ca="1">_FV(RTData[[#This Row],[Company Name]],"Previous close",TRUE)</f>
        <v>234.69</v>
      </c>
      <c r="G67" s="18" cm="1">
        <f t="array" aca="1" ref="G67" ca="1">IFERROR(_FV(RTData[[#This Row],[Company Name]],"Open"),RTData[[#This Row],[Close]])</f>
        <v>233</v>
      </c>
      <c r="H67" s="18" cm="1">
        <f t="array" aca="1" ref="H67" ca="1">_FV(RTData[[#This Row],[Company Name]],"Price")</f>
        <v>233.2201</v>
      </c>
      <c r="I67" s="18" cm="1">
        <f t="array" aca="1" ref="I67" ca="1">IFERROR(_FV(RTData[[#This Row],[Company Name]],"Low"),0)</f>
        <v>229.19</v>
      </c>
      <c r="J67" s="18" cm="1">
        <f t="array" aca="1" ref="J67" ca="1">IFERROR(_FV(RTData[[#This Row],[Company Name]],"High"),0)</f>
        <v>234.6</v>
      </c>
      <c r="K67" s="19" cm="1">
        <f t="array" aca="1" ref="K67" ca="1">IFERROR(_FV(RTData[[#This Row],[Company Name]],"P/E",TRUE),99)</f>
        <v>32.945300000000003</v>
      </c>
      <c r="L67" s="20" cm="1">
        <f t="array" aca="1" ref="L67" ca="1">_FV(RTData[[#This Row],[Company Name]],"Change")</f>
        <v>-1.4699</v>
      </c>
      <c r="M67" s="21" cm="1">
        <f t="array" aca="1" ref="M67" ca="1">_FV(RTData[[#This Row],[Company Name]],"Change (%)",TRUE)</f>
        <v>-6.2629999999999995E-3</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31636550</v>
      </c>
      <c r="Q67" s="22" cm="1">
        <f t="array" aca="1" ref="Q67" ca="1">_FV(RTData[[#This Row],[Company Name]],"Volume average",TRUE)</f>
        <v>51192660</v>
      </c>
      <c r="R67" s="18" cm="1">
        <f t="array" aca="1" ref="R67" ca="1">_FV(RTData[[#This Row],[Company Name]],"Beta")</f>
        <v>1.3703000000000001</v>
      </c>
      <c r="S67" t="s">
        <v>24</v>
      </c>
      <c r="T67" t="s">
        <v>25</v>
      </c>
      <c r="U67" t="str" cm="1">
        <f t="array" aca="1" ref="U67" ca="1">_FV(RTData[[#This Row],[Company Name]],"Exchange abbreviation",TRUE)</f>
        <v>XNAS</v>
      </c>
      <c r="V67" s="23">
        <f ca="1">IFERROR(RTData[[#This Row],[Volume]]/RTData[[#This Row],[Volume average]],1)</f>
        <v>0.61798996184218602</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45978.684467592589</v>
      </c>
      <c r="F68" s="27" cm="1">
        <f t="array" aca="1" ref="F68" ca="1">_FV(RTData[[#This Row],[Company Name]],"Previous close",TRUE)</f>
        <v>874.1</v>
      </c>
      <c r="G68" s="27" cm="1">
        <f t="array" aca="1" ref="G68" ca="1">IFERROR(_FV(RTData[[#This Row],[Company Name]],"Open"),RTData[[#This Row],[Close]])</f>
        <v>879.3</v>
      </c>
      <c r="H68" s="27" cm="1">
        <f t="array" aca="1" ref="H68" ca="1">_FV(RTData[[#This Row],[Company Name]],"Price")</f>
        <v>874.7</v>
      </c>
      <c r="I68" s="27" cm="1">
        <f t="array" aca="1" ref="I68" ca="1">IFERROR(_FV(RTData[[#This Row],[Company Name]],"Low"),0)</f>
        <v>864.3</v>
      </c>
      <c r="J68" s="27" cm="1">
        <f t="array" aca="1" ref="J68" ca="1">IFERROR(_FV(RTData[[#This Row],[Company Name]],"High"),0)</f>
        <v>883.9</v>
      </c>
      <c r="K68" s="19" cm="1">
        <f t="array" aca="1" ref="K68" ca="1">IFERROR(_FV(RTData[[#This Row],[Company Name]],"P/E",TRUE),99)</f>
        <v>33.585299999999997</v>
      </c>
      <c r="L68" s="20" cm="1">
        <f t="array" aca="1" ref="L68" ca="1">_FV(RTData[[#This Row],[Company Name]],"Change")</f>
        <v>0.6</v>
      </c>
      <c r="M68" s="21" cm="1">
        <f t="array" aca="1" ref="M68" ca="1">_FV(RTData[[#This Row],[Company Name]],"Change (%)",TRUE)</f>
        <v>6.864000000000001E-4</v>
      </c>
      <c r="N68" s="27" cm="1">
        <f t="array" aca="1" ref="N68" ca="1">_FV(RTData[[#This Row],[Company Name]],"52 week low",TRUE)</f>
        <v>508.4</v>
      </c>
      <c r="O68" s="27" cm="1">
        <f t="array" aca="1" ref="O68" ca="1">_FV(RTData[[#This Row],[Company Name]],"52 week high",TRUE)</f>
        <v>938.6</v>
      </c>
      <c r="P68" s="22" cm="1">
        <f t="array" aca="1" ref="P68" ca="1">_FV(RTData[[#This Row],[Company Name]],"Volume")</f>
        <v>276973</v>
      </c>
      <c r="Q68" s="22" cm="1">
        <f t="array" aca="1" ref="Q68" ca="1">_FV(RTData[[#This Row],[Company Name]],"Volume average",TRUE)</f>
        <v>552590</v>
      </c>
      <c r="R68" s="18" cm="1">
        <f t="array" aca="1" ref="R68" ca="1">_FV(RTData[[#This Row],[Company Name]],"Beta")</f>
        <v>2.1217000000000001</v>
      </c>
      <c r="S68" t="s">
        <v>24</v>
      </c>
      <c r="T68" t="s">
        <v>25</v>
      </c>
      <c r="U68" t="str" cm="1">
        <f t="array" aca="1" ref="U68" ca="1">_FV(RTData[[#This Row],[Company Name]],"Exchange abbreviation",TRUE)</f>
        <v>XAMS</v>
      </c>
      <c r="V68" s="23">
        <f ca="1">IFERROR(RTData[[#This Row],[Volume]]/RTData[[#This Row],[Volume average]],1)</f>
        <v>0.50122694945619717</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0.86229197206174013</v>
      </c>
      <c r="C69" t="e" vm="14">
        <v>#VALUE!</v>
      </c>
      <c r="D69" s="113" t="str" cm="1">
        <f t="array" aca="1" ref="D69" ca="1">_FV(RTData[[#This Row],[Company Name]],"Currency")</f>
        <v>USD</v>
      </c>
      <c r="E69" s="17" cm="1">
        <f t="array" aca="1" ref="E69" ca="1">_FV(RTData[[#This Row],[Company Name]],"Last trade time",TRUE)</f>
        <v>45978.694840821096</v>
      </c>
      <c r="F69" s="18" cm="1">
        <f t="array" aca="1" ref="F69" ca="1">_FV(RTData[[#This Row],[Company Name]],"Previous close",TRUE)</f>
        <v>2.16</v>
      </c>
      <c r="G69" s="18" cm="1">
        <f t="array" aca="1" ref="G69" ca="1">IFERROR(_FV(RTData[[#This Row],[Company Name]],"Open"),RTData[[#This Row],[Close]])</f>
        <v>2.15</v>
      </c>
      <c r="H69" s="18" cm="1">
        <f t="array" aca="1" ref="H69" ca="1">_FV(RTData[[#This Row],[Company Name]],"Price")</f>
        <v>2.1549999999999998</v>
      </c>
      <c r="I69" s="18" cm="1">
        <f t="array" aca="1" ref="I69" ca="1">IFERROR(_FV(RTData[[#This Row],[Company Name]],"Low"),0)</f>
        <v>2.12</v>
      </c>
      <c r="J69" s="18" cm="1">
        <f t="array" aca="1" ref="J69" ca="1">IFERROR(_FV(RTData[[#This Row],[Company Name]],"High"),0)</f>
        <v>2.1951999999999998</v>
      </c>
      <c r="K69" s="19" cm="1">
        <f t="array" ref="K69">IFERROR(_FV(RTData[[#This Row],[Company Name]],"P/E",TRUE),99)</f>
        <v>99</v>
      </c>
      <c r="L69" s="20" cm="1">
        <f t="array" aca="1" ref="L69" ca="1">_FV(RTData[[#This Row],[Company Name]],"Change")</f>
        <v>-5.0000000000000001E-3</v>
      </c>
      <c r="M69" s="21" cm="1">
        <f t="array" aca="1" ref="M69" ca="1">_FV(RTData[[#This Row],[Company Name]],"Change (%)",TRUE)</f>
        <v>-2.3150000000000002E-3</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557788</v>
      </c>
      <c r="Q69" s="22" cm="1">
        <f t="array" aca="1" ref="Q69" ca="1">_FV(RTData[[#This Row],[Company Name]],"Volume average",TRUE)</f>
        <v>3855945</v>
      </c>
      <c r="R69" s="18" cm="1">
        <f t="array" aca="1" ref="R69" ca="1">_FV(RTData[[#This Row],[Company Name]],"Beta")</f>
        <v>1.9165000000000001</v>
      </c>
      <c r="S69" t="s">
        <v>24</v>
      </c>
      <c r="T69" t="s">
        <v>25</v>
      </c>
      <c r="U69" t="str" cm="1">
        <f t="array" aca="1" ref="U69" ca="1">_FV(RTData[[#This Row],[Company Name]],"Exchange abbreviation",TRUE)</f>
        <v>XNYS</v>
      </c>
      <c r="V69" s="23">
        <f ca="1">IFERROR(RTData[[#This Row],[Volume]]/RTData[[#This Row],[Volume average]],1)</f>
        <v>0.14465662762305997</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0.86229197206174013</v>
      </c>
      <c r="C70" t="e" vm="15">
        <v>#VALUE!</v>
      </c>
      <c r="D70" s="113" t="str" cm="1">
        <f t="array" aca="1" ref="D70" ca="1">_FV(RTData[[#This Row],[Company Name]],"Currency")</f>
        <v>USD</v>
      </c>
      <c r="E70" s="17" cm="1">
        <f t="array" aca="1" ref="E70" ca="1">_FV(RTData[[#This Row],[Company Name]],"Last trade time",TRUE)</f>
        <v>45978.694930335158</v>
      </c>
      <c r="F70" s="18" cm="1">
        <f t="array" aca="1" ref="F70" ca="1">_FV(RTData[[#This Row],[Company Name]],"Previous close",TRUE)</f>
        <v>105.8</v>
      </c>
      <c r="G70" s="18" cm="1">
        <f t="array" aca="1" ref="G70" ca="1">IFERROR(_FV(RTData[[#This Row],[Company Name]],"Open"),RTData[[#This Row],[Close]])</f>
        <v>105.97</v>
      </c>
      <c r="H70" s="18" cm="1">
        <f t="array" aca="1" ref="H70" ca="1">_FV(RTData[[#This Row],[Company Name]],"Price")</f>
        <v>106.80500000000001</v>
      </c>
      <c r="I70" s="18" cm="1">
        <f t="array" aca="1" ref="I70" ca="1">IFERROR(_FV(RTData[[#This Row],[Company Name]],"Low"),0)</f>
        <v>105.3</v>
      </c>
      <c r="J70" s="18" cm="1">
        <f t="array" aca="1" ref="J70" ca="1">IFERROR(_FV(RTData[[#This Row],[Company Name]],"High"),0)</f>
        <v>107.67</v>
      </c>
      <c r="K70" s="19" cm="1">
        <f t="array" aca="1" ref="K70" ca="1">IFERROR(_FV(RTData[[#This Row],[Company Name]],"P/E",TRUE),99)</f>
        <v>15.588100000000001</v>
      </c>
      <c r="L70" s="20" cm="1">
        <f t="array" aca="1" ref="L70" ca="1">_FV(RTData[[#This Row],[Company Name]],"Change")</f>
        <v>1.0049999999999999</v>
      </c>
      <c r="M70" s="21" cm="1">
        <f t="array" aca="1" ref="M70" ca="1">_FV(RTData[[#This Row],[Company Name]],"Change (%)",TRUE)</f>
        <v>9.4990000000000005E-3</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4416812</v>
      </c>
      <c r="Q70" s="22" cm="1">
        <f t="array" aca="1" ref="Q70" ca="1">_FV(RTData[[#This Row],[Company Name]],"Volume average",TRUE)</f>
        <v>10003020</v>
      </c>
      <c r="R70" s="18" cm="1">
        <f t="array" aca="1" ref="R70" ca="1">_FV(RTData[[#This Row],[Company Name]],"Beta")</f>
        <v>1.4954000000000001</v>
      </c>
      <c r="S70" t="s">
        <v>24</v>
      </c>
      <c r="T70" t="s">
        <v>25</v>
      </c>
      <c r="U70" t="str" cm="1">
        <f t="array" aca="1" ref="U70" ca="1">_FV(RTData[[#This Row],[Company Name]],"Exchange abbreviation",TRUE)</f>
        <v>XNYS</v>
      </c>
      <c r="V70" s="23">
        <f ca="1">IFERROR(RTData[[#This Row],[Volume]]/RTData[[#This Row],[Volume average]],1)</f>
        <v>0.44154785254853035</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0.86229197206174013</v>
      </c>
      <c r="C71" t="e" vm="21">
        <v>#VALUE!</v>
      </c>
      <c r="D71" s="113" t="str" cm="1">
        <f t="array" aca="1" ref="D71" ca="1">_FV(RTData[[#This Row],[Company Name]],"Currency")</f>
        <v>USD</v>
      </c>
      <c r="E71" s="17" cm="1">
        <f t="array" aca="1" ref="E71" ca="1">_FV(RTData[[#This Row],[Company Name]],"Last trade time",TRUE)</f>
        <v>45978.694893159372</v>
      </c>
      <c r="F71" s="18" cm="1">
        <f t="array" aca="1" ref="F71" ca="1">_FV(RTData[[#This Row],[Company Name]],"Previous close",TRUE)</f>
        <v>70.52</v>
      </c>
      <c r="G71" s="18" cm="1">
        <f t="array" aca="1" ref="G71" ca="1">IFERROR(_FV(RTData[[#This Row],[Company Name]],"Open"),RTData[[#This Row],[Close]])</f>
        <v>70.314999999999998</v>
      </c>
      <c r="H71" s="18" cm="1">
        <f t="array" aca="1" ref="H71" ca="1">_FV(RTData[[#This Row],[Company Name]],"Price")</f>
        <v>69.48</v>
      </c>
      <c r="I71" s="18" cm="1">
        <f t="array" aca="1" ref="I71" ca="1">IFERROR(_FV(RTData[[#This Row],[Company Name]],"Low"),0)</f>
        <v>69.015000000000001</v>
      </c>
      <c r="J71" s="18" cm="1">
        <f t="array" aca="1" ref="J71" ca="1">IFERROR(_FV(RTData[[#This Row],[Company Name]],"High"),0)</f>
        <v>70.459999999999994</v>
      </c>
      <c r="K71" s="19" cm="1">
        <f t="array" aca="1" ref="K71" ca="1">IFERROR(_FV(RTData[[#This Row],[Company Name]],"P/E",TRUE),99)</f>
        <v>13.3636</v>
      </c>
      <c r="L71" s="20" cm="1">
        <f t="array" aca="1" ref="L71" ca="1">_FV(RTData[[#This Row],[Company Name]],"Change")</f>
        <v>-1.04</v>
      </c>
      <c r="M71" s="21" cm="1">
        <f t="array" aca="1" ref="M71" ca="1">_FV(RTData[[#This Row],[Company Name]],"Change (%)",TRUE)</f>
        <v>-1.4748000000000001E-2</v>
      </c>
      <c r="N71" s="18" cm="1">
        <f t="array" aca="1" ref="N71" ca="1">_FV(RTData[[#This Row],[Company Name]],"52 week low",TRUE)</f>
        <v>41.6</v>
      </c>
      <c r="O71" s="18" cm="1">
        <f t="array" aca="1" ref="O71" ca="1">_FV(RTData[[#This Row],[Company Name]],"52 week high",TRUE)</f>
        <v>72.87</v>
      </c>
      <c r="P71" s="22" cm="1">
        <f t="array" aca="1" ref="P71" ca="1">_FV(RTData[[#This Row],[Company Name]],"Volume")</f>
        <v>1783236</v>
      </c>
      <c r="Q71" s="22" cm="1">
        <f t="array" aca="1" ref="Q71" ca="1">_FV(RTData[[#This Row],[Company Name]],"Volume average",TRUE)</f>
        <v>10476882</v>
      </c>
      <c r="R71" s="18" cm="1">
        <f t="array" aca="1" ref="R71" ca="1">_FV(RTData[[#This Row],[Company Name]],"Beta")</f>
        <v>1.3005</v>
      </c>
      <c r="S71" t="s">
        <v>24</v>
      </c>
      <c r="T71" t="s">
        <v>25</v>
      </c>
      <c r="U71" t="str" cm="1">
        <f t="array" aca="1" ref="U71" ca="1">_FV(RTData[[#This Row],[Company Name]],"Exchange abbreviation",TRUE)</f>
        <v>XNYS</v>
      </c>
      <c r="V71" s="23">
        <f ca="1">IFERROR(RTData[[#This Row],[Volume]]/RTData[[#This Row],[Volume average]],1)</f>
        <v>0.17020674662557048</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1.1363636363636364E-2</v>
      </c>
      <c r="C72" t="e" vm="24">
        <v>#VALUE!</v>
      </c>
      <c r="D72" s="113" t="str" cm="1">
        <f t="array" aca="1" ref="D72" ca="1">_FV(RTData[[#This Row],[Company Name]],"Currency")</f>
        <v>GBp</v>
      </c>
      <c r="E72" s="17" cm="1">
        <f t="array" aca="1" ref="E72" ca="1">_FV(RTData[[#This Row],[Company Name]],"Last trade time",TRUE)</f>
        <v>45978.684237685156</v>
      </c>
      <c r="F72" s="18" cm="1">
        <f t="array" aca="1" ref="F72" ca="1">_FV(RTData[[#This Row],[Company Name]],"Previous close",TRUE)</f>
        <v>387.5</v>
      </c>
      <c r="G72" s="18" cm="1">
        <f t="array" aca="1" ref="G72" ca="1">IFERROR(_FV(RTData[[#This Row],[Company Name]],"Open"),RTData[[#This Row],[Close]])</f>
        <v>388.5</v>
      </c>
      <c r="H72" s="18" cm="1">
        <f t="array" aca="1" ref="H72" ca="1">_FV(RTData[[#This Row],[Company Name]],"Price")</f>
        <v>380.3</v>
      </c>
      <c r="I72" s="18" cm="1">
        <f t="array" aca="1" ref="I72" ca="1">IFERROR(_FV(RTData[[#This Row],[Company Name]],"Low"),0)</f>
        <v>378.6</v>
      </c>
      <c r="J72" s="18" cm="1">
        <f t="array" aca="1" ref="J72" ca="1">IFERROR(_FV(RTData[[#This Row],[Company Name]],"High"),0)</f>
        <v>389.3</v>
      </c>
      <c r="K72" s="19" cm="1">
        <f t="array" aca="1" ref="K72" ca="1">IFERROR(_FV(RTData[[#This Row],[Company Name]],"P/E",TRUE),99)</f>
        <v>6.851</v>
      </c>
      <c r="L72" s="20" cm="1">
        <f t="array" aca="1" ref="L72" ca="1">_FV(RTData[[#This Row],[Company Name]],"Change")</f>
        <v>-7.2</v>
      </c>
      <c r="M72" s="21" cm="1">
        <f t="array" aca="1" ref="M72" ca="1">_FV(RTData[[#This Row],[Company Name]],"Change (%)",TRUE)</f>
        <v>-1.8581E-2</v>
      </c>
      <c r="N72" s="18" cm="1">
        <f t="array" aca="1" ref="N72" ca="1">_FV(RTData[[#This Row],[Company Name]],"52 week low",TRUE)</f>
        <v>210</v>
      </c>
      <c r="O72" s="18" cm="1">
        <f t="array" aca="1" ref="O72" ca="1">_FV(RTData[[#This Row],[Company Name]],"52 week high",TRUE)</f>
        <v>429.3</v>
      </c>
      <c r="P72" s="22" cm="1">
        <f t="array" aca="1" ref="P72" ca="1">_FV(RTData[[#This Row],[Company Name]],"Volume")</f>
        <v>16258648</v>
      </c>
      <c r="Q72" s="22" cm="1">
        <f t="array" aca="1" ref="Q72" ca="1">_FV(RTData[[#This Row],[Company Name]],"Volume average",TRUE)</f>
        <v>19170400</v>
      </c>
      <c r="R72" s="18" cm="1">
        <f t="array" aca="1" ref="R72" ca="1">_FV(RTData[[#This Row],[Company Name]],"Beta")</f>
        <v>2.3138000000000001</v>
      </c>
      <c r="S72" t="s">
        <v>24</v>
      </c>
      <c r="T72" t="s">
        <v>25</v>
      </c>
      <c r="U72" t="str" cm="1">
        <f t="array" aca="1" ref="U72" ca="1">_FV(RTData[[#This Row],[Company Name]],"Exchange abbreviation",TRUE)</f>
        <v>XLON</v>
      </c>
      <c r="V72" s="23">
        <f ca="1">IFERROR(RTData[[#This Row],[Volume]]/RTData[[#This Row],[Volume average]],1)</f>
        <v>0.84811208947126826</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0.86229197206174013</v>
      </c>
      <c r="C73" t="e" vm="28">
        <v>#VALUE!</v>
      </c>
      <c r="D73" s="113" t="str" cm="1">
        <f t="array" aca="1" ref="D73" ca="1">_FV(RTData[[#This Row],[Company Name]],"Currency")</f>
        <v>USD</v>
      </c>
      <c r="E73" s="17" cm="1">
        <f t="array" aca="1" ref="E73" ca="1">_FV(RTData[[#This Row],[Company Name]],"Last trade time",TRUE)</f>
        <v>45978.69486658516</v>
      </c>
      <c r="F73" s="18" cm="1">
        <f t="array" aca="1" ref="F73" ca="1">_FV(RTData[[#This Row],[Company Name]],"Previous close",TRUE)</f>
        <v>24.77</v>
      </c>
      <c r="G73" s="18" cm="1">
        <f t="array" aca="1" ref="G73" ca="1">IFERROR(_FV(RTData[[#This Row],[Company Name]],"Open"),RTData[[#This Row],[Close]])</f>
        <v>24.33</v>
      </c>
      <c r="H73" s="18" cm="1">
        <f t="array" aca="1" ref="H73" ca="1">_FV(RTData[[#This Row],[Company Name]],"Price")</f>
        <v>24.88</v>
      </c>
      <c r="I73" s="18" cm="1">
        <f t="array" aca="1" ref="I73" ca="1">IFERROR(_FV(RTData[[#This Row],[Company Name]],"Low"),0)</f>
        <v>24.27</v>
      </c>
      <c r="J73" s="18" cm="1">
        <f t="array" aca="1" ref="J73" ca="1">IFERROR(_FV(RTData[[#This Row],[Company Name]],"High"),0)</f>
        <v>24.91</v>
      </c>
      <c r="K73" s="19" cm="1">
        <f t="array" aca="1" ref="K73" ca="1">IFERROR(_FV(RTData[[#This Row],[Company Name]],"P/E",TRUE),99)</f>
        <v>0</v>
      </c>
      <c r="L73" s="20" cm="1">
        <f t="array" aca="1" ref="L73" ca="1">_FV(RTData[[#This Row],[Company Name]],"Change")</f>
        <v>0.11</v>
      </c>
      <c r="M73" s="21" cm="1">
        <f t="array" aca="1" ref="M73" ca="1">_FV(RTData[[#This Row],[Company Name]],"Change (%)",TRUE)</f>
        <v>4.4409999999999996E-3</v>
      </c>
      <c r="N73" s="18" cm="1">
        <f t="array" aca="1" ref="N73" ca="1">_FV(RTData[[#This Row],[Company Name]],"52 week low",TRUE)</f>
        <v>23.04</v>
      </c>
      <c r="O73" s="18" cm="1">
        <f t="array" aca="1" ref="O73" ca="1">_FV(RTData[[#This Row],[Company Name]],"52 week high",TRUE)</f>
        <v>48.92</v>
      </c>
      <c r="P73" s="22" cm="1">
        <f t="array" aca="1" ref="P73" ca="1">_FV(RTData[[#This Row],[Company Name]],"Volume")</f>
        <v>2734249</v>
      </c>
      <c r="Q73" s="22" cm="1">
        <f t="array" aca="1" ref="Q73" ca="1">_FV(RTData[[#This Row],[Company Name]],"Volume average",TRUE)</f>
        <v>11510483</v>
      </c>
      <c r="R73" s="18" cm="1">
        <f t="array" aca="1" ref="R73" ca="1">_FV(RTData[[#This Row],[Company Name]],"Beta")</f>
        <v>1.1214999999999999</v>
      </c>
      <c r="S73" t="s">
        <v>24</v>
      </c>
      <c r="T73" t="s">
        <v>25</v>
      </c>
      <c r="U73" t="str" cm="1">
        <f t="array" aca="1" ref="U73" ca="1">_FV(RTData[[#This Row],[Company Name]],"Exchange abbreviation",TRUE)</f>
        <v>XNAS</v>
      </c>
      <c r="V73" s="23">
        <f ca="1">IFERROR(RTData[[#This Row],[Volume]]/RTData[[#This Row],[Volume average]],1)</f>
        <v>0.23754424553687278</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0.86229197206174013</v>
      </c>
      <c r="C74" t="e" vm="56">
        <v>#VALUE!</v>
      </c>
      <c r="D74" s="113" t="str" cm="1">
        <f t="array" aca="1" ref="D74" ca="1">_FV(RTData[[#This Row],[Company Name]],"Currency")</f>
        <v>USD</v>
      </c>
      <c r="E74" s="17" cm="1">
        <f t="array" aca="1" ref="E74" ca="1">_FV(RTData[[#This Row],[Company Name]],"Last trade time",TRUE)</f>
        <v>45978.694305728903</v>
      </c>
      <c r="F74" s="18" cm="1">
        <f t="array" aca="1" ref="F74" ca="1">_FV(RTData[[#This Row],[Company Name]],"Previous close",TRUE)</f>
        <v>1.41</v>
      </c>
      <c r="G74" s="18" cm="1">
        <f t="array" aca="1" ref="G74" ca="1">IFERROR(_FV(RTData[[#This Row],[Company Name]],"Open"),RTData[[#This Row],[Close]])</f>
        <v>1.41</v>
      </c>
      <c r="H74" s="18" cm="1">
        <f t="array" aca="1" ref="H74" ca="1">_FV(RTData[[#This Row],[Company Name]],"Price")</f>
        <v>1.448</v>
      </c>
      <c r="I74" s="18" cm="1">
        <f t="array" aca="1" ref="I74" ca="1">IFERROR(_FV(RTData[[#This Row],[Company Name]],"Low"),0)</f>
        <v>1.39</v>
      </c>
      <c r="J74" s="18" cm="1">
        <f t="array" aca="1" ref="J74" ca="1">IFERROR(_FV(RTData[[#This Row],[Company Name]],"High"),0)</f>
        <v>1.47</v>
      </c>
      <c r="K74" s="19" cm="1">
        <f t="array" aca="1" ref="K74" ca="1">IFERROR(_FV(RTData[[#This Row],[Company Name]],"P/E",TRUE),99)</f>
        <v>0</v>
      </c>
      <c r="L74" s="20" cm="1">
        <f t="array" aca="1" ref="L74" ca="1">_FV(RTData[[#This Row],[Company Name]],"Change")</f>
        <v>3.7999999999999999E-2</v>
      </c>
      <c r="M74" s="21" cm="1">
        <f t="array" aca="1" ref="M74" ca="1">_FV(RTData[[#This Row],[Company Name]],"Change (%)",TRUE)</f>
        <v>2.6949999999999998E-2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950847</v>
      </c>
      <c r="Q74" s="22" cm="1">
        <f t="array" aca="1" ref="Q74" ca="1">_FV(RTData[[#This Row],[Company Name]],"Volume average",TRUE)</f>
        <v>3409902</v>
      </c>
      <c r="R74" s="18" cm="1">
        <f t="array" aca="1" ref="R74" ca="1">_FV(RTData[[#This Row],[Company Name]],"Beta")</f>
        <v>1.8971</v>
      </c>
      <c r="T74" t="s">
        <v>25</v>
      </c>
      <c r="U74" t="str" cm="1">
        <f t="array" aca="1" ref="U74" ca="1">_FV(RTData[[#This Row],[Company Name]],"Exchange abbreviation",TRUE)</f>
        <v>XNAS</v>
      </c>
      <c r="V74" s="23">
        <f ca="1">IFERROR(RTData[[#This Row],[Volume]]/RTData[[#This Row],[Volume average]],1)</f>
        <v>0.2788487762991429</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45978.684498066403</v>
      </c>
      <c r="F75" s="18" cm="1">
        <f t="array" aca="1" ref="F75" ca="1">_FV(RTData[[#This Row],[Company Name]],"Previous close",TRUE)</f>
        <v>16.474</v>
      </c>
      <c r="G75" s="18" cm="1">
        <f t="array" aca="1" ref="G75" ca="1">IFERROR(_FV(RTData[[#This Row],[Company Name]],"Open"),RTData[[#This Row],[Close]])</f>
        <v>16.47</v>
      </c>
      <c r="H75" s="18" cm="1">
        <f t="array" aca="1" ref="H75" ca="1">_FV(RTData[[#This Row],[Company Name]],"Price")</f>
        <v>16.582000000000001</v>
      </c>
      <c r="I75" s="18" cm="1">
        <f t="array" aca="1" ref="I75" ca="1">IFERROR(_FV(RTData[[#This Row],[Company Name]],"Low"),0)</f>
        <v>16.437999999999999</v>
      </c>
      <c r="J75" s="18" cm="1">
        <f t="array" aca="1" ref="J75" ca="1">IFERROR(_FV(RTData[[#This Row],[Company Name]],"High"),0)</f>
        <v>16.606000000000002</v>
      </c>
      <c r="K75" s="19" cm="1">
        <f t="array" aca="1" ref="K75" ca="1">IFERROR(_FV(RTData[[#This Row],[Company Name]],"P/E",TRUE),99)</f>
        <v>18.3125</v>
      </c>
      <c r="L75" s="20" cm="1">
        <f t="array" aca="1" ref="L75" ca="1">_FV(RTData[[#This Row],[Company Name]],"Change")</f>
        <v>0.108</v>
      </c>
      <c r="M75" s="21" cm="1">
        <f t="array" aca="1" ref="M75" ca="1">_FV(RTData[[#This Row],[Company Name]],"Change (%)",TRUE)</f>
        <v>6.5559999999999993E-3</v>
      </c>
      <c r="N75" s="18" cm="1">
        <f t="array" aca="1" ref="N75" ca="1">_FV(RTData[[#This Row],[Company Name]],"52 week low",TRUE)</f>
        <v>11.01</v>
      </c>
      <c r="O75" s="18" cm="1">
        <f t="array" aca="1" ref="O75" ca="1">_FV(RTData[[#This Row],[Company Name]],"52 week high",TRUE)</f>
        <v>16.606000000000002</v>
      </c>
      <c r="P75" s="22" cm="1">
        <f t="array" aca="1" ref="P75" ca="1">_FV(RTData[[#This Row],[Company Name]],"Volume")</f>
        <v>5898465</v>
      </c>
      <c r="Q75" s="22" cm="1">
        <f t="array" aca="1" ref="Q75" ca="1">_FV(RTData[[#This Row],[Company Name]],"Volume average",TRUE)</f>
        <v>8743270</v>
      </c>
      <c r="R75" s="18" cm="1">
        <f t="array" aca="1" ref="R75" ca="1">_FV(RTData[[#This Row],[Company Name]],"Beta")</f>
        <v>0.8306</v>
      </c>
      <c r="T75" t="s">
        <v>25</v>
      </c>
      <c r="U75" t="str" cm="1">
        <f t="array" aca="1" ref="U75" ca="1">_FV(RTData[[#This Row],[Company Name]],"Exchange abbreviation",TRUE)</f>
        <v>XMIL</v>
      </c>
      <c r="V75" s="23">
        <f ca="1">IFERROR(RTData[[#This Row],[Volume]]/RTData[[#This Row],[Volume average]],1)</f>
        <v>0.67462917192309058</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1.1363636363636364E-2</v>
      </c>
      <c r="C76" t="e" vm="57">
        <v>#VALUE!</v>
      </c>
      <c r="D76" s="113" t="str" cm="1">
        <f t="array" aca="1" ref="D76" ca="1">_FV(RTData[[#This Row],[Company Name]],"Currency")</f>
        <v>GBp</v>
      </c>
      <c r="E76" s="17" cm="1">
        <f t="array" aca="1" ref="E76" ca="1">_FV(RTData[[#This Row],[Company Name]],"Last trade time",TRUE)</f>
        <v>45978.684245312499</v>
      </c>
      <c r="F76" s="18" cm="1">
        <f t="array" aca="1" ref="F76" ca="1">_FV(RTData[[#This Row],[Company Name]],"Previous close",TRUE)</f>
        <v>469.2</v>
      </c>
      <c r="G76" s="18" cm="1">
        <f t="array" aca="1" ref="G76" ca="1">IFERROR(_FV(RTData[[#This Row],[Company Name]],"Open"),RTData[[#This Row],[Close]])</f>
        <v>468</v>
      </c>
      <c r="H76" s="18" cm="1">
        <f t="array" aca="1" ref="H76" ca="1">_FV(RTData[[#This Row],[Company Name]],"Price")</f>
        <v>460.6</v>
      </c>
      <c r="I76" s="18" cm="1">
        <f t="array" aca="1" ref="I76" ca="1">IFERROR(_FV(RTData[[#This Row],[Company Name]],"Low"),0)</f>
        <v>459.5</v>
      </c>
      <c r="J76" s="18" cm="1">
        <f t="array" aca="1" ref="J76" ca="1">IFERROR(_FV(RTData[[#This Row],[Company Name]],"High"),0)</f>
        <v>470</v>
      </c>
      <c r="K76" s="19" cm="1">
        <f t="array" aca="1" ref="K76" ca="1">IFERROR(_FV(RTData[[#This Row],[Company Name]],"P/E",TRUE),99)</f>
        <v>8.3306000000000004</v>
      </c>
      <c r="L76" s="20" cm="1">
        <f t="array" aca="1" ref="L76" ca="1">_FV(RTData[[#This Row],[Company Name]],"Change")</f>
        <v>-8.6</v>
      </c>
      <c r="M76" s="21" cm="1">
        <f t="array" aca="1" ref="M76" ca="1">_FV(RTData[[#This Row],[Company Name]],"Change (%)",TRUE)</f>
        <v>-1.8328999999999998E-2</v>
      </c>
      <c r="N76" s="18" cm="1">
        <f t="array" aca="1" ref="N76" ca="1">_FV(RTData[[#This Row],[Company Name]],"52 week low",TRUE)</f>
        <v>401.05</v>
      </c>
      <c r="O76" s="18" cm="1">
        <f t="array" aca="1" ref="O76" ca="1">_FV(RTData[[#This Row],[Company Name]],"52 week high",TRUE)</f>
        <v>594</v>
      </c>
      <c r="P76" s="22" cm="1">
        <f t="array" aca="1" ref="P76" ca="1">_FV(RTData[[#This Row],[Company Name]],"Volume")</f>
        <v>1240290</v>
      </c>
      <c r="Q76" s="22" cm="1">
        <f t="array" aca="1" ref="Q76" ca="1">_FV(RTData[[#This Row],[Company Name]],"Volume average",TRUE)</f>
        <v>3993430</v>
      </c>
      <c r="R76" s="18" cm="1">
        <f t="array" aca="1" ref="R76" ca="1">_FV(RTData[[#This Row],[Company Name]],"Beta")</f>
        <v>2.2410999999999999</v>
      </c>
      <c r="T76" t="s">
        <v>25</v>
      </c>
      <c r="U76" t="str" cm="1">
        <f t="array" aca="1" ref="U76" ca="1">_FV(RTData[[#This Row],[Company Name]],"Exchange abbreviation",TRUE)</f>
        <v>XLON</v>
      </c>
      <c r="V76" s="23">
        <f ca="1">IFERROR(RTData[[#This Row],[Volume]]/RTData[[#This Row],[Volume average]],1)</f>
        <v>0.31058263197301567</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0.86229197206174013</v>
      </c>
      <c r="C77" t="e" vm="58">
        <v>#VALUE!</v>
      </c>
      <c r="D77" s="113" t="str" cm="1">
        <f t="array" aca="1" ref="D77" ca="1">_FV(RTData[[#This Row],[Company Name]],"Currency")</f>
        <v>USD</v>
      </c>
      <c r="E77" s="17" cm="1">
        <f t="array" aca="1" ref="E77" ca="1">_FV(RTData[[#This Row],[Company Name]],"Last trade time",TRUE)</f>
        <v>45978.694854606249</v>
      </c>
      <c r="F77" s="18" cm="1">
        <f t="array" aca="1" ref="F77" ca="1">_FV(RTData[[#This Row],[Company Name]],"Previous close",TRUE)</f>
        <v>13.19</v>
      </c>
      <c r="G77" s="18" cm="1">
        <f t="array" aca="1" ref="G77" ca="1">IFERROR(_FV(RTData[[#This Row],[Company Name]],"Open"),RTData[[#This Row],[Close]])</f>
        <v>13.14</v>
      </c>
      <c r="H77" s="18" cm="1">
        <f t="array" aca="1" ref="H77" ca="1">_FV(RTData[[#This Row],[Company Name]],"Price")</f>
        <v>13.065</v>
      </c>
      <c r="I77" s="18" cm="1">
        <f t="array" aca="1" ref="I77" ca="1">IFERROR(_FV(RTData[[#This Row],[Company Name]],"Low"),0)</f>
        <v>13</v>
      </c>
      <c r="J77" s="18" cm="1">
        <f t="array" aca="1" ref="J77" ca="1">IFERROR(_FV(RTData[[#This Row],[Company Name]],"High"),0)</f>
        <v>13.1751</v>
      </c>
      <c r="K77" s="19" cm="1">
        <f t="array" aca="1" ref="K77" ca="1">IFERROR(_FV(RTData[[#This Row],[Company Name]],"P/E",TRUE),99)</f>
        <v>11.2194</v>
      </c>
      <c r="L77" s="20" cm="1">
        <f t="array" aca="1" ref="L77" ca="1">_FV(RTData[[#This Row],[Company Name]],"Change")</f>
        <v>-0.125</v>
      </c>
      <c r="M77" s="21" cm="1">
        <f t="array" aca="1" ref="M77" ca="1">_FV(RTData[[#This Row],[Company Name]],"Change (%)",TRUE)</f>
        <v>-9.4769999999999993E-3</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19007971</v>
      </c>
      <c r="Q77" s="22" cm="1">
        <f t="array" aca="1" ref="Q77" ca="1">_FV(RTData[[#This Row],[Company Name]],"Volume average",TRUE)</f>
        <v>131466278</v>
      </c>
      <c r="R77" s="18" cm="1">
        <f t="array" aca="1" ref="R77" ca="1">_FV(RTData[[#This Row],[Company Name]],"Beta")</f>
        <v>1.5939000000000001</v>
      </c>
      <c r="T77" t="s">
        <v>25</v>
      </c>
      <c r="U77" t="str" cm="1">
        <f t="array" aca="1" ref="U77" ca="1">_FV(RTData[[#This Row],[Company Name]],"Exchange abbreviation",TRUE)</f>
        <v>XNYS</v>
      </c>
      <c r="V77" s="23">
        <f ca="1">IFERROR(RTData[[#This Row],[Volume]]/RTData[[#This Row],[Volume average]],1)</f>
        <v>0.14458438535850235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45978.68440972222</v>
      </c>
      <c r="F78" s="27" cm="1">
        <f t="array" aca="1" ref="F78" ca="1">_FV(RTData[[#This Row],[Company Name]],"Previous close",TRUE)</f>
        <v>57.98</v>
      </c>
      <c r="G78" s="27" cm="1">
        <f t="array" aca="1" ref="G78" ca="1">IFERROR(_FV(RTData[[#This Row],[Company Name]],"Open"),RTData[[#This Row],[Close]])</f>
        <v>58.54</v>
      </c>
      <c r="H78" s="27" cm="1">
        <f t="array" aca="1" ref="H78" ca="1">_FV(RTData[[#This Row],[Company Name]],"Price")</f>
        <v>58.06</v>
      </c>
      <c r="I78" s="27" cm="1">
        <f t="array" aca="1" ref="I78" ca="1">IFERROR(_FV(RTData[[#This Row],[Company Name]],"Low"),0)</f>
        <v>57.52</v>
      </c>
      <c r="J78" s="27" cm="1">
        <f t="array" aca="1" ref="J78" ca="1">IFERROR(_FV(RTData[[#This Row],[Company Name]],"High"),0)</f>
        <v>58.82</v>
      </c>
      <c r="K78" s="19" cm="1">
        <f t="array" aca="1" ref="K78" ca="1">IFERROR(_FV(RTData[[#This Row],[Company Name]],"P/E",TRUE),99)</f>
        <v>9.2974999999999994</v>
      </c>
      <c r="L78" s="20" cm="1">
        <f t="array" aca="1" ref="L78" ca="1">_FV(RTData[[#This Row],[Company Name]],"Change")</f>
        <v>0.08</v>
      </c>
      <c r="M78" s="21" cm="1">
        <f t="array" aca="1" ref="M78" ca="1">_FV(RTData[[#This Row],[Company Name]],"Change (%)",TRUE)</f>
        <v>1.3800000000000002E-3</v>
      </c>
      <c r="N78" s="27" cm="1">
        <f t="array" aca="1" ref="N78" ca="1">_FV(RTData[[#This Row],[Company Name]],"52 week low",TRUE)</f>
        <v>24.03</v>
      </c>
      <c r="O78" s="27" cm="1">
        <f t="array" aca="1" ref="O78" ca="1">_FV(RTData[[#This Row],[Company Name]],"52 week high",TRUE)</f>
        <v>59.9</v>
      </c>
      <c r="P78" s="22" cm="1">
        <f t="array" aca="1" ref="P78" ca="1">_FV(RTData[[#This Row],[Company Name]],"Volume")</f>
        <v>665075</v>
      </c>
      <c r="Q78" s="22" cm="1">
        <f t="array" aca="1" ref="Q78" ca="1">_FV(RTData[[#This Row],[Company Name]],"Volume average",TRUE)</f>
        <v>1825620</v>
      </c>
      <c r="R78" s="18" cm="1">
        <f t="array" aca="1" ref="R78" ca="1">_FV(RTData[[#This Row],[Company Name]],"Beta")</f>
        <v>1.3888</v>
      </c>
      <c r="T78" t="s">
        <v>25</v>
      </c>
      <c r="U78" t="str" cm="1">
        <f t="array" aca="1" ref="U78" ca="1">_FV(RTData[[#This Row],[Company Name]],"Exchange abbreviation",TRUE)</f>
        <v>XPAR</v>
      </c>
      <c r="V78" s="23">
        <f ca="1">IFERROR(RTData[[#This Row],[Volume]]/RTData[[#This Row],[Volume average]],1)</f>
        <v>0.36430089503839791</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0.86229197206174013</v>
      </c>
      <c r="C79" t="e" vm="59">
        <v>#VALUE!</v>
      </c>
      <c r="D79" s="113" t="str" cm="1">
        <f t="array" aca="1" ref="D79" ca="1">_FV(RTData[[#This Row],[Company Name]],"Currency")</f>
        <v>USD</v>
      </c>
      <c r="E79" s="17" cm="1">
        <f t="array" aca="1" ref="E79" ca="1">_FV(RTData[[#This Row],[Company Name]],"Last trade time",TRUE)</f>
        <v>45978.694843298435</v>
      </c>
      <c r="F79" s="18" cm="1">
        <f t="array" aca="1" ref="F79" ca="1">_FV(RTData[[#This Row],[Company Name]],"Previous close",TRUE)</f>
        <v>151.21</v>
      </c>
      <c r="G79" s="18" cm="1">
        <f t="array" aca="1" ref="G79" ca="1">IFERROR(_FV(RTData[[#This Row],[Company Name]],"Open"),RTData[[#This Row],[Close]])</f>
        <v>150.09</v>
      </c>
      <c r="H79" s="18" cm="1">
        <f t="array" aca="1" ref="H79" ca="1">_FV(RTData[[#This Row],[Company Name]],"Price")</f>
        <v>145.63</v>
      </c>
      <c r="I79" s="18" cm="1">
        <f t="array" aca="1" ref="I79" ca="1">IFERROR(_FV(RTData[[#This Row],[Company Name]],"Low"),0)</f>
        <v>144.815</v>
      </c>
      <c r="J79" s="18" cm="1">
        <f t="array" aca="1" ref="J79" ca="1">IFERROR(_FV(RTData[[#This Row],[Company Name]],"High"),0)</f>
        <v>150.32</v>
      </c>
      <c r="K79" s="19" cm="1">
        <f t="array" aca="1" ref="K79" ca="1">IFERROR(_FV(RTData[[#This Row],[Company Name]],"P/E",TRUE),99)</f>
        <v>27.7105</v>
      </c>
      <c r="L79" s="20" cm="1">
        <f t="array" aca="1" ref="L79" ca="1">_FV(RTData[[#This Row],[Company Name]],"Change")</f>
        <v>-5.58</v>
      </c>
      <c r="M79" s="21" cm="1">
        <f t="array" aca="1" ref="M79" ca="1">_FV(RTData[[#This Row],[Company Name]],"Change (%)",TRUE)</f>
        <v>-3.6901999999999997E-2</v>
      </c>
      <c r="N79" s="18" cm="1">
        <f t="array" aca="1" ref="N79" ca="1">_FV(RTData[[#This Row],[Company Name]],"52 week low",TRUE)</f>
        <v>99.5</v>
      </c>
      <c r="O79" s="18" cm="1">
        <f t="array" aca="1" ref="O79" ca="1">_FV(RTData[[#This Row],[Company Name]],"52 week high",TRUE)</f>
        <v>203.2499</v>
      </c>
      <c r="P79" s="22" cm="1">
        <f t="array" aca="1" ref="P79" ca="1">_FV(RTData[[#This Row],[Company Name]],"Volume")</f>
        <v>344042</v>
      </c>
      <c r="Q79" s="22" cm="1">
        <f t="array" aca="1" ref="Q79" ca="1">_FV(RTData[[#This Row],[Company Name]],"Volume average",TRUE)</f>
        <v>1367194</v>
      </c>
      <c r="R79" s="18" cm="1">
        <f t="array" aca="1" ref="R79" ca="1">_FV(RTData[[#This Row],[Company Name]],"Beta")</f>
        <v>1.8244</v>
      </c>
      <c r="T79" t="s">
        <v>25</v>
      </c>
      <c r="U79" t="str" cm="1">
        <f t="array" aca="1" ref="U79" ca="1">_FV(RTData[[#This Row],[Company Name]],"Exchange abbreviation",TRUE)</f>
        <v>XNYS</v>
      </c>
      <c r="V79" s="23">
        <f ca="1">IFERROR(RTData[[#This Row],[Volume]]/RTData[[#This Row],[Volume average]],1)</f>
        <v>0.2516409521984444</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0.86229197206174013</v>
      </c>
      <c r="C80" t="e" vm="60">
        <v>#VALUE!</v>
      </c>
      <c r="D80" s="113" t="str" cm="1">
        <f t="array" aca="1" ref="D80" ca="1">_FV(RTData[[#This Row],[Company Name]],"Currency")</f>
        <v>USD</v>
      </c>
      <c r="E80" s="17" cm="1">
        <f t="array" aca="1" ref="E80" ca="1">_FV(RTData[[#This Row],[Company Name]],"Last trade time",TRUE)</f>
        <v>45978.694910289065</v>
      </c>
      <c r="F80" s="18" cm="1">
        <f t="array" aca="1" ref="F80" ca="1">_FV(RTData[[#This Row],[Company Name]],"Previous close",TRUE)</f>
        <v>790.91</v>
      </c>
      <c r="G80" s="18" cm="1">
        <f t="array" aca="1" ref="G80" ca="1">IFERROR(_FV(RTData[[#This Row],[Company Name]],"Open"),RTData[[#This Row],[Close]])</f>
        <v>789.53</v>
      </c>
      <c r="H80" s="18" cm="1">
        <f t="array" aca="1" ref="H80" ca="1">_FV(RTData[[#This Row],[Company Name]],"Price")</f>
        <v>791.36</v>
      </c>
      <c r="I80" s="18" cm="1">
        <f t="array" aca="1" ref="I80" ca="1">IFERROR(_FV(RTData[[#This Row],[Company Name]],"Low"),0)</f>
        <v>784.64</v>
      </c>
      <c r="J80" s="18" cm="1">
        <f t="array" aca="1" ref="J80" ca="1">IFERROR(_FV(RTData[[#This Row],[Company Name]],"High"),0)</f>
        <v>796.37</v>
      </c>
      <c r="K80" s="19" cm="1">
        <f t="array" aca="1" ref="K80" ca="1">IFERROR(_FV(RTData[[#This Row],[Company Name]],"P/E",TRUE),99)</f>
        <v>16.075700000000001</v>
      </c>
      <c r="L80" s="20" cm="1">
        <f t="array" aca="1" ref="L80" ca="1">_FV(RTData[[#This Row],[Company Name]],"Change")</f>
        <v>0.45</v>
      </c>
      <c r="M80" s="21" cm="1">
        <f t="array" aca="1" ref="M80" ca="1">_FV(RTData[[#This Row],[Company Name]],"Change (%)",TRUE)</f>
        <v>5.6899999999999995E-4</v>
      </c>
      <c r="N80" s="18" cm="1">
        <f t="array" aca="1" ref="N80" ca="1">_FV(RTData[[#This Row],[Company Name]],"52 week low",TRUE)</f>
        <v>439.38</v>
      </c>
      <c r="O80" s="18" cm="1">
        <f t="array" aca="1" ref="O80" ca="1">_FV(RTData[[#This Row],[Company Name]],"52 week high",TRUE)</f>
        <v>841.28</v>
      </c>
      <c r="P80" s="22" cm="1">
        <f t="array" aca="1" ref="P80" ca="1">_FV(RTData[[#This Row],[Company Name]],"Volume")</f>
        <v>414730</v>
      </c>
      <c r="Q80" s="22" cm="1">
        <f t="array" aca="1" ref="Q80" ca="1">_FV(RTData[[#This Row],[Company Name]],"Volume average",TRUE)</f>
        <v>2216372</v>
      </c>
      <c r="R80" s="18" cm="1">
        <f t="array" aca="1" ref="R80" ca="1">_FV(RTData[[#This Row],[Company Name]],"Beta")</f>
        <v>1.3468</v>
      </c>
      <c r="T80" t="s">
        <v>25</v>
      </c>
      <c r="U80" t="str" cm="1">
        <f t="array" aca="1" ref="U80" ca="1">_FV(RTData[[#This Row],[Company Name]],"Exchange abbreviation",TRUE)</f>
        <v>XNYS</v>
      </c>
      <c r="V80" s="23">
        <f ca="1">IFERROR(RTData[[#This Row],[Volume]]/RTData[[#This Row],[Volume average]],1)</f>
        <v>0.18712111504747397</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0.86229197206174013</v>
      </c>
      <c r="C81" t="e" vm="61">
        <v>#VALUE!</v>
      </c>
      <c r="D81" s="113" t="str" cm="1">
        <f t="array" aca="1" ref="D81" ca="1">_FV(RTData[[#This Row],[Company Name]],"Currency")</f>
        <v>USD</v>
      </c>
      <c r="E81" s="17" cm="1">
        <f t="array" aca="1" ref="E81" ca="1">_FV(RTData[[#This Row],[Company Name]],"Last trade time",TRUE)</f>
        <v>45978.694771087503</v>
      </c>
      <c r="F81" s="18" cm="1">
        <f t="array" aca="1" ref="F81" ca="1">_FV(RTData[[#This Row],[Company Name]],"Previous close",TRUE)</f>
        <v>1.01</v>
      </c>
      <c r="G81" s="18" cm="1">
        <f t="array" aca="1" ref="G81" ca="1">IFERROR(_FV(RTData[[#This Row],[Company Name]],"Open"),RTData[[#This Row],[Close]])</f>
        <v>0.97</v>
      </c>
      <c r="H81" s="18" cm="1">
        <f t="array" aca="1" ref="H81" ca="1">_FV(RTData[[#This Row],[Company Name]],"Price")</f>
        <v>0.91120000000000001</v>
      </c>
      <c r="I81" s="18" cm="1">
        <f t="array" aca="1" ref="I81" ca="1">IFERROR(_FV(RTData[[#This Row],[Company Name]],"Low"),0)</f>
        <v>0.9</v>
      </c>
      <c r="J81" s="18" cm="1">
        <f t="array" aca="1" ref="J81" ca="1">IFERROR(_FV(RTData[[#This Row],[Company Name]],"High"),0)</f>
        <v>1.03</v>
      </c>
      <c r="K81" s="19" cm="1">
        <f t="array" aca="1" ref="K81" ca="1">IFERROR(_FV(RTData[[#This Row],[Company Name]],"P/E",TRUE),99)</f>
        <v>0</v>
      </c>
      <c r="L81" s="20" cm="1">
        <f t="array" aca="1" ref="L81" ca="1">_FV(RTData[[#This Row],[Company Name]],"Change")</f>
        <v>-9.8799999999999999E-2</v>
      </c>
      <c r="M81" s="21" cm="1">
        <f t="array" aca="1" ref="M81" ca="1">_FV(RTData[[#This Row],[Company Name]],"Change (%)",TRUE)</f>
        <v>-9.7821999999999992E-2</v>
      </c>
      <c r="N81" s="18" cm="1">
        <f t="array" aca="1" ref="N81" ca="1">_FV(RTData[[#This Row],[Company Name]],"52 week low",TRUE)</f>
        <v>0.9</v>
      </c>
      <c r="O81" s="18" cm="1">
        <f t="array" aca="1" ref="O81" ca="1">_FV(RTData[[#This Row],[Company Name]],"52 week high",TRUE)</f>
        <v>13.3378</v>
      </c>
      <c r="P81" s="22" cm="1">
        <f t="array" aca="1" ref="P81" ca="1">_FV(RTData[[#This Row],[Company Name]],"Volume")</f>
        <v>6359366</v>
      </c>
      <c r="Q81" s="22" cm="1">
        <f t="array" aca="1" ref="Q81" ca="1">_FV(RTData[[#This Row],[Company Name]],"Volume average",TRUE)</f>
        <v>10898869</v>
      </c>
      <c r="R81" s="18" cm="1">
        <f t="array" aca="1" ref="R81" ca="1">_FV(RTData[[#This Row],[Company Name]],"Beta")</f>
        <v>1.4676</v>
      </c>
      <c r="T81" t="s">
        <v>25</v>
      </c>
      <c r="U81" t="str" cm="1">
        <f t="array" aca="1" ref="U81" ca="1">_FV(RTData[[#This Row],[Company Name]],"Exchange abbreviation",TRUE)</f>
        <v>XNAS</v>
      </c>
      <c r="V81" s="23">
        <f ca="1">IFERROR(RTData[[#This Row],[Volume]]/RTData[[#This Row],[Volume average]],1)</f>
        <v>0.58348861702989552</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0.86229197206174013</v>
      </c>
      <c r="C82" t="e" vm="62">
        <v>#VALUE!</v>
      </c>
      <c r="D82" s="113" t="str" cm="1">
        <f t="array" aca="1" ref="D82" ca="1">_FV(RTData[[#This Row],[Company Name]],"Currency")</f>
        <v>USD</v>
      </c>
      <c r="E82" s="17" cm="1">
        <f t="array" aca="1" ref="E82" ca="1">_FV(RTData[[#This Row],[Company Name]],"Last trade time",TRUE)</f>
        <v>45978.694811770314</v>
      </c>
      <c r="F82" s="18" cm="1">
        <f t="array" aca="1" ref="F82" ca="1">_FV(RTData[[#This Row],[Company Name]],"Previous close",TRUE)</f>
        <v>32.82</v>
      </c>
      <c r="G82" s="18" cm="1">
        <f t="array" aca="1" ref="G82" ca="1">IFERROR(_FV(RTData[[#This Row],[Company Name]],"Open"),RTData[[#This Row],[Close]])</f>
        <v>32.78</v>
      </c>
      <c r="H82" s="18" cm="1">
        <f t="array" aca="1" ref="H82" ca="1">_FV(RTData[[#This Row],[Company Name]],"Price")</f>
        <v>32.414999999999999</v>
      </c>
      <c r="I82" s="18" cm="1">
        <f t="array" aca="1" ref="I82" ca="1">IFERROR(_FV(RTData[[#This Row],[Company Name]],"Low"),0)</f>
        <v>32.17</v>
      </c>
      <c r="J82" s="18" cm="1">
        <f t="array" aca="1" ref="J82" ca="1">IFERROR(_FV(RTData[[#This Row],[Company Name]],"High"),0)</f>
        <v>32.83</v>
      </c>
      <c r="K82" s="19" cm="1">
        <f t="array" aca="1" ref="K82" ca="1">IFERROR(_FV(RTData[[#This Row],[Company Name]],"P/E",TRUE),99)</f>
        <v>48.445700000000002</v>
      </c>
      <c r="L82" s="20" cm="1">
        <f t="array" aca="1" ref="L82" ca="1">_FV(RTData[[#This Row],[Company Name]],"Change")</f>
        <v>-0.40500000000000003</v>
      </c>
      <c r="M82" s="21" cm="1">
        <f t="array" aca="1" ref="M82" ca="1">_FV(RTData[[#This Row],[Company Name]],"Change (%)",TRUE)</f>
        <v>-1.234E-2</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1329175</v>
      </c>
      <c r="Q82" s="22" cm="1">
        <f t="array" aca="1" ref="Q82" ca="1">_FV(RTData[[#This Row],[Company Name]],"Volume average",TRUE)</f>
        <v>9895449</v>
      </c>
      <c r="R82" s="18" cm="1">
        <f t="array" aca="1" ref="R82" ca="1">_FV(RTData[[#This Row],[Company Name]],"Beta")</f>
        <v>1.1537999999999999</v>
      </c>
      <c r="T82" t="s">
        <v>25</v>
      </c>
      <c r="U82" t="str" cm="1">
        <f t="array" aca="1" ref="U82" ca="1">_FV(RTData[[#This Row],[Company Name]],"Exchange abbreviation",TRUE)</f>
        <v>XNYS</v>
      </c>
      <c r="V82" s="23">
        <f ca="1">IFERROR(RTData[[#This Row],[Volume]]/RTData[[#This Row],[Volume average]],1)</f>
        <v>0.1343218483567547</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0.86229197206174013</v>
      </c>
      <c r="C83" t="e" vm="63">
        <v>#VALUE!</v>
      </c>
      <c r="D83" s="113" t="str" cm="1">
        <f t="array" aca="1" ref="D83" ca="1">_FV(RTData[[#This Row],[Company Name]],"Currency")</f>
        <v>USD</v>
      </c>
      <c r="E83" s="17" cm="1">
        <f t="array" aca="1" ref="E83" ca="1">_FV(RTData[[#This Row],[Company Name]],"Last trade time",TRUE)</f>
        <v>45978.694897742971</v>
      </c>
      <c r="F83" s="18" cm="1">
        <f t="array" aca="1" ref="F83" ca="1">_FV(RTData[[#This Row],[Company Name]],"Previous close",TRUE)</f>
        <v>545.73</v>
      </c>
      <c r="G83" s="18" cm="1">
        <f t="array" aca="1" ref="G83" ca="1">IFERROR(_FV(RTData[[#This Row],[Company Name]],"Open"),RTData[[#This Row],[Close]])</f>
        <v>546.20000000000005</v>
      </c>
      <c r="H83" s="18" cm="1">
        <f t="array" aca="1" ref="H83" ca="1">_FV(RTData[[#This Row],[Company Name]],"Price")</f>
        <v>542.625</v>
      </c>
      <c r="I83" s="18" cm="1">
        <f t="array" aca="1" ref="I83" ca="1">IFERROR(_FV(RTData[[#This Row],[Company Name]],"Low"),0)</f>
        <v>539.63</v>
      </c>
      <c r="J83" s="18" cm="1">
        <f t="array" aca="1" ref="J83" ca="1">IFERROR(_FV(RTData[[#This Row],[Company Name]],"High"),0)</f>
        <v>549.17499999999995</v>
      </c>
      <c r="K83" s="19" cm="1">
        <f t="array" aca="1" ref="K83" ca="1">IFERROR(_FV(RTData[[#This Row],[Company Name]],"P/E",TRUE),99)</f>
        <v>34.694899999999997</v>
      </c>
      <c r="L83" s="20" cm="1">
        <f t="array" aca="1" ref="L83" ca="1">_FV(RTData[[#This Row],[Company Name]],"Change")</f>
        <v>-3.105</v>
      </c>
      <c r="M83" s="21" cm="1">
        <f t="array" aca="1" ref="M83" ca="1">_FV(RTData[[#This Row],[Company Name]],"Change (%)",TRUE)</f>
        <v>-5.6899999999999997E-3</v>
      </c>
      <c r="N83" s="18" cm="1">
        <f t="array" aca="1" ref="N83" ca="1">_FV(RTData[[#This Row],[Company Name]],"52 week low",TRUE)</f>
        <v>465.59</v>
      </c>
      <c r="O83" s="18" cm="1">
        <f t="array" aca="1" ref="O83" ca="1">_FV(RTData[[#This Row],[Company Name]],"52 week high",TRUE)</f>
        <v>601.77</v>
      </c>
      <c r="P83" s="22" cm="1">
        <f t="array" aca="1" ref="P83" ca="1">_FV(RTData[[#This Row],[Company Name]],"Volume")</f>
        <v>745793</v>
      </c>
      <c r="Q83" s="22" cm="1">
        <f t="array" aca="1" ref="Q83" ca="1">_FV(RTData[[#This Row],[Company Name]],"Volume average",TRUE)</f>
        <v>2611542</v>
      </c>
      <c r="R83" s="18" cm="1">
        <f t="array" aca="1" ref="R83" ca="1">_FV(RTData[[#This Row],[Company Name]],"Beta")</f>
        <v>0.86680000000000001</v>
      </c>
      <c r="T83" t="s">
        <v>25</v>
      </c>
      <c r="U83" t="str" cm="1">
        <f t="array" aca="1" ref="U83" ca="1">_FV(RTData[[#This Row],[Company Name]],"Exchange abbreviation",TRUE)</f>
        <v>XNYS</v>
      </c>
      <c r="V83" s="23">
        <f ca="1">IFERROR(RTData[[#This Row],[Volume]]/RTData[[#This Row],[Volume average]],1)</f>
        <v>0.28557572499312667</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0.86229197206174013</v>
      </c>
      <c r="C84" t="e" vm="64">
        <v>#VALUE!</v>
      </c>
      <c r="D84" s="113" t="str" cm="1">
        <f t="array" aca="1" ref="D84" ca="1">_FV(RTData[[#This Row],[Company Name]],"Currency")</f>
        <v>USD</v>
      </c>
      <c r="E84" s="17" cm="1">
        <f t="array" aca="1" ref="E84" ca="1">_FV(RTData[[#This Row],[Company Name]],"Last trade time",TRUE)</f>
        <v>45978.694838703123</v>
      </c>
      <c r="F84" s="18" cm="1">
        <f t="array" aca="1" ref="F84" ca="1">_FV(RTData[[#This Row],[Company Name]],"Previous close",TRUE)</f>
        <v>6.97</v>
      </c>
      <c r="G84" s="18" cm="1">
        <f t="array" aca="1" ref="G84" ca="1">IFERROR(_FV(RTData[[#This Row],[Company Name]],"Open"),RTData[[#This Row],[Close]])</f>
        <v>6.91</v>
      </c>
      <c r="H84" s="18" cm="1">
        <f t="array" aca="1" ref="H84" ca="1">_FV(RTData[[#This Row],[Company Name]],"Price")</f>
        <v>6.8810000000000002</v>
      </c>
      <c r="I84" s="18" cm="1">
        <f t="array" aca="1" ref="I84" ca="1">IFERROR(_FV(RTData[[#This Row],[Company Name]],"Low"),0)</f>
        <v>6.85</v>
      </c>
      <c r="J84" s="18" cm="1">
        <f t="array" aca="1" ref="J84" ca="1">IFERROR(_FV(RTData[[#This Row],[Company Name]],"High"),0)</f>
        <v>6.97</v>
      </c>
      <c r="K84" s="19" cm="1">
        <f t="array" aca="1" ref="K84" ca="1">IFERROR(_FV(RTData[[#This Row],[Company Name]],"P/E",TRUE),99)</f>
        <v>3.8258000000000001</v>
      </c>
      <c r="L84" s="20" cm="1">
        <f t="array" aca="1" ref="L84" ca="1">_FV(RTData[[#This Row],[Company Name]],"Change")</f>
        <v>-8.8999999999999996E-2</v>
      </c>
      <c r="M84" s="21" cm="1">
        <f t="array" aca="1" ref="M84" ca="1">_FV(RTData[[#This Row],[Company Name]],"Change (%)",TRUE)</f>
        <v>-1.2768999999999999E-2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1848193</v>
      </c>
      <c r="Q84" s="22" cm="1">
        <f t="array" aca="1" ref="Q84" ca="1">_FV(RTData[[#This Row],[Company Name]],"Volume average",TRUE)</f>
        <v>4394917</v>
      </c>
      <c r="R84" s="18" cm="1">
        <f t="array" aca="1" ref="R84" ca="1">_FV(RTData[[#This Row],[Company Name]],"Beta")</f>
        <v>2.3212000000000002</v>
      </c>
      <c r="T84" t="s">
        <v>25</v>
      </c>
      <c r="U84" t="str" cm="1">
        <f t="array" aca="1" ref="U84" ca="1">_FV(RTData[[#This Row],[Company Name]],"Exchange abbreviation",TRUE)</f>
        <v>XNAS</v>
      </c>
      <c r="V84" s="23">
        <f ca="1">IFERROR(RTData[[#This Row],[Volume]]/RTData[[#This Row],[Volume average]],1)</f>
        <v>0.42052967098127225</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0.86229197206174013</v>
      </c>
      <c r="C85" t="e" vm="65">
        <v>#VALUE!</v>
      </c>
      <c r="D85" s="113" t="str" cm="1">
        <f t="array" aca="1" ref="D85" ca="1">_FV(RTData[[#This Row],[Company Name]],"Currency")</f>
        <v>USD</v>
      </c>
      <c r="E85" s="17" cm="1">
        <f t="array" aca="1" ref="E85" ca="1">_FV(RTData[[#This Row],[Company Name]],"Last trade time",TRUE)</f>
        <v>45978.694750485934</v>
      </c>
      <c r="F85" s="18" cm="1">
        <f t="array" aca="1" ref="F85" ca="1">_FV(RTData[[#This Row],[Company Name]],"Previous close",TRUE)</f>
        <v>131.26</v>
      </c>
      <c r="G85" s="18" cm="1">
        <f t="array" aca="1" ref="G85" ca="1">IFERROR(_FV(RTData[[#This Row],[Company Name]],"Open"),RTData[[#This Row],[Close]])</f>
        <v>132.47</v>
      </c>
      <c r="H85" s="18" cm="1">
        <f t="array" aca="1" ref="H85" ca="1">_FV(RTData[[#This Row],[Company Name]],"Price")</f>
        <v>132.9599</v>
      </c>
      <c r="I85" s="18" cm="1">
        <f t="array" aca="1" ref="I85" ca="1">IFERROR(_FV(RTData[[#This Row],[Company Name]],"Low"),0)</f>
        <v>132.33000000000001</v>
      </c>
      <c r="J85" s="18" cm="1">
        <f t="array" aca="1" ref="J85" ca="1">IFERROR(_FV(RTData[[#This Row],[Company Name]],"High"),0)</f>
        <v>133.17500000000001</v>
      </c>
      <c r="K85" s="19" cm="1">
        <f t="array" aca="1" ref="K85" ca="1">IFERROR(_FV(RTData[[#This Row],[Company Name]],"P/E",TRUE),99)</f>
        <v>18.183800000000002</v>
      </c>
      <c r="L85" s="20" cm="1">
        <f t="array" aca="1" ref="L85" ca="1">_FV(RTData[[#This Row],[Company Name]],"Change")</f>
        <v>1.6999</v>
      </c>
      <c r="M85" s="21" cm="1">
        <f t="array" aca="1" ref="M85" ca="1">_FV(RTData[[#This Row],[Company Name]],"Change (%)",TRUE)</f>
        <v>1.2950999999999999E-2</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554154</v>
      </c>
      <c r="Q85" s="22" cm="1">
        <f t="array" aca="1" ref="Q85" ca="1">_FV(RTData[[#This Row],[Company Name]],"Volume average",TRUE)</f>
        <v>1673929</v>
      </c>
      <c r="R85" s="18" cm="1">
        <f t="array" aca="1" ref="R85" ca="1">_FV(RTData[[#This Row],[Company Name]],"Beta")</f>
        <v>0.50149999999999995</v>
      </c>
      <c r="T85" t="s">
        <v>25</v>
      </c>
      <c r="U85" t="str" cm="1">
        <f t="array" aca="1" ref="U85" ca="1">_FV(RTData[[#This Row],[Company Name]],"Exchange abbreviation",TRUE)</f>
        <v>XNYS</v>
      </c>
      <c r="V85" s="23">
        <f ca="1">IFERROR(RTData[[#This Row],[Volume]]/RTData[[#This Row],[Volume average]],1)</f>
        <v>0.33104988323877538</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45978.684432870374</v>
      </c>
      <c r="F86" s="27" cm="1">
        <f t="array" aca="1" ref="F86" ca="1">_FV(RTData[[#This Row],[Company Name]],"Previous close",TRUE)</f>
        <v>14.02</v>
      </c>
      <c r="G86" s="27" cm="1">
        <f t="array" aca="1" ref="G86" ca="1">IFERROR(_FV(RTData[[#This Row],[Company Name]],"Open"),RTData[[#This Row],[Close]])</f>
        <v>14.025</v>
      </c>
      <c r="H86" s="27" cm="1">
        <f t="array" aca="1" ref="H86" ca="1">_FV(RTData[[#This Row],[Company Name]],"Price")</f>
        <v>14.03</v>
      </c>
      <c r="I86" s="27" cm="1">
        <f t="array" aca="1" ref="I86" ca="1">IFERROR(_FV(RTData[[#This Row],[Company Name]],"Low"),0)</f>
        <v>13.875</v>
      </c>
      <c r="J86" s="27" cm="1">
        <f t="array" aca="1" ref="J86" ca="1">IFERROR(_FV(RTData[[#This Row],[Company Name]],"High"),0)</f>
        <v>14.065</v>
      </c>
      <c r="K86" s="19" cm="1">
        <f t="array" aca="1" ref="K86" ca="1">IFERROR(_FV(RTData[[#This Row],[Company Name]],"P/E",TRUE),99)</f>
        <v>44.314599999999999</v>
      </c>
      <c r="L86" s="20" cm="1">
        <f t="array" aca="1" ref="L86" ca="1">_FV(RTData[[#This Row],[Company Name]],"Change")</f>
        <v>0.01</v>
      </c>
      <c r="M86" s="21" cm="1">
        <f t="array" aca="1" ref="M86" ca="1">_FV(RTData[[#This Row],[Company Name]],"Change (%)",TRUE)</f>
        <v>7.1330000000000005E-4</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1024603</v>
      </c>
      <c r="Q86" s="22" cm="1">
        <f t="array" aca="1" ref="Q86" ca="1">_FV(RTData[[#This Row],[Company Name]],"Volume average",TRUE)</f>
        <v>3333320</v>
      </c>
      <c r="R86" s="18" cm="1">
        <f t="array" aca="1" ref="R86" ca="1">_FV(RTData[[#This Row],[Company Name]],"Beta")</f>
        <v>0.2392</v>
      </c>
      <c r="T86" t="s">
        <v>25</v>
      </c>
      <c r="U86" t="str" cm="1">
        <f t="array" aca="1" ref="U86" ca="1">_FV(RTData[[#This Row],[Company Name]],"Exchange abbreviation",TRUE)</f>
        <v>XPAR</v>
      </c>
      <c r="V86" s="23">
        <f ca="1">IFERROR(RTData[[#This Row],[Volume]]/RTData[[#This Row],[Volume average]],1)</f>
        <v>0.30738212952851812</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0.86229197206174013</v>
      </c>
      <c r="C87" t="e" vm="66">
        <v>#VALUE!</v>
      </c>
      <c r="D87" s="113" t="str" cm="1">
        <f t="array" aca="1" ref="D87" ca="1">_FV(RTData[[#This Row],[Company Name]],"Currency")</f>
        <v>USD</v>
      </c>
      <c r="E87" s="17" cm="1">
        <f t="array" aca="1" ref="E87" ca="1">_FV(RTData[[#This Row],[Company Name]],"Last trade time",TRUE)</f>
        <v>45978.694903760937</v>
      </c>
      <c r="F87" s="18" cm="1">
        <f t="array" aca="1" ref="F87" ca="1">_FV(RTData[[#This Row],[Company Name]],"Previous close",TRUE)</f>
        <v>42.76</v>
      </c>
      <c r="G87" s="18" cm="1">
        <f t="array" aca="1" ref="G87" ca="1">IFERROR(_FV(RTData[[#This Row],[Company Name]],"Open"),RTData[[#This Row],[Close]])</f>
        <v>42.56</v>
      </c>
      <c r="H87" s="18" cm="1">
        <f t="array" aca="1" ref="H87" ca="1">_FV(RTData[[#This Row],[Company Name]],"Price")</f>
        <v>42.641100000000002</v>
      </c>
      <c r="I87" s="18" cm="1">
        <f t="array" aca="1" ref="I87" ca="1">IFERROR(_FV(RTData[[#This Row],[Company Name]],"Low"),0)</f>
        <v>42.110300000000002</v>
      </c>
      <c r="J87" s="18" cm="1">
        <f t="array" aca="1" ref="J87" ca="1">IFERROR(_FV(RTData[[#This Row],[Company Name]],"High"),0)</f>
        <v>42.664999999999999</v>
      </c>
      <c r="K87" s="19" cm="1">
        <f t="array" aca="1" ref="K87" ca="1">IFERROR(_FV(RTData[[#This Row],[Company Name]],"P/E",TRUE),99)</f>
        <v>31.1294</v>
      </c>
      <c r="L87" s="20" cm="1">
        <f t="array" aca="1" ref="L87" ca="1">_FV(RTData[[#This Row],[Company Name]],"Change")</f>
        <v>-0.11890000000000001</v>
      </c>
      <c r="M87" s="21" cm="1">
        <f t="array" aca="1" ref="M87" ca="1">_FV(RTData[[#This Row],[Company Name]],"Change (%)",TRUE)</f>
        <v>-2.7810000000000001E-3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3074733</v>
      </c>
      <c r="Q87" s="22" cm="1">
        <f t="array" aca="1" ref="Q87" ca="1">_FV(RTData[[#This Row],[Company Name]],"Volume average",TRUE)</f>
        <v>9852458</v>
      </c>
      <c r="R87" s="18" cm="1">
        <f t="array" aca="1" ref="R87" ca="1">_FV(RTData[[#This Row],[Company Name]],"Beta")</f>
        <v>0.38590000000000002</v>
      </c>
      <c r="T87" t="s">
        <v>25</v>
      </c>
      <c r="U87" t="str" cm="1">
        <f t="array" aca="1" ref="U87" ca="1">_FV(RTData[[#This Row],[Company Name]],"Exchange abbreviation",TRUE)</f>
        <v>XNYS</v>
      </c>
      <c r="V87" s="23">
        <f ca="1">IFERROR(RTData[[#This Row],[Volume]]/RTData[[#This Row],[Volume average]],1)</f>
        <v>0.3120777576519484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0.86229197206174013</v>
      </c>
      <c r="C88" t="e" vm="67">
        <v>#VALUE!</v>
      </c>
      <c r="D88" s="113" t="str" cm="1">
        <f t="array" aca="1" ref="D88" ca="1">_FV(RTData[[#This Row],[Company Name]],"Currency")</f>
        <v>USD</v>
      </c>
      <c r="E88" s="17" cm="1">
        <f t="array" aca="1" ref="E88" ca="1">_FV(RTData[[#This Row],[Company Name]],"Last trade time",TRUE)</f>
        <v>45978.694914976564</v>
      </c>
      <c r="F88" s="18" cm="1">
        <f t="array" aca="1" ref="F88" ca="1">_FV(RTData[[#This Row],[Company Name]],"Previous close",TRUE)</f>
        <v>25.06</v>
      </c>
      <c r="G88" s="18" cm="1">
        <f t="array" aca="1" ref="G88" ca="1">IFERROR(_FV(RTData[[#This Row],[Company Name]],"Open"),RTData[[#This Row],[Close]])</f>
        <v>25.08</v>
      </c>
      <c r="H88" s="18" cm="1">
        <f t="array" aca="1" ref="H88" ca="1">_FV(RTData[[#This Row],[Company Name]],"Price")</f>
        <v>25.484999999999999</v>
      </c>
      <c r="I88" s="18" cm="1">
        <f t="array" aca="1" ref="I88" ca="1">IFERROR(_FV(RTData[[#This Row],[Company Name]],"Low"),0)</f>
        <v>24.954999999999998</v>
      </c>
      <c r="J88" s="18" cm="1">
        <f t="array" aca="1" ref="J88" ca="1">IFERROR(_FV(RTData[[#This Row],[Company Name]],"High"),0)</f>
        <v>25.54</v>
      </c>
      <c r="K88" s="19" cm="1">
        <f t="array" aca="1" ref="K88" ca="1">IFERROR(_FV(RTData[[#This Row],[Company Name]],"P/E",TRUE),99)</f>
        <v>14.854900000000001</v>
      </c>
      <c r="L88" s="20" cm="1">
        <f t="array" aca="1" ref="L88" ca="1">_FV(RTData[[#This Row],[Company Name]],"Change")</f>
        <v>0.42499999999999999</v>
      </c>
      <c r="M88" s="21" cm="1">
        <f t="array" aca="1" ref="M88" ca="1">_FV(RTData[[#This Row],[Company Name]],"Change (%)",TRUE)</f>
        <v>1.6958999999999998E-2</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28946875</v>
      </c>
      <c r="Q88" s="22" cm="1">
        <f t="array" aca="1" ref="Q88" ca="1">_FV(RTData[[#This Row],[Company Name]],"Volume average",TRUE)</f>
        <v>84317171</v>
      </c>
      <c r="R88" s="18" cm="1">
        <f t="array" aca="1" ref="R88" ca="1">_FV(RTData[[#This Row],[Company Name]],"Beta")</f>
        <v>0.4168</v>
      </c>
      <c r="T88" t="s">
        <v>25</v>
      </c>
      <c r="U88" t="str" cm="1">
        <f t="array" aca="1" ref="U88" ca="1">_FV(RTData[[#This Row],[Company Name]],"Exchange abbreviation",TRUE)</f>
        <v>XNYS</v>
      </c>
      <c r="V88" s="23">
        <f ca="1">IFERROR(RTData[[#This Row],[Volume]]/RTData[[#This Row],[Volume average]],1)</f>
        <v>0.34330937170555686</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0.86229197206174013</v>
      </c>
      <c r="C89" t="e" vm="68">
        <v>#VALUE!</v>
      </c>
      <c r="D89" s="113" t="str" cm="1">
        <f t="array" aca="1" ref="D89" ca="1">_FV(RTData[[#This Row],[Company Name]],"Currency")</f>
        <v>USD</v>
      </c>
      <c r="E89" s="17" cm="1">
        <f t="array" aca="1" ref="E89" ca="1">_FV(RTData[[#This Row],[Company Name]],"Last trade time",TRUE)</f>
        <v>45978.694831712499</v>
      </c>
      <c r="F89" s="18" cm="1">
        <f t="array" aca="1" ref="F89" ca="1">_FV(RTData[[#This Row],[Company Name]],"Previous close",TRUE)</f>
        <v>4.01</v>
      </c>
      <c r="G89" s="18" cm="1">
        <f t="array" aca="1" ref="G89" ca="1">IFERROR(_FV(RTData[[#This Row],[Company Name]],"Open"),RTData[[#This Row],[Close]])</f>
        <v>4.0199999999999996</v>
      </c>
      <c r="H89" s="18" cm="1">
        <f t="array" aca="1" ref="H89" ca="1">_FV(RTData[[#This Row],[Company Name]],"Price")</f>
        <v>4.16</v>
      </c>
      <c r="I89" s="18" cm="1">
        <f t="array" aca="1" ref="I89" ca="1">IFERROR(_FV(RTData[[#This Row],[Company Name]],"Low"),0)</f>
        <v>3.95</v>
      </c>
      <c r="J89" s="18" cm="1">
        <f t="array" aca="1" ref="J89" ca="1">IFERROR(_FV(RTData[[#This Row],[Company Name]],"High"),0)</f>
        <v>4.18</v>
      </c>
      <c r="K89" s="19" cm="1">
        <f t="array" ref="K89">IFERROR(_FV(RTData[[#This Row],[Company Name]],"P/E",TRUE),99)</f>
        <v>99</v>
      </c>
      <c r="L89" s="20" cm="1">
        <f t="array" aca="1" ref="L89" ca="1">_FV(RTData[[#This Row],[Company Name]],"Change")</f>
        <v>0.15</v>
      </c>
      <c r="M89" s="21" cm="1">
        <f t="array" aca="1" ref="M89" ca="1">_FV(RTData[[#This Row],[Company Name]],"Change (%)",TRUE)</f>
        <v>3.7406000000000002E-2</v>
      </c>
      <c r="N89" s="18" cm="1">
        <f t="array" aca="1" ref="N89" ca="1">_FV(RTData[[#This Row],[Company Name]],"52 week low",TRUE)</f>
        <v>1.97</v>
      </c>
      <c r="O89" s="18" cm="1">
        <f t="array" aca="1" ref="O89" ca="1">_FV(RTData[[#This Row],[Company Name]],"52 week high",TRUE)</f>
        <v>4.5149999999999997</v>
      </c>
      <c r="P89" s="22" cm="1">
        <f t="array" aca="1" ref="P89" ca="1">_FV(RTData[[#This Row],[Company Name]],"Volume")</f>
        <v>18323926</v>
      </c>
      <c r="Q89" s="22" cm="1">
        <f t="array" aca="1" ref="Q89" ca="1">_FV(RTData[[#This Row],[Company Name]],"Volume average",TRUE)</f>
        <v>56735385</v>
      </c>
      <c r="R89" s="18" cm="1">
        <f t="array" aca="1" ref="R89" ca="1">_FV(RTData[[#This Row],[Company Name]],"Beta")</f>
        <v>1.3972</v>
      </c>
      <c r="T89" t="s">
        <v>25</v>
      </c>
      <c r="U89" t="str" cm="1">
        <f t="array" aca="1" ref="U89" ca="1">_FV(RTData[[#This Row],[Company Name]],"Exchange abbreviation",TRUE)</f>
        <v>XNYS</v>
      </c>
      <c r="V89" s="23">
        <f ca="1">IFERROR(RTData[[#This Row],[Volume]]/RTData[[#This Row],[Volume average]],1)</f>
        <v>0.32297173977051535</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0.86229197206174013</v>
      </c>
      <c r="C90" t="e" vm="69">
        <v>#VALUE!</v>
      </c>
      <c r="D90" s="113" t="str" cm="1">
        <f t="array" aca="1" ref="D90" ca="1">_FV(RTData[[#This Row],[Company Name]],"Currency")</f>
        <v>USD</v>
      </c>
      <c r="E90" s="17" cm="1">
        <f t="array" aca="1" ref="E90" ca="1">_FV(RTData[[#This Row],[Company Name]],"Last trade time",TRUE)</f>
        <v>45978.694860856252</v>
      </c>
      <c r="F90" s="18" cm="1">
        <f t="array" aca="1" ref="F90" ca="1">_FV(RTData[[#This Row],[Company Name]],"Previous close",TRUE)</f>
        <v>38.229999999999997</v>
      </c>
      <c r="G90" s="18" cm="1">
        <f t="array" aca="1" ref="G90" ca="1">IFERROR(_FV(RTData[[#This Row],[Company Name]],"Open"),RTData[[#This Row],[Close]])</f>
        <v>37.82</v>
      </c>
      <c r="H90" s="18" cm="1">
        <f t="array" aca="1" ref="H90" ca="1">_FV(RTData[[#This Row],[Company Name]],"Price")</f>
        <v>38.484999999999999</v>
      </c>
      <c r="I90" s="18" cm="1">
        <f t="array" aca="1" ref="I90" ca="1">IFERROR(_FV(RTData[[#This Row],[Company Name]],"Low"),0)</f>
        <v>37.75</v>
      </c>
      <c r="J90" s="18" cm="1">
        <f t="array" aca="1" ref="J90" ca="1">IFERROR(_FV(RTData[[#This Row],[Company Name]],"High"),0)</f>
        <v>38.5</v>
      </c>
      <c r="K90" s="19" cm="1">
        <f t="array" aca="1" ref="K90" ca="1">IFERROR(_FV(RTData[[#This Row],[Company Name]],"P/E",TRUE),99)</f>
        <v>16.161300000000001</v>
      </c>
      <c r="L90" s="20" cm="1">
        <f t="array" aca="1" ref="L90" ca="1">_FV(RTData[[#This Row],[Company Name]],"Change")</f>
        <v>0.255</v>
      </c>
      <c r="M90" s="21" cm="1">
        <f t="array" aca="1" ref="M90" ca="1">_FV(RTData[[#This Row],[Company Name]],"Change (%)",TRUE)</f>
        <v>6.6700000000000006E-3</v>
      </c>
      <c r="N90" s="18" cm="1">
        <f t="array" aca="1" ref="N90" ca="1">_FV(RTData[[#This Row],[Company Name]],"52 week low",TRUE)</f>
        <v>30.32</v>
      </c>
      <c r="O90" s="18" cm="1">
        <f t="array" aca="1" ref="O90" ca="1">_FV(RTData[[#This Row],[Company Name]],"52 week high",TRUE)</f>
        <v>43.5</v>
      </c>
      <c r="P90" s="22" cm="1">
        <f t="array" aca="1" ref="P90" ca="1">_FV(RTData[[#This Row],[Company Name]],"Volume")</f>
        <v>557861</v>
      </c>
      <c r="Q90" s="22" cm="1">
        <f t="array" aca="1" ref="Q90" ca="1">_FV(RTData[[#This Row],[Company Name]],"Volume average",TRUE)</f>
        <v>2945352</v>
      </c>
      <c r="R90" s="18" cm="1">
        <f t="array" aca="1" ref="R90" ca="1">_FV(RTData[[#This Row],[Company Name]],"Beta")</f>
        <v>0.46489999999999998</v>
      </c>
      <c r="T90" t="s">
        <v>25</v>
      </c>
      <c r="U90" t="str" cm="1">
        <f t="array" aca="1" ref="U90" ca="1">_FV(RTData[[#This Row],[Company Name]],"Exchange abbreviation",TRUE)</f>
        <v>XNYS</v>
      </c>
      <c r="V90" s="23">
        <f ca="1">IFERROR(RTData[[#This Row],[Volume]]/RTData[[#This Row],[Volume average]],1)</f>
        <v>0.18940384714628336</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0.86229197206174013</v>
      </c>
      <c r="C91" t="e" vm="70">
        <v>#VALUE!</v>
      </c>
      <c r="D91" s="113" t="str" cm="1">
        <f t="array" aca="1" ref="D91" ca="1">_FV(RTData[[#This Row],[Company Name]],"Currency")</f>
        <v>USD</v>
      </c>
      <c r="E91" s="17" cm="1">
        <f t="array" aca="1" ref="E91" ca="1">_FV(RTData[[#This Row],[Company Name]],"Last trade time",TRUE)</f>
        <v>45978.694771503906</v>
      </c>
      <c r="F91" s="18" cm="1">
        <f t="array" aca="1" ref="F91" ca="1">_FV(RTData[[#This Row],[Company Name]],"Previous close",TRUE)</f>
        <v>60.48</v>
      </c>
      <c r="G91" s="18" cm="1">
        <f t="array" aca="1" ref="G91" ca="1">IFERROR(_FV(RTData[[#This Row],[Company Name]],"Open"),RTData[[#This Row],[Close]])</f>
        <v>61.23</v>
      </c>
      <c r="H91" s="18" cm="1">
        <f t="array" aca="1" ref="H91" ca="1">_FV(RTData[[#This Row],[Company Name]],"Price")</f>
        <v>60.06</v>
      </c>
      <c r="I91" s="18" cm="1">
        <f t="array" aca="1" ref="I91" ca="1">IFERROR(_FV(RTData[[#This Row],[Company Name]],"Low"),0)</f>
        <v>59.072000000000003</v>
      </c>
      <c r="J91" s="18" cm="1">
        <f t="array" aca="1" ref="J91" ca="1">IFERROR(_FV(RTData[[#This Row],[Company Name]],"High"),0)</f>
        <v>61.414000000000001</v>
      </c>
      <c r="K91" s="19" cm="1">
        <f t="array" aca="1" ref="K91" ca="1">IFERROR(_FV(RTData[[#This Row],[Company Name]],"P/E",TRUE),99)</f>
        <v>30.199100000000001</v>
      </c>
      <c r="L91" s="20" cm="1">
        <f t="array" aca="1" ref="L91" ca="1">_FV(RTData[[#This Row],[Company Name]],"Change")</f>
        <v>-0.42</v>
      </c>
      <c r="M91" s="21" cm="1">
        <f t="array" aca="1" ref="M91" ca="1">_FV(RTData[[#This Row],[Company Name]],"Change (%)",TRUE)</f>
        <v>-6.9440000000000005E-3</v>
      </c>
      <c r="N91" s="18" cm="1">
        <f t="array" aca="1" ref="N91" ca="1">_FV(RTData[[#This Row],[Company Name]],"52 week low",TRUE)</f>
        <v>44.27</v>
      </c>
      <c r="O91" s="18" cm="1">
        <f t="array" aca="1" ref="O91" ca="1">_FV(RTData[[#This Row],[Company Name]],"52 week high",TRUE)</f>
        <v>99.26</v>
      </c>
      <c r="P91" s="22" cm="1">
        <f t="array" aca="1" ref="P91" ca="1">_FV(RTData[[#This Row],[Company Name]],"Volume")</f>
        <v>2558492</v>
      </c>
      <c r="Q91" s="22" cm="1">
        <f t="array" aca="1" ref="Q91" ca="1">_FV(RTData[[#This Row],[Company Name]],"Volume average",TRUE)</f>
        <v>6470201</v>
      </c>
      <c r="R91" s="18" cm="1">
        <f t="array" aca="1" ref="R91" ca="1">_FV(RTData[[#This Row],[Company Name]],"Beta")</f>
        <v>2.6798999999999999</v>
      </c>
      <c r="T91" t="s">
        <v>25</v>
      </c>
      <c r="U91" t="str" cm="1">
        <f t="array" aca="1" ref="U91" ca="1">_FV(RTData[[#This Row],[Company Name]],"Exchange abbreviation",TRUE)</f>
        <v>XNYS</v>
      </c>
      <c r="V91" s="23">
        <f ca="1">IFERROR(RTData[[#This Row],[Volume]]/RTData[[#This Row],[Volume average]],1)</f>
        <v>0.39542697359788359</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0.86229197206174013</v>
      </c>
      <c r="C92" t="e" vm="71">
        <v>#VALUE!</v>
      </c>
      <c r="D92" s="113" t="str" cm="1">
        <f t="array" aca="1" ref="D92" ca="1">_FV(RTData[[#This Row],[Company Name]],"Currency")</f>
        <v>USD</v>
      </c>
      <c r="E92" s="17" cm="1">
        <f t="array" aca="1" ref="E92" ca="1">_FV(RTData[[#This Row],[Company Name]],"Last trade time",TRUE)</f>
        <v>45978.694780659374</v>
      </c>
      <c r="F92" s="18" cm="1">
        <f t="array" aca="1" ref="F92" ca="1">_FV(RTData[[#This Row],[Company Name]],"Previous close",TRUE)</f>
        <v>192.91</v>
      </c>
      <c r="G92" s="18" cm="1">
        <f t="array" aca="1" ref="G92" ca="1">IFERROR(_FV(RTData[[#This Row],[Company Name]],"Open"),RTData[[#This Row],[Close]])</f>
        <v>192.8</v>
      </c>
      <c r="H92" s="18" cm="1">
        <f t="array" aca="1" ref="H92" ca="1">_FV(RTData[[#This Row],[Company Name]],"Price")</f>
        <v>193.14500000000001</v>
      </c>
      <c r="I92" s="18" cm="1">
        <f t="array" aca="1" ref="I92" ca="1">IFERROR(_FV(RTData[[#This Row],[Company Name]],"Low"),0)</f>
        <v>191.965</v>
      </c>
      <c r="J92" s="18" cm="1">
        <f t="array" aca="1" ref="J92" ca="1">IFERROR(_FV(RTData[[#This Row],[Company Name]],"High"),0)</f>
        <v>194.92</v>
      </c>
      <c r="K92" s="19" cm="1">
        <f t="array" aca="1" ref="K92" ca="1">IFERROR(_FV(RTData[[#This Row],[Company Name]],"P/E",TRUE),99)</f>
        <v>12.837199999999999</v>
      </c>
      <c r="L92" s="20" cm="1">
        <f t="array" aca="1" ref="L92" ca="1">_FV(RTData[[#This Row],[Company Name]],"Change")</f>
        <v>0.23499999999999999</v>
      </c>
      <c r="M92" s="21" cm="1">
        <f t="array" aca="1" ref="M92" ca="1">_FV(RTData[[#This Row],[Company Name]],"Change (%)",TRUE)</f>
        <v>1.2180000000000001E-3</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227248</v>
      </c>
      <c r="Q92" s="22" cm="1">
        <f t="array" aca="1" ref="Q92" ca="1">_FV(RTData[[#This Row],[Company Name]],"Volume average",TRUE)</f>
        <v>1047856</v>
      </c>
      <c r="R92" s="18" cm="1">
        <f t="array" aca="1" ref="R92" ca="1">_FV(RTData[[#This Row],[Company Name]],"Beta")</f>
        <v>1.4623999999999999</v>
      </c>
      <c r="T92" t="s">
        <v>25</v>
      </c>
      <c r="U92" t="str" cm="1">
        <f t="array" aca="1" ref="U92" ca="1">_FV(RTData[[#This Row],[Company Name]],"Exchange abbreviation",TRUE)</f>
        <v>XNYS</v>
      </c>
      <c r="V92" s="23">
        <f ca="1">IFERROR(RTData[[#This Row],[Volume]]/RTData[[#This Row],[Volume average]],1)</f>
        <v>0.21686949351819335</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0.86229197206174013</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45978.684328703705</v>
      </c>
      <c r="F94" s="27" cm="1">
        <f t="array" aca="1" ref="F94" ca="1">_FV(RTData[[#This Row],[Company Name]],"Previous close",TRUE)</f>
        <v>10.086</v>
      </c>
      <c r="G94" s="27" cm="1">
        <f t="array" aca="1" ref="G94" ca="1">IFERROR(_FV(RTData[[#This Row],[Company Name]],"Open"),RTData[[#This Row],[Close]])</f>
        <v>10.206</v>
      </c>
      <c r="H94" s="27" cm="1">
        <f t="array" aca="1" ref="H94" ca="1">_FV(RTData[[#This Row],[Company Name]],"Price")</f>
        <v>10.050000000000001</v>
      </c>
      <c r="I94" s="27" cm="1">
        <f t="array" aca="1" ref="I94" ca="1">IFERROR(_FV(RTData[[#This Row],[Company Name]],"Low"),0)</f>
        <v>10.050000000000001</v>
      </c>
      <c r="J94" s="27" cm="1">
        <f t="array" aca="1" ref="J94" ca="1">IFERROR(_FV(RTData[[#This Row],[Company Name]],"High"),0)</f>
        <v>10.206</v>
      </c>
      <c r="K94" s="19" cm="1">
        <f t="array" ref="K94">IFERROR(_FV(RTData[[#This Row],[Company Name]],"P/E",TRUE),99)</f>
        <v>99</v>
      </c>
      <c r="L94" s="20" cm="1">
        <f t="array" aca="1" ref="L94" ca="1">_FV(RTData[[#This Row],[Company Name]],"Change")</f>
        <v>-3.5999999999999997E-2</v>
      </c>
      <c r="M94" s="21" cm="1">
        <f t="array" aca="1" ref="M94" ca="1">_FV(RTData[[#This Row],[Company Name]],"Change (%)",TRUE)</f>
        <v>-3.5690000000000001E-3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5431</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45978.684467592589</v>
      </c>
      <c r="F95" s="27" cm="1">
        <f t="array" aca="1" ref="F95" ca="1">_FV(RTData[[#This Row],[Company Name]],"Previous close",TRUE)</f>
        <v>874.1</v>
      </c>
      <c r="G95" s="27" cm="1">
        <f t="array" aca="1" ref="G95" ca="1">IFERROR(_FV(RTData[[#This Row],[Company Name]],"Open"),RTData[[#This Row],[Close]])</f>
        <v>879.3</v>
      </c>
      <c r="H95" s="27" cm="1">
        <f t="array" aca="1" ref="H95" ca="1">_FV(RTData[[#This Row],[Company Name]],"Price")</f>
        <v>874.7</v>
      </c>
      <c r="I95" s="27" cm="1">
        <f t="array" aca="1" ref="I95" ca="1">IFERROR(_FV(RTData[[#This Row],[Company Name]],"Low"),0)</f>
        <v>864.3</v>
      </c>
      <c r="J95" s="27" cm="1">
        <f t="array" aca="1" ref="J95" ca="1">IFERROR(_FV(RTData[[#This Row],[Company Name]],"High"),0)</f>
        <v>883.9</v>
      </c>
      <c r="K95" s="19" cm="1">
        <f t="array" aca="1" ref="K95" ca="1">IFERROR(_FV(RTData[[#This Row],[Company Name]],"P/E",TRUE),99)</f>
        <v>33.585299999999997</v>
      </c>
      <c r="L95" s="20" cm="1">
        <f t="array" aca="1" ref="L95" ca="1">_FV(RTData[[#This Row],[Company Name]],"Change")</f>
        <v>0.6</v>
      </c>
      <c r="M95" s="21" cm="1">
        <f t="array" aca="1" ref="M95" ca="1">_FV(RTData[[#This Row],[Company Name]],"Change (%)",TRUE)</f>
        <v>6.864000000000001E-4</v>
      </c>
      <c r="N95" s="27" cm="1">
        <f t="array" aca="1" ref="N95" ca="1">_FV(RTData[[#This Row],[Company Name]],"52 week low",TRUE)</f>
        <v>508.4</v>
      </c>
      <c r="O95" s="27" cm="1">
        <f t="array" aca="1" ref="O95" ca="1">_FV(RTData[[#This Row],[Company Name]],"52 week high",TRUE)</f>
        <v>938.6</v>
      </c>
      <c r="P95" s="22" cm="1">
        <f t="array" aca="1" ref="P95" ca="1">_FV(RTData[[#This Row],[Company Name]],"Volume")</f>
        <v>276973</v>
      </c>
      <c r="Q95" s="22" cm="1">
        <f t="array" aca="1" ref="Q95" ca="1">_FV(RTData[[#This Row],[Company Name]],"Volume average",TRUE)</f>
        <v>552590</v>
      </c>
      <c r="R95" s="18" cm="1">
        <f t="array" aca="1" ref="R95" ca="1">_FV(RTData[[#This Row],[Company Name]],"Beta")</f>
        <v>2.1217000000000001</v>
      </c>
      <c r="S95" t="s">
        <v>20</v>
      </c>
      <c r="T95" t="s">
        <v>21</v>
      </c>
      <c r="U95" t="str" cm="1">
        <f t="array" aca="1" ref="U95" ca="1">_FV(RTData[[#This Row],[Company Name]],"Exchange abbreviation",TRUE)</f>
        <v>XAMS</v>
      </c>
      <c r="V95" s="23">
        <f ca="1">IFERROR(RTData[[#This Row],[Volume]]/RTData[[#This Row],[Volume average]],1)</f>
        <v>0.50122694945619717</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45978.684027777781</v>
      </c>
      <c r="F96" s="18" cm="1">
        <f t="array" aca="1" ref="F96" ca="1">_FV(RTData[[#This Row],[Company Name]],"Previous close",TRUE)</f>
        <v>15.244999999999999</v>
      </c>
      <c r="G96" s="18" cm="1">
        <f t="array" aca="1" ref="G96" ca="1">IFERROR(_FV(RTData[[#This Row],[Company Name]],"Open"),RTData[[#This Row],[Close]])</f>
        <v>15.195</v>
      </c>
      <c r="H96" s="18" cm="1">
        <f t="array" aca="1" ref="H96" ca="1">_FV(RTData[[#This Row],[Company Name]],"Price")</f>
        <v>15.234999999999999</v>
      </c>
      <c r="I96" s="18" cm="1">
        <f t="array" aca="1" ref="I96" ca="1">IFERROR(_FV(RTData[[#This Row],[Company Name]],"Low"),0)</f>
        <v>15.19</v>
      </c>
      <c r="J96" s="18" cm="1">
        <f t="array" aca="1" ref="J96" ca="1">IFERROR(_FV(RTData[[#This Row],[Company Name]],"High"),0)</f>
        <v>15.234999999999999</v>
      </c>
      <c r="K96" s="19" cm="1">
        <f t="array" aca="1" ref="K96" ca="1">IFERROR(_FV(RTData[[#This Row],[Company Name]],"P/E",TRUE),99)</f>
        <v>13.2478</v>
      </c>
      <c r="L96" s="20" cm="1">
        <f t="array" aca="1" ref="L96" ca="1">_FV(RTData[[#This Row],[Company Name]],"Change")</f>
        <v>-0.01</v>
      </c>
      <c r="M96" s="21" cm="1">
        <f t="array" aca="1" ref="M96" ca="1">_FV(RTData[[#This Row],[Company Name]],"Change (%)",TRUE)</f>
        <v>-6.5600000000000001E-4</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14996</v>
      </c>
      <c r="Q96" s="22" cm="1">
        <f t="array" aca="1" ref="Q96" ca="1">_FV(RTData[[#This Row],[Company Name]],"Volume average",TRUE)</f>
        <v>4554990</v>
      </c>
      <c r="R96" s="18" cm="1">
        <f t="array" aca="1" ref="R96" ca="1">_FV(RTData[[#This Row],[Company Name]],"Beta")</f>
        <v>0.85699999999999998</v>
      </c>
      <c r="S96" t="s">
        <v>20</v>
      </c>
      <c r="T96" t="s">
        <v>21</v>
      </c>
      <c r="U96" t="str" cm="1">
        <f t="array" aca="1" ref="U96" ca="1">_FV(RTData[[#This Row],[Company Name]],"Exchange abbreviation",TRUE)</f>
        <v>XFRA</v>
      </c>
      <c r="V96" s="103">
        <f ca="1">IFERROR(RTData[[#This Row],[Volume]]/RTData[[#This Row],[Volume average]],1)</f>
        <v>3.2922135943218318E-3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-0.29255531914893623</v>
      </c>
      <c r="M97" s="42">
        <f ca="1">SUBTOTAL(104,RTData[Change%])</f>
        <v>0.11859199999999999</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1.1597</v>
      </c>
      <c r="C99" s="47" cm="1">
        <f t="array" aca="1" ref="C99" ca="1">_FV(A99,"52 week high",TRUE)</f>
        <v>1.1918</v>
      </c>
      <c r="D99" s="18">
        <f ca="1">1/RTExR[[#This Row],[RT]]</f>
        <v>0.86229197206174013</v>
      </c>
      <c r="P99" s="48"/>
      <c r="R99"/>
      <c r="W99" s="67"/>
      <c r="X99" s="45"/>
    </row>
    <row r="100" spans="1:31" x14ac:dyDescent="0.3">
      <c r="A100" t="e" vm="77">
        <v>#VALUE!</v>
      </c>
      <c r="B100" s="46" cm="1">
        <f t="array" aca="1" ref="B100" ca="1">_FV(A100,"Price")</f>
        <v>0.92230000000000001</v>
      </c>
      <c r="C100" s="50" cm="1">
        <f t="array" aca="1" ref="C100" ca="1">_FV(A100,"52 week high",TRUE)</f>
        <v>0.96609999999999996</v>
      </c>
      <c r="D100" s="18">
        <f ca="1">1/RTExR[[#This Row],[RT]]</f>
        <v>1.0842459069717012</v>
      </c>
      <c r="P100" s="48"/>
      <c r="R100"/>
    </row>
    <row r="101" spans="1:31" x14ac:dyDescent="0.3">
      <c r="A101" t="e" vm="78">
        <v>#VALUE!</v>
      </c>
      <c r="B101" s="46" cm="1">
        <f t="array" aca="1" ref="B101" ca="1">_FV(A101,"Price")</f>
        <v>0.88</v>
      </c>
      <c r="C101" s="51" cm="1">
        <f t="array" aca="1" ref="C101" ca="1">_FV(A101,"52 week high",TRUE)</f>
        <v>0.88649999999999995</v>
      </c>
      <c r="D101" s="18">
        <f ca="1">1/RTExR[[#This Row],[RT]]</f>
        <v>1.1363636363636365</v>
      </c>
      <c r="P101" s="48"/>
      <c r="R101"/>
    </row>
    <row r="102" spans="1:31" x14ac:dyDescent="0.3">
      <c r="A102" t="e" vm="79">
        <v>#VALUE!</v>
      </c>
      <c r="B102" s="46" cm="1">
        <f t="array" aca="1" ref="B102" ca="1">_FV(A102,"Price")</f>
        <v>1.7816000000000001</v>
      </c>
      <c r="C102" s="47" cm="1">
        <f t="array" aca="1" ref="C102" ca="1">_FV(A102,"52 week high",TRUE)</f>
        <v>1.8554999999999999</v>
      </c>
      <c r="D102" s="18">
        <f ca="1">1/RTExR[[#This Row],[RT]]</f>
        <v>0.56129321957790745</v>
      </c>
      <c r="P102" s="48"/>
      <c r="R102"/>
    </row>
    <row r="103" spans="1:31" x14ac:dyDescent="0.3">
      <c r="A103" t="e" vm="80">
        <v>#VALUE!</v>
      </c>
      <c r="B103" s="46" cm="1">
        <f t="array" aca="1" ref="B103" ca="1">_FV(A103,"Price")</f>
        <v>1.6269</v>
      </c>
      <c r="C103" s="47" cm="1">
        <f t="array" aca="1" ref="C103" ca="1">_FV(A103,"52 week high",TRUE)</f>
        <v>1.6468</v>
      </c>
      <c r="D103" s="18">
        <f ca="1">1/RTExR[[#This Row],[RT]]</f>
        <v>0.6146659290675518</v>
      </c>
      <c r="P103" s="48"/>
      <c r="R103"/>
    </row>
    <row r="104" spans="1:31" x14ac:dyDescent="0.3">
      <c r="A104" t="e" vm="81">
        <v>#VALUE!</v>
      </c>
      <c r="B104" s="46" cm="1">
        <f t="array" aca="1" ref="B104" ca="1">_FV(A104,"Price")</f>
        <v>155.16999999999999</v>
      </c>
      <c r="C104" s="52" cm="1">
        <f t="array" aca="1" ref="C104" ca="1">_FV(A104,"52 week high",TRUE)</f>
        <v>158.87</v>
      </c>
      <c r="D104" s="18">
        <f ca="1">1/RTExR[[#This Row],[RT]]</f>
        <v>6.4445446929174456E-3</v>
      </c>
      <c r="J104"/>
      <c r="P104" s="48"/>
      <c r="R104"/>
    </row>
    <row r="105" spans="1:31" x14ac:dyDescent="0.3">
      <c r="A105" t="e" vm="82">
        <v>#VALUE!</v>
      </c>
      <c r="B105" s="46" cm="1">
        <f t="array" aca="1" ref="B105" ca="1">_FV(A105,"Price")</f>
        <v>0.7954</v>
      </c>
      <c r="C105" s="50" cm="1">
        <f t="array" aca="1" ref="C105" ca="1">_FV(A105,"52 week high",TRUE)</f>
        <v>0.92</v>
      </c>
      <c r="D105" s="18">
        <f ca="1">1/RTExR[[#This Row],[RT]]</f>
        <v>1.2572290671360322</v>
      </c>
    </row>
    <row r="106" spans="1:31" x14ac:dyDescent="0.3">
      <c r="A106" t="e" vm="83">
        <v>#VALUE!</v>
      </c>
      <c r="B106" s="46" cm="1">
        <f t="array" aca="1" ref="B106" ca="1">_FV(A106,"Price")</f>
        <v>0.75900000000000001</v>
      </c>
      <c r="C106" s="51" cm="1">
        <f t="array" aca="1" ref="C106" ca="1">_FV(A106,"52 week high",TRUE)</f>
        <v>0.82650000000000001</v>
      </c>
      <c r="D106" s="18">
        <f ca="1">1/RTExR[[#This Row],[RT]]</f>
        <v>1.3175230566534915</v>
      </c>
    </row>
    <row r="107" spans="1:31" x14ac:dyDescent="0.3">
      <c r="C107" s="91" t="s">
        <v>38</v>
      </c>
      <c r="E107" s="95" t="s">
        <v>5</v>
      </c>
      <c r="F107" s="95" t="s">
        <v>42</v>
      </c>
    </row>
    <row r="108" spans="1:31" x14ac:dyDescent="0.3">
      <c r="A108" s="16"/>
      <c r="B108"/>
      <c r="C108" s="43" t="e" vm="36">
        <v>#VALUE!</v>
      </c>
      <c r="D108" s="94" t="s">
        <v>41</v>
      </c>
      <c r="E108" s="18" cm="1">
        <f t="array" aca="1" ref="E108" ca="1">_FV(C109,"Open")</f>
        <v>47068.06</v>
      </c>
      <c r="F108" s="18" cm="1">
        <f t="array" aca="1" ref="F108" ca="1">_FV(C109,"Price")</f>
        <v>47090.82</v>
      </c>
      <c r="X108" s="18"/>
      <c r="Y108" s="18"/>
      <c r="Z108" s="18"/>
    </row>
    <row r="109" spans="1:31" x14ac:dyDescent="0.3">
      <c r="C109" t="e" vm="84">
        <v>#VALUE!</v>
      </c>
      <c r="D109" s="18" cm="1">
        <f t="array" aca="1" ref="D109" ca="1">_FV(C109,"Previous close",TRUE)</f>
        <v>47147.48</v>
      </c>
      <c r="E109" s="18" cm="1">
        <f t="array" aca="1" ref="E109" ca="1">_FV(C110,"Open")</f>
        <v>58.36</v>
      </c>
      <c r="F109" s="18" cm="1">
        <f t="array" aca="1" ref="F109" ca="1">_FV(C110,"Price")</f>
        <v>57.57</v>
      </c>
    </row>
    <row r="110" spans="1:31" x14ac:dyDescent="0.3">
      <c r="C110" s="43" t="e" vm="85">
        <v>#VALUE!</v>
      </c>
      <c r="D110" s="18" cm="1">
        <f t="array" aca="1" ref="D110" ca="1">_FV(C110,"Previous close",TRUE)</f>
        <v>58.185000000000002</v>
      </c>
    </row>
    <row r="111" spans="1:31" x14ac:dyDescent="0.3">
      <c r="C111" s="43" t="s">
        <v>43</v>
      </c>
      <c r="D111" t="e" cm="1" vm="86">
        <f t="array" ref="D111">_FV(C111,"Instrument type",TRUE)</f>
        <v>#VALUE!</v>
      </c>
      <c r="E111" s="18" cm="1">
        <f t="array" aca="1" ref="E111" ca="1">_FV(C112,"Open")</f>
        <v>24</v>
      </c>
      <c r="F111" s="18" cm="1">
        <f t="array" aca="1" ref="F111" ca="1">_FV(C112,"Price")</f>
        <v>23.54</v>
      </c>
    </row>
    <row r="112" spans="1:31" x14ac:dyDescent="0.3">
      <c r="C112" s="43" t="e" vm="16">
        <v>#VALUE!</v>
      </c>
      <c r="D112" s="18" cm="1">
        <f t="array" aca="1" ref="D112" ca="1">_FV(C112,"Previous close",TRUE)</f>
        <v>23.99</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14"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2025-11-17T23:35:22Z</dcterms:modified>
  <cp:category/>
</cp:coreProperties>
</file>