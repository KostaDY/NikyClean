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6C61186E-926C-0746-BA65-0AE740367F17}" xr6:coauthVersionLast="47" xr6:coauthVersionMax="47" xr10:uidLastSave="{00000000-0000-0000-0000-000000000000}"/>
  <bookViews>
    <workbookView xWindow="0" yWindow="680" windowWidth="30240" windowHeight="1896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1" l="1"/>
  <c r="AC15" i="1"/>
  <c r="AC20" i="1"/>
  <c r="AC27" i="1"/>
  <c r="AC32" i="1"/>
  <c r="AC39" i="1"/>
  <c r="AC44" i="1"/>
  <c r="AC51" i="1"/>
  <c r="AC56" i="1"/>
  <c r="AC63" i="1"/>
  <c r="AC68" i="1"/>
  <c r="AC75" i="1"/>
  <c r="AC80" i="1"/>
  <c r="AC87" i="1"/>
  <c r="AC92" i="1"/>
  <c r="AC100" i="1"/>
  <c r="AC4" i="1" s="1"/>
  <c r="F3" i="1" a="1"/>
  <c r="F3" i="1" s="1"/>
  <c r="F4" i="1" a="1"/>
  <c r="F4" i="1" s="1"/>
  <c r="F5" i="1" a="1"/>
  <c r="F5" i="1" s="1"/>
  <c r="F6" i="1" a="1"/>
  <c r="F6" i="1" s="1"/>
  <c r="F7" i="1" a="1"/>
  <c r="F7" i="1" s="1"/>
  <c r="F8" i="1" a="1"/>
  <c r="F8" i="1" s="1"/>
  <c r="F9" i="1" a="1"/>
  <c r="F9" i="1" s="1"/>
  <c r="F10" i="1" a="1"/>
  <c r="F10" i="1" s="1"/>
  <c r="F11" i="1" a="1"/>
  <c r="F11" i="1" s="1"/>
  <c r="F12" i="1" a="1"/>
  <c r="F12" i="1" s="1"/>
  <c r="F13" i="1" a="1"/>
  <c r="F13" i="1" s="1"/>
  <c r="F14" i="1" a="1"/>
  <c r="F14" i="1" s="1"/>
  <c r="F15" i="1" a="1"/>
  <c r="F15" i="1" s="1"/>
  <c r="F16" i="1" a="1"/>
  <c r="F16" i="1" s="1"/>
  <c r="F17" i="1" a="1"/>
  <c r="F17" i="1" s="1"/>
  <c r="F18" i="1" a="1"/>
  <c r="F18" i="1" s="1"/>
  <c r="F19" i="1" a="1"/>
  <c r="F19" i="1" s="1"/>
  <c r="F20" i="1" a="1"/>
  <c r="F20" i="1" s="1"/>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C86" i="1" l="1"/>
  <c r="AC74" i="1"/>
  <c r="AC62" i="1"/>
  <c r="AC50" i="1"/>
  <c r="AC38" i="1"/>
  <c r="AC26" i="1"/>
  <c r="AC14" i="1"/>
  <c r="AC3" i="1"/>
  <c r="AC85" i="1"/>
  <c r="AC73" i="1"/>
  <c r="AC61" i="1"/>
  <c r="AC49" i="1"/>
  <c r="AC37" i="1"/>
  <c r="AC25" i="1"/>
  <c r="AC13" i="1"/>
  <c r="AC96" i="1"/>
  <c r="AC84" i="1"/>
  <c r="AC72" i="1"/>
  <c r="AC60" i="1"/>
  <c r="AC48" i="1"/>
  <c r="AC36" i="1"/>
  <c r="AC24" i="1"/>
  <c r="AC12" i="1"/>
  <c r="AC95" i="1"/>
  <c r="AC83" i="1"/>
  <c r="AC71" i="1"/>
  <c r="AC59" i="1"/>
  <c r="AC47" i="1"/>
  <c r="AC35" i="1"/>
  <c r="AC23" i="1"/>
  <c r="AC11" i="1"/>
  <c r="AC94" i="1"/>
  <c r="AC82" i="1"/>
  <c r="AC70" i="1"/>
  <c r="AC58" i="1"/>
  <c r="AC46" i="1"/>
  <c r="AC34" i="1"/>
  <c r="AC22" i="1"/>
  <c r="AC10" i="1"/>
  <c r="AC93" i="1"/>
  <c r="AC81" i="1"/>
  <c r="AC69" i="1"/>
  <c r="AC57" i="1"/>
  <c r="AC45" i="1"/>
  <c r="AC33" i="1"/>
  <c r="AC21" i="1"/>
  <c r="AC9" i="1"/>
  <c r="AC91" i="1"/>
  <c r="AC79" i="1"/>
  <c r="AC67" i="1"/>
  <c r="AC55" i="1"/>
  <c r="AC43" i="1"/>
  <c r="AC31" i="1"/>
  <c r="AC19" i="1"/>
  <c r="AC7" i="1"/>
  <c r="AC90" i="1"/>
  <c r="AC78" i="1"/>
  <c r="AC66" i="1"/>
  <c r="AC54" i="1"/>
  <c r="AC42" i="1"/>
  <c r="AC30" i="1"/>
  <c r="AC18" i="1"/>
  <c r="AC6" i="1"/>
  <c r="AC89" i="1"/>
  <c r="AC77" i="1"/>
  <c r="AC65" i="1"/>
  <c r="AC53" i="1"/>
  <c r="AC41" i="1"/>
  <c r="AC29" i="1"/>
  <c r="AC17" i="1"/>
  <c r="AC5" i="1"/>
  <c r="AC88" i="1"/>
  <c r="AC76" i="1"/>
  <c r="AC64" i="1"/>
  <c r="AC52" i="1"/>
  <c r="AC40" i="1"/>
  <c r="AC28" i="1"/>
  <c r="AC16" i="1"/>
  <c r="AD68" i="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Q2" i="2" s="1" a="1"/>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Q2" i="2" l="1"/>
  <c r="R3" i="2"/>
  <c r="R6" i="2"/>
  <c r="R9" i="2"/>
  <c r="R12" i="2"/>
  <c r="R15" i="2"/>
  <c r="R18" i="2"/>
  <c r="R21" i="2"/>
  <c r="R24" i="2"/>
  <c r="R27" i="2"/>
  <c r="R30" i="2"/>
  <c r="R33" i="2"/>
  <c r="R36" i="2"/>
  <c r="R39" i="2"/>
  <c r="R42" i="2"/>
  <c r="R45" i="2"/>
  <c r="R48" i="2"/>
  <c r="R51" i="2"/>
  <c r="R54" i="2"/>
  <c r="R57" i="2"/>
  <c r="R60" i="2"/>
  <c r="R63" i="2"/>
  <c r="R66" i="2"/>
  <c r="R69" i="2"/>
  <c r="R72" i="2"/>
  <c r="R75" i="2"/>
  <c r="R78" i="2"/>
  <c r="R81" i="2"/>
  <c r="R84" i="2"/>
  <c r="R87" i="2"/>
  <c r="R90" i="2"/>
  <c r="R93" i="2"/>
  <c r="R96" i="2"/>
  <c r="S3" i="2"/>
  <c r="S6" i="2"/>
  <c r="S9" i="2"/>
  <c r="S12" i="2"/>
  <c r="S15" i="2"/>
  <c r="S18" i="2"/>
  <c r="S21" i="2"/>
  <c r="S24" i="2"/>
  <c r="S27" i="2"/>
  <c r="S30" i="2"/>
  <c r="S33" i="2"/>
  <c r="S36" i="2"/>
  <c r="S39" i="2"/>
  <c r="S42" i="2"/>
  <c r="S45" i="2"/>
  <c r="S48" i="2"/>
  <c r="S51" i="2"/>
  <c r="S54" i="2"/>
  <c r="S57" i="2"/>
  <c r="S60" i="2"/>
  <c r="S63" i="2"/>
  <c r="S66" i="2"/>
  <c r="S69" i="2"/>
  <c r="S72" i="2"/>
  <c r="S75" i="2"/>
  <c r="S78" i="2"/>
  <c r="S81" i="2"/>
  <c r="S84" i="2"/>
  <c r="S87" i="2"/>
  <c r="S90" i="2"/>
  <c r="S93" i="2"/>
  <c r="S96" i="2"/>
  <c r="T3" i="2"/>
  <c r="T6" i="2"/>
  <c r="T9" i="2"/>
  <c r="T12" i="2"/>
  <c r="T15" i="2"/>
  <c r="T18" i="2"/>
  <c r="T21" i="2"/>
  <c r="T24" i="2"/>
  <c r="T27" i="2"/>
  <c r="T30" i="2"/>
  <c r="T33" i="2"/>
  <c r="T36" i="2"/>
  <c r="T39" i="2"/>
  <c r="T42" i="2"/>
  <c r="T45" i="2"/>
  <c r="T48" i="2"/>
  <c r="T51" i="2"/>
  <c r="T54" i="2"/>
  <c r="T57" i="2"/>
  <c r="T60" i="2"/>
  <c r="T63" i="2"/>
  <c r="T66" i="2"/>
  <c r="T69" i="2"/>
  <c r="T72" i="2"/>
  <c r="T75" i="2"/>
  <c r="T78" i="2"/>
  <c r="T81" i="2"/>
  <c r="T84" i="2"/>
  <c r="T87" i="2"/>
  <c r="T90" i="2"/>
  <c r="T93" i="2"/>
  <c r="T96" i="2"/>
  <c r="U3" i="2"/>
  <c r="U6" i="2"/>
  <c r="U9" i="2"/>
  <c r="U12" i="2"/>
  <c r="U15" i="2"/>
  <c r="U18" i="2"/>
  <c r="U21" i="2"/>
  <c r="U24" i="2"/>
  <c r="U27" i="2"/>
  <c r="U30" i="2"/>
  <c r="U33" i="2"/>
  <c r="U36" i="2"/>
  <c r="U39" i="2"/>
  <c r="U42" i="2"/>
  <c r="U45" i="2"/>
  <c r="U48" i="2"/>
  <c r="U51" i="2"/>
  <c r="U54" i="2"/>
  <c r="U57" i="2"/>
  <c r="U60" i="2"/>
  <c r="U63" i="2"/>
  <c r="U66" i="2"/>
  <c r="U69" i="2"/>
  <c r="U72" i="2"/>
  <c r="U75" i="2"/>
  <c r="U78" i="2"/>
  <c r="U81" i="2"/>
  <c r="U84" i="2"/>
  <c r="U87" i="2"/>
  <c r="U90" i="2"/>
  <c r="U93" i="2"/>
  <c r="U96" i="2"/>
  <c r="R4" i="2"/>
  <c r="R7" i="2"/>
  <c r="R10" i="2"/>
  <c r="R13" i="2"/>
  <c r="R16" i="2"/>
  <c r="R19" i="2"/>
  <c r="R22" i="2"/>
  <c r="R25" i="2"/>
  <c r="R28" i="2"/>
  <c r="R31" i="2"/>
  <c r="R34" i="2"/>
  <c r="R37" i="2"/>
  <c r="R40" i="2"/>
  <c r="R43" i="2"/>
  <c r="R46" i="2"/>
  <c r="R49" i="2"/>
  <c r="R52" i="2"/>
  <c r="R55" i="2"/>
  <c r="R58" i="2"/>
  <c r="R61" i="2"/>
  <c r="R64" i="2"/>
  <c r="R67" i="2"/>
  <c r="R70" i="2"/>
  <c r="R73" i="2"/>
  <c r="R76" i="2"/>
  <c r="R79" i="2"/>
  <c r="R82" i="2"/>
  <c r="R85" i="2"/>
  <c r="R88" i="2"/>
  <c r="R91" i="2"/>
  <c r="R94" i="2"/>
  <c r="S4" i="2"/>
  <c r="S7" i="2"/>
  <c r="S10" i="2"/>
  <c r="S13" i="2"/>
  <c r="S16" i="2"/>
  <c r="S19" i="2"/>
  <c r="S22" i="2"/>
  <c r="S25" i="2"/>
  <c r="S28" i="2"/>
  <c r="S31" i="2"/>
  <c r="S34" i="2"/>
  <c r="S37" i="2"/>
  <c r="S40" i="2"/>
  <c r="S43" i="2"/>
  <c r="S46" i="2"/>
  <c r="S49" i="2"/>
  <c r="S52" i="2"/>
  <c r="S55" i="2"/>
  <c r="S58" i="2"/>
  <c r="S61" i="2"/>
  <c r="S64" i="2"/>
  <c r="S67" i="2"/>
  <c r="S70" i="2"/>
  <c r="S73" i="2"/>
  <c r="S76" i="2"/>
  <c r="S79" i="2"/>
  <c r="S82" i="2"/>
  <c r="S85" i="2"/>
  <c r="S88" i="2"/>
  <c r="S91" i="2"/>
  <c r="S94" i="2"/>
  <c r="T4" i="2"/>
  <c r="T7" i="2"/>
  <c r="T10" i="2"/>
  <c r="T13" i="2"/>
  <c r="T16" i="2"/>
  <c r="T19" i="2"/>
  <c r="T22" i="2"/>
  <c r="T25" i="2"/>
  <c r="T28" i="2"/>
  <c r="T31" i="2"/>
  <c r="T34" i="2"/>
  <c r="T37" i="2"/>
  <c r="T40" i="2"/>
  <c r="T43" i="2"/>
  <c r="T46" i="2"/>
  <c r="T49" i="2"/>
  <c r="T52" i="2"/>
  <c r="T55" i="2"/>
  <c r="T58" i="2"/>
  <c r="T61" i="2"/>
  <c r="T64" i="2"/>
  <c r="T67" i="2"/>
  <c r="T70" i="2"/>
  <c r="T73" i="2"/>
  <c r="T76" i="2"/>
  <c r="T79" i="2"/>
  <c r="T82" i="2"/>
  <c r="T85" i="2"/>
  <c r="T88" i="2"/>
  <c r="T91" i="2"/>
  <c r="T94" i="2"/>
  <c r="U4" i="2"/>
  <c r="U7" i="2"/>
  <c r="U10" i="2"/>
  <c r="U13" i="2"/>
  <c r="U16" i="2"/>
  <c r="U19" i="2"/>
  <c r="U22" i="2"/>
  <c r="U25" i="2"/>
  <c r="U28" i="2"/>
  <c r="U31" i="2"/>
  <c r="U34" i="2"/>
  <c r="U37" i="2"/>
  <c r="U40" i="2"/>
  <c r="U43" i="2"/>
  <c r="U46" i="2"/>
  <c r="U49" i="2"/>
  <c r="U52" i="2"/>
  <c r="U55" i="2"/>
  <c r="U58" i="2"/>
  <c r="U61" i="2"/>
  <c r="U64" i="2"/>
  <c r="U67" i="2"/>
  <c r="U70" i="2"/>
  <c r="U73" i="2"/>
  <c r="U76" i="2"/>
  <c r="U79" i="2"/>
  <c r="U82" i="2"/>
  <c r="U85" i="2"/>
  <c r="U88" i="2"/>
  <c r="U91" i="2"/>
  <c r="U94" i="2"/>
  <c r="R5" i="2"/>
  <c r="R8" i="2"/>
  <c r="R11" i="2"/>
  <c r="R14" i="2"/>
  <c r="R17" i="2"/>
  <c r="R20" i="2"/>
  <c r="R23" i="2"/>
  <c r="R26" i="2"/>
  <c r="R29" i="2"/>
  <c r="R32" i="2"/>
  <c r="R35" i="2"/>
  <c r="R38" i="2"/>
  <c r="R41" i="2"/>
  <c r="R44" i="2"/>
  <c r="R47" i="2"/>
  <c r="R50" i="2"/>
  <c r="R53" i="2"/>
  <c r="R56" i="2"/>
  <c r="R59" i="2"/>
  <c r="R62" i="2"/>
  <c r="R65" i="2"/>
  <c r="R68" i="2"/>
  <c r="R71" i="2"/>
  <c r="R74" i="2"/>
  <c r="R77" i="2"/>
  <c r="R80" i="2"/>
  <c r="R83" i="2"/>
  <c r="R86" i="2"/>
  <c r="R89" i="2"/>
  <c r="R92" i="2"/>
  <c r="R95" i="2"/>
  <c r="S5" i="2"/>
  <c r="S8" i="2"/>
  <c r="S11" i="2"/>
  <c r="S14" i="2"/>
  <c r="S17" i="2"/>
  <c r="S20" i="2"/>
  <c r="S23" i="2"/>
  <c r="S26" i="2"/>
  <c r="S29" i="2"/>
  <c r="S32" i="2"/>
  <c r="S35" i="2"/>
  <c r="S38" i="2"/>
  <c r="S41" i="2"/>
  <c r="S44" i="2"/>
  <c r="S47" i="2"/>
  <c r="S50" i="2"/>
  <c r="S53" i="2"/>
  <c r="S56" i="2"/>
  <c r="S59" i="2"/>
  <c r="S62" i="2"/>
  <c r="S65" i="2"/>
  <c r="S68" i="2"/>
  <c r="S71" i="2"/>
  <c r="S74" i="2"/>
  <c r="S77" i="2"/>
  <c r="S80" i="2"/>
  <c r="S83" i="2"/>
  <c r="S86" i="2"/>
  <c r="S89" i="2"/>
  <c r="S92" i="2"/>
  <c r="S95" i="2"/>
  <c r="T5" i="2"/>
  <c r="T8" i="2"/>
  <c r="T11" i="2"/>
  <c r="T14" i="2"/>
  <c r="T17" i="2"/>
  <c r="T20" i="2"/>
  <c r="T23" i="2"/>
  <c r="T26" i="2"/>
  <c r="T29" i="2"/>
  <c r="T32" i="2"/>
  <c r="T35" i="2"/>
  <c r="T38" i="2"/>
  <c r="T41" i="2"/>
  <c r="T44" i="2"/>
  <c r="T47" i="2"/>
  <c r="T50" i="2"/>
  <c r="T53" i="2"/>
  <c r="T56" i="2"/>
  <c r="T59" i="2"/>
  <c r="T62" i="2"/>
  <c r="T65" i="2"/>
  <c r="T68" i="2"/>
  <c r="T71" i="2"/>
  <c r="T74" i="2"/>
  <c r="T77" i="2"/>
  <c r="T80" i="2"/>
  <c r="T83" i="2"/>
  <c r="T86" i="2"/>
  <c r="T89" i="2"/>
  <c r="T92" i="2"/>
  <c r="T95" i="2"/>
  <c r="U5" i="2"/>
  <c r="U8" i="2"/>
  <c r="U11" i="2"/>
  <c r="U14" i="2"/>
  <c r="U17" i="2"/>
  <c r="U20" i="2"/>
  <c r="U23" i="2"/>
  <c r="U26" i="2"/>
  <c r="U29" i="2"/>
  <c r="U32" i="2"/>
  <c r="U35" i="2"/>
  <c r="U38" i="2"/>
  <c r="U41" i="2"/>
  <c r="U44" i="2"/>
  <c r="U47" i="2"/>
  <c r="U50" i="2"/>
  <c r="U53" i="2"/>
  <c r="U56" i="2"/>
  <c r="U59" i="2"/>
  <c r="U62" i="2"/>
  <c r="U65" i="2"/>
  <c r="U68" i="2"/>
  <c r="U71" i="2"/>
  <c r="U74" i="2"/>
  <c r="U77" i="2"/>
  <c r="U80" i="2"/>
  <c r="U83" i="2"/>
  <c r="U86" i="2"/>
  <c r="U89" i="2"/>
  <c r="U92" i="2"/>
  <c r="U95" i="2"/>
  <c r="F16" i="2"/>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S2" i="2" l="1"/>
  <c r="T2" i="2"/>
  <c r="U2" i="2"/>
  <c r="R2" i="2"/>
  <c r="L2" i="2"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Y9" i="1"/>
  <c r="Y94" i="1"/>
  <c r="Z94" i="1"/>
  <c r="X94" i="1"/>
  <c r="AA94" i="1"/>
  <c r="V9" i="1"/>
  <c r="AE9" i="1" l="1"/>
  <c r="AF9" i="1"/>
  <c r="A3" i="1" a="1"/>
  <c r="A3" i="1" s="1"/>
  <c r="A10" i="1" a="1"/>
  <c r="A10" i="1" s="1"/>
  <c r="D10" i="1" a="1"/>
  <c r="D10" i="1" s="1"/>
  <c r="E10" i="1" a="1"/>
  <c r="E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Y10" i="1"/>
  <c r="X3" i="1"/>
  <c r="AA3" i="1"/>
  <c r="Z3" i="1"/>
  <c r="Y3" i="1"/>
  <c r="V10" i="1"/>
  <c r="AE10" i="1" l="1"/>
  <c r="AF10" i="1"/>
  <c r="AB94" i="1"/>
  <c r="AB95" i="1"/>
  <c r="AB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D61" i="1"/>
  <c r="C107" i="1" l="1" a="1"/>
  <c r="C107" i="1" s="1"/>
  <c r="B107" i="1" l="1" a="1"/>
  <c r="B107" i="1" s="1"/>
  <c r="D107" i="1" s="1"/>
  <c r="B5" i="1" l="1"/>
  <c r="B26" i="1" s="1"/>
  <c r="B72" i="1" s="1"/>
  <c r="AB62" i="1"/>
  <c r="AD62" i="1"/>
  <c r="AB59" i="1"/>
  <c r="AD59" i="1"/>
  <c r="AB57" i="1" l="1"/>
  <c r="AD57" i="1"/>
  <c r="AF3" i="1" l="1"/>
  <c r="AE3" i="1"/>
  <c r="AB65" i="1"/>
  <c r="B106" i="1" l="1" a="1"/>
  <c r="B106" i="1" s="1"/>
  <c r="D106" i="1" s="1"/>
  <c r="C106" i="1" a="1"/>
  <c r="C106"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5" i="1" a="1"/>
  <c r="C105" i="1" s="1"/>
  <c r="B105" i="1" a="1"/>
  <c r="B105" i="1" s="1"/>
  <c r="D105" i="1" s="1"/>
  <c r="C104" i="1" a="1"/>
  <c r="C104" i="1" s="1"/>
  <c r="B104" i="1" a="1"/>
  <c r="B104" i="1" s="1"/>
  <c r="D104" i="1" s="1"/>
  <c r="C103" i="1" a="1"/>
  <c r="C103" i="1" s="1"/>
  <c r="B103" i="1" a="1"/>
  <c r="B103" i="1" s="1"/>
  <c r="D103" i="1" s="1"/>
  <c r="C102" i="1" a="1"/>
  <c r="C102" i="1" s="1"/>
  <c r="B102" i="1" a="1"/>
  <c r="B102" i="1" s="1"/>
  <c r="D102" i="1" s="1"/>
  <c r="C101" i="1" a="1"/>
  <c r="C101" i="1" s="1"/>
  <c r="B101" i="1" a="1"/>
  <c r="B101" i="1" s="1"/>
  <c r="D101" i="1" s="1"/>
  <c r="C100" i="1" a="1"/>
  <c r="C100" i="1" s="1"/>
  <c r="B100" i="1" a="1"/>
  <c r="B100" i="1" s="1"/>
  <c r="D100"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E4" i="1" a="1"/>
  <c r="E4" i="1" s="1"/>
  <c r="D4" i="1" a="1"/>
  <c r="D4" i="1" s="1"/>
  <c r="U3" i="1" a="1"/>
  <c r="U3" i="1" s="1"/>
  <c r="R3" i="1" a="1"/>
  <c r="R3" i="1" s="1"/>
  <c r="Q3" i="1" a="1"/>
  <c r="Q3" i="1" s="1"/>
  <c r="P3" i="1" a="1"/>
  <c r="P3" i="1" s="1"/>
  <c r="O3" i="1" a="1"/>
  <c r="O3" i="1" s="1"/>
  <c r="N3" i="1" a="1"/>
  <c r="N3" i="1" s="1"/>
  <c r="M3" i="1" a="1"/>
  <c r="M3" i="1" s="1"/>
  <c r="L3" i="1" a="1"/>
  <c r="L3" i="1" s="1"/>
  <c r="H3" i="1" a="1"/>
  <c r="H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B50"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AE19" i="1" l="1"/>
  <c r="B94" i="1"/>
  <c r="B84" i="1"/>
  <c r="B88" i="1"/>
  <c r="B85" i="1"/>
  <c r="B89" i="1"/>
  <c r="B79" i="1"/>
  <c r="B90" i="1"/>
  <c r="B77" i="1"/>
  <c r="B91" i="1"/>
  <c r="B74" i="1"/>
  <c r="B92" i="1"/>
  <c r="B73" i="1"/>
  <c r="B93" i="1"/>
  <c r="B87" i="1"/>
  <c r="B80" i="1"/>
  <c r="B81" i="1"/>
  <c r="B82" i="1"/>
  <c r="B83" i="1"/>
  <c r="B70" i="1"/>
  <c r="B48" i="1"/>
  <c r="B35" i="1"/>
  <c r="B23" i="1"/>
  <c r="B9" i="1"/>
  <c r="B71" i="1"/>
  <c r="B44" i="1"/>
  <c r="B36" i="1"/>
  <c r="B24" i="1"/>
  <c r="B4" i="1"/>
  <c r="B69" i="1"/>
  <c r="B45" i="1"/>
  <c r="B37" i="1"/>
  <c r="B25" i="1"/>
  <c r="B67" i="1"/>
  <c r="B46" i="1"/>
  <c r="B38" i="1"/>
  <c r="B19" i="1"/>
  <c r="B66" i="1"/>
  <c r="B43" i="1"/>
  <c r="B39" i="1"/>
  <c r="B10" i="1"/>
  <c r="B60" i="1"/>
  <c r="B28" i="1"/>
  <c r="B40" i="1"/>
  <c r="B11" i="1"/>
  <c r="B56" i="1"/>
  <c r="B29" i="1"/>
  <c r="B41" i="1"/>
  <c r="B12" i="1"/>
  <c r="B52" i="1"/>
  <c r="B30" i="1"/>
  <c r="B27" i="1"/>
  <c r="B13" i="1"/>
  <c r="B53" i="1"/>
  <c r="B31" i="1"/>
  <c r="B14" i="1"/>
  <c r="B54" i="1"/>
  <c r="B32" i="1"/>
  <c r="B20" i="1"/>
  <c r="B15" i="1"/>
  <c r="B51" i="1"/>
  <c r="B33" i="1"/>
  <c r="B21" i="1"/>
  <c r="B16" i="1"/>
  <c r="B49" i="1"/>
  <c r="B34" i="1"/>
  <c r="B22" i="1"/>
  <c r="B17" i="1"/>
  <c r="B3" i="1"/>
  <c r="B6" i="1"/>
  <c r="Z60" i="1"/>
  <c r="AA60" i="1"/>
  <c r="X60" i="1"/>
  <c r="Y60" i="1"/>
  <c r="X23" i="1"/>
  <c r="Z23" i="1"/>
  <c r="Y23" i="1"/>
  <c r="AA23" i="1"/>
  <c r="AE42" i="1"/>
  <c r="AF29" i="1"/>
  <c r="AF35" i="1"/>
  <c r="AF13" i="1"/>
  <c r="AF74" i="1"/>
  <c r="AF71" i="1"/>
  <c r="AE37" i="1"/>
  <c r="AF19" i="1"/>
  <c r="AE16"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76"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6">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9"/>
        </ext>
      </extLst>
    </bk>
    <bk>
      <extLst>
        <ext uri="{3e2802c4-a4d2-4d8b-9148-e3be6c30e623}">
          <xlrd:rvb i="240"/>
        </ext>
      </extLst>
    </bk>
    <bk>
      <extLst>
        <ext uri="{3e2802c4-a4d2-4d8b-9148-e3be6c30e623}">
          <xlrd:rvb i="241"/>
        </ext>
      </extLst>
    </bk>
    <bk>
      <extLst>
        <ext uri="{3e2802c4-a4d2-4d8b-9148-e3be6c30e623}">
          <xlrd:rvb i="243"/>
        </ext>
      </extLst>
    </bk>
    <bk>
      <extLst>
        <ext uri="{3e2802c4-a4d2-4d8b-9148-e3be6c30e623}">
          <xlrd:rvb i="245"/>
        </ext>
      </extLst>
    </bk>
    <bk>
      <extLst>
        <ext uri="{3e2802c4-a4d2-4d8b-9148-e3be6c30e623}">
          <xlrd:rvb i="247"/>
        </ext>
      </extLst>
    </bk>
    <bk>
      <extLst>
        <ext uri="{3e2802c4-a4d2-4d8b-9148-e3be6c30e623}">
          <xlrd:rvb i="249"/>
        </ext>
      </extLst>
    </bk>
    <bk>
      <extLst>
        <ext uri="{3e2802c4-a4d2-4d8b-9148-e3be6c30e623}">
          <xlrd:rvb i="251"/>
        </ext>
      </extLst>
    </bk>
    <bk>
      <extLst>
        <ext uri="{3e2802c4-a4d2-4d8b-9148-e3be6c30e623}">
          <xlrd:rvb i="253"/>
        </ext>
      </extLst>
    </bk>
    <bk>
      <extLst>
        <ext uri="{3e2802c4-a4d2-4d8b-9148-e3be6c30e623}">
          <xlrd:rvb i="255"/>
        </ext>
      </extLst>
    </bk>
    <bk>
      <extLst>
        <ext uri="{3e2802c4-a4d2-4d8b-9148-e3be6c30e623}">
          <xlrd:rvb i="257"/>
        </ext>
      </extLst>
    </bk>
    <bk>
      <extLst>
        <ext uri="{3e2802c4-a4d2-4d8b-9148-e3be6c30e623}">
          <xlrd:rvb i="260"/>
        </ext>
      </extLst>
    </bk>
    <bk>
      <extLst>
        <ext uri="{3e2802c4-a4d2-4d8b-9148-e3be6c30e623}">
          <xlrd:rvb i="263"/>
        </ext>
      </extLst>
    </bk>
  </futureMetadata>
  <cellMetadata count="1">
    <bk>
      <rc t="1" v="0"/>
    </bk>
  </cellMetadata>
  <valueMetadata count="8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valueMetadata>
</metadata>
</file>

<file path=xl/sharedStrings.xml><?xml version="1.0" encoding="utf-8"?>
<sst xmlns="http://schemas.openxmlformats.org/spreadsheetml/2006/main" count="280" uniqueCount="172">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</sst>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 [$CHF-100C]\ * #,##0.00_ ;_ [$CHF-100C]\ * \-#,##0.00_ ;_ [$CHF-100C]\ * &quot;-&quot;??_ ;_ @_ "/>
    <numFmt numFmtId="169" formatCode="_(&quot;$&quot;* #,##0_);_(&quot;$&quot;* \(#,##0\);_(&quot;$&quot;* &quot;-&quot;??_);_(@_)"/>
    <numFmt numFmtId="170" formatCode="_(* #,##0.0000_);_(* \(#,##0.0000\);_(* &quot;-&quot;??_);_(@_)"/>
    <numFmt numFmtId="171" formatCode="_([$£-809]* #,##0.00_);_([$£-809]* \(#,##0.00\);_([$£-809]* &quot;-&quot;??_);_(@_)"/>
    <numFmt numFmtId="172" formatCode="_([$¥-411]* #,##0.00_);_([$¥-411]* \(#,##0.00\);_([$¥-411]* &quot;-&quot;??_);_(@_)"/>
    <numFmt numFmtId="173" formatCode="[$-409]d\-mmm\-yy;@"/>
    <numFmt numFmtId="174" formatCode="0.0%;[Red]\-0.0%"/>
    <numFmt numFmtId="175" formatCode="0.000%"/>
    <numFmt numFmtId="176" formatCode="0.0%"/>
    <numFmt numFmtId="177" formatCode="[$-409]d\-mmm\-yyyy;@"/>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3">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5" fontId="2" fillId="2" borderId="0" xfId="3" applyNumberFormat="1"/>
    <xf numFmtId="22"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69"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0"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68" fontId="0" fillId="0" borderId="0" xfId="0" applyNumberFormat="1" applyAlignment="1">
      <alignment horizontal="center"/>
    </xf>
    <xf numFmtId="171" fontId="0" fillId="0" borderId="0" xfId="0" applyNumberFormat="1" applyAlignment="1">
      <alignment horizontal="center"/>
    </xf>
    <xf numFmtId="172"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4" fontId="12" fillId="0" borderId="0" xfId="1" applyNumberFormat="1" applyFont="1" applyFill="1" applyAlignment="1">
      <alignment horizontal="center"/>
    </xf>
    <xf numFmtId="173"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4" fontId="23" fillId="12" borderId="0" xfId="1" applyNumberFormat="1" applyFont="1" applyFill="1"/>
    <xf numFmtId="174" fontId="0" fillId="0" borderId="0" xfId="0" applyNumberFormat="1"/>
    <xf numFmtId="9" fontId="0" fillId="13" borderId="0" xfId="2" applyFont="1" applyFill="1"/>
    <xf numFmtId="43" fontId="23" fillId="7" borderId="0" xfId="1" applyFont="1" applyFill="1"/>
    <xf numFmtId="175"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3"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76" fontId="0" fillId="0" borderId="0" xfId="2" applyNumberFormat="1" applyFont="1"/>
    <xf numFmtId="177" fontId="0" fillId="0" borderId="0" xfId="0" applyNumberFormat="1"/>
    <xf numFmtId="40" fontId="0" fillId="7" borderId="0" xfId="0" applyNumberFormat="1" applyFill="1"/>
    <xf numFmtId="40" fontId="0" fillId="10" borderId="0" xfId="0" applyNumberFormat="1" applyFill="1"/>
    <xf numFmtId="39"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7" formatCode="#,##0.00_);\(#,##0.00\)"/>
    </dxf>
    <dxf>
      <numFmt numFmtId="167" formatCode="_([$$-409]* #,##0.00_);_([$$-409]* \(#,##0.00\);_([$$-409]* &quot;-&quot;??_);_(@_)"/>
      <alignment horizontal="center" vertical="bottom" textRotation="0" wrapText="0" indent="0" justifyLastLine="0" shrinkToFit="0" readingOrder="0"/>
    </dxf>
    <dxf>
      <numFmt numFmtId="170" formatCode="_(* #,##0.0000_);_(* \(#,##0.0000\);_(* &quot;-&quot;??_);_(@_)"/>
    </dxf>
    <dxf>
      <font>
        <color rgb="FF00B050"/>
      </font>
      <numFmt numFmtId="174" formatCode="0.0%;[Red]\-0.0%"/>
      <fill>
        <patternFill patternType="solid">
          <fgColor indexed="64"/>
          <bgColor theme="4" tint="0.79998168889431442"/>
        </patternFill>
      </fill>
    </dxf>
    <dxf>
      <numFmt numFmtId="174" formatCode="0.0%;[Red]\-0.0%"/>
    </dxf>
    <dxf>
      <font>
        <color rgb="FF00B050"/>
      </font>
      <numFmt numFmtId="174"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3"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3"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8" formatCode="#,##0.00_);[Red]\(#,##0.00\)"/>
    </dxf>
    <dxf>
      <numFmt numFmtId="3" formatCode="#,##0"/>
    </dxf>
    <dxf>
      <numFmt numFmtId="3" formatCode="#,##0"/>
    </dxf>
    <dxf>
      <numFmt numFmtId="3" formatCode="#,##0"/>
    </dxf>
    <dxf>
      <numFmt numFmtId="3" formatCode="#,##0"/>
    </dxf>
    <dxf>
      <numFmt numFmtId="8" formatCode="#,##0.00_);[Red]\(#,##0.00\)"/>
    </dxf>
    <dxf>
      <numFmt numFmtId="8" formatCode="#,##0.00_);[Red]\(#,##0.00\)"/>
    </dxf>
    <dxf>
      <numFmt numFmtId="14" formatCode="0.00%"/>
    </dxf>
    <dxf>
      <numFmt numFmtId="14" formatCode="0.00%"/>
    </dxf>
    <dxf>
      <numFmt numFmtId="165" formatCode="0.00_);[Red]\(0.00\)"/>
    </dxf>
    <dxf>
      <numFmt numFmtId="165" formatCode="0.00_);[Red]\(0.00\)"/>
    </dxf>
    <dxf>
      <numFmt numFmtId="4" formatCode="#,##0.00"/>
    </dxf>
    <dxf>
      <numFmt numFmtId="169" formatCode="_(&quot;$&quot;* #,##0_);_(&quot;$&quot;* \(#,##0\);_(&quot;$&quot;* &quot;-&quot;??_);_(@_)"/>
    </dxf>
    <dxf>
      <numFmt numFmtId="8" formatCode="#,##0.00_);[Red]\(#,##0.00\)"/>
    </dxf>
    <dxf>
      <numFmt numFmtId="8" formatCode="#,##0.00_);[Red]\(#,##0.00\)"/>
    </dxf>
    <dxf>
      <numFmt numFmtId="8" formatCode="#,##0.00_);[Red]\(#,##0.00\)"/>
    </dxf>
    <dxf>
      <numFmt numFmtId="8" formatCode="#,##0.00_);[Red]\(#,##0.00\)"/>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287.70681999999999</v>
          </cell>
          <cell r="C2" t="str">
            <v>2025-11-10</v>
          </cell>
          <cell r="E2">
            <v>3.8E-3</v>
          </cell>
        </row>
        <row r="3">
          <cell r="A3" t="str">
            <v>ADEA</v>
          </cell>
          <cell r="B3">
            <v>22.75</v>
          </cell>
          <cell r="C3" t="str">
            <v>2025-11-24</v>
          </cell>
          <cell r="E3">
            <v>1.1599999999999999E-2</v>
          </cell>
        </row>
        <row r="4">
          <cell r="A4" t="str">
            <v>AET.L</v>
          </cell>
          <cell r="B4">
            <v>95.26</v>
          </cell>
        </row>
        <row r="5">
          <cell r="A5" t="str">
            <v>AMZN</v>
          </cell>
          <cell r="B5">
            <v>295.59784000000002</v>
          </cell>
        </row>
        <row r="6">
          <cell r="A6" t="str">
            <v>ALDNE.PA</v>
          </cell>
          <cell r="B6">
            <v>1.56667</v>
          </cell>
        </row>
        <row r="7">
          <cell r="A7" t="str">
            <v>ASML.AS</v>
          </cell>
          <cell r="B7">
            <v>1007.8667</v>
          </cell>
          <cell r="C7" t="str">
            <v>2025-10-28</v>
          </cell>
          <cell r="E7">
            <v>7.0999996000000003E-3</v>
          </cell>
        </row>
        <row r="8">
          <cell r="A8" t="str">
            <v>AVGO</v>
          </cell>
          <cell r="B8">
            <v>456.80200000000002</v>
          </cell>
          <cell r="C8" t="str">
            <v>2025-12-22</v>
          </cell>
          <cell r="E8">
            <v>7.4000000000000003E-3</v>
          </cell>
        </row>
        <row r="9">
          <cell r="A9" t="str">
            <v>AZN</v>
          </cell>
          <cell r="B9">
            <v>98.955449999999999</v>
          </cell>
          <cell r="C9" t="str">
            <v>2025-08-08</v>
          </cell>
          <cell r="E9">
            <v>1.6900001000000001E-2</v>
          </cell>
        </row>
        <row r="10">
          <cell r="A10" t="str">
            <v>BLDP</v>
          </cell>
          <cell r="B10">
            <v>2.9874999999999998</v>
          </cell>
        </row>
        <row r="11">
          <cell r="A11" t="str">
            <v>BMRA</v>
          </cell>
        </row>
        <row r="12">
          <cell r="A12" t="str">
            <v>C</v>
          </cell>
          <cell r="B12">
            <v>118.61905</v>
          </cell>
          <cell r="C12" t="str">
            <v>2025-11-03</v>
          </cell>
          <cell r="E12">
            <v>2.0299998999999999E-2</v>
          </cell>
        </row>
        <row r="13">
          <cell r="A13" t="str">
            <v>CSCO</v>
          </cell>
          <cell r="B13">
            <v>85.433809999999994</v>
          </cell>
          <cell r="C13" t="str">
            <v>2026-01-02</v>
          </cell>
          <cell r="E13">
            <v>2.1100000000000001E-2</v>
          </cell>
        </row>
        <row r="14">
          <cell r="A14" t="str">
            <v>CVS</v>
          </cell>
          <cell r="B14">
            <v>94.6</v>
          </cell>
          <cell r="C14" t="str">
            <v>2025-10-23</v>
          </cell>
          <cell r="E14">
            <v>3.32E-2</v>
          </cell>
        </row>
        <row r="15">
          <cell r="A15" t="str">
            <v>DDD</v>
          </cell>
          <cell r="B15">
            <v>3.625</v>
          </cell>
        </row>
        <row r="16">
          <cell r="A16" t="str">
            <v>DIS</v>
          </cell>
          <cell r="B16">
            <v>132.50357</v>
          </cell>
          <cell r="C16" t="str">
            <v>2026-06-30</v>
          </cell>
          <cell r="E16">
            <v>1.3099998999999999E-2</v>
          </cell>
        </row>
        <row r="17">
          <cell r="A17" t="str">
            <v>DSY.PA</v>
          </cell>
          <cell r="B17">
            <v>31.016670000000001</v>
          </cell>
          <cell r="C17" t="str">
            <v>2025-05-26</v>
          </cell>
          <cell r="E17">
            <v>1.0999999999999999E-2</v>
          </cell>
        </row>
        <row r="18">
          <cell r="A18" t="str">
            <v>DVA</v>
          </cell>
          <cell r="B18">
            <v>144.5</v>
          </cell>
        </row>
        <row r="19">
          <cell r="A19" t="str">
            <v>DXC</v>
          </cell>
          <cell r="B19">
            <v>14.5</v>
          </cell>
          <cell r="C19" t="str">
            <v>2020-03-24</v>
          </cell>
        </row>
        <row r="20">
          <cell r="A20" t="str">
            <v>EOAN.DE</v>
          </cell>
          <cell r="B20">
            <v>17.016529999999999</v>
          </cell>
          <cell r="C20" t="str">
            <v>2025-05-16</v>
          </cell>
          <cell r="E20">
            <v>3.4299999999999997E-2</v>
          </cell>
        </row>
        <row r="21">
          <cell r="A21" t="str">
            <v>EPIX</v>
          </cell>
        </row>
        <row r="22">
          <cell r="A22" t="str">
            <v>GM</v>
          </cell>
          <cell r="B22">
            <v>79.458330000000004</v>
          </cell>
          <cell r="C22" t="str">
            <v>2025-12-05</v>
          </cell>
          <cell r="E22">
            <v>7.2000003000000003E-3</v>
          </cell>
        </row>
        <row r="23">
          <cell r="A23" t="str">
            <v>HPE</v>
          </cell>
          <cell r="B23">
            <v>26.27778</v>
          </cell>
          <cell r="C23" t="str">
            <v>2025-12-19</v>
          </cell>
          <cell r="E23">
            <v>2.3400000000000001E-2</v>
          </cell>
        </row>
        <row r="24">
          <cell r="A24" t="str">
            <v>HPQ</v>
          </cell>
          <cell r="B24">
            <v>25.881250000000001</v>
          </cell>
          <cell r="C24" t="str">
            <v>2025-12-11</v>
          </cell>
          <cell r="E24">
            <v>5.2800002999999998E-2</v>
          </cell>
        </row>
        <row r="25">
          <cell r="A25" t="str">
            <v>IAG.L</v>
          </cell>
          <cell r="B25">
            <v>475.47250000000003</v>
          </cell>
          <cell r="C25" t="str">
            <v>2025-11-27</v>
          </cell>
          <cell r="E25">
            <v>2.2599999999999999E-2</v>
          </cell>
        </row>
        <row r="26">
          <cell r="A26" t="str">
            <v>KR</v>
          </cell>
          <cell r="B26">
            <v>73.818179999999998</v>
          </cell>
          <cell r="C26" t="str">
            <v>2025-11-14</v>
          </cell>
          <cell r="E26">
            <v>2.23E-2</v>
          </cell>
        </row>
        <row r="27">
          <cell r="A27" t="str">
            <v>LNSR</v>
          </cell>
          <cell r="B27">
            <v>15</v>
          </cell>
        </row>
        <row r="28">
          <cell r="A28" t="str">
            <v>LUMN</v>
          </cell>
          <cell r="B28">
            <v>7.2329999999999997</v>
          </cell>
          <cell r="C28" t="str">
            <v>2022-08-29</v>
          </cell>
        </row>
        <row r="29">
          <cell r="A29" t="str">
            <v>MRNA</v>
          </cell>
          <cell r="B29">
            <v>36.75</v>
          </cell>
        </row>
        <row r="30">
          <cell r="A30" t="str">
            <v>MSFT</v>
          </cell>
          <cell r="B30">
            <v>622.51415999999995</v>
          </cell>
          <cell r="C30" t="str">
            <v>2026-02-19</v>
          </cell>
          <cell r="E30">
            <v>7.4999999999999997E-3</v>
          </cell>
        </row>
        <row r="31">
          <cell r="A31" t="str">
            <v>NEE</v>
          </cell>
          <cell r="B31">
            <v>90.690910000000002</v>
          </cell>
          <cell r="C31" t="str">
            <v>2025-11-21</v>
          </cell>
          <cell r="E31">
            <v>2.8199999E-2</v>
          </cell>
        </row>
        <row r="32">
          <cell r="A32" t="str">
            <v>NEM</v>
          </cell>
          <cell r="B32">
            <v>109.495</v>
          </cell>
          <cell r="C32" t="str">
            <v>2025-11-26</v>
          </cell>
          <cell r="E32">
            <v>0.01</v>
          </cell>
        </row>
        <row r="33">
          <cell r="A33" t="str">
            <v>NFLX</v>
          </cell>
          <cell r="B33">
            <v>126.19184</v>
          </cell>
        </row>
        <row r="34">
          <cell r="A34" t="str">
            <v>NOTE</v>
          </cell>
          <cell r="B34">
            <v>19.250540000000001</v>
          </cell>
        </row>
        <row r="35">
          <cell r="A35" t="str">
            <v>PAAS</v>
          </cell>
          <cell r="B35">
            <v>50</v>
          </cell>
          <cell r="C35" t="str">
            <v>2025-11-24</v>
          </cell>
          <cell r="E35">
            <v>1.0699999999999999E-2</v>
          </cell>
        </row>
        <row r="36">
          <cell r="A36" t="str">
            <v>PROF</v>
          </cell>
          <cell r="B36">
            <v>12.1</v>
          </cell>
        </row>
        <row r="37">
          <cell r="A37" t="str">
            <v>POET</v>
          </cell>
          <cell r="B37">
            <v>6.9333299999999998</v>
          </cell>
        </row>
        <row r="38">
          <cell r="A38" t="str">
            <v>PW</v>
          </cell>
          <cell r="C38" t="str">
            <v>2013-01-10</v>
          </cell>
        </row>
        <row r="39">
          <cell r="A39" t="str">
            <v>RIGL</v>
          </cell>
          <cell r="B39">
            <v>51.2</v>
          </cell>
        </row>
        <row r="40">
          <cell r="A40" t="str">
            <v>RWE.DE</v>
          </cell>
          <cell r="B40">
            <v>49.138890000000004</v>
          </cell>
          <cell r="C40" t="str">
            <v>2025-05-02</v>
          </cell>
          <cell r="E40">
            <v>2.4400001000000001E-2</v>
          </cell>
        </row>
        <row r="41">
          <cell r="A41" t="str">
            <v>SAP.DE</v>
          </cell>
          <cell r="B41">
            <v>283.20499999999998</v>
          </cell>
          <cell r="C41" t="str">
            <v>2025-05-14</v>
          </cell>
          <cell r="E41">
            <v>1.1299999999999999E-2</v>
          </cell>
        </row>
        <row r="42">
          <cell r="A42" t="str">
            <v>SHECY</v>
          </cell>
          <cell r="C42" t="str">
            <v>2025-09-30</v>
          </cell>
          <cell r="E42">
            <v>2.2599999999999999E-2</v>
          </cell>
        </row>
        <row r="43">
          <cell r="A43" t="str">
            <v>SSYS</v>
          </cell>
          <cell r="B43">
            <v>13.16667</v>
          </cell>
        </row>
        <row r="44">
          <cell r="A44" t="str">
            <v>TSLA</v>
          </cell>
          <cell r="B44">
            <v>399.15100000000001</v>
          </cell>
        </row>
        <row r="45">
          <cell r="A45" t="str">
            <v>TSM</v>
          </cell>
          <cell r="B45">
            <v>344.57333</v>
          </cell>
          <cell r="C45" t="str">
            <v>2026-03-17</v>
          </cell>
          <cell r="E45">
            <v>1.12E-2</v>
          </cell>
        </row>
        <row r="46">
          <cell r="A46" t="str">
            <v>UN0</v>
          </cell>
        </row>
        <row r="47">
          <cell r="A47" t="str">
            <v>UNIT</v>
          </cell>
          <cell r="B47">
            <v>7.2</v>
          </cell>
          <cell r="C47" t="str">
            <v>2024-06-14</v>
          </cell>
        </row>
        <row r="48">
          <cell r="A48" t="str">
            <v>AVGO</v>
          </cell>
          <cell r="B48">
            <v>456.80200000000002</v>
          </cell>
          <cell r="C48" t="str">
            <v>2025-12-22</v>
          </cell>
          <cell r="E48">
            <v>7.4000000000000003E-3</v>
          </cell>
        </row>
        <row r="49">
          <cell r="A49" t="str">
            <v>VLVLY</v>
          </cell>
          <cell r="B49">
            <v>35</v>
          </cell>
          <cell r="C49" t="str">
            <v>2025-04-04</v>
          </cell>
          <cell r="E49">
            <v>2.5000000000000001E-2</v>
          </cell>
        </row>
        <row r="50">
          <cell r="A50" t="str">
            <v>VONN.SW</v>
          </cell>
          <cell r="B50">
            <v>64</v>
          </cell>
          <cell r="C50" t="str">
            <v>2025-04-04</v>
          </cell>
          <cell r="E50">
            <v>4.6800000000000001E-2</v>
          </cell>
        </row>
        <row r="51">
          <cell r="A51" t="str">
            <v>VTRS</v>
          </cell>
          <cell r="B51">
            <v>12.44444</v>
          </cell>
          <cell r="C51" t="str">
            <v>2025-11-24</v>
          </cell>
          <cell r="E51">
            <v>3.8800000000000001E-2</v>
          </cell>
        </row>
        <row r="52">
          <cell r="A52" t="str">
            <v>WBA</v>
          </cell>
        </row>
        <row r="53">
          <cell r="A53" t="str">
            <v>XOM</v>
          </cell>
          <cell r="B53">
            <v>131.56</v>
          </cell>
          <cell r="C53" t="str">
            <v>2025-11-14</v>
          </cell>
          <cell r="E53">
            <v>3.4200000000000001E-2</v>
          </cell>
        </row>
        <row r="54">
          <cell r="A54" t="str">
            <v>XPER</v>
          </cell>
          <cell r="B54">
            <v>11.4</v>
          </cell>
        </row>
        <row r="55">
          <cell r="A55" t="str">
            <v>BLNK</v>
          </cell>
          <cell r="B55">
            <v>2.4</v>
          </cell>
        </row>
        <row r="56">
          <cell r="A56" t="str">
            <v>ENI.MI</v>
          </cell>
          <cell r="B56">
            <v>16.536359999999998</v>
          </cell>
          <cell r="C56" t="str">
            <v>2025-11-24</v>
          </cell>
          <cell r="E56">
            <v>6.5100000000000005E-2</v>
          </cell>
        </row>
        <row r="57">
          <cell r="A57" t="str">
            <v>EZJ.L</v>
          </cell>
          <cell r="B57">
            <v>607.63199999999995</v>
          </cell>
          <cell r="C57" t="str">
            <v>2026-02-19</v>
          </cell>
          <cell r="E57">
            <v>2.6099998999999999E-2</v>
          </cell>
        </row>
        <row r="58">
          <cell r="A58" t="str">
            <v>F</v>
          </cell>
          <cell r="B58">
            <v>12.998419999999999</v>
          </cell>
          <cell r="C58" t="str">
            <v>2025-11-07</v>
          </cell>
          <cell r="E58">
            <v>4.5199999999999997E-2</v>
          </cell>
        </row>
        <row r="59">
          <cell r="A59" t="str">
            <v>GLE.PA</v>
          </cell>
          <cell r="B59">
            <v>68.422219999999996</v>
          </cell>
          <cell r="C59" t="str">
            <v>2025-10-07</v>
          </cell>
          <cell r="E59">
            <v>2.5000000000000001E-2</v>
          </cell>
        </row>
        <row r="60">
          <cell r="A60" t="str">
            <v>GNRC</v>
          </cell>
          <cell r="B60">
            <v>206.52940000000001</v>
          </cell>
          <cell r="C60" t="str">
            <v>2013-06-10</v>
          </cell>
        </row>
        <row r="61">
          <cell r="A61" t="str">
            <v>GS</v>
          </cell>
          <cell r="B61">
            <v>813.47370000000001</v>
          </cell>
          <cell r="C61" t="str">
            <v>2025-12-02</v>
          </cell>
          <cell r="E61">
            <v>1.7899999999999999E-2</v>
          </cell>
        </row>
        <row r="62">
          <cell r="A62" t="str">
            <v>LAZRQ</v>
          </cell>
          <cell r="B62">
            <v>1</v>
          </cell>
        </row>
        <row r="63">
          <cell r="A63" t="str">
            <v>LUV</v>
          </cell>
          <cell r="B63">
            <v>37.930430000000001</v>
          </cell>
          <cell r="C63" t="str">
            <v>2025-12-26</v>
          </cell>
          <cell r="E63">
            <v>1.7500000000000002E-2</v>
          </cell>
        </row>
        <row r="64">
          <cell r="A64" t="str">
            <v>MA</v>
          </cell>
          <cell r="B64">
            <v>657.92223999999999</v>
          </cell>
          <cell r="C64" t="str">
            <v>2026-01-09</v>
          </cell>
          <cell r="E64">
            <v>6.0000000000000001E-3</v>
          </cell>
        </row>
        <row r="65">
          <cell r="A65" t="str">
            <v>NVAX</v>
          </cell>
          <cell r="B65">
            <v>12.77778</v>
          </cell>
        </row>
        <row r="66">
          <cell r="A66" t="str">
            <v>NVS</v>
          </cell>
          <cell r="B66">
            <v>134.88221999999999</v>
          </cell>
          <cell r="C66" t="str">
            <v>2025-03-12</v>
          </cell>
          <cell r="E66">
            <v>2.87E-2</v>
          </cell>
        </row>
        <row r="67">
          <cell r="A67" t="str">
            <v>ORA.PA</v>
          </cell>
          <cell r="B67">
            <v>15.68824</v>
          </cell>
          <cell r="C67" t="str">
            <v>2025-12-02</v>
          </cell>
          <cell r="E67">
            <v>5.3100000000000001E-2</v>
          </cell>
        </row>
        <row r="68">
          <cell r="A68" t="str">
            <v>OXY</v>
          </cell>
          <cell r="B68">
            <v>49.916670000000003</v>
          </cell>
          <cell r="C68" t="str">
            <v>2025-12-10</v>
          </cell>
          <cell r="E68">
            <v>2.3800000000000002E-2</v>
          </cell>
        </row>
        <row r="69">
          <cell r="A69" t="str">
            <v>PFE</v>
          </cell>
          <cell r="B69">
            <v>28.622920000000001</v>
          </cell>
          <cell r="C69" t="str">
            <v>2026-01-23</v>
          </cell>
          <cell r="E69">
            <v>6.88E-2</v>
          </cell>
        </row>
        <row r="70">
          <cell r="A70" t="str">
            <v>RIG</v>
          </cell>
          <cell r="B70">
            <v>4.1583300000000003</v>
          </cell>
          <cell r="C70" t="str">
            <v>2015-08-21</v>
          </cell>
        </row>
        <row r="71">
          <cell r="A71" t="str">
            <v>RRC</v>
          </cell>
          <cell r="B71">
            <v>42.130429999999997</v>
          </cell>
          <cell r="C71" t="str">
            <v>2025-12-12</v>
          </cell>
          <cell r="E71">
            <v>0.01</v>
          </cell>
        </row>
        <row r="72">
          <cell r="A72" t="str">
            <v>XYZ</v>
          </cell>
          <cell r="B72">
            <v>84.005260000000007</v>
          </cell>
        </row>
        <row r="73">
          <cell r="A73" t="str">
            <v>THC</v>
          </cell>
          <cell r="B73">
            <v>237.2381</v>
          </cell>
          <cell r="C73" t="str">
            <v>2000-03-13</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4">
  <rv s="0">
    <v>https://www.bing.com/financeapi/forcetrigger?t=a1mou2&amp;q=XNAS%3aAAPL&amp;form=skydnc</v>
    <v>Learn more on Bing</v>
  </rv>
  <rv s="1">
    <v>0</v>
    <v>APPLE INC. (XNAS:AAPL)</v>
    <v>2</v>
    <v>3</v>
    <v>Finance</v>
    <v>4</v>
    <v>en-US</v>
    <v>a1mou2</v>
    <v>268435456</v>
    <v>1</v>
    <v>9</v>
    <v>Powered by Refinitiv</v>
    <v>288.62</v>
    <v>169.21010000000001</v>
    <v>1.0915999999999999</v>
    <v>-1.22</v>
    <v>-4.4679999999999997E-3</v>
    <v>0.33600000000000002</v>
    <v>1.2360000000000001E-3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273.68</v>
    <v>Computers, Phones &amp; Household Electronics</v>
    <v>Stock</v>
    <v>46022.930929073438</v>
    <v>0</v>
    <v>271.75</v>
    <v>4017098511000</v>
    <v>APPLE INC.</v>
    <v>APPLE INC.</v>
    <v>273.06</v>
    <v>36.606299999999997</v>
    <v>273.08</v>
    <v>271.86</v>
    <v>272.19600000000003</v>
    <v>14776350000</v>
    <v>AAPL</v>
    <v>APPLE INC. (XNAS:AAPL)</v>
    <v>27191656</v>
    <v>42532097</v>
    <v>1977</v>
  </rv>
  <rv s="2">
    <v>1</v>
  </rv>
  <rv s="0">
    <v>https://www.bing.com/financeapi/forcetrigger?t=a269vh&amp;q=XNAS%3aXPER&amp;form=skydnc</v>
    <v>Learn more on Bing</v>
  </rv>
  <rv s="1">
    <v>0</v>
    <v>ADEIA INC. (XNAS:ADEA)</v>
    <v>2</v>
    <v>3</v>
    <v>Finance</v>
    <v>4</v>
    <v>en-US</v>
    <v>a269vh</v>
    <v>268435456</v>
    <v>1</v>
    <v>9</v>
    <v>Powered by Refinitiv</v>
    <v>18.25</v>
    <v>10.59</v>
    <v>2.3730000000000002</v>
    <v>-0.36</v>
    <v>-2.0442999999999999E-2</v>
    <v>0</v>
    <v>0</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17.64</v>
    <v>Software &amp; IT Services</v>
    <v>Stock</v>
    <v>46022.929882060154</v>
    <v>3</v>
    <v>17.175000000000001</v>
    <v>1889050950</v>
    <v>ADEIA INC.</v>
    <v>ADEIA INC.</v>
    <v>17.62</v>
    <v>26.5794</v>
    <v>17.61</v>
    <v>17.25</v>
    <v>17.25</v>
    <v>109510200</v>
    <v>ADEA</v>
    <v>ADEIA INC. (XNAS:ADEA)</v>
    <v>598822</v>
    <v>958492</v>
    <v>2019</v>
  </rv>
  <rv s="2">
    <v>4</v>
  </rv>
  <rv s="0">
    <v>https://www.bing.com/financeapi/forcetrigger?t=aodfgh&amp;q=XLON%3aAET&amp;form=skydnc</v>
    <v>Learn more on Bing</v>
  </rv>
  <rv s="3">
    <v>5</v>
    <v>AFENTRA PLC (XLON:AET)</v>
    <v>2</v>
    <v>6</v>
    <v>Finance</v>
    <v>7</v>
    <v>en-US</v>
    <v>aodfgh</v>
    <v>268435456</v>
    <v>1</v>
    <v>9</v>
    <v>Powered by Refinitiv</v>
    <v>56.2</v>
    <v>33.064999999999998</v>
    <v>1.8751</v>
    <v>2</v>
    <v>5.0761000000000001E-2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The Block is an unexplored frontier acreage position covering 22,840 km2, offering the opportunity to explore an undrilled onshore rift basin in Africa.</v>
    <v>15</v>
    <v>London Stock Exchange</v>
    <v>XLON</v>
    <v>XLON</v>
    <v>10 St. Bride Street, LONDON, EC4A 4AD GB</v>
    <v>41.4</v>
    <v>Oil &amp; Gas</v>
    <v>Stock</v>
    <v>46022.506632661716</v>
    <v>6</v>
    <v>39</v>
    <v>89383500</v>
    <v>AFENTRA PLC</v>
    <v>AFENTRA PLC</v>
    <v>39</v>
    <v>3.5535999999999999</v>
    <v>39.4</v>
    <v>41.4</v>
    <v>226156000</v>
    <v>AET</v>
    <v>AFENTRA PLC (XLON:AET)</v>
    <v>1675886</v>
    <v>403650</v>
    <v>1983</v>
  </rv>
  <rv s="2">
    <v>7</v>
  </rv>
  <rv s="0">
    <v>https://www.bing.com/financeapi/forcetrigger?t=a1nhlh&amp;q=XNAS%3aAMZN&amp;form=skydnc</v>
    <v>Learn more on Bing</v>
  </rv>
  <rv s="1">
    <v>0</v>
    <v>AMAZON.COM, INC. (XNAS:AMZN)</v>
    <v>2</v>
    <v>3</v>
    <v>Finance</v>
    <v>4</v>
    <v>en-US</v>
    <v>a1nhlh</v>
    <v>268435456</v>
    <v>1</v>
    <v>9</v>
    <v>Powered by Refinitiv</v>
    <v>258.60000000000002</v>
    <v>161.38</v>
    <v>1.3754</v>
    <v>-1.71</v>
    <v>-7.3540000000000003E-3</v>
    <v>-0.06</v>
    <v>-2.5989999999999997E-4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232.99</v>
    <v>Diversified Retail</v>
    <v>Stock</v>
    <v>46022.930968842185</v>
    <v>9</v>
    <v>230.12</v>
    <v>2467516580400</v>
    <v>AMAZON.COM, INC.</v>
    <v>AMAZON.COM, INC.</v>
    <v>232.905</v>
    <v>32.606299999999997</v>
    <v>232.53</v>
    <v>230.82</v>
    <v>230.76</v>
    <v>10690220000</v>
    <v>AMZN</v>
    <v>AMAZON.COM, INC. (XNAS:AMZN)</v>
    <v>23866822</v>
    <v>36642587</v>
    <v>1996</v>
  </rv>
  <rv s="2">
    <v>10</v>
  </rv>
  <rv s="0">
    <v>https://www.bing.com/financeapi/forcetrigger?t=b125ww&amp;q=XPAR%3aALDNE&amp;form=skydnc</v>
    <v>Learn more on Bing</v>
  </rv>
  <rv s="3">
    <v>5</v>
    <v>Dont Nod Entertainment SA (XPAR:ALDNE)</v>
    <v>2</v>
    <v>8</v>
    <v>Finance</v>
    <v>9</v>
    <v>en-US</v>
    <v>b125ww</v>
    <v>268435456</v>
    <v>1</v>
    <v>9</v>
    <v>Powered by Refinitiv</v>
    <v>1.53</v>
    <v>0.55000000000000004</v>
    <v>0.96840000000000004</v>
    <v>1.6E-2</v>
    <v>2.5316000000000002E-2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0.64800000000000002</v>
    <v>Software &amp; IT Services</v>
    <v>Stock</v>
    <v>46022.708333333336</v>
    <v>12</v>
    <v>0.63400000000000001</v>
    <v>8267670</v>
    <v>Dont Nod Entertainment SA</v>
    <v>Dont Nod Entertainment SA</v>
    <v>0.63400000000000001</v>
    <v>0</v>
    <v>0.63200000000000001</v>
    <v>0.64800000000000002</v>
    <v>13081760</v>
    <v>ALDNE</v>
    <v>Dont Nod Entertainment SA (XPAR:ALDNE)</v>
    <v>1001</v>
    <v>11980</v>
    <v>2008</v>
  </rv>
  <rv s="2">
    <v>13</v>
  </rv>
  <rv s="0">
    <v>https://www.bing.com/financeapi/forcetrigger?t=alnz5r&amp;q=XAMS%3aASML&amp;form=skydnc</v>
    <v>Learn more on Bing</v>
  </rv>
  <rv s="3">
    <v>5</v>
    <v>ASML Holding NV (XAMS:ASML)</v>
    <v>2</v>
    <v>8</v>
    <v>Finance</v>
    <v>9</v>
    <v>en-US</v>
    <v>alnz5r</v>
    <v>268435456</v>
    <v>1</v>
    <v>9</v>
    <v>Powered by Refinitiv</v>
    <v>977.1</v>
    <v>508.4</v>
    <v>2.0910000000000002</v>
    <v>3</v>
    <v>3.2669999999999999E-3</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921.4</v>
    <v>Semiconductors &amp; Semiconductor Equipment</v>
    <v>Stock</v>
    <v>46022.708333333336</v>
    <v>15</v>
    <v>909.1</v>
    <v>356474800000</v>
    <v>ASML Holding NV</v>
    <v>ASML Holding NV</v>
    <v>909.9</v>
    <v>35.378500000000003</v>
    <v>918.4</v>
    <v>921.4</v>
    <v>388147700</v>
    <v>ASML</v>
    <v>ASML Holding NV (XAMS:ASML)</v>
    <v>156048</v>
    <v>556440</v>
    <v>1994</v>
  </rv>
  <rv s="2">
    <v>16</v>
  </rv>
  <rv s="0">
    <v>https://www.bing.com/financeapi/forcetrigger?t=a1nz8m&amp;q=XNAS%3aAVGO&amp;form=skydnc</v>
    <v>Learn more on Bing</v>
  </rv>
  <rv s="1">
    <v>0</v>
    <v>BROADCOM INC. (XNAS:AVGO)</v>
    <v>2</v>
    <v>3</v>
    <v>Finance</v>
    <v>4</v>
    <v>en-US</v>
    <v>a1nz8m</v>
    <v>268435456</v>
    <v>1</v>
    <v>9</v>
    <v>Powered by Refinitiv</v>
    <v>414.61</v>
    <v>138.1</v>
    <v>1.2070000000000001</v>
    <v>-3.75</v>
    <v>-1.0719000000000001E-2</v>
    <v>-0.65</v>
    <v>-1.8779999999999999E-3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349.88</v>
    <v>Semiconductors &amp; Semiconductor Equipment</v>
    <v>Stock</v>
    <v>46022.930998113283</v>
    <v>18</v>
    <v>345.42</v>
    <v>1640954931400</v>
    <v>BROADCOM INC.</v>
    <v>BROADCOM INC.</v>
    <v>349.73</v>
    <v>72.557699999999997</v>
    <v>349.85</v>
    <v>346.1</v>
    <v>345.45</v>
    <v>4741274000</v>
    <v>AVGO</v>
    <v>BROADCOM INC. (XNAS:AVGO)</v>
    <v>15276060</v>
    <v>39634651</v>
    <v>2018</v>
  </rv>
  <rv s="2">
    <v>19</v>
  </rv>
  <rv s="0">
    <v>https://www.bing.com/financeapi/forcetrigger?t=a1o3qh&amp;q=XNAS%3aAZN&amp;form=skydnc</v>
    <v>Learn more on Bing</v>
  </rv>
  <rv s="1">
    <v>0</v>
    <v>ASTRAZENECA PLC (XNAS:AZN)</v>
    <v>2</v>
    <v>3</v>
    <v>Finance</v>
    <v>4</v>
    <v>en-US</v>
    <v>a1o3qh</v>
    <v>268435456</v>
    <v>1</v>
    <v>9</v>
    <v>Powered by Refinitiv</v>
    <v>94.015000000000001</v>
    <v>61.24</v>
    <v>0.34399999999999997</v>
    <v>-0.57999999999999996</v>
    <v>-6.2700000000000004E-3</v>
    <v>-0.13</v>
    <v>-1.4139999999999999E-3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92.48</v>
    <v>Pharmaceuticals</v>
    <v>Stock</v>
    <v>46022.923173645315</v>
    <v>21</v>
    <v>91.92</v>
    <v>287128900000</v>
    <v>ASTRAZENECA PLC</v>
    <v>ASTRAZENECA PLC</v>
    <v>92.25</v>
    <v>30.541499999999999</v>
    <v>92.51</v>
    <v>91.93</v>
    <v>91.8</v>
    <v>3101452000</v>
    <v>AZN</v>
    <v>ASTRAZENECA PLC (XNAS:AZN)</v>
    <v>2049693</v>
    <v>5108858</v>
    <v>1992</v>
  </rv>
  <rv s="2">
    <v>22</v>
  </rv>
  <rv s="0">
    <v>https://www.bing.com/financeapi/forcetrigger?t=a1oldm&amp;q=XNAS%3aBLDP&amp;form=skydnc</v>
    <v>Learn more on Bing</v>
  </rv>
  <rv s="1">
    <v>0</v>
    <v>BALLARD POWER SYSTEMS INC. (XNAS:BLDP)</v>
    <v>2</v>
    <v>10</v>
    <v>Finance</v>
    <v>4</v>
    <v>en-US</v>
    <v>a1oldm</v>
    <v>268435456</v>
    <v>1</v>
    <v>9</v>
    <v>Powered by Refinitiv</v>
    <v>4.0999999999999996</v>
    <v>1</v>
    <v>1.6089</v>
    <v>0</v>
    <v>0</v>
    <v>9.4999999999999998E-3</v>
    <v>3.7399999999999998E-3</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2.57</v>
    <v>Renewable Energy</v>
    <v>Stock</v>
    <v>46022.926026573441</v>
    <v>24</v>
    <v>2.5099999999999998</v>
    <v>1052037000</v>
    <v>BALLARD POWER SYSTEMS INC.</v>
    <v>BALLARD POWER SYSTEMS INC.</v>
    <v>2.5099999999999998</v>
    <v>0</v>
    <v>2.54</v>
    <v>2.54</v>
    <v>2.5495000000000001</v>
    <v>300581900</v>
    <v>BLDP</v>
    <v>BALLARD POWER SYSTEMS INC. (XNAS:BLDP)</v>
    <v>2396848</v>
    <v>3828625</v>
    <v>2016</v>
  </rv>
  <rv s="2">
    <v>25</v>
  </rv>
  <rv s="0">
    <v>https://www.bing.com/financeapi/forcetrigger?t=a1oo5r&amp;q=XNAS%3aBMRA&amp;form=skydnc</v>
    <v>Learn more on Bing</v>
  </rv>
  <rv s="1">
    <v>0</v>
    <v>BIOMERICA, INC. (XNAS:BMRA)</v>
    <v>2</v>
    <v>3</v>
    <v>Finance</v>
    <v>11</v>
    <v>en-US</v>
    <v>a1oo5r</v>
    <v>268435456</v>
    <v>1</v>
    <v>9</v>
    <v>Powered by Refinitiv</v>
    <v>10.16</v>
    <v>2.11</v>
    <v>0.1145</v>
    <v>7.0000000000000007E-2</v>
    <v>2.8570999999999999E-2</v>
    <v>0</v>
    <v>0</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2.58</v>
    <v>Healthcare Equipment &amp; Supplies</v>
    <v>Stock</v>
    <v>46022.881992106253</v>
    <v>27</v>
    <v>2.4005000000000001</v>
    <v>7222520</v>
    <v>BIOMERICA, INC.</v>
    <v>BIOMERICA, INC.</v>
    <v>2.4500000000000002</v>
    <v>0</v>
    <v>2.4500000000000002</v>
    <v>2.52</v>
    <v>2.52</v>
    <v>2947970</v>
    <v>BMRA</v>
    <v>BIOMERICA, INC. (XNAS:BMRA)</v>
    <v>55751</v>
    <v>120157</v>
    <v>1971</v>
  </rv>
  <rv s="2">
    <v>28</v>
  </rv>
  <rv s="0">
    <v>https://www.bing.com/financeapi/forcetrigger?t=a1p3ww&amp;q=XNYS%3aC&amp;form=skydnc</v>
    <v>Learn more on Bing</v>
  </rv>
  <rv s="1">
    <v>0</v>
    <v>CITIGROUP INC. (XNYS:C)</v>
    <v>2</v>
    <v>3</v>
    <v>Finance</v>
    <v>4</v>
    <v>en-US</v>
    <v>a1p3ww</v>
    <v>268435456</v>
    <v>1</v>
    <v>9</v>
    <v>Powered by Refinitiv</v>
    <v>122.84</v>
    <v>55.51</v>
    <v>1.1737</v>
    <v>-0.52500000000000002</v>
    <v>-4.4790000000000003E-3</v>
    <v>0.21</v>
    <v>1.8E-3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117.62</v>
    <v>Investment Banking &amp; Investment Services</v>
    <v>Stock</v>
    <v>46022.930980450779</v>
    <v>30</v>
    <v>116.37</v>
    <v>208784470500</v>
    <v>CITIGROUP INC.</v>
    <v>CITIGROUP INC.</v>
    <v>117.4</v>
    <v>16.403099999999998</v>
    <v>117.21</v>
    <v>116.685</v>
    <v>116.9</v>
    <v>1789300000</v>
    <v>C</v>
    <v>CITIGROUP INC. (XNYS:C)</v>
    <v>6202223</v>
    <v>13712482</v>
    <v>1988</v>
  </rv>
  <rv s="2">
    <v>31</v>
  </rv>
  <rv s="0">
    <v>https://www.bing.com/financeapi/forcetrigger?t=a1qe5r&amp;q=XNAS%3aCSCO&amp;form=skydnc</v>
    <v>Learn more on Bing</v>
  </rv>
  <rv s="1">
    <v>0</v>
    <v>CISCO SYSTEMS, INC. (XNAS:CSCO)</v>
    <v>2</v>
    <v>3</v>
    <v>Finance</v>
    <v>4</v>
    <v>en-US</v>
    <v>a1qe5r</v>
    <v>268435456</v>
    <v>1</v>
    <v>9</v>
    <v>Powered by Refinitiv</v>
    <v>80.814999999999998</v>
    <v>52.11</v>
    <v>0.86240000000000006</v>
    <v>-0.38</v>
    <v>-4.9090000000000002E-3</v>
    <v>0.08</v>
    <v>1.039E-3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77.819999999999993</v>
    <v>Communications &amp; Networking</v>
    <v>Stock</v>
    <v>46022.93076133047</v>
    <v>33</v>
    <v>76.88</v>
    <v>304352770820</v>
    <v>CISCO SYSTEMS, INC.</v>
    <v>CISCO SYSTEMS, INC.</v>
    <v>77.34</v>
    <v>29.791899999999998</v>
    <v>77.41</v>
    <v>77.03</v>
    <v>77.11</v>
    <v>3951094000</v>
    <v>CSCO</v>
    <v>CISCO SYSTEMS, INC. (XNAS:CSCO)</v>
    <v>13503375</v>
    <v>19260253</v>
    <v>2021</v>
  </rv>
  <rv s="2">
    <v>34</v>
  </rv>
  <rv s="0">
    <v>https://www.bing.com/financeapi/forcetrigger?t=a1qlnm&amp;q=XNYS%3aCVS&amp;form=skydnc</v>
    <v>Learn more on Bing</v>
  </rv>
  <rv s="1">
    <v>0</v>
    <v>CVS HEALTH CORPORATION (XNYS:CVS)</v>
    <v>2</v>
    <v>3</v>
    <v>Finance</v>
    <v>4</v>
    <v>en-US</v>
    <v>a1qlnm</v>
    <v>268435456</v>
    <v>1</v>
    <v>9</v>
    <v>Powered by Refinitiv</v>
    <v>85.15</v>
    <v>43.72</v>
    <v>0.4829</v>
    <v>-0.495</v>
    <v>-6.1989999999999996E-3</v>
    <v>0.42</v>
    <v>5.2919999999999998E-3</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79.849999999999994</v>
    <v>Healthcare Providers &amp; Services</v>
    <v>Stock</v>
    <v>46022.92513298594</v>
    <v>36</v>
    <v>79.319999999999993</v>
    <v>101364200000</v>
    <v>CVS HEALTH CORPORATION</v>
    <v>CVS HEALTH CORPORATION</v>
    <v>79.790000000000006</v>
    <v>207.8989</v>
    <v>79.849999999999994</v>
    <v>79.355000000000004</v>
    <v>79.78</v>
    <v>1269432000</v>
    <v>CVS</v>
    <v>CVS HEALTH CORPORATION (XNYS:CVS)</v>
    <v>3107640</v>
    <v>7022085</v>
    <v>1996</v>
  </rv>
  <rv s="2">
    <v>37</v>
  </rv>
  <rv s="0">
    <v>https://www.bing.com/financeapi/forcetrigger?t=a1qu2w&amp;q=XNYS%3aDDD&amp;form=skydnc</v>
    <v>Learn more on Bing</v>
  </rv>
  <rv s="1">
    <v>0</v>
    <v>3D SYSTEMS CORPORATION (XNYS:DDD)</v>
    <v>2</v>
    <v>3</v>
    <v>Finance</v>
    <v>4</v>
    <v>en-US</v>
    <v>a1qu2w</v>
    <v>268435456</v>
    <v>1</v>
    <v>9</v>
    <v>Powered by Refinitiv</v>
    <v>4.9991000000000003</v>
    <v>1.32</v>
    <v>1.8777999999999999</v>
    <v>5.0000000000000001E-3</v>
    <v>2.8249999999999998E-3</v>
    <v>9.1000000000000004E-3</v>
    <v>5.1409999999999997E-3</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1.81</v>
    <v>Electronic Equipment &amp; Parts</v>
    <v>Stock</v>
    <v>46022.920714628905</v>
    <v>39</v>
    <v>1.75</v>
    <v>259254192</v>
    <v>3D SYSTEMS CORPORATION</v>
    <v>3D SYSTEMS CORPORATION</v>
    <v>1.76</v>
    <v>0</v>
    <v>1.77</v>
    <v>1.7749999999999999</v>
    <v>1.7790999999999999</v>
    <v>146058700</v>
    <v>DDD</v>
    <v>3D SYSTEMS CORPORATION (XNYS:DDD)</v>
    <v>1803395</v>
    <v>3114767</v>
    <v>1993</v>
  </rv>
  <rv s="2">
    <v>40</v>
  </rv>
  <rv s="0">
    <v>http://en.wikipedia.org/wiki/Public_domain</v>
    <v>Public domain</v>
  </rv>
  <rv s="0">
    <v>http://en.wikipedia.org/wiki/The_Walt_Disney_Company</v>
    <v>Wikipedia</v>
  </rv>
  <rv s="4">
    <v>42</v>
    <v>43</v>
  </rv>
  <rv s="5">
    <v>16</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6">
    <v>12</v>
    <v>THE WALT DISNEY COMPANY (XNYS:DIS)</v>
    <v>14</v>
    <v>15</v>
    <v>Finance</v>
    <v>4</v>
    <v>en-US</v>
    <v>a1r2z2</v>
    <v>268435456</v>
    <v>1</v>
    <v>9</v>
    <v>Powered by Refinitiv</v>
    <v>124.69</v>
    <v>80.099999999999994</v>
    <v>1.4482999999999999</v>
    <v>-1.03</v>
    <v>-8.9730000000000001E-3</v>
    <v>-0.18</v>
    <v>-1.5820000000000001E-3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114.89</v>
    <v>45</v>
    <v>Media &amp; Publishing</v>
    <v>Stock</v>
    <v>46022.930865786722</v>
    <v>46</v>
    <v>113.55</v>
    <v>203094476640</v>
    <v>THE WALT DISNEY COMPANY</v>
    <v>THE WALT DISNEY COMPANY</v>
    <v>114.77</v>
    <v>16.603200000000001</v>
    <v>114.79</v>
    <v>113.76</v>
    <v>113.59</v>
    <v>1785289000</v>
    <v>DIS</v>
    <v>THE WALT DISNEY COMPANY (XNYS:DIS)</v>
    <v>6541862</v>
    <v>10921324</v>
    <v>2018</v>
  </rv>
  <rv s="2">
    <v>47</v>
  </rv>
  <rv s="0">
    <v>https://www.bing.com/financeapi/forcetrigger?t=ae8e9c&amp;q=XPAR%3aDSY&amp;form=skydnc</v>
    <v>Learn more on Bing</v>
  </rv>
  <rv s="3">
    <v>5</v>
    <v>Dassault Systemes SE (XPAR:DSY)</v>
    <v>2</v>
    <v>8</v>
    <v>Finance</v>
    <v>9</v>
    <v>en-US</v>
    <v>ae8e9c</v>
    <v>268435456</v>
    <v>1</v>
    <v>9</v>
    <v>Powered by Refinitiv</v>
    <v>41.17</v>
    <v>22.79</v>
    <v>0.78979999999999995</v>
    <v>-0.03</v>
    <v>-1.2570000000000001E-3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24.02</v>
    <v>Software &amp; IT Services</v>
    <v>Stock</v>
    <v>46022.708333333336</v>
    <v>49</v>
    <v>23.8</v>
    <v>32020560000</v>
    <v>Dassault Systemes SE</v>
    <v>Dassault Systemes SE</v>
    <v>23.93</v>
    <v>26.636900000000001</v>
    <v>23.87</v>
    <v>23.84</v>
    <v>1341456000</v>
    <v>DSY</v>
    <v>Dassault Systemes SE (XPAR:DSY)</v>
    <v>768026</v>
    <v>2321900</v>
    <v>1981</v>
  </rv>
  <rv s="2">
    <v>50</v>
  </rv>
  <rv s="0">
    <v>https://www.bing.com/financeapi/forcetrigger?t=a1rec7&amp;q=XNYS%3aDVA&amp;form=skydnc</v>
    <v>Learn more on Bing</v>
  </rv>
  <rv s="1">
    <v>0</v>
    <v>DAVITA INC. (XNYS:DVA)</v>
    <v>2</v>
    <v>3</v>
    <v>Finance</v>
    <v>11</v>
    <v>en-US</v>
    <v>a1rec7</v>
    <v>268435456</v>
    <v>1</v>
    <v>9</v>
    <v>Powered by Refinitiv</v>
    <v>179.6</v>
    <v>112.54</v>
    <v>0.98660000000000003</v>
    <v>-0.21</v>
    <v>-1.8450000000000001E-3</v>
    <v>0.21</v>
    <v>1.8479999999999998E-3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114.13</v>
    <v>Healthcare Providers &amp; Services</v>
    <v>Stock</v>
    <v>46022.900367673436</v>
    <v>52</v>
    <v>113.22</v>
    <v>8020866000</v>
    <v>DAVITA INC.</v>
    <v>DAVITA INC.</v>
    <v>113.82</v>
    <v>11.6972</v>
    <v>113.82</v>
    <v>113.61</v>
    <v>113.82</v>
    <v>70600000</v>
    <v>DVA</v>
    <v>DAVITA INC. (XNYS:DVA)</v>
    <v>562399</v>
    <v>896013</v>
    <v>1994</v>
  </rv>
  <rv s="2">
    <v>53</v>
  </rv>
  <rv s="0">
    <v>https://www.bing.com/financeapi/forcetrigger?t=a1rgur&amp;q=XNYS%3aDXC&amp;form=skydnc</v>
    <v>Learn more on Bing</v>
  </rv>
  <rv s="1">
    <v>0</v>
    <v>DXC TECHNOLOGY COMPANY (XNYS:DXC)</v>
    <v>2</v>
    <v>3</v>
    <v>Finance</v>
    <v>4</v>
    <v>en-US</v>
    <v>a1rgur</v>
    <v>268435456</v>
    <v>1</v>
    <v>9</v>
    <v>Powered by Refinitiv</v>
    <v>23.75</v>
    <v>11.82</v>
    <v>1.0519000000000001</v>
    <v>-0.23499999999999999</v>
    <v>-1.5782000000000001E-2</v>
    <v>0</v>
    <v>0</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14.84</v>
    <v>Software &amp; IT Services</v>
    <v>Stock</v>
    <v>46022.924863171094</v>
    <v>55</v>
    <v>14.57</v>
    <v>2592854000</v>
    <v>DXC TECHNOLOGY COMPANY</v>
    <v>DXC TECHNOLOGY COMPANY</v>
    <v>14.79</v>
    <v>7.1558000000000002</v>
    <v>14.89</v>
    <v>14.654999999999999</v>
    <v>14.65</v>
    <v>174134000</v>
    <v>DXC</v>
    <v>DXC TECHNOLOGY COMPANY (XNYS:DXC)</v>
    <v>1506277</v>
    <v>2170697</v>
    <v>2017</v>
  </rv>
  <rv s="2">
    <v>56</v>
  </rv>
  <rv s="0">
    <v>https://www.bing.com/financeapi/forcetrigger?t=afrlyc&amp;q=XETR%3aEOAN&amp;form=skydnc</v>
    <v>Learn more on Bing</v>
  </rv>
  <rv s="3">
    <v>5</v>
    <v>E.ON SE (XETR:EOAN)</v>
    <v>2</v>
    <v>8</v>
    <v>Finance</v>
    <v>9</v>
    <v>en-US</v>
    <v>afrlyc</v>
    <v>268435456</v>
    <v>1</v>
    <v>9</v>
    <v>Powered by Refinitiv</v>
    <v>16.55</v>
    <v>10.435</v>
    <v>0.87070000000000003</v>
    <v>0.11</v>
    <v>6.8689999999999992E-3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Xetra</v>
    <v>XETR</v>
    <v>XETR</v>
    <v>Bruesseler Platz 1, ESSEN, NORDRHEIN-WESTFALEN, 45131 DE</v>
    <v>16.125</v>
    <v>Multiline Utilities</v>
    <v>Stock</v>
    <v>46021.583333333336</v>
    <v>58</v>
    <v>16.02</v>
    <v>42300720000</v>
    <v>E.ON SE</v>
    <v>E.ON SE</v>
    <v>16.02</v>
    <v>14.052300000000001</v>
    <v>16.015000000000001</v>
    <v>16.125</v>
    <v>2641319000</v>
    <v>EOAN</v>
    <v>E.ON SE (XETR:EOAN)</v>
    <v>1991916</v>
    <v>5221070</v>
    <v>2017</v>
  </rv>
  <rv s="2">
    <v>59</v>
  </rv>
  <rv s="0">
    <v>https://www.bing.com/financeapi/forcetrigger?t=a1s2zr&amp;q=XNAS%3aEPIX&amp;form=skydnc</v>
    <v>Learn more on Bing</v>
  </rv>
  <rv s="3">
    <v>5</v>
    <v>ESSA Pharma Inc. (XNAS:EPIX)</v>
    <v>2</v>
    <v>17</v>
    <v>Finance</v>
    <v>18</v>
    <v>en-US</v>
    <v>a1s2zr</v>
    <v>268435456</v>
    <v>1</v>
    <v>9</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9</v>
    <v>Powered by Refinitiv</v>
    <v>83.68</v>
    <v>41.6</v>
    <v>1.3231999999999999</v>
    <v>-0.995</v>
    <v>-1.2086E-2</v>
    <v>5.3999999999999999E-2</v>
    <v>6.6399999999999999E-4</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82.27</v>
    <v>Automobiles &amp; Auto Parts</v>
    <v>Stock</v>
    <v>46022.930884328125</v>
    <v>64</v>
    <v>81.25</v>
    <v>75874273835</v>
    <v>GENERAL MOTORS COMPANY</v>
    <v>GENERAL MOTORS COMPANY</v>
    <v>82.25</v>
    <v>15.643800000000001</v>
    <v>82.33</v>
    <v>81.334999999999994</v>
    <v>81.373999999999995</v>
    <v>932861300</v>
    <v>GM</v>
    <v>GENERAL MOTORS COMPANY (XNYS:GM)</v>
    <v>4371411</v>
    <v>9290053</v>
    <v>2009</v>
  </rv>
  <rv s="2">
    <v>65</v>
  </rv>
  <rv s="0">
    <v>https://www.bing.com/financeapi/forcetrigger?t=a1utqh&amp;q=XNYS%3aHPE&amp;form=skydnc</v>
    <v>Learn more on Bing</v>
  </rv>
  <rv s="1">
    <v>0</v>
    <v>HEWLETT PACKARD ENTERPRISE COMPANY (XNYS:HPE)</v>
    <v>2</v>
    <v>3</v>
    <v>Finance</v>
    <v>4</v>
    <v>en-US</v>
    <v>a1utqh</v>
    <v>268435456</v>
    <v>1</v>
    <v>9</v>
    <v>Powered by Refinitiv</v>
    <v>26.44</v>
    <v>11.965</v>
    <v>1.3391999999999999</v>
    <v>-0.05</v>
    <v>-2.0769999999999999E-3</v>
    <v>-0.02</v>
    <v>-8.3259999999999996E-4</v>
    <v>USD</v>
    <v>Hewlett Packard Enterprise Company is a global technology company focused on developing intelligent solutions that allow customers to capture, analyze and act upon data seamlessly from edge to cloud. Its customers range from small-and-medium-sized businesses to large global enterprises and governmental entities. Its segments include Server, Hybrid Cloud, Networking,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The Networking segment develops and sells high-performance networking and security products and services. Its Financial Services segment provides flexible investment solutions, such as leasing, financing, IT consumption, utility programs, and asset management services.</v>
    <v>67000</v>
    <v>New York Stock Exchange</v>
    <v>XNYS</v>
    <v>XNYS</v>
    <v>1701 E MOSSY OAKS ROAD, SPRING, TX, 77389 US</v>
    <v>24.24</v>
    <v>Computers, Phones &amp; Household Electronics</v>
    <v>Stock</v>
    <v>46022.925789432811</v>
    <v>67</v>
    <v>23.84</v>
    <v>32055482660</v>
    <v>HEWLETT PACKARD ENTERPRISE COMPANY</v>
    <v>HEWLETT PACKARD ENTERPRISE COMPANY</v>
    <v>24.02</v>
    <v>0</v>
    <v>24.07</v>
    <v>24.02</v>
    <v>24</v>
    <v>1334533000</v>
    <v>HPE</v>
    <v>HEWLETT PACKARD ENTERPRISE COMPANY (XNYS:HPE)</v>
    <v>14245276</v>
    <v>25400961</v>
    <v>2015</v>
  </rv>
  <rv s="2">
    <v>68</v>
  </rv>
  <rv s="0">
    <v>http://en.wikipedia.org/wiki/Hewlett-Packard</v>
    <v>Wikipedia</v>
  </rv>
  <rv s="4">
    <v>42</v>
    <v>70</v>
  </rv>
  <rv s="5">
    <v>16</v>
    <v>https://www.bing.com/th?id=AMMS_98757b1e7b158827481b7c629463c21b&amp;qlt=95</v>
    <v>71</v>
    <v>0</v>
    <v>https://www.bing.com/images/search?form=xlimg&amp;q=hp+company</v>
    <v>Image of HP INC.</v>
  </rv>
  <rv s="0">
    <v>https://www.bing.com/financeapi/forcetrigger?t=a1uu5r&amp;q=XNYS%3aHPQ&amp;form=skydnc</v>
    <v>Learn more on Bing</v>
  </rv>
  <rv s="6">
    <v>12</v>
    <v>HP INC. (XNYS:HPQ)</v>
    <v>14</v>
    <v>15</v>
    <v>Finance</v>
    <v>4</v>
    <v>en-US</v>
    <v>a1uu5r</v>
    <v>268435456</v>
    <v>1</v>
    <v>9</v>
    <v>Powered by Refinitiv</v>
    <v>35.274999999999999</v>
    <v>21.21</v>
    <v>1.2135</v>
    <v>-0.62</v>
    <v>-2.7073999999999997E-2</v>
    <v>5.1999999999999998E-2</v>
    <v>2.3340000000000001E-3</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55000</v>
    <v>New York Stock Exchange</v>
    <v>XNYS</v>
    <v>XNYS</v>
    <v>1501 Page Mill Road, PALO ALTO, CA, 94304 US</v>
    <v>22.9</v>
    <v>72</v>
    <v>Computers, Phones &amp; Household Electronics</v>
    <v>Stock</v>
    <v>46022.930394814066</v>
    <v>73</v>
    <v>22.27</v>
    <v>20452694660</v>
    <v>HP INC.</v>
    <v>HP INC.</v>
    <v>22.86</v>
    <v>8.3935999999999993</v>
    <v>22.9</v>
    <v>22.28</v>
    <v>22.332000000000001</v>
    <v>917984500</v>
    <v>HPQ</v>
    <v>HP INC. (XNYS:HPQ)</v>
    <v>9640712</v>
    <v>13264148</v>
    <v>1998</v>
  </rv>
  <rv s="2">
    <v>74</v>
  </rv>
  <rv s="0">
    <v>https://www.bing.com/financeapi/forcetrigger?t=ao9wcw&amp;q=XLON%3aIAG&amp;form=skydnc</v>
    <v>Learn more on Bing</v>
  </rv>
  <rv s="3">
    <v>5</v>
    <v>International Consolidated Airlines Group SA (XLON:IAG)</v>
    <v>2</v>
    <v>6</v>
    <v>Finance</v>
    <v>7</v>
    <v>en-US</v>
    <v>ao9wcw</v>
    <v>268435456</v>
    <v>1</v>
    <v>9</v>
    <v>Powered by Refinitiv</v>
    <v>429.3</v>
    <v>210</v>
    <v>2.3386999999999998</v>
    <v>-0.7</v>
    <v>-1.6869999999999999E-3</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416.1</v>
    <v>Passenger Transportation Services</v>
    <v>Stock</v>
    <v>46022.527524525001</v>
    <v>76</v>
    <v>412.7</v>
    <v>18942490000</v>
    <v>International Consolidated Airlines Group SA</v>
    <v>International Consolidated Airlines Group SA</v>
    <v>416.1</v>
    <v>7.4634999999999998</v>
    <v>415</v>
    <v>414.3</v>
    <v>4564456000</v>
    <v>IAG</v>
    <v>International Consolidated Airlines Group SA (XLON:IAG)</v>
    <v>3559933</v>
    <v>15852740</v>
    <v>2009</v>
  </rv>
  <rv s="2">
    <v>77</v>
  </rv>
  <rv s="0">
    <v>https://www.bing.com/financeapi/forcetrigger?t=a1wmu2&amp;q=XNYS%3aKR&amp;form=skydnc</v>
    <v>Learn more on Bing</v>
  </rv>
  <rv s="1">
    <v>0</v>
    <v>THE KROGER CO. (XNYS:KR)</v>
    <v>2</v>
    <v>3</v>
    <v>Finance</v>
    <v>11</v>
    <v>en-US</v>
    <v>a1wmu2</v>
    <v>268435456</v>
    <v>1</v>
    <v>9</v>
    <v>Powered by Refinitiv</v>
    <v>74.900000000000006</v>
    <v>58.12</v>
    <v>0.59530000000000005</v>
    <v>-0.2</v>
    <v>-3.1909999999999998E-3</v>
    <v>0.09</v>
    <v>1.4399999999999999E-3</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62.79</v>
    <v>Food &amp; Drug Retailing</v>
    <v>Stock</v>
    <v>46022.915726145315</v>
    <v>79</v>
    <v>62.46</v>
    <v>39540418016</v>
    <v>THE KROGER CO.</v>
    <v>THE KROGER CO.</v>
    <v>62.6</v>
    <v>57.226599999999998</v>
    <v>62.68</v>
    <v>62.48</v>
    <v>62.57</v>
    <v>632849200</v>
    <v>KR</v>
    <v>THE KROGER CO. (XNYS:KR)</v>
    <v>3752647</v>
    <v>6716686</v>
    <v>1902</v>
  </rv>
  <rv s="2">
    <v>80</v>
  </rv>
  <rv s="0">
    <v>https://www.bing.com/financeapi/forcetrigger?t=bvuap2&amp;q=XNAS%3aLNSR&amp;form=skydnc</v>
    <v>Learn more on Bing</v>
  </rv>
  <rv s="1">
    <v>0</v>
    <v>LENSAR, INC. (XNAS:LNSR)</v>
    <v>2</v>
    <v>3</v>
    <v>Finance</v>
    <v>11</v>
    <v>en-US</v>
    <v>bvuap2</v>
    <v>268435456</v>
    <v>1</v>
    <v>9</v>
    <v>Powered by Refinitiv</v>
    <v>17.309999999999999</v>
    <v>7.25</v>
    <v>0.70289999999999997</v>
    <v>0</v>
    <v>0</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11.7905</v>
    <v>Healthcare Equipment &amp; Supplies</v>
    <v>Stock</v>
    <v>46022.881989328125</v>
    <v>82</v>
    <v>11.6</v>
    <v>138915116</v>
    <v>LENSAR, INC.</v>
    <v>LENSAR, INC.</v>
    <v>11.6</v>
    <v>0</v>
    <v>11.63</v>
    <v>11.63</v>
    <v>11.63</v>
    <v>11944550</v>
    <v>LNSR</v>
    <v>LENSAR, INC. (XNAS:LNSR)</v>
    <v>25738</v>
    <v>46645</v>
    <v>2004</v>
  </rv>
  <rv s="2">
    <v>83</v>
  </rv>
  <rv s="0">
    <v>https://www.bing.com/financeapi/forcetrigger?t=a1qgzr&amp;q=XNYS%3aLUMN&amp;form=skydnc</v>
    <v>Learn more on Bing</v>
  </rv>
  <rv s="1">
    <v>0</v>
    <v>LUMEN TECHNOLOGIES, INC. (XNYS:LUMN)</v>
    <v>2</v>
    <v>3</v>
    <v>Finance</v>
    <v>4</v>
    <v>en-US</v>
    <v>a1qgzr</v>
    <v>268435456</v>
    <v>1</v>
    <v>9</v>
    <v>Powered by Refinitiv</v>
    <v>11.95</v>
    <v>3.01</v>
    <v>1.4688000000000001</v>
    <v>-0.05</v>
    <v>-6.3939999999999995E-3</v>
    <v>-3.9E-2</v>
    <v>-5.019E-3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7.84</v>
    <v>Telecommunications Services</v>
    <v>Stock</v>
    <v>46022.930675856252</v>
    <v>85</v>
    <v>7.67</v>
    <v>7969253880</v>
    <v>LUMEN TECHNOLOGIES, INC.</v>
    <v>LUMEN TECHNOLOGIES, INC.</v>
    <v>7.76</v>
    <v>0</v>
    <v>7.82</v>
    <v>7.77</v>
    <v>7.7309999999999999</v>
    <v>1025644000</v>
    <v>LUMN</v>
    <v>LUMEN TECHNOLOGIES, INC. (XNYS:LUMN)</v>
    <v>7160093</v>
    <v>12377889</v>
    <v>1968</v>
  </rv>
  <rv s="2">
    <v>86</v>
  </rv>
  <rv s="0">
    <v>https://www.bing.com/financeapi/forcetrigger?t=bo5fpr&amp;q=XNAS%3aMRNA&amp;form=skydnc</v>
    <v>Learn more on Bing</v>
  </rv>
  <rv s="1">
    <v>0</v>
    <v>MODERNA, INC. (XNAS:MRNA)</v>
    <v>2</v>
    <v>3</v>
    <v>Finance</v>
    <v>4</v>
    <v>en-US</v>
    <v>bo5fpr</v>
    <v>268435456</v>
    <v>1</v>
    <v>9</v>
    <v>Powered by Refinitiv</v>
    <v>48.92</v>
    <v>22.28</v>
    <v>1.1827000000000001</v>
    <v>-0.92</v>
    <v>-3.0253000000000002E-2</v>
    <v>7.4999999999999997E-2</v>
    <v>2.5430000000000001E-3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30.39</v>
    <v>Pharmaceuticals</v>
    <v>Stock</v>
    <v>46022.930529560159</v>
    <v>88</v>
    <v>29.06</v>
    <v>11521138455</v>
    <v>MODERNA, INC.</v>
    <v>MODERNA, INC.</v>
    <v>30.26</v>
    <v>0</v>
    <v>30.41</v>
    <v>29.49</v>
    <v>29.565000000000001</v>
    <v>390679500</v>
    <v>MRNA</v>
    <v>MODERNA, INC. (XNAS:MRNA)</v>
    <v>8895576</v>
    <v>9680338</v>
    <v>2016</v>
  </rv>
  <rv s="2">
    <v>89</v>
  </rv>
  <rv s="0">
    <v>https://en.wikipedia.org/wiki/Microsoft</v>
    <v>Wikipedia</v>
  </rv>
  <rv s="4">
    <v>42</v>
    <v>91</v>
  </rv>
  <rv s="5">
    <v>16</v>
    <v>https://www.bing.com/th?id=AMMS_e6e837c7bf3a77408619758b7447855a&amp;qlt=95</v>
    <v>92</v>
    <v>0</v>
    <v>https://www.bing.com/images/search?form=xlimg&amp;q=microsoft</v>
    <v>Image of MICROSOFT CORPORATION</v>
  </rv>
  <rv s="0">
    <v>https://www.bing.com/financeapi/forcetrigger?t=a1xzim&amp;q=XNAS%3aMSFT&amp;form=skydnc</v>
    <v>Learn more on Bing</v>
  </rv>
  <rv s="6">
    <v>12</v>
    <v>MICROSOFT CORPORATION (XNAS:MSFT)</v>
    <v>14</v>
    <v>15</v>
    <v>Finance</v>
    <v>4</v>
    <v>en-US</v>
    <v>a1xzim</v>
    <v>268435456</v>
    <v>1</v>
    <v>9</v>
    <v>Powered by Refinitiv</v>
    <v>555.45000000000005</v>
    <v>344.79</v>
    <v>1.0719000000000001</v>
    <v>-3.86</v>
    <v>-7.9179999999999997E-3</v>
    <v>-0.13869999999999999</v>
    <v>-2.8680000000000003E-4</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488.14</v>
    <v>93</v>
    <v>Software &amp; IT Services</v>
    <v>Stock</v>
    <v>46022.930775034372</v>
    <v>94</v>
    <v>483.3</v>
    <v>3594446164740</v>
    <v>MICROSOFT CORPORATION</v>
    <v>MICROSOFT CORPORATION</v>
    <v>487.84</v>
    <v>34.408099999999997</v>
    <v>487.48</v>
    <v>483.62</v>
    <v>483.48129999999998</v>
    <v>7432377000</v>
    <v>MSFT</v>
    <v>MICROSOFT CORPORATION (XNAS:MSFT)</v>
    <v>15355275</v>
    <v>23339739</v>
    <v>1993</v>
  </rv>
  <rv s="2">
    <v>95</v>
  </rv>
  <rv s="0">
    <v>https://www.bing.com/financeapi/forcetrigger?t=a1ye2w&amp;q=XNYS%3aNEE&amp;form=skydnc</v>
    <v>Learn more on Bing</v>
  </rv>
  <rv s="1">
    <v>0</v>
    <v>NEXTERA ENERGY, INC. (XNYS:NEE)</v>
    <v>2</v>
    <v>3</v>
    <v>Finance</v>
    <v>4</v>
    <v>en-US</v>
    <v>a1ye2w</v>
    <v>268435456</v>
    <v>1</v>
    <v>9</v>
    <v>Powered by Refinitiv</v>
    <v>87.53</v>
    <v>61.72</v>
    <v>0.72909999999999997</v>
    <v>-0.24</v>
    <v>-2.98E-3</v>
    <v>-5.3999999999999999E-2</v>
    <v>-6.7259999999999998E-4</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80.685000000000002</v>
    <v>Electrical Utilities &amp; IPPs</v>
    <v>Stock</v>
    <v>46022.927036573441</v>
    <v>97</v>
    <v>80.204999999999998</v>
    <v>167212756900</v>
    <v>NEXTERA ENERGY, INC.</v>
    <v>NEXTERA ENERGY, INC.</v>
    <v>80.685000000000002</v>
    <v>25.5002</v>
    <v>80.53</v>
    <v>80.290000000000006</v>
    <v>80.225999999999999</v>
    <v>2082610000</v>
    <v>NEE</v>
    <v>NEXTERA ENERGY, INC. (XNYS:NEE)</v>
    <v>5034305</v>
    <v>9494900</v>
    <v>1984</v>
  </rv>
  <rv s="2">
    <v>98</v>
  </rv>
  <rv s="0">
    <v>https://www.bing.com/financeapi/forcetrigger?t=a1yeec&amp;q=XNYS%3aNEM&amp;form=skydnc</v>
    <v>Learn more on Bing</v>
  </rv>
  <rv s="1">
    <v>0</v>
    <v>NEWMONT CORPORATION (XNYS:NEM)</v>
    <v>2</v>
    <v>3</v>
    <v>Finance</v>
    <v>4</v>
    <v>en-US</v>
    <v>a1yeec</v>
    <v>268435456</v>
    <v>1</v>
    <v>9</v>
    <v>Powered by Refinitiv</v>
    <v>106.34</v>
    <v>36.86</v>
    <v>0.42749999999999999</v>
    <v>-2.0099999999999998</v>
    <v>-1.9733000000000001E-2</v>
    <v>0.35</v>
    <v>3.5049999999999999E-3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101.4375</v>
    <v>Metals &amp; Mining</v>
    <v>Stock</v>
    <v>46022.930749976564</v>
    <v>100</v>
    <v>99.72</v>
    <v>111156000000</v>
    <v>NEWMONT CORPORATION</v>
    <v>NEWMONT CORPORATION</v>
    <v>100.72</v>
    <v>15.5167</v>
    <v>101.86</v>
    <v>99.85</v>
    <v>100.2</v>
    <v>1091263000</v>
    <v>NEM</v>
    <v>NEWMONT CORPORATION (XNYS:NEM)</v>
    <v>5392708</v>
    <v>8963534</v>
    <v>2001</v>
  </rv>
  <rv s="2">
    <v>101</v>
  </rv>
  <rv s="0">
    <v>https://www.bing.com/financeapi/forcetrigger?t=a1ygoc&amp;q=XNAS%3aNFLX&amp;form=skydnc</v>
    <v>Learn more on Bing</v>
  </rv>
  <rv s="1">
    <v>0</v>
    <v>NETFLIX, INC. (XNAS:NFLX)</v>
    <v>2</v>
    <v>3</v>
    <v>Finance</v>
    <v>4</v>
    <v>en-US</v>
    <v>a1ygoc</v>
    <v>268435456</v>
    <v>1</v>
    <v>9</v>
    <v>Powered by Refinitiv</v>
    <v>134.11500000000001</v>
    <v>82.11</v>
    <v>1.7030000000000001</v>
    <v>-0.02</v>
    <v>-2.1329999999999998E-4</v>
    <v>-0.33160000000000001</v>
    <v>-3.5370000000000002E-3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94.305000000000007</v>
    <v>Software &amp; IT Services</v>
    <v>Stock</v>
    <v>46022.930979582816</v>
    <v>103</v>
    <v>93.2</v>
    <v>428435851200</v>
    <v>NETFLIX, INC.</v>
    <v>NETFLIX, INC.</v>
    <v>93.6</v>
    <v>39.167900000000003</v>
    <v>93.78</v>
    <v>93.76</v>
    <v>93.428399999999996</v>
    <v>4569495000</v>
    <v>NFLX</v>
    <v>NETFLIX, INC. (XNAS:NFLX)</v>
    <v>23400178</v>
    <v>45568851</v>
    <v>1997</v>
  </rv>
  <rv s="2">
    <v>104</v>
  </rv>
  <rv s="0">
    <v>https://www.bing.com/financeapi/forcetrigger?t=bwxx4c&amp;q=XNAS%3aDSAC&amp;form=skydnc</v>
    <v>Learn more on Bing</v>
  </rv>
  <rv s="1">
    <v>0</v>
    <v>FISCALNOTE HOLDINGS, INC. (XNYS:NOTE)</v>
    <v>2</v>
    <v>3</v>
    <v>Finance</v>
    <v>4</v>
    <v>en-US</v>
    <v>bwxx4c</v>
    <v>268435456</v>
    <v>1</v>
    <v>9</v>
    <v>Powered by Refinitiv</v>
    <v>24.36</v>
    <v>1.41</v>
    <v>0.58850000000000002</v>
    <v>-6.5000000000000002E-2</v>
    <v>-4.2484000000000001E-2</v>
    <v>-0.01</v>
    <v>-6.803E-3</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1.55</v>
    <v>Software &amp; IT Services</v>
    <v>Stock</v>
    <v>46022.923420103907</v>
    <v>106</v>
    <v>1.41</v>
    <v>23014988</v>
    <v>FISCALNOTE HOLDINGS, INC.</v>
    <v>FISCALNOTE HOLDINGS, INC.</v>
    <v>1.48</v>
    <v>0</v>
    <v>1.53</v>
    <v>1.4650000000000001</v>
    <v>1.46</v>
    <v>15709890</v>
    <v>NOTE</v>
    <v>FISCALNOTE HOLDINGS, INC. (XNYS:NOTE)</v>
    <v>293204</v>
    <v>250785</v>
    <v>2022</v>
  </rv>
  <rv s="2">
    <v>107</v>
  </rv>
  <rv s="0">
    <v>https://www.bing.com/financeapi/forcetrigger?t=a1zfec&amp;q=XNAS%3aPAAS&amp;form=skydnc</v>
    <v>Learn more on Bing</v>
  </rv>
  <rv s="1">
    <v>0</v>
    <v>Pan American Silver Corp. (XNYS:PAAS)</v>
    <v>2</v>
    <v>10</v>
    <v>Finance</v>
    <v>4</v>
    <v>en-US</v>
    <v>a1zfec</v>
    <v>268435456</v>
    <v>1</v>
    <v>9</v>
    <v>Powered by Refinitiv</v>
    <v>55.85</v>
    <v>19.850000000000001</v>
    <v>1.2471000000000001</v>
    <v>-0.88</v>
    <v>-1.6701000000000001E-2</v>
    <v>0.33</v>
    <v>6.3690000000000005E-3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53.014000000000003</v>
    <v>Metals &amp; Mining</v>
    <v>Stock</v>
    <v>46022.929843228907</v>
    <v>109</v>
    <v>51.440899999999999</v>
    <v>30428690000</v>
    <v>Pan American Silver Corp.</v>
    <v>Pan American Silver Corp.</v>
    <v>51.88</v>
    <v>29.9636</v>
    <v>52.69</v>
    <v>51.81</v>
    <v>52.14</v>
    <v>421976000</v>
    <v>PAAS</v>
    <v>Pan American Silver Corp. (XNYS:PAAS)</v>
    <v>3764615</v>
    <v>6686787</v>
    <v>1979</v>
  </rv>
  <rv s="2">
    <v>110</v>
  </rv>
  <rv s="0">
    <v>https://www.bing.com/financeapi/forcetrigger?t=a2sqhw&amp;q=XNAS%3aPROF&amp;form=skydnc</v>
    <v>Learn more on Bing</v>
  </rv>
  <rv s="1">
    <v>0</v>
    <v>Profound Medical Corp. (XNAS:PROF)</v>
    <v>2</v>
    <v>10</v>
    <v>Finance</v>
    <v>11</v>
    <v>en-US</v>
    <v>a2sqhw</v>
    <v>268435456</v>
    <v>1</v>
    <v>9</v>
    <v>Powered by Refinitiv</v>
    <v>7.99</v>
    <v>3.76</v>
    <v>0.2293</v>
    <v>0.54</v>
    <v>7.3669999999999999E-2</v>
    <v>0</v>
    <v>0</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7.9699</v>
    <v>Healthcare Equipment &amp; Supplies</v>
    <v>Stock</v>
    <v>46022.881994339841</v>
    <v>112</v>
    <v>7.2050000000000001</v>
    <v>350519600</v>
    <v>Profound Medical Corp.</v>
    <v>Profound Medical Corp.</v>
    <v>7.24</v>
    <v>0</v>
    <v>7.33</v>
    <v>7.87</v>
    <v>7.87</v>
    <v>35370290</v>
    <v>PROF</v>
    <v>Profound Medical Corp. (XNAS:PROF)</v>
    <v>255161</v>
    <v>142227</v>
    <v>2014</v>
  </rv>
  <rv s="2">
    <v>113</v>
  </rv>
  <rv s="0">
    <v>https://www.bing.com/financeapi/forcetrigger?t=a2si9c&amp;q=XNAS%3aPOET&amp;form=skydnc</v>
    <v>Learn more on Bing</v>
  </rv>
  <rv s="1">
    <v>0</v>
    <v>POET Technologies Inc. (XNAS:POET)</v>
    <v>2</v>
    <v>3</v>
    <v>Finance</v>
    <v>4</v>
    <v>en-US</v>
    <v>a2si9c</v>
    <v>268435456</v>
    <v>1</v>
    <v>9</v>
    <v>Powered by Refinitiv</v>
    <v>9.41</v>
    <v>3.09</v>
    <v>0.34100000000000003</v>
    <v>-0.19</v>
    <v>-2.9141E-2</v>
    <v>0</v>
    <v>0</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6.5</v>
    <v>Semiconductors &amp; Semiconductor Equipment</v>
    <v>Stock</v>
    <v>46022.92886130781</v>
    <v>115</v>
    <v>6.19</v>
    <v>834101568</v>
    <v>POET Technologies Inc.</v>
    <v>POET Technologies Inc.</v>
    <v>6.45</v>
    <v>0</v>
    <v>6.52</v>
    <v>6.33</v>
    <v>6.33</v>
    <v>131769600</v>
    <v>POET</v>
    <v>POET Technologies Inc. (XNAS:POET)</v>
    <v>4871248</v>
    <v>7680362</v>
    <v>2010</v>
  </rv>
  <rv s="2">
    <v>116</v>
  </rv>
  <rv s="0">
    <v>https://www.bing.com/financeapi/forcetrigger?t=a21g2w&amp;q=XNYS%3aPW&amp;form=skydnc</v>
    <v>Learn more on Bing</v>
  </rv>
  <rv s="7">
    <v>19</v>
    <v>POWER REIT (XNYS:PW)</v>
    <v>2</v>
    <v>20</v>
    <v>Finance</v>
    <v>11</v>
    <v>en-US</v>
    <v>a21g2w</v>
    <v>268435456</v>
    <v>1</v>
    <v>9</v>
    <v>Powered by Refinitiv</v>
    <v>1.96</v>
    <v>0.59409999999999996</v>
    <v>1.5251999999999999</v>
    <v>-2.7799999999999998E-2</v>
    <v>-3.0783000000000001E-2</v>
    <v>0</v>
    <v>0</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0.94</v>
    <v>Residential &amp; Commercial REIT</v>
    <v>Stock</v>
    <v>46022.881944455468</v>
    <v>118</v>
    <v>0.85709999999999997</v>
    <v>3061200</v>
    <v>POWER REIT</v>
    <v>POWER REIT</v>
    <v>0.871</v>
    <v>0.90310000000000001</v>
    <v>0.87529999999999997</v>
    <v>0.87529999999999997</v>
    <v>3389660</v>
    <v>PW</v>
    <v>POWER REIT (XNYS:PW)</v>
    <v>31689</v>
    <v>1606832</v>
    <v>2011</v>
  </rv>
  <rv s="2">
    <v>119</v>
  </rv>
  <rv s="0">
    <v>https://www.bing.com/financeapi/forcetrigger?t=a2218m&amp;q=XNAS%3aRIGL&amp;form=skydnc</v>
    <v>Learn more on Bing</v>
  </rv>
  <rv s="1">
    <v>0</v>
    <v>RIGEL PHARMACEUTICALS, INC. (XNAS:RIGL)</v>
    <v>2</v>
    <v>3</v>
    <v>Finance</v>
    <v>4</v>
    <v>en-US</v>
    <v>a2218m</v>
    <v>268435456</v>
    <v>1</v>
    <v>9</v>
    <v>Powered by Refinitiv</v>
    <v>52.24</v>
    <v>15.5</v>
    <v>1.0951</v>
    <v>0</v>
    <v>0</v>
    <v>0</v>
    <v>0</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43.56</v>
    <v>Pharmaceuticals</v>
    <v>Stock</v>
    <v>46022.929881157033</v>
    <v>121</v>
    <v>42.13</v>
    <v>777421892</v>
    <v>RIGEL PHARMACEUTICALS, INC.</v>
    <v>RIGEL PHARMACEUTICALS, INC.</v>
    <v>42.87</v>
    <v>6.9443999999999999</v>
    <v>42.83</v>
    <v>42.83</v>
    <v>42.83</v>
    <v>18151340</v>
    <v>RIGL</v>
    <v>RIGEL PHARMACEUTICALS, INC. (XNAS:RIGL)</v>
    <v>900701</v>
    <v>555048</v>
    <v>1996</v>
  </rv>
  <rv s="2">
    <v>122</v>
  </rv>
  <rv s="0">
    <v>https://www.bing.com/financeapi/forcetrigger?t=afjzfr&amp;q=XFRA%3aRWE&amp;form=skydnc</v>
    <v>Learn more on Bing</v>
  </rv>
  <rv s="3">
    <v>5</v>
    <v>RWE AG (XFRA:RWE)</v>
    <v>2</v>
    <v>8</v>
    <v>Finance</v>
    <v>9</v>
    <v>en-US</v>
    <v>afjzfr</v>
    <v>268435456</v>
    <v>1</v>
    <v>9</v>
    <v>Powered by Refinitiv</v>
    <v>46.82</v>
    <v>14.231</v>
    <v>0.48399999999999999</v>
    <v>0.3</v>
    <v>6.6860000000000001E-3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45.2</v>
    <v>Multiline Utilities</v>
    <v>Stock</v>
    <v>46021.583333333336</v>
    <v>124</v>
    <v>44.89</v>
    <v>33510050000</v>
    <v>RWE AG</v>
    <v>RWE AG</v>
    <v>44.89</v>
    <v>14.571</v>
    <v>44.87</v>
    <v>45.17</v>
    <v>743841200</v>
    <v>RWE</v>
    <v>RWE AG (XFRA:RWE)</v>
    <v>580</v>
    <v>1349470</v>
    <v>2000</v>
  </rv>
  <rv s="2">
    <v>125</v>
  </rv>
  <rv s="0">
    <v>https://www.bing.com/financeapi/forcetrigger?t=aftlr7&amp;q=XETR%3aSAP&amp;form=skydnc</v>
    <v>Learn more on Bing</v>
  </rv>
  <rv s="3">
    <v>5</v>
    <v>Sap Se (XETR:SAP)</v>
    <v>2</v>
    <v>8</v>
    <v>Finance</v>
    <v>9</v>
    <v>en-US</v>
    <v>aftlr7</v>
    <v>268435456</v>
    <v>1</v>
    <v>9</v>
    <v>Powered by Refinitiv</v>
    <v>283.5</v>
    <v>201.85</v>
    <v>1.0485</v>
    <v>-0.1</v>
    <v>-4.797E-4</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209.6</v>
    <v>Software &amp; IT Services</v>
    <v>Stock</v>
    <v>46021.583333333336</v>
    <v>127</v>
    <v>207.8</v>
    <v>256081700000</v>
    <v>Sap Se</v>
    <v>Sap Se</v>
    <v>208.7</v>
    <v>34.32</v>
    <v>208.45</v>
    <v>208.35</v>
    <v>1228504000</v>
    <v>SAP</v>
    <v>Sap Se (XETR:SAP)</v>
    <v>608689</v>
    <v>1512990</v>
    <v>2014</v>
  </rv>
  <rv s="2">
    <v>128</v>
  </rv>
  <rv s="0">
    <v>https://www.bing.com/financeapi/forcetrigger?t=a2vkww&amp;q=OTCM%3aSHECY&amp;form=skydnc</v>
    <v>Learn more on Bing</v>
  </rv>
  <rv s="8">
    <v>21</v>
    <v>Shin-Etsu Chemical Co., Ltd. (OTCM:SHECY)</v>
    <v>2</v>
    <v>22</v>
    <v>Finance</v>
    <v>23</v>
    <v>en-US</v>
    <v>a2vkww</v>
    <v>268435456</v>
    <v>1</v>
    <v>9</v>
    <v>Powered by Refinitiv</v>
    <v>17.93</v>
    <v>11.88</v>
    <v>1.2821</v>
    <v>-0.11</v>
    <v>-7.0470000000000003E-3</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15.584</v>
    <v>Chemicals</v>
    <v>Stock</v>
    <v>46022.875009397656</v>
    <v>130</v>
    <v>14.950100000000001</v>
    <v>9672885000000</v>
    <v>Shin-Etsu Chemical Co., Ltd.</v>
    <v>Shin-Etsu Chemical Co., Ltd.</v>
    <v>14.950100000000001</v>
    <v>0</v>
    <v>15.61</v>
    <v>15.5</v>
    <v>15.49</v>
    <v>1984996000</v>
    <v>SHECY</v>
    <v>Shin-Etsu Chemical Co., Ltd. (OTCM:SHECY)</v>
    <v>177104</v>
    <v>3869050</v>
    <v>1926</v>
  </rv>
  <rv s="2">
    <v>131</v>
  </rv>
  <rv s="0">
    <v>https://www.bing.com/financeapi/forcetrigger?t=a23myc&amp;q=XNAS%3aSSYS&amp;form=skydnc</v>
    <v>Learn more on Bing</v>
  </rv>
  <rv s="1">
    <v>0</v>
    <v>STRATASYS LTD (XNAS:SSYS)</v>
    <v>2</v>
    <v>3</v>
    <v>Finance</v>
    <v>4</v>
    <v>en-US</v>
    <v>a23myc</v>
    <v>268435456</v>
    <v>1</v>
    <v>9</v>
    <v>Powered by Refinitiv</v>
    <v>12.88</v>
    <v>8.1199999999999992</v>
    <v>1.4386000000000001</v>
    <v>-0.04</v>
    <v>-4.5869999999999999E-3</v>
    <v>0</v>
    <v>0</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5995 Opus Parkway, MINNETONKA, MN, 55343 US</v>
    <v>8.7100000000000009</v>
    <v>Electronic Equipment &amp; Parts</v>
    <v>Stock</v>
    <v>46022.929886793747</v>
    <v>133</v>
    <v>8.5500000000000007</v>
    <v>741584480</v>
    <v>STRATASYS LTD</v>
    <v>STRATASYS LTD</v>
    <v>8.6999999999999993</v>
    <v>0</v>
    <v>8.7200000000000006</v>
    <v>8.68</v>
    <v>8.68</v>
    <v>85436000</v>
    <v>SSYS</v>
    <v>STRATASYS LTD (XNAS:SSYS)</v>
    <v>714426</v>
    <v>725264</v>
    <v>1998</v>
  </rv>
  <rv s="2">
    <v>134</v>
  </rv>
  <rv s="0">
    <v>https://www.bing.com/financeapi/forcetrigger?t=a24kar&amp;q=XNAS%3aTSLA&amp;form=skydnc</v>
    <v>Learn more on Bing</v>
  </rv>
  <rv s="1">
    <v>0</v>
    <v>TESLA, INC. (XNAS:TSLA)</v>
    <v>2</v>
    <v>3</v>
    <v>Finance</v>
    <v>4</v>
    <v>en-US</v>
    <v>a24kar</v>
    <v>268435456</v>
    <v>1</v>
    <v>9</v>
    <v>Powered by Refinitiv</v>
    <v>498.83</v>
    <v>214.25</v>
    <v>1.8372999999999999</v>
    <v>-4.71</v>
    <v>-1.0364999999999999E-2</v>
    <v>0.12</v>
    <v>2.6679999999999998E-4</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456.55</v>
    <v>Automobiles &amp; Auto Parts</v>
    <v>Stock</v>
    <v>46022.930974397656</v>
    <v>136</v>
    <v>449.3</v>
    <v>1495687320680</v>
    <v>TESLA, INC.</v>
    <v>TESLA, INC.</v>
    <v>456.1</v>
    <v>311.8075</v>
    <v>454.43</v>
    <v>449.72</v>
    <v>449.84</v>
    <v>3325819000</v>
    <v>TSLA</v>
    <v>TESLA, INC. (XNAS:TSLA)</v>
    <v>48797827</v>
    <v>74212150</v>
    <v>2024</v>
  </rv>
  <rv s="2">
    <v>137</v>
  </rv>
  <rv s="0">
    <v>https://www.bing.com/financeapi/forcetrigger?t=a24kjc&amp;q=XNYS%3aTSM&amp;form=skydnc</v>
    <v>Learn more on Bing</v>
  </rv>
  <rv s="1">
    <v>0</v>
    <v>Taiwan Semiconductor Manufacturing Co., Ltd. (XNYS:TSM)</v>
    <v>2</v>
    <v>3</v>
    <v>Finance</v>
    <v>4</v>
    <v>en-US</v>
    <v>a24kjc</v>
    <v>268435456</v>
    <v>1</v>
    <v>9</v>
    <v>Powered by Refinitiv</v>
    <v>313.98</v>
    <v>134.25</v>
    <v>1.2955000000000001</v>
    <v>4.34</v>
    <v>1.4487000000000002E-2</v>
    <v>0.53</v>
    <v>1.7439999999999999E-3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307.39</v>
    <v>Semiconductors &amp; Semiconductor Equipment</v>
    <v>Stock</v>
    <v>46022.930826099218</v>
    <v>139</v>
    <v>303.43</v>
    <v>1258860000000</v>
    <v>Taiwan Semiconductor Manufacturing Co., Ltd.</v>
    <v>Taiwan Semiconductor Manufacturing Co., Ltd.</v>
    <v>304</v>
    <v>30.242000000000001</v>
    <v>299.58</v>
    <v>303.92</v>
    <v>304.42</v>
    <v>5186505000</v>
    <v>TSM</v>
    <v>Taiwan Semiconductor Manufacturing Co., Ltd. (XNYS:TSM)</v>
    <v>8159946</v>
    <v>10494574</v>
    <v>1987</v>
  </rv>
  <rv s="2">
    <v>140</v>
  </rv>
  <rv s="0">
    <v>https://www.bing.com/financeapi/forcetrigger?t=afn5ec&amp;q=XFRA%3aUN01&amp;form=skydnc</v>
    <v>Learn more on Bing</v>
  </rv>
  <rv s="9">
    <v>24</v>
    <v>Uniper SE (XFRA:UN0)</v>
    <v>2</v>
    <v>25</v>
    <v>Finance</v>
    <v>9</v>
    <v>en-US</v>
    <v>afn5ec</v>
    <v>268435456</v>
    <v>1</v>
    <v>9</v>
    <v>Powered by Refinitiv</v>
    <v>73.5</v>
    <v>2.1</v>
    <v>1.0581</v>
    <v>0.3</v>
    <v>9.4040000000000009E-3</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32.200000000000003</v>
    <v>Multiline Utilities</v>
    <v>Stock</v>
    <v>46021.583333333336</v>
    <v>142</v>
    <v>32</v>
    <v>13389680000</v>
    <v>Uniper SE</v>
    <v>Uniper SE</v>
    <v>32</v>
    <v>31.9</v>
    <v>32.200000000000003</v>
    <v>416475300</v>
    <v>UN0</v>
    <v>Uniper SE (XFRA:UN0)</v>
    <v>756</v>
    <v>5620</v>
    <v>2016</v>
  </rv>
  <rv s="2">
    <v>143</v>
  </rv>
  <rv s="0">
    <v>https://www.bing.com/financeapi/forcetrigger?t=a24xoc&amp;q=XNAS%3aUNIT&amp;form=skydnc</v>
    <v>Learn more on Bing</v>
  </rv>
  <rv s="1">
    <v>0</v>
    <v>UNITI GROUP INC. (XNAS:UNIT)</v>
    <v>2</v>
    <v>3</v>
    <v>Finance</v>
    <v>11</v>
    <v>en-US</v>
    <v>a24xoc</v>
    <v>268435456</v>
    <v>1</v>
    <v>9</v>
    <v>Powered by Refinitiv</v>
    <v>10.2339</v>
    <v>5.3</v>
    <v>1.4696</v>
    <v>0.09</v>
    <v>1.3006E-2</v>
    <v>0</v>
    <v>0</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7.05</v>
    <v>Telecommunications Services</v>
    <v>Stock</v>
    <v>46022.891693969534</v>
    <v>145</v>
    <v>6.8650000000000002</v>
    <v>1675644463</v>
    <v>UNITI GROUP INC.</v>
    <v>UNITI GROUP INC.</v>
    <v>6.91</v>
    <v>1.3806</v>
    <v>6.92</v>
    <v>7.01</v>
    <v>7.01</v>
    <v>239036300</v>
    <v>UNIT</v>
    <v>UNITI GROUP INC. (XNAS:UNIT)</v>
    <v>1582467</v>
    <v>2674387</v>
    <v>2024</v>
  </rv>
  <rv s="2">
    <v>146</v>
  </rv>
  <rv s="0">
    <v>http://tr.wikipedia.org/wiki/Volvo</v>
    <v>Wikipedia</v>
  </rv>
  <rv s="4">
    <v>42</v>
    <v>148</v>
  </rv>
  <rv s="5">
    <v>16</v>
    <v>https://www.bing.com/th?id=AMMS_a85eaa33bec7c64e52ade4c230f05d74&amp;qlt=95</v>
    <v>149</v>
    <v>0</v>
    <v>https://www.bing.com/images/search?form=xlimg&amp;q=ab+volvo</v>
    <v>Image of Volvo AB</v>
  </rv>
  <rv s="0">
    <v>https://www.bing.com/financeapi/forcetrigger?t=a31af2&amp;q=OTCM%3aVLVLY&amp;form=skydnc</v>
    <v>Learn more on Bing</v>
  </rv>
  <rv s="10">
    <v>26</v>
    <v>Volvo AB (OTCM:VLVLY)</v>
    <v>14</v>
    <v>27</v>
    <v>Finance</v>
    <v>23</v>
    <v>en-US</v>
    <v>a31af2</v>
    <v>268435456</v>
    <v>1</v>
    <v>9</v>
    <v>Powered by Refinitiv</v>
    <v>33.33</v>
    <v>22.55</v>
    <v>0.89670000000000005</v>
    <v>-0.155</v>
    <v>-4.829E-3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33.06</v>
    <v>150</v>
    <v>Machinery, Equipment &amp; Components</v>
    <v>Stock</v>
    <v>46022.875</v>
    <v>151</v>
    <v>31.94</v>
    <v>601920600000</v>
    <v>Volvo AB</v>
    <v>Volvo AB</v>
    <v>32.1</v>
    <v>0</v>
    <v>32.094999999999999</v>
    <v>31.94</v>
    <v>31.94</v>
    <v>2033452000</v>
    <v>VLVLY</v>
    <v>Volvo AB (OTCM:VLVLY)</v>
    <v>31763</v>
    <v>2371110</v>
    <v>1915</v>
  </rv>
  <rv s="2">
    <v>152</v>
  </rv>
  <rv s="0">
    <v>https://www.bing.com/financeapi/forcetrigger?t=an41hw&amp;q=XSWX%3aVONN&amp;form=skydnc</v>
    <v>Learn more on Bing</v>
  </rv>
  <rv s="3">
    <v>5</v>
    <v>Vontobel Holding Ltd (XSWX:VONN)</v>
    <v>2</v>
    <v>28</v>
    <v>Finance</v>
    <v>9</v>
    <v>en-US</v>
    <v>an41hw</v>
    <v>268435456</v>
    <v>1</v>
    <v>9</v>
    <v>Powered by Refinitiv</v>
    <v>69.5</v>
    <v>51.1</v>
    <v>0.83209999999999995</v>
    <v>0.2</v>
    <v>3.1199999999999999E-3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64.5</v>
    <v>Investment Banking &amp; Investment Services</v>
    <v>Stock</v>
    <v>46021.694444444445</v>
    <v>154</v>
    <v>63.9</v>
    <v>3645688000</v>
    <v>Vontobel Holding Ltd</v>
    <v>Vontobel Holding Ltd</v>
    <v>63.9</v>
    <v>14.514699999999999</v>
    <v>64.099999999999994</v>
    <v>64.3</v>
    <v>56875000</v>
    <v>VONN</v>
    <v>Vontobel Holding Ltd (XSWX:VONN)</v>
    <v>15655</v>
    <v>54820</v>
    <v>1936</v>
  </rv>
  <rv s="2">
    <v>155</v>
  </rv>
  <rv s="0">
    <v>https://www.bing.com/financeapi/forcetrigger?t=a1y7rw&amp;q=XNAS%3aVTRS&amp;form=skydnc</v>
    <v>Learn more on Bing</v>
  </rv>
  <rv s="1">
    <v>0</v>
    <v>VIATRIS INC. (XNAS:VTRS)</v>
    <v>2</v>
    <v>3</v>
    <v>Finance</v>
    <v>4</v>
    <v>en-US</v>
    <v>a1y7rw</v>
    <v>268435456</v>
    <v>1</v>
    <v>9</v>
    <v>Powered by Refinitiv</v>
    <v>12.62</v>
    <v>6.85</v>
    <v>0.80330000000000001</v>
    <v>-0.09</v>
    <v>-7.1770000000000002E-3</v>
    <v>-0.03</v>
    <v>-2.4099999999999998E-3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12.62</v>
    <v>Pharmaceuticals</v>
    <v>Stock</v>
    <v>46022.925569895313</v>
    <v>157</v>
    <v>12.445</v>
    <v>14443190000</v>
    <v>VIATRIS INC.</v>
    <v>VIATRIS INC.</v>
    <v>12.52</v>
    <v>0</v>
    <v>12.54</v>
    <v>12.45</v>
    <v>12.42</v>
    <v>1151770000</v>
    <v>VTRS</v>
    <v>VIATRIS INC. (XNAS:VTRS)</v>
    <v>6952885</v>
    <v>8173075</v>
    <v>2019</v>
  </rv>
  <rv s="2">
    <v>158</v>
  </rv>
  <rv s="0">
    <v>https://www.bing.com/financeapi/forcetrigger?t=a25pm7&amp;q=XNAS%3aWBA&amp;form=skydnc</v>
    <v>Learn more on Bing</v>
  </rv>
  <rv s="3">
    <v>5</v>
    <v>WALGREENS BOOTS ALLIANCE, INC. (XNAS:WBA)</v>
    <v>2</v>
    <v>17</v>
    <v>Finance</v>
    <v>18</v>
    <v>en-US</v>
    <v>a25pm7</v>
    <v>268435456</v>
    <v>1</v>
    <v>9</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9</v>
    <v>Powered by Refinitiv</v>
    <v>121.79600000000001</v>
    <v>97.8</v>
    <v>0.36659999999999998</v>
    <v>-0.66</v>
    <v>-5.4549999999999998E-3</v>
    <v>0.01</v>
    <v>8.3100000000000001E-5</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121.26</v>
    <v>Oil &amp; Gas</v>
    <v>Stock</v>
    <v>46022.930219200782</v>
    <v>163</v>
    <v>119.86499999999999</v>
    <v>507451584780</v>
    <v>EXXON MOBIL CORPORATION</v>
    <v>EXXON MOBIL CORPORATION</v>
    <v>121.18</v>
    <v>17.491399999999999</v>
    <v>120.99</v>
    <v>120.33</v>
    <v>120.35</v>
    <v>4217166000</v>
    <v>XOM</v>
    <v>EXXON MOBIL CORPORATION (XNYS:XOM)</v>
    <v>10306790</v>
    <v>15420871</v>
    <v>1882</v>
  </rv>
  <rv s="2">
    <v>164</v>
  </rv>
  <rv s="11">
    <v>29</v>
    <v>XPERI INC. (XNYS:XPER)</v>
    <v>30</v>
    <v>3</v>
    <v>Finance</v>
    <v>11</v>
    <v>en-US</v>
    <v>c7dbfr</v>
    <v>268435456</v>
    <v>1</v>
    <v>9</v>
    <v>Powered by Refinitiv</v>
    <v>10.62</v>
    <v>5.4</v>
    <v>1.232</v>
    <v>-0.13</v>
    <v>-2.1703E-2</v>
    <v>0</v>
    <v>0</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5.96</v>
    <v>Software &amp; IT Services</v>
    <v>Stock</v>
    <v>46022.881995335156</v>
    <v>5.81</v>
    <v>271525385</v>
    <v>XPERI INC.</v>
    <v>XPERI INC.</v>
    <v>5.96</v>
    <v>34.551900000000003</v>
    <v>5.99</v>
    <v>5.86</v>
    <v>5.86</v>
    <v>46335390</v>
    <v>XPER</v>
    <v>XPERI INC. (XNYS:XPER)</v>
    <v>429942</v>
    <v>410647</v>
    <v>2019</v>
  </rv>
  <rv s="2">
    <v>166</v>
  </rv>
  <rv s="0">
    <v>https://www.bing.com/financeapi/forcetrigger?t=af9doc&amp;q=XFRA%3aEOAN&amp;form=skydnc</v>
    <v>Learn more on Bing</v>
  </rv>
  <rv s="3">
    <v>5</v>
    <v>E.ON SE (XFRA:EOAN)</v>
    <v>2</v>
    <v>8</v>
    <v>Finance</v>
    <v>9</v>
    <v>en-US</v>
    <v>af9doc</v>
    <v>268435456</v>
    <v>1</v>
    <v>9</v>
    <v>Powered by Refinitiv</v>
    <v>16.515000000000001</v>
    <v>7.3</v>
    <v>0.87070000000000003</v>
    <v>0.18</v>
    <v>1.1292E-2</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16.12</v>
    <v>Multiline Utilities</v>
    <v>Stock</v>
    <v>46021.583333333336</v>
    <v>168</v>
    <v>16.004999999999999</v>
    <v>42300720000</v>
    <v>E.ON SE</v>
    <v>E.ON SE</v>
    <v>16.004999999999999</v>
    <v>14.0174</v>
    <v>15.94</v>
    <v>16.12</v>
    <v>2641319000</v>
    <v>EOAN</v>
    <v>E.ON SE (XFRA:EOAN)</v>
    <v>5516</v>
    <v>5221070</v>
    <v>2017</v>
  </rv>
  <rv s="2">
    <v>169</v>
  </rv>
  <rv s="0">
    <v>https://www.bing.com/financeapi/forcetrigger?t=ajezf2&amp;q=XMIL%3aENI&amp;form=skydnc</v>
    <v>Learn more on Bing</v>
  </rv>
  <rv s="12">
    <v>31</v>
    <v>Eni SpA (XMIL:ENI)</v>
    <v>2</v>
    <v>32</v>
    <v>Finance</v>
    <v>33</v>
    <v>en-US</v>
    <v>ajezf2</v>
    <v>268435456</v>
    <v>1</v>
    <v>9</v>
    <v>Powered by Refinitiv</v>
    <v>16.61</v>
    <v>11.01</v>
    <v>0.82340000000000002</v>
    <v>0.16400000000000001</v>
    <v>1.0265E-2</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16.164000000000001</v>
    <v>Oil &amp; Gas</v>
    <v>Stock</v>
    <v>46021.084363425929</v>
    <v>171</v>
    <v>16.007999999999999</v>
    <v>50272720000</v>
    <v>Eni SpA</v>
    <v>Eni SpA</v>
    <v>16.010000000000002</v>
    <v>17.824400000000001</v>
    <v>15.976000000000001</v>
    <v>16.14</v>
    <v>3146765000</v>
    <v>ENI</v>
    <v>Eni SpA (XMIL:ENI)</v>
    <v>8041391</v>
    <v>9732570</v>
  </rv>
  <rv s="2">
    <v>172</v>
  </rv>
  <rv s="0">
    <v>https://www.bing.com/financeapi/forcetrigger?t=ae8t4c&amp;q=XPAR%3aGLE&amp;form=skydnc</v>
    <v>Learn more on Bing</v>
  </rv>
  <rv s="12">
    <v>31</v>
    <v>Societe Generale SA (XPAR:GLE)</v>
    <v>2</v>
    <v>32</v>
    <v>Finance</v>
    <v>9</v>
    <v>en-US</v>
    <v>ae8t4c</v>
    <v>268435456</v>
    <v>1</v>
    <v>9</v>
    <v>Powered by Refinitiv</v>
    <v>69.52</v>
    <v>26.39</v>
    <v>1.3692</v>
    <v>-0.68</v>
    <v>-9.7979999999999994E-3</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69.12</v>
    <v>Banking Services</v>
    <v>Stock</v>
    <v>46022.708333333336</v>
    <v>174</v>
    <v>68.260000000000005</v>
    <v>53222500000</v>
    <v>Societe Generale SA</v>
    <v>Societe Generale SA</v>
    <v>69.06</v>
    <v>11.0045</v>
    <v>69.400000000000006</v>
    <v>68.72</v>
    <v>766894800</v>
    <v>GLE</v>
    <v>Societe Generale SA (XPAR:GLE)</v>
    <v>507008</v>
    <v>2172650</v>
  </rv>
  <rv s="2">
    <v>175</v>
  </rv>
  <rv s="0">
    <v>https://www.bing.com/financeapi/forcetrigger?t=ae9qlh&amp;q=XPAR%3aORA&amp;form=skydnc</v>
    <v>Learn more on Bing</v>
  </rv>
  <rv s="3">
    <v>5</v>
    <v>Orange SA (XPAR:ORA)</v>
    <v>2</v>
    <v>8</v>
    <v>Finance</v>
    <v>9</v>
    <v>en-US</v>
    <v>ae9qlh</v>
    <v>268435456</v>
    <v>1</v>
    <v>9</v>
    <v>Powered by Refinitiv</v>
    <v>14.56</v>
    <v>9.44</v>
    <v>0.23619999999999999</v>
    <v>-5.5E-2</v>
    <v>-3.8579999999999999E-3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14.255000000000001</v>
    <v>Telecommunications Services</v>
    <v>Stock</v>
    <v>46022.708333333336</v>
    <v>177</v>
    <v>14.185</v>
    <v>37919110000</v>
    <v>Orange SA</v>
    <v>Orange SA</v>
    <v>14.255000000000001</v>
    <v>44.851500000000001</v>
    <v>14.255000000000001</v>
    <v>14.2</v>
    <v>2660057000</v>
    <v>ORA</v>
    <v>Orange SA (XPAR:ORA)</v>
    <v>1556642</v>
    <v>3746880</v>
    <v>1991</v>
  </rv>
  <rv s="2">
    <v>178</v>
  </rv>
  <rv s="0">
    <v>https://www.bing.com/financeapi/forcetrigger?t=ayz4u2&amp;q=XNAS%3aBLNK&amp;form=skydnc</v>
    <v>Learn more on Bing</v>
  </rv>
  <rv s="1">
    <v>0</v>
    <v>BLINK CHARGING CO. (XNAS:BLNK)</v>
    <v>2</v>
    <v>3</v>
    <v>Finance</v>
    <v>4</v>
    <v>en-US</v>
    <v>ayz4u2</v>
    <v>268435456</v>
    <v>1</v>
    <v>9</v>
    <v>Powered by Refinitiv</v>
    <v>2.6499000000000001</v>
    <v>0.63</v>
    <v>1.7532000000000001</v>
    <v>2.2800000000000001E-2</v>
    <v>3.5393000000000001E-2</v>
    <v>2.2000000000000001E-3</v>
    <v>3.2979999999999997E-3</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17301 Melford Blvd.,, BOWIE, MD, 20715 US</v>
    <v>0.68859999999999999</v>
    <v>Electrical Utilities &amp; IPPs</v>
    <v>Stock</v>
    <v>46022.929295647657</v>
    <v>180</v>
    <v>0.64</v>
    <v>94203011</v>
    <v>BLINK CHARGING CO.</v>
    <v>BLINK CHARGING CO.</v>
    <v>0.64180000000000004</v>
    <v>0</v>
    <v>0.64419999999999999</v>
    <v>0.66700000000000004</v>
    <v>0.66920000000000002</v>
    <v>141233900</v>
    <v>BLNK</v>
    <v>BLINK CHARGING CO. (XNAS:BLNK)</v>
    <v>3605037</v>
    <v>6738431</v>
    <v>2006</v>
  </rv>
  <rv s="2">
    <v>181</v>
  </rv>
  <rv s="0">
    <v>https://www.bing.com/financeapi/forcetrigger?t=ao8g3m&amp;q=XLON%3aEZJ&amp;form=skydnc</v>
    <v>Learn more on Bing</v>
  </rv>
  <rv s="3">
    <v>5</v>
    <v>EASYJET PLC (XLON:EZJ)</v>
    <v>2</v>
    <v>6</v>
    <v>Finance</v>
    <v>7</v>
    <v>en-US</v>
    <v>ao8g3m</v>
    <v>268435456</v>
    <v>1</v>
    <v>9</v>
    <v>Powered by Refinitiv</v>
    <v>590.6</v>
    <v>401.05</v>
    <v>2.2532999999999999</v>
    <v>0</v>
    <v>0</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18968</v>
    <v>London Stock Exchange</v>
    <v>XLON</v>
    <v>XLON</v>
    <v>Hangar 89, London Luton Airport, LUTON, LU2 9PA GB</v>
    <v>510.6</v>
    <v>Passenger Transportation Services</v>
    <v>Stock</v>
    <v>46022.588400717184</v>
    <v>183</v>
    <v>506.2</v>
    <v>3870399000</v>
    <v>EASYJET PLC</v>
    <v>EASYJET PLC</v>
    <v>509.8</v>
    <v>7.7563000000000004</v>
    <v>510.6</v>
    <v>510.6</v>
    <v>758010000</v>
    <v>EZJ</v>
    <v>EASYJET PLC (XLON:EZJ)</v>
    <v>547404</v>
    <v>4038540</v>
    <v>2000</v>
  </rv>
  <rv s="2">
    <v>184</v>
  </rv>
  <rv s="0">
    <v>http://en.wikipedia.org/wiki/Ford_Motor_Company</v>
    <v>Wikipedia</v>
  </rv>
  <rv s="4">
    <v>42</v>
    <v>186</v>
  </rv>
  <rv s="5">
    <v>16</v>
    <v>https://www.bing.com/th?id=AMMS_cf0311a5f2d2dcb3110aca1404330618&amp;qlt=95</v>
    <v>187</v>
    <v>0</v>
    <v>https://www.bing.com/images/search?form=xlimg&amp;q=ford+motor+company</v>
    <v>Image of FORD MOTOR COMPANY</v>
  </rv>
  <rv s="0">
    <v>https://www.bing.com/financeapi/forcetrigger?t=a1sjw7&amp;q=XNYS%3aF&amp;form=skydnc</v>
    <v>Learn more on Bing</v>
  </rv>
  <rv s="6">
    <v>12</v>
    <v>FORD MOTOR COMPANY (XNYS:F)</v>
    <v>14</v>
    <v>15</v>
    <v>Finance</v>
    <v>4</v>
    <v>en-US</v>
    <v>a1sjw7</v>
    <v>268435456</v>
    <v>1</v>
    <v>9</v>
    <v>Powered by Refinitiv</v>
    <v>13.99</v>
    <v>8.4405999999999999</v>
    <v>1.6213</v>
    <v>-9.5000000000000001E-2</v>
    <v>-7.1809999999999999E-3</v>
    <v>0.03</v>
    <v>2.287E-3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13.22</v>
    <v>188</v>
    <v>Automobiles &amp; Auto Parts</v>
    <v>Stock</v>
    <v>46022.930741758595</v>
    <v>189</v>
    <v>13.12</v>
    <v>52336394365</v>
    <v>FORD MOTOR COMPANY</v>
    <v>FORD MOTOR COMPANY</v>
    <v>13.21</v>
    <v>11.279500000000001</v>
    <v>13.23</v>
    <v>13.135</v>
    <v>13.15</v>
    <v>3984499000</v>
    <v>F</v>
    <v>FORD MOTOR COMPANY (XNYS:F)</v>
    <v>26087457</v>
    <v>45249776</v>
    <v>1919</v>
  </rv>
  <rv s="2">
    <v>190</v>
  </rv>
  <rv s="0">
    <v>https://www.bing.com/financeapi/forcetrigger?t=a1u1z2&amp;q=XNYS%3aGNRC&amp;form=skydnc</v>
    <v>Learn more on Bing</v>
  </rv>
  <rv s="1">
    <v>0</v>
    <v>GENERAC HOLDINGS INC. (XNYS:GNRC)</v>
    <v>2</v>
    <v>3</v>
    <v>Finance</v>
    <v>11</v>
    <v>en-US</v>
    <v>a1u1z2</v>
    <v>268435456</v>
    <v>1</v>
    <v>9</v>
    <v>Powered by Refinitiv</v>
    <v>203.2499</v>
    <v>99.5</v>
    <v>1.8212999999999999</v>
    <v>-1.49</v>
    <v>-1.0808E-2</v>
    <v>-0.87</v>
    <v>-6.3800000000000003E-3</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138.47</v>
    <v>Machinery, Equipment &amp; Components</v>
    <v>Stock</v>
    <v>46022.917837858593</v>
    <v>192</v>
    <v>136.25</v>
    <v>8002746625</v>
    <v>GENERAC HOLDINGS INC.</v>
    <v>GENERAC HOLDINGS INC.</v>
    <v>137.69999999999999</v>
    <v>25.948499999999999</v>
    <v>137.86000000000001</v>
    <v>136.37</v>
    <v>135.5</v>
    <v>58684070</v>
    <v>GNRC</v>
    <v>GENERAC HOLDINGS INC. (XNYS:GNRC)</v>
    <v>625836</v>
    <v>951731</v>
    <v>2006</v>
  </rv>
  <rv s="2">
    <v>193</v>
  </rv>
  <rv s="0">
    <v>https://www.bing.com/financeapi/forcetrigger?t=a1u7xm&amp;q=XNYS%3aGS&amp;form=skydnc</v>
    <v>Learn more on Bing</v>
  </rv>
  <rv s="1">
    <v>0</v>
    <v>THE GOLDMAN SACHS GROUP, INC. (XNYS:GS)</v>
    <v>2</v>
    <v>3</v>
    <v>Finance</v>
    <v>4</v>
    <v>en-US</v>
    <v>a1u7xm</v>
    <v>268435456</v>
    <v>1</v>
    <v>9</v>
    <v>Powered by Refinitiv</v>
    <v>919.09799999999996</v>
    <v>439.38</v>
    <v>1.3251999999999999</v>
    <v>-5.13</v>
    <v>-5.7999999999999996E-3</v>
    <v>1.06</v>
    <v>1.206E-3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886</v>
    <v>Investment Banking &amp; Investment Services</v>
    <v>Stock</v>
    <v>46022.926295022655</v>
    <v>195</v>
    <v>876.79</v>
    <v>263724130765</v>
    <v>THE GOLDMAN SACHS GROUP, INC.</v>
    <v>THE GOLDMAN SACHS GROUP, INC.</v>
    <v>884.1</v>
    <v>17.861899999999999</v>
    <v>884.42</v>
    <v>879.29</v>
    <v>880.06</v>
    <v>299928500</v>
    <v>GS</v>
    <v>THE GOLDMAN SACHS GROUP, INC. (XNYS:GS)</v>
    <v>1191621</v>
    <v>2054031</v>
    <v>1998</v>
  </rv>
  <rv s="2">
    <v>196</v>
  </rv>
  <rv s="0">
    <v>https://www.bing.com/financeapi/forcetrigger?t=bplbur&amp;q=XNAS%3aLAZR&amp;form=skydnc</v>
    <v>Learn more on Bing</v>
  </rv>
  <rv s="8">
    <v>21</v>
    <v>LUMINAR TECHNOLOGIES, INC. (OTCM:LAZRQ)</v>
    <v>2</v>
    <v>34</v>
    <v>Finance</v>
    <v>23</v>
    <v>en-US</v>
    <v>bplbur</v>
    <v>268435456</v>
    <v>1</v>
    <v>9</v>
    <v>Powered by Refinitiv</v>
    <v>10.4</v>
    <v>6.7799999999999999E-2</v>
    <v>1.2916000000000001</v>
    <v>-1.3899999999999999E-2</v>
    <v>-0.14802999999999999</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OTC Markets</v>
    <v>OTCM</v>
    <v>OTCM</v>
    <v>2603 Discovery Drive, Suite 100, ORLANDO, FL, 32826 US</v>
    <v>8.9899999999999994E-2</v>
    <v>Automobiles &amp; Auto Parts</v>
    <v>Stock</v>
    <v>46022.876036168753</v>
    <v>198</v>
    <v>6.7799999999999999E-2</v>
    <v>7310970</v>
    <v>LUMINAR TECHNOLOGIES, INC.</v>
    <v>LUMINAR TECHNOLOGIES, INC.</v>
    <v>8.7999999999999995E-2</v>
    <v>0</v>
    <v>9.3899999999999997E-2</v>
    <v>0.08</v>
    <v>0.08</v>
    <v>77859070</v>
    <v>LAZRQ</v>
    <v>LUMINAR TECHNOLOGIES, INC. (OTCM:LAZRQ)</v>
    <v>3243575</v>
    <v>50230479</v>
    <v>2018</v>
  </rv>
  <rv s="2">
    <v>199</v>
  </rv>
  <rv s="0">
    <v>https://www.bing.com/financeapi/forcetrigger?t=a1x6rw&amp;q=XNYS%3aLUV&amp;form=skydnc</v>
    <v>Learn more on Bing</v>
  </rv>
  <rv s="1">
    <v>0</v>
    <v>SOUTHWEST AIRLINES CO. (XNYS:LUV)</v>
    <v>2</v>
    <v>3</v>
    <v>Finance</v>
    <v>4</v>
    <v>en-US</v>
    <v>a1x6rw</v>
    <v>268435456</v>
    <v>1</v>
    <v>9</v>
    <v>Powered by Refinitiv</v>
    <v>43.54</v>
    <v>23.815000000000001</v>
    <v>1.1651</v>
    <v>7.0000000000000007E-2</v>
    <v>1.696E-3</v>
    <v>0.02</v>
    <v>4.839E-4</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 O Box 36611, DALLAS, TX, 75235 US</v>
    <v>41.66</v>
    <v>Passenger Transportation Services</v>
    <v>Stock</v>
    <v>46022.93021918906</v>
    <v>201</v>
    <v>41.22</v>
    <v>21379191834</v>
    <v>SOUTHWEST AIRLINES CO.</v>
    <v>SOUTHWEST AIRLINES CO.</v>
    <v>41.34</v>
    <v>61.784500000000001</v>
    <v>41.27</v>
    <v>41.34</v>
    <v>41.35</v>
    <v>517155100</v>
    <v>LUV</v>
    <v>SOUTHWEST AIRLINES CO. (XNYS:LUV)</v>
    <v>6254043</v>
    <v>10196565</v>
    <v>1967</v>
  </rv>
  <rv s="2">
    <v>202</v>
  </rv>
  <rv s="0">
    <v>https://www.bing.com/financeapi/forcetrigger?t=a1x8w7&amp;q=XNYS%3aMA&amp;form=skydnc</v>
    <v>Learn more on Bing</v>
  </rv>
  <rv s="1">
    <v>0</v>
    <v>MASTERCARD INCORPORATED. (XNYS:MA)</v>
    <v>2</v>
    <v>3</v>
    <v>Finance</v>
    <v>4</v>
    <v>en-US</v>
    <v>a1x8w7</v>
    <v>268435456</v>
    <v>1</v>
    <v>9</v>
    <v>Powered by Refinitiv</v>
    <v>601.77</v>
    <v>465.59</v>
    <v>0.85940000000000005</v>
    <v>-6.52</v>
    <v>-1.1292E-2</v>
    <v>0.16</v>
    <v>2.8029999999999998E-4</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577.98</v>
    <v>Software &amp; IT Services</v>
    <v>Stock</v>
    <v>46022.929661596878</v>
    <v>204</v>
    <v>570.62</v>
    <v>512665802220</v>
    <v>MASTERCARD INCORPORATED.</v>
    <v>MASTERCARD INCORPORATED.</v>
    <v>576.55999999999995</v>
    <v>36.502800000000001</v>
    <v>577.41999999999996</v>
    <v>570.9</v>
    <v>571.04</v>
    <v>897995800</v>
    <v>MA</v>
    <v>MASTERCARD INCORPORATED. (XNYS:MA)</v>
    <v>1736491</v>
    <v>2700584</v>
    <v>2001</v>
  </rv>
  <rv s="2">
    <v>205</v>
  </rv>
  <rv s="0">
    <v>https://www.bing.com/financeapi/forcetrigger?t=a1yuvh&amp;q=XNAS%3aNVAX&amp;form=skydnc</v>
    <v>Learn more on Bing</v>
  </rv>
  <rv s="1">
    <v>0</v>
    <v>NOVAVAX, INC. (XNAS:NVAX)</v>
    <v>2</v>
    <v>3</v>
    <v>Finance</v>
    <v>4</v>
    <v>en-US</v>
    <v>a1yuvh</v>
    <v>268435456</v>
    <v>1</v>
    <v>9</v>
    <v>Powered by Refinitiv</v>
    <v>11.55</v>
    <v>5.01</v>
    <v>2.3696000000000002</v>
    <v>0</v>
    <v>0</v>
    <v>-0.04</v>
    <v>-5.9519999999999998E-3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6.74</v>
    <v>Biotechnology &amp; Medical Research</v>
    <v>Stock</v>
    <v>46022.929990057812</v>
    <v>207</v>
    <v>6.5949999999999998</v>
    <v>1091993280</v>
    <v>NOVAVAX, INC.</v>
    <v>NOVAVAX, INC.</v>
    <v>6.7</v>
    <v>3.7362000000000002</v>
    <v>6.72</v>
    <v>6.72</v>
    <v>6.68</v>
    <v>162499000</v>
    <v>NVAX</v>
    <v>NOVAVAX, INC. (XNAS:NVAX)</v>
    <v>2754530</v>
    <v>3114320</v>
    <v>1987</v>
  </rv>
  <rv s="2">
    <v>208</v>
  </rv>
  <rv s="0">
    <v>http://en.wikipedia.org/wiki/Novartis</v>
    <v>Wikipedia</v>
  </rv>
  <rv s="4">
    <v>42</v>
    <v>210</v>
  </rv>
  <rv s="5">
    <v>16</v>
    <v>https://www.bing.com/th?id=AMMS_3a4201ed5d487670c98d0ce5663b2ca7&amp;qlt=95</v>
    <v>211</v>
    <v>0</v>
    <v>https://www.bing.com/images/search?form=xlimg&amp;q=novartis</v>
    <v>Image of Novartis Inc.</v>
  </rv>
  <rv s="0">
    <v>https://www.bing.com/financeapi/forcetrigger?t=a1yw77&amp;q=XNYS%3aNVS&amp;form=skydnc</v>
    <v>Learn more on Bing</v>
  </rv>
  <rv s="6">
    <v>12</v>
    <v>Novartis Inc. (XNYS:NVS)</v>
    <v>14</v>
    <v>15</v>
    <v>Finance</v>
    <v>11</v>
    <v>en-US</v>
    <v>a1yw77</v>
    <v>268435456</v>
    <v>1</v>
    <v>9</v>
    <v>Powered by Refinitiv</v>
    <v>140.17500000000001</v>
    <v>96.91</v>
    <v>0.50619999999999998</v>
    <v>-0.85</v>
    <v>-6.1270000000000005E-3</v>
    <v>-0.37</v>
    <v>-2.6840000000000002E-3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138.91</v>
    <v>212</v>
    <v>Pharmaceuticals</v>
    <v>Stock</v>
    <v>46022.916746168747</v>
    <v>213</v>
    <v>137.80000000000001</v>
    <v>292546700000</v>
    <v>Novartis Inc.</v>
    <v>Novartis Inc.</v>
    <v>138.71</v>
    <v>18.8553</v>
    <v>138.72</v>
    <v>137.87</v>
    <v>137.5</v>
    <v>2112422000</v>
    <v>NVS</v>
    <v>Novartis Inc. (XNYS:NVS)</v>
    <v>737522</v>
    <v>1566637</v>
    <v>1996</v>
  </rv>
  <rv s="2">
    <v>214</v>
  </rv>
  <rv s="0">
    <v>https://www.bing.com/financeapi/forcetrigger?t=a1zez2&amp;q=XNYS%3aOXY&amp;form=skydnc</v>
    <v>Learn more on Bing</v>
  </rv>
  <rv s="1">
    <v>0</v>
    <v>OCCIDENTAL PETROLEUM CORPORATION (XNYS:OXY)</v>
    <v>2</v>
    <v>3</v>
    <v>Finance</v>
    <v>4</v>
    <v>en-US</v>
    <v>a1zez2</v>
    <v>268435456</v>
    <v>1</v>
    <v>9</v>
    <v>Powered by Refinitiv</v>
    <v>53.2</v>
    <v>34.784999999999997</v>
    <v>0.37790000000000001</v>
    <v>-0.35</v>
    <v>-8.4419999999999999E-3</v>
    <v>-2.93E-2</v>
    <v>-7.1249999999999992E-4</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41.5</v>
    <v>Oil &amp; Gas</v>
    <v>Stock</v>
    <v>46022.930939282029</v>
    <v>216</v>
    <v>40.991500000000002</v>
    <v>40501999544</v>
    <v>OCCIDENTAL PETROLEUM CORPORATION</v>
    <v>OCCIDENTAL PETROLEUM CORPORATION</v>
    <v>41.46</v>
    <v>30.011700000000001</v>
    <v>41.46</v>
    <v>41.11</v>
    <v>41.090699999999998</v>
    <v>985210400</v>
    <v>OXY</v>
    <v>OCCIDENTAL PETROLEUM CORPORATION (XNYS:OXY)</v>
    <v>6846819</v>
    <v>8834463</v>
    <v>1986</v>
  </rv>
  <rv s="2">
    <v>217</v>
  </rv>
  <rv s="0">
    <v>https://www.bing.com/financeapi/forcetrigger?t=a1zqnm&amp;q=XNYS%3aPFE&amp;form=skydnc</v>
    <v>Learn more on Bing</v>
  </rv>
  <rv s="1">
    <v>0</v>
    <v>PFIZER INC. (XNYS:PFE)</v>
    <v>2</v>
    <v>3</v>
    <v>Finance</v>
    <v>4</v>
    <v>en-US</v>
    <v>a1zqnm</v>
    <v>268435456</v>
    <v>1</v>
    <v>9</v>
    <v>Powered by Refinitiv</v>
    <v>27.69</v>
    <v>20.914999999999999</v>
    <v>0.43120000000000003</v>
    <v>-0.09</v>
    <v>-3.6009999999999996E-3</v>
    <v>0.01</v>
    <v>4.016E-4</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25.02</v>
    <v>Pharmaceuticals</v>
    <v>Stock</v>
    <v>46022.930666967186</v>
    <v>219</v>
    <v>24.88</v>
    <v>141574129200</v>
    <v>PFIZER INC.</v>
    <v>PFIZER INC.</v>
    <v>24.965</v>
    <v>14.5139</v>
    <v>24.99</v>
    <v>24.9</v>
    <v>24.91</v>
    <v>5685708000</v>
    <v>PFE</v>
    <v>PFIZER INC. (XNYS:PFE)</v>
    <v>29361240</v>
    <v>46683499</v>
    <v>1942</v>
  </rv>
  <rv s="2">
    <v>220</v>
  </rv>
  <rv s="0">
    <v>https://www.bing.com/financeapi/forcetrigger?t=a2215r&amp;q=XNYS%3aRIG&amp;form=skydnc</v>
    <v>Learn more on Bing</v>
  </rv>
  <rv s="1">
    <v>0</v>
    <v>Transocean Ltd (XNYS:RIG)</v>
    <v>2</v>
    <v>3</v>
    <v>Finance</v>
    <v>4</v>
    <v>en-US</v>
    <v>a2215r</v>
    <v>268435456</v>
    <v>1</v>
    <v>9</v>
    <v>Powered by Refinitiv</v>
    <v>4.5599999999999996</v>
    <v>1.97</v>
    <v>1.3585</v>
    <v>0.01</v>
    <v>2.421E-3</v>
    <v>0</v>
    <v>0</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4.21</v>
    <v>Oil &amp; Gas Related Equipment and Services</v>
    <v>Stock</v>
    <v>46022.928000832813</v>
    <v>222</v>
    <v>4.1100000000000003</v>
    <v>4559965740</v>
    <v>Transocean Ltd</v>
    <v>Transocean Ltd</v>
    <v>4.13</v>
    <v>0</v>
    <v>4.13</v>
    <v>4.1399999999999997</v>
    <v>4.13</v>
    <v>1101441000</v>
    <v>RIG</v>
    <v>Transocean Ltd (XNYS:RIG)</v>
    <v>22487385</v>
    <v>29358485</v>
    <v>2008</v>
  </rv>
  <rv s="2">
    <v>223</v>
  </rv>
  <rv s="0">
    <v>https://www.bing.com/financeapi/forcetrigger?t=a228w7&amp;q=XNYS%3aRRC&amp;form=skydnc</v>
    <v>Learn more on Bing</v>
  </rv>
  <rv s="1">
    <v>0</v>
    <v>RANGE RESOURCES CORPORATION (XNYS:RRC)</v>
    <v>2</v>
    <v>3</v>
    <v>Finance</v>
    <v>11</v>
    <v>en-US</v>
    <v>a228w7</v>
    <v>268435456</v>
    <v>1</v>
    <v>9</v>
    <v>Powered by Refinitiv</v>
    <v>43.5</v>
    <v>30.32</v>
    <v>0.50519999999999998</v>
    <v>-0.82</v>
    <v>-2.2727000000000001E-2</v>
    <v>0.13</v>
    <v>3.6870000000000002E-3</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35.806399999999996</v>
    <v>Oil &amp; Gas</v>
    <v>Stock</v>
    <v>46022.907225450785</v>
    <v>225</v>
    <v>34.935000000000002</v>
    <v>8354356308</v>
    <v>RANGE RESOURCES CORPORATION</v>
    <v>RANGE RESOURCES CORPORATION</v>
    <v>35.630000000000003</v>
    <v>14.807</v>
    <v>36.08</v>
    <v>35.26</v>
    <v>35.39</v>
    <v>236935800</v>
    <v>RRC</v>
    <v>RANGE RESOURCES CORPORATION (XNYS:RRC)</v>
    <v>2143177</v>
    <v>3128508</v>
    <v>1980</v>
  </rv>
  <rv s="2">
    <v>226</v>
  </rv>
  <rv s="0">
    <v>https://www.bing.com/financeapi/forcetrigger?t=a23i8m&amp;q=XNYS%3aSQ&amp;form=skydnc</v>
    <v>Learn more on Bing</v>
  </rv>
  <rv s="1">
    <v>0</v>
    <v>BLOCK, INC. (XNYS:XYZ)</v>
    <v>2</v>
    <v>3</v>
    <v>Finance</v>
    <v>4</v>
    <v>en-US</v>
    <v>a23i8m</v>
    <v>268435456</v>
    <v>1</v>
    <v>9</v>
    <v>Powered by Refinitiv</v>
    <v>94.25</v>
    <v>44.27</v>
    <v>2.6648000000000001</v>
    <v>-0.45</v>
    <v>-6.8659999999999997E-3</v>
    <v>-0.04</v>
    <v>-6.1450000000000003E-4</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65.900000000000006</v>
    <v>Professional &amp; Commercial Services</v>
    <v>Stock</v>
    <v>46022.930351353905</v>
    <v>228</v>
    <v>65.034999999999997</v>
    <v>39552914850</v>
    <v>BLOCK, INC.</v>
    <v>BLOCK, INC.</v>
    <v>65.5</v>
    <v>32.728299999999997</v>
    <v>65.540000000000006</v>
    <v>65.09</v>
    <v>65.05</v>
    <v>607665000</v>
    <v>XYZ</v>
    <v>BLOCK, INC. (XNYS:XYZ)</v>
    <v>3482403</v>
    <v>6689593</v>
    <v>2009</v>
  </rv>
  <rv s="2">
    <v>229</v>
  </rv>
  <rv s="0">
    <v>https://www.bing.com/financeapi/forcetrigger?t=a2475r&amp;q=XNYS%3aTHC&amp;form=skydnc</v>
    <v>Learn more on Bing</v>
  </rv>
  <rv s="1">
    <v>0</v>
    <v>TENET HEALTHCARE CORPORATION (XNYS:THC)</v>
    <v>2</v>
    <v>3</v>
    <v>Finance</v>
    <v>4</v>
    <v>en-US</v>
    <v>a2475r</v>
    <v>268435456</v>
    <v>1</v>
    <v>9</v>
    <v>Powered by Refinitiv</v>
    <v>222.815</v>
    <v>109.82389999999999</v>
    <v>1.4032</v>
    <v>-2.4</v>
    <v>-1.1923E-2</v>
    <v>0</v>
    <v>0</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201.12</v>
    <v>Healthcare Providers &amp; Services</v>
    <v>Stock</v>
    <v>46022.929886307815</v>
    <v>231</v>
    <v>198.22</v>
    <v>17480326500</v>
    <v>TENET HEALTHCARE CORPORATION</v>
    <v>TENET HEALTHCARE CORPORATION</v>
    <v>200.65</v>
    <v>13.2197</v>
    <v>201.3</v>
    <v>198.9</v>
    <v>198.72</v>
    <v>87885000</v>
    <v>THC</v>
    <v>TENET HEALTHCARE CORPORATION (XNYS:THC)</v>
    <v>661287</v>
    <v>926943</v>
    <v>1975</v>
  </rv>
  <rv s="2">
    <v>232</v>
  </rv>
  <rv s="0">
    <v>https://www.bing.com/financeapi/forcetrigger?t=a265bh&amp;q=XNYS%3aX&amp;form=skydnc</v>
    <v>Learn more on Bing</v>
  </rv>
  <rv s="3">
    <v>5</v>
    <v>UNITED STATES STEEL CORPORATION (XNYS:X)</v>
    <v>2</v>
    <v>17</v>
    <v>Finance</v>
    <v>18</v>
    <v>en-US</v>
    <v>a265bh</v>
    <v>268435456</v>
    <v>1</v>
    <v>9</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234</v>
    <v>54.78</v>
    <v>12416823444</v>
    <v>UNITED STATES STEEL CORPORATION</v>
    <v>UNITED STATES STEEL CORPORATION</v>
    <v>54.83</v>
    <v>186.1634</v>
    <v>54.85</v>
    <v>54.84</v>
    <v>226419100</v>
    <v>X</v>
    <v>UNITED STATES STEEL CORPORATION (XNYS:X)</v>
    <v>876</v>
    <v>12153533</v>
    <v>2001</v>
  </rv>
  <rv s="2">
    <v>235</v>
  </rv>
  <rv s="0">
    <v>https://www.bing.com/financeapi/forcetrigger?t=bnyaur&amp;q=XSWX%3aLOCK&amp;form=skydnc</v>
    <v>Learn more on Bing</v>
  </rv>
  <rv s="13">
    <v>35</v>
    <v>iShs Digtl Sec UCITS ETF USD A (XSWX:LOCK)</v>
    <v>36</v>
    <v>37</v>
    <v>Finance</v>
    <v>9</v>
    <v>en-US</v>
    <v>bnyaur</v>
    <v>268435456</v>
    <v>1</v>
    <v>9</v>
    <v>Powered by Refinitiv</v>
    <v>10.672000000000001</v>
    <v>7.4260000000000002</v>
    <v>0.621</v>
    <v>0.04</v>
    <v>3.9369999999999995E-3</v>
    <v>USD</v>
    <v>SIX Swiss Exchange</v>
    <v>XSWX</v>
    <v>4.0000000000000001E-3</v>
    <v>10.199999999999999</v>
    <v>ETF</v>
    <v>46021.833182870374</v>
    <v>237</v>
    <v>10.17</v>
    <v>1635064661.01</v>
    <v>iShs Digtl Sec UCITS ETF USD A</v>
    <v>10.17</v>
    <v>10.16</v>
    <v>10.199999999999999</v>
    <v>LOCK</v>
    <v>iShs Digtl Sec UCITS ETF USD A (XSWX:LOCK)</v>
    <v>8607</v>
  </rv>
  <rv s="2">
    <v>238</v>
  </rv>
  <rv s="14">
    <v>12</v>
    <v>Volume average</v>
    <v>0</v>
  </rv>
  <rv s="15">
    <v>12</v>
    <v>1</v>
  </rv>
  <rv s="16">
    <v>38</v>
    <v>EUR/USD</v>
    <v>39</v>
    <v>40</v>
    <v>Finance</v>
    <v>41</v>
    <v>en-US</v>
    <v>av932w</v>
    <v>268435456</v>
    <v>1</v>
    <v>9</v>
    <v>Powered by Refinitiv</v>
    <v>1.1918</v>
    <v>1.0176000000000001</v>
    <v>0</v>
    <v>0</v>
    <v>USD</v>
    <v>EUR</v>
    <v>1.1745000000000001</v>
    <v>Currency Pair</v>
    <v>46022.917314814818</v>
    <v>1.1740999999999999</v>
    <v>Euro/US Dollar FX Spot Rate</v>
    <v>1.1739999999999999</v>
    <v>1.1745000000000001</v>
    <v>1.1745000000000001</v>
    <v>EURUSD</v>
    <v>EUR/USD</v>
  </rv>
  <rv s="2">
    <v>242</v>
  </rv>
  <rv s="16">
    <v>38</v>
    <v>EUR/CHF</v>
    <v>39</v>
    <v>42</v>
    <v>Finance</v>
    <v>41</v>
    <v>en-US</v>
    <v>av923m</v>
    <v>268435456</v>
    <v>1</v>
    <v>9</v>
    <v>Powered by Refinitiv</v>
    <v>0.96609999999999996</v>
    <v>0.91749999999999998</v>
    <v>1E-4</v>
    <v>1.075E-4</v>
    <v>CHF</v>
    <v>EUR</v>
    <v>0.93069999999999997</v>
    <v>Currency Pair</v>
    <v>46022.924212962964</v>
    <v>0.93110000000000004</v>
    <v>Euro/Swiss Franc FX Cross Rate</v>
    <v>0.93020000000000003</v>
    <v>0.93059999999999998</v>
    <v>0.93069999999999997</v>
    <v>EURCHF</v>
    <v>EUR/CHF</v>
  </rv>
  <rv s="2">
    <v>244</v>
  </rv>
  <rv s="16">
    <v>38</v>
    <v>EUR/GBP</v>
    <v>39</v>
    <v>43</v>
    <v>Finance</v>
    <v>41</v>
    <v>en-US</v>
    <v>av92z2</v>
    <v>268435456</v>
    <v>1</v>
    <v>9</v>
    <v>Powered by Refinitiv</v>
    <v>0.88649999999999995</v>
    <v>0.82379999999999998</v>
    <v>1E-4</v>
    <v>1.147E-4</v>
    <v>GBP</v>
    <v>EUR</v>
    <v>0.87160000000000004</v>
    <v>Currency Pair</v>
    <v>46022.923043981478</v>
    <v>0.87160000000000004</v>
    <v>Euro/UK Pound Sterling FX Cross Rate</v>
    <v>0.87129999999999996</v>
    <v>0.87150000000000005</v>
    <v>0.87160000000000004</v>
    <v>EURGBP</v>
    <v>EUR/GBP</v>
  </rv>
  <rv s="2">
    <v>246</v>
  </rv>
  <rv s="16">
    <v>38</v>
    <v>EUR/AUD</v>
    <v>39</v>
    <v>44</v>
    <v>Finance</v>
    <v>41</v>
    <v>en-US</v>
    <v>av8sfr</v>
    <v>268435456</v>
    <v>1</v>
    <v>9</v>
    <v>Powered by Refinitiv</v>
    <v>1.8554999999999999</v>
    <v>1.6347</v>
    <v>1E-3</v>
    <v>5.6829999999999999E-4</v>
    <v>AUD</v>
    <v>EUR</v>
    <v>1.7605999999999999</v>
    <v>Currency Pair</v>
    <v>46022.930219907408</v>
    <v>1.7597</v>
    <v>Euro/Australian Dollar FX Cross Rate</v>
    <v>1.7596000000000001</v>
    <v>1.7596000000000001</v>
    <v>1.7605999999999999</v>
    <v>EURAUD</v>
    <v>EUR/AUD</v>
  </rv>
  <rv s="2">
    <v>248</v>
  </rv>
  <rv s="16">
    <v>38</v>
    <v>EUR/CAD</v>
    <v>39</v>
    <v>45</v>
    <v>Finance</v>
    <v>41</v>
    <v>en-US</v>
    <v>av8ttc</v>
    <v>268435456</v>
    <v>1</v>
    <v>9</v>
    <v>Powered by Refinitiv</v>
    <v>1.6468</v>
    <v>1.4681</v>
    <v>0</v>
    <v>0</v>
    <v>CAD</v>
    <v>EUR</v>
    <v>1.6119000000000001</v>
    <v>Currency Pair</v>
    <v>46022.930219907408</v>
    <v>1.6114999999999999</v>
    <v>Euro/Canadian Dollar FX Cross Rate</v>
    <v>1.6119000000000001</v>
    <v>1.6119000000000001</v>
    <v>1.6119000000000001</v>
    <v>EURCAD</v>
    <v>EUR/CAD</v>
  </rv>
  <rv s="2">
    <v>250</v>
  </rv>
  <rv s="16">
    <v>38</v>
    <v>USD/JPY</v>
    <v>39</v>
    <v>46</v>
    <v>Finance</v>
    <v>41</v>
    <v>en-US</v>
    <v>avyomw</v>
    <v>268435456</v>
    <v>1</v>
    <v>9</v>
    <v>Powered by Refinitiv</v>
    <v>158.87</v>
    <v>139.86000000000001</v>
    <v>0.01</v>
    <v>6.3839999999999999E-5</v>
    <v>JPY</v>
    <v>USD</v>
    <v>156.66</v>
    <v>Currency Pair</v>
    <v>46022.918692129628</v>
    <v>156.69</v>
    <v>US Dollar/Japanese Yen FX Spot Rate</v>
    <v>156.66</v>
    <v>156.65</v>
    <v>156.66</v>
    <v>USDJPY</v>
    <v>USD/JPY</v>
  </rv>
  <rv s="2">
    <v>252</v>
  </rv>
  <rv s="16">
    <v>38</v>
    <v>USD/CHF</v>
    <v>39</v>
    <v>42</v>
    <v>Finance</v>
    <v>41</v>
    <v>en-US</v>
    <v>avyt7w</v>
    <v>268435456</v>
    <v>1</v>
    <v>9</v>
    <v>Powered by Refinitiv</v>
    <v>0.92</v>
    <v>0.78269999999999995</v>
    <v>1E-4</v>
    <v>1.262E-4</v>
    <v>CHF</v>
    <v>USD</v>
    <v>0.79239999999999999</v>
    <v>Currency Pair</v>
    <v>46022.924212962964</v>
    <v>0.79269999999999996</v>
    <v>US Dollar/Swiss Franc FX Spot Rate</v>
    <v>0.79239999999999999</v>
    <v>0.7923</v>
    <v>0.79239999999999999</v>
    <v>USDCHF</v>
    <v>USD/CHF</v>
  </rv>
  <rv s="2">
    <v>254</v>
  </rv>
  <rv s="16">
    <v>38</v>
    <v>USD/GBP</v>
    <v>39</v>
    <v>43</v>
    <v>Finance</v>
    <v>41</v>
    <v>en-US</v>
    <v>avyu4c</v>
    <v>268435456</v>
    <v>1</v>
    <v>9</v>
    <v>Powered by Refinitiv</v>
    <v>0.82650000000000001</v>
    <v>0.72509999999999997</v>
    <v>1.1E-4</v>
    <v>1.482E-4</v>
    <v>GBP</v>
    <v>USD</v>
    <v>0.74209999999999998</v>
    <v>Currency Pair</v>
    <v>46022.923043981478</v>
    <v>0.74229999999999996</v>
    <v>US Dollar/UK Pound Sterling FX Cross Rate</v>
    <v>0.74180000000000001</v>
    <v>0.74199999999999999</v>
    <v>0.74209999999999998</v>
    <v>USDGBP</v>
    <v>USD/GBP</v>
  </rv>
  <rv s="2">
    <v>256</v>
  </rv>
  <rv s="0">
    <v>https://www.bing.com/financeapi/forcetrigger?t=a6qja2&amp;q=DOW+JONES+INDU+AVERAGE+NDX&amp;form=skydnc</v>
    <v>Learn more on Bing</v>
  </rv>
  <rv s="17">
    <v>47</v>
    <v>DOW JONES INDU AVERAGE NDX</v>
    <v>36</v>
    <v>48</v>
    <v>Finance</v>
    <v>49</v>
    <v>en-US</v>
    <v>a6qja2</v>
    <v>268435456</v>
    <v>1</v>
    <v>9</v>
    <v>Powered by Refinitiv</v>
    <v>48886.86</v>
    <v>36611.78</v>
    <v>-303.77</v>
    <v>-6.2810000000000001E-3</v>
    <v>US</v>
    <v>48394.51</v>
    <v>Index</v>
    <v>258</v>
    <v>48050.879999999997</v>
    <v>DOW JONES INDU AVERAGE NDX</v>
    <v>48371.519999999997</v>
    <v>48367.06</v>
    <v>48063.29</v>
    <v>DJI</v>
    <v>DOW JONES INDU AVERAGE NDX</v>
  </rv>
  <rv s="2">
    <v>259</v>
  </rv>
  <rv s="0">
    <v>https://www.bing.com/financeapi/forcetrigger?t=bxjpp2&amp;q=XLON%3aXNAS&amp;form=skydnc</v>
    <v>Learn more on Bing</v>
  </rv>
  <rv s="13">
    <v>35</v>
    <v>X NASDAQ 100 UCITS ETF 1C (XLON:XNAS)</v>
    <v>36</v>
    <v>37</v>
    <v>Finance</v>
    <v>50</v>
    <v>en-US</v>
    <v>bxjpp2</v>
    <v>268435456</v>
    <v>1</v>
    <v>9</v>
    <v>Powered by Refinitiv</v>
    <v>60.56</v>
    <v>37.74</v>
    <v>1.1890000000000001</v>
    <v>-0.28999999999999998</v>
    <v>-4.9020000000000001E-3</v>
    <v>USD</v>
    <v>London Stock Exchange</v>
    <v>XLON</v>
    <v>2E-3</v>
    <v>58.89</v>
    <v>ETF</v>
    <v>46022.524634767971</v>
    <v>261</v>
    <v>58.75</v>
    <v>1925568551.72</v>
    <v>X NASDAQ 100 UCITS ETF 1C</v>
    <v>58.82</v>
    <v>59.16</v>
    <v>58.87</v>
    <v>XNAS</v>
    <v>X NASDAQ 100 UCITS ETF 1C (XLON:XNAS)</v>
    <v>1552</v>
  </rv>
  <rv s="2">
    <v>262</v>
  </rv>
</rvData>
</file>

<file path=xl/richData/rdrichvaluestructure.xml><?xml version="1.0" encoding="utf-8"?>
<rvStructures xmlns="http://schemas.microsoft.com/office/spreadsheetml/2017/richdata" count="18">
  <s t="_hyperlink">
    <k n="Address" t="s"/>
    <k n="Text" t="s"/>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OutdatedReason" t="i"/>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OutdatedReason" t="i"/>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7">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v t="s">%OutdatedReason</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v t="s">%OutdatedReason</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v t="s">%OutdatedReason</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v t="s">%OutdatedReason</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v t="s">%OutdatedReason</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v t="s">%OutdatedReason</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v t="s">%OutdatedReason</v>
    </a>
    <a count="28">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v t="s">%OutdatedReason</v>
    </a>
    <a count="27">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v t="s">%OutdatedReason</v>
    </a>
  </spbArrays>
  <spbData count="51">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10</v>
      <v>2</v>
      <v>2</v>
      <v>10</v>
      <v>3</v>
      <v>10</v>
      <v>10</v>
      <v>10</v>
      <v>4</v>
      <v>4</v>
      <v>5</v>
      <v>11</v>
      <v>10</v>
      <v>10</v>
      <v>10</v>
      <v>4</v>
      <v>7</v>
      <v>8</v>
      <v>9</v>
      <v>4</v>
    </spb>
    <spb s="6">
      <v>Delayed 15 minutes</v>
      <v>from previous close</v>
      <v>from previous close</v>
      <v>LSE</v>
      <v>GMT</v>
    </spb>
    <spb s="5">
      <v>12</v>
      <v>2</v>
      <v>2</v>
      <v>12</v>
      <v>3</v>
      <v>12</v>
      <v>12</v>
      <v>12</v>
      <v>4</v>
      <v>4</v>
      <v>5</v>
      <v>13</v>
      <v>12</v>
      <v>12</v>
      <v>12</v>
      <v>4</v>
      <v>7</v>
      <v>8</v>
      <v>9</v>
      <v>4</v>
    </spb>
    <spb s="7">
      <v>Delayed 15 minutes</v>
      <v>from previous close</v>
      <v>from previous close</v>
      <v>GMT</v>
    </spb>
    <spb s="3">
      <v>1</v>
      <v>2</v>
      <v>2</v>
      <v>1</v>
      <v>3</v>
      <v>1</v>
      <v>1</v>
      <v>1</v>
      <v>4</v>
      <v>4</v>
      <v>5</v>
      <v>14</v>
      <v>1</v>
      <v>1</v>
      <v>1</v>
      <v>4</v>
      <v>7</v>
      <v>8</v>
      <v>9</v>
      <v>4</v>
      <v>1</v>
      <v>1</v>
      <v>5</v>
    </spb>
    <spb s="4">
      <v>at close</v>
      <v>from previous close</v>
      <v>from previous close</v>
      <v>Source: Nasdaq</v>
      <v>GMT</v>
      <v>Delayed 15 minutes</v>
      <v>from close</v>
      <v>from close</v>
    </spb>
    <spb s="0">
      <v>2</v>
      <v>Name</v>
      <v>LearnMoreOnLink</v>
    </spb>
    <spb s="8">
      <v>0</v>
      <v>0</v>
    </spb>
    <spb s="9">
      <v>13</v>
      <v>1</v>
      <v>1</v>
      <v>1</v>
      <v>1</v>
    </spb>
    <spb s="10">
      <v>1</v>
      <v>2</v>
      <v>2</v>
      <v>1</v>
      <v>3</v>
      <v>1</v>
      <v>15</v>
      <v>1</v>
      <v>1</v>
      <v>4</v>
      <v>4</v>
      <v>5</v>
      <v>6</v>
      <v>1</v>
      <v>1</v>
      <v>1</v>
      <v>4</v>
      <v>7</v>
      <v>8</v>
      <v>9</v>
      <v>4</v>
      <v>1</v>
      <v>1</v>
      <v>5</v>
    </spb>
    <spb s="11">
      <v>Powered by Refinitiv</v>
    </spb>
    <spb s="5">
      <v>1</v>
      <v>2</v>
      <v>2</v>
      <v>1</v>
      <v>3</v>
      <v>1</v>
      <v>1</v>
      <v>1</v>
      <v>4</v>
      <v>4</v>
      <v>5</v>
      <v>6</v>
      <v>1</v>
      <v>1</v>
      <v>1</v>
      <v>4</v>
      <v>7</v>
      <v>8</v>
      <v>9</v>
      <v>4</v>
    </spb>
    <spb s="6">
      <v>Delayed 15 minutes</v>
      <v>from previous close</v>
      <v>from previous close</v>
      <v>Source: Nasdaq</v>
      <v>GMT</v>
    </spb>
    <spb s="0">
      <v>3</v>
      <v>Name</v>
      <v>LearnMoreOnLink</v>
    </spb>
    <spb s="12">
      <v>1</v>
      <v>2</v>
      <v>1</v>
      <v>3</v>
      <v>1</v>
      <v>1</v>
      <v>1</v>
      <v>4</v>
      <v>4</v>
      <v>5</v>
      <v>6</v>
      <v>1</v>
      <v>1</v>
      <v>1</v>
      <v>4</v>
      <v>7</v>
      <v>8</v>
      <v>9</v>
      <v>4</v>
      <v>1</v>
      <v>1</v>
      <v>5</v>
    </spb>
    <spb s="0">
      <v>4</v>
      <v>Name</v>
      <v>LearnMoreOnLink</v>
    </spb>
    <spb s="13">
      <v>1</v>
      <v>2</v>
      <v>2</v>
      <v>1</v>
      <v>3</v>
      <v>1</v>
      <v>1</v>
      <v>1</v>
      <v>4</v>
      <v>4</v>
      <v>5</v>
      <v>16</v>
      <v>1</v>
      <v>1</v>
      <v>1</v>
      <v>4</v>
      <v>7</v>
      <v>8</v>
      <v>9</v>
      <v>4</v>
      <v>1</v>
    </spb>
    <spb s="14">
      <v>at close</v>
      <v>from previous close</v>
      <v>from previous close</v>
      <v>GMT</v>
      <v>Delayed 15 minutes</v>
    </spb>
    <spb s="0">
      <v>5</v>
      <v>Name</v>
      <v>LearnMoreOnLink</v>
    </spb>
    <spb s="15">
      <v>12</v>
      <v>2</v>
      <v>12</v>
      <v>3</v>
      <v>12</v>
      <v>12</v>
      <v>12</v>
      <v>4</v>
      <v>4</v>
      <v>5</v>
      <v>13</v>
      <v>12</v>
      <v>12</v>
      <v>12</v>
      <v>4</v>
      <v>7</v>
      <v>8</v>
      <v>9</v>
      <v>4</v>
    </spb>
    <spb s="0">
      <v>6</v>
      <v>Name</v>
      <v>LearnMoreOnLink</v>
    </spb>
    <spb s="16">
      <v>1</v>
      <v>2</v>
      <v>2</v>
      <v>1</v>
      <v>3</v>
      <v>1</v>
      <v>15</v>
      <v>1</v>
      <v>1</v>
      <v>4</v>
      <v>4</v>
      <v>5</v>
      <v>17</v>
      <v>1</v>
      <v>1</v>
      <v>1</v>
      <v>4</v>
      <v>7</v>
      <v>8</v>
      <v>9</v>
      <v>4</v>
      <v>1</v>
    </spb>
    <spb s="5">
      <v>18</v>
      <v>2</v>
      <v>2</v>
      <v>18</v>
      <v>3</v>
      <v>18</v>
      <v>18</v>
      <v>18</v>
      <v>4</v>
      <v>4</v>
      <v>5</v>
      <v>19</v>
      <v>18</v>
      <v>18</v>
      <v>18</v>
      <v>4</v>
      <v>7</v>
      <v>8</v>
      <v>9</v>
      <v>4</v>
    </spb>
    <spb s="17">
      <v>7</v>
      <v>Name</v>
    </spb>
    <spb s="18">
      <v>1</v>
      <v>1</v>
      <v>1</v>
    </spb>
    <spb s="0">
      <v>8</v>
      <v>Name</v>
      <v>LearnMoreOnLink</v>
    </spb>
    <spb s="19">
      <v>12</v>
      <v>2</v>
      <v>2</v>
      <v>12</v>
      <v>3</v>
      <v>12</v>
      <v>12</v>
      <v>12</v>
      <v>4</v>
      <v>4</v>
      <v>5</v>
      <v>13</v>
      <v>12</v>
      <v>12</v>
      <v>12</v>
      <v>4</v>
      <v>7</v>
      <v>9</v>
      <v>4</v>
    </spb>
    <spb s="6">
      <v>Delayed 15 minutes</v>
      <v>from previous close</v>
      <v>from previous close</v>
      <v>Borsa Italia</v>
      <v>GMT</v>
    </spb>
    <spb s="13">
      <v>1</v>
      <v>2</v>
      <v>2</v>
      <v>1</v>
      <v>3</v>
      <v>1</v>
      <v>1</v>
      <v>1</v>
      <v>4</v>
      <v>4</v>
      <v>5</v>
      <v>6</v>
      <v>1</v>
      <v>1</v>
      <v>1</v>
      <v>4</v>
      <v>7</v>
      <v>8</v>
      <v>9</v>
      <v>4</v>
      <v>1</v>
    </spb>
    <spb s="0">
      <v>9</v>
      <v>Name</v>
      <v>LearnMoreOnLink</v>
    </spb>
    <spb s="20">
      <v>1</v>
      <v>1</v>
      <v>1</v>
    </spb>
    <spb s="21">
      <v>1</v>
      <v>2</v>
      <v>1</v>
      <v>3</v>
      <v>1</v>
      <v>1</v>
      <v>1</v>
      <v>4</v>
      <v>5</v>
      <v>6</v>
      <v>1</v>
      <v>1</v>
      <v>5</v>
      <v>1</v>
      <v>7</v>
      <v>9</v>
    </spb>
    <spb s="17">
      <v>10</v>
      <v>Name</v>
    </spb>
    <spb s="22">
      <v>1</v>
      <v>1</v>
    </spb>
    <spb s="23">
      <v>1</v>
      <v>1</v>
      <v>3</v>
      <v>1</v>
      <v>1</v>
      <v>1</v>
      <v>5</v>
      <v>1</v>
      <v>1</v>
      <v>1</v>
      <v>7</v>
      <v>9</v>
    </spb>
    <spb s="24">
      <v>GMT</v>
    </spb>
    <spb s="23">
      <v>18</v>
      <v>18</v>
      <v>3</v>
      <v>18</v>
      <v>18</v>
      <v>18</v>
      <v>5</v>
      <v>18</v>
      <v>18</v>
      <v>18</v>
      <v>7</v>
      <v>9</v>
    </spb>
    <spb s="23">
      <v>20</v>
      <v>20</v>
      <v>3</v>
      <v>20</v>
      <v>20</v>
      <v>20</v>
      <v>5</v>
      <v>20</v>
      <v>20</v>
      <v>20</v>
      <v>7</v>
      <v>9</v>
    </spb>
    <spb s="23">
      <v>21</v>
      <v>21</v>
      <v>3</v>
      <v>21</v>
      <v>21</v>
      <v>21</v>
      <v>5</v>
      <v>21</v>
      <v>21</v>
      <v>21</v>
      <v>7</v>
      <v>9</v>
    </spb>
    <spb s="23">
      <v>22</v>
      <v>22</v>
      <v>3</v>
      <v>22</v>
      <v>22</v>
      <v>22</v>
      <v>5</v>
      <v>22</v>
      <v>22</v>
      <v>22</v>
      <v>7</v>
      <v>9</v>
    </spb>
    <spb s="23">
      <v>23</v>
      <v>23</v>
      <v>3</v>
      <v>23</v>
      <v>23</v>
      <v>23</v>
      <v>5</v>
      <v>23</v>
      <v>23</v>
      <v>23</v>
      <v>7</v>
      <v>9</v>
    </spb>
    <spb s="0">
      <v>11</v>
      <v>Name</v>
      <v>LearnMoreOnLink</v>
    </spb>
    <spb s="25">
      <v>1</v>
      <v>1</v>
      <v>3</v>
      <v>1</v>
      <v>1</v>
      <v>1</v>
      <v>5</v>
      <v>1</v>
      <v>1</v>
      <v>1</v>
      <v>9</v>
    </spb>
    <spb s="26">
      <v>from previous close</v>
      <v>from previous close</v>
    </spb>
    <spb s="27">
      <v>Delayed 15 minutes</v>
      <v>from previous close</v>
      <v>LSE</v>
      <v>from previous close</v>
      <v>GMT</v>
    </spb>
  </spbData>
</supportingPropertyBags>
</file>

<file path=xl/richData/rdsupportingpropertybagstructure.xml><?xml version="1.0" encoding="utf-8"?>
<spbStructures xmlns="http://schemas.microsoft.com/office/spreadsheetml/2017/richdata2" count="2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s>
  <s>
    <k n="Price" t="s"/>
    <k n="Change" t="s"/>
    <k n="Change (%)" t="s"/>
    <k n="Last trade time" t="s"/>
    <k n="Price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AC$100</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9:D107" totalsRowShown="0">
  <autoFilter ref="A99:D107" xr:uid="{3605F8B5-2207-9B4F-A466-559E80FF7EC6}"/>
  <tableColumns count="4">
    <tableColumn id="1" xr3:uid="{A71352C5-FD21-8240-941E-5FF443623FCB}" name="Couple"/>
    <tableColumn id="2" xr3:uid="{62EEFA6A-9E09-4D45-B65F-80226F75071B}" name="RT" dataDxfId="3">
      <calculatedColumnFormula array="1">_FV(A100,"Price")</calculatedColumnFormula>
    </tableColumn>
    <tableColumn id="3" xr3:uid="{7735EDB4-8F6C-2B4F-9D87-70384666EE29}" name="52 W High" dataDxfId="2">
      <calculatedColumnFormula array="1">_FV(A100,"52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115"/>
  <sheetViews>
    <sheetView tabSelected="1" zoomScale="90" zoomScaleNormal="90" workbookViewId="0">
      <pane xSplit="1" ySplit="2" topLeftCell="B3" activePane="bottomRight" state="frozen"/>
      <selection pane="topRight" activeCell="B1" sqref="B1"/>
      <selection pane="bottomLeft" activeCell="A3" sqref="A3"/>
      <selection pane="bottomRight" activeCell="E2" sqref="E2"/>
    </sheetView>
  </sheetViews>
  <sheetFormatPr baseColWidth="10" defaultColWidth="11.125" defaultRowHeight="22" x14ac:dyDescent="0.3"/>
  <cols>
    <col min="1" max="1" width="22.25" customWidth="1"/>
    <col min="2" max="2" width="11" style="16" customWidth="1"/>
    <col min="3" max="3" width="61" style="37" customWidth="1"/>
    <col min="4" max="4" width="11.625" customWidth="1"/>
    <col min="5" max="5" width="17.625" customWidth="1"/>
    <col min="6" max="6" width="13.875" customWidth="1"/>
    <col min="7" max="7" width="14" customWidth="1"/>
    <col min="8" max="8" width="12.125" customWidth="1"/>
    <col min="9" max="9" width="14.875" customWidth="1"/>
    <col min="10" max="10" width="14.875" style="38" customWidth="1"/>
    <col min="11" max="11" width="14.25" style="20" customWidth="1"/>
    <col min="12" max="12" width="15" style="21" customWidth="1"/>
    <col min="13" max="13" width="16.75" style="37" customWidth="1"/>
    <col min="14" max="14" width="12" customWidth="1"/>
    <col min="15" max="15" width="15.375" style="22" customWidth="1"/>
    <col min="16" max="16" width="15.5" style="22" customWidth="1"/>
    <col min="17" max="17" width="15.375" customWidth="1"/>
    <col min="18" max="18" width="12.75" style="42" customWidth="1"/>
    <col min="19" max="19" width="11.125" customWidth="1"/>
    <col min="20" max="20" width="10.125" customWidth="1"/>
    <col min="21" max="21" width="11.125" customWidth="1"/>
    <col min="22" max="22" width="11.125" style="63" customWidth="1"/>
    <col min="23" max="23" width="11.125" style="61" customWidth="1"/>
    <col min="24" max="24" width="11.625" style="43"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79">
        <f ca="1">MAX(E3:E96)</f>
        <v>46022.930998113283</v>
      </c>
      <c r="B1" s="2" t="s">
        <v>0</v>
      </c>
      <c r="C1" s="2"/>
      <c r="D1" s="3"/>
      <c r="E1" s="4" t="s">
        <v>0</v>
      </c>
      <c r="F1" s="5">
        <f ca="1">NOW()</f>
        <v>46023.987599768516</v>
      </c>
      <c r="G1" s="6"/>
      <c r="H1" s="7"/>
      <c r="I1" s="8"/>
      <c r="J1" s="9"/>
      <c r="K1" s="10"/>
      <c r="L1" s="11"/>
      <c r="M1" s="8"/>
      <c r="N1" s="8"/>
      <c r="O1" s="12"/>
      <c r="P1" s="12">
        <v>58505147</v>
      </c>
      <c r="Q1" s="8"/>
      <c r="R1" s="13"/>
      <c r="V1" s="62"/>
      <c r="W1" s="58"/>
      <c r="X1" s="14" t="s">
        <v>55</v>
      </c>
    </row>
    <row r="2" spans="1:32" s="75" customFormat="1" ht="27" thickBot="1" x14ac:dyDescent="0.35">
      <c r="A2" s="65" t="s">
        <v>132</v>
      </c>
      <c r="B2" s="66" t="s">
        <v>35</v>
      </c>
      <c r="C2" s="67" t="s">
        <v>1</v>
      </c>
      <c r="D2" s="68" t="s">
        <v>2</v>
      </c>
      <c r="E2" s="68" t="s">
        <v>3</v>
      </c>
      <c r="F2" s="69" t="s">
        <v>4</v>
      </c>
      <c r="G2" s="69" t="s">
        <v>5</v>
      </c>
      <c r="H2" s="69" t="s">
        <v>6</v>
      </c>
      <c r="I2" s="69" t="s">
        <v>7</v>
      </c>
      <c r="J2" s="69" t="s">
        <v>8</v>
      </c>
      <c r="K2" s="70" t="s">
        <v>9</v>
      </c>
      <c r="L2" s="71" t="s">
        <v>10</v>
      </c>
      <c r="M2" s="72" t="s">
        <v>11</v>
      </c>
      <c r="N2" s="69" t="s">
        <v>12</v>
      </c>
      <c r="O2" s="69" t="s">
        <v>13</v>
      </c>
      <c r="P2" s="74" t="s">
        <v>14</v>
      </c>
      <c r="Q2" s="74" t="s">
        <v>15</v>
      </c>
      <c r="R2" s="69" t="s">
        <v>16</v>
      </c>
      <c r="S2" s="68" t="s">
        <v>17</v>
      </c>
      <c r="T2" s="68" t="s">
        <v>30</v>
      </c>
      <c r="U2" s="73" t="s">
        <v>18</v>
      </c>
      <c r="V2" s="80" t="s">
        <v>37</v>
      </c>
      <c r="W2" s="80" t="s">
        <v>36</v>
      </c>
      <c r="X2" s="76" t="s">
        <v>32</v>
      </c>
      <c r="Y2" s="76" t="s">
        <v>33</v>
      </c>
      <c r="Z2" s="76" t="s">
        <v>43</v>
      </c>
      <c r="AA2" s="77" t="s">
        <v>34</v>
      </c>
      <c r="AB2" s="77" t="s">
        <v>40</v>
      </c>
      <c r="AC2" s="84" t="s">
        <v>39</v>
      </c>
      <c r="AD2" s="68" t="s">
        <v>50</v>
      </c>
      <c r="AE2" s="88" t="s">
        <v>49</v>
      </c>
      <c r="AF2" s="88" t="s">
        <v>59</v>
      </c>
    </row>
    <row r="3" spans="1:32" x14ac:dyDescent="0.3">
      <c r="A3" s="15" t="str" cm="1">
        <f t="array" aca="1" ref="A3" ca="1">_xlfn.SINGLE(RTData[suffix])&amp;_FV(RTData[[#This Row],[Company Name]],"Ticker symbol",TRUE)</f>
        <v>AAPL</v>
      </c>
      <c r="B3" s="15">
        <f ca="1">D$100</f>
        <v>0.85142613878246054</v>
      </c>
      <c r="C3" s="16" t="e" vm="1">
        <v>#VALUE!</v>
      </c>
      <c r="D3" s="104" t="str" cm="1">
        <f t="array" aca="1" ref="D3" ca="1">_FV(RTData[[#This Row],[Company Name]],"Currency")</f>
        <v>USD</v>
      </c>
      <c r="E3" s="17" cm="1">
        <f t="array" aca="1" ref="E3" ca="1">_FV(RTData[[#This Row],[Company Name]],"Last trade time",TRUE)</f>
        <v>46022.930929073438</v>
      </c>
      <c r="F3" s="106" cm="1">
        <f t="array" aca="1" ref="F3" ca="1">_FV(RTData[[#This Row],[Company Name]],"Previous close",TRUE)</f>
        <v>273.08</v>
      </c>
      <c r="G3" s="106" cm="1">
        <f t="array" aca="1" ref="G3" ca="1">IFERROR(_FV(RTData[[#This Row],[Company Name]],"Open"),RTData[[#This Row],[Close]])</f>
        <v>273.06</v>
      </c>
      <c r="H3" s="106" cm="1">
        <f t="array" aca="1" ref="H3" ca="1">_FV(RTData[[#This Row],[Company Name]],"Price")</f>
        <v>271.86</v>
      </c>
      <c r="I3" s="106" cm="1">
        <f t="array" aca="1" ref="I3" ca="1">IFERROR(_FV(RTData[[#This Row],[Company Name]],"Low"),0)</f>
        <v>271.75</v>
      </c>
      <c r="J3" s="106" cm="1">
        <f t="array" aca="1" ref="J3" ca="1">IFERROR(_FV(RTData[[#This Row],[Company Name]],"High"),0)</f>
        <v>273.68</v>
      </c>
      <c r="K3" s="19" cm="1">
        <f t="array" aca="1" ref="K3" ca="1">IFERROR(_FV(RTData[[#This Row],[Company Name]],"P/E",TRUE),99)</f>
        <v>36.606299999999997</v>
      </c>
      <c r="L3" s="20" cm="1">
        <f t="array" aca="1" ref="L3" ca="1">_FV(RTData[[#This Row],[Company Name]],"Change")</f>
        <v>-1.22</v>
      </c>
      <c r="M3" s="21" cm="1">
        <f t="array" aca="1" ref="M3" ca="1">_FV(RTData[[#This Row],[Company Name]],"Change (%)",TRUE)</f>
        <v>-4.4679999999999997E-3</v>
      </c>
      <c r="N3" s="106" cm="1">
        <f t="array" aca="1" ref="N3" ca="1">_FV(RTData[[#This Row],[Company Name]],"52 week low",TRUE)</f>
        <v>169.21010000000001</v>
      </c>
      <c r="O3" s="106" cm="1">
        <f t="array" aca="1" ref="O3" ca="1">_FV(RTData[[#This Row],[Company Name]],"52 week high",TRUE)</f>
        <v>288.62</v>
      </c>
      <c r="P3" s="22" cm="1">
        <f t="array" aca="1" ref="P3" ca="1">_FV(RTData[[#This Row],[Company Name]],"Volume")</f>
        <v>27191656</v>
      </c>
      <c r="Q3" s="22" cm="1">
        <f t="array" aca="1" ref="Q3" ca="1">_FV(RTData[[#This Row],[Company Name]],"Volume average",TRUE)</f>
        <v>42532097</v>
      </c>
      <c r="R3" s="106" cm="1">
        <f t="array" aca="1" ref="R3" ca="1">_FV(RTData[[#This Row],[Company Name]],"Beta")</f>
        <v>1.0915999999999999</v>
      </c>
      <c r="T3" t="s">
        <v>19</v>
      </c>
      <c r="U3" t="str" cm="1">
        <f t="array" aca="1" ref="U3" ca="1">_FV(RTData[[#This Row],[Company Name]],"Exchange abbreviation",TRUE)</f>
        <v>XNAS</v>
      </c>
      <c r="V3" s="97">
        <f ca="1">IFERROR(RTData[[#This Row],[Volume]]/RTData[[#This Row],[Volume average]],1)</f>
        <v>0.63932084044668669</v>
      </c>
      <c r="W3" s="23"/>
      <c r="X3" s="107">
        <f ca="1">_xlfn.XLOOKUP(RTData[[#This Row],[Ticker_Symbol]],TickerList!$G2:$G96,TickerList!L2:L96)</f>
        <v>287.70681999999999</v>
      </c>
      <c r="Y3" s="89">
        <f ca="1">_xlfn.XLOOKUP(RTData[[#This Row],[Ticker_Symbol]],TickerList!$G2:$G96,TickerList!M2:M96)</f>
        <v>45971</v>
      </c>
      <c r="Z3" s="89">
        <f ca="1">_xlfn.XLOOKUP(RTData[[#This Row],[Ticker_Symbol]],TickerList!$G2:$G96,TickerList!N2:N96)</f>
        <v>0</v>
      </c>
      <c r="AA3" s="90">
        <f ca="1">_xlfn.XLOOKUP(RTData[[#This Row],[Ticker_Symbol]],TickerList!$G2:$G96,TickerList!O2:O96)</f>
        <v>3.8E-3</v>
      </c>
      <c r="AB3" s="91">
        <v>1E-4</v>
      </c>
      <c r="AC3" s="92">
        <f>AC$100</f>
        <v>3.0000000000000001E-3</v>
      </c>
      <c r="AD3" s="78">
        <v>245.31</v>
      </c>
      <c r="AE3" s="93">
        <f ca="1">_xlfn.LET(_xlpm.New1YT,RTData[[#This Row],[1YT]],        _xlpm.Old1YT,IF(ISNUMBER(RTData[[#This Row],[Old1YT]]),RTData[[#This Row],[Old1YT]],VALUE(LEFT(RTData[[#This Row],[Old1YT]],FIND("/",RTData[[#This Row],[Old1YT]],1)-1))),       IF(OR(RTData[[#This Row],[1YT]]=0,_xlpm.Old1YT=0),0,(_xlpm.New1YT-_xlpm.Old1YT)/_xlpm.Old1YT))</f>
        <v>0.17282956259426843</v>
      </c>
      <c r="AF3" s="93" t="str">
        <f ca="1">TEXT(RTData[[#This Row],[1YT]],"#,#0.00")&amp;" &lt; "&amp;RTData[[#This Row],[Old1YT]]</f>
        <v>287.71 &lt; 245.31</v>
      </c>
    </row>
    <row r="4" spans="1:32" x14ac:dyDescent="0.3">
      <c r="A4" s="15" t="str" cm="1">
        <f t="array" aca="1" ref="A4" ca="1">_xlfn.SINGLE(RTData[suffix])&amp;_FV(RTData[[#This Row],[Company Name]],"Ticker symbol",TRUE)</f>
        <v>ADEA</v>
      </c>
      <c r="B4" s="15">
        <f ca="1">D$100</f>
        <v>0.85142613878246054</v>
      </c>
      <c r="C4" s="24" t="e" vm="2">
        <v>#VALUE!</v>
      </c>
      <c r="D4" s="104" t="str" cm="1">
        <f t="array" aca="1" ref="D4" ca="1">_FV(RTData[[#This Row],[Company Name]],"Currency")</f>
        <v>USD</v>
      </c>
      <c r="E4" s="17" cm="1">
        <f t="array" aca="1" ref="E4" ca="1">_FV(RTData[[#This Row],[Company Name]],"Last trade time",TRUE)</f>
        <v>46022.929882060154</v>
      </c>
      <c r="F4" s="106" cm="1">
        <f t="array" aca="1" ref="F4" ca="1">_FV(RTData[[#This Row],[Company Name]],"Previous close",TRUE)</f>
        <v>17.61</v>
      </c>
      <c r="G4" s="106" cm="1">
        <f t="array" aca="1" ref="G4" ca="1">IFERROR(_FV(RTData[[#This Row],[Company Name]],"Open"),RTData[[#This Row],[Close]])</f>
        <v>17.62</v>
      </c>
      <c r="H4" s="106" cm="1">
        <f t="array" aca="1" ref="H4" ca="1">_FV(RTData[[#This Row],[Company Name]],"Price")</f>
        <v>17.25</v>
      </c>
      <c r="I4" s="106" cm="1">
        <f t="array" aca="1" ref="I4" ca="1">IFERROR(_FV(RTData[[#This Row],[Company Name]],"Low"),0)</f>
        <v>17.175000000000001</v>
      </c>
      <c r="J4" s="106" cm="1">
        <f t="array" aca="1" ref="J4" ca="1">IFERROR(_FV(RTData[[#This Row],[Company Name]],"High"),0)</f>
        <v>17.64</v>
      </c>
      <c r="K4" s="19" cm="1">
        <f t="array" aca="1" ref="K4" ca="1">IFERROR(_FV(RTData[[#This Row],[Company Name]],"P/E",TRUE),99)</f>
        <v>26.5794</v>
      </c>
      <c r="L4" s="20" cm="1">
        <f t="array" aca="1" ref="L4" ca="1">_FV(RTData[[#This Row],[Company Name]],"Change")</f>
        <v>-0.36</v>
      </c>
      <c r="M4" s="21" cm="1">
        <f t="array" aca="1" ref="M4" ca="1">_FV(RTData[[#This Row],[Company Name]],"Change (%)",TRUE)</f>
        <v>-2.0442999999999999E-2</v>
      </c>
      <c r="N4" s="106" cm="1">
        <f t="array" aca="1" ref="N4" ca="1">_FV(RTData[[#This Row],[Company Name]],"52 week low",TRUE)</f>
        <v>10.59</v>
      </c>
      <c r="O4" s="106" cm="1">
        <f t="array" aca="1" ref="O4" ca="1">_FV(RTData[[#This Row],[Company Name]],"52 week high",TRUE)</f>
        <v>18.25</v>
      </c>
      <c r="P4" s="22" cm="1">
        <f t="array" aca="1" ref="P4" ca="1">_FV(RTData[[#This Row],[Company Name]],"Volume")</f>
        <v>598822</v>
      </c>
      <c r="Q4" s="22" cm="1">
        <f t="array" aca="1" ref="Q4" ca="1">_FV(RTData[[#This Row],[Company Name]],"Volume average",TRUE)</f>
        <v>958492</v>
      </c>
      <c r="R4" s="106" cm="1">
        <f t="array" aca="1" ref="R4" ca="1">_FV(RTData[[#This Row],[Company Name]],"Beta")</f>
        <v>2.3730000000000002</v>
      </c>
      <c r="T4" t="s">
        <v>19</v>
      </c>
      <c r="U4" t="str" cm="1">
        <f t="array" aca="1" ref="U4" ca="1">_FV(RTData[[#This Row],[Company Name]],"Exchange abbreviation",TRUE)</f>
        <v>XNAS</v>
      </c>
      <c r="V4" s="23">
        <f ca="1">IFERROR(RTData[[#This Row],[Volume]]/RTData[[#This Row],[Volume average]],1)</f>
        <v>0.62475430154868272</v>
      </c>
      <c r="W4" s="23"/>
      <c r="X4" s="96">
        <f ca="1">_xlfn.XLOOKUP(RTData[[#This Row],[Ticker_Symbol]],TickerList!$G3:$G97,TickerList!L3:L97)</f>
        <v>22.75</v>
      </c>
      <c r="Y4" s="89">
        <f ca="1">_xlfn.XLOOKUP(RTData[[#This Row],[Ticker_Symbol]],TickerList!$G3:$G97,TickerList!M3:M97)</f>
        <v>45985</v>
      </c>
      <c r="Z4" s="89">
        <f ca="1">_xlfn.XLOOKUP(RTData[[#This Row],[Ticker_Symbol]],TickerList!$G3:$G97,TickerList!N3:N97)</f>
        <v>0</v>
      </c>
      <c r="AA4" s="90">
        <f ca="1">_xlfn.XLOOKUP(RTData[[#This Row],[Ticker_Symbol]],TickerList!$G3:$G97,TickerList!O3:O97)</f>
        <v>1.1599999999999999E-2</v>
      </c>
      <c r="AB4" s="91">
        <v>1E-4</v>
      </c>
      <c r="AC4" s="92">
        <f t="shared" ref="AC4:AC67" si="0">AC$100</f>
        <v>3.0000000000000001E-3</v>
      </c>
      <c r="AD4" s="78">
        <v>15.33</v>
      </c>
      <c r="AE4" s="93">
        <f ca="1">_xlfn.LET(_xlpm.New1YT,RTData[[#This Row],[1YT]],        _xlpm.Old1YT,IF(ISNUMBER(RTData[[#This Row],[Old1YT]]),RTData[[#This Row],[Old1YT]],VALUE(LEFT(RTData[[#This Row],[Old1YT]],FIND("/",RTData[[#This Row],[Old1YT]],1)-1))),       IF(OR(RTData[[#This Row],[1YT]]=0,_xlpm.Old1YT=0),0,(_xlpm.New1YT-_xlpm.Old1YT)/_xlpm.Old1YT))</f>
        <v>0.48401826484018262</v>
      </c>
      <c r="AF4" s="93" t="str">
        <f ca="1">TEXT(RTData[[#This Row],[1YT]],"#,#0.00")&amp;" &lt; "&amp;RTData[[#This Row],[Old1YT]]</f>
        <v>22.75 &lt; 15.33</v>
      </c>
    </row>
    <row r="5" spans="1:32" ht="23" customHeight="1" x14ac:dyDescent="0.3">
      <c r="A5" s="15" t="str" cm="1">
        <f t="array" aca="1" ref="A5" ca="1">_xlfn.SINGLE(RTData[suffix])&amp;_FV(RTData[[#This Row],[Company Name]],"Ticker symbol",TRUE)</f>
        <v>AET</v>
      </c>
      <c r="B5" s="15">
        <f ca="1">B107/100</f>
        <v>7.4209999999999996E-3</v>
      </c>
      <c r="C5" s="24" t="e" vm="3">
        <v>#VALUE!</v>
      </c>
      <c r="D5" s="104" t="str" cm="1">
        <f t="array" aca="1" ref="D5" ca="1">_FV(RTData[[#This Row],[Company Name]],"Currency")</f>
        <v>GBp</v>
      </c>
      <c r="E5" s="17" cm="1">
        <f t="array" aca="1" ref="E5" ca="1">_FV(RTData[[#This Row],[Company Name]],"Last trade time",TRUE)</f>
        <v>46022.506632661716</v>
      </c>
      <c r="F5" s="106" cm="1">
        <f t="array" aca="1" ref="F5" ca="1">_FV(RTData[[#This Row],[Company Name]],"Previous close",TRUE)</f>
        <v>39.4</v>
      </c>
      <c r="G5" s="106" cm="1">
        <f t="array" aca="1" ref="G5" ca="1">IFERROR(_FV(RTData[[#This Row],[Company Name]],"Open"),RTData[[#This Row],[Close]])</f>
        <v>39</v>
      </c>
      <c r="H5" s="106" cm="1">
        <f t="array" aca="1" ref="H5" ca="1">_FV(RTData[[#This Row],[Company Name]],"Price")</f>
        <v>41.4</v>
      </c>
      <c r="I5" s="106" cm="1">
        <f t="array" aca="1" ref="I5" ca="1">IFERROR(_FV(RTData[[#This Row],[Company Name]],"Low"),0)</f>
        <v>39</v>
      </c>
      <c r="J5" s="106" cm="1">
        <f t="array" aca="1" ref="J5" ca="1">IFERROR(_FV(RTData[[#This Row],[Company Name]],"High"),0)</f>
        <v>41.4</v>
      </c>
      <c r="K5" s="19" cm="1">
        <f t="array" aca="1" ref="K5" ca="1">IFERROR(_FV(RTData[[#This Row],[Company Name]],"P/E",TRUE),99)</f>
        <v>3.5535999999999999</v>
      </c>
      <c r="L5" s="20" cm="1">
        <f t="array" aca="1" ref="L5" ca="1">_FV(RTData[[#This Row],[Company Name]],"Change")</f>
        <v>2</v>
      </c>
      <c r="M5" s="21" cm="1">
        <f t="array" aca="1" ref="M5" ca="1">_FV(RTData[[#This Row],[Company Name]],"Change (%)",TRUE)</f>
        <v>5.0761000000000001E-2</v>
      </c>
      <c r="N5" s="106" cm="1">
        <f t="array" aca="1" ref="N5" ca="1">_FV(RTData[[#This Row],[Company Name]],"52 week low",TRUE)</f>
        <v>33.064999999999998</v>
      </c>
      <c r="O5" s="106" cm="1">
        <f t="array" aca="1" ref="O5" ca="1">_FV(RTData[[#This Row],[Company Name]],"52 week high",TRUE)</f>
        <v>56.2</v>
      </c>
      <c r="P5" s="22" cm="1">
        <f t="array" aca="1" ref="P5" ca="1">_FV(RTData[[#This Row],[Company Name]],"Volume")</f>
        <v>1675886</v>
      </c>
      <c r="Q5" s="22" cm="1">
        <f t="array" aca="1" ref="Q5" ca="1">_FV(RTData[[#This Row],[Company Name]],"Volume average",TRUE)</f>
        <v>403650</v>
      </c>
      <c r="R5" s="106" cm="1">
        <f t="array" aca="1" ref="R5" ca="1">_FV(RTData[[#This Row],[Company Name]],"Beta")</f>
        <v>1.8751</v>
      </c>
      <c r="T5" t="s">
        <v>19</v>
      </c>
      <c r="U5" t="str" cm="1">
        <f t="array" aca="1" ref="U5" ca="1">_FV(RTData[[#This Row],[Company Name]],"Exchange abbreviation",TRUE)</f>
        <v>XLON</v>
      </c>
      <c r="V5" s="23">
        <f ca="1">IFERROR(RTData[[#This Row],[Volume]]/RTData[[#This Row],[Volume average]],1)</f>
        <v>4.1518295553078159</v>
      </c>
      <c r="W5" s="23"/>
      <c r="X5" s="96">
        <f ca="1">_xlfn.XLOOKUP(RTData[[#This Row],[Ticker_Symbol]],TickerList!$G4:$G98,TickerList!L4:L98)</f>
        <v>95.26</v>
      </c>
      <c r="Y5" s="89">
        <f ca="1">_xlfn.XLOOKUP(RTData[[#This Row],[Ticker_Symbol]],TickerList!$G4:$G98,TickerList!M4:M98)</f>
        <v>0</v>
      </c>
      <c r="Z5" s="89">
        <f ca="1">_xlfn.XLOOKUP(RTData[[#This Row],[Ticker_Symbol]],TickerList!$G4:$G98,TickerList!N4:N98)</f>
        <v>0</v>
      </c>
      <c r="AA5" s="90">
        <f ca="1">_xlfn.XLOOKUP(RTData[[#This Row],[Ticker_Symbol]],TickerList!$G4:$G98,TickerList!O4:O98)</f>
        <v>0</v>
      </c>
      <c r="AB5" s="91"/>
      <c r="AC5" s="92">
        <f t="shared" si="0"/>
        <v>3.0000000000000001E-3</v>
      </c>
      <c r="AD5" s="78" t="s">
        <v>53</v>
      </c>
      <c r="AE5" s="93">
        <f ca="1">_xlfn.LET(_xlpm.New1YT,RTData[[#This Row],[1YT]],        _xlpm.Old1YT,IF(ISNUMBER(RTData[[#This Row],[Old1YT]]),RTData[[#This Row],[Old1YT]],VALUE(LEFT(RTData[[#This Row],[Old1YT]],FIND("/",RTData[[#This Row],[Old1YT]],1)-1))),       IF(OR(RTData[[#This Row],[1YT]]=0,_xlpm.Old1YT=0),0,(_xlpm.New1YT-_xlpm.Old1YT)/_xlpm.Old1YT))</f>
        <v>3.5885167464114957E-2</v>
      </c>
      <c r="AF5" s="93" t="str">
        <f ca="1">TEXT(RTData[[#This Row],[1YT]],"#,#0.00")&amp;" &lt; "&amp;RTData[[#This Row],[Old1YT]]</f>
        <v>95.26 &lt; 91.96/86.78</v>
      </c>
    </row>
    <row r="6" spans="1:32" x14ac:dyDescent="0.3">
      <c r="A6" s="15" t="str" cm="1">
        <f t="array" aca="1" ref="A6" ca="1">_xlfn.SINGLE(RTData[suffix])&amp;_FV(RTData[[#This Row],[Company Name]],"Ticker symbol",TRUE)</f>
        <v>AMZN</v>
      </c>
      <c r="B6" s="15">
        <f ca="1">D$100</f>
        <v>0.85142613878246054</v>
      </c>
      <c r="C6" t="e" vm="4">
        <v>#VALUE!</v>
      </c>
      <c r="D6" s="104" t="str" cm="1">
        <f t="array" aca="1" ref="D6" ca="1">_FV(RTData[[#This Row],[Company Name]],"Currency")</f>
        <v>USD</v>
      </c>
      <c r="E6" s="17" cm="1">
        <f t="array" aca="1" ref="E6" ca="1">_FV(RTData[[#This Row],[Company Name]],"Last trade time",TRUE)</f>
        <v>46022.930968842185</v>
      </c>
      <c r="F6" s="106" cm="1">
        <f t="array" aca="1" ref="F6" ca="1">_FV(RTData[[#This Row],[Company Name]],"Previous close",TRUE)</f>
        <v>232.53</v>
      </c>
      <c r="G6" s="106" cm="1">
        <f t="array" aca="1" ref="G6" ca="1">IFERROR(_FV(RTData[[#This Row],[Company Name]],"Open"),RTData[[#This Row],[Close]])</f>
        <v>232.905</v>
      </c>
      <c r="H6" s="106" cm="1">
        <f t="array" aca="1" ref="H6" ca="1">_FV(RTData[[#This Row],[Company Name]],"Price")</f>
        <v>230.82</v>
      </c>
      <c r="I6" s="106" cm="1">
        <f t="array" aca="1" ref="I6" ca="1">IFERROR(_FV(RTData[[#This Row],[Company Name]],"Low"),0)</f>
        <v>230.12</v>
      </c>
      <c r="J6" s="106" cm="1">
        <f t="array" aca="1" ref="J6" ca="1">IFERROR(_FV(RTData[[#This Row],[Company Name]],"High"),0)</f>
        <v>232.99</v>
      </c>
      <c r="K6" s="19" cm="1">
        <f t="array" aca="1" ref="K6" ca="1">IFERROR(_FV(RTData[[#This Row],[Company Name]],"P/E",TRUE),99)</f>
        <v>32.606299999999997</v>
      </c>
      <c r="L6" s="20" cm="1">
        <f t="array" aca="1" ref="L6" ca="1">_FV(RTData[[#This Row],[Company Name]],"Change")</f>
        <v>-1.71</v>
      </c>
      <c r="M6" s="21" cm="1">
        <f t="array" aca="1" ref="M6" ca="1">_FV(RTData[[#This Row],[Company Name]],"Change (%)",TRUE)</f>
        <v>-7.3540000000000003E-3</v>
      </c>
      <c r="N6" s="106" cm="1">
        <f t="array" aca="1" ref="N6" ca="1">_FV(RTData[[#This Row],[Company Name]],"52 week low",TRUE)</f>
        <v>161.38</v>
      </c>
      <c r="O6" s="106" cm="1">
        <f t="array" aca="1" ref="O6" ca="1">_FV(RTData[[#This Row],[Company Name]],"52 week high",TRUE)</f>
        <v>258.60000000000002</v>
      </c>
      <c r="P6" s="22" cm="1">
        <f t="array" aca="1" ref="P6" ca="1">_FV(RTData[[#This Row],[Company Name]],"Volume")</f>
        <v>23866822</v>
      </c>
      <c r="Q6" s="22" cm="1">
        <f t="array" aca="1" ref="Q6" ca="1">_FV(RTData[[#This Row],[Company Name]],"Volume average",TRUE)</f>
        <v>36642587</v>
      </c>
      <c r="R6" s="106" cm="1">
        <f t="array" aca="1" ref="R6" ca="1">_FV(RTData[[#This Row],[Company Name]],"Beta")</f>
        <v>1.3754</v>
      </c>
      <c r="T6" t="s">
        <v>19</v>
      </c>
      <c r="U6" t="str" cm="1">
        <f t="array" aca="1" ref="U6" ca="1">_FV(RTData[[#This Row],[Company Name]],"Exchange abbreviation",TRUE)</f>
        <v>XNAS</v>
      </c>
      <c r="V6" s="23">
        <f ca="1">IFERROR(RTData[[#This Row],[Volume]]/RTData[[#This Row],[Volume average]],1)</f>
        <v>0.65134107479911285</v>
      </c>
      <c r="W6" s="23"/>
      <c r="X6" s="96">
        <f ca="1">_xlfn.XLOOKUP(RTData[[#This Row],[Ticker_Symbol]],TickerList!$G5:$G99,TickerList!L5:L99)</f>
        <v>295.59784000000002</v>
      </c>
      <c r="Y6" s="89">
        <f ca="1">_xlfn.XLOOKUP(RTData[[#This Row],[Ticker_Symbol]],TickerList!$G5:$G99,TickerList!M5:M99)</f>
        <v>0</v>
      </c>
      <c r="Z6" s="89">
        <f ca="1">_xlfn.XLOOKUP(RTData[[#This Row],[Ticker_Symbol]],TickerList!$G5:$G99,TickerList!N5:N99)</f>
        <v>0</v>
      </c>
      <c r="AA6" s="90">
        <f ca="1">_xlfn.XLOOKUP(RTData[[#This Row],[Ticker_Symbol]],TickerList!$G5:$G99,TickerList!O5:O99)</f>
        <v>0</v>
      </c>
      <c r="AB6" s="91">
        <v>1E-4</v>
      </c>
      <c r="AC6" s="92">
        <f t="shared" si="0"/>
        <v>3.0000000000000001E-3</v>
      </c>
      <c r="AD6" s="78" t="s">
        <v>45</v>
      </c>
      <c r="AE6" s="93">
        <f ca="1">_xlfn.LET(_xlpm.New1YT,RTData[[#This Row],[1YT]],        _xlpm.Old1YT,IF(ISNUMBER(RTData[[#This Row],[Old1YT]]),RTData[[#This Row],[Old1YT]],VALUE(LEFT(RTData[[#This Row],[Old1YT]],FIND("/",RTData[[#This Row],[Old1YT]],1)-1))),       IF(OR(RTData[[#This Row],[1YT]]=0,_xlpm.Old1YT=0),0,(_xlpm.New1YT-_xlpm.Old1YT)/_xlpm.Old1YT))</f>
        <v>0.23701807833947108</v>
      </c>
      <c r="AF6" s="93" t="str">
        <f ca="1">TEXT(RTData[[#This Row],[1YT]],"#,#0.00")&amp;" &lt; "&amp;RTData[[#This Row],[Old1YT]]</f>
        <v>295.60 &lt; 238.96/218.19</v>
      </c>
    </row>
    <row r="7" spans="1:32" x14ac:dyDescent="0.3">
      <c r="A7" s="25" t="str" cm="1">
        <f t="array" aca="1" ref="A7" ca="1">_xlfn.SINGLE(RTData[suffix])&amp;_FV(RTData[[#This Row],[Company Name]],"Ticker symbol",TRUE)</f>
        <v>ALDNE</v>
      </c>
      <c r="B7" s="25">
        <v>1</v>
      </c>
      <c r="C7" t="e" vm="5">
        <v>#VALUE!</v>
      </c>
      <c r="D7" s="104" t="str" cm="1">
        <f t="array" aca="1" ref="D7" ca="1">_FV(RTData[[#This Row],[Company Name]],"Currency")</f>
        <v>EUR</v>
      </c>
      <c r="E7" s="17" cm="1">
        <f t="array" aca="1" ref="E7" ca="1">_FV(RTData[[#This Row],[Company Name]],"Last trade time",TRUE)</f>
        <v>46022.708333333336</v>
      </c>
      <c r="F7" s="106" cm="1">
        <f t="array" aca="1" ref="F7" ca="1">_FV(RTData[[#This Row],[Company Name]],"Previous close",TRUE)</f>
        <v>0.63200000000000001</v>
      </c>
      <c r="G7" s="106" cm="1">
        <f t="array" aca="1" ref="G7" ca="1">IFERROR(_FV(RTData[[#This Row],[Company Name]],"Open"),RTData[[#This Row],[Close]])</f>
        <v>0.63400000000000001</v>
      </c>
      <c r="H7" s="106" cm="1">
        <f t="array" aca="1" ref="H7" ca="1">_FV(RTData[[#This Row],[Company Name]],"Price")</f>
        <v>0.64800000000000002</v>
      </c>
      <c r="I7" s="106" cm="1">
        <f t="array" aca="1" ref="I7" ca="1">IFERROR(_FV(RTData[[#This Row],[Company Name]],"Low"),0)</f>
        <v>0.63400000000000001</v>
      </c>
      <c r="J7" s="106" cm="1">
        <f t="array" aca="1" ref="J7" ca="1">IFERROR(_FV(RTData[[#This Row],[Company Name]],"High"),0)</f>
        <v>0.64800000000000002</v>
      </c>
      <c r="K7" s="19" cm="1">
        <f t="array" aca="1" ref="K7" ca="1">IFERROR(_FV(RTData[[#This Row],[Company Name]],"P/E",TRUE),99)</f>
        <v>0</v>
      </c>
      <c r="L7" s="20" cm="1">
        <f t="array" aca="1" ref="L7" ca="1">_FV(RTData[[#This Row],[Company Name]],"Change")</f>
        <v>1.6E-2</v>
      </c>
      <c r="M7" s="21" cm="1">
        <f t="array" aca="1" ref="M7" ca="1">_FV(RTData[[#This Row],[Company Name]],"Change (%)",TRUE)</f>
        <v>2.5316000000000002E-2</v>
      </c>
      <c r="N7" s="106" cm="1">
        <f t="array" aca="1" ref="N7" ca="1">_FV(RTData[[#This Row],[Company Name]],"52 week low",TRUE)</f>
        <v>0.55000000000000004</v>
      </c>
      <c r="O7" s="106" cm="1">
        <f t="array" aca="1" ref="O7" ca="1">_FV(RTData[[#This Row],[Company Name]],"52 week high",TRUE)</f>
        <v>1.53</v>
      </c>
      <c r="P7" s="22" cm="1">
        <f t="array" aca="1" ref="P7" ca="1">_FV(RTData[[#This Row],[Company Name]],"Volume")</f>
        <v>1001</v>
      </c>
      <c r="Q7" s="22" cm="1">
        <f t="array" aca="1" ref="Q7" ca="1">_FV(RTData[[#This Row],[Company Name]],"Volume average",TRUE)</f>
        <v>11980</v>
      </c>
      <c r="R7" s="106" cm="1">
        <f t="array" aca="1" ref="R7" ca="1">_FV(RTData[[#This Row],[Company Name]],"Beta")</f>
        <v>0.96840000000000004</v>
      </c>
      <c r="T7" t="s">
        <v>19</v>
      </c>
      <c r="U7" t="str" cm="1">
        <f t="array" aca="1" ref="U7" ca="1">_FV(RTData[[#This Row],[Company Name]],"Exchange abbreviation",TRUE)</f>
        <v>XPAR</v>
      </c>
      <c r="V7" s="23">
        <f ca="1">IFERROR(RTData[[#This Row],[Volume]]/RTData[[#This Row],[Volume average]],1)</f>
        <v>8.3555926544240405E-2</v>
      </c>
      <c r="W7" s="23"/>
      <c r="X7" s="96">
        <f ca="1">_xlfn.XLOOKUP(RTData[[#This Row],[Ticker_Symbol]],TickerList!$G6:$G100,TickerList!L6:L100)</f>
        <v>1.56667</v>
      </c>
      <c r="Y7" s="89">
        <f ca="1">_xlfn.XLOOKUP(RTData[[#This Row],[Ticker_Symbol]],TickerList!$G6:$G100,TickerList!M6:M100)</f>
        <v>0</v>
      </c>
      <c r="Z7" s="89">
        <f ca="1">_xlfn.XLOOKUP(RTData[[#This Row],[Ticker_Symbol]],TickerList!$G6:$G100,TickerList!N6:N100)</f>
        <v>0</v>
      </c>
      <c r="AA7" s="90">
        <f ca="1">_xlfn.XLOOKUP(RTData[[#This Row],[Ticker_Symbol]],TickerList!$G6:$G100,TickerList!O6:O100)</f>
        <v>0</v>
      </c>
      <c r="AB7" s="91"/>
      <c r="AC7" s="92">
        <f t="shared" si="0"/>
        <v>3.0000000000000001E-3</v>
      </c>
      <c r="AD7" s="78">
        <v>3.87</v>
      </c>
      <c r="AE7" s="93">
        <f ca="1">_xlfn.LET(_xlpm.New1YT,RTData[[#This Row],[1YT]],        _xlpm.Old1YT,IF(ISNUMBER(RTData[[#This Row],[Old1YT]]),RTData[[#This Row],[Old1YT]],VALUE(LEFT(RTData[[#This Row],[Old1YT]],FIND("/",RTData[[#This Row],[Old1YT]],1)-1))),       IF(OR(RTData[[#This Row],[1YT]]=0,_xlpm.Old1YT=0),0,(_xlpm.New1YT-_xlpm.Old1YT)/_xlpm.Old1YT))</f>
        <v>-0.59517571059431518</v>
      </c>
      <c r="AF7" s="93"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04" t="str" cm="1">
        <f t="array" aca="1" ref="D8" ca="1">_FV(RTData[[#This Row],[Company Name]],"Currency")</f>
        <v>EUR</v>
      </c>
      <c r="E8" s="17" cm="1">
        <f t="array" aca="1" ref="E8" ca="1">_FV(RTData[[#This Row],[Company Name]],"Last trade time",TRUE)</f>
        <v>46022.708333333336</v>
      </c>
      <c r="F8" s="106" cm="1">
        <f t="array" aca="1" ref="F8" ca="1">_FV(RTData[[#This Row],[Company Name]],"Previous close",TRUE)</f>
        <v>918.4</v>
      </c>
      <c r="G8" s="106" cm="1">
        <f t="array" aca="1" ref="G8" ca="1">IFERROR(_FV(RTData[[#This Row],[Company Name]],"Open"),RTData[[#This Row],[Close]])</f>
        <v>909.9</v>
      </c>
      <c r="H8" s="106" cm="1">
        <f t="array" aca="1" ref="H8" ca="1">_FV(RTData[[#This Row],[Company Name]],"Price")</f>
        <v>921.4</v>
      </c>
      <c r="I8" s="106" cm="1">
        <f t="array" aca="1" ref="I8" ca="1">IFERROR(_FV(RTData[[#This Row],[Company Name]],"Low"),0)</f>
        <v>909.1</v>
      </c>
      <c r="J8" s="106" cm="1">
        <f t="array" aca="1" ref="J8" ca="1">IFERROR(_FV(RTData[[#This Row],[Company Name]],"High"),0)</f>
        <v>921.4</v>
      </c>
      <c r="K8" s="19" cm="1">
        <f t="array" aca="1" ref="K8" ca="1">IFERROR(_FV(RTData[[#This Row],[Company Name]],"P/E",TRUE),99)</f>
        <v>35.378500000000003</v>
      </c>
      <c r="L8" s="20" cm="1">
        <f t="array" aca="1" ref="L8" ca="1">_FV(RTData[[#This Row],[Company Name]],"Change")</f>
        <v>3</v>
      </c>
      <c r="M8" s="21" cm="1">
        <f t="array" aca="1" ref="M8" ca="1">_FV(RTData[[#This Row],[Company Name]],"Change (%)",TRUE)</f>
        <v>3.2669999999999999E-3</v>
      </c>
      <c r="N8" s="106" cm="1">
        <f t="array" aca="1" ref="N8" ca="1">_FV(RTData[[#This Row],[Company Name]],"52 week low",TRUE)</f>
        <v>508.4</v>
      </c>
      <c r="O8" s="106" cm="1">
        <f t="array" aca="1" ref="O8" ca="1">_FV(RTData[[#This Row],[Company Name]],"52 week high",TRUE)</f>
        <v>977.1</v>
      </c>
      <c r="P8" s="22" cm="1">
        <f t="array" aca="1" ref="P8" ca="1">_FV(RTData[[#This Row],[Company Name]],"Volume")</f>
        <v>156048</v>
      </c>
      <c r="Q8" s="22" cm="1">
        <f t="array" aca="1" ref="Q8" ca="1">_FV(RTData[[#This Row],[Company Name]],"Volume average",TRUE)</f>
        <v>556440</v>
      </c>
      <c r="R8" s="106" cm="1">
        <f t="array" aca="1" ref="R8" ca="1">_FV(RTData[[#This Row],[Company Name]],"Beta")</f>
        <v>2.0910000000000002</v>
      </c>
      <c r="T8" t="s">
        <v>19</v>
      </c>
      <c r="U8" t="str" cm="1">
        <f t="array" aca="1" ref="U8" ca="1">_FV(RTData[[#This Row],[Company Name]],"Exchange abbreviation",TRUE)</f>
        <v>XAMS</v>
      </c>
      <c r="V8" s="23">
        <f ca="1">IFERROR(RTData[[#This Row],[Volume]]/RTData[[#This Row],[Volume average]],1)</f>
        <v>0.28043993961613112</v>
      </c>
      <c r="W8" s="23"/>
      <c r="X8" s="96">
        <f ca="1">_xlfn.XLOOKUP(RTData[[#This Row],[Ticker_Symbol]],TickerList!$G7:$G101,TickerList!L7:L101)</f>
        <v>1007.8667</v>
      </c>
      <c r="Y8" s="89">
        <f ca="1">_xlfn.XLOOKUP(RTData[[#This Row],[Ticker_Symbol]],TickerList!$G7:$G101,TickerList!M7:M101)</f>
        <v>45958</v>
      </c>
      <c r="Z8" s="89">
        <f ca="1">_xlfn.XLOOKUP(RTData[[#This Row],[Ticker_Symbol]],TickerList!$G7:$G101,TickerList!N7:N101)</f>
        <v>0</v>
      </c>
      <c r="AA8" s="90">
        <f ca="1">_xlfn.XLOOKUP(RTData[[#This Row],[Ticker_Symbol]],TickerList!$G7:$G101,TickerList!O7:O101)</f>
        <v>7.0999996000000003E-3</v>
      </c>
      <c r="AB8" s="91"/>
      <c r="AC8" s="92">
        <f t="shared" si="0"/>
        <v>3.0000000000000001E-3</v>
      </c>
      <c r="AD8" s="78">
        <v>847.58</v>
      </c>
      <c r="AE8" s="93">
        <f ca="1">_xlfn.LET(_xlpm.New1YT,RTData[[#This Row],[1YT]],        _xlpm.Old1YT,IF(ISNUMBER(RTData[[#This Row],[Old1YT]]),RTData[[#This Row],[Old1YT]],VALUE(LEFT(RTData[[#This Row],[Old1YT]],FIND("/",RTData[[#This Row],[Old1YT]],1)-1))),       IF(OR(RTData[[#This Row],[1YT]]=0,_xlpm.Old1YT=0),0,(_xlpm.New1YT-_xlpm.Old1YT)/_xlpm.Old1YT))</f>
        <v>0.18911099837183509</v>
      </c>
      <c r="AF8" s="93" t="str">
        <f ca="1">TEXT(RTData[[#This Row],[1YT]],"#,#0.00")&amp;" &lt; "&amp;RTData[[#This Row],[Old1YT]]</f>
        <v>1,007.87 &lt; 847.58</v>
      </c>
    </row>
    <row r="9" spans="1:32" s="30" customFormat="1" x14ac:dyDescent="0.3">
      <c r="A9" s="32" t="str" cm="1">
        <f t="array" aca="1" ref="A9" ca="1">_xlfn.SINGLE(RTData[suffix])&amp;_FV(RTData[[#This Row],[Company Name]],"Ticker symbol",TRUE)</f>
        <v>AVGO</v>
      </c>
      <c r="B9" s="15">
        <f ca="1">D$100</f>
        <v>0.85142613878246054</v>
      </c>
      <c r="C9" t="e" vm="7">
        <v>#VALUE!</v>
      </c>
      <c r="D9" s="104" t="str" cm="1">
        <f t="array" aca="1" ref="D9" ca="1">_FV(RTData[[#This Row],[Company Name]],"Currency")</f>
        <v>USD</v>
      </c>
      <c r="E9" s="17" cm="1">
        <f t="array" aca="1" ref="E9" ca="1">_FV(RTData[[#This Row],[Company Name]],"Last trade time",TRUE)</f>
        <v>46022.930998113283</v>
      </c>
      <c r="F9" s="106" cm="1">
        <f t="array" aca="1" ref="F9" ca="1">_FV(RTData[[#This Row],[Company Name]],"Previous close",TRUE)</f>
        <v>349.85</v>
      </c>
      <c r="G9" s="106" cm="1">
        <f t="array" aca="1" ref="G9" ca="1">IFERROR(_FV(RTData[[#This Row],[Company Name]],"Open"),RTData[[#This Row],[Close]])</f>
        <v>349.73</v>
      </c>
      <c r="H9" s="106" cm="1">
        <f t="array" aca="1" ref="H9" ca="1">_FV(RTData[[#This Row],[Company Name]],"Price")</f>
        <v>346.1</v>
      </c>
      <c r="I9" s="106" cm="1">
        <f t="array" aca="1" ref="I9" ca="1">IFERROR(_FV(RTData[[#This Row],[Company Name]],"Low"),0)</f>
        <v>345.42</v>
      </c>
      <c r="J9" s="106" cm="1">
        <f t="array" aca="1" ref="J9" ca="1">IFERROR(_FV(RTData[[#This Row],[Company Name]],"High"),0)</f>
        <v>349.88</v>
      </c>
      <c r="K9" s="19" cm="1">
        <f t="array" aca="1" ref="K9" ca="1">IFERROR(_FV(RTData[[#This Row],[Company Name]],"P/E",TRUE),99)</f>
        <v>72.557699999999997</v>
      </c>
      <c r="L9" s="20" cm="1">
        <f t="array" aca="1" ref="L9" ca="1">_FV(RTData[[#This Row],[Company Name]],"Change")</f>
        <v>-3.75</v>
      </c>
      <c r="M9" s="21" cm="1">
        <f t="array" aca="1" ref="M9" ca="1">_FV(RTData[[#This Row],[Company Name]],"Change (%)",TRUE)</f>
        <v>-1.0719000000000001E-2</v>
      </c>
      <c r="N9" s="106" cm="1">
        <f t="array" aca="1" ref="N9" ca="1">_FV(RTData[[#This Row],[Company Name]],"52 week low",TRUE)</f>
        <v>138.1</v>
      </c>
      <c r="O9" s="106" cm="1">
        <f t="array" aca="1" ref="O9" ca="1">_FV(RTData[[#This Row],[Company Name]],"52 week high",TRUE)</f>
        <v>414.61</v>
      </c>
      <c r="P9" s="22" cm="1">
        <f t="array" aca="1" ref="P9" ca="1">_FV(RTData[[#This Row],[Company Name]],"Volume")</f>
        <v>15276060</v>
      </c>
      <c r="Q9" s="22" cm="1">
        <f t="array" aca="1" ref="Q9" ca="1">_FV(RTData[[#This Row],[Company Name]],"Volume average",TRUE)</f>
        <v>39634651</v>
      </c>
      <c r="R9" s="106" cm="1">
        <f t="array" aca="1" ref="R9" ca="1">_FV(RTData[[#This Row],[Company Name]],"Beta")</f>
        <v>1.2070000000000001</v>
      </c>
      <c r="S9"/>
      <c r="T9"/>
      <c r="U9" t="str" cm="1">
        <f t="array" aca="1" ref="U9" ca="1">_FV(RTData[[#This Row],[Company Name]],"Exchange abbreviation",TRUE)</f>
        <v>XNAS</v>
      </c>
      <c r="V9" s="95">
        <f ca="1">IFERROR(RTData[[#This Row],[Volume]]/RTData[[#This Row],[Volume average]],1)</f>
        <v>0.38542183706878103</v>
      </c>
      <c r="W9" s="95"/>
      <c r="X9" s="96">
        <f ca="1">_xlfn.XLOOKUP(RTData[[#This Row],[Ticker_Symbol]],TickerList!$G8:$G102,TickerList!L8:L102)</f>
        <v>456.80200000000002</v>
      </c>
      <c r="Y9" s="89">
        <f ca="1">_xlfn.XLOOKUP(RTData[[#This Row],[Ticker_Symbol]],TickerList!$G8:$G102,TickerList!M8:M102)</f>
        <v>46013</v>
      </c>
      <c r="Z9" s="89">
        <f ca="1">_xlfn.XLOOKUP(RTData[[#This Row],[Ticker_Symbol]],TickerList!$G8:$G102,TickerList!N8:N102)</f>
        <v>0</v>
      </c>
      <c r="AA9" s="90">
        <f ca="1">_xlfn.XLOOKUP(RTData[[#This Row],[Ticker_Symbol]],TickerList!$G8:$G102,TickerList!O8:O102)</f>
        <v>7.4000000000000003E-3</v>
      </c>
      <c r="AB9" s="91"/>
      <c r="AC9" s="92">
        <f t="shared" si="0"/>
        <v>3.0000000000000001E-3</v>
      </c>
      <c r="AD9" s="78">
        <v>848.58</v>
      </c>
      <c r="AE9" s="93">
        <f ca="1">_xlfn.LET(_xlpm.New1YT,RTData[[#This Row],[1YT]],        _xlpm.Old1YT,IF(ISNUMBER(RTData[[#This Row],[Old1YT]]),RTData[[#This Row],[Old1YT]],VALUE(LEFT(RTData[[#This Row],[Old1YT]],FIND("/",RTData[[#This Row],[Old1YT]],1)-1))),       IF(OR(RTData[[#This Row],[1YT]]=0,_xlpm.Old1YT=0),0,(_xlpm.New1YT-_xlpm.Old1YT)/_xlpm.Old1YT))</f>
        <v>-0.46168658229041459</v>
      </c>
      <c r="AF9" s="93" t="str">
        <f ca="1">TEXT(RTData[[#This Row],[1YT]],"#,#0.00")&amp;" &lt; "&amp;RTData[[#This Row],[Old1YT]]</f>
        <v>456.80 &lt; 848.58</v>
      </c>
    </row>
    <row r="10" spans="1:32" x14ac:dyDescent="0.3">
      <c r="A10" s="32" t="str" cm="1">
        <f t="array" aca="1" ref="A10" ca="1">_xlfn.SINGLE(RTData[suffix])&amp;_FV(RTData[[#This Row],[Company Name]],"Ticker symbol",TRUE)</f>
        <v>AZN</v>
      </c>
      <c r="B10" s="15">
        <f t="shared" ref="B10:B17" ca="1" si="1">D$100</f>
        <v>0.85142613878246054</v>
      </c>
      <c r="C10" t="e" vm="8">
        <v>#VALUE!</v>
      </c>
      <c r="D10" s="104" t="str" cm="1">
        <f t="array" aca="1" ref="D10" ca="1">_FV(RTData[[#This Row],[Company Name]],"Currency")</f>
        <v>USD</v>
      </c>
      <c r="E10" s="17" cm="1">
        <f t="array" aca="1" ref="E10" ca="1">_FV(RTData[[#This Row],[Company Name]],"Last trade time",TRUE)</f>
        <v>46022.923173645315</v>
      </c>
      <c r="F10" s="106" cm="1">
        <f t="array" aca="1" ref="F10" ca="1">_FV(RTData[[#This Row],[Company Name]],"Previous close",TRUE)</f>
        <v>92.51</v>
      </c>
      <c r="G10" s="106" cm="1">
        <f t="array" aca="1" ref="G10" ca="1">IFERROR(_FV(RTData[[#This Row],[Company Name]],"Open"),RTData[[#This Row],[Close]])</f>
        <v>92.25</v>
      </c>
      <c r="H10" s="106" cm="1">
        <f t="array" aca="1" ref="H10" ca="1">_FV(RTData[[#This Row],[Company Name]],"Price")</f>
        <v>91.93</v>
      </c>
      <c r="I10" s="106" cm="1">
        <f t="array" aca="1" ref="I10" ca="1">IFERROR(_FV(RTData[[#This Row],[Company Name]],"Low"),0)</f>
        <v>91.92</v>
      </c>
      <c r="J10" s="106" cm="1">
        <f t="array" aca="1" ref="J10" ca="1">IFERROR(_FV(RTData[[#This Row],[Company Name]],"High"),0)</f>
        <v>92.48</v>
      </c>
      <c r="K10" s="19" cm="1">
        <f t="array" aca="1" ref="K10" ca="1">IFERROR(_FV(RTData[[#This Row],[Company Name]],"P/E",TRUE),99)</f>
        <v>30.541499999999999</v>
      </c>
      <c r="L10" s="20" cm="1">
        <f t="array" aca="1" ref="L10" ca="1">_FV(RTData[[#This Row],[Company Name]],"Change")</f>
        <v>-0.57999999999999996</v>
      </c>
      <c r="M10" s="21" cm="1">
        <f t="array" aca="1" ref="M10" ca="1">_FV(RTData[[#This Row],[Company Name]],"Change (%)",TRUE)</f>
        <v>-6.2700000000000004E-3</v>
      </c>
      <c r="N10" s="106" cm="1">
        <f t="array" aca="1" ref="N10" ca="1">_FV(RTData[[#This Row],[Company Name]],"52 week low",TRUE)</f>
        <v>61.24</v>
      </c>
      <c r="O10" s="106" cm="1">
        <f t="array" aca="1" ref="O10" ca="1">_FV(RTData[[#This Row],[Company Name]],"52 week high",TRUE)</f>
        <v>94.015000000000001</v>
      </c>
      <c r="P10" s="22" cm="1">
        <f t="array" aca="1" ref="P10" ca="1">_FV(RTData[[#This Row],[Company Name]],"Volume")</f>
        <v>2049693</v>
      </c>
      <c r="Q10" s="22" cm="1">
        <f t="array" aca="1" ref="Q10" ca="1">_FV(RTData[[#This Row],[Company Name]],"Volume average",TRUE)</f>
        <v>5108858</v>
      </c>
      <c r="R10" s="106" cm="1">
        <f t="array" aca="1" ref="R10" ca="1">_FV(RTData[[#This Row],[Company Name]],"Beta")</f>
        <v>0.34399999999999997</v>
      </c>
      <c r="U10" t="str" cm="1">
        <f t="array" aca="1" ref="U10" ca="1">_FV(RTData[[#This Row],[Company Name]],"Exchange abbreviation",TRUE)</f>
        <v>XNAS</v>
      </c>
      <c r="V10" s="95">
        <f ca="1">IFERROR(RTData[[#This Row],[Volume]]/RTData[[#This Row],[Volume average]],1)</f>
        <v>0.40120375238458378</v>
      </c>
      <c r="W10" s="95"/>
      <c r="X10" s="96">
        <f ca="1">_xlfn.XLOOKUP(RTData[[#This Row],[Ticker_Symbol]],TickerList!$G9:$G103,TickerList!L9:L103)</f>
        <v>98.955449999999999</v>
      </c>
      <c r="Y10" s="89">
        <f ca="1">_xlfn.XLOOKUP(RTData[[#This Row],[Ticker_Symbol]],TickerList!$G9:$G103,TickerList!M9:M103)</f>
        <v>45877</v>
      </c>
      <c r="Z10" s="89">
        <f ca="1">_xlfn.XLOOKUP(RTData[[#This Row],[Ticker_Symbol]],TickerList!$G9:$G103,TickerList!N9:N103)</f>
        <v>0</v>
      </c>
      <c r="AA10" s="90">
        <f ca="1">_xlfn.XLOOKUP(RTData[[#This Row],[Ticker_Symbol]],TickerList!$G9:$G103,TickerList!O9:O103)</f>
        <v>1.6900001000000001E-2</v>
      </c>
      <c r="AB10" s="91"/>
      <c r="AC10" s="92">
        <f t="shared" si="0"/>
        <v>3.0000000000000001E-3</v>
      </c>
      <c r="AD10" s="78">
        <v>849.58</v>
      </c>
      <c r="AE10" s="93">
        <f ca="1">_xlfn.LET(_xlpm.New1YT,RTData[[#This Row],[1YT]],        _xlpm.Old1YT,IF(ISNUMBER(RTData[[#This Row],[Old1YT]]),RTData[[#This Row],[Old1YT]],VALUE(LEFT(RTData[[#This Row],[Old1YT]],FIND("/",RTData[[#This Row],[Old1YT]],1)-1))),       IF(OR(RTData[[#This Row],[1YT]]=0,_xlpm.Old1YT=0),0,(_xlpm.New1YT-_xlpm.Old1YT)/_xlpm.Old1YT))</f>
        <v>-0.88352427081616791</v>
      </c>
      <c r="AF10" s="93" t="str">
        <f ca="1">TEXT(RTData[[#This Row],[1YT]],"#,#0.00")&amp;" &lt; "&amp;RTData[[#This Row],[Old1YT]]</f>
        <v>98.96 &lt; 849.58</v>
      </c>
    </row>
    <row r="11" spans="1:32" x14ac:dyDescent="0.3">
      <c r="A11" s="15" t="str" cm="1">
        <f t="array" aca="1" ref="A11" ca="1">_xlfn.SINGLE(RTData[suffix])&amp;_FV(RTData[[#This Row],[Company Name]],"Ticker symbol",TRUE)</f>
        <v>BLDP</v>
      </c>
      <c r="B11" s="15">
        <f t="shared" ca="1" si="1"/>
        <v>0.85142613878246054</v>
      </c>
      <c r="C11" t="e" vm="9">
        <v>#VALUE!</v>
      </c>
      <c r="D11" s="105" t="str" cm="1">
        <f t="array" aca="1" ref="D11" ca="1">_FV(RTData[[#This Row],[Company Name]],"Currency")</f>
        <v>USD</v>
      </c>
      <c r="E11" s="26" cm="1">
        <f t="array" aca="1" ref="E11" ca="1">_FV(RTData[[#This Row],[Company Name]],"Last trade time",TRUE)</f>
        <v>46022.926026573441</v>
      </c>
      <c r="F11" s="106" cm="1">
        <f t="array" aca="1" ref="F11" ca="1">_FV(RTData[[#This Row],[Company Name]],"Previous close",TRUE)</f>
        <v>2.54</v>
      </c>
      <c r="G11" s="106" cm="1">
        <f t="array" aca="1" ref="G11" ca="1">IFERROR(_FV(RTData[[#This Row],[Company Name]],"Open"),RTData[[#This Row],[Close]])</f>
        <v>2.5099999999999998</v>
      </c>
      <c r="H11" s="106" cm="1">
        <f t="array" aca="1" ref="H11" ca="1">_FV(RTData[[#This Row],[Company Name]],"Price")</f>
        <v>2.54</v>
      </c>
      <c r="I11" s="106" cm="1">
        <f t="array" aca="1" ref="I11" ca="1">IFERROR(_FV(RTData[[#This Row],[Company Name]],"Low"),0)</f>
        <v>2.5099999999999998</v>
      </c>
      <c r="J11" s="106" cm="1">
        <f t="array" aca="1" ref="J11" ca="1">IFERROR(_FV(RTData[[#This Row],[Company Name]],"High"),0)</f>
        <v>2.57</v>
      </c>
      <c r="K11" s="19" cm="1">
        <f t="array" aca="1" ref="K11" ca="1">IFERROR(_FV(RTData[[#This Row],[Company Name]],"P/E",TRUE),99)</f>
        <v>0</v>
      </c>
      <c r="L11" s="27" cm="1">
        <f t="array" aca="1" ref="L11" ca="1">_FV(RTData[[#This Row],[Company Name]],"Change")</f>
        <v>0</v>
      </c>
      <c r="M11" s="28" cm="1">
        <f t="array" aca="1" ref="M11" ca="1">_FV(RTData[[#This Row],[Company Name]],"Change (%)",TRUE)</f>
        <v>0</v>
      </c>
      <c r="N11" s="106" cm="1">
        <f t="array" aca="1" ref="N11" ca="1">_FV(RTData[[#This Row],[Company Name]],"52 week low",TRUE)</f>
        <v>1</v>
      </c>
      <c r="O11" s="106" cm="1">
        <f t="array" aca="1" ref="O11" ca="1">_FV(RTData[[#This Row],[Company Name]],"52 week high",TRUE)</f>
        <v>4.0999999999999996</v>
      </c>
      <c r="P11" s="29" cm="1">
        <f t="array" aca="1" ref="P11" ca="1">_FV(RTData[[#This Row],[Company Name]],"Volume")</f>
        <v>2396848</v>
      </c>
      <c r="Q11" s="29" cm="1">
        <f t="array" aca="1" ref="Q11" ca="1">_FV(RTData[[#This Row],[Company Name]],"Volume average",TRUE)</f>
        <v>3828625</v>
      </c>
      <c r="R11" s="106" cm="1">
        <f t="array" aca="1" ref="R11" ca="1">_FV(RTData[[#This Row],[Company Name]],"Beta")</f>
        <v>1.6089</v>
      </c>
      <c r="S11" s="30"/>
      <c r="T11" t="s">
        <v>19</v>
      </c>
      <c r="U11" s="30" t="str" cm="1">
        <f t="array" aca="1" ref="U11" ca="1">_FV(RTData[[#This Row],[Company Name]],"Exchange abbreviation",TRUE)</f>
        <v>XNAS</v>
      </c>
      <c r="V11" s="81">
        <f ca="1">IFERROR(RTData[[#This Row],[Volume]]/RTData[[#This Row],[Volume average]],1)</f>
        <v>0.62603362826079856</v>
      </c>
      <c r="W11" s="81"/>
      <c r="X11" s="96">
        <f ca="1">_xlfn.XLOOKUP(RTData[[#This Row],[Ticker_Symbol]],TickerList!$G10:$G104,TickerList!L10:L104)</f>
        <v>2.9874999999999998</v>
      </c>
      <c r="Y11" s="89">
        <f ca="1">_xlfn.XLOOKUP(RTData[[#This Row],[Ticker_Symbol]],TickerList!$G10:$G104,TickerList!M10:M104)</f>
        <v>0</v>
      </c>
      <c r="Z11" s="89">
        <f ca="1">_xlfn.XLOOKUP(RTData[[#This Row],[Ticker_Symbol]],TickerList!$G10:$G104,TickerList!N10:N104)</f>
        <v>0</v>
      </c>
      <c r="AA11" s="90">
        <f ca="1">_xlfn.XLOOKUP(RTData[[#This Row],[Ticker_Symbol]],TickerList!$G10:$G104,TickerList!O10:O104)</f>
        <v>0</v>
      </c>
      <c r="AB11" s="91">
        <v>1E-4</v>
      </c>
      <c r="AC11" s="92">
        <f t="shared" si="0"/>
        <v>3.0000000000000001E-3</v>
      </c>
      <c r="AD11" s="78">
        <v>90.46</v>
      </c>
      <c r="AE11" s="93">
        <f ca="1">_xlfn.LET(_xlpm.New1YT,RTData[[#This Row],[1YT]],        _xlpm.Old1YT,IF(ISNUMBER(RTData[[#This Row],[Old1YT]]),RTData[[#This Row],[Old1YT]],VALUE(LEFT(RTData[[#This Row],[Old1YT]],FIND("/",RTData[[#This Row],[Old1YT]],1)-1))),       IF(OR(RTData[[#This Row],[1YT]]=0,_xlpm.Old1YT=0),0,(_xlpm.New1YT-_xlpm.Old1YT)/_xlpm.Old1YT))</f>
        <v>-0.96697435330532833</v>
      </c>
      <c r="AF11" s="93" t="str">
        <f ca="1">TEXT(RTData[[#This Row],[1YT]],"#,#0.00")&amp;" &lt; "&amp;RTData[[#This Row],[Old1YT]]</f>
        <v>2.99 &lt; 90.46</v>
      </c>
    </row>
    <row r="12" spans="1:32" x14ac:dyDescent="0.3">
      <c r="A12" s="15" t="str" cm="1">
        <f t="array" aca="1" ref="A12" ca="1">_xlfn.SINGLE(RTData[suffix])&amp;_FV(RTData[[#This Row],[Company Name]],"Ticker symbol",TRUE)</f>
        <v>BMRA</v>
      </c>
      <c r="B12" s="15">
        <f t="shared" ca="1" si="1"/>
        <v>0.85142613878246054</v>
      </c>
      <c r="C12" t="e" vm="10">
        <v>#VALUE!</v>
      </c>
      <c r="D12" s="104" t="str" cm="1">
        <f t="array" aca="1" ref="D12" ca="1">_FV(RTData[[#This Row],[Company Name]],"Currency")</f>
        <v>USD</v>
      </c>
      <c r="E12" s="17" cm="1">
        <f t="array" aca="1" ref="E12" ca="1">_FV(RTData[[#This Row],[Company Name]],"Last trade time",TRUE)</f>
        <v>46022.881992106253</v>
      </c>
      <c r="F12" s="106" cm="1">
        <f t="array" aca="1" ref="F12" ca="1">_FV(RTData[[#This Row],[Company Name]],"Previous close",TRUE)</f>
        <v>2.4500000000000002</v>
      </c>
      <c r="G12" s="106" cm="1">
        <f t="array" aca="1" ref="G12" ca="1">IFERROR(_FV(RTData[[#This Row],[Company Name]],"Open"),RTData[[#This Row],[Close]])</f>
        <v>2.4500000000000002</v>
      </c>
      <c r="H12" s="106" cm="1">
        <f t="array" aca="1" ref="H12" ca="1">_FV(RTData[[#This Row],[Company Name]],"Price")</f>
        <v>2.52</v>
      </c>
      <c r="I12" s="106" cm="1">
        <f t="array" aca="1" ref="I12" ca="1">IFERROR(_FV(RTData[[#This Row],[Company Name]],"Low"),0)</f>
        <v>2.4005000000000001</v>
      </c>
      <c r="J12" s="106" cm="1">
        <f t="array" aca="1" ref="J12" ca="1">IFERROR(_FV(RTData[[#This Row],[Company Name]],"High"),0)</f>
        <v>2.58</v>
      </c>
      <c r="K12" s="19" cm="1">
        <f t="array" aca="1" ref="K12" ca="1">IFERROR(_FV(RTData[[#This Row],[Company Name]],"P/E",TRUE),99)</f>
        <v>0</v>
      </c>
      <c r="L12" s="20" cm="1">
        <f t="array" aca="1" ref="L12" ca="1">_FV(RTData[[#This Row],[Company Name]],"Change")</f>
        <v>7.0000000000000007E-2</v>
      </c>
      <c r="M12" s="21" cm="1">
        <f t="array" aca="1" ref="M12" ca="1">_FV(RTData[[#This Row],[Company Name]],"Change (%)",TRUE)</f>
        <v>2.8570999999999999E-2</v>
      </c>
      <c r="N12" s="106" cm="1">
        <f t="array" aca="1" ref="N12" ca="1">_FV(RTData[[#This Row],[Company Name]],"52 week low",TRUE)</f>
        <v>2.11</v>
      </c>
      <c r="O12" s="106" cm="1">
        <f t="array" aca="1" ref="O12" ca="1">_FV(RTData[[#This Row],[Company Name]],"52 week high",TRUE)</f>
        <v>10.16</v>
      </c>
      <c r="P12" s="22" cm="1">
        <f t="array" aca="1" ref="P12" ca="1">_FV(RTData[[#This Row],[Company Name]],"Volume")</f>
        <v>55751</v>
      </c>
      <c r="Q12" s="22" cm="1">
        <f t="array" aca="1" ref="Q12" ca="1">_FV(RTData[[#This Row],[Company Name]],"Volume average",TRUE)</f>
        <v>120157</v>
      </c>
      <c r="R12" s="106" cm="1">
        <f t="array" aca="1" ref="R12" ca="1">_FV(RTData[[#This Row],[Company Name]],"Beta")</f>
        <v>0.1145</v>
      </c>
      <c r="T12" t="s">
        <v>19</v>
      </c>
      <c r="U12" t="str" cm="1">
        <f t="array" aca="1" ref="U12" ca="1">_FV(RTData[[#This Row],[Company Name]],"Exchange abbreviation",TRUE)</f>
        <v>XNAS</v>
      </c>
      <c r="V12" s="23">
        <f ca="1">IFERROR(RTData[[#This Row],[Volume]]/RTData[[#This Row],[Volume average]],1)</f>
        <v>0.46398462012200703</v>
      </c>
      <c r="W12" s="23"/>
      <c r="X12" s="96">
        <f ca="1">_xlfn.XLOOKUP(RTData[[#This Row],[Ticker_Symbol]],TickerList!$G11:$G105,TickerList!L11:L105)</f>
        <v>0</v>
      </c>
      <c r="Y12" s="89">
        <f ca="1">_xlfn.XLOOKUP(RTData[[#This Row],[Ticker_Symbol]],TickerList!$G11:$G105,TickerList!M11:M105)</f>
        <v>0</v>
      </c>
      <c r="Z12" s="89">
        <f ca="1">_xlfn.XLOOKUP(RTData[[#This Row],[Ticker_Symbol]],TickerList!$G11:$G105,TickerList!N11:N105)</f>
        <v>0</v>
      </c>
      <c r="AA12" s="90">
        <f ca="1">_xlfn.XLOOKUP(RTData[[#This Row],[Ticker_Symbol]],TickerList!$G11:$G105,TickerList!O11:O105)</f>
        <v>0</v>
      </c>
      <c r="AB12" s="91">
        <v>1E-4</v>
      </c>
      <c r="AC12" s="92">
        <f t="shared" si="0"/>
        <v>3.0000000000000001E-3</v>
      </c>
      <c r="AD12" s="78">
        <v>2.73</v>
      </c>
      <c r="AE12" s="93">
        <f ca="1">_xlfn.LET(_xlpm.New1YT,RTData[[#This Row],[1YT]],        _xlpm.Old1YT,IF(ISNUMBER(RTData[[#This Row],[Old1YT]]),RTData[[#This Row],[Old1YT]],VALUE(LEFT(RTData[[#This Row],[Old1YT]],FIND("/",RTData[[#This Row],[Old1YT]],1)-1))),       IF(OR(RTData[[#This Row],[1YT]]=0,_xlpm.Old1YT=0),0,(_xlpm.New1YT-_xlpm.Old1YT)/_xlpm.Old1YT))</f>
        <v>0</v>
      </c>
      <c r="AF12" s="93" t="str">
        <f ca="1">TEXT(RTData[[#This Row],[1YT]],"#,#0.00")&amp;" &lt; "&amp;RTData[[#This Row],[Old1YT]]</f>
        <v>0.00 &lt; 2.73</v>
      </c>
    </row>
    <row r="13" spans="1:32" x14ac:dyDescent="0.3">
      <c r="A13" s="15" t="str" cm="1">
        <f t="array" aca="1" ref="A13" ca="1">_xlfn.SINGLE(RTData[suffix])&amp;_FV(RTData[[#This Row],[Company Name]],"Ticker symbol",TRUE)</f>
        <v>C</v>
      </c>
      <c r="B13" s="15">
        <f t="shared" ca="1" si="1"/>
        <v>0.85142613878246054</v>
      </c>
      <c r="C13" t="e" vm="11">
        <v>#VALUE!</v>
      </c>
      <c r="D13" s="104" t="str" cm="1">
        <f t="array" aca="1" ref="D13" ca="1">_FV(RTData[[#This Row],[Company Name]],"Currency")</f>
        <v>USD</v>
      </c>
      <c r="E13" s="17" cm="1">
        <f t="array" aca="1" ref="E13" ca="1">_FV(RTData[[#This Row],[Company Name]],"Last trade time",TRUE)</f>
        <v>46022.930980450779</v>
      </c>
      <c r="F13" s="106" cm="1">
        <f t="array" aca="1" ref="F13" ca="1">_FV(RTData[[#This Row],[Company Name]],"Previous close",TRUE)</f>
        <v>117.21</v>
      </c>
      <c r="G13" s="106" cm="1">
        <f t="array" aca="1" ref="G13" ca="1">IFERROR(_FV(RTData[[#This Row],[Company Name]],"Open"),RTData[[#This Row],[Close]])</f>
        <v>117.4</v>
      </c>
      <c r="H13" s="106" cm="1">
        <f t="array" aca="1" ref="H13" ca="1">_FV(RTData[[#This Row],[Company Name]],"Price")</f>
        <v>116.685</v>
      </c>
      <c r="I13" s="106" cm="1">
        <f t="array" aca="1" ref="I13" ca="1">IFERROR(_FV(RTData[[#This Row],[Company Name]],"Low"),0)</f>
        <v>116.37</v>
      </c>
      <c r="J13" s="106" cm="1">
        <f t="array" aca="1" ref="J13" ca="1">IFERROR(_FV(RTData[[#This Row],[Company Name]],"High"),0)</f>
        <v>117.62</v>
      </c>
      <c r="K13" s="19" cm="1">
        <f t="array" aca="1" ref="K13" ca="1">IFERROR(_FV(RTData[[#This Row],[Company Name]],"P/E",TRUE),99)</f>
        <v>16.403099999999998</v>
      </c>
      <c r="L13" s="20" cm="1">
        <f t="array" aca="1" ref="L13" ca="1">_FV(RTData[[#This Row],[Company Name]],"Change")</f>
        <v>-0.52500000000000002</v>
      </c>
      <c r="M13" s="21" cm="1">
        <f t="array" aca="1" ref="M13" ca="1">_FV(RTData[[#This Row],[Company Name]],"Change (%)",TRUE)</f>
        <v>-4.4790000000000003E-3</v>
      </c>
      <c r="N13" s="106" cm="1">
        <f t="array" aca="1" ref="N13" ca="1">_FV(RTData[[#This Row],[Company Name]],"52 week low",TRUE)</f>
        <v>55.51</v>
      </c>
      <c r="O13" s="106" cm="1">
        <f t="array" aca="1" ref="O13" ca="1">_FV(RTData[[#This Row],[Company Name]],"52 week high",TRUE)</f>
        <v>122.84</v>
      </c>
      <c r="P13" s="22" cm="1">
        <f t="array" aca="1" ref="P13" ca="1">_FV(RTData[[#This Row],[Company Name]],"Volume")</f>
        <v>6202223</v>
      </c>
      <c r="Q13" s="22" cm="1">
        <f t="array" aca="1" ref="Q13" ca="1">_FV(RTData[[#This Row],[Company Name]],"Volume average",TRUE)</f>
        <v>13712482</v>
      </c>
      <c r="R13" s="106" cm="1">
        <f t="array" aca="1" ref="R13" ca="1">_FV(RTData[[#This Row],[Company Name]],"Beta")</f>
        <v>1.1737</v>
      </c>
      <c r="T13" t="s">
        <v>19</v>
      </c>
      <c r="U13" t="str" cm="1">
        <f t="array" aca="1" ref="U13" ca="1">_FV(RTData[[#This Row],[Company Name]],"Exchange abbreviation",TRUE)</f>
        <v>XNYS</v>
      </c>
      <c r="V13" s="23">
        <f ca="1">IFERROR(RTData[[#This Row],[Volume]]/RTData[[#This Row],[Volume average]],1)</f>
        <v>0.45230491460262262</v>
      </c>
      <c r="W13" s="23"/>
      <c r="X13" s="96">
        <f ca="1">_xlfn.XLOOKUP(RTData[[#This Row],[Ticker_Symbol]],TickerList!$G12:$G106,TickerList!L12:L106)</f>
        <v>118.61905</v>
      </c>
      <c r="Y13" s="89">
        <f ca="1">_xlfn.XLOOKUP(RTData[[#This Row],[Ticker_Symbol]],TickerList!$G12:$G106,TickerList!M12:M106)</f>
        <v>45964</v>
      </c>
      <c r="Z13" s="89">
        <f ca="1">_xlfn.XLOOKUP(RTData[[#This Row],[Ticker_Symbol]],TickerList!$G12:$G106,TickerList!N12:N106)</f>
        <v>0</v>
      </c>
      <c r="AA13" s="90">
        <f ca="1">_xlfn.XLOOKUP(RTData[[#This Row],[Ticker_Symbol]],TickerList!$G12:$G106,TickerList!O12:O106)</f>
        <v>2.0299998999999999E-2</v>
      </c>
      <c r="AB13" s="91">
        <v>1E-4</v>
      </c>
      <c r="AC13" s="92">
        <f t="shared" si="0"/>
        <v>3.0000000000000001E-3</v>
      </c>
      <c r="AD13" s="78">
        <v>13.26</v>
      </c>
      <c r="AE13" s="93">
        <f ca="1">_xlfn.LET(_xlpm.New1YT,RTData[[#This Row],[1YT]],        _xlpm.Old1YT,IF(ISNUMBER(RTData[[#This Row],[Old1YT]]),RTData[[#This Row],[Old1YT]],VALUE(LEFT(RTData[[#This Row],[Old1YT]],FIND("/",RTData[[#This Row],[Old1YT]],1)-1))),       IF(OR(RTData[[#This Row],[1YT]]=0,_xlpm.Old1YT=0),0,(_xlpm.New1YT-_xlpm.Old1YT)/_xlpm.Old1YT))</f>
        <v>7.9456297134238305</v>
      </c>
      <c r="AF13" s="93" t="str">
        <f ca="1">TEXT(RTData[[#This Row],[1YT]],"#,#0.00")&amp;" &lt; "&amp;RTData[[#This Row],[Old1YT]]</f>
        <v>118.62 &lt; 13.26</v>
      </c>
    </row>
    <row r="14" spans="1:32" x14ac:dyDescent="0.3">
      <c r="A14" s="15" t="str" cm="1">
        <f t="array" aca="1" ref="A14" ca="1">_xlfn.SINGLE(RTData[suffix])&amp;_FV(RTData[[#This Row],[Company Name]],"Ticker symbol",TRUE)</f>
        <v>CSCO</v>
      </c>
      <c r="B14" s="15">
        <f t="shared" ca="1" si="1"/>
        <v>0.85142613878246054</v>
      </c>
      <c r="C14" t="e" vm="12">
        <v>#VALUE!</v>
      </c>
      <c r="D14" s="104" t="str" cm="1">
        <f t="array" aca="1" ref="D14" ca="1">_FV(RTData[[#This Row],[Company Name]],"Currency")</f>
        <v>USD</v>
      </c>
      <c r="E14" s="17" cm="1">
        <f t="array" aca="1" ref="E14" ca="1">_FV(RTData[[#This Row],[Company Name]],"Last trade time",TRUE)</f>
        <v>46022.93076133047</v>
      </c>
      <c r="F14" s="106" cm="1">
        <f t="array" aca="1" ref="F14" ca="1">_FV(RTData[[#This Row],[Company Name]],"Previous close",TRUE)</f>
        <v>77.41</v>
      </c>
      <c r="G14" s="106" cm="1">
        <f t="array" aca="1" ref="G14" ca="1">IFERROR(_FV(RTData[[#This Row],[Company Name]],"Open"),RTData[[#This Row],[Close]])</f>
        <v>77.34</v>
      </c>
      <c r="H14" s="106" cm="1">
        <f t="array" aca="1" ref="H14" ca="1">_FV(RTData[[#This Row],[Company Name]],"Price")</f>
        <v>77.03</v>
      </c>
      <c r="I14" s="106" cm="1">
        <f t="array" aca="1" ref="I14" ca="1">IFERROR(_FV(RTData[[#This Row],[Company Name]],"Low"),0)</f>
        <v>76.88</v>
      </c>
      <c r="J14" s="106" cm="1">
        <f t="array" aca="1" ref="J14" ca="1">IFERROR(_FV(RTData[[#This Row],[Company Name]],"High"),0)</f>
        <v>77.819999999999993</v>
      </c>
      <c r="K14" s="19" cm="1">
        <f t="array" aca="1" ref="K14" ca="1">IFERROR(_FV(RTData[[#This Row],[Company Name]],"P/E",TRUE),99)</f>
        <v>29.791899999999998</v>
      </c>
      <c r="L14" s="20" cm="1">
        <f t="array" aca="1" ref="L14" ca="1">_FV(RTData[[#This Row],[Company Name]],"Change")</f>
        <v>-0.38</v>
      </c>
      <c r="M14" s="21" cm="1">
        <f t="array" aca="1" ref="M14" ca="1">_FV(RTData[[#This Row],[Company Name]],"Change (%)",TRUE)</f>
        <v>-4.9090000000000002E-3</v>
      </c>
      <c r="N14" s="106" cm="1">
        <f t="array" aca="1" ref="N14" ca="1">_FV(RTData[[#This Row],[Company Name]],"52 week low",TRUE)</f>
        <v>52.11</v>
      </c>
      <c r="O14" s="106" cm="1">
        <f t="array" aca="1" ref="O14" ca="1">_FV(RTData[[#This Row],[Company Name]],"52 week high",TRUE)</f>
        <v>80.814999999999998</v>
      </c>
      <c r="P14" s="22" cm="1">
        <f t="array" aca="1" ref="P14" ca="1">_FV(RTData[[#This Row],[Company Name]],"Volume")</f>
        <v>13503375</v>
      </c>
      <c r="Q14" s="22" cm="1">
        <f t="array" aca="1" ref="Q14" ca="1">_FV(RTData[[#This Row],[Company Name]],"Volume average",TRUE)</f>
        <v>19260253</v>
      </c>
      <c r="R14" s="106" cm="1">
        <f t="array" aca="1" ref="R14" ca="1">_FV(RTData[[#This Row],[Company Name]],"Beta")</f>
        <v>0.86240000000000006</v>
      </c>
      <c r="T14" t="s">
        <v>19</v>
      </c>
      <c r="U14" t="str" cm="1">
        <f t="array" aca="1" ref="U14" ca="1">_FV(RTData[[#This Row],[Company Name]],"Exchange abbreviation",TRUE)</f>
        <v>XNAS</v>
      </c>
      <c r="V14" s="23">
        <f ca="1">IFERROR(RTData[[#This Row],[Volume]]/RTData[[#This Row],[Volume average]],1)</f>
        <v>0.70110060340328861</v>
      </c>
      <c r="W14" s="23"/>
      <c r="X14" s="96">
        <f ca="1">_xlfn.XLOOKUP(RTData[[#This Row],[Ticker_Symbol]],TickerList!$G13:$G107,TickerList!L13:L107)</f>
        <v>85.433809999999994</v>
      </c>
      <c r="Y14" s="89">
        <f ca="1">_xlfn.XLOOKUP(RTData[[#This Row],[Ticker_Symbol]],TickerList!$G13:$G107,TickerList!M13:M107)</f>
        <v>46024</v>
      </c>
      <c r="Z14" s="89">
        <f ca="1">_xlfn.XLOOKUP(RTData[[#This Row],[Ticker_Symbol]],TickerList!$G13:$G107,TickerList!N13:N107)</f>
        <v>0</v>
      </c>
      <c r="AA14" s="90">
        <f ca="1">_xlfn.XLOOKUP(RTData[[#This Row],[Ticker_Symbol]],TickerList!$G13:$G107,TickerList!O13:O107)</f>
        <v>2.1100000000000001E-2</v>
      </c>
      <c r="AB14" s="91">
        <v>1E-4</v>
      </c>
      <c r="AC14" s="92">
        <f t="shared" si="0"/>
        <v>3.0000000000000001E-3</v>
      </c>
      <c r="AD14" s="78" t="s">
        <v>48</v>
      </c>
      <c r="AE14" s="93">
        <f ca="1">_xlfn.LET(_xlpm.New1YT,RTData[[#This Row],[1YT]],        _xlpm.Old1YT,IF(ISNUMBER(RTData[[#This Row],[Old1YT]]),RTData[[#This Row],[Old1YT]],VALUE(LEFT(RTData[[#This Row],[Old1YT]],FIND("/",RTData[[#This Row],[Old1YT]],1)-1))),       IF(OR(RTData[[#This Row],[1YT]]=0,_xlpm.Old1YT=0),0,(_xlpm.New1YT-_xlpm.Old1YT)/_xlpm.Old1YT))</f>
        <v>-2.2272716868848724E-2</v>
      </c>
      <c r="AF14" s="93" t="str">
        <f ca="1">TEXT(RTData[[#This Row],[1YT]],"#,#0.00")&amp;" &lt; "&amp;RTData[[#This Row],[Old1YT]]</f>
        <v>85.43 &lt; 87.38/72.32</v>
      </c>
    </row>
    <row r="15" spans="1:32" x14ac:dyDescent="0.3">
      <c r="A15" s="15" t="str" cm="1">
        <f t="array" aca="1" ref="A15" ca="1">_xlfn.SINGLE(RTData[suffix])&amp;_FV(RTData[[#This Row],[Company Name]],"Ticker symbol",TRUE)</f>
        <v>CVS</v>
      </c>
      <c r="B15" s="15">
        <f t="shared" ca="1" si="1"/>
        <v>0.85142613878246054</v>
      </c>
      <c r="C15" t="e" vm="13">
        <v>#VALUE!</v>
      </c>
      <c r="D15" s="104" t="str" cm="1">
        <f t="array" aca="1" ref="D15" ca="1">_FV(RTData[[#This Row],[Company Name]],"Currency")</f>
        <v>USD</v>
      </c>
      <c r="E15" s="17" cm="1">
        <f t="array" aca="1" ref="E15" ca="1">_FV(RTData[[#This Row],[Company Name]],"Last trade time",TRUE)</f>
        <v>46022.92513298594</v>
      </c>
      <c r="F15" s="106" cm="1">
        <f t="array" aca="1" ref="F15" ca="1">_FV(RTData[[#This Row],[Company Name]],"Previous close",TRUE)</f>
        <v>79.849999999999994</v>
      </c>
      <c r="G15" s="106" cm="1">
        <f t="array" aca="1" ref="G15" ca="1">IFERROR(_FV(RTData[[#This Row],[Company Name]],"Open"),RTData[[#This Row],[Close]])</f>
        <v>79.790000000000006</v>
      </c>
      <c r="H15" s="106" cm="1">
        <f t="array" aca="1" ref="H15" ca="1">_FV(RTData[[#This Row],[Company Name]],"Price")</f>
        <v>79.355000000000004</v>
      </c>
      <c r="I15" s="106" cm="1">
        <f t="array" aca="1" ref="I15" ca="1">IFERROR(_FV(RTData[[#This Row],[Company Name]],"Low"),0)</f>
        <v>79.319999999999993</v>
      </c>
      <c r="J15" s="106" cm="1">
        <f t="array" aca="1" ref="J15" ca="1">IFERROR(_FV(RTData[[#This Row],[Company Name]],"High"),0)</f>
        <v>79.849999999999994</v>
      </c>
      <c r="K15" s="19" cm="1">
        <f t="array" aca="1" ref="K15" ca="1">IFERROR(_FV(RTData[[#This Row],[Company Name]],"P/E",TRUE),99)</f>
        <v>207.8989</v>
      </c>
      <c r="L15" s="20" cm="1">
        <f t="array" aca="1" ref="L15" ca="1">_FV(RTData[[#This Row],[Company Name]],"Change")</f>
        <v>-0.495</v>
      </c>
      <c r="M15" s="21" cm="1">
        <f t="array" aca="1" ref="M15" ca="1">_FV(RTData[[#This Row],[Company Name]],"Change (%)",TRUE)</f>
        <v>-6.1989999999999996E-3</v>
      </c>
      <c r="N15" s="106" cm="1">
        <f t="array" aca="1" ref="N15" ca="1">_FV(RTData[[#This Row],[Company Name]],"52 week low",TRUE)</f>
        <v>43.72</v>
      </c>
      <c r="O15" s="106" cm="1">
        <f t="array" aca="1" ref="O15" ca="1">_FV(RTData[[#This Row],[Company Name]],"52 week high",TRUE)</f>
        <v>85.15</v>
      </c>
      <c r="P15" s="22" cm="1">
        <f t="array" aca="1" ref="P15" ca="1">_FV(RTData[[#This Row],[Company Name]],"Volume")</f>
        <v>3107640</v>
      </c>
      <c r="Q15" s="22" cm="1">
        <f t="array" aca="1" ref="Q15" ca="1">_FV(RTData[[#This Row],[Company Name]],"Volume average",TRUE)</f>
        <v>7022085</v>
      </c>
      <c r="R15" s="106" cm="1">
        <f t="array" aca="1" ref="R15" ca="1">_FV(RTData[[#This Row],[Company Name]],"Beta")</f>
        <v>0.4829</v>
      </c>
      <c r="T15" t="s">
        <v>19</v>
      </c>
      <c r="U15" t="str" cm="1">
        <f t="array" aca="1" ref="U15" ca="1">_FV(RTData[[#This Row],[Company Name]],"Exchange abbreviation",TRUE)</f>
        <v>XNYS</v>
      </c>
      <c r="V15" s="23">
        <f ca="1">IFERROR(RTData[[#This Row],[Volume]]/RTData[[#This Row],[Volume average]],1)</f>
        <v>0.44255231886256008</v>
      </c>
      <c r="W15" s="23"/>
      <c r="X15" s="96">
        <f ca="1">_xlfn.XLOOKUP(RTData[[#This Row],[Ticker_Symbol]],TickerList!$G14:$G108,TickerList!L14:L108)</f>
        <v>94.6</v>
      </c>
      <c r="Y15" s="89">
        <f ca="1">_xlfn.XLOOKUP(RTData[[#This Row],[Ticker_Symbol]],TickerList!$G14:$G108,TickerList!M14:M108)</f>
        <v>45953</v>
      </c>
      <c r="Z15" s="89">
        <f ca="1">_xlfn.XLOOKUP(RTData[[#This Row],[Ticker_Symbol]],TickerList!$G14:$G108,TickerList!N14:N108)</f>
        <v>0</v>
      </c>
      <c r="AA15" s="90">
        <f ca="1">_xlfn.XLOOKUP(RTData[[#This Row],[Ticker_Symbol]],TickerList!$G14:$G108,TickerList!O14:O108)</f>
        <v>3.32E-2</v>
      </c>
      <c r="AB15" s="91">
        <v>1E-4</v>
      </c>
      <c r="AC15" s="92">
        <f t="shared" si="0"/>
        <v>3.0000000000000001E-3</v>
      </c>
      <c r="AD15" s="78" t="s">
        <v>71</v>
      </c>
      <c r="AE15" s="93">
        <f ca="1">_xlfn.LET(_xlpm.New1YT,RTData[[#This Row],[1YT]],        _xlpm.Old1YT,IF(ISNUMBER(RTData[[#This Row],[Old1YT]]),RTData[[#This Row],[Old1YT]],VALUE(LEFT(RTData[[#This Row],[Old1YT]],FIND("/",RTData[[#This Row],[Old1YT]],1)-1))),       IF(OR(RTData[[#This Row],[1YT]]=0,_xlpm.Old1YT=0),0,(_xlpm.New1YT-_xlpm.Old1YT)/_xlpm.Old1YT))</f>
        <v>0.2477781371331913</v>
      </c>
      <c r="AF15" s="93" t="str">
        <f ca="1">TEXT(RTData[[#This Row],[1YT]],"#,#0.00")&amp;" &lt; "&amp;RTData[[#This Row],[Old1YT]]</f>
        <v>94.60 &lt; 75.81476/55.04</v>
      </c>
    </row>
    <row r="16" spans="1:32" x14ac:dyDescent="0.3">
      <c r="A16" s="15" t="str" cm="1">
        <f t="array" aca="1" ref="A16" ca="1">_xlfn.SINGLE(RTData[suffix])&amp;_FV(RTData[[#This Row],[Company Name]],"Ticker symbol",TRUE)</f>
        <v>DDD</v>
      </c>
      <c r="B16" s="15">
        <f t="shared" ca="1" si="1"/>
        <v>0.85142613878246054</v>
      </c>
      <c r="C16" t="e" vm="14">
        <v>#VALUE!</v>
      </c>
      <c r="D16" s="104" t="str" cm="1">
        <f t="array" aca="1" ref="D16" ca="1">_FV(RTData[[#This Row],[Company Name]],"Currency")</f>
        <v>USD</v>
      </c>
      <c r="E16" s="17" cm="1">
        <f t="array" aca="1" ref="E16" ca="1">_FV(RTData[[#This Row],[Company Name]],"Last trade time",TRUE)</f>
        <v>46022.920714628905</v>
      </c>
      <c r="F16" s="106" cm="1">
        <f t="array" aca="1" ref="F16" ca="1">_FV(RTData[[#This Row],[Company Name]],"Previous close",TRUE)</f>
        <v>1.77</v>
      </c>
      <c r="G16" s="106" cm="1">
        <f t="array" aca="1" ref="G16" ca="1">IFERROR(_FV(RTData[[#This Row],[Company Name]],"Open"),RTData[[#This Row],[Close]])</f>
        <v>1.76</v>
      </c>
      <c r="H16" s="106" cm="1">
        <f t="array" aca="1" ref="H16" ca="1">_FV(RTData[[#This Row],[Company Name]],"Price")</f>
        <v>1.7749999999999999</v>
      </c>
      <c r="I16" s="106" cm="1">
        <f t="array" aca="1" ref="I16" ca="1">IFERROR(_FV(RTData[[#This Row],[Company Name]],"Low"),0)</f>
        <v>1.75</v>
      </c>
      <c r="J16" s="106" cm="1">
        <f t="array" aca="1" ref="J16" ca="1">IFERROR(_FV(RTData[[#This Row],[Company Name]],"High"),0)</f>
        <v>1.81</v>
      </c>
      <c r="K16" s="19" cm="1">
        <f t="array" aca="1" ref="K16" ca="1">IFERROR(_FV(RTData[[#This Row],[Company Name]],"P/E",TRUE),99)</f>
        <v>0</v>
      </c>
      <c r="L16" s="20" cm="1">
        <f t="array" aca="1" ref="L16" ca="1">_FV(RTData[[#This Row],[Company Name]],"Change")</f>
        <v>5.0000000000000001E-3</v>
      </c>
      <c r="M16" s="21" cm="1">
        <f t="array" aca="1" ref="M16" ca="1">_FV(RTData[[#This Row],[Company Name]],"Change (%)",TRUE)</f>
        <v>2.8249999999999998E-3</v>
      </c>
      <c r="N16" s="106" cm="1">
        <f t="array" aca="1" ref="N16" ca="1">_FV(RTData[[#This Row],[Company Name]],"52 week low",TRUE)</f>
        <v>1.32</v>
      </c>
      <c r="O16" s="106" cm="1">
        <f t="array" aca="1" ref="O16" ca="1">_FV(RTData[[#This Row],[Company Name]],"52 week high",TRUE)</f>
        <v>4.9991000000000003</v>
      </c>
      <c r="P16" s="22" cm="1">
        <f t="array" aca="1" ref="P16" ca="1">_FV(RTData[[#This Row],[Company Name]],"Volume")</f>
        <v>1803395</v>
      </c>
      <c r="Q16" s="22" cm="1">
        <f t="array" aca="1" ref="Q16" ca="1">_FV(RTData[[#This Row],[Company Name]],"Volume average",TRUE)</f>
        <v>3114767</v>
      </c>
      <c r="R16" s="106" cm="1">
        <f t="array" aca="1" ref="R16" ca="1">_FV(RTData[[#This Row],[Company Name]],"Beta")</f>
        <v>1.8777999999999999</v>
      </c>
      <c r="T16" t="s">
        <v>19</v>
      </c>
      <c r="U16" t="str" cm="1">
        <f t="array" aca="1" ref="U16" ca="1">_FV(RTData[[#This Row],[Company Name]],"Exchange abbreviation",TRUE)</f>
        <v>XNYS</v>
      </c>
      <c r="V16" s="23">
        <f ca="1">IFERROR(RTData[[#This Row],[Volume]]/RTData[[#This Row],[Volume average]],1)</f>
        <v>0.57898231232063269</v>
      </c>
      <c r="W16" s="23"/>
      <c r="X16" s="96">
        <f ca="1">_xlfn.XLOOKUP(RTData[[#This Row],[Ticker_Symbol]],TickerList!$G15:$G109,TickerList!L15:L109)</f>
        <v>3.625</v>
      </c>
      <c r="Y16" s="89">
        <f ca="1">_xlfn.XLOOKUP(RTData[[#This Row],[Ticker_Symbol]],TickerList!$G15:$G109,TickerList!M15:M109)</f>
        <v>0</v>
      </c>
      <c r="Z16" s="89">
        <f ca="1">_xlfn.XLOOKUP(RTData[[#This Row],[Ticker_Symbol]],TickerList!$G15:$G109,TickerList!N15:N109)</f>
        <v>0</v>
      </c>
      <c r="AA16" s="90">
        <f ca="1">_xlfn.XLOOKUP(RTData[[#This Row],[Ticker_Symbol]],TickerList!$G15:$G109,TickerList!O15:O109)</f>
        <v>0</v>
      </c>
      <c r="AB16" s="91">
        <v>1E-4</v>
      </c>
      <c r="AC16" s="92">
        <f t="shared" si="0"/>
        <v>3.0000000000000001E-3</v>
      </c>
      <c r="AD16" s="78">
        <v>72.3</v>
      </c>
      <c r="AE16" s="93">
        <f ca="1">_xlfn.LET(_xlpm.New1YT,RTData[[#This Row],[1YT]],        _xlpm.Old1YT,IF(ISNUMBER(RTData[[#This Row],[Old1YT]]),RTData[[#This Row],[Old1YT]],VALUE(LEFT(RTData[[#This Row],[Old1YT]],FIND("/",RTData[[#This Row],[Old1YT]],1)-1))),       IF(OR(RTData[[#This Row],[1YT]]=0,_xlpm.Old1YT=0),0,(_xlpm.New1YT-_xlpm.Old1YT)/_xlpm.Old1YT))</f>
        <v>-0.94986168741355459</v>
      </c>
      <c r="AF16" s="93" t="str">
        <f ca="1">TEXT(RTData[[#This Row],[1YT]],"#,#0.00")&amp;" &lt; "&amp;RTData[[#This Row],[Old1YT]]</f>
        <v>3.63 &lt; 72.3</v>
      </c>
    </row>
    <row r="17" spans="1:32" x14ac:dyDescent="0.3">
      <c r="A17" s="15" t="str" cm="1">
        <f t="array" aca="1" ref="A17" ca="1">_xlfn.SINGLE(RTData[suffix])&amp;_FV(RTData[[#This Row],[Company Name]],"Ticker symbol",TRUE)</f>
        <v>DIS</v>
      </c>
      <c r="B17" s="15">
        <f t="shared" ca="1" si="1"/>
        <v>0.85142613878246054</v>
      </c>
      <c r="C17" t="e" vm="15">
        <v>#VALUE!</v>
      </c>
      <c r="D17" s="104" t="str" cm="1">
        <f t="array" aca="1" ref="D17" ca="1">_FV(RTData[[#This Row],[Company Name]],"Currency")</f>
        <v>USD</v>
      </c>
      <c r="E17" s="17" cm="1">
        <f t="array" aca="1" ref="E17" ca="1">_FV(RTData[[#This Row],[Company Name]],"Last trade time",TRUE)</f>
        <v>46022.930865786722</v>
      </c>
      <c r="F17" s="106" cm="1">
        <f t="array" aca="1" ref="F17" ca="1">_FV(RTData[[#This Row],[Company Name]],"Previous close",TRUE)</f>
        <v>114.79</v>
      </c>
      <c r="G17" s="106" cm="1">
        <f t="array" aca="1" ref="G17" ca="1">IFERROR(_FV(RTData[[#This Row],[Company Name]],"Open"),RTData[[#This Row],[Close]])</f>
        <v>114.77</v>
      </c>
      <c r="H17" s="106" cm="1">
        <f t="array" aca="1" ref="H17" ca="1">_FV(RTData[[#This Row],[Company Name]],"Price")</f>
        <v>113.76</v>
      </c>
      <c r="I17" s="106" cm="1">
        <f t="array" aca="1" ref="I17" ca="1">IFERROR(_FV(RTData[[#This Row],[Company Name]],"Low"),0)</f>
        <v>113.55</v>
      </c>
      <c r="J17" s="106" cm="1">
        <f t="array" aca="1" ref="J17" ca="1">IFERROR(_FV(RTData[[#This Row],[Company Name]],"High"),0)</f>
        <v>114.89</v>
      </c>
      <c r="K17" s="19" cm="1">
        <f t="array" aca="1" ref="K17" ca="1">IFERROR(_FV(RTData[[#This Row],[Company Name]],"P/E",TRUE),99)</f>
        <v>16.603200000000001</v>
      </c>
      <c r="L17" s="20" cm="1">
        <f t="array" aca="1" ref="L17" ca="1">_FV(RTData[[#This Row],[Company Name]],"Change")</f>
        <v>-1.03</v>
      </c>
      <c r="M17" s="21" cm="1">
        <f t="array" aca="1" ref="M17" ca="1">_FV(RTData[[#This Row],[Company Name]],"Change (%)",TRUE)</f>
        <v>-8.9730000000000001E-3</v>
      </c>
      <c r="N17" s="106" cm="1">
        <f t="array" aca="1" ref="N17" ca="1">_FV(RTData[[#This Row],[Company Name]],"52 week low",TRUE)</f>
        <v>80.099999999999994</v>
      </c>
      <c r="O17" s="106" cm="1">
        <f t="array" aca="1" ref="O17" ca="1">_FV(RTData[[#This Row],[Company Name]],"52 week high",TRUE)</f>
        <v>124.69</v>
      </c>
      <c r="P17" s="22" cm="1">
        <f t="array" aca="1" ref="P17" ca="1">_FV(RTData[[#This Row],[Company Name]],"Volume")</f>
        <v>6541862</v>
      </c>
      <c r="Q17" s="22" cm="1">
        <f t="array" aca="1" ref="Q17" ca="1">_FV(RTData[[#This Row],[Company Name]],"Volume average",TRUE)</f>
        <v>10921324</v>
      </c>
      <c r="R17" s="106" cm="1">
        <f t="array" aca="1" ref="R17" ca="1">_FV(RTData[[#This Row],[Company Name]],"Beta")</f>
        <v>1.4482999999999999</v>
      </c>
      <c r="T17" t="s">
        <v>19</v>
      </c>
      <c r="U17" t="str" cm="1">
        <f t="array" aca="1" ref="U17" ca="1">_FV(RTData[[#This Row],[Company Name]],"Exchange abbreviation",TRUE)</f>
        <v>XNYS</v>
      </c>
      <c r="V17" s="23">
        <f ca="1">IFERROR(RTData[[#This Row],[Volume]]/RTData[[#This Row],[Volume average]],1)</f>
        <v>0.59899898583724831</v>
      </c>
      <c r="W17" s="23"/>
      <c r="X17" s="96">
        <f ca="1">_xlfn.XLOOKUP(RTData[[#This Row],[Ticker_Symbol]],TickerList!$G16:$G110,TickerList!L16:L110)</f>
        <v>132.50357</v>
      </c>
      <c r="Y17" s="89">
        <f ca="1">_xlfn.XLOOKUP(RTData[[#This Row],[Ticker_Symbol]],TickerList!$G16:$G110,TickerList!M16:M110)</f>
        <v>46203</v>
      </c>
      <c r="Z17" s="89">
        <f ca="1">_xlfn.XLOOKUP(RTData[[#This Row],[Ticker_Symbol]],TickerList!$G16:$G110,TickerList!N16:N110)</f>
        <v>0</v>
      </c>
      <c r="AA17" s="90">
        <f ca="1">_xlfn.XLOOKUP(RTData[[#This Row],[Ticker_Symbol]],TickerList!$G16:$G110,TickerList!O16:O110)</f>
        <v>1.3099998999999999E-2</v>
      </c>
      <c r="AB17" s="91">
        <v>1E-4</v>
      </c>
      <c r="AC17" s="92">
        <f t="shared" si="0"/>
        <v>3.0000000000000001E-3</v>
      </c>
      <c r="AD17" s="78">
        <v>3.94</v>
      </c>
      <c r="AE17" s="93">
        <f ca="1">_xlfn.LET(_xlpm.New1YT,RTData[[#This Row],[1YT]],        _xlpm.Old1YT,IF(ISNUMBER(RTData[[#This Row],[Old1YT]]),RTData[[#This Row],[Old1YT]],VALUE(LEFT(RTData[[#This Row],[Old1YT]],FIND("/",RTData[[#This Row],[Old1YT]],1)-1))),       IF(OR(RTData[[#This Row],[1YT]]=0,_xlpm.Old1YT=0),0,(_xlpm.New1YT-_xlpm.Old1YT)/_xlpm.Old1YT))</f>
        <v>32.630347715736043</v>
      </c>
      <c r="AF17" s="93" t="str">
        <f ca="1">TEXT(RTData[[#This Row],[1YT]],"#,#0.00")&amp;" &lt; "&amp;RTData[[#This Row],[Old1YT]]</f>
        <v>132.50 &lt; 3.94</v>
      </c>
    </row>
    <row r="18" spans="1:32" x14ac:dyDescent="0.3">
      <c r="A18" s="15" t="str" cm="1">
        <f t="array" aca="1" ref="A18" ca="1">_xlfn.SINGLE(RTData[suffix])&amp;_FV(RTData[[#This Row],[Company Name]],"Ticker symbol",TRUE)</f>
        <v>DSY</v>
      </c>
      <c r="B18" s="15">
        <v>1</v>
      </c>
      <c r="C18" t="e" vm="16">
        <v>#VALUE!</v>
      </c>
      <c r="D18" s="104" t="str" cm="1">
        <f t="array" aca="1" ref="D18" ca="1">_FV(RTData[[#This Row],[Company Name]],"Currency")</f>
        <v>EUR</v>
      </c>
      <c r="E18" s="17" cm="1">
        <f t="array" aca="1" ref="E18" ca="1">_FV(RTData[[#This Row],[Company Name]],"Last trade time",TRUE)</f>
        <v>46022.708333333336</v>
      </c>
      <c r="F18" s="106" cm="1">
        <f t="array" aca="1" ref="F18" ca="1">_FV(RTData[[#This Row],[Company Name]],"Previous close",TRUE)</f>
        <v>23.87</v>
      </c>
      <c r="G18" s="106" cm="1">
        <f t="array" aca="1" ref="G18" ca="1">IFERROR(_FV(RTData[[#This Row],[Company Name]],"Open"),RTData[[#This Row],[Close]])</f>
        <v>23.93</v>
      </c>
      <c r="H18" s="106" cm="1">
        <f t="array" aca="1" ref="H18" ca="1">_FV(RTData[[#This Row],[Company Name]],"Price")</f>
        <v>23.84</v>
      </c>
      <c r="I18" s="106" cm="1">
        <f t="array" aca="1" ref="I18" ca="1">IFERROR(_FV(RTData[[#This Row],[Company Name]],"Low"),0)</f>
        <v>23.8</v>
      </c>
      <c r="J18" s="106" cm="1">
        <f t="array" aca="1" ref="J18" ca="1">IFERROR(_FV(RTData[[#This Row],[Company Name]],"High"),0)</f>
        <v>24.02</v>
      </c>
      <c r="K18" s="19" cm="1">
        <f t="array" aca="1" ref="K18" ca="1">IFERROR(_FV(RTData[[#This Row],[Company Name]],"P/E",TRUE),99)</f>
        <v>26.636900000000001</v>
      </c>
      <c r="L18" s="20" cm="1">
        <f t="array" aca="1" ref="L18" ca="1">_FV(RTData[[#This Row],[Company Name]],"Change")</f>
        <v>-0.03</v>
      </c>
      <c r="M18" s="21" cm="1">
        <f t="array" aca="1" ref="M18" ca="1">_FV(RTData[[#This Row],[Company Name]],"Change (%)",TRUE)</f>
        <v>-1.2570000000000001E-3</v>
      </c>
      <c r="N18" s="106" cm="1">
        <f t="array" aca="1" ref="N18" ca="1">_FV(RTData[[#This Row],[Company Name]],"52 week low",TRUE)</f>
        <v>22.79</v>
      </c>
      <c r="O18" s="106" cm="1">
        <f t="array" aca="1" ref="O18" ca="1">_FV(RTData[[#This Row],[Company Name]],"52 week high",TRUE)</f>
        <v>41.17</v>
      </c>
      <c r="P18" s="22" cm="1">
        <f t="array" aca="1" ref="P18" ca="1">_FV(RTData[[#This Row],[Company Name]],"Volume")</f>
        <v>768026</v>
      </c>
      <c r="Q18" s="22" cm="1">
        <f t="array" aca="1" ref="Q18" ca="1">_FV(RTData[[#This Row],[Company Name]],"Volume average",TRUE)</f>
        <v>2321900</v>
      </c>
      <c r="R18" s="106" cm="1">
        <f t="array" aca="1" ref="R18" ca="1">_FV(RTData[[#This Row],[Company Name]],"Beta")</f>
        <v>0.78979999999999995</v>
      </c>
      <c r="T18" t="s">
        <v>19</v>
      </c>
      <c r="U18" t="str" cm="1">
        <f t="array" aca="1" ref="U18" ca="1">_FV(RTData[[#This Row],[Company Name]],"Exchange abbreviation",TRUE)</f>
        <v>XPAR</v>
      </c>
      <c r="V18" s="23">
        <f ca="1">IFERROR(RTData[[#This Row],[Volume]]/RTData[[#This Row],[Volume average]],1)</f>
        <v>0.33077479650286401</v>
      </c>
      <c r="W18" s="23"/>
      <c r="X18" s="96">
        <f ca="1">_xlfn.XLOOKUP(RTData[[#This Row],[Ticker_Symbol]],TickerList!$G17:$G111,TickerList!L17:L111)</f>
        <v>31.016670000000001</v>
      </c>
      <c r="Y18" s="89">
        <f ca="1">_xlfn.XLOOKUP(RTData[[#This Row],[Ticker_Symbol]],TickerList!$G17:$G111,TickerList!M17:M111)</f>
        <v>45803</v>
      </c>
      <c r="Z18" s="89">
        <f ca="1">_xlfn.XLOOKUP(RTData[[#This Row],[Ticker_Symbol]],TickerList!$G17:$G111,TickerList!N17:N111)</f>
        <v>0</v>
      </c>
      <c r="AA18" s="90">
        <f ca="1">_xlfn.XLOOKUP(RTData[[#This Row],[Ticker_Symbol]],TickerList!$G17:$G111,TickerList!O17:O111)</f>
        <v>1.0999999999999999E-2</v>
      </c>
      <c r="AB18" s="91">
        <v>1E-4</v>
      </c>
      <c r="AC18" s="92">
        <f t="shared" si="0"/>
        <v>3.0000000000000001E-3</v>
      </c>
      <c r="AD18" s="78">
        <v>111.22</v>
      </c>
      <c r="AE18" s="93">
        <f ca="1">_xlfn.LET(_xlpm.New1YT,RTData[[#This Row],[1YT]],        _xlpm.Old1YT,IF(ISNUMBER(RTData[[#This Row],[Old1YT]]),RTData[[#This Row],[Old1YT]],VALUE(LEFT(RTData[[#This Row],[Old1YT]],FIND("/",RTData[[#This Row],[Old1YT]],1)-1))),       IF(OR(RTData[[#This Row],[1YT]]=0,_xlpm.Old1YT=0),0,(_xlpm.New1YT-_xlpm.Old1YT)/_xlpm.Old1YT))</f>
        <v>-0.72112326919618774</v>
      </c>
      <c r="AF18" s="93" t="str">
        <f ca="1">TEXT(RTData[[#This Row],[1YT]],"#,#0.00")&amp;" &lt; "&amp;RTData[[#This Row],[Old1YT]]</f>
        <v>31.02 &lt; 111.22</v>
      </c>
    </row>
    <row r="19" spans="1:32" x14ac:dyDescent="0.3">
      <c r="A19" s="15" t="str" cm="1">
        <f t="array" aca="1" ref="A19" ca="1">_xlfn.SINGLE(RTData[suffix])&amp;_FV(RTData[[#This Row],[Company Name]],"Ticker symbol",TRUE)</f>
        <v>DVA</v>
      </c>
      <c r="B19" s="15">
        <f ca="1">D$100</f>
        <v>0.85142613878246054</v>
      </c>
      <c r="C19" t="e" vm="17">
        <v>#VALUE!</v>
      </c>
      <c r="D19" s="104" t="str" cm="1">
        <f t="array" aca="1" ref="D19" ca="1">_FV(RTData[[#This Row],[Company Name]],"Currency")</f>
        <v>USD</v>
      </c>
      <c r="E19" s="17" cm="1">
        <f t="array" aca="1" ref="E19" ca="1">_FV(RTData[[#This Row],[Company Name]],"Last trade time",TRUE)</f>
        <v>46022.900367673436</v>
      </c>
      <c r="F19" s="106" cm="1">
        <f t="array" aca="1" ref="F19" ca="1">_FV(RTData[[#This Row],[Company Name]],"Previous close",TRUE)</f>
        <v>113.82</v>
      </c>
      <c r="G19" s="106" cm="1">
        <f t="array" aca="1" ref="G19" ca="1">IFERROR(_FV(RTData[[#This Row],[Company Name]],"Open"),RTData[[#This Row],[Close]])</f>
        <v>113.82</v>
      </c>
      <c r="H19" s="106" cm="1">
        <f t="array" aca="1" ref="H19" ca="1">_FV(RTData[[#This Row],[Company Name]],"Price")</f>
        <v>113.61</v>
      </c>
      <c r="I19" s="106" cm="1">
        <f t="array" aca="1" ref="I19" ca="1">IFERROR(_FV(RTData[[#This Row],[Company Name]],"Low"),0)</f>
        <v>113.22</v>
      </c>
      <c r="J19" s="106" cm="1">
        <f t="array" aca="1" ref="J19" ca="1">IFERROR(_FV(RTData[[#This Row],[Company Name]],"High"),0)</f>
        <v>114.13</v>
      </c>
      <c r="K19" s="19" cm="1">
        <f t="array" aca="1" ref="K19" ca="1">IFERROR(_FV(RTData[[#This Row],[Company Name]],"P/E",TRUE),99)</f>
        <v>11.6972</v>
      </c>
      <c r="L19" s="20" cm="1">
        <f t="array" aca="1" ref="L19" ca="1">_FV(RTData[[#This Row],[Company Name]],"Change")</f>
        <v>-0.21</v>
      </c>
      <c r="M19" s="21" cm="1">
        <f t="array" aca="1" ref="M19" ca="1">_FV(RTData[[#This Row],[Company Name]],"Change (%)",TRUE)</f>
        <v>-1.8450000000000001E-3</v>
      </c>
      <c r="N19" s="106" cm="1">
        <f t="array" aca="1" ref="N19" ca="1">_FV(RTData[[#This Row],[Company Name]],"52 week low",TRUE)</f>
        <v>112.54</v>
      </c>
      <c r="O19" s="106" cm="1">
        <f t="array" aca="1" ref="O19" ca="1">_FV(RTData[[#This Row],[Company Name]],"52 week high",TRUE)</f>
        <v>179.6</v>
      </c>
      <c r="P19" s="22" cm="1">
        <f t="array" aca="1" ref="P19" ca="1">_FV(RTData[[#This Row],[Company Name]],"Volume")</f>
        <v>562399</v>
      </c>
      <c r="Q19" s="22" cm="1">
        <f t="array" aca="1" ref="Q19" ca="1">_FV(RTData[[#This Row],[Company Name]],"Volume average",TRUE)</f>
        <v>896013</v>
      </c>
      <c r="R19" s="106" cm="1">
        <f t="array" aca="1" ref="R19" ca="1">_FV(RTData[[#This Row],[Company Name]],"Beta")</f>
        <v>0.98660000000000003</v>
      </c>
      <c r="T19" t="s">
        <v>19</v>
      </c>
      <c r="U19" t="str" cm="1">
        <f t="array" aca="1" ref="U19" ca="1">_FV(RTData[[#This Row],[Company Name]],"Exchange abbreviation",TRUE)</f>
        <v>XNYS</v>
      </c>
      <c r="V19" s="23">
        <f ca="1">IFERROR(RTData[[#This Row],[Volume]]/RTData[[#This Row],[Volume average]],1)</f>
        <v>0.62766834856190701</v>
      </c>
      <c r="W19" s="23"/>
      <c r="X19" s="96">
        <f ca="1">_xlfn.XLOOKUP(RTData[[#This Row],[Ticker_Symbol]],TickerList!$G18:$G112,TickerList!L18:L112)</f>
        <v>144.5</v>
      </c>
      <c r="Y19" s="89">
        <f ca="1">_xlfn.XLOOKUP(RTData[[#This Row],[Ticker_Symbol]],TickerList!$G18:$G112,TickerList!M18:M112)</f>
        <v>0</v>
      </c>
      <c r="Z19" s="89">
        <f ca="1">_xlfn.XLOOKUP(RTData[[#This Row],[Ticker_Symbol]],TickerList!$G18:$G112,TickerList!N18:N112)</f>
        <v>0</v>
      </c>
      <c r="AA19" s="90">
        <f ca="1">_xlfn.XLOOKUP(RTData[[#This Row],[Ticker_Symbol]],TickerList!$G18:$G112,TickerList!O18:O112)</f>
        <v>0</v>
      </c>
      <c r="AB19" s="91"/>
      <c r="AC19" s="92">
        <f t="shared" si="0"/>
        <v>3.0000000000000001E-3</v>
      </c>
      <c r="AD19" s="78" t="s">
        <v>60</v>
      </c>
      <c r="AE19" s="93">
        <f ca="1">_xlfn.LET(_xlpm.New1YT,RTData[[#This Row],[1YT]],        _xlpm.Old1YT,IF(ISNUMBER(RTData[[#This Row],[Old1YT]]),RTData[[#This Row],[Old1YT]],VALUE(LEFT(RTData[[#This Row],[Old1YT]],FIND("/",RTData[[#This Row],[Old1YT]],1)-1))),       IF(OR(RTData[[#This Row],[1YT]]=0,_xlpm.Old1YT=0),0,(_xlpm.New1YT-_xlpm.Old1YT)/_xlpm.Old1YT))</f>
        <v>2.8056360284435082</v>
      </c>
      <c r="AF19" s="93" t="str">
        <f ca="1">TEXT(RTData[[#This Row],[1YT]],"#,#0.00")&amp;" &lt; "&amp;RTData[[#This Row],[Old1YT]]</f>
        <v>144.50 &lt; 37.97/38.13/38.23</v>
      </c>
    </row>
    <row r="20" spans="1:32" x14ac:dyDescent="0.3">
      <c r="A20" s="15" t="str" cm="1">
        <f t="array" aca="1" ref="A20" ca="1">_xlfn.SINGLE(RTData[suffix])&amp;_FV(RTData[[#This Row],[Company Name]],"Ticker symbol",TRUE)</f>
        <v>DXC</v>
      </c>
      <c r="B20" s="15">
        <f t="shared" ref="B20:B25" ca="1" si="2">D$100</f>
        <v>0.85142613878246054</v>
      </c>
      <c r="C20" t="e" vm="18">
        <v>#VALUE!</v>
      </c>
      <c r="D20" s="104" t="str" cm="1">
        <f t="array" aca="1" ref="D20" ca="1">_FV(RTData[[#This Row],[Company Name]],"Currency")</f>
        <v>USD</v>
      </c>
      <c r="E20" s="17" cm="1">
        <f t="array" aca="1" ref="E20" ca="1">_FV(RTData[[#This Row],[Company Name]],"Last trade time",TRUE)</f>
        <v>46022.924863171094</v>
      </c>
      <c r="F20" s="106" cm="1">
        <f t="array" aca="1" ref="F20" ca="1">_FV(RTData[[#This Row],[Company Name]],"Previous close",TRUE)</f>
        <v>14.89</v>
      </c>
      <c r="G20" s="106" cm="1">
        <f t="array" aca="1" ref="G20" ca="1">IFERROR(_FV(RTData[[#This Row],[Company Name]],"Open"),RTData[[#This Row],[Close]])</f>
        <v>14.79</v>
      </c>
      <c r="H20" s="106" cm="1">
        <f t="array" aca="1" ref="H20" ca="1">_FV(RTData[[#This Row],[Company Name]],"Price")</f>
        <v>14.654999999999999</v>
      </c>
      <c r="I20" s="106" cm="1">
        <f t="array" aca="1" ref="I20" ca="1">IFERROR(_FV(RTData[[#This Row],[Company Name]],"Low"),0)</f>
        <v>14.57</v>
      </c>
      <c r="J20" s="106" cm="1">
        <f t="array" aca="1" ref="J20" ca="1">IFERROR(_FV(RTData[[#This Row],[Company Name]],"High"),0)</f>
        <v>14.84</v>
      </c>
      <c r="K20" s="19" cm="1">
        <f t="array" aca="1" ref="K20" ca="1">IFERROR(_FV(RTData[[#This Row],[Company Name]],"P/E",TRUE),99)</f>
        <v>7.1558000000000002</v>
      </c>
      <c r="L20" s="20" cm="1">
        <f t="array" aca="1" ref="L20" ca="1">_FV(RTData[[#This Row],[Company Name]],"Change")</f>
        <v>-0.23499999999999999</v>
      </c>
      <c r="M20" s="21" cm="1">
        <f t="array" aca="1" ref="M20" ca="1">_FV(RTData[[#This Row],[Company Name]],"Change (%)",TRUE)</f>
        <v>-1.5782000000000001E-2</v>
      </c>
      <c r="N20" s="106" cm="1">
        <f t="array" aca="1" ref="N20" ca="1">_FV(RTData[[#This Row],[Company Name]],"52 week low",TRUE)</f>
        <v>11.82</v>
      </c>
      <c r="O20" s="106" cm="1">
        <f t="array" aca="1" ref="O20" ca="1">_FV(RTData[[#This Row],[Company Name]],"52 week high",TRUE)</f>
        <v>23.75</v>
      </c>
      <c r="P20" s="22" cm="1">
        <f t="array" aca="1" ref="P20" ca="1">_FV(RTData[[#This Row],[Company Name]],"Volume")</f>
        <v>1506277</v>
      </c>
      <c r="Q20" s="22" cm="1">
        <f t="array" aca="1" ref="Q20" ca="1">_FV(RTData[[#This Row],[Company Name]],"Volume average",TRUE)</f>
        <v>2170697</v>
      </c>
      <c r="R20" s="106" cm="1">
        <f t="array" aca="1" ref="R20" ca="1">_FV(RTData[[#This Row],[Company Name]],"Beta")</f>
        <v>1.0519000000000001</v>
      </c>
      <c r="T20" t="s">
        <v>19</v>
      </c>
      <c r="U20" t="str" cm="1">
        <f t="array" aca="1" ref="U20" ca="1">_FV(RTData[[#This Row],[Company Name]],"Exchange abbreviation",TRUE)</f>
        <v>XNYS</v>
      </c>
      <c r="V20" s="23">
        <f ca="1">IFERROR(RTData[[#This Row],[Volume]]/RTData[[#This Row],[Volume average]],1)</f>
        <v>0.69391398246738256</v>
      </c>
      <c r="W20" s="23"/>
      <c r="X20" s="96">
        <f ca="1">_xlfn.XLOOKUP(RTData[[#This Row],[Ticker_Symbol]],TickerList!$G19:$G113,TickerList!L19:L113)</f>
        <v>14.5</v>
      </c>
      <c r="Y20" s="89">
        <f ca="1">_xlfn.XLOOKUP(RTData[[#This Row],[Ticker_Symbol]],TickerList!$G19:$G113,TickerList!M19:M113)</f>
        <v>43914</v>
      </c>
      <c r="Z20" s="89">
        <f ca="1">_xlfn.XLOOKUP(RTData[[#This Row],[Ticker_Symbol]],TickerList!$G19:$G113,TickerList!N19:N113)</f>
        <v>0</v>
      </c>
      <c r="AA20" s="90">
        <f ca="1">_xlfn.XLOOKUP(RTData[[#This Row],[Ticker_Symbol]],TickerList!$G19:$G113,TickerList!O19:O113)</f>
        <v>0</v>
      </c>
      <c r="AB20" s="91">
        <v>1E-4</v>
      </c>
      <c r="AC20" s="92">
        <f t="shared" si="0"/>
        <v>3.0000000000000001E-3</v>
      </c>
      <c r="AD20" s="78">
        <v>157.9</v>
      </c>
      <c r="AE20" s="93">
        <f ca="1">_xlfn.LET(_xlpm.New1YT,RTData[[#This Row],[1YT]],        _xlpm.Old1YT,IF(ISNUMBER(RTData[[#This Row],[Old1YT]]),RTData[[#This Row],[Old1YT]],VALUE(LEFT(RTData[[#This Row],[Old1YT]],FIND("/",RTData[[#This Row],[Old1YT]],1)-1))),       IF(OR(RTData[[#This Row],[1YT]]=0,_xlpm.Old1YT=0),0,(_xlpm.New1YT-_xlpm.Old1YT)/_xlpm.Old1YT))</f>
        <v>-0.90816972767574411</v>
      </c>
      <c r="AF20" s="93" t="str">
        <f ca="1">TEXT(RTData[[#This Row],[1YT]],"#,#0.00")&amp;" &lt; "&amp;RTData[[#This Row],[Old1YT]]</f>
        <v>14.50 &lt; 157.9</v>
      </c>
    </row>
    <row r="21" spans="1:32" x14ac:dyDescent="0.3">
      <c r="A21" s="15" t="str" cm="1">
        <f t="array" aca="1" ref="A21" ca="1">_xlfn.SINGLE(RTData[suffix])&amp;_FV(RTData[[#This Row],[Company Name]],"Ticker symbol",TRUE)</f>
        <v>EOAN</v>
      </c>
      <c r="B21" s="15">
        <f t="shared" ca="1" si="2"/>
        <v>0.85142613878246054</v>
      </c>
      <c r="C21" t="e" vm="19">
        <v>#VALUE!</v>
      </c>
      <c r="D21" s="104" t="str" cm="1">
        <f t="array" aca="1" ref="D21" ca="1">_FV(RTData[[#This Row],[Company Name]],"Currency")</f>
        <v>EUR</v>
      </c>
      <c r="E21" s="17" cm="1">
        <f t="array" aca="1" ref="E21" ca="1">_FV(RTData[[#This Row],[Company Name]],"Last trade time",TRUE)</f>
        <v>46021.583333333336</v>
      </c>
      <c r="F21" s="106" cm="1">
        <f t="array" aca="1" ref="F21" ca="1">_FV(RTData[[#This Row],[Company Name]],"Previous close",TRUE)</f>
        <v>16.015000000000001</v>
      </c>
      <c r="G21" s="106" cm="1">
        <f t="array" aca="1" ref="G21" ca="1">IFERROR(_FV(RTData[[#This Row],[Company Name]],"Open"),RTData[[#This Row],[Close]])</f>
        <v>16.02</v>
      </c>
      <c r="H21" s="106" cm="1">
        <f t="array" aca="1" ref="H21" ca="1">_FV(RTData[[#This Row],[Company Name]],"Price")</f>
        <v>16.125</v>
      </c>
      <c r="I21" s="106" cm="1">
        <f t="array" aca="1" ref="I21" ca="1">IFERROR(_FV(RTData[[#This Row],[Company Name]],"Low"),0)</f>
        <v>16.02</v>
      </c>
      <c r="J21" s="106" cm="1">
        <f t="array" aca="1" ref="J21" ca="1">IFERROR(_FV(RTData[[#This Row],[Company Name]],"High"),0)</f>
        <v>16.125</v>
      </c>
      <c r="K21" s="19" cm="1">
        <f t="array" aca="1" ref="K21" ca="1">IFERROR(_FV(RTData[[#This Row],[Company Name]],"P/E",TRUE),99)</f>
        <v>14.052300000000001</v>
      </c>
      <c r="L21" s="20" cm="1">
        <f t="array" aca="1" ref="L21" ca="1">_FV(RTData[[#This Row],[Company Name]],"Change")</f>
        <v>0.11</v>
      </c>
      <c r="M21" s="21" cm="1">
        <f t="array" aca="1" ref="M21" ca="1">_FV(RTData[[#This Row],[Company Name]],"Change (%)",TRUE)</f>
        <v>6.8689999999999992E-3</v>
      </c>
      <c r="N21" s="106" cm="1">
        <f t="array" aca="1" ref="N21" ca="1">_FV(RTData[[#This Row],[Company Name]],"52 week low",TRUE)</f>
        <v>10.435</v>
      </c>
      <c r="O21" s="106" cm="1">
        <f t="array" aca="1" ref="O21" ca="1">_FV(RTData[[#This Row],[Company Name]],"52 week high",TRUE)</f>
        <v>16.55</v>
      </c>
      <c r="P21" s="22" cm="1">
        <f t="array" aca="1" ref="P21" ca="1">_FV(RTData[[#This Row],[Company Name]],"Volume")</f>
        <v>1991916</v>
      </c>
      <c r="Q21" s="22" cm="1">
        <f t="array" aca="1" ref="Q21" ca="1">_FV(RTData[[#This Row],[Company Name]],"Volume average",TRUE)</f>
        <v>5221070</v>
      </c>
      <c r="R21" s="106" cm="1">
        <f t="array" aca="1" ref="R21" ca="1">_FV(RTData[[#This Row],[Company Name]],"Beta")</f>
        <v>0.87070000000000003</v>
      </c>
      <c r="T21" t="s">
        <v>19</v>
      </c>
      <c r="U21" t="str" cm="1">
        <f t="array" aca="1" ref="U21" ca="1">_FV(RTData[[#This Row],[Company Name]],"Exchange abbreviation",TRUE)</f>
        <v>XETR</v>
      </c>
      <c r="V21" s="108">
        <f ca="1">IFERROR(RTData[[#This Row],[Volume]]/RTData[[#This Row],[Volume average]],1)</f>
        <v>0.38151490020244894</v>
      </c>
      <c r="W21" s="23"/>
      <c r="X21" s="96">
        <f ca="1">_xlfn.XLOOKUP(RTData[[#This Row],[Ticker_Symbol]],TickerList!$G20:$G114,TickerList!L20:L114)</f>
        <v>17.016529999999999</v>
      </c>
      <c r="Y21" s="89">
        <f ca="1">_xlfn.XLOOKUP(RTData[[#This Row],[Ticker_Symbol]],TickerList!$G20:$G114,TickerList!M20:M114)</f>
        <v>45793</v>
      </c>
      <c r="Z21" s="89">
        <f ca="1">_xlfn.XLOOKUP(RTData[[#This Row],[Ticker_Symbol]],TickerList!$G20:$G114,TickerList!N20:N114)</f>
        <v>0</v>
      </c>
      <c r="AA21" s="90">
        <f ca="1">_xlfn.XLOOKUP(RTData[[#This Row],[Ticker_Symbol]],TickerList!$G20:$G114,TickerList!O20:O114)</f>
        <v>3.4299999999999997E-2</v>
      </c>
      <c r="AB21" s="91">
        <v>1E-4</v>
      </c>
      <c r="AC21" s="92">
        <f t="shared" si="0"/>
        <v>3.0000000000000001E-3</v>
      </c>
      <c r="AD21" s="78">
        <v>19.77</v>
      </c>
      <c r="AE21" s="93">
        <f ca="1">_xlfn.LET(_xlpm.New1YT,RTData[[#This Row],[1YT]],        _xlpm.Old1YT,IF(ISNUMBER(RTData[[#This Row],[Old1YT]]),RTData[[#This Row],[Old1YT]],VALUE(LEFT(RTData[[#This Row],[Old1YT]],FIND("/",RTData[[#This Row],[Old1YT]],1)-1))),       IF(OR(RTData[[#This Row],[1YT]]=0,_xlpm.Old1YT=0),0,(_xlpm.New1YT-_xlpm.Old1YT)/_xlpm.Old1YT))</f>
        <v>-0.13927516439049065</v>
      </c>
      <c r="AF21" s="93" t="str">
        <f ca="1">TEXT(RTData[[#This Row],[1YT]],"#,#0.00")&amp;" &lt; "&amp;RTData[[#This Row],[Old1YT]]</f>
        <v>17.02 &lt; 19.77</v>
      </c>
    </row>
    <row r="22" spans="1:32" x14ac:dyDescent="0.3">
      <c r="A22" s="15" t="str" cm="1">
        <f t="array" aca="1" ref="A22" ca="1">_xlfn.SINGLE(RTData[suffix])&amp;_FV(RTData[[#This Row],[Company Name]],"Ticker symbol",TRUE)</f>
        <v>EPIX</v>
      </c>
      <c r="B22" s="15">
        <f t="shared" ca="1" si="2"/>
        <v>0.85142613878246054</v>
      </c>
      <c r="C22" t="e" vm="20">
        <v>#VALUE!</v>
      </c>
      <c r="D22" s="104" t="str" cm="1">
        <f t="array" aca="1" ref="D22" ca="1">_FV(RTData[[#This Row],[Company Name]],"Currency")</f>
        <v>USD</v>
      </c>
      <c r="E22" s="17" cm="1">
        <f t="array" aca="1" ref="E22" ca="1">_FV(RTData[[#This Row],[Company Name]],"Last trade time",TRUE)</f>
        <v>45938.992447279685</v>
      </c>
      <c r="F22" s="106" cm="1">
        <f t="array" aca="1" ref="F22" ca="1">_FV(RTData[[#This Row],[Company Name]],"Previous close",TRUE)</f>
        <v>0.20499999999999999</v>
      </c>
      <c r="G22" s="106" cm="1">
        <f t="array" aca="1" ref="G22" ca="1">IFERROR(_FV(RTData[[#This Row],[Company Name]],"Open"),RTData[[#This Row],[Close]])</f>
        <v>0.2</v>
      </c>
      <c r="H22" s="106" cm="1">
        <f t="array" aca="1" ref="H22" ca="1">_FV(RTData[[#This Row],[Company Name]],"Price")</f>
        <v>0.20119999999999999</v>
      </c>
      <c r="I22" s="106" cm="1">
        <f t="array" aca="1" ref="I22" ca="1">IFERROR(_FV(RTData[[#This Row],[Company Name]],"Low"),0)</f>
        <v>0.18990000000000001</v>
      </c>
      <c r="J22" s="106"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106" cm="1">
        <f t="array" aca="1" ref="N22" ca="1">_FV(RTData[[#This Row],[Company Name]],"52 week low",TRUE)</f>
        <v>0.17330000000000001</v>
      </c>
      <c r="O22" s="106"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106"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96">
        <f ca="1">_xlfn.XLOOKUP(RTData[[#This Row],[Ticker_Symbol]],TickerList!$G21:$G115,TickerList!L21:L115)</f>
        <v>0</v>
      </c>
      <c r="Y22" s="89">
        <f ca="1">_xlfn.XLOOKUP(RTData[[#This Row],[Ticker_Symbol]],TickerList!$G21:$G115,TickerList!M21:M115)</f>
        <v>0</v>
      </c>
      <c r="Z22" s="89">
        <f ca="1">_xlfn.XLOOKUP(RTData[[#This Row],[Ticker_Symbol]],TickerList!$G21:$G115,TickerList!N21:N115)</f>
        <v>0</v>
      </c>
      <c r="AA22" s="90">
        <f ca="1">_xlfn.XLOOKUP(RTData[[#This Row],[Ticker_Symbol]],TickerList!$G21:$G115,TickerList!O21:O115)</f>
        <v>0</v>
      </c>
      <c r="AB22" s="91"/>
      <c r="AC22" s="92">
        <f t="shared" si="0"/>
        <v>3.0000000000000001E-3</v>
      </c>
      <c r="AD22" s="78" t="s">
        <v>61</v>
      </c>
      <c r="AE22" s="93">
        <f ca="1">_xlfn.LET(_xlpm.New1YT,RTData[[#This Row],[1YT]],        _xlpm.Old1YT,IF(ISNUMBER(RTData[[#This Row],[Old1YT]]),RTData[[#This Row],[Old1YT]],VALUE(LEFT(RTData[[#This Row],[Old1YT]],FIND("/",RTData[[#This Row],[Old1YT]],1)-1))),       IF(OR(RTData[[#This Row],[1YT]]=0,_xlpm.Old1YT=0),0,(_xlpm.New1YT-_xlpm.Old1YT)/_xlpm.Old1YT))</f>
        <v>0</v>
      </c>
      <c r="AF22" s="93" t="str">
        <f ca="1">TEXT(RTData[[#This Row],[1YT]],"#,#0.00")&amp;" &lt; "&amp;RTData[[#This Row],[Old1YT]]</f>
        <v>0.00 &lt; 16.71/16.47/14.8</v>
      </c>
    </row>
    <row r="23" spans="1:32" x14ac:dyDescent="0.3">
      <c r="A23" s="15" t="str" cm="1">
        <f t="array" aca="1" ref="A23" ca="1">_xlfn.SINGLE(RTData[suffix])&amp;_FV(RTData[[#This Row],[Company Name]],"Ticker symbol",TRUE)</f>
        <v>GM</v>
      </c>
      <c r="B23" s="15">
        <f t="shared" ca="1" si="2"/>
        <v>0.85142613878246054</v>
      </c>
      <c r="C23" t="e" vm="21">
        <v>#VALUE!</v>
      </c>
      <c r="D23" s="104" t="str" cm="1">
        <f t="array" aca="1" ref="D23" ca="1">_FV(RTData[[#This Row],[Company Name]],"Currency")</f>
        <v>USD</v>
      </c>
      <c r="E23" s="17" cm="1">
        <f t="array" aca="1" ref="E23" ca="1">_FV(RTData[[#This Row],[Company Name]],"Last trade time",TRUE)</f>
        <v>46022.930884328125</v>
      </c>
      <c r="F23" s="106" cm="1">
        <f t="array" aca="1" ref="F23" ca="1">_FV(RTData[[#This Row],[Company Name]],"Previous close",TRUE)</f>
        <v>82.33</v>
      </c>
      <c r="G23" s="106" cm="1">
        <f t="array" aca="1" ref="G23" ca="1">IFERROR(_FV(RTData[[#This Row],[Company Name]],"Open"),RTData[[#This Row],[Close]])</f>
        <v>82.25</v>
      </c>
      <c r="H23" s="106" cm="1">
        <f t="array" aca="1" ref="H23" ca="1">_FV(RTData[[#This Row],[Company Name]],"Price")</f>
        <v>81.334999999999994</v>
      </c>
      <c r="I23" s="106" cm="1">
        <f t="array" aca="1" ref="I23" ca="1">IFERROR(_FV(RTData[[#This Row],[Company Name]],"Low"),0)</f>
        <v>81.25</v>
      </c>
      <c r="J23" s="106" cm="1">
        <f t="array" aca="1" ref="J23" ca="1">IFERROR(_FV(RTData[[#This Row],[Company Name]],"High"),0)</f>
        <v>82.27</v>
      </c>
      <c r="K23" s="19" cm="1">
        <f t="array" aca="1" ref="K23" ca="1">IFERROR(_FV(RTData[[#This Row],[Company Name]],"P/E",TRUE),99)</f>
        <v>15.643800000000001</v>
      </c>
      <c r="L23" s="20" cm="1">
        <f t="array" aca="1" ref="L23" ca="1">_FV(RTData[[#This Row],[Company Name]],"Change")</f>
        <v>-0.995</v>
      </c>
      <c r="M23" s="21" cm="1">
        <f t="array" aca="1" ref="M23" ca="1">_FV(RTData[[#This Row],[Company Name]],"Change (%)",TRUE)</f>
        <v>-1.2086E-2</v>
      </c>
      <c r="N23" s="106" cm="1">
        <f t="array" aca="1" ref="N23" ca="1">_FV(RTData[[#This Row],[Company Name]],"52 week low",TRUE)</f>
        <v>41.6</v>
      </c>
      <c r="O23" s="106" cm="1">
        <f t="array" aca="1" ref="O23" ca="1">_FV(RTData[[#This Row],[Company Name]],"52 week high",TRUE)</f>
        <v>83.68</v>
      </c>
      <c r="P23" s="22" cm="1">
        <f t="array" aca="1" ref="P23" ca="1">_FV(RTData[[#This Row],[Company Name]],"Volume")</f>
        <v>4371411</v>
      </c>
      <c r="Q23" s="22" cm="1">
        <f t="array" aca="1" ref="Q23" ca="1">_FV(RTData[[#This Row],[Company Name]],"Volume average",TRUE)</f>
        <v>9290053</v>
      </c>
      <c r="R23" s="106" cm="1">
        <f t="array" aca="1" ref="R23" ca="1">_FV(RTData[[#This Row],[Company Name]],"Beta")</f>
        <v>1.3231999999999999</v>
      </c>
      <c r="T23" t="s">
        <v>19</v>
      </c>
      <c r="U23" t="str" cm="1">
        <f t="array" aca="1" ref="U23" ca="1">_FV(RTData[[#This Row],[Company Name]],"Exchange abbreviation",TRUE)</f>
        <v>XNYS</v>
      </c>
      <c r="V23" s="23">
        <f ca="1">IFERROR(RTData[[#This Row],[Volume]]/RTData[[#This Row],[Volume average]],1)</f>
        <v>0.47054747696272564</v>
      </c>
      <c r="W23" s="23"/>
      <c r="X23" s="96">
        <f ca="1">_xlfn.XLOOKUP(RTData[[#This Row],[Ticker_Symbol]],TickerList!$G22:$G116,TickerList!L22:L116)</f>
        <v>79.458330000000004</v>
      </c>
      <c r="Y23" s="89">
        <f ca="1">_xlfn.XLOOKUP(RTData[[#This Row],[Ticker_Symbol]],TickerList!$G22:$G116,TickerList!M22:M116)</f>
        <v>45996</v>
      </c>
      <c r="Z23" s="89">
        <f ca="1">_xlfn.XLOOKUP(RTData[[#This Row],[Ticker_Symbol]],TickerList!$G22:$G116,TickerList!N22:N116)</f>
        <v>0</v>
      </c>
      <c r="AA23" s="90">
        <f ca="1">_xlfn.XLOOKUP(RTData[[#This Row],[Ticker_Symbol]],TickerList!$G22:$G116,TickerList!O22:O116)</f>
        <v>7.2000003000000003E-3</v>
      </c>
      <c r="AB23" s="91">
        <v>1E-4</v>
      </c>
      <c r="AC23" s="92">
        <f t="shared" si="0"/>
        <v>3.0000000000000001E-3</v>
      </c>
      <c r="AD23" s="78">
        <v>9.32</v>
      </c>
      <c r="AE23" s="93">
        <f ca="1">_xlfn.LET(_xlpm.New1YT,RTData[[#This Row],[1YT]],        _xlpm.Old1YT,IF(ISNUMBER(RTData[[#This Row],[Old1YT]]),RTData[[#This Row],[Old1YT]],VALUE(LEFT(RTData[[#This Row],[Old1YT]],FIND("/",RTData[[#This Row],[Old1YT]],1)-1))),       IF(OR(RTData[[#This Row],[1YT]]=0,_xlpm.Old1YT=0),0,(_xlpm.New1YT-_xlpm.Old1YT)/_xlpm.Old1YT))</f>
        <v>7.5255718884120162</v>
      </c>
      <c r="AF23" s="93" t="str">
        <f ca="1">TEXT(RTData[[#This Row],[1YT]],"#,#0.00")&amp;" &lt; "&amp;RTData[[#This Row],[Old1YT]]</f>
        <v>79.46 &lt; 9.32</v>
      </c>
    </row>
    <row r="24" spans="1:32" x14ac:dyDescent="0.3">
      <c r="A24" s="15" t="str" cm="1">
        <f t="array" aca="1" ref="A24" ca="1">_xlfn.SINGLE(RTData[suffix])&amp;_FV(RTData[[#This Row],[Company Name]],"Ticker symbol",TRUE)</f>
        <v>HPE</v>
      </c>
      <c r="B24" s="15">
        <f t="shared" ca="1" si="2"/>
        <v>0.85142613878246054</v>
      </c>
      <c r="C24" t="e" vm="22">
        <v>#VALUE!</v>
      </c>
      <c r="D24" s="104" t="str" cm="1">
        <f t="array" aca="1" ref="D24" ca="1">_FV(RTData[[#This Row],[Company Name]],"Currency")</f>
        <v>USD</v>
      </c>
      <c r="E24" s="17" cm="1">
        <f t="array" aca="1" ref="E24" ca="1">_FV(RTData[[#This Row],[Company Name]],"Last trade time",TRUE)</f>
        <v>46022.925789432811</v>
      </c>
      <c r="F24" s="106" cm="1">
        <f t="array" aca="1" ref="F24" ca="1">_FV(RTData[[#This Row],[Company Name]],"Previous close",TRUE)</f>
        <v>24.07</v>
      </c>
      <c r="G24" s="106" cm="1">
        <f t="array" aca="1" ref="G24" ca="1">IFERROR(_FV(RTData[[#This Row],[Company Name]],"Open"),RTData[[#This Row],[Close]])</f>
        <v>24.02</v>
      </c>
      <c r="H24" s="106" cm="1">
        <f t="array" aca="1" ref="H24" ca="1">_FV(RTData[[#This Row],[Company Name]],"Price")</f>
        <v>24.02</v>
      </c>
      <c r="I24" s="106" cm="1">
        <f t="array" aca="1" ref="I24" ca="1">IFERROR(_FV(RTData[[#This Row],[Company Name]],"Low"),0)</f>
        <v>23.84</v>
      </c>
      <c r="J24" s="106" cm="1">
        <f t="array" aca="1" ref="J24" ca="1">IFERROR(_FV(RTData[[#This Row],[Company Name]],"High"),0)</f>
        <v>24.24</v>
      </c>
      <c r="K24" s="19" cm="1">
        <f t="array" aca="1" ref="K24" ca="1">IFERROR(_FV(RTData[[#This Row],[Company Name]],"P/E",TRUE),99)</f>
        <v>0</v>
      </c>
      <c r="L24" s="20" cm="1">
        <f t="array" aca="1" ref="L24" ca="1">_FV(RTData[[#This Row],[Company Name]],"Change")</f>
        <v>-0.05</v>
      </c>
      <c r="M24" s="21" cm="1">
        <f t="array" aca="1" ref="M24" ca="1">_FV(RTData[[#This Row],[Company Name]],"Change (%)",TRUE)</f>
        <v>-2.0769999999999999E-3</v>
      </c>
      <c r="N24" s="106" cm="1">
        <f t="array" aca="1" ref="N24" ca="1">_FV(RTData[[#This Row],[Company Name]],"52 week low",TRUE)</f>
        <v>11.965</v>
      </c>
      <c r="O24" s="106" cm="1">
        <f t="array" aca="1" ref="O24" ca="1">_FV(RTData[[#This Row],[Company Name]],"52 week high",TRUE)</f>
        <v>26.44</v>
      </c>
      <c r="P24" s="22" cm="1">
        <f t="array" aca="1" ref="P24" ca="1">_FV(RTData[[#This Row],[Company Name]],"Volume")</f>
        <v>14245276</v>
      </c>
      <c r="Q24" s="22" cm="1">
        <f t="array" aca="1" ref="Q24" ca="1">_FV(RTData[[#This Row],[Company Name]],"Volume average",TRUE)</f>
        <v>25400961</v>
      </c>
      <c r="R24" s="106" cm="1">
        <f t="array" aca="1" ref="R24" ca="1">_FV(RTData[[#This Row],[Company Name]],"Beta")</f>
        <v>1.3391999999999999</v>
      </c>
      <c r="T24" t="s">
        <v>19</v>
      </c>
      <c r="U24" t="str" cm="1">
        <f t="array" aca="1" ref="U24" ca="1">_FV(RTData[[#This Row],[Company Name]],"Exchange abbreviation",TRUE)</f>
        <v>XNYS</v>
      </c>
      <c r="V24" s="23">
        <f ca="1">IFERROR(RTData[[#This Row],[Volume]]/RTData[[#This Row],[Volume average]],1)</f>
        <v>0.56081641950475813</v>
      </c>
      <c r="W24" s="23"/>
      <c r="X24" s="96">
        <f ca="1">_xlfn.XLOOKUP(RTData[[#This Row],[Ticker_Symbol]],TickerList!$G23:$G117,TickerList!L23:L117)</f>
        <v>26.27778</v>
      </c>
      <c r="Y24" s="89">
        <f ca="1">_xlfn.XLOOKUP(RTData[[#This Row],[Ticker_Symbol]],TickerList!$G23:$G117,TickerList!M23:M117)</f>
        <v>46010</v>
      </c>
      <c r="Z24" s="89">
        <f ca="1">_xlfn.XLOOKUP(RTData[[#This Row],[Ticker_Symbol]],TickerList!$G23:$G117,TickerList!N23:N117)</f>
        <v>0</v>
      </c>
      <c r="AA24" s="90">
        <f ca="1">_xlfn.XLOOKUP(RTData[[#This Row],[Ticker_Symbol]],TickerList!$G23:$G117,TickerList!O23:O117)</f>
        <v>2.3400000000000001E-2</v>
      </c>
      <c r="AB24" s="91">
        <v>1E-4</v>
      </c>
      <c r="AC24" s="92">
        <f t="shared" si="0"/>
        <v>3.0000000000000001E-3</v>
      </c>
      <c r="AD24" s="78">
        <v>56.25</v>
      </c>
      <c r="AE24" s="93">
        <f ca="1">_xlfn.LET(_xlpm.New1YT,RTData[[#This Row],[1YT]],        _xlpm.Old1YT,IF(ISNUMBER(RTData[[#This Row],[Old1YT]]),RTData[[#This Row],[Old1YT]],VALUE(LEFT(RTData[[#This Row],[Old1YT]],FIND("/",RTData[[#This Row],[Old1YT]],1)-1))),       IF(OR(RTData[[#This Row],[1YT]]=0,_xlpm.Old1YT=0),0,(_xlpm.New1YT-_xlpm.Old1YT)/_xlpm.Old1YT))</f>
        <v>-0.53283946666666671</v>
      </c>
      <c r="AF24" s="93" t="str">
        <f ca="1">TEXT(RTData[[#This Row],[1YT]],"#,#0.00")&amp;" &lt; "&amp;RTData[[#This Row],[Old1YT]]</f>
        <v>26.28 &lt; 56.25</v>
      </c>
    </row>
    <row r="25" spans="1:32" x14ac:dyDescent="0.3">
      <c r="A25" s="15" t="str" cm="1">
        <f t="array" aca="1" ref="A25" ca="1">_xlfn.SINGLE(RTData[suffix])&amp;_FV(RTData[[#This Row],[Company Name]],"Ticker symbol",TRUE)</f>
        <v>HPQ</v>
      </c>
      <c r="B25" s="15">
        <f t="shared" ca="1" si="2"/>
        <v>0.85142613878246054</v>
      </c>
      <c r="C25" t="e" vm="23">
        <v>#VALUE!</v>
      </c>
      <c r="D25" s="104" t="str" cm="1">
        <f t="array" aca="1" ref="D25" ca="1">_FV(RTData[[#This Row],[Company Name]],"Currency")</f>
        <v>USD</v>
      </c>
      <c r="E25" s="17" cm="1">
        <f t="array" aca="1" ref="E25" ca="1">_FV(RTData[[#This Row],[Company Name]],"Last trade time",TRUE)</f>
        <v>46022.930394814066</v>
      </c>
      <c r="F25" s="106" cm="1">
        <f t="array" aca="1" ref="F25" ca="1">_FV(RTData[[#This Row],[Company Name]],"Previous close",TRUE)</f>
        <v>22.9</v>
      </c>
      <c r="G25" s="106" cm="1">
        <f t="array" aca="1" ref="G25" ca="1">IFERROR(_FV(RTData[[#This Row],[Company Name]],"Open"),RTData[[#This Row],[Close]])</f>
        <v>22.86</v>
      </c>
      <c r="H25" s="106" cm="1">
        <f t="array" aca="1" ref="H25" ca="1">_FV(RTData[[#This Row],[Company Name]],"Price")</f>
        <v>22.28</v>
      </c>
      <c r="I25" s="106" cm="1">
        <f t="array" aca="1" ref="I25" ca="1">IFERROR(_FV(RTData[[#This Row],[Company Name]],"Low"),0)</f>
        <v>22.27</v>
      </c>
      <c r="J25" s="106" cm="1">
        <f t="array" aca="1" ref="J25" ca="1">IFERROR(_FV(RTData[[#This Row],[Company Name]],"High"),0)</f>
        <v>22.9</v>
      </c>
      <c r="K25" s="19" cm="1">
        <f t="array" aca="1" ref="K25" ca="1">IFERROR(_FV(RTData[[#This Row],[Company Name]],"P/E",TRUE),99)</f>
        <v>8.3935999999999993</v>
      </c>
      <c r="L25" s="20" cm="1">
        <f t="array" aca="1" ref="L25" ca="1">_FV(RTData[[#This Row],[Company Name]],"Change")</f>
        <v>-0.62</v>
      </c>
      <c r="M25" s="21" cm="1">
        <f t="array" aca="1" ref="M25" ca="1">_FV(RTData[[#This Row],[Company Name]],"Change (%)",TRUE)</f>
        <v>-2.7073999999999997E-2</v>
      </c>
      <c r="N25" s="106" cm="1">
        <f t="array" aca="1" ref="N25" ca="1">_FV(RTData[[#This Row],[Company Name]],"52 week low",TRUE)</f>
        <v>21.21</v>
      </c>
      <c r="O25" s="106" cm="1">
        <f t="array" aca="1" ref="O25" ca="1">_FV(RTData[[#This Row],[Company Name]],"52 week high",TRUE)</f>
        <v>35.274999999999999</v>
      </c>
      <c r="P25" s="22" cm="1">
        <f t="array" aca="1" ref="P25" ca="1">_FV(RTData[[#This Row],[Company Name]],"Volume")</f>
        <v>9640712</v>
      </c>
      <c r="Q25" s="22" cm="1">
        <f t="array" aca="1" ref="Q25" ca="1">_FV(RTData[[#This Row],[Company Name]],"Volume average",TRUE)</f>
        <v>13264148</v>
      </c>
      <c r="R25" s="106" cm="1">
        <f t="array" aca="1" ref="R25" ca="1">_FV(RTData[[#This Row],[Company Name]],"Beta")</f>
        <v>1.2135</v>
      </c>
      <c r="T25" t="s">
        <v>19</v>
      </c>
      <c r="U25" t="str" cm="1">
        <f t="array" aca="1" ref="U25" ca="1">_FV(RTData[[#This Row],[Company Name]],"Exchange abbreviation",TRUE)</f>
        <v>XNYS</v>
      </c>
      <c r="V25" s="23">
        <f ca="1">IFERROR(RTData[[#This Row],[Volume]]/RTData[[#This Row],[Volume average]],1)</f>
        <v>0.72682482131532311</v>
      </c>
      <c r="W25" s="23"/>
      <c r="X25" s="96">
        <f ca="1">_xlfn.XLOOKUP(RTData[[#This Row],[Ticker_Symbol]],TickerList!$G24:$G118,TickerList!L24:L118)</f>
        <v>25.881250000000001</v>
      </c>
      <c r="Y25" s="89">
        <f ca="1">_xlfn.XLOOKUP(RTData[[#This Row],[Ticker_Symbol]],TickerList!$G24:$G118,TickerList!M24:M118)</f>
        <v>46002</v>
      </c>
      <c r="Z25" s="89">
        <f ca="1">_xlfn.XLOOKUP(RTData[[#This Row],[Ticker_Symbol]],TickerList!$G24:$G118,TickerList!N24:N118)</f>
        <v>0</v>
      </c>
      <c r="AA25" s="90">
        <f ca="1">_xlfn.XLOOKUP(RTData[[#This Row],[Ticker_Symbol]],TickerList!$G24:$G118,TickerList!O24:O118)</f>
        <v>5.2800002999999998E-2</v>
      </c>
      <c r="AB25" s="91">
        <v>1E-4</v>
      </c>
      <c r="AC25" s="92">
        <f t="shared" si="0"/>
        <v>3.0000000000000001E-3</v>
      </c>
      <c r="AD25" s="78" t="s">
        <v>47</v>
      </c>
      <c r="AE25" s="93">
        <f ca="1">_xlfn.LET(_xlpm.New1YT,RTData[[#This Row],[1YT]],        _xlpm.Old1YT,IF(ISNUMBER(RTData[[#This Row],[Old1YT]]),RTData[[#This Row],[Old1YT]],VALUE(LEFT(RTData[[#This Row],[Old1YT]],FIND("/",RTData[[#This Row],[Old1YT]],1)-1))),       IF(OR(RTData[[#This Row],[1YT]]=0,_xlpm.Old1YT=0),0,(_xlpm.New1YT-_xlpm.Old1YT)/_xlpm.Old1YT))</f>
        <v>0.20546110852352131</v>
      </c>
      <c r="AF25" s="93" t="str">
        <f ca="1">TEXT(RTData[[#This Row],[1YT]],"#,#0.00")&amp;" &lt; "&amp;RTData[[#This Row],[Old1YT]]</f>
        <v>25.88 &lt; 21.47/20.14</v>
      </c>
    </row>
    <row r="26" spans="1:32" x14ac:dyDescent="0.3">
      <c r="A26" s="15" t="str" cm="1">
        <f t="array" aca="1" ref="A26" ca="1">_xlfn.SINGLE(RTData[suffix])&amp;_FV(RTData[[#This Row],[Company Name]],"Ticker symbol",TRUE)</f>
        <v>IAG</v>
      </c>
      <c r="B26" s="15">
        <f ca="1">B5</f>
        <v>7.4209999999999996E-3</v>
      </c>
      <c r="C26" t="e" vm="24">
        <v>#VALUE!</v>
      </c>
      <c r="D26" s="104" t="str" cm="1">
        <f t="array" aca="1" ref="D26" ca="1">_FV(RTData[[#This Row],[Company Name]],"Currency")</f>
        <v>GBp</v>
      </c>
      <c r="E26" s="17" cm="1">
        <f t="array" aca="1" ref="E26" ca="1">_FV(RTData[[#This Row],[Company Name]],"Last trade time",TRUE)</f>
        <v>46022.527524525001</v>
      </c>
      <c r="F26" s="106" cm="1">
        <f t="array" aca="1" ref="F26" ca="1">_FV(RTData[[#This Row],[Company Name]],"Previous close",TRUE)</f>
        <v>415</v>
      </c>
      <c r="G26" s="106" cm="1">
        <f t="array" aca="1" ref="G26" ca="1">IFERROR(_FV(RTData[[#This Row],[Company Name]],"Open"),RTData[[#This Row],[Close]])</f>
        <v>416.1</v>
      </c>
      <c r="H26" s="106" cm="1">
        <f t="array" aca="1" ref="H26" ca="1">_FV(RTData[[#This Row],[Company Name]],"Price")</f>
        <v>414.3</v>
      </c>
      <c r="I26" s="106" cm="1">
        <f t="array" aca="1" ref="I26" ca="1">IFERROR(_FV(RTData[[#This Row],[Company Name]],"Low"),0)</f>
        <v>412.7</v>
      </c>
      <c r="J26" s="106" cm="1">
        <f t="array" aca="1" ref="J26" ca="1">IFERROR(_FV(RTData[[#This Row],[Company Name]],"High"),0)</f>
        <v>416.1</v>
      </c>
      <c r="K26" s="19" cm="1">
        <f t="array" aca="1" ref="K26" ca="1">IFERROR(_FV(RTData[[#This Row],[Company Name]],"P/E",TRUE),99)</f>
        <v>7.4634999999999998</v>
      </c>
      <c r="L26" s="20" cm="1">
        <f t="array" aca="1" ref="L26" ca="1">_FV(RTData[[#This Row],[Company Name]],"Change")</f>
        <v>-0.7</v>
      </c>
      <c r="M26" s="21" cm="1">
        <f t="array" aca="1" ref="M26" ca="1">_FV(RTData[[#This Row],[Company Name]],"Change (%)",TRUE)</f>
        <v>-1.6869999999999999E-3</v>
      </c>
      <c r="N26" s="106" cm="1">
        <f t="array" aca="1" ref="N26" ca="1">_FV(RTData[[#This Row],[Company Name]],"52 week low",TRUE)</f>
        <v>210</v>
      </c>
      <c r="O26" s="106" cm="1">
        <f t="array" aca="1" ref="O26" ca="1">_FV(RTData[[#This Row],[Company Name]],"52 week high",TRUE)</f>
        <v>429.3</v>
      </c>
      <c r="P26" s="22" cm="1">
        <f t="array" aca="1" ref="P26" ca="1">_FV(RTData[[#This Row],[Company Name]],"Volume")</f>
        <v>3559933</v>
      </c>
      <c r="Q26" s="22" cm="1">
        <f t="array" aca="1" ref="Q26" ca="1">_FV(RTData[[#This Row],[Company Name]],"Volume average",TRUE)</f>
        <v>15852740</v>
      </c>
      <c r="R26" s="106" cm="1">
        <f t="array" aca="1" ref="R26" ca="1">_FV(RTData[[#This Row],[Company Name]],"Beta")</f>
        <v>2.3386999999999998</v>
      </c>
      <c r="T26" t="s">
        <v>19</v>
      </c>
      <c r="U26" t="str" cm="1">
        <f t="array" aca="1" ref="U26" ca="1">_FV(RTData[[#This Row],[Company Name]],"Exchange abbreviation",TRUE)</f>
        <v>XLON</v>
      </c>
      <c r="V26" s="23">
        <f ca="1">IFERROR(RTData[[#This Row],[Volume]]/RTData[[#This Row],[Volume average]],1)</f>
        <v>0.22456263081334835</v>
      </c>
      <c r="W26" s="23"/>
      <c r="X26" s="96">
        <f ca="1">_xlfn.XLOOKUP(RTData[[#This Row],[Ticker_Symbol]],TickerList!$G25:$G119,TickerList!L25:L119)</f>
        <v>475.47250000000003</v>
      </c>
      <c r="Y26" s="89">
        <f ca="1">_xlfn.XLOOKUP(RTData[[#This Row],[Ticker_Symbol]],TickerList!$G25:$G119,TickerList!M25:M119)</f>
        <v>45988</v>
      </c>
      <c r="Z26" s="89">
        <f ca="1">_xlfn.XLOOKUP(RTData[[#This Row],[Ticker_Symbol]],TickerList!$G25:$G119,TickerList!N25:N119)</f>
        <v>0</v>
      </c>
      <c r="AA26" s="90">
        <f ca="1">_xlfn.XLOOKUP(RTData[[#This Row],[Ticker_Symbol]],TickerList!$G25:$G119,TickerList!O25:O119)</f>
        <v>2.2599999999999999E-2</v>
      </c>
      <c r="AB26" s="91">
        <v>1E-4</v>
      </c>
      <c r="AC26" s="92">
        <f t="shared" si="0"/>
        <v>3.0000000000000001E-3</v>
      </c>
      <c r="AD26" s="78">
        <v>36.26</v>
      </c>
      <c r="AE26" s="93">
        <f ca="1">_xlfn.LET(_xlpm.New1YT,RTData[[#This Row],[1YT]],        _xlpm.Old1YT,IF(ISNUMBER(RTData[[#This Row],[Old1YT]]),RTData[[#This Row],[Old1YT]],VALUE(LEFT(RTData[[#This Row],[Old1YT]],FIND("/",RTData[[#This Row],[Old1YT]],1)-1))),       IF(OR(RTData[[#This Row],[1YT]]=0,_xlpm.Old1YT=0),0,(_xlpm.New1YT-_xlpm.Old1YT)/_xlpm.Old1YT))</f>
        <v>12.112865416436847</v>
      </c>
      <c r="AF26" s="93" t="str">
        <f ca="1">TEXT(RTData[[#This Row],[1YT]],"#,#0.00")&amp;" &lt; "&amp;RTData[[#This Row],[Old1YT]]</f>
        <v>475.47 &lt; 36.26</v>
      </c>
    </row>
    <row r="27" spans="1:32" x14ac:dyDescent="0.3">
      <c r="A27" s="15" t="str" cm="1">
        <f t="array" aca="1" ref="A27" ca="1">_xlfn.SINGLE(RTData[suffix])&amp;_FV(RTData[[#This Row],[Company Name]],"Ticker symbol",TRUE)</f>
        <v>KR</v>
      </c>
      <c r="B27" s="15">
        <f ca="1">D$100</f>
        <v>0.85142613878246054</v>
      </c>
      <c r="C27" t="e" vm="25">
        <v>#VALUE!</v>
      </c>
      <c r="D27" s="104" t="str" cm="1">
        <f t="array" aca="1" ref="D27" ca="1">_FV(RTData[[#This Row],[Company Name]],"Currency")</f>
        <v>USD</v>
      </c>
      <c r="E27" s="17" cm="1">
        <f t="array" aca="1" ref="E27" ca="1">_FV(RTData[[#This Row],[Company Name]],"Last trade time",TRUE)</f>
        <v>46022.915726145315</v>
      </c>
      <c r="F27" s="106" cm="1">
        <f t="array" aca="1" ref="F27" ca="1">_FV(RTData[[#This Row],[Company Name]],"Previous close",TRUE)</f>
        <v>62.68</v>
      </c>
      <c r="G27" s="106" cm="1">
        <f t="array" aca="1" ref="G27" ca="1">IFERROR(_FV(RTData[[#This Row],[Company Name]],"Open"),RTData[[#This Row],[Close]])</f>
        <v>62.6</v>
      </c>
      <c r="H27" s="106" cm="1">
        <f t="array" aca="1" ref="H27" ca="1">_FV(RTData[[#This Row],[Company Name]],"Price")</f>
        <v>62.48</v>
      </c>
      <c r="I27" s="106" cm="1">
        <f t="array" aca="1" ref="I27" ca="1">IFERROR(_FV(RTData[[#This Row],[Company Name]],"Low"),0)</f>
        <v>62.46</v>
      </c>
      <c r="J27" s="106" cm="1">
        <f t="array" aca="1" ref="J27" ca="1">IFERROR(_FV(RTData[[#This Row],[Company Name]],"High"),0)</f>
        <v>62.79</v>
      </c>
      <c r="K27" s="19" cm="1">
        <f t="array" aca="1" ref="K27" ca="1">IFERROR(_FV(RTData[[#This Row],[Company Name]],"P/E",TRUE),99)</f>
        <v>57.226599999999998</v>
      </c>
      <c r="L27" s="20" cm="1">
        <f t="array" aca="1" ref="L27" ca="1">_FV(RTData[[#This Row],[Company Name]],"Change")</f>
        <v>-0.2</v>
      </c>
      <c r="M27" s="21" cm="1">
        <f t="array" aca="1" ref="M27" ca="1">_FV(RTData[[#This Row],[Company Name]],"Change (%)",TRUE)</f>
        <v>-3.1909999999999998E-3</v>
      </c>
      <c r="N27" s="106" cm="1">
        <f t="array" aca="1" ref="N27" ca="1">_FV(RTData[[#This Row],[Company Name]],"52 week low",TRUE)</f>
        <v>58.12</v>
      </c>
      <c r="O27" s="106" cm="1">
        <f t="array" aca="1" ref="O27" ca="1">_FV(RTData[[#This Row],[Company Name]],"52 week high",TRUE)</f>
        <v>74.900000000000006</v>
      </c>
      <c r="P27" s="22" cm="1">
        <f t="array" aca="1" ref="P27" ca="1">_FV(RTData[[#This Row],[Company Name]],"Volume")</f>
        <v>3752647</v>
      </c>
      <c r="Q27" s="22" cm="1">
        <f t="array" aca="1" ref="Q27" ca="1">_FV(RTData[[#This Row],[Company Name]],"Volume average",TRUE)</f>
        <v>6716686</v>
      </c>
      <c r="R27" s="106" cm="1">
        <f t="array" aca="1" ref="R27" ca="1">_FV(RTData[[#This Row],[Company Name]],"Beta")</f>
        <v>0.59530000000000005</v>
      </c>
      <c r="T27" t="s">
        <v>19</v>
      </c>
      <c r="U27" t="str" cm="1">
        <f t="array" aca="1" ref="U27" ca="1">_FV(RTData[[#This Row],[Company Name]],"Exchange abbreviation",TRUE)</f>
        <v>XNYS</v>
      </c>
      <c r="V27" s="23">
        <f ca="1">IFERROR(RTData[[#This Row],[Volume]]/RTData[[#This Row],[Volume average]],1)</f>
        <v>0.55870514119611958</v>
      </c>
      <c r="W27" s="23"/>
      <c r="X27" s="96">
        <f ca="1">_xlfn.XLOOKUP(RTData[[#This Row],[Ticker_Symbol]],TickerList!$G26:$G120,TickerList!L26:L120)</f>
        <v>73.818179999999998</v>
      </c>
      <c r="Y27" s="89">
        <f ca="1">_xlfn.XLOOKUP(RTData[[#This Row],[Ticker_Symbol]],TickerList!$G26:$G120,TickerList!M26:M120)</f>
        <v>45975</v>
      </c>
      <c r="Z27" s="89">
        <f ca="1">_xlfn.XLOOKUP(RTData[[#This Row],[Ticker_Symbol]],TickerList!$G26:$G120,TickerList!N26:N120)</f>
        <v>0</v>
      </c>
      <c r="AA27" s="90">
        <f ca="1">_xlfn.XLOOKUP(RTData[[#This Row],[Ticker_Symbol]],TickerList!$G26:$G120,TickerList!O26:O120)</f>
        <v>2.23E-2</v>
      </c>
      <c r="AB27" s="91"/>
      <c r="AC27" s="92">
        <f t="shared" si="0"/>
        <v>3.0000000000000001E-3</v>
      </c>
      <c r="AD27" s="78">
        <v>393.1</v>
      </c>
      <c r="AE27" s="93">
        <f ca="1">_xlfn.LET(_xlpm.New1YT,RTData[[#This Row],[1YT]],        _xlpm.Old1YT,IF(ISNUMBER(RTData[[#This Row],[Old1YT]]),RTData[[#This Row],[Old1YT]],VALUE(LEFT(RTData[[#This Row],[Old1YT]],FIND("/",RTData[[#This Row],[Old1YT]],1)-1))),       IF(OR(RTData[[#This Row],[1YT]]=0,_xlpm.Old1YT=0),0,(_xlpm.New1YT-_xlpm.Old1YT)/_xlpm.Old1YT))</f>
        <v>-0.81221526329178328</v>
      </c>
      <c r="AF27" s="93" t="str">
        <f ca="1">TEXT(RTData[[#This Row],[1YT]],"#,#0.00")&amp;" &lt; "&amp;RTData[[#This Row],[Old1YT]]</f>
        <v>73.82 &lt; 393.1</v>
      </c>
    </row>
    <row r="28" spans="1:32" x14ac:dyDescent="0.3">
      <c r="A28" s="15" t="str" cm="1">
        <f t="array" aca="1" ref="A28" ca="1">_xlfn.SINGLE(RTData[suffix])&amp;_FV(RTData[[#This Row],[Company Name]],"Ticker symbol",TRUE)</f>
        <v>LNSR</v>
      </c>
      <c r="B28" s="15">
        <f t="shared" ref="B28:B41" ca="1" si="3">D$100</f>
        <v>0.85142613878246054</v>
      </c>
      <c r="C28" t="e" vm="26">
        <v>#VALUE!</v>
      </c>
      <c r="D28" s="104" t="str" cm="1">
        <f t="array" aca="1" ref="D28" ca="1">_FV(RTData[[#This Row],[Company Name]],"Currency")</f>
        <v>USD</v>
      </c>
      <c r="E28" s="17" cm="1">
        <f t="array" aca="1" ref="E28" ca="1">_FV(RTData[[#This Row],[Company Name]],"Last trade time",TRUE)</f>
        <v>46022.881989328125</v>
      </c>
      <c r="F28" s="106" cm="1">
        <f t="array" aca="1" ref="F28" ca="1">_FV(RTData[[#This Row],[Company Name]],"Previous close",TRUE)</f>
        <v>11.63</v>
      </c>
      <c r="G28" s="106" cm="1">
        <f t="array" aca="1" ref="G28" ca="1">IFERROR(_FV(RTData[[#This Row],[Company Name]],"Open"),RTData[[#This Row],[Close]])</f>
        <v>11.6</v>
      </c>
      <c r="H28" s="106" cm="1">
        <f t="array" aca="1" ref="H28" ca="1">_FV(RTData[[#This Row],[Company Name]],"Price")</f>
        <v>11.63</v>
      </c>
      <c r="I28" s="106" cm="1">
        <f t="array" aca="1" ref="I28" ca="1">IFERROR(_FV(RTData[[#This Row],[Company Name]],"Low"),0)</f>
        <v>11.6</v>
      </c>
      <c r="J28" s="106" cm="1">
        <f t="array" aca="1" ref="J28" ca="1">IFERROR(_FV(RTData[[#This Row],[Company Name]],"High"),0)</f>
        <v>11.7905</v>
      </c>
      <c r="K28" s="19" cm="1">
        <f t="array" aca="1" ref="K28" ca="1">IFERROR(_FV(RTData[[#This Row],[Company Name]],"P/E",TRUE),99)</f>
        <v>0</v>
      </c>
      <c r="L28" s="20" cm="1">
        <f t="array" aca="1" ref="L28" ca="1">_FV(RTData[[#This Row],[Company Name]],"Change")</f>
        <v>0</v>
      </c>
      <c r="M28" s="21" cm="1">
        <f t="array" aca="1" ref="M28" ca="1">_FV(RTData[[#This Row],[Company Name]],"Change (%)",TRUE)</f>
        <v>0</v>
      </c>
      <c r="N28" s="106" cm="1">
        <f t="array" aca="1" ref="N28" ca="1">_FV(RTData[[#This Row],[Company Name]],"52 week low",TRUE)</f>
        <v>7.25</v>
      </c>
      <c r="O28" s="106" cm="1">
        <f t="array" aca="1" ref="O28" ca="1">_FV(RTData[[#This Row],[Company Name]],"52 week high",TRUE)</f>
        <v>17.309999999999999</v>
      </c>
      <c r="P28" s="22" cm="1">
        <f t="array" aca="1" ref="P28" ca="1">_FV(RTData[[#This Row],[Company Name]],"Volume")</f>
        <v>25738</v>
      </c>
      <c r="Q28" s="22" cm="1">
        <f t="array" aca="1" ref="Q28" ca="1">_FV(RTData[[#This Row],[Company Name]],"Volume average",TRUE)</f>
        <v>46645</v>
      </c>
      <c r="R28" s="106" cm="1">
        <f t="array" aca="1" ref="R28" ca="1">_FV(RTData[[#This Row],[Company Name]],"Beta")</f>
        <v>0.70289999999999997</v>
      </c>
      <c r="T28" t="s">
        <v>19</v>
      </c>
      <c r="U28" t="str" cm="1">
        <f t="array" aca="1" ref="U28" ca="1">_FV(RTData[[#This Row],[Company Name]],"Exchange abbreviation",TRUE)</f>
        <v>XNAS</v>
      </c>
      <c r="V28" s="23">
        <f ca="1">IFERROR(RTData[[#This Row],[Volume]]/RTData[[#This Row],[Volume average]],1)</f>
        <v>0.55178475720870401</v>
      </c>
      <c r="W28" s="23"/>
      <c r="X28" s="96">
        <f ca="1">_xlfn.XLOOKUP(RTData[[#This Row],[Ticker_Symbol]],TickerList!$G27:$G121,TickerList!L27:L121)</f>
        <v>15</v>
      </c>
      <c r="Y28" s="89">
        <f ca="1">_xlfn.XLOOKUP(RTData[[#This Row],[Ticker_Symbol]],TickerList!$G27:$G121,TickerList!M27:M121)</f>
        <v>0</v>
      </c>
      <c r="Z28" s="89">
        <f ca="1">_xlfn.XLOOKUP(RTData[[#This Row],[Ticker_Symbol]],TickerList!$G27:$G121,TickerList!N27:N121)</f>
        <v>0</v>
      </c>
      <c r="AA28" s="90">
        <f ca="1">_xlfn.XLOOKUP(RTData[[#This Row],[Ticker_Symbol]],TickerList!$G27:$G121,TickerList!O27:O121)</f>
        <v>0</v>
      </c>
      <c r="AB28" s="91">
        <v>1E-4</v>
      </c>
      <c r="AC28" s="92">
        <f t="shared" si="0"/>
        <v>3.0000000000000001E-3</v>
      </c>
      <c r="AD28" s="78">
        <v>66.5</v>
      </c>
      <c r="AE28" s="93">
        <f ca="1">_xlfn.LET(_xlpm.New1YT,RTData[[#This Row],[1YT]],        _xlpm.Old1YT,IF(ISNUMBER(RTData[[#This Row],[Old1YT]]),RTData[[#This Row],[Old1YT]],VALUE(LEFT(RTData[[#This Row],[Old1YT]],FIND("/",RTData[[#This Row],[Old1YT]],1)-1))),       IF(OR(RTData[[#This Row],[1YT]]=0,_xlpm.Old1YT=0),0,(_xlpm.New1YT-_xlpm.Old1YT)/_xlpm.Old1YT))</f>
        <v>-0.77443609022556392</v>
      </c>
      <c r="AF28" s="93" t="str">
        <f ca="1">TEXT(RTData[[#This Row],[1YT]],"#,#0.00")&amp;" &lt; "&amp;RTData[[#This Row],[Old1YT]]</f>
        <v>15.00 &lt; 66.5</v>
      </c>
    </row>
    <row r="29" spans="1:32" x14ac:dyDescent="0.3">
      <c r="A29" s="15" t="str" cm="1">
        <f t="array" aca="1" ref="A29" ca="1">_xlfn.SINGLE(RTData[suffix])&amp;_FV(RTData[[#This Row],[Company Name]],"Ticker symbol",TRUE)</f>
        <v>LUMN</v>
      </c>
      <c r="B29" s="15">
        <f t="shared" ca="1" si="3"/>
        <v>0.85142613878246054</v>
      </c>
      <c r="C29" t="e" vm="27">
        <v>#VALUE!</v>
      </c>
      <c r="D29" s="104" t="str" cm="1">
        <f t="array" aca="1" ref="D29" ca="1">_FV(RTData[[#This Row],[Company Name]],"Currency")</f>
        <v>USD</v>
      </c>
      <c r="E29" s="17" cm="1">
        <f t="array" aca="1" ref="E29" ca="1">_FV(RTData[[#This Row],[Company Name]],"Last trade time",TRUE)</f>
        <v>46022.930675856252</v>
      </c>
      <c r="F29" s="106" cm="1">
        <f t="array" aca="1" ref="F29" ca="1">_FV(RTData[[#This Row],[Company Name]],"Previous close",TRUE)</f>
        <v>7.82</v>
      </c>
      <c r="G29" s="106" cm="1">
        <f t="array" aca="1" ref="G29" ca="1">IFERROR(_FV(RTData[[#This Row],[Company Name]],"Open"),RTData[[#This Row],[Close]])</f>
        <v>7.76</v>
      </c>
      <c r="H29" s="106" cm="1">
        <f t="array" aca="1" ref="H29" ca="1">_FV(RTData[[#This Row],[Company Name]],"Price")</f>
        <v>7.77</v>
      </c>
      <c r="I29" s="106" cm="1">
        <f t="array" aca="1" ref="I29" ca="1">IFERROR(_FV(RTData[[#This Row],[Company Name]],"Low"),0)</f>
        <v>7.67</v>
      </c>
      <c r="J29" s="106" cm="1">
        <f t="array" aca="1" ref="J29" ca="1">IFERROR(_FV(RTData[[#This Row],[Company Name]],"High"),0)</f>
        <v>7.84</v>
      </c>
      <c r="K29" s="19" cm="1">
        <f t="array" aca="1" ref="K29" ca="1">IFERROR(_FV(RTData[[#This Row],[Company Name]],"P/E",TRUE),99)</f>
        <v>0</v>
      </c>
      <c r="L29" s="20" cm="1">
        <f t="array" aca="1" ref="L29" ca="1">_FV(RTData[[#This Row],[Company Name]],"Change")</f>
        <v>-0.05</v>
      </c>
      <c r="M29" s="21" cm="1">
        <f t="array" aca="1" ref="M29" ca="1">_FV(RTData[[#This Row],[Company Name]],"Change (%)",TRUE)</f>
        <v>-6.3939999999999995E-3</v>
      </c>
      <c r="N29" s="106" cm="1">
        <f t="array" aca="1" ref="N29" ca="1">_FV(RTData[[#This Row],[Company Name]],"52 week low",TRUE)</f>
        <v>3.01</v>
      </c>
      <c r="O29" s="106" cm="1">
        <f t="array" aca="1" ref="O29" ca="1">_FV(RTData[[#This Row],[Company Name]],"52 week high",TRUE)</f>
        <v>11.95</v>
      </c>
      <c r="P29" s="22" cm="1">
        <f t="array" aca="1" ref="P29" ca="1">_FV(RTData[[#This Row],[Company Name]],"Volume")</f>
        <v>7160093</v>
      </c>
      <c r="Q29" s="22" cm="1">
        <f t="array" aca="1" ref="Q29" ca="1">_FV(RTData[[#This Row],[Company Name]],"Volume average",TRUE)</f>
        <v>12377889</v>
      </c>
      <c r="R29" s="106" cm="1">
        <f t="array" aca="1" ref="R29" ca="1">_FV(RTData[[#This Row],[Company Name]],"Beta")</f>
        <v>1.4688000000000001</v>
      </c>
      <c r="T29" t="s">
        <v>19</v>
      </c>
      <c r="U29" t="str" cm="1">
        <f t="array" aca="1" ref="U29" ca="1">_FV(RTData[[#This Row],[Company Name]],"Exchange abbreviation",TRUE)</f>
        <v>XNYS</v>
      </c>
      <c r="V29" s="23">
        <f ca="1">IFERROR(RTData[[#This Row],[Volume]]/RTData[[#This Row],[Volume average]],1)</f>
        <v>0.57845833001087665</v>
      </c>
      <c r="W29" s="23"/>
      <c r="X29" s="96">
        <f ca="1">_xlfn.XLOOKUP(RTData[[#This Row],[Ticker_Symbol]],TickerList!$G28:$G122,TickerList!L28:L122)</f>
        <v>7.2329999999999997</v>
      </c>
      <c r="Y29" s="89">
        <f ca="1">_xlfn.XLOOKUP(RTData[[#This Row],[Ticker_Symbol]],TickerList!$G28:$G122,TickerList!M28:M122)</f>
        <v>44802</v>
      </c>
      <c r="Z29" s="89">
        <f ca="1">_xlfn.XLOOKUP(RTData[[#This Row],[Ticker_Symbol]],TickerList!$G28:$G122,TickerList!N28:N122)</f>
        <v>0</v>
      </c>
      <c r="AA29" s="90">
        <f ca="1">_xlfn.XLOOKUP(RTData[[#This Row],[Ticker_Symbol]],TickerList!$G28:$G122,TickerList!O28:O122)</f>
        <v>0</v>
      </c>
      <c r="AB29" s="91">
        <v>1E-4</v>
      </c>
      <c r="AC29" s="92">
        <f t="shared" si="0"/>
        <v>3.0000000000000001E-3</v>
      </c>
      <c r="AD29" s="78">
        <v>15.5</v>
      </c>
      <c r="AE29" s="93">
        <f ca="1">_xlfn.LET(_xlpm.New1YT,RTData[[#This Row],[1YT]],        _xlpm.Old1YT,IF(ISNUMBER(RTData[[#This Row],[Old1YT]]),RTData[[#This Row],[Old1YT]],VALUE(LEFT(RTData[[#This Row],[Old1YT]],FIND("/",RTData[[#This Row],[Old1YT]],1)-1))),       IF(OR(RTData[[#This Row],[1YT]]=0,_xlpm.Old1YT=0),0,(_xlpm.New1YT-_xlpm.Old1YT)/_xlpm.Old1YT))</f>
        <v>-0.53335483870967737</v>
      </c>
      <c r="AF29" s="93" t="str">
        <f ca="1">TEXT(RTData[[#This Row],[1YT]],"#,#0.00")&amp;" &lt; "&amp;RTData[[#This Row],[Old1YT]]</f>
        <v>7.23 &lt; 15.5</v>
      </c>
    </row>
    <row r="30" spans="1:32" x14ac:dyDescent="0.3">
      <c r="A30" s="15" t="str" cm="1">
        <f t="array" aca="1" ref="A30" ca="1">_xlfn.SINGLE(RTData[suffix])&amp;_FV(RTData[[#This Row],[Company Name]],"Ticker symbol",TRUE)</f>
        <v>MRNA</v>
      </c>
      <c r="B30" s="15">
        <f t="shared" ca="1" si="3"/>
        <v>0.85142613878246054</v>
      </c>
      <c r="C30" t="e" vm="28">
        <v>#VALUE!</v>
      </c>
      <c r="D30" s="104" t="str" cm="1">
        <f t="array" aca="1" ref="D30" ca="1">_FV(RTData[[#This Row],[Company Name]],"Currency")</f>
        <v>USD</v>
      </c>
      <c r="E30" s="17" cm="1">
        <f t="array" aca="1" ref="E30" ca="1">_FV(RTData[[#This Row],[Company Name]],"Last trade time",TRUE)</f>
        <v>46022.930529560159</v>
      </c>
      <c r="F30" s="106" cm="1">
        <f t="array" aca="1" ref="F30" ca="1">_FV(RTData[[#This Row],[Company Name]],"Previous close",TRUE)</f>
        <v>30.41</v>
      </c>
      <c r="G30" s="106" cm="1">
        <f t="array" aca="1" ref="G30" ca="1">IFERROR(_FV(RTData[[#This Row],[Company Name]],"Open"),RTData[[#This Row],[Close]])</f>
        <v>30.26</v>
      </c>
      <c r="H30" s="106" cm="1">
        <f t="array" aca="1" ref="H30" ca="1">_FV(RTData[[#This Row],[Company Name]],"Price")</f>
        <v>29.49</v>
      </c>
      <c r="I30" s="106" cm="1">
        <f t="array" aca="1" ref="I30" ca="1">IFERROR(_FV(RTData[[#This Row],[Company Name]],"Low"),0)</f>
        <v>29.06</v>
      </c>
      <c r="J30" s="106" cm="1">
        <f t="array" aca="1" ref="J30" ca="1">IFERROR(_FV(RTData[[#This Row],[Company Name]],"High"),0)</f>
        <v>30.39</v>
      </c>
      <c r="K30" s="19" cm="1">
        <f t="array" aca="1" ref="K30" ca="1">IFERROR(_FV(RTData[[#This Row],[Company Name]],"P/E",TRUE),99)</f>
        <v>0</v>
      </c>
      <c r="L30" s="20" cm="1">
        <f t="array" aca="1" ref="L30" ca="1">_FV(RTData[[#This Row],[Company Name]],"Change")</f>
        <v>-0.92</v>
      </c>
      <c r="M30" s="21" cm="1">
        <f t="array" aca="1" ref="M30" ca="1">_FV(RTData[[#This Row],[Company Name]],"Change (%)",TRUE)</f>
        <v>-3.0253000000000002E-2</v>
      </c>
      <c r="N30" s="106" cm="1">
        <f t="array" aca="1" ref="N30" ca="1">_FV(RTData[[#This Row],[Company Name]],"52 week low",TRUE)</f>
        <v>22.28</v>
      </c>
      <c r="O30" s="106" cm="1">
        <f t="array" aca="1" ref="O30" ca="1">_FV(RTData[[#This Row],[Company Name]],"52 week high",TRUE)</f>
        <v>48.92</v>
      </c>
      <c r="P30" s="22" cm="1">
        <f t="array" aca="1" ref="P30" ca="1">_FV(RTData[[#This Row],[Company Name]],"Volume")</f>
        <v>8895576</v>
      </c>
      <c r="Q30" s="22" cm="1">
        <f t="array" aca="1" ref="Q30" ca="1">_FV(RTData[[#This Row],[Company Name]],"Volume average",TRUE)</f>
        <v>9680338</v>
      </c>
      <c r="R30" s="106" cm="1">
        <f t="array" aca="1" ref="R30" ca="1">_FV(RTData[[#This Row],[Company Name]],"Beta")</f>
        <v>1.1827000000000001</v>
      </c>
      <c r="T30" t="s">
        <v>19</v>
      </c>
      <c r="U30" t="str" cm="1">
        <f t="array" aca="1" ref="U30" ca="1">_FV(RTData[[#This Row],[Company Name]],"Exchange abbreviation",TRUE)</f>
        <v>XNAS</v>
      </c>
      <c r="V30" s="23">
        <f ca="1">IFERROR(RTData[[#This Row],[Volume]]/RTData[[#This Row],[Volume average]],1)</f>
        <v>0.91893237612157752</v>
      </c>
      <c r="W30" s="23"/>
      <c r="X30" s="96">
        <f ca="1">_xlfn.XLOOKUP(RTData[[#This Row],[Ticker_Symbol]],TickerList!$G29:$G123,TickerList!L29:L123)</f>
        <v>36.75</v>
      </c>
      <c r="Y30" s="89">
        <f ca="1">_xlfn.XLOOKUP(RTData[[#This Row],[Ticker_Symbol]],TickerList!$G29:$G123,TickerList!M29:M123)</f>
        <v>0</v>
      </c>
      <c r="Z30" s="89">
        <f ca="1">_xlfn.XLOOKUP(RTData[[#This Row],[Ticker_Symbol]],TickerList!$G29:$G123,TickerList!N29:N123)</f>
        <v>0</v>
      </c>
      <c r="AA30" s="90">
        <f ca="1">_xlfn.XLOOKUP(RTData[[#This Row],[Ticker_Symbol]],TickerList!$G29:$G123,TickerList!O29:O123)</f>
        <v>0</v>
      </c>
      <c r="AB30" s="91">
        <v>1E-4</v>
      </c>
      <c r="AC30" s="92">
        <f t="shared" si="0"/>
        <v>3.0000000000000001E-3</v>
      </c>
      <c r="AD30" s="78">
        <v>4.62</v>
      </c>
      <c r="AE30" s="93">
        <f ca="1">_xlfn.LET(_xlpm.New1YT,RTData[[#This Row],[1YT]],        _xlpm.Old1YT,IF(ISNUMBER(RTData[[#This Row],[Old1YT]]),RTData[[#This Row],[Old1YT]],VALUE(LEFT(RTData[[#This Row],[Old1YT]],FIND("/",RTData[[#This Row],[Old1YT]],1)-1))),       IF(OR(RTData[[#This Row],[1YT]]=0,_xlpm.Old1YT=0),0,(_xlpm.New1YT-_xlpm.Old1YT)/_xlpm.Old1YT))</f>
        <v>6.954545454545455</v>
      </c>
      <c r="AF30" s="93" t="str">
        <f ca="1">TEXT(RTData[[#This Row],[1YT]],"#,#0.00")&amp;" &lt; "&amp;RTData[[#This Row],[Old1YT]]</f>
        <v>36.75 &lt; 4.62</v>
      </c>
    </row>
    <row r="31" spans="1:32" x14ac:dyDescent="0.3">
      <c r="A31" s="15" t="str" cm="1">
        <f t="array" aca="1" ref="A31" ca="1">_xlfn.SINGLE(RTData[suffix])&amp;_FV(RTData[[#This Row],[Company Name]],"Ticker symbol",TRUE)</f>
        <v>MSFT</v>
      </c>
      <c r="B31" s="15">
        <f t="shared" ca="1" si="3"/>
        <v>0.85142613878246054</v>
      </c>
      <c r="C31" t="e" vm="29">
        <v>#VALUE!</v>
      </c>
      <c r="D31" s="104" t="str" cm="1">
        <f t="array" aca="1" ref="D31" ca="1">_FV(RTData[[#This Row],[Company Name]],"Currency")</f>
        <v>USD</v>
      </c>
      <c r="E31" s="17" cm="1">
        <f t="array" aca="1" ref="E31" ca="1">_FV(RTData[[#This Row],[Company Name]],"Last trade time",TRUE)</f>
        <v>46022.930775034372</v>
      </c>
      <c r="F31" s="106" cm="1">
        <f t="array" aca="1" ref="F31" ca="1">_FV(RTData[[#This Row],[Company Name]],"Previous close",TRUE)</f>
        <v>487.48</v>
      </c>
      <c r="G31" s="106" cm="1">
        <f t="array" aca="1" ref="G31" ca="1">IFERROR(_FV(RTData[[#This Row],[Company Name]],"Open"),RTData[[#This Row],[Close]])</f>
        <v>487.84</v>
      </c>
      <c r="H31" s="106" cm="1">
        <f t="array" aca="1" ref="H31" ca="1">_FV(RTData[[#This Row],[Company Name]],"Price")</f>
        <v>483.62</v>
      </c>
      <c r="I31" s="106" cm="1">
        <f t="array" aca="1" ref="I31" ca="1">IFERROR(_FV(RTData[[#This Row],[Company Name]],"Low"),0)</f>
        <v>483.3</v>
      </c>
      <c r="J31" s="106" cm="1">
        <f t="array" aca="1" ref="J31" ca="1">IFERROR(_FV(RTData[[#This Row],[Company Name]],"High"),0)</f>
        <v>488.14</v>
      </c>
      <c r="K31" s="19" cm="1">
        <f t="array" aca="1" ref="K31" ca="1">IFERROR(_FV(RTData[[#This Row],[Company Name]],"P/E",TRUE),99)</f>
        <v>34.408099999999997</v>
      </c>
      <c r="L31" s="20" cm="1">
        <f t="array" aca="1" ref="L31" ca="1">_FV(RTData[[#This Row],[Company Name]],"Change")</f>
        <v>-3.86</v>
      </c>
      <c r="M31" s="21" cm="1">
        <f t="array" aca="1" ref="M31" ca="1">_FV(RTData[[#This Row],[Company Name]],"Change (%)",TRUE)</f>
        <v>-7.9179999999999997E-3</v>
      </c>
      <c r="N31" s="106" cm="1">
        <f t="array" aca="1" ref="N31" ca="1">_FV(RTData[[#This Row],[Company Name]],"52 week low",TRUE)</f>
        <v>344.79</v>
      </c>
      <c r="O31" s="106" cm="1">
        <f t="array" aca="1" ref="O31" ca="1">_FV(RTData[[#This Row],[Company Name]],"52 week high",TRUE)</f>
        <v>555.45000000000005</v>
      </c>
      <c r="P31" s="22" cm="1">
        <f t="array" aca="1" ref="P31" ca="1">_FV(RTData[[#This Row],[Company Name]],"Volume")</f>
        <v>15355275</v>
      </c>
      <c r="Q31" s="22" cm="1">
        <f t="array" aca="1" ref="Q31" ca="1">_FV(RTData[[#This Row],[Company Name]],"Volume average",TRUE)</f>
        <v>23339739</v>
      </c>
      <c r="R31" s="106" cm="1">
        <f t="array" aca="1" ref="R31" ca="1">_FV(RTData[[#This Row],[Company Name]],"Beta")</f>
        <v>1.0719000000000001</v>
      </c>
      <c r="T31" t="s">
        <v>19</v>
      </c>
      <c r="U31" t="str" cm="1">
        <f t="array" aca="1" ref="U31" ca="1">_FV(RTData[[#This Row],[Company Name]],"Exchange abbreviation",TRUE)</f>
        <v>XNAS</v>
      </c>
      <c r="V31" s="23">
        <f ca="1">IFERROR(RTData[[#This Row],[Volume]]/RTData[[#This Row],[Volume average]],1)</f>
        <v>0.65790260122446098</v>
      </c>
      <c r="W31" s="23"/>
      <c r="X31" s="96">
        <f ca="1">_xlfn.XLOOKUP(RTData[[#This Row],[Ticker_Symbol]],TickerList!$G30:$G124,TickerList!L30:L124)</f>
        <v>622.51415999999995</v>
      </c>
      <c r="Y31" s="89">
        <f ca="1">_xlfn.XLOOKUP(RTData[[#This Row],[Ticker_Symbol]],TickerList!$G30:$G124,TickerList!M30:M124)</f>
        <v>46072</v>
      </c>
      <c r="Z31" s="89">
        <f ca="1">_xlfn.XLOOKUP(RTData[[#This Row],[Ticker_Symbol]],TickerList!$G30:$G124,TickerList!N30:N124)</f>
        <v>0</v>
      </c>
      <c r="AA31" s="90">
        <f ca="1">_xlfn.XLOOKUP(RTData[[#This Row],[Ticker_Symbol]],TickerList!$G30:$G124,TickerList!O30:O124)</f>
        <v>7.4999999999999997E-3</v>
      </c>
      <c r="AB31" s="91">
        <v>1E-4</v>
      </c>
      <c r="AC31" s="92">
        <f t="shared" si="0"/>
        <v>3.0000000000000001E-3</v>
      </c>
      <c r="AD31" s="78">
        <v>99.83</v>
      </c>
      <c r="AE31" s="93">
        <f ca="1">_xlfn.LET(_xlpm.New1YT,RTData[[#This Row],[1YT]],        _xlpm.Old1YT,IF(ISNUMBER(RTData[[#This Row],[Old1YT]]),RTData[[#This Row],[Old1YT]],VALUE(LEFT(RTData[[#This Row],[Old1YT]],FIND("/",RTData[[#This Row],[Old1YT]],1)-1))),       IF(OR(RTData[[#This Row],[1YT]]=0,_xlpm.Old1YT=0),0,(_xlpm.New1YT-_xlpm.Old1YT)/_xlpm.Old1YT))</f>
        <v>5.2357423620154258</v>
      </c>
      <c r="AF31" s="93" t="str">
        <f ca="1">TEXT(RTData[[#This Row],[1YT]],"#,#0.00")&amp;" &lt; "&amp;RTData[[#This Row],[Old1YT]]</f>
        <v>622.51 &lt; 99.83</v>
      </c>
    </row>
    <row r="32" spans="1:32" x14ac:dyDescent="0.3">
      <c r="A32" s="15" t="str" cm="1">
        <f t="array" aca="1" ref="A32" ca="1">_xlfn.SINGLE(RTData[suffix])&amp;_FV(RTData[[#This Row],[Company Name]],"Ticker symbol",TRUE)</f>
        <v>NEE</v>
      </c>
      <c r="B32" s="15">
        <f t="shared" ca="1" si="3"/>
        <v>0.85142613878246054</v>
      </c>
      <c r="C32" t="e" vm="30">
        <v>#VALUE!</v>
      </c>
      <c r="D32" s="104" t="str" cm="1">
        <f t="array" aca="1" ref="D32" ca="1">_FV(RTData[[#This Row],[Company Name]],"Currency")</f>
        <v>USD</v>
      </c>
      <c r="E32" s="17" cm="1">
        <f t="array" aca="1" ref="E32" ca="1">_FV(RTData[[#This Row],[Company Name]],"Last trade time",TRUE)</f>
        <v>46022.927036573441</v>
      </c>
      <c r="F32" s="106" cm="1">
        <f t="array" aca="1" ref="F32" ca="1">_FV(RTData[[#This Row],[Company Name]],"Previous close",TRUE)</f>
        <v>80.53</v>
      </c>
      <c r="G32" s="106" cm="1">
        <f t="array" aca="1" ref="G32" ca="1">IFERROR(_FV(RTData[[#This Row],[Company Name]],"Open"),RTData[[#This Row],[Close]])</f>
        <v>80.685000000000002</v>
      </c>
      <c r="H32" s="106" cm="1">
        <f t="array" aca="1" ref="H32" ca="1">_FV(RTData[[#This Row],[Company Name]],"Price")</f>
        <v>80.290000000000006</v>
      </c>
      <c r="I32" s="106" cm="1">
        <f t="array" aca="1" ref="I32" ca="1">IFERROR(_FV(RTData[[#This Row],[Company Name]],"Low"),0)</f>
        <v>80.204999999999998</v>
      </c>
      <c r="J32" s="106" cm="1">
        <f t="array" aca="1" ref="J32" ca="1">IFERROR(_FV(RTData[[#This Row],[Company Name]],"High"),0)</f>
        <v>80.685000000000002</v>
      </c>
      <c r="K32" s="19" cm="1">
        <f t="array" aca="1" ref="K32" ca="1">IFERROR(_FV(RTData[[#This Row],[Company Name]],"P/E",TRUE),99)</f>
        <v>25.5002</v>
      </c>
      <c r="L32" s="20" cm="1">
        <f t="array" aca="1" ref="L32" ca="1">_FV(RTData[[#This Row],[Company Name]],"Change")</f>
        <v>-0.24</v>
      </c>
      <c r="M32" s="21" cm="1">
        <f t="array" aca="1" ref="M32" ca="1">_FV(RTData[[#This Row],[Company Name]],"Change (%)",TRUE)</f>
        <v>-2.98E-3</v>
      </c>
      <c r="N32" s="106" cm="1">
        <f t="array" aca="1" ref="N32" ca="1">_FV(RTData[[#This Row],[Company Name]],"52 week low",TRUE)</f>
        <v>61.72</v>
      </c>
      <c r="O32" s="106" cm="1">
        <f t="array" aca="1" ref="O32" ca="1">_FV(RTData[[#This Row],[Company Name]],"52 week high",TRUE)</f>
        <v>87.53</v>
      </c>
      <c r="P32" s="22" cm="1">
        <f t="array" aca="1" ref="P32" ca="1">_FV(RTData[[#This Row],[Company Name]],"Volume")</f>
        <v>5034305</v>
      </c>
      <c r="Q32" s="22" cm="1">
        <f t="array" aca="1" ref="Q32" ca="1">_FV(RTData[[#This Row],[Company Name]],"Volume average",TRUE)</f>
        <v>9494900</v>
      </c>
      <c r="R32" s="106" cm="1">
        <f t="array" aca="1" ref="R32" ca="1">_FV(RTData[[#This Row],[Company Name]],"Beta")</f>
        <v>0.72909999999999997</v>
      </c>
      <c r="T32" t="s">
        <v>19</v>
      </c>
      <c r="U32" t="str" cm="1">
        <f t="array" aca="1" ref="U32" ca="1">_FV(RTData[[#This Row],[Company Name]],"Exchange abbreviation",TRUE)</f>
        <v>XNYS</v>
      </c>
      <c r="V32" s="23">
        <f ca="1">IFERROR(RTData[[#This Row],[Volume]]/RTData[[#This Row],[Volume average]],1)</f>
        <v>0.53021148195346979</v>
      </c>
      <c r="W32" s="23"/>
      <c r="X32" s="96">
        <f ca="1">_xlfn.XLOOKUP(RTData[[#This Row],[Ticker_Symbol]],TickerList!$G31:$G125,TickerList!L31:L125)</f>
        <v>90.690910000000002</v>
      </c>
      <c r="Y32" s="89">
        <f ca="1">_xlfn.XLOOKUP(RTData[[#This Row],[Ticker_Symbol]],TickerList!$G31:$G125,TickerList!M31:M125)</f>
        <v>45982</v>
      </c>
      <c r="Z32" s="89">
        <f ca="1">_xlfn.XLOOKUP(RTData[[#This Row],[Ticker_Symbol]],TickerList!$G31:$G125,TickerList!N31:N125)</f>
        <v>0</v>
      </c>
      <c r="AA32" s="90">
        <f ca="1">_xlfn.XLOOKUP(RTData[[#This Row],[Ticker_Symbol]],TickerList!$G31:$G125,TickerList!O31:O125)</f>
        <v>2.8199999E-2</v>
      </c>
      <c r="AB32" s="91">
        <v>1E-4</v>
      </c>
      <c r="AC32" s="92">
        <f t="shared" si="0"/>
        <v>3.0000000000000001E-3</v>
      </c>
      <c r="AD32" s="78">
        <v>505.94</v>
      </c>
      <c r="AE32" s="93">
        <f ca="1">_xlfn.LET(_xlpm.New1YT,RTData[[#This Row],[1YT]],        _xlpm.Old1YT,IF(ISNUMBER(RTData[[#This Row],[Old1YT]]),RTData[[#This Row],[Old1YT]],VALUE(LEFT(RTData[[#This Row],[Old1YT]],FIND("/",RTData[[#This Row],[Old1YT]],1)-1))),       IF(OR(RTData[[#This Row],[1YT]]=0,_xlpm.Old1YT=0),0,(_xlpm.New1YT-_xlpm.Old1YT)/_xlpm.Old1YT))</f>
        <v>-0.82074769735541764</v>
      </c>
      <c r="AF32" s="93" t="str">
        <f ca="1">TEXT(RTData[[#This Row],[1YT]],"#,#0.00")&amp;" &lt; "&amp;RTData[[#This Row],[Old1YT]]</f>
        <v>90.69 &lt; 505.94</v>
      </c>
    </row>
    <row r="33" spans="1:33" x14ac:dyDescent="0.3">
      <c r="A33" s="15" t="str" cm="1">
        <f t="array" aca="1" ref="A33" ca="1">_xlfn.SINGLE(RTData[suffix])&amp;_FV(RTData[[#This Row],[Company Name]],"Ticker symbol",TRUE)</f>
        <v>NEM</v>
      </c>
      <c r="B33" s="15">
        <f t="shared" ca="1" si="3"/>
        <v>0.85142613878246054</v>
      </c>
      <c r="C33" t="e" vm="31">
        <v>#VALUE!</v>
      </c>
      <c r="D33" s="104" t="str" cm="1">
        <f t="array" aca="1" ref="D33" ca="1">_FV(RTData[[#This Row],[Company Name]],"Currency")</f>
        <v>USD</v>
      </c>
      <c r="E33" s="17" cm="1">
        <f t="array" aca="1" ref="E33" ca="1">_FV(RTData[[#This Row],[Company Name]],"Last trade time",TRUE)</f>
        <v>46022.930749976564</v>
      </c>
      <c r="F33" s="106" cm="1">
        <f t="array" aca="1" ref="F33" ca="1">_FV(RTData[[#This Row],[Company Name]],"Previous close",TRUE)</f>
        <v>101.86</v>
      </c>
      <c r="G33" s="106" cm="1">
        <f t="array" aca="1" ref="G33" ca="1">IFERROR(_FV(RTData[[#This Row],[Company Name]],"Open"),RTData[[#This Row],[Close]])</f>
        <v>100.72</v>
      </c>
      <c r="H33" s="106" cm="1">
        <f t="array" aca="1" ref="H33" ca="1">_FV(RTData[[#This Row],[Company Name]],"Price")</f>
        <v>99.85</v>
      </c>
      <c r="I33" s="106" cm="1">
        <f t="array" aca="1" ref="I33" ca="1">IFERROR(_FV(RTData[[#This Row],[Company Name]],"Low"),0)</f>
        <v>99.72</v>
      </c>
      <c r="J33" s="106" cm="1">
        <f t="array" aca="1" ref="J33" ca="1">IFERROR(_FV(RTData[[#This Row],[Company Name]],"High"),0)</f>
        <v>101.4375</v>
      </c>
      <c r="K33" s="19" cm="1">
        <f t="array" aca="1" ref="K33" ca="1">IFERROR(_FV(RTData[[#This Row],[Company Name]],"P/E",TRUE),99)</f>
        <v>15.5167</v>
      </c>
      <c r="L33" s="20" cm="1">
        <f t="array" aca="1" ref="L33" ca="1">_FV(RTData[[#This Row],[Company Name]],"Change")</f>
        <v>-2.0099999999999998</v>
      </c>
      <c r="M33" s="21" cm="1">
        <f t="array" aca="1" ref="M33" ca="1">_FV(RTData[[#This Row],[Company Name]],"Change (%)",TRUE)</f>
        <v>-1.9733000000000001E-2</v>
      </c>
      <c r="N33" s="106" cm="1">
        <f t="array" aca="1" ref="N33" ca="1">_FV(RTData[[#This Row],[Company Name]],"52 week low",TRUE)</f>
        <v>36.86</v>
      </c>
      <c r="O33" s="106" cm="1">
        <f t="array" aca="1" ref="O33" ca="1">_FV(RTData[[#This Row],[Company Name]],"52 week high",TRUE)</f>
        <v>106.34</v>
      </c>
      <c r="P33" s="22" cm="1">
        <f t="array" aca="1" ref="P33" ca="1">_FV(RTData[[#This Row],[Company Name]],"Volume")</f>
        <v>5392708</v>
      </c>
      <c r="Q33" s="22" cm="1">
        <f t="array" aca="1" ref="Q33" ca="1">_FV(RTData[[#This Row],[Company Name]],"Volume average",TRUE)</f>
        <v>8963534</v>
      </c>
      <c r="R33" s="106" cm="1">
        <f t="array" aca="1" ref="R33" ca="1">_FV(RTData[[#This Row],[Company Name]],"Beta")</f>
        <v>0.42749999999999999</v>
      </c>
      <c r="T33" t="s">
        <v>19</v>
      </c>
      <c r="U33" t="str" cm="1">
        <f t="array" aca="1" ref="U33" ca="1">_FV(RTData[[#This Row],[Company Name]],"Exchange abbreviation",TRUE)</f>
        <v>XNYS</v>
      </c>
      <c r="V33" s="23">
        <f ca="1">IFERROR(RTData[[#This Row],[Volume]]/RTData[[#This Row],[Volume average]],1)</f>
        <v>0.60162743846344535</v>
      </c>
      <c r="W33" s="23"/>
      <c r="X33" s="96">
        <f ca="1">_xlfn.XLOOKUP(RTData[[#This Row],[Ticker_Symbol]],TickerList!$G32:$G126,TickerList!L32:L126)</f>
        <v>109.495</v>
      </c>
      <c r="Y33" s="89">
        <f ca="1">_xlfn.XLOOKUP(RTData[[#This Row],[Ticker_Symbol]],TickerList!$G32:$G126,TickerList!M32:M126)</f>
        <v>45987</v>
      </c>
      <c r="Z33" s="89">
        <f ca="1">_xlfn.XLOOKUP(RTData[[#This Row],[Ticker_Symbol]],TickerList!$G32:$G126,TickerList!N32:N126)</f>
        <v>0</v>
      </c>
      <c r="AA33" s="90">
        <f ca="1">_xlfn.XLOOKUP(RTData[[#This Row],[Ticker_Symbol]],TickerList!$G32:$G126,TickerList!O32:O126)</f>
        <v>0.01</v>
      </c>
      <c r="AB33" s="91">
        <v>1E-4</v>
      </c>
      <c r="AC33" s="92">
        <f t="shared" si="0"/>
        <v>3.0000000000000001E-3</v>
      </c>
      <c r="AD33" s="78" t="s">
        <v>51</v>
      </c>
      <c r="AE33" s="93">
        <f ca="1">_xlfn.LET(_xlpm.New1YT,RTData[[#This Row],[1YT]],        _xlpm.Old1YT,IF(ISNUMBER(RTData[[#This Row],[Old1YT]]),RTData[[#This Row],[Old1YT]],VALUE(LEFT(RTData[[#This Row],[Old1YT]],FIND("/",RTData[[#This Row],[Old1YT]],1)-1))),       IF(OR(RTData[[#This Row],[1YT]]=0,_xlpm.Old1YT=0),0,(_xlpm.New1YT-_xlpm.Old1YT)/_xlpm.Old1YT))</f>
        <v>0.35012330456226898</v>
      </c>
      <c r="AF33" s="93" t="str">
        <f ca="1">TEXT(RTData[[#This Row],[1YT]],"#,#0.00")&amp;" &lt; "&amp;RTData[[#This Row],[Old1YT]]</f>
        <v>109.50 &lt; 81.10/84.6</v>
      </c>
    </row>
    <row r="34" spans="1:33" x14ac:dyDescent="0.3">
      <c r="A34" s="15" t="str" cm="1">
        <f t="array" aca="1" ref="A34" ca="1">_xlfn.SINGLE(RTData[suffix])&amp;_FV(RTData[[#This Row],[Company Name]],"Ticker symbol",TRUE)</f>
        <v>NFLX</v>
      </c>
      <c r="B34" s="15">
        <f t="shared" ca="1" si="3"/>
        <v>0.85142613878246054</v>
      </c>
      <c r="C34" t="e" vm="32">
        <v>#VALUE!</v>
      </c>
      <c r="D34" s="104" t="str" cm="1">
        <f t="array" aca="1" ref="D34" ca="1">_FV(RTData[[#This Row],[Company Name]],"Currency")</f>
        <v>USD</v>
      </c>
      <c r="E34" s="17" cm="1">
        <f t="array" aca="1" ref="E34" ca="1">_FV(RTData[[#This Row],[Company Name]],"Last trade time",TRUE)</f>
        <v>46022.930979582816</v>
      </c>
      <c r="F34" s="106" cm="1">
        <f t="array" aca="1" ref="F34" ca="1">_FV(RTData[[#This Row],[Company Name]],"Previous close",TRUE)</f>
        <v>93.78</v>
      </c>
      <c r="G34" s="106" cm="1">
        <f t="array" aca="1" ref="G34" ca="1">IFERROR(_FV(RTData[[#This Row],[Company Name]],"Open"),RTData[[#This Row],[Close]])</f>
        <v>93.6</v>
      </c>
      <c r="H34" s="106" cm="1">
        <f t="array" aca="1" ref="H34" ca="1">_FV(RTData[[#This Row],[Company Name]],"Price")</f>
        <v>93.76</v>
      </c>
      <c r="I34" s="106" cm="1">
        <f t="array" aca="1" ref="I34" ca="1">IFERROR(_FV(RTData[[#This Row],[Company Name]],"Low"),0)</f>
        <v>93.2</v>
      </c>
      <c r="J34" s="106" cm="1">
        <f t="array" aca="1" ref="J34" ca="1">IFERROR(_FV(RTData[[#This Row],[Company Name]],"High"),0)</f>
        <v>94.305000000000007</v>
      </c>
      <c r="K34" s="19" cm="1">
        <f t="array" aca="1" ref="K34" ca="1">IFERROR(_FV(RTData[[#This Row],[Company Name]],"P/E",TRUE),99)</f>
        <v>39.167900000000003</v>
      </c>
      <c r="L34" s="20" cm="1">
        <f t="array" aca="1" ref="L34" ca="1">_FV(RTData[[#This Row],[Company Name]],"Change")</f>
        <v>-0.02</v>
      </c>
      <c r="M34" s="21" cm="1">
        <f t="array" aca="1" ref="M34" ca="1">_FV(RTData[[#This Row],[Company Name]],"Change (%)",TRUE)</f>
        <v>-2.1329999999999998E-4</v>
      </c>
      <c r="N34" s="106" cm="1">
        <f t="array" aca="1" ref="N34" ca="1">_FV(RTData[[#This Row],[Company Name]],"52 week low",TRUE)</f>
        <v>82.11</v>
      </c>
      <c r="O34" s="106" cm="1">
        <f t="array" aca="1" ref="O34" ca="1">_FV(RTData[[#This Row],[Company Name]],"52 week high",TRUE)</f>
        <v>134.11500000000001</v>
      </c>
      <c r="P34" s="22" cm="1">
        <f t="array" aca="1" ref="P34" ca="1">_FV(RTData[[#This Row],[Company Name]],"Volume")</f>
        <v>23400178</v>
      </c>
      <c r="Q34" s="22" cm="1">
        <f t="array" aca="1" ref="Q34" ca="1">_FV(RTData[[#This Row],[Company Name]],"Volume average",TRUE)</f>
        <v>45568851</v>
      </c>
      <c r="R34" s="106" cm="1">
        <f t="array" aca="1" ref="R34" ca="1">_FV(RTData[[#This Row],[Company Name]],"Beta")</f>
        <v>1.7030000000000001</v>
      </c>
      <c r="T34" t="s">
        <v>19</v>
      </c>
      <c r="U34" t="str" cm="1">
        <f t="array" aca="1" ref="U34" ca="1">_FV(RTData[[#This Row],[Company Name]],"Exchange abbreviation",TRUE)</f>
        <v>XNAS</v>
      </c>
      <c r="V34" s="23">
        <f ca="1">IFERROR(RTData[[#This Row],[Volume]]/RTData[[#This Row],[Volume average]],1)</f>
        <v>0.51351257463129807</v>
      </c>
      <c r="W34" s="23"/>
      <c r="X34" s="96">
        <f ca="1">_xlfn.XLOOKUP(RTData[[#This Row],[Ticker_Symbol]],TickerList!$G33:$G127,TickerList!L33:L127)</f>
        <v>126.19184</v>
      </c>
      <c r="Y34" s="89">
        <f ca="1">_xlfn.XLOOKUP(RTData[[#This Row],[Ticker_Symbol]],TickerList!$G33:$G127,TickerList!M33:M127)</f>
        <v>0</v>
      </c>
      <c r="Z34" s="89">
        <f ca="1">_xlfn.XLOOKUP(RTData[[#This Row],[Ticker_Symbol]],TickerList!$G33:$G127,TickerList!N33:N127)</f>
        <v>0</v>
      </c>
      <c r="AA34" s="90">
        <f ca="1">_xlfn.XLOOKUP(RTData[[#This Row],[Ticker_Symbol]],TickerList!$G33:$G127,TickerList!O33:O127)</f>
        <v>0</v>
      </c>
      <c r="AB34" s="91">
        <v>1E-4</v>
      </c>
      <c r="AC34" s="92">
        <f t="shared" si="0"/>
        <v>3.0000000000000001E-3</v>
      </c>
      <c r="AD34" s="78">
        <v>59.51</v>
      </c>
      <c r="AE34" s="93">
        <f ca="1">_xlfn.LET(_xlpm.New1YT,RTData[[#This Row],[1YT]],        _xlpm.Old1YT,IF(ISNUMBER(RTData[[#This Row],[Old1YT]]),RTData[[#This Row],[Old1YT]],VALUE(LEFT(RTData[[#This Row],[Old1YT]],FIND("/",RTData[[#This Row],[Old1YT]],1)-1))),       IF(OR(RTData[[#This Row],[1YT]]=0,_xlpm.Old1YT=0),0,(_xlpm.New1YT-_xlpm.Old1YT)/_xlpm.Old1YT))</f>
        <v>1.1205148714501765</v>
      </c>
      <c r="AF34" s="93" t="str">
        <f ca="1">TEXT(RTData[[#This Row],[1YT]],"#,#0.00")&amp;" &lt; "&amp;RTData[[#This Row],[Old1YT]]</f>
        <v>126.19 &lt; 59.51</v>
      </c>
    </row>
    <row r="35" spans="1:33" x14ac:dyDescent="0.3">
      <c r="A35" s="15" t="str" cm="1">
        <f t="array" aca="1" ref="A35" ca="1">_xlfn.SINGLE(RTData[suffix])&amp;_FV(RTData[[#This Row],[Company Name]],"Ticker symbol",TRUE)</f>
        <v>NOTE</v>
      </c>
      <c r="B35" s="15">
        <f t="shared" ca="1" si="3"/>
        <v>0.85142613878246054</v>
      </c>
      <c r="C35" t="e" vm="33">
        <v>#VALUE!</v>
      </c>
      <c r="D35" s="104" t="str" cm="1">
        <f t="array" aca="1" ref="D35" ca="1">_FV(RTData[[#This Row],[Company Name]],"Currency")</f>
        <v>USD</v>
      </c>
      <c r="E35" s="17" cm="1">
        <f t="array" aca="1" ref="E35" ca="1">_FV(RTData[[#This Row],[Company Name]],"Last trade time",TRUE)</f>
        <v>46022.923420103907</v>
      </c>
      <c r="F35" s="106" cm="1">
        <f t="array" aca="1" ref="F35" ca="1">_FV(RTData[[#This Row],[Company Name]],"Previous close",TRUE)</f>
        <v>1.53</v>
      </c>
      <c r="G35" s="106" cm="1">
        <f t="array" aca="1" ref="G35" ca="1">IFERROR(_FV(RTData[[#This Row],[Company Name]],"Open"),RTData[[#This Row],[Close]])</f>
        <v>1.48</v>
      </c>
      <c r="H35" s="106" cm="1">
        <f t="array" aca="1" ref="H35" ca="1">_FV(RTData[[#This Row],[Company Name]],"Price")</f>
        <v>1.4650000000000001</v>
      </c>
      <c r="I35" s="106" cm="1">
        <f t="array" aca="1" ref="I35" ca="1">IFERROR(_FV(RTData[[#This Row],[Company Name]],"Low"),0)</f>
        <v>1.41</v>
      </c>
      <c r="J35" s="106" cm="1">
        <f t="array" aca="1" ref="J35" ca="1">IFERROR(_FV(RTData[[#This Row],[Company Name]],"High"),0)</f>
        <v>1.55</v>
      </c>
      <c r="K35" s="19" cm="1">
        <f t="array" aca="1" ref="K35" ca="1">IFERROR(_FV(RTData[[#This Row],[Company Name]],"P/E",TRUE),99)</f>
        <v>0</v>
      </c>
      <c r="L35" s="20" cm="1">
        <f t="array" aca="1" ref="L35" ca="1">_FV(RTData[[#This Row],[Company Name]],"Change")</f>
        <v>-6.5000000000000002E-2</v>
      </c>
      <c r="M35" s="21" cm="1">
        <f t="array" aca="1" ref="M35" ca="1">_FV(RTData[[#This Row],[Company Name]],"Change (%)",TRUE)</f>
        <v>-4.2484000000000001E-2</v>
      </c>
      <c r="N35" s="106" cm="1">
        <f t="array" aca="1" ref="N35" ca="1">_FV(RTData[[#This Row],[Company Name]],"52 week low",TRUE)</f>
        <v>1.41</v>
      </c>
      <c r="O35" s="106" cm="1">
        <f t="array" aca="1" ref="O35" ca="1">_FV(RTData[[#This Row],[Company Name]],"52 week high",TRUE)</f>
        <v>24.36</v>
      </c>
      <c r="P35" s="22" cm="1">
        <f t="array" aca="1" ref="P35" ca="1">_FV(RTData[[#This Row],[Company Name]],"Volume")</f>
        <v>293204</v>
      </c>
      <c r="Q35" s="22" cm="1">
        <f t="array" aca="1" ref="Q35" ca="1">_FV(RTData[[#This Row],[Company Name]],"Volume average",TRUE)</f>
        <v>250785</v>
      </c>
      <c r="R35" s="106" cm="1">
        <f t="array" aca="1" ref="R35" ca="1">_FV(RTData[[#This Row],[Company Name]],"Beta")</f>
        <v>0.58850000000000002</v>
      </c>
      <c r="T35" t="s">
        <v>19</v>
      </c>
      <c r="U35" t="str" cm="1">
        <f t="array" aca="1" ref="U35" ca="1">_FV(RTData[[#This Row],[Company Name]],"Exchange abbreviation",TRUE)</f>
        <v>XNYS</v>
      </c>
      <c r="V35" s="23">
        <f ca="1">IFERROR(RTData[[#This Row],[Volume]]/RTData[[#This Row],[Volume average]],1)</f>
        <v>1.1691448850609087</v>
      </c>
      <c r="W35" s="23"/>
      <c r="X35" s="96">
        <f ca="1">_xlfn.XLOOKUP(RTData[[#This Row],[Ticker_Symbol]],TickerList!$G34:$G128,TickerList!L34:L128)</f>
        <v>19.250540000000001</v>
      </c>
      <c r="Y35" s="89">
        <f ca="1">_xlfn.XLOOKUP(RTData[[#This Row],[Ticker_Symbol]],TickerList!$G34:$G128,TickerList!M34:M128)</f>
        <v>0</v>
      </c>
      <c r="Z35" s="89">
        <f ca="1">_xlfn.XLOOKUP(RTData[[#This Row],[Ticker_Symbol]],TickerList!$G34:$G128,TickerList!N34:N128)</f>
        <v>0</v>
      </c>
      <c r="AA35" s="90">
        <f ca="1">_xlfn.XLOOKUP(RTData[[#This Row],[Ticker_Symbol]],TickerList!$G34:$G128,TickerList!O34:O128)</f>
        <v>0</v>
      </c>
      <c r="AB35" s="91">
        <v>1E-4</v>
      </c>
      <c r="AC35" s="92">
        <f t="shared" si="0"/>
        <v>3.0000000000000001E-3</v>
      </c>
      <c r="AD35" s="78">
        <v>764.34</v>
      </c>
      <c r="AE35" s="93">
        <f ca="1">_xlfn.LET(_xlpm.New1YT,RTData[[#This Row],[1YT]],        _xlpm.Old1YT,IF(ISNUMBER(RTData[[#This Row],[Old1YT]]),RTData[[#This Row],[Old1YT]],VALUE(LEFT(RTData[[#This Row],[Old1YT]],FIND("/",RTData[[#This Row],[Old1YT]],1)-1))),       IF(OR(RTData[[#This Row],[1YT]]=0,_xlpm.Old1YT=0),0,(_xlpm.New1YT-_xlpm.Old1YT)/_xlpm.Old1YT))</f>
        <v>-0.97481416647041896</v>
      </c>
      <c r="AF35" s="93" t="str">
        <f ca="1">TEXT(RTData[[#This Row],[1YT]],"#,#0.00")&amp;" &lt; "&amp;RTData[[#This Row],[Old1YT]]</f>
        <v>19.25 &lt; 764.34</v>
      </c>
    </row>
    <row r="36" spans="1:33" x14ac:dyDescent="0.3">
      <c r="A36" s="32" t="str" cm="1">
        <f t="array" aca="1" ref="A36" ca="1">_xlfn.SINGLE(RTData[suffix])&amp;_FV(RTData[[#This Row],[Company Name]],"Ticker symbol",TRUE)</f>
        <v>PAAS</v>
      </c>
      <c r="B36" s="15">
        <f t="shared" ca="1" si="3"/>
        <v>0.85142613878246054</v>
      </c>
      <c r="C36" t="e" vm="34">
        <v>#VALUE!</v>
      </c>
      <c r="D36" s="104" t="str" cm="1">
        <f t="array" aca="1" ref="D36" ca="1">_FV(RTData[[#This Row],[Company Name]],"Currency")</f>
        <v>USD</v>
      </c>
      <c r="E36" s="17" cm="1">
        <f t="array" aca="1" ref="E36" ca="1">_FV(RTData[[#This Row],[Company Name]],"Last trade time",TRUE)</f>
        <v>46022.929843228907</v>
      </c>
      <c r="F36" s="106" cm="1">
        <f t="array" aca="1" ref="F36" ca="1">_FV(RTData[[#This Row],[Company Name]],"Previous close",TRUE)</f>
        <v>52.69</v>
      </c>
      <c r="G36" s="106" cm="1">
        <f t="array" aca="1" ref="G36" ca="1">IFERROR(_FV(RTData[[#This Row],[Company Name]],"Open"),RTData[[#This Row],[Close]])</f>
        <v>51.88</v>
      </c>
      <c r="H36" s="106" cm="1">
        <f t="array" aca="1" ref="H36" ca="1">_FV(RTData[[#This Row],[Company Name]],"Price")</f>
        <v>51.81</v>
      </c>
      <c r="I36" s="106" cm="1">
        <f t="array" aca="1" ref="I36" ca="1">IFERROR(_FV(RTData[[#This Row],[Company Name]],"Low"),0)</f>
        <v>51.440899999999999</v>
      </c>
      <c r="J36" s="106" cm="1">
        <f t="array" aca="1" ref="J36" ca="1">IFERROR(_FV(RTData[[#This Row],[Company Name]],"High"),0)</f>
        <v>53.014000000000003</v>
      </c>
      <c r="K36" s="19" cm="1">
        <f t="array" aca="1" ref="K36" ca="1">IFERROR(_FV(RTData[[#This Row],[Company Name]],"P/E",TRUE),99)</f>
        <v>29.9636</v>
      </c>
      <c r="L36" s="20" cm="1">
        <f t="array" aca="1" ref="L36" ca="1">_FV(RTData[[#This Row],[Company Name]],"Change")</f>
        <v>-0.88</v>
      </c>
      <c r="M36" s="21" cm="1">
        <f t="array" aca="1" ref="M36" ca="1">_FV(RTData[[#This Row],[Company Name]],"Change (%)",TRUE)</f>
        <v>-1.6701000000000001E-2</v>
      </c>
      <c r="N36" s="106" cm="1">
        <f t="array" aca="1" ref="N36" ca="1">_FV(RTData[[#This Row],[Company Name]],"52 week low",TRUE)</f>
        <v>19.850000000000001</v>
      </c>
      <c r="O36" s="106" cm="1">
        <f t="array" aca="1" ref="O36" ca="1">_FV(RTData[[#This Row],[Company Name]],"52 week high",TRUE)</f>
        <v>55.85</v>
      </c>
      <c r="P36" s="22" cm="1">
        <f t="array" aca="1" ref="P36" ca="1">_FV(RTData[[#This Row],[Company Name]],"Volume")</f>
        <v>3764615</v>
      </c>
      <c r="Q36" s="22" cm="1">
        <f t="array" aca="1" ref="Q36" ca="1">_FV(RTData[[#This Row],[Company Name]],"Volume average",TRUE)</f>
        <v>6686787</v>
      </c>
      <c r="R36" s="106" cm="1">
        <f t="array" aca="1" ref="R36" ca="1">_FV(RTData[[#This Row],[Company Name]],"Beta")</f>
        <v>1.2471000000000001</v>
      </c>
      <c r="T36" t="s">
        <v>19</v>
      </c>
      <c r="U36" t="str" cm="1">
        <f t="array" aca="1" ref="U36" ca="1">_FV(RTData[[#This Row],[Company Name]],"Exchange abbreviation",TRUE)</f>
        <v>XNYS</v>
      </c>
      <c r="V36" s="23">
        <f ca="1">IFERROR(RTData[[#This Row],[Volume]]/RTData[[#This Row],[Volume average]],1)</f>
        <v>0.56299310864844354</v>
      </c>
      <c r="W36" s="23"/>
      <c r="X36" s="96">
        <f ca="1">_xlfn.XLOOKUP(RTData[[#This Row],[Ticker_Symbol]],TickerList!$G35:$G129,TickerList!L35:L129)</f>
        <v>50</v>
      </c>
      <c r="Y36" s="89">
        <f ca="1">_xlfn.XLOOKUP(RTData[[#This Row],[Ticker_Symbol]],TickerList!$G35:$G129,TickerList!M35:M129)</f>
        <v>45985</v>
      </c>
      <c r="Z36" s="89">
        <f ca="1">_xlfn.XLOOKUP(RTData[[#This Row],[Ticker_Symbol]],TickerList!$G35:$G129,TickerList!N35:N129)</f>
        <v>0</v>
      </c>
      <c r="AA36" s="90">
        <f ca="1">_xlfn.XLOOKUP(RTData[[#This Row],[Ticker_Symbol]],TickerList!$G35:$G129,TickerList!O35:O129)</f>
        <v>1.0699999999999999E-2</v>
      </c>
      <c r="AB36" s="91">
        <v>1E-4</v>
      </c>
      <c r="AC36" s="92">
        <f t="shared" si="0"/>
        <v>3.0000000000000001E-3</v>
      </c>
      <c r="AD36" s="78">
        <v>31.5</v>
      </c>
      <c r="AE36" s="93">
        <f ca="1">_xlfn.LET(_xlpm.New1YT,RTData[[#This Row],[1YT]],        _xlpm.Old1YT,IF(ISNUMBER(RTData[[#This Row],[Old1YT]]),RTData[[#This Row],[Old1YT]],VALUE(LEFT(RTData[[#This Row],[Old1YT]],FIND("/",RTData[[#This Row],[Old1YT]],1)-1))),       IF(OR(RTData[[#This Row],[1YT]]=0,_xlpm.Old1YT=0),0,(_xlpm.New1YT-_xlpm.Old1YT)/_xlpm.Old1YT))</f>
        <v>0.58730158730158732</v>
      </c>
      <c r="AF36" s="93" t="str">
        <f ca="1">TEXT(RTData[[#This Row],[1YT]],"#,#0.00")&amp;" &lt; "&amp;RTData[[#This Row],[Old1YT]]</f>
        <v>50.00 &lt; 31.5</v>
      </c>
    </row>
    <row r="37" spans="1:33" x14ac:dyDescent="0.3">
      <c r="A37" s="15" t="str" cm="1">
        <f t="array" aca="1" ref="A37" ca="1">_xlfn.SINGLE(RTData[suffix])&amp;_FV(RTData[[#This Row],[Company Name]],"Ticker symbol",TRUE)</f>
        <v>PROF</v>
      </c>
      <c r="B37" s="15">
        <f t="shared" ca="1" si="3"/>
        <v>0.85142613878246054</v>
      </c>
      <c r="C37" t="e" vm="35">
        <v>#VALUE!</v>
      </c>
      <c r="D37" s="104" t="str" cm="1">
        <f t="array" aca="1" ref="D37" ca="1">_FV(RTData[[#This Row],[Company Name]],"Currency")</f>
        <v>USD</v>
      </c>
      <c r="E37" s="17" cm="1">
        <f t="array" aca="1" ref="E37" ca="1">_FV(RTData[[#This Row],[Company Name]],"Last trade time",TRUE)</f>
        <v>46022.881994339841</v>
      </c>
      <c r="F37" s="106" cm="1">
        <f t="array" aca="1" ref="F37" ca="1">_FV(RTData[[#This Row],[Company Name]],"Previous close",TRUE)</f>
        <v>7.33</v>
      </c>
      <c r="G37" s="106" cm="1">
        <f t="array" aca="1" ref="G37" ca="1">IFERROR(_FV(RTData[[#This Row],[Company Name]],"Open"),RTData[[#This Row],[Close]])</f>
        <v>7.24</v>
      </c>
      <c r="H37" s="106" cm="1">
        <f t="array" aca="1" ref="H37" ca="1">_FV(RTData[[#This Row],[Company Name]],"Price")</f>
        <v>7.87</v>
      </c>
      <c r="I37" s="106" cm="1">
        <f t="array" aca="1" ref="I37" ca="1">IFERROR(_FV(RTData[[#This Row],[Company Name]],"Low"),0)</f>
        <v>7.2050000000000001</v>
      </c>
      <c r="J37" s="106" cm="1">
        <f t="array" aca="1" ref="J37" ca="1">IFERROR(_FV(RTData[[#This Row],[Company Name]],"High"),0)</f>
        <v>7.9699</v>
      </c>
      <c r="K37" s="19" cm="1">
        <f t="array" aca="1" ref="K37" ca="1">IFERROR(_FV(RTData[[#This Row],[Company Name]],"P/E",TRUE),99)</f>
        <v>0</v>
      </c>
      <c r="L37" s="20" cm="1">
        <f t="array" aca="1" ref="L37" ca="1">_FV(RTData[[#This Row],[Company Name]],"Change")</f>
        <v>0.54</v>
      </c>
      <c r="M37" s="21" cm="1">
        <f t="array" aca="1" ref="M37" ca="1">_FV(RTData[[#This Row],[Company Name]],"Change (%)",TRUE)</f>
        <v>7.3669999999999999E-2</v>
      </c>
      <c r="N37" s="106" cm="1">
        <f t="array" aca="1" ref="N37" ca="1">_FV(RTData[[#This Row],[Company Name]],"52 week low",TRUE)</f>
        <v>3.76</v>
      </c>
      <c r="O37" s="106" cm="1">
        <f t="array" aca="1" ref="O37" ca="1">_FV(RTData[[#This Row],[Company Name]],"52 week high",TRUE)</f>
        <v>7.99</v>
      </c>
      <c r="P37" s="22" cm="1">
        <f t="array" aca="1" ref="P37" ca="1">_FV(RTData[[#This Row],[Company Name]],"Volume")</f>
        <v>255161</v>
      </c>
      <c r="Q37" s="22" cm="1">
        <f t="array" aca="1" ref="Q37" ca="1">_FV(RTData[[#This Row],[Company Name]],"Volume average",TRUE)</f>
        <v>142227</v>
      </c>
      <c r="R37" s="106" cm="1">
        <f t="array" aca="1" ref="R37" ca="1">_FV(RTData[[#This Row],[Company Name]],"Beta")</f>
        <v>0.2293</v>
      </c>
      <c r="T37" t="s">
        <v>19</v>
      </c>
      <c r="U37" t="str" cm="1">
        <f t="array" aca="1" ref="U37" ca="1">_FV(RTData[[#This Row],[Company Name]],"Exchange abbreviation",TRUE)</f>
        <v>XNAS</v>
      </c>
      <c r="V37" s="23">
        <f ca="1">IFERROR(RTData[[#This Row],[Volume]]/RTData[[#This Row],[Volume average]],1)</f>
        <v>1.7940405127015264</v>
      </c>
      <c r="W37" s="23"/>
      <c r="X37" s="96">
        <f ca="1">_xlfn.XLOOKUP(RTData[[#This Row],[Ticker_Symbol]],TickerList!$G36:$G130,TickerList!L36:L130)</f>
        <v>12.1</v>
      </c>
      <c r="Y37" s="89">
        <f ca="1">_xlfn.XLOOKUP(RTData[[#This Row],[Ticker_Symbol]],TickerList!$G36:$G130,TickerList!M36:M130)</f>
        <v>0</v>
      </c>
      <c r="Z37" s="89">
        <f ca="1">_xlfn.XLOOKUP(RTData[[#This Row],[Ticker_Symbol]],TickerList!$G36:$G130,TickerList!N36:N130)</f>
        <v>0</v>
      </c>
      <c r="AA37" s="90">
        <f ca="1">_xlfn.XLOOKUP(RTData[[#This Row],[Ticker_Symbol]],TickerList!$G36:$G130,TickerList!O36:O130)</f>
        <v>0</v>
      </c>
      <c r="AB37" s="91">
        <v>1E-4</v>
      </c>
      <c r="AC37" s="92">
        <f t="shared" si="0"/>
        <v>3.0000000000000001E-3</v>
      </c>
      <c r="AD37" s="78">
        <v>36.49</v>
      </c>
      <c r="AE37" s="93">
        <f ca="1">_xlfn.LET(_xlpm.New1YT,RTData[[#This Row],[1YT]],        _xlpm.Old1YT,IF(ISNUMBER(RTData[[#This Row],[Old1YT]]),RTData[[#This Row],[Old1YT]],VALUE(LEFT(RTData[[#This Row],[Old1YT]],FIND("/",RTData[[#This Row],[Old1YT]],1)-1))),       IF(OR(RTData[[#This Row],[1YT]]=0,_xlpm.Old1YT=0),0,(_xlpm.New1YT-_xlpm.Old1YT)/_xlpm.Old1YT))</f>
        <v>-0.66840230200054807</v>
      </c>
      <c r="AF37" s="93" t="str">
        <f ca="1">TEXT(RTData[[#This Row],[1YT]],"#,#0.00")&amp;" &lt; "&amp;RTData[[#This Row],[Old1YT]]</f>
        <v>12.10 &lt; 36.49</v>
      </c>
    </row>
    <row r="38" spans="1:33" x14ac:dyDescent="0.3">
      <c r="A38" s="15" t="str" cm="1">
        <f t="array" aca="1" ref="A38" ca="1">_xlfn.SINGLE(RTData[suffix])&amp;_FV(RTData[[#This Row],[Company Name]],"Ticker symbol",TRUE)</f>
        <v>POET</v>
      </c>
      <c r="B38" s="15">
        <f t="shared" ca="1" si="3"/>
        <v>0.85142613878246054</v>
      </c>
      <c r="C38" t="e" vm="36">
        <v>#VALUE!</v>
      </c>
      <c r="D38" s="104" t="str" cm="1">
        <f t="array" aca="1" ref="D38" ca="1">_FV(RTData[[#This Row],[Company Name]],"Currency")</f>
        <v>USD</v>
      </c>
      <c r="E38" s="17" cm="1">
        <f t="array" aca="1" ref="E38" ca="1">_FV(RTData[[#This Row],[Company Name]],"Last trade time",TRUE)</f>
        <v>46022.92886130781</v>
      </c>
      <c r="F38" s="106" cm="1">
        <f t="array" aca="1" ref="F38" ca="1">_FV(RTData[[#This Row],[Company Name]],"Previous close",TRUE)</f>
        <v>6.52</v>
      </c>
      <c r="G38" s="106" cm="1">
        <f t="array" aca="1" ref="G38" ca="1">IFERROR(_FV(RTData[[#This Row],[Company Name]],"Open"),RTData[[#This Row],[Close]])</f>
        <v>6.45</v>
      </c>
      <c r="H38" s="106" cm="1">
        <f t="array" aca="1" ref="H38" ca="1">_FV(RTData[[#This Row],[Company Name]],"Price")</f>
        <v>6.33</v>
      </c>
      <c r="I38" s="106" cm="1">
        <f t="array" aca="1" ref="I38" ca="1">IFERROR(_FV(RTData[[#This Row],[Company Name]],"Low"),0)</f>
        <v>6.19</v>
      </c>
      <c r="J38" s="106" cm="1">
        <f t="array" aca="1" ref="J38" ca="1">IFERROR(_FV(RTData[[#This Row],[Company Name]],"High"),0)</f>
        <v>6.5</v>
      </c>
      <c r="K38" s="19" cm="1">
        <f t="array" aca="1" ref="K38" ca="1">IFERROR(_FV(RTData[[#This Row],[Company Name]],"P/E",TRUE),99)</f>
        <v>0</v>
      </c>
      <c r="L38" s="20" cm="1">
        <f t="array" aca="1" ref="L38" ca="1">_FV(RTData[[#This Row],[Company Name]],"Change")</f>
        <v>-0.19</v>
      </c>
      <c r="M38" s="21" cm="1">
        <f t="array" aca="1" ref="M38" ca="1">_FV(RTData[[#This Row],[Company Name]],"Change (%)",TRUE)</f>
        <v>-2.9141E-2</v>
      </c>
      <c r="N38" s="106" cm="1">
        <f t="array" aca="1" ref="N38" ca="1">_FV(RTData[[#This Row],[Company Name]],"52 week low",TRUE)</f>
        <v>3.09</v>
      </c>
      <c r="O38" s="106" cm="1">
        <f t="array" aca="1" ref="O38" ca="1">_FV(RTData[[#This Row],[Company Name]],"52 week high",TRUE)</f>
        <v>9.41</v>
      </c>
      <c r="P38" s="22" cm="1">
        <f t="array" aca="1" ref="P38" ca="1">_FV(RTData[[#This Row],[Company Name]],"Volume")</f>
        <v>4871248</v>
      </c>
      <c r="Q38" s="22" cm="1">
        <f t="array" aca="1" ref="Q38" ca="1">_FV(RTData[[#This Row],[Company Name]],"Volume average",TRUE)</f>
        <v>7680362</v>
      </c>
      <c r="R38" s="106" cm="1">
        <f t="array" aca="1" ref="R38" ca="1">_FV(RTData[[#This Row],[Company Name]],"Beta")</f>
        <v>0.34100000000000003</v>
      </c>
      <c r="T38" t="s">
        <v>19</v>
      </c>
      <c r="U38" t="str" cm="1">
        <f t="array" aca="1" ref="U38" ca="1">_FV(RTData[[#This Row],[Company Name]],"Exchange abbreviation",TRUE)</f>
        <v>XNAS</v>
      </c>
      <c r="V38" s="23">
        <f ca="1">IFERROR(RTData[[#This Row],[Volume]]/RTData[[#This Row],[Volume average]],1)</f>
        <v>0.63424718782786538</v>
      </c>
      <c r="W38" s="23"/>
      <c r="X38" s="96">
        <f ca="1">_xlfn.XLOOKUP(RTData[[#This Row],[Ticker_Symbol]],TickerList!$G37:$G131,TickerList!L37:L131)</f>
        <v>6.9333299999999998</v>
      </c>
      <c r="Y38" s="89">
        <f ca="1">_xlfn.XLOOKUP(RTData[[#This Row],[Ticker_Symbol]],TickerList!$G37:$G131,TickerList!M37:M131)</f>
        <v>0</v>
      </c>
      <c r="Z38" s="89">
        <f ca="1">_xlfn.XLOOKUP(RTData[[#This Row],[Ticker_Symbol]],TickerList!$G37:$G131,TickerList!N37:N131)</f>
        <v>0</v>
      </c>
      <c r="AA38" s="90">
        <f ca="1">_xlfn.XLOOKUP(RTData[[#This Row],[Ticker_Symbol]],TickerList!$G37:$G131,TickerList!O37:O131)</f>
        <v>0</v>
      </c>
      <c r="AB38" s="91">
        <v>1E-4</v>
      </c>
      <c r="AC38" s="92">
        <f t="shared" si="0"/>
        <v>3.0000000000000001E-3</v>
      </c>
      <c r="AD38" s="78">
        <v>15.17</v>
      </c>
      <c r="AE38" s="93">
        <f ca="1">_xlfn.LET(_xlpm.New1YT,RTData[[#This Row],[1YT]],        _xlpm.Old1YT,IF(ISNUMBER(RTData[[#This Row],[Old1YT]]),RTData[[#This Row],[Old1YT]],VALUE(LEFT(RTData[[#This Row],[Old1YT]],FIND("/",RTData[[#This Row],[Old1YT]],1)-1))),       IF(OR(RTData[[#This Row],[1YT]]=0,_xlpm.Old1YT=0),0,(_xlpm.New1YT-_xlpm.Old1YT)/_xlpm.Old1YT))</f>
        <v>-0.54295781147000666</v>
      </c>
      <c r="AF38" s="93" t="str">
        <f ca="1">TEXT(RTData[[#This Row],[1YT]],"#,#0.00")&amp;" &lt; "&amp;RTData[[#This Row],[Old1YT]]</f>
        <v>6.93 &lt; 15.17</v>
      </c>
    </row>
    <row r="39" spans="1:33" x14ac:dyDescent="0.3">
      <c r="A39" s="15" t="str" cm="1">
        <f t="array" aca="1" ref="A39" ca="1">_xlfn.SINGLE(RTData[suffix])&amp;_FV(RTData[[#This Row],[Company Name]],"Ticker symbol",TRUE)</f>
        <v>PW</v>
      </c>
      <c r="B39" s="15">
        <f t="shared" ca="1" si="3"/>
        <v>0.85142613878246054</v>
      </c>
      <c r="C39" t="e" vm="37">
        <v>#VALUE!</v>
      </c>
      <c r="D39" s="104" t="str" cm="1">
        <f t="array" aca="1" ref="D39" ca="1">_FV(RTData[[#This Row],[Company Name]],"Currency")</f>
        <v>USD</v>
      </c>
      <c r="E39" s="17" cm="1">
        <f t="array" aca="1" ref="E39" ca="1">_FV(RTData[[#This Row],[Company Name]],"Last trade time",TRUE)</f>
        <v>46022.881944455468</v>
      </c>
      <c r="F39" s="106" cm="1">
        <f t="array" aca="1" ref="F39" ca="1">_FV(RTData[[#This Row],[Company Name]],"Previous close",TRUE)</f>
        <v>0.90310000000000001</v>
      </c>
      <c r="G39" s="106" cm="1">
        <f t="array" aca="1" ref="G39" ca="1">IFERROR(_FV(RTData[[#This Row],[Company Name]],"Open"),RTData[[#This Row],[Close]])</f>
        <v>0.871</v>
      </c>
      <c r="H39" s="106" cm="1">
        <f t="array" aca="1" ref="H39" ca="1">_FV(RTData[[#This Row],[Company Name]],"Price")</f>
        <v>0.87529999999999997</v>
      </c>
      <c r="I39" s="106" cm="1">
        <f t="array" aca="1" ref="I39" ca="1">IFERROR(_FV(RTData[[#This Row],[Company Name]],"Low"),0)</f>
        <v>0.85709999999999997</v>
      </c>
      <c r="J39" s="106" cm="1">
        <f t="array" aca="1" ref="J39" ca="1">IFERROR(_FV(RTData[[#This Row],[Company Name]],"High"),0)</f>
        <v>0.94</v>
      </c>
      <c r="K39" s="19" cm="1">
        <f t="array" ref="K39">IFERROR(_FV(RTData[[#This Row],[Company Name]],"P/E",TRUE),99)</f>
        <v>99</v>
      </c>
      <c r="L39" s="20" cm="1">
        <f t="array" aca="1" ref="L39" ca="1">_FV(RTData[[#This Row],[Company Name]],"Change")</f>
        <v>-2.7799999999999998E-2</v>
      </c>
      <c r="M39" s="21" cm="1">
        <f t="array" aca="1" ref="M39" ca="1">_FV(RTData[[#This Row],[Company Name]],"Change (%)",TRUE)</f>
        <v>-3.0783000000000001E-2</v>
      </c>
      <c r="N39" s="106" cm="1">
        <f t="array" aca="1" ref="N39" ca="1">_FV(RTData[[#This Row],[Company Name]],"52 week low",TRUE)</f>
        <v>0.59409999999999996</v>
      </c>
      <c r="O39" s="106" cm="1">
        <f t="array" aca="1" ref="O39" ca="1">_FV(RTData[[#This Row],[Company Name]],"52 week high",TRUE)</f>
        <v>1.96</v>
      </c>
      <c r="P39" s="22" cm="1">
        <f t="array" aca="1" ref="P39" ca="1">_FV(RTData[[#This Row],[Company Name]],"Volume")</f>
        <v>31689</v>
      </c>
      <c r="Q39" s="22" cm="1">
        <f t="array" aca="1" ref="Q39" ca="1">_FV(RTData[[#This Row],[Company Name]],"Volume average",TRUE)</f>
        <v>1606832</v>
      </c>
      <c r="R39" s="106" cm="1">
        <f t="array" aca="1" ref="R39" ca="1">_FV(RTData[[#This Row],[Company Name]],"Beta")</f>
        <v>1.5251999999999999</v>
      </c>
      <c r="T39" t="s">
        <v>19</v>
      </c>
      <c r="U39" t="str" cm="1">
        <f t="array" aca="1" ref="U39" ca="1">_FV(RTData[[#This Row],[Company Name]],"Exchange abbreviation",TRUE)</f>
        <v>XNYS</v>
      </c>
      <c r="V39" s="23">
        <f ca="1">IFERROR(RTData[[#This Row],[Volume]]/RTData[[#This Row],[Volume average]],1)</f>
        <v>1.972141455982953E-2</v>
      </c>
      <c r="W39" s="23"/>
      <c r="X39" s="96">
        <f ca="1">_xlfn.XLOOKUP(RTData[[#This Row],[Ticker_Symbol]],TickerList!$G38:$G132,TickerList!L38:L132)</f>
        <v>0</v>
      </c>
      <c r="Y39" s="89">
        <f ca="1">_xlfn.XLOOKUP(RTData[[#This Row],[Ticker_Symbol]],TickerList!$G38:$G132,TickerList!M38:M132)</f>
        <v>41284</v>
      </c>
      <c r="Z39" s="89">
        <f ca="1">_xlfn.XLOOKUP(RTData[[#This Row],[Ticker_Symbol]],TickerList!$G38:$G132,TickerList!N38:N132)</f>
        <v>0</v>
      </c>
      <c r="AA39" s="90">
        <f ca="1">_xlfn.XLOOKUP(RTData[[#This Row],[Ticker_Symbol]],TickerList!$G38:$G132,TickerList!O38:O132)</f>
        <v>0</v>
      </c>
      <c r="AB39" s="91">
        <v>1E-4</v>
      </c>
      <c r="AC39" s="92">
        <f t="shared" si="0"/>
        <v>3.0000000000000001E-3</v>
      </c>
      <c r="AD39" s="78">
        <v>4.3</v>
      </c>
      <c r="AE39" s="93">
        <f ca="1">_xlfn.LET(_xlpm.New1YT,RTData[[#This Row],[1YT]],        _xlpm.Old1YT,IF(ISNUMBER(RTData[[#This Row],[Old1YT]]),RTData[[#This Row],[Old1YT]],VALUE(LEFT(RTData[[#This Row],[Old1YT]],FIND("/",RTData[[#This Row],[Old1YT]],1)-1))),       IF(OR(RTData[[#This Row],[1YT]]=0,_xlpm.Old1YT=0),0,(_xlpm.New1YT-_xlpm.Old1YT)/_xlpm.Old1YT))</f>
        <v>0</v>
      </c>
      <c r="AF39" s="93" t="str">
        <f ca="1">TEXT(RTData[[#This Row],[1YT]],"#,#0.00")&amp;" &lt; "&amp;RTData[[#This Row],[Old1YT]]</f>
        <v>0.00 &lt; 4.3</v>
      </c>
    </row>
    <row r="40" spans="1:33" x14ac:dyDescent="0.3">
      <c r="A40" s="15" t="str" cm="1">
        <f t="array" aca="1" ref="A40" ca="1">_xlfn.SINGLE(RTData[suffix])&amp;_FV(RTData[[#This Row],[Company Name]],"Ticker symbol",TRUE)</f>
        <v>RIGL</v>
      </c>
      <c r="B40" s="15">
        <f t="shared" ca="1" si="3"/>
        <v>0.85142613878246054</v>
      </c>
      <c r="C40" t="e" vm="38">
        <v>#VALUE!</v>
      </c>
      <c r="D40" s="104" t="str" cm="1">
        <f t="array" aca="1" ref="D40" ca="1">_FV(RTData[[#This Row],[Company Name]],"Currency")</f>
        <v>USD</v>
      </c>
      <c r="E40" s="17" cm="1">
        <f t="array" aca="1" ref="E40" ca="1">_FV(RTData[[#This Row],[Company Name]],"Last trade time",TRUE)</f>
        <v>46022.929881157033</v>
      </c>
      <c r="F40" s="106" cm="1">
        <f t="array" aca="1" ref="F40" ca="1">_FV(RTData[[#This Row],[Company Name]],"Previous close",TRUE)</f>
        <v>42.83</v>
      </c>
      <c r="G40" s="106" cm="1">
        <f t="array" aca="1" ref="G40" ca="1">IFERROR(_FV(RTData[[#This Row],[Company Name]],"Open"),RTData[[#This Row],[Close]])</f>
        <v>42.87</v>
      </c>
      <c r="H40" s="106" cm="1">
        <f t="array" aca="1" ref="H40" ca="1">_FV(RTData[[#This Row],[Company Name]],"Price")</f>
        <v>42.83</v>
      </c>
      <c r="I40" s="106" cm="1">
        <f t="array" aca="1" ref="I40" ca="1">IFERROR(_FV(RTData[[#This Row],[Company Name]],"Low"),0)</f>
        <v>42.13</v>
      </c>
      <c r="J40" s="106" cm="1">
        <f t="array" aca="1" ref="J40" ca="1">IFERROR(_FV(RTData[[#This Row],[Company Name]],"High"),0)</f>
        <v>43.56</v>
      </c>
      <c r="K40" s="19" cm="1">
        <f t="array" aca="1" ref="K40" ca="1">IFERROR(_FV(RTData[[#This Row],[Company Name]],"P/E",TRUE),99)</f>
        <v>6.9443999999999999</v>
      </c>
      <c r="L40" s="20" cm="1">
        <f t="array" aca="1" ref="L40" ca="1">_FV(RTData[[#This Row],[Company Name]],"Change")</f>
        <v>0</v>
      </c>
      <c r="M40" s="21" cm="1">
        <f t="array" aca="1" ref="M40" ca="1">_FV(RTData[[#This Row],[Company Name]],"Change (%)",TRUE)</f>
        <v>0</v>
      </c>
      <c r="N40" s="106" cm="1">
        <f t="array" aca="1" ref="N40" ca="1">_FV(RTData[[#This Row],[Company Name]],"52 week low",TRUE)</f>
        <v>15.5</v>
      </c>
      <c r="O40" s="106" cm="1">
        <f t="array" aca="1" ref="O40" ca="1">_FV(RTData[[#This Row],[Company Name]],"52 week high",TRUE)</f>
        <v>52.24</v>
      </c>
      <c r="P40" s="22" cm="1">
        <f t="array" aca="1" ref="P40" ca="1">_FV(RTData[[#This Row],[Company Name]],"Volume")</f>
        <v>900701</v>
      </c>
      <c r="Q40" s="22" cm="1">
        <f t="array" aca="1" ref="Q40" ca="1">_FV(RTData[[#This Row],[Company Name]],"Volume average",TRUE)</f>
        <v>555048</v>
      </c>
      <c r="R40" s="106" cm="1">
        <f t="array" aca="1" ref="R40" ca="1">_FV(RTData[[#This Row],[Company Name]],"Beta")</f>
        <v>1.0951</v>
      </c>
      <c r="T40" t="s">
        <v>19</v>
      </c>
      <c r="U40" t="str" cm="1">
        <f t="array" aca="1" ref="U40" ca="1">_FV(RTData[[#This Row],[Company Name]],"Exchange abbreviation",TRUE)</f>
        <v>XNAS</v>
      </c>
      <c r="V40" s="23">
        <f ca="1">IFERROR(RTData[[#This Row],[Volume]]/RTData[[#This Row],[Volume average]],1)</f>
        <v>1.622744339228319</v>
      </c>
      <c r="W40" s="23"/>
      <c r="X40" s="96">
        <f ca="1">_xlfn.XLOOKUP(RTData[[#This Row],[Ticker_Symbol]],TickerList!$G39:$G133,TickerList!L39:L133)</f>
        <v>51.2</v>
      </c>
      <c r="Y40" s="89">
        <f ca="1">_xlfn.XLOOKUP(RTData[[#This Row],[Ticker_Symbol]],TickerList!$G39:$G133,TickerList!M39:M133)</f>
        <v>0</v>
      </c>
      <c r="Z40" s="89">
        <f ca="1">_xlfn.XLOOKUP(RTData[[#This Row],[Ticker_Symbol]],TickerList!$G39:$G133,TickerList!N39:N133)</f>
        <v>0</v>
      </c>
      <c r="AA40" s="90">
        <f ca="1">_xlfn.XLOOKUP(RTData[[#This Row],[Ticker_Symbol]],TickerList!$G39:$G133,TickerList!O39:O133)</f>
        <v>0</v>
      </c>
      <c r="AB40" s="91">
        <v>1E-4</v>
      </c>
      <c r="AC40" s="92">
        <f t="shared" si="0"/>
        <v>3.0000000000000001E-3</v>
      </c>
      <c r="AD40" s="78">
        <v>0.56000000000000005</v>
      </c>
      <c r="AE40" s="93">
        <f ca="1">_xlfn.LET(_xlpm.New1YT,RTData[[#This Row],[1YT]],        _xlpm.Old1YT,IF(ISNUMBER(RTData[[#This Row],[Old1YT]]),RTData[[#This Row],[Old1YT]],VALUE(LEFT(RTData[[#This Row],[Old1YT]],FIND("/",RTData[[#This Row],[Old1YT]],1)-1))),       IF(OR(RTData[[#This Row],[1YT]]=0,_xlpm.Old1YT=0),0,(_xlpm.New1YT-_xlpm.Old1YT)/_xlpm.Old1YT))</f>
        <v>90.428571428571416</v>
      </c>
      <c r="AF40" s="93" t="str">
        <f ca="1">TEXT(RTData[[#This Row],[1YT]],"#,#0.00")&amp;" &lt; "&amp;RTData[[#This Row],[Old1YT]]</f>
        <v>51.20 &lt; 0.56</v>
      </c>
    </row>
    <row r="41" spans="1:33" x14ac:dyDescent="0.3">
      <c r="A41" s="15" t="str" cm="1">
        <f t="array" aca="1" ref="A41" ca="1">_xlfn.SINGLE(RTData[suffix])&amp;_FV(RTData[[#This Row],[Company Name]],"Ticker symbol",TRUE)</f>
        <v>RWE</v>
      </c>
      <c r="B41" s="15">
        <f t="shared" ca="1" si="3"/>
        <v>0.85142613878246054</v>
      </c>
      <c r="C41" t="e" vm="39">
        <v>#VALUE!</v>
      </c>
      <c r="D41" s="104" t="str" cm="1">
        <f t="array" aca="1" ref="D41" ca="1">_FV(RTData[[#This Row],[Company Name]],"Currency")</f>
        <v>EUR</v>
      </c>
      <c r="E41" s="17" cm="1">
        <f t="array" aca="1" ref="E41" ca="1">_FV(RTData[[#This Row],[Company Name]],"Last trade time",TRUE)</f>
        <v>46021.583333333336</v>
      </c>
      <c r="F41" s="106" cm="1">
        <f t="array" aca="1" ref="F41" ca="1">_FV(RTData[[#This Row],[Company Name]],"Previous close",TRUE)</f>
        <v>44.87</v>
      </c>
      <c r="G41" s="106" cm="1">
        <f t="array" aca="1" ref="G41" ca="1">IFERROR(_FV(RTData[[#This Row],[Company Name]],"Open"),RTData[[#This Row],[Close]])</f>
        <v>44.89</v>
      </c>
      <c r="H41" s="106" cm="1">
        <f t="array" aca="1" ref="H41" ca="1">_FV(RTData[[#This Row],[Company Name]],"Price")</f>
        <v>45.17</v>
      </c>
      <c r="I41" s="106" cm="1">
        <f t="array" aca="1" ref="I41" ca="1">IFERROR(_FV(RTData[[#This Row],[Company Name]],"Low"),0)</f>
        <v>44.89</v>
      </c>
      <c r="J41" s="106" cm="1">
        <f t="array" aca="1" ref="J41" ca="1">IFERROR(_FV(RTData[[#This Row],[Company Name]],"High"),0)</f>
        <v>45.2</v>
      </c>
      <c r="K41" s="19" cm="1">
        <f t="array" aca="1" ref="K41" ca="1">IFERROR(_FV(RTData[[#This Row],[Company Name]],"P/E",TRUE),99)</f>
        <v>14.571</v>
      </c>
      <c r="L41" s="20" cm="1">
        <f t="array" aca="1" ref="L41" ca="1">_FV(RTData[[#This Row],[Company Name]],"Change")</f>
        <v>0.3</v>
      </c>
      <c r="M41" s="21" cm="1">
        <f t="array" aca="1" ref="M41" ca="1">_FV(RTData[[#This Row],[Company Name]],"Change (%)",TRUE)</f>
        <v>6.6860000000000001E-3</v>
      </c>
      <c r="N41" s="106" cm="1">
        <f t="array" aca="1" ref="N41" ca="1">_FV(RTData[[#This Row],[Company Name]],"52 week low",TRUE)</f>
        <v>14.231</v>
      </c>
      <c r="O41" s="106" cm="1">
        <f t="array" aca="1" ref="O41" ca="1">_FV(RTData[[#This Row],[Company Name]],"52 week high",TRUE)</f>
        <v>46.82</v>
      </c>
      <c r="P41" s="22" cm="1">
        <f t="array" aca="1" ref="P41" ca="1">_FV(RTData[[#This Row],[Company Name]],"Volume")</f>
        <v>580</v>
      </c>
      <c r="Q41" s="22" cm="1">
        <f t="array" aca="1" ref="Q41" ca="1">_FV(RTData[[#This Row],[Company Name]],"Volume average",TRUE)</f>
        <v>1349470</v>
      </c>
      <c r="R41" s="106" cm="1">
        <f t="array" aca="1" ref="R41" ca="1">_FV(RTData[[#This Row],[Company Name]],"Beta")</f>
        <v>0.48399999999999999</v>
      </c>
      <c r="T41" t="s">
        <v>19</v>
      </c>
      <c r="U41" t="str" cm="1">
        <f t="array" aca="1" ref="U41" ca="1">_FV(RTData[[#This Row],[Company Name]],"Exchange abbreviation",TRUE)</f>
        <v>XFRA</v>
      </c>
      <c r="V41" s="23">
        <f ca="1">IFERROR(RTData[[#This Row],[Volume]]/RTData[[#This Row],[Volume average]],1)</f>
        <v>4.2979836528414859E-4</v>
      </c>
      <c r="W41" s="23"/>
      <c r="X41" s="96">
        <f ca="1">_xlfn.XLOOKUP(RTData[[#This Row],[Ticker_Symbol]],TickerList!$G40:$G134,TickerList!L40:L134)</f>
        <v>49.138890000000004</v>
      </c>
      <c r="Y41" s="89">
        <f ca="1">_xlfn.XLOOKUP(RTData[[#This Row],[Ticker_Symbol]],TickerList!$G40:$G134,TickerList!M40:M134)</f>
        <v>45779</v>
      </c>
      <c r="Z41" s="89">
        <f ca="1">_xlfn.XLOOKUP(RTData[[#This Row],[Ticker_Symbol]],TickerList!$G40:$G134,TickerList!N40:N134)</f>
        <v>0</v>
      </c>
      <c r="AA41" s="90">
        <f ca="1">_xlfn.XLOOKUP(RTData[[#This Row],[Ticker_Symbol]],TickerList!$G40:$G134,TickerList!O40:O134)</f>
        <v>2.4400001000000001E-2</v>
      </c>
      <c r="AB41" s="91">
        <v>1E-4</v>
      </c>
      <c r="AC41" s="92">
        <f t="shared" si="0"/>
        <v>3.0000000000000001E-3</v>
      </c>
      <c r="AD41" s="78" t="s">
        <v>62</v>
      </c>
      <c r="AE41" s="93">
        <f ca="1">_xlfn.LET(_xlpm.New1YT,RTData[[#This Row],[1YT]],        _xlpm.Old1YT,IF(ISNUMBER(RTData[[#This Row],[Old1YT]]),RTData[[#This Row],[Old1YT]],VALUE(LEFT(RTData[[#This Row],[Old1YT]],FIND("/",RTData[[#This Row],[Old1YT]],1)-1))),       IF(OR(RTData[[#This Row],[1YT]]=0,_xlpm.Old1YT=0),0,(_xlpm.New1YT-_xlpm.Old1YT)/_xlpm.Old1YT))</f>
        <v>0.4563986366330765</v>
      </c>
      <c r="AF41" s="93" t="str">
        <f ca="1">TEXT(RTData[[#This Row],[1YT]],"#,#0.00")&amp;" &lt; "&amp;RTData[[#This Row],[Old1YT]]</f>
        <v>49.14 &lt; 33.74/31.33</v>
      </c>
    </row>
    <row r="42" spans="1:33" x14ac:dyDescent="0.3">
      <c r="A42" s="15" t="str" cm="1">
        <f t="array" aca="1" ref="A42" ca="1">_xlfn.SINGLE(RTData[suffix])&amp;_FV(RTData[[#This Row],[Company Name]],"Ticker symbol",TRUE)</f>
        <v>SAP</v>
      </c>
      <c r="B42" s="15">
        <v>1</v>
      </c>
      <c r="C42" t="e" vm="40">
        <v>#VALUE!</v>
      </c>
      <c r="D42" s="104" t="str" cm="1">
        <f t="array" aca="1" ref="D42" ca="1">_FV(RTData[[#This Row],[Company Name]],"Currency")</f>
        <v>EUR</v>
      </c>
      <c r="E42" s="17" cm="1">
        <f t="array" aca="1" ref="E42" ca="1">_FV(RTData[[#This Row],[Company Name]],"Last trade time",TRUE)</f>
        <v>46021.583333333336</v>
      </c>
      <c r="F42" s="106" cm="1">
        <f t="array" aca="1" ref="F42" ca="1">_FV(RTData[[#This Row],[Company Name]],"Previous close",TRUE)</f>
        <v>208.45</v>
      </c>
      <c r="G42" s="106" cm="1">
        <f t="array" aca="1" ref="G42" ca="1">IFERROR(_FV(RTData[[#This Row],[Company Name]],"Open"),RTData[[#This Row],[Close]])</f>
        <v>208.7</v>
      </c>
      <c r="H42" s="106" cm="1">
        <f t="array" aca="1" ref="H42" ca="1">_FV(RTData[[#This Row],[Company Name]],"Price")</f>
        <v>208.35</v>
      </c>
      <c r="I42" s="106" cm="1">
        <f t="array" aca="1" ref="I42" ca="1">IFERROR(_FV(RTData[[#This Row],[Company Name]],"Low"),0)</f>
        <v>207.8</v>
      </c>
      <c r="J42" s="106" cm="1">
        <f t="array" aca="1" ref="J42" ca="1">IFERROR(_FV(RTData[[#This Row],[Company Name]],"High"),0)</f>
        <v>209.6</v>
      </c>
      <c r="K42" s="19" cm="1">
        <f t="array" aca="1" ref="K42" ca="1">IFERROR(_FV(RTData[[#This Row],[Company Name]],"P/E",TRUE),99)</f>
        <v>34.32</v>
      </c>
      <c r="L42" s="20" cm="1">
        <f t="array" aca="1" ref="L42" ca="1">_FV(RTData[[#This Row],[Company Name]],"Change")</f>
        <v>-0.1</v>
      </c>
      <c r="M42" s="21" cm="1">
        <f t="array" aca="1" ref="M42" ca="1">_FV(RTData[[#This Row],[Company Name]],"Change (%)",TRUE)</f>
        <v>-4.797E-4</v>
      </c>
      <c r="N42" s="106" cm="1">
        <f t="array" aca="1" ref="N42" ca="1">_FV(RTData[[#This Row],[Company Name]],"52 week low",TRUE)</f>
        <v>201.85</v>
      </c>
      <c r="O42" s="106" cm="1">
        <f t="array" aca="1" ref="O42" ca="1">_FV(RTData[[#This Row],[Company Name]],"52 week high",TRUE)</f>
        <v>283.5</v>
      </c>
      <c r="P42" s="22" cm="1">
        <f t="array" aca="1" ref="P42" ca="1">_FV(RTData[[#This Row],[Company Name]],"Volume")</f>
        <v>608689</v>
      </c>
      <c r="Q42" s="22" cm="1">
        <f t="array" aca="1" ref="Q42" ca="1">_FV(RTData[[#This Row],[Company Name]],"Volume average",TRUE)</f>
        <v>1512990</v>
      </c>
      <c r="R42" s="106" cm="1">
        <f t="array" aca="1" ref="R42" ca="1">_FV(RTData[[#This Row],[Company Name]],"Beta")</f>
        <v>1.0485</v>
      </c>
      <c r="T42" t="s">
        <v>19</v>
      </c>
      <c r="U42" t="str" cm="1">
        <f t="array" aca="1" ref="U42" ca="1">_FV(RTData[[#This Row],[Company Name]],"Exchange abbreviation",TRUE)</f>
        <v>XETR</v>
      </c>
      <c r="V42" s="23">
        <f ca="1">IFERROR(RTData[[#This Row],[Volume]]/RTData[[#This Row],[Volume average]],1)</f>
        <v>0.40230867355369171</v>
      </c>
      <c r="W42" s="23"/>
      <c r="X42" s="96">
        <f ca="1">_xlfn.XLOOKUP(RTData[[#This Row],[Ticker_Symbol]],TickerList!$G41:$G135,TickerList!L41:L135)</f>
        <v>283.20499999999998</v>
      </c>
      <c r="Y42" s="89">
        <f ca="1">_xlfn.XLOOKUP(RTData[[#This Row],[Ticker_Symbol]],TickerList!$G41:$G135,TickerList!M41:M135)</f>
        <v>45791</v>
      </c>
      <c r="Z42" s="89">
        <f ca="1">_xlfn.XLOOKUP(RTData[[#This Row],[Ticker_Symbol]],TickerList!$G41:$G135,TickerList!N41:N135)</f>
        <v>0</v>
      </c>
      <c r="AA42" s="90">
        <f ca="1">_xlfn.XLOOKUP(RTData[[#This Row],[Ticker_Symbol]],TickerList!$G41:$G135,TickerList!O41:O135)</f>
        <v>1.1299999999999999E-2</v>
      </c>
      <c r="AB42" s="91"/>
      <c r="AC42" s="92">
        <f t="shared" si="0"/>
        <v>3.0000000000000001E-3</v>
      </c>
      <c r="AD42" s="78">
        <v>290</v>
      </c>
      <c r="AE42" s="93">
        <f ca="1">_xlfn.LET(_xlpm.New1YT,RTData[[#This Row],[1YT]],        _xlpm.Old1YT,IF(ISNUMBER(RTData[[#This Row],[Old1YT]]),RTData[[#This Row],[Old1YT]],VALUE(LEFT(RTData[[#This Row],[Old1YT]],FIND("/",RTData[[#This Row],[Old1YT]],1)-1))),       IF(OR(RTData[[#This Row],[1YT]]=0,_xlpm.Old1YT=0),0,(_xlpm.New1YT-_xlpm.Old1YT)/_xlpm.Old1YT))</f>
        <v>-2.3431034482758677E-2</v>
      </c>
      <c r="AF42" s="93" t="str">
        <f ca="1">TEXT(RTData[[#This Row],[1YT]],"#,#0.00")&amp;" &lt; "&amp;RTData[[#This Row],[Old1YT]]</f>
        <v>283.21 &lt; 290</v>
      </c>
    </row>
    <row r="43" spans="1:33" ht="22" customHeight="1" x14ac:dyDescent="0.3">
      <c r="A43" s="15" t="str" cm="1">
        <f t="array" aca="1" ref="A43" ca="1">_xlfn.SINGLE(RTData[suffix])&amp;_FV(RTData[[#This Row],[Company Name]],"Ticker symbol",TRUE)</f>
        <v>SHECY</v>
      </c>
      <c r="B43" s="15">
        <f ca="1">D$100</f>
        <v>0.85142613878246054</v>
      </c>
      <c r="C43" t="e" vm="41">
        <v>#VALUE!</v>
      </c>
      <c r="D43" s="104" t="str" cm="1">
        <f t="array" aca="1" ref="D43" ca="1">_FV(RTData[[#This Row],[Company Name]],"Currency")</f>
        <v>USD</v>
      </c>
      <c r="E43" s="17" cm="1">
        <f t="array" aca="1" ref="E43" ca="1">_FV(RTData[[#This Row],[Company Name]],"Last trade time",TRUE)</f>
        <v>46022.875009397656</v>
      </c>
      <c r="F43" s="106" cm="1">
        <f t="array" aca="1" ref="F43" ca="1">_FV(RTData[[#This Row],[Company Name]],"Previous close",TRUE)</f>
        <v>15.61</v>
      </c>
      <c r="G43" s="106" cm="1">
        <f t="array" aca="1" ref="G43" ca="1">IFERROR(_FV(RTData[[#This Row],[Company Name]],"Open"),RTData[[#This Row],[Close]])</f>
        <v>14.950100000000001</v>
      </c>
      <c r="H43" s="106" cm="1">
        <f t="array" aca="1" ref="H43" ca="1">_FV(RTData[[#This Row],[Company Name]],"Price")</f>
        <v>15.5</v>
      </c>
      <c r="I43" s="106" cm="1">
        <f t="array" aca="1" ref="I43" ca="1">IFERROR(_FV(RTData[[#This Row],[Company Name]],"Low"),0)</f>
        <v>14.950100000000001</v>
      </c>
      <c r="J43" s="106" cm="1">
        <f t="array" aca="1" ref="J43" ca="1">IFERROR(_FV(RTData[[#This Row],[Company Name]],"High"),0)</f>
        <v>15.584</v>
      </c>
      <c r="K43" s="19" cm="1">
        <f t="array" aca="1" ref="K43" ca="1">IFERROR(_FV(RTData[[#This Row],[Company Name]],"P/E",TRUE),99)</f>
        <v>0</v>
      </c>
      <c r="L43" s="20" cm="1">
        <f t="array" aca="1" ref="L43" ca="1">_FV(RTData[[#This Row],[Company Name]],"Change")</f>
        <v>-0.11</v>
      </c>
      <c r="M43" s="21" cm="1">
        <f t="array" aca="1" ref="M43" ca="1">_FV(RTData[[#This Row],[Company Name]],"Change (%)",TRUE)</f>
        <v>-7.0470000000000003E-3</v>
      </c>
      <c r="N43" s="106" cm="1">
        <f t="array" aca="1" ref="N43" ca="1">_FV(RTData[[#This Row],[Company Name]],"52 week low",TRUE)</f>
        <v>11.88</v>
      </c>
      <c r="O43" s="106" cm="1">
        <f t="array" aca="1" ref="O43" ca="1">_FV(RTData[[#This Row],[Company Name]],"52 week high",TRUE)</f>
        <v>17.93</v>
      </c>
      <c r="P43" s="22" cm="1">
        <f t="array" aca="1" ref="P43" ca="1">_FV(RTData[[#This Row],[Company Name]],"Volume")</f>
        <v>177104</v>
      </c>
      <c r="Q43" s="22" cm="1">
        <f t="array" aca="1" ref="Q43" ca="1">_FV(RTData[[#This Row],[Company Name]],"Volume average",TRUE)</f>
        <v>3869050</v>
      </c>
      <c r="R43" s="106" cm="1">
        <f t="array" aca="1" ref="R43" ca="1">_FV(RTData[[#This Row],[Company Name]],"Beta")</f>
        <v>1.2821</v>
      </c>
      <c r="T43" t="s">
        <v>19</v>
      </c>
      <c r="U43" t="str" cm="1">
        <f t="array" aca="1" ref="U43" ca="1">_FV(RTData[[#This Row],[Company Name]],"Exchange abbreviation",TRUE)</f>
        <v>OTCM</v>
      </c>
      <c r="V43" s="23">
        <f ca="1">IFERROR(RTData[[#This Row],[Volume]]/RTData[[#This Row],[Volume average]],1)</f>
        <v>4.5774544138742067E-2</v>
      </c>
      <c r="W43" s="23"/>
      <c r="X43" s="96">
        <f ca="1">_xlfn.XLOOKUP(RTData[[#This Row],[Ticker_Symbol]],TickerList!$G42:$G136,TickerList!L42:L136)</f>
        <v>0</v>
      </c>
      <c r="Y43" s="89">
        <f ca="1">_xlfn.XLOOKUP(RTData[[#This Row],[Ticker_Symbol]],TickerList!$G42:$G136,TickerList!M42:M136)</f>
        <v>45930</v>
      </c>
      <c r="Z43" s="89">
        <f ca="1">_xlfn.XLOOKUP(RTData[[#This Row],[Ticker_Symbol]],TickerList!$G42:$G136,TickerList!N42:N136)</f>
        <v>0</v>
      </c>
      <c r="AA43" s="90">
        <f ca="1">_xlfn.XLOOKUP(RTData[[#This Row],[Ticker_Symbol]],TickerList!$G42:$G136,TickerList!O42:O136)</f>
        <v>2.2599999999999999E-2</v>
      </c>
      <c r="AB43" s="91"/>
      <c r="AC43" s="92">
        <f t="shared" si="0"/>
        <v>3.0000000000000001E-3</v>
      </c>
      <c r="AD43" s="78" t="s">
        <v>46</v>
      </c>
      <c r="AE43" s="93">
        <f ca="1">_xlfn.LET(_xlpm.New1YT,RTData[[#This Row],[1YT]],        _xlpm.Old1YT,IF(ISNUMBER(RTData[[#This Row],[Old1YT]]),RTData[[#This Row],[Old1YT]],VALUE(LEFT(RTData[[#This Row],[Old1YT]],FIND("/",RTData[[#This Row],[Old1YT]],1)-1))),       IF(OR(RTData[[#This Row],[1YT]]=0,_xlpm.Old1YT=0),0,(_xlpm.New1YT-_xlpm.Old1YT)/_xlpm.Old1YT))</f>
        <v>0</v>
      </c>
      <c r="AF43" s="93" t="str">
        <f ca="1">TEXT(RTData[[#This Row],[1YT]],"#,#0.00")&amp;" &lt; "&amp;RTData[[#This Row],[Old1YT]]</f>
        <v>0.00 &lt; 331.33/312.72</v>
      </c>
    </row>
    <row r="44" spans="1:33" x14ac:dyDescent="0.3">
      <c r="A44" s="15" t="str" cm="1">
        <f t="array" aca="1" ref="A44" ca="1">_xlfn.SINGLE(RTData[suffix])&amp;_FV(RTData[[#This Row],[Company Name]],"Ticker symbol",TRUE)</f>
        <v>SSYS</v>
      </c>
      <c r="B44" s="15">
        <f t="shared" ref="B44:B46" ca="1" si="4">D$100</f>
        <v>0.85142613878246054</v>
      </c>
      <c r="C44" t="e" vm="42">
        <v>#VALUE!</v>
      </c>
      <c r="D44" s="104" t="str" cm="1">
        <f t="array" aca="1" ref="D44" ca="1">_FV(RTData[[#This Row],[Company Name]],"Currency")</f>
        <v>USD</v>
      </c>
      <c r="E44" s="17" cm="1">
        <f t="array" aca="1" ref="E44" ca="1">_FV(RTData[[#This Row],[Company Name]],"Last trade time",TRUE)</f>
        <v>46022.929886793747</v>
      </c>
      <c r="F44" s="106" cm="1">
        <f t="array" aca="1" ref="F44" ca="1">_FV(RTData[[#This Row],[Company Name]],"Previous close",TRUE)</f>
        <v>8.7200000000000006</v>
      </c>
      <c r="G44" s="106" cm="1">
        <f t="array" aca="1" ref="G44" ca="1">IFERROR(_FV(RTData[[#This Row],[Company Name]],"Open"),RTData[[#This Row],[Close]])</f>
        <v>8.6999999999999993</v>
      </c>
      <c r="H44" s="106" cm="1">
        <f t="array" aca="1" ref="H44" ca="1">_FV(RTData[[#This Row],[Company Name]],"Price")</f>
        <v>8.68</v>
      </c>
      <c r="I44" s="106" cm="1">
        <f t="array" aca="1" ref="I44" ca="1">IFERROR(_FV(RTData[[#This Row],[Company Name]],"Low"),0)</f>
        <v>8.5500000000000007</v>
      </c>
      <c r="J44" s="106" cm="1">
        <f t="array" aca="1" ref="J44" ca="1">IFERROR(_FV(RTData[[#This Row],[Company Name]],"High"),0)</f>
        <v>8.7100000000000009</v>
      </c>
      <c r="K44" s="19" cm="1">
        <f t="array" aca="1" ref="K44" ca="1">IFERROR(_FV(RTData[[#This Row],[Company Name]],"P/E",TRUE),99)</f>
        <v>0</v>
      </c>
      <c r="L44" s="20" cm="1">
        <f t="array" aca="1" ref="L44" ca="1">_FV(RTData[[#This Row],[Company Name]],"Change")</f>
        <v>-0.04</v>
      </c>
      <c r="M44" s="21" cm="1">
        <f t="array" aca="1" ref="M44" ca="1">_FV(RTData[[#This Row],[Company Name]],"Change (%)",TRUE)</f>
        <v>-4.5869999999999999E-3</v>
      </c>
      <c r="N44" s="106" cm="1">
        <f t="array" aca="1" ref="N44" ca="1">_FV(RTData[[#This Row],[Company Name]],"52 week low",TRUE)</f>
        <v>8.1199999999999992</v>
      </c>
      <c r="O44" s="106" cm="1">
        <f t="array" aca="1" ref="O44" ca="1">_FV(RTData[[#This Row],[Company Name]],"52 week high",TRUE)</f>
        <v>12.88</v>
      </c>
      <c r="P44" s="22" cm="1">
        <f t="array" aca="1" ref="P44" ca="1">_FV(RTData[[#This Row],[Company Name]],"Volume")</f>
        <v>714426</v>
      </c>
      <c r="Q44" s="22" cm="1">
        <f t="array" aca="1" ref="Q44" ca="1">_FV(RTData[[#This Row],[Company Name]],"Volume average",TRUE)</f>
        <v>725264</v>
      </c>
      <c r="R44" s="106" cm="1">
        <f t="array" aca="1" ref="R44" ca="1">_FV(RTData[[#This Row],[Company Name]],"Beta")</f>
        <v>1.4386000000000001</v>
      </c>
      <c r="T44" t="s">
        <v>19</v>
      </c>
      <c r="U44" t="str" cm="1">
        <f t="array" aca="1" ref="U44" ca="1">_FV(RTData[[#This Row],[Company Name]],"Exchange abbreviation",TRUE)</f>
        <v>XNAS</v>
      </c>
      <c r="V44" s="23">
        <f ca="1">IFERROR(RTData[[#This Row],[Volume]]/RTData[[#This Row],[Volume average]],1)</f>
        <v>0.98505647598667523</v>
      </c>
      <c r="W44" s="23"/>
      <c r="X44" s="96">
        <f ca="1">_xlfn.XLOOKUP(RTData[[#This Row],[Ticker_Symbol]],TickerList!$G43:$G137,TickerList!L43:L137)</f>
        <v>13.16667</v>
      </c>
      <c r="Y44" s="89">
        <f ca="1">_xlfn.XLOOKUP(RTData[[#This Row],[Ticker_Symbol]],TickerList!$G43:$G137,TickerList!M43:M137)</f>
        <v>0</v>
      </c>
      <c r="Z44" s="89">
        <f ca="1">_xlfn.XLOOKUP(RTData[[#This Row],[Ticker_Symbol]],TickerList!$G43:$G137,TickerList!N43:N137)</f>
        <v>0</v>
      </c>
      <c r="AA44" s="90">
        <f ca="1">_xlfn.XLOOKUP(RTData[[#This Row],[Ticker_Symbol]],TickerList!$G43:$G137,TickerList!O43:O137)</f>
        <v>0</v>
      </c>
      <c r="AB44" s="91">
        <v>1E-4</v>
      </c>
      <c r="AC44" s="92">
        <f t="shared" si="0"/>
        <v>3.0000000000000001E-3</v>
      </c>
      <c r="AD44" s="78">
        <v>42.6</v>
      </c>
      <c r="AE44" s="93">
        <f ca="1">_xlfn.LET(_xlpm.New1YT,RTData[[#This Row],[1YT]],        _xlpm.Old1YT,IF(ISNUMBER(RTData[[#This Row],[Old1YT]]),RTData[[#This Row],[Old1YT]],VALUE(LEFT(RTData[[#This Row],[Old1YT]],FIND("/",RTData[[#This Row],[Old1YT]],1)-1))),       IF(OR(RTData[[#This Row],[1YT]]=0,_xlpm.Old1YT=0),0,(_xlpm.New1YT-_xlpm.Old1YT)/_xlpm.Old1YT))</f>
        <v>-0.69092323943661971</v>
      </c>
      <c r="AF44" s="93" t="str">
        <f ca="1">TEXT(RTData[[#This Row],[1YT]],"#,#0.00")&amp;" &lt; "&amp;RTData[[#This Row],[Old1YT]]</f>
        <v>13.17 &lt; 42.6</v>
      </c>
    </row>
    <row r="45" spans="1:33" x14ac:dyDescent="0.3">
      <c r="A45" s="15" t="str" cm="1">
        <f t="array" aca="1" ref="A45" ca="1">_xlfn.SINGLE(RTData[suffix])&amp;_FV(RTData[[#This Row],[Company Name]],"Ticker symbol",TRUE)</f>
        <v>TSLA</v>
      </c>
      <c r="B45" s="15">
        <f t="shared" ca="1" si="4"/>
        <v>0.85142613878246054</v>
      </c>
      <c r="C45" t="e" vm="43">
        <v>#VALUE!</v>
      </c>
      <c r="D45" s="104" t="str" cm="1">
        <f t="array" aca="1" ref="D45" ca="1">_FV(RTData[[#This Row],[Company Name]],"Currency")</f>
        <v>USD</v>
      </c>
      <c r="E45" s="17" cm="1">
        <f t="array" aca="1" ref="E45" ca="1">_FV(RTData[[#This Row],[Company Name]],"Last trade time",TRUE)</f>
        <v>46022.930974397656</v>
      </c>
      <c r="F45" s="106" cm="1">
        <f t="array" aca="1" ref="F45" ca="1">_FV(RTData[[#This Row],[Company Name]],"Previous close",TRUE)</f>
        <v>454.43</v>
      </c>
      <c r="G45" s="106" cm="1">
        <f t="array" aca="1" ref="G45" ca="1">IFERROR(_FV(RTData[[#This Row],[Company Name]],"Open"),RTData[[#This Row],[Close]])</f>
        <v>456.1</v>
      </c>
      <c r="H45" s="106" cm="1">
        <f t="array" aca="1" ref="H45" ca="1">_FV(RTData[[#This Row],[Company Name]],"Price")</f>
        <v>449.72</v>
      </c>
      <c r="I45" s="106" cm="1">
        <f t="array" aca="1" ref="I45" ca="1">IFERROR(_FV(RTData[[#This Row],[Company Name]],"Low"),0)</f>
        <v>449.3</v>
      </c>
      <c r="J45" s="106" cm="1">
        <f t="array" aca="1" ref="J45" ca="1">IFERROR(_FV(RTData[[#This Row],[Company Name]],"High"),0)</f>
        <v>456.55</v>
      </c>
      <c r="K45" s="19" cm="1">
        <f t="array" aca="1" ref="K45" ca="1">IFERROR(_FV(RTData[[#This Row],[Company Name]],"P/E",TRUE),99)</f>
        <v>311.8075</v>
      </c>
      <c r="L45" s="20" cm="1">
        <f t="array" aca="1" ref="L45" ca="1">_FV(RTData[[#This Row],[Company Name]],"Change")</f>
        <v>-4.71</v>
      </c>
      <c r="M45" s="21" cm="1">
        <f t="array" aca="1" ref="M45" ca="1">_FV(RTData[[#This Row],[Company Name]],"Change (%)",TRUE)</f>
        <v>-1.0364999999999999E-2</v>
      </c>
      <c r="N45" s="106" cm="1">
        <f t="array" aca="1" ref="N45" ca="1">_FV(RTData[[#This Row],[Company Name]],"52 week low",TRUE)</f>
        <v>214.25</v>
      </c>
      <c r="O45" s="106" cm="1">
        <f t="array" aca="1" ref="O45" ca="1">_FV(RTData[[#This Row],[Company Name]],"52 week high",TRUE)</f>
        <v>498.83</v>
      </c>
      <c r="P45" s="22" cm="1">
        <f t="array" aca="1" ref="P45" ca="1">_FV(RTData[[#This Row],[Company Name]],"Volume")</f>
        <v>48797827</v>
      </c>
      <c r="Q45" s="22" cm="1">
        <f t="array" aca="1" ref="Q45" ca="1">_FV(RTData[[#This Row],[Company Name]],"Volume average",TRUE)</f>
        <v>74212150</v>
      </c>
      <c r="R45" s="106" cm="1">
        <f t="array" aca="1" ref="R45" ca="1">_FV(RTData[[#This Row],[Company Name]],"Beta")</f>
        <v>1.8372999999999999</v>
      </c>
      <c r="T45" t="s">
        <v>19</v>
      </c>
      <c r="U45" t="str" cm="1">
        <f t="array" aca="1" ref="U45" ca="1">_FV(RTData[[#This Row],[Company Name]],"Exchange abbreviation",TRUE)</f>
        <v>XNAS</v>
      </c>
      <c r="V45" s="23">
        <f ca="1">IFERROR(RTData[[#This Row],[Volume]]/RTData[[#This Row],[Volume average]],1)</f>
        <v>0.65754498421080643</v>
      </c>
      <c r="W45" s="23"/>
      <c r="X45" s="96">
        <f ca="1">_xlfn.XLOOKUP(RTData[[#This Row],[Ticker_Symbol]],TickerList!$G44:$G138,TickerList!L44:L138)</f>
        <v>399.15100000000001</v>
      </c>
      <c r="Y45" s="89">
        <f ca="1">_xlfn.XLOOKUP(RTData[[#This Row],[Ticker_Symbol]],TickerList!$G44:$G138,TickerList!M44:M138)</f>
        <v>0</v>
      </c>
      <c r="Z45" s="89">
        <f ca="1">_xlfn.XLOOKUP(RTData[[#This Row],[Ticker_Symbol]],TickerList!$G44:$G138,TickerList!N44:N138)</f>
        <v>0</v>
      </c>
      <c r="AA45" s="90">
        <f ca="1">_xlfn.XLOOKUP(RTData[[#This Row],[Ticker_Symbol]],TickerList!$G44:$G138,TickerList!O44:O138)</f>
        <v>0</v>
      </c>
      <c r="AB45" s="91">
        <v>1E-4</v>
      </c>
      <c r="AC45" s="92">
        <f t="shared" si="0"/>
        <v>3.0000000000000001E-3</v>
      </c>
      <c r="AD45" s="78">
        <v>11.8</v>
      </c>
      <c r="AE45" s="93">
        <f ca="1">_xlfn.LET(_xlpm.New1YT,RTData[[#This Row],[1YT]],        _xlpm.Old1YT,IF(ISNUMBER(RTData[[#This Row],[Old1YT]]),RTData[[#This Row],[Old1YT]],VALUE(LEFT(RTData[[#This Row],[Old1YT]],FIND("/",RTData[[#This Row],[Old1YT]],1)-1))),       IF(OR(RTData[[#This Row],[1YT]]=0,_xlpm.Old1YT=0),0,(_xlpm.New1YT-_xlpm.Old1YT)/_xlpm.Old1YT))</f>
        <v>32.826355932203391</v>
      </c>
      <c r="AF45" s="93" t="str">
        <f ca="1">TEXT(RTData[[#This Row],[1YT]],"#,#0.00")&amp;" &lt; "&amp;RTData[[#This Row],[Old1YT]]</f>
        <v>399.15 &lt; 11.8</v>
      </c>
      <c r="AG45" s="43"/>
    </row>
    <row r="46" spans="1:33" x14ac:dyDescent="0.3">
      <c r="A46" s="15" t="str" cm="1">
        <f t="array" aca="1" ref="A46" ca="1">_xlfn.SINGLE(RTData[suffix])&amp;_FV(RTData[[#This Row],[Company Name]],"Ticker symbol",TRUE)</f>
        <v>TSM</v>
      </c>
      <c r="B46" s="15">
        <f t="shared" ca="1" si="4"/>
        <v>0.85142613878246054</v>
      </c>
      <c r="C46" t="e" vm="44">
        <v>#VALUE!</v>
      </c>
      <c r="D46" s="104" t="str" cm="1">
        <f t="array" aca="1" ref="D46" ca="1">_FV(RTData[[#This Row],[Company Name]],"Currency")</f>
        <v>USD</v>
      </c>
      <c r="E46" s="17" cm="1">
        <f t="array" aca="1" ref="E46" ca="1">_FV(RTData[[#This Row],[Company Name]],"Last trade time",TRUE)</f>
        <v>46022.930826099218</v>
      </c>
      <c r="F46" s="106" cm="1">
        <f t="array" aca="1" ref="F46" ca="1">_FV(RTData[[#This Row],[Company Name]],"Previous close",TRUE)</f>
        <v>299.58</v>
      </c>
      <c r="G46" s="106" cm="1">
        <f t="array" aca="1" ref="G46" ca="1">IFERROR(_FV(RTData[[#This Row],[Company Name]],"Open"),RTData[[#This Row],[Close]])</f>
        <v>304</v>
      </c>
      <c r="H46" s="106" cm="1">
        <f t="array" aca="1" ref="H46" ca="1">_FV(RTData[[#This Row],[Company Name]],"Price")</f>
        <v>303.92</v>
      </c>
      <c r="I46" s="106" cm="1">
        <f t="array" aca="1" ref="I46" ca="1">IFERROR(_FV(RTData[[#This Row],[Company Name]],"Low"),0)</f>
        <v>303.43</v>
      </c>
      <c r="J46" s="106" cm="1">
        <f t="array" aca="1" ref="J46" ca="1">IFERROR(_FV(RTData[[#This Row],[Company Name]],"High"),0)</f>
        <v>307.39</v>
      </c>
      <c r="K46" s="19" cm="1">
        <f t="array" aca="1" ref="K46" ca="1">IFERROR(_FV(RTData[[#This Row],[Company Name]],"P/E",TRUE),99)</f>
        <v>30.242000000000001</v>
      </c>
      <c r="L46" s="20" cm="1">
        <f t="array" aca="1" ref="L46" ca="1">_FV(RTData[[#This Row],[Company Name]],"Change")</f>
        <v>4.34</v>
      </c>
      <c r="M46" s="21" cm="1">
        <f t="array" aca="1" ref="M46" ca="1">_FV(RTData[[#This Row],[Company Name]],"Change (%)",TRUE)</f>
        <v>1.4487000000000002E-2</v>
      </c>
      <c r="N46" s="106" cm="1">
        <f t="array" aca="1" ref="N46" ca="1">_FV(RTData[[#This Row],[Company Name]],"52 week low",TRUE)</f>
        <v>134.25</v>
      </c>
      <c r="O46" s="106" cm="1">
        <f t="array" aca="1" ref="O46" ca="1">_FV(RTData[[#This Row],[Company Name]],"52 week high",TRUE)</f>
        <v>313.98</v>
      </c>
      <c r="P46" s="22" cm="1">
        <f t="array" aca="1" ref="P46" ca="1">_FV(RTData[[#This Row],[Company Name]],"Volume")</f>
        <v>8159946</v>
      </c>
      <c r="Q46" s="22" cm="1">
        <f t="array" aca="1" ref="Q46" ca="1">_FV(RTData[[#This Row],[Company Name]],"Volume average",TRUE)</f>
        <v>10494574</v>
      </c>
      <c r="R46" s="106" cm="1">
        <f t="array" aca="1" ref="R46" ca="1">_FV(RTData[[#This Row],[Company Name]],"Beta")</f>
        <v>1.2955000000000001</v>
      </c>
      <c r="T46" t="s">
        <v>19</v>
      </c>
      <c r="U46" t="str" cm="1">
        <f t="array" aca="1" ref="U46" ca="1">_FV(RTData[[#This Row],[Company Name]],"Exchange abbreviation",TRUE)</f>
        <v>XNYS</v>
      </c>
      <c r="V46" s="23">
        <f ca="1">IFERROR(RTData[[#This Row],[Volume]]/RTData[[#This Row],[Volume average]],1)</f>
        <v>0.77753951708759217</v>
      </c>
      <c r="W46" s="23"/>
      <c r="X46" s="96">
        <f ca="1">_xlfn.XLOOKUP(RTData[[#This Row],[Ticker_Symbol]],TickerList!$G45:$G139,TickerList!L45:L139)</f>
        <v>344.57333</v>
      </c>
      <c r="Y46" s="89">
        <f ca="1">_xlfn.XLOOKUP(RTData[[#This Row],[Ticker_Symbol]],TickerList!$G45:$G139,TickerList!M45:M139)</f>
        <v>46098</v>
      </c>
      <c r="Z46" s="89">
        <f ca="1">_xlfn.XLOOKUP(RTData[[#This Row],[Ticker_Symbol]],TickerList!$G45:$G139,TickerList!N45:N139)</f>
        <v>0</v>
      </c>
      <c r="AA46" s="90">
        <f ca="1">_xlfn.XLOOKUP(RTData[[#This Row],[Ticker_Symbol]],TickerList!$G45:$G139,TickerList!O45:O139)</f>
        <v>1.12E-2</v>
      </c>
      <c r="AB46" s="91">
        <v>1E-4</v>
      </c>
      <c r="AC46" s="92">
        <f t="shared" si="0"/>
        <v>3.0000000000000001E-3</v>
      </c>
      <c r="AD46" s="78">
        <v>209.14</v>
      </c>
      <c r="AE46" s="93">
        <f ca="1">_xlfn.LET(_xlpm.New1YT,RTData[[#This Row],[1YT]],        _xlpm.Old1YT,IF(ISNUMBER(RTData[[#This Row],[Old1YT]]),RTData[[#This Row],[Old1YT]],VALUE(LEFT(RTData[[#This Row],[Old1YT]],FIND("/",RTData[[#This Row],[Old1YT]],1)-1))),       IF(OR(RTData[[#This Row],[1YT]]=0,_xlpm.Old1YT=0),0,(_xlpm.New1YT-_xlpm.Old1YT)/_xlpm.Old1YT))</f>
        <v>0.64757258295878373</v>
      </c>
      <c r="AF46" s="93" t="str">
        <f ca="1">TEXT(RTData[[#This Row],[1YT]],"#,#0.00")&amp;" &lt; "&amp;RTData[[#This Row],[Old1YT]]</f>
        <v>344.57 &lt; 209.14</v>
      </c>
    </row>
    <row r="47" spans="1:33" x14ac:dyDescent="0.3">
      <c r="A47" s="15" t="str" cm="1">
        <f t="array" aca="1" ref="A47" ca="1">_xlfn.SINGLE(RTData[suffix])&amp;_FV(RTData[[#This Row],[Company Name]],"Ticker symbol",TRUE)</f>
        <v>UN0</v>
      </c>
      <c r="B47" s="15">
        <v>1</v>
      </c>
      <c r="C47" t="e" vm="45">
        <v>#VALUE!</v>
      </c>
      <c r="D47" s="104" t="str" cm="1">
        <f t="array" aca="1" ref="D47" ca="1">_FV(RTData[[#This Row],[Company Name]],"Currency")</f>
        <v>EUR</v>
      </c>
      <c r="E47" s="17" cm="1">
        <f t="array" aca="1" ref="E47" ca="1">_FV(RTData[[#This Row],[Company Name]],"Last trade time",TRUE)</f>
        <v>46021.583333333336</v>
      </c>
      <c r="F47" s="106" cm="1">
        <f t="array" aca="1" ref="F47" ca="1">_FV(RTData[[#This Row],[Company Name]],"Previous close",TRUE)</f>
        <v>31.9</v>
      </c>
      <c r="G47" s="106" cm="1">
        <f t="array" aca="1" ref="G47" ca="1">IFERROR(_FV(RTData[[#This Row],[Company Name]],"Open"),RTData[[#This Row],[Close]])</f>
        <v>32</v>
      </c>
      <c r="H47" s="106" cm="1">
        <f t="array" aca="1" ref="H47" ca="1">_FV(RTData[[#This Row],[Company Name]],"Price")</f>
        <v>32.200000000000003</v>
      </c>
      <c r="I47" s="106" cm="1">
        <f t="array" aca="1" ref="I47" ca="1">IFERROR(_FV(RTData[[#This Row],[Company Name]],"Low"),0)</f>
        <v>32</v>
      </c>
      <c r="J47" s="106" cm="1">
        <f t="array" aca="1" ref="J47" ca="1">IFERROR(_FV(RTData[[#This Row],[Company Name]],"High"),0)</f>
        <v>32.200000000000003</v>
      </c>
      <c r="K47" s="19" cm="1">
        <f t="array" ref="K47">IFERROR(_FV(RTData[[#This Row],[Company Name]],"P/E",TRUE),99)</f>
        <v>99</v>
      </c>
      <c r="L47" s="20" cm="1">
        <f t="array" aca="1" ref="L47" ca="1">_FV(RTData[[#This Row],[Company Name]],"Change")</f>
        <v>0.3</v>
      </c>
      <c r="M47" s="21" cm="1">
        <f t="array" aca="1" ref="M47" ca="1">_FV(RTData[[#This Row],[Company Name]],"Change (%)",TRUE)</f>
        <v>9.4040000000000009E-3</v>
      </c>
      <c r="N47" s="106" cm="1">
        <f t="array" aca="1" ref="N47" ca="1">_FV(RTData[[#This Row],[Company Name]],"52 week low",TRUE)</f>
        <v>2.1</v>
      </c>
      <c r="O47" s="106" cm="1">
        <f t="array" aca="1" ref="O47" ca="1">_FV(RTData[[#This Row],[Company Name]],"52 week high",TRUE)</f>
        <v>73.5</v>
      </c>
      <c r="P47" s="22" cm="1">
        <f t="array" aca="1" ref="P47" ca="1">_FV(RTData[[#This Row],[Company Name]],"Volume")</f>
        <v>756</v>
      </c>
      <c r="Q47" s="22" cm="1">
        <f t="array" aca="1" ref="Q47" ca="1">_FV(RTData[[#This Row],[Company Name]],"Volume average",TRUE)</f>
        <v>5620</v>
      </c>
      <c r="R47" s="106" cm="1">
        <f t="array" aca="1" ref="R47" ca="1">_FV(RTData[[#This Row],[Company Name]],"Beta")</f>
        <v>1.0581</v>
      </c>
      <c r="T47" t="s">
        <v>19</v>
      </c>
      <c r="U47" t="str" cm="1">
        <f t="array" aca="1" ref="U47" ca="1">_FV(RTData[[#This Row],[Company Name]],"Exchange abbreviation",TRUE)</f>
        <v>XFRA</v>
      </c>
      <c r="V47" s="23">
        <f ca="1">IFERROR(RTData[[#This Row],[Volume]]/RTData[[#This Row],[Volume average]],1)</f>
        <v>0.13451957295373665</v>
      </c>
      <c r="W47" s="23"/>
      <c r="X47" s="96">
        <f ca="1">_xlfn.XLOOKUP(RTData[[#This Row],[Ticker_Symbol]],TickerList!$G46:$G140,TickerList!L46:L140)</f>
        <v>0</v>
      </c>
      <c r="Y47" s="89">
        <f ca="1">_xlfn.XLOOKUP(RTData[[#This Row],[Ticker_Symbol]],TickerList!$G46:$G140,TickerList!M46:M140)</f>
        <v>0</v>
      </c>
      <c r="Z47" s="89">
        <f ca="1">_xlfn.XLOOKUP(RTData[[#This Row],[Ticker_Symbol]],TickerList!$G46:$G140,TickerList!N46:N140)</f>
        <v>0</v>
      </c>
      <c r="AA47" s="90">
        <f ca="1">_xlfn.XLOOKUP(RTData[[#This Row],[Ticker_Symbol]],TickerList!$G46:$G140,TickerList!O46:O140)</f>
        <v>0</v>
      </c>
      <c r="AB47" s="91">
        <v>1E-4</v>
      </c>
      <c r="AC47" s="92">
        <f t="shared" si="0"/>
        <v>3.0000000000000001E-3</v>
      </c>
      <c r="AD47" s="78" t="s">
        <v>63</v>
      </c>
      <c r="AE47" s="93">
        <f ca="1">_xlfn.LET(_xlpm.New1YT,RTData[[#This Row],[1YT]],        _xlpm.Old1YT,IF(ISNUMBER(RTData[[#This Row],[Old1YT]]),RTData[[#This Row],[Old1YT]],VALUE(LEFT(RTData[[#This Row],[Old1YT]],FIND("/",RTData[[#This Row],[Old1YT]],1)-1))),       IF(OR(RTData[[#This Row],[1YT]]=0,_xlpm.Old1YT=0),0,(_xlpm.New1YT-_xlpm.Old1YT)/_xlpm.Old1YT))</f>
        <v>0</v>
      </c>
      <c r="AF47" s="93" t="str">
        <f ca="1">TEXT(RTData[[#This Row],[1YT]],"#,#0.00")&amp;" &lt; "&amp;RTData[[#This Row],[Old1YT]]</f>
        <v>0.00 &lt; 229.89/159.2</v>
      </c>
    </row>
    <row r="48" spans="1:33" x14ac:dyDescent="0.3">
      <c r="A48" s="15" t="str" cm="1">
        <f t="array" aca="1" ref="A48" ca="1">_xlfn.SINGLE(RTData[suffix])&amp;_FV(RTData[[#This Row],[Company Name]],"Ticker symbol",TRUE)</f>
        <v>UNIT</v>
      </c>
      <c r="B48" s="15">
        <f ca="1">D$100</f>
        <v>0.85142613878246054</v>
      </c>
      <c r="C48" t="e" vm="46">
        <v>#VALUE!</v>
      </c>
      <c r="D48" s="104" t="str" cm="1">
        <f t="array" aca="1" ref="D48" ca="1">_FV(RTData[[#This Row],[Company Name]],"Currency")</f>
        <v>USD</v>
      </c>
      <c r="E48" s="17" cm="1">
        <f t="array" aca="1" ref="E48" ca="1">_FV(RTData[[#This Row],[Company Name]],"Last trade time",TRUE)</f>
        <v>46022.891693969534</v>
      </c>
      <c r="F48" s="106" cm="1">
        <f t="array" aca="1" ref="F48" ca="1">_FV(RTData[[#This Row],[Company Name]],"Previous close",TRUE)</f>
        <v>6.92</v>
      </c>
      <c r="G48" s="106" cm="1">
        <f t="array" aca="1" ref="G48" ca="1">IFERROR(_FV(RTData[[#This Row],[Company Name]],"Open"),RTData[[#This Row],[Close]])</f>
        <v>6.91</v>
      </c>
      <c r="H48" s="106" cm="1">
        <f t="array" aca="1" ref="H48" ca="1">_FV(RTData[[#This Row],[Company Name]],"Price")</f>
        <v>7.01</v>
      </c>
      <c r="I48" s="106" cm="1">
        <f t="array" aca="1" ref="I48" ca="1">IFERROR(_FV(RTData[[#This Row],[Company Name]],"Low"),0)</f>
        <v>6.8650000000000002</v>
      </c>
      <c r="J48" s="106" cm="1">
        <f t="array" aca="1" ref="J48" ca="1">IFERROR(_FV(RTData[[#This Row],[Company Name]],"High"),0)</f>
        <v>7.05</v>
      </c>
      <c r="K48" s="19" cm="1">
        <f t="array" aca="1" ref="K48" ca="1">IFERROR(_FV(RTData[[#This Row],[Company Name]],"P/E",TRUE),99)</f>
        <v>1.3806</v>
      </c>
      <c r="L48" s="20" cm="1">
        <f t="array" aca="1" ref="L48" ca="1">_FV(RTData[[#This Row],[Company Name]],"Change")</f>
        <v>0.09</v>
      </c>
      <c r="M48" s="21" cm="1">
        <f t="array" aca="1" ref="M48" ca="1">_FV(RTData[[#This Row],[Company Name]],"Change (%)",TRUE)</f>
        <v>1.3006E-2</v>
      </c>
      <c r="N48" s="106" cm="1">
        <f t="array" aca="1" ref="N48" ca="1">_FV(RTData[[#This Row],[Company Name]],"52 week low",TRUE)</f>
        <v>5.3</v>
      </c>
      <c r="O48" s="106" cm="1">
        <f t="array" aca="1" ref="O48" ca="1">_FV(RTData[[#This Row],[Company Name]],"52 week high",TRUE)</f>
        <v>10.2339</v>
      </c>
      <c r="P48" s="22" cm="1">
        <f t="array" aca="1" ref="P48" ca="1">_FV(RTData[[#This Row],[Company Name]],"Volume")</f>
        <v>1582467</v>
      </c>
      <c r="Q48" s="22" cm="1">
        <f t="array" aca="1" ref="Q48" ca="1">_FV(RTData[[#This Row],[Company Name]],"Volume average",TRUE)</f>
        <v>2674387</v>
      </c>
      <c r="R48" s="106" cm="1">
        <f t="array" aca="1" ref="R48" ca="1">_FV(RTData[[#This Row],[Company Name]],"Beta")</f>
        <v>1.4696</v>
      </c>
      <c r="T48" t="s">
        <v>19</v>
      </c>
      <c r="U48" t="str" cm="1">
        <f t="array" aca="1" ref="U48" ca="1">_FV(RTData[[#This Row],[Company Name]],"Exchange abbreviation",TRUE)</f>
        <v>XNAS</v>
      </c>
      <c r="V48" s="23">
        <f ca="1">IFERROR(RTData[[#This Row],[Volume]]/RTData[[#This Row],[Volume average]],1)</f>
        <v>0.59171204466668437</v>
      </c>
      <c r="W48" s="23"/>
      <c r="X48" s="96">
        <f ca="1">_xlfn.XLOOKUP(RTData[[#This Row],[Ticker_Symbol]],TickerList!$G47:$G141,TickerList!L47:L141)</f>
        <v>7.2</v>
      </c>
      <c r="Y48" s="89">
        <f ca="1">_xlfn.XLOOKUP(RTData[[#This Row],[Ticker_Symbol]],TickerList!$G47:$G141,TickerList!M47:M141)</f>
        <v>45457</v>
      </c>
      <c r="Z48" s="89">
        <f ca="1">_xlfn.XLOOKUP(RTData[[#This Row],[Ticker_Symbol]],TickerList!$G47:$G141,TickerList!N47:N141)</f>
        <v>0</v>
      </c>
      <c r="AA48" s="90">
        <f ca="1">_xlfn.XLOOKUP(RTData[[#This Row],[Ticker_Symbol]],TickerList!$G47:$G141,TickerList!O47:O141)</f>
        <v>0</v>
      </c>
      <c r="AB48" s="91"/>
      <c r="AC48" s="92">
        <f t="shared" si="0"/>
        <v>3.0000000000000001E-3</v>
      </c>
      <c r="AD48" s="78">
        <v>42.3</v>
      </c>
      <c r="AE48" s="93">
        <f ca="1">_xlfn.LET(_xlpm.New1YT,RTData[[#This Row],[1YT]],        _xlpm.Old1YT,IF(ISNUMBER(RTData[[#This Row],[Old1YT]]),RTData[[#This Row],[Old1YT]],VALUE(LEFT(RTData[[#This Row],[Old1YT]],FIND("/",RTData[[#This Row],[Old1YT]],1)-1))),       IF(OR(RTData[[#This Row],[1YT]]=0,_xlpm.Old1YT=0),0,(_xlpm.New1YT-_xlpm.Old1YT)/_xlpm.Old1YT))</f>
        <v>-0.82978723404255317</v>
      </c>
      <c r="AF48" s="93" t="str">
        <f ca="1">TEXT(RTData[[#This Row],[1YT]],"#,#0.00")&amp;" &lt; "&amp;RTData[[#This Row],[Old1YT]]</f>
        <v>7.20 &lt; 42.3</v>
      </c>
    </row>
    <row r="49" spans="1:34" x14ac:dyDescent="0.3">
      <c r="A49" s="15" t="str" cm="1">
        <f t="array" aca="1" ref="A49" ca="1">_xlfn.SINGLE(RTData[suffix])&amp;_FV(RTData[[#This Row],[Company Name]],"Ticker symbol",TRUE)</f>
        <v>VLVLY</v>
      </c>
      <c r="B49" s="15">
        <f ca="1">D$100</f>
        <v>0.85142613878246054</v>
      </c>
      <c r="C49" t="e" vm="47">
        <v>#VALUE!</v>
      </c>
      <c r="D49" s="104" t="str" cm="1">
        <f t="array" aca="1" ref="D49" ca="1">_FV(RTData[[#This Row],[Company Name]],"Currency")</f>
        <v>USD</v>
      </c>
      <c r="E49" s="17" cm="1">
        <f t="array" aca="1" ref="E49" ca="1">_FV(RTData[[#This Row],[Company Name]],"Last trade time",TRUE)</f>
        <v>46022.875</v>
      </c>
      <c r="F49" s="106" cm="1">
        <f t="array" aca="1" ref="F49" ca="1">_FV(RTData[[#This Row],[Company Name]],"Previous close",TRUE)</f>
        <v>32.094999999999999</v>
      </c>
      <c r="G49" s="106" cm="1">
        <f t="array" aca="1" ref="G49" ca="1">IFERROR(_FV(RTData[[#This Row],[Company Name]],"Open"),RTData[[#This Row],[Close]])</f>
        <v>32.1</v>
      </c>
      <c r="H49" s="106" cm="1">
        <f t="array" aca="1" ref="H49" ca="1">_FV(RTData[[#This Row],[Company Name]],"Price")</f>
        <v>31.94</v>
      </c>
      <c r="I49" s="106" cm="1">
        <f t="array" aca="1" ref="I49" ca="1">IFERROR(_FV(RTData[[#This Row],[Company Name]],"Low"),0)</f>
        <v>31.94</v>
      </c>
      <c r="J49" s="106" cm="1">
        <f t="array" aca="1" ref="J49" ca="1">IFERROR(_FV(RTData[[#This Row],[Company Name]],"High"),0)</f>
        <v>33.06</v>
      </c>
      <c r="K49" s="19" cm="1">
        <f t="array" aca="1" ref="K49" ca="1">IFERROR(_FV(RTData[[#This Row],[Company Name]],"P/E",TRUE),99)</f>
        <v>0</v>
      </c>
      <c r="L49" s="20" cm="1">
        <f t="array" aca="1" ref="L49" ca="1">_FV(RTData[[#This Row],[Company Name]],"Change")</f>
        <v>-0.155</v>
      </c>
      <c r="M49" s="21" cm="1">
        <f t="array" aca="1" ref="M49" ca="1">_FV(RTData[[#This Row],[Company Name]],"Change (%)",TRUE)</f>
        <v>-4.829E-3</v>
      </c>
      <c r="N49" s="106" cm="1">
        <f t="array" aca="1" ref="N49" ca="1">_FV(RTData[[#This Row],[Company Name]],"52 week low",TRUE)</f>
        <v>22.55</v>
      </c>
      <c r="O49" s="106" cm="1">
        <f t="array" aca="1" ref="O49" ca="1">_FV(RTData[[#This Row],[Company Name]],"52 week high",TRUE)</f>
        <v>33.33</v>
      </c>
      <c r="P49" s="22" cm="1">
        <f t="array" aca="1" ref="P49" ca="1">_FV(RTData[[#This Row],[Company Name]],"Volume")</f>
        <v>31763</v>
      </c>
      <c r="Q49" s="22" cm="1">
        <f t="array" aca="1" ref="Q49" ca="1">_FV(RTData[[#This Row],[Company Name]],"Volume average",TRUE)</f>
        <v>2371110</v>
      </c>
      <c r="R49" s="106" cm="1">
        <f t="array" aca="1" ref="R49" ca="1">_FV(RTData[[#This Row],[Company Name]],"Beta")</f>
        <v>0.89670000000000005</v>
      </c>
      <c r="T49" t="s">
        <v>19</v>
      </c>
      <c r="U49" t="str" cm="1">
        <f t="array" aca="1" ref="U49" ca="1">_FV(RTData[[#This Row],[Company Name]],"Exchange abbreviation",TRUE)</f>
        <v>OTCM</v>
      </c>
      <c r="V49" s="23">
        <f ca="1">IFERROR(RTData[[#This Row],[Volume]]/RTData[[#This Row],[Volume average]],1)</f>
        <v>1.3395835705639975E-2</v>
      </c>
      <c r="W49" s="23"/>
      <c r="X49" s="96">
        <f ca="1">_xlfn.XLOOKUP(RTData[[#This Row],[Ticker_Symbol]],TickerList!$G48:$G142,TickerList!L48:L142)</f>
        <v>35</v>
      </c>
      <c r="Y49" s="89">
        <f ca="1">_xlfn.XLOOKUP(RTData[[#This Row],[Ticker_Symbol]],TickerList!$G48:$G142,TickerList!M48:M142)</f>
        <v>45751</v>
      </c>
      <c r="Z49" s="89">
        <f ca="1">_xlfn.XLOOKUP(RTData[[#This Row],[Ticker_Symbol]],TickerList!$G48:$G142,TickerList!N48:N142)</f>
        <v>0</v>
      </c>
      <c r="AA49" s="90">
        <f ca="1">_xlfn.XLOOKUP(RTData[[#This Row],[Ticker_Symbol]],TickerList!$G48:$G142,TickerList!O48:O142)</f>
        <v>2.5000000000000001E-2</v>
      </c>
      <c r="AB49" s="91">
        <v>1E-4</v>
      </c>
      <c r="AC49" s="92">
        <f t="shared" si="0"/>
        <v>3.0000000000000001E-3</v>
      </c>
      <c r="AD49" s="78">
        <v>29.73</v>
      </c>
      <c r="AE49" s="93">
        <f ca="1">_xlfn.LET(_xlpm.New1YT,RTData[[#This Row],[1YT]],        _xlpm.Old1YT,IF(ISNUMBER(RTData[[#This Row],[Old1YT]]),RTData[[#This Row],[Old1YT]],VALUE(LEFT(RTData[[#This Row],[Old1YT]],FIND("/",RTData[[#This Row],[Old1YT]],1)-1))),       IF(OR(RTData[[#This Row],[1YT]]=0,_xlpm.Old1YT=0),0,(_xlpm.New1YT-_xlpm.Old1YT)/_xlpm.Old1YT))</f>
        <v>0.1772620248906828</v>
      </c>
      <c r="AF49" s="93" t="str">
        <f ca="1">TEXT(RTData[[#This Row],[1YT]],"#,#0.00")&amp;" &lt; "&amp;RTData[[#This Row],[Old1YT]]</f>
        <v>35.00 &lt; 29.73</v>
      </c>
    </row>
    <row r="50" spans="1:34" x14ac:dyDescent="0.3">
      <c r="A50" s="15" t="str" cm="1">
        <f t="array" aca="1" ref="A50" ca="1">_xlfn.SINGLE(RTData[suffix])&amp;_FV(RTData[[#This Row],[Company Name]],"Ticker symbol",TRUE)</f>
        <v>VONN</v>
      </c>
      <c r="B50" s="15">
        <f ca="1">D101</f>
        <v>1.0744600838078866</v>
      </c>
      <c r="C50" t="e" vm="48">
        <v>#VALUE!</v>
      </c>
      <c r="D50" s="104" t="str" cm="1">
        <f t="array" aca="1" ref="D50" ca="1">_FV(RTData[[#This Row],[Company Name]],"Currency")</f>
        <v>CHF</v>
      </c>
      <c r="E50" s="17" cm="1">
        <f t="array" aca="1" ref="E50" ca="1">_FV(RTData[[#This Row],[Company Name]],"Last trade time",TRUE)</f>
        <v>46021.694444444445</v>
      </c>
      <c r="F50" s="110" cm="1">
        <f t="array" aca="1" ref="F50" ca="1">_FV(RTData[[#This Row],[Company Name]],"Previous close",TRUE)</f>
        <v>64.099999999999994</v>
      </c>
      <c r="G50" s="110" cm="1">
        <f t="array" aca="1" ref="G50" ca="1">IFERROR(_FV(RTData[[#This Row],[Company Name]],"Open"),RTData[[#This Row],[Close]])</f>
        <v>63.9</v>
      </c>
      <c r="H50" s="110" cm="1">
        <f t="array" aca="1" ref="H50" ca="1">_FV(RTData[[#This Row],[Company Name]],"Price")</f>
        <v>64.3</v>
      </c>
      <c r="I50" s="110" cm="1">
        <f t="array" aca="1" ref="I50" ca="1">IFERROR(_FV(RTData[[#This Row],[Company Name]],"Low"),0)</f>
        <v>63.9</v>
      </c>
      <c r="J50" s="110" cm="1">
        <f t="array" aca="1" ref="J50" ca="1">IFERROR(_FV(RTData[[#This Row],[Company Name]],"High"),0)</f>
        <v>64.5</v>
      </c>
      <c r="K50" s="19" cm="1">
        <f t="array" aca="1" ref="K50" ca="1">IFERROR(_FV(RTData[[#This Row],[Company Name]],"P/E",TRUE),99)</f>
        <v>14.514699999999999</v>
      </c>
      <c r="L50" s="20" cm="1">
        <f t="array" aca="1" ref="L50" ca="1">_FV(RTData[[#This Row],[Company Name]],"Change")</f>
        <v>0.2</v>
      </c>
      <c r="M50" s="31" cm="1">
        <f t="array" aca="1" ref="M50" ca="1">_FV(RTData[[#This Row],[Company Name]],"Change (%)",TRUE)</f>
        <v>3.1199999999999999E-3</v>
      </c>
      <c r="N50" s="110" cm="1">
        <f t="array" aca="1" ref="N50" ca="1">_FV(RTData[[#This Row],[Company Name]],"52 week low",TRUE)</f>
        <v>51.1</v>
      </c>
      <c r="O50" s="110" cm="1">
        <f t="array" aca="1" ref="O50" ca="1">_FV(RTData[[#This Row],[Company Name]],"52 week high",TRUE)</f>
        <v>69.5</v>
      </c>
      <c r="P50" s="22" cm="1">
        <f t="array" aca="1" ref="P50" ca="1">_FV(RTData[[#This Row],[Company Name]],"Volume")</f>
        <v>15655</v>
      </c>
      <c r="Q50" s="22" cm="1">
        <f t="array" aca="1" ref="Q50" ca="1">_FV(RTData[[#This Row],[Company Name]],"Volume average",TRUE)</f>
        <v>54820</v>
      </c>
      <c r="R50" s="110" cm="1">
        <f t="array" aca="1" ref="R50" ca="1">_FV(RTData[[#This Row],[Company Name]],"Beta")</f>
        <v>0.83209999999999995</v>
      </c>
      <c r="T50" t="s">
        <v>19</v>
      </c>
      <c r="U50" t="str" cm="1">
        <f t="array" aca="1" ref="U50" ca="1">_FV(RTData[[#This Row],[Company Name]],"Exchange abbreviation",TRUE)</f>
        <v>XSWX</v>
      </c>
      <c r="V50" s="23">
        <f ca="1">IFERROR(RTData[[#This Row],[Volume]]/RTData[[#This Row],[Volume average]],1)</f>
        <v>0.28557095950383071</v>
      </c>
      <c r="W50" s="23"/>
      <c r="X50" s="96">
        <f ca="1">_xlfn.XLOOKUP(RTData[[#This Row],[Ticker_Symbol]],TickerList!$G49:$G143,TickerList!L49:L143)</f>
        <v>64</v>
      </c>
      <c r="Y50" s="89">
        <f ca="1">_xlfn.XLOOKUP(RTData[[#This Row],[Ticker_Symbol]],TickerList!$G49:$G143,TickerList!M49:M143)</f>
        <v>45751</v>
      </c>
      <c r="Z50" s="89">
        <f ca="1">_xlfn.XLOOKUP(RTData[[#This Row],[Ticker_Symbol]],TickerList!$G49:$G143,TickerList!N49:N143)</f>
        <v>0</v>
      </c>
      <c r="AA50" s="90">
        <f ca="1">_xlfn.XLOOKUP(RTData[[#This Row],[Ticker_Symbol]],TickerList!$G49:$G143,TickerList!O49:O143)</f>
        <v>4.6800000000000001E-2</v>
      </c>
      <c r="AB50" s="91"/>
      <c r="AC50" s="92">
        <f t="shared" si="0"/>
        <v>3.0000000000000001E-3</v>
      </c>
      <c r="AD50" s="78" t="s">
        <v>54</v>
      </c>
      <c r="AE50" s="93">
        <f ca="1">_xlfn.LET(_xlpm.New1YT,RTData[[#This Row],[1YT]],        _xlpm.Old1YT,IF(ISNUMBER(RTData[[#This Row],[Old1YT]]),RTData[[#This Row],[Old1YT]],VALUE(LEFT(RTData[[#This Row],[Old1YT]],FIND("/",RTData[[#This Row],[Old1YT]],1)-1))),       IF(OR(RTData[[#This Row],[1YT]]=0,_xlpm.Old1YT=0),0,(_xlpm.New1YT-_xlpm.Old1YT)/_xlpm.Old1YT))</f>
        <v>4.9180327868852458E-2</v>
      </c>
      <c r="AF50" s="93" t="str">
        <f ca="1">TEXT(RTData[[#This Row],[1YT]],"#,#0.00")&amp;" &lt; "&amp;RTData[[#This Row],[Old1YT]]</f>
        <v>64.00 &lt; 61/57</v>
      </c>
    </row>
    <row r="51" spans="1:34" x14ac:dyDescent="0.3">
      <c r="A51" s="15" t="str" cm="1">
        <f t="array" aca="1" ref="A51" ca="1">_xlfn.SINGLE(RTData[suffix])&amp;_FV(RTData[[#This Row],[Company Name]],"Ticker symbol",TRUE)</f>
        <v>VTRS</v>
      </c>
      <c r="B51" s="15">
        <f ca="1">D$100</f>
        <v>0.85142613878246054</v>
      </c>
      <c r="C51" t="e" vm="49">
        <v>#VALUE!</v>
      </c>
      <c r="D51" s="104" t="str" cm="1">
        <f t="array" aca="1" ref="D51" ca="1">_FV(RTData[[#This Row],[Company Name]],"Currency")</f>
        <v>USD</v>
      </c>
      <c r="E51" s="17" cm="1">
        <f t="array" aca="1" ref="E51" ca="1">_FV(RTData[[#This Row],[Company Name]],"Last trade time",TRUE)</f>
        <v>46022.925569895313</v>
      </c>
      <c r="F51" s="106" cm="1">
        <f t="array" aca="1" ref="F51" ca="1">_FV(RTData[[#This Row],[Company Name]],"Previous close",TRUE)</f>
        <v>12.54</v>
      </c>
      <c r="G51" s="106" cm="1">
        <f t="array" aca="1" ref="G51" ca="1">IFERROR(_FV(RTData[[#This Row],[Company Name]],"Open"),RTData[[#This Row],[Close]])</f>
        <v>12.52</v>
      </c>
      <c r="H51" s="106" cm="1">
        <f t="array" aca="1" ref="H51" ca="1">_FV(RTData[[#This Row],[Company Name]],"Price")</f>
        <v>12.45</v>
      </c>
      <c r="I51" s="106" cm="1">
        <f t="array" aca="1" ref="I51" ca="1">IFERROR(_FV(RTData[[#This Row],[Company Name]],"Low"),0)</f>
        <v>12.445</v>
      </c>
      <c r="J51" s="106" cm="1">
        <f t="array" aca="1" ref="J51" ca="1">IFERROR(_FV(RTData[[#This Row],[Company Name]],"High"),0)</f>
        <v>12.62</v>
      </c>
      <c r="K51" s="19" cm="1">
        <f t="array" aca="1" ref="K51" ca="1">IFERROR(_FV(RTData[[#This Row],[Company Name]],"P/E",TRUE),99)</f>
        <v>0</v>
      </c>
      <c r="L51" s="20" cm="1">
        <f t="array" aca="1" ref="L51" ca="1">_FV(RTData[[#This Row],[Company Name]],"Change")</f>
        <v>-0.09</v>
      </c>
      <c r="M51" s="21" cm="1">
        <f t="array" aca="1" ref="M51" ca="1">_FV(RTData[[#This Row],[Company Name]],"Change (%)",TRUE)</f>
        <v>-7.1770000000000002E-3</v>
      </c>
      <c r="N51" s="106" cm="1">
        <f t="array" aca="1" ref="N51" ca="1">_FV(RTData[[#This Row],[Company Name]],"52 week low",TRUE)</f>
        <v>6.85</v>
      </c>
      <c r="O51" s="106" cm="1">
        <f t="array" aca="1" ref="O51" ca="1">_FV(RTData[[#This Row],[Company Name]],"52 week high",TRUE)</f>
        <v>12.62</v>
      </c>
      <c r="P51" s="22" cm="1">
        <f t="array" aca="1" ref="P51" ca="1">_FV(RTData[[#This Row],[Company Name]],"Volume")</f>
        <v>6952885</v>
      </c>
      <c r="Q51" s="22" cm="1">
        <f t="array" aca="1" ref="Q51" ca="1">_FV(RTData[[#This Row],[Company Name]],"Volume average",TRUE)</f>
        <v>8173075</v>
      </c>
      <c r="R51" s="106" cm="1">
        <f t="array" aca="1" ref="R51" ca="1">_FV(RTData[[#This Row],[Company Name]],"Beta")</f>
        <v>0.80330000000000001</v>
      </c>
      <c r="T51" t="s">
        <v>19</v>
      </c>
      <c r="U51" t="str" cm="1">
        <f t="array" aca="1" ref="U51" ca="1">_FV(RTData[[#This Row],[Company Name]],"Exchange abbreviation",TRUE)</f>
        <v>XNAS</v>
      </c>
      <c r="V51" s="23">
        <f ca="1">IFERROR(RTData[[#This Row],[Volume]]/RTData[[#This Row],[Volume average]],1)</f>
        <v>0.85070612957791281</v>
      </c>
      <c r="W51" s="23"/>
      <c r="X51" s="96">
        <f ca="1">_xlfn.XLOOKUP(RTData[[#This Row],[Ticker_Symbol]],TickerList!$G50:$G144,TickerList!L50:L144)</f>
        <v>12.44444</v>
      </c>
      <c r="Y51" s="89">
        <f ca="1">_xlfn.XLOOKUP(RTData[[#This Row],[Ticker_Symbol]],TickerList!$G50:$G144,TickerList!M50:M144)</f>
        <v>45985</v>
      </c>
      <c r="Z51" s="89">
        <f ca="1">_xlfn.XLOOKUP(RTData[[#This Row],[Ticker_Symbol]],TickerList!$G50:$G144,TickerList!N50:N144)</f>
        <v>0</v>
      </c>
      <c r="AA51" s="90">
        <f ca="1">_xlfn.XLOOKUP(RTData[[#This Row],[Ticker_Symbol]],TickerList!$G50:$G144,TickerList!O50:O144)</f>
        <v>3.8800000000000001E-2</v>
      </c>
      <c r="AB51" s="91">
        <v>1E-4</v>
      </c>
      <c r="AC51" s="92">
        <f t="shared" si="0"/>
        <v>3.0000000000000001E-3</v>
      </c>
      <c r="AD51" s="78" t="s">
        <v>64</v>
      </c>
      <c r="AE51" s="93">
        <f ca="1">_xlfn.LET(_xlpm.New1YT,RTData[[#This Row],[1YT]],        _xlpm.Old1YT,IF(ISNUMBER(RTData[[#This Row],[Old1YT]]),RTData[[#This Row],[Old1YT]],VALUE(LEFT(RTData[[#This Row],[Old1YT]],FIND("/",RTData[[#This Row],[Old1YT]],1)-1))),       IF(OR(RTData[[#This Row],[1YT]]=0,_xlpm.Old1YT=0),0,(_xlpm.New1YT-_xlpm.Old1YT)/_xlpm.Old1YT))</f>
        <v>9.3536028119507855E-2</v>
      </c>
      <c r="AF51" s="93" t="str">
        <f ca="1">TEXT(RTData[[#This Row],[1YT]],"#,#0.00")&amp;" &lt; "&amp;RTData[[#This Row],[Old1YT]]</f>
        <v>12.44 &lt; 11.38/11.59/15.57</v>
      </c>
    </row>
    <row r="52" spans="1:34" x14ac:dyDescent="0.3">
      <c r="A52" s="15" t="str" cm="1">
        <f t="array" aca="1" ref="A52" ca="1">_xlfn.SINGLE(RTData[suffix])&amp;_FV(RTData[[#This Row],[Company Name]],"Ticker symbol",TRUE)</f>
        <v>WBA</v>
      </c>
      <c r="B52" s="15">
        <f t="shared" ref="B52:B54" ca="1" si="5">D$100</f>
        <v>0.85142613878246054</v>
      </c>
      <c r="C52" t="e" vm="50">
        <v>#VALUE!</v>
      </c>
      <c r="D52" s="104" t="str" cm="1">
        <f t="array" aca="1" ref="D52" ca="1">_FV(RTData[[#This Row],[Company Name]],"Currency")</f>
        <v>USD</v>
      </c>
      <c r="E52" s="17" cm="1">
        <f t="array" aca="1" ref="E52" ca="1">_FV(RTData[[#This Row],[Company Name]],"Last trade time",TRUE)</f>
        <v>45896.992190289064</v>
      </c>
      <c r="F52" s="106" cm="1">
        <f t="array" aca="1" ref="F52" ca="1">_FV(RTData[[#This Row],[Company Name]],"Previous close",TRUE)</f>
        <v>11.92</v>
      </c>
      <c r="G52" s="106" cm="1">
        <f t="array" aca="1" ref="G52" ca="1">IFERROR(_FV(RTData[[#This Row],[Company Name]],"Open"),RTData[[#This Row],[Close]])</f>
        <v>11.914999999999999</v>
      </c>
      <c r="H52" s="106" cm="1">
        <f t="array" aca="1" ref="H52" ca="1">_FV(RTData[[#This Row],[Company Name]],"Price")</f>
        <v>11.98</v>
      </c>
      <c r="I52" s="106" cm="1">
        <f t="array" aca="1" ref="I52" ca="1">IFERROR(_FV(RTData[[#This Row],[Company Name]],"Low"),0)</f>
        <v>11.9</v>
      </c>
      <c r="J52" s="106"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06" cm="1">
        <f t="array" aca="1" ref="N52" ca="1">_FV(RTData[[#This Row],[Company Name]],"52 week low",TRUE)</f>
        <v>8.08</v>
      </c>
      <c r="O52" s="106"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06"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96">
        <f ca="1">_xlfn.XLOOKUP(RTData[[#This Row],[Ticker_Symbol]],TickerList!$G51:$G145,TickerList!L51:L145)</f>
        <v>0</v>
      </c>
      <c r="Y52" s="89">
        <f ca="1">_xlfn.XLOOKUP(RTData[[#This Row],[Ticker_Symbol]],TickerList!$G51:$G145,TickerList!M51:M145)</f>
        <v>0</v>
      </c>
      <c r="Z52" s="89">
        <f ca="1">_xlfn.XLOOKUP(RTData[[#This Row],[Ticker_Symbol]],TickerList!$G51:$G145,TickerList!N51:N145)</f>
        <v>0</v>
      </c>
      <c r="AA52" s="90">
        <f ca="1">_xlfn.XLOOKUP(RTData[[#This Row],[Ticker_Symbol]],TickerList!$G51:$G145,TickerList!O51:O145)</f>
        <v>0</v>
      </c>
      <c r="AB52" s="91">
        <v>1E-4</v>
      </c>
      <c r="AC52" s="92">
        <f t="shared" si="0"/>
        <v>3.0000000000000001E-3</v>
      </c>
      <c r="AD52" s="78">
        <v>21.58</v>
      </c>
      <c r="AE52" s="93">
        <f ca="1">_xlfn.LET(_xlpm.New1YT,RTData[[#This Row],[1YT]],        _xlpm.Old1YT,IF(ISNUMBER(RTData[[#This Row],[Old1YT]]),RTData[[#This Row],[Old1YT]],VALUE(LEFT(RTData[[#This Row],[Old1YT]],FIND("/",RTData[[#This Row],[Old1YT]],1)-1))),       IF(OR(RTData[[#This Row],[1YT]]=0,_xlpm.Old1YT=0),0,(_xlpm.New1YT-_xlpm.Old1YT)/_xlpm.Old1YT))</f>
        <v>0</v>
      </c>
      <c r="AF52" s="93" t="str">
        <f ca="1">TEXT(RTData[[#This Row],[1YT]],"#,#0.00")&amp;" &lt; "&amp;RTData[[#This Row],[Old1YT]]</f>
        <v>0.00 &lt; 21.58</v>
      </c>
    </row>
    <row r="53" spans="1:34" x14ac:dyDescent="0.3">
      <c r="A53" s="15" t="str" cm="1">
        <f t="array" aca="1" ref="A53" ca="1">_xlfn.SINGLE(RTData[suffix])&amp;_FV(RTData[[#This Row],[Company Name]],"Ticker symbol",TRUE)</f>
        <v>XOM</v>
      </c>
      <c r="B53" s="15">
        <f t="shared" ca="1" si="5"/>
        <v>0.85142613878246054</v>
      </c>
      <c r="C53" t="e" vm="51">
        <v>#VALUE!</v>
      </c>
      <c r="D53" s="104" t="str" cm="1">
        <f t="array" aca="1" ref="D53" ca="1">_FV(RTData[[#This Row],[Company Name]],"Currency")</f>
        <v>USD</v>
      </c>
      <c r="E53" s="17" cm="1">
        <f t="array" aca="1" ref="E53" ca="1">_FV(RTData[[#This Row],[Company Name]],"Last trade time",TRUE)</f>
        <v>46022.930219200782</v>
      </c>
      <c r="F53" s="106" cm="1">
        <f t="array" aca="1" ref="F53" ca="1">_FV(RTData[[#This Row],[Company Name]],"Previous close",TRUE)</f>
        <v>120.99</v>
      </c>
      <c r="G53" s="106" cm="1">
        <f t="array" aca="1" ref="G53" ca="1">IFERROR(_FV(RTData[[#This Row],[Company Name]],"Open"),RTData[[#This Row],[Close]])</f>
        <v>121.18</v>
      </c>
      <c r="H53" s="106" cm="1">
        <f t="array" aca="1" ref="H53" ca="1">_FV(RTData[[#This Row],[Company Name]],"Price")</f>
        <v>120.33</v>
      </c>
      <c r="I53" s="106" cm="1">
        <f t="array" aca="1" ref="I53" ca="1">IFERROR(_FV(RTData[[#This Row],[Company Name]],"Low"),0)</f>
        <v>119.86499999999999</v>
      </c>
      <c r="J53" s="106" cm="1">
        <f t="array" aca="1" ref="J53" ca="1">IFERROR(_FV(RTData[[#This Row],[Company Name]],"High"),0)</f>
        <v>121.26</v>
      </c>
      <c r="K53" s="19" cm="1">
        <f t="array" aca="1" ref="K53" ca="1">IFERROR(_FV(RTData[[#This Row],[Company Name]],"P/E",TRUE),99)</f>
        <v>17.491399999999999</v>
      </c>
      <c r="L53" s="20" cm="1">
        <f t="array" aca="1" ref="L53" ca="1">_FV(RTData[[#This Row],[Company Name]],"Change")</f>
        <v>-0.66</v>
      </c>
      <c r="M53" s="21" cm="1">
        <f t="array" aca="1" ref="M53" ca="1">_FV(RTData[[#This Row],[Company Name]],"Change (%)",TRUE)</f>
        <v>-5.4549999999999998E-3</v>
      </c>
      <c r="N53" s="106" cm="1">
        <f t="array" aca="1" ref="N53" ca="1">_FV(RTData[[#This Row],[Company Name]],"52 week low",TRUE)</f>
        <v>97.8</v>
      </c>
      <c r="O53" s="106" cm="1">
        <f t="array" aca="1" ref="O53" ca="1">_FV(RTData[[#This Row],[Company Name]],"52 week high",TRUE)</f>
        <v>121.79600000000001</v>
      </c>
      <c r="P53" s="22" cm="1">
        <f t="array" aca="1" ref="P53" ca="1">_FV(RTData[[#This Row],[Company Name]],"Volume")</f>
        <v>10306790</v>
      </c>
      <c r="Q53" s="22" cm="1">
        <f t="array" aca="1" ref="Q53" ca="1">_FV(RTData[[#This Row],[Company Name]],"Volume average",TRUE)</f>
        <v>15420871</v>
      </c>
      <c r="R53" s="106" cm="1">
        <f t="array" aca="1" ref="R53" ca="1">_FV(RTData[[#This Row],[Company Name]],"Beta")</f>
        <v>0.36659999999999998</v>
      </c>
      <c r="T53" t="s">
        <v>19</v>
      </c>
      <c r="U53" t="str" cm="1">
        <f t="array" aca="1" ref="U53" ca="1">_FV(RTData[[#This Row],[Company Name]],"Exchange abbreviation",TRUE)</f>
        <v>XNYS</v>
      </c>
      <c r="V53" s="23">
        <f ca="1">IFERROR(RTData[[#This Row],[Volume]]/RTData[[#This Row],[Volume average]],1)</f>
        <v>0.66836626802727295</v>
      </c>
      <c r="W53" s="23"/>
      <c r="X53" s="96">
        <f ca="1">_xlfn.XLOOKUP(RTData[[#This Row],[Ticker_Symbol]],TickerList!$G52:$G146,TickerList!L52:L146)</f>
        <v>131.56</v>
      </c>
      <c r="Y53" s="89">
        <f ca="1">_xlfn.XLOOKUP(RTData[[#This Row],[Ticker_Symbol]],TickerList!$G52:$G146,TickerList!M52:M146)</f>
        <v>45975</v>
      </c>
      <c r="Z53" s="89">
        <f ca="1">_xlfn.XLOOKUP(RTData[[#This Row],[Ticker_Symbol]],TickerList!$G52:$G146,TickerList!N52:N146)</f>
        <v>0</v>
      </c>
      <c r="AA53" s="90">
        <f ca="1">_xlfn.XLOOKUP(RTData[[#This Row],[Ticker_Symbol]],TickerList!$G52:$G146,TickerList!O52:O146)</f>
        <v>3.4200000000000001E-2</v>
      </c>
      <c r="AB53" s="91">
        <v>1E-4</v>
      </c>
      <c r="AC53" s="92">
        <f t="shared" si="0"/>
        <v>3.0000000000000001E-3</v>
      </c>
      <c r="AD53" s="78">
        <v>132.88</v>
      </c>
      <c r="AE53" s="93">
        <f ca="1">_xlfn.LET(_xlpm.New1YT,RTData[[#This Row],[1YT]],        _xlpm.Old1YT,IF(ISNUMBER(RTData[[#This Row],[Old1YT]]),RTData[[#This Row],[Old1YT]],VALUE(LEFT(RTData[[#This Row],[Old1YT]],FIND("/",RTData[[#This Row],[Old1YT]],1)-1))),       IF(OR(RTData[[#This Row],[1YT]]=0,_xlpm.Old1YT=0),0,(_xlpm.New1YT-_xlpm.Old1YT)/_xlpm.Old1YT))</f>
        <v>-9.9337748344370345E-3</v>
      </c>
      <c r="AF53" s="93" t="str">
        <f ca="1">TEXT(RTData[[#This Row],[1YT]],"#,#0.00")&amp;" &lt; "&amp;RTData[[#This Row],[Old1YT]]</f>
        <v>131.56 &lt; 132.88</v>
      </c>
    </row>
    <row r="54" spans="1:34" x14ac:dyDescent="0.3">
      <c r="A54" s="15" t="str" cm="1">
        <f t="array" aca="1" ref="A54" ca="1">_xlfn.SINGLE(RTData[suffix])&amp;_FV(RTData[[#This Row],[Company Name]],"Ticker symbol",TRUE)</f>
        <v>XPER</v>
      </c>
      <c r="B54" s="15">
        <f t="shared" ca="1" si="5"/>
        <v>0.85142613878246054</v>
      </c>
      <c r="C54" t="e" vm="52">
        <v>#VALUE!</v>
      </c>
      <c r="D54" s="104" t="str" cm="1">
        <f t="array" aca="1" ref="D54" ca="1">_FV(RTData[[#This Row],[Company Name]],"Currency")</f>
        <v>USD</v>
      </c>
      <c r="E54" s="17" cm="1">
        <f t="array" aca="1" ref="E54" ca="1">_FV(RTData[[#This Row],[Company Name]],"Last trade time",TRUE)</f>
        <v>46022.881995335156</v>
      </c>
      <c r="F54" s="106" cm="1">
        <f t="array" aca="1" ref="F54" ca="1">_FV(RTData[[#This Row],[Company Name]],"Previous close",TRUE)</f>
        <v>5.99</v>
      </c>
      <c r="G54" s="106" cm="1">
        <f t="array" aca="1" ref="G54" ca="1">IFERROR(_FV(RTData[[#This Row],[Company Name]],"Open"),RTData[[#This Row],[Close]])</f>
        <v>5.96</v>
      </c>
      <c r="H54" s="106" cm="1">
        <f t="array" aca="1" ref="H54" ca="1">_FV(RTData[[#This Row],[Company Name]],"Price")</f>
        <v>5.86</v>
      </c>
      <c r="I54" s="106" cm="1">
        <f t="array" aca="1" ref="I54" ca="1">IFERROR(_FV(RTData[[#This Row],[Company Name]],"Low"),0)</f>
        <v>5.81</v>
      </c>
      <c r="J54" s="106" cm="1">
        <f t="array" aca="1" ref="J54" ca="1">IFERROR(_FV(RTData[[#This Row],[Company Name]],"High"),0)</f>
        <v>5.96</v>
      </c>
      <c r="K54" s="19" cm="1">
        <f t="array" aca="1" ref="K54" ca="1">IFERROR(_FV(RTData[[#This Row],[Company Name]],"P/E",TRUE),99)</f>
        <v>34.551900000000003</v>
      </c>
      <c r="L54" s="20" cm="1">
        <f t="array" aca="1" ref="L54" ca="1">_FV(RTData[[#This Row],[Company Name]],"Change")</f>
        <v>-0.13</v>
      </c>
      <c r="M54" s="21" cm="1">
        <f t="array" aca="1" ref="M54" ca="1">_FV(RTData[[#This Row],[Company Name]],"Change (%)",TRUE)</f>
        <v>-2.1703E-2</v>
      </c>
      <c r="N54" s="106" cm="1">
        <f t="array" aca="1" ref="N54" ca="1">_FV(RTData[[#This Row],[Company Name]],"52 week low",TRUE)</f>
        <v>5.4</v>
      </c>
      <c r="O54" s="106" cm="1">
        <f t="array" aca="1" ref="O54" ca="1">_FV(RTData[[#This Row],[Company Name]],"52 week high",TRUE)</f>
        <v>10.62</v>
      </c>
      <c r="P54" s="22" cm="1">
        <f t="array" aca="1" ref="P54" ca="1">_FV(RTData[[#This Row],[Company Name]],"Volume")</f>
        <v>429942</v>
      </c>
      <c r="Q54" s="22" cm="1">
        <f t="array" aca="1" ref="Q54" ca="1">_FV(RTData[[#This Row],[Company Name]],"Volume average",TRUE)</f>
        <v>410647</v>
      </c>
      <c r="R54" s="106" cm="1">
        <f t="array" aca="1" ref="R54" ca="1">_FV(RTData[[#This Row],[Company Name]],"Beta")</f>
        <v>1.232</v>
      </c>
      <c r="T54" t="s">
        <v>19</v>
      </c>
      <c r="U54" t="str" cm="1">
        <f t="array" aca="1" ref="U54" ca="1">_FV(RTData[[#This Row],[Company Name]],"Exchange abbreviation",TRUE)</f>
        <v>XNYS</v>
      </c>
      <c r="V54" s="23">
        <f ca="1">IFERROR(RTData[[#This Row],[Volume]]/RTData[[#This Row],[Volume average]],1)</f>
        <v>1.0469868281029693</v>
      </c>
      <c r="W54" s="23"/>
      <c r="X54" s="96">
        <f ca="1">_xlfn.XLOOKUP(RTData[[#This Row],[Ticker_Symbol]],TickerList!$G53:$G147,TickerList!L53:L147)</f>
        <v>11.4</v>
      </c>
      <c r="Y54" s="89">
        <f ca="1">_xlfn.XLOOKUP(RTData[[#This Row],[Ticker_Symbol]],TickerList!$G53:$G147,TickerList!M53:M147)</f>
        <v>0</v>
      </c>
      <c r="Z54" s="89">
        <f ca="1">_xlfn.XLOOKUP(RTData[[#This Row],[Ticker_Symbol]],TickerList!$G53:$G147,TickerList!N53:N147)</f>
        <v>0</v>
      </c>
      <c r="AA54" s="90">
        <f ca="1">_xlfn.XLOOKUP(RTData[[#This Row],[Ticker_Symbol]],TickerList!$G53:$G147,TickerList!O53:O147)</f>
        <v>0</v>
      </c>
      <c r="AB54" s="91">
        <v>1E-4</v>
      </c>
      <c r="AC54" s="92">
        <f t="shared" si="0"/>
        <v>3.0000000000000001E-3</v>
      </c>
      <c r="AD54" s="78">
        <v>18.75</v>
      </c>
      <c r="AE54" s="93">
        <f ca="1">_xlfn.LET(_xlpm.New1YT,RTData[[#This Row],[1YT]],        _xlpm.Old1YT,IF(ISNUMBER(RTData[[#This Row],[Old1YT]]),RTData[[#This Row],[Old1YT]],VALUE(LEFT(RTData[[#This Row],[Old1YT]],FIND("/",RTData[[#This Row],[Old1YT]],1)-1))),       IF(OR(RTData[[#This Row],[1YT]]=0,_xlpm.Old1YT=0),0,(_xlpm.New1YT-_xlpm.Old1YT)/_xlpm.Old1YT))</f>
        <v>-0.39199999999999996</v>
      </c>
      <c r="AF54" s="93" t="str">
        <f ca="1">TEXT(RTData[[#This Row],[1YT]],"#,#0.00")&amp;" &lt; "&amp;RTData[[#This Row],[Old1YT]]</f>
        <v>11.40 &lt; 18.75</v>
      </c>
    </row>
    <row r="55" spans="1:34" x14ac:dyDescent="0.3">
      <c r="A55" s="102" t="str" cm="1">
        <f t="array" aca="1" ref="A55" ca="1">_xlfn.SINGLE(RTData[suffix])&amp;_FV(RTData[[#This Row],[Company Name]],"Ticker symbol",TRUE)</f>
        <v>MVEALDNE</v>
      </c>
      <c r="B55" s="103">
        <v>1</v>
      </c>
      <c r="C55" t="e" vm="5">
        <v>#VALUE!</v>
      </c>
      <c r="D55" s="51" t="str" cm="1">
        <f t="array" aca="1" ref="D55" ca="1">_FV(RTData[[#This Row],[Company Name]],"Currency")</f>
        <v>EUR</v>
      </c>
      <c r="E55" s="52" cm="1">
        <f t="array" aca="1" ref="E55" ca="1">_FV(RTData[[#This Row],[Company Name]],"Last trade time",TRUE)</f>
        <v>46022.708333333336</v>
      </c>
      <c r="F55" s="111" cm="1">
        <f t="array" aca="1" ref="F55" ca="1">_FV(RTData[[#This Row],[Company Name]],"Previous close",TRUE)</f>
        <v>0.63200000000000001</v>
      </c>
      <c r="G55" s="111" cm="1">
        <f t="array" aca="1" ref="G55" ca="1">IFERROR(_FV(RTData[[#This Row],[Company Name]],"Open"),RTData[[#This Row],[Close]])</f>
        <v>0.63400000000000001</v>
      </c>
      <c r="H55" s="111" cm="1">
        <f t="array" aca="1" ref="H55" ca="1">_FV(RTData[[#This Row],[Company Name]],"Price")</f>
        <v>0.64800000000000002</v>
      </c>
      <c r="I55" s="111" cm="1">
        <f t="array" aca="1" ref="I55" ca="1">IFERROR(_FV(RTData[[#This Row],[Company Name]],"Low"),0)</f>
        <v>0.63400000000000001</v>
      </c>
      <c r="J55" s="111" cm="1">
        <f t="array" aca="1" ref="J55" ca="1">IFERROR(_FV(RTData[[#This Row],[Company Name]],"High"),0)</f>
        <v>0.64800000000000002</v>
      </c>
      <c r="K55" s="53" cm="1">
        <f t="array" aca="1" ref="K55" ca="1">IFERROR(_FV(RTData[[#This Row],[Company Name]],"P/E",TRUE),99)</f>
        <v>0</v>
      </c>
      <c r="L55" s="54" cm="1">
        <f t="array" aca="1" ref="L55" ca="1">_FV(RTData[[#This Row],[Company Name]],"Change")</f>
        <v>1.6E-2</v>
      </c>
      <c r="M55" s="55" cm="1">
        <f t="array" aca="1" ref="M55" ca="1">_FV(RTData[[#This Row],[Company Name]],"Change (%)",TRUE)</f>
        <v>2.5316000000000002E-2</v>
      </c>
      <c r="N55" s="111" cm="1">
        <f t="array" aca="1" ref="N55" ca="1">_FV(RTData[[#This Row],[Company Name]],"52 week low",TRUE)</f>
        <v>0.55000000000000004</v>
      </c>
      <c r="O55" s="111" cm="1">
        <f t="array" aca="1" ref="O55" ca="1">_FV(RTData[[#This Row],[Company Name]],"52 week high",TRUE)</f>
        <v>1.53</v>
      </c>
      <c r="P55" s="56" cm="1">
        <f t="array" aca="1" ref="P55" ca="1">_FV(RTData[[#This Row],[Company Name]],"Volume")</f>
        <v>1001</v>
      </c>
      <c r="Q55" s="56" cm="1">
        <f t="array" aca="1" ref="Q55" ca="1">_FV(RTData[[#This Row],[Company Name]],"Volume average",TRUE)</f>
        <v>11980</v>
      </c>
      <c r="R55" s="111" cm="1">
        <f t="array" aca="1" ref="R55" ca="1">_FV(RTData[[#This Row],[Company Name]],"Beta")</f>
        <v>0.96840000000000004</v>
      </c>
      <c r="S55" s="57" t="s">
        <v>22</v>
      </c>
      <c r="T55" s="57" t="s">
        <v>19</v>
      </c>
      <c r="U55" s="57" t="str" cm="1">
        <f t="array" aca="1" ref="U55" ca="1">_FV(RTData[[#This Row],[Company Name]],"Exchange abbreviation",TRUE)</f>
        <v>XPAR</v>
      </c>
      <c r="V55" s="82">
        <f ca="1">IFERROR(RTData[[#This Row],[Volume]]/RTData[[#This Row],[Volume average]],1)</f>
        <v>8.3555926544240405E-2</v>
      </c>
      <c r="W55" s="82"/>
      <c r="X55" s="96">
        <f ca="1">_xlfn.XLOOKUP(RTData[[#This Row],[Ticker_Symbol]],TickerList!$G54:$G148,TickerList!L54:L148)</f>
        <v>1.56667</v>
      </c>
      <c r="Y55" s="89">
        <f ca="1">_xlfn.XLOOKUP(RTData[[#This Row],[Ticker_Symbol]],TickerList!$G54:$G148,TickerList!M54:M148)</f>
        <v>0</v>
      </c>
      <c r="Z55" s="89">
        <f ca="1">_xlfn.XLOOKUP(RTData[[#This Row],[Ticker_Symbol]],TickerList!$G54:$G148,TickerList!N54:N148)</f>
        <v>0</v>
      </c>
      <c r="AA55" s="90">
        <f ca="1">_xlfn.XLOOKUP(RTData[[#This Row],[Ticker_Symbol]],TickerList!$G54:$G148,TickerList!O54:O148)</f>
        <v>0</v>
      </c>
      <c r="AB55" s="91"/>
      <c r="AC55" s="92">
        <f t="shared" si="0"/>
        <v>3.0000000000000001E-3</v>
      </c>
      <c r="AD55" s="78">
        <v>3.87</v>
      </c>
      <c r="AE55" s="93">
        <f ca="1">_xlfn.LET(_xlpm.New1YT,RTData[[#This Row],[1YT]],        _xlpm.Old1YT,IF(ISNUMBER(RTData[[#This Row],[Old1YT]]),RTData[[#This Row],[Old1YT]],VALUE(LEFT(RTData[[#This Row],[Old1YT]],FIND("/",RTData[[#This Row],[Old1YT]],1)-1))),       IF(OR(RTData[[#This Row],[1YT]]=0,_xlpm.Old1YT=0),0,(_xlpm.New1YT-_xlpm.Old1YT)/_xlpm.Old1YT))</f>
        <v>-0.59517571059431518</v>
      </c>
      <c r="AF55" s="93" t="str">
        <f ca="1">TEXT(RTData[[#This Row],[1YT]],"#,#0.00")&amp;" &lt; "&amp;RTData[[#This Row],[Old1YT]]</f>
        <v>1.57 &lt; 3.87</v>
      </c>
      <c r="AG55" s="23"/>
      <c r="AH55" s="43"/>
    </row>
    <row r="56" spans="1:34" x14ac:dyDescent="0.3">
      <c r="A56" s="103" t="str" cm="1">
        <f t="array" aca="1" ref="A56" ca="1">_xlfn.SINGLE(RTData[suffix])&amp;_FV(RTData[[#This Row],[Company Name]],"Ticker symbol",TRUE)</f>
        <v>MVEDDD</v>
      </c>
      <c r="B56" s="103">
        <f ca="1">D$100</f>
        <v>0.85142613878246054</v>
      </c>
      <c r="C56" t="e" vm="14">
        <v>#VALUE!</v>
      </c>
      <c r="D56" s="51" t="str" cm="1">
        <f t="array" aca="1" ref="D56" ca="1">_FV(RTData[[#This Row],[Company Name]],"Currency")</f>
        <v>USD</v>
      </c>
      <c r="E56" s="52" cm="1">
        <f t="array" aca="1" ref="E56" ca="1">_FV(RTData[[#This Row],[Company Name]],"Last trade time",TRUE)</f>
        <v>46022.920714628905</v>
      </c>
      <c r="F56" s="111" cm="1">
        <f t="array" aca="1" ref="F56" ca="1">_FV(RTData[[#This Row],[Company Name]],"Previous close",TRUE)</f>
        <v>1.77</v>
      </c>
      <c r="G56" s="111" cm="1">
        <f t="array" aca="1" ref="G56" ca="1">IFERROR(_FV(RTData[[#This Row],[Company Name]],"Open"),RTData[[#This Row],[Close]])</f>
        <v>1.76</v>
      </c>
      <c r="H56" s="111" cm="1">
        <f t="array" aca="1" ref="H56" ca="1">_FV(RTData[[#This Row],[Company Name]],"Price")</f>
        <v>1.7749999999999999</v>
      </c>
      <c r="I56" s="111" cm="1">
        <f t="array" aca="1" ref="I56" ca="1">IFERROR(_FV(RTData[[#This Row],[Company Name]],"Low"),0)</f>
        <v>1.75</v>
      </c>
      <c r="J56" s="111" cm="1">
        <f t="array" aca="1" ref="J56" ca="1">IFERROR(_FV(RTData[[#This Row],[Company Name]],"High"),0)</f>
        <v>1.81</v>
      </c>
      <c r="K56" s="53" cm="1">
        <f t="array" aca="1" ref="K56" ca="1">IFERROR(_FV(RTData[[#This Row],[Company Name]],"P/E",TRUE),99)</f>
        <v>0</v>
      </c>
      <c r="L56" s="54" cm="1">
        <f t="array" aca="1" ref="L56" ca="1">_FV(RTData[[#This Row],[Company Name]],"Change")</f>
        <v>5.0000000000000001E-3</v>
      </c>
      <c r="M56" s="55" cm="1">
        <f t="array" aca="1" ref="M56" ca="1">_FV(RTData[[#This Row],[Company Name]],"Change (%)",TRUE)</f>
        <v>2.8249999999999998E-3</v>
      </c>
      <c r="N56" s="111" cm="1">
        <f t="array" aca="1" ref="N56" ca="1">_FV(RTData[[#This Row],[Company Name]],"52 week low",TRUE)</f>
        <v>1.32</v>
      </c>
      <c r="O56" s="111" cm="1">
        <f t="array" aca="1" ref="O56" ca="1">_FV(RTData[[#This Row],[Company Name]],"52 week high",TRUE)</f>
        <v>4.9991000000000003</v>
      </c>
      <c r="P56" s="56" cm="1">
        <f t="array" aca="1" ref="P56" ca="1">_FV(RTData[[#This Row],[Company Name]],"Volume")</f>
        <v>1803395</v>
      </c>
      <c r="Q56" s="56" cm="1">
        <f t="array" aca="1" ref="Q56" ca="1">_FV(RTData[[#This Row],[Company Name]],"Volume average",TRUE)</f>
        <v>3114767</v>
      </c>
      <c r="R56" s="111" cm="1">
        <f t="array" aca="1" ref="R56" ca="1">_FV(RTData[[#This Row],[Company Name]],"Beta")</f>
        <v>1.8777999999999999</v>
      </c>
      <c r="S56" s="57" t="s">
        <v>22</v>
      </c>
      <c r="T56" s="57" t="s">
        <v>23</v>
      </c>
      <c r="U56" s="57" t="str" cm="1">
        <f t="array" aca="1" ref="U56" ca="1">_FV(RTData[[#This Row],[Company Name]],"Exchange abbreviation",TRUE)</f>
        <v>XNYS</v>
      </c>
      <c r="V56" s="82">
        <f ca="1">IFERROR(RTData[[#This Row],[Volume]]/RTData[[#This Row],[Volume average]],1)</f>
        <v>0.57898231232063269</v>
      </c>
      <c r="W56" s="82"/>
      <c r="X56" s="96">
        <f ca="1">_xlfn.XLOOKUP(RTData[[#This Row],[Ticker_Symbol]],TickerList!$G55:$G149,TickerList!L55:L149)</f>
        <v>3.625</v>
      </c>
      <c r="Y56" s="89">
        <f ca="1">_xlfn.XLOOKUP(RTData[[#This Row],[Ticker_Symbol]],TickerList!$G55:$G149,TickerList!M55:M149)</f>
        <v>0</v>
      </c>
      <c r="Z56" s="89">
        <f ca="1">_xlfn.XLOOKUP(RTData[[#This Row],[Ticker_Symbol]],TickerList!$G55:$G149,TickerList!N55:N149)</f>
        <v>0</v>
      </c>
      <c r="AA56" s="90">
        <f ca="1">_xlfn.XLOOKUP(RTData[[#This Row],[Ticker_Symbol]],TickerList!$G55:$G149,TickerList!O55:O149)</f>
        <v>0</v>
      </c>
      <c r="AB56" s="91">
        <v>1E-4</v>
      </c>
      <c r="AC56" s="92">
        <f t="shared" si="0"/>
        <v>3.0000000000000001E-3</v>
      </c>
      <c r="AD56" s="78">
        <v>3.94</v>
      </c>
      <c r="AE56" s="93">
        <f ca="1">_xlfn.LET(_xlpm.New1YT,RTData[[#This Row],[1YT]],        _xlpm.Old1YT,IF(ISNUMBER(RTData[[#This Row],[Old1YT]]),RTData[[#This Row],[Old1YT]],VALUE(LEFT(RTData[[#This Row],[Old1YT]],FIND("/",RTData[[#This Row],[Old1YT]],1)-1))),       IF(OR(RTData[[#This Row],[1YT]]=0,_xlpm.Old1YT=0),0,(_xlpm.New1YT-_xlpm.Old1YT)/_xlpm.Old1YT))</f>
        <v>-7.9949238578680193E-2</v>
      </c>
      <c r="AF56" s="93" t="str">
        <f ca="1">TEXT(RTData[[#This Row],[1YT]],"#,#0.00")&amp;" &lt; "&amp;RTData[[#This Row],[Old1YT]]</f>
        <v>3.63 &lt; 3.94</v>
      </c>
      <c r="AG56" s="43"/>
    </row>
    <row r="57" spans="1:34" x14ac:dyDescent="0.3">
      <c r="A57" s="103" t="str" cm="1">
        <f t="array" aca="1" ref="A57" ca="1">_xlfn.SINGLE(RTData[suffix])&amp;_FV(RTData[[#This Row],[Company Name]],"Ticker symbol",TRUE)</f>
        <v>MVEDSY</v>
      </c>
      <c r="B57" s="103">
        <v>1</v>
      </c>
      <c r="C57" t="e" vm="16">
        <v>#VALUE!</v>
      </c>
      <c r="D57" s="51" t="str" cm="1">
        <f t="array" aca="1" ref="D57" ca="1">_FV(RTData[[#This Row],[Company Name]],"Currency")</f>
        <v>EUR</v>
      </c>
      <c r="E57" s="52" cm="1">
        <f t="array" aca="1" ref="E57" ca="1">_FV(RTData[[#This Row],[Company Name]],"Last trade time",TRUE)</f>
        <v>46022.708333333336</v>
      </c>
      <c r="F57" s="111" cm="1">
        <f t="array" aca="1" ref="F57" ca="1">_FV(RTData[[#This Row],[Company Name]],"Previous close",TRUE)</f>
        <v>23.87</v>
      </c>
      <c r="G57" s="111" cm="1">
        <f t="array" aca="1" ref="G57" ca="1">IFERROR(_FV(RTData[[#This Row],[Company Name]],"Open"),RTData[[#This Row],[Close]])</f>
        <v>23.93</v>
      </c>
      <c r="H57" s="111" cm="1">
        <f t="array" aca="1" ref="H57" ca="1">_FV(RTData[[#This Row],[Company Name]],"Price")</f>
        <v>23.84</v>
      </c>
      <c r="I57" s="111" cm="1">
        <f t="array" aca="1" ref="I57" ca="1">IFERROR(_FV(RTData[[#This Row],[Company Name]],"Low"),0)</f>
        <v>23.8</v>
      </c>
      <c r="J57" s="111" cm="1">
        <f t="array" aca="1" ref="J57" ca="1">IFERROR(_FV(RTData[[#This Row],[Company Name]],"High"),0)</f>
        <v>24.02</v>
      </c>
      <c r="K57" s="53" cm="1">
        <f t="array" aca="1" ref="K57" ca="1">IFERROR(_FV(RTData[[#This Row],[Company Name]],"P/E",TRUE),99)</f>
        <v>26.636900000000001</v>
      </c>
      <c r="L57" s="54" cm="1">
        <f t="array" aca="1" ref="L57" ca="1">_FV(RTData[[#This Row],[Company Name]],"Change")</f>
        <v>-0.03</v>
      </c>
      <c r="M57" s="55" cm="1">
        <f t="array" aca="1" ref="M57" ca="1">_FV(RTData[[#This Row],[Company Name]],"Change (%)",TRUE)</f>
        <v>-1.2570000000000001E-3</v>
      </c>
      <c r="N57" s="111" cm="1">
        <f t="array" aca="1" ref="N57" ca="1">_FV(RTData[[#This Row],[Company Name]],"52 week low",TRUE)</f>
        <v>22.79</v>
      </c>
      <c r="O57" s="111" cm="1">
        <f t="array" aca="1" ref="O57" ca="1">_FV(RTData[[#This Row],[Company Name]],"52 week high",TRUE)</f>
        <v>41.17</v>
      </c>
      <c r="P57" s="56" cm="1">
        <f t="array" aca="1" ref="P57" ca="1">_FV(RTData[[#This Row],[Company Name]],"Volume")</f>
        <v>768026</v>
      </c>
      <c r="Q57" s="56" cm="1">
        <f t="array" aca="1" ref="Q57" ca="1">_FV(RTData[[#This Row],[Company Name]],"Volume average",TRUE)</f>
        <v>2321900</v>
      </c>
      <c r="R57" s="111" cm="1">
        <f t="array" aca="1" ref="R57" ca="1">_FV(RTData[[#This Row],[Company Name]],"Beta")</f>
        <v>0.78979999999999995</v>
      </c>
      <c r="S57" s="57" t="s">
        <v>22</v>
      </c>
      <c r="T57" s="57" t="s">
        <v>23</v>
      </c>
      <c r="U57" s="57" t="str" cm="1">
        <f t="array" aca="1" ref="U57" ca="1">_FV(RTData[[#This Row],[Company Name]],"Exchange abbreviation",TRUE)</f>
        <v>XPAR</v>
      </c>
      <c r="V57" s="82">
        <f ca="1">IFERROR(RTData[[#This Row],[Volume]]/RTData[[#This Row],[Volume average]],1)</f>
        <v>0.33077479650286401</v>
      </c>
      <c r="W57" s="82"/>
      <c r="X57" s="96">
        <f ca="1">_xlfn.XLOOKUP(RTData[[#This Row],[Ticker_Symbol]],TickerList!$G56:$G150,TickerList!L56:L150)</f>
        <v>31.016670000000001</v>
      </c>
      <c r="Y57" s="89">
        <f ca="1">_xlfn.XLOOKUP(RTData[[#This Row],[Ticker_Symbol]],TickerList!$G56:$G150,TickerList!M56:M150)</f>
        <v>45803</v>
      </c>
      <c r="Z57" s="89">
        <f ca="1">_xlfn.XLOOKUP(RTData[[#This Row],[Ticker_Symbol]],TickerList!$G56:$G150,TickerList!N56:N150)</f>
        <v>0</v>
      </c>
      <c r="AA57" s="90">
        <f ca="1">_xlfn.XLOOKUP(RTData[[#This Row],[Ticker_Symbol]],TickerList!$G56:$G150,TickerList!O56:O150)</f>
        <v>1.0999999999999999E-2</v>
      </c>
      <c r="AB57" s="91">
        <f>AB19</f>
        <v>0</v>
      </c>
      <c r="AC57" s="92">
        <f t="shared" si="0"/>
        <v>3.0000000000000001E-3</v>
      </c>
      <c r="AD57" s="78" t="str">
        <f>AD19</f>
        <v>37.97/38.13/38.23</v>
      </c>
      <c r="AE57" s="93">
        <f ca="1">AE19</f>
        <v>2.8056360284435082</v>
      </c>
      <c r="AF57" s="93" t="str">
        <f ca="1">TEXT(RTData[[#This Row],[1YT]],"#,#0.00")&amp;" &lt; "&amp;RTData[[#This Row],[Old1YT]]</f>
        <v>31.02 &lt; 37.97/38.13/38.23</v>
      </c>
    </row>
    <row r="58" spans="1:34" x14ac:dyDescent="0.3">
      <c r="A58" s="103" t="str" cm="1">
        <f t="array" aca="1" ref="A58" ca="1">_xlfn.SINGLE(RTData[suffix])&amp;_FV(RTData[[#This Row],[Company Name]],"Ticker symbol",TRUE)</f>
        <v>MVEEOAN</v>
      </c>
      <c r="B58" s="103">
        <v>1</v>
      </c>
      <c r="C58" t="e" vm="53">
        <v>#VALUE!</v>
      </c>
      <c r="D58" s="51" t="str" cm="1">
        <f t="array" aca="1" ref="D58" ca="1">_FV(RTData[[#This Row],[Company Name]],"Currency")</f>
        <v>EUR</v>
      </c>
      <c r="E58" s="52" cm="1">
        <f t="array" aca="1" ref="E58" ca="1">_FV(RTData[[#This Row],[Company Name]],"Last trade time",TRUE)</f>
        <v>46021.583333333336</v>
      </c>
      <c r="F58" s="111" cm="1">
        <f t="array" aca="1" ref="F58" ca="1">_FV(RTData[[#This Row],[Company Name]],"Previous close",TRUE)</f>
        <v>15.94</v>
      </c>
      <c r="G58" s="111" cm="1">
        <f t="array" aca="1" ref="G58" ca="1">IFERROR(_FV(RTData[[#This Row],[Company Name]],"Open"),RTData[[#This Row],[Close]])</f>
        <v>16.004999999999999</v>
      </c>
      <c r="H58" s="111" cm="1">
        <f t="array" aca="1" ref="H58" ca="1">_FV(RTData[[#This Row],[Company Name]],"Price")</f>
        <v>16.12</v>
      </c>
      <c r="I58" s="111" cm="1">
        <f t="array" aca="1" ref="I58" ca="1">IFERROR(_FV(RTData[[#This Row],[Company Name]],"Low"),0)</f>
        <v>16.004999999999999</v>
      </c>
      <c r="J58" s="111" cm="1">
        <f t="array" aca="1" ref="J58" ca="1">IFERROR(_FV(RTData[[#This Row],[Company Name]],"High"),0)</f>
        <v>16.12</v>
      </c>
      <c r="K58" s="53" cm="1">
        <f t="array" aca="1" ref="K58" ca="1">IFERROR(_FV(RTData[[#This Row],[Company Name]],"P/E",TRUE),99)</f>
        <v>14.0174</v>
      </c>
      <c r="L58" s="54" cm="1">
        <f t="array" aca="1" ref="L58" ca="1">_FV(RTData[[#This Row],[Company Name]],"Change")</f>
        <v>0.18</v>
      </c>
      <c r="M58" s="55" cm="1">
        <f t="array" aca="1" ref="M58" ca="1">_FV(RTData[[#This Row],[Company Name]],"Change (%)",TRUE)</f>
        <v>1.1292E-2</v>
      </c>
      <c r="N58" s="111" cm="1">
        <f t="array" aca="1" ref="N58" ca="1">_FV(RTData[[#This Row],[Company Name]],"52 week low",TRUE)</f>
        <v>7.3</v>
      </c>
      <c r="O58" s="111" cm="1">
        <f t="array" aca="1" ref="O58" ca="1">_FV(RTData[[#This Row],[Company Name]],"52 week high",TRUE)</f>
        <v>16.515000000000001</v>
      </c>
      <c r="P58" s="56" cm="1">
        <f t="array" aca="1" ref="P58" ca="1">_FV(RTData[[#This Row],[Company Name]],"Volume")</f>
        <v>5516</v>
      </c>
      <c r="Q58" s="56" cm="1">
        <f t="array" aca="1" ref="Q58" ca="1">_FV(RTData[[#This Row],[Company Name]],"Volume average",TRUE)</f>
        <v>5221070</v>
      </c>
      <c r="R58" s="111" cm="1">
        <f t="array" aca="1" ref="R58" ca="1">_FV(RTData[[#This Row],[Company Name]],"Beta")</f>
        <v>0.87070000000000003</v>
      </c>
      <c r="S58" s="57" t="s">
        <v>22</v>
      </c>
      <c r="T58" s="57" t="s">
        <v>23</v>
      </c>
      <c r="U58" s="57" t="str" cm="1">
        <f t="array" aca="1" ref="U58" ca="1">_FV(RTData[[#This Row],[Company Name]],"Exchange abbreviation",TRUE)</f>
        <v>XFRA</v>
      </c>
      <c r="V58" s="82">
        <f ca="1">IFERROR(RTData[[#This Row],[Volume]]/RTData[[#This Row],[Volume average]],1)</f>
        <v>1.0564884209558578E-3</v>
      </c>
      <c r="W58" s="82"/>
      <c r="X58" s="96">
        <f ca="1">_xlfn.XLOOKUP(RTData[[#This Row],[Ticker_Symbol]],TickerList!$G57:$G151,TickerList!L57:L151)</f>
        <v>17.016529999999999</v>
      </c>
      <c r="Y58" s="89">
        <f ca="1">_xlfn.XLOOKUP(RTData[[#This Row],[Ticker_Symbol]],TickerList!$G57:$G151,TickerList!M57:M151)</f>
        <v>45793</v>
      </c>
      <c r="Z58" s="89">
        <f ca="1">_xlfn.XLOOKUP(RTData[[#This Row],[Ticker_Symbol]],TickerList!$G57:$G151,TickerList!N57:N151)</f>
        <v>0</v>
      </c>
      <c r="AA58" s="90">
        <f ca="1">_xlfn.XLOOKUP(RTData[[#This Row],[Ticker_Symbol]],TickerList!$G57:$G151,TickerList!O57:O151)</f>
        <v>3.4299999999999997E-2</v>
      </c>
      <c r="AB58" s="91"/>
      <c r="AC58" s="92">
        <f t="shared" si="0"/>
        <v>3.0000000000000001E-3</v>
      </c>
      <c r="AD58" s="78">
        <v>14.8</v>
      </c>
      <c r="AE58" s="93">
        <f ca="1">_xlfn.LET(_xlpm.New1YT,RTData[[#This Row],[1YT]],        _xlpm.Old1YT,IF(ISNUMBER(RTData[[#This Row],[Old1YT]]),RTData[[#This Row],[Old1YT]],VALUE(LEFT(RTData[[#This Row],[Old1YT]],FIND("/",RTData[[#This Row],[Old1YT]],1)-1))),       IF(OR(RTData[[#This Row],[1YT]]=0,_xlpm.Old1YT=0),0,(_xlpm.New1YT-_xlpm.Old1YT)/_xlpm.Old1YT))</f>
        <v>0.14976554054054045</v>
      </c>
      <c r="AF58" s="93" t="str">
        <f ca="1">TEXT(RTData[[#This Row],[1YT]],"#,#0.00")&amp;" &lt; "&amp;RTData[[#This Row],[Old1YT]]</f>
        <v>17.02 &lt; 14.8</v>
      </c>
    </row>
    <row r="59" spans="1:34" x14ac:dyDescent="0.3">
      <c r="A59" s="102" t="str" cm="1">
        <f t="array" aca="1" ref="A59" ca="1">_xlfn.SINGLE(RTData[suffix])&amp;_FV(RTData[[#This Row],[Company Name]],"Ticker symbol",TRUE)</f>
        <v>MVEENI</v>
      </c>
      <c r="B59" s="103">
        <v>1</v>
      </c>
      <c r="C59" t="e" vm="54">
        <v>#VALUE!</v>
      </c>
      <c r="D59" s="51" t="str" cm="1">
        <f t="array" aca="1" ref="D59" ca="1">_FV(RTData[[#This Row],[Company Name]],"Currency")</f>
        <v>EUR</v>
      </c>
      <c r="E59" s="52" cm="1">
        <f t="array" aca="1" ref="E59" ca="1">_FV(RTData[[#This Row],[Company Name]],"Last trade time",TRUE)</f>
        <v>46021.084363425929</v>
      </c>
      <c r="F59" s="111" cm="1">
        <f t="array" aca="1" ref="F59" ca="1">_FV(RTData[[#This Row],[Company Name]],"Previous close",TRUE)</f>
        <v>15.976000000000001</v>
      </c>
      <c r="G59" s="111" cm="1">
        <f t="array" aca="1" ref="G59" ca="1">IFERROR(_FV(RTData[[#This Row],[Company Name]],"Open"),RTData[[#This Row],[Close]])</f>
        <v>16.010000000000002</v>
      </c>
      <c r="H59" s="111" cm="1">
        <f t="array" aca="1" ref="H59" ca="1">_FV(RTData[[#This Row],[Company Name]],"Price")</f>
        <v>16.14</v>
      </c>
      <c r="I59" s="111" cm="1">
        <f t="array" aca="1" ref="I59" ca="1">IFERROR(_FV(RTData[[#This Row],[Company Name]],"Low"),0)</f>
        <v>16.007999999999999</v>
      </c>
      <c r="J59" s="111" cm="1">
        <f t="array" aca="1" ref="J59" ca="1">IFERROR(_FV(RTData[[#This Row],[Company Name]],"High"),0)</f>
        <v>16.164000000000001</v>
      </c>
      <c r="K59" s="53" cm="1">
        <f t="array" aca="1" ref="K59" ca="1">IFERROR(_FV(RTData[[#This Row],[Company Name]],"P/E",TRUE),99)</f>
        <v>17.824400000000001</v>
      </c>
      <c r="L59" s="54" cm="1">
        <f t="array" aca="1" ref="L59" ca="1">_FV(RTData[[#This Row],[Company Name]],"Change")</f>
        <v>0.16400000000000001</v>
      </c>
      <c r="M59" s="55" cm="1">
        <f t="array" aca="1" ref="M59" ca="1">_FV(RTData[[#This Row],[Company Name]],"Change (%)",TRUE)</f>
        <v>1.0265E-2</v>
      </c>
      <c r="N59" s="111" cm="1">
        <f t="array" aca="1" ref="N59" ca="1">_FV(RTData[[#This Row],[Company Name]],"52 week low",TRUE)</f>
        <v>11.01</v>
      </c>
      <c r="O59" s="111" cm="1">
        <f t="array" aca="1" ref="O59" ca="1">_FV(RTData[[#This Row],[Company Name]],"52 week high",TRUE)</f>
        <v>16.61</v>
      </c>
      <c r="P59" s="56" cm="1">
        <f t="array" aca="1" ref="P59" ca="1">_FV(RTData[[#This Row],[Company Name]],"Volume")</f>
        <v>8041391</v>
      </c>
      <c r="Q59" s="56" cm="1">
        <f t="array" aca="1" ref="Q59" ca="1">_FV(RTData[[#This Row],[Company Name]],"Volume average",TRUE)</f>
        <v>9732570</v>
      </c>
      <c r="R59" s="111" cm="1">
        <f t="array" aca="1" ref="R59" ca="1">_FV(RTData[[#This Row],[Company Name]],"Beta")</f>
        <v>0.82340000000000002</v>
      </c>
      <c r="S59" s="57" t="s">
        <v>22</v>
      </c>
      <c r="T59" s="57" t="s">
        <v>23</v>
      </c>
      <c r="U59" s="57" t="str" cm="1">
        <f t="array" aca="1" ref="U59" ca="1">_FV(RTData[[#This Row],[Company Name]],"Exchange abbreviation",TRUE)</f>
        <v>XMIL</v>
      </c>
      <c r="V59" s="82">
        <f ca="1">IFERROR(RTData[[#This Row],[Volume]]/RTData[[#This Row],[Volume average]],1)</f>
        <v>0.82623510542436374</v>
      </c>
      <c r="W59" s="82"/>
      <c r="X59" s="96">
        <f ca="1">_xlfn.XLOOKUP(RTData[[#This Row],[Ticker_Symbol]],TickerList!$G58:$G152,TickerList!L58:L152)</f>
        <v>16.536359999999998</v>
      </c>
      <c r="Y59" s="89">
        <f ca="1">_xlfn.XLOOKUP(RTData[[#This Row],[Ticker_Symbol]],TickerList!$G58:$G152,TickerList!M58:M152)</f>
        <v>45985</v>
      </c>
      <c r="Z59" s="89">
        <f ca="1">_xlfn.XLOOKUP(RTData[[#This Row],[Ticker_Symbol]],TickerList!$G58:$G152,TickerList!N58:N152)</f>
        <v>0</v>
      </c>
      <c r="AA59" s="90">
        <f ca="1">_xlfn.XLOOKUP(RTData[[#This Row],[Ticker_Symbol]],TickerList!$G58:$G152,TickerList!O58:O152)</f>
        <v>6.5100000000000005E-2</v>
      </c>
      <c r="AB59" s="91">
        <f t="shared" ref="AB59:AD59" si="6">AB75</f>
        <v>0</v>
      </c>
      <c r="AC59" s="92">
        <f t="shared" si="0"/>
        <v>3.0000000000000001E-3</v>
      </c>
      <c r="AD59" s="78" t="str">
        <f t="shared" si="6"/>
        <v>14.71/14.81/16.46</v>
      </c>
      <c r="AE59" s="93">
        <f ca="1">_xlfn.LET(_xlpm.New1YT,RTData[[#This Row],[1YT]],        _xlpm.Old1YT,IF(ISNUMBER(RTData[[#This Row],[Old1YT]]),RTData[[#This Row],[Old1YT]],VALUE(LEFT(RTData[[#This Row],[Old1YT]],FIND("/",RTData[[#This Row],[Old1YT]],1)-1))),       IF(OR(RTData[[#This Row],[1YT]]=0,_xlpm.Old1YT=0),0,(_xlpm.New1YT-_xlpm.Old1YT)/_xlpm.Old1YT))</f>
        <v>0.12415771583956475</v>
      </c>
      <c r="AF59" s="93" t="str">
        <f ca="1">TEXT(RTData[[#This Row],[1YT]],"#,#0.00")&amp;" &lt; "&amp;RTData[[#This Row],[Old1YT]]</f>
        <v>16.54 &lt; 14.71/14.81/16.46</v>
      </c>
    </row>
    <row r="60" spans="1:34" x14ac:dyDescent="0.3">
      <c r="A60" s="103" t="str" cm="1">
        <f t="array" aca="1" ref="A60" ca="1">_xlfn.SINGLE(RTData[suffix])&amp;_FV(RTData[[#This Row],[Company Name]],"Ticker symbol",TRUE)</f>
        <v>MVEEPIX</v>
      </c>
      <c r="B60" s="103">
        <f ca="1">D$100</f>
        <v>0.85142613878246054</v>
      </c>
      <c r="C60" t="e" vm="20">
        <v>#VALUE!</v>
      </c>
      <c r="D60" s="51" t="str" cm="1">
        <f t="array" aca="1" ref="D60" ca="1">_FV(RTData[[#This Row],[Company Name]],"Currency")</f>
        <v>USD</v>
      </c>
      <c r="E60" s="52" cm="1">
        <f t="array" aca="1" ref="E60" ca="1">_FV(RTData[[#This Row],[Company Name]],"Last trade time",TRUE)</f>
        <v>45938.992447279685</v>
      </c>
      <c r="F60" s="111" cm="1">
        <f t="array" aca="1" ref="F60" ca="1">_FV(RTData[[#This Row],[Company Name]],"Previous close",TRUE)</f>
        <v>0.20499999999999999</v>
      </c>
      <c r="G60" s="111" cm="1">
        <f t="array" aca="1" ref="G60" ca="1">IFERROR(_FV(RTData[[#This Row],[Company Name]],"Open"),RTData[[#This Row],[Close]])</f>
        <v>0.2</v>
      </c>
      <c r="H60" s="111" cm="1">
        <f t="array" aca="1" ref="H60" ca="1">_FV(RTData[[#This Row],[Company Name]],"Price")</f>
        <v>0.20119999999999999</v>
      </c>
      <c r="I60" s="111" cm="1">
        <f t="array" aca="1" ref="I60" ca="1">IFERROR(_FV(RTData[[#This Row],[Company Name]],"Low"),0)</f>
        <v>0.18990000000000001</v>
      </c>
      <c r="J60" s="111" cm="1">
        <f t="array" aca="1" ref="J60" ca="1">IFERROR(_FV(RTData[[#This Row],[Company Name]],"High"),0)</f>
        <v>0.20699999999999999</v>
      </c>
      <c r="K60" s="53" cm="1">
        <f t="array" aca="1" ref="K60" ca="1">IFERROR(_FV(RTData[[#This Row],[Company Name]],"P/E",TRUE),99)</f>
        <v>0</v>
      </c>
      <c r="L60" s="54" cm="1">
        <f t="array" aca="1" ref="L60" ca="1">_FV(RTData[[#This Row],[Company Name]],"Change")</f>
        <v>0</v>
      </c>
      <c r="M60" s="55" cm="1">
        <f t="array" aca="1" ref="M60" ca="1">_FV(RTData[[#This Row],[Company Name]],"Change (%)",TRUE)</f>
        <v>0</v>
      </c>
      <c r="N60" s="111" cm="1">
        <f t="array" aca="1" ref="N60" ca="1">_FV(RTData[[#This Row],[Company Name]],"52 week low",TRUE)</f>
        <v>0.17330000000000001</v>
      </c>
      <c r="O60" s="111" cm="1">
        <f t="array" aca="1" ref="O60" ca="1">_FV(RTData[[#This Row],[Company Name]],"52 week high",TRUE)</f>
        <v>0.82499999999999996</v>
      </c>
      <c r="P60" s="56" cm="1">
        <f t="array" aca="1" ref="P60" ca="1">_FV(RTData[[#This Row],[Company Name]],"Volume")</f>
        <v>5945141</v>
      </c>
      <c r="Q60" s="56" cm="1">
        <f t="array" aca="1" ref="Q60" ca="1">_FV(RTData[[#This Row],[Company Name]],"Volume average",TRUE)</f>
        <v>3209641</v>
      </c>
      <c r="R60" s="111" cm="1">
        <f t="array" aca="1" ref="R60" ca="1">_FV(RTData[[#This Row],[Company Name]],"Beta")</f>
        <v>1.5513999999999999</v>
      </c>
      <c r="S60" s="57" t="s">
        <v>22</v>
      </c>
      <c r="T60" s="57" t="s">
        <v>23</v>
      </c>
      <c r="U60" s="57" t="str" cm="1">
        <f t="array" aca="1" ref="U60" ca="1">_FV(RTData[[#This Row],[Company Name]],"Exchange abbreviation",TRUE)</f>
        <v>XNAS</v>
      </c>
      <c r="V60" s="82">
        <f ca="1">IFERROR(RTData[[#This Row],[Volume]]/RTData[[#This Row],[Volume average]],1)</f>
        <v>1.8522760022071003</v>
      </c>
      <c r="W60" s="82"/>
      <c r="X60" s="96">
        <f ca="1">_xlfn.XLOOKUP(RTData[[#This Row],[Ticker_Symbol]],TickerList!$G59:$G153,TickerList!L59:L153)</f>
        <v>0</v>
      </c>
      <c r="Y60" s="89">
        <f ca="1">_xlfn.XLOOKUP(RTData[[#This Row],[Ticker_Symbol]],TickerList!$G59:$G153,TickerList!M59:M153)</f>
        <v>0</v>
      </c>
      <c r="Z60" s="89">
        <f ca="1">_xlfn.XLOOKUP(RTData[[#This Row],[Ticker_Symbol]],TickerList!$G59:$G153,TickerList!N59:N153)</f>
        <v>0</v>
      </c>
      <c r="AA60" s="90">
        <f ca="1">_xlfn.XLOOKUP(RTData[[#This Row],[Ticker_Symbol]],TickerList!$G59:$G153,TickerList!O59:O153)</f>
        <v>0</v>
      </c>
      <c r="AB60" s="91">
        <v>1E-4</v>
      </c>
      <c r="AC60" s="92">
        <f t="shared" si="0"/>
        <v>3.0000000000000001E-3</v>
      </c>
      <c r="AD60" s="78">
        <v>9.32</v>
      </c>
      <c r="AE60" s="93">
        <f ca="1">_xlfn.LET(_xlpm.New1YT,RTData[[#This Row],[1YT]],        _xlpm.Old1YT,IF(ISNUMBER(RTData[[#This Row],[Old1YT]]),RTData[[#This Row],[Old1YT]],VALUE(LEFT(RTData[[#This Row],[Old1YT]],FIND("/",RTData[[#This Row],[Old1YT]],1)-1))),       IF(OR(RTData[[#This Row],[1YT]]=0,_xlpm.Old1YT=0),0,(_xlpm.New1YT-_xlpm.Old1YT)/_xlpm.Old1YT))</f>
        <v>0</v>
      </c>
      <c r="AF60" s="93" t="str">
        <f ca="1">TEXT(RTData[[#This Row],[1YT]],"#,#0.00")&amp;" &lt; "&amp;RTData[[#This Row],[Old1YT]]</f>
        <v>0.00 &lt; 9.32</v>
      </c>
    </row>
    <row r="61" spans="1:34" x14ac:dyDescent="0.3">
      <c r="A61" s="103" t="str" cm="1">
        <f t="array" aca="1" ref="A61" ca="1">_xlfn.SINGLE(RTData[suffix])&amp;_FV(RTData[[#This Row],[Company Name]],"Ticker symbol",TRUE)</f>
        <v>MVEGLE</v>
      </c>
      <c r="B61" s="103">
        <v>1</v>
      </c>
      <c r="C61" t="e" vm="55">
        <v>#VALUE!</v>
      </c>
      <c r="D61" s="51" t="str" cm="1">
        <f t="array" aca="1" ref="D61" ca="1">_FV(RTData[[#This Row],[Company Name]],"Currency")</f>
        <v>EUR</v>
      </c>
      <c r="E61" s="52" cm="1">
        <f t="array" aca="1" ref="E61" ca="1">_FV(RTData[[#This Row],[Company Name]],"Last trade time",TRUE)</f>
        <v>46022.708333333336</v>
      </c>
      <c r="F61" s="111" cm="1">
        <f t="array" aca="1" ref="F61" ca="1">_FV(RTData[[#This Row],[Company Name]],"Previous close",TRUE)</f>
        <v>69.400000000000006</v>
      </c>
      <c r="G61" s="111" cm="1">
        <f t="array" aca="1" ref="G61" ca="1">IFERROR(_FV(RTData[[#This Row],[Company Name]],"Open"),RTData[[#This Row],[Close]])</f>
        <v>69.06</v>
      </c>
      <c r="H61" s="111" cm="1">
        <f t="array" aca="1" ref="H61" ca="1">_FV(RTData[[#This Row],[Company Name]],"Price")</f>
        <v>68.72</v>
      </c>
      <c r="I61" s="111" cm="1">
        <f t="array" aca="1" ref="I61" ca="1">IFERROR(_FV(RTData[[#This Row],[Company Name]],"Low"),0)</f>
        <v>68.260000000000005</v>
      </c>
      <c r="J61" s="111" cm="1">
        <f t="array" aca="1" ref="J61" ca="1">IFERROR(_FV(RTData[[#This Row],[Company Name]],"High"),0)</f>
        <v>69.12</v>
      </c>
      <c r="K61" s="53" cm="1">
        <f t="array" aca="1" ref="K61" ca="1">IFERROR(_FV(RTData[[#This Row],[Company Name]],"P/E",TRUE),99)</f>
        <v>11.0045</v>
      </c>
      <c r="L61" s="54" cm="1">
        <f t="array" aca="1" ref="L61" ca="1">_FV(RTData[[#This Row],[Company Name]],"Change")</f>
        <v>-0.68</v>
      </c>
      <c r="M61" s="55" cm="1">
        <f t="array" aca="1" ref="M61" ca="1">_FV(RTData[[#This Row],[Company Name]],"Change (%)",TRUE)</f>
        <v>-9.7979999999999994E-3</v>
      </c>
      <c r="N61" s="111" cm="1">
        <f t="array" aca="1" ref="N61" ca="1">_FV(RTData[[#This Row],[Company Name]],"52 week low",TRUE)</f>
        <v>26.39</v>
      </c>
      <c r="O61" s="111" cm="1">
        <f t="array" aca="1" ref="O61" ca="1">_FV(RTData[[#This Row],[Company Name]],"52 week high",TRUE)</f>
        <v>69.52</v>
      </c>
      <c r="P61" s="56" cm="1">
        <f t="array" aca="1" ref="P61" ca="1">_FV(RTData[[#This Row],[Company Name]],"Volume")</f>
        <v>507008</v>
      </c>
      <c r="Q61" s="56" cm="1">
        <f t="array" aca="1" ref="Q61" ca="1">_FV(RTData[[#This Row],[Company Name]],"Volume average",TRUE)</f>
        <v>2172650</v>
      </c>
      <c r="R61" s="111" cm="1">
        <f t="array" aca="1" ref="R61" ca="1">_FV(RTData[[#This Row],[Company Name]],"Beta")</f>
        <v>1.3692</v>
      </c>
      <c r="S61" s="57" t="s">
        <v>22</v>
      </c>
      <c r="T61" s="57" t="s">
        <v>23</v>
      </c>
      <c r="U61" s="57" t="str" cm="1">
        <f t="array" aca="1" ref="U61" ca="1">_FV(RTData[[#This Row],[Company Name]],"Exchange abbreviation",TRUE)</f>
        <v>XPAR</v>
      </c>
      <c r="V61" s="82">
        <f ca="1">IFERROR(RTData[[#This Row],[Volume]]/RTData[[#This Row],[Volume average]],1)</f>
        <v>0.23335926173106575</v>
      </c>
      <c r="W61" s="82"/>
      <c r="X61" s="96">
        <f ca="1">_xlfn.XLOOKUP(RTData[[#This Row],[Ticker_Symbol]],TickerList!$G60:$G154,TickerList!L60:L154)</f>
        <v>68.422219999999996</v>
      </c>
      <c r="Y61" s="89">
        <f ca="1">_xlfn.XLOOKUP(RTData[[#This Row],[Ticker_Symbol]],TickerList!$G60:$G154,TickerList!M60:M154)</f>
        <v>45937</v>
      </c>
      <c r="Z61" s="89">
        <f ca="1">_xlfn.XLOOKUP(RTData[[#This Row],[Ticker_Symbol]],TickerList!$G60:$G154,TickerList!N60:N154)</f>
        <v>0</v>
      </c>
      <c r="AA61" s="90">
        <f ca="1">_xlfn.XLOOKUP(RTData[[#This Row],[Ticker_Symbol]],TickerList!$G60:$G154,TickerList!O60:O154)</f>
        <v>2.5000000000000001E-2</v>
      </c>
      <c r="AB61" s="91">
        <f t="shared" ref="AB61:AD61" si="7">AB78</f>
        <v>0</v>
      </c>
      <c r="AC61" s="92">
        <f t="shared" si="0"/>
        <v>3.0000000000000001E-3</v>
      </c>
      <c r="AD61" s="78" t="str">
        <f t="shared" si="7"/>
        <v>59.77/51.92/30.4</v>
      </c>
      <c r="AE61" s="93">
        <f ca="1">_xlfn.LET(_xlpm.New1YT,RTData[[#This Row],[1YT]],        _xlpm.Old1YT,IF(ISNUMBER(RTData[[#This Row],[Old1YT]]),RTData[[#This Row],[Old1YT]],VALUE(LEFT(RTData[[#This Row],[Old1YT]],FIND("/",RTData[[#This Row],[Old1YT]],1)-1))),       IF(OR(RTData[[#This Row],[1YT]]=0,_xlpm.Old1YT=0),0,(_xlpm.New1YT-_xlpm.Old1YT)/_xlpm.Old1YT))</f>
        <v>0.14475857453572014</v>
      </c>
      <c r="AF61" s="93" t="str">
        <f ca="1">TEXT(RTData[[#This Row],[1YT]],"#,#0.00")&amp;" &lt; "&amp;RTData[[#This Row],[Old1YT]]</f>
        <v>68.42 &lt; 59.77/51.92/30.4</v>
      </c>
    </row>
    <row r="62" spans="1:34" x14ac:dyDescent="0.3">
      <c r="A62" s="103" t="str" cm="1">
        <f t="array" aca="1" ref="A62" ca="1">_xlfn.SINGLE(RTData[suffix])&amp;_FV(RTData[[#This Row],[Company Name]],"Ticker symbol",TRUE)</f>
        <v>MVEORA</v>
      </c>
      <c r="B62" s="103">
        <v>1</v>
      </c>
      <c r="C62" t="e" vm="56">
        <v>#VALUE!</v>
      </c>
      <c r="D62" s="51" t="str" cm="1">
        <f t="array" aca="1" ref="D62" ca="1">_FV(RTData[[#This Row],[Company Name]],"Currency")</f>
        <v>EUR</v>
      </c>
      <c r="E62" s="52" cm="1">
        <f t="array" aca="1" ref="E62" ca="1">_FV(RTData[[#This Row],[Company Name]],"Last trade time",TRUE)</f>
        <v>46022.708333333336</v>
      </c>
      <c r="F62" s="111" cm="1">
        <f t="array" aca="1" ref="F62" ca="1">_FV(RTData[[#This Row],[Company Name]],"Previous close",TRUE)</f>
        <v>14.255000000000001</v>
      </c>
      <c r="G62" s="111" cm="1">
        <f t="array" aca="1" ref="G62" ca="1">IFERROR(_FV(RTData[[#This Row],[Company Name]],"Open"),RTData[[#This Row],[Close]])</f>
        <v>14.255000000000001</v>
      </c>
      <c r="H62" s="111" cm="1">
        <f t="array" aca="1" ref="H62" ca="1">_FV(RTData[[#This Row],[Company Name]],"Price")</f>
        <v>14.2</v>
      </c>
      <c r="I62" s="111" cm="1">
        <f t="array" aca="1" ref="I62" ca="1">IFERROR(_FV(RTData[[#This Row],[Company Name]],"Low"),0)</f>
        <v>14.185</v>
      </c>
      <c r="J62" s="111" cm="1">
        <f t="array" aca="1" ref="J62" ca="1">IFERROR(_FV(RTData[[#This Row],[Company Name]],"High"),0)</f>
        <v>14.255000000000001</v>
      </c>
      <c r="K62" s="53" cm="1">
        <f t="array" aca="1" ref="K62" ca="1">IFERROR(_FV(RTData[[#This Row],[Company Name]],"P/E",TRUE),99)</f>
        <v>44.851500000000001</v>
      </c>
      <c r="L62" s="54" cm="1">
        <f t="array" aca="1" ref="L62" ca="1">_FV(RTData[[#This Row],[Company Name]],"Change")</f>
        <v>-5.5E-2</v>
      </c>
      <c r="M62" s="55" cm="1">
        <f t="array" aca="1" ref="M62" ca="1">_FV(RTData[[#This Row],[Company Name]],"Change (%)",TRUE)</f>
        <v>-3.8579999999999999E-3</v>
      </c>
      <c r="N62" s="111" cm="1">
        <f t="array" aca="1" ref="N62" ca="1">_FV(RTData[[#This Row],[Company Name]],"52 week low",TRUE)</f>
        <v>9.44</v>
      </c>
      <c r="O62" s="111" cm="1">
        <f t="array" aca="1" ref="O62" ca="1">_FV(RTData[[#This Row],[Company Name]],"52 week high",TRUE)</f>
        <v>14.56</v>
      </c>
      <c r="P62" s="56" cm="1">
        <f t="array" aca="1" ref="P62" ca="1">_FV(RTData[[#This Row],[Company Name]],"Volume")</f>
        <v>1556642</v>
      </c>
      <c r="Q62" s="56" cm="1">
        <f t="array" aca="1" ref="Q62" ca="1">_FV(RTData[[#This Row],[Company Name]],"Volume average",TRUE)</f>
        <v>3746880</v>
      </c>
      <c r="R62" s="111" cm="1">
        <f t="array" aca="1" ref="R62" ca="1">_FV(RTData[[#This Row],[Company Name]],"Beta")</f>
        <v>0.23619999999999999</v>
      </c>
      <c r="S62" s="57" t="s">
        <v>22</v>
      </c>
      <c r="T62" s="57" t="s">
        <v>23</v>
      </c>
      <c r="U62" s="57" t="str" cm="1">
        <f t="array" aca="1" ref="U62" ca="1">_FV(RTData[[#This Row],[Company Name]],"Exchange abbreviation",TRUE)</f>
        <v>XPAR</v>
      </c>
      <c r="V62" s="82">
        <f ca="1">IFERROR(RTData[[#This Row],[Volume]]/RTData[[#This Row],[Volume average]],1)</f>
        <v>0.41545018788965754</v>
      </c>
      <c r="W62" s="82"/>
      <c r="X62" s="96">
        <f ca="1">_xlfn.XLOOKUP(RTData[[#This Row],[Ticker_Symbol]],TickerList!$G61:$G155,TickerList!L61:L155)</f>
        <v>15.68824</v>
      </c>
      <c r="Y62" s="89">
        <f ca="1">_xlfn.XLOOKUP(RTData[[#This Row],[Ticker_Symbol]],TickerList!$G61:$G155,TickerList!M61:M155)</f>
        <v>45993</v>
      </c>
      <c r="Z62" s="89">
        <f ca="1">_xlfn.XLOOKUP(RTData[[#This Row],[Ticker_Symbol]],TickerList!$G61:$G155,TickerList!N61:N155)</f>
        <v>0</v>
      </c>
      <c r="AA62" s="90">
        <f ca="1">_xlfn.XLOOKUP(RTData[[#This Row],[Ticker_Symbol]],TickerList!$G61:$G155,TickerList!O61:O155)</f>
        <v>5.3100000000000001E-2</v>
      </c>
      <c r="AB62" s="91">
        <f t="shared" ref="AB62:AD62" si="8">AB86</f>
        <v>0</v>
      </c>
      <c r="AC62" s="92">
        <f t="shared" si="0"/>
        <v>3.0000000000000001E-3</v>
      </c>
      <c r="AD62" s="78" t="str">
        <f t="shared" si="8"/>
        <v>14.83/14/12.94</v>
      </c>
      <c r="AE62" s="93">
        <f ca="1">_xlfn.LET(_xlpm.New1YT,RTData[[#This Row],[1YT]],        _xlpm.Old1YT,IF(ISNUMBER(RTData[[#This Row],[Old1YT]]),RTData[[#This Row],[Old1YT]],VALUE(LEFT(RTData[[#This Row],[Old1YT]],FIND("/",RTData[[#This Row],[Old1YT]],1)-1))),       IF(OR(RTData[[#This Row],[1YT]]=0,_xlpm.Old1YT=0),0,(_xlpm.New1YT-_xlpm.Old1YT)/_xlpm.Old1YT))</f>
        <v>5.7871881321645335E-2</v>
      </c>
      <c r="AF62" s="93" t="str">
        <f ca="1">TEXT(RTData[[#This Row],[1YT]],"#,#0.00")&amp;" &lt; "&amp;RTData[[#This Row],[Old1YT]]</f>
        <v>15.69 &lt; 14.83/14/12.94</v>
      </c>
    </row>
    <row r="63" spans="1:34" x14ac:dyDescent="0.3">
      <c r="A63" s="103" t="str" cm="1">
        <f t="array" aca="1" ref="A63" ca="1">_xlfn.SINGLE(RTData[suffix])&amp;_FV(RTData[[#This Row],[Company Name]],"Ticker symbol",TRUE)</f>
        <v>MVERWE</v>
      </c>
      <c r="B63" s="103">
        <v>1</v>
      </c>
      <c r="C63" t="e" vm="39">
        <v>#VALUE!</v>
      </c>
      <c r="D63" s="51" t="str" cm="1">
        <f t="array" aca="1" ref="D63" ca="1">_FV(RTData[[#This Row],[Company Name]],"Currency")</f>
        <v>EUR</v>
      </c>
      <c r="E63" s="52" cm="1">
        <f t="array" aca="1" ref="E63" ca="1">_FV(RTData[[#This Row],[Company Name]],"Last trade time",TRUE)</f>
        <v>46021.583333333336</v>
      </c>
      <c r="F63" s="111" cm="1">
        <f t="array" aca="1" ref="F63" ca="1">_FV(RTData[[#This Row],[Company Name]],"Previous close",TRUE)</f>
        <v>44.87</v>
      </c>
      <c r="G63" s="111" cm="1">
        <f t="array" aca="1" ref="G63" ca="1">IFERROR(_FV(RTData[[#This Row],[Company Name]],"Open"),RTData[[#This Row],[Close]])</f>
        <v>44.89</v>
      </c>
      <c r="H63" s="111" cm="1">
        <f t="array" aca="1" ref="H63" ca="1">_FV(RTData[[#This Row],[Company Name]],"Price")</f>
        <v>45.17</v>
      </c>
      <c r="I63" s="111" cm="1">
        <f t="array" aca="1" ref="I63" ca="1">IFERROR(_FV(RTData[[#This Row],[Company Name]],"Low"),0)</f>
        <v>44.89</v>
      </c>
      <c r="J63" s="111" cm="1">
        <f t="array" aca="1" ref="J63" ca="1">IFERROR(_FV(RTData[[#This Row],[Company Name]],"High"),0)</f>
        <v>45.2</v>
      </c>
      <c r="K63" s="53" cm="1">
        <f t="array" aca="1" ref="K63" ca="1">IFERROR(_FV(RTData[[#This Row],[Company Name]],"P/E",TRUE),99)</f>
        <v>14.571</v>
      </c>
      <c r="L63" s="54" cm="1">
        <f t="array" aca="1" ref="L63" ca="1">_FV(RTData[[#This Row],[Company Name]],"Change")</f>
        <v>0.3</v>
      </c>
      <c r="M63" s="55" cm="1">
        <f t="array" aca="1" ref="M63" ca="1">_FV(RTData[[#This Row],[Company Name]],"Change (%)",TRUE)</f>
        <v>6.6860000000000001E-3</v>
      </c>
      <c r="N63" s="111" cm="1">
        <f t="array" aca="1" ref="N63" ca="1">_FV(RTData[[#This Row],[Company Name]],"52 week low",TRUE)</f>
        <v>14.231</v>
      </c>
      <c r="O63" s="111" cm="1">
        <f t="array" aca="1" ref="O63" ca="1">_FV(RTData[[#This Row],[Company Name]],"52 week high",TRUE)</f>
        <v>46.82</v>
      </c>
      <c r="P63" s="56" cm="1">
        <f t="array" aca="1" ref="P63" ca="1">_FV(RTData[[#This Row],[Company Name]],"Volume")</f>
        <v>580</v>
      </c>
      <c r="Q63" s="56" cm="1">
        <f t="array" aca="1" ref="Q63" ca="1">_FV(RTData[[#This Row],[Company Name]],"Volume average",TRUE)</f>
        <v>1349470</v>
      </c>
      <c r="R63" s="111" cm="1">
        <f t="array" aca="1" ref="R63" ca="1">_FV(RTData[[#This Row],[Company Name]],"Beta")</f>
        <v>0.48399999999999999</v>
      </c>
      <c r="S63" s="57" t="s">
        <v>22</v>
      </c>
      <c r="T63" s="57" t="s">
        <v>23</v>
      </c>
      <c r="U63" s="57" t="str" cm="1">
        <f t="array" aca="1" ref="U63" ca="1">_FV(RTData[[#This Row],[Company Name]],"Exchange abbreviation",TRUE)</f>
        <v>XFRA</v>
      </c>
      <c r="V63" s="82">
        <f ca="1">IFERROR(RTData[[#This Row],[Volume]]/RTData[[#This Row],[Volume average]],1)</f>
        <v>4.2979836528414859E-4</v>
      </c>
      <c r="W63" s="82"/>
      <c r="X63" s="96">
        <f ca="1">_xlfn.XLOOKUP(RTData[[#This Row],[Ticker_Symbol]],TickerList!$G62:$G156,TickerList!L62:L156)</f>
        <v>49.138890000000004</v>
      </c>
      <c r="Y63" s="89">
        <f ca="1">_xlfn.XLOOKUP(RTData[[#This Row],[Ticker_Symbol]],TickerList!$G62:$G156,TickerList!M62:M156)</f>
        <v>45779</v>
      </c>
      <c r="Z63" s="89">
        <f ca="1">_xlfn.XLOOKUP(RTData[[#This Row],[Ticker_Symbol]],TickerList!$G62:$G156,TickerList!N62:N156)</f>
        <v>0</v>
      </c>
      <c r="AA63" s="90">
        <f ca="1">_xlfn.XLOOKUP(RTData[[#This Row],[Ticker_Symbol]],TickerList!$G62:$G156,TickerList!O62:O156)</f>
        <v>2.4400001000000001E-2</v>
      </c>
      <c r="AB63" s="91"/>
      <c r="AC63" s="92">
        <f t="shared" si="0"/>
        <v>3.0000000000000001E-3</v>
      </c>
      <c r="AD63" s="78">
        <v>44.4</v>
      </c>
      <c r="AE63" s="93">
        <f ca="1">_xlfn.LET(_xlpm.New1YT,RTData[[#This Row],[1YT]],        _xlpm.Old1YT,IF(ISNUMBER(RTData[[#This Row],[Old1YT]]),RTData[[#This Row],[Old1YT]],VALUE(LEFT(RTData[[#This Row],[Old1YT]],FIND("/",RTData[[#This Row],[Old1YT]],1)-1))),       IF(OR(RTData[[#This Row],[1YT]]=0,_xlpm.Old1YT=0),0,(_xlpm.New1YT-_xlpm.Old1YT)/_xlpm.Old1YT))</f>
        <v>0.10673175675675688</v>
      </c>
      <c r="AF63" s="93" t="str">
        <f ca="1">TEXT(RTData[[#This Row],[1YT]],"#,#0.00")&amp;" &lt; "&amp;RTData[[#This Row],[Old1YT]]</f>
        <v>49.14 &lt; 44.4</v>
      </c>
    </row>
    <row r="64" spans="1:34" x14ac:dyDescent="0.3">
      <c r="A64" s="103" t="str" cm="1">
        <f t="array" aca="1" ref="A64" ca="1">_xlfn.SINGLE(RTData[suffix])&amp;_FV(RTData[[#This Row],[Company Name]],"Ticker symbol",TRUE)</f>
        <v>MVESAP</v>
      </c>
      <c r="B64" s="103">
        <v>1</v>
      </c>
      <c r="C64" t="e" vm="40">
        <v>#VALUE!</v>
      </c>
      <c r="D64" s="51" t="str" cm="1">
        <f t="array" aca="1" ref="D64" ca="1">_FV(RTData[[#This Row],[Company Name]],"Currency")</f>
        <v>EUR</v>
      </c>
      <c r="E64" s="52" cm="1">
        <f t="array" aca="1" ref="E64" ca="1">_FV(RTData[[#This Row],[Company Name]],"Last trade time",TRUE)</f>
        <v>46021.583333333336</v>
      </c>
      <c r="F64" s="111" cm="1">
        <f t="array" aca="1" ref="F64" ca="1">_FV(RTData[[#This Row],[Company Name]],"Previous close",TRUE)</f>
        <v>208.45</v>
      </c>
      <c r="G64" s="111" cm="1">
        <f t="array" aca="1" ref="G64" ca="1">IFERROR(_FV(RTData[[#This Row],[Company Name]],"Open"),RTData[[#This Row],[Close]])</f>
        <v>208.7</v>
      </c>
      <c r="H64" s="111" cm="1">
        <f t="array" aca="1" ref="H64" ca="1">_FV(RTData[[#This Row],[Company Name]],"Price")</f>
        <v>208.35</v>
      </c>
      <c r="I64" s="111" cm="1">
        <f t="array" aca="1" ref="I64" ca="1">IFERROR(_FV(RTData[[#This Row],[Company Name]],"Low"),0)</f>
        <v>207.8</v>
      </c>
      <c r="J64" s="111" cm="1">
        <f t="array" aca="1" ref="J64" ca="1">IFERROR(_FV(RTData[[#This Row],[Company Name]],"High"),0)</f>
        <v>209.6</v>
      </c>
      <c r="K64" s="53" cm="1">
        <f t="array" aca="1" ref="K64" ca="1">IFERROR(_FV(RTData[[#This Row],[Company Name]],"P/E",TRUE),99)</f>
        <v>34.32</v>
      </c>
      <c r="L64" s="54" cm="1">
        <f t="array" aca="1" ref="L64" ca="1">_FV(RTData[[#This Row],[Company Name]],"Change")</f>
        <v>-0.1</v>
      </c>
      <c r="M64" s="55" cm="1">
        <f t="array" aca="1" ref="M64" ca="1">_FV(RTData[[#This Row],[Company Name]],"Change (%)",TRUE)</f>
        <v>-4.797E-4</v>
      </c>
      <c r="N64" s="111" cm="1">
        <f t="array" aca="1" ref="N64" ca="1">_FV(RTData[[#This Row],[Company Name]],"52 week low",TRUE)</f>
        <v>201.85</v>
      </c>
      <c r="O64" s="111" cm="1">
        <f t="array" aca="1" ref="O64" ca="1">_FV(RTData[[#This Row],[Company Name]],"52 week high",TRUE)</f>
        <v>283.5</v>
      </c>
      <c r="P64" s="56" cm="1">
        <f t="array" aca="1" ref="P64" ca="1">_FV(RTData[[#This Row],[Company Name]],"Volume")</f>
        <v>608689</v>
      </c>
      <c r="Q64" s="56" cm="1">
        <f t="array" aca="1" ref="Q64" ca="1">_FV(RTData[[#This Row],[Company Name]],"Volume average",TRUE)</f>
        <v>1512990</v>
      </c>
      <c r="R64" s="111" cm="1">
        <f t="array" aca="1" ref="R64" ca="1">_FV(RTData[[#This Row],[Company Name]],"Beta")</f>
        <v>1.0485</v>
      </c>
      <c r="S64" s="57" t="s">
        <v>22</v>
      </c>
      <c r="T64" s="57" t="s">
        <v>23</v>
      </c>
      <c r="U64" s="57" t="str" cm="1">
        <f t="array" aca="1" ref="U64" ca="1">_FV(RTData[[#This Row],[Company Name]],"Exchange abbreviation",TRUE)</f>
        <v>XETR</v>
      </c>
      <c r="V64" s="82">
        <f ca="1">IFERROR(RTData[[#This Row],[Volume]]/RTData[[#This Row],[Volume average]],1)</f>
        <v>0.40230867355369171</v>
      </c>
      <c r="W64" s="82"/>
      <c r="X64" s="96">
        <f ca="1">_xlfn.XLOOKUP(RTData[[#This Row],[Ticker_Symbol]],TickerList!$G63:$G157,TickerList!L63:L157)</f>
        <v>283.20499999999998</v>
      </c>
      <c r="Y64" s="89">
        <f ca="1">_xlfn.XLOOKUP(RTData[[#This Row],[Ticker_Symbol]],TickerList!$G63:$G157,TickerList!M63:M157)</f>
        <v>45791</v>
      </c>
      <c r="Z64" s="89">
        <f ca="1">_xlfn.XLOOKUP(RTData[[#This Row],[Ticker_Symbol]],TickerList!$G63:$G157,TickerList!N63:N157)</f>
        <v>0</v>
      </c>
      <c r="AA64" s="90">
        <f ca="1">_xlfn.XLOOKUP(RTData[[#This Row],[Ticker_Symbol]],TickerList!$G63:$G157,TickerList!O63:O157)</f>
        <v>1.1299999999999999E-2</v>
      </c>
      <c r="AB64" s="91"/>
      <c r="AC64" s="92">
        <f t="shared" si="0"/>
        <v>3.0000000000000001E-3</v>
      </c>
      <c r="AD64" s="78">
        <v>312.72000000000003</v>
      </c>
      <c r="AE64" s="93">
        <f ca="1">_xlfn.LET(_xlpm.New1YT,RTData[[#This Row],[1YT]],        _xlpm.Old1YT,IF(ISNUMBER(RTData[[#This Row],[Old1YT]]),RTData[[#This Row],[Old1YT]],VALUE(LEFT(RTData[[#This Row],[Old1YT]],FIND("/",RTData[[#This Row],[Old1YT]],1)-1))),       IF(OR(RTData[[#This Row],[1YT]]=0,_xlpm.Old1YT=0),0,(_xlpm.New1YT-_xlpm.Old1YT)/_xlpm.Old1YT))</f>
        <v>-9.4381555385009086E-2</v>
      </c>
      <c r="AF64" s="93" t="str">
        <f ca="1">TEXT(RTData[[#This Row],[1YT]],"#,#0.00")&amp;" &lt; "&amp;RTData[[#This Row],[Old1YT]]</f>
        <v>283.21 &lt; 312.72</v>
      </c>
    </row>
    <row r="65" spans="1:32" x14ac:dyDescent="0.3">
      <c r="A65" s="103" t="str" cm="1">
        <f t="array" aca="1" ref="A65" ca="1">_xlfn.SINGLE(RTData[suffix])&amp;_FV(RTData[[#This Row],[Company Name]],"Ticker symbol",TRUE)</f>
        <v>MVEUN0</v>
      </c>
      <c r="B65" s="103">
        <v>1</v>
      </c>
      <c r="C65" t="e" vm="45">
        <v>#VALUE!</v>
      </c>
      <c r="D65" s="51" t="str" cm="1">
        <f t="array" aca="1" ref="D65" ca="1">_FV(RTData[[#This Row],[Company Name]],"Currency")</f>
        <v>EUR</v>
      </c>
      <c r="E65" s="52" cm="1">
        <f t="array" aca="1" ref="E65" ca="1">_FV(RTData[[#This Row],[Company Name]],"Last trade time",TRUE)</f>
        <v>46021.583333333336</v>
      </c>
      <c r="F65" s="111" cm="1">
        <f t="array" aca="1" ref="F65" ca="1">_FV(RTData[[#This Row],[Company Name]],"Previous close",TRUE)</f>
        <v>31.9</v>
      </c>
      <c r="G65" s="111" cm="1">
        <f t="array" aca="1" ref="G65" ca="1">IFERROR(_FV(RTData[[#This Row],[Company Name]],"Open"),RTData[[#This Row],[Close]])</f>
        <v>32</v>
      </c>
      <c r="H65" s="111" cm="1">
        <f t="array" aca="1" ref="H65" ca="1">_FV(RTData[[#This Row],[Company Name]],"Price")</f>
        <v>32.200000000000003</v>
      </c>
      <c r="I65" s="111" cm="1">
        <f t="array" aca="1" ref="I65" ca="1">IFERROR(_FV(RTData[[#This Row],[Company Name]],"Low"),0)</f>
        <v>32</v>
      </c>
      <c r="J65" s="111" cm="1">
        <f t="array" aca="1" ref="J65" ca="1">IFERROR(_FV(RTData[[#This Row],[Company Name]],"High"),0)</f>
        <v>32.200000000000003</v>
      </c>
      <c r="K65" s="53" cm="1">
        <f t="array" ref="K65">IFERROR(_FV(RTData[[#This Row],[Company Name]],"P/E",TRUE),99)</f>
        <v>99</v>
      </c>
      <c r="L65" s="54" cm="1">
        <f t="array" aca="1" ref="L65" ca="1">_FV(RTData[[#This Row],[Company Name]],"Change")</f>
        <v>0.3</v>
      </c>
      <c r="M65" s="55" cm="1">
        <f t="array" aca="1" ref="M65" ca="1">_FV(RTData[[#This Row],[Company Name]],"Change (%)",TRUE)</f>
        <v>9.4040000000000009E-3</v>
      </c>
      <c r="N65" s="111" cm="1">
        <f t="array" aca="1" ref="N65" ca="1">_FV(RTData[[#This Row],[Company Name]],"52 week low",TRUE)</f>
        <v>2.1</v>
      </c>
      <c r="O65" s="111" cm="1">
        <f t="array" aca="1" ref="O65" ca="1">_FV(RTData[[#This Row],[Company Name]],"52 week high",TRUE)</f>
        <v>73.5</v>
      </c>
      <c r="P65" s="56" cm="1">
        <f t="array" aca="1" ref="P65" ca="1">_FV(RTData[[#This Row],[Company Name]],"Volume")</f>
        <v>756</v>
      </c>
      <c r="Q65" s="56" cm="1">
        <f t="array" aca="1" ref="Q65" ca="1">_FV(RTData[[#This Row],[Company Name]],"Volume average",TRUE)</f>
        <v>5620</v>
      </c>
      <c r="R65" s="111" cm="1">
        <f t="array" aca="1" ref="R65" ca="1">_FV(RTData[[#This Row],[Company Name]],"Beta")</f>
        <v>1.0581</v>
      </c>
      <c r="S65" s="57" t="s">
        <v>22</v>
      </c>
      <c r="T65" s="57" t="s">
        <v>23</v>
      </c>
      <c r="U65" s="57" t="str" cm="1">
        <f t="array" aca="1" ref="U65" ca="1">_FV(RTData[[#This Row],[Company Name]],"Exchange abbreviation",TRUE)</f>
        <v>XFRA</v>
      </c>
      <c r="V65" s="82">
        <f ca="1">IFERROR(RTData[[#This Row],[Volume]]/RTData[[#This Row],[Volume average]],1)</f>
        <v>0.13451957295373665</v>
      </c>
      <c r="W65" s="82"/>
      <c r="X65" s="96">
        <f ca="1">_xlfn.XLOOKUP(RTData[[#This Row],[Ticker_Symbol]],TickerList!$G64:$G158,TickerList!L64:L158)</f>
        <v>0</v>
      </c>
      <c r="Y65" s="89">
        <f ca="1">_xlfn.XLOOKUP(RTData[[#This Row],[Ticker_Symbol]],TickerList!$G64:$G158,TickerList!M64:M158)</f>
        <v>0</v>
      </c>
      <c r="Z65" s="89">
        <f ca="1">_xlfn.XLOOKUP(RTData[[#This Row],[Ticker_Symbol]],TickerList!$G64:$G158,TickerList!N64:N158)</f>
        <v>0</v>
      </c>
      <c r="AA65" s="90">
        <f ca="1">_xlfn.XLOOKUP(RTData[[#This Row],[Ticker_Symbol]],TickerList!$G64:$G158,TickerList!O64:O158)</f>
        <v>0</v>
      </c>
      <c r="AB65" s="91">
        <f t="shared" ref="AB65" si="9">AB48</f>
        <v>0</v>
      </c>
      <c r="AC65" s="92">
        <f t="shared" si="0"/>
        <v>3.0000000000000001E-3</v>
      </c>
      <c r="AD65" s="78">
        <v>45.9</v>
      </c>
      <c r="AE65" s="93">
        <f ca="1">_xlfn.LET(_xlpm.New1YT,RTData[[#This Row],[1YT]],        _xlpm.Old1YT,IF(ISNUMBER(RTData[[#This Row],[Old1YT]]),RTData[[#This Row],[Old1YT]],VALUE(LEFT(RTData[[#This Row],[Old1YT]],FIND("/",RTData[[#This Row],[Old1YT]],1)-1))),       IF(OR(RTData[[#This Row],[1YT]]=0,_xlpm.Old1YT=0),0,(_xlpm.New1YT-_xlpm.Old1YT)/_xlpm.Old1YT))</f>
        <v>0</v>
      </c>
      <c r="AF65" s="93" t="str">
        <f ca="1">TEXT(RTData[[#This Row],[1YT]],"#,#0.00")&amp;" &lt; "&amp;RTData[[#This Row],[Old1YT]]</f>
        <v>0.00 &lt; 45.9</v>
      </c>
    </row>
    <row r="66" spans="1:32" x14ac:dyDescent="0.3">
      <c r="A66" s="32" t="str" cm="1">
        <f t="array" aca="1" ref="A66" ca="1">_xlfn.SINGLE(RTData[suffix])&amp;_FV(RTData[[#This Row],[Company Name]],"Ticker symbol",TRUE)</f>
        <v>SAFAAPL</v>
      </c>
      <c r="B66" s="32">
        <f ca="1">D$100</f>
        <v>0.85142613878246054</v>
      </c>
      <c r="C66" t="e" vm="1">
        <v>#VALUE!</v>
      </c>
      <c r="D66" s="104" t="str" cm="1">
        <f t="array" aca="1" ref="D66" ca="1">_FV(RTData[[#This Row],[Company Name]],"Currency")</f>
        <v>USD</v>
      </c>
      <c r="E66" s="17" cm="1">
        <f t="array" aca="1" ref="E66" ca="1">_FV(RTData[[#This Row],[Company Name]],"Last trade time",TRUE)</f>
        <v>46022.930929073438</v>
      </c>
      <c r="F66" s="106" cm="1">
        <f t="array" aca="1" ref="F66" ca="1">_FV(RTData[[#This Row],[Company Name]],"Previous close",TRUE)</f>
        <v>273.08</v>
      </c>
      <c r="G66" s="106" cm="1">
        <f t="array" aca="1" ref="G66" ca="1">IFERROR(_FV(RTData[[#This Row],[Company Name]],"Open"),RTData[[#This Row],[Close]])</f>
        <v>273.06</v>
      </c>
      <c r="H66" s="106" cm="1">
        <f t="array" aca="1" ref="H66" ca="1">_FV(RTData[[#This Row],[Company Name]],"Price")</f>
        <v>271.86</v>
      </c>
      <c r="I66" s="106" cm="1">
        <f t="array" aca="1" ref="I66" ca="1">IFERROR(_FV(RTData[[#This Row],[Company Name]],"Low"),0)</f>
        <v>271.75</v>
      </c>
      <c r="J66" s="106" cm="1">
        <f t="array" aca="1" ref="J66" ca="1">IFERROR(_FV(RTData[[#This Row],[Company Name]],"High"),0)</f>
        <v>273.68</v>
      </c>
      <c r="K66" s="19" cm="1">
        <f t="array" aca="1" ref="K66" ca="1">IFERROR(_FV(RTData[[#This Row],[Company Name]],"P/E",TRUE),99)</f>
        <v>36.606299999999997</v>
      </c>
      <c r="L66" s="20" cm="1">
        <f t="array" aca="1" ref="L66" ca="1">_FV(RTData[[#This Row],[Company Name]],"Change")</f>
        <v>-1.22</v>
      </c>
      <c r="M66" s="21" cm="1">
        <f t="array" aca="1" ref="M66" ca="1">_FV(RTData[[#This Row],[Company Name]],"Change (%)",TRUE)</f>
        <v>-4.4679999999999997E-3</v>
      </c>
      <c r="N66" s="106" cm="1">
        <f t="array" aca="1" ref="N66" ca="1">_FV(RTData[[#This Row],[Company Name]],"52 week low",TRUE)</f>
        <v>169.21010000000001</v>
      </c>
      <c r="O66" s="106" cm="1">
        <f t="array" aca="1" ref="O66" ca="1">_FV(RTData[[#This Row],[Company Name]],"52 week high",TRUE)</f>
        <v>288.62</v>
      </c>
      <c r="P66" s="22" cm="1">
        <f t="array" aca="1" ref="P66" ca="1">_FV(RTData[[#This Row],[Company Name]],"Volume")</f>
        <v>27191656</v>
      </c>
      <c r="Q66" s="22" cm="1">
        <f t="array" aca="1" ref="Q66" ca="1">_FV(RTData[[#This Row],[Company Name]],"Volume average",TRUE)</f>
        <v>42532097</v>
      </c>
      <c r="R66" s="106" cm="1">
        <f t="array" aca="1" ref="R66" ca="1">_FV(RTData[[#This Row],[Company Name]],"Beta")</f>
        <v>1.0915999999999999</v>
      </c>
      <c r="S66" t="s">
        <v>24</v>
      </c>
      <c r="T66" t="s">
        <v>25</v>
      </c>
      <c r="U66" t="str" cm="1">
        <f t="array" aca="1" ref="U66" ca="1">_FV(RTData[[#This Row],[Company Name]],"Exchange abbreviation",TRUE)</f>
        <v>XNAS</v>
      </c>
      <c r="V66" s="23">
        <f ca="1">IFERROR(RTData[[#This Row],[Volume]]/RTData[[#This Row],[Volume average]],1)</f>
        <v>0.63932084044668669</v>
      </c>
      <c r="W66" s="23"/>
      <c r="X66" s="96">
        <f ca="1">_xlfn.XLOOKUP(RTData[[#This Row],[Ticker_Symbol]],TickerList!$G65:$G159,TickerList!L65:L159)</f>
        <v>287.70681999999999</v>
      </c>
      <c r="Y66" s="89">
        <f ca="1">_xlfn.XLOOKUP(RTData[[#This Row],[Ticker_Symbol]],TickerList!$G65:$G159,TickerList!M65:M159)</f>
        <v>45971</v>
      </c>
      <c r="Z66" s="89">
        <f ca="1">_xlfn.XLOOKUP(RTData[[#This Row],[Ticker_Symbol]],TickerList!$G65:$G159,TickerList!N65:N159)</f>
        <v>0</v>
      </c>
      <c r="AA66" s="90">
        <f ca="1">_xlfn.XLOOKUP(RTData[[#This Row],[Ticker_Symbol]],TickerList!$G65:$G159,TickerList!O65:O159)</f>
        <v>3.8E-3</v>
      </c>
      <c r="AB66" s="91">
        <v>1E-4</v>
      </c>
      <c r="AC66" s="92">
        <f t="shared" si="0"/>
        <v>3.0000000000000001E-3</v>
      </c>
      <c r="AD66" s="78">
        <v>207.58</v>
      </c>
      <c r="AE66" s="93">
        <f ca="1">_xlfn.LET(_xlpm.New1YT,RTData[[#This Row],[1YT]],        _xlpm.Old1YT,IF(ISNUMBER(RTData[[#This Row],[Old1YT]]),RTData[[#This Row],[Old1YT]],VALUE(LEFT(RTData[[#This Row],[Old1YT]],FIND("/",RTData[[#This Row],[Old1YT]],1)-1))),       IF(OR(RTData[[#This Row],[1YT]]=0,_xlpm.Old1YT=0),0,(_xlpm.New1YT-_xlpm.Old1YT)/_xlpm.Old1YT))</f>
        <v>0.38600452837460247</v>
      </c>
      <c r="AF66" s="93" t="str">
        <f ca="1">TEXT(RTData[[#This Row],[1YT]],"#,#0.00")&amp;" &lt; "&amp;RTData[[#This Row],[Old1YT]]</f>
        <v>287.71 &lt; 207.58</v>
      </c>
    </row>
    <row r="67" spans="1:32" x14ac:dyDescent="0.3">
      <c r="A67" s="32" t="str" cm="1">
        <f t="array" aca="1" ref="A67" ca="1">_xlfn.SINGLE(RTData[suffix])&amp;_FV(RTData[[#This Row],[Company Name]],"Ticker symbol",TRUE)</f>
        <v>SAFAMZN</v>
      </c>
      <c r="B67" s="32">
        <f ca="1">D$100</f>
        <v>0.85142613878246054</v>
      </c>
      <c r="C67" t="e" vm="4">
        <v>#VALUE!</v>
      </c>
      <c r="D67" s="104" t="str" cm="1">
        <f t="array" aca="1" ref="D67" ca="1">_FV(RTData[[#This Row],[Company Name]],"Currency")</f>
        <v>USD</v>
      </c>
      <c r="E67" s="17" cm="1">
        <f t="array" aca="1" ref="E67" ca="1">_FV(RTData[[#This Row],[Company Name]],"Last trade time",TRUE)</f>
        <v>46022.930968842185</v>
      </c>
      <c r="F67" s="106" cm="1">
        <f t="array" aca="1" ref="F67" ca="1">_FV(RTData[[#This Row],[Company Name]],"Previous close",TRUE)</f>
        <v>232.53</v>
      </c>
      <c r="G67" s="106" cm="1">
        <f t="array" aca="1" ref="G67" ca="1">IFERROR(_FV(RTData[[#This Row],[Company Name]],"Open"),RTData[[#This Row],[Close]])</f>
        <v>232.905</v>
      </c>
      <c r="H67" s="106" cm="1">
        <f t="array" aca="1" ref="H67" ca="1">_FV(RTData[[#This Row],[Company Name]],"Price")</f>
        <v>230.82</v>
      </c>
      <c r="I67" s="106" cm="1">
        <f t="array" aca="1" ref="I67" ca="1">IFERROR(_FV(RTData[[#This Row],[Company Name]],"Low"),0)</f>
        <v>230.12</v>
      </c>
      <c r="J67" s="106" cm="1">
        <f t="array" aca="1" ref="J67" ca="1">IFERROR(_FV(RTData[[#This Row],[Company Name]],"High"),0)</f>
        <v>232.99</v>
      </c>
      <c r="K67" s="19" cm="1">
        <f t="array" aca="1" ref="K67" ca="1">IFERROR(_FV(RTData[[#This Row],[Company Name]],"P/E",TRUE),99)</f>
        <v>32.606299999999997</v>
      </c>
      <c r="L67" s="20" cm="1">
        <f t="array" aca="1" ref="L67" ca="1">_FV(RTData[[#This Row],[Company Name]],"Change")</f>
        <v>-1.71</v>
      </c>
      <c r="M67" s="21" cm="1">
        <f t="array" aca="1" ref="M67" ca="1">_FV(RTData[[#This Row],[Company Name]],"Change (%)",TRUE)</f>
        <v>-7.3540000000000003E-3</v>
      </c>
      <c r="N67" s="106" cm="1">
        <f t="array" aca="1" ref="N67" ca="1">_FV(RTData[[#This Row],[Company Name]],"52 week low",TRUE)</f>
        <v>161.38</v>
      </c>
      <c r="O67" s="106" cm="1">
        <f t="array" aca="1" ref="O67" ca="1">_FV(RTData[[#This Row],[Company Name]],"52 week high",TRUE)</f>
        <v>258.60000000000002</v>
      </c>
      <c r="P67" s="22" cm="1">
        <f t="array" aca="1" ref="P67" ca="1">_FV(RTData[[#This Row],[Company Name]],"Volume")</f>
        <v>23866822</v>
      </c>
      <c r="Q67" s="22" cm="1">
        <f t="array" aca="1" ref="Q67" ca="1">_FV(RTData[[#This Row],[Company Name]],"Volume average",TRUE)</f>
        <v>36642587</v>
      </c>
      <c r="R67" s="106" cm="1">
        <f t="array" aca="1" ref="R67" ca="1">_FV(RTData[[#This Row],[Company Name]],"Beta")</f>
        <v>1.3754</v>
      </c>
      <c r="S67" t="s">
        <v>24</v>
      </c>
      <c r="T67" t="s">
        <v>25</v>
      </c>
      <c r="U67" t="str" cm="1">
        <f t="array" aca="1" ref="U67" ca="1">_FV(RTData[[#This Row],[Company Name]],"Exchange abbreviation",TRUE)</f>
        <v>XNAS</v>
      </c>
      <c r="V67" s="23">
        <f ca="1">IFERROR(RTData[[#This Row],[Volume]]/RTData[[#This Row],[Volume average]],1)</f>
        <v>0.65134107479911285</v>
      </c>
      <c r="W67" s="23"/>
      <c r="X67" s="96">
        <f ca="1">_xlfn.XLOOKUP(RTData[[#This Row],[Ticker_Symbol]],TickerList!$G66:$G160,TickerList!L66:L160)</f>
        <v>295.59784000000002</v>
      </c>
      <c r="Y67" s="89">
        <f ca="1">_xlfn.XLOOKUP(RTData[[#This Row],[Ticker_Symbol]],TickerList!$G66:$G160,TickerList!M66:M160)</f>
        <v>0</v>
      </c>
      <c r="Z67" s="89">
        <f ca="1">_xlfn.XLOOKUP(RTData[[#This Row],[Ticker_Symbol]],TickerList!$G66:$G160,TickerList!N66:N160)</f>
        <v>0</v>
      </c>
      <c r="AA67" s="90">
        <f ca="1">_xlfn.XLOOKUP(RTData[[#This Row],[Ticker_Symbol]],TickerList!$G66:$G160,TickerList!O66:O160)</f>
        <v>0</v>
      </c>
      <c r="AB67" s="91">
        <v>1E-4</v>
      </c>
      <c r="AC67" s="92">
        <f t="shared" si="0"/>
        <v>3.0000000000000001E-3</v>
      </c>
      <c r="AD67" s="78">
        <v>227.1</v>
      </c>
      <c r="AE67" s="93">
        <f ca="1">_xlfn.LET(_xlpm.New1YT,RTData[[#This Row],[1YT]],        _xlpm.Old1YT,IF(ISNUMBER(RTData[[#This Row],[Old1YT]]),RTData[[#This Row],[Old1YT]],VALUE(LEFT(RTData[[#This Row],[Old1YT]],FIND("/",RTData[[#This Row],[Old1YT]],1)-1))),       IF(OR(RTData[[#This Row],[1YT]]=0,_xlpm.Old1YT=0),0,(_xlpm.New1YT-_xlpm.Old1YT)/_xlpm.Old1YT))</f>
        <v>0.30161972699251444</v>
      </c>
      <c r="AF67" s="93" t="str">
        <f ca="1">TEXT(RTData[[#This Row],[1YT]],"#,#0.00")&amp;" &lt; "&amp;RTData[[#This Row],[Old1YT]]</f>
        <v>295.60 &lt; 227.1</v>
      </c>
    </row>
    <row r="68" spans="1:32" x14ac:dyDescent="0.3">
      <c r="A68" s="32" t="str" cm="1">
        <f t="array" aca="1" ref="A68" ca="1">_xlfn.SINGLE(RTData[suffix])&amp;_FV(RTData[[#This Row],[Company Name]],"Ticker symbol",TRUE)</f>
        <v>SAFASML</v>
      </c>
      <c r="B68" s="32">
        <v>1</v>
      </c>
      <c r="C68" t="e" vm="6">
        <v>#VALUE!</v>
      </c>
      <c r="D68" s="104" t="str" cm="1">
        <f t="array" aca="1" ref="D68" ca="1">_FV(RTData[[#This Row],[Company Name]],"Currency")</f>
        <v>EUR</v>
      </c>
      <c r="E68" s="17" cm="1">
        <f t="array" aca="1" ref="E68" ca="1">_FV(RTData[[#This Row],[Company Name]],"Last trade time",TRUE)</f>
        <v>46022.708333333336</v>
      </c>
      <c r="F68" s="106" cm="1">
        <f t="array" aca="1" ref="F68" ca="1">_FV(RTData[[#This Row],[Company Name]],"Previous close",TRUE)</f>
        <v>918.4</v>
      </c>
      <c r="G68" s="106" cm="1">
        <f t="array" aca="1" ref="G68" ca="1">IFERROR(_FV(RTData[[#This Row],[Company Name]],"Open"),RTData[[#This Row],[Close]])</f>
        <v>909.9</v>
      </c>
      <c r="H68" s="106" cm="1">
        <f t="array" aca="1" ref="H68" ca="1">_FV(RTData[[#This Row],[Company Name]],"Price")</f>
        <v>921.4</v>
      </c>
      <c r="I68" s="106" cm="1">
        <f t="array" aca="1" ref="I68" ca="1">IFERROR(_FV(RTData[[#This Row],[Company Name]],"Low"),0)</f>
        <v>909.1</v>
      </c>
      <c r="J68" s="106" cm="1">
        <f t="array" aca="1" ref="J68" ca="1">IFERROR(_FV(RTData[[#This Row],[Company Name]],"High"),0)</f>
        <v>921.4</v>
      </c>
      <c r="K68" s="19" cm="1">
        <f t="array" aca="1" ref="K68" ca="1">IFERROR(_FV(RTData[[#This Row],[Company Name]],"P/E",TRUE),99)</f>
        <v>35.378500000000003</v>
      </c>
      <c r="L68" s="20" cm="1">
        <f t="array" aca="1" ref="L68" ca="1">_FV(RTData[[#This Row],[Company Name]],"Change")</f>
        <v>3</v>
      </c>
      <c r="M68" s="21" cm="1">
        <f t="array" aca="1" ref="M68" ca="1">_FV(RTData[[#This Row],[Company Name]],"Change (%)",TRUE)</f>
        <v>3.2669999999999999E-3</v>
      </c>
      <c r="N68" s="106" cm="1">
        <f t="array" aca="1" ref="N68" ca="1">_FV(RTData[[#This Row],[Company Name]],"52 week low",TRUE)</f>
        <v>508.4</v>
      </c>
      <c r="O68" s="106" cm="1">
        <f t="array" aca="1" ref="O68" ca="1">_FV(RTData[[#This Row],[Company Name]],"52 week high",TRUE)</f>
        <v>977.1</v>
      </c>
      <c r="P68" s="22" cm="1">
        <f t="array" aca="1" ref="P68" ca="1">_FV(RTData[[#This Row],[Company Name]],"Volume")</f>
        <v>156048</v>
      </c>
      <c r="Q68" s="22" cm="1">
        <f t="array" aca="1" ref="Q68" ca="1">_FV(RTData[[#This Row],[Company Name]],"Volume average",TRUE)</f>
        <v>556440</v>
      </c>
      <c r="R68" s="106" cm="1">
        <f t="array" aca="1" ref="R68" ca="1">_FV(RTData[[#This Row],[Company Name]],"Beta")</f>
        <v>2.0910000000000002</v>
      </c>
      <c r="S68" t="s">
        <v>24</v>
      </c>
      <c r="T68" t="s">
        <v>25</v>
      </c>
      <c r="U68" t="str" cm="1">
        <f t="array" aca="1" ref="U68" ca="1">_FV(RTData[[#This Row],[Company Name]],"Exchange abbreviation",TRUE)</f>
        <v>XAMS</v>
      </c>
      <c r="V68" s="23">
        <f ca="1">IFERROR(RTData[[#This Row],[Volume]]/RTData[[#This Row],[Volume average]],1)</f>
        <v>0.28043993961613112</v>
      </c>
      <c r="W68" s="23"/>
      <c r="X68" s="96">
        <f ca="1">_xlfn.XLOOKUP(RTData[[#This Row],[Ticker_Symbol]],TickerList!$G67:$G161,TickerList!L67:L161)</f>
        <v>1007.8667</v>
      </c>
      <c r="Y68" s="89">
        <f ca="1">_xlfn.XLOOKUP(RTData[[#This Row],[Ticker_Symbol]],TickerList!$G67:$G161,TickerList!M67:M161)</f>
        <v>45958</v>
      </c>
      <c r="Z68" s="89">
        <f ca="1">_xlfn.XLOOKUP(RTData[[#This Row],[Ticker_Symbol]],TickerList!$G67:$G161,TickerList!N67:N161)</f>
        <v>0</v>
      </c>
      <c r="AA68" s="90">
        <f ca="1">_xlfn.XLOOKUP(RTData[[#This Row],[Ticker_Symbol]],TickerList!$G67:$G161,TickerList!O67:O161)</f>
        <v>7.0999996000000003E-3</v>
      </c>
      <c r="AB68" s="91">
        <v>1E-4</v>
      </c>
      <c r="AC68" s="92">
        <f t="shared" ref="AC68:AC96" si="10">AC$100</f>
        <v>3.0000000000000001E-3</v>
      </c>
      <c r="AD68" s="78">
        <f>AD8</f>
        <v>847.58</v>
      </c>
      <c r="AE68" s="93">
        <f ca="1">_xlfn.LET(_xlpm.New1YT,RTData[[#This Row],[1YT]],        _xlpm.Old1YT,IF(ISNUMBER(RTData[[#This Row],[Old1YT]]),RTData[[#This Row],[Old1YT]],VALUE(LEFT(RTData[[#This Row],[Old1YT]],FIND("/",RTData[[#This Row],[Old1YT]],1)-1))),       IF(OR(RTData[[#This Row],[1YT]]=0,_xlpm.Old1YT=0),0,(_xlpm.New1YT-_xlpm.Old1YT)/_xlpm.Old1YT))</f>
        <v>0.18911099837183509</v>
      </c>
      <c r="AF68" s="93" t="str">
        <f ca="1">TEXT(RTData[[#This Row],[1YT]],"#,#0.00")&amp;" &lt; "&amp;RTData[[#This Row],[Old1YT]]</f>
        <v>1,007.87 &lt; 847.58</v>
      </c>
    </row>
    <row r="69" spans="1:32" ht="22" customHeight="1" x14ac:dyDescent="0.3">
      <c r="A69" s="32" t="str" cm="1">
        <f t="array" aca="1" ref="A69" ca="1">_xlfn.SINGLE(RTData[suffix])&amp;_FV(RTData[[#This Row],[Company Name]],"Ticker symbol",TRUE)</f>
        <v>SAFDDD</v>
      </c>
      <c r="B69" s="32">
        <f ca="1">D$100</f>
        <v>0.85142613878246054</v>
      </c>
      <c r="C69" t="e" vm="14">
        <v>#VALUE!</v>
      </c>
      <c r="D69" s="104" t="str" cm="1">
        <f t="array" aca="1" ref="D69" ca="1">_FV(RTData[[#This Row],[Company Name]],"Currency")</f>
        <v>USD</v>
      </c>
      <c r="E69" s="17" cm="1">
        <f t="array" aca="1" ref="E69" ca="1">_FV(RTData[[#This Row],[Company Name]],"Last trade time",TRUE)</f>
        <v>46022.920714628905</v>
      </c>
      <c r="F69" s="106" cm="1">
        <f t="array" aca="1" ref="F69" ca="1">_FV(RTData[[#This Row],[Company Name]],"Previous close",TRUE)</f>
        <v>1.77</v>
      </c>
      <c r="G69" s="106" cm="1">
        <f t="array" aca="1" ref="G69" ca="1">IFERROR(_FV(RTData[[#This Row],[Company Name]],"Open"),RTData[[#This Row],[Close]])</f>
        <v>1.76</v>
      </c>
      <c r="H69" s="106" cm="1">
        <f t="array" aca="1" ref="H69" ca="1">_FV(RTData[[#This Row],[Company Name]],"Price")</f>
        <v>1.7749999999999999</v>
      </c>
      <c r="I69" s="106" cm="1">
        <f t="array" aca="1" ref="I69" ca="1">IFERROR(_FV(RTData[[#This Row],[Company Name]],"Low"),0)</f>
        <v>1.75</v>
      </c>
      <c r="J69" s="106" cm="1">
        <f t="array" aca="1" ref="J69" ca="1">IFERROR(_FV(RTData[[#This Row],[Company Name]],"High"),0)</f>
        <v>1.81</v>
      </c>
      <c r="K69" s="19" cm="1">
        <f t="array" aca="1" ref="K69" ca="1">IFERROR(_FV(RTData[[#This Row],[Company Name]],"P/E",TRUE),99)</f>
        <v>0</v>
      </c>
      <c r="L69" s="20" cm="1">
        <f t="array" aca="1" ref="L69" ca="1">_FV(RTData[[#This Row],[Company Name]],"Change")</f>
        <v>5.0000000000000001E-3</v>
      </c>
      <c r="M69" s="21" cm="1">
        <f t="array" aca="1" ref="M69" ca="1">_FV(RTData[[#This Row],[Company Name]],"Change (%)",TRUE)</f>
        <v>2.8249999999999998E-3</v>
      </c>
      <c r="N69" s="106" cm="1">
        <f t="array" aca="1" ref="N69" ca="1">_FV(RTData[[#This Row],[Company Name]],"52 week low",TRUE)</f>
        <v>1.32</v>
      </c>
      <c r="O69" s="106" cm="1">
        <f t="array" aca="1" ref="O69" ca="1">_FV(RTData[[#This Row],[Company Name]],"52 week high",TRUE)</f>
        <v>4.9991000000000003</v>
      </c>
      <c r="P69" s="22" cm="1">
        <f t="array" aca="1" ref="P69" ca="1">_FV(RTData[[#This Row],[Company Name]],"Volume")</f>
        <v>1803395</v>
      </c>
      <c r="Q69" s="22" cm="1">
        <f t="array" aca="1" ref="Q69" ca="1">_FV(RTData[[#This Row],[Company Name]],"Volume average",TRUE)</f>
        <v>3114767</v>
      </c>
      <c r="R69" s="106" cm="1">
        <f t="array" aca="1" ref="R69" ca="1">_FV(RTData[[#This Row],[Company Name]],"Beta")</f>
        <v>1.8777999999999999</v>
      </c>
      <c r="S69" t="s">
        <v>24</v>
      </c>
      <c r="T69" t="s">
        <v>25</v>
      </c>
      <c r="U69" t="str" cm="1">
        <f t="array" aca="1" ref="U69" ca="1">_FV(RTData[[#This Row],[Company Name]],"Exchange abbreviation",TRUE)</f>
        <v>XNYS</v>
      </c>
      <c r="V69" s="23">
        <f ca="1">IFERROR(RTData[[#This Row],[Volume]]/RTData[[#This Row],[Volume average]],1)</f>
        <v>0.57898231232063269</v>
      </c>
      <c r="W69" s="23"/>
      <c r="X69" s="96">
        <f ca="1">_xlfn.XLOOKUP(RTData[[#This Row],[Ticker_Symbol]],TickerList!$G68:$G162,TickerList!L68:L162)</f>
        <v>3.625</v>
      </c>
      <c r="Y69" s="89">
        <f ca="1">_xlfn.XLOOKUP(RTData[[#This Row],[Ticker_Symbol]],TickerList!$G68:$G162,TickerList!M68:M162)</f>
        <v>0</v>
      </c>
      <c r="Z69" s="89">
        <f ca="1">_xlfn.XLOOKUP(RTData[[#This Row],[Ticker_Symbol]],TickerList!$G68:$G162,TickerList!N68:N162)</f>
        <v>0</v>
      </c>
      <c r="AA69" s="90">
        <f ca="1">_xlfn.XLOOKUP(RTData[[#This Row],[Ticker_Symbol]],TickerList!$G68:$G162,TickerList!O68:O162)</f>
        <v>0</v>
      </c>
      <c r="AB69" s="91">
        <v>1E-4</v>
      </c>
      <c r="AC69" s="92">
        <f t="shared" si="10"/>
        <v>3.0000000000000001E-3</v>
      </c>
      <c r="AD69" s="78">
        <v>5.45</v>
      </c>
      <c r="AE69" s="93">
        <f ca="1">_xlfn.LET(_xlpm.New1YT,RTData[[#This Row],[1YT]],        _xlpm.Old1YT,IF(ISNUMBER(RTData[[#This Row],[Old1YT]]),RTData[[#This Row],[Old1YT]],VALUE(LEFT(RTData[[#This Row],[Old1YT]],FIND("/",RTData[[#This Row],[Old1YT]],1)-1))),       IF(OR(RTData[[#This Row],[1YT]]=0,_xlpm.Old1YT=0),0,(_xlpm.New1YT-_xlpm.Old1YT)/_xlpm.Old1YT))</f>
        <v>-0.33486238532110096</v>
      </c>
      <c r="AF69" s="93" t="str">
        <f ca="1">TEXT(RTData[[#This Row],[1YT]],"#,#0.00")&amp;" &lt; "&amp;RTData[[#This Row],[Old1YT]]</f>
        <v>3.63 &lt; 5.45</v>
      </c>
    </row>
    <row r="70" spans="1:32" x14ac:dyDescent="0.3">
      <c r="A70" s="32" t="str" cm="1">
        <f t="array" aca="1" ref="A70" ca="1">_xlfn.SINGLE(RTData[suffix])&amp;_FV(RTData[[#This Row],[Company Name]],"Ticker symbol",TRUE)</f>
        <v>SAFDIS</v>
      </c>
      <c r="B70" s="32">
        <f t="shared" ref="B70:B71" ca="1" si="11">D$100</f>
        <v>0.85142613878246054</v>
      </c>
      <c r="C70" t="e" vm="15">
        <v>#VALUE!</v>
      </c>
      <c r="D70" s="104" t="str" cm="1">
        <f t="array" aca="1" ref="D70" ca="1">_FV(RTData[[#This Row],[Company Name]],"Currency")</f>
        <v>USD</v>
      </c>
      <c r="E70" s="17" cm="1">
        <f t="array" aca="1" ref="E70" ca="1">_FV(RTData[[#This Row],[Company Name]],"Last trade time",TRUE)</f>
        <v>46022.930865786722</v>
      </c>
      <c r="F70" s="106" cm="1">
        <f t="array" aca="1" ref="F70" ca="1">_FV(RTData[[#This Row],[Company Name]],"Previous close",TRUE)</f>
        <v>114.79</v>
      </c>
      <c r="G70" s="106" cm="1">
        <f t="array" aca="1" ref="G70" ca="1">IFERROR(_FV(RTData[[#This Row],[Company Name]],"Open"),RTData[[#This Row],[Close]])</f>
        <v>114.77</v>
      </c>
      <c r="H70" s="106" cm="1">
        <f t="array" aca="1" ref="H70" ca="1">_FV(RTData[[#This Row],[Company Name]],"Price")</f>
        <v>113.76</v>
      </c>
      <c r="I70" s="106" cm="1">
        <f t="array" aca="1" ref="I70" ca="1">IFERROR(_FV(RTData[[#This Row],[Company Name]],"Low"),0)</f>
        <v>113.55</v>
      </c>
      <c r="J70" s="106" cm="1">
        <f t="array" aca="1" ref="J70" ca="1">IFERROR(_FV(RTData[[#This Row],[Company Name]],"High"),0)</f>
        <v>114.89</v>
      </c>
      <c r="K70" s="19" cm="1">
        <f t="array" aca="1" ref="K70" ca="1">IFERROR(_FV(RTData[[#This Row],[Company Name]],"P/E",TRUE),99)</f>
        <v>16.603200000000001</v>
      </c>
      <c r="L70" s="20" cm="1">
        <f t="array" aca="1" ref="L70" ca="1">_FV(RTData[[#This Row],[Company Name]],"Change")</f>
        <v>-1.03</v>
      </c>
      <c r="M70" s="21" cm="1">
        <f t="array" aca="1" ref="M70" ca="1">_FV(RTData[[#This Row],[Company Name]],"Change (%)",TRUE)</f>
        <v>-8.9730000000000001E-3</v>
      </c>
      <c r="N70" s="106" cm="1">
        <f t="array" aca="1" ref="N70" ca="1">_FV(RTData[[#This Row],[Company Name]],"52 week low",TRUE)</f>
        <v>80.099999999999994</v>
      </c>
      <c r="O70" s="106" cm="1">
        <f t="array" aca="1" ref="O70" ca="1">_FV(RTData[[#This Row],[Company Name]],"52 week high",TRUE)</f>
        <v>124.69</v>
      </c>
      <c r="P70" s="22" cm="1">
        <f t="array" aca="1" ref="P70" ca="1">_FV(RTData[[#This Row],[Company Name]],"Volume")</f>
        <v>6541862</v>
      </c>
      <c r="Q70" s="22" cm="1">
        <f t="array" aca="1" ref="Q70" ca="1">_FV(RTData[[#This Row],[Company Name]],"Volume average",TRUE)</f>
        <v>10921324</v>
      </c>
      <c r="R70" s="106" cm="1">
        <f t="array" aca="1" ref="R70" ca="1">_FV(RTData[[#This Row],[Company Name]],"Beta")</f>
        <v>1.4482999999999999</v>
      </c>
      <c r="S70" t="s">
        <v>24</v>
      </c>
      <c r="T70" t="s">
        <v>25</v>
      </c>
      <c r="U70" t="str" cm="1">
        <f t="array" aca="1" ref="U70" ca="1">_FV(RTData[[#This Row],[Company Name]],"Exchange abbreviation",TRUE)</f>
        <v>XNYS</v>
      </c>
      <c r="V70" s="23">
        <f ca="1">IFERROR(RTData[[#This Row],[Volume]]/RTData[[#This Row],[Volume average]],1)</f>
        <v>0.59899898583724831</v>
      </c>
      <c r="W70" s="23"/>
      <c r="X70" s="96">
        <f ca="1">_xlfn.XLOOKUP(RTData[[#This Row],[Ticker_Symbol]],TickerList!$G69:$G163,TickerList!L69:L163)</f>
        <v>132.50357</v>
      </c>
      <c r="Y70" s="89">
        <f ca="1">_xlfn.XLOOKUP(RTData[[#This Row],[Ticker_Symbol]],TickerList!$G69:$G163,TickerList!M69:M163)</f>
        <v>46203</v>
      </c>
      <c r="Z70" s="89">
        <f ca="1">_xlfn.XLOOKUP(RTData[[#This Row],[Ticker_Symbol]],TickerList!$G69:$G163,TickerList!N69:N163)</f>
        <v>0</v>
      </c>
      <c r="AA70" s="90">
        <f ca="1">_xlfn.XLOOKUP(RTData[[#This Row],[Ticker_Symbol]],TickerList!$G69:$G163,TickerList!O69:O163)</f>
        <v>1.3099998999999999E-2</v>
      </c>
      <c r="AB70" s="91">
        <v>1E-4</v>
      </c>
      <c r="AC70" s="92">
        <f t="shared" si="10"/>
        <v>3.0000000000000001E-3</v>
      </c>
      <c r="AD70" s="78">
        <v>124.75</v>
      </c>
      <c r="AE70" s="93">
        <f ca="1">_xlfn.LET(_xlpm.New1YT,RTData[[#This Row],[1YT]],        _xlpm.Old1YT,IF(ISNUMBER(RTData[[#This Row],[Old1YT]]),RTData[[#This Row],[Old1YT]],VALUE(LEFT(RTData[[#This Row],[Old1YT]],FIND("/",RTData[[#This Row],[Old1YT]],1)-1))),       IF(OR(RTData[[#This Row],[1YT]]=0,_xlpm.Old1YT=0),0,(_xlpm.New1YT-_xlpm.Old1YT)/_xlpm.Old1YT))</f>
        <v>6.2152865731462899E-2</v>
      </c>
      <c r="AF70" s="93" t="str">
        <f ca="1">TEXT(RTData[[#This Row],[1YT]],"#,#0.00")&amp;" &lt; "&amp;RTData[[#This Row],[Old1YT]]</f>
        <v>132.50 &lt; 124.75</v>
      </c>
    </row>
    <row r="71" spans="1:32" x14ac:dyDescent="0.3">
      <c r="A71" s="32" t="str" cm="1">
        <f t="array" aca="1" ref="A71" ca="1">_xlfn.SINGLE(RTData[suffix])&amp;_FV(RTData[[#This Row],[Company Name]],"Ticker symbol",TRUE)</f>
        <v>SAFGM</v>
      </c>
      <c r="B71" s="32">
        <f t="shared" ca="1" si="11"/>
        <v>0.85142613878246054</v>
      </c>
      <c r="C71" t="e" vm="21">
        <v>#VALUE!</v>
      </c>
      <c r="D71" s="104" t="str" cm="1">
        <f t="array" aca="1" ref="D71" ca="1">_FV(RTData[[#This Row],[Company Name]],"Currency")</f>
        <v>USD</v>
      </c>
      <c r="E71" s="17" cm="1">
        <f t="array" aca="1" ref="E71" ca="1">_FV(RTData[[#This Row],[Company Name]],"Last trade time",TRUE)</f>
        <v>46022.930884328125</v>
      </c>
      <c r="F71" s="106" cm="1">
        <f t="array" aca="1" ref="F71" ca="1">_FV(RTData[[#This Row],[Company Name]],"Previous close",TRUE)</f>
        <v>82.33</v>
      </c>
      <c r="G71" s="106" cm="1">
        <f t="array" aca="1" ref="G71" ca="1">IFERROR(_FV(RTData[[#This Row],[Company Name]],"Open"),RTData[[#This Row],[Close]])</f>
        <v>82.25</v>
      </c>
      <c r="H71" s="106" cm="1">
        <f t="array" aca="1" ref="H71" ca="1">_FV(RTData[[#This Row],[Company Name]],"Price")</f>
        <v>81.334999999999994</v>
      </c>
      <c r="I71" s="106" cm="1">
        <f t="array" aca="1" ref="I71" ca="1">IFERROR(_FV(RTData[[#This Row],[Company Name]],"Low"),0)</f>
        <v>81.25</v>
      </c>
      <c r="J71" s="106" cm="1">
        <f t="array" aca="1" ref="J71" ca="1">IFERROR(_FV(RTData[[#This Row],[Company Name]],"High"),0)</f>
        <v>82.27</v>
      </c>
      <c r="K71" s="19" cm="1">
        <f t="array" aca="1" ref="K71" ca="1">IFERROR(_FV(RTData[[#This Row],[Company Name]],"P/E",TRUE),99)</f>
        <v>15.643800000000001</v>
      </c>
      <c r="L71" s="20" cm="1">
        <f t="array" aca="1" ref="L71" ca="1">_FV(RTData[[#This Row],[Company Name]],"Change")</f>
        <v>-0.995</v>
      </c>
      <c r="M71" s="21" cm="1">
        <f t="array" aca="1" ref="M71" ca="1">_FV(RTData[[#This Row],[Company Name]],"Change (%)",TRUE)</f>
        <v>-1.2086E-2</v>
      </c>
      <c r="N71" s="106" cm="1">
        <f t="array" aca="1" ref="N71" ca="1">_FV(RTData[[#This Row],[Company Name]],"52 week low",TRUE)</f>
        <v>41.6</v>
      </c>
      <c r="O71" s="106" cm="1">
        <f t="array" aca="1" ref="O71" ca="1">_FV(RTData[[#This Row],[Company Name]],"52 week high",TRUE)</f>
        <v>83.68</v>
      </c>
      <c r="P71" s="22" cm="1">
        <f t="array" aca="1" ref="P71" ca="1">_FV(RTData[[#This Row],[Company Name]],"Volume")</f>
        <v>4371411</v>
      </c>
      <c r="Q71" s="22" cm="1">
        <f t="array" aca="1" ref="Q71" ca="1">_FV(RTData[[#This Row],[Company Name]],"Volume average",TRUE)</f>
        <v>9290053</v>
      </c>
      <c r="R71" s="106" cm="1">
        <f t="array" aca="1" ref="R71" ca="1">_FV(RTData[[#This Row],[Company Name]],"Beta")</f>
        <v>1.3231999999999999</v>
      </c>
      <c r="S71" t="s">
        <v>24</v>
      </c>
      <c r="T71" t="s">
        <v>25</v>
      </c>
      <c r="U71" t="str" cm="1">
        <f t="array" aca="1" ref="U71" ca="1">_FV(RTData[[#This Row],[Company Name]],"Exchange abbreviation",TRUE)</f>
        <v>XNYS</v>
      </c>
      <c r="V71" s="23">
        <f ca="1">IFERROR(RTData[[#This Row],[Volume]]/RTData[[#This Row],[Volume average]],1)</f>
        <v>0.47054747696272564</v>
      </c>
      <c r="W71" s="23"/>
      <c r="X71" s="96">
        <f ca="1">_xlfn.XLOOKUP(RTData[[#This Row],[Ticker_Symbol]],TickerList!$G70:$G164,TickerList!L70:L164)</f>
        <v>79.458330000000004</v>
      </c>
      <c r="Y71" s="89">
        <f ca="1">_xlfn.XLOOKUP(RTData[[#This Row],[Ticker_Symbol]],TickerList!$G70:$G164,TickerList!M70:M164)</f>
        <v>45996</v>
      </c>
      <c r="Z71" s="89">
        <f ca="1">_xlfn.XLOOKUP(RTData[[#This Row],[Ticker_Symbol]],TickerList!$G70:$G164,TickerList!N70:N164)</f>
        <v>0</v>
      </c>
      <c r="AA71" s="90">
        <f ca="1">_xlfn.XLOOKUP(RTData[[#This Row],[Ticker_Symbol]],TickerList!$G70:$G164,TickerList!O70:O164)</f>
        <v>7.2000003000000003E-3</v>
      </c>
      <c r="AB71" s="91">
        <v>1E-4</v>
      </c>
      <c r="AC71" s="92">
        <f t="shared" si="10"/>
        <v>3.0000000000000001E-3</v>
      </c>
      <c r="AD71" s="78">
        <v>54.06</v>
      </c>
      <c r="AE71" s="93">
        <f ca="1">_xlfn.LET(_xlpm.New1YT,RTData[[#This Row],[1YT]],        _xlpm.Old1YT,IF(ISNUMBER(RTData[[#This Row],[Old1YT]]),RTData[[#This Row],[Old1YT]],VALUE(LEFT(RTData[[#This Row],[Old1YT]],FIND("/",RTData[[#This Row],[Old1YT]],1)-1))),       IF(OR(RTData[[#This Row],[1YT]]=0,_xlpm.Old1YT=0),0,(_xlpm.New1YT-_xlpm.Old1YT)/_xlpm.Old1YT))</f>
        <v>0.46981742508324087</v>
      </c>
      <c r="AF71" s="93" t="str">
        <f ca="1">TEXT(RTData[[#This Row],[1YT]],"#,#0.00")&amp;" &lt; "&amp;RTData[[#This Row],[Old1YT]]</f>
        <v>79.46 &lt; 54.06</v>
      </c>
    </row>
    <row r="72" spans="1:32" x14ac:dyDescent="0.3">
      <c r="A72" s="32" t="str" cm="1">
        <f t="array" aca="1" ref="A72" ca="1">_xlfn.SINGLE(RTData[suffix])&amp;_FV(RTData[[#This Row],[Company Name]],"Ticker symbol",TRUE)</f>
        <v>SAFIAG</v>
      </c>
      <c r="B72" s="32">
        <f ca="1">B26</f>
        <v>7.4209999999999996E-3</v>
      </c>
      <c r="C72" t="e" vm="24">
        <v>#VALUE!</v>
      </c>
      <c r="D72" s="104" t="str" cm="1">
        <f t="array" aca="1" ref="D72" ca="1">_FV(RTData[[#This Row],[Company Name]],"Currency")</f>
        <v>GBp</v>
      </c>
      <c r="E72" s="17" cm="1">
        <f t="array" aca="1" ref="E72" ca="1">_FV(RTData[[#This Row],[Company Name]],"Last trade time",TRUE)</f>
        <v>46022.527524525001</v>
      </c>
      <c r="F72" s="106" cm="1">
        <f t="array" aca="1" ref="F72" ca="1">_FV(RTData[[#This Row],[Company Name]],"Previous close",TRUE)</f>
        <v>415</v>
      </c>
      <c r="G72" s="106" cm="1">
        <f t="array" aca="1" ref="G72" ca="1">IFERROR(_FV(RTData[[#This Row],[Company Name]],"Open"),RTData[[#This Row],[Close]])</f>
        <v>416.1</v>
      </c>
      <c r="H72" s="106" cm="1">
        <f t="array" aca="1" ref="H72" ca="1">_FV(RTData[[#This Row],[Company Name]],"Price")</f>
        <v>414.3</v>
      </c>
      <c r="I72" s="106" cm="1">
        <f t="array" aca="1" ref="I72" ca="1">IFERROR(_FV(RTData[[#This Row],[Company Name]],"Low"),0)</f>
        <v>412.7</v>
      </c>
      <c r="J72" s="106" cm="1">
        <f t="array" aca="1" ref="J72" ca="1">IFERROR(_FV(RTData[[#This Row],[Company Name]],"High"),0)</f>
        <v>416.1</v>
      </c>
      <c r="K72" s="19" cm="1">
        <f t="array" aca="1" ref="K72" ca="1">IFERROR(_FV(RTData[[#This Row],[Company Name]],"P/E",TRUE),99)</f>
        <v>7.4634999999999998</v>
      </c>
      <c r="L72" s="20" cm="1">
        <f t="array" aca="1" ref="L72" ca="1">_FV(RTData[[#This Row],[Company Name]],"Change")</f>
        <v>-0.7</v>
      </c>
      <c r="M72" s="21" cm="1">
        <f t="array" aca="1" ref="M72" ca="1">_FV(RTData[[#This Row],[Company Name]],"Change (%)",TRUE)</f>
        <v>-1.6869999999999999E-3</v>
      </c>
      <c r="N72" s="106" cm="1">
        <f t="array" aca="1" ref="N72" ca="1">_FV(RTData[[#This Row],[Company Name]],"52 week low",TRUE)</f>
        <v>210</v>
      </c>
      <c r="O72" s="106" cm="1">
        <f t="array" aca="1" ref="O72" ca="1">_FV(RTData[[#This Row],[Company Name]],"52 week high",TRUE)</f>
        <v>429.3</v>
      </c>
      <c r="P72" s="22" cm="1">
        <f t="array" aca="1" ref="P72" ca="1">_FV(RTData[[#This Row],[Company Name]],"Volume")</f>
        <v>3559933</v>
      </c>
      <c r="Q72" s="22" cm="1">
        <f t="array" aca="1" ref="Q72" ca="1">_FV(RTData[[#This Row],[Company Name]],"Volume average",TRUE)</f>
        <v>15852740</v>
      </c>
      <c r="R72" s="106" cm="1">
        <f t="array" aca="1" ref="R72" ca="1">_FV(RTData[[#This Row],[Company Name]],"Beta")</f>
        <v>2.3386999999999998</v>
      </c>
      <c r="S72" t="s">
        <v>24</v>
      </c>
      <c r="T72" t="s">
        <v>25</v>
      </c>
      <c r="U72" t="str" cm="1">
        <f t="array" aca="1" ref="U72" ca="1">_FV(RTData[[#This Row],[Company Name]],"Exchange abbreviation",TRUE)</f>
        <v>XLON</v>
      </c>
      <c r="V72" s="23">
        <f ca="1">IFERROR(RTData[[#This Row],[Volume]]/RTData[[#This Row],[Volume average]],1)</f>
        <v>0.22456263081334835</v>
      </c>
      <c r="W72" s="23"/>
      <c r="X72" s="96">
        <f ca="1">_xlfn.XLOOKUP(RTData[[#This Row],[Ticker_Symbol]],TickerList!$G71:$G165,TickerList!L71:L165)</f>
        <v>475.47250000000003</v>
      </c>
      <c r="Y72" s="89">
        <f ca="1">_xlfn.XLOOKUP(RTData[[#This Row],[Ticker_Symbol]],TickerList!$G71:$G165,TickerList!M71:M165)</f>
        <v>45988</v>
      </c>
      <c r="Z72" s="89">
        <f ca="1">_xlfn.XLOOKUP(RTData[[#This Row],[Ticker_Symbol]],TickerList!$G71:$G165,TickerList!N71:N165)</f>
        <v>0</v>
      </c>
      <c r="AA72" s="90">
        <f ca="1">_xlfn.XLOOKUP(RTData[[#This Row],[Ticker_Symbol]],TickerList!$G71:$G165,TickerList!O71:O165)</f>
        <v>2.2599999999999999E-2</v>
      </c>
      <c r="AB72" s="91">
        <v>1E-4</v>
      </c>
      <c r="AC72" s="92">
        <f t="shared" si="10"/>
        <v>3.0000000000000001E-3</v>
      </c>
      <c r="AD72" s="78">
        <v>293.75</v>
      </c>
      <c r="AE72" s="93">
        <f ca="1">_xlfn.LET(_xlpm.New1YT,RTData[[#This Row],[1YT]],        _xlpm.Old1YT,IF(ISNUMBER(RTData[[#This Row],[Old1YT]]),RTData[[#This Row],[Old1YT]],VALUE(LEFT(RTData[[#This Row],[Old1YT]],FIND("/",RTData[[#This Row],[Old1YT]],1)-1))),       IF(OR(RTData[[#This Row],[1YT]]=0,_xlpm.Old1YT=0),0,(_xlpm.New1YT-_xlpm.Old1YT)/_xlpm.Old1YT))</f>
        <v>0.61862978723404261</v>
      </c>
      <c r="AF72" s="93" t="str">
        <f ca="1">TEXT(RTData[[#This Row],[1YT]],"#,#0.00")&amp;" &lt; "&amp;RTData[[#This Row],[Old1YT]]</f>
        <v>475.47 &lt; 293.75</v>
      </c>
    </row>
    <row r="73" spans="1:32" x14ac:dyDescent="0.3">
      <c r="A73" s="32" t="str" cm="1">
        <f t="array" aca="1" ref="A73" ca="1">_xlfn.SINGLE(RTData[suffix])&amp;_FV(RTData[[#This Row],[Company Name]],"Ticker symbol",TRUE)</f>
        <v>SAFMRNA</v>
      </c>
      <c r="B73" s="32">
        <f ca="1">D$100</f>
        <v>0.85142613878246054</v>
      </c>
      <c r="C73" t="e" vm="28">
        <v>#VALUE!</v>
      </c>
      <c r="D73" s="104" t="str" cm="1">
        <f t="array" aca="1" ref="D73" ca="1">_FV(RTData[[#This Row],[Company Name]],"Currency")</f>
        <v>USD</v>
      </c>
      <c r="E73" s="17" cm="1">
        <f t="array" aca="1" ref="E73" ca="1">_FV(RTData[[#This Row],[Company Name]],"Last trade time",TRUE)</f>
        <v>46022.930529560159</v>
      </c>
      <c r="F73" s="106" cm="1">
        <f t="array" aca="1" ref="F73" ca="1">_FV(RTData[[#This Row],[Company Name]],"Previous close",TRUE)</f>
        <v>30.41</v>
      </c>
      <c r="G73" s="106" cm="1">
        <f t="array" aca="1" ref="G73" ca="1">IFERROR(_FV(RTData[[#This Row],[Company Name]],"Open"),RTData[[#This Row],[Close]])</f>
        <v>30.26</v>
      </c>
      <c r="H73" s="106" cm="1">
        <f t="array" aca="1" ref="H73" ca="1">_FV(RTData[[#This Row],[Company Name]],"Price")</f>
        <v>29.49</v>
      </c>
      <c r="I73" s="106" cm="1">
        <f t="array" aca="1" ref="I73" ca="1">IFERROR(_FV(RTData[[#This Row],[Company Name]],"Low"),0)</f>
        <v>29.06</v>
      </c>
      <c r="J73" s="106" cm="1">
        <f t="array" aca="1" ref="J73" ca="1">IFERROR(_FV(RTData[[#This Row],[Company Name]],"High"),0)</f>
        <v>30.39</v>
      </c>
      <c r="K73" s="19" cm="1">
        <f t="array" aca="1" ref="K73" ca="1">IFERROR(_FV(RTData[[#This Row],[Company Name]],"P/E",TRUE),99)</f>
        <v>0</v>
      </c>
      <c r="L73" s="20" cm="1">
        <f t="array" aca="1" ref="L73" ca="1">_FV(RTData[[#This Row],[Company Name]],"Change")</f>
        <v>-0.92</v>
      </c>
      <c r="M73" s="21" cm="1">
        <f t="array" aca="1" ref="M73" ca="1">_FV(RTData[[#This Row],[Company Name]],"Change (%)",TRUE)</f>
        <v>-3.0253000000000002E-2</v>
      </c>
      <c r="N73" s="106" cm="1">
        <f t="array" aca="1" ref="N73" ca="1">_FV(RTData[[#This Row],[Company Name]],"52 week low",TRUE)</f>
        <v>22.28</v>
      </c>
      <c r="O73" s="106" cm="1">
        <f t="array" aca="1" ref="O73" ca="1">_FV(RTData[[#This Row],[Company Name]],"52 week high",TRUE)</f>
        <v>48.92</v>
      </c>
      <c r="P73" s="22" cm="1">
        <f t="array" aca="1" ref="P73" ca="1">_FV(RTData[[#This Row],[Company Name]],"Volume")</f>
        <v>8895576</v>
      </c>
      <c r="Q73" s="22" cm="1">
        <f t="array" aca="1" ref="Q73" ca="1">_FV(RTData[[#This Row],[Company Name]],"Volume average",TRUE)</f>
        <v>9680338</v>
      </c>
      <c r="R73" s="106" cm="1">
        <f t="array" aca="1" ref="R73" ca="1">_FV(RTData[[#This Row],[Company Name]],"Beta")</f>
        <v>1.1827000000000001</v>
      </c>
      <c r="S73" t="s">
        <v>24</v>
      </c>
      <c r="T73" t="s">
        <v>25</v>
      </c>
      <c r="U73" t="str" cm="1">
        <f t="array" aca="1" ref="U73" ca="1">_FV(RTData[[#This Row],[Company Name]],"Exchange abbreviation",TRUE)</f>
        <v>XNAS</v>
      </c>
      <c r="V73" s="23">
        <f ca="1">IFERROR(RTData[[#This Row],[Volume]]/RTData[[#This Row],[Volume average]],1)</f>
        <v>0.91893237612157752</v>
      </c>
      <c r="W73" s="23"/>
      <c r="X73" s="96">
        <f ca="1">_xlfn.XLOOKUP(RTData[[#This Row],[Ticker_Symbol]],TickerList!$G72:$G166,TickerList!L72:L166)</f>
        <v>36.75</v>
      </c>
      <c r="Y73" s="89">
        <f ca="1">_xlfn.XLOOKUP(RTData[[#This Row],[Ticker_Symbol]],TickerList!$G72:$G166,TickerList!M72:M166)</f>
        <v>0</v>
      </c>
      <c r="Z73" s="89">
        <f ca="1">_xlfn.XLOOKUP(RTData[[#This Row],[Ticker_Symbol]],TickerList!$G72:$G166,TickerList!N72:N166)</f>
        <v>0</v>
      </c>
      <c r="AA73" s="90">
        <f ca="1">_xlfn.XLOOKUP(RTData[[#This Row],[Ticker_Symbol]],TickerList!$G72:$G166,TickerList!O72:O166)</f>
        <v>0</v>
      </c>
      <c r="AB73" s="91">
        <v>1E-4</v>
      </c>
      <c r="AC73" s="92">
        <f t="shared" si="10"/>
        <v>3.0000000000000001E-3</v>
      </c>
      <c r="AD73" s="78">
        <v>99.83</v>
      </c>
      <c r="AE73" s="93">
        <f ca="1">_xlfn.LET(_xlpm.New1YT,RTData[[#This Row],[1YT]],        _xlpm.Old1YT,IF(ISNUMBER(RTData[[#This Row],[Old1YT]]),RTData[[#This Row],[Old1YT]],VALUE(LEFT(RTData[[#This Row],[Old1YT]],FIND("/",RTData[[#This Row],[Old1YT]],1)-1))),       IF(OR(RTData[[#This Row],[1YT]]=0,_xlpm.Old1YT=0),0,(_xlpm.New1YT-_xlpm.Old1YT)/_xlpm.Old1YT))</f>
        <v>-0.6318741861163979</v>
      </c>
      <c r="AF73" s="93" t="str">
        <f ca="1">TEXT(RTData[[#This Row],[1YT]],"#,#0.00")&amp;" &lt; "&amp;RTData[[#This Row],[Old1YT]]</f>
        <v>36.75 &lt; 99.83</v>
      </c>
    </row>
    <row r="74" spans="1:32" x14ac:dyDescent="0.3">
      <c r="A74" s="32" t="str" cm="1">
        <f t="array" aca="1" ref="A74" ca="1">_xlfn.SINGLE(RTData[suffix])&amp;_FV(RTData[[#This Row],[Company Name]],"Ticker symbol",TRUE)</f>
        <v>BLNK</v>
      </c>
      <c r="B74" s="32">
        <f ca="1">D$100</f>
        <v>0.85142613878246054</v>
      </c>
      <c r="C74" t="e" vm="57">
        <v>#VALUE!</v>
      </c>
      <c r="D74" s="104" t="str" cm="1">
        <f t="array" aca="1" ref="D74" ca="1">_FV(RTData[[#This Row],[Company Name]],"Currency")</f>
        <v>USD</v>
      </c>
      <c r="E74" s="17" cm="1">
        <f t="array" aca="1" ref="E74" ca="1">_FV(RTData[[#This Row],[Company Name]],"Last trade time",TRUE)</f>
        <v>46022.929295647657</v>
      </c>
      <c r="F74" s="106" cm="1">
        <f t="array" aca="1" ref="F74" ca="1">_FV(RTData[[#This Row],[Company Name]],"Previous close",TRUE)</f>
        <v>0.64419999999999999</v>
      </c>
      <c r="G74" s="106" cm="1">
        <f t="array" aca="1" ref="G74" ca="1">IFERROR(_FV(RTData[[#This Row],[Company Name]],"Open"),RTData[[#This Row],[Close]])</f>
        <v>0.64180000000000004</v>
      </c>
      <c r="H74" s="106" cm="1">
        <f t="array" aca="1" ref="H74" ca="1">_FV(RTData[[#This Row],[Company Name]],"Price")</f>
        <v>0.66700000000000004</v>
      </c>
      <c r="I74" s="106" cm="1">
        <f t="array" aca="1" ref="I74" ca="1">IFERROR(_FV(RTData[[#This Row],[Company Name]],"Low"),0)</f>
        <v>0.64</v>
      </c>
      <c r="J74" s="106" cm="1">
        <f t="array" aca="1" ref="J74" ca="1">IFERROR(_FV(RTData[[#This Row],[Company Name]],"High"),0)</f>
        <v>0.68859999999999999</v>
      </c>
      <c r="K74" s="19" cm="1">
        <f t="array" aca="1" ref="K74" ca="1">IFERROR(_FV(RTData[[#This Row],[Company Name]],"P/E",TRUE),99)</f>
        <v>0</v>
      </c>
      <c r="L74" s="20" cm="1">
        <f t="array" aca="1" ref="L74" ca="1">_FV(RTData[[#This Row],[Company Name]],"Change")</f>
        <v>2.2800000000000001E-2</v>
      </c>
      <c r="M74" s="21" cm="1">
        <f t="array" aca="1" ref="M74" ca="1">_FV(RTData[[#This Row],[Company Name]],"Change (%)",TRUE)</f>
        <v>3.5393000000000001E-2</v>
      </c>
      <c r="N74" s="106" cm="1">
        <f t="array" aca="1" ref="N74" ca="1">_FV(RTData[[#This Row],[Company Name]],"52 week low",TRUE)</f>
        <v>0.63</v>
      </c>
      <c r="O74" s="106" cm="1">
        <f t="array" aca="1" ref="O74" ca="1">_FV(RTData[[#This Row],[Company Name]],"52 week high",TRUE)</f>
        <v>2.6499000000000001</v>
      </c>
      <c r="P74" s="22" cm="1">
        <f t="array" aca="1" ref="P74" ca="1">_FV(RTData[[#This Row],[Company Name]],"Volume")</f>
        <v>3605037</v>
      </c>
      <c r="Q74" s="22" cm="1">
        <f t="array" aca="1" ref="Q74" ca="1">_FV(RTData[[#This Row],[Company Name]],"Volume average",TRUE)</f>
        <v>6738431</v>
      </c>
      <c r="R74" s="106" cm="1">
        <f t="array" aca="1" ref="R74" ca="1">_FV(RTData[[#This Row],[Company Name]],"Beta")</f>
        <v>1.7532000000000001</v>
      </c>
      <c r="T74" t="s">
        <v>25</v>
      </c>
      <c r="U74" t="str" cm="1">
        <f t="array" aca="1" ref="U74" ca="1">_FV(RTData[[#This Row],[Company Name]],"Exchange abbreviation",TRUE)</f>
        <v>XNAS</v>
      </c>
      <c r="V74" s="23">
        <f ca="1">IFERROR(RTData[[#This Row],[Volume]]/RTData[[#This Row],[Volume average]],1)</f>
        <v>0.53499649992706022</v>
      </c>
      <c r="W74" s="23"/>
      <c r="X74" s="96">
        <f ca="1">_xlfn.XLOOKUP(RTData[[#This Row],[Ticker_Symbol]],TickerList!$G73:$G167,TickerList!L73:L167)</f>
        <v>2.4</v>
      </c>
      <c r="Y74" s="89">
        <f ca="1">_xlfn.XLOOKUP(RTData[[#This Row],[Ticker_Symbol]],TickerList!$G73:$G167,TickerList!M73:M167)</f>
        <v>0</v>
      </c>
      <c r="Z74" s="89">
        <f ca="1">_xlfn.XLOOKUP(RTData[[#This Row],[Ticker_Symbol]],TickerList!$G73:$G167,TickerList!N73:N167)</f>
        <v>0</v>
      </c>
      <c r="AA74" s="90">
        <f ca="1">_xlfn.XLOOKUP(RTData[[#This Row],[Ticker_Symbol]],TickerList!$G73:$G167,TickerList!O73:O167)</f>
        <v>0</v>
      </c>
      <c r="AB74" s="91">
        <v>1E-4</v>
      </c>
      <c r="AC74" s="92">
        <f t="shared" si="10"/>
        <v>3.0000000000000001E-3</v>
      </c>
      <c r="AD74" s="78" t="s">
        <v>58</v>
      </c>
      <c r="AE74" s="93">
        <f ca="1">_xlfn.LET(_xlpm.New1YT,RTData[[#This Row],[1YT]],        _xlpm.Old1YT,IF(ISNUMBER(RTData[[#This Row],[Old1YT]]),RTData[[#This Row],[Old1YT]],VALUE(LEFT(RTData[[#This Row],[Old1YT]],FIND("/",RTData[[#This Row],[Old1YT]],1)-1))),       IF(OR(RTData[[#This Row],[1YT]]=0,_xlpm.Old1YT=0),0,(_xlpm.New1YT-_xlpm.Old1YT)/_xlpm.Old1YT))</f>
        <v>6.6666666666666624E-2</v>
      </c>
      <c r="AF74" s="93" t="str">
        <f ca="1">TEXT(RTData[[#This Row],[1YT]],"#,#0.00")&amp;" &lt; "&amp;RTData[[#This Row],[Old1YT]]</f>
        <v>2.40 &lt; 2.25/3.94</v>
      </c>
    </row>
    <row r="75" spans="1:32" x14ac:dyDescent="0.3">
      <c r="A75" s="32" t="str" cm="1">
        <f t="array" aca="1" ref="A75" ca="1">_xlfn.SINGLE(RTData[suffix])&amp;_FV(RTData[[#This Row],[Company Name]],"Ticker symbol",TRUE)</f>
        <v>ENI</v>
      </c>
      <c r="B75" s="32">
        <v>1</v>
      </c>
      <c r="C75" t="e" vm="54">
        <v>#VALUE!</v>
      </c>
      <c r="D75" s="104" t="str" cm="1">
        <f t="array" aca="1" ref="D75" ca="1">_FV(RTData[[#This Row],[Company Name]],"Currency")</f>
        <v>EUR</v>
      </c>
      <c r="E75" s="17" cm="1">
        <f t="array" aca="1" ref="E75" ca="1">_FV(RTData[[#This Row],[Company Name]],"Last trade time",TRUE)</f>
        <v>46021.084363425929</v>
      </c>
      <c r="F75" s="106" cm="1">
        <f t="array" aca="1" ref="F75" ca="1">_FV(RTData[[#This Row],[Company Name]],"Previous close",TRUE)</f>
        <v>15.976000000000001</v>
      </c>
      <c r="G75" s="106" cm="1">
        <f t="array" aca="1" ref="G75" ca="1">IFERROR(_FV(RTData[[#This Row],[Company Name]],"Open"),RTData[[#This Row],[Close]])</f>
        <v>16.010000000000002</v>
      </c>
      <c r="H75" s="106" cm="1">
        <f t="array" aca="1" ref="H75" ca="1">_FV(RTData[[#This Row],[Company Name]],"Price")</f>
        <v>16.14</v>
      </c>
      <c r="I75" s="106" cm="1">
        <f t="array" aca="1" ref="I75" ca="1">IFERROR(_FV(RTData[[#This Row],[Company Name]],"Low"),0)</f>
        <v>16.007999999999999</v>
      </c>
      <c r="J75" s="106" cm="1">
        <f t="array" aca="1" ref="J75" ca="1">IFERROR(_FV(RTData[[#This Row],[Company Name]],"High"),0)</f>
        <v>16.164000000000001</v>
      </c>
      <c r="K75" s="19" cm="1">
        <f t="array" aca="1" ref="K75" ca="1">IFERROR(_FV(RTData[[#This Row],[Company Name]],"P/E",TRUE),99)</f>
        <v>17.824400000000001</v>
      </c>
      <c r="L75" s="20" cm="1">
        <f t="array" aca="1" ref="L75" ca="1">_FV(RTData[[#This Row],[Company Name]],"Change")</f>
        <v>0.16400000000000001</v>
      </c>
      <c r="M75" s="21" cm="1">
        <f t="array" aca="1" ref="M75" ca="1">_FV(RTData[[#This Row],[Company Name]],"Change (%)",TRUE)</f>
        <v>1.0265E-2</v>
      </c>
      <c r="N75" s="106" cm="1">
        <f t="array" aca="1" ref="N75" ca="1">_FV(RTData[[#This Row],[Company Name]],"52 week low",TRUE)</f>
        <v>11.01</v>
      </c>
      <c r="O75" s="106" cm="1">
        <f t="array" aca="1" ref="O75" ca="1">_FV(RTData[[#This Row],[Company Name]],"52 week high",TRUE)</f>
        <v>16.61</v>
      </c>
      <c r="P75" s="22" cm="1">
        <f t="array" aca="1" ref="P75" ca="1">_FV(RTData[[#This Row],[Company Name]],"Volume")</f>
        <v>8041391</v>
      </c>
      <c r="Q75" s="22" cm="1">
        <f t="array" aca="1" ref="Q75" ca="1">_FV(RTData[[#This Row],[Company Name]],"Volume average",TRUE)</f>
        <v>9732570</v>
      </c>
      <c r="R75" s="106" cm="1">
        <f t="array" aca="1" ref="R75" ca="1">_FV(RTData[[#This Row],[Company Name]],"Beta")</f>
        <v>0.82340000000000002</v>
      </c>
      <c r="T75" t="s">
        <v>25</v>
      </c>
      <c r="U75" t="str" cm="1">
        <f t="array" aca="1" ref="U75" ca="1">_FV(RTData[[#This Row],[Company Name]],"Exchange abbreviation",TRUE)</f>
        <v>XMIL</v>
      </c>
      <c r="V75" s="23">
        <f ca="1">IFERROR(RTData[[#This Row],[Volume]]/RTData[[#This Row],[Volume average]],1)</f>
        <v>0.82623510542436374</v>
      </c>
      <c r="W75" s="23"/>
      <c r="X75" s="96">
        <f ca="1">_xlfn.XLOOKUP(RTData[[#This Row],[Ticker_Symbol]],TickerList!$G74:$G168,TickerList!L74:L168)</f>
        <v>16.536359999999998</v>
      </c>
      <c r="Y75" s="89">
        <f ca="1">_xlfn.XLOOKUP(RTData[[#This Row],[Ticker_Symbol]],TickerList!$G74:$G168,TickerList!M74:M168)</f>
        <v>45985</v>
      </c>
      <c r="Z75" s="89">
        <f ca="1">_xlfn.XLOOKUP(RTData[[#This Row],[Ticker_Symbol]],TickerList!$G74:$G168,TickerList!N74:N168)</f>
        <v>0</v>
      </c>
      <c r="AA75" s="90">
        <f ca="1">_xlfn.XLOOKUP(RTData[[#This Row],[Ticker_Symbol]],TickerList!$G74:$G168,TickerList!O74:O168)</f>
        <v>6.5100000000000005E-2</v>
      </c>
      <c r="AB75" s="91"/>
      <c r="AC75" s="92">
        <f t="shared" si="10"/>
        <v>3.0000000000000001E-3</v>
      </c>
      <c r="AD75" s="78" t="s">
        <v>65</v>
      </c>
      <c r="AE75" s="93">
        <f ca="1">_xlfn.LET(_xlpm.New1YT,RTData[[#This Row],[1YT]],        _xlpm.Old1YT,IF(ISNUMBER(RTData[[#This Row],[Old1YT]]),RTData[[#This Row],[Old1YT]],VALUE(LEFT(RTData[[#This Row],[Old1YT]],FIND("/",RTData[[#This Row],[Old1YT]],1)-1))),       IF(OR(RTData[[#This Row],[1YT]]=0,_xlpm.Old1YT=0),0,(_xlpm.New1YT-_xlpm.Old1YT)/_xlpm.Old1YT))</f>
        <v>0.12415771583956475</v>
      </c>
      <c r="AF75" s="93" t="str">
        <f ca="1">TEXT(RTData[[#This Row],[1YT]],"#,#0.00")&amp;" &lt; "&amp;RTData[[#This Row],[Old1YT]]</f>
        <v>16.54 &lt; 14.71/14.81/16.46</v>
      </c>
    </row>
    <row r="76" spans="1:32" ht="22" customHeight="1" x14ac:dyDescent="0.3">
      <c r="A76" s="32" t="str" cm="1">
        <f t="array" aca="1" ref="A76" ca="1">_xlfn.SINGLE(RTData[suffix])&amp;_FV(RTData[[#This Row],[Company Name]],"Ticker symbol",TRUE)</f>
        <v>EZJ</v>
      </c>
      <c r="B76" s="15">
        <f ca="1">D102/100</f>
        <v>1.1473152822395593E-2</v>
      </c>
      <c r="C76" t="e" vm="58">
        <v>#VALUE!</v>
      </c>
      <c r="D76" s="104" t="str" cm="1">
        <f t="array" aca="1" ref="D76" ca="1">_FV(RTData[[#This Row],[Company Name]],"Currency")</f>
        <v>GBp</v>
      </c>
      <c r="E76" s="17" cm="1">
        <f t="array" aca="1" ref="E76" ca="1">_FV(RTData[[#This Row],[Company Name]],"Last trade time",TRUE)</f>
        <v>46022.588400717184</v>
      </c>
      <c r="F76" s="106" cm="1">
        <f t="array" aca="1" ref="F76" ca="1">_FV(RTData[[#This Row],[Company Name]],"Previous close",TRUE)</f>
        <v>510.6</v>
      </c>
      <c r="G76" s="106" cm="1">
        <f t="array" aca="1" ref="G76" ca="1">IFERROR(_FV(RTData[[#This Row],[Company Name]],"Open"),RTData[[#This Row],[Close]])</f>
        <v>509.8</v>
      </c>
      <c r="H76" s="106" cm="1">
        <f t="array" aca="1" ref="H76" ca="1">_FV(RTData[[#This Row],[Company Name]],"Price")</f>
        <v>510.6</v>
      </c>
      <c r="I76" s="106" cm="1">
        <f t="array" aca="1" ref="I76" ca="1">IFERROR(_FV(RTData[[#This Row],[Company Name]],"Low"),0)</f>
        <v>506.2</v>
      </c>
      <c r="J76" s="106" cm="1">
        <f t="array" aca="1" ref="J76" ca="1">IFERROR(_FV(RTData[[#This Row],[Company Name]],"High"),0)</f>
        <v>510.6</v>
      </c>
      <c r="K76" s="19" cm="1">
        <f t="array" aca="1" ref="K76" ca="1">IFERROR(_FV(RTData[[#This Row],[Company Name]],"P/E",TRUE),99)</f>
        <v>7.7563000000000004</v>
      </c>
      <c r="L76" s="20" cm="1">
        <f t="array" aca="1" ref="L76" ca="1">_FV(RTData[[#This Row],[Company Name]],"Change")</f>
        <v>0</v>
      </c>
      <c r="M76" s="21" cm="1">
        <f t="array" aca="1" ref="M76" ca="1">_FV(RTData[[#This Row],[Company Name]],"Change (%)",TRUE)</f>
        <v>0</v>
      </c>
      <c r="N76" s="106" cm="1">
        <f t="array" aca="1" ref="N76" ca="1">_FV(RTData[[#This Row],[Company Name]],"52 week low",TRUE)</f>
        <v>401.05</v>
      </c>
      <c r="O76" s="106" cm="1">
        <f t="array" aca="1" ref="O76" ca="1">_FV(RTData[[#This Row],[Company Name]],"52 week high",TRUE)</f>
        <v>590.6</v>
      </c>
      <c r="P76" s="22" cm="1">
        <f t="array" aca="1" ref="P76" ca="1">_FV(RTData[[#This Row],[Company Name]],"Volume")</f>
        <v>547404</v>
      </c>
      <c r="Q76" s="22" cm="1">
        <f t="array" aca="1" ref="Q76" ca="1">_FV(RTData[[#This Row],[Company Name]],"Volume average",TRUE)</f>
        <v>4038540</v>
      </c>
      <c r="R76" s="106" cm="1">
        <f t="array" aca="1" ref="R76" ca="1">_FV(RTData[[#This Row],[Company Name]],"Beta")</f>
        <v>2.2532999999999999</v>
      </c>
      <c r="T76" t="s">
        <v>25</v>
      </c>
      <c r="U76" t="str" cm="1">
        <f t="array" aca="1" ref="U76" ca="1">_FV(RTData[[#This Row],[Company Name]],"Exchange abbreviation",TRUE)</f>
        <v>XLON</v>
      </c>
      <c r="V76" s="23">
        <f ca="1">IFERROR(RTData[[#This Row],[Volume]]/RTData[[#This Row],[Volume average]],1)</f>
        <v>0.13554502369668248</v>
      </c>
      <c r="W76" s="23"/>
      <c r="X76" s="96">
        <f ca="1">_xlfn.XLOOKUP(RTData[[#This Row],[Ticker_Symbol]],TickerList!$G75:$G169,TickerList!L75:L169)</f>
        <v>607.63199999999995</v>
      </c>
      <c r="Y76" s="89">
        <f ca="1">_xlfn.XLOOKUP(RTData[[#This Row],[Ticker_Symbol]],TickerList!$G75:$G169,TickerList!M75:M169)</f>
        <v>46072</v>
      </c>
      <c r="Z76" s="89">
        <f ca="1">_xlfn.XLOOKUP(RTData[[#This Row],[Ticker_Symbol]],TickerList!$G75:$G169,TickerList!N75:N169)</f>
        <v>0</v>
      </c>
      <c r="AA76" s="90">
        <f ca="1">_xlfn.XLOOKUP(RTData[[#This Row],[Ticker_Symbol]],TickerList!$G75:$G169,TickerList!O75:O169)</f>
        <v>2.6099998999999999E-2</v>
      </c>
      <c r="AB76" s="91"/>
      <c r="AC76" s="92">
        <f t="shared" si="10"/>
        <v>3.0000000000000001E-3</v>
      </c>
      <c r="AD76" s="78" t="s">
        <v>66</v>
      </c>
      <c r="AE76" s="93">
        <f ca="1">_xlfn.LET(_xlpm.New1YT,RTData[[#This Row],[1YT]],        _xlpm.Old1YT,IF(ISNUMBER(RTData[[#This Row],[Old1YT]]),RTData[[#This Row],[Old1YT]],VALUE(LEFT(RTData[[#This Row],[Old1YT]],FIND("/",RTData[[#This Row],[Old1YT]],1)-1))),       IF(OR(RTData[[#This Row],[1YT]]=0,_xlpm.Old1YT=0),0,(_xlpm.New1YT-_xlpm.Old1YT)/_xlpm.Old1YT))</f>
        <v>-0.12860564168017094</v>
      </c>
      <c r="AF76" s="93" t="str">
        <f ca="1">TEXT(RTData[[#This Row],[1YT]],"#,#0.00")&amp;" &lt; "&amp;RTData[[#This Row],[Old1YT]]</f>
        <v>607.63 &lt; 697.31/682.94</v>
      </c>
    </row>
    <row r="77" spans="1:32" ht="22" customHeight="1" x14ac:dyDescent="0.3">
      <c r="A77" s="32" t="str" cm="1">
        <f t="array" aca="1" ref="A77" ca="1">_xlfn.SINGLE(RTData[suffix])&amp;_FV(RTData[[#This Row],[Company Name]],"Ticker symbol",TRUE)</f>
        <v>F</v>
      </c>
      <c r="B77" s="32">
        <f ca="1">D$100</f>
        <v>0.85142613878246054</v>
      </c>
      <c r="C77" t="e" vm="59">
        <v>#VALUE!</v>
      </c>
      <c r="D77" s="104" t="str" cm="1">
        <f t="array" aca="1" ref="D77" ca="1">_FV(RTData[[#This Row],[Company Name]],"Currency")</f>
        <v>USD</v>
      </c>
      <c r="E77" s="17" cm="1">
        <f t="array" aca="1" ref="E77" ca="1">_FV(RTData[[#This Row],[Company Name]],"Last trade time",TRUE)</f>
        <v>46022.930741758595</v>
      </c>
      <c r="F77" s="106" cm="1">
        <f t="array" aca="1" ref="F77" ca="1">_FV(RTData[[#This Row],[Company Name]],"Previous close",TRUE)</f>
        <v>13.23</v>
      </c>
      <c r="G77" s="106" cm="1">
        <f t="array" aca="1" ref="G77" ca="1">IFERROR(_FV(RTData[[#This Row],[Company Name]],"Open"),RTData[[#This Row],[Close]])</f>
        <v>13.21</v>
      </c>
      <c r="H77" s="106" cm="1">
        <f t="array" aca="1" ref="H77" ca="1">_FV(RTData[[#This Row],[Company Name]],"Price")</f>
        <v>13.135</v>
      </c>
      <c r="I77" s="106" cm="1">
        <f t="array" aca="1" ref="I77" ca="1">IFERROR(_FV(RTData[[#This Row],[Company Name]],"Low"),0)</f>
        <v>13.12</v>
      </c>
      <c r="J77" s="106" cm="1">
        <f t="array" aca="1" ref="J77" ca="1">IFERROR(_FV(RTData[[#This Row],[Company Name]],"High"),0)</f>
        <v>13.22</v>
      </c>
      <c r="K77" s="19" cm="1">
        <f t="array" aca="1" ref="K77" ca="1">IFERROR(_FV(RTData[[#This Row],[Company Name]],"P/E",TRUE),99)</f>
        <v>11.279500000000001</v>
      </c>
      <c r="L77" s="20" cm="1">
        <f t="array" aca="1" ref="L77" ca="1">_FV(RTData[[#This Row],[Company Name]],"Change")</f>
        <v>-9.5000000000000001E-2</v>
      </c>
      <c r="M77" s="21" cm="1">
        <f t="array" aca="1" ref="M77" ca="1">_FV(RTData[[#This Row],[Company Name]],"Change (%)",TRUE)</f>
        <v>-7.1809999999999999E-3</v>
      </c>
      <c r="N77" s="106" cm="1">
        <f t="array" aca="1" ref="N77" ca="1">_FV(RTData[[#This Row],[Company Name]],"52 week low",TRUE)</f>
        <v>8.4405999999999999</v>
      </c>
      <c r="O77" s="106" cm="1">
        <f t="array" aca="1" ref="O77" ca="1">_FV(RTData[[#This Row],[Company Name]],"52 week high",TRUE)</f>
        <v>13.99</v>
      </c>
      <c r="P77" s="22" cm="1">
        <f t="array" aca="1" ref="P77" ca="1">_FV(RTData[[#This Row],[Company Name]],"Volume")</f>
        <v>26087457</v>
      </c>
      <c r="Q77" s="22" cm="1">
        <f t="array" aca="1" ref="Q77" ca="1">_FV(RTData[[#This Row],[Company Name]],"Volume average",TRUE)</f>
        <v>45249776</v>
      </c>
      <c r="R77" s="106" cm="1">
        <f t="array" aca="1" ref="R77" ca="1">_FV(RTData[[#This Row],[Company Name]],"Beta")</f>
        <v>1.6213</v>
      </c>
      <c r="T77" t="s">
        <v>25</v>
      </c>
      <c r="U77" t="str" cm="1">
        <f t="array" aca="1" ref="U77" ca="1">_FV(RTData[[#This Row],[Company Name]],"Exchange abbreviation",TRUE)</f>
        <v>XNYS</v>
      </c>
      <c r="V77" s="23">
        <f ca="1">IFERROR(RTData[[#This Row],[Volume]]/RTData[[#This Row],[Volume average]],1)</f>
        <v>0.57652124067973287</v>
      </c>
      <c r="W77" s="23"/>
      <c r="X77" s="96">
        <f ca="1">_xlfn.XLOOKUP(RTData[[#This Row],[Ticker_Symbol]],TickerList!$G76:$G170,TickerList!L76:L170)</f>
        <v>12.998419999999999</v>
      </c>
      <c r="Y77" s="89">
        <f ca="1">_xlfn.XLOOKUP(RTData[[#This Row],[Ticker_Symbol]],TickerList!$G76:$G170,TickerList!M76:M170)</f>
        <v>45968</v>
      </c>
      <c r="Z77" s="89">
        <f ca="1">_xlfn.XLOOKUP(RTData[[#This Row],[Ticker_Symbol]],TickerList!$G76:$G170,TickerList!N76:N170)</f>
        <v>0</v>
      </c>
      <c r="AA77" s="90">
        <f ca="1">_xlfn.XLOOKUP(RTData[[#This Row],[Ticker_Symbol]],TickerList!$G76:$G170,TickerList!O76:O170)</f>
        <v>4.5199999999999997E-2</v>
      </c>
      <c r="AB77" s="91">
        <v>1E-4</v>
      </c>
      <c r="AC77" s="92">
        <f t="shared" si="10"/>
        <v>3.0000000000000001E-3</v>
      </c>
      <c r="AD77" s="78" t="s">
        <v>67</v>
      </c>
      <c r="AE77" s="93">
        <f ca="1">_xlfn.LET(_xlpm.New1YT,RTData[[#This Row],[1YT]],        _xlpm.Old1YT,IF(ISNUMBER(RTData[[#This Row],[Old1YT]]),RTData[[#This Row],[Old1YT]],VALUE(LEFT(RTData[[#This Row],[Old1YT]],FIND("/",RTData[[#This Row],[Old1YT]],1)-1))),       IF(OR(RTData[[#This Row],[1YT]]=0,_xlpm.Old1YT=0),0,(_xlpm.New1YT-_xlpm.Old1YT)/_xlpm.Old1YT))</f>
        <v>0.25346383799421413</v>
      </c>
      <c r="AF77" s="93" t="str">
        <f ca="1">TEXT(RTData[[#This Row],[1YT]],"#,#0.00")&amp;" &lt; "&amp;RTData[[#This Row],[Old1YT]]</f>
        <v>13.00 &lt; 10.37/12.18</v>
      </c>
    </row>
    <row r="78" spans="1:32" ht="22" customHeight="1" x14ac:dyDescent="0.3">
      <c r="A78" s="32" t="str" cm="1">
        <f t="array" aca="1" ref="A78" ca="1">_xlfn.SINGLE(RTData[suffix])&amp;_FV(RTData[[#This Row],[Company Name]],"Ticker symbol",TRUE)</f>
        <v>GLE</v>
      </c>
      <c r="B78" s="32">
        <v>1</v>
      </c>
      <c r="C78" t="e" vm="55">
        <v>#VALUE!</v>
      </c>
      <c r="D78" s="104" t="str" cm="1">
        <f t="array" aca="1" ref="D78" ca="1">_FV(RTData[[#This Row],[Company Name]],"Currency")</f>
        <v>EUR</v>
      </c>
      <c r="E78" s="17" cm="1">
        <f t="array" aca="1" ref="E78" ca="1">_FV(RTData[[#This Row],[Company Name]],"Last trade time",TRUE)</f>
        <v>46022.708333333336</v>
      </c>
      <c r="F78" s="106" cm="1">
        <f t="array" aca="1" ref="F78" ca="1">_FV(RTData[[#This Row],[Company Name]],"Previous close",TRUE)</f>
        <v>69.400000000000006</v>
      </c>
      <c r="G78" s="106" cm="1">
        <f t="array" aca="1" ref="G78" ca="1">IFERROR(_FV(RTData[[#This Row],[Company Name]],"Open"),RTData[[#This Row],[Close]])</f>
        <v>69.06</v>
      </c>
      <c r="H78" s="106" cm="1">
        <f t="array" aca="1" ref="H78" ca="1">_FV(RTData[[#This Row],[Company Name]],"Price")</f>
        <v>68.72</v>
      </c>
      <c r="I78" s="106" cm="1">
        <f t="array" aca="1" ref="I78" ca="1">IFERROR(_FV(RTData[[#This Row],[Company Name]],"Low"),0)</f>
        <v>68.260000000000005</v>
      </c>
      <c r="J78" s="106" cm="1">
        <f t="array" aca="1" ref="J78" ca="1">IFERROR(_FV(RTData[[#This Row],[Company Name]],"High"),0)</f>
        <v>69.12</v>
      </c>
      <c r="K78" s="19" cm="1">
        <f t="array" aca="1" ref="K78" ca="1">IFERROR(_FV(RTData[[#This Row],[Company Name]],"P/E",TRUE),99)</f>
        <v>11.0045</v>
      </c>
      <c r="L78" s="20" cm="1">
        <f t="array" aca="1" ref="L78" ca="1">_FV(RTData[[#This Row],[Company Name]],"Change")</f>
        <v>-0.68</v>
      </c>
      <c r="M78" s="21" cm="1">
        <f t="array" aca="1" ref="M78" ca="1">_FV(RTData[[#This Row],[Company Name]],"Change (%)",TRUE)</f>
        <v>-9.7979999999999994E-3</v>
      </c>
      <c r="N78" s="106" cm="1">
        <f t="array" aca="1" ref="N78" ca="1">_FV(RTData[[#This Row],[Company Name]],"52 week low",TRUE)</f>
        <v>26.39</v>
      </c>
      <c r="O78" s="106" cm="1">
        <f t="array" aca="1" ref="O78" ca="1">_FV(RTData[[#This Row],[Company Name]],"52 week high",TRUE)</f>
        <v>69.52</v>
      </c>
      <c r="P78" s="22" cm="1">
        <f t="array" aca="1" ref="P78" ca="1">_FV(RTData[[#This Row],[Company Name]],"Volume")</f>
        <v>507008</v>
      </c>
      <c r="Q78" s="22" cm="1">
        <f t="array" aca="1" ref="Q78" ca="1">_FV(RTData[[#This Row],[Company Name]],"Volume average",TRUE)</f>
        <v>2172650</v>
      </c>
      <c r="R78" s="106" cm="1">
        <f t="array" aca="1" ref="R78" ca="1">_FV(RTData[[#This Row],[Company Name]],"Beta")</f>
        <v>1.3692</v>
      </c>
      <c r="T78" t="s">
        <v>25</v>
      </c>
      <c r="U78" t="str" cm="1">
        <f t="array" aca="1" ref="U78" ca="1">_FV(RTData[[#This Row],[Company Name]],"Exchange abbreviation",TRUE)</f>
        <v>XPAR</v>
      </c>
      <c r="V78" s="23">
        <f ca="1">IFERROR(RTData[[#This Row],[Volume]]/RTData[[#This Row],[Volume average]],1)</f>
        <v>0.23335926173106575</v>
      </c>
      <c r="W78" s="23"/>
      <c r="X78" s="96">
        <f ca="1">_xlfn.XLOOKUP(RTData[[#This Row],[Ticker_Symbol]],TickerList!$G77:$G171,TickerList!L77:L171)</f>
        <v>68.422219999999996</v>
      </c>
      <c r="Y78" s="89">
        <f ca="1">_xlfn.XLOOKUP(RTData[[#This Row],[Ticker_Symbol]],TickerList!$G77:$G171,TickerList!M77:M171)</f>
        <v>45937</v>
      </c>
      <c r="Z78" s="89">
        <f ca="1">_xlfn.XLOOKUP(RTData[[#This Row],[Ticker_Symbol]],TickerList!$G77:$G171,TickerList!N77:N171)</f>
        <v>0</v>
      </c>
      <c r="AA78" s="90">
        <f ca="1">_xlfn.XLOOKUP(RTData[[#This Row],[Ticker_Symbol]],TickerList!$G77:$G171,TickerList!O77:O171)</f>
        <v>2.5000000000000001E-2</v>
      </c>
      <c r="AB78" s="91"/>
      <c r="AC78" s="92">
        <f t="shared" si="10"/>
        <v>3.0000000000000001E-3</v>
      </c>
      <c r="AD78" s="78" t="s">
        <v>68</v>
      </c>
      <c r="AE78" s="93">
        <f ca="1">_xlfn.LET(_xlpm.New1YT,RTData[[#This Row],[1YT]],        _xlpm.Old1YT,IF(ISNUMBER(RTData[[#This Row],[Old1YT]]),RTData[[#This Row],[Old1YT]],VALUE(LEFT(RTData[[#This Row],[Old1YT]],FIND("/",RTData[[#This Row],[Old1YT]],1)-1))),       IF(OR(RTData[[#This Row],[1YT]]=0,_xlpm.Old1YT=0),0,(_xlpm.New1YT-_xlpm.Old1YT)/_xlpm.Old1YT))</f>
        <v>0.14475857453572014</v>
      </c>
      <c r="AF78" s="93" t="str">
        <f ca="1">TEXT(RTData[[#This Row],[1YT]],"#,#0.00")&amp;" &lt; "&amp;RTData[[#This Row],[Old1YT]]</f>
        <v>68.42 &lt; 59.77/51.92/30.4</v>
      </c>
    </row>
    <row r="79" spans="1:32" ht="22" customHeight="1" x14ac:dyDescent="0.3">
      <c r="A79" s="32" t="str" cm="1">
        <f t="array" aca="1" ref="A79" ca="1">_xlfn.SINGLE(RTData[suffix])&amp;_FV(RTData[[#This Row],[Company Name]],"Ticker symbol",TRUE)</f>
        <v>GNRC</v>
      </c>
      <c r="B79" s="32">
        <f ca="1">D$100</f>
        <v>0.85142613878246054</v>
      </c>
      <c r="C79" t="e" vm="60">
        <v>#VALUE!</v>
      </c>
      <c r="D79" s="104" t="str" cm="1">
        <f t="array" aca="1" ref="D79" ca="1">_FV(RTData[[#This Row],[Company Name]],"Currency")</f>
        <v>USD</v>
      </c>
      <c r="E79" s="17" cm="1">
        <f t="array" aca="1" ref="E79" ca="1">_FV(RTData[[#This Row],[Company Name]],"Last trade time",TRUE)</f>
        <v>46022.917837858593</v>
      </c>
      <c r="F79" s="106" cm="1">
        <f t="array" aca="1" ref="F79" ca="1">_FV(RTData[[#This Row],[Company Name]],"Previous close",TRUE)</f>
        <v>137.86000000000001</v>
      </c>
      <c r="G79" s="106" cm="1">
        <f t="array" aca="1" ref="G79" ca="1">IFERROR(_FV(RTData[[#This Row],[Company Name]],"Open"),RTData[[#This Row],[Close]])</f>
        <v>137.69999999999999</v>
      </c>
      <c r="H79" s="106" cm="1">
        <f t="array" aca="1" ref="H79" ca="1">_FV(RTData[[#This Row],[Company Name]],"Price")</f>
        <v>136.37</v>
      </c>
      <c r="I79" s="106" cm="1">
        <f t="array" aca="1" ref="I79" ca="1">IFERROR(_FV(RTData[[#This Row],[Company Name]],"Low"),0)</f>
        <v>136.25</v>
      </c>
      <c r="J79" s="106" cm="1">
        <f t="array" aca="1" ref="J79" ca="1">IFERROR(_FV(RTData[[#This Row],[Company Name]],"High"),0)</f>
        <v>138.47</v>
      </c>
      <c r="K79" s="19" cm="1">
        <f t="array" aca="1" ref="K79" ca="1">IFERROR(_FV(RTData[[#This Row],[Company Name]],"P/E",TRUE),99)</f>
        <v>25.948499999999999</v>
      </c>
      <c r="L79" s="20" cm="1">
        <f t="array" aca="1" ref="L79" ca="1">_FV(RTData[[#This Row],[Company Name]],"Change")</f>
        <v>-1.49</v>
      </c>
      <c r="M79" s="21" cm="1">
        <f t="array" aca="1" ref="M79" ca="1">_FV(RTData[[#This Row],[Company Name]],"Change (%)",TRUE)</f>
        <v>-1.0808E-2</v>
      </c>
      <c r="N79" s="106" cm="1">
        <f t="array" aca="1" ref="N79" ca="1">_FV(RTData[[#This Row],[Company Name]],"52 week low",TRUE)</f>
        <v>99.5</v>
      </c>
      <c r="O79" s="106" cm="1">
        <f t="array" aca="1" ref="O79" ca="1">_FV(RTData[[#This Row],[Company Name]],"52 week high",TRUE)</f>
        <v>203.2499</v>
      </c>
      <c r="P79" s="22" cm="1">
        <f t="array" aca="1" ref="P79" ca="1">_FV(RTData[[#This Row],[Company Name]],"Volume")</f>
        <v>625836</v>
      </c>
      <c r="Q79" s="22" cm="1">
        <f t="array" aca="1" ref="Q79" ca="1">_FV(RTData[[#This Row],[Company Name]],"Volume average",TRUE)</f>
        <v>951731</v>
      </c>
      <c r="R79" s="106" cm="1">
        <f t="array" aca="1" ref="R79" ca="1">_FV(RTData[[#This Row],[Company Name]],"Beta")</f>
        <v>1.8212999999999999</v>
      </c>
      <c r="T79" t="s">
        <v>25</v>
      </c>
      <c r="U79" t="str" cm="1">
        <f t="array" aca="1" ref="U79" ca="1">_FV(RTData[[#This Row],[Company Name]],"Exchange abbreviation",TRUE)</f>
        <v>XNYS</v>
      </c>
      <c r="V79" s="23">
        <f ca="1">IFERROR(RTData[[#This Row],[Volume]]/RTData[[#This Row],[Volume average]],1)</f>
        <v>0.65757656312550505</v>
      </c>
      <c r="W79" s="23"/>
      <c r="X79" s="96">
        <f ca="1">_xlfn.XLOOKUP(RTData[[#This Row],[Ticker_Symbol]],TickerList!$G78:$G172,TickerList!L78:L172)</f>
        <v>206.52940000000001</v>
      </c>
      <c r="Y79" s="89">
        <f ca="1">_xlfn.XLOOKUP(RTData[[#This Row],[Ticker_Symbol]],TickerList!$G78:$G172,TickerList!M78:M172)</f>
        <v>41435</v>
      </c>
      <c r="Z79" s="89">
        <f ca="1">_xlfn.XLOOKUP(RTData[[#This Row],[Ticker_Symbol]],TickerList!$G78:$G172,TickerList!N78:N172)</f>
        <v>0</v>
      </c>
      <c r="AA79" s="90">
        <f ca="1">_xlfn.XLOOKUP(RTData[[#This Row],[Ticker_Symbol]],TickerList!$G78:$G172,TickerList!O78:O172)</f>
        <v>0</v>
      </c>
      <c r="AB79" s="91">
        <v>1E-4</v>
      </c>
      <c r="AC79" s="92">
        <f t="shared" si="10"/>
        <v>3.0000000000000001E-3</v>
      </c>
      <c r="AD79" s="78">
        <v>157.18</v>
      </c>
      <c r="AE79" s="93">
        <f ca="1">_xlfn.LET(_xlpm.New1YT,RTData[[#This Row],[1YT]],        _xlpm.Old1YT,IF(ISNUMBER(RTData[[#This Row],[Old1YT]]),RTData[[#This Row],[Old1YT]],VALUE(LEFT(RTData[[#This Row],[Old1YT]],FIND("/",RTData[[#This Row],[Old1YT]],1)-1))),       IF(OR(RTData[[#This Row],[1YT]]=0,_xlpm.Old1YT=0),0,(_xlpm.New1YT-_xlpm.Old1YT)/_xlpm.Old1YT))</f>
        <v>0.31396742588115539</v>
      </c>
      <c r="AF79" s="93" t="str">
        <f ca="1">TEXT(RTData[[#This Row],[1YT]],"#,#0.00")&amp;" &lt; "&amp;RTData[[#This Row],[Old1YT]]</f>
        <v>206.53 &lt; 157.18</v>
      </c>
    </row>
    <row r="80" spans="1:32" ht="22" customHeight="1" x14ac:dyDescent="0.3">
      <c r="A80" s="32" t="str" cm="1">
        <f t="array" aca="1" ref="A80" ca="1">_xlfn.SINGLE(RTData[suffix])&amp;_FV(RTData[[#This Row],[Company Name]],"Ticker symbol",TRUE)</f>
        <v>GS</v>
      </c>
      <c r="B80" s="32">
        <f t="shared" ref="B80:B85" ca="1" si="12">D$100</f>
        <v>0.85142613878246054</v>
      </c>
      <c r="C80" t="e" vm="61">
        <v>#VALUE!</v>
      </c>
      <c r="D80" s="104" t="str" cm="1">
        <f t="array" aca="1" ref="D80" ca="1">_FV(RTData[[#This Row],[Company Name]],"Currency")</f>
        <v>USD</v>
      </c>
      <c r="E80" s="17" cm="1">
        <f t="array" aca="1" ref="E80" ca="1">_FV(RTData[[#This Row],[Company Name]],"Last trade time",TRUE)</f>
        <v>46022.926295022655</v>
      </c>
      <c r="F80" s="106" cm="1">
        <f t="array" aca="1" ref="F80" ca="1">_FV(RTData[[#This Row],[Company Name]],"Previous close",TRUE)</f>
        <v>884.42</v>
      </c>
      <c r="G80" s="106" cm="1">
        <f t="array" aca="1" ref="G80" ca="1">IFERROR(_FV(RTData[[#This Row],[Company Name]],"Open"),RTData[[#This Row],[Close]])</f>
        <v>884.1</v>
      </c>
      <c r="H80" s="106" cm="1">
        <f t="array" aca="1" ref="H80" ca="1">_FV(RTData[[#This Row],[Company Name]],"Price")</f>
        <v>879.29</v>
      </c>
      <c r="I80" s="106" cm="1">
        <f t="array" aca="1" ref="I80" ca="1">IFERROR(_FV(RTData[[#This Row],[Company Name]],"Low"),0)</f>
        <v>876.79</v>
      </c>
      <c r="J80" s="106" cm="1">
        <f t="array" aca="1" ref="J80" ca="1">IFERROR(_FV(RTData[[#This Row],[Company Name]],"High"),0)</f>
        <v>886</v>
      </c>
      <c r="K80" s="19" cm="1">
        <f t="array" aca="1" ref="K80" ca="1">IFERROR(_FV(RTData[[#This Row],[Company Name]],"P/E",TRUE),99)</f>
        <v>17.861899999999999</v>
      </c>
      <c r="L80" s="20" cm="1">
        <f t="array" aca="1" ref="L80" ca="1">_FV(RTData[[#This Row],[Company Name]],"Change")</f>
        <v>-5.13</v>
      </c>
      <c r="M80" s="21" cm="1">
        <f t="array" aca="1" ref="M80" ca="1">_FV(RTData[[#This Row],[Company Name]],"Change (%)",TRUE)</f>
        <v>-5.7999999999999996E-3</v>
      </c>
      <c r="N80" s="106" cm="1">
        <f t="array" aca="1" ref="N80" ca="1">_FV(RTData[[#This Row],[Company Name]],"52 week low",TRUE)</f>
        <v>439.38</v>
      </c>
      <c r="O80" s="106" cm="1">
        <f t="array" aca="1" ref="O80" ca="1">_FV(RTData[[#This Row],[Company Name]],"52 week high",TRUE)</f>
        <v>919.09799999999996</v>
      </c>
      <c r="P80" s="22" cm="1">
        <f t="array" aca="1" ref="P80" ca="1">_FV(RTData[[#This Row],[Company Name]],"Volume")</f>
        <v>1191621</v>
      </c>
      <c r="Q80" s="22" cm="1">
        <f t="array" aca="1" ref="Q80" ca="1">_FV(RTData[[#This Row],[Company Name]],"Volume average",TRUE)</f>
        <v>2054031</v>
      </c>
      <c r="R80" s="106" cm="1">
        <f t="array" aca="1" ref="R80" ca="1">_FV(RTData[[#This Row],[Company Name]],"Beta")</f>
        <v>1.3251999999999999</v>
      </c>
      <c r="T80" t="s">
        <v>25</v>
      </c>
      <c r="U80" t="str" cm="1">
        <f t="array" aca="1" ref="U80" ca="1">_FV(RTData[[#This Row],[Company Name]],"Exchange abbreviation",TRUE)</f>
        <v>XNYS</v>
      </c>
      <c r="V80" s="23">
        <f ca="1">IFERROR(RTData[[#This Row],[Volume]]/RTData[[#This Row],[Volume average]],1)</f>
        <v>0.58013778759911605</v>
      </c>
      <c r="W80" s="23"/>
      <c r="X80" s="96">
        <f ca="1">_xlfn.XLOOKUP(RTData[[#This Row],[Ticker_Symbol]],TickerList!$G79:$G173,TickerList!L79:L173)</f>
        <v>813.47370000000001</v>
      </c>
      <c r="Y80" s="89">
        <f ca="1">_xlfn.XLOOKUP(RTData[[#This Row],[Ticker_Symbol]],TickerList!$G79:$G173,TickerList!M79:M173)</f>
        <v>45993</v>
      </c>
      <c r="Z80" s="89">
        <f ca="1">_xlfn.XLOOKUP(RTData[[#This Row],[Ticker_Symbol]],TickerList!$G79:$G173,TickerList!N79:N173)</f>
        <v>0</v>
      </c>
      <c r="AA80" s="90">
        <f ca="1">_xlfn.XLOOKUP(RTData[[#This Row],[Ticker_Symbol]],TickerList!$G79:$G173,TickerList!O79:O173)</f>
        <v>1.7899999999999999E-2</v>
      </c>
      <c r="AB80" s="91">
        <v>1E-4</v>
      </c>
      <c r="AC80" s="92">
        <f t="shared" si="10"/>
        <v>3.0000000000000001E-3</v>
      </c>
      <c r="AD80" s="78">
        <v>453.91</v>
      </c>
      <c r="AE80" s="93">
        <f ca="1">_xlfn.LET(_xlpm.New1YT,RTData[[#This Row],[1YT]],        _xlpm.Old1YT,IF(ISNUMBER(RTData[[#This Row],[Old1YT]]),RTData[[#This Row],[Old1YT]],VALUE(LEFT(RTData[[#This Row],[Old1YT]],FIND("/",RTData[[#This Row],[Old1YT]],1)-1))),       IF(OR(RTData[[#This Row],[1YT]]=0,_xlpm.Old1YT=0),0,(_xlpm.New1YT-_xlpm.Old1YT)/_xlpm.Old1YT))</f>
        <v>0.79214756229208427</v>
      </c>
      <c r="AF80" s="93" t="str">
        <f ca="1">TEXT(RTData[[#This Row],[1YT]],"#,#0.00")&amp;" &lt; "&amp;RTData[[#This Row],[Old1YT]]</f>
        <v>813.47 &lt; 453.91</v>
      </c>
    </row>
    <row r="81" spans="1:33" x14ac:dyDescent="0.3">
      <c r="A81" s="32" t="str" cm="1">
        <f t="array" aca="1" ref="A81" ca="1">_xlfn.SINGLE(RTData[suffix])&amp;_FV(RTData[[#This Row],[Company Name]],"Ticker symbol",TRUE)</f>
        <v>LAZRQ</v>
      </c>
      <c r="B81" s="32">
        <f t="shared" ca="1" si="12"/>
        <v>0.85142613878246054</v>
      </c>
      <c r="C81" t="e" vm="62">
        <v>#VALUE!</v>
      </c>
      <c r="D81" s="104" t="str" cm="1">
        <f t="array" aca="1" ref="D81" ca="1">_FV(RTData[[#This Row],[Company Name]],"Currency")</f>
        <v>USD</v>
      </c>
      <c r="E81" s="17" cm="1">
        <f t="array" aca="1" ref="E81" ca="1">_FV(RTData[[#This Row],[Company Name]],"Last trade time",TRUE)</f>
        <v>46022.876036168753</v>
      </c>
      <c r="F81" s="106" cm="1">
        <f t="array" aca="1" ref="F81" ca="1">_FV(RTData[[#This Row],[Company Name]],"Previous close",TRUE)</f>
        <v>9.3899999999999997E-2</v>
      </c>
      <c r="G81" s="106" cm="1">
        <f t="array" aca="1" ref="G81" ca="1">IFERROR(_FV(RTData[[#This Row],[Company Name]],"Open"),RTData[[#This Row],[Close]])</f>
        <v>8.7999999999999995E-2</v>
      </c>
      <c r="H81" s="106" cm="1">
        <f t="array" aca="1" ref="H81" ca="1">_FV(RTData[[#This Row],[Company Name]],"Price")</f>
        <v>0.08</v>
      </c>
      <c r="I81" s="106" cm="1">
        <f t="array" aca="1" ref="I81" ca="1">IFERROR(_FV(RTData[[#This Row],[Company Name]],"Low"),0)</f>
        <v>6.7799999999999999E-2</v>
      </c>
      <c r="J81" s="106" cm="1">
        <f t="array" aca="1" ref="J81" ca="1">IFERROR(_FV(RTData[[#This Row],[Company Name]],"High"),0)</f>
        <v>8.9899999999999994E-2</v>
      </c>
      <c r="K81" s="19" cm="1">
        <f t="array" aca="1" ref="K81" ca="1">IFERROR(_FV(RTData[[#This Row],[Company Name]],"P/E",TRUE),99)</f>
        <v>0</v>
      </c>
      <c r="L81" s="20" cm="1">
        <f t="array" aca="1" ref="L81" ca="1">_FV(RTData[[#This Row],[Company Name]],"Change")</f>
        <v>-1.3899999999999999E-2</v>
      </c>
      <c r="M81" s="21" cm="1">
        <f t="array" aca="1" ref="M81" ca="1">_FV(RTData[[#This Row],[Company Name]],"Change (%)",TRUE)</f>
        <v>-0.14802999999999999</v>
      </c>
      <c r="N81" s="106" cm="1">
        <f t="array" aca="1" ref="N81" ca="1">_FV(RTData[[#This Row],[Company Name]],"52 week low",TRUE)</f>
        <v>6.7799999999999999E-2</v>
      </c>
      <c r="O81" s="106" cm="1">
        <f t="array" aca="1" ref="O81" ca="1">_FV(RTData[[#This Row],[Company Name]],"52 week high",TRUE)</f>
        <v>10.4</v>
      </c>
      <c r="P81" s="22" cm="1">
        <f t="array" aca="1" ref="P81" ca="1">_FV(RTData[[#This Row],[Company Name]],"Volume")</f>
        <v>3243575</v>
      </c>
      <c r="Q81" s="22" cm="1">
        <f t="array" aca="1" ref="Q81" ca="1">_FV(RTData[[#This Row],[Company Name]],"Volume average",TRUE)</f>
        <v>50230479</v>
      </c>
      <c r="R81" s="106" cm="1">
        <f t="array" aca="1" ref="R81" ca="1">_FV(RTData[[#This Row],[Company Name]],"Beta")</f>
        <v>1.2916000000000001</v>
      </c>
      <c r="T81" t="s">
        <v>25</v>
      </c>
      <c r="U81" t="str" cm="1">
        <f t="array" aca="1" ref="U81" ca="1">_FV(RTData[[#This Row],[Company Name]],"Exchange abbreviation",TRUE)</f>
        <v>OTCM</v>
      </c>
      <c r="V81" s="23">
        <f ca="1">IFERROR(RTData[[#This Row],[Volume]]/RTData[[#This Row],[Volume average]],1)</f>
        <v>6.4573841710727067E-2</v>
      </c>
      <c r="W81" s="23"/>
      <c r="X81" s="96" t="e">
        <f ca="1">_xlfn.XLOOKUP(RTData[[#This Row],[Ticker_Symbol]],TickerList!$G80:$G174,TickerList!L80:L174)</f>
        <v>#N/A</v>
      </c>
      <c r="Y81" s="89" t="e">
        <f ca="1">_xlfn.XLOOKUP(RTData[[#This Row],[Ticker_Symbol]],TickerList!$G80:$G174,TickerList!M80:M174)</f>
        <v>#N/A</v>
      </c>
      <c r="Z81" s="89" t="e">
        <f ca="1">_xlfn.XLOOKUP(RTData[[#This Row],[Ticker_Symbol]],TickerList!$G80:$G174,TickerList!N80:N174)</f>
        <v>#N/A</v>
      </c>
      <c r="AA81" s="90" t="e">
        <f ca="1">_xlfn.XLOOKUP(RTData[[#This Row],[Ticker_Symbol]],TickerList!$G80:$G174,TickerList!O80:O174)</f>
        <v>#N/A</v>
      </c>
      <c r="AB81" s="91">
        <v>1E-4</v>
      </c>
      <c r="AC81" s="92">
        <f t="shared" si="10"/>
        <v>3.0000000000000001E-3</v>
      </c>
      <c r="AD81" s="78" t="s">
        <v>52</v>
      </c>
      <c r="AE81" s="93" t="e">
        <f ca="1">_xlfn.LET(_xlpm.New1YT,RTData[[#This Row],[1YT]],        _xlpm.Old1YT,IF(ISNUMBER(RTData[[#This Row],[Old1YT]]),RTData[[#This Row],[Old1YT]],VALUE(LEFT(RTData[[#This Row],[Old1YT]],FIND("/",RTData[[#This Row],[Old1YT]],1)-1))),       IF(OR(RTData[[#This Row],[1YT]]=0,_xlpm.Old1YT=0),0,(_xlpm.New1YT-_xlpm.Old1YT)/_xlpm.Old1YT))</f>
        <v>#N/A</v>
      </c>
      <c r="AF81" s="93" t="e">
        <f ca="1">TEXT(RTData[[#This Row],[1YT]],"#,#0.00")&amp;" &lt; "&amp;RTData[[#This Row],[Old1YT]]</f>
        <v>#N/A</v>
      </c>
    </row>
    <row r="82" spans="1:33" ht="22" customHeight="1" x14ac:dyDescent="0.3">
      <c r="A82" s="32" t="str" cm="1">
        <f t="array" aca="1" ref="A82" ca="1">_xlfn.SINGLE(RTData[suffix])&amp;_FV(RTData[[#This Row],[Company Name]],"Ticker symbol",TRUE)</f>
        <v>LUV</v>
      </c>
      <c r="B82" s="32">
        <f t="shared" ca="1" si="12"/>
        <v>0.85142613878246054</v>
      </c>
      <c r="C82" t="e" vm="63">
        <v>#VALUE!</v>
      </c>
      <c r="D82" s="104" t="str" cm="1">
        <f t="array" aca="1" ref="D82" ca="1">_FV(RTData[[#This Row],[Company Name]],"Currency")</f>
        <v>USD</v>
      </c>
      <c r="E82" s="17" cm="1">
        <f t="array" aca="1" ref="E82" ca="1">_FV(RTData[[#This Row],[Company Name]],"Last trade time",TRUE)</f>
        <v>46022.93021918906</v>
      </c>
      <c r="F82" s="106" cm="1">
        <f t="array" aca="1" ref="F82" ca="1">_FV(RTData[[#This Row],[Company Name]],"Previous close",TRUE)</f>
        <v>41.27</v>
      </c>
      <c r="G82" s="106" cm="1">
        <f t="array" aca="1" ref="G82" ca="1">IFERROR(_FV(RTData[[#This Row],[Company Name]],"Open"),RTData[[#This Row],[Close]])</f>
        <v>41.34</v>
      </c>
      <c r="H82" s="106" cm="1">
        <f t="array" aca="1" ref="H82" ca="1">_FV(RTData[[#This Row],[Company Name]],"Price")</f>
        <v>41.34</v>
      </c>
      <c r="I82" s="106" cm="1">
        <f t="array" aca="1" ref="I82" ca="1">IFERROR(_FV(RTData[[#This Row],[Company Name]],"Low"),0)</f>
        <v>41.22</v>
      </c>
      <c r="J82" s="106" cm="1">
        <f t="array" aca="1" ref="J82" ca="1">IFERROR(_FV(RTData[[#This Row],[Company Name]],"High"),0)</f>
        <v>41.66</v>
      </c>
      <c r="K82" s="19" cm="1">
        <f t="array" aca="1" ref="K82" ca="1">IFERROR(_FV(RTData[[#This Row],[Company Name]],"P/E",TRUE),99)</f>
        <v>61.784500000000001</v>
      </c>
      <c r="L82" s="20" cm="1">
        <f t="array" aca="1" ref="L82" ca="1">_FV(RTData[[#This Row],[Company Name]],"Change")</f>
        <v>7.0000000000000007E-2</v>
      </c>
      <c r="M82" s="21" cm="1">
        <f t="array" aca="1" ref="M82" ca="1">_FV(RTData[[#This Row],[Company Name]],"Change (%)",TRUE)</f>
        <v>1.696E-3</v>
      </c>
      <c r="N82" s="106" cm="1">
        <f t="array" aca="1" ref="N82" ca="1">_FV(RTData[[#This Row],[Company Name]],"52 week low",TRUE)</f>
        <v>23.815000000000001</v>
      </c>
      <c r="O82" s="106" cm="1">
        <f t="array" aca="1" ref="O82" ca="1">_FV(RTData[[#This Row],[Company Name]],"52 week high",TRUE)</f>
        <v>43.54</v>
      </c>
      <c r="P82" s="22" cm="1">
        <f t="array" aca="1" ref="P82" ca="1">_FV(RTData[[#This Row],[Company Name]],"Volume")</f>
        <v>6254043</v>
      </c>
      <c r="Q82" s="22" cm="1">
        <f t="array" aca="1" ref="Q82" ca="1">_FV(RTData[[#This Row],[Company Name]],"Volume average",TRUE)</f>
        <v>10196565</v>
      </c>
      <c r="R82" s="106" cm="1">
        <f t="array" aca="1" ref="R82" ca="1">_FV(RTData[[#This Row],[Company Name]],"Beta")</f>
        <v>1.1651</v>
      </c>
      <c r="T82" t="s">
        <v>25</v>
      </c>
      <c r="U82" t="str" cm="1">
        <f t="array" aca="1" ref="U82" ca="1">_FV(RTData[[#This Row],[Company Name]],"Exchange abbreviation",TRUE)</f>
        <v>XNYS</v>
      </c>
      <c r="V82" s="23">
        <f ca="1">IFERROR(RTData[[#This Row],[Volume]]/RTData[[#This Row],[Volume average]],1)</f>
        <v>0.61334802455532822</v>
      </c>
      <c r="W82" s="23"/>
      <c r="X82" s="96">
        <f ca="1">_xlfn.XLOOKUP(RTData[[#This Row],[Ticker_Symbol]],TickerList!$G81:$G175,TickerList!L81:L175)</f>
        <v>37.930430000000001</v>
      </c>
      <c r="Y82" s="89">
        <f ca="1">_xlfn.XLOOKUP(RTData[[#This Row],[Ticker_Symbol]],TickerList!$G81:$G175,TickerList!M81:M175)</f>
        <v>46017</v>
      </c>
      <c r="Z82" s="89">
        <f ca="1">_xlfn.XLOOKUP(RTData[[#This Row],[Ticker_Symbol]],TickerList!$G81:$G175,TickerList!N81:N175)</f>
        <v>0</v>
      </c>
      <c r="AA82" s="90">
        <f ca="1">_xlfn.XLOOKUP(RTData[[#This Row],[Ticker_Symbol]],TickerList!$G81:$G175,TickerList!O81:O175)</f>
        <v>1.7500000000000002E-2</v>
      </c>
      <c r="AB82" s="91">
        <v>1E-4</v>
      </c>
      <c r="AC82" s="92">
        <f t="shared" si="10"/>
        <v>3.0000000000000001E-3</v>
      </c>
      <c r="AD82" s="78">
        <v>28.04</v>
      </c>
      <c r="AE82" s="93">
        <f ca="1">_xlfn.LET(_xlpm.New1YT,RTData[[#This Row],[1YT]],        _xlpm.Old1YT,IF(ISNUMBER(RTData[[#This Row],[Old1YT]]),RTData[[#This Row],[Old1YT]],VALUE(LEFT(RTData[[#This Row],[Old1YT]],FIND("/",RTData[[#This Row],[Old1YT]],1)-1))),       IF(OR(RTData[[#This Row],[1YT]]=0,_xlpm.Old1YT=0),0,(_xlpm.New1YT-_xlpm.Old1YT)/_xlpm.Old1YT))</f>
        <v>0.35272574893009995</v>
      </c>
      <c r="AF82" s="93" t="str">
        <f ca="1">TEXT(RTData[[#This Row],[1YT]],"#,#0.00")&amp;" &lt; "&amp;RTData[[#This Row],[Old1YT]]</f>
        <v>37.93 &lt; 28.04</v>
      </c>
    </row>
    <row r="83" spans="1:33" ht="22" customHeight="1" x14ac:dyDescent="0.3">
      <c r="A83" s="32" t="str" cm="1">
        <f t="array" aca="1" ref="A83" ca="1">_xlfn.SINGLE(RTData[suffix])&amp;_FV(RTData[[#This Row],[Company Name]],"Ticker symbol",TRUE)</f>
        <v>MA</v>
      </c>
      <c r="B83" s="32">
        <f t="shared" ca="1" si="12"/>
        <v>0.85142613878246054</v>
      </c>
      <c r="C83" t="e" vm="64">
        <v>#VALUE!</v>
      </c>
      <c r="D83" s="104" t="str" cm="1">
        <f t="array" aca="1" ref="D83" ca="1">_FV(RTData[[#This Row],[Company Name]],"Currency")</f>
        <v>USD</v>
      </c>
      <c r="E83" s="17" cm="1">
        <f t="array" aca="1" ref="E83" ca="1">_FV(RTData[[#This Row],[Company Name]],"Last trade time",TRUE)</f>
        <v>46022.929661596878</v>
      </c>
      <c r="F83" s="106" cm="1">
        <f t="array" aca="1" ref="F83" ca="1">_FV(RTData[[#This Row],[Company Name]],"Previous close",TRUE)</f>
        <v>577.41999999999996</v>
      </c>
      <c r="G83" s="106" cm="1">
        <f t="array" aca="1" ref="G83" ca="1">IFERROR(_FV(RTData[[#This Row],[Company Name]],"Open"),RTData[[#This Row],[Close]])</f>
        <v>576.55999999999995</v>
      </c>
      <c r="H83" s="106" cm="1">
        <f t="array" aca="1" ref="H83" ca="1">_FV(RTData[[#This Row],[Company Name]],"Price")</f>
        <v>570.9</v>
      </c>
      <c r="I83" s="106" cm="1">
        <f t="array" aca="1" ref="I83" ca="1">IFERROR(_FV(RTData[[#This Row],[Company Name]],"Low"),0)</f>
        <v>570.62</v>
      </c>
      <c r="J83" s="106" cm="1">
        <f t="array" aca="1" ref="J83" ca="1">IFERROR(_FV(RTData[[#This Row],[Company Name]],"High"),0)</f>
        <v>577.98</v>
      </c>
      <c r="K83" s="19" cm="1">
        <f t="array" aca="1" ref="K83" ca="1">IFERROR(_FV(RTData[[#This Row],[Company Name]],"P/E",TRUE),99)</f>
        <v>36.502800000000001</v>
      </c>
      <c r="L83" s="20" cm="1">
        <f t="array" aca="1" ref="L83" ca="1">_FV(RTData[[#This Row],[Company Name]],"Change")</f>
        <v>-6.52</v>
      </c>
      <c r="M83" s="21" cm="1">
        <f t="array" aca="1" ref="M83" ca="1">_FV(RTData[[#This Row],[Company Name]],"Change (%)",TRUE)</f>
        <v>-1.1292E-2</v>
      </c>
      <c r="N83" s="106" cm="1">
        <f t="array" aca="1" ref="N83" ca="1">_FV(RTData[[#This Row],[Company Name]],"52 week low",TRUE)</f>
        <v>465.59</v>
      </c>
      <c r="O83" s="106" cm="1">
        <f t="array" aca="1" ref="O83" ca="1">_FV(RTData[[#This Row],[Company Name]],"52 week high",TRUE)</f>
        <v>601.77</v>
      </c>
      <c r="P83" s="22" cm="1">
        <f t="array" aca="1" ref="P83" ca="1">_FV(RTData[[#This Row],[Company Name]],"Volume")</f>
        <v>1736491</v>
      </c>
      <c r="Q83" s="22" cm="1">
        <f t="array" aca="1" ref="Q83" ca="1">_FV(RTData[[#This Row],[Company Name]],"Volume average",TRUE)</f>
        <v>2700584</v>
      </c>
      <c r="R83" s="106" cm="1">
        <f t="array" aca="1" ref="R83" ca="1">_FV(RTData[[#This Row],[Company Name]],"Beta")</f>
        <v>0.85940000000000005</v>
      </c>
      <c r="T83" t="s">
        <v>25</v>
      </c>
      <c r="U83" t="str" cm="1">
        <f t="array" aca="1" ref="U83" ca="1">_FV(RTData[[#This Row],[Company Name]],"Exchange abbreviation",TRUE)</f>
        <v>XNYS</v>
      </c>
      <c r="V83" s="23">
        <f ca="1">IFERROR(RTData[[#This Row],[Volume]]/RTData[[#This Row],[Volume average]],1)</f>
        <v>0.64300573505582492</v>
      </c>
      <c r="W83" s="23"/>
      <c r="X83" s="96">
        <f ca="1">_xlfn.XLOOKUP(RTData[[#This Row],[Ticker_Symbol]],TickerList!$G82:$G176,TickerList!L82:L176)</f>
        <v>657.92223999999999</v>
      </c>
      <c r="Y83" s="89">
        <f ca="1">_xlfn.XLOOKUP(RTData[[#This Row],[Ticker_Symbol]],TickerList!$G82:$G176,TickerList!M82:M176)</f>
        <v>46031</v>
      </c>
      <c r="Z83" s="89">
        <f ca="1">_xlfn.XLOOKUP(RTData[[#This Row],[Ticker_Symbol]],TickerList!$G82:$G176,TickerList!N82:N176)</f>
        <v>0</v>
      </c>
      <c r="AA83" s="90">
        <f ca="1">_xlfn.XLOOKUP(RTData[[#This Row],[Ticker_Symbol]],TickerList!$G82:$G176,TickerList!O82:O176)</f>
        <v>6.0000000000000001E-3</v>
      </c>
      <c r="AB83" s="91">
        <v>1E-4</v>
      </c>
      <c r="AC83" s="92">
        <f t="shared" si="10"/>
        <v>3.0000000000000001E-3</v>
      </c>
      <c r="AD83" s="78">
        <v>549.30999999999995</v>
      </c>
      <c r="AE83" s="93">
        <f ca="1">_xlfn.LET(_xlpm.New1YT,RTData[[#This Row],[1YT]],        _xlpm.Old1YT,IF(ISNUMBER(RTData[[#This Row],[Old1YT]]),RTData[[#This Row],[Old1YT]],VALUE(LEFT(RTData[[#This Row],[Old1YT]],FIND("/",RTData[[#This Row],[Old1YT]],1)-1))),       IF(OR(RTData[[#This Row],[1YT]]=0,_xlpm.Old1YT=0),0,(_xlpm.New1YT-_xlpm.Old1YT)/_xlpm.Old1YT))</f>
        <v>0.19772485481786251</v>
      </c>
      <c r="AF83" s="93" t="str">
        <f ca="1">TEXT(RTData[[#This Row],[1YT]],"#,#0.00")&amp;" &lt; "&amp;RTData[[#This Row],[Old1YT]]</f>
        <v>657.92 &lt; 549.31</v>
      </c>
    </row>
    <row r="84" spans="1:33" ht="22" customHeight="1" x14ac:dyDescent="0.3">
      <c r="A84" s="32" t="str" cm="1">
        <f t="array" aca="1" ref="A84" ca="1">_xlfn.SINGLE(RTData[suffix])&amp;_FV(RTData[[#This Row],[Company Name]],"Ticker symbol",TRUE)</f>
        <v>NVAX</v>
      </c>
      <c r="B84" s="32">
        <f t="shared" ca="1" si="12"/>
        <v>0.85142613878246054</v>
      </c>
      <c r="C84" t="e" vm="65">
        <v>#VALUE!</v>
      </c>
      <c r="D84" s="104" t="str" cm="1">
        <f t="array" aca="1" ref="D84" ca="1">_FV(RTData[[#This Row],[Company Name]],"Currency")</f>
        <v>USD</v>
      </c>
      <c r="E84" s="17" cm="1">
        <f t="array" aca="1" ref="E84" ca="1">_FV(RTData[[#This Row],[Company Name]],"Last trade time",TRUE)</f>
        <v>46022.929990057812</v>
      </c>
      <c r="F84" s="106" cm="1">
        <f t="array" aca="1" ref="F84" ca="1">_FV(RTData[[#This Row],[Company Name]],"Previous close",TRUE)</f>
        <v>6.72</v>
      </c>
      <c r="G84" s="106" cm="1">
        <f t="array" aca="1" ref="G84" ca="1">IFERROR(_FV(RTData[[#This Row],[Company Name]],"Open"),RTData[[#This Row],[Close]])</f>
        <v>6.7</v>
      </c>
      <c r="H84" s="106" cm="1">
        <f t="array" aca="1" ref="H84" ca="1">_FV(RTData[[#This Row],[Company Name]],"Price")</f>
        <v>6.72</v>
      </c>
      <c r="I84" s="106" cm="1">
        <f t="array" aca="1" ref="I84" ca="1">IFERROR(_FV(RTData[[#This Row],[Company Name]],"Low"),0)</f>
        <v>6.5949999999999998</v>
      </c>
      <c r="J84" s="106" cm="1">
        <f t="array" aca="1" ref="J84" ca="1">IFERROR(_FV(RTData[[#This Row],[Company Name]],"High"),0)</f>
        <v>6.74</v>
      </c>
      <c r="K84" s="19" cm="1">
        <f t="array" aca="1" ref="K84" ca="1">IFERROR(_FV(RTData[[#This Row],[Company Name]],"P/E",TRUE),99)</f>
        <v>3.7362000000000002</v>
      </c>
      <c r="L84" s="20" cm="1">
        <f t="array" aca="1" ref="L84" ca="1">_FV(RTData[[#This Row],[Company Name]],"Change")</f>
        <v>0</v>
      </c>
      <c r="M84" s="21" cm="1">
        <f t="array" aca="1" ref="M84" ca="1">_FV(RTData[[#This Row],[Company Name]],"Change (%)",TRUE)</f>
        <v>0</v>
      </c>
      <c r="N84" s="106" cm="1">
        <f t="array" aca="1" ref="N84" ca="1">_FV(RTData[[#This Row],[Company Name]],"52 week low",TRUE)</f>
        <v>5.01</v>
      </c>
      <c r="O84" s="106" cm="1">
        <f t="array" aca="1" ref="O84" ca="1">_FV(RTData[[#This Row],[Company Name]],"52 week high",TRUE)</f>
        <v>11.55</v>
      </c>
      <c r="P84" s="22" cm="1">
        <f t="array" aca="1" ref="P84" ca="1">_FV(RTData[[#This Row],[Company Name]],"Volume")</f>
        <v>2754530</v>
      </c>
      <c r="Q84" s="22" cm="1">
        <f t="array" aca="1" ref="Q84" ca="1">_FV(RTData[[#This Row],[Company Name]],"Volume average",TRUE)</f>
        <v>3114320</v>
      </c>
      <c r="R84" s="106" cm="1">
        <f t="array" aca="1" ref="R84" ca="1">_FV(RTData[[#This Row],[Company Name]],"Beta")</f>
        <v>2.3696000000000002</v>
      </c>
      <c r="T84" t="s">
        <v>25</v>
      </c>
      <c r="U84" t="str" cm="1">
        <f t="array" aca="1" ref="U84" ca="1">_FV(RTData[[#This Row],[Company Name]],"Exchange abbreviation",TRUE)</f>
        <v>XNAS</v>
      </c>
      <c r="V84" s="23">
        <f ca="1">IFERROR(RTData[[#This Row],[Volume]]/RTData[[#This Row],[Volume average]],1)</f>
        <v>0.88447237278121704</v>
      </c>
      <c r="W84" s="23"/>
      <c r="X84" s="96">
        <f ca="1">_xlfn.XLOOKUP(RTData[[#This Row],[Ticker_Symbol]],TickerList!$G83:$G177,TickerList!L83:L177)</f>
        <v>12.77778</v>
      </c>
      <c r="Y84" s="89">
        <f ca="1">_xlfn.XLOOKUP(RTData[[#This Row],[Ticker_Symbol]],TickerList!$G83:$G177,TickerList!M83:M177)</f>
        <v>0</v>
      </c>
      <c r="Z84" s="89">
        <f ca="1">_xlfn.XLOOKUP(RTData[[#This Row],[Ticker_Symbol]],TickerList!$G83:$G177,TickerList!N83:N177)</f>
        <v>0</v>
      </c>
      <c r="AA84" s="90">
        <f ca="1">_xlfn.XLOOKUP(RTData[[#This Row],[Ticker_Symbol]],TickerList!$G83:$G177,TickerList!O83:O177)</f>
        <v>0</v>
      </c>
      <c r="AB84" s="91">
        <v>1E-4</v>
      </c>
      <c r="AC84" s="92">
        <f t="shared" si="10"/>
        <v>3.0000000000000001E-3</v>
      </c>
      <c r="AD84" s="78" t="s">
        <v>44</v>
      </c>
      <c r="AE84" s="93">
        <f ca="1">_xlfn.LET(_xlpm.New1YT,RTData[[#This Row],[1YT]],        _xlpm.Old1YT,IF(ISNUMBER(RTData[[#This Row],[Old1YT]]),RTData[[#This Row],[Old1YT]],VALUE(LEFT(RTData[[#This Row],[Old1YT]],FIND("/",RTData[[#This Row],[Old1YT]],1)-1))),       IF(OR(RTData[[#This Row],[1YT]]=0,_xlpm.Old1YT=0),0,(_xlpm.New1YT-_xlpm.Old1YT)/_xlpm.Old1YT))</f>
        <v>-0.12898568507157465</v>
      </c>
      <c r="AF84" s="93" t="str">
        <f ca="1">TEXT(RTData[[#This Row],[1YT]],"#,#0.00")&amp;" &lt; "&amp;RTData[[#This Row],[Old1YT]]</f>
        <v>12.78 &lt; 14.67/16.14/20.8</v>
      </c>
    </row>
    <row r="85" spans="1:33" ht="22" customHeight="1" x14ac:dyDescent="0.3">
      <c r="A85" s="32" t="str" cm="1">
        <f t="array" aca="1" ref="A85" ca="1">_xlfn.SINGLE(RTData[suffix])&amp;_FV(RTData[[#This Row],[Company Name]],"Ticker symbol",TRUE)</f>
        <v>NVS</v>
      </c>
      <c r="B85" s="32">
        <f t="shared" ca="1" si="12"/>
        <v>0.85142613878246054</v>
      </c>
      <c r="C85" t="e" vm="66">
        <v>#VALUE!</v>
      </c>
      <c r="D85" s="104" t="str" cm="1">
        <f t="array" aca="1" ref="D85" ca="1">_FV(RTData[[#This Row],[Company Name]],"Currency")</f>
        <v>USD</v>
      </c>
      <c r="E85" s="17" cm="1">
        <f t="array" aca="1" ref="E85" ca="1">_FV(RTData[[#This Row],[Company Name]],"Last trade time",TRUE)</f>
        <v>46022.916746168747</v>
      </c>
      <c r="F85" s="106" cm="1">
        <f t="array" aca="1" ref="F85" ca="1">_FV(RTData[[#This Row],[Company Name]],"Previous close",TRUE)</f>
        <v>138.72</v>
      </c>
      <c r="G85" s="106" cm="1">
        <f t="array" aca="1" ref="G85" ca="1">IFERROR(_FV(RTData[[#This Row],[Company Name]],"Open"),RTData[[#This Row],[Close]])</f>
        <v>138.71</v>
      </c>
      <c r="H85" s="106" cm="1">
        <f t="array" aca="1" ref="H85" ca="1">_FV(RTData[[#This Row],[Company Name]],"Price")</f>
        <v>137.87</v>
      </c>
      <c r="I85" s="106" cm="1">
        <f t="array" aca="1" ref="I85" ca="1">IFERROR(_FV(RTData[[#This Row],[Company Name]],"Low"),0)</f>
        <v>137.80000000000001</v>
      </c>
      <c r="J85" s="106" cm="1">
        <f t="array" aca="1" ref="J85" ca="1">IFERROR(_FV(RTData[[#This Row],[Company Name]],"High"),0)</f>
        <v>138.91</v>
      </c>
      <c r="K85" s="19" cm="1">
        <f t="array" aca="1" ref="K85" ca="1">IFERROR(_FV(RTData[[#This Row],[Company Name]],"P/E",TRUE),99)</f>
        <v>18.8553</v>
      </c>
      <c r="L85" s="20" cm="1">
        <f t="array" aca="1" ref="L85" ca="1">_FV(RTData[[#This Row],[Company Name]],"Change")</f>
        <v>-0.85</v>
      </c>
      <c r="M85" s="21" cm="1">
        <f t="array" aca="1" ref="M85" ca="1">_FV(RTData[[#This Row],[Company Name]],"Change (%)",TRUE)</f>
        <v>-6.1270000000000005E-3</v>
      </c>
      <c r="N85" s="106" cm="1">
        <f t="array" aca="1" ref="N85" ca="1">_FV(RTData[[#This Row],[Company Name]],"52 week low",TRUE)</f>
        <v>96.91</v>
      </c>
      <c r="O85" s="106" cm="1">
        <f t="array" aca="1" ref="O85" ca="1">_FV(RTData[[#This Row],[Company Name]],"52 week high",TRUE)</f>
        <v>140.17500000000001</v>
      </c>
      <c r="P85" s="22" cm="1">
        <f t="array" aca="1" ref="P85" ca="1">_FV(RTData[[#This Row],[Company Name]],"Volume")</f>
        <v>737522</v>
      </c>
      <c r="Q85" s="22" cm="1">
        <f t="array" aca="1" ref="Q85" ca="1">_FV(RTData[[#This Row],[Company Name]],"Volume average",TRUE)</f>
        <v>1566637</v>
      </c>
      <c r="R85" s="106" cm="1">
        <f t="array" aca="1" ref="R85" ca="1">_FV(RTData[[#This Row],[Company Name]],"Beta")</f>
        <v>0.50619999999999998</v>
      </c>
      <c r="T85" t="s">
        <v>25</v>
      </c>
      <c r="U85" t="str" cm="1">
        <f t="array" aca="1" ref="U85" ca="1">_FV(RTData[[#This Row],[Company Name]],"Exchange abbreviation",TRUE)</f>
        <v>XNYS</v>
      </c>
      <c r="V85" s="23">
        <f ca="1">IFERROR(RTData[[#This Row],[Volume]]/RTData[[#This Row],[Volume average]],1)</f>
        <v>0.47076763794037801</v>
      </c>
      <c r="W85" s="23"/>
      <c r="X85" s="96">
        <f ca="1">_xlfn.XLOOKUP(RTData[[#This Row],[Ticker_Symbol]],TickerList!$G84:$G178,TickerList!L84:L178)</f>
        <v>134.88221999999999</v>
      </c>
      <c r="Y85" s="89">
        <f ca="1">_xlfn.XLOOKUP(RTData[[#This Row],[Ticker_Symbol]],TickerList!$G84:$G178,TickerList!M84:M178)</f>
        <v>45728</v>
      </c>
      <c r="Z85" s="89">
        <f ca="1">_xlfn.XLOOKUP(RTData[[#This Row],[Ticker_Symbol]],TickerList!$G84:$G178,TickerList!N84:N178)</f>
        <v>0</v>
      </c>
      <c r="AA85" s="90">
        <f ca="1">_xlfn.XLOOKUP(RTData[[#This Row],[Ticker_Symbol]],TickerList!$G84:$G178,TickerList!O84:O178)</f>
        <v>2.87E-2</v>
      </c>
      <c r="AB85" s="91">
        <v>1E-4</v>
      </c>
      <c r="AC85" s="92">
        <f t="shared" si="10"/>
        <v>3.0000000000000001E-3</v>
      </c>
      <c r="AD85" s="78">
        <v>115.66</v>
      </c>
      <c r="AE85" s="93">
        <f ca="1">_xlfn.LET(_xlpm.New1YT,RTData[[#This Row],[1YT]],        _xlpm.Old1YT,IF(ISNUMBER(RTData[[#This Row],[Old1YT]]),RTData[[#This Row],[Old1YT]],VALUE(LEFT(RTData[[#This Row],[Old1YT]],FIND("/",RTData[[#This Row],[Old1YT]],1)-1))),       IF(OR(RTData[[#This Row],[1YT]]=0,_xlpm.Old1YT=0),0,(_xlpm.New1YT-_xlpm.Old1YT)/_xlpm.Old1YT))</f>
        <v>0.16619591907314538</v>
      </c>
      <c r="AF85" s="93" t="str">
        <f ca="1">TEXT(RTData[[#This Row],[1YT]],"#,#0.00")&amp;" &lt; "&amp;RTData[[#This Row],[Old1YT]]</f>
        <v>134.88 &lt; 115.66</v>
      </c>
    </row>
    <row r="86" spans="1:33" x14ac:dyDescent="0.3">
      <c r="A86" s="32" t="str" cm="1">
        <f t="array" aca="1" ref="A86" ca="1">_xlfn.SINGLE(RTData[suffix])&amp;_FV(RTData[[#This Row],[Company Name]],"Ticker symbol",TRUE)</f>
        <v>ORA</v>
      </c>
      <c r="B86" s="32">
        <v>1</v>
      </c>
      <c r="C86" t="e" vm="56">
        <v>#VALUE!</v>
      </c>
      <c r="D86" s="104" t="str" cm="1">
        <f t="array" aca="1" ref="D86" ca="1">_FV(RTData[[#This Row],[Company Name]],"Currency")</f>
        <v>EUR</v>
      </c>
      <c r="E86" s="17" cm="1">
        <f t="array" aca="1" ref="E86" ca="1">_FV(RTData[[#This Row],[Company Name]],"Last trade time",TRUE)</f>
        <v>46022.708333333336</v>
      </c>
      <c r="F86" s="106" cm="1">
        <f t="array" aca="1" ref="F86" ca="1">_FV(RTData[[#This Row],[Company Name]],"Previous close",TRUE)</f>
        <v>14.255000000000001</v>
      </c>
      <c r="G86" s="106" cm="1">
        <f t="array" aca="1" ref="G86" ca="1">IFERROR(_FV(RTData[[#This Row],[Company Name]],"Open"),RTData[[#This Row],[Close]])</f>
        <v>14.255000000000001</v>
      </c>
      <c r="H86" s="106" cm="1">
        <f t="array" aca="1" ref="H86" ca="1">_FV(RTData[[#This Row],[Company Name]],"Price")</f>
        <v>14.2</v>
      </c>
      <c r="I86" s="106" cm="1">
        <f t="array" aca="1" ref="I86" ca="1">IFERROR(_FV(RTData[[#This Row],[Company Name]],"Low"),0)</f>
        <v>14.185</v>
      </c>
      <c r="J86" s="106" cm="1">
        <f t="array" aca="1" ref="J86" ca="1">IFERROR(_FV(RTData[[#This Row],[Company Name]],"High"),0)</f>
        <v>14.255000000000001</v>
      </c>
      <c r="K86" s="19" cm="1">
        <f t="array" aca="1" ref="K86" ca="1">IFERROR(_FV(RTData[[#This Row],[Company Name]],"P/E",TRUE),99)</f>
        <v>44.851500000000001</v>
      </c>
      <c r="L86" s="20" cm="1">
        <f t="array" aca="1" ref="L86" ca="1">_FV(RTData[[#This Row],[Company Name]],"Change")</f>
        <v>-5.5E-2</v>
      </c>
      <c r="M86" s="21" cm="1">
        <f t="array" aca="1" ref="M86" ca="1">_FV(RTData[[#This Row],[Company Name]],"Change (%)",TRUE)</f>
        <v>-3.8579999999999999E-3</v>
      </c>
      <c r="N86" s="106" cm="1">
        <f t="array" aca="1" ref="N86" ca="1">_FV(RTData[[#This Row],[Company Name]],"52 week low",TRUE)</f>
        <v>9.44</v>
      </c>
      <c r="O86" s="106" cm="1">
        <f t="array" aca="1" ref="O86" ca="1">_FV(RTData[[#This Row],[Company Name]],"52 week high",TRUE)</f>
        <v>14.56</v>
      </c>
      <c r="P86" s="22" cm="1">
        <f t="array" aca="1" ref="P86" ca="1">_FV(RTData[[#This Row],[Company Name]],"Volume")</f>
        <v>1556642</v>
      </c>
      <c r="Q86" s="22" cm="1">
        <f t="array" aca="1" ref="Q86" ca="1">_FV(RTData[[#This Row],[Company Name]],"Volume average",TRUE)</f>
        <v>3746880</v>
      </c>
      <c r="R86" s="106" cm="1">
        <f t="array" aca="1" ref="R86" ca="1">_FV(RTData[[#This Row],[Company Name]],"Beta")</f>
        <v>0.23619999999999999</v>
      </c>
      <c r="T86" t="s">
        <v>25</v>
      </c>
      <c r="U86" t="str" cm="1">
        <f t="array" aca="1" ref="U86" ca="1">_FV(RTData[[#This Row],[Company Name]],"Exchange abbreviation",TRUE)</f>
        <v>XPAR</v>
      </c>
      <c r="V86" s="23">
        <f ca="1">IFERROR(RTData[[#This Row],[Volume]]/RTData[[#This Row],[Volume average]],1)</f>
        <v>0.41545018788965754</v>
      </c>
      <c r="W86" s="23"/>
      <c r="X86" s="96">
        <f ca="1">_xlfn.XLOOKUP(RTData[[#This Row],[Ticker_Symbol]],TickerList!$G85:$G179,TickerList!L85:L179)</f>
        <v>15.68824</v>
      </c>
      <c r="Y86" s="89">
        <f ca="1">_xlfn.XLOOKUP(RTData[[#This Row],[Ticker_Symbol]],TickerList!$G85:$G179,TickerList!M85:M179)</f>
        <v>45993</v>
      </c>
      <c r="Z86" s="89">
        <f ca="1">_xlfn.XLOOKUP(RTData[[#This Row],[Ticker_Symbol]],TickerList!$G85:$G179,TickerList!N85:N179)</f>
        <v>0</v>
      </c>
      <c r="AA86" s="90">
        <f ca="1">_xlfn.XLOOKUP(RTData[[#This Row],[Ticker_Symbol]],TickerList!$G85:$G179,TickerList!O85:O179)</f>
        <v>5.3100000000000001E-2</v>
      </c>
      <c r="AB86" s="91"/>
      <c r="AC86" s="92">
        <f t="shared" si="10"/>
        <v>3.0000000000000001E-3</v>
      </c>
      <c r="AD86" s="78" t="s">
        <v>56</v>
      </c>
      <c r="AE86" s="93">
        <f ca="1">_xlfn.LET(_xlpm.New1YT,RTData[[#This Row],[1YT]],        _xlpm.Old1YT,IF(ISNUMBER(RTData[[#This Row],[Old1YT]]),RTData[[#This Row],[Old1YT]],VALUE(LEFT(RTData[[#This Row],[Old1YT]],FIND("/",RTData[[#This Row],[Old1YT]],1)-1))),       IF(OR(RTData[[#This Row],[1YT]]=0,_xlpm.Old1YT=0),0,(_xlpm.New1YT-_xlpm.Old1YT)/_xlpm.Old1YT))</f>
        <v>5.7871881321645335E-2</v>
      </c>
      <c r="AF86" s="93" t="str">
        <f ca="1">TEXT(RTData[[#This Row],[1YT]],"#,#0.00")&amp;" &lt; "&amp;RTData[[#This Row],[Old1YT]]</f>
        <v>15.69 &lt; 14.83/14/12.94</v>
      </c>
    </row>
    <row r="87" spans="1:33" ht="22" customHeight="1" x14ac:dyDescent="0.3">
      <c r="A87" s="32" t="str" cm="1">
        <f t="array" aca="1" ref="A87" ca="1">_xlfn.SINGLE(RTData[suffix])&amp;_FV(RTData[[#This Row],[Company Name]],"Ticker symbol",TRUE)</f>
        <v>OXY</v>
      </c>
      <c r="B87" s="32">
        <f ca="1">D$100</f>
        <v>0.85142613878246054</v>
      </c>
      <c r="C87" t="e" vm="67">
        <v>#VALUE!</v>
      </c>
      <c r="D87" s="104" t="str" cm="1">
        <f t="array" aca="1" ref="D87" ca="1">_FV(RTData[[#This Row],[Company Name]],"Currency")</f>
        <v>USD</v>
      </c>
      <c r="E87" s="17" cm="1">
        <f t="array" aca="1" ref="E87" ca="1">_FV(RTData[[#This Row],[Company Name]],"Last trade time",TRUE)</f>
        <v>46022.930939282029</v>
      </c>
      <c r="F87" s="106" cm="1">
        <f t="array" aca="1" ref="F87" ca="1">_FV(RTData[[#This Row],[Company Name]],"Previous close",TRUE)</f>
        <v>41.46</v>
      </c>
      <c r="G87" s="106" cm="1">
        <f t="array" aca="1" ref="G87" ca="1">IFERROR(_FV(RTData[[#This Row],[Company Name]],"Open"),RTData[[#This Row],[Close]])</f>
        <v>41.46</v>
      </c>
      <c r="H87" s="106" cm="1">
        <f t="array" aca="1" ref="H87" ca="1">_FV(RTData[[#This Row],[Company Name]],"Price")</f>
        <v>41.11</v>
      </c>
      <c r="I87" s="106" cm="1">
        <f t="array" aca="1" ref="I87" ca="1">IFERROR(_FV(RTData[[#This Row],[Company Name]],"Low"),0)</f>
        <v>40.991500000000002</v>
      </c>
      <c r="J87" s="106" cm="1">
        <f t="array" aca="1" ref="J87" ca="1">IFERROR(_FV(RTData[[#This Row],[Company Name]],"High"),0)</f>
        <v>41.5</v>
      </c>
      <c r="K87" s="19" cm="1">
        <f t="array" aca="1" ref="K87" ca="1">IFERROR(_FV(RTData[[#This Row],[Company Name]],"P/E",TRUE),99)</f>
        <v>30.011700000000001</v>
      </c>
      <c r="L87" s="20" cm="1">
        <f t="array" aca="1" ref="L87" ca="1">_FV(RTData[[#This Row],[Company Name]],"Change")</f>
        <v>-0.35</v>
      </c>
      <c r="M87" s="21" cm="1">
        <f t="array" aca="1" ref="M87" ca="1">_FV(RTData[[#This Row],[Company Name]],"Change (%)",TRUE)</f>
        <v>-8.4419999999999999E-3</v>
      </c>
      <c r="N87" s="106" cm="1">
        <f t="array" aca="1" ref="N87" ca="1">_FV(RTData[[#This Row],[Company Name]],"52 week low",TRUE)</f>
        <v>34.784999999999997</v>
      </c>
      <c r="O87" s="106" cm="1">
        <f t="array" aca="1" ref="O87" ca="1">_FV(RTData[[#This Row],[Company Name]],"52 week high",TRUE)</f>
        <v>53.2</v>
      </c>
      <c r="P87" s="22" cm="1">
        <f t="array" aca="1" ref="P87" ca="1">_FV(RTData[[#This Row],[Company Name]],"Volume")</f>
        <v>6846819</v>
      </c>
      <c r="Q87" s="22" cm="1">
        <f t="array" aca="1" ref="Q87" ca="1">_FV(RTData[[#This Row],[Company Name]],"Volume average",TRUE)</f>
        <v>8834463</v>
      </c>
      <c r="R87" s="106" cm="1">
        <f t="array" aca="1" ref="R87" ca="1">_FV(RTData[[#This Row],[Company Name]],"Beta")</f>
        <v>0.37790000000000001</v>
      </c>
      <c r="T87" t="s">
        <v>25</v>
      </c>
      <c r="U87" t="str" cm="1">
        <f t="array" aca="1" ref="U87" ca="1">_FV(RTData[[#This Row],[Company Name]],"Exchange abbreviation",TRUE)</f>
        <v>XNYS</v>
      </c>
      <c r="V87" s="23">
        <f ca="1">IFERROR(RTData[[#This Row],[Volume]]/RTData[[#This Row],[Volume average]],1)</f>
        <v>0.77501247104662729</v>
      </c>
      <c r="W87" s="23"/>
      <c r="X87" s="96">
        <f ca="1">_xlfn.XLOOKUP(RTData[[#This Row],[Ticker_Symbol]],TickerList!$G86:$G180,TickerList!L86:L180)</f>
        <v>49.916670000000003</v>
      </c>
      <c r="Y87" s="89">
        <f ca="1">_xlfn.XLOOKUP(RTData[[#This Row],[Ticker_Symbol]],TickerList!$G86:$G180,TickerList!M86:M180)</f>
        <v>46001</v>
      </c>
      <c r="Z87" s="89">
        <f ca="1">_xlfn.XLOOKUP(RTData[[#This Row],[Ticker_Symbol]],TickerList!$G86:$G180,TickerList!N86:N180)</f>
        <v>0</v>
      </c>
      <c r="AA87" s="90">
        <f ca="1">_xlfn.XLOOKUP(RTData[[#This Row],[Ticker_Symbol]],TickerList!$G86:$G180,TickerList!O86:O180)</f>
        <v>2.3800000000000002E-2</v>
      </c>
      <c r="AB87" s="91">
        <v>1E-4</v>
      </c>
      <c r="AC87" s="92">
        <f t="shared" si="10"/>
        <v>3.0000000000000001E-3</v>
      </c>
      <c r="AD87" s="78">
        <v>71.72</v>
      </c>
      <c r="AE87" s="93">
        <f ca="1">_xlfn.LET(_xlpm.New1YT,RTData[[#This Row],[1YT]],        _xlpm.Old1YT,IF(ISNUMBER(RTData[[#This Row],[Old1YT]]),RTData[[#This Row],[Old1YT]],VALUE(LEFT(RTData[[#This Row],[Old1YT]],FIND("/",RTData[[#This Row],[Old1YT]],1)-1))),       IF(OR(RTData[[#This Row],[1YT]]=0,_xlpm.Old1YT=0),0,(_xlpm.New1YT-_xlpm.Old1YT)/_xlpm.Old1YT))</f>
        <v>-0.30400627440044614</v>
      </c>
      <c r="AF87" s="93" t="str">
        <f ca="1">TEXT(RTData[[#This Row],[1YT]],"#,#0.00")&amp;" &lt; "&amp;RTData[[#This Row],[Old1YT]]</f>
        <v>49.92 &lt; 71.72</v>
      </c>
    </row>
    <row r="88" spans="1:33" ht="22" customHeight="1" x14ac:dyDescent="0.3">
      <c r="A88" s="32" t="str" cm="1">
        <f t="array" aca="1" ref="A88" ca="1">_xlfn.SINGLE(RTData[suffix])&amp;_FV(RTData[[#This Row],[Company Name]],"Ticker symbol",TRUE)</f>
        <v>PFE</v>
      </c>
      <c r="B88" s="32">
        <f t="shared" ref="B88:B94" ca="1" si="13">D$100</f>
        <v>0.85142613878246054</v>
      </c>
      <c r="C88" t="e" vm="68">
        <v>#VALUE!</v>
      </c>
      <c r="D88" s="104" t="str" cm="1">
        <f t="array" aca="1" ref="D88" ca="1">_FV(RTData[[#This Row],[Company Name]],"Currency")</f>
        <v>USD</v>
      </c>
      <c r="E88" s="17" cm="1">
        <f t="array" aca="1" ref="E88" ca="1">_FV(RTData[[#This Row],[Company Name]],"Last trade time",TRUE)</f>
        <v>46022.930666967186</v>
      </c>
      <c r="F88" s="106" cm="1">
        <f t="array" aca="1" ref="F88" ca="1">_FV(RTData[[#This Row],[Company Name]],"Previous close",TRUE)</f>
        <v>24.99</v>
      </c>
      <c r="G88" s="106" cm="1">
        <f t="array" aca="1" ref="G88" ca="1">IFERROR(_FV(RTData[[#This Row],[Company Name]],"Open"),RTData[[#This Row],[Close]])</f>
        <v>24.965</v>
      </c>
      <c r="H88" s="106" cm="1">
        <f t="array" aca="1" ref="H88" ca="1">_FV(RTData[[#This Row],[Company Name]],"Price")</f>
        <v>24.9</v>
      </c>
      <c r="I88" s="106" cm="1">
        <f t="array" aca="1" ref="I88" ca="1">IFERROR(_FV(RTData[[#This Row],[Company Name]],"Low"),0)</f>
        <v>24.88</v>
      </c>
      <c r="J88" s="106" cm="1">
        <f t="array" aca="1" ref="J88" ca="1">IFERROR(_FV(RTData[[#This Row],[Company Name]],"High"),0)</f>
        <v>25.02</v>
      </c>
      <c r="K88" s="19" cm="1">
        <f t="array" aca="1" ref="K88" ca="1">IFERROR(_FV(RTData[[#This Row],[Company Name]],"P/E",TRUE),99)</f>
        <v>14.5139</v>
      </c>
      <c r="L88" s="20" cm="1">
        <f t="array" aca="1" ref="L88" ca="1">_FV(RTData[[#This Row],[Company Name]],"Change")</f>
        <v>-0.09</v>
      </c>
      <c r="M88" s="21" cm="1">
        <f t="array" aca="1" ref="M88" ca="1">_FV(RTData[[#This Row],[Company Name]],"Change (%)",TRUE)</f>
        <v>-3.6009999999999996E-3</v>
      </c>
      <c r="N88" s="106" cm="1">
        <f t="array" aca="1" ref="N88" ca="1">_FV(RTData[[#This Row],[Company Name]],"52 week low",TRUE)</f>
        <v>20.914999999999999</v>
      </c>
      <c r="O88" s="106" cm="1">
        <f t="array" aca="1" ref="O88" ca="1">_FV(RTData[[#This Row],[Company Name]],"52 week high",TRUE)</f>
        <v>27.69</v>
      </c>
      <c r="P88" s="22" cm="1">
        <f t="array" aca="1" ref="P88" ca="1">_FV(RTData[[#This Row],[Company Name]],"Volume")</f>
        <v>29361240</v>
      </c>
      <c r="Q88" s="22" cm="1">
        <f t="array" aca="1" ref="Q88" ca="1">_FV(RTData[[#This Row],[Company Name]],"Volume average",TRUE)</f>
        <v>46683499</v>
      </c>
      <c r="R88" s="106" cm="1">
        <f t="array" aca="1" ref="R88" ca="1">_FV(RTData[[#This Row],[Company Name]],"Beta")</f>
        <v>0.43120000000000003</v>
      </c>
      <c r="T88" t="s">
        <v>25</v>
      </c>
      <c r="U88" t="str" cm="1">
        <f t="array" aca="1" ref="U88" ca="1">_FV(RTData[[#This Row],[Company Name]],"Exchange abbreviation",TRUE)</f>
        <v>XNYS</v>
      </c>
      <c r="V88" s="23">
        <f ca="1">IFERROR(RTData[[#This Row],[Volume]]/RTData[[#This Row],[Volume average]],1)</f>
        <v>0.62894257347762217</v>
      </c>
      <c r="W88" s="23"/>
      <c r="X88" s="96">
        <f ca="1">_xlfn.XLOOKUP(RTData[[#This Row],[Ticker_Symbol]],TickerList!$G87:$G181,TickerList!L87:L181)</f>
        <v>28.622920000000001</v>
      </c>
      <c r="Y88" s="89">
        <f ca="1">_xlfn.XLOOKUP(RTData[[#This Row],[Ticker_Symbol]],TickerList!$G87:$G181,TickerList!M87:M181)</f>
        <v>46045</v>
      </c>
      <c r="Z88" s="89">
        <f ca="1">_xlfn.XLOOKUP(RTData[[#This Row],[Ticker_Symbol]],TickerList!$G87:$G181,TickerList!N87:N181)</f>
        <v>0</v>
      </c>
      <c r="AA88" s="90">
        <f ca="1">_xlfn.XLOOKUP(RTData[[#This Row],[Ticker_Symbol]],TickerList!$G87:$G181,TickerList!O87:O181)</f>
        <v>6.88E-2</v>
      </c>
      <c r="AB88" s="91">
        <v>1E-4</v>
      </c>
      <c r="AC88" s="92">
        <f t="shared" si="10"/>
        <v>3.0000000000000001E-3</v>
      </c>
      <c r="AD88" s="78">
        <v>33.15</v>
      </c>
      <c r="AE88" s="93">
        <f ca="1">_xlfn.LET(_xlpm.New1YT,RTData[[#This Row],[1YT]],        _xlpm.Old1YT,IF(ISNUMBER(RTData[[#This Row],[Old1YT]]),RTData[[#This Row],[Old1YT]],VALUE(LEFT(RTData[[#This Row],[Old1YT]],FIND("/",RTData[[#This Row],[Old1YT]],1)-1))),       IF(OR(RTData[[#This Row],[1YT]]=0,_xlpm.Old1YT=0),0,(_xlpm.New1YT-_xlpm.Old1YT)/_xlpm.Old1YT))</f>
        <v>-0.13656349924585212</v>
      </c>
      <c r="AF88" s="93" t="str">
        <f ca="1">TEXT(RTData[[#This Row],[1YT]],"#,#0.00")&amp;" &lt; "&amp;RTData[[#This Row],[Old1YT]]</f>
        <v>28.62 &lt; 33.15</v>
      </c>
    </row>
    <row r="89" spans="1:33" ht="22" customHeight="1" x14ac:dyDescent="0.3">
      <c r="A89" s="32" t="str" cm="1">
        <f t="array" aca="1" ref="A89" ca="1">_xlfn.SINGLE(RTData[suffix])&amp;_FV(RTData[[#This Row],[Company Name]],"Ticker symbol",TRUE)</f>
        <v>RIG</v>
      </c>
      <c r="B89" s="32">
        <f t="shared" ca="1" si="13"/>
        <v>0.85142613878246054</v>
      </c>
      <c r="C89" t="e" vm="69">
        <v>#VALUE!</v>
      </c>
      <c r="D89" s="104" t="str" cm="1">
        <f t="array" aca="1" ref="D89" ca="1">_FV(RTData[[#This Row],[Company Name]],"Currency")</f>
        <v>USD</v>
      </c>
      <c r="E89" s="17" cm="1">
        <f t="array" aca="1" ref="E89" ca="1">_FV(RTData[[#This Row],[Company Name]],"Last trade time",TRUE)</f>
        <v>46022.928000832813</v>
      </c>
      <c r="F89" s="106" cm="1">
        <f t="array" aca="1" ref="F89" ca="1">_FV(RTData[[#This Row],[Company Name]],"Previous close",TRUE)</f>
        <v>4.13</v>
      </c>
      <c r="G89" s="106" cm="1">
        <f t="array" aca="1" ref="G89" ca="1">IFERROR(_FV(RTData[[#This Row],[Company Name]],"Open"),RTData[[#This Row],[Close]])</f>
        <v>4.13</v>
      </c>
      <c r="H89" s="106" cm="1">
        <f t="array" aca="1" ref="H89" ca="1">_FV(RTData[[#This Row],[Company Name]],"Price")</f>
        <v>4.1399999999999997</v>
      </c>
      <c r="I89" s="106" cm="1">
        <f t="array" aca="1" ref="I89" ca="1">IFERROR(_FV(RTData[[#This Row],[Company Name]],"Low"),0)</f>
        <v>4.1100000000000003</v>
      </c>
      <c r="J89" s="106" cm="1">
        <f t="array" aca="1" ref="J89" ca="1">IFERROR(_FV(RTData[[#This Row],[Company Name]],"High"),0)</f>
        <v>4.21</v>
      </c>
      <c r="K89" s="19" cm="1">
        <f t="array" aca="1" ref="K89" ca="1">IFERROR(_FV(RTData[[#This Row],[Company Name]],"P/E",TRUE),99)</f>
        <v>0</v>
      </c>
      <c r="L89" s="20" cm="1">
        <f t="array" aca="1" ref="L89" ca="1">_FV(RTData[[#This Row],[Company Name]],"Change")</f>
        <v>0.01</v>
      </c>
      <c r="M89" s="21" cm="1">
        <f t="array" aca="1" ref="M89" ca="1">_FV(RTData[[#This Row],[Company Name]],"Change (%)",TRUE)</f>
        <v>2.421E-3</v>
      </c>
      <c r="N89" s="106" cm="1">
        <f t="array" aca="1" ref="N89" ca="1">_FV(RTData[[#This Row],[Company Name]],"52 week low",TRUE)</f>
        <v>1.97</v>
      </c>
      <c r="O89" s="106" cm="1">
        <f t="array" aca="1" ref="O89" ca="1">_FV(RTData[[#This Row],[Company Name]],"52 week high",TRUE)</f>
        <v>4.5599999999999996</v>
      </c>
      <c r="P89" s="22" cm="1">
        <f t="array" aca="1" ref="P89" ca="1">_FV(RTData[[#This Row],[Company Name]],"Volume")</f>
        <v>22487385</v>
      </c>
      <c r="Q89" s="22" cm="1">
        <f t="array" aca="1" ref="Q89" ca="1">_FV(RTData[[#This Row],[Company Name]],"Volume average",TRUE)</f>
        <v>29358485</v>
      </c>
      <c r="R89" s="106" cm="1">
        <f t="array" aca="1" ref="R89" ca="1">_FV(RTData[[#This Row],[Company Name]],"Beta")</f>
        <v>1.3585</v>
      </c>
      <c r="T89" t="s">
        <v>25</v>
      </c>
      <c r="U89" t="str" cm="1">
        <f t="array" aca="1" ref="U89" ca="1">_FV(RTData[[#This Row],[Company Name]],"Exchange abbreviation",TRUE)</f>
        <v>XNYS</v>
      </c>
      <c r="V89" s="23">
        <f ca="1">IFERROR(RTData[[#This Row],[Volume]]/RTData[[#This Row],[Volume average]],1)</f>
        <v>0.7659586317209488</v>
      </c>
      <c r="W89" s="23"/>
      <c r="X89" s="96">
        <f ca="1">_xlfn.XLOOKUP(RTData[[#This Row],[Ticker_Symbol]],TickerList!$G88:$G182,TickerList!L88:L182)</f>
        <v>4.1583300000000003</v>
      </c>
      <c r="Y89" s="89">
        <f ca="1">_xlfn.XLOOKUP(RTData[[#This Row],[Ticker_Symbol]],TickerList!$G88:$G182,TickerList!M88:M182)</f>
        <v>42237</v>
      </c>
      <c r="Z89" s="89">
        <f ca="1">_xlfn.XLOOKUP(RTData[[#This Row],[Ticker_Symbol]],TickerList!$G88:$G182,TickerList!N88:N182)</f>
        <v>0</v>
      </c>
      <c r="AA89" s="90">
        <f ca="1">_xlfn.XLOOKUP(RTData[[#This Row],[Ticker_Symbol]],TickerList!$G88:$G182,TickerList!O88:O182)</f>
        <v>0</v>
      </c>
      <c r="AB89" s="91">
        <v>1E-4</v>
      </c>
      <c r="AC89" s="92">
        <f t="shared" si="10"/>
        <v>3.0000000000000001E-3</v>
      </c>
      <c r="AD89" s="78" t="s">
        <v>69</v>
      </c>
      <c r="AE89" s="93">
        <f ca="1">_xlfn.LET(_xlpm.New1YT,RTData[[#This Row],[1YT]],        _xlpm.Old1YT,IF(ISNUMBER(RTData[[#This Row],[Old1YT]]),RTData[[#This Row],[Old1YT]],VALUE(LEFT(RTData[[#This Row],[Old1YT]],FIND("/",RTData[[#This Row],[Old1YT]],1)-1))),       IF(OR(RTData[[#This Row],[1YT]]=0,_xlpm.Old1YT=0),0,(_xlpm.New1YT-_xlpm.Old1YT)/_xlpm.Old1YT))</f>
        <v>1.9198529411764764E-2</v>
      </c>
      <c r="AF89" s="93" t="str">
        <f ca="1">TEXT(RTData[[#This Row],[1YT]],"#,#0.00")&amp;" &lt; "&amp;RTData[[#This Row],[Old1YT]]</f>
        <v>4.16 &lt; 4.08/5.31</v>
      </c>
    </row>
    <row r="90" spans="1:33" x14ac:dyDescent="0.3">
      <c r="A90" s="32" t="str" cm="1">
        <f t="array" aca="1" ref="A90" ca="1">_xlfn.SINGLE(RTData[suffix])&amp;_FV(RTData[[#This Row],[Company Name]],"Ticker symbol",TRUE)</f>
        <v>RRC</v>
      </c>
      <c r="B90" s="32">
        <f t="shared" ca="1" si="13"/>
        <v>0.85142613878246054</v>
      </c>
      <c r="C90" t="e" vm="70">
        <v>#VALUE!</v>
      </c>
      <c r="D90" s="104" t="str" cm="1">
        <f t="array" aca="1" ref="D90" ca="1">_FV(RTData[[#This Row],[Company Name]],"Currency")</f>
        <v>USD</v>
      </c>
      <c r="E90" s="17" cm="1">
        <f t="array" aca="1" ref="E90" ca="1">_FV(RTData[[#This Row],[Company Name]],"Last trade time",TRUE)</f>
        <v>46022.907225450785</v>
      </c>
      <c r="F90" s="106" cm="1">
        <f t="array" aca="1" ref="F90" ca="1">_FV(RTData[[#This Row],[Company Name]],"Previous close",TRUE)</f>
        <v>36.08</v>
      </c>
      <c r="G90" s="106" cm="1">
        <f t="array" aca="1" ref="G90" ca="1">IFERROR(_FV(RTData[[#This Row],[Company Name]],"Open"),RTData[[#This Row],[Close]])</f>
        <v>35.630000000000003</v>
      </c>
      <c r="H90" s="106" cm="1">
        <f t="array" aca="1" ref="H90" ca="1">_FV(RTData[[#This Row],[Company Name]],"Price")</f>
        <v>35.26</v>
      </c>
      <c r="I90" s="106" cm="1">
        <f t="array" aca="1" ref="I90" ca="1">IFERROR(_FV(RTData[[#This Row],[Company Name]],"Low"),0)</f>
        <v>34.935000000000002</v>
      </c>
      <c r="J90" s="106" cm="1">
        <f t="array" aca="1" ref="J90" ca="1">IFERROR(_FV(RTData[[#This Row],[Company Name]],"High"),0)</f>
        <v>35.806399999999996</v>
      </c>
      <c r="K90" s="19" cm="1">
        <f t="array" aca="1" ref="K90" ca="1">IFERROR(_FV(RTData[[#This Row],[Company Name]],"P/E",TRUE),99)</f>
        <v>14.807</v>
      </c>
      <c r="L90" s="20" cm="1">
        <f t="array" aca="1" ref="L90" ca="1">_FV(RTData[[#This Row],[Company Name]],"Change")</f>
        <v>-0.82</v>
      </c>
      <c r="M90" s="21" cm="1">
        <f t="array" aca="1" ref="M90" ca="1">_FV(RTData[[#This Row],[Company Name]],"Change (%)",TRUE)</f>
        <v>-2.2727000000000001E-2</v>
      </c>
      <c r="N90" s="106" cm="1">
        <f t="array" aca="1" ref="N90" ca="1">_FV(RTData[[#This Row],[Company Name]],"52 week low",TRUE)</f>
        <v>30.32</v>
      </c>
      <c r="O90" s="106" cm="1">
        <f t="array" aca="1" ref="O90" ca="1">_FV(RTData[[#This Row],[Company Name]],"52 week high",TRUE)</f>
        <v>43.5</v>
      </c>
      <c r="P90" s="22" cm="1">
        <f t="array" aca="1" ref="P90" ca="1">_FV(RTData[[#This Row],[Company Name]],"Volume")</f>
        <v>2143177</v>
      </c>
      <c r="Q90" s="22" cm="1">
        <f t="array" aca="1" ref="Q90" ca="1">_FV(RTData[[#This Row],[Company Name]],"Volume average",TRUE)</f>
        <v>3128508</v>
      </c>
      <c r="R90" s="106" cm="1">
        <f t="array" aca="1" ref="R90" ca="1">_FV(RTData[[#This Row],[Company Name]],"Beta")</f>
        <v>0.50519999999999998</v>
      </c>
      <c r="T90" t="s">
        <v>25</v>
      </c>
      <c r="U90" t="str" cm="1">
        <f t="array" aca="1" ref="U90" ca="1">_FV(RTData[[#This Row],[Company Name]],"Exchange abbreviation",TRUE)</f>
        <v>XNYS</v>
      </c>
      <c r="V90" s="23">
        <f ca="1">IFERROR(RTData[[#This Row],[Volume]]/RTData[[#This Row],[Volume average]],1)</f>
        <v>0.68504763292917903</v>
      </c>
      <c r="W90" s="23"/>
      <c r="X90" s="96">
        <f ca="1">_xlfn.XLOOKUP(RTData[[#This Row],[Ticker_Symbol]],TickerList!$G89:$G183,TickerList!L89:L183)</f>
        <v>42.130429999999997</v>
      </c>
      <c r="Y90" s="89">
        <f ca="1">_xlfn.XLOOKUP(RTData[[#This Row],[Ticker_Symbol]],TickerList!$G89:$G183,TickerList!M89:M183)</f>
        <v>46003</v>
      </c>
      <c r="Z90" s="89">
        <f ca="1">_xlfn.XLOOKUP(RTData[[#This Row],[Ticker_Symbol]],TickerList!$G89:$G183,TickerList!N89:N183)</f>
        <v>0</v>
      </c>
      <c r="AA90" s="90">
        <f ca="1">_xlfn.XLOOKUP(RTData[[#This Row],[Ticker_Symbol]],TickerList!$G89:$G183,TickerList!O89:O183)</f>
        <v>0.01</v>
      </c>
      <c r="AB90" s="91">
        <v>1E-4</v>
      </c>
      <c r="AC90" s="92">
        <f t="shared" si="10"/>
        <v>3.0000000000000001E-3</v>
      </c>
      <c r="AD90" s="78" t="s">
        <v>57</v>
      </c>
      <c r="AE90" s="93">
        <f ca="1">_xlfn.LET(_xlpm.New1YT,RTData[[#This Row],[1YT]],        _xlpm.Old1YT,IF(ISNUMBER(RTData[[#This Row],[Old1YT]]),RTData[[#This Row],[Old1YT]],VALUE(LEFT(RTData[[#This Row],[Old1YT]],FIND("/",RTData[[#This Row],[Old1YT]],1)-1))),       IF(OR(RTData[[#This Row],[1YT]]=0,_xlpm.Old1YT=0),0,(_xlpm.New1YT-_xlpm.Old1YT)/_xlpm.Old1YT))</f>
        <v>2.5021410150357654E-2</v>
      </c>
      <c r="AF90" s="93" t="str">
        <f ca="1">TEXT(RTData[[#This Row],[1YT]],"#,#0.00")&amp;" &lt; "&amp;RTData[[#This Row],[Old1YT]]</f>
        <v>42.13 &lt; 41.102/38.77</v>
      </c>
    </row>
    <row r="91" spans="1:33" ht="22" customHeight="1" x14ac:dyDescent="0.3">
      <c r="A91" s="32" t="str" cm="1">
        <f t="array" aca="1" ref="A91" ca="1">_xlfn.SINGLE(RTData[suffix])&amp;_FV(RTData[[#This Row],[Company Name]],"Ticker symbol",TRUE)</f>
        <v>XYZ</v>
      </c>
      <c r="B91" s="32">
        <f t="shared" ca="1" si="13"/>
        <v>0.85142613878246054</v>
      </c>
      <c r="C91" t="e" vm="71">
        <v>#VALUE!</v>
      </c>
      <c r="D91" s="104" t="str" cm="1">
        <f t="array" aca="1" ref="D91" ca="1">_FV(RTData[[#This Row],[Company Name]],"Currency")</f>
        <v>USD</v>
      </c>
      <c r="E91" s="17" cm="1">
        <f t="array" aca="1" ref="E91" ca="1">_FV(RTData[[#This Row],[Company Name]],"Last trade time",TRUE)</f>
        <v>46022.930351353905</v>
      </c>
      <c r="F91" s="106" cm="1">
        <f t="array" aca="1" ref="F91" ca="1">_FV(RTData[[#This Row],[Company Name]],"Previous close",TRUE)</f>
        <v>65.540000000000006</v>
      </c>
      <c r="G91" s="106" cm="1">
        <f t="array" aca="1" ref="G91" ca="1">IFERROR(_FV(RTData[[#This Row],[Company Name]],"Open"),RTData[[#This Row],[Close]])</f>
        <v>65.5</v>
      </c>
      <c r="H91" s="106" cm="1">
        <f t="array" aca="1" ref="H91" ca="1">_FV(RTData[[#This Row],[Company Name]],"Price")</f>
        <v>65.09</v>
      </c>
      <c r="I91" s="106" cm="1">
        <f t="array" aca="1" ref="I91" ca="1">IFERROR(_FV(RTData[[#This Row],[Company Name]],"Low"),0)</f>
        <v>65.034999999999997</v>
      </c>
      <c r="J91" s="106" cm="1">
        <f t="array" aca="1" ref="J91" ca="1">IFERROR(_FV(RTData[[#This Row],[Company Name]],"High"),0)</f>
        <v>65.900000000000006</v>
      </c>
      <c r="K91" s="19" cm="1">
        <f t="array" aca="1" ref="K91" ca="1">IFERROR(_FV(RTData[[#This Row],[Company Name]],"P/E",TRUE),99)</f>
        <v>32.728299999999997</v>
      </c>
      <c r="L91" s="20" cm="1">
        <f t="array" aca="1" ref="L91" ca="1">_FV(RTData[[#This Row],[Company Name]],"Change")</f>
        <v>-0.45</v>
      </c>
      <c r="M91" s="21" cm="1">
        <f t="array" aca="1" ref="M91" ca="1">_FV(RTData[[#This Row],[Company Name]],"Change (%)",TRUE)</f>
        <v>-6.8659999999999997E-3</v>
      </c>
      <c r="N91" s="106" cm="1">
        <f t="array" aca="1" ref="N91" ca="1">_FV(RTData[[#This Row],[Company Name]],"52 week low",TRUE)</f>
        <v>44.27</v>
      </c>
      <c r="O91" s="106" cm="1">
        <f t="array" aca="1" ref="O91" ca="1">_FV(RTData[[#This Row],[Company Name]],"52 week high",TRUE)</f>
        <v>94.25</v>
      </c>
      <c r="P91" s="22" cm="1">
        <f t="array" aca="1" ref="P91" ca="1">_FV(RTData[[#This Row],[Company Name]],"Volume")</f>
        <v>3482403</v>
      </c>
      <c r="Q91" s="22" cm="1">
        <f t="array" aca="1" ref="Q91" ca="1">_FV(RTData[[#This Row],[Company Name]],"Volume average",TRUE)</f>
        <v>6689593</v>
      </c>
      <c r="R91" s="106" cm="1">
        <f t="array" aca="1" ref="R91" ca="1">_FV(RTData[[#This Row],[Company Name]],"Beta")</f>
        <v>2.6648000000000001</v>
      </c>
      <c r="T91" t="s">
        <v>25</v>
      </c>
      <c r="U91" t="str" cm="1">
        <f t="array" aca="1" ref="U91" ca="1">_FV(RTData[[#This Row],[Company Name]],"Exchange abbreviation",TRUE)</f>
        <v>XNYS</v>
      </c>
      <c r="V91" s="23">
        <f ca="1">IFERROR(RTData[[#This Row],[Volume]]/RTData[[#This Row],[Volume average]],1)</f>
        <v>0.5205702349903798</v>
      </c>
      <c r="W91" s="23"/>
      <c r="X91" s="96">
        <f ca="1">_xlfn.XLOOKUP(RTData[[#This Row],[Ticker_Symbol]],TickerList!$G90:$G184,TickerList!L90:L184)</f>
        <v>84.005260000000007</v>
      </c>
      <c r="Y91" s="89">
        <f ca="1">_xlfn.XLOOKUP(RTData[[#This Row],[Ticker_Symbol]],TickerList!$G90:$G184,TickerList!M90:M184)</f>
        <v>0</v>
      </c>
      <c r="Z91" s="89">
        <f ca="1">_xlfn.XLOOKUP(RTData[[#This Row],[Ticker_Symbol]],TickerList!$G90:$G184,TickerList!N90:N184)</f>
        <v>0</v>
      </c>
      <c r="AA91" s="90">
        <f ca="1">_xlfn.XLOOKUP(RTData[[#This Row],[Ticker_Symbol]],TickerList!$G90:$G184,TickerList!O90:O184)</f>
        <v>0</v>
      </c>
      <c r="AB91" s="91">
        <v>1E-4</v>
      </c>
      <c r="AC91" s="92">
        <f t="shared" si="10"/>
        <v>3.0000000000000001E-3</v>
      </c>
      <c r="AD91" s="78" t="s">
        <v>70</v>
      </c>
      <c r="AE91" s="93">
        <f ca="1">_xlfn.LET(_xlpm.New1YT,RTData[[#This Row],[1YT]],        _xlpm.Old1YT,IF(ISNUMBER(RTData[[#This Row],[Old1YT]]),RTData[[#This Row],[Old1YT]],VALUE(LEFT(RTData[[#This Row],[Old1YT]],FIND("/",RTData[[#This Row],[Old1YT]],1)-1))),       IF(OR(RTData[[#This Row],[1YT]]=0,_xlpm.Old1YT=0),0,(_xlpm.New1YT-_xlpm.Old1YT)/_xlpm.Old1YT))</f>
        <v>0.11044626569729016</v>
      </c>
      <c r="AF91" s="93" t="str">
        <f ca="1">TEXT(RTData[[#This Row],[1YT]],"#,#0.00")&amp;" &lt; "&amp;RTData[[#This Row],[Old1YT]]</f>
        <v>84.01 &lt; 75.65/69.81/87.12</v>
      </c>
    </row>
    <row r="92" spans="1:33" ht="22" customHeight="1" x14ac:dyDescent="0.3">
      <c r="A92" s="32" t="str" cm="1">
        <f t="array" aca="1" ref="A92" ca="1">_xlfn.SINGLE(RTData[suffix])&amp;_FV(RTData[[#This Row],[Company Name]],"Ticker symbol",TRUE)</f>
        <v>THC</v>
      </c>
      <c r="B92" s="32">
        <f t="shared" ca="1" si="13"/>
        <v>0.85142613878246054</v>
      </c>
      <c r="C92" t="e" vm="72">
        <v>#VALUE!</v>
      </c>
      <c r="D92" s="104" t="str" cm="1">
        <f t="array" aca="1" ref="D92" ca="1">_FV(RTData[[#This Row],[Company Name]],"Currency")</f>
        <v>USD</v>
      </c>
      <c r="E92" s="17" cm="1">
        <f t="array" aca="1" ref="E92" ca="1">_FV(RTData[[#This Row],[Company Name]],"Last trade time",TRUE)</f>
        <v>46022.929886307815</v>
      </c>
      <c r="F92" s="106" cm="1">
        <f t="array" aca="1" ref="F92" ca="1">_FV(RTData[[#This Row],[Company Name]],"Previous close",TRUE)</f>
        <v>201.3</v>
      </c>
      <c r="G92" s="106" cm="1">
        <f t="array" aca="1" ref="G92" ca="1">IFERROR(_FV(RTData[[#This Row],[Company Name]],"Open"),RTData[[#This Row],[Close]])</f>
        <v>200.65</v>
      </c>
      <c r="H92" s="106" cm="1">
        <f t="array" aca="1" ref="H92" ca="1">_FV(RTData[[#This Row],[Company Name]],"Price")</f>
        <v>198.9</v>
      </c>
      <c r="I92" s="106" cm="1">
        <f t="array" aca="1" ref="I92" ca="1">IFERROR(_FV(RTData[[#This Row],[Company Name]],"Low"),0)</f>
        <v>198.22</v>
      </c>
      <c r="J92" s="106" cm="1">
        <f t="array" aca="1" ref="J92" ca="1">IFERROR(_FV(RTData[[#This Row],[Company Name]],"High"),0)</f>
        <v>201.12</v>
      </c>
      <c r="K92" s="19" cm="1">
        <f t="array" aca="1" ref="K92" ca="1">IFERROR(_FV(RTData[[#This Row],[Company Name]],"P/E",TRUE),99)</f>
        <v>13.2197</v>
      </c>
      <c r="L92" s="20" cm="1">
        <f t="array" aca="1" ref="L92" ca="1">_FV(RTData[[#This Row],[Company Name]],"Change")</f>
        <v>-2.4</v>
      </c>
      <c r="M92" s="21" cm="1">
        <f t="array" aca="1" ref="M92" ca="1">_FV(RTData[[#This Row],[Company Name]],"Change (%)",TRUE)</f>
        <v>-1.1923E-2</v>
      </c>
      <c r="N92" s="106" cm="1">
        <f t="array" aca="1" ref="N92" ca="1">_FV(RTData[[#This Row],[Company Name]],"52 week low",TRUE)</f>
        <v>109.82389999999999</v>
      </c>
      <c r="O92" s="106" cm="1">
        <f t="array" aca="1" ref="O92" ca="1">_FV(RTData[[#This Row],[Company Name]],"52 week high",TRUE)</f>
        <v>222.815</v>
      </c>
      <c r="P92" s="22" cm="1">
        <f t="array" aca="1" ref="P92" ca="1">_FV(RTData[[#This Row],[Company Name]],"Volume")</f>
        <v>661287</v>
      </c>
      <c r="Q92" s="22" cm="1">
        <f t="array" aca="1" ref="Q92" ca="1">_FV(RTData[[#This Row],[Company Name]],"Volume average",TRUE)</f>
        <v>926943</v>
      </c>
      <c r="R92" s="106" cm="1">
        <f t="array" aca="1" ref="R92" ca="1">_FV(RTData[[#This Row],[Company Name]],"Beta")</f>
        <v>1.4032</v>
      </c>
      <c r="T92" t="s">
        <v>25</v>
      </c>
      <c r="U92" t="str" cm="1">
        <f t="array" aca="1" ref="U92" ca="1">_FV(RTData[[#This Row],[Company Name]],"Exchange abbreviation",TRUE)</f>
        <v>XNYS</v>
      </c>
      <c r="V92" s="23">
        <f ca="1">IFERROR(RTData[[#This Row],[Volume]]/RTData[[#This Row],[Volume average]],1)</f>
        <v>0.71340632595531761</v>
      </c>
      <c r="W92" s="23"/>
      <c r="X92" s="96">
        <f ca="1">_xlfn.XLOOKUP(RTData[[#This Row],[Ticker_Symbol]],TickerList!$G91:$G185,TickerList!L91:L185)</f>
        <v>237.2381</v>
      </c>
      <c r="Y92" s="89">
        <f ca="1">_xlfn.XLOOKUP(RTData[[#This Row],[Ticker_Symbol]],TickerList!$G91:$G185,TickerList!M91:M185)</f>
        <v>36598</v>
      </c>
      <c r="Z92" s="89">
        <f ca="1">_xlfn.XLOOKUP(RTData[[#This Row],[Ticker_Symbol]],TickerList!$G91:$G185,TickerList!N91:N185)</f>
        <v>0</v>
      </c>
      <c r="AA92" s="90">
        <f ca="1">_xlfn.XLOOKUP(RTData[[#This Row],[Ticker_Symbol]],TickerList!$G91:$G185,TickerList!O91:O185)</f>
        <v>0</v>
      </c>
      <c r="AB92" s="91">
        <v>1E-4</v>
      </c>
      <c r="AC92" s="92">
        <f t="shared" si="10"/>
        <v>3.0000000000000001E-3</v>
      </c>
      <c r="AD92" s="78">
        <v>177.21</v>
      </c>
      <c r="AE92" s="93">
        <f ca="1">_xlfn.LET(_xlpm.New1YT,RTData[[#This Row],[1YT]],        _xlpm.Old1YT,IF(ISNUMBER(RTData[[#This Row],[Old1YT]]),RTData[[#This Row],[Old1YT]],VALUE(LEFT(RTData[[#This Row],[Old1YT]],FIND("/",RTData[[#This Row],[Old1YT]],1)-1))),       IF(OR(RTData[[#This Row],[1YT]]=0,_xlpm.Old1YT=0),0,(_xlpm.New1YT-_xlpm.Old1YT)/_xlpm.Old1YT))</f>
        <v>0.33873991309745494</v>
      </c>
      <c r="AF92" s="93" t="str">
        <f ca="1">TEXT(RTData[[#This Row],[1YT]],"#,#0.00")&amp;" &lt; "&amp;RTData[[#This Row],[Old1YT]]</f>
        <v>237.24 &lt; 177.21</v>
      </c>
    </row>
    <row r="93" spans="1:33" ht="22" customHeight="1" x14ac:dyDescent="0.3">
      <c r="A93" s="32" t="str" cm="1">
        <f t="array" aca="1" ref="A93" ca="1">_xlfn.SINGLE(RTData[suffix])&amp;_FV(RTData[[#This Row],[Company Name]],"Ticker symbol",TRUE)</f>
        <v>X</v>
      </c>
      <c r="B93" s="32">
        <f t="shared" ca="1" si="13"/>
        <v>0.85142613878246054</v>
      </c>
      <c r="C93" t="e" vm="73">
        <v>#VALUE!</v>
      </c>
      <c r="D93" s="104" t="str" cm="1">
        <f t="array" aca="1" ref="D93" ca="1">_FV(RTData[[#This Row],[Company Name]],"Currency")</f>
        <v>USD</v>
      </c>
      <c r="E93" s="17" cm="1">
        <f t="array" aca="1" ref="E93" ca="1">_FV(RTData[[#This Row],[Company Name]],"Last trade time",TRUE)</f>
        <v>45825.999177476566</v>
      </c>
      <c r="F93" s="106" cm="1">
        <f t="array" aca="1" ref="F93" ca="1">_FV(RTData[[#This Row],[Company Name]],"Previous close",TRUE)</f>
        <v>54.85</v>
      </c>
      <c r="G93" s="106" cm="1">
        <f t="array" aca="1" ref="G93" ca="1">IFERROR(_FV(RTData[[#This Row],[Company Name]],"Open"),RTData[[#This Row],[Close]])</f>
        <v>54.83</v>
      </c>
      <c r="H93" s="106" cm="1">
        <f t="array" aca="1" ref="H93" ca="1">_FV(RTData[[#This Row],[Company Name]],"Price")</f>
        <v>54.84</v>
      </c>
      <c r="I93" s="106" cm="1">
        <f t="array" aca="1" ref="I93" ca="1">IFERROR(_FV(RTData[[#This Row],[Company Name]],"Low"),0)</f>
        <v>54.78</v>
      </c>
      <c r="J93" s="106"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06" cm="1">
        <f t="array" aca="1" ref="N93" ca="1">_FV(RTData[[#This Row],[Company Name]],"52 week low",TRUE)</f>
        <v>26.914999999999999</v>
      </c>
      <c r="O93" s="106" cm="1">
        <f t="array" aca="1" ref="O93" ca="1">_FV(RTData[[#This Row],[Company Name]],"52 week high",TRUE)</f>
        <v>54.91</v>
      </c>
      <c r="P93" s="22" cm="1">
        <f t="array" aca="1" ref="P93" ca="1">_FV(RTData[[#This Row],[Company Name]],"Volume")</f>
        <v>876</v>
      </c>
      <c r="Q93" s="22" cm="1">
        <f t="array" aca="1" ref="Q93" ca="1">_FV(RTData[[#This Row],[Company Name]],"Volume average",TRUE)</f>
        <v>12153533</v>
      </c>
      <c r="R93" s="106"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96">
        <f ca="1">_xlfn.XLOOKUP(RTData[[#This Row],[Ticker_Symbol]],TickerList!$G92:$G186,TickerList!L92:L186)</f>
        <v>0</v>
      </c>
      <c r="Y93" s="89">
        <f ca="1">_xlfn.XLOOKUP(RTData[[#This Row],[Ticker_Symbol]],TickerList!$G92:$G186,TickerList!M92:M186)</f>
        <v>0</v>
      </c>
      <c r="Z93" s="89">
        <f ca="1">_xlfn.XLOOKUP(RTData[[#This Row],[Ticker_Symbol]],TickerList!$G92:$G186,TickerList!N92:N186)</f>
        <v>0</v>
      </c>
      <c r="AA93" s="90">
        <f ca="1">_xlfn.XLOOKUP(RTData[[#This Row],[Ticker_Symbol]],TickerList!$G92:$G186,TickerList!O92:O186)</f>
        <v>0</v>
      </c>
      <c r="AB93" s="91">
        <v>1E-4</v>
      </c>
      <c r="AC93" s="92">
        <f t="shared" si="10"/>
        <v>3.0000000000000001E-3</v>
      </c>
      <c r="AD93" s="78">
        <v>39.130000000000003</v>
      </c>
      <c r="AE93" s="93">
        <f ca="1">_xlfn.LET(_xlpm.New1YT,RTData[[#This Row],[1YT]],        _xlpm.Old1YT,IF(ISNUMBER(RTData[[#This Row],[Old1YT]]),RTData[[#This Row],[Old1YT]],VALUE(LEFT(RTData[[#This Row],[Old1YT]],FIND("/",RTData[[#This Row],[Old1YT]],1)-1))),       IF(OR(RTData[[#This Row],[1YT]]=0,_xlpm.Old1YT=0),0,(_xlpm.New1YT-_xlpm.Old1YT)/_xlpm.Old1YT))</f>
        <v>0</v>
      </c>
      <c r="AF93" s="93" t="str">
        <f ca="1">TEXT(RTData[[#This Row],[1YT]],"#,#0.00")&amp;" &lt; "&amp;RTData[[#This Row],[Old1YT]]</f>
        <v>0.00 &lt; 39.13</v>
      </c>
    </row>
    <row r="94" spans="1:33" x14ac:dyDescent="0.3">
      <c r="A94" s="32" t="str" cm="1">
        <f t="array" aca="1" ref="A94" ca="1">_xlfn.SINGLE(RTData[suffix])&amp;_FV(RTData[[#This Row],[Company Name]],"Ticker symbol",TRUE)</f>
        <v>LOCK</v>
      </c>
      <c r="B94" s="32">
        <f t="shared" ca="1" si="13"/>
        <v>0.85142613878246054</v>
      </c>
      <c r="C94" t="e" vm="74">
        <v>#VALUE!</v>
      </c>
      <c r="D94" s="104" t="str" cm="1">
        <f t="array" aca="1" ref="D94" ca="1">_FV(RTData[[#This Row],[Company Name]],"Currency")</f>
        <v>USD</v>
      </c>
      <c r="E94" s="17" cm="1">
        <f t="array" aca="1" ref="E94" ca="1">_FV(RTData[[#This Row],[Company Name]],"Last trade time",TRUE)</f>
        <v>46021.833182870374</v>
      </c>
      <c r="F94" s="106" cm="1">
        <f t="array" aca="1" ref="F94" ca="1">_FV(RTData[[#This Row],[Company Name]],"Previous close",TRUE)</f>
        <v>10.16</v>
      </c>
      <c r="G94" s="106" cm="1">
        <f t="array" aca="1" ref="G94" ca="1">IFERROR(_FV(RTData[[#This Row],[Company Name]],"Open"),RTData[[#This Row],[Close]])</f>
        <v>10.17</v>
      </c>
      <c r="H94" s="106" cm="1">
        <f t="array" aca="1" ref="H94" ca="1">_FV(RTData[[#This Row],[Company Name]],"Price")</f>
        <v>10.199999999999999</v>
      </c>
      <c r="I94" s="106" cm="1">
        <f t="array" aca="1" ref="I94" ca="1">IFERROR(_FV(RTData[[#This Row],[Company Name]],"Low"),0)</f>
        <v>10.17</v>
      </c>
      <c r="J94" s="106" cm="1">
        <f t="array" aca="1" ref="J94" ca="1">IFERROR(_FV(RTData[[#This Row],[Company Name]],"High"),0)</f>
        <v>10.199999999999999</v>
      </c>
      <c r="K94" s="19" cm="1">
        <f t="array" ref="K94">IFERROR(_FV(RTData[[#This Row],[Company Name]],"P/E",TRUE),99)</f>
        <v>99</v>
      </c>
      <c r="L94" s="20" cm="1">
        <f t="array" aca="1" ref="L94" ca="1">_FV(RTData[[#This Row],[Company Name]],"Change")</f>
        <v>0.04</v>
      </c>
      <c r="M94" s="21" cm="1">
        <f t="array" aca="1" ref="M94" ca="1">_FV(RTData[[#This Row],[Company Name]],"Change (%)",TRUE)</f>
        <v>3.9369999999999995E-3</v>
      </c>
      <c r="N94" s="106" cm="1">
        <f t="array" aca="1" ref="N94" ca="1">_FV(RTData[[#This Row],[Company Name]],"52 week low",TRUE)</f>
        <v>7.4260000000000002</v>
      </c>
      <c r="O94" s="106" cm="1">
        <f t="array" aca="1" ref="O94" ca="1">_FV(RTData[[#This Row],[Company Name]],"52 week high",TRUE)</f>
        <v>10.672000000000001</v>
      </c>
      <c r="P94" s="22" cm="1">
        <f t="array" aca="1" ref="P94" ca="1">_FV(RTData[[#This Row],[Company Name]],"Volume")</f>
        <v>8607</v>
      </c>
      <c r="Q94" s="22" t="e" cm="1" vm="75">
        <f t="array" ref="Q94">_FV(RTData[[#This Row],[Company Name]],"Volume average",TRUE)</f>
        <v>#VALUE!</v>
      </c>
      <c r="R94" s="106" cm="1">
        <f t="array" aca="1" ref="R94" ca="1">_FV(RTData[[#This Row],[Company Name]],"Beta")</f>
        <v>0.621</v>
      </c>
      <c r="T94" t="s">
        <v>25</v>
      </c>
      <c r="U94" t="str" cm="1">
        <f t="array" aca="1" ref="U94" ca="1">_FV(RTData[[#This Row],[Company Name]],"Exchange abbreviation",TRUE)</f>
        <v>XSWX</v>
      </c>
      <c r="V94" s="23">
        <f ca="1">IFERROR(RTData[[#This Row],[Volume]]/RTData[[#This Row],[Volume average]],1)</f>
        <v>1</v>
      </c>
      <c r="W94" s="23"/>
      <c r="X94" s="96">
        <f ca="1">_xlfn.XLOOKUP(RTData[[#This Row],[Ticker_Symbol]],TickerList!$G93:$G187,TickerList!L93:L187)</f>
        <v>0</v>
      </c>
      <c r="Y94" s="89">
        <f ca="1">_xlfn.XLOOKUP(RTData[[#This Row],[Ticker_Symbol]],TickerList!$G93:$G187,TickerList!M93:M187)</f>
        <v>0</v>
      </c>
      <c r="Z94" s="89">
        <f ca="1">_xlfn.XLOOKUP(RTData[[#This Row],[Ticker_Symbol]],TickerList!$G93:$G187,TickerList!N93:N187)</f>
        <v>0</v>
      </c>
      <c r="AA94" s="90">
        <f ca="1">_xlfn.XLOOKUP(RTData[[#This Row],[Ticker_Symbol]],TickerList!$G93:$G187,TickerList!O93:O187)</f>
        <v>0</v>
      </c>
      <c r="AB94" s="91">
        <f>[1]Sheet2!H93</f>
        <v>0</v>
      </c>
      <c r="AC94" s="92">
        <f t="shared" si="10"/>
        <v>3.0000000000000001E-3</v>
      </c>
      <c r="AD94" s="78">
        <v>10.58</v>
      </c>
      <c r="AE94" s="93">
        <f ca="1">_xlfn.LET(_xlpm.New1YT,RTData[[#This Row],[1YT]],        _xlpm.Old1YT,IF(ISNUMBER(RTData[[#This Row],[Old1YT]]),RTData[[#This Row],[Old1YT]],VALUE(LEFT(RTData[[#This Row],[Old1YT]],FIND("/",RTData[[#This Row],[Old1YT]],1)-1))),       IF(OR(RTData[[#This Row],[1YT]]=0,_xlpm.Old1YT=0),0,(_xlpm.New1YT-_xlpm.Old1YT)/_xlpm.Old1YT))</f>
        <v>0</v>
      </c>
      <c r="AF94" s="93" t="str">
        <f ca="1">TEXT(RTData[[#This Row],[1YT]],"#,#0.00")&amp;" &lt; "&amp;RTData[[#This Row],[Old1YT]]</f>
        <v>0.00 &lt; 10.58</v>
      </c>
      <c r="AG94" s="43"/>
    </row>
    <row r="95" spans="1:33" ht="22" customHeight="1" x14ac:dyDescent="0.3">
      <c r="A95" s="32" t="str" cm="1">
        <f t="array" aca="1" ref="A95" ca="1">_xlfn.SINGLE(RTData[suffix])&amp;_FV(RTData[[#This Row],[Company Name]],"Ticker symbol",TRUE)</f>
        <v>JBASML</v>
      </c>
      <c r="B95" s="48">
        <v>1</v>
      </c>
      <c r="C95" t="e" vm="6">
        <v>#VALUE!</v>
      </c>
      <c r="D95" s="104" t="str" cm="1">
        <f t="array" aca="1" ref="D95" ca="1">_FV(RTData[[#This Row],[Company Name]],"Currency")</f>
        <v>EUR</v>
      </c>
      <c r="E95" s="17" cm="1">
        <f t="array" aca="1" ref="E95" ca="1">_FV(RTData[[#This Row],[Company Name]],"Last trade time",TRUE)</f>
        <v>46022.708333333336</v>
      </c>
      <c r="F95" s="106" cm="1">
        <f t="array" aca="1" ref="F95" ca="1">_FV(RTData[[#This Row],[Company Name]],"Previous close",TRUE)</f>
        <v>918.4</v>
      </c>
      <c r="G95" s="106" cm="1">
        <f t="array" aca="1" ref="G95" ca="1">IFERROR(_FV(RTData[[#This Row],[Company Name]],"Open"),RTData[[#This Row],[Close]])</f>
        <v>909.9</v>
      </c>
      <c r="H95" s="106" cm="1">
        <f t="array" aca="1" ref="H95" ca="1">_FV(RTData[[#This Row],[Company Name]],"Price")</f>
        <v>921.4</v>
      </c>
      <c r="I95" s="106" cm="1">
        <f t="array" aca="1" ref="I95" ca="1">IFERROR(_FV(RTData[[#This Row],[Company Name]],"Low"),0)</f>
        <v>909.1</v>
      </c>
      <c r="J95" s="106" cm="1">
        <f t="array" aca="1" ref="J95" ca="1">IFERROR(_FV(RTData[[#This Row],[Company Name]],"High"),0)</f>
        <v>921.4</v>
      </c>
      <c r="K95" s="19" cm="1">
        <f t="array" aca="1" ref="K95" ca="1">IFERROR(_FV(RTData[[#This Row],[Company Name]],"P/E",TRUE),99)</f>
        <v>35.378500000000003</v>
      </c>
      <c r="L95" s="20" cm="1">
        <f t="array" aca="1" ref="L95" ca="1">_FV(RTData[[#This Row],[Company Name]],"Change")</f>
        <v>3</v>
      </c>
      <c r="M95" s="21" cm="1">
        <f t="array" aca="1" ref="M95" ca="1">_FV(RTData[[#This Row],[Company Name]],"Change (%)",TRUE)</f>
        <v>3.2669999999999999E-3</v>
      </c>
      <c r="N95" s="106" cm="1">
        <f t="array" aca="1" ref="N95" ca="1">_FV(RTData[[#This Row],[Company Name]],"52 week low",TRUE)</f>
        <v>508.4</v>
      </c>
      <c r="O95" s="106" cm="1">
        <f t="array" aca="1" ref="O95" ca="1">_FV(RTData[[#This Row],[Company Name]],"52 week high",TRUE)</f>
        <v>977.1</v>
      </c>
      <c r="P95" s="22" cm="1">
        <f t="array" aca="1" ref="P95" ca="1">_FV(RTData[[#This Row],[Company Name]],"Volume")</f>
        <v>156048</v>
      </c>
      <c r="Q95" s="22" cm="1">
        <f t="array" aca="1" ref="Q95" ca="1">_FV(RTData[[#This Row],[Company Name]],"Volume average",TRUE)</f>
        <v>556440</v>
      </c>
      <c r="R95" s="106" cm="1">
        <f t="array" aca="1" ref="R95" ca="1">_FV(RTData[[#This Row],[Company Name]],"Beta")</f>
        <v>2.0910000000000002</v>
      </c>
      <c r="S95" t="s">
        <v>20</v>
      </c>
      <c r="T95" t="s">
        <v>21</v>
      </c>
      <c r="U95" t="str" cm="1">
        <f t="array" aca="1" ref="U95" ca="1">_FV(RTData[[#This Row],[Company Name]],"Exchange abbreviation",TRUE)</f>
        <v>XAMS</v>
      </c>
      <c r="V95" s="23">
        <f ca="1">IFERROR(RTData[[#This Row],[Volume]]/RTData[[#This Row],[Volume average]],1)</f>
        <v>0.28043993961613112</v>
      </c>
      <c r="W95" s="23"/>
      <c r="X95" s="96">
        <f ca="1">_xlfn.XLOOKUP(RTData[[#This Row],[Ticker_Symbol]],TickerList!$G94:$G188,TickerList!L94:L188)</f>
        <v>1007.8667</v>
      </c>
      <c r="Y95" s="89">
        <f ca="1">_xlfn.XLOOKUP(RTData[[#This Row],[Ticker_Symbol]],TickerList!$G94:$G188,TickerList!M94:M188)</f>
        <v>45958</v>
      </c>
      <c r="Z95" s="89">
        <f ca="1">_xlfn.XLOOKUP(RTData[[#This Row],[Ticker_Symbol]],TickerList!$G94:$G188,TickerList!N94:N188)</f>
        <v>0</v>
      </c>
      <c r="AA95" s="90">
        <f ca="1">_xlfn.XLOOKUP(RTData[[#This Row],[Ticker_Symbol]],TickerList!$G94:$G188,TickerList!O94:O188)</f>
        <v>7.0999996000000003E-3</v>
      </c>
      <c r="AB95" s="91">
        <f>[1]Sheet2!H94</f>
        <v>0</v>
      </c>
      <c r="AC95" s="92">
        <f t="shared" si="10"/>
        <v>3.0000000000000001E-3</v>
      </c>
      <c r="AD95" s="78">
        <v>847.58</v>
      </c>
      <c r="AE95" s="93">
        <f ca="1">_xlfn.LET(_xlpm.New1YT,RTData[[#This Row],[1YT]],        _xlpm.Old1YT,IF(ISNUMBER(RTData[[#This Row],[Old1YT]]),RTData[[#This Row],[Old1YT]],VALUE(LEFT(RTData[[#This Row],[Old1YT]],FIND("/",RTData[[#This Row],[Old1YT]],1)-1))),       IF(OR(RTData[[#This Row],[1YT]]=0,_xlpm.Old1YT=0),0,(_xlpm.New1YT-_xlpm.Old1YT)/_xlpm.Old1YT))</f>
        <v>0.18911099837183509</v>
      </c>
      <c r="AF95" s="93" t="str">
        <f ca="1">TEXT(RTData[[#This Row],[1YT]],"#,#0.00")&amp;" &lt; "&amp;RTData[[#This Row],[Old1YT]]</f>
        <v>1,007.87 &lt; 847.58</v>
      </c>
    </row>
    <row r="96" spans="1:33" x14ac:dyDescent="0.3">
      <c r="A96" s="32" t="str" cm="1">
        <f t="array" aca="1" ref="A96" ca="1">_xlfn.SINGLE(RTData[suffix])&amp;_FV(RTData[[#This Row],[Company Name]],"Ticker symbol",TRUE)</f>
        <v>JBEOAN</v>
      </c>
      <c r="B96" s="47">
        <v>1</v>
      </c>
      <c r="C96" t="e" vm="53">
        <v>#VALUE!</v>
      </c>
      <c r="D96" s="104" t="str" cm="1">
        <f t="array" aca="1" ref="D96" ca="1">_FV(RTData[[#This Row],[Company Name]],"Currency")</f>
        <v>EUR</v>
      </c>
      <c r="E96" s="17" cm="1">
        <f t="array" aca="1" ref="E96" ca="1">_FV(RTData[[#This Row],[Company Name]],"Last trade time",TRUE)</f>
        <v>46021.583333333336</v>
      </c>
      <c r="F96" s="106" cm="1">
        <f t="array" aca="1" ref="F96" ca="1">_FV(RTData[[#This Row],[Company Name]],"Previous close",TRUE)</f>
        <v>15.94</v>
      </c>
      <c r="G96" s="106" cm="1">
        <f t="array" aca="1" ref="G96" ca="1">IFERROR(_FV(RTData[[#This Row],[Company Name]],"Open"),RTData[[#This Row],[Close]])</f>
        <v>16.004999999999999</v>
      </c>
      <c r="H96" s="106" cm="1">
        <f t="array" aca="1" ref="H96" ca="1">_FV(RTData[[#This Row],[Company Name]],"Price")</f>
        <v>16.12</v>
      </c>
      <c r="I96" s="106" cm="1">
        <f t="array" aca="1" ref="I96" ca="1">IFERROR(_FV(RTData[[#This Row],[Company Name]],"Low"),0)</f>
        <v>16.004999999999999</v>
      </c>
      <c r="J96" s="106" cm="1">
        <f t="array" aca="1" ref="J96" ca="1">IFERROR(_FV(RTData[[#This Row],[Company Name]],"High"),0)</f>
        <v>16.12</v>
      </c>
      <c r="K96" s="19" cm="1">
        <f t="array" aca="1" ref="K96" ca="1">IFERROR(_FV(RTData[[#This Row],[Company Name]],"P/E",TRUE),99)</f>
        <v>14.0174</v>
      </c>
      <c r="L96" s="20" cm="1">
        <f t="array" aca="1" ref="L96" ca="1">_FV(RTData[[#This Row],[Company Name]],"Change")</f>
        <v>0.18</v>
      </c>
      <c r="M96" s="21" cm="1">
        <f t="array" aca="1" ref="M96" ca="1">_FV(RTData[[#This Row],[Company Name]],"Change (%)",TRUE)</f>
        <v>1.1292E-2</v>
      </c>
      <c r="N96" s="106" cm="1">
        <f t="array" aca="1" ref="N96" ca="1">_FV(RTData[[#This Row],[Company Name]],"52 week low",TRUE)</f>
        <v>7.3</v>
      </c>
      <c r="O96" s="106" cm="1">
        <f t="array" aca="1" ref="O96" ca="1">_FV(RTData[[#This Row],[Company Name]],"52 week high",TRUE)</f>
        <v>16.515000000000001</v>
      </c>
      <c r="P96" s="22" cm="1">
        <f t="array" aca="1" ref="P96" ca="1">_FV(RTData[[#This Row],[Company Name]],"Volume")</f>
        <v>5516</v>
      </c>
      <c r="Q96" s="22" cm="1">
        <f t="array" aca="1" ref="Q96" ca="1">_FV(RTData[[#This Row],[Company Name]],"Volume average",TRUE)</f>
        <v>5221070</v>
      </c>
      <c r="R96" s="106" cm="1">
        <f t="array" aca="1" ref="R96" ca="1">_FV(RTData[[#This Row],[Company Name]],"Beta")</f>
        <v>0.87070000000000003</v>
      </c>
      <c r="S96" t="s">
        <v>20</v>
      </c>
      <c r="T96" t="s">
        <v>21</v>
      </c>
      <c r="U96" t="str" cm="1">
        <f t="array" aca="1" ref="U96" ca="1">_FV(RTData[[#This Row],[Company Name]],"Exchange abbreviation",TRUE)</f>
        <v>XFRA</v>
      </c>
      <c r="V96" s="95">
        <f ca="1">IFERROR(RTData[[#This Row],[Volume]]/RTData[[#This Row],[Volume average]],1)</f>
        <v>1.0564884209558578E-3</v>
      </c>
      <c r="W96" s="95"/>
      <c r="X96" s="96">
        <f ca="1">_xlfn.XLOOKUP(RTData[[#This Row],[Ticker_Symbol]],TickerList!$G95:$G189,TickerList!L95:L189)</f>
        <v>17.016529999999999</v>
      </c>
      <c r="Y96" s="89">
        <f ca="1">_xlfn.XLOOKUP(RTData[[#This Row],[Ticker_Symbol]],TickerList!$G95:$G189,TickerList!M95:M189)</f>
        <v>45793</v>
      </c>
      <c r="Z96" s="89">
        <f ca="1">_xlfn.XLOOKUP(RTData[[#This Row],[Ticker_Symbol]],TickerList!$G95:$G189,TickerList!N95:N189)</f>
        <v>0</v>
      </c>
      <c r="AA96" s="90">
        <f ca="1">_xlfn.XLOOKUP(RTData[[#This Row],[Ticker_Symbol]],TickerList!$G95:$G189,TickerList!O95:O189)</f>
        <v>3.4299999999999997E-2</v>
      </c>
      <c r="AB96" s="91">
        <f>[1]Sheet2!H95</f>
        <v>0</v>
      </c>
      <c r="AC96" s="92">
        <f t="shared" si="10"/>
        <v>3.0000000000000001E-3</v>
      </c>
      <c r="AD96" s="96">
        <v>16.3</v>
      </c>
      <c r="AE96" s="93">
        <f ca="1">_xlfn.LET(_xlpm.New1YT,RTData[[#This Row],[1YT]],        _xlpm.Old1YT,IF(ISNUMBER(RTData[[#This Row],[Old1YT]]),RTData[[#This Row],[Old1YT]],VALUE(LEFT(RTData[[#This Row],[Old1YT]],FIND("/",RTData[[#This Row],[Old1YT]],1)-1))),       IF(OR(RTData[[#This Row],[1YT]]=0,_xlpm.Old1YT=0),0,(_xlpm.New1YT-_xlpm.Old1YT)/_xlpm.Old1YT))</f>
        <v>4.3958895705521396E-2</v>
      </c>
      <c r="AF96" s="93" t="str">
        <f ca="1">TEXT(RTData[[#This Row],[1YT]],"#,#0.00")&amp;" &lt; "&amp;RTData[[#This Row],[Old1YT]]</f>
        <v>17.02 &lt; 16.3</v>
      </c>
    </row>
    <row r="97" spans="1:31" x14ac:dyDescent="0.3">
      <c r="A97" s="33" t="s">
        <v>26</v>
      </c>
      <c r="B97" s="33"/>
      <c r="C97" s="34"/>
      <c r="D97" s="24"/>
      <c r="J97" s="35"/>
      <c r="K97"/>
      <c r="L97" s="20">
        <f ca="1">SUBTOTAL(101,RTData[Change])</f>
        <v>-0.37557340425531921</v>
      </c>
      <c r="M97" s="36">
        <f ca="1">SUBTOTAL(104,RTData[Change%])</f>
        <v>7.3669999999999999E-2</v>
      </c>
      <c r="O97"/>
      <c r="P97" s="22">
        <f ca="1">SUBTOTAL(104,RTData[Volume])</f>
        <v>452081061</v>
      </c>
      <c r="Q97" s="22" t="e" vm="76">
        <f ca="1">SUBTOTAL(101,RTData[Volume average])</f>
        <v>#VALUE!</v>
      </c>
      <c r="R97"/>
      <c r="V97" s="85"/>
      <c r="W97"/>
      <c r="X97" s="63"/>
      <c r="Y97" s="59"/>
      <c r="Z97" s="59"/>
      <c r="AE97" s="94"/>
    </row>
    <row r="98" spans="1:31" x14ac:dyDescent="0.3">
      <c r="A98" s="33"/>
      <c r="B98" s="33"/>
      <c r="C98" s="34"/>
      <c r="D98" s="24"/>
      <c r="J98" s="35"/>
      <c r="K98"/>
      <c r="L98" s="20"/>
      <c r="M98" s="36"/>
      <c r="O98"/>
      <c r="Q98" s="22"/>
      <c r="R98"/>
      <c r="V98" s="85"/>
      <c r="W98"/>
      <c r="X98" s="63"/>
      <c r="Y98" s="59"/>
      <c r="Z98" s="59"/>
      <c r="AE98" s="94"/>
    </row>
    <row r="99" spans="1:31" x14ac:dyDescent="0.3">
      <c r="A99" s="33" t="s">
        <v>27</v>
      </c>
      <c r="B99" s="34" t="s">
        <v>28</v>
      </c>
      <c r="C99" s="49" t="s">
        <v>29</v>
      </c>
      <c r="D99" s="50" t="s">
        <v>31</v>
      </c>
      <c r="L99"/>
      <c r="M99" s="22"/>
      <c r="O99"/>
      <c r="P99" s="37"/>
      <c r="R99" s="37"/>
      <c r="V99" s="64"/>
      <c r="W99" s="60"/>
      <c r="X99" s="39"/>
    </row>
    <row r="100" spans="1:31" x14ac:dyDescent="0.3">
      <c r="A100" t="e" vm="77">
        <v>#VALUE!</v>
      </c>
      <c r="B100" s="40" cm="1">
        <f t="array" aca="1" ref="B100" ca="1">_FV(A100,"Price")</f>
        <v>1.1745000000000001</v>
      </c>
      <c r="C100" s="41" cm="1">
        <f t="array" aca="1" ref="C100" ca="1">_FV(A100,"52 week high",TRUE)</f>
        <v>1.1918</v>
      </c>
      <c r="D100" s="112">
        <f ca="1">1/RTExR[[#This Row],[RT]]</f>
        <v>0.85142613878246054</v>
      </c>
      <c r="P100" s="42"/>
      <c r="R100"/>
      <c r="W100" s="60"/>
      <c r="X100" s="39"/>
      <c r="AC100">
        <f>0.3%</f>
        <v>3.0000000000000001E-3</v>
      </c>
    </row>
    <row r="101" spans="1:31" x14ac:dyDescent="0.3">
      <c r="A101" t="e" vm="78">
        <v>#VALUE!</v>
      </c>
      <c r="B101" s="40" cm="1">
        <f t="array" aca="1" ref="B101" ca="1">_FV(A101,"Price")</f>
        <v>0.93069999999999997</v>
      </c>
      <c r="C101" s="44" cm="1">
        <f t="array" aca="1" ref="C101" ca="1">_FV(A101,"52 week high",TRUE)</f>
        <v>0.96609999999999996</v>
      </c>
      <c r="D101" s="112">
        <f ca="1">1/RTExR[[#This Row],[RT]]</f>
        <v>1.0744600838078866</v>
      </c>
      <c r="P101" s="42"/>
      <c r="R101"/>
    </row>
    <row r="102" spans="1:31" x14ac:dyDescent="0.3">
      <c r="A102" t="e" vm="79">
        <v>#VALUE!</v>
      </c>
      <c r="B102" s="40" cm="1">
        <f t="array" aca="1" ref="B102" ca="1">_FV(A102,"Price")</f>
        <v>0.87160000000000004</v>
      </c>
      <c r="C102" s="45" cm="1">
        <f t="array" aca="1" ref="C102" ca="1">_FV(A102,"52 week high",TRUE)</f>
        <v>0.88649999999999995</v>
      </c>
      <c r="D102" s="112">
        <f ca="1">1/RTExR[[#This Row],[RT]]</f>
        <v>1.1473152822395594</v>
      </c>
      <c r="P102" s="42"/>
      <c r="R102"/>
    </row>
    <row r="103" spans="1:31" x14ac:dyDescent="0.3">
      <c r="A103" t="e" vm="80">
        <v>#VALUE!</v>
      </c>
      <c r="B103" s="40" cm="1">
        <f t="array" aca="1" ref="B103" ca="1">_FV(A103,"Price")</f>
        <v>1.7605999999999999</v>
      </c>
      <c r="C103" s="41" cm="1">
        <f t="array" aca="1" ref="C103" ca="1">_FV(A103,"52 week high",TRUE)</f>
        <v>1.8554999999999999</v>
      </c>
      <c r="D103" s="112">
        <f ca="1">1/RTExR[[#This Row],[RT]]</f>
        <v>0.56798818584573441</v>
      </c>
      <c r="P103" s="42"/>
      <c r="R103"/>
    </row>
    <row r="104" spans="1:31" x14ac:dyDescent="0.3">
      <c r="A104" t="e" vm="81">
        <v>#VALUE!</v>
      </c>
      <c r="B104" s="40" cm="1">
        <f t="array" aca="1" ref="B104" ca="1">_FV(A104,"Price")</f>
        <v>1.6119000000000001</v>
      </c>
      <c r="C104" s="41" cm="1">
        <f t="array" aca="1" ref="C104" ca="1">_FV(A104,"52 week high",TRUE)</f>
        <v>1.6468</v>
      </c>
      <c r="D104" s="112">
        <f ca="1">1/RTExR[[#This Row],[RT]]</f>
        <v>0.62038588001737072</v>
      </c>
      <c r="P104" s="42"/>
      <c r="R104"/>
    </row>
    <row r="105" spans="1:31" x14ac:dyDescent="0.3">
      <c r="A105" t="e" vm="82">
        <v>#VALUE!</v>
      </c>
      <c r="B105" s="40" cm="1">
        <f t="array" aca="1" ref="B105" ca="1">_FV(A105,"Price")</f>
        <v>156.66</v>
      </c>
      <c r="C105" s="46" cm="1">
        <f t="array" aca="1" ref="C105" ca="1">_FV(A105,"52 week high",TRUE)</f>
        <v>158.87</v>
      </c>
      <c r="D105" s="112">
        <f ca="1">1/RTExR[[#This Row],[RT]]</f>
        <v>6.3832503510787694E-3</v>
      </c>
      <c r="J105"/>
      <c r="P105" s="42"/>
      <c r="R105"/>
    </row>
    <row r="106" spans="1:31" x14ac:dyDescent="0.3">
      <c r="A106" t="e" vm="83">
        <v>#VALUE!</v>
      </c>
      <c r="B106" s="40" cm="1">
        <f t="array" aca="1" ref="B106" ca="1">_FV(A106,"Price")</f>
        <v>0.79239999999999999</v>
      </c>
      <c r="C106" s="44" cm="1">
        <f t="array" aca="1" ref="C106" ca="1">_FV(A106,"52 week high",TRUE)</f>
        <v>0.92</v>
      </c>
      <c r="D106" s="112">
        <f ca="1">1/RTExR[[#This Row],[RT]]</f>
        <v>1.2619888944977284</v>
      </c>
    </row>
    <row r="107" spans="1:31" x14ac:dyDescent="0.3">
      <c r="A107" t="e" vm="84">
        <v>#VALUE!</v>
      </c>
      <c r="B107" s="40" cm="1">
        <f t="array" aca="1" ref="B107" ca="1">_FV(A107,"Price")</f>
        <v>0.74209999999999998</v>
      </c>
      <c r="C107" s="45" cm="1">
        <f t="array" aca="1" ref="C107" ca="1">_FV(A107,"52 week high",TRUE)</f>
        <v>0.82650000000000001</v>
      </c>
      <c r="D107" s="112">
        <f ca="1">1/RTExR[[#This Row],[RT]]</f>
        <v>1.3475272874275703</v>
      </c>
    </row>
    <row r="108" spans="1:31" x14ac:dyDescent="0.3">
      <c r="C108" s="83" t="s">
        <v>38</v>
      </c>
      <c r="E108" s="87"/>
      <c r="F108" s="87"/>
    </row>
    <row r="109" spans="1:31" x14ac:dyDescent="0.3">
      <c r="A109" s="16"/>
      <c r="B109"/>
      <c r="C109" s="37" t="e" vm="36">
        <v>#VALUE!</v>
      </c>
      <c r="D109" s="86"/>
      <c r="E109" s="18"/>
      <c r="F109" s="18"/>
      <c r="X109" s="18"/>
      <c r="Y109" s="18"/>
      <c r="Z109" s="18"/>
    </row>
    <row r="110" spans="1:31" x14ac:dyDescent="0.3">
      <c r="C110" t="e" vm="85">
        <v>#VALUE!</v>
      </c>
      <c r="D110" s="18"/>
      <c r="E110" s="18"/>
      <c r="F110" s="18"/>
    </row>
    <row r="111" spans="1:31" x14ac:dyDescent="0.3">
      <c r="C111" s="37" t="e" vm="86">
        <v>#VALUE!</v>
      </c>
      <c r="D111" s="18"/>
    </row>
    <row r="112" spans="1:31" x14ac:dyDescent="0.3">
      <c r="C112" s="37" t="s">
        <v>41</v>
      </c>
      <c r="D112" s="18"/>
      <c r="E112" s="18"/>
      <c r="F112" s="18"/>
    </row>
    <row r="113" spans="1:4" x14ac:dyDescent="0.3">
      <c r="C113" s="37" t="e" vm="19">
        <v>#VALUE!</v>
      </c>
      <c r="D113" s="18"/>
    </row>
    <row r="114" spans="1:4" x14ac:dyDescent="0.3">
      <c r="A114" s="37"/>
      <c r="C114" s="37" t="s">
        <v>42</v>
      </c>
    </row>
    <row r="115" spans="1:4" x14ac:dyDescent="0.3">
      <c r="D115" s="37"/>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42 B7:B8 B50 B55 B57:B59 B61:B65 B68 B75:B76 B78 B86"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U97"/>
  <sheetViews>
    <sheetView showZeros="0" zoomScaleNormal="70" workbookViewId="0">
      <pane xSplit="1" ySplit="1" topLeftCell="B63" activePane="bottomRight" state="frozen"/>
      <selection pane="topRight" activeCell="B1" sqref="B1"/>
      <selection pane="bottomLeft" activeCell="A2" sqref="A2"/>
      <selection pane="bottomRight" activeCell="P11" sqref="P11"/>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37" bestFit="1" customWidth="1"/>
    <col min="7" max="7" width="10.25" bestFit="1" customWidth="1"/>
    <col min="8" max="8" width="12.375" style="37" bestFit="1" customWidth="1"/>
    <col min="9" max="9" width="10.625" customWidth="1"/>
    <col min="11" max="11" width="0" hidden="1" customWidth="1"/>
    <col min="19" max="19" width="11.5" bestFit="1" customWidth="1"/>
    <col min="20" max="20" width="11.375" bestFit="1" customWidth="1"/>
  </cols>
  <sheetData>
    <row r="1" spans="1:21" x14ac:dyDescent="0.3">
      <c r="A1" s="98" t="s">
        <v>72</v>
      </c>
      <c r="B1" s="98" t="str">
        <f>[1]Sheet1!B1</f>
        <v>1-Year Target Price</v>
      </c>
      <c r="C1" s="98" t="str">
        <f>[1]Sheet1!C1</f>
        <v>Ex-Dividend Date</v>
      </c>
      <c r="D1" s="98" t="str">
        <f>[1]Sheet1!D1</f>
        <v>Earnings Date</v>
      </c>
      <c r="E1" s="99" t="str">
        <f>[1]Sheet1!E1</f>
        <v>Dividend Yield (%)</v>
      </c>
      <c r="F1" s="100" t="s">
        <v>170</v>
      </c>
      <c r="G1" s="98" t="s">
        <v>169</v>
      </c>
      <c r="H1" s="100" t="s">
        <v>171</v>
      </c>
      <c r="I1" s="98"/>
      <c r="J1" s="98"/>
      <c r="K1" s="98" t="s">
        <v>133</v>
      </c>
    </row>
    <row r="2" spans="1:21" x14ac:dyDescent="0.3">
      <c r="A2" t="str">
        <f>[2]YData!A2</f>
        <v>AAPL</v>
      </c>
      <c r="B2">
        <f>[2]YData!B2</f>
        <v>287.70681999999999</v>
      </c>
      <c r="C2" s="101">
        <f>VALUE([2]YData!C2)</f>
        <v>45971</v>
      </c>
      <c r="D2">
        <f>[2]YData!D2</f>
        <v>0</v>
      </c>
      <c r="E2" s="21">
        <f>[2]YData!E2</f>
        <v>3.8E-3</v>
      </c>
      <c r="F2" s="37" t="str">
        <f>_xlfn.LET(_xlpm.Tick,A2,IFERROR(LEFT(_xlpm.Tick,FIND(".",_xlpm.Tick)-1),_xlpm.Tick))</f>
        <v>AAPL</v>
      </c>
      <c r="G2" t="s">
        <v>73</v>
      </c>
      <c r="H2" s="37"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287.70681999999999</v>
      </c>
      <c r="M2">
        <v>45971</v>
      </c>
      <c r="N2">
        <v>0</v>
      </c>
      <c r="O2">
        <v>3.8E-3</v>
      </c>
      <c r="Q2" t="str" cm="1">
        <f t="array" ref="Q2:Q96">_xlfn.MAP(H2:H96, _xlfn.LAMBDA(_xlpm.h,
    _xlfn.LET(
        _xlpm.Avals, A2:A75,
        _xlpm.PreDot, LEFT(_xlpm.Avals, FIND(".", _xlpm.Avals&amp;".")-1),
        _xlpm.pos, _xlfn.XMATCH(_xlpm.h, _xlpm.PreDot, 0),
        IFERROR(INDEX(_xlpm.Avals, _xlpm.pos), "")
    )
))</f>
        <v>AAPL</v>
      </c>
      <c r="R2">
        <f>_xlfn.XLOOKUP($Q2,$A$2:$A$75,B$2:B$75)</f>
        <v>287.70681999999999</v>
      </c>
      <c r="S2" s="109">
        <f t="shared" ref="S2:U2" si="0">_xlfn.XLOOKUP($Q2,$A$2:$A$75,C$2:C$75)</f>
        <v>45971</v>
      </c>
      <c r="T2">
        <f t="shared" si="0"/>
        <v>0</v>
      </c>
      <c r="U2" s="108">
        <f t="shared" si="0"/>
        <v>3.8E-3</v>
      </c>
    </row>
    <row r="3" spans="1:21" x14ac:dyDescent="0.3">
      <c r="A3" t="str">
        <f>[2]YData!A3</f>
        <v>ADEA</v>
      </c>
      <c r="B3">
        <f>[2]YData!B3</f>
        <v>22.75</v>
      </c>
      <c r="C3" s="101">
        <f>VALUE([2]YData!C3)</f>
        <v>45985</v>
      </c>
      <c r="D3">
        <f>[2]YData!D3</f>
        <v>0</v>
      </c>
      <c r="E3" s="21">
        <f>[2]YData!E3</f>
        <v>1.1599999999999999E-2</v>
      </c>
      <c r="F3" s="37" t="str">
        <f t="shared" ref="F3:F66" si="1">_xlfn.LET(_xlpm.Tick,A3,IFERROR(LEFT(_xlpm.Tick,FIND(".",_xlpm.Tick)-1),_xlpm.Tick))</f>
        <v>ADEA</v>
      </c>
      <c r="G3" t="s">
        <v>74</v>
      </c>
      <c r="H3" s="37" t="str" cm="1">
        <f t="array" ref="H3">_xlfn.IFS(OR(LEFT(G3,3)="SAF",LEFT(G3,3)="MVE"), RIGHT(G3,LEN(G3)-3),     LEFT(G3,2)="JB",  RIGHT(G3,LEN(G3)-2), TRUE,     G3)</f>
        <v>ADEA</v>
      </c>
      <c r="K3" t="str">
        <f>_xlfn.LET(_xlpm.Tick,[2]YData!$A3,IFERROR(LEFT(_xlpm.Tick,FIND(".",_xlpm.Tick)-1),_xlpm.Tick))</f>
        <v>ADEA</v>
      </c>
      <c r="L3">
        <v>22.75</v>
      </c>
      <c r="M3">
        <v>45985</v>
      </c>
      <c r="N3">
        <v>0</v>
      </c>
      <c r="O3">
        <v>1.1599999999999999E-2</v>
      </c>
      <c r="Q3" t="str">
        <v>ADEA</v>
      </c>
      <c r="R3">
        <f t="shared" ref="R3:R66" si="2">_xlfn.XLOOKUP($Q3,$A$2:$A$75,B$2:B$75)</f>
        <v>22.75</v>
      </c>
      <c r="S3" s="109">
        <f t="shared" ref="S3:S66" si="3">_xlfn.XLOOKUP($Q3,$A$2:$A$75,C$2:C$75)</f>
        <v>45985</v>
      </c>
      <c r="T3">
        <f t="shared" ref="T3:T66" si="4">_xlfn.XLOOKUP($Q3,$A$2:$A$75,D$2:D$75)</f>
        <v>0</v>
      </c>
      <c r="U3" s="108">
        <f t="shared" ref="U3:U66" si="5">_xlfn.XLOOKUP($Q3,$A$2:$A$75,E$2:E$75)</f>
        <v>1.1599999999999999E-2</v>
      </c>
    </row>
    <row r="4" spans="1:21" x14ac:dyDescent="0.3">
      <c r="A4" t="str">
        <f>[2]YData!A4</f>
        <v>AET.L</v>
      </c>
      <c r="B4">
        <f>[2]YData!B4</f>
        <v>95.26</v>
      </c>
      <c r="C4" s="101">
        <f>VALUE([2]YData!C4)</f>
        <v>0</v>
      </c>
      <c r="D4">
        <f>[2]YData!D4</f>
        <v>0</v>
      </c>
      <c r="E4" s="21">
        <f>[2]YData!E4</f>
        <v>0</v>
      </c>
      <c r="F4" s="37" t="str">
        <f t="shared" si="1"/>
        <v>AET</v>
      </c>
      <c r="G4" t="s">
        <v>134</v>
      </c>
      <c r="H4" s="37" t="str" cm="1">
        <f t="array" ref="H4">_xlfn.IFS(OR(LEFT(G4,3)="SAF",LEFT(G4,3)="MVE"), RIGHT(G4,LEN(G4)-3),     LEFT(G4,2)="JB",  RIGHT(G4,LEN(G4)-2), TRUE,     G4)</f>
        <v>AET</v>
      </c>
      <c r="K4" t="str">
        <f>_xlfn.LET(_xlpm.Tick,[2]YData!$A4,IFERROR(LEFT(_xlpm.Tick,FIND(".",_xlpm.Tick)-1),_xlpm.Tick))</f>
        <v>AET</v>
      </c>
      <c r="L4">
        <v>95.26</v>
      </c>
      <c r="M4">
        <v>0</v>
      </c>
      <c r="N4">
        <v>0</v>
      </c>
      <c r="O4">
        <v>0</v>
      </c>
      <c r="Q4" t="str">
        <v>AET.L</v>
      </c>
      <c r="R4">
        <f t="shared" si="2"/>
        <v>95.26</v>
      </c>
      <c r="S4" s="109">
        <f t="shared" si="3"/>
        <v>0</v>
      </c>
      <c r="T4">
        <f t="shared" si="4"/>
        <v>0</v>
      </c>
      <c r="U4" s="108">
        <f t="shared" si="5"/>
        <v>0</v>
      </c>
    </row>
    <row r="5" spans="1:21" x14ac:dyDescent="0.3">
      <c r="A5" t="str">
        <f>[2]YData!A5</f>
        <v>AMZN</v>
      </c>
      <c r="B5">
        <f>[2]YData!B5</f>
        <v>295.59784000000002</v>
      </c>
      <c r="C5" s="101">
        <f>VALUE([2]YData!C5)</f>
        <v>0</v>
      </c>
      <c r="D5">
        <f>[2]YData!D5</f>
        <v>0</v>
      </c>
      <c r="E5" s="21">
        <f>[2]YData!E5</f>
        <v>0</v>
      </c>
      <c r="F5" s="37" t="str">
        <f t="shared" si="1"/>
        <v>AMZN</v>
      </c>
      <c r="G5" t="s">
        <v>75</v>
      </c>
      <c r="H5" s="37" t="str" cm="1">
        <f t="array" ref="H5">_xlfn.IFS(OR(LEFT(G5,3)="SAF",LEFT(G5,3)="MVE"), RIGHT(G5,LEN(G5)-3),     LEFT(G5,2)="JB",  RIGHT(G5,LEN(G5)-2), TRUE,     G5)</f>
        <v>AMZN</v>
      </c>
      <c r="K5" t="str">
        <f>_xlfn.LET(_xlpm.Tick,[2]YData!$A5,IFERROR(LEFT(_xlpm.Tick,FIND(".",_xlpm.Tick)-1),_xlpm.Tick))</f>
        <v>AMZN</v>
      </c>
      <c r="L5">
        <v>295.59784000000002</v>
      </c>
      <c r="M5">
        <v>0</v>
      </c>
      <c r="N5">
        <v>0</v>
      </c>
      <c r="O5">
        <v>0</v>
      </c>
      <c r="Q5" t="str">
        <v>AMZN</v>
      </c>
      <c r="R5">
        <f t="shared" si="2"/>
        <v>295.59784000000002</v>
      </c>
      <c r="S5" s="109">
        <f t="shared" si="3"/>
        <v>0</v>
      </c>
      <c r="T5">
        <f t="shared" si="4"/>
        <v>0</v>
      </c>
      <c r="U5" s="108">
        <f t="shared" si="5"/>
        <v>0</v>
      </c>
    </row>
    <row r="6" spans="1:21" x14ac:dyDescent="0.3">
      <c r="A6" t="str">
        <f>[2]YData!A6</f>
        <v>ALDNE.PA</v>
      </c>
      <c r="B6">
        <f>[2]YData!B6</f>
        <v>1.56667</v>
      </c>
      <c r="C6" s="101">
        <f>VALUE([2]YData!C6)</f>
        <v>0</v>
      </c>
      <c r="D6">
        <f>[2]YData!D6</f>
        <v>0</v>
      </c>
      <c r="E6" s="21">
        <f>[2]YData!E6</f>
        <v>0</v>
      </c>
      <c r="F6" s="37" t="str">
        <f t="shared" si="1"/>
        <v>ALDNE</v>
      </c>
      <c r="G6" t="s">
        <v>135</v>
      </c>
      <c r="H6" s="37" t="str" cm="1">
        <f t="array" ref="H6">_xlfn.IFS(OR(LEFT(G6,3)="SAF",LEFT(G6,3)="MVE"), RIGHT(G6,LEN(G6)-3),     LEFT(G6,2)="JB",  RIGHT(G6,LEN(G6)-2), TRUE,     G6)</f>
        <v>ALDNE</v>
      </c>
      <c r="K6" t="str">
        <f>_xlfn.LET(_xlpm.Tick,[2]YData!$A6,IFERROR(LEFT(_xlpm.Tick,FIND(".",_xlpm.Tick)-1),_xlpm.Tick))</f>
        <v>ALDNE</v>
      </c>
      <c r="L6">
        <v>1.56667</v>
      </c>
      <c r="M6">
        <v>0</v>
      </c>
      <c r="N6">
        <v>0</v>
      </c>
      <c r="O6">
        <v>0</v>
      </c>
      <c r="Q6" t="str">
        <v>ALDNE.PA</v>
      </c>
      <c r="R6">
        <f t="shared" si="2"/>
        <v>1.56667</v>
      </c>
      <c r="S6" s="109">
        <f t="shared" si="3"/>
        <v>0</v>
      </c>
      <c r="T6">
        <f t="shared" si="4"/>
        <v>0</v>
      </c>
      <c r="U6" s="108">
        <f t="shared" si="5"/>
        <v>0</v>
      </c>
    </row>
    <row r="7" spans="1:21" x14ac:dyDescent="0.3">
      <c r="A7" t="str">
        <f>[2]YData!A7</f>
        <v>ASML.AS</v>
      </c>
      <c r="B7">
        <f>[2]YData!B7</f>
        <v>1007.8667</v>
      </c>
      <c r="C7" s="101">
        <f>VALUE([2]YData!C7)</f>
        <v>45958</v>
      </c>
      <c r="D7">
        <f>[2]YData!D7</f>
        <v>0</v>
      </c>
      <c r="E7" s="21">
        <f>[2]YData!E7</f>
        <v>7.0999996000000003E-3</v>
      </c>
      <c r="F7" s="37" t="str">
        <f t="shared" si="1"/>
        <v>ASML</v>
      </c>
      <c r="G7" t="s">
        <v>136</v>
      </c>
      <c r="H7" s="37" t="str" cm="1">
        <f t="array" ref="H7">_xlfn.IFS(OR(LEFT(G7,3)="SAF",LEFT(G7,3)="MVE"), RIGHT(G7,LEN(G7)-3),     LEFT(G7,2)="JB",  RIGHT(G7,LEN(G7)-2), TRUE,     G7)</f>
        <v>ASML</v>
      </c>
      <c r="K7" t="str">
        <f>_xlfn.LET(_xlpm.Tick,[2]YData!$A7,IFERROR(LEFT(_xlpm.Tick,FIND(".",_xlpm.Tick)-1),_xlpm.Tick))</f>
        <v>ASML</v>
      </c>
      <c r="L7">
        <v>1007.8667</v>
      </c>
      <c r="M7">
        <v>45958</v>
      </c>
      <c r="N7">
        <v>0</v>
      </c>
      <c r="O7">
        <v>7.0999996000000003E-3</v>
      </c>
      <c r="Q7" t="str">
        <v>ASML.AS</v>
      </c>
      <c r="R7">
        <f t="shared" si="2"/>
        <v>1007.8667</v>
      </c>
      <c r="S7" s="109">
        <f t="shared" si="3"/>
        <v>45958</v>
      </c>
      <c r="T7">
        <f t="shared" si="4"/>
        <v>0</v>
      </c>
      <c r="U7" s="108">
        <f t="shared" si="5"/>
        <v>7.0999996000000003E-3</v>
      </c>
    </row>
    <row r="8" spans="1:21" x14ac:dyDescent="0.3">
      <c r="A8" t="str">
        <f>[2]YData!A8</f>
        <v>AVGO</v>
      </c>
      <c r="B8">
        <f>[2]YData!B8</f>
        <v>456.80200000000002</v>
      </c>
      <c r="C8" s="101">
        <f>VALUE([2]YData!C8)</f>
        <v>46013</v>
      </c>
      <c r="D8">
        <f>[2]YData!D8</f>
        <v>0</v>
      </c>
      <c r="E8" s="21">
        <f>[2]YData!E8</f>
        <v>7.4000000000000003E-3</v>
      </c>
      <c r="F8" s="37" t="str">
        <f t="shared" si="1"/>
        <v>AVGO</v>
      </c>
      <c r="G8" t="s">
        <v>76</v>
      </c>
      <c r="H8" s="37" t="str" cm="1">
        <f t="array" ref="H8">_xlfn.IFS(OR(LEFT(G8,3)="SAF",LEFT(G8,3)="MVE"), RIGHT(G8,LEN(G8)-3),     LEFT(G8,2)="JB",  RIGHT(G8,LEN(G8)-2), TRUE,     G8)</f>
        <v>AVGO</v>
      </c>
      <c r="K8" t="str">
        <f>_xlfn.LET(_xlpm.Tick,[2]YData!$A8,IFERROR(LEFT(_xlpm.Tick,FIND(".",_xlpm.Tick)-1),_xlpm.Tick))</f>
        <v>AVGO</v>
      </c>
      <c r="L8">
        <v>456.80200000000002</v>
      </c>
      <c r="M8">
        <v>46013</v>
      </c>
      <c r="N8">
        <v>0</v>
      </c>
      <c r="O8">
        <v>7.4000000000000003E-3</v>
      </c>
      <c r="Q8" t="str">
        <v>AVGO</v>
      </c>
      <c r="R8">
        <f t="shared" si="2"/>
        <v>456.80200000000002</v>
      </c>
      <c r="S8" s="109">
        <f t="shared" si="3"/>
        <v>46013</v>
      </c>
      <c r="T8">
        <f t="shared" si="4"/>
        <v>0</v>
      </c>
      <c r="U8" s="108">
        <f t="shared" si="5"/>
        <v>7.4000000000000003E-3</v>
      </c>
    </row>
    <row r="9" spans="1:21" x14ac:dyDescent="0.3">
      <c r="A9" t="str">
        <f>[2]YData!A9</f>
        <v>AZN</v>
      </c>
      <c r="B9">
        <f>[2]YData!B9</f>
        <v>98.955449999999999</v>
      </c>
      <c r="C9" s="101">
        <f>VALUE([2]YData!C9)</f>
        <v>45877</v>
      </c>
      <c r="D9">
        <f>[2]YData!D9</f>
        <v>0</v>
      </c>
      <c r="E9" s="21">
        <f>[2]YData!E9</f>
        <v>1.6900001000000001E-2</v>
      </c>
      <c r="F9" s="37" t="str">
        <f t="shared" si="1"/>
        <v>AZN</v>
      </c>
      <c r="G9" t="s">
        <v>77</v>
      </c>
      <c r="H9" s="37" t="str" cm="1">
        <f t="array" ref="H9">_xlfn.IFS(OR(LEFT(G9,3)="SAF",LEFT(G9,3)="MVE"), RIGHT(G9,LEN(G9)-3),     LEFT(G9,2)="JB",  RIGHT(G9,LEN(G9)-2), TRUE,     G9)</f>
        <v>AZN</v>
      </c>
      <c r="K9" t="str">
        <f>_xlfn.LET(_xlpm.Tick,[2]YData!$A9,IFERROR(LEFT(_xlpm.Tick,FIND(".",_xlpm.Tick)-1),_xlpm.Tick))</f>
        <v>AZN</v>
      </c>
      <c r="L9">
        <v>98.955449999999999</v>
      </c>
      <c r="M9">
        <v>45877</v>
      </c>
      <c r="N9">
        <v>0</v>
      </c>
      <c r="O9">
        <v>1.6900001000000001E-2</v>
      </c>
      <c r="Q9" t="str">
        <v>AZN</v>
      </c>
      <c r="R9">
        <f t="shared" si="2"/>
        <v>98.955449999999999</v>
      </c>
      <c r="S9" s="109">
        <f t="shared" si="3"/>
        <v>45877</v>
      </c>
      <c r="T9">
        <f t="shared" si="4"/>
        <v>0</v>
      </c>
      <c r="U9" s="108">
        <f t="shared" si="5"/>
        <v>1.6900001000000001E-2</v>
      </c>
    </row>
    <row r="10" spans="1:21" x14ac:dyDescent="0.3">
      <c r="A10" t="str">
        <f>[2]YData!A10</f>
        <v>BLDP</v>
      </c>
      <c r="B10">
        <f>[2]YData!B10</f>
        <v>2.9874999999999998</v>
      </c>
      <c r="C10" s="101">
        <f>VALUE([2]YData!C10)</f>
        <v>0</v>
      </c>
      <c r="D10">
        <f>[2]YData!D10</f>
        <v>0</v>
      </c>
      <c r="E10" s="21">
        <f>[2]YData!E10</f>
        <v>0</v>
      </c>
      <c r="F10" s="37" t="str">
        <f t="shared" si="1"/>
        <v>BLDP</v>
      </c>
      <c r="G10" t="s">
        <v>78</v>
      </c>
      <c r="H10" s="37" t="str" cm="1">
        <f t="array" ref="H10">_xlfn.IFS(OR(LEFT(G10,3)="SAF",LEFT(G10,3)="MVE"), RIGHT(G10,LEN(G10)-3),     LEFT(G10,2)="JB",  RIGHT(G10,LEN(G10)-2), TRUE,     G10)</f>
        <v>BLDP</v>
      </c>
      <c r="K10" t="str">
        <f>_xlfn.LET(_xlpm.Tick,[2]YData!$A10,IFERROR(LEFT(_xlpm.Tick,FIND(".",_xlpm.Tick)-1),_xlpm.Tick))</f>
        <v>BLDP</v>
      </c>
      <c r="L10">
        <v>2.9874999999999998</v>
      </c>
      <c r="M10">
        <v>0</v>
      </c>
      <c r="N10">
        <v>0</v>
      </c>
      <c r="O10">
        <v>0</v>
      </c>
      <c r="Q10" t="str">
        <v>BLDP</v>
      </c>
      <c r="R10">
        <f t="shared" si="2"/>
        <v>2.9874999999999998</v>
      </c>
      <c r="S10" s="109">
        <f t="shared" si="3"/>
        <v>0</v>
      </c>
      <c r="T10">
        <f t="shared" si="4"/>
        <v>0</v>
      </c>
      <c r="U10" s="108">
        <f t="shared" si="5"/>
        <v>0</v>
      </c>
    </row>
    <row r="11" spans="1:21" x14ac:dyDescent="0.3">
      <c r="A11" t="str">
        <f>[2]YData!A11</f>
        <v>BMRA</v>
      </c>
      <c r="B11">
        <f>[2]YData!B11</f>
        <v>0</v>
      </c>
      <c r="C11" s="101">
        <f>VALUE([2]YData!C11)</f>
        <v>0</v>
      </c>
      <c r="D11">
        <f>[2]YData!D11</f>
        <v>0</v>
      </c>
      <c r="E11" s="21">
        <f>[2]YData!E11</f>
        <v>0</v>
      </c>
      <c r="F11" s="37" t="str">
        <f t="shared" si="1"/>
        <v>BMRA</v>
      </c>
      <c r="G11" t="s">
        <v>79</v>
      </c>
      <c r="H11" s="37" t="str" cm="1">
        <f t="array" ref="H11">_xlfn.IFS(OR(LEFT(G11,3)="SAF",LEFT(G11,3)="MVE"), RIGHT(G11,LEN(G11)-3),     LEFT(G11,2)="JB",  RIGHT(G11,LEN(G11)-2), TRUE,     G11)</f>
        <v>BMRA</v>
      </c>
      <c r="K11" t="str">
        <f>_xlfn.LET(_xlpm.Tick,[2]YData!$A11,IFERROR(LEFT(_xlpm.Tick,FIND(".",_xlpm.Tick)-1),_xlpm.Tick))</f>
        <v>BMRA</v>
      </c>
      <c r="L11">
        <v>0</v>
      </c>
      <c r="M11">
        <v>0</v>
      </c>
      <c r="N11">
        <v>0</v>
      </c>
      <c r="O11">
        <v>0</v>
      </c>
      <c r="Q11" t="str">
        <v>BMRA</v>
      </c>
      <c r="R11">
        <f t="shared" si="2"/>
        <v>0</v>
      </c>
      <c r="S11" s="109">
        <f t="shared" si="3"/>
        <v>0</v>
      </c>
      <c r="T11">
        <f t="shared" si="4"/>
        <v>0</v>
      </c>
      <c r="U11" s="108">
        <f t="shared" si="5"/>
        <v>0</v>
      </c>
    </row>
    <row r="12" spans="1:21" x14ac:dyDescent="0.3">
      <c r="A12" t="str">
        <f>[2]YData!A12</f>
        <v>C</v>
      </c>
      <c r="B12">
        <f>[2]YData!B12</f>
        <v>118.61905</v>
      </c>
      <c r="C12" s="101">
        <f>VALUE([2]YData!C12)</f>
        <v>45964</v>
      </c>
      <c r="D12">
        <f>[2]YData!D12</f>
        <v>0</v>
      </c>
      <c r="E12" s="21">
        <f>[2]YData!E12</f>
        <v>2.0299998999999999E-2</v>
      </c>
      <c r="F12" s="37" t="str">
        <f t="shared" si="1"/>
        <v>C</v>
      </c>
      <c r="G12" t="s">
        <v>80</v>
      </c>
      <c r="H12" s="37" t="str" cm="1">
        <f t="array" ref="H12">_xlfn.IFS(OR(LEFT(G12,3)="SAF",LEFT(G12,3)="MVE"), RIGHT(G12,LEN(G12)-3),     LEFT(G12,2)="JB",  RIGHT(G12,LEN(G12)-2), TRUE,     G12)</f>
        <v>C</v>
      </c>
      <c r="K12" t="str">
        <f>_xlfn.LET(_xlpm.Tick,[2]YData!$A12,IFERROR(LEFT(_xlpm.Tick,FIND(".",_xlpm.Tick)-1),_xlpm.Tick))</f>
        <v>C</v>
      </c>
      <c r="L12">
        <v>118.61905</v>
      </c>
      <c r="M12">
        <v>45964</v>
      </c>
      <c r="N12">
        <v>0</v>
      </c>
      <c r="O12">
        <v>2.0299998999999999E-2</v>
      </c>
      <c r="Q12" t="str">
        <v>C</v>
      </c>
      <c r="R12">
        <f t="shared" si="2"/>
        <v>118.61905</v>
      </c>
      <c r="S12" s="109">
        <f t="shared" si="3"/>
        <v>45964</v>
      </c>
      <c r="T12">
        <f t="shared" si="4"/>
        <v>0</v>
      </c>
      <c r="U12" s="108">
        <f t="shared" si="5"/>
        <v>2.0299998999999999E-2</v>
      </c>
    </row>
    <row r="13" spans="1:21" x14ac:dyDescent="0.3">
      <c r="A13" t="str">
        <f>[2]YData!A13</f>
        <v>CSCO</v>
      </c>
      <c r="B13">
        <f>[2]YData!B13</f>
        <v>85.433809999999994</v>
      </c>
      <c r="C13" s="101">
        <f>VALUE([2]YData!C13)</f>
        <v>46024</v>
      </c>
      <c r="D13">
        <f>[2]YData!D13</f>
        <v>0</v>
      </c>
      <c r="E13" s="21">
        <f>[2]YData!E13</f>
        <v>2.1100000000000001E-2</v>
      </c>
      <c r="F13" s="37" t="str">
        <f t="shared" si="1"/>
        <v>CSCO</v>
      </c>
      <c r="G13" t="s">
        <v>81</v>
      </c>
      <c r="H13" s="37" t="str" cm="1">
        <f t="array" ref="H13">_xlfn.IFS(OR(LEFT(G13,3)="SAF",LEFT(G13,3)="MVE"), RIGHT(G13,LEN(G13)-3),     LEFT(G13,2)="JB",  RIGHT(G13,LEN(G13)-2), TRUE,     G13)</f>
        <v>CSCO</v>
      </c>
      <c r="K13" t="str">
        <f>_xlfn.LET(_xlpm.Tick,[2]YData!$A13,IFERROR(LEFT(_xlpm.Tick,FIND(".",_xlpm.Tick)-1),_xlpm.Tick))</f>
        <v>CSCO</v>
      </c>
      <c r="L13">
        <v>85.433809999999994</v>
      </c>
      <c r="M13">
        <v>46024</v>
      </c>
      <c r="N13">
        <v>0</v>
      </c>
      <c r="O13">
        <v>2.1100000000000001E-2</v>
      </c>
      <c r="Q13" t="str">
        <v>CSCO</v>
      </c>
      <c r="R13">
        <f t="shared" si="2"/>
        <v>85.433809999999994</v>
      </c>
      <c r="S13" s="109">
        <f t="shared" si="3"/>
        <v>46024</v>
      </c>
      <c r="T13">
        <f t="shared" si="4"/>
        <v>0</v>
      </c>
      <c r="U13" s="108">
        <f t="shared" si="5"/>
        <v>2.1100000000000001E-2</v>
      </c>
    </row>
    <row r="14" spans="1:21" x14ac:dyDescent="0.3">
      <c r="A14" t="str">
        <f>[2]YData!A14</f>
        <v>CVS</v>
      </c>
      <c r="B14">
        <f>[2]YData!B14</f>
        <v>94.6</v>
      </c>
      <c r="C14" s="101">
        <f>VALUE([2]YData!C14)</f>
        <v>45953</v>
      </c>
      <c r="D14">
        <f>[2]YData!D14</f>
        <v>0</v>
      </c>
      <c r="E14" s="21">
        <f>[2]YData!E14</f>
        <v>3.32E-2</v>
      </c>
      <c r="F14" s="37" t="str">
        <f t="shared" si="1"/>
        <v>CVS</v>
      </c>
      <c r="G14" t="s">
        <v>82</v>
      </c>
      <c r="H14" s="37" t="str" cm="1">
        <f t="array" ref="H14">_xlfn.IFS(OR(LEFT(G14,3)="SAF",LEFT(G14,3)="MVE"), RIGHT(G14,LEN(G14)-3),     LEFT(G14,2)="JB",  RIGHT(G14,LEN(G14)-2), TRUE,     G14)</f>
        <v>CVS</v>
      </c>
      <c r="K14" t="str">
        <f>_xlfn.LET(_xlpm.Tick,[2]YData!$A14,IFERROR(LEFT(_xlpm.Tick,FIND(".",_xlpm.Tick)-1),_xlpm.Tick))</f>
        <v>CVS</v>
      </c>
      <c r="L14">
        <v>94.6</v>
      </c>
      <c r="M14">
        <v>45953</v>
      </c>
      <c r="N14">
        <v>0</v>
      </c>
      <c r="O14">
        <v>3.32E-2</v>
      </c>
      <c r="Q14" t="str">
        <v>CVS</v>
      </c>
      <c r="R14">
        <f t="shared" si="2"/>
        <v>94.6</v>
      </c>
      <c r="S14" s="109">
        <f t="shared" si="3"/>
        <v>45953</v>
      </c>
      <c r="T14">
        <f t="shared" si="4"/>
        <v>0</v>
      </c>
      <c r="U14" s="108">
        <f t="shared" si="5"/>
        <v>3.32E-2</v>
      </c>
    </row>
    <row r="15" spans="1:21" x14ac:dyDescent="0.3">
      <c r="A15" t="str">
        <f>[2]YData!A15</f>
        <v>DDD</v>
      </c>
      <c r="B15">
        <f>[2]YData!B15</f>
        <v>3.625</v>
      </c>
      <c r="C15" s="101">
        <f>VALUE([2]YData!C15)</f>
        <v>0</v>
      </c>
      <c r="D15">
        <f>[2]YData!D15</f>
        <v>0</v>
      </c>
      <c r="E15" s="21">
        <f>[2]YData!E15</f>
        <v>0</v>
      </c>
      <c r="F15" s="37" t="str">
        <f t="shared" si="1"/>
        <v>DDD</v>
      </c>
      <c r="G15" t="s">
        <v>83</v>
      </c>
      <c r="H15" s="37" t="str" cm="1">
        <f t="array" ref="H15">_xlfn.IFS(OR(LEFT(G15,3)="SAF",LEFT(G15,3)="MVE"), RIGHT(G15,LEN(G15)-3),     LEFT(G15,2)="JB",  RIGHT(G15,LEN(G15)-2), TRUE,     G15)</f>
        <v>DDD</v>
      </c>
      <c r="K15" t="str">
        <f>_xlfn.LET(_xlpm.Tick,[2]YData!$A15,IFERROR(LEFT(_xlpm.Tick,FIND(".",_xlpm.Tick)-1),_xlpm.Tick))</f>
        <v>DDD</v>
      </c>
      <c r="L15">
        <v>3.625</v>
      </c>
      <c r="M15">
        <v>0</v>
      </c>
      <c r="N15">
        <v>0</v>
      </c>
      <c r="O15">
        <v>0</v>
      </c>
      <c r="Q15" t="str">
        <v>DDD</v>
      </c>
      <c r="R15">
        <f t="shared" si="2"/>
        <v>3.625</v>
      </c>
      <c r="S15" s="109">
        <f t="shared" si="3"/>
        <v>0</v>
      </c>
      <c r="T15">
        <f t="shared" si="4"/>
        <v>0</v>
      </c>
      <c r="U15" s="108">
        <f t="shared" si="5"/>
        <v>0</v>
      </c>
    </row>
    <row r="16" spans="1:21" x14ac:dyDescent="0.3">
      <c r="A16" t="str">
        <f>[2]YData!A16</f>
        <v>DIS</v>
      </c>
      <c r="B16">
        <f>[2]YData!B16</f>
        <v>132.50357</v>
      </c>
      <c r="C16" s="101">
        <f>VALUE([2]YData!C16)</f>
        <v>46203</v>
      </c>
      <c r="D16">
        <f>[2]YData!D16</f>
        <v>0</v>
      </c>
      <c r="E16" s="21">
        <f>[2]YData!E16</f>
        <v>1.3099998999999999E-2</v>
      </c>
      <c r="F16" s="37" t="str">
        <f t="shared" si="1"/>
        <v>DIS</v>
      </c>
      <c r="G16" t="s">
        <v>84</v>
      </c>
      <c r="H16" s="37" t="str" cm="1">
        <f t="array" ref="H16">_xlfn.IFS(OR(LEFT(G16,3)="SAF",LEFT(G16,3)="MVE"), RIGHT(G16,LEN(G16)-3),     LEFT(G16,2)="JB",  RIGHT(G16,LEN(G16)-2), TRUE,     G16)</f>
        <v>DIS</v>
      </c>
      <c r="K16" t="str">
        <f>_xlfn.LET(_xlpm.Tick,[2]YData!$A16,IFERROR(LEFT(_xlpm.Tick,FIND(".",_xlpm.Tick)-1),_xlpm.Tick))</f>
        <v>DIS</v>
      </c>
      <c r="L16">
        <v>132.50357</v>
      </c>
      <c r="M16">
        <v>46203</v>
      </c>
      <c r="N16">
        <v>0</v>
      </c>
      <c r="O16">
        <v>1.3099998999999999E-2</v>
      </c>
      <c r="Q16" t="str">
        <v>DIS</v>
      </c>
      <c r="R16">
        <f t="shared" si="2"/>
        <v>132.50357</v>
      </c>
      <c r="S16" s="109">
        <f t="shared" si="3"/>
        <v>46203</v>
      </c>
      <c r="T16">
        <f t="shared" si="4"/>
        <v>0</v>
      </c>
      <c r="U16" s="108">
        <f t="shared" si="5"/>
        <v>1.3099998999999999E-2</v>
      </c>
    </row>
    <row r="17" spans="1:21" x14ac:dyDescent="0.3">
      <c r="A17" t="str">
        <f>[2]YData!A17</f>
        <v>DSY.PA</v>
      </c>
      <c r="B17">
        <f>[2]YData!B17</f>
        <v>31.016670000000001</v>
      </c>
      <c r="C17" s="101">
        <f>VALUE([2]YData!C17)</f>
        <v>45803</v>
      </c>
      <c r="D17">
        <f>[2]YData!D17</f>
        <v>0</v>
      </c>
      <c r="E17" s="21">
        <f>[2]YData!E17</f>
        <v>1.0999999999999999E-2</v>
      </c>
      <c r="F17" s="37" t="str">
        <f t="shared" si="1"/>
        <v>DSY</v>
      </c>
      <c r="G17" t="s">
        <v>137</v>
      </c>
      <c r="H17" s="37" t="str" cm="1">
        <f t="array" ref="H17">_xlfn.IFS(OR(LEFT(G17,3)="SAF",LEFT(G17,3)="MVE"), RIGHT(G17,LEN(G17)-3),     LEFT(G17,2)="JB",  RIGHT(G17,LEN(G17)-2), TRUE,     G17)</f>
        <v>DSY</v>
      </c>
      <c r="K17" t="str">
        <f>_xlfn.LET(_xlpm.Tick,[2]YData!$A17,IFERROR(LEFT(_xlpm.Tick,FIND(".",_xlpm.Tick)-1),_xlpm.Tick))</f>
        <v>DSY</v>
      </c>
      <c r="L17">
        <v>31.016670000000001</v>
      </c>
      <c r="M17">
        <v>45803</v>
      </c>
      <c r="N17">
        <v>0</v>
      </c>
      <c r="O17">
        <v>1.0999999999999999E-2</v>
      </c>
      <c r="Q17" t="str">
        <v>DSY.PA</v>
      </c>
      <c r="R17">
        <f t="shared" si="2"/>
        <v>31.016670000000001</v>
      </c>
      <c r="S17" s="109">
        <f t="shared" si="3"/>
        <v>45803</v>
      </c>
      <c r="T17">
        <f t="shared" si="4"/>
        <v>0</v>
      </c>
      <c r="U17" s="108">
        <f t="shared" si="5"/>
        <v>1.0999999999999999E-2</v>
      </c>
    </row>
    <row r="18" spans="1:21" x14ac:dyDescent="0.3">
      <c r="A18" t="str">
        <f>[2]YData!A18</f>
        <v>DVA</v>
      </c>
      <c r="B18">
        <f>[2]YData!B18</f>
        <v>144.5</v>
      </c>
      <c r="C18" s="101">
        <f>VALUE([2]YData!C18)</f>
        <v>0</v>
      </c>
      <c r="D18">
        <f>[2]YData!D18</f>
        <v>0</v>
      </c>
      <c r="E18" s="21">
        <f>[2]YData!E18</f>
        <v>0</v>
      </c>
      <c r="F18" s="37" t="str">
        <f t="shared" si="1"/>
        <v>DVA</v>
      </c>
      <c r="G18" t="s">
        <v>85</v>
      </c>
      <c r="H18" s="37" t="str" cm="1">
        <f t="array" ref="H18">_xlfn.IFS(OR(LEFT(G18,3)="SAF",LEFT(G18,3)="MVE"), RIGHT(G18,LEN(G18)-3),     LEFT(G18,2)="JB",  RIGHT(G18,LEN(G18)-2), TRUE,     G18)</f>
        <v>DVA</v>
      </c>
      <c r="K18" t="str">
        <f>_xlfn.LET(_xlpm.Tick,[2]YData!$A18,IFERROR(LEFT(_xlpm.Tick,FIND(".",_xlpm.Tick)-1),_xlpm.Tick))</f>
        <v>DVA</v>
      </c>
      <c r="L18">
        <v>144.5</v>
      </c>
      <c r="M18">
        <v>0</v>
      </c>
      <c r="N18">
        <v>0</v>
      </c>
      <c r="O18">
        <v>0</v>
      </c>
      <c r="Q18" t="str">
        <v>DVA</v>
      </c>
      <c r="R18">
        <f t="shared" si="2"/>
        <v>144.5</v>
      </c>
      <c r="S18" s="109">
        <f t="shared" si="3"/>
        <v>0</v>
      </c>
      <c r="T18">
        <f t="shared" si="4"/>
        <v>0</v>
      </c>
      <c r="U18" s="108">
        <f t="shared" si="5"/>
        <v>0</v>
      </c>
    </row>
    <row r="19" spans="1:21" x14ac:dyDescent="0.3">
      <c r="A19" t="str">
        <f>[2]YData!A19</f>
        <v>DXC</v>
      </c>
      <c r="B19">
        <f>[2]YData!B19</f>
        <v>14.5</v>
      </c>
      <c r="C19" s="101">
        <f>VALUE([2]YData!C19)</f>
        <v>43914</v>
      </c>
      <c r="D19">
        <f>[2]YData!D19</f>
        <v>0</v>
      </c>
      <c r="E19" s="21">
        <f>[2]YData!E19</f>
        <v>0</v>
      </c>
      <c r="F19" s="37" t="str">
        <f t="shared" si="1"/>
        <v>DXC</v>
      </c>
      <c r="G19" t="s">
        <v>86</v>
      </c>
      <c r="H19" s="37" t="str" cm="1">
        <f t="array" ref="H19">_xlfn.IFS(OR(LEFT(G19,3)="SAF",LEFT(G19,3)="MVE"), RIGHT(G19,LEN(G19)-3),     LEFT(G19,2)="JB",  RIGHT(G19,LEN(G19)-2), TRUE,     G19)</f>
        <v>DXC</v>
      </c>
      <c r="K19" t="str">
        <f>_xlfn.LET(_xlpm.Tick,[2]YData!$A19,IFERROR(LEFT(_xlpm.Tick,FIND(".",_xlpm.Tick)-1),_xlpm.Tick))</f>
        <v>DXC</v>
      </c>
      <c r="L19">
        <v>14.5</v>
      </c>
      <c r="M19">
        <v>43914</v>
      </c>
      <c r="N19">
        <v>0</v>
      </c>
      <c r="O19">
        <v>0</v>
      </c>
      <c r="Q19" t="str">
        <v>DXC</v>
      </c>
      <c r="R19">
        <f t="shared" si="2"/>
        <v>14.5</v>
      </c>
      <c r="S19" s="109">
        <f t="shared" si="3"/>
        <v>43914</v>
      </c>
      <c r="T19">
        <f t="shared" si="4"/>
        <v>0</v>
      </c>
      <c r="U19" s="108">
        <f t="shared" si="5"/>
        <v>0</v>
      </c>
    </row>
    <row r="20" spans="1:21" x14ac:dyDescent="0.3">
      <c r="A20" t="str">
        <f>[2]YData!A20</f>
        <v>EOAN.DE</v>
      </c>
      <c r="B20">
        <f>[2]YData!B20</f>
        <v>17.016529999999999</v>
      </c>
      <c r="C20" s="101">
        <f>VALUE([2]YData!C20)</f>
        <v>45793</v>
      </c>
      <c r="D20">
        <f>[2]YData!D20</f>
        <v>0</v>
      </c>
      <c r="E20" s="21">
        <f>[2]YData!E20</f>
        <v>3.4299999999999997E-2</v>
      </c>
      <c r="F20" s="37" t="str">
        <f t="shared" si="1"/>
        <v>EOAN</v>
      </c>
      <c r="G20" t="s">
        <v>138</v>
      </c>
      <c r="H20" s="37" t="str" cm="1">
        <f t="array" ref="H20">_xlfn.IFS(OR(LEFT(G20,3)="SAF",LEFT(G20,3)="MVE"), RIGHT(G20,LEN(G20)-3),     LEFT(G20,2)="JB",  RIGHT(G20,LEN(G20)-2), TRUE,     G20)</f>
        <v>EOAN</v>
      </c>
      <c r="K20" t="str">
        <f>_xlfn.LET(_xlpm.Tick,[2]YData!$A20,IFERROR(LEFT(_xlpm.Tick,FIND(".",_xlpm.Tick)-1),_xlpm.Tick))</f>
        <v>EOAN</v>
      </c>
      <c r="L20">
        <v>17.016529999999999</v>
      </c>
      <c r="M20">
        <v>45793</v>
      </c>
      <c r="N20">
        <v>0</v>
      </c>
      <c r="O20">
        <v>3.4299999999999997E-2</v>
      </c>
      <c r="Q20" t="str">
        <v>EOAN.DE</v>
      </c>
      <c r="R20">
        <f t="shared" si="2"/>
        <v>17.016529999999999</v>
      </c>
      <c r="S20" s="109">
        <f t="shared" si="3"/>
        <v>45793</v>
      </c>
      <c r="T20">
        <f t="shared" si="4"/>
        <v>0</v>
      </c>
      <c r="U20" s="108">
        <f t="shared" si="5"/>
        <v>3.4299999999999997E-2</v>
      </c>
    </row>
    <row r="21" spans="1:21" x14ac:dyDescent="0.3">
      <c r="A21" t="str">
        <f>[2]YData!A21</f>
        <v>EPIX</v>
      </c>
      <c r="B21">
        <f>[2]YData!B21</f>
        <v>0</v>
      </c>
      <c r="C21" s="101">
        <f>VALUE([2]YData!C21)</f>
        <v>0</v>
      </c>
      <c r="D21">
        <f>[2]YData!D21</f>
        <v>0</v>
      </c>
      <c r="E21" s="21">
        <f>[2]YData!E21</f>
        <v>0</v>
      </c>
      <c r="F21" s="37" t="str">
        <f t="shared" si="1"/>
        <v>EPIX</v>
      </c>
      <c r="G21" t="s">
        <v>87</v>
      </c>
      <c r="H21" s="37" t="str" cm="1">
        <f t="array" ref="H21">_xlfn.IFS(OR(LEFT(G21,3)="SAF",LEFT(G21,3)="MVE"), RIGHT(G21,LEN(G21)-3),     LEFT(G21,2)="JB",  RIGHT(G21,LEN(G21)-2), TRUE,     G21)</f>
        <v>EPIX</v>
      </c>
      <c r="K21" t="str">
        <f>_xlfn.LET(_xlpm.Tick,[2]YData!$A21,IFERROR(LEFT(_xlpm.Tick,FIND(".",_xlpm.Tick)-1),_xlpm.Tick))</f>
        <v>EPIX</v>
      </c>
      <c r="L21">
        <v>0</v>
      </c>
      <c r="M21">
        <v>0</v>
      </c>
      <c r="N21">
        <v>0</v>
      </c>
      <c r="O21">
        <v>0</v>
      </c>
      <c r="Q21" t="str">
        <v>EPIX</v>
      </c>
      <c r="R21">
        <f t="shared" si="2"/>
        <v>0</v>
      </c>
      <c r="S21" s="109">
        <f t="shared" si="3"/>
        <v>0</v>
      </c>
      <c r="T21">
        <f t="shared" si="4"/>
        <v>0</v>
      </c>
      <c r="U21" s="108">
        <f t="shared" si="5"/>
        <v>0</v>
      </c>
    </row>
    <row r="22" spans="1:21" x14ac:dyDescent="0.3">
      <c r="A22" t="str">
        <f>[2]YData!A22</f>
        <v>GM</v>
      </c>
      <c r="B22">
        <f>[2]YData!B22</f>
        <v>79.458330000000004</v>
      </c>
      <c r="C22" s="101">
        <f>VALUE([2]YData!C22)</f>
        <v>45996</v>
      </c>
      <c r="D22">
        <f>[2]YData!D22</f>
        <v>0</v>
      </c>
      <c r="E22" s="21">
        <f>[2]YData!E22</f>
        <v>7.2000003000000003E-3</v>
      </c>
      <c r="F22" s="37" t="str">
        <f t="shared" si="1"/>
        <v>GM</v>
      </c>
      <c r="G22" t="s">
        <v>88</v>
      </c>
      <c r="H22" s="37" t="str" cm="1">
        <f t="array" ref="H22">_xlfn.IFS(OR(LEFT(G22,3)="SAF",LEFT(G22,3)="MVE"), RIGHT(G22,LEN(G22)-3),     LEFT(G22,2)="JB",  RIGHT(G22,LEN(G22)-2), TRUE,     G22)</f>
        <v>GM</v>
      </c>
      <c r="K22" t="str">
        <f>_xlfn.LET(_xlpm.Tick,[2]YData!$A22,IFERROR(LEFT(_xlpm.Tick,FIND(".",_xlpm.Tick)-1),_xlpm.Tick))</f>
        <v>GM</v>
      </c>
      <c r="L22">
        <v>79.458330000000004</v>
      </c>
      <c r="M22">
        <v>45996</v>
      </c>
      <c r="N22">
        <v>0</v>
      </c>
      <c r="O22">
        <v>7.2000003000000003E-3</v>
      </c>
      <c r="Q22" t="str">
        <v>GM</v>
      </c>
      <c r="R22">
        <f t="shared" si="2"/>
        <v>79.458330000000004</v>
      </c>
      <c r="S22" s="109">
        <f t="shared" si="3"/>
        <v>45996</v>
      </c>
      <c r="T22">
        <f t="shared" si="4"/>
        <v>0</v>
      </c>
      <c r="U22" s="108">
        <f t="shared" si="5"/>
        <v>7.2000003000000003E-3</v>
      </c>
    </row>
    <row r="23" spans="1:21" x14ac:dyDescent="0.3">
      <c r="A23" t="str">
        <f>[2]YData!A23</f>
        <v>HPE</v>
      </c>
      <c r="B23">
        <f>[2]YData!B23</f>
        <v>26.27778</v>
      </c>
      <c r="C23" s="101">
        <f>VALUE([2]YData!C23)</f>
        <v>46010</v>
      </c>
      <c r="D23">
        <f>[2]YData!D23</f>
        <v>0</v>
      </c>
      <c r="E23" s="21">
        <f>[2]YData!E23</f>
        <v>2.3400000000000001E-2</v>
      </c>
      <c r="F23" s="37" t="str">
        <f t="shared" si="1"/>
        <v>HPE</v>
      </c>
      <c r="G23" t="s">
        <v>89</v>
      </c>
      <c r="H23" s="37" t="str" cm="1">
        <f t="array" ref="H23">_xlfn.IFS(OR(LEFT(G23,3)="SAF",LEFT(G23,3)="MVE"), RIGHT(G23,LEN(G23)-3),     LEFT(G23,2)="JB",  RIGHT(G23,LEN(G23)-2), TRUE,     G23)</f>
        <v>HPE</v>
      </c>
      <c r="K23" t="str">
        <f>_xlfn.LET(_xlpm.Tick,[2]YData!$A23,IFERROR(LEFT(_xlpm.Tick,FIND(".",_xlpm.Tick)-1),_xlpm.Tick))</f>
        <v>HPE</v>
      </c>
      <c r="L23">
        <v>26.27778</v>
      </c>
      <c r="M23">
        <v>46010</v>
      </c>
      <c r="N23">
        <v>0</v>
      </c>
      <c r="O23">
        <v>2.3400000000000001E-2</v>
      </c>
      <c r="Q23" t="str">
        <v>HPE</v>
      </c>
      <c r="R23">
        <f t="shared" si="2"/>
        <v>26.27778</v>
      </c>
      <c r="S23" s="109">
        <f t="shared" si="3"/>
        <v>46010</v>
      </c>
      <c r="T23">
        <f t="shared" si="4"/>
        <v>0</v>
      </c>
      <c r="U23" s="108">
        <f t="shared" si="5"/>
        <v>2.3400000000000001E-2</v>
      </c>
    </row>
    <row r="24" spans="1:21" x14ac:dyDescent="0.3">
      <c r="A24" t="str">
        <f>[2]YData!A24</f>
        <v>HPQ</v>
      </c>
      <c r="B24">
        <f>[2]YData!B24</f>
        <v>25.881250000000001</v>
      </c>
      <c r="C24" s="101">
        <f>VALUE([2]YData!C24)</f>
        <v>46002</v>
      </c>
      <c r="D24">
        <f>[2]YData!D24</f>
        <v>0</v>
      </c>
      <c r="E24" s="21">
        <f>[2]YData!E24</f>
        <v>5.2800002999999998E-2</v>
      </c>
      <c r="F24" s="37" t="str">
        <f t="shared" si="1"/>
        <v>HPQ</v>
      </c>
      <c r="G24" t="s">
        <v>90</v>
      </c>
      <c r="H24" s="37" t="str" cm="1">
        <f t="array" ref="H24">_xlfn.IFS(OR(LEFT(G24,3)="SAF",LEFT(G24,3)="MVE"), RIGHT(G24,LEN(G24)-3),     LEFT(G24,2)="JB",  RIGHT(G24,LEN(G24)-2), TRUE,     G24)</f>
        <v>HPQ</v>
      </c>
      <c r="K24" t="str">
        <f>_xlfn.LET(_xlpm.Tick,[2]YData!$A24,IFERROR(LEFT(_xlpm.Tick,FIND(".",_xlpm.Tick)-1),_xlpm.Tick))</f>
        <v>HPQ</v>
      </c>
      <c r="L24">
        <v>25.881250000000001</v>
      </c>
      <c r="M24">
        <v>46002</v>
      </c>
      <c r="N24">
        <v>0</v>
      </c>
      <c r="O24">
        <v>5.2800002999999998E-2</v>
      </c>
      <c r="Q24" t="str">
        <v>HPQ</v>
      </c>
      <c r="R24">
        <f t="shared" si="2"/>
        <v>25.881250000000001</v>
      </c>
      <c r="S24" s="109">
        <f t="shared" si="3"/>
        <v>46002</v>
      </c>
      <c r="T24">
        <f t="shared" si="4"/>
        <v>0</v>
      </c>
      <c r="U24" s="108">
        <f t="shared" si="5"/>
        <v>5.2800002999999998E-2</v>
      </c>
    </row>
    <row r="25" spans="1:21" x14ac:dyDescent="0.3">
      <c r="A25" t="str">
        <f>[2]YData!A25</f>
        <v>IAG.L</v>
      </c>
      <c r="B25">
        <f>[2]YData!B25</f>
        <v>475.47250000000003</v>
      </c>
      <c r="C25" s="101">
        <f>VALUE([2]YData!C25)</f>
        <v>45988</v>
      </c>
      <c r="D25">
        <f>[2]YData!D25</f>
        <v>0</v>
      </c>
      <c r="E25" s="21">
        <f>[2]YData!E25</f>
        <v>2.2599999999999999E-2</v>
      </c>
      <c r="F25" s="37" t="str">
        <f t="shared" si="1"/>
        <v>IAG</v>
      </c>
      <c r="G25" t="s">
        <v>139</v>
      </c>
      <c r="H25" s="37" t="str" cm="1">
        <f t="array" ref="H25">_xlfn.IFS(OR(LEFT(G25,3)="SAF",LEFT(G25,3)="MVE"), RIGHT(G25,LEN(G25)-3),     LEFT(G25,2)="JB",  RIGHT(G25,LEN(G25)-2), TRUE,     G25)</f>
        <v>IAG</v>
      </c>
      <c r="K25" t="str">
        <f>_xlfn.LET(_xlpm.Tick,[2]YData!$A25,IFERROR(LEFT(_xlpm.Tick,FIND(".",_xlpm.Tick)-1),_xlpm.Tick))</f>
        <v>IAG</v>
      </c>
      <c r="L25">
        <v>475.47250000000003</v>
      </c>
      <c r="M25">
        <v>45988</v>
      </c>
      <c r="N25">
        <v>0</v>
      </c>
      <c r="O25">
        <v>2.2599999999999999E-2</v>
      </c>
      <c r="Q25" t="str">
        <v>IAG.L</v>
      </c>
      <c r="R25">
        <f t="shared" si="2"/>
        <v>475.47250000000003</v>
      </c>
      <c r="S25" s="109">
        <f t="shared" si="3"/>
        <v>45988</v>
      </c>
      <c r="T25">
        <f t="shared" si="4"/>
        <v>0</v>
      </c>
      <c r="U25" s="108">
        <f t="shared" si="5"/>
        <v>2.2599999999999999E-2</v>
      </c>
    </row>
    <row r="26" spans="1:21" x14ac:dyDescent="0.3">
      <c r="A26" t="str">
        <f>[2]YData!A26</f>
        <v>KR</v>
      </c>
      <c r="B26">
        <f>[2]YData!B26</f>
        <v>73.818179999999998</v>
      </c>
      <c r="C26" s="101">
        <f>VALUE([2]YData!C26)</f>
        <v>45975</v>
      </c>
      <c r="D26">
        <f>[2]YData!D26</f>
        <v>0</v>
      </c>
      <c r="E26" s="21">
        <f>[2]YData!E26</f>
        <v>2.23E-2</v>
      </c>
      <c r="F26" s="37" t="str">
        <f t="shared" si="1"/>
        <v>KR</v>
      </c>
      <c r="G26" t="s">
        <v>91</v>
      </c>
      <c r="H26" s="37" t="str" cm="1">
        <f t="array" ref="H26">_xlfn.IFS(OR(LEFT(G26,3)="SAF",LEFT(G26,3)="MVE"), RIGHT(G26,LEN(G26)-3),     LEFT(G26,2)="JB",  RIGHT(G26,LEN(G26)-2), TRUE,     G26)</f>
        <v>KR</v>
      </c>
      <c r="K26" t="str">
        <f>_xlfn.LET(_xlpm.Tick,[2]YData!$A26,IFERROR(LEFT(_xlpm.Tick,FIND(".",_xlpm.Tick)-1),_xlpm.Tick))</f>
        <v>KR</v>
      </c>
      <c r="L26">
        <v>73.818179999999998</v>
      </c>
      <c r="M26">
        <v>45975</v>
      </c>
      <c r="N26">
        <v>0</v>
      </c>
      <c r="O26">
        <v>2.23E-2</v>
      </c>
      <c r="Q26" t="str">
        <v>KR</v>
      </c>
      <c r="R26">
        <f t="shared" si="2"/>
        <v>73.818179999999998</v>
      </c>
      <c r="S26" s="109">
        <f t="shared" si="3"/>
        <v>45975</v>
      </c>
      <c r="T26">
        <f t="shared" si="4"/>
        <v>0</v>
      </c>
      <c r="U26" s="108">
        <f t="shared" si="5"/>
        <v>2.23E-2</v>
      </c>
    </row>
    <row r="27" spans="1:21" x14ac:dyDescent="0.3">
      <c r="A27" t="str">
        <f>[2]YData!A27</f>
        <v>LNSR</v>
      </c>
      <c r="B27">
        <f>[2]YData!B27</f>
        <v>15</v>
      </c>
      <c r="C27" s="101">
        <f>VALUE([2]YData!C27)</f>
        <v>0</v>
      </c>
      <c r="D27">
        <f>[2]YData!D27</f>
        <v>0</v>
      </c>
      <c r="E27" s="21">
        <f>[2]YData!E27</f>
        <v>0</v>
      </c>
      <c r="F27" s="37" t="str">
        <f t="shared" si="1"/>
        <v>LNSR</v>
      </c>
      <c r="G27" t="s">
        <v>92</v>
      </c>
      <c r="H27" s="37" t="str" cm="1">
        <f t="array" ref="H27">_xlfn.IFS(OR(LEFT(G27,3)="SAF",LEFT(G27,3)="MVE"), RIGHT(G27,LEN(G27)-3),     LEFT(G27,2)="JB",  RIGHT(G27,LEN(G27)-2), TRUE,     G27)</f>
        <v>LNSR</v>
      </c>
      <c r="K27" t="str">
        <f>_xlfn.LET(_xlpm.Tick,[2]YData!$A27,IFERROR(LEFT(_xlpm.Tick,FIND(".",_xlpm.Tick)-1),_xlpm.Tick))</f>
        <v>LNSR</v>
      </c>
      <c r="L27">
        <v>15</v>
      </c>
      <c r="M27">
        <v>0</v>
      </c>
      <c r="N27">
        <v>0</v>
      </c>
      <c r="O27">
        <v>0</v>
      </c>
      <c r="Q27" t="str">
        <v>LNSR</v>
      </c>
      <c r="R27">
        <f t="shared" si="2"/>
        <v>15</v>
      </c>
      <c r="S27" s="109">
        <f t="shared" si="3"/>
        <v>0</v>
      </c>
      <c r="T27">
        <f t="shared" si="4"/>
        <v>0</v>
      </c>
      <c r="U27" s="108">
        <f t="shared" si="5"/>
        <v>0</v>
      </c>
    </row>
    <row r="28" spans="1:21" x14ac:dyDescent="0.3">
      <c r="A28" t="str">
        <f>[2]YData!A28</f>
        <v>LUMN</v>
      </c>
      <c r="B28">
        <f>[2]YData!B28</f>
        <v>7.2329999999999997</v>
      </c>
      <c r="C28" s="101">
        <f>VALUE([2]YData!C28)</f>
        <v>44802</v>
      </c>
      <c r="D28">
        <f>[2]YData!D28</f>
        <v>0</v>
      </c>
      <c r="E28" s="21">
        <f>[2]YData!E28</f>
        <v>0</v>
      </c>
      <c r="F28" s="37" t="str">
        <f t="shared" si="1"/>
        <v>LUMN</v>
      </c>
      <c r="G28" t="s">
        <v>93</v>
      </c>
      <c r="H28" s="37" t="str" cm="1">
        <f t="array" ref="H28">_xlfn.IFS(OR(LEFT(G28,3)="SAF",LEFT(G28,3)="MVE"), RIGHT(G28,LEN(G28)-3),     LEFT(G28,2)="JB",  RIGHT(G28,LEN(G28)-2), TRUE,     G28)</f>
        <v>LUMN</v>
      </c>
      <c r="K28" t="str">
        <f>_xlfn.LET(_xlpm.Tick,[2]YData!$A28,IFERROR(LEFT(_xlpm.Tick,FIND(".",_xlpm.Tick)-1),_xlpm.Tick))</f>
        <v>LUMN</v>
      </c>
      <c r="L28">
        <v>7.2329999999999997</v>
      </c>
      <c r="M28">
        <v>44802</v>
      </c>
      <c r="N28">
        <v>0</v>
      </c>
      <c r="O28">
        <v>0</v>
      </c>
      <c r="Q28" t="str">
        <v>LUMN</v>
      </c>
      <c r="R28">
        <f t="shared" si="2"/>
        <v>7.2329999999999997</v>
      </c>
      <c r="S28" s="109">
        <f t="shared" si="3"/>
        <v>44802</v>
      </c>
      <c r="T28">
        <f t="shared" si="4"/>
        <v>0</v>
      </c>
      <c r="U28" s="108">
        <f t="shared" si="5"/>
        <v>0</v>
      </c>
    </row>
    <row r="29" spans="1:21" x14ac:dyDescent="0.3">
      <c r="A29" t="str">
        <f>[2]YData!A29</f>
        <v>MRNA</v>
      </c>
      <c r="B29">
        <f>[2]YData!B29</f>
        <v>36.75</v>
      </c>
      <c r="C29" s="101">
        <f>VALUE([2]YData!C29)</f>
        <v>0</v>
      </c>
      <c r="D29">
        <f>[2]YData!D29</f>
        <v>0</v>
      </c>
      <c r="E29" s="21">
        <f>[2]YData!E29</f>
        <v>0</v>
      </c>
      <c r="F29" s="37" t="str">
        <f t="shared" si="1"/>
        <v>MRNA</v>
      </c>
      <c r="G29" t="s">
        <v>94</v>
      </c>
      <c r="H29" s="37" t="str" cm="1">
        <f t="array" ref="H29">_xlfn.IFS(OR(LEFT(G29,3)="SAF",LEFT(G29,3)="MVE"), RIGHT(G29,LEN(G29)-3),     LEFT(G29,2)="JB",  RIGHT(G29,LEN(G29)-2), TRUE,     G29)</f>
        <v>MRNA</v>
      </c>
      <c r="K29" t="str">
        <f>_xlfn.LET(_xlpm.Tick,[2]YData!$A29,IFERROR(LEFT(_xlpm.Tick,FIND(".",_xlpm.Tick)-1),_xlpm.Tick))</f>
        <v>MRNA</v>
      </c>
      <c r="L29">
        <v>36.75</v>
      </c>
      <c r="M29">
        <v>0</v>
      </c>
      <c r="N29">
        <v>0</v>
      </c>
      <c r="O29">
        <v>0</v>
      </c>
      <c r="Q29" t="str">
        <v>MRNA</v>
      </c>
      <c r="R29">
        <f t="shared" si="2"/>
        <v>36.75</v>
      </c>
      <c r="S29" s="109">
        <f t="shared" si="3"/>
        <v>0</v>
      </c>
      <c r="T29">
        <f t="shared" si="4"/>
        <v>0</v>
      </c>
      <c r="U29" s="108">
        <f t="shared" si="5"/>
        <v>0</v>
      </c>
    </row>
    <row r="30" spans="1:21" x14ac:dyDescent="0.3">
      <c r="A30" t="str">
        <f>[2]YData!A30</f>
        <v>MSFT</v>
      </c>
      <c r="B30">
        <f>[2]YData!B30</f>
        <v>622.51415999999995</v>
      </c>
      <c r="C30" s="101">
        <f>VALUE([2]YData!C30)</f>
        <v>46072</v>
      </c>
      <c r="D30">
        <f>[2]YData!D30</f>
        <v>0</v>
      </c>
      <c r="E30" s="21">
        <f>[2]YData!E30</f>
        <v>7.4999999999999997E-3</v>
      </c>
      <c r="F30" s="37" t="str">
        <f t="shared" si="1"/>
        <v>MSFT</v>
      </c>
      <c r="G30" t="s">
        <v>95</v>
      </c>
      <c r="H30" s="37" t="str" cm="1">
        <f t="array" ref="H30">_xlfn.IFS(OR(LEFT(G30,3)="SAF",LEFT(G30,3)="MVE"), RIGHT(G30,LEN(G30)-3),     LEFT(G30,2)="JB",  RIGHT(G30,LEN(G30)-2), TRUE,     G30)</f>
        <v>MSFT</v>
      </c>
      <c r="K30" t="str">
        <f>_xlfn.LET(_xlpm.Tick,[2]YData!$A30,IFERROR(LEFT(_xlpm.Tick,FIND(".",_xlpm.Tick)-1),_xlpm.Tick))</f>
        <v>MSFT</v>
      </c>
      <c r="L30">
        <v>622.51415999999995</v>
      </c>
      <c r="M30">
        <v>46072</v>
      </c>
      <c r="N30">
        <v>0</v>
      </c>
      <c r="O30">
        <v>7.4999999999999997E-3</v>
      </c>
      <c r="Q30" t="str">
        <v>MSFT</v>
      </c>
      <c r="R30">
        <f t="shared" si="2"/>
        <v>622.51415999999995</v>
      </c>
      <c r="S30" s="109">
        <f t="shared" si="3"/>
        <v>46072</v>
      </c>
      <c r="T30">
        <f t="shared" si="4"/>
        <v>0</v>
      </c>
      <c r="U30" s="108">
        <f t="shared" si="5"/>
        <v>7.4999999999999997E-3</v>
      </c>
    </row>
    <row r="31" spans="1:21" x14ac:dyDescent="0.3">
      <c r="A31" t="str">
        <f>[2]YData!A31</f>
        <v>NEE</v>
      </c>
      <c r="B31">
        <f>[2]YData!B31</f>
        <v>90.690910000000002</v>
      </c>
      <c r="C31" s="101">
        <f>VALUE([2]YData!C31)</f>
        <v>45982</v>
      </c>
      <c r="D31">
        <f>[2]YData!D31</f>
        <v>0</v>
      </c>
      <c r="E31" s="21">
        <f>[2]YData!E31</f>
        <v>2.8199999E-2</v>
      </c>
      <c r="F31" s="37" t="str">
        <f t="shared" si="1"/>
        <v>NEE</v>
      </c>
      <c r="G31" t="s">
        <v>96</v>
      </c>
      <c r="H31" s="37" t="str" cm="1">
        <f t="array" ref="H31">_xlfn.IFS(OR(LEFT(G31,3)="SAF",LEFT(G31,3)="MVE"), RIGHT(G31,LEN(G31)-3),     LEFT(G31,2)="JB",  RIGHT(G31,LEN(G31)-2), TRUE,     G31)</f>
        <v>NEE</v>
      </c>
      <c r="K31" t="str">
        <f>_xlfn.LET(_xlpm.Tick,[2]YData!$A31,IFERROR(LEFT(_xlpm.Tick,FIND(".",_xlpm.Tick)-1),_xlpm.Tick))</f>
        <v>NEE</v>
      </c>
      <c r="L31">
        <v>90.690910000000002</v>
      </c>
      <c r="M31">
        <v>45982</v>
      </c>
      <c r="N31">
        <v>0</v>
      </c>
      <c r="O31">
        <v>2.8199999E-2</v>
      </c>
      <c r="Q31" t="str">
        <v>NEE</v>
      </c>
      <c r="R31">
        <f t="shared" si="2"/>
        <v>90.690910000000002</v>
      </c>
      <c r="S31" s="109">
        <f t="shared" si="3"/>
        <v>45982</v>
      </c>
      <c r="T31">
        <f t="shared" si="4"/>
        <v>0</v>
      </c>
      <c r="U31" s="108">
        <f t="shared" si="5"/>
        <v>2.8199999E-2</v>
      </c>
    </row>
    <row r="32" spans="1:21" x14ac:dyDescent="0.3">
      <c r="A32" t="str">
        <f>[2]YData!A32</f>
        <v>NEM</v>
      </c>
      <c r="B32">
        <f>[2]YData!B32</f>
        <v>109.495</v>
      </c>
      <c r="C32" s="101">
        <f>VALUE([2]YData!C32)</f>
        <v>45987</v>
      </c>
      <c r="D32">
        <f>[2]YData!D32</f>
        <v>0</v>
      </c>
      <c r="E32" s="21">
        <f>[2]YData!E32</f>
        <v>0.01</v>
      </c>
      <c r="F32" s="37" t="str">
        <f t="shared" si="1"/>
        <v>NEM</v>
      </c>
      <c r="G32" t="s">
        <v>97</v>
      </c>
      <c r="H32" s="37" t="str" cm="1">
        <f t="array" ref="H32">_xlfn.IFS(OR(LEFT(G32,3)="SAF",LEFT(G32,3)="MVE"), RIGHT(G32,LEN(G32)-3),     LEFT(G32,2)="JB",  RIGHT(G32,LEN(G32)-2), TRUE,     G32)</f>
        <v>NEM</v>
      </c>
      <c r="K32" t="str">
        <f>_xlfn.LET(_xlpm.Tick,[2]YData!$A32,IFERROR(LEFT(_xlpm.Tick,FIND(".",_xlpm.Tick)-1),_xlpm.Tick))</f>
        <v>NEM</v>
      </c>
      <c r="L32">
        <v>109.495</v>
      </c>
      <c r="M32">
        <v>45987</v>
      </c>
      <c r="N32">
        <v>0</v>
      </c>
      <c r="O32">
        <v>0.01</v>
      </c>
      <c r="Q32" t="str">
        <v>NEM</v>
      </c>
      <c r="R32">
        <f t="shared" si="2"/>
        <v>109.495</v>
      </c>
      <c r="S32" s="109">
        <f t="shared" si="3"/>
        <v>45987</v>
      </c>
      <c r="T32">
        <f t="shared" si="4"/>
        <v>0</v>
      </c>
      <c r="U32" s="108">
        <f t="shared" si="5"/>
        <v>0.01</v>
      </c>
    </row>
    <row r="33" spans="1:21" x14ac:dyDescent="0.3">
      <c r="A33" t="str">
        <f>[2]YData!A33</f>
        <v>NFLX</v>
      </c>
      <c r="B33">
        <f>[2]YData!B33</f>
        <v>126.19184</v>
      </c>
      <c r="C33" s="101">
        <f>VALUE([2]YData!C33)</f>
        <v>0</v>
      </c>
      <c r="D33">
        <f>[2]YData!D33</f>
        <v>0</v>
      </c>
      <c r="E33" s="21">
        <f>[2]YData!E33</f>
        <v>0</v>
      </c>
      <c r="F33" s="37" t="str">
        <f t="shared" si="1"/>
        <v>NFLX</v>
      </c>
      <c r="G33" t="s">
        <v>98</v>
      </c>
      <c r="H33" s="37" t="str" cm="1">
        <f t="array" ref="H33">_xlfn.IFS(OR(LEFT(G33,3)="SAF",LEFT(G33,3)="MVE"), RIGHT(G33,LEN(G33)-3),     LEFT(G33,2)="JB",  RIGHT(G33,LEN(G33)-2), TRUE,     G33)</f>
        <v>NFLX</v>
      </c>
      <c r="K33" t="str">
        <f>_xlfn.LET(_xlpm.Tick,[2]YData!$A33,IFERROR(LEFT(_xlpm.Tick,FIND(".",_xlpm.Tick)-1),_xlpm.Tick))</f>
        <v>NFLX</v>
      </c>
      <c r="L33">
        <v>126.19184</v>
      </c>
      <c r="M33">
        <v>0</v>
      </c>
      <c r="N33">
        <v>0</v>
      </c>
      <c r="O33">
        <v>0</v>
      </c>
      <c r="Q33" t="str">
        <v>NFLX</v>
      </c>
      <c r="R33">
        <f t="shared" si="2"/>
        <v>126.19184</v>
      </c>
      <c r="S33" s="109">
        <f t="shared" si="3"/>
        <v>0</v>
      </c>
      <c r="T33">
        <f t="shared" si="4"/>
        <v>0</v>
      </c>
      <c r="U33" s="108">
        <f t="shared" si="5"/>
        <v>0</v>
      </c>
    </row>
    <row r="34" spans="1:21" x14ac:dyDescent="0.3">
      <c r="A34" t="str">
        <f>[2]YData!A34</f>
        <v>NOTE</v>
      </c>
      <c r="B34">
        <f>[2]YData!B34</f>
        <v>19.250540000000001</v>
      </c>
      <c r="C34" s="101">
        <f>VALUE([2]YData!C34)</f>
        <v>0</v>
      </c>
      <c r="D34">
        <f>[2]YData!D34</f>
        <v>0</v>
      </c>
      <c r="E34" s="21">
        <f>[2]YData!E34</f>
        <v>0</v>
      </c>
      <c r="F34" s="37" t="str">
        <f t="shared" si="1"/>
        <v>NOTE</v>
      </c>
      <c r="G34" t="s">
        <v>99</v>
      </c>
      <c r="H34" s="37"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c r="Q34" t="str">
        <v>NOTE</v>
      </c>
      <c r="R34">
        <f t="shared" si="2"/>
        <v>19.250540000000001</v>
      </c>
      <c r="S34" s="109">
        <f t="shared" si="3"/>
        <v>0</v>
      </c>
      <c r="T34">
        <f t="shared" si="4"/>
        <v>0</v>
      </c>
      <c r="U34" s="108">
        <f t="shared" si="5"/>
        <v>0</v>
      </c>
    </row>
    <row r="35" spans="1:21" x14ac:dyDescent="0.3">
      <c r="A35" t="str">
        <f>[2]YData!A35</f>
        <v>PAAS</v>
      </c>
      <c r="B35">
        <f>[2]YData!B35</f>
        <v>50</v>
      </c>
      <c r="C35" s="101">
        <f>VALUE([2]YData!C35)</f>
        <v>45985</v>
      </c>
      <c r="D35">
        <f>[2]YData!D35</f>
        <v>0</v>
      </c>
      <c r="E35" s="21">
        <f>[2]YData!E35</f>
        <v>1.0699999999999999E-2</v>
      </c>
      <c r="F35" s="37" t="str">
        <f t="shared" si="1"/>
        <v>PAAS</v>
      </c>
      <c r="G35" t="s">
        <v>100</v>
      </c>
      <c r="H35" s="37" t="str" cm="1">
        <f t="array" ref="H35">_xlfn.IFS(OR(LEFT(G35,3)="SAF",LEFT(G35,3)="MVE"), RIGHT(G35,LEN(G35)-3),     LEFT(G35,2)="JB",  RIGHT(G35,LEN(G35)-2), TRUE,     G35)</f>
        <v>PAAS</v>
      </c>
      <c r="K35" t="str">
        <f>_xlfn.LET(_xlpm.Tick,[2]YData!$A35,IFERROR(LEFT(_xlpm.Tick,FIND(".",_xlpm.Tick)-1),_xlpm.Tick))</f>
        <v>PAAS</v>
      </c>
      <c r="L35">
        <v>50</v>
      </c>
      <c r="M35">
        <v>45985</v>
      </c>
      <c r="N35">
        <v>0</v>
      </c>
      <c r="O35">
        <v>1.0699999999999999E-2</v>
      </c>
      <c r="Q35" t="str">
        <v>PAAS</v>
      </c>
      <c r="R35">
        <f t="shared" si="2"/>
        <v>50</v>
      </c>
      <c r="S35" s="109">
        <f t="shared" si="3"/>
        <v>45985</v>
      </c>
      <c r="T35">
        <f t="shared" si="4"/>
        <v>0</v>
      </c>
      <c r="U35" s="108">
        <f t="shared" si="5"/>
        <v>1.0699999999999999E-2</v>
      </c>
    </row>
    <row r="36" spans="1:21" x14ac:dyDescent="0.3">
      <c r="A36" t="str">
        <f>[2]YData!A36</f>
        <v>PROF</v>
      </c>
      <c r="B36">
        <f>[2]YData!B36</f>
        <v>12.1</v>
      </c>
      <c r="C36" s="101">
        <f>VALUE([2]YData!C36)</f>
        <v>0</v>
      </c>
      <c r="D36">
        <f>[2]YData!D36</f>
        <v>0</v>
      </c>
      <c r="E36" s="21">
        <f>[2]YData!E36</f>
        <v>0</v>
      </c>
      <c r="F36" s="37" t="str">
        <f t="shared" si="1"/>
        <v>PROF</v>
      </c>
      <c r="G36" t="s">
        <v>101</v>
      </c>
      <c r="H36" s="37" t="str" cm="1">
        <f t="array" ref="H36">_xlfn.IFS(OR(LEFT(G36,3)="SAF",LEFT(G36,3)="MVE"), RIGHT(G36,LEN(G36)-3),     LEFT(G36,2)="JB",  RIGHT(G36,LEN(G36)-2), TRUE,     G36)</f>
        <v>PROF</v>
      </c>
      <c r="K36" t="str">
        <f>_xlfn.LET(_xlpm.Tick,[2]YData!$A36,IFERROR(LEFT(_xlpm.Tick,FIND(".",_xlpm.Tick)-1),_xlpm.Tick))</f>
        <v>PROF</v>
      </c>
      <c r="L36">
        <v>12.1</v>
      </c>
      <c r="M36">
        <v>0</v>
      </c>
      <c r="N36">
        <v>0</v>
      </c>
      <c r="O36">
        <v>0</v>
      </c>
      <c r="Q36" t="str">
        <v>PROF</v>
      </c>
      <c r="R36">
        <f t="shared" si="2"/>
        <v>12.1</v>
      </c>
      <c r="S36" s="109">
        <f t="shared" si="3"/>
        <v>0</v>
      </c>
      <c r="T36">
        <f t="shared" si="4"/>
        <v>0</v>
      </c>
      <c r="U36" s="108">
        <f t="shared" si="5"/>
        <v>0</v>
      </c>
    </row>
    <row r="37" spans="1:21" x14ac:dyDescent="0.3">
      <c r="A37" t="str">
        <f>[2]YData!A37</f>
        <v>POET</v>
      </c>
      <c r="B37">
        <f>[2]YData!B37</f>
        <v>6.9333299999999998</v>
      </c>
      <c r="C37" s="101">
        <f>VALUE([2]YData!C37)</f>
        <v>0</v>
      </c>
      <c r="D37">
        <f>[2]YData!D37</f>
        <v>0</v>
      </c>
      <c r="E37" s="21">
        <f>[2]YData!E37</f>
        <v>0</v>
      </c>
      <c r="F37" s="37" t="str">
        <f t="shared" si="1"/>
        <v>POET</v>
      </c>
      <c r="G37" t="s">
        <v>102</v>
      </c>
      <c r="H37" s="37" t="str" cm="1">
        <f t="array" ref="H37">_xlfn.IFS(OR(LEFT(G37,3)="SAF",LEFT(G37,3)="MVE"), RIGHT(G37,LEN(G37)-3),     LEFT(G37,2)="JB",  RIGHT(G37,LEN(G37)-2), TRUE,     G37)</f>
        <v>POET</v>
      </c>
      <c r="K37" t="str">
        <f>_xlfn.LET(_xlpm.Tick,[2]YData!$A37,IFERROR(LEFT(_xlpm.Tick,FIND(".",_xlpm.Tick)-1),_xlpm.Tick))</f>
        <v>POET</v>
      </c>
      <c r="L37">
        <v>6.9333299999999998</v>
      </c>
      <c r="M37">
        <v>0</v>
      </c>
      <c r="N37">
        <v>0</v>
      </c>
      <c r="O37">
        <v>0</v>
      </c>
      <c r="Q37" t="str">
        <v>POET</v>
      </c>
      <c r="R37">
        <f t="shared" si="2"/>
        <v>6.9333299999999998</v>
      </c>
      <c r="S37" s="109">
        <f t="shared" si="3"/>
        <v>0</v>
      </c>
      <c r="T37">
        <f t="shared" si="4"/>
        <v>0</v>
      </c>
      <c r="U37" s="108">
        <f t="shared" si="5"/>
        <v>0</v>
      </c>
    </row>
    <row r="38" spans="1:21" x14ac:dyDescent="0.3">
      <c r="A38" t="str">
        <f>[2]YData!A38</f>
        <v>PW</v>
      </c>
      <c r="B38">
        <f>[2]YData!B38</f>
        <v>0</v>
      </c>
      <c r="C38" s="101">
        <f>VALUE([2]YData!C38)</f>
        <v>41284</v>
      </c>
      <c r="D38">
        <f>[2]YData!D38</f>
        <v>0</v>
      </c>
      <c r="E38" s="21">
        <f>[2]YData!E38</f>
        <v>0</v>
      </c>
      <c r="F38" s="37" t="str">
        <f t="shared" si="1"/>
        <v>PW</v>
      </c>
      <c r="G38" t="s">
        <v>103</v>
      </c>
      <c r="H38" s="37" t="str" cm="1">
        <f t="array" ref="H38">_xlfn.IFS(OR(LEFT(G38,3)="SAF",LEFT(G38,3)="MVE"), RIGHT(G38,LEN(G38)-3),     LEFT(G38,2)="JB",  RIGHT(G38,LEN(G38)-2), TRUE,     G38)</f>
        <v>PW</v>
      </c>
      <c r="K38" t="str">
        <f>_xlfn.LET(_xlpm.Tick,[2]YData!$A38,IFERROR(LEFT(_xlpm.Tick,FIND(".",_xlpm.Tick)-1),_xlpm.Tick))</f>
        <v>PW</v>
      </c>
      <c r="L38">
        <v>0</v>
      </c>
      <c r="M38">
        <v>41284</v>
      </c>
      <c r="N38">
        <v>0</v>
      </c>
      <c r="O38">
        <v>0</v>
      </c>
      <c r="Q38" t="str">
        <v>PW</v>
      </c>
      <c r="R38">
        <f t="shared" si="2"/>
        <v>0</v>
      </c>
      <c r="S38" s="109">
        <f t="shared" si="3"/>
        <v>41284</v>
      </c>
      <c r="T38">
        <f t="shared" si="4"/>
        <v>0</v>
      </c>
      <c r="U38" s="108">
        <f t="shared" si="5"/>
        <v>0</v>
      </c>
    </row>
    <row r="39" spans="1:21" x14ac:dyDescent="0.3">
      <c r="A39" t="str">
        <f>[2]YData!A39</f>
        <v>RIGL</v>
      </c>
      <c r="B39">
        <f>[2]YData!B39</f>
        <v>51.2</v>
      </c>
      <c r="C39" s="101">
        <f>VALUE([2]YData!C39)</f>
        <v>0</v>
      </c>
      <c r="D39">
        <f>[2]YData!D39</f>
        <v>0</v>
      </c>
      <c r="E39" s="21">
        <f>[2]YData!E39</f>
        <v>0</v>
      </c>
      <c r="F39" s="37" t="str">
        <f t="shared" si="1"/>
        <v>RIGL</v>
      </c>
      <c r="G39" t="s">
        <v>104</v>
      </c>
      <c r="H39" s="37" t="str" cm="1">
        <f t="array" ref="H39">_xlfn.IFS(OR(LEFT(G39,3)="SAF",LEFT(G39,3)="MVE"), RIGHT(G39,LEN(G39)-3),     LEFT(G39,2)="JB",  RIGHT(G39,LEN(G39)-2), TRUE,     G39)</f>
        <v>RIGL</v>
      </c>
      <c r="K39" t="str">
        <f>_xlfn.LET(_xlpm.Tick,[2]YData!$A39,IFERROR(LEFT(_xlpm.Tick,FIND(".",_xlpm.Tick)-1),_xlpm.Tick))</f>
        <v>RIGL</v>
      </c>
      <c r="L39">
        <v>51.2</v>
      </c>
      <c r="M39">
        <v>0</v>
      </c>
      <c r="N39">
        <v>0</v>
      </c>
      <c r="O39">
        <v>0</v>
      </c>
      <c r="Q39" t="str">
        <v>RIGL</v>
      </c>
      <c r="R39">
        <f t="shared" si="2"/>
        <v>51.2</v>
      </c>
      <c r="S39" s="109">
        <f t="shared" si="3"/>
        <v>0</v>
      </c>
      <c r="T39">
        <f t="shared" si="4"/>
        <v>0</v>
      </c>
      <c r="U39" s="108">
        <f t="shared" si="5"/>
        <v>0</v>
      </c>
    </row>
    <row r="40" spans="1:21" x14ac:dyDescent="0.3">
      <c r="A40" t="str">
        <f>[2]YData!A40</f>
        <v>RWE.DE</v>
      </c>
      <c r="B40">
        <f>[2]YData!B40</f>
        <v>49.138890000000004</v>
      </c>
      <c r="C40" s="101">
        <f>VALUE([2]YData!C40)</f>
        <v>45779</v>
      </c>
      <c r="D40">
        <f>[2]YData!D40</f>
        <v>0</v>
      </c>
      <c r="E40" s="21">
        <f>[2]YData!E40</f>
        <v>2.4400001000000001E-2</v>
      </c>
      <c r="F40" s="37" t="str">
        <f t="shared" si="1"/>
        <v>RWE</v>
      </c>
      <c r="G40" t="s">
        <v>140</v>
      </c>
      <c r="H40" s="37" t="str" cm="1">
        <f t="array" ref="H40">_xlfn.IFS(OR(LEFT(G40,3)="SAF",LEFT(G40,3)="MVE"), RIGHT(G40,LEN(G40)-3),     LEFT(G40,2)="JB",  RIGHT(G40,LEN(G40)-2), TRUE,     G40)</f>
        <v>RWE</v>
      </c>
      <c r="K40" t="str">
        <f>_xlfn.LET(_xlpm.Tick,[2]YData!$A40,IFERROR(LEFT(_xlpm.Tick,FIND(".",_xlpm.Tick)-1),_xlpm.Tick))</f>
        <v>RWE</v>
      </c>
      <c r="L40">
        <v>49.138890000000004</v>
      </c>
      <c r="M40">
        <v>45779</v>
      </c>
      <c r="N40">
        <v>0</v>
      </c>
      <c r="O40">
        <v>2.4400001000000001E-2</v>
      </c>
      <c r="Q40" t="str">
        <v>RWE.DE</v>
      </c>
      <c r="R40">
        <f t="shared" si="2"/>
        <v>49.138890000000004</v>
      </c>
      <c r="S40" s="109">
        <f t="shared" si="3"/>
        <v>45779</v>
      </c>
      <c r="T40">
        <f t="shared" si="4"/>
        <v>0</v>
      </c>
      <c r="U40" s="108">
        <f t="shared" si="5"/>
        <v>2.4400001000000001E-2</v>
      </c>
    </row>
    <row r="41" spans="1:21" x14ac:dyDescent="0.3">
      <c r="A41" t="str">
        <f>[2]YData!A41</f>
        <v>SAP.DE</v>
      </c>
      <c r="B41">
        <f>[2]YData!B41</f>
        <v>283.20499999999998</v>
      </c>
      <c r="C41" s="101">
        <f>VALUE([2]YData!C41)</f>
        <v>45791</v>
      </c>
      <c r="D41">
        <f>[2]YData!D41</f>
        <v>0</v>
      </c>
      <c r="E41" s="21">
        <f>[2]YData!E41</f>
        <v>1.1299999999999999E-2</v>
      </c>
      <c r="F41" s="37" t="str">
        <f t="shared" si="1"/>
        <v>SAP</v>
      </c>
      <c r="G41" t="s">
        <v>141</v>
      </c>
      <c r="H41" s="37" t="str" cm="1">
        <f t="array" ref="H41">_xlfn.IFS(OR(LEFT(G41,3)="SAF",LEFT(G41,3)="MVE"), RIGHT(G41,LEN(G41)-3),     LEFT(G41,2)="JB",  RIGHT(G41,LEN(G41)-2), TRUE,     G41)</f>
        <v>SAP</v>
      </c>
      <c r="K41" t="str">
        <f>_xlfn.LET(_xlpm.Tick,[2]YData!$A41,IFERROR(LEFT(_xlpm.Tick,FIND(".",_xlpm.Tick)-1),_xlpm.Tick))</f>
        <v>SAP</v>
      </c>
      <c r="L41">
        <v>283.20499999999998</v>
      </c>
      <c r="M41">
        <v>45791</v>
      </c>
      <c r="N41">
        <v>0</v>
      </c>
      <c r="O41">
        <v>1.1299999999999999E-2</v>
      </c>
      <c r="Q41" t="str">
        <v>SAP.DE</v>
      </c>
      <c r="R41">
        <f t="shared" si="2"/>
        <v>283.20499999999998</v>
      </c>
      <c r="S41" s="109">
        <f t="shared" si="3"/>
        <v>45791</v>
      </c>
      <c r="T41">
        <f t="shared" si="4"/>
        <v>0</v>
      </c>
      <c r="U41" s="108">
        <f t="shared" si="5"/>
        <v>1.1299999999999999E-2</v>
      </c>
    </row>
    <row r="42" spans="1:21" x14ac:dyDescent="0.3">
      <c r="A42" t="str">
        <f>[2]YData!A42</f>
        <v>SHECY</v>
      </c>
      <c r="B42">
        <f>[2]YData!B42</f>
        <v>0</v>
      </c>
      <c r="C42" s="101">
        <f>VALUE([2]YData!C42)</f>
        <v>45930</v>
      </c>
      <c r="D42">
        <f>[2]YData!D42</f>
        <v>0</v>
      </c>
      <c r="E42" s="21">
        <f>[2]YData!E42</f>
        <v>2.2599999999999999E-2</v>
      </c>
      <c r="F42" s="37" t="str">
        <f t="shared" si="1"/>
        <v>SHECY</v>
      </c>
      <c r="G42" t="s">
        <v>105</v>
      </c>
      <c r="H42" s="37" t="str" cm="1">
        <f t="array" ref="H42">_xlfn.IFS(OR(LEFT(G42,3)="SAF",LEFT(G42,3)="MVE"), RIGHT(G42,LEN(G42)-3),     LEFT(G42,2)="JB",  RIGHT(G42,LEN(G42)-2), TRUE,     G42)</f>
        <v>SHECY</v>
      </c>
      <c r="K42" t="str">
        <f>_xlfn.LET(_xlpm.Tick,[2]YData!$A42,IFERROR(LEFT(_xlpm.Tick,FIND(".",_xlpm.Tick)-1),_xlpm.Tick))</f>
        <v>SHECY</v>
      </c>
      <c r="L42">
        <v>0</v>
      </c>
      <c r="M42">
        <v>45930</v>
      </c>
      <c r="N42">
        <v>0</v>
      </c>
      <c r="O42">
        <v>2.2599999999999999E-2</v>
      </c>
      <c r="Q42" t="str">
        <v>SHECY</v>
      </c>
      <c r="R42">
        <f t="shared" si="2"/>
        <v>0</v>
      </c>
      <c r="S42" s="109">
        <f t="shared" si="3"/>
        <v>45930</v>
      </c>
      <c r="T42">
        <f t="shared" si="4"/>
        <v>0</v>
      </c>
      <c r="U42" s="108">
        <f t="shared" si="5"/>
        <v>2.2599999999999999E-2</v>
      </c>
    </row>
    <row r="43" spans="1:21" x14ac:dyDescent="0.3">
      <c r="A43" t="str">
        <f>[2]YData!A43</f>
        <v>SSYS</v>
      </c>
      <c r="B43">
        <f>[2]YData!B43</f>
        <v>13.16667</v>
      </c>
      <c r="C43" s="101">
        <f>VALUE([2]YData!C43)</f>
        <v>0</v>
      </c>
      <c r="D43">
        <f>[2]YData!D43</f>
        <v>0</v>
      </c>
      <c r="E43" s="21">
        <f>[2]YData!E43</f>
        <v>0</v>
      </c>
      <c r="F43" s="37" t="str">
        <f t="shared" si="1"/>
        <v>SSYS</v>
      </c>
      <c r="G43" t="s">
        <v>106</v>
      </c>
      <c r="H43" s="37" t="str" cm="1">
        <f t="array" ref="H43">_xlfn.IFS(OR(LEFT(G43,3)="SAF",LEFT(G43,3)="MVE"), RIGHT(G43,LEN(G43)-3),     LEFT(G43,2)="JB",  RIGHT(G43,LEN(G43)-2), TRUE,     G43)</f>
        <v>SSYS</v>
      </c>
      <c r="K43" t="str">
        <f>_xlfn.LET(_xlpm.Tick,[2]YData!$A43,IFERROR(LEFT(_xlpm.Tick,FIND(".",_xlpm.Tick)-1),_xlpm.Tick))</f>
        <v>SSYS</v>
      </c>
      <c r="L43">
        <v>13.16667</v>
      </c>
      <c r="M43">
        <v>0</v>
      </c>
      <c r="N43">
        <v>0</v>
      </c>
      <c r="O43">
        <v>0</v>
      </c>
      <c r="Q43" t="str">
        <v>SSYS</v>
      </c>
      <c r="R43">
        <f t="shared" si="2"/>
        <v>13.16667</v>
      </c>
      <c r="S43" s="109">
        <f t="shared" si="3"/>
        <v>0</v>
      </c>
      <c r="T43">
        <f t="shared" si="4"/>
        <v>0</v>
      </c>
      <c r="U43" s="108">
        <f t="shared" si="5"/>
        <v>0</v>
      </c>
    </row>
    <row r="44" spans="1:21" x14ac:dyDescent="0.3">
      <c r="A44" t="str">
        <f>[2]YData!A44</f>
        <v>TSLA</v>
      </c>
      <c r="B44">
        <f>[2]YData!B44</f>
        <v>399.15100000000001</v>
      </c>
      <c r="C44" s="101">
        <f>VALUE([2]YData!C44)</f>
        <v>0</v>
      </c>
      <c r="D44">
        <f>[2]YData!D44</f>
        <v>0</v>
      </c>
      <c r="E44" s="21">
        <f>[2]YData!E44</f>
        <v>0</v>
      </c>
      <c r="F44" s="37" t="str">
        <f t="shared" si="1"/>
        <v>TSLA</v>
      </c>
      <c r="G44" t="s">
        <v>107</v>
      </c>
      <c r="H44" s="37" t="str" cm="1">
        <f t="array" ref="H44">_xlfn.IFS(OR(LEFT(G44,3)="SAF",LEFT(G44,3)="MVE"), RIGHT(G44,LEN(G44)-3),     LEFT(G44,2)="JB",  RIGHT(G44,LEN(G44)-2), TRUE,     G44)</f>
        <v>TSLA</v>
      </c>
      <c r="K44" t="str">
        <f>_xlfn.LET(_xlpm.Tick,[2]YData!$A44,IFERROR(LEFT(_xlpm.Tick,FIND(".",_xlpm.Tick)-1),_xlpm.Tick))</f>
        <v>TSLA</v>
      </c>
      <c r="L44">
        <v>399.15100000000001</v>
      </c>
      <c r="M44">
        <v>0</v>
      </c>
      <c r="N44">
        <v>0</v>
      </c>
      <c r="O44">
        <v>0</v>
      </c>
      <c r="Q44" t="str">
        <v>TSLA</v>
      </c>
      <c r="R44">
        <f t="shared" si="2"/>
        <v>399.15100000000001</v>
      </c>
      <c r="S44" s="109">
        <f t="shared" si="3"/>
        <v>0</v>
      </c>
      <c r="T44">
        <f t="shared" si="4"/>
        <v>0</v>
      </c>
      <c r="U44" s="108">
        <f t="shared" si="5"/>
        <v>0</v>
      </c>
    </row>
    <row r="45" spans="1:21" x14ac:dyDescent="0.3">
      <c r="A45" t="str">
        <f>[2]YData!A45</f>
        <v>TSM</v>
      </c>
      <c r="B45">
        <f>[2]YData!B45</f>
        <v>344.57333</v>
      </c>
      <c r="C45" s="101">
        <f>VALUE([2]YData!C45)</f>
        <v>46098</v>
      </c>
      <c r="D45">
        <f>[2]YData!D45</f>
        <v>0</v>
      </c>
      <c r="E45" s="21">
        <f>[2]YData!E45</f>
        <v>1.12E-2</v>
      </c>
      <c r="F45" s="37" t="str">
        <f t="shared" si="1"/>
        <v>TSM</v>
      </c>
      <c r="G45" t="s">
        <v>108</v>
      </c>
      <c r="H45" s="37" t="str" cm="1">
        <f t="array" ref="H45">_xlfn.IFS(OR(LEFT(G45,3)="SAF",LEFT(G45,3)="MVE"), RIGHT(G45,LEN(G45)-3),     LEFT(G45,2)="JB",  RIGHT(G45,LEN(G45)-2), TRUE,     G45)</f>
        <v>TSM</v>
      </c>
      <c r="K45" t="str">
        <f>_xlfn.LET(_xlpm.Tick,[2]YData!$A45,IFERROR(LEFT(_xlpm.Tick,FIND(".",_xlpm.Tick)-1),_xlpm.Tick))</f>
        <v>TSM</v>
      </c>
      <c r="L45">
        <v>344.57333</v>
      </c>
      <c r="M45">
        <v>46098</v>
      </c>
      <c r="N45">
        <v>0</v>
      </c>
      <c r="O45">
        <v>1.12E-2</v>
      </c>
      <c r="Q45" t="str">
        <v>TSM</v>
      </c>
      <c r="R45">
        <f t="shared" si="2"/>
        <v>344.57333</v>
      </c>
      <c r="S45" s="109">
        <f t="shared" si="3"/>
        <v>46098</v>
      </c>
      <c r="T45">
        <f t="shared" si="4"/>
        <v>0</v>
      </c>
      <c r="U45" s="108">
        <f t="shared" si="5"/>
        <v>1.12E-2</v>
      </c>
    </row>
    <row r="46" spans="1:21" x14ac:dyDescent="0.3">
      <c r="A46" t="str">
        <f>[2]YData!A46</f>
        <v>UN0</v>
      </c>
      <c r="B46">
        <f>[2]YData!B46</f>
        <v>0</v>
      </c>
      <c r="C46" s="101">
        <f>VALUE([2]YData!C46)</f>
        <v>0</v>
      </c>
      <c r="D46">
        <f>[2]YData!D46</f>
        <v>0</v>
      </c>
      <c r="E46" s="21">
        <f>[2]YData!E46</f>
        <v>0</v>
      </c>
      <c r="F46" s="37" t="str">
        <f t="shared" si="1"/>
        <v>UN0</v>
      </c>
      <c r="G46" t="s">
        <v>109</v>
      </c>
      <c r="H46" s="37" t="str" cm="1">
        <f t="array" ref="H46">_xlfn.IFS(OR(LEFT(G46,3)="SAF",LEFT(G46,3)="MVE"), RIGHT(G46,LEN(G46)-3),     LEFT(G46,2)="JB",  RIGHT(G46,LEN(G46)-2), TRUE,     G46)</f>
        <v>UN0</v>
      </c>
      <c r="K46" t="str">
        <f>_xlfn.LET(_xlpm.Tick,[2]YData!$A46,IFERROR(LEFT(_xlpm.Tick,FIND(".",_xlpm.Tick)-1),_xlpm.Tick))</f>
        <v>UN0</v>
      </c>
      <c r="L46">
        <v>0</v>
      </c>
      <c r="M46">
        <v>0</v>
      </c>
      <c r="N46">
        <v>0</v>
      </c>
      <c r="O46">
        <v>0</v>
      </c>
      <c r="Q46" t="str">
        <v>UN0</v>
      </c>
      <c r="R46">
        <f t="shared" si="2"/>
        <v>0</v>
      </c>
      <c r="S46" s="109">
        <f t="shared" si="3"/>
        <v>0</v>
      </c>
      <c r="T46">
        <f t="shared" si="4"/>
        <v>0</v>
      </c>
      <c r="U46" s="108">
        <f t="shared" si="5"/>
        <v>0</v>
      </c>
    </row>
    <row r="47" spans="1:21" x14ac:dyDescent="0.3">
      <c r="A47" t="str">
        <f>[2]YData!A47</f>
        <v>UNIT</v>
      </c>
      <c r="B47">
        <f>[2]YData!B47</f>
        <v>7.2</v>
      </c>
      <c r="C47" s="101">
        <f>VALUE([2]YData!C47)</f>
        <v>45457</v>
      </c>
      <c r="D47">
        <f>[2]YData!D47</f>
        <v>0</v>
      </c>
      <c r="E47" s="21">
        <f>[2]YData!E47</f>
        <v>0</v>
      </c>
      <c r="F47" s="37" t="str">
        <f t="shared" si="1"/>
        <v>UNIT</v>
      </c>
      <c r="G47" t="s">
        <v>110</v>
      </c>
      <c r="H47" s="37" t="str" cm="1">
        <f t="array" ref="H47">_xlfn.IFS(OR(LEFT(G47,3)="SAF",LEFT(G47,3)="MVE"), RIGHT(G47,LEN(G47)-3),     LEFT(G47,2)="JB",  RIGHT(G47,LEN(G47)-2), TRUE,     G47)</f>
        <v>UNIT</v>
      </c>
      <c r="K47" t="str">
        <f>_xlfn.LET(_xlpm.Tick,[2]YData!$A47,IFERROR(LEFT(_xlpm.Tick,FIND(".",_xlpm.Tick)-1),_xlpm.Tick))</f>
        <v>UNIT</v>
      </c>
      <c r="L47">
        <v>7.2</v>
      </c>
      <c r="M47">
        <v>45457</v>
      </c>
      <c r="N47">
        <v>0</v>
      </c>
      <c r="O47">
        <v>0</v>
      </c>
      <c r="Q47" t="str">
        <v>UNIT</v>
      </c>
      <c r="R47">
        <f t="shared" si="2"/>
        <v>7.2</v>
      </c>
      <c r="S47" s="109">
        <f t="shared" si="3"/>
        <v>45457</v>
      </c>
      <c r="T47">
        <f t="shared" si="4"/>
        <v>0</v>
      </c>
      <c r="U47" s="108">
        <f t="shared" si="5"/>
        <v>0</v>
      </c>
    </row>
    <row r="48" spans="1:21" x14ac:dyDescent="0.3">
      <c r="A48" t="str">
        <f>[2]YData!A48</f>
        <v>AVGO</v>
      </c>
      <c r="B48">
        <f>[2]YData!B48</f>
        <v>456.80200000000002</v>
      </c>
      <c r="C48" s="101">
        <f>VALUE([2]YData!C48)</f>
        <v>46013</v>
      </c>
      <c r="D48">
        <f>[2]YData!D48</f>
        <v>0</v>
      </c>
      <c r="E48" s="21">
        <f>[2]YData!E48</f>
        <v>7.4000000000000003E-3</v>
      </c>
      <c r="F48" s="37" t="str">
        <f t="shared" si="1"/>
        <v>AVGO</v>
      </c>
      <c r="G48" t="s">
        <v>76</v>
      </c>
      <c r="H48" s="37" t="str" cm="1">
        <f t="array" ref="H48">_xlfn.IFS(OR(LEFT(G48,3)="SAF",LEFT(G48,3)="MVE"), RIGHT(G48,LEN(G48)-3),     LEFT(G48,2)="JB",  RIGHT(G48,LEN(G48)-2), TRUE,     G48)</f>
        <v>AVGO</v>
      </c>
      <c r="K48" t="str">
        <f>_xlfn.LET(_xlpm.Tick,[2]YData!$A48,IFERROR(LEFT(_xlpm.Tick,FIND(".",_xlpm.Tick)-1),_xlpm.Tick))</f>
        <v>AVGO</v>
      </c>
      <c r="L48">
        <v>456.80200000000002</v>
      </c>
      <c r="M48">
        <v>46013</v>
      </c>
      <c r="N48">
        <v>0</v>
      </c>
      <c r="O48">
        <v>7.4000000000000003E-3</v>
      </c>
      <c r="Q48" t="str">
        <v>AVGO</v>
      </c>
      <c r="R48">
        <f t="shared" si="2"/>
        <v>456.80200000000002</v>
      </c>
      <c r="S48" s="109">
        <f t="shared" si="3"/>
        <v>46013</v>
      </c>
      <c r="T48">
        <f t="shared" si="4"/>
        <v>0</v>
      </c>
      <c r="U48" s="108">
        <f t="shared" si="5"/>
        <v>7.4000000000000003E-3</v>
      </c>
    </row>
    <row r="49" spans="1:21" x14ac:dyDescent="0.3">
      <c r="A49" t="str">
        <f>[2]YData!A49</f>
        <v>VLVLY</v>
      </c>
      <c r="B49">
        <f>[2]YData!B49</f>
        <v>35</v>
      </c>
      <c r="C49" s="101">
        <f>VALUE([2]YData!C49)</f>
        <v>45751</v>
      </c>
      <c r="D49">
        <f>[2]YData!D49</f>
        <v>0</v>
      </c>
      <c r="E49" s="21">
        <f>[2]YData!E49</f>
        <v>2.5000000000000001E-2</v>
      </c>
      <c r="F49" s="37" t="str">
        <f t="shared" si="1"/>
        <v>VLVLY</v>
      </c>
      <c r="G49" t="s">
        <v>111</v>
      </c>
      <c r="H49" s="37" t="str" cm="1">
        <f t="array" ref="H49">_xlfn.IFS(OR(LEFT(G49,3)="SAF",LEFT(G49,3)="MVE"), RIGHT(G49,LEN(G49)-3),     LEFT(G49,2)="JB",  RIGHT(G49,LEN(G49)-2), TRUE,     G49)</f>
        <v>VLVLY</v>
      </c>
      <c r="K49" t="str">
        <f>_xlfn.LET(_xlpm.Tick,[2]YData!$A49,IFERROR(LEFT(_xlpm.Tick,FIND(".",_xlpm.Tick)-1),_xlpm.Tick))</f>
        <v>VLVLY</v>
      </c>
      <c r="L49">
        <v>35</v>
      </c>
      <c r="M49">
        <v>45751</v>
      </c>
      <c r="N49">
        <v>0</v>
      </c>
      <c r="O49">
        <v>2.5000000000000001E-2</v>
      </c>
      <c r="Q49" t="str">
        <v>VLVLY</v>
      </c>
      <c r="R49">
        <f t="shared" si="2"/>
        <v>35</v>
      </c>
      <c r="S49" s="109">
        <f t="shared" si="3"/>
        <v>45751</v>
      </c>
      <c r="T49">
        <f t="shared" si="4"/>
        <v>0</v>
      </c>
      <c r="U49" s="108">
        <f t="shared" si="5"/>
        <v>2.5000000000000001E-2</v>
      </c>
    </row>
    <row r="50" spans="1:21" x14ac:dyDescent="0.3">
      <c r="A50" t="str">
        <f>[2]YData!A50</f>
        <v>VONN.SW</v>
      </c>
      <c r="B50">
        <f>[2]YData!B50</f>
        <v>64</v>
      </c>
      <c r="C50" s="101">
        <f>VALUE([2]YData!C50)</f>
        <v>45751</v>
      </c>
      <c r="D50">
        <f>[2]YData!D50</f>
        <v>0</v>
      </c>
      <c r="E50" s="21">
        <f>[2]YData!E50</f>
        <v>4.6800000000000001E-2</v>
      </c>
      <c r="F50" s="37" t="str">
        <f t="shared" si="1"/>
        <v>VONN</v>
      </c>
      <c r="G50" t="s">
        <v>142</v>
      </c>
      <c r="H50" s="37" t="str" cm="1">
        <f t="array" ref="H50">_xlfn.IFS(OR(LEFT(G50,3)="SAF",LEFT(G50,3)="MVE"), RIGHT(G50,LEN(G50)-3),     LEFT(G50,2)="JB",  RIGHT(G50,LEN(G50)-2), TRUE,     G50)</f>
        <v>VONN</v>
      </c>
      <c r="K50" t="str">
        <f>_xlfn.LET(_xlpm.Tick,[2]YData!$A50,IFERROR(LEFT(_xlpm.Tick,FIND(".",_xlpm.Tick)-1),_xlpm.Tick))</f>
        <v>VONN</v>
      </c>
      <c r="L50">
        <v>64</v>
      </c>
      <c r="M50">
        <v>45751</v>
      </c>
      <c r="N50">
        <v>0</v>
      </c>
      <c r="O50">
        <v>4.6800000000000001E-2</v>
      </c>
      <c r="Q50" t="str">
        <v>VONN.SW</v>
      </c>
      <c r="R50">
        <f t="shared" si="2"/>
        <v>64</v>
      </c>
      <c r="S50" s="109">
        <f t="shared" si="3"/>
        <v>45751</v>
      </c>
      <c r="T50">
        <f t="shared" si="4"/>
        <v>0</v>
      </c>
      <c r="U50" s="108">
        <f t="shared" si="5"/>
        <v>4.6800000000000001E-2</v>
      </c>
    </row>
    <row r="51" spans="1:21" x14ac:dyDescent="0.3">
      <c r="A51" t="str">
        <f>[2]YData!A51</f>
        <v>VTRS</v>
      </c>
      <c r="B51">
        <f>[2]YData!B51</f>
        <v>12.44444</v>
      </c>
      <c r="C51" s="101">
        <f>VALUE([2]YData!C51)</f>
        <v>45985</v>
      </c>
      <c r="D51">
        <f>[2]YData!D51</f>
        <v>0</v>
      </c>
      <c r="E51" s="21">
        <f>[2]YData!E51</f>
        <v>3.8800000000000001E-2</v>
      </c>
      <c r="F51" s="37" t="str">
        <f t="shared" si="1"/>
        <v>VTRS</v>
      </c>
      <c r="G51" t="s">
        <v>112</v>
      </c>
      <c r="H51" s="37" t="str" cm="1">
        <f t="array" ref="H51">_xlfn.IFS(OR(LEFT(G51,3)="SAF",LEFT(G51,3)="MVE"), RIGHT(G51,LEN(G51)-3),     LEFT(G51,2)="JB",  RIGHT(G51,LEN(G51)-2), TRUE,     G51)</f>
        <v>VTRS</v>
      </c>
      <c r="K51" t="str">
        <f>_xlfn.LET(_xlpm.Tick,[2]YData!$A51,IFERROR(LEFT(_xlpm.Tick,FIND(".",_xlpm.Tick)-1),_xlpm.Tick))</f>
        <v>VTRS</v>
      </c>
      <c r="L51">
        <v>12.44444</v>
      </c>
      <c r="M51">
        <v>45985</v>
      </c>
      <c r="N51">
        <v>0</v>
      </c>
      <c r="O51">
        <v>3.8800000000000001E-2</v>
      </c>
      <c r="Q51" t="str">
        <v>VTRS</v>
      </c>
      <c r="R51">
        <f t="shared" si="2"/>
        <v>12.44444</v>
      </c>
      <c r="S51" s="109">
        <f t="shared" si="3"/>
        <v>45985</v>
      </c>
      <c r="T51">
        <f t="shared" si="4"/>
        <v>0</v>
      </c>
      <c r="U51" s="108">
        <f t="shared" si="5"/>
        <v>3.8800000000000001E-2</v>
      </c>
    </row>
    <row r="52" spans="1:21" x14ac:dyDescent="0.3">
      <c r="A52" t="str">
        <f>[2]YData!A52</f>
        <v>WBA</v>
      </c>
      <c r="B52">
        <f>[2]YData!B52</f>
        <v>0</v>
      </c>
      <c r="C52" s="101">
        <f>VALUE([2]YData!C52)</f>
        <v>0</v>
      </c>
      <c r="D52">
        <f>[2]YData!D52</f>
        <v>0</v>
      </c>
      <c r="E52" s="21">
        <f>[2]YData!E52</f>
        <v>0</v>
      </c>
      <c r="F52" s="37" t="str">
        <f t="shared" si="1"/>
        <v>WBA</v>
      </c>
      <c r="G52" t="s">
        <v>113</v>
      </c>
      <c r="H52" s="37" t="str" cm="1">
        <f t="array" ref="H52">_xlfn.IFS(OR(LEFT(G52,3)="SAF",LEFT(G52,3)="MVE"), RIGHT(G52,LEN(G52)-3),     LEFT(G52,2)="JB",  RIGHT(G52,LEN(G52)-2), TRUE,     G52)</f>
        <v>WBA</v>
      </c>
      <c r="K52" t="str">
        <f>_xlfn.LET(_xlpm.Tick,[2]YData!$A52,IFERROR(LEFT(_xlpm.Tick,FIND(".",_xlpm.Tick)-1),_xlpm.Tick))</f>
        <v>WBA</v>
      </c>
      <c r="L52">
        <v>0</v>
      </c>
      <c r="M52">
        <v>0</v>
      </c>
      <c r="N52">
        <v>0</v>
      </c>
      <c r="O52">
        <v>0</v>
      </c>
      <c r="Q52" t="str">
        <v>WBA</v>
      </c>
      <c r="R52">
        <f t="shared" si="2"/>
        <v>0</v>
      </c>
      <c r="S52" s="109">
        <f t="shared" si="3"/>
        <v>0</v>
      </c>
      <c r="T52">
        <f t="shared" si="4"/>
        <v>0</v>
      </c>
      <c r="U52" s="108">
        <f t="shared" si="5"/>
        <v>0</v>
      </c>
    </row>
    <row r="53" spans="1:21" x14ac:dyDescent="0.3">
      <c r="A53" t="str">
        <f>[2]YData!A53</f>
        <v>XOM</v>
      </c>
      <c r="B53">
        <f>[2]YData!B53</f>
        <v>131.56</v>
      </c>
      <c r="C53" s="101">
        <f>VALUE([2]YData!C53)</f>
        <v>45975</v>
      </c>
      <c r="D53">
        <f>[2]YData!D53</f>
        <v>0</v>
      </c>
      <c r="E53" s="21">
        <f>[2]YData!E53</f>
        <v>3.4200000000000001E-2</v>
      </c>
      <c r="F53" s="37" t="str">
        <f t="shared" si="1"/>
        <v>XOM</v>
      </c>
      <c r="G53" t="s">
        <v>114</v>
      </c>
      <c r="H53" s="37" t="str" cm="1">
        <f t="array" ref="H53">_xlfn.IFS(OR(LEFT(G53,3)="SAF",LEFT(G53,3)="MVE"), RIGHT(G53,LEN(G53)-3),     LEFT(G53,2)="JB",  RIGHT(G53,LEN(G53)-2), TRUE,     G53)</f>
        <v>XOM</v>
      </c>
      <c r="K53" t="str">
        <f>_xlfn.LET(_xlpm.Tick,[2]YData!$A53,IFERROR(LEFT(_xlpm.Tick,FIND(".",_xlpm.Tick)-1),_xlpm.Tick))</f>
        <v>XOM</v>
      </c>
      <c r="L53">
        <v>131.56</v>
      </c>
      <c r="M53">
        <v>45975</v>
      </c>
      <c r="N53">
        <v>0</v>
      </c>
      <c r="O53">
        <v>3.4200000000000001E-2</v>
      </c>
      <c r="Q53" t="str">
        <v>XOM</v>
      </c>
      <c r="R53">
        <f t="shared" si="2"/>
        <v>131.56</v>
      </c>
      <c r="S53" s="109">
        <f t="shared" si="3"/>
        <v>45975</v>
      </c>
      <c r="T53">
        <f t="shared" si="4"/>
        <v>0</v>
      </c>
      <c r="U53" s="108">
        <f t="shared" si="5"/>
        <v>3.4200000000000001E-2</v>
      </c>
    </row>
    <row r="54" spans="1:21" x14ac:dyDescent="0.3">
      <c r="A54" t="str">
        <f>[2]YData!A54</f>
        <v>XPER</v>
      </c>
      <c r="B54">
        <f>[2]YData!B54</f>
        <v>11.4</v>
      </c>
      <c r="C54" s="101">
        <f>VALUE([2]YData!C54)</f>
        <v>0</v>
      </c>
      <c r="D54">
        <f>[2]YData!D54</f>
        <v>0</v>
      </c>
      <c r="E54" s="21">
        <f>[2]YData!E54</f>
        <v>0</v>
      </c>
      <c r="F54" s="37" t="str">
        <f t="shared" si="1"/>
        <v>XPER</v>
      </c>
      <c r="G54" t="s">
        <v>115</v>
      </c>
      <c r="H54" s="37" t="str" cm="1">
        <f t="array" ref="H54">_xlfn.IFS(OR(LEFT(G54,3)="SAF",LEFT(G54,3)="MVE"), RIGHT(G54,LEN(G54)-3),     LEFT(G54,2)="JB",  RIGHT(G54,LEN(G54)-2), TRUE,     G54)</f>
        <v>XPER</v>
      </c>
      <c r="K54" t="str">
        <f>_xlfn.LET(_xlpm.Tick,[2]YData!$A54,IFERROR(LEFT(_xlpm.Tick,FIND(".",_xlpm.Tick)-1),_xlpm.Tick))</f>
        <v>XPER</v>
      </c>
      <c r="L54">
        <v>11.4</v>
      </c>
      <c r="M54">
        <v>0</v>
      </c>
      <c r="N54">
        <v>0</v>
      </c>
      <c r="O54">
        <v>0</v>
      </c>
      <c r="Q54" t="str">
        <v>XPER</v>
      </c>
      <c r="R54">
        <f t="shared" si="2"/>
        <v>11.4</v>
      </c>
      <c r="S54" s="109">
        <f t="shared" si="3"/>
        <v>0</v>
      </c>
      <c r="T54">
        <f t="shared" si="4"/>
        <v>0</v>
      </c>
      <c r="U54" s="108">
        <f t="shared" si="5"/>
        <v>0</v>
      </c>
    </row>
    <row r="55" spans="1:21" x14ac:dyDescent="0.3">
      <c r="A55" t="str">
        <f>[2]YData!A55</f>
        <v>BLNK</v>
      </c>
      <c r="B55">
        <f>[2]YData!B55</f>
        <v>2.4</v>
      </c>
      <c r="C55" s="101">
        <f>VALUE([2]YData!C55)</f>
        <v>0</v>
      </c>
      <c r="D55">
        <f>[2]YData!D55</f>
        <v>0</v>
      </c>
      <c r="E55" s="21">
        <f>[2]YData!E55</f>
        <v>0</v>
      </c>
      <c r="F55" s="37" t="str">
        <f t="shared" si="1"/>
        <v>BLNK</v>
      </c>
      <c r="G55" t="s">
        <v>143</v>
      </c>
      <c r="H55" s="37" t="str" cm="1">
        <f t="array" ref="H55">_xlfn.IFS(OR(LEFT(G55,3)="SAF",LEFT(G55,3)="MVE"), RIGHT(G55,LEN(G55)-3),     LEFT(G55,2)="JB",  RIGHT(G55,LEN(G55)-2), TRUE,     G55)</f>
        <v>ALDNE</v>
      </c>
      <c r="K55" t="str">
        <f>_xlfn.LET(_xlpm.Tick,[2]YData!$A55,IFERROR(LEFT(_xlpm.Tick,FIND(".",_xlpm.Tick)-1),_xlpm.Tick))</f>
        <v>BLNK</v>
      </c>
      <c r="L55">
        <v>1.56667</v>
      </c>
      <c r="M55">
        <v>0</v>
      </c>
      <c r="N55">
        <v>0</v>
      </c>
      <c r="O55">
        <v>0</v>
      </c>
      <c r="Q55" t="str">
        <v>ALDNE.PA</v>
      </c>
      <c r="R55">
        <f t="shared" si="2"/>
        <v>1.56667</v>
      </c>
      <c r="S55" s="109">
        <f t="shared" si="3"/>
        <v>0</v>
      </c>
      <c r="T55">
        <f t="shared" si="4"/>
        <v>0</v>
      </c>
      <c r="U55" s="108">
        <f t="shared" si="5"/>
        <v>0</v>
      </c>
    </row>
    <row r="56" spans="1:21" x14ac:dyDescent="0.3">
      <c r="A56" t="str">
        <f>[2]YData!A56</f>
        <v>ENI.MI</v>
      </c>
      <c r="B56">
        <f>[2]YData!B56</f>
        <v>16.536359999999998</v>
      </c>
      <c r="C56" s="101">
        <f>VALUE([2]YData!C56)</f>
        <v>45985</v>
      </c>
      <c r="D56">
        <f>[2]YData!D56</f>
        <v>0</v>
      </c>
      <c r="E56" s="21">
        <f>[2]YData!E56</f>
        <v>6.5100000000000005E-2</v>
      </c>
      <c r="F56" s="37" t="str">
        <f t="shared" si="1"/>
        <v>ENI</v>
      </c>
      <c r="G56" t="s">
        <v>144</v>
      </c>
      <c r="H56" s="37" t="str" cm="1">
        <f t="array" ref="H56">_xlfn.IFS(OR(LEFT(G56,3)="SAF",LEFT(G56,3)="MVE"), RIGHT(G56,LEN(G56)-3),     LEFT(G56,2)="JB",  RIGHT(G56,LEN(G56)-2), TRUE,     G56)</f>
        <v>DDD</v>
      </c>
      <c r="K56" t="str">
        <f>_xlfn.LET(_xlpm.Tick,[2]YData!$A56,IFERROR(LEFT(_xlpm.Tick,FIND(".",_xlpm.Tick)-1),_xlpm.Tick))</f>
        <v>ENI</v>
      </c>
      <c r="L56">
        <v>3.625</v>
      </c>
      <c r="M56">
        <v>0</v>
      </c>
      <c r="N56">
        <v>0</v>
      </c>
      <c r="O56">
        <v>0</v>
      </c>
      <c r="Q56" t="str">
        <v>DDD</v>
      </c>
      <c r="R56">
        <f t="shared" si="2"/>
        <v>3.625</v>
      </c>
      <c r="S56" s="109">
        <f t="shared" si="3"/>
        <v>0</v>
      </c>
      <c r="T56">
        <f t="shared" si="4"/>
        <v>0</v>
      </c>
      <c r="U56" s="108">
        <f t="shared" si="5"/>
        <v>0</v>
      </c>
    </row>
    <row r="57" spans="1:21" x14ac:dyDescent="0.3">
      <c r="A57" t="str">
        <f>[2]YData!A57</f>
        <v>EZJ.L</v>
      </c>
      <c r="B57">
        <f>[2]YData!B57</f>
        <v>607.63199999999995</v>
      </c>
      <c r="C57" s="101">
        <f>VALUE([2]YData!C57)</f>
        <v>46072</v>
      </c>
      <c r="D57">
        <f>[2]YData!D57</f>
        <v>0</v>
      </c>
      <c r="E57" s="21">
        <f>[2]YData!E57</f>
        <v>2.6099998999999999E-2</v>
      </c>
      <c r="F57" s="37" t="str">
        <f t="shared" si="1"/>
        <v>EZJ</v>
      </c>
      <c r="G57" t="s">
        <v>145</v>
      </c>
      <c r="H57" s="37" t="str" cm="1">
        <f t="array" ref="H57">_xlfn.IFS(OR(LEFT(G57,3)="SAF",LEFT(G57,3)="MVE"), RIGHT(G57,LEN(G57)-3),     LEFT(G57,2)="JB",  RIGHT(G57,LEN(G57)-2), TRUE,     G57)</f>
        <v>DSY</v>
      </c>
      <c r="K57" t="str">
        <f>_xlfn.LET(_xlpm.Tick,[2]YData!$A57,IFERROR(LEFT(_xlpm.Tick,FIND(".",_xlpm.Tick)-1),_xlpm.Tick))</f>
        <v>EZJ</v>
      </c>
      <c r="L57">
        <v>31.016670000000001</v>
      </c>
      <c r="M57">
        <v>45803</v>
      </c>
      <c r="N57">
        <v>0</v>
      </c>
      <c r="O57">
        <v>1.0999999999999999E-2</v>
      </c>
      <c r="Q57" t="str">
        <v>DSY.PA</v>
      </c>
      <c r="R57">
        <f t="shared" si="2"/>
        <v>31.016670000000001</v>
      </c>
      <c r="S57" s="109">
        <f t="shared" si="3"/>
        <v>45803</v>
      </c>
      <c r="T57">
        <f t="shared" si="4"/>
        <v>0</v>
      </c>
      <c r="U57" s="108">
        <f t="shared" si="5"/>
        <v>1.0999999999999999E-2</v>
      </c>
    </row>
    <row r="58" spans="1:21" x14ac:dyDescent="0.3">
      <c r="A58" t="str">
        <f>[2]YData!A58</f>
        <v>F</v>
      </c>
      <c r="B58">
        <f>[2]YData!B58</f>
        <v>12.998419999999999</v>
      </c>
      <c r="C58" s="101">
        <f>VALUE([2]YData!C58)</f>
        <v>45968</v>
      </c>
      <c r="D58">
        <f>[2]YData!D58</f>
        <v>0</v>
      </c>
      <c r="E58" s="21">
        <f>[2]YData!E58</f>
        <v>4.5199999999999997E-2</v>
      </c>
      <c r="F58" s="37" t="str">
        <f t="shared" si="1"/>
        <v>F</v>
      </c>
      <c r="G58" t="s">
        <v>146</v>
      </c>
      <c r="H58" s="37" t="str" cm="1">
        <f t="array" ref="H58">_xlfn.IFS(OR(LEFT(G58,3)="SAF",LEFT(G58,3)="MVE"), RIGHT(G58,LEN(G58)-3),     LEFT(G58,2)="JB",  RIGHT(G58,LEN(G58)-2), TRUE,     G58)</f>
        <v>EOAN</v>
      </c>
      <c r="K58" t="str">
        <f>_xlfn.LET(_xlpm.Tick,[2]YData!$A58,IFERROR(LEFT(_xlpm.Tick,FIND(".",_xlpm.Tick)-1),_xlpm.Tick))</f>
        <v>F</v>
      </c>
      <c r="L58">
        <v>17.016529999999999</v>
      </c>
      <c r="M58">
        <v>45793</v>
      </c>
      <c r="N58">
        <v>0</v>
      </c>
      <c r="O58">
        <v>3.4299999999999997E-2</v>
      </c>
      <c r="Q58" t="str">
        <v>EOAN.DE</v>
      </c>
      <c r="R58">
        <f t="shared" si="2"/>
        <v>17.016529999999999</v>
      </c>
      <c r="S58" s="109">
        <f t="shared" si="3"/>
        <v>45793</v>
      </c>
      <c r="T58">
        <f t="shared" si="4"/>
        <v>0</v>
      </c>
      <c r="U58" s="108">
        <f t="shared" si="5"/>
        <v>3.4299999999999997E-2</v>
      </c>
    </row>
    <row r="59" spans="1:21" x14ac:dyDescent="0.3">
      <c r="A59" t="str">
        <f>[2]YData!A59</f>
        <v>GLE.PA</v>
      </c>
      <c r="B59">
        <f>[2]YData!B59</f>
        <v>68.422219999999996</v>
      </c>
      <c r="C59" s="101">
        <f>VALUE([2]YData!C59)</f>
        <v>45937</v>
      </c>
      <c r="D59">
        <f>[2]YData!D59</f>
        <v>0</v>
      </c>
      <c r="E59" s="21">
        <f>[2]YData!E59</f>
        <v>2.5000000000000001E-2</v>
      </c>
      <c r="F59" s="37" t="str">
        <f t="shared" si="1"/>
        <v>GLE</v>
      </c>
      <c r="G59" t="s">
        <v>147</v>
      </c>
      <c r="H59" s="37" t="str" cm="1">
        <f t="array" ref="H59">_xlfn.IFS(OR(LEFT(G59,3)="SAF",LEFT(G59,3)="MVE"), RIGHT(G59,LEN(G59)-3),     LEFT(G59,2)="JB",  RIGHT(G59,LEN(G59)-2), TRUE,     G59)</f>
        <v>ENI</v>
      </c>
      <c r="K59" t="str">
        <f>_xlfn.LET(_xlpm.Tick,[2]YData!$A59,IFERROR(LEFT(_xlpm.Tick,FIND(".",_xlpm.Tick)-1),_xlpm.Tick))</f>
        <v>GLE</v>
      </c>
      <c r="L59">
        <v>16.536359999999998</v>
      </c>
      <c r="M59">
        <v>45985</v>
      </c>
      <c r="N59">
        <v>0</v>
      </c>
      <c r="O59">
        <v>6.5100000000000005E-2</v>
      </c>
      <c r="Q59" t="str">
        <v>ENI.MI</v>
      </c>
      <c r="R59">
        <f t="shared" si="2"/>
        <v>16.536359999999998</v>
      </c>
      <c r="S59" s="109">
        <f t="shared" si="3"/>
        <v>45985</v>
      </c>
      <c r="T59">
        <f t="shared" si="4"/>
        <v>0</v>
      </c>
      <c r="U59" s="108">
        <f t="shared" si="5"/>
        <v>6.5100000000000005E-2</v>
      </c>
    </row>
    <row r="60" spans="1:21" x14ac:dyDescent="0.3">
      <c r="A60" t="str">
        <f>[2]YData!A60</f>
        <v>GNRC</v>
      </c>
      <c r="B60">
        <f>[2]YData!B60</f>
        <v>206.52940000000001</v>
      </c>
      <c r="C60" s="101">
        <f>VALUE([2]YData!C60)</f>
        <v>41435</v>
      </c>
      <c r="D60">
        <f>[2]YData!D60</f>
        <v>0</v>
      </c>
      <c r="E60" s="21">
        <f>[2]YData!E60</f>
        <v>0</v>
      </c>
      <c r="F60" s="37" t="str">
        <f t="shared" si="1"/>
        <v>GNRC</v>
      </c>
      <c r="G60" t="s">
        <v>148</v>
      </c>
      <c r="H60" s="37" t="str" cm="1">
        <f t="array" ref="H60">_xlfn.IFS(OR(LEFT(G60,3)="SAF",LEFT(G60,3)="MVE"), RIGHT(G60,LEN(G60)-3),     LEFT(G60,2)="JB",  RIGHT(G60,LEN(G60)-2), TRUE,     G60)</f>
        <v>EPIX</v>
      </c>
      <c r="K60" t="str">
        <f>_xlfn.LET(_xlpm.Tick,[2]YData!$A60,IFERROR(LEFT(_xlpm.Tick,FIND(".",_xlpm.Tick)-1),_xlpm.Tick))</f>
        <v>GNRC</v>
      </c>
      <c r="L60">
        <v>0</v>
      </c>
      <c r="M60">
        <v>0</v>
      </c>
      <c r="N60">
        <v>0</v>
      </c>
      <c r="O60">
        <v>0</v>
      </c>
      <c r="Q60" t="str">
        <v>EPIX</v>
      </c>
      <c r="R60">
        <f t="shared" si="2"/>
        <v>0</v>
      </c>
      <c r="S60" s="109">
        <f t="shared" si="3"/>
        <v>0</v>
      </c>
      <c r="T60">
        <f t="shared" si="4"/>
        <v>0</v>
      </c>
      <c r="U60" s="108">
        <f t="shared" si="5"/>
        <v>0</v>
      </c>
    </row>
    <row r="61" spans="1:21" x14ac:dyDescent="0.3">
      <c r="A61" t="str">
        <f>[2]YData!A61</f>
        <v>GS</v>
      </c>
      <c r="B61">
        <f>[2]YData!B61</f>
        <v>813.47370000000001</v>
      </c>
      <c r="C61" s="101">
        <f>VALUE([2]YData!C61)</f>
        <v>45993</v>
      </c>
      <c r="D61">
        <f>[2]YData!D61</f>
        <v>0</v>
      </c>
      <c r="E61" s="21">
        <f>[2]YData!E61</f>
        <v>1.7899999999999999E-2</v>
      </c>
      <c r="F61" s="37" t="str">
        <f t="shared" si="1"/>
        <v>GS</v>
      </c>
      <c r="G61" t="s">
        <v>149</v>
      </c>
      <c r="H61" s="37" t="str" cm="1">
        <f t="array" ref="H61">_xlfn.IFS(OR(LEFT(G61,3)="SAF",LEFT(G61,3)="MVE"), RIGHT(G61,LEN(G61)-3),     LEFT(G61,2)="JB",  RIGHT(G61,LEN(G61)-2), TRUE,     G61)</f>
        <v>GLE</v>
      </c>
      <c r="K61" t="str">
        <f>_xlfn.LET(_xlpm.Tick,[2]YData!$A61,IFERROR(LEFT(_xlpm.Tick,FIND(".",_xlpm.Tick)-1),_xlpm.Tick))</f>
        <v>GS</v>
      </c>
      <c r="L61">
        <v>68.422219999999996</v>
      </c>
      <c r="M61">
        <v>45937</v>
      </c>
      <c r="N61">
        <v>0</v>
      </c>
      <c r="O61">
        <v>2.5000000000000001E-2</v>
      </c>
      <c r="Q61" t="str">
        <v>GLE.PA</v>
      </c>
      <c r="R61">
        <f t="shared" si="2"/>
        <v>68.422219999999996</v>
      </c>
      <c r="S61" s="109">
        <f t="shared" si="3"/>
        <v>45937</v>
      </c>
      <c r="T61">
        <f t="shared" si="4"/>
        <v>0</v>
      </c>
      <c r="U61" s="108">
        <f t="shared" si="5"/>
        <v>2.5000000000000001E-2</v>
      </c>
    </row>
    <row r="62" spans="1:21" x14ac:dyDescent="0.3">
      <c r="A62" t="str">
        <f>[2]YData!A62</f>
        <v>LAZRQ</v>
      </c>
      <c r="B62">
        <f>[2]YData!B62</f>
        <v>1</v>
      </c>
      <c r="C62" s="101">
        <f>VALUE([2]YData!C62)</f>
        <v>0</v>
      </c>
      <c r="D62">
        <f>[2]YData!D62</f>
        <v>0</v>
      </c>
      <c r="E62" s="21">
        <f>[2]YData!E62</f>
        <v>0</v>
      </c>
      <c r="F62" s="37" t="str">
        <f t="shared" si="1"/>
        <v>LAZRQ</v>
      </c>
      <c r="G62" t="s">
        <v>150</v>
      </c>
      <c r="H62" s="37" t="str" cm="1">
        <f t="array" ref="H62">_xlfn.IFS(OR(LEFT(G62,3)="SAF",LEFT(G62,3)="MVE"), RIGHT(G62,LEN(G62)-3),     LEFT(G62,2)="JB",  RIGHT(G62,LEN(G62)-2), TRUE,     G62)</f>
        <v>ORA</v>
      </c>
      <c r="K62" t="str">
        <f>_xlfn.LET(_xlpm.Tick,[2]YData!$A62,IFERROR(LEFT(_xlpm.Tick,FIND(".",_xlpm.Tick)-1),_xlpm.Tick))</f>
        <v>LAZRQ</v>
      </c>
      <c r="L62">
        <v>15.68824</v>
      </c>
      <c r="M62">
        <v>45993</v>
      </c>
      <c r="N62">
        <v>0</v>
      </c>
      <c r="O62">
        <v>5.3100000000000001E-2</v>
      </c>
      <c r="Q62" t="str">
        <v>ORA.PA</v>
      </c>
      <c r="R62">
        <f t="shared" si="2"/>
        <v>15.68824</v>
      </c>
      <c r="S62" s="109">
        <f t="shared" si="3"/>
        <v>45993</v>
      </c>
      <c r="T62">
        <f t="shared" si="4"/>
        <v>0</v>
      </c>
      <c r="U62" s="108">
        <f t="shared" si="5"/>
        <v>5.3100000000000001E-2</v>
      </c>
    </row>
    <row r="63" spans="1:21" x14ac:dyDescent="0.3">
      <c r="A63" t="str">
        <f>[2]YData!A63</f>
        <v>LUV</v>
      </c>
      <c r="B63">
        <f>[2]YData!B63</f>
        <v>37.930430000000001</v>
      </c>
      <c r="C63" s="101">
        <f>VALUE([2]YData!C63)</f>
        <v>46017</v>
      </c>
      <c r="D63">
        <f>[2]YData!D63</f>
        <v>0</v>
      </c>
      <c r="E63" s="21">
        <f>[2]YData!E63</f>
        <v>1.7500000000000002E-2</v>
      </c>
      <c r="F63" s="37" t="str">
        <f t="shared" si="1"/>
        <v>LUV</v>
      </c>
      <c r="G63" t="s">
        <v>151</v>
      </c>
      <c r="H63" s="37" t="str" cm="1">
        <f t="array" ref="H63">_xlfn.IFS(OR(LEFT(G63,3)="SAF",LEFT(G63,3)="MVE"), RIGHT(G63,LEN(G63)-3),     LEFT(G63,2)="JB",  RIGHT(G63,LEN(G63)-2), TRUE,     G63)</f>
        <v>RWE</v>
      </c>
      <c r="K63" t="str">
        <f>_xlfn.LET(_xlpm.Tick,[2]YData!$A63,IFERROR(LEFT(_xlpm.Tick,FIND(".",_xlpm.Tick)-1),_xlpm.Tick))</f>
        <v>LUV</v>
      </c>
      <c r="L63">
        <v>49.138890000000004</v>
      </c>
      <c r="M63">
        <v>45779</v>
      </c>
      <c r="N63">
        <v>0</v>
      </c>
      <c r="O63">
        <v>2.4400001000000001E-2</v>
      </c>
      <c r="Q63" t="str">
        <v>RWE.DE</v>
      </c>
      <c r="R63">
        <f t="shared" si="2"/>
        <v>49.138890000000004</v>
      </c>
      <c r="S63" s="109">
        <f t="shared" si="3"/>
        <v>45779</v>
      </c>
      <c r="T63">
        <f t="shared" si="4"/>
        <v>0</v>
      </c>
      <c r="U63" s="108">
        <f t="shared" si="5"/>
        <v>2.4400001000000001E-2</v>
      </c>
    </row>
    <row r="64" spans="1:21" x14ac:dyDescent="0.3">
      <c r="A64" t="str">
        <f>[2]YData!A64</f>
        <v>MA</v>
      </c>
      <c r="B64">
        <f>[2]YData!B64</f>
        <v>657.92223999999999</v>
      </c>
      <c r="C64" s="101">
        <f>VALUE([2]YData!C64)</f>
        <v>46031</v>
      </c>
      <c r="D64">
        <f>[2]YData!D64</f>
        <v>0</v>
      </c>
      <c r="E64" s="21">
        <f>[2]YData!E64</f>
        <v>6.0000000000000001E-3</v>
      </c>
      <c r="F64" s="37" t="str">
        <f t="shared" si="1"/>
        <v>MA</v>
      </c>
      <c r="G64" t="s">
        <v>152</v>
      </c>
      <c r="H64" s="37" t="str" cm="1">
        <f t="array" ref="H64">_xlfn.IFS(OR(LEFT(G64,3)="SAF",LEFT(G64,3)="MVE"), RIGHT(G64,LEN(G64)-3),     LEFT(G64,2)="JB",  RIGHT(G64,LEN(G64)-2), TRUE,     G64)</f>
        <v>SAP</v>
      </c>
      <c r="K64" t="str">
        <f>_xlfn.LET(_xlpm.Tick,[2]YData!$A64,IFERROR(LEFT(_xlpm.Tick,FIND(".",_xlpm.Tick)-1),_xlpm.Tick))</f>
        <v>MA</v>
      </c>
      <c r="L64">
        <v>283.20499999999998</v>
      </c>
      <c r="M64">
        <v>45791</v>
      </c>
      <c r="N64">
        <v>0</v>
      </c>
      <c r="O64">
        <v>1.1299999999999999E-2</v>
      </c>
      <c r="Q64" t="str">
        <v>SAP.DE</v>
      </c>
      <c r="R64">
        <f t="shared" si="2"/>
        <v>283.20499999999998</v>
      </c>
      <c r="S64" s="109">
        <f t="shared" si="3"/>
        <v>45791</v>
      </c>
      <c r="T64">
        <f t="shared" si="4"/>
        <v>0</v>
      </c>
      <c r="U64" s="108">
        <f t="shared" si="5"/>
        <v>1.1299999999999999E-2</v>
      </c>
    </row>
    <row r="65" spans="1:21" x14ac:dyDescent="0.3">
      <c r="A65" t="str">
        <f>[2]YData!A65</f>
        <v>NVAX</v>
      </c>
      <c r="B65">
        <f>[2]YData!B65</f>
        <v>12.77778</v>
      </c>
      <c r="C65" s="101">
        <f>VALUE([2]YData!C65)</f>
        <v>0</v>
      </c>
      <c r="D65">
        <f>[2]YData!D65</f>
        <v>0</v>
      </c>
      <c r="E65" s="21">
        <f>[2]YData!E65</f>
        <v>0</v>
      </c>
      <c r="F65" s="37" t="str">
        <f t="shared" si="1"/>
        <v>NVAX</v>
      </c>
      <c r="G65" t="s">
        <v>153</v>
      </c>
      <c r="H65" s="37" t="str" cm="1">
        <f t="array" ref="H65">_xlfn.IFS(OR(LEFT(G65,3)="SAF",LEFT(G65,3)="MVE"), RIGHT(G65,LEN(G65)-3),     LEFT(G65,2)="JB",  RIGHT(G65,LEN(G65)-2), TRUE,     G65)</f>
        <v>UN0</v>
      </c>
      <c r="K65" t="str">
        <f>_xlfn.LET(_xlpm.Tick,[2]YData!$A65,IFERROR(LEFT(_xlpm.Tick,FIND(".",_xlpm.Tick)-1),_xlpm.Tick))</f>
        <v>NVAX</v>
      </c>
      <c r="L65">
        <v>0</v>
      </c>
      <c r="M65">
        <v>0</v>
      </c>
      <c r="N65">
        <v>0</v>
      </c>
      <c r="O65">
        <v>0</v>
      </c>
      <c r="Q65" t="str">
        <v>UN0</v>
      </c>
      <c r="R65">
        <f t="shared" si="2"/>
        <v>0</v>
      </c>
      <c r="S65" s="109">
        <f t="shared" si="3"/>
        <v>0</v>
      </c>
      <c r="T65">
        <f t="shared" si="4"/>
        <v>0</v>
      </c>
      <c r="U65" s="108">
        <f t="shared" si="5"/>
        <v>0</v>
      </c>
    </row>
    <row r="66" spans="1:21" x14ac:dyDescent="0.3">
      <c r="A66" t="str">
        <f>[2]YData!A66</f>
        <v>NVS</v>
      </c>
      <c r="B66">
        <f>[2]YData!B66</f>
        <v>134.88221999999999</v>
      </c>
      <c r="C66" s="101">
        <f>VALUE([2]YData!C66)</f>
        <v>45728</v>
      </c>
      <c r="D66">
        <f>[2]YData!D66</f>
        <v>0</v>
      </c>
      <c r="E66" s="21">
        <f>[2]YData!E66</f>
        <v>2.87E-2</v>
      </c>
      <c r="F66" s="37" t="str">
        <f t="shared" si="1"/>
        <v>NVS</v>
      </c>
      <c r="G66" t="s">
        <v>154</v>
      </c>
      <c r="H66" s="37" t="str" cm="1">
        <f t="array" ref="H66">_xlfn.IFS(OR(LEFT(G66,3)="SAF",LEFT(G66,3)="MVE"), RIGHT(G66,LEN(G66)-3),     LEFT(G66,2)="JB",  RIGHT(G66,LEN(G66)-2), TRUE,     G66)</f>
        <v>AAPL</v>
      </c>
      <c r="K66" t="str">
        <f>_xlfn.LET(_xlpm.Tick,[2]YData!$A66,IFERROR(LEFT(_xlpm.Tick,FIND(".",_xlpm.Tick)-1),_xlpm.Tick))</f>
        <v>NVS</v>
      </c>
      <c r="L66">
        <v>287.70681999999999</v>
      </c>
      <c r="M66">
        <v>45971</v>
      </c>
      <c r="N66">
        <v>0</v>
      </c>
      <c r="O66">
        <v>3.8E-3</v>
      </c>
      <c r="Q66" t="str">
        <v>AAPL</v>
      </c>
      <c r="R66">
        <f t="shared" si="2"/>
        <v>287.70681999999999</v>
      </c>
      <c r="S66" s="109">
        <f t="shared" si="3"/>
        <v>45971</v>
      </c>
      <c r="T66">
        <f t="shared" si="4"/>
        <v>0</v>
      </c>
      <c r="U66" s="108">
        <f t="shared" si="5"/>
        <v>3.8E-3</v>
      </c>
    </row>
    <row r="67" spans="1:21" x14ac:dyDescent="0.3">
      <c r="A67" t="str">
        <f>[2]YData!A67</f>
        <v>ORA.PA</v>
      </c>
      <c r="B67">
        <f>[2]YData!B67</f>
        <v>15.68824</v>
      </c>
      <c r="C67" s="101">
        <f>VALUE([2]YData!C67)</f>
        <v>45993</v>
      </c>
      <c r="D67">
        <f>[2]YData!D67</f>
        <v>0</v>
      </c>
      <c r="E67" s="21">
        <f>[2]YData!E67</f>
        <v>5.3100000000000001E-2</v>
      </c>
      <c r="F67" s="37" t="str">
        <f t="shared" ref="F67:F75" si="6">_xlfn.LET(_xlpm.Tick,A67,IFERROR(LEFT(_xlpm.Tick,FIND(".",_xlpm.Tick)-1),_xlpm.Tick))</f>
        <v>ORA</v>
      </c>
      <c r="G67" t="s">
        <v>155</v>
      </c>
      <c r="H67" s="37" t="str" cm="1">
        <f t="array" ref="H67">_xlfn.IFS(OR(LEFT(G67,3)="SAF",LEFT(G67,3)="MVE"), RIGHT(G67,LEN(G67)-3),     LEFT(G67,2)="JB",  RIGHT(G67,LEN(G67)-2), TRUE,     G67)</f>
        <v>AMZN</v>
      </c>
      <c r="K67" t="str">
        <f>_xlfn.LET(_xlpm.Tick,[2]YData!$A67,IFERROR(LEFT(_xlpm.Tick,FIND(".",_xlpm.Tick)-1),_xlpm.Tick))</f>
        <v>ORA</v>
      </c>
      <c r="L67">
        <v>295.59784000000002</v>
      </c>
      <c r="M67">
        <v>0</v>
      </c>
      <c r="N67">
        <v>0</v>
      </c>
      <c r="O67">
        <v>0</v>
      </c>
      <c r="Q67" t="str">
        <v>AMZN</v>
      </c>
      <c r="R67">
        <f t="shared" ref="R67:R96" si="7">_xlfn.XLOOKUP($Q67,$A$2:$A$75,B$2:B$75)</f>
        <v>295.59784000000002</v>
      </c>
      <c r="S67" s="109">
        <f t="shared" ref="S67:S96" si="8">_xlfn.XLOOKUP($Q67,$A$2:$A$75,C$2:C$75)</f>
        <v>0</v>
      </c>
      <c r="T67">
        <f t="shared" ref="T67:T96" si="9">_xlfn.XLOOKUP($Q67,$A$2:$A$75,D$2:D$75)</f>
        <v>0</v>
      </c>
      <c r="U67" s="108">
        <f t="shared" ref="U67:U96" si="10">_xlfn.XLOOKUP($Q67,$A$2:$A$75,E$2:E$75)</f>
        <v>0</v>
      </c>
    </row>
    <row r="68" spans="1:21" x14ac:dyDescent="0.3">
      <c r="A68" t="str">
        <f>[2]YData!A68</f>
        <v>OXY</v>
      </c>
      <c r="B68">
        <f>[2]YData!B68</f>
        <v>49.916670000000003</v>
      </c>
      <c r="C68" s="101">
        <f>VALUE([2]YData!C68)</f>
        <v>46001</v>
      </c>
      <c r="D68">
        <f>[2]YData!D68</f>
        <v>0</v>
      </c>
      <c r="E68" s="21">
        <f>[2]YData!E68</f>
        <v>2.3800000000000002E-2</v>
      </c>
      <c r="F68" s="37" t="str">
        <f t="shared" si="6"/>
        <v>OXY</v>
      </c>
      <c r="G68" t="s">
        <v>156</v>
      </c>
      <c r="H68" s="37" t="str" cm="1">
        <f t="array" ref="H68">_xlfn.IFS(OR(LEFT(G68,3)="SAF",LEFT(G68,3)="MVE"), RIGHT(G68,LEN(G68)-3),     LEFT(G68,2)="JB",  RIGHT(G68,LEN(G68)-2), TRUE,     G68)</f>
        <v>ASML</v>
      </c>
      <c r="K68" t="str">
        <f>_xlfn.LET(_xlpm.Tick,[2]YData!$A68,IFERROR(LEFT(_xlpm.Tick,FIND(".",_xlpm.Tick)-1),_xlpm.Tick))</f>
        <v>OXY</v>
      </c>
      <c r="L68">
        <v>1007.8667</v>
      </c>
      <c r="M68">
        <v>45958</v>
      </c>
      <c r="N68">
        <v>0</v>
      </c>
      <c r="O68">
        <v>7.0999996000000003E-3</v>
      </c>
      <c r="Q68" t="str">
        <v>ASML.AS</v>
      </c>
      <c r="R68">
        <f t="shared" si="7"/>
        <v>1007.8667</v>
      </c>
      <c r="S68" s="109">
        <f t="shared" si="8"/>
        <v>45958</v>
      </c>
      <c r="T68">
        <f t="shared" si="9"/>
        <v>0</v>
      </c>
      <c r="U68" s="108">
        <f t="shared" si="10"/>
        <v>7.0999996000000003E-3</v>
      </c>
    </row>
    <row r="69" spans="1:21" x14ac:dyDescent="0.3">
      <c r="A69" t="str">
        <f>[2]YData!A69</f>
        <v>PFE</v>
      </c>
      <c r="B69">
        <f>[2]YData!B69</f>
        <v>28.622920000000001</v>
      </c>
      <c r="C69" s="101">
        <f>VALUE([2]YData!C69)</f>
        <v>46045</v>
      </c>
      <c r="D69">
        <f>[2]YData!D69</f>
        <v>0</v>
      </c>
      <c r="E69" s="21">
        <f>[2]YData!E69</f>
        <v>6.88E-2</v>
      </c>
      <c r="F69" s="37" t="str">
        <f t="shared" si="6"/>
        <v>PFE</v>
      </c>
      <c r="G69" t="s">
        <v>157</v>
      </c>
      <c r="H69" s="37" t="str" cm="1">
        <f t="array" ref="H69">_xlfn.IFS(OR(LEFT(G69,3)="SAF",LEFT(G69,3)="MVE"), RIGHT(G69,LEN(G69)-3),     LEFT(G69,2)="JB",  RIGHT(G69,LEN(G69)-2), TRUE,     G69)</f>
        <v>DDD</v>
      </c>
      <c r="K69" t="str">
        <f>_xlfn.LET(_xlpm.Tick,[2]YData!$A69,IFERROR(LEFT(_xlpm.Tick,FIND(".",_xlpm.Tick)-1),_xlpm.Tick))</f>
        <v>PFE</v>
      </c>
      <c r="L69">
        <v>3.625</v>
      </c>
      <c r="M69">
        <v>0</v>
      </c>
      <c r="N69">
        <v>0</v>
      </c>
      <c r="O69">
        <v>0</v>
      </c>
      <c r="Q69" t="str">
        <v>DDD</v>
      </c>
      <c r="R69">
        <f t="shared" si="7"/>
        <v>3.625</v>
      </c>
      <c r="S69" s="109">
        <f t="shared" si="8"/>
        <v>0</v>
      </c>
      <c r="T69">
        <f t="shared" si="9"/>
        <v>0</v>
      </c>
      <c r="U69" s="108">
        <f t="shared" si="10"/>
        <v>0</v>
      </c>
    </row>
    <row r="70" spans="1:21" x14ac:dyDescent="0.3">
      <c r="A70" t="str">
        <f>[2]YData!A70</f>
        <v>RIG</v>
      </c>
      <c r="B70">
        <f>[2]YData!B70</f>
        <v>4.1583300000000003</v>
      </c>
      <c r="C70" s="101">
        <f>VALUE([2]YData!C70)</f>
        <v>42237</v>
      </c>
      <c r="D70">
        <f>[2]YData!D70</f>
        <v>0</v>
      </c>
      <c r="E70" s="21">
        <f>[2]YData!E70</f>
        <v>0</v>
      </c>
      <c r="F70" s="37" t="str">
        <f t="shared" si="6"/>
        <v>RIG</v>
      </c>
      <c r="G70" t="s">
        <v>158</v>
      </c>
      <c r="H70" s="37" t="str" cm="1">
        <f t="array" ref="H70">_xlfn.IFS(OR(LEFT(G70,3)="SAF",LEFT(G70,3)="MVE"), RIGHT(G70,LEN(G70)-3),     LEFT(G70,2)="JB",  RIGHT(G70,LEN(G70)-2), TRUE,     G70)</f>
        <v>DIS</v>
      </c>
      <c r="K70" t="str">
        <f>_xlfn.LET(_xlpm.Tick,[2]YData!$A70,IFERROR(LEFT(_xlpm.Tick,FIND(".",_xlpm.Tick)-1),_xlpm.Tick))</f>
        <v>RIG</v>
      </c>
      <c r="L70">
        <v>132.50357</v>
      </c>
      <c r="M70">
        <v>46203</v>
      </c>
      <c r="N70">
        <v>0</v>
      </c>
      <c r="O70">
        <v>1.3099998999999999E-2</v>
      </c>
      <c r="Q70" t="str">
        <v>DIS</v>
      </c>
      <c r="R70">
        <f t="shared" si="7"/>
        <v>132.50357</v>
      </c>
      <c r="S70" s="109">
        <f t="shared" si="8"/>
        <v>46203</v>
      </c>
      <c r="T70">
        <f t="shared" si="9"/>
        <v>0</v>
      </c>
      <c r="U70" s="108">
        <f t="shared" si="10"/>
        <v>1.3099998999999999E-2</v>
      </c>
    </row>
    <row r="71" spans="1:21" x14ac:dyDescent="0.3">
      <c r="A71" t="str">
        <f>[2]YData!A71</f>
        <v>RRC</v>
      </c>
      <c r="B71">
        <f>[2]YData!B71</f>
        <v>42.130429999999997</v>
      </c>
      <c r="C71" s="101">
        <f>VALUE([2]YData!C71)</f>
        <v>46003</v>
      </c>
      <c r="D71">
        <f>[2]YData!D71</f>
        <v>0</v>
      </c>
      <c r="E71" s="21">
        <f>[2]YData!E71</f>
        <v>0.01</v>
      </c>
      <c r="F71" s="37" t="str">
        <f t="shared" si="6"/>
        <v>RRC</v>
      </c>
      <c r="G71" t="s">
        <v>159</v>
      </c>
      <c r="H71" s="37" t="str" cm="1">
        <f t="array" ref="H71">_xlfn.IFS(OR(LEFT(G71,3)="SAF",LEFT(G71,3)="MVE"), RIGHT(G71,LEN(G71)-3),     LEFT(G71,2)="JB",  RIGHT(G71,LEN(G71)-2), TRUE,     G71)</f>
        <v>GM</v>
      </c>
      <c r="K71" t="str">
        <f>_xlfn.LET(_xlpm.Tick,[2]YData!$A71,IFERROR(LEFT(_xlpm.Tick,FIND(".",_xlpm.Tick)-1),_xlpm.Tick))</f>
        <v>RRC</v>
      </c>
      <c r="L71">
        <v>79.458330000000004</v>
      </c>
      <c r="M71">
        <v>45996</v>
      </c>
      <c r="N71">
        <v>0</v>
      </c>
      <c r="O71">
        <v>7.2000003000000003E-3</v>
      </c>
      <c r="Q71" t="str">
        <v>GM</v>
      </c>
      <c r="R71">
        <f t="shared" si="7"/>
        <v>79.458330000000004</v>
      </c>
      <c r="S71" s="109">
        <f t="shared" si="8"/>
        <v>45996</v>
      </c>
      <c r="T71">
        <f t="shared" si="9"/>
        <v>0</v>
      </c>
      <c r="U71" s="108">
        <f t="shared" si="10"/>
        <v>7.2000003000000003E-3</v>
      </c>
    </row>
    <row r="72" spans="1:21" x14ac:dyDescent="0.3">
      <c r="A72" t="str">
        <f>[2]YData!A72</f>
        <v>XYZ</v>
      </c>
      <c r="B72">
        <f>[2]YData!B72</f>
        <v>84.005260000000007</v>
      </c>
      <c r="C72" s="101">
        <f>VALUE([2]YData!C72)</f>
        <v>0</v>
      </c>
      <c r="D72">
        <f>[2]YData!D72</f>
        <v>0</v>
      </c>
      <c r="E72" s="21">
        <f>[2]YData!E72</f>
        <v>0</v>
      </c>
      <c r="F72" s="37" t="str">
        <f t="shared" si="6"/>
        <v>XYZ</v>
      </c>
      <c r="G72" t="s">
        <v>160</v>
      </c>
      <c r="H72" s="37" t="str" cm="1">
        <f t="array" ref="H72">_xlfn.IFS(OR(LEFT(G72,3)="SAF",LEFT(G72,3)="MVE"), RIGHT(G72,LEN(G72)-3),     LEFT(G72,2)="JB",  RIGHT(G72,LEN(G72)-2), TRUE,     G72)</f>
        <v>IAG</v>
      </c>
      <c r="K72" t="str">
        <f>_xlfn.LET(_xlpm.Tick,[2]YData!$A72,IFERROR(LEFT(_xlpm.Tick,FIND(".",_xlpm.Tick)-1),_xlpm.Tick))</f>
        <v>XYZ</v>
      </c>
      <c r="L72">
        <v>475.47250000000003</v>
      </c>
      <c r="M72">
        <v>45988</v>
      </c>
      <c r="N72">
        <v>0</v>
      </c>
      <c r="O72">
        <v>2.2599999999999999E-2</v>
      </c>
      <c r="Q72" t="str">
        <v>IAG.L</v>
      </c>
      <c r="R72">
        <f t="shared" si="7"/>
        <v>475.47250000000003</v>
      </c>
      <c r="S72" s="109">
        <f t="shared" si="8"/>
        <v>45988</v>
      </c>
      <c r="T72">
        <f t="shared" si="9"/>
        <v>0</v>
      </c>
      <c r="U72" s="108">
        <f t="shared" si="10"/>
        <v>2.2599999999999999E-2</v>
      </c>
    </row>
    <row r="73" spans="1:21" x14ac:dyDescent="0.3">
      <c r="A73" t="str">
        <f>[2]YData!A73</f>
        <v>THC</v>
      </c>
      <c r="B73">
        <f>[2]YData!B73</f>
        <v>237.2381</v>
      </c>
      <c r="C73" s="101">
        <f>VALUE([2]YData!C73)</f>
        <v>36598</v>
      </c>
      <c r="D73">
        <f>[2]YData!D73</f>
        <v>0</v>
      </c>
      <c r="E73" s="21">
        <f>[2]YData!E73</f>
        <v>0</v>
      </c>
      <c r="F73" s="37" t="str">
        <f t="shared" si="6"/>
        <v>THC</v>
      </c>
      <c r="G73" t="s">
        <v>161</v>
      </c>
      <c r="H73" s="37" t="str" cm="1">
        <f t="array" ref="H73">_xlfn.IFS(OR(LEFT(G73,3)="SAF",LEFT(G73,3)="MVE"), RIGHT(G73,LEN(G73)-3),     LEFT(G73,2)="JB",  RIGHT(G73,LEN(G73)-2), TRUE,     G73)</f>
        <v>MRNA</v>
      </c>
      <c r="K73" t="str">
        <f>_xlfn.LET(_xlpm.Tick,[2]YData!$A73,IFERROR(LEFT(_xlpm.Tick,FIND(".",_xlpm.Tick)-1),_xlpm.Tick))</f>
        <v>THC</v>
      </c>
      <c r="L73">
        <v>36.75</v>
      </c>
      <c r="M73">
        <v>0</v>
      </c>
      <c r="N73">
        <v>0</v>
      </c>
      <c r="O73">
        <v>0</v>
      </c>
      <c r="Q73" t="str">
        <v>MRNA</v>
      </c>
      <c r="R73">
        <f t="shared" si="7"/>
        <v>36.75</v>
      </c>
      <c r="S73" s="109">
        <f t="shared" si="8"/>
        <v>0</v>
      </c>
      <c r="T73">
        <f t="shared" si="9"/>
        <v>0</v>
      </c>
      <c r="U73" s="108">
        <f t="shared" si="10"/>
        <v>0</v>
      </c>
    </row>
    <row r="74" spans="1:21" x14ac:dyDescent="0.3">
      <c r="A74" t="str">
        <f>[2]YData!A74</f>
        <v>X</v>
      </c>
      <c r="B74">
        <f>[2]YData!B74</f>
        <v>0</v>
      </c>
      <c r="C74" s="101">
        <f>VALUE([2]YData!C74)</f>
        <v>0</v>
      </c>
      <c r="D74">
        <f>[2]YData!D74</f>
        <v>0</v>
      </c>
      <c r="E74" s="21">
        <f>[2]YData!E74</f>
        <v>0</v>
      </c>
      <c r="F74" s="37" t="str">
        <f t="shared" si="6"/>
        <v>X</v>
      </c>
      <c r="G74" t="s">
        <v>116</v>
      </c>
      <c r="H74" s="37" t="str" cm="1">
        <f t="array" ref="H74">_xlfn.IFS(OR(LEFT(G74,3)="SAF",LEFT(G74,3)="MVE"), RIGHT(G74,LEN(G74)-3),     LEFT(G74,2)="JB",  RIGHT(G74,LEN(G74)-2), TRUE,     G74)</f>
        <v>BLNK</v>
      </c>
      <c r="K74" t="str">
        <f>_xlfn.LET(_xlpm.Tick,[2]YData!$A74,IFERROR(LEFT(_xlpm.Tick,FIND(".",_xlpm.Tick)-1),_xlpm.Tick))</f>
        <v>X</v>
      </c>
      <c r="L74">
        <v>2.4</v>
      </c>
      <c r="M74">
        <v>0</v>
      </c>
      <c r="N74">
        <v>0</v>
      </c>
      <c r="O74">
        <v>0</v>
      </c>
      <c r="Q74" t="str">
        <v>BLNK</v>
      </c>
      <c r="R74">
        <f t="shared" si="7"/>
        <v>2.4</v>
      </c>
      <c r="S74" s="109">
        <f t="shared" si="8"/>
        <v>0</v>
      </c>
      <c r="T74">
        <f t="shared" si="9"/>
        <v>0</v>
      </c>
      <c r="U74" s="108">
        <f t="shared" si="10"/>
        <v>0</v>
      </c>
    </row>
    <row r="75" spans="1:21" x14ac:dyDescent="0.3">
      <c r="A75" t="str">
        <f>[2]YData!A75</f>
        <v>LOCK.L</v>
      </c>
      <c r="B75">
        <f>[2]YData!B75</f>
        <v>0</v>
      </c>
      <c r="C75" s="101">
        <f>VALUE([2]YData!C75)</f>
        <v>0</v>
      </c>
      <c r="D75">
        <f>[2]YData!D75</f>
        <v>0</v>
      </c>
      <c r="E75" s="21">
        <f>[2]YData!E75</f>
        <v>0</v>
      </c>
      <c r="F75" s="37" t="str">
        <f t="shared" si="6"/>
        <v>LOCK</v>
      </c>
      <c r="G75" t="s">
        <v>162</v>
      </c>
      <c r="H75" s="37" t="str" cm="1">
        <f t="array" ref="H75">_xlfn.IFS(OR(LEFT(G75,3)="SAF",LEFT(G75,3)="MVE"), RIGHT(G75,LEN(G75)-3),     LEFT(G75,2)="JB",  RIGHT(G75,LEN(G75)-2), TRUE,     G75)</f>
        <v>ENI</v>
      </c>
      <c r="K75" t="str">
        <f>_xlfn.LET(_xlpm.Tick,[2]YData!$A75,IFERROR(LEFT(_xlpm.Tick,FIND(".",_xlpm.Tick)-1),_xlpm.Tick))</f>
        <v>LOCK</v>
      </c>
      <c r="L75">
        <v>16.536359999999998</v>
      </c>
      <c r="M75">
        <v>45985</v>
      </c>
      <c r="N75">
        <v>0</v>
      </c>
      <c r="O75">
        <v>6.5100000000000005E-2</v>
      </c>
      <c r="Q75" t="str">
        <v>ENI.MI</v>
      </c>
      <c r="R75">
        <f t="shared" si="7"/>
        <v>16.536359999999998</v>
      </c>
      <c r="S75" s="109">
        <f t="shared" si="8"/>
        <v>45985</v>
      </c>
      <c r="T75">
        <f t="shared" si="9"/>
        <v>0</v>
      </c>
      <c r="U75" s="108">
        <f t="shared" si="10"/>
        <v>6.5100000000000005E-2</v>
      </c>
    </row>
    <row r="76" spans="1:21" x14ac:dyDescent="0.3">
      <c r="B76">
        <f>_xlfn.XLOOKUP($H76,$F$2:$F$75,B$2:B$75)</f>
        <v>607.63199999999995</v>
      </c>
      <c r="C76" s="101">
        <f t="shared" ref="C76:E91" si="11">_xlfn.XLOOKUP($H76,$F$2:$F$75,C$2:C$75)</f>
        <v>46072</v>
      </c>
      <c r="D76" s="21">
        <f t="shared" si="11"/>
        <v>0</v>
      </c>
      <c r="E76" s="21">
        <f t="shared" si="11"/>
        <v>2.6099998999999999E-2</v>
      </c>
      <c r="G76" t="s">
        <v>163</v>
      </c>
      <c r="H76" s="37" t="str" cm="1">
        <f t="array" ref="H76">_xlfn.IFS(OR(LEFT(G76,3)="SAF",LEFT(G76,3)="MVE"), RIGHT(G76,LEN(G76)-3),     LEFT(G76,2)="JB",  RIGHT(G76,LEN(G76)-2), TRUE,     G76)</f>
        <v>EZJ</v>
      </c>
      <c r="L76">
        <v>607.63199999999995</v>
      </c>
      <c r="M76">
        <v>46072</v>
      </c>
      <c r="N76">
        <v>0</v>
      </c>
      <c r="O76">
        <v>2.6099998999999999E-2</v>
      </c>
      <c r="Q76" t="str">
        <v>EZJ.L</v>
      </c>
      <c r="R76">
        <f t="shared" si="7"/>
        <v>607.63199999999995</v>
      </c>
      <c r="S76" s="109">
        <f t="shared" si="8"/>
        <v>46072</v>
      </c>
      <c r="T76">
        <f t="shared" si="9"/>
        <v>0</v>
      </c>
      <c r="U76" s="108">
        <f t="shared" si="10"/>
        <v>2.6099998999999999E-2</v>
      </c>
    </row>
    <row r="77" spans="1:21" x14ac:dyDescent="0.3">
      <c r="B77">
        <f t="shared" ref="B77:E96" si="12">_xlfn.XLOOKUP($H77,$F$2:$F$75,B$2:B$75)</f>
        <v>12.998419999999999</v>
      </c>
      <c r="C77" s="101">
        <f t="shared" si="11"/>
        <v>45968</v>
      </c>
      <c r="D77" s="21">
        <f t="shared" si="11"/>
        <v>0</v>
      </c>
      <c r="E77" s="21">
        <f t="shared" si="11"/>
        <v>4.5199999999999997E-2</v>
      </c>
      <c r="G77" t="s">
        <v>117</v>
      </c>
      <c r="H77" s="37" t="str" cm="1">
        <f t="array" ref="H77">_xlfn.IFS(OR(LEFT(G77,3)="SAF",LEFT(G77,3)="MVE"), RIGHT(G77,LEN(G77)-3),     LEFT(G77,2)="JB",  RIGHT(G77,LEN(G77)-2), TRUE,     G77)</f>
        <v>F</v>
      </c>
      <c r="L77">
        <v>12.998419999999999</v>
      </c>
      <c r="M77">
        <v>45968</v>
      </c>
      <c r="N77">
        <v>0</v>
      </c>
      <c r="O77">
        <v>4.5199999999999997E-2</v>
      </c>
      <c r="Q77" t="str">
        <v>F</v>
      </c>
      <c r="R77">
        <f t="shared" si="7"/>
        <v>12.998419999999999</v>
      </c>
      <c r="S77" s="109">
        <f t="shared" si="8"/>
        <v>45968</v>
      </c>
      <c r="T77">
        <f t="shared" si="9"/>
        <v>0</v>
      </c>
      <c r="U77" s="108">
        <f t="shared" si="10"/>
        <v>4.5199999999999997E-2</v>
      </c>
    </row>
    <row r="78" spans="1:21" x14ac:dyDescent="0.3">
      <c r="B78">
        <f t="shared" si="12"/>
        <v>68.422219999999996</v>
      </c>
      <c r="C78" s="101">
        <f t="shared" si="11"/>
        <v>45937</v>
      </c>
      <c r="D78" s="21">
        <f t="shared" si="11"/>
        <v>0</v>
      </c>
      <c r="E78" s="21">
        <f t="shared" si="11"/>
        <v>2.5000000000000001E-2</v>
      </c>
      <c r="G78" t="s">
        <v>164</v>
      </c>
      <c r="H78" s="37" t="str" cm="1">
        <f t="array" ref="H78">_xlfn.IFS(OR(LEFT(G78,3)="SAF",LEFT(G78,3)="MVE"), RIGHT(G78,LEN(G78)-3),     LEFT(G78,2)="JB",  RIGHT(G78,LEN(G78)-2), TRUE,     G78)</f>
        <v>GLE</v>
      </c>
      <c r="L78">
        <v>68.422219999999996</v>
      </c>
      <c r="M78">
        <v>45937</v>
      </c>
      <c r="N78">
        <v>0</v>
      </c>
      <c r="O78">
        <v>2.5000000000000001E-2</v>
      </c>
      <c r="Q78" t="str">
        <v>GLE.PA</v>
      </c>
      <c r="R78">
        <f t="shared" si="7"/>
        <v>68.422219999999996</v>
      </c>
      <c r="S78" s="109">
        <f t="shared" si="8"/>
        <v>45937</v>
      </c>
      <c r="T78">
        <f t="shared" si="9"/>
        <v>0</v>
      </c>
      <c r="U78" s="108">
        <f t="shared" si="10"/>
        <v>2.5000000000000001E-2</v>
      </c>
    </row>
    <row r="79" spans="1:21" x14ac:dyDescent="0.3">
      <c r="B79">
        <f t="shared" si="12"/>
        <v>206.52940000000001</v>
      </c>
      <c r="C79" s="101">
        <f t="shared" si="11"/>
        <v>41435</v>
      </c>
      <c r="D79" s="21">
        <f t="shared" si="11"/>
        <v>0</v>
      </c>
      <c r="E79" s="21">
        <f t="shared" si="11"/>
        <v>0</v>
      </c>
      <c r="G79" t="s">
        <v>118</v>
      </c>
      <c r="H79" s="37" t="str" cm="1">
        <f t="array" ref="H79">_xlfn.IFS(OR(LEFT(G79,3)="SAF",LEFT(G79,3)="MVE"), RIGHT(G79,LEN(G79)-3),     LEFT(G79,2)="JB",  RIGHT(G79,LEN(G79)-2), TRUE,     G79)</f>
        <v>GNRC</v>
      </c>
      <c r="L79">
        <v>206.52940000000001</v>
      </c>
      <c r="M79">
        <v>41435</v>
      </c>
      <c r="N79">
        <v>0</v>
      </c>
      <c r="O79">
        <v>0</v>
      </c>
      <c r="Q79" t="str">
        <v>GNRC</v>
      </c>
      <c r="R79">
        <f t="shared" si="7"/>
        <v>206.52940000000001</v>
      </c>
      <c r="S79" s="109">
        <f t="shared" si="8"/>
        <v>41435</v>
      </c>
      <c r="T79">
        <f t="shared" si="9"/>
        <v>0</v>
      </c>
      <c r="U79" s="108">
        <f t="shared" si="10"/>
        <v>0</v>
      </c>
    </row>
    <row r="80" spans="1:21" x14ac:dyDescent="0.3">
      <c r="B80">
        <f t="shared" si="12"/>
        <v>813.47370000000001</v>
      </c>
      <c r="C80" s="101">
        <f t="shared" si="11"/>
        <v>45993</v>
      </c>
      <c r="D80" s="21">
        <f t="shared" si="11"/>
        <v>0</v>
      </c>
      <c r="E80" s="21">
        <f t="shared" si="11"/>
        <v>1.7899999999999999E-2</v>
      </c>
      <c r="G80" t="s">
        <v>119</v>
      </c>
      <c r="H80" s="37" t="str" cm="1">
        <f t="array" ref="H80">_xlfn.IFS(OR(LEFT(G80,3)="SAF",LEFT(G80,3)="MVE"), RIGHT(G80,LEN(G80)-3),     LEFT(G80,2)="JB",  RIGHT(G80,LEN(G80)-2), TRUE,     G80)</f>
        <v>GS</v>
      </c>
      <c r="L80">
        <v>813.47370000000001</v>
      </c>
      <c r="M80">
        <v>45993</v>
      </c>
      <c r="N80">
        <v>0</v>
      </c>
      <c r="O80">
        <v>1.7899999999999999E-2</v>
      </c>
      <c r="Q80" t="str">
        <v>GS</v>
      </c>
      <c r="R80">
        <f t="shared" si="7"/>
        <v>813.47370000000001</v>
      </c>
      <c r="S80" s="109">
        <f t="shared" si="8"/>
        <v>45993</v>
      </c>
      <c r="T80">
        <f t="shared" si="9"/>
        <v>0</v>
      </c>
      <c r="U80" s="108">
        <f t="shared" si="10"/>
        <v>1.7899999999999999E-2</v>
      </c>
    </row>
    <row r="81" spans="2:21" x14ac:dyDescent="0.3">
      <c r="B81" t="e">
        <f t="shared" si="12"/>
        <v>#N/A</v>
      </c>
      <c r="C81" s="101" t="e">
        <f t="shared" si="11"/>
        <v>#N/A</v>
      </c>
      <c r="D81" s="21" t="e">
        <f t="shared" si="11"/>
        <v>#N/A</v>
      </c>
      <c r="E81" s="21" t="e">
        <f t="shared" si="11"/>
        <v>#N/A</v>
      </c>
      <c r="G81" t="s">
        <v>120</v>
      </c>
      <c r="H81" s="37" t="str" cm="1">
        <f t="array" ref="H81">_xlfn.IFS(OR(LEFT(G81,3)="SAF",LEFT(G81,3)="MVE"), RIGHT(G81,LEN(G81)-3),     LEFT(G81,2)="JB",  RIGHT(G81,LEN(G81)-2), TRUE,     G81)</f>
        <v>LAZR</v>
      </c>
      <c r="L81" t="str">
        <v/>
      </c>
      <c r="M81" t="str">
        <v/>
      </c>
      <c r="N81" t="str">
        <v/>
      </c>
      <c r="O81" t="str">
        <v/>
      </c>
      <c r="Q81" t="str">
        <v/>
      </c>
      <c r="R81" t="e">
        <f t="shared" si="7"/>
        <v>#N/A</v>
      </c>
      <c r="S81" s="109" t="e">
        <f t="shared" si="8"/>
        <v>#N/A</v>
      </c>
      <c r="T81" t="e">
        <f t="shared" si="9"/>
        <v>#N/A</v>
      </c>
      <c r="U81" s="108" t="e">
        <f t="shared" si="10"/>
        <v>#N/A</v>
      </c>
    </row>
    <row r="82" spans="2:21" x14ac:dyDescent="0.3">
      <c r="B82">
        <f t="shared" si="12"/>
        <v>37.930430000000001</v>
      </c>
      <c r="C82" s="101">
        <f t="shared" si="11"/>
        <v>46017</v>
      </c>
      <c r="D82" s="21">
        <f t="shared" si="11"/>
        <v>0</v>
      </c>
      <c r="E82" s="21">
        <f t="shared" si="11"/>
        <v>1.7500000000000002E-2</v>
      </c>
      <c r="G82" t="s">
        <v>121</v>
      </c>
      <c r="H82" s="37" t="str" cm="1">
        <f t="array" ref="H82">_xlfn.IFS(OR(LEFT(G82,3)="SAF",LEFT(G82,3)="MVE"), RIGHT(G82,LEN(G82)-3),     LEFT(G82,2)="JB",  RIGHT(G82,LEN(G82)-2), TRUE,     G82)</f>
        <v>LUV</v>
      </c>
      <c r="L82">
        <v>37.930430000000001</v>
      </c>
      <c r="M82">
        <v>46017</v>
      </c>
      <c r="N82">
        <v>0</v>
      </c>
      <c r="O82">
        <v>1.7500000000000002E-2</v>
      </c>
      <c r="Q82" t="str">
        <v>LUV</v>
      </c>
      <c r="R82">
        <f t="shared" si="7"/>
        <v>37.930430000000001</v>
      </c>
      <c r="S82" s="109">
        <f t="shared" si="8"/>
        <v>46017</v>
      </c>
      <c r="T82">
        <f t="shared" si="9"/>
        <v>0</v>
      </c>
      <c r="U82" s="108">
        <f t="shared" si="10"/>
        <v>1.7500000000000002E-2</v>
      </c>
    </row>
    <row r="83" spans="2:21" x14ac:dyDescent="0.3">
      <c r="B83">
        <f t="shared" si="12"/>
        <v>657.92223999999999</v>
      </c>
      <c r="C83" s="101">
        <f t="shared" si="11"/>
        <v>46031</v>
      </c>
      <c r="D83" s="21">
        <f t="shared" si="11"/>
        <v>0</v>
      </c>
      <c r="E83" s="21">
        <f t="shared" si="11"/>
        <v>6.0000000000000001E-3</v>
      </c>
      <c r="G83" t="s">
        <v>122</v>
      </c>
      <c r="H83" s="37" t="str" cm="1">
        <f t="array" ref="H83">_xlfn.IFS(OR(LEFT(G83,3)="SAF",LEFT(G83,3)="MVE"), RIGHT(G83,LEN(G83)-3),     LEFT(G83,2)="JB",  RIGHT(G83,LEN(G83)-2), TRUE,     G83)</f>
        <v>MA</v>
      </c>
      <c r="L83">
        <v>657.92223999999999</v>
      </c>
      <c r="M83">
        <v>46031</v>
      </c>
      <c r="N83">
        <v>0</v>
      </c>
      <c r="O83">
        <v>6.0000000000000001E-3</v>
      </c>
      <c r="Q83" t="str">
        <v>MA</v>
      </c>
      <c r="R83">
        <f t="shared" si="7"/>
        <v>657.92223999999999</v>
      </c>
      <c r="S83" s="109">
        <f t="shared" si="8"/>
        <v>46031</v>
      </c>
      <c r="T83">
        <f t="shared" si="9"/>
        <v>0</v>
      </c>
      <c r="U83" s="108">
        <f t="shared" si="10"/>
        <v>6.0000000000000001E-3</v>
      </c>
    </row>
    <row r="84" spans="2:21" x14ac:dyDescent="0.3">
      <c r="B84">
        <f t="shared" si="12"/>
        <v>12.77778</v>
      </c>
      <c r="C84" s="101">
        <f t="shared" si="11"/>
        <v>0</v>
      </c>
      <c r="D84" s="21">
        <f t="shared" si="11"/>
        <v>0</v>
      </c>
      <c r="E84" s="21">
        <f t="shared" si="11"/>
        <v>0</v>
      </c>
      <c r="G84" t="s">
        <v>123</v>
      </c>
      <c r="H84" s="37" t="str" cm="1">
        <f t="array" ref="H84">_xlfn.IFS(OR(LEFT(G84,3)="SAF",LEFT(G84,3)="MVE"), RIGHT(G84,LEN(G84)-3),     LEFT(G84,2)="JB",  RIGHT(G84,LEN(G84)-2), TRUE,     G84)</f>
        <v>NVAX</v>
      </c>
      <c r="L84">
        <v>12.77778</v>
      </c>
      <c r="M84">
        <v>0</v>
      </c>
      <c r="N84">
        <v>0</v>
      </c>
      <c r="O84">
        <v>0</v>
      </c>
      <c r="Q84" t="str">
        <v>NVAX</v>
      </c>
      <c r="R84">
        <f t="shared" si="7"/>
        <v>12.77778</v>
      </c>
      <c r="S84" s="109">
        <f t="shared" si="8"/>
        <v>0</v>
      </c>
      <c r="T84">
        <f t="shared" si="9"/>
        <v>0</v>
      </c>
      <c r="U84" s="108">
        <f t="shared" si="10"/>
        <v>0</v>
      </c>
    </row>
    <row r="85" spans="2:21" x14ac:dyDescent="0.3">
      <c r="B85">
        <f t="shared" si="12"/>
        <v>134.88221999999999</v>
      </c>
      <c r="C85" s="101">
        <f t="shared" si="11"/>
        <v>45728</v>
      </c>
      <c r="D85" s="21">
        <f t="shared" si="11"/>
        <v>0</v>
      </c>
      <c r="E85" s="21">
        <f t="shared" si="11"/>
        <v>2.87E-2</v>
      </c>
      <c r="G85" t="s">
        <v>124</v>
      </c>
      <c r="H85" s="37" t="str" cm="1">
        <f t="array" ref="H85">_xlfn.IFS(OR(LEFT(G85,3)="SAF",LEFT(G85,3)="MVE"), RIGHT(G85,LEN(G85)-3),     LEFT(G85,2)="JB",  RIGHT(G85,LEN(G85)-2), TRUE,     G85)</f>
        <v>NVS</v>
      </c>
      <c r="L85">
        <v>134.88221999999999</v>
      </c>
      <c r="M85">
        <v>45728</v>
      </c>
      <c r="N85">
        <v>0</v>
      </c>
      <c r="O85">
        <v>2.87E-2</v>
      </c>
      <c r="Q85" t="str">
        <v>NVS</v>
      </c>
      <c r="R85">
        <f t="shared" si="7"/>
        <v>134.88221999999999</v>
      </c>
      <c r="S85" s="109">
        <f t="shared" si="8"/>
        <v>45728</v>
      </c>
      <c r="T85">
        <f t="shared" si="9"/>
        <v>0</v>
      </c>
      <c r="U85" s="108">
        <f t="shared" si="10"/>
        <v>2.87E-2</v>
      </c>
    </row>
    <row r="86" spans="2:21" x14ac:dyDescent="0.3">
      <c r="B86">
        <f t="shared" si="12"/>
        <v>15.68824</v>
      </c>
      <c r="C86" s="101">
        <f t="shared" si="11"/>
        <v>45993</v>
      </c>
      <c r="D86" s="21">
        <f t="shared" si="11"/>
        <v>0</v>
      </c>
      <c r="E86" s="21">
        <f t="shared" si="11"/>
        <v>5.3100000000000001E-2</v>
      </c>
      <c r="G86" t="s">
        <v>165</v>
      </c>
      <c r="H86" s="37" t="str" cm="1">
        <f t="array" ref="H86">_xlfn.IFS(OR(LEFT(G86,3)="SAF",LEFT(G86,3)="MVE"), RIGHT(G86,LEN(G86)-3),     LEFT(G86,2)="JB",  RIGHT(G86,LEN(G86)-2), TRUE,     G86)</f>
        <v>ORA</v>
      </c>
      <c r="L86">
        <v>15.68824</v>
      </c>
      <c r="M86">
        <v>45993</v>
      </c>
      <c r="N86">
        <v>0</v>
      </c>
      <c r="O86">
        <v>5.3100000000000001E-2</v>
      </c>
      <c r="Q86" t="str">
        <v>ORA.PA</v>
      </c>
      <c r="R86">
        <f t="shared" si="7"/>
        <v>15.68824</v>
      </c>
      <c r="S86" s="109">
        <f t="shared" si="8"/>
        <v>45993</v>
      </c>
      <c r="T86">
        <f t="shared" si="9"/>
        <v>0</v>
      </c>
      <c r="U86" s="108">
        <f t="shared" si="10"/>
        <v>5.3100000000000001E-2</v>
      </c>
    </row>
    <row r="87" spans="2:21" x14ac:dyDescent="0.3">
      <c r="B87">
        <f t="shared" si="12"/>
        <v>49.916670000000003</v>
      </c>
      <c r="C87" s="101">
        <f t="shared" si="11"/>
        <v>46001</v>
      </c>
      <c r="D87" s="21">
        <f t="shared" si="11"/>
        <v>0</v>
      </c>
      <c r="E87" s="21">
        <f t="shared" si="11"/>
        <v>2.3800000000000002E-2</v>
      </c>
      <c r="G87" t="s">
        <v>125</v>
      </c>
      <c r="H87" s="37" t="str" cm="1">
        <f t="array" ref="H87">_xlfn.IFS(OR(LEFT(G87,3)="SAF",LEFT(G87,3)="MVE"), RIGHT(G87,LEN(G87)-3),     LEFT(G87,2)="JB",  RIGHT(G87,LEN(G87)-2), TRUE,     G87)</f>
        <v>OXY</v>
      </c>
      <c r="L87">
        <v>49.916670000000003</v>
      </c>
      <c r="M87">
        <v>46001</v>
      </c>
      <c r="N87">
        <v>0</v>
      </c>
      <c r="O87">
        <v>2.3800000000000002E-2</v>
      </c>
      <c r="Q87" t="str">
        <v>OXY</v>
      </c>
      <c r="R87">
        <f t="shared" si="7"/>
        <v>49.916670000000003</v>
      </c>
      <c r="S87" s="109">
        <f t="shared" si="8"/>
        <v>46001</v>
      </c>
      <c r="T87">
        <f t="shared" si="9"/>
        <v>0</v>
      </c>
      <c r="U87" s="108">
        <f t="shared" si="10"/>
        <v>2.3800000000000002E-2</v>
      </c>
    </row>
    <row r="88" spans="2:21" x14ac:dyDescent="0.3">
      <c r="B88">
        <f t="shared" si="12"/>
        <v>28.622920000000001</v>
      </c>
      <c r="C88" s="101">
        <f t="shared" si="11"/>
        <v>46045</v>
      </c>
      <c r="D88" s="21">
        <f t="shared" si="11"/>
        <v>0</v>
      </c>
      <c r="E88" s="21">
        <f t="shared" si="11"/>
        <v>6.88E-2</v>
      </c>
      <c r="G88" t="s">
        <v>126</v>
      </c>
      <c r="H88" s="37" t="str" cm="1">
        <f t="array" ref="H88">_xlfn.IFS(OR(LEFT(G88,3)="SAF",LEFT(G88,3)="MVE"), RIGHT(G88,LEN(G88)-3),     LEFT(G88,2)="JB",  RIGHT(G88,LEN(G88)-2), TRUE,     G88)</f>
        <v>PFE</v>
      </c>
      <c r="L88">
        <v>28.622920000000001</v>
      </c>
      <c r="M88">
        <v>46045</v>
      </c>
      <c r="N88">
        <v>0</v>
      </c>
      <c r="O88">
        <v>6.88E-2</v>
      </c>
      <c r="Q88" t="str">
        <v>PFE</v>
      </c>
      <c r="R88">
        <f t="shared" si="7"/>
        <v>28.622920000000001</v>
      </c>
      <c r="S88" s="109">
        <f t="shared" si="8"/>
        <v>46045</v>
      </c>
      <c r="T88">
        <f t="shared" si="9"/>
        <v>0</v>
      </c>
      <c r="U88" s="108">
        <f t="shared" si="10"/>
        <v>6.88E-2</v>
      </c>
    </row>
    <row r="89" spans="2:21" x14ac:dyDescent="0.3">
      <c r="B89">
        <f t="shared" si="12"/>
        <v>4.1583300000000003</v>
      </c>
      <c r="C89" s="101">
        <f t="shared" si="11"/>
        <v>42237</v>
      </c>
      <c r="D89" s="21">
        <f t="shared" si="11"/>
        <v>0</v>
      </c>
      <c r="E89" s="21">
        <f t="shared" si="11"/>
        <v>0</v>
      </c>
      <c r="G89" t="s">
        <v>127</v>
      </c>
      <c r="H89" s="37" t="str" cm="1">
        <f t="array" ref="H89">_xlfn.IFS(OR(LEFT(G89,3)="SAF",LEFT(G89,3)="MVE"), RIGHT(G89,LEN(G89)-3),     LEFT(G89,2)="JB",  RIGHT(G89,LEN(G89)-2), TRUE,     G89)</f>
        <v>RIG</v>
      </c>
      <c r="L89">
        <v>4.1583300000000003</v>
      </c>
      <c r="M89">
        <v>42237</v>
      </c>
      <c r="N89">
        <v>0</v>
      </c>
      <c r="O89">
        <v>0</v>
      </c>
      <c r="Q89" t="str">
        <v>RIG</v>
      </c>
      <c r="R89">
        <f t="shared" si="7"/>
        <v>4.1583300000000003</v>
      </c>
      <c r="S89" s="109">
        <f t="shared" si="8"/>
        <v>42237</v>
      </c>
      <c r="T89">
        <f t="shared" si="9"/>
        <v>0</v>
      </c>
      <c r="U89" s="108">
        <f t="shared" si="10"/>
        <v>0</v>
      </c>
    </row>
    <row r="90" spans="2:21" x14ac:dyDescent="0.3">
      <c r="B90">
        <f t="shared" si="12"/>
        <v>42.130429999999997</v>
      </c>
      <c r="C90" s="101">
        <f t="shared" si="11"/>
        <v>46003</v>
      </c>
      <c r="D90" s="21">
        <f t="shared" si="11"/>
        <v>0</v>
      </c>
      <c r="E90" s="21">
        <f t="shared" si="11"/>
        <v>0.01</v>
      </c>
      <c r="G90" t="s">
        <v>128</v>
      </c>
      <c r="H90" s="37" t="str" cm="1">
        <f t="array" ref="H90">_xlfn.IFS(OR(LEFT(G90,3)="SAF",LEFT(G90,3)="MVE"), RIGHT(G90,LEN(G90)-3),     LEFT(G90,2)="JB",  RIGHT(G90,LEN(G90)-2), TRUE,     G90)</f>
        <v>RRC</v>
      </c>
      <c r="L90">
        <v>42.130429999999997</v>
      </c>
      <c r="M90">
        <v>46003</v>
      </c>
      <c r="N90">
        <v>0</v>
      </c>
      <c r="O90">
        <v>0.01</v>
      </c>
      <c r="Q90" t="str">
        <v>RRC</v>
      </c>
      <c r="R90">
        <f t="shared" si="7"/>
        <v>42.130429999999997</v>
      </c>
      <c r="S90" s="109">
        <f t="shared" si="8"/>
        <v>46003</v>
      </c>
      <c r="T90">
        <f t="shared" si="9"/>
        <v>0</v>
      </c>
      <c r="U90" s="108">
        <f t="shared" si="10"/>
        <v>0.01</v>
      </c>
    </row>
    <row r="91" spans="2:21" x14ac:dyDescent="0.3">
      <c r="B91">
        <f t="shared" si="12"/>
        <v>84.005260000000007</v>
      </c>
      <c r="C91" s="101">
        <f t="shared" si="11"/>
        <v>0</v>
      </c>
      <c r="D91" s="21">
        <f t="shared" si="11"/>
        <v>0</v>
      </c>
      <c r="E91" s="21">
        <f t="shared" si="11"/>
        <v>0</v>
      </c>
      <c r="G91" t="s">
        <v>129</v>
      </c>
      <c r="H91" s="37" t="str" cm="1">
        <f t="array" ref="H91">_xlfn.IFS(OR(LEFT(G91,3)="SAF",LEFT(G91,3)="MVE"), RIGHT(G91,LEN(G91)-3),     LEFT(G91,2)="JB",  RIGHT(G91,LEN(G91)-2), TRUE,     G91)</f>
        <v>XYZ</v>
      </c>
      <c r="L91">
        <v>84.005260000000007</v>
      </c>
      <c r="M91">
        <v>0</v>
      </c>
      <c r="N91">
        <v>0</v>
      </c>
      <c r="O91">
        <v>0</v>
      </c>
      <c r="Q91" t="str">
        <v>XYZ</v>
      </c>
      <c r="R91">
        <f t="shared" si="7"/>
        <v>84.005260000000007</v>
      </c>
      <c r="S91" s="109">
        <f t="shared" si="8"/>
        <v>0</v>
      </c>
      <c r="T91">
        <f t="shared" si="9"/>
        <v>0</v>
      </c>
      <c r="U91" s="108">
        <f t="shared" si="10"/>
        <v>0</v>
      </c>
    </row>
    <row r="92" spans="2:21" x14ac:dyDescent="0.3">
      <c r="B92">
        <f t="shared" si="12"/>
        <v>237.2381</v>
      </c>
      <c r="C92" s="101">
        <f t="shared" si="12"/>
        <v>36598</v>
      </c>
      <c r="D92" s="21">
        <f t="shared" si="12"/>
        <v>0</v>
      </c>
      <c r="E92" s="21">
        <f t="shared" si="12"/>
        <v>0</v>
      </c>
      <c r="G92" t="s">
        <v>130</v>
      </c>
      <c r="H92" s="37" t="str" cm="1">
        <f t="array" ref="H92">_xlfn.IFS(OR(LEFT(G92,3)="SAF",LEFT(G92,3)="MVE"), RIGHT(G92,LEN(G92)-3),     LEFT(G92,2)="JB",  RIGHT(G92,LEN(G92)-2), TRUE,     G92)</f>
        <v>THC</v>
      </c>
      <c r="L92">
        <v>237.2381</v>
      </c>
      <c r="M92">
        <v>36598</v>
      </c>
      <c r="N92">
        <v>0</v>
      </c>
      <c r="O92">
        <v>0</v>
      </c>
      <c r="Q92" t="str">
        <v>THC</v>
      </c>
      <c r="R92">
        <f t="shared" si="7"/>
        <v>237.2381</v>
      </c>
      <c r="S92" s="109">
        <f t="shared" si="8"/>
        <v>36598</v>
      </c>
      <c r="T92">
        <f t="shared" si="9"/>
        <v>0</v>
      </c>
      <c r="U92" s="108">
        <f t="shared" si="10"/>
        <v>0</v>
      </c>
    </row>
    <row r="93" spans="2:21" x14ac:dyDescent="0.3">
      <c r="B93">
        <f t="shared" si="12"/>
        <v>0</v>
      </c>
      <c r="C93" s="101">
        <f t="shared" si="12"/>
        <v>0</v>
      </c>
      <c r="D93" s="21">
        <f t="shared" si="12"/>
        <v>0</v>
      </c>
      <c r="E93" s="21">
        <f t="shared" si="12"/>
        <v>0</v>
      </c>
      <c r="G93" t="s">
        <v>131</v>
      </c>
      <c r="H93" s="37" t="str" cm="1">
        <f t="array" ref="H93">_xlfn.IFS(OR(LEFT(G93,3)="SAF",LEFT(G93,3)="MVE"), RIGHT(G93,LEN(G93)-3),     LEFT(G93,2)="JB",  RIGHT(G93,LEN(G93)-2), TRUE,     G93)</f>
        <v>X</v>
      </c>
      <c r="L93">
        <v>0</v>
      </c>
      <c r="M93">
        <v>0</v>
      </c>
      <c r="N93">
        <v>0</v>
      </c>
      <c r="O93">
        <v>0</v>
      </c>
      <c r="Q93" t="str">
        <v>X</v>
      </c>
      <c r="R93">
        <f t="shared" si="7"/>
        <v>0</v>
      </c>
      <c r="S93" s="109">
        <f t="shared" si="8"/>
        <v>0</v>
      </c>
      <c r="T93">
        <f t="shared" si="9"/>
        <v>0</v>
      </c>
      <c r="U93" s="108">
        <f t="shared" si="10"/>
        <v>0</v>
      </c>
    </row>
    <row r="94" spans="2:21" x14ac:dyDescent="0.3">
      <c r="B94">
        <f t="shared" si="12"/>
        <v>0</v>
      </c>
      <c r="C94" s="101">
        <f t="shared" si="12"/>
        <v>0</v>
      </c>
      <c r="D94" s="21">
        <f t="shared" si="12"/>
        <v>0</v>
      </c>
      <c r="E94" s="21">
        <f t="shared" si="12"/>
        <v>0</v>
      </c>
      <c r="G94" t="s">
        <v>166</v>
      </c>
      <c r="H94" s="37" t="str" cm="1">
        <f t="array" ref="H94">_xlfn.IFS(OR(LEFT(G94,3)="SAF",LEFT(G94,3)="MVE"), RIGHT(G94,LEN(G94)-3),     LEFT(G94,2)="JB",  RIGHT(G94,LEN(G94)-2), TRUE,     G94)</f>
        <v>LOCK</v>
      </c>
      <c r="L94">
        <v>0</v>
      </c>
      <c r="M94">
        <v>0</v>
      </c>
      <c r="N94">
        <v>0</v>
      </c>
      <c r="O94">
        <v>0</v>
      </c>
      <c r="Q94" t="str">
        <v>LOCK.L</v>
      </c>
      <c r="R94">
        <f t="shared" si="7"/>
        <v>0</v>
      </c>
      <c r="S94" s="109">
        <f t="shared" si="8"/>
        <v>0</v>
      </c>
      <c r="T94">
        <f t="shared" si="9"/>
        <v>0</v>
      </c>
      <c r="U94" s="108">
        <f t="shared" si="10"/>
        <v>0</v>
      </c>
    </row>
    <row r="95" spans="2:21" x14ac:dyDescent="0.3">
      <c r="B95">
        <f t="shared" si="12"/>
        <v>1007.8667</v>
      </c>
      <c r="C95" s="101">
        <f t="shared" si="12"/>
        <v>45958</v>
      </c>
      <c r="D95" s="21">
        <f t="shared" si="12"/>
        <v>0</v>
      </c>
      <c r="E95" s="21">
        <f t="shared" si="12"/>
        <v>7.0999996000000003E-3</v>
      </c>
      <c r="G95" t="s">
        <v>167</v>
      </c>
      <c r="H95" s="37" t="str" cm="1">
        <f t="array" ref="H95">_xlfn.IFS(OR(LEFT(G95,3)="SAF",LEFT(G95,3)="MVE"), RIGHT(G95,LEN(G95)-3),     LEFT(G95,2)="JB",  RIGHT(G95,LEN(G95)-2), TRUE,     G95)</f>
        <v>ASML</v>
      </c>
      <c r="L95">
        <v>1007.8667</v>
      </c>
      <c r="M95">
        <v>45958</v>
      </c>
      <c r="N95">
        <v>0</v>
      </c>
      <c r="O95">
        <v>7.0999996000000003E-3</v>
      </c>
      <c r="Q95" t="str">
        <v>ASML.AS</v>
      </c>
      <c r="R95">
        <f t="shared" si="7"/>
        <v>1007.8667</v>
      </c>
      <c r="S95" s="109">
        <f t="shared" si="8"/>
        <v>45958</v>
      </c>
      <c r="T95">
        <f t="shared" si="9"/>
        <v>0</v>
      </c>
      <c r="U95" s="108">
        <f t="shared" si="10"/>
        <v>7.0999996000000003E-3</v>
      </c>
    </row>
    <row r="96" spans="2:21" x14ac:dyDescent="0.3">
      <c r="B96">
        <f t="shared" si="12"/>
        <v>17.016529999999999</v>
      </c>
      <c r="C96" s="101">
        <f t="shared" si="12"/>
        <v>45793</v>
      </c>
      <c r="D96" s="21">
        <f t="shared" si="12"/>
        <v>0</v>
      </c>
      <c r="E96" s="21">
        <f t="shared" si="12"/>
        <v>3.4299999999999997E-2</v>
      </c>
      <c r="G96" t="s">
        <v>168</v>
      </c>
      <c r="H96" s="37" t="str" cm="1">
        <f t="array" ref="H96">_xlfn.IFS(OR(LEFT(G96,3)="SAF",LEFT(G96,3)="MVE"), RIGHT(G96,LEN(G96)-3),     LEFT(G96,2)="JB",  RIGHT(G96,LEN(G96)-2), TRUE,     G96)</f>
        <v>EOAN</v>
      </c>
      <c r="L96">
        <v>17.016529999999999</v>
      </c>
      <c r="M96">
        <v>45793</v>
      </c>
      <c r="N96">
        <v>0</v>
      </c>
      <c r="O96">
        <v>3.4299999999999997E-2</v>
      </c>
      <c r="Q96" t="str">
        <v>EOAN.DE</v>
      </c>
      <c r="R96">
        <f t="shared" si="7"/>
        <v>17.016529999999999</v>
      </c>
      <c r="S96" s="109">
        <f t="shared" si="8"/>
        <v>45793</v>
      </c>
      <c r="T96">
        <f t="shared" si="9"/>
        <v>0</v>
      </c>
      <c r="U96" s="108">
        <f t="shared" si="10"/>
        <v>3.4299999999999997E-2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2026-01-01T22:42:26Z</dcterms:modified>
  <cp:category/>
</cp:coreProperties>
</file>