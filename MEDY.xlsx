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defaultThemeVersion="202300"/>
  <mc:AlternateContent xmlns:mc="http://schemas.openxmlformats.org/markup-compatibility/2006">
    <mc:Choice Requires="x15">
      <x15ac:absPath xmlns:x15ac="http://schemas.microsoft.com/office/spreadsheetml/2010/11/ac" url="/Users/kostayanev/NikyClean/"/>
    </mc:Choice>
  </mc:AlternateContent>
  <xr:revisionPtr revIDLastSave="0" documentId="13_ncr:1_{8C7D8C11-A6CA-2449-B245-ADAA070C91CA}" xr6:coauthVersionLast="47" xr6:coauthVersionMax="47" xr10:uidLastSave="{00000000-0000-0000-0000-000000000000}"/>
  <bookViews>
    <workbookView xWindow="360" yWindow="880" windowWidth="29880" windowHeight="18520" xr2:uid="{A82D0DB8-8028-8749-AD8E-3907692F5E1B}"/>
  </bookViews>
  <sheets>
    <sheet name="ExtEntry" sheetId="1" r:id="rId1"/>
    <sheet name="TickerList" sheetId="2" r:id="rId2"/>
  </sheets>
  <externalReferences>
    <externalReference r:id="rId3"/>
    <externalReference r:id="rId4"/>
  </externalReferences>
  <definedNames>
    <definedName name="Dataload">TickerList!$B$2:$E$75</definedName>
    <definedName name="SelRow">5</definedName>
    <definedName name="SelRowNum">5</definedName>
    <definedName name="StripName">TickerList!$H$2:$H$96</definedName>
    <definedName name="StripTick">TickerList!$F$2:$F$75</definedName>
    <definedName name="T_List">TickerList!$A$2:$A$75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68" i="1" l="1"/>
  <c r="A77" i="2" l="1"/>
  <c r="A78" i="2"/>
  <c r="A79" i="2"/>
  <c r="A80" i="2"/>
  <c r="A81" i="2"/>
  <c r="A82" i="2"/>
  <c r="A83" i="2"/>
  <c r="A84" i="2"/>
  <c r="A85" i="2"/>
  <c r="A86" i="2"/>
  <c r="A87" i="2"/>
  <c r="A88" i="2"/>
  <c r="A89" i="2"/>
  <c r="A90" i="2"/>
  <c r="A91" i="2"/>
  <c r="A92" i="2"/>
  <c r="A93" i="2"/>
  <c r="A94" i="2"/>
  <c r="A95" i="2"/>
  <c r="A96" i="2"/>
  <c r="A76"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2" i="2"/>
  <c r="B3" i="2"/>
  <c r="D3" i="2"/>
  <c r="E3" i="2"/>
  <c r="B4" i="2"/>
  <c r="D4" i="2"/>
  <c r="E4" i="2"/>
  <c r="B5" i="2"/>
  <c r="D5" i="2"/>
  <c r="E5" i="2"/>
  <c r="B6" i="2"/>
  <c r="D6" i="2"/>
  <c r="E6" i="2"/>
  <c r="B7" i="2"/>
  <c r="D7" i="2"/>
  <c r="E7" i="2"/>
  <c r="B8" i="2"/>
  <c r="D8" i="2"/>
  <c r="E8" i="2"/>
  <c r="B9" i="2"/>
  <c r="D9" i="2"/>
  <c r="E9" i="2"/>
  <c r="B10" i="2"/>
  <c r="D10" i="2"/>
  <c r="E10" i="2"/>
  <c r="B11" i="2"/>
  <c r="D11" i="2"/>
  <c r="E11" i="2"/>
  <c r="B12" i="2"/>
  <c r="D12" i="2"/>
  <c r="E12" i="2"/>
  <c r="B13" i="2"/>
  <c r="D13" i="2"/>
  <c r="E13" i="2"/>
  <c r="B14" i="2"/>
  <c r="D14" i="2"/>
  <c r="E14" i="2"/>
  <c r="B15" i="2"/>
  <c r="D15" i="2"/>
  <c r="E15" i="2"/>
  <c r="B16" i="2"/>
  <c r="D16" i="2"/>
  <c r="E16" i="2"/>
  <c r="B17" i="2"/>
  <c r="D17" i="2"/>
  <c r="E17" i="2"/>
  <c r="B18" i="2"/>
  <c r="D18" i="2"/>
  <c r="E18" i="2"/>
  <c r="B19" i="2"/>
  <c r="D19" i="2"/>
  <c r="E19" i="2"/>
  <c r="B20" i="2"/>
  <c r="D20" i="2"/>
  <c r="E20" i="2"/>
  <c r="B21" i="2"/>
  <c r="D21" i="2"/>
  <c r="E21" i="2"/>
  <c r="B22" i="2"/>
  <c r="D22" i="2"/>
  <c r="E22" i="2"/>
  <c r="B23" i="2"/>
  <c r="D23" i="2"/>
  <c r="E23" i="2"/>
  <c r="B24" i="2"/>
  <c r="D24" i="2"/>
  <c r="E24" i="2"/>
  <c r="B25" i="2"/>
  <c r="D25" i="2"/>
  <c r="E25" i="2"/>
  <c r="B26" i="2"/>
  <c r="D26" i="2"/>
  <c r="E26" i="2"/>
  <c r="B27" i="2"/>
  <c r="D27" i="2"/>
  <c r="E27" i="2"/>
  <c r="B28" i="2"/>
  <c r="D28" i="2"/>
  <c r="E28" i="2"/>
  <c r="B29" i="2"/>
  <c r="D29" i="2"/>
  <c r="E29" i="2"/>
  <c r="B30" i="2"/>
  <c r="D30" i="2"/>
  <c r="E30" i="2"/>
  <c r="B31" i="2"/>
  <c r="D31" i="2"/>
  <c r="E31" i="2"/>
  <c r="B32" i="2"/>
  <c r="D32" i="2"/>
  <c r="E32" i="2"/>
  <c r="B33" i="2"/>
  <c r="D33" i="2"/>
  <c r="E33" i="2"/>
  <c r="B34" i="2"/>
  <c r="D34" i="2"/>
  <c r="E34" i="2"/>
  <c r="B35" i="2"/>
  <c r="D35" i="2"/>
  <c r="E35" i="2"/>
  <c r="B36" i="2"/>
  <c r="D36" i="2"/>
  <c r="E36" i="2"/>
  <c r="B37" i="2"/>
  <c r="D37" i="2"/>
  <c r="E37" i="2"/>
  <c r="B38" i="2"/>
  <c r="D38" i="2"/>
  <c r="E38" i="2"/>
  <c r="B39" i="2"/>
  <c r="D39" i="2"/>
  <c r="E39" i="2"/>
  <c r="B40" i="2"/>
  <c r="D40" i="2"/>
  <c r="E40" i="2"/>
  <c r="B41" i="2"/>
  <c r="D41" i="2"/>
  <c r="E41" i="2"/>
  <c r="B42" i="2"/>
  <c r="D42" i="2"/>
  <c r="E42" i="2"/>
  <c r="B43" i="2"/>
  <c r="D43" i="2"/>
  <c r="E43" i="2"/>
  <c r="B44" i="2"/>
  <c r="D44" i="2"/>
  <c r="E44" i="2"/>
  <c r="B45" i="2"/>
  <c r="D45" i="2"/>
  <c r="E45" i="2"/>
  <c r="B46" i="2"/>
  <c r="D46" i="2"/>
  <c r="E46" i="2"/>
  <c r="B47" i="2"/>
  <c r="D47" i="2"/>
  <c r="E47" i="2"/>
  <c r="B48" i="2"/>
  <c r="D48" i="2"/>
  <c r="E48" i="2"/>
  <c r="B49" i="2"/>
  <c r="D49" i="2"/>
  <c r="E49" i="2"/>
  <c r="B50" i="2"/>
  <c r="D50" i="2"/>
  <c r="E50" i="2"/>
  <c r="B51" i="2"/>
  <c r="D51" i="2"/>
  <c r="E51" i="2"/>
  <c r="B52" i="2"/>
  <c r="D52" i="2"/>
  <c r="E52" i="2"/>
  <c r="B53" i="2"/>
  <c r="D53" i="2"/>
  <c r="E53" i="2"/>
  <c r="B54" i="2"/>
  <c r="D54" i="2"/>
  <c r="E54" i="2"/>
  <c r="B55" i="2"/>
  <c r="D55" i="2"/>
  <c r="E55" i="2"/>
  <c r="B56" i="2"/>
  <c r="D56" i="2"/>
  <c r="E56" i="2"/>
  <c r="B57" i="2"/>
  <c r="D57" i="2"/>
  <c r="E57" i="2"/>
  <c r="B58" i="2"/>
  <c r="D58" i="2"/>
  <c r="E58" i="2"/>
  <c r="B59" i="2"/>
  <c r="D59" i="2"/>
  <c r="E59" i="2"/>
  <c r="B60" i="2"/>
  <c r="D60" i="2"/>
  <c r="E60" i="2"/>
  <c r="B61" i="2"/>
  <c r="D61" i="2"/>
  <c r="E61" i="2"/>
  <c r="B62" i="2"/>
  <c r="D62" i="2"/>
  <c r="E62" i="2"/>
  <c r="B63" i="2"/>
  <c r="D63" i="2"/>
  <c r="E63" i="2"/>
  <c r="B64" i="2"/>
  <c r="D64" i="2"/>
  <c r="E64" i="2"/>
  <c r="B65" i="2"/>
  <c r="D65" i="2"/>
  <c r="E65" i="2"/>
  <c r="B66" i="2"/>
  <c r="D66" i="2"/>
  <c r="E66" i="2"/>
  <c r="B67" i="2"/>
  <c r="D67" i="2"/>
  <c r="E67" i="2"/>
  <c r="B68" i="2"/>
  <c r="D68" i="2"/>
  <c r="E68" i="2"/>
  <c r="B69" i="2"/>
  <c r="D69" i="2"/>
  <c r="E69" i="2"/>
  <c r="B70" i="2"/>
  <c r="D70" i="2"/>
  <c r="E70" i="2"/>
  <c r="B71" i="2"/>
  <c r="D71" i="2"/>
  <c r="E71" i="2"/>
  <c r="B72" i="2"/>
  <c r="D72" i="2"/>
  <c r="E72" i="2"/>
  <c r="B73" i="2"/>
  <c r="D73" i="2"/>
  <c r="E73" i="2"/>
  <c r="B74" i="2"/>
  <c r="D74" i="2"/>
  <c r="E74" i="2"/>
  <c r="B75" i="2"/>
  <c r="D75" i="2"/>
  <c r="E75"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B2" i="2"/>
  <c r="D2" i="2"/>
  <c r="E2" i="2"/>
  <c r="A2" i="2"/>
  <c r="F3" i="2"/>
  <c r="H3" i="2" a="1"/>
  <c r="H3" i="2" s="1"/>
  <c r="H4" i="2" a="1"/>
  <c r="H4" i="2" s="1"/>
  <c r="H5" i="2" a="1"/>
  <c r="H5" i="2" s="1"/>
  <c r="H6" i="2" a="1"/>
  <c r="H6" i="2" s="1"/>
  <c r="H7" i="2" a="1"/>
  <c r="H7" i="2" s="1"/>
  <c r="H8" i="2" a="1"/>
  <c r="H8" i="2" s="1"/>
  <c r="H9" i="2" a="1"/>
  <c r="H9" i="2" s="1"/>
  <c r="H10" i="2" a="1"/>
  <c r="H10" i="2" s="1"/>
  <c r="H11" i="2" a="1"/>
  <c r="H11" i="2" s="1"/>
  <c r="H12" i="2" a="1"/>
  <c r="H12" i="2" s="1"/>
  <c r="H13" i="2" a="1"/>
  <c r="H13" i="2" s="1"/>
  <c r="H14" i="2" a="1"/>
  <c r="H14" i="2" s="1"/>
  <c r="H15" i="2" a="1"/>
  <c r="H15" i="2" s="1"/>
  <c r="H16" i="2" a="1"/>
  <c r="H16" i="2" s="1"/>
  <c r="H17" i="2" a="1"/>
  <c r="H17" i="2" s="1"/>
  <c r="H18" i="2" a="1"/>
  <c r="H18" i="2" s="1"/>
  <c r="H19" i="2" a="1"/>
  <c r="H19" i="2" s="1"/>
  <c r="H20" i="2" a="1"/>
  <c r="H20" i="2" s="1"/>
  <c r="H21" i="2" a="1"/>
  <c r="H21" i="2" s="1"/>
  <c r="H22" i="2" a="1"/>
  <c r="H22" i="2" s="1"/>
  <c r="H23" i="2" a="1"/>
  <c r="H23" i="2" s="1"/>
  <c r="H24" i="2" a="1"/>
  <c r="H24" i="2" s="1"/>
  <c r="H25" i="2" a="1"/>
  <c r="H25" i="2" s="1"/>
  <c r="H26" i="2" a="1"/>
  <c r="H26" i="2" s="1"/>
  <c r="H27" i="2" a="1"/>
  <c r="H27" i="2" s="1"/>
  <c r="H28" i="2" a="1"/>
  <c r="H28" i="2" s="1"/>
  <c r="H29" i="2" a="1"/>
  <c r="H29" i="2" s="1"/>
  <c r="H30" i="2" a="1"/>
  <c r="H30" i="2" s="1"/>
  <c r="H31" i="2" a="1"/>
  <c r="H31" i="2" s="1"/>
  <c r="H32" i="2" a="1"/>
  <c r="H32" i="2" s="1"/>
  <c r="H33" i="2" a="1"/>
  <c r="H33" i="2" s="1"/>
  <c r="H34" i="2" a="1"/>
  <c r="H34" i="2" s="1"/>
  <c r="H35" i="2" a="1"/>
  <c r="H35" i="2" s="1"/>
  <c r="H36" i="2" a="1"/>
  <c r="H36" i="2" s="1"/>
  <c r="H37" i="2" a="1"/>
  <c r="H37" i="2" s="1"/>
  <c r="H38" i="2" a="1"/>
  <c r="H38" i="2" s="1"/>
  <c r="H39" i="2" a="1"/>
  <c r="H39" i="2" s="1"/>
  <c r="H40" i="2" a="1"/>
  <c r="H40" i="2" s="1"/>
  <c r="H41" i="2" a="1"/>
  <c r="H41" i="2" s="1"/>
  <c r="H42" i="2" a="1"/>
  <c r="H42" i="2" s="1"/>
  <c r="H43" i="2" a="1"/>
  <c r="H43" i="2" s="1"/>
  <c r="H44" i="2" a="1"/>
  <c r="H44" i="2" s="1"/>
  <c r="H45" i="2" a="1"/>
  <c r="H45" i="2" s="1"/>
  <c r="H46" i="2" a="1"/>
  <c r="H46" i="2" s="1"/>
  <c r="H47" i="2" a="1"/>
  <c r="H47" i="2" s="1"/>
  <c r="H48" i="2" a="1"/>
  <c r="H48" i="2" s="1"/>
  <c r="H49" i="2" a="1"/>
  <c r="H49" i="2" s="1"/>
  <c r="H50" i="2" a="1"/>
  <c r="H50" i="2" s="1"/>
  <c r="H51" i="2" a="1"/>
  <c r="H51" i="2" s="1"/>
  <c r="H52" i="2" a="1"/>
  <c r="H52" i="2" s="1"/>
  <c r="H53" i="2" a="1"/>
  <c r="H53" i="2" s="1"/>
  <c r="H54" i="2" a="1"/>
  <c r="H54" i="2" s="1"/>
  <c r="H55" i="2" a="1"/>
  <c r="H55" i="2" s="1"/>
  <c r="H56" i="2" a="1"/>
  <c r="H56" i="2" s="1"/>
  <c r="H57" i="2" a="1"/>
  <c r="H57" i="2" s="1"/>
  <c r="H58" i="2" a="1"/>
  <c r="H58" i="2" s="1"/>
  <c r="H59" i="2" a="1"/>
  <c r="H59" i="2" s="1"/>
  <c r="H60" i="2" a="1"/>
  <c r="H60" i="2" s="1"/>
  <c r="H61" i="2" a="1"/>
  <c r="H61" i="2" s="1"/>
  <c r="H62" i="2" a="1"/>
  <c r="H62" i="2" s="1"/>
  <c r="H63" i="2" a="1"/>
  <c r="H63" i="2" s="1"/>
  <c r="H64" i="2" a="1"/>
  <c r="H64" i="2" s="1"/>
  <c r="H65" i="2" a="1"/>
  <c r="H65" i="2" s="1"/>
  <c r="H66" i="2" a="1"/>
  <c r="H66" i="2" s="1"/>
  <c r="H67" i="2" a="1"/>
  <c r="H67" i="2" s="1"/>
  <c r="H68" i="2" a="1"/>
  <c r="H68" i="2" s="1"/>
  <c r="H69" i="2" a="1"/>
  <c r="H69" i="2" s="1"/>
  <c r="H70" i="2" a="1"/>
  <c r="H70" i="2" s="1"/>
  <c r="H71" i="2" a="1"/>
  <c r="H71" i="2" s="1"/>
  <c r="H72" i="2" a="1"/>
  <c r="H72" i="2" s="1"/>
  <c r="H73" i="2" a="1"/>
  <c r="H73" i="2" s="1"/>
  <c r="H74" i="2" a="1"/>
  <c r="H74" i="2" s="1"/>
  <c r="H75" i="2" a="1"/>
  <c r="H75" i="2" s="1"/>
  <c r="H76" i="2" a="1"/>
  <c r="H76" i="2" s="1"/>
  <c r="H77" i="2" a="1"/>
  <c r="H77" i="2" s="1"/>
  <c r="H78" i="2" a="1"/>
  <c r="H78" i="2" s="1"/>
  <c r="H79" i="2" a="1"/>
  <c r="H79" i="2" s="1"/>
  <c r="H80" i="2" a="1"/>
  <c r="H80" i="2" s="1"/>
  <c r="H81" i="2" a="1"/>
  <c r="H81" i="2" s="1"/>
  <c r="H82" i="2" a="1"/>
  <c r="H82" i="2" s="1"/>
  <c r="H83" i="2" a="1"/>
  <c r="H83" i="2" s="1"/>
  <c r="H84" i="2" a="1"/>
  <c r="H84" i="2" s="1"/>
  <c r="H85" i="2" a="1"/>
  <c r="H85" i="2" s="1"/>
  <c r="H86" i="2" a="1"/>
  <c r="H86" i="2" s="1"/>
  <c r="H87" i="2" a="1"/>
  <c r="H87" i="2" s="1"/>
  <c r="H88" i="2" a="1"/>
  <c r="H88" i="2" s="1"/>
  <c r="H89" i="2" a="1"/>
  <c r="H89" i="2" s="1"/>
  <c r="H90" i="2" a="1"/>
  <c r="H90" i="2" s="1"/>
  <c r="H91" i="2" a="1"/>
  <c r="H91" i="2" s="1"/>
  <c r="H92" i="2" a="1"/>
  <c r="H92" i="2" s="1"/>
  <c r="H93" i="2" a="1"/>
  <c r="H93" i="2" s="1"/>
  <c r="H94" i="2" a="1"/>
  <c r="H94" i="2" s="1"/>
  <c r="H95" i="2" a="1"/>
  <c r="H95" i="2" s="1"/>
  <c r="H96" i="2" a="1"/>
  <c r="H96" i="2" s="1"/>
  <c r="H2" i="2" a="1"/>
  <c r="H2" i="2" s="1"/>
  <c r="E1" i="2"/>
  <c r="D1" i="2"/>
  <c r="C1" i="2"/>
  <c r="B1" i="2"/>
  <c r="F16" i="2" l="1"/>
  <c r="F5" i="2"/>
  <c r="F66" i="2"/>
  <c r="F54" i="2"/>
  <c r="F42" i="2"/>
  <c r="F30" i="2"/>
  <c r="F18" i="2"/>
  <c r="F4" i="2"/>
  <c r="F65" i="2"/>
  <c r="F53" i="2"/>
  <c r="F41" i="2"/>
  <c r="F29" i="2"/>
  <c r="F17" i="2"/>
  <c r="F64" i="2"/>
  <c r="F52" i="2"/>
  <c r="F40" i="2"/>
  <c r="F28" i="2"/>
  <c r="F75" i="2"/>
  <c r="F63" i="2"/>
  <c r="F51" i="2"/>
  <c r="F39" i="2"/>
  <c r="F27" i="2"/>
  <c r="F15" i="2"/>
  <c r="F74" i="2"/>
  <c r="F62" i="2"/>
  <c r="F50" i="2"/>
  <c r="F38" i="2"/>
  <c r="F26" i="2"/>
  <c r="F14" i="2"/>
  <c r="F73" i="2"/>
  <c r="F61" i="2"/>
  <c r="F49" i="2"/>
  <c r="F37" i="2"/>
  <c r="F25" i="2"/>
  <c r="F13" i="2"/>
  <c r="F72" i="2"/>
  <c r="F60" i="2"/>
  <c r="F48" i="2"/>
  <c r="F36" i="2"/>
  <c r="F24" i="2"/>
  <c r="F12" i="2"/>
  <c r="F71" i="2"/>
  <c r="F59" i="2"/>
  <c r="F47" i="2"/>
  <c r="F35" i="2"/>
  <c r="F23" i="2"/>
  <c r="F11" i="2"/>
  <c r="F70" i="2"/>
  <c r="F58" i="2"/>
  <c r="F46" i="2"/>
  <c r="F34" i="2"/>
  <c r="F22" i="2"/>
  <c r="F10" i="2"/>
  <c r="F69" i="2"/>
  <c r="F57" i="2"/>
  <c r="F45" i="2"/>
  <c r="F33" i="2"/>
  <c r="F21" i="2"/>
  <c r="F9" i="2"/>
  <c r="F2" i="2"/>
  <c r="F68" i="2"/>
  <c r="F56" i="2"/>
  <c r="F44" i="2"/>
  <c r="F32" i="2"/>
  <c r="F20" i="2"/>
  <c r="F8" i="2"/>
  <c r="F6" i="2"/>
  <c r="F67" i="2"/>
  <c r="F55" i="2"/>
  <c r="F43" i="2"/>
  <c r="F31" i="2"/>
  <c r="F19" i="2"/>
  <c r="F7" i="2"/>
  <c r="E97" i="2"/>
  <c r="D97" i="2"/>
  <c r="C97" i="2"/>
  <c r="B97"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2" i="2"/>
  <c r="L2" i="2" l="1" a="1"/>
  <c r="L2" i="2" s="1"/>
  <c r="C78" i="2"/>
  <c r="C82" i="2"/>
  <c r="C86" i="2"/>
  <c r="C90" i="2"/>
  <c r="C94" i="2"/>
  <c r="B88" i="2"/>
  <c r="B91" i="2"/>
  <c r="B80" i="2"/>
  <c r="B81" i="2"/>
  <c r="E88" i="2"/>
  <c r="B96" i="2"/>
  <c r="E76" i="2"/>
  <c r="D78" i="2"/>
  <c r="D82" i="2"/>
  <c r="D86" i="2"/>
  <c r="D90" i="2"/>
  <c r="D94" i="2"/>
  <c r="B77" i="2"/>
  <c r="B89" i="2"/>
  <c r="B93" i="2"/>
  <c r="E96" i="2"/>
  <c r="E78" i="2"/>
  <c r="E82" i="2"/>
  <c r="E86" i="2"/>
  <c r="E90" i="2"/>
  <c r="E94" i="2"/>
  <c r="B78" i="2"/>
  <c r="B90" i="2"/>
  <c r="C83" i="2"/>
  <c r="C87" i="2"/>
  <c r="B79" i="2"/>
  <c r="E80" i="2"/>
  <c r="B84" i="2"/>
  <c r="C76" i="2"/>
  <c r="C79" i="2"/>
  <c r="C91" i="2"/>
  <c r="C95" i="2"/>
  <c r="B85" i="2"/>
  <c r="D79" i="2"/>
  <c r="D83" i="2"/>
  <c r="D87" i="2"/>
  <c r="D91" i="2"/>
  <c r="D95" i="2"/>
  <c r="B92" i="2"/>
  <c r="E79" i="2"/>
  <c r="E83" i="2"/>
  <c r="E87" i="2"/>
  <c r="E91" i="2"/>
  <c r="E95" i="2"/>
  <c r="C80" i="2"/>
  <c r="C84" i="2"/>
  <c r="C88" i="2"/>
  <c r="C92" i="2"/>
  <c r="C96" i="2"/>
  <c r="B82" i="2"/>
  <c r="B94" i="2"/>
  <c r="D80" i="2"/>
  <c r="B76" i="2"/>
  <c r="D84" i="2"/>
  <c r="D88" i="2"/>
  <c r="D92" i="2"/>
  <c r="D96" i="2"/>
  <c r="B83" i="2"/>
  <c r="B95" i="2"/>
  <c r="E92" i="2"/>
  <c r="E84" i="2"/>
  <c r="C77" i="2"/>
  <c r="C81" i="2"/>
  <c r="C85" i="2"/>
  <c r="C89" i="2"/>
  <c r="C93" i="2"/>
  <c r="D77" i="2"/>
  <c r="D81" i="2"/>
  <c r="D85" i="2"/>
  <c r="D89" i="2"/>
  <c r="D93" i="2"/>
  <c r="D76" i="2"/>
  <c r="B86" i="2"/>
  <c r="E77" i="2"/>
  <c r="E81" i="2"/>
  <c r="E85" i="2"/>
  <c r="E89" i="2"/>
  <c r="E93" i="2"/>
  <c r="B87" i="2"/>
  <c r="D95" i="1" a="1"/>
  <c r="D95" i="1" s="1"/>
  <c r="A94" i="1" a="1"/>
  <c r="A94" i="1" s="1"/>
  <c r="Q94" i="1" a="1"/>
  <c r="Q94" i="1" s="1"/>
  <c r="P96" i="1" a="1"/>
  <c r="P96" i="1" s="1"/>
  <c r="A9" i="1" a="1"/>
  <c r="A9" i="1" s="1"/>
  <c r="D9" i="1" a="1"/>
  <c r="D9" i="1" s="1"/>
  <c r="E9" i="1" a="1"/>
  <c r="E9" i="1" s="1"/>
  <c r="F9" i="1" a="1"/>
  <c r="F9" i="1" s="1"/>
  <c r="G9" i="1" a="1"/>
  <c r="G9" i="1" s="1"/>
  <c r="H9" i="1" a="1"/>
  <c r="H9" i="1" s="1"/>
  <c r="I9" i="1" a="1"/>
  <c r="I9" i="1" s="1"/>
  <c r="J9" i="1" a="1"/>
  <c r="J9" i="1" s="1"/>
  <c r="K9" i="1" a="1"/>
  <c r="K9" i="1" s="1"/>
  <c r="L9" i="1" a="1"/>
  <c r="L9" i="1" s="1"/>
  <c r="M9" i="1" a="1"/>
  <c r="M9" i="1" s="1"/>
  <c r="N9" i="1" a="1"/>
  <c r="N9" i="1" s="1"/>
  <c r="O9" i="1" a="1"/>
  <c r="O9" i="1" s="1"/>
  <c r="P9" i="1" a="1"/>
  <c r="P9" i="1" s="1"/>
  <c r="Q9" i="1" a="1"/>
  <c r="Q9" i="1" s="1"/>
  <c r="R9" i="1" a="1"/>
  <c r="R9" i="1" s="1"/>
  <c r="U9" i="1" a="1"/>
  <c r="U9" i="1" s="1"/>
  <c r="Z9" i="1" l="1"/>
  <c r="AA9" i="1"/>
  <c r="X9" i="1"/>
  <c r="AE9" i="1" s="1"/>
  <c r="Y9" i="1"/>
  <c r="Y94" i="1"/>
  <c r="Z94" i="1"/>
  <c r="X94" i="1"/>
  <c r="AA94" i="1"/>
  <c r="V9" i="1"/>
  <c r="AF9" i="1" l="1"/>
  <c r="A3" i="1" a="1"/>
  <c r="A3" i="1" s="1"/>
  <c r="A10" i="1" a="1"/>
  <c r="A10" i="1" s="1"/>
  <c r="D10" i="1" a="1"/>
  <c r="D10" i="1" s="1"/>
  <c r="E10" i="1" a="1"/>
  <c r="E10" i="1" s="1"/>
  <c r="F10" i="1" a="1"/>
  <c r="F10" i="1" s="1"/>
  <c r="G10" i="1" a="1"/>
  <c r="G10" i="1" s="1"/>
  <c r="H10" i="1" a="1"/>
  <c r="H10" i="1" s="1"/>
  <c r="I10" i="1" a="1"/>
  <c r="I10" i="1" s="1"/>
  <c r="J10" i="1" a="1"/>
  <c r="J10" i="1" s="1"/>
  <c r="K10" i="1" a="1"/>
  <c r="K10" i="1" s="1"/>
  <c r="L10" i="1" a="1"/>
  <c r="L10" i="1" s="1"/>
  <c r="M10" i="1" a="1"/>
  <c r="M10" i="1" s="1"/>
  <c r="N10" i="1" a="1"/>
  <c r="N10" i="1" s="1"/>
  <c r="O10" i="1" a="1"/>
  <c r="O10" i="1" s="1"/>
  <c r="P10" i="1" a="1"/>
  <c r="P10" i="1" s="1"/>
  <c r="Q10" i="1" a="1"/>
  <c r="Q10" i="1" s="1"/>
  <c r="R10" i="1" a="1"/>
  <c r="R10" i="1" s="1"/>
  <c r="U10" i="1" a="1"/>
  <c r="U10" i="1" s="1"/>
  <c r="Z10" i="1" l="1"/>
  <c r="AA10" i="1"/>
  <c r="X10" i="1"/>
  <c r="AE10" i="1" s="1"/>
  <c r="Y10" i="1"/>
  <c r="X3" i="1"/>
  <c r="AA3" i="1"/>
  <c r="Z3" i="1"/>
  <c r="Y3" i="1"/>
  <c r="V10" i="1"/>
  <c r="AF10" i="1" l="1"/>
  <c r="AB94" i="1"/>
  <c r="AC94" i="1"/>
  <c r="AB95" i="1"/>
  <c r="AC95" i="1"/>
  <c r="AB96" i="1"/>
  <c r="AC96" i="1"/>
  <c r="U95" i="1" l="1" a="1"/>
  <c r="U95" i="1" s="1"/>
  <c r="R95" i="1" a="1"/>
  <c r="R95" i="1" s="1"/>
  <c r="Q95" i="1" a="1"/>
  <c r="Q95" i="1" s="1"/>
  <c r="P95" i="1" a="1"/>
  <c r="P95" i="1" s="1"/>
  <c r="O95" i="1" a="1"/>
  <c r="O95" i="1" s="1"/>
  <c r="N95" i="1" a="1"/>
  <c r="N95" i="1" s="1"/>
  <c r="M95" i="1" a="1"/>
  <c r="M95" i="1" s="1"/>
  <c r="L95" i="1" a="1"/>
  <c r="L95" i="1" s="1"/>
  <c r="K95" i="1" a="1"/>
  <c r="K95" i="1" s="1"/>
  <c r="J95" i="1" a="1"/>
  <c r="J95" i="1" s="1"/>
  <c r="I95" i="1" a="1"/>
  <c r="I95" i="1" s="1"/>
  <c r="H95" i="1" a="1"/>
  <c r="H95" i="1" s="1"/>
  <c r="G95" i="1" a="1"/>
  <c r="G95" i="1" s="1"/>
  <c r="F95" i="1" a="1"/>
  <c r="F95" i="1" s="1"/>
  <c r="E95" i="1" a="1"/>
  <c r="E95" i="1" s="1"/>
  <c r="A95" i="1" a="1"/>
  <c r="A95" i="1" s="1"/>
  <c r="U94" i="1" a="1"/>
  <c r="U94" i="1" s="1"/>
  <c r="R94" i="1" a="1"/>
  <c r="R94" i="1" s="1"/>
  <c r="P94" i="1" a="1"/>
  <c r="P94" i="1" s="1"/>
  <c r="O94" i="1" a="1"/>
  <c r="O94" i="1" s="1"/>
  <c r="N94" i="1" a="1"/>
  <c r="N94" i="1" s="1"/>
  <c r="M94" i="1" a="1"/>
  <c r="M94" i="1" s="1"/>
  <c r="L94" i="1" a="1"/>
  <c r="L94" i="1" s="1"/>
  <c r="K94" i="1" a="1"/>
  <c r="K94" i="1" s="1"/>
  <c r="J94" i="1" a="1"/>
  <c r="J94" i="1" s="1"/>
  <c r="I94" i="1" a="1"/>
  <c r="I94" i="1" s="1"/>
  <c r="H94" i="1" a="1"/>
  <c r="H94" i="1" s="1"/>
  <c r="G94" i="1" a="1"/>
  <c r="G94" i="1" s="1"/>
  <c r="F94" i="1" a="1"/>
  <c r="F94" i="1" s="1"/>
  <c r="E94" i="1" a="1"/>
  <c r="E94" i="1" s="1"/>
  <c r="D94" i="1" a="1"/>
  <c r="D94" i="1" s="1"/>
  <c r="A96" i="1" a="1"/>
  <c r="A96" i="1" s="1"/>
  <c r="D96" i="1" a="1"/>
  <c r="D96" i="1" s="1"/>
  <c r="E96" i="1" a="1"/>
  <c r="E96" i="1" s="1"/>
  <c r="F96" i="1" a="1"/>
  <c r="F96" i="1" s="1"/>
  <c r="G96" i="1" a="1"/>
  <c r="G96" i="1" s="1"/>
  <c r="H96" i="1" a="1"/>
  <c r="H96" i="1" s="1"/>
  <c r="I96" i="1" a="1"/>
  <c r="I96" i="1" s="1"/>
  <c r="J96" i="1" a="1"/>
  <c r="J96" i="1" s="1"/>
  <c r="K96" i="1" a="1"/>
  <c r="K96" i="1" s="1"/>
  <c r="L96" i="1" a="1"/>
  <c r="L96" i="1" s="1"/>
  <c r="M96" i="1" a="1"/>
  <c r="M96" i="1" s="1"/>
  <c r="N96" i="1" a="1"/>
  <c r="N96" i="1" s="1"/>
  <c r="O96" i="1" a="1"/>
  <c r="O96" i="1" s="1"/>
  <c r="Q96" i="1" a="1"/>
  <c r="Q96" i="1" s="1"/>
  <c r="R96" i="1" a="1"/>
  <c r="R96" i="1" s="1"/>
  <c r="U96" i="1" a="1"/>
  <c r="U96" i="1" s="1"/>
  <c r="Z96" i="1" l="1"/>
  <c r="AA96" i="1"/>
  <c r="X96" i="1"/>
  <c r="Y96" i="1"/>
  <c r="Y95" i="1"/>
  <c r="Z95" i="1"/>
  <c r="X95" i="1"/>
  <c r="AA95" i="1"/>
  <c r="AE94" i="1"/>
  <c r="AF94" i="1"/>
  <c r="V95" i="1"/>
  <c r="V94" i="1"/>
  <c r="V96" i="1"/>
  <c r="AE96" i="1" l="1"/>
  <c r="AF96" i="1"/>
  <c r="AE95" i="1"/>
  <c r="AF95" i="1"/>
  <c r="AB61" i="1" l="1"/>
  <c r="AC61" i="1"/>
  <c r="AD61" i="1"/>
  <c r="C106" i="1" l="1" a="1"/>
  <c r="C106" i="1" s="1"/>
  <c r="B106" i="1" l="1" a="1"/>
  <c r="B106" i="1" s="1"/>
  <c r="D106" i="1" s="1"/>
  <c r="AB62" i="1" l="1"/>
  <c r="AC62" i="1"/>
  <c r="AD62" i="1"/>
  <c r="AB59" i="1"/>
  <c r="AC59" i="1"/>
  <c r="AD59" i="1"/>
  <c r="AB57" i="1" l="1"/>
  <c r="AC57" i="1"/>
  <c r="AD57" i="1"/>
  <c r="AF3" i="1" l="1"/>
  <c r="AE3" i="1"/>
  <c r="AB65" i="1"/>
  <c r="AC65" i="1"/>
  <c r="B105" i="1" l="1" a="1"/>
  <c r="B105" i="1" s="1"/>
  <c r="D105" i="1" s="1"/>
  <c r="C105" i="1" a="1"/>
  <c r="C105" i="1" s="1"/>
  <c r="F111" i="1" l="1" a="1"/>
  <c r="F111" i="1" s="1"/>
  <c r="E111" i="1" a="1"/>
  <c r="E111" i="1" s="1"/>
  <c r="D112" i="1" a="1"/>
  <c r="D112" i="1" s="1"/>
  <c r="D111" i="1" a="1"/>
  <c r="D111" i="1" s="1"/>
  <c r="F109" i="1" a="1"/>
  <c r="F109" i="1" s="1"/>
  <c r="E109" i="1" a="1"/>
  <c r="E109" i="1" s="1"/>
  <c r="D110" i="1" a="1"/>
  <c r="D110" i="1" s="1"/>
  <c r="F108" i="1" a="1"/>
  <c r="F108" i="1" s="1"/>
  <c r="E108" i="1" a="1"/>
  <c r="E108" i="1" s="1"/>
  <c r="D109" i="1" a="1"/>
  <c r="D109" i="1" s="1"/>
  <c r="A4" i="1" l="1" a="1"/>
  <c r="A4" i="1" s="1"/>
  <c r="X4" i="1" l="1"/>
  <c r="Y4" i="1"/>
  <c r="Z4" i="1"/>
  <c r="AA4" i="1"/>
  <c r="A58" i="1" a="1"/>
  <c r="A58" i="1" s="1"/>
  <c r="M46" i="1" a="1"/>
  <c r="M46" i="1" s="1"/>
  <c r="K3" i="1" a="1"/>
  <c r="K3" i="1" s="1"/>
  <c r="Z58" i="1" l="1"/>
  <c r="AA58" i="1"/>
  <c r="X58" i="1"/>
  <c r="Y58" i="1"/>
  <c r="AE4" i="1"/>
  <c r="AF4" i="1"/>
  <c r="D55" i="1" a="1"/>
  <c r="D55" i="1" s="1"/>
  <c r="E55" i="1" a="1"/>
  <c r="E55" i="1" s="1"/>
  <c r="F55" i="1" a="1"/>
  <c r="F55" i="1" s="1"/>
  <c r="G55" i="1" a="1"/>
  <c r="G55" i="1" s="1"/>
  <c r="H55" i="1" a="1"/>
  <c r="H55" i="1" s="1"/>
  <c r="I55" i="1" a="1"/>
  <c r="I55" i="1" s="1"/>
  <c r="J55" i="1" a="1"/>
  <c r="J55" i="1" s="1"/>
  <c r="K55" i="1" a="1"/>
  <c r="K55" i="1" s="1"/>
  <c r="L55" i="1" a="1"/>
  <c r="L55" i="1" s="1"/>
  <c r="M55" i="1" a="1"/>
  <c r="M55" i="1" s="1"/>
  <c r="N55" i="1" a="1"/>
  <c r="N55" i="1" s="1"/>
  <c r="O55" i="1" a="1"/>
  <c r="O55" i="1" s="1"/>
  <c r="P55" i="1" a="1"/>
  <c r="P55" i="1" s="1"/>
  <c r="Q55" i="1" a="1"/>
  <c r="Q55" i="1" s="1"/>
  <c r="R55" i="1" a="1"/>
  <c r="R55" i="1" s="1"/>
  <c r="U55" i="1" a="1"/>
  <c r="U55" i="1" s="1"/>
  <c r="E23" i="1" a="1"/>
  <c r="E23" i="1" s="1"/>
  <c r="F23" i="1" a="1"/>
  <c r="F23" i="1" s="1"/>
  <c r="G23" i="1" a="1"/>
  <c r="G23" i="1" s="1"/>
  <c r="H23" i="1" a="1"/>
  <c r="H23" i="1" s="1"/>
  <c r="I23" i="1" a="1"/>
  <c r="I23" i="1" s="1"/>
  <c r="J23" i="1" a="1"/>
  <c r="J23" i="1" s="1"/>
  <c r="K23" i="1" a="1"/>
  <c r="K23" i="1" s="1"/>
  <c r="L23" i="1" a="1"/>
  <c r="L23" i="1" s="1"/>
  <c r="M23" i="1" a="1"/>
  <c r="M23" i="1" s="1"/>
  <c r="N23" i="1" a="1"/>
  <c r="N23" i="1" s="1"/>
  <c r="O23" i="1" a="1"/>
  <c r="O23" i="1" s="1"/>
  <c r="P23" i="1" a="1"/>
  <c r="P23" i="1" s="1"/>
  <c r="Q23" i="1" a="1"/>
  <c r="Q23" i="1" s="1"/>
  <c r="R23" i="1" a="1"/>
  <c r="R23" i="1" s="1"/>
  <c r="U23" i="1" a="1"/>
  <c r="U23" i="1" s="1"/>
  <c r="A47" i="1" a="1"/>
  <c r="A47" i="1" s="1"/>
  <c r="D47" i="1" a="1"/>
  <c r="D47" i="1" s="1"/>
  <c r="E47" i="1" a="1"/>
  <c r="E47" i="1" s="1"/>
  <c r="F47" i="1" a="1"/>
  <c r="F47" i="1" s="1"/>
  <c r="G47" i="1" a="1"/>
  <c r="G47" i="1" s="1"/>
  <c r="H47" i="1" a="1"/>
  <c r="H47" i="1" s="1"/>
  <c r="I47" i="1" a="1"/>
  <c r="I47" i="1" s="1"/>
  <c r="J47" i="1" a="1"/>
  <c r="J47" i="1" s="1"/>
  <c r="K47" i="1" a="1"/>
  <c r="K47" i="1" s="1"/>
  <c r="L47" i="1" a="1"/>
  <c r="L47" i="1" s="1"/>
  <c r="M47" i="1" a="1"/>
  <c r="M47" i="1" s="1"/>
  <c r="N47" i="1" a="1"/>
  <c r="N47" i="1" s="1"/>
  <c r="O47" i="1" a="1"/>
  <c r="O47" i="1" s="1"/>
  <c r="P47" i="1" a="1"/>
  <c r="P47" i="1" s="1"/>
  <c r="Q47" i="1" a="1"/>
  <c r="Q47" i="1" s="1"/>
  <c r="R47" i="1" a="1"/>
  <c r="R47" i="1" s="1"/>
  <c r="U47" i="1" a="1"/>
  <c r="U47" i="1" s="1"/>
  <c r="A86" i="1" a="1"/>
  <c r="A86" i="1" s="1"/>
  <c r="D86" i="1" a="1"/>
  <c r="D86" i="1" s="1"/>
  <c r="E86" i="1" a="1"/>
  <c r="E86" i="1" s="1"/>
  <c r="F86" i="1" a="1"/>
  <c r="F86" i="1" s="1"/>
  <c r="G86" i="1" a="1"/>
  <c r="G86" i="1" s="1"/>
  <c r="H86" i="1" a="1"/>
  <c r="H86" i="1" s="1"/>
  <c r="I86" i="1" a="1"/>
  <c r="I86" i="1" s="1"/>
  <c r="J86" i="1" a="1"/>
  <c r="J86" i="1" s="1"/>
  <c r="K86" i="1" a="1"/>
  <c r="K86" i="1" s="1"/>
  <c r="L86" i="1" a="1"/>
  <c r="L86" i="1" s="1"/>
  <c r="M86" i="1" a="1"/>
  <c r="M86" i="1" s="1"/>
  <c r="N86" i="1" a="1"/>
  <c r="N86" i="1" s="1"/>
  <c r="O86" i="1" a="1"/>
  <c r="O86" i="1" s="1"/>
  <c r="P86" i="1" a="1"/>
  <c r="P86" i="1" s="1"/>
  <c r="Q86" i="1" a="1"/>
  <c r="Q86" i="1" s="1"/>
  <c r="R86" i="1" a="1"/>
  <c r="R86" i="1" s="1"/>
  <c r="U86" i="1" a="1"/>
  <c r="U86" i="1" s="1"/>
  <c r="C104" i="1" a="1"/>
  <c r="C104" i="1" s="1"/>
  <c r="B104" i="1" a="1"/>
  <c r="B104" i="1" s="1"/>
  <c r="C103" i="1" a="1"/>
  <c r="C103" i="1" s="1"/>
  <c r="B103" i="1" a="1"/>
  <c r="B103" i="1" s="1"/>
  <c r="C102" i="1" a="1"/>
  <c r="C102" i="1" s="1"/>
  <c r="B102" i="1" a="1"/>
  <c r="B102" i="1" s="1"/>
  <c r="C101" i="1" a="1"/>
  <c r="C101" i="1" s="1"/>
  <c r="B101" i="1" a="1"/>
  <c r="B101" i="1" s="1"/>
  <c r="C100" i="1" a="1"/>
  <c r="C100" i="1" s="1"/>
  <c r="B100" i="1" a="1"/>
  <c r="B100" i="1" s="1"/>
  <c r="C99" i="1" a="1"/>
  <c r="C99" i="1" s="1"/>
  <c r="B99" i="1" a="1"/>
  <c r="B99" i="1" s="1"/>
  <c r="U93" i="1" a="1"/>
  <c r="U93" i="1" s="1"/>
  <c r="R93" i="1" a="1"/>
  <c r="R93" i="1" s="1"/>
  <c r="Q93" i="1" a="1"/>
  <c r="Q93" i="1" s="1"/>
  <c r="P93" i="1" a="1"/>
  <c r="P93" i="1" s="1"/>
  <c r="O93" i="1" a="1"/>
  <c r="O93" i="1" s="1"/>
  <c r="N93" i="1" a="1"/>
  <c r="N93" i="1" s="1"/>
  <c r="M93" i="1" a="1"/>
  <c r="M93" i="1" s="1"/>
  <c r="L93" i="1" a="1"/>
  <c r="L93" i="1" s="1"/>
  <c r="K93" i="1" a="1"/>
  <c r="K93" i="1" s="1"/>
  <c r="J93" i="1" a="1"/>
  <c r="J93" i="1" s="1"/>
  <c r="I93" i="1" a="1"/>
  <c r="I93" i="1" s="1"/>
  <c r="H93" i="1" a="1"/>
  <c r="H93" i="1" s="1"/>
  <c r="G93" i="1" a="1"/>
  <c r="G93" i="1" s="1"/>
  <c r="F93" i="1" a="1"/>
  <c r="F93" i="1" s="1"/>
  <c r="E93" i="1" a="1"/>
  <c r="E93" i="1" s="1"/>
  <c r="D93" i="1" a="1"/>
  <c r="D93" i="1" s="1"/>
  <c r="A93" i="1" a="1"/>
  <c r="A93" i="1" s="1"/>
  <c r="U92" i="1" a="1"/>
  <c r="U92" i="1" s="1"/>
  <c r="R92" i="1" a="1"/>
  <c r="R92" i="1" s="1"/>
  <c r="Q92" i="1" a="1"/>
  <c r="Q92" i="1" s="1"/>
  <c r="P92" i="1" a="1"/>
  <c r="P92" i="1" s="1"/>
  <c r="O92" i="1" a="1"/>
  <c r="O92" i="1" s="1"/>
  <c r="N92" i="1" a="1"/>
  <c r="N92" i="1" s="1"/>
  <c r="M92" i="1" a="1"/>
  <c r="M92" i="1" s="1"/>
  <c r="L92" i="1" a="1"/>
  <c r="L92" i="1" s="1"/>
  <c r="K92" i="1" a="1"/>
  <c r="K92" i="1" s="1"/>
  <c r="J92" i="1" a="1"/>
  <c r="J92" i="1" s="1"/>
  <c r="I92" i="1" a="1"/>
  <c r="I92" i="1" s="1"/>
  <c r="H92" i="1" a="1"/>
  <c r="H92" i="1" s="1"/>
  <c r="G92" i="1" a="1"/>
  <c r="G92" i="1" s="1"/>
  <c r="F92" i="1" a="1"/>
  <c r="F92" i="1" s="1"/>
  <c r="E92" i="1" a="1"/>
  <c r="E92" i="1" s="1"/>
  <c r="D92" i="1" a="1"/>
  <c r="D92" i="1" s="1"/>
  <c r="A92" i="1" a="1"/>
  <c r="A92" i="1" s="1"/>
  <c r="U82" i="1" a="1"/>
  <c r="U82" i="1" s="1"/>
  <c r="R82" i="1" a="1"/>
  <c r="R82" i="1" s="1"/>
  <c r="Q82" i="1" a="1"/>
  <c r="Q82" i="1" s="1"/>
  <c r="P82" i="1" a="1"/>
  <c r="P82" i="1" s="1"/>
  <c r="O82" i="1" a="1"/>
  <c r="O82" i="1" s="1"/>
  <c r="N82" i="1" a="1"/>
  <c r="N82" i="1" s="1"/>
  <c r="M82" i="1" a="1"/>
  <c r="M82" i="1" s="1"/>
  <c r="L82" i="1" a="1"/>
  <c r="L82" i="1" s="1"/>
  <c r="K82" i="1" a="1"/>
  <c r="K82" i="1" s="1"/>
  <c r="J82" i="1" a="1"/>
  <c r="J82" i="1" s="1"/>
  <c r="I82" i="1" a="1"/>
  <c r="I82" i="1" s="1"/>
  <c r="H82" i="1" a="1"/>
  <c r="H82" i="1" s="1"/>
  <c r="G82" i="1" a="1"/>
  <c r="G82" i="1" s="1"/>
  <c r="F82" i="1" a="1"/>
  <c r="F82" i="1" s="1"/>
  <c r="E82" i="1" a="1"/>
  <c r="E82" i="1" s="1"/>
  <c r="D82" i="1" a="1"/>
  <c r="D82" i="1" s="1"/>
  <c r="A82" i="1" a="1"/>
  <c r="A82" i="1" s="1"/>
  <c r="U90" i="1" a="1"/>
  <c r="U90" i="1" s="1"/>
  <c r="R90" i="1" a="1"/>
  <c r="R90" i="1" s="1"/>
  <c r="Q90" i="1" a="1"/>
  <c r="Q90" i="1" s="1"/>
  <c r="P90" i="1" a="1"/>
  <c r="P90" i="1" s="1"/>
  <c r="O90" i="1" a="1"/>
  <c r="O90" i="1" s="1"/>
  <c r="N90" i="1" a="1"/>
  <c r="N90" i="1" s="1"/>
  <c r="M90" i="1" a="1"/>
  <c r="M90" i="1" s="1"/>
  <c r="L90" i="1" a="1"/>
  <c r="L90" i="1" s="1"/>
  <c r="K90" i="1" a="1"/>
  <c r="K90" i="1" s="1"/>
  <c r="J90" i="1" a="1"/>
  <c r="J90" i="1" s="1"/>
  <c r="I90" i="1" a="1"/>
  <c r="I90" i="1" s="1"/>
  <c r="H90" i="1" a="1"/>
  <c r="H90" i="1" s="1"/>
  <c r="G90" i="1" a="1"/>
  <c r="G90" i="1" s="1"/>
  <c r="F90" i="1" a="1"/>
  <c r="F90" i="1" s="1"/>
  <c r="E90" i="1" a="1"/>
  <c r="E90" i="1" s="1"/>
  <c r="D90" i="1" a="1"/>
  <c r="D90" i="1" s="1"/>
  <c r="A90" i="1" a="1"/>
  <c r="A90" i="1" s="1"/>
  <c r="U88" i="1" a="1"/>
  <c r="U88" i="1" s="1"/>
  <c r="R88" i="1" a="1"/>
  <c r="R88" i="1" s="1"/>
  <c r="Q88" i="1" a="1"/>
  <c r="Q88" i="1" s="1"/>
  <c r="P88" i="1" a="1"/>
  <c r="P88" i="1" s="1"/>
  <c r="O88" i="1" a="1"/>
  <c r="O88" i="1" s="1"/>
  <c r="N88" i="1" a="1"/>
  <c r="N88" i="1" s="1"/>
  <c r="M88" i="1" a="1"/>
  <c r="M88" i="1" s="1"/>
  <c r="L88" i="1" a="1"/>
  <c r="L88" i="1" s="1"/>
  <c r="K88" i="1" a="1"/>
  <c r="K88" i="1" s="1"/>
  <c r="J88" i="1" a="1"/>
  <c r="J88" i="1" s="1"/>
  <c r="I88" i="1" a="1"/>
  <c r="I88" i="1" s="1"/>
  <c r="H88" i="1" a="1"/>
  <c r="H88" i="1" s="1"/>
  <c r="G88" i="1" a="1"/>
  <c r="G88" i="1" s="1"/>
  <c r="F88" i="1" a="1"/>
  <c r="F88" i="1" s="1"/>
  <c r="E88" i="1" a="1"/>
  <c r="E88" i="1" s="1"/>
  <c r="D88" i="1" a="1"/>
  <c r="D88" i="1" s="1"/>
  <c r="A88" i="1" a="1"/>
  <c r="A88" i="1" s="1"/>
  <c r="U87" i="1" a="1"/>
  <c r="U87" i="1" s="1"/>
  <c r="R87" i="1" a="1"/>
  <c r="R87" i="1" s="1"/>
  <c r="Q87" i="1" a="1"/>
  <c r="Q87" i="1" s="1"/>
  <c r="P87" i="1" a="1"/>
  <c r="P87" i="1" s="1"/>
  <c r="O87" i="1" a="1"/>
  <c r="O87" i="1" s="1"/>
  <c r="N87" i="1" a="1"/>
  <c r="N87" i="1" s="1"/>
  <c r="M87" i="1" a="1"/>
  <c r="M87" i="1" s="1"/>
  <c r="L87" i="1" a="1"/>
  <c r="L87" i="1" s="1"/>
  <c r="K87" i="1" a="1"/>
  <c r="K87" i="1" s="1"/>
  <c r="J87" i="1" a="1"/>
  <c r="J87" i="1" s="1"/>
  <c r="I87" i="1" a="1"/>
  <c r="I87" i="1" s="1"/>
  <c r="H87" i="1" a="1"/>
  <c r="H87" i="1" s="1"/>
  <c r="G87" i="1" a="1"/>
  <c r="G87" i="1" s="1"/>
  <c r="F87" i="1" a="1"/>
  <c r="F87" i="1" s="1"/>
  <c r="E87" i="1" a="1"/>
  <c r="E87" i="1" s="1"/>
  <c r="D87" i="1" a="1"/>
  <c r="D87" i="1" s="1"/>
  <c r="A87" i="1" a="1"/>
  <c r="A87" i="1" s="1"/>
  <c r="U84" i="1" a="1"/>
  <c r="U84" i="1" s="1"/>
  <c r="R84" i="1" a="1"/>
  <c r="R84" i="1" s="1"/>
  <c r="Q84" i="1" a="1"/>
  <c r="Q84" i="1" s="1"/>
  <c r="P84" i="1" a="1"/>
  <c r="P84" i="1" s="1"/>
  <c r="O84" i="1" a="1"/>
  <c r="O84" i="1" s="1"/>
  <c r="N84" i="1" a="1"/>
  <c r="N84" i="1" s="1"/>
  <c r="M84" i="1" a="1"/>
  <c r="M84" i="1" s="1"/>
  <c r="L84" i="1" a="1"/>
  <c r="L84" i="1" s="1"/>
  <c r="K84" i="1" a="1"/>
  <c r="K84" i="1" s="1"/>
  <c r="J84" i="1" a="1"/>
  <c r="J84" i="1" s="1"/>
  <c r="I84" i="1" a="1"/>
  <c r="I84" i="1" s="1"/>
  <c r="H84" i="1" a="1"/>
  <c r="H84" i="1" s="1"/>
  <c r="G84" i="1" a="1"/>
  <c r="G84" i="1" s="1"/>
  <c r="F84" i="1" a="1"/>
  <c r="F84" i="1" s="1"/>
  <c r="E84" i="1" a="1"/>
  <c r="E84" i="1" s="1"/>
  <c r="D84" i="1" a="1"/>
  <c r="D84" i="1" s="1"/>
  <c r="A84" i="1" a="1"/>
  <c r="A84" i="1" s="1"/>
  <c r="U83" i="1" a="1"/>
  <c r="U83" i="1" s="1"/>
  <c r="R83" i="1" a="1"/>
  <c r="R83" i="1" s="1"/>
  <c r="Q83" i="1" a="1"/>
  <c r="Q83" i="1" s="1"/>
  <c r="P83" i="1" a="1"/>
  <c r="P83" i="1" s="1"/>
  <c r="O83" i="1" a="1"/>
  <c r="O83" i="1" s="1"/>
  <c r="N83" i="1" a="1"/>
  <c r="N83" i="1" s="1"/>
  <c r="M83" i="1" a="1"/>
  <c r="M83" i="1" s="1"/>
  <c r="L83" i="1" a="1"/>
  <c r="L83" i="1" s="1"/>
  <c r="K83" i="1" a="1"/>
  <c r="K83" i="1" s="1"/>
  <c r="J83" i="1" a="1"/>
  <c r="J83" i="1" s="1"/>
  <c r="I83" i="1" a="1"/>
  <c r="I83" i="1" s="1"/>
  <c r="H83" i="1" a="1"/>
  <c r="H83" i="1" s="1"/>
  <c r="G83" i="1" a="1"/>
  <c r="G83" i="1" s="1"/>
  <c r="F83" i="1" a="1"/>
  <c r="F83" i="1" s="1"/>
  <c r="E83" i="1" a="1"/>
  <c r="E83" i="1" s="1"/>
  <c r="D83" i="1" a="1"/>
  <c r="D83" i="1" s="1"/>
  <c r="A83" i="1" a="1"/>
  <c r="A83" i="1" s="1"/>
  <c r="U81" i="1" a="1"/>
  <c r="U81" i="1" s="1"/>
  <c r="R81" i="1" a="1"/>
  <c r="R81" i="1" s="1"/>
  <c r="Q81" i="1" a="1"/>
  <c r="Q81" i="1" s="1"/>
  <c r="P81" i="1" a="1"/>
  <c r="P81" i="1" s="1"/>
  <c r="O81" i="1" a="1"/>
  <c r="O81" i="1" s="1"/>
  <c r="N81" i="1" a="1"/>
  <c r="N81" i="1" s="1"/>
  <c r="M81" i="1" a="1"/>
  <c r="M81" i="1" s="1"/>
  <c r="L81" i="1" a="1"/>
  <c r="L81" i="1" s="1"/>
  <c r="K81" i="1" a="1"/>
  <c r="K81" i="1" s="1"/>
  <c r="J81" i="1" a="1"/>
  <c r="J81" i="1" s="1"/>
  <c r="I81" i="1" a="1"/>
  <c r="I81" i="1" s="1"/>
  <c r="H81" i="1" a="1"/>
  <c r="H81" i="1" s="1"/>
  <c r="G81" i="1" a="1"/>
  <c r="G81" i="1" s="1"/>
  <c r="F81" i="1" a="1"/>
  <c r="F81" i="1" s="1"/>
  <c r="E81" i="1" a="1"/>
  <c r="E81" i="1" s="1"/>
  <c r="D81" i="1" a="1"/>
  <c r="D81" i="1" s="1"/>
  <c r="A81" i="1" a="1"/>
  <c r="A81" i="1" s="1"/>
  <c r="U79" i="1" a="1"/>
  <c r="U79" i="1" s="1"/>
  <c r="R79" i="1" a="1"/>
  <c r="R79" i="1" s="1"/>
  <c r="Q79" i="1" a="1"/>
  <c r="Q79" i="1" s="1"/>
  <c r="P79" i="1" a="1"/>
  <c r="P79" i="1" s="1"/>
  <c r="O79" i="1" a="1"/>
  <c r="O79" i="1" s="1"/>
  <c r="N79" i="1" a="1"/>
  <c r="N79" i="1" s="1"/>
  <c r="M79" i="1" a="1"/>
  <c r="M79" i="1" s="1"/>
  <c r="L79" i="1" a="1"/>
  <c r="L79" i="1" s="1"/>
  <c r="K79" i="1" a="1"/>
  <c r="K79" i="1" s="1"/>
  <c r="J79" i="1" a="1"/>
  <c r="J79" i="1" s="1"/>
  <c r="I79" i="1" a="1"/>
  <c r="I79" i="1" s="1"/>
  <c r="H79" i="1" a="1"/>
  <c r="H79" i="1" s="1"/>
  <c r="G79" i="1" a="1"/>
  <c r="G79" i="1" s="1"/>
  <c r="F79" i="1" a="1"/>
  <c r="F79" i="1" s="1"/>
  <c r="E79" i="1" a="1"/>
  <c r="E79" i="1" s="1"/>
  <c r="D79" i="1" a="1"/>
  <c r="D79" i="1" s="1"/>
  <c r="A79" i="1" a="1"/>
  <c r="A79" i="1" s="1"/>
  <c r="U77" i="1" a="1"/>
  <c r="U77" i="1" s="1"/>
  <c r="R77" i="1" a="1"/>
  <c r="R77" i="1" s="1"/>
  <c r="Q77" i="1" a="1"/>
  <c r="Q77" i="1" s="1"/>
  <c r="P77" i="1" a="1"/>
  <c r="P77" i="1" s="1"/>
  <c r="O77" i="1" a="1"/>
  <c r="O77" i="1" s="1"/>
  <c r="N77" i="1" a="1"/>
  <c r="N77" i="1" s="1"/>
  <c r="M77" i="1" a="1"/>
  <c r="M77" i="1" s="1"/>
  <c r="L77" i="1" a="1"/>
  <c r="L77" i="1" s="1"/>
  <c r="K77" i="1" a="1"/>
  <c r="K77" i="1" s="1"/>
  <c r="J77" i="1" a="1"/>
  <c r="J77" i="1" s="1"/>
  <c r="I77" i="1" a="1"/>
  <c r="I77" i="1" s="1"/>
  <c r="H77" i="1" a="1"/>
  <c r="H77" i="1" s="1"/>
  <c r="G77" i="1" a="1"/>
  <c r="G77" i="1" s="1"/>
  <c r="F77" i="1" a="1"/>
  <c r="F77" i="1" s="1"/>
  <c r="E77" i="1" a="1"/>
  <c r="E77" i="1" s="1"/>
  <c r="D77" i="1" a="1"/>
  <c r="D77" i="1" s="1"/>
  <c r="A77" i="1" a="1"/>
  <c r="A77" i="1" s="1"/>
  <c r="U91" i="1" a="1"/>
  <c r="U91" i="1" s="1"/>
  <c r="R91" i="1" a="1"/>
  <c r="R91" i="1" s="1"/>
  <c r="Q91" i="1" a="1"/>
  <c r="Q91" i="1" s="1"/>
  <c r="P91" i="1" a="1"/>
  <c r="P91" i="1" s="1"/>
  <c r="O91" i="1" a="1"/>
  <c r="O91" i="1" s="1"/>
  <c r="N91" i="1" a="1"/>
  <c r="N91" i="1" s="1"/>
  <c r="M91" i="1" a="1"/>
  <c r="M91" i="1" s="1"/>
  <c r="L91" i="1" a="1"/>
  <c r="L91" i="1" s="1"/>
  <c r="K91" i="1" a="1"/>
  <c r="K91" i="1" s="1"/>
  <c r="J91" i="1" a="1"/>
  <c r="J91" i="1" s="1"/>
  <c r="I91" i="1" a="1"/>
  <c r="I91" i="1" s="1"/>
  <c r="H91" i="1" a="1"/>
  <c r="H91" i="1" s="1"/>
  <c r="G91" i="1" a="1"/>
  <c r="G91" i="1" s="1"/>
  <c r="F91" i="1" a="1"/>
  <c r="F91" i="1" s="1"/>
  <c r="E91" i="1" a="1"/>
  <c r="E91" i="1" s="1"/>
  <c r="D91" i="1" a="1"/>
  <c r="D91" i="1" s="1"/>
  <c r="A91" i="1" a="1"/>
  <c r="A91" i="1" s="1"/>
  <c r="U74" i="1" a="1"/>
  <c r="U74" i="1" s="1"/>
  <c r="R74" i="1" a="1"/>
  <c r="R74" i="1" s="1"/>
  <c r="Q74" i="1" a="1"/>
  <c r="Q74" i="1" s="1"/>
  <c r="P74" i="1" a="1"/>
  <c r="P74" i="1" s="1"/>
  <c r="O74" i="1" a="1"/>
  <c r="O74" i="1" s="1"/>
  <c r="N74" i="1" a="1"/>
  <c r="N74" i="1" s="1"/>
  <c r="M74" i="1" a="1"/>
  <c r="M74" i="1" s="1"/>
  <c r="L74" i="1" a="1"/>
  <c r="L74" i="1" s="1"/>
  <c r="K74" i="1" a="1"/>
  <c r="K74" i="1" s="1"/>
  <c r="J74" i="1" a="1"/>
  <c r="J74" i="1" s="1"/>
  <c r="I74" i="1" a="1"/>
  <c r="I74" i="1" s="1"/>
  <c r="H74" i="1" a="1"/>
  <c r="H74" i="1" s="1"/>
  <c r="G74" i="1" a="1"/>
  <c r="G74" i="1" s="1"/>
  <c r="F74" i="1" a="1"/>
  <c r="F74" i="1" s="1"/>
  <c r="E74" i="1" a="1"/>
  <c r="E74" i="1" s="1"/>
  <c r="D74" i="1" a="1"/>
  <c r="D74" i="1" s="1"/>
  <c r="A74" i="1" a="1"/>
  <c r="A74" i="1" s="1"/>
  <c r="U76" i="1" a="1"/>
  <c r="U76" i="1" s="1"/>
  <c r="R76" i="1" a="1"/>
  <c r="R76" i="1" s="1"/>
  <c r="Q76" i="1" a="1"/>
  <c r="Q76" i="1" s="1"/>
  <c r="P76" i="1" a="1"/>
  <c r="P76" i="1" s="1"/>
  <c r="O76" i="1" a="1"/>
  <c r="O76" i="1" s="1"/>
  <c r="N76" i="1" a="1"/>
  <c r="N76" i="1" s="1"/>
  <c r="M76" i="1" a="1"/>
  <c r="M76" i="1" s="1"/>
  <c r="L76" i="1" a="1"/>
  <c r="L76" i="1" s="1"/>
  <c r="K76" i="1" a="1"/>
  <c r="K76" i="1" s="1"/>
  <c r="J76" i="1" a="1"/>
  <c r="J76" i="1" s="1"/>
  <c r="I76" i="1" a="1"/>
  <c r="I76" i="1" s="1"/>
  <c r="H76" i="1" a="1"/>
  <c r="H76" i="1" s="1"/>
  <c r="G76" i="1" a="1"/>
  <c r="G76" i="1" s="1"/>
  <c r="F76" i="1" a="1"/>
  <c r="F76" i="1" s="1"/>
  <c r="E76" i="1" a="1"/>
  <c r="E76" i="1" s="1"/>
  <c r="D76" i="1" a="1"/>
  <c r="D76" i="1" s="1"/>
  <c r="A76" i="1" a="1"/>
  <c r="A76" i="1" s="1"/>
  <c r="U78" i="1" a="1"/>
  <c r="U78" i="1" s="1"/>
  <c r="R78" i="1" a="1"/>
  <c r="R78" i="1" s="1"/>
  <c r="Q78" i="1" a="1"/>
  <c r="Q78" i="1" s="1"/>
  <c r="P78" i="1" a="1"/>
  <c r="P78" i="1" s="1"/>
  <c r="O78" i="1" a="1"/>
  <c r="O78" i="1" s="1"/>
  <c r="N78" i="1" a="1"/>
  <c r="N78" i="1" s="1"/>
  <c r="M78" i="1" a="1"/>
  <c r="M78" i="1" s="1"/>
  <c r="L78" i="1" a="1"/>
  <c r="L78" i="1" s="1"/>
  <c r="K78" i="1" a="1"/>
  <c r="K78" i="1" s="1"/>
  <c r="J78" i="1" a="1"/>
  <c r="J78" i="1" s="1"/>
  <c r="I78" i="1" a="1"/>
  <c r="I78" i="1" s="1"/>
  <c r="H78" i="1" a="1"/>
  <c r="H78" i="1" s="1"/>
  <c r="G78" i="1" a="1"/>
  <c r="G78" i="1" s="1"/>
  <c r="F78" i="1" a="1"/>
  <c r="F78" i="1" s="1"/>
  <c r="E78" i="1" a="1"/>
  <c r="E78" i="1" s="1"/>
  <c r="D78" i="1" a="1"/>
  <c r="D78" i="1" s="1"/>
  <c r="A78" i="1" a="1"/>
  <c r="A78" i="1" s="1"/>
  <c r="U75" i="1" a="1"/>
  <c r="U75" i="1" s="1"/>
  <c r="R75" i="1" a="1"/>
  <c r="R75" i="1" s="1"/>
  <c r="Q75" i="1" a="1"/>
  <c r="Q75" i="1" s="1"/>
  <c r="P75" i="1" a="1"/>
  <c r="P75" i="1" s="1"/>
  <c r="O75" i="1" a="1"/>
  <c r="O75" i="1" s="1"/>
  <c r="N75" i="1" a="1"/>
  <c r="N75" i="1" s="1"/>
  <c r="M75" i="1" a="1"/>
  <c r="M75" i="1" s="1"/>
  <c r="L75" i="1" a="1"/>
  <c r="L75" i="1" s="1"/>
  <c r="K75" i="1" a="1"/>
  <c r="K75" i="1" s="1"/>
  <c r="J75" i="1" a="1"/>
  <c r="J75" i="1" s="1"/>
  <c r="I75" i="1" a="1"/>
  <c r="I75" i="1" s="1"/>
  <c r="H75" i="1" a="1"/>
  <c r="H75" i="1" s="1"/>
  <c r="G75" i="1" a="1"/>
  <c r="G75" i="1" s="1"/>
  <c r="F75" i="1" a="1"/>
  <c r="F75" i="1" s="1"/>
  <c r="E75" i="1" a="1"/>
  <c r="E75" i="1" s="1"/>
  <c r="D75" i="1" a="1"/>
  <c r="D75" i="1" s="1"/>
  <c r="A75" i="1" a="1"/>
  <c r="A75" i="1" s="1"/>
  <c r="U68" i="1" a="1"/>
  <c r="U68" i="1" s="1"/>
  <c r="R68" i="1" a="1"/>
  <c r="R68" i="1" s="1"/>
  <c r="Q68" i="1" a="1"/>
  <c r="Q68" i="1" s="1"/>
  <c r="P68" i="1" a="1"/>
  <c r="P68" i="1" s="1"/>
  <c r="O68" i="1" a="1"/>
  <c r="O68" i="1" s="1"/>
  <c r="N68" i="1" a="1"/>
  <c r="N68" i="1" s="1"/>
  <c r="M68" i="1" a="1"/>
  <c r="M68" i="1" s="1"/>
  <c r="L68" i="1" a="1"/>
  <c r="L68" i="1" s="1"/>
  <c r="K68" i="1" a="1"/>
  <c r="K68" i="1" s="1"/>
  <c r="J68" i="1" a="1"/>
  <c r="J68" i="1" s="1"/>
  <c r="I68" i="1" a="1"/>
  <c r="I68" i="1" s="1"/>
  <c r="H68" i="1" a="1"/>
  <c r="H68" i="1" s="1"/>
  <c r="G68" i="1" a="1"/>
  <c r="G68" i="1" s="1"/>
  <c r="F68" i="1" a="1"/>
  <c r="F68" i="1" s="1"/>
  <c r="E68" i="1" a="1"/>
  <c r="E68" i="1" s="1"/>
  <c r="D68" i="1" a="1"/>
  <c r="D68" i="1" s="1"/>
  <c r="A68" i="1" a="1"/>
  <c r="A68" i="1" s="1"/>
  <c r="U85" i="1" a="1"/>
  <c r="U85" i="1" s="1"/>
  <c r="R85" i="1" a="1"/>
  <c r="R85" i="1" s="1"/>
  <c r="Q85" i="1" a="1"/>
  <c r="Q85" i="1" s="1"/>
  <c r="P85" i="1" a="1"/>
  <c r="P85" i="1" s="1"/>
  <c r="O85" i="1" a="1"/>
  <c r="O85" i="1" s="1"/>
  <c r="N85" i="1" a="1"/>
  <c r="N85" i="1" s="1"/>
  <c r="M85" i="1" a="1"/>
  <c r="M85" i="1" s="1"/>
  <c r="L85" i="1" a="1"/>
  <c r="L85" i="1" s="1"/>
  <c r="K85" i="1" a="1"/>
  <c r="K85" i="1" s="1"/>
  <c r="J85" i="1" a="1"/>
  <c r="J85" i="1" s="1"/>
  <c r="I85" i="1" a="1"/>
  <c r="I85" i="1" s="1"/>
  <c r="H85" i="1" a="1"/>
  <c r="H85" i="1" s="1"/>
  <c r="G85" i="1" a="1"/>
  <c r="G85" i="1" s="1"/>
  <c r="F85" i="1" a="1"/>
  <c r="F85" i="1" s="1"/>
  <c r="E85" i="1" a="1"/>
  <c r="E85" i="1" s="1"/>
  <c r="D85" i="1" a="1"/>
  <c r="D85" i="1" s="1"/>
  <c r="A85" i="1" a="1"/>
  <c r="A85" i="1" s="1"/>
  <c r="U89" i="1" a="1"/>
  <c r="U89" i="1" s="1"/>
  <c r="R89" i="1" a="1"/>
  <c r="R89" i="1" s="1"/>
  <c r="Q89" i="1" a="1"/>
  <c r="Q89" i="1" s="1"/>
  <c r="P89" i="1" a="1"/>
  <c r="P89" i="1" s="1"/>
  <c r="O89" i="1" a="1"/>
  <c r="O89" i="1" s="1"/>
  <c r="N89" i="1" a="1"/>
  <c r="N89" i="1" s="1"/>
  <c r="M89" i="1" a="1"/>
  <c r="M89" i="1" s="1"/>
  <c r="L89" i="1" a="1"/>
  <c r="L89" i="1" s="1"/>
  <c r="K89" i="1" a="1"/>
  <c r="K89" i="1" s="1"/>
  <c r="J89" i="1" a="1"/>
  <c r="J89" i="1" s="1"/>
  <c r="I89" i="1" a="1"/>
  <c r="I89" i="1" s="1"/>
  <c r="H89" i="1" a="1"/>
  <c r="H89" i="1" s="1"/>
  <c r="G89" i="1" a="1"/>
  <c r="G89" i="1" s="1"/>
  <c r="F89" i="1" a="1"/>
  <c r="F89" i="1" s="1"/>
  <c r="E89" i="1" a="1"/>
  <c r="E89" i="1" s="1"/>
  <c r="D89" i="1" a="1"/>
  <c r="D89" i="1" s="1"/>
  <c r="A89" i="1" a="1"/>
  <c r="A89" i="1" s="1"/>
  <c r="U80" i="1" a="1"/>
  <c r="U80" i="1" s="1"/>
  <c r="R80" i="1" a="1"/>
  <c r="R80" i="1" s="1"/>
  <c r="Q80" i="1" a="1"/>
  <c r="Q80" i="1" s="1"/>
  <c r="P80" i="1" a="1"/>
  <c r="P80" i="1" s="1"/>
  <c r="O80" i="1" a="1"/>
  <c r="O80" i="1" s="1"/>
  <c r="N80" i="1" a="1"/>
  <c r="N80" i="1" s="1"/>
  <c r="M80" i="1" a="1"/>
  <c r="M80" i="1" s="1"/>
  <c r="L80" i="1" a="1"/>
  <c r="L80" i="1" s="1"/>
  <c r="K80" i="1" a="1"/>
  <c r="K80" i="1" s="1"/>
  <c r="J80" i="1" a="1"/>
  <c r="J80" i="1" s="1"/>
  <c r="I80" i="1" a="1"/>
  <c r="I80" i="1" s="1"/>
  <c r="H80" i="1" a="1"/>
  <c r="H80" i="1" s="1"/>
  <c r="G80" i="1" a="1"/>
  <c r="G80" i="1" s="1"/>
  <c r="F80" i="1" a="1"/>
  <c r="F80" i="1" s="1"/>
  <c r="E80" i="1" a="1"/>
  <c r="E80" i="1" s="1"/>
  <c r="D80" i="1" a="1"/>
  <c r="D80" i="1" s="1"/>
  <c r="A80" i="1" a="1"/>
  <c r="A80" i="1" s="1"/>
  <c r="U70" i="1" a="1"/>
  <c r="U70" i="1" s="1"/>
  <c r="R70" i="1" a="1"/>
  <c r="R70" i="1" s="1"/>
  <c r="Q70" i="1" a="1"/>
  <c r="Q70" i="1" s="1"/>
  <c r="P70" i="1" a="1"/>
  <c r="P70" i="1" s="1"/>
  <c r="O70" i="1" a="1"/>
  <c r="O70" i="1" s="1"/>
  <c r="N70" i="1" a="1"/>
  <c r="N70" i="1" s="1"/>
  <c r="M70" i="1" a="1"/>
  <c r="M70" i="1" s="1"/>
  <c r="L70" i="1" a="1"/>
  <c r="L70" i="1" s="1"/>
  <c r="K70" i="1" a="1"/>
  <c r="K70" i="1" s="1"/>
  <c r="J70" i="1" a="1"/>
  <c r="J70" i="1" s="1"/>
  <c r="I70" i="1" a="1"/>
  <c r="I70" i="1" s="1"/>
  <c r="H70" i="1" a="1"/>
  <c r="H70" i="1" s="1"/>
  <c r="G70" i="1" a="1"/>
  <c r="G70" i="1" s="1"/>
  <c r="F70" i="1" a="1"/>
  <c r="F70" i="1" s="1"/>
  <c r="E70" i="1" a="1"/>
  <c r="E70" i="1" s="1"/>
  <c r="D70" i="1" a="1"/>
  <c r="D70" i="1" s="1"/>
  <c r="A70" i="1" a="1"/>
  <c r="A70" i="1" s="1"/>
  <c r="U73" i="1" a="1"/>
  <c r="U73" i="1" s="1"/>
  <c r="R73" i="1" a="1"/>
  <c r="R73" i="1" s="1"/>
  <c r="Q73" i="1" a="1"/>
  <c r="Q73" i="1" s="1"/>
  <c r="P73" i="1" a="1"/>
  <c r="P73" i="1" s="1"/>
  <c r="O73" i="1" a="1"/>
  <c r="O73" i="1" s="1"/>
  <c r="N73" i="1" a="1"/>
  <c r="N73" i="1" s="1"/>
  <c r="M73" i="1" a="1"/>
  <c r="M73" i="1" s="1"/>
  <c r="L73" i="1" a="1"/>
  <c r="L73" i="1" s="1"/>
  <c r="K73" i="1" a="1"/>
  <c r="K73" i="1" s="1"/>
  <c r="J73" i="1" a="1"/>
  <c r="J73" i="1" s="1"/>
  <c r="I73" i="1" a="1"/>
  <c r="I73" i="1" s="1"/>
  <c r="H73" i="1" a="1"/>
  <c r="H73" i="1" s="1"/>
  <c r="G73" i="1" a="1"/>
  <c r="G73" i="1" s="1"/>
  <c r="F73" i="1" a="1"/>
  <c r="F73" i="1" s="1"/>
  <c r="E73" i="1" a="1"/>
  <c r="E73" i="1" s="1"/>
  <c r="D73" i="1" a="1"/>
  <c r="D73" i="1" s="1"/>
  <c r="A73" i="1" a="1"/>
  <c r="A73" i="1" s="1"/>
  <c r="U71" i="1" a="1"/>
  <c r="U71" i="1" s="1"/>
  <c r="R71" i="1" a="1"/>
  <c r="R71" i="1" s="1"/>
  <c r="Q71" i="1" a="1"/>
  <c r="Q71" i="1" s="1"/>
  <c r="P71" i="1" a="1"/>
  <c r="P71" i="1" s="1"/>
  <c r="O71" i="1" a="1"/>
  <c r="O71" i="1" s="1"/>
  <c r="N71" i="1" a="1"/>
  <c r="N71" i="1" s="1"/>
  <c r="M71" i="1" a="1"/>
  <c r="M71" i="1" s="1"/>
  <c r="L71" i="1" a="1"/>
  <c r="L71" i="1" s="1"/>
  <c r="K71" i="1" a="1"/>
  <c r="K71" i="1" s="1"/>
  <c r="J71" i="1" a="1"/>
  <c r="J71" i="1" s="1"/>
  <c r="I71" i="1" a="1"/>
  <c r="I71" i="1" s="1"/>
  <c r="H71" i="1" a="1"/>
  <c r="H71" i="1" s="1"/>
  <c r="G71" i="1" a="1"/>
  <c r="G71" i="1" s="1"/>
  <c r="F71" i="1" a="1"/>
  <c r="F71" i="1" s="1"/>
  <c r="E71" i="1" a="1"/>
  <c r="E71" i="1" s="1"/>
  <c r="D71" i="1" a="1"/>
  <c r="D71" i="1" s="1"/>
  <c r="A71" i="1" a="1"/>
  <c r="A71" i="1" s="1"/>
  <c r="U66" i="1" a="1"/>
  <c r="U66" i="1" s="1"/>
  <c r="R66" i="1" a="1"/>
  <c r="R66" i="1" s="1"/>
  <c r="Q66" i="1" a="1"/>
  <c r="Q66" i="1" s="1"/>
  <c r="P66" i="1" a="1"/>
  <c r="P66" i="1" s="1"/>
  <c r="O66" i="1" a="1"/>
  <c r="O66" i="1" s="1"/>
  <c r="N66" i="1" a="1"/>
  <c r="N66" i="1" s="1"/>
  <c r="M66" i="1" a="1"/>
  <c r="M66" i="1" s="1"/>
  <c r="L66" i="1" a="1"/>
  <c r="L66" i="1" s="1"/>
  <c r="K66" i="1" a="1"/>
  <c r="K66" i="1" s="1"/>
  <c r="J66" i="1" a="1"/>
  <c r="J66" i="1" s="1"/>
  <c r="I66" i="1" a="1"/>
  <c r="I66" i="1" s="1"/>
  <c r="H66" i="1" a="1"/>
  <c r="H66" i="1" s="1"/>
  <c r="G66" i="1" a="1"/>
  <c r="G66" i="1" s="1"/>
  <c r="F66" i="1" a="1"/>
  <c r="F66" i="1" s="1"/>
  <c r="E66" i="1" a="1"/>
  <c r="E66" i="1" s="1"/>
  <c r="D66" i="1" a="1"/>
  <c r="D66" i="1" s="1"/>
  <c r="A66" i="1" a="1"/>
  <c r="A66" i="1" s="1"/>
  <c r="U67" i="1" a="1"/>
  <c r="U67" i="1" s="1"/>
  <c r="R67" i="1" a="1"/>
  <c r="R67" i="1" s="1"/>
  <c r="Q67" i="1" a="1"/>
  <c r="Q67" i="1" s="1"/>
  <c r="P67" i="1" a="1"/>
  <c r="P67" i="1" s="1"/>
  <c r="O67" i="1" a="1"/>
  <c r="O67" i="1" s="1"/>
  <c r="N67" i="1" a="1"/>
  <c r="N67" i="1" s="1"/>
  <c r="M67" i="1" a="1"/>
  <c r="M67" i="1" s="1"/>
  <c r="L67" i="1" a="1"/>
  <c r="L67" i="1" s="1"/>
  <c r="K67" i="1" a="1"/>
  <c r="K67" i="1" s="1"/>
  <c r="J67" i="1" a="1"/>
  <c r="J67" i="1" s="1"/>
  <c r="I67" i="1" a="1"/>
  <c r="I67" i="1" s="1"/>
  <c r="H67" i="1" a="1"/>
  <c r="H67" i="1" s="1"/>
  <c r="G67" i="1" a="1"/>
  <c r="G67" i="1" s="1"/>
  <c r="F67" i="1" a="1"/>
  <c r="F67" i="1" s="1"/>
  <c r="E67" i="1" a="1"/>
  <c r="E67" i="1" s="1"/>
  <c r="D67" i="1" a="1"/>
  <c r="D67" i="1" s="1"/>
  <c r="A67" i="1" a="1"/>
  <c r="A67" i="1" s="1"/>
  <c r="U69" i="1" a="1"/>
  <c r="U69" i="1" s="1"/>
  <c r="R69" i="1" a="1"/>
  <c r="R69" i="1" s="1"/>
  <c r="Q69" i="1" a="1"/>
  <c r="Q69" i="1" s="1"/>
  <c r="P69" i="1" a="1"/>
  <c r="P69" i="1" s="1"/>
  <c r="O69" i="1" a="1"/>
  <c r="O69" i="1" s="1"/>
  <c r="N69" i="1" a="1"/>
  <c r="N69" i="1" s="1"/>
  <c r="M69" i="1" a="1"/>
  <c r="M69" i="1" s="1"/>
  <c r="L69" i="1" a="1"/>
  <c r="L69" i="1" s="1"/>
  <c r="K69" i="1" a="1"/>
  <c r="K69" i="1" s="1"/>
  <c r="J69" i="1" a="1"/>
  <c r="J69" i="1" s="1"/>
  <c r="I69" i="1" a="1"/>
  <c r="I69" i="1" s="1"/>
  <c r="H69" i="1" a="1"/>
  <c r="H69" i="1" s="1"/>
  <c r="G69" i="1" a="1"/>
  <c r="G69" i="1" s="1"/>
  <c r="F69" i="1" a="1"/>
  <c r="F69" i="1" s="1"/>
  <c r="E69" i="1" a="1"/>
  <c r="E69" i="1" s="1"/>
  <c r="D69" i="1" a="1"/>
  <c r="D69" i="1" s="1"/>
  <c r="A69" i="1" a="1"/>
  <c r="A69" i="1" s="1"/>
  <c r="U72" i="1" a="1"/>
  <c r="U72" i="1" s="1"/>
  <c r="R72" i="1" a="1"/>
  <c r="R72" i="1" s="1"/>
  <c r="Q72" i="1" a="1"/>
  <c r="Q72" i="1" s="1"/>
  <c r="P72" i="1" a="1"/>
  <c r="P72" i="1" s="1"/>
  <c r="O72" i="1" a="1"/>
  <c r="O72" i="1" s="1"/>
  <c r="N72" i="1" a="1"/>
  <c r="N72" i="1" s="1"/>
  <c r="M72" i="1" a="1"/>
  <c r="M72" i="1" s="1"/>
  <c r="L72" i="1" a="1"/>
  <c r="L72" i="1" s="1"/>
  <c r="K72" i="1" a="1"/>
  <c r="K72" i="1" s="1"/>
  <c r="J72" i="1" a="1"/>
  <c r="J72" i="1" s="1"/>
  <c r="I72" i="1" a="1"/>
  <c r="I72" i="1" s="1"/>
  <c r="H72" i="1" a="1"/>
  <c r="H72" i="1" s="1"/>
  <c r="G72" i="1" a="1"/>
  <c r="G72" i="1" s="1"/>
  <c r="F72" i="1" a="1"/>
  <c r="F72" i="1" s="1"/>
  <c r="E72" i="1" a="1"/>
  <c r="E72" i="1" s="1"/>
  <c r="D72" i="1" a="1"/>
  <c r="D72" i="1" s="1"/>
  <c r="A72" i="1" a="1"/>
  <c r="A72" i="1" s="1"/>
  <c r="U64" i="1" a="1"/>
  <c r="U64" i="1" s="1"/>
  <c r="R64" i="1" a="1"/>
  <c r="R64" i="1" s="1"/>
  <c r="Q64" i="1" a="1"/>
  <c r="Q64" i="1" s="1"/>
  <c r="P64" i="1" a="1"/>
  <c r="P64" i="1" s="1"/>
  <c r="O64" i="1" a="1"/>
  <c r="O64" i="1" s="1"/>
  <c r="N64" i="1" a="1"/>
  <c r="N64" i="1" s="1"/>
  <c r="M64" i="1" a="1"/>
  <c r="M64" i="1" s="1"/>
  <c r="L64" i="1" a="1"/>
  <c r="L64" i="1" s="1"/>
  <c r="K64" i="1" a="1"/>
  <c r="K64" i="1" s="1"/>
  <c r="J64" i="1" a="1"/>
  <c r="J64" i="1" s="1"/>
  <c r="I64" i="1" a="1"/>
  <c r="I64" i="1" s="1"/>
  <c r="H64" i="1" a="1"/>
  <c r="H64" i="1" s="1"/>
  <c r="G64" i="1" a="1"/>
  <c r="G64" i="1" s="1"/>
  <c r="F64" i="1" a="1"/>
  <c r="F64" i="1" s="1"/>
  <c r="E64" i="1" a="1"/>
  <c r="E64" i="1" s="1"/>
  <c r="D64" i="1" a="1"/>
  <c r="D64" i="1" s="1"/>
  <c r="A64" i="1" a="1"/>
  <c r="A64" i="1" s="1"/>
  <c r="U65" i="1" a="1"/>
  <c r="U65" i="1" s="1"/>
  <c r="R65" i="1" a="1"/>
  <c r="R65" i="1" s="1"/>
  <c r="Q65" i="1" a="1"/>
  <c r="Q65" i="1" s="1"/>
  <c r="P65" i="1" a="1"/>
  <c r="P65" i="1" s="1"/>
  <c r="O65" i="1" a="1"/>
  <c r="O65" i="1" s="1"/>
  <c r="N65" i="1" a="1"/>
  <c r="N65" i="1" s="1"/>
  <c r="M65" i="1" a="1"/>
  <c r="M65" i="1" s="1"/>
  <c r="L65" i="1" a="1"/>
  <c r="L65" i="1" s="1"/>
  <c r="K65" i="1" a="1"/>
  <c r="K65" i="1" s="1"/>
  <c r="J65" i="1" a="1"/>
  <c r="J65" i="1" s="1"/>
  <c r="I65" i="1" a="1"/>
  <c r="I65" i="1" s="1"/>
  <c r="H65" i="1" a="1"/>
  <c r="H65" i="1" s="1"/>
  <c r="G65" i="1" a="1"/>
  <c r="G65" i="1" s="1"/>
  <c r="F65" i="1" a="1"/>
  <c r="F65" i="1" s="1"/>
  <c r="E65" i="1" a="1"/>
  <c r="E65" i="1" s="1"/>
  <c r="D65" i="1" a="1"/>
  <c r="D65" i="1" s="1"/>
  <c r="A65" i="1" a="1"/>
  <c r="A65" i="1" s="1"/>
  <c r="U61" i="1" a="1"/>
  <c r="U61" i="1" s="1"/>
  <c r="R61" i="1" a="1"/>
  <c r="R61" i="1" s="1"/>
  <c r="Q61" i="1" a="1"/>
  <c r="Q61" i="1" s="1"/>
  <c r="P61" i="1" a="1"/>
  <c r="P61" i="1" s="1"/>
  <c r="O61" i="1" a="1"/>
  <c r="O61" i="1" s="1"/>
  <c r="N61" i="1" a="1"/>
  <c r="N61" i="1" s="1"/>
  <c r="M61" i="1" a="1"/>
  <c r="M61" i="1" s="1"/>
  <c r="L61" i="1" a="1"/>
  <c r="L61" i="1" s="1"/>
  <c r="K61" i="1" a="1"/>
  <c r="K61" i="1" s="1"/>
  <c r="J61" i="1" a="1"/>
  <c r="J61" i="1" s="1"/>
  <c r="I61" i="1" a="1"/>
  <c r="I61" i="1" s="1"/>
  <c r="H61" i="1" a="1"/>
  <c r="H61" i="1" s="1"/>
  <c r="G61" i="1" a="1"/>
  <c r="G61" i="1" s="1"/>
  <c r="F61" i="1" a="1"/>
  <c r="F61" i="1" s="1"/>
  <c r="E61" i="1" a="1"/>
  <c r="E61" i="1" s="1"/>
  <c r="D61" i="1" a="1"/>
  <c r="D61" i="1" s="1"/>
  <c r="A61" i="1" a="1"/>
  <c r="A61" i="1" s="1"/>
  <c r="U63" i="1" a="1"/>
  <c r="U63" i="1" s="1"/>
  <c r="R63" i="1" a="1"/>
  <c r="R63" i="1" s="1"/>
  <c r="Q63" i="1" a="1"/>
  <c r="Q63" i="1" s="1"/>
  <c r="P63" i="1" a="1"/>
  <c r="P63" i="1" s="1"/>
  <c r="O63" i="1" a="1"/>
  <c r="O63" i="1" s="1"/>
  <c r="N63" i="1" a="1"/>
  <c r="N63" i="1" s="1"/>
  <c r="M63" i="1" a="1"/>
  <c r="M63" i="1" s="1"/>
  <c r="L63" i="1" a="1"/>
  <c r="L63" i="1" s="1"/>
  <c r="K63" i="1" a="1"/>
  <c r="K63" i="1" s="1"/>
  <c r="J63" i="1" a="1"/>
  <c r="J63" i="1" s="1"/>
  <c r="I63" i="1" a="1"/>
  <c r="I63" i="1" s="1"/>
  <c r="H63" i="1" a="1"/>
  <c r="H63" i="1" s="1"/>
  <c r="G63" i="1" a="1"/>
  <c r="G63" i="1" s="1"/>
  <c r="F63" i="1" a="1"/>
  <c r="F63" i="1" s="1"/>
  <c r="E63" i="1" a="1"/>
  <c r="E63" i="1" s="1"/>
  <c r="D63" i="1" a="1"/>
  <c r="D63" i="1" s="1"/>
  <c r="A63" i="1" a="1"/>
  <c r="A63" i="1" s="1"/>
  <c r="U59" i="1" a="1"/>
  <c r="U59" i="1" s="1"/>
  <c r="R59" i="1" a="1"/>
  <c r="R59" i="1" s="1"/>
  <c r="Q59" i="1" a="1"/>
  <c r="Q59" i="1" s="1"/>
  <c r="P59" i="1" a="1"/>
  <c r="P59" i="1" s="1"/>
  <c r="O59" i="1" a="1"/>
  <c r="O59" i="1" s="1"/>
  <c r="N59" i="1" a="1"/>
  <c r="N59" i="1" s="1"/>
  <c r="M59" i="1" a="1"/>
  <c r="M59" i="1" s="1"/>
  <c r="L59" i="1" a="1"/>
  <c r="L59" i="1" s="1"/>
  <c r="K59" i="1" a="1"/>
  <c r="K59" i="1" s="1"/>
  <c r="J59" i="1" a="1"/>
  <c r="J59" i="1" s="1"/>
  <c r="I59" i="1" a="1"/>
  <c r="I59" i="1" s="1"/>
  <c r="H59" i="1" a="1"/>
  <c r="H59" i="1" s="1"/>
  <c r="G59" i="1" a="1"/>
  <c r="G59" i="1" s="1"/>
  <c r="F59" i="1" a="1"/>
  <c r="F59" i="1" s="1"/>
  <c r="E59" i="1" a="1"/>
  <c r="E59" i="1" s="1"/>
  <c r="D59" i="1" a="1"/>
  <c r="D59" i="1" s="1"/>
  <c r="A59" i="1" a="1"/>
  <c r="A59" i="1" s="1"/>
  <c r="U58" i="1" a="1"/>
  <c r="U58" i="1" s="1"/>
  <c r="R58" i="1" a="1"/>
  <c r="R58" i="1" s="1"/>
  <c r="Q58" i="1" a="1"/>
  <c r="Q58" i="1" s="1"/>
  <c r="P58" i="1" a="1"/>
  <c r="P58" i="1" s="1"/>
  <c r="O58" i="1" a="1"/>
  <c r="O58" i="1" s="1"/>
  <c r="N58" i="1" a="1"/>
  <c r="N58" i="1" s="1"/>
  <c r="M58" i="1" a="1"/>
  <c r="M58" i="1" s="1"/>
  <c r="L58" i="1" a="1"/>
  <c r="L58" i="1" s="1"/>
  <c r="K58" i="1" a="1"/>
  <c r="K58" i="1" s="1"/>
  <c r="J58" i="1" a="1"/>
  <c r="J58" i="1" s="1"/>
  <c r="I58" i="1" a="1"/>
  <c r="I58" i="1" s="1"/>
  <c r="H58" i="1" a="1"/>
  <c r="H58" i="1" s="1"/>
  <c r="G58" i="1" a="1"/>
  <c r="G58" i="1" s="1"/>
  <c r="F58" i="1" a="1"/>
  <c r="F58" i="1" s="1"/>
  <c r="E58" i="1" a="1"/>
  <c r="E58" i="1" s="1"/>
  <c r="D58" i="1" a="1"/>
  <c r="D58" i="1" s="1"/>
  <c r="U57" i="1" a="1"/>
  <c r="U57" i="1" s="1"/>
  <c r="R57" i="1" a="1"/>
  <c r="R57" i="1" s="1"/>
  <c r="Q57" i="1" a="1"/>
  <c r="Q57" i="1" s="1"/>
  <c r="P57" i="1" a="1"/>
  <c r="P57" i="1" s="1"/>
  <c r="O57" i="1" a="1"/>
  <c r="O57" i="1" s="1"/>
  <c r="N57" i="1" a="1"/>
  <c r="N57" i="1" s="1"/>
  <c r="M57" i="1" a="1"/>
  <c r="M57" i="1" s="1"/>
  <c r="L57" i="1" a="1"/>
  <c r="L57" i="1" s="1"/>
  <c r="K57" i="1" a="1"/>
  <c r="K57" i="1" s="1"/>
  <c r="J57" i="1" a="1"/>
  <c r="J57" i="1" s="1"/>
  <c r="I57" i="1" a="1"/>
  <c r="I57" i="1" s="1"/>
  <c r="H57" i="1" a="1"/>
  <c r="H57" i="1" s="1"/>
  <c r="G57" i="1" a="1"/>
  <c r="G57" i="1" s="1"/>
  <c r="F57" i="1" a="1"/>
  <c r="F57" i="1" s="1"/>
  <c r="E57" i="1" a="1"/>
  <c r="E57" i="1" s="1"/>
  <c r="D57" i="1" a="1"/>
  <c r="D57" i="1" s="1"/>
  <c r="A57" i="1" a="1"/>
  <c r="A57" i="1" s="1"/>
  <c r="U56" i="1" a="1"/>
  <c r="U56" i="1" s="1"/>
  <c r="R56" i="1" a="1"/>
  <c r="R56" i="1" s="1"/>
  <c r="Q56" i="1" a="1"/>
  <c r="Q56" i="1" s="1"/>
  <c r="P56" i="1" a="1"/>
  <c r="P56" i="1" s="1"/>
  <c r="O56" i="1" a="1"/>
  <c r="O56" i="1" s="1"/>
  <c r="N56" i="1" a="1"/>
  <c r="N56" i="1" s="1"/>
  <c r="M56" i="1" a="1"/>
  <c r="M56" i="1" s="1"/>
  <c r="L56" i="1" a="1"/>
  <c r="L56" i="1" s="1"/>
  <c r="K56" i="1" a="1"/>
  <c r="K56" i="1" s="1"/>
  <c r="J56" i="1" a="1"/>
  <c r="J56" i="1" s="1"/>
  <c r="I56" i="1" a="1"/>
  <c r="I56" i="1" s="1"/>
  <c r="H56" i="1" a="1"/>
  <c r="H56" i="1" s="1"/>
  <c r="G56" i="1" a="1"/>
  <c r="G56" i="1" s="1"/>
  <c r="F56" i="1" a="1"/>
  <c r="F56" i="1" s="1"/>
  <c r="E56" i="1" a="1"/>
  <c r="E56" i="1" s="1"/>
  <c r="D56" i="1" a="1"/>
  <c r="D56" i="1" s="1"/>
  <c r="A56" i="1" a="1"/>
  <c r="A56" i="1" s="1"/>
  <c r="U36" i="1" a="1"/>
  <c r="U36" i="1" s="1"/>
  <c r="R36" i="1" a="1"/>
  <c r="R36" i="1" s="1"/>
  <c r="Q36" i="1" a="1"/>
  <c r="Q36" i="1" s="1"/>
  <c r="P36" i="1" a="1"/>
  <c r="P36" i="1" s="1"/>
  <c r="O36" i="1" a="1"/>
  <c r="O36" i="1" s="1"/>
  <c r="N36" i="1" a="1"/>
  <c r="N36" i="1" s="1"/>
  <c r="M36" i="1" a="1"/>
  <c r="M36" i="1" s="1"/>
  <c r="L36" i="1" a="1"/>
  <c r="L36" i="1" s="1"/>
  <c r="K36" i="1" a="1"/>
  <c r="K36" i="1" s="1"/>
  <c r="J36" i="1" a="1"/>
  <c r="J36" i="1" s="1"/>
  <c r="I36" i="1" a="1"/>
  <c r="I36" i="1" s="1"/>
  <c r="H36" i="1" a="1"/>
  <c r="H36" i="1" s="1"/>
  <c r="G36" i="1" a="1"/>
  <c r="G36" i="1" s="1"/>
  <c r="F36" i="1" a="1"/>
  <c r="F36" i="1" s="1"/>
  <c r="E36" i="1" a="1"/>
  <c r="E36" i="1" s="1"/>
  <c r="D36" i="1" a="1"/>
  <c r="D36" i="1" s="1"/>
  <c r="A36" i="1" a="1"/>
  <c r="A36" i="1" s="1"/>
  <c r="U54" i="1" a="1"/>
  <c r="U54" i="1" s="1"/>
  <c r="R54" i="1" a="1"/>
  <c r="R54" i="1" s="1"/>
  <c r="Q54" i="1" a="1"/>
  <c r="Q54" i="1" s="1"/>
  <c r="P54" i="1" a="1"/>
  <c r="P54" i="1" s="1"/>
  <c r="O54" i="1" a="1"/>
  <c r="O54" i="1" s="1"/>
  <c r="N54" i="1" a="1"/>
  <c r="N54" i="1" s="1"/>
  <c r="M54" i="1" a="1"/>
  <c r="M54" i="1" s="1"/>
  <c r="L54" i="1" a="1"/>
  <c r="L54" i="1" s="1"/>
  <c r="K54" i="1" a="1"/>
  <c r="K54" i="1" s="1"/>
  <c r="J54" i="1" a="1"/>
  <c r="J54" i="1" s="1"/>
  <c r="I54" i="1" a="1"/>
  <c r="I54" i="1" s="1"/>
  <c r="H54" i="1" a="1"/>
  <c r="H54" i="1" s="1"/>
  <c r="G54" i="1" a="1"/>
  <c r="G54" i="1" s="1"/>
  <c r="F54" i="1" a="1"/>
  <c r="F54" i="1" s="1"/>
  <c r="E54" i="1" a="1"/>
  <c r="E54" i="1" s="1"/>
  <c r="D54" i="1" a="1"/>
  <c r="D54" i="1" s="1"/>
  <c r="A54" i="1" a="1"/>
  <c r="A54" i="1" s="1"/>
  <c r="U53" i="1" a="1"/>
  <c r="U53" i="1" s="1"/>
  <c r="R53" i="1" a="1"/>
  <c r="R53" i="1" s="1"/>
  <c r="Q53" i="1" a="1"/>
  <c r="Q53" i="1" s="1"/>
  <c r="P53" i="1" a="1"/>
  <c r="P53" i="1" s="1"/>
  <c r="O53" i="1" a="1"/>
  <c r="O53" i="1" s="1"/>
  <c r="N53" i="1" a="1"/>
  <c r="N53" i="1" s="1"/>
  <c r="M53" i="1" a="1"/>
  <c r="M53" i="1" s="1"/>
  <c r="L53" i="1" a="1"/>
  <c r="L53" i="1" s="1"/>
  <c r="K53" i="1" a="1"/>
  <c r="K53" i="1" s="1"/>
  <c r="J53" i="1" a="1"/>
  <c r="J53" i="1" s="1"/>
  <c r="I53" i="1" a="1"/>
  <c r="I53" i="1" s="1"/>
  <c r="H53" i="1" a="1"/>
  <c r="H53" i="1" s="1"/>
  <c r="G53" i="1" a="1"/>
  <c r="G53" i="1" s="1"/>
  <c r="F53" i="1" a="1"/>
  <c r="F53" i="1" s="1"/>
  <c r="E53" i="1" a="1"/>
  <c r="E53" i="1" s="1"/>
  <c r="D53" i="1" a="1"/>
  <c r="D53" i="1" s="1"/>
  <c r="A53" i="1" a="1"/>
  <c r="A53" i="1" s="1"/>
  <c r="U52" i="1" a="1"/>
  <c r="U52" i="1" s="1"/>
  <c r="R52" i="1" a="1"/>
  <c r="R52" i="1" s="1"/>
  <c r="Q52" i="1" a="1"/>
  <c r="Q52" i="1" s="1"/>
  <c r="P52" i="1" a="1"/>
  <c r="P52" i="1" s="1"/>
  <c r="O52" i="1" a="1"/>
  <c r="O52" i="1" s="1"/>
  <c r="N52" i="1" a="1"/>
  <c r="N52" i="1" s="1"/>
  <c r="M52" i="1" a="1"/>
  <c r="M52" i="1" s="1"/>
  <c r="L52" i="1" a="1"/>
  <c r="L52" i="1" s="1"/>
  <c r="K52" i="1" a="1"/>
  <c r="K52" i="1" s="1"/>
  <c r="J52" i="1" a="1"/>
  <c r="J52" i="1" s="1"/>
  <c r="I52" i="1" a="1"/>
  <c r="I52" i="1" s="1"/>
  <c r="H52" i="1" a="1"/>
  <c r="H52" i="1" s="1"/>
  <c r="G52" i="1" a="1"/>
  <c r="G52" i="1" s="1"/>
  <c r="F52" i="1" a="1"/>
  <c r="F52" i="1" s="1"/>
  <c r="E52" i="1" a="1"/>
  <c r="E52" i="1" s="1"/>
  <c r="D52" i="1" a="1"/>
  <c r="D52" i="1" s="1"/>
  <c r="A52" i="1" a="1"/>
  <c r="A52" i="1" s="1"/>
  <c r="U51" i="1" a="1"/>
  <c r="U51" i="1" s="1"/>
  <c r="R51" i="1" a="1"/>
  <c r="R51" i="1" s="1"/>
  <c r="Q51" i="1" a="1"/>
  <c r="Q51" i="1" s="1"/>
  <c r="P51" i="1" a="1"/>
  <c r="P51" i="1" s="1"/>
  <c r="O51" i="1" a="1"/>
  <c r="O51" i="1" s="1"/>
  <c r="N51" i="1" a="1"/>
  <c r="N51" i="1" s="1"/>
  <c r="M51" i="1" a="1"/>
  <c r="M51" i="1" s="1"/>
  <c r="L51" i="1" a="1"/>
  <c r="L51" i="1" s="1"/>
  <c r="K51" i="1" a="1"/>
  <c r="K51" i="1" s="1"/>
  <c r="J51" i="1" a="1"/>
  <c r="J51" i="1" s="1"/>
  <c r="I51" i="1" a="1"/>
  <c r="I51" i="1" s="1"/>
  <c r="H51" i="1" a="1"/>
  <c r="H51" i="1" s="1"/>
  <c r="G51" i="1" a="1"/>
  <c r="G51" i="1" s="1"/>
  <c r="F51" i="1" a="1"/>
  <c r="F51" i="1" s="1"/>
  <c r="E51" i="1" a="1"/>
  <c r="E51" i="1" s="1"/>
  <c r="D51" i="1" a="1"/>
  <c r="D51" i="1" s="1"/>
  <c r="A51" i="1" a="1"/>
  <c r="A51" i="1" s="1"/>
  <c r="U50" i="1" a="1"/>
  <c r="U50" i="1" s="1"/>
  <c r="R50" i="1" a="1"/>
  <c r="R50" i="1" s="1"/>
  <c r="Q50" i="1" a="1"/>
  <c r="Q50" i="1" s="1"/>
  <c r="P50" i="1" a="1"/>
  <c r="P50" i="1" s="1"/>
  <c r="O50" i="1" a="1"/>
  <c r="O50" i="1" s="1"/>
  <c r="N50" i="1" a="1"/>
  <c r="N50" i="1" s="1"/>
  <c r="M50" i="1" a="1"/>
  <c r="M50" i="1" s="1"/>
  <c r="L50" i="1" a="1"/>
  <c r="L50" i="1" s="1"/>
  <c r="K50" i="1" a="1"/>
  <c r="K50" i="1" s="1"/>
  <c r="J50" i="1" a="1"/>
  <c r="J50" i="1" s="1"/>
  <c r="I50" i="1" a="1"/>
  <c r="I50" i="1" s="1"/>
  <c r="H50" i="1" a="1"/>
  <c r="H50" i="1" s="1"/>
  <c r="G50" i="1" a="1"/>
  <c r="G50" i="1" s="1"/>
  <c r="F50" i="1" a="1"/>
  <c r="F50" i="1" s="1"/>
  <c r="E50" i="1" a="1"/>
  <c r="E50" i="1" s="1"/>
  <c r="D50" i="1" a="1"/>
  <c r="D50" i="1" s="1"/>
  <c r="A50" i="1" a="1"/>
  <c r="A50" i="1" s="1"/>
  <c r="U49" i="1" a="1"/>
  <c r="U49" i="1" s="1"/>
  <c r="R49" i="1" a="1"/>
  <c r="R49" i="1" s="1"/>
  <c r="Q49" i="1" a="1"/>
  <c r="Q49" i="1" s="1"/>
  <c r="P49" i="1" a="1"/>
  <c r="P49" i="1" s="1"/>
  <c r="O49" i="1" a="1"/>
  <c r="O49" i="1" s="1"/>
  <c r="N49" i="1" a="1"/>
  <c r="N49" i="1" s="1"/>
  <c r="M49" i="1" a="1"/>
  <c r="M49" i="1" s="1"/>
  <c r="L49" i="1" a="1"/>
  <c r="L49" i="1" s="1"/>
  <c r="K49" i="1" a="1"/>
  <c r="K49" i="1" s="1"/>
  <c r="J49" i="1" a="1"/>
  <c r="J49" i="1" s="1"/>
  <c r="I49" i="1" a="1"/>
  <c r="I49" i="1" s="1"/>
  <c r="H49" i="1" a="1"/>
  <c r="H49" i="1" s="1"/>
  <c r="G49" i="1" a="1"/>
  <c r="G49" i="1" s="1"/>
  <c r="F49" i="1" a="1"/>
  <c r="F49" i="1" s="1"/>
  <c r="E49" i="1" a="1"/>
  <c r="E49" i="1" s="1"/>
  <c r="D49" i="1" a="1"/>
  <c r="D49" i="1" s="1"/>
  <c r="A49" i="1" a="1"/>
  <c r="A49" i="1" s="1"/>
  <c r="U48" i="1" a="1"/>
  <c r="U48" i="1" s="1"/>
  <c r="R48" i="1" a="1"/>
  <c r="R48" i="1" s="1"/>
  <c r="Q48" i="1" a="1"/>
  <c r="Q48" i="1" s="1"/>
  <c r="P48" i="1" a="1"/>
  <c r="P48" i="1" s="1"/>
  <c r="O48" i="1" a="1"/>
  <c r="O48" i="1" s="1"/>
  <c r="N48" i="1" a="1"/>
  <c r="N48" i="1" s="1"/>
  <c r="M48" i="1" a="1"/>
  <c r="M48" i="1" s="1"/>
  <c r="L48" i="1" a="1"/>
  <c r="L48" i="1" s="1"/>
  <c r="K48" i="1" a="1"/>
  <c r="K48" i="1" s="1"/>
  <c r="J48" i="1" a="1"/>
  <c r="J48" i="1" s="1"/>
  <c r="I48" i="1" a="1"/>
  <c r="I48" i="1" s="1"/>
  <c r="H48" i="1" a="1"/>
  <c r="H48" i="1" s="1"/>
  <c r="G48" i="1" a="1"/>
  <c r="G48" i="1" s="1"/>
  <c r="F48" i="1" a="1"/>
  <c r="F48" i="1" s="1"/>
  <c r="E48" i="1" a="1"/>
  <c r="E48" i="1" s="1"/>
  <c r="D48" i="1" a="1"/>
  <c r="D48" i="1" s="1"/>
  <c r="A48" i="1" a="1"/>
  <c r="A48" i="1" s="1"/>
  <c r="U62" i="1" a="1"/>
  <c r="U62" i="1" s="1"/>
  <c r="R62" i="1" a="1"/>
  <c r="R62" i="1" s="1"/>
  <c r="Q62" i="1" a="1"/>
  <c r="Q62" i="1" s="1"/>
  <c r="P62" i="1" a="1"/>
  <c r="P62" i="1" s="1"/>
  <c r="O62" i="1" a="1"/>
  <c r="O62" i="1" s="1"/>
  <c r="N62" i="1" a="1"/>
  <c r="N62" i="1" s="1"/>
  <c r="M62" i="1" a="1"/>
  <c r="M62" i="1" s="1"/>
  <c r="L62" i="1" a="1"/>
  <c r="L62" i="1" s="1"/>
  <c r="K62" i="1" a="1"/>
  <c r="K62" i="1" s="1"/>
  <c r="J62" i="1" a="1"/>
  <c r="J62" i="1" s="1"/>
  <c r="I62" i="1" a="1"/>
  <c r="I62" i="1" s="1"/>
  <c r="H62" i="1" a="1"/>
  <c r="H62" i="1" s="1"/>
  <c r="G62" i="1" a="1"/>
  <c r="G62" i="1" s="1"/>
  <c r="F62" i="1" a="1"/>
  <c r="F62" i="1" s="1"/>
  <c r="E62" i="1" a="1"/>
  <c r="E62" i="1" s="1"/>
  <c r="D62" i="1" a="1"/>
  <c r="D62" i="1" s="1"/>
  <c r="A62" i="1" a="1"/>
  <c r="A62" i="1" s="1"/>
  <c r="U45" i="1" a="1"/>
  <c r="U45" i="1" s="1"/>
  <c r="R45" i="1" a="1"/>
  <c r="R45" i="1" s="1"/>
  <c r="Q45" i="1" a="1"/>
  <c r="Q45" i="1" s="1"/>
  <c r="P45" i="1" a="1"/>
  <c r="P45" i="1" s="1"/>
  <c r="O45" i="1" a="1"/>
  <c r="O45" i="1" s="1"/>
  <c r="N45" i="1" a="1"/>
  <c r="N45" i="1" s="1"/>
  <c r="M45" i="1" a="1"/>
  <c r="M45" i="1" s="1"/>
  <c r="L45" i="1" a="1"/>
  <c r="L45" i="1" s="1"/>
  <c r="K45" i="1" a="1"/>
  <c r="K45" i="1" s="1"/>
  <c r="J45" i="1" a="1"/>
  <c r="J45" i="1" s="1"/>
  <c r="I45" i="1" a="1"/>
  <c r="I45" i="1" s="1"/>
  <c r="H45" i="1" a="1"/>
  <c r="H45" i="1" s="1"/>
  <c r="G45" i="1" a="1"/>
  <c r="G45" i="1" s="1"/>
  <c r="F45" i="1" a="1"/>
  <c r="F45" i="1" s="1"/>
  <c r="E45" i="1" a="1"/>
  <c r="E45" i="1" s="1"/>
  <c r="D45" i="1" a="1"/>
  <c r="D45" i="1" s="1"/>
  <c r="A45" i="1" a="1"/>
  <c r="A45" i="1" s="1"/>
  <c r="U44" i="1" a="1"/>
  <c r="U44" i="1" s="1"/>
  <c r="R44" i="1" a="1"/>
  <c r="R44" i="1" s="1"/>
  <c r="Q44" i="1" a="1"/>
  <c r="Q44" i="1" s="1"/>
  <c r="P44" i="1" a="1"/>
  <c r="P44" i="1" s="1"/>
  <c r="O44" i="1" a="1"/>
  <c r="O44" i="1" s="1"/>
  <c r="N44" i="1" a="1"/>
  <c r="N44" i="1" s="1"/>
  <c r="M44" i="1" a="1"/>
  <c r="M44" i="1" s="1"/>
  <c r="L44" i="1" a="1"/>
  <c r="L44" i="1" s="1"/>
  <c r="K44" i="1" a="1"/>
  <c r="K44" i="1" s="1"/>
  <c r="J44" i="1" a="1"/>
  <c r="J44" i="1" s="1"/>
  <c r="I44" i="1" a="1"/>
  <c r="I44" i="1" s="1"/>
  <c r="H44" i="1" a="1"/>
  <c r="H44" i="1" s="1"/>
  <c r="G44" i="1" a="1"/>
  <c r="G44" i="1" s="1"/>
  <c r="F44" i="1" a="1"/>
  <c r="F44" i="1" s="1"/>
  <c r="E44" i="1" a="1"/>
  <c r="E44" i="1" s="1"/>
  <c r="D44" i="1" a="1"/>
  <c r="D44" i="1" s="1"/>
  <c r="A44" i="1" a="1"/>
  <c r="A44" i="1" s="1"/>
  <c r="U43" i="1" a="1"/>
  <c r="U43" i="1" s="1"/>
  <c r="R43" i="1" a="1"/>
  <c r="R43" i="1" s="1"/>
  <c r="Q43" i="1" a="1"/>
  <c r="Q43" i="1" s="1"/>
  <c r="P43" i="1" a="1"/>
  <c r="P43" i="1" s="1"/>
  <c r="O43" i="1" a="1"/>
  <c r="O43" i="1" s="1"/>
  <c r="N43" i="1" a="1"/>
  <c r="N43" i="1" s="1"/>
  <c r="M43" i="1" a="1"/>
  <c r="M43" i="1" s="1"/>
  <c r="L43" i="1" a="1"/>
  <c r="L43" i="1" s="1"/>
  <c r="K43" i="1" a="1"/>
  <c r="K43" i="1" s="1"/>
  <c r="J43" i="1" a="1"/>
  <c r="J43" i="1" s="1"/>
  <c r="I43" i="1" a="1"/>
  <c r="I43" i="1" s="1"/>
  <c r="H43" i="1" a="1"/>
  <c r="H43" i="1" s="1"/>
  <c r="G43" i="1" a="1"/>
  <c r="G43" i="1" s="1"/>
  <c r="F43" i="1" a="1"/>
  <c r="F43" i="1" s="1"/>
  <c r="E43" i="1" a="1"/>
  <c r="E43" i="1" s="1"/>
  <c r="D43" i="1" a="1"/>
  <c r="D43" i="1" s="1"/>
  <c r="A43" i="1" a="1"/>
  <c r="A43" i="1" s="1"/>
  <c r="U42" i="1" a="1"/>
  <c r="U42" i="1" s="1"/>
  <c r="R42" i="1" a="1"/>
  <c r="R42" i="1" s="1"/>
  <c r="Q42" i="1" a="1"/>
  <c r="Q42" i="1" s="1"/>
  <c r="P42" i="1" a="1"/>
  <c r="P42" i="1" s="1"/>
  <c r="O42" i="1" a="1"/>
  <c r="O42" i="1" s="1"/>
  <c r="N42" i="1" a="1"/>
  <c r="N42" i="1" s="1"/>
  <c r="M42" i="1" a="1"/>
  <c r="M42" i="1" s="1"/>
  <c r="L42" i="1" a="1"/>
  <c r="L42" i="1" s="1"/>
  <c r="K42" i="1" a="1"/>
  <c r="K42" i="1" s="1"/>
  <c r="J42" i="1" a="1"/>
  <c r="J42" i="1" s="1"/>
  <c r="I42" i="1" a="1"/>
  <c r="I42" i="1" s="1"/>
  <c r="H42" i="1" a="1"/>
  <c r="H42" i="1" s="1"/>
  <c r="G42" i="1" a="1"/>
  <c r="G42" i="1" s="1"/>
  <c r="F42" i="1" a="1"/>
  <c r="F42" i="1" s="1"/>
  <c r="E42" i="1" a="1"/>
  <c r="E42" i="1" s="1"/>
  <c r="D42" i="1" a="1"/>
  <c r="D42" i="1" s="1"/>
  <c r="A42" i="1" a="1"/>
  <c r="A42" i="1" s="1"/>
  <c r="U46" i="1" a="1"/>
  <c r="U46" i="1" s="1"/>
  <c r="R46" i="1" a="1"/>
  <c r="R46" i="1" s="1"/>
  <c r="Q46" i="1" a="1"/>
  <c r="Q46" i="1" s="1"/>
  <c r="P46" i="1" a="1"/>
  <c r="P46" i="1" s="1"/>
  <c r="O46" i="1" a="1"/>
  <c r="O46" i="1" s="1"/>
  <c r="N46" i="1" a="1"/>
  <c r="N46" i="1" s="1"/>
  <c r="L46" i="1" a="1"/>
  <c r="L46" i="1" s="1"/>
  <c r="K46" i="1" a="1"/>
  <c r="K46" i="1" s="1"/>
  <c r="J46" i="1" a="1"/>
  <c r="J46" i="1" s="1"/>
  <c r="I46" i="1" a="1"/>
  <c r="I46" i="1" s="1"/>
  <c r="H46" i="1" a="1"/>
  <c r="H46" i="1" s="1"/>
  <c r="G46" i="1" a="1"/>
  <c r="G46" i="1" s="1"/>
  <c r="F46" i="1" a="1"/>
  <c r="F46" i="1" s="1"/>
  <c r="E46" i="1" a="1"/>
  <c r="E46" i="1" s="1"/>
  <c r="D46" i="1" a="1"/>
  <c r="D46" i="1" s="1"/>
  <c r="A46" i="1" a="1"/>
  <c r="A46" i="1" s="1"/>
  <c r="U41" i="1" a="1"/>
  <c r="U41" i="1" s="1"/>
  <c r="R41" i="1" a="1"/>
  <c r="R41" i="1" s="1"/>
  <c r="Q41" i="1" a="1"/>
  <c r="Q41" i="1" s="1"/>
  <c r="P41" i="1" a="1"/>
  <c r="P41" i="1" s="1"/>
  <c r="O41" i="1" a="1"/>
  <c r="O41" i="1" s="1"/>
  <c r="N41" i="1" a="1"/>
  <c r="N41" i="1" s="1"/>
  <c r="M41" i="1" a="1"/>
  <c r="M41" i="1" s="1"/>
  <c r="L41" i="1" a="1"/>
  <c r="L41" i="1" s="1"/>
  <c r="K41" i="1" a="1"/>
  <c r="K41" i="1" s="1"/>
  <c r="J41" i="1" a="1"/>
  <c r="J41" i="1" s="1"/>
  <c r="I41" i="1" a="1"/>
  <c r="I41" i="1" s="1"/>
  <c r="H41" i="1" a="1"/>
  <c r="H41" i="1" s="1"/>
  <c r="G41" i="1" a="1"/>
  <c r="G41" i="1" s="1"/>
  <c r="F41" i="1" a="1"/>
  <c r="F41" i="1" s="1"/>
  <c r="E41" i="1" a="1"/>
  <c r="E41" i="1" s="1"/>
  <c r="D41" i="1" a="1"/>
  <c r="D41" i="1" s="1"/>
  <c r="A41" i="1" a="1"/>
  <c r="A41" i="1" s="1"/>
  <c r="U40" i="1" a="1"/>
  <c r="U40" i="1" s="1"/>
  <c r="R40" i="1" a="1"/>
  <c r="R40" i="1" s="1"/>
  <c r="Q40" i="1" a="1"/>
  <c r="Q40" i="1" s="1"/>
  <c r="P40" i="1" a="1"/>
  <c r="P40" i="1" s="1"/>
  <c r="O40" i="1" a="1"/>
  <c r="O40" i="1" s="1"/>
  <c r="N40" i="1" a="1"/>
  <c r="N40" i="1" s="1"/>
  <c r="M40" i="1" a="1"/>
  <c r="M40" i="1" s="1"/>
  <c r="L40" i="1" a="1"/>
  <c r="L40" i="1" s="1"/>
  <c r="K40" i="1" a="1"/>
  <c r="K40" i="1" s="1"/>
  <c r="J40" i="1" a="1"/>
  <c r="J40" i="1" s="1"/>
  <c r="I40" i="1" a="1"/>
  <c r="I40" i="1" s="1"/>
  <c r="H40" i="1" a="1"/>
  <c r="H40" i="1" s="1"/>
  <c r="G40" i="1" a="1"/>
  <c r="G40" i="1" s="1"/>
  <c r="F40" i="1" a="1"/>
  <c r="F40" i="1" s="1"/>
  <c r="E40" i="1" a="1"/>
  <c r="E40" i="1" s="1"/>
  <c r="D40" i="1" a="1"/>
  <c r="D40" i="1" s="1"/>
  <c r="A40" i="1" a="1"/>
  <c r="A40" i="1" s="1"/>
  <c r="U39" i="1" a="1"/>
  <c r="U39" i="1" s="1"/>
  <c r="R39" i="1" a="1"/>
  <c r="R39" i="1" s="1"/>
  <c r="Q39" i="1" a="1"/>
  <c r="Q39" i="1" s="1"/>
  <c r="P39" i="1" a="1"/>
  <c r="P39" i="1" s="1"/>
  <c r="O39" i="1" a="1"/>
  <c r="O39" i="1" s="1"/>
  <c r="N39" i="1" a="1"/>
  <c r="N39" i="1" s="1"/>
  <c r="M39" i="1" a="1"/>
  <c r="M39" i="1" s="1"/>
  <c r="L39" i="1" a="1"/>
  <c r="L39" i="1" s="1"/>
  <c r="K39" i="1" a="1"/>
  <c r="K39" i="1" s="1"/>
  <c r="J39" i="1" a="1"/>
  <c r="J39" i="1" s="1"/>
  <c r="I39" i="1" a="1"/>
  <c r="I39" i="1" s="1"/>
  <c r="H39" i="1" a="1"/>
  <c r="H39" i="1" s="1"/>
  <c r="G39" i="1" a="1"/>
  <c r="G39" i="1" s="1"/>
  <c r="F39" i="1" a="1"/>
  <c r="F39" i="1" s="1"/>
  <c r="E39" i="1" a="1"/>
  <c r="E39" i="1" s="1"/>
  <c r="D39" i="1" a="1"/>
  <c r="D39" i="1" s="1"/>
  <c r="A39" i="1" a="1"/>
  <c r="A39" i="1" s="1"/>
  <c r="U38" i="1" a="1"/>
  <c r="U38" i="1" s="1"/>
  <c r="R38" i="1" a="1"/>
  <c r="R38" i="1" s="1"/>
  <c r="Q38" i="1" a="1"/>
  <c r="Q38" i="1" s="1"/>
  <c r="P38" i="1" a="1"/>
  <c r="P38" i="1" s="1"/>
  <c r="O38" i="1" a="1"/>
  <c r="O38" i="1" s="1"/>
  <c r="N38" i="1" a="1"/>
  <c r="N38" i="1" s="1"/>
  <c r="M38" i="1" a="1"/>
  <c r="M38" i="1" s="1"/>
  <c r="L38" i="1" a="1"/>
  <c r="L38" i="1" s="1"/>
  <c r="K38" i="1" a="1"/>
  <c r="K38" i="1" s="1"/>
  <c r="J38" i="1" a="1"/>
  <c r="J38" i="1" s="1"/>
  <c r="I38" i="1" a="1"/>
  <c r="I38" i="1" s="1"/>
  <c r="H38" i="1" a="1"/>
  <c r="H38" i="1" s="1"/>
  <c r="G38" i="1" a="1"/>
  <c r="G38" i="1" s="1"/>
  <c r="F38" i="1" a="1"/>
  <c r="F38" i="1" s="1"/>
  <c r="E38" i="1" a="1"/>
  <c r="E38" i="1" s="1"/>
  <c r="D38" i="1" a="1"/>
  <c r="D38" i="1" s="1"/>
  <c r="A38" i="1" a="1"/>
  <c r="A38" i="1" s="1"/>
  <c r="U8" i="1" a="1"/>
  <c r="U8" i="1" s="1"/>
  <c r="R8" i="1" a="1"/>
  <c r="R8" i="1" s="1"/>
  <c r="Q8" i="1" a="1"/>
  <c r="Q8" i="1" s="1"/>
  <c r="P8" i="1" a="1"/>
  <c r="P8" i="1" s="1"/>
  <c r="O8" i="1" a="1"/>
  <c r="O8" i="1" s="1"/>
  <c r="N8" i="1" a="1"/>
  <c r="N8" i="1" s="1"/>
  <c r="M8" i="1" a="1"/>
  <c r="M8" i="1" s="1"/>
  <c r="L8" i="1" a="1"/>
  <c r="L8" i="1" s="1"/>
  <c r="K8" i="1" a="1"/>
  <c r="K8" i="1" s="1"/>
  <c r="J8" i="1" a="1"/>
  <c r="J8" i="1" s="1"/>
  <c r="I8" i="1" a="1"/>
  <c r="I8" i="1" s="1"/>
  <c r="H8" i="1" a="1"/>
  <c r="H8" i="1" s="1"/>
  <c r="G8" i="1" a="1"/>
  <c r="G8" i="1" s="1"/>
  <c r="F8" i="1" a="1"/>
  <c r="F8" i="1" s="1"/>
  <c r="E8" i="1" a="1"/>
  <c r="E8" i="1" s="1"/>
  <c r="D8" i="1" a="1"/>
  <c r="D8" i="1" s="1"/>
  <c r="A8" i="1" a="1"/>
  <c r="A8" i="1" s="1"/>
  <c r="U37" i="1" a="1"/>
  <c r="U37" i="1" s="1"/>
  <c r="R37" i="1" a="1"/>
  <c r="R37" i="1" s="1"/>
  <c r="Q37" i="1" a="1"/>
  <c r="Q37" i="1" s="1"/>
  <c r="P37" i="1" a="1"/>
  <c r="P37" i="1" s="1"/>
  <c r="O37" i="1" a="1"/>
  <c r="O37" i="1" s="1"/>
  <c r="N37" i="1" a="1"/>
  <c r="N37" i="1" s="1"/>
  <c r="M37" i="1" a="1"/>
  <c r="M37" i="1" s="1"/>
  <c r="L37" i="1" a="1"/>
  <c r="L37" i="1" s="1"/>
  <c r="K37" i="1" a="1"/>
  <c r="K37" i="1" s="1"/>
  <c r="J37" i="1" a="1"/>
  <c r="J37" i="1" s="1"/>
  <c r="I37" i="1" a="1"/>
  <c r="I37" i="1" s="1"/>
  <c r="H37" i="1" a="1"/>
  <c r="H37" i="1" s="1"/>
  <c r="G37" i="1" a="1"/>
  <c r="G37" i="1" s="1"/>
  <c r="F37" i="1" a="1"/>
  <c r="F37" i="1" s="1"/>
  <c r="E37" i="1" a="1"/>
  <c r="E37" i="1" s="1"/>
  <c r="D37" i="1" a="1"/>
  <c r="D37" i="1" s="1"/>
  <c r="A37" i="1" a="1"/>
  <c r="A37" i="1" s="1"/>
  <c r="U35" i="1" a="1"/>
  <c r="U35" i="1" s="1"/>
  <c r="R35" i="1" a="1"/>
  <c r="R35" i="1" s="1"/>
  <c r="Q35" i="1" a="1"/>
  <c r="Q35" i="1" s="1"/>
  <c r="P35" i="1" a="1"/>
  <c r="P35" i="1" s="1"/>
  <c r="O35" i="1" a="1"/>
  <c r="O35" i="1" s="1"/>
  <c r="N35" i="1" a="1"/>
  <c r="N35" i="1" s="1"/>
  <c r="M35" i="1" a="1"/>
  <c r="M35" i="1" s="1"/>
  <c r="L35" i="1" a="1"/>
  <c r="L35" i="1" s="1"/>
  <c r="K35" i="1" a="1"/>
  <c r="K35" i="1" s="1"/>
  <c r="J35" i="1" a="1"/>
  <c r="J35" i="1" s="1"/>
  <c r="I35" i="1" a="1"/>
  <c r="I35" i="1" s="1"/>
  <c r="H35" i="1" a="1"/>
  <c r="H35" i="1" s="1"/>
  <c r="G35" i="1" a="1"/>
  <c r="G35" i="1" s="1"/>
  <c r="F35" i="1" a="1"/>
  <c r="F35" i="1" s="1"/>
  <c r="E35" i="1" a="1"/>
  <c r="E35" i="1" s="1"/>
  <c r="D35" i="1" a="1"/>
  <c r="D35" i="1" s="1"/>
  <c r="A35" i="1" a="1"/>
  <c r="A35" i="1" s="1"/>
  <c r="U34" i="1" a="1"/>
  <c r="U34" i="1" s="1"/>
  <c r="R34" i="1" a="1"/>
  <c r="R34" i="1" s="1"/>
  <c r="Q34" i="1" a="1"/>
  <c r="Q34" i="1" s="1"/>
  <c r="P34" i="1" a="1"/>
  <c r="P34" i="1" s="1"/>
  <c r="O34" i="1" a="1"/>
  <c r="O34" i="1" s="1"/>
  <c r="N34" i="1" a="1"/>
  <c r="N34" i="1" s="1"/>
  <c r="M34" i="1" a="1"/>
  <c r="M34" i="1" s="1"/>
  <c r="L34" i="1" a="1"/>
  <c r="L34" i="1" s="1"/>
  <c r="K34" i="1" a="1"/>
  <c r="K34" i="1" s="1"/>
  <c r="J34" i="1" a="1"/>
  <c r="J34" i="1" s="1"/>
  <c r="I34" i="1" a="1"/>
  <c r="I34" i="1" s="1"/>
  <c r="H34" i="1" a="1"/>
  <c r="H34" i="1" s="1"/>
  <c r="G34" i="1" a="1"/>
  <c r="G34" i="1" s="1"/>
  <c r="F34" i="1" a="1"/>
  <c r="F34" i="1" s="1"/>
  <c r="E34" i="1" a="1"/>
  <c r="E34" i="1" s="1"/>
  <c r="D34" i="1" a="1"/>
  <c r="D34" i="1" s="1"/>
  <c r="A34" i="1" a="1"/>
  <c r="A34" i="1" s="1"/>
  <c r="U33" i="1" a="1"/>
  <c r="U33" i="1" s="1"/>
  <c r="R33" i="1" a="1"/>
  <c r="R33" i="1" s="1"/>
  <c r="Q33" i="1" a="1"/>
  <c r="Q33" i="1" s="1"/>
  <c r="P33" i="1" a="1"/>
  <c r="P33" i="1" s="1"/>
  <c r="O33" i="1" a="1"/>
  <c r="O33" i="1" s="1"/>
  <c r="N33" i="1" a="1"/>
  <c r="N33" i="1" s="1"/>
  <c r="M33" i="1" a="1"/>
  <c r="M33" i="1" s="1"/>
  <c r="L33" i="1" a="1"/>
  <c r="L33" i="1" s="1"/>
  <c r="K33" i="1" a="1"/>
  <c r="K33" i="1" s="1"/>
  <c r="J33" i="1" a="1"/>
  <c r="J33" i="1" s="1"/>
  <c r="I33" i="1" a="1"/>
  <c r="I33" i="1" s="1"/>
  <c r="H33" i="1" a="1"/>
  <c r="H33" i="1" s="1"/>
  <c r="G33" i="1" a="1"/>
  <c r="G33" i="1" s="1"/>
  <c r="F33" i="1" a="1"/>
  <c r="F33" i="1" s="1"/>
  <c r="E33" i="1" a="1"/>
  <c r="E33" i="1" s="1"/>
  <c r="D33" i="1" a="1"/>
  <c r="D33" i="1" s="1"/>
  <c r="A33" i="1" a="1"/>
  <c r="A33" i="1" s="1"/>
  <c r="U32" i="1" a="1"/>
  <c r="U32" i="1" s="1"/>
  <c r="R32" i="1" a="1"/>
  <c r="R32" i="1" s="1"/>
  <c r="Q32" i="1" a="1"/>
  <c r="Q32" i="1" s="1"/>
  <c r="P32" i="1" a="1"/>
  <c r="P32" i="1" s="1"/>
  <c r="O32" i="1" a="1"/>
  <c r="O32" i="1" s="1"/>
  <c r="N32" i="1" a="1"/>
  <c r="N32" i="1" s="1"/>
  <c r="M32" i="1" a="1"/>
  <c r="M32" i="1" s="1"/>
  <c r="L32" i="1" a="1"/>
  <c r="L32" i="1" s="1"/>
  <c r="K32" i="1" a="1"/>
  <c r="K32" i="1" s="1"/>
  <c r="J32" i="1" a="1"/>
  <c r="J32" i="1" s="1"/>
  <c r="I32" i="1" a="1"/>
  <c r="I32" i="1" s="1"/>
  <c r="H32" i="1" a="1"/>
  <c r="H32" i="1" s="1"/>
  <c r="G32" i="1" a="1"/>
  <c r="G32" i="1" s="1"/>
  <c r="F32" i="1" a="1"/>
  <c r="F32" i="1" s="1"/>
  <c r="E32" i="1" a="1"/>
  <c r="E32" i="1" s="1"/>
  <c r="D32" i="1" a="1"/>
  <c r="D32" i="1" s="1"/>
  <c r="A32" i="1" a="1"/>
  <c r="A32" i="1" s="1"/>
  <c r="U31" i="1" a="1"/>
  <c r="U31" i="1" s="1"/>
  <c r="R31" i="1" a="1"/>
  <c r="R31" i="1" s="1"/>
  <c r="Q31" i="1" a="1"/>
  <c r="Q31" i="1" s="1"/>
  <c r="P31" i="1" a="1"/>
  <c r="P31" i="1" s="1"/>
  <c r="O31" i="1" a="1"/>
  <c r="O31" i="1" s="1"/>
  <c r="N31" i="1" a="1"/>
  <c r="N31" i="1" s="1"/>
  <c r="M31" i="1" a="1"/>
  <c r="M31" i="1" s="1"/>
  <c r="L31" i="1" a="1"/>
  <c r="L31" i="1" s="1"/>
  <c r="K31" i="1" a="1"/>
  <c r="K31" i="1" s="1"/>
  <c r="J31" i="1" a="1"/>
  <c r="J31" i="1" s="1"/>
  <c r="I31" i="1" a="1"/>
  <c r="I31" i="1" s="1"/>
  <c r="H31" i="1" a="1"/>
  <c r="H31" i="1" s="1"/>
  <c r="G31" i="1" a="1"/>
  <c r="G31" i="1" s="1"/>
  <c r="F31" i="1" a="1"/>
  <c r="F31" i="1" s="1"/>
  <c r="E31" i="1" a="1"/>
  <c r="E31" i="1" s="1"/>
  <c r="D31" i="1" a="1"/>
  <c r="D31" i="1" s="1"/>
  <c r="A31" i="1" a="1"/>
  <c r="A31" i="1" s="1"/>
  <c r="U30" i="1" a="1"/>
  <c r="U30" i="1" s="1"/>
  <c r="R30" i="1" a="1"/>
  <c r="R30" i="1" s="1"/>
  <c r="Q30" i="1" a="1"/>
  <c r="Q30" i="1" s="1"/>
  <c r="P30" i="1" a="1"/>
  <c r="P30" i="1" s="1"/>
  <c r="O30" i="1" a="1"/>
  <c r="O30" i="1" s="1"/>
  <c r="N30" i="1" a="1"/>
  <c r="N30" i="1" s="1"/>
  <c r="M30" i="1" a="1"/>
  <c r="M30" i="1" s="1"/>
  <c r="L30" i="1" a="1"/>
  <c r="L30" i="1" s="1"/>
  <c r="K30" i="1" a="1"/>
  <c r="K30" i="1" s="1"/>
  <c r="J30" i="1" a="1"/>
  <c r="J30" i="1" s="1"/>
  <c r="I30" i="1" a="1"/>
  <c r="I30" i="1" s="1"/>
  <c r="H30" i="1" a="1"/>
  <c r="H30" i="1" s="1"/>
  <c r="G30" i="1" a="1"/>
  <c r="G30" i="1" s="1"/>
  <c r="F30" i="1" a="1"/>
  <c r="F30" i="1" s="1"/>
  <c r="E30" i="1" a="1"/>
  <c r="E30" i="1" s="1"/>
  <c r="D30" i="1" a="1"/>
  <c r="D30" i="1" s="1"/>
  <c r="A30" i="1" a="1"/>
  <c r="A30" i="1" s="1"/>
  <c r="U29" i="1" a="1"/>
  <c r="U29" i="1" s="1"/>
  <c r="R29" i="1" a="1"/>
  <c r="R29" i="1" s="1"/>
  <c r="Q29" i="1" a="1"/>
  <c r="Q29" i="1" s="1"/>
  <c r="P29" i="1" a="1"/>
  <c r="P29" i="1" s="1"/>
  <c r="O29" i="1" a="1"/>
  <c r="O29" i="1" s="1"/>
  <c r="N29" i="1" a="1"/>
  <c r="N29" i="1" s="1"/>
  <c r="M29" i="1" a="1"/>
  <c r="M29" i="1" s="1"/>
  <c r="L29" i="1" a="1"/>
  <c r="L29" i="1" s="1"/>
  <c r="K29" i="1" a="1"/>
  <c r="K29" i="1" s="1"/>
  <c r="J29" i="1" a="1"/>
  <c r="J29" i="1" s="1"/>
  <c r="I29" i="1" a="1"/>
  <c r="I29" i="1" s="1"/>
  <c r="H29" i="1" a="1"/>
  <c r="H29" i="1" s="1"/>
  <c r="G29" i="1" a="1"/>
  <c r="G29" i="1" s="1"/>
  <c r="F29" i="1" a="1"/>
  <c r="F29" i="1" s="1"/>
  <c r="E29" i="1" a="1"/>
  <c r="E29" i="1" s="1"/>
  <c r="D29" i="1" a="1"/>
  <c r="D29" i="1" s="1"/>
  <c r="A29" i="1" a="1"/>
  <c r="A29" i="1" s="1"/>
  <c r="U28" i="1" a="1"/>
  <c r="U28" i="1" s="1"/>
  <c r="R28" i="1" a="1"/>
  <c r="R28" i="1" s="1"/>
  <c r="Q28" i="1" a="1"/>
  <c r="Q28" i="1" s="1"/>
  <c r="P28" i="1" a="1"/>
  <c r="P28" i="1" s="1"/>
  <c r="O28" i="1" a="1"/>
  <c r="O28" i="1" s="1"/>
  <c r="N28" i="1" a="1"/>
  <c r="N28" i="1" s="1"/>
  <c r="M28" i="1" a="1"/>
  <c r="M28" i="1" s="1"/>
  <c r="L28" i="1" a="1"/>
  <c r="L28" i="1" s="1"/>
  <c r="K28" i="1" a="1"/>
  <c r="K28" i="1" s="1"/>
  <c r="J28" i="1" a="1"/>
  <c r="J28" i="1" s="1"/>
  <c r="I28" i="1" a="1"/>
  <c r="I28" i="1" s="1"/>
  <c r="H28" i="1" a="1"/>
  <c r="H28" i="1" s="1"/>
  <c r="G28" i="1" a="1"/>
  <c r="G28" i="1" s="1"/>
  <c r="F28" i="1" a="1"/>
  <c r="F28" i="1" s="1"/>
  <c r="E28" i="1" a="1"/>
  <c r="E28" i="1" s="1"/>
  <c r="D28" i="1" a="1"/>
  <c r="D28" i="1" s="1"/>
  <c r="A28" i="1" a="1"/>
  <c r="A28" i="1" s="1"/>
  <c r="U27" i="1" a="1"/>
  <c r="U27" i="1" s="1"/>
  <c r="R27" i="1" a="1"/>
  <c r="R27" i="1" s="1"/>
  <c r="Q27" i="1" a="1"/>
  <c r="Q27" i="1" s="1"/>
  <c r="P27" i="1" a="1"/>
  <c r="P27" i="1" s="1"/>
  <c r="O27" i="1" a="1"/>
  <c r="O27" i="1" s="1"/>
  <c r="N27" i="1" a="1"/>
  <c r="N27" i="1" s="1"/>
  <c r="M27" i="1" a="1"/>
  <c r="M27" i="1" s="1"/>
  <c r="L27" i="1" a="1"/>
  <c r="L27" i="1" s="1"/>
  <c r="K27" i="1" a="1"/>
  <c r="K27" i="1" s="1"/>
  <c r="J27" i="1" a="1"/>
  <c r="J27" i="1" s="1"/>
  <c r="I27" i="1" a="1"/>
  <c r="I27" i="1" s="1"/>
  <c r="H27" i="1" a="1"/>
  <c r="H27" i="1" s="1"/>
  <c r="G27" i="1" a="1"/>
  <c r="G27" i="1" s="1"/>
  <c r="F27" i="1" a="1"/>
  <c r="F27" i="1" s="1"/>
  <c r="E27" i="1" a="1"/>
  <c r="E27" i="1" s="1"/>
  <c r="D27" i="1" a="1"/>
  <c r="D27" i="1" s="1"/>
  <c r="A27" i="1" a="1"/>
  <c r="A27" i="1" s="1"/>
  <c r="U26" i="1" a="1"/>
  <c r="U26" i="1" s="1"/>
  <c r="R26" i="1" a="1"/>
  <c r="R26" i="1" s="1"/>
  <c r="Q26" i="1" a="1"/>
  <c r="Q26" i="1" s="1"/>
  <c r="P26" i="1" a="1"/>
  <c r="P26" i="1" s="1"/>
  <c r="O26" i="1" a="1"/>
  <c r="O26" i="1" s="1"/>
  <c r="N26" i="1" a="1"/>
  <c r="N26" i="1" s="1"/>
  <c r="M26" i="1" a="1"/>
  <c r="M26" i="1" s="1"/>
  <c r="L26" i="1" a="1"/>
  <c r="L26" i="1" s="1"/>
  <c r="K26" i="1" a="1"/>
  <c r="K26" i="1" s="1"/>
  <c r="J26" i="1" a="1"/>
  <c r="J26" i="1" s="1"/>
  <c r="I26" i="1" a="1"/>
  <c r="I26" i="1" s="1"/>
  <c r="H26" i="1" a="1"/>
  <c r="H26" i="1" s="1"/>
  <c r="G26" i="1" a="1"/>
  <c r="G26" i="1" s="1"/>
  <c r="F26" i="1" a="1"/>
  <c r="F26" i="1" s="1"/>
  <c r="E26" i="1" a="1"/>
  <c r="E26" i="1" s="1"/>
  <c r="D26" i="1" a="1"/>
  <c r="D26" i="1" s="1"/>
  <c r="A26" i="1" a="1"/>
  <c r="A26" i="1" s="1"/>
  <c r="U25" i="1" a="1"/>
  <c r="U25" i="1" s="1"/>
  <c r="R25" i="1" a="1"/>
  <c r="R25" i="1" s="1"/>
  <c r="Q25" i="1" a="1"/>
  <c r="Q25" i="1" s="1"/>
  <c r="P25" i="1" a="1"/>
  <c r="P25" i="1" s="1"/>
  <c r="O25" i="1" a="1"/>
  <c r="O25" i="1" s="1"/>
  <c r="N25" i="1" a="1"/>
  <c r="N25" i="1" s="1"/>
  <c r="M25" i="1" a="1"/>
  <c r="M25" i="1" s="1"/>
  <c r="L25" i="1" a="1"/>
  <c r="L25" i="1" s="1"/>
  <c r="K25" i="1" a="1"/>
  <c r="K25" i="1" s="1"/>
  <c r="J25" i="1" a="1"/>
  <c r="J25" i="1" s="1"/>
  <c r="I25" i="1" a="1"/>
  <c r="I25" i="1" s="1"/>
  <c r="H25" i="1" a="1"/>
  <c r="H25" i="1" s="1"/>
  <c r="G25" i="1" a="1"/>
  <c r="G25" i="1" s="1"/>
  <c r="F25" i="1" a="1"/>
  <c r="F25" i="1" s="1"/>
  <c r="E25" i="1" a="1"/>
  <c r="E25" i="1" s="1"/>
  <c r="D25" i="1" a="1"/>
  <c r="D25" i="1" s="1"/>
  <c r="A25" i="1" a="1"/>
  <c r="A25" i="1" s="1"/>
  <c r="U24" i="1" a="1"/>
  <c r="U24" i="1" s="1"/>
  <c r="R24" i="1" a="1"/>
  <c r="R24" i="1" s="1"/>
  <c r="Q24" i="1" a="1"/>
  <c r="Q24" i="1" s="1"/>
  <c r="P24" i="1" a="1"/>
  <c r="P24" i="1" s="1"/>
  <c r="O24" i="1" a="1"/>
  <c r="O24" i="1" s="1"/>
  <c r="N24" i="1" a="1"/>
  <c r="N24" i="1" s="1"/>
  <c r="M24" i="1" a="1"/>
  <c r="M24" i="1" s="1"/>
  <c r="L24" i="1" a="1"/>
  <c r="L24" i="1" s="1"/>
  <c r="K24" i="1" a="1"/>
  <c r="K24" i="1" s="1"/>
  <c r="J24" i="1" a="1"/>
  <c r="J24" i="1" s="1"/>
  <c r="I24" i="1" a="1"/>
  <c r="I24" i="1" s="1"/>
  <c r="H24" i="1" a="1"/>
  <c r="H24" i="1" s="1"/>
  <c r="G24" i="1" a="1"/>
  <c r="G24" i="1" s="1"/>
  <c r="F24" i="1" a="1"/>
  <c r="F24" i="1" s="1"/>
  <c r="E24" i="1" a="1"/>
  <c r="E24" i="1" s="1"/>
  <c r="D24" i="1" a="1"/>
  <c r="D24" i="1" s="1"/>
  <c r="A24" i="1" a="1"/>
  <c r="A24" i="1" s="1"/>
  <c r="D23" i="1" a="1"/>
  <c r="D23" i="1" s="1"/>
  <c r="U22" i="1" a="1"/>
  <c r="U22" i="1" s="1"/>
  <c r="R22" i="1" a="1"/>
  <c r="R22" i="1" s="1"/>
  <c r="Q22" i="1" a="1"/>
  <c r="Q22" i="1" s="1"/>
  <c r="P22" i="1" a="1"/>
  <c r="P22" i="1" s="1"/>
  <c r="O22" i="1" a="1"/>
  <c r="O22" i="1" s="1"/>
  <c r="N22" i="1" a="1"/>
  <c r="N22" i="1" s="1"/>
  <c r="M22" i="1" a="1"/>
  <c r="M22" i="1" s="1"/>
  <c r="L22" i="1" a="1"/>
  <c r="L22" i="1" s="1"/>
  <c r="K22" i="1" a="1"/>
  <c r="K22" i="1" s="1"/>
  <c r="J22" i="1" a="1"/>
  <c r="J22" i="1" s="1"/>
  <c r="I22" i="1" a="1"/>
  <c r="I22" i="1" s="1"/>
  <c r="H22" i="1" a="1"/>
  <c r="H22" i="1" s="1"/>
  <c r="G22" i="1" a="1"/>
  <c r="G22" i="1" s="1"/>
  <c r="F22" i="1" a="1"/>
  <c r="F22" i="1" s="1"/>
  <c r="E22" i="1" a="1"/>
  <c r="E22" i="1" s="1"/>
  <c r="D22" i="1" a="1"/>
  <c r="D22" i="1" s="1"/>
  <c r="A22" i="1" a="1"/>
  <c r="A22" i="1" s="1"/>
  <c r="U21" i="1" a="1"/>
  <c r="U21" i="1" s="1"/>
  <c r="R21" i="1" a="1"/>
  <c r="R21" i="1" s="1"/>
  <c r="Q21" i="1" a="1"/>
  <c r="Q21" i="1" s="1"/>
  <c r="P21" i="1" a="1"/>
  <c r="P21" i="1" s="1"/>
  <c r="O21" i="1" a="1"/>
  <c r="O21" i="1" s="1"/>
  <c r="N21" i="1" a="1"/>
  <c r="N21" i="1" s="1"/>
  <c r="M21" i="1" a="1"/>
  <c r="M21" i="1" s="1"/>
  <c r="L21" i="1" a="1"/>
  <c r="L21" i="1" s="1"/>
  <c r="K21" i="1" a="1"/>
  <c r="K21" i="1" s="1"/>
  <c r="J21" i="1" a="1"/>
  <c r="J21" i="1" s="1"/>
  <c r="I21" i="1" a="1"/>
  <c r="I21" i="1" s="1"/>
  <c r="H21" i="1" a="1"/>
  <c r="H21" i="1" s="1"/>
  <c r="G21" i="1" a="1"/>
  <c r="G21" i="1" s="1"/>
  <c r="F21" i="1" a="1"/>
  <c r="F21" i="1" s="1"/>
  <c r="E21" i="1" a="1"/>
  <c r="E21" i="1" s="1"/>
  <c r="D21" i="1" a="1"/>
  <c r="D21" i="1" s="1"/>
  <c r="A21" i="1" a="1"/>
  <c r="A21" i="1" s="1"/>
  <c r="U20" i="1" a="1"/>
  <c r="U20" i="1" s="1"/>
  <c r="R20" i="1" a="1"/>
  <c r="R20" i="1" s="1"/>
  <c r="Q20" i="1" a="1"/>
  <c r="Q20" i="1" s="1"/>
  <c r="P20" i="1" a="1"/>
  <c r="P20" i="1" s="1"/>
  <c r="O20" i="1" a="1"/>
  <c r="O20" i="1" s="1"/>
  <c r="N20" i="1" a="1"/>
  <c r="N20" i="1" s="1"/>
  <c r="M20" i="1" a="1"/>
  <c r="M20" i="1" s="1"/>
  <c r="L20" i="1" a="1"/>
  <c r="L20" i="1" s="1"/>
  <c r="K20" i="1" a="1"/>
  <c r="K20" i="1" s="1"/>
  <c r="J20" i="1" a="1"/>
  <c r="J20" i="1" s="1"/>
  <c r="I20" i="1" a="1"/>
  <c r="I20" i="1" s="1"/>
  <c r="H20" i="1" a="1"/>
  <c r="H20" i="1" s="1"/>
  <c r="G20" i="1" a="1"/>
  <c r="G20" i="1" s="1"/>
  <c r="F20" i="1" a="1"/>
  <c r="F20" i="1" s="1"/>
  <c r="E20" i="1" a="1"/>
  <c r="E20" i="1" s="1"/>
  <c r="D20" i="1" a="1"/>
  <c r="D20" i="1" s="1"/>
  <c r="A20" i="1" a="1"/>
  <c r="A20" i="1" s="1"/>
  <c r="U19" i="1" a="1"/>
  <c r="U19" i="1" s="1"/>
  <c r="R19" i="1" a="1"/>
  <c r="R19" i="1" s="1"/>
  <c r="Q19" i="1" a="1"/>
  <c r="Q19" i="1" s="1"/>
  <c r="P19" i="1" a="1"/>
  <c r="P19" i="1" s="1"/>
  <c r="O19" i="1" a="1"/>
  <c r="O19" i="1" s="1"/>
  <c r="N19" i="1" a="1"/>
  <c r="N19" i="1" s="1"/>
  <c r="M19" i="1" a="1"/>
  <c r="M19" i="1" s="1"/>
  <c r="L19" i="1" a="1"/>
  <c r="L19" i="1" s="1"/>
  <c r="K19" i="1" a="1"/>
  <c r="K19" i="1" s="1"/>
  <c r="J19" i="1" a="1"/>
  <c r="J19" i="1" s="1"/>
  <c r="I19" i="1" a="1"/>
  <c r="I19" i="1" s="1"/>
  <c r="H19" i="1" a="1"/>
  <c r="H19" i="1" s="1"/>
  <c r="G19" i="1" a="1"/>
  <c r="G19" i="1" s="1"/>
  <c r="F19" i="1" a="1"/>
  <c r="F19" i="1" s="1"/>
  <c r="E19" i="1" a="1"/>
  <c r="E19" i="1" s="1"/>
  <c r="D19" i="1" a="1"/>
  <c r="D19" i="1" s="1"/>
  <c r="A19" i="1" a="1"/>
  <c r="A19" i="1" s="1"/>
  <c r="U18" i="1" a="1"/>
  <c r="U18" i="1" s="1"/>
  <c r="R18" i="1" a="1"/>
  <c r="R18" i="1" s="1"/>
  <c r="Q18" i="1" a="1"/>
  <c r="Q18" i="1" s="1"/>
  <c r="P18" i="1" a="1"/>
  <c r="P18" i="1" s="1"/>
  <c r="O18" i="1" a="1"/>
  <c r="O18" i="1" s="1"/>
  <c r="N18" i="1" a="1"/>
  <c r="N18" i="1" s="1"/>
  <c r="M18" i="1" a="1"/>
  <c r="M18" i="1" s="1"/>
  <c r="L18" i="1" a="1"/>
  <c r="L18" i="1" s="1"/>
  <c r="K18" i="1" a="1"/>
  <c r="K18" i="1" s="1"/>
  <c r="J18" i="1" a="1"/>
  <c r="J18" i="1" s="1"/>
  <c r="I18" i="1" a="1"/>
  <c r="I18" i="1" s="1"/>
  <c r="H18" i="1" a="1"/>
  <c r="H18" i="1" s="1"/>
  <c r="G18" i="1" a="1"/>
  <c r="G18" i="1" s="1"/>
  <c r="F18" i="1" a="1"/>
  <c r="F18" i="1" s="1"/>
  <c r="E18" i="1" a="1"/>
  <c r="E18" i="1" s="1"/>
  <c r="D18" i="1" a="1"/>
  <c r="D18" i="1" s="1"/>
  <c r="A18" i="1" a="1"/>
  <c r="A18" i="1" s="1"/>
  <c r="U17" i="1" a="1"/>
  <c r="U17" i="1" s="1"/>
  <c r="R17" i="1" a="1"/>
  <c r="R17" i="1" s="1"/>
  <c r="Q17" i="1" a="1"/>
  <c r="Q17" i="1" s="1"/>
  <c r="P17" i="1" a="1"/>
  <c r="P17" i="1" s="1"/>
  <c r="O17" i="1" a="1"/>
  <c r="O17" i="1" s="1"/>
  <c r="N17" i="1" a="1"/>
  <c r="N17" i="1" s="1"/>
  <c r="M17" i="1" a="1"/>
  <c r="M17" i="1" s="1"/>
  <c r="L17" i="1" a="1"/>
  <c r="L17" i="1" s="1"/>
  <c r="K17" i="1" a="1"/>
  <c r="K17" i="1" s="1"/>
  <c r="J17" i="1" a="1"/>
  <c r="J17" i="1" s="1"/>
  <c r="I17" i="1" a="1"/>
  <c r="I17" i="1" s="1"/>
  <c r="H17" i="1" a="1"/>
  <c r="H17" i="1" s="1"/>
  <c r="G17" i="1" a="1"/>
  <c r="G17" i="1" s="1"/>
  <c r="F17" i="1" a="1"/>
  <c r="F17" i="1" s="1"/>
  <c r="E17" i="1" a="1"/>
  <c r="E17" i="1" s="1"/>
  <c r="D17" i="1" a="1"/>
  <c r="D17" i="1" s="1"/>
  <c r="A17" i="1" a="1"/>
  <c r="A17" i="1" s="1"/>
  <c r="U16" i="1" a="1"/>
  <c r="U16" i="1" s="1"/>
  <c r="R16" i="1" a="1"/>
  <c r="R16" i="1" s="1"/>
  <c r="Q16" i="1" a="1"/>
  <c r="Q16" i="1" s="1"/>
  <c r="P16" i="1" a="1"/>
  <c r="P16" i="1" s="1"/>
  <c r="O16" i="1" a="1"/>
  <c r="O16" i="1" s="1"/>
  <c r="N16" i="1" a="1"/>
  <c r="N16" i="1" s="1"/>
  <c r="M16" i="1" a="1"/>
  <c r="M16" i="1" s="1"/>
  <c r="L16" i="1" a="1"/>
  <c r="L16" i="1" s="1"/>
  <c r="K16" i="1" a="1"/>
  <c r="K16" i="1" s="1"/>
  <c r="J16" i="1" a="1"/>
  <c r="J16" i="1" s="1"/>
  <c r="I16" i="1" a="1"/>
  <c r="I16" i="1" s="1"/>
  <c r="H16" i="1" a="1"/>
  <c r="H16" i="1" s="1"/>
  <c r="G16" i="1" a="1"/>
  <c r="G16" i="1" s="1"/>
  <c r="F16" i="1" a="1"/>
  <c r="F16" i="1" s="1"/>
  <c r="E16" i="1" a="1"/>
  <c r="E16" i="1" s="1"/>
  <c r="D16" i="1" a="1"/>
  <c r="D16" i="1" s="1"/>
  <c r="A16" i="1" a="1"/>
  <c r="A16" i="1" s="1"/>
  <c r="U15" i="1" a="1"/>
  <c r="U15" i="1" s="1"/>
  <c r="R15" i="1" a="1"/>
  <c r="R15" i="1" s="1"/>
  <c r="Q15" i="1" a="1"/>
  <c r="Q15" i="1" s="1"/>
  <c r="P15" i="1" a="1"/>
  <c r="P15" i="1" s="1"/>
  <c r="O15" i="1" a="1"/>
  <c r="O15" i="1" s="1"/>
  <c r="N15" i="1" a="1"/>
  <c r="N15" i="1" s="1"/>
  <c r="M15" i="1" a="1"/>
  <c r="M15" i="1" s="1"/>
  <c r="L15" i="1" a="1"/>
  <c r="L15" i="1" s="1"/>
  <c r="K15" i="1" a="1"/>
  <c r="K15" i="1" s="1"/>
  <c r="J15" i="1" a="1"/>
  <c r="J15" i="1" s="1"/>
  <c r="I15" i="1" a="1"/>
  <c r="I15" i="1" s="1"/>
  <c r="H15" i="1" a="1"/>
  <c r="H15" i="1" s="1"/>
  <c r="G15" i="1" a="1"/>
  <c r="G15" i="1" s="1"/>
  <c r="F15" i="1" a="1"/>
  <c r="F15" i="1" s="1"/>
  <c r="E15" i="1" a="1"/>
  <c r="E15" i="1" s="1"/>
  <c r="D15" i="1" a="1"/>
  <c r="D15" i="1" s="1"/>
  <c r="A15" i="1" a="1"/>
  <c r="A15" i="1" s="1"/>
  <c r="U14" i="1" a="1"/>
  <c r="U14" i="1" s="1"/>
  <c r="R14" i="1" a="1"/>
  <c r="R14" i="1" s="1"/>
  <c r="Q14" i="1" a="1"/>
  <c r="Q14" i="1" s="1"/>
  <c r="P14" i="1" a="1"/>
  <c r="P14" i="1" s="1"/>
  <c r="O14" i="1" a="1"/>
  <c r="O14" i="1" s="1"/>
  <c r="N14" i="1" a="1"/>
  <c r="N14" i="1" s="1"/>
  <c r="M14" i="1" a="1"/>
  <c r="M14" i="1" s="1"/>
  <c r="L14" i="1" a="1"/>
  <c r="L14" i="1" s="1"/>
  <c r="K14" i="1" a="1"/>
  <c r="K14" i="1" s="1"/>
  <c r="J14" i="1" a="1"/>
  <c r="J14" i="1" s="1"/>
  <c r="I14" i="1" a="1"/>
  <c r="I14" i="1" s="1"/>
  <c r="H14" i="1" a="1"/>
  <c r="H14" i="1" s="1"/>
  <c r="G14" i="1" a="1"/>
  <c r="G14" i="1" s="1"/>
  <c r="F14" i="1" a="1"/>
  <c r="F14" i="1" s="1"/>
  <c r="E14" i="1" a="1"/>
  <c r="E14" i="1" s="1"/>
  <c r="D14" i="1" a="1"/>
  <c r="D14" i="1" s="1"/>
  <c r="A14" i="1" a="1"/>
  <c r="A14" i="1" s="1"/>
  <c r="U13" i="1" a="1"/>
  <c r="U13" i="1" s="1"/>
  <c r="R13" i="1" a="1"/>
  <c r="R13" i="1" s="1"/>
  <c r="Q13" i="1" a="1"/>
  <c r="Q13" i="1" s="1"/>
  <c r="P13" i="1" a="1"/>
  <c r="P13" i="1" s="1"/>
  <c r="O13" i="1" a="1"/>
  <c r="O13" i="1" s="1"/>
  <c r="N13" i="1" a="1"/>
  <c r="N13" i="1" s="1"/>
  <c r="M13" i="1" a="1"/>
  <c r="M13" i="1" s="1"/>
  <c r="L13" i="1" a="1"/>
  <c r="L13" i="1" s="1"/>
  <c r="K13" i="1" a="1"/>
  <c r="K13" i="1" s="1"/>
  <c r="J13" i="1" a="1"/>
  <c r="J13" i="1" s="1"/>
  <c r="I13" i="1" a="1"/>
  <c r="I13" i="1" s="1"/>
  <c r="H13" i="1" a="1"/>
  <c r="H13" i="1" s="1"/>
  <c r="G13" i="1" a="1"/>
  <c r="G13" i="1" s="1"/>
  <c r="F13" i="1" a="1"/>
  <c r="F13" i="1" s="1"/>
  <c r="E13" i="1" a="1"/>
  <c r="E13" i="1" s="1"/>
  <c r="D13" i="1" a="1"/>
  <c r="D13" i="1" s="1"/>
  <c r="A13" i="1" a="1"/>
  <c r="A13" i="1" s="1"/>
  <c r="U12" i="1" a="1"/>
  <c r="U12" i="1" s="1"/>
  <c r="R12" i="1" a="1"/>
  <c r="R12" i="1" s="1"/>
  <c r="Q12" i="1" a="1"/>
  <c r="Q12" i="1" s="1"/>
  <c r="P12" i="1" a="1"/>
  <c r="P12" i="1" s="1"/>
  <c r="O12" i="1" a="1"/>
  <c r="O12" i="1" s="1"/>
  <c r="N12" i="1" a="1"/>
  <c r="N12" i="1" s="1"/>
  <c r="M12" i="1" a="1"/>
  <c r="M12" i="1" s="1"/>
  <c r="L12" i="1" a="1"/>
  <c r="L12" i="1" s="1"/>
  <c r="K12" i="1" a="1"/>
  <c r="K12" i="1" s="1"/>
  <c r="J12" i="1" a="1"/>
  <c r="J12" i="1" s="1"/>
  <c r="I12" i="1" a="1"/>
  <c r="I12" i="1" s="1"/>
  <c r="H12" i="1" a="1"/>
  <c r="H12" i="1" s="1"/>
  <c r="G12" i="1" a="1"/>
  <c r="G12" i="1" s="1"/>
  <c r="F12" i="1" a="1"/>
  <c r="F12" i="1" s="1"/>
  <c r="E12" i="1" a="1"/>
  <c r="E12" i="1" s="1"/>
  <c r="D12" i="1" a="1"/>
  <c r="D12" i="1" s="1"/>
  <c r="A12" i="1" a="1"/>
  <c r="A12" i="1" s="1"/>
  <c r="U11" i="1" a="1"/>
  <c r="U11" i="1" s="1"/>
  <c r="R11" i="1" a="1"/>
  <c r="R11" i="1" s="1"/>
  <c r="Q11" i="1" a="1"/>
  <c r="Q11" i="1" s="1"/>
  <c r="P11" i="1" a="1"/>
  <c r="P11" i="1" s="1"/>
  <c r="O11" i="1" a="1"/>
  <c r="O11" i="1" s="1"/>
  <c r="N11" i="1" a="1"/>
  <c r="N11" i="1" s="1"/>
  <c r="M11" i="1" a="1"/>
  <c r="M11" i="1" s="1"/>
  <c r="L11" i="1" a="1"/>
  <c r="L11" i="1" s="1"/>
  <c r="K11" i="1" a="1"/>
  <c r="K11" i="1" s="1"/>
  <c r="J11" i="1" a="1"/>
  <c r="J11" i="1" s="1"/>
  <c r="I11" i="1" a="1"/>
  <c r="I11" i="1" s="1"/>
  <c r="H11" i="1" a="1"/>
  <c r="H11" i="1" s="1"/>
  <c r="G11" i="1" a="1"/>
  <c r="G11" i="1" s="1"/>
  <c r="F11" i="1" a="1"/>
  <c r="F11" i="1" s="1"/>
  <c r="E11" i="1" a="1"/>
  <c r="E11" i="1" s="1"/>
  <c r="D11" i="1" a="1"/>
  <c r="D11" i="1" s="1"/>
  <c r="A11" i="1" a="1"/>
  <c r="A11" i="1" s="1"/>
  <c r="U7" i="1" a="1"/>
  <c r="U7" i="1" s="1"/>
  <c r="R7" i="1" a="1"/>
  <c r="R7" i="1" s="1"/>
  <c r="Q7" i="1" a="1"/>
  <c r="Q7" i="1" s="1"/>
  <c r="P7" i="1" a="1"/>
  <c r="P7" i="1" s="1"/>
  <c r="O7" i="1" a="1"/>
  <c r="O7" i="1" s="1"/>
  <c r="N7" i="1" a="1"/>
  <c r="N7" i="1" s="1"/>
  <c r="M7" i="1" a="1"/>
  <c r="M7" i="1" s="1"/>
  <c r="L7" i="1" a="1"/>
  <c r="L7" i="1" s="1"/>
  <c r="K7" i="1" a="1"/>
  <c r="K7" i="1" s="1"/>
  <c r="J7" i="1" a="1"/>
  <c r="J7" i="1" s="1"/>
  <c r="I7" i="1" a="1"/>
  <c r="I7" i="1" s="1"/>
  <c r="H7" i="1" a="1"/>
  <c r="H7" i="1" s="1"/>
  <c r="G7" i="1" a="1"/>
  <c r="G7" i="1" s="1"/>
  <c r="F7" i="1" a="1"/>
  <c r="F7" i="1" s="1"/>
  <c r="E7" i="1" a="1"/>
  <c r="E7" i="1" s="1"/>
  <c r="D7" i="1" a="1"/>
  <c r="D7" i="1" s="1"/>
  <c r="A7" i="1" a="1"/>
  <c r="A7" i="1" s="1"/>
  <c r="U6" i="1" a="1"/>
  <c r="U6" i="1" s="1"/>
  <c r="R6" i="1" a="1"/>
  <c r="R6" i="1" s="1"/>
  <c r="Q6" i="1" a="1"/>
  <c r="Q6" i="1" s="1"/>
  <c r="P6" i="1" a="1"/>
  <c r="P6" i="1" s="1"/>
  <c r="O6" i="1" a="1"/>
  <c r="O6" i="1" s="1"/>
  <c r="N6" i="1" a="1"/>
  <c r="N6" i="1" s="1"/>
  <c r="M6" i="1" a="1"/>
  <c r="M6" i="1" s="1"/>
  <c r="L6" i="1" a="1"/>
  <c r="L6" i="1" s="1"/>
  <c r="K6" i="1" a="1"/>
  <c r="K6" i="1" s="1"/>
  <c r="J6" i="1" a="1"/>
  <c r="J6" i="1" s="1"/>
  <c r="I6" i="1" a="1"/>
  <c r="I6" i="1" s="1"/>
  <c r="H6" i="1" a="1"/>
  <c r="H6" i="1" s="1"/>
  <c r="G6" i="1" a="1"/>
  <c r="G6" i="1" s="1"/>
  <c r="F6" i="1" a="1"/>
  <c r="F6" i="1" s="1"/>
  <c r="E6" i="1" a="1"/>
  <c r="E6" i="1" s="1"/>
  <c r="D6" i="1" a="1"/>
  <c r="D6" i="1" s="1"/>
  <c r="A6" i="1" a="1"/>
  <c r="A6" i="1" s="1"/>
  <c r="U5" i="1" a="1"/>
  <c r="U5" i="1" s="1"/>
  <c r="R5" i="1" a="1"/>
  <c r="R5" i="1" s="1"/>
  <c r="Q5" i="1" a="1"/>
  <c r="Q5" i="1" s="1"/>
  <c r="P5" i="1" a="1"/>
  <c r="P5" i="1" s="1"/>
  <c r="O5" i="1" a="1"/>
  <c r="O5" i="1" s="1"/>
  <c r="N5" i="1" a="1"/>
  <c r="N5" i="1" s="1"/>
  <c r="M5" i="1" a="1"/>
  <c r="M5" i="1" s="1"/>
  <c r="L5" i="1" a="1"/>
  <c r="L5" i="1" s="1"/>
  <c r="K5" i="1" a="1"/>
  <c r="K5" i="1" s="1"/>
  <c r="J5" i="1" a="1"/>
  <c r="J5" i="1" s="1"/>
  <c r="I5" i="1" a="1"/>
  <c r="I5" i="1" s="1"/>
  <c r="H5" i="1" a="1"/>
  <c r="H5" i="1" s="1"/>
  <c r="G5" i="1" a="1"/>
  <c r="G5" i="1" s="1"/>
  <c r="F5" i="1" a="1"/>
  <c r="F5" i="1" s="1"/>
  <c r="E5" i="1" a="1"/>
  <c r="E5" i="1" s="1"/>
  <c r="D5" i="1" a="1"/>
  <c r="D5" i="1" s="1"/>
  <c r="A5" i="1" a="1"/>
  <c r="A5" i="1" s="1"/>
  <c r="U4" i="1" a="1"/>
  <c r="U4" i="1" s="1"/>
  <c r="R4" i="1" a="1"/>
  <c r="R4" i="1" s="1"/>
  <c r="Q4" i="1" a="1"/>
  <c r="Q4" i="1" s="1"/>
  <c r="P4" i="1" a="1"/>
  <c r="P4" i="1" s="1"/>
  <c r="O4" i="1" a="1"/>
  <c r="O4" i="1" s="1"/>
  <c r="N4" i="1" a="1"/>
  <c r="N4" i="1" s="1"/>
  <c r="M4" i="1" a="1"/>
  <c r="M4" i="1" s="1"/>
  <c r="L4" i="1" a="1"/>
  <c r="L4" i="1" s="1"/>
  <c r="K4" i="1" a="1"/>
  <c r="K4" i="1" s="1"/>
  <c r="J4" i="1" a="1"/>
  <c r="J4" i="1" s="1"/>
  <c r="I4" i="1" a="1"/>
  <c r="I4" i="1" s="1"/>
  <c r="H4" i="1" a="1"/>
  <c r="H4" i="1" s="1"/>
  <c r="G4" i="1" a="1"/>
  <c r="G4" i="1" s="1"/>
  <c r="F4" i="1" a="1"/>
  <c r="F4" i="1" s="1"/>
  <c r="E4" i="1" a="1"/>
  <c r="E4" i="1" s="1"/>
  <c r="D4" i="1" a="1"/>
  <c r="D4" i="1" s="1"/>
  <c r="U3" i="1" a="1"/>
  <c r="U3" i="1" s="1"/>
  <c r="R3" i="1" a="1"/>
  <c r="R3" i="1" s="1"/>
  <c r="Q3" i="1" a="1"/>
  <c r="Q3" i="1" s="1"/>
  <c r="P3" i="1" a="1"/>
  <c r="P3" i="1" s="1"/>
  <c r="O3" i="1" a="1"/>
  <c r="O3" i="1" s="1"/>
  <c r="N3" i="1" a="1"/>
  <c r="N3" i="1" s="1"/>
  <c r="M3" i="1" a="1"/>
  <c r="M3" i="1" s="1"/>
  <c r="L3" i="1" a="1"/>
  <c r="L3" i="1" s="1"/>
  <c r="J3" i="1" a="1"/>
  <c r="J3" i="1" s="1"/>
  <c r="I3" i="1" a="1"/>
  <c r="I3" i="1" s="1"/>
  <c r="H3" i="1" a="1"/>
  <c r="H3" i="1" s="1"/>
  <c r="G3" i="1" a="1"/>
  <c r="G3" i="1" s="1"/>
  <c r="F3" i="1" a="1"/>
  <c r="F3" i="1" s="1"/>
  <c r="E3" i="1" a="1"/>
  <c r="E3" i="1" s="1"/>
  <c r="D3" i="1" a="1"/>
  <c r="D3" i="1" s="1"/>
  <c r="F1" i="1"/>
  <c r="X20" i="1" l="1"/>
  <c r="Z20" i="1"/>
  <c r="Y20" i="1"/>
  <c r="AA20" i="1"/>
  <c r="Y28" i="1"/>
  <c r="AA28" i="1"/>
  <c r="X28" i="1"/>
  <c r="Z28" i="1"/>
  <c r="Z40" i="1"/>
  <c r="AA40" i="1"/>
  <c r="X40" i="1"/>
  <c r="Y40" i="1"/>
  <c r="Z44" i="1"/>
  <c r="X44" i="1"/>
  <c r="Y44" i="1"/>
  <c r="AA44" i="1"/>
  <c r="Z57" i="1"/>
  <c r="AA57" i="1"/>
  <c r="X57" i="1"/>
  <c r="Y57" i="1"/>
  <c r="X65" i="1"/>
  <c r="AA65" i="1"/>
  <c r="Y65" i="1"/>
  <c r="Z65" i="1"/>
  <c r="Y68" i="1"/>
  <c r="Z68" i="1"/>
  <c r="AA68" i="1"/>
  <c r="X68" i="1"/>
  <c r="Y88" i="1"/>
  <c r="X88" i="1"/>
  <c r="Z88" i="1"/>
  <c r="AA88" i="1"/>
  <c r="Z15" i="1"/>
  <c r="AA15" i="1"/>
  <c r="X15" i="1"/>
  <c r="Y15" i="1"/>
  <c r="X5" i="1"/>
  <c r="Y5" i="1"/>
  <c r="Z5" i="1"/>
  <c r="AA5" i="1"/>
  <c r="Z33" i="1"/>
  <c r="AA33" i="1"/>
  <c r="X33" i="1"/>
  <c r="Y33" i="1"/>
  <c r="Y50" i="1"/>
  <c r="AA50" i="1"/>
  <c r="X50" i="1"/>
  <c r="Z50" i="1"/>
  <c r="Z66" i="1"/>
  <c r="AA66" i="1"/>
  <c r="X66" i="1"/>
  <c r="Y66" i="1"/>
  <c r="Z91" i="1"/>
  <c r="AA91" i="1"/>
  <c r="X91" i="1"/>
  <c r="Y91" i="1"/>
  <c r="Z18" i="1"/>
  <c r="AA18" i="1"/>
  <c r="X18" i="1"/>
  <c r="Y18" i="1"/>
  <c r="X26" i="1"/>
  <c r="Y26" i="1"/>
  <c r="Z26" i="1"/>
  <c r="AA26" i="1"/>
  <c r="Y38" i="1"/>
  <c r="AA38" i="1"/>
  <c r="X38" i="1"/>
  <c r="Z38" i="1"/>
  <c r="Z42" i="1"/>
  <c r="AA42" i="1"/>
  <c r="X42" i="1"/>
  <c r="Y42" i="1"/>
  <c r="Z36" i="1"/>
  <c r="AA36" i="1"/>
  <c r="X36" i="1"/>
  <c r="Y36" i="1"/>
  <c r="Z63" i="1"/>
  <c r="AA63" i="1"/>
  <c r="X63" i="1"/>
  <c r="Y63" i="1"/>
  <c r="X89" i="1"/>
  <c r="AA89" i="1"/>
  <c r="Z89" i="1"/>
  <c r="Y89" i="1"/>
  <c r="Z84" i="1"/>
  <c r="AA84" i="1"/>
  <c r="X84" i="1"/>
  <c r="Y84" i="1"/>
  <c r="Y13" i="1"/>
  <c r="Z13" i="1"/>
  <c r="X13" i="1"/>
  <c r="AA13" i="1"/>
  <c r="Z31" i="1"/>
  <c r="X31" i="1"/>
  <c r="Y31" i="1"/>
  <c r="AA31" i="1"/>
  <c r="Z48" i="1"/>
  <c r="AA48" i="1"/>
  <c r="X48" i="1"/>
  <c r="Y48" i="1"/>
  <c r="Z69" i="1"/>
  <c r="AA69" i="1"/>
  <c r="X69" i="1"/>
  <c r="Y69" i="1"/>
  <c r="X76" i="1"/>
  <c r="Y76" i="1"/>
  <c r="AA76" i="1"/>
  <c r="Z76" i="1"/>
  <c r="X92" i="1"/>
  <c r="Y92" i="1"/>
  <c r="AA92" i="1"/>
  <c r="Z92" i="1"/>
  <c r="Z11" i="1"/>
  <c r="X11" i="1"/>
  <c r="Y11" i="1"/>
  <c r="AA11" i="1"/>
  <c r="Z16" i="1"/>
  <c r="Y16" i="1"/>
  <c r="X16" i="1"/>
  <c r="AA16" i="1"/>
  <c r="Z24" i="1"/>
  <c r="AA24" i="1"/>
  <c r="X24" i="1"/>
  <c r="Y24" i="1"/>
  <c r="Y37" i="1"/>
  <c r="AA37" i="1"/>
  <c r="X37" i="1"/>
  <c r="Z37" i="1"/>
  <c r="X53" i="1"/>
  <c r="Z53" i="1"/>
  <c r="Y53" i="1"/>
  <c r="AA53" i="1"/>
  <c r="Z70" i="1"/>
  <c r="Y70" i="1"/>
  <c r="X70" i="1"/>
  <c r="AA70" i="1"/>
  <c r="Z81" i="1"/>
  <c r="AA81" i="1"/>
  <c r="X81" i="1"/>
  <c r="Y81" i="1"/>
  <c r="Z6" i="1"/>
  <c r="AA6" i="1"/>
  <c r="X6" i="1"/>
  <c r="Y6" i="1"/>
  <c r="Z21" i="1"/>
  <c r="AA21" i="1"/>
  <c r="X21" i="1"/>
  <c r="Y21" i="1"/>
  <c r="Z29" i="1"/>
  <c r="Y29" i="1"/>
  <c r="AA29" i="1"/>
  <c r="X29" i="1"/>
  <c r="X41" i="1"/>
  <c r="Z41" i="1"/>
  <c r="Y41" i="1"/>
  <c r="AA41" i="1"/>
  <c r="Z45" i="1"/>
  <c r="AA45" i="1"/>
  <c r="X45" i="1"/>
  <c r="Y45" i="1"/>
  <c r="Y64" i="1"/>
  <c r="X64" i="1"/>
  <c r="Z64" i="1"/>
  <c r="AA64" i="1"/>
  <c r="Z75" i="1"/>
  <c r="AA75" i="1"/>
  <c r="X75" i="1"/>
  <c r="Y75" i="1"/>
  <c r="Z90" i="1"/>
  <c r="AA90" i="1"/>
  <c r="X90" i="1"/>
  <c r="Y90" i="1"/>
  <c r="X86" i="1"/>
  <c r="Y86" i="1"/>
  <c r="Z86" i="1"/>
  <c r="AA86" i="1"/>
  <c r="X14" i="1"/>
  <c r="Y14" i="1"/>
  <c r="AA14" i="1"/>
  <c r="Z14" i="1"/>
  <c r="Z34" i="1"/>
  <c r="Y34" i="1"/>
  <c r="X34" i="1"/>
  <c r="AA34" i="1"/>
  <c r="Z51" i="1"/>
  <c r="AA51" i="1"/>
  <c r="X51" i="1"/>
  <c r="Y51" i="1"/>
  <c r="Y71" i="1"/>
  <c r="Z71" i="1"/>
  <c r="X71" i="1"/>
  <c r="AA71" i="1"/>
  <c r="Y77" i="1"/>
  <c r="Z77" i="1"/>
  <c r="X77" i="1"/>
  <c r="AA77" i="1"/>
  <c r="AA19" i="1"/>
  <c r="Y19" i="1"/>
  <c r="X19" i="1"/>
  <c r="Z19" i="1"/>
  <c r="Z27" i="1"/>
  <c r="AA27" i="1"/>
  <c r="X27" i="1"/>
  <c r="Y27" i="1"/>
  <c r="Z39" i="1"/>
  <c r="AA39" i="1"/>
  <c r="X39" i="1"/>
  <c r="Y39" i="1"/>
  <c r="Y43" i="1"/>
  <c r="Z43" i="1"/>
  <c r="X43" i="1"/>
  <c r="AA43" i="1"/>
  <c r="Z56" i="1"/>
  <c r="AA56" i="1"/>
  <c r="X56" i="1"/>
  <c r="Y56" i="1"/>
  <c r="Z61" i="1"/>
  <c r="AA61" i="1"/>
  <c r="Y61" i="1"/>
  <c r="X61" i="1"/>
  <c r="AA85" i="1"/>
  <c r="X85" i="1"/>
  <c r="Y85" i="1"/>
  <c r="Z85" i="1"/>
  <c r="Z87" i="1"/>
  <c r="AA87" i="1"/>
  <c r="X87" i="1"/>
  <c r="Y87" i="1"/>
  <c r="Z12" i="1"/>
  <c r="AA12" i="1"/>
  <c r="X12" i="1"/>
  <c r="Y12" i="1"/>
  <c r="X32" i="1"/>
  <c r="Y32" i="1"/>
  <c r="Z32" i="1"/>
  <c r="AA32" i="1"/>
  <c r="Z49" i="1"/>
  <c r="AA49" i="1"/>
  <c r="X49" i="1"/>
  <c r="Y49" i="1"/>
  <c r="Z67" i="1"/>
  <c r="AA67" i="1"/>
  <c r="X67" i="1"/>
  <c r="Y67" i="1"/>
  <c r="Z74" i="1"/>
  <c r="X74" i="1"/>
  <c r="AA74" i="1"/>
  <c r="Y74" i="1"/>
  <c r="Z93" i="1"/>
  <c r="AA93" i="1"/>
  <c r="X93" i="1"/>
  <c r="Y93" i="1"/>
  <c r="X17" i="1"/>
  <c r="Z17" i="1"/>
  <c r="Y17" i="1"/>
  <c r="AA17" i="1"/>
  <c r="Z25" i="1"/>
  <c r="Y25" i="1"/>
  <c r="AA25" i="1"/>
  <c r="X25" i="1"/>
  <c r="Z8" i="1"/>
  <c r="Y8" i="1"/>
  <c r="AA8" i="1"/>
  <c r="X8" i="1"/>
  <c r="Z54" i="1"/>
  <c r="AA54" i="1"/>
  <c r="X54" i="1"/>
  <c r="Y54" i="1"/>
  <c r="X59" i="1"/>
  <c r="Z59" i="1"/>
  <c r="Y59" i="1"/>
  <c r="AA59" i="1"/>
  <c r="X80" i="1"/>
  <c r="Y80" i="1"/>
  <c r="Z80" i="1"/>
  <c r="AA80" i="1"/>
  <c r="Y83" i="1"/>
  <c r="AA83" i="1"/>
  <c r="X83" i="1"/>
  <c r="Z83" i="1"/>
  <c r="Y22" i="1"/>
  <c r="Z22" i="1"/>
  <c r="X22" i="1"/>
  <c r="AA22" i="1"/>
  <c r="Z30" i="1"/>
  <c r="AA30" i="1"/>
  <c r="X30" i="1"/>
  <c r="Y30" i="1"/>
  <c r="Y46" i="1"/>
  <c r="AA46" i="1"/>
  <c r="X46" i="1"/>
  <c r="Z46" i="1"/>
  <c r="Y62" i="1"/>
  <c r="X62" i="1"/>
  <c r="Z62" i="1"/>
  <c r="AA62" i="1"/>
  <c r="Z72" i="1"/>
  <c r="AA72" i="1"/>
  <c r="X72" i="1"/>
  <c r="Y72" i="1"/>
  <c r="Z78" i="1"/>
  <c r="AA78" i="1"/>
  <c r="X78" i="1"/>
  <c r="Y78" i="1"/>
  <c r="Y82" i="1"/>
  <c r="Z82" i="1"/>
  <c r="X82" i="1"/>
  <c r="AA82" i="1"/>
  <c r="X47" i="1"/>
  <c r="Y47" i="1"/>
  <c r="Z47" i="1"/>
  <c r="AA47" i="1"/>
  <c r="AA7" i="1"/>
  <c r="Y7" i="1"/>
  <c r="X7" i="1"/>
  <c r="Z7" i="1"/>
  <c r="X35" i="1"/>
  <c r="Z35" i="1"/>
  <c r="Y35" i="1"/>
  <c r="AA35" i="1"/>
  <c r="Y52" i="1"/>
  <c r="Z52" i="1"/>
  <c r="X52" i="1"/>
  <c r="AA52" i="1"/>
  <c r="Y73" i="1"/>
  <c r="AA73" i="1"/>
  <c r="X73" i="1"/>
  <c r="Z73" i="1"/>
  <c r="Z79" i="1"/>
  <c r="Y79" i="1"/>
  <c r="AA79" i="1"/>
  <c r="X79" i="1"/>
  <c r="AE58" i="1"/>
  <c r="AF58" i="1"/>
  <c r="D102" i="1"/>
  <c r="D103" i="1"/>
  <c r="B39" i="1" s="1"/>
  <c r="D104" i="1"/>
  <c r="D99" i="1"/>
  <c r="B44" i="1" s="1"/>
  <c r="D100" i="1"/>
  <c r="B50" i="1" s="1"/>
  <c r="D101" i="1"/>
  <c r="V79" i="1"/>
  <c r="V12" i="1"/>
  <c r="V72" i="1"/>
  <c r="V78" i="1"/>
  <c r="V73" i="1"/>
  <c r="V24" i="1"/>
  <c r="V37" i="1"/>
  <c r="V93" i="1"/>
  <c r="V82" i="1"/>
  <c r="V28" i="1"/>
  <c r="V50" i="1"/>
  <c r="V66" i="1"/>
  <c r="V91" i="1"/>
  <c r="V48" i="1"/>
  <c r="V7" i="1"/>
  <c r="V22" i="1"/>
  <c r="V34" i="1"/>
  <c r="V56" i="1"/>
  <c r="V61" i="1"/>
  <c r="V85" i="1"/>
  <c r="V13" i="1"/>
  <c r="V25" i="1"/>
  <c r="V8" i="1"/>
  <c r="V46" i="1"/>
  <c r="V16" i="1"/>
  <c r="V40" i="1"/>
  <c r="V44" i="1"/>
  <c r="V14" i="1"/>
  <c r="V38" i="1"/>
  <c r="V42" i="1"/>
  <c r="V69" i="1"/>
  <c r="V64" i="1"/>
  <c r="V75" i="1"/>
  <c r="V90" i="1"/>
  <c r="V17" i="1"/>
  <c r="V29" i="1"/>
  <c r="V41" i="1"/>
  <c r="V45" i="1"/>
  <c r="V51" i="1"/>
  <c r="V87" i="1"/>
  <c r="V5" i="1"/>
  <c r="V20" i="1"/>
  <c r="V32" i="1"/>
  <c r="V54" i="1"/>
  <c r="V59" i="1"/>
  <c r="V80" i="1"/>
  <c r="V83" i="1"/>
  <c r="V52" i="1"/>
  <c r="V55" i="1"/>
  <c r="V86" i="1"/>
  <c r="V4" i="1"/>
  <c r="V53" i="1"/>
  <c r="V70" i="1"/>
  <c r="V47" i="1"/>
  <c r="V71" i="1"/>
  <c r="V77" i="1"/>
  <c r="V15" i="1"/>
  <c r="V27" i="1"/>
  <c r="V39" i="1"/>
  <c r="V43" i="1"/>
  <c r="V49" i="1"/>
  <c r="V67" i="1"/>
  <c r="V74" i="1"/>
  <c r="V23" i="1"/>
  <c r="V3" i="1"/>
  <c r="V18" i="1"/>
  <c r="V30" i="1"/>
  <c r="V11" i="1"/>
  <c r="V35" i="1"/>
  <c r="V62" i="1"/>
  <c r="V57" i="1"/>
  <c r="V65" i="1"/>
  <c r="V68" i="1"/>
  <c r="V88" i="1"/>
  <c r="V6" i="1"/>
  <c r="V21" i="1"/>
  <c r="V33" i="1"/>
  <c r="V36" i="1"/>
  <c r="V63" i="1"/>
  <c r="V89" i="1"/>
  <c r="V84" i="1"/>
  <c r="V26" i="1"/>
  <c r="V76" i="1"/>
  <c r="V92" i="1"/>
  <c r="V19" i="1"/>
  <c r="V31" i="1"/>
  <c r="V58" i="1"/>
  <c r="V81" i="1"/>
  <c r="U60" i="1" a="1"/>
  <c r="U60" i="1" s="1"/>
  <c r="A23" i="1" a="1"/>
  <c r="A23" i="1" s="1"/>
  <c r="J60" i="1" a="1"/>
  <c r="J60" i="1" s="1"/>
  <c r="M60" i="1" a="1"/>
  <c r="M60" i="1" s="1"/>
  <c r="A60" i="1" a="1"/>
  <c r="A60" i="1" s="1"/>
  <c r="D60" i="1" a="1"/>
  <c r="D60" i="1" s="1"/>
  <c r="L60" i="1" a="1"/>
  <c r="L60" i="1" s="1"/>
  <c r="E60" i="1" a="1"/>
  <c r="E60" i="1" s="1"/>
  <c r="N60" i="1" a="1"/>
  <c r="N60" i="1" s="1"/>
  <c r="F60" i="1" a="1"/>
  <c r="F60" i="1" s="1"/>
  <c r="O60" i="1" a="1"/>
  <c r="O60" i="1" s="1"/>
  <c r="G60" i="1" a="1"/>
  <c r="G60" i="1" s="1"/>
  <c r="P60" i="1" a="1"/>
  <c r="P60" i="1" s="1"/>
  <c r="H60" i="1" a="1"/>
  <c r="H60" i="1" s="1"/>
  <c r="Q60" i="1" a="1"/>
  <c r="Q60" i="1" s="1"/>
  <c r="I60" i="1" a="1"/>
  <c r="I60" i="1" s="1"/>
  <c r="R60" i="1" a="1"/>
  <c r="R60" i="1" s="1"/>
  <c r="K60" i="1" a="1"/>
  <c r="K60" i="1" s="1"/>
  <c r="Z60" i="1" l="1"/>
  <c r="AA60" i="1"/>
  <c r="X60" i="1"/>
  <c r="Y60" i="1"/>
  <c r="X23" i="1"/>
  <c r="Z23" i="1"/>
  <c r="Y23" i="1"/>
  <c r="AA23" i="1"/>
  <c r="AE42" i="1"/>
  <c r="AF29" i="1"/>
  <c r="AF35" i="1"/>
  <c r="AF13" i="1"/>
  <c r="AF74" i="1"/>
  <c r="AF71" i="1"/>
  <c r="AE37" i="1"/>
  <c r="AF19" i="1"/>
  <c r="AE16" i="1"/>
  <c r="AE19" i="1"/>
  <c r="AF56" i="1"/>
  <c r="AE41" i="1"/>
  <c r="AF21" i="1"/>
  <c r="AE85" i="1"/>
  <c r="AE75" i="1"/>
  <c r="AF16" i="1"/>
  <c r="AF85" i="1"/>
  <c r="AE56" i="1"/>
  <c r="AF18" i="1"/>
  <c r="AF43" i="1"/>
  <c r="AF45" i="1"/>
  <c r="AF80" i="1"/>
  <c r="AE59" i="1"/>
  <c r="AE21" i="1"/>
  <c r="AF6" i="1"/>
  <c r="AE86" i="1"/>
  <c r="AE62" i="1"/>
  <c r="AF86" i="1"/>
  <c r="AE66" i="1"/>
  <c r="AE18" i="1"/>
  <c r="AF62" i="1"/>
  <c r="AE34" i="1"/>
  <c r="AF59" i="1"/>
  <c r="AF30" i="1"/>
  <c r="AF38" i="1"/>
  <c r="AF75" i="1"/>
  <c r="AF79" i="1"/>
  <c r="AE79" i="1"/>
  <c r="AE67" i="1"/>
  <c r="AE12" i="1"/>
  <c r="AF61" i="1"/>
  <c r="AF41" i="1"/>
  <c r="AF51" i="1"/>
  <c r="AE24" i="1"/>
  <c r="AF67" i="1"/>
  <c r="AE77" i="1"/>
  <c r="AE29" i="1"/>
  <c r="AE38" i="1"/>
  <c r="AF12" i="1"/>
  <c r="AE51" i="1"/>
  <c r="AF24" i="1"/>
  <c r="AF68" i="1"/>
  <c r="AE80" i="1"/>
  <c r="AE45" i="1"/>
  <c r="AE31" i="1"/>
  <c r="AF42" i="1"/>
  <c r="AE78" i="1"/>
  <c r="AE25" i="1"/>
  <c r="AE90" i="1"/>
  <c r="AF11" i="1"/>
  <c r="AE26" i="1"/>
  <c r="AF78" i="1"/>
  <c r="AF93" i="1"/>
  <c r="AE43" i="1"/>
  <c r="AE81" i="1"/>
  <c r="AF26" i="1"/>
  <c r="AE72" i="1"/>
  <c r="AF46" i="1"/>
  <c r="AF77" i="1"/>
  <c r="AF7" i="1"/>
  <c r="AF87" i="1"/>
  <c r="AF44" i="1"/>
  <c r="AF82" i="1"/>
  <c r="AE74" i="1"/>
  <c r="AF37" i="1"/>
  <c r="AF72" i="1"/>
  <c r="AF49" i="1"/>
  <c r="AF34" i="1"/>
  <c r="AF20" i="1"/>
  <c r="AE8" i="1"/>
  <c r="AF40" i="1"/>
  <c r="AF84" i="1"/>
  <c r="AF28" i="1"/>
  <c r="AE32" i="1"/>
  <c r="AF48" i="1"/>
  <c r="AF8" i="1"/>
  <c r="AF27" i="1"/>
  <c r="AF25" i="1"/>
  <c r="AE87" i="1"/>
  <c r="AF90" i="1"/>
  <c r="AF31" i="1"/>
  <c r="AE14" i="1"/>
  <c r="AE27" i="1"/>
  <c r="AF17" i="1"/>
  <c r="AF14" i="1"/>
  <c r="AF73" i="1"/>
  <c r="AF52" i="1"/>
  <c r="AE89" i="1"/>
  <c r="AE49" i="1"/>
  <c r="AE22" i="1"/>
  <c r="AE36" i="1"/>
  <c r="AF22" i="1"/>
  <c r="AE17" i="1"/>
  <c r="AE6" i="1"/>
  <c r="AE48" i="1"/>
  <c r="AF33" i="1"/>
  <c r="AF47" i="1"/>
  <c r="AF64" i="1"/>
  <c r="AE33" i="1"/>
  <c r="AE35" i="1"/>
  <c r="AE82" i="1"/>
  <c r="AE7" i="1"/>
  <c r="AE93" i="1"/>
  <c r="AE61" i="1"/>
  <c r="AE64" i="1"/>
  <c r="AE11" i="1"/>
  <c r="AF89" i="1"/>
  <c r="AE70" i="1"/>
  <c r="AF88" i="1"/>
  <c r="AE15" i="1"/>
  <c r="AE54" i="1"/>
  <c r="AE39" i="1"/>
  <c r="AF50" i="1"/>
  <c r="AE13" i="1"/>
  <c r="AF53" i="1"/>
  <c r="AE68" i="1"/>
  <c r="AF65" i="1"/>
  <c r="AE71" i="1"/>
  <c r="AF32" i="1"/>
  <c r="AE50" i="1"/>
  <c r="AE52" i="1"/>
  <c r="AF54" i="1"/>
  <c r="AE44" i="1"/>
  <c r="AE40" i="1"/>
  <c r="AE28" i="1"/>
  <c r="AE47" i="1"/>
  <c r="AE30" i="1"/>
  <c r="AE88" i="1"/>
  <c r="AE20" i="1"/>
  <c r="AF15" i="1"/>
  <c r="AE76" i="1"/>
  <c r="AF5" i="1"/>
  <c r="AE83" i="1"/>
  <c r="AF39" i="1"/>
  <c r="AF66" i="1"/>
  <c r="AF57" i="1"/>
  <c r="AE73" i="1"/>
  <c r="AE84" i="1"/>
  <c r="AE92" i="1"/>
  <c r="AE63" i="1"/>
  <c r="AE91" i="1"/>
  <c r="AF81" i="1"/>
  <c r="AF83" i="1"/>
  <c r="AF70" i="1"/>
  <c r="AF92" i="1"/>
  <c r="AF63" i="1"/>
  <c r="AF91" i="1"/>
  <c r="AE5" i="1"/>
  <c r="AE53" i="1"/>
  <c r="AF76" i="1"/>
  <c r="AF36" i="1"/>
  <c r="AE65" i="1"/>
  <c r="AE69" i="1"/>
  <c r="AE46" i="1"/>
  <c r="AF69" i="1"/>
  <c r="Q97" i="1"/>
  <c r="P97" i="1"/>
  <c r="L97" i="1"/>
  <c r="M97" i="1"/>
  <c r="A1" i="1"/>
  <c r="B83" i="1"/>
  <c r="B73" i="1"/>
  <c r="B67" i="1"/>
  <c r="B91" i="1"/>
  <c r="B54" i="1"/>
  <c r="B46" i="1"/>
  <c r="B36" i="1"/>
  <c r="B3" i="1"/>
  <c r="B28" i="1"/>
  <c r="B85" i="1"/>
  <c r="B34" i="1"/>
  <c r="B56" i="1"/>
  <c r="B66" i="1"/>
  <c r="B26" i="1"/>
  <c r="B77" i="1"/>
  <c r="B25" i="1"/>
  <c r="B6" i="1"/>
  <c r="B13" i="1"/>
  <c r="B89" i="1"/>
  <c r="B41" i="1"/>
  <c r="B18" i="1"/>
  <c r="B92" i="1"/>
  <c r="B88" i="1"/>
  <c r="B23" i="1"/>
  <c r="B20" i="1"/>
  <c r="B5" i="1"/>
  <c r="B27" i="1"/>
  <c r="B72" i="1"/>
  <c r="B76" i="1"/>
  <c r="B17" i="1"/>
  <c r="B53" i="1"/>
  <c r="B12" i="1"/>
  <c r="B87" i="1"/>
  <c r="B4" i="1"/>
  <c r="B35" i="1"/>
  <c r="B71" i="1"/>
  <c r="B21" i="1"/>
  <c r="B60" i="1"/>
  <c r="B24" i="1"/>
  <c r="B45" i="1"/>
  <c r="B81" i="1"/>
  <c r="B30" i="1"/>
  <c r="B74" i="1"/>
  <c r="B32" i="1"/>
  <c r="B52" i="1"/>
  <c r="B90" i="1"/>
  <c r="B38" i="1"/>
  <c r="B84" i="1"/>
  <c r="B40" i="1"/>
  <c r="B16" i="1"/>
  <c r="B70" i="1"/>
  <c r="B93" i="1"/>
  <c r="B11" i="1"/>
  <c r="B49" i="1"/>
  <c r="B33" i="1"/>
  <c r="B82" i="1"/>
  <c r="B80" i="1"/>
  <c r="B15" i="1"/>
  <c r="B47" i="1"/>
  <c r="B79" i="1"/>
  <c r="B14" i="1"/>
  <c r="B37" i="1"/>
  <c r="B69" i="1"/>
  <c r="B31" i="1"/>
  <c r="B29" i="1"/>
  <c r="B51" i="1"/>
  <c r="V60" i="1"/>
  <c r="A55" i="1" a="1"/>
  <c r="A55" i="1" s="1"/>
  <c r="Y55" i="1" l="1"/>
  <c r="X55" i="1"/>
  <c r="Z55" i="1"/>
  <c r="AA55" i="1"/>
  <c r="AE57" i="1"/>
  <c r="AF23" i="1"/>
  <c r="AF60" i="1"/>
  <c r="AE23" i="1"/>
  <c r="AE60" i="1"/>
  <c r="AE55" i="1" l="1"/>
  <c r="AF5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tc={EFC0FF8B-9212-7140-90C2-017E2C13E675}</author>
  </authors>
  <commentList>
    <comment ref="AA2" authorId="0" shapeId="0" xr:uid="{EFC0FF8B-9212-7140-90C2-017E2C13E675}">
      <text>
        <t>[Threaded comment]
Your version of Excel allows you to read this threaded comment; however, any edits to it will get removed if the file is opened in a newer version of Excel. Learn more: https://go.microsoft.com/fwlink/?linkid=870924
Comment:
    Dividend&gt;4%</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2">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8"/>
        </ext>
      </extLst>
    </bk>
    <bk>
      <extLst>
        <ext uri="{3e2802c4-a4d2-4d8b-9148-e3be6c30e623}">
          <xlrd:rvb i="51"/>
        </ext>
      </extLst>
    </bk>
    <bk>
      <extLst>
        <ext uri="{3e2802c4-a4d2-4d8b-9148-e3be6c30e623}">
          <xlrd:rvb i="54"/>
        </ext>
      </extLst>
    </bk>
    <bk>
      <extLst>
        <ext uri="{3e2802c4-a4d2-4d8b-9148-e3be6c30e623}">
          <xlrd:rvb i="57"/>
        </ext>
      </extLst>
    </bk>
    <bk>
      <extLst>
        <ext uri="{3e2802c4-a4d2-4d8b-9148-e3be6c30e623}">
          <xlrd:rvb i="60"/>
        </ext>
      </extLst>
    </bk>
    <bk>
      <extLst>
        <ext uri="{3e2802c4-a4d2-4d8b-9148-e3be6c30e623}">
          <xlrd:rvb i="63"/>
        </ext>
      </extLst>
    </bk>
    <bk>
      <extLst>
        <ext uri="{3e2802c4-a4d2-4d8b-9148-e3be6c30e623}">
          <xlrd:rvb i="66"/>
        </ext>
      </extLst>
    </bk>
    <bk>
      <extLst>
        <ext uri="{3e2802c4-a4d2-4d8b-9148-e3be6c30e623}">
          <xlrd:rvb i="69"/>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7"/>
        </ext>
      </extLst>
    </bk>
    <bk>
      <extLst>
        <ext uri="{3e2802c4-a4d2-4d8b-9148-e3be6c30e623}">
          <xlrd:rvb i="120"/>
        </ext>
      </extLst>
    </bk>
    <bk>
      <extLst>
        <ext uri="{3e2802c4-a4d2-4d8b-9148-e3be6c30e623}">
          <xlrd:rvb i="123"/>
        </ext>
      </extLst>
    </bk>
    <bk>
      <extLst>
        <ext uri="{3e2802c4-a4d2-4d8b-9148-e3be6c30e623}">
          <xlrd:rvb i="126"/>
        </ext>
      </extLst>
    </bk>
    <bk>
      <extLst>
        <ext uri="{3e2802c4-a4d2-4d8b-9148-e3be6c30e623}">
          <xlrd:rvb i="129"/>
        </ext>
      </extLst>
    </bk>
    <bk>
      <extLst>
        <ext uri="{3e2802c4-a4d2-4d8b-9148-e3be6c30e623}">
          <xlrd:rvb i="132"/>
        </ext>
      </extLst>
    </bk>
    <bk>
      <extLst>
        <ext uri="{3e2802c4-a4d2-4d8b-9148-e3be6c30e623}">
          <xlrd:rvb i="135"/>
        </ext>
      </extLst>
    </bk>
    <bk>
      <extLst>
        <ext uri="{3e2802c4-a4d2-4d8b-9148-e3be6c30e623}">
          <xlrd:rvb i="138"/>
        </ext>
      </extLst>
    </bk>
    <bk>
      <extLst>
        <ext uri="{3e2802c4-a4d2-4d8b-9148-e3be6c30e623}">
          <xlrd:rvb i="141"/>
        </ext>
      </extLst>
    </bk>
    <bk>
      <extLst>
        <ext uri="{3e2802c4-a4d2-4d8b-9148-e3be6c30e623}">
          <xlrd:rvb i="144"/>
        </ext>
      </extLst>
    </bk>
    <bk>
      <extLst>
        <ext uri="{3e2802c4-a4d2-4d8b-9148-e3be6c30e623}">
          <xlrd:rvb i="147"/>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7"/>
        </ext>
      </extLst>
    </bk>
    <bk>
      <extLst>
        <ext uri="{3e2802c4-a4d2-4d8b-9148-e3be6c30e623}">
          <xlrd:rvb i="170"/>
        </ext>
      </extLst>
    </bk>
    <bk>
      <extLst>
        <ext uri="{3e2802c4-a4d2-4d8b-9148-e3be6c30e623}">
          <xlrd:rvb i="173"/>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8"/>
        </ext>
      </extLst>
    </bk>
    <bk>
      <extLst>
        <ext uri="{3e2802c4-a4d2-4d8b-9148-e3be6c30e623}">
          <xlrd:rvb i="191"/>
        </ext>
      </extLst>
    </bk>
    <bk>
      <extLst>
        <ext uri="{3e2802c4-a4d2-4d8b-9148-e3be6c30e623}">
          <xlrd:rvb i="194"/>
        </ext>
      </extLst>
    </bk>
    <bk>
      <extLst>
        <ext uri="{3e2802c4-a4d2-4d8b-9148-e3be6c30e623}">
          <xlrd:rvb i="197"/>
        </ext>
      </extLst>
    </bk>
    <bk>
      <extLst>
        <ext uri="{3e2802c4-a4d2-4d8b-9148-e3be6c30e623}">
          <xlrd:rvb i="200"/>
        </ext>
      </extLst>
    </bk>
    <bk>
      <extLst>
        <ext uri="{3e2802c4-a4d2-4d8b-9148-e3be6c30e623}">
          <xlrd:rvb i="203"/>
        </ext>
      </extLst>
    </bk>
    <bk>
      <extLst>
        <ext uri="{3e2802c4-a4d2-4d8b-9148-e3be6c30e623}">
          <xlrd:rvb i="206"/>
        </ext>
      </extLst>
    </bk>
    <bk>
      <extLst>
        <ext uri="{3e2802c4-a4d2-4d8b-9148-e3be6c30e623}">
          <xlrd:rvb i="212"/>
        </ext>
      </extLst>
    </bk>
    <bk>
      <extLst>
        <ext uri="{3e2802c4-a4d2-4d8b-9148-e3be6c30e623}">
          <xlrd:rvb i="215"/>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27"/>
        </ext>
      </extLst>
    </bk>
    <bk>
      <extLst>
        <ext uri="{3e2802c4-a4d2-4d8b-9148-e3be6c30e623}">
          <xlrd:rvb i="230"/>
        </ext>
      </extLst>
    </bk>
    <bk>
      <extLst>
        <ext uri="{3e2802c4-a4d2-4d8b-9148-e3be6c30e623}">
          <xlrd:rvb i="233"/>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40"/>
        </ext>
      </extLst>
    </bk>
    <bk>
      <extLst>
        <ext uri="{3e2802c4-a4d2-4d8b-9148-e3be6c30e623}">
          <xlrd:rvb i="242"/>
        </ext>
      </extLst>
    </bk>
    <bk>
      <extLst>
        <ext uri="{3e2802c4-a4d2-4d8b-9148-e3be6c30e623}">
          <xlrd:rvb i="244"/>
        </ext>
      </extLst>
    </bk>
    <bk>
      <extLst>
        <ext uri="{3e2802c4-a4d2-4d8b-9148-e3be6c30e623}">
          <xlrd:rvb i="246"/>
        </ext>
      </extLst>
    </bk>
    <bk>
      <extLst>
        <ext uri="{3e2802c4-a4d2-4d8b-9148-e3be6c30e623}">
          <xlrd:rvb i="248"/>
        </ext>
      </extLst>
    </bk>
    <bk>
      <extLst>
        <ext uri="{3e2802c4-a4d2-4d8b-9148-e3be6c30e623}">
          <xlrd:rvb i="250"/>
        </ext>
      </extLst>
    </bk>
    <bk>
      <extLst>
        <ext uri="{3e2802c4-a4d2-4d8b-9148-e3be6c30e623}">
          <xlrd:rvb i="252"/>
        </ext>
      </extLst>
    </bk>
    <bk>
      <extLst>
        <ext uri="{3e2802c4-a4d2-4d8b-9148-e3be6c30e623}">
          <xlrd:rvb i="254"/>
        </ext>
      </extLst>
    </bk>
    <bk>
      <extLst>
        <ext uri="{3e2802c4-a4d2-4d8b-9148-e3be6c30e623}">
          <xlrd:rvb i="257"/>
        </ext>
      </extLst>
    </bk>
    <bk>
      <extLst>
        <ext uri="{3e2802c4-a4d2-4d8b-9148-e3be6c30e623}">
          <xlrd:rvb i="260"/>
        </ext>
      </extLst>
    </bk>
    <bk>
      <extLst>
        <ext uri="{3e2802c4-a4d2-4d8b-9148-e3be6c30e623}">
          <xlrd:rvb i="261"/>
        </ext>
      </extLst>
    </bk>
    <bk>
      <extLst>
        <ext uri="{3e2802c4-a4d2-4d8b-9148-e3be6c30e623}">
          <xlrd:rvb i="264"/>
        </ext>
      </extLst>
    </bk>
    <bk>
      <extLst>
        <ext uri="{3e2802c4-a4d2-4d8b-9148-e3be6c30e623}">
          <xlrd:rvb i="266"/>
        </ext>
      </extLst>
    </bk>
    <bk>
      <extLst>
        <ext uri="{3e2802c4-a4d2-4d8b-9148-e3be6c30e623}">
          <xlrd:rvb i="269"/>
        </ext>
      </extLst>
    </bk>
    <bk>
      <extLst>
        <ext uri="{3e2802c4-a4d2-4d8b-9148-e3be6c30e623}">
          <xlrd:rvb i="272"/>
        </ext>
      </extLst>
    </bk>
    <bk>
      <extLst>
        <ext uri="{3e2802c4-a4d2-4d8b-9148-e3be6c30e623}">
          <xlrd:rvb i="275"/>
        </ext>
      </extLst>
    </bk>
    <bk>
      <extLst>
        <ext uri="{3e2802c4-a4d2-4d8b-9148-e3be6c30e623}">
          <xlrd:rvb i="278"/>
        </ext>
      </extLst>
    </bk>
  </futureMetadata>
  <cellMetadata count="1">
    <bk>
      <rc t="1" v="0"/>
    </bk>
  </cellMetadata>
  <valueMetadata count="9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valueMetadata>
</metadata>
</file>

<file path=xl/sharedStrings.xml><?xml version="1.0" encoding="utf-8"?>
<sst xmlns="http://schemas.openxmlformats.org/spreadsheetml/2006/main" count="283" uniqueCount="174">
  <si>
    <t>Today</t>
  </si>
  <si>
    <t>Company Name</t>
  </si>
  <si>
    <t>Currency</t>
  </si>
  <si>
    <t>Last trade time</t>
  </si>
  <si>
    <t>Close</t>
  </si>
  <si>
    <t>Open</t>
  </si>
  <si>
    <t>M-Price</t>
  </si>
  <si>
    <t>Low</t>
  </si>
  <si>
    <t>High</t>
  </si>
  <si>
    <t>P/E</t>
  </si>
  <si>
    <t>Change</t>
  </si>
  <si>
    <t>Change%</t>
  </si>
  <si>
    <t>52_week_low</t>
  </si>
  <si>
    <t>52_week_high</t>
  </si>
  <si>
    <t>Volume</t>
  </si>
  <si>
    <t>Volume average</t>
  </si>
  <si>
    <t>Beta</t>
  </si>
  <si>
    <t>suffix</t>
  </si>
  <si>
    <t>Exchange abbreviation</t>
  </si>
  <si>
    <t>V</t>
  </si>
  <si>
    <t>JB</t>
  </si>
  <si>
    <t>J</t>
  </si>
  <si>
    <t>MVE</t>
  </si>
  <si>
    <t>M</t>
  </si>
  <si>
    <t>SAF</t>
  </si>
  <si>
    <t>S</t>
  </si>
  <si>
    <t>Total</t>
  </si>
  <si>
    <t>Couple</t>
  </si>
  <si>
    <t>RT</t>
  </si>
  <si>
    <t>52 W High</t>
  </si>
  <si>
    <t>Custody2</t>
  </si>
  <si>
    <t>1/RT</t>
  </si>
  <si>
    <t>1YT</t>
  </si>
  <si>
    <t>Ddate</t>
  </si>
  <si>
    <t>RepDiv</t>
  </si>
  <si>
    <t>ExchR</t>
  </si>
  <si>
    <t>Column1</t>
  </si>
  <si>
    <t>V/VA</t>
  </si>
  <si>
    <t>iShs Digtl Sec UCITS ETF USD A (XLON:LOCK)</t>
  </si>
  <si>
    <t>Stamp</t>
  </si>
  <si>
    <t>Broker</t>
  </si>
  <si>
    <t>Previous Close</t>
  </si>
  <si>
    <t>Price</t>
  </si>
  <si>
    <t>FTSE 100</t>
  </si>
  <si>
    <t>^FTSE</t>
  </si>
  <si>
    <t>EarningDate</t>
  </si>
  <si>
    <t>14.67/16.14/20.8</t>
  </si>
  <si>
    <t>238.96/218.19</t>
  </si>
  <si>
    <t>331.33/312.72</t>
  </si>
  <si>
    <t>21.47/20.14</t>
  </si>
  <si>
    <t>87.38/72.32</t>
  </si>
  <si>
    <t>YTChange</t>
  </si>
  <si>
    <t>Old1YT</t>
  </si>
  <si>
    <t>81.10/84.6</t>
  </si>
  <si>
    <t>4.32/2.59</t>
  </si>
  <si>
    <t>91.96/86.78</t>
  </si>
  <si>
    <t>61/57</t>
  </si>
  <si>
    <t>From DataLocal Sheet2</t>
  </si>
  <si>
    <t>14.83/14/12.94</t>
  </si>
  <si>
    <t>41.102/38.77</t>
  </si>
  <si>
    <t>2.25/3.94</t>
  </si>
  <si>
    <t>Column2</t>
  </si>
  <si>
    <t>37.97/38.13/38.23</t>
  </si>
  <si>
    <t>16.71/16.47/14.8</t>
  </si>
  <si>
    <t>33.74/31.33</t>
  </si>
  <si>
    <t>229.89/159.2</t>
  </si>
  <si>
    <t>11.38/11.59/15.57</t>
  </si>
  <si>
    <t>14.71/14.81/16.46</t>
  </si>
  <si>
    <t>697.31/682.94</t>
  </si>
  <si>
    <t>10.37/12.18</t>
  </si>
  <si>
    <t>59.77/51.92/30.4</t>
  </si>
  <si>
    <t>4.08/5.31</t>
  </si>
  <si>
    <t>75.65/69.81/87.12</t>
  </si>
  <si>
    <t>75.81476/55.04</t>
  </si>
  <si>
    <t>Tickers</t>
  </si>
  <si>
    <t>AAPL</t>
  </si>
  <si>
    <t>ADEA</t>
  </si>
  <si>
    <t>AMZN</t>
  </si>
  <si>
    <t>AVGO</t>
  </si>
  <si>
    <t>AZN</t>
  </si>
  <si>
    <t>BLDP</t>
  </si>
  <si>
    <t>BMRA</t>
  </si>
  <si>
    <t>C</t>
  </si>
  <si>
    <t>CSCO</t>
  </si>
  <si>
    <t>CVS</t>
  </si>
  <si>
    <t>DDD</t>
  </si>
  <si>
    <t>DIS</t>
  </si>
  <si>
    <t>DVA</t>
  </si>
  <si>
    <t>DXC</t>
  </si>
  <si>
    <t>EPIX</t>
  </si>
  <si>
    <t>GM</t>
  </si>
  <si>
    <t>HPE</t>
  </si>
  <si>
    <t>HPQ</t>
  </si>
  <si>
    <t>KR</t>
  </si>
  <si>
    <t>LNSR</t>
  </si>
  <si>
    <t>LUMN</t>
  </si>
  <si>
    <t>MRNA</t>
  </si>
  <si>
    <t>MSFT</t>
  </si>
  <si>
    <t>NEE</t>
  </si>
  <si>
    <t>NEM</t>
  </si>
  <si>
    <t>NFLX</t>
  </si>
  <si>
    <t>NOTE</t>
  </si>
  <si>
    <t>PAAS</t>
  </si>
  <si>
    <t>PROF</t>
  </si>
  <si>
    <t>POET</t>
  </si>
  <si>
    <t>PW</t>
  </si>
  <si>
    <t>RIGL</t>
  </si>
  <si>
    <t>SHECY</t>
  </si>
  <si>
    <t>SSYS</t>
  </si>
  <si>
    <t>TSLA</t>
  </si>
  <si>
    <t>TSM</t>
  </si>
  <si>
    <t>UN0</t>
  </si>
  <si>
    <t>UNIT</t>
  </si>
  <si>
    <t>VLVLY</t>
  </si>
  <si>
    <t>VTRS</t>
  </si>
  <si>
    <t>WBA</t>
  </si>
  <si>
    <t>XOM</t>
  </si>
  <si>
    <t>XPER</t>
  </si>
  <si>
    <t>BLNK</t>
  </si>
  <si>
    <t>F</t>
  </si>
  <si>
    <t>GNRC</t>
  </si>
  <si>
    <t>GS</t>
  </si>
  <si>
    <t>LAZR</t>
  </si>
  <si>
    <t>LUV</t>
  </si>
  <si>
    <t>MA</t>
  </si>
  <si>
    <t>NVAX</t>
  </si>
  <si>
    <t>NVS</t>
  </si>
  <si>
    <t>OXY</t>
  </si>
  <si>
    <t>PFE</t>
  </si>
  <si>
    <t>RIG</t>
  </si>
  <si>
    <t>RRC</t>
  </si>
  <si>
    <t>XYZ</t>
  </si>
  <si>
    <t>THC</t>
  </si>
  <si>
    <t>X</t>
  </si>
  <si>
    <t>Ticker_Symbol</t>
  </si>
  <si>
    <t>Ordered?</t>
  </si>
  <si>
    <t>AET</t>
  </si>
  <si>
    <t>ALDNE</t>
  </si>
  <si>
    <t>ASML</t>
  </si>
  <si>
    <t>DSY</t>
  </si>
  <si>
    <t>EOAN</t>
  </si>
  <si>
    <t>IAG</t>
  </si>
  <si>
    <t>RWE</t>
  </si>
  <si>
    <t>SAP</t>
  </si>
  <si>
    <t>VONN</t>
  </si>
  <si>
    <t>MVEALDNE</t>
  </si>
  <si>
    <t>MVEDDD</t>
  </si>
  <si>
    <t>MVEDSY</t>
  </si>
  <si>
    <t>MVEEOAN</t>
  </si>
  <si>
    <t>MVEENI</t>
  </si>
  <si>
    <t>MVEEPIX</t>
  </si>
  <si>
    <t>MVEGLE</t>
  </si>
  <si>
    <t>MVEORA</t>
  </si>
  <si>
    <t>MVERWE</t>
  </si>
  <si>
    <t>MVESAP</t>
  </si>
  <si>
    <t>MVEUN0</t>
  </si>
  <si>
    <t>SAFAAPL</t>
  </si>
  <si>
    <t>SAFAMZN</t>
  </si>
  <si>
    <t>SAFASML</t>
  </si>
  <si>
    <t>SAFDDD</t>
  </si>
  <si>
    <t>SAFDIS</t>
  </si>
  <si>
    <t>SAFGM</t>
  </si>
  <si>
    <t>SAFIAG</t>
  </si>
  <si>
    <t>SAFMRNA</t>
  </si>
  <si>
    <t>ENI</t>
  </si>
  <si>
    <t>EZJ</t>
  </si>
  <si>
    <t>GLE</t>
  </si>
  <si>
    <t>ORA</t>
  </si>
  <si>
    <t>LOCK</t>
  </si>
  <si>
    <t>JBASML</t>
  </si>
  <si>
    <t>JBEOAN</t>
  </si>
  <si>
    <t>Names</t>
  </si>
  <si>
    <t>Striped_Ticker</t>
  </si>
  <si>
    <t>Striped_Name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</si>
</sst>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3" formatCode="_(* #,##0.00_);_(* \(#,##0.00\);_(* &quot;-&quot;??_);_(@_)"/>
    <numFmt numFmtId="164" formatCode="_(* #,##0.00000_);_(* \(#,##0.00000\);_(* &quot;-&quot;??_);_(@_)"/>
    <numFmt numFmtId="165" formatCode="0.00_);[Red]\(0.00\)"/>
    <numFmt numFmtId="166" formatCode="_(* #,##0_);_(* \(#,##0\);_(* &quot;-&quot;??_);_(@_)"/>
    <numFmt numFmtId="167" formatCode="_([$$-409]* #,##0.00_);_([$$-409]* \(#,##0.00\);_([$$-409]* &quot;-&quot;??_);_(@_)"/>
    <numFmt numFmtId="168" formatCode="_-[$£-809]* #,##0.00_-;\-[$£-809]* #,##0.00_-;_-[$£-809]* &quot;-&quot;??_-;_-@_-"/>
    <numFmt numFmtId="169" formatCode="_([$€-2]\ * #,##0.00_);_([$€-2]\ * \(#,##0.00\);_([$€-2]\ * &quot;-&quot;??_);_(@_)"/>
    <numFmt numFmtId="170" formatCode="[$CAD]\ #,##0.00_);\([$CAD]\ #,##0.00\)"/>
    <numFmt numFmtId="171" formatCode="[$CHF-807]\ #,##0.00"/>
    <numFmt numFmtId="172" formatCode="_ [$CHF-100C]\ * #,##0.00_ ;_ [$CHF-100C]\ * \-#,##0.00_ ;_ [$CHF-100C]\ * &quot;-&quot;??_ ;_ @_ "/>
    <numFmt numFmtId="173" formatCode="_(&quot;$&quot;* #,##0_);_(&quot;$&quot;* \(#,##0\);_(&quot;$&quot;* &quot;-&quot;??_);_(@_)"/>
    <numFmt numFmtId="174" formatCode="_(* #,##0.0000_);_(* \(#,##0.0000\);_(* &quot;-&quot;??_);_(@_)"/>
    <numFmt numFmtId="175" formatCode="_([$£-809]* #,##0.00_);_([$£-809]* \(#,##0.00\);_([$£-809]* &quot;-&quot;??_);_(@_)"/>
    <numFmt numFmtId="176" formatCode="_([$¥-411]* #,##0.00_);_([$¥-411]* \(#,##0.00\);_([$¥-411]* &quot;-&quot;??_);_(@_)"/>
    <numFmt numFmtId="177" formatCode="[$-409]d\-mmm\-yy;@"/>
    <numFmt numFmtId="178" formatCode="0.0%;[Red]\-0.0%"/>
    <numFmt numFmtId="179" formatCode="0.000%"/>
  </numFmts>
  <fonts count="27" x14ac:knownFonts="1">
    <font>
      <sz val="16"/>
      <color theme="1"/>
      <name val="Aptos Narrow"/>
      <family val="2"/>
      <scheme val="minor"/>
    </font>
    <font>
      <sz val="16"/>
      <color theme="1"/>
      <name val="Aptos Narrow"/>
      <family val="2"/>
      <scheme val="minor"/>
    </font>
    <font>
      <sz val="16"/>
      <color rgb="FF9C0006"/>
      <name val="Aptos Narrow"/>
      <family val="2"/>
      <scheme val="minor"/>
    </font>
    <font>
      <sz val="16"/>
      <color rgb="FF3F3F76"/>
      <name val="Aptos Narrow"/>
      <family val="2"/>
      <scheme val="minor"/>
    </font>
    <font>
      <sz val="16"/>
      <color rgb="FFFF0000"/>
      <name val="Aptos Narrow"/>
      <family val="2"/>
      <scheme val="minor"/>
    </font>
    <font>
      <b/>
      <sz val="16"/>
      <color theme="1"/>
      <name val="Aptos Narrow"/>
      <family val="2"/>
      <scheme val="minor"/>
    </font>
    <font>
      <sz val="16"/>
      <color theme="0"/>
      <name val="Aptos Narrow"/>
      <family val="2"/>
      <scheme val="minor"/>
    </font>
    <font>
      <b/>
      <sz val="20"/>
      <color rgb="FFFFFFFF"/>
      <name val="Calibri"/>
      <family val="2"/>
    </font>
    <font>
      <sz val="16"/>
      <color rgb="FF000000"/>
      <name val="Aptos Narrow"/>
      <family val="2"/>
      <scheme val="minor"/>
    </font>
    <font>
      <b/>
      <sz val="16"/>
      <color rgb="FF3F3F76"/>
      <name val="Calibri"/>
      <family val="2"/>
    </font>
    <font>
      <b/>
      <sz val="16"/>
      <color rgb="FF000000"/>
      <name val="Calibri"/>
      <family val="2"/>
    </font>
    <font>
      <sz val="20"/>
      <color rgb="FFFFFFFF"/>
      <name val="Calibri (Body)"/>
    </font>
    <font>
      <b/>
      <sz val="20"/>
      <color rgb="FF000000"/>
      <name val="Calibri (Body)"/>
    </font>
    <font>
      <sz val="20"/>
      <color theme="1"/>
      <name val="Calibri (Body)"/>
    </font>
    <font>
      <sz val="16"/>
      <color theme="1"/>
      <name val="Calibri"/>
      <family val="2"/>
    </font>
    <font>
      <sz val="16"/>
      <name val="Aptos Narrow"/>
      <family val="2"/>
      <scheme val="minor"/>
    </font>
    <font>
      <b/>
      <sz val="16"/>
      <color theme="1"/>
      <name val="Calibri"/>
      <family val="2"/>
    </font>
    <font>
      <i/>
      <sz val="16"/>
      <color theme="7" tint="0.59999389629810485"/>
      <name val="Calibri"/>
      <family val="2"/>
    </font>
    <font>
      <sz val="16"/>
      <color theme="7" tint="0.59999389629810485"/>
      <name val="Aptos Narrow"/>
      <family val="2"/>
      <scheme val="minor"/>
    </font>
    <font>
      <sz val="8"/>
      <name val="Aptos Narrow"/>
      <family val="2"/>
      <scheme val="minor"/>
    </font>
    <font>
      <b/>
      <sz val="16"/>
      <color rgb="FFFF0000"/>
      <name val="Aptos Narrow"/>
      <family val="2"/>
      <scheme val="minor"/>
    </font>
    <font>
      <sz val="16"/>
      <color rgb="FFFF0000"/>
      <name val="Calibri"/>
      <family val="2"/>
    </font>
    <font>
      <b/>
      <sz val="16"/>
      <color rgb="FF00B050"/>
      <name val="Aptos Narrow"/>
      <family val="2"/>
      <scheme val="minor"/>
    </font>
    <font>
      <sz val="16"/>
      <color rgb="FF00B050"/>
      <name val="Aptos Narrow"/>
      <family val="2"/>
      <scheme val="minor"/>
    </font>
    <font>
      <b/>
      <sz val="20"/>
      <color rgb="FFFFFF00"/>
      <name val="Calibri"/>
      <family val="2"/>
    </font>
    <font>
      <sz val="16"/>
      <color theme="0" tint="-0.34998626667073579"/>
      <name val="Calibri"/>
      <family val="2"/>
    </font>
    <font>
      <b/>
      <sz val="12"/>
      <color rgb="FF000000"/>
      <name val="Calibri"/>
      <family val="2"/>
    </font>
  </fonts>
  <fills count="16">
    <fill>
      <patternFill patternType="none"/>
    </fill>
    <fill>
      <patternFill patternType="gray125"/>
    </fill>
    <fill>
      <patternFill patternType="solid">
        <fgColor rgb="FFFFC7CE"/>
      </patternFill>
    </fill>
    <fill>
      <patternFill patternType="solid">
        <fgColor rgb="FFFFCC99"/>
      </patternFill>
    </fill>
    <fill>
      <patternFill patternType="solid">
        <fgColor theme="4"/>
      </patternFill>
    </fill>
    <fill>
      <patternFill patternType="solid">
        <fgColor rgb="FF4472C4"/>
        <bgColor rgb="FFFFFFFF"/>
      </patternFill>
    </fill>
    <fill>
      <patternFill patternType="solid">
        <fgColor rgb="FFD9E1F2"/>
        <bgColor rgb="FFD9E1F2"/>
      </patternFill>
    </fill>
    <fill>
      <patternFill patternType="solid">
        <fgColor rgb="FFFFFF00"/>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5999938962981048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style="thin">
        <color rgb="FF8EA9DB"/>
      </top>
      <bottom style="thin">
        <color rgb="FF8EA9DB"/>
      </bottom>
      <diagonal/>
    </border>
    <border>
      <left style="medium">
        <color indexed="64"/>
      </left>
      <right style="thin">
        <color rgb="FF7F7F7F"/>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thin">
        <color rgb="FF8EA9DB"/>
      </right>
      <top style="thin">
        <color rgb="FF8EA9DB"/>
      </top>
      <bottom style="thin">
        <color rgb="FF8EA9DB"/>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0" fontId="3" fillId="3" borderId="1" applyNumberFormat="0" applyAlignment="0" applyProtection="0"/>
    <xf numFmtId="0" fontId="6" fillId="4" borderId="0" applyNumberFormat="0" applyBorder="0" applyAlignment="0" applyProtection="0"/>
  </cellStyleXfs>
  <cellXfs count="115">
    <xf numFmtId="0" fontId="0" fillId="0" borderId="0" xfId="0"/>
    <xf numFmtId="0" fontId="5" fillId="0" borderId="0" xfId="0" applyFont="1" applyAlignment="1">
      <alignment horizontal="center"/>
    </xf>
    <xf numFmtId="0" fontId="7" fillId="5" borderId="0" xfId="5" applyFont="1" applyFill="1" applyBorder="1" applyAlignment="1">
      <alignment horizontal="center"/>
    </xf>
    <xf numFmtId="164" fontId="8" fillId="6" borderId="2" xfId="1" applyNumberFormat="1" applyFont="1" applyFill="1" applyBorder="1"/>
    <xf numFmtId="0" fontId="9" fillId="0" borderId="3" xfId="4" applyFont="1" applyFill="1" applyBorder="1" applyAlignment="1">
      <alignment horizontal="center"/>
    </xf>
    <xf numFmtId="22" fontId="8" fillId="0" borderId="2" xfId="0" applyNumberFormat="1" applyFont="1" applyBorder="1"/>
    <xf numFmtId="0" fontId="10" fillId="0" borderId="4"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2" fontId="10" fillId="0" borderId="0" xfId="0" applyNumberFormat="1" applyFont="1" applyAlignment="1">
      <alignment horizontal="center"/>
    </xf>
    <xf numFmtId="165" fontId="10" fillId="0" borderId="0" xfId="0" applyNumberFormat="1" applyFont="1" applyAlignment="1">
      <alignment horizontal="center"/>
    </xf>
    <xf numFmtId="10" fontId="10" fillId="0" borderId="0" xfId="2" applyNumberFormat="1" applyFont="1" applyAlignment="1">
      <alignment horizontal="center"/>
    </xf>
    <xf numFmtId="3" fontId="10" fillId="0" borderId="0" xfId="0" applyNumberFormat="1" applyFont="1" applyAlignment="1">
      <alignment horizontal="center"/>
    </xf>
    <xf numFmtId="166" fontId="5" fillId="0" borderId="0" xfId="1" applyNumberFormat="1" applyFont="1" applyAlignment="1">
      <alignment horizontal="center"/>
    </xf>
    <xf numFmtId="43" fontId="5" fillId="0" borderId="0" xfId="1" applyFont="1" applyAlignment="1">
      <alignment horizontal="center"/>
    </xf>
    <xf numFmtId="165" fontId="14" fillId="0" borderId="0" xfId="0" applyNumberFormat="1" applyFont="1"/>
    <xf numFmtId="166" fontId="0" fillId="0" borderId="0" xfId="0" applyNumberFormat="1"/>
    <xf numFmtId="22" fontId="0" fillId="0" borderId="0" xfId="0" applyNumberFormat="1"/>
    <xf numFmtId="167" fontId="0" fillId="0" borderId="0" xfId="0" applyNumberFormat="1"/>
    <xf numFmtId="4" fontId="0" fillId="0" borderId="0" xfId="0" applyNumberFormat="1"/>
    <xf numFmtId="165" fontId="0" fillId="0" borderId="0" xfId="0" applyNumberFormat="1"/>
    <xf numFmtId="10" fontId="0" fillId="0" borderId="0" xfId="2" applyNumberFormat="1" applyFont="1"/>
    <xf numFmtId="3" fontId="0" fillId="0" borderId="0" xfId="0" applyNumberFormat="1"/>
    <xf numFmtId="9" fontId="0" fillId="0" borderId="0" xfId="2" applyFont="1"/>
    <xf numFmtId="0" fontId="14" fillId="0" borderId="0" xfId="0" applyFont="1"/>
    <xf numFmtId="168" fontId="0" fillId="0" borderId="0" xfId="0" applyNumberFormat="1"/>
    <xf numFmtId="165" fontId="2" fillId="2" borderId="0" xfId="3" applyNumberFormat="1"/>
    <xf numFmtId="169" fontId="0" fillId="0" borderId="0" xfId="0" applyNumberFormat="1"/>
    <xf numFmtId="22" fontId="15" fillId="0" borderId="0" xfId="0" applyNumberFormat="1" applyFont="1"/>
    <xf numFmtId="167" fontId="15" fillId="0" borderId="0" xfId="0" applyNumberFormat="1" applyFont="1"/>
    <xf numFmtId="165" fontId="15" fillId="0" borderId="0" xfId="0" applyNumberFormat="1" applyFont="1"/>
    <xf numFmtId="10" fontId="15" fillId="0" borderId="0" xfId="2" applyNumberFormat="1" applyFont="1"/>
    <xf numFmtId="3" fontId="15" fillId="0" borderId="0" xfId="0" applyNumberFormat="1" applyFont="1"/>
    <xf numFmtId="0" fontId="15" fillId="0" borderId="0" xfId="0" applyFont="1"/>
    <xf numFmtId="170" fontId="0" fillId="0" borderId="0" xfId="0" applyNumberFormat="1"/>
    <xf numFmtId="171" fontId="0" fillId="7" borderId="0" xfId="0" applyNumberFormat="1" applyFill="1"/>
    <xf numFmtId="171" fontId="0" fillId="0" borderId="0" xfId="0" applyNumberFormat="1"/>
    <xf numFmtId="10" fontId="0" fillId="0" borderId="0" xfId="2" applyNumberFormat="1" applyFont="1" applyFill="1"/>
    <xf numFmtId="165" fontId="16" fillId="0" borderId="0" xfId="0" applyNumberFormat="1" applyFont="1"/>
    <xf numFmtId="0" fontId="16" fillId="0" borderId="0" xfId="0" applyFont="1"/>
    <xf numFmtId="0" fontId="16" fillId="0" borderId="0" xfId="0" applyFont="1" applyAlignment="1">
      <alignment horizontal="center"/>
    </xf>
    <xf numFmtId="173" fontId="0" fillId="0" borderId="0" xfId="0" applyNumberFormat="1"/>
    <xf numFmtId="10" fontId="0" fillId="0" borderId="0" xfId="0" applyNumberFormat="1"/>
    <xf numFmtId="0" fontId="0" fillId="0" borderId="0" xfId="0" applyAlignment="1">
      <alignment horizontal="center"/>
    </xf>
    <xf numFmtId="2" fontId="0" fillId="0" borderId="0" xfId="0" applyNumberFormat="1"/>
    <xf numFmtId="43" fontId="0" fillId="0" borderId="0" xfId="1" applyFont="1"/>
    <xf numFmtId="174" fontId="0" fillId="0" borderId="0" xfId="0" applyNumberFormat="1"/>
    <xf numFmtId="167" fontId="0" fillId="0" borderId="0" xfId="0" applyNumberFormat="1" applyAlignment="1">
      <alignment horizontal="center"/>
    </xf>
    <xf numFmtId="166" fontId="0" fillId="0" borderId="0" xfId="1" applyNumberFormat="1" applyFont="1"/>
    <xf numFmtId="43" fontId="0" fillId="0" borderId="0" xfId="1" applyFont="1" applyAlignment="1">
      <alignment horizontal="center"/>
    </xf>
    <xf numFmtId="172"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165" fontId="14" fillId="9" borderId="0" xfId="0" applyNumberFormat="1" applyFont="1" applyFill="1"/>
    <xf numFmtId="165" fontId="16" fillId="9" borderId="0" xfId="0" applyNumberFormat="1" applyFont="1" applyFill="1"/>
    <xf numFmtId="49" fontId="17" fillId="0" borderId="0" xfId="0" applyNumberFormat="1" applyFont="1" applyAlignment="1">
      <alignment horizontal="center"/>
    </xf>
    <xf numFmtId="17" fontId="18" fillId="0" borderId="0" xfId="0" quotePrefix="1" applyNumberFormat="1" applyFont="1" applyAlignment="1">
      <alignment horizontal="center"/>
    </xf>
    <xf numFmtId="167" fontId="0" fillId="10" borderId="0" xfId="0" applyNumberFormat="1" applyFill="1"/>
    <xf numFmtId="22" fontId="0" fillId="10" borderId="0" xfId="0" applyNumberFormat="1" applyFill="1"/>
    <xf numFmtId="4" fontId="0" fillId="10" borderId="0" xfId="0" applyNumberFormat="1" applyFill="1"/>
    <xf numFmtId="165" fontId="0" fillId="10" borderId="0" xfId="0" applyNumberFormat="1" applyFill="1"/>
    <xf numFmtId="10" fontId="0" fillId="10" borderId="0" xfId="2" applyNumberFormat="1" applyFont="1" applyFill="1"/>
    <xf numFmtId="3" fontId="0" fillId="10" borderId="0" xfId="0" applyNumberFormat="1" applyFill="1"/>
    <xf numFmtId="0" fontId="0" fillId="10" borderId="0" xfId="0" applyFill="1"/>
    <xf numFmtId="169" fontId="0" fillId="10" borderId="0" xfId="0" applyNumberFormat="1" applyFill="1"/>
    <xf numFmtId="9" fontId="20" fillId="0" borderId="0" xfId="2" applyFont="1" applyAlignment="1">
      <alignment horizontal="center"/>
    </xf>
    <xf numFmtId="0" fontId="4" fillId="0" borderId="0" xfId="0" applyFont="1"/>
    <xf numFmtId="9" fontId="4" fillId="0" borderId="0" xfId="2" applyFont="1" applyAlignment="1">
      <alignment horizontal="center"/>
    </xf>
    <xf numFmtId="9" fontId="4" fillId="0" borderId="0" xfId="2" applyFont="1"/>
    <xf numFmtId="0" fontId="22" fillId="0" borderId="0" xfId="0" applyFont="1" applyAlignment="1">
      <alignment horizontal="center"/>
    </xf>
    <xf numFmtId="0" fontId="23" fillId="0" borderId="0" xfId="0" applyFont="1"/>
    <xf numFmtId="0" fontId="23" fillId="8" borderId="0" xfId="0" applyFont="1" applyFill="1"/>
    <xf numFmtId="14" fontId="11" fillId="0" borderId="6" xfId="5" applyNumberFormat="1" applyFont="1" applyFill="1" applyBorder="1" applyAlignment="1">
      <alignment horizontal="center"/>
    </xf>
    <xf numFmtId="14" fontId="11" fillId="0" borderId="0" xfId="5" applyNumberFormat="1" applyFont="1" applyFill="1" applyBorder="1" applyAlignment="1">
      <alignment horizontal="center"/>
    </xf>
    <xf numFmtId="14" fontId="12" fillId="0" borderId="0" xfId="5" applyNumberFormat="1" applyFont="1" applyFill="1" applyBorder="1" applyAlignment="1">
      <alignment horizontal="center"/>
    </xf>
    <xf numFmtId="0" fontId="12" fillId="0" borderId="0" xfId="0" applyFont="1" applyAlignment="1">
      <alignment horizontal="center"/>
    </xf>
    <xf numFmtId="0" fontId="12" fillId="0" borderId="7" xfId="0" applyFont="1" applyBorder="1" applyAlignment="1">
      <alignment horizontal="center"/>
    </xf>
    <xf numFmtId="2" fontId="12" fillId="0" borderId="0" xfId="0" applyNumberFormat="1" applyFont="1" applyAlignment="1">
      <alignment horizontal="center"/>
    </xf>
    <xf numFmtId="165" fontId="12" fillId="0" borderId="0" xfId="0" applyNumberFormat="1" applyFont="1" applyAlignment="1">
      <alignment horizontal="center"/>
    </xf>
    <xf numFmtId="10" fontId="12" fillId="0" borderId="0" xfId="2" applyNumberFormat="1" applyFont="1" applyFill="1" applyAlignment="1">
      <alignment horizontal="left"/>
    </xf>
    <xf numFmtId="0" fontId="12" fillId="0" borderId="0" xfId="0" applyFont="1" applyAlignment="1">
      <alignment horizontal="left"/>
    </xf>
    <xf numFmtId="3" fontId="12" fillId="0" borderId="0" xfId="0" applyNumberFormat="1" applyFont="1" applyAlignment="1">
      <alignment horizontal="left"/>
    </xf>
    <xf numFmtId="43" fontId="12" fillId="0" borderId="0" xfId="1" applyFont="1" applyFill="1" applyAlignment="1">
      <alignment horizontal="center"/>
    </xf>
    <xf numFmtId="0" fontId="13" fillId="0" borderId="0" xfId="0" applyFont="1"/>
    <xf numFmtId="0" fontId="24" fillId="0" borderId="0" xfId="0" applyFont="1" applyAlignment="1">
      <alignment horizontal="left"/>
    </xf>
    <xf numFmtId="0" fontId="24" fillId="0" borderId="0" xfId="0" applyFont="1" applyAlignment="1">
      <alignment horizontal="center"/>
    </xf>
    <xf numFmtId="0" fontId="23" fillId="7" borderId="0" xfId="0" applyFont="1" applyFill="1"/>
    <xf numFmtId="22" fontId="0" fillId="0" borderId="0" xfId="0" applyNumberFormat="1" applyAlignment="1">
      <alignment horizontal="center"/>
    </xf>
    <xf numFmtId="9" fontId="12" fillId="0" borderId="0" xfId="2" applyFont="1" applyAlignment="1">
      <alignment horizontal="left"/>
    </xf>
    <xf numFmtId="9" fontId="15" fillId="0" borderId="0" xfId="2" applyFont="1"/>
    <xf numFmtId="9" fontId="0" fillId="10" borderId="0" xfId="2" applyFont="1" applyFill="1"/>
    <xf numFmtId="166" fontId="0" fillId="0" borderId="0" xfId="0" applyNumberFormat="1" applyAlignment="1">
      <alignment horizontal="center"/>
    </xf>
    <xf numFmtId="0" fontId="26" fillId="0" borderId="0" xfId="0" applyFont="1" applyAlignment="1">
      <alignment horizontal="center"/>
    </xf>
    <xf numFmtId="9" fontId="0" fillId="0" borderId="0" xfId="0" applyNumberFormat="1"/>
    <xf numFmtId="43" fontId="0" fillId="0" borderId="0" xfId="1" applyFont="1" applyAlignment="1">
      <alignment horizontal="center" vertical="center"/>
    </xf>
    <xf numFmtId="0" fontId="0" fillId="0" borderId="0" xfId="0" applyAlignment="1">
      <alignment horizontal="center" vertical="center"/>
    </xf>
    <xf numFmtId="178" fontId="12" fillId="0" borderId="0" xfId="1" applyNumberFormat="1" applyFont="1" applyFill="1" applyAlignment="1">
      <alignment horizontal="center"/>
    </xf>
    <xf numFmtId="177" fontId="21" fillId="11" borderId="2" xfId="0" applyNumberFormat="1" applyFont="1" applyFill="1" applyBorder="1"/>
    <xf numFmtId="10" fontId="25" fillId="11" borderId="8" xfId="2" applyNumberFormat="1" applyFont="1" applyFill="1" applyBorder="1"/>
    <xf numFmtId="10" fontId="25" fillId="11" borderId="0" xfId="2" applyNumberFormat="1" applyFont="1" applyFill="1" applyBorder="1"/>
    <xf numFmtId="10" fontId="0" fillId="12" borderId="0" xfId="0" applyNumberFormat="1" applyFill="1"/>
    <xf numFmtId="178" fontId="23" fillId="12" borderId="0" xfId="1" applyNumberFormat="1" applyFont="1" applyFill="1"/>
    <xf numFmtId="178" fontId="0" fillId="0" borderId="0" xfId="0" applyNumberFormat="1"/>
    <xf numFmtId="9" fontId="0" fillId="13" borderId="0" xfId="2" applyFont="1" applyFill="1"/>
    <xf numFmtId="43" fontId="23" fillId="7" borderId="0" xfId="1" applyFont="1" applyFill="1"/>
    <xf numFmtId="49" fontId="0" fillId="0" borderId="0" xfId="0" applyNumberFormat="1"/>
    <xf numFmtId="179" fontId="0" fillId="0" borderId="0" xfId="2" applyNumberFormat="1" applyFont="1"/>
    <xf numFmtId="0" fontId="0" fillId="14" borderId="0" xfId="0" applyFill="1"/>
    <xf numFmtId="10" fontId="0" fillId="14" borderId="0" xfId="2" applyNumberFormat="1" applyFont="1" applyFill="1"/>
    <xf numFmtId="0" fontId="0" fillId="14" borderId="0" xfId="0" applyFill="1" applyAlignment="1">
      <alignment horizontal="center"/>
    </xf>
    <xf numFmtId="177" fontId="0" fillId="0" borderId="0" xfId="2" applyNumberFormat="1" applyFont="1" applyAlignment="1">
      <alignment horizontal="center"/>
    </xf>
    <xf numFmtId="165" fontId="14" fillId="14" borderId="0" xfId="0" applyNumberFormat="1" applyFont="1" applyFill="1"/>
    <xf numFmtId="165" fontId="16" fillId="14" borderId="0" xfId="0" applyNumberFormat="1" applyFont="1" applyFill="1"/>
    <xf numFmtId="167" fontId="0" fillId="15" borderId="0" xfId="0" applyNumberFormat="1" applyFill="1"/>
    <xf numFmtId="167" fontId="15" fillId="15" borderId="0" xfId="0" applyNumberFormat="1" applyFont="1" applyFill="1"/>
  </cellXfs>
  <cellStyles count="6">
    <cellStyle name="Accent1" xfId="5" builtinId="29"/>
    <cellStyle name="Bad" xfId="3" builtinId="27"/>
    <cellStyle name="Comma" xfId="1" builtinId="3"/>
    <cellStyle name="Input" xfId="4" builtinId="20"/>
    <cellStyle name="Normal" xfId="0" builtinId="0"/>
    <cellStyle name="Percent" xfId="2" builtinId="5"/>
  </cellStyles>
  <dxfs count="55">
    <dxf>
      <font>
        <color rgb="FF006100"/>
      </font>
      <fill>
        <patternFill>
          <bgColor rgb="FFC6EFCE"/>
        </patternFill>
      </fill>
    </dxf>
    <dxf>
      <numFmt numFmtId="167" formatCode="_([$$-409]* #,##0.00_);_([$$-409]* \(#,##0.00\);_([$$-409]* &quot;-&quot;??_);_(@_)"/>
    </dxf>
    <dxf>
      <numFmt numFmtId="167" formatCode="_([$$-409]* #,##0.00_);_([$$-409]* \(#,##0.00\);_([$$-409]* &quot;-&quot;??_);_(@_)"/>
      <alignment horizontal="center" vertical="bottom" textRotation="0" wrapText="0" indent="0" justifyLastLine="0" shrinkToFit="0" readingOrder="0"/>
    </dxf>
    <dxf>
      <numFmt numFmtId="174" formatCode="_(* #,##0.0000_);_(* \(#,##0.0000\);_(* &quot;-&quot;??_);_(@_)"/>
    </dxf>
    <dxf>
      <font>
        <color rgb="FF00B050"/>
      </font>
      <numFmt numFmtId="178" formatCode="0.0%;[Red]\-0.0%"/>
      <fill>
        <patternFill patternType="solid">
          <fgColor indexed="64"/>
          <bgColor theme="4" tint="0.79998168889431442"/>
        </patternFill>
      </fill>
    </dxf>
    <dxf>
      <numFmt numFmtId="178" formatCode="0.0%;[Red]\-0.0%"/>
    </dxf>
    <dxf>
      <font>
        <color rgb="FF00B050"/>
      </font>
      <numFmt numFmtId="178" formatCode="0.0%;[Red]\-0.0%"/>
      <fill>
        <patternFill patternType="solid">
          <fgColor indexed="64"/>
          <bgColor theme="4" tint="0.79998168889431442"/>
        </patternFill>
      </fill>
    </dxf>
    <dxf>
      <numFmt numFmtId="14" formatCode="0.00%"/>
    </dxf>
    <dxf>
      <fill>
        <patternFill>
          <bgColor theme="4" tint="0.79998168889431442"/>
        </patternFill>
      </fill>
    </dxf>
    <dxf>
      <font>
        <b val="0"/>
        <i val="0"/>
        <strike val="0"/>
        <condense val="0"/>
        <extend val="0"/>
        <outline val="0"/>
        <shadow val="0"/>
        <u val="none"/>
        <vertAlign val="baseline"/>
        <sz val="16"/>
        <color theme="0" tint="-0.34998626667073579"/>
        <name val="Calibri"/>
        <family val="2"/>
        <scheme val="none"/>
      </font>
      <numFmt numFmtId="14" formatCode="0.00%"/>
      <fill>
        <patternFill patternType="solid">
          <fgColor rgb="FF000000"/>
          <bgColor theme="4" tint="0.79998168889431442"/>
        </patternFill>
      </fill>
    </dxf>
    <dxf>
      <font>
        <strike val="0"/>
        <outline val="0"/>
        <shadow val="0"/>
        <u val="none"/>
        <vertAlign val="baseline"/>
        <sz val="16"/>
        <color theme="0" tint="-0.34998626667073579"/>
      </font>
      <numFmt numFmtId="14" formatCode="0.00%"/>
      <fill>
        <patternFill patternType="solid">
          <fgColor indexed="64"/>
          <bgColor theme="4" tint="0.79998168889431442"/>
        </patternFill>
      </fill>
    </dxf>
    <dxf>
      <font>
        <b val="0"/>
        <i val="0"/>
        <strike val="0"/>
        <condense val="0"/>
        <extend val="0"/>
        <outline val="0"/>
        <shadow val="0"/>
        <u val="none"/>
        <vertAlign val="baseline"/>
        <sz val="16"/>
        <color rgb="FFFF0000"/>
        <name val="Aptos Narrow"/>
        <family val="2"/>
        <scheme val="minor"/>
      </font>
    </dxf>
    <dxf>
      <font>
        <b val="0"/>
        <i val="0"/>
        <strike val="0"/>
        <condense val="0"/>
        <extend val="0"/>
        <outline val="0"/>
        <shadow val="0"/>
        <u val="none"/>
        <vertAlign val="baseline"/>
        <sz val="16"/>
        <color theme="0" tint="-0.34998626667073579"/>
        <name val="Calibri"/>
        <family val="2"/>
        <scheme val="none"/>
      </font>
      <numFmt numFmtId="177" formatCode="[$-409]d\-mmm\-yy;@"/>
      <fill>
        <patternFill patternType="solid">
          <fgColor rgb="FF000000"/>
          <bgColor theme="4" tint="0.79998168889431442"/>
        </patternFill>
      </fill>
      <border diagonalUp="0" diagonalDown="0" outline="0">
        <left/>
        <right/>
        <top style="thin">
          <color rgb="FF8EA9DB"/>
        </top>
        <bottom style="thin">
          <color rgb="FF8EA9DB"/>
        </bottom>
      </border>
    </dxf>
    <dxf>
      <font>
        <b val="0"/>
        <i val="0"/>
        <strike val="0"/>
        <condense val="0"/>
        <extend val="0"/>
        <outline val="0"/>
        <shadow val="0"/>
        <u val="none"/>
        <vertAlign val="baseline"/>
        <sz val="16"/>
        <color rgb="FFFF0000"/>
        <name val="Aptos Narrow"/>
        <family val="2"/>
        <scheme val="minor"/>
      </font>
    </dxf>
    <dxf>
      <font>
        <strike val="0"/>
        <outline val="0"/>
        <shadow val="0"/>
        <u val="none"/>
        <vertAlign val="baseline"/>
        <color rgb="FFFF0000"/>
      </font>
      <numFmt numFmtId="177" formatCode="[$-409]d\-mmm\-yy;@"/>
      <fill>
        <patternFill patternType="solid">
          <fgColor indexed="64"/>
          <bgColor theme="4" tint="0.79998168889431442"/>
        </patternFill>
      </fill>
    </dxf>
    <dxf>
      <font>
        <b val="0"/>
        <i val="0"/>
        <strike val="0"/>
        <condense val="0"/>
        <extend val="0"/>
        <outline val="0"/>
        <shadow val="0"/>
        <u val="none"/>
        <vertAlign val="baseline"/>
        <sz val="16"/>
        <color rgb="FF00B050"/>
        <name val="Aptos Narrow"/>
        <family val="2"/>
        <scheme val="minor"/>
      </font>
    </dxf>
    <dxf>
      <font>
        <strike val="0"/>
        <outline val="0"/>
        <shadow val="0"/>
        <u val="none"/>
        <vertAlign val="baseline"/>
        <color rgb="FF00B050"/>
      </font>
      <numFmt numFmtId="35" formatCode="_(* #,##0.00_);_(* \(#,##0.00\);_(* &quot;-&quot;??_);_(@_)"/>
      <fill>
        <patternFill patternType="solid">
          <fgColor indexed="64"/>
          <bgColor rgb="FFFFFF00"/>
        </patternFill>
      </fill>
    </dxf>
    <dxf>
      <font>
        <b val="0"/>
        <i val="0"/>
        <strike val="0"/>
        <condense val="0"/>
        <extend val="0"/>
        <outline val="0"/>
        <shadow val="0"/>
        <u val="none"/>
        <vertAlign val="baseline"/>
        <sz val="16"/>
        <color theme="1"/>
        <name val="Aptos Narrow"/>
        <family val="2"/>
        <scheme val="minor"/>
      </font>
      <fill>
        <patternFill patternType="solid">
          <fgColor indexed="64"/>
          <bgColor rgb="FFFFC000"/>
        </patternFill>
      </fill>
    </dxf>
    <dxf>
      <numFmt numFmtId="13" formatCode="0%"/>
    </dxf>
    <dxf>
      <fill>
        <patternFill patternType="solid">
          <fgColor indexed="64"/>
          <bgColor rgb="FFFFC000"/>
        </patternFill>
      </fill>
    </dxf>
    <dxf>
      <numFmt numFmtId="167" formatCode="_([$$-409]* #,##0.00_);_([$$-409]* \(#,##0.00\);_([$$-409]* &quot;-&quot;??_);_(@_)"/>
    </dxf>
    <dxf>
      <numFmt numFmtId="3" formatCode="#,##0"/>
    </dxf>
    <dxf>
      <numFmt numFmtId="3" formatCode="#,##0"/>
    </dxf>
    <dxf>
      <numFmt numFmtId="3" formatCode="#,##0"/>
    </dxf>
    <dxf>
      <numFmt numFmtId="3" formatCode="#,##0"/>
    </dxf>
    <dxf>
      <numFmt numFmtId="167" formatCode="_([$$-409]* #,##0.00_);_([$$-409]* \(#,##0.00\);_([$$-409]* &quot;-&quot;??_);_(@_)"/>
    </dxf>
    <dxf>
      <numFmt numFmtId="167" formatCode="_([$$-409]* #,##0.00_);_([$$-409]* \(#,##0.00\);_([$$-409]* &quot;-&quot;??_);_(@_)"/>
    </dxf>
    <dxf>
      <numFmt numFmtId="14" formatCode="0.00%"/>
    </dxf>
    <dxf>
      <numFmt numFmtId="14" formatCode="0.00%"/>
    </dxf>
    <dxf>
      <numFmt numFmtId="165" formatCode="0.00_);[Red]\(0.00\)"/>
    </dxf>
    <dxf>
      <numFmt numFmtId="165" formatCode="0.00_);[Red]\(0.00\)"/>
    </dxf>
    <dxf>
      <numFmt numFmtId="4" formatCode="#,##0.00"/>
    </dxf>
    <dxf>
      <numFmt numFmtId="173" formatCode="_(&quot;$&quot;* #,##0_);_(&quot;$&quot;* \(#,##0\);_(&quot;$&quot;*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167" formatCode="_([$$-409]* #,##0.00_);_([$$-409]* \(#,##0.00\);_([$$-409]* &quot;-&quot;??_);_(@_)"/>
    </dxf>
    <dxf>
      <numFmt numFmtId="27" formatCode="m/d/yy\ h:mm"/>
    </dxf>
    <dxf>
      <font>
        <b val="0"/>
        <i val="0"/>
        <strike val="0"/>
        <condense val="0"/>
        <extend val="0"/>
        <outline val="0"/>
        <shadow val="0"/>
        <u val="none"/>
        <vertAlign val="baseline"/>
        <sz val="16"/>
        <color theme="1"/>
        <name val="Calibri"/>
        <family val="2"/>
        <scheme val="none"/>
      </font>
    </dxf>
    <dxf>
      <numFmt numFmtId="167" formatCode="_([$$-409]* #,##0.00_);_([$$-409]* \(#,##0.00\);_([$$-409]* &quot;-&quot;??_);_(@_)"/>
      <fill>
        <patternFill>
          <fgColor indexed="64"/>
          <bgColor theme="8" tint="0.39997558519241921"/>
        </patternFill>
      </fill>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16"/>
        <color theme="1"/>
        <name val="Calibri"/>
        <family val="2"/>
        <scheme val="none"/>
      </font>
    </dxf>
    <dxf>
      <font>
        <b/>
        <i val="0"/>
        <strike val="0"/>
        <condense val="0"/>
        <extend val="0"/>
        <outline val="0"/>
        <shadow val="0"/>
        <u val="none"/>
        <vertAlign val="baseline"/>
        <sz val="16"/>
        <color theme="1"/>
        <name val="Calibri"/>
        <family val="2"/>
        <scheme val="none"/>
      </font>
      <numFmt numFmtId="165" formatCode="0.00_);[Red]\(0.00\)"/>
    </dxf>
    <dxf>
      <font>
        <b/>
        <i val="0"/>
        <strike val="0"/>
        <condense val="0"/>
        <extend val="0"/>
        <outline val="0"/>
        <shadow val="0"/>
        <u val="none"/>
        <vertAlign val="baseline"/>
        <sz val="20"/>
        <color rgb="FF000000"/>
        <name val="Calibri (Body)"/>
        <scheme val="none"/>
      </font>
      <fill>
        <patternFill patternType="none">
          <fgColor indexed="64"/>
          <bgColor auto="1"/>
        </patternFill>
      </fill>
      <alignment horizontal="center" vertical="bottom" textRotation="0" wrapText="0" indent="0" justifyLastLine="0" shrinkToFit="0" readingOrder="0"/>
    </dxf>
    <dxf>
      <fill>
        <patternFill patternType="solid">
          <fgColor rgb="FFD9E1F2"/>
          <bgColor rgb="FFD9E1F2"/>
        </patternFill>
      </fill>
    </dxf>
    <dxf>
      <fill>
        <patternFill patternType="solid">
          <fgColor rgb="FFD9E1F2"/>
          <bgColor rgb="FFD9E1F2"/>
        </patternFill>
      </fill>
    </dxf>
    <dxf>
      <font>
        <b/>
        <color rgb="FF000000"/>
      </font>
    </dxf>
    <dxf>
      <font>
        <b/>
        <color rgb="FF000000"/>
      </font>
    </dxf>
    <dxf>
      <font>
        <b/>
        <color rgb="FF000000"/>
      </font>
      <border>
        <top style="double">
          <color rgb="FF4472C4"/>
        </top>
      </border>
    </dxf>
    <dxf>
      <font>
        <b/>
        <color rgb="FFFFFFFF"/>
      </font>
      <fill>
        <patternFill patternType="solid">
          <fgColor rgb="FF4472C4"/>
          <bgColor rgb="FF4472C4"/>
        </patternFill>
      </fill>
    </dxf>
    <dxf>
      <font>
        <color rgb="FF000000"/>
      </font>
      <border>
        <left style="thin">
          <color rgb="FF8EA9DB"/>
        </left>
        <right style="thin">
          <color rgb="FF8EA9DB"/>
        </right>
        <top style="thin">
          <color rgb="FF8EA9DB"/>
        </top>
        <bottom style="thin">
          <color rgb="FF8EA9DB"/>
        </bottom>
        <horizontal style="thin">
          <color rgb="FF8EA9DB"/>
        </horizontal>
      </border>
    </dxf>
  </dxfs>
  <tableStyles count="1" defaultTableStyle="TableStyleMedium2" defaultPivotStyle="PivotStyleLight16">
    <tableStyle name="TableStyleMedium2 2" pivot="0" count="7" xr9:uid="{888FA79E-3F53-A340-B6AD-5A4B5E64BAF5}">
      <tableStyleElement type="wholeTable" dxfId="54"/>
      <tableStyleElement type="headerRow" dxfId="53"/>
      <tableStyleElement type="totalRow" dxfId="52"/>
      <tableStyleElement type="firstColumn" dxfId="51"/>
      <tableStyleElement type="lastColumn" dxfId="50"/>
      <tableStyleElement type="firstRowStripe" dxfId="49"/>
      <tableStyleElement type="firstColumn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externalLink" Target="externalLinks/externalLink1.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microsoft.com/office/2017/10/relationships/person" Target="persons/person.xml"/><Relationship Id="rId10" Type="http://schemas.microsoft.com/office/2017/06/relationships/rdRichValueStructure" Target="richData/rdrichvaluestructure.xml"/><Relationship Id="rId4" Type="http://schemas.openxmlformats.org/officeDocument/2006/relationships/externalLink" Target="externalLinks/externalLink2.xml"/><Relationship Id="rId9" Type="http://schemas.microsoft.com/office/2017/06/relationships/rdRichValue" Target="richData/rdrichvalue.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ostayanev/NikyClean/Ticker_DataLocal.xlsx" TargetMode="External"/><Relationship Id="rId1" Type="http://schemas.openxmlformats.org/officeDocument/2006/relationships/externalLinkPath" Target="Ticker_DataLoca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kostayanev/NikyClean/YahooDataOutput.xlsx" TargetMode="External"/><Relationship Id="rId1" Type="http://schemas.openxmlformats.org/officeDocument/2006/relationships/externalLinkPath" Target="YahooDataOutpu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ow r="1">
          <cell r="B1" t="str">
            <v>1-Year Target Price</v>
          </cell>
          <cell r="C1" t="str">
            <v>Ex-Dividend Date</v>
          </cell>
          <cell r="D1" t="str">
            <v>Earnings Date</v>
          </cell>
          <cell r="E1" t="str">
            <v>Dividend Yield (%)</v>
          </cell>
        </row>
      </sheetData>
      <sheetData sheetId="1">
        <row r="2">
          <cell r="B2" t="str">
            <v>AAPL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YData"/>
    </sheetNames>
    <sheetDataSet>
      <sheetData sheetId="0">
        <row r="2">
          <cell r="A2" t="str">
            <v>AAPL</v>
          </cell>
          <cell r="B2">
            <v>276.43097</v>
          </cell>
          <cell r="C2" t="str">
            <v>2025-11-10</v>
          </cell>
          <cell r="D2" t="str">
            <v>Jan 29, 2026</v>
          </cell>
          <cell r="E2">
            <v>3.8E-3</v>
          </cell>
        </row>
        <row r="3">
          <cell r="A3" t="str">
            <v>ADEA</v>
          </cell>
          <cell r="B3">
            <v>20.66667</v>
          </cell>
          <cell r="C3" t="str">
            <v>2025-08-26</v>
          </cell>
          <cell r="E3">
            <v>1.17E-2</v>
          </cell>
        </row>
        <row r="4">
          <cell r="A4" t="str">
            <v>AET.L</v>
          </cell>
          <cell r="B4">
            <v>96.66</v>
          </cell>
        </row>
        <row r="5">
          <cell r="A5" t="str">
            <v>AMZN</v>
          </cell>
          <cell r="B5">
            <v>288.42410000000001</v>
          </cell>
          <cell r="D5" t="str">
            <v>Oct 30, 2025</v>
          </cell>
        </row>
        <row r="6">
          <cell r="A6" t="str">
            <v>ALDNE.PA</v>
          </cell>
          <cell r="B6">
            <v>1.5333300000000001</v>
          </cell>
        </row>
        <row r="7">
          <cell r="A7" t="str">
            <v>ASML.AS</v>
          </cell>
          <cell r="B7">
            <v>941.90326000000005</v>
          </cell>
          <cell r="C7" t="str">
            <v>2025-10-28</v>
          </cell>
          <cell r="E7">
            <v>6.9999998000000001E-3</v>
          </cell>
        </row>
        <row r="8">
          <cell r="A8" t="str">
            <v>AVGO</v>
          </cell>
          <cell r="B8">
            <v>392.38164999999998</v>
          </cell>
          <cell r="C8" t="str">
            <v>2025-09-22</v>
          </cell>
          <cell r="D8" t="str">
            <v>Dec 11, 2025</v>
          </cell>
          <cell r="E8">
            <v>6.4000000000000003E-3</v>
          </cell>
        </row>
        <row r="9">
          <cell r="A9" t="str">
            <v>AZN</v>
          </cell>
          <cell r="B9">
            <v>93.25273</v>
          </cell>
          <cell r="C9" t="str">
            <v>2025-08-08</v>
          </cell>
          <cell r="D9" t="str">
            <v>Nov 6, 2025</v>
          </cell>
          <cell r="E9">
            <v>1.9E-2</v>
          </cell>
        </row>
        <row r="10">
          <cell r="A10" t="str">
            <v>BLDP</v>
          </cell>
          <cell r="B10">
            <v>2.75</v>
          </cell>
          <cell r="D10" t="str">
            <v>Nov 13, 2025</v>
          </cell>
        </row>
        <row r="11">
          <cell r="A11" t="str">
            <v>BMRA</v>
          </cell>
        </row>
        <row r="12">
          <cell r="A12" t="str">
            <v>C</v>
          </cell>
          <cell r="B12">
            <v>113.7619</v>
          </cell>
          <cell r="C12" t="str">
            <v>2025-11-03</v>
          </cell>
          <cell r="D12" t="str">
            <v>Jan 14, 2026</v>
          </cell>
          <cell r="E12">
            <v>2.3699998999999999E-2</v>
          </cell>
        </row>
        <row r="13">
          <cell r="A13" t="str">
            <v>CSCO</v>
          </cell>
          <cell r="B13">
            <v>76.290949999999995</v>
          </cell>
          <cell r="C13" t="str">
            <v>2025-10-03</v>
          </cell>
          <cell r="D13" t="str">
            <v>Nov 12, 2025</v>
          </cell>
          <cell r="E13">
            <v>2.24E-2</v>
          </cell>
        </row>
        <row r="14">
          <cell r="A14" t="str">
            <v>CVS</v>
          </cell>
          <cell r="B14">
            <v>90.48</v>
          </cell>
          <cell r="C14" t="str">
            <v>2025-10-23</v>
          </cell>
          <cell r="D14" t="str">
            <v>Oct 29, 2025</v>
          </cell>
          <cell r="E14">
            <v>3.4000000000000002E-2</v>
          </cell>
        </row>
        <row r="15">
          <cell r="A15" t="str">
            <v>DDD</v>
          </cell>
          <cell r="B15">
            <v>3.25</v>
          </cell>
          <cell r="D15" t="str">
            <v>Nov 4, 2025</v>
          </cell>
        </row>
        <row r="16">
          <cell r="A16" t="str">
            <v>DIS</v>
          </cell>
          <cell r="B16">
            <v>134.07239999999999</v>
          </cell>
          <cell r="C16" t="str">
            <v>2025-06-24</v>
          </cell>
          <cell r="D16" t="str">
            <v>Nov 13, 2025</v>
          </cell>
          <cell r="E16">
            <v>8.8999999999999999E-3</v>
          </cell>
        </row>
        <row r="17">
          <cell r="A17" t="str">
            <v>DSY.PA</v>
          </cell>
          <cell r="B17">
            <v>31.877780000000001</v>
          </cell>
          <cell r="C17" t="str">
            <v>2025-05-26</v>
          </cell>
          <cell r="E17">
            <v>1.06E-2</v>
          </cell>
        </row>
        <row r="18">
          <cell r="A18" t="str">
            <v>DVA</v>
          </cell>
          <cell r="B18">
            <v>147.125</v>
          </cell>
          <cell r="D18" t="str">
            <v>Oct 29, 2025</v>
          </cell>
        </row>
        <row r="19">
          <cell r="A19" t="str">
            <v>DXC</v>
          </cell>
          <cell r="B19">
            <v>14.5</v>
          </cell>
          <cell r="C19" t="str">
            <v>2020-03-24</v>
          </cell>
          <cell r="D19" t="str">
            <v>Oct 30, 2025</v>
          </cell>
        </row>
        <row r="20">
          <cell r="A20" t="str">
            <v>EOAN.DE</v>
          </cell>
          <cell r="B20">
            <v>16.919589999999999</v>
          </cell>
          <cell r="C20" t="str">
            <v>2025-05-16</v>
          </cell>
          <cell r="E20">
            <v>3.4099999999999998E-2</v>
          </cell>
        </row>
        <row r="21">
          <cell r="A21" t="str">
            <v>EPIX</v>
          </cell>
          <cell r="C21" t="str">
            <v>2025-08-25</v>
          </cell>
        </row>
        <row r="22">
          <cell r="A22" t="str">
            <v>GM</v>
          </cell>
          <cell r="B22">
            <v>73.153850000000006</v>
          </cell>
          <cell r="C22" t="str">
            <v>2025-12-05</v>
          </cell>
          <cell r="D22" t="str">
            <v>Oct 21, 2025</v>
          </cell>
          <cell r="E22">
            <v>8.6999999999999994E-3</v>
          </cell>
        </row>
        <row r="23">
          <cell r="A23" t="str">
            <v>HPE</v>
          </cell>
          <cell r="B23">
            <v>26.51211</v>
          </cell>
          <cell r="C23" t="str">
            <v>2025-09-18</v>
          </cell>
          <cell r="D23" t="str">
            <v>Dec 4, 2025</v>
          </cell>
          <cell r="E23">
            <v>2.1300000999999999E-2</v>
          </cell>
        </row>
        <row r="24">
          <cell r="A24" t="str">
            <v>HPQ</v>
          </cell>
          <cell r="B24">
            <v>28.282499999999999</v>
          </cell>
          <cell r="C24" t="str">
            <v>2025-09-10</v>
          </cell>
          <cell r="D24" t="str">
            <v>Nov 25, 2025</v>
          </cell>
          <cell r="E24">
            <v>4.1799999999999997E-2</v>
          </cell>
        </row>
        <row r="25">
          <cell r="A25" t="str">
            <v>IAG.L</v>
          </cell>
          <cell r="B25">
            <v>464.0942</v>
          </cell>
          <cell r="C25" t="str">
            <v>2025-06-26</v>
          </cell>
          <cell r="E25">
            <v>1.83E-2</v>
          </cell>
        </row>
        <row r="26">
          <cell r="A26" t="str">
            <v>KR</v>
          </cell>
          <cell r="B26">
            <v>76.045450000000002</v>
          </cell>
          <cell r="C26" t="str">
            <v>2025-11-14</v>
          </cell>
          <cell r="D26" t="str">
            <v>Dec 4, 2025</v>
          </cell>
          <cell r="E26">
            <v>2.1999999999999999E-2</v>
          </cell>
        </row>
        <row r="27">
          <cell r="A27" t="str">
            <v>LNSR</v>
          </cell>
          <cell r="B27">
            <v>15</v>
          </cell>
        </row>
        <row r="28">
          <cell r="A28" t="str">
            <v>LUMN</v>
          </cell>
          <cell r="B28">
            <v>5.9580000000000002</v>
          </cell>
          <cell r="C28" t="str">
            <v>2022-08-29</v>
          </cell>
          <cell r="D28" t="str">
            <v>Oct 30, 2025</v>
          </cell>
        </row>
        <row r="29">
          <cell r="A29" t="str">
            <v>MRNA</v>
          </cell>
          <cell r="B29">
            <v>40.299999999999997</v>
          </cell>
          <cell r="D29" t="str">
            <v>Nov 6, 2025</v>
          </cell>
        </row>
        <row r="30">
          <cell r="A30" t="str">
            <v>MSFT</v>
          </cell>
          <cell r="B30">
            <v>626.22655999999995</v>
          </cell>
          <cell r="C30" t="str">
            <v>2025-11-20</v>
          </cell>
          <cell r="D30" t="str">
            <v>Jan 28, 2026</v>
          </cell>
          <cell r="E30">
            <v>6.9999998000000001E-3</v>
          </cell>
        </row>
        <row r="31">
          <cell r="A31" t="str">
            <v>NEE</v>
          </cell>
          <cell r="B31">
            <v>91</v>
          </cell>
          <cell r="C31" t="str">
            <v>2025-11-21</v>
          </cell>
          <cell r="D31" t="str">
            <v>Oct 28, 2025</v>
          </cell>
          <cell r="E31">
            <v>2.7799999999999998E-2</v>
          </cell>
        </row>
        <row r="32">
          <cell r="A32" t="str">
            <v>NEM</v>
          </cell>
          <cell r="B32">
            <v>102.735</v>
          </cell>
          <cell r="C32" t="str">
            <v>2025-11-26</v>
          </cell>
          <cell r="D32" t="str">
            <v>Oct 23, 2025</v>
          </cell>
          <cell r="E32">
            <v>1.24E-2</v>
          </cell>
        </row>
        <row r="33">
          <cell r="A33" t="str">
            <v>NFLX</v>
          </cell>
          <cell r="B33">
            <v>1347.3231000000001</v>
          </cell>
          <cell r="D33" t="str">
            <v>Jan 20, 2026</v>
          </cell>
        </row>
        <row r="34">
          <cell r="A34" t="str">
            <v>NOTE</v>
          </cell>
          <cell r="B34">
            <v>31.501080000000002</v>
          </cell>
        </row>
        <row r="35">
          <cell r="A35" t="str">
            <v>PAAS</v>
          </cell>
          <cell r="B35">
            <v>46.875</v>
          </cell>
          <cell r="C35" t="str">
            <v>2025-08-18</v>
          </cell>
          <cell r="D35" t="str">
            <v>Nov 12, 2025</v>
          </cell>
          <cell r="E35">
            <v>1.3599999999999999E-2</v>
          </cell>
        </row>
        <row r="36">
          <cell r="A36" t="str">
            <v>PROF</v>
          </cell>
          <cell r="B36">
            <v>12.1</v>
          </cell>
        </row>
        <row r="37">
          <cell r="A37" t="str">
            <v>POET</v>
          </cell>
          <cell r="B37">
            <v>6.6333299999999999</v>
          </cell>
          <cell r="D37" t="str">
            <v>Nov 13, 2025</v>
          </cell>
        </row>
        <row r="38">
          <cell r="A38" t="str">
            <v>PW</v>
          </cell>
          <cell r="C38" t="str">
            <v>2013-01-10</v>
          </cell>
        </row>
        <row r="39">
          <cell r="A39" t="str">
            <v>RIGL</v>
          </cell>
          <cell r="B39">
            <v>38.333329999999997</v>
          </cell>
          <cell r="D39" t="str">
            <v>Nov 4, 2025</v>
          </cell>
        </row>
        <row r="40">
          <cell r="A40" t="str">
            <v>RWE.DE</v>
          </cell>
          <cell r="B40">
            <v>44.747059999999998</v>
          </cell>
          <cell r="C40" t="str">
            <v>2025-05-02</v>
          </cell>
          <cell r="E40">
            <v>2.5799999000000001E-2</v>
          </cell>
        </row>
        <row r="41">
          <cell r="A41" t="str">
            <v>SAP.DE</v>
          </cell>
          <cell r="B41">
            <v>288.66680000000002</v>
          </cell>
          <cell r="C41" t="str">
            <v>2025-05-14</v>
          </cell>
          <cell r="E41">
            <v>1.0500000000000001E-2</v>
          </cell>
        </row>
        <row r="42">
          <cell r="A42" t="str">
            <v>SHECY</v>
          </cell>
          <cell r="C42" t="str">
            <v>2025-03-31</v>
          </cell>
          <cell r="E42">
            <v>2.4500001E-2</v>
          </cell>
        </row>
        <row r="43">
          <cell r="A43" t="str">
            <v>SSYS</v>
          </cell>
          <cell r="B43">
            <v>13.33333</v>
          </cell>
          <cell r="D43" t="str">
            <v>Nov 13, 2025</v>
          </cell>
        </row>
        <row r="44">
          <cell r="A44" t="str">
            <v>TSLA</v>
          </cell>
          <cell r="B44">
            <v>391.31805000000003</v>
          </cell>
          <cell r="D44" t="str">
            <v>Jan 28, 2026</v>
          </cell>
        </row>
        <row r="45">
          <cell r="A45" t="str">
            <v>TSM</v>
          </cell>
          <cell r="B45">
            <v>335.39688000000001</v>
          </cell>
          <cell r="C45" t="str">
            <v>2025-12-11</v>
          </cell>
          <cell r="D45" t="str">
            <v>Jan 15, 2026</v>
          </cell>
          <cell r="E45">
            <v>1.11E-2</v>
          </cell>
        </row>
        <row r="46">
          <cell r="A46" t="str">
            <v>UN0</v>
          </cell>
        </row>
        <row r="47">
          <cell r="A47" t="str">
            <v>UNIT</v>
          </cell>
          <cell r="B47">
            <v>7.4222200000000003</v>
          </cell>
          <cell r="C47" t="str">
            <v>2024-06-14</v>
          </cell>
          <cell r="D47" t="str">
            <v>Nov 4, 2025</v>
          </cell>
        </row>
        <row r="48">
          <cell r="A48" t="str">
            <v>AVGO</v>
          </cell>
          <cell r="B48">
            <v>392.38164999999998</v>
          </cell>
          <cell r="C48" t="str">
            <v>2025-09-22</v>
          </cell>
          <cell r="D48" t="str">
            <v>Dec 11, 2025</v>
          </cell>
          <cell r="E48">
            <v>6.4000000000000003E-3</v>
          </cell>
        </row>
        <row r="49">
          <cell r="A49" t="str">
            <v>VLVLY</v>
          </cell>
          <cell r="B49">
            <v>34</v>
          </cell>
          <cell r="C49" t="str">
            <v>2025-04-04</v>
          </cell>
          <cell r="E49">
            <v>2.9100000000000001E-2</v>
          </cell>
        </row>
        <row r="50">
          <cell r="A50" t="str">
            <v>VONN.SW</v>
          </cell>
          <cell r="B50">
            <v>61.5</v>
          </cell>
          <cell r="C50" t="str">
            <v>2025-04-04</v>
          </cell>
          <cell r="D50" t="str">
            <v>--</v>
          </cell>
          <cell r="E50">
            <v>4.9200002E-2</v>
          </cell>
        </row>
        <row r="51">
          <cell r="A51" t="str">
            <v>VTRS</v>
          </cell>
          <cell r="B51">
            <v>12</v>
          </cell>
          <cell r="C51" t="str">
            <v>2025-08-22</v>
          </cell>
          <cell r="D51" t="str">
            <v>Nov 6, 2025</v>
          </cell>
          <cell r="E51">
            <v>4.6300000000000001E-2</v>
          </cell>
        </row>
        <row r="52">
          <cell r="A52" t="str">
            <v>WBA</v>
          </cell>
        </row>
        <row r="53">
          <cell r="A53" t="str">
            <v>XOM</v>
          </cell>
          <cell r="B53">
            <v>126.88</v>
          </cell>
          <cell r="C53" t="str">
            <v>2025-11-14</v>
          </cell>
          <cell r="D53" t="str">
            <v>Jan 30, 2026</v>
          </cell>
          <cell r="E53">
            <v>3.4599999999999999E-2</v>
          </cell>
        </row>
        <row r="54">
          <cell r="A54" t="str">
            <v>XPER</v>
          </cell>
          <cell r="B54">
            <v>11.4</v>
          </cell>
        </row>
        <row r="55">
          <cell r="A55" t="str">
            <v>BLNK</v>
          </cell>
          <cell r="B55">
            <v>2.4</v>
          </cell>
          <cell r="D55" t="str">
            <v>Nov 6, 2025</v>
          </cell>
        </row>
        <row r="56">
          <cell r="A56" t="str">
            <v>ENI.MI</v>
          </cell>
          <cell r="B56">
            <v>16.122730000000001</v>
          </cell>
          <cell r="C56" t="str">
            <v>2025-11-24</v>
          </cell>
          <cell r="E56">
            <v>6.5199999999999994E-2</v>
          </cell>
        </row>
        <row r="57">
          <cell r="A57" t="str">
            <v>EZJ.L</v>
          </cell>
          <cell r="B57">
            <v>626.25</v>
          </cell>
          <cell r="C57" t="str">
            <v>2025-02-20</v>
          </cell>
          <cell r="E57">
            <v>2.5000000000000001E-2</v>
          </cell>
        </row>
        <row r="58">
          <cell r="A58" t="str">
            <v>F</v>
          </cell>
          <cell r="B58">
            <v>12.265000000000001</v>
          </cell>
          <cell r="C58" t="str">
            <v>2025-11-07</v>
          </cell>
          <cell r="D58" t="str">
            <v>Oct 23, 2025</v>
          </cell>
          <cell r="E58">
            <v>4.5700002000000003E-2</v>
          </cell>
        </row>
        <row r="59">
          <cell r="A59" t="str">
            <v>GLE.PA</v>
          </cell>
          <cell r="B59">
            <v>64.686109999999999</v>
          </cell>
          <cell r="C59" t="str">
            <v>2025-10-07</v>
          </cell>
          <cell r="D59" t="str">
            <v>Oct 30, 2025</v>
          </cell>
          <cell r="E59">
            <v>3.1E-2</v>
          </cell>
        </row>
        <row r="60">
          <cell r="A60" t="str">
            <v>GNRC</v>
          </cell>
          <cell r="B60">
            <v>207.47059999999999</v>
          </cell>
          <cell r="C60" t="str">
            <v>2013-06-10</v>
          </cell>
          <cell r="D60" t="str">
            <v>Oct 29, 2025</v>
          </cell>
        </row>
        <row r="61">
          <cell r="A61" t="str">
            <v>GS</v>
          </cell>
          <cell r="B61">
            <v>801.84209999999996</v>
          </cell>
          <cell r="C61" t="str">
            <v>2025-12-02</v>
          </cell>
          <cell r="D61" t="str">
            <v>Jan 15, 2026</v>
          </cell>
          <cell r="E61">
            <v>2.0299998999999999E-2</v>
          </cell>
        </row>
        <row r="62">
          <cell r="A62" t="str">
            <v>LAZR</v>
          </cell>
          <cell r="B62">
            <v>2.5</v>
          </cell>
          <cell r="D62" t="str">
            <v>Nov 13, 2025</v>
          </cell>
        </row>
        <row r="63">
          <cell r="A63" t="str">
            <v>LUV</v>
          </cell>
          <cell r="B63">
            <v>34.073680000000003</v>
          </cell>
          <cell r="C63" t="str">
            <v>2025-09-03</v>
          </cell>
          <cell r="D63" t="str">
            <v>Oct 22, 2025</v>
          </cell>
          <cell r="E63">
            <v>2.3800000000000002E-2</v>
          </cell>
        </row>
        <row r="64">
          <cell r="A64" t="str">
            <v>MA</v>
          </cell>
          <cell r="B64">
            <v>655.20569999999998</v>
          </cell>
          <cell r="C64" t="str">
            <v>2025-10-09</v>
          </cell>
          <cell r="D64" t="str">
            <v>Jan 29, 2026</v>
          </cell>
          <cell r="E64">
            <v>5.4999999999999997E-3</v>
          </cell>
        </row>
        <row r="65">
          <cell r="A65" t="str">
            <v>NVAX</v>
          </cell>
          <cell r="B65">
            <v>12.612500000000001</v>
          </cell>
          <cell r="D65" t="str">
            <v>Nov 10, 2025</v>
          </cell>
        </row>
        <row r="66">
          <cell r="A66" t="str">
            <v>NVS</v>
          </cell>
          <cell r="B66">
            <v>127.45399999999999</v>
          </cell>
          <cell r="C66" t="str">
            <v>2025-03-12</v>
          </cell>
          <cell r="D66" t="str">
            <v>Oct 28, 2025</v>
          </cell>
          <cell r="E66">
            <v>3.2300000000000002E-2</v>
          </cell>
        </row>
        <row r="67">
          <cell r="A67" t="str">
            <v>ORA.PA</v>
          </cell>
          <cell r="B67">
            <v>15.32222</v>
          </cell>
          <cell r="C67" t="str">
            <v>2025-12-02</v>
          </cell>
          <cell r="E67">
            <v>5.4199999999999998E-2</v>
          </cell>
        </row>
        <row r="68">
          <cell r="A68" t="str">
            <v>OXY</v>
          </cell>
          <cell r="B68">
            <v>49.913040000000002</v>
          </cell>
          <cell r="C68" t="str">
            <v>2025-09-10</v>
          </cell>
          <cell r="D68" t="str">
            <v>Nov 10, 2025</v>
          </cell>
          <cell r="E68">
            <v>2.3300000000000001E-2</v>
          </cell>
        </row>
        <row r="69">
          <cell r="A69" t="str">
            <v>PFE</v>
          </cell>
          <cell r="B69">
            <v>28.751899999999999</v>
          </cell>
          <cell r="C69" t="str">
            <v>2025-11-07</v>
          </cell>
          <cell r="D69" t="str">
            <v>Nov 4, 2025</v>
          </cell>
          <cell r="E69">
            <v>6.9800000000000001E-2</v>
          </cell>
        </row>
        <row r="70">
          <cell r="A70" t="str">
            <v>RIG</v>
          </cell>
          <cell r="B70">
            <v>3.9538500000000001</v>
          </cell>
          <cell r="C70" t="str">
            <v>2015-08-21</v>
          </cell>
          <cell r="D70" t="str">
            <v>Oct 29, 2025</v>
          </cell>
        </row>
        <row r="71">
          <cell r="A71" t="str">
            <v>RRC</v>
          </cell>
          <cell r="B71">
            <v>41.415419999999997</v>
          </cell>
          <cell r="C71" t="str">
            <v>2025-09-12</v>
          </cell>
          <cell r="D71" t="str">
            <v>Oct 28, 2025</v>
          </cell>
          <cell r="E71">
            <v>1.01E-2</v>
          </cell>
        </row>
        <row r="72">
          <cell r="A72" t="str">
            <v>XYZ</v>
          </cell>
          <cell r="B72">
            <v>88.505260000000007</v>
          </cell>
          <cell r="D72" t="str">
            <v>Nov 6, 2025</v>
          </cell>
        </row>
        <row r="73">
          <cell r="A73" t="str">
            <v>THC</v>
          </cell>
          <cell r="B73">
            <v>229.61904999999999</v>
          </cell>
          <cell r="C73" t="str">
            <v>2000-03-13</v>
          </cell>
          <cell r="D73" t="str">
            <v>Oct 28, 2025</v>
          </cell>
        </row>
        <row r="74">
          <cell r="A74" t="str">
            <v>X</v>
          </cell>
        </row>
        <row r="75">
          <cell r="A75" t="str">
            <v>LOCK.L</v>
          </cell>
        </row>
      </sheetData>
    </sheetDataSet>
  </externalBook>
</externalLink>
</file>

<file path=xl/persons/person.xml><?xml version="1.0" encoding="utf-8"?>
<personList xmlns="http://schemas.microsoft.com/office/spreadsheetml/2018/threadedcomments" xmlns:x="http://schemas.openxmlformats.org/spreadsheetml/2006/main">
  <person displayName="Kosta Yanev" id="{88C89EF0-7557-4E46-A245-51121A75A417}" userId="308f790edeb48a01"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79">
  <rv s="0">
    <v>https://www.bing.com/financeapi/forcetrigger?t=a1mou2&amp;q=XNAS%3aAAPL&amp;form=skydnc</v>
    <v>Learn more on Bing</v>
  </rv>
  <rv s="1">
    <v>0</v>
    <v>APPLE INC. (XNAS:AAPL)</v>
    <v>2</v>
    <v>3</v>
    <v>Finance</v>
    <v>4</v>
    <v>en-US</v>
    <v>a1mou2</v>
    <v>268435456</v>
    <v>1</v>
    <v>Powered by Refinitiv</v>
    <v>277.32</v>
    <v>169.21010000000001</v>
    <v>1.1076999999999999</v>
    <v>0.1</v>
    <v>3.703E-4</v>
    <v>0.05</v>
    <v>1.851E-4</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166000</v>
    <v>Nasdaq Stock Market</v>
    <v>XNAS</v>
    <v>XNAS</v>
    <v>One Apple Park Way, CUPERTINO, CA, 95014 US</v>
    <v>271.7</v>
    <v>Computers, Phones &amp; Household Electronics</v>
    <v>Stock</v>
    <v>45967.000417742966</v>
    <v>0</v>
    <v>266.93</v>
    <v>3991683189000</v>
    <v>APPLE INC.</v>
    <v>APPLE INC.</v>
    <v>268.61</v>
    <v>36.3613</v>
    <v>270.04000000000002</v>
    <v>270.14</v>
    <v>270.19</v>
    <v>14776350000</v>
    <v>AAPL</v>
    <v>APPLE INC. (XNAS:AAPL)</v>
    <v>43644546</v>
    <v>47864472</v>
    <v>1977</v>
  </rv>
  <rv s="2">
    <v>1</v>
  </rv>
  <rv s="0">
    <v>https://www.bing.com/financeapi/forcetrigger?t=a269vh&amp;q=XNAS%3aXPER&amp;form=skydnc</v>
    <v>Learn more on Bing</v>
  </rv>
  <rv s="1">
    <v>0</v>
    <v>ADEIA INC. (XNAS:ADEA)</v>
    <v>2</v>
    <v>3</v>
    <v>Finance</v>
    <v>5</v>
    <v>en-US</v>
    <v>a269vh</v>
    <v>268435456</v>
    <v>1</v>
    <v>Powered by Refinitiv</v>
    <v>18.25</v>
    <v>10.59</v>
    <v>2.4068999999999998</v>
    <v>1.03</v>
    <v>8.0784000000000009E-2</v>
    <v>-0.14000000000000001</v>
    <v>-1.0160000000000001E-2</v>
    <v>USD</v>
    <v>Adeia Inc. is a research and development and intellectual property licensing company. The Company operates as an incubator that invests in advanced research and development to create technologies for the entertainment, media, consumer electronics and semiconductor industries. It invents, develops, acquires, and licenses fundamental innovations that enhance a range of devices and shape the way various people explore and experience entertainment across a variety of platforms. Its solutions are focused on its consumers' interaction with media, consumer electronics, and entertainment. Its IP licensing platform provides access to innovations that allow its customers, who are media, entertainment, consumer electronics, and semiconductor companies, to create technology solutions and products. It licenses its IP portfolio across markets, such as multichannel video programming distributors, over-the-top video service providers, social media companies, consumer electronics, and semiconductors.</v>
    <v>150</v>
    <v>Nasdaq Stock Market</v>
    <v>XNAS</v>
    <v>XNAS</v>
    <v>3025 Orchard Parkway, SAN JOSE, CA, 95134 US</v>
    <v>13.84</v>
    <v>Software &amp; IT Services</v>
    <v>Stock</v>
    <v>45966.949759050782</v>
    <v>3</v>
    <v>12.7</v>
    <v>1507099308</v>
    <v>ADEIA INC.</v>
    <v>ADEIA INC.</v>
    <v>12.84</v>
    <v>21.232700000000001</v>
    <v>12.75</v>
    <v>13.78</v>
    <v>13.64</v>
    <v>109368600</v>
    <v>ADEA</v>
    <v>ADEIA INC. (XNAS:ADEA)</v>
    <v>1761241</v>
    <v>681700</v>
    <v>2019</v>
  </rv>
  <rv s="2">
    <v>4</v>
  </rv>
  <rv s="0">
    <v>https://www.bing.com/financeapi/forcetrigger?t=aodfgh&amp;q=XLON%3aAET&amp;form=skydnc</v>
    <v>Learn more on Bing</v>
  </rv>
  <rv s="3">
    <v>6</v>
    <v>AFENTRA PLC (XLON:AET)</v>
    <v>2</v>
    <v>7</v>
    <v>Finance</v>
    <v>8</v>
    <v>en-US</v>
    <v>aodfgh</v>
    <v>268435456</v>
    <v>1</v>
    <v>Powered by Refinitiv</v>
    <v>56.2</v>
    <v>33.064999999999998</v>
    <v>1.6406000000000001</v>
    <v>1</v>
    <v>2.2221999999999999E-2</v>
    <v>GBp</v>
    <v>Afentra plc is a United Kingdom-based upstream oil and gas company. It is focused on optimizing and expanding its portfolio of producing fields, near-field development assets and short-cycle exploration opportunities within its target markets of West Africa. It has a 30% non-operated interest in the producing Block 3/05 and a 21.33% non-operated interest in the adjacent development Block 3/05A in Offshore, Angola. It also holds a 40% non-operating interest in Block 23, a deepwater exploration license with a proven hydrocarbon potential and covers an approximately 5,000 square kilometers (km2) exploration and appraisal block located in the offshore section of the Kwanza basin. It also has 45% non-operated interests in KON19 and KON15. It also has a 34% carried interest in the onshore Odewayne Block onshore southwestern Somaliland. The Block is an unexplored frontier acreage position covering 22,840 km2, offering the opportunity to explore an undrilled onshore rift basin in Africa.</v>
    <v>15</v>
    <v>London Stock Exchange</v>
    <v>XLON</v>
    <v>XLON</v>
    <v>10 St. Bride Street, LONDON, EC4A 4AD GB</v>
    <v>46</v>
    <v>Oil &amp; Gas</v>
    <v>Stock</v>
    <v>45966.691073657028</v>
    <v>6</v>
    <v>44.3</v>
    <v>102708800</v>
    <v>AFENTRA PLC</v>
    <v>AFENTRA PLC</v>
    <v>44.3</v>
    <v>3.9931000000000001</v>
    <v>45</v>
    <v>46</v>
    <v>226156000</v>
    <v>AET</v>
    <v>AFENTRA PLC (XLON:AET)</v>
    <v>93063</v>
    <v>418370</v>
    <v>1983</v>
  </rv>
  <rv s="2">
    <v>7</v>
  </rv>
  <rv s="0">
    <v>https://www.bing.com/financeapi/forcetrigger?t=a1nhlh&amp;q=XNAS%3aAMZN&amp;form=skydnc</v>
    <v>Learn more on Bing</v>
  </rv>
  <rv s="1">
    <v>0</v>
    <v>AMAZON.COM, INC. (XNAS:AMZN)</v>
    <v>2</v>
    <v>3</v>
    <v>Finance</v>
    <v>4</v>
    <v>en-US</v>
    <v>a1nhlh</v>
    <v>268435456</v>
    <v>1</v>
    <v>Powered by Refinitiv</v>
    <v>258.60000000000002</v>
    <v>161.38</v>
    <v>1.3596999999999999</v>
    <v>0.88</v>
    <v>3.5299999999999997E-3</v>
    <v>0</v>
    <v>0</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1578000</v>
    <v>Nasdaq Stock Market</v>
    <v>XNAS</v>
    <v>XNAS</v>
    <v>410 Terry Avenue North, SEATTLE, WA, 98109 US</v>
    <v>251</v>
    <v>Diversified Retail</v>
    <v>Stock</v>
    <v>45967.000515555468</v>
    <v>9</v>
    <v>246.16</v>
    <v>2674693044000</v>
    <v>AMAZON.COM, INC.</v>
    <v>AMAZON.COM, INC.</v>
    <v>249.03</v>
    <v>35.344000000000001</v>
    <v>249.32</v>
    <v>250.2</v>
    <v>250.2</v>
    <v>10690220000</v>
    <v>AMZN</v>
    <v>AMAZON.COM, INC. (XNAS:AMZN)</v>
    <v>40552606</v>
    <v>53776835</v>
    <v>1996</v>
  </rv>
  <rv s="2">
    <v>10</v>
  </rv>
  <rv s="0">
    <v>https://www.bing.com/financeapi/forcetrigger?t=b125ww&amp;q=XPAR%3aALDNE&amp;form=skydnc</v>
    <v>Learn more on Bing</v>
  </rv>
  <rv s="3">
    <v>6</v>
    <v>Dont Nod Entertainment SA (XPAR:ALDNE)</v>
    <v>2</v>
    <v>9</v>
    <v>Finance</v>
    <v>10</v>
    <v>en-US</v>
    <v>b125ww</v>
    <v>268435456</v>
    <v>1</v>
    <v>Powered by Refinitiv</v>
    <v>1.53</v>
    <v>0.65</v>
    <v>0.95879999999999999</v>
    <v>2E-3</v>
    <v>2.5380000000000003E-3</v>
    <v>EUR</v>
    <v>Dont Nod Entertainment SA is a France-based video game developer. The Company develops video games for consoles and personal computers (PC) based on original concepts and technologies. The Company specializes in narrative games in a number of genres, including adventure, action and role play. Its games are natively multi-screens (consoles, PCs, Smartphone, tablets, Mac and TV). Its game portfolio includes Remember me, which includes digitized personal and intimate memories; Life is Strange, which narrates the story of Max, a photography student who suddenly discovers an internal power to go back in time, and Vampyr, which depicts London in the early 20th century after it has been ravaged by the Spanish Flu.</v>
    <v>279</v>
    <v>Euronext Paris</v>
    <v>XPAR</v>
    <v>XPAR</v>
    <v>11 rue de Cambrai, Parc du Pont de Flandre, Le Beauvaisis, PARIS, ILE-DE-FRANCE, 75019 FR</v>
    <v>0.79800000000000004</v>
    <v>Software &amp; IT Services</v>
    <v>Stock</v>
    <v>45966.708333333336</v>
    <v>12</v>
    <v>0.77</v>
    <v>10308430</v>
    <v>Dont Nod Entertainment SA</v>
    <v>Dont Nod Entertainment SA</v>
    <v>0.78800000000000003</v>
    <v>0</v>
    <v>0.78800000000000003</v>
    <v>0.79</v>
    <v>13081760</v>
    <v>ALDNE</v>
    <v>Dont Nod Entertainment SA (XPAR:ALDNE)</v>
    <v>2729</v>
    <v>6780</v>
    <v>2008</v>
  </rv>
  <rv s="2">
    <v>13</v>
  </rv>
  <rv s="0">
    <v>https://www.bing.com/financeapi/forcetrigger?t=alnz5r&amp;q=XAMS%3aASML&amp;form=skydnc</v>
    <v>Learn more on Bing</v>
  </rv>
  <rv s="3">
    <v>6</v>
    <v>ASML Holding NV (XAMS:ASML)</v>
    <v>2</v>
    <v>9</v>
    <v>Finance</v>
    <v>10</v>
    <v>en-US</v>
    <v>alnz5r</v>
    <v>268435456</v>
    <v>1</v>
    <v>Powered by Refinitiv</v>
    <v>913.3</v>
    <v>508.4</v>
    <v>2.1158000000000001</v>
    <v>-11.4</v>
    <v>-1.2418E-2</v>
    <v>EUR</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44000</v>
    <v>Euronext Amsterdam</v>
    <v>XAMS</v>
    <v>XAMS</v>
    <v>De Run 6501, VELDHOVEN, NOORD-BRABANT, 5504 DR NL</v>
    <v>913.3</v>
    <v>Semiconductors &amp; Semiconductor Equipment</v>
    <v>Stock</v>
    <v>45966.708333333336</v>
    <v>15</v>
    <v>878.4</v>
    <v>356319600000</v>
    <v>ASML Holding NV</v>
    <v>ASML Holding NV</v>
    <v>882.9</v>
    <v>34.810200000000002</v>
    <v>918</v>
    <v>906.6</v>
    <v>388147700</v>
    <v>ASML</v>
    <v>ASML Holding NV (XAMS:ASML)</v>
    <v>663558</v>
    <v>547460</v>
    <v>1994</v>
  </rv>
  <rv s="2">
    <v>16</v>
  </rv>
  <rv s="0">
    <v>https://www.bing.com/financeapi/forcetrigger?t=a1nz8m&amp;q=XNAS%3aAVGO&amp;form=skydnc</v>
    <v>Learn more on Bing</v>
  </rv>
  <rv s="1">
    <v>0</v>
    <v>BROADCOM INC. (XNAS:AVGO)</v>
    <v>2</v>
    <v>3</v>
    <v>Finance</v>
    <v>4</v>
    <v>en-US</v>
    <v>a1nz8m</v>
    <v>268435456</v>
    <v>1</v>
    <v>Powered by Refinitiv</v>
    <v>386.48</v>
    <v>138.1</v>
    <v>1.2219</v>
    <v>7.04</v>
    <v>2.0003000000000003E-2</v>
    <v>1.4499</v>
    <v>4.0390000000000001E-3</v>
    <v>USD</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37000</v>
    <v>Nasdaq Stock Market</v>
    <v>XNAS</v>
    <v>XNAS</v>
    <v>3421 Hillview Avenue, PALO ALTO, CA, 94304 US</v>
    <v>364.86989999999997</v>
    <v>Semiconductors &amp; Semiconductor Equipment</v>
    <v>Stock</v>
    <v>45967.000400034376</v>
    <v>18</v>
    <v>350.09129999999999</v>
    <v>1695234587700</v>
    <v>BROADCOM INC.</v>
    <v>BROADCOM INC.</v>
    <v>350.89</v>
    <v>90.218400000000003</v>
    <v>351.94</v>
    <v>358.98</v>
    <v>360.42989999999998</v>
    <v>4722365000</v>
    <v>AVGO</v>
    <v>BROADCOM INC. (XNAS:AVGO)</v>
    <v>17071547</v>
    <v>21075301</v>
    <v>2018</v>
  </rv>
  <rv s="2">
    <v>19</v>
  </rv>
  <rv s="0">
    <v>https://www.bing.com/financeapi/forcetrigger?t=a1o3qh&amp;q=XNAS%3aAZN&amp;form=skydnc</v>
    <v>Learn more on Bing</v>
  </rv>
  <rv s="1">
    <v>0</v>
    <v>ASTRAZENECA PLC (XNAS:AZN)</v>
    <v>2</v>
    <v>3</v>
    <v>Finance</v>
    <v>4</v>
    <v>en-US</v>
    <v>a1o3qh</v>
    <v>268435456</v>
    <v>1</v>
    <v>Powered by Refinitiv</v>
    <v>86.57</v>
    <v>61.24</v>
    <v>0.3382</v>
    <v>-0.88</v>
    <v>-1.0728E-2</v>
    <v>0.35</v>
    <v>4.313E-3</v>
    <v>USD</v>
    <v>AstraZeneca PLC is a United Kingdom-based science-led biopharmaceutical company. The Company focuses on the discovery, development, and commercialization of prescription medicines. The Company operates across therapy areas, including Oncology; Cardiovascular, Renal and Metabolism (CVRM); Respiratory and Immunology (R&amp;I); Vaccines and Immune Therapies (V&amp;I), and Rare Disease. In the Oncology area, its key products include Tagrisso, Imfinzi, Calquence, Lynparza, and Enhertu. The key products of CVRM area include Farxiga/Forxiga, Brilinta/Brilique, Crestor, and Lokelma. In the R&amp;I area, the key products are Symbicort, Fasenra, Breztri/Trixeo, and Tezspire. In the V&amp;I Therapies area, the products are Beyfortus and FluMist. The products in the Rare Disease area are Ultomiris, Soliris, Strensiq, and Koselugo. It has about 191 projects in its development pipeline, including 19 new molecular entities (NMEs) in the late-stage pipeline. The Company distributes its products in over 125 countries.</v>
    <v>94300</v>
    <v>Nasdaq Stock Market</v>
    <v>XNAS</v>
    <v>XNAS</v>
    <v>1 Francis Crick Avenue, Cambridge Biomedical Campus, CAMBRIDGE, CB2 0AA GB</v>
    <v>82.09</v>
    <v>Pharmaceuticals</v>
    <v>Stock</v>
    <v>45966.99046633047</v>
    <v>21</v>
    <v>81.02</v>
    <v>252904100000</v>
    <v>ASTRAZENECA PLC</v>
    <v>ASTRAZENECA PLC</v>
    <v>81.38</v>
    <v>30.552299999999999</v>
    <v>82.03</v>
    <v>81.150000000000006</v>
    <v>81.5</v>
    <v>3101426000</v>
    <v>AZN</v>
    <v>ASTRAZENECA PLC (XNAS:AZN)</v>
    <v>5442643</v>
    <v>5461602</v>
    <v>1992</v>
  </rv>
  <rv s="2">
    <v>22</v>
  </rv>
  <rv s="0">
    <v>https://www.bing.com/financeapi/forcetrigger?t=a1oldm&amp;q=XNAS%3aBLDP&amp;form=skydnc</v>
    <v>Learn more on Bing</v>
  </rv>
  <rv s="1">
    <v>0</v>
    <v>BALLARD POWER SYSTEMS INC. (XNAS:BLDP)</v>
    <v>2</v>
    <v>11</v>
    <v>Finance</v>
    <v>4</v>
    <v>en-US</v>
    <v>a1oldm</v>
    <v>268435456</v>
    <v>1</v>
    <v>Powered by Refinitiv</v>
    <v>4.0999999999999996</v>
    <v>1</v>
    <v>1.7142999999999999</v>
    <v>0.28000000000000003</v>
    <v>8.3086000000000007E-2</v>
    <v>-0.01</v>
    <v>-2.7400000000000002E-3</v>
    <v>USD</v>
    <v>Ballard Power Systems Inc. is engaged in the design, development, manufacture, sale and service of proton exchange membrane (PEM) fuel cell products for a variety of applications, focusing on power products for bus, truck, rail, marine, stationary and emerging market (material handling, off-road and other) applications, as well as the delivery of services, including technology solutions, after sales services and training. The Company operates through fuel cell products and services segment. Embedded in each Ballard fuel cell product lies a stack of unit cells designed with its PEM fuel cell technology that includes membrane electrode assemblies, catalysts, plates, and other key components, and draw on intellectual property from its patent portfolio, together with its experience and know-how, in key areas of PEM fuel cell stack design, operation, production processes and systems integration.</v>
    <v>887</v>
    <v>Nasdaq Stock Market</v>
    <v>XNAS</v>
    <v>XNAS</v>
    <v>9000 Glenlyon Parkway, BURNABY, BC, V5J 5J8 CA</v>
    <v>3.6850000000000001</v>
    <v>Renewable Energy</v>
    <v>Stock</v>
    <v>45966.995043414063</v>
    <v>24</v>
    <v>3.37</v>
    <v>1430750000</v>
    <v>BALLARD POWER SYSTEMS INC.</v>
    <v>BALLARD POWER SYSTEMS INC.</v>
    <v>3.37</v>
    <v>0</v>
    <v>3.37</v>
    <v>3.65</v>
    <v>3.64</v>
    <v>300577700</v>
    <v>BLDP</v>
    <v>BALLARD POWER SYSTEMS INC. (XNAS:BLDP)</v>
    <v>6926072</v>
    <v>8884901</v>
    <v>2016</v>
  </rv>
  <rv s="2">
    <v>25</v>
  </rv>
  <rv s="0">
    <v>https://www.bing.com/financeapi/forcetrigger?t=a1oo5r&amp;q=XNAS%3aBMRA&amp;form=skydnc</v>
    <v>Learn more on Bing</v>
  </rv>
  <rv s="1">
    <v>0</v>
    <v>BIOMERICA, INC. (XNAS:BMRA)</v>
    <v>2</v>
    <v>3</v>
    <v>Finance</v>
    <v>5</v>
    <v>en-US</v>
    <v>a1oo5r</v>
    <v>268435456</v>
    <v>1</v>
    <v>Powered by Refinitiv</v>
    <v>10.16</v>
    <v>2.08</v>
    <v>6.2199999999999998E-2</v>
    <v>0.1</v>
    <v>4.0323000000000005E-2</v>
    <v>-0.05</v>
    <v>-1.9379999999999998E-2</v>
    <v>USD</v>
    <v>Biomerica, Inc. is a biomedical technology company that develops, patents, manufactures and markets advanced diagnostic and therapeutic products. Its diagnostic test kits are utilized in the analysis of blood, urine, nasal, or fecal samples for the diagnosis of various diseases, food intolerances, and other medical conditions. Its range of medical diagnostic products is sold primarily in two markets: clinical laboratories and point-of-care settings, including physicians’ offices and over-the-counter sales. It is focused on research and development efforts and is its patented diagnostic-guided therapy (DGT) product, developed on the in Foods technology platform. Its inFoods IBS product, uses a simple blood test to identify patient-specific foods that, when eliminated, may alleviate IBS symptoms such as pain, bloating, diarrhea, cramping, and constipation. Its hp+detect, a new diagnostic test for detecting Helicobacter pylori (H. pylori) bacteria in the gastrointestinal tract.</v>
    <v>53</v>
    <v>Nasdaq Stock Market</v>
    <v>XNAS</v>
    <v>XNAS</v>
    <v>17571 VON KARMAN AVENUE, IRVINE, CA, 92614 US</v>
    <v>2.65</v>
    <v>Healthcare Equipment &amp; Supplies</v>
    <v>Stock</v>
    <v>45966.929557279691</v>
    <v>27</v>
    <v>2.5</v>
    <v>7310960</v>
    <v>BIOMERICA, INC.</v>
    <v>BIOMERICA, INC.</v>
    <v>2.5</v>
    <v>0</v>
    <v>2.48</v>
    <v>2.58</v>
    <v>2.5299999999999998</v>
    <v>2947970</v>
    <v>BMRA</v>
    <v>BIOMERICA, INC. (XNAS:BMRA)</v>
    <v>16669</v>
    <v>204947</v>
    <v>1971</v>
  </rv>
  <rv s="2">
    <v>28</v>
  </rv>
  <rv s="0">
    <v>https://www.bing.com/financeapi/forcetrigger?t=a1p3ww&amp;q=XNYS%3aC&amp;form=skydnc</v>
    <v>Learn more on Bing</v>
  </rv>
  <rv s="1">
    <v>0</v>
    <v>CITIGROUP INC. (XNYS:C)</v>
    <v>2</v>
    <v>3</v>
    <v>Finance</v>
    <v>4</v>
    <v>en-US</v>
    <v>a1p3ww</v>
    <v>268435456</v>
    <v>1</v>
    <v>Powered by Refinitiv</v>
    <v>105.59</v>
    <v>55.51</v>
    <v>1.1959</v>
    <v>0.71</v>
    <v>7.0289999999999997E-3</v>
    <v>0.19</v>
    <v>1.8679999999999999E-3</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227000</v>
    <v>New York Stock Exchange</v>
    <v>XNYS</v>
    <v>XNYS</v>
    <v>388 Greenwich Street, 17th Floor, NEW YORK, NY, 10013 US</v>
    <v>102.27500000000001</v>
    <v>Investment Banking &amp; Investment Services</v>
    <v>Stock</v>
    <v>45966.999233251561</v>
    <v>30</v>
    <v>99.012</v>
    <v>182007596000</v>
    <v>CITIGROUP INC.</v>
    <v>CITIGROUP INC.</v>
    <v>101.25</v>
    <v>14.2994</v>
    <v>101.01</v>
    <v>101.72</v>
    <v>101.88</v>
    <v>1789300000</v>
    <v>C</v>
    <v>CITIGROUP INC. (XNYS:C)</v>
    <v>9990774</v>
    <v>13407839</v>
    <v>1988</v>
  </rv>
  <rv s="2">
    <v>31</v>
  </rv>
  <rv s="0">
    <v>https://www.bing.com/financeapi/forcetrigger?t=a1qe5r&amp;q=XNAS%3aCSCO&amp;form=skydnc</v>
    <v>Learn more on Bing</v>
  </rv>
  <rv s="1">
    <v>0</v>
    <v>CISCO SYSTEMS, INC. (XNAS:CSCO)</v>
    <v>2</v>
    <v>3</v>
    <v>Finance</v>
    <v>4</v>
    <v>en-US</v>
    <v>a1qe5r</v>
    <v>268435456</v>
    <v>1</v>
    <v>Powered by Refinitiv</v>
    <v>74.837999999999994</v>
    <v>52.11</v>
    <v>0.86899999999999999</v>
    <v>-0.22</v>
    <v>-3.0420000000000004E-3</v>
    <v>0.3</v>
    <v>4.1610000000000006E-3</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72.58</v>
    <v>Communications &amp; Networking</v>
    <v>Stock</v>
    <v>45966.997145150002</v>
    <v>33</v>
    <v>71.34</v>
    <v>284126272500</v>
    <v>CISCO SYSTEMS, INC.</v>
    <v>CISCO SYSTEMS, INC.</v>
    <v>72.22</v>
    <v>30.479800000000001</v>
    <v>72.319999999999993</v>
    <v>72.099999999999994</v>
    <v>72.400000000000006</v>
    <v>3940725000</v>
    <v>CSCO</v>
    <v>CISCO SYSTEMS, INC. (XNAS:CSCO)</v>
    <v>16110965</v>
    <v>17757580</v>
    <v>2021</v>
  </rv>
  <rv s="2">
    <v>34</v>
  </rv>
  <rv s="0">
    <v>https://www.bing.com/financeapi/forcetrigger?t=a1qlnm&amp;q=XNYS%3aCVS&amp;form=skydnc</v>
    <v>Learn more on Bing</v>
  </rv>
  <rv s="1">
    <v>0</v>
    <v>CVS HEALTH CORPORATION (XNYS:CVS)</v>
    <v>2</v>
    <v>3</v>
    <v>Finance</v>
    <v>4</v>
    <v>en-US</v>
    <v>a1qlnm</v>
    <v>268435456</v>
    <v>1</v>
    <v>Powered by Refinitiv</v>
    <v>85.15</v>
    <v>43.56</v>
    <v>0.48180000000000001</v>
    <v>0.48</v>
    <v>6.1479999999999998E-3</v>
    <v>0.28000000000000003</v>
    <v>3.565E-3</v>
    <v>USD</v>
    <v>CVS Health Corporation is a health solutions company. The Company's segments include Health Care Benefits, Health Services, Pharmacy &amp; Consumer Wellness and Corporate/Other. The Health Care Benefits segment offers a range of traditional, voluntary and consumer-directed health insurance products and related services, including medical, pharmacy, dental and behavioral health plans, medical management capabilities, PDPs and Medicaid health care management services. The Health Services segment provides a full range of PBM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 and sells an assortment of health and wellness products and general merchandise.</v>
    <v>300000</v>
    <v>New York Stock Exchange</v>
    <v>XNYS</v>
    <v>XNYS</v>
    <v>One Cvs Dr., WOONSOCKET, RI, 02895 US</v>
    <v>79.260000000000005</v>
    <v>Healthcare Providers &amp; Services</v>
    <v>Stock</v>
    <v>45966.996455428125</v>
    <v>36</v>
    <v>77.89</v>
    <v>99117290000</v>
    <v>CVS HEALTH CORPORATION</v>
    <v>CVS HEALTH CORPORATION</v>
    <v>77.989999999999995</v>
    <v>205.81610000000001</v>
    <v>78.08</v>
    <v>78.56</v>
    <v>78.83</v>
    <v>1269432000</v>
    <v>CVS</v>
    <v>CVS HEALTH CORPORATION (XNYS:CVS)</v>
    <v>6078942</v>
    <v>8003629</v>
    <v>1996</v>
  </rv>
  <rv s="2">
    <v>37</v>
  </rv>
  <rv s="0">
    <v>https://www.bing.com/financeapi/forcetrigger?t=a1qu2w&amp;q=XNYS%3aDDD&amp;form=skydnc</v>
    <v>Learn more on Bing</v>
  </rv>
  <rv s="4">
    <v>12</v>
    <v>3D SYSTEMS CORPORATION (XNYS:DDD)</v>
    <v>2</v>
    <v>13</v>
    <v>Finance</v>
    <v>5</v>
    <v>en-US</v>
    <v>a1qu2w</v>
    <v>268435456</v>
    <v>1</v>
    <v>Powered by Refinitiv</v>
    <v>4.9991000000000003</v>
    <v>1.32</v>
    <v>1.8775999999999999</v>
    <v>-0.02</v>
    <v>-7.6339999999999993E-3</v>
    <v>5.9799999999999999E-2</v>
    <v>2.3E-2</v>
    <v>USD</v>
    <v>3D Systems Corporation provides comprehensive three-dimensional (3D) printing and digital manufacturing solutions, including 3D printers for plastics and metals, materials, software, and services, including maintenance, advanced manufacturing and applications engineering. The Company’s segments include Healthcare Solutions and Industrial Solutions. The Healthcare Solutions segment serves industry verticals, including dental, medical devices, personalized health services and regenerative medicine. The Industrial Solutions segment serves industry verticals, including aerospace, defense, transportation and general manufacturing. The Company architects solutions specific to customers’ needs through a combination of materials, hardware platforms, software, professional services and advanced manufacturing. It markets its products and services through subsidiaries in North America and South America, Europe and the Middle East and Asia Pacific and Oceania.</v>
    <v>1833</v>
    <v>New York Stock Exchange</v>
    <v>XNYS</v>
    <v>XNYS</v>
    <v>333 Three D Systems Cir, ROCK HILL, SC, 29730 US</v>
    <v>2.6949999999999998</v>
    <v>Electronic Equipment &amp; Parts</v>
    <v>Stock</v>
    <v>45966.987017685155</v>
    <v>39</v>
    <v>2.4</v>
    <v>333456760</v>
    <v>3D SYSTEMS CORPORATION</v>
    <v>3D SYSTEMS CORPORATION</v>
    <v>2.5</v>
    <v>2.62</v>
    <v>2.6</v>
    <v>2.6598000000000002</v>
    <v>128252600</v>
    <v>DDD</v>
    <v>3D SYSTEMS CORPORATION (XNYS:DDD)</v>
    <v>5452199</v>
    <v>4450047</v>
    <v>1993</v>
  </rv>
  <rv s="2">
    <v>40</v>
  </rv>
  <rv s="0">
    <v>http://en.wikipedia.org/wiki/Public_domain</v>
    <v>Public domain</v>
  </rv>
  <rv s="0">
    <v>http://en.wikipedia.org/wiki/The_Walt_Disney_Company</v>
    <v>Wikipedia</v>
  </rv>
  <rv s="5">
    <v>42</v>
    <v>43</v>
  </rv>
  <rv s="6">
    <v>18</v>
    <v>https://www.bing.com/th?id=AMMS_0aa288ba528f6f45e3de87d97e250136&amp;qlt=95</v>
    <v>44</v>
    <v>0</v>
    <v>https://www.bing.com/images/search?form=xlimg&amp;q=the+walt+disney+company</v>
    <v>Image of THE WALT DISNEY COMPANY</v>
  </rv>
  <rv s="0">
    <v>https://www.bing.com/financeapi/forcetrigger?t=a1r2z2&amp;q=XNYS%3aDIS&amp;form=skydnc</v>
    <v>Learn more on Bing</v>
  </rv>
  <rv s="7">
    <v>14</v>
    <v>THE WALT DISNEY COMPANY (XNYS:DIS)</v>
    <v>16</v>
    <v>17</v>
    <v>Finance</v>
    <v>4</v>
    <v>en-US</v>
    <v>a1r2z2</v>
    <v>268435456</v>
    <v>1</v>
    <v>Powered by Refinitiv</v>
    <v>124.69</v>
    <v>80.099999999999994</v>
    <v>1.4863999999999999</v>
    <v>-0.13</v>
    <v>-1.1659999999999999E-3</v>
    <v>1E-4</v>
    <v>8.9800000000000002E-7</v>
    <v>USD</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233000</v>
    <v>New York Stock Exchange</v>
    <v>XNYS</v>
    <v>XNYS</v>
    <v>500 South Buena Vista Street, BURBANK, CA, 91521-0001 US</v>
    <v>111.97</v>
    <v>45</v>
    <v>Media &amp; Publishing</v>
    <v>Stock</v>
    <v>45966.996612372655</v>
    <v>46</v>
    <v>110.6</v>
    <v>200181971560</v>
    <v>THE WALT DISNEY COMPANY</v>
    <v>THE WALT DISNEY COMPANY</v>
    <v>111.35</v>
    <v>17.4558</v>
    <v>111.47</v>
    <v>111.34</v>
    <v>111.3601</v>
    <v>1797934000</v>
    <v>DIS</v>
    <v>THE WALT DISNEY COMPANY (XNYS:DIS)</v>
    <v>5745085</v>
    <v>7629637</v>
    <v>2018</v>
  </rv>
  <rv s="2">
    <v>47</v>
  </rv>
  <rv s="0">
    <v>https://www.bing.com/financeapi/forcetrigger?t=ae8e9c&amp;q=XPAR%3aDSY&amp;form=skydnc</v>
    <v>Learn more on Bing</v>
  </rv>
  <rv s="3">
    <v>6</v>
    <v>Dassault Systemes SE (XPAR:DSY)</v>
    <v>2</v>
    <v>9</v>
    <v>Finance</v>
    <v>10</v>
    <v>en-US</v>
    <v>ae8e9c</v>
    <v>268435456</v>
    <v>1</v>
    <v>Powered by Refinitiv</v>
    <v>41.17</v>
    <v>23.75</v>
    <v>0.78910000000000002</v>
    <v>-0.06</v>
    <v>-2.496E-3</v>
    <v>EUR</v>
    <v>Dassault Systemes SE is a France-based software company, which provides different kind of three-dimensional (3D) solutions. Its product, 3DEXPERIENCE, is a business experience platform structured in four quadrants encompassing twelve brands: Social and Collaborative applications (including ENOVIA, 3DEXCITE, CENTRIC PLM), 3D Modeling applications (including SOLIDWORKS, CATIA, GEOVIA, BIOVIA); Simulation applications (including 3DVIA, DELMIA, SIMULIA) and Information Intelligence applications (including NETVIBES, EXALEAD,MEDIADATA). The Company's structure is divided into three sectors: Manufacturing Industries (Transportation &amp; Mobility; Aerospace &amp; Defense; Marine &amp; Offshore; Industrial Equipment; High-Tech; Home &amp; Lifestyle; Consumer Packaged Goods &amp; Retail) Life Sciences &amp; Healthcare (Life Sciences) - (Life Sciences) Infrastructure &amp; Cities (Energy &amp; Materials; Construction, Cities and Territories; Business Services).</v>
    <v>26070</v>
    <v>Euronext Paris</v>
    <v>XPAR</v>
    <v>XPAR</v>
    <v>10, rue Marcel Dassault, Paris Campus, VELIZY VILLACOUBLAY, ILE-DE-FRANCE, 78140 FR</v>
    <v>24.12</v>
    <v>Software &amp; IT Services</v>
    <v>Stock</v>
    <v>45966.708333333336</v>
    <v>49</v>
    <v>23.75</v>
    <v>32248600000</v>
    <v>Dassault Systemes SE</v>
    <v>Dassault Systemes SE</v>
    <v>23.86</v>
    <v>26.793299999999999</v>
    <v>24.04</v>
    <v>23.98</v>
    <v>1341456000</v>
    <v>DSY</v>
    <v>Dassault Systemes SE (XPAR:DSY)</v>
    <v>1361709</v>
    <v>2619000</v>
    <v>1981</v>
  </rv>
  <rv s="2">
    <v>50</v>
  </rv>
  <rv s="0">
    <v>https://www.bing.com/financeapi/forcetrigger?t=a1rec7&amp;q=XNYS%3aDVA&amp;form=skydnc</v>
    <v>Learn more on Bing</v>
  </rv>
  <rv s="1">
    <v>0</v>
    <v>DAVITA INC. (XNYS:DVA)</v>
    <v>2</v>
    <v>3</v>
    <v>Finance</v>
    <v>5</v>
    <v>en-US</v>
    <v>a1rec7</v>
    <v>268435456</v>
    <v>1</v>
    <v>Powered by Refinitiv</v>
    <v>179.6</v>
    <v>115.39</v>
    <v>0.98980000000000001</v>
    <v>1.19</v>
    <v>9.9190000000000007E-3</v>
    <v>0</v>
    <v>0</v>
    <v>USD</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76000</v>
    <v>New York Stock Exchange</v>
    <v>XNYS</v>
    <v>XNYS</v>
    <v>2000 16th St, DENVER, CO, 80202-5117 US</v>
    <v>121.87</v>
    <v>Healthcare Providers &amp; Services</v>
    <v>Stock</v>
    <v>45966.97916668906</v>
    <v>52</v>
    <v>119.245</v>
    <v>8553896000</v>
    <v>DAVITA INC.</v>
    <v>DAVITA INC.</v>
    <v>119.69</v>
    <v>12.474500000000001</v>
    <v>119.97</v>
    <v>121.16</v>
    <v>121.16</v>
    <v>70600000</v>
    <v>DVA</v>
    <v>DAVITA INC. (XNYS:DVA)</v>
    <v>936632</v>
    <v>818913</v>
    <v>1994</v>
  </rv>
  <rv s="2">
    <v>53</v>
  </rv>
  <rv s="0">
    <v>https://www.bing.com/financeapi/forcetrigger?t=a1rgur&amp;q=XNYS%3aDXC&amp;form=skydnc</v>
    <v>Learn more on Bing</v>
  </rv>
  <rv s="1">
    <v>0</v>
    <v>DXC TECHNOLOGY COMPANY (XNYS:DXC)</v>
    <v>2</v>
    <v>3</v>
    <v>Finance</v>
    <v>5</v>
    <v>en-US</v>
    <v>a1rgur</v>
    <v>268435456</v>
    <v>1</v>
    <v>Powered by Refinitiv</v>
    <v>24.83</v>
    <v>12.24</v>
    <v>1.0907</v>
    <v>0.27</v>
    <v>1.9941E-2</v>
    <v>0</v>
    <v>0</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120000</v>
    <v>New York Stock Exchange</v>
    <v>XNYS</v>
    <v>XNYS</v>
    <v>20408 Bashan Drive, Suite 231, ASHBURN, VA, 20147 US</v>
    <v>14.135</v>
    <v>Software &amp; IT Services</v>
    <v>Stock</v>
    <v>45966.979166678124</v>
    <v>55</v>
    <v>13.59</v>
    <v>2404790540</v>
    <v>DXC TECHNOLOGY COMPANY</v>
    <v>DXC TECHNOLOGY COMPANY</v>
    <v>13.59</v>
    <v>6.7431999999999999</v>
    <v>13.54</v>
    <v>13.81</v>
    <v>13.81</v>
    <v>174134000</v>
    <v>DXC</v>
    <v>DXC TECHNOLOGY COMPANY (XNYS:DXC)</v>
    <v>2522383</v>
    <v>1948566</v>
    <v>2017</v>
  </rv>
  <rv s="2">
    <v>56</v>
  </rv>
  <rv s="0">
    <v>https://www.bing.com/financeapi/forcetrigger?t=af9doc&amp;q=XFRA%3aEOAN&amp;form=skydnc</v>
    <v>Learn more on Bing</v>
  </rv>
  <rv s="3">
    <v>6</v>
    <v>E.ON SE (XFRA:EOAN)</v>
    <v>2</v>
    <v>9</v>
    <v>Finance</v>
    <v>10</v>
    <v>en-US</v>
    <v>af9doc</v>
    <v>268435456</v>
    <v>1</v>
    <v>Powered by Refinitiv</v>
    <v>16.515000000000001</v>
    <v>7.3</v>
    <v>0.85360000000000003</v>
    <v>0.3</v>
    <v>1.9047999999999999E-2</v>
    <v>EUR</v>
    <v>E.ON SE is a Germany-based energy company. The Company’s core business is divided into two segments: Energy Networks and Customer Solutions. The Energy Networks segment includes power and gas distribution networks and related activities, divided into three regional markets: Germany, Sweden, and East-Central Europe/Turkey. Its main tasks are operating networks, maintenance, repairs, and network expansion, including customer connections and renewable energy integration. The Customer Solutions segment focuses on working with customers to support Europe's energy transition. It supplies power, gas, and heat, and offers solutions for energy efficiency, autonomy, and eMobility. The Company serves residential, Small and Medium enterprises (SME), commercial and industrial customers, sales partners, and public entities across locations. Energy Infrastructure Solutions also works on decarbonizing commercial customers, cities, and communities.</v>
    <v>78536</v>
    <v>Deutsche Boerse AG</v>
    <v>XFRA</v>
    <v>XFRA</v>
    <v>Bruesseler Platz 1, ESSEN, NORDRHEIN-WESTFALEN, 45131 DE</v>
    <v>16.05</v>
    <v>Multiline Utilities</v>
    <v>Stock</v>
    <v>45966.878472222219</v>
    <v>58</v>
    <v>15.824999999999999</v>
    <v>41891320000</v>
    <v>E.ON SE</v>
    <v>E.ON SE</v>
    <v>15.824999999999999</v>
    <v>13.2645</v>
    <v>15.75</v>
    <v>16.05</v>
    <v>2641319000</v>
    <v>EOAN</v>
    <v>E.ON SE (XFRA:EOAN)</v>
    <v>4253</v>
    <v>2907640</v>
    <v>2017</v>
  </rv>
  <rv s="2">
    <v>59</v>
  </rv>
  <rv s="0">
    <v>https://www.bing.com/financeapi/forcetrigger?t=a1s2zr&amp;q=XNAS%3aEPIX&amp;form=skydnc</v>
    <v>Learn more on Bing</v>
  </rv>
  <rv s="3">
    <v>6</v>
    <v>ESSA Pharma Inc. (XNAS:EPIX)</v>
    <v>2</v>
    <v>19</v>
    <v>Finance</v>
    <v>20</v>
    <v>en-US</v>
    <v>a1s2zr</v>
    <v>268435456</v>
    <v>1</v>
    <v>Powered by Refinitiv</v>
    <v>0.82499999999999996</v>
    <v>0.17330000000000001</v>
    <v>1.5513999999999999</v>
    <v>0</v>
    <v>0</v>
    <v>USD</v>
    <v>ESSA Pharma Inc. is a Canada-based pharmaceutical company that was previously focused on developing therapies for the treatment of patients with prostate cancer. The Company is undergoing a comprehensive review process to review its strategic options to maximize shareholder value.</v>
    <v>35</v>
    <v>Nasdaq Stock Market</v>
    <v>XNAS</v>
    <v>XNAS</v>
    <v>999 West Broadway, Suite 720, VANCOUVER, BC, V5Z 1K5 CA</v>
    <v>0.20699999999999999</v>
    <v>Holding Companies</v>
    <v>Stock</v>
    <v>45938.992447279685</v>
    <v>61</v>
    <v>0.18990000000000001</v>
    <v>9518448</v>
    <v>ESSA Pharma Inc.</v>
    <v>ESSA Pharma Inc.</v>
    <v>0.2</v>
    <v>0</v>
    <v>0.20499999999999999</v>
    <v>0.20119999999999999</v>
    <v>47308390</v>
    <v>EPIX</v>
    <v>ESSA Pharma Inc. (XNAS:EPIX)</v>
    <v>5945141</v>
    <v>3209641</v>
    <v>2009</v>
  </rv>
  <rv s="2">
    <v>62</v>
  </rv>
  <rv s="0">
    <v>https://www.bing.com/financeapi/forcetrigger?t=a1tyrw&amp;q=XNYS%3aGM&amp;form=skydnc</v>
    <v>Learn more on Bing</v>
  </rv>
  <rv s="1">
    <v>0</v>
    <v>GENERAL MOTORS COMPANY (XNYS:GM)</v>
    <v>2</v>
    <v>3</v>
    <v>Finance</v>
    <v>4</v>
    <v>en-US</v>
    <v>a1tyrw</v>
    <v>268435456</v>
    <v>1</v>
    <v>Powered by Refinitiv</v>
    <v>70.239999999999995</v>
    <v>41.6</v>
    <v>1.3140000000000001</v>
    <v>1.91</v>
    <v>2.8563000000000002E-2</v>
    <v>0.21</v>
    <v>3.0539999999999999E-3</v>
    <v>USD</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162000</v>
    <v>New York Stock Exchange</v>
    <v>XNYS</v>
    <v>XNYS</v>
    <v>300 Renaissance Center, DETROIT, MI, 48265-3000 US</v>
    <v>69.260000000000005</v>
    <v>Automobiles &amp; Auto Parts</v>
    <v>Stock</v>
    <v>45966.998483610936</v>
    <v>64</v>
    <v>67.040000000000006</v>
    <v>64162200214</v>
    <v>GENERAL MOTORS COMPANY</v>
    <v>GENERAL MOTORS COMPANY</v>
    <v>67.040000000000006</v>
    <v>13.228999999999999</v>
    <v>66.87</v>
    <v>68.78</v>
    <v>68.98</v>
    <v>932861300</v>
    <v>GM</v>
    <v>GENERAL MOTORS COMPANY (XNYS:GM)</v>
    <v>7806815</v>
    <v>10651288</v>
    <v>2009</v>
  </rv>
  <rv s="2">
    <v>65</v>
  </rv>
  <rv s="0">
    <v>https://www.bing.com/financeapi/forcetrigger?t=a1utqh&amp;q=XNYS%3aHPE&amp;form=skydnc</v>
    <v>Learn more on Bing</v>
  </rv>
  <rv s="1">
    <v>0</v>
    <v>HEWLETT PACKARD ENTERPRISE COMPANY (XNYS:HPE)</v>
    <v>2</v>
    <v>3</v>
    <v>Finance</v>
    <v>4</v>
    <v>en-US</v>
    <v>a1utqh</v>
    <v>268435456</v>
    <v>1</v>
    <v>Powered by Refinitiv</v>
    <v>26.44</v>
    <v>11.965</v>
    <v>1.3427</v>
    <v>0.14000000000000001</v>
    <v>5.9419999999999994E-3</v>
    <v>0.13350000000000001</v>
    <v>5.6310000000000006E-3</v>
    <v>USD</v>
    <v>Hewlett Packard Enterprise Company is the global edge-to-cloud company. It delivers open and intelligent technology solutions as a service. Its offering includes cloud services, compute, high performance computing &amp; artificial intelligence, intelligent edge, software, and storage. Its segments include Server, Hybrid Cloud, Intelligent Edge, Financial Services, and Corporate Investments and Other. Its Server segment offerings consist of general-purpose servers for multi-workload computing, workload-optimized servers, and integrated systems. Its Hybrid Cloud segment offers a range of cloud-native and hybrid solutions across storage, private cloud and the infrastructure software-as-a-service space. Its Intelligent Edge segment offers wired and wireless local area networks, campus, branch, and data center switching, and others. Its Financial Services segment provides flexible investment solutions, such as leasing, financing, IT consumption, utility programs, and asset management services.</v>
    <v>61000</v>
    <v>New York Stock Exchange</v>
    <v>XNYS</v>
    <v>XNYS</v>
    <v>1701 E MOSSY OAKS ROAD, SPRING, TX, 77389 US</v>
    <v>24.03</v>
    <v>Computers, Phones &amp; Household Electronics</v>
    <v>Stock</v>
    <v>45966.998090392968</v>
    <v>67</v>
    <v>23.39</v>
    <v>31270965000</v>
    <v>HEWLETT PACKARD ENTERPRISE COMPANY</v>
    <v>HEWLETT PACKARD ENTERPRISE COMPANY</v>
    <v>23.6</v>
    <v>28.427499999999998</v>
    <v>23.56</v>
    <v>23.7</v>
    <v>23.843499999999999</v>
    <v>1319450000</v>
    <v>HPE</v>
    <v>HEWLETT PACKARD ENTERPRISE COMPANY (XNYS:HPE)</v>
    <v>27390755</v>
    <v>37677726</v>
    <v>2015</v>
  </rv>
  <rv s="2">
    <v>68</v>
  </rv>
  <rv s="0">
    <v>http://en.wikipedia.org/wiki/Hewlett-Packard</v>
    <v>Wikipedia</v>
  </rv>
  <rv s="5">
    <v>42</v>
    <v>70</v>
  </rv>
  <rv s="6">
    <v>18</v>
    <v>https://www.bing.com/th?id=AMMS_98757b1e7b158827481b7c629463c21b&amp;qlt=95</v>
    <v>71</v>
    <v>0</v>
    <v>https://www.bing.com/images/search?form=xlimg&amp;q=hp+company</v>
    <v>Image of HP INC.</v>
  </rv>
  <rv s="0">
    <v>https://www.bing.com/financeapi/forcetrigger?t=a1uu5r&amp;q=XNYS%3aHPQ&amp;form=skydnc</v>
    <v>Learn more on Bing</v>
  </rv>
  <rv s="7">
    <v>14</v>
    <v>HP INC. (XNYS:HPQ)</v>
    <v>16</v>
    <v>17</v>
    <v>Finance</v>
    <v>5</v>
    <v>en-US</v>
    <v>a1uu5r</v>
    <v>268435456</v>
    <v>1</v>
    <v>Powered by Refinitiv</v>
    <v>39.795000000000002</v>
    <v>21.21</v>
    <v>1.2286999999999999</v>
    <v>0.7</v>
    <v>2.6985000000000002E-2</v>
    <v>-0.18</v>
    <v>-6.757E-3</v>
    <v>USD</v>
    <v>HP Inc. is a global provider of personal computing and other digital access devices, imaging and printing products, and related technologies, solutions, and services. The Company delivers a range of devices, services and subscriptions for personal computing, printing, three-dimensional (3D) printing, hybrid work, gaming, and more. It operates through three segments: Personal Systems, Printing and Corporate Investments. The Personal Systems segment offers commercial and consumer desktops and notebooks, detachables and convertibles, workstations, thin clients, commercial mobility devices, retail point-of-sale (POS) systems, displays, hybrid systems, software, solutions, and services. Printing segment offers consumer and commercial printer hardware, supplies, services, and solutions. Printing segment is also focused on graphics and 3D printing and personalization in the commercial and industrial markets. Corporate Investments include certain business incubation and investment projects.</v>
    <v>58000</v>
    <v>New York Stock Exchange</v>
    <v>XNYS</v>
    <v>XNYS</v>
    <v>1501 Page Mill Road, PALO ALTO, CA, 94304 US</v>
    <v>26.71</v>
    <v>72</v>
    <v>Computers, Phones &amp; Household Electronics</v>
    <v>Stock</v>
    <v>45966.984932603904</v>
    <v>73</v>
    <v>25.76</v>
    <v>24900455952</v>
    <v>HP INC.</v>
    <v>HP INC.</v>
    <v>25.94</v>
    <v>9.7045999999999992</v>
    <v>25.94</v>
    <v>26.64</v>
    <v>26.46</v>
    <v>934701800</v>
    <v>HPQ</v>
    <v>HP INC. (XNYS:HPQ)</v>
    <v>12247048</v>
    <v>12451001</v>
    <v>1998</v>
  </rv>
  <rv s="2">
    <v>74</v>
  </rv>
  <rv s="0">
    <v>https://www.bing.com/financeapi/forcetrigger?t=ao9wcw&amp;q=XLON%3aIAG&amp;form=skydnc</v>
    <v>Learn more on Bing</v>
  </rv>
  <rv s="1">
    <v>0</v>
    <v>International Consolidated Airlines Group SA (XLON:IAG)</v>
    <v>2</v>
    <v>21</v>
    <v>Finance</v>
    <v>22</v>
    <v>en-US</v>
    <v>ao9wcw</v>
    <v>268435456</v>
    <v>1</v>
    <v>Powered by Refinitiv</v>
    <v>429.3</v>
    <v>207.6</v>
    <v>2.2967</v>
    <v>2.6</v>
    <v>6.1519999999999995E-3</v>
    <v>-2.1760000000000002</v>
    <v>-5.1180000000000002E-3</v>
    <v>GBp</v>
    <v>International Consolidated Airlines Group, S.A. is a United Kingdom-based airline company that holds interests of airline and ancillary operations. The Company’s segments include British Airways, Iberia, Vueling, Aer Lingus, and IAG Loyalty. It operates various aircraft fleet services, including the Airbus A319ceo; Airbus A320ceo; Airbus A320neo; Airbus A321ceo; Airbus A321 LR; Airbus A321 XLR; Airbus A330-200; Boeing 737-8200; Boeing 777-200; Boeing 737-10; Boeing 777-300; Embraer E190, and others. The Company, through its subsidiaries, is engaged in providing airline operations, life insurance, air freight operations, cargo transport services and others. Its subsidiaries include AERL Holding Limited, British Airways Plc, IAG Cargo Limited, IAG GBS Limited, IAG Connect Limited, British Airways Avionic Engineering Limited and others. IAG Connect Limited provides an inflight eCommerce platform service. British Airways Avionic Engineering Limited provides aircraft maintenance services.</v>
    <v>74378</v>
    <v>London Stock Exchange</v>
    <v>XLON</v>
    <v>XLON</v>
    <v>Waterside (HAA2), PO Box 365, HARMONDSWORTH, WEST DRAYTON, UB7 0GB GB</v>
    <v>426.1</v>
    <v>Passenger Transportation Services</v>
    <v>Stock</v>
    <v>45966.714005335154</v>
    <v>76</v>
    <v>419.5</v>
    <v>19383790000</v>
    <v>International Consolidated Airlines Group SA</v>
    <v>International Consolidated Airlines Group SA</v>
    <v>421.1</v>
    <v>7.6527000000000003</v>
    <v>422.6</v>
    <v>425.2</v>
    <v>423.024</v>
    <v>4586793000</v>
    <v>IAG</v>
    <v>International Consolidated Airlines Group SA (XLON:IAG)</v>
    <v>10087501</v>
    <v>11911510</v>
    <v>2009</v>
  </rv>
  <rv s="2">
    <v>77</v>
  </rv>
  <rv s="0">
    <v>https://www.bing.com/financeapi/forcetrigger?t=a1wmu2&amp;q=XNYS%3aKR&amp;form=skydnc</v>
    <v>Learn more on Bing</v>
  </rv>
  <rv s="1">
    <v>0</v>
    <v>THE KROGER CO. (XNYS:KR)</v>
    <v>2</v>
    <v>3</v>
    <v>Finance</v>
    <v>4</v>
    <v>en-US</v>
    <v>a1wmu2</v>
    <v>268435456</v>
    <v>1</v>
    <v>Powered by Refinitiv</v>
    <v>74.900000000000006</v>
    <v>56.25</v>
    <v>0.58120000000000005</v>
    <v>-0.61</v>
    <v>-9.5669999999999991E-3</v>
    <v>0.18</v>
    <v>2.8499999999999997E-3</v>
    <v>USD</v>
    <v>The Kroger Co. is a food and drug retailer. The Company operates supermarkets, multi-department stores and fulfillment centers throughout the United States. It operates approximately 2,731 supermarkets, 2,273 pharmacies and 1,702 fuel centers in over 35 states and the District of Columbia while also operating online through a digital ecosystem to offer customers an omnichannel shopping experience. The Company also manufactures and processes food for sale in its supermarkets and online. It offers Pickup and Harris Teeter ExpressLane personalized, order online, pick-up at the store services at approximately 2,412 of its supermarkets and provides delivery, which allows it to offer digital solutions to substantially all of its customers. Its delivery solutions include orders delivered to customers at retail store locations, customer fulfillment centers and orders placed through third-party platforms. The Company also offers customer-facing apps and interfaces.</v>
    <v>409000</v>
    <v>New York Stock Exchange</v>
    <v>XNYS</v>
    <v>XNYS</v>
    <v>1014 Vine St, CINCINNATI, OH, 45201 US</v>
    <v>64.085700000000003</v>
    <v>Food &amp; Drug Retailing</v>
    <v>Stock</v>
    <v>45967.000288043753</v>
    <v>79</v>
    <v>62.97</v>
    <v>41848128330</v>
    <v>THE KROGER CO.</v>
    <v>THE KROGER CO.</v>
    <v>63.77</v>
    <v>15.998699999999999</v>
    <v>63.76</v>
    <v>63.15</v>
    <v>63.33</v>
    <v>662678200</v>
    <v>KR</v>
    <v>THE KROGER CO. (XNYS:KR)</v>
    <v>6734624</v>
    <v>6243449</v>
    <v>1902</v>
  </rv>
  <rv s="2">
    <v>80</v>
  </rv>
  <rv s="0">
    <v>https://www.bing.com/financeapi/forcetrigger?t=bvuap2&amp;q=XNAS%3aLNSR&amp;form=skydnc</v>
    <v>Learn more on Bing</v>
  </rv>
  <rv s="1">
    <v>0</v>
    <v>LENSAR, INC. (XNAS:LNSR)</v>
    <v>2</v>
    <v>3</v>
    <v>Finance</v>
    <v>5</v>
    <v>en-US</v>
    <v>bvuap2</v>
    <v>268435456</v>
    <v>1</v>
    <v>Powered by Refinitiv</v>
    <v>17.309999999999999</v>
    <v>5.52</v>
    <v>0.65010000000000001</v>
    <v>0.36</v>
    <v>2.9605000000000003E-2</v>
    <v>0</v>
    <v>0</v>
    <v>USD</v>
    <v>LENSAR, Inc. is a commercial-stage medical device company. The Company is focused on designing, developing, and marketing advanced systems for the treatment of cataracts and the management of astigmatism as an integral aspect of the procedure. Its product portfolio includes the LENSAR Laser System (LLS), and the ALLY Robotic Cataract Laser Treatment System (ALLY). The Company has developed its ALLY Robotic Cataract Laser System as a compact, ergonomic system utilizing a fast dual-modality laser and integrating artificial intelligence (AI) into proprietary imaging and software. ALLY is designed to transform cataract surgery by utilizing the Company’s advanced robotic technologies with the ability to perform the entire procedure in a sterile operating room or in-office surgical suite, delivering operational efficiencies and reduced overhead. ALLY includes its proprietary Streamline software technology, designed to guide surgeons to achieve better outcomes.</v>
    <v>140</v>
    <v>Nasdaq Stock Market</v>
    <v>XNAS</v>
    <v>XNAS</v>
    <v>2800 Discovery Drive, Suite 100, ORLANDO, FL, 32826 US</v>
    <v>12.6</v>
    <v>Healthcare Equipment &amp; Supplies</v>
    <v>Stock</v>
    <v>45966.881993760937</v>
    <v>82</v>
    <v>12.11</v>
    <v>145127000</v>
    <v>LENSAR, INC.</v>
    <v>LENSAR, INC.</v>
    <v>12.11</v>
    <v>0</v>
    <v>12.16</v>
    <v>12.52</v>
    <v>12.52</v>
    <v>11934780</v>
    <v>LNSR</v>
    <v>LENSAR, INC. (XNAS:LNSR)</v>
    <v>22099</v>
    <v>44007</v>
    <v>2004</v>
  </rv>
  <rv s="2">
    <v>83</v>
  </rv>
  <rv s="0">
    <v>https://www.bing.com/financeapi/forcetrigger?t=a1qgzr&amp;q=XNYS%3aLUMN&amp;form=skydnc</v>
    <v>Learn more on Bing</v>
  </rv>
  <rv s="1">
    <v>0</v>
    <v>LUMEN TECHNOLOGIES, INC. (XNYS:LUMN)</v>
    <v>2</v>
    <v>3</v>
    <v>Finance</v>
    <v>4</v>
    <v>en-US</v>
    <v>a1qgzr</v>
    <v>268435456</v>
    <v>1</v>
    <v>Powered by Refinitiv</v>
    <v>11.95</v>
    <v>3.01</v>
    <v>1.4104000000000001</v>
    <v>0.315</v>
    <v>2.9885999999999999E-2</v>
    <v>0.12970000000000001</v>
    <v>1.1942999999999999E-2</v>
    <v>USD</v>
    <v>Lumen Technologies, Inc. is a networking company, which connects people, data, and applications quickly and securely. The Company is engaged in providing an array of integrated products and services to its domestic and global business customers and its domestic mass market customers. It operates through two segments: Business segment and Mass Markets segment. The Company conducts its operations under four brands: Lumen, which is its flagship brand for serving the enterprise and wholesale markets, including its Private Connectivity Fabric (PCF) network architecture, Lumen Digital products, and its priority services including Edge, Network-as-a-Service and cybersecurity; Quantum Fiber, which provides fiber-based broadband services to residential and small business customers; CenturyLink, which is engaged in providing primarily mass-marketed copper-based communications services, and Black Lotus Labs, which is its cyberthreat research and intelligence arm.</v>
    <v>24000</v>
    <v>New York Stock Exchange</v>
    <v>XNYS</v>
    <v>XNYS</v>
    <v>P O BOX 4065, 100 CENTURYLINK DR, MONROE, LA, 71203 US</v>
    <v>11.29</v>
    <v>Telecommunications Services</v>
    <v>Stock</v>
    <v>45966.999718668747</v>
    <v>85</v>
    <v>10.52</v>
    <v>11133365620</v>
    <v>LUMEN TECHNOLOGIES, INC.</v>
    <v>LUMEN TECHNOLOGIES, INC.</v>
    <v>10.65</v>
    <v>0</v>
    <v>10.54</v>
    <v>10.855</v>
    <v>10.989699999999999</v>
    <v>1025644000</v>
    <v>LUMN</v>
    <v>LUMEN TECHNOLOGIES, INC. (XNYS:LUMN)</v>
    <v>17809520</v>
    <v>22271874</v>
    <v>1968</v>
  </rv>
  <rv s="2">
    <v>86</v>
  </rv>
  <rv s="0">
    <v>https://www.bing.com/financeapi/forcetrigger?t=bo5fpr&amp;q=XNAS%3aMRNA&amp;form=skydnc</v>
    <v>Learn more on Bing</v>
  </rv>
  <rv s="1">
    <v>0</v>
    <v>MODERNA, INC. (XNAS:MRNA)</v>
    <v>2</v>
    <v>3</v>
    <v>Finance</v>
    <v>4</v>
    <v>en-US</v>
    <v>bo5fpr</v>
    <v>268435456</v>
    <v>1</v>
    <v>Powered by Refinitiv</v>
    <v>56.695</v>
    <v>23.15</v>
    <v>1.1276999999999999</v>
    <v>-0.19</v>
    <v>-8.0000000000000002E-3</v>
    <v>0.17</v>
    <v>7.2160000000000002E-3</v>
    <v>USD</v>
    <v>Moderna, Inc. is a biotechnology company. The Company is advancing a new class of medicines made of messenger ribonucleic acid (mRNA). It is developing therapeutics and vaccines for infectious diseases, immuno-oncology, rare diseases and autoimmune diseases. mRNA medicines are designed to direct the body’s cells to produce intracellular, membrane or secreted proteins that have a therapeutic or preventive benefit with the potential to address a spectrum of diseases. The Company’s diverse development pipeline consists of 44 therapeutic and vaccine programs, 11 of which are in late-stage development. Its commercial products include Spikevax (its COVID vaccine) and mRESVIA (its respiratory syncytial virus (RSV) vaccine). Additionally, it has achieved four positive Phase III data readouts for its COVID vaccine (mRNA-1283), its RSV vaccine for high-risk adults aged 18 to 59 (mRNA-1345), its seasonal flu+COVID vaccine (mRNA-1083), and its seasonal flu vaccine (mRNA-1010).</v>
    <v>5800</v>
    <v>Nasdaq Stock Market</v>
    <v>XNAS</v>
    <v>XNAS</v>
    <v>325 BINNEY STREET, Cambridge, MA, 02142 US</v>
    <v>24.04</v>
    <v>Pharmaceuticals</v>
    <v>Stock</v>
    <v>45966.99960111094</v>
    <v>88</v>
    <v>23.48</v>
    <v>9202083648</v>
    <v>MODERNA, INC.</v>
    <v>MODERNA, INC.</v>
    <v>23.914999999999999</v>
    <v>0</v>
    <v>23.75</v>
    <v>23.56</v>
    <v>23.73</v>
    <v>390580800</v>
    <v>MRNA</v>
    <v>MODERNA, INC. (XNAS:MRNA)</v>
    <v>11126437</v>
    <v>11157159</v>
    <v>2016</v>
  </rv>
  <rv s="2">
    <v>89</v>
  </rv>
  <rv s="0">
    <v>https://en.wikipedia.org/wiki/Microsoft</v>
    <v>Wikipedia</v>
  </rv>
  <rv s="5">
    <v>42</v>
    <v>91</v>
  </rv>
  <rv s="6">
    <v>18</v>
    <v>https://www.bing.com/th?id=AMMS_e6e837c7bf3a77408619758b7447855a&amp;qlt=95</v>
    <v>92</v>
    <v>0</v>
    <v>https://www.bing.com/images/search?form=xlimg&amp;q=microsoft</v>
    <v>Image of MICROSOFT CORPORATION</v>
  </rv>
  <rv s="0">
    <v>https://www.bing.com/financeapi/forcetrigger?t=a1xzim&amp;q=XNAS%3aMSFT&amp;form=skydnc</v>
    <v>Learn more on Bing</v>
  </rv>
  <rv s="7">
    <v>14</v>
    <v>MICROSOFT CORPORATION (XNAS:MSFT)</v>
    <v>16</v>
    <v>17</v>
    <v>Finance</v>
    <v>4</v>
    <v>en-US</v>
    <v>a1xzim</v>
    <v>268435456</v>
    <v>1</v>
    <v>Powered by Refinitiv</v>
    <v>555.45000000000005</v>
    <v>344.79</v>
    <v>1.0650999999999999</v>
    <v>-7.17</v>
    <v>-1.3939999999999999E-2</v>
    <v>-0.61499999999999999</v>
    <v>-1.2130000000000001E-3</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514.83000000000004</v>
    <v>93</v>
    <v>Software &amp; IT Services</v>
    <v>Stock</v>
    <v>45967.000509270314</v>
    <v>94</v>
    <v>506.57499999999999</v>
    <v>3769404319320</v>
    <v>MICROSOFT CORPORATION</v>
    <v>MICROSOFT CORPORATION</v>
    <v>513.29999999999995</v>
    <v>36.082900000000002</v>
    <v>514.33000000000004</v>
    <v>507.16</v>
    <v>506.54500000000002</v>
    <v>7432377000</v>
    <v>MSFT</v>
    <v>MICROSOFT CORPORATION (XNAS:MSFT)</v>
    <v>22992329</v>
    <v>20471219</v>
    <v>1993</v>
  </rv>
  <rv s="2">
    <v>95</v>
  </rv>
  <rv s="0">
    <v>https://www.bing.com/financeapi/forcetrigger?t=a1ye2w&amp;q=XNYS%3aNEE&amp;form=skydnc</v>
    <v>Learn more on Bing</v>
  </rv>
  <rv s="1">
    <v>0</v>
    <v>NEXTERA ENERGY, INC. (XNYS:NEE)</v>
    <v>2</v>
    <v>3</v>
    <v>Finance</v>
    <v>4</v>
    <v>en-US</v>
    <v>a1ye2w</v>
    <v>268435456</v>
    <v>1</v>
    <v>Powered by Refinitiv</v>
    <v>87.53</v>
    <v>61.72</v>
    <v>0.73509999999999998</v>
    <v>0.45</v>
    <v>5.5089999999999991E-3</v>
    <v>0</v>
    <v>0</v>
    <v>USD</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New York Stock Exchange</v>
    <v>XNYS</v>
    <v>XNYS</v>
    <v>700 Universe Blvd, JUNO BEACH, FL, 33408 US</v>
    <v>82.63</v>
    <v>Electrical Utilities &amp; IPPs</v>
    <v>Stock</v>
    <v>45966.99955532344</v>
    <v>97</v>
    <v>81.11</v>
    <v>171065585400</v>
    <v>NEXTERA ENERGY, INC.</v>
    <v>NEXTERA ENERGY, INC.</v>
    <v>81.42</v>
    <v>26.087800000000001</v>
    <v>81.69</v>
    <v>82.14</v>
    <v>82.14</v>
    <v>2082610000</v>
    <v>NEE</v>
    <v>NEXTERA ENERGY, INC. (XNYS:NEE)</v>
    <v>7290654</v>
    <v>10158500</v>
    <v>1984</v>
  </rv>
  <rv s="2">
    <v>98</v>
  </rv>
  <rv s="0">
    <v>https://www.bing.com/financeapi/forcetrigger?t=a1yeec&amp;q=XNYS%3aNEM&amp;form=skydnc</v>
    <v>Learn more on Bing</v>
  </rv>
  <rv s="1">
    <v>0</v>
    <v>NEWMONT CORPORATION (XNYS:NEM)</v>
    <v>2</v>
    <v>3</v>
    <v>Finance</v>
    <v>4</v>
    <v>en-US</v>
    <v>a1yeec</v>
    <v>268435456</v>
    <v>1</v>
    <v>Powered by Refinitiv</v>
    <v>98.578000000000003</v>
    <v>36.86</v>
    <v>0.4461</v>
    <v>2.72</v>
    <v>3.4473999999999998E-2</v>
    <v>-0.08</v>
    <v>-9.7999999999999997E-4</v>
    <v>USD</v>
    <v>Newmont Corporation is a gold company and a producer of copper, zinc, lead, and silver with operations and/or assets in the Africa, Australia, Latin America &amp; Caribbean, North America, and Papua New Guinea regions. The Company's operations include Brucejack, Red Chris, Penasquito, Merian, Cerro Negro, Yanacocha, Boddington, Tanami, Cadia, Lihir, Ahafo, and NGM. The Brucejack operation includes four mining leases and six core mineral claims which cover 8,169 acres (3,306 hectares) and 337 mineral claims covering 298,795 acres (120,918 hectares). The Red Chris operation includes five mining leases which cover 12,703 acres and 199 mineral claims, encompassing an area of 164,903 acres (66,734 hectares). Penasquito includes 20 mining concessions for operations comprising 113,231 acres (45,823 hectares) and 60 mining concessions for exploration of 107,456 acres (43,486 hectares). The Merian operation includes one right of exploitation encompassing an area of 41,687 acres (16,870 hectares).</v>
    <v>22200</v>
    <v>New York Stock Exchange</v>
    <v>XNYS</v>
    <v>XNYS</v>
    <v>6900 E Layton Avenue, Suite 700, DENVER, CO, 80237 US</v>
    <v>81.915000000000006</v>
    <v>Metals &amp; Mining</v>
    <v>Stock</v>
    <v>45966.99558501094</v>
    <v>100</v>
    <v>80.489999999999995</v>
    <v>89068886060</v>
    <v>NEWMONT CORPORATION</v>
    <v>NEWMONT CORPORATION</v>
    <v>80.709999999999994</v>
    <v>12.6838</v>
    <v>78.900000000000006</v>
    <v>81.62</v>
    <v>81.55</v>
    <v>1091263000</v>
    <v>NEM</v>
    <v>NEWMONT CORPORATION (XNYS:NEM)</v>
    <v>8681630</v>
    <v>12229601</v>
    <v>2001</v>
  </rv>
  <rv s="2">
    <v>101</v>
  </rv>
  <rv s="0">
    <v>https://www.bing.com/financeapi/forcetrigger?t=a1ygoc&amp;q=XNAS%3aNFLX&amp;form=skydnc</v>
    <v>Learn more on Bing</v>
  </rv>
  <rv s="1">
    <v>0</v>
    <v>NETFLIX, INC. (XNAS:NFLX)</v>
    <v>2</v>
    <v>3</v>
    <v>Finance</v>
    <v>4</v>
    <v>en-US</v>
    <v>a1ygoc</v>
    <v>268435456</v>
    <v>1</v>
    <v>Powered by Refinitiv</v>
    <v>1341.15</v>
    <v>756.27</v>
    <v>1.7038</v>
    <v>5.5</v>
    <v>5.032E-3</v>
    <v>-3.5712999999999999</v>
    <v>-3.251E-3</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Nasdaq Stock Market</v>
    <v>XNAS</v>
    <v>XNAS</v>
    <v>121 Albright Way, LOS GATOS, CA, 95032 US</v>
    <v>1100.8499999999999</v>
    <v>Software &amp; IT Services</v>
    <v>Stock</v>
    <v>45967.000496666406</v>
    <v>103</v>
    <v>1073.3701000000001</v>
    <v>465452982258</v>
    <v>NETFLIX, INC.</v>
    <v>NETFLIX, INC.</v>
    <v>1085</v>
    <v>45.658299999999997</v>
    <v>1092.96</v>
    <v>1098.46</v>
    <v>1094.8887</v>
    <v>423732300</v>
    <v>NFLX</v>
    <v>NETFLIX, INC. (XNAS:NFLX)</v>
    <v>3549693</v>
    <v>4473466</v>
    <v>1997</v>
  </rv>
  <rv s="2">
    <v>104</v>
  </rv>
  <rv s="0">
    <v>https://www.bing.com/financeapi/forcetrigger?t=bwxx4c&amp;q=XNAS%3aDSAC&amp;form=skydnc</v>
    <v>Learn more on Bing</v>
  </rv>
  <rv s="4">
    <v>12</v>
    <v>FISCALNOTE HOLDINGS, INC. (XNYS:NOTE)</v>
    <v>2</v>
    <v>13</v>
    <v>Finance</v>
    <v>5</v>
    <v>en-US</v>
    <v>bwxx4c</v>
    <v>268435456</v>
    <v>1</v>
    <v>Powered by Refinitiv</v>
    <v>24.36</v>
    <v>3.2210000000000001</v>
    <v>0.55159999999999998</v>
    <v>-0.4</v>
    <v>-0.10781700000000001</v>
    <v>0.1</v>
    <v>3.0211000000000002E-2</v>
    <v>USD</v>
    <v>FiscalNote Holdings, Inc. is a provider of AI-driven policy and regulatory intelligence solutions. The Company delivers critical, actionable legal and policy insights in an evolving political, regulatory and macroeconomic environment. By combining AI and other technologies with analysis and workflow tools, it provides data and information that enables customers who use its products to manage policy change, address regulatory developments, and mitigate policy risk. Its portfolio of public policy intelligence products includes PolicyNote, CQ Federal, and Curate. It offers EU Issue Tracker, which provides public policy intelligence for the European Union, as well as professional services which enable customers to cover over 80 countries globally. It offers its advocacy platform (VoterVoice) and constituent management services platform (Fireside), which connect citizens with their government representatives and vice versa. It offers macroeconomic analysis through FrontierView.</v>
    <v>571</v>
    <v>New York Stock Exchange</v>
    <v>XNYS</v>
    <v>XNYS</v>
    <v>1201 Pennsylvania Avenue Nw, 6Th Floor, WASHINGTON, DC, 20004 US</v>
    <v>3.74</v>
    <v>Software &amp; IT Services</v>
    <v>Stock</v>
    <v>45966.988365671095</v>
    <v>106</v>
    <v>3.2210000000000001</v>
    <v>47553810</v>
    <v>FISCALNOTE HOLDINGS, INC.</v>
    <v>FISCALNOTE HOLDINGS, INC.</v>
    <v>3.57</v>
    <v>3.71</v>
    <v>3.31</v>
    <v>3.41</v>
    <v>14366710</v>
    <v>NOTE</v>
    <v>FISCALNOTE HOLDINGS, INC. (XNYS:NOTE)</v>
    <v>455990</v>
    <v>240977</v>
    <v>2022</v>
  </rv>
  <rv s="2">
    <v>107</v>
  </rv>
  <rv s="0">
    <v>https://www.bing.com/financeapi/forcetrigger?t=a1zfec&amp;q=XNAS%3aPAAS&amp;form=skydnc</v>
    <v>Learn more on Bing</v>
  </rv>
  <rv s="1">
    <v>0</v>
    <v>Pan American Silver Corp. (XNYS:PAAS)</v>
    <v>2</v>
    <v>11</v>
    <v>Finance</v>
    <v>5</v>
    <v>en-US</v>
    <v>a1zfec</v>
    <v>268435456</v>
    <v>1</v>
    <v>Powered by Refinitiv</v>
    <v>42.57</v>
    <v>19.8017</v>
    <v>1.1623000000000001</v>
    <v>0.56999999999999995</v>
    <v>1.7169E-2</v>
    <v>-0.06</v>
    <v>-1.7769999999999999E-3</v>
    <v>USD</v>
    <v>Pan American Silver Corp. is a producer of silver and gold in the Americas, operating mines in Canada, Mexico, Peru, Brazil, Bolivia, Chile and Argentina. It owns a 100% interest in the Escobal mine in Guatemala, and it holds interests in exploration and development projects. Its segments include Silver, Gold and Other. Silver segment includes operations of La Colorada, Huaron, San Vicente, Cerro Moro, La Colorada Skarn, Navidad and Escobal. Gold segment includes operations in Dolores, Shahuindo, Timmins, Jacobina, El Penon and Minera Florida. La Colorada mine produces silver-rich lead and zinc concentrates from a flotation plant treating sulfide ore. Huaron mine produces silver-rich zinc, lead and copper concentrates using floatation technology. It owns 44% joint venture interest in the Juanicipio silver mine in Zacatecas, Mexico, operated by Fresnillo plc, along with 100% ownership of the Larder exploration project and a 100% earn-in interest in the Deer Trail exploration project.</v>
    <v>9000</v>
    <v>New York Stock Exchange</v>
    <v>XNYS</v>
    <v>XNYS</v>
    <v>2100-733 Seymour Street, VANCOUVER, BC, V6B 0S6 CA</v>
    <v>34.020000000000003</v>
    <v>Metals &amp; Mining</v>
    <v>Stock</v>
    <v>45966.983340751562</v>
    <v>109</v>
    <v>33.36</v>
    <v>19735820000</v>
    <v>Pan American Silver Corp.</v>
    <v>Pan American Silver Corp.</v>
    <v>34.01</v>
    <v>23.4465</v>
    <v>33.200000000000003</v>
    <v>33.770000000000003</v>
    <v>33.71</v>
    <v>421976000</v>
    <v>PAAS</v>
    <v>Pan American Silver Corp. (XNYS:PAAS)</v>
    <v>4192698</v>
    <v>6293308</v>
    <v>1979</v>
  </rv>
  <rv s="2">
    <v>110</v>
  </rv>
  <rv s="0">
    <v>https://www.bing.com/financeapi/forcetrigger?t=a2sqhw&amp;q=XNAS%3aPROF&amp;form=skydnc</v>
    <v>Learn more on Bing</v>
  </rv>
  <rv s="1">
    <v>0</v>
    <v>Profound Medical Corp. (XNAS:PROF)</v>
    <v>2</v>
    <v>11</v>
    <v>Finance</v>
    <v>5</v>
    <v>en-US</v>
    <v>a2sqhw</v>
    <v>268435456</v>
    <v>1</v>
    <v>Powered by Refinitiv</v>
    <v>9.17</v>
    <v>3.76</v>
    <v>0.19259999999999999</v>
    <v>-0.03</v>
    <v>-5.0929999999999994E-3</v>
    <v>0</v>
    <v>0</v>
    <v>USD</v>
    <v>Profound Medical Corp. is a commercial-stage medical device company that develops and markets customizable, incision-free therapies for the ablation of diseased tissue. It is commercializing TULSA-PRO, a technology that combines real-time magnetic resonance imaging (MRI), AI-enhanced planning, robotically driven transurethral ultrasound and closed-loop temperature feedback control. The TULSA procedure, performed using the TULSA-PRO system, has the potential of becoming a mainstream treatment modality across the entire prostate disease spectrum; ranging from low-, intermediate-, or high-risk prostate cancer; to hybrid patients suffering from both prostate cancer and benign prostatic hyperplasia (BPH); to men with BPH only; and also, to patients requiring salvage therapy for radio-recurrent localized prostate cancer. It is also commercializing Sonalleve, a therapeutic platform that is CE marked for the treatment of uterine fibroids and palliative pain treatment of bone metastases.</v>
    <v>131</v>
    <v>Nasdaq Stock Market</v>
    <v>XNAS</v>
    <v>XNAS</v>
    <v>2400 Skymark Ave Unit 6, MISSISSAUGA, ON, L4W 5K5 CA</v>
    <v>5.95</v>
    <v>Healthcare Equipment &amp; Supplies</v>
    <v>Stock</v>
    <v>45966.877948587498</v>
    <v>112</v>
    <v>5.75</v>
    <v>252116500</v>
    <v>Profound Medical Corp.</v>
    <v>Profound Medical Corp.</v>
    <v>5.83</v>
    <v>0</v>
    <v>5.89</v>
    <v>5.86</v>
    <v>5.86</v>
    <v>30193590</v>
    <v>PROF</v>
    <v>Profound Medical Corp. (XNAS:PROF)</v>
    <v>46966</v>
    <v>73240</v>
    <v>2014</v>
  </rv>
  <rv s="2">
    <v>113</v>
  </rv>
  <rv s="0">
    <v>https://www.bing.com/financeapi/forcetrigger?t=a2si9c&amp;q=XNAS%3aPOET&amp;form=skydnc</v>
    <v>Learn more on Bing</v>
  </rv>
  <rv s="1">
    <v>0</v>
    <v>POET Technologies Inc. (XNAS:POET)</v>
    <v>2</v>
    <v>3</v>
    <v>Finance</v>
    <v>4</v>
    <v>en-US</v>
    <v>a2si9c</v>
    <v>268435456</v>
    <v>1</v>
    <v>Powered by Refinitiv</v>
    <v>9.41</v>
    <v>3.09</v>
    <v>0.4708</v>
    <v>8.5000000000000006E-2</v>
    <v>1.4286E-2</v>
    <v>5.5E-2</v>
    <v>9.1140000000000006E-3</v>
    <v>USD</v>
    <v>POET Technologies Inc. is a design and development company. It offers high-speed optical engines, light source products and custom optical modules to the artificial intelligence (AI) systems market and to hyperscale data centers. Its photonic integration solutions are based on the POET Optical Interposer, a novel, patented platform that allows the integration of electronic and photonic devices into a single chip using wafer-level semiconductor manufacturing techniques. Its Optical Interposer-based products consume less power than comparable products, are smaller in size and are readily scalable to high production volumes. In addition, it has designed and produced novel light source products for chip-to-chip data communication within and between AI servers, the next frontier for solving bandwidth and latency problems in AI systems. Its Optical Interposer platform solves device integration challenges across a range of communication, computing and sensing applications.</v>
    <v>180</v>
    <v>Nasdaq Stock Market</v>
    <v>XNAS</v>
    <v>XNAS</v>
    <v>120 Eglinton Avenue East, Suite 1107, TORONTO, ON, M4P 1E2 CA</v>
    <v>6.1</v>
    <v>Semiconductors &amp; Semiconductor Equipment</v>
    <v>Stock</v>
    <v>45966.999137094528</v>
    <v>115</v>
    <v>5.86</v>
    <v>629895883</v>
    <v>POET Technologies Inc.</v>
    <v>POET Technologies Inc.</v>
    <v>6.07</v>
    <v>0</v>
    <v>5.95</v>
    <v>6.0350000000000001</v>
    <v>6.09</v>
    <v>104373800</v>
    <v>POET</v>
    <v>POET Technologies Inc. (XNAS:POET)</v>
    <v>7813883</v>
    <v>17757191</v>
    <v>2010</v>
  </rv>
  <rv s="2">
    <v>116</v>
  </rv>
  <rv s="0">
    <v>https://www.bing.com/financeapi/forcetrigger?t=a21g2w&amp;q=XNYS%3aPW&amp;form=skydnc</v>
    <v>Learn more on Bing</v>
  </rv>
  <rv s="4">
    <v>12</v>
    <v>POWER REIT (XNYS:PW)</v>
    <v>2</v>
    <v>13</v>
    <v>Finance</v>
    <v>5</v>
    <v>en-US</v>
    <v>a21g2w</v>
    <v>268435456</v>
    <v>1</v>
    <v>Powered by Refinitiv</v>
    <v>2.59</v>
    <v>0.62429999999999997</v>
    <v>1.5404</v>
    <v>5.1700000000000003E-2</v>
    <v>7.4570999999999998E-2</v>
    <v>2.5000000000000001E-2</v>
    <v>3.3557000000000003E-2</v>
    <v>USD</v>
    <v>Power REIT (the Trust) is an internally managed real estate investment trust. The Trust is engaged in the ownership, leasing, acquisition, development, and disposition of special purpose real estate assets. The Trust owns a portfolio of real estate assets related to transportation, energy infrastructure and Controlled Environment Agriculture (CEA) in the United States. It owns its assets through direct and indirect wholly owned and special purpose subsidiaries. The Trust’s assets consist of approximately 112 miles of railroad infrastructure and related real estate which is owned by its subsidiary, Pittsburgh &amp; West Virginia Railroad (P&amp;WV), over 447 acres of fee simple land leased to a number of utility scale solar power generating projects with an aggregate generating capacity of approximately 82 Megawatts (MW) and over 239 acres of land with approximately 2,066,000 square feet of existing or under construction CEA properties in the form of greenhouses.</v>
    <v>2</v>
    <v>New York Stock Exchange</v>
    <v>XNYS</v>
    <v>XNYS</v>
    <v>301 Winding Rd, OLD BETHPAGE, NY, 11804 US</v>
    <v>0.77990000000000004</v>
    <v>Residential &amp; Commercial REIT</v>
    <v>Stock</v>
    <v>45966.979166678124</v>
    <v>118</v>
    <v>0.70030000000000003</v>
    <v>2350050</v>
    <v>POWER REIT</v>
    <v>POWER REIT</v>
    <v>0.70030000000000003</v>
    <v>0.69330000000000003</v>
    <v>0.745</v>
    <v>0.77</v>
    <v>3389660</v>
    <v>PW</v>
    <v>POWER REIT (XNYS:PW)</v>
    <v>61947</v>
    <v>89296</v>
    <v>2011</v>
  </rv>
  <rv s="2">
    <v>119</v>
  </rv>
  <rv s="0">
    <v>https://www.bing.com/financeapi/forcetrigger?t=a2218m&amp;q=XNAS%3aRIGL&amp;form=skydnc</v>
    <v>Learn more on Bing</v>
  </rv>
  <rv s="1">
    <v>0</v>
    <v>RIGEL PHARMACEUTICALS, INC. (XNAS:RIGL)</v>
    <v>2</v>
    <v>3</v>
    <v>Finance</v>
    <v>4</v>
    <v>en-US</v>
    <v>a2218m</v>
    <v>268435456</v>
    <v>1</v>
    <v>Powered by Refinitiv</v>
    <v>43.7181</v>
    <v>13.91</v>
    <v>1.181</v>
    <v>9.4700000000000006</v>
    <v>0.33368599999999998</v>
    <v>0.04</v>
    <v>1.057E-3</v>
    <v>USD</v>
    <v>Rigel Pharmaceuticals, Inc. is a biotechnology company. The Company is engaged in developing and providing novel therapies that significantly improve the lives of patients with hematologic disorders and cancer. It is focused on products that address signaling pathways that are critical to disease mechanisms. Its first product is TAVALISSE (fostamatinib disodium hexahydrate) tablets, the approved oral spleen tyrosine kinase inhibitor for the treatment of adult patients with chronic immune thrombocytopenia (ITP) who have had an insufficient response to a previous treatment. Its second product is REZLIDHIA (olutasidenib) capsules for the treatment of adult patients with relapsed or refractory (R/R) acute myeloid leukemia (AML) with a susceptible isocitrate dehydrogenase-1 (IDH1) mutation as detected by an FDA-approved test. Its GAVRETO (pralsetinib) product is a once daily, small molecule, oral, kinase inhibitor of wild type rearranged during transfection (RET) and oncogenic RET fusions.</v>
    <v>162</v>
    <v>Nasdaq Stock Market</v>
    <v>XNAS</v>
    <v>XNAS</v>
    <v>611 GATEWAY BOULEVARD, SUITE 900, SOUTH SAN FRANCISCO, CA, 94080 US</v>
    <v>39.56</v>
    <v>Pharmaceuticals</v>
    <v>Stock</v>
    <v>45966.99838898125</v>
    <v>121</v>
    <v>34.39</v>
    <v>678928319</v>
    <v>RIGEL PHARMACEUTICALS, INC.</v>
    <v>RIGEL PHARMACEUTICALS, INC.</v>
    <v>34.869999999999997</v>
    <v>4.6014999999999997</v>
    <v>28.38</v>
    <v>37.85</v>
    <v>37.89</v>
    <v>17937340</v>
    <v>RIGL</v>
    <v>RIGEL PHARMACEUTICALS, INC. (XNAS:RIGL)</v>
    <v>2321405</v>
    <v>490204</v>
    <v>1996</v>
  </rv>
  <rv s="2">
    <v>122</v>
  </rv>
  <rv s="0">
    <v>https://www.bing.com/financeapi/forcetrigger?t=afjzfr&amp;q=XFRA%3aRWE&amp;form=skydnc</v>
    <v>Learn more on Bing</v>
  </rv>
  <rv s="3">
    <v>6</v>
    <v>RWE AG (XFRA:RWE)</v>
    <v>2</v>
    <v>9</v>
    <v>Finance</v>
    <v>10</v>
    <v>en-US</v>
    <v>afjzfr</v>
    <v>268435456</v>
    <v>1</v>
    <v>Powered by Refinitiv</v>
    <v>44.03</v>
    <v>14.231</v>
    <v>0.48039999999999999</v>
    <v>0.27</v>
    <v>6.3770000000000007E-3</v>
    <v>EUR</v>
    <v>RWE AG (RWE) is a Germany-based energy company which focuses on electricity generation. The Company is engaged in electricity generation, building storage systems and energy trading. Its activities are divided into following five segments: Offshore Wind, where the business relating to offshore wind is presented; Onshore Wind/ Solar, in which it pools its onshore wind and solar business as well as parts of its battery storage activities; Flexible Generation (previously: Hydro / Biomass / Gas): which encompasses run-of-river, pumped storage, biomass and gas power stations. It also comprises of hard coal and biomass-fired Dutch Amer 9 and Eemshaven power plants as well as stand-alone battery storage systems. Supply &amp; Trading where trading of electricity, pipeline gas, LNG and other energy-related commodities is at core; and Phaseout Technologies (previously: Coal / Nuclear) segment consists of lignite mining and refining operations as well as electricity generation.</v>
    <v>20505</v>
    <v>Deutsche Boerse AG</v>
    <v>XFRA</v>
    <v>XFRA</v>
    <v>RWE Platz 1, ESSEN, NORDRHEIN-WESTFALEN, 45141 DE</v>
    <v>42.61</v>
    <v>Multiline Utilities</v>
    <v>Stock</v>
    <v>45966.878472222219</v>
    <v>124</v>
    <v>42.17</v>
    <v>31583500000</v>
    <v>RWE AG</v>
    <v>RWE AG</v>
    <v>42.28</v>
    <v>12.209199999999999</v>
    <v>42.34</v>
    <v>42.61</v>
    <v>743841200</v>
    <v>RWE</v>
    <v>RWE AG (XFRA:RWE)</v>
    <v>5600</v>
    <v>1735050</v>
    <v>2000</v>
  </rv>
  <rv s="2">
    <v>125</v>
  </rv>
  <rv s="0">
    <v>https://www.bing.com/financeapi/forcetrigger?t=aftlr7&amp;q=XETR%3aSAP&amp;form=skydnc</v>
    <v>Learn more on Bing</v>
  </rv>
  <rv s="3">
    <v>6</v>
    <v>Sap Se (XETR:SAP)</v>
    <v>2</v>
    <v>9</v>
    <v>Finance</v>
    <v>10</v>
    <v>en-US</v>
    <v>aftlr7</v>
    <v>268435456</v>
    <v>1</v>
    <v>Powered by Refinitiv</v>
    <v>283.5</v>
    <v>209.7</v>
    <v>1.0464</v>
    <v>1.9</v>
    <v>8.405000000000001E-3</v>
    <v>EUR</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110730</v>
    <v>Xetra</v>
    <v>XETR</v>
    <v>XETR</v>
    <v>Dietmar-Hopp-Allee 16, WALLDORF, BADEN-WUERTTEMBERG, 69190 DE</v>
    <v>229.95</v>
    <v>Software &amp; IT Services</v>
    <v>Stock</v>
    <v>45966.950497685182</v>
    <v>127</v>
    <v>223.75</v>
    <v>277703400000</v>
    <v>Sap Se</v>
    <v>Sap Se</v>
    <v>224.95</v>
    <v>37.5486</v>
    <v>226.05</v>
    <v>227.95</v>
    <v>1228504000</v>
    <v>SAP</v>
    <v>Sap Se (XETR:SAP)</v>
    <v>944453</v>
    <v>1560890</v>
    <v>2014</v>
  </rv>
  <rv s="2">
    <v>128</v>
  </rv>
  <rv s="0">
    <v>https://www.bing.com/financeapi/forcetrigger?t=a2vkww&amp;q=OTCM%3aSHECY&amp;form=skydnc</v>
    <v>Learn more on Bing</v>
  </rv>
  <rv s="1">
    <v>0</v>
    <v>Shin-Etsu Chemical Co., Ltd. (OTCM:SHECY)</v>
    <v>2</v>
    <v>23</v>
    <v>Finance</v>
    <v>24</v>
    <v>en-US</v>
    <v>a2vkww</v>
    <v>268435456</v>
    <v>1</v>
    <v>Powered by Refinitiv</v>
    <v>19.86</v>
    <v>11.88</v>
    <v>1.2863</v>
    <v>-0.03</v>
    <v>-2.0089999999999999E-3</v>
    <v>-0.01</v>
    <v>-6.711E-4</v>
    <v>USD</v>
    <v>Shin-Etsu Chemical Co Ltd is a Japan-based company mainly engaged in the chemical business. The Company operates through four business segments. The Life Environment Materials segment is engaged in the provision of polyvinyl chloride resin, caustic soda, methanol, chloromethane, and poval. The Electronic Materials segment is engaged in the provision of semiconductor silicon, rare earth magnets (for electronics industry and general use), semiconductor encapsulants, packaging materials for light-emitting diodes (LEDs), photoresists, mask blanks, and synthetic quartz products. The Performance Materials segment is engaged in the provision of silicones, cellulose derivatives, metallic silicon, synthetic sex pheromones, polyvinyl chloride-vinyl acetate copolymer resins, liquid fluoroelastomers, and pellicles. The Processing, Trading, and Technical Services segment is engaged in provision of resin processing products, technology and plant exports, product imports and exports, and engineering.</v>
    <v>27274</v>
    <v>OTC Markets</v>
    <v>OTCM</v>
    <v>OTCM</v>
    <v>20F, Marunouchi Eiraku Bldg., 1-4-1, Marunouchi, CHIYODA-KU, TOKYO-TO, 100-0005 JP</v>
    <v>14.97</v>
    <v>Chemicals</v>
    <v>Stock</v>
    <v>45966.930555555555</v>
    <v>130</v>
    <v>14.27</v>
    <v>9218321000000</v>
    <v>Shin-Etsu Chemical Co., Ltd.</v>
    <v>Shin-Etsu Chemical Co., Ltd.</v>
    <v>14.27</v>
    <v>0</v>
    <v>14.93</v>
    <v>14.9</v>
    <v>14.89</v>
    <v>1984996000</v>
    <v>SHECY</v>
    <v>Shin-Etsu Chemical Co., Ltd. (OTCM:SHECY)</v>
    <v>380683</v>
    <v>7234540</v>
    <v>1926</v>
  </rv>
  <rv s="2">
    <v>131</v>
  </rv>
  <rv s="0">
    <v>https://www.bing.com/financeapi/forcetrigger?t=a23myc&amp;q=XNAS%3aSSYS&amp;form=skydnc</v>
    <v>Learn more on Bing</v>
  </rv>
  <rv s="1">
    <v>0</v>
    <v>STRATASYS LTD (XNAS:SSYS)</v>
    <v>2</v>
    <v>3</v>
    <v>Finance</v>
    <v>4</v>
    <v>en-US</v>
    <v>a23myc</v>
    <v>268435456</v>
    <v>1</v>
    <v>Powered by Refinitiv</v>
    <v>12.88</v>
    <v>7.22</v>
    <v>1.4714</v>
    <v>-0.02</v>
    <v>-2.026E-3</v>
    <v>7.0000000000000007E-2</v>
    <v>7.1069999999999996E-3</v>
    <v>USD</v>
    <v>Stratasys Ltd. provides polymer-based 3D printing solutions for industries such as aerospace, automotive, consumer products and healthcare. The Company's solutions consist of 3D printing systems, consumables, software, paid parts, and professional services and encompass everything from prototyping and design all the way through production. Its printers include F3300, FDM Fortus 450mc, PolyJet J3 DentaJet, P3 DLP Origin One Dental, SLA Neo, PolyJet J5 Digital Anatomy, and Powder Bed Fusion SAF H350. The Company's technologies include FDM Technology, PolyJet Technology, P3 DLP Technology, SAF Technology, Stereolithography Technology and 3DFashion Technology. Its FDM 3D printing technology has the ability to use a variety of production grade thermoplastic materials featuring surface resolution, chemical and heat resistance, color, and mechanical properties necessary for production of functional prototypes and parts for a variety of industries with specific demands and requirements.</v>
    <v>1779</v>
    <v>Nasdaq Stock Market</v>
    <v>XNAS</v>
    <v>XNAS</v>
    <v>7665 Commerce Way, EDEN PRAIRIE, MN, 55344 US</v>
    <v>9.9859000000000009</v>
    <v>Electronic Equipment &amp; Parts</v>
    <v>Stock</v>
    <v>45966.996391539062</v>
    <v>133</v>
    <v>9.77</v>
    <v>838168808</v>
    <v>STRATASYS LTD</v>
    <v>STRATASYS LTD</v>
    <v>9.8800000000000008</v>
    <v>0</v>
    <v>9.8699999999999992</v>
    <v>9.85</v>
    <v>9.92</v>
    <v>85093280</v>
    <v>SSYS</v>
    <v>STRATASYS LTD (XNAS:SSYS)</v>
    <v>592982</v>
    <v>974898</v>
    <v>1998</v>
  </rv>
  <rv s="2">
    <v>134</v>
  </rv>
  <rv s="0">
    <v>https://www.bing.com/financeapi/forcetrigger?t=a24kar&amp;q=XNAS%3aTSLA&amp;form=skydnc</v>
    <v>Learn more on Bing</v>
  </rv>
  <rv s="1">
    <v>0</v>
    <v>TESLA, INC. (XNAS:TSLA)</v>
    <v>2</v>
    <v>3</v>
    <v>Finance</v>
    <v>4</v>
    <v>en-US</v>
    <v>a24kar</v>
    <v>268435456</v>
    <v>1</v>
    <v>Powered by Refinitiv</v>
    <v>488.53989999999999</v>
    <v>214.25</v>
    <v>1.8744000000000001</v>
    <v>17.998000000000001</v>
    <v>4.0511999999999999E-2</v>
    <v>-0.22</v>
    <v>-4.7609999999999997E-4</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466.32990000000001</v>
    <v>Automobiles &amp; Auto Parts</v>
    <v>Stock</v>
    <v>45967.000561573441</v>
    <v>136</v>
    <v>440.71</v>
    <v>1537386439302</v>
    <v>TESLA, INC.</v>
    <v>TESLA, INC.</v>
    <v>452.05</v>
    <v>308.01760000000002</v>
    <v>444.26</v>
    <v>462.25799999999998</v>
    <v>461.85</v>
    <v>3325819000</v>
    <v>TSLA</v>
    <v>TESLA, INC. (XNAS:TSLA)</v>
    <v>85406218</v>
    <v>88177870</v>
    <v>2024</v>
  </rv>
  <rv s="2">
    <v>137</v>
  </rv>
  <rv s="0">
    <v>https://www.bing.com/financeapi/forcetrigger?t=a24kjc&amp;q=XNYS%3aTSM&amp;form=skydnc</v>
    <v>Learn more on Bing</v>
  </rv>
  <rv s="1">
    <v>0</v>
    <v>Taiwan Semiconductor Manufacturing Co., Ltd. (XNYS:TSM)</v>
    <v>2</v>
    <v>3</v>
    <v>Finance</v>
    <v>4</v>
    <v>en-US</v>
    <v>a24kjc</v>
    <v>268435456</v>
    <v>1</v>
    <v>Powered by Refinitiv</v>
    <v>311.36849999999998</v>
    <v>134.25</v>
    <v>1.3110999999999999</v>
    <v>-0.1</v>
    <v>-3.4009999999999997E-4</v>
    <v>1.36</v>
    <v>4.6319999999999998E-3</v>
    <v>USD</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New York Stock Exchange</v>
    <v>XNYS</v>
    <v>XNYS</v>
    <v>No.8, Li-Hsin 6th Road, Hsinchu Science Park, HSINCHU, HSINCHU, 300 TW</v>
    <v>298.21850000000001</v>
    <v>Semiconductors &amp; Semiconductor Equipment</v>
    <v>Stock</v>
    <v>45967.000015462501</v>
    <v>139</v>
    <v>291.5</v>
    <v>1262448000000</v>
    <v>Taiwan Semiconductor Manufacturing Co., Ltd.</v>
    <v>Taiwan Semiconductor Manufacturing Co., Ltd.</v>
    <v>292.62</v>
    <v>29.2499</v>
    <v>294.05</v>
    <v>293.95</v>
    <v>295</v>
    <v>5186523000</v>
    <v>TSM</v>
    <v>Taiwan Semiconductor Manufacturing Co., Ltd. (XNYS:TSM)</v>
    <v>10491376</v>
    <v>14758602</v>
    <v>1987</v>
  </rv>
  <rv s="2">
    <v>140</v>
  </rv>
  <rv s="0">
    <v>https://www.bing.com/financeapi/forcetrigger?t=afn5ec&amp;q=XFRA%3aUN01&amp;form=skydnc</v>
    <v>Learn more on Bing</v>
  </rv>
  <rv s="8">
    <v>25</v>
    <v>Uniper SE (XFRA:UN0)</v>
    <v>2</v>
    <v>26</v>
    <v>Finance</v>
    <v>10</v>
    <v>en-US</v>
    <v>afn5ec</v>
    <v>268435456</v>
    <v>1</v>
    <v>Powered by Refinitiv</v>
    <v>73.5</v>
    <v>2.1</v>
    <v>1.0946</v>
    <v>-0.1</v>
    <v>-3.3779999999999999E-3</v>
    <v>EUR</v>
    <v>Uniper SE is a Germany based Company. The Company is engaged in energy generation. The Company operates through three segments: Green Generation, Flexible Generation and Greener Commodities. The Green Generation segment comprises emission free electricity generation plants operated by the Uniper Group in Europe. The Flexible Generation contributes to ensuring gird stability and security of supply, making them key building blocks for energy transition. The Greener Commodities segment bundles the energy trading and optimization activities and form commercial interface between the Uniper Group and global trading markets.</v>
    <v>7440</v>
    <v>Deutsche Boerse AG</v>
    <v>XFRA</v>
    <v>XFRA</v>
    <v>Holzstrasse 6, DUESSELDORF, NORDRHEIN-WESTFALEN, 40221 DE</v>
    <v>29.6</v>
    <v>Multiline Utilities</v>
    <v>Stock</v>
    <v>45966.878472222219</v>
    <v>142</v>
    <v>29.5</v>
    <v>12327670000</v>
    <v>Uniper SE</v>
    <v>Uniper SE</v>
    <v>29.5</v>
    <v>29.6</v>
    <v>29.5</v>
    <v>416475300</v>
    <v>UN0</v>
    <v>Uniper SE (XFRA:UN0)</v>
    <v>464</v>
    <v>5390</v>
    <v>2016</v>
  </rv>
  <rv s="2">
    <v>143</v>
  </rv>
  <rv s="0">
    <v>https://www.bing.com/financeapi/forcetrigger?t=a24xoc&amp;q=XNAS%3aUNIT&amp;form=skydnc</v>
    <v>Learn more on Bing</v>
  </rv>
  <rv s="1">
    <v>0</v>
    <v>UNITI GROUP INC. (XNAS:UNIT)</v>
    <v>2</v>
    <v>3</v>
    <v>Finance</v>
    <v>5</v>
    <v>en-US</v>
    <v>a24xoc</v>
    <v>268435456</v>
    <v>1</v>
    <v>Powered by Refinitiv</v>
    <v>10.466100000000001</v>
    <v>5.3</v>
    <v>1.4944999999999999</v>
    <v>0.4</v>
    <v>6.666699999999999E-2</v>
    <v>-0.13</v>
    <v>-2.0312999999999998E-2</v>
    <v>USD</v>
    <v>Uniti Group Inc. is a premier insurgent fiber provider dedicated to enabling mission-critical connectivity across the United States. The Company is engaged in building, operating, and delivering fast and reliable communications services, empowering more than a million consumers and businesses in the digital economy. Its portfolio of services is offered through a suite of brands: Uniti Wholesale, Kinetic, Uniti Fiber, and Uniti Solutions. Through Uniti Wholesale, it builds customer-driven dark fiber infrastructure and provides tailored high-capacity wavelengths, Ethernet and cell site backhaul, leveraging its optical transport network for carriers, hyperscalers, government, and Fortune 500 customers across the United States and Canada. Kinetic builds and operates fiber networks and provides transformative multi-Gigabit Internet access to homes and businesses in small and medium-sized communities across the Southeast, Southwest, Northeast and Midwest U.S.</v>
    <v>758</v>
    <v>Nasdaq Stock Market</v>
    <v>XNAS</v>
    <v>XNAS</v>
    <v>2101 Riverfront Drive, Suite A, LITTLE ROCK, AR, 72202 US</v>
    <v>6.7199</v>
    <v>Telecommunications Services</v>
    <v>Stock</v>
    <v>45966.981512418752</v>
    <v>145</v>
    <v>5.94</v>
    <v>947096960</v>
    <v>UNITI GROUP INC.</v>
    <v>UNITI GROUP INC.</v>
    <v>6</v>
    <v>1.2729999999999999</v>
    <v>6</v>
    <v>6.4</v>
    <v>6.27</v>
    <v>147983900</v>
    <v>UNIT</v>
    <v>UNITI GROUP INC. (XNAS:UNIT)</v>
    <v>4479962</v>
    <v>2533146</v>
    <v>2024</v>
  </rv>
  <rv s="2">
    <v>146</v>
  </rv>
  <rv s="0">
    <v>http://tr.wikipedia.org/wiki/Volvo</v>
    <v>Wikipedia</v>
  </rv>
  <rv s="5">
    <v>42</v>
    <v>148</v>
  </rv>
  <rv s="6">
    <v>18</v>
    <v>https://www.bing.com/th?id=AMMS_a85eaa33bec7c64e52ade4c230f05d74&amp;qlt=95</v>
    <v>149</v>
    <v>0</v>
    <v>https://www.bing.com/images/search?form=xlimg&amp;q=ab+volvo</v>
    <v>Image of Volvo AB</v>
  </rv>
  <rv s="0">
    <v>https://www.bing.com/financeapi/forcetrigger?t=a31af2&amp;q=OTCM%3aVLVLY&amp;form=skydnc</v>
    <v>Learn more on Bing</v>
  </rv>
  <rv s="7">
    <v>14</v>
    <v>Volvo AB (OTCM:VLVLY)</v>
    <v>16</v>
    <v>27</v>
    <v>Finance</v>
    <v>24</v>
    <v>en-US</v>
    <v>a31af2</v>
    <v>268435456</v>
    <v>1</v>
    <v>Powered by Refinitiv</v>
    <v>33.33</v>
    <v>22.55</v>
    <v>0.8992</v>
    <v>0.76060000000000005</v>
    <v>2.8359000000000002E-2</v>
    <v>0.33439999999999998</v>
    <v>1.2123999999999999E-2</v>
    <v>USD</v>
    <v>Volvo AB is Sweden- based company primarily engaged in providing transport and infrastructure solutions. The Company scope of activity includes manufacturing of trucks, buses, construction equipment as well as marine and industrial engines.In addition to vehicles and machines, Company offering includes various types of services such as financing, insurance, rentals, spare parts, repairs, preventive maintenance, service agreements and assistance services. The majority of the Volvo AB customers are companies within the transportation or infrastructure industries. The Volvo Group sells its products under the Volvo, Volvo Penta, Rokbak, Renault Trucks, Prevost, Nova Bus, Mack and Arquus brands.</v>
    <v>88191</v>
    <v>OTC Markets</v>
    <v>OTCM</v>
    <v>OTCM</v>
    <v>Gropegardsgatan 2, GOETEBORG, VASTRA GOTALANDS, 417 15 SE</v>
    <v>27.689900000000002</v>
    <v>150</v>
    <v>Machinery, Equipment &amp; Components</v>
    <v>Stock</v>
    <v>45966.930555555555</v>
    <v>151</v>
    <v>27.3</v>
    <v>524331800000</v>
    <v>Volvo AB</v>
    <v>Volvo AB</v>
    <v>27.375</v>
    <v>0</v>
    <v>26.82</v>
    <v>27.5806</v>
    <v>27.914999999999999</v>
    <v>2033452000</v>
    <v>VLVLY</v>
    <v>Volvo AB (OTCM:VLVLY)</v>
    <v>89619</v>
    <v>2301540</v>
    <v>1915</v>
  </rv>
  <rv s="2">
    <v>152</v>
  </rv>
  <rv s="0">
    <v>https://www.bing.com/financeapi/forcetrigger?t=an41hw&amp;q=XSWX%3aVONN&amp;form=skydnc</v>
    <v>Learn more on Bing</v>
  </rv>
  <rv s="3">
    <v>6</v>
    <v>Vontobel Holding Ltd (XSWX:VONN)</v>
    <v>2</v>
    <v>28</v>
    <v>Finance</v>
    <v>10</v>
    <v>en-US</v>
    <v>an41hw</v>
    <v>268435456</v>
    <v>1</v>
    <v>Powered by Refinitiv</v>
    <v>69.5</v>
    <v>51.1</v>
    <v>0.84670000000000001</v>
    <v>-0.3</v>
    <v>-5.0509999999999999E-3</v>
    <v>CHF</v>
    <v>Vontobel Holding AG is a Switzerland-based private bank and holding company of the Vontobel Group. It is structured into three main business units: Private Banking, Investment Banking, and Asset Management. Private Banking services include portfolio management services for private clients and active investment advisory and custodian services. The Investment Banking business unit focuses on the derivatives and structured products business and on brokerage, as well as on selected corporate finance activities. Asset Management specializes in active asset management based on asset allocation, stock selection and multi-manager approaches. Its products are distributed through wholesale channels and directly to institutional clients. The Bank operates a number of subsidiaries located in Switzerland, Austria, Germany, the United States, the United Kingdom, the United Arab Emirates, Hong Kong, Singapore and Grand Cayman, among others.</v>
    <v>2302</v>
    <v>SIX Swiss Exchange</v>
    <v>XSWX</v>
    <v>XSWX</v>
    <v>Gotthardstrasse 43, ZUERICH, ZUERICH, 8022 CH</v>
    <v>59.6</v>
    <v>Investment Banking &amp; Investment Services</v>
    <v>Stock</v>
    <v>45966.853761574072</v>
    <v>154</v>
    <v>58.9</v>
    <v>3378375000</v>
    <v>Vontobel Holding Ltd</v>
    <v>Vontobel Holding Ltd</v>
    <v>59.3</v>
    <v>13.3409</v>
    <v>59.4</v>
    <v>59.1</v>
    <v>56875000</v>
    <v>VONN</v>
    <v>Vontobel Holding Ltd (XSWX:VONN)</v>
    <v>29757</v>
    <v>41580</v>
    <v>1936</v>
  </rv>
  <rv s="2">
    <v>155</v>
  </rv>
  <rv s="0">
    <v>https://www.bing.com/financeapi/forcetrigger?t=a1y7rw&amp;q=XNAS%3aVTRS&amp;form=skydnc</v>
    <v>Learn more on Bing</v>
  </rv>
  <rv s="1">
    <v>0</v>
    <v>VIATRIS INC. (XNAS:VTRS)</v>
    <v>2</v>
    <v>3</v>
    <v>Finance</v>
    <v>4</v>
    <v>en-US</v>
    <v>a1y7rw</v>
    <v>268435456</v>
    <v>1</v>
    <v>Powered by Refinitiv</v>
    <v>13.55</v>
    <v>6.85</v>
    <v>0.83</v>
    <v>0.26</v>
    <v>2.4786000000000002E-2</v>
    <v>1.06E-2</v>
    <v>9.859999999999999E-4</v>
    <v>USD</v>
    <v>Viatris Inc. is a global healthcare company. The Company's segments include Developed Markets, Greater China, JANZ, and Emerging Markets. The Developed Markets segment comprises its operations primarily in North America and Europe. The Greater China segment includes its operations in China, Taiwan and Hong Kong. The JANZ segment reflects its operations in Japan, Australia, and New Zealand. The Emerging Markets segment encompasses its presence in more than 125 countries with developing markets and emerging economies, including in Asia, Africa, Eastern Europe, Latin America, and the Middle East, as well as the Company’s Antiretroviral medicines (ARV) franchise. Its pipeline and research and development capabilities include expertise in formulation, device development, toxicology, analytical, clinical, bioanalytical, medical affairs, product safety and risk management across a range of therapeutic areas. It produces oral solid doses, injectables, and products with complex dosage forms.</v>
    <v>32000</v>
    <v>Nasdaq Stock Market</v>
    <v>XNAS</v>
    <v>XNAS</v>
    <v>1000 Mylan Boulevard, CANONSBURG, PA, 15317 US</v>
    <v>10.81</v>
    <v>Pharmaceuticals</v>
    <v>Stock</v>
    <v>45966.996753738284</v>
    <v>157</v>
    <v>10.41</v>
    <v>12132570000</v>
    <v>VIATRIS INC.</v>
    <v>VIATRIS INC.</v>
    <v>10.45</v>
    <v>0</v>
    <v>10.49</v>
    <v>10.75</v>
    <v>10.7606</v>
    <v>1156585000</v>
    <v>VTRS</v>
    <v>VIATRIS INC. (XNAS:VTRS)</v>
    <v>17838532</v>
    <v>7520058</v>
    <v>2019</v>
  </rv>
  <rv s="2">
    <v>158</v>
  </rv>
  <rv s="0">
    <v>https://www.bing.com/financeapi/forcetrigger?t=a25pm7&amp;q=XNAS%3aWBA&amp;form=skydnc</v>
    <v>Learn more on Bing</v>
  </rv>
  <rv s="3">
    <v>6</v>
    <v>WALGREENS BOOTS ALLIANCE, INC. (XNAS:WBA)</v>
    <v>2</v>
    <v>19</v>
    <v>Finance</v>
    <v>20</v>
    <v>en-US</v>
    <v>a25pm7</v>
    <v>268435456</v>
    <v>1</v>
    <v>Powered by Refinitiv</v>
    <v>13.249499999999999</v>
    <v>8.08</v>
    <v>0.81640000000000001</v>
    <v>0</v>
    <v>0</v>
    <v>USD</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Company's U.S. Healthcare segment is a consumer-centric, technology-enabled healthcare business that engages consumers through a personalized, omni-channel experience across the care journey.</v>
    <v>193000</v>
    <v>Nasdaq Stock Market</v>
    <v>XNAS</v>
    <v>XNAS</v>
    <v>108 Wilmot Rd, DEERFIELD, IL, 60015 US</v>
    <v>12.11</v>
    <v>Food &amp; Drug Retailing</v>
    <v>Stock</v>
    <v>45896.992190289064</v>
    <v>160</v>
    <v>11.9</v>
    <v>10369417186</v>
    <v>WALGREENS BOOTS ALLIANCE, INC.</v>
    <v>WALGREENS BOOTS ALLIANCE, INC.</v>
    <v>11.914999999999999</v>
    <v>0</v>
    <v>11.92</v>
    <v>11.98</v>
    <v>865560700</v>
    <v>WBA</v>
    <v>WALGREENS BOOTS ALLIANCE, INC. (XNAS:WBA)</v>
    <v>452081061</v>
    <v>30166826</v>
    <v>2014</v>
  </rv>
  <rv s="2">
    <v>161</v>
  </rv>
  <rv s="0">
    <v>https://www.bing.com/financeapi/forcetrigger?t=a269ec&amp;q=XNYS%3aXOM&amp;form=skydnc</v>
    <v>Learn more on Bing</v>
  </rv>
  <rv s="1">
    <v>0</v>
    <v>EXXON MOBIL CORPORATION (XNYS:XOM)</v>
    <v>2</v>
    <v>3</v>
    <v>Finance</v>
    <v>4</v>
    <v>en-US</v>
    <v>a269ec</v>
    <v>268435456</v>
    <v>1</v>
    <v>Powered by Refinitiv</v>
    <v>123.21</v>
    <v>97.8</v>
    <v>0.38169999999999998</v>
    <v>-0.43</v>
    <v>-3.7669999999999999E-3</v>
    <v>0.32</v>
    <v>2.8149999999999998E-3</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115.18</v>
    <v>Oil &amp; Gas</v>
    <v>Stock</v>
    <v>45966.997023078125</v>
    <v>163</v>
    <v>113.67</v>
    <v>479533945860</v>
    <v>EXXON MOBIL CORPORATION</v>
    <v>EXXON MOBIL CORPORATION</v>
    <v>114.09</v>
    <v>16.5291</v>
    <v>114.14</v>
    <v>113.71</v>
    <v>114</v>
    <v>4217166000</v>
    <v>XOM</v>
    <v>EXXON MOBIL CORPORATION (XNYS:XOM)</v>
    <v>12399753</v>
    <v>12711598</v>
    <v>1882</v>
  </rv>
  <rv s="2">
    <v>164</v>
  </rv>
  <rv s="9">
    <v>29</v>
    <v>XPERI INC. (XNYS:XPER)</v>
    <v>30</v>
    <v>13</v>
    <v>Finance</v>
    <v>5</v>
    <v>en-US</v>
    <v>c7dbfr</v>
    <v>268435456</v>
    <v>1</v>
    <v>Powered by Refinitiv</v>
    <v>11.074999999999999</v>
    <v>5.6849999999999996</v>
    <v>1.1930000000000001</v>
    <v>0.37</v>
    <v>5.8085000000000005E-2</v>
    <v>-0.13</v>
    <v>-1.9288E-2</v>
    <v>USD</v>
    <v>Xperi Inc. is a consumer and entertainment technology company. The Company invents, develops, and delivers technologies that are integrated into a variety of consumer devices and media platforms worldwide, powering smart devices, connected cars and entertainment experiences. The Company operates through four business categories: Pay-TV, Consumer Electronics, Connected Car and Media Platform. Pay-TV transforms the traditional television user experience from linear multichannel video program distribution (MVPD) to cloud-based digital video recordings (DVRs). Its Consumer Electronics business provides technology solutions delivered to its customers to enhance their entertainment experience in the home and on-the-go. Its Connected Car transforms the automotive experience through multimedia and personalization of the connected car. The Company’s Media Platform provides technology that enables consumers to find, watch, and enjoy their favorite media entertainment on connected devices.</v>
    <v>1620</v>
    <v>New York Stock Exchange</v>
    <v>XNYS</v>
    <v>XNYS</v>
    <v>2190 Gold Street, SAN JOSE, CA, 95002 US</v>
    <v>6.78</v>
    <v>Software &amp; IT Services</v>
    <v>Stock</v>
    <v>45966.985461562501</v>
    <v>6.4</v>
    <v>311793478</v>
    <v>XPERI INC.</v>
    <v>XPERI INC.</v>
    <v>6.4</v>
    <v>6.37</v>
    <v>6.74</v>
    <v>6.61</v>
    <v>46260160</v>
    <v>XPER</v>
    <v>XPERI INC. (XNYS:XPER)</v>
    <v>731648</v>
    <v>470271</v>
    <v>2019</v>
  </rv>
  <rv s="2">
    <v>166</v>
  </rv>
  <rv s="0">
    <v>https://www.bing.com/financeapi/forcetrigger?t=ajezf2&amp;q=XMIL%3aENI&amp;form=skydnc</v>
    <v>Learn more on Bing</v>
  </rv>
  <rv s="10">
    <v>31</v>
    <v>Eni SpA (XMIL:ENI)</v>
    <v>2</v>
    <v>32</v>
    <v>Finance</v>
    <v>33</v>
    <v>en-US</v>
    <v>ajezf2</v>
    <v>268435456</v>
    <v>1</v>
    <v>Powered by Refinitiv</v>
    <v>16.11</v>
    <v>11.01</v>
    <v>0.83050000000000002</v>
    <v>5.8000000000000003E-2</v>
    <v>3.6459999999999999E-3</v>
    <v>EUR</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Borsa Italiana</v>
    <v>XMIL</v>
    <v>XMIL</v>
    <v>Piazza Ezio Vanoni, 1, SAN DONATO MILANESE, MILANO, 20097 IT</v>
    <v>15.986000000000001</v>
    <v>Oil &amp; Gas</v>
    <v>Stock</v>
    <v>45966.708333333336</v>
    <v>168</v>
    <v>15.832000000000001</v>
    <v>50065030000</v>
    <v>Eni SpA</v>
    <v>Eni SpA</v>
    <v>15.848000000000001</v>
    <v>17.634499999999999</v>
    <v>15.91</v>
    <v>15.968</v>
    <v>3146765000</v>
    <v>ENI</v>
    <v>Eni SpA (XMIL:ENI)</v>
    <v>7194438</v>
    <v>12662660</v>
  </rv>
  <rv s="2">
    <v>169</v>
  </rv>
  <rv s="0">
    <v>https://www.bing.com/financeapi/forcetrigger?t=ae8t4c&amp;q=XPAR%3aGLE&amp;form=skydnc</v>
    <v>Learn more on Bing</v>
  </rv>
  <rv s="10">
    <v>31</v>
    <v>Societe Generale SA (XPAR:GLE)</v>
    <v>2</v>
    <v>32</v>
    <v>Finance</v>
    <v>10</v>
    <v>en-US</v>
    <v>ae8t4c</v>
    <v>268435456</v>
    <v>1</v>
    <v>Powered by Refinitiv</v>
    <v>59.42</v>
    <v>24.03</v>
    <v>1.389</v>
    <v>0.06</v>
    <v>1.0989999999999999E-3</v>
    <v>EUR</v>
    <v>Societe Generale SA is a France-based financial services group. The Group offers a wide range of advisory services and tailored financial solutions to secure transactions, protect and manage assets and savings, and help its clients finance their projects. It operates through three segments: French Retail Banking, International Retail Banking &amp; Financial Services and Global Banking and Investor Solutions. French Retail Banking includes the domestic networks Societe Generale, Credit du Nord and Boursorama. International Retail Banking &amp; Financial Services consists of International Retail Banking (consumer finance activities), Financial Services to Corporates (operational vehicle leasing and fleet management, equipment and vendor finance) and Insurance Activities. Global Banking and Investor Solutions comprises Global Markets and Investors Services, Financing and Advisory, Asset and Wealth Management. The Group is active globally.</v>
    <v>119000</v>
    <v>Euronext Paris</v>
    <v>XPAR</v>
    <v>XPAR</v>
    <v>29 Boulevard Haussmann, PARIS, ILE-DE-FRANCE, 75009 FR</v>
    <v>54.76</v>
    <v>Banking Services</v>
    <v>Stock</v>
    <v>45966.708333333336</v>
    <v>171</v>
    <v>53.76</v>
    <v>42855140000</v>
    <v>Societe Generale SA</v>
    <v>Societe Generale SA</v>
    <v>53.96</v>
    <v>8.7401999999999997</v>
    <v>54.58</v>
    <v>54.64</v>
    <v>785180400</v>
    <v>GLE</v>
    <v>Societe Generale SA (XPAR:GLE)</v>
    <v>1640478</v>
    <v>2049810</v>
  </rv>
  <rv s="2">
    <v>172</v>
  </rv>
  <rv s="0">
    <v>https://www.bing.com/financeapi/forcetrigger?t=ae9qlh&amp;q=XPAR%3aORA&amp;form=skydnc</v>
    <v>Learn more on Bing</v>
  </rv>
  <rv s="3">
    <v>6</v>
    <v>Orange SA (XPAR:ORA)</v>
    <v>2</v>
    <v>9</v>
    <v>Finance</v>
    <v>10</v>
    <v>en-US</v>
    <v>ae9qlh</v>
    <v>268435456</v>
    <v>1</v>
    <v>Powered by Refinitiv</v>
    <v>14.56</v>
    <v>9.3699999999999992</v>
    <v>0.24</v>
    <v>0</v>
    <v>0</v>
    <v>EUR</v>
    <v>Orange SA is a France-based multi-service telecommunications operator. The Company operates seven segments: France, Spain, Europe, Africa &amp; Middle East, Enterprise, International Carriers &amp; Shared Services, Orange Bank. France includes all fixed and mobile communication services to consumers and companies as well as services for carriers. Spain covers fixed line and mobile telephony and fiber. Europe (Poland, Belgium, Luxembourg, Romania, Slovakia, and Moldova) provides high-speed fixed and mobile broadband. Africa &amp; Middle East primarily operates in the mobile markets but also provides telephony and fixed Internet services. Enterprise provides digital transformation support. International Carriers &amp; Shared Services includes international carrier and the activities of OCS and Orange Studio in content, among others. Orange Bank provides mobile financial services. Orange SA is the parent company of the Orange group.</v>
    <v>119270</v>
    <v>Euronext Paris</v>
    <v>XPAR</v>
    <v>XPAR</v>
    <v>111, quai du President Roosevelt, Cs 70222, Issy-Les-Moulineaux Cedex, ISSY-LES-MOULINEAUX, ILE-DE-FRANCE, 92449 FR</v>
    <v>13.86</v>
    <v>Telecommunications Services</v>
    <v>Stock</v>
    <v>45966.708333333336</v>
    <v>174</v>
    <v>13.705</v>
    <v>36482680000</v>
    <v>Orange SA</v>
    <v>Orange SA</v>
    <v>13.73</v>
    <v>43.319600000000001</v>
    <v>13.715</v>
    <v>13.715</v>
    <v>2660057000</v>
    <v>ORA</v>
    <v>Orange SA (XPAR:ORA)</v>
    <v>3380269</v>
    <v>3610840</v>
    <v>1991</v>
  </rv>
  <rv s="2">
    <v>175</v>
  </rv>
  <rv s="0">
    <v>https://www.bing.com/financeapi/forcetrigger?t=ayz4u2&amp;q=XNAS%3aBLNK&amp;form=skydnc</v>
    <v>Learn more on Bing</v>
  </rv>
  <rv s="1">
    <v>0</v>
    <v>BLINK CHARGING CO. (XNAS:BLNK)</v>
    <v>2</v>
    <v>3</v>
    <v>Finance</v>
    <v>4</v>
    <v>en-US</v>
    <v>ayz4u2</v>
    <v>268435456</v>
    <v>1</v>
    <v>Powered by Refinitiv</v>
    <v>2.6499000000000001</v>
    <v>0.63009999999999999</v>
    <v>1.8866000000000001</v>
    <v>0.16</v>
    <v>0.10810800000000001</v>
    <v>-0.01</v>
    <v>-6.0980000000000001E-3</v>
    <v>USD</v>
    <v>Blink Charging Co., through its wholly owned subsidiaries, is a manufacturer, owner, operator and provider of electric vehicle (EV) charging equipment and networked EV charging services. It offers residential and commercial EV charging equipment and services, enabling EV drivers to recharge at various location types. Its principal line of products and services is its nationwide Blink EV charging networks (the Blink Networks) and Blink EV charging equipment, also known as electric vehicle supply equipment (EVSE), and other EV-related services. The Blink Networks is a proprietary, cloud-based system that operates, maintains and manages Blink charging stations and handles the associated charging data, back-end operations and payment processing. The Blink Networks provide property owners, managers, parking companies, state and municipal entities, and other types of commercial customers with cloud-based services that enable the remote monitoring and management of EV charging stations.</v>
    <v>542</v>
    <v>Nasdaq Stock Market</v>
    <v>XNAS</v>
    <v>XNAS</v>
    <v>5081 Howerton Way, Suite A, BOWIE, MD, 20715 US</v>
    <v>1.66</v>
    <v>Electrical Utilities &amp; IPPs</v>
    <v>Stock</v>
    <v>45966.999565392965</v>
    <v>177</v>
    <v>1.5</v>
    <v>171731452</v>
    <v>BLINK CHARGING CO.</v>
    <v>BLINK CHARGING CO.</v>
    <v>1.5</v>
    <v>0</v>
    <v>1.48</v>
    <v>1.64</v>
    <v>1.63</v>
    <v>104714300</v>
    <v>BLNK</v>
    <v>BLINK CHARGING CO. (XNAS:BLNK)</v>
    <v>2549783</v>
    <v>5997430</v>
    <v>2006</v>
  </rv>
  <rv s="2">
    <v>178</v>
  </rv>
  <rv s="0">
    <v>https://www.bing.com/financeapi/forcetrigger?t=ao8g3m&amp;q=XLON%3aEZJ&amp;form=skydnc</v>
    <v>Learn more on Bing</v>
  </rv>
  <rv s="3">
    <v>6</v>
    <v>EASYJET PLC (XLON:EZJ)</v>
    <v>2</v>
    <v>7</v>
    <v>Finance</v>
    <v>8</v>
    <v>en-US</v>
    <v>ao8g3m</v>
    <v>268435456</v>
    <v>1</v>
    <v>Powered by Refinitiv</v>
    <v>594</v>
    <v>401.05</v>
    <v>2.2376</v>
    <v>3.8</v>
    <v>7.9120000000000006E-3</v>
    <v>GBp</v>
    <v>Easyjet PLC is a United Kingdom-based holding company engaged in providing flights and package holidays, principally in Europe. The Company operates through two segments: Airline business and Holidays business. The Airline business segment operates its route network. The Holidays business segment sells holiday packages. Its fleet includes A319, A320, A320 neo and A321 neo. The Company’s total fleet comprises approximately 355 aircraft, operating 1,207 routes across 38 countries and 164 airports. Its subsidiaries include easyJet Airline Company Limited, easyJet Sterling Limited, easyJet UK Limited, easyJet Europe Airline GmbH, easyJet Switzerland S.A., easyJet FinCo B.V., easyJet MT Limited, easyJet HQ Holdings Limited, easyJet HQ Limited, easyJet HQ Development Limited, easyJet Holidays Holdings Limited, and others. The easyJet Airline Company Limited and easyJet Switzerland S.A. subsidiaries are engaged in airline operations.</v>
    <v>17639</v>
    <v>London Stock Exchange</v>
    <v>XLON</v>
    <v>XLON</v>
    <v>Hangar 89, London Luton Airport, LUTON, LU2 9PA GB</v>
    <v>487.3</v>
    <v>Passenger Transportation Services</v>
    <v>Stock</v>
    <v>45966.680477742972</v>
    <v>180</v>
    <v>478.3</v>
    <v>3640722000</v>
    <v>EASYJET PLC</v>
    <v>EASYJET PLC</v>
    <v>478.3</v>
    <v>8.7754999999999992</v>
    <v>480.3</v>
    <v>484.1</v>
    <v>758010000</v>
    <v>EZJ</v>
    <v>EASYJET PLC (XLON:EZJ)</v>
    <v>2648697</v>
    <v>3502610</v>
    <v>2000</v>
  </rv>
  <rv s="2">
    <v>181</v>
  </rv>
  <rv s="0">
    <v>http://en.wikipedia.org/wiki/Ford_Motor_Company</v>
    <v>Wikipedia</v>
  </rv>
  <rv s="5">
    <v>42</v>
    <v>183</v>
  </rv>
  <rv s="6">
    <v>18</v>
    <v>https://www.bing.com/th?id=AMMS_cf0311a5f2d2dcb3110aca1404330618&amp;qlt=95</v>
    <v>184</v>
    <v>0</v>
    <v>https://www.bing.com/images/search?form=xlimg&amp;q=ford+motor+company</v>
    <v>Image of FORD MOTOR COMPANY</v>
  </rv>
  <rv s="0">
    <v>https://www.bing.com/financeapi/forcetrigger?t=a1sjw7&amp;q=XNYS%3aF&amp;form=skydnc</v>
    <v>Learn more on Bing</v>
  </rv>
  <rv s="7">
    <v>14</v>
    <v>FORD MOTOR COMPANY (XNYS:F)</v>
    <v>16</v>
    <v>17</v>
    <v>Finance</v>
    <v>4</v>
    <v>en-US</v>
    <v>a1sjw7</v>
    <v>268435456</v>
    <v>1</v>
    <v>Powered by Refinitiv</v>
    <v>13.97</v>
    <v>8.4405999999999999</v>
    <v>1.603</v>
    <v>0.34499999999999997</v>
    <v>2.6974000000000001E-2</v>
    <v>0.02</v>
    <v>1.5260000000000002E-3</v>
    <v>USD</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171000</v>
    <v>New York Stock Exchange</v>
    <v>XNYS</v>
    <v>XNYS</v>
    <v>One American Road, DEARBORN, MI, 48126-2701 US</v>
    <v>13.305</v>
    <v>185</v>
    <v>Automobiles &amp; Auto Parts</v>
    <v>Stock</v>
    <v>45967.000503599222</v>
    <v>186</v>
    <v>12.88</v>
    <v>52336394365</v>
    <v>FORD MOTOR COMPANY</v>
    <v>FORD MOTOR COMPANY</v>
    <v>12.92</v>
    <v>11.279500000000001</v>
    <v>12.79</v>
    <v>13.135</v>
    <v>13.13</v>
    <v>3984499000</v>
    <v>F</v>
    <v>FORD MOTOR COMPANY (XNYS:F)</v>
    <v>79114426</v>
    <v>137175215</v>
    <v>1919</v>
  </rv>
  <rv s="2">
    <v>187</v>
  </rv>
  <rv s="0">
    <v>https://www.bing.com/financeapi/forcetrigger?t=a1u1z2&amp;q=XNYS%3aGNRC&amp;form=skydnc</v>
    <v>Learn more on Bing</v>
  </rv>
  <rv s="1">
    <v>0</v>
    <v>GENERAC HOLDINGS INC. (XNYS:GNRC)</v>
    <v>2</v>
    <v>3</v>
    <v>Finance</v>
    <v>5</v>
    <v>en-US</v>
    <v>a1u1z2</v>
    <v>268435456</v>
    <v>1</v>
    <v>Powered by Refinitiv</v>
    <v>203.2499</v>
    <v>99.5</v>
    <v>1.8173999999999999</v>
    <v>2.59</v>
    <v>1.6539999999999999E-2</v>
    <v>1.27</v>
    <v>7.977999999999999E-3</v>
    <v>USD</v>
    <v>Generac Holdings Inc. is a global designer, manufacturer, and provider of energy technology solutions. The Company provides power generation equipment, energy storage systems, energy management devices &amp; solutions, and other power products serving the residential, light commercial, and industrial markets. The Company operates through two segments: Domestic and International. The Domestic segment includes the legacy Generac business and the acquisitions that are based in the United States and Canada. The International segment includes acquisitions not based in the United States and Canada. It designs and manufactures stationary, portable, and mobile power generators with single-engine outputs ranging between 800W and 3,250kW. Its residential automatic standby generators range in output from 7.5kW to 150kW, which predominantly operate on natural gas and liquid propane, and are permanently installed with an automatic transfer switch.</v>
    <v>9239</v>
    <v>New York Stock Exchange</v>
    <v>XNYS</v>
    <v>XNYS</v>
    <v>S45 W29290 HIGHWAY 59, WAUKESHA, WI, 53187 US</v>
    <v>161.26</v>
    <v>Machinery, Equipment &amp; Components</v>
    <v>Stock</v>
    <v>45966.987052488279</v>
    <v>189</v>
    <v>156</v>
    <v>9341514911</v>
    <v>GENERAC HOLDINGS INC.</v>
    <v>GENERAC HOLDINGS INC.</v>
    <v>156.53</v>
    <v>30.288799999999998</v>
    <v>156.59</v>
    <v>159.18</v>
    <v>160.44999999999999</v>
    <v>58685230</v>
    <v>GNRC</v>
    <v>GENERAC HOLDINGS INC. (XNYS:GNRC)</v>
    <v>897057</v>
    <v>1256348</v>
    <v>2006</v>
  </rv>
  <rv s="2">
    <v>190</v>
  </rv>
  <rv s="0">
    <v>https://www.bing.com/financeapi/forcetrigger?t=a1u7xm&amp;q=XNYS%3aGS&amp;form=skydnc</v>
    <v>Learn more on Bing</v>
  </rv>
  <rv s="1">
    <v>0</v>
    <v>THE GOLDMAN SACHS GROUP, INC. (XNYS:GS)</v>
    <v>2</v>
    <v>3</v>
    <v>Finance</v>
    <v>4</v>
    <v>en-US</v>
    <v>a1u7xm</v>
    <v>268435456</v>
    <v>1</v>
    <v>Powered by Refinitiv</v>
    <v>825.25</v>
    <v>439.38</v>
    <v>1.3489</v>
    <v>2.2799999999999998</v>
    <v>2.8830000000000001E-3</v>
    <v>-1.3223</v>
    <v>-1.6669999999999999E-3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48300</v>
    <v>New York Stock Exchange</v>
    <v>XNYS</v>
    <v>XNYS</v>
    <v>200 West St, NEW YORK, NY, 10282 US</v>
    <v>797.36</v>
    <v>Investment Banking &amp; Investment Services</v>
    <v>Stock</v>
    <v>45966.992608135937</v>
    <v>192</v>
    <v>775.58</v>
    <v>237876292635</v>
    <v>THE GOLDMAN SACHS GROUP, INC.</v>
    <v>THE GOLDMAN SACHS GROUP, INC.</v>
    <v>790.44</v>
    <v>16.1112</v>
    <v>790.83</v>
    <v>793.11</v>
    <v>791.76769999999999</v>
    <v>299928500</v>
    <v>GS</v>
    <v>THE GOLDMAN SACHS GROUP, INC. (XNYS:GS)</v>
    <v>1832800</v>
    <v>2103506</v>
    <v>1998</v>
  </rv>
  <rv s="2">
    <v>193</v>
  </rv>
  <rv s="0">
    <v>https://www.bing.com/financeapi/forcetrigger?t=bplbur&amp;q=XNAS%3aLAZR&amp;form=skydnc</v>
    <v>Learn more on Bing</v>
  </rv>
  <rv s="1">
    <v>0</v>
    <v>LUMINAR TECHNOLOGIES, INC. (XNAS:LAZR)</v>
    <v>2</v>
    <v>3</v>
    <v>Finance</v>
    <v>4</v>
    <v>en-US</v>
    <v>bplbur</v>
    <v>268435456</v>
    <v>1</v>
    <v>Powered by Refinitiv</v>
    <v>18.600000000000001</v>
    <v>1.08</v>
    <v>1.4121999999999999</v>
    <v>-0.11</v>
    <v>-8.1480999999999998E-2</v>
    <v>-9.7999999999999997E-3</v>
    <v>-7.9030000000000003E-3</v>
    <v>USD</v>
    <v>Luminar Technologies, Inc. is a global automotive technology company, which is engaged in vehicle safety and autonomy. It enables safety and autonomous capabilities for passenger and commercial vehicles and other adjacent markets. Its Autonomy Solutions segment is engaged in the design, manufacturing, and sale of LiDAR sensors, catering mainly to the original equipment manufacturers in the automobile, commercial vehicle, robo-taxi, and adjacent industries. Its Advanced Technologies and Services segment provides advanced semiconductors and related components, as well as design, test, and consulting services to the Autonomy Solutions segment and to various third-party customers, including government agencies and defense contractors, in markets generally unrelated to autonomous vehicles. Its products include Iris lidar, Core Sensor Software, Driving Functions Software, and others. EM4 manufactures and sells packaged photonic components and sub-systems for aerospace and industrial markets.</v>
    <v>580</v>
    <v>Nasdaq Stock Market</v>
    <v>XNAS</v>
    <v>XNAS</v>
    <v>2603 Discovery Drive, Suite 100, ORLANDO, FL, 32826 US</v>
    <v>1.37</v>
    <v>Automobiles &amp; Auto Parts</v>
    <v>Stock</v>
    <v>45967.000147117971</v>
    <v>195</v>
    <v>1.2101</v>
    <v>85267930</v>
    <v>LUMINAR TECHNOLOGIES, INC.</v>
    <v>LUMINAR TECHNOLOGIES, INC.</v>
    <v>1.34</v>
    <v>0</v>
    <v>1.35</v>
    <v>1.24</v>
    <v>1.2302</v>
    <v>68764460</v>
    <v>LAZR</v>
    <v>LUMINAR TECHNOLOGIES, INC. (XNAS:LAZR)</v>
    <v>7163373</v>
    <v>11552190</v>
    <v>2018</v>
  </rv>
  <rv s="2">
    <v>196</v>
  </rv>
  <rv s="0">
    <v>https://www.bing.com/financeapi/forcetrigger?t=a1x6rw&amp;q=XNYS%3aLUV&amp;form=skydnc</v>
    <v>Learn more on Bing</v>
  </rv>
  <rv s="1">
    <v>0</v>
    <v>SOUTHWEST AIRLINES CO. (XNYS:LUV)</v>
    <v>2</v>
    <v>3</v>
    <v>Finance</v>
    <v>4</v>
    <v>en-US</v>
    <v>a1x6rw</v>
    <v>268435456</v>
    <v>1</v>
    <v>Powered by Refinitiv</v>
    <v>37.96</v>
    <v>23.815000000000001</v>
    <v>1.1802999999999999</v>
    <v>1.9450000000000001</v>
    <v>6.5554000000000001E-2</v>
    <v>-0.15</v>
    <v>-4.744E-3</v>
    <v>USD</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72223</v>
    <v>New York Stock Exchange</v>
    <v>XNYS</v>
    <v>XNYS</v>
    <v>2702 Love Field Dr, Po Box 36611, DALLAS, TX, 75235 US</v>
    <v>31.649899999999999</v>
    <v>Passenger Transportation Services</v>
    <v>Stock</v>
    <v>45966.994344606253</v>
    <v>198</v>
    <v>29.8</v>
    <v>16349858486</v>
    <v>SOUTHWEST AIRLINES CO.</v>
    <v>SOUTHWEST AIRLINES CO.</v>
    <v>29.8</v>
    <v>47.25</v>
    <v>29.67</v>
    <v>31.614999999999998</v>
    <v>31.47</v>
    <v>517155100</v>
    <v>LUV</v>
    <v>SOUTHWEST AIRLINES CO. (XNYS:LUV)</v>
    <v>9058688</v>
    <v>9937085</v>
    <v>1967</v>
  </rv>
  <rv s="2">
    <v>199</v>
  </rv>
  <rv s="0">
    <v>https://www.bing.com/financeapi/forcetrigger?t=a1x8w7&amp;q=XNYS%3aMA&amp;form=skydnc</v>
    <v>Learn more on Bing</v>
  </rv>
  <rv s="1">
    <v>0</v>
    <v>MASTERCARD INCORPORATED. (XNYS:MA)</v>
    <v>2</v>
    <v>3</v>
    <v>Finance</v>
    <v>4</v>
    <v>en-US</v>
    <v>a1x8w7</v>
    <v>268435456</v>
    <v>1</v>
    <v>Powered by Refinitiv</v>
    <v>601.77</v>
    <v>465.59</v>
    <v>0.86539999999999995</v>
    <v>1.01</v>
    <v>1.8270000000000001E-3</v>
    <v>0.59499999999999997</v>
    <v>1.075E-3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556.33000000000004</v>
    <v>Software &amp; IT Services</v>
    <v>Stock</v>
    <v>45966.998486631252</v>
    <v>201</v>
    <v>549.36599999999999</v>
    <v>497274154208</v>
    <v>MASTERCARD INCORPORATED.</v>
    <v>MASTERCARD INCORPORATED.</v>
    <v>553</v>
    <v>35.4069</v>
    <v>552.75</v>
    <v>553.76</v>
    <v>553.90499999999997</v>
    <v>897995800</v>
    <v>MA</v>
    <v>MASTERCARD INCORPORATED. (XNYS:MA)</v>
    <v>2198524</v>
    <v>2763106</v>
    <v>2001</v>
  </rv>
  <rv s="2">
    <v>202</v>
  </rv>
  <rv s="0">
    <v>https://www.bing.com/financeapi/forcetrigger?t=a1yuvh&amp;q=XNAS%3aNVAX&amp;form=skydnc</v>
    <v>Learn more on Bing</v>
  </rv>
  <rv s="1">
    <v>0</v>
    <v>NOVAVAX, INC. (XNAS:NVAX)</v>
    <v>2</v>
    <v>3</v>
    <v>Finance</v>
    <v>4</v>
    <v>en-US</v>
    <v>a1yuvh</v>
    <v>268435456</v>
    <v>1</v>
    <v>Powered by Refinitiv</v>
    <v>11.55</v>
    <v>5.01</v>
    <v>2.3062</v>
    <v>0.18</v>
    <v>2.3968E-2</v>
    <v>0.11</v>
    <v>1.4303999999999999E-2</v>
    <v>USD</v>
    <v>Novavax, Inc. is a biotechnology company. It is focused on addressing global health challenges through its vaccines and its proven technology platform, including protein-based nanoparticles and its Matrix-M adjuvant. Matrix-M can be used to create vaccines for a variety of diseases to help tackle some of the pressing health challenges. Its proprietary Matrix-M adjuvant, when added to vaccines, has been shown to help induce a stronger and longer-lasting immune response. Its recombinant protein-based nanoparticle technology has been shown to be highly immunogenetic. Its technology platform is used in its authorized COVID-19 vaccine and the R21/Matrix-M adjuvant malaria vaccine. Its late-stage programs include a COVID-19-Influenzavaccine candidate, and an influenza vaccine candidate. R21/Matrix-M adjuvant malaria vaccine, a malaria vaccine developed by its partner. It provides Matrix-M adjuvant for use in various programs in preclinical and clinical stage, and preclinical investigations.</v>
    <v>952</v>
    <v>Nasdaq Stock Market</v>
    <v>XNAS</v>
    <v>XNAS</v>
    <v>700 Quince Orchard Road, GAITHERSBURG, MD, 20878 US</v>
    <v>7.87</v>
    <v>Biotechnology &amp; Medical Research</v>
    <v>Stock</v>
    <v>45966.999269791406</v>
    <v>204</v>
    <v>7.51</v>
    <v>1249022104</v>
    <v>NOVAVAX, INC.</v>
    <v>NOVAVAX, INC.</v>
    <v>7.54</v>
    <v>3.2835000000000001</v>
    <v>7.51</v>
    <v>7.69</v>
    <v>7.8</v>
    <v>162421600</v>
    <v>NVAX</v>
    <v>NOVAVAX, INC. (XNAS:NVAX)</v>
    <v>5035610</v>
    <v>4435108</v>
    <v>1987</v>
  </rv>
  <rv s="2">
    <v>205</v>
  </rv>
  <rv s="0">
    <v>http://en.wikipedia.org/wiki/Novartis</v>
    <v>Wikipedia</v>
  </rv>
  <rv s="5">
    <v>42</v>
    <v>207</v>
  </rv>
  <rv s="6">
    <v>18</v>
    <v>https://www.bing.com/th?id=AMMS_3a4201ed5d487670c98d0ce5663b2ca7&amp;qlt=95</v>
    <v>208</v>
    <v>0</v>
    <v>https://www.bing.com/images/search?form=xlimg&amp;q=novartis</v>
    <v>Image of Novartis Inc.</v>
  </rv>
  <rv s="0">
    <v>https://www.bing.com/financeapi/forcetrigger?t=a1yw77&amp;q=XNYS%3aNVS&amp;form=skydnc</v>
    <v>Learn more on Bing</v>
  </rv>
  <rv s="7">
    <v>14</v>
    <v>Novartis Inc. (XNYS:NVS)</v>
    <v>16</v>
    <v>17</v>
    <v>Finance</v>
    <v>4</v>
    <v>en-US</v>
    <v>a1yw77</v>
    <v>268435456</v>
    <v>1</v>
    <v>Powered by Refinitiv</v>
    <v>133.55000000000001</v>
    <v>96.061999999999998</v>
    <v>0.51480000000000004</v>
    <v>0.49</v>
    <v>3.9199999999999999E-3</v>
    <v>1.3707</v>
    <v>1.0922000000000001E-2</v>
    <v>USD</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75883</v>
    <v>New York Stock Exchange</v>
    <v>XNYS</v>
    <v>XNYS</v>
    <v>Lichtstrasse 35, BASEL, BASEL-STADT, 4056 CH</v>
    <v>125.92</v>
    <v>209</v>
    <v>Pharmaceuticals</v>
    <v>Stock</v>
    <v>45966.995748691406</v>
    <v>210</v>
    <v>124.47</v>
    <v>264587200000</v>
    <v>Novartis Inc.</v>
    <v>Novartis Inc.</v>
    <v>124.53</v>
    <v>17.163599999999999</v>
    <v>125.01</v>
    <v>125.5</v>
    <v>126.8707</v>
    <v>2112422000</v>
    <v>NVS</v>
    <v>Novartis Inc. (XNYS:NVS)</v>
    <v>1260129</v>
    <v>1856425</v>
    <v>1996</v>
  </rv>
  <rv s="2">
    <v>211</v>
  </rv>
  <rv s="0">
    <v>https://www.bing.com/financeapi/forcetrigger?t=a1zez2&amp;q=XNYS%3aOXY&amp;form=skydnc</v>
    <v>Learn more on Bing</v>
  </rv>
  <rv s="1">
    <v>0</v>
    <v>OCCIDENTAL PETROLEUM CORPORATION (XNYS:OXY)</v>
    <v>2</v>
    <v>3</v>
    <v>Finance</v>
    <v>4</v>
    <v>en-US</v>
    <v>a1zez2</v>
    <v>268435456</v>
    <v>1</v>
    <v>Powered by Refinitiv</v>
    <v>53.2</v>
    <v>34.784999999999997</v>
    <v>0.39989999999999998</v>
    <v>-0.30499999999999999</v>
    <v>-7.6100000000000004E-3</v>
    <v>9.8699999999999996E-2</v>
    <v>2.483E-3</v>
    <v>USD</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13323</v>
    <v>New York Stock Exchange</v>
    <v>XNYS</v>
    <v>XNYS</v>
    <v>5 GREENWAY PLAZA, SUITE 110, HOUSTON, TX, 77046 US</v>
    <v>40.424999999999997</v>
    <v>Oil &amp; Gas</v>
    <v>Stock</v>
    <v>45967.000319895313</v>
    <v>213</v>
    <v>39.75</v>
    <v>39156093045</v>
    <v>OCCIDENTAL PETROLEUM CORPORATION</v>
    <v>OCCIDENTAL PETROLEUM CORPORATION</v>
    <v>40.08</v>
    <v>23.428799999999999</v>
    <v>40.08</v>
    <v>39.774999999999999</v>
    <v>39.848700000000001</v>
    <v>984439800</v>
    <v>OXY</v>
    <v>OCCIDENTAL PETROLEUM CORPORATION (XNYS:OXY)</v>
    <v>8239909</v>
    <v>11563159</v>
    <v>1986</v>
  </rv>
  <rv s="2">
    <v>214</v>
  </rv>
  <rv s="0">
    <v>https://www.bing.com/financeapi/forcetrigger?t=a1zqnm&amp;q=XNYS%3aPFE&amp;form=skydnc</v>
    <v>Learn more on Bing</v>
  </rv>
  <rv s="1">
    <v>0</v>
    <v>PFIZER INC. (XNYS:PFE)</v>
    <v>2</v>
    <v>3</v>
    <v>Finance</v>
    <v>4</v>
    <v>en-US</v>
    <v>a1zqnm</v>
    <v>268435456</v>
    <v>1</v>
    <v>Powered by Refinitiv</v>
    <v>28</v>
    <v>20.914999999999999</v>
    <v>0.42470000000000002</v>
    <v>0.33500000000000002</v>
    <v>1.3786E-2</v>
    <v>0.01</v>
    <v>4.0630000000000001E-4</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New York Stock Exchange</v>
    <v>XNYS</v>
    <v>XNYS</v>
    <v>66 HUDSON BOULEVARD EAST, NEW YORK, NY, 10001-2192 US</v>
    <v>24.67</v>
    <v>Pharmaceuticals</v>
    <v>Stock</v>
    <v>45967.000421260935</v>
    <v>216</v>
    <v>24.16</v>
    <v>140063524250</v>
    <v>PFIZER INC.</v>
    <v>PFIZER INC.</v>
    <v>24.38</v>
    <v>14.359400000000001</v>
    <v>24.3</v>
    <v>24.635000000000002</v>
    <v>24.62</v>
    <v>5685550000</v>
    <v>PFE</v>
    <v>PFIZER INC. (XNYS:PFE)</v>
    <v>107154048</v>
    <v>68689569</v>
    <v>1942</v>
  </rv>
  <rv s="2">
    <v>217</v>
  </rv>
  <rv s="0">
    <v>https://www.bing.com/financeapi/forcetrigger?t=a2215r&amp;q=XNYS%3aRIG&amp;form=skydnc</v>
    <v>Learn more on Bing</v>
  </rv>
  <rv s="1">
    <v>0</v>
    <v>Transocean Ltd (XNYS:RIG)</v>
    <v>2</v>
    <v>3</v>
    <v>Finance</v>
    <v>4</v>
    <v>en-US</v>
    <v>a2215r</v>
    <v>268435456</v>
    <v>1</v>
    <v>Powered by Refinitiv</v>
    <v>4.74</v>
    <v>1.97</v>
    <v>1.4067000000000001</v>
    <v>-5.0000000000000001E-3</v>
    <v>-1.2820000000000002E-3</v>
    <v>0</v>
    <v>0</v>
    <v>USD</v>
    <v>Transocean Ltd. is an international provider of offshore contract drilling services for oil and gas wells. The Company's primary business is to contract its drilling rigs, related equipment and work crews on a dayrate basis to drill oil and gas wells. As of February 9, 2017, it owned or had partial ownership interests in and operated 56 mobile offshore drilling units. As of February 9, 2017, its fleet consisted of 30 floaters, seven harsh environment floaters, three deepwater floaters, six midwater floaters and 10 high-specification jackups. As February 9, 2017, it also had four ultra-deepwater drillships and five high-specification jackups under construction or under contract to be constructed. Its contract drilling services operations are spread across oil and gas exploration and development areas throughout the world. The Company's drilling fleet can be characterized as floaters, including drillships and semisubmersibles, and jackups.</v>
    <v>5800</v>
    <v>New York Stock Exchange</v>
    <v>XNYS</v>
    <v>XNYS</v>
    <v>Turmstrasse 30, STEINHAUSEN, ZUG, 6312 CH</v>
    <v>3.98</v>
    <v>Oil &amp; Gas Related Equipment and Services</v>
    <v>Stock</v>
    <v>45966.993013159372</v>
    <v>219</v>
    <v>3.86</v>
    <v>4290112695</v>
    <v>Transocean Ltd</v>
    <v>Transocean Ltd</v>
    <v>3.86</v>
    <v>0</v>
    <v>3.9</v>
    <v>3.895</v>
    <v>3.9</v>
    <v>1101441000</v>
    <v>RIG</v>
    <v>Transocean Ltd (XNYS:RIG)</v>
    <v>41839795</v>
    <v>58663474</v>
    <v>2008</v>
  </rv>
  <rv s="2">
    <v>220</v>
  </rv>
  <rv s="0">
    <v>https://www.bing.com/financeapi/forcetrigger?t=a228w7&amp;q=XNYS%3aRRC&amp;form=skydnc</v>
    <v>Learn more on Bing</v>
  </rv>
  <rv s="1">
    <v>0</v>
    <v>RANGE RESOURCES CORPORATION (XNYS:RRC)</v>
    <v>2</v>
    <v>3</v>
    <v>Finance</v>
    <v>4</v>
    <v>en-US</v>
    <v>a228w7</v>
    <v>268435456</v>
    <v>1</v>
    <v>Powered by Refinitiv</v>
    <v>43.5</v>
    <v>30.32</v>
    <v>0.47420000000000001</v>
    <v>0.05</v>
    <v>1.3500000000000001E-3</v>
    <v>0.7</v>
    <v>1.8883E-2</v>
    <v>USD</v>
    <v>Range Resources Corporation is an independent natural gas and natural gas liquids (NGLs) producer. The Company is engaged in the exploration, development and acquisition of natural gas and oil properties in the Appalachian region of the United States. Its principal area of operations is the Marcellus Shale in Pennsylvania. Its properties consist of interests in developed and undeveloped natural gas and oil leases. It owns approximately 1,431 net producing wells in Pennsylvania. It holds a portfolio of drilling opportunities and unbooked resource potential within the Marcellus, Utica/Point Pleasant and Upper Devonian formations. Its exploration and production operations are limited to the onshore United States. It has approximately 871,000 gross (763,000 net) acres under lease. Its subsidiaries include Range Resources-Appalachia, LLC, Range Resources-Pine Mountain, LLC, Range Production Company, LLC, Range Resources-Midcontinent, LLC and Range Resources-Louisiana, Inc.</v>
    <v>565</v>
    <v>New York Stock Exchange</v>
    <v>XNYS</v>
    <v>XNYS</v>
    <v>100 Throckmorton St Ste 1200, FORT WORTH, TX, 76102-2842 US</v>
    <v>37.555</v>
    <v>Oil &amp; Gas</v>
    <v>Stock</v>
    <v>45966.999886411715</v>
    <v>222</v>
    <v>36.72</v>
    <v>8785579464</v>
    <v>RANGE RESOURCES CORPORATION</v>
    <v>RANGE RESOURCES CORPORATION</v>
    <v>36.909999999999997</v>
    <v>15.571300000000001</v>
    <v>37.03</v>
    <v>37.08</v>
    <v>37.770000000000003</v>
    <v>236935800</v>
    <v>RRC</v>
    <v>RANGE RESOURCES CORPORATION (XNYS:RRC)</v>
    <v>2583155</v>
    <v>3095125</v>
    <v>1980</v>
  </rv>
  <rv s="2">
    <v>223</v>
  </rv>
  <rv s="0">
    <v>https://www.bing.com/financeapi/forcetrigger?t=a23i8m&amp;q=XNYS%3aSQ&amp;form=skydnc</v>
    <v>Learn more on Bing</v>
  </rv>
  <rv s="1">
    <v>0</v>
    <v>BLOCK, INC. (XNYS:XYZ)</v>
    <v>2</v>
    <v>3</v>
    <v>Finance</v>
    <v>4</v>
    <v>en-US</v>
    <v>a23i8m</v>
    <v>268435456</v>
    <v>1</v>
    <v>Powered by Refinitiv</v>
    <v>99.26</v>
    <v>44.27</v>
    <v>2.6463000000000001</v>
    <v>1.07</v>
    <v>1.4742E-2</v>
    <v>-1.72E-2</v>
    <v>-2.3349999999999998E-4</v>
    <v>USD</v>
    <v>Block, Inc. builds technology to increase access to the global economy. The Company operates through two segments: Square and Cash App. The Square includes managed payment services, software solutions, hardware, and financial services offered to sellers, excluding those that involve Cash App.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Cash App also includes the BNPL platform. Its Afterpay business is transforming the way customers manage their spending over time. Its TIDAL business is a music platform that empowers artists to thrive as entrepreneurs. Its Bitkey business is a simple self-custody wallet built for bitcoin. Proto business is a suite of bitcoin mining products and services.</v>
    <v>11372</v>
    <v>New York Stock Exchange</v>
    <v>XNYS</v>
    <v>XNYS</v>
    <v>1955 Broadway, Suite 600, OAKLAND, CA, 94612 US</v>
    <v>74.649299999999997</v>
    <v>Professional &amp; Commercial Services</v>
    <v>Stock</v>
    <v>45966.999222546096</v>
    <v>225</v>
    <v>72.349999999999994</v>
    <v>44895861600</v>
    <v>BLOCK, INC.</v>
    <v>BLOCK, INC.</v>
    <v>72.88</v>
    <v>43.492400000000004</v>
    <v>72.58</v>
    <v>73.650000000000006</v>
    <v>73.632800000000003</v>
    <v>609584000</v>
    <v>XYZ</v>
    <v>BLOCK, INC. (XNYS:XYZ)</v>
    <v>5305822</v>
    <v>5500712</v>
    <v>2009</v>
  </rv>
  <rv s="2">
    <v>226</v>
  </rv>
  <rv s="0">
    <v>https://www.bing.com/financeapi/forcetrigger?t=a2475r&amp;q=XNYS%3aTHC&amp;form=skydnc</v>
    <v>Learn more on Bing</v>
  </rv>
  <rv s="1">
    <v>0</v>
    <v>TENET HEALTHCARE CORPORATION (XNYS:THC)</v>
    <v>2</v>
    <v>3</v>
    <v>Finance</v>
    <v>5</v>
    <v>en-US</v>
    <v>a2475r</v>
    <v>268435456</v>
    <v>1</v>
    <v>Powered by Refinitiv</v>
    <v>217.42500000000001</v>
    <v>109.82389999999999</v>
    <v>1.4472</v>
    <v>0.89</v>
    <v>4.2839999999999996E-3</v>
    <v>-2.56</v>
    <v>-1.2271000000000001E-2</v>
    <v>USD</v>
    <v>Tenet Healthcare Corporation is a diversified healthcare services company. The Company's segments include Hospital Operations and Services (Hospital Operations) and Ambulatory Care. The Hospital Operations segment is comprised of its acute care and specialty hospitals, a network of employed physicians and ancillary outpatient facilities. The Company's subsidiaries operate approximately 49 hospitals serving primarily urban and suburban communities in eight states. The Hospital Operations segment also includes around 135 outpatient facilities, including urgent care centers, imaging centers, off-campus hospital emergency departments and micro hospitals. It also provides revenue cycle management and value based care services. The Ambulatory Care segment, through its USPI Holding Company, Inc. subsidiary, holds ownership interests in approximately 518 ambulatory surgery centers, and 25 surgical hospitals in 37 states. The Company operates a Global Business Center in the Philippines.</v>
    <v>74480</v>
    <v>New York Stock Exchange</v>
    <v>XNYS</v>
    <v>XNYS</v>
    <v>14201 Dallas Parkway, DALLAS, TX, 75254 US</v>
    <v>209.16499999999999</v>
    <v>Healthcare Providers &amp; Services</v>
    <v>Stock</v>
    <v>45966.979166666664</v>
    <v>228</v>
    <v>203.94</v>
    <v>18334568700</v>
    <v>TENET HEALTHCARE CORPORATION</v>
    <v>TENET HEALTHCARE CORPORATION</v>
    <v>206.49</v>
    <v>13.8658</v>
    <v>207.73</v>
    <v>208.62</v>
    <v>206.06</v>
    <v>87885000</v>
    <v>THC</v>
    <v>TENET HEALTHCARE CORPORATION (XNYS:THC)</v>
    <v>981993</v>
    <v>1060202</v>
    <v>1975</v>
  </rv>
  <rv s="2">
    <v>229</v>
  </rv>
  <rv s="0">
    <v>https://www.bing.com/financeapi/forcetrigger?t=a265bh&amp;q=XNYS%3aX&amp;form=skydnc</v>
    <v>Learn more on Bing</v>
  </rv>
  <rv s="3">
    <v>6</v>
    <v>UNITED STATES STEEL CORPORATION (XNYS:X)</v>
    <v>2</v>
    <v>19</v>
    <v>Finance</v>
    <v>20</v>
    <v>en-US</v>
    <v>a265bh</v>
    <v>268435456</v>
    <v>1</v>
    <v>Powered by Refinitiv</v>
    <v>54.91</v>
    <v>26.914999999999999</v>
    <v>1.8781000000000001</v>
    <v>0</v>
    <v>0</v>
    <v>USD</v>
    <v>United States Steel Corporation is a steel producer. The Company operates through four segments: North American Flat-Rolled (Flat-Rolled), Mini Mill, U. S. Steel Europe (USSE) and Tubular Products (Tubular). The Flat-Rolled segment is involved in the production of slabs, strip mill plates, sheets and tin mill products, as well as all iron ore, direct reduced grade pellets, pig iron, and coke production facilities in the United States. The Mini Mill segment produces hot-rolled, cold-rolled, coated sheets and electrical steels. The USSE segment produces and sells slabs, strip mill plate, sheet, tin mill products and spiral welded pipe. The Tubular segment produces and sells rounds, seamless and electric resistance welded (ERW) steel casing and tubing (OCTG), and standard and line pipe and mechanical tubing. It serves the automotive, construction, appliance, energy, container, and packaging industries with high value-added steel products such as its XG3 advanced high-strength steel.</v>
    <v>22053</v>
    <v>New York Stock Exchange</v>
    <v>XNYS</v>
    <v>XNYS</v>
    <v>600 Grant Street, PITTSBURGH, PA, 15219-2800 US</v>
    <v>54.89</v>
    <v>Metals &amp; Mining</v>
    <v>Stock</v>
    <v>45825.999177476566</v>
    <v>231</v>
    <v>54.78</v>
    <v>12416823444</v>
    <v>UNITED STATES STEEL CORPORATION</v>
    <v>UNITED STATES STEEL CORPORATION</v>
    <v>54.83</v>
    <v>186.1634</v>
    <v>54.85</v>
    <v>54.84</v>
    <v>226419100</v>
    <v>X</v>
    <v>UNITED STATES STEEL CORPORATION (XNYS:X)</v>
    <v>876</v>
    <v>12153533</v>
    <v>2001</v>
  </rv>
  <rv s="2">
    <v>232</v>
  </rv>
  <rv s="0">
    <v>https://www.bing.com/financeapi/forcetrigger?t=bnyaur&amp;q=XSWX%3aLOCK&amp;form=skydnc</v>
    <v>Learn more on Bing</v>
  </rv>
  <rv s="11">
    <v>34</v>
    <v>iShs Digtl Sec UCITS ETF USD A (XSWX:LOCK)</v>
    <v>35</v>
    <v>36</v>
    <v>Finance</v>
    <v>10</v>
    <v>en-US</v>
    <v>bnyaur</v>
    <v>268435456</v>
    <v>1</v>
    <v>Powered by Refinitiv</v>
    <v>10.672000000000001</v>
    <v>7.4260000000000002</v>
    <v>0.57769999999999999</v>
    <v>-8.5999999999999993E-2</v>
    <v>-8.2679999999999993E-3</v>
    <v>USD</v>
    <v>SIX Swiss Exchange</v>
    <v>XSWX</v>
    <v>4.0000000000000001E-3</v>
    <v>10.316000000000001</v>
    <v>ETF</v>
    <v>45966.711099537039</v>
    <v>234</v>
    <v>10.228</v>
    <v>1707250070.21</v>
    <v>iShs Digtl Sec UCITS ETF USD A</v>
    <v>10.25</v>
    <v>10.401999999999999</v>
    <v>10.316000000000001</v>
    <v>LOCK</v>
    <v>iShs Digtl Sec UCITS ETF USD A (XSWX:LOCK)</v>
    <v>34017</v>
  </rv>
  <rv s="2">
    <v>235</v>
  </rv>
  <rv s="12">
    <v>12</v>
    <v>Volume average</v>
    <v>0</v>
  </rv>
  <rv s="13">
    <v>12</v>
    <v>1</v>
  </rv>
  <rv s="14">
    <v>37</v>
    <v>EUR/USD</v>
    <v>38</v>
    <v>39</v>
    <v>Finance</v>
    <v>40</v>
    <v>en-US</v>
    <v>av932w</v>
    <v>268435456</v>
    <v>1</v>
    <v>Powered by Refinitiv</v>
    <v>1.1918</v>
    <v>1.0176000000000001</v>
    <v>2.9999999999999997E-4</v>
    <v>2.611E-4</v>
    <v>USD</v>
    <v>EUR</v>
    <v>1.1496</v>
    <v>Currency Pair</v>
    <v>45967.000555555554</v>
    <v>1.1491</v>
    <v>Euro/US Dollar FX Spot Rate</v>
    <v>1.1491</v>
    <v>1.1491</v>
    <v>1.1494</v>
    <v>EURUSD</v>
    <v>EUR/USD</v>
  </rv>
  <rv s="2">
    <v>239</v>
  </rv>
  <rv s="14">
    <v>37</v>
    <v>EUR/CHF</v>
    <v>38</v>
    <v>41</v>
    <v>Finance</v>
    <v>40</v>
    <v>en-US</v>
    <v>av923m</v>
    <v>268435456</v>
    <v>1</v>
    <v>Powered by Refinitiv</v>
    <v>0.96609999999999996</v>
    <v>0.92</v>
    <v>-1E-4</v>
    <v>-1.0739999999999999E-4</v>
    <v>CHF</v>
    <v>EUR</v>
    <v>0.93140000000000001</v>
    <v>Currency Pair</v>
    <v>45967.000567129631</v>
    <v>0.93059999999999998</v>
    <v>Euro/Swiss Franc FX Cross Rate</v>
    <v>0.93069999999999997</v>
    <v>0.93100000000000005</v>
    <v>0.93089999999999995</v>
    <v>EURCHF</v>
    <v>EUR/CHF</v>
  </rv>
  <rv s="2">
    <v>241</v>
  </rv>
  <rv s="14">
    <v>37</v>
    <v>EUR/GBP</v>
    <v>38</v>
    <v>42</v>
    <v>Finance</v>
    <v>40</v>
    <v>en-US</v>
    <v>av92z2</v>
    <v>268435456</v>
    <v>1</v>
    <v>Powered by Refinitiv</v>
    <v>0.8821</v>
    <v>0.82189999999999996</v>
    <v>-1E-4</v>
    <v>-1.136E-4</v>
    <v>GBP</v>
    <v>EUR</v>
    <v>0.88080000000000003</v>
    <v>Currency Pair</v>
    <v>45967.000543981485</v>
    <v>0.88060000000000005</v>
    <v>Euro/UK Pound Sterling FX Cross Rate</v>
    <v>0.88049999999999995</v>
    <v>0.88049999999999995</v>
    <v>0.88039999999999996</v>
    <v>EURGBP</v>
    <v>EUR/GBP</v>
  </rv>
  <rv s="2">
    <v>243</v>
  </rv>
  <rv s="14">
    <v>37</v>
    <v>EUR/AUD</v>
    <v>38</v>
    <v>43</v>
    <v>Finance</v>
    <v>40</v>
    <v>en-US</v>
    <v>av8sfr</v>
    <v>268435456</v>
    <v>1</v>
    <v>Powered by Refinitiv</v>
    <v>1.8554999999999999</v>
    <v>1.5899000000000001</v>
    <v>2.0000000000000001E-4</v>
    <v>1.133E-4</v>
    <v>AUD</v>
    <v>EUR</v>
    <v>1.7668999999999999</v>
    <v>Currency Pair</v>
    <v>45967.000543981485</v>
    <v>1.7656000000000001</v>
    <v>Euro/Australian Dollar FX Cross Rate</v>
    <v>1.7659</v>
    <v>1.7654000000000001</v>
    <v>1.7656000000000001</v>
    <v>EURAUD</v>
    <v>EUR/AUD</v>
  </rv>
  <rv s="2">
    <v>245</v>
  </rv>
  <rv s="14">
    <v>37</v>
    <v>EUR/CAD</v>
    <v>38</v>
    <v>44</v>
    <v>Finance</v>
    <v>40</v>
    <v>en-US</v>
    <v>av8ttc</v>
    <v>268435456</v>
    <v>1</v>
    <v>Powered by Refinitiv</v>
    <v>1.6468</v>
    <v>1.4484999999999999</v>
    <v>2.0000000000000001E-4</v>
    <v>1.2339999999999999E-4</v>
    <v>CAD</v>
    <v>EUR</v>
    <v>1.6215999999999999</v>
    <v>Currency Pair</v>
    <v>45967.000578703701</v>
    <v>1.6213</v>
    <v>Euro/Canadian Dollar FX Cross Rate</v>
    <v>1.6208</v>
    <v>1.6208</v>
    <v>1.621</v>
    <v>EURCAD</v>
    <v>EUR/CAD</v>
  </rv>
  <rv s="2">
    <v>247</v>
  </rv>
  <rv s="14">
    <v>37</v>
    <v>USD/JPY</v>
    <v>38</v>
    <v>45</v>
    <v>Finance</v>
    <v>40</v>
    <v>en-US</v>
    <v>avyomw</v>
    <v>268435456</v>
    <v>1</v>
    <v>Powered by Refinitiv</v>
    <v>158.87</v>
    <v>139.86000000000001</v>
    <v>-0.03</v>
    <v>-1.9470000000000002E-4</v>
    <v>JPY</v>
    <v>USD</v>
    <v>154.13</v>
    <v>Currency Pair</v>
    <v>45967.000543981485</v>
    <v>153.99</v>
    <v>US Dollar/Japanese Yen FX Spot Rate</v>
    <v>154.11000000000001</v>
    <v>154.11000000000001</v>
    <v>154.08000000000001</v>
    <v>USDJPY</v>
    <v>USD/JPY</v>
  </rv>
  <rv s="2">
    <v>249</v>
  </rv>
  <rv s="14">
    <v>37</v>
    <v>USD/CHF</v>
    <v>38</v>
    <v>41</v>
    <v>Finance</v>
    <v>40</v>
    <v>en-US</v>
    <v>avyt7w</v>
    <v>268435456</v>
    <v>1</v>
    <v>Powered by Refinitiv</v>
    <v>0.92</v>
    <v>0.78269999999999995</v>
    <v>-2.9999999999999997E-4</v>
    <v>-3.703E-4</v>
    <v>CHF</v>
    <v>USD</v>
    <v>0.81040000000000001</v>
    <v>Currency Pair</v>
    <v>45967.000532407408</v>
    <v>0.80969999999999998</v>
    <v>US Dollar/Swiss Franc FX Spot Rate</v>
    <v>0.80989999999999995</v>
    <v>0.81020000000000003</v>
    <v>0.80989999999999995</v>
    <v>USDCHF</v>
    <v>USD/CHF</v>
  </rv>
  <rv s="2">
    <v>251</v>
  </rv>
  <rv s="14">
    <v>37</v>
    <v>USD/GBP</v>
    <v>38</v>
    <v>42</v>
    <v>Finance</v>
    <v>40</v>
    <v>en-US</v>
    <v>avyu4c</v>
    <v>268435456</v>
    <v>1</v>
    <v>Powered by Refinitiv</v>
    <v>0.82650000000000001</v>
    <v>0.72509999999999997</v>
    <v>-2.3499999999999999E-4</v>
    <v>-3.0669999999999997E-4</v>
    <v>GBP</v>
    <v>USD</v>
    <v>0.76649999999999996</v>
    <v>Currency Pair</v>
    <v>45967.000532407408</v>
    <v>0.76619999999999999</v>
    <v>US Dollar/UK Pound Sterling FX Cross Rate</v>
    <v>0.76619999999999999</v>
    <v>0.76619999999999999</v>
    <v>0.76600000000000001</v>
    <v>USDGBP</v>
    <v>USD/GBP</v>
  </rv>
  <rv s="2">
    <v>253</v>
  </rv>
  <rv s="0">
    <v>https://www.bing.com/financeapi/forcetrigger?t=a6qja2&amp;q=DOW+JONES+INDU+AVERAGE+NDX&amp;form=skydnc</v>
    <v>Learn more on Bing</v>
  </rv>
  <rv s="15">
    <v>46</v>
    <v>DOW JONES INDU AVERAGE NDX</v>
    <v>35</v>
    <v>47</v>
    <v>Finance</v>
    <v>48</v>
    <v>en-US</v>
    <v>a6qja2</v>
    <v>268435456</v>
    <v>1</v>
    <v>Powered by Refinitiv</v>
    <v>48040.639999999999</v>
    <v>36611.78</v>
    <v>225.76</v>
    <v>4.7949999999999998E-3</v>
    <v>US</v>
    <v>47460.36</v>
    <v>Index</v>
    <v>255</v>
    <v>47041.31</v>
    <v>DOW JONES INDU AVERAGE NDX</v>
    <v>47097.31</v>
    <v>47085.24</v>
    <v>47311</v>
    <v>DJI</v>
    <v>DOW JONES INDU AVERAGE NDX</v>
  </rv>
  <rv s="2">
    <v>256</v>
  </rv>
  <rv s="0">
    <v>https://www.bing.com/financeapi/forcetrigger?t=bxjpp2&amp;q=XLON%3aXNAS&amp;form=skydnc</v>
    <v>Learn more on Bing</v>
  </rv>
  <rv s="11">
    <v>34</v>
    <v>X NASDAQ 100 UCITS ETF 1C (XLON:XNAS)</v>
    <v>35</v>
    <v>36</v>
    <v>Finance</v>
    <v>49</v>
    <v>en-US</v>
    <v>bxjpp2</v>
    <v>268435456</v>
    <v>1</v>
    <v>Powered by Refinitiv</v>
    <v>60.56</v>
    <v>37.74</v>
    <v>1.1051</v>
    <v>-7.0000000000000007E-2</v>
    <v>-1.1799999999999998E-3</v>
    <v>USD</v>
    <v>London Stock Exchange</v>
    <v>XLON</v>
    <v>2E-3</v>
    <v>59.26</v>
    <v>ETF</v>
    <v>45966.686773830472</v>
    <v>258</v>
    <v>58.5</v>
    <v>1860372611.6900001</v>
    <v>X NASDAQ 100 UCITS ETF 1C</v>
    <v>58.65</v>
    <v>59.335000000000001</v>
    <v>59.265000000000001</v>
    <v>XNAS</v>
    <v>X NASDAQ 100 UCITS ETF 1C (XLON:XNAS)</v>
    <v>12485</v>
  </rv>
  <rv s="2">
    <v>259</v>
  </rv>
  <rv s="12">
    <v>12</v>
    <v>Instrument type</v>
    <v>0</v>
  </rv>
  <rv s="0">
    <v>https://www.bing.com/financeapi/forcetrigger?t=a1ntlh&amp;q=XNAS%3aASML&amp;form=skydnc</v>
    <v>Learn more on Bing</v>
  </rv>
  <rv s="1">
    <v>0</v>
    <v>ASML Holding NV (XNAS:ASML)</v>
    <v>2</v>
    <v>3</v>
    <v>Finance</v>
    <v>4</v>
    <v>en-US</v>
    <v>a1ntlh</v>
    <v>268435456</v>
    <v>1</v>
    <v>Powered by Refinitiv</v>
    <v>1086.1099999999999</v>
    <v>578.51</v>
    <v>1.8743000000000001</v>
    <v>13.61</v>
    <v>1.3212E-2</v>
    <v>-0.75</v>
    <v>-7.185999999999999E-4</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43461</v>
    <v>Nasdaq Stock Market</v>
    <v>XNAS</v>
    <v>XNAS</v>
    <v>De Run 6501, VELDHOVEN, NOORD-BRABANT, 5504 DR NL</v>
    <v>1050.635</v>
    <v>Semiconductors &amp; Semiconductor Equipment</v>
    <v>Stock</v>
    <v>45966.999594941408</v>
    <v>262</v>
    <v>1030.8</v>
    <v>410407100000</v>
    <v>ASML Holding NV</v>
    <v>ASML Holding NV</v>
    <v>1031.0999999999999</v>
    <v>36.348199999999999</v>
    <v>1030.1400000000001</v>
    <v>1043.75</v>
    <v>1043</v>
    <v>388147700</v>
    <v>ASML</v>
    <v>ASML Holding NV (XNAS:ASML)</v>
    <v>1169130</v>
    <v>1613029</v>
    <v>1994</v>
  </rv>
  <rv s="2">
    <v>263</v>
  </rv>
  <rv s="16">
    <v>50</v>
    <v>Big Tree Cloud Holdings Limited (XNAS:DSY)</v>
    <v>30</v>
    <v>51</v>
    <v>Finance</v>
    <v>5</v>
    <v>en-US</v>
    <v>c8kfk2</v>
    <v>268435456</v>
    <v>1</v>
    <v>Powered by Refinitiv</v>
    <v>7.33</v>
    <v>0.57999999999999996</v>
    <v>-1.2999999999999999E-3</v>
    <v>-2.1410000000000001E-3</v>
    <v>6.9999999999999999E-4</v>
    <v>1.155E-3</v>
    <v>USD</v>
    <v>Big Tree Cloud Holdings Ltd is a China-based company principally engaged in the development, production and sales of personal care products and other consumer goods. The Company delivers products that cater to the needs of modern, health-conscious, and independent consumers. It focuses on the development and production of feminine hygiene products, including sterilized feminine pads, menstrual pants, and other feminine hygiene products. Its body and oral care products include shampoo and conditioner, body wash, facial mask and cream, and others. Its accessories include earrings, bracelets, pendants and other jewelry accessories. It distributes its products through its flagship stores on e-commerce platforms. The Company also engages in licensing business by authorizing its customers and third-party commercial stores to use its logo, trademark and brand name.</v>
    <v>50</v>
    <v>Nasdaq Stock Market</v>
    <v>XNAS</v>
    <v>XNAS</v>
    <v>Matian Street, Zhongliang Yunjing Plaza, Room 3303, Building 1, SHENZHEN, GUANGDONG, 518083 CN</v>
    <v>0.61990000000000001</v>
    <v>Personal &amp; Household Products &amp; Services</v>
    <v>Stock</v>
    <v>45966.974146527347</v>
    <v>0.59</v>
    <v>57592688</v>
    <v>Big Tree Cloud Holdings Limited</v>
    <v>Big Tree Cloud Holdings Limited</v>
    <v>0.59599999999999997</v>
    <v>54.126600000000003</v>
    <v>0.60729999999999995</v>
    <v>0.60599999999999998</v>
    <v>0.60670000000000002</v>
    <v>95037440</v>
    <v>DSY</v>
    <v>Big Tree Cloud Holdings Limited (XNAS:DSY)</v>
    <v>85022</v>
    <v>263391</v>
  </rv>
  <rv s="2">
    <v>265</v>
  </rv>
  <rv s="0">
    <v>https://www.bing.com/financeapi/forcetrigger?t=a1v3sm&amp;q=XNYS%3aIAG&amp;form=skydnc</v>
    <v>Learn more on Bing</v>
  </rv>
  <rv s="1">
    <v>0</v>
    <v>IAMGOLD CORPORATION (XNYS:IAG)</v>
    <v>2</v>
    <v>11</v>
    <v>Finance</v>
    <v>5</v>
    <v>en-US</v>
    <v>a1v3sm</v>
    <v>268435456</v>
    <v>1</v>
    <v>Powered by Refinitiv</v>
    <v>14.67</v>
    <v>4.8899999999999997</v>
    <v>1.8080000000000001</v>
    <v>0.96</v>
    <v>8.7591000000000002E-2</v>
    <v>0</v>
    <v>0</v>
    <v>USD</v>
    <v>IAMGOLD Corporation is a Canada-based intermediate gold producer and developer. Its principal activities are the exploration, development, and operation of gold mining properties in North America and West Africa. Its projects include Essakane, Westwood and Cote Gold. The Essakane project is in north-eastern Burkina Faso, West Africa. It straddles the boundary of the Oudalan and Seno provinces in the Sahel region of Burkina Faso and is approximately 330 kilometers (km) northeast of the capital, Ouagadougou. The Westwood Project is located on the Doyon property, 2.5 km east of the former Doyon Gold Mine in Bousquet Township. The Cote Gold Project is in the Chester and Yeo Townships, District of Sudbury, in northeastern Ontario. It owns a 100% interest in the Nelligan Gold Project, located 60Km southwest of Chibougamau. It holds claims of Nelligan, as well as other earlier stage exploration properties in Northern Quebec. It also owns Rich Lake and Lac a l’Eau Jaune (gold) properties.</v>
    <v>4341</v>
    <v>New York Stock Exchange</v>
    <v>XNYS</v>
    <v>XNYS</v>
    <v>150 King Street West, Suite 2200, TORONTO, ON, M5H 1J9 CA</v>
    <v>12.86</v>
    <v>Metals &amp; Mining</v>
    <v>Stock</v>
    <v>45966.986750543751</v>
    <v>267</v>
    <v>11.82</v>
    <v>8888881000</v>
    <v>IAMGOLD CORPORATION</v>
    <v>IAMGOLD CORPORATION</v>
    <v>12.28</v>
    <v>20.114699999999999</v>
    <v>10.96</v>
    <v>11.92</v>
    <v>11.92</v>
    <v>575332100</v>
    <v>IAG</v>
    <v>IAMGOLD CORPORATION (XNYS:IAG)</v>
    <v>17981814</v>
    <v>13966179</v>
    <v>2017</v>
  </rv>
  <rv s="2">
    <v>268</v>
  </rv>
  <rv s="0">
    <v>https://www.bing.com/financeapi/forcetrigger?t=bvct77&amp;q=XFRA%3aNQA&amp;form=skydnc</v>
    <v>Learn more on Bing</v>
  </rv>
  <rv s="17">
    <v>52</v>
    <v>Note AB (publ) (XFRA:NQA)</v>
    <v>2</v>
    <v>53</v>
    <v>Finance</v>
    <v>10</v>
    <v>en-US</v>
    <v>bvct77</v>
    <v>268435456</v>
    <v>1</v>
    <v>Powered by Refinitiv</v>
    <v>0.90139999999999998</v>
    <v>0.14000000000000001</v>
    <v>8.5000000000000006E-3</v>
    <v>EUR</v>
    <v>Note AB (publ) is a Sweden-based company engaged in manufacturing and sale of electronic components. The Company’s operations are divided into four customer segments: Industrial, Communication, Medtech and Greentech. Industrial segment manufactures products in segments like automation, control, infrastructure, energy and construction technology. Communication segment offers technical competence. Medtech provides medical technology products in diagnostics, treatment and X-ray. The Greentech segment consists of customers active in the expansive green technology transition, offers products that make contribution to improved sustainability, such as the transition from fossil to renewable energy or optimising energy consumption.</v>
    <v>1468</v>
    <v>Deutsche Boerse AG</v>
    <v>XFRA</v>
    <v>XFRA</v>
    <v>Sveavagen 52, STOCKHOLM, STOCKHOLM, 111 34 SE</v>
    <v>16.61</v>
    <v>Semiconductors &amp; Semiconductor Equipment</v>
    <v>Stock</v>
    <v>45966.878472222219</v>
    <v>270</v>
    <v>16.61</v>
    <v>5364864000</v>
    <v>Note AB (publ)</v>
    <v>Note AB (publ)</v>
    <v>16.61</v>
    <v>19.5412</v>
    <v>16.47</v>
    <v>16.61</v>
    <v>28983600</v>
    <v>NQA</v>
    <v>Note AB (publ) (XFRA:NQA)</v>
    <v>90</v>
    <v>41520</v>
    <v>1990</v>
  </rv>
  <rv s="2">
    <v>271</v>
  </rv>
  <rv s="0">
    <v>https://www.bing.com/financeapi/forcetrigger?t=a1rjbh&amp;q=XNYS%3aE&amp;form=skydnc</v>
    <v>Learn more on Bing</v>
  </rv>
  <rv s="18">
    <v>54</v>
    <v>Eni SpA (XNYS:E)</v>
    <v>2</v>
    <v>55</v>
    <v>Finance</v>
    <v>5</v>
    <v>en-US</v>
    <v>a1rjbh</v>
    <v>268435456</v>
    <v>1</v>
    <v>Powered by Refinitiv</v>
    <v>37.25</v>
    <v>24.65</v>
    <v>0.63529999999999998</v>
    <v>0.18</v>
    <v>4.9559999999999995E-3</v>
    <v>0.63</v>
    <v>1.7260000000000001E-2</v>
    <v>USD</v>
    <v>Eni SpA (Eni) is an Italy-based company engaged in the exploration, development and production of hydrocarbons, in the supply and marketing of gas, liquefied natural gas (LNG) and power, in the refining and marketing of petroleum products, in the production and marketing of basic petrochemicals, plastics and elastomers and in commodity trading. The Company's segments include Exploration &amp; Production, Gas &amp; Power, and Refining &amp; Marketing. Its Exploration &amp; Production segment engages in oil and natural gas exploration and field development and production, as well as LNG operations in over 40 countries, including Italy, Libya, Egypt, Norway, the United Kingdom, Angola, Congo, Nigeria, the United States, Kazakhstan, Algeria, Australia, Venezuela, Iraq, Ghana and Mozambique. Its Gas &amp; Power segment engages in supply, trading and marketing of gas, LNG and electricity, international gas transport activities and commodity trading and derivatives.</v>
    <v>32356</v>
    <v>New York Stock Exchange</v>
    <v>XNYS</v>
    <v>XNYS</v>
    <v>Piazza Ezio Vanoni, 1, SAN DONATO MILANESE, MILANO, 20097 IT</v>
    <v>36.68</v>
    <v>Oil &amp; Gas</v>
    <v>Stock</v>
    <v>45966.979166678124</v>
    <v>273</v>
    <v>36.380000000000003</v>
    <v>57664660000</v>
    <v>Eni SpA</v>
    <v>Eni SpA</v>
    <v>36.409999999999997</v>
    <v>17.5337</v>
    <v>36.32</v>
    <v>36.5</v>
    <v>37.130000000000003</v>
    <v>1573383000</v>
    <v>E</v>
    <v>Eni SpA (XNYS:E)</v>
    <v>305774</v>
    <v>269501</v>
  </rv>
  <rv s="2">
    <v>274</v>
  </rv>
  <rv s="0">
    <v>https://www.bing.com/financeapi/forcetrigger?t=aazgim&amp;q=XTSE%3aORA&amp;form=skydnc</v>
    <v>Learn more on Bing</v>
  </rv>
  <rv s="18">
    <v>54</v>
    <v>Aura Minerals Inc. (XTSE:ORA)</v>
    <v>2</v>
    <v>56</v>
    <v>Finance</v>
    <v>57</v>
    <v>en-US</v>
    <v>aazgim</v>
    <v>268435456</v>
    <v>1</v>
    <v>Powered by Refinitiv</v>
    <v>49.33</v>
    <v>14.22</v>
    <v>1.2377</v>
    <v>0</v>
    <v>0</v>
    <v>0</v>
    <v>0</v>
    <v>CAD</v>
    <v>Aura Minerals Inc. is a company focused on the development and operation of gold and base metal projects in the Americas. The Company's five operating assets include the Minosa gold mine in Honduras; the Almas, Apoena, and Borborema gold mines in Brazil; and the Aranzazu copper, gold, and silver mine in Mexico. It also owns Era Dorada, a gold project in Guatemala; Tolda Fria, a gold project in Colombia; and three projects in Brazil: Matupa, which is under development; Sao Francisco, which is in care and maintenance, and the Carajas copper project in the Carajas region, in the exploration phase. Aranzazu is an underground copper mine operation, producing gold and silver as by-products, located within the Municipalities of Concepcion del Oro and Mazapil in the State of Zacatecas, Mexico, near its northern border with the State of Coahuila. Minosa is an open-pit heap leach gold mine located in the highlands of western Honduras. Borborema Project is a greenfield open pit gold project.</v>
    <v>1258</v>
    <v>Toronto Stock Exchange</v>
    <v>XTSE</v>
    <v>XTSE</v>
    <v>255 Giralda Ave, Suite 6W102, CORAL GABLES, FL, 33134 US</v>
    <v>48.12</v>
    <v>Metals &amp; Mining</v>
    <v>Stock</v>
    <v>45925.833333333336</v>
    <v>276</v>
    <v>45.87</v>
    <v>3972179000</v>
    <v>Aura Minerals Inc.</v>
    <v>Aura Minerals Inc.</v>
    <v>48.11</v>
    <v>0</v>
    <v>47.86</v>
    <v>45.97</v>
    <v>45.97</v>
    <v>82637370</v>
    <v>ORA</v>
    <v>Aura Minerals Inc. (XTSE:ORA)</v>
    <v>251753</v>
    <v>95870</v>
  </rv>
  <rv s="2">
    <v>277</v>
  </rv>
</rvData>
</file>

<file path=xl/richData/rdrichvaluestructure.xml><?xml version="1.0" encoding="utf-8"?>
<rvStructures xmlns="http://schemas.microsoft.com/office/spreadsheetml/2017/richdata" count="19">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error">
    <k n="errorType" t="i"/>
    <k n="field" t="s"/>
    <k n="subType" t="i"/>
  </s>
  <s t="_error">
    <k n="errorType" t="i"/>
    <k n="propagated" t="b"/>
  </s>
  <s t="_linkedentitycore">
    <k n="_Display" t="spb"/>
    <k n="_DisplayString" t="s"/>
    <k n="_Flags" t="spb"/>
    <k n="_Format" t="spb"/>
    <k n="_Icon" t="s"/>
    <k n="_SubLabel" t="spb"/>
    <k n="%EntityCulture" t="s"/>
    <k n="%EntityId" t="s"/>
    <k n="%EntityServiceId"/>
    <k n="%IsRefreshable" t="b"/>
    <k n="%ProviderInfo" t="s"/>
    <k n="52 week high"/>
    <k n="52 week low"/>
    <k n="Change"/>
    <k n="Change (%)"/>
    <k n="Currency" t="s"/>
    <k n="From currency" t="s"/>
    <k n="High"/>
    <k n="Instrument type" t="s"/>
    <k n="Last trade time"/>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s t="_linkedentitycore">
    <k n="_Display" t="spb"/>
    <k n="_DisplayString" t="s"/>
    <k n="_Flags" t="spb"/>
    <k n="_Format" t="spb"/>
    <k n="_Icon" t="s"/>
    <k n="_SubLabel" t="spb"/>
    <k n="%EntityCulture" t="s"/>
    <k n="%EntityId" t="s"/>
    <k n="%EntityServiceId"/>
    <k n="%IsRefreshable" t="b"/>
    <k n="%ProviderInfo" t="s"/>
    <k n="52 week high"/>
    <k n="52 week low"/>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s>
  <s t="_linkedentitycore">
    <k n="_Display" t="spb"/>
    <k n="_DisplayString" t="s"/>
    <k n="_Flags" t="spb"/>
    <k n="_Format" t="spb"/>
    <k n="_Icon" t="s"/>
    <k n="_SubLabel" t="spb"/>
    <k n="%EntityCulture" t="s"/>
    <k n="%EntityId" t="s"/>
    <k n="%EntityServiceId"/>
    <k n="%IsRefreshable" t="b"/>
    <k n="%ProviderInfo" t="s"/>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s>
</rvStructures>
</file>

<file path=xl/richData/rdsupportingpropertybag.xml><?xml version="1.0" encoding="utf-8"?>
<supportingPropertyBags xmlns="http://schemas.microsoft.com/office/spreadsheetml/2017/richdata2">
  <spbArrays count="13">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spbArrays>
  <spbData count="58">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4">
      <v>at close</v>
      <v>from previous close</v>
      <v>from previous close</v>
      <v>Source: Nasdaq</v>
      <v>GMT</v>
      <v>Delayed 15 minutes</v>
      <v>from close</v>
      <v>from close</v>
    </spb>
    <spb s="0">
      <v>1</v>
      <v>Name</v>
      <v>LearnMoreOnLink</v>
    </spb>
    <spb s="5">
      <v>10</v>
      <v>2</v>
      <v>2</v>
      <v>10</v>
      <v>3</v>
      <v>10</v>
      <v>10</v>
      <v>10</v>
      <v>4</v>
      <v>4</v>
      <v>5</v>
      <v>11</v>
      <v>10</v>
      <v>10</v>
      <v>10</v>
      <v>4</v>
      <v>7</v>
      <v>8</v>
      <v>9</v>
      <v>4</v>
    </spb>
    <spb s="6">
      <v>Delayed 15 minutes</v>
      <v>from previous close</v>
      <v>from previous close</v>
      <v>LSE</v>
      <v>GMT</v>
    </spb>
    <spb s="5">
      <v>12</v>
      <v>2</v>
      <v>2</v>
      <v>12</v>
      <v>3</v>
      <v>12</v>
      <v>12</v>
      <v>12</v>
      <v>4</v>
      <v>4</v>
      <v>5</v>
      <v>13</v>
      <v>12</v>
      <v>12</v>
      <v>12</v>
      <v>4</v>
      <v>7</v>
      <v>8</v>
      <v>9</v>
      <v>4</v>
    </spb>
    <spb s="7">
      <v>Delayed 15 minutes</v>
      <v>from previous close</v>
      <v>from previous close</v>
      <v>GMT</v>
    </spb>
    <spb s="3">
      <v>1</v>
      <v>2</v>
      <v>2</v>
      <v>1</v>
      <v>3</v>
      <v>1</v>
      <v>1</v>
      <v>1</v>
      <v>4</v>
      <v>4</v>
      <v>5</v>
      <v>14</v>
      <v>1</v>
      <v>1</v>
      <v>1</v>
      <v>4</v>
      <v>7</v>
      <v>8</v>
      <v>9</v>
      <v>4</v>
      <v>1</v>
      <v>1</v>
      <v>5</v>
    </spb>
    <spb s="0">
      <v>2</v>
      <v>Name</v>
      <v>LearnMoreOnLink</v>
    </spb>
    <spb s="8">
      <v>1</v>
      <v>2</v>
      <v>1</v>
      <v>3</v>
      <v>1</v>
      <v>1</v>
      <v>1</v>
      <v>4</v>
      <v>4</v>
      <v>5</v>
      <v>6</v>
      <v>1</v>
      <v>1</v>
      <v>1</v>
      <v>4</v>
      <v>7</v>
      <v>8</v>
      <v>9</v>
      <v>4</v>
      <v>1</v>
      <v>1</v>
      <v>5</v>
    </spb>
    <spb s="0">
      <v>3</v>
      <v>Name</v>
      <v>LearnMoreOnLink</v>
    </spb>
    <spb s="9">
      <v>0</v>
      <v>0</v>
    </spb>
    <spb s="10">
      <v>15</v>
      <v>1</v>
      <v>1</v>
      <v>1</v>
      <v>1</v>
    </spb>
    <spb s="11">
      <v>1</v>
      <v>2</v>
      <v>2</v>
      <v>1</v>
      <v>3</v>
      <v>1</v>
      <v>15</v>
      <v>1</v>
      <v>1</v>
      <v>4</v>
      <v>4</v>
      <v>5</v>
      <v>6</v>
      <v>1</v>
      <v>1</v>
      <v>1</v>
      <v>4</v>
      <v>7</v>
      <v>8</v>
      <v>9</v>
      <v>4</v>
      <v>1</v>
      <v>1</v>
      <v>5</v>
    </spb>
    <spb s="12">
      <v>Powered by Refinitiv</v>
    </spb>
    <spb s="5">
      <v>1</v>
      <v>2</v>
      <v>2</v>
      <v>1</v>
      <v>3</v>
      <v>1</v>
      <v>1</v>
      <v>1</v>
      <v>4</v>
      <v>4</v>
      <v>5</v>
      <v>6</v>
      <v>1</v>
      <v>1</v>
      <v>1</v>
      <v>4</v>
      <v>7</v>
      <v>8</v>
      <v>9</v>
      <v>4</v>
    </spb>
    <spb s="6">
      <v>Delayed 15 minutes</v>
      <v>from previous close</v>
      <v>from previous close</v>
      <v>Source: Nasdaq</v>
      <v>GMT</v>
    </spb>
    <spb s="3">
      <v>10</v>
      <v>2</v>
      <v>2</v>
      <v>10</v>
      <v>3</v>
      <v>10</v>
      <v>10</v>
      <v>10</v>
      <v>4</v>
      <v>4</v>
      <v>5</v>
      <v>11</v>
      <v>10</v>
      <v>10</v>
      <v>10</v>
      <v>4</v>
      <v>7</v>
      <v>8</v>
      <v>9</v>
      <v>4</v>
      <v>10</v>
      <v>10</v>
      <v>5</v>
    </spb>
    <spb s="4">
      <v>at close</v>
      <v>from previous close</v>
      <v>from previous close</v>
      <v>LSE</v>
      <v>GMT</v>
      <v>Delayed 15 minutes</v>
      <v>from close</v>
      <v>from close</v>
    </spb>
    <spb s="3">
      <v>1</v>
      <v>2</v>
      <v>2</v>
      <v>1</v>
      <v>3</v>
      <v>1</v>
      <v>1</v>
      <v>1</v>
      <v>4</v>
      <v>4</v>
      <v>5</v>
      <v>16</v>
      <v>1</v>
      <v>1</v>
      <v>1</v>
      <v>4</v>
      <v>7</v>
      <v>8</v>
      <v>9</v>
      <v>4</v>
      <v>1</v>
      <v>1</v>
      <v>5</v>
    </spb>
    <spb s="13">
      <v>at close</v>
      <v>from previous close</v>
      <v>from previous close</v>
      <v>GMT</v>
      <v>Delayed 15 minutes</v>
      <v>from close</v>
      <v>from close</v>
    </spb>
    <spb s="0">
      <v>4</v>
      <v>Name</v>
      <v>LearnMoreOnLink</v>
    </spb>
    <spb s="14">
      <v>12</v>
      <v>2</v>
      <v>12</v>
      <v>3</v>
      <v>12</v>
      <v>12</v>
      <v>12</v>
      <v>4</v>
      <v>4</v>
      <v>5</v>
      <v>13</v>
      <v>12</v>
      <v>12</v>
      <v>12</v>
      <v>4</v>
      <v>7</v>
      <v>8</v>
      <v>9</v>
      <v>4</v>
    </spb>
    <spb s="11">
      <v>1</v>
      <v>2</v>
      <v>2</v>
      <v>1</v>
      <v>3</v>
      <v>1</v>
      <v>15</v>
      <v>1</v>
      <v>1</v>
      <v>4</v>
      <v>4</v>
      <v>5</v>
      <v>17</v>
      <v>1</v>
      <v>1</v>
      <v>1</v>
      <v>4</v>
      <v>7</v>
      <v>8</v>
      <v>9</v>
      <v>4</v>
      <v>1</v>
      <v>1</v>
      <v>5</v>
    </spb>
    <spb s="5">
      <v>18</v>
      <v>2</v>
      <v>2</v>
      <v>18</v>
      <v>3</v>
      <v>18</v>
      <v>18</v>
      <v>18</v>
      <v>4</v>
      <v>4</v>
      <v>5</v>
      <v>19</v>
      <v>18</v>
      <v>18</v>
      <v>18</v>
      <v>4</v>
      <v>7</v>
      <v>8</v>
      <v>9</v>
      <v>4</v>
    </spb>
    <spb s="15">
      <v>5</v>
      <v>Name</v>
    </spb>
    <spb s="16">
      <v>1</v>
      <v>1</v>
      <v>1</v>
    </spb>
    <spb s="0">
      <v>6</v>
      <v>Name</v>
      <v>LearnMoreOnLink</v>
    </spb>
    <spb s="17">
      <v>12</v>
      <v>2</v>
      <v>2</v>
      <v>12</v>
      <v>3</v>
      <v>12</v>
      <v>12</v>
      <v>12</v>
      <v>4</v>
      <v>4</v>
      <v>5</v>
      <v>13</v>
      <v>12</v>
      <v>12</v>
      <v>12</v>
      <v>4</v>
      <v>7</v>
      <v>9</v>
      <v>4</v>
    </spb>
    <spb s="6">
      <v>Delayed 15 minutes</v>
      <v>from previous close</v>
      <v>from previous close</v>
      <v>Borsa Italia</v>
      <v>GMT</v>
    </spb>
    <spb s="0">
      <v>7</v>
      <v>Name</v>
      <v>LearnMoreOnLink</v>
    </spb>
    <spb s="18">
      <v>1</v>
      <v>1</v>
      <v>1</v>
    </spb>
    <spb s="19">
      <v>1</v>
      <v>2</v>
      <v>1</v>
      <v>3</v>
      <v>1</v>
      <v>1</v>
      <v>1</v>
      <v>4</v>
      <v>5</v>
      <v>6</v>
      <v>1</v>
      <v>1</v>
      <v>5</v>
      <v>1</v>
      <v>7</v>
      <v>9</v>
    </spb>
    <spb s="15">
      <v>8</v>
      <v>Name</v>
    </spb>
    <spb s="20">
      <v>1</v>
      <v>1</v>
    </spb>
    <spb s="21">
      <v>1</v>
      <v>1</v>
      <v>3</v>
      <v>1</v>
      <v>1</v>
      <v>1</v>
      <v>5</v>
      <v>1</v>
      <v>1</v>
      <v>1</v>
      <v>7</v>
      <v>9</v>
    </spb>
    <spb s="22">
      <v>GMT</v>
    </spb>
    <spb s="21">
      <v>18</v>
      <v>18</v>
      <v>3</v>
      <v>18</v>
      <v>18</v>
      <v>18</v>
      <v>5</v>
      <v>18</v>
      <v>18</v>
      <v>18</v>
      <v>7</v>
      <v>9</v>
    </spb>
    <spb s="21">
      <v>20</v>
      <v>20</v>
      <v>3</v>
      <v>20</v>
      <v>20</v>
      <v>20</v>
      <v>5</v>
      <v>20</v>
      <v>20</v>
      <v>20</v>
      <v>7</v>
      <v>9</v>
    </spb>
    <spb s="21">
      <v>21</v>
      <v>21</v>
      <v>3</v>
      <v>21</v>
      <v>21</v>
      <v>21</v>
      <v>5</v>
      <v>21</v>
      <v>21</v>
      <v>21</v>
      <v>7</v>
      <v>9</v>
    </spb>
    <spb s="21">
      <v>22</v>
      <v>22</v>
      <v>3</v>
      <v>22</v>
      <v>22</v>
      <v>22</v>
      <v>5</v>
      <v>22</v>
      <v>22</v>
      <v>22</v>
      <v>7</v>
      <v>9</v>
    </spb>
    <spb s="21">
      <v>23</v>
      <v>23</v>
      <v>3</v>
      <v>23</v>
      <v>23</v>
      <v>23</v>
      <v>5</v>
      <v>23</v>
      <v>23</v>
      <v>23</v>
      <v>7</v>
      <v>9</v>
    </spb>
    <spb s="0">
      <v>9</v>
      <v>Name</v>
      <v>LearnMoreOnLink</v>
    </spb>
    <spb s="23">
      <v>1</v>
      <v>1</v>
      <v>3</v>
      <v>1</v>
      <v>1</v>
      <v>1</v>
      <v>5</v>
      <v>1</v>
      <v>1</v>
      <v>1</v>
      <v>9</v>
    </spb>
    <spb s="24">
      <v>from previous close</v>
      <v>from previous close</v>
    </spb>
    <spb s="25">
      <v>Delayed 15 minutes</v>
      <v>from previous close</v>
      <v>LSE</v>
      <v>from previous close</v>
      <v>GMT</v>
    </spb>
    <spb s="15">
      <v>10</v>
      <v>Name</v>
    </spb>
    <spb s="26">
      <v>1</v>
      <v>2</v>
      <v>1</v>
      <v>3</v>
      <v>1</v>
      <v>1</v>
      <v>1</v>
      <v>4</v>
      <v>4</v>
      <v>5</v>
      <v>6</v>
      <v>1</v>
      <v>1</v>
      <v>1</v>
      <v>4</v>
      <v>7</v>
      <v>9</v>
      <v>4</v>
      <v>1</v>
      <v>1</v>
      <v>5</v>
    </spb>
    <spb s="0">
      <v>11</v>
      <v>Name</v>
      <v>LearnMoreOnLink</v>
    </spb>
    <spb s="27">
      <v>12</v>
      <v>2</v>
      <v>2</v>
      <v>12</v>
      <v>3</v>
      <v>12</v>
      <v>12</v>
      <v>12</v>
      <v>4</v>
      <v>4</v>
      <v>5</v>
      <v>17</v>
      <v>12</v>
      <v>4</v>
      <v>7</v>
      <v>8</v>
      <v>9</v>
      <v>4</v>
    </spb>
    <spb s="0">
      <v>12</v>
      <v>Name</v>
      <v>LearnMoreOnLink</v>
    </spb>
    <spb s="28">
      <v>1</v>
      <v>2</v>
      <v>2</v>
      <v>1</v>
      <v>3</v>
      <v>1</v>
      <v>1</v>
      <v>1</v>
      <v>4</v>
      <v>4</v>
      <v>5</v>
      <v>6</v>
      <v>1</v>
      <v>1</v>
      <v>1</v>
      <v>4</v>
      <v>7</v>
      <v>9</v>
      <v>4</v>
      <v>1</v>
      <v>1</v>
      <v>5</v>
    </spb>
    <spb s="28">
      <v>22</v>
      <v>2</v>
      <v>2</v>
      <v>22</v>
      <v>3</v>
      <v>22</v>
      <v>22</v>
      <v>22</v>
      <v>4</v>
      <v>4</v>
      <v>5</v>
      <v>14</v>
      <v>22</v>
      <v>22</v>
      <v>22</v>
      <v>4</v>
      <v>7</v>
      <v>9</v>
      <v>4</v>
      <v>22</v>
      <v>22</v>
      <v>5</v>
    </spb>
    <spb s="13">
      <v>at close</v>
      <v>from previous close</v>
      <v>from previous close</v>
      <v>GMT</v>
      <v>Delayed 20 minutes</v>
      <v>from close</v>
      <v>from close</v>
    </spb>
  </spbData>
</supportingPropertyBags>
</file>

<file path=xl/richData/rdsupportingpropertybagstructure.xml><?xml version="1.0" encoding="utf-8"?>
<spbStructures xmlns="http://schemas.microsoft.com/office/spreadsheetml/2017/richdata2" count="29">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Price" t="s"/>
    <k n="Change" t="s"/>
    <k n="Change (%)"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UniqueName" t="spb"/>
    <k n="`%ProviderInfo" t="spb"/>
    <k n="LearnMoreOnLink" t="spb"/>
  </s>
  <s>
    <k n="Low" t="i"/>
    <k n="Beta" t="i"/>
    <k n="High" t="i"/>
    <k n="Name" t="i"/>
    <k n="Open" t="i"/>
    <k n="Price" t="i"/>
    <k n="Change" t="i"/>
    <k n="Volume" t="i"/>
    <k n="Change (%)" t="i"/>
    <k n="Market cap" t="i"/>
    <k n="52 week low" t="i"/>
    <k n="52 week high" t="i"/>
    <k n="Expense ratio" t="i"/>
    <k n="Previous close" t="i"/>
    <k n="Last trade time" t="i"/>
    <k n="`%EntityServiceId" t="i"/>
  </s>
  <s>
    <k n="UniqueName" t="spb"/>
    <k n="`%ProviderInfo" t="spb"/>
  </s>
  <s>
    <k n="Low" t="i"/>
    <k n="High" t="i"/>
    <k n="Name" t="i"/>
    <k n="Open" t="i"/>
    <k n="Price" t="i"/>
    <k n="Change" t="i"/>
    <k n="Change (%)" t="i"/>
    <k n="52 week low" t="i"/>
    <k n="52 week high" t="i"/>
    <k n="Previous close" t="i"/>
    <k n="Last trade time" t="i"/>
    <k n="`%EntityServiceId" t="i"/>
  </s>
  <s>
    <k n="Last trade time" t="s"/>
  </s>
  <s>
    <k n="Low" t="i"/>
    <k n="High" t="i"/>
    <k n="Name" t="i"/>
    <k n="Open" t="i"/>
    <k n="Price" t="i"/>
    <k n="Change" t="i"/>
    <k n="Change (%)" t="i"/>
    <k n="52 week low" t="i"/>
    <k n="52 week high" t="i"/>
    <k n="Previous close" t="i"/>
    <k n="`%EntityServiceId" t="i"/>
  </s>
  <s>
    <k n="Change" t="s"/>
    <k n="Change (%)" t="s"/>
  </s>
  <s>
    <k n="Price" t="s"/>
    <k n="Change" t="s"/>
    <k n="Ex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0" formatCode="General"/>
    </x:dxf>
    <x:dxf>
      <x:numFmt numFmtId="4" formatCode="#,##0.00"/>
    </x:dxf>
    <x:dxf>
      <x:numFmt numFmtId="3" formatCode="#,##0"/>
    </x:dxf>
    <x:dxf>
      <x:numFmt numFmtId="14" formatCode="0.00%"/>
    </x:dxf>
    <x:dxf>
      <x:numFmt numFmtId="27" formatCode="m/d/yy\ h:mm"/>
    </x:dxf>
    <x:dxf>
      <x:numFmt numFmtId="1" formatCode="0"/>
    </x:dxf>
    <x:dxf>
      <x:numFmt numFmtId="2" formatCode="0.00"/>
    </x:dxf>
    <x:dxf>
      <x:numFmt numFmtId="35" formatCode="_(* #,##0.00_);_(* \(#,##0.00\);_(* &quot;-&quot;??_);_(@_)"/>
    </x:dxf>
  </dxfs>
  <richProperties>
    <rPr n="NumberFormat" t="s"/>
    <rPr n="IsTitleField" t="b"/>
    <rPr n="IsHeroField" t="b"/>
  </richProperties>
  <richStyles>
    <rSty dxfid="0">
      <rpv i="0">_([$$-en-US]* #,##0.00_);_([$$-en-US]* (#,##0.00);_([$$-en-US]* "-"??_);_(@_)</rpv>
    </rSty>
    <rSty dxfid="1">
      <rpv i="0">#,##0.00</rpv>
    </rSty>
    <rSty>
      <rpv i="1">1</rpv>
    </rSty>
    <rSty dxfid="2">
      <rpv i="0">#,##0</rpv>
    </rSty>
    <rSty dxfid="3"/>
    <rSty dxfid="0">
      <rpv i="0">_([$$-en-US]* #,##0_);_([$$-en-US]* (#,##0);_([$$-en-US]* "-"_);_(@_)</rpv>
    </rSty>
    <rSty dxfid="4"/>
    <rSty dxfid="5">
      <rpv i="0">0</rpv>
    </rSty>
    <rSty dxfid="6">
      <rpv i="0">0.00</rpv>
    </rSty>
    <rSty dxfid="7">
      <rpv i="0">_(* #,##0.00_);_(* (#,##0.00);_(* "-"??_);_(@_)</rpv>
    </rSty>
    <rSty dxfid="0">
      <rpv i="0">_([$£-en-GB]* #,##0_);_([$£-en-GB]* (#,##0);_([$£-en-GB]* "-"_);_(@_)</rpv>
    </rSty>
    <rSty dxfid="0">
      <rpv i="0">_([$€-x-euro2] * #,##0.00_);_([$€-x-euro2] * (#,##0.00);_([$€-x-euro2] * "-"??_);_(@_)</rpv>
    </rSty>
    <rSty dxfid="0">
      <rpv i="0">_([$€-x-euro2] * #,##0_);_([$€-x-euro2] * (#,##0);_([$€-x-euro2] * "-"_);_(@_)</rpv>
    </rSty>
    <rSty dxfid="0">
      <rpv i="0">_([$$-en-CA]* #,##0_);_([$$-en-CA]* (#,##0);_([$$-en-CA]* "-"_);_(@_)</rpv>
    </rSty>
    <rSty>
      <rpv i="2">1</rpv>
    </rSty>
    <rSty dxfid="0">
      <rpv i="0">_([$¥-ja-JP]* #,##0_);_([$¥-ja-JP]* (#,##0);_([$¥-ja-JP]* "-"_);_(@_)</rpv>
    </rSty>
    <rSty dxfid="0">
      <rpv i="0">_-* #,##0 [$kr-se-SE]_-;-* #,##0 [$kr-se-SE]_-;_-* "-" [$kr-se-SE]_-;_-@_-</rpv>
    </rSty>
    <rSty dxfid="0">
      <rpv i="0" xml:space="preserve">_ [$CHF-fr-CH] * #,##0.00_ ;_ [$CHF-fr-CH] * -#,##0.00_ ;_ [$CHF-fr-CH] * "-"??_ ;_ @_ </rpv>
    </rSty>
    <rSty dxfid="0">
      <rpv i="0" xml:space="preserve">_ [$CHF-fr-CH] * #,##0_ ;_ [$CHF-fr-CH] * -#,##0_ ;_ [$CHF-fr-CH] * "-"_ ;_ @_ </rpv>
    </rSty>
    <rSty dxfid="0">
      <rpv i="0">_([$£-en-GB]* #,##0.00_);_([$£-en-GB]* (#,##0.00);_([$£-en-GB]* "-"??_);_(@_)</rpv>
    </rSty>
    <rSty dxfid="0">
      <rpv i="0">_([$$-en-AU]* #,##0.00_);_([$$-en-AU]* (#,##0.00);_([$$-en-AU]* "-"??_);_(@_)</rpv>
    </rSty>
    <rSty dxfid="0">
      <rpv i="0">_([$$-en-CA]* #,##0.00_);_([$$-en-CA]* (#,##0.00);_([$$-en-CA]* "-"??_);_(@_)</rpv>
    </rSty>
    <rSty dxfid="0">
      <rpv i="0">_([$¥-ja-JP]* #,##0.00_);_([$¥-ja-JP]* (#,##0.00);_([$¥-ja-JP]*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A35088-1058-A848-A0D6-A830BAD4DBD7}" name="RTData" displayName="RTData" ref="A2:AF97" totalsRowCount="1" headerRowDxfId="47">
  <tableColumns count="32">
    <tableColumn id="2" xr3:uid="{8118E0A9-5AF1-7F44-BE09-CF2D0F8A2399}" name="Ticker_Symbol" totalsRowLabel="Total" dataDxfId="46" totalsRowDxfId="45">
      <calculatedColumnFormula array="1">_xlfn.SINGLE(RTData[suffix])&amp;_FV(RTData[[#This Row],[Company Name]],"Ticker symbol",TRUE)</calculatedColumnFormula>
    </tableColumn>
    <tableColumn id="7" xr3:uid="{499A2502-9862-974B-B3F4-42E9D6C812C8}" name="ExchR" dataDxfId="44" totalsRowDxfId="43">
      <calculatedColumnFormula>RTData[[#This Row],[Currency]]</calculatedColumnFormula>
    </tableColumn>
    <tableColumn id="3" xr3:uid="{5A6CBBC9-8B27-C94D-8965-6BDAEC21DC67}" name="Company Name" dataDxfId="42" totalsRowDxfId="41"/>
    <tableColumn id="53" xr3:uid="{B14728A6-B009-7546-B848-E719B03540DC}" name="Currency" dataDxfId="40" totalsRowDxfId="39">
      <calculatedColumnFormula array="1">_FV(RTData[[#This Row],[Company Name]],"Currency")</calculatedColumnFormula>
    </tableColumn>
    <tableColumn id="20" xr3:uid="{D82CD65F-7990-6441-B746-5B546F13E893}" name="Last trade time" dataDxfId="38">
      <calculatedColumnFormula array="1">_FV(RTData[[#This Row],[Company Name]],"Last trade time",TRUE)</calculatedColumnFormula>
    </tableColumn>
    <tableColumn id="24" xr3:uid="{50AD8F7D-A008-1E4B-8CDC-ED5A311B2F87}" name="Close" dataDxfId="37">
      <calculatedColumnFormula array="1">_FV(RTData[[#This Row],[Company Name]],"Previous close",TRUE)</calculatedColumnFormula>
    </tableColumn>
    <tableColumn id="41" xr3:uid="{5E6391A6-59FD-5740-8C73-F858AA473A29}" name="Open" dataDxfId="36">
      <calculatedColumnFormula array="1">_FV(RTData[[#This Row],[Company Name]],"Open")</calculatedColumnFormula>
    </tableColumn>
    <tableColumn id="42" xr3:uid="{4E05AFBD-23DD-3143-BF73-10371B600ACA}" name="M-Price" dataDxfId="35">
      <calculatedColumnFormula array="1">_FV(RTData[[#This Row],[Company Name]],"Price")</calculatedColumnFormula>
    </tableColumn>
    <tableColumn id="43" xr3:uid="{E688C267-1B9D-F141-8056-E51CA38246AF}" name="Low" dataDxfId="34">
      <calculatedColumnFormula array="1">_FV(RTData[[#This Row],[Company Name]],"Low")</calculatedColumnFormula>
    </tableColumn>
    <tableColumn id="44" xr3:uid="{F544ECB3-E642-0B49-BC8C-3FF19572390B}" name="High" dataDxfId="33" totalsRowDxfId="32">
      <calculatedColumnFormula array="1">_FV(RTData[[#This Row],[Company Name]],"High")</calculatedColumnFormula>
    </tableColumn>
    <tableColumn id="45" xr3:uid="{719B2CAC-13BF-6E48-8695-F62AD7F1022B}" name="P/E" dataDxfId="31">
      <calculatedColumnFormula array="1">IFERROR(_FV(RTData[[#This Row],[Company Name]],"P/E",TRUE),99)</calculatedColumnFormula>
    </tableColumn>
    <tableColumn id="46" xr3:uid="{779A9617-BAD5-A445-AFD5-37567FCA27C4}" name="Change" totalsRowFunction="average" dataDxfId="30" totalsRowDxfId="29">
      <calculatedColumnFormula array="1">_FV(RTData[[#This Row],[Company Name]],"Change")</calculatedColumnFormula>
    </tableColumn>
    <tableColumn id="47" xr3:uid="{B66A6A9C-3452-4E40-8656-B7251B427A3F}" name="Change%" totalsRowFunction="max" dataDxfId="28" totalsRowDxfId="27" dataCellStyle="Percent">
      <calculatedColumnFormula array="1">_FV(RTData[[#This Row],[Company Name]],"Change (%)",TRUE)</calculatedColumnFormula>
    </tableColumn>
    <tableColumn id="48" xr3:uid="{DB75E524-1711-3047-A0FA-27F4B501D06A}" name="52_week_low" dataDxfId="26">
      <calculatedColumnFormula array="1">_FV(RTData[[#This Row],[Company Name]],"52 week low",TRUE)</calculatedColumnFormula>
    </tableColumn>
    <tableColumn id="49" xr3:uid="{AF4DD0CC-0EAF-094F-996C-D692420E9592}" name="52_week_high" dataDxfId="25">
      <calculatedColumnFormula array="1">_FV(RTData[[#This Row],[Company Name]],"52 week high",TRUE)</calculatedColumnFormula>
    </tableColumn>
    <tableColumn id="50" xr3:uid="{B4995C94-74C8-AB40-AEF1-25C01418FF11}" name="Volume" totalsRowFunction="max" dataDxfId="24" totalsRowDxfId="23">
      <calculatedColumnFormula array="1">_FV(RTData[[#This Row],[Company Name]],"Volume")</calculatedColumnFormula>
    </tableColumn>
    <tableColumn id="51" xr3:uid="{D7282A85-9AD4-3A4B-B3FA-A2A6E0F8F1EF}" name="Volume average" totalsRowFunction="average" dataDxfId="22" totalsRowDxfId="21">
      <calculatedColumnFormula array="1">_FV(RTData[[#This Row],[Company Name]],"Volume average",TRUE)</calculatedColumnFormula>
    </tableColumn>
    <tableColumn id="52" xr3:uid="{761404C5-AEDD-5640-8AA0-28CD8FF36D32}" name="Beta" dataDxfId="20">
      <calculatedColumnFormula array="1">_FV(RTData[[#This Row],[Company Name]],"Beta")</calculatedColumnFormula>
    </tableColumn>
    <tableColumn id="4" xr3:uid="{14879090-615A-8841-860D-257979E240A8}" name="suffix"/>
    <tableColumn id="5" xr3:uid="{E7821B72-088B-DE43-BE54-5AFD48DA4447}" name="Custody2"/>
    <tableColumn id="6" xr3:uid="{EBBD04EA-B6AE-6C40-BE5F-086221A403AD}" name="Exchange abbreviation">
      <calculatedColumnFormula array="1">_FV(RTData[[#This Row],[Company Name]],"Exchange abbreviation",TRUE)</calculatedColumnFormula>
    </tableColumn>
    <tableColumn id="10" xr3:uid="{93A40EE7-10C3-5741-A94A-A706DE7AF808}" name="V/VA" dataDxfId="19" totalsRowDxfId="18" dataCellStyle="Percent">
      <calculatedColumnFormula>IFERROR(RTData[[#This Row],[Volume]]/RTData[[#This Row],[Volume average]],1)</calculatedColumnFormula>
    </tableColumn>
    <tableColumn id="11" xr3:uid="{551C9784-9D61-904F-BD9F-2415ABFADFB4}" name="Column1" dataDxfId="17" dataCellStyle="Percent"/>
    <tableColumn id="8" xr3:uid="{90408EC2-90F5-784C-8E52-9D73F1A46BE0}" name="1YT" dataDxfId="16" totalsRowDxfId="15" dataCellStyle="Comma">
      <calculatedColumnFormula>_xlfn.XLOOKUP(RTData[[#This Row],[Ticker_Symbol]],TickerList!$G2:$G96,TickerList!L2:L96)</calculatedColumnFormula>
    </tableColumn>
    <tableColumn id="9" xr3:uid="{82656052-4D5E-8C41-9A70-30228A467DE8}" name="Ddate" dataDxfId="14" totalsRowDxfId="13">
      <calculatedColumnFormula>_xlfn.XLOOKUP(RTData[[#This Row],[Ticker_Symbol]],TickerList!$G2:$G96,TickerList!M2:M96)</calculatedColumnFormula>
    </tableColumn>
    <tableColumn id="15" xr3:uid="{FA897C27-6E9E-4C44-A46F-4D6AD99895C6}" name="EarningDate" dataDxfId="12" totalsRowDxfId="11">
      <calculatedColumnFormula>_xlfn.XLOOKUP(RTData[[#This Row],[Ticker_Symbol]],TickerList!$G2:$G96,TickerList!N2:N96)</calculatedColumnFormula>
    </tableColumn>
    <tableColumn id="1" xr3:uid="{4849786B-34A5-AF4F-84A7-3D73882815FC}" name="RepDiv" dataDxfId="10">
      <calculatedColumnFormula>_xlfn.XLOOKUP(RTData[[#This Row],[Ticker_Symbol]],TickerList!$G2:$G96,TickerList!O2:O96)</calculatedColumnFormula>
    </tableColumn>
    <tableColumn id="13" xr3:uid="{90E79FCB-F3E0-AA4A-96E9-5A0084FC3877}" name="Broker" dataDxfId="9"/>
    <tableColumn id="12" xr3:uid="{C8725869-ED97-5247-8457-FA16BCBAD72F}" name="Stamp" dataDxfId="8">
      <calculatedColumnFormula array="1">_FV(RTData[[#This Row],[Company Name]],"Expense ratio",TRUE)</calculatedColumnFormula>
    </tableColumn>
    <tableColumn id="14" xr3:uid="{23E778F9-C953-6245-A7F5-663B0E49CA92}" name="Old1YT" dataDxfId="7"/>
    <tableColumn id="16" xr3:uid="{566E9185-0BE5-034F-88E1-D852F05FADC9}" name="YTChange" dataDxfId="6" totalsRowDxfId="5" dataCellStyle="Comma">
      <calculatedColumnFormula>_xlfn.LET(_xlpm.New1YT,RTData[[#This Row],[1YT]],        _xlpm.Old1YT,IF(ISNUMBER(RTData[[#This Row],[Old1YT]]),RTData[[#This Row],[Old1YT]],VALUE(LEFT(RTData[[#This Row],[Old1YT]],FIND("/",RTData[[#This Row],[Old1YT]],1)-1))),       IF(OR(RTData[[#This Row],[1YT]]=0,_xlpm.Old1YT=0),0,(_xlpm.New1YT-_xlpm.Old1YT)/_xlpm.Old1YT))</calculatedColumnFormula>
    </tableColumn>
    <tableColumn id="17" xr3:uid="{F7FF1844-6463-B54F-9981-0E668EE4E81B}" name="Column2" dataDxfId="4" dataCellStyle="Comma">
      <calculatedColumnFormula>TEXT(RTData[[#This Row],[1YT]],"#,#0.00")&amp;" &lt; "&amp;RTData[[#This Row],[Old1YT]]</calculatedColumnFormula>
    </tableColumn>
  </tableColumns>
  <tableStyleInfo name="TableStyleMedium2 2" showFirstColumn="0"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05F8B5-2207-9B4F-A466-559E80FF7EC6}" name="RTExR" displayName="RTExR" ref="A98:D106" totalsRowShown="0">
  <autoFilter ref="A98:D106" xr:uid="{3605F8B5-2207-9B4F-A466-559E80FF7EC6}"/>
  <tableColumns count="4">
    <tableColumn id="1" xr3:uid="{A71352C5-FD21-8240-941E-5FF443623FCB}" name="Couple"/>
    <tableColumn id="2" xr3:uid="{62EEFA6A-9E09-4D45-B65F-80226F75071B}" name="RT" dataDxfId="3">
      <calculatedColumnFormula array="1">_FV(A99,"Price")</calculatedColumnFormula>
    </tableColumn>
    <tableColumn id="3" xr3:uid="{7735EDB4-8F6C-2B4F-9D87-70384666EE29}" name="52 W High" dataDxfId="2">
      <calculatedColumnFormula array="1">_FV(A99,"52 week high",TRUE)</calculatedColumnFormula>
    </tableColumn>
    <tableColumn id="4" xr3:uid="{2ECF53F1-E986-1E43-881C-9B2531046487}" name="1/RT" dataDxfId="1">
      <calculatedColumnFormula>1/RTExR[[#This Row],[RT]]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A2" dT="2025-07-30T16:17:53.74" personId="{88C89EF0-7557-4E46-A245-51121A75A417}" id="{EFC0FF8B-9212-7140-90C2-017E2C13E675}">
    <text>Dividend&gt;4%</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B75E4-E773-D748-BD03-63FD9B352F1C}">
  <sheetPr codeName="Sheet1">
    <tabColor rgb="FFFFFF00"/>
  </sheetPr>
  <dimension ref="A1:AH210"/>
  <sheetViews>
    <sheetView tabSelected="1" workbookViewId="0">
      <pane xSplit="1" ySplit="2" topLeftCell="B56" activePane="bottomRight" state="frozen"/>
      <selection pane="topRight" activeCell="B1" sqref="B1"/>
      <selection pane="bottomLeft" activeCell="A3" sqref="A3"/>
      <selection pane="bottomRight" activeCell="C63" sqref="C63"/>
    </sheetView>
  </sheetViews>
  <sheetFormatPr baseColWidth="10" defaultColWidth="11.125" defaultRowHeight="22" x14ac:dyDescent="0.3"/>
  <cols>
    <col min="1" max="1" width="22.25" customWidth="1"/>
    <col min="2" max="2" width="11" style="16" customWidth="1"/>
    <col min="3" max="3" width="61" style="43" customWidth="1"/>
    <col min="4" max="4" width="11.625" customWidth="1"/>
    <col min="5" max="5" width="17.625" customWidth="1"/>
    <col min="6" max="6" width="13.875" customWidth="1"/>
    <col min="7" max="7" width="14" customWidth="1"/>
    <col min="8" max="8" width="12.125" customWidth="1"/>
    <col min="9" max="9" width="14.875" customWidth="1"/>
    <col min="10" max="10" width="14.875" style="44" customWidth="1"/>
    <col min="11" max="11" width="14.25" style="20" customWidth="1"/>
    <col min="12" max="12" width="15" style="21" customWidth="1"/>
    <col min="13" max="13" width="16.75" style="43" customWidth="1"/>
    <col min="14" max="14" width="12" customWidth="1"/>
    <col min="15" max="15" width="15.375" style="22" customWidth="1"/>
    <col min="16" max="16" width="15.5" style="22" customWidth="1"/>
    <col min="17" max="17" width="15.375" customWidth="1"/>
    <col min="18" max="18" width="12.75" style="48" customWidth="1"/>
    <col min="19" max="19" width="11.125" customWidth="1"/>
    <col min="20" max="20" width="10.125" customWidth="1"/>
    <col min="21" max="21" width="11.125" customWidth="1"/>
    <col min="22" max="22" width="11.125" style="70" customWidth="1"/>
    <col min="23" max="23" width="11.125" style="68" customWidth="1"/>
    <col min="24" max="24" width="11.625" style="49" customWidth="1"/>
    <col min="25" max="25" width="12" bestFit="1" customWidth="1"/>
    <col min="27" max="27" width="11.25" bestFit="1" customWidth="1"/>
    <col min="29" max="29" width="11.25" bestFit="1" customWidth="1"/>
    <col min="30" max="30" width="16.875" customWidth="1"/>
    <col min="31" max="31" width="11.25" bestFit="1" customWidth="1"/>
    <col min="32" max="32" width="27.5" bestFit="1" customWidth="1"/>
  </cols>
  <sheetData>
    <row r="1" spans="1:32" s="1" customFormat="1" ht="27" thickBot="1" x14ac:dyDescent="0.35">
      <c r="A1" s="87">
        <f ca="1">MAX(E3:E96)</f>
        <v>45967.000561573441</v>
      </c>
      <c r="B1" s="2" t="s">
        <v>0</v>
      </c>
      <c r="C1" s="2"/>
      <c r="D1" s="3"/>
      <c r="E1" s="4" t="s">
        <v>0</v>
      </c>
      <c r="F1" s="5">
        <f ca="1">NOW()</f>
        <v>45967.0575537037</v>
      </c>
      <c r="G1" s="6"/>
      <c r="H1" s="7"/>
      <c r="I1" s="8"/>
      <c r="J1" s="9"/>
      <c r="K1" s="10"/>
      <c r="L1" s="11"/>
      <c r="M1" s="8"/>
      <c r="N1" s="8"/>
      <c r="O1" s="12"/>
      <c r="P1" s="12">
        <v>58505147</v>
      </c>
      <c r="Q1" s="8"/>
      <c r="R1" s="13"/>
      <c r="V1" s="69"/>
      <c r="W1" s="65"/>
      <c r="X1" s="14" t="s">
        <v>57</v>
      </c>
    </row>
    <row r="2" spans="1:32" s="83" customFormat="1" ht="27" thickBot="1" x14ac:dyDescent="0.35">
      <c r="A2" s="72" t="s">
        <v>134</v>
      </c>
      <c r="B2" s="73" t="s">
        <v>35</v>
      </c>
      <c r="C2" s="74" t="s">
        <v>1</v>
      </c>
      <c r="D2" s="75" t="s">
        <v>2</v>
      </c>
      <c r="E2" s="75" t="s">
        <v>3</v>
      </c>
      <c r="F2" s="76" t="s">
        <v>4</v>
      </c>
      <c r="G2" s="75" t="s">
        <v>5</v>
      </c>
      <c r="H2" s="75" t="s">
        <v>6</v>
      </c>
      <c r="I2" s="75" t="s">
        <v>7</v>
      </c>
      <c r="J2" s="75" t="s">
        <v>8</v>
      </c>
      <c r="K2" s="77" t="s">
        <v>9</v>
      </c>
      <c r="L2" s="78" t="s">
        <v>10</v>
      </c>
      <c r="M2" s="79" t="s">
        <v>11</v>
      </c>
      <c r="N2" s="80" t="s">
        <v>12</v>
      </c>
      <c r="O2" s="80" t="s">
        <v>13</v>
      </c>
      <c r="P2" s="81" t="s">
        <v>14</v>
      </c>
      <c r="Q2" s="81" t="s">
        <v>15</v>
      </c>
      <c r="R2" s="82" t="s">
        <v>16</v>
      </c>
      <c r="S2" s="75" t="s">
        <v>17</v>
      </c>
      <c r="T2" s="75" t="s">
        <v>30</v>
      </c>
      <c r="U2" s="80" t="s">
        <v>18</v>
      </c>
      <c r="V2" s="88" t="s">
        <v>37</v>
      </c>
      <c r="W2" s="88" t="s">
        <v>36</v>
      </c>
      <c r="X2" s="84" t="s">
        <v>32</v>
      </c>
      <c r="Y2" s="84" t="s">
        <v>33</v>
      </c>
      <c r="Z2" s="84" t="s">
        <v>45</v>
      </c>
      <c r="AA2" s="85" t="s">
        <v>34</v>
      </c>
      <c r="AB2" s="85" t="s">
        <v>40</v>
      </c>
      <c r="AC2" s="92" t="s">
        <v>39</v>
      </c>
      <c r="AD2" s="75" t="s">
        <v>52</v>
      </c>
      <c r="AE2" s="96" t="s">
        <v>51</v>
      </c>
      <c r="AF2" s="96" t="s">
        <v>61</v>
      </c>
    </row>
    <row r="3" spans="1:32" x14ac:dyDescent="0.3">
      <c r="A3" s="15" t="str" cm="1">
        <f t="array" aca="1" ref="A3" ca="1">_xlfn.SINGLE(RTData[suffix])&amp;_FV(RTData[[#This Row],[Company Name]],"Ticker symbol",TRUE)</f>
        <v>AAPL</v>
      </c>
      <c r="B3" s="15">
        <f ca="1">D99</f>
        <v>0.8700191404210893</v>
      </c>
      <c r="C3" s="16" t="e" vm="1">
        <v>#VALUE!</v>
      </c>
      <c r="D3" s="113" t="str" cm="1">
        <f t="array" aca="1" ref="D3" ca="1">_FV(RTData[[#This Row],[Company Name]],"Currency")</f>
        <v>USD</v>
      </c>
      <c r="E3" s="17" cm="1">
        <f t="array" aca="1" ref="E3" ca="1">_FV(RTData[[#This Row],[Company Name]],"Last trade time",TRUE)</f>
        <v>45967.000417742966</v>
      </c>
      <c r="F3" s="18" cm="1">
        <f t="array" aca="1" ref="F3" ca="1">_FV(RTData[[#This Row],[Company Name]],"Previous close",TRUE)</f>
        <v>270.04000000000002</v>
      </c>
      <c r="G3" s="18" cm="1">
        <f t="array" aca="1" ref="G3" ca="1">_FV(RTData[[#This Row],[Company Name]],"Open")</f>
        <v>268.61</v>
      </c>
      <c r="H3" s="18" cm="1">
        <f t="array" aca="1" ref="H3" ca="1">_FV(RTData[[#This Row],[Company Name]],"Price")</f>
        <v>270.14</v>
      </c>
      <c r="I3" s="18" cm="1">
        <f t="array" aca="1" ref="I3" ca="1">_FV(RTData[[#This Row],[Company Name]],"Low")</f>
        <v>266.93</v>
      </c>
      <c r="J3" s="18" cm="1">
        <f t="array" aca="1" ref="J3" ca="1">_FV(RTData[[#This Row],[Company Name]],"High")</f>
        <v>271.7</v>
      </c>
      <c r="K3" s="19" cm="1">
        <f t="array" aca="1" ref="K3" ca="1">IFERROR(_FV(RTData[[#This Row],[Company Name]],"P/E",TRUE),99)</f>
        <v>36.3613</v>
      </c>
      <c r="L3" s="20" cm="1">
        <f t="array" aca="1" ref="L3" ca="1">_FV(RTData[[#This Row],[Company Name]],"Change")</f>
        <v>0.1</v>
      </c>
      <c r="M3" s="21" cm="1">
        <f t="array" aca="1" ref="M3" ca="1">_FV(RTData[[#This Row],[Company Name]],"Change (%)",TRUE)</f>
        <v>3.703E-4</v>
      </c>
      <c r="N3" s="18" cm="1">
        <f t="array" aca="1" ref="N3" ca="1">_FV(RTData[[#This Row],[Company Name]],"52 week low",TRUE)</f>
        <v>169.21010000000001</v>
      </c>
      <c r="O3" s="18" cm="1">
        <f t="array" aca="1" ref="O3" ca="1">_FV(RTData[[#This Row],[Company Name]],"52 week high",TRUE)</f>
        <v>277.32</v>
      </c>
      <c r="P3" s="22" cm="1">
        <f t="array" aca="1" ref="P3" ca="1">_FV(RTData[[#This Row],[Company Name]],"Volume")</f>
        <v>43644546</v>
      </c>
      <c r="Q3" s="22" cm="1">
        <f t="array" aca="1" ref="Q3" ca="1">_FV(RTData[[#This Row],[Company Name]],"Volume average",TRUE)</f>
        <v>47864472</v>
      </c>
      <c r="R3" s="18" cm="1">
        <f t="array" aca="1" ref="R3" ca="1">_FV(RTData[[#This Row],[Company Name]],"Beta")</f>
        <v>1.1076999999999999</v>
      </c>
      <c r="T3" t="s">
        <v>19</v>
      </c>
      <c r="U3" t="str" cm="1">
        <f t="array" aca="1" ref="U3" ca="1">_FV(RTData[[#This Row],[Company Name]],"Exchange abbreviation",TRUE)</f>
        <v>XNAS</v>
      </c>
      <c r="V3" s="106">
        <f ca="1">IFERROR(RTData[[#This Row],[Volume]]/RTData[[#This Row],[Volume average]],1)</f>
        <v>0.91183594378728339</v>
      </c>
      <c r="W3" s="23"/>
      <c r="X3" s="104">
        <f ca="1">_xlfn.XLOOKUP(RTData[[#This Row],[Ticker_Symbol]],TickerList!$G2:$G96,TickerList!L2:L96)</f>
        <v>276.43097</v>
      </c>
      <c r="Y3" s="97">
        <f ca="1">_xlfn.XLOOKUP(RTData[[#This Row],[Ticker_Symbol]],TickerList!$G2:$G96,TickerList!M2:M96)</f>
        <v>45971</v>
      </c>
      <c r="Z3" s="97" t="str">
        <f ca="1">_xlfn.XLOOKUP(RTData[[#This Row],[Ticker_Symbol]],TickerList!$G2:$G96,TickerList!N2:N96)</f>
        <v>Jan 29, 2026</v>
      </c>
      <c r="AA3" s="98">
        <f ca="1">_xlfn.XLOOKUP(RTData[[#This Row],[Ticker_Symbol]],TickerList!$G2:$G96,TickerList!O2:O96)</f>
        <v>3.8E-3</v>
      </c>
      <c r="AB3" s="99">
        <v>1E-4</v>
      </c>
      <c r="AC3" s="100">
        <v>3.0000000000000001E-3</v>
      </c>
      <c r="AD3" s="86">
        <v>245.31</v>
      </c>
      <c r="AE3" s="101">
        <f ca="1">_xlfn.LET(_xlpm.New1YT,RTData[[#This Row],[1YT]],        _xlpm.Old1YT,IF(ISNUMBER(RTData[[#This Row],[Old1YT]]),RTData[[#This Row],[Old1YT]],VALUE(LEFT(RTData[[#This Row],[Old1YT]],FIND("/",RTData[[#This Row],[Old1YT]],1)-1))),       IF(OR(RTData[[#This Row],[1YT]]=0,_xlpm.Old1YT=0),0,(_xlpm.New1YT-_xlpm.Old1YT)/_xlpm.Old1YT))</f>
        <v>0.12686384574619869</v>
      </c>
      <c r="AF3" s="101" t="str">
        <f ca="1">TEXT(RTData[[#This Row],[1YT]],"#,#0.00")&amp;" &lt; "&amp;RTData[[#This Row],[Old1YT]]</f>
        <v>276.43 &lt; 245.31</v>
      </c>
    </row>
    <row r="4" spans="1:32" x14ac:dyDescent="0.3">
      <c r="A4" s="15" t="str" cm="1">
        <f t="array" aca="1" ref="A4" ca="1">_xlfn.SINGLE(RTData[suffix])&amp;_FV(RTData[[#This Row],[Company Name]],"Ticker symbol",TRUE)</f>
        <v>ADEA</v>
      </c>
      <c r="B4" s="15">
        <f ca="1">D99</f>
        <v>0.8700191404210893</v>
      </c>
      <c r="C4" s="24" t="e" vm="2">
        <v>#VALUE!</v>
      </c>
      <c r="D4" s="113" t="str" cm="1">
        <f t="array" aca="1" ref="D4" ca="1">_FV(RTData[[#This Row],[Company Name]],"Currency")</f>
        <v>USD</v>
      </c>
      <c r="E4" s="17" cm="1">
        <f t="array" aca="1" ref="E4" ca="1">_FV(RTData[[#This Row],[Company Name]],"Last trade time",TRUE)</f>
        <v>45966.949759050782</v>
      </c>
      <c r="F4" s="18" cm="1">
        <f t="array" aca="1" ref="F4" ca="1">_FV(RTData[[#This Row],[Company Name]],"Previous close",TRUE)</f>
        <v>12.75</v>
      </c>
      <c r="G4" s="18" cm="1">
        <f t="array" aca="1" ref="G4" ca="1">_FV(RTData[[#This Row],[Company Name]],"Open")</f>
        <v>12.84</v>
      </c>
      <c r="H4" s="18" cm="1">
        <f t="array" aca="1" ref="H4" ca="1">_FV(RTData[[#This Row],[Company Name]],"Price")</f>
        <v>13.78</v>
      </c>
      <c r="I4" s="18" cm="1">
        <f t="array" aca="1" ref="I4" ca="1">_FV(RTData[[#This Row],[Company Name]],"Low")</f>
        <v>12.7</v>
      </c>
      <c r="J4" s="18" cm="1">
        <f t="array" aca="1" ref="J4" ca="1">_FV(RTData[[#This Row],[Company Name]],"High")</f>
        <v>13.84</v>
      </c>
      <c r="K4" s="19" cm="1">
        <f t="array" aca="1" ref="K4" ca="1">IFERROR(_FV(RTData[[#This Row],[Company Name]],"P/E",TRUE),99)</f>
        <v>21.232700000000001</v>
      </c>
      <c r="L4" s="20" cm="1">
        <f t="array" aca="1" ref="L4" ca="1">_FV(RTData[[#This Row],[Company Name]],"Change")</f>
        <v>1.03</v>
      </c>
      <c r="M4" s="21" cm="1">
        <f t="array" aca="1" ref="M4" ca="1">_FV(RTData[[#This Row],[Company Name]],"Change (%)",TRUE)</f>
        <v>8.0784000000000009E-2</v>
      </c>
      <c r="N4" s="18" cm="1">
        <f t="array" aca="1" ref="N4" ca="1">_FV(RTData[[#This Row],[Company Name]],"52 week low",TRUE)</f>
        <v>10.59</v>
      </c>
      <c r="O4" s="18" cm="1">
        <f t="array" aca="1" ref="O4" ca="1">_FV(RTData[[#This Row],[Company Name]],"52 week high",TRUE)</f>
        <v>18.25</v>
      </c>
      <c r="P4" s="22" cm="1">
        <f t="array" aca="1" ref="P4" ca="1">_FV(RTData[[#This Row],[Company Name]],"Volume")</f>
        <v>1761241</v>
      </c>
      <c r="Q4" s="22" cm="1">
        <f t="array" aca="1" ref="Q4" ca="1">_FV(RTData[[#This Row],[Company Name]],"Volume average",TRUE)</f>
        <v>681700</v>
      </c>
      <c r="R4" s="18" cm="1">
        <f t="array" aca="1" ref="R4" ca="1">_FV(RTData[[#This Row],[Company Name]],"Beta")</f>
        <v>2.4068999999999998</v>
      </c>
      <c r="T4" t="s">
        <v>19</v>
      </c>
      <c r="U4" t="str" cm="1">
        <f t="array" aca="1" ref="U4" ca="1">_FV(RTData[[#This Row],[Company Name]],"Exchange abbreviation",TRUE)</f>
        <v>XNAS</v>
      </c>
      <c r="V4" s="23">
        <f ca="1">IFERROR(RTData[[#This Row],[Volume]]/RTData[[#This Row],[Volume average]],1)</f>
        <v>2.5836012908904209</v>
      </c>
      <c r="W4" s="23"/>
      <c r="X4" s="104">
        <f ca="1">_xlfn.XLOOKUP(RTData[[#This Row],[Ticker_Symbol]],TickerList!$G3:$G97,TickerList!L3:L97)</f>
        <v>20.66667</v>
      </c>
      <c r="Y4" s="97">
        <f ca="1">_xlfn.XLOOKUP(RTData[[#This Row],[Ticker_Symbol]],TickerList!$G3:$G97,TickerList!M3:M97)</f>
        <v>45895</v>
      </c>
      <c r="Z4" s="97">
        <f ca="1">_xlfn.XLOOKUP(RTData[[#This Row],[Ticker_Symbol]],TickerList!$G3:$G97,TickerList!N3:N97)</f>
        <v>0</v>
      </c>
      <c r="AA4" s="98">
        <f ca="1">_xlfn.XLOOKUP(RTData[[#This Row],[Ticker_Symbol]],TickerList!$G3:$G97,TickerList!O3:O97)</f>
        <v>1.17E-2</v>
      </c>
      <c r="AB4" s="99">
        <v>1E-4</v>
      </c>
      <c r="AC4" s="100">
        <v>3.0000000000000001E-3</v>
      </c>
      <c r="AD4" s="86">
        <v>15.33</v>
      </c>
      <c r="AE4" s="101">
        <f ca="1">_xlfn.LET(_xlpm.New1YT,RTData[[#This Row],[1YT]],        _xlpm.Old1YT,IF(ISNUMBER(RTData[[#This Row],[Old1YT]]),RTData[[#This Row],[Old1YT]],VALUE(LEFT(RTData[[#This Row],[Old1YT]],FIND("/",RTData[[#This Row],[Old1YT]],1)-1))),       IF(OR(RTData[[#This Row],[1YT]]=0,_xlpm.Old1YT=0),0,(_xlpm.New1YT-_xlpm.Old1YT)/_xlpm.Old1YT))</f>
        <v>0.34811937377690799</v>
      </c>
      <c r="AF4" s="101" t="str">
        <f ca="1">TEXT(RTData[[#This Row],[1YT]],"#,#0.00")&amp;" &lt; "&amp;RTData[[#This Row],[Old1YT]]</f>
        <v>20.67 &lt; 15.33</v>
      </c>
    </row>
    <row r="5" spans="1:32" ht="23" customHeight="1" x14ac:dyDescent="0.3">
      <c r="A5" s="15" t="str" cm="1">
        <f t="array" aca="1" ref="A5" ca="1">_xlfn.SINGLE(RTData[suffix])&amp;_FV(RTData[[#This Row],[Company Name]],"Ticker symbol",TRUE)</f>
        <v>AET</v>
      </c>
      <c r="B5" s="15">
        <f ca="1">D101/100</f>
        <v>1.1358473421172195E-2</v>
      </c>
      <c r="C5" s="24" t="e" vm="3">
        <v>#VALUE!</v>
      </c>
      <c r="D5" s="113" t="str" cm="1">
        <f t="array" aca="1" ref="D5" ca="1">_FV(RTData[[#This Row],[Company Name]],"Currency")</f>
        <v>GBp</v>
      </c>
      <c r="E5" s="17" cm="1">
        <f t="array" aca="1" ref="E5" ca="1">_FV(RTData[[#This Row],[Company Name]],"Last trade time",TRUE)</f>
        <v>45966.691073657028</v>
      </c>
      <c r="F5" s="18" cm="1">
        <f t="array" aca="1" ref="F5" ca="1">_FV(RTData[[#This Row],[Company Name]],"Previous close",TRUE)</f>
        <v>45</v>
      </c>
      <c r="G5" s="18" cm="1">
        <f t="array" aca="1" ref="G5" ca="1">_FV(RTData[[#This Row],[Company Name]],"Open")</f>
        <v>44.3</v>
      </c>
      <c r="H5" s="18" cm="1">
        <f t="array" aca="1" ref="H5" ca="1">_FV(RTData[[#This Row],[Company Name]],"Price")</f>
        <v>46</v>
      </c>
      <c r="I5" s="18" cm="1">
        <f t="array" aca="1" ref="I5" ca="1">_FV(RTData[[#This Row],[Company Name]],"Low")</f>
        <v>44.3</v>
      </c>
      <c r="J5" s="18" cm="1">
        <f t="array" aca="1" ref="J5" ca="1">_FV(RTData[[#This Row],[Company Name]],"High")</f>
        <v>46</v>
      </c>
      <c r="K5" s="19" cm="1">
        <f t="array" aca="1" ref="K5" ca="1">IFERROR(_FV(RTData[[#This Row],[Company Name]],"P/E",TRUE),99)</f>
        <v>3.9931000000000001</v>
      </c>
      <c r="L5" s="20" cm="1">
        <f t="array" aca="1" ref="L5" ca="1">_FV(RTData[[#This Row],[Company Name]],"Change")</f>
        <v>1</v>
      </c>
      <c r="M5" s="21" cm="1">
        <f t="array" aca="1" ref="M5" ca="1">_FV(RTData[[#This Row],[Company Name]],"Change (%)",TRUE)</f>
        <v>2.2221999999999999E-2</v>
      </c>
      <c r="N5" s="25" cm="1">
        <f t="array" aca="1" ref="N5" ca="1">_FV(RTData[[#This Row],[Company Name]],"52 week low",TRUE)</f>
        <v>33.064999999999998</v>
      </c>
      <c r="O5" s="25" cm="1">
        <f t="array" aca="1" ref="O5" ca="1">_FV(RTData[[#This Row],[Company Name]],"52 week high",TRUE)</f>
        <v>56.2</v>
      </c>
      <c r="P5" s="22" cm="1">
        <f t="array" aca="1" ref="P5" ca="1">_FV(RTData[[#This Row],[Company Name]],"Volume")</f>
        <v>93063</v>
      </c>
      <c r="Q5" s="22" cm="1">
        <f t="array" aca="1" ref="Q5" ca="1">_FV(RTData[[#This Row],[Company Name]],"Volume average",TRUE)</f>
        <v>418370</v>
      </c>
      <c r="R5" s="18" cm="1">
        <f t="array" aca="1" ref="R5" ca="1">_FV(RTData[[#This Row],[Company Name]],"Beta")</f>
        <v>1.6406000000000001</v>
      </c>
      <c r="T5" t="s">
        <v>19</v>
      </c>
      <c r="U5" t="str" cm="1">
        <f t="array" aca="1" ref="U5" ca="1">_FV(RTData[[#This Row],[Company Name]],"Exchange abbreviation",TRUE)</f>
        <v>XLON</v>
      </c>
      <c r="V5" s="23">
        <f ca="1">IFERROR(RTData[[#This Row],[Volume]]/RTData[[#This Row],[Volume average]],1)</f>
        <v>0.22244185768578054</v>
      </c>
      <c r="W5" s="23"/>
      <c r="X5" s="104">
        <f ca="1">_xlfn.XLOOKUP(RTData[[#This Row],[Ticker_Symbol]],TickerList!$G4:$G98,TickerList!L4:L98)</f>
        <v>96.66</v>
      </c>
      <c r="Y5" s="97">
        <f ca="1">_xlfn.XLOOKUP(RTData[[#This Row],[Ticker_Symbol]],TickerList!$G4:$G98,TickerList!M4:M98)</f>
        <v>0</v>
      </c>
      <c r="Z5" s="97">
        <f ca="1">_xlfn.XLOOKUP(RTData[[#This Row],[Ticker_Symbol]],TickerList!$G4:$G98,TickerList!N4:N98)</f>
        <v>0</v>
      </c>
      <c r="AA5" s="98">
        <f ca="1">_xlfn.XLOOKUP(RTData[[#This Row],[Ticker_Symbol]],TickerList!$G4:$G98,TickerList!O4:O98)</f>
        <v>0</v>
      </c>
      <c r="AB5" s="99"/>
      <c r="AC5" s="100">
        <v>3.0000000000000001E-3</v>
      </c>
      <c r="AD5" s="86" t="s">
        <v>55</v>
      </c>
      <c r="AE5" s="101">
        <f ca="1">_xlfn.LET(_xlpm.New1YT,RTData[[#This Row],[1YT]],        _xlpm.Old1YT,IF(ISNUMBER(RTData[[#This Row],[Old1YT]]),RTData[[#This Row],[Old1YT]],VALUE(LEFT(RTData[[#This Row],[Old1YT]],FIND("/",RTData[[#This Row],[Old1YT]],1)-1))),       IF(OR(RTData[[#This Row],[1YT]]=0,_xlpm.Old1YT=0),0,(_xlpm.New1YT-_xlpm.Old1YT)/_xlpm.Old1YT))</f>
        <v>5.1109177903436311E-2</v>
      </c>
      <c r="AF5" s="101" t="str">
        <f ca="1">TEXT(RTData[[#This Row],[1YT]],"#,#0.00")&amp;" &lt; "&amp;RTData[[#This Row],[Old1YT]]</f>
        <v>96.66 &lt; 91.96/86.78</v>
      </c>
    </row>
    <row r="6" spans="1:32" x14ac:dyDescent="0.3">
      <c r="A6" s="15" t="str" cm="1">
        <f t="array" aca="1" ref="A6" ca="1">_xlfn.SINGLE(RTData[suffix])&amp;_FV(RTData[[#This Row],[Company Name]],"Ticker symbol",TRUE)</f>
        <v>AMZN</v>
      </c>
      <c r="B6" s="15">
        <f ca="1">D99</f>
        <v>0.8700191404210893</v>
      </c>
      <c r="C6" t="e" vm="4">
        <v>#VALUE!</v>
      </c>
      <c r="D6" s="113" t="str" cm="1">
        <f t="array" aca="1" ref="D6" ca="1">_FV(RTData[[#This Row],[Company Name]],"Currency")</f>
        <v>USD</v>
      </c>
      <c r="E6" s="17" cm="1">
        <f t="array" aca="1" ref="E6" ca="1">_FV(RTData[[#This Row],[Company Name]],"Last trade time",TRUE)</f>
        <v>45967.000515555468</v>
      </c>
      <c r="F6" s="18" cm="1">
        <f t="array" aca="1" ref="F6" ca="1">_FV(RTData[[#This Row],[Company Name]],"Previous close",TRUE)</f>
        <v>249.32</v>
      </c>
      <c r="G6" s="18" cm="1">
        <f t="array" aca="1" ref="G6" ca="1">_FV(RTData[[#This Row],[Company Name]],"Open")</f>
        <v>249.03</v>
      </c>
      <c r="H6" s="18" cm="1">
        <f t="array" aca="1" ref="H6" ca="1">_FV(RTData[[#This Row],[Company Name]],"Price")</f>
        <v>250.2</v>
      </c>
      <c r="I6" s="18" cm="1">
        <f t="array" aca="1" ref="I6" ca="1">_FV(RTData[[#This Row],[Company Name]],"Low")</f>
        <v>246.16</v>
      </c>
      <c r="J6" s="18" cm="1">
        <f t="array" aca="1" ref="J6" ca="1">_FV(RTData[[#This Row],[Company Name]],"High")</f>
        <v>251</v>
      </c>
      <c r="K6" s="19" cm="1">
        <f t="array" aca="1" ref="K6" ca="1">IFERROR(_FV(RTData[[#This Row],[Company Name]],"P/E",TRUE),99)</f>
        <v>35.344000000000001</v>
      </c>
      <c r="L6" s="20" cm="1">
        <f t="array" aca="1" ref="L6" ca="1">_FV(RTData[[#This Row],[Company Name]],"Change")</f>
        <v>0.88</v>
      </c>
      <c r="M6" s="21" cm="1">
        <f t="array" aca="1" ref="M6" ca="1">_FV(RTData[[#This Row],[Company Name]],"Change (%)",TRUE)</f>
        <v>3.5299999999999997E-3</v>
      </c>
      <c r="N6" s="18" cm="1">
        <f t="array" aca="1" ref="N6" ca="1">_FV(RTData[[#This Row],[Company Name]],"52 week low",TRUE)</f>
        <v>161.38</v>
      </c>
      <c r="O6" s="18" cm="1">
        <f t="array" aca="1" ref="O6" ca="1">_FV(RTData[[#This Row],[Company Name]],"52 week high",TRUE)</f>
        <v>258.60000000000002</v>
      </c>
      <c r="P6" s="22" cm="1">
        <f t="array" aca="1" ref="P6" ca="1">_FV(RTData[[#This Row],[Company Name]],"Volume")</f>
        <v>40552606</v>
      </c>
      <c r="Q6" s="22" cm="1">
        <f t="array" aca="1" ref="Q6" ca="1">_FV(RTData[[#This Row],[Company Name]],"Volume average",TRUE)</f>
        <v>53776835</v>
      </c>
      <c r="R6" s="18" cm="1">
        <f t="array" aca="1" ref="R6" ca="1">_FV(RTData[[#This Row],[Company Name]],"Beta")</f>
        <v>1.3596999999999999</v>
      </c>
      <c r="T6" t="s">
        <v>19</v>
      </c>
      <c r="U6" t="str" cm="1">
        <f t="array" aca="1" ref="U6" ca="1">_FV(RTData[[#This Row],[Company Name]],"Exchange abbreviation",TRUE)</f>
        <v>XNAS</v>
      </c>
      <c r="V6" s="23">
        <f ca="1">IFERROR(RTData[[#This Row],[Volume]]/RTData[[#This Row],[Volume average]],1)</f>
        <v>0.75409060425367169</v>
      </c>
      <c r="W6" s="23"/>
      <c r="X6" s="104">
        <f ca="1">_xlfn.XLOOKUP(RTData[[#This Row],[Ticker_Symbol]],TickerList!$G5:$G99,TickerList!L5:L99)</f>
        <v>288.42410000000001</v>
      </c>
      <c r="Y6" s="97">
        <f ca="1">_xlfn.XLOOKUP(RTData[[#This Row],[Ticker_Symbol]],TickerList!$G5:$G99,TickerList!M5:M99)</f>
        <v>0</v>
      </c>
      <c r="Z6" s="97" t="str">
        <f ca="1">_xlfn.XLOOKUP(RTData[[#This Row],[Ticker_Symbol]],TickerList!$G5:$G99,TickerList!N5:N99)</f>
        <v>Oct 30, 2025</v>
      </c>
      <c r="AA6" s="98">
        <f ca="1">_xlfn.XLOOKUP(RTData[[#This Row],[Ticker_Symbol]],TickerList!$G5:$G99,TickerList!O5:O99)</f>
        <v>0</v>
      </c>
      <c r="AB6" s="99">
        <v>1E-4</v>
      </c>
      <c r="AC6" s="100">
        <v>3.0000000000000001E-3</v>
      </c>
      <c r="AD6" s="86" t="s">
        <v>47</v>
      </c>
      <c r="AE6" s="101">
        <f ca="1">_xlfn.LET(_xlpm.New1YT,RTData[[#This Row],[1YT]],        _xlpm.Old1YT,IF(ISNUMBER(RTData[[#This Row],[Old1YT]]),RTData[[#This Row],[Old1YT]],VALUE(LEFT(RTData[[#This Row],[Old1YT]],FIND("/",RTData[[#This Row],[Old1YT]],1)-1))),       IF(OR(RTData[[#This Row],[1YT]]=0,_xlpm.Old1YT=0),0,(_xlpm.New1YT-_xlpm.Old1YT)/_xlpm.Old1YT))</f>
        <v>0.20699740542350184</v>
      </c>
      <c r="AF6" s="101" t="str">
        <f ca="1">TEXT(RTData[[#This Row],[1YT]],"#,#0.00")&amp;" &lt; "&amp;RTData[[#This Row],[Old1YT]]</f>
        <v>288.42 &lt; 238.96/218.19</v>
      </c>
    </row>
    <row r="7" spans="1:32" x14ac:dyDescent="0.3">
      <c r="A7" s="26" t="str" cm="1">
        <f t="array" aca="1" ref="A7" ca="1">_xlfn.SINGLE(RTData[suffix])&amp;_FV(RTData[[#This Row],[Company Name]],"Ticker symbol",TRUE)</f>
        <v>ALDNE</v>
      </c>
      <c r="B7" s="26">
        <v>1</v>
      </c>
      <c r="C7" t="e" vm="5">
        <v>#VALUE!</v>
      </c>
      <c r="D7" s="113" t="str" cm="1">
        <f t="array" aca="1" ref="D7" ca="1">_FV(RTData[[#This Row],[Company Name]],"Currency")</f>
        <v>EUR</v>
      </c>
      <c r="E7" s="17" cm="1">
        <f t="array" aca="1" ref="E7" ca="1">_FV(RTData[[#This Row],[Company Name]],"Last trade time",TRUE)</f>
        <v>45966.708333333336</v>
      </c>
      <c r="F7" s="27" cm="1">
        <f t="array" aca="1" ref="F7" ca="1">_FV(RTData[[#This Row],[Company Name]],"Previous close",TRUE)</f>
        <v>0.78800000000000003</v>
      </c>
      <c r="G7" s="18" cm="1">
        <f t="array" aca="1" ref="G7" ca="1">_FV(RTData[[#This Row],[Company Name]],"Open")</f>
        <v>0.78800000000000003</v>
      </c>
      <c r="H7" s="27" cm="1">
        <f t="array" aca="1" ref="H7" ca="1">_FV(RTData[[#This Row],[Company Name]],"Price")</f>
        <v>0.79</v>
      </c>
      <c r="I7" s="27" cm="1">
        <f t="array" aca="1" ref="I7" ca="1">_FV(RTData[[#This Row],[Company Name]],"Low")</f>
        <v>0.77</v>
      </c>
      <c r="J7" s="27" cm="1">
        <f t="array" aca="1" ref="J7" ca="1">_FV(RTData[[#This Row],[Company Name]],"High")</f>
        <v>0.79800000000000004</v>
      </c>
      <c r="K7" s="19" cm="1">
        <f t="array" aca="1" ref="K7" ca="1">IFERROR(_FV(RTData[[#This Row],[Company Name]],"P/E",TRUE),99)</f>
        <v>0</v>
      </c>
      <c r="L7" s="20" cm="1">
        <f t="array" aca="1" ref="L7" ca="1">_FV(RTData[[#This Row],[Company Name]],"Change")</f>
        <v>2E-3</v>
      </c>
      <c r="M7" s="21" cm="1">
        <f t="array" aca="1" ref="M7" ca="1">_FV(RTData[[#This Row],[Company Name]],"Change (%)",TRUE)</f>
        <v>2.5380000000000003E-3</v>
      </c>
      <c r="N7" s="27" cm="1">
        <f t="array" aca="1" ref="N7" ca="1">_FV(RTData[[#This Row],[Company Name]],"52 week low",TRUE)</f>
        <v>0.65</v>
      </c>
      <c r="O7" s="27" cm="1">
        <f t="array" aca="1" ref="O7" ca="1">_FV(RTData[[#This Row],[Company Name]],"52 week high",TRUE)</f>
        <v>1.53</v>
      </c>
      <c r="P7" s="22" cm="1">
        <f t="array" aca="1" ref="P7" ca="1">_FV(RTData[[#This Row],[Company Name]],"Volume")</f>
        <v>2729</v>
      </c>
      <c r="Q7" s="22" cm="1">
        <f t="array" aca="1" ref="Q7" ca="1">_FV(RTData[[#This Row],[Company Name]],"Volume average",TRUE)</f>
        <v>6780</v>
      </c>
      <c r="R7" s="18" cm="1">
        <f t="array" aca="1" ref="R7" ca="1">_FV(RTData[[#This Row],[Company Name]],"Beta")</f>
        <v>0.95879999999999999</v>
      </c>
      <c r="T7" t="s">
        <v>19</v>
      </c>
      <c r="U7" t="str" cm="1">
        <f t="array" aca="1" ref="U7" ca="1">_FV(RTData[[#This Row],[Company Name]],"Exchange abbreviation",TRUE)</f>
        <v>XPAR</v>
      </c>
      <c r="V7" s="23">
        <f ca="1">IFERROR(RTData[[#This Row],[Volume]]/RTData[[#This Row],[Volume average]],1)</f>
        <v>0.40250737463126846</v>
      </c>
      <c r="W7" s="23"/>
      <c r="X7" s="104">
        <f ca="1">_xlfn.XLOOKUP(RTData[[#This Row],[Ticker_Symbol]],TickerList!$G6:$G100,TickerList!L6:L100)</f>
        <v>1.5333300000000001</v>
      </c>
      <c r="Y7" s="97">
        <f ca="1">_xlfn.XLOOKUP(RTData[[#This Row],[Ticker_Symbol]],TickerList!$G6:$G100,TickerList!M6:M100)</f>
        <v>0</v>
      </c>
      <c r="Z7" s="97">
        <f ca="1">_xlfn.XLOOKUP(RTData[[#This Row],[Ticker_Symbol]],TickerList!$G6:$G100,TickerList!N6:N100)</f>
        <v>0</v>
      </c>
      <c r="AA7" s="98">
        <f ca="1">_xlfn.XLOOKUP(RTData[[#This Row],[Ticker_Symbol]],TickerList!$G6:$G100,TickerList!O6:O100)</f>
        <v>0</v>
      </c>
      <c r="AB7" s="99"/>
      <c r="AC7" s="100">
        <v>3.0000000000000001E-3</v>
      </c>
      <c r="AD7" s="86">
        <v>3.87</v>
      </c>
      <c r="AE7" s="101">
        <f ca="1">_xlfn.LET(_xlpm.New1YT,RTData[[#This Row],[1YT]],        _xlpm.Old1YT,IF(ISNUMBER(RTData[[#This Row],[Old1YT]]),RTData[[#This Row],[Old1YT]],VALUE(LEFT(RTData[[#This Row],[Old1YT]],FIND("/",RTData[[#This Row],[Old1YT]],1)-1))),       IF(OR(RTData[[#This Row],[1YT]]=0,_xlpm.Old1YT=0),0,(_xlpm.New1YT-_xlpm.Old1YT)/_xlpm.Old1YT))</f>
        <v>-0.60379069767441851</v>
      </c>
      <c r="AF7" s="101" t="str">
        <f ca="1">TEXT(RTData[[#This Row],[1YT]],"#,#0.00")&amp;" &lt; "&amp;RTData[[#This Row],[Old1YT]]</f>
        <v>1.53 &lt; 3.87</v>
      </c>
    </row>
    <row r="8" spans="1:32" x14ac:dyDescent="0.3">
      <c r="A8" s="15" t="str" cm="1">
        <f t="array" aca="1" ref="A8" ca="1">_xlfn.SINGLE(RTData[suffix])&amp;_FV(RTData[[#This Row],[Company Name]],"Ticker symbol",TRUE)</f>
        <v>ASML</v>
      </c>
      <c r="B8" s="15">
        <v>1</v>
      </c>
      <c r="C8" t="e" vm="6">
        <v>#VALUE!</v>
      </c>
      <c r="D8" s="113" t="str" cm="1">
        <f t="array" aca="1" ref="D8" ca="1">_FV(RTData[[#This Row],[Company Name]],"Currency")</f>
        <v>EUR</v>
      </c>
      <c r="E8" s="17" cm="1">
        <f t="array" aca="1" ref="E8" ca="1">_FV(RTData[[#This Row],[Company Name]],"Last trade time",TRUE)</f>
        <v>45966.708333333336</v>
      </c>
      <c r="F8" s="27" cm="1">
        <f t="array" aca="1" ref="F8" ca="1">_FV(RTData[[#This Row],[Company Name]],"Previous close",TRUE)</f>
        <v>918</v>
      </c>
      <c r="G8" s="27" cm="1">
        <f t="array" aca="1" ref="G8" ca="1">_FV(RTData[[#This Row],[Company Name]],"Open")</f>
        <v>882.9</v>
      </c>
      <c r="H8" s="27" cm="1">
        <f t="array" aca="1" ref="H8" ca="1">_FV(RTData[[#This Row],[Company Name]],"Price")</f>
        <v>906.6</v>
      </c>
      <c r="I8" s="27" cm="1">
        <f t="array" aca="1" ref="I8" ca="1">_FV(RTData[[#This Row],[Company Name]],"Low")</f>
        <v>878.4</v>
      </c>
      <c r="J8" s="27" cm="1">
        <f t="array" aca="1" ref="J8" ca="1">_FV(RTData[[#This Row],[Company Name]],"High")</f>
        <v>913.3</v>
      </c>
      <c r="K8" s="19" cm="1">
        <f t="array" aca="1" ref="K8" ca="1">IFERROR(_FV(RTData[[#This Row],[Company Name]],"P/E",TRUE),99)</f>
        <v>34.810200000000002</v>
      </c>
      <c r="L8" s="20" cm="1">
        <f t="array" aca="1" ref="L8" ca="1">_FV(RTData[[#This Row],[Company Name]],"Change")</f>
        <v>-11.4</v>
      </c>
      <c r="M8" s="21" cm="1">
        <f t="array" aca="1" ref="M8" ca="1">_FV(RTData[[#This Row],[Company Name]],"Change (%)",TRUE)</f>
        <v>-1.2418E-2</v>
      </c>
      <c r="N8" s="27" cm="1">
        <f t="array" aca="1" ref="N8" ca="1">_FV(RTData[[#This Row],[Company Name]],"52 week low",TRUE)</f>
        <v>508.4</v>
      </c>
      <c r="O8" s="27" cm="1">
        <f t="array" aca="1" ref="O8" ca="1">_FV(RTData[[#This Row],[Company Name]],"52 week high",TRUE)</f>
        <v>913.3</v>
      </c>
      <c r="P8" s="22" cm="1">
        <f t="array" aca="1" ref="P8" ca="1">_FV(RTData[[#This Row],[Company Name]],"Volume")</f>
        <v>663558</v>
      </c>
      <c r="Q8" s="22" cm="1">
        <f t="array" aca="1" ref="Q8" ca="1">_FV(RTData[[#This Row],[Company Name]],"Volume average",TRUE)</f>
        <v>547460</v>
      </c>
      <c r="R8" s="18" cm="1">
        <f t="array" aca="1" ref="R8" ca="1">_FV(RTData[[#This Row],[Company Name]],"Beta")</f>
        <v>2.1158000000000001</v>
      </c>
      <c r="T8" t="s">
        <v>19</v>
      </c>
      <c r="U8" t="str" cm="1">
        <f t="array" aca="1" ref="U8" ca="1">_FV(RTData[[#This Row],[Company Name]],"Exchange abbreviation",TRUE)</f>
        <v>XAMS</v>
      </c>
      <c r="V8" s="23">
        <f ca="1">IFERROR(RTData[[#This Row],[Volume]]/RTData[[#This Row],[Volume average]],1)</f>
        <v>1.2120666350052971</v>
      </c>
      <c r="W8" s="23"/>
      <c r="X8" s="104">
        <f ca="1">_xlfn.XLOOKUP(RTData[[#This Row],[Ticker_Symbol]],TickerList!$G7:$G101,TickerList!L7:L101)</f>
        <v>941.90326000000005</v>
      </c>
      <c r="Y8" s="97">
        <f ca="1">_xlfn.XLOOKUP(RTData[[#This Row],[Ticker_Symbol]],TickerList!$G7:$G101,TickerList!M7:M101)</f>
        <v>45958</v>
      </c>
      <c r="Z8" s="97">
        <f ca="1">_xlfn.XLOOKUP(RTData[[#This Row],[Ticker_Symbol]],TickerList!$G7:$G101,TickerList!N7:N101)</f>
        <v>0</v>
      </c>
      <c r="AA8" s="98">
        <f ca="1">_xlfn.XLOOKUP(RTData[[#This Row],[Ticker_Symbol]],TickerList!$G7:$G101,TickerList!O7:O101)</f>
        <v>6.9999998000000001E-3</v>
      </c>
      <c r="AB8" s="99"/>
      <c r="AC8" s="100">
        <v>3.0000000000000001E-3</v>
      </c>
      <c r="AD8" s="86">
        <v>847.58</v>
      </c>
      <c r="AE8" s="101">
        <f ca="1">_xlfn.LET(_xlpm.New1YT,RTData[[#This Row],[1YT]],        _xlpm.Old1YT,IF(ISNUMBER(RTData[[#This Row],[Old1YT]]),RTData[[#This Row],[Old1YT]],VALUE(LEFT(RTData[[#This Row],[Old1YT]],FIND("/",RTData[[#This Row],[Old1YT]],1)-1))),       IF(OR(RTData[[#This Row],[1YT]]=0,_xlpm.Old1YT=0),0,(_xlpm.New1YT-_xlpm.Old1YT)/_xlpm.Old1YT))</f>
        <v>0.11128537719153354</v>
      </c>
      <c r="AF8" s="101" t="str">
        <f ca="1">TEXT(RTData[[#This Row],[1YT]],"#,#0.00")&amp;" &lt; "&amp;RTData[[#This Row],[Old1YT]]</f>
        <v>941.90 &lt; 847.58</v>
      </c>
    </row>
    <row r="9" spans="1:32" s="33" customFormat="1" x14ac:dyDescent="0.3">
      <c r="A9" s="38" t="str" cm="1">
        <f t="array" aca="1" ref="A9" ca="1">_xlfn.SINGLE(RTData[suffix])&amp;_FV(RTData[[#This Row],[Company Name]],"Ticker symbol",TRUE)</f>
        <v>AVGO</v>
      </c>
      <c r="B9" s="15">
        <v>1</v>
      </c>
      <c r="C9" t="e" vm="7">
        <v>#VALUE!</v>
      </c>
      <c r="D9" s="113" t="str" cm="1">
        <f t="array" aca="1" ref="D9" ca="1">_FV(RTData[[#This Row],[Company Name]],"Currency")</f>
        <v>USD</v>
      </c>
      <c r="E9" s="17" cm="1">
        <f t="array" aca="1" ref="E9" ca="1">_FV(RTData[[#This Row],[Company Name]],"Last trade time",TRUE)</f>
        <v>45967.000400034376</v>
      </c>
      <c r="F9" s="18" cm="1">
        <f t="array" aca="1" ref="F9" ca="1">_FV(RTData[[#This Row],[Company Name]],"Previous close",TRUE)</f>
        <v>351.94</v>
      </c>
      <c r="G9" s="18" cm="1">
        <f t="array" aca="1" ref="G9" ca="1">_FV(RTData[[#This Row],[Company Name]],"Open")</f>
        <v>350.89</v>
      </c>
      <c r="H9" s="18" cm="1">
        <f t="array" aca="1" ref="H9" ca="1">_FV(RTData[[#This Row],[Company Name]],"Price")</f>
        <v>358.98</v>
      </c>
      <c r="I9" s="18" cm="1">
        <f t="array" aca="1" ref="I9" ca="1">_FV(RTData[[#This Row],[Company Name]],"Low")</f>
        <v>350.09129999999999</v>
      </c>
      <c r="J9" s="18" cm="1">
        <f t="array" aca="1" ref="J9" ca="1">_FV(RTData[[#This Row],[Company Name]],"High")</f>
        <v>364.86989999999997</v>
      </c>
      <c r="K9" s="19" cm="1">
        <f t="array" aca="1" ref="K9" ca="1">IFERROR(_FV(RTData[[#This Row],[Company Name]],"P/E",TRUE),99)</f>
        <v>90.218400000000003</v>
      </c>
      <c r="L9" s="20" cm="1">
        <f t="array" aca="1" ref="L9" ca="1">_FV(RTData[[#This Row],[Company Name]],"Change")</f>
        <v>7.04</v>
      </c>
      <c r="M9" s="21" cm="1">
        <f t="array" aca="1" ref="M9" ca="1">_FV(RTData[[#This Row],[Company Name]],"Change (%)",TRUE)</f>
        <v>2.0003000000000003E-2</v>
      </c>
      <c r="N9" s="18" cm="1">
        <f t="array" aca="1" ref="N9" ca="1">_FV(RTData[[#This Row],[Company Name]],"52 week low",TRUE)</f>
        <v>138.1</v>
      </c>
      <c r="O9" s="18" cm="1">
        <f t="array" aca="1" ref="O9" ca="1">_FV(RTData[[#This Row],[Company Name]],"52 week high",TRUE)</f>
        <v>386.48</v>
      </c>
      <c r="P9" s="22" cm="1">
        <f t="array" aca="1" ref="P9" ca="1">_FV(RTData[[#This Row],[Company Name]],"Volume")</f>
        <v>17071547</v>
      </c>
      <c r="Q9" s="22" cm="1">
        <f t="array" aca="1" ref="Q9" ca="1">_FV(RTData[[#This Row],[Company Name]],"Volume average",TRUE)</f>
        <v>21075301</v>
      </c>
      <c r="R9" s="18" cm="1">
        <f t="array" aca="1" ref="R9" ca="1">_FV(RTData[[#This Row],[Company Name]],"Beta")</f>
        <v>1.2219</v>
      </c>
      <c r="S9"/>
      <c r="T9"/>
      <c r="U9" t="str" cm="1">
        <f t="array" aca="1" ref="U9" ca="1">_FV(RTData[[#This Row],[Company Name]],"Exchange abbreviation",TRUE)</f>
        <v>XNAS</v>
      </c>
      <c r="V9" s="103">
        <f ca="1">IFERROR(RTData[[#This Row],[Volume]]/RTData[[#This Row],[Volume average]],1)</f>
        <v>0.81002624826093828</v>
      </c>
      <c r="W9" s="103"/>
      <c r="X9" s="104">
        <f ca="1">_xlfn.XLOOKUP(RTData[[#This Row],[Ticker_Symbol]],TickerList!$G8:$G102,TickerList!L8:L102)</f>
        <v>392.38164999999998</v>
      </c>
      <c r="Y9" s="97">
        <f ca="1">_xlfn.XLOOKUP(RTData[[#This Row],[Ticker_Symbol]],TickerList!$G8:$G102,TickerList!M8:M102)</f>
        <v>45922</v>
      </c>
      <c r="Z9" s="97" t="str">
        <f ca="1">_xlfn.XLOOKUP(RTData[[#This Row],[Ticker_Symbol]],TickerList!$G8:$G102,TickerList!N8:N102)</f>
        <v>Dec 11, 2025</v>
      </c>
      <c r="AA9" s="98">
        <f ca="1">_xlfn.XLOOKUP(RTData[[#This Row],[Ticker_Symbol]],TickerList!$G8:$G102,TickerList!O8:O102)</f>
        <v>6.4000000000000003E-3</v>
      </c>
      <c r="AB9" s="99"/>
      <c r="AC9" s="100">
        <v>3.0000000000000001E-3</v>
      </c>
      <c r="AD9" s="86">
        <v>848.58</v>
      </c>
      <c r="AE9" s="101">
        <f ca="1">_xlfn.LET(_xlpm.New1YT,RTData[[#This Row],[1YT]],        _xlpm.Old1YT,IF(ISNUMBER(RTData[[#This Row],[Old1YT]]),RTData[[#This Row],[Old1YT]],VALUE(LEFT(RTData[[#This Row],[Old1YT]],FIND("/",RTData[[#This Row],[Old1YT]],1)-1))),       IF(OR(RTData[[#This Row],[1YT]]=0,_xlpm.Old1YT=0),0,(_xlpm.New1YT-_xlpm.Old1YT)/_xlpm.Old1YT))</f>
        <v>-0.53760205284121709</v>
      </c>
      <c r="AF9" s="101" t="str">
        <f ca="1">TEXT(RTData[[#This Row],[1YT]],"#,#0.00")&amp;" &lt; "&amp;RTData[[#This Row],[Old1YT]]</f>
        <v>392.38 &lt; 848.58</v>
      </c>
    </row>
    <row r="10" spans="1:32" x14ac:dyDescent="0.3">
      <c r="A10" s="38" t="str" cm="1">
        <f t="array" aca="1" ref="A10" ca="1">_xlfn.SINGLE(RTData[suffix])&amp;_FV(RTData[[#This Row],[Company Name]],"Ticker symbol",TRUE)</f>
        <v>AZN</v>
      </c>
      <c r="B10" s="38">
        <v>1</v>
      </c>
      <c r="C10" t="e" vm="8">
        <v>#VALUE!</v>
      </c>
      <c r="D10" s="113" t="str" cm="1">
        <f t="array" aca="1" ref="D10" ca="1">_FV(RTData[[#This Row],[Company Name]],"Currency")</f>
        <v>USD</v>
      </c>
      <c r="E10" s="17" cm="1">
        <f t="array" aca="1" ref="E10" ca="1">_FV(RTData[[#This Row],[Company Name]],"Last trade time",TRUE)</f>
        <v>45966.99046633047</v>
      </c>
      <c r="F10" s="18" cm="1">
        <f t="array" aca="1" ref="F10" ca="1">_FV(RTData[[#This Row],[Company Name]],"Previous close",TRUE)</f>
        <v>82.03</v>
      </c>
      <c r="G10" s="18" cm="1">
        <f t="array" aca="1" ref="G10" ca="1">_FV(RTData[[#This Row],[Company Name]],"Open")</f>
        <v>81.38</v>
      </c>
      <c r="H10" s="18" cm="1">
        <f t="array" aca="1" ref="H10" ca="1">_FV(RTData[[#This Row],[Company Name]],"Price")</f>
        <v>81.150000000000006</v>
      </c>
      <c r="I10" s="18" cm="1">
        <f t="array" aca="1" ref="I10" ca="1">_FV(RTData[[#This Row],[Company Name]],"Low")</f>
        <v>81.02</v>
      </c>
      <c r="J10" s="18" cm="1">
        <f t="array" aca="1" ref="J10" ca="1">_FV(RTData[[#This Row],[Company Name]],"High")</f>
        <v>82.09</v>
      </c>
      <c r="K10" s="19" cm="1">
        <f t="array" aca="1" ref="K10" ca="1">IFERROR(_FV(RTData[[#This Row],[Company Name]],"P/E",TRUE),99)</f>
        <v>30.552299999999999</v>
      </c>
      <c r="L10" s="20" cm="1">
        <f t="array" aca="1" ref="L10" ca="1">_FV(RTData[[#This Row],[Company Name]],"Change")</f>
        <v>-0.88</v>
      </c>
      <c r="M10" s="21" cm="1">
        <f t="array" aca="1" ref="M10" ca="1">_FV(RTData[[#This Row],[Company Name]],"Change (%)",TRUE)</f>
        <v>-1.0728E-2</v>
      </c>
      <c r="N10" s="18" cm="1">
        <f t="array" aca="1" ref="N10" ca="1">_FV(RTData[[#This Row],[Company Name]],"52 week low",TRUE)</f>
        <v>61.24</v>
      </c>
      <c r="O10" s="18" cm="1">
        <f t="array" aca="1" ref="O10" ca="1">_FV(RTData[[#This Row],[Company Name]],"52 week high",TRUE)</f>
        <v>86.57</v>
      </c>
      <c r="P10" s="22" cm="1">
        <f t="array" aca="1" ref="P10" ca="1">_FV(RTData[[#This Row],[Company Name]],"Volume")</f>
        <v>5442643</v>
      </c>
      <c r="Q10" s="22" cm="1">
        <f t="array" aca="1" ref="Q10" ca="1">_FV(RTData[[#This Row],[Company Name]],"Volume average",TRUE)</f>
        <v>5461602</v>
      </c>
      <c r="R10" s="18" cm="1">
        <f t="array" aca="1" ref="R10" ca="1">_FV(RTData[[#This Row],[Company Name]],"Beta")</f>
        <v>0.3382</v>
      </c>
      <c r="U10" t="str" cm="1">
        <f t="array" aca="1" ref="U10" ca="1">_FV(RTData[[#This Row],[Company Name]],"Exchange abbreviation",TRUE)</f>
        <v>XNAS</v>
      </c>
      <c r="V10" s="103">
        <f ca="1">IFERROR(RTData[[#This Row],[Volume]]/RTData[[#This Row],[Volume average]],1)</f>
        <v>0.99652867418753688</v>
      </c>
      <c r="W10" s="103"/>
      <c r="X10" s="104">
        <f ca="1">_xlfn.XLOOKUP(RTData[[#This Row],[Ticker_Symbol]],TickerList!$G9:$G103,TickerList!L9:L103)</f>
        <v>93.25273</v>
      </c>
      <c r="Y10" s="97">
        <f ca="1">_xlfn.XLOOKUP(RTData[[#This Row],[Ticker_Symbol]],TickerList!$G9:$G103,TickerList!M9:M103)</f>
        <v>45877</v>
      </c>
      <c r="Z10" s="97" t="str">
        <f ca="1">_xlfn.XLOOKUP(RTData[[#This Row],[Ticker_Symbol]],TickerList!$G9:$G103,TickerList!N9:N103)</f>
        <v>Nov 6, 2025</v>
      </c>
      <c r="AA10" s="98">
        <f ca="1">_xlfn.XLOOKUP(RTData[[#This Row],[Ticker_Symbol]],TickerList!$G9:$G103,TickerList!O9:O103)</f>
        <v>1.9E-2</v>
      </c>
      <c r="AB10" s="99"/>
      <c r="AC10" s="100">
        <v>3.0000000000000001E-3</v>
      </c>
      <c r="AD10" s="86">
        <v>849.58</v>
      </c>
      <c r="AE10" s="101">
        <f ca="1">_xlfn.LET(_xlpm.New1YT,RTData[[#This Row],[1YT]],        _xlpm.Old1YT,IF(ISNUMBER(RTData[[#This Row],[Old1YT]]),RTData[[#This Row],[Old1YT]],VALUE(LEFT(RTData[[#This Row],[Old1YT]],FIND("/",RTData[[#This Row],[Old1YT]],1)-1))),       IF(OR(RTData[[#This Row],[1YT]]=0,_xlpm.Old1YT=0),0,(_xlpm.New1YT-_xlpm.Old1YT)/_xlpm.Old1YT))</f>
        <v>-0.89023666988394257</v>
      </c>
      <c r="AF10" s="101" t="str">
        <f ca="1">TEXT(RTData[[#This Row],[1YT]],"#,#0.00")&amp;" &lt; "&amp;RTData[[#This Row],[Old1YT]]</f>
        <v>93.25 &lt; 849.58</v>
      </c>
    </row>
    <row r="11" spans="1:32" x14ac:dyDescent="0.3">
      <c r="A11" s="15" t="str" cm="1">
        <f t="array" aca="1" ref="A11" ca="1">_xlfn.SINGLE(RTData[suffix])&amp;_FV(RTData[[#This Row],[Company Name]],"Ticker symbol",TRUE)</f>
        <v>BLDP</v>
      </c>
      <c r="B11" s="15">
        <f ca="1">D99</f>
        <v>0.8700191404210893</v>
      </c>
      <c r="C11" t="e" vm="9">
        <v>#VALUE!</v>
      </c>
      <c r="D11" s="114" t="str" cm="1">
        <f t="array" aca="1" ref="D11" ca="1">_FV(RTData[[#This Row],[Company Name]],"Currency")</f>
        <v>USD</v>
      </c>
      <c r="E11" s="28" cm="1">
        <f t="array" aca="1" ref="E11" ca="1">_FV(RTData[[#This Row],[Company Name]],"Last trade time",TRUE)</f>
        <v>45966.995043414063</v>
      </c>
      <c r="F11" s="18" cm="1">
        <f t="array" aca="1" ref="F11" ca="1">_FV(RTData[[#This Row],[Company Name]],"Previous close",TRUE)</f>
        <v>3.37</v>
      </c>
      <c r="G11" s="18" cm="1">
        <f t="array" aca="1" ref="G11" ca="1">_FV(RTData[[#This Row],[Company Name]],"Open")</f>
        <v>3.37</v>
      </c>
      <c r="H11" s="18" cm="1">
        <f t="array" aca="1" ref="H11" ca="1">_FV(RTData[[#This Row],[Company Name]],"Price")</f>
        <v>3.65</v>
      </c>
      <c r="I11" s="29" cm="1">
        <f t="array" aca="1" ref="I11" ca="1">_FV(RTData[[#This Row],[Company Name]],"Low")</f>
        <v>3.37</v>
      </c>
      <c r="J11" s="29" cm="1">
        <f t="array" aca="1" ref="J11" ca="1">_FV(RTData[[#This Row],[Company Name]],"High")</f>
        <v>3.6850000000000001</v>
      </c>
      <c r="K11" s="19" cm="1">
        <f t="array" aca="1" ref="K11" ca="1">IFERROR(_FV(RTData[[#This Row],[Company Name]],"P/E",TRUE),99)</f>
        <v>0</v>
      </c>
      <c r="L11" s="30" cm="1">
        <f t="array" aca="1" ref="L11" ca="1">_FV(RTData[[#This Row],[Company Name]],"Change")</f>
        <v>0.28000000000000003</v>
      </c>
      <c r="M11" s="31" cm="1">
        <f t="array" aca="1" ref="M11" ca="1">_FV(RTData[[#This Row],[Company Name]],"Change (%)",TRUE)</f>
        <v>8.3086000000000007E-2</v>
      </c>
      <c r="N11" s="29" cm="1">
        <f t="array" aca="1" ref="N11" ca="1">_FV(RTData[[#This Row],[Company Name]],"52 week low",TRUE)</f>
        <v>1</v>
      </c>
      <c r="O11" s="29" cm="1">
        <f t="array" aca="1" ref="O11" ca="1">_FV(RTData[[#This Row],[Company Name]],"52 week high",TRUE)</f>
        <v>4.0999999999999996</v>
      </c>
      <c r="P11" s="32" cm="1">
        <f t="array" aca="1" ref="P11" ca="1">_FV(RTData[[#This Row],[Company Name]],"Volume")</f>
        <v>6926072</v>
      </c>
      <c r="Q11" s="32" cm="1">
        <f t="array" aca="1" ref="Q11" ca="1">_FV(RTData[[#This Row],[Company Name]],"Volume average",TRUE)</f>
        <v>8884901</v>
      </c>
      <c r="R11" s="29" cm="1">
        <f t="array" aca="1" ref="R11" ca="1">_FV(RTData[[#This Row],[Company Name]],"Beta")</f>
        <v>1.7142999999999999</v>
      </c>
      <c r="S11" s="33"/>
      <c r="T11" t="s">
        <v>19</v>
      </c>
      <c r="U11" s="33" t="str" cm="1">
        <f t="array" aca="1" ref="U11" ca="1">_FV(RTData[[#This Row],[Company Name]],"Exchange abbreviation",TRUE)</f>
        <v>XNAS</v>
      </c>
      <c r="V11" s="89">
        <f ca="1">IFERROR(RTData[[#This Row],[Volume]]/RTData[[#This Row],[Volume average]],1)</f>
        <v>0.77953282765896881</v>
      </c>
      <c r="W11" s="89"/>
      <c r="X11" s="104">
        <f ca="1">_xlfn.XLOOKUP(RTData[[#This Row],[Ticker_Symbol]],TickerList!$G10:$G104,TickerList!L10:L104)</f>
        <v>2.75</v>
      </c>
      <c r="Y11" s="97">
        <f ca="1">_xlfn.XLOOKUP(RTData[[#This Row],[Ticker_Symbol]],TickerList!$G10:$G104,TickerList!M10:M104)</f>
        <v>0</v>
      </c>
      <c r="Z11" s="97" t="str">
        <f ca="1">_xlfn.XLOOKUP(RTData[[#This Row],[Ticker_Symbol]],TickerList!$G10:$G104,TickerList!N10:N104)</f>
        <v>Nov 13, 2025</v>
      </c>
      <c r="AA11" s="98">
        <f ca="1">_xlfn.XLOOKUP(RTData[[#This Row],[Ticker_Symbol]],TickerList!$G10:$G104,TickerList!O10:O104)</f>
        <v>0</v>
      </c>
      <c r="AB11" s="99">
        <v>1E-4</v>
      </c>
      <c r="AC11" s="100">
        <v>3.0000000000000001E-3</v>
      </c>
      <c r="AD11" s="86">
        <v>90.46</v>
      </c>
      <c r="AE11" s="101">
        <f ca="1">_xlfn.LET(_xlpm.New1YT,RTData[[#This Row],[1YT]],        _xlpm.Old1YT,IF(ISNUMBER(RTData[[#This Row],[Old1YT]]),RTData[[#This Row],[Old1YT]],VALUE(LEFT(RTData[[#This Row],[Old1YT]],FIND("/",RTData[[#This Row],[Old1YT]],1)-1))),       IF(OR(RTData[[#This Row],[1YT]]=0,_xlpm.Old1YT=0),0,(_xlpm.New1YT-_xlpm.Old1YT)/_xlpm.Old1YT))</f>
        <v>-0.9695998231262436</v>
      </c>
      <c r="AF11" s="101" t="str">
        <f ca="1">TEXT(RTData[[#This Row],[1YT]],"#,#0.00")&amp;" &lt; "&amp;RTData[[#This Row],[Old1YT]]</f>
        <v>2.75 &lt; 90.46</v>
      </c>
    </row>
    <row r="12" spans="1:32" x14ac:dyDescent="0.3">
      <c r="A12" s="15" t="str" cm="1">
        <f t="array" aca="1" ref="A12" ca="1">_xlfn.SINGLE(RTData[suffix])&amp;_FV(RTData[[#This Row],[Company Name]],"Ticker symbol",TRUE)</f>
        <v>BMRA</v>
      </c>
      <c r="B12" s="15">
        <f ca="1">D99</f>
        <v>0.8700191404210893</v>
      </c>
      <c r="C12" t="e" vm="10">
        <v>#VALUE!</v>
      </c>
      <c r="D12" s="113" t="str" cm="1">
        <f t="array" aca="1" ref="D12" ca="1">_FV(RTData[[#This Row],[Company Name]],"Currency")</f>
        <v>USD</v>
      </c>
      <c r="E12" s="17" cm="1">
        <f t="array" aca="1" ref="E12" ca="1">_FV(RTData[[#This Row],[Company Name]],"Last trade time",TRUE)</f>
        <v>45966.929557279691</v>
      </c>
      <c r="F12" s="18" cm="1">
        <f t="array" aca="1" ref="F12" ca="1">_FV(RTData[[#This Row],[Company Name]],"Previous close",TRUE)</f>
        <v>2.48</v>
      </c>
      <c r="G12" s="18" cm="1">
        <f t="array" aca="1" ref="G12" ca="1">_FV(RTData[[#This Row],[Company Name]],"Open")</f>
        <v>2.5</v>
      </c>
      <c r="H12" s="18" cm="1">
        <f t="array" aca="1" ref="H12" ca="1">_FV(RTData[[#This Row],[Company Name]],"Price")</f>
        <v>2.58</v>
      </c>
      <c r="I12" s="18" cm="1">
        <f t="array" aca="1" ref="I12" ca="1">_FV(RTData[[#This Row],[Company Name]],"Low")</f>
        <v>2.5</v>
      </c>
      <c r="J12" s="18" cm="1">
        <f t="array" aca="1" ref="J12" ca="1">_FV(RTData[[#This Row],[Company Name]],"High")</f>
        <v>2.65</v>
      </c>
      <c r="K12" s="19" cm="1">
        <f t="array" aca="1" ref="K12" ca="1">IFERROR(_FV(RTData[[#This Row],[Company Name]],"P/E",TRUE),99)</f>
        <v>0</v>
      </c>
      <c r="L12" s="20" cm="1">
        <f t="array" aca="1" ref="L12" ca="1">_FV(RTData[[#This Row],[Company Name]],"Change")</f>
        <v>0.1</v>
      </c>
      <c r="M12" s="21" cm="1">
        <f t="array" aca="1" ref="M12" ca="1">_FV(RTData[[#This Row],[Company Name]],"Change (%)",TRUE)</f>
        <v>4.0323000000000005E-2</v>
      </c>
      <c r="N12" s="18" cm="1">
        <f t="array" aca="1" ref="N12" ca="1">_FV(RTData[[#This Row],[Company Name]],"52 week low",TRUE)</f>
        <v>2.08</v>
      </c>
      <c r="O12" s="18" cm="1">
        <f t="array" aca="1" ref="O12" ca="1">_FV(RTData[[#This Row],[Company Name]],"52 week high",TRUE)</f>
        <v>10.16</v>
      </c>
      <c r="P12" s="22" cm="1">
        <f t="array" aca="1" ref="P12" ca="1">_FV(RTData[[#This Row],[Company Name]],"Volume")</f>
        <v>16669</v>
      </c>
      <c r="Q12" s="22" cm="1">
        <f t="array" aca="1" ref="Q12" ca="1">_FV(RTData[[#This Row],[Company Name]],"Volume average",TRUE)</f>
        <v>204947</v>
      </c>
      <c r="R12" s="18" cm="1">
        <f t="array" aca="1" ref="R12" ca="1">_FV(RTData[[#This Row],[Company Name]],"Beta")</f>
        <v>6.2199999999999998E-2</v>
      </c>
      <c r="T12" t="s">
        <v>19</v>
      </c>
      <c r="U12" t="str" cm="1">
        <f t="array" aca="1" ref="U12" ca="1">_FV(RTData[[#This Row],[Company Name]],"Exchange abbreviation",TRUE)</f>
        <v>XNAS</v>
      </c>
      <c r="V12" s="23">
        <f ca="1">IFERROR(RTData[[#This Row],[Volume]]/RTData[[#This Row],[Volume average]],1)</f>
        <v>8.1333222735634092E-2</v>
      </c>
      <c r="W12" s="23"/>
      <c r="X12" s="104">
        <f ca="1">_xlfn.XLOOKUP(RTData[[#This Row],[Ticker_Symbol]],TickerList!$G11:$G105,TickerList!L11:L105)</f>
        <v>0</v>
      </c>
      <c r="Y12" s="97">
        <f ca="1">_xlfn.XLOOKUP(RTData[[#This Row],[Ticker_Symbol]],TickerList!$G11:$G105,TickerList!M11:M105)</f>
        <v>0</v>
      </c>
      <c r="Z12" s="97">
        <f ca="1">_xlfn.XLOOKUP(RTData[[#This Row],[Ticker_Symbol]],TickerList!$G11:$G105,TickerList!N11:N105)</f>
        <v>0</v>
      </c>
      <c r="AA12" s="98">
        <f ca="1">_xlfn.XLOOKUP(RTData[[#This Row],[Ticker_Symbol]],TickerList!$G11:$G105,TickerList!O11:O105)</f>
        <v>0</v>
      </c>
      <c r="AB12" s="99">
        <v>1E-4</v>
      </c>
      <c r="AC12" s="100">
        <v>3.0000000000000001E-3</v>
      </c>
      <c r="AD12" s="86">
        <v>2.73</v>
      </c>
      <c r="AE12" s="101">
        <f ca="1">_xlfn.LET(_xlpm.New1YT,RTData[[#This Row],[1YT]],        _xlpm.Old1YT,IF(ISNUMBER(RTData[[#This Row],[Old1YT]]),RTData[[#This Row],[Old1YT]],VALUE(LEFT(RTData[[#This Row],[Old1YT]],FIND("/",RTData[[#This Row],[Old1YT]],1)-1))),       IF(OR(RTData[[#This Row],[1YT]]=0,_xlpm.Old1YT=0),0,(_xlpm.New1YT-_xlpm.Old1YT)/_xlpm.Old1YT))</f>
        <v>0</v>
      </c>
      <c r="AF12" s="101" t="str">
        <f ca="1">TEXT(RTData[[#This Row],[1YT]],"#,#0.00")&amp;" &lt; "&amp;RTData[[#This Row],[Old1YT]]</f>
        <v>0.00 &lt; 2.73</v>
      </c>
    </row>
    <row r="13" spans="1:32" x14ac:dyDescent="0.3">
      <c r="A13" s="15" t="str" cm="1">
        <f t="array" aca="1" ref="A13" ca="1">_xlfn.SINGLE(RTData[suffix])&amp;_FV(RTData[[#This Row],[Company Name]],"Ticker symbol",TRUE)</f>
        <v>C</v>
      </c>
      <c r="B13" s="15">
        <f ca="1">D99</f>
        <v>0.8700191404210893</v>
      </c>
      <c r="C13" t="e" vm="11">
        <v>#VALUE!</v>
      </c>
      <c r="D13" s="113" t="str" cm="1">
        <f t="array" aca="1" ref="D13" ca="1">_FV(RTData[[#This Row],[Company Name]],"Currency")</f>
        <v>USD</v>
      </c>
      <c r="E13" s="17" cm="1">
        <f t="array" aca="1" ref="E13" ca="1">_FV(RTData[[#This Row],[Company Name]],"Last trade time",TRUE)</f>
        <v>45966.999233251561</v>
      </c>
      <c r="F13" s="18" cm="1">
        <f t="array" aca="1" ref="F13" ca="1">_FV(RTData[[#This Row],[Company Name]],"Previous close",TRUE)</f>
        <v>101.01</v>
      </c>
      <c r="G13" s="18" cm="1">
        <f t="array" aca="1" ref="G13" ca="1">_FV(RTData[[#This Row],[Company Name]],"Open")</f>
        <v>101.25</v>
      </c>
      <c r="H13" s="18" cm="1">
        <f t="array" aca="1" ref="H13" ca="1">_FV(RTData[[#This Row],[Company Name]],"Price")</f>
        <v>101.72</v>
      </c>
      <c r="I13" s="18" cm="1">
        <f t="array" aca="1" ref="I13" ca="1">_FV(RTData[[#This Row],[Company Name]],"Low")</f>
        <v>99.012</v>
      </c>
      <c r="J13" s="18" cm="1">
        <f t="array" aca="1" ref="J13" ca="1">_FV(RTData[[#This Row],[Company Name]],"High")</f>
        <v>102.27500000000001</v>
      </c>
      <c r="K13" s="19" cm="1">
        <f t="array" aca="1" ref="K13" ca="1">IFERROR(_FV(RTData[[#This Row],[Company Name]],"P/E",TRUE),99)</f>
        <v>14.2994</v>
      </c>
      <c r="L13" s="20" cm="1">
        <f t="array" aca="1" ref="L13" ca="1">_FV(RTData[[#This Row],[Company Name]],"Change")</f>
        <v>0.71</v>
      </c>
      <c r="M13" s="21" cm="1">
        <f t="array" aca="1" ref="M13" ca="1">_FV(RTData[[#This Row],[Company Name]],"Change (%)",TRUE)</f>
        <v>7.0289999999999997E-3</v>
      </c>
      <c r="N13" s="18" cm="1">
        <f t="array" aca="1" ref="N13" ca="1">_FV(RTData[[#This Row],[Company Name]],"52 week low",TRUE)</f>
        <v>55.51</v>
      </c>
      <c r="O13" s="18" cm="1">
        <f t="array" aca="1" ref="O13" ca="1">_FV(RTData[[#This Row],[Company Name]],"52 week high",TRUE)</f>
        <v>105.59</v>
      </c>
      <c r="P13" s="22" cm="1">
        <f t="array" aca="1" ref="P13" ca="1">_FV(RTData[[#This Row],[Company Name]],"Volume")</f>
        <v>9990774</v>
      </c>
      <c r="Q13" s="22" cm="1">
        <f t="array" aca="1" ref="Q13" ca="1">_FV(RTData[[#This Row],[Company Name]],"Volume average",TRUE)</f>
        <v>13407839</v>
      </c>
      <c r="R13" s="18" cm="1">
        <f t="array" aca="1" ref="R13" ca="1">_FV(RTData[[#This Row],[Company Name]],"Beta")</f>
        <v>1.1959</v>
      </c>
      <c r="T13" t="s">
        <v>19</v>
      </c>
      <c r="U13" t="str" cm="1">
        <f t="array" aca="1" ref="U13" ca="1">_FV(RTData[[#This Row],[Company Name]],"Exchange abbreviation",TRUE)</f>
        <v>XNYS</v>
      </c>
      <c r="V13" s="23">
        <f ca="1">IFERROR(RTData[[#This Row],[Volume]]/RTData[[#This Row],[Volume average]],1)</f>
        <v>0.74514423987340539</v>
      </c>
      <c r="W13" s="23"/>
      <c r="X13" s="104">
        <f ca="1">_xlfn.XLOOKUP(RTData[[#This Row],[Ticker_Symbol]],TickerList!$G12:$G106,TickerList!L12:L106)</f>
        <v>113.7619</v>
      </c>
      <c r="Y13" s="97">
        <f ca="1">_xlfn.XLOOKUP(RTData[[#This Row],[Ticker_Symbol]],TickerList!$G12:$G106,TickerList!M12:M106)</f>
        <v>45964</v>
      </c>
      <c r="Z13" s="97" t="str">
        <f ca="1">_xlfn.XLOOKUP(RTData[[#This Row],[Ticker_Symbol]],TickerList!$G12:$G106,TickerList!N12:N106)</f>
        <v>Jan 14, 2026</v>
      </c>
      <c r="AA13" s="98">
        <f ca="1">_xlfn.XLOOKUP(RTData[[#This Row],[Ticker_Symbol]],TickerList!$G12:$G106,TickerList!O12:O106)</f>
        <v>2.3699998999999999E-2</v>
      </c>
      <c r="AB13" s="99">
        <v>1E-4</v>
      </c>
      <c r="AC13" s="100">
        <v>3.0000000000000001E-3</v>
      </c>
      <c r="AD13" s="86">
        <v>13.26</v>
      </c>
      <c r="AE13" s="101">
        <f ca="1">_xlfn.LET(_xlpm.New1YT,RTData[[#This Row],[1YT]],        _xlpm.Old1YT,IF(ISNUMBER(RTData[[#This Row],[Old1YT]]),RTData[[#This Row],[Old1YT]],VALUE(LEFT(RTData[[#This Row],[Old1YT]],FIND("/",RTData[[#This Row],[Old1YT]],1)-1))),       IF(OR(RTData[[#This Row],[1YT]]=0,_xlpm.Old1YT=0),0,(_xlpm.New1YT-_xlpm.Old1YT)/_xlpm.Old1YT))</f>
        <v>7.579328808446455</v>
      </c>
      <c r="AF13" s="101" t="str">
        <f ca="1">TEXT(RTData[[#This Row],[1YT]],"#,#0.00")&amp;" &lt; "&amp;RTData[[#This Row],[Old1YT]]</f>
        <v>113.76 &lt; 13.26</v>
      </c>
    </row>
    <row r="14" spans="1:32" x14ac:dyDescent="0.3">
      <c r="A14" s="15" t="str" cm="1">
        <f t="array" aca="1" ref="A14" ca="1">_xlfn.SINGLE(RTData[suffix])&amp;_FV(RTData[[#This Row],[Company Name]],"Ticker symbol",TRUE)</f>
        <v>CSCO</v>
      </c>
      <c r="B14" s="15">
        <f ca="1">D99</f>
        <v>0.8700191404210893</v>
      </c>
      <c r="C14" t="e" vm="12">
        <v>#VALUE!</v>
      </c>
      <c r="D14" s="113" t="str" cm="1">
        <f t="array" aca="1" ref="D14" ca="1">_FV(RTData[[#This Row],[Company Name]],"Currency")</f>
        <v>USD</v>
      </c>
      <c r="E14" s="17" cm="1">
        <f t="array" aca="1" ref="E14" ca="1">_FV(RTData[[#This Row],[Company Name]],"Last trade time",TRUE)</f>
        <v>45966.997145150002</v>
      </c>
      <c r="F14" s="18" cm="1">
        <f t="array" aca="1" ref="F14" ca="1">_FV(RTData[[#This Row],[Company Name]],"Previous close",TRUE)</f>
        <v>72.319999999999993</v>
      </c>
      <c r="G14" s="18" cm="1">
        <f t="array" aca="1" ref="G14" ca="1">_FV(RTData[[#This Row],[Company Name]],"Open")</f>
        <v>72.22</v>
      </c>
      <c r="H14" s="18" cm="1">
        <f t="array" aca="1" ref="H14" ca="1">_FV(RTData[[#This Row],[Company Name]],"Price")</f>
        <v>72.099999999999994</v>
      </c>
      <c r="I14" s="18" cm="1">
        <f t="array" aca="1" ref="I14" ca="1">_FV(RTData[[#This Row],[Company Name]],"Low")</f>
        <v>71.34</v>
      </c>
      <c r="J14" s="18" cm="1">
        <f t="array" aca="1" ref="J14" ca="1">_FV(RTData[[#This Row],[Company Name]],"High")</f>
        <v>72.58</v>
      </c>
      <c r="K14" s="19" cm="1">
        <f t="array" aca="1" ref="K14" ca="1">IFERROR(_FV(RTData[[#This Row],[Company Name]],"P/E",TRUE),99)</f>
        <v>30.479800000000001</v>
      </c>
      <c r="L14" s="20" cm="1">
        <f t="array" aca="1" ref="L14" ca="1">_FV(RTData[[#This Row],[Company Name]],"Change")</f>
        <v>-0.22</v>
      </c>
      <c r="M14" s="21" cm="1">
        <f t="array" aca="1" ref="M14" ca="1">_FV(RTData[[#This Row],[Company Name]],"Change (%)",TRUE)</f>
        <v>-3.0420000000000004E-3</v>
      </c>
      <c r="N14" s="18" cm="1">
        <f t="array" aca="1" ref="N14" ca="1">_FV(RTData[[#This Row],[Company Name]],"52 week low",TRUE)</f>
        <v>52.11</v>
      </c>
      <c r="O14" s="18" cm="1">
        <f t="array" aca="1" ref="O14" ca="1">_FV(RTData[[#This Row],[Company Name]],"52 week high",TRUE)</f>
        <v>74.837999999999994</v>
      </c>
      <c r="P14" s="22" cm="1">
        <f t="array" aca="1" ref="P14" ca="1">_FV(RTData[[#This Row],[Company Name]],"Volume")</f>
        <v>16110965</v>
      </c>
      <c r="Q14" s="22" cm="1">
        <f t="array" aca="1" ref="Q14" ca="1">_FV(RTData[[#This Row],[Company Name]],"Volume average",TRUE)</f>
        <v>17757580</v>
      </c>
      <c r="R14" s="18" cm="1">
        <f t="array" aca="1" ref="R14" ca="1">_FV(RTData[[#This Row],[Company Name]],"Beta")</f>
        <v>0.86899999999999999</v>
      </c>
      <c r="T14" t="s">
        <v>19</v>
      </c>
      <c r="U14" t="str" cm="1">
        <f t="array" aca="1" ref="U14" ca="1">_FV(RTData[[#This Row],[Company Name]],"Exchange abbreviation",TRUE)</f>
        <v>XNAS</v>
      </c>
      <c r="V14" s="23">
        <f ca="1">IFERROR(RTData[[#This Row],[Volume]]/RTData[[#This Row],[Volume average]],1)</f>
        <v>0.90727255628300707</v>
      </c>
      <c r="W14" s="23"/>
      <c r="X14" s="104">
        <f ca="1">_xlfn.XLOOKUP(RTData[[#This Row],[Ticker_Symbol]],TickerList!$G13:$G107,TickerList!L13:L107)</f>
        <v>76.290949999999995</v>
      </c>
      <c r="Y14" s="97">
        <f ca="1">_xlfn.XLOOKUP(RTData[[#This Row],[Ticker_Symbol]],TickerList!$G13:$G107,TickerList!M13:M107)</f>
        <v>45933</v>
      </c>
      <c r="Z14" s="97" t="str">
        <f ca="1">_xlfn.XLOOKUP(RTData[[#This Row],[Ticker_Symbol]],TickerList!$G13:$G107,TickerList!N13:N107)</f>
        <v>Nov 12, 2025</v>
      </c>
      <c r="AA14" s="98">
        <f ca="1">_xlfn.XLOOKUP(RTData[[#This Row],[Ticker_Symbol]],TickerList!$G13:$G107,TickerList!O13:O107)</f>
        <v>2.24E-2</v>
      </c>
      <c r="AB14" s="99">
        <v>1E-4</v>
      </c>
      <c r="AC14" s="100">
        <v>3.0000000000000001E-3</v>
      </c>
      <c r="AD14" s="86" t="s">
        <v>50</v>
      </c>
      <c r="AE14" s="101">
        <f ca="1">_xlfn.LET(_xlpm.New1YT,RTData[[#This Row],[1YT]],        _xlpm.Old1YT,IF(ISNUMBER(RTData[[#This Row],[Old1YT]]),RTData[[#This Row],[Old1YT]],VALUE(LEFT(RTData[[#This Row],[Old1YT]],FIND("/",RTData[[#This Row],[Old1YT]],1)-1))),       IF(OR(RTData[[#This Row],[1YT]]=0,_xlpm.Old1YT=0),0,(_xlpm.New1YT-_xlpm.Old1YT)/_xlpm.Old1YT))</f>
        <v>-0.1269060425726711</v>
      </c>
      <c r="AF14" s="101" t="str">
        <f ca="1">TEXT(RTData[[#This Row],[1YT]],"#,#0.00")&amp;" &lt; "&amp;RTData[[#This Row],[Old1YT]]</f>
        <v>76.29 &lt; 87.38/72.32</v>
      </c>
    </row>
    <row r="15" spans="1:32" x14ac:dyDescent="0.3">
      <c r="A15" s="15" t="str" cm="1">
        <f t="array" aca="1" ref="A15" ca="1">_xlfn.SINGLE(RTData[suffix])&amp;_FV(RTData[[#This Row],[Company Name]],"Ticker symbol",TRUE)</f>
        <v>CVS</v>
      </c>
      <c r="B15" s="15">
        <f ca="1">D99</f>
        <v>0.8700191404210893</v>
      </c>
      <c r="C15" t="e" vm="13">
        <v>#VALUE!</v>
      </c>
      <c r="D15" s="113" t="str" cm="1">
        <f t="array" aca="1" ref="D15" ca="1">_FV(RTData[[#This Row],[Company Name]],"Currency")</f>
        <v>USD</v>
      </c>
      <c r="E15" s="17" cm="1">
        <f t="array" aca="1" ref="E15" ca="1">_FV(RTData[[#This Row],[Company Name]],"Last trade time",TRUE)</f>
        <v>45966.996455428125</v>
      </c>
      <c r="F15" s="18" cm="1">
        <f t="array" aca="1" ref="F15" ca="1">_FV(RTData[[#This Row],[Company Name]],"Previous close",TRUE)</f>
        <v>78.08</v>
      </c>
      <c r="G15" s="18" cm="1">
        <f t="array" aca="1" ref="G15" ca="1">_FV(RTData[[#This Row],[Company Name]],"Open")</f>
        <v>77.989999999999995</v>
      </c>
      <c r="H15" s="18" cm="1">
        <f t="array" aca="1" ref="H15" ca="1">_FV(RTData[[#This Row],[Company Name]],"Price")</f>
        <v>78.56</v>
      </c>
      <c r="I15" s="18" cm="1">
        <f t="array" aca="1" ref="I15" ca="1">_FV(RTData[[#This Row],[Company Name]],"Low")</f>
        <v>77.89</v>
      </c>
      <c r="J15" s="18" cm="1">
        <f t="array" aca="1" ref="J15" ca="1">_FV(RTData[[#This Row],[Company Name]],"High")</f>
        <v>79.260000000000005</v>
      </c>
      <c r="K15" s="19" cm="1">
        <f t="array" aca="1" ref="K15" ca="1">IFERROR(_FV(RTData[[#This Row],[Company Name]],"P/E",TRUE),99)</f>
        <v>205.81610000000001</v>
      </c>
      <c r="L15" s="20" cm="1">
        <f t="array" aca="1" ref="L15" ca="1">_FV(RTData[[#This Row],[Company Name]],"Change")</f>
        <v>0.48</v>
      </c>
      <c r="M15" s="21" cm="1">
        <f t="array" aca="1" ref="M15" ca="1">_FV(RTData[[#This Row],[Company Name]],"Change (%)",TRUE)</f>
        <v>6.1479999999999998E-3</v>
      </c>
      <c r="N15" s="18" cm="1">
        <f t="array" aca="1" ref="N15" ca="1">_FV(RTData[[#This Row],[Company Name]],"52 week low",TRUE)</f>
        <v>43.56</v>
      </c>
      <c r="O15" s="18" cm="1">
        <f t="array" aca="1" ref="O15" ca="1">_FV(RTData[[#This Row],[Company Name]],"52 week high",TRUE)</f>
        <v>85.15</v>
      </c>
      <c r="P15" s="22" cm="1">
        <f t="array" aca="1" ref="P15" ca="1">_FV(RTData[[#This Row],[Company Name]],"Volume")</f>
        <v>6078942</v>
      </c>
      <c r="Q15" s="22" cm="1">
        <f t="array" aca="1" ref="Q15" ca="1">_FV(RTData[[#This Row],[Company Name]],"Volume average",TRUE)</f>
        <v>8003629</v>
      </c>
      <c r="R15" s="18" cm="1">
        <f t="array" aca="1" ref="R15" ca="1">_FV(RTData[[#This Row],[Company Name]],"Beta")</f>
        <v>0.48180000000000001</v>
      </c>
      <c r="T15" t="s">
        <v>19</v>
      </c>
      <c r="U15" t="str" cm="1">
        <f t="array" aca="1" ref="U15" ca="1">_FV(RTData[[#This Row],[Company Name]],"Exchange abbreviation",TRUE)</f>
        <v>XNYS</v>
      </c>
      <c r="V15" s="23">
        <f ca="1">IFERROR(RTData[[#This Row],[Volume]]/RTData[[#This Row],[Volume average]],1)</f>
        <v>0.7595232112832816</v>
      </c>
      <c r="W15" s="23"/>
      <c r="X15" s="104">
        <f ca="1">_xlfn.XLOOKUP(RTData[[#This Row],[Ticker_Symbol]],TickerList!$G14:$G108,TickerList!L14:L108)</f>
        <v>90.48</v>
      </c>
      <c r="Y15" s="97">
        <f ca="1">_xlfn.XLOOKUP(RTData[[#This Row],[Ticker_Symbol]],TickerList!$G14:$G108,TickerList!M14:M108)</f>
        <v>45953</v>
      </c>
      <c r="Z15" s="97" t="str">
        <f ca="1">_xlfn.XLOOKUP(RTData[[#This Row],[Ticker_Symbol]],TickerList!$G14:$G108,TickerList!N14:N108)</f>
        <v>Oct 29, 2025</v>
      </c>
      <c r="AA15" s="98">
        <f ca="1">_xlfn.XLOOKUP(RTData[[#This Row],[Ticker_Symbol]],TickerList!$G14:$G108,TickerList!O14:O108)</f>
        <v>3.4000000000000002E-2</v>
      </c>
      <c r="AB15" s="99">
        <v>1E-4</v>
      </c>
      <c r="AC15" s="100">
        <v>3.0000000000000001E-3</v>
      </c>
      <c r="AD15" s="86" t="s">
        <v>73</v>
      </c>
      <c r="AE15" s="101">
        <f ca="1">_xlfn.LET(_xlpm.New1YT,RTData[[#This Row],[1YT]],        _xlpm.Old1YT,IF(ISNUMBER(RTData[[#This Row],[Old1YT]]),RTData[[#This Row],[Old1YT]],VALUE(LEFT(RTData[[#This Row],[Old1YT]],FIND("/",RTData[[#This Row],[Old1YT]],1)-1))),       IF(OR(RTData[[#This Row],[1YT]]=0,_xlpm.Old1YT=0),0,(_xlpm.New1YT-_xlpm.Old1YT)/_xlpm.Old1YT))</f>
        <v>0.19343515695360633</v>
      </c>
      <c r="AF15" s="101" t="str">
        <f ca="1">TEXT(RTData[[#This Row],[1YT]],"#,#0.00")&amp;" &lt; "&amp;RTData[[#This Row],[Old1YT]]</f>
        <v>90.48 &lt; 75.81476/55.04</v>
      </c>
    </row>
    <row r="16" spans="1:32" x14ac:dyDescent="0.3">
      <c r="A16" s="15" t="str" cm="1">
        <f t="array" aca="1" ref="A16" ca="1">_xlfn.SINGLE(RTData[suffix])&amp;_FV(RTData[[#This Row],[Company Name]],"Ticker symbol",TRUE)</f>
        <v>DDD</v>
      </c>
      <c r="B16" s="15">
        <f ca="1">D99</f>
        <v>0.8700191404210893</v>
      </c>
      <c r="C16" t="e" vm="14">
        <v>#VALUE!</v>
      </c>
      <c r="D16" s="113" t="str" cm="1">
        <f t="array" aca="1" ref="D16" ca="1">_FV(RTData[[#This Row],[Company Name]],"Currency")</f>
        <v>USD</v>
      </c>
      <c r="E16" s="17" cm="1">
        <f t="array" aca="1" ref="E16" ca="1">_FV(RTData[[#This Row],[Company Name]],"Last trade time",TRUE)</f>
        <v>45966.987017685155</v>
      </c>
      <c r="F16" s="18" cm="1">
        <f t="array" aca="1" ref="F16" ca="1">_FV(RTData[[#This Row],[Company Name]],"Previous close",TRUE)</f>
        <v>2.62</v>
      </c>
      <c r="G16" s="18" cm="1">
        <f t="array" aca="1" ref="G16" ca="1">_FV(RTData[[#This Row],[Company Name]],"Open")</f>
        <v>2.5</v>
      </c>
      <c r="H16" s="18" cm="1">
        <f t="array" aca="1" ref="H16" ca="1">_FV(RTData[[#This Row],[Company Name]],"Price")</f>
        <v>2.6</v>
      </c>
      <c r="I16" s="18" cm="1">
        <f t="array" aca="1" ref="I16" ca="1">_FV(RTData[[#This Row],[Company Name]],"Low")</f>
        <v>2.4</v>
      </c>
      <c r="J16" s="18" cm="1">
        <f t="array" aca="1" ref="J16" ca="1">_FV(RTData[[#This Row],[Company Name]],"High")</f>
        <v>2.6949999999999998</v>
      </c>
      <c r="K16" s="19" cm="1">
        <f t="array" ref="K16">IFERROR(_FV(RTData[[#This Row],[Company Name]],"P/E",TRUE),99)</f>
        <v>99</v>
      </c>
      <c r="L16" s="20" cm="1">
        <f t="array" aca="1" ref="L16" ca="1">_FV(RTData[[#This Row],[Company Name]],"Change")</f>
        <v>-0.02</v>
      </c>
      <c r="M16" s="21" cm="1">
        <f t="array" aca="1" ref="M16" ca="1">_FV(RTData[[#This Row],[Company Name]],"Change (%)",TRUE)</f>
        <v>-7.6339999999999993E-3</v>
      </c>
      <c r="N16" s="18" cm="1">
        <f t="array" aca="1" ref="N16" ca="1">_FV(RTData[[#This Row],[Company Name]],"52 week low",TRUE)</f>
        <v>1.32</v>
      </c>
      <c r="O16" s="18" cm="1">
        <f t="array" aca="1" ref="O16" ca="1">_FV(RTData[[#This Row],[Company Name]],"52 week high",TRUE)</f>
        <v>4.9991000000000003</v>
      </c>
      <c r="P16" s="22" cm="1">
        <f t="array" aca="1" ref="P16" ca="1">_FV(RTData[[#This Row],[Company Name]],"Volume")</f>
        <v>5452199</v>
      </c>
      <c r="Q16" s="22" cm="1">
        <f t="array" aca="1" ref="Q16" ca="1">_FV(RTData[[#This Row],[Company Name]],"Volume average",TRUE)</f>
        <v>4450047</v>
      </c>
      <c r="R16" s="18" cm="1">
        <f t="array" aca="1" ref="R16" ca="1">_FV(RTData[[#This Row],[Company Name]],"Beta")</f>
        <v>1.8775999999999999</v>
      </c>
      <c r="T16" t="s">
        <v>19</v>
      </c>
      <c r="U16" t="str" cm="1">
        <f t="array" aca="1" ref="U16" ca="1">_FV(RTData[[#This Row],[Company Name]],"Exchange abbreviation",TRUE)</f>
        <v>XNYS</v>
      </c>
      <c r="V16" s="23">
        <f ca="1">IFERROR(RTData[[#This Row],[Volume]]/RTData[[#This Row],[Volume average]],1)</f>
        <v>1.2252003181089997</v>
      </c>
      <c r="W16" s="23"/>
      <c r="X16" s="104">
        <f ca="1">_xlfn.XLOOKUP(RTData[[#This Row],[Ticker_Symbol]],TickerList!$G15:$G109,TickerList!L15:L109)</f>
        <v>3.25</v>
      </c>
      <c r="Y16" s="97">
        <f ca="1">_xlfn.XLOOKUP(RTData[[#This Row],[Ticker_Symbol]],TickerList!$G15:$G109,TickerList!M15:M109)</f>
        <v>0</v>
      </c>
      <c r="Z16" s="97" t="str">
        <f ca="1">_xlfn.XLOOKUP(RTData[[#This Row],[Ticker_Symbol]],TickerList!$G15:$G109,TickerList!N15:N109)</f>
        <v>Nov 4, 2025</v>
      </c>
      <c r="AA16" s="98">
        <f ca="1">_xlfn.XLOOKUP(RTData[[#This Row],[Ticker_Symbol]],TickerList!$G15:$G109,TickerList!O15:O109)</f>
        <v>0</v>
      </c>
      <c r="AB16" s="99">
        <v>1E-4</v>
      </c>
      <c r="AC16" s="100">
        <v>3.0000000000000001E-3</v>
      </c>
      <c r="AD16" s="86">
        <v>72.3</v>
      </c>
      <c r="AE16" s="101">
        <f ca="1">_xlfn.LET(_xlpm.New1YT,RTData[[#This Row],[1YT]],        _xlpm.Old1YT,IF(ISNUMBER(RTData[[#This Row],[Old1YT]]),RTData[[#This Row],[Old1YT]],VALUE(LEFT(RTData[[#This Row],[Old1YT]],FIND("/",RTData[[#This Row],[Old1YT]],1)-1))),       IF(OR(RTData[[#This Row],[1YT]]=0,_xlpm.Old1YT=0),0,(_xlpm.New1YT-_xlpm.Old1YT)/_xlpm.Old1YT))</f>
        <v>-0.95504840940525593</v>
      </c>
      <c r="AF16" s="101" t="str">
        <f ca="1">TEXT(RTData[[#This Row],[1YT]],"#,#0.00")&amp;" &lt; "&amp;RTData[[#This Row],[Old1YT]]</f>
        <v>3.25 &lt; 72.3</v>
      </c>
    </row>
    <row r="17" spans="1:32" x14ac:dyDescent="0.3">
      <c r="A17" s="15" t="str" cm="1">
        <f t="array" aca="1" ref="A17" ca="1">_xlfn.SINGLE(RTData[suffix])&amp;_FV(RTData[[#This Row],[Company Name]],"Ticker symbol",TRUE)</f>
        <v>DIS</v>
      </c>
      <c r="B17" s="15">
        <f ca="1">D99</f>
        <v>0.8700191404210893</v>
      </c>
      <c r="C17" t="e" vm="15">
        <v>#VALUE!</v>
      </c>
      <c r="D17" s="113" t="str" cm="1">
        <f t="array" aca="1" ref="D17" ca="1">_FV(RTData[[#This Row],[Company Name]],"Currency")</f>
        <v>USD</v>
      </c>
      <c r="E17" s="17" cm="1">
        <f t="array" aca="1" ref="E17" ca="1">_FV(RTData[[#This Row],[Company Name]],"Last trade time",TRUE)</f>
        <v>45966.996612372655</v>
      </c>
      <c r="F17" s="18" cm="1">
        <f t="array" aca="1" ref="F17" ca="1">_FV(RTData[[#This Row],[Company Name]],"Previous close",TRUE)</f>
        <v>111.47</v>
      </c>
      <c r="G17" s="18" cm="1">
        <f t="array" aca="1" ref="G17" ca="1">_FV(RTData[[#This Row],[Company Name]],"Open")</f>
        <v>111.35</v>
      </c>
      <c r="H17" s="18" cm="1">
        <f t="array" aca="1" ref="H17" ca="1">_FV(RTData[[#This Row],[Company Name]],"Price")</f>
        <v>111.34</v>
      </c>
      <c r="I17" s="18" cm="1">
        <f t="array" aca="1" ref="I17" ca="1">_FV(RTData[[#This Row],[Company Name]],"Low")</f>
        <v>110.6</v>
      </c>
      <c r="J17" s="18" cm="1">
        <f t="array" aca="1" ref="J17" ca="1">_FV(RTData[[#This Row],[Company Name]],"High")</f>
        <v>111.97</v>
      </c>
      <c r="K17" s="19" cm="1">
        <f t="array" aca="1" ref="K17" ca="1">IFERROR(_FV(RTData[[#This Row],[Company Name]],"P/E",TRUE),99)</f>
        <v>17.4558</v>
      </c>
      <c r="L17" s="20" cm="1">
        <f t="array" aca="1" ref="L17" ca="1">_FV(RTData[[#This Row],[Company Name]],"Change")</f>
        <v>-0.13</v>
      </c>
      <c r="M17" s="21" cm="1">
        <f t="array" aca="1" ref="M17" ca="1">_FV(RTData[[#This Row],[Company Name]],"Change (%)",TRUE)</f>
        <v>-1.1659999999999999E-3</v>
      </c>
      <c r="N17" s="18" cm="1">
        <f t="array" aca="1" ref="N17" ca="1">_FV(RTData[[#This Row],[Company Name]],"52 week low",TRUE)</f>
        <v>80.099999999999994</v>
      </c>
      <c r="O17" s="18" cm="1">
        <f t="array" aca="1" ref="O17" ca="1">_FV(RTData[[#This Row],[Company Name]],"52 week high",TRUE)</f>
        <v>124.69</v>
      </c>
      <c r="P17" s="22" cm="1">
        <f t="array" aca="1" ref="P17" ca="1">_FV(RTData[[#This Row],[Company Name]],"Volume")</f>
        <v>5745085</v>
      </c>
      <c r="Q17" s="22" cm="1">
        <f t="array" aca="1" ref="Q17" ca="1">_FV(RTData[[#This Row],[Company Name]],"Volume average",TRUE)</f>
        <v>7629637</v>
      </c>
      <c r="R17" s="18" cm="1">
        <f t="array" aca="1" ref="R17" ca="1">_FV(RTData[[#This Row],[Company Name]],"Beta")</f>
        <v>1.4863999999999999</v>
      </c>
      <c r="T17" t="s">
        <v>19</v>
      </c>
      <c r="U17" t="str" cm="1">
        <f t="array" aca="1" ref="U17" ca="1">_FV(RTData[[#This Row],[Company Name]],"Exchange abbreviation",TRUE)</f>
        <v>XNYS</v>
      </c>
      <c r="V17" s="23">
        <f ca="1">IFERROR(RTData[[#This Row],[Volume]]/RTData[[#This Row],[Volume average]],1)</f>
        <v>0.75299585026129023</v>
      </c>
      <c r="W17" s="23"/>
      <c r="X17" s="104">
        <f ca="1">_xlfn.XLOOKUP(RTData[[#This Row],[Ticker_Symbol]],TickerList!$G16:$G110,TickerList!L16:L110)</f>
        <v>134.07239999999999</v>
      </c>
      <c r="Y17" s="97">
        <f ca="1">_xlfn.XLOOKUP(RTData[[#This Row],[Ticker_Symbol]],TickerList!$G16:$G110,TickerList!M16:M110)</f>
        <v>45832</v>
      </c>
      <c r="Z17" s="97" t="str">
        <f ca="1">_xlfn.XLOOKUP(RTData[[#This Row],[Ticker_Symbol]],TickerList!$G16:$G110,TickerList!N16:N110)</f>
        <v>Nov 13, 2025</v>
      </c>
      <c r="AA17" s="98">
        <f ca="1">_xlfn.XLOOKUP(RTData[[#This Row],[Ticker_Symbol]],TickerList!$G16:$G110,TickerList!O16:O110)</f>
        <v>8.8999999999999999E-3</v>
      </c>
      <c r="AB17" s="99">
        <v>1E-4</v>
      </c>
      <c r="AC17" s="100">
        <v>3.0000000000000001E-3</v>
      </c>
      <c r="AD17" s="86">
        <v>3.94</v>
      </c>
      <c r="AE17" s="101">
        <f ca="1">_xlfn.LET(_xlpm.New1YT,RTData[[#This Row],[1YT]],        _xlpm.Old1YT,IF(ISNUMBER(RTData[[#This Row],[Old1YT]]),RTData[[#This Row],[Old1YT]],VALUE(LEFT(RTData[[#This Row],[Old1YT]],FIND("/",RTData[[#This Row],[Old1YT]],1)-1))),       IF(OR(RTData[[#This Row],[1YT]]=0,_xlpm.Old1YT=0),0,(_xlpm.New1YT-_xlpm.Old1YT)/_xlpm.Old1YT))</f>
        <v>33.028527918781727</v>
      </c>
      <c r="AF17" s="101" t="str">
        <f ca="1">TEXT(RTData[[#This Row],[1YT]],"#,#0.00")&amp;" &lt; "&amp;RTData[[#This Row],[Old1YT]]</f>
        <v>134.07 &lt; 3.94</v>
      </c>
    </row>
    <row r="18" spans="1:32" x14ac:dyDescent="0.3">
      <c r="A18" s="15" t="str" cm="1">
        <f t="array" aca="1" ref="A18" ca="1">_xlfn.SINGLE(RTData[suffix])&amp;_FV(RTData[[#This Row],[Company Name]],"Ticker symbol",TRUE)</f>
        <v>DSY</v>
      </c>
      <c r="B18" s="15">
        <f ca="1">D99</f>
        <v>0.8700191404210893</v>
      </c>
      <c r="C18" t="e" vm="16">
        <v>#VALUE!</v>
      </c>
      <c r="D18" s="113" t="str" cm="1">
        <f t="array" aca="1" ref="D18" ca="1">_FV(RTData[[#This Row],[Company Name]],"Currency")</f>
        <v>EUR</v>
      </c>
      <c r="E18" s="17" cm="1">
        <f t="array" aca="1" ref="E18" ca="1">_FV(RTData[[#This Row],[Company Name]],"Last trade time",TRUE)</f>
        <v>45966.708333333336</v>
      </c>
      <c r="F18" s="18" cm="1">
        <f t="array" aca="1" ref="F18" ca="1">_FV(RTData[[#This Row],[Company Name]],"Previous close",TRUE)</f>
        <v>24.04</v>
      </c>
      <c r="G18" s="18" cm="1">
        <f t="array" aca="1" ref="G18" ca="1">_FV(RTData[[#This Row],[Company Name]],"Open")</f>
        <v>23.86</v>
      </c>
      <c r="H18" s="18" cm="1">
        <f t="array" aca="1" ref="H18" ca="1">_FV(RTData[[#This Row],[Company Name]],"Price")</f>
        <v>23.98</v>
      </c>
      <c r="I18" s="18" cm="1">
        <f t="array" aca="1" ref="I18" ca="1">_FV(RTData[[#This Row],[Company Name]],"Low")</f>
        <v>23.75</v>
      </c>
      <c r="J18" s="18" cm="1">
        <f t="array" aca="1" ref="J18" ca="1">_FV(RTData[[#This Row],[Company Name]],"High")</f>
        <v>24.12</v>
      </c>
      <c r="K18" s="19" cm="1">
        <f t="array" aca="1" ref="K18" ca="1">IFERROR(_FV(RTData[[#This Row],[Company Name]],"P/E",TRUE),99)</f>
        <v>26.793299999999999</v>
      </c>
      <c r="L18" s="20" cm="1">
        <f t="array" aca="1" ref="L18" ca="1">_FV(RTData[[#This Row],[Company Name]],"Change")</f>
        <v>-0.06</v>
      </c>
      <c r="M18" s="21" cm="1">
        <f t="array" aca="1" ref="M18" ca="1">_FV(RTData[[#This Row],[Company Name]],"Change (%)",TRUE)</f>
        <v>-2.496E-3</v>
      </c>
      <c r="N18" s="18" cm="1">
        <f t="array" aca="1" ref="N18" ca="1">_FV(RTData[[#This Row],[Company Name]],"52 week low",TRUE)</f>
        <v>23.75</v>
      </c>
      <c r="O18" s="18" cm="1">
        <f t="array" aca="1" ref="O18" ca="1">_FV(RTData[[#This Row],[Company Name]],"52 week high",TRUE)</f>
        <v>41.17</v>
      </c>
      <c r="P18" s="22" cm="1">
        <f t="array" aca="1" ref="P18" ca="1">_FV(RTData[[#This Row],[Company Name]],"Volume")</f>
        <v>1361709</v>
      </c>
      <c r="Q18" s="22" cm="1">
        <f t="array" aca="1" ref="Q18" ca="1">_FV(RTData[[#This Row],[Company Name]],"Volume average",TRUE)</f>
        <v>2619000</v>
      </c>
      <c r="R18" s="18" cm="1">
        <f t="array" aca="1" ref="R18" ca="1">_FV(RTData[[#This Row],[Company Name]],"Beta")</f>
        <v>0.78910000000000002</v>
      </c>
      <c r="T18" t="s">
        <v>19</v>
      </c>
      <c r="U18" t="str" cm="1">
        <f t="array" aca="1" ref="U18" ca="1">_FV(RTData[[#This Row],[Company Name]],"Exchange abbreviation",TRUE)</f>
        <v>XPAR</v>
      </c>
      <c r="V18" s="23">
        <f ca="1">IFERROR(RTData[[#This Row],[Volume]]/RTData[[#This Row],[Volume average]],1)</f>
        <v>0.51993470790378005</v>
      </c>
      <c r="W18" s="23"/>
      <c r="X18" s="104">
        <f ca="1">_xlfn.XLOOKUP(RTData[[#This Row],[Ticker_Symbol]],TickerList!$G17:$G111,TickerList!L17:L111)</f>
        <v>31.877780000000001</v>
      </c>
      <c r="Y18" s="97">
        <f ca="1">_xlfn.XLOOKUP(RTData[[#This Row],[Ticker_Symbol]],TickerList!$G17:$G111,TickerList!M17:M111)</f>
        <v>45803</v>
      </c>
      <c r="Z18" s="97">
        <f ca="1">_xlfn.XLOOKUP(RTData[[#This Row],[Ticker_Symbol]],TickerList!$G17:$G111,TickerList!N17:N111)</f>
        <v>0</v>
      </c>
      <c r="AA18" s="98">
        <f ca="1">_xlfn.XLOOKUP(RTData[[#This Row],[Ticker_Symbol]],TickerList!$G17:$G111,TickerList!O17:O111)</f>
        <v>1.06E-2</v>
      </c>
      <c r="AB18" s="99">
        <v>1E-4</v>
      </c>
      <c r="AC18" s="100">
        <v>3.0000000000000001E-3</v>
      </c>
      <c r="AD18" s="86">
        <v>111.22</v>
      </c>
      <c r="AE18" s="101">
        <f ca="1">_xlfn.LET(_xlpm.New1YT,RTData[[#This Row],[1YT]],        _xlpm.Old1YT,IF(ISNUMBER(RTData[[#This Row],[Old1YT]]),RTData[[#This Row],[Old1YT]],VALUE(LEFT(RTData[[#This Row],[Old1YT]],FIND("/",RTData[[#This Row],[Old1YT]],1)-1))),       IF(OR(RTData[[#This Row],[1YT]]=0,_xlpm.Old1YT=0),0,(_xlpm.New1YT-_xlpm.Old1YT)/_xlpm.Old1YT))</f>
        <v>-0.71338086675058443</v>
      </c>
      <c r="AF18" s="101" t="str">
        <f ca="1">TEXT(RTData[[#This Row],[1YT]],"#,#0.00")&amp;" &lt; "&amp;RTData[[#This Row],[Old1YT]]</f>
        <v>31.88 &lt; 111.22</v>
      </c>
    </row>
    <row r="19" spans="1:32" x14ac:dyDescent="0.3">
      <c r="A19" s="15" t="str" cm="1">
        <f t="array" aca="1" ref="A19" ca="1">_xlfn.SINGLE(RTData[suffix])&amp;_FV(RTData[[#This Row],[Company Name]],"Ticker symbol",TRUE)</f>
        <v>DVA</v>
      </c>
      <c r="B19" s="15">
        <v>1</v>
      </c>
      <c r="C19" t="e" vm="17">
        <v>#VALUE!</v>
      </c>
      <c r="D19" s="113" t="str" cm="1">
        <f t="array" aca="1" ref="D19" ca="1">_FV(RTData[[#This Row],[Company Name]],"Currency")</f>
        <v>USD</v>
      </c>
      <c r="E19" s="17" cm="1">
        <f t="array" aca="1" ref="E19" ca="1">_FV(RTData[[#This Row],[Company Name]],"Last trade time",TRUE)</f>
        <v>45966.97916668906</v>
      </c>
      <c r="F19" s="27" cm="1">
        <f t="array" aca="1" ref="F19" ca="1">_FV(RTData[[#This Row],[Company Name]],"Previous close",TRUE)</f>
        <v>119.97</v>
      </c>
      <c r="G19" s="27" cm="1">
        <f t="array" aca="1" ref="G19" ca="1">_FV(RTData[[#This Row],[Company Name]],"Open")</f>
        <v>119.69</v>
      </c>
      <c r="H19" s="27" cm="1">
        <f t="array" aca="1" ref="H19" ca="1">_FV(RTData[[#This Row],[Company Name]],"Price")</f>
        <v>121.16</v>
      </c>
      <c r="I19" s="27" cm="1">
        <f t="array" aca="1" ref="I19" ca="1">_FV(RTData[[#This Row],[Company Name]],"Low")</f>
        <v>119.245</v>
      </c>
      <c r="J19" s="27" cm="1">
        <f t="array" aca="1" ref="J19" ca="1">_FV(RTData[[#This Row],[Company Name]],"High")</f>
        <v>121.87</v>
      </c>
      <c r="K19" s="19" cm="1">
        <f t="array" aca="1" ref="K19" ca="1">IFERROR(_FV(RTData[[#This Row],[Company Name]],"P/E",TRUE),99)</f>
        <v>12.474500000000001</v>
      </c>
      <c r="L19" s="20" cm="1">
        <f t="array" aca="1" ref="L19" ca="1">_FV(RTData[[#This Row],[Company Name]],"Change")</f>
        <v>1.19</v>
      </c>
      <c r="M19" s="21" cm="1">
        <f t="array" aca="1" ref="M19" ca="1">_FV(RTData[[#This Row],[Company Name]],"Change (%)",TRUE)</f>
        <v>9.9190000000000007E-3</v>
      </c>
      <c r="N19" s="27" cm="1">
        <f t="array" aca="1" ref="N19" ca="1">_FV(RTData[[#This Row],[Company Name]],"52 week low",TRUE)</f>
        <v>115.39</v>
      </c>
      <c r="O19" s="27" cm="1">
        <f t="array" aca="1" ref="O19" ca="1">_FV(RTData[[#This Row],[Company Name]],"52 week high",TRUE)</f>
        <v>179.6</v>
      </c>
      <c r="P19" s="22" cm="1">
        <f t="array" aca="1" ref="P19" ca="1">_FV(RTData[[#This Row],[Company Name]],"Volume")</f>
        <v>936632</v>
      </c>
      <c r="Q19" s="22" cm="1">
        <f t="array" aca="1" ref="Q19" ca="1">_FV(RTData[[#This Row],[Company Name]],"Volume average",TRUE)</f>
        <v>818913</v>
      </c>
      <c r="R19" s="27" cm="1">
        <f t="array" aca="1" ref="R19" ca="1">_FV(RTData[[#This Row],[Company Name]],"Beta")</f>
        <v>0.98980000000000001</v>
      </c>
      <c r="T19" t="s">
        <v>19</v>
      </c>
      <c r="U19" t="str" cm="1">
        <f t="array" aca="1" ref="U19" ca="1">_FV(RTData[[#This Row],[Company Name]],"Exchange abbreviation",TRUE)</f>
        <v>XNYS</v>
      </c>
      <c r="V19" s="23">
        <f ca="1">IFERROR(RTData[[#This Row],[Volume]]/RTData[[#This Row],[Volume average]],1)</f>
        <v>1.143750312914803</v>
      </c>
      <c r="W19" s="23"/>
      <c r="X19" s="104">
        <f ca="1">_xlfn.XLOOKUP(RTData[[#This Row],[Ticker_Symbol]],TickerList!$G18:$G112,TickerList!L18:L112)</f>
        <v>147.125</v>
      </c>
      <c r="Y19" s="97">
        <f ca="1">_xlfn.XLOOKUP(RTData[[#This Row],[Ticker_Symbol]],TickerList!$G18:$G112,TickerList!M18:M112)</f>
        <v>0</v>
      </c>
      <c r="Z19" s="97" t="str">
        <f ca="1">_xlfn.XLOOKUP(RTData[[#This Row],[Ticker_Symbol]],TickerList!$G18:$G112,TickerList!N18:N112)</f>
        <v>Oct 29, 2025</v>
      </c>
      <c r="AA19" s="98">
        <f ca="1">_xlfn.XLOOKUP(RTData[[#This Row],[Ticker_Symbol]],TickerList!$G18:$G112,TickerList!O18:O112)</f>
        <v>0</v>
      </c>
      <c r="AB19" s="99"/>
      <c r="AC19" s="100">
        <v>3.0000000000000001E-3</v>
      </c>
      <c r="AD19" s="86" t="s">
        <v>62</v>
      </c>
      <c r="AE19" s="101">
        <f ca="1">_xlfn.LET(_xlpm.New1YT,RTData[[#This Row],[1YT]],        _xlpm.Old1YT,IF(ISNUMBER(RTData[[#This Row],[Old1YT]]),RTData[[#This Row],[Old1YT]],VALUE(LEFT(RTData[[#This Row],[Old1YT]],FIND("/",RTData[[#This Row],[Old1YT]],1)-1))),       IF(OR(RTData[[#This Row],[1YT]]=0,_xlpm.Old1YT=0),0,(_xlpm.New1YT-_xlpm.Old1YT)/_xlpm.Old1YT))</f>
        <v>2.8747695549117727</v>
      </c>
      <c r="AF19" s="101" t="str">
        <f ca="1">TEXT(RTData[[#This Row],[1YT]],"#,#0.00")&amp;" &lt; "&amp;RTData[[#This Row],[Old1YT]]</f>
        <v>147.13 &lt; 37.97/38.13/38.23</v>
      </c>
    </row>
    <row r="20" spans="1:32" x14ac:dyDescent="0.3">
      <c r="A20" s="15" t="str" cm="1">
        <f t="array" aca="1" ref="A20" ca="1">_xlfn.SINGLE(RTData[suffix])&amp;_FV(RTData[[#This Row],[Company Name]],"Ticker symbol",TRUE)</f>
        <v>DXC</v>
      </c>
      <c r="B20" s="15">
        <f ca="1">D99</f>
        <v>0.8700191404210893</v>
      </c>
      <c r="C20" t="e" vm="18">
        <v>#VALUE!</v>
      </c>
      <c r="D20" s="113" t="str" cm="1">
        <f t="array" aca="1" ref="D20" ca="1">_FV(RTData[[#This Row],[Company Name]],"Currency")</f>
        <v>USD</v>
      </c>
      <c r="E20" s="17" cm="1">
        <f t="array" aca="1" ref="E20" ca="1">_FV(RTData[[#This Row],[Company Name]],"Last trade time",TRUE)</f>
        <v>45966.979166678124</v>
      </c>
      <c r="F20" s="18" cm="1">
        <f t="array" aca="1" ref="F20" ca="1">_FV(RTData[[#This Row],[Company Name]],"Previous close",TRUE)</f>
        <v>13.54</v>
      </c>
      <c r="G20" s="18" cm="1">
        <f t="array" aca="1" ref="G20" ca="1">_FV(RTData[[#This Row],[Company Name]],"Open")</f>
        <v>13.59</v>
      </c>
      <c r="H20" s="18" cm="1">
        <f t="array" aca="1" ref="H20" ca="1">_FV(RTData[[#This Row],[Company Name]],"Price")</f>
        <v>13.81</v>
      </c>
      <c r="I20" s="18" cm="1">
        <f t="array" aca="1" ref="I20" ca="1">_FV(RTData[[#This Row],[Company Name]],"Low")</f>
        <v>13.59</v>
      </c>
      <c r="J20" s="18" cm="1">
        <f t="array" aca="1" ref="J20" ca="1">_FV(RTData[[#This Row],[Company Name]],"High")</f>
        <v>14.135</v>
      </c>
      <c r="K20" s="19" cm="1">
        <f t="array" aca="1" ref="K20" ca="1">IFERROR(_FV(RTData[[#This Row],[Company Name]],"P/E",TRUE),99)</f>
        <v>6.7431999999999999</v>
      </c>
      <c r="L20" s="20" cm="1">
        <f t="array" aca="1" ref="L20" ca="1">_FV(RTData[[#This Row],[Company Name]],"Change")</f>
        <v>0.27</v>
      </c>
      <c r="M20" s="21" cm="1">
        <f t="array" aca="1" ref="M20" ca="1">_FV(RTData[[#This Row],[Company Name]],"Change (%)",TRUE)</f>
        <v>1.9941E-2</v>
      </c>
      <c r="N20" s="18" cm="1">
        <f t="array" aca="1" ref="N20" ca="1">_FV(RTData[[#This Row],[Company Name]],"52 week low",TRUE)</f>
        <v>12.24</v>
      </c>
      <c r="O20" s="18" cm="1">
        <f t="array" aca="1" ref="O20" ca="1">_FV(RTData[[#This Row],[Company Name]],"52 week high",TRUE)</f>
        <v>24.83</v>
      </c>
      <c r="P20" s="22" cm="1">
        <f t="array" aca="1" ref="P20" ca="1">_FV(RTData[[#This Row],[Company Name]],"Volume")</f>
        <v>2522383</v>
      </c>
      <c r="Q20" s="22" cm="1">
        <f t="array" aca="1" ref="Q20" ca="1">_FV(RTData[[#This Row],[Company Name]],"Volume average",TRUE)</f>
        <v>1948566</v>
      </c>
      <c r="R20" s="18" cm="1">
        <f t="array" aca="1" ref="R20" ca="1">_FV(RTData[[#This Row],[Company Name]],"Beta")</f>
        <v>1.0907</v>
      </c>
      <c r="T20" t="s">
        <v>19</v>
      </c>
      <c r="U20" t="str" cm="1">
        <f t="array" aca="1" ref="U20" ca="1">_FV(RTData[[#This Row],[Company Name]],"Exchange abbreviation",TRUE)</f>
        <v>XNYS</v>
      </c>
      <c r="V20" s="23">
        <f ca="1">IFERROR(RTData[[#This Row],[Volume]]/RTData[[#This Row],[Volume average]],1)</f>
        <v>1.294481685506162</v>
      </c>
      <c r="W20" s="23"/>
      <c r="X20" s="104">
        <f ca="1">_xlfn.XLOOKUP(RTData[[#This Row],[Ticker_Symbol]],TickerList!$G19:$G113,TickerList!L19:L113)</f>
        <v>14.5</v>
      </c>
      <c r="Y20" s="97">
        <f ca="1">_xlfn.XLOOKUP(RTData[[#This Row],[Ticker_Symbol]],TickerList!$G19:$G113,TickerList!M19:M113)</f>
        <v>43914</v>
      </c>
      <c r="Z20" s="97" t="str">
        <f ca="1">_xlfn.XLOOKUP(RTData[[#This Row],[Ticker_Symbol]],TickerList!$G19:$G113,TickerList!N19:N113)</f>
        <v>Oct 30, 2025</v>
      </c>
      <c r="AA20" s="98">
        <f ca="1">_xlfn.XLOOKUP(RTData[[#This Row],[Ticker_Symbol]],TickerList!$G19:$G113,TickerList!O19:O113)</f>
        <v>0</v>
      </c>
      <c r="AB20" s="99">
        <v>1E-4</v>
      </c>
      <c r="AC20" s="100">
        <v>3.0000000000000001E-3</v>
      </c>
      <c r="AD20" s="86">
        <v>157.9</v>
      </c>
      <c r="AE20" s="101">
        <f ca="1">_xlfn.LET(_xlpm.New1YT,RTData[[#This Row],[1YT]],        _xlpm.Old1YT,IF(ISNUMBER(RTData[[#This Row],[Old1YT]]),RTData[[#This Row],[Old1YT]],VALUE(LEFT(RTData[[#This Row],[Old1YT]],FIND("/",RTData[[#This Row],[Old1YT]],1)-1))),       IF(OR(RTData[[#This Row],[1YT]]=0,_xlpm.Old1YT=0),0,(_xlpm.New1YT-_xlpm.Old1YT)/_xlpm.Old1YT))</f>
        <v>-0.90816972767574411</v>
      </c>
      <c r="AF20" s="101" t="str">
        <f ca="1">TEXT(RTData[[#This Row],[1YT]],"#,#0.00")&amp;" &lt; "&amp;RTData[[#This Row],[Old1YT]]</f>
        <v>14.50 &lt; 157.9</v>
      </c>
    </row>
    <row r="21" spans="1:32" x14ac:dyDescent="0.3">
      <c r="A21" s="15" t="str" cm="1">
        <f t="array" aca="1" ref="A21" ca="1">_xlfn.SINGLE(RTData[suffix])&amp;_FV(RTData[[#This Row],[Company Name]],"Ticker symbol",TRUE)</f>
        <v>EOAN</v>
      </c>
      <c r="B21" s="15">
        <f ca="1">D99</f>
        <v>0.8700191404210893</v>
      </c>
      <c r="C21" t="e" vm="19">
        <v>#VALUE!</v>
      </c>
      <c r="D21" s="113" t="str" cm="1">
        <f t="array" aca="1" ref="D21" ca="1">_FV(RTData[[#This Row],[Company Name]],"Currency")</f>
        <v>EUR</v>
      </c>
      <c r="E21" s="17" cm="1">
        <f t="array" aca="1" ref="E21" ca="1">_FV(RTData[[#This Row],[Company Name]],"Last trade time",TRUE)</f>
        <v>45966.878472222219</v>
      </c>
      <c r="F21" s="18" cm="1">
        <f t="array" aca="1" ref="F21" ca="1">_FV(RTData[[#This Row],[Company Name]],"Previous close",TRUE)</f>
        <v>15.75</v>
      </c>
      <c r="G21" s="18" cm="1">
        <f t="array" aca="1" ref="G21" ca="1">_FV(RTData[[#This Row],[Company Name]],"Open")</f>
        <v>15.824999999999999</v>
      </c>
      <c r="H21" s="18" cm="1">
        <f t="array" aca="1" ref="H21" ca="1">_FV(RTData[[#This Row],[Company Name]],"Price")</f>
        <v>16.05</v>
      </c>
      <c r="I21" s="18" cm="1">
        <f t="array" aca="1" ref="I21" ca="1">_FV(RTData[[#This Row],[Company Name]],"Low")</f>
        <v>15.824999999999999</v>
      </c>
      <c r="J21" s="18" cm="1">
        <f t="array" aca="1" ref="J21" ca="1">_FV(RTData[[#This Row],[Company Name]],"High")</f>
        <v>16.05</v>
      </c>
      <c r="K21" s="19" cm="1">
        <f t="array" aca="1" ref="K21" ca="1">IFERROR(_FV(RTData[[#This Row],[Company Name]],"P/E",TRUE),99)</f>
        <v>13.2645</v>
      </c>
      <c r="L21" s="20" cm="1">
        <f t="array" aca="1" ref="L21" ca="1">_FV(RTData[[#This Row],[Company Name]],"Change")</f>
        <v>0.3</v>
      </c>
      <c r="M21" s="21" cm="1">
        <f t="array" aca="1" ref="M21" ca="1">_FV(RTData[[#This Row],[Company Name]],"Change (%)",TRUE)</f>
        <v>1.9047999999999999E-2</v>
      </c>
      <c r="N21" s="18" cm="1">
        <f t="array" aca="1" ref="N21" ca="1">_FV(RTData[[#This Row],[Company Name]],"52 week low",TRUE)</f>
        <v>7.3</v>
      </c>
      <c r="O21" s="18" cm="1">
        <f t="array" aca="1" ref="O21" ca="1">_FV(RTData[[#This Row],[Company Name]],"52 week high",TRUE)</f>
        <v>16.515000000000001</v>
      </c>
      <c r="P21" s="22" cm="1">
        <f t="array" aca="1" ref="P21" ca="1">_FV(RTData[[#This Row],[Company Name]],"Volume")</f>
        <v>4253</v>
      </c>
      <c r="Q21" s="22" cm="1">
        <f t="array" aca="1" ref="Q21" ca="1">_FV(RTData[[#This Row],[Company Name]],"Volume average",TRUE)</f>
        <v>2907640</v>
      </c>
      <c r="R21" s="18" cm="1">
        <f t="array" aca="1" ref="R21" ca="1">_FV(RTData[[#This Row],[Company Name]],"Beta")</f>
        <v>0.85360000000000003</v>
      </c>
      <c r="T21" t="s">
        <v>19</v>
      </c>
      <c r="U21" t="str" cm="1">
        <f t="array" aca="1" ref="U21" ca="1">_FV(RTData[[#This Row],[Company Name]],"Exchange abbreviation",TRUE)</f>
        <v>XFRA</v>
      </c>
      <c r="V21" s="23">
        <f ca="1">IFERROR(RTData[[#This Row],[Volume]]/RTData[[#This Row],[Volume average]],1)</f>
        <v>1.4626982707625427E-3</v>
      </c>
      <c r="W21" s="23"/>
      <c r="X21" s="104">
        <f ca="1">_xlfn.XLOOKUP(RTData[[#This Row],[Ticker_Symbol]],TickerList!$G20:$G114,TickerList!L20:L114)</f>
        <v>16.919589999999999</v>
      </c>
      <c r="Y21" s="97">
        <f ca="1">_xlfn.XLOOKUP(RTData[[#This Row],[Ticker_Symbol]],TickerList!$G20:$G114,TickerList!M20:M114)</f>
        <v>45793</v>
      </c>
      <c r="Z21" s="97">
        <f ca="1">_xlfn.XLOOKUP(RTData[[#This Row],[Ticker_Symbol]],TickerList!$G20:$G114,TickerList!N20:N114)</f>
        <v>0</v>
      </c>
      <c r="AA21" s="98">
        <f ca="1">_xlfn.XLOOKUP(RTData[[#This Row],[Ticker_Symbol]],TickerList!$G20:$G114,TickerList!O20:O114)</f>
        <v>3.4099999999999998E-2</v>
      </c>
      <c r="AB21" s="99">
        <v>1E-4</v>
      </c>
      <c r="AC21" s="100">
        <v>3.0000000000000001E-3</v>
      </c>
      <c r="AD21" s="86">
        <v>19.77</v>
      </c>
      <c r="AE21" s="101">
        <f ca="1">_xlfn.LET(_xlpm.New1YT,RTData[[#This Row],[1YT]],        _xlpm.Old1YT,IF(ISNUMBER(RTData[[#This Row],[Old1YT]]),RTData[[#This Row],[Old1YT]],VALUE(LEFT(RTData[[#This Row],[Old1YT]],FIND("/",RTData[[#This Row],[Old1YT]],1)-1))),       IF(OR(RTData[[#This Row],[1YT]]=0,_xlpm.Old1YT=0),0,(_xlpm.New1YT-_xlpm.Old1YT)/_xlpm.Old1YT))</f>
        <v>-0.14417855336368235</v>
      </c>
      <c r="AF21" s="101" t="str">
        <f ca="1">TEXT(RTData[[#This Row],[1YT]],"#,#0.00")&amp;" &lt; "&amp;RTData[[#This Row],[Old1YT]]</f>
        <v>16.92 &lt; 19.77</v>
      </c>
    </row>
    <row r="22" spans="1:32" x14ac:dyDescent="0.3">
      <c r="A22" s="15" t="str" cm="1">
        <f t="array" aca="1" ref="A22" ca="1">_xlfn.SINGLE(RTData[suffix])&amp;_FV(RTData[[#This Row],[Company Name]],"Ticker symbol",TRUE)</f>
        <v>EPIX</v>
      </c>
      <c r="B22" s="15">
        <v>1</v>
      </c>
      <c r="C22" t="e" vm="20">
        <v>#VALUE!</v>
      </c>
      <c r="D22" s="113" t="str" cm="1">
        <f t="array" aca="1" ref="D22" ca="1">_FV(RTData[[#This Row],[Company Name]],"Currency")</f>
        <v>USD</v>
      </c>
      <c r="E22" s="17" cm="1">
        <f t="array" aca="1" ref="E22" ca="1">_FV(RTData[[#This Row],[Company Name]],"Last trade time",TRUE)</f>
        <v>45938.992447279685</v>
      </c>
      <c r="F22" s="27" cm="1">
        <f t="array" aca="1" ref="F22" ca="1">_FV(RTData[[#This Row],[Company Name]],"Previous close",TRUE)</f>
        <v>0.20499999999999999</v>
      </c>
      <c r="G22" s="27" cm="1">
        <f t="array" aca="1" ref="G22" ca="1">_FV(RTData[[#This Row],[Company Name]],"Open")</f>
        <v>0.2</v>
      </c>
      <c r="H22" s="27" cm="1">
        <f t="array" aca="1" ref="H22" ca="1">_FV(RTData[[#This Row],[Company Name]],"Price")</f>
        <v>0.20119999999999999</v>
      </c>
      <c r="I22" s="27" cm="1">
        <f t="array" aca="1" ref="I22" ca="1">_FV(RTData[[#This Row],[Company Name]],"Low")</f>
        <v>0.18990000000000001</v>
      </c>
      <c r="J22" s="27" cm="1">
        <f t="array" aca="1" ref="J22" ca="1">_FV(RTData[[#This Row],[Company Name]],"High")</f>
        <v>0.20699999999999999</v>
      </c>
      <c r="K22" s="19" cm="1">
        <f t="array" aca="1" ref="K22" ca="1">IFERROR(_FV(RTData[[#This Row],[Company Name]],"P/E",TRUE),99)</f>
        <v>0</v>
      </c>
      <c r="L22" s="20" cm="1">
        <f t="array" aca="1" ref="L22" ca="1">_FV(RTData[[#This Row],[Company Name]],"Change")</f>
        <v>0</v>
      </c>
      <c r="M22" s="21" cm="1">
        <f t="array" aca="1" ref="M22" ca="1">_FV(RTData[[#This Row],[Company Name]],"Change (%)",TRUE)</f>
        <v>0</v>
      </c>
      <c r="N22" s="27" cm="1">
        <f t="array" aca="1" ref="N22" ca="1">_FV(RTData[[#This Row],[Company Name]],"52 week low",TRUE)</f>
        <v>0.17330000000000001</v>
      </c>
      <c r="O22" s="27" cm="1">
        <f t="array" aca="1" ref="O22" ca="1">_FV(RTData[[#This Row],[Company Name]],"52 week high",TRUE)</f>
        <v>0.82499999999999996</v>
      </c>
      <c r="P22" s="22" cm="1">
        <f t="array" aca="1" ref="P22" ca="1">_FV(RTData[[#This Row],[Company Name]],"Volume")</f>
        <v>5945141</v>
      </c>
      <c r="Q22" s="22" cm="1">
        <f t="array" aca="1" ref="Q22" ca="1">_FV(RTData[[#This Row],[Company Name]],"Volume average",TRUE)</f>
        <v>3209641</v>
      </c>
      <c r="R22" s="27" cm="1">
        <f t="array" aca="1" ref="R22" ca="1">_FV(RTData[[#This Row],[Company Name]],"Beta")</f>
        <v>1.5513999999999999</v>
      </c>
      <c r="T22" t="s">
        <v>19</v>
      </c>
      <c r="U22" t="str" cm="1">
        <f t="array" aca="1" ref="U22" ca="1">_FV(RTData[[#This Row],[Company Name]],"Exchange abbreviation",TRUE)</f>
        <v>XNAS</v>
      </c>
      <c r="V22" s="23">
        <f ca="1">IFERROR(RTData[[#This Row],[Volume]]/RTData[[#This Row],[Volume average]],1)</f>
        <v>1.8522760022071003</v>
      </c>
      <c r="W22" s="23"/>
      <c r="X22" s="104">
        <f ca="1">_xlfn.XLOOKUP(RTData[[#This Row],[Ticker_Symbol]],TickerList!$G21:$G115,TickerList!L21:L115)</f>
        <v>0</v>
      </c>
      <c r="Y22" s="97">
        <f ca="1">_xlfn.XLOOKUP(RTData[[#This Row],[Ticker_Symbol]],TickerList!$G21:$G115,TickerList!M21:M115)</f>
        <v>45894</v>
      </c>
      <c r="Z22" s="97">
        <f ca="1">_xlfn.XLOOKUP(RTData[[#This Row],[Ticker_Symbol]],TickerList!$G21:$G115,TickerList!N21:N115)</f>
        <v>0</v>
      </c>
      <c r="AA22" s="98">
        <f ca="1">_xlfn.XLOOKUP(RTData[[#This Row],[Ticker_Symbol]],TickerList!$G21:$G115,TickerList!O21:O115)</f>
        <v>0</v>
      </c>
      <c r="AB22" s="99"/>
      <c r="AC22" s="100">
        <v>3.0000000000000001E-3</v>
      </c>
      <c r="AD22" s="86" t="s">
        <v>63</v>
      </c>
      <c r="AE22" s="101">
        <f ca="1">_xlfn.LET(_xlpm.New1YT,RTData[[#This Row],[1YT]],        _xlpm.Old1YT,IF(ISNUMBER(RTData[[#This Row],[Old1YT]]),RTData[[#This Row],[Old1YT]],VALUE(LEFT(RTData[[#This Row],[Old1YT]],FIND("/",RTData[[#This Row],[Old1YT]],1)-1))),       IF(OR(RTData[[#This Row],[1YT]]=0,_xlpm.Old1YT=0),0,(_xlpm.New1YT-_xlpm.Old1YT)/_xlpm.Old1YT))</f>
        <v>0</v>
      </c>
      <c r="AF22" s="101" t="str">
        <f ca="1">TEXT(RTData[[#This Row],[1YT]],"#,#0.00")&amp;" &lt; "&amp;RTData[[#This Row],[Old1YT]]</f>
        <v>0.00 &lt; 16.71/16.47/14.8</v>
      </c>
    </row>
    <row r="23" spans="1:32" x14ac:dyDescent="0.3">
      <c r="A23" s="15" t="str" cm="1">
        <f t="array" aca="1" ref="A23" ca="1">_xlfn.SINGLE(RTData[suffix])&amp;_FV(RTData[[#This Row],[Company Name]],"Ticker symbol",TRUE)</f>
        <v>GM</v>
      </c>
      <c r="B23" s="15">
        <f ca="1">D99</f>
        <v>0.8700191404210893</v>
      </c>
      <c r="C23" t="e" vm="21">
        <v>#VALUE!</v>
      </c>
      <c r="D23" s="113" t="str" cm="1">
        <f t="array" aca="1" ref="D23" ca="1">_FV(RTData[[#This Row],[Company Name]],"Currency")</f>
        <v>USD</v>
      </c>
      <c r="E23" s="17" cm="1">
        <f t="array" aca="1" ref="E23" ca="1">_FV(RTData[[#This Row],[Company Name]],"Last trade time",TRUE)</f>
        <v>45966.998483610936</v>
      </c>
      <c r="F23" s="18" cm="1">
        <f t="array" aca="1" ref="F23" ca="1">_FV(RTData[[#This Row],[Company Name]],"Previous close",TRUE)</f>
        <v>66.87</v>
      </c>
      <c r="G23" s="18" cm="1">
        <f t="array" aca="1" ref="G23" ca="1">_FV(RTData[[#This Row],[Company Name]],"Open")</f>
        <v>67.040000000000006</v>
      </c>
      <c r="H23" s="18" cm="1">
        <f t="array" aca="1" ref="H23" ca="1">_FV(RTData[[#This Row],[Company Name]],"Price")</f>
        <v>68.78</v>
      </c>
      <c r="I23" s="18" cm="1">
        <f t="array" aca="1" ref="I23" ca="1">_FV(RTData[[#This Row],[Company Name]],"Low")</f>
        <v>67.040000000000006</v>
      </c>
      <c r="J23" s="18" cm="1">
        <f t="array" aca="1" ref="J23" ca="1">_FV(RTData[[#This Row],[Company Name]],"High")</f>
        <v>69.260000000000005</v>
      </c>
      <c r="K23" s="19" cm="1">
        <f t="array" aca="1" ref="K23" ca="1">IFERROR(_FV(RTData[[#This Row],[Company Name]],"P/E",TRUE),99)</f>
        <v>13.228999999999999</v>
      </c>
      <c r="L23" s="20" cm="1">
        <f t="array" aca="1" ref="L23" ca="1">_FV(RTData[[#This Row],[Company Name]],"Change")</f>
        <v>1.91</v>
      </c>
      <c r="M23" s="21" cm="1">
        <f t="array" aca="1" ref="M23" ca="1">_FV(RTData[[#This Row],[Company Name]],"Change (%)",TRUE)</f>
        <v>2.8563000000000002E-2</v>
      </c>
      <c r="N23" s="18" cm="1">
        <f t="array" aca="1" ref="N23" ca="1">_FV(RTData[[#This Row],[Company Name]],"52 week low",TRUE)</f>
        <v>41.6</v>
      </c>
      <c r="O23" s="18" cm="1">
        <f t="array" aca="1" ref="O23" ca="1">_FV(RTData[[#This Row],[Company Name]],"52 week high",TRUE)</f>
        <v>70.239999999999995</v>
      </c>
      <c r="P23" s="22" cm="1">
        <f t="array" aca="1" ref="P23" ca="1">_FV(RTData[[#This Row],[Company Name]],"Volume")</f>
        <v>7806815</v>
      </c>
      <c r="Q23" s="22" cm="1">
        <f t="array" aca="1" ref="Q23" ca="1">_FV(RTData[[#This Row],[Company Name]],"Volume average",TRUE)</f>
        <v>10651288</v>
      </c>
      <c r="R23" s="18" cm="1">
        <f t="array" aca="1" ref="R23" ca="1">_FV(RTData[[#This Row],[Company Name]],"Beta")</f>
        <v>1.3140000000000001</v>
      </c>
      <c r="T23" t="s">
        <v>19</v>
      </c>
      <c r="U23" t="str" cm="1">
        <f t="array" aca="1" ref="U23" ca="1">_FV(RTData[[#This Row],[Company Name]],"Exchange abbreviation",TRUE)</f>
        <v>XNYS</v>
      </c>
      <c r="V23" s="23">
        <f ca="1">IFERROR(RTData[[#This Row],[Volume]]/RTData[[#This Row],[Volume average]],1)</f>
        <v>0.73294563061293616</v>
      </c>
      <c r="W23" s="23"/>
      <c r="X23" s="104">
        <f ca="1">_xlfn.XLOOKUP(RTData[[#This Row],[Ticker_Symbol]],TickerList!$G22:$G116,TickerList!L22:L116)</f>
        <v>73.153850000000006</v>
      </c>
      <c r="Y23" s="97">
        <f ca="1">_xlfn.XLOOKUP(RTData[[#This Row],[Ticker_Symbol]],TickerList!$G22:$G116,TickerList!M22:M116)</f>
        <v>45996</v>
      </c>
      <c r="Z23" s="97" t="str">
        <f ca="1">_xlfn.XLOOKUP(RTData[[#This Row],[Ticker_Symbol]],TickerList!$G22:$G116,TickerList!N22:N116)</f>
        <v>Oct 21, 2025</v>
      </c>
      <c r="AA23" s="98">
        <f ca="1">_xlfn.XLOOKUP(RTData[[#This Row],[Ticker_Symbol]],TickerList!$G22:$G116,TickerList!O22:O116)</f>
        <v>8.6999999999999994E-3</v>
      </c>
      <c r="AB23" s="99">
        <v>1E-4</v>
      </c>
      <c r="AC23" s="100">
        <v>3.0000000000000001E-3</v>
      </c>
      <c r="AD23" s="86">
        <v>9.32</v>
      </c>
      <c r="AE23" s="101">
        <f ca="1">_xlfn.LET(_xlpm.New1YT,RTData[[#This Row],[1YT]],        _xlpm.Old1YT,IF(ISNUMBER(RTData[[#This Row],[Old1YT]]),RTData[[#This Row],[Old1YT]],VALUE(LEFT(RTData[[#This Row],[Old1YT]],FIND("/",RTData[[#This Row],[Old1YT]],1)-1))),       IF(OR(RTData[[#This Row],[1YT]]=0,_xlpm.Old1YT=0),0,(_xlpm.New1YT-_xlpm.Old1YT)/_xlpm.Old1YT))</f>
        <v>6.8491255364806873</v>
      </c>
      <c r="AF23" s="101" t="str">
        <f ca="1">TEXT(RTData[[#This Row],[1YT]],"#,#0.00")&amp;" &lt; "&amp;RTData[[#This Row],[Old1YT]]</f>
        <v>73.15 &lt; 9.32</v>
      </c>
    </row>
    <row r="24" spans="1:32" x14ac:dyDescent="0.3">
      <c r="A24" s="15" t="str" cm="1">
        <f t="array" aca="1" ref="A24" ca="1">_xlfn.SINGLE(RTData[suffix])&amp;_FV(RTData[[#This Row],[Company Name]],"Ticker symbol",TRUE)</f>
        <v>HPE</v>
      </c>
      <c r="B24" s="15">
        <f ca="1">D99</f>
        <v>0.8700191404210893</v>
      </c>
      <c r="C24" t="e" vm="22">
        <v>#VALUE!</v>
      </c>
      <c r="D24" s="113" t="str" cm="1">
        <f t="array" aca="1" ref="D24" ca="1">_FV(RTData[[#This Row],[Company Name]],"Currency")</f>
        <v>USD</v>
      </c>
      <c r="E24" s="17" cm="1">
        <f t="array" aca="1" ref="E24" ca="1">_FV(RTData[[#This Row],[Company Name]],"Last trade time",TRUE)</f>
        <v>45966.998090392968</v>
      </c>
      <c r="F24" s="18" cm="1">
        <f t="array" aca="1" ref="F24" ca="1">_FV(RTData[[#This Row],[Company Name]],"Previous close",TRUE)</f>
        <v>23.56</v>
      </c>
      <c r="G24" s="18" cm="1">
        <f t="array" aca="1" ref="G24" ca="1">_FV(RTData[[#This Row],[Company Name]],"Open")</f>
        <v>23.6</v>
      </c>
      <c r="H24" s="18" cm="1">
        <f t="array" aca="1" ref="H24" ca="1">_FV(RTData[[#This Row],[Company Name]],"Price")</f>
        <v>23.7</v>
      </c>
      <c r="I24" s="18" cm="1">
        <f t="array" aca="1" ref="I24" ca="1">_FV(RTData[[#This Row],[Company Name]],"Low")</f>
        <v>23.39</v>
      </c>
      <c r="J24" s="18" cm="1">
        <f t="array" aca="1" ref="J24" ca="1">_FV(RTData[[#This Row],[Company Name]],"High")</f>
        <v>24.03</v>
      </c>
      <c r="K24" s="19" cm="1">
        <f t="array" aca="1" ref="K24" ca="1">IFERROR(_FV(RTData[[#This Row],[Company Name]],"P/E",TRUE),99)</f>
        <v>28.427499999999998</v>
      </c>
      <c r="L24" s="20" cm="1">
        <f t="array" aca="1" ref="L24" ca="1">_FV(RTData[[#This Row],[Company Name]],"Change")</f>
        <v>0.14000000000000001</v>
      </c>
      <c r="M24" s="21" cm="1">
        <f t="array" aca="1" ref="M24" ca="1">_FV(RTData[[#This Row],[Company Name]],"Change (%)",TRUE)</f>
        <v>5.9419999999999994E-3</v>
      </c>
      <c r="N24" s="18" cm="1">
        <f t="array" aca="1" ref="N24" ca="1">_FV(RTData[[#This Row],[Company Name]],"52 week low",TRUE)</f>
        <v>11.965</v>
      </c>
      <c r="O24" s="18" cm="1">
        <f t="array" aca="1" ref="O24" ca="1">_FV(RTData[[#This Row],[Company Name]],"52 week high",TRUE)</f>
        <v>26.44</v>
      </c>
      <c r="P24" s="22" cm="1">
        <f t="array" aca="1" ref="P24" ca="1">_FV(RTData[[#This Row],[Company Name]],"Volume")</f>
        <v>27390755</v>
      </c>
      <c r="Q24" s="22" cm="1">
        <f t="array" aca="1" ref="Q24" ca="1">_FV(RTData[[#This Row],[Company Name]],"Volume average",TRUE)</f>
        <v>37677726</v>
      </c>
      <c r="R24" s="18" cm="1">
        <f t="array" aca="1" ref="R24" ca="1">_FV(RTData[[#This Row],[Company Name]],"Beta")</f>
        <v>1.3427</v>
      </c>
      <c r="T24" t="s">
        <v>19</v>
      </c>
      <c r="U24" t="str" cm="1">
        <f t="array" aca="1" ref="U24" ca="1">_FV(RTData[[#This Row],[Company Name]],"Exchange abbreviation",TRUE)</f>
        <v>XNYS</v>
      </c>
      <c r="V24" s="23">
        <f ca="1">IFERROR(RTData[[#This Row],[Volume]]/RTData[[#This Row],[Volume average]],1)</f>
        <v>0.72697473833744641</v>
      </c>
      <c r="W24" s="23"/>
      <c r="X24" s="104">
        <f ca="1">_xlfn.XLOOKUP(RTData[[#This Row],[Ticker_Symbol]],TickerList!$G23:$G117,TickerList!L23:L117)</f>
        <v>26.51211</v>
      </c>
      <c r="Y24" s="97">
        <f ca="1">_xlfn.XLOOKUP(RTData[[#This Row],[Ticker_Symbol]],TickerList!$G23:$G117,TickerList!M23:M117)</f>
        <v>45918</v>
      </c>
      <c r="Z24" s="97" t="str">
        <f ca="1">_xlfn.XLOOKUP(RTData[[#This Row],[Ticker_Symbol]],TickerList!$G23:$G117,TickerList!N23:N117)</f>
        <v>Dec 4, 2025</v>
      </c>
      <c r="AA24" s="98">
        <f ca="1">_xlfn.XLOOKUP(RTData[[#This Row],[Ticker_Symbol]],TickerList!$G23:$G117,TickerList!O23:O117)</f>
        <v>2.1300000999999999E-2</v>
      </c>
      <c r="AB24" s="99">
        <v>1E-4</v>
      </c>
      <c r="AC24" s="100">
        <v>3.0000000000000001E-3</v>
      </c>
      <c r="AD24" s="86">
        <v>56.25</v>
      </c>
      <c r="AE24" s="101">
        <f ca="1">_xlfn.LET(_xlpm.New1YT,RTData[[#This Row],[1YT]],        _xlpm.Old1YT,IF(ISNUMBER(RTData[[#This Row],[Old1YT]]),RTData[[#This Row],[Old1YT]],VALUE(LEFT(RTData[[#This Row],[Old1YT]],FIND("/",RTData[[#This Row],[Old1YT]],1)-1))),       IF(OR(RTData[[#This Row],[1YT]]=0,_xlpm.Old1YT=0),0,(_xlpm.New1YT-_xlpm.Old1YT)/_xlpm.Old1YT))</f>
        <v>-0.52867359999999997</v>
      </c>
      <c r="AF24" s="101" t="str">
        <f ca="1">TEXT(RTData[[#This Row],[1YT]],"#,#0.00")&amp;" &lt; "&amp;RTData[[#This Row],[Old1YT]]</f>
        <v>26.51 &lt; 56.25</v>
      </c>
    </row>
    <row r="25" spans="1:32" x14ac:dyDescent="0.3">
      <c r="A25" s="15" t="str" cm="1">
        <f t="array" aca="1" ref="A25" ca="1">_xlfn.SINGLE(RTData[suffix])&amp;_FV(RTData[[#This Row],[Company Name]],"Ticker symbol",TRUE)</f>
        <v>HPQ</v>
      </c>
      <c r="B25" s="15">
        <f ca="1">D99</f>
        <v>0.8700191404210893</v>
      </c>
      <c r="C25" t="e" vm="23">
        <v>#VALUE!</v>
      </c>
      <c r="D25" s="113" t="str" cm="1">
        <f t="array" aca="1" ref="D25" ca="1">_FV(RTData[[#This Row],[Company Name]],"Currency")</f>
        <v>USD</v>
      </c>
      <c r="E25" s="17" cm="1">
        <f t="array" aca="1" ref="E25" ca="1">_FV(RTData[[#This Row],[Company Name]],"Last trade time",TRUE)</f>
        <v>45966.984932603904</v>
      </c>
      <c r="F25" s="18" cm="1">
        <f t="array" aca="1" ref="F25" ca="1">_FV(RTData[[#This Row],[Company Name]],"Previous close",TRUE)</f>
        <v>25.94</v>
      </c>
      <c r="G25" s="18" cm="1">
        <f t="array" aca="1" ref="G25" ca="1">_FV(RTData[[#This Row],[Company Name]],"Open")</f>
        <v>25.94</v>
      </c>
      <c r="H25" s="18" cm="1">
        <f t="array" aca="1" ref="H25" ca="1">_FV(RTData[[#This Row],[Company Name]],"Price")</f>
        <v>26.64</v>
      </c>
      <c r="I25" s="18" cm="1">
        <f t="array" aca="1" ref="I25" ca="1">_FV(RTData[[#This Row],[Company Name]],"Low")</f>
        <v>25.76</v>
      </c>
      <c r="J25" s="18" cm="1">
        <f t="array" aca="1" ref="J25" ca="1">_FV(RTData[[#This Row],[Company Name]],"High")</f>
        <v>26.71</v>
      </c>
      <c r="K25" s="19" cm="1">
        <f t="array" aca="1" ref="K25" ca="1">IFERROR(_FV(RTData[[#This Row],[Company Name]],"P/E",TRUE),99)</f>
        <v>9.7045999999999992</v>
      </c>
      <c r="L25" s="20" cm="1">
        <f t="array" aca="1" ref="L25" ca="1">_FV(RTData[[#This Row],[Company Name]],"Change")</f>
        <v>0.7</v>
      </c>
      <c r="M25" s="21" cm="1">
        <f t="array" aca="1" ref="M25" ca="1">_FV(RTData[[#This Row],[Company Name]],"Change (%)",TRUE)</f>
        <v>2.6985000000000002E-2</v>
      </c>
      <c r="N25" s="18" cm="1">
        <f t="array" aca="1" ref="N25" ca="1">_FV(RTData[[#This Row],[Company Name]],"52 week low",TRUE)</f>
        <v>21.21</v>
      </c>
      <c r="O25" s="18" cm="1">
        <f t="array" aca="1" ref="O25" ca="1">_FV(RTData[[#This Row],[Company Name]],"52 week high",TRUE)</f>
        <v>39.795000000000002</v>
      </c>
      <c r="P25" s="22" cm="1">
        <f t="array" aca="1" ref="P25" ca="1">_FV(RTData[[#This Row],[Company Name]],"Volume")</f>
        <v>12247048</v>
      </c>
      <c r="Q25" s="22" cm="1">
        <f t="array" aca="1" ref="Q25" ca="1">_FV(RTData[[#This Row],[Company Name]],"Volume average",TRUE)</f>
        <v>12451001</v>
      </c>
      <c r="R25" s="18" cm="1">
        <f t="array" aca="1" ref="R25" ca="1">_FV(RTData[[#This Row],[Company Name]],"Beta")</f>
        <v>1.2286999999999999</v>
      </c>
      <c r="T25" t="s">
        <v>19</v>
      </c>
      <c r="U25" t="str" cm="1">
        <f t="array" aca="1" ref="U25" ca="1">_FV(RTData[[#This Row],[Company Name]],"Exchange abbreviation",TRUE)</f>
        <v>XNYS</v>
      </c>
      <c r="V25" s="23">
        <f ca="1">IFERROR(RTData[[#This Row],[Volume]]/RTData[[#This Row],[Volume average]],1)</f>
        <v>0.98361954994622525</v>
      </c>
      <c r="W25" s="23"/>
      <c r="X25" s="104">
        <f ca="1">_xlfn.XLOOKUP(RTData[[#This Row],[Ticker_Symbol]],TickerList!$G24:$G118,TickerList!L24:L118)</f>
        <v>28.282499999999999</v>
      </c>
      <c r="Y25" s="97">
        <f ca="1">_xlfn.XLOOKUP(RTData[[#This Row],[Ticker_Symbol]],TickerList!$G24:$G118,TickerList!M24:M118)</f>
        <v>45910</v>
      </c>
      <c r="Z25" s="97" t="str">
        <f ca="1">_xlfn.XLOOKUP(RTData[[#This Row],[Ticker_Symbol]],TickerList!$G24:$G118,TickerList!N24:N118)</f>
        <v>Nov 25, 2025</v>
      </c>
      <c r="AA25" s="98">
        <f ca="1">_xlfn.XLOOKUP(RTData[[#This Row],[Ticker_Symbol]],TickerList!$G24:$G118,TickerList!O24:O118)</f>
        <v>4.1799999999999997E-2</v>
      </c>
      <c r="AB25" s="99">
        <v>1E-4</v>
      </c>
      <c r="AC25" s="100">
        <v>3.0000000000000001E-3</v>
      </c>
      <c r="AD25" s="86" t="s">
        <v>49</v>
      </c>
      <c r="AE25" s="101">
        <f ca="1">_xlfn.LET(_xlpm.New1YT,RTData[[#This Row],[1YT]],        _xlpm.Old1YT,IF(ISNUMBER(RTData[[#This Row],[Old1YT]]),RTData[[#This Row],[Old1YT]],VALUE(LEFT(RTData[[#This Row],[Old1YT]],FIND("/",RTData[[#This Row],[Old1YT]],1)-1))),       IF(OR(RTData[[#This Row],[1YT]]=0,_xlpm.Old1YT=0),0,(_xlpm.New1YT-_xlpm.Old1YT)/_xlpm.Old1YT))</f>
        <v>0.31730321378667908</v>
      </c>
      <c r="AF25" s="101" t="str">
        <f ca="1">TEXT(RTData[[#This Row],[1YT]],"#,#0.00")&amp;" &lt; "&amp;RTData[[#This Row],[Old1YT]]</f>
        <v>28.28 &lt; 21.47/20.14</v>
      </c>
    </row>
    <row r="26" spans="1:32" x14ac:dyDescent="0.3">
      <c r="A26" s="15" t="str" cm="1">
        <f t="array" aca="1" ref="A26" ca="1">_xlfn.SINGLE(RTData[suffix])&amp;_FV(RTData[[#This Row],[Company Name]],"Ticker symbol",TRUE)</f>
        <v>IAG</v>
      </c>
      <c r="B26" s="15">
        <f ca="1">D99</f>
        <v>0.8700191404210893</v>
      </c>
      <c r="C26" t="e" vm="24">
        <v>#VALUE!</v>
      </c>
      <c r="D26" s="113" t="str" cm="1">
        <f t="array" aca="1" ref="D26" ca="1">_FV(RTData[[#This Row],[Company Name]],"Currency")</f>
        <v>GBp</v>
      </c>
      <c r="E26" s="17" cm="1">
        <f t="array" aca="1" ref="E26" ca="1">_FV(RTData[[#This Row],[Company Name]],"Last trade time",TRUE)</f>
        <v>45966.714005335154</v>
      </c>
      <c r="F26" s="18" cm="1">
        <f t="array" aca="1" ref="F26" ca="1">_FV(RTData[[#This Row],[Company Name]],"Previous close",TRUE)</f>
        <v>422.6</v>
      </c>
      <c r="G26" s="18" cm="1">
        <f t="array" aca="1" ref="G26" ca="1">_FV(RTData[[#This Row],[Company Name]],"Open")</f>
        <v>421.1</v>
      </c>
      <c r="H26" s="18" cm="1">
        <f t="array" aca="1" ref="H26" ca="1">_FV(RTData[[#This Row],[Company Name]],"Price")</f>
        <v>425.2</v>
      </c>
      <c r="I26" s="18" cm="1">
        <f t="array" aca="1" ref="I26" ca="1">_FV(RTData[[#This Row],[Company Name]],"Low")</f>
        <v>419.5</v>
      </c>
      <c r="J26" s="18" cm="1">
        <f t="array" aca="1" ref="J26" ca="1">_FV(RTData[[#This Row],[Company Name]],"High")</f>
        <v>426.1</v>
      </c>
      <c r="K26" s="19" cm="1">
        <f t="array" aca="1" ref="K26" ca="1">IFERROR(_FV(RTData[[#This Row],[Company Name]],"P/E",TRUE),99)</f>
        <v>7.6527000000000003</v>
      </c>
      <c r="L26" s="20" cm="1">
        <f t="array" aca="1" ref="L26" ca="1">_FV(RTData[[#This Row],[Company Name]],"Change")</f>
        <v>2.6</v>
      </c>
      <c r="M26" s="21" cm="1">
        <f t="array" aca="1" ref="M26" ca="1">_FV(RTData[[#This Row],[Company Name]],"Change (%)",TRUE)</f>
        <v>6.1519999999999995E-3</v>
      </c>
      <c r="N26" s="18" cm="1">
        <f t="array" aca="1" ref="N26" ca="1">_FV(RTData[[#This Row],[Company Name]],"52 week low",TRUE)</f>
        <v>207.6</v>
      </c>
      <c r="O26" s="18" cm="1">
        <f t="array" aca="1" ref="O26" ca="1">_FV(RTData[[#This Row],[Company Name]],"52 week high",TRUE)</f>
        <v>429.3</v>
      </c>
      <c r="P26" s="22" cm="1">
        <f t="array" aca="1" ref="P26" ca="1">_FV(RTData[[#This Row],[Company Name]],"Volume")</f>
        <v>10087501</v>
      </c>
      <c r="Q26" s="22" cm="1">
        <f t="array" aca="1" ref="Q26" ca="1">_FV(RTData[[#This Row],[Company Name]],"Volume average",TRUE)</f>
        <v>11911510</v>
      </c>
      <c r="R26" s="18" cm="1">
        <f t="array" aca="1" ref="R26" ca="1">_FV(RTData[[#This Row],[Company Name]],"Beta")</f>
        <v>2.2967</v>
      </c>
      <c r="T26" t="s">
        <v>19</v>
      </c>
      <c r="U26" t="str" cm="1">
        <f t="array" aca="1" ref="U26" ca="1">_FV(RTData[[#This Row],[Company Name]],"Exchange abbreviation",TRUE)</f>
        <v>XLON</v>
      </c>
      <c r="V26" s="23">
        <f ca="1">IFERROR(RTData[[#This Row],[Volume]]/RTData[[#This Row],[Volume average]],1)</f>
        <v>0.84687004418415468</v>
      </c>
      <c r="W26" s="23"/>
      <c r="X26" s="104">
        <f ca="1">_xlfn.XLOOKUP(RTData[[#This Row],[Ticker_Symbol]],TickerList!$G25:$G119,TickerList!L25:L119)</f>
        <v>464.0942</v>
      </c>
      <c r="Y26" s="97">
        <f ca="1">_xlfn.XLOOKUP(RTData[[#This Row],[Ticker_Symbol]],TickerList!$G25:$G119,TickerList!M25:M119)</f>
        <v>45834</v>
      </c>
      <c r="Z26" s="97">
        <f ca="1">_xlfn.XLOOKUP(RTData[[#This Row],[Ticker_Symbol]],TickerList!$G25:$G119,TickerList!N25:N119)</f>
        <v>0</v>
      </c>
      <c r="AA26" s="98">
        <f ca="1">_xlfn.XLOOKUP(RTData[[#This Row],[Ticker_Symbol]],TickerList!$G25:$G119,TickerList!O25:O119)</f>
        <v>1.83E-2</v>
      </c>
      <c r="AB26" s="99">
        <v>1E-4</v>
      </c>
      <c r="AC26" s="100">
        <v>3.0000000000000001E-3</v>
      </c>
      <c r="AD26" s="86">
        <v>36.26</v>
      </c>
      <c r="AE26" s="101">
        <f ca="1">_xlfn.LET(_xlpm.New1YT,RTData[[#This Row],[1YT]],        _xlpm.Old1YT,IF(ISNUMBER(RTData[[#This Row],[Old1YT]]),RTData[[#This Row],[Old1YT]],VALUE(LEFT(RTData[[#This Row],[Old1YT]],FIND("/",RTData[[#This Row],[Old1YT]],1)-1))),       IF(OR(RTData[[#This Row],[1YT]]=0,_xlpm.Old1YT=0),0,(_xlpm.New1YT-_xlpm.Old1YT)/_xlpm.Old1YT))</f>
        <v>11.799067843353559</v>
      </c>
      <c r="AF26" s="101" t="str">
        <f ca="1">TEXT(RTData[[#This Row],[1YT]],"#,#0.00")&amp;" &lt; "&amp;RTData[[#This Row],[Old1YT]]</f>
        <v>464.09 &lt; 36.26</v>
      </c>
    </row>
    <row r="27" spans="1:32" x14ac:dyDescent="0.3">
      <c r="A27" s="15" t="str" cm="1">
        <f t="array" aca="1" ref="A27" ca="1">_xlfn.SINGLE(RTData[suffix])&amp;_FV(RTData[[#This Row],[Company Name]],"Ticker symbol",TRUE)</f>
        <v>KR</v>
      </c>
      <c r="B27" s="15">
        <f ca="1">D101/100</f>
        <v>1.1358473421172195E-2</v>
      </c>
      <c r="C27" t="e" vm="25">
        <v>#VALUE!</v>
      </c>
      <c r="D27" s="113" t="str" cm="1">
        <f t="array" aca="1" ref="D27" ca="1">_FV(RTData[[#This Row],[Company Name]],"Currency")</f>
        <v>USD</v>
      </c>
      <c r="E27" s="17" cm="1">
        <f t="array" aca="1" ref="E27" ca="1">_FV(RTData[[#This Row],[Company Name]],"Last trade time",TRUE)</f>
        <v>45967.000288043753</v>
      </c>
      <c r="F27" s="25" cm="1">
        <f t="array" aca="1" ref="F27" ca="1">_FV(RTData[[#This Row],[Company Name]],"Previous close",TRUE)</f>
        <v>63.76</v>
      </c>
      <c r="G27" s="25" cm="1">
        <f t="array" aca="1" ref="G27" ca="1">_FV(RTData[[#This Row],[Company Name]],"Open")</f>
        <v>63.77</v>
      </c>
      <c r="H27" s="25" cm="1">
        <f t="array" aca="1" ref="H27" ca="1">_FV(RTData[[#This Row],[Company Name]],"Price")</f>
        <v>63.15</v>
      </c>
      <c r="I27" s="25" cm="1">
        <f t="array" aca="1" ref="I27" ca="1">_FV(RTData[[#This Row],[Company Name]],"Low")</f>
        <v>62.97</v>
      </c>
      <c r="J27" s="25" cm="1">
        <f t="array" aca="1" ref="J27" ca="1">_FV(RTData[[#This Row],[Company Name]],"High")</f>
        <v>64.085700000000003</v>
      </c>
      <c r="K27" s="19" cm="1">
        <f t="array" aca="1" ref="K27" ca="1">IFERROR(_FV(RTData[[#This Row],[Company Name]],"P/E",TRUE),99)</f>
        <v>15.998699999999999</v>
      </c>
      <c r="L27" s="20" cm="1">
        <f t="array" aca="1" ref="L27" ca="1">_FV(RTData[[#This Row],[Company Name]],"Change")</f>
        <v>-0.61</v>
      </c>
      <c r="M27" s="21" cm="1">
        <f t="array" aca="1" ref="M27" ca="1">_FV(RTData[[#This Row],[Company Name]],"Change (%)",TRUE)</f>
        <v>-9.5669999999999991E-3</v>
      </c>
      <c r="N27" s="25" cm="1">
        <f t="array" aca="1" ref="N27" ca="1">_FV(RTData[[#This Row],[Company Name]],"52 week low",TRUE)</f>
        <v>56.25</v>
      </c>
      <c r="O27" s="25" cm="1">
        <f t="array" aca="1" ref="O27" ca="1">_FV(RTData[[#This Row],[Company Name]],"52 week high",TRUE)</f>
        <v>74.900000000000006</v>
      </c>
      <c r="P27" s="22" cm="1">
        <f t="array" aca="1" ref="P27" ca="1">_FV(RTData[[#This Row],[Company Name]],"Volume")</f>
        <v>6734624</v>
      </c>
      <c r="Q27" s="22" cm="1">
        <f t="array" aca="1" ref="Q27" ca="1">_FV(RTData[[#This Row],[Company Name]],"Volume average",TRUE)</f>
        <v>6243449</v>
      </c>
      <c r="R27" s="18" cm="1">
        <f t="array" aca="1" ref="R27" ca="1">_FV(RTData[[#This Row],[Company Name]],"Beta")</f>
        <v>0.58120000000000005</v>
      </c>
      <c r="T27" t="s">
        <v>19</v>
      </c>
      <c r="U27" t="str" cm="1">
        <f t="array" aca="1" ref="U27" ca="1">_FV(RTData[[#This Row],[Company Name]],"Exchange abbreviation",TRUE)</f>
        <v>XNYS</v>
      </c>
      <c r="V27" s="23">
        <f ca="1">IFERROR(RTData[[#This Row],[Volume]]/RTData[[#This Row],[Volume average]],1)</f>
        <v>1.078670459228545</v>
      </c>
      <c r="W27" s="23"/>
      <c r="X27" s="104">
        <f ca="1">_xlfn.XLOOKUP(RTData[[#This Row],[Ticker_Symbol]],TickerList!$G26:$G120,TickerList!L26:L120)</f>
        <v>76.045450000000002</v>
      </c>
      <c r="Y27" s="97">
        <f ca="1">_xlfn.XLOOKUP(RTData[[#This Row],[Ticker_Symbol]],TickerList!$G26:$G120,TickerList!M26:M120)</f>
        <v>45975</v>
      </c>
      <c r="Z27" s="97" t="str">
        <f ca="1">_xlfn.XLOOKUP(RTData[[#This Row],[Ticker_Symbol]],TickerList!$G26:$G120,TickerList!N26:N120)</f>
        <v>Dec 4, 2025</v>
      </c>
      <c r="AA27" s="98">
        <f ca="1">_xlfn.XLOOKUP(RTData[[#This Row],[Ticker_Symbol]],TickerList!$G26:$G120,TickerList!O26:O120)</f>
        <v>2.1999999999999999E-2</v>
      </c>
      <c r="AB27" s="99"/>
      <c r="AC27" s="100">
        <v>3.0000000000000001E-3</v>
      </c>
      <c r="AD27" s="86">
        <v>393.1</v>
      </c>
      <c r="AE27" s="101">
        <f ca="1">_xlfn.LET(_xlpm.New1YT,RTData[[#This Row],[1YT]],        _xlpm.Old1YT,IF(ISNUMBER(RTData[[#This Row],[Old1YT]]),RTData[[#This Row],[Old1YT]],VALUE(LEFT(RTData[[#This Row],[Old1YT]],FIND("/",RTData[[#This Row],[Old1YT]],1)-1))),       IF(OR(RTData[[#This Row],[1YT]]=0,_xlpm.Old1YT=0),0,(_xlpm.New1YT-_xlpm.Old1YT)/_xlpm.Old1YT))</f>
        <v>-0.80654935131009919</v>
      </c>
      <c r="AF27" s="101" t="str">
        <f ca="1">TEXT(RTData[[#This Row],[1YT]],"#,#0.00")&amp;" &lt; "&amp;RTData[[#This Row],[Old1YT]]</f>
        <v>76.05 &lt; 393.1</v>
      </c>
    </row>
    <row r="28" spans="1:32" x14ac:dyDescent="0.3">
      <c r="A28" s="15" t="str" cm="1">
        <f t="array" aca="1" ref="A28" ca="1">_xlfn.SINGLE(RTData[suffix])&amp;_FV(RTData[[#This Row],[Company Name]],"Ticker symbol",TRUE)</f>
        <v>LNSR</v>
      </c>
      <c r="B28" s="15">
        <f ca="1">D99</f>
        <v>0.8700191404210893</v>
      </c>
      <c r="C28" t="e" vm="26">
        <v>#VALUE!</v>
      </c>
      <c r="D28" s="113" t="str" cm="1">
        <f t="array" aca="1" ref="D28" ca="1">_FV(RTData[[#This Row],[Company Name]],"Currency")</f>
        <v>USD</v>
      </c>
      <c r="E28" s="17" cm="1">
        <f t="array" aca="1" ref="E28" ca="1">_FV(RTData[[#This Row],[Company Name]],"Last trade time",TRUE)</f>
        <v>45966.881993760937</v>
      </c>
      <c r="F28" s="18" cm="1">
        <f t="array" aca="1" ref="F28" ca="1">_FV(RTData[[#This Row],[Company Name]],"Previous close",TRUE)</f>
        <v>12.16</v>
      </c>
      <c r="G28" s="18" cm="1">
        <f t="array" aca="1" ref="G28" ca="1">_FV(RTData[[#This Row],[Company Name]],"Open")</f>
        <v>12.11</v>
      </c>
      <c r="H28" s="18" cm="1">
        <f t="array" aca="1" ref="H28" ca="1">_FV(RTData[[#This Row],[Company Name]],"Price")</f>
        <v>12.52</v>
      </c>
      <c r="I28" s="18" cm="1">
        <f t="array" aca="1" ref="I28" ca="1">_FV(RTData[[#This Row],[Company Name]],"Low")</f>
        <v>12.11</v>
      </c>
      <c r="J28" s="18" cm="1">
        <f t="array" aca="1" ref="J28" ca="1">_FV(RTData[[#This Row],[Company Name]],"High")</f>
        <v>12.6</v>
      </c>
      <c r="K28" s="19" cm="1">
        <f t="array" aca="1" ref="K28" ca="1">IFERROR(_FV(RTData[[#This Row],[Company Name]],"P/E",TRUE),99)</f>
        <v>0</v>
      </c>
      <c r="L28" s="20" cm="1">
        <f t="array" aca="1" ref="L28" ca="1">_FV(RTData[[#This Row],[Company Name]],"Change")</f>
        <v>0.36</v>
      </c>
      <c r="M28" s="21" cm="1">
        <f t="array" aca="1" ref="M28" ca="1">_FV(RTData[[#This Row],[Company Name]],"Change (%)",TRUE)</f>
        <v>2.9605000000000003E-2</v>
      </c>
      <c r="N28" s="18" cm="1">
        <f t="array" aca="1" ref="N28" ca="1">_FV(RTData[[#This Row],[Company Name]],"52 week low",TRUE)</f>
        <v>5.52</v>
      </c>
      <c r="O28" s="18" cm="1">
        <f t="array" aca="1" ref="O28" ca="1">_FV(RTData[[#This Row],[Company Name]],"52 week high",TRUE)</f>
        <v>17.309999999999999</v>
      </c>
      <c r="P28" s="22" cm="1">
        <f t="array" aca="1" ref="P28" ca="1">_FV(RTData[[#This Row],[Company Name]],"Volume")</f>
        <v>22099</v>
      </c>
      <c r="Q28" s="22" cm="1">
        <f t="array" aca="1" ref="Q28" ca="1">_FV(RTData[[#This Row],[Company Name]],"Volume average",TRUE)</f>
        <v>44007</v>
      </c>
      <c r="R28" s="18" cm="1">
        <f t="array" aca="1" ref="R28" ca="1">_FV(RTData[[#This Row],[Company Name]],"Beta")</f>
        <v>0.65010000000000001</v>
      </c>
      <c r="T28" t="s">
        <v>19</v>
      </c>
      <c r="U28" t="str" cm="1">
        <f t="array" aca="1" ref="U28" ca="1">_FV(RTData[[#This Row],[Company Name]],"Exchange abbreviation",TRUE)</f>
        <v>XNAS</v>
      </c>
      <c r="V28" s="23">
        <f ca="1">IFERROR(RTData[[#This Row],[Volume]]/RTData[[#This Row],[Volume average]],1)</f>
        <v>0.50217010930079309</v>
      </c>
      <c r="W28" s="23"/>
      <c r="X28" s="104">
        <f ca="1">_xlfn.XLOOKUP(RTData[[#This Row],[Ticker_Symbol]],TickerList!$G27:$G121,TickerList!L27:L121)</f>
        <v>15</v>
      </c>
      <c r="Y28" s="97">
        <f ca="1">_xlfn.XLOOKUP(RTData[[#This Row],[Ticker_Symbol]],TickerList!$G27:$G121,TickerList!M27:M121)</f>
        <v>0</v>
      </c>
      <c r="Z28" s="97">
        <f ca="1">_xlfn.XLOOKUP(RTData[[#This Row],[Ticker_Symbol]],TickerList!$G27:$G121,TickerList!N27:N121)</f>
        <v>0</v>
      </c>
      <c r="AA28" s="98">
        <f ca="1">_xlfn.XLOOKUP(RTData[[#This Row],[Ticker_Symbol]],TickerList!$G27:$G121,TickerList!O27:O121)</f>
        <v>0</v>
      </c>
      <c r="AB28" s="99">
        <v>1E-4</v>
      </c>
      <c r="AC28" s="100">
        <v>3.0000000000000001E-3</v>
      </c>
      <c r="AD28" s="86">
        <v>66.5</v>
      </c>
      <c r="AE28" s="101">
        <f ca="1">_xlfn.LET(_xlpm.New1YT,RTData[[#This Row],[1YT]],        _xlpm.Old1YT,IF(ISNUMBER(RTData[[#This Row],[Old1YT]]),RTData[[#This Row],[Old1YT]],VALUE(LEFT(RTData[[#This Row],[Old1YT]],FIND("/",RTData[[#This Row],[Old1YT]],1)-1))),       IF(OR(RTData[[#This Row],[1YT]]=0,_xlpm.Old1YT=0),0,(_xlpm.New1YT-_xlpm.Old1YT)/_xlpm.Old1YT))</f>
        <v>-0.77443609022556392</v>
      </c>
      <c r="AF28" s="101" t="str">
        <f ca="1">TEXT(RTData[[#This Row],[1YT]],"#,#0.00")&amp;" &lt; "&amp;RTData[[#This Row],[Old1YT]]</f>
        <v>15.00 &lt; 66.5</v>
      </c>
    </row>
    <row r="29" spans="1:32" x14ac:dyDescent="0.3">
      <c r="A29" s="15" t="str" cm="1">
        <f t="array" aca="1" ref="A29" ca="1">_xlfn.SINGLE(RTData[suffix])&amp;_FV(RTData[[#This Row],[Company Name]],"Ticker symbol",TRUE)</f>
        <v>LUMN</v>
      </c>
      <c r="B29" s="15">
        <f ca="1">D99</f>
        <v>0.8700191404210893</v>
      </c>
      <c r="C29" t="e" vm="27">
        <v>#VALUE!</v>
      </c>
      <c r="D29" s="113" t="str" cm="1">
        <f t="array" aca="1" ref="D29" ca="1">_FV(RTData[[#This Row],[Company Name]],"Currency")</f>
        <v>USD</v>
      </c>
      <c r="E29" s="17" cm="1">
        <f t="array" aca="1" ref="E29" ca="1">_FV(RTData[[#This Row],[Company Name]],"Last trade time",TRUE)</f>
        <v>45966.999718668747</v>
      </c>
      <c r="F29" s="18" cm="1">
        <f t="array" aca="1" ref="F29" ca="1">_FV(RTData[[#This Row],[Company Name]],"Previous close",TRUE)</f>
        <v>10.54</v>
      </c>
      <c r="G29" s="18" cm="1">
        <f t="array" aca="1" ref="G29" ca="1">_FV(RTData[[#This Row],[Company Name]],"Open")</f>
        <v>10.65</v>
      </c>
      <c r="H29" s="18" cm="1">
        <f t="array" aca="1" ref="H29" ca="1">_FV(RTData[[#This Row],[Company Name]],"Price")</f>
        <v>10.855</v>
      </c>
      <c r="I29" s="18" cm="1">
        <f t="array" aca="1" ref="I29" ca="1">_FV(RTData[[#This Row],[Company Name]],"Low")</f>
        <v>10.52</v>
      </c>
      <c r="J29" s="18" cm="1">
        <f t="array" aca="1" ref="J29" ca="1">_FV(RTData[[#This Row],[Company Name]],"High")</f>
        <v>11.29</v>
      </c>
      <c r="K29" s="19" cm="1">
        <f t="array" aca="1" ref="K29" ca="1">IFERROR(_FV(RTData[[#This Row],[Company Name]],"P/E",TRUE),99)</f>
        <v>0</v>
      </c>
      <c r="L29" s="20" cm="1">
        <f t="array" aca="1" ref="L29" ca="1">_FV(RTData[[#This Row],[Company Name]],"Change")</f>
        <v>0.315</v>
      </c>
      <c r="M29" s="21" cm="1">
        <f t="array" aca="1" ref="M29" ca="1">_FV(RTData[[#This Row],[Company Name]],"Change (%)",TRUE)</f>
        <v>2.9885999999999999E-2</v>
      </c>
      <c r="N29" s="18" cm="1">
        <f t="array" aca="1" ref="N29" ca="1">_FV(RTData[[#This Row],[Company Name]],"52 week low",TRUE)</f>
        <v>3.01</v>
      </c>
      <c r="O29" s="18" cm="1">
        <f t="array" aca="1" ref="O29" ca="1">_FV(RTData[[#This Row],[Company Name]],"52 week high",TRUE)</f>
        <v>11.95</v>
      </c>
      <c r="P29" s="22" cm="1">
        <f t="array" aca="1" ref="P29" ca="1">_FV(RTData[[#This Row],[Company Name]],"Volume")</f>
        <v>17809520</v>
      </c>
      <c r="Q29" s="22" cm="1">
        <f t="array" aca="1" ref="Q29" ca="1">_FV(RTData[[#This Row],[Company Name]],"Volume average",TRUE)</f>
        <v>22271874</v>
      </c>
      <c r="R29" s="18" cm="1">
        <f t="array" aca="1" ref="R29" ca="1">_FV(RTData[[#This Row],[Company Name]],"Beta")</f>
        <v>1.4104000000000001</v>
      </c>
      <c r="T29" t="s">
        <v>19</v>
      </c>
      <c r="U29" t="str" cm="1">
        <f t="array" aca="1" ref="U29" ca="1">_FV(RTData[[#This Row],[Company Name]],"Exchange abbreviation",TRUE)</f>
        <v>XNYS</v>
      </c>
      <c r="V29" s="23">
        <f ca="1">IFERROR(RTData[[#This Row],[Volume]]/RTData[[#This Row],[Volume average]],1)</f>
        <v>0.799641736478933</v>
      </c>
      <c r="W29" s="23"/>
      <c r="X29" s="104">
        <f ca="1">_xlfn.XLOOKUP(RTData[[#This Row],[Ticker_Symbol]],TickerList!$G28:$G122,TickerList!L28:L122)</f>
        <v>5.9580000000000002</v>
      </c>
      <c r="Y29" s="97">
        <f ca="1">_xlfn.XLOOKUP(RTData[[#This Row],[Ticker_Symbol]],TickerList!$G28:$G122,TickerList!M28:M122)</f>
        <v>44802</v>
      </c>
      <c r="Z29" s="97" t="str">
        <f ca="1">_xlfn.XLOOKUP(RTData[[#This Row],[Ticker_Symbol]],TickerList!$G28:$G122,TickerList!N28:N122)</f>
        <v>Oct 30, 2025</v>
      </c>
      <c r="AA29" s="98">
        <f ca="1">_xlfn.XLOOKUP(RTData[[#This Row],[Ticker_Symbol]],TickerList!$G28:$G122,TickerList!O28:O122)</f>
        <v>0</v>
      </c>
      <c r="AB29" s="99">
        <v>1E-4</v>
      </c>
      <c r="AC29" s="100">
        <v>3.0000000000000001E-3</v>
      </c>
      <c r="AD29" s="86">
        <v>15.5</v>
      </c>
      <c r="AE29" s="101">
        <f ca="1">_xlfn.LET(_xlpm.New1YT,RTData[[#This Row],[1YT]],        _xlpm.Old1YT,IF(ISNUMBER(RTData[[#This Row],[Old1YT]]),RTData[[#This Row],[Old1YT]],VALUE(LEFT(RTData[[#This Row],[Old1YT]],FIND("/",RTData[[#This Row],[Old1YT]],1)-1))),       IF(OR(RTData[[#This Row],[1YT]]=0,_xlpm.Old1YT=0),0,(_xlpm.New1YT-_xlpm.Old1YT)/_xlpm.Old1YT))</f>
        <v>-0.61561290322580642</v>
      </c>
      <c r="AF29" s="101" t="str">
        <f ca="1">TEXT(RTData[[#This Row],[1YT]],"#,#0.00")&amp;" &lt; "&amp;RTData[[#This Row],[Old1YT]]</f>
        <v>5.96 &lt; 15.5</v>
      </c>
    </row>
    <row r="30" spans="1:32" x14ac:dyDescent="0.3">
      <c r="A30" s="15" t="str" cm="1">
        <f t="array" aca="1" ref="A30" ca="1">_xlfn.SINGLE(RTData[suffix])&amp;_FV(RTData[[#This Row],[Company Name]],"Ticker symbol",TRUE)</f>
        <v>MRNA</v>
      </c>
      <c r="B30" s="15">
        <f ca="1">D99</f>
        <v>0.8700191404210893</v>
      </c>
      <c r="C30" t="e" vm="28">
        <v>#VALUE!</v>
      </c>
      <c r="D30" s="113" t="str" cm="1">
        <f t="array" aca="1" ref="D30" ca="1">_FV(RTData[[#This Row],[Company Name]],"Currency")</f>
        <v>USD</v>
      </c>
      <c r="E30" s="17" cm="1">
        <f t="array" aca="1" ref="E30" ca="1">_FV(RTData[[#This Row],[Company Name]],"Last trade time",TRUE)</f>
        <v>45966.99960111094</v>
      </c>
      <c r="F30" s="18" cm="1">
        <f t="array" aca="1" ref="F30" ca="1">_FV(RTData[[#This Row],[Company Name]],"Previous close",TRUE)</f>
        <v>23.75</v>
      </c>
      <c r="G30" s="18" cm="1">
        <f t="array" aca="1" ref="G30" ca="1">_FV(RTData[[#This Row],[Company Name]],"Open")</f>
        <v>23.914999999999999</v>
      </c>
      <c r="H30" s="18" cm="1">
        <f t="array" aca="1" ref="H30" ca="1">_FV(RTData[[#This Row],[Company Name]],"Price")</f>
        <v>23.56</v>
      </c>
      <c r="I30" s="18" cm="1">
        <f t="array" aca="1" ref="I30" ca="1">_FV(RTData[[#This Row],[Company Name]],"Low")</f>
        <v>23.48</v>
      </c>
      <c r="J30" s="18" cm="1">
        <f t="array" aca="1" ref="J30" ca="1">_FV(RTData[[#This Row],[Company Name]],"High")</f>
        <v>24.04</v>
      </c>
      <c r="K30" s="19" cm="1">
        <f t="array" aca="1" ref="K30" ca="1">IFERROR(_FV(RTData[[#This Row],[Company Name]],"P/E",TRUE),99)</f>
        <v>0</v>
      </c>
      <c r="L30" s="20" cm="1">
        <f t="array" aca="1" ref="L30" ca="1">_FV(RTData[[#This Row],[Company Name]],"Change")</f>
        <v>-0.19</v>
      </c>
      <c r="M30" s="21" cm="1">
        <f t="array" aca="1" ref="M30" ca="1">_FV(RTData[[#This Row],[Company Name]],"Change (%)",TRUE)</f>
        <v>-8.0000000000000002E-3</v>
      </c>
      <c r="N30" s="18" cm="1">
        <f t="array" aca="1" ref="N30" ca="1">_FV(RTData[[#This Row],[Company Name]],"52 week low",TRUE)</f>
        <v>23.15</v>
      </c>
      <c r="O30" s="18" cm="1">
        <f t="array" aca="1" ref="O30" ca="1">_FV(RTData[[#This Row],[Company Name]],"52 week high",TRUE)</f>
        <v>56.695</v>
      </c>
      <c r="P30" s="22" cm="1">
        <f t="array" aca="1" ref="P30" ca="1">_FV(RTData[[#This Row],[Company Name]],"Volume")</f>
        <v>11126437</v>
      </c>
      <c r="Q30" s="22" cm="1">
        <f t="array" aca="1" ref="Q30" ca="1">_FV(RTData[[#This Row],[Company Name]],"Volume average",TRUE)</f>
        <v>11157159</v>
      </c>
      <c r="R30" s="18" cm="1">
        <f t="array" aca="1" ref="R30" ca="1">_FV(RTData[[#This Row],[Company Name]],"Beta")</f>
        <v>1.1276999999999999</v>
      </c>
      <c r="T30" t="s">
        <v>19</v>
      </c>
      <c r="U30" t="str" cm="1">
        <f t="array" aca="1" ref="U30" ca="1">_FV(RTData[[#This Row],[Company Name]],"Exchange abbreviation",TRUE)</f>
        <v>XNAS</v>
      </c>
      <c r="V30" s="23">
        <f ca="1">IFERROR(RTData[[#This Row],[Volume]]/RTData[[#This Row],[Volume average]],1)</f>
        <v>0.99724643164088633</v>
      </c>
      <c r="W30" s="23"/>
      <c r="X30" s="104">
        <f ca="1">_xlfn.XLOOKUP(RTData[[#This Row],[Ticker_Symbol]],TickerList!$G29:$G123,TickerList!L29:L123)</f>
        <v>40.299999999999997</v>
      </c>
      <c r="Y30" s="97">
        <f ca="1">_xlfn.XLOOKUP(RTData[[#This Row],[Ticker_Symbol]],TickerList!$G29:$G123,TickerList!M29:M123)</f>
        <v>0</v>
      </c>
      <c r="Z30" s="97" t="str">
        <f ca="1">_xlfn.XLOOKUP(RTData[[#This Row],[Ticker_Symbol]],TickerList!$G29:$G123,TickerList!N29:N123)</f>
        <v>Nov 6, 2025</v>
      </c>
      <c r="AA30" s="98">
        <f ca="1">_xlfn.XLOOKUP(RTData[[#This Row],[Ticker_Symbol]],TickerList!$G29:$G123,TickerList!O29:O123)</f>
        <v>0</v>
      </c>
      <c r="AB30" s="99">
        <v>1E-4</v>
      </c>
      <c r="AC30" s="100">
        <v>3.0000000000000001E-3</v>
      </c>
      <c r="AD30" s="86">
        <v>4.62</v>
      </c>
      <c r="AE30" s="101">
        <f ca="1">_xlfn.LET(_xlpm.New1YT,RTData[[#This Row],[1YT]],        _xlpm.Old1YT,IF(ISNUMBER(RTData[[#This Row],[Old1YT]]),RTData[[#This Row],[Old1YT]],VALUE(LEFT(RTData[[#This Row],[Old1YT]],FIND("/",RTData[[#This Row],[Old1YT]],1)-1))),       IF(OR(RTData[[#This Row],[1YT]]=0,_xlpm.Old1YT=0),0,(_xlpm.New1YT-_xlpm.Old1YT)/_xlpm.Old1YT))</f>
        <v>7.7229437229437226</v>
      </c>
      <c r="AF30" s="101" t="str">
        <f ca="1">TEXT(RTData[[#This Row],[1YT]],"#,#0.00")&amp;" &lt; "&amp;RTData[[#This Row],[Old1YT]]</f>
        <v>40.30 &lt; 4.62</v>
      </c>
    </row>
    <row r="31" spans="1:32" x14ac:dyDescent="0.3">
      <c r="A31" s="15" t="str" cm="1">
        <f t="array" aca="1" ref="A31" ca="1">_xlfn.SINGLE(RTData[suffix])&amp;_FV(RTData[[#This Row],[Company Name]],"Ticker symbol",TRUE)</f>
        <v>MSFT</v>
      </c>
      <c r="B31" s="15">
        <f ca="1">D99</f>
        <v>0.8700191404210893</v>
      </c>
      <c r="C31" t="e" vm="29">
        <v>#VALUE!</v>
      </c>
      <c r="D31" s="113" t="str" cm="1">
        <f t="array" aca="1" ref="D31" ca="1">_FV(RTData[[#This Row],[Company Name]],"Currency")</f>
        <v>USD</v>
      </c>
      <c r="E31" s="17" cm="1">
        <f t="array" aca="1" ref="E31" ca="1">_FV(RTData[[#This Row],[Company Name]],"Last trade time",TRUE)</f>
        <v>45967.000509270314</v>
      </c>
      <c r="F31" s="18" cm="1">
        <f t="array" aca="1" ref="F31" ca="1">_FV(RTData[[#This Row],[Company Name]],"Previous close",TRUE)</f>
        <v>514.33000000000004</v>
      </c>
      <c r="G31" s="18" cm="1">
        <f t="array" aca="1" ref="G31" ca="1">_FV(RTData[[#This Row],[Company Name]],"Open")</f>
        <v>513.29999999999995</v>
      </c>
      <c r="H31" s="18" cm="1">
        <f t="array" aca="1" ref="H31" ca="1">_FV(RTData[[#This Row],[Company Name]],"Price")</f>
        <v>507.16</v>
      </c>
      <c r="I31" s="18" cm="1">
        <f t="array" aca="1" ref="I31" ca="1">_FV(RTData[[#This Row],[Company Name]],"Low")</f>
        <v>506.57499999999999</v>
      </c>
      <c r="J31" s="18" cm="1">
        <f t="array" aca="1" ref="J31" ca="1">_FV(RTData[[#This Row],[Company Name]],"High")</f>
        <v>514.83000000000004</v>
      </c>
      <c r="K31" s="19" cm="1">
        <f t="array" aca="1" ref="K31" ca="1">IFERROR(_FV(RTData[[#This Row],[Company Name]],"P/E",TRUE),99)</f>
        <v>36.082900000000002</v>
      </c>
      <c r="L31" s="20" cm="1">
        <f t="array" aca="1" ref="L31" ca="1">_FV(RTData[[#This Row],[Company Name]],"Change")</f>
        <v>-7.17</v>
      </c>
      <c r="M31" s="21" cm="1">
        <f t="array" aca="1" ref="M31" ca="1">_FV(RTData[[#This Row],[Company Name]],"Change (%)",TRUE)</f>
        <v>-1.3939999999999999E-2</v>
      </c>
      <c r="N31" s="18" cm="1">
        <f t="array" aca="1" ref="N31" ca="1">_FV(RTData[[#This Row],[Company Name]],"52 week low",TRUE)</f>
        <v>344.79</v>
      </c>
      <c r="O31" s="18" cm="1">
        <f t="array" aca="1" ref="O31" ca="1">_FV(RTData[[#This Row],[Company Name]],"52 week high",TRUE)</f>
        <v>555.45000000000005</v>
      </c>
      <c r="P31" s="22" cm="1">
        <f t="array" aca="1" ref="P31" ca="1">_FV(RTData[[#This Row],[Company Name]],"Volume")</f>
        <v>22992329</v>
      </c>
      <c r="Q31" s="22" cm="1">
        <f t="array" aca="1" ref="Q31" ca="1">_FV(RTData[[#This Row],[Company Name]],"Volume average",TRUE)</f>
        <v>20471219</v>
      </c>
      <c r="R31" s="18" cm="1">
        <f t="array" aca="1" ref="R31" ca="1">_FV(RTData[[#This Row],[Company Name]],"Beta")</f>
        <v>1.0650999999999999</v>
      </c>
      <c r="T31" t="s">
        <v>19</v>
      </c>
      <c r="U31" t="str" cm="1">
        <f t="array" aca="1" ref="U31" ca="1">_FV(RTData[[#This Row],[Company Name]],"Exchange abbreviation",TRUE)</f>
        <v>XNAS</v>
      </c>
      <c r="V31" s="23">
        <f ca="1">IFERROR(RTData[[#This Row],[Volume]]/RTData[[#This Row],[Volume average]],1)</f>
        <v>1.1231538776464656</v>
      </c>
      <c r="W31" s="23"/>
      <c r="X31" s="104">
        <f ca="1">_xlfn.XLOOKUP(RTData[[#This Row],[Ticker_Symbol]],TickerList!$G30:$G124,TickerList!L30:L124)</f>
        <v>626.22655999999995</v>
      </c>
      <c r="Y31" s="97">
        <f ca="1">_xlfn.XLOOKUP(RTData[[#This Row],[Ticker_Symbol]],TickerList!$G30:$G124,TickerList!M30:M124)</f>
        <v>45981</v>
      </c>
      <c r="Z31" s="97" t="str">
        <f ca="1">_xlfn.XLOOKUP(RTData[[#This Row],[Ticker_Symbol]],TickerList!$G30:$G124,TickerList!N30:N124)</f>
        <v>Jan 28, 2026</v>
      </c>
      <c r="AA31" s="98">
        <f ca="1">_xlfn.XLOOKUP(RTData[[#This Row],[Ticker_Symbol]],TickerList!$G30:$G124,TickerList!O30:O124)</f>
        <v>6.9999998000000001E-3</v>
      </c>
      <c r="AB31" s="99">
        <v>1E-4</v>
      </c>
      <c r="AC31" s="100">
        <v>3.0000000000000001E-3</v>
      </c>
      <c r="AD31" s="86">
        <v>99.83</v>
      </c>
      <c r="AE31" s="101">
        <f ca="1">_xlfn.LET(_xlpm.New1YT,RTData[[#This Row],[1YT]],        _xlpm.Old1YT,IF(ISNUMBER(RTData[[#This Row],[Old1YT]]),RTData[[#This Row],[Old1YT]],VALUE(LEFT(RTData[[#This Row],[Old1YT]],FIND("/",RTData[[#This Row],[Old1YT]],1)-1))),       IF(OR(RTData[[#This Row],[1YT]]=0,_xlpm.Old1YT=0),0,(_xlpm.New1YT-_xlpm.Old1YT)/_xlpm.Old1YT))</f>
        <v>5.272929580286486</v>
      </c>
      <c r="AF31" s="101" t="str">
        <f ca="1">TEXT(RTData[[#This Row],[1YT]],"#,#0.00")&amp;" &lt; "&amp;RTData[[#This Row],[Old1YT]]</f>
        <v>626.23 &lt; 99.83</v>
      </c>
    </row>
    <row r="32" spans="1:32" x14ac:dyDescent="0.3">
      <c r="A32" s="15" t="str" cm="1">
        <f t="array" aca="1" ref="A32" ca="1">_xlfn.SINGLE(RTData[suffix])&amp;_FV(RTData[[#This Row],[Company Name]],"Ticker symbol",TRUE)</f>
        <v>NEE</v>
      </c>
      <c r="B32" s="15">
        <f ca="1">D99</f>
        <v>0.8700191404210893</v>
      </c>
      <c r="C32" t="e" vm="30">
        <v>#VALUE!</v>
      </c>
      <c r="D32" s="113" t="str" cm="1">
        <f t="array" aca="1" ref="D32" ca="1">_FV(RTData[[#This Row],[Company Name]],"Currency")</f>
        <v>USD</v>
      </c>
      <c r="E32" s="17" cm="1">
        <f t="array" aca="1" ref="E32" ca="1">_FV(RTData[[#This Row],[Company Name]],"Last trade time",TRUE)</f>
        <v>45966.99955532344</v>
      </c>
      <c r="F32" s="18" cm="1">
        <f t="array" aca="1" ref="F32" ca="1">_FV(RTData[[#This Row],[Company Name]],"Previous close",TRUE)</f>
        <v>81.69</v>
      </c>
      <c r="G32" s="18" cm="1">
        <f t="array" aca="1" ref="G32" ca="1">_FV(RTData[[#This Row],[Company Name]],"Open")</f>
        <v>81.42</v>
      </c>
      <c r="H32" s="18" cm="1">
        <f t="array" aca="1" ref="H32" ca="1">_FV(RTData[[#This Row],[Company Name]],"Price")</f>
        <v>82.14</v>
      </c>
      <c r="I32" s="18" cm="1">
        <f t="array" aca="1" ref="I32" ca="1">_FV(RTData[[#This Row],[Company Name]],"Low")</f>
        <v>81.11</v>
      </c>
      <c r="J32" s="18" cm="1">
        <f t="array" aca="1" ref="J32" ca="1">_FV(RTData[[#This Row],[Company Name]],"High")</f>
        <v>82.63</v>
      </c>
      <c r="K32" s="19" cm="1">
        <f t="array" aca="1" ref="K32" ca="1">IFERROR(_FV(RTData[[#This Row],[Company Name]],"P/E",TRUE),99)</f>
        <v>26.087800000000001</v>
      </c>
      <c r="L32" s="20" cm="1">
        <f t="array" aca="1" ref="L32" ca="1">_FV(RTData[[#This Row],[Company Name]],"Change")</f>
        <v>0.45</v>
      </c>
      <c r="M32" s="21" cm="1">
        <f t="array" aca="1" ref="M32" ca="1">_FV(RTData[[#This Row],[Company Name]],"Change (%)",TRUE)</f>
        <v>5.5089999999999991E-3</v>
      </c>
      <c r="N32" s="18" cm="1">
        <f t="array" aca="1" ref="N32" ca="1">_FV(RTData[[#This Row],[Company Name]],"52 week low",TRUE)</f>
        <v>61.72</v>
      </c>
      <c r="O32" s="18" cm="1">
        <f t="array" aca="1" ref="O32" ca="1">_FV(RTData[[#This Row],[Company Name]],"52 week high",TRUE)</f>
        <v>87.53</v>
      </c>
      <c r="P32" s="22" cm="1">
        <f t="array" aca="1" ref="P32" ca="1">_FV(RTData[[#This Row],[Company Name]],"Volume")</f>
        <v>7290654</v>
      </c>
      <c r="Q32" s="22" cm="1">
        <f t="array" aca="1" ref="Q32" ca="1">_FV(RTData[[#This Row],[Company Name]],"Volume average",TRUE)</f>
        <v>10158500</v>
      </c>
      <c r="R32" s="18" cm="1">
        <f t="array" aca="1" ref="R32" ca="1">_FV(RTData[[#This Row],[Company Name]],"Beta")</f>
        <v>0.73509999999999998</v>
      </c>
      <c r="T32" t="s">
        <v>19</v>
      </c>
      <c r="U32" t="str" cm="1">
        <f t="array" aca="1" ref="U32" ca="1">_FV(RTData[[#This Row],[Company Name]],"Exchange abbreviation",TRUE)</f>
        <v>XNYS</v>
      </c>
      <c r="V32" s="23">
        <f ca="1">IFERROR(RTData[[#This Row],[Volume]]/RTData[[#This Row],[Volume average]],1)</f>
        <v>0.71769001328936355</v>
      </c>
      <c r="W32" s="23"/>
      <c r="X32" s="104">
        <f ca="1">_xlfn.XLOOKUP(RTData[[#This Row],[Ticker_Symbol]],TickerList!$G31:$G125,TickerList!L31:L125)</f>
        <v>91</v>
      </c>
      <c r="Y32" s="97">
        <f ca="1">_xlfn.XLOOKUP(RTData[[#This Row],[Ticker_Symbol]],TickerList!$G31:$G125,TickerList!M31:M125)</f>
        <v>45982</v>
      </c>
      <c r="Z32" s="97" t="str">
        <f ca="1">_xlfn.XLOOKUP(RTData[[#This Row],[Ticker_Symbol]],TickerList!$G31:$G125,TickerList!N31:N125)</f>
        <v>Oct 28, 2025</v>
      </c>
      <c r="AA32" s="98">
        <f ca="1">_xlfn.XLOOKUP(RTData[[#This Row],[Ticker_Symbol]],TickerList!$G31:$G125,TickerList!O31:O125)</f>
        <v>2.7799999999999998E-2</v>
      </c>
      <c r="AB32" s="99">
        <v>1E-4</v>
      </c>
      <c r="AC32" s="100">
        <v>3.0000000000000001E-3</v>
      </c>
      <c r="AD32" s="86">
        <v>505.94</v>
      </c>
      <c r="AE32" s="101">
        <f ca="1">_xlfn.LET(_xlpm.New1YT,RTData[[#This Row],[1YT]],        _xlpm.Old1YT,IF(ISNUMBER(RTData[[#This Row],[Old1YT]]),RTData[[#This Row],[Old1YT]],VALUE(LEFT(RTData[[#This Row],[Old1YT]],FIND("/",RTData[[#This Row],[Old1YT]],1)-1))),       IF(OR(RTData[[#This Row],[1YT]]=0,_xlpm.Old1YT=0),0,(_xlpm.New1YT-_xlpm.Old1YT)/_xlpm.Old1YT))</f>
        <v>-0.82013677511167327</v>
      </c>
      <c r="AF32" s="101" t="str">
        <f ca="1">TEXT(RTData[[#This Row],[1YT]],"#,#0.00")&amp;" &lt; "&amp;RTData[[#This Row],[Old1YT]]</f>
        <v>91.00 &lt; 505.94</v>
      </c>
    </row>
    <row r="33" spans="1:33" x14ac:dyDescent="0.3">
      <c r="A33" s="15" t="str" cm="1">
        <f t="array" aca="1" ref="A33" ca="1">_xlfn.SINGLE(RTData[suffix])&amp;_FV(RTData[[#This Row],[Company Name]],"Ticker symbol",TRUE)</f>
        <v>NEM</v>
      </c>
      <c r="B33" s="15">
        <f ca="1">D99</f>
        <v>0.8700191404210893</v>
      </c>
      <c r="C33" t="e" vm="31">
        <v>#VALUE!</v>
      </c>
      <c r="D33" s="113" t="str" cm="1">
        <f t="array" aca="1" ref="D33" ca="1">_FV(RTData[[#This Row],[Company Name]],"Currency")</f>
        <v>USD</v>
      </c>
      <c r="E33" s="17" cm="1">
        <f t="array" aca="1" ref="E33" ca="1">_FV(RTData[[#This Row],[Company Name]],"Last trade time",TRUE)</f>
        <v>45966.99558501094</v>
      </c>
      <c r="F33" s="18" cm="1">
        <f t="array" aca="1" ref="F33" ca="1">_FV(RTData[[#This Row],[Company Name]],"Previous close",TRUE)</f>
        <v>78.900000000000006</v>
      </c>
      <c r="G33" s="18" cm="1">
        <f t="array" aca="1" ref="G33" ca="1">_FV(RTData[[#This Row],[Company Name]],"Open")</f>
        <v>80.709999999999994</v>
      </c>
      <c r="H33" s="18" cm="1">
        <f t="array" aca="1" ref="H33" ca="1">_FV(RTData[[#This Row],[Company Name]],"Price")</f>
        <v>81.62</v>
      </c>
      <c r="I33" s="18" cm="1">
        <f t="array" aca="1" ref="I33" ca="1">_FV(RTData[[#This Row],[Company Name]],"Low")</f>
        <v>80.489999999999995</v>
      </c>
      <c r="J33" s="18" cm="1">
        <f t="array" aca="1" ref="J33" ca="1">_FV(RTData[[#This Row],[Company Name]],"High")</f>
        <v>81.915000000000006</v>
      </c>
      <c r="K33" s="19" cm="1">
        <f t="array" aca="1" ref="K33" ca="1">IFERROR(_FV(RTData[[#This Row],[Company Name]],"P/E",TRUE),99)</f>
        <v>12.6838</v>
      </c>
      <c r="L33" s="20" cm="1">
        <f t="array" aca="1" ref="L33" ca="1">_FV(RTData[[#This Row],[Company Name]],"Change")</f>
        <v>2.72</v>
      </c>
      <c r="M33" s="21" cm="1">
        <f t="array" aca="1" ref="M33" ca="1">_FV(RTData[[#This Row],[Company Name]],"Change (%)",TRUE)</f>
        <v>3.4473999999999998E-2</v>
      </c>
      <c r="N33" s="18" cm="1">
        <f t="array" aca="1" ref="N33" ca="1">_FV(RTData[[#This Row],[Company Name]],"52 week low",TRUE)</f>
        <v>36.86</v>
      </c>
      <c r="O33" s="18" cm="1">
        <f t="array" aca="1" ref="O33" ca="1">_FV(RTData[[#This Row],[Company Name]],"52 week high",TRUE)</f>
        <v>98.578000000000003</v>
      </c>
      <c r="P33" s="22" cm="1">
        <f t="array" aca="1" ref="P33" ca="1">_FV(RTData[[#This Row],[Company Name]],"Volume")</f>
        <v>8681630</v>
      </c>
      <c r="Q33" s="22" cm="1">
        <f t="array" aca="1" ref="Q33" ca="1">_FV(RTData[[#This Row],[Company Name]],"Volume average",TRUE)</f>
        <v>12229601</v>
      </c>
      <c r="R33" s="18" cm="1">
        <f t="array" aca="1" ref="R33" ca="1">_FV(RTData[[#This Row],[Company Name]],"Beta")</f>
        <v>0.4461</v>
      </c>
      <c r="T33" t="s">
        <v>19</v>
      </c>
      <c r="U33" t="str" cm="1">
        <f t="array" aca="1" ref="U33" ca="1">_FV(RTData[[#This Row],[Company Name]],"Exchange abbreviation",TRUE)</f>
        <v>XNYS</v>
      </c>
      <c r="V33" s="23">
        <f ca="1">IFERROR(RTData[[#This Row],[Volume]]/RTData[[#This Row],[Volume average]],1)</f>
        <v>0.70988661036447553</v>
      </c>
      <c r="W33" s="23"/>
      <c r="X33" s="104">
        <f ca="1">_xlfn.XLOOKUP(RTData[[#This Row],[Ticker_Symbol]],TickerList!$G32:$G126,TickerList!L32:L126)</f>
        <v>102.735</v>
      </c>
      <c r="Y33" s="97">
        <f ca="1">_xlfn.XLOOKUP(RTData[[#This Row],[Ticker_Symbol]],TickerList!$G32:$G126,TickerList!M32:M126)</f>
        <v>45987</v>
      </c>
      <c r="Z33" s="97" t="str">
        <f ca="1">_xlfn.XLOOKUP(RTData[[#This Row],[Ticker_Symbol]],TickerList!$G32:$G126,TickerList!N32:N126)</f>
        <v>Oct 23, 2025</v>
      </c>
      <c r="AA33" s="98">
        <f ca="1">_xlfn.XLOOKUP(RTData[[#This Row],[Ticker_Symbol]],TickerList!$G32:$G126,TickerList!O32:O126)</f>
        <v>1.24E-2</v>
      </c>
      <c r="AB33" s="99">
        <v>1E-4</v>
      </c>
      <c r="AC33" s="100">
        <v>3.0000000000000001E-3</v>
      </c>
      <c r="AD33" s="86" t="s">
        <v>53</v>
      </c>
      <c r="AE33" s="101">
        <f ca="1">_xlfn.LET(_xlpm.New1YT,RTData[[#This Row],[1YT]],        _xlpm.Old1YT,IF(ISNUMBER(RTData[[#This Row],[Old1YT]]),RTData[[#This Row],[Old1YT]],VALUE(LEFT(RTData[[#This Row],[Old1YT]],FIND("/",RTData[[#This Row],[Old1YT]],1)-1))),       IF(OR(RTData[[#This Row],[1YT]]=0,_xlpm.Old1YT=0),0,(_xlpm.New1YT-_xlpm.Old1YT)/_xlpm.Old1YT))</f>
        <v>0.26676942046855739</v>
      </c>
      <c r="AF33" s="101" t="str">
        <f ca="1">TEXT(RTData[[#This Row],[1YT]],"#,#0.00")&amp;" &lt; "&amp;RTData[[#This Row],[Old1YT]]</f>
        <v>102.74 &lt; 81.10/84.6</v>
      </c>
    </row>
    <row r="34" spans="1:33" x14ac:dyDescent="0.3">
      <c r="A34" s="15" t="str" cm="1">
        <f t="array" aca="1" ref="A34" ca="1">_xlfn.SINGLE(RTData[suffix])&amp;_FV(RTData[[#This Row],[Company Name]],"Ticker symbol",TRUE)</f>
        <v>NFLX</v>
      </c>
      <c r="B34" s="15">
        <f ca="1">D99</f>
        <v>0.8700191404210893</v>
      </c>
      <c r="C34" t="e" vm="32">
        <v>#VALUE!</v>
      </c>
      <c r="D34" s="113" t="str" cm="1">
        <f t="array" aca="1" ref="D34" ca="1">_FV(RTData[[#This Row],[Company Name]],"Currency")</f>
        <v>USD</v>
      </c>
      <c r="E34" s="17" cm="1">
        <f t="array" aca="1" ref="E34" ca="1">_FV(RTData[[#This Row],[Company Name]],"Last trade time",TRUE)</f>
        <v>45967.000496666406</v>
      </c>
      <c r="F34" s="18" cm="1">
        <f t="array" aca="1" ref="F34" ca="1">_FV(RTData[[#This Row],[Company Name]],"Previous close",TRUE)</f>
        <v>1092.96</v>
      </c>
      <c r="G34" s="18" cm="1">
        <f t="array" aca="1" ref="G34" ca="1">_FV(RTData[[#This Row],[Company Name]],"Open")</f>
        <v>1085</v>
      </c>
      <c r="H34" s="18" cm="1">
        <f t="array" aca="1" ref="H34" ca="1">_FV(RTData[[#This Row],[Company Name]],"Price")</f>
        <v>1098.46</v>
      </c>
      <c r="I34" s="18" cm="1">
        <f t="array" aca="1" ref="I34" ca="1">_FV(RTData[[#This Row],[Company Name]],"Low")</f>
        <v>1073.3701000000001</v>
      </c>
      <c r="J34" s="18" cm="1">
        <f t="array" aca="1" ref="J34" ca="1">_FV(RTData[[#This Row],[Company Name]],"High")</f>
        <v>1100.8499999999999</v>
      </c>
      <c r="K34" s="19" cm="1">
        <f t="array" aca="1" ref="K34" ca="1">IFERROR(_FV(RTData[[#This Row],[Company Name]],"P/E",TRUE),99)</f>
        <v>45.658299999999997</v>
      </c>
      <c r="L34" s="20" cm="1">
        <f t="array" aca="1" ref="L34" ca="1">_FV(RTData[[#This Row],[Company Name]],"Change")</f>
        <v>5.5</v>
      </c>
      <c r="M34" s="21" cm="1">
        <f t="array" aca="1" ref="M34" ca="1">_FV(RTData[[#This Row],[Company Name]],"Change (%)",TRUE)</f>
        <v>5.032E-3</v>
      </c>
      <c r="N34" s="18" cm="1">
        <f t="array" aca="1" ref="N34" ca="1">_FV(RTData[[#This Row],[Company Name]],"52 week low",TRUE)</f>
        <v>756.27</v>
      </c>
      <c r="O34" s="18" cm="1">
        <f t="array" aca="1" ref="O34" ca="1">_FV(RTData[[#This Row],[Company Name]],"52 week high",TRUE)</f>
        <v>1341.15</v>
      </c>
      <c r="P34" s="22" cm="1">
        <f t="array" aca="1" ref="P34" ca="1">_FV(RTData[[#This Row],[Company Name]],"Volume")</f>
        <v>3549693</v>
      </c>
      <c r="Q34" s="22" cm="1">
        <f t="array" aca="1" ref="Q34" ca="1">_FV(RTData[[#This Row],[Company Name]],"Volume average",TRUE)</f>
        <v>4473466</v>
      </c>
      <c r="R34" s="18" cm="1">
        <f t="array" aca="1" ref="R34" ca="1">_FV(RTData[[#This Row],[Company Name]],"Beta")</f>
        <v>1.7038</v>
      </c>
      <c r="T34" t="s">
        <v>19</v>
      </c>
      <c r="U34" t="str" cm="1">
        <f t="array" aca="1" ref="U34" ca="1">_FV(RTData[[#This Row],[Company Name]],"Exchange abbreviation",TRUE)</f>
        <v>XNAS</v>
      </c>
      <c r="V34" s="23">
        <f ca="1">IFERROR(RTData[[#This Row],[Volume]]/RTData[[#This Row],[Volume average]],1)</f>
        <v>0.79349949233994399</v>
      </c>
      <c r="W34" s="23"/>
      <c r="X34" s="104">
        <f ca="1">_xlfn.XLOOKUP(RTData[[#This Row],[Ticker_Symbol]],TickerList!$G33:$G127,TickerList!L33:L127)</f>
        <v>1347.3231000000001</v>
      </c>
      <c r="Y34" s="97">
        <f ca="1">_xlfn.XLOOKUP(RTData[[#This Row],[Ticker_Symbol]],TickerList!$G33:$G127,TickerList!M33:M127)</f>
        <v>0</v>
      </c>
      <c r="Z34" s="97" t="str">
        <f ca="1">_xlfn.XLOOKUP(RTData[[#This Row],[Ticker_Symbol]],TickerList!$G33:$G127,TickerList!N33:N127)</f>
        <v>Jan 20, 2026</v>
      </c>
      <c r="AA34" s="98">
        <f ca="1">_xlfn.XLOOKUP(RTData[[#This Row],[Ticker_Symbol]],TickerList!$G33:$G127,TickerList!O33:O127)</f>
        <v>0</v>
      </c>
      <c r="AB34" s="99">
        <v>1E-4</v>
      </c>
      <c r="AC34" s="100">
        <v>3.0000000000000001E-3</v>
      </c>
      <c r="AD34" s="86">
        <v>59.51</v>
      </c>
      <c r="AE34" s="101">
        <f ca="1">_xlfn.LET(_xlpm.New1YT,RTData[[#This Row],[1YT]],        _xlpm.Old1YT,IF(ISNUMBER(RTData[[#This Row],[Old1YT]]),RTData[[#This Row],[Old1YT]],VALUE(LEFT(RTData[[#This Row],[Old1YT]],FIND("/",RTData[[#This Row],[Old1YT]],1)-1))),       IF(OR(RTData[[#This Row],[1YT]]=0,_xlpm.Old1YT=0),0,(_xlpm.New1YT-_xlpm.Old1YT)/_xlpm.Old1YT))</f>
        <v>21.640280625105028</v>
      </c>
      <c r="AF34" s="101" t="str">
        <f ca="1">TEXT(RTData[[#This Row],[1YT]],"#,#0.00")&amp;" &lt; "&amp;RTData[[#This Row],[Old1YT]]</f>
        <v>1,347.32 &lt; 59.51</v>
      </c>
    </row>
    <row r="35" spans="1:33" x14ac:dyDescent="0.3">
      <c r="A35" s="15" t="str" cm="1">
        <f t="array" aca="1" ref="A35" ca="1">_xlfn.SINGLE(RTData[suffix])&amp;_FV(RTData[[#This Row],[Company Name]],"Ticker symbol",TRUE)</f>
        <v>NOTE</v>
      </c>
      <c r="B35" s="15">
        <f ca="1">D99</f>
        <v>0.8700191404210893</v>
      </c>
      <c r="C35" t="e" vm="33">
        <v>#VALUE!</v>
      </c>
      <c r="D35" s="113" t="str" cm="1">
        <f t="array" aca="1" ref="D35" ca="1">_FV(RTData[[#This Row],[Company Name]],"Currency")</f>
        <v>USD</v>
      </c>
      <c r="E35" s="17" cm="1">
        <f t="array" aca="1" ref="E35" ca="1">_FV(RTData[[#This Row],[Company Name]],"Last trade time",TRUE)</f>
        <v>45966.988365671095</v>
      </c>
      <c r="F35" s="18" cm="1">
        <f t="array" aca="1" ref="F35" ca="1">_FV(RTData[[#This Row],[Company Name]],"Previous close",TRUE)</f>
        <v>3.71</v>
      </c>
      <c r="G35" s="18" cm="1">
        <f t="array" aca="1" ref="G35" ca="1">_FV(RTData[[#This Row],[Company Name]],"Open")</f>
        <v>3.57</v>
      </c>
      <c r="H35" s="18" cm="1">
        <f t="array" aca="1" ref="H35" ca="1">_FV(RTData[[#This Row],[Company Name]],"Price")</f>
        <v>3.31</v>
      </c>
      <c r="I35" s="18" cm="1">
        <f t="array" aca="1" ref="I35" ca="1">_FV(RTData[[#This Row],[Company Name]],"Low")</f>
        <v>3.2210000000000001</v>
      </c>
      <c r="J35" s="18" cm="1">
        <f t="array" aca="1" ref="J35" ca="1">_FV(RTData[[#This Row],[Company Name]],"High")</f>
        <v>3.74</v>
      </c>
      <c r="K35" s="19" cm="1">
        <f t="array" ref="K35">IFERROR(_FV(RTData[[#This Row],[Company Name]],"P/E",TRUE),99)</f>
        <v>99</v>
      </c>
      <c r="L35" s="20" cm="1">
        <f t="array" aca="1" ref="L35" ca="1">_FV(RTData[[#This Row],[Company Name]],"Change")</f>
        <v>-0.4</v>
      </c>
      <c r="M35" s="21" cm="1">
        <f t="array" aca="1" ref="M35" ca="1">_FV(RTData[[#This Row],[Company Name]],"Change (%)",TRUE)</f>
        <v>-0.10781700000000001</v>
      </c>
      <c r="N35" s="18" cm="1">
        <f t="array" aca="1" ref="N35" ca="1">_FV(RTData[[#This Row],[Company Name]],"52 week low",TRUE)</f>
        <v>3.2210000000000001</v>
      </c>
      <c r="O35" s="18" cm="1">
        <f t="array" aca="1" ref="O35" ca="1">_FV(RTData[[#This Row],[Company Name]],"52 week high",TRUE)</f>
        <v>24.36</v>
      </c>
      <c r="P35" s="22" cm="1">
        <f t="array" aca="1" ref="P35" ca="1">_FV(RTData[[#This Row],[Company Name]],"Volume")</f>
        <v>455990</v>
      </c>
      <c r="Q35" s="22" cm="1">
        <f t="array" aca="1" ref="Q35" ca="1">_FV(RTData[[#This Row],[Company Name]],"Volume average",TRUE)</f>
        <v>240977</v>
      </c>
      <c r="R35" s="18" cm="1">
        <f t="array" aca="1" ref="R35" ca="1">_FV(RTData[[#This Row],[Company Name]],"Beta")</f>
        <v>0.55159999999999998</v>
      </c>
      <c r="T35" t="s">
        <v>19</v>
      </c>
      <c r="U35" t="str" cm="1">
        <f t="array" aca="1" ref="U35" ca="1">_FV(RTData[[#This Row],[Company Name]],"Exchange abbreviation",TRUE)</f>
        <v>XNYS</v>
      </c>
      <c r="V35" s="23">
        <f ca="1">IFERROR(RTData[[#This Row],[Volume]]/RTData[[#This Row],[Volume average]],1)</f>
        <v>1.8922552774746138</v>
      </c>
      <c r="W35" s="23"/>
      <c r="X35" s="104">
        <f ca="1">_xlfn.XLOOKUP(RTData[[#This Row],[Ticker_Symbol]],TickerList!$G34:$G128,TickerList!L34:L128)</f>
        <v>31.501080000000002</v>
      </c>
      <c r="Y35" s="97">
        <f ca="1">_xlfn.XLOOKUP(RTData[[#This Row],[Ticker_Symbol]],TickerList!$G34:$G128,TickerList!M34:M128)</f>
        <v>0</v>
      </c>
      <c r="Z35" s="97">
        <f ca="1">_xlfn.XLOOKUP(RTData[[#This Row],[Ticker_Symbol]],TickerList!$G34:$G128,TickerList!N34:N128)</f>
        <v>0</v>
      </c>
      <c r="AA35" s="98">
        <f ca="1">_xlfn.XLOOKUP(RTData[[#This Row],[Ticker_Symbol]],TickerList!$G34:$G128,TickerList!O34:O128)</f>
        <v>0</v>
      </c>
      <c r="AB35" s="99">
        <v>1E-4</v>
      </c>
      <c r="AC35" s="100">
        <v>3.0000000000000001E-3</v>
      </c>
      <c r="AD35" s="86">
        <v>764.34</v>
      </c>
      <c r="AE35" s="101">
        <f ca="1">_xlfn.LET(_xlpm.New1YT,RTData[[#This Row],[1YT]],        _xlpm.Old1YT,IF(ISNUMBER(RTData[[#This Row],[Old1YT]]),RTData[[#This Row],[Old1YT]],VALUE(LEFT(RTData[[#This Row],[Old1YT]],FIND("/",RTData[[#This Row],[Old1YT]],1)-1))),       IF(OR(RTData[[#This Row],[1YT]]=0,_xlpm.Old1YT=0),0,(_xlpm.New1YT-_xlpm.Old1YT)/_xlpm.Old1YT))</f>
        <v>-0.95878656095454906</v>
      </c>
      <c r="AF35" s="101" t="str">
        <f ca="1">TEXT(RTData[[#This Row],[1YT]],"#,#0.00")&amp;" &lt; "&amp;RTData[[#This Row],[Old1YT]]</f>
        <v>31.50 &lt; 764.34</v>
      </c>
    </row>
    <row r="36" spans="1:33" x14ac:dyDescent="0.3">
      <c r="A36" s="38" t="str" cm="1">
        <f t="array" aca="1" ref="A36" ca="1">_xlfn.SINGLE(RTData[suffix])&amp;_FV(RTData[[#This Row],[Company Name]],"Ticker symbol",TRUE)</f>
        <v>PAAS</v>
      </c>
      <c r="B36" s="38">
        <f ca="1">D99</f>
        <v>0.8700191404210893</v>
      </c>
      <c r="C36" t="e" vm="34">
        <v>#VALUE!</v>
      </c>
      <c r="D36" s="113" t="str" cm="1">
        <f t="array" aca="1" ref="D36" ca="1">_FV(RTData[[#This Row],[Company Name]],"Currency")</f>
        <v>USD</v>
      </c>
      <c r="E36" s="17" cm="1">
        <f t="array" aca="1" ref="E36" ca="1">_FV(RTData[[#This Row],[Company Name]],"Last trade time",TRUE)</f>
        <v>45966.983340751562</v>
      </c>
      <c r="F36" s="18" cm="1">
        <f t="array" aca="1" ref="F36" ca="1">_FV(RTData[[#This Row],[Company Name]],"Previous close",TRUE)</f>
        <v>33.200000000000003</v>
      </c>
      <c r="G36" s="18" cm="1">
        <f t="array" aca="1" ref="G36" ca="1">_FV(RTData[[#This Row],[Company Name]],"Open")</f>
        <v>34.01</v>
      </c>
      <c r="H36" s="18" cm="1">
        <f t="array" aca="1" ref="H36" ca="1">_FV(RTData[[#This Row],[Company Name]],"Price")</f>
        <v>33.770000000000003</v>
      </c>
      <c r="I36" s="18" cm="1">
        <f t="array" aca="1" ref="I36" ca="1">_FV(RTData[[#This Row],[Company Name]],"Low")</f>
        <v>33.36</v>
      </c>
      <c r="J36" s="18" cm="1">
        <f t="array" aca="1" ref="J36" ca="1">_FV(RTData[[#This Row],[Company Name]],"High")</f>
        <v>34.020000000000003</v>
      </c>
      <c r="K36" s="19" cm="1">
        <f t="array" aca="1" ref="K36" ca="1">IFERROR(_FV(RTData[[#This Row],[Company Name]],"P/E",TRUE),99)</f>
        <v>23.4465</v>
      </c>
      <c r="L36" s="20" cm="1">
        <f t="array" aca="1" ref="L36" ca="1">_FV(RTData[[#This Row],[Company Name]],"Change")</f>
        <v>0.56999999999999995</v>
      </c>
      <c r="M36" s="21" cm="1">
        <f t="array" aca="1" ref="M36" ca="1">_FV(RTData[[#This Row],[Company Name]],"Change (%)",TRUE)</f>
        <v>1.7169E-2</v>
      </c>
      <c r="N36" s="18" cm="1">
        <f t="array" aca="1" ref="N36" ca="1">_FV(RTData[[#This Row],[Company Name]],"52 week low",TRUE)</f>
        <v>19.8017</v>
      </c>
      <c r="O36" s="18" cm="1">
        <f t="array" aca="1" ref="O36" ca="1">_FV(RTData[[#This Row],[Company Name]],"52 week high",TRUE)</f>
        <v>42.57</v>
      </c>
      <c r="P36" s="22" cm="1">
        <f t="array" aca="1" ref="P36" ca="1">_FV(RTData[[#This Row],[Company Name]],"Volume")</f>
        <v>4192698</v>
      </c>
      <c r="Q36" s="22" cm="1">
        <f t="array" aca="1" ref="Q36" ca="1">_FV(RTData[[#This Row],[Company Name]],"Volume average",TRUE)</f>
        <v>6293308</v>
      </c>
      <c r="R36" s="18" cm="1">
        <f t="array" aca="1" ref="R36" ca="1">_FV(RTData[[#This Row],[Company Name]],"Beta")</f>
        <v>1.1623000000000001</v>
      </c>
      <c r="T36" t="s">
        <v>19</v>
      </c>
      <c r="U36" t="str" cm="1">
        <f t="array" aca="1" ref="U36" ca="1">_FV(RTData[[#This Row],[Company Name]],"Exchange abbreviation",TRUE)</f>
        <v>XNYS</v>
      </c>
      <c r="V36" s="23">
        <f ca="1">IFERROR(RTData[[#This Row],[Volume]]/RTData[[#This Row],[Volume average]],1)</f>
        <v>0.66621528773103111</v>
      </c>
      <c r="W36" s="23"/>
      <c r="X36" s="104">
        <f ca="1">_xlfn.XLOOKUP(RTData[[#This Row],[Ticker_Symbol]],TickerList!$G35:$G129,TickerList!L35:L129)</f>
        <v>46.875</v>
      </c>
      <c r="Y36" s="97">
        <f ca="1">_xlfn.XLOOKUP(RTData[[#This Row],[Ticker_Symbol]],TickerList!$G35:$G129,TickerList!M35:M129)</f>
        <v>45887</v>
      </c>
      <c r="Z36" s="97" t="str">
        <f ca="1">_xlfn.XLOOKUP(RTData[[#This Row],[Ticker_Symbol]],TickerList!$G35:$G129,TickerList!N35:N129)</f>
        <v>Nov 12, 2025</v>
      </c>
      <c r="AA36" s="98">
        <f ca="1">_xlfn.XLOOKUP(RTData[[#This Row],[Ticker_Symbol]],TickerList!$G35:$G129,TickerList!O35:O129)</f>
        <v>1.3599999999999999E-2</v>
      </c>
      <c r="AB36" s="99">
        <v>1E-4</v>
      </c>
      <c r="AC36" s="100">
        <v>3.0000000000000001E-3</v>
      </c>
      <c r="AD36" s="86">
        <v>31.5</v>
      </c>
      <c r="AE36" s="101">
        <f ca="1">_xlfn.LET(_xlpm.New1YT,RTData[[#This Row],[1YT]],        _xlpm.Old1YT,IF(ISNUMBER(RTData[[#This Row],[Old1YT]]),RTData[[#This Row],[Old1YT]],VALUE(LEFT(RTData[[#This Row],[Old1YT]],FIND("/",RTData[[#This Row],[Old1YT]],1)-1))),       IF(OR(RTData[[#This Row],[1YT]]=0,_xlpm.Old1YT=0),0,(_xlpm.New1YT-_xlpm.Old1YT)/_xlpm.Old1YT))</f>
        <v>0.48809523809523808</v>
      </c>
      <c r="AF36" s="101" t="str">
        <f ca="1">TEXT(RTData[[#This Row],[1YT]],"#,#0.00")&amp;" &lt; "&amp;RTData[[#This Row],[Old1YT]]</f>
        <v>46.88 &lt; 31.5</v>
      </c>
    </row>
    <row r="37" spans="1:33" x14ac:dyDescent="0.3">
      <c r="A37" s="15" t="str" cm="1">
        <f t="array" aca="1" ref="A37" ca="1">_xlfn.SINGLE(RTData[suffix])&amp;_FV(RTData[[#This Row],[Company Name]],"Ticker symbol",TRUE)</f>
        <v>PROF</v>
      </c>
      <c r="B37" s="15">
        <f ca="1">D99</f>
        <v>0.8700191404210893</v>
      </c>
      <c r="C37" t="e" vm="35">
        <v>#VALUE!</v>
      </c>
      <c r="D37" s="113" t="str" cm="1">
        <f t="array" aca="1" ref="D37" ca="1">_FV(RTData[[#This Row],[Company Name]],"Currency")</f>
        <v>USD</v>
      </c>
      <c r="E37" s="17" cm="1">
        <f t="array" aca="1" ref="E37" ca="1">_FV(RTData[[#This Row],[Company Name]],"Last trade time",TRUE)</f>
        <v>45966.877948587498</v>
      </c>
      <c r="F37" s="18" cm="1">
        <f t="array" aca="1" ref="F37" ca="1">_FV(RTData[[#This Row],[Company Name]],"Previous close",TRUE)</f>
        <v>5.89</v>
      </c>
      <c r="G37" s="18" cm="1">
        <f t="array" aca="1" ref="G37" ca="1">_FV(RTData[[#This Row],[Company Name]],"Open")</f>
        <v>5.83</v>
      </c>
      <c r="H37" s="18" cm="1">
        <f t="array" aca="1" ref="H37" ca="1">_FV(RTData[[#This Row],[Company Name]],"Price")</f>
        <v>5.86</v>
      </c>
      <c r="I37" s="18" cm="1">
        <f t="array" aca="1" ref="I37" ca="1">_FV(RTData[[#This Row],[Company Name]],"Low")</f>
        <v>5.75</v>
      </c>
      <c r="J37" s="18" cm="1">
        <f t="array" aca="1" ref="J37" ca="1">_FV(RTData[[#This Row],[Company Name]],"High")</f>
        <v>5.95</v>
      </c>
      <c r="K37" s="19" cm="1">
        <f t="array" aca="1" ref="K37" ca="1">IFERROR(_FV(RTData[[#This Row],[Company Name]],"P/E",TRUE),99)</f>
        <v>0</v>
      </c>
      <c r="L37" s="20" cm="1">
        <f t="array" aca="1" ref="L37" ca="1">_FV(RTData[[#This Row],[Company Name]],"Change")</f>
        <v>-0.03</v>
      </c>
      <c r="M37" s="21" cm="1">
        <f t="array" aca="1" ref="M37" ca="1">_FV(RTData[[#This Row],[Company Name]],"Change (%)",TRUE)</f>
        <v>-5.0929999999999994E-3</v>
      </c>
      <c r="N37" s="18" cm="1">
        <f t="array" aca="1" ref="N37" ca="1">_FV(RTData[[#This Row],[Company Name]],"52 week low",TRUE)</f>
        <v>3.76</v>
      </c>
      <c r="O37" s="18" cm="1">
        <f t="array" aca="1" ref="O37" ca="1">_FV(RTData[[#This Row],[Company Name]],"52 week high",TRUE)</f>
        <v>9.17</v>
      </c>
      <c r="P37" s="22" cm="1">
        <f t="array" aca="1" ref="P37" ca="1">_FV(RTData[[#This Row],[Company Name]],"Volume")</f>
        <v>46966</v>
      </c>
      <c r="Q37" s="22" cm="1">
        <f t="array" aca="1" ref="Q37" ca="1">_FV(RTData[[#This Row],[Company Name]],"Volume average",TRUE)</f>
        <v>73240</v>
      </c>
      <c r="R37" s="18" cm="1">
        <f t="array" aca="1" ref="R37" ca="1">_FV(RTData[[#This Row],[Company Name]],"Beta")</f>
        <v>0.19259999999999999</v>
      </c>
      <c r="T37" t="s">
        <v>19</v>
      </c>
      <c r="U37" t="str" cm="1">
        <f t="array" aca="1" ref="U37" ca="1">_FV(RTData[[#This Row],[Company Name]],"Exchange abbreviation",TRUE)</f>
        <v>XNAS</v>
      </c>
      <c r="V37" s="23">
        <f ca="1">IFERROR(RTData[[#This Row],[Volume]]/RTData[[#This Row],[Volume average]],1)</f>
        <v>0.64126160567995627</v>
      </c>
      <c r="W37" s="23"/>
      <c r="X37" s="104">
        <f ca="1">_xlfn.XLOOKUP(RTData[[#This Row],[Ticker_Symbol]],TickerList!$G36:$G130,TickerList!L36:L130)</f>
        <v>12.1</v>
      </c>
      <c r="Y37" s="97">
        <f ca="1">_xlfn.XLOOKUP(RTData[[#This Row],[Ticker_Symbol]],TickerList!$G36:$G130,TickerList!M36:M130)</f>
        <v>0</v>
      </c>
      <c r="Z37" s="97">
        <f ca="1">_xlfn.XLOOKUP(RTData[[#This Row],[Ticker_Symbol]],TickerList!$G36:$G130,TickerList!N36:N130)</f>
        <v>0</v>
      </c>
      <c r="AA37" s="98">
        <f ca="1">_xlfn.XLOOKUP(RTData[[#This Row],[Ticker_Symbol]],TickerList!$G36:$G130,TickerList!O36:O130)</f>
        <v>0</v>
      </c>
      <c r="AB37" s="99">
        <v>1E-4</v>
      </c>
      <c r="AC37" s="100">
        <v>3.0000000000000001E-3</v>
      </c>
      <c r="AD37" s="86">
        <v>36.49</v>
      </c>
      <c r="AE37" s="101">
        <f ca="1">_xlfn.LET(_xlpm.New1YT,RTData[[#This Row],[1YT]],        _xlpm.Old1YT,IF(ISNUMBER(RTData[[#This Row],[Old1YT]]),RTData[[#This Row],[Old1YT]],VALUE(LEFT(RTData[[#This Row],[Old1YT]],FIND("/",RTData[[#This Row],[Old1YT]],1)-1))),       IF(OR(RTData[[#This Row],[1YT]]=0,_xlpm.Old1YT=0),0,(_xlpm.New1YT-_xlpm.Old1YT)/_xlpm.Old1YT))</f>
        <v>-0.66840230200054807</v>
      </c>
      <c r="AF37" s="101" t="str">
        <f ca="1">TEXT(RTData[[#This Row],[1YT]],"#,#0.00")&amp;" &lt; "&amp;RTData[[#This Row],[Old1YT]]</f>
        <v>12.10 &lt; 36.49</v>
      </c>
    </row>
    <row r="38" spans="1:33" x14ac:dyDescent="0.3">
      <c r="A38" s="15" t="str" cm="1">
        <f t="array" aca="1" ref="A38" ca="1">_xlfn.SINGLE(RTData[suffix])&amp;_FV(RTData[[#This Row],[Company Name]],"Ticker symbol",TRUE)</f>
        <v>POET</v>
      </c>
      <c r="B38" s="15">
        <f ca="1">D99</f>
        <v>0.8700191404210893</v>
      </c>
      <c r="C38" t="e" vm="36">
        <v>#VALUE!</v>
      </c>
      <c r="D38" s="113" t="str" cm="1">
        <f t="array" aca="1" ref="D38" ca="1">_FV(RTData[[#This Row],[Company Name]],"Currency")</f>
        <v>USD</v>
      </c>
      <c r="E38" s="17" cm="1">
        <f t="array" aca="1" ref="E38" ca="1">_FV(RTData[[#This Row],[Company Name]],"Last trade time",TRUE)</f>
        <v>45966.999137094528</v>
      </c>
      <c r="F38" s="18" cm="1">
        <f t="array" aca="1" ref="F38" ca="1">_FV(RTData[[#This Row],[Company Name]],"Previous close",TRUE)</f>
        <v>5.95</v>
      </c>
      <c r="G38" s="18" cm="1">
        <f t="array" aca="1" ref="G38" ca="1">_FV(RTData[[#This Row],[Company Name]],"Open")</f>
        <v>6.07</v>
      </c>
      <c r="H38" s="18" cm="1">
        <f t="array" aca="1" ref="H38" ca="1">_FV(RTData[[#This Row],[Company Name]],"Price")</f>
        <v>6.0350000000000001</v>
      </c>
      <c r="I38" s="18" cm="1">
        <f t="array" aca="1" ref="I38" ca="1">_FV(RTData[[#This Row],[Company Name]],"Low")</f>
        <v>5.86</v>
      </c>
      <c r="J38" s="18" cm="1">
        <f t="array" aca="1" ref="J38" ca="1">_FV(RTData[[#This Row],[Company Name]],"High")</f>
        <v>6.1</v>
      </c>
      <c r="K38" s="19" cm="1">
        <f t="array" aca="1" ref="K38" ca="1">IFERROR(_FV(RTData[[#This Row],[Company Name]],"P/E",TRUE),99)</f>
        <v>0</v>
      </c>
      <c r="L38" s="20" cm="1">
        <f t="array" aca="1" ref="L38" ca="1">_FV(RTData[[#This Row],[Company Name]],"Change")</f>
        <v>8.5000000000000006E-2</v>
      </c>
      <c r="M38" s="21" cm="1">
        <f t="array" aca="1" ref="M38" ca="1">_FV(RTData[[#This Row],[Company Name]],"Change (%)",TRUE)</f>
        <v>1.4286E-2</v>
      </c>
      <c r="N38" s="18" cm="1">
        <f t="array" aca="1" ref="N38" ca="1">_FV(RTData[[#This Row],[Company Name]],"52 week low",TRUE)</f>
        <v>3.09</v>
      </c>
      <c r="O38" s="18" cm="1">
        <f t="array" aca="1" ref="O38" ca="1">_FV(RTData[[#This Row],[Company Name]],"52 week high",TRUE)</f>
        <v>9.41</v>
      </c>
      <c r="P38" s="22" cm="1">
        <f t="array" aca="1" ref="P38" ca="1">_FV(RTData[[#This Row],[Company Name]],"Volume")</f>
        <v>7813883</v>
      </c>
      <c r="Q38" s="22" cm="1">
        <f t="array" aca="1" ref="Q38" ca="1">_FV(RTData[[#This Row],[Company Name]],"Volume average",TRUE)</f>
        <v>17757191</v>
      </c>
      <c r="R38" s="18" cm="1">
        <f t="array" aca="1" ref="R38" ca="1">_FV(RTData[[#This Row],[Company Name]],"Beta")</f>
        <v>0.4708</v>
      </c>
      <c r="T38" t="s">
        <v>19</v>
      </c>
      <c r="U38" t="str" cm="1">
        <f t="array" aca="1" ref="U38" ca="1">_FV(RTData[[#This Row],[Company Name]],"Exchange abbreviation",TRUE)</f>
        <v>XNAS</v>
      </c>
      <c r="V38" s="23">
        <f ca="1">IFERROR(RTData[[#This Row],[Volume]]/RTData[[#This Row],[Volume average]],1)</f>
        <v>0.44004048838580384</v>
      </c>
      <c r="W38" s="23"/>
      <c r="X38" s="104">
        <f ca="1">_xlfn.XLOOKUP(RTData[[#This Row],[Ticker_Symbol]],TickerList!$G37:$G131,TickerList!L37:L131)</f>
        <v>6.6333299999999999</v>
      </c>
      <c r="Y38" s="97">
        <f ca="1">_xlfn.XLOOKUP(RTData[[#This Row],[Ticker_Symbol]],TickerList!$G37:$G131,TickerList!M37:M131)</f>
        <v>0</v>
      </c>
      <c r="Z38" s="97" t="str">
        <f ca="1">_xlfn.XLOOKUP(RTData[[#This Row],[Ticker_Symbol]],TickerList!$G37:$G131,TickerList!N37:N131)</f>
        <v>Nov 13, 2025</v>
      </c>
      <c r="AA38" s="98">
        <f ca="1">_xlfn.XLOOKUP(RTData[[#This Row],[Ticker_Symbol]],TickerList!$G37:$G131,TickerList!O37:O131)</f>
        <v>0</v>
      </c>
      <c r="AB38" s="99">
        <v>1E-4</v>
      </c>
      <c r="AC38" s="100">
        <v>3.0000000000000001E-3</v>
      </c>
      <c r="AD38" s="86">
        <v>15.17</v>
      </c>
      <c r="AE38" s="101">
        <f ca="1">_xlfn.LET(_xlpm.New1YT,RTData[[#This Row],[1YT]],        _xlpm.Old1YT,IF(ISNUMBER(RTData[[#This Row],[Old1YT]]),RTData[[#This Row],[Old1YT]],VALUE(LEFT(RTData[[#This Row],[Old1YT]],FIND("/",RTData[[#This Row],[Old1YT]],1)-1))),       IF(OR(RTData[[#This Row],[1YT]]=0,_xlpm.Old1YT=0),0,(_xlpm.New1YT-_xlpm.Old1YT)/_xlpm.Old1YT))</f>
        <v>-0.56273368490441666</v>
      </c>
      <c r="AF38" s="101" t="str">
        <f ca="1">TEXT(RTData[[#This Row],[1YT]],"#,#0.00")&amp;" &lt; "&amp;RTData[[#This Row],[Old1YT]]</f>
        <v>6.63 &lt; 15.17</v>
      </c>
    </row>
    <row r="39" spans="1:33" x14ac:dyDescent="0.3">
      <c r="A39" s="15" t="str" cm="1">
        <f t="array" aca="1" ref="A39" ca="1">_xlfn.SINGLE(RTData[suffix])&amp;_FV(RTData[[#This Row],[Company Name]],"Ticker symbol",TRUE)</f>
        <v>PW</v>
      </c>
      <c r="B39" s="15">
        <f ca="1">D103</f>
        <v>0.61690314620604569</v>
      </c>
      <c r="C39" t="e" vm="37">
        <v>#VALUE!</v>
      </c>
      <c r="D39" s="113" t="str" cm="1">
        <f t="array" aca="1" ref="D39" ca="1">_FV(RTData[[#This Row],[Company Name]],"Currency")</f>
        <v>USD</v>
      </c>
      <c r="E39" s="17" cm="1">
        <f t="array" aca="1" ref="E39" ca="1">_FV(RTData[[#This Row],[Company Name]],"Last trade time",TRUE)</f>
        <v>45966.979166678124</v>
      </c>
      <c r="F39" s="34" cm="1">
        <f t="array" aca="1" ref="F39" ca="1">_FV(RTData[[#This Row],[Company Name]],"Previous close",TRUE)</f>
        <v>0.69330000000000003</v>
      </c>
      <c r="G39" s="34" cm="1">
        <f t="array" aca="1" ref="G39" ca="1">_FV(RTData[[#This Row],[Company Name]],"Open")</f>
        <v>0.70030000000000003</v>
      </c>
      <c r="H39" s="34" cm="1">
        <f t="array" aca="1" ref="H39" ca="1">_FV(RTData[[#This Row],[Company Name]],"Price")</f>
        <v>0.745</v>
      </c>
      <c r="I39" s="34" cm="1">
        <f t="array" aca="1" ref="I39" ca="1">_FV(RTData[[#This Row],[Company Name]],"Low")</f>
        <v>0.70030000000000003</v>
      </c>
      <c r="J39" s="34" cm="1">
        <f t="array" aca="1" ref="J39" ca="1">_FV(RTData[[#This Row],[Company Name]],"High")</f>
        <v>0.77990000000000004</v>
      </c>
      <c r="K39" s="19" cm="1">
        <f t="array" ref="K39">IFERROR(_FV(RTData[[#This Row],[Company Name]],"P/E",TRUE),99)</f>
        <v>99</v>
      </c>
      <c r="L39" s="20" cm="1">
        <f t="array" aca="1" ref="L39" ca="1">_FV(RTData[[#This Row],[Company Name]],"Change")</f>
        <v>5.1700000000000003E-2</v>
      </c>
      <c r="M39" s="21" cm="1">
        <f t="array" aca="1" ref="M39" ca="1">_FV(RTData[[#This Row],[Company Name]],"Change (%)",TRUE)</f>
        <v>7.4570999999999998E-2</v>
      </c>
      <c r="N39" s="34" cm="1">
        <f t="array" aca="1" ref="N39" ca="1">_FV(RTData[[#This Row],[Company Name]],"52 week low",TRUE)</f>
        <v>0.62429999999999997</v>
      </c>
      <c r="O39" s="34" cm="1">
        <f t="array" aca="1" ref="O39" ca="1">_FV(RTData[[#This Row],[Company Name]],"52 week high",TRUE)</f>
        <v>2.59</v>
      </c>
      <c r="P39" s="22" cm="1">
        <f t="array" aca="1" ref="P39" ca="1">_FV(RTData[[#This Row],[Company Name]],"Volume")</f>
        <v>61947</v>
      </c>
      <c r="Q39" s="22" cm="1">
        <f t="array" aca="1" ref="Q39" ca="1">_FV(RTData[[#This Row],[Company Name]],"Volume average",TRUE)</f>
        <v>89296</v>
      </c>
      <c r="R39" s="18" cm="1">
        <f t="array" aca="1" ref="R39" ca="1">_FV(RTData[[#This Row],[Company Name]],"Beta")</f>
        <v>1.5404</v>
      </c>
      <c r="T39" t="s">
        <v>19</v>
      </c>
      <c r="U39" t="str" cm="1">
        <f t="array" aca="1" ref="U39" ca="1">_FV(RTData[[#This Row],[Company Name]],"Exchange abbreviation",TRUE)</f>
        <v>XNYS</v>
      </c>
      <c r="V39" s="23">
        <f ca="1">IFERROR(RTData[[#This Row],[Volume]]/RTData[[#This Row],[Volume average]],1)</f>
        <v>0.69372648270919191</v>
      </c>
      <c r="W39" s="23"/>
      <c r="X39" s="104">
        <f ca="1">_xlfn.XLOOKUP(RTData[[#This Row],[Ticker_Symbol]],TickerList!$G38:$G132,TickerList!L38:L132)</f>
        <v>0</v>
      </c>
      <c r="Y39" s="97">
        <f ca="1">_xlfn.XLOOKUP(RTData[[#This Row],[Ticker_Symbol]],TickerList!$G38:$G132,TickerList!M38:M132)</f>
        <v>41284</v>
      </c>
      <c r="Z39" s="97">
        <f ca="1">_xlfn.XLOOKUP(RTData[[#This Row],[Ticker_Symbol]],TickerList!$G38:$G132,TickerList!N38:N132)</f>
        <v>0</v>
      </c>
      <c r="AA39" s="98">
        <f ca="1">_xlfn.XLOOKUP(RTData[[#This Row],[Ticker_Symbol]],TickerList!$G38:$G132,TickerList!O38:O132)</f>
        <v>0</v>
      </c>
      <c r="AB39" s="99">
        <v>1E-4</v>
      </c>
      <c r="AC39" s="100">
        <v>3.0000000000000001E-3</v>
      </c>
      <c r="AD39" s="86">
        <v>4.3</v>
      </c>
      <c r="AE39" s="101">
        <f ca="1">_xlfn.LET(_xlpm.New1YT,RTData[[#This Row],[1YT]],        _xlpm.Old1YT,IF(ISNUMBER(RTData[[#This Row],[Old1YT]]),RTData[[#This Row],[Old1YT]],VALUE(LEFT(RTData[[#This Row],[Old1YT]],FIND("/",RTData[[#This Row],[Old1YT]],1)-1))),       IF(OR(RTData[[#This Row],[1YT]]=0,_xlpm.Old1YT=0),0,(_xlpm.New1YT-_xlpm.Old1YT)/_xlpm.Old1YT))</f>
        <v>0</v>
      </c>
      <c r="AF39" s="101" t="str">
        <f ca="1">TEXT(RTData[[#This Row],[1YT]],"#,#0.00")&amp;" &lt; "&amp;RTData[[#This Row],[Old1YT]]</f>
        <v>0.00 &lt; 4.3</v>
      </c>
    </row>
    <row r="40" spans="1:33" x14ac:dyDescent="0.3">
      <c r="A40" s="15" t="str" cm="1">
        <f t="array" aca="1" ref="A40" ca="1">_xlfn.SINGLE(RTData[suffix])&amp;_FV(RTData[[#This Row],[Company Name]],"Ticker symbol",TRUE)</f>
        <v>RIGL</v>
      </c>
      <c r="B40" s="15">
        <f ca="1">D99</f>
        <v>0.8700191404210893</v>
      </c>
      <c r="C40" t="e" vm="38">
        <v>#VALUE!</v>
      </c>
      <c r="D40" s="113" t="str" cm="1">
        <f t="array" aca="1" ref="D40" ca="1">_FV(RTData[[#This Row],[Company Name]],"Currency")</f>
        <v>USD</v>
      </c>
      <c r="E40" s="17" cm="1">
        <f t="array" aca="1" ref="E40" ca="1">_FV(RTData[[#This Row],[Company Name]],"Last trade time",TRUE)</f>
        <v>45966.99838898125</v>
      </c>
      <c r="F40" s="18" cm="1">
        <f t="array" aca="1" ref="F40" ca="1">_FV(RTData[[#This Row],[Company Name]],"Previous close",TRUE)</f>
        <v>28.38</v>
      </c>
      <c r="G40" s="18" cm="1">
        <f t="array" aca="1" ref="G40" ca="1">_FV(RTData[[#This Row],[Company Name]],"Open")</f>
        <v>34.869999999999997</v>
      </c>
      <c r="H40" s="18" cm="1">
        <f t="array" aca="1" ref="H40" ca="1">_FV(RTData[[#This Row],[Company Name]],"Price")</f>
        <v>37.85</v>
      </c>
      <c r="I40" s="18" cm="1">
        <f t="array" aca="1" ref="I40" ca="1">_FV(RTData[[#This Row],[Company Name]],"Low")</f>
        <v>34.39</v>
      </c>
      <c r="J40" s="18" cm="1">
        <f t="array" aca="1" ref="J40" ca="1">_FV(RTData[[#This Row],[Company Name]],"High")</f>
        <v>39.56</v>
      </c>
      <c r="K40" s="19" cm="1">
        <f t="array" aca="1" ref="K40" ca="1">IFERROR(_FV(RTData[[#This Row],[Company Name]],"P/E",TRUE),99)</f>
        <v>4.6014999999999997</v>
      </c>
      <c r="L40" s="20" cm="1">
        <f t="array" aca="1" ref="L40" ca="1">_FV(RTData[[#This Row],[Company Name]],"Change")</f>
        <v>9.4700000000000006</v>
      </c>
      <c r="M40" s="21" cm="1">
        <f t="array" aca="1" ref="M40" ca="1">_FV(RTData[[#This Row],[Company Name]],"Change (%)",TRUE)</f>
        <v>0.33368599999999998</v>
      </c>
      <c r="N40" s="18" cm="1">
        <f t="array" aca="1" ref="N40" ca="1">_FV(RTData[[#This Row],[Company Name]],"52 week low",TRUE)</f>
        <v>13.91</v>
      </c>
      <c r="O40" s="18" cm="1">
        <f t="array" aca="1" ref="O40" ca="1">_FV(RTData[[#This Row],[Company Name]],"52 week high",TRUE)</f>
        <v>43.7181</v>
      </c>
      <c r="P40" s="22" cm="1">
        <f t="array" aca="1" ref="P40" ca="1">_FV(RTData[[#This Row],[Company Name]],"Volume")</f>
        <v>2321405</v>
      </c>
      <c r="Q40" s="22" cm="1">
        <f t="array" aca="1" ref="Q40" ca="1">_FV(RTData[[#This Row],[Company Name]],"Volume average",TRUE)</f>
        <v>490204</v>
      </c>
      <c r="R40" s="18" cm="1">
        <f t="array" aca="1" ref="R40" ca="1">_FV(RTData[[#This Row],[Company Name]],"Beta")</f>
        <v>1.181</v>
      </c>
      <c r="T40" t="s">
        <v>19</v>
      </c>
      <c r="U40" t="str" cm="1">
        <f t="array" aca="1" ref="U40" ca="1">_FV(RTData[[#This Row],[Company Name]],"Exchange abbreviation",TRUE)</f>
        <v>XNAS</v>
      </c>
      <c r="V40" s="23">
        <f ca="1">IFERROR(RTData[[#This Row],[Volume]]/RTData[[#This Row],[Volume average]],1)</f>
        <v>4.7355896728708862</v>
      </c>
      <c r="W40" s="23"/>
      <c r="X40" s="104">
        <f ca="1">_xlfn.XLOOKUP(RTData[[#This Row],[Ticker_Symbol]],TickerList!$G39:$G133,TickerList!L39:L133)</f>
        <v>38.333329999999997</v>
      </c>
      <c r="Y40" s="97">
        <f ca="1">_xlfn.XLOOKUP(RTData[[#This Row],[Ticker_Symbol]],TickerList!$G39:$G133,TickerList!M39:M133)</f>
        <v>0</v>
      </c>
      <c r="Z40" s="97" t="str">
        <f ca="1">_xlfn.XLOOKUP(RTData[[#This Row],[Ticker_Symbol]],TickerList!$G39:$G133,TickerList!N39:N133)</f>
        <v>Nov 4, 2025</v>
      </c>
      <c r="AA40" s="98">
        <f ca="1">_xlfn.XLOOKUP(RTData[[#This Row],[Ticker_Symbol]],TickerList!$G39:$G133,TickerList!O39:O133)</f>
        <v>0</v>
      </c>
      <c r="AB40" s="99">
        <v>1E-4</v>
      </c>
      <c r="AC40" s="100">
        <v>3.0000000000000001E-3</v>
      </c>
      <c r="AD40" s="86">
        <v>0.56000000000000005</v>
      </c>
      <c r="AE40" s="101">
        <f ca="1">_xlfn.LET(_xlpm.New1YT,RTData[[#This Row],[1YT]],        _xlpm.Old1YT,IF(ISNUMBER(RTData[[#This Row],[Old1YT]]),RTData[[#This Row],[Old1YT]],VALUE(LEFT(RTData[[#This Row],[Old1YT]],FIND("/",RTData[[#This Row],[Old1YT]],1)-1))),       IF(OR(RTData[[#This Row],[1YT]]=0,_xlpm.Old1YT=0),0,(_xlpm.New1YT-_xlpm.Old1YT)/_xlpm.Old1YT))</f>
        <v>67.452374999999989</v>
      </c>
      <c r="AF40" s="101" t="str">
        <f ca="1">TEXT(RTData[[#This Row],[1YT]],"#,#0.00")&amp;" &lt; "&amp;RTData[[#This Row],[Old1YT]]</f>
        <v>38.33 &lt; 0.56</v>
      </c>
    </row>
    <row r="41" spans="1:33" x14ac:dyDescent="0.3">
      <c r="A41" s="15" t="str" cm="1">
        <f t="array" aca="1" ref="A41" ca="1">_xlfn.SINGLE(RTData[suffix])&amp;_FV(RTData[[#This Row],[Company Name]],"Ticker symbol",TRUE)</f>
        <v>RWE</v>
      </c>
      <c r="B41" s="15">
        <f ca="1">D99</f>
        <v>0.8700191404210893</v>
      </c>
      <c r="C41" t="e" vm="39">
        <v>#VALUE!</v>
      </c>
      <c r="D41" s="113" t="str" cm="1">
        <f t="array" aca="1" ref="D41" ca="1">_FV(RTData[[#This Row],[Company Name]],"Currency")</f>
        <v>EUR</v>
      </c>
      <c r="E41" s="17" cm="1">
        <f t="array" aca="1" ref="E41" ca="1">_FV(RTData[[#This Row],[Company Name]],"Last trade time",TRUE)</f>
        <v>45966.878472222219</v>
      </c>
      <c r="F41" s="18" cm="1">
        <f t="array" aca="1" ref="F41" ca="1">_FV(RTData[[#This Row],[Company Name]],"Previous close",TRUE)</f>
        <v>42.34</v>
      </c>
      <c r="G41" s="18" cm="1">
        <f t="array" aca="1" ref="G41" ca="1">_FV(RTData[[#This Row],[Company Name]],"Open")</f>
        <v>42.28</v>
      </c>
      <c r="H41" s="18" cm="1">
        <f t="array" aca="1" ref="H41" ca="1">_FV(RTData[[#This Row],[Company Name]],"Price")</f>
        <v>42.61</v>
      </c>
      <c r="I41" s="18" cm="1">
        <f t="array" aca="1" ref="I41" ca="1">_FV(RTData[[#This Row],[Company Name]],"Low")</f>
        <v>42.17</v>
      </c>
      <c r="J41" s="18" cm="1">
        <f t="array" aca="1" ref="J41" ca="1">_FV(RTData[[#This Row],[Company Name]],"High")</f>
        <v>42.61</v>
      </c>
      <c r="K41" s="19" cm="1">
        <f t="array" aca="1" ref="K41" ca="1">IFERROR(_FV(RTData[[#This Row],[Company Name]],"P/E",TRUE),99)</f>
        <v>12.209199999999999</v>
      </c>
      <c r="L41" s="20" cm="1">
        <f t="array" aca="1" ref="L41" ca="1">_FV(RTData[[#This Row],[Company Name]],"Change")</f>
        <v>0.27</v>
      </c>
      <c r="M41" s="21" cm="1">
        <f t="array" aca="1" ref="M41" ca="1">_FV(RTData[[#This Row],[Company Name]],"Change (%)",TRUE)</f>
        <v>6.3770000000000007E-3</v>
      </c>
      <c r="N41" s="18" cm="1">
        <f t="array" aca="1" ref="N41" ca="1">_FV(RTData[[#This Row],[Company Name]],"52 week low",TRUE)</f>
        <v>14.231</v>
      </c>
      <c r="O41" s="18" cm="1">
        <f t="array" aca="1" ref="O41" ca="1">_FV(RTData[[#This Row],[Company Name]],"52 week high",TRUE)</f>
        <v>44.03</v>
      </c>
      <c r="P41" s="22" cm="1">
        <f t="array" aca="1" ref="P41" ca="1">_FV(RTData[[#This Row],[Company Name]],"Volume")</f>
        <v>5600</v>
      </c>
      <c r="Q41" s="22" cm="1">
        <f t="array" aca="1" ref="Q41" ca="1">_FV(RTData[[#This Row],[Company Name]],"Volume average",TRUE)</f>
        <v>1735050</v>
      </c>
      <c r="R41" s="18" cm="1">
        <f t="array" aca="1" ref="R41" ca="1">_FV(RTData[[#This Row],[Company Name]],"Beta")</f>
        <v>0.48039999999999999</v>
      </c>
      <c r="T41" t="s">
        <v>19</v>
      </c>
      <c r="U41" t="str" cm="1">
        <f t="array" aca="1" ref="U41" ca="1">_FV(RTData[[#This Row],[Company Name]],"Exchange abbreviation",TRUE)</f>
        <v>XFRA</v>
      </c>
      <c r="V41" s="23">
        <f ca="1">IFERROR(RTData[[#This Row],[Volume]]/RTData[[#This Row],[Volume average]],1)</f>
        <v>3.2275726924296129E-3</v>
      </c>
      <c r="W41" s="23"/>
      <c r="X41" s="104">
        <f ca="1">_xlfn.XLOOKUP(RTData[[#This Row],[Ticker_Symbol]],TickerList!$G40:$G134,TickerList!L40:L134)</f>
        <v>44.747059999999998</v>
      </c>
      <c r="Y41" s="97">
        <f ca="1">_xlfn.XLOOKUP(RTData[[#This Row],[Ticker_Symbol]],TickerList!$G40:$G134,TickerList!M40:M134)</f>
        <v>45779</v>
      </c>
      <c r="Z41" s="97">
        <f ca="1">_xlfn.XLOOKUP(RTData[[#This Row],[Ticker_Symbol]],TickerList!$G40:$G134,TickerList!N40:N134)</f>
        <v>0</v>
      </c>
      <c r="AA41" s="98">
        <f ca="1">_xlfn.XLOOKUP(RTData[[#This Row],[Ticker_Symbol]],TickerList!$G40:$G134,TickerList!O40:O134)</f>
        <v>2.5799999000000001E-2</v>
      </c>
      <c r="AB41" s="99">
        <v>1E-4</v>
      </c>
      <c r="AC41" s="100">
        <v>3.0000000000000001E-3</v>
      </c>
      <c r="AD41" s="86" t="s">
        <v>64</v>
      </c>
      <c r="AE41" s="101">
        <f ca="1">_xlfn.LET(_xlpm.New1YT,RTData[[#This Row],[1YT]],        _xlpm.Old1YT,IF(ISNUMBER(RTData[[#This Row],[Old1YT]]),RTData[[#This Row],[Old1YT]],VALUE(LEFT(RTData[[#This Row],[Old1YT]],FIND("/",RTData[[#This Row],[Old1YT]],1)-1))),       IF(OR(RTData[[#This Row],[1YT]]=0,_xlpm.Old1YT=0),0,(_xlpm.New1YT-_xlpm.Old1YT)/_xlpm.Old1YT))</f>
        <v>0.32623177237700046</v>
      </c>
      <c r="AF41" s="101" t="str">
        <f ca="1">TEXT(RTData[[#This Row],[1YT]],"#,#0.00")&amp;" &lt; "&amp;RTData[[#This Row],[Old1YT]]</f>
        <v>44.75 &lt; 33.74/31.33</v>
      </c>
    </row>
    <row r="42" spans="1:33" x14ac:dyDescent="0.3">
      <c r="A42" s="15" t="str" cm="1">
        <f t="array" aca="1" ref="A42" ca="1">_xlfn.SINGLE(RTData[suffix])&amp;_FV(RTData[[#This Row],[Company Name]],"Ticker symbol",TRUE)</f>
        <v>SAP</v>
      </c>
      <c r="B42" s="15">
        <v>1</v>
      </c>
      <c r="C42" t="e" vm="40">
        <v>#VALUE!</v>
      </c>
      <c r="D42" s="113" t="str" cm="1">
        <f t="array" aca="1" ref="D42" ca="1">_FV(RTData[[#This Row],[Company Name]],"Currency")</f>
        <v>EUR</v>
      </c>
      <c r="E42" s="17" cm="1">
        <f t="array" aca="1" ref="E42" ca="1">_FV(RTData[[#This Row],[Company Name]],"Last trade time",TRUE)</f>
        <v>45966.950497685182</v>
      </c>
      <c r="F42" s="27" cm="1">
        <f t="array" aca="1" ref="F42" ca="1">_FV(RTData[[#This Row],[Company Name]],"Previous close",TRUE)</f>
        <v>226.05</v>
      </c>
      <c r="G42" s="27" cm="1">
        <f t="array" aca="1" ref="G42" ca="1">_FV(RTData[[#This Row],[Company Name]],"Open")</f>
        <v>224.95</v>
      </c>
      <c r="H42" s="27" cm="1">
        <f t="array" aca="1" ref="H42" ca="1">_FV(RTData[[#This Row],[Company Name]],"Price")</f>
        <v>227.95</v>
      </c>
      <c r="I42" s="27" cm="1">
        <f t="array" aca="1" ref="I42" ca="1">_FV(RTData[[#This Row],[Company Name]],"Low")</f>
        <v>223.75</v>
      </c>
      <c r="J42" s="27" cm="1">
        <f t="array" aca="1" ref="J42" ca="1">_FV(RTData[[#This Row],[Company Name]],"High")</f>
        <v>229.95</v>
      </c>
      <c r="K42" s="19" cm="1">
        <f t="array" aca="1" ref="K42" ca="1">IFERROR(_FV(RTData[[#This Row],[Company Name]],"P/E",TRUE),99)</f>
        <v>37.5486</v>
      </c>
      <c r="L42" s="20" cm="1">
        <f t="array" aca="1" ref="L42" ca="1">_FV(RTData[[#This Row],[Company Name]],"Change")</f>
        <v>1.9</v>
      </c>
      <c r="M42" s="21" cm="1">
        <f t="array" aca="1" ref="M42" ca="1">_FV(RTData[[#This Row],[Company Name]],"Change (%)",TRUE)</f>
        <v>8.405000000000001E-3</v>
      </c>
      <c r="N42" s="27" cm="1">
        <f t="array" aca="1" ref="N42" ca="1">_FV(RTData[[#This Row],[Company Name]],"52 week low",TRUE)</f>
        <v>209.7</v>
      </c>
      <c r="O42" s="27" cm="1">
        <f t="array" aca="1" ref="O42" ca="1">_FV(RTData[[#This Row],[Company Name]],"52 week high",TRUE)</f>
        <v>283.5</v>
      </c>
      <c r="P42" s="22" cm="1">
        <f t="array" aca="1" ref="P42" ca="1">_FV(RTData[[#This Row],[Company Name]],"Volume")</f>
        <v>944453</v>
      </c>
      <c r="Q42" s="22" cm="1">
        <f t="array" aca="1" ref="Q42" ca="1">_FV(RTData[[#This Row],[Company Name]],"Volume average",TRUE)</f>
        <v>1560890</v>
      </c>
      <c r="R42" s="18" cm="1">
        <f t="array" aca="1" ref="R42" ca="1">_FV(RTData[[#This Row],[Company Name]],"Beta")</f>
        <v>1.0464</v>
      </c>
      <c r="T42" t="s">
        <v>19</v>
      </c>
      <c r="U42" t="str" cm="1">
        <f t="array" aca="1" ref="U42" ca="1">_FV(RTData[[#This Row],[Company Name]],"Exchange abbreviation",TRUE)</f>
        <v>XETR</v>
      </c>
      <c r="V42" s="23">
        <f ca="1">IFERROR(RTData[[#This Row],[Volume]]/RTData[[#This Row],[Volume average]],1)</f>
        <v>0.60507338761860219</v>
      </c>
      <c r="W42" s="23"/>
      <c r="X42" s="104">
        <f ca="1">_xlfn.XLOOKUP(RTData[[#This Row],[Ticker_Symbol]],TickerList!$G41:$G135,TickerList!L41:L135)</f>
        <v>288.66680000000002</v>
      </c>
      <c r="Y42" s="97">
        <f ca="1">_xlfn.XLOOKUP(RTData[[#This Row],[Ticker_Symbol]],TickerList!$G41:$G135,TickerList!M41:M135)</f>
        <v>45791</v>
      </c>
      <c r="Z42" s="97">
        <f ca="1">_xlfn.XLOOKUP(RTData[[#This Row],[Ticker_Symbol]],TickerList!$G41:$G135,TickerList!N41:N135)</f>
        <v>0</v>
      </c>
      <c r="AA42" s="98">
        <f ca="1">_xlfn.XLOOKUP(RTData[[#This Row],[Ticker_Symbol]],TickerList!$G41:$G135,TickerList!O41:O135)</f>
        <v>1.0500000000000001E-2</v>
      </c>
      <c r="AB42" s="99"/>
      <c r="AC42" s="100">
        <v>3.0000000000000001E-3</v>
      </c>
      <c r="AD42" s="86">
        <v>290</v>
      </c>
      <c r="AE42" s="101">
        <f ca="1">_xlfn.LET(_xlpm.New1YT,RTData[[#This Row],[1YT]],        _xlpm.Old1YT,IF(ISNUMBER(RTData[[#This Row],[Old1YT]]),RTData[[#This Row],[Old1YT]],VALUE(LEFT(RTData[[#This Row],[Old1YT]],FIND("/",RTData[[#This Row],[Old1YT]],1)-1))),       IF(OR(RTData[[#This Row],[1YT]]=0,_xlpm.Old1YT=0),0,(_xlpm.New1YT-_xlpm.Old1YT)/_xlpm.Old1YT))</f>
        <v>-4.5972413793102639E-3</v>
      </c>
      <c r="AF42" s="101" t="str">
        <f ca="1">TEXT(RTData[[#This Row],[1YT]],"#,#0.00")&amp;" &lt; "&amp;RTData[[#This Row],[Old1YT]]</f>
        <v>288.67 &lt; 290</v>
      </c>
    </row>
    <row r="43" spans="1:33" ht="22" customHeight="1" x14ac:dyDescent="0.3">
      <c r="A43" s="15" t="str" cm="1">
        <f t="array" aca="1" ref="A43" ca="1">_xlfn.SINGLE(RTData[suffix])&amp;_FV(RTData[[#This Row],[Company Name]],"Ticker symbol",TRUE)</f>
        <v>SHECY</v>
      </c>
      <c r="B43" s="15">
        <v>1</v>
      </c>
      <c r="C43" t="e" vm="41">
        <v>#VALUE!</v>
      </c>
      <c r="D43" s="113" t="str" cm="1">
        <f t="array" aca="1" ref="D43" ca="1">_FV(RTData[[#This Row],[Company Name]],"Currency")</f>
        <v>USD</v>
      </c>
      <c r="E43" s="17" cm="1">
        <f t="array" aca="1" ref="E43" ca="1">_FV(RTData[[#This Row],[Company Name]],"Last trade time",TRUE)</f>
        <v>45966.930555555555</v>
      </c>
      <c r="F43" s="27" cm="1">
        <f t="array" aca="1" ref="F43" ca="1">_FV(RTData[[#This Row],[Company Name]],"Previous close",TRUE)</f>
        <v>14.93</v>
      </c>
      <c r="G43" s="27" cm="1">
        <f t="array" aca="1" ref="G43" ca="1">_FV(RTData[[#This Row],[Company Name]],"Open")</f>
        <v>14.27</v>
      </c>
      <c r="H43" s="27" cm="1">
        <f t="array" aca="1" ref="H43" ca="1">_FV(RTData[[#This Row],[Company Name]],"Price")</f>
        <v>14.9</v>
      </c>
      <c r="I43" s="27" cm="1">
        <f t="array" aca="1" ref="I43" ca="1">_FV(RTData[[#This Row],[Company Name]],"Low")</f>
        <v>14.27</v>
      </c>
      <c r="J43" s="27" cm="1">
        <f t="array" aca="1" ref="J43" ca="1">_FV(RTData[[#This Row],[Company Name]],"High")</f>
        <v>14.97</v>
      </c>
      <c r="K43" s="19" cm="1">
        <f t="array" aca="1" ref="K43" ca="1">IFERROR(_FV(RTData[[#This Row],[Company Name]],"P/E",TRUE),99)</f>
        <v>0</v>
      </c>
      <c r="L43" s="20" cm="1">
        <f t="array" aca="1" ref="L43" ca="1">_FV(RTData[[#This Row],[Company Name]],"Change")</f>
        <v>-0.03</v>
      </c>
      <c r="M43" s="21" cm="1">
        <f t="array" aca="1" ref="M43" ca="1">_FV(RTData[[#This Row],[Company Name]],"Change (%)",TRUE)</f>
        <v>-2.0089999999999999E-3</v>
      </c>
      <c r="N43" s="27" cm="1">
        <f t="array" aca="1" ref="N43" ca="1">_FV(RTData[[#This Row],[Company Name]],"52 week low",TRUE)</f>
        <v>11.88</v>
      </c>
      <c r="O43" s="27" cm="1">
        <f t="array" aca="1" ref="O43" ca="1">_FV(RTData[[#This Row],[Company Name]],"52 week high",TRUE)</f>
        <v>19.86</v>
      </c>
      <c r="P43" s="22" cm="1">
        <f t="array" aca="1" ref="P43" ca="1">_FV(RTData[[#This Row],[Company Name]],"Volume")</f>
        <v>380683</v>
      </c>
      <c r="Q43" s="22" cm="1">
        <f t="array" aca="1" ref="Q43" ca="1">_FV(RTData[[#This Row],[Company Name]],"Volume average",TRUE)</f>
        <v>7234540</v>
      </c>
      <c r="R43" s="27" cm="1">
        <f t="array" aca="1" ref="R43" ca="1">_FV(RTData[[#This Row],[Company Name]],"Beta")</f>
        <v>1.2863</v>
      </c>
      <c r="T43" t="s">
        <v>19</v>
      </c>
      <c r="U43" t="str" cm="1">
        <f t="array" aca="1" ref="U43" ca="1">_FV(RTData[[#This Row],[Company Name]],"Exchange abbreviation",TRUE)</f>
        <v>OTCM</v>
      </c>
      <c r="V43" s="23">
        <f ca="1">IFERROR(RTData[[#This Row],[Volume]]/RTData[[#This Row],[Volume average]],1)</f>
        <v>5.2620208057457693E-2</v>
      </c>
      <c r="W43" s="23"/>
      <c r="X43" s="104">
        <f ca="1">_xlfn.XLOOKUP(RTData[[#This Row],[Ticker_Symbol]],TickerList!$G42:$G136,TickerList!L42:L136)</f>
        <v>0</v>
      </c>
      <c r="Y43" s="97">
        <f ca="1">_xlfn.XLOOKUP(RTData[[#This Row],[Ticker_Symbol]],TickerList!$G42:$G136,TickerList!M42:M136)</f>
        <v>45747</v>
      </c>
      <c r="Z43" s="97">
        <f ca="1">_xlfn.XLOOKUP(RTData[[#This Row],[Ticker_Symbol]],TickerList!$G42:$G136,TickerList!N42:N136)</f>
        <v>0</v>
      </c>
      <c r="AA43" s="98">
        <f ca="1">_xlfn.XLOOKUP(RTData[[#This Row],[Ticker_Symbol]],TickerList!$G42:$G136,TickerList!O42:O136)</f>
        <v>2.4500001E-2</v>
      </c>
      <c r="AB43" s="99"/>
      <c r="AC43" s="100">
        <v>3.0000000000000001E-3</v>
      </c>
      <c r="AD43" s="86" t="s">
        <v>48</v>
      </c>
      <c r="AE43" s="101">
        <f ca="1">_xlfn.LET(_xlpm.New1YT,RTData[[#This Row],[1YT]],        _xlpm.Old1YT,IF(ISNUMBER(RTData[[#This Row],[Old1YT]]),RTData[[#This Row],[Old1YT]],VALUE(LEFT(RTData[[#This Row],[Old1YT]],FIND("/",RTData[[#This Row],[Old1YT]],1)-1))),       IF(OR(RTData[[#This Row],[1YT]]=0,_xlpm.Old1YT=0),0,(_xlpm.New1YT-_xlpm.Old1YT)/_xlpm.Old1YT))</f>
        <v>0</v>
      </c>
      <c r="AF43" s="101" t="str">
        <f ca="1">TEXT(RTData[[#This Row],[1YT]],"#,#0.00")&amp;" &lt; "&amp;RTData[[#This Row],[Old1YT]]</f>
        <v>0.00 &lt; 331.33/312.72</v>
      </c>
    </row>
    <row r="44" spans="1:33" x14ac:dyDescent="0.3">
      <c r="A44" s="15" t="str" cm="1">
        <f t="array" aca="1" ref="A44" ca="1">_xlfn.SINGLE(RTData[suffix])&amp;_FV(RTData[[#This Row],[Company Name]],"Ticker symbol",TRUE)</f>
        <v>SSYS</v>
      </c>
      <c r="B44" s="15">
        <f ca="1">D99</f>
        <v>0.8700191404210893</v>
      </c>
      <c r="C44" t="e" vm="42">
        <v>#VALUE!</v>
      </c>
      <c r="D44" s="113" t="str" cm="1">
        <f t="array" aca="1" ref="D44" ca="1">_FV(RTData[[#This Row],[Company Name]],"Currency")</f>
        <v>USD</v>
      </c>
      <c r="E44" s="17" cm="1">
        <f t="array" aca="1" ref="E44" ca="1">_FV(RTData[[#This Row],[Company Name]],"Last trade time",TRUE)</f>
        <v>45966.996391539062</v>
      </c>
      <c r="F44" s="18" cm="1">
        <f t="array" aca="1" ref="F44" ca="1">_FV(RTData[[#This Row],[Company Name]],"Previous close",TRUE)</f>
        <v>9.8699999999999992</v>
      </c>
      <c r="G44" s="18" cm="1">
        <f t="array" aca="1" ref="G44" ca="1">_FV(RTData[[#This Row],[Company Name]],"Open")</f>
        <v>9.8800000000000008</v>
      </c>
      <c r="H44" s="18" cm="1">
        <f t="array" aca="1" ref="H44" ca="1">_FV(RTData[[#This Row],[Company Name]],"Price")</f>
        <v>9.85</v>
      </c>
      <c r="I44" s="18" cm="1">
        <f t="array" aca="1" ref="I44" ca="1">_FV(RTData[[#This Row],[Company Name]],"Low")</f>
        <v>9.77</v>
      </c>
      <c r="J44" s="18" cm="1">
        <f t="array" aca="1" ref="J44" ca="1">_FV(RTData[[#This Row],[Company Name]],"High")</f>
        <v>9.9859000000000009</v>
      </c>
      <c r="K44" s="19" cm="1">
        <f t="array" aca="1" ref="K44" ca="1">IFERROR(_FV(RTData[[#This Row],[Company Name]],"P/E",TRUE),99)</f>
        <v>0</v>
      </c>
      <c r="L44" s="20" cm="1">
        <f t="array" aca="1" ref="L44" ca="1">_FV(RTData[[#This Row],[Company Name]],"Change")</f>
        <v>-0.02</v>
      </c>
      <c r="M44" s="21" cm="1">
        <f t="array" aca="1" ref="M44" ca="1">_FV(RTData[[#This Row],[Company Name]],"Change (%)",TRUE)</f>
        <v>-2.026E-3</v>
      </c>
      <c r="N44" s="18" cm="1">
        <f t="array" aca="1" ref="N44" ca="1">_FV(RTData[[#This Row],[Company Name]],"52 week low",TRUE)</f>
        <v>7.22</v>
      </c>
      <c r="O44" s="18" cm="1">
        <f t="array" aca="1" ref="O44" ca="1">_FV(RTData[[#This Row],[Company Name]],"52 week high",TRUE)</f>
        <v>12.88</v>
      </c>
      <c r="P44" s="22" cm="1">
        <f t="array" aca="1" ref="P44" ca="1">_FV(RTData[[#This Row],[Company Name]],"Volume")</f>
        <v>592982</v>
      </c>
      <c r="Q44" s="22" cm="1">
        <f t="array" aca="1" ref="Q44" ca="1">_FV(RTData[[#This Row],[Company Name]],"Volume average",TRUE)</f>
        <v>974898</v>
      </c>
      <c r="R44" s="18" cm="1">
        <f t="array" aca="1" ref="R44" ca="1">_FV(RTData[[#This Row],[Company Name]],"Beta")</f>
        <v>1.4714</v>
      </c>
      <c r="T44" t="s">
        <v>19</v>
      </c>
      <c r="U44" t="str" cm="1">
        <f t="array" aca="1" ref="U44" ca="1">_FV(RTData[[#This Row],[Company Name]],"Exchange abbreviation",TRUE)</f>
        <v>XNAS</v>
      </c>
      <c r="V44" s="23">
        <f ca="1">IFERROR(RTData[[#This Row],[Volume]]/RTData[[#This Row],[Volume average]],1)</f>
        <v>0.60825029900563954</v>
      </c>
      <c r="W44" s="23"/>
      <c r="X44" s="104">
        <f ca="1">_xlfn.XLOOKUP(RTData[[#This Row],[Ticker_Symbol]],TickerList!$G43:$G137,TickerList!L43:L137)</f>
        <v>13.33333</v>
      </c>
      <c r="Y44" s="97">
        <f ca="1">_xlfn.XLOOKUP(RTData[[#This Row],[Ticker_Symbol]],TickerList!$G43:$G137,TickerList!M43:M137)</f>
        <v>0</v>
      </c>
      <c r="Z44" s="97" t="str">
        <f ca="1">_xlfn.XLOOKUP(RTData[[#This Row],[Ticker_Symbol]],TickerList!$G43:$G137,TickerList!N43:N137)</f>
        <v>Nov 13, 2025</v>
      </c>
      <c r="AA44" s="98">
        <f ca="1">_xlfn.XLOOKUP(RTData[[#This Row],[Ticker_Symbol]],TickerList!$G43:$G137,TickerList!O43:O137)</f>
        <v>0</v>
      </c>
      <c r="AB44" s="99">
        <v>1E-4</v>
      </c>
      <c r="AC44" s="100">
        <v>3.0000000000000001E-3</v>
      </c>
      <c r="AD44" s="86">
        <v>42.6</v>
      </c>
      <c r="AE44" s="101">
        <f ca="1">_xlfn.LET(_xlpm.New1YT,RTData[[#This Row],[1YT]],        _xlpm.Old1YT,IF(ISNUMBER(RTData[[#This Row],[Old1YT]]),RTData[[#This Row],[Old1YT]],VALUE(LEFT(RTData[[#This Row],[Old1YT]],FIND("/",RTData[[#This Row],[Old1YT]],1)-1))),       IF(OR(RTData[[#This Row],[1YT]]=0,_xlpm.Old1YT=0),0,(_xlpm.New1YT-_xlpm.Old1YT)/_xlpm.Old1YT))</f>
        <v>-0.68701103286384979</v>
      </c>
      <c r="AF44" s="101" t="str">
        <f ca="1">TEXT(RTData[[#This Row],[1YT]],"#,#0.00")&amp;" &lt; "&amp;RTData[[#This Row],[Old1YT]]</f>
        <v>13.33 &lt; 42.6</v>
      </c>
    </row>
    <row r="45" spans="1:33" x14ac:dyDescent="0.3">
      <c r="A45" s="15" t="str" cm="1">
        <f t="array" aca="1" ref="A45" ca="1">_xlfn.SINGLE(RTData[suffix])&amp;_FV(RTData[[#This Row],[Company Name]],"Ticker symbol",TRUE)</f>
        <v>TSLA</v>
      </c>
      <c r="B45" s="15">
        <f ca="1">D99</f>
        <v>0.8700191404210893</v>
      </c>
      <c r="C45" t="e" vm="43">
        <v>#VALUE!</v>
      </c>
      <c r="D45" s="113" t="str" cm="1">
        <f t="array" aca="1" ref="D45" ca="1">_FV(RTData[[#This Row],[Company Name]],"Currency")</f>
        <v>USD</v>
      </c>
      <c r="E45" s="17" cm="1">
        <f t="array" aca="1" ref="E45" ca="1">_FV(RTData[[#This Row],[Company Name]],"Last trade time",TRUE)</f>
        <v>45967.000561573441</v>
      </c>
      <c r="F45" s="18" cm="1">
        <f t="array" aca="1" ref="F45" ca="1">_FV(RTData[[#This Row],[Company Name]],"Previous close",TRUE)</f>
        <v>444.26</v>
      </c>
      <c r="G45" s="18" cm="1">
        <f t="array" aca="1" ref="G45" ca="1">_FV(RTData[[#This Row],[Company Name]],"Open")</f>
        <v>452.05</v>
      </c>
      <c r="H45" s="18" cm="1">
        <f t="array" aca="1" ref="H45" ca="1">_FV(RTData[[#This Row],[Company Name]],"Price")</f>
        <v>462.25799999999998</v>
      </c>
      <c r="I45" s="18" cm="1">
        <f t="array" aca="1" ref="I45" ca="1">_FV(RTData[[#This Row],[Company Name]],"Low")</f>
        <v>440.71</v>
      </c>
      <c r="J45" s="18" cm="1">
        <f t="array" aca="1" ref="J45" ca="1">_FV(RTData[[#This Row],[Company Name]],"High")</f>
        <v>466.32990000000001</v>
      </c>
      <c r="K45" s="19" cm="1">
        <f t="array" aca="1" ref="K45" ca="1">IFERROR(_FV(RTData[[#This Row],[Company Name]],"P/E",TRUE),99)</f>
        <v>308.01760000000002</v>
      </c>
      <c r="L45" s="20" cm="1">
        <f t="array" aca="1" ref="L45" ca="1">_FV(RTData[[#This Row],[Company Name]],"Change")</f>
        <v>17.998000000000001</v>
      </c>
      <c r="M45" s="21" cm="1">
        <f t="array" aca="1" ref="M45" ca="1">_FV(RTData[[#This Row],[Company Name]],"Change (%)",TRUE)</f>
        <v>4.0511999999999999E-2</v>
      </c>
      <c r="N45" s="18" cm="1">
        <f t="array" aca="1" ref="N45" ca="1">_FV(RTData[[#This Row],[Company Name]],"52 week low",TRUE)</f>
        <v>214.25</v>
      </c>
      <c r="O45" s="18" cm="1">
        <f t="array" aca="1" ref="O45" ca="1">_FV(RTData[[#This Row],[Company Name]],"52 week high",TRUE)</f>
        <v>488.53989999999999</v>
      </c>
      <c r="P45" s="22" cm="1">
        <f t="array" aca="1" ref="P45" ca="1">_FV(RTData[[#This Row],[Company Name]],"Volume")</f>
        <v>85406218</v>
      </c>
      <c r="Q45" s="22" cm="1">
        <f t="array" aca="1" ref="Q45" ca="1">_FV(RTData[[#This Row],[Company Name]],"Volume average",TRUE)</f>
        <v>88177870</v>
      </c>
      <c r="R45" s="18" cm="1">
        <f t="array" aca="1" ref="R45" ca="1">_FV(RTData[[#This Row],[Company Name]],"Beta")</f>
        <v>1.8744000000000001</v>
      </c>
      <c r="T45" t="s">
        <v>19</v>
      </c>
      <c r="U45" t="str" cm="1">
        <f t="array" aca="1" ref="U45" ca="1">_FV(RTData[[#This Row],[Company Name]],"Exchange abbreviation",TRUE)</f>
        <v>XNAS</v>
      </c>
      <c r="V45" s="23">
        <f ca="1">IFERROR(RTData[[#This Row],[Volume]]/RTData[[#This Row],[Volume average]],1)</f>
        <v>0.96856748751132227</v>
      </c>
      <c r="W45" s="23"/>
      <c r="X45" s="104">
        <f ca="1">_xlfn.XLOOKUP(RTData[[#This Row],[Ticker_Symbol]],TickerList!$G44:$G138,TickerList!L44:L138)</f>
        <v>391.31805000000003</v>
      </c>
      <c r="Y45" s="97">
        <f ca="1">_xlfn.XLOOKUP(RTData[[#This Row],[Ticker_Symbol]],TickerList!$G44:$G138,TickerList!M44:M138)</f>
        <v>0</v>
      </c>
      <c r="Z45" s="97" t="str">
        <f ca="1">_xlfn.XLOOKUP(RTData[[#This Row],[Ticker_Symbol]],TickerList!$G44:$G138,TickerList!N44:N138)</f>
        <v>Jan 28, 2026</v>
      </c>
      <c r="AA45" s="98">
        <f ca="1">_xlfn.XLOOKUP(RTData[[#This Row],[Ticker_Symbol]],TickerList!$G44:$G138,TickerList!O44:O138)</f>
        <v>0</v>
      </c>
      <c r="AB45" s="99">
        <v>1E-4</v>
      </c>
      <c r="AC45" s="100">
        <v>3.0000000000000001E-3</v>
      </c>
      <c r="AD45" s="86">
        <v>11.8</v>
      </c>
      <c r="AE45" s="101">
        <f ca="1">_xlfn.LET(_xlpm.New1YT,RTData[[#This Row],[1YT]],        _xlpm.Old1YT,IF(ISNUMBER(RTData[[#This Row],[Old1YT]]),RTData[[#This Row],[Old1YT]],VALUE(LEFT(RTData[[#This Row],[Old1YT]],FIND("/",RTData[[#This Row],[Old1YT]],1)-1))),       IF(OR(RTData[[#This Row],[1YT]]=0,_xlpm.Old1YT=0),0,(_xlpm.New1YT-_xlpm.Old1YT)/_xlpm.Old1YT))</f>
        <v>32.162546610169493</v>
      </c>
      <c r="AF45" s="101" t="str">
        <f ca="1">TEXT(RTData[[#This Row],[1YT]],"#,#0.00")&amp;" &lt; "&amp;RTData[[#This Row],[Old1YT]]</f>
        <v>391.32 &lt; 11.8</v>
      </c>
      <c r="AG45" s="49"/>
    </row>
    <row r="46" spans="1:33" x14ac:dyDescent="0.3">
      <c r="A46" s="15" t="str" cm="1">
        <f t="array" aca="1" ref="A46" ca="1">_xlfn.SINGLE(RTData[suffix])&amp;_FV(RTData[[#This Row],[Company Name]],"Ticker symbol",TRUE)</f>
        <v>TSM</v>
      </c>
      <c r="B46" s="15">
        <f ca="1">D99</f>
        <v>0.8700191404210893</v>
      </c>
      <c r="C46" t="e" vm="44">
        <v>#VALUE!</v>
      </c>
      <c r="D46" s="113" t="str" cm="1">
        <f t="array" aca="1" ref="D46" ca="1">_FV(RTData[[#This Row],[Company Name]],"Currency")</f>
        <v>USD</v>
      </c>
      <c r="E46" s="17" cm="1">
        <f t="array" aca="1" ref="E46" ca="1">_FV(RTData[[#This Row],[Company Name]],"Last trade time",TRUE)</f>
        <v>45967.000015462501</v>
      </c>
      <c r="F46" s="18" cm="1">
        <f t="array" aca="1" ref="F46" ca="1">_FV(RTData[[#This Row],[Company Name]],"Previous close",TRUE)</f>
        <v>294.05</v>
      </c>
      <c r="G46" s="18" cm="1">
        <f t="array" aca="1" ref="G46" ca="1">_FV(RTData[[#This Row],[Company Name]],"Open")</f>
        <v>292.62</v>
      </c>
      <c r="H46" s="18" cm="1">
        <f t="array" aca="1" ref="H46" ca="1">_FV(RTData[[#This Row],[Company Name]],"Price")</f>
        <v>293.95</v>
      </c>
      <c r="I46" s="18" cm="1">
        <f t="array" aca="1" ref="I46" ca="1">_FV(RTData[[#This Row],[Company Name]],"Low")</f>
        <v>291.5</v>
      </c>
      <c r="J46" s="18" cm="1">
        <f t="array" aca="1" ref="J46" ca="1">_FV(RTData[[#This Row],[Company Name]],"High")</f>
        <v>298.21850000000001</v>
      </c>
      <c r="K46" s="19" cm="1">
        <f t="array" aca="1" ref="K46" ca="1">IFERROR(_FV(RTData[[#This Row],[Company Name]],"P/E",TRUE),99)</f>
        <v>29.2499</v>
      </c>
      <c r="L46" s="20" cm="1">
        <f t="array" aca="1" ref="L46" ca="1">_FV(RTData[[#This Row],[Company Name]],"Change")</f>
        <v>-0.1</v>
      </c>
      <c r="M46" s="21" cm="1">
        <f t="array" aca="1" ref="M46" ca="1">_FV(RTData[[#This Row],[Company Name]],"Change (%)",TRUE)</f>
        <v>-3.4009999999999997E-4</v>
      </c>
      <c r="N46" s="18" cm="1">
        <f t="array" aca="1" ref="N46" ca="1">_FV(RTData[[#This Row],[Company Name]],"52 week low",TRUE)</f>
        <v>134.25</v>
      </c>
      <c r="O46" s="18" cm="1">
        <f t="array" aca="1" ref="O46" ca="1">_FV(RTData[[#This Row],[Company Name]],"52 week high",TRUE)</f>
        <v>311.36849999999998</v>
      </c>
      <c r="P46" s="22" cm="1">
        <f t="array" aca="1" ref="P46" ca="1">_FV(RTData[[#This Row],[Company Name]],"Volume")</f>
        <v>10491376</v>
      </c>
      <c r="Q46" s="22" cm="1">
        <f t="array" aca="1" ref="Q46" ca="1">_FV(RTData[[#This Row],[Company Name]],"Volume average",TRUE)</f>
        <v>14758602</v>
      </c>
      <c r="R46" s="18" cm="1">
        <f t="array" aca="1" ref="R46" ca="1">_FV(RTData[[#This Row],[Company Name]],"Beta")</f>
        <v>1.3110999999999999</v>
      </c>
      <c r="T46" t="s">
        <v>19</v>
      </c>
      <c r="U46" t="str" cm="1">
        <f t="array" aca="1" ref="U46" ca="1">_FV(RTData[[#This Row],[Company Name]],"Exchange abbreviation",TRUE)</f>
        <v>XNYS</v>
      </c>
      <c r="V46" s="23">
        <f ca="1">IFERROR(RTData[[#This Row],[Volume]]/RTData[[#This Row],[Volume average]],1)</f>
        <v>0.71086516188999471</v>
      </c>
      <c r="W46" s="23"/>
      <c r="X46" s="104">
        <f ca="1">_xlfn.XLOOKUP(RTData[[#This Row],[Ticker_Symbol]],TickerList!$G45:$G139,TickerList!L45:L139)</f>
        <v>335.39688000000001</v>
      </c>
      <c r="Y46" s="97">
        <f ca="1">_xlfn.XLOOKUP(RTData[[#This Row],[Ticker_Symbol]],TickerList!$G45:$G139,TickerList!M45:M139)</f>
        <v>46002</v>
      </c>
      <c r="Z46" s="97" t="str">
        <f ca="1">_xlfn.XLOOKUP(RTData[[#This Row],[Ticker_Symbol]],TickerList!$G45:$G139,TickerList!N45:N139)</f>
        <v>Jan 15, 2026</v>
      </c>
      <c r="AA46" s="98">
        <f ca="1">_xlfn.XLOOKUP(RTData[[#This Row],[Ticker_Symbol]],TickerList!$G45:$G139,TickerList!O45:O139)</f>
        <v>1.11E-2</v>
      </c>
      <c r="AB46" s="99">
        <v>1E-4</v>
      </c>
      <c r="AC46" s="100">
        <v>3.0000000000000001E-3</v>
      </c>
      <c r="AD46" s="86">
        <v>209.14</v>
      </c>
      <c r="AE46" s="101">
        <f ca="1">_xlfn.LET(_xlpm.New1YT,RTData[[#This Row],[1YT]],        _xlpm.Old1YT,IF(ISNUMBER(RTData[[#This Row],[Old1YT]]),RTData[[#This Row],[Old1YT]],VALUE(LEFT(RTData[[#This Row],[Old1YT]],FIND("/",RTData[[#This Row],[Old1YT]],1)-1))),       IF(OR(RTData[[#This Row],[1YT]]=0,_xlpm.Old1YT=0),0,(_xlpm.New1YT-_xlpm.Old1YT)/_xlpm.Old1YT))</f>
        <v>0.60369551496605156</v>
      </c>
      <c r="AF46" s="101" t="str">
        <f ca="1">TEXT(RTData[[#This Row],[1YT]],"#,#0.00")&amp;" &lt; "&amp;RTData[[#This Row],[Old1YT]]</f>
        <v>335.40 &lt; 209.14</v>
      </c>
    </row>
    <row r="47" spans="1:33" x14ac:dyDescent="0.3">
      <c r="A47" s="15" t="str" cm="1">
        <f t="array" aca="1" ref="A47" ca="1">_xlfn.SINGLE(RTData[suffix])&amp;_FV(RTData[[#This Row],[Company Name]],"Ticker symbol",TRUE)</f>
        <v>UN0</v>
      </c>
      <c r="B47" s="15">
        <f ca="1">D99</f>
        <v>0.8700191404210893</v>
      </c>
      <c r="C47" t="e" vm="45">
        <v>#VALUE!</v>
      </c>
      <c r="D47" s="113" t="str" cm="1">
        <f t="array" aca="1" ref="D47" ca="1">_FV(RTData[[#This Row],[Company Name]],"Currency")</f>
        <v>EUR</v>
      </c>
      <c r="E47" s="17" cm="1">
        <f t="array" aca="1" ref="E47" ca="1">_FV(RTData[[#This Row],[Company Name]],"Last trade time",TRUE)</f>
        <v>45966.878472222219</v>
      </c>
      <c r="F47" s="18" cm="1">
        <f t="array" aca="1" ref="F47" ca="1">_FV(RTData[[#This Row],[Company Name]],"Previous close",TRUE)</f>
        <v>29.6</v>
      </c>
      <c r="G47" s="18" cm="1">
        <f t="array" aca="1" ref="G47" ca="1">_FV(RTData[[#This Row],[Company Name]],"Open")</f>
        <v>29.5</v>
      </c>
      <c r="H47" s="18" cm="1">
        <f t="array" aca="1" ref="H47" ca="1">_FV(RTData[[#This Row],[Company Name]],"Price")</f>
        <v>29.5</v>
      </c>
      <c r="I47" s="18" cm="1">
        <f t="array" aca="1" ref="I47" ca="1">_FV(RTData[[#This Row],[Company Name]],"Low")</f>
        <v>29.5</v>
      </c>
      <c r="J47" s="18" cm="1">
        <f t="array" aca="1" ref="J47" ca="1">_FV(RTData[[#This Row],[Company Name]],"High")</f>
        <v>29.6</v>
      </c>
      <c r="K47" s="19" cm="1">
        <f t="array" ref="K47">IFERROR(_FV(RTData[[#This Row],[Company Name]],"P/E",TRUE),99)</f>
        <v>99</v>
      </c>
      <c r="L47" s="20" cm="1">
        <f t="array" aca="1" ref="L47" ca="1">_FV(RTData[[#This Row],[Company Name]],"Change")</f>
        <v>-0.1</v>
      </c>
      <c r="M47" s="21" cm="1">
        <f t="array" aca="1" ref="M47" ca="1">_FV(RTData[[#This Row],[Company Name]],"Change (%)",TRUE)</f>
        <v>-3.3779999999999999E-3</v>
      </c>
      <c r="N47" s="18" cm="1">
        <f t="array" aca="1" ref="N47" ca="1">_FV(RTData[[#This Row],[Company Name]],"52 week low",TRUE)</f>
        <v>2.1</v>
      </c>
      <c r="O47" s="18" cm="1">
        <f t="array" aca="1" ref="O47" ca="1">_FV(RTData[[#This Row],[Company Name]],"52 week high",TRUE)</f>
        <v>73.5</v>
      </c>
      <c r="P47" s="22" cm="1">
        <f t="array" aca="1" ref="P47" ca="1">_FV(RTData[[#This Row],[Company Name]],"Volume")</f>
        <v>464</v>
      </c>
      <c r="Q47" s="22" cm="1">
        <f t="array" aca="1" ref="Q47" ca="1">_FV(RTData[[#This Row],[Company Name]],"Volume average",TRUE)</f>
        <v>5390</v>
      </c>
      <c r="R47" s="18" cm="1">
        <f t="array" aca="1" ref="R47" ca="1">_FV(RTData[[#This Row],[Company Name]],"Beta")</f>
        <v>1.0946</v>
      </c>
      <c r="T47" t="s">
        <v>19</v>
      </c>
      <c r="U47" t="str" cm="1">
        <f t="array" aca="1" ref="U47" ca="1">_FV(RTData[[#This Row],[Company Name]],"Exchange abbreviation",TRUE)</f>
        <v>XFRA</v>
      </c>
      <c r="V47" s="23">
        <f ca="1">IFERROR(RTData[[#This Row],[Volume]]/RTData[[#This Row],[Volume average]],1)</f>
        <v>8.608534322820037E-2</v>
      </c>
      <c r="W47" s="23"/>
      <c r="X47" s="104">
        <f ca="1">_xlfn.XLOOKUP(RTData[[#This Row],[Ticker_Symbol]],TickerList!$G46:$G140,TickerList!L46:L140)</f>
        <v>0</v>
      </c>
      <c r="Y47" s="97">
        <f ca="1">_xlfn.XLOOKUP(RTData[[#This Row],[Ticker_Symbol]],TickerList!$G46:$G140,TickerList!M46:M140)</f>
        <v>0</v>
      </c>
      <c r="Z47" s="97">
        <f ca="1">_xlfn.XLOOKUP(RTData[[#This Row],[Ticker_Symbol]],TickerList!$G46:$G140,TickerList!N46:N140)</f>
        <v>0</v>
      </c>
      <c r="AA47" s="98">
        <f ca="1">_xlfn.XLOOKUP(RTData[[#This Row],[Ticker_Symbol]],TickerList!$G46:$G140,TickerList!O46:O140)</f>
        <v>0</v>
      </c>
      <c r="AB47" s="99">
        <v>1E-4</v>
      </c>
      <c r="AC47" s="100">
        <v>3.0000000000000001E-3</v>
      </c>
      <c r="AD47" s="86" t="s">
        <v>65</v>
      </c>
      <c r="AE47" s="101">
        <f ca="1">_xlfn.LET(_xlpm.New1YT,RTData[[#This Row],[1YT]],        _xlpm.Old1YT,IF(ISNUMBER(RTData[[#This Row],[Old1YT]]),RTData[[#This Row],[Old1YT]],VALUE(LEFT(RTData[[#This Row],[Old1YT]],FIND("/",RTData[[#This Row],[Old1YT]],1)-1))),       IF(OR(RTData[[#This Row],[1YT]]=0,_xlpm.Old1YT=0),0,(_xlpm.New1YT-_xlpm.Old1YT)/_xlpm.Old1YT))</f>
        <v>0</v>
      </c>
      <c r="AF47" s="101" t="str">
        <f ca="1">TEXT(RTData[[#This Row],[1YT]],"#,#0.00")&amp;" &lt; "&amp;RTData[[#This Row],[Old1YT]]</f>
        <v>0.00 &lt; 229.89/159.2</v>
      </c>
    </row>
    <row r="48" spans="1:33" x14ac:dyDescent="0.3">
      <c r="A48" s="15" t="str" cm="1">
        <f t="array" aca="1" ref="A48" ca="1">_xlfn.SINGLE(RTData[suffix])&amp;_FV(RTData[[#This Row],[Company Name]],"Ticker symbol",TRUE)</f>
        <v>UNIT</v>
      </c>
      <c r="B48" s="15">
        <v>1</v>
      </c>
      <c r="C48" t="e" vm="46">
        <v>#VALUE!</v>
      </c>
      <c r="D48" s="113" t="str" cm="1">
        <f t="array" aca="1" ref="D48" ca="1">_FV(RTData[[#This Row],[Company Name]],"Currency")</f>
        <v>USD</v>
      </c>
      <c r="E48" s="17" cm="1">
        <f t="array" aca="1" ref="E48" ca="1">_FV(RTData[[#This Row],[Company Name]],"Last trade time",TRUE)</f>
        <v>45966.981512418752</v>
      </c>
      <c r="F48" s="27" cm="1">
        <f t="array" aca="1" ref="F48" ca="1">_FV(RTData[[#This Row],[Company Name]],"Previous close",TRUE)</f>
        <v>6</v>
      </c>
      <c r="G48" s="27" cm="1">
        <f t="array" aca="1" ref="G48" ca="1">_FV(RTData[[#This Row],[Company Name]],"Open")</f>
        <v>6</v>
      </c>
      <c r="H48" s="27" cm="1">
        <f t="array" aca="1" ref="H48" ca="1">_FV(RTData[[#This Row],[Company Name]],"Price")</f>
        <v>6.4</v>
      </c>
      <c r="I48" s="27" cm="1">
        <f t="array" aca="1" ref="I48" ca="1">_FV(RTData[[#This Row],[Company Name]],"Low")</f>
        <v>5.94</v>
      </c>
      <c r="J48" s="27" cm="1">
        <f t="array" aca="1" ref="J48" ca="1">_FV(RTData[[#This Row],[Company Name]],"High")</f>
        <v>6.7199</v>
      </c>
      <c r="K48" s="19" cm="1">
        <f t="array" aca="1" ref="K48" ca="1">IFERROR(_FV(RTData[[#This Row],[Company Name]],"P/E",TRUE),99)</f>
        <v>1.2729999999999999</v>
      </c>
      <c r="L48" s="20" cm="1">
        <f t="array" aca="1" ref="L48" ca="1">_FV(RTData[[#This Row],[Company Name]],"Change")</f>
        <v>0.4</v>
      </c>
      <c r="M48" s="21" cm="1">
        <f t="array" aca="1" ref="M48" ca="1">_FV(RTData[[#This Row],[Company Name]],"Change (%)",TRUE)</f>
        <v>6.666699999999999E-2</v>
      </c>
      <c r="N48" s="27" cm="1">
        <f t="array" aca="1" ref="N48" ca="1">_FV(RTData[[#This Row],[Company Name]],"52 week low",TRUE)</f>
        <v>5.3</v>
      </c>
      <c r="O48" s="27" cm="1">
        <f t="array" aca="1" ref="O48" ca="1">_FV(RTData[[#This Row],[Company Name]],"52 week high",TRUE)</f>
        <v>10.466100000000001</v>
      </c>
      <c r="P48" s="22" cm="1">
        <f t="array" aca="1" ref="P48" ca="1">_FV(RTData[[#This Row],[Company Name]],"Volume")</f>
        <v>4479962</v>
      </c>
      <c r="Q48" s="22" cm="1">
        <f t="array" aca="1" ref="Q48" ca="1">_FV(RTData[[#This Row],[Company Name]],"Volume average",TRUE)</f>
        <v>2533146</v>
      </c>
      <c r="R48" s="27" cm="1">
        <f t="array" aca="1" ref="R48" ca="1">_FV(RTData[[#This Row],[Company Name]],"Beta")</f>
        <v>1.4944999999999999</v>
      </c>
      <c r="T48" t="s">
        <v>19</v>
      </c>
      <c r="U48" t="str" cm="1">
        <f t="array" aca="1" ref="U48" ca="1">_FV(RTData[[#This Row],[Company Name]],"Exchange abbreviation",TRUE)</f>
        <v>XNAS</v>
      </c>
      <c r="V48" s="23">
        <f ca="1">IFERROR(RTData[[#This Row],[Volume]]/RTData[[#This Row],[Volume average]],1)</f>
        <v>1.7685368312762075</v>
      </c>
      <c r="W48" s="23"/>
      <c r="X48" s="104">
        <f ca="1">_xlfn.XLOOKUP(RTData[[#This Row],[Ticker_Symbol]],TickerList!$G47:$G141,TickerList!L47:L141)</f>
        <v>7.4222200000000003</v>
      </c>
      <c r="Y48" s="97">
        <f ca="1">_xlfn.XLOOKUP(RTData[[#This Row],[Ticker_Symbol]],TickerList!$G47:$G141,TickerList!M47:M141)</f>
        <v>45457</v>
      </c>
      <c r="Z48" s="97" t="str">
        <f ca="1">_xlfn.XLOOKUP(RTData[[#This Row],[Ticker_Symbol]],TickerList!$G47:$G141,TickerList!N47:N141)</f>
        <v>Nov 4, 2025</v>
      </c>
      <c r="AA48" s="98">
        <f ca="1">_xlfn.XLOOKUP(RTData[[#This Row],[Ticker_Symbol]],TickerList!$G47:$G141,TickerList!O47:O141)</f>
        <v>0</v>
      </c>
      <c r="AB48" s="99"/>
      <c r="AC48" s="100">
        <v>3.0000000000000001E-3</v>
      </c>
      <c r="AD48" s="86">
        <v>42.3</v>
      </c>
      <c r="AE48" s="101">
        <f ca="1">_xlfn.LET(_xlpm.New1YT,RTData[[#This Row],[1YT]],        _xlpm.Old1YT,IF(ISNUMBER(RTData[[#This Row],[Old1YT]]),RTData[[#This Row],[Old1YT]],VALUE(LEFT(RTData[[#This Row],[Old1YT]],FIND("/",RTData[[#This Row],[Old1YT]],1)-1))),       IF(OR(RTData[[#This Row],[1YT]]=0,_xlpm.Old1YT=0),0,(_xlpm.New1YT-_xlpm.Old1YT)/_xlpm.Old1YT))</f>
        <v>-0.82453380614657201</v>
      </c>
      <c r="AF48" s="101" t="str">
        <f ca="1">TEXT(RTData[[#This Row],[1YT]],"#,#0.00")&amp;" &lt; "&amp;RTData[[#This Row],[Old1YT]]</f>
        <v>7.42 &lt; 42.3</v>
      </c>
    </row>
    <row r="49" spans="1:34" x14ac:dyDescent="0.3">
      <c r="A49" s="15" t="str" cm="1">
        <f t="array" aca="1" ref="A49" ca="1">_xlfn.SINGLE(RTData[suffix])&amp;_FV(RTData[[#This Row],[Company Name]],"Ticker symbol",TRUE)</f>
        <v>VLVLY</v>
      </c>
      <c r="B49" s="15">
        <f ca="1">D99</f>
        <v>0.8700191404210893</v>
      </c>
      <c r="C49" t="e" vm="47">
        <v>#VALUE!</v>
      </c>
      <c r="D49" s="113" t="str" cm="1">
        <f t="array" aca="1" ref="D49" ca="1">_FV(RTData[[#This Row],[Company Name]],"Currency")</f>
        <v>USD</v>
      </c>
      <c r="E49" s="17" cm="1">
        <f t="array" aca="1" ref="E49" ca="1">_FV(RTData[[#This Row],[Company Name]],"Last trade time",TRUE)</f>
        <v>45966.930555555555</v>
      </c>
      <c r="F49" s="18" cm="1">
        <f t="array" aca="1" ref="F49" ca="1">_FV(RTData[[#This Row],[Company Name]],"Previous close",TRUE)</f>
        <v>26.82</v>
      </c>
      <c r="G49" s="18" cm="1">
        <f t="array" aca="1" ref="G49" ca="1">_FV(RTData[[#This Row],[Company Name]],"Open")</f>
        <v>27.375</v>
      </c>
      <c r="H49" s="18" cm="1">
        <f t="array" aca="1" ref="H49" ca="1">_FV(RTData[[#This Row],[Company Name]],"Price")</f>
        <v>27.5806</v>
      </c>
      <c r="I49" s="18" cm="1">
        <f t="array" aca="1" ref="I49" ca="1">_FV(RTData[[#This Row],[Company Name]],"Low")</f>
        <v>27.3</v>
      </c>
      <c r="J49" s="18" cm="1">
        <f t="array" aca="1" ref="J49" ca="1">_FV(RTData[[#This Row],[Company Name]],"High")</f>
        <v>27.689900000000002</v>
      </c>
      <c r="K49" s="19" cm="1">
        <f t="array" aca="1" ref="K49" ca="1">IFERROR(_FV(RTData[[#This Row],[Company Name]],"P/E",TRUE),99)</f>
        <v>0</v>
      </c>
      <c r="L49" s="20" cm="1">
        <f t="array" aca="1" ref="L49" ca="1">_FV(RTData[[#This Row],[Company Name]],"Change")</f>
        <v>0.76060000000000005</v>
      </c>
      <c r="M49" s="21" cm="1">
        <f t="array" aca="1" ref="M49" ca="1">_FV(RTData[[#This Row],[Company Name]],"Change (%)",TRUE)</f>
        <v>2.8359000000000002E-2</v>
      </c>
      <c r="N49" s="18" cm="1">
        <f t="array" aca="1" ref="N49" ca="1">_FV(RTData[[#This Row],[Company Name]],"52 week low",TRUE)</f>
        <v>22.55</v>
      </c>
      <c r="O49" s="18" cm="1">
        <f t="array" aca="1" ref="O49" ca="1">_FV(RTData[[#This Row],[Company Name]],"52 week high",TRUE)</f>
        <v>33.33</v>
      </c>
      <c r="P49" s="22" cm="1">
        <f t="array" aca="1" ref="P49" ca="1">_FV(RTData[[#This Row],[Company Name]],"Volume")</f>
        <v>89619</v>
      </c>
      <c r="Q49" s="22" cm="1">
        <f t="array" aca="1" ref="Q49" ca="1">_FV(RTData[[#This Row],[Company Name]],"Volume average",TRUE)</f>
        <v>2301540</v>
      </c>
      <c r="R49" s="18" cm="1">
        <f t="array" aca="1" ref="R49" ca="1">_FV(RTData[[#This Row],[Company Name]],"Beta")</f>
        <v>0.8992</v>
      </c>
      <c r="T49" t="s">
        <v>19</v>
      </c>
      <c r="U49" t="str" cm="1">
        <f t="array" aca="1" ref="U49" ca="1">_FV(RTData[[#This Row],[Company Name]],"Exchange abbreviation",TRUE)</f>
        <v>OTCM</v>
      </c>
      <c r="V49" s="23">
        <f ca="1">IFERROR(RTData[[#This Row],[Volume]]/RTData[[#This Row],[Volume average]],1)</f>
        <v>3.8938710602466176E-2</v>
      </c>
      <c r="W49" s="23"/>
      <c r="X49" s="104">
        <f ca="1">_xlfn.XLOOKUP(RTData[[#This Row],[Ticker_Symbol]],TickerList!$G48:$G142,TickerList!L48:L142)</f>
        <v>34</v>
      </c>
      <c r="Y49" s="97">
        <f ca="1">_xlfn.XLOOKUP(RTData[[#This Row],[Ticker_Symbol]],TickerList!$G48:$G142,TickerList!M48:M142)</f>
        <v>45751</v>
      </c>
      <c r="Z49" s="97">
        <f ca="1">_xlfn.XLOOKUP(RTData[[#This Row],[Ticker_Symbol]],TickerList!$G48:$G142,TickerList!N48:N142)</f>
        <v>0</v>
      </c>
      <c r="AA49" s="98">
        <f ca="1">_xlfn.XLOOKUP(RTData[[#This Row],[Ticker_Symbol]],TickerList!$G48:$G142,TickerList!O48:O142)</f>
        <v>2.9100000000000001E-2</v>
      </c>
      <c r="AB49" s="99">
        <v>1E-4</v>
      </c>
      <c r="AC49" s="100">
        <v>3.0000000000000001E-3</v>
      </c>
      <c r="AD49" s="86">
        <v>29.73</v>
      </c>
      <c r="AE49" s="101">
        <f ca="1">_xlfn.LET(_xlpm.New1YT,RTData[[#This Row],[1YT]],        _xlpm.Old1YT,IF(ISNUMBER(RTData[[#This Row],[Old1YT]]),RTData[[#This Row],[Old1YT]],VALUE(LEFT(RTData[[#This Row],[Old1YT]],FIND("/",RTData[[#This Row],[Old1YT]],1)-1))),       IF(OR(RTData[[#This Row],[1YT]]=0,_xlpm.Old1YT=0),0,(_xlpm.New1YT-_xlpm.Old1YT)/_xlpm.Old1YT))</f>
        <v>0.14362596703666328</v>
      </c>
      <c r="AF49" s="101" t="str">
        <f ca="1">TEXT(RTData[[#This Row],[1YT]],"#,#0.00")&amp;" &lt; "&amp;RTData[[#This Row],[Old1YT]]</f>
        <v>34.00 &lt; 29.73</v>
      </c>
    </row>
    <row r="50" spans="1:34" x14ac:dyDescent="0.3">
      <c r="A50" s="15" t="str" cm="1">
        <f t="array" aca="1" ref="A50" ca="1">_xlfn.SINGLE(RTData[suffix])&amp;_FV(RTData[[#This Row],[Company Name]],"Ticker symbol",TRUE)</f>
        <v>VONN</v>
      </c>
      <c r="B50" s="15">
        <f ca="1">D100</f>
        <v>1.074229240519927</v>
      </c>
      <c r="C50" t="e" vm="48">
        <v>#VALUE!</v>
      </c>
      <c r="D50" s="113" t="str" cm="1">
        <f t="array" aca="1" ref="D50" ca="1">_FV(RTData[[#This Row],[Company Name]],"Currency")</f>
        <v>CHF</v>
      </c>
      <c r="E50" s="17" cm="1">
        <f t="array" aca="1" ref="E50" ca="1">_FV(RTData[[#This Row],[Company Name]],"Last trade time",TRUE)</f>
        <v>45966.853761574072</v>
      </c>
      <c r="F50" s="35" cm="1">
        <f t="array" aca="1" ref="F50" ca="1">_FV(RTData[[#This Row],[Company Name]],"Previous close",TRUE)</f>
        <v>59.4</v>
      </c>
      <c r="G50" s="35" cm="1">
        <f t="array" aca="1" ref="G50" ca="1">_FV(RTData[[#This Row],[Company Name]],"Open")</f>
        <v>59.3</v>
      </c>
      <c r="H50" s="35" cm="1">
        <f t="array" aca="1" ref="H50" ca="1">_FV(RTData[[#This Row],[Company Name]],"Price")</f>
        <v>59.1</v>
      </c>
      <c r="I50" s="36" cm="1">
        <f t="array" aca="1" ref="I50" ca="1">_FV(RTData[[#This Row],[Company Name]],"Low")</f>
        <v>58.9</v>
      </c>
      <c r="J50" s="36" cm="1">
        <f t="array" aca="1" ref="J50" ca="1">_FV(RTData[[#This Row],[Company Name]],"High")</f>
        <v>59.6</v>
      </c>
      <c r="K50" s="19" cm="1">
        <f t="array" aca="1" ref="K50" ca="1">IFERROR(_FV(RTData[[#This Row],[Company Name]],"P/E",TRUE),99)</f>
        <v>13.3409</v>
      </c>
      <c r="L50" s="20" cm="1">
        <f t="array" aca="1" ref="L50" ca="1">_FV(RTData[[#This Row],[Company Name]],"Change")</f>
        <v>-0.3</v>
      </c>
      <c r="M50" s="37" cm="1">
        <f t="array" aca="1" ref="M50" ca="1">_FV(RTData[[#This Row],[Company Name]],"Change (%)",TRUE)</f>
        <v>-5.0509999999999999E-3</v>
      </c>
      <c r="N50" s="36" cm="1">
        <f t="array" aca="1" ref="N50" ca="1">_FV(RTData[[#This Row],[Company Name]],"52 week low",TRUE)</f>
        <v>51.1</v>
      </c>
      <c r="O50" s="36" cm="1">
        <f t="array" aca="1" ref="O50" ca="1">_FV(RTData[[#This Row],[Company Name]],"52 week high",TRUE)</f>
        <v>69.5</v>
      </c>
      <c r="P50" s="22" cm="1">
        <f t="array" aca="1" ref="P50" ca="1">_FV(RTData[[#This Row],[Company Name]],"Volume")</f>
        <v>29757</v>
      </c>
      <c r="Q50" s="22" cm="1">
        <f t="array" aca="1" ref="Q50" ca="1">_FV(RTData[[#This Row],[Company Name]],"Volume average",TRUE)</f>
        <v>41580</v>
      </c>
      <c r="R50" s="18" cm="1">
        <f t="array" aca="1" ref="R50" ca="1">_FV(RTData[[#This Row],[Company Name]],"Beta")</f>
        <v>0.84670000000000001</v>
      </c>
      <c r="T50" t="s">
        <v>19</v>
      </c>
      <c r="U50" t="str" cm="1">
        <f t="array" aca="1" ref="U50" ca="1">_FV(RTData[[#This Row],[Company Name]],"Exchange abbreviation",TRUE)</f>
        <v>XSWX</v>
      </c>
      <c r="V50" s="23">
        <f ca="1">IFERROR(RTData[[#This Row],[Volume]]/RTData[[#This Row],[Volume average]],1)</f>
        <v>0.71565656565656566</v>
      </c>
      <c r="W50" s="23"/>
      <c r="X50" s="104">
        <f ca="1">_xlfn.XLOOKUP(RTData[[#This Row],[Ticker_Symbol]],TickerList!$G49:$G143,TickerList!L49:L143)</f>
        <v>61.5</v>
      </c>
      <c r="Y50" s="97">
        <f ca="1">_xlfn.XLOOKUP(RTData[[#This Row],[Ticker_Symbol]],TickerList!$G49:$G143,TickerList!M49:M143)</f>
        <v>45751</v>
      </c>
      <c r="Z50" s="97" t="str">
        <f ca="1">_xlfn.XLOOKUP(RTData[[#This Row],[Ticker_Symbol]],TickerList!$G49:$G143,TickerList!N49:N143)</f>
        <v>--</v>
      </c>
      <c r="AA50" s="98">
        <f ca="1">_xlfn.XLOOKUP(RTData[[#This Row],[Ticker_Symbol]],TickerList!$G49:$G143,TickerList!O49:O143)</f>
        <v>4.9200002E-2</v>
      </c>
      <c r="AB50" s="99"/>
      <c r="AC50" s="100">
        <v>3.0000000000000001E-3</v>
      </c>
      <c r="AD50" s="86" t="s">
        <v>56</v>
      </c>
      <c r="AE50" s="101">
        <f ca="1">_xlfn.LET(_xlpm.New1YT,RTData[[#This Row],[1YT]],        _xlpm.Old1YT,IF(ISNUMBER(RTData[[#This Row],[Old1YT]]),RTData[[#This Row],[Old1YT]],VALUE(LEFT(RTData[[#This Row],[Old1YT]],FIND("/",RTData[[#This Row],[Old1YT]],1)-1))),       IF(OR(RTData[[#This Row],[1YT]]=0,_xlpm.Old1YT=0),0,(_xlpm.New1YT-_xlpm.Old1YT)/_xlpm.Old1YT))</f>
        <v>8.1967213114754103E-3</v>
      </c>
      <c r="AF50" s="101" t="str">
        <f ca="1">TEXT(RTData[[#This Row],[1YT]],"#,#0.00")&amp;" &lt; "&amp;RTData[[#This Row],[Old1YT]]</f>
        <v>61.50 &lt; 61/57</v>
      </c>
    </row>
    <row r="51" spans="1:34" x14ac:dyDescent="0.3">
      <c r="A51" s="15" t="str" cm="1">
        <f t="array" aca="1" ref="A51" ca="1">_xlfn.SINGLE(RTData[suffix])&amp;_FV(RTData[[#This Row],[Company Name]],"Ticker symbol",TRUE)</f>
        <v>VTRS</v>
      </c>
      <c r="B51" s="15">
        <f ca="1">D99</f>
        <v>0.8700191404210893</v>
      </c>
      <c r="C51" t="e" vm="49">
        <v>#VALUE!</v>
      </c>
      <c r="D51" s="113" t="str" cm="1">
        <f t="array" aca="1" ref="D51" ca="1">_FV(RTData[[#This Row],[Company Name]],"Currency")</f>
        <v>USD</v>
      </c>
      <c r="E51" s="17" cm="1">
        <f t="array" aca="1" ref="E51" ca="1">_FV(RTData[[#This Row],[Company Name]],"Last trade time",TRUE)</f>
        <v>45966.996753738284</v>
      </c>
      <c r="F51" s="18" cm="1">
        <f t="array" aca="1" ref="F51" ca="1">_FV(RTData[[#This Row],[Company Name]],"Previous close",TRUE)</f>
        <v>10.49</v>
      </c>
      <c r="G51" s="18" cm="1">
        <f t="array" aca="1" ref="G51" ca="1">_FV(RTData[[#This Row],[Company Name]],"Open")</f>
        <v>10.45</v>
      </c>
      <c r="H51" s="18" cm="1">
        <f t="array" aca="1" ref="H51" ca="1">_FV(RTData[[#This Row],[Company Name]],"Price")</f>
        <v>10.75</v>
      </c>
      <c r="I51" s="18" cm="1">
        <f t="array" aca="1" ref="I51" ca="1">_FV(RTData[[#This Row],[Company Name]],"Low")</f>
        <v>10.41</v>
      </c>
      <c r="J51" s="18" cm="1">
        <f t="array" aca="1" ref="J51" ca="1">_FV(RTData[[#This Row],[Company Name]],"High")</f>
        <v>10.81</v>
      </c>
      <c r="K51" s="19" cm="1">
        <f t="array" aca="1" ref="K51" ca="1">IFERROR(_FV(RTData[[#This Row],[Company Name]],"P/E",TRUE),99)</f>
        <v>0</v>
      </c>
      <c r="L51" s="20" cm="1">
        <f t="array" aca="1" ref="L51" ca="1">_FV(RTData[[#This Row],[Company Name]],"Change")</f>
        <v>0.26</v>
      </c>
      <c r="M51" s="21" cm="1">
        <f t="array" aca="1" ref="M51" ca="1">_FV(RTData[[#This Row],[Company Name]],"Change (%)",TRUE)</f>
        <v>2.4786000000000002E-2</v>
      </c>
      <c r="N51" s="18" cm="1">
        <f t="array" aca="1" ref="N51" ca="1">_FV(RTData[[#This Row],[Company Name]],"52 week low",TRUE)</f>
        <v>6.85</v>
      </c>
      <c r="O51" s="18" cm="1">
        <f t="array" aca="1" ref="O51" ca="1">_FV(RTData[[#This Row],[Company Name]],"52 week high",TRUE)</f>
        <v>13.55</v>
      </c>
      <c r="P51" s="22" cm="1">
        <f t="array" aca="1" ref="P51" ca="1">_FV(RTData[[#This Row],[Company Name]],"Volume")</f>
        <v>17838532</v>
      </c>
      <c r="Q51" s="22" cm="1">
        <f t="array" aca="1" ref="Q51" ca="1">_FV(RTData[[#This Row],[Company Name]],"Volume average",TRUE)</f>
        <v>7520058</v>
      </c>
      <c r="R51" s="18" cm="1">
        <f t="array" aca="1" ref="R51" ca="1">_FV(RTData[[#This Row],[Company Name]],"Beta")</f>
        <v>0.83</v>
      </c>
      <c r="T51" t="s">
        <v>19</v>
      </c>
      <c r="U51" t="str" cm="1">
        <f t="array" aca="1" ref="U51" ca="1">_FV(RTData[[#This Row],[Company Name]],"Exchange abbreviation",TRUE)</f>
        <v>XNAS</v>
      </c>
      <c r="V51" s="23">
        <f ca="1">IFERROR(RTData[[#This Row],[Volume]]/RTData[[#This Row],[Volume average]],1)</f>
        <v>2.3721269171062245</v>
      </c>
      <c r="W51" s="23"/>
      <c r="X51" s="104">
        <f ca="1">_xlfn.XLOOKUP(RTData[[#This Row],[Ticker_Symbol]],TickerList!$G50:$G144,TickerList!L50:L144)</f>
        <v>12</v>
      </c>
      <c r="Y51" s="97">
        <f ca="1">_xlfn.XLOOKUP(RTData[[#This Row],[Ticker_Symbol]],TickerList!$G50:$G144,TickerList!M50:M144)</f>
        <v>45891</v>
      </c>
      <c r="Z51" s="97" t="str">
        <f ca="1">_xlfn.XLOOKUP(RTData[[#This Row],[Ticker_Symbol]],TickerList!$G50:$G144,TickerList!N50:N144)</f>
        <v>Nov 6, 2025</v>
      </c>
      <c r="AA51" s="98">
        <f ca="1">_xlfn.XLOOKUP(RTData[[#This Row],[Ticker_Symbol]],TickerList!$G50:$G144,TickerList!O50:O144)</f>
        <v>4.6300000000000001E-2</v>
      </c>
      <c r="AB51" s="99">
        <v>1E-4</v>
      </c>
      <c r="AC51" s="100">
        <v>3.0000000000000001E-3</v>
      </c>
      <c r="AD51" s="86" t="s">
        <v>66</v>
      </c>
      <c r="AE51" s="101">
        <f ca="1">_xlfn.LET(_xlpm.New1YT,RTData[[#This Row],[1YT]],        _xlpm.Old1YT,IF(ISNUMBER(RTData[[#This Row],[Old1YT]]),RTData[[#This Row],[Old1YT]],VALUE(LEFT(RTData[[#This Row],[Old1YT]],FIND("/",RTData[[#This Row],[Old1YT]],1)-1))),       IF(OR(RTData[[#This Row],[1YT]]=0,_xlpm.Old1YT=0),0,(_xlpm.New1YT-_xlpm.Old1YT)/_xlpm.Old1YT))</f>
        <v>5.44815465729349E-2</v>
      </c>
      <c r="AF51" s="101" t="str">
        <f ca="1">TEXT(RTData[[#This Row],[1YT]],"#,#0.00")&amp;" &lt; "&amp;RTData[[#This Row],[Old1YT]]</f>
        <v>12.00 &lt; 11.38/11.59/15.57</v>
      </c>
    </row>
    <row r="52" spans="1:34" x14ac:dyDescent="0.3">
      <c r="A52" s="15" t="str" cm="1">
        <f t="array" aca="1" ref="A52" ca="1">_xlfn.SINGLE(RTData[suffix])&amp;_FV(RTData[[#This Row],[Company Name]],"Ticker symbol",TRUE)</f>
        <v>WBA</v>
      </c>
      <c r="B52" s="15">
        <f ca="1">D99</f>
        <v>0.8700191404210893</v>
      </c>
      <c r="C52" t="e" vm="50">
        <v>#VALUE!</v>
      </c>
      <c r="D52" s="113" t="str" cm="1">
        <f t="array" aca="1" ref="D52" ca="1">_FV(RTData[[#This Row],[Company Name]],"Currency")</f>
        <v>USD</v>
      </c>
      <c r="E52" s="17" cm="1">
        <f t="array" aca="1" ref="E52" ca="1">_FV(RTData[[#This Row],[Company Name]],"Last trade time",TRUE)</f>
        <v>45896.992190289064</v>
      </c>
      <c r="F52" s="18" cm="1">
        <f t="array" aca="1" ref="F52" ca="1">_FV(RTData[[#This Row],[Company Name]],"Previous close",TRUE)</f>
        <v>11.92</v>
      </c>
      <c r="G52" s="18" cm="1">
        <f t="array" aca="1" ref="G52" ca="1">_FV(RTData[[#This Row],[Company Name]],"Open")</f>
        <v>11.914999999999999</v>
      </c>
      <c r="H52" s="18" cm="1">
        <f t="array" aca="1" ref="H52" ca="1">_FV(RTData[[#This Row],[Company Name]],"Price")</f>
        <v>11.98</v>
      </c>
      <c r="I52" s="18" cm="1">
        <f t="array" aca="1" ref="I52" ca="1">_FV(RTData[[#This Row],[Company Name]],"Low")</f>
        <v>11.9</v>
      </c>
      <c r="J52" s="18" cm="1">
        <f t="array" aca="1" ref="J52" ca="1">_FV(RTData[[#This Row],[Company Name]],"High")</f>
        <v>12.11</v>
      </c>
      <c r="K52" s="19" cm="1">
        <f t="array" aca="1" ref="K52" ca="1">IFERROR(_FV(RTData[[#This Row],[Company Name]],"P/E",TRUE),99)</f>
        <v>0</v>
      </c>
      <c r="L52" s="20" cm="1">
        <f t="array" aca="1" ref="L52" ca="1">_FV(RTData[[#This Row],[Company Name]],"Change")</f>
        <v>0</v>
      </c>
      <c r="M52" s="21" cm="1">
        <f t="array" aca="1" ref="M52" ca="1">_FV(RTData[[#This Row],[Company Name]],"Change (%)",TRUE)</f>
        <v>0</v>
      </c>
      <c r="N52" s="18" cm="1">
        <f t="array" aca="1" ref="N52" ca="1">_FV(RTData[[#This Row],[Company Name]],"52 week low",TRUE)</f>
        <v>8.08</v>
      </c>
      <c r="O52" s="18" cm="1">
        <f t="array" aca="1" ref="O52" ca="1">_FV(RTData[[#This Row],[Company Name]],"52 week high",TRUE)</f>
        <v>13.249499999999999</v>
      </c>
      <c r="P52" s="22" cm="1">
        <f t="array" aca="1" ref="P52" ca="1">_FV(RTData[[#This Row],[Company Name]],"Volume")</f>
        <v>452081061</v>
      </c>
      <c r="Q52" s="22" cm="1">
        <f t="array" aca="1" ref="Q52" ca="1">_FV(RTData[[#This Row],[Company Name]],"Volume average",TRUE)</f>
        <v>30166826</v>
      </c>
      <c r="R52" s="18" cm="1">
        <f t="array" aca="1" ref="R52" ca="1">_FV(RTData[[#This Row],[Company Name]],"Beta")</f>
        <v>0.81640000000000001</v>
      </c>
      <c r="T52" t="s">
        <v>19</v>
      </c>
      <c r="U52" t="str" cm="1">
        <f t="array" aca="1" ref="U52" ca="1">_FV(RTData[[#This Row],[Company Name]],"Exchange abbreviation",TRUE)</f>
        <v>XNAS</v>
      </c>
      <c r="V52" s="23">
        <f ca="1">IFERROR(RTData[[#This Row],[Volume]]/RTData[[#This Row],[Volume average]],1)</f>
        <v>14.986033366586197</v>
      </c>
      <c r="W52" s="23"/>
      <c r="X52" s="104">
        <f ca="1">_xlfn.XLOOKUP(RTData[[#This Row],[Ticker_Symbol]],TickerList!$G51:$G145,TickerList!L51:L145)</f>
        <v>0</v>
      </c>
      <c r="Y52" s="97">
        <f ca="1">_xlfn.XLOOKUP(RTData[[#This Row],[Ticker_Symbol]],TickerList!$G51:$G145,TickerList!M51:M145)</f>
        <v>0</v>
      </c>
      <c r="Z52" s="97">
        <f ca="1">_xlfn.XLOOKUP(RTData[[#This Row],[Ticker_Symbol]],TickerList!$G51:$G145,TickerList!N51:N145)</f>
        <v>0</v>
      </c>
      <c r="AA52" s="98">
        <f ca="1">_xlfn.XLOOKUP(RTData[[#This Row],[Ticker_Symbol]],TickerList!$G51:$G145,TickerList!O51:O145)</f>
        <v>0</v>
      </c>
      <c r="AB52" s="99">
        <v>1E-4</v>
      </c>
      <c r="AC52" s="100">
        <v>3.0000000000000001E-3</v>
      </c>
      <c r="AD52" s="86">
        <v>21.58</v>
      </c>
      <c r="AE52" s="101">
        <f ca="1">_xlfn.LET(_xlpm.New1YT,RTData[[#This Row],[1YT]],        _xlpm.Old1YT,IF(ISNUMBER(RTData[[#This Row],[Old1YT]]),RTData[[#This Row],[Old1YT]],VALUE(LEFT(RTData[[#This Row],[Old1YT]],FIND("/",RTData[[#This Row],[Old1YT]],1)-1))),       IF(OR(RTData[[#This Row],[1YT]]=0,_xlpm.Old1YT=0),0,(_xlpm.New1YT-_xlpm.Old1YT)/_xlpm.Old1YT))</f>
        <v>0</v>
      </c>
      <c r="AF52" s="101" t="str">
        <f ca="1">TEXT(RTData[[#This Row],[1YT]],"#,#0.00")&amp;" &lt; "&amp;RTData[[#This Row],[Old1YT]]</f>
        <v>0.00 &lt; 21.58</v>
      </c>
    </row>
    <row r="53" spans="1:34" x14ac:dyDescent="0.3">
      <c r="A53" s="15" t="str" cm="1">
        <f t="array" aca="1" ref="A53" ca="1">_xlfn.SINGLE(RTData[suffix])&amp;_FV(RTData[[#This Row],[Company Name]],"Ticker symbol",TRUE)</f>
        <v>XOM</v>
      </c>
      <c r="B53" s="15">
        <f ca="1">D99</f>
        <v>0.8700191404210893</v>
      </c>
      <c r="C53" t="e" vm="51">
        <v>#VALUE!</v>
      </c>
      <c r="D53" s="113" t="str" cm="1">
        <f t="array" aca="1" ref="D53" ca="1">_FV(RTData[[#This Row],[Company Name]],"Currency")</f>
        <v>USD</v>
      </c>
      <c r="E53" s="17" cm="1">
        <f t="array" aca="1" ref="E53" ca="1">_FV(RTData[[#This Row],[Company Name]],"Last trade time",TRUE)</f>
        <v>45966.997023078125</v>
      </c>
      <c r="F53" s="18" cm="1">
        <f t="array" aca="1" ref="F53" ca="1">_FV(RTData[[#This Row],[Company Name]],"Previous close",TRUE)</f>
        <v>114.14</v>
      </c>
      <c r="G53" s="18" cm="1">
        <f t="array" aca="1" ref="G53" ca="1">_FV(RTData[[#This Row],[Company Name]],"Open")</f>
        <v>114.09</v>
      </c>
      <c r="H53" s="18" cm="1">
        <f t="array" aca="1" ref="H53" ca="1">_FV(RTData[[#This Row],[Company Name]],"Price")</f>
        <v>113.71</v>
      </c>
      <c r="I53" s="18" cm="1">
        <f t="array" aca="1" ref="I53" ca="1">_FV(RTData[[#This Row],[Company Name]],"Low")</f>
        <v>113.67</v>
      </c>
      <c r="J53" s="18" cm="1">
        <f t="array" aca="1" ref="J53" ca="1">_FV(RTData[[#This Row],[Company Name]],"High")</f>
        <v>115.18</v>
      </c>
      <c r="K53" s="19" cm="1">
        <f t="array" aca="1" ref="K53" ca="1">IFERROR(_FV(RTData[[#This Row],[Company Name]],"P/E",TRUE),99)</f>
        <v>16.5291</v>
      </c>
      <c r="L53" s="20" cm="1">
        <f t="array" aca="1" ref="L53" ca="1">_FV(RTData[[#This Row],[Company Name]],"Change")</f>
        <v>-0.43</v>
      </c>
      <c r="M53" s="21" cm="1">
        <f t="array" aca="1" ref="M53" ca="1">_FV(RTData[[#This Row],[Company Name]],"Change (%)",TRUE)</f>
        <v>-3.7669999999999999E-3</v>
      </c>
      <c r="N53" s="18" cm="1">
        <f t="array" aca="1" ref="N53" ca="1">_FV(RTData[[#This Row],[Company Name]],"52 week low",TRUE)</f>
        <v>97.8</v>
      </c>
      <c r="O53" s="18" cm="1">
        <f t="array" aca="1" ref="O53" ca="1">_FV(RTData[[#This Row],[Company Name]],"52 week high",TRUE)</f>
        <v>123.21</v>
      </c>
      <c r="P53" s="22" cm="1">
        <f t="array" aca="1" ref="P53" ca="1">_FV(RTData[[#This Row],[Company Name]],"Volume")</f>
        <v>12399753</v>
      </c>
      <c r="Q53" s="22" cm="1">
        <f t="array" aca="1" ref="Q53" ca="1">_FV(RTData[[#This Row],[Company Name]],"Volume average",TRUE)</f>
        <v>12711598</v>
      </c>
      <c r="R53" s="18" cm="1">
        <f t="array" aca="1" ref="R53" ca="1">_FV(RTData[[#This Row],[Company Name]],"Beta")</f>
        <v>0.38169999999999998</v>
      </c>
      <c r="T53" t="s">
        <v>19</v>
      </c>
      <c r="U53" t="str" cm="1">
        <f t="array" aca="1" ref="U53" ca="1">_FV(RTData[[#This Row],[Company Name]],"Exchange abbreviation",TRUE)</f>
        <v>XNYS</v>
      </c>
      <c r="V53" s="23">
        <f ca="1">IFERROR(RTData[[#This Row],[Volume]]/RTData[[#This Row],[Volume average]],1)</f>
        <v>0.97546767920130895</v>
      </c>
      <c r="W53" s="23"/>
      <c r="X53" s="104">
        <f ca="1">_xlfn.XLOOKUP(RTData[[#This Row],[Ticker_Symbol]],TickerList!$G52:$G146,TickerList!L52:L146)</f>
        <v>126.88</v>
      </c>
      <c r="Y53" s="97">
        <f ca="1">_xlfn.XLOOKUP(RTData[[#This Row],[Ticker_Symbol]],TickerList!$G52:$G146,TickerList!M52:M146)</f>
        <v>45975</v>
      </c>
      <c r="Z53" s="97" t="str">
        <f ca="1">_xlfn.XLOOKUP(RTData[[#This Row],[Ticker_Symbol]],TickerList!$G52:$G146,TickerList!N52:N146)</f>
        <v>Jan 30, 2026</v>
      </c>
      <c r="AA53" s="98">
        <f ca="1">_xlfn.XLOOKUP(RTData[[#This Row],[Ticker_Symbol]],TickerList!$G52:$G146,TickerList!O52:O146)</f>
        <v>3.4599999999999999E-2</v>
      </c>
      <c r="AB53" s="99">
        <v>1E-4</v>
      </c>
      <c r="AC53" s="100">
        <v>3.0000000000000001E-3</v>
      </c>
      <c r="AD53" s="86">
        <v>132.88</v>
      </c>
      <c r="AE53" s="101">
        <f ca="1">_xlfn.LET(_xlpm.New1YT,RTData[[#This Row],[1YT]],        _xlpm.Old1YT,IF(ISNUMBER(RTData[[#This Row],[Old1YT]]),RTData[[#This Row],[Old1YT]],VALUE(LEFT(RTData[[#This Row],[Old1YT]],FIND("/",RTData[[#This Row],[Old1YT]],1)-1))),       IF(OR(RTData[[#This Row],[1YT]]=0,_xlpm.Old1YT=0),0,(_xlpm.New1YT-_xlpm.Old1YT)/_xlpm.Old1YT))</f>
        <v>-4.5153521974714027E-2</v>
      </c>
      <c r="AF53" s="101" t="str">
        <f ca="1">TEXT(RTData[[#This Row],[1YT]],"#,#0.00")&amp;" &lt; "&amp;RTData[[#This Row],[Old1YT]]</f>
        <v>126.88 &lt; 132.88</v>
      </c>
    </row>
    <row r="54" spans="1:34" x14ac:dyDescent="0.3">
      <c r="A54" s="15" t="str" cm="1">
        <f t="array" aca="1" ref="A54" ca="1">_xlfn.SINGLE(RTData[suffix])&amp;_FV(RTData[[#This Row],[Company Name]],"Ticker symbol",TRUE)</f>
        <v>XPER</v>
      </c>
      <c r="B54" s="15">
        <f ca="1">D99</f>
        <v>0.8700191404210893</v>
      </c>
      <c r="C54" t="e" vm="52">
        <v>#VALUE!</v>
      </c>
      <c r="D54" s="113" t="str" cm="1">
        <f t="array" aca="1" ref="D54" ca="1">_FV(RTData[[#This Row],[Company Name]],"Currency")</f>
        <v>USD</v>
      </c>
      <c r="E54" s="17" cm="1">
        <f t="array" aca="1" ref="E54" ca="1">_FV(RTData[[#This Row],[Company Name]],"Last trade time",TRUE)</f>
        <v>45966.985461562501</v>
      </c>
      <c r="F54" s="18" cm="1">
        <f t="array" aca="1" ref="F54" ca="1">_FV(RTData[[#This Row],[Company Name]],"Previous close",TRUE)</f>
        <v>6.37</v>
      </c>
      <c r="G54" s="18" cm="1">
        <f t="array" aca="1" ref="G54" ca="1">_FV(RTData[[#This Row],[Company Name]],"Open")</f>
        <v>6.4</v>
      </c>
      <c r="H54" s="18" cm="1">
        <f t="array" aca="1" ref="H54" ca="1">_FV(RTData[[#This Row],[Company Name]],"Price")</f>
        <v>6.74</v>
      </c>
      <c r="I54" s="18" cm="1">
        <f t="array" aca="1" ref="I54" ca="1">_FV(RTData[[#This Row],[Company Name]],"Low")</f>
        <v>6.4</v>
      </c>
      <c r="J54" s="18" cm="1">
        <f t="array" aca="1" ref="J54" ca="1">_FV(RTData[[#This Row],[Company Name]],"High")</f>
        <v>6.78</v>
      </c>
      <c r="K54" s="19" cm="1">
        <f t="array" ref="K54">IFERROR(_FV(RTData[[#This Row],[Company Name]],"P/E",TRUE),99)</f>
        <v>99</v>
      </c>
      <c r="L54" s="20" cm="1">
        <f t="array" aca="1" ref="L54" ca="1">_FV(RTData[[#This Row],[Company Name]],"Change")</f>
        <v>0.37</v>
      </c>
      <c r="M54" s="21" cm="1">
        <f t="array" aca="1" ref="M54" ca="1">_FV(RTData[[#This Row],[Company Name]],"Change (%)",TRUE)</f>
        <v>5.8085000000000005E-2</v>
      </c>
      <c r="N54" s="18" cm="1">
        <f t="array" aca="1" ref="N54" ca="1">_FV(RTData[[#This Row],[Company Name]],"52 week low",TRUE)</f>
        <v>5.6849999999999996</v>
      </c>
      <c r="O54" s="18" cm="1">
        <f t="array" aca="1" ref="O54" ca="1">_FV(RTData[[#This Row],[Company Name]],"52 week high",TRUE)</f>
        <v>11.074999999999999</v>
      </c>
      <c r="P54" s="22" cm="1">
        <f t="array" aca="1" ref="P54" ca="1">_FV(RTData[[#This Row],[Company Name]],"Volume")</f>
        <v>731648</v>
      </c>
      <c r="Q54" s="22" cm="1">
        <f t="array" aca="1" ref="Q54" ca="1">_FV(RTData[[#This Row],[Company Name]],"Volume average",TRUE)</f>
        <v>470271</v>
      </c>
      <c r="R54" s="18" cm="1">
        <f t="array" aca="1" ref="R54" ca="1">_FV(RTData[[#This Row],[Company Name]],"Beta")</f>
        <v>1.1930000000000001</v>
      </c>
      <c r="T54" t="s">
        <v>19</v>
      </c>
      <c r="U54" t="str" cm="1">
        <f t="array" aca="1" ref="U54" ca="1">_FV(RTData[[#This Row],[Company Name]],"Exchange abbreviation",TRUE)</f>
        <v>XNYS</v>
      </c>
      <c r="V54" s="23">
        <f ca="1">IFERROR(RTData[[#This Row],[Volume]]/RTData[[#This Row],[Volume average]],1)</f>
        <v>1.555800804217143</v>
      </c>
      <c r="W54" s="23"/>
      <c r="X54" s="104">
        <f ca="1">_xlfn.XLOOKUP(RTData[[#This Row],[Ticker_Symbol]],TickerList!$G53:$G147,TickerList!L53:L147)</f>
        <v>11.4</v>
      </c>
      <c r="Y54" s="97">
        <f ca="1">_xlfn.XLOOKUP(RTData[[#This Row],[Ticker_Symbol]],TickerList!$G53:$G147,TickerList!M53:M147)</f>
        <v>0</v>
      </c>
      <c r="Z54" s="97">
        <f ca="1">_xlfn.XLOOKUP(RTData[[#This Row],[Ticker_Symbol]],TickerList!$G53:$G147,TickerList!N53:N147)</f>
        <v>0</v>
      </c>
      <c r="AA54" s="98">
        <f ca="1">_xlfn.XLOOKUP(RTData[[#This Row],[Ticker_Symbol]],TickerList!$G53:$G147,TickerList!O53:O147)</f>
        <v>0</v>
      </c>
      <c r="AB54" s="99">
        <v>1E-4</v>
      </c>
      <c r="AC54" s="100">
        <v>3.0000000000000001E-3</v>
      </c>
      <c r="AD54" s="86">
        <v>18.75</v>
      </c>
      <c r="AE54" s="101">
        <f ca="1">_xlfn.LET(_xlpm.New1YT,RTData[[#This Row],[1YT]],        _xlpm.Old1YT,IF(ISNUMBER(RTData[[#This Row],[Old1YT]]),RTData[[#This Row],[Old1YT]],VALUE(LEFT(RTData[[#This Row],[Old1YT]],FIND("/",RTData[[#This Row],[Old1YT]],1)-1))),       IF(OR(RTData[[#This Row],[1YT]]=0,_xlpm.Old1YT=0),0,(_xlpm.New1YT-_xlpm.Old1YT)/_xlpm.Old1YT))</f>
        <v>-0.39199999999999996</v>
      </c>
      <c r="AF54" s="101" t="str">
        <f ca="1">TEXT(RTData[[#This Row],[1YT]],"#,#0.00")&amp;" &lt; "&amp;RTData[[#This Row],[Old1YT]]</f>
        <v>11.40 &lt; 18.75</v>
      </c>
    </row>
    <row r="55" spans="1:34" x14ac:dyDescent="0.3">
      <c r="A55" s="111" t="str" cm="1">
        <f t="array" aca="1" ref="A55" ca="1">_xlfn.SINGLE(RTData[suffix])&amp;_FV(RTData[[#This Row],[Company Name]],"Ticker symbol",TRUE)</f>
        <v>MVEALDNE</v>
      </c>
      <c r="B55" s="112">
        <v>1</v>
      </c>
      <c r="C55" t="e" vm="5">
        <v>#VALUE!</v>
      </c>
      <c r="D55" s="57" t="str" cm="1">
        <f t="array" aca="1" ref="D55" ca="1">_FV(RTData[[#This Row],[Company Name]],"Currency")</f>
        <v>EUR</v>
      </c>
      <c r="E55" s="58" cm="1">
        <f t="array" aca="1" ref="E55" ca="1">_FV(RTData[[#This Row],[Company Name]],"Last trade time",TRUE)</f>
        <v>45966.708333333336</v>
      </c>
      <c r="F55" s="64" cm="1">
        <f t="array" aca="1" ref="F55" ca="1">_FV(RTData[[#This Row],[Company Name]],"Previous close",TRUE)</f>
        <v>0.78800000000000003</v>
      </c>
      <c r="G55" s="64" cm="1">
        <f t="array" aca="1" ref="G55" ca="1">_FV(RTData[[#This Row],[Company Name]],"Open")</f>
        <v>0.78800000000000003</v>
      </c>
      <c r="H55" s="64" cm="1">
        <f t="array" aca="1" ref="H55" ca="1">_FV(RTData[[#This Row],[Company Name]],"Price")</f>
        <v>0.79</v>
      </c>
      <c r="I55" s="64" cm="1">
        <f t="array" aca="1" ref="I55" ca="1">_FV(RTData[[#This Row],[Company Name]],"Low")</f>
        <v>0.77</v>
      </c>
      <c r="J55" s="64" cm="1">
        <f t="array" aca="1" ref="J55" ca="1">_FV(RTData[[#This Row],[Company Name]],"High")</f>
        <v>0.79800000000000004</v>
      </c>
      <c r="K55" s="59" cm="1">
        <f t="array" aca="1" ref="K55" ca="1">IFERROR(_FV(RTData[[#This Row],[Company Name]],"P/E",TRUE),99)</f>
        <v>0</v>
      </c>
      <c r="L55" s="60" cm="1">
        <f t="array" aca="1" ref="L55" ca="1">_FV(RTData[[#This Row],[Company Name]],"Change")</f>
        <v>2E-3</v>
      </c>
      <c r="M55" s="61" cm="1">
        <f t="array" aca="1" ref="M55" ca="1">_FV(RTData[[#This Row],[Company Name]],"Change (%)",TRUE)</f>
        <v>2.5380000000000003E-3</v>
      </c>
      <c r="N55" s="64" cm="1">
        <f t="array" aca="1" ref="N55" ca="1">_FV(RTData[[#This Row],[Company Name]],"52 week low",TRUE)</f>
        <v>0.65</v>
      </c>
      <c r="O55" s="64" cm="1">
        <f t="array" aca="1" ref="O55" ca="1">_FV(RTData[[#This Row],[Company Name]],"52 week high",TRUE)</f>
        <v>1.53</v>
      </c>
      <c r="P55" s="62" cm="1">
        <f t="array" aca="1" ref="P55" ca="1">_FV(RTData[[#This Row],[Company Name]],"Volume")</f>
        <v>2729</v>
      </c>
      <c r="Q55" s="62" cm="1">
        <f t="array" aca="1" ref="Q55" ca="1">_FV(RTData[[#This Row],[Company Name]],"Volume average",TRUE)</f>
        <v>6780</v>
      </c>
      <c r="R55" s="57" cm="1">
        <f t="array" aca="1" ref="R55" ca="1">_FV(RTData[[#This Row],[Company Name]],"Beta")</f>
        <v>0.95879999999999999</v>
      </c>
      <c r="S55" s="63" t="s">
        <v>22</v>
      </c>
      <c r="T55" s="63" t="s">
        <v>19</v>
      </c>
      <c r="U55" s="63" t="str" cm="1">
        <f t="array" aca="1" ref="U55" ca="1">_FV(RTData[[#This Row],[Company Name]],"Exchange abbreviation",TRUE)</f>
        <v>XPAR</v>
      </c>
      <c r="V55" s="90">
        <f ca="1">IFERROR(RTData[[#This Row],[Volume]]/RTData[[#This Row],[Volume average]],1)</f>
        <v>0.40250737463126846</v>
      </c>
      <c r="W55" s="90"/>
      <c r="X55" s="104">
        <f ca="1">_xlfn.XLOOKUP(RTData[[#This Row],[Ticker_Symbol]],TickerList!$G54:$G148,TickerList!L54:L148)</f>
        <v>1.5333300000000001</v>
      </c>
      <c r="Y55" s="97">
        <f ca="1">_xlfn.XLOOKUP(RTData[[#This Row],[Ticker_Symbol]],TickerList!$G54:$G148,TickerList!M54:M148)</f>
        <v>0</v>
      </c>
      <c r="Z55" s="97">
        <f ca="1">_xlfn.XLOOKUP(RTData[[#This Row],[Ticker_Symbol]],TickerList!$G54:$G148,TickerList!N54:N148)</f>
        <v>0</v>
      </c>
      <c r="AA55" s="98">
        <f ca="1">_xlfn.XLOOKUP(RTData[[#This Row],[Ticker_Symbol]],TickerList!$G54:$G148,TickerList!O54:O148)</f>
        <v>0</v>
      </c>
      <c r="AB55" s="99"/>
      <c r="AC55" s="100">
        <v>3.0000000000000001E-3</v>
      </c>
      <c r="AD55" s="86">
        <v>3.87</v>
      </c>
      <c r="AE55" s="101">
        <f ca="1">_xlfn.LET(_xlpm.New1YT,RTData[[#This Row],[1YT]],        _xlpm.Old1YT,IF(ISNUMBER(RTData[[#This Row],[Old1YT]]),RTData[[#This Row],[Old1YT]],VALUE(LEFT(RTData[[#This Row],[Old1YT]],FIND("/",RTData[[#This Row],[Old1YT]],1)-1))),       IF(OR(RTData[[#This Row],[1YT]]=0,_xlpm.Old1YT=0),0,(_xlpm.New1YT-_xlpm.Old1YT)/_xlpm.Old1YT))</f>
        <v>-0.60379069767441851</v>
      </c>
      <c r="AF55" s="101" t="str">
        <f ca="1">TEXT(RTData[[#This Row],[1YT]],"#,#0.00")&amp;" &lt; "&amp;RTData[[#This Row],[Old1YT]]</f>
        <v>1.53 &lt; 3.87</v>
      </c>
      <c r="AG55" s="23"/>
      <c r="AH55" s="49"/>
    </row>
    <row r="56" spans="1:34" x14ac:dyDescent="0.3">
      <c r="A56" s="112" t="str" cm="1">
        <f t="array" aca="1" ref="A56" ca="1">_xlfn.SINGLE(RTData[suffix])&amp;_FV(RTData[[#This Row],[Company Name]],"Ticker symbol",TRUE)</f>
        <v>MVEDDD</v>
      </c>
      <c r="B56" s="112">
        <f ca="1">D99</f>
        <v>0.8700191404210893</v>
      </c>
      <c r="C56" t="e" vm="14">
        <v>#VALUE!</v>
      </c>
      <c r="D56" s="57" t="str" cm="1">
        <f t="array" aca="1" ref="D56" ca="1">_FV(RTData[[#This Row],[Company Name]],"Currency")</f>
        <v>USD</v>
      </c>
      <c r="E56" s="58" cm="1">
        <f t="array" aca="1" ref="E56" ca="1">_FV(RTData[[#This Row],[Company Name]],"Last trade time",TRUE)</f>
        <v>45966.987017685155</v>
      </c>
      <c r="F56" s="57" cm="1">
        <f t="array" aca="1" ref="F56" ca="1">_FV(RTData[[#This Row],[Company Name]],"Previous close",TRUE)</f>
        <v>2.62</v>
      </c>
      <c r="G56" s="57" cm="1">
        <f t="array" aca="1" ref="G56" ca="1">_FV(RTData[[#This Row],[Company Name]],"Open")</f>
        <v>2.5</v>
      </c>
      <c r="H56" s="57" cm="1">
        <f t="array" aca="1" ref="H56" ca="1">_FV(RTData[[#This Row],[Company Name]],"Price")</f>
        <v>2.6</v>
      </c>
      <c r="I56" s="57" cm="1">
        <f t="array" aca="1" ref="I56" ca="1">_FV(RTData[[#This Row],[Company Name]],"Low")</f>
        <v>2.4</v>
      </c>
      <c r="J56" s="57" cm="1">
        <f t="array" aca="1" ref="J56" ca="1">_FV(RTData[[#This Row],[Company Name]],"High")</f>
        <v>2.6949999999999998</v>
      </c>
      <c r="K56" s="59" cm="1">
        <f t="array" ref="K56">IFERROR(_FV(RTData[[#This Row],[Company Name]],"P/E",TRUE),99)</f>
        <v>99</v>
      </c>
      <c r="L56" s="60" cm="1">
        <f t="array" aca="1" ref="L56" ca="1">_FV(RTData[[#This Row],[Company Name]],"Change")</f>
        <v>-0.02</v>
      </c>
      <c r="M56" s="61" cm="1">
        <f t="array" aca="1" ref="M56" ca="1">_FV(RTData[[#This Row],[Company Name]],"Change (%)",TRUE)</f>
        <v>-7.6339999999999993E-3</v>
      </c>
      <c r="N56" s="57" cm="1">
        <f t="array" aca="1" ref="N56" ca="1">_FV(RTData[[#This Row],[Company Name]],"52 week low",TRUE)</f>
        <v>1.32</v>
      </c>
      <c r="O56" s="57" cm="1">
        <f t="array" aca="1" ref="O56" ca="1">_FV(RTData[[#This Row],[Company Name]],"52 week high",TRUE)</f>
        <v>4.9991000000000003</v>
      </c>
      <c r="P56" s="62" cm="1">
        <f t="array" aca="1" ref="P56" ca="1">_FV(RTData[[#This Row],[Company Name]],"Volume")</f>
        <v>5452199</v>
      </c>
      <c r="Q56" s="62" cm="1">
        <f t="array" aca="1" ref="Q56" ca="1">_FV(RTData[[#This Row],[Company Name]],"Volume average",TRUE)</f>
        <v>4450047</v>
      </c>
      <c r="R56" s="57" cm="1">
        <f t="array" aca="1" ref="R56" ca="1">_FV(RTData[[#This Row],[Company Name]],"Beta")</f>
        <v>1.8775999999999999</v>
      </c>
      <c r="S56" s="63" t="s">
        <v>22</v>
      </c>
      <c r="T56" s="63" t="s">
        <v>23</v>
      </c>
      <c r="U56" s="63" t="str" cm="1">
        <f t="array" aca="1" ref="U56" ca="1">_FV(RTData[[#This Row],[Company Name]],"Exchange abbreviation",TRUE)</f>
        <v>XNYS</v>
      </c>
      <c r="V56" s="90">
        <f ca="1">IFERROR(RTData[[#This Row],[Volume]]/RTData[[#This Row],[Volume average]],1)</f>
        <v>1.2252003181089997</v>
      </c>
      <c r="W56" s="90"/>
      <c r="X56" s="104">
        <f ca="1">_xlfn.XLOOKUP(RTData[[#This Row],[Ticker_Symbol]],TickerList!$G55:$G149,TickerList!L55:L149)</f>
        <v>3.25</v>
      </c>
      <c r="Y56" s="97">
        <f ca="1">_xlfn.XLOOKUP(RTData[[#This Row],[Ticker_Symbol]],TickerList!$G55:$G149,TickerList!M55:M149)</f>
        <v>0</v>
      </c>
      <c r="Z56" s="97" t="str">
        <f ca="1">_xlfn.XLOOKUP(RTData[[#This Row],[Ticker_Symbol]],TickerList!$G55:$G149,TickerList!N55:N149)</f>
        <v>Nov 4, 2025</v>
      </c>
      <c r="AA56" s="98">
        <f ca="1">_xlfn.XLOOKUP(RTData[[#This Row],[Ticker_Symbol]],TickerList!$G55:$G149,TickerList!O55:O149)</f>
        <v>0</v>
      </c>
      <c r="AB56" s="99">
        <v>1E-4</v>
      </c>
      <c r="AC56" s="100">
        <v>3.0000000000000001E-3</v>
      </c>
      <c r="AD56" s="86">
        <v>3.94</v>
      </c>
      <c r="AE56" s="101">
        <f ca="1">_xlfn.LET(_xlpm.New1YT,RTData[[#This Row],[1YT]],        _xlpm.Old1YT,IF(ISNUMBER(RTData[[#This Row],[Old1YT]]),RTData[[#This Row],[Old1YT]],VALUE(LEFT(RTData[[#This Row],[Old1YT]],FIND("/",RTData[[#This Row],[Old1YT]],1)-1))),       IF(OR(RTData[[#This Row],[1YT]]=0,_xlpm.Old1YT=0),0,(_xlpm.New1YT-_xlpm.Old1YT)/_xlpm.Old1YT))</f>
        <v>-0.17512690355329949</v>
      </c>
      <c r="AF56" s="101" t="str">
        <f ca="1">TEXT(RTData[[#This Row],[1YT]],"#,#0.00")&amp;" &lt; "&amp;RTData[[#This Row],[Old1YT]]</f>
        <v>3.25 &lt; 3.94</v>
      </c>
      <c r="AG56" s="49"/>
    </row>
    <row r="57" spans="1:34" x14ac:dyDescent="0.3">
      <c r="A57" s="112" t="str" cm="1">
        <f t="array" aca="1" ref="A57" ca="1">_xlfn.SINGLE(RTData[suffix])&amp;_FV(RTData[[#This Row],[Company Name]],"Ticker symbol",TRUE)</f>
        <v>MVEDSY</v>
      </c>
      <c r="B57" s="112">
        <v>1</v>
      </c>
      <c r="C57" t="e" vm="16">
        <v>#VALUE!</v>
      </c>
      <c r="D57" s="57" t="str" cm="1">
        <f t="array" aca="1" ref="D57" ca="1">_FV(RTData[[#This Row],[Company Name]],"Currency")</f>
        <v>EUR</v>
      </c>
      <c r="E57" s="58" cm="1">
        <f t="array" aca="1" ref="E57" ca="1">_FV(RTData[[#This Row],[Company Name]],"Last trade time",TRUE)</f>
        <v>45966.708333333336</v>
      </c>
      <c r="F57" s="64" cm="1">
        <f t="array" aca="1" ref="F57" ca="1">_FV(RTData[[#This Row],[Company Name]],"Previous close",TRUE)</f>
        <v>24.04</v>
      </c>
      <c r="G57" s="64" cm="1">
        <f t="array" aca="1" ref="G57" ca="1">_FV(RTData[[#This Row],[Company Name]],"Open")</f>
        <v>23.86</v>
      </c>
      <c r="H57" s="64" cm="1">
        <f t="array" aca="1" ref="H57" ca="1">_FV(RTData[[#This Row],[Company Name]],"Price")</f>
        <v>23.98</v>
      </c>
      <c r="I57" s="64" cm="1">
        <f t="array" aca="1" ref="I57" ca="1">_FV(RTData[[#This Row],[Company Name]],"Low")</f>
        <v>23.75</v>
      </c>
      <c r="J57" s="64" cm="1">
        <f t="array" aca="1" ref="J57" ca="1">_FV(RTData[[#This Row],[Company Name]],"High")</f>
        <v>24.12</v>
      </c>
      <c r="K57" s="59" cm="1">
        <f t="array" aca="1" ref="K57" ca="1">IFERROR(_FV(RTData[[#This Row],[Company Name]],"P/E",TRUE),99)</f>
        <v>26.793299999999999</v>
      </c>
      <c r="L57" s="60" cm="1">
        <f t="array" aca="1" ref="L57" ca="1">_FV(RTData[[#This Row],[Company Name]],"Change")</f>
        <v>-0.06</v>
      </c>
      <c r="M57" s="61" cm="1">
        <f t="array" aca="1" ref="M57" ca="1">_FV(RTData[[#This Row],[Company Name]],"Change (%)",TRUE)</f>
        <v>-2.496E-3</v>
      </c>
      <c r="N57" s="64" cm="1">
        <f t="array" aca="1" ref="N57" ca="1">_FV(RTData[[#This Row],[Company Name]],"52 week low",TRUE)</f>
        <v>23.75</v>
      </c>
      <c r="O57" s="64" cm="1">
        <f t="array" aca="1" ref="O57" ca="1">_FV(RTData[[#This Row],[Company Name]],"52 week high",TRUE)</f>
        <v>41.17</v>
      </c>
      <c r="P57" s="62" cm="1">
        <f t="array" aca="1" ref="P57" ca="1">_FV(RTData[[#This Row],[Company Name]],"Volume")</f>
        <v>1361709</v>
      </c>
      <c r="Q57" s="62" cm="1">
        <f t="array" aca="1" ref="Q57" ca="1">_FV(RTData[[#This Row],[Company Name]],"Volume average",TRUE)</f>
        <v>2619000</v>
      </c>
      <c r="R57" s="57" cm="1">
        <f t="array" aca="1" ref="R57" ca="1">_FV(RTData[[#This Row],[Company Name]],"Beta")</f>
        <v>0.78910000000000002</v>
      </c>
      <c r="S57" s="63" t="s">
        <v>22</v>
      </c>
      <c r="T57" s="63" t="s">
        <v>23</v>
      </c>
      <c r="U57" s="63" t="str" cm="1">
        <f t="array" aca="1" ref="U57" ca="1">_FV(RTData[[#This Row],[Company Name]],"Exchange abbreviation",TRUE)</f>
        <v>XPAR</v>
      </c>
      <c r="V57" s="90">
        <f ca="1">IFERROR(RTData[[#This Row],[Volume]]/RTData[[#This Row],[Volume average]],1)</f>
        <v>0.51993470790378005</v>
      </c>
      <c r="W57" s="90"/>
      <c r="X57" s="104">
        <f ca="1">_xlfn.XLOOKUP(RTData[[#This Row],[Ticker_Symbol]],TickerList!$G56:$G150,TickerList!L56:L150)</f>
        <v>31.877780000000001</v>
      </c>
      <c r="Y57" s="97">
        <f ca="1">_xlfn.XLOOKUP(RTData[[#This Row],[Ticker_Symbol]],TickerList!$G56:$G150,TickerList!M56:M150)</f>
        <v>45803</v>
      </c>
      <c r="Z57" s="97">
        <f ca="1">_xlfn.XLOOKUP(RTData[[#This Row],[Ticker_Symbol]],TickerList!$G56:$G150,TickerList!N56:N150)</f>
        <v>0</v>
      </c>
      <c r="AA57" s="98">
        <f ca="1">_xlfn.XLOOKUP(RTData[[#This Row],[Ticker_Symbol]],TickerList!$G56:$G150,TickerList!O56:O150)</f>
        <v>1.06E-2</v>
      </c>
      <c r="AB57" s="99">
        <f>AB19</f>
        <v>0</v>
      </c>
      <c r="AC57" s="100">
        <f>AC19</f>
        <v>3.0000000000000001E-3</v>
      </c>
      <c r="AD57" s="86" t="str">
        <f>AD19</f>
        <v>37.97/38.13/38.23</v>
      </c>
      <c r="AE57" s="101">
        <f ca="1">AE19</f>
        <v>2.8747695549117727</v>
      </c>
      <c r="AF57" s="101" t="str">
        <f ca="1">TEXT(RTData[[#This Row],[1YT]],"#,#0.00")&amp;" &lt; "&amp;RTData[[#This Row],[Old1YT]]</f>
        <v>31.88 &lt; 37.97/38.13/38.23</v>
      </c>
    </row>
    <row r="58" spans="1:34" x14ac:dyDescent="0.3">
      <c r="A58" s="112" t="str" cm="1">
        <f t="array" aca="1" ref="A58" ca="1">_xlfn.SINGLE(RTData[suffix])&amp;_FV(RTData[[#This Row],[Company Name]],"Ticker symbol",TRUE)</f>
        <v>MVEEOAN</v>
      </c>
      <c r="B58" s="112">
        <v>1</v>
      </c>
      <c r="C58" t="e" vm="19">
        <v>#VALUE!</v>
      </c>
      <c r="D58" s="57" t="str" cm="1">
        <f t="array" aca="1" ref="D58" ca="1">_FV(RTData[[#This Row],[Company Name]],"Currency")</f>
        <v>EUR</v>
      </c>
      <c r="E58" s="58" cm="1">
        <f t="array" aca="1" ref="E58" ca="1">_FV(RTData[[#This Row],[Company Name]],"Last trade time",TRUE)</f>
        <v>45966.878472222219</v>
      </c>
      <c r="F58" s="64" cm="1">
        <f t="array" aca="1" ref="F58" ca="1">_FV(RTData[[#This Row],[Company Name]],"Previous close",TRUE)</f>
        <v>15.75</v>
      </c>
      <c r="G58" s="64" cm="1">
        <f t="array" aca="1" ref="G58" ca="1">_FV(RTData[[#This Row],[Company Name]],"Open")</f>
        <v>15.824999999999999</v>
      </c>
      <c r="H58" s="64" cm="1">
        <f t="array" aca="1" ref="H58" ca="1">_FV(RTData[[#This Row],[Company Name]],"Price")</f>
        <v>16.05</v>
      </c>
      <c r="I58" s="64" cm="1">
        <f t="array" aca="1" ref="I58" ca="1">_FV(RTData[[#This Row],[Company Name]],"Low")</f>
        <v>15.824999999999999</v>
      </c>
      <c r="J58" s="64" cm="1">
        <f t="array" aca="1" ref="J58" ca="1">_FV(RTData[[#This Row],[Company Name]],"High")</f>
        <v>16.05</v>
      </c>
      <c r="K58" s="59" cm="1">
        <f t="array" aca="1" ref="K58" ca="1">IFERROR(_FV(RTData[[#This Row],[Company Name]],"P/E",TRUE),99)</f>
        <v>13.2645</v>
      </c>
      <c r="L58" s="60" cm="1">
        <f t="array" aca="1" ref="L58" ca="1">_FV(RTData[[#This Row],[Company Name]],"Change")</f>
        <v>0.3</v>
      </c>
      <c r="M58" s="61" cm="1">
        <f t="array" aca="1" ref="M58" ca="1">_FV(RTData[[#This Row],[Company Name]],"Change (%)",TRUE)</f>
        <v>1.9047999999999999E-2</v>
      </c>
      <c r="N58" s="64" cm="1">
        <f t="array" aca="1" ref="N58" ca="1">_FV(RTData[[#This Row],[Company Name]],"52 week low",TRUE)</f>
        <v>7.3</v>
      </c>
      <c r="O58" s="64" cm="1">
        <f t="array" aca="1" ref="O58" ca="1">_FV(RTData[[#This Row],[Company Name]],"52 week high",TRUE)</f>
        <v>16.515000000000001</v>
      </c>
      <c r="P58" s="62" cm="1">
        <f t="array" aca="1" ref="P58" ca="1">_FV(RTData[[#This Row],[Company Name]],"Volume")</f>
        <v>4253</v>
      </c>
      <c r="Q58" s="62" cm="1">
        <f t="array" aca="1" ref="Q58" ca="1">_FV(RTData[[#This Row],[Company Name]],"Volume average",TRUE)</f>
        <v>2907640</v>
      </c>
      <c r="R58" s="57" cm="1">
        <f t="array" aca="1" ref="R58" ca="1">_FV(RTData[[#This Row],[Company Name]],"Beta")</f>
        <v>0.85360000000000003</v>
      </c>
      <c r="S58" s="63" t="s">
        <v>22</v>
      </c>
      <c r="T58" s="63" t="s">
        <v>23</v>
      </c>
      <c r="U58" s="63" t="str" cm="1">
        <f t="array" aca="1" ref="U58" ca="1">_FV(RTData[[#This Row],[Company Name]],"Exchange abbreviation",TRUE)</f>
        <v>XFRA</v>
      </c>
      <c r="V58" s="90">
        <f ca="1">IFERROR(RTData[[#This Row],[Volume]]/RTData[[#This Row],[Volume average]],1)</f>
        <v>1.4626982707625427E-3</v>
      </c>
      <c r="W58" s="90"/>
      <c r="X58" s="104">
        <f ca="1">_xlfn.XLOOKUP(RTData[[#This Row],[Ticker_Symbol]],TickerList!$G57:$G151,TickerList!L57:L151)</f>
        <v>16.919589999999999</v>
      </c>
      <c r="Y58" s="97">
        <f ca="1">_xlfn.XLOOKUP(RTData[[#This Row],[Ticker_Symbol]],TickerList!$G57:$G151,TickerList!M57:M151)</f>
        <v>45793</v>
      </c>
      <c r="Z58" s="97">
        <f ca="1">_xlfn.XLOOKUP(RTData[[#This Row],[Ticker_Symbol]],TickerList!$G57:$G151,TickerList!N57:N151)</f>
        <v>0</v>
      </c>
      <c r="AA58" s="98">
        <f ca="1">_xlfn.XLOOKUP(RTData[[#This Row],[Ticker_Symbol]],TickerList!$G57:$G151,TickerList!O57:O151)</f>
        <v>3.4099999999999998E-2</v>
      </c>
      <c r="AB58" s="99"/>
      <c r="AC58" s="100">
        <v>3.0000000000000001E-3</v>
      </c>
      <c r="AD58" s="86">
        <v>14.8</v>
      </c>
      <c r="AE58" s="101">
        <f ca="1">_xlfn.LET(_xlpm.New1YT,RTData[[#This Row],[1YT]],        _xlpm.Old1YT,IF(ISNUMBER(RTData[[#This Row],[Old1YT]]),RTData[[#This Row],[Old1YT]],VALUE(LEFT(RTData[[#This Row],[Old1YT]],FIND("/",RTData[[#This Row],[Old1YT]],1)-1))),       IF(OR(RTData[[#This Row],[1YT]]=0,_xlpm.Old1YT=0),0,(_xlpm.New1YT-_xlpm.Old1YT)/_xlpm.Old1YT))</f>
        <v>0.14321554054054045</v>
      </c>
      <c r="AF58" s="101" t="str">
        <f ca="1">TEXT(RTData[[#This Row],[1YT]],"#,#0.00")&amp;" &lt; "&amp;RTData[[#This Row],[Old1YT]]</f>
        <v>16.92 &lt; 14.8</v>
      </c>
    </row>
    <row r="59" spans="1:34" x14ac:dyDescent="0.3">
      <c r="A59" s="111" t="str" cm="1">
        <f t="array" aca="1" ref="A59" ca="1">_xlfn.SINGLE(RTData[suffix])&amp;_FV(RTData[[#This Row],[Company Name]],"Ticker symbol",TRUE)</f>
        <v>MVEENI</v>
      </c>
      <c r="B59" s="112">
        <v>1</v>
      </c>
      <c r="C59" t="e" vm="53">
        <v>#VALUE!</v>
      </c>
      <c r="D59" s="57" t="str" cm="1">
        <f t="array" aca="1" ref="D59" ca="1">_FV(RTData[[#This Row],[Company Name]],"Currency")</f>
        <v>EUR</v>
      </c>
      <c r="E59" s="58" cm="1">
        <f t="array" aca="1" ref="E59" ca="1">_FV(RTData[[#This Row],[Company Name]],"Last trade time",TRUE)</f>
        <v>45966.708333333336</v>
      </c>
      <c r="F59" s="64" cm="1">
        <f t="array" aca="1" ref="F59" ca="1">_FV(RTData[[#This Row],[Company Name]],"Previous close",TRUE)</f>
        <v>15.91</v>
      </c>
      <c r="G59" s="64" cm="1">
        <f t="array" aca="1" ref="G59" ca="1">_FV(RTData[[#This Row],[Company Name]],"Open")</f>
        <v>15.848000000000001</v>
      </c>
      <c r="H59" s="64" cm="1">
        <f t="array" aca="1" ref="H59" ca="1">_FV(RTData[[#This Row],[Company Name]],"Price")</f>
        <v>15.968</v>
      </c>
      <c r="I59" s="64" cm="1">
        <f t="array" aca="1" ref="I59" ca="1">_FV(RTData[[#This Row],[Company Name]],"Low")</f>
        <v>15.832000000000001</v>
      </c>
      <c r="J59" s="64" cm="1">
        <f t="array" aca="1" ref="J59" ca="1">_FV(RTData[[#This Row],[Company Name]],"High")</f>
        <v>15.986000000000001</v>
      </c>
      <c r="K59" s="59" cm="1">
        <f t="array" aca="1" ref="K59" ca="1">IFERROR(_FV(RTData[[#This Row],[Company Name]],"P/E",TRUE),99)</f>
        <v>17.634499999999999</v>
      </c>
      <c r="L59" s="60" cm="1">
        <f t="array" aca="1" ref="L59" ca="1">_FV(RTData[[#This Row],[Company Name]],"Change")</f>
        <v>5.8000000000000003E-2</v>
      </c>
      <c r="M59" s="61" cm="1">
        <f t="array" aca="1" ref="M59" ca="1">_FV(RTData[[#This Row],[Company Name]],"Change (%)",TRUE)</f>
        <v>3.6459999999999999E-3</v>
      </c>
      <c r="N59" s="64" cm="1">
        <f t="array" aca="1" ref="N59" ca="1">_FV(RTData[[#This Row],[Company Name]],"52 week low",TRUE)</f>
        <v>11.01</v>
      </c>
      <c r="O59" s="64" cm="1">
        <f t="array" aca="1" ref="O59" ca="1">_FV(RTData[[#This Row],[Company Name]],"52 week high",TRUE)</f>
        <v>16.11</v>
      </c>
      <c r="P59" s="62" cm="1">
        <f t="array" aca="1" ref="P59" ca="1">_FV(RTData[[#This Row],[Company Name]],"Volume")</f>
        <v>7194438</v>
      </c>
      <c r="Q59" s="62" cm="1">
        <f t="array" aca="1" ref="Q59" ca="1">_FV(RTData[[#This Row],[Company Name]],"Volume average",TRUE)</f>
        <v>12662660</v>
      </c>
      <c r="R59" s="57" cm="1">
        <f t="array" aca="1" ref="R59" ca="1">_FV(RTData[[#This Row],[Company Name]],"Beta")</f>
        <v>0.83050000000000002</v>
      </c>
      <c r="S59" s="63" t="s">
        <v>22</v>
      </c>
      <c r="T59" s="63" t="s">
        <v>23</v>
      </c>
      <c r="U59" s="63" t="str" cm="1">
        <f t="array" aca="1" ref="U59" ca="1">_FV(RTData[[#This Row],[Company Name]],"Exchange abbreviation",TRUE)</f>
        <v>XMIL</v>
      </c>
      <c r="V59" s="90">
        <f ca="1">IFERROR(RTData[[#This Row],[Volume]]/RTData[[#This Row],[Volume average]],1)</f>
        <v>0.56816166587431072</v>
      </c>
      <c r="W59" s="90"/>
      <c r="X59" s="104">
        <f ca="1">_xlfn.XLOOKUP(RTData[[#This Row],[Ticker_Symbol]],TickerList!$G58:$G152,TickerList!L58:L152)</f>
        <v>16.122730000000001</v>
      </c>
      <c r="Y59" s="97">
        <f ca="1">_xlfn.XLOOKUP(RTData[[#This Row],[Ticker_Symbol]],TickerList!$G58:$G152,TickerList!M58:M152)</f>
        <v>45985</v>
      </c>
      <c r="Z59" s="97">
        <f ca="1">_xlfn.XLOOKUP(RTData[[#This Row],[Ticker_Symbol]],TickerList!$G58:$G152,TickerList!N58:N152)</f>
        <v>0</v>
      </c>
      <c r="AA59" s="98">
        <f ca="1">_xlfn.XLOOKUP(RTData[[#This Row],[Ticker_Symbol]],TickerList!$G58:$G152,TickerList!O58:O152)</f>
        <v>6.5199999999999994E-2</v>
      </c>
      <c r="AB59" s="99">
        <f t="shared" ref="AB59:AD59" si="0">AB75</f>
        <v>0</v>
      </c>
      <c r="AC59" s="100">
        <f t="shared" si="0"/>
        <v>3.0000000000000001E-3</v>
      </c>
      <c r="AD59" s="86" t="str">
        <f t="shared" si="0"/>
        <v>14.71/14.81/16.46</v>
      </c>
      <c r="AE59" s="101">
        <f ca="1">_xlfn.LET(_xlpm.New1YT,RTData[[#This Row],[1YT]],        _xlpm.Old1YT,IF(ISNUMBER(RTData[[#This Row],[Old1YT]]),RTData[[#This Row],[Old1YT]],VALUE(LEFT(RTData[[#This Row],[Old1YT]],FIND("/",RTData[[#This Row],[Old1YT]],1)-1))),       IF(OR(RTData[[#This Row],[1YT]]=0,_xlpm.Old1YT=0),0,(_xlpm.New1YT-_xlpm.Old1YT)/_xlpm.Old1YT))</f>
        <v>9.6038749150237912E-2</v>
      </c>
      <c r="AF59" s="101" t="str">
        <f ca="1">TEXT(RTData[[#This Row],[1YT]],"#,#0.00")&amp;" &lt; "&amp;RTData[[#This Row],[Old1YT]]</f>
        <v>16.12 &lt; 14.71/14.81/16.46</v>
      </c>
    </row>
    <row r="60" spans="1:34" x14ac:dyDescent="0.3">
      <c r="A60" s="112" t="str" cm="1">
        <f t="array" aca="1" ref="A60" ca="1">_xlfn.SINGLE(RTData[suffix])&amp;_FV(RTData[[#This Row],[Company Name]],"Ticker symbol",TRUE)</f>
        <v>MVEEPIX</v>
      </c>
      <c r="B60" s="112">
        <f ca="1">D99</f>
        <v>0.8700191404210893</v>
      </c>
      <c r="C60" t="e" vm="20">
        <v>#VALUE!</v>
      </c>
      <c r="D60" s="57" t="str" cm="1">
        <f t="array" aca="1" ref="D60" ca="1">_FV(RTData[[#This Row],[Company Name]],"Currency")</f>
        <v>USD</v>
      </c>
      <c r="E60" s="58" cm="1">
        <f t="array" aca="1" ref="E60" ca="1">_FV(RTData[[#This Row],[Company Name]],"Last trade time",TRUE)</f>
        <v>45938.992447279685</v>
      </c>
      <c r="F60" s="57" cm="1">
        <f t="array" aca="1" ref="F60" ca="1">_FV(RTData[[#This Row],[Company Name]],"Previous close",TRUE)</f>
        <v>0.20499999999999999</v>
      </c>
      <c r="G60" s="57" cm="1">
        <f t="array" aca="1" ref="G60" ca="1">_FV(RTData[[#This Row],[Company Name]],"Open")</f>
        <v>0.2</v>
      </c>
      <c r="H60" s="57" cm="1">
        <f t="array" aca="1" ref="H60" ca="1">_FV(RTData[[#This Row],[Company Name]],"Price")</f>
        <v>0.20119999999999999</v>
      </c>
      <c r="I60" s="57" cm="1">
        <f t="array" aca="1" ref="I60" ca="1">_FV(RTData[[#This Row],[Company Name]],"Low")</f>
        <v>0.18990000000000001</v>
      </c>
      <c r="J60" s="57" cm="1">
        <f t="array" aca="1" ref="J60" ca="1">_FV(RTData[[#This Row],[Company Name]],"High")</f>
        <v>0.20699999999999999</v>
      </c>
      <c r="K60" s="59" cm="1">
        <f t="array" aca="1" ref="K60" ca="1">IFERROR(_FV(RTData[[#This Row],[Company Name]],"P/E",TRUE),99)</f>
        <v>0</v>
      </c>
      <c r="L60" s="60" cm="1">
        <f t="array" aca="1" ref="L60" ca="1">_FV(RTData[[#This Row],[Company Name]],"Change")</f>
        <v>0</v>
      </c>
      <c r="M60" s="61" cm="1">
        <f t="array" aca="1" ref="M60" ca="1">_FV(RTData[[#This Row],[Company Name]],"Change (%)",TRUE)</f>
        <v>0</v>
      </c>
      <c r="N60" s="57" cm="1">
        <f t="array" aca="1" ref="N60" ca="1">_FV(RTData[[#This Row],[Company Name]],"52 week low",TRUE)</f>
        <v>0.17330000000000001</v>
      </c>
      <c r="O60" s="57" cm="1">
        <f t="array" aca="1" ref="O60" ca="1">_FV(RTData[[#This Row],[Company Name]],"52 week high",TRUE)</f>
        <v>0.82499999999999996</v>
      </c>
      <c r="P60" s="62" cm="1">
        <f t="array" aca="1" ref="P60" ca="1">_FV(RTData[[#This Row],[Company Name]],"Volume")</f>
        <v>5945141</v>
      </c>
      <c r="Q60" s="62" cm="1">
        <f t="array" aca="1" ref="Q60" ca="1">_FV(RTData[[#This Row],[Company Name]],"Volume average",TRUE)</f>
        <v>3209641</v>
      </c>
      <c r="R60" s="57" cm="1">
        <f t="array" aca="1" ref="R60" ca="1">_FV(RTData[[#This Row],[Company Name]],"Beta")</f>
        <v>1.5513999999999999</v>
      </c>
      <c r="S60" s="63" t="s">
        <v>22</v>
      </c>
      <c r="T60" s="63" t="s">
        <v>23</v>
      </c>
      <c r="U60" s="63" t="str" cm="1">
        <f t="array" aca="1" ref="U60" ca="1">_FV(RTData[[#This Row],[Company Name]],"Exchange abbreviation",TRUE)</f>
        <v>XNAS</v>
      </c>
      <c r="V60" s="90">
        <f ca="1">IFERROR(RTData[[#This Row],[Volume]]/RTData[[#This Row],[Volume average]],1)</f>
        <v>1.8522760022071003</v>
      </c>
      <c r="W60" s="90"/>
      <c r="X60" s="104">
        <f ca="1">_xlfn.XLOOKUP(RTData[[#This Row],[Ticker_Symbol]],TickerList!$G59:$G153,TickerList!L59:L153)</f>
        <v>0</v>
      </c>
      <c r="Y60" s="97">
        <f ca="1">_xlfn.XLOOKUP(RTData[[#This Row],[Ticker_Symbol]],TickerList!$G59:$G153,TickerList!M59:M153)</f>
        <v>45894</v>
      </c>
      <c r="Z60" s="97">
        <f ca="1">_xlfn.XLOOKUP(RTData[[#This Row],[Ticker_Symbol]],TickerList!$G59:$G153,TickerList!N59:N153)</f>
        <v>0</v>
      </c>
      <c r="AA60" s="98">
        <f ca="1">_xlfn.XLOOKUP(RTData[[#This Row],[Ticker_Symbol]],TickerList!$G59:$G153,TickerList!O59:O153)</f>
        <v>0</v>
      </c>
      <c r="AB60" s="99">
        <v>1E-4</v>
      </c>
      <c r="AC60" s="100">
        <v>3.0000000000000001E-3</v>
      </c>
      <c r="AD60" s="86">
        <v>9.32</v>
      </c>
      <c r="AE60" s="101">
        <f ca="1">_xlfn.LET(_xlpm.New1YT,RTData[[#This Row],[1YT]],        _xlpm.Old1YT,IF(ISNUMBER(RTData[[#This Row],[Old1YT]]),RTData[[#This Row],[Old1YT]],VALUE(LEFT(RTData[[#This Row],[Old1YT]],FIND("/",RTData[[#This Row],[Old1YT]],1)-1))),       IF(OR(RTData[[#This Row],[1YT]]=0,_xlpm.Old1YT=0),0,(_xlpm.New1YT-_xlpm.Old1YT)/_xlpm.Old1YT))</f>
        <v>0</v>
      </c>
      <c r="AF60" s="101" t="str">
        <f ca="1">TEXT(RTData[[#This Row],[1YT]],"#,#0.00")&amp;" &lt; "&amp;RTData[[#This Row],[Old1YT]]</f>
        <v>0.00 &lt; 9.32</v>
      </c>
    </row>
    <row r="61" spans="1:34" x14ac:dyDescent="0.3">
      <c r="A61" s="112" t="str" cm="1">
        <f t="array" aca="1" ref="A61" ca="1">_xlfn.SINGLE(RTData[suffix])&amp;_FV(RTData[[#This Row],[Company Name]],"Ticker symbol",TRUE)</f>
        <v>MVEGLE</v>
      </c>
      <c r="B61" s="112">
        <v>1</v>
      </c>
      <c r="C61" t="e" vm="54">
        <v>#VALUE!</v>
      </c>
      <c r="D61" s="57" t="str" cm="1">
        <f t="array" aca="1" ref="D61" ca="1">_FV(RTData[[#This Row],[Company Name]],"Currency")</f>
        <v>EUR</v>
      </c>
      <c r="E61" s="58" cm="1">
        <f t="array" aca="1" ref="E61" ca="1">_FV(RTData[[#This Row],[Company Name]],"Last trade time",TRUE)</f>
        <v>45966.708333333336</v>
      </c>
      <c r="F61" s="64" cm="1">
        <f t="array" aca="1" ref="F61" ca="1">_FV(RTData[[#This Row],[Company Name]],"Previous close",TRUE)</f>
        <v>54.58</v>
      </c>
      <c r="G61" s="64" cm="1">
        <f t="array" aca="1" ref="G61" ca="1">_FV(RTData[[#This Row],[Company Name]],"Open")</f>
        <v>53.96</v>
      </c>
      <c r="H61" s="64" cm="1">
        <f t="array" aca="1" ref="H61" ca="1">_FV(RTData[[#This Row],[Company Name]],"Price")</f>
        <v>54.64</v>
      </c>
      <c r="I61" s="64" cm="1">
        <f t="array" aca="1" ref="I61" ca="1">_FV(RTData[[#This Row],[Company Name]],"Low")</f>
        <v>53.76</v>
      </c>
      <c r="J61" s="64" cm="1">
        <f t="array" aca="1" ref="J61" ca="1">_FV(RTData[[#This Row],[Company Name]],"High")</f>
        <v>54.76</v>
      </c>
      <c r="K61" s="59" cm="1">
        <f t="array" aca="1" ref="K61" ca="1">IFERROR(_FV(RTData[[#This Row],[Company Name]],"P/E",TRUE),99)</f>
        <v>8.7401999999999997</v>
      </c>
      <c r="L61" s="60" cm="1">
        <f t="array" aca="1" ref="L61" ca="1">_FV(RTData[[#This Row],[Company Name]],"Change")</f>
        <v>0.06</v>
      </c>
      <c r="M61" s="61" cm="1">
        <f t="array" aca="1" ref="M61" ca="1">_FV(RTData[[#This Row],[Company Name]],"Change (%)",TRUE)</f>
        <v>1.0989999999999999E-3</v>
      </c>
      <c r="N61" s="64" cm="1">
        <f t="array" aca="1" ref="N61" ca="1">_FV(RTData[[#This Row],[Company Name]],"52 week low",TRUE)</f>
        <v>24.03</v>
      </c>
      <c r="O61" s="64" cm="1">
        <f t="array" aca="1" ref="O61" ca="1">_FV(RTData[[#This Row],[Company Name]],"52 week high",TRUE)</f>
        <v>59.42</v>
      </c>
      <c r="P61" s="62" cm="1">
        <f t="array" aca="1" ref="P61" ca="1">_FV(RTData[[#This Row],[Company Name]],"Volume")</f>
        <v>1640478</v>
      </c>
      <c r="Q61" s="62" cm="1">
        <f t="array" aca="1" ref="Q61" ca="1">_FV(RTData[[#This Row],[Company Name]],"Volume average",TRUE)</f>
        <v>2049810</v>
      </c>
      <c r="R61" s="57" cm="1">
        <f t="array" aca="1" ref="R61" ca="1">_FV(RTData[[#This Row],[Company Name]],"Beta")</f>
        <v>1.389</v>
      </c>
      <c r="S61" s="63" t="s">
        <v>22</v>
      </c>
      <c r="T61" s="63" t="s">
        <v>23</v>
      </c>
      <c r="U61" s="63" t="str" cm="1">
        <f t="array" aca="1" ref="U61" ca="1">_FV(RTData[[#This Row],[Company Name]],"Exchange abbreviation",TRUE)</f>
        <v>XPAR</v>
      </c>
      <c r="V61" s="90">
        <f ca="1">IFERROR(RTData[[#This Row],[Volume]]/RTData[[#This Row],[Volume average]],1)</f>
        <v>0.80030734555885663</v>
      </c>
      <c r="W61" s="90"/>
      <c r="X61" s="104">
        <f ca="1">_xlfn.XLOOKUP(RTData[[#This Row],[Ticker_Symbol]],TickerList!$G60:$G154,TickerList!L60:L154)</f>
        <v>64.686109999999999</v>
      </c>
      <c r="Y61" s="97">
        <f ca="1">_xlfn.XLOOKUP(RTData[[#This Row],[Ticker_Symbol]],TickerList!$G60:$G154,TickerList!M60:M154)</f>
        <v>45937</v>
      </c>
      <c r="Z61" s="97" t="str">
        <f ca="1">_xlfn.XLOOKUP(RTData[[#This Row],[Ticker_Symbol]],TickerList!$G60:$G154,TickerList!N60:N154)</f>
        <v>Oct 30, 2025</v>
      </c>
      <c r="AA61" s="98">
        <f ca="1">_xlfn.XLOOKUP(RTData[[#This Row],[Ticker_Symbol]],TickerList!$G60:$G154,TickerList!O60:O154)</f>
        <v>3.1E-2</v>
      </c>
      <c r="AB61" s="99">
        <f t="shared" ref="AB61:AD61" si="1">AB78</f>
        <v>0</v>
      </c>
      <c r="AC61" s="100">
        <f t="shared" si="1"/>
        <v>3.0000000000000001E-3</v>
      </c>
      <c r="AD61" s="86" t="str">
        <f t="shared" si="1"/>
        <v>59.77/51.92/30.4</v>
      </c>
      <c r="AE61" s="101">
        <f ca="1">_xlfn.LET(_xlpm.New1YT,RTData[[#This Row],[1YT]],        _xlpm.Old1YT,IF(ISNUMBER(RTData[[#This Row],[Old1YT]]),RTData[[#This Row],[Old1YT]],VALUE(LEFT(RTData[[#This Row],[Old1YT]],FIND("/",RTData[[#This Row],[Old1YT]],1)-1))),       IF(OR(RTData[[#This Row],[1YT]]=0,_xlpm.Old1YT=0),0,(_xlpm.New1YT-_xlpm.Old1YT)/_xlpm.Old1YT))</f>
        <v>8.2250460097038583E-2</v>
      </c>
      <c r="AF61" s="101" t="str">
        <f ca="1">TEXT(RTData[[#This Row],[1YT]],"#,#0.00")&amp;" &lt; "&amp;RTData[[#This Row],[Old1YT]]</f>
        <v>64.69 &lt; 59.77/51.92/30.4</v>
      </c>
    </row>
    <row r="62" spans="1:34" x14ac:dyDescent="0.3">
      <c r="A62" s="112" t="str" cm="1">
        <f t="array" aca="1" ref="A62" ca="1">_xlfn.SINGLE(RTData[suffix])&amp;_FV(RTData[[#This Row],[Company Name]],"Ticker symbol",TRUE)</f>
        <v>MVEORA</v>
      </c>
      <c r="B62" s="112">
        <v>1</v>
      </c>
      <c r="C62" t="e" vm="55">
        <v>#VALUE!</v>
      </c>
      <c r="D62" s="57" t="str" cm="1">
        <f t="array" aca="1" ref="D62" ca="1">_FV(RTData[[#This Row],[Company Name]],"Currency")</f>
        <v>EUR</v>
      </c>
      <c r="E62" s="58" cm="1">
        <f t="array" aca="1" ref="E62" ca="1">_FV(RTData[[#This Row],[Company Name]],"Last trade time",TRUE)</f>
        <v>45966.708333333336</v>
      </c>
      <c r="F62" s="64" cm="1">
        <f t="array" aca="1" ref="F62" ca="1">_FV(RTData[[#This Row],[Company Name]],"Previous close",TRUE)</f>
        <v>13.715</v>
      </c>
      <c r="G62" s="64" cm="1">
        <f t="array" aca="1" ref="G62" ca="1">_FV(RTData[[#This Row],[Company Name]],"Open")</f>
        <v>13.73</v>
      </c>
      <c r="H62" s="64" cm="1">
        <f t="array" aca="1" ref="H62" ca="1">_FV(RTData[[#This Row],[Company Name]],"Price")</f>
        <v>13.715</v>
      </c>
      <c r="I62" s="64" cm="1">
        <f t="array" aca="1" ref="I62" ca="1">_FV(RTData[[#This Row],[Company Name]],"Low")</f>
        <v>13.705</v>
      </c>
      <c r="J62" s="64" cm="1">
        <f t="array" aca="1" ref="J62" ca="1">_FV(RTData[[#This Row],[Company Name]],"High")</f>
        <v>13.86</v>
      </c>
      <c r="K62" s="59" cm="1">
        <f t="array" aca="1" ref="K62" ca="1">IFERROR(_FV(RTData[[#This Row],[Company Name]],"P/E",TRUE),99)</f>
        <v>43.319600000000001</v>
      </c>
      <c r="L62" s="60" cm="1">
        <f t="array" aca="1" ref="L62" ca="1">_FV(RTData[[#This Row],[Company Name]],"Change")</f>
        <v>0</v>
      </c>
      <c r="M62" s="61" cm="1">
        <f t="array" aca="1" ref="M62" ca="1">_FV(RTData[[#This Row],[Company Name]],"Change (%)",TRUE)</f>
        <v>0</v>
      </c>
      <c r="N62" s="64" cm="1">
        <f t="array" aca="1" ref="N62" ca="1">_FV(RTData[[#This Row],[Company Name]],"52 week low",TRUE)</f>
        <v>9.3699999999999992</v>
      </c>
      <c r="O62" s="64" cm="1">
        <f t="array" aca="1" ref="O62" ca="1">_FV(RTData[[#This Row],[Company Name]],"52 week high",TRUE)</f>
        <v>14.56</v>
      </c>
      <c r="P62" s="62" cm="1">
        <f t="array" aca="1" ref="P62" ca="1">_FV(RTData[[#This Row],[Company Name]],"Volume")</f>
        <v>3380269</v>
      </c>
      <c r="Q62" s="62" cm="1">
        <f t="array" aca="1" ref="Q62" ca="1">_FV(RTData[[#This Row],[Company Name]],"Volume average",TRUE)</f>
        <v>3610840</v>
      </c>
      <c r="R62" s="57" cm="1">
        <f t="array" aca="1" ref="R62" ca="1">_FV(RTData[[#This Row],[Company Name]],"Beta")</f>
        <v>0.24</v>
      </c>
      <c r="S62" s="63" t="s">
        <v>22</v>
      </c>
      <c r="T62" s="63" t="s">
        <v>23</v>
      </c>
      <c r="U62" s="63" t="str" cm="1">
        <f t="array" aca="1" ref="U62" ca="1">_FV(RTData[[#This Row],[Company Name]],"Exchange abbreviation",TRUE)</f>
        <v>XPAR</v>
      </c>
      <c r="V62" s="90">
        <f ca="1">IFERROR(RTData[[#This Row],[Volume]]/RTData[[#This Row],[Volume average]],1)</f>
        <v>0.93614477517696715</v>
      </c>
      <c r="W62" s="90"/>
      <c r="X62" s="104">
        <f ca="1">_xlfn.XLOOKUP(RTData[[#This Row],[Ticker_Symbol]],TickerList!$G61:$G155,TickerList!L61:L155)</f>
        <v>15.32222</v>
      </c>
      <c r="Y62" s="97">
        <f ca="1">_xlfn.XLOOKUP(RTData[[#This Row],[Ticker_Symbol]],TickerList!$G61:$G155,TickerList!M61:M155)</f>
        <v>45993</v>
      </c>
      <c r="Z62" s="97">
        <f ca="1">_xlfn.XLOOKUP(RTData[[#This Row],[Ticker_Symbol]],TickerList!$G61:$G155,TickerList!N61:N155)</f>
        <v>0</v>
      </c>
      <c r="AA62" s="98">
        <f ca="1">_xlfn.XLOOKUP(RTData[[#This Row],[Ticker_Symbol]],TickerList!$G61:$G155,TickerList!O61:O155)</f>
        <v>5.4199999999999998E-2</v>
      </c>
      <c r="AB62" s="99">
        <f t="shared" ref="AB62:AD62" si="2">AB86</f>
        <v>0</v>
      </c>
      <c r="AC62" s="100">
        <f t="shared" si="2"/>
        <v>3.0000000000000001E-3</v>
      </c>
      <c r="AD62" s="86" t="str">
        <f t="shared" si="2"/>
        <v>14.83/14/12.94</v>
      </c>
      <c r="AE62" s="101">
        <f ca="1">_xlfn.LET(_xlpm.New1YT,RTData[[#This Row],[1YT]],        _xlpm.Old1YT,IF(ISNUMBER(RTData[[#This Row],[Old1YT]]),RTData[[#This Row],[Old1YT]],VALUE(LEFT(RTData[[#This Row],[Old1YT]],FIND("/",RTData[[#This Row],[Old1YT]],1)-1))),       IF(OR(RTData[[#This Row],[1YT]]=0,_xlpm.Old1YT=0),0,(_xlpm.New1YT-_xlpm.Old1YT)/_xlpm.Old1YT))</f>
        <v>3.3190829399865118E-2</v>
      </c>
      <c r="AF62" s="101" t="str">
        <f ca="1">TEXT(RTData[[#This Row],[1YT]],"#,#0.00")&amp;" &lt; "&amp;RTData[[#This Row],[Old1YT]]</f>
        <v>15.32 &lt; 14.83/14/12.94</v>
      </c>
    </row>
    <row r="63" spans="1:34" x14ac:dyDescent="0.3">
      <c r="A63" s="112" t="str" cm="1">
        <f t="array" aca="1" ref="A63" ca="1">_xlfn.SINGLE(RTData[suffix])&amp;_FV(RTData[[#This Row],[Company Name]],"Ticker symbol",TRUE)</f>
        <v>MVERWE</v>
      </c>
      <c r="B63" s="112">
        <v>1</v>
      </c>
      <c r="C63" t="e" vm="39">
        <v>#VALUE!</v>
      </c>
      <c r="D63" s="57" t="str" cm="1">
        <f t="array" aca="1" ref="D63" ca="1">_FV(RTData[[#This Row],[Company Name]],"Currency")</f>
        <v>EUR</v>
      </c>
      <c r="E63" s="58" cm="1">
        <f t="array" aca="1" ref="E63" ca="1">_FV(RTData[[#This Row],[Company Name]],"Last trade time",TRUE)</f>
        <v>45966.878472222219</v>
      </c>
      <c r="F63" s="64" cm="1">
        <f t="array" aca="1" ref="F63" ca="1">_FV(RTData[[#This Row],[Company Name]],"Previous close",TRUE)</f>
        <v>42.34</v>
      </c>
      <c r="G63" s="64" cm="1">
        <f t="array" aca="1" ref="G63" ca="1">_FV(RTData[[#This Row],[Company Name]],"Open")</f>
        <v>42.28</v>
      </c>
      <c r="H63" s="64" cm="1">
        <f t="array" aca="1" ref="H63" ca="1">_FV(RTData[[#This Row],[Company Name]],"Price")</f>
        <v>42.61</v>
      </c>
      <c r="I63" s="64" cm="1">
        <f t="array" aca="1" ref="I63" ca="1">_FV(RTData[[#This Row],[Company Name]],"Low")</f>
        <v>42.17</v>
      </c>
      <c r="J63" s="64" cm="1">
        <f t="array" aca="1" ref="J63" ca="1">_FV(RTData[[#This Row],[Company Name]],"High")</f>
        <v>42.61</v>
      </c>
      <c r="K63" s="59" cm="1">
        <f t="array" aca="1" ref="K63" ca="1">IFERROR(_FV(RTData[[#This Row],[Company Name]],"P/E",TRUE),99)</f>
        <v>12.209199999999999</v>
      </c>
      <c r="L63" s="60" cm="1">
        <f t="array" aca="1" ref="L63" ca="1">_FV(RTData[[#This Row],[Company Name]],"Change")</f>
        <v>0.27</v>
      </c>
      <c r="M63" s="61" cm="1">
        <f t="array" aca="1" ref="M63" ca="1">_FV(RTData[[#This Row],[Company Name]],"Change (%)",TRUE)</f>
        <v>6.3770000000000007E-3</v>
      </c>
      <c r="N63" s="64" cm="1">
        <f t="array" aca="1" ref="N63" ca="1">_FV(RTData[[#This Row],[Company Name]],"52 week low",TRUE)</f>
        <v>14.231</v>
      </c>
      <c r="O63" s="64" cm="1">
        <f t="array" aca="1" ref="O63" ca="1">_FV(RTData[[#This Row],[Company Name]],"52 week high",TRUE)</f>
        <v>44.03</v>
      </c>
      <c r="P63" s="62" cm="1">
        <f t="array" aca="1" ref="P63" ca="1">_FV(RTData[[#This Row],[Company Name]],"Volume")</f>
        <v>5600</v>
      </c>
      <c r="Q63" s="62" cm="1">
        <f t="array" aca="1" ref="Q63" ca="1">_FV(RTData[[#This Row],[Company Name]],"Volume average",TRUE)</f>
        <v>1735050</v>
      </c>
      <c r="R63" s="57" cm="1">
        <f t="array" aca="1" ref="R63" ca="1">_FV(RTData[[#This Row],[Company Name]],"Beta")</f>
        <v>0.48039999999999999</v>
      </c>
      <c r="S63" s="63" t="s">
        <v>22</v>
      </c>
      <c r="T63" s="63" t="s">
        <v>23</v>
      </c>
      <c r="U63" s="63" t="str" cm="1">
        <f t="array" aca="1" ref="U63" ca="1">_FV(RTData[[#This Row],[Company Name]],"Exchange abbreviation",TRUE)</f>
        <v>XFRA</v>
      </c>
      <c r="V63" s="90">
        <f ca="1">IFERROR(RTData[[#This Row],[Volume]]/RTData[[#This Row],[Volume average]],1)</f>
        <v>3.2275726924296129E-3</v>
      </c>
      <c r="W63" s="90"/>
      <c r="X63" s="104">
        <f ca="1">_xlfn.XLOOKUP(RTData[[#This Row],[Ticker_Symbol]],TickerList!$G62:$G156,TickerList!L62:L156)</f>
        <v>44.747059999999998</v>
      </c>
      <c r="Y63" s="97">
        <f ca="1">_xlfn.XLOOKUP(RTData[[#This Row],[Ticker_Symbol]],TickerList!$G62:$G156,TickerList!M62:M156)</f>
        <v>45779</v>
      </c>
      <c r="Z63" s="97">
        <f ca="1">_xlfn.XLOOKUP(RTData[[#This Row],[Ticker_Symbol]],TickerList!$G62:$G156,TickerList!N62:N156)</f>
        <v>0</v>
      </c>
      <c r="AA63" s="98">
        <f ca="1">_xlfn.XLOOKUP(RTData[[#This Row],[Ticker_Symbol]],TickerList!$G62:$G156,TickerList!O62:O156)</f>
        <v>2.5799999000000001E-2</v>
      </c>
      <c r="AB63" s="99"/>
      <c r="AC63" s="100">
        <v>3.0000000000000001E-3</v>
      </c>
      <c r="AD63" s="86">
        <v>44.4</v>
      </c>
      <c r="AE63" s="101">
        <f ca="1">_xlfn.LET(_xlpm.New1YT,RTData[[#This Row],[1YT]],        _xlpm.Old1YT,IF(ISNUMBER(RTData[[#This Row],[Old1YT]]),RTData[[#This Row],[Old1YT]],VALUE(LEFT(RTData[[#This Row],[Old1YT]],FIND("/",RTData[[#This Row],[Old1YT]],1)-1))),       IF(OR(RTData[[#This Row],[1YT]]=0,_xlpm.Old1YT=0),0,(_xlpm.New1YT-_xlpm.Old1YT)/_xlpm.Old1YT))</f>
        <v>7.8166666666666454E-3</v>
      </c>
      <c r="AF63" s="101" t="str">
        <f ca="1">TEXT(RTData[[#This Row],[1YT]],"#,#0.00")&amp;" &lt; "&amp;RTData[[#This Row],[Old1YT]]</f>
        <v>44.75 &lt; 44.4</v>
      </c>
    </row>
    <row r="64" spans="1:34" x14ac:dyDescent="0.3">
      <c r="A64" s="112" t="str" cm="1">
        <f t="array" aca="1" ref="A64" ca="1">_xlfn.SINGLE(RTData[suffix])&amp;_FV(RTData[[#This Row],[Company Name]],"Ticker symbol",TRUE)</f>
        <v>MVESAP</v>
      </c>
      <c r="B64" s="112">
        <v>1</v>
      </c>
      <c r="C64" t="e" vm="40">
        <v>#VALUE!</v>
      </c>
      <c r="D64" s="57" t="str" cm="1">
        <f t="array" aca="1" ref="D64" ca="1">_FV(RTData[[#This Row],[Company Name]],"Currency")</f>
        <v>EUR</v>
      </c>
      <c r="E64" s="58" cm="1">
        <f t="array" aca="1" ref="E64" ca="1">_FV(RTData[[#This Row],[Company Name]],"Last trade time",TRUE)</f>
        <v>45966.950497685182</v>
      </c>
      <c r="F64" s="64" cm="1">
        <f t="array" aca="1" ref="F64" ca="1">_FV(RTData[[#This Row],[Company Name]],"Previous close",TRUE)</f>
        <v>226.05</v>
      </c>
      <c r="G64" s="64" cm="1">
        <f t="array" aca="1" ref="G64" ca="1">_FV(RTData[[#This Row],[Company Name]],"Open")</f>
        <v>224.95</v>
      </c>
      <c r="H64" s="64" cm="1">
        <f t="array" aca="1" ref="H64" ca="1">_FV(RTData[[#This Row],[Company Name]],"Price")</f>
        <v>227.95</v>
      </c>
      <c r="I64" s="64" cm="1">
        <f t="array" aca="1" ref="I64" ca="1">_FV(RTData[[#This Row],[Company Name]],"Low")</f>
        <v>223.75</v>
      </c>
      <c r="J64" s="64" cm="1">
        <f t="array" aca="1" ref="J64" ca="1">_FV(RTData[[#This Row],[Company Name]],"High")</f>
        <v>229.95</v>
      </c>
      <c r="K64" s="59" cm="1">
        <f t="array" aca="1" ref="K64" ca="1">IFERROR(_FV(RTData[[#This Row],[Company Name]],"P/E",TRUE),99)</f>
        <v>37.5486</v>
      </c>
      <c r="L64" s="60" cm="1">
        <f t="array" aca="1" ref="L64" ca="1">_FV(RTData[[#This Row],[Company Name]],"Change")</f>
        <v>1.9</v>
      </c>
      <c r="M64" s="61" cm="1">
        <f t="array" aca="1" ref="M64" ca="1">_FV(RTData[[#This Row],[Company Name]],"Change (%)",TRUE)</f>
        <v>8.405000000000001E-3</v>
      </c>
      <c r="N64" s="64" cm="1">
        <f t="array" aca="1" ref="N64" ca="1">_FV(RTData[[#This Row],[Company Name]],"52 week low",TRUE)</f>
        <v>209.7</v>
      </c>
      <c r="O64" s="64" cm="1">
        <f t="array" aca="1" ref="O64" ca="1">_FV(RTData[[#This Row],[Company Name]],"52 week high",TRUE)</f>
        <v>283.5</v>
      </c>
      <c r="P64" s="62" cm="1">
        <f t="array" aca="1" ref="P64" ca="1">_FV(RTData[[#This Row],[Company Name]],"Volume")</f>
        <v>944453</v>
      </c>
      <c r="Q64" s="62" cm="1">
        <f t="array" aca="1" ref="Q64" ca="1">_FV(RTData[[#This Row],[Company Name]],"Volume average",TRUE)</f>
        <v>1560890</v>
      </c>
      <c r="R64" s="64" cm="1">
        <f t="array" aca="1" ref="R64" ca="1">_FV(RTData[[#This Row],[Company Name]],"Beta")</f>
        <v>1.0464</v>
      </c>
      <c r="S64" s="63" t="s">
        <v>22</v>
      </c>
      <c r="T64" s="63" t="s">
        <v>23</v>
      </c>
      <c r="U64" s="63" t="str" cm="1">
        <f t="array" aca="1" ref="U64" ca="1">_FV(RTData[[#This Row],[Company Name]],"Exchange abbreviation",TRUE)</f>
        <v>XETR</v>
      </c>
      <c r="V64" s="90">
        <f ca="1">IFERROR(RTData[[#This Row],[Volume]]/RTData[[#This Row],[Volume average]],1)</f>
        <v>0.60507338761860219</v>
      </c>
      <c r="W64" s="90"/>
      <c r="X64" s="104">
        <f ca="1">_xlfn.XLOOKUP(RTData[[#This Row],[Ticker_Symbol]],TickerList!$G63:$G157,TickerList!L63:L157)</f>
        <v>288.66680000000002</v>
      </c>
      <c r="Y64" s="97">
        <f ca="1">_xlfn.XLOOKUP(RTData[[#This Row],[Ticker_Symbol]],TickerList!$G63:$G157,TickerList!M63:M157)</f>
        <v>45791</v>
      </c>
      <c r="Z64" s="97">
        <f ca="1">_xlfn.XLOOKUP(RTData[[#This Row],[Ticker_Symbol]],TickerList!$G63:$G157,TickerList!N63:N157)</f>
        <v>0</v>
      </c>
      <c r="AA64" s="98">
        <f ca="1">_xlfn.XLOOKUP(RTData[[#This Row],[Ticker_Symbol]],TickerList!$G63:$G157,TickerList!O63:O157)</f>
        <v>1.0500000000000001E-2</v>
      </c>
      <c r="AB64" s="99"/>
      <c r="AC64" s="100">
        <v>3.0000000000000001E-3</v>
      </c>
      <c r="AD64" s="86">
        <v>312.72000000000003</v>
      </c>
      <c r="AE64" s="101">
        <f ca="1">_xlfn.LET(_xlpm.New1YT,RTData[[#This Row],[1YT]],        _xlpm.Old1YT,IF(ISNUMBER(RTData[[#This Row],[Old1YT]]),RTData[[#This Row],[Old1YT]],VALUE(LEFT(RTData[[#This Row],[Old1YT]],FIND("/",RTData[[#This Row],[Old1YT]],1)-1))),       IF(OR(RTData[[#This Row],[1YT]]=0,_xlpm.Old1YT=0),0,(_xlpm.New1YT-_xlpm.Old1YT)/_xlpm.Old1YT))</f>
        <v>-7.6916091071885392E-2</v>
      </c>
      <c r="AF64" s="101" t="str">
        <f ca="1">TEXT(RTData[[#This Row],[1YT]],"#,#0.00")&amp;" &lt; "&amp;RTData[[#This Row],[Old1YT]]</f>
        <v>288.67 &lt; 312.72</v>
      </c>
    </row>
    <row r="65" spans="1:32" x14ac:dyDescent="0.3">
      <c r="A65" s="112" t="str" cm="1">
        <f t="array" aca="1" ref="A65" ca="1">_xlfn.SINGLE(RTData[suffix])&amp;_FV(RTData[[#This Row],[Company Name]],"Ticker symbol",TRUE)</f>
        <v>MVEUN0</v>
      </c>
      <c r="B65" s="112">
        <v>1</v>
      </c>
      <c r="C65" t="e" vm="45">
        <v>#VALUE!</v>
      </c>
      <c r="D65" s="57" t="str" cm="1">
        <f t="array" aca="1" ref="D65" ca="1">_FV(RTData[[#This Row],[Company Name]],"Currency")</f>
        <v>EUR</v>
      </c>
      <c r="E65" s="58" cm="1">
        <f t="array" aca="1" ref="E65" ca="1">_FV(RTData[[#This Row],[Company Name]],"Last trade time",TRUE)</f>
        <v>45966.878472222219</v>
      </c>
      <c r="F65" s="64" cm="1">
        <f t="array" aca="1" ref="F65" ca="1">_FV(RTData[[#This Row],[Company Name]],"Previous close",TRUE)</f>
        <v>29.6</v>
      </c>
      <c r="G65" s="64" cm="1">
        <f t="array" aca="1" ref="G65" ca="1">_FV(RTData[[#This Row],[Company Name]],"Open")</f>
        <v>29.5</v>
      </c>
      <c r="H65" s="64" cm="1">
        <f t="array" aca="1" ref="H65" ca="1">_FV(RTData[[#This Row],[Company Name]],"Price")</f>
        <v>29.5</v>
      </c>
      <c r="I65" s="64" cm="1">
        <f t="array" aca="1" ref="I65" ca="1">_FV(RTData[[#This Row],[Company Name]],"Low")</f>
        <v>29.5</v>
      </c>
      <c r="J65" s="64" cm="1">
        <f t="array" aca="1" ref="J65" ca="1">_FV(RTData[[#This Row],[Company Name]],"High")</f>
        <v>29.6</v>
      </c>
      <c r="K65" s="59" cm="1">
        <f t="array" ref="K65">IFERROR(_FV(RTData[[#This Row],[Company Name]],"P/E",TRUE),99)</f>
        <v>99</v>
      </c>
      <c r="L65" s="60" cm="1">
        <f t="array" aca="1" ref="L65" ca="1">_FV(RTData[[#This Row],[Company Name]],"Change")</f>
        <v>-0.1</v>
      </c>
      <c r="M65" s="61" cm="1">
        <f t="array" aca="1" ref="M65" ca="1">_FV(RTData[[#This Row],[Company Name]],"Change (%)",TRUE)</f>
        <v>-3.3779999999999999E-3</v>
      </c>
      <c r="N65" s="64" cm="1">
        <f t="array" aca="1" ref="N65" ca="1">_FV(RTData[[#This Row],[Company Name]],"52 week low",TRUE)</f>
        <v>2.1</v>
      </c>
      <c r="O65" s="64" cm="1">
        <f t="array" aca="1" ref="O65" ca="1">_FV(RTData[[#This Row],[Company Name]],"52 week high",TRUE)</f>
        <v>73.5</v>
      </c>
      <c r="P65" s="62" cm="1">
        <f t="array" aca="1" ref="P65" ca="1">_FV(RTData[[#This Row],[Company Name]],"Volume")</f>
        <v>464</v>
      </c>
      <c r="Q65" s="62" cm="1">
        <f t="array" aca="1" ref="Q65" ca="1">_FV(RTData[[#This Row],[Company Name]],"Volume average",TRUE)</f>
        <v>5390</v>
      </c>
      <c r="R65" s="57" cm="1">
        <f t="array" aca="1" ref="R65" ca="1">_FV(RTData[[#This Row],[Company Name]],"Beta")</f>
        <v>1.0946</v>
      </c>
      <c r="S65" s="63" t="s">
        <v>22</v>
      </c>
      <c r="T65" s="63" t="s">
        <v>23</v>
      </c>
      <c r="U65" s="63" t="str" cm="1">
        <f t="array" aca="1" ref="U65" ca="1">_FV(RTData[[#This Row],[Company Name]],"Exchange abbreviation",TRUE)</f>
        <v>XFRA</v>
      </c>
      <c r="V65" s="90">
        <f ca="1">IFERROR(RTData[[#This Row],[Volume]]/RTData[[#This Row],[Volume average]],1)</f>
        <v>8.608534322820037E-2</v>
      </c>
      <c r="W65" s="90"/>
      <c r="X65" s="104">
        <f ca="1">_xlfn.XLOOKUP(RTData[[#This Row],[Ticker_Symbol]],TickerList!$G64:$G158,TickerList!L64:L158)</f>
        <v>0</v>
      </c>
      <c r="Y65" s="97">
        <f ca="1">_xlfn.XLOOKUP(RTData[[#This Row],[Ticker_Symbol]],TickerList!$G64:$G158,TickerList!M64:M158)</f>
        <v>0</v>
      </c>
      <c r="Z65" s="97">
        <f ca="1">_xlfn.XLOOKUP(RTData[[#This Row],[Ticker_Symbol]],TickerList!$G64:$G158,TickerList!N64:N158)</f>
        <v>0</v>
      </c>
      <c r="AA65" s="98">
        <f ca="1">_xlfn.XLOOKUP(RTData[[#This Row],[Ticker_Symbol]],TickerList!$G64:$G158,TickerList!O64:O158)</f>
        <v>0</v>
      </c>
      <c r="AB65" s="99">
        <f t="shared" ref="AB65:AC65" si="3">AB48</f>
        <v>0</v>
      </c>
      <c r="AC65" s="100">
        <f t="shared" si="3"/>
        <v>3.0000000000000001E-3</v>
      </c>
      <c r="AD65" s="86">
        <v>45.9</v>
      </c>
      <c r="AE65" s="101">
        <f ca="1">_xlfn.LET(_xlpm.New1YT,RTData[[#This Row],[1YT]],        _xlpm.Old1YT,IF(ISNUMBER(RTData[[#This Row],[Old1YT]]),RTData[[#This Row],[Old1YT]],VALUE(LEFT(RTData[[#This Row],[Old1YT]],FIND("/",RTData[[#This Row],[Old1YT]],1)-1))),       IF(OR(RTData[[#This Row],[1YT]]=0,_xlpm.Old1YT=0),0,(_xlpm.New1YT-_xlpm.Old1YT)/_xlpm.Old1YT))</f>
        <v>0</v>
      </c>
      <c r="AF65" s="101" t="str">
        <f ca="1">TEXT(RTData[[#This Row],[1YT]],"#,#0.00")&amp;" &lt; "&amp;RTData[[#This Row],[Old1YT]]</f>
        <v>0.00 &lt; 45.9</v>
      </c>
    </row>
    <row r="66" spans="1:32" x14ac:dyDescent="0.3">
      <c r="A66" s="38" t="str" cm="1">
        <f t="array" aca="1" ref="A66" ca="1">_xlfn.SINGLE(RTData[suffix])&amp;_FV(RTData[[#This Row],[Company Name]],"Ticker symbol",TRUE)</f>
        <v>SAFAAPL</v>
      </c>
      <c r="B66" s="38">
        <f ca="1">D99</f>
        <v>0.8700191404210893</v>
      </c>
      <c r="C66" t="e" vm="1">
        <v>#VALUE!</v>
      </c>
      <c r="D66" s="113" t="str" cm="1">
        <f t="array" aca="1" ref="D66" ca="1">_FV(RTData[[#This Row],[Company Name]],"Currency")</f>
        <v>USD</v>
      </c>
      <c r="E66" s="17" cm="1">
        <f t="array" aca="1" ref="E66" ca="1">_FV(RTData[[#This Row],[Company Name]],"Last trade time",TRUE)</f>
        <v>45967.000417742966</v>
      </c>
      <c r="F66" s="18" cm="1">
        <f t="array" aca="1" ref="F66" ca="1">_FV(RTData[[#This Row],[Company Name]],"Previous close",TRUE)</f>
        <v>270.04000000000002</v>
      </c>
      <c r="G66" s="18" cm="1">
        <f t="array" aca="1" ref="G66" ca="1">_FV(RTData[[#This Row],[Company Name]],"Open")</f>
        <v>268.61</v>
      </c>
      <c r="H66" s="18" cm="1">
        <f t="array" aca="1" ref="H66" ca="1">_FV(RTData[[#This Row],[Company Name]],"Price")</f>
        <v>270.14</v>
      </c>
      <c r="I66" s="18" cm="1">
        <f t="array" aca="1" ref="I66" ca="1">_FV(RTData[[#This Row],[Company Name]],"Low")</f>
        <v>266.93</v>
      </c>
      <c r="J66" s="18" cm="1">
        <f t="array" aca="1" ref="J66" ca="1">_FV(RTData[[#This Row],[Company Name]],"High")</f>
        <v>271.7</v>
      </c>
      <c r="K66" s="19" cm="1">
        <f t="array" aca="1" ref="K66" ca="1">IFERROR(_FV(RTData[[#This Row],[Company Name]],"P/E",TRUE),99)</f>
        <v>36.3613</v>
      </c>
      <c r="L66" s="20" cm="1">
        <f t="array" aca="1" ref="L66" ca="1">_FV(RTData[[#This Row],[Company Name]],"Change")</f>
        <v>0.1</v>
      </c>
      <c r="M66" s="21" cm="1">
        <f t="array" aca="1" ref="M66" ca="1">_FV(RTData[[#This Row],[Company Name]],"Change (%)",TRUE)</f>
        <v>3.703E-4</v>
      </c>
      <c r="N66" s="18" cm="1">
        <f t="array" aca="1" ref="N66" ca="1">_FV(RTData[[#This Row],[Company Name]],"52 week low",TRUE)</f>
        <v>169.21010000000001</v>
      </c>
      <c r="O66" s="18" cm="1">
        <f t="array" aca="1" ref="O66" ca="1">_FV(RTData[[#This Row],[Company Name]],"52 week high",TRUE)</f>
        <v>277.32</v>
      </c>
      <c r="P66" s="22" cm="1">
        <f t="array" aca="1" ref="P66" ca="1">_FV(RTData[[#This Row],[Company Name]],"Volume")</f>
        <v>43644546</v>
      </c>
      <c r="Q66" s="22" cm="1">
        <f t="array" aca="1" ref="Q66" ca="1">_FV(RTData[[#This Row],[Company Name]],"Volume average",TRUE)</f>
        <v>47864472</v>
      </c>
      <c r="R66" s="18" cm="1">
        <f t="array" aca="1" ref="R66" ca="1">_FV(RTData[[#This Row],[Company Name]],"Beta")</f>
        <v>1.1076999999999999</v>
      </c>
      <c r="S66" t="s">
        <v>24</v>
      </c>
      <c r="T66" t="s">
        <v>25</v>
      </c>
      <c r="U66" t="str" cm="1">
        <f t="array" aca="1" ref="U66" ca="1">_FV(RTData[[#This Row],[Company Name]],"Exchange abbreviation",TRUE)</f>
        <v>XNAS</v>
      </c>
      <c r="V66" s="23">
        <f ca="1">IFERROR(RTData[[#This Row],[Volume]]/RTData[[#This Row],[Volume average]],1)</f>
        <v>0.91183594378728339</v>
      </c>
      <c r="W66" s="23"/>
      <c r="X66" s="104">
        <f ca="1">_xlfn.XLOOKUP(RTData[[#This Row],[Ticker_Symbol]],TickerList!$G65:$G159,TickerList!L65:L159)</f>
        <v>276.43097</v>
      </c>
      <c r="Y66" s="97">
        <f ca="1">_xlfn.XLOOKUP(RTData[[#This Row],[Ticker_Symbol]],TickerList!$G65:$G159,TickerList!M65:M159)</f>
        <v>45971</v>
      </c>
      <c r="Z66" s="97" t="str">
        <f ca="1">_xlfn.XLOOKUP(RTData[[#This Row],[Ticker_Symbol]],TickerList!$G65:$G159,TickerList!N65:N159)</f>
        <v>Jan 29, 2026</v>
      </c>
      <c r="AA66" s="98">
        <f ca="1">_xlfn.XLOOKUP(RTData[[#This Row],[Ticker_Symbol]],TickerList!$G65:$G159,TickerList!O65:O159)</f>
        <v>3.8E-3</v>
      </c>
      <c r="AB66" s="99">
        <v>1E-4</v>
      </c>
      <c r="AC66" s="100">
        <v>3.0000000000000001E-3</v>
      </c>
      <c r="AD66" s="86">
        <v>207.58</v>
      </c>
      <c r="AE66" s="101">
        <f ca="1">_xlfn.LET(_xlpm.New1YT,RTData[[#This Row],[1YT]],        _xlpm.Old1YT,IF(ISNUMBER(RTData[[#This Row],[Old1YT]]),RTData[[#This Row],[Old1YT]],VALUE(LEFT(RTData[[#This Row],[Old1YT]],FIND("/",RTData[[#This Row],[Old1YT]],1)-1))),       IF(OR(RTData[[#This Row],[1YT]]=0,_xlpm.Old1YT=0),0,(_xlpm.New1YT-_xlpm.Old1YT)/_xlpm.Old1YT))</f>
        <v>0.33168402543597642</v>
      </c>
      <c r="AF66" s="101" t="str">
        <f ca="1">TEXT(RTData[[#This Row],[1YT]],"#,#0.00")&amp;" &lt; "&amp;RTData[[#This Row],[Old1YT]]</f>
        <v>276.43 &lt; 207.58</v>
      </c>
    </row>
    <row r="67" spans="1:32" x14ac:dyDescent="0.3">
      <c r="A67" s="38" t="str" cm="1">
        <f t="array" aca="1" ref="A67" ca="1">_xlfn.SINGLE(RTData[suffix])&amp;_FV(RTData[[#This Row],[Company Name]],"Ticker symbol",TRUE)</f>
        <v>SAFAMZN</v>
      </c>
      <c r="B67" s="38">
        <f ca="1">D99</f>
        <v>0.8700191404210893</v>
      </c>
      <c r="C67" t="e" vm="4">
        <v>#VALUE!</v>
      </c>
      <c r="D67" s="113" t="str" cm="1">
        <f t="array" aca="1" ref="D67" ca="1">_FV(RTData[[#This Row],[Company Name]],"Currency")</f>
        <v>USD</v>
      </c>
      <c r="E67" s="17" cm="1">
        <f t="array" aca="1" ref="E67" ca="1">_FV(RTData[[#This Row],[Company Name]],"Last trade time",TRUE)</f>
        <v>45967.000515555468</v>
      </c>
      <c r="F67" s="18" cm="1">
        <f t="array" aca="1" ref="F67" ca="1">_FV(RTData[[#This Row],[Company Name]],"Previous close",TRUE)</f>
        <v>249.32</v>
      </c>
      <c r="G67" s="18" cm="1">
        <f t="array" aca="1" ref="G67" ca="1">_FV(RTData[[#This Row],[Company Name]],"Open")</f>
        <v>249.03</v>
      </c>
      <c r="H67" s="18" cm="1">
        <f t="array" aca="1" ref="H67" ca="1">_FV(RTData[[#This Row],[Company Name]],"Price")</f>
        <v>250.2</v>
      </c>
      <c r="I67" s="18" cm="1">
        <f t="array" aca="1" ref="I67" ca="1">_FV(RTData[[#This Row],[Company Name]],"Low")</f>
        <v>246.16</v>
      </c>
      <c r="J67" s="18" cm="1">
        <f t="array" aca="1" ref="J67" ca="1">_FV(RTData[[#This Row],[Company Name]],"High")</f>
        <v>251</v>
      </c>
      <c r="K67" s="19" cm="1">
        <f t="array" aca="1" ref="K67" ca="1">IFERROR(_FV(RTData[[#This Row],[Company Name]],"P/E",TRUE),99)</f>
        <v>35.344000000000001</v>
      </c>
      <c r="L67" s="20" cm="1">
        <f t="array" aca="1" ref="L67" ca="1">_FV(RTData[[#This Row],[Company Name]],"Change")</f>
        <v>0.88</v>
      </c>
      <c r="M67" s="21" cm="1">
        <f t="array" aca="1" ref="M67" ca="1">_FV(RTData[[#This Row],[Company Name]],"Change (%)",TRUE)</f>
        <v>3.5299999999999997E-3</v>
      </c>
      <c r="N67" s="18" cm="1">
        <f t="array" aca="1" ref="N67" ca="1">_FV(RTData[[#This Row],[Company Name]],"52 week low",TRUE)</f>
        <v>161.38</v>
      </c>
      <c r="O67" s="18" cm="1">
        <f t="array" aca="1" ref="O67" ca="1">_FV(RTData[[#This Row],[Company Name]],"52 week high",TRUE)</f>
        <v>258.60000000000002</v>
      </c>
      <c r="P67" s="22" cm="1">
        <f t="array" aca="1" ref="P67" ca="1">_FV(RTData[[#This Row],[Company Name]],"Volume")</f>
        <v>40552606</v>
      </c>
      <c r="Q67" s="22" cm="1">
        <f t="array" aca="1" ref="Q67" ca="1">_FV(RTData[[#This Row],[Company Name]],"Volume average",TRUE)</f>
        <v>53776835</v>
      </c>
      <c r="R67" s="18" cm="1">
        <f t="array" aca="1" ref="R67" ca="1">_FV(RTData[[#This Row],[Company Name]],"Beta")</f>
        <v>1.3596999999999999</v>
      </c>
      <c r="S67" t="s">
        <v>24</v>
      </c>
      <c r="T67" t="s">
        <v>25</v>
      </c>
      <c r="U67" t="str" cm="1">
        <f t="array" aca="1" ref="U67" ca="1">_FV(RTData[[#This Row],[Company Name]],"Exchange abbreviation",TRUE)</f>
        <v>XNAS</v>
      </c>
      <c r="V67" s="23">
        <f ca="1">IFERROR(RTData[[#This Row],[Volume]]/RTData[[#This Row],[Volume average]],1)</f>
        <v>0.75409060425367169</v>
      </c>
      <c r="W67" s="23"/>
      <c r="X67" s="104">
        <f ca="1">_xlfn.XLOOKUP(RTData[[#This Row],[Ticker_Symbol]],TickerList!$G66:$G160,TickerList!L66:L160)</f>
        <v>288.42410000000001</v>
      </c>
      <c r="Y67" s="97">
        <f ca="1">_xlfn.XLOOKUP(RTData[[#This Row],[Ticker_Symbol]],TickerList!$G66:$G160,TickerList!M66:M160)</f>
        <v>0</v>
      </c>
      <c r="Z67" s="97" t="str">
        <f ca="1">_xlfn.XLOOKUP(RTData[[#This Row],[Ticker_Symbol]],TickerList!$G66:$G160,TickerList!N66:N160)</f>
        <v>Oct 30, 2025</v>
      </c>
      <c r="AA67" s="98">
        <f ca="1">_xlfn.XLOOKUP(RTData[[#This Row],[Ticker_Symbol]],TickerList!$G66:$G160,TickerList!O66:O160)</f>
        <v>0</v>
      </c>
      <c r="AB67" s="99">
        <v>1E-4</v>
      </c>
      <c r="AC67" s="100">
        <v>3.0000000000000001E-3</v>
      </c>
      <c r="AD67" s="86">
        <v>227.1</v>
      </c>
      <c r="AE67" s="101">
        <f ca="1">_xlfn.LET(_xlpm.New1YT,RTData[[#This Row],[1YT]],        _xlpm.Old1YT,IF(ISNUMBER(RTData[[#This Row],[Old1YT]]),RTData[[#This Row],[Old1YT]],VALUE(LEFT(RTData[[#This Row],[Old1YT]],FIND("/",RTData[[#This Row],[Old1YT]],1)-1))),       IF(OR(RTData[[#This Row],[1YT]]=0,_xlpm.Old1YT=0),0,(_xlpm.New1YT-_xlpm.Old1YT)/_xlpm.Old1YT))</f>
        <v>0.27003126376045805</v>
      </c>
      <c r="AF67" s="101" t="str">
        <f ca="1">TEXT(RTData[[#This Row],[1YT]],"#,#0.00")&amp;" &lt; "&amp;RTData[[#This Row],[Old1YT]]</f>
        <v>288.42 &lt; 227.1</v>
      </c>
    </row>
    <row r="68" spans="1:32" x14ac:dyDescent="0.3">
      <c r="A68" s="38" t="str" cm="1">
        <f t="array" aca="1" ref="A68" ca="1">_xlfn.SINGLE(RTData[suffix])&amp;_FV(RTData[[#This Row],[Company Name]],"Ticker symbol",TRUE)</f>
        <v>SAFASML</v>
      </c>
      <c r="B68" s="38">
        <v>1</v>
      </c>
      <c r="C68" t="e" vm="6">
        <v>#VALUE!</v>
      </c>
      <c r="D68" s="113" t="str" cm="1">
        <f t="array" aca="1" ref="D68" ca="1">_FV(RTData[[#This Row],[Company Name]],"Currency")</f>
        <v>EUR</v>
      </c>
      <c r="E68" s="17" cm="1">
        <f t="array" aca="1" ref="E68" ca="1">_FV(RTData[[#This Row],[Company Name]],"Last trade time",TRUE)</f>
        <v>45966.708333333336</v>
      </c>
      <c r="F68" s="27" cm="1">
        <f t="array" aca="1" ref="F68" ca="1">_FV(RTData[[#This Row],[Company Name]],"Previous close",TRUE)</f>
        <v>918</v>
      </c>
      <c r="G68" s="27" cm="1">
        <f t="array" aca="1" ref="G68" ca="1">_FV(RTData[[#This Row],[Company Name]],"Open")</f>
        <v>882.9</v>
      </c>
      <c r="H68" s="27" cm="1">
        <f t="array" aca="1" ref="H68" ca="1">_FV(RTData[[#This Row],[Company Name]],"Price")</f>
        <v>906.6</v>
      </c>
      <c r="I68" s="27" cm="1">
        <f t="array" aca="1" ref="I68" ca="1">_FV(RTData[[#This Row],[Company Name]],"Low")</f>
        <v>878.4</v>
      </c>
      <c r="J68" s="27" cm="1">
        <f t="array" aca="1" ref="J68" ca="1">_FV(RTData[[#This Row],[Company Name]],"High")</f>
        <v>913.3</v>
      </c>
      <c r="K68" s="19" cm="1">
        <f t="array" aca="1" ref="K68" ca="1">IFERROR(_FV(RTData[[#This Row],[Company Name]],"P/E",TRUE),99)</f>
        <v>34.810200000000002</v>
      </c>
      <c r="L68" s="20" cm="1">
        <f t="array" aca="1" ref="L68" ca="1">_FV(RTData[[#This Row],[Company Name]],"Change")</f>
        <v>-11.4</v>
      </c>
      <c r="M68" s="21" cm="1">
        <f t="array" aca="1" ref="M68" ca="1">_FV(RTData[[#This Row],[Company Name]],"Change (%)",TRUE)</f>
        <v>-1.2418E-2</v>
      </c>
      <c r="N68" s="27" cm="1">
        <f t="array" aca="1" ref="N68" ca="1">_FV(RTData[[#This Row],[Company Name]],"52 week low",TRUE)</f>
        <v>508.4</v>
      </c>
      <c r="O68" s="27" cm="1">
        <f t="array" aca="1" ref="O68" ca="1">_FV(RTData[[#This Row],[Company Name]],"52 week high",TRUE)</f>
        <v>913.3</v>
      </c>
      <c r="P68" s="22" cm="1">
        <f t="array" aca="1" ref="P68" ca="1">_FV(RTData[[#This Row],[Company Name]],"Volume")</f>
        <v>663558</v>
      </c>
      <c r="Q68" s="22" cm="1">
        <f t="array" aca="1" ref="Q68" ca="1">_FV(RTData[[#This Row],[Company Name]],"Volume average",TRUE)</f>
        <v>547460</v>
      </c>
      <c r="R68" s="18" cm="1">
        <f t="array" aca="1" ref="R68" ca="1">_FV(RTData[[#This Row],[Company Name]],"Beta")</f>
        <v>2.1158000000000001</v>
      </c>
      <c r="S68" t="s">
        <v>24</v>
      </c>
      <c r="T68" t="s">
        <v>25</v>
      </c>
      <c r="U68" t="str" cm="1">
        <f t="array" aca="1" ref="U68" ca="1">_FV(RTData[[#This Row],[Company Name]],"Exchange abbreviation",TRUE)</f>
        <v>XAMS</v>
      </c>
      <c r="V68" s="23">
        <f ca="1">IFERROR(RTData[[#This Row],[Volume]]/RTData[[#This Row],[Volume average]],1)</f>
        <v>1.2120666350052971</v>
      </c>
      <c r="W68" s="23"/>
      <c r="X68" s="104">
        <f ca="1">_xlfn.XLOOKUP(RTData[[#This Row],[Ticker_Symbol]],TickerList!$G67:$G161,TickerList!L67:L161)</f>
        <v>941.90326000000005</v>
      </c>
      <c r="Y68" s="97">
        <f ca="1">_xlfn.XLOOKUP(RTData[[#This Row],[Ticker_Symbol]],TickerList!$G67:$G161,TickerList!M67:M161)</f>
        <v>45958</v>
      </c>
      <c r="Z68" s="97">
        <f ca="1">_xlfn.XLOOKUP(RTData[[#This Row],[Ticker_Symbol]],TickerList!$G67:$G161,TickerList!N67:N161)</f>
        <v>0</v>
      </c>
      <c r="AA68" s="98">
        <f ca="1">_xlfn.XLOOKUP(RTData[[#This Row],[Ticker_Symbol]],TickerList!$G67:$G161,TickerList!O67:O161)</f>
        <v>6.9999998000000001E-3</v>
      </c>
      <c r="AB68" s="99">
        <v>1E-4</v>
      </c>
      <c r="AC68" s="100">
        <v>3.0000000000000001E-3</v>
      </c>
      <c r="AD68" s="86">
        <f>AD8</f>
        <v>847.58</v>
      </c>
      <c r="AE68" s="101">
        <f ca="1">_xlfn.LET(_xlpm.New1YT,RTData[[#This Row],[1YT]],        _xlpm.Old1YT,IF(ISNUMBER(RTData[[#This Row],[Old1YT]]),RTData[[#This Row],[Old1YT]],VALUE(LEFT(RTData[[#This Row],[Old1YT]],FIND("/",RTData[[#This Row],[Old1YT]],1)-1))),       IF(OR(RTData[[#This Row],[1YT]]=0,_xlpm.Old1YT=0),0,(_xlpm.New1YT-_xlpm.Old1YT)/_xlpm.Old1YT))</f>
        <v>0.11128537719153354</v>
      </c>
      <c r="AF68" s="101" t="str">
        <f ca="1">TEXT(RTData[[#This Row],[1YT]],"#,#0.00")&amp;" &lt; "&amp;RTData[[#This Row],[Old1YT]]</f>
        <v>941.90 &lt; 847.58</v>
      </c>
    </row>
    <row r="69" spans="1:32" ht="22" customHeight="1" x14ac:dyDescent="0.3">
      <c r="A69" s="38" t="str" cm="1">
        <f t="array" aca="1" ref="A69" ca="1">_xlfn.SINGLE(RTData[suffix])&amp;_FV(RTData[[#This Row],[Company Name]],"Ticker symbol",TRUE)</f>
        <v>SAFDDD</v>
      </c>
      <c r="B69" s="38">
        <f ca="1">D99</f>
        <v>0.8700191404210893</v>
      </c>
      <c r="C69" t="e" vm="14">
        <v>#VALUE!</v>
      </c>
      <c r="D69" s="113" t="str" cm="1">
        <f t="array" aca="1" ref="D69" ca="1">_FV(RTData[[#This Row],[Company Name]],"Currency")</f>
        <v>USD</v>
      </c>
      <c r="E69" s="17" cm="1">
        <f t="array" aca="1" ref="E69" ca="1">_FV(RTData[[#This Row],[Company Name]],"Last trade time",TRUE)</f>
        <v>45966.987017685155</v>
      </c>
      <c r="F69" s="18" cm="1">
        <f t="array" aca="1" ref="F69" ca="1">_FV(RTData[[#This Row],[Company Name]],"Previous close",TRUE)</f>
        <v>2.62</v>
      </c>
      <c r="G69" s="18" cm="1">
        <f t="array" aca="1" ref="G69" ca="1">_FV(RTData[[#This Row],[Company Name]],"Open")</f>
        <v>2.5</v>
      </c>
      <c r="H69" s="18" cm="1">
        <f t="array" aca="1" ref="H69" ca="1">_FV(RTData[[#This Row],[Company Name]],"Price")</f>
        <v>2.6</v>
      </c>
      <c r="I69" s="18" cm="1">
        <f t="array" aca="1" ref="I69" ca="1">_FV(RTData[[#This Row],[Company Name]],"Low")</f>
        <v>2.4</v>
      </c>
      <c r="J69" s="18" cm="1">
        <f t="array" aca="1" ref="J69" ca="1">_FV(RTData[[#This Row],[Company Name]],"High")</f>
        <v>2.6949999999999998</v>
      </c>
      <c r="K69" s="19" cm="1">
        <f t="array" ref="K69">IFERROR(_FV(RTData[[#This Row],[Company Name]],"P/E",TRUE),99)</f>
        <v>99</v>
      </c>
      <c r="L69" s="20" cm="1">
        <f t="array" aca="1" ref="L69" ca="1">_FV(RTData[[#This Row],[Company Name]],"Change")</f>
        <v>-0.02</v>
      </c>
      <c r="M69" s="21" cm="1">
        <f t="array" aca="1" ref="M69" ca="1">_FV(RTData[[#This Row],[Company Name]],"Change (%)",TRUE)</f>
        <v>-7.6339999999999993E-3</v>
      </c>
      <c r="N69" s="18" cm="1">
        <f t="array" aca="1" ref="N69" ca="1">_FV(RTData[[#This Row],[Company Name]],"52 week low",TRUE)</f>
        <v>1.32</v>
      </c>
      <c r="O69" s="18" cm="1">
        <f t="array" aca="1" ref="O69" ca="1">_FV(RTData[[#This Row],[Company Name]],"52 week high",TRUE)</f>
        <v>4.9991000000000003</v>
      </c>
      <c r="P69" s="22" cm="1">
        <f t="array" aca="1" ref="P69" ca="1">_FV(RTData[[#This Row],[Company Name]],"Volume")</f>
        <v>5452199</v>
      </c>
      <c r="Q69" s="22" cm="1">
        <f t="array" aca="1" ref="Q69" ca="1">_FV(RTData[[#This Row],[Company Name]],"Volume average",TRUE)</f>
        <v>4450047</v>
      </c>
      <c r="R69" s="18" cm="1">
        <f t="array" aca="1" ref="R69" ca="1">_FV(RTData[[#This Row],[Company Name]],"Beta")</f>
        <v>1.8775999999999999</v>
      </c>
      <c r="S69" t="s">
        <v>24</v>
      </c>
      <c r="T69" t="s">
        <v>25</v>
      </c>
      <c r="U69" t="str" cm="1">
        <f t="array" aca="1" ref="U69" ca="1">_FV(RTData[[#This Row],[Company Name]],"Exchange abbreviation",TRUE)</f>
        <v>XNYS</v>
      </c>
      <c r="V69" s="23">
        <f ca="1">IFERROR(RTData[[#This Row],[Volume]]/RTData[[#This Row],[Volume average]],1)</f>
        <v>1.2252003181089997</v>
      </c>
      <c r="W69" s="23"/>
      <c r="X69" s="104">
        <f ca="1">_xlfn.XLOOKUP(RTData[[#This Row],[Ticker_Symbol]],TickerList!$G68:$G162,TickerList!L68:L162)</f>
        <v>3.25</v>
      </c>
      <c r="Y69" s="97">
        <f ca="1">_xlfn.XLOOKUP(RTData[[#This Row],[Ticker_Symbol]],TickerList!$G68:$G162,TickerList!M68:M162)</f>
        <v>0</v>
      </c>
      <c r="Z69" s="97" t="str">
        <f ca="1">_xlfn.XLOOKUP(RTData[[#This Row],[Ticker_Symbol]],TickerList!$G68:$G162,TickerList!N68:N162)</f>
        <v>Nov 4, 2025</v>
      </c>
      <c r="AA69" s="98">
        <f ca="1">_xlfn.XLOOKUP(RTData[[#This Row],[Ticker_Symbol]],TickerList!$G68:$G162,TickerList!O68:O162)</f>
        <v>0</v>
      </c>
      <c r="AB69" s="99">
        <v>1E-4</v>
      </c>
      <c r="AC69" s="100">
        <v>3.0000000000000001E-3</v>
      </c>
      <c r="AD69" s="86">
        <v>5.45</v>
      </c>
      <c r="AE69" s="101">
        <f ca="1">_xlfn.LET(_xlpm.New1YT,RTData[[#This Row],[1YT]],        _xlpm.Old1YT,IF(ISNUMBER(RTData[[#This Row],[Old1YT]]),RTData[[#This Row],[Old1YT]],VALUE(LEFT(RTData[[#This Row],[Old1YT]],FIND("/",RTData[[#This Row],[Old1YT]],1)-1))),       IF(OR(RTData[[#This Row],[1YT]]=0,_xlpm.Old1YT=0),0,(_xlpm.New1YT-_xlpm.Old1YT)/_xlpm.Old1YT))</f>
        <v>-0.40366972477064222</v>
      </c>
      <c r="AF69" s="101" t="str">
        <f ca="1">TEXT(RTData[[#This Row],[1YT]],"#,#0.00")&amp;" &lt; "&amp;RTData[[#This Row],[Old1YT]]</f>
        <v>3.25 &lt; 5.45</v>
      </c>
    </row>
    <row r="70" spans="1:32" x14ac:dyDescent="0.3">
      <c r="A70" s="38" t="str" cm="1">
        <f t="array" aca="1" ref="A70" ca="1">_xlfn.SINGLE(RTData[suffix])&amp;_FV(RTData[[#This Row],[Company Name]],"Ticker symbol",TRUE)</f>
        <v>SAFDIS</v>
      </c>
      <c r="B70" s="38">
        <f ca="1">D99</f>
        <v>0.8700191404210893</v>
      </c>
      <c r="C70" t="e" vm="15">
        <v>#VALUE!</v>
      </c>
      <c r="D70" s="113" t="str" cm="1">
        <f t="array" aca="1" ref="D70" ca="1">_FV(RTData[[#This Row],[Company Name]],"Currency")</f>
        <v>USD</v>
      </c>
      <c r="E70" s="17" cm="1">
        <f t="array" aca="1" ref="E70" ca="1">_FV(RTData[[#This Row],[Company Name]],"Last trade time",TRUE)</f>
        <v>45966.996612372655</v>
      </c>
      <c r="F70" s="18" cm="1">
        <f t="array" aca="1" ref="F70" ca="1">_FV(RTData[[#This Row],[Company Name]],"Previous close",TRUE)</f>
        <v>111.47</v>
      </c>
      <c r="G70" s="18" cm="1">
        <f t="array" aca="1" ref="G70" ca="1">_FV(RTData[[#This Row],[Company Name]],"Open")</f>
        <v>111.35</v>
      </c>
      <c r="H70" s="18" cm="1">
        <f t="array" aca="1" ref="H70" ca="1">_FV(RTData[[#This Row],[Company Name]],"Price")</f>
        <v>111.34</v>
      </c>
      <c r="I70" s="18" cm="1">
        <f t="array" aca="1" ref="I70" ca="1">_FV(RTData[[#This Row],[Company Name]],"Low")</f>
        <v>110.6</v>
      </c>
      <c r="J70" s="18" cm="1">
        <f t="array" aca="1" ref="J70" ca="1">_FV(RTData[[#This Row],[Company Name]],"High")</f>
        <v>111.97</v>
      </c>
      <c r="K70" s="19" cm="1">
        <f t="array" aca="1" ref="K70" ca="1">IFERROR(_FV(RTData[[#This Row],[Company Name]],"P/E",TRUE),99)</f>
        <v>17.4558</v>
      </c>
      <c r="L70" s="20" cm="1">
        <f t="array" aca="1" ref="L70" ca="1">_FV(RTData[[#This Row],[Company Name]],"Change")</f>
        <v>-0.13</v>
      </c>
      <c r="M70" s="21" cm="1">
        <f t="array" aca="1" ref="M70" ca="1">_FV(RTData[[#This Row],[Company Name]],"Change (%)",TRUE)</f>
        <v>-1.1659999999999999E-3</v>
      </c>
      <c r="N70" s="18" cm="1">
        <f t="array" aca="1" ref="N70" ca="1">_FV(RTData[[#This Row],[Company Name]],"52 week low",TRUE)</f>
        <v>80.099999999999994</v>
      </c>
      <c r="O70" s="18" cm="1">
        <f t="array" aca="1" ref="O70" ca="1">_FV(RTData[[#This Row],[Company Name]],"52 week high",TRUE)</f>
        <v>124.69</v>
      </c>
      <c r="P70" s="22" cm="1">
        <f t="array" aca="1" ref="P70" ca="1">_FV(RTData[[#This Row],[Company Name]],"Volume")</f>
        <v>5745085</v>
      </c>
      <c r="Q70" s="22" cm="1">
        <f t="array" aca="1" ref="Q70" ca="1">_FV(RTData[[#This Row],[Company Name]],"Volume average",TRUE)</f>
        <v>7629637</v>
      </c>
      <c r="R70" s="18" cm="1">
        <f t="array" aca="1" ref="R70" ca="1">_FV(RTData[[#This Row],[Company Name]],"Beta")</f>
        <v>1.4863999999999999</v>
      </c>
      <c r="S70" t="s">
        <v>24</v>
      </c>
      <c r="T70" t="s">
        <v>25</v>
      </c>
      <c r="U70" t="str" cm="1">
        <f t="array" aca="1" ref="U70" ca="1">_FV(RTData[[#This Row],[Company Name]],"Exchange abbreviation",TRUE)</f>
        <v>XNYS</v>
      </c>
      <c r="V70" s="23">
        <f ca="1">IFERROR(RTData[[#This Row],[Volume]]/RTData[[#This Row],[Volume average]],1)</f>
        <v>0.75299585026129023</v>
      </c>
      <c r="W70" s="23"/>
      <c r="X70" s="104">
        <f ca="1">_xlfn.XLOOKUP(RTData[[#This Row],[Ticker_Symbol]],TickerList!$G69:$G163,TickerList!L69:L163)</f>
        <v>134.07239999999999</v>
      </c>
      <c r="Y70" s="97">
        <f ca="1">_xlfn.XLOOKUP(RTData[[#This Row],[Ticker_Symbol]],TickerList!$G69:$G163,TickerList!M69:M163)</f>
        <v>45832</v>
      </c>
      <c r="Z70" s="97" t="str">
        <f ca="1">_xlfn.XLOOKUP(RTData[[#This Row],[Ticker_Symbol]],TickerList!$G69:$G163,TickerList!N69:N163)</f>
        <v>Nov 13, 2025</v>
      </c>
      <c r="AA70" s="98">
        <f ca="1">_xlfn.XLOOKUP(RTData[[#This Row],[Ticker_Symbol]],TickerList!$G69:$G163,TickerList!O69:O163)</f>
        <v>8.8999999999999999E-3</v>
      </c>
      <c r="AB70" s="99">
        <v>1E-4</v>
      </c>
      <c r="AC70" s="100">
        <v>3.0000000000000001E-3</v>
      </c>
      <c r="AD70" s="86">
        <v>124.75</v>
      </c>
      <c r="AE70" s="101">
        <f ca="1">_xlfn.LET(_xlpm.New1YT,RTData[[#This Row],[1YT]],        _xlpm.Old1YT,IF(ISNUMBER(RTData[[#This Row],[Old1YT]]),RTData[[#This Row],[Old1YT]],VALUE(LEFT(RTData[[#This Row],[Old1YT]],FIND("/",RTData[[#This Row],[Old1YT]],1)-1))),       IF(OR(RTData[[#This Row],[1YT]]=0,_xlpm.Old1YT=0),0,(_xlpm.New1YT-_xlpm.Old1YT)/_xlpm.Old1YT))</f>
        <v>7.472865731462916E-2</v>
      </c>
      <c r="AF70" s="101" t="str">
        <f ca="1">TEXT(RTData[[#This Row],[1YT]],"#,#0.00")&amp;" &lt; "&amp;RTData[[#This Row],[Old1YT]]</f>
        <v>134.07 &lt; 124.75</v>
      </c>
    </row>
    <row r="71" spans="1:32" x14ac:dyDescent="0.3">
      <c r="A71" s="38" t="str" cm="1">
        <f t="array" aca="1" ref="A71" ca="1">_xlfn.SINGLE(RTData[suffix])&amp;_FV(RTData[[#This Row],[Company Name]],"Ticker symbol",TRUE)</f>
        <v>SAFGM</v>
      </c>
      <c r="B71" s="38">
        <f ca="1">D99</f>
        <v>0.8700191404210893</v>
      </c>
      <c r="C71" t="e" vm="21">
        <v>#VALUE!</v>
      </c>
      <c r="D71" s="113" t="str" cm="1">
        <f t="array" aca="1" ref="D71" ca="1">_FV(RTData[[#This Row],[Company Name]],"Currency")</f>
        <v>USD</v>
      </c>
      <c r="E71" s="17" cm="1">
        <f t="array" aca="1" ref="E71" ca="1">_FV(RTData[[#This Row],[Company Name]],"Last trade time",TRUE)</f>
        <v>45966.998483610936</v>
      </c>
      <c r="F71" s="18" cm="1">
        <f t="array" aca="1" ref="F71" ca="1">_FV(RTData[[#This Row],[Company Name]],"Previous close",TRUE)</f>
        <v>66.87</v>
      </c>
      <c r="G71" s="18" cm="1">
        <f t="array" aca="1" ref="G71" ca="1">_FV(RTData[[#This Row],[Company Name]],"Open")</f>
        <v>67.040000000000006</v>
      </c>
      <c r="H71" s="18" cm="1">
        <f t="array" aca="1" ref="H71" ca="1">_FV(RTData[[#This Row],[Company Name]],"Price")</f>
        <v>68.78</v>
      </c>
      <c r="I71" s="18" cm="1">
        <f t="array" aca="1" ref="I71" ca="1">_FV(RTData[[#This Row],[Company Name]],"Low")</f>
        <v>67.040000000000006</v>
      </c>
      <c r="J71" s="18" cm="1">
        <f t="array" aca="1" ref="J71" ca="1">_FV(RTData[[#This Row],[Company Name]],"High")</f>
        <v>69.260000000000005</v>
      </c>
      <c r="K71" s="19" cm="1">
        <f t="array" aca="1" ref="K71" ca="1">IFERROR(_FV(RTData[[#This Row],[Company Name]],"P/E",TRUE),99)</f>
        <v>13.228999999999999</v>
      </c>
      <c r="L71" s="20" cm="1">
        <f t="array" aca="1" ref="L71" ca="1">_FV(RTData[[#This Row],[Company Name]],"Change")</f>
        <v>1.91</v>
      </c>
      <c r="M71" s="21" cm="1">
        <f t="array" aca="1" ref="M71" ca="1">_FV(RTData[[#This Row],[Company Name]],"Change (%)",TRUE)</f>
        <v>2.8563000000000002E-2</v>
      </c>
      <c r="N71" s="18" cm="1">
        <f t="array" aca="1" ref="N71" ca="1">_FV(RTData[[#This Row],[Company Name]],"52 week low",TRUE)</f>
        <v>41.6</v>
      </c>
      <c r="O71" s="18" cm="1">
        <f t="array" aca="1" ref="O71" ca="1">_FV(RTData[[#This Row],[Company Name]],"52 week high",TRUE)</f>
        <v>70.239999999999995</v>
      </c>
      <c r="P71" s="22" cm="1">
        <f t="array" aca="1" ref="P71" ca="1">_FV(RTData[[#This Row],[Company Name]],"Volume")</f>
        <v>7806815</v>
      </c>
      <c r="Q71" s="22" cm="1">
        <f t="array" aca="1" ref="Q71" ca="1">_FV(RTData[[#This Row],[Company Name]],"Volume average",TRUE)</f>
        <v>10651288</v>
      </c>
      <c r="R71" s="18" cm="1">
        <f t="array" aca="1" ref="R71" ca="1">_FV(RTData[[#This Row],[Company Name]],"Beta")</f>
        <v>1.3140000000000001</v>
      </c>
      <c r="S71" t="s">
        <v>24</v>
      </c>
      <c r="T71" t="s">
        <v>25</v>
      </c>
      <c r="U71" t="str" cm="1">
        <f t="array" aca="1" ref="U71" ca="1">_FV(RTData[[#This Row],[Company Name]],"Exchange abbreviation",TRUE)</f>
        <v>XNYS</v>
      </c>
      <c r="V71" s="23">
        <f ca="1">IFERROR(RTData[[#This Row],[Volume]]/RTData[[#This Row],[Volume average]],1)</f>
        <v>0.73294563061293616</v>
      </c>
      <c r="W71" s="23"/>
      <c r="X71" s="104">
        <f ca="1">_xlfn.XLOOKUP(RTData[[#This Row],[Ticker_Symbol]],TickerList!$G70:$G164,TickerList!L70:L164)</f>
        <v>73.153850000000006</v>
      </c>
      <c r="Y71" s="97">
        <f ca="1">_xlfn.XLOOKUP(RTData[[#This Row],[Ticker_Symbol]],TickerList!$G70:$G164,TickerList!M70:M164)</f>
        <v>45996</v>
      </c>
      <c r="Z71" s="97" t="str">
        <f ca="1">_xlfn.XLOOKUP(RTData[[#This Row],[Ticker_Symbol]],TickerList!$G70:$G164,TickerList!N70:N164)</f>
        <v>Oct 21, 2025</v>
      </c>
      <c r="AA71" s="98">
        <f ca="1">_xlfn.XLOOKUP(RTData[[#This Row],[Ticker_Symbol]],TickerList!$G70:$G164,TickerList!O70:O164)</f>
        <v>8.6999999999999994E-3</v>
      </c>
      <c r="AB71" s="99">
        <v>1E-4</v>
      </c>
      <c r="AC71" s="100">
        <v>3.0000000000000001E-3</v>
      </c>
      <c r="AD71" s="86">
        <v>54.06</v>
      </c>
      <c r="AE71" s="101">
        <f ca="1">_xlfn.LET(_xlpm.New1YT,RTData[[#This Row],[1YT]],        _xlpm.Old1YT,IF(ISNUMBER(RTData[[#This Row],[Old1YT]]),RTData[[#This Row],[Old1YT]],VALUE(LEFT(RTData[[#This Row],[Old1YT]],FIND("/",RTData[[#This Row],[Old1YT]],1)-1))),       IF(OR(RTData[[#This Row],[1YT]]=0,_xlpm.Old1YT=0),0,(_xlpm.New1YT-_xlpm.Old1YT)/_xlpm.Old1YT))</f>
        <v>0.35319737328893824</v>
      </c>
      <c r="AF71" s="101" t="str">
        <f ca="1">TEXT(RTData[[#This Row],[1YT]],"#,#0.00")&amp;" &lt; "&amp;RTData[[#This Row],[Old1YT]]</f>
        <v>73.15 &lt; 54.06</v>
      </c>
    </row>
    <row r="72" spans="1:32" x14ac:dyDescent="0.3">
      <c r="A72" s="38" t="str" cm="1">
        <f t="array" aca="1" ref="A72" ca="1">_xlfn.SINGLE(RTData[suffix])&amp;_FV(RTData[[#This Row],[Company Name]],"Ticker symbol",TRUE)</f>
        <v>SAFIAG</v>
      </c>
      <c r="B72" s="38">
        <f ca="1">D101/100</f>
        <v>1.1358473421172195E-2</v>
      </c>
      <c r="C72" t="e" vm="24">
        <v>#VALUE!</v>
      </c>
      <c r="D72" s="113" t="str" cm="1">
        <f t="array" aca="1" ref="D72" ca="1">_FV(RTData[[#This Row],[Company Name]],"Currency")</f>
        <v>GBp</v>
      </c>
      <c r="E72" s="17" cm="1">
        <f t="array" aca="1" ref="E72" ca="1">_FV(RTData[[#This Row],[Company Name]],"Last trade time",TRUE)</f>
        <v>45966.714005335154</v>
      </c>
      <c r="F72" s="18" cm="1">
        <f t="array" aca="1" ref="F72" ca="1">_FV(RTData[[#This Row],[Company Name]],"Previous close",TRUE)</f>
        <v>422.6</v>
      </c>
      <c r="G72" s="18" cm="1">
        <f t="array" aca="1" ref="G72" ca="1">_FV(RTData[[#This Row],[Company Name]],"Open")</f>
        <v>421.1</v>
      </c>
      <c r="H72" s="18" cm="1">
        <f t="array" aca="1" ref="H72" ca="1">_FV(RTData[[#This Row],[Company Name]],"Price")</f>
        <v>425.2</v>
      </c>
      <c r="I72" s="18" cm="1">
        <f t="array" aca="1" ref="I72" ca="1">_FV(RTData[[#This Row],[Company Name]],"Low")</f>
        <v>419.5</v>
      </c>
      <c r="J72" s="18" cm="1">
        <f t="array" aca="1" ref="J72" ca="1">_FV(RTData[[#This Row],[Company Name]],"High")</f>
        <v>426.1</v>
      </c>
      <c r="K72" s="19" cm="1">
        <f t="array" aca="1" ref="K72" ca="1">IFERROR(_FV(RTData[[#This Row],[Company Name]],"P/E",TRUE),99)</f>
        <v>7.6527000000000003</v>
      </c>
      <c r="L72" s="20" cm="1">
        <f t="array" aca="1" ref="L72" ca="1">_FV(RTData[[#This Row],[Company Name]],"Change")</f>
        <v>2.6</v>
      </c>
      <c r="M72" s="21" cm="1">
        <f t="array" aca="1" ref="M72" ca="1">_FV(RTData[[#This Row],[Company Name]],"Change (%)",TRUE)</f>
        <v>6.1519999999999995E-3</v>
      </c>
      <c r="N72" s="18" cm="1">
        <f t="array" aca="1" ref="N72" ca="1">_FV(RTData[[#This Row],[Company Name]],"52 week low",TRUE)</f>
        <v>207.6</v>
      </c>
      <c r="O72" s="18" cm="1">
        <f t="array" aca="1" ref="O72" ca="1">_FV(RTData[[#This Row],[Company Name]],"52 week high",TRUE)</f>
        <v>429.3</v>
      </c>
      <c r="P72" s="22" cm="1">
        <f t="array" aca="1" ref="P72" ca="1">_FV(RTData[[#This Row],[Company Name]],"Volume")</f>
        <v>10087501</v>
      </c>
      <c r="Q72" s="22" cm="1">
        <f t="array" aca="1" ref="Q72" ca="1">_FV(RTData[[#This Row],[Company Name]],"Volume average",TRUE)</f>
        <v>11911510</v>
      </c>
      <c r="R72" s="18" cm="1">
        <f t="array" aca="1" ref="R72" ca="1">_FV(RTData[[#This Row],[Company Name]],"Beta")</f>
        <v>2.2967</v>
      </c>
      <c r="S72" t="s">
        <v>24</v>
      </c>
      <c r="T72" t="s">
        <v>25</v>
      </c>
      <c r="U72" t="str" cm="1">
        <f t="array" aca="1" ref="U72" ca="1">_FV(RTData[[#This Row],[Company Name]],"Exchange abbreviation",TRUE)</f>
        <v>XLON</v>
      </c>
      <c r="V72" s="23">
        <f ca="1">IFERROR(RTData[[#This Row],[Volume]]/RTData[[#This Row],[Volume average]],1)</f>
        <v>0.84687004418415468</v>
      </c>
      <c r="W72" s="23"/>
      <c r="X72" s="104">
        <f ca="1">_xlfn.XLOOKUP(RTData[[#This Row],[Ticker_Symbol]],TickerList!$G71:$G165,TickerList!L71:L165)</f>
        <v>464.0942</v>
      </c>
      <c r="Y72" s="97">
        <f ca="1">_xlfn.XLOOKUP(RTData[[#This Row],[Ticker_Symbol]],TickerList!$G71:$G165,TickerList!M71:M165)</f>
        <v>45834</v>
      </c>
      <c r="Z72" s="97">
        <f ca="1">_xlfn.XLOOKUP(RTData[[#This Row],[Ticker_Symbol]],TickerList!$G71:$G165,TickerList!N71:N165)</f>
        <v>0</v>
      </c>
      <c r="AA72" s="98">
        <f ca="1">_xlfn.XLOOKUP(RTData[[#This Row],[Ticker_Symbol]],TickerList!$G71:$G165,TickerList!O71:O165)</f>
        <v>1.83E-2</v>
      </c>
      <c r="AB72" s="99">
        <v>1E-4</v>
      </c>
      <c r="AC72" s="100">
        <v>3.0000000000000001E-3</v>
      </c>
      <c r="AD72" s="86">
        <v>293.75</v>
      </c>
      <c r="AE72" s="101">
        <f ca="1">_xlfn.LET(_xlpm.New1YT,RTData[[#This Row],[1YT]],        _xlpm.Old1YT,IF(ISNUMBER(RTData[[#This Row],[Old1YT]]),RTData[[#This Row],[Old1YT]],VALUE(LEFT(RTData[[#This Row],[Old1YT]],FIND("/",RTData[[#This Row],[Old1YT]],1)-1))),       IF(OR(RTData[[#This Row],[1YT]]=0,_xlpm.Old1YT=0),0,(_xlpm.New1YT-_xlpm.Old1YT)/_xlpm.Old1YT))</f>
        <v>0.57989514893617022</v>
      </c>
      <c r="AF72" s="101" t="str">
        <f ca="1">TEXT(RTData[[#This Row],[1YT]],"#,#0.00")&amp;" &lt; "&amp;RTData[[#This Row],[Old1YT]]</f>
        <v>464.09 &lt; 293.75</v>
      </c>
    </row>
    <row r="73" spans="1:32" x14ac:dyDescent="0.3">
      <c r="A73" s="38" t="str" cm="1">
        <f t="array" aca="1" ref="A73" ca="1">_xlfn.SINGLE(RTData[suffix])&amp;_FV(RTData[[#This Row],[Company Name]],"Ticker symbol",TRUE)</f>
        <v>SAFMRNA</v>
      </c>
      <c r="B73" s="38">
        <f ca="1">D99</f>
        <v>0.8700191404210893</v>
      </c>
      <c r="C73" t="e" vm="28">
        <v>#VALUE!</v>
      </c>
      <c r="D73" s="113" t="str" cm="1">
        <f t="array" aca="1" ref="D73" ca="1">_FV(RTData[[#This Row],[Company Name]],"Currency")</f>
        <v>USD</v>
      </c>
      <c r="E73" s="17" cm="1">
        <f t="array" aca="1" ref="E73" ca="1">_FV(RTData[[#This Row],[Company Name]],"Last trade time",TRUE)</f>
        <v>45966.99960111094</v>
      </c>
      <c r="F73" s="18" cm="1">
        <f t="array" aca="1" ref="F73" ca="1">_FV(RTData[[#This Row],[Company Name]],"Previous close",TRUE)</f>
        <v>23.75</v>
      </c>
      <c r="G73" s="18" cm="1">
        <f t="array" aca="1" ref="G73" ca="1">_FV(RTData[[#This Row],[Company Name]],"Open")</f>
        <v>23.914999999999999</v>
      </c>
      <c r="H73" s="18" cm="1">
        <f t="array" aca="1" ref="H73" ca="1">_FV(RTData[[#This Row],[Company Name]],"Price")</f>
        <v>23.56</v>
      </c>
      <c r="I73" s="18" cm="1">
        <f t="array" aca="1" ref="I73" ca="1">_FV(RTData[[#This Row],[Company Name]],"Low")</f>
        <v>23.48</v>
      </c>
      <c r="J73" s="18" cm="1">
        <f t="array" aca="1" ref="J73" ca="1">_FV(RTData[[#This Row],[Company Name]],"High")</f>
        <v>24.04</v>
      </c>
      <c r="K73" s="19" cm="1">
        <f t="array" aca="1" ref="K73" ca="1">IFERROR(_FV(RTData[[#This Row],[Company Name]],"P/E",TRUE),99)</f>
        <v>0</v>
      </c>
      <c r="L73" s="20" cm="1">
        <f t="array" aca="1" ref="L73" ca="1">_FV(RTData[[#This Row],[Company Name]],"Change")</f>
        <v>-0.19</v>
      </c>
      <c r="M73" s="21" cm="1">
        <f t="array" aca="1" ref="M73" ca="1">_FV(RTData[[#This Row],[Company Name]],"Change (%)",TRUE)</f>
        <v>-8.0000000000000002E-3</v>
      </c>
      <c r="N73" s="18" cm="1">
        <f t="array" aca="1" ref="N73" ca="1">_FV(RTData[[#This Row],[Company Name]],"52 week low",TRUE)</f>
        <v>23.15</v>
      </c>
      <c r="O73" s="18" cm="1">
        <f t="array" aca="1" ref="O73" ca="1">_FV(RTData[[#This Row],[Company Name]],"52 week high",TRUE)</f>
        <v>56.695</v>
      </c>
      <c r="P73" s="22" cm="1">
        <f t="array" aca="1" ref="P73" ca="1">_FV(RTData[[#This Row],[Company Name]],"Volume")</f>
        <v>11126437</v>
      </c>
      <c r="Q73" s="22" cm="1">
        <f t="array" aca="1" ref="Q73" ca="1">_FV(RTData[[#This Row],[Company Name]],"Volume average",TRUE)</f>
        <v>11157159</v>
      </c>
      <c r="R73" s="18" cm="1">
        <f t="array" aca="1" ref="R73" ca="1">_FV(RTData[[#This Row],[Company Name]],"Beta")</f>
        <v>1.1276999999999999</v>
      </c>
      <c r="S73" t="s">
        <v>24</v>
      </c>
      <c r="T73" t="s">
        <v>25</v>
      </c>
      <c r="U73" t="str" cm="1">
        <f t="array" aca="1" ref="U73" ca="1">_FV(RTData[[#This Row],[Company Name]],"Exchange abbreviation",TRUE)</f>
        <v>XNAS</v>
      </c>
      <c r="V73" s="23">
        <f ca="1">IFERROR(RTData[[#This Row],[Volume]]/RTData[[#This Row],[Volume average]],1)</f>
        <v>0.99724643164088633</v>
      </c>
      <c r="W73" s="23"/>
      <c r="X73" s="104">
        <f ca="1">_xlfn.XLOOKUP(RTData[[#This Row],[Ticker_Symbol]],TickerList!$G72:$G166,TickerList!L72:L166)</f>
        <v>40.299999999999997</v>
      </c>
      <c r="Y73" s="97">
        <f ca="1">_xlfn.XLOOKUP(RTData[[#This Row],[Ticker_Symbol]],TickerList!$G72:$G166,TickerList!M72:M166)</f>
        <v>0</v>
      </c>
      <c r="Z73" s="97" t="str">
        <f ca="1">_xlfn.XLOOKUP(RTData[[#This Row],[Ticker_Symbol]],TickerList!$G72:$G166,TickerList!N72:N166)</f>
        <v>Nov 6, 2025</v>
      </c>
      <c r="AA73" s="98">
        <f ca="1">_xlfn.XLOOKUP(RTData[[#This Row],[Ticker_Symbol]],TickerList!$G72:$G166,TickerList!O72:O166)</f>
        <v>0</v>
      </c>
      <c r="AB73" s="99">
        <v>1E-4</v>
      </c>
      <c r="AC73" s="100">
        <v>3.0000000000000001E-3</v>
      </c>
      <c r="AD73" s="86">
        <v>99.83</v>
      </c>
      <c r="AE73" s="101">
        <f ca="1">_xlfn.LET(_xlpm.New1YT,RTData[[#This Row],[1YT]],        _xlpm.Old1YT,IF(ISNUMBER(RTData[[#This Row],[Old1YT]]),RTData[[#This Row],[Old1YT]],VALUE(LEFT(RTData[[#This Row],[Old1YT]],FIND("/",RTData[[#This Row],[Old1YT]],1)-1))),       IF(OR(RTData[[#This Row],[1YT]]=0,_xlpm.Old1YT=0),0,(_xlpm.New1YT-_xlpm.Old1YT)/_xlpm.Old1YT))</f>
        <v>-0.59631373334668936</v>
      </c>
      <c r="AF73" s="101" t="str">
        <f ca="1">TEXT(RTData[[#This Row],[1YT]],"#,#0.00")&amp;" &lt; "&amp;RTData[[#This Row],[Old1YT]]</f>
        <v>40.30 &lt; 99.83</v>
      </c>
    </row>
    <row r="74" spans="1:32" x14ac:dyDescent="0.3">
      <c r="A74" s="38" t="str" cm="1">
        <f t="array" aca="1" ref="A74" ca="1">_xlfn.SINGLE(RTData[suffix])&amp;_FV(RTData[[#This Row],[Company Name]],"Ticker symbol",TRUE)</f>
        <v>BLNK</v>
      </c>
      <c r="B74" s="38">
        <f ca="1">D99</f>
        <v>0.8700191404210893</v>
      </c>
      <c r="C74" t="e" vm="56">
        <v>#VALUE!</v>
      </c>
      <c r="D74" s="113" t="str" cm="1">
        <f t="array" aca="1" ref="D74" ca="1">_FV(RTData[[#This Row],[Company Name]],"Currency")</f>
        <v>USD</v>
      </c>
      <c r="E74" s="17" cm="1">
        <f t="array" aca="1" ref="E74" ca="1">_FV(RTData[[#This Row],[Company Name]],"Last trade time",TRUE)</f>
        <v>45966.999565392965</v>
      </c>
      <c r="F74" s="18" cm="1">
        <f t="array" aca="1" ref="F74" ca="1">_FV(RTData[[#This Row],[Company Name]],"Previous close",TRUE)</f>
        <v>1.48</v>
      </c>
      <c r="G74" s="18" cm="1">
        <f t="array" aca="1" ref="G74" ca="1">_FV(RTData[[#This Row],[Company Name]],"Open")</f>
        <v>1.5</v>
      </c>
      <c r="H74" s="18" cm="1">
        <f t="array" aca="1" ref="H74" ca="1">_FV(RTData[[#This Row],[Company Name]],"Price")</f>
        <v>1.64</v>
      </c>
      <c r="I74" s="18" cm="1">
        <f t="array" aca="1" ref="I74" ca="1">_FV(RTData[[#This Row],[Company Name]],"Low")</f>
        <v>1.5</v>
      </c>
      <c r="J74" s="18" cm="1">
        <f t="array" aca="1" ref="J74" ca="1">_FV(RTData[[#This Row],[Company Name]],"High")</f>
        <v>1.66</v>
      </c>
      <c r="K74" s="19" cm="1">
        <f t="array" aca="1" ref="K74" ca="1">IFERROR(_FV(RTData[[#This Row],[Company Name]],"P/E",TRUE),99)</f>
        <v>0</v>
      </c>
      <c r="L74" s="20" cm="1">
        <f t="array" aca="1" ref="L74" ca="1">_FV(RTData[[#This Row],[Company Name]],"Change")</f>
        <v>0.16</v>
      </c>
      <c r="M74" s="21" cm="1">
        <f t="array" aca="1" ref="M74" ca="1">_FV(RTData[[#This Row],[Company Name]],"Change (%)",TRUE)</f>
        <v>0.10810800000000001</v>
      </c>
      <c r="N74" s="18" cm="1">
        <f t="array" aca="1" ref="N74" ca="1">_FV(RTData[[#This Row],[Company Name]],"52 week low",TRUE)</f>
        <v>0.63009999999999999</v>
      </c>
      <c r="O74" s="18" cm="1">
        <f t="array" aca="1" ref="O74" ca="1">_FV(RTData[[#This Row],[Company Name]],"52 week high",TRUE)</f>
        <v>2.6499000000000001</v>
      </c>
      <c r="P74" s="22" cm="1">
        <f t="array" aca="1" ref="P74" ca="1">_FV(RTData[[#This Row],[Company Name]],"Volume")</f>
        <v>2549783</v>
      </c>
      <c r="Q74" s="22" cm="1">
        <f t="array" aca="1" ref="Q74" ca="1">_FV(RTData[[#This Row],[Company Name]],"Volume average",TRUE)</f>
        <v>5997430</v>
      </c>
      <c r="R74" s="18" cm="1">
        <f t="array" aca="1" ref="R74" ca="1">_FV(RTData[[#This Row],[Company Name]],"Beta")</f>
        <v>1.8866000000000001</v>
      </c>
      <c r="T74" t="s">
        <v>25</v>
      </c>
      <c r="U74" t="str" cm="1">
        <f t="array" aca="1" ref="U74" ca="1">_FV(RTData[[#This Row],[Company Name]],"Exchange abbreviation",TRUE)</f>
        <v>XNAS</v>
      </c>
      <c r="V74" s="23">
        <f ca="1">IFERROR(RTData[[#This Row],[Volume]]/RTData[[#This Row],[Volume average]],1)</f>
        <v>0.4251459375099001</v>
      </c>
      <c r="W74" s="23"/>
      <c r="X74" s="104">
        <f ca="1">_xlfn.XLOOKUP(RTData[[#This Row],[Ticker_Symbol]],TickerList!$G73:$G167,TickerList!L73:L167)</f>
        <v>2.4</v>
      </c>
      <c r="Y74" s="97">
        <f ca="1">_xlfn.XLOOKUP(RTData[[#This Row],[Ticker_Symbol]],TickerList!$G73:$G167,TickerList!M73:M167)</f>
        <v>0</v>
      </c>
      <c r="Z74" s="97" t="str">
        <f ca="1">_xlfn.XLOOKUP(RTData[[#This Row],[Ticker_Symbol]],TickerList!$G73:$G167,TickerList!N73:N167)</f>
        <v>Nov 6, 2025</v>
      </c>
      <c r="AA74" s="98">
        <f ca="1">_xlfn.XLOOKUP(RTData[[#This Row],[Ticker_Symbol]],TickerList!$G73:$G167,TickerList!O73:O167)</f>
        <v>0</v>
      </c>
      <c r="AB74" s="99">
        <v>1E-4</v>
      </c>
      <c r="AC74" s="100">
        <v>3.0000000000000001E-3</v>
      </c>
      <c r="AD74" s="86" t="s">
        <v>60</v>
      </c>
      <c r="AE74" s="101">
        <f ca="1">_xlfn.LET(_xlpm.New1YT,RTData[[#This Row],[1YT]],        _xlpm.Old1YT,IF(ISNUMBER(RTData[[#This Row],[Old1YT]]),RTData[[#This Row],[Old1YT]],VALUE(LEFT(RTData[[#This Row],[Old1YT]],FIND("/",RTData[[#This Row],[Old1YT]],1)-1))),       IF(OR(RTData[[#This Row],[1YT]]=0,_xlpm.Old1YT=0),0,(_xlpm.New1YT-_xlpm.Old1YT)/_xlpm.Old1YT))</f>
        <v>6.6666666666666624E-2</v>
      </c>
      <c r="AF74" s="101" t="str">
        <f ca="1">TEXT(RTData[[#This Row],[1YT]],"#,#0.00")&amp;" &lt; "&amp;RTData[[#This Row],[Old1YT]]</f>
        <v>2.40 &lt; 2.25/3.94</v>
      </c>
    </row>
    <row r="75" spans="1:32" x14ac:dyDescent="0.3">
      <c r="A75" s="38" t="str" cm="1">
        <f t="array" aca="1" ref="A75" ca="1">_xlfn.SINGLE(RTData[suffix])&amp;_FV(RTData[[#This Row],[Company Name]],"Ticker symbol",TRUE)</f>
        <v>ENI</v>
      </c>
      <c r="B75" s="38">
        <v>1</v>
      </c>
      <c r="C75" t="e" vm="53">
        <v>#VALUE!</v>
      </c>
      <c r="D75" s="113" t="str" cm="1">
        <f t="array" aca="1" ref="D75" ca="1">_FV(RTData[[#This Row],[Company Name]],"Currency")</f>
        <v>EUR</v>
      </c>
      <c r="E75" s="17" cm="1">
        <f t="array" aca="1" ref="E75" ca="1">_FV(RTData[[#This Row],[Company Name]],"Last trade time",TRUE)</f>
        <v>45966.708333333336</v>
      </c>
      <c r="F75" s="18" cm="1">
        <f t="array" aca="1" ref="F75" ca="1">_FV(RTData[[#This Row],[Company Name]],"Previous close",TRUE)</f>
        <v>15.91</v>
      </c>
      <c r="G75" s="18" cm="1">
        <f t="array" aca="1" ref="G75" ca="1">_FV(RTData[[#This Row],[Company Name]],"Open")</f>
        <v>15.848000000000001</v>
      </c>
      <c r="H75" s="18" cm="1">
        <f t="array" aca="1" ref="H75" ca="1">_FV(RTData[[#This Row],[Company Name]],"Price")</f>
        <v>15.968</v>
      </c>
      <c r="I75" s="18" cm="1">
        <f t="array" aca="1" ref="I75" ca="1">_FV(RTData[[#This Row],[Company Name]],"Low")</f>
        <v>15.832000000000001</v>
      </c>
      <c r="J75" s="18" cm="1">
        <f t="array" aca="1" ref="J75" ca="1">_FV(RTData[[#This Row],[Company Name]],"High")</f>
        <v>15.986000000000001</v>
      </c>
      <c r="K75" s="19" cm="1">
        <f t="array" aca="1" ref="K75" ca="1">IFERROR(_FV(RTData[[#This Row],[Company Name]],"P/E",TRUE),99)</f>
        <v>17.634499999999999</v>
      </c>
      <c r="L75" s="20" cm="1">
        <f t="array" aca="1" ref="L75" ca="1">_FV(RTData[[#This Row],[Company Name]],"Change")</f>
        <v>5.8000000000000003E-2</v>
      </c>
      <c r="M75" s="21" cm="1">
        <f t="array" aca="1" ref="M75" ca="1">_FV(RTData[[#This Row],[Company Name]],"Change (%)",TRUE)</f>
        <v>3.6459999999999999E-3</v>
      </c>
      <c r="N75" s="18" cm="1">
        <f t="array" aca="1" ref="N75" ca="1">_FV(RTData[[#This Row],[Company Name]],"52 week low",TRUE)</f>
        <v>11.01</v>
      </c>
      <c r="O75" s="18" cm="1">
        <f t="array" aca="1" ref="O75" ca="1">_FV(RTData[[#This Row],[Company Name]],"52 week high",TRUE)</f>
        <v>16.11</v>
      </c>
      <c r="P75" s="22" cm="1">
        <f t="array" aca="1" ref="P75" ca="1">_FV(RTData[[#This Row],[Company Name]],"Volume")</f>
        <v>7194438</v>
      </c>
      <c r="Q75" s="22" cm="1">
        <f t="array" aca="1" ref="Q75" ca="1">_FV(RTData[[#This Row],[Company Name]],"Volume average",TRUE)</f>
        <v>12662660</v>
      </c>
      <c r="R75" s="18" cm="1">
        <f t="array" aca="1" ref="R75" ca="1">_FV(RTData[[#This Row],[Company Name]],"Beta")</f>
        <v>0.83050000000000002</v>
      </c>
      <c r="T75" t="s">
        <v>25</v>
      </c>
      <c r="U75" t="str" cm="1">
        <f t="array" aca="1" ref="U75" ca="1">_FV(RTData[[#This Row],[Company Name]],"Exchange abbreviation",TRUE)</f>
        <v>XMIL</v>
      </c>
      <c r="V75" s="23">
        <f ca="1">IFERROR(RTData[[#This Row],[Volume]]/RTData[[#This Row],[Volume average]],1)</f>
        <v>0.56816166587431072</v>
      </c>
      <c r="W75" s="23"/>
      <c r="X75" s="104">
        <f ca="1">_xlfn.XLOOKUP(RTData[[#This Row],[Ticker_Symbol]],TickerList!$G74:$G168,TickerList!L74:L168)</f>
        <v>16.122730000000001</v>
      </c>
      <c r="Y75" s="97">
        <f ca="1">_xlfn.XLOOKUP(RTData[[#This Row],[Ticker_Symbol]],TickerList!$G74:$G168,TickerList!M74:M168)</f>
        <v>45985</v>
      </c>
      <c r="Z75" s="97">
        <f ca="1">_xlfn.XLOOKUP(RTData[[#This Row],[Ticker_Symbol]],TickerList!$G74:$G168,TickerList!N74:N168)</f>
        <v>0</v>
      </c>
      <c r="AA75" s="98">
        <f ca="1">_xlfn.XLOOKUP(RTData[[#This Row],[Ticker_Symbol]],TickerList!$G74:$G168,TickerList!O74:O168)</f>
        <v>6.5199999999999994E-2</v>
      </c>
      <c r="AB75" s="99"/>
      <c r="AC75" s="100">
        <v>3.0000000000000001E-3</v>
      </c>
      <c r="AD75" s="86" t="s">
        <v>67</v>
      </c>
      <c r="AE75" s="101">
        <f ca="1">_xlfn.LET(_xlpm.New1YT,RTData[[#This Row],[1YT]],        _xlpm.Old1YT,IF(ISNUMBER(RTData[[#This Row],[Old1YT]]),RTData[[#This Row],[Old1YT]],VALUE(LEFT(RTData[[#This Row],[Old1YT]],FIND("/",RTData[[#This Row],[Old1YT]],1)-1))),       IF(OR(RTData[[#This Row],[1YT]]=0,_xlpm.Old1YT=0),0,(_xlpm.New1YT-_xlpm.Old1YT)/_xlpm.Old1YT))</f>
        <v>9.6038749150237912E-2</v>
      </c>
      <c r="AF75" s="101" t="str">
        <f ca="1">TEXT(RTData[[#This Row],[1YT]],"#,#0.00")&amp;" &lt; "&amp;RTData[[#This Row],[Old1YT]]</f>
        <v>16.12 &lt; 14.71/14.81/16.46</v>
      </c>
    </row>
    <row r="76" spans="1:32" ht="22" customHeight="1" x14ac:dyDescent="0.3">
      <c r="A76" s="38" t="str" cm="1">
        <f t="array" aca="1" ref="A76" ca="1">_xlfn.SINGLE(RTData[suffix])&amp;_FV(RTData[[#This Row],[Company Name]],"Ticker symbol",TRUE)</f>
        <v>EZJ</v>
      </c>
      <c r="B76" s="15">
        <f ca="1">D101/100</f>
        <v>1.1358473421172195E-2</v>
      </c>
      <c r="C76" t="e" vm="57">
        <v>#VALUE!</v>
      </c>
      <c r="D76" s="113" t="str" cm="1">
        <f t="array" aca="1" ref="D76" ca="1">_FV(RTData[[#This Row],[Company Name]],"Currency")</f>
        <v>GBp</v>
      </c>
      <c r="E76" s="17" cm="1">
        <f t="array" aca="1" ref="E76" ca="1">_FV(RTData[[#This Row],[Company Name]],"Last trade time",TRUE)</f>
        <v>45966.680477742972</v>
      </c>
      <c r="F76" s="18" cm="1">
        <f t="array" aca="1" ref="F76" ca="1">_FV(RTData[[#This Row],[Company Name]],"Previous close",TRUE)</f>
        <v>480.3</v>
      </c>
      <c r="G76" s="18" cm="1">
        <f t="array" aca="1" ref="G76" ca="1">_FV(RTData[[#This Row],[Company Name]],"Open")</f>
        <v>478.3</v>
      </c>
      <c r="H76" s="18" cm="1">
        <f t="array" aca="1" ref="H76" ca="1">_FV(RTData[[#This Row],[Company Name]],"Price")</f>
        <v>484.1</v>
      </c>
      <c r="I76" s="18" cm="1">
        <f t="array" aca="1" ref="I76" ca="1">_FV(RTData[[#This Row],[Company Name]],"Low")</f>
        <v>478.3</v>
      </c>
      <c r="J76" s="18" cm="1">
        <f t="array" aca="1" ref="J76" ca="1">_FV(RTData[[#This Row],[Company Name]],"High")</f>
        <v>487.3</v>
      </c>
      <c r="K76" s="19" cm="1">
        <f t="array" aca="1" ref="K76" ca="1">IFERROR(_FV(RTData[[#This Row],[Company Name]],"P/E",TRUE),99)</f>
        <v>8.7754999999999992</v>
      </c>
      <c r="L76" s="20" cm="1">
        <f t="array" aca="1" ref="L76" ca="1">_FV(RTData[[#This Row],[Company Name]],"Change")</f>
        <v>3.8</v>
      </c>
      <c r="M76" s="21" cm="1">
        <f t="array" aca="1" ref="M76" ca="1">_FV(RTData[[#This Row],[Company Name]],"Change (%)",TRUE)</f>
        <v>7.9120000000000006E-3</v>
      </c>
      <c r="N76" s="18" cm="1">
        <f t="array" aca="1" ref="N76" ca="1">_FV(RTData[[#This Row],[Company Name]],"52 week low",TRUE)</f>
        <v>401.05</v>
      </c>
      <c r="O76" s="18" cm="1">
        <f t="array" aca="1" ref="O76" ca="1">_FV(RTData[[#This Row],[Company Name]],"52 week high",TRUE)</f>
        <v>594</v>
      </c>
      <c r="P76" s="22" cm="1">
        <f t="array" aca="1" ref="P76" ca="1">_FV(RTData[[#This Row],[Company Name]],"Volume")</f>
        <v>2648697</v>
      </c>
      <c r="Q76" s="22" cm="1">
        <f t="array" aca="1" ref="Q76" ca="1">_FV(RTData[[#This Row],[Company Name]],"Volume average",TRUE)</f>
        <v>3502610</v>
      </c>
      <c r="R76" s="18" cm="1">
        <f t="array" aca="1" ref="R76" ca="1">_FV(RTData[[#This Row],[Company Name]],"Beta")</f>
        <v>2.2376</v>
      </c>
      <c r="T76" t="s">
        <v>25</v>
      </c>
      <c r="U76" t="str" cm="1">
        <f t="array" aca="1" ref="U76" ca="1">_FV(RTData[[#This Row],[Company Name]],"Exchange abbreviation",TRUE)</f>
        <v>XLON</v>
      </c>
      <c r="V76" s="23">
        <f ca="1">IFERROR(RTData[[#This Row],[Volume]]/RTData[[#This Row],[Volume average]],1)</f>
        <v>0.75620665732125469</v>
      </c>
      <c r="W76" s="23"/>
      <c r="X76" s="104">
        <f ca="1">_xlfn.XLOOKUP(RTData[[#This Row],[Ticker_Symbol]],TickerList!$G75:$G169,TickerList!L75:L169)</f>
        <v>626.25</v>
      </c>
      <c r="Y76" s="97">
        <f ca="1">_xlfn.XLOOKUP(RTData[[#This Row],[Ticker_Symbol]],TickerList!$G75:$G169,TickerList!M75:M169)</f>
        <v>45708</v>
      </c>
      <c r="Z76" s="97">
        <f ca="1">_xlfn.XLOOKUP(RTData[[#This Row],[Ticker_Symbol]],TickerList!$G75:$G169,TickerList!N75:N169)</f>
        <v>0</v>
      </c>
      <c r="AA76" s="98">
        <f ca="1">_xlfn.XLOOKUP(RTData[[#This Row],[Ticker_Symbol]],TickerList!$G75:$G169,TickerList!O75:O169)</f>
        <v>2.5000000000000001E-2</v>
      </c>
      <c r="AB76" s="99"/>
      <c r="AC76" s="100">
        <v>3.0000000000000001E-3</v>
      </c>
      <c r="AD76" s="86" t="s">
        <v>68</v>
      </c>
      <c r="AE76" s="101">
        <f ca="1">_xlfn.LET(_xlpm.New1YT,RTData[[#This Row],[1YT]],        _xlpm.Old1YT,IF(ISNUMBER(RTData[[#This Row],[Old1YT]]),RTData[[#This Row],[Old1YT]],VALUE(LEFT(RTData[[#This Row],[Old1YT]],FIND("/",RTData[[#This Row],[Old1YT]],1)-1))),       IF(OR(RTData[[#This Row],[1YT]]=0,_xlpm.Old1YT=0),0,(_xlpm.New1YT-_xlpm.Old1YT)/_xlpm.Old1YT))</f>
        <v>-0.1019058955127561</v>
      </c>
      <c r="AF76" s="101" t="str">
        <f ca="1">TEXT(RTData[[#This Row],[1YT]],"#,#0.00")&amp;" &lt; "&amp;RTData[[#This Row],[Old1YT]]</f>
        <v>626.25 &lt; 697.31/682.94</v>
      </c>
    </row>
    <row r="77" spans="1:32" ht="22" customHeight="1" x14ac:dyDescent="0.3">
      <c r="A77" s="38" t="str" cm="1">
        <f t="array" aca="1" ref="A77" ca="1">_xlfn.SINGLE(RTData[suffix])&amp;_FV(RTData[[#This Row],[Company Name]],"Ticker symbol",TRUE)</f>
        <v>F</v>
      </c>
      <c r="B77" s="38">
        <f ca="1">D99</f>
        <v>0.8700191404210893</v>
      </c>
      <c r="C77" t="e" vm="58">
        <v>#VALUE!</v>
      </c>
      <c r="D77" s="113" t="str" cm="1">
        <f t="array" aca="1" ref="D77" ca="1">_FV(RTData[[#This Row],[Company Name]],"Currency")</f>
        <v>USD</v>
      </c>
      <c r="E77" s="17" cm="1">
        <f t="array" aca="1" ref="E77" ca="1">_FV(RTData[[#This Row],[Company Name]],"Last trade time",TRUE)</f>
        <v>45967.000503599222</v>
      </c>
      <c r="F77" s="18" cm="1">
        <f t="array" aca="1" ref="F77" ca="1">_FV(RTData[[#This Row],[Company Name]],"Previous close",TRUE)</f>
        <v>12.79</v>
      </c>
      <c r="G77" s="18" cm="1">
        <f t="array" aca="1" ref="G77" ca="1">_FV(RTData[[#This Row],[Company Name]],"Open")</f>
        <v>12.92</v>
      </c>
      <c r="H77" s="18" cm="1">
        <f t="array" aca="1" ref="H77" ca="1">_FV(RTData[[#This Row],[Company Name]],"Price")</f>
        <v>13.135</v>
      </c>
      <c r="I77" s="18" cm="1">
        <f t="array" aca="1" ref="I77" ca="1">_FV(RTData[[#This Row],[Company Name]],"Low")</f>
        <v>12.88</v>
      </c>
      <c r="J77" s="18" cm="1">
        <f t="array" aca="1" ref="J77" ca="1">_FV(RTData[[#This Row],[Company Name]],"High")</f>
        <v>13.305</v>
      </c>
      <c r="K77" s="19" cm="1">
        <f t="array" aca="1" ref="K77" ca="1">IFERROR(_FV(RTData[[#This Row],[Company Name]],"P/E",TRUE),99)</f>
        <v>11.279500000000001</v>
      </c>
      <c r="L77" s="20" cm="1">
        <f t="array" aca="1" ref="L77" ca="1">_FV(RTData[[#This Row],[Company Name]],"Change")</f>
        <v>0.34499999999999997</v>
      </c>
      <c r="M77" s="21" cm="1">
        <f t="array" aca="1" ref="M77" ca="1">_FV(RTData[[#This Row],[Company Name]],"Change (%)",TRUE)</f>
        <v>2.6974000000000001E-2</v>
      </c>
      <c r="N77" s="18" cm="1">
        <f t="array" aca="1" ref="N77" ca="1">_FV(RTData[[#This Row],[Company Name]],"52 week low",TRUE)</f>
        <v>8.4405999999999999</v>
      </c>
      <c r="O77" s="18" cm="1">
        <f t="array" aca="1" ref="O77" ca="1">_FV(RTData[[#This Row],[Company Name]],"52 week high",TRUE)</f>
        <v>13.97</v>
      </c>
      <c r="P77" s="22" cm="1">
        <f t="array" aca="1" ref="P77" ca="1">_FV(RTData[[#This Row],[Company Name]],"Volume")</f>
        <v>79114426</v>
      </c>
      <c r="Q77" s="22" cm="1">
        <f t="array" aca="1" ref="Q77" ca="1">_FV(RTData[[#This Row],[Company Name]],"Volume average",TRUE)</f>
        <v>137175215</v>
      </c>
      <c r="R77" s="18" cm="1">
        <f t="array" aca="1" ref="R77" ca="1">_FV(RTData[[#This Row],[Company Name]],"Beta")</f>
        <v>1.603</v>
      </c>
      <c r="T77" t="s">
        <v>25</v>
      </c>
      <c r="U77" t="str" cm="1">
        <f t="array" aca="1" ref="U77" ca="1">_FV(RTData[[#This Row],[Company Name]],"Exchange abbreviation",TRUE)</f>
        <v>XNYS</v>
      </c>
      <c r="V77" s="23">
        <f ca="1">IFERROR(RTData[[#This Row],[Volume]]/RTData[[#This Row],[Volume average]],1)</f>
        <v>0.57673994533196105</v>
      </c>
      <c r="W77" s="23"/>
      <c r="X77" s="104">
        <f ca="1">_xlfn.XLOOKUP(RTData[[#This Row],[Ticker_Symbol]],TickerList!$G76:$G170,TickerList!L76:L170)</f>
        <v>12.265000000000001</v>
      </c>
      <c r="Y77" s="97">
        <f ca="1">_xlfn.XLOOKUP(RTData[[#This Row],[Ticker_Symbol]],TickerList!$G76:$G170,TickerList!M76:M170)</f>
        <v>45968</v>
      </c>
      <c r="Z77" s="97" t="str">
        <f ca="1">_xlfn.XLOOKUP(RTData[[#This Row],[Ticker_Symbol]],TickerList!$G76:$G170,TickerList!N76:N170)</f>
        <v>Oct 23, 2025</v>
      </c>
      <c r="AA77" s="98">
        <f ca="1">_xlfn.XLOOKUP(RTData[[#This Row],[Ticker_Symbol]],TickerList!$G76:$G170,TickerList!O76:O170)</f>
        <v>4.5700002000000003E-2</v>
      </c>
      <c r="AB77" s="99">
        <v>1E-4</v>
      </c>
      <c r="AC77" s="100">
        <v>3.0000000000000001E-3</v>
      </c>
      <c r="AD77" s="86" t="s">
        <v>69</v>
      </c>
      <c r="AE77" s="101">
        <f ca="1">_xlfn.LET(_xlpm.New1YT,RTData[[#This Row],[1YT]],        _xlpm.Old1YT,IF(ISNUMBER(RTData[[#This Row],[Old1YT]]),RTData[[#This Row],[Old1YT]],VALUE(LEFT(RTData[[#This Row],[Old1YT]],FIND("/",RTData[[#This Row],[Old1YT]],1)-1))),       IF(OR(RTData[[#This Row],[1YT]]=0,_xlpm.Old1YT=0),0,(_xlpm.New1YT-_xlpm.Old1YT)/_xlpm.Old1YT))</f>
        <v>0.18273866923818721</v>
      </c>
      <c r="AF77" s="101" t="str">
        <f ca="1">TEXT(RTData[[#This Row],[1YT]],"#,#0.00")&amp;" &lt; "&amp;RTData[[#This Row],[Old1YT]]</f>
        <v>12.27 &lt; 10.37/12.18</v>
      </c>
    </row>
    <row r="78" spans="1:32" ht="22" customHeight="1" x14ac:dyDescent="0.3">
      <c r="A78" s="38" t="str" cm="1">
        <f t="array" aca="1" ref="A78" ca="1">_xlfn.SINGLE(RTData[suffix])&amp;_FV(RTData[[#This Row],[Company Name]],"Ticker symbol",TRUE)</f>
        <v>GLE</v>
      </c>
      <c r="B78" s="38">
        <v>1</v>
      </c>
      <c r="C78" t="e" vm="54">
        <v>#VALUE!</v>
      </c>
      <c r="D78" s="113" t="str" cm="1">
        <f t="array" aca="1" ref="D78" ca="1">_FV(RTData[[#This Row],[Company Name]],"Currency")</f>
        <v>EUR</v>
      </c>
      <c r="E78" s="17" cm="1">
        <f t="array" aca="1" ref="E78" ca="1">_FV(RTData[[#This Row],[Company Name]],"Last trade time",TRUE)</f>
        <v>45966.708333333336</v>
      </c>
      <c r="F78" s="27" cm="1">
        <f t="array" aca="1" ref="F78" ca="1">_FV(RTData[[#This Row],[Company Name]],"Previous close",TRUE)</f>
        <v>54.58</v>
      </c>
      <c r="G78" s="27" cm="1">
        <f t="array" aca="1" ref="G78" ca="1">_FV(RTData[[#This Row],[Company Name]],"Open")</f>
        <v>53.96</v>
      </c>
      <c r="H78" s="27" cm="1">
        <f t="array" aca="1" ref="H78" ca="1">_FV(RTData[[#This Row],[Company Name]],"Price")</f>
        <v>54.64</v>
      </c>
      <c r="I78" s="27" cm="1">
        <f t="array" aca="1" ref="I78" ca="1">_FV(RTData[[#This Row],[Company Name]],"Low")</f>
        <v>53.76</v>
      </c>
      <c r="J78" s="27" cm="1">
        <f t="array" aca="1" ref="J78" ca="1">_FV(RTData[[#This Row],[Company Name]],"High")</f>
        <v>54.76</v>
      </c>
      <c r="K78" s="19" cm="1">
        <f t="array" aca="1" ref="K78" ca="1">IFERROR(_FV(RTData[[#This Row],[Company Name]],"P/E",TRUE),99)</f>
        <v>8.7401999999999997</v>
      </c>
      <c r="L78" s="20" cm="1">
        <f t="array" aca="1" ref="L78" ca="1">_FV(RTData[[#This Row],[Company Name]],"Change")</f>
        <v>0.06</v>
      </c>
      <c r="M78" s="21" cm="1">
        <f t="array" aca="1" ref="M78" ca="1">_FV(RTData[[#This Row],[Company Name]],"Change (%)",TRUE)</f>
        <v>1.0989999999999999E-3</v>
      </c>
      <c r="N78" s="27" cm="1">
        <f t="array" aca="1" ref="N78" ca="1">_FV(RTData[[#This Row],[Company Name]],"52 week low",TRUE)</f>
        <v>24.03</v>
      </c>
      <c r="O78" s="27" cm="1">
        <f t="array" aca="1" ref="O78" ca="1">_FV(RTData[[#This Row],[Company Name]],"52 week high",TRUE)</f>
        <v>59.42</v>
      </c>
      <c r="P78" s="22" cm="1">
        <f t="array" aca="1" ref="P78" ca="1">_FV(RTData[[#This Row],[Company Name]],"Volume")</f>
        <v>1640478</v>
      </c>
      <c r="Q78" s="22" cm="1">
        <f t="array" aca="1" ref="Q78" ca="1">_FV(RTData[[#This Row],[Company Name]],"Volume average",TRUE)</f>
        <v>2049810</v>
      </c>
      <c r="R78" s="18" cm="1">
        <f t="array" aca="1" ref="R78" ca="1">_FV(RTData[[#This Row],[Company Name]],"Beta")</f>
        <v>1.389</v>
      </c>
      <c r="T78" t="s">
        <v>25</v>
      </c>
      <c r="U78" t="str" cm="1">
        <f t="array" aca="1" ref="U78" ca="1">_FV(RTData[[#This Row],[Company Name]],"Exchange abbreviation",TRUE)</f>
        <v>XPAR</v>
      </c>
      <c r="V78" s="23">
        <f ca="1">IFERROR(RTData[[#This Row],[Volume]]/RTData[[#This Row],[Volume average]],1)</f>
        <v>0.80030734555885663</v>
      </c>
      <c r="W78" s="23"/>
      <c r="X78" s="104">
        <f ca="1">_xlfn.XLOOKUP(RTData[[#This Row],[Ticker_Symbol]],TickerList!$G77:$G171,TickerList!L77:L171)</f>
        <v>64.686109999999999</v>
      </c>
      <c r="Y78" s="97">
        <f ca="1">_xlfn.XLOOKUP(RTData[[#This Row],[Ticker_Symbol]],TickerList!$G77:$G171,TickerList!M77:M171)</f>
        <v>45937</v>
      </c>
      <c r="Z78" s="97" t="str">
        <f ca="1">_xlfn.XLOOKUP(RTData[[#This Row],[Ticker_Symbol]],TickerList!$G77:$G171,TickerList!N77:N171)</f>
        <v>Oct 30, 2025</v>
      </c>
      <c r="AA78" s="98">
        <f ca="1">_xlfn.XLOOKUP(RTData[[#This Row],[Ticker_Symbol]],TickerList!$G77:$G171,TickerList!O77:O171)</f>
        <v>3.1E-2</v>
      </c>
      <c r="AB78" s="99"/>
      <c r="AC78" s="100">
        <v>3.0000000000000001E-3</v>
      </c>
      <c r="AD78" s="86" t="s">
        <v>70</v>
      </c>
      <c r="AE78" s="101">
        <f ca="1">_xlfn.LET(_xlpm.New1YT,RTData[[#This Row],[1YT]],        _xlpm.Old1YT,IF(ISNUMBER(RTData[[#This Row],[Old1YT]]),RTData[[#This Row],[Old1YT]],VALUE(LEFT(RTData[[#This Row],[Old1YT]],FIND("/",RTData[[#This Row],[Old1YT]],1)-1))),       IF(OR(RTData[[#This Row],[1YT]]=0,_xlpm.Old1YT=0),0,(_xlpm.New1YT-_xlpm.Old1YT)/_xlpm.Old1YT))</f>
        <v>8.2250460097038583E-2</v>
      </c>
      <c r="AF78" s="101" t="str">
        <f ca="1">TEXT(RTData[[#This Row],[1YT]],"#,#0.00")&amp;" &lt; "&amp;RTData[[#This Row],[Old1YT]]</f>
        <v>64.69 &lt; 59.77/51.92/30.4</v>
      </c>
    </row>
    <row r="79" spans="1:32" ht="22" customHeight="1" x14ac:dyDescent="0.3">
      <c r="A79" s="38" t="str" cm="1">
        <f t="array" aca="1" ref="A79" ca="1">_xlfn.SINGLE(RTData[suffix])&amp;_FV(RTData[[#This Row],[Company Name]],"Ticker symbol",TRUE)</f>
        <v>GNRC</v>
      </c>
      <c r="B79" s="38">
        <f ca="1">D99</f>
        <v>0.8700191404210893</v>
      </c>
      <c r="C79" t="e" vm="59">
        <v>#VALUE!</v>
      </c>
      <c r="D79" s="113" t="str" cm="1">
        <f t="array" aca="1" ref="D79" ca="1">_FV(RTData[[#This Row],[Company Name]],"Currency")</f>
        <v>USD</v>
      </c>
      <c r="E79" s="17" cm="1">
        <f t="array" aca="1" ref="E79" ca="1">_FV(RTData[[#This Row],[Company Name]],"Last trade time",TRUE)</f>
        <v>45966.987052488279</v>
      </c>
      <c r="F79" s="18" cm="1">
        <f t="array" aca="1" ref="F79" ca="1">_FV(RTData[[#This Row],[Company Name]],"Previous close",TRUE)</f>
        <v>156.59</v>
      </c>
      <c r="G79" s="18" cm="1">
        <f t="array" aca="1" ref="G79" ca="1">_FV(RTData[[#This Row],[Company Name]],"Open")</f>
        <v>156.53</v>
      </c>
      <c r="H79" s="18" cm="1">
        <f t="array" aca="1" ref="H79" ca="1">_FV(RTData[[#This Row],[Company Name]],"Price")</f>
        <v>159.18</v>
      </c>
      <c r="I79" s="18" cm="1">
        <f t="array" aca="1" ref="I79" ca="1">_FV(RTData[[#This Row],[Company Name]],"Low")</f>
        <v>156</v>
      </c>
      <c r="J79" s="18" cm="1">
        <f t="array" aca="1" ref="J79" ca="1">_FV(RTData[[#This Row],[Company Name]],"High")</f>
        <v>161.26</v>
      </c>
      <c r="K79" s="19" cm="1">
        <f t="array" aca="1" ref="K79" ca="1">IFERROR(_FV(RTData[[#This Row],[Company Name]],"P/E",TRUE),99)</f>
        <v>30.288799999999998</v>
      </c>
      <c r="L79" s="20" cm="1">
        <f t="array" aca="1" ref="L79" ca="1">_FV(RTData[[#This Row],[Company Name]],"Change")</f>
        <v>2.59</v>
      </c>
      <c r="M79" s="21" cm="1">
        <f t="array" aca="1" ref="M79" ca="1">_FV(RTData[[#This Row],[Company Name]],"Change (%)",TRUE)</f>
        <v>1.6539999999999999E-2</v>
      </c>
      <c r="N79" s="18" cm="1">
        <f t="array" aca="1" ref="N79" ca="1">_FV(RTData[[#This Row],[Company Name]],"52 week low",TRUE)</f>
        <v>99.5</v>
      </c>
      <c r="O79" s="18" cm="1">
        <f t="array" aca="1" ref="O79" ca="1">_FV(RTData[[#This Row],[Company Name]],"52 week high",TRUE)</f>
        <v>203.2499</v>
      </c>
      <c r="P79" s="22" cm="1">
        <f t="array" aca="1" ref="P79" ca="1">_FV(RTData[[#This Row],[Company Name]],"Volume")</f>
        <v>897057</v>
      </c>
      <c r="Q79" s="22" cm="1">
        <f t="array" aca="1" ref="Q79" ca="1">_FV(RTData[[#This Row],[Company Name]],"Volume average",TRUE)</f>
        <v>1256348</v>
      </c>
      <c r="R79" s="18" cm="1">
        <f t="array" aca="1" ref="R79" ca="1">_FV(RTData[[#This Row],[Company Name]],"Beta")</f>
        <v>1.8173999999999999</v>
      </c>
      <c r="T79" t="s">
        <v>25</v>
      </c>
      <c r="U79" t="str" cm="1">
        <f t="array" aca="1" ref="U79" ca="1">_FV(RTData[[#This Row],[Company Name]],"Exchange abbreviation",TRUE)</f>
        <v>XNYS</v>
      </c>
      <c r="V79" s="23">
        <f ca="1">IFERROR(RTData[[#This Row],[Volume]]/RTData[[#This Row],[Volume average]],1)</f>
        <v>0.71401952325311135</v>
      </c>
      <c r="W79" s="23"/>
      <c r="X79" s="104">
        <f ca="1">_xlfn.XLOOKUP(RTData[[#This Row],[Ticker_Symbol]],TickerList!$G78:$G172,TickerList!L78:L172)</f>
        <v>207.47059999999999</v>
      </c>
      <c r="Y79" s="97">
        <f ca="1">_xlfn.XLOOKUP(RTData[[#This Row],[Ticker_Symbol]],TickerList!$G78:$G172,TickerList!M78:M172)</f>
        <v>41435</v>
      </c>
      <c r="Z79" s="97" t="str">
        <f ca="1">_xlfn.XLOOKUP(RTData[[#This Row],[Ticker_Symbol]],TickerList!$G78:$G172,TickerList!N78:N172)</f>
        <v>Oct 29, 2025</v>
      </c>
      <c r="AA79" s="98">
        <f ca="1">_xlfn.XLOOKUP(RTData[[#This Row],[Ticker_Symbol]],TickerList!$G78:$G172,TickerList!O78:O172)</f>
        <v>0</v>
      </c>
      <c r="AB79" s="99">
        <v>1E-4</v>
      </c>
      <c r="AC79" s="100">
        <v>3.0000000000000001E-3</v>
      </c>
      <c r="AD79" s="86">
        <v>157.18</v>
      </c>
      <c r="AE79" s="101">
        <f ca="1">_xlfn.LET(_xlpm.New1YT,RTData[[#This Row],[1YT]],        _xlpm.Old1YT,IF(ISNUMBER(RTData[[#This Row],[Old1YT]]),RTData[[#This Row],[Old1YT]],VALUE(LEFT(RTData[[#This Row],[Old1YT]],FIND("/",RTData[[#This Row],[Old1YT]],1)-1))),       IF(OR(RTData[[#This Row],[1YT]]=0,_xlpm.Old1YT=0),0,(_xlpm.New1YT-_xlpm.Old1YT)/_xlpm.Old1YT))</f>
        <v>0.31995546507189199</v>
      </c>
      <c r="AF79" s="101" t="str">
        <f ca="1">TEXT(RTData[[#This Row],[1YT]],"#,#0.00")&amp;" &lt; "&amp;RTData[[#This Row],[Old1YT]]</f>
        <v>207.47 &lt; 157.18</v>
      </c>
    </row>
    <row r="80" spans="1:32" ht="22" customHeight="1" x14ac:dyDescent="0.3">
      <c r="A80" s="38" t="str" cm="1">
        <f t="array" aca="1" ref="A80" ca="1">_xlfn.SINGLE(RTData[suffix])&amp;_FV(RTData[[#This Row],[Company Name]],"Ticker symbol",TRUE)</f>
        <v>GS</v>
      </c>
      <c r="B80" s="38">
        <f ca="1">D99</f>
        <v>0.8700191404210893</v>
      </c>
      <c r="C80" t="e" vm="60">
        <v>#VALUE!</v>
      </c>
      <c r="D80" s="113" t="str" cm="1">
        <f t="array" aca="1" ref="D80" ca="1">_FV(RTData[[#This Row],[Company Name]],"Currency")</f>
        <v>USD</v>
      </c>
      <c r="E80" s="17" cm="1">
        <f t="array" aca="1" ref="E80" ca="1">_FV(RTData[[#This Row],[Company Name]],"Last trade time",TRUE)</f>
        <v>45966.992608135937</v>
      </c>
      <c r="F80" s="18" cm="1">
        <f t="array" aca="1" ref="F80" ca="1">_FV(RTData[[#This Row],[Company Name]],"Previous close",TRUE)</f>
        <v>790.83</v>
      </c>
      <c r="G80" s="18" cm="1">
        <f t="array" aca="1" ref="G80" ca="1">_FV(RTData[[#This Row],[Company Name]],"Open")</f>
        <v>790.44</v>
      </c>
      <c r="H80" s="18" cm="1">
        <f t="array" aca="1" ref="H80" ca="1">_FV(RTData[[#This Row],[Company Name]],"Price")</f>
        <v>793.11</v>
      </c>
      <c r="I80" s="18" cm="1">
        <f t="array" aca="1" ref="I80" ca="1">_FV(RTData[[#This Row],[Company Name]],"Low")</f>
        <v>775.58</v>
      </c>
      <c r="J80" s="18" cm="1">
        <f t="array" aca="1" ref="J80" ca="1">_FV(RTData[[#This Row],[Company Name]],"High")</f>
        <v>797.36</v>
      </c>
      <c r="K80" s="19" cm="1">
        <f t="array" aca="1" ref="K80" ca="1">IFERROR(_FV(RTData[[#This Row],[Company Name]],"P/E",TRUE),99)</f>
        <v>16.1112</v>
      </c>
      <c r="L80" s="20" cm="1">
        <f t="array" aca="1" ref="L80" ca="1">_FV(RTData[[#This Row],[Company Name]],"Change")</f>
        <v>2.2799999999999998</v>
      </c>
      <c r="M80" s="21" cm="1">
        <f t="array" aca="1" ref="M80" ca="1">_FV(RTData[[#This Row],[Company Name]],"Change (%)",TRUE)</f>
        <v>2.8830000000000001E-3</v>
      </c>
      <c r="N80" s="18" cm="1">
        <f t="array" aca="1" ref="N80" ca="1">_FV(RTData[[#This Row],[Company Name]],"52 week low",TRUE)</f>
        <v>439.38</v>
      </c>
      <c r="O80" s="18" cm="1">
        <f t="array" aca="1" ref="O80" ca="1">_FV(RTData[[#This Row],[Company Name]],"52 week high",TRUE)</f>
        <v>825.25</v>
      </c>
      <c r="P80" s="22" cm="1">
        <f t="array" aca="1" ref="P80" ca="1">_FV(RTData[[#This Row],[Company Name]],"Volume")</f>
        <v>1832800</v>
      </c>
      <c r="Q80" s="22" cm="1">
        <f t="array" aca="1" ref="Q80" ca="1">_FV(RTData[[#This Row],[Company Name]],"Volume average",TRUE)</f>
        <v>2103506</v>
      </c>
      <c r="R80" s="18" cm="1">
        <f t="array" aca="1" ref="R80" ca="1">_FV(RTData[[#This Row],[Company Name]],"Beta")</f>
        <v>1.3489</v>
      </c>
      <c r="T80" t="s">
        <v>25</v>
      </c>
      <c r="U80" t="str" cm="1">
        <f t="array" aca="1" ref="U80" ca="1">_FV(RTData[[#This Row],[Company Name]],"Exchange abbreviation",TRUE)</f>
        <v>XNYS</v>
      </c>
      <c r="V80" s="23">
        <f ca="1">IFERROR(RTData[[#This Row],[Volume]]/RTData[[#This Row],[Volume average]],1)</f>
        <v>0.87130723658501563</v>
      </c>
      <c r="W80" s="23"/>
      <c r="X80" s="104">
        <f ca="1">_xlfn.XLOOKUP(RTData[[#This Row],[Ticker_Symbol]],TickerList!$G79:$G173,TickerList!L79:L173)</f>
        <v>801.84209999999996</v>
      </c>
      <c r="Y80" s="97">
        <f ca="1">_xlfn.XLOOKUP(RTData[[#This Row],[Ticker_Symbol]],TickerList!$G79:$G173,TickerList!M79:M173)</f>
        <v>45993</v>
      </c>
      <c r="Z80" s="97" t="str">
        <f ca="1">_xlfn.XLOOKUP(RTData[[#This Row],[Ticker_Symbol]],TickerList!$G79:$G173,TickerList!N79:N173)</f>
        <v>Jan 15, 2026</v>
      </c>
      <c r="AA80" s="98">
        <f ca="1">_xlfn.XLOOKUP(RTData[[#This Row],[Ticker_Symbol]],TickerList!$G79:$G173,TickerList!O79:O173)</f>
        <v>2.0299998999999999E-2</v>
      </c>
      <c r="AB80" s="99">
        <v>1E-4</v>
      </c>
      <c r="AC80" s="100">
        <v>3.0000000000000001E-3</v>
      </c>
      <c r="AD80" s="86">
        <v>453.91</v>
      </c>
      <c r="AE80" s="101">
        <f ca="1">_xlfn.LET(_xlpm.New1YT,RTData[[#This Row],[1YT]],        _xlpm.Old1YT,IF(ISNUMBER(RTData[[#This Row],[Old1YT]]),RTData[[#This Row],[Old1YT]],VALUE(LEFT(RTData[[#This Row],[Old1YT]],FIND("/",RTData[[#This Row],[Old1YT]],1)-1))),       IF(OR(RTData[[#This Row],[1YT]]=0,_xlpm.Old1YT=0),0,(_xlpm.New1YT-_xlpm.Old1YT)/_xlpm.Old1YT))</f>
        <v>0.76652221806084886</v>
      </c>
      <c r="AF80" s="101" t="str">
        <f ca="1">TEXT(RTData[[#This Row],[1YT]],"#,#0.00")&amp;" &lt; "&amp;RTData[[#This Row],[Old1YT]]</f>
        <v>801.84 &lt; 453.91</v>
      </c>
    </row>
    <row r="81" spans="1:33" x14ac:dyDescent="0.3">
      <c r="A81" s="38" t="str" cm="1">
        <f t="array" aca="1" ref="A81" ca="1">_xlfn.SINGLE(RTData[suffix])&amp;_FV(RTData[[#This Row],[Company Name]],"Ticker symbol",TRUE)</f>
        <v>LAZR</v>
      </c>
      <c r="B81" s="38">
        <f ca="1">D99</f>
        <v>0.8700191404210893</v>
      </c>
      <c r="C81" t="e" vm="61">
        <v>#VALUE!</v>
      </c>
      <c r="D81" s="113" t="str" cm="1">
        <f t="array" aca="1" ref="D81" ca="1">_FV(RTData[[#This Row],[Company Name]],"Currency")</f>
        <v>USD</v>
      </c>
      <c r="E81" s="17" cm="1">
        <f t="array" aca="1" ref="E81" ca="1">_FV(RTData[[#This Row],[Company Name]],"Last trade time",TRUE)</f>
        <v>45967.000147117971</v>
      </c>
      <c r="F81" s="18" cm="1">
        <f t="array" aca="1" ref="F81" ca="1">_FV(RTData[[#This Row],[Company Name]],"Previous close",TRUE)</f>
        <v>1.35</v>
      </c>
      <c r="G81" s="18" cm="1">
        <f t="array" aca="1" ref="G81" ca="1">_FV(RTData[[#This Row],[Company Name]],"Open")</f>
        <v>1.34</v>
      </c>
      <c r="H81" s="18" cm="1">
        <f t="array" aca="1" ref="H81" ca="1">_FV(RTData[[#This Row],[Company Name]],"Price")</f>
        <v>1.24</v>
      </c>
      <c r="I81" s="18" cm="1">
        <f t="array" aca="1" ref="I81" ca="1">_FV(RTData[[#This Row],[Company Name]],"Low")</f>
        <v>1.2101</v>
      </c>
      <c r="J81" s="18" cm="1">
        <f t="array" aca="1" ref="J81" ca="1">_FV(RTData[[#This Row],[Company Name]],"High")</f>
        <v>1.37</v>
      </c>
      <c r="K81" s="19" cm="1">
        <f t="array" aca="1" ref="K81" ca="1">IFERROR(_FV(RTData[[#This Row],[Company Name]],"P/E",TRUE),99)</f>
        <v>0</v>
      </c>
      <c r="L81" s="20" cm="1">
        <f t="array" aca="1" ref="L81" ca="1">_FV(RTData[[#This Row],[Company Name]],"Change")</f>
        <v>-0.11</v>
      </c>
      <c r="M81" s="21" cm="1">
        <f t="array" aca="1" ref="M81" ca="1">_FV(RTData[[#This Row],[Company Name]],"Change (%)",TRUE)</f>
        <v>-8.1480999999999998E-2</v>
      </c>
      <c r="N81" s="18" cm="1">
        <f t="array" aca="1" ref="N81" ca="1">_FV(RTData[[#This Row],[Company Name]],"52 week low",TRUE)</f>
        <v>1.08</v>
      </c>
      <c r="O81" s="18" cm="1">
        <f t="array" aca="1" ref="O81" ca="1">_FV(RTData[[#This Row],[Company Name]],"52 week high",TRUE)</f>
        <v>18.600000000000001</v>
      </c>
      <c r="P81" s="22" cm="1">
        <f t="array" aca="1" ref="P81" ca="1">_FV(RTData[[#This Row],[Company Name]],"Volume")</f>
        <v>7163373</v>
      </c>
      <c r="Q81" s="22" cm="1">
        <f t="array" aca="1" ref="Q81" ca="1">_FV(RTData[[#This Row],[Company Name]],"Volume average",TRUE)</f>
        <v>11552190</v>
      </c>
      <c r="R81" s="18" cm="1">
        <f t="array" aca="1" ref="R81" ca="1">_FV(RTData[[#This Row],[Company Name]],"Beta")</f>
        <v>1.4121999999999999</v>
      </c>
      <c r="T81" t="s">
        <v>25</v>
      </c>
      <c r="U81" t="str" cm="1">
        <f t="array" aca="1" ref="U81" ca="1">_FV(RTData[[#This Row],[Company Name]],"Exchange abbreviation",TRUE)</f>
        <v>XNAS</v>
      </c>
      <c r="V81" s="23">
        <f ca="1">IFERROR(RTData[[#This Row],[Volume]]/RTData[[#This Row],[Volume average]],1)</f>
        <v>0.62008787944104105</v>
      </c>
      <c r="W81" s="23"/>
      <c r="X81" s="104">
        <f ca="1">_xlfn.XLOOKUP(RTData[[#This Row],[Ticker_Symbol]],TickerList!$G80:$G174,TickerList!L80:L174)</f>
        <v>2.5</v>
      </c>
      <c r="Y81" s="97">
        <f ca="1">_xlfn.XLOOKUP(RTData[[#This Row],[Ticker_Symbol]],TickerList!$G80:$G174,TickerList!M80:M174)</f>
        <v>0</v>
      </c>
      <c r="Z81" s="97" t="str">
        <f ca="1">_xlfn.XLOOKUP(RTData[[#This Row],[Ticker_Symbol]],TickerList!$G80:$G174,TickerList!N80:N174)</f>
        <v>Nov 13, 2025</v>
      </c>
      <c r="AA81" s="98">
        <f ca="1">_xlfn.XLOOKUP(RTData[[#This Row],[Ticker_Symbol]],TickerList!$G80:$G174,TickerList!O80:O174)</f>
        <v>0</v>
      </c>
      <c r="AB81" s="99">
        <v>1E-4</v>
      </c>
      <c r="AC81" s="100">
        <v>3.0000000000000001E-3</v>
      </c>
      <c r="AD81" s="86" t="s">
        <v>54</v>
      </c>
      <c r="AE81" s="101">
        <f ca="1">_xlfn.LET(_xlpm.New1YT,RTData[[#This Row],[1YT]],        _xlpm.Old1YT,IF(ISNUMBER(RTData[[#This Row],[Old1YT]]),RTData[[#This Row],[Old1YT]],VALUE(LEFT(RTData[[#This Row],[Old1YT]],FIND("/",RTData[[#This Row],[Old1YT]],1)-1))),       IF(OR(RTData[[#This Row],[1YT]]=0,_xlpm.Old1YT=0),0,(_xlpm.New1YT-_xlpm.Old1YT)/_xlpm.Old1YT))</f>
        <v>-0.42129629629629634</v>
      </c>
      <c r="AF81" s="101" t="str">
        <f ca="1">TEXT(RTData[[#This Row],[1YT]],"#,#0.00")&amp;" &lt; "&amp;RTData[[#This Row],[Old1YT]]</f>
        <v>2.50 &lt; 4.32/2.59</v>
      </c>
    </row>
    <row r="82" spans="1:33" ht="22" customHeight="1" x14ac:dyDescent="0.3">
      <c r="A82" s="38" t="str" cm="1">
        <f t="array" aca="1" ref="A82" ca="1">_xlfn.SINGLE(RTData[suffix])&amp;_FV(RTData[[#This Row],[Company Name]],"Ticker symbol",TRUE)</f>
        <v>LUV</v>
      </c>
      <c r="B82" s="38">
        <f ca="1">D99</f>
        <v>0.8700191404210893</v>
      </c>
      <c r="C82" t="e" vm="62">
        <v>#VALUE!</v>
      </c>
      <c r="D82" s="113" t="str" cm="1">
        <f t="array" aca="1" ref="D82" ca="1">_FV(RTData[[#This Row],[Company Name]],"Currency")</f>
        <v>USD</v>
      </c>
      <c r="E82" s="17" cm="1">
        <f t="array" aca="1" ref="E82" ca="1">_FV(RTData[[#This Row],[Company Name]],"Last trade time",TRUE)</f>
        <v>45966.994344606253</v>
      </c>
      <c r="F82" s="18" cm="1">
        <f t="array" aca="1" ref="F82" ca="1">_FV(RTData[[#This Row],[Company Name]],"Previous close",TRUE)</f>
        <v>29.67</v>
      </c>
      <c r="G82" s="18" cm="1">
        <f t="array" aca="1" ref="G82" ca="1">_FV(RTData[[#This Row],[Company Name]],"Open")</f>
        <v>29.8</v>
      </c>
      <c r="H82" s="18" cm="1">
        <f t="array" aca="1" ref="H82" ca="1">_FV(RTData[[#This Row],[Company Name]],"Price")</f>
        <v>31.614999999999998</v>
      </c>
      <c r="I82" s="18" cm="1">
        <f t="array" aca="1" ref="I82" ca="1">_FV(RTData[[#This Row],[Company Name]],"Low")</f>
        <v>29.8</v>
      </c>
      <c r="J82" s="18" cm="1">
        <f t="array" aca="1" ref="J82" ca="1">_FV(RTData[[#This Row],[Company Name]],"High")</f>
        <v>31.649899999999999</v>
      </c>
      <c r="K82" s="19" cm="1">
        <f t="array" aca="1" ref="K82" ca="1">IFERROR(_FV(RTData[[#This Row],[Company Name]],"P/E",TRUE),99)</f>
        <v>47.25</v>
      </c>
      <c r="L82" s="20" cm="1">
        <f t="array" aca="1" ref="L82" ca="1">_FV(RTData[[#This Row],[Company Name]],"Change")</f>
        <v>1.9450000000000001</v>
      </c>
      <c r="M82" s="21" cm="1">
        <f t="array" aca="1" ref="M82" ca="1">_FV(RTData[[#This Row],[Company Name]],"Change (%)",TRUE)</f>
        <v>6.5554000000000001E-2</v>
      </c>
      <c r="N82" s="18" cm="1">
        <f t="array" aca="1" ref="N82" ca="1">_FV(RTData[[#This Row],[Company Name]],"52 week low",TRUE)</f>
        <v>23.815000000000001</v>
      </c>
      <c r="O82" s="18" cm="1">
        <f t="array" aca="1" ref="O82" ca="1">_FV(RTData[[#This Row],[Company Name]],"52 week high",TRUE)</f>
        <v>37.96</v>
      </c>
      <c r="P82" s="22" cm="1">
        <f t="array" aca="1" ref="P82" ca="1">_FV(RTData[[#This Row],[Company Name]],"Volume")</f>
        <v>9058688</v>
      </c>
      <c r="Q82" s="22" cm="1">
        <f t="array" aca="1" ref="Q82" ca="1">_FV(RTData[[#This Row],[Company Name]],"Volume average",TRUE)</f>
        <v>9937085</v>
      </c>
      <c r="R82" s="18" cm="1">
        <f t="array" aca="1" ref="R82" ca="1">_FV(RTData[[#This Row],[Company Name]],"Beta")</f>
        <v>1.1802999999999999</v>
      </c>
      <c r="T82" t="s">
        <v>25</v>
      </c>
      <c r="U82" t="str" cm="1">
        <f t="array" aca="1" ref="U82" ca="1">_FV(RTData[[#This Row],[Company Name]],"Exchange abbreviation",TRUE)</f>
        <v>XNYS</v>
      </c>
      <c r="V82" s="23">
        <f ca="1">IFERROR(RTData[[#This Row],[Volume]]/RTData[[#This Row],[Volume average]],1)</f>
        <v>0.91160415755727153</v>
      </c>
      <c r="W82" s="23"/>
      <c r="X82" s="104">
        <f ca="1">_xlfn.XLOOKUP(RTData[[#This Row],[Ticker_Symbol]],TickerList!$G81:$G175,TickerList!L81:L175)</f>
        <v>34.073680000000003</v>
      </c>
      <c r="Y82" s="97">
        <f ca="1">_xlfn.XLOOKUP(RTData[[#This Row],[Ticker_Symbol]],TickerList!$G81:$G175,TickerList!M81:M175)</f>
        <v>45903</v>
      </c>
      <c r="Z82" s="97" t="str">
        <f ca="1">_xlfn.XLOOKUP(RTData[[#This Row],[Ticker_Symbol]],TickerList!$G81:$G175,TickerList!N81:N175)</f>
        <v>Oct 22, 2025</v>
      </c>
      <c r="AA82" s="98">
        <f ca="1">_xlfn.XLOOKUP(RTData[[#This Row],[Ticker_Symbol]],TickerList!$G81:$G175,TickerList!O81:O175)</f>
        <v>2.3800000000000002E-2</v>
      </c>
      <c r="AB82" s="99">
        <v>1E-4</v>
      </c>
      <c r="AC82" s="100">
        <v>3.0000000000000001E-3</v>
      </c>
      <c r="AD82" s="86">
        <v>28.04</v>
      </c>
      <c r="AE82" s="101">
        <f ca="1">_xlfn.LET(_xlpm.New1YT,RTData[[#This Row],[1YT]],        _xlpm.Old1YT,IF(ISNUMBER(RTData[[#This Row],[Old1YT]]),RTData[[#This Row],[Old1YT]],VALUE(LEFT(RTData[[#This Row],[Old1YT]],FIND("/",RTData[[#This Row],[Old1YT]],1)-1))),       IF(OR(RTData[[#This Row],[1YT]]=0,_xlpm.Old1YT=0),0,(_xlpm.New1YT-_xlpm.Old1YT)/_xlpm.Old1YT))</f>
        <v>0.21518116975748944</v>
      </c>
      <c r="AF82" s="101" t="str">
        <f ca="1">TEXT(RTData[[#This Row],[1YT]],"#,#0.00")&amp;" &lt; "&amp;RTData[[#This Row],[Old1YT]]</f>
        <v>34.07 &lt; 28.04</v>
      </c>
    </row>
    <row r="83" spans="1:33" ht="22" customHeight="1" x14ac:dyDescent="0.3">
      <c r="A83" s="38" t="str" cm="1">
        <f t="array" aca="1" ref="A83" ca="1">_xlfn.SINGLE(RTData[suffix])&amp;_FV(RTData[[#This Row],[Company Name]],"Ticker symbol",TRUE)</f>
        <v>MA</v>
      </c>
      <c r="B83" s="38">
        <f ca="1">D99</f>
        <v>0.8700191404210893</v>
      </c>
      <c r="C83" t="e" vm="63">
        <v>#VALUE!</v>
      </c>
      <c r="D83" s="113" t="str" cm="1">
        <f t="array" aca="1" ref="D83" ca="1">_FV(RTData[[#This Row],[Company Name]],"Currency")</f>
        <v>USD</v>
      </c>
      <c r="E83" s="17" cm="1">
        <f t="array" aca="1" ref="E83" ca="1">_FV(RTData[[#This Row],[Company Name]],"Last trade time",TRUE)</f>
        <v>45966.998486631252</v>
      </c>
      <c r="F83" s="18" cm="1">
        <f t="array" aca="1" ref="F83" ca="1">_FV(RTData[[#This Row],[Company Name]],"Previous close",TRUE)</f>
        <v>552.75</v>
      </c>
      <c r="G83" s="18" cm="1">
        <f t="array" aca="1" ref="G83" ca="1">_FV(RTData[[#This Row],[Company Name]],"Open")</f>
        <v>553</v>
      </c>
      <c r="H83" s="18" cm="1">
        <f t="array" aca="1" ref="H83" ca="1">_FV(RTData[[#This Row],[Company Name]],"Price")</f>
        <v>553.76</v>
      </c>
      <c r="I83" s="18" cm="1">
        <f t="array" aca="1" ref="I83" ca="1">_FV(RTData[[#This Row],[Company Name]],"Low")</f>
        <v>549.36599999999999</v>
      </c>
      <c r="J83" s="18" cm="1">
        <f t="array" aca="1" ref="J83" ca="1">_FV(RTData[[#This Row],[Company Name]],"High")</f>
        <v>556.33000000000004</v>
      </c>
      <c r="K83" s="19" cm="1">
        <f t="array" aca="1" ref="K83" ca="1">IFERROR(_FV(RTData[[#This Row],[Company Name]],"P/E",TRUE),99)</f>
        <v>35.4069</v>
      </c>
      <c r="L83" s="20" cm="1">
        <f t="array" aca="1" ref="L83" ca="1">_FV(RTData[[#This Row],[Company Name]],"Change")</f>
        <v>1.01</v>
      </c>
      <c r="M83" s="21" cm="1">
        <f t="array" aca="1" ref="M83" ca="1">_FV(RTData[[#This Row],[Company Name]],"Change (%)",TRUE)</f>
        <v>1.8270000000000001E-3</v>
      </c>
      <c r="N83" s="18" cm="1">
        <f t="array" aca="1" ref="N83" ca="1">_FV(RTData[[#This Row],[Company Name]],"52 week low",TRUE)</f>
        <v>465.59</v>
      </c>
      <c r="O83" s="18" cm="1">
        <f t="array" aca="1" ref="O83" ca="1">_FV(RTData[[#This Row],[Company Name]],"52 week high",TRUE)</f>
        <v>601.77</v>
      </c>
      <c r="P83" s="22" cm="1">
        <f t="array" aca="1" ref="P83" ca="1">_FV(RTData[[#This Row],[Company Name]],"Volume")</f>
        <v>2198524</v>
      </c>
      <c r="Q83" s="22" cm="1">
        <f t="array" aca="1" ref="Q83" ca="1">_FV(RTData[[#This Row],[Company Name]],"Volume average",TRUE)</f>
        <v>2763106</v>
      </c>
      <c r="R83" s="18" cm="1">
        <f t="array" aca="1" ref="R83" ca="1">_FV(RTData[[#This Row],[Company Name]],"Beta")</f>
        <v>0.86539999999999995</v>
      </c>
      <c r="T83" t="s">
        <v>25</v>
      </c>
      <c r="U83" t="str" cm="1">
        <f t="array" aca="1" ref="U83" ca="1">_FV(RTData[[#This Row],[Company Name]],"Exchange abbreviation",TRUE)</f>
        <v>XNYS</v>
      </c>
      <c r="V83" s="23">
        <f ca="1">IFERROR(RTData[[#This Row],[Volume]]/RTData[[#This Row],[Volume average]],1)</f>
        <v>0.79567124822572854</v>
      </c>
      <c r="W83" s="23"/>
      <c r="X83" s="104">
        <f ca="1">_xlfn.XLOOKUP(RTData[[#This Row],[Ticker_Symbol]],TickerList!$G82:$G176,TickerList!L82:L176)</f>
        <v>655.20569999999998</v>
      </c>
      <c r="Y83" s="97">
        <f ca="1">_xlfn.XLOOKUP(RTData[[#This Row],[Ticker_Symbol]],TickerList!$G82:$G176,TickerList!M82:M176)</f>
        <v>45939</v>
      </c>
      <c r="Z83" s="97" t="str">
        <f ca="1">_xlfn.XLOOKUP(RTData[[#This Row],[Ticker_Symbol]],TickerList!$G82:$G176,TickerList!N82:N176)</f>
        <v>Jan 29, 2026</v>
      </c>
      <c r="AA83" s="98">
        <f ca="1">_xlfn.XLOOKUP(RTData[[#This Row],[Ticker_Symbol]],TickerList!$G82:$G176,TickerList!O82:O176)</f>
        <v>5.4999999999999997E-3</v>
      </c>
      <c r="AB83" s="99">
        <v>1E-4</v>
      </c>
      <c r="AC83" s="100">
        <v>3.0000000000000001E-3</v>
      </c>
      <c r="AD83" s="86">
        <v>549.30999999999995</v>
      </c>
      <c r="AE83" s="101">
        <f ca="1">_xlfn.LET(_xlpm.New1YT,RTData[[#This Row],[1YT]],        _xlpm.Old1YT,IF(ISNUMBER(RTData[[#This Row],[Old1YT]]),RTData[[#This Row],[Old1YT]],VALUE(LEFT(RTData[[#This Row],[Old1YT]],FIND("/",RTData[[#This Row],[Old1YT]],1)-1))),       IF(OR(RTData[[#This Row],[1YT]]=0,_xlpm.Old1YT=0),0,(_xlpm.New1YT-_xlpm.Old1YT)/_xlpm.Old1YT))</f>
        <v>0.19277948699277284</v>
      </c>
      <c r="AF83" s="101" t="str">
        <f ca="1">TEXT(RTData[[#This Row],[1YT]],"#,#0.00")&amp;" &lt; "&amp;RTData[[#This Row],[Old1YT]]</f>
        <v>655.21 &lt; 549.31</v>
      </c>
    </row>
    <row r="84" spans="1:33" ht="22" customHeight="1" x14ac:dyDescent="0.3">
      <c r="A84" s="38" t="str" cm="1">
        <f t="array" aca="1" ref="A84" ca="1">_xlfn.SINGLE(RTData[suffix])&amp;_FV(RTData[[#This Row],[Company Name]],"Ticker symbol",TRUE)</f>
        <v>NVAX</v>
      </c>
      <c r="B84" s="38">
        <f ca="1">D99</f>
        <v>0.8700191404210893</v>
      </c>
      <c r="C84" t="e" vm="64">
        <v>#VALUE!</v>
      </c>
      <c r="D84" s="113" t="str" cm="1">
        <f t="array" aca="1" ref="D84" ca="1">_FV(RTData[[#This Row],[Company Name]],"Currency")</f>
        <v>USD</v>
      </c>
      <c r="E84" s="17" cm="1">
        <f t="array" aca="1" ref="E84" ca="1">_FV(RTData[[#This Row],[Company Name]],"Last trade time",TRUE)</f>
        <v>45966.999269791406</v>
      </c>
      <c r="F84" s="18" cm="1">
        <f t="array" aca="1" ref="F84" ca="1">_FV(RTData[[#This Row],[Company Name]],"Previous close",TRUE)</f>
        <v>7.51</v>
      </c>
      <c r="G84" s="18" cm="1">
        <f t="array" aca="1" ref="G84" ca="1">_FV(RTData[[#This Row],[Company Name]],"Open")</f>
        <v>7.54</v>
      </c>
      <c r="H84" s="18" cm="1">
        <f t="array" aca="1" ref="H84" ca="1">_FV(RTData[[#This Row],[Company Name]],"Price")</f>
        <v>7.69</v>
      </c>
      <c r="I84" s="18" cm="1">
        <f t="array" aca="1" ref="I84" ca="1">_FV(RTData[[#This Row],[Company Name]],"Low")</f>
        <v>7.51</v>
      </c>
      <c r="J84" s="18" cm="1">
        <f t="array" aca="1" ref="J84" ca="1">_FV(RTData[[#This Row],[Company Name]],"High")</f>
        <v>7.87</v>
      </c>
      <c r="K84" s="19" cm="1">
        <f t="array" aca="1" ref="K84" ca="1">IFERROR(_FV(RTData[[#This Row],[Company Name]],"P/E",TRUE),99)</f>
        <v>3.2835000000000001</v>
      </c>
      <c r="L84" s="20" cm="1">
        <f t="array" aca="1" ref="L84" ca="1">_FV(RTData[[#This Row],[Company Name]],"Change")</f>
        <v>0.18</v>
      </c>
      <c r="M84" s="21" cm="1">
        <f t="array" aca="1" ref="M84" ca="1">_FV(RTData[[#This Row],[Company Name]],"Change (%)",TRUE)</f>
        <v>2.3968E-2</v>
      </c>
      <c r="N84" s="18" cm="1">
        <f t="array" aca="1" ref="N84" ca="1">_FV(RTData[[#This Row],[Company Name]],"52 week low",TRUE)</f>
        <v>5.01</v>
      </c>
      <c r="O84" s="18" cm="1">
        <f t="array" aca="1" ref="O84" ca="1">_FV(RTData[[#This Row],[Company Name]],"52 week high",TRUE)</f>
        <v>11.55</v>
      </c>
      <c r="P84" s="22" cm="1">
        <f t="array" aca="1" ref="P84" ca="1">_FV(RTData[[#This Row],[Company Name]],"Volume")</f>
        <v>5035610</v>
      </c>
      <c r="Q84" s="22" cm="1">
        <f t="array" aca="1" ref="Q84" ca="1">_FV(RTData[[#This Row],[Company Name]],"Volume average",TRUE)</f>
        <v>4435108</v>
      </c>
      <c r="R84" s="18" cm="1">
        <f t="array" aca="1" ref="R84" ca="1">_FV(RTData[[#This Row],[Company Name]],"Beta")</f>
        <v>2.3062</v>
      </c>
      <c r="T84" t="s">
        <v>25</v>
      </c>
      <c r="U84" t="str" cm="1">
        <f t="array" aca="1" ref="U84" ca="1">_FV(RTData[[#This Row],[Company Name]],"Exchange abbreviation",TRUE)</f>
        <v>XNAS</v>
      </c>
      <c r="V84" s="23">
        <f ca="1">IFERROR(RTData[[#This Row],[Volume]]/RTData[[#This Row],[Volume average]],1)</f>
        <v>1.1353973792746423</v>
      </c>
      <c r="W84" s="23"/>
      <c r="X84" s="104">
        <f ca="1">_xlfn.XLOOKUP(RTData[[#This Row],[Ticker_Symbol]],TickerList!$G83:$G177,TickerList!L83:L177)</f>
        <v>12.612500000000001</v>
      </c>
      <c r="Y84" s="97">
        <f ca="1">_xlfn.XLOOKUP(RTData[[#This Row],[Ticker_Symbol]],TickerList!$G83:$G177,TickerList!M83:M177)</f>
        <v>0</v>
      </c>
      <c r="Z84" s="97" t="str">
        <f ca="1">_xlfn.XLOOKUP(RTData[[#This Row],[Ticker_Symbol]],TickerList!$G83:$G177,TickerList!N83:N177)</f>
        <v>Nov 10, 2025</v>
      </c>
      <c r="AA84" s="98">
        <f ca="1">_xlfn.XLOOKUP(RTData[[#This Row],[Ticker_Symbol]],TickerList!$G83:$G177,TickerList!O83:O177)</f>
        <v>0</v>
      </c>
      <c r="AB84" s="99">
        <v>1E-4</v>
      </c>
      <c r="AC84" s="100">
        <v>3.0000000000000001E-3</v>
      </c>
      <c r="AD84" s="86" t="s">
        <v>46</v>
      </c>
      <c r="AE84" s="101">
        <f ca="1">_xlfn.LET(_xlpm.New1YT,RTData[[#This Row],[1YT]],        _xlpm.Old1YT,IF(ISNUMBER(RTData[[#This Row],[Old1YT]]),RTData[[#This Row],[Old1YT]],VALUE(LEFT(RTData[[#This Row],[Old1YT]],FIND("/",RTData[[#This Row],[Old1YT]],1)-1))),       IF(OR(RTData[[#This Row],[1YT]]=0,_xlpm.Old1YT=0),0,(_xlpm.New1YT-_xlpm.Old1YT)/_xlpm.Old1YT))</f>
        <v>-0.14025221540558958</v>
      </c>
      <c r="AF84" s="101" t="str">
        <f ca="1">TEXT(RTData[[#This Row],[1YT]],"#,#0.00")&amp;" &lt; "&amp;RTData[[#This Row],[Old1YT]]</f>
        <v>12.61 &lt; 14.67/16.14/20.8</v>
      </c>
    </row>
    <row r="85" spans="1:33" ht="22" customHeight="1" x14ac:dyDescent="0.3">
      <c r="A85" s="38" t="str" cm="1">
        <f t="array" aca="1" ref="A85" ca="1">_xlfn.SINGLE(RTData[suffix])&amp;_FV(RTData[[#This Row],[Company Name]],"Ticker symbol",TRUE)</f>
        <v>NVS</v>
      </c>
      <c r="B85" s="38">
        <f ca="1">D99</f>
        <v>0.8700191404210893</v>
      </c>
      <c r="C85" t="e" vm="65">
        <v>#VALUE!</v>
      </c>
      <c r="D85" s="113" t="str" cm="1">
        <f t="array" aca="1" ref="D85" ca="1">_FV(RTData[[#This Row],[Company Name]],"Currency")</f>
        <v>USD</v>
      </c>
      <c r="E85" s="17" cm="1">
        <f t="array" aca="1" ref="E85" ca="1">_FV(RTData[[#This Row],[Company Name]],"Last trade time",TRUE)</f>
        <v>45966.995748691406</v>
      </c>
      <c r="F85" s="18" cm="1">
        <f t="array" aca="1" ref="F85" ca="1">_FV(RTData[[#This Row],[Company Name]],"Previous close",TRUE)</f>
        <v>125.01</v>
      </c>
      <c r="G85" s="18" cm="1">
        <f t="array" aca="1" ref="G85" ca="1">_FV(RTData[[#This Row],[Company Name]],"Open")</f>
        <v>124.53</v>
      </c>
      <c r="H85" s="18" cm="1">
        <f t="array" aca="1" ref="H85" ca="1">_FV(RTData[[#This Row],[Company Name]],"Price")</f>
        <v>125.5</v>
      </c>
      <c r="I85" s="18" cm="1">
        <f t="array" aca="1" ref="I85" ca="1">_FV(RTData[[#This Row],[Company Name]],"Low")</f>
        <v>124.47</v>
      </c>
      <c r="J85" s="18" cm="1">
        <f t="array" aca="1" ref="J85" ca="1">_FV(RTData[[#This Row],[Company Name]],"High")</f>
        <v>125.92</v>
      </c>
      <c r="K85" s="19" cm="1">
        <f t="array" aca="1" ref="K85" ca="1">IFERROR(_FV(RTData[[#This Row],[Company Name]],"P/E",TRUE),99)</f>
        <v>17.163599999999999</v>
      </c>
      <c r="L85" s="20" cm="1">
        <f t="array" aca="1" ref="L85" ca="1">_FV(RTData[[#This Row],[Company Name]],"Change")</f>
        <v>0.49</v>
      </c>
      <c r="M85" s="21" cm="1">
        <f t="array" aca="1" ref="M85" ca="1">_FV(RTData[[#This Row],[Company Name]],"Change (%)",TRUE)</f>
        <v>3.9199999999999999E-3</v>
      </c>
      <c r="N85" s="18" cm="1">
        <f t="array" aca="1" ref="N85" ca="1">_FV(RTData[[#This Row],[Company Name]],"52 week low",TRUE)</f>
        <v>96.061999999999998</v>
      </c>
      <c r="O85" s="18" cm="1">
        <f t="array" aca="1" ref="O85" ca="1">_FV(RTData[[#This Row],[Company Name]],"52 week high",TRUE)</f>
        <v>133.55000000000001</v>
      </c>
      <c r="P85" s="22" cm="1">
        <f t="array" aca="1" ref="P85" ca="1">_FV(RTData[[#This Row],[Company Name]],"Volume")</f>
        <v>1260129</v>
      </c>
      <c r="Q85" s="22" cm="1">
        <f t="array" aca="1" ref="Q85" ca="1">_FV(RTData[[#This Row],[Company Name]],"Volume average",TRUE)</f>
        <v>1856425</v>
      </c>
      <c r="R85" s="18" cm="1">
        <f t="array" aca="1" ref="R85" ca="1">_FV(RTData[[#This Row],[Company Name]],"Beta")</f>
        <v>0.51480000000000004</v>
      </c>
      <c r="T85" t="s">
        <v>25</v>
      </c>
      <c r="U85" t="str" cm="1">
        <f t="array" aca="1" ref="U85" ca="1">_FV(RTData[[#This Row],[Company Name]],"Exchange abbreviation",TRUE)</f>
        <v>XNYS</v>
      </c>
      <c r="V85" s="23">
        <f ca="1">IFERROR(RTData[[#This Row],[Volume]]/RTData[[#This Row],[Volume average]],1)</f>
        <v>0.67879337974871057</v>
      </c>
      <c r="W85" s="23"/>
      <c r="X85" s="104">
        <f ca="1">_xlfn.XLOOKUP(RTData[[#This Row],[Ticker_Symbol]],TickerList!$G84:$G178,TickerList!L84:L178)</f>
        <v>127.45399999999999</v>
      </c>
      <c r="Y85" s="97">
        <f ca="1">_xlfn.XLOOKUP(RTData[[#This Row],[Ticker_Symbol]],TickerList!$G84:$G178,TickerList!M84:M178)</f>
        <v>45728</v>
      </c>
      <c r="Z85" s="97" t="str">
        <f ca="1">_xlfn.XLOOKUP(RTData[[#This Row],[Ticker_Symbol]],TickerList!$G84:$G178,TickerList!N84:N178)</f>
        <v>Oct 28, 2025</v>
      </c>
      <c r="AA85" s="98">
        <f ca="1">_xlfn.XLOOKUP(RTData[[#This Row],[Ticker_Symbol]],TickerList!$G84:$G178,TickerList!O84:O178)</f>
        <v>3.2300000000000002E-2</v>
      </c>
      <c r="AB85" s="99">
        <v>1E-4</v>
      </c>
      <c r="AC85" s="100">
        <v>3.0000000000000001E-3</v>
      </c>
      <c r="AD85" s="86">
        <v>115.66</v>
      </c>
      <c r="AE85" s="101">
        <f ca="1">_xlfn.LET(_xlpm.New1YT,RTData[[#This Row],[1YT]],        _xlpm.Old1YT,IF(ISNUMBER(RTData[[#This Row],[Old1YT]]),RTData[[#This Row],[Old1YT]],VALUE(LEFT(RTData[[#This Row],[Old1YT]],FIND("/",RTData[[#This Row],[Old1YT]],1)-1))),       IF(OR(RTData[[#This Row],[1YT]]=0,_xlpm.Old1YT=0),0,(_xlpm.New1YT-_xlpm.Old1YT)/_xlpm.Old1YT))</f>
        <v>0.10197129517551441</v>
      </c>
      <c r="AF85" s="101" t="str">
        <f ca="1">TEXT(RTData[[#This Row],[1YT]],"#,#0.00")&amp;" &lt; "&amp;RTData[[#This Row],[Old1YT]]</f>
        <v>127.45 &lt; 115.66</v>
      </c>
    </row>
    <row r="86" spans="1:33" x14ac:dyDescent="0.3">
      <c r="A86" s="38" t="str" cm="1">
        <f t="array" aca="1" ref="A86" ca="1">_xlfn.SINGLE(RTData[suffix])&amp;_FV(RTData[[#This Row],[Company Name]],"Ticker symbol",TRUE)</f>
        <v>ORA</v>
      </c>
      <c r="B86" s="38">
        <v>1</v>
      </c>
      <c r="C86" t="e" vm="55">
        <v>#VALUE!</v>
      </c>
      <c r="D86" s="113" t="str" cm="1">
        <f t="array" aca="1" ref="D86" ca="1">_FV(RTData[[#This Row],[Company Name]],"Currency")</f>
        <v>EUR</v>
      </c>
      <c r="E86" s="17" cm="1">
        <f t="array" aca="1" ref="E86" ca="1">_FV(RTData[[#This Row],[Company Name]],"Last trade time",TRUE)</f>
        <v>45966.708333333336</v>
      </c>
      <c r="F86" s="27" cm="1">
        <f t="array" aca="1" ref="F86" ca="1">_FV(RTData[[#This Row],[Company Name]],"Previous close",TRUE)</f>
        <v>13.715</v>
      </c>
      <c r="G86" s="27" cm="1">
        <f t="array" aca="1" ref="G86" ca="1">_FV(RTData[[#This Row],[Company Name]],"Open")</f>
        <v>13.73</v>
      </c>
      <c r="H86" s="27" cm="1">
        <f t="array" aca="1" ref="H86" ca="1">_FV(RTData[[#This Row],[Company Name]],"Price")</f>
        <v>13.715</v>
      </c>
      <c r="I86" s="27" cm="1">
        <f t="array" aca="1" ref="I86" ca="1">_FV(RTData[[#This Row],[Company Name]],"Low")</f>
        <v>13.705</v>
      </c>
      <c r="J86" s="27" cm="1">
        <f t="array" aca="1" ref="J86" ca="1">_FV(RTData[[#This Row],[Company Name]],"High")</f>
        <v>13.86</v>
      </c>
      <c r="K86" s="19" cm="1">
        <f t="array" aca="1" ref="K86" ca="1">IFERROR(_FV(RTData[[#This Row],[Company Name]],"P/E",TRUE),99)</f>
        <v>43.319600000000001</v>
      </c>
      <c r="L86" s="20" cm="1">
        <f t="array" aca="1" ref="L86" ca="1">_FV(RTData[[#This Row],[Company Name]],"Change")</f>
        <v>0</v>
      </c>
      <c r="M86" s="21" cm="1">
        <f t="array" aca="1" ref="M86" ca="1">_FV(RTData[[#This Row],[Company Name]],"Change (%)",TRUE)</f>
        <v>0</v>
      </c>
      <c r="N86" s="27" cm="1">
        <f t="array" aca="1" ref="N86" ca="1">_FV(RTData[[#This Row],[Company Name]],"52 week low",TRUE)</f>
        <v>9.3699999999999992</v>
      </c>
      <c r="O86" s="27" cm="1">
        <f t="array" aca="1" ref="O86" ca="1">_FV(RTData[[#This Row],[Company Name]],"52 week high",TRUE)</f>
        <v>14.56</v>
      </c>
      <c r="P86" s="22" cm="1">
        <f t="array" aca="1" ref="P86" ca="1">_FV(RTData[[#This Row],[Company Name]],"Volume")</f>
        <v>3380269</v>
      </c>
      <c r="Q86" s="22" cm="1">
        <f t="array" aca="1" ref="Q86" ca="1">_FV(RTData[[#This Row],[Company Name]],"Volume average",TRUE)</f>
        <v>3610840</v>
      </c>
      <c r="R86" s="18" cm="1">
        <f t="array" aca="1" ref="R86" ca="1">_FV(RTData[[#This Row],[Company Name]],"Beta")</f>
        <v>0.24</v>
      </c>
      <c r="T86" t="s">
        <v>25</v>
      </c>
      <c r="U86" t="str" cm="1">
        <f t="array" aca="1" ref="U86" ca="1">_FV(RTData[[#This Row],[Company Name]],"Exchange abbreviation",TRUE)</f>
        <v>XPAR</v>
      </c>
      <c r="V86" s="23">
        <f ca="1">IFERROR(RTData[[#This Row],[Volume]]/RTData[[#This Row],[Volume average]],1)</f>
        <v>0.93614477517696715</v>
      </c>
      <c r="W86" s="23"/>
      <c r="X86" s="104">
        <f ca="1">_xlfn.XLOOKUP(RTData[[#This Row],[Ticker_Symbol]],TickerList!$G85:$G179,TickerList!L85:L179)</f>
        <v>15.32222</v>
      </c>
      <c r="Y86" s="97">
        <f ca="1">_xlfn.XLOOKUP(RTData[[#This Row],[Ticker_Symbol]],TickerList!$G85:$G179,TickerList!M85:M179)</f>
        <v>45993</v>
      </c>
      <c r="Z86" s="97">
        <f ca="1">_xlfn.XLOOKUP(RTData[[#This Row],[Ticker_Symbol]],TickerList!$G85:$G179,TickerList!N85:N179)</f>
        <v>0</v>
      </c>
      <c r="AA86" s="98">
        <f ca="1">_xlfn.XLOOKUP(RTData[[#This Row],[Ticker_Symbol]],TickerList!$G85:$G179,TickerList!O85:O179)</f>
        <v>5.4199999999999998E-2</v>
      </c>
      <c r="AB86" s="99"/>
      <c r="AC86" s="100">
        <v>3.0000000000000001E-3</v>
      </c>
      <c r="AD86" s="86" t="s">
        <v>58</v>
      </c>
      <c r="AE86" s="101">
        <f ca="1">_xlfn.LET(_xlpm.New1YT,RTData[[#This Row],[1YT]],        _xlpm.Old1YT,IF(ISNUMBER(RTData[[#This Row],[Old1YT]]),RTData[[#This Row],[Old1YT]],VALUE(LEFT(RTData[[#This Row],[Old1YT]],FIND("/",RTData[[#This Row],[Old1YT]],1)-1))),       IF(OR(RTData[[#This Row],[1YT]]=0,_xlpm.Old1YT=0),0,(_xlpm.New1YT-_xlpm.Old1YT)/_xlpm.Old1YT))</f>
        <v>3.3190829399865118E-2</v>
      </c>
      <c r="AF86" s="101" t="str">
        <f ca="1">TEXT(RTData[[#This Row],[1YT]],"#,#0.00")&amp;" &lt; "&amp;RTData[[#This Row],[Old1YT]]</f>
        <v>15.32 &lt; 14.83/14/12.94</v>
      </c>
    </row>
    <row r="87" spans="1:33" ht="22" customHeight="1" x14ac:dyDescent="0.3">
      <c r="A87" s="38" t="str" cm="1">
        <f t="array" aca="1" ref="A87" ca="1">_xlfn.SINGLE(RTData[suffix])&amp;_FV(RTData[[#This Row],[Company Name]],"Ticker symbol",TRUE)</f>
        <v>OXY</v>
      </c>
      <c r="B87" s="38">
        <f ca="1">D99</f>
        <v>0.8700191404210893</v>
      </c>
      <c r="C87" t="e" vm="66">
        <v>#VALUE!</v>
      </c>
      <c r="D87" s="113" t="str" cm="1">
        <f t="array" aca="1" ref="D87" ca="1">_FV(RTData[[#This Row],[Company Name]],"Currency")</f>
        <v>USD</v>
      </c>
      <c r="E87" s="17" cm="1">
        <f t="array" aca="1" ref="E87" ca="1">_FV(RTData[[#This Row],[Company Name]],"Last trade time",TRUE)</f>
        <v>45967.000319895313</v>
      </c>
      <c r="F87" s="18" cm="1">
        <f t="array" aca="1" ref="F87" ca="1">_FV(RTData[[#This Row],[Company Name]],"Previous close",TRUE)</f>
        <v>40.08</v>
      </c>
      <c r="G87" s="18" cm="1">
        <f t="array" aca="1" ref="G87" ca="1">_FV(RTData[[#This Row],[Company Name]],"Open")</f>
        <v>40.08</v>
      </c>
      <c r="H87" s="18" cm="1">
        <f t="array" aca="1" ref="H87" ca="1">_FV(RTData[[#This Row],[Company Name]],"Price")</f>
        <v>39.774999999999999</v>
      </c>
      <c r="I87" s="18" cm="1">
        <f t="array" aca="1" ref="I87" ca="1">_FV(RTData[[#This Row],[Company Name]],"Low")</f>
        <v>39.75</v>
      </c>
      <c r="J87" s="18" cm="1">
        <f t="array" aca="1" ref="J87" ca="1">_FV(RTData[[#This Row],[Company Name]],"High")</f>
        <v>40.424999999999997</v>
      </c>
      <c r="K87" s="19" cm="1">
        <f t="array" aca="1" ref="K87" ca="1">IFERROR(_FV(RTData[[#This Row],[Company Name]],"P/E",TRUE),99)</f>
        <v>23.428799999999999</v>
      </c>
      <c r="L87" s="20" cm="1">
        <f t="array" aca="1" ref="L87" ca="1">_FV(RTData[[#This Row],[Company Name]],"Change")</f>
        <v>-0.30499999999999999</v>
      </c>
      <c r="M87" s="21" cm="1">
        <f t="array" aca="1" ref="M87" ca="1">_FV(RTData[[#This Row],[Company Name]],"Change (%)",TRUE)</f>
        <v>-7.6100000000000004E-3</v>
      </c>
      <c r="N87" s="18" cm="1">
        <f t="array" aca="1" ref="N87" ca="1">_FV(RTData[[#This Row],[Company Name]],"52 week low",TRUE)</f>
        <v>34.784999999999997</v>
      </c>
      <c r="O87" s="18" cm="1">
        <f t="array" aca="1" ref="O87" ca="1">_FV(RTData[[#This Row],[Company Name]],"52 week high",TRUE)</f>
        <v>53.2</v>
      </c>
      <c r="P87" s="22" cm="1">
        <f t="array" aca="1" ref="P87" ca="1">_FV(RTData[[#This Row],[Company Name]],"Volume")</f>
        <v>8239909</v>
      </c>
      <c r="Q87" s="22" cm="1">
        <f t="array" aca="1" ref="Q87" ca="1">_FV(RTData[[#This Row],[Company Name]],"Volume average",TRUE)</f>
        <v>11563159</v>
      </c>
      <c r="R87" s="18" cm="1">
        <f t="array" aca="1" ref="R87" ca="1">_FV(RTData[[#This Row],[Company Name]],"Beta")</f>
        <v>0.39989999999999998</v>
      </c>
      <c r="T87" t="s">
        <v>25</v>
      </c>
      <c r="U87" t="str" cm="1">
        <f t="array" aca="1" ref="U87" ca="1">_FV(RTData[[#This Row],[Company Name]],"Exchange abbreviation",TRUE)</f>
        <v>XNYS</v>
      </c>
      <c r="V87" s="23">
        <f ca="1">IFERROR(RTData[[#This Row],[Volume]]/RTData[[#This Row],[Volume average]],1)</f>
        <v>0.71260016402092197</v>
      </c>
      <c r="W87" s="23"/>
      <c r="X87" s="104">
        <f ca="1">_xlfn.XLOOKUP(RTData[[#This Row],[Ticker_Symbol]],TickerList!$G86:$G180,TickerList!L86:L180)</f>
        <v>49.913040000000002</v>
      </c>
      <c r="Y87" s="97">
        <f ca="1">_xlfn.XLOOKUP(RTData[[#This Row],[Ticker_Symbol]],TickerList!$G86:$G180,TickerList!M86:M180)</f>
        <v>45910</v>
      </c>
      <c r="Z87" s="97" t="str">
        <f ca="1">_xlfn.XLOOKUP(RTData[[#This Row],[Ticker_Symbol]],TickerList!$G86:$G180,TickerList!N86:N180)</f>
        <v>Nov 10, 2025</v>
      </c>
      <c r="AA87" s="98">
        <f ca="1">_xlfn.XLOOKUP(RTData[[#This Row],[Ticker_Symbol]],TickerList!$G86:$G180,TickerList!O86:O180)</f>
        <v>2.3300000000000001E-2</v>
      </c>
      <c r="AB87" s="99">
        <v>1E-4</v>
      </c>
      <c r="AC87" s="100">
        <v>3.0000000000000001E-3</v>
      </c>
      <c r="AD87" s="86">
        <v>71.72</v>
      </c>
      <c r="AE87" s="101">
        <f ca="1">_xlfn.LET(_xlpm.New1YT,RTData[[#This Row],[1YT]],        _xlpm.Old1YT,IF(ISNUMBER(RTData[[#This Row],[Old1YT]]),RTData[[#This Row],[Old1YT]],VALUE(LEFT(RTData[[#This Row],[Old1YT]],FIND("/",RTData[[#This Row],[Old1YT]],1)-1))),       IF(OR(RTData[[#This Row],[1YT]]=0,_xlpm.Old1YT=0),0,(_xlpm.New1YT-_xlpm.Old1YT)/_xlpm.Old1YT))</f>
        <v>-0.30405688789737867</v>
      </c>
      <c r="AF87" s="101" t="str">
        <f ca="1">TEXT(RTData[[#This Row],[1YT]],"#,#0.00")&amp;" &lt; "&amp;RTData[[#This Row],[Old1YT]]</f>
        <v>49.91 &lt; 71.72</v>
      </c>
    </row>
    <row r="88" spans="1:33" ht="22" customHeight="1" x14ac:dyDescent="0.3">
      <c r="A88" s="38" t="str" cm="1">
        <f t="array" aca="1" ref="A88" ca="1">_xlfn.SINGLE(RTData[suffix])&amp;_FV(RTData[[#This Row],[Company Name]],"Ticker symbol",TRUE)</f>
        <v>PFE</v>
      </c>
      <c r="B88" s="38">
        <f ca="1">D99</f>
        <v>0.8700191404210893</v>
      </c>
      <c r="C88" t="e" vm="67">
        <v>#VALUE!</v>
      </c>
      <c r="D88" s="113" t="str" cm="1">
        <f t="array" aca="1" ref="D88" ca="1">_FV(RTData[[#This Row],[Company Name]],"Currency")</f>
        <v>USD</v>
      </c>
      <c r="E88" s="17" cm="1">
        <f t="array" aca="1" ref="E88" ca="1">_FV(RTData[[#This Row],[Company Name]],"Last trade time",TRUE)</f>
        <v>45967.000421260935</v>
      </c>
      <c r="F88" s="18" cm="1">
        <f t="array" aca="1" ref="F88" ca="1">_FV(RTData[[#This Row],[Company Name]],"Previous close",TRUE)</f>
        <v>24.3</v>
      </c>
      <c r="G88" s="18" cm="1">
        <f t="array" aca="1" ref="G88" ca="1">_FV(RTData[[#This Row],[Company Name]],"Open")</f>
        <v>24.38</v>
      </c>
      <c r="H88" s="18" cm="1">
        <f t="array" aca="1" ref="H88" ca="1">_FV(RTData[[#This Row],[Company Name]],"Price")</f>
        <v>24.635000000000002</v>
      </c>
      <c r="I88" s="18" cm="1">
        <f t="array" aca="1" ref="I88" ca="1">_FV(RTData[[#This Row],[Company Name]],"Low")</f>
        <v>24.16</v>
      </c>
      <c r="J88" s="18" cm="1">
        <f t="array" aca="1" ref="J88" ca="1">_FV(RTData[[#This Row],[Company Name]],"High")</f>
        <v>24.67</v>
      </c>
      <c r="K88" s="19" cm="1">
        <f t="array" aca="1" ref="K88" ca="1">IFERROR(_FV(RTData[[#This Row],[Company Name]],"P/E",TRUE),99)</f>
        <v>14.359400000000001</v>
      </c>
      <c r="L88" s="20" cm="1">
        <f t="array" aca="1" ref="L88" ca="1">_FV(RTData[[#This Row],[Company Name]],"Change")</f>
        <v>0.33500000000000002</v>
      </c>
      <c r="M88" s="21" cm="1">
        <f t="array" aca="1" ref="M88" ca="1">_FV(RTData[[#This Row],[Company Name]],"Change (%)",TRUE)</f>
        <v>1.3786E-2</v>
      </c>
      <c r="N88" s="18" cm="1">
        <f t="array" aca="1" ref="N88" ca="1">_FV(RTData[[#This Row],[Company Name]],"52 week low",TRUE)</f>
        <v>20.914999999999999</v>
      </c>
      <c r="O88" s="18" cm="1">
        <f t="array" aca="1" ref="O88" ca="1">_FV(RTData[[#This Row],[Company Name]],"52 week high",TRUE)</f>
        <v>28</v>
      </c>
      <c r="P88" s="22" cm="1">
        <f t="array" aca="1" ref="P88" ca="1">_FV(RTData[[#This Row],[Company Name]],"Volume")</f>
        <v>107154048</v>
      </c>
      <c r="Q88" s="22" cm="1">
        <f t="array" aca="1" ref="Q88" ca="1">_FV(RTData[[#This Row],[Company Name]],"Volume average",TRUE)</f>
        <v>68689569</v>
      </c>
      <c r="R88" s="18" cm="1">
        <f t="array" aca="1" ref="R88" ca="1">_FV(RTData[[#This Row],[Company Name]],"Beta")</f>
        <v>0.42470000000000002</v>
      </c>
      <c r="T88" t="s">
        <v>25</v>
      </c>
      <c r="U88" t="str" cm="1">
        <f t="array" aca="1" ref="U88" ca="1">_FV(RTData[[#This Row],[Company Name]],"Exchange abbreviation",TRUE)</f>
        <v>XNYS</v>
      </c>
      <c r="V88" s="23">
        <f ca="1">IFERROR(RTData[[#This Row],[Volume]]/RTData[[#This Row],[Volume average]],1)</f>
        <v>1.5599755473789623</v>
      </c>
      <c r="W88" s="23"/>
      <c r="X88" s="104">
        <f ca="1">_xlfn.XLOOKUP(RTData[[#This Row],[Ticker_Symbol]],TickerList!$G87:$G181,TickerList!L87:L181)</f>
        <v>28.751899999999999</v>
      </c>
      <c r="Y88" s="97">
        <f ca="1">_xlfn.XLOOKUP(RTData[[#This Row],[Ticker_Symbol]],TickerList!$G87:$G181,TickerList!M87:M181)</f>
        <v>45968</v>
      </c>
      <c r="Z88" s="97" t="str">
        <f ca="1">_xlfn.XLOOKUP(RTData[[#This Row],[Ticker_Symbol]],TickerList!$G87:$G181,TickerList!N87:N181)</f>
        <v>Nov 4, 2025</v>
      </c>
      <c r="AA88" s="98">
        <f ca="1">_xlfn.XLOOKUP(RTData[[#This Row],[Ticker_Symbol]],TickerList!$G87:$G181,TickerList!O87:O181)</f>
        <v>6.9800000000000001E-2</v>
      </c>
      <c r="AB88" s="99">
        <v>1E-4</v>
      </c>
      <c r="AC88" s="100">
        <v>3.0000000000000001E-3</v>
      </c>
      <c r="AD88" s="86">
        <v>33.15</v>
      </c>
      <c r="AE88" s="101">
        <f ca="1">_xlfn.LET(_xlpm.New1YT,RTData[[#This Row],[1YT]],        _xlpm.Old1YT,IF(ISNUMBER(RTData[[#This Row],[Old1YT]]),RTData[[#This Row],[Old1YT]],VALUE(LEFT(RTData[[#This Row],[Old1YT]],FIND("/",RTData[[#This Row],[Old1YT]],1)-1))),       IF(OR(RTData[[#This Row],[1YT]]=0,_xlpm.Old1YT=0),0,(_xlpm.New1YT-_xlpm.Old1YT)/_xlpm.Old1YT))</f>
        <v>-0.13267269984917043</v>
      </c>
      <c r="AF88" s="101" t="str">
        <f ca="1">TEXT(RTData[[#This Row],[1YT]],"#,#0.00")&amp;" &lt; "&amp;RTData[[#This Row],[Old1YT]]</f>
        <v>28.75 &lt; 33.15</v>
      </c>
    </row>
    <row r="89" spans="1:33" ht="22" customHeight="1" x14ac:dyDescent="0.3">
      <c r="A89" s="38" t="str" cm="1">
        <f t="array" aca="1" ref="A89" ca="1">_xlfn.SINGLE(RTData[suffix])&amp;_FV(RTData[[#This Row],[Company Name]],"Ticker symbol",TRUE)</f>
        <v>RIG</v>
      </c>
      <c r="B89" s="38">
        <f ca="1">D99</f>
        <v>0.8700191404210893</v>
      </c>
      <c r="C89" t="e" vm="68">
        <v>#VALUE!</v>
      </c>
      <c r="D89" s="113" t="str" cm="1">
        <f t="array" aca="1" ref="D89" ca="1">_FV(RTData[[#This Row],[Company Name]],"Currency")</f>
        <v>USD</v>
      </c>
      <c r="E89" s="17" cm="1">
        <f t="array" aca="1" ref="E89" ca="1">_FV(RTData[[#This Row],[Company Name]],"Last trade time",TRUE)</f>
        <v>45966.993013159372</v>
      </c>
      <c r="F89" s="18" cm="1">
        <f t="array" aca="1" ref="F89" ca="1">_FV(RTData[[#This Row],[Company Name]],"Previous close",TRUE)</f>
        <v>3.9</v>
      </c>
      <c r="G89" s="18" cm="1">
        <f t="array" aca="1" ref="G89" ca="1">_FV(RTData[[#This Row],[Company Name]],"Open")</f>
        <v>3.86</v>
      </c>
      <c r="H89" s="18" cm="1">
        <f t="array" aca="1" ref="H89" ca="1">_FV(RTData[[#This Row],[Company Name]],"Price")</f>
        <v>3.895</v>
      </c>
      <c r="I89" s="18" cm="1">
        <f t="array" aca="1" ref="I89" ca="1">_FV(RTData[[#This Row],[Company Name]],"Low")</f>
        <v>3.86</v>
      </c>
      <c r="J89" s="18" cm="1">
        <f t="array" aca="1" ref="J89" ca="1">_FV(RTData[[#This Row],[Company Name]],"High")</f>
        <v>3.98</v>
      </c>
      <c r="K89" s="19" cm="1">
        <f t="array" aca="1" ref="K89" ca="1">IFERROR(_FV(RTData[[#This Row],[Company Name]],"P/E",TRUE),99)</f>
        <v>0</v>
      </c>
      <c r="L89" s="20" cm="1">
        <f t="array" aca="1" ref="L89" ca="1">_FV(RTData[[#This Row],[Company Name]],"Change")</f>
        <v>-5.0000000000000001E-3</v>
      </c>
      <c r="M89" s="21" cm="1">
        <f t="array" aca="1" ref="M89" ca="1">_FV(RTData[[#This Row],[Company Name]],"Change (%)",TRUE)</f>
        <v>-1.2820000000000002E-3</v>
      </c>
      <c r="N89" s="18" cm="1">
        <f t="array" aca="1" ref="N89" ca="1">_FV(RTData[[#This Row],[Company Name]],"52 week low",TRUE)</f>
        <v>1.97</v>
      </c>
      <c r="O89" s="18" cm="1">
        <f t="array" aca="1" ref="O89" ca="1">_FV(RTData[[#This Row],[Company Name]],"52 week high",TRUE)</f>
        <v>4.74</v>
      </c>
      <c r="P89" s="22" cm="1">
        <f t="array" aca="1" ref="P89" ca="1">_FV(RTData[[#This Row],[Company Name]],"Volume")</f>
        <v>41839795</v>
      </c>
      <c r="Q89" s="22" cm="1">
        <f t="array" aca="1" ref="Q89" ca="1">_FV(RTData[[#This Row],[Company Name]],"Volume average",TRUE)</f>
        <v>58663474</v>
      </c>
      <c r="R89" s="18" cm="1">
        <f t="array" aca="1" ref="R89" ca="1">_FV(RTData[[#This Row],[Company Name]],"Beta")</f>
        <v>1.4067000000000001</v>
      </c>
      <c r="T89" t="s">
        <v>25</v>
      </c>
      <c r="U89" t="str" cm="1">
        <f t="array" aca="1" ref="U89" ca="1">_FV(RTData[[#This Row],[Company Name]],"Exchange abbreviation",TRUE)</f>
        <v>XNYS</v>
      </c>
      <c r="V89" s="23">
        <f ca="1">IFERROR(RTData[[#This Row],[Volume]]/RTData[[#This Row],[Volume average]],1)</f>
        <v>0.71321713746444682</v>
      </c>
      <c r="W89" s="23"/>
      <c r="X89" s="104">
        <f ca="1">_xlfn.XLOOKUP(RTData[[#This Row],[Ticker_Symbol]],TickerList!$G88:$G182,TickerList!L88:L182)</f>
        <v>3.9538500000000001</v>
      </c>
      <c r="Y89" s="97">
        <f ca="1">_xlfn.XLOOKUP(RTData[[#This Row],[Ticker_Symbol]],TickerList!$G88:$G182,TickerList!M88:M182)</f>
        <v>42237</v>
      </c>
      <c r="Z89" s="97" t="str">
        <f ca="1">_xlfn.XLOOKUP(RTData[[#This Row],[Ticker_Symbol]],TickerList!$G88:$G182,TickerList!N88:N182)</f>
        <v>Oct 29, 2025</v>
      </c>
      <c r="AA89" s="98">
        <f ca="1">_xlfn.XLOOKUP(RTData[[#This Row],[Ticker_Symbol]],TickerList!$G88:$G182,TickerList!O88:O182)</f>
        <v>0</v>
      </c>
      <c r="AB89" s="99">
        <v>1E-4</v>
      </c>
      <c r="AC89" s="100">
        <v>3.0000000000000001E-3</v>
      </c>
      <c r="AD89" s="86" t="s">
        <v>71</v>
      </c>
      <c r="AE89" s="101">
        <f ca="1">_xlfn.LET(_xlpm.New1YT,RTData[[#This Row],[1YT]],        _xlpm.Old1YT,IF(ISNUMBER(RTData[[#This Row],[Old1YT]]),RTData[[#This Row],[Old1YT]],VALUE(LEFT(RTData[[#This Row],[Old1YT]],FIND("/",RTData[[#This Row],[Old1YT]],1)-1))),       IF(OR(RTData[[#This Row],[1YT]]=0,_xlpm.Old1YT=0),0,(_xlpm.New1YT-_xlpm.Old1YT)/_xlpm.Old1YT))</f>
        <v>-3.0919117647058819E-2</v>
      </c>
      <c r="AF89" s="101" t="str">
        <f ca="1">TEXT(RTData[[#This Row],[1YT]],"#,#0.00")&amp;" &lt; "&amp;RTData[[#This Row],[Old1YT]]</f>
        <v>3.95 &lt; 4.08/5.31</v>
      </c>
    </row>
    <row r="90" spans="1:33" x14ac:dyDescent="0.3">
      <c r="A90" s="38" t="str" cm="1">
        <f t="array" aca="1" ref="A90" ca="1">_xlfn.SINGLE(RTData[suffix])&amp;_FV(RTData[[#This Row],[Company Name]],"Ticker symbol",TRUE)</f>
        <v>RRC</v>
      </c>
      <c r="B90" s="38">
        <f ca="1">D99</f>
        <v>0.8700191404210893</v>
      </c>
      <c r="C90" t="e" vm="69">
        <v>#VALUE!</v>
      </c>
      <c r="D90" s="113" t="str" cm="1">
        <f t="array" aca="1" ref="D90" ca="1">_FV(RTData[[#This Row],[Company Name]],"Currency")</f>
        <v>USD</v>
      </c>
      <c r="E90" s="17" cm="1">
        <f t="array" aca="1" ref="E90" ca="1">_FV(RTData[[#This Row],[Company Name]],"Last trade time",TRUE)</f>
        <v>45966.999886411715</v>
      </c>
      <c r="F90" s="18" cm="1">
        <f t="array" aca="1" ref="F90" ca="1">_FV(RTData[[#This Row],[Company Name]],"Previous close",TRUE)</f>
        <v>37.03</v>
      </c>
      <c r="G90" s="18" cm="1">
        <f t="array" aca="1" ref="G90" ca="1">_FV(RTData[[#This Row],[Company Name]],"Open")</f>
        <v>36.909999999999997</v>
      </c>
      <c r="H90" s="18" cm="1">
        <f t="array" aca="1" ref="H90" ca="1">_FV(RTData[[#This Row],[Company Name]],"Price")</f>
        <v>37.08</v>
      </c>
      <c r="I90" s="18" cm="1">
        <f t="array" aca="1" ref="I90" ca="1">_FV(RTData[[#This Row],[Company Name]],"Low")</f>
        <v>36.72</v>
      </c>
      <c r="J90" s="18" cm="1">
        <f t="array" aca="1" ref="J90" ca="1">_FV(RTData[[#This Row],[Company Name]],"High")</f>
        <v>37.555</v>
      </c>
      <c r="K90" s="19" cm="1">
        <f t="array" aca="1" ref="K90" ca="1">IFERROR(_FV(RTData[[#This Row],[Company Name]],"P/E",TRUE),99)</f>
        <v>15.571300000000001</v>
      </c>
      <c r="L90" s="20" cm="1">
        <f t="array" aca="1" ref="L90" ca="1">_FV(RTData[[#This Row],[Company Name]],"Change")</f>
        <v>0.05</v>
      </c>
      <c r="M90" s="21" cm="1">
        <f t="array" aca="1" ref="M90" ca="1">_FV(RTData[[#This Row],[Company Name]],"Change (%)",TRUE)</f>
        <v>1.3500000000000001E-3</v>
      </c>
      <c r="N90" s="18" cm="1">
        <f t="array" aca="1" ref="N90" ca="1">_FV(RTData[[#This Row],[Company Name]],"52 week low",TRUE)</f>
        <v>30.32</v>
      </c>
      <c r="O90" s="18" cm="1">
        <f t="array" aca="1" ref="O90" ca="1">_FV(RTData[[#This Row],[Company Name]],"52 week high",TRUE)</f>
        <v>43.5</v>
      </c>
      <c r="P90" s="22" cm="1">
        <f t="array" aca="1" ref="P90" ca="1">_FV(RTData[[#This Row],[Company Name]],"Volume")</f>
        <v>2583155</v>
      </c>
      <c r="Q90" s="22" cm="1">
        <f t="array" aca="1" ref="Q90" ca="1">_FV(RTData[[#This Row],[Company Name]],"Volume average",TRUE)</f>
        <v>3095125</v>
      </c>
      <c r="R90" s="18" cm="1">
        <f t="array" aca="1" ref="R90" ca="1">_FV(RTData[[#This Row],[Company Name]],"Beta")</f>
        <v>0.47420000000000001</v>
      </c>
      <c r="T90" t="s">
        <v>25</v>
      </c>
      <c r="U90" t="str" cm="1">
        <f t="array" aca="1" ref="U90" ca="1">_FV(RTData[[#This Row],[Company Name]],"Exchange abbreviation",TRUE)</f>
        <v>XNYS</v>
      </c>
      <c r="V90" s="23">
        <f ca="1">IFERROR(RTData[[#This Row],[Volume]]/RTData[[#This Row],[Volume average]],1)</f>
        <v>0.83458826380194662</v>
      </c>
      <c r="W90" s="23"/>
      <c r="X90" s="104">
        <f ca="1">_xlfn.XLOOKUP(RTData[[#This Row],[Ticker_Symbol]],TickerList!$G89:$G183,TickerList!L89:L183)</f>
        <v>41.415419999999997</v>
      </c>
      <c r="Y90" s="97">
        <f ca="1">_xlfn.XLOOKUP(RTData[[#This Row],[Ticker_Symbol]],TickerList!$G89:$G183,TickerList!M89:M183)</f>
        <v>45912</v>
      </c>
      <c r="Z90" s="97" t="str">
        <f ca="1">_xlfn.XLOOKUP(RTData[[#This Row],[Ticker_Symbol]],TickerList!$G89:$G183,TickerList!N89:N183)</f>
        <v>Oct 28, 2025</v>
      </c>
      <c r="AA90" s="98">
        <f ca="1">_xlfn.XLOOKUP(RTData[[#This Row],[Ticker_Symbol]],TickerList!$G89:$G183,TickerList!O89:O183)</f>
        <v>1.01E-2</v>
      </c>
      <c r="AB90" s="99">
        <v>1E-4</v>
      </c>
      <c r="AC90" s="100">
        <v>3.0000000000000001E-3</v>
      </c>
      <c r="AD90" s="86" t="s">
        <v>59</v>
      </c>
      <c r="AE90" s="101">
        <f ca="1">_xlfn.LET(_xlpm.New1YT,RTData[[#This Row],[1YT]],        _xlpm.Old1YT,IF(ISNUMBER(RTData[[#This Row],[Old1YT]]),RTData[[#This Row],[Old1YT]],VALUE(LEFT(RTData[[#This Row],[Old1YT]],FIND("/",RTData[[#This Row],[Old1YT]],1)-1))),       IF(OR(RTData[[#This Row],[1YT]]=0,_xlpm.Old1YT=0),0,(_xlpm.New1YT-_xlpm.Old1YT)/_xlpm.Old1YT))</f>
        <v>7.6254196876064601E-3</v>
      </c>
      <c r="AF90" s="101" t="str">
        <f ca="1">TEXT(RTData[[#This Row],[1YT]],"#,#0.00")&amp;" &lt; "&amp;RTData[[#This Row],[Old1YT]]</f>
        <v>41.42 &lt; 41.102/38.77</v>
      </c>
    </row>
    <row r="91" spans="1:33" ht="22" customHeight="1" x14ac:dyDescent="0.3">
      <c r="A91" s="38" t="str" cm="1">
        <f t="array" aca="1" ref="A91" ca="1">_xlfn.SINGLE(RTData[suffix])&amp;_FV(RTData[[#This Row],[Company Name]],"Ticker symbol",TRUE)</f>
        <v>XYZ</v>
      </c>
      <c r="B91" s="38">
        <f ca="1">D99</f>
        <v>0.8700191404210893</v>
      </c>
      <c r="C91" t="e" vm="70">
        <v>#VALUE!</v>
      </c>
      <c r="D91" s="113" t="str" cm="1">
        <f t="array" aca="1" ref="D91" ca="1">_FV(RTData[[#This Row],[Company Name]],"Currency")</f>
        <v>USD</v>
      </c>
      <c r="E91" s="17" cm="1">
        <f t="array" aca="1" ref="E91" ca="1">_FV(RTData[[#This Row],[Company Name]],"Last trade time",TRUE)</f>
        <v>45966.999222546096</v>
      </c>
      <c r="F91" s="18" cm="1">
        <f t="array" aca="1" ref="F91" ca="1">_FV(RTData[[#This Row],[Company Name]],"Previous close",TRUE)</f>
        <v>72.58</v>
      </c>
      <c r="G91" s="18" cm="1">
        <f t="array" aca="1" ref="G91" ca="1">_FV(RTData[[#This Row],[Company Name]],"Open")</f>
        <v>72.88</v>
      </c>
      <c r="H91" s="18" cm="1">
        <f t="array" aca="1" ref="H91" ca="1">_FV(RTData[[#This Row],[Company Name]],"Price")</f>
        <v>73.650000000000006</v>
      </c>
      <c r="I91" s="18" cm="1">
        <f t="array" aca="1" ref="I91" ca="1">_FV(RTData[[#This Row],[Company Name]],"Low")</f>
        <v>72.349999999999994</v>
      </c>
      <c r="J91" s="18" cm="1">
        <f t="array" aca="1" ref="J91" ca="1">_FV(RTData[[#This Row],[Company Name]],"High")</f>
        <v>74.649299999999997</v>
      </c>
      <c r="K91" s="19" cm="1">
        <f t="array" aca="1" ref="K91" ca="1">IFERROR(_FV(RTData[[#This Row],[Company Name]],"P/E",TRUE),99)</f>
        <v>43.492400000000004</v>
      </c>
      <c r="L91" s="20" cm="1">
        <f t="array" aca="1" ref="L91" ca="1">_FV(RTData[[#This Row],[Company Name]],"Change")</f>
        <v>1.07</v>
      </c>
      <c r="M91" s="21" cm="1">
        <f t="array" aca="1" ref="M91" ca="1">_FV(RTData[[#This Row],[Company Name]],"Change (%)",TRUE)</f>
        <v>1.4742E-2</v>
      </c>
      <c r="N91" s="18" cm="1">
        <f t="array" aca="1" ref="N91" ca="1">_FV(RTData[[#This Row],[Company Name]],"52 week low",TRUE)</f>
        <v>44.27</v>
      </c>
      <c r="O91" s="18" cm="1">
        <f t="array" aca="1" ref="O91" ca="1">_FV(RTData[[#This Row],[Company Name]],"52 week high",TRUE)</f>
        <v>99.26</v>
      </c>
      <c r="P91" s="22" cm="1">
        <f t="array" aca="1" ref="P91" ca="1">_FV(RTData[[#This Row],[Company Name]],"Volume")</f>
        <v>5305822</v>
      </c>
      <c r="Q91" s="22" cm="1">
        <f t="array" aca="1" ref="Q91" ca="1">_FV(RTData[[#This Row],[Company Name]],"Volume average",TRUE)</f>
        <v>5500712</v>
      </c>
      <c r="R91" s="18" cm="1">
        <f t="array" aca="1" ref="R91" ca="1">_FV(RTData[[#This Row],[Company Name]],"Beta")</f>
        <v>2.6463000000000001</v>
      </c>
      <c r="T91" t="s">
        <v>25</v>
      </c>
      <c r="U91" t="str" cm="1">
        <f t="array" aca="1" ref="U91" ca="1">_FV(RTData[[#This Row],[Company Name]],"Exchange abbreviation",TRUE)</f>
        <v>XNYS</v>
      </c>
      <c r="V91" s="23">
        <f ca="1">IFERROR(RTData[[#This Row],[Volume]]/RTData[[#This Row],[Volume average]],1)</f>
        <v>0.96457004111467748</v>
      </c>
      <c r="W91" s="23"/>
      <c r="X91" s="104">
        <f ca="1">_xlfn.XLOOKUP(RTData[[#This Row],[Ticker_Symbol]],TickerList!$G90:$G184,TickerList!L90:L184)</f>
        <v>88.505260000000007</v>
      </c>
      <c r="Y91" s="97">
        <f ca="1">_xlfn.XLOOKUP(RTData[[#This Row],[Ticker_Symbol]],TickerList!$G90:$G184,TickerList!M90:M184)</f>
        <v>0</v>
      </c>
      <c r="Z91" s="97" t="str">
        <f ca="1">_xlfn.XLOOKUP(RTData[[#This Row],[Ticker_Symbol]],TickerList!$G90:$G184,TickerList!N90:N184)</f>
        <v>Nov 6, 2025</v>
      </c>
      <c r="AA91" s="98">
        <f ca="1">_xlfn.XLOOKUP(RTData[[#This Row],[Ticker_Symbol]],TickerList!$G90:$G184,TickerList!O90:O184)</f>
        <v>0</v>
      </c>
      <c r="AB91" s="99">
        <v>1E-4</v>
      </c>
      <c r="AC91" s="100">
        <v>3.0000000000000001E-3</v>
      </c>
      <c r="AD91" s="86" t="s">
        <v>72</v>
      </c>
      <c r="AE91" s="101">
        <f ca="1">_xlfn.LET(_xlpm.New1YT,RTData[[#This Row],[1YT]],        _xlpm.Old1YT,IF(ISNUMBER(RTData[[#This Row],[Old1YT]]),RTData[[#This Row],[Old1YT]],VALUE(LEFT(RTData[[#This Row],[Old1YT]],FIND("/",RTData[[#This Row],[Old1YT]],1)-1))),       IF(OR(RTData[[#This Row],[1YT]]=0,_xlpm.Old1YT=0),0,(_xlpm.New1YT-_xlpm.Old1YT)/_xlpm.Old1YT))</f>
        <v>0.16993073364177133</v>
      </c>
      <c r="AF91" s="101" t="str">
        <f ca="1">TEXT(RTData[[#This Row],[1YT]],"#,#0.00")&amp;" &lt; "&amp;RTData[[#This Row],[Old1YT]]</f>
        <v>88.51 &lt; 75.65/69.81/87.12</v>
      </c>
    </row>
    <row r="92" spans="1:33" ht="22" customHeight="1" x14ac:dyDescent="0.3">
      <c r="A92" s="38" t="str" cm="1">
        <f t="array" aca="1" ref="A92" ca="1">_xlfn.SINGLE(RTData[suffix])&amp;_FV(RTData[[#This Row],[Company Name]],"Ticker symbol",TRUE)</f>
        <v>THC</v>
      </c>
      <c r="B92" s="38">
        <f ca="1">D99</f>
        <v>0.8700191404210893</v>
      </c>
      <c r="C92" t="e" vm="71">
        <v>#VALUE!</v>
      </c>
      <c r="D92" s="113" t="str" cm="1">
        <f t="array" aca="1" ref="D92" ca="1">_FV(RTData[[#This Row],[Company Name]],"Currency")</f>
        <v>USD</v>
      </c>
      <c r="E92" s="17" cm="1">
        <f t="array" aca="1" ref="E92" ca="1">_FV(RTData[[#This Row],[Company Name]],"Last trade time",TRUE)</f>
        <v>45966.979166666664</v>
      </c>
      <c r="F92" s="18" cm="1">
        <f t="array" aca="1" ref="F92" ca="1">_FV(RTData[[#This Row],[Company Name]],"Previous close",TRUE)</f>
        <v>207.73</v>
      </c>
      <c r="G92" s="18" cm="1">
        <f t="array" aca="1" ref="G92" ca="1">_FV(RTData[[#This Row],[Company Name]],"Open")</f>
        <v>206.49</v>
      </c>
      <c r="H92" s="18" cm="1">
        <f t="array" aca="1" ref="H92" ca="1">_FV(RTData[[#This Row],[Company Name]],"Price")</f>
        <v>208.62</v>
      </c>
      <c r="I92" s="18" cm="1">
        <f t="array" aca="1" ref="I92" ca="1">_FV(RTData[[#This Row],[Company Name]],"Low")</f>
        <v>203.94</v>
      </c>
      <c r="J92" s="18" cm="1">
        <f t="array" aca="1" ref="J92" ca="1">_FV(RTData[[#This Row],[Company Name]],"High")</f>
        <v>209.16499999999999</v>
      </c>
      <c r="K92" s="19" cm="1">
        <f t="array" aca="1" ref="K92" ca="1">IFERROR(_FV(RTData[[#This Row],[Company Name]],"P/E",TRUE),99)</f>
        <v>13.8658</v>
      </c>
      <c r="L92" s="20" cm="1">
        <f t="array" aca="1" ref="L92" ca="1">_FV(RTData[[#This Row],[Company Name]],"Change")</f>
        <v>0.89</v>
      </c>
      <c r="M92" s="21" cm="1">
        <f t="array" aca="1" ref="M92" ca="1">_FV(RTData[[#This Row],[Company Name]],"Change (%)",TRUE)</f>
        <v>4.2839999999999996E-3</v>
      </c>
      <c r="N92" s="18" cm="1">
        <f t="array" aca="1" ref="N92" ca="1">_FV(RTData[[#This Row],[Company Name]],"52 week low",TRUE)</f>
        <v>109.82389999999999</v>
      </c>
      <c r="O92" s="18" cm="1">
        <f t="array" aca="1" ref="O92" ca="1">_FV(RTData[[#This Row],[Company Name]],"52 week high",TRUE)</f>
        <v>217.42500000000001</v>
      </c>
      <c r="P92" s="22" cm="1">
        <f t="array" aca="1" ref="P92" ca="1">_FV(RTData[[#This Row],[Company Name]],"Volume")</f>
        <v>981993</v>
      </c>
      <c r="Q92" s="22" cm="1">
        <f t="array" aca="1" ref="Q92" ca="1">_FV(RTData[[#This Row],[Company Name]],"Volume average",TRUE)</f>
        <v>1060202</v>
      </c>
      <c r="R92" s="18" cm="1">
        <f t="array" aca="1" ref="R92" ca="1">_FV(RTData[[#This Row],[Company Name]],"Beta")</f>
        <v>1.4472</v>
      </c>
      <c r="T92" t="s">
        <v>25</v>
      </c>
      <c r="U92" t="str" cm="1">
        <f t="array" aca="1" ref="U92" ca="1">_FV(RTData[[#This Row],[Company Name]],"Exchange abbreviation",TRUE)</f>
        <v>XNYS</v>
      </c>
      <c r="V92" s="23">
        <f ca="1">IFERROR(RTData[[#This Row],[Volume]]/RTData[[#This Row],[Volume average]],1)</f>
        <v>0.92623198220716429</v>
      </c>
      <c r="W92" s="23"/>
      <c r="X92" s="104">
        <f ca="1">_xlfn.XLOOKUP(RTData[[#This Row],[Ticker_Symbol]],TickerList!$G91:$G185,TickerList!L91:L185)</f>
        <v>229.61904999999999</v>
      </c>
      <c r="Y92" s="97">
        <f ca="1">_xlfn.XLOOKUP(RTData[[#This Row],[Ticker_Symbol]],TickerList!$G91:$G185,TickerList!M91:M185)</f>
        <v>36598</v>
      </c>
      <c r="Z92" s="97" t="str">
        <f ca="1">_xlfn.XLOOKUP(RTData[[#This Row],[Ticker_Symbol]],TickerList!$G91:$G185,TickerList!N91:N185)</f>
        <v>Oct 28, 2025</v>
      </c>
      <c r="AA92" s="98">
        <f ca="1">_xlfn.XLOOKUP(RTData[[#This Row],[Ticker_Symbol]],TickerList!$G91:$G185,TickerList!O91:O185)</f>
        <v>0</v>
      </c>
      <c r="AB92" s="99">
        <v>1E-4</v>
      </c>
      <c r="AC92" s="100">
        <v>3.0000000000000001E-3</v>
      </c>
      <c r="AD92" s="86">
        <v>177.21</v>
      </c>
      <c r="AE92" s="101">
        <f ca="1">_xlfn.LET(_xlpm.New1YT,RTData[[#This Row],[1YT]],        _xlpm.Old1YT,IF(ISNUMBER(RTData[[#This Row],[Old1YT]]),RTData[[#This Row],[Old1YT]],VALUE(LEFT(RTData[[#This Row],[Old1YT]],FIND("/",RTData[[#This Row],[Old1YT]],1)-1))),       IF(OR(RTData[[#This Row],[1YT]]=0,_xlpm.Old1YT=0),0,(_xlpm.New1YT-_xlpm.Old1YT)/_xlpm.Old1YT))</f>
        <v>0.2957454432594096</v>
      </c>
      <c r="AF92" s="101" t="str">
        <f ca="1">TEXT(RTData[[#This Row],[1YT]],"#,#0.00")&amp;" &lt; "&amp;RTData[[#This Row],[Old1YT]]</f>
        <v>229.62 &lt; 177.21</v>
      </c>
    </row>
    <row r="93" spans="1:33" ht="22" customHeight="1" x14ac:dyDescent="0.3">
      <c r="A93" s="38" t="str" cm="1">
        <f t="array" aca="1" ref="A93" ca="1">_xlfn.SINGLE(RTData[suffix])&amp;_FV(RTData[[#This Row],[Company Name]],"Ticker symbol",TRUE)</f>
        <v>X</v>
      </c>
      <c r="B93" s="38">
        <f ca="1">D99</f>
        <v>0.8700191404210893</v>
      </c>
      <c r="C93" t="e" vm="72">
        <v>#VALUE!</v>
      </c>
      <c r="D93" s="113" t="str" cm="1">
        <f t="array" aca="1" ref="D93" ca="1">_FV(RTData[[#This Row],[Company Name]],"Currency")</f>
        <v>USD</v>
      </c>
      <c r="E93" s="17" cm="1">
        <f t="array" aca="1" ref="E93" ca="1">_FV(RTData[[#This Row],[Company Name]],"Last trade time",TRUE)</f>
        <v>45825.999177476566</v>
      </c>
      <c r="F93" s="18" cm="1">
        <f t="array" aca="1" ref="F93" ca="1">_FV(RTData[[#This Row],[Company Name]],"Previous close",TRUE)</f>
        <v>54.85</v>
      </c>
      <c r="G93" s="18" cm="1">
        <f t="array" aca="1" ref="G93" ca="1">_FV(RTData[[#This Row],[Company Name]],"Open")</f>
        <v>54.83</v>
      </c>
      <c r="H93" s="18" cm="1">
        <f t="array" aca="1" ref="H93" ca="1">_FV(RTData[[#This Row],[Company Name]],"Price")</f>
        <v>54.84</v>
      </c>
      <c r="I93" s="18" cm="1">
        <f t="array" aca="1" ref="I93" ca="1">_FV(RTData[[#This Row],[Company Name]],"Low")</f>
        <v>54.78</v>
      </c>
      <c r="J93" s="18" cm="1">
        <f t="array" aca="1" ref="J93" ca="1">_FV(RTData[[#This Row],[Company Name]],"High")</f>
        <v>54.89</v>
      </c>
      <c r="K93" s="19" cm="1">
        <f t="array" aca="1" ref="K93" ca="1">IFERROR(_FV(RTData[[#This Row],[Company Name]],"P/E",TRUE),99)</f>
        <v>186.1634</v>
      </c>
      <c r="L93" s="20" cm="1">
        <f t="array" aca="1" ref="L93" ca="1">_FV(RTData[[#This Row],[Company Name]],"Change")</f>
        <v>0</v>
      </c>
      <c r="M93" s="21" cm="1">
        <f t="array" aca="1" ref="M93" ca="1">_FV(RTData[[#This Row],[Company Name]],"Change (%)",TRUE)</f>
        <v>0</v>
      </c>
      <c r="N93" s="18" cm="1">
        <f t="array" aca="1" ref="N93" ca="1">_FV(RTData[[#This Row],[Company Name]],"52 week low",TRUE)</f>
        <v>26.914999999999999</v>
      </c>
      <c r="O93" s="18" cm="1">
        <f t="array" aca="1" ref="O93" ca="1">_FV(RTData[[#This Row],[Company Name]],"52 week high",TRUE)</f>
        <v>54.91</v>
      </c>
      <c r="P93" s="22" cm="1">
        <f t="array" aca="1" ref="P93" ca="1">_FV(RTData[[#This Row],[Company Name]],"Volume")</f>
        <v>876</v>
      </c>
      <c r="Q93" s="22" cm="1">
        <f t="array" aca="1" ref="Q93" ca="1">_FV(RTData[[#This Row],[Company Name]],"Volume average",TRUE)</f>
        <v>12153533</v>
      </c>
      <c r="R93" s="18" cm="1">
        <f t="array" aca="1" ref="R93" ca="1">_FV(RTData[[#This Row],[Company Name]],"Beta")</f>
        <v>1.8781000000000001</v>
      </c>
      <c r="T93" t="s">
        <v>25</v>
      </c>
      <c r="U93" t="str" cm="1">
        <f t="array" aca="1" ref="U93" ca="1">_FV(RTData[[#This Row],[Company Name]],"Exchange abbreviation",TRUE)</f>
        <v>XNYS</v>
      </c>
      <c r="V93" s="23">
        <f ca="1">IFERROR(RTData[[#This Row],[Volume]]/RTData[[#This Row],[Volume average]],1)</f>
        <v>7.2077806511077887E-5</v>
      </c>
      <c r="W93" s="23"/>
      <c r="X93" s="104">
        <f ca="1">_xlfn.XLOOKUP(RTData[[#This Row],[Ticker_Symbol]],TickerList!$G92:$G186,TickerList!L92:L186)</f>
        <v>0</v>
      </c>
      <c r="Y93" s="97">
        <f ca="1">_xlfn.XLOOKUP(RTData[[#This Row],[Ticker_Symbol]],TickerList!$G92:$G186,TickerList!M92:M186)</f>
        <v>0</v>
      </c>
      <c r="Z93" s="97">
        <f ca="1">_xlfn.XLOOKUP(RTData[[#This Row],[Ticker_Symbol]],TickerList!$G92:$G186,TickerList!N92:N186)</f>
        <v>0</v>
      </c>
      <c r="AA93" s="98">
        <f ca="1">_xlfn.XLOOKUP(RTData[[#This Row],[Ticker_Symbol]],TickerList!$G92:$G186,TickerList!O92:O186)</f>
        <v>0</v>
      </c>
      <c r="AB93" s="99">
        <v>1E-4</v>
      </c>
      <c r="AC93" s="100">
        <v>3.0000000000000001E-3</v>
      </c>
      <c r="AD93" s="86">
        <v>39.130000000000003</v>
      </c>
      <c r="AE93" s="101">
        <f ca="1">_xlfn.LET(_xlpm.New1YT,RTData[[#This Row],[1YT]],        _xlpm.Old1YT,IF(ISNUMBER(RTData[[#This Row],[Old1YT]]),RTData[[#This Row],[Old1YT]],VALUE(LEFT(RTData[[#This Row],[Old1YT]],FIND("/",RTData[[#This Row],[Old1YT]],1)-1))),       IF(OR(RTData[[#This Row],[1YT]]=0,_xlpm.Old1YT=0),0,(_xlpm.New1YT-_xlpm.Old1YT)/_xlpm.Old1YT))</f>
        <v>0</v>
      </c>
      <c r="AF93" s="101" t="str">
        <f ca="1">TEXT(RTData[[#This Row],[1YT]],"#,#0.00")&amp;" &lt; "&amp;RTData[[#This Row],[Old1YT]]</f>
        <v>0.00 &lt; 39.13</v>
      </c>
    </row>
    <row r="94" spans="1:33" x14ac:dyDescent="0.3">
      <c r="A94" s="38" t="str" cm="1">
        <f t="array" aca="1" ref="A94" ca="1">_xlfn.SINGLE(RTData[suffix])&amp;_FV(RTData[[#This Row],[Company Name]],"Ticker symbol",TRUE)</f>
        <v>LOCK</v>
      </c>
      <c r="B94" s="54">
        <v>1</v>
      </c>
      <c r="C94" t="e" vm="73">
        <v>#VALUE!</v>
      </c>
      <c r="D94" s="113" t="str" cm="1">
        <f t="array" aca="1" ref="D94" ca="1">_FV(RTData[[#This Row],[Company Name]],"Currency")</f>
        <v>USD</v>
      </c>
      <c r="E94" s="17" cm="1">
        <f t="array" aca="1" ref="E94" ca="1">_FV(RTData[[#This Row],[Company Name]],"Last trade time",TRUE)</f>
        <v>45966.711099537039</v>
      </c>
      <c r="F94" s="27" cm="1">
        <f t="array" aca="1" ref="F94" ca="1">_FV(RTData[[#This Row],[Company Name]],"Previous close",TRUE)</f>
        <v>10.401999999999999</v>
      </c>
      <c r="G94" s="27" cm="1">
        <f t="array" aca="1" ref="G94" ca="1">_FV(RTData[[#This Row],[Company Name]],"Open")</f>
        <v>10.25</v>
      </c>
      <c r="H94" s="27" cm="1">
        <f t="array" aca="1" ref="H94" ca="1">_FV(RTData[[#This Row],[Company Name]],"Price")</f>
        <v>10.316000000000001</v>
      </c>
      <c r="I94" s="27" cm="1">
        <f t="array" aca="1" ref="I94" ca="1">_FV(RTData[[#This Row],[Company Name]],"Low")</f>
        <v>10.228</v>
      </c>
      <c r="J94" s="27" cm="1">
        <f t="array" aca="1" ref="J94" ca="1">_FV(RTData[[#This Row],[Company Name]],"High")</f>
        <v>10.316000000000001</v>
      </c>
      <c r="K94" s="19" cm="1">
        <f t="array" ref="K94">IFERROR(_FV(RTData[[#This Row],[Company Name]],"P/E",TRUE),99)</f>
        <v>99</v>
      </c>
      <c r="L94" s="20" cm="1">
        <f t="array" aca="1" ref="L94" ca="1">_FV(RTData[[#This Row],[Company Name]],"Change")</f>
        <v>-8.5999999999999993E-2</v>
      </c>
      <c r="M94" s="21" cm="1">
        <f t="array" aca="1" ref="M94" ca="1">_FV(RTData[[#This Row],[Company Name]],"Change (%)",TRUE)</f>
        <v>-8.2679999999999993E-3</v>
      </c>
      <c r="N94" s="18" cm="1">
        <f t="array" aca="1" ref="N94" ca="1">_FV(RTData[[#This Row],[Company Name]],"52 week low",TRUE)</f>
        <v>7.4260000000000002</v>
      </c>
      <c r="O94" s="18" cm="1">
        <f t="array" aca="1" ref="O94" ca="1">_FV(RTData[[#This Row],[Company Name]],"52 week high",TRUE)</f>
        <v>10.672000000000001</v>
      </c>
      <c r="P94" s="22" cm="1">
        <f t="array" aca="1" ref="P94" ca="1">_FV(RTData[[#This Row],[Company Name]],"Volume")</f>
        <v>34017</v>
      </c>
      <c r="Q94" s="22" t="e" cm="1" vm="74">
        <f t="array" ref="Q94">_FV(RTData[[#This Row],[Company Name]],"Volume average",TRUE)</f>
        <v>#VALUE!</v>
      </c>
      <c r="R94" s="18" cm="1">
        <f t="array" aca="1" ref="R94" ca="1">_FV(RTData[[#This Row],[Company Name]],"Beta")</f>
        <v>0.57769999999999999</v>
      </c>
      <c r="T94" t="s">
        <v>25</v>
      </c>
      <c r="U94" t="str" cm="1">
        <f t="array" aca="1" ref="U94" ca="1">_FV(RTData[[#This Row],[Company Name]],"Exchange abbreviation",TRUE)</f>
        <v>XSWX</v>
      </c>
      <c r="V94" s="23">
        <f ca="1">IFERROR(RTData[[#This Row],[Volume]]/RTData[[#This Row],[Volume average]],1)</f>
        <v>1</v>
      </c>
      <c r="W94" s="23"/>
      <c r="X94" s="104">
        <f ca="1">_xlfn.XLOOKUP(RTData[[#This Row],[Ticker_Symbol]],TickerList!$G93:$G187,TickerList!L93:L187)</f>
        <v>0</v>
      </c>
      <c r="Y94" s="97">
        <f ca="1">_xlfn.XLOOKUP(RTData[[#This Row],[Ticker_Symbol]],TickerList!$G93:$G187,TickerList!M93:M187)</f>
        <v>0</v>
      </c>
      <c r="Z94" s="97">
        <f ca="1">_xlfn.XLOOKUP(RTData[[#This Row],[Ticker_Symbol]],TickerList!$G93:$G187,TickerList!N93:N187)</f>
        <v>0</v>
      </c>
      <c r="AA94" s="98">
        <f ca="1">_xlfn.XLOOKUP(RTData[[#This Row],[Ticker_Symbol]],TickerList!$G93:$G187,TickerList!O93:O187)</f>
        <v>0</v>
      </c>
      <c r="AB94" s="99">
        <f>[1]Sheet2!H93</f>
        <v>0</v>
      </c>
      <c r="AC94" s="100">
        <f>[1]Sheet2!I93</f>
        <v>0</v>
      </c>
      <c r="AD94" s="86">
        <v>10.58</v>
      </c>
      <c r="AE94" s="101">
        <f ca="1">_xlfn.LET(_xlpm.New1YT,RTData[[#This Row],[1YT]],        _xlpm.Old1YT,IF(ISNUMBER(RTData[[#This Row],[Old1YT]]),RTData[[#This Row],[Old1YT]],VALUE(LEFT(RTData[[#This Row],[Old1YT]],FIND("/",RTData[[#This Row],[Old1YT]],1)-1))),       IF(OR(RTData[[#This Row],[1YT]]=0,_xlpm.Old1YT=0),0,(_xlpm.New1YT-_xlpm.Old1YT)/_xlpm.Old1YT))</f>
        <v>0</v>
      </c>
      <c r="AF94" s="101" t="str">
        <f ca="1">TEXT(RTData[[#This Row],[1YT]],"#,#0.00")&amp;" &lt; "&amp;RTData[[#This Row],[Old1YT]]</f>
        <v>0.00 &lt; 10.58</v>
      </c>
      <c r="AG94" s="49"/>
    </row>
    <row r="95" spans="1:33" ht="22" customHeight="1" x14ac:dyDescent="0.3">
      <c r="A95" s="38" t="str" cm="1">
        <f t="array" aca="1" ref="A95" ca="1">_xlfn.SINGLE(RTData[suffix])&amp;_FV(RTData[[#This Row],[Company Name]],"Ticker symbol",TRUE)</f>
        <v>JBASML</v>
      </c>
      <c r="B95" s="54">
        <v>1</v>
      </c>
      <c r="C95" t="e" vm="6">
        <v>#VALUE!</v>
      </c>
      <c r="D95" s="113" t="str" cm="1">
        <f t="array" aca="1" ref="D95" ca="1">_FV(RTData[[#This Row],[Company Name]],"Currency")</f>
        <v>EUR</v>
      </c>
      <c r="E95" s="17" cm="1">
        <f t="array" aca="1" ref="E95" ca="1">_FV(RTData[[#This Row],[Company Name]],"Last trade time",TRUE)</f>
        <v>45966.708333333336</v>
      </c>
      <c r="F95" s="27" cm="1">
        <f t="array" aca="1" ref="F95" ca="1">_FV(RTData[[#This Row],[Company Name]],"Previous close",TRUE)</f>
        <v>918</v>
      </c>
      <c r="G95" s="27" cm="1">
        <f t="array" aca="1" ref="G95" ca="1">_FV(RTData[[#This Row],[Company Name]],"Open")</f>
        <v>882.9</v>
      </c>
      <c r="H95" s="27" cm="1">
        <f t="array" aca="1" ref="H95" ca="1">_FV(RTData[[#This Row],[Company Name]],"Price")</f>
        <v>906.6</v>
      </c>
      <c r="I95" s="27" cm="1">
        <f t="array" aca="1" ref="I95" ca="1">_FV(RTData[[#This Row],[Company Name]],"Low")</f>
        <v>878.4</v>
      </c>
      <c r="J95" s="27" cm="1">
        <f t="array" aca="1" ref="J95" ca="1">_FV(RTData[[#This Row],[Company Name]],"High")</f>
        <v>913.3</v>
      </c>
      <c r="K95" s="19" cm="1">
        <f t="array" aca="1" ref="K95" ca="1">IFERROR(_FV(RTData[[#This Row],[Company Name]],"P/E",TRUE),99)</f>
        <v>34.810200000000002</v>
      </c>
      <c r="L95" s="20" cm="1">
        <f t="array" aca="1" ref="L95" ca="1">_FV(RTData[[#This Row],[Company Name]],"Change")</f>
        <v>-11.4</v>
      </c>
      <c r="M95" s="21" cm="1">
        <f t="array" aca="1" ref="M95" ca="1">_FV(RTData[[#This Row],[Company Name]],"Change (%)",TRUE)</f>
        <v>-1.2418E-2</v>
      </c>
      <c r="N95" s="27" cm="1">
        <f t="array" aca="1" ref="N95" ca="1">_FV(RTData[[#This Row],[Company Name]],"52 week low",TRUE)</f>
        <v>508.4</v>
      </c>
      <c r="O95" s="27" cm="1">
        <f t="array" aca="1" ref="O95" ca="1">_FV(RTData[[#This Row],[Company Name]],"52 week high",TRUE)</f>
        <v>913.3</v>
      </c>
      <c r="P95" s="22" cm="1">
        <f t="array" aca="1" ref="P95" ca="1">_FV(RTData[[#This Row],[Company Name]],"Volume")</f>
        <v>663558</v>
      </c>
      <c r="Q95" s="22" cm="1">
        <f t="array" aca="1" ref="Q95" ca="1">_FV(RTData[[#This Row],[Company Name]],"Volume average",TRUE)</f>
        <v>547460</v>
      </c>
      <c r="R95" s="18" cm="1">
        <f t="array" aca="1" ref="R95" ca="1">_FV(RTData[[#This Row],[Company Name]],"Beta")</f>
        <v>2.1158000000000001</v>
      </c>
      <c r="S95" t="s">
        <v>20</v>
      </c>
      <c r="T95" t="s">
        <v>21</v>
      </c>
      <c r="U95" t="str" cm="1">
        <f t="array" aca="1" ref="U95" ca="1">_FV(RTData[[#This Row],[Company Name]],"Exchange abbreviation",TRUE)</f>
        <v>XAMS</v>
      </c>
      <c r="V95" s="23">
        <f ca="1">IFERROR(RTData[[#This Row],[Volume]]/RTData[[#This Row],[Volume average]],1)</f>
        <v>1.2120666350052971</v>
      </c>
      <c r="W95" s="23"/>
      <c r="X95" s="104">
        <f ca="1">_xlfn.XLOOKUP(RTData[[#This Row],[Ticker_Symbol]],TickerList!$G94:$G188,TickerList!L94:L188)</f>
        <v>941.90326000000005</v>
      </c>
      <c r="Y95" s="97">
        <f ca="1">_xlfn.XLOOKUP(RTData[[#This Row],[Ticker_Symbol]],TickerList!$G94:$G188,TickerList!M94:M188)</f>
        <v>45958</v>
      </c>
      <c r="Z95" s="97">
        <f ca="1">_xlfn.XLOOKUP(RTData[[#This Row],[Ticker_Symbol]],TickerList!$G94:$G188,TickerList!N94:N188)</f>
        <v>0</v>
      </c>
      <c r="AA95" s="98">
        <f ca="1">_xlfn.XLOOKUP(RTData[[#This Row],[Ticker_Symbol]],TickerList!$G94:$G188,TickerList!O94:O188)</f>
        <v>6.9999998000000001E-3</v>
      </c>
      <c r="AB95" s="99">
        <f>[1]Sheet2!H94</f>
        <v>0</v>
      </c>
      <c r="AC95" s="100">
        <f>[1]Sheet2!I94</f>
        <v>0</v>
      </c>
      <c r="AD95" s="86">
        <v>847.58</v>
      </c>
      <c r="AE95" s="101">
        <f ca="1">_xlfn.LET(_xlpm.New1YT,RTData[[#This Row],[1YT]],        _xlpm.Old1YT,IF(ISNUMBER(RTData[[#This Row],[Old1YT]]),RTData[[#This Row],[Old1YT]],VALUE(LEFT(RTData[[#This Row],[Old1YT]],FIND("/",RTData[[#This Row],[Old1YT]],1)-1))),       IF(OR(RTData[[#This Row],[1YT]]=0,_xlpm.Old1YT=0),0,(_xlpm.New1YT-_xlpm.Old1YT)/_xlpm.Old1YT))</f>
        <v>0.11128537719153354</v>
      </c>
      <c r="AF95" s="101" t="str">
        <f ca="1">TEXT(RTData[[#This Row],[1YT]],"#,#0.00")&amp;" &lt; "&amp;RTData[[#This Row],[Old1YT]]</f>
        <v>941.90 &lt; 847.58</v>
      </c>
    </row>
    <row r="96" spans="1:33" x14ac:dyDescent="0.3">
      <c r="A96" s="38" t="str" cm="1">
        <f t="array" aca="1" ref="A96" ca="1">_xlfn.SINGLE(RTData[suffix])&amp;_FV(RTData[[#This Row],[Company Name]],"Ticker symbol",TRUE)</f>
        <v>JBEOAN</v>
      </c>
      <c r="B96" s="53">
        <v>1</v>
      </c>
      <c r="C96" t="e" vm="19">
        <v>#VALUE!</v>
      </c>
      <c r="D96" s="113" t="str" cm="1">
        <f t="array" aca="1" ref="D96" ca="1">_FV(RTData[[#This Row],[Company Name]],"Currency")</f>
        <v>EUR</v>
      </c>
      <c r="E96" s="17" cm="1">
        <f t="array" aca="1" ref="E96" ca="1">_FV(RTData[[#This Row],[Company Name]],"Last trade time",TRUE)</f>
        <v>45966.878472222219</v>
      </c>
      <c r="F96" s="18" cm="1">
        <f t="array" aca="1" ref="F96" ca="1">_FV(RTData[[#This Row],[Company Name]],"Previous close",TRUE)</f>
        <v>15.75</v>
      </c>
      <c r="G96" s="18" cm="1">
        <f t="array" aca="1" ref="G96" ca="1">_FV(RTData[[#This Row],[Company Name]],"Open")</f>
        <v>15.824999999999999</v>
      </c>
      <c r="H96" s="18" cm="1">
        <f t="array" aca="1" ref="H96" ca="1">_FV(RTData[[#This Row],[Company Name]],"Price")</f>
        <v>16.05</v>
      </c>
      <c r="I96" s="18" cm="1">
        <f t="array" aca="1" ref="I96" ca="1">_FV(RTData[[#This Row],[Company Name]],"Low")</f>
        <v>15.824999999999999</v>
      </c>
      <c r="J96" s="18" cm="1">
        <f t="array" aca="1" ref="J96" ca="1">_FV(RTData[[#This Row],[Company Name]],"High")</f>
        <v>16.05</v>
      </c>
      <c r="K96" s="19" cm="1">
        <f t="array" aca="1" ref="K96" ca="1">IFERROR(_FV(RTData[[#This Row],[Company Name]],"P/E",TRUE),99)</f>
        <v>13.2645</v>
      </c>
      <c r="L96" s="20" cm="1">
        <f t="array" aca="1" ref="L96" ca="1">_FV(RTData[[#This Row],[Company Name]],"Change")</f>
        <v>0.3</v>
      </c>
      <c r="M96" s="21" cm="1">
        <f t="array" aca="1" ref="M96" ca="1">_FV(RTData[[#This Row],[Company Name]],"Change (%)",TRUE)</f>
        <v>1.9047999999999999E-2</v>
      </c>
      <c r="N96" s="27" cm="1">
        <f t="array" aca="1" ref="N96" ca="1">_FV(RTData[[#This Row],[Company Name]],"52 week low",TRUE)</f>
        <v>7.3</v>
      </c>
      <c r="O96" s="27" cm="1">
        <f t="array" aca="1" ref="O96" ca="1">_FV(RTData[[#This Row],[Company Name]],"52 week high",TRUE)</f>
        <v>16.515000000000001</v>
      </c>
      <c r="P96" s="22" cm="1">
        <f t="array" aca="1" ref="P96" ca="1">_FV(RTData[[#This Row],[Company Name]],"Volume")</f>
        <v>4253</v>
      </c>
      <c r="Q96" s="22" cm="1">
        <f t="array" aca="1" ref="Q96" ca="1">_FV(RTData[[#This Row],[Company Name]],"Volume average",TRUE)</f>
        <v>2907640</v>
      </c>
      <c r="R96" s="18" cm="1">
        <f t="array" aca="1" ref="R96" ca="1">_FV(RTData[[#This Row],[Company Name]],"Beta")</f>
        <v>0.85360000000000003</v>
      </c>
      <c r="S96" t="s">
        <v>20</v>
      </c>
      <c r="T96" t="s">
        <v>21</v>
      </c>
      <c r="U96" t="str" cm="1">
        <f t="array" aca="1" ref="U96" ca="1">_FV(RTData[[#This Row],[Company Name]],"Exchange abbreviation",TRUE)</f>
        <v>XFRA</v>
      </c>
      <c r="V96" s="103">
        <f ca="1">IFERROR(RTData[[#This Row],[Volume]]/RTData[[#This Row],[Volume average]],1)</f>
        <v>1.4626982707625427E-3</v>
      </c>
      <c r="W96" s="103"/>
      <c r="X96" s="104">
        <f ca="1">_xlfn.XLOOKUP(RTData[[#This Row],[Ticker_Symbol]],TickerList!$G95:$G189,TickerList!L95:L189)</f>
        <v>16.919589999999999</v>
      </c>
      <c r="Y96" s="97">
        <f ca="1">_xlfn.XLOOKUP(RTData[[#This Row],[Ticker_Symbol]],TickerList!$G95:$G189,TickerList!M95:M189)</f>
        <v>45793</v>
      </c>
      <c r="Z96" s="97">
        <f ca="1">_xlfn.XLOOKUP(RTData[[#This Row],[Ticker_Symbol]],TickerList!$G95:$G189,TickerList!N95:N189)</f>
        <v>0</v>
      </c>
      <c r="AA96" s="98">
        <f ca="1">_xlfn.XLOOKUP(RTData[[#This Row],[Ticker_Symbol]],TickerList!$G95:$G189,TickerList!O95:O189)</f>
        <v>3.4099999999999998E-2</v>
      </c>
      <c r="AB96" s="99">
        <f>[1]Sheet2!H95</f>
        <v>0</v>
      </c>
      <c r="AC96" s="100">
        <f>[1]Sheet2!I95</f>
        <v>0</v>
      </c>
      <c r="AD96" s="104">
        <v>16.3</v>
      </c>
      <c r="AE96" s="101">
        <f ca="1">_xlfn.LET(_xlpm.New1YT,RTData[[#This Row],[1YT]],        _xlpm.Old1YT,IF(ISNUMBER(RTData[[#This Row],[Old1YT]]),RTData[[#This Row],[Old1YT]],VALUE(LEFT(RTData[[#This Row],[Old1YT]],FIND("/",RTData[[#This Row],[Old1YT]],1)-1))),       IF(OR(RTData[[#This Row],[1YT]]=0,_xlpm.Old1YT=0),0,(_xlpm.New1YT-_xlpm.Old1YT)/_xlpm.Old1YT))</f>
        <v>3.8011656441717716E-2</v>
      </c>
      <c r="AF96" s="101" t="str">
        <f ca="1">TEXT(RTData[[#This Row],[1YT]],"#,#0.00")&amp;" &lt; "&amp;RTData[[#This Row],[Old1YT]]</f>
        <v>16.92 &lt; 16.3</v>
      </c>
    </row>
    <row r="97" spans="1:31" x14ac:dyDescent="0.3">
      <c r="A97" s="39" t="s">
        <v>26</v>
      </c>
      <c r="B97" s="39"/>
      <c r="C97" s="40"/>
      <c r="D97" s="24"/>
      <c r="J97" s="41"/>
      <c r="K97"/>
      <c r="L97" s="20">
        <f ca="1">SUBTOTAL(101,RTData[Change])</f>
        <v>0.40360957446808493</v>
      </c>
      <c r="M97" s="42">
        <f ca="1">SUBTOTAL(104,RTData[Change%])</f>
        <v>0.33368599999999998</v>
      </c>
      <c r="O97"/>
      <c r="P97" s="22">
        <f ca="1">SUBTOTAL(104,RTData[Volume])</f>
        <v>452081061</v>
      </c>
      <c r="Q97" s="22" t="e" vm="75">
        <f ca="1">SUBTOTAL(101,RTData[Volume average])</f>
        <v>#VALUE!</v>
      </c>
      <c r="R97"/>
      <c r="V97" s="93"/>
      <c r="W97"/>
      <c r="X97" s="70"/>
      <c r="Y97" s="66"/>
      <c r="Z97" s="66"/>
      <c r="AE97" s="102"/>
    </row>
    <row r="98" spans="1:31" x14ac:dyDescent="0.3">
      <c r="A98" s="39" t="s">
        <v>27</v>
      </c>
      <c r="B98" s="40" t="s">
        <v>28</v>
      </c>
      <c r="C98" s="55" t="s">
        <v>29</v>
      </c>
      <c r="D98" s="56" t="s">
        <v>31</v>
      </c>
      <c r="L98"/>
      <c r="M98" s="22"/>
      <c r="O98"/>
      <c r="P98" s="43"/>
      <c r="R98" s="43"/>
      <c r="V98" s="71"/>
      <c r="W98" s="67"/>
      <c r="X98" s="45"/>
    </row>
    <row r="99" spans="1:31" x14ac:dyDescent="0.3">
      <c r="A99" t="e" vm="76">
        <v>#VALUE!</v>
      </c>
      <c r="B99" s="46" cm="1">
        <f t="array" aca="1" ref="B99" ca="1">_FV(A99,"Price")</f>
        <v>1.1494</v>
      </c>
      <c r="C99" s="47" cm="1">
        <f t="array" aca="1" ref="C99" ca="1">_FV(A99,"52 week high",TRUE)</f>
        <v>1.1918</v>
      </c>
      <c r="D99" s="18">
        <f ca="1">1/RTExR[[#This Row],[RT]]</f>
        <v>0.8700191404210893</v>
      </c>
      <c r="P99" s="48"/>
      <c r="R99"/>
      <c r="W99" s="67"/>
      <c r="X99" s="45"/>
    </row>
    <row r="100" spans="1:31" x14ac:dyDescent="0.3">
      <c r="A100" t="e" vm="77">
        <v>#VALUE!</v>
      </c>
      <c r="B100" s="46" cm="1">
        <f t="array" aca="1" ref="B100" ca="1">_FV(A100,"Price")</f>
        <v>0.93089999999999995</v>
      </c>
      <c r="C100" s="50" cm="1">
        <f t="array" aca="1" ref="C100" ca="1">_FV(A100,"52 week high",TRUE)</f>
        <v>0.96609999999999996</v>
      </c>
      <c r="D100" s="18">
        <f ca="1">1/RTExR[[#This Row],[RT]]</f>
        <v>1.074229240519927</v>
      </c>
      <c r="P100" s="48"/>
      <c r="R100"/>
    </row>
    <row r="101" spans="1:31" x14ac:dyDescent="0.3">
      <c r="A101" t="e" vm="78">
        <v>#VALUE!</v>
      </c>
      <c r="B101" s="46" cm="1">
        <f t="array" aca="1" ref="B101" ca="1">_FV(A101,"Price")</f>
        <v>0.88039999999999996</v>
      </c>
      <c r="C101" s="51" cm="1">
        <f t="array" aca="1" ref="C101" ca="1">_FV(A101,"52 week high",TRUE)</f>
        <v>0.8821</v>
      </c>
      <c r="D101" s="18">
        <f ca="1">1/RTExR[[#This Row],[RT]]</f>
        <v>1.1358473421172195</v>
      </c>
      <c r="P101" s="48"/>
      <c r="R101"/>
    </row>
    <row r="102" spans="1:31" x14ac:dyDescent="0.3">
      <c r="A102" t="e" vm="79">
        <v>#VALUE!</v>
      </c>
      <c r="B102" s="46" cm="1">
        <f t="array" aca="1" ref="B102" ca="1">_FV(A102,"Price")</f>
        <v>1.7656000000000001</v>
      </c>
      <c r="C102" s="47" cm="1">
        <f t="array" aca="1" ref="C102" ca="1">_FV(A102,"52 week high",TRUE)</f>
        <v>1.8554999999999999</v>
      </c>
      <c r="D102" s="18">
        <f ca="1">1/RTExR[[#This Row],[RT]]</f>
        <v>0.56637970095151791</v>
      </c>
      <c r="P102" s="48"/>
      <c r="R102"/>
    </row>
    <row r="103" spans="1:31" x14ac:dyDescent="0.3">
      <c r="A103" t="e" vm="80">
        <v>#VALUE!</v>
      </c>
      <c r="B103" s="46" cm="1">
        <f t="array" aca="1" ref="B103" ca="1">_FV(A103,"Price")</f>
        <v>1.621</v>
      </c>
      <c r="C103" s="47" cm="1">
        <f t="array" aca="1" ref="C103" ca="1">_FV(A103,"52 week high",TRUE)</f>
        <v>1.6468</v>
      </c>
      <c r="D103" s="18">
        <f ca="1">1/RTExR[[#This Row],[RT]]</f>
        <v>0.61690314620604569</v>
      </c>
      <c r="P103" s="48"/>
      <c r="R103"/>
    </row>
    <row r="104" spans="1:31" x14ac:dyDescent="0.3">
      <c r="A104" t="e" vm="81">
        <v>#VALUE!</v>
      </c>
      <c r="B104" s="46" cm="1">
        <f t="array" aca="1" ref="B104" ca="1">_FV(A104,"Price")</f>
        <v>154.08000000000001</v>
      </c>
      <c r="C104" s="52" cm="1">
        <f t="array" aca="1" ref="C104" ca="1">_FV(A104,"52 week high",TRUE)</f>
        <v>158.87</v>
      </c>
      <c r="D104" s="18">
        <f ca="1">1/RTExR[[#This Row],[RT]]</f>
        <v>6.4901349948078913E-3</v>
      </c>
      <c r="J104"/>
      <c r="P104" s="48"/>
      <c r="R104"/>
    </row>
    <row r="105" spans="1:31" x14ac:dyDescent="0.3">
      <c r="A105" t="e" vm="82">
        <v>#VALUE!</v>
      </c>
      <c r="B105" s="46" cm="1">
        <f t="array" aca="1" ref="B105" ca="1">_FV(A105,"Price")</f>
        <v>0.80989999999999995</v>
      </c>
      <c r="C105" s="50" cm="1">
        <f t="array" aca="1" ref="C105" ca="1">_FV(A105,"52 week high",TRUE)</f>
        <v>0.92</v>
      </c>
      <c r="D105" s="18">
        <f ca="1">1/RTExR[[#This Row],[RT]]</f>
        <v>1.2347203358439314</v>
      </c>
    </row>
    <row r="106" spans="1:31" x14ac:dyDescent="0.3">
      <c r="A106" t="e" vm="83">
        <v>#VALUE!</v>
      </c>
      <c r="B106" s="46" cm="1">
        <f t="array" aca="1" ref="B106" ca="1">_FV(A106,"Price")</f>
        <v>0.76600000000000001</v>
      </c>
      <c r="C106" s="51" cm="1">
        <f t="array" aca="1" ref="C106" ca="1">_FV(A106,"52 week high",TRUE)</f>
        <v>0.82650000000000001</v>
      </c>
      <c r="D106" s="18">
        <f ca="1">1/RTExR[[#This Row],[RT]]</f>
        <v>1.3054830287206267</v>
      </c>
    </row>
    <row r="107" spans="1:31" x14ac:dyDescent="0.3">
      <c r="C107" s="91" t="s">
        <v>38</v>
      </c>
      <c r="E107" s="95" t="s">
        <v>5</v>
      </c>
      <c r="F107" s="95" t="s">
        <v>42</v>
      </c>
    </row>
    <row r="108" spans="1:31" x14ac:dyDescent="0.3">
      <c r="A108" s="16"/>
      <c r="B108"/>
      <c r="C108" s="43" t="e" vm="36">
        <v>#VALUE!</v>
      </c>
      <c r="D108" s="94" t="s">
        <v>41</v>
      </c>
      <c r="E108" s="18" cm="1">
        <f t="array" aca="1" ref="E108" ca="1">_FV(C109,"Open")</f>
        <v>47097.31</v>
      </c>
      <c r="F108" s="18" cm="1">
        <f t="array" aca="1" ref="F108" ca="1">_FV(C109,"Price")</f>
        <v>47311</v>
      </c>
      <c r="X108" s="18"/>
      <c r="Y108" s="18"/>
      <c r="Z108" s="18"/>
    </row>
    <row r="109" spans="1:31" x14ac:dyDescent="0.3">
      <c r="C109" t="e" vm="84">
        <v>#VALUE!</v>
      </c>
      <c r="D109" s="18" cm="1">
        <f t="array" aca="1" ref="D109" ca="1">_FV(C109,"Previous close",TRUE)</f>
        <v>47085.24</v>
      </c>
      <c r="E109" s="18" cm="1">
        <f t="array" aca="1" ref="E109" ca="1">_FV(C110,"Open")</f>
        <v>58.65</v>
      </c>
      <c r="F109" s="18" cm="1">
        <f t="array" aca="1" ref="F109" ca="1">_FV(C110,"Price")</f>
        <v>59.265000000000001</v>
      </c>
    </row>
    <row r="110" spans="1:31" x14ac:dyDescent="0.3">
      <c r="C110" s="43" t="e" vm="85">
        <v>#VALUE!</v>
      </c>
      <c r="D110" s="18" cm="1">
        <f t="array" aca="1" ref="D110" ca="1">_FV(C110,"Previous close",TRUE)</f>
        <v>59.335000000000001</v>
      </c>
    </row>
    <row r="111" spans="1:31" x14ac:dyDescent="0.3">
      <c r="C111" s="43" t="s">
        <v>43</v>
      </c>
      <c r="D111" t="e" cm="1" vm="86">
        <f t="array" ref="D111">_FV(C111,"Instrument type",TRUE)</f>
        <v>#VALUE!</v>
      </c>
      <c r="E111" s="18" cm="1">
        <f t="array" aca="1" ref="E111" ca="1">_FV(C112,"Open")</f>
        <v>23.86</v>
      </c>
      <c r="F111" s="18" cm="1">
        <f t="array" aca="1" ref="F111" ca="1">_FV(C112,"Price")</f>
        <v>23.98</v>
      </c>
    </row>
    <row r="112" spans="1:31" x14ac:dyDescent="0.3">
      <c r="C112" s="43" t="e" vm="16">
        <v>#VALUE!</v>
      </c>
      <c r="D112" s="18" cm="1">
        <f t="array" aca="1" ref="D112" ca="1">_FV(C112,"Previous close",TRUE)</f>
        <v>24.04</v>
      </c>
    </row>
    <row r="113" spans="1:4" x14ac:dyDescent="0.3">
      <c r="A113" s="43"/>
      <c r="C113" s="43" t="s">
        <v>44</v>
      </c>
    </row>
    <row r="114" spans="1:4" x14ac:dyDescent="0.3">
      <c r="D114" s="43"/>
    </row>
    <row r="115" spans="1:4" x14ac:dyDescent="0.3">
      <c r="A115" s="105" t="e" vm="1">
        <v>#VALUE!</v>
      </c>
      <c r="C115" s="91" t="e" vm="1">
        <v>#VALUE!</v>
      </c>
    </row>
    <row r="116" spans="1:4" x14ac:dyDescent="0.3">
      <c r="A116" s="105" t="e" vm="2">
        <v>#VALUE!</v>
      </c>
      <c r="C116" s="43" t="e" vm="2">
        <v>#VALUE!</v>
      </c>
    </row>
    <row r="117" spans="1:4" x14ac:dyDescent="0.3">
      <c r="A117" s="105" t="e" vm="3">
        <v>#VALUE!</v>
      </c>
      <c r="C117" s="43" t="e" vm="3">
        <v>#VALUE!</v>
      </c>
    </row>
    <row r="118" spans="1:4" x14ac:dyDescent="0.3">
      <c r="A118" s="105" t="e" vm="4">
        <v>#VALUE!</v>
      </c>
      <c r="C118" s="43" t="e" vm="4">
        <v>#VALUE!</v>
      </c>
    </row>
    <row r="119" spans="1:4" x14ac:dyDescent="0.3">
      <c r="A119" s="105" t="e" vm="5">
        <v>#VALUE!</v>
      </c>
      <c r="C119" s="43" t="e" vm="5">
        <v>#VALUE!</v>
      </c>
    </row>
    <row r="120" spans="1:4" x14ac:dyDescent="0.3">
      <c r="A120" s="105" t="e" vm="87">
        <v>#VALUE!</v>
      </c>
      <c r="C120" s="43" t="e" vm="87">
        <v>#VALUE!</v>
      </c>
    </row>
    <row r="121" spans="1:4" x14ac:dyDescent="0.3">
      <c r="A121" s="105" t="e" vm="8">
        <v>#VALUE!</v>
      </c>
      <c r="C121" s="43" t="e" vm="8">
        <v>#VALUE!</v>
      </c>
    </row>
    <row r="122" spans="1:4" x14ac:dyDescent="0.3">
      <c r="A122" s="105" t="e" vm="9">
        <v>#VALUE!</v>
      </c>
      <c r="C122" s="43" t="e" vm="9">
        <v>#VALUE!</v>
      </c>
    </row>
    <row r="123" spans="1:4" x14ac:dyDescent="0.3">
      <c r="A123" s="105" t="e" vm="10">
        <v>#VALUE!</v>
      </c>
      <c r="C123" s="43" t="e" vm="10">
        <v>#VALUE!</v>
      </c>
    </row>
    <row r="124" spans="1:4" x14ac:dyDescent="0.3">
      <c r="A124" s="105" t="e" vm="11">
        <v>#VALUE!</v>
      </c>
      <c r="C124" s="43" t="e" vm="11">
        <v>#VALUE!</v>
      </c>
    </row>
    <row r="125" spans="1:4" x14ac:dyDescent="0.3">
      <c r="A125" s="105" t="e" vm="12">
        <v>#VALUE!</v>
      </c>
      <c r="C125" s="43" t="e" vm="12">
        <v>#VALUE!</v>
      </c>
    </row>
    <row r="126" spans="1:4" x14ac:dyDescent="0.3">
      <c r="A126" s="105" t="e" vm="13">
        <v>#VALUE!</v>
      </c>
      <c r="C126" s="43" t="e" vm="13">
        <v>#VALUE!</v>
      </c>
    </row>
    <row r="127" spans="1:4" x14ac:dyDescent="0.3">
      <c r="A127" s="105" t="e" vm="14">
        <v>#VALUE!</v>
      </c>
      <c r="C127" s="43" t="e" vm="14">
        <v>#VALUE!</v>
      </c>
    </row>
    <row r="128" spans="1:4" x14ac:dyDescent="0.3">
      <c r="A128" s="105" t="e" vm="15">
        <v>#VALUE!</v>
      </c>
      <c r="C128" s="43" t="e" vm="15">
        <v>#VALUE!</v>
      </c>
    </row>
    <row r="129" spans="1:3" x14ac:dyDescent="0.3">
      <c r="A129" s="105" t="e" vm="88">
        <v>#VALUE!</v>
      </c>
      <c r="C129" s="43" t="e" vm="88">
        <v>#VALUE!</v>
      </c>
    </row>
    <row r="130" spans="1:3" x14ac:dyDescent="0.3">
      <c r="A130" s="105" t="e" vm="17">
        <v>#VALUE!</v>
      </c>
      <c r="C130" s="43" t="e" vm="17">
        <v>#VALUE!</v>
      </c>
    </row>
    <row r="131" spans="1:3" x14ac:dyDescent="0.3">
      <c r="A131" s="105" t="e" vm="18">
        <v>#VALUE!</v>
      </c>
      <c r="C131" s="43" t="e" vm="18">
        <v>#VALUE!</v>
      </c>
    </row>
    <row r="132" spans="1:3" x14ac:dyDescent="0.3">
      <c r="A132" s="105" t="e" vm="19">
        <v>#VALUE!</v>
      </c>
      <c r="C132" s="43" t="e" vm="19">
        <v>#VALUE!</v>
      </c>
    </row>
    <row r="133" spans="1:3" x14ac:dyDescent="0.3">
      <c r="A133" s="105" t="e" vm="20">
        <v>#VALUE!</v>
      </c>
      <c r="C133" s="43" t="e" vm="20">
        <v>#VALUE!</v>
      </c>
    </row>
    <row r="134" spans="1:3" x14ac:dyDescent="0.3">
      <c r="A134" s="105" t="e" vm="21">
        <v>#VALUE!</v>
      </c>
      <c r="C134" s="43" t="e" vm="21">
        <v>#VALUE!</v>
      </c>
    </row>
    <row r="135" spans="1:3" x14ac:dyDescent="0.3">
      <c r="A135" s="105" t="e" vm="22">
        <v>#VALUE!</v>
      </c>
      <c r="C135" s="43" t="e" vm="22">
        <v>#VALUE!</v>
      </c>
    </row>
    <row r="136" spans="1:3" x14ac:dyDescent="0.3">
      <c r="A136" s="105" t="e" vm="23">
        <v>#VALUE!</v>
      </c>
      <c r="C136" s="43" t="e" vm="23">
        <v>#VALUE!</v>
      </c>
    </row>
    <row r="137" spans="1:3" x14ac:dyDescent="0.3">
      <c r="A137" s="105" t="e" vm="89">
        <v>#VALUE!</v>
      </c>
      <c r="C137" s="43" t="e" vm="89">
        <v>#VALUE!</v>
      </c>
    </row>
    <row r="138" spans="1:3" x14ac:dyDescent="0.3">
      <c r="A138" s="105" t="e" vm="25">
        <v>#VALUE!</v>
      </c>
      <c r="C138" s="43" t="e" vm="25">
        <v>#VALUE!</v>
      </c>
    </row>
    <row r="139" spans="1:3" x14ac:dyDescent="0.3">
      <c r="A139" s="105" t="e" vm="26">
        <v>#VALUE!</v>
      </c>
      <c r="C139" s="43" t="e" vm="26">
        <v>#VALUE!</v>
      </c>
    </row>
    <row r="140" spans="1:3" x14ac:dyDescent="0.3">
      <c r="A140" s="105" t="e" vm="27">
        <v>#VALUE!</v>
      </c>
      <c r="C140" s="43" t="e" vm="27">
        <v>#VALUE!</v>
      </c>
    </row>
    <row r="141" spans="1:3" x14ac:dyDescent="0.3">
      <c r="A141" s="105" t="e" vm="28">
        <v>#VALUE!</v>
      </c>
      <c r="C141" s="43" t="e" vm="28">
        <v>#VALUE!</v>
      </c>
    </row>
    <row r="142" spans="1:3" x14ac:dyDescent="0.3">
      <c r="A142" s="105" t="e" vm="29">
        <v>#VALUE!</v>
      </c>
      <c r="C142" s="43" t="e" vm="29">
        <v>#VALUE!</v>
      </c>
    </row>
    <row r="143" spans="1:3" x14ac:dyDescent="0.3">
      <c r="A143" s="105" t="e" vm="30">
        <v>#VALUE!</v>
      </c>
      <c r="C143" s="43" t="e" vm="30">
        <v>#VALUE!</v>
      </c>
    </row>
    <row r="144" spans="1:3" x14ac:dyDescent="0.3">
      <c r="A144" s="105" t="e" vm="31">
        <v>#VALUE!</v>
      </c>
      <c r="C144" s="43" t="e" vm="31">
        <v>#VALUE!</v>
      </c>
    </row>
    <row r="145" spans="1:3" x14ac:dyDescent="0.3">
      <c r="A145" s="105" t="e" vm="32">
        <v>#VALUE!</v>
      </c>
      <c r="C145" s="43" t="e" vm="32">
        <v>#VALUE!</v>
      </c>
    </row>
    <row r="146" spans="1:3" x14ac:dyDescent="0.3">
      <c r="A146" s="105" t="e" vm="90">
        <v>#VALUE!</v>
      </c>
      <c r="C146" s="43" t="e" vm="90">
        <v>#VALUE!</v>
      </c>
    </row>
    <row r="147" spans="1:3" x14ac:dyDescent="0.3">
      <c r="A147" s="105" t="e" vm="34">
        <v>#VALUE!</v>
      </c>
      <c r="C147" s="43" t="e" vm="34">
        <v>#VALUE!</v>
      </c>
    </row>
    <row r="148" spans="1:3" x14ac:dyDescent="0.3">
      <c r="A148" s="105" t="e" vm="35">
        <v>#VALUE!</v>
      </c>
      <c r="C148" s="43" t="e" vm="35">
        <v>#VALUE!</v>
      </c>
    </row>
    <row r="149" spans="1:3" x14ac:dyDescent="0.3">
      <c r="A149" s="105" t="e" vm="36">
        <v>#VALUE!</v>
      </c>
      <c r="C149" s="43" t="e" vm="36">
        <v>#VALUE!</v>
      </c>
    </row>
    <row r="150" spans="1:3" x14ac:dyDescent="0.3">
      <c r="A150" s="105" t="e" vm="37">
        <v>#VALUE!</v>
      </c>
      <c r="C150" s="43" t="e" vm="37">
        <v>#VALUE!</v>
      </c>
    </row>
    <row r="151" spans="1:3" x14ac:dyDescent="0.3">
      <c r="A151" s="105" t="e" vm="38">
        <v>#VALUE!</v>
      </c>
      <c r="C151" s="43" t="e" vm="38">
        <v>#VALUE!</v>
      </c>
    </row>
    <row r="152" spans="1:3" x14ac:dyDescent="0.3">
      <c r="A152" s="105" t="e" vm="39">
        <v>#VALUE!</v>
      </c>
      <c r="C152" s="43" t="e" vm="39">
        <v>#VALUE!</v>
      </c>
    </row>
    <row r="153" spans="1:3" x14ac:dyDescent="0.3">
      <c r="A153" s="105" t="e" vm="40">
        <v>#VALUE!</v>
      </c>
      <c r="C153" s="43" t="e" vm="40">
        <v>#VALUE!</v>
      </c>
    </row>
    <row r="154" spans="1:3" x14ac:dyDescent="0.3">
      <c r="A154" s="105" t="e" vm="41">
        <v>#VALUE!</v>
      </c>
      <c r="C154" s="43" t="e" vm="41">
        <v>#VALUE!</v>
      </c>
    </row>
    <row r="155" spans="1:3" x14ac:dyDescent="0.3">
      <c r="A155" s="105" t="e" vm="42">
        <v>#VALUE!</v>
      </c>
      <c r="C155" s="43" t="e" vm="42">
        <v>#VALUE!</v>
      </c>
    </row>
    <row r="156" spans="1:3" x14ac:dyDescent="0.3">
      <c r="A156" s="105" t="e" vm="43">
        <v>#VALUE!</v>
      </c>
      <c r="C156" s="43" t="e" vm="43">
        <v>#VALUE!</v>
      </c>
    </row>
    <row r="157" spans="1:3" x14ac:dyDescent="0.3">
      <c r="A157" s="105" t="e" vm="44">
        <v>#VALUE!</v>
      </c>
      <c r="C157" s="43" t="e" vm="44">
        <v>#VALUE!</v>
      </c>
    </row>
    <row r="158" spans="1:3" x14ac:dyDescent="0.3">
      <c r="A158" s="105" t="e" vm="45">
        <v>#VALUE!</v>
      </c>
      <c r="C158" s="43" t="e" vm="45">
        <v>#VALUE!</v>
      </c>
    </row>
    <row r="159" spans="1:3" x14ac:dyDescent="0.3">
      <c r="A159" s="105" t="e" vm="46">
        <v>#VALUE!</v>
      </c>
      <c r="C159" s="43" t="e" vm="46">
        <v>#VALUE!</v>
      </c>
    </row>
    <row r="160" spans="1:3" x14ac:dyDescent="0.3">
      <c r="A160" s="105" t="e" vm="7">
        <v>#VALUE!</v>
      </c>
      <c r="C160" s="43" t="e" vm="7">
        <v>#VALUE!</v>
      </c>
    </row>
    <row r="161" spans="1:3" x14ac:dyDescent="0.3">
      <c r="A161" s="105" t="e" vm="47">
        <v>#VALUE!</v>
      </c>
      <c r="C161" s="43" t="e" vm="47">
        <v>#VALUE!</v>
      </c>
    </row>
    <row r="162" spans="1:3" x14ac:dyDescent="0.3">
      <c r="A162" s="105" t="e" vm="48">
        <v>#VALUE!</v>
      </c>
      <c r="C162" s="43" t="e" vm="48">
        <v>#VALUE!</v>
      </c>
    </row>
    <row r="163" spans="1:3" x14ac:dyDescent="0.3">
      <c r="A163" s="105" t="e" vm="49">
        <v>#VALUE!</v>
      </c>
      <c r="C163" s="43" t="e" vm="49">
        <v>#VALUE!</v>
      </c>
    </row>
    <row r="164" spans="1:3" x14ac:dyDescent="0.3">
      <c r="A164" s="105" t="e" vm="50">
        <v>#VALUE!</v>
      </c>
      <c r="C164" s="43" t="e" vm="50">
        <v>#VALUE!</v>
      </c>
    </row>
    <row r="165" spans="1:3" x14ac:dyDescent="0.3">
      <c r="A165" s="105" t="e" vm="51">
        <v>#VALUE!</v>
      </c>
      <c r="C165" s="43" t="e" vm="51">
        <v>#VALUE!</v>
      </c>
    </row>
    <row r="166" spans="1:3" x14ac:dyDescent="0.3">
      <c r="A166" s="105" t="e" vm="52">
        <v>#VALUE!</v>
      </c>
      <c r="C166" s="43" t="e" vm="52">
        <v>#VALUE!</v>
      </c>
    </row>
    <row r="167" spans="1:3" x14ac:dyDescent="0.3">
      <c r="A167" s="105" t="e" vm="5">
        <v>#VALUE!</v>
      </c>
      <c r="C167" s="43" t="e" vm="5">
        <v>#VALUE!</v>
      </c>
    </row>
    <row r="168" spans="1:3" x14ac:dyDescent="0.3">
      <c r="A168" s="105" t="e" vm="14">
        <v>#VALUE!</v>
      </c>
      <c r="C168" s="43" t="e" vm="14">
        <v>#VALUE!</v>
      </c>
    </row>
    <row r="169" spans="1:3" x14ac:dyDescent="0.3">
      <c r="A169" s="105" t="e" vm="88">
        <v>#VALUE!</v>
      </c>
      <c r="C169" s="43" t="e" vm="88">
        <v>#VALUE!</v>
      </c>
    </row>
    <row r="170" spans="1:3" x14ac:dyDescent="0.3">
      <c r="A170" s="105" t="e" vm="19">
        <v>#VALUE!</v>
      </c>
      <c r="C170" s="43" t="e" vm="19">
        <v>#VALUE!</v>
      </c>
    </row>
    <row r="171" spans="1:3" x14ac:dyDescent="0.3">
      <c r="A171" s="105" t="e" vm="91">
        <v>#VALUE!</v>
      </c>
      <c r="C171" s="43" t="e" vm="91">
        <v>#VALUE!</v>
      </c>
    </row>
    <row r="172" spans="1:3" x14ac:dyDescent="0.3">
      <c r="A172" s="105" t="e" vm="20">
        <v>#VALUE!</v>
      </c>
      <c r="C172" s="43" t="e" vm="20">
        <v>#VALUE!</v>
      </c>
    </row>
    <row r="173" spans="1:3" x14ac:dyDescent="0.3">
      <c r="A173" s="105" t="e" vm="54">
        <v>#VALUE!</v>
      </c>
      <c r="C173" s="43" t="e" vm="54">
        <v>#VALUE!</v>
      </c>
    </row>
    <row r="174" spans="1:3" x14ac:dyDescent="0.3">
      <c r="A174" s="105" t="e" vm="92">
        <v>#VALUE!</v>
      </c>
      <c r="C174" s="43" t="e" vm="92">
        <v>#VALUE!</v>
      </c>
    </row>
    <row r="175" spans="1:3" x14ac:dyDescent="0.3">
      <c r="A175" s="105" t="e" vm="39">
        <v>#VALUE!</v>
      </c>
      <c r="C175" s="43" t="e" vm="39">
        <v>#VALUE!</v>
      </c>
    </row>
    <row r="176" spans="1:3" x14ac:dyDescent="0.3">
      <c r="A176" s="105" t="e" vm="40">
        <v>#VALUE!</v>
      </c>
      <c r="C176" s="43" t="e" vm="40">
        <v>#VALUE!</v>
      </c>
    </row>
    <row r="177" spans="1:3" x14ac:dyDescent="0.3">
      <c r="A177" s="105" t="e" vm="45">
        <v>#VALUE!</v>
      </c>
      <c r="C177" s="43" t="e" vm="45">
        <v>#VALUE!</v>
      </c>
    </row>
    <row r="178" spans="1:3" x14ac:dyDescent="0.3">
      <c r="A178" s="105" t="e" vm="1">
        <v>#VALUE!</v>
      </c>
      <c r="C178" s="43" t="e" vm="1">
        <v>#VALUE!</v>
      </c>
    </row>
    <row r="179" spans="1:3" x14ac:dyDescent="0.3">
      <c r="A179" s="105" t="e" vm="4">
        <v>#VALUE!</v>
      </c>
      <c r="C179" s="43" t="e" vm="4">
        <v>#VALUE!</v>
      </c>
    </row>
    <row r="180" spans="1:3" x14ac:dyDescent="0.3">
      <c r="A180" s="105" t="e" vm="87">
        <v>#VALUE!</v>
      </c>
      <c r="C180" s="43" t="e" vm="87">
        <v>#VALUE!</v>
      </c>
    </row>
    <row r="181" spans="1:3" x14ac:dyDescent="0.3">
      <c r="A181" s="105" t="e" vm="14">
        <v>#VALUE!</v>
      </c>
      <c r="C181" s="43" t="e" vm="14">
        <v>#VALUE!</v>
      </c>
    </row>
    <row r="182" spans="1:3" x14ac:dyDescent="0.3">
      <c r="A182" s="105" t="e" vm="15">
        <v>#VALUE!</v>
      </c>
      <c r="C182" s="43" t="e" vm="15">
        <v>#VALUE!</v>
      </c>
    </row>
    <row r="183" spans="1:3" x14ac:dyDescent="0.3">
      <c r="A183" s="105" t="e" vm="21">
        <v>#VALUE!</v>
      </c>
      <c r="C183" s="43" t="e" vm="21">
        <v>#VALUE!</v>
      </c>
    </row>
    <row r="184" spans="1:3" x14ac:dyDescent="0.3">
      <c r="A184" s="105" t="e" vm="24">
        <v>#VALUE!</v>
      </c>
      <c r="C184" s="43" t="e" vm="24">
        <v>#VALUE!</v>
      </c>
    </row>
    <row r="185" spans="1:3" x14ac:dyDescent="0.3">
      <c r="A185" s="105" t="e" vm="28">
        <v>#VALUE!</v>
      </c>
      <c r="C185" s="43" t="e" vm="28">
        <v>#VALUE!</v>
      </c>
    </row>
    <row r="186" spans="1:3" x14ac:dyDescent="0.3">
      <c r="A186" s="105" t="e" vm="56">
        <v>#VALUE!</v>
      </c>
      <c r="C186" s="43" t="e" vm="56">
        <v>#VALUE!</v>
      </c>
    </row>
    <row r="187" spans="1:3" x14ac:dyDescent="0.3">
      <c r="A187" s="105" t="e" vm="91">
        <v>#VALUE!</v>
      </c>
      <c r="C187" s="43" t="e" vm="91">
        <v>#VALUE!</v>
      </c>
    </row>
    <row r="188" spans="1:3" x14ac:dyDescent="0.3">
      <c r="A188" s="105" t="e" vm="57">
        <v>#VALUE!</v>
      </c>
      <c r="C188" s="43" t="e" vm="57">
        <v>#VALUE!</v>
      </c>
    </row>
    <row r="189" spans="1:3" x14ac:dyDescent="0.3">
      <c r="A189" s="105" t="e" vm="58">
        <v>#VALUE!</v>
      </c>
      <c r="C189" s="43" t="e" vm="58">
        <v>#VALUE!</v>
      </c>
    </row>
    <row r="190" spans="1:3" x14ac:dyDescent="0.3">
      <c r="A190" s="105" t="e" vm="54">
        <v>#VALUE!</v>
      </c>
      <c r="C190" s="43" t="e" vm="54">
        <v>#VALUE!</v>
      </c>
    </row>
    <row r="191" spans="1:3" x14ac:dyDescent="0.3">
      <c r="A191" s="105" t="e" vm="59">
        <v>#VALUE!</v>
      </c>
      <c r="C191" s="43" t="e" vm="59">
        <v>#VALUE!</v>
      </c>
    </row>
    <row r="192" spans="1:3" x14ac:dyDescent="0.3">
      <c r="A192" s="105" t="e" vm="60">
        <v>#VALUE!</v>
      </c>
      <c r="C192" s="43" t="e" vm="60">
        <v>#VALUE!</v>
      </c>
    </row>
    <row r="193" spans="1:3" x14ac:dyDescent="0.3">
      <c r="A193" s="105" t="e" vm="61">
        <v>#VALUE!</v>
      </c>
      <c r="C193" s="43" t="e" vm="61">
        <v>#VALUE!</v>
      </c>
    </row>
    <row r="194" spans="1:3" x14ac:dyDescent="0.3">
      <c r="A194" s="105" t="e" vm="62">
        <v>#VALUE!</v>
      </c>
      <c r="C194" s="43" t="e" vm="62">
        <v>#VALUE!</v>
      </c>
    </row>
    <row r="195" spans="1:3" x14ac:dyDescent="0.3">
      <c r="A195" s="105" t="e" vm="63">
        <v>#VALUE!</v>
      </c>
      <c r="C195" s="43" t="e" vm="63">
        <v>#VALUE!</v>
      </c>
    </row>
    <row r="196" spans="1:3" x14ac:dyDescent="0.3">
      <c r="A196" s="105" t="e" vm="64">
        <v>#VALUE!</v>
      </c>
      <c r="C196" s="43" t="e" vm="64">
        <v>#VALUE!</v>
      </c>
    </row>
    <row r="197" spans="1:3" x14ac:dyDescent="0.3">
      <c r="A197" s="105" t="e" vm="65">
        <v>#VALUE!</v>
      </c>
      <c r="C197" s="43" t="e" vm="65">
        <v>#VALUE!</v>
      </c>
    </row>
    <row r="198" spans="1:3" x14ac:dyDescent="0.3">
      <c r="A198" s="105" t="e" vm="92">
        <v>#VALUE!</v>
      </c>
      <c r="C198" s="43" t="e" vm="92">
        <v>#VALUE!</v>
      </c>
    </row>
    <row r="199" spans="1:3" x14ac:dyDescent="0.3">
      <c r="A199" s="105" t="e" vm="66">
        <v>#VALUE!</v>
      </c>
      <c r="C199" s="43" t="e" vm="66">
        <v>#VALUE!</v>
      </c>
    </row>
    <row r="200" spans="1:3" x14ac:dyDescent="0.3">
      <c r="A200" s="105" t="e" vm="67">
        <v>#VALUE!</v>
      </c>
      <c r="C200" s="43" t="e" vm="67">
        <v>#VALUE!</v>
      </c>
    </row>
    <row r="201" spans="1:3" x14ac:dyDescent="0.3">
      <c r="A201" s="105" t="e" vm="68">
        <v>#VALUE!</v>
      </c>
      <c r="C201" s="43" t="e" vm="68">
        <v>#VALUE!</v>
      </c>
    </row>
    <row r="202" spans="1:3" x14ac:dyDescent="0.3">
      <c r="A202" s="105" t="e" vm="69">
        <v>#VALUE!</v>
      </c>
      <c r="C202" s="43" t="e" vm="69">
        <v>#VALUE!</v>
      </c>
    </row>
    <row r="203" spans="1:3" x14ac:dyDescent="0.3">
      <c r="A203" s="105" t="e" vm="70">
        <v>#VALUE!</v>
      </c>
      <c r="C203" s="43" t="e" vm="70">
        <v>#VALUE!</v>
      </c>
    </row>
    <row r="204" spans="1:3" x14ac:dyDescent="0.3">
      <c r="A204" s="105" t="e" vm="71">
        <v>#VALUE!</v>
      </c>
      <c r="C204" s="43" t="e" vm="71">
        <v>#VALUE!</v>
      </c>
    </row>
    <row r="205" spans="1:3" x14ac:dyDescent="0.3">
      <c r="A205" s="105" t="e" vm="72">
        <v>#VALUE!</v>
      </c>
      <c r="C205" s="43" t="e" vm="72">
        <v>#VALUE!</v>
      </c>
    </row>
    <row r="206" spans="1:3" x14ac:dyDescent="0.3">
      <c r="A206" s="105" t="e" vm="73">
        <v>#VALUE!</v>
      </c>
      <c r="C206" s="43" t="e" vm="73">
        <v>#VALUE!</v>
      </c>
    </row>
    <row r="207" spans="1:3" x14ac:dyDescent="0.3">
      <c r="A207" s="105" t="e" vm="87">
        <v>#VALUE!</v>
      </c>
      <c r="C207" s="43" t="e" vm="87">
        <v>#VALUE!</v>
      </c>
    </row>
    <row r="208" spans="1:3" x14ac:dyDescent="0.3">
      <c r="A208" s="105" t="e" vm="19">
        <v>#VALUE!</v>
      </c>
      <c r="C208" s="43" t="e" vm="19">
        <v>#VALUE!</v>
      </c>
    </row>
    <row r="210" spans="3:3" x14ac:dyDescent="0.3">
      <c r="C210" s="43" t="e" vm="6">
        <v>#VALUE!</v>
      </c>
    </row>
  </sheetData>
  <phoneticPr fontId="19" type="noConversion"/>
  <conditionalFormatting sqref="AA3:AA96">
    <cfRule type="cellIs" dxfId="0" priority="1" operator="greaterThan">
      <formula>0.04</formula>
    </cfRule>
  </conditionalFormatting>
  <pageMargins left="0.7" right="0.7" top="0.75" bottom="0.75" header="0.3" footer="0.3"/>
  <pageSetup paperSize="9" orientation="portrait" horizontalDpi="0" verticalDpi="0"/>
  <ignoredErrors>
    <ignoredError sqref="A11:A48 A4:A8 A49:A93" emptyCellReference="1"/>
    <ignoredError sqref="B3:B4 B11:B48 B6:B8 B49:B93" calculatedColumn="1"/>
    <ignoredError xmlns:x16r3="http://schemas.microsoft.com/office/spreadsheetml/2018/08/main" sqref="G7" x16r3:misleadingFormat="1"/>
  </ignoredErrors>
  <legacy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57750-CCC7-F046-9465-8DB884ACA6B7}">
  <sheetPr codeName="Sheet2"/>
  <dimension ref="A1:O97"/>
  <sheetViews>
    <sheetView showZeros="0" zoomScaleNormal="70" workbookViewId="0">
      <pane xSplit="1" ySplit="1" topLeftCell="C2" activePane="bottomRight" state="frozen"/>
      <selection pane="topRight" activeCell="B1" sqref="B1"/>
      <selection pane="bottomLeft" activeCell="A2" sqref="A2"/>
      <selection pane="bottomRight" activeCell="J6" sqref="J6"/>
    </sheetView>
  </sheetViews>
  <sheetFormatPr baseColWidth="10" defaultRowHeight="22" x14ac:dyDescent="0.3"/>
  <cols>
    <col min="1" max="1" width="9.375" bestFit="1" customWidth="1"/>
    <col min="2" max="2" width="16.125" bestFit="1" customWidth="1"/>
    <col min="3" max="3" width="14.625" bestFit="1" customWidth="1"/>
    <col min="4" max="4" width="12" bestFit="1" customWidth="1"/>
    <col min="5" max="5" width="15.5" style="21" bestFit="1" customWidth="1"/>
    <col min="6" max="6" width="12.375" style="43" bestFit="1" customWidth="1"/>
    <col min="7" max="7" width="10.25" bestFit="1" customWidth="1"/>
    <col min="8" max="8" width="12.375" style="43" bestFit="1" customWidth="1"/>
    <col min="9" max="9" width="10.625" customWidth="1"/>
    <col min="11" max="11" width="0" hidden="1" customWidth="1"/>
  </cols>
  <sheetData>
    <row r="1" spans="1:15" x14ac:dyDescent="0.3">
      <c r="A1" s="107" t="s">
        <v>74</v>
      </c>
      <c r="B1" s="107" t="str">
        <f>[1]Sheet1!B1</f>
        <v>1-Year Target Price</v>
      </c>
      <c r="C1" s="107" t="str">
        <f>[1]Sheet1!C1</f>
        <v>Ex-Dividend Date</v>
      </c>
      <c r="D1" s="107" t="str">
        <f>[1]Sheet1!D1</f>
        <v>Earnings Date</v>
      </c>
      <c r="E1" s="108" t="str">
        <f>[1]Sheet1!E1</f>
        <v>Dividend Yield (%)</v>
      </c>
      <c r="F1" s="109" t="s">
        <v>172</v>
      </c>
      <c r="G1" s="107" t="s">
        <v>171</v>
      </c>
      <c r="H1" s="109" t="s">
        <v>173</v>
      </c>
      <c r="I1" s="107"/>
      <c r="J1" s="107"/>
      <c r="K1" s="107" t="s">
        <v>135</v>
      </c>
    </row>
    <row r="2" spans="1:15" x14ac:dyDescent="0.3">
      <c r="A2" t="str">
        <f>[2]YData!A2</f>
        <v>AAPL</v>
      </c>
      <c r="B2">
        <f>[2]YData!B2</f>
        <v>276.43097</v>
      </c>
      <c r="C2" s="110">
        <f>VALUE([2]YData!C2)</f>
        <v>45971</v>
      </c>
      <c r="D2" t="str">
        <f>[2]YData!D2</f>
        <v>Jan 29, 2026</v>
      </c>
      <c r="E2" s="21">
        <f>[2]YData!E2</f>
        <v>3.8E-3</v>
      </c>
      <c r="F2" s="43" t="str">
        <f>_xlfn.LET(_xlpm.Tick,A2,IFERROR(LEFT(_xlpm.Tick,FIND(".",_xlpm.Tick)-1),_xlpm.Tick))</f>
        <v>AAPL</v>
      </c>
      <c r="G2" t="s">
        <v>75</v>
      </c>
      <c r="H2" s="43" t="str" cm="1">
        <f t="array" ref="H2">_xlfn.IFS(OR(LEFT(G2,3)="SAF",LEFT(G2,3)="MVE"), RIGHT(G2,LEN(G2)-3),     LEFT(G2,2)="JB",  RIGHT(G2,LEN(G2)-2), TRUE,     G2)</f>
        <v>AAPL</v>
      </c>
      <c r="K2" t="str">
        <f>_xlfn.LET(_xlpm.Tick,[2]YData!$A2,IFERROR(LEFT(_xlpm.Tick,FIND(".",_xlpm.Tick)-1),_xlpm.Tick))</f>
        <v>AAPL</v>
      </c>
      <c r="L2" cm="1">
        <f t="array" ref="L2:O96">IFERROR(
    INDEX(Dataload, MATCH(StripName, StripTick, 0), _xlfn.SEQUENCE(1, COLUMNS(Dataload))),
    ""
)</f>
        <v>276.43097</v>
      </c>
      <c r="M2">
        <v>45971</v>
      </c>
      <c r="N2" t="str">
        <v>Jan 29, 2026</v>
      </c>
      <c r="O2">
        <v>3.8E-3</v>
      </c>
    </row>
    <row r="3" spans="1:15" x14ac:dyDescent="0.3">
      <c r="A3" t="str">
        <f>[2]YData!A3</f>
        <v>ADEA</v>
      </c>
      <c r="B3">
        <f>[2]YData!B3</f>
        <v>20.66667</v>
      </c>
      <c r="C3" s="110">
        <f>VALUE([2]YData!C3)</f>
        <v>45895</v>
      </c>
      <c r="D3">
        <f>[2]YData!D3</f>
        <v>0</v>
      </c>
      <c r="E3" s="21">
        <f>[2]YData!E3</f>
        <v>1.17E-2</v>
      </c>
      <c r="F3" s="43" t="str">
        <f t="shared" ref="F3:F66" si="0">_xlfn.LET(_xlpm.Tick,A3,IFERROR(LEFT(_xlpm.Tick,FIND(".",_xlpm.Tick)-1),_xlpm.Tick))</f>
        <v>ADEA</v>
      </c>
      <c r="G3" t="s">
        <v>76</v>
      </c>
      <c r="H3" s="43" t="str" cm="1">
        <f t="array" ref="H3">_xlfn.IFS(OR(LEFT(G3,3)="SAF",LEFT(G3,3)="MVE"), RIGHT(G3,LEN(G3)-3),     LEFT(G3,2)="JB",  RIGHT(G3,LEN(G3)-2), TRUE,     G3)</f>
        <v>ADEA</v>
      </c>
      <c r="K3" t="str">
        <f>_xlfn.LET(_xlpm.Tick,[2]YData!$A3,IFERROR(LEFT(_xlpm.Tick,FIND(".",_xlpm.Tick)-1),_xlpm.Tick))</f>
        <v>ADEA</v>
      </c>
      <c r="L3">
        <v>20.66667</v>
      </c>
      <c r="M3">
        <v>45895</v>
      </c>
      <c r="N3">
        <v>0</v>
      </c>
      <c r="O3">
        <v>1.17E-2</v>
      </c>
    </row>
    <row r="4" spans="1:15" x14ac:dyDescent="0.3">
      <c r="A4" t="str">
        <f>[2]YData!A4</f>
        <v>AET.L</v>
      </c>
      <c r="B4">
        <f>[2]YData!B4</f>
        <v>96.66</v>
      </c>
      <c r="C4" s="110">
        <f>VALUE([2]YData!C4)</f>
        <v>0</v>
      </c>
      <c r="D4">
        <f>[2]YData!D4</f>
        <v>0</v>
      </c>
      <c r="E4" s="21">
        <f>[2]YData!E4</f>
        <v>0</v>
      </c>
      <c r="F4" s="43" t="str">
        <f t="shared" si="0"/>
        <v>AET</v>
      </c>
      <c r="G4" t="s">
        <v>136</v>
      </c>
      <c r="H4" s="43" t="str" cm="1">
        <f t="array" ref="H4">_xlfn.IFS(OR(LEFT(G4,3)="SAF",LEFT(G4,3)="MVE"), RIGHT(G4,LEN(G4)-3),     LEFT(G4,2)="JB",  RIGHT(G4,LEN(G4)-2), TRUE,     G4)</f>
        <v>AET</v>
      </c>
      <c r="K4" t="str">
        <f>_xlfn.LET(_xlpm.Tick,[2]YData!$A4,IFERROR(LEFT(_xlpm.Tick,FIND(".",_xlpm.Tick)-1),_xlpm.Tick))</f>
        <v>AET</v>
      </c>
      <c r="L4">
        <v>96.66</v>
      </c>
      <c r="M4">
        <v>0</v>
      </c>
      <c r="N4">
        <v>0</v>
      </c>
      <c r="O4">
        <v>0</v>
      </c>
    </row>
    <row r="5" spans="1:15" x14ac:dyDescent="0.3">
      <c r="A5" t="str">
        <f>[2]YData!A5</f>
        <v>AMZN</v>
      </c>
      <c r="B5">
        <f>[2]YData!B5</f>
        <v>288.42410000000001</v>
      </c>
      <c r="C5" s="110">
        <f>VALUE([2]YData!C5)</f>
        <v>0</v>
      </c>
      <c r="D5" t="str">
        <f>[2]YData!D5</f>
        <v>Oct 30, 2025</v>
      </c>
      <c r="E5" s="21">
        <f>[2]YData!E5</f>
        <v>0</v>
      </c>
      <c r="F5" s="43" t="str">
        <f t="shared" si="0"/>
        <v>AMZN</v>
      </c>
      <c r="G5" t="s">
        <v>77</v>
      </c>
      <c r="H5" s="43" t="str" cm="1">
        <f t="array" ref="H5">_xlfn.IFS(OR(LEFT(G5,3)="SAF",LEFT(G5,3)="MVE"), RIGHT(G5,LEN(G5)-3),     LEFT(G5,2)="JB",  RIGHT(G5,LEN(G5)-2), TRUE,     G5)</f>
        <v>AMZN</v>
      </c>
      <c r="K5" t="str">
        <f>_xlfn.LET(_xlpm.Tick,[2]YData!$A5,IFERROR(LEFT(_xlpm.Tick,FIND(".",_xlpm.Tick)-1),_xlpm.Tick))</f>
        <v>AMZN</v>
      </c>
      <c r="L5">
        <v>288.42410000000001</v>
      </c>
      <c r="M5">
        <v>0</v>
      </c>
      <c r="N5" t="str">
        <v>Oct 30, 2025</v>
      </c>
      <c r="O5">
        <v>0</v>
      </c>
    </row>
    <row r="6" spans="1:15" x14ac:dyDescent="0.3">
      <c r="A6" t="str">
        <f>[2]YData!A6</f>
        <v>ALDNE.PA</v>
      </c>
      <c r="B6">
        <f>[2]YData!B6</f>
        <v>1.5333300000000001</v>
      </c>
      <c r="C6" s="110">
        <f>VALUE([2]YData!C6)</f>
        <v>0</v>
      </c>
      <c r="D6">
        <f>[2]YData!D6</f>
        <v>0</v>
      </c>
      <c r="E6" s="21">
        <f>[2]YData!E6</f>
        <v>0</v>
      </c>
      <c r="F6" s="43" t="str">
        <f t="shared" si="0"/>
        <v>ALDNE</v>
      </c>
      <c r="G6" t="s">
        <v>137</v>
      </c>
      <c r="H6" s="43" t="str" cm="1">
        <f t="array" ref="H6">_xlfn.IFS(OR(LEFT(G6,3)="SAF",LEFT(G6,3)="MVE"), RIGHT(G6,LEN(G6)-3),     LEFT(G6,2)="JB",  RIGHT(G6,LEN(G6)-2), TRUE,     G6)</f>
        <v>ALDNE</v>
      </c>
      <c r="K6" t="str">
        <f>_xlfn.LET(_xlpm.Tick,[2]YData!$A6,IFERROR(LEFT(_xlpm.Tick,FIND(".",_xlpm.Tick)-1),_xlpm.Tick))</f>
        <v>ALDNE</v>
      </c>
      <c r="L6">
        <v>1.5333300000000001</v>
      </c>
      <c r="M6">
        <v>0</v>
      </c>
      <c r="N6">
        <v>0</v>
      </c>
      <c r="O6">
        <v>0</v>
      </c>
    </row>
    <row r="7" spans="1:15" x14ac:dyDescent="0.3">
      <c r="A7" t="str">
        <f>[2]YData!A7</f>
        <v>ASML.AS</v>
      </c>
      <c r="B7">
        <f>[2]YData!B7</f>
        <v>941.90326000000005</v>
      </c>
      <c r="C7" s="110">
        <f>VALUE([2]YData!C7)</f>
        <v>45958</v>
      </c>
      <c r="D7">
        <f>[2]YData!D7</f>
        <v>0</v>
      </c>
      <c r="E7" s="21">
        <f>[2]YData!E7</f>
        <v>6.9999998000000001E-3</v>
      </c>
      <c r="F7" s="43" t="str">
        <f t="shared" si="0"/>
        <v>ASML</v>
      </c>
      <c r="G7" t="s">
        <v>138</v>
      </c>
      <c r="H7" s="43" t="str" cm="1">
        <f t="array" ref="H7">_xlfn.IFS(OR(LEFT(G7,3)="SAF",LEFT(G7,3)="MVE"), RIGHT(G7,LEN(G7)-3),     LEFT(G7,2)="JB",  RIGHT(G7,LEN(G7)-2), TRUE,     G7)</f>
        <v>ASML</v>
      </c>
      <c r="K7" t="str">
        <f>_xlfn.LET(_xlpm.Tick,[2]YData!$A7,IFERROR(LEFT(_xlpm.Tick,FIND(".",_xlpm.Tick)-1),_xlpm.Tick))</f>
        <v>ASML</v>
      </c>
      <c r="L7">
        <v>941.90326000000005</v>
      </c>
      <c r="M7">
        <v>45958</v>
      </c>
      <c r="N7">
        <v>0</v>
      </c>
      <c r="O7">
        <v>6.9999998000000001E-3</v>
      </c>
    </row>
    <row r="8" spans="1:15" x14ac:dyDescent="0.3">
      <c r="A8" t="str">
        <f>[2]YData!A8</f>
        <v>AVGO</v>
      </c>
      <c r="B8">
        <f>[2]YData!B8</f>
        <v>392.38164999999998</v>
      </c>
      <c r="C8" s="110">
        <f>VALUE([2]YData!C8)</f>
        <v>45922</v>
      </c>
      <c r="D8" t="str">
        <f>[2]YData!D8</f>
        <v>Dec 11, 2025</v>
      </c>
      <c r="E8" s="21">
        <f>[2]YData!E8</f>
        <v>6.4000000000000003E-3</v>
      </c>
      <c r="F8" s="43" t="str">
        <f t="shared" si="0"/>
        <v>AVGO</v>
      </c>
      <c r="G8" t="s">
        <v>78</v>
      </c>
      <c r="H8" s="43" t="str" cm="1">
        <f t="array" ref="H8">_xlfn.IFS(OR(LEFT(G8,3)="SAF",LEFT(G8,3)="MVE"), RIGHT(G8,LEN(G8)-3),     LEFT(G8,2)="JB",  RIGHT(G8,LEN(G8)-2), TRUE,     G8)</f>
        <v>AVGO</v>
      </c>
      <c r="K8" t="str">
        <f>_xlfn.LET(_xlpm.Tick,[2]YData!$A8,IFERROR(LEFT(_xlpm.Tick,FIND(".",_xlpm.Tick)-1),_xlpm.Tick))</f>
        <v>AVGO</v>
      </c>
      <c r="L8">
        <v>392.38164999999998</v>
      </c>
      <c r="M8">
        <v>45922</v>
      </c>
      <c r="N8" t="str">
        <v>Dec 11, 2025</v>
      </c>
      <c r="O8">
        <v>6.4000000000000003E-3</v>
      </c>
    </row>
    <row r="9" spans="1:15" x14ac:dyDescent="0.3">
      <c r="A9" t="str">
        <f>[2]YData!A9</f>
        <v>AZN</v>
      </c>
      <c r="B9">
        <f>[2]YData!B9</f>
        <v>93.25273</v>
      </c>
      <c r="C9" s="110">
        <f>VALUE([2]YData!C9)</f>
        <v>45877</v>
      </c>
      <c r="D9" t="str">
        <f>[2]YData!D9</f>
        <v>Nov 6, 2025</v>
      </c>
      <c r="E9" s="21">
        <f>[2]YData!E9</f>
        <v>1.9E-2</v>
      </c>
      <c r="F9" s="43" t="str">
        <f t="shared" si="0"/>
        <v>AZN</v>
      </c>
      <c r="G9" t="s">
        <v>79</v>
      </c>
      <c r="H9" s="43" t="str" cm="1">
        <f t="array" ref="H9">_xlfn.IFS(OR(LEFT(G9,3)="SAF",LEFT(G9,3)="MVE"), RIGHT(G9,LEN(G9)-3),     LEFT(G9,2)="JB",  RIGHT(G9,LEN(G9)-2), TRUE,     G9)</f>
        <v>AZN</v>
      </c>
      <c r="K9" t="str">
        <f>_xlfn.LET(_xlpm.Tick,[2]YData!$A9,IFERROR(LEFT(_xlpm.Tick,FIND(".",_xlpm.Tick)-1),_xlpm.Tick))</f>
        <v>AZN</v>
      </c>
      <c r="L9">
        <v>93.25273</v>
      </c>
      <c r="M9">
        <v>45877</v>
      </c>
      <c r="N9" t="str">
        <v>Nov 6, 2025</v>
      </c>
      <c r="O9">
        <v>1.9E-2</v>
      </c>
    </row>
    <row r="10" spans="1:15" x14ac:dyDescent="0.3">
      <c r="A10" t="str">
        <f>[2]YData!A10</f>
        <v>BLDP</v>
      </c>
      <c r="B10">
        <f>[2]YData!B10</f>
        <v>2.75</v>
      </c>
      <c r="C10" s="110">
        <f>VALUE([2]YData!C10)</f>
        <v>0</v>
      </c>
      <c r="D10" t="str">
        <f>[2]YData!D10</f>
        <v>Nov 13, 2025</v>
      </c>
      <c r="E10" s="21">
        <f>[2]YData!E10</f>
        <v>0</v>
      </c>
      <c r="F10" s="43" t="str">
        <f t="shared" si="0"/>
        <v>BLDP</v>
      </c>
      <c r="G10" t="s">
        <v>80</v>
      </c>
      <c r="H10" s="43" t="str" cm="1">
        <f t="array" ref="H10">_xlfn.IFS(OR(LEFT(G10,3)="SAF",LEFT(G10,3)="MVE"), RIGHT(G10,LEN(G10)-3),     LEFT(G10,2)="JB",  RIGHT(G10,LEN(G10)-2), TRUE,     G10)</f>
        <v>BLDP</v>
      </c>
      <c r="K10" t="str">
        <f>_xlfn.LET(_xlpm.Tick,[2]YData!$A10,IFERROR(LEFT(_xlpm.Tick,FIND(".",_xlpm.Tick)-1),_xlpm.Tick))</f>
        <v>BLDP</v>
      </c>
      <c r="L10">
        <v>2.75</v>
      </c>
      <c r="M10">
        <v>0</v>
      </c>
      <c r="N10" t="str">
        <v>Nov 13, 2025</v>
      </c>
      <c r="O10">
        <v>0</v>
      </c>
    </row>
    <row r="11" spans="1:15" x14ac:dyDescent="0.3">
      <c r="A11" t="str">
        <f>[2]YData!A11</f>
        <v>BMRA</v>
      </c>
      <c r="B11">
        <f>[2]YData!B11</f>
        <v>0</v>
      </c>
      <c r="C11" s="110">
        <f>VALUE([2]YData!C11)</f>
        <v>0</v>
      </c>
      <c r="D11">
        <f>[2]YData!D11</f>
        <v>0</v>
      </c>
      <c r="E11" s="21">
        <f>[2]YData!E11</f>
        <v>0</v>
      </c>
      <c r="F11" s="43" t="str">
        <f t="shared" si="0"/>
        <v>BMRA</v>
      </c>
      <c r="G11" t="s">
        <v>81</v>
      </c>
      <c r="H11" s="43" t="str" cm="1">
        <f t="array" ref="H11">_xlfn.IFS(OR(LEFT(G11,3)="SAF",LEFT(G11,3)="MVE"), RIGHT(G11,LEN(G11)-3),     LEFT(G11,2)="JB",  RIGHT(G11,LEN(G11)-2), TRUE,     G11)</f>
        <v>BMRA</v>
      </c>
      <c r="K11" t="str">
        <f>_xlfn.LET(_xlpm.Tick,[2]YData!$A11,IFERROR(LEFT(_xlpm.Tick,FIND(".",_xlpm.Tick)-1),_xlpm.Tick))</f>
        <v>BMRA</v>
      </c>
      <c r="L11">
        <v>0</v>
      </c>
      <c r="M11">
        <v>0</v>
      </c>
      <c r="N11">
        <v>0</v>
      </c>
      <c r="O11">
        <v>0</v>
      </c>
    </row>
    <row r="12" spans="1:15" x14ac:dyDescent="0.3">
      <c r="A12" t="str">
        <f>[2]YData!A12</f>
        <v>C</v>
      </c>
      <c r="B12">
        <f>[2]YData!B12</f>
        <v>113.7619</v>
      </c>
      <c r="C12" s="110">
        <f>VALUE([2]YData!C12)</f>
        <v>45964</v>
      </c>
      <c r="D12" t="str">
        <f>[2]YData!D12</f>
        <v>Jan 14, 2026</v>
      </c>
      <c r="E12" s="21">
        <f>[2]YData!E12</f>
        <v>2.3699998999999999E-2</v>
      </c>
      <c r="F12" s="43" t="str">
        <f t="shared" si="0"/>
        <v>C</v>
      </c>
      <c r="G12" t="s">
        <v>82</v>
      </c>
      <c r="H12" s="43" t="str" cm="1">
        <f t="array" ref="H12">_xlfn.IFS(OR(LEFT(G12,3)="SAF",LEFT(G12,3)="MVE"), RIGHT(G12,LEN(G12)-3),     LEFT(G12,2)="JB",  RIGHT(G12,LEN(G12)-2), TRUE,     G12)</f>
        <v>C</v>
      </c>
      <c r="K12" t="str">
        <f>_xlfn.LET(_xlpm.Tick,[2]YData!$A12,IFERROR(LEFT(_xlpm.Tick,FIND(".",_xlpm.Tick)-1),_xlpm.Tick))</f>
        <v>C</v>
      </c>
      <c r="L12">
        <v>113.7619</v>
      </c>
      <c r="M12">
        <v>45964</v>
      </c>
      <c r="N12" t="str">
        <v>Jan 14, 2026</v>
      </c>
      <c r="O12">
        <v>2.3699998999999999E-2</v>
      </c>
    </row>
    <row r="13" spans="1:15" x14ac:dyDescent="0.3">
      <c r="A13" t="str">
        <f>[2]YData!A13</f>
        <v>CSCO</v>
      </c>
      <c r="B13">
        <f>[2]YData!B13</f>
        <v>76.290949999999995</v>
      </c>
      <c r="C13" s="110">
        <f>VALUE([2]YData!C13)</f>
        <v>45933</v>
      </c>
      <c r="D13" t="str">
        <f>[2]YData!D13</f>
        <v>Nov 12, 2025</v>
      </c>
      <c r="E13" s="21">
        <f>[2]YData!E13</f>
        <v>2.24E-2</v>
      </c>
      <c r="F13" s="43" t="str">
        <f t="shared" si="0"/>
        <v>CSCO</v>
      </c>
      <c r="G13" t="s">
        <v>83</v>
      </c>
      <c r="H13" s="43" t="str" cm="1">
        <f t="array" ref="H13">_xlfn.IFS(OR(LEFT(G13,3)="SAF",LEFT(G13,3)="MVE"), RIGHT(G13,LEN(G13)-3),     LEFT(G13,2)="JB",  RIGHT(G13,LEN(G13)-2), TRUE,     G13)</f>
        <v>CSCO</v>
      </c>
      <c r="K13" t="str">
        <f>_xlfn.LET(_xlpm.Tick,[2]YData!$A13,IFERROR(LEFT(_xlpm.Tick,FIND(".",_xlpm.Tick)-1),_xlpm.Tick))</f>
        <v>CSCO</v>
      </c>
      <c r="L13">
        <v>76.290949999999995</v>
      </c>
      <c r="M13">
        <v>45933</v>
      </c>
      <c r="N13" t="str">
        <v>Nov 12, 2025</v>
      </c>
      <c r="O13">
        <v>2.24E-2</v>
      </c>
    </row>
    <row r="14" spans="1:15" x14ac:dyDescent="0.3">
      <c r="A14" t="str">
        <f>[2]YData!A14</f>
        <v>CVS</v>
      </c>
      <c r="B14">
        <f>[2]YData!B14</f>
        <v>90.48</v>
      </c>
      <c r="C14" s="110">
        <f>VALUE([2]YData!C14)</f>
        <v>45953</v>
      </c>
      <c r="D14" t="str">
        <f>[2]YData!D14</f>
        <v>Oct 29, 2025</v>
      </c>
      <c r="E14" s="21">
        <f>[2]YData!E14</f>
        <v>3.4000000000000002E-2</v>
      </c>
      <c r="F14" s="43" t="str">
        <f t="shared" si="0"/>
        <v>CVS</v>
      </c>
      <c r="G14" t="s">
        <v>84</v>
      </c>
      <c r="H14" s="43" t="str" cm="1">
        <f t="array" ref="H14">_xlfn.IFS(OR(LEFT(G14,3)="SAF",LEFT(G14,3)="MVE"), RIGHT(G14,LEN(G14)-3),     LEFT(G14,2)="JB",  RIGHT(G14,LEN(G14)-2), TRUE,     G14)</f>
        <v>CVS</v>
      </c>
      <c r="K14" t="str">
        <f>_xlfn.LET(_xlpm.Tick,[2]YData!$A14,IFERROR(LEFT(_xlpm.Tick,FIND(".",_xlpm.Tick)-1),_xlpm.Tick))</f>
        <v>CVS</v>
      </c>
      <c r="L14">
        <v>90.48</v>
      </c>
      <c r="M14">
        <v>45953</v>
      </c>
      <c r="N14" t="str">
        <v>Oct 29, 2025</v>
      </c>
      <c r="O14">
        <v>3.4000000000000002E-2</v>
      </c>
    </row>
    <row r="15" spans="1:15" x14ac:dyDescent="0.3">
      <c r="A15" t="str">
        <f>[2]YData!A15</f>
        <v>DDD</v>
      </c>
      <c r="B15">
        <f>[2]YData!B15</f>
        <v>3.25</v>
      </c>
      <c r="C15" s="110">
        <f>VALUE([2]YData!C15)</f>
        <v>0</v>
      </c>
      <c r="D15" t="str">
        <f>[2]YData!D15</f>
        <v>Nov 4, 2025</v>
      </c>
      <c r="E15" s="21">
        <f>[2]YData!E15</f>
        <v>0</v>
      </c>
      <c r="F15" s="43" t="str">
        <f t="shared" si="0"/>
        <v>DDD</v>
      </c>
      <c r="G15" t="s">
        <v>85</v>
      </c>
      <c r="H15" s="43" t="str" cm="1">
        <f t="array" ref="H15">_xlfn.IFS(OR(LEFT(G15,3)="SAF",LEFT(G15,3)="MVE"), RIGHT(G15,LEN(G15)-3),     LEFT(G15,2)="JB",  RIGHT(G15,LEN(G15)-2), TRUE,     G15)</f>
        <v>DDD</v>
      </c>
      <c r="K15" t="str">
        <f>_xlfn.LET(_xlpm.Tick,[2]YData!$A15,IFERROR(LEFT(_xlpm.Tick,FIND(".",_xlpm.Tick)-1),_xlpm.Tick))</f>
        <v>DDD</v>
      </c>
      <c r="L15">
        <v>3.25</v>
      </c>
      <c r="M15">
        <v>0</v>
      </c>
      <c r="N15" t="str">
        <v>Nov 4, 2025</v>
      </c>
      <c r="O15">
        <v>0</v>
      </c>
    </row>
    <row r="16" spans="1:15" x14ac:dyDescent="0.3">
      <c r="A16" t="str">
        <f>[2]YData!A16</f>
        <v>DIS</v>
      </c>
      <c r="B16">
        <f>[2]YData!B16</f>
        <v>134.07239999999999</v>
      </c>
      <c r="C16" s="110">
        <f>VALUE([2]YData!C16)</f>
        <v>45832</v>
      </c>
      <c r="D16" t="str">
        <f>[2]YData!D16</f>
        <v>Nov 13, 2025</v>
      </c>
      <c r="E16" s="21">
        <f>[2]YData!E16</f>
        <v>8.8999999999999999E-3</v>
      </c>
      <c r="F16" s="43" t="str">
        <f t="shared" si="0"/>
        <v>DIS</v>
      </c>
      <c r="G16" t="s">
        <v>86</v>
      </c>
      <c r="H16" s="43" t="str" cm="1">
        <f t="array" ref="H16">_xlfn.IFS(OR(LEFT(G16,3)="SAF",LEFT(G16,3)="MVE"), RIGHT(G16,LEN(G16)-3),     LEFT(G16,2)="JB",  RIGHT(G16,LEN(G16)-2), TRUE,     G16)</f>
        <v>DIS</v>
      </c>
      <c r="K16" t="str">
        <f>_xlfn.LET(_xlpm.Tick,[2]YData!$A16,IFERROR(LEFT(_xlpm.Tick,FIND(".",_xlpm.Tick)-1),_xlpm.Tick))</f>
        <v>DIS</v>
      </c>
      <c r="L16">
        <v>134.07239999999999</v>
      </c>
      <c r="M16">
        <v>45832</v>
      </c>
      <c r="N16" t="str">
        <v>Nov 13, 2025</v>
      </c>
      <c r="O16">
        <v>8.8999999999999999E-3</v>
      </c>
    </row>
    <row r="17" spans="1:15" x14ac:dyDescent="0.3">
      <c r="A17" t="str">
        <f>[2]YData!A17</f>
        <v>DSY.PA</v>
      </c>
      <c r="B17">
        <f>[2]YData!B17</f>
        <v>31.877780000000001</v>
      </c>
      <c r="C17" s="110">
        <f>VALUE([2]YData!C17)</f>
        <v>45803</v>
      </c>
      <c r="D17">
        <f>[2]YData!D17</f>
        <v>0</v>
      </c>
      <c r="E17" s="21">
        <f>[2]YData!E17</f>
        <v>1.06E-2</v>
      </c>
      <c r="F17" s="43" t="str">
        <f t="shared" si="0"/>
        <v>DSY</v>
      </c>
      <c r="G17" t="s">
        <v>139</v>
      </c>
      <c r="H17" s="43" t="str" cm="1">
        <f t="array" ref="H17">_xlfn.IFS(OR(LEFT(G17,3)="SAF",LEFT(G17,3)="MVE"), RIGHT(G17,LEN(G17)-3),     LEFT(G17,2)="JB",  RIGHT(G17,LEN(G17)-2), TRUE,     G17)</f>
        <v>DSY</v>
      </c>
      <c r="K17" t="str">
        <f>_xlfn.LET(_xlpm.Tick,[2]YData!$A17,IFERROR(LEFT(_xlpm.Tick,FIND(".",_xlpm.Tick)-1),_xlpm.Tick))</f>
        <v>DSY</v>
      </c>
      <c r="L17">
        <v>31.877780000000001</v>
      </c>
      <c r="M17">
        <v>45803</v>
      </c>
      <c r="N17">
        <v>0</v>
      </c>
      <c r="O17">
        <v>1.06E-2</v>
      </c>
    </row>
    <row r="18" spans="1:15" x14ac:dyDescent="0.3">
      <c r="A18" t="str">
        <f>[2]YData!A18</f>
        <v>DVA</v>
      </c>
      <c r="B18">
        <f>[2]YData!B18</f>
        <v>147.125</v>
      </c>
      <c r="C18" s="110">
        <f>VALUE([2]YData!C18)</f>
        <v>0</v>
      </c>
      <c r="D18" t="str">
        <f>[2]YData!D18</f>
        <v>Oct 29, 2025</v>
      </c>
      <c r="E18" s="21">
        <f>[2]YData!E18</f>
        <v>0</v>
      </c>
      <c r="F18" s="43" t="str">
        <f t="shared" si="0"/>
        <v>DVA</v>
      </c>
      <c r="G18" t="s">
        <v>87</v>
      </c>
      <c r="H18" s="43" t="str" cm="1">
        <f t="array" ref="H18">_xlfn.IFS(OR(LEFT(G18,3)="SAF",LEFT(G18,3)="MVE"), RIGHT(G18,LEN(G18)-3),     LEFT(G18,2)="JB",  RIGHT(G18,LEN(G18)-2), TRUE,     G18)</f>
        <v>DVA</v>
      </c>
      <c r="K18" t="str">
        <f>_xlfn.LET(_xlpm.Tick,[2]YData!$A18,IFERROR(LEFT(_xlpm.Tick,FIND(".",_xlpm.Tick)-1),_xlpm.Tick))</f>
        <v>DVA</v>
      </c>
      <c r="L18">
        <v>147.125</v>
      </c>
      <c r="M18">
        <v>0</v>
      </c>
      <c r="N18" t="str">
        <v>Oct 29, 2025</v>
      </c>
      <c r="O18">
        <v>0</v>
      </c>
    </row>
    <row r="19" spans="1:15" x14ac:dyDescent="0.3">
      <c r="A19" t="str">
        <f>[2]YData!A19</f>
        <v>DXC</v>
      </c>
      <c r="B19">
        <f>[2]YData!B19</f>
        <v>14.5</v>
      </c>
      <c r="C19" s="110">
        <f>VALUE([2]YData!C19)</f>
        <v>43914</v>
      </c>
      <c r="D19" t="str">
        <f>[2]YData!D19</f>
        <v>Oct 30, 2025</v>
      </c>
      <c r="E19" s="21">
        <f>[2]YData!E19</f>
        <v>0</v>
      </c>
      <c r="F19" s="43" t="str">
        <f t="shared" si="0"/>
        <v>DXC</v>
      </c>
      <c r="G19" t="s">
        <v>88</v>
      </c>
      <c r="H19" s="43" t="str" cm="1">
        <f t="array" ref="H19">_xlfn.IFS(OR(LEFT(G19,3)="SAF",LEFT(G19,3)="MVE"), RIGHT(G19,LEN(G19)-3),     LEFT(G19,2)="JB",  RIGHT(G19,LEN(G19)-2), TRUE,     G19)</f>
        <v>DXC</v>
      </c>
      <c r="K19" t="str">
        <f>_xlfn.LET(_xlpm.Tick,[2]YData!$A19,IFERROR(LEFT(_xlpm.Tick,FIND(".",_xlpm.Tick)-1),_xlpm.Tick))</f>
        <v>DXC</v>
      </c>
      <c r="L19">
        <v>14.5</v>
      </c>
      <c r="M19">
        <v>43914</v>
      </c>
      <c r="N19" t="str">
        <v>Oct 30, 2025</v>
      </c>
      <c r="O19">
        <v>0</v>
      </c>
    </row>
    <row r="20" spans="1:15" x14ac:dyDescent="0.3">
      <c r="A20" t="str">
        <f>[2]YData!A20</f>
        <v>EOAN.DE</v>
      </c>
      <c r="B20">
        <f>[2]YData!B20</f>
        <v>16.919589999999999</v>
      </c>
      <c r="C20" s="110">
        <f>VALUE([2]YData!C20)</f>
        <v>45793</v>
      </c>
      <c r="D20">
        <f>[2]YData!D20</f>
        <v>0</v>
      </c>
      <c r="E20" s="21">
        <f>[2]YData!E20</f>
        <v>3.4099999999999998E-2</v>
      </c>
      <c r="F20" s="43" t="str">
        <f t="shared" si="0"/>
        <v>EOAN</v>
      </c>
      <c r="G20" t="s">
        <v>140</v>
      </c>
      <c r="H20" s="43" t="str" cm="1">
        <f t="array" ref="H20">_xlfn.IFS(OR(LEFT(G20,3)="SAF",LEFT(G20,3)="MVE"), RIGHT(G20,LEN(G20)-3),     LEFT(G20,2)="JB",  RIGHT(G20,LEN(G20)-2), TRUE,     G20)</f>
        <v>EOAN</v>
      </c>
      <c r="K20" t="str">
        <f>_xlfn.LET(_xlpm.Tick,[2]YData!$A20,IFERROR(LEFT(_xlpm.Tick,FIND(".",_xlpm.Tick)-1),_xlpm.Tick))</f>
        <v>EOAN</v>
      </c>
      <c r="L20">
        <v>16.919589999999999</v>
      </c>
      <c r="M20">
        <v>45793</v>
      </c>
      <c r="N20">
        <v>0</v>
      </c>
      <c r="O20">
        <v>3.4099999999999998E-2</v>
      </c>
    </row>
    <row r="21" spans="1:15" x14ac:dyDescent="0.3">
      <c r="A21" t="str">
        <f>[2]YData!A21</f>
        <v>EPIX</v>
      </c>
      <c r="B21">
        <f>[2]YData!B21</f>
        <v>0</v>
      </c>
      <c r="C21" s="110">
        <f>VALUE([2]YData!C21)</f>
        <v>45894</v>
      </c>
      <c r="D21">
        <f>[2]YData!D21</f>
        <v>0</v>
      </c>
      <c r="E21" s="21">
        <f>[2]YData!E21</f>
        <v>0</v>
      </c>
      <c r="F21" s="43" t="str">
        <f t="shared" si="0"/>
        <v>EPIX</v>
      </c>
      <c r="G21" t="s">
        <v>89</v>
      </c>
      <c r="H21" s="43" t="str" cm="1">
        <f t="array" ref="H21">_xlfn.IFS(OR(LEFT(G21,3)="SAF",LEFT(G21,3)="MVE"), RIGHT(G21,LEN(G21)-3),     LEFT(G21,2)="JB",  RIGHT(G21,LEN(G21)-2), TRUE,     G21)</f>
        <v>EPIX</v>
      </c>
      <c r="K21" t="str">
        <f>_xlfn.LET(_xlpm.Tick,[2]YData!$A21,IFERROR(LEFT(_xlpm.Tick,FIND(".",_xlpm.Tick)-1),_xlpm.Tick))</f>
        <v>EPIX</v>
      </c>
      <c r="L21">
        <v>0</v>
      </c>
      <c r="M21">
        <v>45894</v>
      </c>
      <c r="N21">
        <v>0</v>
      </c>
      <c r="O21">
        <v>0</v>
      </c>
    </row>
    <row r="22" spans="1:15" x14ac:dyDescent="0.3">
      <c r="A22" t="str">
        <f>[2]YData!A22</f>
        <v>GM</v>
      </c>
      <c r="B22">
        <f>[2]YData!B22</f>
        <v>73.153850000000006</v>
      </c>
      <c r="C22" s="110">
        <f>VALUE([2]YData!C22)</f>
        <v>45996</v>
      </c>
      <c r="D22" t="str">
        <f>[2]YData!D22</f>
        <v>Oct 21, 2025</v>
      </c>
      <c r="E22" s="21">
        <f>[2]YData!E22</f>
        <v>8.6999999999999994E-3</v>
      </c>
      <c r="F22" s="43" t="str">
        <f t="shared" si="0"/>
        <v>GM</v>
      </c>
      <c r="G22" t="s">
        <v>90</v>
      </c>
      <c r="H22" s="43" t="str" cm="1">
        <f t="array" ref="H22">_xlfn.IFS(OR(LEFT(G22,3)="SAF",LEFT(G22,3)="MVE"), RIGHT(G22,LEN(G22)-3),     LEFT(G22,2)="JB",  RIGHT(G22,LEN(G22)-2), TRUE,     G22)</f>
        <v>GM</v>
      </c>
      <c r="K22" t="str">
        <f>_xlfn.LET(_xlpm.Tick,[2]YData!$A22,IFERROR(LEFT(_xlpm.Tick,FIND(".",_xlpm.Tick)-1),_xlpm.Tick))</f>
        <v>GM</v>
      </c>
      <c r="L22">
        <v>73.153850000000006</v>
      </c>
      <c r="M22">
        <v>45996</v>
      </c>
      <c r="N22" t="str">
        <v>Oct 21, 2025</v>
      </c>
      <c r="O22">
        <v>8.6999999999999994E-3</v>
      </c>
    </row>
    <row r="23" spans="1:15" x14ac:dyDescent="0.3">
      <c r="A23" t="str">
        <f>[2]YData!A23</f>
        <v>HPE</v>
      </c>
      <c r="B23">
        <f>[2]YData!B23</f>
        <v>26.51211</v>
      </c>
      <c r="C23" s="110">
        <f>VALUE([2]YData!C23)</f>
        <v>45918</v>
      </c>
      <c r="D23" t="str">
        <f>[2]YData!D23</f>
        <v>Dec 4, 2025</v>
      </c>
      <c r="E23" s="21">
        <f>[2]YData!E23</f>
        <v>2.1300000999999999E-2</v>
      </c>
      <c r="F23" s="43" t="str">
        <f t="shared" si="0"/>
        <v>HPE</v>
      </c>
      <c r="G23" t="s">
        <v>91</v>
      </c>
      <c r="H23" s="43" t="str" cm="1">
        <f t="array" ref="H23">_xlfn.IFS(OR(LEFT(G23,3)="SAF",LEFT(G23,3)="MVE"), RIGHT(G23,LEN(G23)-3),     LEFT(G23,2)="JB",  RIGHT(G23,LEN(G23)-2), TRUE,     G23)</f>
        <v>HPE</v>
      </c>
      <c r="K23" t="str">
        <f>_xlfn.LET(_xlpm.Tick,[2]YData!$A23,IFERROR(LEFT(_xlpm.Tick,FIND(".",_xlpm.Tick)-1),_xlpm.Tick))</f>
        <v>HPE</v>
      </c>
      <c r="L23">
        <v>26.51211</v>
      </c>
      <c r="M23">
        <v>45918</v>
      </c>
      <c r="N23" t="str">
        <v>Dec 4, 2025</v>
      </c>
      <c r="O23">
        <v>2.1300000999999999E-2</v>
      </c>
    </row>
    <row r="24" spans="1:15" x14ac:dyDescent="0.3">
      <c r="A24" t="str">
        <f>[2]YData!A24</f>
        <v>HPQ</v>
      </c>
      <c r="B24">
        <f>[2]YData!B24</f>
        <v>28.282499999999999</v>
      </c>
      <c r="C24" s="110">
        <f>VALUE([2]YData!C24)</f>
        <v>45910</v>
      </c>
      <c r="D24" t="str">
        <f>[2]YData!D24</f>
        <v>Nov 25, 2025</v>
      </c>
      <c r="E24" s="21">
        <f>[2]YData!E24</f>
        <v>4.1799999999999997E-2</v>
      </c>
      <c r="F24" s="43" t="str">
        <f t="shared" si="0"/>
        <v>HPQ</v>
      </c>
      <c r="G24" t="s">
        <v>92</v>
      </c>
      <c r="H24" s="43" t="str" cm="1">
        <f t="array" ref="H24">_xlfn.IFS(OR(LEFT(G24,3)="SAF",LEFT(G24,3)="MVE"), RIGHT(G24,LEN(G24)-3),     LEFT(G24,2)="JB",  RIGHT(G24,LEN(G24)-2), TRUE,     G24)</f>
        <v>HPQ</v>
      </c>
      <c r="K24" t="str">
        <f>_xlfn.LET(_xlpm.Tick,[2]YData!$A24,IFERROR(LEFT(_xlpm.Tick,FIND(".",_xlpm.Tick)-1),_xlpm.Tick))</f>
        <v>HPQ</v>
      </c>
      <c r="L24">
        <v>28.282499999999999</v>
      </c>
      <c r="M24">
        <v>45910</v>
      </c>
      <c r="N24" t="str">
        <v>Nov 25, 2025</v>
      </c>
      <c r="O24">
        <v>4.1799999999999997E-2</v>
      </c>
    </row>
    <row r="25" spans="1:15" x14ac:dyDescent="0.3">
      <c r="A25" t="str">
        <f>[2]YData!A25</f>
        <v>IAG.L</v>
      </c>
      <c r="B25">
        <f>[2]YData!B25</f>
        <v>464.0942</v>
      </c>
      <c r="C25" s="110">
        <f>VALUE([2]YData!C25)</f>
        <v>45834</v>
      </c>
      <c r="D25">
        <f>[2]YData!D25</f>
        <v>0</v>
      </c>
      <c r="E25" s="21">
        <f>[2]YData!E25</f>
        <v>1.83E-2</v>
      </c>
      <c r="F25" s="43" t="str">
        <f t="shared" si="0"/>
        <v>IAG</v>
      </c>
      <c r="G25" t="s">
        <v>141</v>
      </c>
      <c r="H25" s="43" t="str" cm="1">
        <f t="array" ref="H25">_xlfn.IFS(OR(LEFT(G25,3)="SAF",LEFT(G25,3)="MVE"), RIGHT(G25,LEN(G25)-3),     LEFT(G25,2)="JB",  RIGHT(G25,LEN(G25)-2), TRUE,     G25)</f>
        <v>IAG</v>
      </c>
      <c r="K25" t="str">
        <f>_xlfn.LET(_xlpm.Tick,[2]YData!$A25,IFERROR(LEFT(_xlpm.Tick,FIND(".",_xlpm.Tick)-1),_xlpm.Tick))</f>
        <v>IAG</v>
      </c>
      <c r="L25">
        <v>464.0942</v>
      </c>
      <c r="M25">
        <v>45834</v>
      </c>
      <c r="N25">
        <v>0</v>
      </c>
      <c r="O25">
        <v>1.83E-2</v>
      </c>
    </row>
    <row r="26" spans="1:15" x14ac:dyDescent="0.3">
      <c r="A26" t="str">
        <f>[2]YData!A26</f>
        <v>KR</v>
      </c>
      <c r="B26">
        <f>[2]YData!B26</f>
        <v>76.045450000000002</v>
      </c>
      <c r="C26" s="110">
        <f>VALUE([2]YData!C26)</f>
        <v>45975</v>
      </c>
      <c r="D26" t="str">
        <f>[2]YData!D26</f>
        <v>Dec 4, 2025</v>
      </c>
      <c r="E26" s="21">
        <f>[2]YData!E26</f>
        <v>2.1999999999999999E-2</v>
      </c>
      <c r="F26" s="43" t="str">
        <f t="shared" si="0"/>
        <v>KR</v>
      </c>
      <c r="G26" t="s">
        <v>93</v>
      </c>
      <c r="H26" s="43" t="str" cm="1">
        <f t="array" ref="H26">_xlfn.IFS(OR(LEFT(G26,3)="SAF",LEFT(G26,3)="MVE"), RIGHT(G26,LEN(G26)-3),     LEFT(G26,2)="JB",  RIGHT(G26,LEN(G26)-2), TRUE,     G26)</f>
        <v>KR</v>
      </c>
      <c r="K26" t="str">
        <f>_xlfn.LET(_xlpm.Tick,[2]YData!$A26,IFERROR(LEFT(_xlpm.Tick,FIND(".",_xlpm.Tick)-1),_xlpm.Tick))</f>
        <v>KR</v>
      </c>
      <c r="L26">
        <v>76.045450000000002</v>
      </c>
      <c r="M26">
        <v>45975</v>
      </c>
      <c r="N26" t="str">
        <v>Dec 4, 2025</v>
      </c>
      <c r="O26">
        <v>2.1999999999999999E-2</v>
      </c>
    </row>
    <row r="27" spans="1:15" x14ac:dyDescent="0.3">
      <c r="A27" t="str">
        <f>[2]YData!A27</f>
        <v>LNSR</v>
      </c>
      <c r="B27">
        <f>[2]YData!B27</f>
        <v>15</v>
      </c>
      <c r="C27" s="110">
        <f>VALUE([2]YData!C27)</f>
        <v>0</v>
      </c>
      <c r="D27">
        <f>[2]YData!D27</f>
        <v>0</v>
      </c>
      <c r="E27" s="21">
        <f>[2]YData!E27</f>
        <v>0</v>
      </c>
      <c r="F27" s="43" t="str">
        <f t="shared" si="0"/>
        <v>LNSR</v>
      </c>
      <c r="G27" t="s">
        <v>94</v>
      </c>
      <c r="H27" s="43" t="str" cm="1">
        <f t="array" ref="H27">_xlfn.IFS(OR(LEFT(G27,3)="SAF",LEFT(G27,3)="MVE"), RIGHT(G27,LEN(G27)-3),     LEFT(G27,2)="JB",  RIGHT(G27,LEN(G27)-2), TRUE,     G27)</f>
        <v>LNSR</v>
      </c>
      <c r="K27" t="str">
        <f>_xlfn.LET(_xlpm.Tick,[2]YData!$A27,IFERROR(LEFT(_xlpm.Tick,FIND(".",_xlpm.Tick)-1),_xlpm.Tick))</f>
        <v>LNSR</v>
      </c>
      <c r="L27">
        <v>15</v>
      </c>
      <c r="M27">
        <v>0</v>
      </c>
      <c r="N27">
        <v>0</v>
      </c>
      <c r="O27">
        <v>0</v>
      </c>
    </row>
    <row r="28" spans="1:15" x14ac:dyDescent="0.3">
      <c r="A28" t="str">
        <f>[2]YData!A28</f>
        <v>LUMN</v>
      </c>
      <c r="B28">
        <f>[2]YData!B28</f>
        <v>5.9580000000000002</v>
      </c>
      <c r="C28" s="110">
        <f>VALUE([2]YData!C28)</f>
        <v>44802</v>
      </c>
      <c r="D28" t="str">
        <f>[2]YData!D28</f>
        <v>Oct 30, 2025</v>
      </c>
      <c r="E28" s="21">
        <f>[2]YData!E28</f>
        <v>0</v>
      </c>
      <c r="F28" s="43" t="str">
        <f t="shared" si="0"/>
        <v>LUMN</v>
      </c>
      <c r="G28" t="s">
        <v>95</v>
      </c>
      <c r="H28" s="43" t="str" cm="1">
        <f t="array" ref="H28">_xlfn.IFS(OR(LEFT(G28,3)="SAF",LEFT(G28,3)="MVE"), RIGHT(G28,LEN(G28)-3),     LEFT(G28,2)="JB",  RIGHT(G28,LEN(G28)-2), TRUE,     G28)</f>
        <v>LUMN</v>
      </c>
      <c r="K28" t="str">
        <f>_xlfn.LET(_xlpm.Tick,[2]YData!$A28,IFERROR(LEFT(_xlpm.Tick,FIND(".",_xlpm.Tick)-1),_xlpm.Tick))</f>
        <v>LUMN</v>
      </c>
      <c r="L28">
        <v>5.9580000000000002</v>
      </c>
      <c r="M28">
        <v>44802</v>
      </c>
      <c r="N28" t="str">
        <v>Oct 30, 2025</v>
      </c>
      <c r="O28">
        <v>0</v>
      </c>
    </row>
    <row r="29" spans="1:15" x14ac:dyDescent="0.3">
      <c r="A29" t="str">
        <f>[2]YData!A29</f>
        <v>MRNA</v>
      </c>
      <c r="B29">
        <f>[2]YData!B29</f>
        <v>40.299999999999997</v>
      </c>
      <c r="C29" s="110">
        <f>VALUE([2]YData!C29)</f>
        <v>0</v>
      </c>
      <c r="D29" t="str">
        <f>[2]YData!D29</f>
        <v>Nov 6, 2025</v>
      </c>
      <c r="E29" s="21">
        <f>[2]YData!E29</f>
        <v>0</v>
      </c>
      <c r="F29" s="43" t="str">
        <f t="shared" si="0"/>
        <v>MRNA</v>
      </c>
      <c r="G29" t="s">
        <v>96</v>
      </c>
      <c r="H29" s="43" t="str" cm="1">
        <f t="array" ref="H29">_xlfn.IFS(OR(LEFT(G29,3)="SAF",LEFT(G29,3)="MVE"), RIGHT(G29,LEN(G29)-3),     LEFT(G29,2)="JB",  RIGHT(G29,LEN(G29)-2), TRUE,     G29)</f>
        <v>MRNA</v>
      </c>
      <c r="K29" t="str">
        <f>_xlfn.LET(_xlpm.Tick,[2]YData!$A29,IFERROR(LEFT(_xlpm.Tick,FIND(".",_xlpm.Tick)-1),_xlpm.Tick))</f>
        <v>MRNA</v>
      </c>
      <c r="L29">
        <v>40.299999999999997</v>
      </c>
      <c r="M29">
        <v>0</v>
      </c>
      <c r="N29" t="str">
        <v>Nov 6, 2025</v>
      </c>
      <c r="O29">
        <v>0</v>
      </c>
    </row>
    <row r="30" spans="1:15" x14ac:dyDescent="0.3">
      <c r="A30" t="str">
        <f>[2]YData!A30</f>
        <v>MSFT</v>
      </c>
      <c r="B30">
        <f>[2]YData!B30</f>
        <v>626.22655999999995</v>
      </c>
      <c r="C30" s="110">
        <f>VALUE([2]YData!C30)</f>
        <v>45981</v>
      </c>
      <c r="D30" t="str">
        <f>[2]YData!D30</f>
        <v>Jan 28, 2026</v>
      </c>
      <c r="E30" s="21">
        <f>[2]YData!E30</f>
        <v>6.9999998000000001E-3</v>
      </c>
      <c r="F30" s="43" t="str">
        <f t="shared" si="0"/>
        <v>MSFT</v>
      </c>
      <c r="G30" t="s">
        <v>97</v>
      </c>
      <c r="H30" s="43" t="str" cm="1">
        <f t="array" ref="H30">_xlfn.IFS(OR(LEFT(G30,3)="SAF",LEFT(G30,3)="MVE"), RIGHT(G30,LEN(G30)-3),     LEFT(G30,2)="JB",  RIGHT(G30,LEN(G30)-2), TRUE,     G30)</f>
        <v>MSFT</v>
      </c>
      <c r="K30" t="str">
        <f>_xlfn.LET(_xlpm.Tick,[2]YData!$A30,IFERROR(LEFT(_xlpm.Tick,FIND(".",_xlpm.Tick)-1),_xlpm.Tick))</f>
        <v>MSFT</v>
      </c>
      <c r="L30">
        <v>626.22655999999995</v>
      </c>
      <c r="M30">
        <v>45981</v>
      </c>
      <c r="N30" t="str">
        <v>Jan 28, 2026</v>
      </c>
      <c r="O30">
        <v>6.9999998000000001E-3</v>
      </c>
    </row>
    <row r="31" spans="1:15" x14ac:dyDescent="0.3">
      <c r="A31" t="str">
        <f>[2]YData!A31</f>
        <v>NEE</v>
      </c>
      <c r="B31">
        <f>[2]YData!B31</f>
        <v>91</v>
      </c>
      <c r="C31" s="110">
        <f>VALUE([2]YData!C31)</f>
        <v>45982</v>
      </c>
      <c r="D31" t="str">
        <f>[2]YData!D31</f>
        <v>Oct 28, 2025</v>
      </c>
      <c r="E31" s="21">
        <f>[2]YData!E31</f>
        <v>2.7799999999999998E-2</v>
      </c>
      <c r="F31" s="43" t="str">
        <f t="shared" si="0"/>
        <v>NEE</v>
      </c>
      <c r="G31" t="s">
        <v>98</v>
      </c>
      <c r="H31" s="43" t="str" cm="1">
        <f t="array" ref="H31">_xlfn.IFS(OR(LEFT(G31,3)="SAF",LEFT(G31,3)="MVE"), RIGHT(G31,LEN(G31)-3),     LEFT(G31,2)="JB",  RIGHT(G31,LEN(G31)-2), TRUE,     G31)</f>
        <v>NEE</v>
      </c>
      <c r="K31" t="str">
        <f>_xlfn.LET(_xlpm.Tick,[2]YData!$A31,IFERROR(LEFT(_xlpm.Tick,FIND(".",_xlpm.Tick)-1),_xlpm.Tick))</f>
        <v>NEE</v>
      </c>
      <c r="L31">
        <v>91</v>
      </c>
      <c r="M31">
        <v>45982</v>
      </c>
      <c r="N31" t="str">
        <v>Oct 28, 2025</v>
      </c>
      <c r="O31">
        <v>2.7799999999999998E-2</v>
      </c>
    </row>
    <row r="32" spans="1:15" x14ac:dyDescent="0.3">
      <c r="A32" t="str">
        <f>[2]YData!A32</f>
        <v>NEM</v>
      </c>
      <c r="B32">
        <f>[2]YData!B32</f>
        <v>102.735</v>
      </c>
      <c r="C32" s="110">
        <f>VALUE([2]YData!C32)</f>
        <v>45987</v>
      </c>
      <c r="D32" t="str">
        <f>[2]YData!D32</f>
        <v>Oct 23, 2025</v>
      </c>
      <c r="E32" s="21">
        <f>[2]YData!E32</f>
        <v>1.24E-2</v>
      </c>
      <c r="F32" s="43" t="str">
        <f t="shared" si="0"/>
        <v>NEM</v>
      </c>
      <c r="G32" t="s">
        <v>99</v>
      </c>
      <c r="H32" s="43" t="str" cm="1">
        <f t="array" ref="H32">_xlfn.IFS(OR(LEFT(G32,3)="SAF",LEFT(G32,3)="MVE"), RIGHT(G32,LEN(G32)-3),     LEFT(G32,2)="JB",  RIGHT(G32,LEN(G32)-2), TRUE,     G32)</f>
        <v>NEM</v>
      </c>
      <c r="K32" t="str">
        <f>_xlfn.LET(_xlpm.Tick,[2]YData!$A32,IFERROR(LEFT(_xlpm.Tick,FIND(".",_xlpm.Tick)-1),_xlpm.Tick))</f>
        <v>NEM</v>
      </c>
      <c r="L32">
        <v>102.735</v>
      </c>
      <c r="M32">
        <v>45987</v>
      </c>
      <c r="N32" t="str">
        <v>Oct 23, 2025</v>
      </c>
      <c r="O32">
        <v>1.24E-2</v>
      </c>
    </row>
    <row r="33" spans="1:15" x14ac:dyDescent="0.3">
      <c r="A33" t="str">
        <f>[2]YData!A33</f>
        <v>NFLX</v>
      </c>
      <c r="B33">
        <f>[2]YData!B33</f>
        <v>1347.3231000000001</v>
      </c>
      <c r="C33" s="110">
        <f>VALUE([2]YData!C33)</f>
        <v>0</v>
      </c>
      <c r="D33" t="str">
        <f>[2]YData!D33</f>
        <v>Jan 20, 2026</v>
      </c>
      <c r="E33" s="21">
        <f>[2]YData!E33</f>
        <v>0</v>
      </c>
      <c r="F33" s="43" t="str">
        <f t="shared" si="0"/>
        <v>NFLX</v>
      </c>
      <c r="G33" t="s">
        <v>100</v>
      </c>
      <c r="H33" s="43" t="str" cm="1">
        <f t="array" ref="H33">_xlfn.IFS(OR(LEFT(G33,3)="SAF",LEFT(G33,3)="MVE"), RIGHT(G33,LEN(G33)-3),     LEFT(G33,2)="JB",  RIGHT(G33,LEN(G33)-2), TRUE,     G33)</f>
        <v>NFLX</v>
      </c>
      <c r="K33" t="str">
        <f>_xlfn.LET(_xlpm.Tick,[2]YData!$A33,IFERROR(LEFT(_xlpm.Tick,FIND(".",_xlpm.Tick)-1),_xlpm.Tick))</f>
        <v>NFLX</v>
      </c>
      <c r="L33">
        <v>1347.3231000000001</v>
      </c>
      <c r="M33">
        <v>0</v>
      </c>
      <c r="N33" t="str">
        <v>Jan 20, 2026</v>
      </c>
      <c r="O33">
        <v>0</v>
      </c>
    </row>
    <row r="34" spans="1:15" x14ac:dyDescent="0.3">
      <c r="A34" t="str">
        <f>[2]YData!A34</f>
        <v>NOTE</v>
      </c>
      <c r="B34">
        <f>[2]YData!B34</f>
        <v>31.501080000000002</v>
      </c>
      <c r="C34" s="110">
        <f>VALUE([2]YData!C34)</f>
        <v>0</v>
      </c>
      <c r="D34">
        <f>[2]YData!D34</f>
        <v>0</v>
      </c>
      <c r="E34" s="21">
        <f>[2]YData!E34</f>
        <v>0</v>
      </c>
      <c r="F34" s="43" t="str">
        <f t="shared" si="0"/>
        <v>NOTE</v>
      </c>
      <c r="G34" t="s">
        <v>101</v>
      </c>
      <c r="H34" s="43" t="str" cm="1">
        <f t="array" ref="H34">_xlfn.IFS(OR(LEFT(G34,3)="SAF",LEFT(G34,3)="MVE"), RIGHT(G34,LEN(G34)-3),     LEFT(G34,2)="JB",  RIGHT(G34,LEN(G34)-2), TRUE,     G34)</f>
        <v>NOTE</v>
      </c>
      <c r="K34" t="str">
        <f>_xlfn.LET(_xlpm.Tick,[2]YData!$A34,IFERROR(LEFT(_xlpm.Tick,FIND(".",_xlpm.Tick)-1),_xlpm.Tick))</f>
        <v>NOTE</v>
      </c>
      <c r="L34">
        <v>31.501080000000002</v>
      </c>
      <c r="M34">
        <v>0</v>
      </c>
      <c r="N34">
        <v>0</v>
      </c>
      <c r="O34">
        <v>0</v>
      </c>
    </row>
    <row r="35" spans="1:15" x14ac:dyDescent="0.3">
      <c r="A35" t="str">
        <f>[2]YData!A35</f>
        <v>PAAS</v>
      </c>
      <c r="B35">
        <f>[2]YData!B35</f>
        <v>46.875</v>
      </c>
      <c r="C35" s="110">
        <f>VALUE([2]YData!C35)</f>
        <v>45887</v>
      </c>
      <c r="D35" t="str">
        <f>[2]YData!D35</f>
        <v>Nov 12, 2025</v>
      </c>
      <c r="E35" s="21">
        <f>[2]YData!E35</f>
        <v>1.3599999999999999E-2</v>
      </c>
      <c r="F35" s="43" t="str">
        <f t="shared" si="0"/>
        <v>PAAS</v>
      </c>
      <c r="G35" t="s">
        <v>102</v>
      </c>
      <c r="H35" s="43" t="str" cm="1">
        <f t="array" ref="H35">_xlfn.IFS(OR(LEFT(G35,3)="SAF",LEFT(G35,3)="MVE"), RIGHT(G35,LEN(G35)-3),     LEFT(G35,2)="JB",  RIGHT(G35,LEN(G35)-2), TRUE,     G35)</f>
        <v>PAAS</v>
      </c>
      <c r="K35" t="str">
        <f>_xlfn.LET(_xlpm.Tick,[2]YData!$A35,IFERROR(LEFT(_xlpm.Tick,FIND(".",_xlpm.Tick)-1),_xlpm.Tick))</f>
        <v>PAAS</v>
      </c>
      <c r="L35">
        <v>46.875</v>
      </c>
      <c r="M35">
        <v>45887</v>
      </c>
      <c r="N35" t="str">
        <v>Nov 12, 2025</v>
      </c>
      <c r="O35">
        <v>1.3599999999999999E-2</v>
      </c>
    </row>
    <row r="36" spans="1:15" x14ac:dyDescent="0.3">
      <c r="A36" t="str">
        <f>[2]YData!A36</f>
        <v>PROF</v>
      </c>
      <c r="B36">
        <f>[2]YData!B36</f>
        <v>12.1</v>
      </c>
      <c r="C36" s="110">
        <f>VALUE([2]YData!C36)</f>
        <v>0</v>
      </c>
      <c r="D36">
        <f>[2]YData!D36</f>
        <v>0</v>
      </c>
      <c r="E36" s="21">
        <f>[2]YData!E36</f>
        <v>0</v>
      </c>
      <c r="F36" s="43" t="str">
        <f t="shared" si="0"/>
        <v>PROF</v>
      </c>
      <c r="G36" t="s">
        <v>103</v>
      </c>
      <c r="H36" s="43" t="str" cm="1">
        <f t="array" ref="H36">_xlfn.IFS(OR(LEFT(G36,3)="SAF",LEFT(G36,3)="MVE"), RIGHT(G36,LEN(G36)-3),     LEFT(G36,2)="JB",  RIGHT(G36,LEN(G36)-2), TRUE,     G36)</f>
        <v>PROF</v>
      </c>
      <c r="K36" t="str">
        <f>_xlfn.LET(_xlpm.Tick,[2]YData!$A36,IFERROR(LEFT(_xlpm.Tick,FIND(".",_xlpm.Tick)-1),_xlpm.Tick))</f>
        <v>PROF</v>
      </c>
      <c r="L36">
        <v>12.1</v>
      </c>
      <c r="M36">
        <v>0</v>
      </c>
      <c r="N36">
        <v>0</v>
      </c>
      <c r="O36">
        <v>0</v>
      </c>
    </row>
    <row r="37" spans="1:15" x14ac:dyDescent="0.3">
      <c r="A37" t="str">
        <f>[2]YData!A37</f>
        <v>POET</v>
      </c>
      <c r="B37">
        <f>[2]YData!B37</f>
        <v>6.6333299999999999</v>
      </c>
      <c r="C37" s="110">
        <f>VALUE([2]YData!C37)</f>
        <v>0</v>
      </c>
      <c r="D37" t="str">
        <f>[2]YData!D37</f>
        <v>Nov 13, 2025</v>
      </c>
      <c r="E37" s="21">
        <f>[2]YData!E37</f>
        <v>0</v>
      </c>
      <c r="F37" s="43" t="str">
        <f t="shared" si="0"/>
        <v>POET</v>
      </c>
      <c r="G37" t="s">
        <v>104</v>
      </c>
      <c r="H37" s="43" t="str" cm="1">
        <f t="array" ref="H37">_xlfn.IFS(OR(LEFT(G37,3)="SAF",LEFT(G37,3)="MVE"), RIGHT(G37,LEN(G37)-3),     LEFT(G37,2)="JB",  RIGHT(G37,LEN(G37)-2), TRUE,     G37)</f>
        <v>POET</v>
      </c>
      <c r="K37" t="str">
        <f>_xlfn.LET(_xlpm.Tick,[2]YData!$A37,IFERROR(LEFT(_xlpm.Tick,FIND(".",_xlpm.Tick)-1),_xlpm.Tick))</f>
        <v>POET</v>
      </c>
      <c r="L37">
        <v>6.6333299999999999</v>
      </c>
      <c r="M37">
        <v>0</v>
      </c>
      <c r="N37" t="str">
        <v>Nov 13, 2025</v>
      </c>
      <c r="O37">
        <v>0</v>
      </c>
    </row>
    <row r="38" spans="1:15" x14ac:dyDescent="0.3">
      <c r="A38" t="str">
        <f>[2]YData!A38</f>
        <v>PW</v>
      </c>
      <c r="B38">
        <f>[2]YData!B38</f>
        <v>0</v>
      </c>
      <c r="C38" s="110">
        <f>VALUE([2]YData!C38)</f>
        <v>41284</v>
      </c>
      <c r="D38">
        <f>[2]YData!D38</f>
        <v>0</v>
      </c>
      <c r="E38" s="21">
        <f>[2]YData!E38</f>
        <v>0</v>
      </c>
      <c r="F38" s="43" t="str">
        <f t="shared" si="0"/>
        <v>PW</v>
      </c>
      <c r="G38" t="s">
        <v>105</v>
      </c>
      <c r="H38" s="43" t="str" cm="1">
        <f t="array" ref="H38">_xlfn.IFS(OR(LEFT(G38,3)="SAF",LEFT(G38,3)="MVE"), RIGHT(G38,LEN(G38)-3),     LEFT(G38,2)="JB",  RIGHT(G38,LEN(G38)-2), TRUE,     G38)</f>
        <v>PW</v>
      </c>
      <c r="K38" t="str">
        <f>_xlfn.LET(_xlpm.Tick,[2]YData!$A38,IFERROR(LEFT(_xlpm.Tick,FIND(".",_xlpm.Tick)-1),_xlpm.Tick))</f>
        <v>PW</v>
      </c>
      <c r="L38">
        <v>0</v>
      </c>
      <c r="M38">
        <v>41284</v>
      </c>
      <c r="N38">
        <v>0</v>
      </c>
      <c r="O38">
        <v>0</v>
      </c>
    </row>
    <row r="39" spans="1:15" x14ac:dyDescent="0.3">
      <c r="A39" t="str">
        <f>[2]YData!A39</f>
        <v>RIGL</v>
      </c>
      <c r="B39">
        <f>[2]YData!B39</f>
        <v>38.333329999999997</v>
      </c>
      <c r="C39" s="110">
        <f>VALUE([2]YData!C39)</f>
        <v>0</v>
      </c>
      <c r="D39" t="str">
        <f>[2]YData!D39</f>
        <v>Nov 4, 2025</v>
      </c>
      <c r="E39" s="21">
        <f>[2]YData!E39</f>
        <v>0</v>
      </c>
      <c r="F39" s="43" t="str">
        <f t="shared" si="0"/>
        <v>RIGL</v>
      </c>
      <c r="G39" t="s">
        <v>106</v>
      </c>
      <c r="H39" s="43" t="str" cm="1">
        <f t="array" ref="H39">_xlfn.IFS(OR(LEFT(G39,3)="SAF",LEFT(G39,3)="MVE"), RIGHT(G39,LEN(G39)-3),     LEFT(G39,2)="JB",  RIGHT(G39,LEN(G39)-2), TRUE,     G39)</f>
        <v>RIGL</v>
      </c>
      <c r="K39" t="str">
        <f>_xlfn.LET(_xlpm.Tick,[2]YData!$A39,IFERROR(LEFT(_xlpm.Tick,FIND(".",_xlpm.Tick)-1),_xlpm.Tick))</f>
        <v>RIGL</v>
      </c>
      <c r="L39">
        <v>38.333329999999997</v>
      </c>
      <c r="M39">
        <v>0</v>
      </c>
      <c r="N39" t="str">
        <v>Nov 4, 2025</v>
      </c>
      <c r="O39">
        <v>0</v>
      </c>
    </row>
    <row r="40" spans="1:15" x14ac:dyDescent="0.3">
      <c r="A40" t="str">
        <f>[2]YData!A40</f>
        <v>RWE.DE</v>
      </c>
      <c r="B40">
        <f>[2]YData!B40</f>
        <v>44.747059999999998</v>
      </c>
      <c r="C40" s="110">
        <f>VALUE([2]YData!C40)</f>
        <v>45779</v>
      </c>
      <c r="D40">
        <f>[2]YData!D40</f>
        <v>0</v>
      </c>
      <c r="E40" s="21">
        <f>[2]YData!E40</f>
        <v>2.5799999000000001E-2</v>
      </c>
      <c r="F40" s="43" t="str">
        <f t="shared" si="0"/>
        <v>RWE</v>
      </c>
      <c r="G40" t="s">
        <v>142</v>
      </c>
      <c r="H40" s="43" t="str" cm="1">
        <f t="array" ref="H40">_xlfn.IFS(OR(LEFT(G40,3)="SAF",LEFT(G40,3)="MVE"), RIGHT(G40,LEN(G40)-3),     LEFT(G40,2)="JB",  RIGHT(G40,LEN(G40)-2), TRUE,     G40)</f>
        <v>RWE</v>
      </c>
      <c r="K40" t="str">
        <f>_xlfn.LET(_xlpm.Tick,[2]YData!$A40,IFERROR(LEFT(_xlpm.Tick,FIND(".",_xlpm.Tick)-1),_xlpm.Tick))</f>
        <v>RWE</v>
      </c>
      <c r="L40">
        <v>44.747059999999998</v>
      </c>
      <c r="M40">
        <v>45779</v>
      </c>
      <c r="N40">
        <v>0</v>
      </c>
      <c r="O40">
        <v>2.5799999000000001E-2</v>
      </c>
    </row>
    <row r="41" spans="1:15" x14ac:dyDescent="0.3">
      <c r="A41" t="str">
        <f>[2]YData!A41</f>
        <v>SAP.DE</v>
      </c>
      <c r="B41">
        <f>[2]YData!B41</f>
        <v>288.66680000000002</v>
      </c>
      <c r="C41" s="110">
        <f>VALUE([2]YData!C41)</f>
        <v>45791</v>
      </c>
      <c r="D41">
        <f>[2]YData!D41</f>
        <v>0</v>
      </c>
      <c r="E41" s="21">
        <f>[2]YData!E41</f>
        <v>1.0500000000000001E-2</v>
      </c>
      <c r="F41" s="43" t="str">
        <f t="shared" si="0"/>
        <v>SAP</v>
      </c>
      <c r="G41" t="s">
        <v>143</v>
      </c>
      <c r="H41" s="43" t="str" cm="1">
        <f t="array" ref="H41">_xlfn.IFS(OR(LEFT(G41,3)="SAF",LEFT(G41,3)="MVE"), RIGHT(G41,LEN(G41)-3),     LEFT(G41,2)="JB",  RIGHT(G41,LEN(G41)-2), TRUE,     G41)</f>
        <v>SAP</v>
      </c>
      <c r="K41" t="str">
        <f>_xlfn.LET(_xlpm.Tick,[2]YData!$A41,IFERROR(LEFT(_xlpm.Tick,FIND(".",_xlpm.Tick)-1),_xlpm.Tick))</f>
        <v>SAP</v>
      </c>
      <c r="L41">
        <v>288.66680000000002</v>
      </c>
      <c r="M41">
        <v>45791</v>
      </c>
      <c r="N41">
        <v>0</v>
      </c>
      <c r="O41">
        <v>1.0500000000000001E-2</v>
      </c>
    </row>
    <row r="42" spans="1:15" x14ac:dyDescent="0.3">
      <c r="A42" t="str">
        <f>[2]YData!A42</f>
        <v>SHECY</v>
      </c>
      <c r="B42">
        <f>[2]YData!B42</f>
        <v>0</v>
      </c>
      <c r="C42" s="110">
        <f>VALUE([2]YData!C42)</f>
        <v>45747</v>
      </c>
      <c r="D42">
        <f>[2]YData!D42</f>
        <v>0</v>
      </c>
      <c r="E42" s="21">
        <f>[2]YData!E42</f>
        <v>2.4500001E-2</v>
      </c>
      <c r="F42" s="43" t="str">
        <f t="shared" si="0"/>
        <v>SHECY</v>
      </c>
      <c r="G42" t="s">
        <v>107</v>
      </c>
      <c r="H42" s="43" t="str" cm="1">
        <f t="array" ref="H42">_xlfn.IFS(OR(LEFT(G42,3)="SAF",LEFT(G42,3)="MVE"), RIGHT(G42,LEN(G42)-3),     LEFT(G42,2)="JB",  RIGHT(G42,LEN(G42)-2), TRUE,     G42)</f>
        <v>SHECY</v>
      </c>
      <c r="K42" t="str">
        <f>_xlfn.LET(_xlpm.Tick,[2]YData!$A42,IFERROR(LEFT(_xlpm.Tick,FIND(".",_xlpm.Tick)-1),_xlpm.Tick))</f>
        <v>SHECY</v>
      </c>
      <c r="L42">
        <v>0</v>
      </c>
      <c r="M42">
        <v>45747</v>
      </c>
      <c r="N42">
        <v>0</v>
      </c>
      <c r="O42">
        <v>2.4500001E-2</v>
      </c>
    </row>
    <row r="43" spans="1:15" x14ac:dyDescent="0.3">
      <c r="A43" t="str">
        <f>[2]YData!A43</f>
        <v>SSYS</v>
      </c>
      <c r="B43">
        <f>[2]YData!B43</f>
        <v>13.33333</v>
      </c>
      <c r="C43" s="110">
        <f>VALUE([2]YData!C43)</f>
        <v>0</v>
      </c>
      <c r="D43" t="str">
        <f>[2]YData!D43</f>
        <v>Nov 13, 2025</v>
      </c>
      <c r="E43" s="21">
        <f>[2]YData!E43</f>
        <v>0</v>
      </c>
      <c r="F43" s="43" t="str">
        <f t="shared" si="0"/>
        <v>SSYS</v>
      </c>
      <c r="G43" t="s">
        <v>108</v>
      </c>
      <c r="H43" s="43" t="str" cm="1">
        <f t="array" ref="H43">_xlfn.IFS(OR(LEFT(G43,3)="SAF",LEFT(G43,3)="MVE"), RIGHT(G43,LEN(G43)-3),     LEFT(G43,2)="JB",  RIGHT(G43,LEN(G43)-2), TRUE,     G43)</f>
        <v>SSYS</v>
      </c>
      <c r="K43" t="str">
        <f>_xlfn.LET(_xlpm.Tick,[2]YData!$A43,IFERROR(LEFT(_xlpm.Tick,FIND(".",_xlpm.Tick)-1),_xlpm.Tick))</f>
        <v>SSYS</v>
      </c>
      <c r="L43">
        <v>13.33333</v>
      </c>
      <c r="M43">
        <v>0</v>
      </c>
      <c r="N43" t="str">
        <v>Nov 13, 2025</v>
      </c>
      <c r="O43">
        <v>0</v>
      </c>
    </row>
    <row r="44" spans="1:15" x14ac:dyDescent="0.3">
      <c r="A44" t="str">
        <f>[2]YData!A44</f>
        <v>TSLA</v>
      </c>
      <c r="B44">
        <f>[2]YData!B44</f>
        <v>391.31805000000003</v>
      </c>
      <c r="C44" s="110">
        <f>VALUE([2]YData!C44)</f>
        <v>0</v>
      </c>
      <c r="D44" t="str">
        <f>[2]YData!D44</f>
        <v>Jan 28, 2026</v>
      </c>
      <c r="E44" s="21">
        <f>[2]YData!E44</f>
        <v>0</v>
      </c>
      <c r="F44" s="43" t="str">
        <f t="shared" si="0"/>
        <v>TSLA</v>
      </c>
      <c r="G44" t="s">
        <v>109</v>
      </c>
      <c r="H44" s="43" t="str" cm="1">
        <f t="array" ref="H44">_xlfn.IFS(OR(LEFT(G44,3)="SAF",LEFT(G44,3)="MVE"), RIGHT(G44,LEN(G44)-3),     LEFT(G44,2)="JB",  RIGHT(G44,LEN(G44)-2), TRUE,     G44)</f>
        <v>TSLA</v>
      </c>
      <c r="K44" t="str">
        <f>_xlfn.LET(_xlpm.Tick,[2]YData!$A44,IFERROR(LEFT(_xlpm.Tick,FIND(".",_xlpm.Tick)-1),_xlpm.Tick))</f>
        <v>TSLA</v>
      </c>
      <c r="L44">
        <v>391.31805000000003</v>
      </c>
      <c r="M44">
        <v>0</v>
      </c>
      <c r="N44" t="str">
        <v>Jan 28, 2026</v>
      </c>
      <c r="O44">
        <v>0</v>
      </c>
    </row>
    <row r="45" spans="1:15" x14ac:dyDescent="0.3">
      <c r="A45" t="str">
        <f>[2]YData!A45</f>
        <v>TSM</v>
      </c>
      <c r="B45">
        <f>[2]YData!B45</f>
        <v>335.39688000000001</v>
      </c>
      <c r="C45" s="110">
        <f>VALUE([2]YData!C45)</f>
        <v>46002</v>
      </c>
      <c r="D45" t="str">
        <f>[2]YData!D45</f>
        <v>Jan 15, 2026</v>
      </c>
      <c r="E45" s="21">
        <f>[2]YData!E45</f>
        <v>1.11E-2</v>
      </c>
      <c r="F45" s="43" t="str">
        <f t="shared" si="0"/>
        <v>TSM</v>
      </c>
      <c r="G45" t="s">
        <v>110</v>
      </c>
      <c r="H45" s="43" t="str" cm="1">
        <f t="array" ref="H45">_xlfn.IFS(OR(LEFT(G45,3)="SAF",LEFT(G45,3)="MVE"), RIGHT(G45,LEN(G45)-3),     LEFT(G45,2)="JB",  RIGHT(G45,LEN(G45)-2), TRUE,     G45)</f>
        <v>TSM</v>
      </c>
      <c r="K45" t="str">
        <f>_xlfn.LET(_xlpm.Tick,[2]YData!$A45,IFERROR(LEFT(_xlpm.Tick,FIND(".",_xlpm.Tick)-1),_xlpm.Tick))</f>
        <v>TSM</v>
      </c>
      <c r="L45">
        <v>335.39688000000001</v>
      </c>
      <c r="M45">
        <v>46002</v>
      </c>
      <c r="N45" t="str">
        <v>Jan 15, 2026</v>
      </c>
      <c r="O45">
        <v>1.11E-2</v>
      </c>
    </row>
    <row r="46" spans="1:15" x14ac:dyDescent="0.3">
      <c r="A46" t="str">
        <f>[2]YData!A46</f>
        <v>UN0</v>
      </c>
      <c r="B46">
        <f>[2]YData!B46</f>
        <v>0</v>
      </c>
      <c r="C46" s="110">
        <f>VALUE([2]YData!C46)</f>
        <v>0</v>
      </c>
      <c r="D46">
        <f>[2]YData!D46</f>
        <v>0</v>
      </c>
      <c r="E46" s="21">
        <f>[2]YData!E46</f>
        <v>0</v>
      </c>
      <c r="F46" s="43" t="str">
        <f t="shared" si="0"/>
        <v>UN0</v>
      </c>
      <c r="G46" t="s">
        <v>111</v>
      </c>
      <c r="H46" s="43" t="str" cm="1">
        <f t="array" ref="H46">_xlfn.IFS(OR(LEFT(G46,3)="SAF",LEFT(G46,3)="MVE"), RIGHT(G46,LEN(G46)-3),     LEFT(G46,2)="JB",  RIGHT(G46,LEN(G46)-2), TRUE,     G46)</f>
        <v>UN0</v>
      </c>
      <c r="K46" t="str">
        <f>_xlfn.LET(_xlpm.Tick,[2]YData!$A46,IFERROR(LEFT(_xlpm.Tick,FIND(".",_xlpm.Tick)-1),_xlpm.Tick))</f>
        <v>UN0</v>
      </c>
      <c r="L46">
        <v>0</v>
      </c>
      <c r="M46">
        <v>0</v>
      </c>
      <c r="N46">
        <v>0</v>
      </c>
      <c r="O46">
        <v>0</v>
      </c>
    </row>
    <row r="47" spans="1:15" x14ac:dyDescent="0.3">
      <c r="A47" t="str">
        <f>[2]YData!A47</f>
        <v>UNIT</v>
      </c>
      <c r="B47">
        <f>[2]YData!B47</f>
        <v>7.4222200000000003</v>
      </c>
      <c r="C47" s="110">
        <f>VALUE([2]YData!C47)</f>
        <v>45457</v>
      </c>
      <c r="D47" t="str">
        <f>[2]YData!D47</f>
        <v>Nov 4, 2025</v>
      </c>
      <c r="E47" s="21">
        <f>[2]YData!E47</f>
        <v>0</v>
      </c>
      <c r="F47" s="43" t="str">
        <f t="shared" si="0"/>
        <v>UNIT</v>
      </c>
      <c r="G47" t="s">
        <v>112</v>
      </c>
      <c r="H47" s="43" t="str" cm="1">
        <f t="array" ref="H47">_xlfn.IFS(OR(LEFT(G47,3)="SAF",LEFT(G47,3)="MVE"), RIGHT(G47,LEN(G47)-3),     LEFT(G47,2)="JB",  RIGHT(G47,LEN(G47)-2), TRUE,     G47)</f>
        <v>UNIT</v>
      </c>
      <c r="K47" t="str">
        <f>_xlfn.LET(_xlpm.Tick,[2]YData!$A47,IFERROR(LEFT(_xlpm.Tick,FIND(".",_xlpm.Tick)-1),_xlpm.Tick))</f>
        <v>UNIT</v>
      </c>
      <c r="L47">
        <v>7.4222200000000003</v>
      </c>
      <c r="M47">
        <v>45457</v>
      </c>
      <c r="N47" t="str">
        <v>Nov 4, 2025</v>
      </c>
      <c r="O47">
        <v>0</v>
      </c>
    </row>
    <row r="48" spans="1:15" x14ac:dyDescent="0.3">
      <c r="A48" t="str">
        <f>[2]YData!A48</f>
        <v>AVGO</v>
      </c>
      <c r="B48">
        <f>[2]YData!B48</f>
        <v>392.38164999999998</v>
      </c>
      <c r="C48" s="110">
        <f>VALUE([2]YData!C48)</f>
        <v>45922</v>
      </c>
      <c r="D48" t="str">
        <f>[2]YData!D48</f>
        <v>Dec 11, 2025</v>
      </c>
      <c r="E48" s="21">
        <f>[2]YData!E48</f>
        <v>6.4000000000000003E-3</v>
      </c>
      <c r="F48" s="43" t="str">
        <f t="shared" si="0"/>
        <v>AVGO</v>
      </c>
      <c r="G48" t="s">
        <v>78</v>
      </c>
      <c r="H48" s="43" t="str" cm="1">
        <f t="array" ref="H48">_xlfn.IFS(OR(LEFT(G48,3)="SAF",LEFT(G48,3)="MVE"), RIGHT(G48,LEN(G48)-3),     LEFT(G48,2)="JB",  RIGHT(G48,LEN(G48)-2), TRUE,     G48)</f>
        <v>AVGO</v>
      </c>
      <c r="K48" t="str">
        <f>_xlfn.LET(_xlpm.Tick,[2]YData!$A48,IFERROR(LEFT(_xlpm.Tick,FIND(".",_xlpm.Tick)-1),_xlpm.Tick))</f>
        <v>AVGO</v>
      </c>
      <c r="L48">
        <v>392.38164999999998</v>
      </c>
      <c r="M48">
        <v>45922</v>
      </c>
      <c r="N48" t="str">
        <v>Dec 11, 2025</v>
      </c>
      <c r="O48">
        <v>6.4000000000000003E-3</v>
      </c>
    </row>
    <row r="49" spans="1:15" x14ac:dyDescent="0.3">
      <c r="A49" t="str">
        <f>[2]YData!A49</f>
        <v>VLVLY</v>
      </c>
      <c r="B49">
        <f>[2]YData!B49</f>
        <v>34</v>
      </c>
      <c r="C49" s="110">
        <f>VALUE([2]YData!C49)</f>
        <v>45751</v>
      </c>
      <c r="D49">
        <f>[2]YData!D49</f>
        <v>0</v>
      </c>
      <c r="E49" s="21">
        <f>[2]YData!E49</f>
        <v>2.9100000000000001E-2</v>
      </c>
      <c r="F49" s="43" t="str">
        <f t="shared" si="0"/>
        <v>VLVLY</v>
      </c>
      <c r="G49" t="s">
        <v>113</v>
      </c>
      <c r="H49" s="43" t="str" cm="1">
        <f t="array" ref="H49">_xlfn.IFS(OR(LEFT(G49,3)="SAF",LEFT(G49,3)="MVE"), RIGHT(G49,LEN(G49)-3),     LEFT(G49,2)="JB",  RIGHT(G49,LEN(G49)-2), TRUE,     G49)</f>
        <v>VLVLY</v>
      </c>
      <c r="K49" t="str">
        <f>_xlfn.LET(_xlpm.Tick,[2]YData!$A49,IFERROR(LEFT(_xlpm.Tick,FIND(".",_xlpm.Tick)-1),_xlpm.Tick))</f>
        <v>VLVLY</v>
      </c>
      <c r="L49">
        <v>34</v>
      </c>
      <c r="M49">
        <v>45751</v>
      </c>
      <c r="N49">
        <v>0</v>
      </c>
      <c r="O49">
        <v>2.9100000000000001E-2</v>
      </c>
    </row>
    <row r="50" spans="1:15" x14ac:dyDescent="0.3">
      <c r="A50" t="str">
        <f>[2]YData!A50</f>
        <v>VONN.SW</v>
      </c>
      <c r="B50">
        <f>[2]YData!B50</f>
        <v>61.5</v>
      </c>
      <c r="C50" s="110">
        <f>VALUE([2]YData!C50)</f>
        <v>45751</v>
      </c>
      <c r="D50" t="str">
        <f>[2]YData!D50</f>
        <v>--</v>
      </c>
      <c r="E50" s="21">
        <f>[2]YData!E50</f>
        <v>4.9200002E-2</v>
      </c>
      <c r="F50" s="43" t="str">
        <f t="shared" si="0"/>
        <v>VONN</v>
      </c>
      <c r="G50" t="s">
        <v>144</v>
      </c>
      <c r="H50" s="43" t="str" cm="1">
        <f t="array" ref="H50">_xlfn.IFS(OR(LEFT(G50,3)="SAF",LEFT(G50,3)="MVE"), RIGHT(G50,LEN(G50)-3),     LEFT(G50,2)="JB",  RIGHT(G50,LEN(G50)-2), TRUE,     G50)</f>
        <v>VONN</v>
      </c>
      <c r="K50" t="str">
        <f>_xlfn.LET(_xlpm.Tick,[2]YData!$A50,IFERROR(LEFT(_xlpm.Tick,FIND(".",_xlpm.Tick)-1),_xlpm.Tick))</f>
        <v>VONN</v>
      </c>
      <c r="L50">
        <v>61.5</v>
      </c>
      <c r="M50">
        <v>45751</v>
      </c>
      <c r="N50" t="str">
        <v>--</v>
      </c>
      <c r="O50">
        <v>4.9200002E-2</v>
      </c>
    </row>
    <row r="51" spans="1:15" x14ac:dyDescent="0.3">
      <c r="A51" t="str">
        <f>[2]YData!A51</f>
        <v>VTRS</v>
      </c>
      <c r="B51">
        <f>[2]YData!B51</f>
        <v>12</v>
      </c>
      <c r="C51" s="110">
        <f>VALUE([2]YData!C51)</f>
        <v>45891</v>
      </c>
      <c r="D51" t="str">
        <f>[2]YData!D51</f>
        <v>Nov 6, 2025</v>
      </c>
      <c r="E51" s="21">
        <f>[2]YData!E51</f>
        <v>4.6300000000000001E-2</v>
      </c>
      <c r="F51" s="43" t="str">
        <f t="shared" si="0"/>
        <v>VTRS</v>
      </c>
      <c r="G51" t="s">
        <v>114</v>
      </c>
      <c r="H51" s="43" t="str" cm="1">
        <f t="array" ref="H51">_xlfn.IFS(OR(LEFT(G51,3)="SAF",LEFT(G51,3)="MVE"), RIGHT(G51,LEN(G51)-3),     LEFT(G51,2)="JB",  RIGHT(G51,LEN(G51)-2), TRUE,     G51)</f>
        <v>VTRS</v>
      </c>
      <c r="K51" t="str">
        <f>_xlfn.LET(_xlpm.Tick,[2]YData!$A51,IFERROR(LEFT(_xlpm.Tick,FIND(".",_xlpm.Tick)-1),_xlpm.Tick))</f>
        <v>VTRS</v>
      </c>
      <c r="L51">
        <v>12</v>
      </c>
      <c r="M51">
        <v>45891</v>
      </c>
      <c r="N51" t="str">
        <v>Nov 6, 2025</v>
      </c>
      <c r="O51">
        <v>4.6300000000000001E-2</v>
      </c>
    </row>
    <row r="52" spans="1:15" x14ac:dyDescent="0.3">
      <c r="A52" t="str">
        <f>[2]YData!A52</f>
        <v>WBA</v>
      </c>
      <c r="B52">
        <f>[2]YData!B52</f>
        <v>0</v>
      </c>
      <c r="C52" s="110">
        <f>VALUE([2]YData!C52)</f>
        <v>0</v>
      </c>
      <c r="D52">
        <f>[2]YData!D52</f>
        <v>0</v>
      </c>
      <c r="E52" s="21">
        <f>[2]YData!E52</f>
        <v>0</v>
      </c>
      <c r="F52" s="43" t="str">
        <f t="shared" si="0"/>
        <v>WBA</v>
      </c>
      <c r="G52" t="s">
        <v>115</v>
      </c>
      <c r="H52" s="43" t="str" cm="1">
        <f t="array" ref="H52">_xlfn.IFS(OR(LEFT(G52,3)="SAF",LEFT(G52,3)="MVE"), RIGHT(G52,LEN(G52)-3),     LEFT(G52,2)="JB",  RIGHT(G52,LEN(G52)-2), TRUE,     G52)</f>
        <v>WBA</v>
      </c>
      <c r="K52" t="str">
        <f>_xlfn.LET(_xlpm.Tick,[2]YData!$A52,IFERROR(LEFT(_xlpm.Tick,FIND(".",_xlpm.Tick)-1),_xlpm.Tick))</f>
        <v>WBA</v>
      </c>
      <c r="L52">
        <v>0</v>
      </c>
      <c r="M52">
        <v>0</v>
      </c>
      <c r="N52">
        <v>0</v>
      </c>
      <c r="O52">
        <v>0</v>
      </c>
    </row>
    <row r="53" spans="1:15" x14ac:dyDescent="0.3">
      <c r="A53" t="str">
        <f>[2]YData!A53</f>
        <v>XOM</v>
      </c>
      <c r="B53">
        <f>[2]YData!B53</f>
        <v>126.88</v>
      </c>
      <c r="C53" s="110">
        <f>VALUE([2]YData!C53)</f>
        <v>45975</v>
      </c>
      <c r="D53" t="str">
        <f>[2]YData!D53</f>
        <v>Jan 30, 2026</v>
      </c>
      <c r="E53" s="21">
        <f>[2]YData!E53</f>
        <v>3.4599999999999999E-2</v>
      </c>
      <c r="F53" s="43" t="str">
        <f t="shared" si="0"/>
        <v>XOM</v>
      </c>
      <c r="G53" t="s">
        <v>116</v>
      </c>
      <c r="H53" s="43" t="str" cm="1">
        <f t="array" ref="H53">_xlfn.IFS(OR(LEFT(G53,3)="SAF",LEFT(G53,3)="MVE"), RIGHT(G53,LEN(G53)-3),     LEFT(G53,2)="JB",  RIGHT(G53,LEN(G53)-2), TRUE,     G53)</f>
        <v>XOM</v>
      </c>
      <c r="K53" t="str">
        <f>_xlfn.LET(_xlpm.Tick,[2]YData!$A53,IFERROR(LEFT(_xlpm.Tick,FIND(".",_xlpm.Tick)-1),_xlpm.Tick))</f>
        <v>XOM</v>
      </c>
      <c r="L53">
        <v>126.88</v>
      </c>
      <c r="M53">
        <v>45975</v>
      </c>
      <c r="N53" t="str">
        <v>Jan 30, 2026</v>
      </c>
      <c r="O53">
        <v>3.4599999999999999E-2</v>
      </c>
    </row>
    <row r="54" spans="1:15" x14ac:dyDescent="0.3">
      <c r="A54" t="str">
        <f>[2]YData!A54</f>
        <v>XPER</v>
      </c>
      <c r="B54">
        <f>[2]YData!B54</f>
        <v>11.4</v>
      </c>
      <c r="C54" s="110">
        <f>VALUE([2]YData!C54)</f>
        <v>0</v>
      </c>
      <c r="D54">
        <f>[2]YData!D54</f>
        <v>0</v>
      </c>
      <c r="E54" s="21">
        <f>[2]YData!E54</f>
        <v>0</v>
      </c>
      <c r="F54" s="43" t="str">
        <f t="shared" si="0"/>
        <v>XPER</v>
      </c>
      <c r="G54" t="s">
        <v>117</v>
      </c>
      <c r="H54" s="43" t="str" cm="1">
        <f t="array" ref="H54">_xlfn.IFS(OR(LEFT(G54,3)="SAF",LEFT(G54,3)="MVE"), RIGHT(G54,LEN(G54)-3),     LEFT(G54,2)="JB",  RIGHT(G54,LEN(G54)-2), TRUE,     G54)</f>
        <v>XPER</v>
      </c>
      <c r="K54" t="str">
        <f>_xlfn.LET(_xlpm.Tick,[2]YData!$A54,IFERROR(LEFT(_xlpm.Tick,FIND(".",_xlpm.Tick)-1),_xlpm.Tick))</f>
        <v>XPER</v>
      </c>
      <c r="L54">
        <v>11.4</v>
      </c>
      <c r="M54">
        <v>0</v>
      </c>
      <c r="N54">
        <v>0</v>
      </c>
      <c r="O54">
        <v>0</v>
      </c>
    </row>
    <row r="55" spans="1:15" x14ac:dyDescent="0.3">
      <c r="A55" t="str">
        <f>[2]YData!A55</f>
        <v>BLNK</v>
      </c>
      <c r="B55">
        <f>[2]YData!B55</f>
        <v>2.4</v>
      </c>
      <c r="C55" s="110">
        <f>VALUE([2]YData!C55)</f>
        <v>0</v>
      </c>
      <c r="D55" t="str">
        <f>[2]YData!D55</f>
        <v>Nov 6, 2025</v>
      </c>
      <c r="E55" s="21">
        <f>[2]YData!E55</f>
        <v>0</v>
      </c>
      <c r="F55" s="43" t="str">
        <f t="shared" si="0"/>
        <v>BLNK</v>
      </c>
      <c r="G55" t="s">
        <v>145</v>
      </c>
      <c r="H55" s="43" t="str" cm="1">
        <f t="array" ref="H55">_xlfn.IFS(OR(LEFT(G55,3)="SAF",LEFT(G55,3)="MVE"), RIGHT(G55,LEN(G55)-3),     LEFT(G55,2)="JB",  RIGHT(G55,LEN(G55)-2), TRUE,     G55)</f>
        <v>ALDNE</v>
      </c>
      <c r="K55" t="str">
        <f>_xlfn.LET(_xlpm.Tick,[2]YData!$A55,IFERROR(LEFT(_xlpm.Tick,FIND(".",_xlpm.Tick)-1),_xlpm.Tick))</f>
        <v>BLNK</v>
      </c>
      <c r="L55">
        <v>1.5333300000000001</v>
      </c>
      <c r="M55">
        <v>0</v>
      </c>
      <c r="N55">
        <v>0</v>
      </c>
      <c r="O55">
        <v>0</v>
      </c>
    </row>
    <row r="56" spans="1:15" x14ac:dyDescent="0.3">
      <c r="A56" t="str">
        <f>[2]YData!A56</f>
        <v>ENI.MI</v>
      </c>
      <c r="B56">
        <f>[2]YData!B56</f>
        <v>16.122730000000001</v>
      </c>
      <c r="C56" s="110">
        <f>VALUE([2]YData!C56)</f>
        <v>45985</v>
      </c>
      <c r="D56">
        <f>[2]YData!D56</f>
        <v>0</v>
      </c>
      <c r="E56" s="21">
        <f>[2]YData!E56</f>
        <v>6.5199999999999994E-2</v>
      </c>
      <c r="F56" s="43" t="str">
        <f t="shared" si="0"/>
        <v>ENI</v>
      </c>
      <c r="G56" t="s">
        <v>146</v>
      </c>
      <c r="H56" s="43" t="str" cm="1">
        <f t="array" ref="H56">_xlfn.IFS(OR(LEFT(G56,3)="SAF",LEFT(G56,3)="MVE"), RIGHT(G56,LEN(G56)-3),     LEFT(G56,2)="JB",  RIGHT(G56,LEN(G56)-2), TRUE,     G56)</f>
        <v>DDD</v>
      </c>
      <c r="K56" t="str">
        <f>_xlfn.LET(_xlpm.Tick,[2]YData!$A56,IFERROR(LEFT(_xlpm.Tick,FIND(".",_xlpm.Tick)-1),_xlpm.Tick))</f>
        <v>ENI</v>
      </c>
      <c r="L56">
        <v>3.25</v>
      </c>
      <c r="M56">
        <v>0</v>
      </c>
      <c r="N56" t="str">
        <v>Nov 4, 2025</v>
      </c>
      <c r="O56">
        <v>0</v>
      </c>
    </row>
    <row r="57" spans="1:15" x14ac:dyDescent="0.3">
      <c r="A57" t="str">
        <f>[2]YData!A57</f>
        <v>EZJ.L</v>
      </c>
      <c r="B57">
        <f>[2]YData!B57</f>
        <v>626.25</v>
      </c>
      <c r="C57" s="110">
        <f>VALUE([2]YData!C57)</f>
        <v>45708</v>
      </c>
      <c r="D57">
        <f>[2]YData!D57</f>
        <v>0</v>
      </c>
      <c r="E57" s="21">
        <f>[2]YData!E57</f>
        <v>2.5000000000000001E-2</v>
      </c>
      <c r="F57" s="43" t="str">
        <f t="shared" si="0"/>
        <v>EZJ</v>
      </c>
      <c r="G57" t="s">
        <v>147</v>
      </c>
      <c r="H57" s="43" t="str" cm="1">
        <f t="array" ref="H57">_xlfn.IFS(OR(LEFT(G57,3)="SAF",LEFT(G57,3)="MVE"), RIGHT(G57,LEN(G57)-3),     LEFT(G57,2)="JB",  RIGHT(G57,LEN(G57)-2), TRUE,     G57)</f>
        <v>DSY</v>
      </c>
      <c r="K57" t="str">
        <f>_xlfn.LET(_xlpm.Tick,[2]YData!$A57,IFERROR(LEFT(_xlpm.Tick,FIND(".",_xlpm.Tick)-1),_xlpm.Tick))</f>
        <v>EZJ</v>
      </c>
      <c r="L57">
        <v>31.877780000000001</v>
      </c>
      <c r="M57">
        <v>45803</v>
      </c>
      <c r="N57">
        <v>0</v>
      </c>
      <c r="O57">
        <v>1.06E-2</v>
      </c>
    </row>
    <row r="58" spans="1:15" x14ac:dyDescent="0.3">
      <c r="A58" t="str">
        <f>[2]YData!A58</f>
        <v>F</v>
      </c>
      <c r="B58">
        <f>[2]YData!B58</f>
        <v>12.265000000000001</v>
      </c>
      <c r="C58" s="110">
        <f>VALUE([2]YData!C58)</f>
        <v>45968</v>
      </c>
      <c r="D58" t="str">
        <f>[2]YData!D58</f>
        <v>Oct 23, 2025</v>
      </c>
      <c r="E58" s="21">
        <f>[2]YData!E58</f>
        <v>4.5700002000000003E-2</v>
      </c>
      <c r="F58" s="43" t="str">
        <f t="shared" si="0"/>
        <v>F</v>
      </c>
      <c r="G58" t="s">
        <v>148</v>
      </c>
      <c r="H58" s="43" t="str" cm="1">
        <f t="array" ref="H58">_xlfn.IFS(OR(LEFT(G58,3)="SAF",LEFT(G58,3)="MVE"), RIGHT(G58,LEN(G58)-3),     LEFT(G58,2)="JB",  RIGHT(G58,LEN(G58)-2), TRUE,     G58)</f>
        <v>EOAN</v>
      </c>
      <c r="K58" t="str">
        <f>_xlfn.LET(_xlpm.Tick,[2]YData!$A58,IFERROR(LEFT(_xlpm.Tick,FIND(".",_xlpm.Tick)-1),_xlpm.Tick))</f>
        <v>F</v>
      </c>
      <c r="L58">
        <v>16.919589999999999</v>
      </c>
      <c r="M58">
        <v>45793</v>
      </c>
      <c r="N58">
        <v>0</v>
      </c>
      <c r="O58">
        <v>3.4099999999999998E-2</v>
      </c>
    </row>
    <row r="59" spans="1:15" x14ac:dyDescent="0.3">
      <c r="A59" t="str">
        <f>[2]YData!A59</f>
        <v>GLE.PA</v>
      </c>
      <c r="B59">
        <f>[2]YData!B59</f>
        <v>64.686109999999999</v>
      </c>
      <c r="C59" s="110">
        <f>VALUE([2]YData!C59)</f>
        <v>45937</v>
      </c>
      <c r="D59" t="str">
        <f>[2]YData!D59</f>
        <v>Oct 30, 2025</v>
      </c>
      <c r="E59" s="21">
        <f>[2]YData!E59</f>
        <v>3.1E-2</v>
      </c>
      <c r="F59" s="43" t="str">
        <f t="shared" si="0"/>
        <v>GLE</v>
      </c>
      <c r="G59" t="s">
        <v>149</v>
      </c>
      <c r="H59" s="43" t="str" cm="1">
        <f t="array" ref="H59">_xlfn.IFS(OR(LEFT(G59,3)="SAF",LEFT(G59,3)="MVE"), RIGHT(G59,LEN(G59)-3),     LEFT(G59,2)="JB",  RIGHT(G59,LEN(G59)-2), TRUE,     G59)</f>
        <v>ENI</v>
      </c>
      <c r="K59" t="str">
        <f>_xlfn.LET(_xlpm.Tick,[2]YData!$A59,IFERROR(LEFT(_xlpm.Tick,FIND(".",_xlpm.Tick)-1),_xlpm.Tick))</f>
        <v>GLE</v>
      </c>
      <c r="L59">
        <v>16.122730000000001</v>
      </c>
      <c r="M59">
        <v>45985</v>
      </c>
      <c r="N59">
        <v>0</v>
      </c>
      <c r="O59">
        <v>6.5199999999999994E-2</v>
      </c>
    </row>
    <row r="60" spans="1:15" x14ac:dyDescent="0.3">
      <c r="A60" t="str">
        <f>[2]YData!A60</f>
        <v>GNRC</v>
      </c>
      <c r="B60">
        <f>[2]YData!B60</f>
        <v>207.47059999999999</v>
      </c>
      <c r="C60" s="110">
        <f>VALUE([2]YData!C60)</f>
        <v>41435</v>
      </c>
      <c r="D60" t="str">
        <f>[2]YData!D60</f>
        <v>Oct 29, 2025</v>
      </c>
      <c r="E60" s="21">
        <f>[2]YData!E60</f>
        <v>0</v>
      </c>
      <c r="F60" s="43" t="str">
        <f t="shared" si="0"/>
        <v>GNRC</v>
      </c>
      <c r="G60" t="s">
        <v>150</v>
      </c>
      <c r="H60" s="43" t="str" cm="1">
        <f t="array" ref="H60">_xlfn.IFS(OR(LEFT(G60,3)="SAF",LEFT(G60,3)="MVE"), RIGHT(G60,LEN(G60)-3),     LEFT(G60,2)="JB",  RIGHT(G60,LEN(G60)-2), TRUE,     G60)</f>
        <v>EPIX</v>
      </c>
      <c r="K60" t="str">
        <f>_xlfn.LET(_xlpm.Tick,[2]YData!$A60,IFERROR(LEFT(_xlpm.Tick,FIND(".",_xlpm.Tick)-1),_xlpm.Tick))</f>
        <v>GNRC</v>
      </c>
      <c r="L60">
        <v>0</v>
      </c>
      <c r="M60">
        <v>45894</v>
      </c>
      <c r="N60">
        <v>0</v>
      </c>
      <c r="O60">
        <v>0</v>
      </c>
    </row>
    <row r="61" spans="1:15" x14ac:dyDescent="0.3">
      <c r="A61" t="str">
        <f>[2]YData!A61</f>
        <v>GS</v>
      </c>
      <c r="B61">
        <f>[2]YData!B61</f>
        <v>801.84209999999996</v>
      </c>
      <c r="C61" s="110">
        <f>VALUE([2]YData!C61)</f>
        <v>45993</v>
      </c>
      <c r="D61" t="str">
        <f>[2]YData!D61</f>
        <v>Jan 15, 2026</v>
      </c>
      <c r="E61" s="21">
        <f>[2]YData!E61</f>
        <v>2.0299998999999999E-2</v>
      </c>
      <c r="F61" s="43" t="str">
        <f t="shared" si="0"/>
        <v>GS</v>
      </c>
      <c r="G61" t="s">
        <v>151</v>
      </c>
      <c r="H61" s="43" t="str" cm="1">
        <f t="array" ref="H61">_xlfn.IFS(OR(LEFT(G61,3)="SAF",LEFT(G61,3)="MVE"), RIGHT(G61,LEN(G61)-3),     LEFT(G61,2)="JB",  RIGHT(G61,LEN(G61)-2), TRUE,     G61)</f>
        <v>GLE</v>
      </c>
      <c r="K61" t="str">
        <f>_xlfn.LET(_xlpm.Tick,[2]YData!$A61,IFERROR(LEFT(_xlpm.Tick,FIND(".",_xlpm.Tick)-1),_xlpm.Tick))</f>
        <v>GS</v>
      </c>
      <c r="L61">
        <v>64.686109999999999</v>
      </c>
      <c r="M61">
        <v>45937</v>
      </c>
      <c r="N61" t="str">
        <v>Oct 30, 2025</v>
      </c>
      <c r="O61">
        <v>3.1E-2</v>
      </c>
    </row>
    <row r="62" spans="1:15" x14ac:dyDescent="0.3">
      <c r="A62" t="str">
        <f>[2]YData!A62</f>
        <v>LAZR</v>
      </c>
      <c r="B62">
        <f>[2]YData!B62</f>
        <v>2.5</v>
      </c>
      <c r="C62" s="110">
        <f>VALUE([2]YData!C62)</f>
        <v>0</v>
      </c>
      <c r="D62" t="str">
        <f>[2]YData!D62</f>
        <v>Nov 13, 2025</v>
      </c>
      <c r="E62" s="21">
        <f>[2]YData!E62</f>
        <v>0</v>
      </c>
      <c r="F62" s="43" t="str">
        <f t="shared" si="0"/>
        <v>LAZR</v>
      </c>
      <c r="G62" t="s">
        <v>152</v>
      </c>
      <c r="H62" s="43" t="str" cm="1">
        <f t="array" ref="H62">_xlfn.IFS(OR(LEFT(G62,3)="SAF",LEFT(G62,3)="MVE"), RIGHT(G62,LEN(G62)-3),     LEFT(G62,2)="JB",  RIGHT(G62,LEN(G62)-2), TRUE,     G62)</f>
        <v>ORA</v>
      </c>
      <c r="K62" t="str">
        <f>_xlfn.LET(_xlpm.Tick,[2]YData!$A62,IFERROR(LEFT(_xlpm.Tick,FIND(".",_xlpm.Tick)-1),_xlpm.Tick))</f>
        <v>LAZR</v>
      </c>
      <c r="L62">
        <v>15.32222</v>
      </c>
      <c r="M62">
        <v>45993</v>
      </c>
      <c r="N62">
        <v>0</v>
      </c>
      <c r="O62">
        <v>5.4199999999999998E-2</v>
      </c>
    </row>
    <row r="63" spans="1:15" x14ac:dyDescent="0.3">
      <c r="A63" t="str">
        <f>[2]YData!A63</f>
        <v>LUV</v>
      </c>
      <c r="B63">
        <f>[2]YData!B63</f>
        <v>34.073680000000003</v>
      </c>
      <c r="C63" s="110">
        <f>VALUE([2]YData!C63)</f>
        <v>45903</v>
      </c>
      <c r="D63" t="str">
        <f>[2]YData!D63</f>
        <v>Oct 22, 2025</v>
      </c>
      <c r="E63" s="21">
        <f>[2]YData!E63</f>
        <v>2.3800000000000002E-2</v>
      </c>
      <c r="F63" s="43" t="str">
        <f t="shared" si="0"/>
        <v>LUV</v>
      </c>
      <c r="G63" t="s">
        <v>153</v>
      </c>
      <c r="H63" s="43" t="str" cm="1">
        <f t="array" ref="H63">_xlfn.IFS(OR(LEFT(G63,3)="SAF",LEFT(G63,3)="MVE"), RIGHT(G63,LEN(G63)-3),     LEFT(G63,2)="JB",  RIGHT(G63,LEN(G63)-2), TRUE,     G63)</f>
        <v>RWE</v>
      </c>
      <c r="K63" t="str">
        <f>_xlfn.LET(_xlpm.Tick,[2]YData!$A63,IFERROR(LEFT(_xlpm.Tick,FIND(".",_xlpm.Tick)-1),_xlpm.Tick))</f>
        <v>LUV</v>
      </c>
      <c r="L63">
        <v>44.747059999999998</v>
      </c>
      <c r="M63">
        <v>45779</v>
      </c>
      <c r="N63">
        <v>0</v>
      </c>
      <c r="O63">
        <v>2.5799999000000001E-2</v>
      </c>
    </row>
    <row r="64" spans="1:15" x14ac:dyDescent="0.3">
      <c r="A64" t="str">
        <f>[2]YData!A64</f>
        <v>MA</v>
      </c>
      <c r="B64">
        <f>[2]YData!B64</f>
        <v>655.20569999999998</v>
      </c>
      <c r="C64" s="110">
        <f>VALUE([2]YData!C64)</f>
        <v>45939</v>
      </c>
      <c r="D64" t="str">
        <f>[2]YData!D64</f>
        <v>Jan 29, 2026</v>
      </c>
      <c r="E64" s="21">
        <f>[2]YData!E64</f>
        <v>5.4999999999999997E-3</v>
      </c>
      <c r="F64" s="43" t="str">
        <f t="shared" si="0"/>
        <v>MA</v>
      </c>
      <c r="G64" t="s">
        <v>154</v>
      </c>
      <c r="H64" s="43" t="str" cm="1">
        <f t="array" ref="H64">_xlfn.IFS(OR(LEFT(G64,3)="SAF",LEFT(G64,3)="MVE"), RIGHT(G64,LEN(G64)-3),     LEFT(G64,2)="JB",  RIGHT(G64,LEN(G64)-2), TRUE,     G64)</f>
        <v>SAP</v>
      </c>
      <c r="K64" t="str">
        <f>_xlfn.LET(_xlpm.Tick,[2]YData!$A64,IFERROR(LEFT(_xlpm.Tick,FIND(".",_xlpm.Tick)-1),_xlpm.Tick))</f>
        <v>MA</v>
      </c>
      <c r="L64">
        <v>288.66680000000002</v>
      </c>
      <c r="M64">
        <v>45791</v>
      </c>
      <c r="N64">
        <v>0</v>
      </c>
      <c r="O64">
        <v>1.0500000000000001E-2</v>
      </c>
    </row>
    <row r="65" spans="1:15" x14ac:dyDescent="0.3">
      <c r="A65" t="str">
        <f>[2]YData!A65</f>
        <v>NVAX</v>
      </c>
      <c r="B65">
        <f>[2]YData!B65</f>
        <v>12.612500000000001</v>
      </c>
      <c r="C65" s="110">
        <f>VALUE([2]YData!C65)</f>
        <v>0</v>
      </c>
      <c r="D65" t="str">
        <f>[2]YData!D65</f>
        <v>Nov 10, 2025</v>
      </c>
      <c r="E65" s="21">
        <f>[2]YData!E65</f>
        <v>0</v>
      </c>
      <c r="F65" s="43" t="str">
        <f t="shared" si="0"/>
        <v>NVAX</v>
      </c>
      <c r="G65" t="s">
        <v>155</v>
      </c>
      <c r="H65" s="43" t="str" cm="1">
        <f t="array" ref="H65">_xlfn.IFS(OR(LEFT(G65,3)="SAF",LEFT(G65,3)="MVE"), RIGHT(G65,LEN(G65)-3),     LEFT(G65,2)="JB",  RIGHT(G65,LEN(G65)-2), TRUE,     G65)</f>
        <v>UN0</v>
      </c>
      <c r="K65" t="str">
        <f>_xlfn.LET(_xlpm.Tick,[2]YData!$A65,IFERROR(LEFT(_xlpm.Tick,FIND(".",_xlpm.Tick)-1),_xlpm.Tick))</f>
        <v>NVAX</v>
      </c>
      <c r="L65">
        <v>0</v>
      </c>
      <c r="M65">
        <v>0</v>
      </c>
      <c r="N65">
        <v>0</v>
      </c>
      <c r="O65">
        <v>0</v>
      </c>
    </row>
    <row r="66" spans="1:15" x14ac:dyDescent="0.3">
      <c r="A66" t="str">
        <f>[2]YData!A66</f>
        <v>NVS</v>
      </c>
      <c r="B66">
        <f>[2]YData!B66</f>
        <v>127.45399999999999</v>
      </c>
      <c r="C66" s="110">
        <f>VALUE([2]YData!C66)</f>
        <v>45728</v>
      </c>
      <c r="D66" t="str">
        <f>[2]YData!D66</f>
        <v>Oct 28, 2025</v>
      </c>
      <c r="E66" s="21">
        <f>[2]YData!E66</f>
        <v>3.2300000000000002E-2</v>
      </c>
      <c r="F66" s="43" t="str">
        <f t="shared" si="0"/>
        <v>NVS</v>
      </c>
      <c r="G66" t="s">
        <v>156</v>
      </c>
      <c r="H66" s="43" t="str" cm="1">
        <f t="array" ref="H66">_xlfn.IFS(OR(LEFT(G66,3)="SAF",LEFT(G66,3)="MVE"), RIGHT(G66,LEN(G66)-3),     LEFT(G66,2)="JB",  RIGHT(G66,LEN(G66)-2), TRUE,     G66)</f>
        <v>AAPL</v>
      </c>
      <c r="K66" t="str">
        <f>_xlfn.LET(_xlpm.Tick,[2]YData!$A66,IFERROR(LEFT(_xlpm.Tick,FIND(".",_xlpm.Tick)-1),_xlpm.Tick))</f>
        <v>NVS</v>
      </c>
      <c r="L66">
        <v>276.43097</v>
      </c>
      <c r="M66">
        <v>45971</v>
      </c>
      <c r="N66" t="str">
        <v>Jan 29, 2026</v>
      </c>
      <c r="O66">
        <v>3.8E-3</v>
      </c>
    </row>
    <row r="67" spans="1:15" x14ac:dyDescent="0.3">
      <c r="A67" t="str">
        <f>[2]YData!A67</f>
        <v>ORA.PA</v>
      </c>
      <c r="B67">
        <f>[2]YData!B67</f>
        <v>15.32222</v>
      </c>
      <c r="C67" s="110">
        <f>VALUE([2]YData!C67)</f>
        <v>45993</v>
      </c>
      <c r="D67">
        <f>[2]YData!D67</f>
        <v>0</v>
      </c>
      <c r="E67" s="21">
        <f>[2]YData!E67</f>
        <v>5.4199999999999998E-2</v>
      </c>
      <c r="F67" s="43" t="str">
        <f t="shared" ref="F67:F75" si="1">_xlfn.LET(_xlpm.Tick,A67,IFERROR(LEFT(_xlpm.Tick,FIND(".",_xlpm.Tick)-1),_xlpm.Tick))</f>
        <v>ORA</v>
      </c>
      <c r="G67" t="s">
        <v>157</v>
      </c>
      <c r="H67" s="43" t="str" cm="1">
        <f t="array" ref="H67">_xlfn.IFS(OR(LEFT(G67,3)="SAF",LEFT(G67,3)="MVE"), RIGHT(G67,LEN(G67)-3),     LEFT(G67,2)="JB",  RIGHT(G67,LEN(G67)-2), TRUE,     G67)</f>
        <v>AMZN</v>
      </c>
      <c r="K67" t="str">
        <f>_xlfn.LET(_xlpm.Tick,[2]YData!$A67,IFERROR(LEFT(_xlpm.Tick,FIND(".",_xlpm.Tick)-1),_xlpm.Tick))</f>
        <v>ORA</v>
      </c>
      <c r="L67">
        <v>288.42410000000001</v>
      </c>
      <c r="M67">
        <v>0</v>
      </c>
      <c r="N67" t="str">
        <v>Oct 30, 2025</v>
      </c>
      <c r="O67">
        <v>0</v>
      </c>
    </row>
    <row r="68" spans="1:15" x14ac:dyDescent="0.3">
      <c r="A68" t="str">
        <f>[2]YData!A68</f>
        <v>OXY</v>
      </c>
      <c r="B68">
        <f>[2]YData!B68</f>
        <v>49.913040000000002</v>
      </c>
      <c r="C68" s="110">
        <f>VALUE([2]YData!C68)</f>
        <v>45910</v>
      </c>
      <c r="D68" t="str">
        <f>[2]YData!D68</f>
        <v>Nov 10, 2025</v>
      </c>
      <c r="E68" s="21">
        <f>[2]YData!E68</f>
        <v>2.3300000000000001E-2</v>
      </c>
      <c r="F68" s="43" t="str">
        <f t="shared" si="1"/>
        <v>OXY</v>
      </c>
      <c r="G68" t="s">
        <v>158</v>
      </c>
      <c r="H68" s="43" t="str" cm="1">
        <f t="array" ref="H68">_xlfn.IFS(OR(LEFT(G68,3)="SAF",LEFT(G68,3)="MVE"), RIGHT(G68,LEN(G68)-3),     LEFT(G68,2)="JB",  RIGHT(G68,LEN(G68)-2), TRUE,     G68)</f>
        <v>ASML</v>
      </c>
      <c r="K68" t="str">
        <f>_xlfn.LET(_xlpm.Tick,[2]YData!$A68,IFERROR(LEFT(_xlpm.Tick,FIND(".",_xlpm.Tick)-1),_xlpm.Tick))</f>
        <v>OXY</v>
      </c>
      <c r="L68">
        <v>941.90326000000005</v>
      </c>
      <c r="M68">
        <v>45958</v>
      </c>
      <c r="N68">
        <v>0</v>
      </c>
      <c r="O68">
        <v>6.9999998000000001E-3</v>
      </c>
    </row>
    <row r="69" spans="1:15" x14ac:dyDescent="0.3">
      <c r="A69" t="str">
        <f>[2]YData!A69</f>
        <v>PFE</v>
      </c>
      <c r="B69">
        <f>[2]YData!B69</f>
        <v>28.751899999999999</v>
      </c>
      <c r="C69" s="110">
        <f>VALUE([2]YData!C69)</f>
        <v>45968</v>
      </c>
      <c r="D69" t="str">
        <f>[2]YData!D69</f>
        <v>Nov 4, 2025</v>
      </c>
      <c r="E69" s="21">
        <f>[2]YData!E69</f>
        <v>6.9800000000000001E-2</v>
      </c>
      <c r="F69" s="43" t="str">
        <f t="shared" si="1"/>
        <v>PFE</v>
      </c>
      <c r="G69" t="s">
        <v>159</v>
      </c>
      <c r="H69" s="43" t="str" cm="1">
        <f t="array" ref="H69">_xlfn.IFS(OR(LEFT(G69,3)="SAF",LEFT(G69,3)="MVE"), RIGHT(G69,LEN(G69)-3),     LEFT(G69,2)="JB",  RIGHT(G69,LEN(G69)-2), TRUE,     G69)</f>
        <v>DDD</v>
      </c>
      <c r="K69" t="str">
        <f>_xlfn.LET(_xlpm.Tick,[2]YData!$A69,IFERROR(LEFT(_xlpm.Tick,FIND(".",_xlpm.Tick)-1),_xlpm.Tick))</f>
        <v>PFE</v>
      </c>
      <c r="L69">
        <v>3.25</v>
      </c>
      <c r="M69">
        <v>0</v>
      </c>
      <c r="N69" t="str">
        <v>Nov 4, 2025</v>
      </c>
      <c r="O69">
        <v>0</v>
      </c>
    </row>
    <row r="70" spans="1:15" x14ac:dyDescent="0.3">
      <c r="A70" t="str">
        <f>[2]YData!A70</f>
        <v>RIG</v>
      </c>
      <c r="B70">
        <f>[2]YData!B70</f>
        <v>3.9538500000000001</v>
      </c>
      <c r="C70" s="110">
        <f>VALUE([2]YData!C70)</f>
        <v>42237</v>
      </c>
      <c r="D70" t="str">
        <f>[2]YData!D70</f>
        <v>Oct 29, 2025</v>
      </c>
      <c r="E70" s="21">
        <f>[2]YData!E70</f>
        <v>0</v>
      </c>
      <c r="F70" s="43" t="str">
        <f t="shared" si="1"/>
        <v>RIG</v>
      </c>
      <c r="G70" t="s">
        <v>160</v>
      </c>
      <c r="H70" s="43" t="str" cm="1">
        <f t="array" ref="H70">_xlfn.IFS(OR(LEFT(G70,3)="SAF",LEFT(G70,3)="MVE"), RIGHT(G70,LEN(G70)-3),     LEFT(G70,2)="JB",  RIGHT(G70,LEN(G70)-2), TRUE,     G70)</f>
        <v>DIS</v>
      </c>
      <c r="K70" t="str">
        <f>_xlfn.LET(_xlpm.Tick,[2]YData!$A70,IFERROR(LEFT(_xlpm.Tick,FIND(".",_xlpm.Tick)-1),_xlpm.Tick))</f>
        <v>RIG</v>
      </c>
      <c r="L70">
        <v>134.07239999999999</v>
      </c>
      <c r="M70">
        <v>45832</v>
      </c>
      <c r="N70" t="str">
        <v>Nov 13, 2025</v>
      </c>
      <c r="O70">
        <v>8.8999999999999999E-3</v>
      </c>
    </row>
    <row r="71" spans="1:15" x14ac:dyDescent="0.3">
      <c r="A71" t="str">
        <f>[2]YData!A71</f>
        <v>RRC</v>
      </c>
      <c r="B71">
        <f>[2]YData!B71</f>
        <v>41.415419999999997</v>
      </c>
      <c r="C71" s="110">
        <f>VALUE([2]YData!C71)</f>
        <v>45912</v>
      </c>
      <c r="D71" t="str">
        <f>[2]YData!D71</f>
        <v>Oct 28, 2025</v>
      </c>
      <c r="E71" s="21">
        <f>[2]YData!E71</f>
        <v>1.01E-2</v>
      </c>
      <c r="F71" s="43" t="str">
        <f t="shared" si="1"/>
        <v>RRC</v>
      </c>
      <c r="G71" t="s">
        <v>161</v>
      </c>
      <c r="H71" s="43" t="str" cm="1">
        <f t="array" ref="H71">_xlfn.IFS(OR(LEFT(G71,3)="SAF",LEFT(G71,3)="MVE"), RIGHT(G71,LEN(G71)-3),     LEFT(G71,2)="JB",  RIGHT(G71,LEN(G71)-2), TRUE,     G71)</f>
        <v>GM</v>
      </c>
      <c r="K71" t="str">
        <f>_xlfn.LET(_xlpm.Tick,[2]YData!$A71,IFERROR(LEFT(_xlpm.Tick,FIND(".",_xlpm.Tick)-1),_xlpm.Tick))</f>
        <v>RRC</v>
      </c>
      <c r="L71">
        <v>73.153850000000006</v>
      </c>
      <c r="M71">
        <v>45996</v>
      </c>
      <c r="N71" t="str">
        <v>Oct 21, 2025</v>
      </c>
      <c r="O71">
        <v>8.6999999999999994E-3</v>
      </c>
    </row>
    <row r="72" spans="1:15" x14ac:dyDescent="0.3">
      <c r="A72" t="str">
        <f>[2]YData!A72</f>
        <v>XYZ</v>
      </c>
      <c r="B72">
        <f>[2]YData!B72</f>
        <v>88.505260000000007</v>
      </c>
      <c r="C72" s="110">
        <f>VALUE([2]YData!C72)</f>
        <v>0</v>
      </c>
      <c r="D72" t="str">
        <f>[2]YData!D72</f>
        <v>Nov 6, 2025</v>
      </c>
      <c r="E72" s="21">
        <f>[2]YData!E72</f>
        <v>0</v>
      </c>
      <c r="F72" s="43" t="str">
        <f t="shared" si="1"/>
        <v>XYZ</v>
      </c>
      <c r="G72" t="s">
        <v>162</v>
      </c>
      <c r="H72" s="43" t="str" cm="1">
        <f t="array" ref="H72">_xlfn.IFS(OR(LEFT(G72,3)="SAF",LEFT(G72,3)="MVE"), RIGHT(G72,LEN(G72)-3),     LEFT(G72,2)="JB",  RIGHT(G72,LEN(G72)-2), TRUE,     G72)</f>
        <v>IAG</v>
      </c>
      <c r="K72" t="str">
        <f>_xlfn.LET(_xlpm.Tick,[2]YData!$A72,IFERROR(LEFT(_xlpm.Tick,FIND(".",_xlpm.Tick)-1),_xlpm.Tick))</f>
        <v>XYZ</v>
      </c>
      <c r="L72">
        <v>464.0942</v>
      </c>
      <c r="M72">
        <v>45834</v>
      </c>
      <c r="N72">
        <v>0</v>
      </c>
      <c r="O72">
        <v>1.83E-2</v>
      </c>
    </row>
    <row r="73" spans="1:15" x14ac:dyDescent="0.3">
      <c r="A73" t="str">
        <f>[2]YData!A73</f>
        <v>THC</v>
      </c>
      <c r="B73">
        <f>[2]YData!B73</f>
        <v>229.61904999999999</v>
      </c>
      <c r="C73" s="110">
        <f>VALUE([2]YData!C73)</f>
        <v>36598</v>
      </c>
      <c r="D73" t="str">
        <f>[2]YData!D73</f>
        <v>Oct 28, 2025</v>
      </c>
      <c r="E73" s="21">
        <f>[2]YData!E73</f>
        <v>0</v>
      </c>
      <c r="F73" s="43" t="str">
        <f t="shared" si="1"/>
        <v>THC</v>
      </c>
      <c r="G73" t="s">
        <v>163</v>
      </c>
      <c r="H73" s="43" t="str" cm="1">
        <f t="array" ref="H73">_xlfn.IFS(OR(LEFT(G73,3)="SAF",LEFT(G73,3)="MVE"), RIGHT(G73,LEN(G73)-3),     LEFT(G73,2)="JB",  RIGHT(G73,LEN(G73)-2), TRUE,     G73)</f>
        <v>MRNA</v>
      </c>
      <c r="K73" t="str">
        <f>_xlfn.LET(_xlpm.Tick,[2]YData!$A73,IFERROR(LEFT(_xlpm.Tick,FIND(".",_xlpm.Tick)-1),_xlpm.Tick))</f>
        <v>THC</v>
      </c>
      <c r="L73">
        <v>40.299999999999997</v>
      </c>
      <c r="M73">
        <v>0</v>
      </c>
      <c r="N73" t="str">
        <v>Nov 6, 2025</v>
      </c>
      <c r="O73">
        <v>0</v>
      </c>
    </row>
    <row r="74" spans="1:15" x14ac:dyDescent="0.3">
      <c r="A74" t="str">
        <f>[2]YData!A74</f>
        <v>X</v>
      </c>
      <c r="B74">
        <f>[2]YData!B74</f>
        <v>0</v>
      </c>
      <c r="C74" s="110">
        <f>VALUE([2]YData!C74)</f>
        <v>0</v>
      </c>
      <c r="D74">
        <f>[2]YData!D74</f>
        <v>0</v>
      </c>
      <c r="E74" s="21">
        <f>[2]YData!E74</f>
        <v>0</v>
      </c>
      <c r="F74" s="43" t="str">
        <f t="shared" si="1"/>
        <v>X</v>
      </c>
      <c r="G74" t="s">
        <v>118</v>
      </c>
      <c r="H74" s="43" t="str" cm="1">
        <f t="array" ref="H74">_xlfn.IFS(OR(LEFT(G74,3)="SAF",LEFT(G74,3)="MVE"), RIGHT(G74,LEN(G74)-3),     LEFT(G74,2)="JB",  RIGHT(G74,LEN(G74)-2), TRUE,     G74)</f>
        <v>BLNK</v>
      </c>
      <c r="K74" t="str">
        <f>_xlfn.LET(_xlpm.Tick,[2]YData!$A74,IFERROR(LEFT(_xlpm.Tick,FIND(".",_xlpm.Tick)-1),_xlpm.Tick))</f>
        <v>X</v>
      </c>
      <c r="L74">
        <v>2.4</v>
      </c>
      <c r="M74">
        <v>0</v>
      </c>
      <c r="N74" t="str">
        <v>Nov 6, 2025</v>
      </c>
      <c r="O74">
        <v>0</v>
      </c>
    </row>
    <row r="75" spans="1:15" x14ac:dyDescent="0.3">
      <c r="A75" t="str">
        <f>[2]YData!A75</f>
        <v>LOCK.L</v>
      </c>
      <c r="B75">
        <f>[2]YData!B75</f>
        <v>0</v>
      </c>
      <c r="C75" s="110">
        <f>VALUE([2]YData!C75)</f>
        <v>0</v>
      </c>
      <c r="D75">
        <f>[2]YData!D75</f>
        <v>0</v>
      </c>
      <c r="E75" s="21">
        <f>[2]YData!E75</f>
        <v>0</v>
      </c>
      <c r="F75" s="43" t="str">
        <f t="shared" si="1"/>
        <v>LOCK</v>
      </c>
      <c r="G75" t="s">
        <v>164</v>
      </c>
      <c r="H75" s="43" t="str" cm="1">
        <f t="array" ref="H75">_xlfn.IFS(OR(LEFT(G75,3)="SAF",LEFT(G75,3)="MVE"), RIGHT(G75,LEN(G75)-3),     LEFT(G75,2)="JB",  RIGHT(G75,LEN(G75)-2), TRUE,     G75)</f>
        <v>ENI</v>
      </c>
      <c r="K75" t="str">
        <f>_xlfn.LET(_xlpm.Tick,[2]YData!$A75,IFERROR(LEFT(_xlpm.Tick,FIND(".",_xlpm.Tick)-1),_xlpm.Tick))</f>
        <v>LOCK</v>
      </c>
      <c r="L75">
        <v>16.122730000000001</v>
      </c>
      <c r="M75">
        <v>45985</v>
      </c>
      <c r="N75">
        <v>0</v>
      </c>
      <c r="O75">
        <v>6.5199999999999994E-2</v>
      </c>
    </row>
    <row r="76" spans="1:15" x14ac:dyDescent="0.3">
      <c r="A76" t="str">
        <f>G76</f>
        <v>EZJ</v>
      </c>
      <c r="B76">
        <f>_xlfn.XLOOKUP($H76,$F$2:$F$75,B$2:B$75)</f>
        <v>626.25</v>
      </c>
      <c r="C76" s="110">
        <f t="shared" ref="C76:E91" si="2">_xlfn.XLOOKUP($H76,$F$2:$F$75,C$2:C$75)</f>
        <v>45708</v>
      </c>
      <c r="D76" s="21">
        <f t="shared" si="2"/>
        <v>0</v>
      </c>
      <c r="E76" s="21">
        <f t="shared" si="2"/>
        <v>2.5000000000000001E-2</v>
      </c>
      <c r="G76" t="s">
        <v>165</v>
      </c>
      <c r="H76" s="43" t="str" cm="1">
        <f t="array" ref="H76">_xlfn.IFS(OR(LEFT(G76,3)="SAF",LEFT(G76,3)="MVE"), RIGHT(G76,LEN(G76)-3),     LEFT(G76,2)="JB",  RIGHT(G76,LEN(G76)-2), TRUE,     G76)</f>
        <v>EZJ</v>
      </c>
      <c r="L76">
        <v>626.25</v>
      </c>
      <c r="M76">
        <v>45708</v>
      </c>
      <c r="N76">
        <v>0</v>
      </c>
      <c r="O76">
        <v>2.5000000000000001E-2</v>
      </c>
    </row>
    <row r="77" spans="1:15" x14ac:dyDescent="0.3">
      <c r="A77" t="str">
        <f t="shared" ref="A77:A96" si="3">G77</f>
        <v>F</v>
      </c>
      <c r="B77">
        <f t="shared" ref="B77:E96" si="4">_xlfn.XLOOKUP($H77,$F$2:$F$75,B$2:B$75)</f>
        <v>12.265000000000001</v>
      </c>
      <c r="C77" s="110">
        <f t="shared" si="2"/>
        <v>45968</v>
      </c>
      <c r="D77" s="21" t="str">
        <f t="shared" si="2"/>
        <v>Oct 23, 2025</v>
      </c>
      <c r="E77" s="21">
        <f t="shared" si="2"/>
        <v>4.5700002000000003E-2</v>
      </c>
      <c r="G77" t="s">
        <v>119</v>
      </c>
      <c r="H77" s="43" t="str" cm="1">
        <f t="array" ref="H77">_xlfn.IFS(OR(LEFT(G77,3)="SAF",LEFT(G77,3)="MVE"), RIGHT(G77,LEN(G77)-3),     LEFT(G77,2)="JB",  RIGHT(G77,LEN(G77)-2), TRUE,     G77)</f>
        <v>F</v>
      </c>
      <c r="L77">
        <v>12.265000000000001</v>
      </c>
      <c r="M77">
        <v>45968</v>
      </c>
      <c r="N77" t="str">
        <v>Oct 23, 2025</v>
      </c>
      <c r="O77">
        <v>4.5700002000000003E-2</v>
      </c>
    </row>
    <row r="78" spans="1:15" x14ac:dyDescent="0.3">
      <c r="A78" t="str">
        <f t="shared" si="3"/>
        <v>GLE</v>
      </c>
      <c r="B78">
        <f t="shared" si="4"/>
        <v>64.686109999999999</v>
      </c>
      <c r="C78" s="110">
        <f t="shared" si="2"/>
        <v>45937</v>
      </c>
      <c r="D78" s="21" t="str">
        <f t="shared" si="2"/>
        <v>Oct 30, 2025</v>
      </c>
      <c r="E78" s="21">
        <f t="shared" si="2"/>
        <v>3.1E-2</v>
      </c>
      <c r="G78" t="s">
        <v>166</v>
      </c>
      <c r="H78" s="43" t="str" cm="1">
        <f t="array" ref="H78">_xlfn.IFS(OR(LEFT(G78,3)="SAF",LEFT(G78,3)="MVE"), RIGHT(G78,LEN(G78)-3),     LEFT(G78,2)="JB",  RIGHT(G78,LEN(G78)-2), TRUE,     G78)</f>
        <v>GLE</v>
      </c>
      <c r="L78">
        <v>64.686109999999999</v>
      </c>
      <c r="M78">
        <v>45937</v>
      </c>
      <c r="N78" t="str">
        <v>Oct 30, 2025</v>
      </c>
      <c r="O78">
        <v>3.1E-2</v>
      </c>
    </row>
    <row r="79" spans="1:15" x14ac:dyDescent="0.3">
      <c r="A79" t="str">
        <f t="shared" si="3"/>
        <v>GNRC</v>
      </c>
      <c r="B79">
        <f t="shared" si="4"/>
        <v>207.47059999999999</v>
      </c>
      <c r="C79" s="110">
        <f t="shared" si="2"/>
        <v>41435</v>
      </c>
      <c r="D79" s="21" t="str">
        <f t="shared" si="2"/>
        <v>Oct 29, 2025</v>
      </c>
      <c r="E79" s="21">
        <f t="shared" si="2"/>
        <v>0</v>
      </c>
      <c r="G79" t="s">
        <v>120</v>
      </c>
      <c r="H79" s="43" t="str" cm="1">
        <f t="array" ref="H79">_xlfn.IFS(OR(LEFT(G79,3)="SAF",LEFT(G79,3)="MVE"), RIGHT(G79,LEN(G79)-3),     LEFT(G79,2)="JB",  RIGHT(G79,LEN(G79)-2), TRUE,     G79)</f>
        <v>GNRC</v>
      </c>
      <c r="L79">
        <v>207.47059999999999</v>
      </c>
      <c r="M79">
        <v>41435</v>
      </c>
      <c r="N79" t="str">
        <v>Oct 29, 2025</v>
      </c>
      <c r="O79">
        <v>0</v>
      </c>
    </row>
    <row r="80" spans="1:15" x14ac:dyDescent="0.3">
      <c r="A80" t="str">
        <f t="shared" si="3"/>
        <v>GS</v>
      </c>
      <c r="B80">
        <f t="shared" si="4"/>
        <v>801.84209999999996</v>
      </c>
      <c r="C80" s="110">
        <f t="shared" si="2"/>
        <v>45993</v>
      </c>
      <c r="D80" s="21" t="str">
        <f t="shared" si="2"/>
        <v>Jan 15, 2026</v>
      </c>
      <c r="E80" s="21">
        <f t="shared" si="2"/>
        <v>2.0299998999999999E-2</v>
      </c>
      <c r="G80" t="s">
        <v>121</v>
      </c>
      <c r="H80" s="43" t="str" cm="1">
        <f t="array" ref="H80">_xlfn.IFS(OR(LEFT(G80,3)="SAF",LEFT(G80,3)="MVE"), RIGHT(G80,LEN(G80)-3),     LEFT(G80,2)="JB",  RIGHT(G80,LEN(G80)-2), TRUE,     G80)</f>
        <v>GS</v>
      </c>
      <c r="L80">
        <v>801.84209999999996</v>
      </c>
      <c r="M80">
        <v>45993</v>
      </c>
      <c r="N80" t="str">
        <v>Jan 15, 2026</v>
      </c>
      <c r="O80">
        <v>2.0299998999999999E-2</v>
      </c>
    </row>
    <row r="81" spans="1:15" x14ac:dyDescent="0.3">
      <c r="A81" t="str">
        <f t="shared" si="3"/>
        <v>LAZR</v>
      </c>
      <c r="B81">
        <f t="shared" si="4"/>
        <v>2.5</v>
      </c>
      <c r="C81" s="110">
        <f t="shared" si="2"/>
        <v>0</v>
      </c>
      <c r="D81" s="21" t="str">
        <f t="shared" si="2"/>
        <v>Nov 13, 2025</v>
      </c>
      <c r="E81" s="21">
        <f t="shared" si="2"/>
        <v>0</v>
      </c>
      <c r="G81" t="s">
        <v>122</v>
      </c>
      <c r="H81" s="43" t="str" cm="1">
        <f t="array" ref="H81">_xlfn.IFS(OR(LEFT(G81,3)="SAF",LEFT(G81,3)="MVE"), RIGHT(G81,LEN(G81)-3),     LEFT(G81,2)="JB",  RIGHT(G81,LEN(G81)-2), TRUE,     G81)</f>
        <v>LAZR</v>
      </c>
      <c r="L81">
        <v>2.5</v>
      </c>
      <c r="M81">
        <v>0</v>
      </c>
      <c r="N81" t="str">
        <v>Nov 13, 2025</v>
      </c>
      <c r="O81">
        <v>0</v>
      </c>
    </row>
    <row r="82" spans="1:15" x14ac:dyDescent="0.3">
      <c r="A82" t="str">
        <f t="shared" si="3"/>
        <v>LUV</v>
      </c>
      <c r="B82">
        <f t="shared" si="4"/>
        <v>34.073680000000003</v>
      </c>
      <c r="C82" s="110">
        <f t="shared" si="2"/>
        <v>45903</v>
      </c>
      <c r="D82" s="21" t="str">
        <f t="shared" si="2"/>
        <v>Oct 22, 2025</v>
      </c>
      <c r="E82" s="21">
        <f t="shared" si="2"/>
        <v>2.3800000000000002E-2</v>
      </c>
      <c r="G82" t="s">
        <v>123</v>
      </c>
      <c r="H82" s="43" t="str" cm="1">
        <f t="array" ref="H82">_xlfn.IFS(OR(LEFT(G82,3)="SAF",LEFT(G82,3)="MVE"), RIGHT(G82,LEN(G82)-3),     LEFT(G82,2)="JB",  RIGHT(G82,LEN(G82)-2), TRUE,     G82)</f>
        <v>LUV</v>
      </c>
      <c r="L82">
        <v>34.073680000000003</v>
      </c>
      <c r="M82">
        <v>45903</v>
      </c>
      <c r="N82" t="str">
        <v>Oct 22, 2025</v>
      </c>
      <c r="O82">
        <v>2.3800000000000002E-2</v>
      </c>
    </row>
    <row r="83" spans="1:15" x14ac:dyDescent="0.3">
      <c r="A83" t="str">
        <f t="shared" si="3"/>
        <v>MA</v>
      </c>
      <c r="B83">
        <f t="shared" si="4"/>
        <v>655.20569999999998</v>
      </c>
      <c r="C83" s="110">
        <f t="shared" si="2"/>
        <v>45939</v>
      </c>
      <c r="D83" s="21" t="str">
        <f t="shared" si="2"/>
        <v>Jan 29, 2026</v>
      </c>
      <c r="E83" s="21">
        <f t="shared" si="2"/>
        <v>5.4999999999999997E-3</v>
      </c>
      <c r="G83" t="s">
        <v>124</v>
      </c>
      <c r="H83" s="43" t="str" cm="1">
        <f t="array" ref="H83">_xlfn.IFS(OR(LEFT(G83,3)="SAF",LEFT(G83,3)="MVE"), RIGHT(G83,LEN(G83)-3),     LEFT(G83,2)="JB",  RIGHT(G83,LEN(G83)-2), TRUE,     G83)</f>
        <v>MA</v>
      </c>
      <c r="L83">
        <v>655.20569999999998</v>
      </c>
      <c r="M83">
        <v>45939</v>
      </c>
      <c r="N83" t="str">
        <v>Jan 29, 2026</v>
      </c>
      <c r="O83">
        <v>5.4999999999999997E-3</v>
      </c>
    </row>
    <row r="84" spans="1:15" x14ac:dyDescent="0.3">
      <c r="A84" t="str">
        <f t="shared" si="3"/>
        <v>NVAX</v>
      </c>
      <c r="B84">
        <f t="shared" si="4"/>
        <v>12.612500000000001</v>
      </c>
      <c r="C84" s="110">
        <f t="shared" si="2"/>
        <v>0</v>
      </c>
      <c r="D84" s="21" t="str">
        <f t="shared" si="2"/>
        <v>Nov 10, 2025</v>
      </c>
      <c r="E84" s="21">
        <f t="shared" si="2"/>
        <v>0</v>
      </c>
      <c r="G84" t="s">
        <v>125</v>
      </c>
      <c r="H84" s="43" t="str" cm="1">
        <f t="array" ref="H84">_xlfn.IFS(OR(LEFT(G84,3)="SAF",LEFT(G84,3)="MVE"), RIGHT(G84,LEN(G84)-3),     LEFT(G84,2)="JB",  RIGHT(G84,LEN(G84)-2), TRUE,     G84)</f>
        <v>NVAX</v>
      </c>
      <c r="L84">
        <v>12.612500000000001</v>
      </c>
      <c r="M84">
        <v>0</v>
      </c>
      <c r="N84" t="str">
        <v>Nov 10, 2025</v>
      </c>
      <c r="O84">
        <v>0</v>
      </c>
    </row>
    <row r="85" spans="1:15" x14ac:dyDescent="0.3">
      <c r="A85" t="str">
        <f t="shared" si="3"/>
        <v>NVS</v>
      </c>
      <c r="B85">
        <f t="shared" si="4"/>
        <v>127.45399999999999</v>
      </c>
      <c r="C85" s="110">
        <f t="shared" si="2"/>
        <v>45728</v>
      </c>
      <c r="D85" s="21" t="str">
        <f t="shared" si="2"/>
        <v>Oct 28, 2025</v>
      </c>
      <c r="E85" s="21">
        <f t="shared" si="2"/>
        <v>3.2300000000000002E-2</v>
      </c>
      <c r="G85" t="s">
        <v>126</v>
      </c>
      <c r="H85" s="43" t="str" cm="1">
        <f t="array" ref="H85">_xlfn.IFS(OR(LEFT(G85,3)="SAF",LEFT(G85,3)="MVE"), RIGHT(G85,LEN(G85)-3),     LEFT(G85,2)="JB",  RIGHT(G85,LEN(G85)-2), TRUE,     G85)</f>
        <v>NVS</v>
      </c>
      <c r="L85">
        <v>127.45399999999999</v>
      </c>
      <c r="M85">
        <v>45728</v>
      </c>
      <c r="N85" t="str">
        <v>Oct 28, 2025</v>
      </c>
      <c r="O85">
        <v>3.2300000000000002E-2</v>
      </c>
    </row>
    <row r="86" spans="1:15" x14ac:dyDescent="0.3">
      <c r="A86" t="str">
        <f t="shared" si="3"/>
        <v>ORA</v>
      </c>
      <c r="B86">
        <f t="shared" si="4"/>
        <v>15.32222</v>
      </c>
      <c r="C86" s="110">
        <f t="shared" si="2"/>
        <v>45993</v>
      </c>
      <c r="D86" s="21">
        <f t="shared" si="2"/>
        <v>0</v>
      </c>
      <c r="E86" s="21">
        <f t="shared" si="2"/>
        <v>5.4199999999999998E-2</v>
      </c>
      <c r="G86" t="s">
        <v>167</v>
      </c>
      <c r="H86" s="43" t="str" cm="1">
        <f t="array" ref="H86">_xlfn.IFS(OR(LEFT(G86,3)="SAF",LEFT(G86,3)="MVE"), RIGHT(G86,LEN(G86)-3),     LEFT(G86,2)="JB",  RIGHT(G86,LEN(G86)-2), TRUE,     G86)</f>
        <v>ORA</v>
      </c>
      <c r="L86">
        <v>15.32222</v>
      </c>
      <c r="M86">
        <v>45993</v>
      </c>
      <c r="N86">
        <v>0</v>
      </c>
      <c r="O86">
        <v>5.4199999999999998E-2</v>
      </c>
    </row>
    <row r="87" spans="1:15" x14ac:dyDescent="0.3">
      <c r="A87" t="str">
        <f t="shared" si="3"/>
        <v>OXY</v>
      </c>
      <c r="B87">
        <f t="shared" si="4"/>
        <v>49.913040000000002</v>
      </c>
      <c r="C87" s="110">
        <f t="shared" si="2"/>
        <v>45910</v>
      </c>
      <c r="D87" s="21" t="str">
        <f t="shared" si="2"/>
        <v>Nov 10, 2025</v>
      </c>
      <c r="E87" s="21">
        <f t="shared" si="2"/>
        <v>2.3300000000000001E-2</v>
      </c>
      <c r="G87" t="s">
        <v>127</v>
      </c>
      <c r="H87" s="43" t="str" cm="1">
        <f t="array" ref="H87">_xlfn.IFS(OR(LEFT(G87,3)="SAF",LEFT(G87,3)="MVE"), RIGHT(G87,LEN(G87)-3),     LEFT(G87,2)="JB",  RIGHT(G87,LEN(G87)-2), TRUE,     G87)</f>
        <v>OXY</v>
      </c>
      <c r="L87">
        <v>49.913040000000002</v>
      </c>
      <c r="M87">
        <v>45910</v>
      </c>
      <c r="N87" t="str">
        <v>Nov 10, 2025</v>
      </c>
      <c r="O87">
        <v>2.3300000000000001E-2</v>
      </c>
    </row>
    <row r="88" spans="1:15" x14ac:dyDescent="0.3">
      <c r="A88" t="str">
        <f t="shared" si="3"/>
        <v>PFE</v>
      </c>
      <c r="B88">
        <f t="shared" si="4"/>
        <v>28.751899999999999</v>
      </c>
      <c r="C88" s="110">
        <f t="shared" si="2"/>
        <v>45968</v>
      </c>
      <c r="D88" s="21" t="str">
        <f t="shared" si="2"/>
        <v>Nov 4, 2025</v>
      </c>
      <c r="E88" s="21">
        <f t="shared" si="2"/>
        <v>6.9800000000000001E-2</v>
      </c>
      <c r="G88" t="s">
        <v>128</v>
      </c>
      <c r="H88" s="43" t="str" cm="1">
        <f t="array" ref="H88">_xlfn.IFS(OR(LEFT(G88,3)="SAF",LEFT(G88,3)="MVE"), RIGHT(G88,LEN(G88)-3),     LEFT(G88,2)="JB",  RIGHT(G88,LEN(G88)-2), TRUE,     G88)</f>
        <v>PFE</v>
      </c>
      <c r="L88">
        <v>28.751899999999999</v>
      </c>
      <c r="M88">
        <v>45968</v>
      </c>
      <c r="N88" t="str">
        <v>Nov 4, 2025</v>
      </c>
      <c r="O88">
        <v>6.9800000000000001E-2</v>
      </c>
    </row>
    <row r="89" spans="1:15" x14ac:dyDescent="0.3">
      <c r="A89" t="str">
        <f t="shared" si="3"/>
        <v>RIG</v>
      </c>
      <c r="B89">
        <f t="shared" si="4"/>
        <v>3.9538500000000001</v>
      </c>
      <c r="C89" s="110">
        <f t="shared" si="2"/>
        <v>42237</v>
      </c>
      <c r="D89" s="21" t="str">
        <f t="shared" si="2"/>
        <v>Oct 29, 2025</v>
      </c>
      <c r="E89" s="21">
        <f t="shared" si="2"/>
        <v>0</v>
      </c>
      <c r="G89" t="s">
        <v>129</v>
      </c>
      <c r="H89" s="43" t="str" cm="1">
        <f t="array" ref="H89">_xlfn.IFS(OR(LEFT(G89,3)="SAF",LEFT(G89,3)="MVE"), RIGHT(G89,LEN(G89)-3),     LEFT(G89,2)="JB",  RIGHT(G89,LEN(G89)-2), TRUE,     G89)</f>
        <v>RIG</v>
      </c>
      <c r="L89">
        <v>3.9538500000000001</v>
      </c>
      <c r="M89">
        <v>42237</v>
      </c>
      <c r="N89" t="str">
        <v>Oct 29, 2025</v>
      </c>
      <c r="O89">
        <v>0</v>
      </c>
    </row>
    <row r="90" spans="1:15" x14ac:dyDescent="0.3">
      <c r="A90" t="str">
        <f t="shared" si="3"/>
        <v>RRC</v>
      </c>
      <c r="B90">
        <f t="shared" si="4"/>
        <v>41.415419999999997</v>
      </c>
      <c r="C90" s="110">
        <f t="shared" si="2"/>
        <v>45912</v>
      </c>
      <c r="D90" s="21" t="str">
        <f t="shared" si="2"/>
        <v>Oct 28, 2025</v>
      </c>
      <c r="E90" s="21">
        <f t="shared" si="2"/>
        <v>1.01E-2</v>
      </c>
      <c r="G90" t="s">
        <v>130</v>
      </c>
      <c r="H90" s="43" t="str" cm="1">
        <f t="array" ref="H90">_xlfn.IFS(OR(LEFT(G90,3)="SAF",LEFT(G90,3)="MVE"), RIGHT(G90,LEN(G90)-3),     LEFT(G90,2)="JB",  RIGHT(G90,LEN(G90)-2), TRUE,     G90)</f>
        <v>RRC</v>
      </c>
      <c r="L90">
        <v>41.415419999999997</v>
      </c>
      <c r="M90">
        <v>45912</v>
      </c>
      <c r="N90" t="str">
        <v>Oct 28, 2025</v>
      </c>
      <c r="O90">
        <v>1.01E-2</v>
      </c>
    </row>
    <row r="91" spans="1:15" x14ac:dyDescent="0.3">
      <c r="A91" t="str">
        <f t="shared" si="3"/>
        <v>XYZ</v>
      </c>
      <c r="B91">
        <f t="shared" si="4"/>
        <v>88.505260000000007</v>
      </c>
      <c r="C91" s="110">
        <f t="shared" si="2"/>
        <v>0</v>
      </c>
      <c r="D91" s="21" t="str">
        <f t="shared" si="2"/>
        <v>Nov 6, 2025</v>
      </c>
      <c r="E91" s="21">
        <f t="shared" si="2"/>
        <v>0</v>
      </c>
      <c r="G91" t="s">
        <v>131</v>
      </c>
      <c r="H91" s="43" t="str" cm="1">
        <f t="array" ref="H91">_xlfn.IFS(OR(LEFT(G91,3)="SAF",LEFT(G91,3)="MVE"), RIGHT(G91,LEN(G91)-3),     LEFT(G91,2)="JB",  RIGHT(G91,LEN(G91)-2), TRUE,     G91)</f>
        <v>XYZ</v>
      </c>
      <c r="L91">
        <v>88.505260000000007</v>
      </c>
      <c r="M91">
        <v>0</v>
      </c>
      <c r="N91" t="str">
        <v>Nov 6, 2025</v>
      </c>
      <c r="O91">
        <v>0</v>
      </c>
    </row>
    <row r="92" spans="1:15" x14ac:dyDescent="0.3">
      <c r="A92" t="str">
        <f t="shared" si="3"/>
        <v>THC</v>
      </c>
      <c r="B92">
        <f t="shared" si="4"/>
        <v>229.61904999999999</v>
      </c>
      <c r="C92" s="110">
        <f t="shared" si="4"/>
        <v>36598</v>
      </c>
      <c r="D92" s="21" t="str">
        <f t="shared" si="4"/>
        <v>Oct 28, 2025</v>
      </c>
      <c r="E92" s="21">
        <f t="shared" si="4"/>
        <v>0</v>
      </c>
      <c r="G92" t="s">
        <v>132</v>
      </c>
      <c r="H92" s="43" t="str" cm="1">
        <f t="array" ref="H92">_xlfn.IFS(OR(LEFT(G92,3)="SAF",LEFT(G92,3)="MVE"), RIGHT(G92,LEN(G92)-3),     LEFT(G92,2)="JB",  RIGHT(G92,LEN(G92)-2), TRUE,     G92)</f>
        <v>THC</v>
      </c>
      <c r="L92">
        <v>229.61904999999999</v>
      </c>
      <c r="M92">
        <v>36598</v>
      </c>
      <c r="N92" t="str">
        <v>Oct 28, 2025</v>
      </c>
      <c r="O92">
        <v>0</v>
      </c>
    </row>
    <row r="93" spans="1:15" x14ac:dyDescent="0.3">
      <c r="A93" t="str">
        <f t="shared" si="3"/>
        <v>X</v>
      </c>
      <c r="B93">
        <f t="shared" si="4"/>
        <v>0</v>
      </c>
      <c r="C93" s="110">
        <f t="shared" si="4"/>
        <v>0</v>
      </c>
      <c r="D93" s="21">
        <f t="shared" si="4"/>
        <v>0</v>
      </c>
      <c r="E93" s="21">
        <f t="shared" si="4"/>
        <v>0</v>
      </c>
      <c r="G93" t="s">
        <v>133</v>
      </c>
      <c r="H93" s="43" t="str" cm="1">
        <f t="array" ref="H93">_xlfn.IFS(OR(LEFT(G93,3)="SAF",LEFT(G93,3)="MVE"), RIGHT(G93,LEN(G93)-3),     LEFT(G93,2)="JB",  RIGHT(G93,LEN(G93)-2), TRUE,     G93)</f>
        <v>X</v>
      </c>
      <c r="L93">
        <v>0</v>
      </c>
      <c r="M93">
        <v>0</v>
      </c>
      <c r="N93">
        <v>0</v>
      </c>
      <c r="O93">
        <v>0</v>
      </c>
    </row>
    <row r="94" spans="1:15" x14ac:dyDescent="0.3">
      <c r="A94" t="str">
        <f t="shared" si="3"/>
        <v>LOCK</v>
      </c>
      <c r="B94">
        <f t="shared" si="4"/>
        <v>0</v>
      </c>
      <c r="C94" s="110">
        <f t="shared" si="4"/>
        <v>0</v>
      </c>
      <c r="D94" s="21">
        <f t="shared" si="4"/>
        <v>0</v>
      </c>
      <c r="E94" s="21">
        <f t="shared" si="4"/>
        <v>0</v>
      </c>
      <c r="G94" t="s">
        <v>168</v>
      </c>
      <c r="H94" s="43" t="str" cm="1">
        <f t="array" ref="H94">_xlfn.IFS(OR(LEFT(G94,3)="SAF",LEFT(G94,3)="MVE"), RIGHT(G94,LEN(G94)-3),     LEFT(G94,2)="JB",  RIGHT(G94,LEN(G94)-2), TRUE,     G94)</f>
        <v>LOCK</v>
      </c>
      <c r="L94">
        <v>0</v>
      </c>
      <c r="M94">
        <v>0</v>
      </c>
      <c r="N94">
        <v>0</v>
      </c>
      <c r="O94">
        <v>0</v>
      </c>
    </row>
    <row r="95" spans="1:15" x14ac:dyDescent="0.3">
      <c r="A95" t="str">
        <f t="shared" si="3"/>
        <v>JBASML</v>
      </c>
      <c r="B95">
        <f t="shared" si="4"/>
        <v>941.90326000000005</v>
      </c>
      <c r="C95" s="110">
        <f t="shared" si="4"/>
        <v>45958</v>
      </c>
      <c r="D95" s="21">
        <f t="shared" si="4"/>
        <v>0</v>
      </c>
      <c r="E95" s="21">
        <f t="shared" si="4"/>
        <v>6.9999998000000001E-3</v>
      </c>
      <c r="G95" t="s">
        <v>169</v>
      </c>
      <c r="H95" s="43" t="str" cm="1">
        <f t="array" ref="H95">_xlfn.IFS(OR(LEFT(G95,3)="SAF",LEFT(G95,3)="MVE"), RIGHT(G95,LEN(G95)-3),     LEFT(G95,2)="JB",  RIGHT(G95,LEN(G95)-2), TRUE,     G95)</f>
        <v>ASML</v>
      </c>
      <c r="L95">
        <v>941.90326000000005</v>
      </c>
      <c r="M95">
        <v>45958</v>
      </c>
      <c r="N95">
        <v>0</v>
      </c>
      <c r="O95">
        <v>6.9999998000000001E-3</v>
      </c>
    </row>
    <row r="96" spans="1:15" x14ac:dyDescent="0.3">
      <c r="A96" t="str">
        <f t="shared" si="3"/>
        <v>JBEOAN</v>
      </c>
      <c r="B96">
        <f t="shared" si="4"/>
        <v>16.919589999999999</v>
      </c>
      <c r="C96" s="110">
        <f t="shared" si="4"/>
        <v>45793</v>
      </c>
      <c r="D96" s="21">
        <f t="shared" si="4"/>
        <v>0</v>
      </c>
      <c r="E96" s="21">
        <f t="shared" si="4"/>
        <v>3.4099999999999998E-2</v>
      </c>
      <c r="G96" t="s">
        <v>170</v>
      </c>
      <c r="H96" s="43" t="str" cm="1">
        <f t="array" ref="H96">_xlfn.IFS(OR(LEFT(G96,3)="SAF",LEFT(G96,3)="MVE"), RIGHT(G96,LEN(G96)-3),     LEFT(G96,2)="JB",  RIGHT(G96,LEN(G96)-2), TRUE,     G96)</f>
        <v>EOAN</v>
      </c>
      <c r="L96">
        <v>16.919589999999999</v>
      </c>
      <c r="M96">
        <v>45793</v>
      </c>
      <c r="N96">
        <v>0</v>
      </c>
      <c r="O96">
        <v>3.4099999999999998E-2</v>
      </c>
    </row>
    <row r="97" spans="2:5" x14ac:dyDescent="0.3">
      <c r="B97" t="str">
        <f>IFERROR(VALUE(_xlfn.XLOOKUP($H97,$A$2:$A$74,[2]YData!B$2:B$74)),"")</f>
        <v/>
      </c>
      <c r="C97" t="str">
        <f>IFERROR(VALUE(_xlfn.XLOOKUP($H97,$A$2:$A$74,[2]YData!C$2:C$74)),"")</f>
        <v/>
      </c>
      <c r="D97" t="str">
        <f>IFERROR(VALUE(_xlfn.XLOOKUP($H97,$A$2:$A$74,[2]YData!D$2:D$74)),"")</f>
        <v/>
      </c>
      <c r="E97" s="21" t="str">
        <f>IFERROR(VALUE(_xlfn.XLOOKUP($H97,$A$2:$A$74,[2]YData!E$2:E$74)),"")</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ExtEntry</vt:lpstr>
      <vt:lpstr>TickerList</vt:lpstr>
      <vt:lpstr>Dataload</vt:lpstr>
      <vt:lpstr>StripName</vt:lpstr>
      <vt:lpstr>StripTick</vt:lpstr>
      <vt:lpstr>T_List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Kosta Yanev</dc:creator>
  <cp:keywords/>
  <dc:description/>
  <cp:lastModifiedBy>Kosta Yanev</cp:lastModifiedBy>
  <dcterms:created xsi:type="dcterms:W3CDTF">2024-12-14T19:28:09Z</dcterms:created>
  <dcterms:modified xsi:type="dcterms:W3CDTF">2025-11-06T00:23:28Z</dcterms:modified>
  <cp:category/>
</cp:coreProperties>
</file>