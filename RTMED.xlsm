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4B8172A3-1133-D64D-A672-4BC73AEC87C1}" xr6:coauthVersionLast="47" xr6:coauthVersionMax="47" xr10:uidLastSave="{00000000-0000-0000-0000-000000000000}"/>
  <bookViews>
    <workbookView xWindow="280" yWindow="80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<sst xmlns="http://schemas.openxmlformats.org/spreadsheetml/2006/main" count="183" uniqueCount="75">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</sst>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45985</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45985</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201.43</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260.10000000000002</v>
    <v>169.21010000000001</v>
    <v>1.0864</v>
    <v>-1.89</v>
    <v>-7.5799999999999999E-3</v>
    <v>-0.35</v>
    <v>-1.4139999999999999E-3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249.04</v>
    <v>Computers, Phones &amp; Household Electronics</v>
    <v>Stock</v>
    <v>45946.869938645315</v>
    <v>0</v>
    <v>245.13</v>
    <v>3672254505500</v>
    <v>APPLE INC.</v>
    <v>APPLE INC.</v>
    <v>248.25</v>
    <v>34.129600000000003</v>
    <v>249.34</v>
    <v>247.45</v>
    <v>247.1</v>
    <v>14840390000</v>
    <v>AAPL</v>
    <v>APPLE INC. (XNAS:AAPL)</v>
    <v>39642645</v>
    <v>52612446</v>
    <v>1977</v>
  </rv>
  <rv s="2">
    <v>1</v>
  </rv>
  <rv s="0">
    <v>https://www.bing.com/financeapi/forcetrigger?t=a269vh&amp;q=XNAS%3aXPER&amp;form=skydnc</v>
    <v>Learn more on Bing</v>
  </rv>
  <rv s="1">
    <v>0</v>
    <v>ADEIA INC. (XNAS:ADEA)</v>
    <v>2</v>
    <v>3</v>
    <v>Finance</v>
    <v>5</v>
    <v>en-US</v>
    <v>a269vh</v>
    <v>268435456</v>
    <v>1</v>
    <v>Powered by Refinitiv</v>
    <v>18.25</v>
    <v>10.59</v>
    <v>2.5731999999999999</v>
    <v>-0.66</v>
    <v>-3.8217000000000001E-2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17.364999999999998</v>
    <v>Software &amp; IT Services</v>
    <v>Stock</v>
    <v>45946.840333517968</v>
    <v>3</v>
    <v>16.559999999999999</v>
    <v>1816612446</v>
    <v>ADEIA INC.</v>
    <v>ADEIA INC.</v>
    <v>17.309999999999999</v>
    <v>23.2913</v>
    <v>17.27</v>
    <v>16.61</v>
    <v>16.61</v>
    <v>109368600</v>
    <v>ADEA</v>
    <v>ADEIA INC. (XNAS:ADEA)</v>
    <v>449614</v>
    <v>594255</v>
    <v>2019</v>
  </rv>
  <rv s="2">
    <v>4</v>
  </rv>
  <rv s="0">
    <v>https://www.bing.com/financeapi/forcetrigger?t=aodfgh&amp;q=XLON%3aAET&amp;form=skydnc</v>
    <v>Learn more on Bing</v>
  </rv>
  <rv s="3">
    <v>6</v>
    <v>AFENTRA PLC (XLON:AET)</v>
    <v>2</v>
    <v>7</v>
    <v>Finance</v>
    <v>8</v>
    <v>en-US</v>
    <v>aodfgh</v>
    <v>268435456</v>
    <v>1</v>
    <v>Powered by Refinitiv</v>
    <v>56.2</v>
    <v>33.064999999999998</v>
    <v>1.1556999999999999</v>
    <v>-1.1000000000000001</v>
    <v>-2.6127999999999998E-2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42.2</v>
    <v>Oil &amp; Gas</v>
    <v>Stock</v>
    <v>45946.670939733594</v>
    <v>6</v>
    <v>41</v>
    <v>94606920</v>
    <v>AFENTRA PLC</v>
    <v>AFENTRA PLC</v>
    <v>42.2</v>
    <v>3.5590000000000002</v>
    <v>42.1</v>
    <v>41</v>
    <v>226156000</v>
    <v>AET</v>
    <v>AFENTRA PLC (XLON:AET)</v>
    <v>910393</v>
    <v>798100</v>
    <v>1983</v>
  </rv>
  <rv s="2">
    <v>7</v>
  </rv>
  <rv s="0">
    <v>https://www.bing.com/financeapi/forcetrigger?t=a1nhlh&amp;q=XNAS%3aAMZN&amp;form=skydnc</v>
    <v>Learn more on Bing</v>
  </rv>
  <rv s="1">
    <v>0</v>
    <v>AMAZON.COM, INC. (XNAS:AMZN)</v>
    <v>2</v>
    <v>3</v>
    <v>Finance</v>
    <v>4</v>
    <v>en-US</v>
    <v>a1nhlh</v>
    <v>268435456</v>
    <v>1</v>
    <v>Powered by Refinitiv</v>
    <v>242.52</v>
    <v>161.38</v>
    <v>1.2847</v>
    <v>-1.1000000000000001</v>
    <v>-5.1029999999999999E-3</v>
    <v>-0.16</v>
    <v>-7.4600000000000003E-4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218.59</v>
    <v>Diversified Retail</v>
    <v>Stock</v>
    <v>45946.870295925779</v>
    <v>9</v>
    <v>212.81010000000001</v>
    <v>2287303247700</v>
    <v>AMAZON.COM, INC.</v>
    <v>AMAZON.COM, INC.</v>
    <v>215.67</v>
    <v>32.727499999999999</v>
    <v>215.57</v>
    <v>214.47</v>
    <v>214.31</v>
    <v>10664910000</v>
    <v>AMZN</v>
    <v>AMAZON.COM, INC. (XNAS:AMZN)</v>
    <v>42177812</v>
    <v>47103929</v>
    <v>1996</v>
  </rv>
  <rv s="2">
    <v>10</v>
  </rv>
  <rv s="0">
    <v>https://www.bing.com/financeapi/forcetrigger?t=b125ww&amp;q=XPAR%3aALDNE&amp;form=skydnc</v>
    <v>Learn more on Bing</v>
  </rv>
  <rv s="3">
    <v>6</v>
    <v>Dont Nod Entertainment SA (XPAR:ALDNE)</v>
    <v>2</v>
    <v>9</v>
    <v>Finance</v>
    <v>10</v>
    <v>en-US</v>
    <v>b125ww</v>
    <v>268435456</v>
    <v>1</v>
    <v>Powered by Refinitiv</v>
    <v>1.53</v>
    <v>0.65</v>
    <v>1.0415000000000001</v>
    <v>-8.0000000000000002E-3</v>
    <v>-9.5469999999999999E-3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0.83399999999999996</v>
    <v>Software &amp; IT Services</v>
    <v>Stock</v>
    <v>45946.666666666664</v>
    <v>12</v>
    <v>0.81</v>
    <v>10962510</v>
    <v>Dont Nod Entertainment SA</v>
    <v>Dont Nod Entertainment SA</v>
    <v>0.82</v>
    <v>0</v>
    <v>0.83799999999999997</v>
    <v>0.83</v>
    <v>13081760</v>
    <v>ALDNE</v>
    <v>Dont Nod Entertainment SA (XPAR:ALDNE)</v>
    <v>1032</v>
    <v>2690</v>
    <v>2008</v>
  </rv>
  <rv s="2">
    <v>13</v>
  </rv>
  <rv s="0">
    <v>https://www.bing.com/financeapi/forcetrigger?t=alnz5r&amp;q=XAMS%3aASML&amp;form=skydnc</v>
    <v>Learn more on Bing</v>
  </rv>
  <rv s="3">
    <v>6</v>
    <v>ASML Holding NV (XAMS:ASML)</v>
    <v>2</v>
    <v>9</v>
    <v>Finance</v>
    <v>10</v>
    <v>en-US</v>
    <v>alnz5r</v>
    <v>268435456</v>
    <v>1</v>
    <v>Powered by Refinitiv</v>
    <v>905.1</v>
    <v>508.4</v>
    <v>1.9593</v>
    <v>4.4000000000000004</v>
    <v>5.0400000000000002E-3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900.5</v>
    <v>Semiconductors &amp; Semiconductor Equipment</v>
    <v>Stock</v>
    <v>45946.666666666664</v>
    <v>15</v>
    <v>874</v>
    <v>338852900000</v>
    <v>ASML Holding NV</v>
    <v>ASML Holding NV</v>
    <v>883.7</v>
    <v>33.689</v>
    <v>873</v>
    <v>877.4</v>
    <v>388147700</v>
    <v>ASML</v>
    <v>ASML Holding NV (XAMS:ASML)</v>
    <v>703225</v>
    <v>804760</v>
    <v>1994</v>
  </rv>
  <rv s="2">
    <v>16</v>
  </rv>
  <rv s="0">
    <v>https://www.bing.com/financeapi/forcetrigger?t=a1nz8m&amp;q=XNAS%3aAVGO&amp;form=skydnc</v>
    <v>Learn more on Bing</v>
  </rv>
  <rv s="1">
    <v>0</v>
    <v>BROADCOM INC. (XNAS:AVGO)</v>
    <v>2</v>
    <v>3</v>
    <v>Finance</v>
    <v>4</v>
    <v>en-US</v>
    <v>a1nz8m</v>
    <v>268435456</v>
    <v>1</v>
    <v>Powered by Refinitiv</v>
    <v>374.23</v>
    <v>138.1</v>
    <v>1.1911</v>
    <v>2.82</v>
    <v>8.0269999999999994E-3</v>
    <v>-1.1499999999999999</v>
    <v>-3.2469999999999999E-3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363.24</v>
    <v>Semiconductors &amp; Semiconductor Equipment</v>
    <v>Stock</v>
    <v>45946.870161214843</v>
    <v>18</v>
    <v>349.48500000000001</v>
    <v>1672425564750</v>
    <v>BROADCOM INC.</v>
    <v>BROADCOM INC.</v>
    <v>356.8</v>
    <v>90.784400000000005</v>
    <v>351.33</v>
    <v>354.15</v>
    <v>353</v>
    <v>4722365000</v>
    <v>AVGO</v>
    <v>BROADCOM INC. (XNAS:AVGO)</v>
    <v>19950114</v>
    <v>24673440</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0.33</v>
    <v>-1</v>
    <v>-1.1788E-2</v>
    <v>0.27</v>
    <v>3.2209999999999999E-3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84.415000000000006</v>
    <v>Pharmaceuticals</v>
    <v>Stock</v>
    <v>45946.867140034374</v>
    <v>22</v>
    <v>83.094999999999999</v>
    <v>261086500000</v>
    <v>ASTRAZENECA PLC</v>
    <v>ASTRAZENECA PLC</v>
    <v>83.52</v>
    <v>31.561299999999999</v>
    <v>84.83</v>
    <v>83.83</v>
    <v>84.1</v>
    <v>3101404000</v>
    <v>AZN</v>
    <v>ASTRAZENECA PLC (XNAS:AZN)</v>
    <v>4325770</v>
    <v>5870377</v>
    <v>1992</v>
  </rv>
  <rv s="2">
    <v>23</v>
  </rv>
  <rv s="0">
    <v>https://www.bing.com/financeapi/forcetrigger?t=a1oldm&amp;q=XNAS%3aBLDP&amp;form=skydnc</v>
    <v>Learn more on Bing</v>
  </rv>
  <rv s="1">
    <v>0</v>
    <v>BALLARD POWER SYSTEMS INC. (XNAS:BLDP)</v>
    <v>2</v>
    <v>11</v>
    <v>Finance</v>
    <v>4</v>
    <v>en-US</v>
    <v>a1oldm</v>
    <v>268435456</v>
    <v>1</v>
    <v>Powered by Refinitiv</v>
    <v>4.0999999999999996</v>
    <v>1</v>
    <v>1.9767999999999999</v>
    <v>-0.09</v>
    <v>-2.3936000000000002E-2</v>
    <v>0.09</v>
    <v>2.4523000000000003E-2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4.03</v>
    <v>Renewable Energy</v>
    <v>Stock</v>
    <v>45946.865039525001</v>
    <v>25</v>
    <v>3.66</v>
    <v>1587050000</v>
    <v>BALLARD POWER SYSTEMS INC.</v>
    <v>BALLARD POWER SYSTEMS INC.</v>
    <v>3.86</v>
    <v>0</v>
    <v>3.76</v>
    <v>3.67</v>
    <v>3.76</v>
    <v>300577700</v>
    <v>BLDP</v>
    <v>BALLARD POWER SYSTEMS INC. (XNAS:BLDP)</v>
    <v>7238360</v>
    <v>9789584</v>
    <v>2016</v>
  </rv>
  <rv s="2">
    <v>26</v>
  </rv>
  <rv s="0">
    <v>https://www.bing.com/financeapi/forcetrigger?t=a1oo5r&amp;q=XNAS%3aBMRA&amp;form=skydnc</v>
    <v>Learn more on Bing</v>
  </rv>
  <rv s="1">
    <v>0</v>
    <v>BIOMERICA, INC. (XNAS:BMRA)</v>
    <v>2</v>
    <v>3</v>
    <v>Finance</v>
    <v>4</v>
    <v>en-US</v>
    <v>a1oo5r</v>
    <v>268435456</v>
    <v>1</v>
    <v>Powered by Refinitiv</v>
    <v>10.16</v>
    <v>2.08</v>
    <v>0.27229999999999999</v>
    <v>0.15</v>
    <v>5.2447999999999995E-2</v>
    <v>-0.17</v>
    <v>-5.6478E-2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3.09</v>
    <v>Healthcare Equipment &amp; Supplies</v>
    <v>Stock</v>
    <v>45946.869848714843</v>
    <v>28</v>
    <v>2.62</v>
    <v>8207910</v>
    <v>BIOMERICA, INC.</v>
    <v>BIOMERICA, INC.</v>
    <v>2.6850000000000001</v>
    <v>0</v>
    <v>2.86</v>
    <v>3.01</v>
    <v>2.84</v>
    <v>2869900</v>
    <v>BMRA</v>
    <v>BIOMERICA, INC. (XNAS:BMRA)</v>
    <v>4092224</v>
    <v>33029</v>
    <v>1971</v>
  </rv>
  <rv s="2">
    <v>29</v>
  </rv>
  <rv s="0">
    <v>https://www.bing.com/financeapi/forcetrigger?t=a1p3ww&amp;q=XNYS%3aC&amp;form=skydnc</v>
    <v>Learn more on Bing</v>
  </rv>
  <rv s="1">
    <v>0</v>
    <v>CITIGROUP INC. (XNYS:C)</v>
    <v>2</v>
    <v>3</v>
    <v>Finance</v>
    <v>4</v>
    <v>en-US</v>
    <v>a1p3ww</v>
    <v>268435456</v>
    <v>1</v>
    <v>Powered by Refinitiv</v>
    <v>105.59</v>
    <v>55.51</v>
    <v>1.3584000000000001</v>
    <v>-3.5</v>
    <v>-3.5076999999999997E-2</v>
    <v>-0.14680000000000001</v>
    <v>-1.5249999999999999E-3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100.7</v>
    <v>Investment Banking &amp; Investment Services</v>
    <v>Stock</v>
    <v>45946.868534803129</v>
    <v>31</v>
    <v>95.234999999999999</v>
    <v>172273804000</v>
    <v>CITIGROUP INC.</v>
    <v>CITIGROUP INC.</v>
    <v>100.21</v>
    <v>14.0266</v>
    <v>99.78</v>
    <v>96.28</v>
    <v>96.113200000000006</v>
    <v>1789300000</v>
    <v>C</v>
    <v>CITIGROUP INC. (XNYS:C)</v>
    <v>20069187</v>
    <v>14164705</v>
    <v>1988</v>
  </rv>
  <rv s="2">
    <v>32</v>
  </rv>
  <rv s="0">
    <v>https://www.bing.com/financeapi/forcetrigger?t=a1qe5r&amp;q=XNAS%3aCSCO&amp;form=skydnc</v>
    <v>Learn more on Bing</v>
  </rv>
  <rv s="1">
    <v>0</v>
    <v>CISCO SYSTEMS, INC. (XNAS:CSCO)</v>
    <v>2</v>
    <v>3</v>
    <v>Finance</v>
    <v>4</v>
    <v>en-US</v>
    <v>a1qe5r</v>
    <v>268435456</v>
    <v>1</v>
    <v>Powered by Refinitiv</v>
    <v>72.55</v>
    <v>52.11</v>
    <v>0.94350000000000001</v>
    <v>-0.43</v>
    <v>-6.1850000000000004E-3</v>
    <v>-0.19</v>
    <v>-2.7500000000000003E-3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70.069999999999993</v>
    <v>Communications &amp; Networking</v>
    <v>Stock</v>
    <v>45946.869587835157</v>
    <v>34</v>
    <v>68.569999999999993</v>
    <v>273126380730</v>
    <v>CISCO SYSTEMS, INC.</v>
    <v>CISCO SYSTEMS, INC.</v>
    <v>69.78</v>
    <v>29.3889</v>
    <v>69.52</v>
    <v>69.09</v>
    <v>68.900000000000006</v>
    <v>3953197000</v>
    <v>CSCO</v>
    <v>CISCO SYSTEMS, INC. (XNAS:CSCO)</v>
    <v>13935516</v>
    <v>19697116</v>
    <v>2021</v>
  </rv>
  <rv s="2">
    <v>35</v>
  </rv>
  <rv s="0">
    <v>https://www.bing.com/financeapi/forcetrigger?t=a1qlnm&amp;q=XNYS%3aCVS&amp;form=skydnc</v>
    <v>Learn more on Bing</v>
  </rv>
  <rv s="1">
    <v>0</v>
    <v>CVS HEALTH CORPORATION (XNYS:CVS)</v>
    <v>2</v>
    <v>3</v>
    <v>Finance</v>
    <v>4</v>
    <v>en-US</v>
    <v>a1qlnm</v>
    <v>268435456</v>
    <v>1</v>
    <v>Powered by Refinitiv</v>
    <v>81.93</v>
    <v>43.56</v>
    <v>0.59289999999999998</v>
    <v>0.73</v>
    <v>9.0489999999999998E-3</v>
    <v>0.13</v>
    <v>1.598E-3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81.905000000000001</v>
    <v>Healthcare Providers &amp; Services</v>
    <v>Stock</v>
    <v>45946.870001238283</v>
    <v>37</v>
    <v>80.632400000000004</v>
    <v>102315900000</v>
    <v>CVS HEALTH CORPORATION</v>
    <v>CVS HEALTH CORPORATION</v>
    <v>80.73</v>
    <v>22.717099999999999</v>
    <v>80.67</v>
    <v>81.400000000000006</v>
    <v>81.5</v>
    <v>1268326000</v>
    <v>CVS</v>
    <v>CVS HEALTH CORPORATION (XNYS:CVS)</v>
    <v>6750448</v>
    <v>7405154</v>
    <v>1996</v>
  </rv>
  <rv s="2">
    <v>38</v>
  </rv>
  <rv s="0">
    <v>https://www.bing.com/financeapi/forcetrigger?t=a1qu2w&amp;q=XNYS%3aDDD&amp;form=skydnc</v>
    <v>Learn more on Bing</v>
  </rv>
  <rv s="5">
    <v>12</v>
    <v>3D SYSTEMS CORPORATION (XNYS:DDD)</v>
    <v>2</v>
    <v>13</v>
    <v>Finance</v>
    <v>5</v>
    <v>en-US</v>
    <v>a1qu2w</v>
    <v>268435456</v>
    <v>1</v>
    <v>Powered by Refinitiv</v>
    <v>4.9991000000000003</v>
    <v>1.32</v>
    <v>2.1697000000000002</v>
    <v>-0.01</v>
    <v>-3.058E-3</v>
    <v>0.01</v>
    <v>3.0669999999999998E-3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3.5497000000000001</v>
    <v>Electronic Equipment &amp; Parts</v>
    <v>Stock</v>
    <v>45946.855090300778</v>
    <v>40</v>
    <v>3.23</v>
    <v>418103476</v>
    <v>3D SYSTEMS CORPORATION</v>
    <v>3D SYSTEMS CORPORATION</v>
    <v>3.31</v>
    <v>3.27</v>
    <v>3.26</v>
    <v>3.27</v>
    <v>128252600</v>
    <v>DDD</v>
    <v>3D SYSTEMS CORPORATION (XNYS:DDD)</v>
    <v>4907524</v>
    <v>4484637</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1.5543</v>
    <v>-1.8149999999999999</v>
    <v>-1.6247000000000001E-2</v>
    <v>0.12</v>
    <v>1.0920000000000001E-3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112.08499999999999</v>
    <v>46</v>
    <v>Media &amp; Publishing</v>
    <v>Stock</v>
    <v>45946.870246863284</v>
    <v>47</v>
    <v>108.51</v>
    <v>197583956930</v>
    <v>THE WALT DISNEY COMPANY</v>
    <v>THE WALT DISNEY COMPANY</v>
    <v>111.79</v>
    <v>17.229199999999999</v>
    <v>111.71</v>
    <v>109.895</v>
    <v>110</v>
    <v>1797934000</v>
    <v>DIS</v>
    <v>THE WALT DISNEY COMPANY (XNYS:DIS)</v>
    <v>7497798</v>
    <v>8856647</v>
    <v>2018</v>
  </rv>
  <rv s="2">
    <v>48</v>
  </rv>
  <rv s="0">
    <v>https://www.bing.com/financeapi/forcetrigger?t=ae8e9c&amp;q=XPAR%3aDSY&amp;form=skydnc</v>
    <v>Learn more on Bing</v>
  </rv>
  <rv s="3">
    <v>6</v>
    <v>Dassault Systemes SE (XPAR:DSY)</v>
    <v>2</v>
    <v>9</v>
    <v>Finance</v>
    <v>10</v>
    <v>en-US</v>
    <v>ae8e9c</v>
    <v>268435456</v>
    <v>1</v>
    <v>Powered by Refinitiv</v>
    <v>41.17</v>
    <v>26.25</v>
    <v>0.67320000000000002</v>
    <v>0.5</v>
    <v>1.7313000000000002E-2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29.44</v>
    <v>Software &amp; IT Services</v>
    <v>Stock</v>
    <v>45946.666666666664</v>
    <v>50</v>
    <v>28.72</v>
    <v>38741250000</v>
    <v>Dassault Systemes SE</v>
    <v>Dassault Systemes SE</v>
    <v>28.83</v>
    <v>33.758499999999998</v>
    <v>28.88</v>
    <v>29.38</v>
    <v>1341456000</v>
    <v>DSY</v>
    <v>Dassault Systemes SE (XPAR:DSY)</v>
    <v>1427587</v>
    <v>1461880</v>
    <v>1981</v>
  </rv>
  <rv s="2">
    <v>51</v>
  </rv>
  <rv s="0">
    <v>https://www.bing.com/financeapi/forcetrigger?t=a1rec7&amp;q=XNYS%3aDVA&amp;form=skydnc</v>
    <v>Learn more on Bing</v>
  </rv>
  <rv s="1">
    <v>0</v>
    <v>DAVITA INC. (XNYS:DVA)</v>
    <v>2</v>
    <v>3</v>
    <v>Finance</v>
    <v>5</v>
    <v>en-US</v>
    <v>a1rec7</v>
    <v>268435456</v>
    <v>1</v>
    <v>Powered by Refinitiv</v>
    <v>179.6</v>
    <v>122.925</v>
    <v>1.1437999999999999</v>
    <v>-0.75</v>
    <v>-5.9519999999999998E-3</v>
    <v>2.4500000000000002</v>
    <v>1.9560999999999999E-2</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126.94</v>
    <v>Healthcare Providers &amp; Services</v>
    <v>Stock</v>
    <v>45946.846515497658</v>
    <v>53</v>
    <v>124.76</v>
    <v>8955375000</v>
    <v>DAVITA INC.</v>
    <v>DAVITA INC.</v>
    <v>126</v>
    <v>12.307</v>
    <v>126</v>
    <v>125.25</v>
    <v>127.7</v>
    <v>71500000</v>
    <v>DVA</v>
    <v>DAVITA INC. (XNYS:DVA)</v>
    <v>542155</v>
    <v>782434</v>
    <v>1994</v>
  </rv>
  <rv s="2">
    <v>54</v>
  </rv>
  <rv s="0">
    <v>https://www.bing.com/financeapi/forcetrigger?t=a1rgur&amp;q=XNYS%3aDXC&amp;form=skydnc</v>
    <v>Learn more on Bing</v>
  </rv>
  <rv s="1">
    <v>0</v>
    <v>DXC TECHNOLOGY COMPANY (XNYS:DXC)</v>
    <v>2</v>
    <v>3</v>
    <v>Finance</v>
    <v>4</v>
    <v>en-US</v>
    <v>a1rgur</v>
    <v>268435456</v>
    <v>1</v>
    <v>Powered by Refinitiv</v>
    <v>24.83</v>
    <v>12.24</v>
    <v>1.1546000000000001</v>
    <v>-0.27500000000000002</v>
    <v>-2.0992E-2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13.12</v>
    <v>Software &amp; IT Services</v>
    <v>Stock</v>
    <v>45946.867166457814</v>
    <v>56</v>
    <v>12.63</v>
    <v>2295658327</v>
    <v>DXC TECHNOLOGY COMPANY</v>
    <v>DXC TECHNOLOGY COMPANY</v>
    <v>13.07</v>
    <v>6.2622</v>
    <v>13.1</v>
    <v>12.824999999999999</v>
    <v>12.82</v>
    <v>178998700</v>
    <v>DXC</v>
    <v>DXC TECHNOLOGY COMPANY (XNYS:DXC)</v>
    <v>2149826</v>
    <v>1861245</v>
    <v>2017</v>
  </rv>
  <rv s="2">
    <v>57</v>
  </rv>
  <rv s="0">
    <v>https://www.bing.com/financeapi/forcetrigger?t=af9doc&amp;q=XFRA%3aEOAN&amp;form=skydnc</v>
    <v>Learn more on Bing</v>
  </rv>
  <rv s="3">
    <v>6</v>
    <v>E.ON SE (XFRA:EOAN)</v>
    <v>2</v>
    <v>9</v>
    <v>Finance</v>
    <v>10</v>
    <v>en-US</v>
    <v>af9doc</v>
    <v>268435456</v>
    <v>1</v>
    <v>Powered by Refinitiv</v>
    <v>16.515000000000001</v>
    <v>7.3</v>
    <v>0.72060000000000002</v>
    <v>0.05</v>
    <v>3.0859999999999998E-3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16.305</v>
    <v>Multiline Utilities</v>
    <v>Stock</v>
    <v>45946.836805555555</v>
    <v>59</v>
    <v>16.13</v>
    <v>43000670000</v>
    <v>E.ON SE</v>
    <v>E.ON SE</v>
    <v>16.239999999999998</v>
    <v>13.4298</v>
    <v>16.2</v>
    <v>16.25</v>
    <v>2641319000</v>
    <v>EOAN</v>
    <v>E.ON SE (XFRA:EOAN)</v>
    <v>7915</v>
    <v>3019760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62.14</v>
    <v>41.6</v>
    <v>1.4107000000000001</v>
    <v>-0.46</v>
    <v>-7.9579999999999998E-3</v>
    <v>-0.34</v>
    <v>-5.9299999999999995E-3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58.4</v>
    <v>Automobiles &amp; Auto Parts</v>
    <v>Stock</v>
    <v>45946.865264606247</v>
    <v>65</v>
    <v>56.81</v>
    <v>54592141052</v>
    <v>GENERAL MOTORS COMPANY</v>
    <v>GENERAL MOTORS COMPANY</v>
    <v>57.884999999999998</v>
    <v>8.2651000000000003</v>
    <v>57.8</v>
    <v>57.34</v>
    <v>57</v>
    <v>952077800</v>
    <v>GM</v>
    <v>GENERAL MOTORS COMPANY (XNYS:GM)</v>
    <v>6028033</v>
    <v>7992644</v>
    <v>2009</v>
  </rv>
  <rv s="2">
    <v>66</v>
  </rv>
  <rv s="0">
    <v>https://www.bing.com/financeapi/forcetrigger?t=a1utqh&amp;q=XNYS%3aHPE&amp;form=skydnc</v>
    <v>Learn more on Bing</v>
  </rv>
  <rv s="1">
    <v>0</v>
    <v>HEWLETT PACKARD ENTERPRISE COMPANY (XNYS:HPE)</v>
    <v>2</v>
    <v>3</v>
    <v>Finance</v>
    <v>4</v>
    <v>en-US</v>
    <v>a1utqh</v>
    <v>268435456</v>
    <v>1</v>
    <v>Powered by Refinitiv</v>
    <v>26.44</v>
    <v>11.965</v>
    <v>1.4415</v>
    <v>-2.52</v>
    <v>-0.10063900000000001</v>
    <v>-6.9800000000000001E-2</v>
    <v>-3.1019999999999997E-3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23.49</v>
    <v>Computers, Phones &amp; Household Electronics</v>
    <v>Stock</v>
    <v>45946.869409166407</v>
    <v>68</v>
    <v>22.11</v>
    <v>29714014000</v>
    <v>HEWLETT PACKARD ENTERPRISE COMPANY</v>
    <v>HEWLETT PACKARD ENTERPRISE COMPANY</v>
    <v>22.97</v>
    <v>27.0121</v>
    <v>25.04</v>
    <v>22.52</v>
    <v>22.430199999999999</v>
    <v>1319450000</v>
    <v>HPE</v>
    <v>HEWLETT PACKARD ENTERPRISE COMPANY (XNYS:HPE)</v>
    <v>78858055</v>
    <v>25805295</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1.2882</v>
    <v>-1.395</v>
    <v>-4.8758999999999997E-2</v>
    <v>0.02</v>
    <v>7.3529999999999993E-4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28.73</v>
    <v>73</v>
    <v>Computers, Phones &amp; Household Electronics</v>
    <v>Stock</v>
    <v>45946.865217997656</v>
    <v>74</v>
    <v>27.085000000000001</v>
    <v>25437909487</v>
    <v>HP INC.</v>
    <v>HP INC.</v>
    <v>28.69</v>
    <v>9.9139999999999997</v>
    <v>28.61</v>
    <v>27.215</v>
    <v>27.22</v>
    <v>934701800</v>
    <v>HPQ</v>
    <v>HP INC. (XNYS:HPQ)</v>
    <v>24744489</v>
    <v>11318802</v>
    <v>1998</v>
  </rv>
  <rv s="2">
    <v>75</v>
  </rv>
  <rv s="0">
    <v>https://www.bing.com/financeapi/forcetrigger?t=ao9wcw&amp;q=XLON%3aIAG&amp;form=skydnc</v>
    <v>Learn more on Bing</v>
  </rv>
  <rv s="3">
    <v>6</v>
    <v>International Consolidated Airlines Group SA (XLON:IAG)</v>
    <v>2</v>
    <v>7</v>
    <v>Finance</v>
    <v>8</v>
    <v>en-US</v>
    <v>ao9wcw</v>
    <v>268435456</v>
    <v>1</v>
    <v>Powered by Refinitiv</v>
    <v>416</v>
    <v>195.738</v>
    <v>2.8873000000000002</v>
    <v>-1.2</v>
    <v>-2.9449999999999997E-3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411.9</v>
    <v>Passenger Transportation Services</v>
    <v>Stock</v>
    <v>45946.644671214846</v>
    <v>77</v>
    <v>398.9</v>
    <v>18689170000</v>
    <v>International Consolidated Airlines Group SA</v>
    <v>International Consolidated Airlines Group SA</v>
    <v>409.9</v>
    <v>7.3266</v>
    <v>407.5</v>
    <v>406.3</v>
    <v>4599333000</v>
    <v>IAG</v>
    <v>International Consolidated Airlines Group SA (XLON:IAG)</v>
    <v>9228094</v>
    <v>13923050</v>
    <v>2009</v>
  </rv>
  <rv s="2">
    <v>78</v>
  </rv>
  <rv s="0">
    <v>https://www.bing.com/financeapi/forcetrigger?t=a1wmu2&amp;q=XNYS%3aKR&amp;form=skydnc</v>
    <v>Learn more on Bing</v>
  </rv>
  <rv s="1">
    <v>0</v>
    <v>THE KROGER CO. (XNYS:KR)</v>
    <v>2</v>
    <v>3</v>
    <v>Finance</v>
    <v>4</v>
    <v>en-US</v>
    <v>a1wmu2</v>
    <v>268435456</v>
    <v>1</v>
    <v>Powered by Refinitiv</v>
    <v>74.900000000000006</v>
    <v>55.6</v>
    <v>0.55020000000000002</v>
    <v>-0.21</v>
    <v>-3.039E-3</v>
    <v>-0.1135</v>
    <v>-1.6479999999999999E-3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69.81</v>
    <v>Food &amp; Drug Retailing</v>
    <v>Stock</v>
    <v>45946.868925173439</v>
    <v>80</v>
    <v>68.614999999999995</v>
    <v>45651901198</v>
    <v>THE KROGER CO.</v>
    <v>THE KROGER CO.</v>
    <v>68.959999999999994</v>
    <v>17.4529</v>
    <v>69.099999999999994</v>
    <v>68.89</v>
    <v>68.766499999999994</v>
    <v>662678200</v>
    <v>KR</v>
    <v>THE KROGER CO. (XNYS:KR)</v>
    <v>4651476</v>
    <v>7836690</v>
    <v>1902</v>
  </rv>
  <rv s="2">
    <v>81</v>
  </rv>
  <rv s="0">
    <v>https://www.bing.com/financeapi/forcetrigger?t=bvuap2&amp;q=XNAS%3aLNSR&amp;form=skydnc</v>
    <v>Learn more on Bing</v>
  </rv>
  <rv s="1">
    <v>0</v>
    <v>LENSAR, INC. (XNAS:LNSR)</v>
    <v>2</v>
    <v>3</v>
    <v>Finance</v>
    <v>5</v>
    <v>en-US</v>
    <v>bvuap2</v>
    <v>268435456</v>
    <v>1</v>
    <v>Powered by Refinitiv</v>
    <v>17.309999999999999</v>
    <v>5.25</v>
    <v>0.501</v>
    <v>0.21</v>
    <v>1.8088E-2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11.867000000000001</v>
    <v>Healthcare Equipment &amp; Supplies</v>
    <v>Stock</v>
    <v>45946.840331724219</v>
    <v>83</v>
    <v>11.61</v>
    <v>141069099</v>
    <v>LENSAR, INC.</v>
    <v>LENSAR, INC.</v>
    <v>11.61</v>
    <v>0</v>
    <v>11.61</v>
    <v>11.82</v>
    <v>11.82</v>
    <v>11934780</v>
    <v>LNSR</v>
    <v>LENSAR, INC. (XNAS:LNSR)</v>
    <v>33668</v>
    <v>51005</v>
    <v>2004</v>
  </rv>
  <rv s="2">
    <v>84</v>
  </rv>
  <rv s="0">
    <v>https://www.bing.com/financeapi/forcetrigger?t=a1qgzr&amp;q=XNYS%3aLUMN&amp;form=skydnc</v>
    <v>Learn more on Bing</v>
  </rv>
  <rv s="5">
    <v>12</v>
    <v>LUMEN TECHNOLOGIES, INC. (XNYS:LUMN)</v>
    <v>2</v>
    <v>13</v>
    <v>Finance</v>
    <v>4</v>
    <v>en-US</v>
    <v>a1qgzr</v>
    <v>268435456</v>
    <v>1</v>
    <v>Powered by Refinitiv</v>
    <v>10.33</v>
    <v>3.01</v>
    <v>1.3767</v>
    <v>-0.245</v>
    <v>-3.3700000000000001E-2</v>
    <v>0.03</v>
    <v>4.274E-3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7.4550000000000001</v>
    <v>Telecommunications Services</v>
    <v>Stock</v>
    <v>45946.867030474219</v>
    <v>86</v>
    <v>6.9749999999999996</v>
    <v>7208640525</v>
    <v>LUMEN TECHNOLOGIES, INC.</v>
    <v>LUMEN TECHNOLOGIES, INC.</v>
    <v>7.31</v>
    <v>7.27</v>
    <v>7.0250000000000004</v>
    <v>7.05</v>
    <v>1026141000</v>
    <v>LUMN</v>
    <v>LUMEN TECHNOLOGIES, INC. (XNYS:LUMN)</v>
    <v>9487710</v>
    <v>17045008</v>
    <v>1968</v>
  </rv>
  <rv s="2">
    <v>87</v>
  </rv>
  <rv s="0">
    <v>https://www.bing.com/financeapi/forcetrigger?t=bo5fpr&amp;q=XNAS%3aMRNA&amp;form=skydnc</v>
    <v>Learn more on Bing</v>
  </rv>
  <rv s="1">
    <v>0</v>
    <v>MODERNA, INC. (XNAS:MRNA)</v>
    <v>2</v>
    <v>3</v>
    <v>Finance</v>
    <v>4</v>
    <v>en-US</v>
    <v>bo5fpr</v>
    <v>268435456</v>
    <v>1</v>
    <v>Powered by Refinitiv</v>
    <v>58.45</v>
    <v>23.15</v>
    <v>2.0034000000000001</v>
    <v>-0.57999999999999996</v>
    <v>-2.0924000000000002E-2</v>
    <v>0.04</v>
    <v>1.474E-3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28.48</v>
    <v>Pharmaceuticals</v>
    <v>Stock</v>
    <v>45946.869848575778</v>
    <v>89</v>
    <v>27.11</v>
    <v>10559625772</v>
    <v>MODERNA, INC.</v>
    <v>MODERNA, INC.</v>
    <v>27.844999999999999</v>
    <v>0</v>
    <v>27.72</v>
    <v>27.14</v>
    <v>27.18</v>
    <v>389079800</v>
    <v>MRNA</v>
    <v>MODERNA, INC. (XNAS:MRNA)</v>
    <v>7847664</v>
    <v>11519986</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1.0206</v>
    <v>-1.82</v>
    <v>-3.545E-3</v>
    <v>-0.755</v>
    <v>-1.4760000000000001E-3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516.85</v>
    <v>94</v>
    <v>Software &amp; IT Services</v>
    <v>Stock</v>
    <v>45946.870253575784</v>
    <v>95</v>
    <v>508.13</v>
    <v>3802882568870</v>
    <v>MICROSOFT CORPORATION</v>
    <v>MICROSOFT CORPORATION</v>
    <v>512.58000000000004</v>
    <v>37.505000000000003</v>
    <v>513.42999999999995</v>
    <v>511.61</v>
    <v>510.85500000000002</v>
    <v>7433167000</v>
    <v>MSFT</v>
    <v>MICROSOFT CORPORATION (XNAS:MSFT)</v>
    <v>15501262</v>
    <v>19349208</v>
    <v>1993</v>
  </rv>
  <rv s="2">
    <v>96</v>
  </rv>
  <rv s="0">
    <v>https://www.bing.com/financeapi/forcetrigger?t=a1ye2w&amp;q=XNYS%3aNEE&amp;form=skydnc</v>
    <v>Learn more on Bing</v>
  </rv>
  <rv s="1">
    <v>0</v>
    <v>NEXTERA ENERGY, INC. (XNYS:NEE)</v>
    <v>2</v>
    <v>3</v>
    <v>Finance</v>
    <v>4</v>
    <v>en-US</v>
    <v>a1ye2w</v>
    <v>268435456</v>
    <v>1</v>
    <v>Powered by Refinitiv</v>
    <v>86.74</v>
    <v>61.72</v>
    <v>0.66010000000000002</v>
    <v>-0.74</v>
    <v>-8.626E-3</v>
    <v>-0.05</v>
    <v>-5.8790000000000003E-4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86.74</v>
    <v>Electrical Utilities &amp; IPPs</v>
    <v>Stock</v>
    <v>45946.86940422422</v>
    <v>98</v>
    <v>84.974999999999994</v>
    <v>175142784600</v>
    <v>NEXTERA ENERGY, INC.</v>
    <v>NEXTERA ENERGY, INC.</v>
    <v>86.22</v>
    <v>31.808700000000002</v>
    <v>85.79</v>
    <v>85.05</v>
    <v>85</v>
    <v>2059292000</v>
    <v>NEE</v>
    <v>NEXTERA ENERGY, INC. (XNYS:NEE)</v>
    <v>8324728</v>
    <v>10621592</v>
    <v>1984</v>
  </rv>
  <rv s="2">
    <v>99</v>
  </rv>
  <rv s="0">
    <v>https://www.bing.com/financeapi/forcetrigger?t=a1yeec&amp;q=XNYS%3aNEM&amp;form=skydnc</v>
    <v>Learn more on Bing</v>
  </rv>
  <rv s="1">
    <v>0</v>
    <v>NEWMONT CORPORATION (XNYS:NEM)</v>
    <v>2</v>
    <v>3</v>
    <v>Finance</v>
    <v>4</v>
    <v>en-US</v>
    <v>a1yeec</v>
    <v>268435456</v>
    <v>1</v>
    <v>Powered by Refinitiv</v>
    <v>98.578000000000003</v>
    <v>36.86</v>
    <v>0.34089999999999998</v>
    <v>4.67</v>
    <v>4.9904000000000004E-2</v>
    <v>0.66</v>
    <v>6.7159999999999997E-3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98.578000000000003</v>
    <v>Metals &amp; Mining</v>
    <v>Stock</v>
    <v>45946.870319652342</v>
    <v>101</v>
    <v>94.11</v>
    <v>102792900000</v>
    <v>NEWMONT CORPORATION</v>
    <v>NEWMONT CORPORATION</v>
    <v>95.04</v>
    <v>17.7834</v>
    <v>93.58</v>
    <v>98.25</v>
    <v>98.93</v>
    <v>1098450000</v>
    <v>NEM</v>
    <v>NEWMONT CORPORATION (XNYS:NEM)</v>
    <v>12835235</v>
    <v>11881721</v>
    <v>2001</v>
  </rv>
  <rv s="2">
    <v>102</v>
  </rv>
  <rv s="0">
    <v>https://www.bing.com/financeapi/forcetrigger?t=a1ygoc&amp;q=XNAS%3aNFLX&amp;form=skydnc</v>
    <v>Learn more on Bing</v>
  </rv>
  <rv s="1">
    <v>0</v>
    <v>NETFLIX, INC. (XNAS:NFLX)</v>
    <v>2</v>
    <v>3</v>
    <v>Finance</v>
    <v>4</v>
    <v>en-US</v>
    <v>a1ygoc</v>
    <v>268435456</v>
    <v>1</v>
    <v>Powered by Refinitiv</v>
    <v>1341.15</v>
    <v>677.88</v>
    <v>1.59</v>
    <v>-19.7</v>
    <v>-1.6372000000000001E-2</v>
    <v>-1.37</v>
    <v>-1.157E-3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1216.71</v>
    <v>Software &amp; IT Services</v>
    <v>Stock</v>
    <v>45946.869994930472</v>
    <v>104</v>
    <v>1176</v>
    <v>502938637775</v>
    <v>NETFLIX, INC.</v>
    <v>NETFLIX, INC.</v>
    <v>1212.1500000000001</v>
    <v>50.435699999999997</v>
    <v>1203.29</v>
    <v>1183.5899999999999</v>
    <v>1182.22</v>
    <v>424926400</v>
    <v>NFLX</v>
    <v>NETFLIX, INC. (XNAS:NFLX)</v>
    <v>2822478</v>
    <v>3199894</v>
    <v>1997</v>
  </rv>
  <rv s="2">
    <v>105</v>
  </rv>
  <rv s="0">
    <v>https://www.bing.com/financeapi/forcetrigger?t=bwxx4c&amp;q=XNAS%3aDSAC&amp;form=skydnc</v>
    <v>Learn more on Bing</v>
  </rv>
  <rv s="5">
    <v>12</v>
    <v>FISCALNOTE HOLDINGS, INC. (XNYS:NOTE)</v>
    <v>2</v>
    <v>13</v>
    <v>Finance</v>
    <v>4</v>
    <v>en-US</v>
    <v>bwxx4c</v>
    <v>268435456</v>
    <v>1</v>
    <v>Powered by Refinitiv</v>
    <v>24.36</v>
    <v>3.8</v>
    <v>0.54510000000000003</v>
    <v>-0.26500000000000001</v>
    <v>-5.6745000000000004E-2</v>
    <v>0.1091</v>
    <v>2.4851999999999999E-2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4.7705000000000002</v>
    <v>Software &amp; IT Services</v>
    <v>Stock</v>
    <v>45946.868534687499</v>
    <v>107</v>
    <v>4.3600000000000003</v>
    <v>63285357</v>
    <v>FISCALNOTE HOLDINGS, INC.</v>
    <v>FISCALNOTE HOLDINGS, INC.</v>
    <v>4.68</v>
    <v>4.67</v>
    <v>4.4050000000000002</v>
    <v>4.4991000000000003</v>
    <v>14366710</v>
    <v>NOTE</v>
    <v>FISCALNOTE HOLDINGS, INC. (XNYS:NOTE)</v>
    <v>370360</v>
    <v>278476</v>
    <v>2022</v>
  </rv>
  <rv s="2">
    <v>108</v>
  </rv>
  <rv s="0">
    <v>https://www.bing.com/financeapi/forcetrigger?t=a1zfec&amp;q=XNAS%3aPAAS&amp;form=skydnc</v>
    <v>Learn more on Bing</v>
  </rv>
  <rv s="1">
    <v>0</v>
    <v>Pan American Silver Corp. (XNYS:PAAS)</v>
    <v>2</v>
    <v>11</v>
    <v>Finance</v>
    <v>4</v>
    <v>en-US</v>
    <v>a1zfec</v>
    <v>268435456</v>
    <v>1</v>
    <v>Powered by Refinitiv</v>
    <v>42.57</v>
    <v>19.8017</v>
    <v>0.90049999999999997</v>
    <v>1.02</v>
    <v>2.4872000000000002E-2</v>
    <v>0.11</v>
    <v>2.617E-3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42.57</v>
    <v>Metals &amp; Mining</v>
    <v>Stock</v>
    <v>45946.86749837891</v>
    <v>110</v>
    <v>40.93</v>
    <v>24331140000</v>
    <v>Pan American Silver Corp.</v>
    <v>Pan American Silver Corp.</v>
    <v>41.6</v>
    <v>29.1814</v>
    <v>41.01</v>
    <v>42.03</v>
    <v>42.14</v>
    <v>421976000</v>
    <v>PAAS</v>
    <v>Pan American Silver Corp. (XNYS:PAAS)</v>
    <v>7388746</v>
    <v>7235041</v>
    <v>1979</v>
  </rv>
  <rv s="2">
    <v>111</v>
  </rv>
  <rv s="0">
    <v>https://www.bing.com/financeapi/forcetrigger?t=a2sqhw&amp;q=XNAS%3aPROF&amp;form=skydnc</v>
    <v>Learn more on Bing</v>
  </rv>
  <rv s="1">
    <v>0</v>
    <v>Profound Medical Corp. (XNAS:PROF)</v>
    <v>2</v>
    <v>11</v>
    <v>Finance</v>
    <v>5</v>
    <v>en-US</v>
    <v>a2sqhw</v>
    <v>268435456</v>
    <v>1</v>
    <v>Powered by Refinitiv</v>
    <v>9.17</v>
    <v>3.76</v>
    <v>0.34949999999999998</v>
    <v>-0.2</v>
    <v>-3.4722000000000003E-2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5.9</v>
    <v>Healthcare Equipment &amp; Supplies</v>
    <v>Stock</v>
    <v>45946.840335948436</v>
    <v>113</v>
    <v>5.47</v>
    <v>240970100</v>
    <v>Profound Medical Corp.</v>
    <v>Profound Medical Corp.</v>
    <v>5.77</v>
    <v>0</v>
    <v>5.76</v>
    <v>5.56</v>
    <v>5.56</v>
    <v>30121260</v>
    <v>PROF</v>
    <v>Profound Medical Corp. (XNAS:PROF)</v>
    <v>54125</v>
    <v>153206</v>
    <v>2014</v>
  </rv>
  <rv s="2">
    <v>114</v>
  </rv>
  <rv s="0">
    <v>https://www.bing.com/financeapi/forcetrigger?t=a2si9c&amp;q=XNAS%3aPOET&amp;form=skydnc</v>
    <v>Learn more on Bing</v>
  </rv>
  <rv s="1">
    <v>0</v>
    <v>POET Technologies Inc. (XNAS:POET)</v>
    <v>2</v>
    <v>3</v>
    <v>Finance</v>
    <v>4</v>
    <v>en-US</v>
    <v>a2si9c</v>
    <v>268435456</v>
    <v>1</v>
    <v>Powered by Refinitiv</v>
    <v>9.41</v>
    <v>3.09</v>
    <v>0.31669999999999998</v>
    <v>-0.76</v>
    <v>-9.1346000000000011E-2</v>
    <v>7.9799999999999996E-2</v>
    <v>1.0556000000000001E-2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8.84</v>
    <v>Semiconductors &amp; Semiconductor Equipment</v>
    <v>Stock</v>
    <v>45946.86990101797</v>
    <v>116</v>
    <v>7.5350000000000001</v>
    <v>789065928</v>
    <v>POET Technologies Inc.</v>
    <v>POET Technologies Inc.</v>
    <v>8.56</v>
    <v>0</v>
    <v>8.32</v>
    <v>7.56</v>
    <v>7.6398000000000001</v>
    <v>104373800</v>
    <v>POET</v>
    <v>POET Technologies Inc. (XNAS:POET)</v>
    <v>12650024</v>
    <v>11535939</v>
    <v>2010</v>
  </rv>
  <rv s="2">
    <v>117</v>
  </rv>
  <rv s="0">
    <v>https://www.bing.com/financeapi/forcetrigger?t=a21g2w&amp;q=XNYS%3aPW&amp;form=skydnc</v>
    <v>Learn more on Bing</v>
  </rv>
  <rv s="5">
    <v>12</v>
    <v>POWER REIT (XNYS:PW)</v>
    <v>2</v>
    <v>13</v>
    <v>Finance</v>
    <v>5</v>
    <v>en-US</v>
    <v>a21g2w</v>
    <v>268435456</v>
    <v>1</v>
    <v>Powered by Refinitiv</v>
    <v>2.59</v>
    <v>0.82420000000000004</v>
    <v>1.5988</v>
    <v>-1.29E-2</v>
    <v>-1.4132E-2</v>
    <v>-1.7500000000000002E-2</v>
    <v>-1.9447000000000002E-2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0.93989999999999996</v>
    <v>Residential &amp; Commercial REIT</v>
    <v>Stock</v>
    <v>45946.855236943753</v>
    <v>119</v>
    <v>0.86009999999999998</v>
    <v>3094080</v>
    <v>POWER REIT</v>
    <v>POWER REIT</v>
    <v>0.93989999999999996</v>
    <v>0.91279999999999994</v>
    <v>0.89990000000000003</v>
    <v>0.88239999999999996</v>
    <v>3389660</v>
    <v>PW</v>
    <v>POWER REIT (XNYS:PW)</v>
    <v>65236</v>
    <v>200020</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1.2163999999999999</v>
    <v>0</v>
    <v>0</v>
    <v>0.46</v>
    <v>1.6364E-2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28.45</v>
    <v>Pharmaceuticals</v>
    <v>Stock</v>
    <v>45946.860585265626</v>
    <v>122</v>
    <v>27.635000000000002</v>
    <v>504218627</v>
    <v>RIGEL PHARMACEUTICALS, INC.</v>
    <v>RIGEL PHARMACEUTICALS, INC.</v>
    <v>28.45</v>
    <v>5.1910999999999996</v>
    <v>28.11</v>
    <v>28.11</v>
    <v>28.57</v>
    <v>17937340</v>
    <v>RIGL</v>
    <v>RIGEL PHARMACEUTICALS, INC. (XNAS:RIGL)</v>
    <v>342660</v>
    <v>644319</v>
    <v>1996</v>
  </rv>
  <rv s="2">
    <v>123</v>
  </rv>
  <rv s="0">
    <v>https://www.bing.com/financeapi/forcetrigger?t=afjzfr&amp;q=XFRA%3aRWE&amp;form=skydnc</v>
    <v>Learn more on Bing</v>
  </rv>
  <rv s="3">
    <v>6</v>
    <v>RWE AG (XFRA:RWE)</v>
    <v>2</v>
    <v>9</v>
    <v>Finance</v>
    <v>10</v>
    <v>en-US</v>
    <v>afjzfr</v>
    <v>268435456</v>
    <v>1</v>
    <v>Powered by Refinitiv</v>
    <v>44.03</v>
    <v>14.231</v>
    <v>0.51549999999999996</v>
    <v>0.61</v>
    <v>1.4962E-2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41.5</v>
    <v>Multiline Utilities</v>
    <v>Stock</v>
    <v>45946.836805555555</v>
    <v>125</v>
    <v>40.85</v>
    <v>30490050000</v>
    <v>RWE AG</v>
    <v>RWE AG</v>
    <v>40.85</v>
    <v>11.8567</v>
    <v>40.770000000000003</v>
    <v>41.38</v>
    <v>743841200</v>
    <v>RWE</v>
    <v>RWE AG (XFRA:RWE)</v>
    <v>6785</v>
    <v>1950430</v>
    <v>2000</v>
  </rv>
  <rv s="2">
    <v>126</v>
  </rv>
  <rv s="0">
    <v>https://www.bing.com/financeapi/forcetrigger?t=aftlr7&amp;q=XETR%3aSAP&amp;form=skydnc</v>
    <v>Learn more on Bing</v>
  </rv>
  <rv s="3">
    <v>6</v>
    <v>Sap Se (XETR:SAP)</v>
    <v>2</v>
    <v>9</v>
    <v>Finance</v>
    <v>10</v>
    <v>en-US</v>
    <v>aftlr7</v>
    <v>268435456</v>
    <v>1</v>
    <v>Powered by Refinitiv</v>
    <v>283.5</v>
    <v>208.7</v>
    <v>0.99129999999999996</v>
    <v>-1</v>
    <v>-4.2699999999999995E-3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237.1</v>
    <v>Software &amp; IT Services</v>
    <v>Stock</v>
    <v>45946.770833333336</v>
    <v>128</v>
    <v>230.35</v>
    <v>287715700000</v>
    <v>Sap Se</v>
    <v>Sap Se</v>
    <v>231.2</v>
    <v>41.636899999999997</v>
    <v>234.2</v>
    <v>233.2</v>
    <v>1228504000</v>
    <v>SAP</v>
    <v>Sap Se (XETR:SAP)</v>
    <v>1149922</v>
    <v>1110590</v>
    <v>2014</v>
  </rv>
  <rv s="2">
    <v>129</v>
  </rv>
  <rv s="0">
    <v>https://www.bing.com/financeapi/forcetrigger?t=a2vkww&amp;q=OTCM%3aSHECY&amp;form=skydnc</v>
    <v>Learn more on Bing</v>
  </rv>
  <rv s="9">
    <v>21</v>
    <v>Shin-Etsu Chemical Co., Ltd. (OTCM:SHECY)</v>
    <v>2</v>
    <v>22</v>
    <v>Finance</v>
    <v>23</v>
    <v>en-US</v>
    <v>a2vkww</v>
    <v>268435456</v>
    <v>1</v>
    <v>Powered by Refinitiv</v>
    <v>20.61</v>
    <v>11.88</v>
    <v>1.5262</v>
    <v>-0.09</v>
    <v>-5.4410000000000005E-3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16.54</v>
    <v>Chemicals</v>
    <v>Stock</v>
    <v>45946.833336608594</v>
    <v>131</v>
    <v>16.399999999999999</v>
    <v>9913069000000</v>
    <v>Shin-Etsu Chemical Co., Ltd.</v>
    <v>Shin-Etsu Chemical Co., Ltd.</v>
    <v>16.46</v>
    <v>0</v>
    <v>16.54</v>
    <v>16.45</v>
    <v>16.43</v>
    <v>1984996000</v>
    <v>SHECY</v>
    <v>Shin-Etsu Chemical Co., Ltd. (OTCM:SHECY)</v>
    <v>509562</v>
    <v>8342700</v>
    <v>1926</v>
  </rv>
  <rv s="2">
    <v>132</v>
  </rv>
  <rv s="0">
    <v>https://www.bing.com/financeapi/forcetrigger?t=a23myc&amp;q=XNAS%3aSSYS&amp;form=skydnc</v>
    <v>Learn more on Bing</v>
  </rv>
  <rv s="1">
    <v>0</v>
    <v>STRATASYS LTD (XNAS:SSYS)</v>
    <v>2</v>
    <v>3</v>
    <v>Finance</v>
    <v>4</v>
    <v>en-US</v>
    <v>a23myc</v>
    <v>268435456</v>
    <v>1</v>
    <v>Powered by Refinitiv</v>
    <v>12.88</v>
    <v>6.92</v>
    <v>1.6106</v>
    <v>-0.06</v>
    <v>-5.1990000000000005E-3</v>
    <v>-0.03</v>
    <v>-2.6129999999999999E-3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12.2674</v>
    <v>Electronic Equipment &amp; Parts</v>
    <v>Stock</v>
    <v>45946.866149582813</v>
    <v>134</v>
    <v>11.4</v>
    <v>976870854</v>
    <v>STRATASYS LTD</v>
    <v>STRATASYS LTD</v>
    <v>11.93</v>
    <v>0</v>
    <v>11.54</v>
    <v>11.48</v>
    <v>11.45</v>
    <v>85093280</v>
    <v>SSYS</v>
    <v>STRATASYS LTD (XNAS:SSYS)</v>
    <v>1090816</v>
    <v>980928</v>
    <v>1998</v>
  </rv>
  <rv s="2">
    <v>135</v>
  </rv>
  <rv s="0">
    <v>https://www.bing.com/financeapi/forcetrigger?t=a24kar&amp;q=XNAS%3aTSLA&amp;form=skydnc</v>
    <v>Learn more on Bing</v>
  </rv>
  <rv s="1">
    <v>0</v>
    <v>TESLA, INC. (XNAS:TSLA)</v>
    <v>2</v>
    <v>3</v>
    <v>Finance</v>
    <v>4</v>
    <v>en-US</v>
    <v>a24kar</v>
    <v>268435456</v>
    <v>1</v>
    <v>Powered by Refinitiv</v>
    <v>488.53989999999999</v>
    <v>212.11</v>
    <v>2.0739000000000001</v>
    <v>-6.4</v>
    <v>-1.4708000000000001E-2</v>
    <v>-0.45</v>
    <v>-1.0499999999999999E-3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439.35</v>
    <v>Automobiles &amp; Auto Parts</v>
    <v>Stock</v>
    <v>45946.870176782031</v>
    <v>137</v>
    <v>421.31009999999998</v>
    <v>1425658491250</v>
    <v>TESLA, INC.</v>
    <v>TESLA, INC.</v>
    <v>434.73</v>
    <v>242.49629999999999</v>
    <v>435.15</v>
    <v>428.75</v>
    <v>428.3</v>
    <v>3325151000</v>
    <v>TSLA</v>
    <v>TESLA, INC. (XNAS:TSLA)</v>
    <v>76569539</v>
    <v>99519627</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1.2997000000000001</v>
    <v>-4.74</v>
    <v>-1.5556E-2</v>
    <v>0.35</v>
    <v>1.1670000000000001E-3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311.36849999999998</v>
    <v>Semiconductors &amp; Semiconductor Equipment</v>
    <v>Stock</v>
    <v>45946.870302765623</v>
    <v>140</v>
    <v>296.69</v>
    <v>1238146000000</v>
    <v>Taiwan Semiconductor Manufacturing Co., Ltd.</v>
    <v>Taiwan Semiconductor Manufacturing Co., Ltd.</v>
    <v>310.93</v>
    <v>31.0959</v>
    <v>304.70999999999998</v>
    <v>299.97000000000003</v>
    <v>300.19</v>
    <v>5186523000</v>
    <v>TSM</v>
    <v>Taiwan Semiconductor Manufacturing Co., Ltd. (XNYS:TSM)</v>
    <v>26212410</v>
    <v>13312896</v>
    <v>1987</v>
  </rv>
  <rv s="2">
    <v>141</v>
  </rv>
  <rv s="0">
    <v>https://www.bing.com/financeapi/forcetrigger?t=afn5ec&amp;q=XFRA%3aUN01&amp;form=skydnc</v>
    <v>Learn more on Bing</v>
  </rv>
  <rv s="10">
    <v>24</v>
    <v>Uniper SE (XFRA:UN0)</v>
    <v>2</v>
    <v>25</v>
    <v>Finance</v>
    <v>10</v>
    <v>en-US</v>
    <v>afn5ec</v>
    <v>268435456</v>
    <v>1</v>
    <v>Powered by Refinitiv</v>
    <v>73.5</v>
    <v>2.1</v>
    <v>1.0704</v>
    <v>0.15</v>
    <v>4.7470000000000004E-3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31.75</v>
    <v>Multiline Utilities</v>
    <v>Stock</v>
    <v>45946.836805555555</v>
    <v>143</v>
    <v>31.2</v>
    <v>13223090000</v>
    <v>Uniper SE</v>
    <v>Uniper SE</v>
    <v>31.7</v>
    <v>31.6</v>
    <v>31.75</v>
    <v>416475300</v>
    <v>UN0</v>
    <v>Uniper SE (XFRA:UN0)</v>
    <v>70</v>
    <v>5500</v>
    <v>2016</v>
  </rv>
  <rv s="2">
    <v>144</v>
  </rv>
  <rv s="0">
    <v>https://www.bing.com/financeapi/forcetrigger?t=a24xoc&amp;q=XNAS%3aUNIT&amp;form=skydnc</v>
    <v>Learn more on Bing</v>
  </rv>
  <rv s="1">
    <v>0</v>
    <v>UNITI GROUP INC. (XNAS:UNIT)</v>
    <v>2</v>
    <v>3</v>
    <v>Finance</v>
    <v>5</v>
    <v>en-US</v>
    <v>a24xoc</v>
    <v>268435456</v>
    <v>1</v>
    <v>Powered by Refinitiv</v>
    <v>10.466100000000001</v>
    <v>5.3</v>
    <v>1.5410999999999999</v>
    <v>-0.11</v>
    <v>-1.9231000000000002E-2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5.91</v>
    <v>Telecommunications Services</v>
    <v>Stock</v>
    <v>45946.857677881249</v>
    <v>146</v>
    <v>5.48</v>
    <v>830189679</v>
    <v>UNITI GROUP INC.</v>
    <v>UNITI GROUP INC.</v>
    <v>5.75</v>
    <v>24.0471</v>
    <v>5.72</v>
    <v>5.61</v>
    <v>5.61</v>
    <v>147983900</v>
    <v>UNIT</v>
    <v>UNITI GROUP INC. (XNAS:UNIT)</v>
    <v>1972159</v>
    <v>2892229</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11">
    <v>26</v>
    <v>Volvo AB (OTCM:VLVLY)</v>
    <v>16</v>
    <v>27</v>
    <v>Finance</v>
    <v>23</v>
    <v>en-US</v>
    <v>a31af2</v>
    <v>268435456</v>
    <v>1</v>
    <v>Powered by Refinitiv</v>
    <v>33.33</v>
    <v>22.55</v>
    <v>0.9264</v>
    <v>0.35</v>
    <v>1.2584999999999999E-2</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28.44</v>
    <v>151</v>
    <v>Machinery, Equipment &amp; Components</v>
    <v>Stock</v>
    <v>45946.833372626563</v>
    <v>152</v>
    <v>28.02</v>
    <v>539449400000</v>
    <v>Volvo AB</v>
    <v>Volvo AB</v>
    <v>28.114999999999998</v>
    <v>0</v>
    <v>27.81</v>
    <v>28.16</v>
    <v>28.28</v>
    <v>2033452000</v>
    <v>VLVLY</v>
    <v>Volvo AB (OTCM:VLVLY)</v>
    <v>61391</v>
    <v>3223610</v>
    <v>1915</v>
  </rv>
  <rv s="2">
    <v>153</v>
  </rv>
  <rv s="0">
    <v>https://www.bing.com/financeapi/forcetrigger?t=an41hw&amp;q=XSWX%3aVONN&amp;form=skydnc</v>
    <v>Learn more on Bing</v>
  </rv>
  <rv s="3">
    <v>6</v>
    <v>Vontobel Holding Ltd (XSWX:VONN)</v>
    <v>2</v>
    <v>28</v>
    <v>Finance</v>
    <v>10</v>
    <v>en-US</v>
    <v>an41hw</v>
    <v>268435456</v>
    <v>1</v>
    <v>Powered by Refinitiv</v>
    <v>69.5</v>
    <v>51.1</v>
    <v>1.0192000000000001</v>
    <v>-0.4</v>
    <v>-6.6449999999999999E-3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60.5</v>
    <v>Investment Banking &amp; Investment Services</v>
    <v>Stock</v>
    <v>45946.652777777781</v>
    <v>155</v>
    <v>59.6</v>
    <v>3423875000</v>
    <v>Vontobel Holding Ltd</v>
    <v>Vontobel Holding Ltd</v>
    <v>60.5</v>
    <v>13.498900000000001</v>
    <v>60.2</v>
    <v>59.8</v>
    <v>56875000</v>
    <v>VONN</v>
    <v>Vontobel Holding Ltd (XSWX:VONN)</v>
    <v>21698</v>
    <v>36860</v>
    <v>1936</v>
  </rv>
  <rv s="2">
    <v>156</v>
  </rv>
  <rv s="0">
    <v>https://www.bing.com/financeapi/forcetrigger?t=a1y7rw&amp;q=XNAS%3aVTRS&amp;form=skydnc</v>
    <v>Learn more on Bing</v>
  </rv>
  <rv s="1">
    <v>0</v>
    <v>VIATRIS INC. (XNAS:VTRS)</v>
    <v>2</v>
    <v>3</v>
    <v>Finance</v>
    <v>5</v>
    <v>en-US</v>
    <v>a1y7rw</v>
    <v>268435456</v>
    <v>1</v>
    <v>Powered by Refinitiv</v>
    <v>13.55</v>
    <v>6.85</v>
    <v>0.89259999999999995</v>
    <v>0.12</v>
    <v>1.2024E-2</v>
    <v>-0.02</v>
    <v>-1.98E-3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10.199999999999999</v>
    <v>Pharmaceuticals</v>
    <v>Stock</v>
    <v>45946.859749791409</v>
    <v>158</v>
    <v>10.0137</v>
    <v>11775307200</v>
    <v>VIATRIS INC.</v>
    <v>VIATRIS INC.</v>
    <v>10.08</v>
    <v>0</v>
    <v>9.98</v>
    <v>10.1</v>
    <v>10.08</v>
    <v>1165872000</v>
    <v>VTRS</v>
    <v>VIATRIS INC. (XNAS:VTRS)</v>
    <v>6147785</v>
    <v>10787470</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0.46949999999999997</v>
    <v>-0.97</v>
    <v>-8.6909999999999991E-3</v>
    <v>0.04</v>
    <v>3.615E-4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112.19</v>
    <v>Oil &amp; Gas</v>
    <v>Stock</v>
    <v>45946.869549397656</v>
    <v>164</v>
    <v>110.38500000000001</v>
    <v>471685648080</v>
    <v>EXXON MOBIL CORPORATION</v>
    <v>EXXON MOBIL CORPORATION</v>
    <v>111.88</v>
    <v>15.8368</v>
    <v>111.61</v>
    <v>110.64</v>
    <v>110.68</v>
    <v>4263247000</v>
    <v>XOM</v>
    <v>EXXON MOBIL CORPORATION (XNYS:XOM)</v>
    <v>11766090</v>
    <v>15333339</v>
    <v>1882</v>
  </rv>
  <rv s="2">
    <v>165</v>
  </rv>
  <rv s="12">
    <v>29</v>
    <v>XPERI INC. (XNYS:XPER)</v>
    <v>30</v>
    <v>13</v>
    <v>Finance</v>
    <v>5</v>
    <v>en-US</v>
    <v>c7dbfr</v>
    <v>268435456</v>
    <v>1</v>
    <v>Powered by Refinitiv</v>
    <v>11.074999999999999</v>
    <v>5.6849999999999996</v>
    <v>1.1379999999999999</v>
    <v>-0.04</v>
    <v>-5.9170000000000004E-3</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6.9</v>
    <v>Software &amp; IT Services</v>
    <v>Stock</v>
    <v>45946.840336921094</v>
    <v>6.67</v>
    <v>310868275</v>
    <v>XPERI INC.</v>
    <v>XPERI INC.</v>
    <v>6.78</v>
    <v>6.76</v>
    <v>6.72</v>
    <v>6.72</v>
    <v>46260160</v>
    <v>XPER</v>
    <v>XPERI INC. (XNYS:XPER)</v>
    <v>460679</v>
    <v>502694</v>
    <v>2019</v>
  </rv>
  <rv s="2">
    <v>167</v>
  </rv>
  <rv s="0">
    <v>https://www.bing.com/financeapi/forcetrigger?t=ajezf2&amp;q=XMIL%3aENI&amp;form=skydnc</v>
    <v>Learn more on Bing</v>
  </rv>
  <rv s="13">
    <v>31</v>
    <v>Eni SpA (XMIL:ENI)</v>
    <v>2</v>
    <v>32</v>
    <v>Finance</v>
    <v>33</v>
    <v>en-US</v>
    <v>ajezf2</v>
    <v>268435456</v>
    <v>1</v>
    <v>Powered by Refinitiv</v>
    <v>15.53</v>
    <v>11.01</v>
    <v>1.0819000000000001</v>
    <v>4.3999999999999997E-2</v>
    <v>2.9889999999999999E-3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14.846</v>
    <v>Oil &amp; Gas</v>
    <v>Stock</v>
    <v>45946.666666666664</v>
    <v>169</v>
    <v>14.747999999999999</v>
    <v>46326680000</v>
    <v>Eni SpA</v>
    <v>Eni SpA</v>
    <v>14.78</v>
    <v>18.4483</v>
    <v>14.722</v>
    <v>14.766</v>
    <v>3146765000</v>
    <v>ENI</v>
    <v>Eni SpA (XMIL:ENI)</v>
    <v>6870097</v>
    <v>11073440</v>
  </rv>
  <rv s="2">
    <v>170</v>
  </rv>
  <rv s="0">
    <v>https://www.bing.com/financeapi/forcetrigger?t=ae8t4c&amp;q=XPAR%3aGLE&amp;form=skydnc</v>
    <v>Learn more on Bing</v>
  </rv>
  <rv s="13">
    <v>31</v>
    <v>Societe Generale SA (XPAR:GLE)</v>
    <v>2</v>
    <v>32</v>
    <v>Finance</v>
    <v>10</v>
    <v>en-US</v>
    <v>ae8t4c</v>
    <v>268435456</v>
    <v>1</v>
    <v>Powered by Refinitiv</v>
    <v>59.42</v>
    <v>22.87</v>
    <v>1.5998000000000001</v>
    <v>0.96</v>
    <v>1.7278999999999999E-2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56.74</v>
    <v>Banking Services</v>
    <v>Stock</v>
    <v>45946.666666666664</v>
    <v>172</v>
    <v>54.88</v>
    <v>43624620000</v>
    <v>Societe Generale SA</v>
    <v>Societe Generale SA</v>
    <v>55.42</v>
    <v>9.4662000000000006</v>
    <v>55.56</v>
    <v>56.52</v>
    <v>785180400</v>
    <v>GLE</v>
    <v>Societe Generale SA (XPAR:GLE)</v>
    <v>2290116</v>
    <v>2105370</v>
  </rv>
  <rv s="2">
    <v>173</v>
  </rv>
  <rv s="0">
    <v>https://www.bing.com/financeapi/forcetrigger?t=ae9qlh&amp;q=XPAR%3aORA&amp;form=skydnc</v>
    <v>Learn more on Bing</v>
  </rv>
  <rv s="3">
    <v>6</v>
    <v>Orange SA (XPAR:ORA)</v>
    <v>2</v>
    <v>9</v>
    <v>Finance</v>
    <v>10</v>
    <v>en-US</v>
    <v>ae9qlh</v>
    <v>268435456</v>
    <v>1</v>
    <v>Powered by Refinitiv</v>
    <v>14.56</v>
    <v>9.3699999999999992</v>
    <v>0.30769999999999997</v>
    <v>7.0000000000000007E-2</v>
    <v>4.9950000000000003E-3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14.135</v>
    <v>Telecommunications Services</v>
    <v>Stock</v>
    <v>45946.666666666664</v>
    <v>175</v>
    <v>13.815</v>
    <v>37280690000</v>
    <v>Orange SA</v>
    <v>Orange SA</v>
    <v>13.98</v>
    <v>44.488300000000002</v>
    <v>14.015000000000001</v>
    <v>14.085000000000001</v>
    <v>2660057000</v>
    <v>ORA</v>
    <v>Orange SA (XPAR:ORA)</v>
    <v>3147289</v>
    <v>3786590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3.4558</v>
    <v>-0.25</v>
    <v>-0.115741</v>
    <v>0.02</v>
    <v>1.0470999999999999E-2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2.1549999999999998</v>
    <v>Electrical Utilities &amp; IPPs</v>
    <v>Stock</v>
    <v>45946.869818842184</v>
    <v>178</v>
    <v>1.89</v>
    <v>200004313</v>
    <v>BLINK CHARGING CO.</v>
    <v>BLINK CHARGING CO.</v>
    <v>2.13</v>
    <v>0</v>
    <v>2.16</v>
    <v>1.91</v>
    <v>1.93</v>
    <v>104714300</v>
    <v>BLNK</v>
    <v>BLINK CHARGING CO. (XNAS:BLNK)</v>
    <v>6620104</v>
    <v>6746214</v>
    <v>2006</v>
  </rv>
  <rv s="2">
    <v>179</v>
  </rv>
  <rv s="0">
    <v>https://www.bing.com/financeapi/forcetrigger?t=ao8g3m&amp;q=XLON%3aEZJ&amp;form=skydnc</v>
    <v>Learn more on Bing</v>
  </rv>
  <rv s="3">
    <v>6</v>
    <v>EASYJET PLC (XLON:EZJ)</v>
    <v>2</v>
    <v>7</v>
    <v>Finance</v>
    <v>8</v>
    <v>en-US</v>
    <v>ao8g3m</v>
    <v>268435456</v>
    <v>1</v>
    <v>Powered by Refinitiv</v>
    <v>594</v>
    <v>401.05</v>
    <v>2.8778999999999999</v>
    <v>9</v>
    <v>1.8723E-2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490.7</v>
    <v>Passenger Transportation Services</v>
    <v>Stock</v>
    <v>45946.64326038125</v>
    <v>181</v>
    <v>478.2</v>
    <v>3643754000</v>
    <v>EASYJET PLC</v>
    <v>EASYJET PLC</v>
    <v>481.3</v>
    <v>8.8678000000000008</v>
    <v>480.7</v>
    <v>489.7</v>
    <v>758010000</v>
    <v>EZJ</v>
    <v>EASYJET PLC (XLON:EZJ)</v>
    <v>4237034</v>
    <v>3717970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1.6032999999999999</v>
    <v>-1.4999999999999999E-2</v>
    <v>-1.276E-3</v>
    <v>-0.02</v>
    <v>-1.704E-3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11.79</v>
    <v>186</v>
    <v>Automobiles &amp; Auto Parts</v>
    <v>Stock</v>
    <v>45946.870062198439</v>
    <v>187</v>
    <v>11.64</v>
    <v>46743455700</v>
    <v>FORD MOTOR COMPANY</v>
    <v>FORD MOTOR COMPANY</v>
    <v>11.74</v>
    <v>15.0192</v>
    <v>11.76</v>
    <v>11.744999999999999</v>
    <v>11.72</v>
    <v>3979860000</v>
    <v>F</v>
    <v>FORD MOTOR COMPANY (XNYS:F)</v>
    <v>107799845</v>
    <v>76342207</v>
    <v>1919</v>
  </rv>
  <rv s="2">
    <v>188</v>
  </rv>
  <rv s="0">
    <v>https://www.bing.com/financeapi/forcetrigger?t=a1u1z2&amp;q=XNYS%3aGNRC&amp;form=skydnc</v>
    <v>Learn more on Bing</v>
  </rv>
  <rv s="1">
    <v>0</v>
    <v>GENERAC HOLDINGS INC. (XNYS:GNRC)</v>
    <v>2</v>
    <v>3</v>
    <v>Finance</v>
    <v>4</v>
    <v>en-US</v>
    <v>a1u1z2</v>
    <v>268435456</v>
    <v>1</v>
    <v>Powered by Refinitiv</v>
    <v>203.2499</v>
    <v>99.5</v>
    <v>1.6700999999999999</v>
    <v>0.98499999999999999</v>
    <v>5.1390000000000003E-3</v>
    <v>-0.14000000000000001</v>
    <v>-7.2669999999999994E-4</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194.09899999999999</v>
    <v>Machinery, Equipment &amp; Components</v>
    <v>Stock</v>
    <v>45946.865222187502</v>
    <v>190</v>
    <v>188.76</v>
    <v>11304215147</v>
    <v>GENERAC HOLDINGS INC.</v>
    <v>GENERAC HOLDINGS INC.</v>
    <v>193.38</v>
    <v>31.9908</v>
    <v>191.67</v>
    <v>192.655</v>
    <v>192.5</v>
    <v>58675950</v>
    <v>GNRC</v>
    <v>GENERAC HOLDINGS INC. (XNYS:GNRC)</v>
    <v>1068213</v>
    <v>1077409</v>
    <v>2006</v>
  </rv>
  <rv s="2">
    <v>191</v>
  </rv>
  <rv s="0">
    <v>https://www.bing.com/financeapi/forcetrigger?t=a1u7xm&amp;q=XNYS%3aGS&amp;form=skydnc</v>
    <v>Learn more on Bing</v>
  </rv>
  <rv s="1">
    <v>0</v>
    <v>THE GOLDMAN SACHS GROUP, INC. (XNYS:GS)</v>
    <v>2</v>
    <v>3</v>
    <v>Finance</v>
    <v>4</v>
    <v>en-US</v>
    <v>a1u7xm</v>
    <v>268435456</v>
    <v>1</v>
    <v>Powered by Refinitiv</v>
    <v>825.25</v>
    <v>439.38</v>
    <v>1.4108000000000001</v>
    <v>-9.61</v>
    <v>-1.2514000000000001E-2</v>
    <v>-0.14000000000000001</v>
    <v>-1.8469999999999999E-4</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781.44</v>
    <v>Investment Banking &amp; Investment Services</v>
    <v>Stock</v>
    <v>45946.86950569375</v>
    <v>193</v>
    <v>752.41</v>
    <v>229559464552</v>
    <v>THE GOLDMAN SACHS GROUP, INC.</v>
    <v>THE GOLDMAN SACHS GROUP, INC.</v>
    <v>770.66</v>
    <v>15.404500000000001</v>
    <v>767.93</v>
    <v>758.32</v>
    <v>757.95</v>
    <v>302721100</v>
    <v>GS</v>
    <v>THE GOLDMAN SACHS GROUP, INC. (XNYS:GS)</v>
    <v>3157242</v>
    <v>1940779</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2.0381</v>
    <v>-0.13</v>
    <v>-6.4355999999999997E-2</v>
    <v>3.9899999999999998E-2</v>
    <v>2.1111000000000001E-2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2.165</v>
    <v>Automobiles &amp; Auto Parts</v>
    <v>Stock</v>
    <v>45946.868623553128</v>
    <v>196</v>
    <v>1.87</v>
    <v>129964829</v>
    <v>LUMINAR TECHNOLOGIES, INC.</v>
    <v>LUMINAR TECHNOLOGIES, INC.</v>
    <v>2.06</v>
    <v>0</v>
    <v>2.02</v>
    <v>1.89</v>
    <v>1.9298999999999999</v>
    <v>68764460</v>
    <v>LAZR</v>
    <v>LUMINAR TECHNOLOGIES, INC. (XNAS:LAZR)</v>
    <v>8401537</v>
    <v>6459071</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1.2251000000000001</v>
    <v>-0.27</v>
    <v>-8.0450000000000001E-3</v>
    <v>-0.26</v>
    <v>-7.8100000000000001E-3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34.049999999999997</v>
    <v>Passenger Transportation Services</v>
    <v>Stock</v>
    <v>45946.862757071096</v>
    <v>199</v>
    <v>32.840000000000003</v>
    <v>17483498533</v>
    <v>SOUTHWEST AIRLINES CO.</v>
    <v>SOUTHWEST AIRLINES CO.</v>
    <v>33.67</v>
    <v>39.963999999999999</v>
    <v>33.56</v>
    <v>33.29</v>
    <v>33.03</v>
    <v>525187700</v>
    <v>LUV</v>
    <v>SOUTHWEST AIRLINES CO. (XNYS:LUV)</v>
    <v>11015655</v>
    <v>9566732</v>
    <v>1967</v>
  </rv>
  <rv s="2">
    <v>200</v>
  </rv>
  <rv s="0">
    <v>https://www.bing.com/financeapi/forcetrigger?t=a1x8w7&amp;q=XNYS%3aMA&amp;form=skydnc</v>
    <v>Learn more on Bing</v>
  </rv>
  <rv s="1">
    <v>0</v>
    <v>MASTERCARD INCORPORATED. (XNYS:MA)</v>
    <v>2</v>
    <v>3</v>
    <v>Finance</v>
    <v>4</v>
    <v>en-US</v>
    <v>a1x8w7</v>
    <v>268435456</v>
    <v>1</v>
    <v>Powered by Refinitiv</v>
    <v>601.77</v>
    <v>465.59</v>
    <v>0.92869999999999997</v>
    <v>-12.73</v>
    <v>-2.2618999999999997E-2</v>
    <v>-0.28999999999999998</v>
    <v>-5.2740000000000003E-4</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564.65</v>
    <v>Software &amp; IT Services</v>
    <v>Stock</v>
    <v>45946.870024050782</v>
    <v>202</v>
    <v>547.39</v>
    <v>497278810944</v>
    <v>MASTERCARD INCORPORATED.</v>
    <v>MASTERCARD INCORPORATED.</v>
    <v>562.79999999999995</v>
    <v>37.096899999999998</v>
    <v>562.80999999999995</v>
    <v>550.08000000000004</v>
    <v>549.59</v>
    <v>904011800</v>
    <v>MA</v>
    <v>MASTERCARD INCORPORATED. (XNYS:MA)</v>
    <v>3209487</v>
    <v>2826703</v>
    <v>2001</v>
  </rv>
  <rv s="2">
    <v>203</v>
  </rv>
  <rv s="0">
    <v>https://www.bing.com/financeapi/forcetrigger?t=a1yuvh&amp;q=XNAS%3aNVAX&amp;form=skydnc</v>
    <v>Learn more on Bing</v>
  </rv>
  <rv s="1">
    <v>0</v>
    <v>NOVAVAX, INC. (XNAS:NVAX)</v>
    <v>2</v>
    <v>3</v>
    <v>Finance</v>
    <v>4</v>
    <v>en-US</v>
    <v>a1yuvh</v>
    <v>268435456</v>
    <v>1</v>
    <v>Powered by Refinitiv</v>
    <v>11.55</v>
    <v>5.01</v>
    <v>2.6861000000000002</v>
    <v>-0.43</v>
    <v>-4.8259999999999997E-2</v>
    <v>0.01</v>
    <v>1.1790000000000001E-3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9.1</v>
    <v>Biotechnology &amp; Medical Research</v>
    <v>Stock</v>
    <v>45946.869813760939</v>
    <v>205</v>
    <v>8.4649999999999999</v>
    <v>1447177000</v>
    <v>NOVAVAX, INC.</v>
    <v>NOVAVAX, INC.</v>
    <v>8.93</v>
    <v>3.7075999999999998</v>
    <v>8.91</v>
    <v>8.48</v>
    <v>8.49</v>
    <v>162421600</v>
    <v>NVAX</v>
    <v>NOVAVAX, INC. (XNAS:NVAX)</v>
    <v>5184068</v>
    <v>4657867</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0.60219999999999996</v>
    <v>0.75</v>
    <v>5.7709999999999992E-3</v>
    <v>0</v>
    <v>0</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131.19</v>
    <v>210</v>
    <v>Pharmaceuticals</v>
    <v>Stock</v>
    <v>45946.863184374997</v>
    <v>211</v>
    <v>129.64500000000001</v>
    <v>274480300000</v>
    <v>Novartis Inc.</v>
    <v>Novartis Inc.</v>
    <v>129.88</v>
    <v>18.944700000000001</v>
    <v>129.97</v>
    <v>130.72</v>
    <v>130.77000000000001</v>
    <v>2112422000</v>
    <v>NVS</v>
    <v>Novartis Inc. (XNYS:NVS)</v>
    <v>1168759</v>
    <v>1517238</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0.93979999999999997</v>
    <v>-0.84</v>
    <v>-2.0057000000000002E-2</v>
    <v>-0.05</v>
    <v>-1.2180000000000001E-3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42.089700000000001</v>
    <v>Oil &amp; Gas</v>
    <v>Stock</v>
    <v>45946.87024920078</v>
    <v>214</v>
    <v>40.51</v>
    <v>40401409392</v>
    <v>OCCIDENTAL PETROLEUM CORPORATION</v>
    <v>OCCIDENTAL PETROLEUM CORPORATION</v>
    <v>41.99</v>
    <v>24.1739</v>
    <v>41.88</v>
    <v>41.04</v>
    <v>40.99</v>
    <v>984439800</v>
    <v>OXY</v>
    <v>OCCIDENTAL PETROLEUM CORPORATION (XNYS:OXY)</v>
    <v>10690469</v>
    <v>11856549</v>
    <v>1986</v>
  </rv>
  <rv s="2">
    <v>215</v>
  </rv>
  <rv s="0">
    <v>https://www.bing.com/financeapi/forcetrigger?t=a1zqnm&amp;q=XNYS%3aPFE&amp;form=skydnc</v>
    <v>Learn more on Bing</v>
  </rv>
  <rv s="1">
    <v>0</v>
    <v>PFIZER INC. (XNYS:PFE)</v>
    <v>2</v>
    <v>3</v>
    <v>Finance</v>
    <v>4</v>
    <v>en-US</v>
    <v>a1zqnm</v>
    <v>268435456</v>
    <v>1</v>
    <v>Powered by Refinitiv</v>
    <v>29.82</v>
    <v>20.914999999999999</v>
    <v>0.51200000000000001</v>
    <v>-0.16</v>
    <v>-6.5599999999999999E-3</v>
    <v>0</v>
    <v>0</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24.605</v>
    <v>Pharmaceuticals</v>
    <v>Stock</v>
    <v>45946.870233680471</v>
    <v>217</v>
    <v>24.21</v>
    <v>137760876500</v>
    <v>PFIZER INC.</v>
    <v>PFIZER INC.</v>
    <v>24.44</v>
    <v>17.570699999999999</v>
    <v>24.39</v>
    <v>24.23</v>
    <v>24.23</v>
    <v>5685550000</v>
    <v>PFE</v>
    <v>PFIZER INC. (XNYS:PFE)</v>
    <v>44218900</v>
    <v>61280444</v>
    <v>1942</v>
  </rv>
  <rv s="2">
    <v>218</v>
  </rv>
  <rv s="0">
    <v>https://www.bing.com/financeapi/forcetrigger?t=a2215r&amp;q=XNYS%3aRIG&amp;form=skydnc</v>
    <v>Learn more on Bing</v>
  </rv>
  <rv s="5">
    <v>12</v>
    <v>Transocean Ltd (XNYS:RIG)</v>
    <v>2</v>
    <v>13</v>
    <v>Finance</v>
    <v>4</v>
    <v>en-US</v>
    <v>a2215r</v>
    <v>268435456</v>
    <v>1</v>
    <v>Powered by Refinitiv</v>
    <v>4.74</v>
    <v>1.97</v>
    <v>2.6307</v>
    <v>-8.5000000000000006E-2</v>
    <v>-2.5680000000000001E-2</v>
    <v>-0.02</v>
    <v>-6.1919999999999996E-3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3.39</v>
    <v>Oil &amp; Gas Related Equipment and Services</v>
    <v>Stock</v>
    <v>45946.867090185158</v>
    <v>220</v>
    <v>3.2</v>
    <v>3550699200</v>
    <v>Transocean Ltd</v>
    <v>Transocean Ltd</v>
    <v>3.33</v>
    <v>3.31</v>
    <v>3.2250000000000001</v>
    <v>3.21</v>
    <v>1100992000</v>
    <v>RIG</v>
    <v>Transocean Ltd (XNYS:RIG)</v>
    <v>64113521</v>
    <v>51413296</v>
    <v>2008</v>
  </rv>
  <rv s="2">
    <v>221</v>
  </rv>
  <rv s="0">
    <v>https://www.bing.com/financeapi/forcetrigger?t=a228w7&amp;q=XNYS%3aRRC&amp;form=skydnc</v>
    <v>Learn more on Bing</v>
  </rv>
  <rv s="1">
    <v>0</v>
    <v>RANGE RESOURCES CORPORATION (XNYS:RRC)</v>
    <v>2</v>
    <v>3</v>
    <v>Finance</v>
    <v>4</v>
    <v>en-US</v>
    <v>a228w7</v>
    <v>268435456</v>
    <v>1</v>
    <v>Powered by Refinitiv</v>
    <v>43.5</v>
    <v>28.99</v>
    <v>0.51139999999999997</v>
    <v>-1.47</v>
    <v>-3.9559000000000004E-2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37.64</v>
    <v>Oil &amp; Gas</v>
    <v>Stock</v>
    <v>45946.863183575784</v>
    <v>223</v>
    <v>35.380000000000003</v>
    <v>8501040358</v>
    <v>RANGE RESOURCES CORPORATION</v>
    <v>RANGE RESOURCES CORPORATION</v>
    <v>37.340000000000003</v>
    <v>32.006100000000004</v>
    <v>37.159999999999997</v>
    <v>35.69</v>
    <v>35.700000000000003</v>
    <v>238191100</v>
    <v>RRC</v>
    <v>RANGE RESOURCES CORPORATION (XNYS:RRC)</v>
    <v>3030986</v>
    <v>3206013</v>
    <v>1980</v>
  </rv>
  <rv s="2">
    <v>224</v>
  </rv>
  <rv s="0">
    <v>https://www.bing.com/financeapi/forcetrigger?t=a23i8m&amp;q=XNYS%3aSQ&amp;form=skydnc</v>
    <v>Learn more on Bing</v>
  </rv>
  <rv s="1">
    <v>0</v>
    <v>BLOCK, INC. (XNYS:XYZ)</v>
    <v>2</v>
    <v>3</v>
    <v>Finance</v>
    <v>4</v>
    <v>en-US</v>
    <v>a23i8m</v>
    <v>268435456</v>
    <v>1</v>
    <v>Powered by Refinitiv</v>
    <v>99.26</v>
    <v>44.27</v>
    <v>2.7231000000000001</v>
    <v>-1.58</v>
    <v>-2.0754000000000002E-2</v>
    <v>0</v>
    <v>0</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77.69</v>
    <v>Professional &amp; Commercial Services</v>
    <v>Stock</v>
    <v>45946.869885358596</v>
    <v>226</v>
    <v>74.400000000000006</v>
    <v>45444487200</v>
    <v>BLOCK, INC.</v>
    <v>BLOCK, INC.</v>
    <v>76.349999999999994</v>
    <v>44.957999999999998</v>
    <v>76.13</v>
    <v>74.55</v>
    <v>74.540000000000006</v>
    <v>609584000</v>
    <v>XYZ</v>
    <v>BLOCK, INC. (XNYS:XYZ)</v>
    <v>5578298</v>
    <v>6154543</v>
    <v>2009</v>
  </rv>
  <rv s="2">
    <v>227</v>
  </rv>
  <rv s="0">
    <v>https://www.bing.com/financeapi/forcetrigger?t=a2475r&amp;q=XNYS%3aTHC&amp;form=skydnc</v>
    <v>Learn more on Bing</v>
  </rv>
  <rv s="1">
    <v>0</v>
    <v>TENET HEALTHCARE CORPORATION (XNYS:THC)</v>
    <v>2</v>
    <v>3</v>
    <v>Finance</v>
    <v>5</v>
    <v>en-US</v>
    <v>a2475r</v>
    <v>268435456</v>
    <v>1</v>
    <v>Powered by Refinitiv</v>
    <v>207.14</v>
    <v>109.82389999999999</v>
    <v>1.5347999999999999</v>
    <v>-0.1</v>
    <v>-5.019E-4</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200.65</v>
    <v>Healthcare Providers &amp; Services</v>
    <v>Stock</v>
    <v>45946.857935856249</v>
    <v>229</v>
    <v>197.2</v>
    <v>17593334630</v>
    <v>TENET HEALTHCARE CORPORATION</v>
    <v>TENET HEALTHCARE CORPORATION</v>
    <v>199.26</v>
    <v>13.1661</v>
    <v>199.23</v>
    <v>199.13</v>
    <v>199.13</v>
    <v>88351000</v>
    <v>THC</v>
    <v>TENET HEALTHCARE CORPORATION (XNYS:THC)</v>
    <v>733823</v>
    <v>1091796</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4">
    <v>34</v>
    <v>iShs Digtl Sec UCITS ETF USD A (XSWX:LOCK)</v>
    <v>35</v>
    <v>36</v>
    <v>Finance</v>
    <v>10</v>
    <v>en-US</v>
    <v>bnyaur</v>
    <v>268435456</v>
    <v>1</v>
    <v>Powered by Refinitiv</v>
    <v>10.56</v>
    <v>7.4260000000000002</v>
    <v>0.58640000000000003</v>
    <v>2E-3</v>
    <v>1.9320000000000001E-4</v>
    <v>USD</v>
    <v>SIX Swiss Exchange</v>
    <v>XSWX</v>
    <v>4.0000000000000001E-3</v>
    <v>10.382</v>
    <v>ETF</v>
    <v>45946.687511574077</v>
    <v>235</v>
    <v>10.356</v>
    <v>1707250070.21</v>
    <v>iShs Digtl Sec UCITS ETF USD A</v>
    <v>10.382</v>
    <v>10.353999999999999</v>
    <v>10.356</v>
    <v>LOCK</v>
    <v>iShs Digtl Sec UCITS ETF USD A (XSWX:LOCK)</v>
    <v>449</v>
  </rv>
  <rv s="2">
    <v>236</v>
  </rv>
  <rv s="4">
    <v>12</v>
    <v>Volume average</v>
    <v>0</v>
  </rv>
  <rv s="15">
    <v>12</v>
    <v>1</v>
  </rv>
  <rv s="16">
    <v>37</v>
    <v>EUR/USD</v>
    <v>38</v>
    <v>39</v>
    <v>Finance</v>
    <v>40</v>
    <v>en-US</v>
    <v>av932w</v>
    <v>268435456</v>
    <v>1</v>
    <v>Powered by Refinitiv</v>
    <v>1.1918</v>
    <v>1.0176000000000001</v>
    <v>4.0000000000000001E-3</v>
    <v>3.4350000000000001E-3</v>
    <v>USD</v>
    <v>EUR</v>
    <v>1.1694</v>
    <v>Currency Pair</v>
    <v>45946.870150462964</v>
    <v>1.1642999999999999</v>
    <v>Euro/US Dollar FX Spot Rate</v>
    <v>1.1647000000000001</v>
    <v>1.1646000000000001</v>
    <v>1.1686000000000001</v>
    <v>EURUSD</v>
    <v>EUR/USD</v>
  </rv>
  <rv s="2">
    <v>240</v>
  </rv>
  <rv s="16">
    <v>37</v>
    <v>EUR/CHF</v>
    <v>38</v>
    <v>41</v>
    <v>Finance</v>
    <v>40</v>
    <v>en-US</v>
    <v>av923m</v>
    <v>268435456</v>
    <v>1</v>
    <v>Powered by Refinitiv</v>
    <v>0.96609999999999996</v>
    <v>0.92</v>
    <v>-1.4E-3</v>
    <v>-1.5090000000000001E-3</v>
    <v>CHF</v>
    <v>EUR</v>
    <v>0.9304</v>
    <v>Currency Pair</v>
    <v>45946.870162037034</v>
    <v>0.92620000000000002</v>
    <v>Euro/Swiss Franc FX Cross Rate</v>
    <v>0.9274</v>
    <v>0.92749999999999999</v>
    <v>0.92610000000000003</v>
    <v>EURCHF</v>
    <v>EUR/CHF</v>
  </rv>
  <rv s="2">
    <v>242</v>
  </rv>
  <rv s="16">
    <v>37</v>
    <v>EUR/GBP</v>
    <v>38</v>
    <v>42</v>
    <v>Finance</v>
    <v>40</v>
    <v>en-US</v>
    <v>av92z2</v>
    <v>268435456</v>
    <v>1</v>
    <v>Powered by Refinitiv</v>
    <v>0.87629999999999997</v>
    <v>0.82189999999999996</v>
    <v>6.9999999999999999E-4</v>
    <v>8.0560000000000007E-4</v>
    <v>GBP</v>
    <v>EUR</v>
    <v>0.87039999999999995</v>
    <v>Currency Pair</v>
    <v>45946.870150462964</v>
    <v>0.86650000000000005</v>
    <v>Euro/UK Pound Sterling FX Cross Rate</v>
    <v>0.86880000000000002</v>
    <v>0.86890000000000001</v>
    <v>0.86960000000000004</v>
    <v>EURGBP</v>
    <v>EUR/GBP</v>
  </rv>
  <rv s="2">
    <v>244</v>
  </rv>
  <rv s="16">
    <v>37</v>
    <v>EUR/AUD</v>
    <v>38</v>
    <v>43</v>
    <v>Finance</v>
    <v>40</v>
    <v>en-US</v>
    <v>av8sfr</v>
    <v>268435456</v>
    <v>1</v>
    <v>Powered by Refinitiv</v>
    <v>1.8554999999999999</v>
    <v>1.5899000000000001</v>
    <v>1.29E-2</v>
    <v>7.2150000000000001E-3</v>
    <v>AUD</v>
    <v>EUR</v>
    <v>1.8058000000000001</v>
    <v>Currency Pair</v>
    <v>45946.870150462964</v>
    <v>1.7881</v>
    <v>Euro/Australian Dollar FX Cross Rate</v>
    <v>1.7874000000000001</v>
    <v>1.788</v>
    <v>1.8008999999999999</v>
    <v>EURAUD</v>
    <v>EUR/AUD</v>
  </rv>
  <rv s="2">
    <v>246</v>
  </rv>
  <rv s="16">
    <v>37</v>
    <v>EUR/CAD</v>
    <v>38</v>
    <v>44</v>
    <v>Finance</v>
    <v>40</v>
    <v>en-US</v>
    <v>av8ttc</v>
    <v>268435456</v>
    <v>1</v>
    <v>Powered by Refinitiv</v>
    <v>1.6435999999999999</v>
    <v>1.4484999999999999</v>
    <v>6.4999999999999997E-3</v>
    <v>3.9750000000000002E-3</v>
    <v>CAD</v>
    <v>EUR</v>
    <v>1.6435999999999999</v>
    <v>Currency Pair</v>
    <v>45946.870208333334</v>
    <v>1.6346000000000001</v>
    <v>Euro/Canadian Dollar FX Cross Rate</v>
    <v>1.635</v>
    <v>1.6351</v>
    <v>1.6415999999999999</v>
    <v>EURCAD</v>
    <v>EUR/CAD</v>
  </rv>
  <rv s="2">
    <v>248</v>
  </rv>
  <rv s="16">
    <v>37</v>
    <v>USD/JPY</v>
    <v>38</v>
    <v>45</v>
    <v>Finance</v>
    <v>40</v>
    <v>en-US</v>
    <v>avyomw</v>
    <v>268435456</v>
    <v>1</v>
    <v>Powered by Refinitiv</v>
    <v>158.87</v>
    <v>139.86000000000001</v>
    <v>-0.63</v>
    <v>-4.1710000000000002E-3</v>
    <v>JPY</v>
    <v>USD</v>
    <v>151.38999999999999</v>
    <v>Currency Pair</v>
    <v>45946.870196759257</v>
    <v>150.22</v>
    <v>US Dollar/Japanese Yen FX Spot Rate</v>
    <v>151.02000000000001</v>
    <v>151.04</v>
    <v>150.41</v>
    <v>USDJPY</v>
    <v>USD/JPY</v>
  </rv>
  <rv s="2">
    <v>250</v>
  </rv>
  <rv s="16">
    <v>37</v>
    <v>USD/CHF</v>
    <v>38</v>
    <v>41</v>
    <v>Finance</v>
    <v>40</v>
    <v>en-US</v>
    <v>avyt7w</v>
    <v>268435456</v>
    <v>1</v>
    <v>Powered by Refinitiv</v>
    <v>0.92</v>
    <v>0.78269999999999995</v>
    <v>-4.1000000000000003E-3</v>
    <v>-5.1470000000000005E-3</v>
    <v>CHF</v>
    <v>USD</v>
    <v>0.7984</v>
    <v>Currency Pair</v>
    <v>45946.870162037034</v>
    <v>0.79249999999999998</v>
    <v>US Dollar/Swiss Franc FX Spot Rate</v>
    <v>0.79630000000000001</v>
    <v>0.79659999999999997</v>
    <v>0.79249999999999998</v>
    <v>USDCHF</v>
    <v>USD/CHF</v>
  </rv>
  <rv s="2">
    <v>252</v>
  </rv>
  <rv s="16">
    <v>37</v>
    <v>USD/GBP</v>
    <v>38</v>
    <v>42</v>
    <v>Finance</v>
    <v>40</v>
    <v>en-US</v>
    <v>avyu4c</v>
    <v>268435456</v>
    <v>1</v>
    <v>Powered by Refinitiv</v>
    <v>0.82650000000000001</v>
    <v>0.72509999999999997</v>
    <v>-1.8420000000000001E-3</v>
    <v>-2.4690000000000003E-3</v>
    <v>GBP</v>
    <v>USD</v>
    <v>0.74660000000000004</v>
    <v>Currency Pair</v>
    <v>45946.870150462964</v>
    <v>0.74329999999999996</v>
    <v>US Dollar/UK Pound Sterling FX Cross Rate</v>
    <v>0.74590000000000001</v>
    <v>0.746</v>
    <v>0.74419999999999997</v>
    <v>USDGBP</v>
    <v>USD/GBP</v>
  </rv>
  <rv s="2">
    <v>254</v>
  </rv>
  <rv s="0">
    <v>https://www.bing.com/financeapi/forcetrigger?t=a6qja2&amp;q=DOW+JONES+INDU+AVERAGE+NDX&amp;form=skydnc</v>
    <v>Learn more on Bing</v>
  </rv>
  <rv s="17">
    <v>46</v>
    <v>DOW JONES INDU AVERAGE NDX</v>
    <v>35</v>
    <v>47</v>
    <v>Finance</v>
    <v>48</v>
    <v>en-US</v>
    <v>a6qja2</v>
    <v>268435456</v>
    <v>1</v>
    <v>Powered by Refinitiv</v>
    <v>47049.64</v>
    <v>36611.78</v>
    <v>-301.07</v>
    <v>-6.509E-3</v>
    <v>US</v>
    <v>46422.34</v>
    <v>Index</v>
    <v>256</v>
    <v>45781.18</v>
    <v>DOW JONES INDU AVERAGE NDX</v>
    <v>46289.09</v>
    <v>46253.31</v>
    <v>45952.24</v>
    <v>DJI</v>
    <v>DOW JONES INDU AVERAGE NDX</v>
  </rv>
  <rv s="2">
    <v>257</v>
  </rv>
  <rv s="0">
    <v>https://www.bing.com/financeapi/forcetrigger?t=bxjpp2&amp;q=XLON%3aXNAS&amp;form=skydnc</v>
    <v>Learn more on Bing</v>
  </rv>
  <rv s="14">
    <v>34</v>
    <v>X NASDAQ 100 UCITS ETF 1C (XLON:XNAS)</v>
    <v>35</v>
    <v>36</v>
    <v>Finance</v>
    <v>49</v>
    <v>en-US</v>
    <v>bxjpp2</v>
    <v>268435456</v>
    <v>1</v>
    <v>Powered by Refinitiv</v>
    <v>58.27</v>
    <v>37.74</v>
    <v>1.1051</v>
    <v>-1.4999999999999999E-2</v>
    <v>-2.6069999999999999E-4</v>
    <v>USD</v>
    <v>London Stock Exchange</v>
    <v>XLON</v>
    <v>2E-3</v>
    <v>57.75</v>
    <v>ETF</v>
    <v>45946.66327305547</v>
    <v>259</v>
    <v>57.47</v>
    <v>1860372611.6900001</v>
    <v>X NASDAQ 100 UCITS ETF 1C</v>
    <v>57.51</v>
    <v>57.545000000000002</v>
    <v>57.53</v>
    <v>XNAS</v>
    <v>X NASDAQ 100 UCITS ETF 1C (XLON:XNAS)</v>
    <v>14981</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1.8712</v>
    <v>9.7799999999999994</v>
    <v>9.6850000000000009E-3</v>
    <v>-2.19</v>
    <v>-2.1479999999999997E-3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1049.3800000000001</v>
    <v>Semiconductors &amp; Semiconductor Equipment</v>
    <v>Stock</v>
    <v>45946.869117464841</v>
    <v>263</v>
    <v>1011.1</v>
    <v>393237700000</v>
    <v>ASML Holding NV</v>
    <v>ASML Holding NV</v>
    <v>1037.165</v>
    <v>34.224400000000003</v>
    <v>1009.81</v>
    <v>1019.59</v>
    <v>1017.4</v>
    <v>388147700</v>
    <v>ASML</v>
    <v>ASML Holding NV (XNAS:ASML)</v>
    <v>1934584</v>
    <v>1826774</v>
    <v>1994</v>
  </rv>
  <rv s="2">
    <v>264</v>
  </rv>
  <rv s="18">
    <v>50</v>
    <v>Big Tree Cloud Holdings Limited (XNAS:DSY)</v>
    <v>30</v>
    <v>51</v>
    <v>Finance</v>
    <v>5</v>
    <v>en-US</v>
    <v>c8kfk2</v>
    <v>268435456</v>
    <v>1</v>
    <v>Powered by Refinitiv</v>
    <v>7.33</v>
    <v>0.71</v>
    <v>1.8E-3</v>
    <v>2.4320000000000001E-3</v>
    <v>0</v>
    <v>0</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0.7661</v>
    <v>Personal &amp; Household Products &amp; Services</v>
    <v>Stock</v>
    <v>45946.859103332812</v>
    <v>0.71</v>
    <v>70498772</v>
    <v>Big Tree Cloud Holdings Limited</v>
    <v>Big Tree Cloud Holdings Limited</v>
    <v>0.76349999999999996</v>
    <v>66.232100000000003</v>
    <v>0.74</v>
    <v>0.74180000000000001</v>
    <v>0.74180000000000001</v>
    <v>95037440</v>
    <v>DSY</v>
    <v>Big Tree Cloud Holdings Limited (XNAS:DSY)</v>
    <v>138445</v>
    <v>456204</v>
  </rv>
  <rv s="2">
    <v>266</v>
  </rv>
  <rv s="0">
    <v>https://www.bing.com/financeapi/forcetrigger?t=a1v3sm&amp;q=XNYS%3aIAG&amp;form=skydnc</v>
    <v>Learn more on Bing</v>
  </rv>
  <rv s="1">
    <v>0</v>
    <v>IAMGOLD CORPORATION (XNYS:IAG)</v>
    <v>2</v>
    <v>11</v>
    <v>Finance</v>
    <v>4</v>
    <v>en-US</v>
    <v>a1v3sm</v>
    <v>268435456</v>
    <v>1</v>
    <v>Powered by Refinitiv</v>
    <v>14.67</v>
    <v>4.8899999999999997</v>
    <v>1.4427000000000001</v>
    <v>0.39500000000000002</v>
    <v>2.7699999999999999E-2</v>
    <v>0.06</v>
    <v>4.0980000000000001E-3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14.67</v>
    <v>Metals &amp; Mining</v>
    <v>Stock</v>
    <v>45946.867148992969</v>
    <v>268</v>
    <v>14.2302</v>
    <v>11531580000</v>
    <v>IAMGOLD CORPORATION</v>
    <v>IAMGOLD CORPORATION</v>
    <v>14.65</v>
    <v>10.3146</v>
    <v>14.26</v>
    <v>14.654999999999999</v>
    <v>14.7</v>
    <v>575141200</v>
    <v>IAG</v>
    <v>IAMGOLD CORPORATION (XNYS:IAG)</v>
    <v>13478588</v>
    <v>16481292</v>
    <v>2017</v>
  </rv>
  <rv s="2">
    <v>269</v>
  </rv>
  <rv s="0">
    <v>https://www.bing.com/financeapi/forcetrigger?t=bvct77&amp;q=XFRA%3aNQA&amp;form=skydnc</v>
    <v>Learn more on Bing</v>
  </rv>
  <rv s="19">
    <v>52</v>
    <v>Note AB (publ) (XFRA:NQA)</v>
    <v>2</v>
    <v>53</v>
    <v>Finance</v>
    <v>10</v>
    <v>en-US</v>
    <v>bvct77</v>
    <v>268435456</v>
    <v>1</v>
    <v>Powered by Refinitiv</v>
    <v>0.91180000000000005</v>
    <v>-1.36</v>
    <v>-7.6275999999999997E-2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17.600000000000001</v>
    <v>Semiconductors &amp; Semiconductor Equipment</v>
    <v>Stock</v>
    <v>45946.836805555555</v>
    <v>271</v>
    <v>16.47</v>
    <v>5701074000</v>
    <v>Note AB (publ)</v>
    <v>Note AB (publ)</v>
    <v>17.600000000000001</v>
    <v>19.3765</v>
    <v>17.829999999999998</v>
    <v>16.47</v>
    <v>28983600</v>
    <v>NQA</v>
    <v>Note AB (publ) (XFRA:NQA)</v>
    <v>90</v>
    <v>74340</v>
    <v>1990</v>
  </rv>
  <rv s="2">
    <v>272</v>
  </rv>
  <rv s="0">
    <v>https://www.bing.com/financeapi/forcetrigger?t=a1rjbh&amp;q=XNYS%3aE&amp;form=skydnc</v>
    <v>Learn more on Bing</v>
  </rv>
  <rv s="20">
    <v>54</v>
    <v>Eni SpA (XNYS:E)</v>
    <v>2</v>
    <v>55</v>
    <v>Finance</v>
    <v>5</v>
    <v>en-US</v>
    <v>a1rjbh</v>
    <v>268435456</v>
    <v>1</v>
    <v>Powered by Refinitiv</v>
    <v>36.049999999999997</v>
    <v>24.65</v>
    <v>0.88900000000000001</v>
    <v>-0.1</v>
    <v>-2.9149999999999996E-3</v>
    <v>-0.1</v>
    <v>-2.9239999999999999E-3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34.58</v>
    <v>Oil &amp; Gas</v>
    <v>Stock</v>
    <v>45946.843550821097</v>
    <v>274</v>
    <v>34.18</v>
    <v>53761950000</v>
    <v>Eni SpA</v>
    <v>Eni SpA</v>
    <v>34.5</v>
    <v>18.499500000000001</v>
    <v>34.299999999999997</v>
    <v>34.200000000000003</v>
    <v>34.1</v>
    <v>1573383000</v>
    <v>E</v>
    <v>Eni SpA (XNYS:E)</v>
    <v>247024</v>
    <v>222084</v>
  </rv>
  <rv s="2">
    <v>275</v>
  </rv>
  <rv s="0">
    <v>https://www.bing.com/financeapi/forcetrigger?t=aazgim&amp;q=XTSE%3aORA&amp;form=skydnc</v>
    <v>Learn more on Bing</v>
  </rv>
  <rv s="20">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17">
      <v>7</v>
      <v>Name</v>
    </spb>
    <spb s="18">
      <v>1</v>
      <v>1</v>
      <v>1</v>
    </spb>
    <spb s="0">
      <v>8</v>
      <v>Name</v>
      <v>LearnMoreOnLink</v>
    </spb>
    <spb s="19">
      <v>12</v>
      <v>2</v>
      <v>2</v>
      <v>12</v>
      <v>3</v>
      <v>12</v>
      <v>12</v>
      <v>12</v>
      <v>4</v>
      <v>4</v>
      <v>5</v>
      <v>13</v>
      <v>12</v>
      <v>12</v>
      <v>12</v>
      <v>4</v>
      <v>7</v>
      <v>9</v>
      <v>4</v>
    </spb>
    <spb s="6">
      <v>Delayed 15 minutes</v>
      <v>from previous close</v>
      <v>from previous close</v>
      <v>Borsa Italia</v>
      <v>GMT</v>
    </spb>
    <spb s="0">
      <v>9</v>
      <v>Name</v>
      <v>LearnMoreOnLink</v>
    </spb>
    <spb s="20">
      <v>1</v>
      <v>1</v>
      <v>1</v>
    </spb>
    <spb s="21">
      <v>1</v>
      <v>2</v>
      <v>1</v>
      <v>3</v>
      <v>1</v>
      <v>1</v>
      <v>1</v>
      <v>4</v>
      <v>5</v>
      <v>6</v>
      <v>1</v>
      <v>1</v>
      <v>5</v>
      <v>1</v>
      <v>7</v>
      <v>9</v>
    </spb>
    <spb s="17">
      <v>10</v>
      <v>Name</v>
    </spb>
    <spb s="22">
      <v>1</v>
      <v>1</v>
    </spb>
    <spb s="23">
      <v>1</v>
      <v>1</v>
      <v>3</v>
      <v>1</v>
      <v>1</v>
      <v>1</v>
      <v>5</v>
      <v>1</v>
      <v>1</v>
      <v>1</v>
      <v>7</v>
      <v>9</v>
    </spb>
    <spb s="24">
      <v>GMT</v>
    </spb>
    <spb s="23">
      <v>18</v>
      <v>18</v>
      <v>3</v>
      <v>18</v>
      <v>18</v>
      <v>18</v>
      <v>5</v>
      <v>18</v>
      <v>18</v>
      <v>18</v>
      <v>7</v>
      <v>9</v>
    </spb>
    <spb s="23">
      <v>20</v>
      <v>20</v>
      <v>3</v>
      <v>20</v>
      <v>20</v>
      <v>20</v>
      <v>5</v>
      <v>20</v>
      <v>20</v>
      <v>20</v>
      <v>7</v>
      <v>9</v>
    </spb>
    <spb s="23">
      <v>21</v>
      <v>21</v>
      <v>3</v>
      <v>21</v>
      <v>21</v>
      <v>21</v>
      <v>5</v>
      <v>21</v>
      <v>21</v>
      <v>21</v>
      <v>7</v>
      <v>9</v>
    </spb>
    <spb s="23">
      <v>22</v>
      <v>22</v>
      <v>3</v>
      <v>22</v>
      <v>22</v>
      <v>22</v>
      <v>5</v>
      <v>22</v>
      <v>22</v>
      <v>22</v>
      <v>7</v>
      <v>9</v>
    </spb>
    <spb s="23">
      <v>23</v>
      <v>23</v>
      <v>3</v>
      <v>23</v>
      <v>23</v>
      <v>23</v>
      <v>5</v>
      <v>23</v>
      <v>23</v>
      <v>23</v>
      <v>7</v>
      <v>9</v>
    </spb>
    <spb s="0">
      <v>11</v>
      <v>Name</v>
      <v>LearnMoreOnLink</v>
    </spb>
    <spb s="25">
      <v>1</v>
      <v>1</v>
      <v>3</v>
      <v>1</v>
      <v>1</v>
      <v>1</v>
      <v>5</v>
      <v>1</v>
      <v>1</v>
      <v>1</v>
      <v>9</v>
    </spb>
    <spb s="26">
      <v>from previous close</v>
      <v>from previous close</v>
    </spb>
    <spb s="27">
      <v>Delayed 15 minutes</v>
      <v>from previous close</v>
      <v>LSE</v>
      <v>from previous close</v>
      <v>GMT</v>
    </spb>
    <spb s="17">
      <v>12</v>
      <v>Name</v>
    </spb>
    <spb s="28">
      <v>1</v>
      <v>2</v>
      <v>1</v>
      <v>3</v>
      <v>1</v>
      <v>1</v>
      <v>1</v>
      <v>4</v>
      <v>4</v>
      <v>5</v>
      <v>6</v>
      <v>1</v>
      <v>1</v>
      <v>1</v>
      <v>4</v>
      <v>7</v>
      <v>9</v>
      <v>4</v>
      <v>1</v>
      <v>1</v>
      <v>5</v>
    </spb>
    <spb s="0">
      <v>13</v>
      <v>Name</v>
      <v>LearnMoreOnLink</v>
    </spb>
    <spb s="29">
      <v>12</v>
      <v>2</v>
      <v>2</v>
      <v>12</v>
      <v>3</v>
      <v>12</v>
      <v>12</v>
      <v>12</v>
      <v>4</v>
      <v>4</v>
      <v>5</v>
      <v>17</v>
      <v>12</v>
      <v>4</v>
      <v>7</v>
      <v>8</v>
      <v>9</v>
      <v>4</v>
    </spb>
    <spb s="0">
      <v>14</v>
      <v>Name</v>
      <v>LearnMoreOnLink</v>
    </spb>
    <spb s="30">
      <v>1</v>
      <v>2</v>
      <v>2</v>
      <v>1</v>
      <v>3</v>
      <v>1</v>
      <v>1</v>
      <v>1</v>
      <v>4</v>
      <v>4</v>
      <v>5</v>
      <v>6</v>
      <v>1</v>
      <v>1</v>
      <v>1</v>
      <v>4</v>
      <v>7</v>
      <v>9</v>
      <v>4</v>
      <v>1</v>
      <v>1</v>
      <v>5</v>
    </spb>
    <spb s="30">
      <v>22</v>
      <v>2</v>
      <v>2</v>
      <v>22</v>
      <v>3</v>
      <v>22</v>
      <v>22</v>
      <v>22</v>
      <v>4</v>
      <v>4</v>
      <v>5</v>
      <v>14</v>
      <v>22</v>
      <v>22</v>
      <v>22</v>
      <v>4</v>
      <v>7</v>
      <v>9</v>
      <v>4</v>
      <v>22</v>
      <v>22</v>
      <v>5</v>
    </spb>
    <spb s="31">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C22" sqref="C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45946.870319652342</v>
      </c>
      <c r="B1" s="2" t="s">
        <v>0</v>
      </c>
      <c r="C1" s="2"/>
      <c r="D1" s="3"/>
      <c r="E1" s="4" t="s">
        <v>0</v>
      </c>
      <c r="F1" s="5">
        <f ca="1">NOW()</f>
        <v>45946.956454050924</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0.85572479890467223</v>
      </c>
      <c r="C3" s="16" t="e" vm="1">
        <v>#VALUE!</v>
      </c>
      <c r="D3" s="17" t="str" cm="1">
        <f t="array" aca="1" ref="D3" ca="1">_FV(RTData[[#This Row],[Company Name]],"Currency")</f>
        <v>USD</v>
      </c>
      <c r="E3" s="18" cm="1">
        <f t="array" aca="1" ref="E3" ca="1">_FV(RTData[[#This Row],[Company Name]],"Last trade time",TRUE)</f>
        <v>45946.869938645315</v>
      </c>
      <c r="F3" s="19" cm="1">
        <f t="array" aca="1" ref="F3" ca="1">_FV(RTData[[#This Row],[Company Name]],"Previous close",TRUE)</f>
        <v>249.34</v>
      </c>
      <c r="G3" s="19" cm="1">
        <f t="array" aca="1" ref="G3" ca="1">_FV(RTData[[#This Row],[Company Name]],"Open")</f>
        <v>248.25</v>
      </c>
      <c r="H3" s="19" cm="1">
        <f t="array" aca="1" ref="H3" ca="1">_FV(RTData[[#This Row],[Company Name]],"Price")</f>
        <v>247.45</v>
      </c>
      <c r="I3" s="19" cm="1">
        <f t="array" aca="1" ref="I3" ca="1">_FV(RTData[[#This Row],[Company Name]],"Low")</f>
        <v>245.13</v>
      </c>
      <c r="J3" s="19" cm="1">
        <f t="array" aca="1" ref="J3" ca="1">_FV(RTData[[#This Row],[Company Name]],"High")</f>
        <v>249.04</v>
      </c>
      <c r="K3" s="20" cm="1">
        <f t="array" aca="1" ref="K3" ca="1">IFERROR(_FV(RTData[[#This Row],[Company Name]],"P/E",TRUE),99)</f>
        <v>34.129600000000003</v>
      </c>
      <c r="L3" s="21" cm="1">
        <f t="array" aca="1" ref="L3" ca="1">_FV(RTData[[#This Row],[Company Name]],"Change")</f>
        <v>-1.89</v>
      </c>
      <c r="M3" s="22" cm="1">
        <f t="array" aca="1" ref="M3" ca="1">_FV(RTData[[#This Row],[Company Name]],"Change (%)",TRUE)</f>
        <v>-7.5799999999999999E-3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39642645</v>
      </c>
      <c r="Q3" s="23" cm="1">
        <f t="array" aca="1" ref="Q3" ca="1">_FV(RTData[[#This Row],[Company Name]],"Volume average",TRUE)</f>
        <v>52612446</v>
      </c>
      <c r="R3" s="19" cm="1">
        <f t="array" aca="1" ref="R3" ca="1">_FV(RTData[[#This Row],[Company Name]],"Beta")</f>
        <v>1.0864</v>
      </c>
      <c r="T3" t="s">
        <v>20</v>
      </c>
      <c r="U3" t="str" cm="1">
        <f t="array" aca="1" ref="U3" ca="1">_FV(RTData[[#This Row],[Company Name]],"Exchange abbreviation",TRUE)</f>
        <v>XNAS</v>
      </c>
      <c r="V3" s="24">
        <f ca="1">IFERROR(RTData[[#This Row],[Volume]]/RTData[[#This Row],[Volume average]],1)</f>
        <v>0.75348416608496016</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0.85572479890467223</v>
      </c>
      <c r="C4" s="25" t="e" vm="2">
        <v>#VALUE!</v>
      </c>
      <c r="D4" s="17" t="str" cm="1">
        <f t="array" aca="1" ref="D4" ca="1">_FV(RTData[[#This Row],[Company Name]],"Currency")</f>
        <v>USD</v>
      </c>
      <c r="E4" s="18" cm="1">
        <f t="array" aca="1" ref="E4" ca="1">_FV(RTData[[#This Row],[Company Name]],"Last trade time",TRUE)</f>
        <v>45946.840333517968</v>
      </c>
      <c r="F4" s="19" cm="1">
        <f t="array" aca="1" ref="F4" ca="1">_FV(RTData[[#This Row],[Company Name]],"Previous close",TRUE)</f>
        <v>17.27</v>
      </c>
      <c r="G4" s="19" cm="1">
        <f t="array" aca="1" ref="G4" ca="1">_FV(RTData[[#This Row],[Company Name]],"Open")</f>
        <v>17.309999999999999</v>
      </c>
      <c r="H4" s="19" cm="1">
        <f t="array" aca="1" ref="H4" ca="1">_FV(RTData[[#This Row],[Company Name]],"Price")</f>
        <v>16.61</v>
      </c>
      <c r="I4" s="19" cm="1">
        <f t="array" aca="1" ref="I4" ca="1">_FV(RTData[[#This Row],[Company Name]],"Low")</f>
        <v>16.559999999999999</v>
      </c>
      <c r="J4" s="19" cm="1">
        <f t="array" aca="1" ref="J4" ca="1">_FV(RTData[[#This Row],[Company Name]],"High")</f>
        <v>17.364999999999998</v>
      </c>
      <c r="K4" s="20" cm="1">
        <f t="array" aca="1" ref="K4" ca="1">IFERROR(_FV(RTData[[#This Row],[Company Name]],"P/E",TRUE),99)</f>
        <v>23.2913</v>
      </c>
      <c r="L4" s="21" cm="1">
        <f t="array" aca="1" ref="L4" ca="1">_FV(RTData[[#This Row],[Company Name]],"Change")</f>
        <v>-0.66</v>
      </c>
      <c r="M4" s="22" cm="1">
        <f t="array" aca="1" ref="M4" ca="1">_FV(RTData[[#This Row],[Company Name]],"Change (%)",TRUE)</f>
        <v>-3.8217000000000001E-2</v>
      </c>
      <c r="N4" s="19" cm="1">
        <f t="array" aca="1" ref="N4" ca="1">_FV(RTData[[#This Row],[Company Name]],"52 week low",TRUE)</f>
        <v>10.59</v>
      </c>
      <c r="O4" s="19" cm="1">
        <f t="array" aca="1" ref="O4" ca="1">_FV(RTData[[#This Row],[Company Name]],"52 week high",TRUE)</f>
        <v>18.25</v>
      </c>
      <c r="P4" s="23" cm="1">
        <f t="array" aca="1" ref="P4" ca="1">_FV(RTData[[#This Row],[Company Name]],"Volume")</f>
        <v>449614</v>
      </c>
      <c r="Q4" s="23" cm="1">
        <f t="array" aca="1" ref="Q4" ca="1">_FV(RTData[[#This Row],[Company Name]],"Volume average",TRUE)</f>
        <v>594255</v>
      </c>
      <c r="R4" s="19" cm="1">
        <f t="array" aca="1" ref="R4" ca="1">_FV(RTData[[#This Row],[Company Name]],"Beta")</f>
        <v>2.5731999999999999</v>
      </c>
      <c r="T4" t="s">
        <v>20</v>
      </c>
      <c r="U4" t="str" cm="1">
        <f t="array" aca="1" ref="U4" ca="1">_FV(RTData[[#This Row],[Company Name]],"Exchange abbreviation",TRUE)</f>
        <v>XNAS</v>
      </c>
      <c r="V4" s="24">
        <f ca="1">IFERROR(RTData[[#This Row],[Volume]]/RTData[[#This Row],[Volume average]],1)</f>
        <v>0.75660112241377864</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1.1499540018399264E-2</v>
      </c>
      <c r="C5" s="25" t="e" vm="3">
        <v>#VALUE!</v>
      </c>
      <c r="D5" s="17" t="str" cm="1">
        <f t="array" aca="1" ref="D5" ca="1">_FV(RTData[[#This Row],[Company Name]],"Currency")</f>
        <v>GBp</v>
      </c>
      <c r="E5" s="18" cm="1">
        <f t="array" aca="1" ref="E5" ca="1">_FV(RTData[[#This Row],[Company Name]],"Last trade time",TRUE)</f>
        <v>45946.670939733594</v>
      </c>
      <c r="F5" s="19" cm="1">
        <f t="array" aca="1" ref="F5" ca="1">_FV(RTData[[#This Row],[Company Name]],"Previous close",TRUE)</f>
        <v>42.1</v>
      </c>
      <c r="G5" s="19" cm="1">
        <f t="array" aca="1" ref="G5" ca="1">_FV(RTData[[#This Row],[Company Name]],"Open")</f>
        <v>42.2</v>
      </c>
      <c r="H5" s="19" cm="1">
        <f t="array" aca="1" ref="H5" ca="1">_FV(RTData[[#This Row],[Company Name]],"Price")</f>
        <v>41</v>
      </c>
      <c r="I5" s="19" cm="1">
        <f t="array" aca="1" ref="I5" ca="1">_FV(RTData[[#This Row],[Company Name]],"Low")</f>
        <v>41</v>
      </c>
      <c r="J5" s="19" cm="1">
        <f t="array" aca="1" ref="J5" ca="1">_FV(RTData[[#This Row],[Company Name]],"High")</f>
        <v>42.2</v>
      </c>
      <c r="K5" s="20" cm="1">
        <f t="array" aca="1" ref="K5" ca="1">IFERROR(_FV(RTData[[#This Row],[Company Name]],"P/E",TRUE),99)</f>
        <v>3.5590000000000002</v>
      </c>
      <c r="L5" s="21" cm="1">
        <f t="array" aca="1" ref="L5" ca="1">_FV(RTData[[#This Row],[Company Name]],"Change")</f>
        <v>-1.1000000000000001</v>
      </c>
      <c r="M5" s="22" cm="1">
        <f t="array" aca="1" ref="M5" ca="1">_FV(RTData[[#This Row],[Company Name]],"Change (%)",TRUE)</f>
        <v>-2.6127999999999998E-2</v>
      </c>
      <c r="N5" s="26" cm="1">
        <f t="array" aca="1" ref="N5" ca="1">_FV(RTData[[#This Row],[Company Name]],"52 week low",TRUE)</f>
        <v>33.064999999999998</v>
      </c>
      <c r="O5" s="26" cm="1">
        <f t="array" aca="1" ref="O5" ca="1">_FV(RTData[[#This Row],[Company Name]],"52 week high",TRUE)</f>
        <v>56.2</v>
      </c>
      <c r="P5" s="23" cm="1">
        <f t="array" aca="1" ref="P5" ca="1">_FV(RTData[[#This Row],[Company Name]],"Volume")</f>
        <v>910393</v>
      </c>
      <c r="Q5" s="23" cm="1">
        <f t="array" aca="1" ref="Q5" ca="1">_FV(RTData[[#This Row],[Company Name]],"Volume average",TRUE)</f>
        <v>798100</v>
      </c>
      <c r="R5" s="19" cm="1">
        <f t="array" aca="1" ref="R5" ca="1">_FV(RTData[[#This Row],[Company Name]],"Beta")</f>
        <v>1.1556999999999999</v>
      </c>
      <c r="T5" t="s">
        <v>20</v>
      </c>
      <c r="U5" t="str" cm="1">
        <f t="array" aca="1" ref="U5" ca="1">_FV(RTData[[#This Row],[Company Name]],"Exchange abbreviation",TRUE)</f>
        <v>XLON</v>
      </c>
      <c r="V5" s="24">
        <f ca="1">IFERROR(RTData[[#This Row],[Volume]]/RTData[[#This Row],[Volume average]],1)</f>
        <v>1.1407004134820198</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0.85572479890467223</v>
      </c>
      <c r="C6" t="e" vm="4">
        <v>#VALUE!</v>
      </c>
      <c r="D6" s="17" t="str" cm="1">
        <f t="array" aca="1" ref="D6" ca="1">_FV(RTData[[#This Row],[Company Name]],"Currency")</f>
        <v>USD</v>
      </c>
      <c r="E6" s="18" cm="1">
        <f t="array" aca="1" ref="E6" ca="1">_FV(RTData[[#This Row],[Company Name]],"Last trade time",TRUE)</f>
        <v>45946.870295925779</v>
      </c>
      <c r="F6" s="19" cm="1">
        <f t="array" aca="1" ref="F6" ca="1">_FV(RTData[[#This Row],[Company Name]],"Previous close",TRUE)</f>
        <v>215.57</v>
      </c>
      <c r="G6" s="19" cm="1">
        <f t="array" aca="1" ref="G6" ca="1">_FV(RTData[[#This Row],[Company Name]],"Open")</f>
        <v>215.67</v>
      </c>
      <c r="H6" s="19" cm="1">
        <f t="array" aca="1" ref="H6" ca="1">_FV(RTData[[#This Row],[Company Name]],"Price")</f>
        <v>214.47</v>
      </c>
      <c r="I6" s="19" cm="1">
        <f t="array" aca="1" ref="I6" ca="1">_FV(RTData[[#This Row],[Company Name]],"Low")</f>
        <v>212.81010000000001</v>
      </c>
      <c r="J6" s="19" cm="1">
        <f t="array" aca="1" ref="J6" ca="1">_FV(RTData[[#This Row],[Company Name]],"High")</f>
        <v>218.59</v>
      </c>
      <c r="K6" s="20" cm="1">
        <f t="array" aca="1" ref="K6" ca="1">IFERROR(_FV(RTData[[#This Row],[Company Name]],"P/E",TRUE),99)</f>
        <v>32.727499999999999</v>
      </c>
      <c r="L6" s="21" cm="1">
        <f t="array" aca="1" ref="L6" ca="1">_FV(RTData[[#This Row],[Company Name]],"Change")</f>
        <v>-1.1000000000000001</v>
      </c>
      <c r="M6" s="22" cm="1">
        <f t="array" aca="1" ref="M6" ca="1">_FV(RTData[[#This Row],[Company Name]],"Change (%)",TRUE)</f>
        <v>-5.1029999999999999E-3</v>
      </c>
      <c r="N6" s="19" cm="1">
        <f t="array" aca="1" ref="N6" ca="1">_FV(RTData[[#This Row],[Company Name]],"52 week low",TRUE)</f>
        <v>161.38</v>
      </c>
      <c r="O6" s="19" cm="1">
        <f t="array" aca="1" ref="O6" ca="1">_FV(RTData[[#This Row],[Company Name]],"52 week high",TRUE)</f>
        <v>242.52</v>
      </c>
      <c r="P6" s="23" cm="1">
        <f t="array" aca="1" ref="P6" ca="1">_FV(RTData[[#This Row],[Company Name]],"Volume")</f>
        <v>42177812</v>
      </c>
      <c r="Q6" s="23" cm="1">
        <f t="array" aca="1" ref="Q6" ca="1">_FV(RTData[[#This Row],[Company Name]],"Volume average",TRUE)</f>
        <v>47103929</v>
      </c>
      <c r="R6" s="19" cm="1">
        <f t="array" aca="1" ref="R6" ca="1">_FV(RTData[[#This Row],[Company Name]],"Beta")</f>
        <v>1.2847</v>
      </c>
      <c r="T6" t="s">
        <v>20</v>
      </c>
      <c r="U6" t="str" cm="1">
        <f t="array" aca="1" ref="U6" ca="1">_FV(RTData[[#This Row],[Company Name]],"Exchange abbreviation",TRUE)</f>
        <v>XNAS</v>
      </c>
      <c r="V6" s="24">
        <f ca="1">IFERROR(RTData[[#This Row],[Volume]]/RTData[[#This Row],[Volume average]],1)</f>
        <v>0.89542025252288404</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45946.666666666664</v>
      </c>
      <c r="F7" s="28" cm="1">
        <f t="array" aca="1" ref="F7" ca="1">_FV(RTData[[#This Row],[Company Name]],"Previous close",TRUE)</f>
        <v>0.83799999999999997</v>
      </c>
      <c r="G7" s="19" cm="1">
        <f t="array" aca="1" ref="G7" ca="1">_FV(RTData[[#This Row],[Company Name]],"Open")</f>
        <v>0.82</v>
      </c>
      <c r="H7" s="28" cm="1">
        <f t="array" aca="1" ref="H7" ca="1">_FV(RTData[[#This Row],[Company Name]],"Price")</f>
        <v>0.83</v>
      </c>
      <c r="I7" s="28" cm="1">
        <f t="array" aca="1" ref="I7" ca="1">_FV(RTData[[#This Row],[Company Name]],"Low")</f>
        <v>0.81</v>
      </c>
      <c r="J7" s="28" cm="1">
        <f t="array" aca="1" ref="J7" ca="1">_FV(RTData[[#This Row],[Company Name]],"High")</f>
        <v>0.83399999999999996</v>
      </c>
      <c r="K7" s="20" cm="1">
        <f t="array" aca="1" ref="K7" ca="1">IFERROR(_FV(RTData[[#This Row],[Company Name]],"P/E",TRUE),99)</f>
        <v>0</v>
      </c>
      <c r="L7" s="21" cm="1">
        <f t="array" aca="1" ref="L7" ca="1">_FV(RTData[[#This Row],[Company Name]],"Change")</f>
        <v>-8.0000000000000002E-3</v>
      </c>
      <c r="M7" s="22" cm="1">
        <f t="array" aca="1" ref="M7" ca="1">_FV(RTData[[#This Row],[Company Name]],"Change (%)",TRUE)</f>
        <v>-9.5469999999999999E-3</v>
      </c>
      <c r="N7" s="28" cm="1">
        <f t="array" aca="1" ref="N7" ca="1">_FV(RTData[[#This Row],[Company Name]],"52 week low",TRUE)</f>
        <v>0.65</v>
      </c>
      <c r="O7" s="28" cm="1">
        <f t="array" aca="1" ref="O7" ca="1">_FV(RTData[[#This Row],[Company Name]],"52 week high",TRUE)</f>
        <v>1.53</v>
      </c>
      <c r="P7" s="23" cm="1">
        <f t="array" aca="1" ref="P7" ca="1">_FV(RTData[[#This Row],[Company Name]],"Volume")</f>
        <v>1032</v>
      </c>
      <c r="Q7" s="23" cm="1">
        <f t="array" aca="1" ref="Q7" ca="1">_FV(RTData[[#This Row],[Company Name]],"Volume average",TRUE)</f>
        <v>2690</v>
      </c>
      <c r="R7" s="19" cm="1">
        <f t="array" aca="1" ref="R7" ca="1">_FV(RTData[[#This Row],[Company Name]],"Beta")</f>
        <v>1.0415000000000001</v>
      </c>
      <c r="T7" t="s">
        <v>20</v>
      </c>
      <c r="U7" t="str" cm="1">
        <f t="array" aca="1" ref="U7" ca="1">_FV(RTData[[#This Row],[Company Name]],"Exchange abbreviation",TRUE)</f>
        <v>XPAR</v>
      </c>
      <c r="V7" s="24">
        <f ca="1">IFERROR(RTData[[#This Row],[Volume]]/RTData[[#This Row],[Volume average]],1)</f>
        <v>0.38364312267657991</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45946.666666666664</v>
      </c>
      <c r="F8" s="28" cm="1">
        <f t="array" aca="1" ref="F8" ca="1">_FV(RTData[[#This Row],[Company Name]],"Previous close",TRUE)</f>
        <v>873</v>
      </c>
      <c r="G8" s="28" cm="1">
        <f t="array" aca="1" ref="G8" ca="1">_FV(RTData[[#This Row],[Company Name]],"Open")</f>
        <v>883.7</v>
      </c>
      <c r="H8" s="28" cm="1">
        <f t="array" aca="1" ref="H8" ca="1">_FV(RTData[[#This Row],[Company Name]],"Price")</f>
        <v>877.4</v>
      </c>
      <c r="I8" s="28" cm="1">
        <f t="array" aca="1" ref="I8" ca="1">_FV(RTData[[#This Row],[Company Name]],"Low")</f>
        <v>874</v>
      </c>
      <c r="J8" s="28" cm="1">
        <f t="array" aca="1" ref="J8" ca="1">_FV(RTData[[#This Row],[Company Name]],"High")</f>
        <v>900.5</v>
      </c>
      <c r="K8" s="20" cm="1">
        <f t="array" aca="1" ref="K8" ca="1">IFERROR(_FV(RTData[[#This Row],[Company Name]],"P/E",TRUE),99)</f>
        <v>33.689</v>
      </c>
      <c r="L8" s="21" cm="1">
        <f t="array" aca="1" ref="L8" ca="1">_FV(RTData[[#This Row],[Company Name]],"Change")</f>
        <v>4.4000000000000004</v>
      </c>
      <c r="M8" s="22" cm="1">
        <f t="array" aca="1" ref="M8" ca="1">_FV(RTData[[#This Row],[Company Name]],"Change (%)",TRUE)</f>
        <v>5.0400000000000002E-3</v>
      </c>
      <c r="N8" s="28" cm="1">
        <f t="array" aca="1" ref="N8" ca="1">_FV(RTData[[#This Row],[Company Name]],"52 week low",TRUE)</f>
        <v>508.4</v>
      </c>
      <c r="O8" s="28" cm="1">
        <f t="array" aca="1" ref="O8" ca="1">_FV(RTData[[#This Row],[Company Name]],"52 week high",TRUE)</f>
        <v>905.1</v>
      </c>
      <c r="P8" s="23" cm="1">
        <f t="array" aca="1" ref="P8" ca="1">_FV(RTData[[#This Row],[Company Name]],"Volume")</f>
        <v>703225</v>
      </c>
      <c r="Q8" s="23" cm="1">
        <f t="array" aca="1" ref="Q8" ca="1">_FV(RTData[[#This Row],[Company Name]],"Volume average",TRUE)</f>
        <v>804760</v>
      </c>
      <c r="R8" s="19" cm="1">
        <f t="array" aca="1" ref="R8" ca="1">_FV(RTData[[#This Row],[Company Name]],"Beta")</f>
        <v>1.9593</v>
      </c>
      <c r="T8" t="s">
        <v>20</v>
      </c>
      <c r="U8" t="str" cm="1">
        <f t="array" aca="1" ref="U8" ca="1">_FV(RTData[[#This Row],[Company Name]],"Exchange abbreviation",TRUE)</f>
        <v>XAMS</v>
      </c>
      <c r="V8" s="24">
        <f ca="1">IFERROR(RTData[[#This Row],[Volume]]/RTData[[#This Row],[Volume average]],1)</f>
        <v>0.87383194989810631</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45946.870161214843</v>
      </c>
      <c r="F9" s="19" cm="1">
        <f t="array" aca="1" ref="F9" ca="1">_FV(RTData[[#This Row],[Company Name]],"Previous close",TRUE)</f>
        <v>351.33</v>
      </c>
      <c r="G9" s="19" cm="1">
        <f t="array" aca="1" ref="G9" ca="1">_FV(RTData[[#This Row],[Company Name]],"Open")</f>
        <v>356.8</v>
      </c>
      <c r="H9" s="19" cm="1">
        <f t="array" aca="1" ref="H9" ca="1">_FV(RTData[[#This Row],[Company Name]],"Price")</f>
        <v>354.15</v>
      </c>
      <c r="I9" s="19" cm="1">
        <f t="array" aca="1" ref="I9" ca="1">_FV(RTData[[#This Row],[Company Name]],"Low")</f>
        <v>349.48500000000001</v>
      </c>
      <c r="J9" s="19" cm="1">
        <f t="array" aca="1" ref="J9" ca="1">_FV(RTData[[#This Row],[Company Name]],"High")</f>
        <v>363.24</v>
      </c>
      <c r="K9" s="20" cm="1">
        <f t="array" aca="1" ref="K9" ca="1">IFERROR(_FV(RTData[[#This Row],[Company Name]],"P/E",TRUE),99)</f>
        <v>90.784400000000005</v>
      </c>
      <c r="L9" s="21" cm="1">
        <f t="array" aca="1" ref="L9" ca="1">_FV(RTData[[#This Row],[Company Name]],"Change")</f>
        <v>2.82</v>
      </c>
      <c r="M9" s="22" cm="1">
        <f t="array" aca="1" ref="M9" ca="1">_FV(RTData[[#This Row],[Company Name]],"Change (%)",TRUE)</f>
        <v>8.0269999999999994E-3</v>
      </c>
      <c r="N9" s="19" cm="1">
        <f t="array" aca="1" ref="N9" ca="1">_FV(RTData[[#This Row],[Company Name]],"52 week low",TRUE)</f>
        <v>138.1</v>
      </c>
      <c r="O9" s="19" cm="1">
        <f t="array" aca="1" ref="O9" ca="1">_FV(RTData[[#This Row],[Company Name]],"52 week high",TRUE)</f>
        <v>374.23</v>
      </c>
      <c r="P9" s="23" cm="1">
        <f t="array" aca="1" ref="P9" ca="1">_FV(RTData[[#This Row],[Company Name]],"Volume")</f>
        <v>19950114</v>
      </c>
      <c r="Q9" s="23" cm="1">
        <f t="array" aca="1" ref="Q9" ca="1">_FV(RTData[[#This Row],[Company Name]],"Volume average",TRUE)</f>
        <v>24673440</v>
      </c>
      <c r="R9" s="19" cm="1">
        <f t="array" aca="1" ref="R9" ca="1">_FV(RTData[[#This Row],[Company Name]],"Beta")</f>
        <v>1.1911</v>
      </c>
      <c r="S9"/>
      <c r="T9"/>
      <c r="U9" t="str" cm="1">
        <f t="array" aca="1" ref="U9" ca="1">_FV(RTData[[#This Row],[Company Name]],"Exchange abbreviation",TRUE)</f>
        <v>XNAS</v>
      </c>
      <c r="V9" s="107">
        <f ca="1">IFERROR(RTData[[#This Row],[Volume]]/RTData[[#This Row],[Volume average]],1)</f>
        <v>0.80856637744878701</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45946.867140034374</v>
      </c>
      <c r="F10" s="19" cm="1">
        <f t="array" aca="1" ref="F10" ca="1">_FV(RTData[[#This Row],[Company Name]],"Previous close",TRUE)</f>
        <v>84.83</v>
      </c>
      <c r="G10" s="19" cm="1">
        <f t="array" aca="1" ref="G10" ca="1">_FV(RTData[[#This Row],[Company Name]],"Open")</f>
        <v>83.52</v>
      </c>
      <c r="H10" s="19" cm="1">
        <f t="array" aca="1" ref="H10" ca="1">_FV(RTData[[#This Row],[Company Name]],"Price")</f>
        <v>83.83</v>
      </c>
      <c r="I10" s="19" cm="1">
        <f t="array" aca="1" ref="I10" ca="1">_FV(RTData[[#This Row],[Company Name]],"Low")</f>
        <v>83.094999999999999</v>
      </c>
      <c r="J10" s="19" cm="1">
        <f t="array" aca="1" ref="J10" ca="1">_FV(RTData[[#This Row],[Company Name]],"High")</f>
        <v>84.415000000000006</v>
      </c>
      <c r="K10" s="20" cm="1">
        <f t="array" aca="1" ref="K10" ca="1">IFERROR(_FV(RTData[[#This Row],[Company Name]],"P/E",TRUE),99)</f>
        <v>31.561299999999999</v>
      </c>
      <c r="L10" s="21" cm="1">
        <f t="array" aca="1" ref="L10" ca="1">_FV(RTData[[#This Row],[Company Name]],"Change")</f>
        <v>-1</v>
      </c>
      <c r="M10" s="22" cm="1">
        <f t="array" aca="1" ref="M10" ca="1">_FV(RTData[[#This Row],[Company Name]],"Change (%)",TRUE)</f>
        <v>-1.1788E-2</v>
      </c>
      <c r="N10" s="19" cm="1">
        <f t="array" aca="1" ref="N10" ca="1">_FV(RTData[[#This Row],[Company Name]],"52 week low",TRUE)</f>
        <v>61.24</v>
      </c>
      <c r="O10" s="19" cm="1">
        <f t="array" aca="1" ref="O10" ca="1">_FV(RTData[[#This Row],[Company Name]],"52 week high",TRUE)</f>
        <v>86.57</v>
      </c>
      <c r="P10" s="23" cm="1">
        <f t="array" aca="1" ref="P10" ca="1">_FV(RTData[[#This Row],[Company Name]],"Volume")</f>
        <v>4325770</v>
      </c>
      <c r="Q10" s="23" cm="1">
        <f t="array" aca="1" ref="Q10" ca="1">_FV(RTData[[#This Row],[Company Name]],"Volume average",TRUE)</f>
        <v>5870377</v>
      </c>
      <c r="R10" s="19" cm="1">
        <f t="array" aca="1" ref="R10" ca="1">_FV(RTData[[#This Row],[Company Name]],"Beta")</f>
        <v>0.33</v>
      </c>
      <c r="U10" t="str" cm="1">
        <f t="array" aca="1" ref="U10" ca="1">_FV(RTData[[#This Row],[Company Name]],"Exchange abbreviation",TRUE)</f>
        <v>XNAS</v>
      </c>
      <c r="V10" s="107">
        <f ca="1">IFERROR(RTData[[#This Row],[Volume]]/RTData[[#This Row],[Volume average]],1)</f>
        <v>0.73688112364844716</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0.85572479890467223</v>
      </c>
      <c r="C11" t="e" vm="10">
        <v>#VALUE!</v>
      </c>
      <c r="D11" s="29" t="str" cm="1">
        <f t="array" aca="1" ref="D11" ca="1">_FV(RTData[[#This Row],[Company Name]],"Currency")</f>
        <v>USD</v>
      </c>
      <c r="E11" s="30" cm="1">
        <f t="array" aca="1" ref="E11" ca="1">_FV(RTData[[#This Row],[Company Name]],"Last trade time",TRUE)</f>
        <v>45946.865039525001</v>
      </c>
      <c r="F11" s="19" cm="1">
        <f t="array" aca="1" ref="F11" ca="1">_FV(RTData[[#This Row],[Company Name]],"Previous close",TRUE)</f>
        <v>3.76</v>
      </c>
      <c r="G11" s="19" cm="1">
        <f t="array" aca="1" ref="G11" ca="1">_FV(RTData[[#This Row],[Company Name]],"Open")</f>
        <v>3.86</v>
      </c>
      <c r="H11" s="19" cm="1">
        <f t="array" aca="1" ref="H11" ca="1">_FV(RTData[[#This Row],[Company Name]],"Price")</f>
        <v>3.67</v>
      </c>
      <c r="I11" s="31" cm="1">
        <f t="array" aca="1" ref="I11" ca="1">_FV(RTData[[#This Row],[Company Name]],"Low")</f>
        <v>3.66</v>
      </c>
      <c r="J11" s="31" cm="1">
        <f t="array" aca="1" ref="J11" ca="1">_FV(RTData[[#This Row],[Company Name]],"High")</f>
        <v>4.03</v>
      </c>
      <c r="K11" s="20" cm="1">
        <f t="array" aca="1" ref="K11" ca="1">IFERROR(_FV(RTData[[#This Row],[Company Name]],"P/E",TRUE),99)</f>
        <v>0</v>
      </c>
      <c r="L11" s="32" cm="1">
        <f t="array" aca="1" ref="L11" ca="1">_FV(RTData[[#This Row],[Company Name]],"Change")</f>
        <v>-0.09</v>
      </c>
      <c r="M11" s="33" cm="1">
        <f t="array" aca="1" ref="M11" ca="1">_FV(RTData[[#This Row],[Company Name]],"Change (%)",TRUE)</f>
        <v>-2.3936000000000002E-2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7238360</v>
      </c>
      <c r="Q11" s="34" cm="1">
        <f t="array" aca="1" ref="Q11" ca="1">_FV(RTData[[#This Row],[Company Name]],"Volume average",TRUE)</f>
        <v>9789584</v>
      </c>
      <c r="R11" s="31" cm="1">
        <f t="array" aca="1" ref="R11" ca="1">_FV(RTData[[#This Row],[Company Name]],"Beta")</f>
        <v>1.9767999999999999</v>
      </c>
      <c r="S11" s="35"/>
      <c r="T11" t="s">
        <v>20</v>
      </c>
      <c r="U11" s="35" t="str" cm="1">
        <f t="array" aca="1" ref="U11" ca="1">_FV(RTData[[#This Row],[Company Name]],"Exchange abbreviation",TRUE)</f>
        <v>XNAS</v>
      </c>
      <c r="V11" s="93">
        <f ca="1">IFERROR(RTData[[#This Row],[Volume]]/RTData[[#This Row],[Volume average]],1)</f>
        <v>0.73939403349519239</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0.85572479890467223</v>
      </c>
      <c r="C12" t="e" vm="11">
        <v>#VALUE!</v>
      </c>
      <c r="D12" s="17" t="str" cm="1">
        <f t="array" aca="1" ref="D12" ca="1">_FV(RTData[[#This Row],[Company Name]],"Currency")</f>
        <v>USD</v>
      </c>
      <c r="E12" s="18" cm="1">
        <f t="array" aca="1" ref="E12" ca="1">_FV(RTData[[#This Row],[Company Name]],"Last trade time",TRUE)</f>
        <v>45946.869848714843</v>
      </c>
      <c r="F12" s="19" cm="1">
        <f t="array" aca="1" ref="F12" ca="1">_FV(RTData[[#This Row],[Company Name]],"Previous close",TRUE)</f>
        <v>2.86</v>
      </c>
      <c r="G12" s="19" cm="1">
        <f t="array" aca="1" ref="G12" ca="1">_FV(RTData[[#This Row],[Company Name]],"Open")</f>
        <v>2.6850000000000001</v>
      </c>
      <c r="H12" s="19" cm="1">
        <f t="array" aca="1" ref="H12" ca="1">_FV(RTData[[#This Row],[Company Name]],"Price")</f>
        <v>3.01</v>
      </c>
      <c r="I12" s="19" cm="1">
        <f t="array" aca="1" ref="I12" ca="1">_FV(RTData[[#This Row],[Company Name]],"Low")</f>
        <v>2.62</v>
      </c>
      <c r="J12" s="19" cm="1">
        <f t="array" aca="1" ref="J12" ca="1">_FV(RTData[[#This Row],[Company Name]],"High")</f>
        <v>3.09</v>
      </c>
      <c r="K12" s="20" cm="1">
        <f t="array" aca="1" ref="K12" ca="1">IFERROR(_FV(RTData[[#This Row],[Company Name]],"P/E",TRUE),99)</f>
        <v>0</v>
      </c>
      <c r="L12" s="21" cm="1">
        <f t="array" aca="1" ref="L12" ca="1">_FV(RTData[[#This Row],[Company Name]],"Change")</f>
        <v>0.15</v>
      </c>
      <c r="M12" s="22" cm="1">
        <f t="array" aca="1" ref="M12" ca="1">_FV(RTData[[#This Row],[Company Name]],"Change (%)",TRUE)</f>
        <v>5.2447999999999995E-2</v>
      </c>
      <c r="N12" s="19" cm="1">
        <f t="array" aca="1" ref="N12" ca="1">_FV(RTData[[#This Row],[Company Name]],"52 week low",TRUE)</f>
        <v>2.08</v>
      </c>
      <c r="O12" s="19" cm="1">
        <f t="array" aca="1" ref="O12" ca="1">_FV(RTData[[#This Row],[Company Name]],"52 week high",TRUE)</f>
        <v>10.16</v>
      </c>
      <c r="P12" s="23" cm="1">
        <f t="array" aca="1" ref="P12" ca="1">_FV(RTData[[#This Row],[Company Name]],"Volume")</f>
        <v>4092224</v>
      </c>
      <c r="Q12" s="23" cm="1">
        <f t="array" aca="1" ref="Q12" ca="1">_FV(RTData[[#This Row],[Company Name]],"Volume average",TRUE)</f>
        <v>33029</v>
      </c>
      <c r="R12" s="19" cm="1">
        <f t="array" aca="1" ref="R12" ca="1">_FV(RTData[[#This Row],[Company Name]],"Beta")</f>
        <v>0.27229999999999999</v>
      </c>
      <c r="T12" t="s">
        <v>20</v>
      </c>
      <c r="U12" t="str" cm="1">
        <f t="array" aca="1" ref="U12" ca="1">_FV(RTData[[#This Row],[Company Name]],"Exchange abbreviation",TRUE)</f>
        <v>XNAS</v>
      </c>
      <c r="V12" s="24">
        <f ca="1">IFERROR(RTData[[#This Row],[Volume]]/RTData[[#This Row],[Volume average]],1)</f>
        <v>123.89790789911896</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0.85572479890467223</v>
      </c>
      <c r="C13" t="e" vm="12">
        <v>#VALUE!</v>
      </c>
      <c r="D13" s="17" t="str" cm="1">
        <f t="array" aca="1" ref="D13" ca="1">_FV(RTData[[#This Row],[Company Name]],"Currency")</f>
        <v>USD</v>
      </c>
      <c r="E13" s="18" cm="1">
        <f t="array" aca="1" ref="E13" ca="1">_FV(RTData[[#This Row],[Company Name]],"Last trade time",TRUE)</f>
        <v>45946.868534803129</v>
      </c>
      <c r="F13" s="19" cm="1">
        <f t="array" aca="1" ref="F13" ca="1">_FV(RTData[[#This Row],[Company Name]],"Previous close",TRUE)</f>
        <v>99.78</v>
      </c>
      <c r="G13" s="19" cm="1">
        <f t="array" aca="1" ref="G13" ca="1">_FV(RTData[[#This Row],[Company Name]],"Open")</f>
        <v>100.21</v>
      </c>
      <c r="H13" s="19" cm="1">
        <f t="array" aca="1" ref="H13" ca="1">_FV(RTData[[#This Row],[Company Name]],"Price")</f>
        <v>96.28</v>
      </c>
      <c r="I13" s="19" cm="1">
        <f t="array" aca="1" ref="I13" ca="1">_FV(RTData[[#This Row],[Company Name]],"Low")</f>
        <v>95.234999999999999</v>
      </c>
      <c r="J13" s="19" cm="1">
        <f t="array" aca="1" ref="J13" ca="1">_FV(RTData[[#This Row],[Company Name]],"High")</f>
        <v>100.7</v>
      </c>
      <c r="K13" s="20" cm="1">
        <f t="array" aca="1" ref="K13" ca="1">IFERROR(_FV(RTData[[#This Row],[Company Name]],"P/E",TRUE),99)</f>
        <v>14.0266</v>
      </c>
      <c r="L13" s="21" cm="1">
        <f t="array" aca="1" ref="L13" ca="1">_FV(RTData[[#This Row],[Company Name]],"Change")</f>
        <v>-3.5</v>
      </c>
      <c r="M13" s="22" cm="1">
        <f t="array" aca="1" ref="M13" ca="1">_FV(RTData[[#This Row],[Company Name]],"Change (%)",TRUE)</f>
        <v>-3.5076999999999997E-2</v>
      </c>
      <c r="N13" s="19" cm="1">
        <f t="array" aca="1" ref="N13" ca="1">_FV(RTData[[#This Row],[Company Name]],"52 week low",TRUE)</f>
        <v>55.51</v>
      </c>
      <c r="O13" s="19" cm="1">
        <f t="array" aca="1" ref="O13" ca="1">_FV(RTData[[#This Row],[Company Name]],"52 week high",TRUE)</f>
        <v>105.59</v>
      </c>
      <c r="P13" s="23" cm="1">
        <f t="array" aca="1" ref="P13" ca="1">_FV(RTData[[#This Row],[Company Name]],"Volume")</f>
        <v>20069187</v>
      </c>
      <c r="Q13" s="23" cm="1">
        <f t="array" aca="1" ref="Q13" ca="1">_FV(RTData[[#This Row],[Company Name]],"Volume average",TRUE)</f>
        <v>14164705</v>
      </c>
      <c r="R13" s="19" cm="1">
        <f t="array" aca="1" ref="R13" ca="1">_FV(RTData[[#This Row],[Company Name]],"Beta")</f>
        <v>1.3584000000000001</v>
      </c>
      <c r="T13" t="s">
        <v>20</v>
      </c>
      <c r="U13" t="str" cm="1">
        <f t="array" aca="1" ref="U13" ca="1">_FV(RTData[[#This Row],[Company Name]],"Exchange abbreviation",TRUE)</f>
        <v>XNYS</v>
      </c>
      <c r="V13" s="24">
        <f ca="1">IFERROR(RTData[[#This Row],[Volume]]/RTData[[#This Row],[Volume average]],1)</f>
        <v>1.4168446854346772</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0.85572479890467223</v>
      </c>
      <c r="C14" t="e" vm="13">
        <v>#VALUE!</v>
      </c>
      <c r="D14" s="17" t="str" cm="1">
        <f t="array" aca="1" ref="D14" ca="1">_FV(RTData[[#This Row],[Company Name]],"Currency")</f>
        <v>USD</v>
      </c>
      <c r="E14" s="18" cm="1">
        <f t="array" aca="1" ref="E14" ca="1">_FV(RTData[[#This Row],[Company Name]],"Last trade time",TRUE)</f>
        <v>45946.869587835157</v>
      </c>
      <c r="F14" s="19" cm="1">
        <f t="array" aca="1" ref="F14" ca="1">_FV(RTData[[#This Row],[Company Name]],"Previous close",TRUE)</f>
        <v>69.52</v>
      </c>
      <c r="G14" s="19" cm="1">
        <f t="array" aca="1" ref="G14" ca="1">_FV(RTData[[#This Row],[Company Name]],"Open")</f>
        <v>69.78</v>
      </c>
      <c r="H14" s="19" cm="1">
        <f t="array" aca="1" ref="H14" ca="1">_FV(RTData[[#This Row],[Company Name]],"Price")</f>
        <v>69.09</v>
      </c>
      <c r="I14" s="19" cm="1">
        <f t="array" aca="1" ref="I14" ca="1">_FV(RTData[[#This Row],[Company Name]],"Low")</f>
        <v>68.569999999999993</v>
      </c>
      <c r="J14" s="19" cm="1">
        <f t="array" aca="1" ref="J14" ca="1">_FV(RTData[[#This Row],[Company Name]],"High")</f>
        <v>70.069999999999993</v>
      </c>
      <c r="K14" s="20" cm="1">
        <f t="array" aca="1" ref="K14" ca="1">IFERROR(_FV(RTData[[#This Row],[Company Name]],"P/E",TRUE),99)</f>
        <v>29.3889</v>
      </c>
      <c r="L14" s="21" cm="1">
        <f t="array" aca="1" ref="L14" ca="1">_FV(RTData[[#This Row],[Company Name]],"Change")</f>
        <v>-0.43</v>
      </c>
      <c r="M14" s="22" cm="1">
        <f t="array" aca="1" ref="M14" ca="1">_FV(RTData[[#This Row],[Company Name]],"Change (%)",TRUE)</f>
        <v>-6.1850000000000004E-3</v>
      </c>
      <c r="N14" s="19" cm="1">
        <f t="array" aca="1" ref="N14" ca="1">_FV(RTData[[#This Row],[Company Name]],"52 week low",TRUE)</f>
        <v>52.11</v>
      </c>
      <c r="O14" s="19" cm="1">
        <f t="array" aca="1" ref="O14" ca="1">_FV(RTData[[#This Row],[Company Name]],"52 week high",TRUE)</f>
        <v>72.55</v>
      </c>
      <c r="P14" s="23" cm="1">
        <f t="array" aca="1" ref="P14" ca="1">_FV(RTData[[#This Row],[Company Name]],"Volume")</f>
        <v>13935516</v>
      </c>
      <c r="Q14" s="23" cm="1">
        <f t="array" aca="1" ref="Q14" ca="1">_FV(RTData[[#This Row],[Company Name]],"Volume average",TRUE)</f>
        <v>19697116</v>
      </c>
      <c r="R14" s="19" cm="1">
        <f t="array" aca="1" ref="R14" ca="1">_FV(RTData[[#This Row],[Company Name]],"Beta")</f>
        <v>0.94350000000000001</v>
      </c>
      <c r="T14" t="s">
        <v>20</v>
      </c>
      <c r="U14" t="str" cm="1">
        <f t="array" aca="1" ref="U14" ca="1">_FV(RTData[[#This Row],[Company Name]],"Exchange abbreviation",TRUE)</f>
        <v>XNAS</v>
      </c>
      <c r="V14" s="24">
        <f ca="1">IFERROR(RTData[[#This Row],[Volume]]/RTData[[#This Row],[Volume average]],1)</f>
        <v>0.70749017267299441</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0.85572479890467223</v>
      </c>
      <c r="C15" t="e" vm="14">
        <v>#VALUE!</v>
      </c>
      <c r="D15" s="17" t="str" cm="1">
        <f t="array" aca="1" ref="D15" ca="1">_FV(RTData[[#This Row],[Company Name]],"Currency")</f>
        <v>USD</v>
      </c>
      <c r="E15" s="18" cm="1">
        <f t="array" aca="1" ref="E15" ca="1">_FV(RTData[[#This Row],[Company Name]],"Last trade time",TRUE)</f>
        <v>45946.870001238283</v>
      </c>
      <c r="F15" s="19" cm="1">
        <f t="array" aca="1" ref="F15" ca="1">_FV(RTData[[#This Row],[Company Name]],"Previous close",TRUE)</f>
        <v>80.67</v>
      </c>
      <c r="G15" s="19" cm="1">
        <f t="array" aca="1" ref="G15" ca="1">_FV(RTData[[#This Row],[Company Name]],"Open")</f>
        <v>80.73</v>
      </c>
      <c r="H15" s="19" cm="1">
        <f t="array" aca="1" ref="H15" ca="1">_FV(RTData[[#This Row],[Company Name]],"Price")</f>
        <v>81.400000000000006</v>
      </c>
      <c r="I15" s="19" cm="1">
        <f t="array" aca="1" ref="I15" ca="1">_FV(RTData[[#This Row],[Company Name]],"Low")</f>
        <v>80.632400000000004</v>
      </c>
      <c r="J15" s="19" cm="1">
        <f t="array" aca="1" ref="J15" ca="1">_FV(RTData[[#This Row],[Company Name]],"High")</f>
        <v>81.905000000000001</v>
      </c>
      <c r="K15" s="20" cm="1">
        <f t="array" aca="1" ref="K15" ca="1">IFERROR(_FV(RTData[[#This Row],[Company Name]],"P/E",TRUE),99)</f>
        <v>22.717099999999999</v>
      </c>
      <c r="L15" s="21" cm="1">
        <f t="array" aca="1" ref="L15" ca="1">_FV(RTData[[#This Row],[Company Name]],"Change")</f>
        <v>0.73</v>
      </c>
      <c r="M15" s="22" cm="1">
        <f t="array" aca="1" ref="M15" ca="1">_FV(RTData[[#This Row],[Company Name]],"Change (%)",TRUE)</f>
        <v>9.0489999999999998E-3</v>
      </c>
      <c r="N15" s="19" cm="1">
        <f t="array" aca="1" ref="N15" ca="1">_FV(RTData[[#This Row],[Company Name]],"52 week low",TRUE)</f>
        <v>43.56</v>
      </c>
      <c r="O15" s="19" cm="1">
        <f t="array" aca="1" ref="O15" ca="1">_FV(RTData[[#This Row],[Company Name]],"52 week high",TRUE)</f>
        <v>81.93</v>
      </c>
      <c r="P15" s="23" cm="1">
        <f t="array" aca="1" ref="P15" ca="1">_FV(RTData[[#This Row],[Company Name]],"Volume")</f>
        <v>6750448</v>
      </c>
      <c r="Q15" s="23" cm="1">
        <f t="array" aca="1" ref="Q15" ca="1">_FV(RTData[[#This Row],[Company Name]],"Volume average",TRUE)</f>
        <v>7405154</v>
      </c>
      <c r="R15" s="19" cm="1">
        <f t="array" aca="1" ref="R15" ca="1">_FV(RTData[[#This Row],[Company Name]],"Beta")</f>
        <v>0.59289999999999998</v>
      </c>
      <c r="T15" t="s">
        <v>20</v>
      </c>
      <c r="U15" t="str" cm="1">
        <f t="array" aca="1" ref="U15" ca="1">_FV(RTData[[#This Row],[Company Name]],"Exchange abbreviation",TRUE)</f>
        <v>XNYS</v>
      </c>
      <c r="V15" s="24">
        <f ca="1">IFERROR(RTData[[#This Row],[Volume]]/RTData[[#This Row],[Volume average]],1)</f>
        <v>0.91158779412285007</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0.85572479890467223</v>
      </c>
      <c r="C16" t="e" vm="15">
        <v>#VALUE!</v>
      </c>
      <c r="D16" s="17" t="str" cm="1">
        <f t="array" aca="1" ref="D16" ca="1">_FV(RTData[[#This Row],[Company Name]],"Currency")</f>
        <v>USD</v>
      </c>
      <c r="E16" s="18" cm="1">
        <f t="array" aca="1" ref="E16" ca="1">_FV(RTData[[#This Row],[Company Name]],"Last trade time",TRUE)</f>
        <v>45946.855090300778</v>
      </c>
      <c r="F16" s="19" cm="1">
        <f t="array" aca="1" ref="F16" ca="1">_FV(RTData[[#This Row],[Company Name]],"Previous close",TRUE)</f>
        <v>3.27</v>
      </c>
      <c r="G16" s="19" cm="1">
        <f t="array" aca="1" ref="G16" ca="1">_FV(RTData[[#This Row],[Company Name]],"Open")</f>
        <v>3.31</v>
      </c>
      <c r="H16" s="19" cm="1">
        <f t="array" aca="1" ref="H16" ca="1">_FV(RTData[[#This Row],[Company Name]],"Price")</f>
        <v>3.26</v>
      </c>
      <c r="I16" s="19" cm="1">
        <f t="array" aca="1" ref="I16" ca="1">_FV(RTData[[#This Row],[Company Name]],"Low")</f>
        <v>3.23</v>
      </c>
      <c r="J16" s="19" cm="1">
        <f t="array" aca="1" ref="J16" ca="1">_FV(RTData[[#This Row],[Company Name]],"High")</f>
        <v>3.5497000000000001</v>
      </c>
      <c r="K16" s="20" cm="1">
        <f t="array" ref="K16">IFERROR(_FV(RTData[[#This Row],[Company Name]],"P/E",TRUE),99)</f>
        <v>99</v>
      </c>
      <c r="L16" s="21" cm="1">
        <f t="array" aca="1" ref="L16" ca="1">_FV(RTData[[#This Row],[Company Name]],"Change")</f>
        <v>-0.01</v>
      </c>
      <c r="M16" s="22" cm="1">
        <f t="array" aca="1" ref="M16" ca="1">_FV(RTData[[#This Row],[Company Name]],"Change (%)",TRUE)</f>
        <v>-3.058E-3</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4907524</v>
      </c>
      <c r="Q16" s="23" cm="1">
        <f t="array" aca="1" ref="Q16" ca="1">_FV(RTData[[#This Row],[Company Name]],"Volume average",TRUE)</f>
        <v>4484637</v>
      </c>
      <c r="R16" s="19" cm="1">
        <f t="array" aca="1" ref="R16" ca="1">_FV(RTData[[#This Row],[Company Name]],"Beta")</f>
        <v>2.1697000000000002</v>
      </c>
      <c r="T16" t="s">
        <v>20</v>
      </c>
      <c r="U16" t="str" cm="1">
        <f t="array" aca="1" ref="U16" ca="1">_FV(RTData[[#This Row],[Company Name]],"Exchange abbreviation",TRUE)</f>
        <v>XNYS</v>
      </c>
      <c r="V16" s="24">
        <f ca="1">IFERROR(RTData[[#This Row],[Volume]]/RTData[[#This Row],[Volume average]],1)</f>
        <v>1.0942968182263135</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0.85572479890467223</v>
      </c>
      <c r="C17" t="e" vm="16">
        <v>#VALUE!</v>
      </c>
      <c r="D17" s="17" t="str" cm="1">
        <f t="array" aca="1" ref="D17" ca="1">_FV(RTData[[#This Row],[Company Name]],"Currency")</f>
        <v>USD</v>
      </c>
      <c r="E17" s="18" cm="1">
        <f t="array" aca="1" ref="E17" ca="1">_FV(RTData[[#This Row],[Company Name]],"Last trade time",TRUE)</f>
        <v>45946.870246863284</v>
      </c>
      <c r="F17" s="19" cm="1">
        <f t="array" aca="1" ref="F17" ca="1">_FV(RTData[[#This Row],[Company Name]],"Previous close",TRUE)</f>
        <v>111.71</v>
      </c>
      <c r="G17" s="19" cm="1">
        <f t="array" aca="1" ref="G17" ca="1">_FV(RTData[[#This Row],[Company Name]],"Open")</f>
        <v>111.79</v>
      </c>
      <c r="H17" s="19" cm="1">
        <f t="array" aca="1" ref="H17" ca="1">_FV(RTData[[#This Row],[Company Name]],"Price")</f>
        <v>109.895</v>
      </c>
      <c r="I17" s="19" cm="1">
        <f t="array" aca="1" ref="I17" ca="1">_FV(RTData[[#This Row],[Company Name]],"Low")</f>
        <v>108.51</v>
      </c>
      <c r="J17" s="19" cm="1">
        <f t="array" aca="1" ref="J17" ca="1">_FV(RTData[[#This Row],[Company Name]],"High")</f>
        <v>112.08499999999999</v>
      </c>
      <c r="K17" s="20" cm="1">
        <f t="array" aca="1" ref="K17" ca="1">IFERROR(_FV(RTData[[#This Row],[Company Name]],"P/E",TRUE),99)</f>
        <v>17.229199999999999</v>
      </c>
      <c r="L17" s="21" cm="1">
        <f t="array" aca="1" ref="L17" ca="1">_FV(RTData[[#This Row],[Company Name]],"Change")</f>
        <v>-1.8149999999999999</v>
      </c>
      <c r="M17" s="22" cm="1">
        <f t="array" aca="1" ref="M17" ca="1">_FV(RTData[[#This Row],[Company Name]],"Change (%)",TRUE)</f>
        <v>-1.6247000000000001E-2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7497798</v>
      </c>
      <c r="Q17" s="23" cm="1">
        <f t="array" aca="1" ref="Q17" ca="1">_FV(RTData[[#This Row],[Company Name]],"Volume average",TRUE)</f>
        <v>8856647</v>
      </c>
      <c r="R17" s="19" cm="1">
        <f t="array" aca="1" ref="R17" ca="1">_FV(RTData[[#This Row],[Company Name]],"Beta")</f>
        <v>1.5543</v>
      </c>
      <c r="T17" t="s">
        <v>20</v>
      </c>
      <c r="U17" t="str" cm="1">
        <f t="array" aca="1" ref="U17" ca="1">_FV(RTData[[#This Row],[Company Name]],"Exchange abbreviation",TRUE)</f>
        <v>XNYS</v>
      </c>
      <c r="V17" s="24">
        <f ca="1">IFERROR(RTData[[#This Row],[Volume]]/RTData[[#This Row],[Volume average]],1)</f>
        <v>0.84657297507736284</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0.85572479890467223</v>
      </c>
      <c r="C18" t="e" vm="17">
        <v>#VALUE!</v>
      </c>
      <c r="D18" s="17" t="str" cm="1">
        <f t="array" aca="1" ref="D18" ca="1">_FV(RTData[[#This Row],[Company Name]],"Currency")</f>
        <v>EUR</v>
      </c>
      <c r="E18" s="18" cm="1">
        <f t="array" aca="1" ref="E18" ca="1">_FV(RTData[[#This Row],[Company Name]],"Last trade time",TRUE)</f>
        <v>45946.666666666664</v>
      </c>
      <c r="F18" s="19" cm="1">
        <f t="array" aca="1" ref="F18" ca="1">_FV(RTData[[#This Row],[Company Name]],"Previous close",TRUE)</f>
        <v>28.88</v>
      </c>
      <c r="G18" s="19" cm="1">
        <f t="array" aca="1" ref="G18" ca="1">_FV(RTData[[#This Row],[Company Name]],"Open")</f>
        <v>28.83</v>
      </c>
      <c r="H18" s="19" cm="1">
        <f t="array" aca="1" ref="H18" ca="1">_FV(RTData[[#This Row],[Company Name]],"Price")</f>
        <v>29.38</v>
      </c>
      <c r="I18" s="19" cm="1">
        <f t="array" aca="1" ref="I18" ca="1">_FV(RTData[[#This Row],[Company Name]],"Low")</f>
        <v>28.72</v>
      </c>
      <c r="J18" s="19" cm="1">
        <f t="array" aca="1" ref="J18" ca="1">_FV(RTData[[#This Row],[Company Name]],"High")</f>
        <v>29.44</v>
      </c>
      <c r="K18" s="20" cm="1">
        <f t="array" aca="1" ref="K18" ca="1">IFERROR(_FV(RTData[[#This Row],[Company Name]],"P/E",TRUE),99)</f>
        <v>33.758499999999998</v>
      </c>
      <c r="L18" s="21" cm="1">
        <f t="array" aca="1" ref="L18" ca="1">_FV(RTData[[#This Row],[Company Name]],"Change")</f>
        <v>0.5</v>
      </c>
      <c r="M18" s="22" cm="1">
        <f t="array" aca="1" ref="M18" ca="1">_FV(RTData[[#This Row],[Company Name]],"Change (%)",TRUE)</f>
        <v>1.7313000000000002E-2</v>
      </c>
      <c r="N18" s="19" cm="1">
        <f t="array" aca="1" ref="N18" ca="1">_FV(RTData[[#This Row],[Company Name]],"52 week low",TRUE)</f>
        <v>26.25</v>
      </c>
      <c r="O18" s="19" cm="1">
        <f t="array" aca="1" ref="O18" ca="1">_FV(RTData[[#This Row],[Company Name]],"52 week high",TRUE)</f>
        <v>41.17</v>
      </c>
      <c r="P18" s="23" cm="1">
        <f t="array" aca="1" ref="P18" ca="1">_FV(RTData[[#This Row],[Company Name]],"Volume")</f>
        <v>1427587</v>
      </c>
      <c r="Q18" s="23" cm="1">
        <f t="array" aca="1" ref="Q18" ca="1">_FV(RTData[[#This Row],[Company Name]],"Volume average",TRUE)</f>
        <v>1461880</v>
      </c>
      <c r="R18" s="19" cm="1">
        <f t="array" aca="1" ref="R18" ca="1">_FV(RTData[[#This Row],[Company Name]],"Beta")</f>
        <v>0.67320000000000002</v>
      </c>
      <c r="T18" t="s">
        <v>20</v>
      </c>
      <c r="U18" t="str" cm="1">
        <f t="array" aca="1" ref="U18" ca="1">_FV(RTData[[#This Row],[Company Name]],"Exchange abbreviation",TRUE)</f>
        <v>XPAR</v>
      </c>
      <c r="V18" s="24">
        <f ca="1">IFERROR(RTData[[#This Row],[Volume]]/RTData[[#This Row],[Volume average]],1)</f>
        <v>0.9765418502202643</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45946.846515497658</v>
      </c>
      <c r="F19" s="28" cm="1">
        <f t="array" aca="1" ref="F19" ca="1">_FV(RTData[[#This Row],[Company Name]],"Previous close",TRUE)</f>
        <v>126</v>
      </c>
      <c r="G19" s="28" cm="1">
        <f t="array" aca="1" ref="G19" ca="1">_FV(RTData[[#This Row],[Company Name]],"Open")</f>
        <v>126</v>
      </c>
      <c r="H19" s="28" cm="1">
        <f t="array" aca="1" ref="H19" ca="1">_FV(RTData[[#This Row],[Company Name]],"Price")</f>
        <v>125.25</v>
      </c>
      <c r="I19" s="28" cm="1">
        <f t="array" aca="1" ref="I19" ca="1">_FV(RTData[[#This Row],[Company Name]],"Low")</f>
        <v>124.76</v>
      </c>
      <c r="J19" s="28" cm="1">
        <f t="array" aca="1" ref="J19" ca="1">_FV(RTData[[#This Row],[Company Name]],"High")</f>
        <v>126.94</v>
      </c>
      <c r="K19" s="20" cm="1">
        <f t="array" aca="1" ref="K19" ca="1">IFERROR(_FV(RTData[[#This Row],[Company Name]],"P/E",TRUE),99)</f>
        <v>12.307</v>
      </c>
      <c r="L19" s="21" cm="1">
        <f t="array" aca="1" ref="L19" ca="1">_FV(RTData[[#This Row],[Company Name]],"Change")</f>
        <v>-0.75</v>
      </c>
      <c r="M19" s="22" cm="1">
        <f t="array" aca="1" ref="M19" ca="1">_FV(RTData[[#This Row],[Company Name]],"Change (%)",TRUE)</f>
        <v>-5.9519999999999998E-3</v>
      </c>
      <c r="N19" s="28" cm="1">
        <f t="array" aca="1" ref="N19" ca="1">_FV(RTData[[#This Row],[Company Name]],"52 week low",TRUE)</f>
        <v>122.925</v>
      </c>
      <c r="O19" s="28" cm="1">
        <f t="array" aca="1" ref="O19" ca="1">_FV(RTData[[#This Row],[Company Name]],"52 week high",TRUE)</f>
        <v>179.6</v>
      </c>
      <c r="P19" s="23" cm="1">
        <f t="array" aca="1" ref="P19" ca="1">_FV(RTData[[#This Row],[Company Name]],"Volume")</f>
        <v>542155</v>
      </c>
      <c r="Q19" s="23" cm="1">
        <f t="array" aca="1" ref="Q19" ca="1">_FV(RTData[[#This Row],[Company Name]],"Volume average",TRUE)</f>
        <v>782434</v>
      </c>
      <c r="R19" s="28" cm="1">
        <f t="array" aca="1" ref="R19" ca="1">_FV(RTData[[#This Row],[Company Name]],"Beta")</f>
        <v>1.1437999999999999</v>
      </c>
      <c r="T19" t="s">
        <v>20</v>
      </c>
      <c r="U19" t="str" cm="1">
        <f t="array" aca="1" ref="U19" ca="1">_FV(RTData[[#This Row],[Company Name]],"Exchange abbreviation",TRUE)</f>
        <v>XNYS</v>
      </c>
      <c r="V19" s="24">
        <f ca="1">IFERROR(RTData[[#This Row],[Volume]]/RTData[[#This Row],[Volume average]],1)</f>
        <v>0.69290828363798096</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0.85572479890467223</v>
      </c>
      <c r="C20" t="e" vm="19">
        <v>#VALUE!</v>
      </c>
      <c r="D20" s="17" t="str" cm="1">
        <f t="array" aca="1" ref="D20" ca="1">_FV(RTData[[#This Row],[Company Name]],"Currency")</f>
        <v>USD</v>
      </c>
      <c r="E20" s="18" cm="1">
        <f t="array" aca="1" ref="E20" ca="1">_FV(RTData[[#This Row],[Company Name]],"Last trade time",TRUE)</f>
        <v>45946.867166457814</v>
      </c>
      <c r="F20" s="19" cm="1">
        <f t="array" aca="1" ref="F20" ca="1">_FV(RTData[[#This Row],[Company Name]],"Previous close",TRUE)</f>
        <v>13.1</v>
      </c>
      <c r="G20" s="19" cm="1">
        <f t="array" aca="1" ref="G20" ca="1">_FV(RTData[[#This Row],[Company Name]],"Open")</f>
        <v>13.07</v>
      </c>
      <c r="H20" s="19" cm="1">
        <f t="array" aca="1" ref="H20" ca="1">_FV(RTData[[#This Row],[Company Name]],"Price")</f>
        <v>12.824999999999999</v>
      </c>
      <c r="I20" s="19" cm="1">
        <f t="array" aca="1" ref="I20" ca="1">_FV(RTData[[#This Row],[Company Name]],"Low")</f>
        <v>12.63</v>
      </c>
      <c r="J20" s="19" cm="1">
        <f t="array" aca="1" ref="J20" ca="1">_FV(RTData[[#This Row],[Company Name]],"High")</f>
        <v>13.12</v>
      </c>
      <c r="K20" s="20" cm="1">
        <f t="array" aca="1" ref="K20" ca="1">IFERROR(_FV(RTData[[#This Row],[Company Name]],"P/E",TRUE),99)</f>
        <v>6.2622</v>
      </c>
      <c r="L20" s="21" cm="1">
        <f t="array" aca="1" ref="L20" ca="1">_FV(RTData[[#This Row],[Company Name]],"Change")</f>
        <v>-0.27500000000000002</v>
      </c>
      <c r="M20" s="22" cm="1">
        <f t="array" aca="1" ref="M20" ca="1">_FV(RTData[[#This Row],[Company Name]],"Change (%)",TRUE)</f>
        <v>-2.0992E-2</v>
      </c>
      <c r="N20" s="19" cm="1">
        <f t="array" aca="1" ref="N20" ca="1">_FV(RTData[[#This Row],[Company Name]],"52 week low",TRUE)</f>
        <v>12.24</v>
      </c>
      <c r="O20" s="19" cm="1">
        <f t="array" aca="1" ref="O20" ca="1">_FV(RTData[[#This Row],[Company Name]],"52 week high",TRUE)</f>
        <v>24.83</v>
      </c>
      <c r="P20" s="23" cm="1">
        <f t="array" aca="1" ref="P20" ca="1">_FV(RTData[[#This Row],[Company Name]],"Volume")</f>
        <v>2149826</v>
      </c>
      <c r="Q20" s="23" cm="1">
        <f t="array" aca="1" ref="Q20" ca="1">_FV(RTData[[#This Row],[Company Name]],"Volume average",TRUE)</f>
        <v>1861245</v>
      </c>
      <c r="R20" s="19" cm="1">
        <f t="array" aca="1" ref="R20" ca="1">_FV(RTData[[#This Row],[Company Name]],"Beta")</f>
        <v>1.1546000000000001</v>
      </c>
      <c r="T20" t="s">
        <v>20</v>
      </c>
      <c r="U20" t="str" cm="1">
        <f t="array" aca="1" ref="U20" ca="1">_FV(RTData[[#This Row],[Company Name]],"Exchange abbreviation",TRUE)</f>
        <v>XNYS</v>
      </c>
      <c r="V20" s="24">
        <f ca="1">IFERROR(RTData[[#This Row],[Volume]]/RTData[[#This Row],[Volume average]],1)</f>
        <v>1.1550472936126088</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0.85572479890467223</v>
      </c>
      <c r="C21" t="e" vm="20">
        <v>#VALUE!</v>
      </c>
      <c r="D21" s="17" t="str" cm="1">
        <f t="array" aca="1" ref="D21" ca="1">_FV(RTData[[#This Row],[Company Name]],"Currency")</f>
        <v>EUR</v>
      </c>
      <c r="E21" s="18" cm="1">
        <f t="array" aca="1" ref="E21" ca="1">_FV(RTData[[#This Row],[Company Name]],"Last trade time",TRUE)</f>
        <v>45946.836805555555</v>
      </c>
      <c r="F21" s="19" cm="1">
        <f t="array" aca="1" ref="F21" ca="1">_FV(RTData[[#This Row],[Company Name]],"Previous close",TRUE)</f>
        <v>16.2</v>
      </c>
      <c r="G21" s="19" cm="1">
        <f t="array" aca="1" ref="G21" ca="1">_FV(RTData[[#This Row],[Company Name]],"Open")</f>
        <v>16.239999999999998</v>
      </c>
      <c r="H21" s="19" cm="1">
        <f t="array" aca="1" ref="H21" ca="1">_FV(RTData[[#This Row],[Company Name]],"Price")</f>
        <v>16.25</v>
      </c>
      <c r="I21" s="19" cm="1">
        <f t="array" aca="1" ref="I21" ca="1">_FV(RTData[[#This Row],[Company Name]],"Low")</f>
        <v>16.13</v>
      </c>
      <c r="J21" s="19" cm="1">
        <f t="array" aca="1" ref="J21" ca="1">_FV(RTData[[#This Row],[Company Name]],"High")</f>
        <v>16.305</v>
      </c>
      <c r="K21" s="20" cm="1">
        <f t="array" aca="1" ref="K21" ca="1">IFERROR(_FV(RTData[[#This Row],[Company Name]],"P/E",TRUE),99)</f>
        <v>13.4298</v>
      </c>
      <c r="L21" s="21" cm="1">
        <f t="array" aca="1" ref="L21" ca="1">_FV(RTData[[#This Row],[Company Name]],"Change")</f>
        <v>0.05</v>
      </c>
      <c r="M21" s="22" cm="1">
        <f t="array" aca="1" ref="M21" ca="1">_FV(RTData[[#This Row],[Company Name]],"Change (%)",TRUE)</f>
        <v>3.0859999999999998E-3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7915</v>
      </c>
      <c r="Q21" s="23" cm="1">
        <f t="array" aca="1" ref="Q21" ca="1">_FV(RTData[[#This Row],[Company Name]],"Volume average",TRUE)</f>
        <v>3019760</v>
      </c>
      <c r="R21" s="19" cm="1">
        <f t="array" aca="1" ref="R21" ca="1">_FV(RTData[[#This Row],[Company Name]],"Beta")</f>
        <v>0.72060000000000002</v>
      </c>
      <c r="T21" t="s">
        <v>20</v>
      </c>
      <c r="U21" t="str" cm="1">
        <f t="array" aca="1" ref="U21" ca="1">_FV(RTData[[#This Row],[Company Name]],"Exchange abbreviation",TRUE)</f>
        <v>XFRA</v>
      </c>
      <c r="V21" s="24">
        <f ca="1">IFERROR(RTData[[#This Row],[Volume]]/RTData[[#This Row],[Volume average]],1)</f>
        <v>2.621069224044295E-3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0.85572479890467223</v>
      </c>
      <c r="C23" t="e" vm="22">
        <v>#VALUE!</v>
      </c>
      <c r="D23" s="17" t="str" cm="1">
        <f t="array" aca="1" ref="D23" ca="1">_FV(RTData[[#This Row],[Company Name]],"Currency")</f>
        <v>USD</v>
      </c>
      <c r="E23" s="18" cm="1">
        <f t="array" aca="1" ref="E23" ca="1">_FV(RTData[[#This Row],[Company Name]],"Last trade time",TRUE)</f>
        <v>45946.865264606247</v>
      </c>
      <c r="F23" s="19" cm="1">
        <f t="array" aca="1" ref="F23" ca="1">_FV(RTData[[#This Row],[Company Name]],"Previous close",TRUE)</f>
        <v>57.8</v>
      </c>
      <c r="G23" s="19" cm="1">
        <f t="array" aca="1" ref="G23" ca="1">_FV(RTData[[#This Row],[Company Name]],"Open")</f>
        <v>57.884999999999998</v>
      </c>
      <c r="H23" s="19" cm="1">
        <f t="array" aca="1" ref="H23" ca="1">_FV(RTData[[#This Row],[Company Name]],"Price")</f>
        <v>57.34</v>
      </c>
      <c r="I23" s="19" cm="1">
        <f t="array" aca="1" ref="I23" ca="1">_FV(RTData[[#This Row],[Company Name]],"Low")</f>
        <v>56.81</v>
      </c>
      <c r="J23" s="19" cm="1">
        <f t="array" aca="1" ref="J23" ca="1">_FV(RTData[[#This Row],[Company Name]],"High")</f>
        <v>58.4</v>
      </c>
      <c r="K23" s="20" cm="1">
        <f t="array" aca="1" ref="K23" ca="1">IFERROR(_FV(RTData[[#This Row],[Company Name]],"P/E",TRUE),99)</f>
        <v>8.2651000000000003</v>
      </c>
      <c r="L23" s="21" cm="1">
        <f t="array" aca="1" ref="L23" ca="1">_FV(RTData[[#This Row],[Company Name]],"Change")</f>
        <v>-0.46</v>
      </c>
      <c r="M23" s="22" cm="1">
        <f t="array" aca="1" ref="M23" ca="1">_FV(RTData[[#This Row],[Company Name]],"Change (%)",TRUE)</f>
        <v>-7.9579999999999998E-3</v>
      </c>
      <c r="N23" s="19" cm="1">
        <f t="array" aca="1" ref="N23" ca="1">_FV(RTData[[#This Row],[Company Name]],"52 week low",TRUE)</f>
        <v>41.6</v>
      </c>
      <c r="O23" s="19" cm="1">
        <f t="array" aca="1" ref="O23" ca="1">_FV(RTData[[#This Row],[Company Name]],"52 week high",TRUE)</f>
        <v>62.14</v>
      </c>
      <c r="P23" s="23" cm="1">
        <f t="array" aca="1" ref="P23" ca="1">_FV(RTData[[#This Row],[Company Name]],"Volume")</f>
        <v>6028033</v>
      </c>
      <c r="Q23" s="23" cm="1">
        <f t="array" aca="1" ref="Q23" ca="1">_FV(RTData[[#This Row],[Company Name]],"Volume average",TRUE)</f>
        <v>7992644</v>
      </c>
      <c r="R23" s="19" cm="1">
        <f t="array" aca="1" ref="R23" ca="1">_FV(RTData[[#This Row],[Company Name]],"Beta")</f>
        <v>1.4107000000000001</v>
      </c>
      <c r="T23" t="s">
        <v>20</v>
      </c>
      <c r="U23" t="str" cm="1">
        <f t="array" aca="1" ref="U23" ca="1">_FV(RTData[[#This Row],[Company Name]],"Exchange abbreviation",TRUE)</f>
        <v>XNYS</v>
      </c>
      <c r="V23" s="24">
        <f ca="1">IFERROR(RTData[[#This Row],[Volume]]/RTData[[#This Row],[Volume average]],1)</f>
        <v>0.75419760970212113</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0.85572479890467223</v>
      </c>
      <c r="C24" t="e" vm="23">
        <v>#VALUE!</v>
      </c>
      <c r="D24" s="17" t="str" cm="1">
        <f t="array" aca="1" ref="D24" ca="1">_FV(RTData[[#This Row],[Company Name]],"Currency")</f>
        <v>USD</v>
      </c>
      <c r="E24" s="18" cm="1">
        <f t="array" aca="1" ref="E24" ca="1">_FV(RTData[[#This Row],[Company Name]],"Last trade time",TRUE)</f>
        <v>45946.869409166407</v>
      </c>
      <c r="F24" s="19" cm="1">
        <f t="array" aca="1" ref="F24" ca="1">_FV(RTData[[#This Row],[Company Name]],"Previous close",TRUE)</f>
        <v>25.04</v>
      </c>
      <c r="G24" s="19" cm="1">
        <f t="array" aca="1" ref="G24" ca="1">_FV(RTData[[#This Row],[Company Name]],"Open")</f>
        <v>22.97</v>
      </c>
      <c r="H24" s="19" cm="1">
        <f t="array" aca="1" ref="H24" ca="1">_FV(RTData[[#This Row],[Company Name]],"Price")</f>
        <v>22.52</v>
      </c>
      <c r="I24" s="19" cm="1">
        <f t="array" aca="1" ref="I24" ca="1">_FV(RTData[[#This Row],[Company Name]],"Low")</f>
        <v>22.11</v>
      </c>
      <c r="J24" s="19" cm="1">
        <f t="array" aca="1" ref="J24" ca="1">_FV(RTData[[#This Row],[Company Name]],"High")</f>
        <v>23.49</v>
      </c>
      <c r="K24" s="20" cm="1">
        <f t="array" aca="1" ref="K24" ca="1">IFERROR(_FV(RTData[[#This Row],[Company Name]],"P/E",TRUE),99)</f>
        <v>27.0121</v>
      </c>
      <c r="L24" s="21" cm="1">
        <f t="array" aca="1" ref="L24" ca="1">_FV(RTData[[#This Row],[Company Name]],"Change")</f>
        <v>-2.52</v>
      </c>
      <c r="M24" s="22" cm="1">
        <f t="array" aca="1" ref="M24" ca="1">_FV(RTData[[#This Row],[Company Name]],"Change (%)",TRUE)</f>
        <v>-0.10063900000000001</v>
      </c>
      <c r="N24" s="19" cm="1">
        <f t="array" aca="1" ref="N24" ca="1">_FV(RTData[[#This Row],[Company Name]],"52 week low",TRUE)</f>
        <v>11.965</v>
      </c>
      <c r="O24" s="19" cm="1">
        <f t="array" aca="1" ref="O24" ca="1">_FV(RTData[[#This Row],[Company Name]],"52 week high",TRUE)</f>
        <v>26.44</v>
      </c>
      <c r="P24" s="23" cm="1">
        <f t="array" aca="1" ref="P24" ca="1">_FV(RTData[[#This Row],[Company Name]],"Volume")</f>
        <v>78858055</v>
      </c>
      <c r="Q24" s="23" cm="1">
        <f t="array" aca="1" ref="Q24" ca="1">_FV(RTData[[#This Row],[Company Name]],"Volume average",TRUE)</f>
        <v>25805295</v>
      </c>
      <c r="R24" s="19" cm="1">
        <f t="array" aca="1" ref="R24" ca="1">_FV(RTData[[#This Row],[Company Name]],"Beta")</f>
        <v>1.4415</v>
      </c>
      <c r="T24" t="s">
        <v>20</v>
      </c>
      <c r="U24" t="str" cm="1">
        <f t="array" aca="1" ref="U24" ca="1">_FV(RTData[[#This Row],[Company Name]],"Exchange abbreviation",TRUE)</f>
        <v>XNYS</v>
      </c>
      <c r="V24" s="24">
        <f ca="1">IFERROR(RTData[[#This Row],[Volume]]/RTData[[#This Row],[Volume average]],1)</f>
        <v>3.0558865922672074</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0.85572479890467223</v>
      </c>
      <c r="C25" t="e" vm="24">
        <v>#VALUE!</v>
      </c>
      <c r="D25" s="17" t="str" cm="1">
        <f t="array" aca="1" ref="D25" ca="1">_FV(RTData[[#This Row],[Company Name]],"Currency")</f>
        <v>USD</v>
      </c>
      <c r="E25" s="18" cm="1">
        <f t="array" aca="1" ref="E25" ca="1">_FV(RTData[[#This Row],[Company Name]],"Last trade time",TRUE)</f>
        <v>45946.865217997656</v>
      </c>
      <c r="F25" s="19" cm="1">
        <f t="array" aca="1" ref="F25" ca="1">_FV(RTData[[#This Row],[Company Name]],"Previous close",TRUE)</f>
        <v>28.61</v>
      </c>
      <c r="G25" s="19" cm="1">
        <f t="array" aca="1" ref="G25" ca="1">_FV(RTData[[#This Row],[Company Name]],"Open")</f>
        <v>28.69</v>
      </c>
      <c r="H25" s="19" cm="1">
        <f t="array" aca="1" ref="H25" ca="1">_FV(RTData[[#This Row],[Company Name]],"Price")</f>
        <v>27.215</v>
      </c>
      <c r="I25" s="19" cm="1">
        <f t="array" aca="1" ref="I25" ca="1">_FV(RTData[[#This Row],[Company Name]],"Low")</f>
        <v>27.085000000000001</v>
      </c>
      <c r="J25" s="19" cm="1">
        <f t="array" aca="1" ref="J25" ca="1">_FV(RTData[[#This Row],[Company Name]],"High")</f>
        <v>28.73</v>
      </c>
      <c r="K25" s="20" cm="1">
        <f t="array" aca="1" ref="K25" ca="1">IFERROR(_FV(RTData[[#This Row],[Company Name]],"P/E",TRUE),99)</f>
        <v>9.9139999999999997</v>
      </c>
      <c r="L25" s="21" cm="1">
        <f t="array" aca="1" ref="L25" ca="1">_FV(RTData[[#This Row],[Company Name]],"Change")</f>
        <v>-1.395</v>
      </c>
      <c r="M25" s="22" cm="1">
        <f t="array" aca="1" ref="M25" ca="1">_FV(RTData[[#This Row],[Company Name]],"Change (%)",TRUE)</f>
        <v>-4.8758999999999997E-2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24744489</v>
      </c>
      <c r="Q25" s="23" cm="1">
        <f t="array" aca="1" ref="Q25" ca="1">_FV(RTData[[#This Row],[Company Name]],"Volume average",TRUE)</f>
        <v>11318802</v>
      </c>
      <c r="R25" s="19" cm="1">
        <f t="array" aca="1" ref="R25" ca="1">_FV(RTData[[#This Row],[Company Name]],"Beta")</f>
        <v>1.2882</v>
      </c>
      <c r="T25" t="s">
        <v>20</v>
      </c>
      <c r="U25" t="str" cm="1">
        <f t="array" aca="1" ref="U25" ca="1">_FV(RTData[[#This Row],[Company Name]],"Exchange abbreviation",TRUE)</f>
        <v>XNYS</v>
      </c>
      <c r="V25" s="24">
        <f ca="1">IFERROR(RTData[[#This Row],[Volume]]/RTData[[#This Row],[Volume average]],1)</f>
        <v>2.1861402823373002</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0.85572479890467223</v>
      </c>
      <c r="C26" t="e" vm="25">
        <v>#VALUE!</v>
      </c>
      <c r="D26" s="17" t="str" cm="1">
        <f t="array" aca="1" ref="D26" ca="1">_FV(RTData[[#This Row],[Company Name]],"Currency")</f>
        <v>GBp</v>
      </c>
      <c r="E26" s="18" cm="1">
        <f t="array" aca="1" ref="E26" ca="1">_FV(RTData[[#This Row],[Company Name]],"Last trade time",TRUE)</f>
        <v>45946.644671214846</v>
      </c>
      <c r="F26" s="19" cm="1">
        <f t="array" aca="1" ref="F26" ca="1">_FV(RTData[[#This Row],[Company Name]],"Previous close",TRUE)</f>
        <v>407.5</v>
      </c>
      <c r="G26" s="19" cm="1">
        <f t="array" aca="1" ref="G26" ca="1">_FV(RTData[[#This Row],[Company Name]],"Open")</f>
        <v>409.9</v>
      </c>
      <c r="H26" s="19" cm="1">
        <f t="array" aca="1" ref="H26" ca="1">_FV(RTData[[#This Row],[Company Name]],"Price")</f>
        <v>406.3</v>
      </c>
      <c r="I26" s="19" cm="1">
        <f t="array" aca="1" ref="I26" ca="1">_FV(RTData[[#This Row],[Company Name]],"Low")</f>
        <v>398.9</v>
      </c>
      <c r="J26" s="19" cm="1">
        <f t="array" aca="1" ref="J26" ca="1">_FV(RTData[[#This Row],[Company Name]],"High")</f>
        <v>411.9</v>
      </c>
      <c r="K26" s="20" cm="1">
        <f t="array" aca="1" ref="K26" ca="1">IFERROR(_FV(RTData[[#This Row],[Company Name]],"P/E",TRUE),99)</f>
        <v>7.3266</v>
      </c>
      <c r="L26" s="21" cm="1">
        <f t="array" aca="1" ref="L26" ca="1">_FV(RTData[[#This Row],[Company Name]],"Change")</f>
        <v>-1.2</v>
      </c>
      <c r="M26" s="22" cm="1">
        <f t="array" aca="1" ref="M26" ca="1">_FV(RTData[[#This Row],[Company Name]],"Change (%)",TRUE)</f>
        <v>-2.9449999999999997E-3</v>
      </c>
      <c r="N26" s="19" cm="1">
        <f t="array" aca="1" ref="N26" ca="1">_FV(RTData[[#This Row],[Company Name]],"52 week low",TRUE)</f>
        <v>195.738</v>
      </c>
      <c r="O26" s="19" cm="1">
        <f t="array" aca="1" ref="O26" ca="1">_FV(RTData[[#This Row],[Company Name]],"52 week high",TRUE)</f>
        <v>416</v>
      </c>
      <c r="P26" s="23" cm="1">
        <f t="array" aca="1" ref="P26" ca="1">_FV(RTData[[#This Row],[Company Name]],"Volume")</f>
        <v>9228094</v>
      </c>
      <c r="Q26" s="23" cm="1">
        <f t="array" aca="1" ref="Q26" ca="1">_FV(RTData[[#This Row],[Company Name]],"Volume average",TRUE)</f>
        <v>13923050</v>
      </c>
      <c r="R26" s="19" cm="1">
        <f t="array" aca="1" ref="R26" ca="1">_FV(RTData[[#This Row],[Company Name]],"Beta")</f>
        <v>2.8873000000000002</v>
      </c>
      <c r="T26" t="s">
        <v>20</v>
      </c>
      <c r="U26" t="str" cm="1">
        <f t="array" aca="1" ref="U26" ca="1">_FV(RTData[[#This Row],[Company Name]],"Exchange abbreviation",TRUE)</f>
        <v>XLON</v>
      </c>
      <c r="V26" s="24">
        <f ca="1">IFERROR(RTData[[#This Row],[Volume]]/RTData[[#This Row],[Volume average]],1)</f>
        <v>0.66279256341103421</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1.1499540018399264E-2</v>
      </c>
      <c r="C27" t="e" vm="26">
        <v>#VALUE!</v>
      </c>
      <c r="D27" s="17" t="str" cm="1">
        <f t="array" aca="1" ref="D27" ca="1">_FV(RTData[[#This Row],[Company Name]],"Currency")</f>
        <v>USD</v>
      </c>
      <c r="E27" s="18" cm="1">
        <f t="array" aca="1" ref="E27" ca="1">_FV(RTData[[#This Row],[Company Name]],"Last trade time",TRUE)</f>
        <v>45946.868925173439</v>
      </c>
      <c r="F27" s="26" cm="1">
        <f t="array" aca="1" ref="F27" ca="1">_FV(RTData[[#This Row],[Company Name]],"Previous close",TRUE)</f>
        <v>69.099999999999994</v>
      </c>
      <c r="G27" s="26" cm="1">
        <f t="array" aca="1" ref="G27" ca="1">_FV(RTData[[#This Row],[Company Name]],"Open")</f>
        <v>68.959999999999994</v>
      </c>
      <c r="H27" s="26" cm="1">
        <f t="array" aca="1" ref="H27" ca="1">_FV(RTData[[#This Row],[Company Name]],"Price")</f>
        <v>68.89</v>
      </c>
      <c r="I27" s="26" cm="1">
        <f t="array" aca="1" ref="I27" ca="1">_FV(RTData[[#This Row],[Company Name]],"Low")</f>
        <v>68.614999999999995</v>
      </c>
      <c r="J27" s="26" cm="1">
        <f t="array" aca="1" ref="J27" ca="1">_FV(RTData[[#This Row],[Company Name]],"High")</f>
        <v>69.81</v>
      </c>
      <c r="K27" s="20" cm="1">
        <f t="array" aca="1" ref="K27" ca="1">IFERROR(_FV(RTData[[#This Row],[Company Name]],"P/E",TRUE),99)</f>
        <v>17.4529</v>
      </c>
      <c r="L27" s="21" cm="1">
        <f t="array" aca="1" ref="L27" ca="1">_FV(RTData[[#This Row],[Company Name]],"Change")</f>
        <v>-0.21</v>
      </c>
      <c r="M27" s="22" cm="1">
        <f t="array" aca="1" ref="M27" ca="1">_FV(RTData[[#This Row],[Company Name]],"Change (%)",TRUE)</f>
        <v>-3.039E-3</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4651476</v>
      </c>
      <c r="Q27" s="23" cm="1">
        <f t="array" aca="1" ref="Q27" ca="1">_FV(RTData[[#This Row],[Company Name]],"Volume average",TRUE)</f>
        <v>7836690</v>
      </c>
      <c r="R27" s="19" cm="1">
        <f t="array" aca="1" ref="R27" ca="1">_FV(RTData[[#This Row],[Company Name]],"Beta")</f>
        <v>0.55020000000000002</v>
      </c>
      <c r="T27" t="s">
        <v>20</v>
      </c>
      <c r="U27" t="str" cm="1">
        <f t="array" aca="1" ref="U27" ca="1">_FV(RTData[[#This Row],[Company Name]],"Exchange abbreviation",TRUE)</f>
        <v>XNYS</v>
      </c>
      <c r="V27" s="24">
        <f ca="1">IFERROR(RTData[[#This Row],[Volume]]/RTData[[#This Row],[Volume average]],1)</f>
        <v>0.59355110384613907</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0.85572479890467223</v>
      </c>
      <c r="C28" t="e" vm="27">
        <v>#VALUE!</v>
      </c>
      <c r="D28" s="17" t="str" cm="1">
        <f t="array" aca="1" ref="D28" ca="1">_FV(RTData[[#This Row],[Company Name]],"Currency")</f>
        <v>USD</v>
      </c>
      <c r="E28" s="18" cm="1">
        <f t="array" aca="1" ref="E28" ca="1">_FV(RTData[[#This Row],[Company Name]],"Last trade time",TRUE)</f>
        <v>45946.840331724219</v>
      </c>
      <c r="F28" s="19" cm="1">
        <f t="array" aca="1" ref="F28" ca="1">_FV(RTData[[#This Row],[Company Name]],"Previous close",TRUE)</f>
        <v>11.61</v>
      </c>
      <c r="G28" s="19" cm="1">
        <f t="array" aca="1" ref="G28" ca="1">_FV(RTData[[#This Row],[Company Name]],"Open")</f>
        <v>11.61</v>
      </c>
      <c r="H28" s="19" cm="1">
        <f t="array" aca="1" ref="H28" ca="1">_FV(RTData[[#This Row],[Company Name]],"Price")</f>
        <v>11.82</v>
      </c>
      <c r="I28" s="19" cm="1">
        <f t="array" aca="1" ref="I28" ca="1">_FV(RTData[[#This Row],[Company Name]],"Low")</f>
        <v>11.61</v>
      </c>
      <c r="J28" s="19" cm="1">
        <f t="array" aca="1" ref="J28" ca="1">_FV(RTData[[#This Row],[Company Name]],"High")</f>
        <v>11.867000000000001</v>
      </c>
      <c r="K28" s="20" cm="1">
        <f t="array" aca="1" ref="K28" ca="1">IFERROR(_FV(RTData[[#This Row],[Company Name]],"P/E",TRUE),99)</f>
        <v>0</v>
      </c>
      <c r="L28" s="21" cm="1">
        <f t="array" aca="1" ref="L28" ca="1">_FV(RTData[[#This Row],[Company Name]],"Change")</f>
        <v>0.21</v>
      </c>
      <c r="M28" s="22" cm="1">
        <f t="array" aca="1" ref="M28" ca="1">_FV(RTData[[#This Row],[Company Name]],"Change (%)",TRUE)</f>
        <v>1.8088E-2</v>
      </c>
      <c r="N28" s="19" cm="1">
        <f t="array" aca="1" ref="N28" ca="1">_FV(RTData[[#This Row],[Company Name]],"52 week low",TRUE)</f>
        <v>5.25</v>
      </c>
      <c r="O28" s="19" cm="1">
        <f t="array" aca="1" ref="O28" ca="1">_FV(RTData[[#This Row],[Company Name]],"52 week high",TRUE)</f>
        <v>17.309999999999999</v>
      </c>
      <c r="P28" s="23" cm="1">
        <f t="array" aca="1" ref="P28" ca="1">_FV(RTData[[#This Row],[Company Name]],"Volume")</f>
        <v>33668</v>
      </c>
      <c r="Q28" s="23" cm="1">
        <f t="array" aca="1" ref="Q28" ca="1">_FV(RTData[[#This Row],[Company Name]],"Volume average",TRUE)</f>
        <v>51005</v>
      </c>
      <c r="R28" s="19" cm="1">
        <f t="array" aca="1" ref="R28" ca="1">_FV(RTData[[#This Row],[Company Name]],"Beta")</f>
        <v>0.501</v>
      </c>
      <c r="T28" t="s">
        <v>20</v>
      </c>
      <c r="U28" t="str" cm="1">
        <f t="array" aca="1" ref="U28" ca="1">_FV(RTData[[#This Row],[Company Name]],"Exchange abbreviation",TRUE)</f>
        <v>XNAS</v>
      </c>
      <c r="V28" s="24">
        <f ca="1">IFERROR(RTData[[#This Row],[Volume]]/RTData[[#This Row],[Volume average]],1)</f>
        <v>0.66009214782864423</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0.85572479890467223</v>
      </c>
      <c r="C29" t="e" vm="28">
        <v>#VALUE!</v>
      </c>
      <c r="D29" s="17" t="str" cm="1">
        <f t="array" aca="1" ref="D29" ca="1">_FV(RTData[[#This Row],[Company Name]],"Currency")</f>
        <v>USD</v>
      </c>
      <c r="E29" s="18" cm="1">
        <f t="array" aca="1" ref="E29" ca="1">_FV(RTData[[#This Row],[Company Name]],"Last trade time",TRUE)</f>
        <v>45946.867030474219</v>
      </c>
      <c r="F29" s="19" cm="1">
        <f t="array" aca="1" ref="F29" ca="1">_FV(RTData[[#This Row],[Company Name]],"Previous close",TRUE)</f>
        <v>7.27</v>
      </c>
      <c r="G29" s="19" cm="1">
        <f t="array" aca="1" ref="G29" ca="1">_FV(RTData[[#This Row],[Company Name]],"Open")</f>
        <v>7.31</v>
      </c>
      <c r="H29" s="19" cm="1">
        <f t="array" aca="1" ref="H29" ca="1">_FV(RTData[[#This Row],[Company Name]],"Price")</f>
        <v>7.0250000000000004</v>
      </c>
      <c r="I29" s="19" cm="1">
        <f t="array" aca="1" ref="I29" ca="1">_FV(RTData[[#This Row],[Company Name]],"Low")</f>
        <v>6.9749999999999996</v>
      </c>
      <c r="J29" s="19" cm="1">
        <f t="array" aca="1" ref="J29" ca="1">_FV(RTData[[#This Row],[Company Name]],"High")</f>
        <v>7.4550000000000001</v>
      </c>
      <c r="K29" s="20" cm="1">
        <f t="array" ref="K29">IFERROR(_FV(RTData[[#This Row],[Company Name]],"P/E",TRUE),99)</f>
        <v>99</v>
      </c>
      <c r="L29" s="21" cm="1">
        <f t="array" aca="1" ref="L29" ca="1">_FV(RTData[[#This Row],[Company Name]],"Change")</f>
        <v>-0.245</v>
      </c>
      <c r="M29" s="22" cm="1">
        <f t="array" aca="1" ref="M29" ca="1">_FV(RTData[[#This Row],[Company Name]],"Change (%)",TRUE)</f>
        <v>-3.3700000000000001E-2</v>
      </c>
      <c r="N29" s="19" cm="1">
        <f t="array" aca="1" ref="N29" ca="1">_FV(RTData[[#This Row],[Company Name]],"52 week low",TRUE)</f>
        <v>3.01</v>
      </c>
      <c r="O29" s="19" cm="1">
        <f t="array" aca="1" ref="O29" ca="1">_FV(RTData[[#This Row],[Company Name]],"52 week high",TRUE)</f>
        <v>10.33</v>
      </c>
      <c r="P29" s="23" cm="1">
        <f t="array" aca="1" ref="P29" ca="1">_FV(RTData[[#This Row],[Company Name]],"Volume")</f>
        <v>9487710</v>
      </c>
      <c r="Q29" s="23" cm="1">
        <f t="array" aca="1" ref="Q29" ca="1">_FV(RTData[[#This Row],[Company Name]],"Volume average",TRUE)</f>
        <v>17045008</v>
      </c>
      <c r="R29" s="19" cm="1">
        <f t="array" aca="1" ref="R29" ca="1">_FV(RTData[[#This Row],[Company Name]],"Beta")</f>
        <v>1.3767</v>
      </c>
      <c r="T29" t="s">
        <v>20</v>
      </c>
      <c r="U29" t="str" cm="1">
        <f t="array" aca="1" ref="U29" ca="1">_FV(RTData[[#This Row],[Company Name]],"Exchange abbreviation",TRUE)</f>
        <v>XNYS</v>
      </c>
      <c r="V29" s="24">
        <f ca="1">IFERROR(RTData[[#This Row],[Volume]]/RTData[[#This Row],[Volume average]],1)</f>
        <v>0.5566269021404977</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0.85572479890467223</v>
      </c>
      <c r="C30" t="e" vm="29">
        <v>#VALUE!</v>
      </c>
      <c r="D30" s="17" t="str" cm="1">
        <f t="array" aca="1" ref="D30" ca="1">_FV(RTData[[#This Row],[Company Name]],"Currency")</f>
        <v>USD</v>
      </c>
      <c r="E30" s="18" cm="1">
        <f t="array" aca="1" ref="E30" ca="1">_FV(RTData[[#This Row],[Company Name]],"Last trade time",TRUE)</f>
        <v>45946.869848575778</v>
      </c>
      <c r="F30" s="19" cm="1">
        <f t="array" aca="1" ref="F30" ca="1">_FV(RTData[[#This Row],[Company Name]],"Previous close",TRUE)</f>
        <v>27.72</v>
      </c>
      <c r="G30" s="19" cm="1">
        <f t="array" aca="1" ref="G30" ca="1">_FV(RTData[[#This Row],[Company Name]],"Open")</f>
        <v>27.844999999999999</v>
      </c>
      <c r="H30" s="19" cm="1">
        <f t="array" aca="1" ref="H30" ca="1">_FV(RTData[[#This Row],[Company Name]],"Price")</f>
        <v>27.14</v>
      </c>
      <c r="I30" s="19" cm="1">
        <f t="array" aca="1" ref="I30" ca="1">_FV(RTData[[#This Row],[Company Name]],"Low")</f>
        <v>27.11</v>
      </c>
      <c r="J30" s="19" cm="1">
        <f t="array" aca="1" ref="J30" ca="1">_FV(RTData[[#This Row],[Company Name]],"High")</f>
        <v>28.48</v>
      </c>
      <c r="K30" s="20" cm="1">
        <f t="array" aca="1" ref="K30" ca="1">IFERROR(_FV(RTData[[#This Row],[Company Name]],"P/E",TRUE),99)</f>
        <v>0</v>
      </c>
      <c r="L30" s="21" cm="1">
        <f t="array" aca="1" ref="L30" ca="1">_FV(RTData[[#This Row],[Company Name]],"Change")</f>
        <v>-0.57999999999999996</v>
      </c>
      <c r="M30" s="22" cm="1">
        <f t="array" aca="1" ref="M30" ca="1">_FV(RTData[[#This Row],[Company Name]],"Change (%)",TRUE)</f>
        <v>-2.0924000000000002E-2</v>
      </c>
      <c r="N30" s="19" cm="1">
        <f t="array" aca="1" ref="N30" ca="1">_FV(RTData[[#This Row],[Company Name]],"52 week low",TRUE)</f>
        <v>23.15</v>
      </c>
      <c r="O30" s="19" cm="1">
        <f t="array" aca="1" ref="O30" ca="1">_FV(RTData[[#This Row],[Company Name]],"52 week high",TRUE)</f>
        <v>58.45</v>
      </c>
      <c r="P30" s="23" cm="1">
        <f t="array" aca="1" ref="P30" ca="1">_FV(RTData[[#This Row],[Company Name]],"Volume")</f>
        <v>7847664</v>
      </c>
      <c r="Q30" s="23" cm="1">
        <f t="array" aca="1" ref="Q30" ca="1">_FV(RTData[[#This Row],[Company Name]],"Volume average",TRUE)</f>
        <v>11519986</v>
      </c>
      <c r="R30" s="19" cm="1">
        <f t="array" aca="1" ref="R30" ca="1">_FV(RTData[[#This Row],[Company Name]],"Beta")</f>
        <v>2.0034000000000001</v>
      </c>
      <c r="T30" t="s">
        <v>20</v>
      </c>
      <c r="U30" t="str" cm="1">
        <f t="array" aca="1" ref="U30" ca="1">_FV(RTData[[#This Row],[Company Name]],"Exchange abbreviation",TRUE)</f>
        <v>XNAS</v>
      </c>
      <c r="V30" s="24">
        <f ca="1">IFERROR(RTData[[#This Row],[Volume]]/RTData[[#This Row],[Volume average]],1)</f>
        <v>0.68122166120687999</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0.85572479890467223</v>
      </c>
      <c r="C31" t="e" vm="30">
        <v>#VALUE!</v>
      </c>
      <c r="D31" s="17" t="str" cm="1">
        <f t="array" aca="1" ref="D31" ca="1">_FV(RTData[[#This Row],[Company Name]],"Currency")</f>
        <v>USD</v>
      </c>
      <c r="E31" s="18" cm="1">
        <f t="array" aca="1" ref="E31" ca="1">_FV(RTData[[#This Row],[Company Name]],"Last trade time",TRUE)</f>
        <v>45946.870253575784</v>
      </c>
      <c r="F31" s="19" cm="1">
        <f t="array" aca="1" ref="F31" ca="1">_FV(RTData[[#This Row],[Company Name]],"Previous close",TRUE)</f>
        <v>513.42999999999995</v>
      </c>
      <c r="G31" s="19" cm="1">
        <f t="array" aca="1" ref="G31" ca="1">_FV(RTData[[#This Row],[Company Name]],"Open")</f>
        <v>512.58000000000004</v>
      </c>
      <c r="H31" s="19" cm="1">
        <f t="array" aca="1" ref="H31" ca="1">_FV(RTData[[#This Row],[Company Name]],"Price")</f>
        <v>511.61</v>
      </c>
      <c r="I31" s="19" cm="1">
        <f t="array" aca="1" ref="I31" ca="1">_FV(RTData[[#This Row],[Company Name]],"Low")</f>
        <v>508.13</v>
      </c>
      <c r="J31" s="19" cm="1">
        <f t="array" aca="1" ref="J31" ca="1">_FV(RTData[[#This Row],[Company Name]],"High")</f>
        <v>516.85</v>
      </c>
      <c r="K31" s="20" cm="1">
        <f t="array" aca="1" ref="K31" ca="1">IFERROR(_FV(RTData[[#This Row],[Company Name]],"P/E",TRUE),99)</f>
        <v>37.505000000000003</v>
      </c>
      <c r="L31" s="21" cm="1">
        <f t="array" aca="1" ref="L31" ca="1">_FV(RTData[[#This Row],[Company Name]],"Change")</f>
        <v>-1.82</v>
      </c>
      <c r="M31" s="22" cm="1">
        <f t="array" aca="1" ref="M31" ca="1">_FV(RTData[[#This Row],[Company Name]],"Change (%)",TRUE)</f>
        <v>-3.545E-3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15501262</v>
      </c>
      <c r="Q31" s="23" cm="1">
        <f t="array" aca="1" ref="Q31" ca="1">_FV(RTData[[#This Row],[Company Name]],"Volume average",TRUE)</f>
        <v>19349208</v>
      </c>
      <c r="R31" s="19" cm="1">
        <f t="array" aca="1" ref="R31" ca="1">_FV(RTData[[#This Row],[Company Name]],"Beta")</f>
        <v>1.0206</v>
      </c>
      <c r="T31" t="s">
        <v>20</v>
      </c>
      <c r="U31" t="str" cm="1">
        <f t="array" aca="1" ref="U31" ca="1">_FV(RTData[[#This Row],[Company Name]],"Exchange abbreviation",TRUE)</f>
        <v>XNAS</v>
      </c>
      <c r="V31" s="24">
        <f ca="1">IFERROR(RTData[[#This Row],[Volume]]/RTData[[#This Row],[Volume average]],1)</f>
        <v>0.80113160187228338</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0.85572479890467223</v>
      </c>
      <c r="C32" t="e" vm="31">
        <v>#VALUE!</v>
      </c>
      <c r="D32" s="17" t="str" cm="1">
        <f t="array" aca="1" ref="D32" ca="1">_FV(RTData[[#This Row],[Company Name]],"Currency")</f>
        <v>USD</v>
      </c>
      <c r="E32" s="18" cm="1">
        <f t="array" aca="1" ref="E32" ca="1">_FV(RTData[[#This Row],[Company Name]],"Last trade time",TRUE)</f>
        <v>45946.86940422422</v>
      </c>
      <c r="F32" s="19" cm="1">
        <f t="array" aca="1" ref="F32" ca="1">_FV(RTData[[#This Row],[Company Name]],"Previous close",TRUE)</f>
        <v>85.79</v>
      </c>
      <c r="G32" s="19" cm="1">
        <f t="array" aca="1" ref="G32" ca="1">_FV(RTData[[#This Row],[Company Name]],"Open")</f>
        <v>86.22</v>
      </c>
      <c r="H32" s="19" cm="1">
        <f t="array" aca="1" ref="H32" ca="1">_FV(RTData[[#This Row],[Company Name]],"Price")</f>
        <v>85.05</v>
      </c>
      <c r="I32" s="19" cm="1">
        <f t="array" aca="1" ref="I32" ca="1">_FV(RTData[[#This Row],[Company Name]],"Low")</f>
        <v>84.974999999999994</v>
      </c>
      <c r="J32" s="19" cm="1">
        <f t="array" aca="1" ref="J32" ca="1">_FV(RTData[[#This Row],[Company Name]],"High")</f>
        <v>86.74</v>
      </c>
      <c r="K32" s="20" cm="1">
        <f t="array" aca="1" ref="K32" ca="1">IFERROR(_FV(RTData[[#This Row],[Company Name]],"P/E",TRUE),99)</f>
        <v>31.808700000000002</v>
      </c>
      <c r="L32" s="21" cm="1">
        <f t="array" aca="1" ref="L32" ca="1">_FV(RTData[[#This Row],[Company Name]],"Change")</f>
        <v>-0.74</v>
      </c>
      <c r="M32" s="22" cm="1">
        <f t="array" aca="1" ref="M32" ca="1">_FV(RTData[[#This Row],[Company Name]],"Change (%)",TRUE)</f>
        <v>-8.626E-3</v>
      </c>
      <c r="N32" s="19" cm="1">
        <f t="array" aca="1" ref="N32" ca="1">_FV(RTData[[#This Row],[Company Name]],"52 week low",TRUE)</f>
        <v>61.72</v>
      </c>
      <c r="O32" s="19" cm="1">
        <f t="array" aca="1" ref="O32" ca="1">_FV(RTData[[#This Row],[Company Name]],"52 week high",TRUE)</f>
        <v>86.74</v>
      </c>
      <c r="P32" s="23" cm="1">
        <f t="array" aca="1" ref="P32" ca="1">_FV(RTData[[#This Row],[Company Name]],"Volume")</f>
        <v>8324728</v>
      </c>
      <c r="Q32" s="23" cm="1">
        <f t="array" aca="1" ref="Q32" ca="1">_FV(RTData[[#This Row],[Company Name]],"Volume average",TRUE)</f>
        <v>10621592</v>
      </c>
      <c r="R32" s="19" cm="1">
        <f t="array" aca="1" ref="R32" ca="1">_FV(RTData[[#This Row],[Company Name]],"Beta")</f>
        <v>0.66010000000000002</v>
      </c>
      <c r="T32" t="s">
        <v>20</v>
      </c>
      <c r="U32" t="str" cm="1">
        <f t="array" aca="1" ref="U32" ca="1">_FV(RTData[[#This Row],[Company Name]],"Exchange abbreviation",TRUE)</f>
        <v>XNYS</v>
      </c>
      <c r="V32" s="24">
        <f ca="1">IFERROR(RTData[[#This Row],[Volume]]/RTData[[#This Row],[Volume average]],1)</f>
        <v>0.78375520355140738</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0.85572479890467223</v>
      </c>
      <c r="C33" t="e" vm="32">
        <v>#VALUE!</v>
      </c>
      <c r="D33" s="17" t="str" cm="1">
        <f t="array" aca="1" ref="D33" ca="1">_FV(RTData[[#This Row],[Company Name]],"Currency")</f>
        <v>USD</v>
      </c>
      <c r="E33" s="18" cm="1">
        <f t="array" aca="1" ref="E33" ca="1">_FV(RTData[[#This Row],[Company Name]],"Last trade time",TRUE)</f>
        <v>45946.870319652342</v>
      </c>
      <c r="F33" s="19" cm="1">
        <f t="array" aca="1" ref="F33" ca="1">_FV(RTData[[#This Row],[Company Name]],"Previous close",TRUE)</f>
        <v>93.58</v>
      </c>
      <c r="G33" s="19" cm="1">
        <f t="array" aca="1" ref="G33" ca="1">_FV(RTData[[#This Row],[Company Name]],"Open")</f>
        <v>95.04</v>
      </c>
      <c r="H33" s="19" cm="1">
        <f t="array" aca="1" ref="H33" ca="1">_FV(RTData[[#This Row],[Company Name]],"Price")</f>
        <v>98.25</v>
      </c>
      <c r="I33" s="19" cm="1">
        <f t="array" aca="1" ref="I33" ca="1">_FV(RTData[[#This Row],[Company Name]],"Low")</f>
        <v>94.11</v>
      </c>
      <c r="J33" s="19" cm="1">
        <f t="array" aca="1" ref="J33" ca="1">_FV(RTData[[#This Row],[Company Name]],"High")</f>
        <v>98.578000000000003</v>
      </c>
      <c r="K33" s="20" cm="1">
        <f t="array" aca="1" ref="K33" ca="1">IFERROR(_FV(RTData[[#This Row],[Company Name]],"P/E",TRUE),99)</f>
        <v>17.7834</v>
      </c>
      <c r="L33" s="21" cm="1">
        <f t="array" aca="1" ref="L33" ca="1">_FV(RTData[[#This Row],[Company Name]],"Change")</f>
        <v>4.67</v>
      </c>
      <c r="M33" s="22" cm="1">
        <f t="array" aca="1" ref="M33" ca="1">_FV(RTData[[#This Row],[Company Name]],"Change (%)",TRUE)</f>
        <v>4.9904000000000004E-2</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12835235</v>
      </c>
      <c r="Q33" s="23" cm="1">
        <f t="array" aca="1" ref="Q33" ca="1">_FV(RTData[[#This Row],[Company Name]],"Volume average",TRUE)</f>
        <v>11881721</v>
      </c>
      <c r="R33" s="19" cm="1">
        <f t="array" aca="1" ref="R33" ca="1">_FV(RTData[[#This Row],[Company Name]],"Beta")</f>
        <v>0.34089999999999998</v>
      </c>
      <c r="T33" t="s">
        <v>20</v>
      </c>
      <c r="U33" t="str" cm="1">
        <f t="array" aca="1" ref="U33" ca="1">_FV(RTData[[#This Row],[Company Name]],"Exchange abbreviation",TRUE)</f>
        <v>XNYS</v>
      </c>
      <c r="V33" s="24">
        <f ca="1">IFERROR(RTData[[#This Row],[Volume]]/RTData[[#This Row],[Volume average]],1)</f>
        <v>1.0802504956983925</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0.85572479890467223</v>
      </c>
      <c r="C34" t="e" vm="33">
        <v>#VALUE!</v>
      </c>
      <c r="D34" s="17" t="str" cm="1">
        <f t="array" aca="1" ref="D34" ca="1">_FV(RTData[[#This Row],[Company Name]],"Currency")</f>
        <v>USD</v>
      </c>
      <c r="E34" s="18" cm="1">
        <f t="array" aca="1" ref="E34" ca="1">_FV(RTData[[#This Row],[Company Name]],"Last trade time",TRUE)</f>
        <v>45946.869994930472</v>
      </c>
      <c r="F34" s="19" cm="1">
        <f t="array" aca="1" ref="F34" ca="1">_FV(RTData[[#This Row],[Company Name]],"Previous close",TRUE)</f>
        <v>1203.29</v>
      </c>
      <c r="G34" s="19" cm="1">
        <f t="array" aca="1" ref="G34" ca="1">_FV(RTData[[#This Row],[Company Name]],"Open")</f>
        <v>1212.1500000000001</v>
      </c>
      <c r="H34" s="19" cm="1">
        <f t="array" aca="1" ref="H34" ca="1">_FV(RTData[[#This Row],[Company Name]],"Price")</f>
        <v>1183.5899999999999</v>
      </c>
      <c r="I34" s="19" cm="1">
        <f t="array" aca="1" ref="I34" ca="1">_FV(RTData[[#This Row],[Company Name]],"Low")</f>
        <v>1176</v>
      </c>
      <c r="J34" s="19" cm="1">
        <f t="array" aca="1" ref="J34" ca="1">_FV(RTData[[#This Row],[Company Name]],"High")</f>
        <v>1216.71</v>
      </c>
      <c r="K34" s="20" cm="1">
        <f t="array" aca="1" ref="K34" ca="1">IFERROR(_FV(RTData[[#This Row],[Company Name]],"P/E",TRUE),99)</f>
        <v>50.435699999999997</v>
      </c>
      <c r="L34" s="21" cm="1">
        <f t="array" aca="1" ref="L34" ca="1">_FV(RTData[[#This Row],[Company Name]],"Change")</f>
        <v>-19.7</v>
      </c>
      <c r="M34" s="22" cm="1">
        <f t="array" aca="1" ref="M34" ca="1">_FV(RTData[[#This Row],[Company Name]],"Change (%)",TRUE)</f>
        <v>-1.6372000000000001E-2</v>
      </c>
      <c r="N34" s="19" cm="1">
        <f t="array" aca="1" ref="N34" ca="1">_FV(RTData[[#This Row],[Company Name]],"52 week low",TRUE)</f>
        <v>677.88</v>
      </c>
      <c r="O34" s="19" cm="1">
        <f t="array" aca="1" ref="O34" ca="1">_FV(RTData[[#This Row],[Company Name]],"52 week high",TRUE)</f>
        <v>1341.15</v>
      </c>
      <c r="P34" s="23" cm="1">
        <f t="array" aca="1" ref="P34" ca="1">_FV(RTData[[#This Row],[Company Name]],"Volume")</f>
        <v>2822478</v>
      </c>
      <c r="Q34" s="23" cm="1">
        <f t="array" aca="1" ref="Q34" ca="1">_FV(RTData[[#This Row],[Company Name]],"Volume average",TRUE)</f>
        <v>3199894</v>
      </c>
      <c r="R34" s="19" cm="1">
        <f t="array" aca="1" ref="R34" ca="1">_FV(RTData[[#This Row],[Company Name]],"Beta")</f>
        <v>1.59</v>
      </c>
      <c r="T34" t="s">
        <v>20</v>
      </c>
      <c r="U34" t="str" cm="1">
        <f t="array" aca="1" ref="U34" ca="1">_FV(RTData[[#This Row],[Company Name]],"Exchange abbreviation",TRUE)</f>
        <v>XNAS</v>
      </c>
      <c r="V34" s="24">
        <f ca="1">IFERROR(RTData[[#This Row],[Volume]]/RTData[[#This Row],[Volume average]],1)</f>
        <v>0.88205359302526898</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0.85572479890467223</v>
      </c>
      <c r="C35" t="e" vm="34">
        <v>#VALUE!</v>
      </c>
      <c r="D35" s="17" t="str" cm="1">
        <f t="array" aca="1" ref="D35" ca="1">_FV(RTData[[#This Row],[Company Name]],"Currency")</f>
        <v>USD</v>
      </c>
      <c r="E35" s="18" cm="1">
        <f t="array" aca="1" ref="E35" ca="1">_FV(RTData[[#This Row],[Company Name]],"Last trade time",TRUE)</f>
        <v>45946.868534687499</v>
      </c>
      <c r="F35" s="19" cm="1">
        <f t="array" aca="1" ref="F35" ca="1">_FV(RTData[[#This Row],[Company Name]],"Previous close",TRUE)</f>
        <v>4.67</v>
      </c>
      <c r="G35" s="19" cm="1">
        <f t="array" aca="1" ref="G35" ca="1">_FV(RTData[[#This Row],[Company Name]],"Open")</f>
        <v>4.68</v>
      </c>
      <c r="H35" s="19" cm="1">
        <f t="array" aca="1" ref="H35" ca="1">_FV(RTData[[#This Row],[Company Name]],"Price")</f>
        <v>4.4050000000000002</v>
      </c>
      <c r="I35" s="19" cm="1">
        <f t="array" aca="1" ref="I35" ca="1">_FV(RTData[[#This Row],[Company Name]],"Low")</f>
        <v>4.3600000000000003</v>
      </c>
      <c r="J35" s="19" cm="1">
        <f t="array" aca="1" ref="J35" ca="1">_FV(RTData[[#This Row],[Company Name]],"High")</f>
        <v>4.7705000000000002</v>
      </c>
      <c r="K35" s="20" cm="1">
        <f t="array" ref="K35">IFERROR(_FV(RTData[[#This Row],[Company Name]],"P/E",TRUE),99)</f>
        <v>99</v>
      </c>
      <c r="L35" s="21" cm="1">
        <f t="array" aca="1" ref="L35" ca="1">_FV(RTData[[#This Row],[Company Name]],"Change")</f>
        <v>-0.26500000000000001</v>
      </c>
      <c r="M35" s="22" cm="1">
        <f t="array" aca="1" ref="M35" ca="1">_FV(RTData[[#This Row],[Company Name]],"Change (%)",TRUE)</f>
        <v>-5.6745000000000004E-2</v>
      </c>
      <c r="N35" s="19" cm="1">
        <f t="array" aca="1" ref="N35" ca="1">_FV(RTData[[#This Row],[Company Name]],"52 week low",TRUE)</f>
        <v>3.8</v>
      </c>
      <c r="O35" s="19" cm="1">
        <f t="array" aca="1" ref="O35" ca="1">_FV(RTData[[#This Row],[Company Name]],"52 week high",TRUE)</f>
        <v>24.36</v>
      </c>
      <c r="P35" s="23" cm="1">
        <f t="array" aca="1" ref="P35" ca="1">_FV(RTData[[#This Row],[Company Name]],"Volume")</f>
        <v>370360</v>
      </c>
      <c r="Q35" s="23" cm="1">
        <f t="array" aca="1" ref="Q35" ca="1">_FV(RTData[[#This Row],[Company Name]],"Volume average",TRUE)</f>
        <v>278476</v>
      </c>
      <c r="R35" s="19" cm="1">
        <f t="array" aca="1" ref="R35" ca="1">_FV(RTData[[#This Row],[Company Name]],"Beta")</f>
        <v>0.54510000000000003</v>
      </c>
      <c r="T35" t="s">
        <v>20</v>
      </c>
      <c r="U35" t="str" cm="1">
        <f t="array" aca="1" ref="U35" ca="1">_FV(RTData[[#This Row],[Company Name]],"Exchange abbreviation",TRUE)</f>
        <v>XNYS</v>
      </c>
      <c r="V35" s="24">
        <f ca="1">IFERROR(RTData[[#This Row],[Volume]]/RTData[[#This Row],[Volume average]],1)</f>
        <v>1.329953030063632</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0.85572479890467223</v>
      </c>
      <c r="C36" t="e" vm="35">
        <v>#VALUE!</v>
      </c>
      <c r="D36" s="17" t="str" cm="1">
        <f t="array" aca="1" ref="D36" ca="1">_FV(RTData[[#This Row],[Company Name]],"Currency")</f>
        <v>USD</v>
      </c>
      <c r="E36" s="18" cm="1">
        <f t="array" aca="1" ref="E36" ca="1">_FV(RTData[[#This Row],[Company Name]],"Last trade time",TRUE)</f>
        <v>45946.86749837891</v>
      </c>
      <c r="F36" s="19" cm="1">
        <f t="array" aca="1" ref="F36" ca="1">_FV(RTData[[#This Row],[Company Name]],"Previous close",TRUE)</f>
        <v>41.01</v>
      </c>
      <c r="G36" s="19" cm="1">
        <f t="array" aca="1" ref="G36" ca="1">_FV(RTData[[#This Row],[Company Name]],"Open")</f>
        <v>41.6</v>
      </c>
      <c r="H36" s="19" cm="1">
        <f t="array" aca="1" ref="H36" ca="1">_FV(RTData[[#This Row],[Company Name]],"Price")</f>
        <v>42.03</v>
      </c>
      <c r="I36" s="19" cm="1">
        <f t="array" aca="1" ref="I36" ca="1">_FV(RTData[[#This Row],[Company Name]],"Low")</f>
        <v>40.93</v>
      </c>
      <c r="J36" s="19" cm="1">
        <f t="array" aca="1" ref="J36" ca="1">_FV(RTData[[#This Row],[Company Name]],"High")</f>
        <v>42.57</v>
      </c>
      <c r="K36" s="20" cm="1">
        <f t="array" aca="1" ref="K36" ca="1">IFERROR(_FV(RTData[[#This Row],[Company Name]],"P/E",TRUE),99)</f>
        <v>29.1814</v>
      </c>
      <c r="L36" s="21" cm="1">
        <f t="array" aca="1" ref="L36" ca="1">_FV(RTData[[#This Row],[Company Name]],"Change")</f>
        <v>1.02</v>
      </c>
      <c r="M36" s="22" cm="1">
        <f t="array" aca="1" ref="M36" ca="1">_FV(RTData[[#This Row],[Company Name]],"Change (%)",TRUE)</f>
        <v>2.4872000000000002E-2</v>
      </c>
      <c r="N36" s="19" cm="1">
        <f t="array" aca="1" ref="N36" ca="1">_FV(RTData[[#This Row],[Company Name]],"52 week low",TRUE)</f>
        <v>19.8017</v>
      </c>
      <c r="O36" s="19" cm="1">
        <f t="array" aca="1" ref="O36" ca="1">_FV(RTData[[#This Row],[Company Name]],"52 week high",TRUE)</f>
        <v>42.57</v>
      </c>
      <c r="P36" s="23" cm="1">
        <f t="array" aca="1" ref="P36" ca="1">_FV(RTData[[#This Row],[Company Name]],"Volume")</f>
        <v>7388746</v>
      </c>
      <c r="Q36" s="23" cm="1">
        <f t="array" aca="1" ref="Q36" ca="1">_FV(RTData[[#This Row],[Company Name]],"Volume average",TRUE)</f>
        <v>7235041</v>
      </c>
      <c r="R36" s="19" cm="1">
        <f t="array" aca="1" ref="R36" ca="1">_FV(RTData[[#This Row],[Company Name]],"Beta")</f>
        <v>0.90049999999999997</v>
      </c>
      <c r="T36" t="s">
        <v>20</v>
      </c>
      <c r="U36" t="str" cm="1">
        <f t="array" aca="1" ref="U36" ca="1">_FV(RTData[[#This Row],[Company Name]],"Exchange abbreviation",TRUE)</f>
        <v>XNYS</v>
      </c>
      <c r="V36" s="24">
        <f ca="1">IFERROR(RTData[[#This Row],[Volume]]/RTData[[#This Row],[Volume average]],1)</f>
        <v>1.0212445237006951</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0.85572479890467223</v>
      </c>
      <c r="C37" t="e" vm="36">
        <v>#VALUE!</v>
      </c>
      <c r="D37" s="17" t="str" cm="1">
        <f t="array" aca="1" ref="D37" ca="1">_FV(RTData[[#This Row],[Company Name]],"Currency")</f>
        <v>USD</v>
      </c>
      <c r="E37" s="18" cm="1">
        <f t="array" aca="1" ref="E37" ca="1">_FV(RTData[[#This Row],[Company Name]],"Last trade time",TRUE)</f>
        <v>45946.840335948436</v>
      </c>
      <c r="F37" s="19" cm="1">
        <f t="array" aca="1" ref="F37" ca="1">_FV(RTData[[#This Row],[Company Name]],"Previous close",TRUE)</f>
        <v>5.76</v>
      </c>
      <c r="G37" s="19" cm="1">
        <f t="array" aca="1" ref="G37" ca="1">_FV(RTData[[#This Row],[Company Name]],"Open")</f>
        <v>5.77</v>
      </c>
      <c r="H37" s="19" cm="1">
        <f t="array" aca="1" ref="H37" ca="1">_FV(RTData[[#This Row],[Company Name]],"Price")</f>
        <v>5.56</v>
      </c>
      <c r="I37" s="19" cm="1">
        <f t="array" aca="1" ref="I37" ca="1">_FV(RTData[[#This Row],[Company Name]],"Low")</f>
        <v>5.47</v>
      </c>
      <c r="J37" s="19" cm="1">
        <f t="array" aca="1" ref="J37" ca="1">_FV(RTData[[#This Row],[Company Name]],"High")</f>
        <v>5.9</v>
      </c>
      <c r="K37" s="20" cm="1">
        <f t="array" aca="1" ref="K37" ca="1">IFERROR(_FV(RTData[[#This Row],[Company Name]],"P/E",TRUE),99)</f>
        <v>0</v>
      </c>
      <c r="L37" s="21" cm="1">
        <f t="array" aca="1" ref="L37" ca="1">_FV(RTData[[#This Row],[Company Name]],"Change")</f>
        <v>-0.2</v>
      </c>
      <c r="M37" s="22" cm="1">
        <f t="array" aca="1" ref="M37" ca="1">_FV(RTData[[#This Row],[Company Name]],"Change (%)",TRUE)</f>
        <v>-3.4722000000000003E-2</v>
      </c>
      <c r="N37" s="19" cm="1">
        <f t="array" aca="1" ref="N37" ca="1">_FV(RTData[[#This Row],[Company Name]],"52 week low",TRUE)</f>
        <v>3.76</v>
      </c>
      <c r="O37" s="19" cm="1">
        <f t="array" aca="1" ref="O37" ca="1">_FV(RTData[[#This Row],[Company Name]],"52 week high",TRUE)</f>
        <v>9.17</v>
      </c>
      <c r="P37" s="23" cm="1">
        <f t="array" aca="1" ref="P37" ca="1">_FV(RTData[[#This Row],[Company Name]],"Volume")</f>
        <v>54125</v>
      </c>
      <c r="Q37" s="23" cm="1">
        <f t="array" aca="1" ref="Q37" ca="1">_FV(RTData[[#This Row],[Company Name]],"Volume average",TRUE)</f>
        <v>153206</v>
      </c>
      <c r="R37" s="19" cm="1">
        <f t="array" aca="1" ref="R37" ca="1">_FV(RTData[[#This Row],[Company Name]],"Beta")</f>
        <v>0.34949999999999998</v>
      </c>
      <c r="T37" t="s">
        <v>20</v>
      </c>
      <c r="U37" t="str" cm="1">
        <f t="array" aca="1" ref="U37" ca="1">_FV(RTData[[#This Row],[Company Name]],"Exchange abbreviation",TRUE)</f>
        <v>XNAS</v>
      </c>
      <c r="V37" s="24">
        <f ca="1">IFERROR(RTData[[#This Row],[Volume]]/RTData[[#This Row],[Volume average]],1)</f>
        <v>0.35328250851794318</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0.85572479890467223</v>
      </c>
      <c r="C38" t="e" vm="37">
        <v>#VALUE!</v>
      </c>
      <c r="D38" s="17" t="str" cm="1">
        <f t="array" aca="1" ref="D38" ca="1">_FV(RTData[[#This Row],[Company Name]],"Currency")</f>
        <v>USD</v>
      </c>
      <c r="E38" s="18" cm="1">
        <f t="array" aca="1" ref="E38" ca="1">_FV(RTData[[#This Row],[Company Name]],"Last trade time",TRUE)</f>
        <v>45946.86990101797</v>
      </c>
      <c r="F38" s="19" cm="1">
        <f t="array" aca="1" ref="F38" ca="1">_FV(RTData[[#This Row],[Company Name]],"Previous close",TRUE)</f>
        <v>8.32</v>
      </c>
      <c r="G38" s="19" cm="1">
        <f t="array" aca="1" ref="G38" ca="1">_FV(RTData[[#This Row],[Company Name]],"Open")</f>
        <v>8.56</v>
      </c>
      <c r="H38" s="19" cm="1">
        <f t="array" aca="1" ref="H38" ca="1">_FV(RTData[[#This Row],[Company Name]],"Price")</f>
        <v>7.56</v>
      </c>
      <c r="I38" s="19" cm="1">
        <f t="array" aca="1" ref="I38" ca="1">_FV(RTData[[#This Row],[Company Name]],"Low")</f>
        <v>7.5350000000000001</v>
      </c>
      <c r="J38" s="19" cm="1">
        <f t="array" aca="1" ref="J38" ca="1">_FV(RTData[[#This Row],[Company Name]],"High")</f>
        <v>8.84</v>
      </c>
      <c r="K38" s="20" cm="1">
        <f t="array" aca="1" ref="K38" ca="1">IFERROR(_FV(RTData[[#This Row],[Company Name]],"P/E",TRUE),99)</f>
        <v>0</v>
      </c>
      <c r="L38" s="21" cm="1">
        <f t="array" aca="1" ref="L38" ca="1">_FV(RTData[[#This Row],[Company Name]],"Change")</f>
        <v>-0.76</v>
      </c>
      <c r="M38" s="22" cm="1">
        <f t="array" aca="1" ref="M38" ca="1">_FV(RTData[[#This Row],[Company Name]],"Change (%)",TRUE)</f>
        <v>-9.1346000000000011E-2</v>
      </c>
      <c r="N38" s="19" cm="1">
        <f t="array" aca="1" ref="N38" ca="1">_FV(RTData[[#This Row],[Company Name]],"52 week low",TRUE)</f>
        <v>3.09</v>
      </c>
      <c r="O38" s="19" cm="1">
        <f t="array" aca="1" ref="O38" ca="1">_FV(RTData[[#This Row],[Company Name]],"52 week high",TRUE)</f>
        <v>9.41</v>
      </c>
      <c r="P38" s="23" cm="1">
        <f t="array" aca="1" ref="P38" ca="1">_FV(RTData[[#This Row],[Company Name]],"Volume")</f>
        <v>12650024</v>
      </c>
      <c r="Q38" s="23" cm="1">
        <f t="array" aca="1" ref="Q38" ca="1">_FV(RTData[[#This Row],[Company Name]],"Volume average",TRUE)</f>
        <v>11535939</v>
      </c>
      <c r="R38" s="19" cm="1">
        <f t="array" aca="1" ref="R38" ca="1">_FV(RTData[[#This Row],[Company Name]],"Beta")</f>
        <v>0.31669999999999998</v>
      </c>
      <c r="T38" t="s">
        <v>20</v>
      </c>
      <c r="U38" t="str" cm="1">
        <f t="array" aca="1" ref="U38" ca="1">_FV(RTData[[#This Row],[Company Name]],"Exchange abbreviation",TRUE)</f>
        <v>XNAS</v>
      </c>
      <c r="V38" s="24">
        <f ca="1">IFERROR(RTData[[#This Row],[Volume]]/RTData[[#This Row],[Volume average]],1)</f>
        <v>1.0965751465918812</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0.60916179337231968</v>
      </c>
      <c r="C39" t="e" vm="38">
        <v>#VALUE!</v>
      </c>
      <c r="D39" s="17" t="str" cm="1">
        <f t="array" aca="1" ref="D39" ca="1">_FV(RTData[[#This Row],[Company Name]],"Currency")</f>
        <v>USD</v>
      </c>
      <c r="E39" s="18" cm="1">
        <f t="array" aca="1" ref="E39" ca="1">_FV(RTData[[#This Row],[Company Name]],"Last trade time",TRUE)</f>
        <v>45946.855236943753</v>
      </c>
      <c r="F39" s="36" cm="1">
        <f t="array" aca="1" ref="F39" ca="1">_FV(RTData[[#This Row],[Company Name]],"Previous close",TRUE)</f>
        <v>0.91279999999999994</v>
      </c>
      <c r="G39" s="36" cm="1">
        <f t="array" aca="1" ref="G39" ca="1">_FV(RTData[[#This Row],[Company Name]],"Open")</f>
        <v>0.93989999999999996</v>
      </c>
      <c r="H39" s="36" cm="1">
        <f t="array" aca="1" ref="H39" ca="1">_FV(RTData[[#This Row],[Company Name]],"Price")</f>
        <v>0.89990000000000003</v>
      </c>
      <c r="I39" s="36" cm="1">
        <f t="array" aca="1" ref="I39" ca="1">_FV(RTData[[#This Row],[Company Name]],"Low")</f>
        <v>0.86009999999999998</v>
      </c>
      <c r="J39" s="36" cm="1">
        <f t="array" aca="1" ref="J39" ca="1">_FV(RTData[[#This Row],[Company Name]],"High")</f>
        <v>0.93989999999999996</v>
      </c>
      <c r="K39" s="20" cm="1">
        <f t="array" ref="K39">IFERROR(_FV(RTData[[#This Row],[Company Name]],"P/E",TRUE),99)</f>
        <v>99</v>
      </c>
      <c r="L39" s="21" cm="1">
        <f t="array" aca="1" ref="L39" ca="1">_FV(RTData[[#This Row],[Company Name]],"Change")</f>
        <v>-1.29E-2</v>
      </c>
      <c r="M39" s="22" cm="1">
        <f t="array" aca="1" ref="M39" ca="1">_FV(RTData[[#This Row],[Company Name]],"Change (%)",TRUE)</f>
        <v>-1.4132E-2</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65236</v>
      </c>
      <c r="Q39" s="23" cm="1">
        <f t="array" aca="1" ref="Q39" ca="1">_FV(RTData[[#This Row],[Company Name]],"Volume average",TRUE)</f>
        <v>200020</v>
      </c>
      <c r="R39" s="19" cm="1">
        <f t="array" aca="1" ref="R39" ca="1">_FV(RTData[[#This Row],[Company Name]],"Beta")</f>
        <v>1.5988</v>
      </c>
      <c r="T39" t="s">
        <v>20</v>
      </c>
      <c r="U39" t="str" cm="1">
        <f t="array" aca="1" ref="U39" ca="1">_FV(RTData[[#This Row],[Company Name]],"Exchange abbreviation",TRUE)</f>
        <v>XNYS</v>
      </c>
      <c r="V39" s="24">
        <f ca="1">IFERROR(RTData[[#This Row],[Volume]]/RTData[[#This Row],[Volume average]],1)</f>
        <v>0.32614738526147385</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0.85572479890467223</v>
      </c>
      <c r="C40" t="e" vm="39">
        <v>#VALUE!</v>
      </c>
      <c r="D40" s="17" t="str" cm="1">
        <f t="array" aca="1" ref="D40" ca="1">_FV(RTData[[#This Row],[Company Name]],"Currency")</f>
        <v>USD</v>
      </c>
      <c r="E40" s="18" cm="1">
        <f t="array" aca="1" ref="E40" ca="1">_FV(RTData[[#This Row],[Company Name]],"Last trade time",TRUE)</f>
        <v>45946.860585265626</v>
      </c>
      <c r="F40" s="19" cm="1">
        <f t="array" aca="1" ref="F40" ca="1">_FV(RTData[[#This Row],[Company Name]],"Previous close",TRUE)</f>
        <v>28.11</v>
      </c>
      <c r="G40" s="19" cm="1">
        <f t="array" aca="1" ref="G40" ca="1">_FV(RTData[[#This Row],[Company Name]],"Open")</f>
        <v>28.45</v>
      </c>
      <c r="H40" s="19" cm="1">
        <f t="array" aca="1" ref="H40" ca="1">_FV(RTData[[#This Row],[Company Name]],"Price")</f>
        <v>28.11</v>
      </c>
      <c r="I40" s="19" cm="1">
        <f t="array" aca="1" ref="I40" ca="1">_FV(RTData[[#This Row],[Company Name]],"Low")</f>
        <v>27.635000000000002</v>
      </c>
      <c r="J40" s="19" cm="1">
        <f t="array" aca="1" ref="J40" ca="1">_FV(RTData[[#This Row],[Company Name]],"High")</f>
        <v>28.45</v>
      </c>
      <c r="K40" s="20" cm="1">
        <f t="array" aca="1" ref="K40" ca="1">IFERROR(_FV(RTData[[#This Row],[Company Name]],"P/E",TRUE),99)</f>
        <v>5.1910999999999996</v>
      </c>
      <c r="L40" s="21" cm="1">
        <f t="array" aca="1" ref="L40" ca="1">_FV(RTData[[#This Row],[Company Name]],"Change")</f>
        <v>0</v>
      </c>
      <c r="M40" s="22" cm="1">
        <f t="array" aca="1" ref="M40" ca="1">_FV(RTData[[#This Row],[Company Name]],"Change (%)",TRUE)</f>
        <v>0</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342660</v>
      </c>
      <c r="Q40" s="23" cm="1">
        <f t="array" aca="1" ref="Q40" ca="1">_FV(RTData[[#This Row],[Company Name]],"Volume average",TRUE)</f>
        <v>644319</v>
      </c>
      <c r="R40" s="19" cm="1">
        <f t="array" aca="1" ref="R40" ca="1">_FV(RTData[[#This Row],[Company Name]],"Beta")</f>
        <v>1.2163999999999999</v>
      </c>
      <c r="T40" t="s">
        <v>20</v>
      </c>
      <c r="U40" t="str" cm="1">
        <f t="array" aca="1" ref="U40" ca="1">_FV(RTData[[#This Row],[Company Name]],"Exchange abbreviation",TRUE)</f>
        <v>XNAS</v>
      </c>
      <c r="V40" s="24">
        <f ca="1">IFERROR(RTData[[#This Row],[Volume]]/RTData[[#This Row],[Volume average]],1)</f>
        <v>0.53181731409441602</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0.85572479890467223</v>
      </c>
      <c r="C41" t="e" vm="40">
        <v>#VALUE!</v>
      </c>
      <c r="D41" s="17" t="str" cm="1">
        <f t="array" aca="1" ref="D41" ca="1">_FV(RTData[[#This Row],[Company Name]],"Currency")</f>
        <v>EUR</v>
      </c>
      <c r="E41" s="18" cm="1">
        <f t="array" aca="1" ref="E41" ca="1">_FV(RTData[[#This Row],[Company Name]],"Last trade time",TRUE)</f>
        <v>45946.836805555555</v>
      </c>
      <c r="F41" s="19" cm="1">
        <f t="array" aca="1" ref="F41" ca="1">_FV(RTData[[#This Row],[Company Name]],"Previous close",TRUE)</f>
        <v>40.770000000000003</v>
      </c>
      <c r="G41" s="19" cm="1">
        <f t="array" aca="1" ref="G41" ca="1">_FV(RTData[[#This Row],[Company Name]],"Open")</f>
        <v>40.85</v>
      </c>
      <c r="H41" s="19" cm="1">
        <f t="array" aca="1" ref="H41" ca="1">_FV(RTData[[#This Row],[Company Name]],"Price")</f>
        <v>41.38</v>
      </c>
      <c r="I41" s="19" cm="1">
        <f t="array" aca="1" ref="I41" ca="1">_FV(RTData[[#This Row],[Company Name]],"Low")</f>
        <v>40.85</v>
      </c>
      <c r="J41" s="19" cm="1">
        <f t="array" aca="1" ref="J41" ca="1">_FV(RTData[[#This Row],[Company Name]],"High")</f>
        <v>41.5</v>
      </c>
      <c r="K41" s="20" cm="1">
        <f t="array" aca="1" ref="K41" ca="1">IFERROR(_FV(RTData[[#This Row],[Company Name]],"P/E",TRUE),99)</f>
        <v>11.8567</v>
      </c>
      <c r="L41" s="21" cm="1">
        <f t="array" aca="1" ref="L41" ca="1">_FV(RTData[[#This Row],[Company Name]],"Change")</f>
        <v>0.61</v>
      </c>
      <c r="M41" s="22" cm="1">
        <f t="array" aca="1" ref="M41" ca="1">_FV(RTData[[#This Row],[Company Name]],"Change (%)",TRUE)</f>
        <v>1.4962E-2</v>
      </c>
      <c r="N41" s="19" cm="1">
        <f t="array" aca="1" ref="N41" ca="1">_FV(RTData[[#This Row],[Company Name]],"52 week low",TRUE)</f>
        <v>14.231</v>
      </c>
      <c r="O41" s="19" cm="1">
        <f t="array" aca="1" ref="O41" ca="1">_FV(RTData[[#This Row],[Company Name]],"52 week high",TRUE)</f>
        <v>44.03</v>
      </c>
      <c r="P41" s="23" cm="1">
        <f t="array" aca="1" ref="P41" ca="1">_FV(RTData[[#This Row],[Company Name]],"Volume")</f>
        <v>6785</v>
      </c>
      <c r="Q41" s="23" cm="1">
        <f t="array" aca="1" ref="Q41" ca="1">_FV(RTData[[#This Row],[Company Name]],"Volume average",TRUE)</f>
        <v>1950430</v>
      </c>
      <c r="R41" s="19" cm="1">
        <f t="array" aca="1" ref="R41" ca="1">_FV(RTData[[#This Row],[Company Name]],"Beta")</f>
        <v>0.51549999999999996</v>
      </c>
      <c r="T41" t="s">
        <v>20</v>
      </c>
      <c r="U41" t="str" cm="1">
        <f t="array" aca="1" ref="U41" ca="1">_FV(RTData[[#This Row],[Company Name]],"Exchange abbreviation",TRUE)</f>
        <v>XFRA</v>
      </c>
      <c r="V41" s="24">
        <f ca="1">IFERROR(RTData[[#This Row],[Volume]]/RTData[[#This Row],[Volume average]],1)</f>
        <v>3.4787200771112009E-3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45946.770833333336</v>
      </c>
      <c r="F42" s="28" cm="1">
        <f t="array" aca="1" ref="F42" ca="1">_FV(RTData[[#This Row],[Company Name]],"Previous close",TRUE)</f>
        <v>234.2</v>
      </c>
      <c r="G42" s="28" cm="1">
        <f t="array" aca="1" ref="G42" ca="1">_FV(RTData[[#This Row],[Company Name]],"Open")</f>
        <v>231.2</v>
      </c>
      <c r="H42" s="28" cm="1">
        <f t="array" aca="1" ref="H42" ca="1">_FV(RTData[[#This Row],[Company Name]],"Price")</f>
        <v>233.2</v>
      </c>
      <c r="I42" s="28" cm="1">
        <f t="array" aca="1" ref="I42" ca="1">_FV(RTData[[#This Row],[Company Name]],"Low")</f>
        <v>230.35</v>
      </c>
      <c r="J42" s="28" cm="1">
        <f t="array" aca="1" ref="J42" ca="1">_FV(RTData[[#This Row],[Company Name]],"High")</f>
        <v>237.1</v>
      </c>
      <c r="K42" s="20" cm="1">
        <f t="array" aca="1" ref="K42" ca="1">IFERROR(_FV(RTData[[#This Row],[Company Name]],"P/E",TRUE),99)</f>
        <v>41.636899999999997</v>
      </c>
      <c r="L42" s="21" cm="1">
        <f t="array" aca="1" ref="L42" ca="1">_FV(RTData[[#This Row],[Company Name]],"Change")</f>
        <v>-1</v>
      </c>
      <c r="M42" s="22" cm="1">
        <f t="array" aca="1" ref="M42" ca="1">_FV(RTData[[#This Row],[Company Name]],"Change (%)",TRUE)</f>
        <v>-4.2699999999999995E-3</v>
      </c>
      <c r="N42" s="28" cm="1">
        <f t="array" aca="1" ref="N42" ca="1">_FV(RTData[[#This Row],[Company Name]],"52 week low",TRUE)</f>
        <v>208.7</v>
      </c>
      <c r="O42" s="28" cm="1">
        <f t="array" aca="1" ref="O42" ca="1">_FV(RTData[[#This Row],[Company Name]],"52 week high",TRUE)</f>
        <v>283.5</v>
      </c>
      <c r="P42" s="23" cm="1">
        <f t="array" aca="1" ref="P42" ca="1">_FV(RTData[[#This Row],[Company Name]],"Volume")</f>
        <v>1149922</v>
      </c>
      <c r="Q42" s="23" cm="1">
        <f t="array" aca="1" ref="Q42" ca="1">_FV(RTData[[#This Row],[Company Name]],"Volume average",TRUE)</f>
        <v>1110590</v>
      </c>
      <c r="R42" s="19" cm="1">
        <f t="array" aca="1" ref="R42" ca="1">_FV(RTData[[#This Row],[Company Name]],"Beta")</f>
        <v>0.99129999999999996</v>
      </c>
      <c r="T42" t="s">
        <v>20</v>
      </c>
      <c r="U42" t="str" cm="1">
        <f t="array" aca="1" ref="U42" ca="1">_FV(RTData[[#This Row],[Company Name]],"Exchange abbreviation",TRUE)</f>
        <v>XETR</v>
      </c>
      <c r="V42" s="24">
        <f ca="1">IFERROR(RTData[[#This Row],[Volume]]/RTData[[#This Row],[Volume average]],1)</f>
        <v>1.035415409827209</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45946.833336608594</v>
      </c>
      <c r="F43" s="28" cm="1">
        <f t="array" aca="1" ref="F43" ca="1">_FV(RTData[[#This Row],[Company Name]],"Previous close",TRUE)</f>
        <v>16.54</v>
      </c>
      <c r="G43" s="28" cm="1">
        <f t="array" aca="1" ref="G43" ca="1">_FV(RTData[[#This Row],[Company Name]],"Open")</f>
        <v>16.46</v>
      </c>
      <c r="H43" s="28" cm="1">
        <f t="array" aca="1" ref="H43" ca="1">_FV(RTData[[#This Row],[Company Name]],"Price")</f>
        <v>16.45</v>
      </c>
      <c r="I43" s="28" cm="1">
        <f t="array" aca="1" ref="I43" ca="1">_FV(RTData[[#This Row],[Company Name]],"Low")</f>
        <v>16.399999999999999</v>
      </c>
      <c r="J43" s="28" cm="1">
        <f t="array" aca="1" ref="J43" ca="1">_FV(RTData[[#This Row],[Company Name]],"High")</f>
        <v>16.54</v>
      </c>
      <c r="K43" s="20" cm="1">
        <f t="array" aca="1" ref="K43" ca="1">IFERROR(_FV(RTData[[#This Row],[Company Name]],"P/E",TRUE),99)</f>
        <v>0</v>
      </c>
      <c r="L43" s="21" cm="1">
        <f t="array" aca="1" ref="L43" ca="1">_FV(RTData[[#This Row],[Company Name]],"Change")</f>
        <v>-0.09</v>
      </c>
      <c r="M43" s="22" cm="1">
        <f t="array" aca="1" ref="M43" ca="1">_FV(RTData[[#This Row],[Company Name]],"Change (%)",TRUE)</f>
        <v>-5.4410000000000005E-3</v>
      </c>
      <c r="N43" s="28" cm="1">
        <f t="array" aca="1" ref="N43" ca="1">_FV(RTData[[#This Row],[Company Name]],"52 week low",TRUE)</f>
        <v>11.88</v>
      </c>
      <c r="O43" s="28" cm="1">
        <f t="array" aca="1" ref="O43" ca="1">_FV(RTData[[#This Row],[Company Name]],"52 week high",TRUE)</f>
        <v>20.61</v>
      </c>
      <c r="P43" s="23" cm="1">
        <f t="array" aca="1" ref="P43" ca="1">_FV(RTData[[#This Row],[Company Name]],"Volume")</f>
        <v>509562</v>
      </c>
      <c r="Q43" s="23" cm="1">
        <f t="array" aca="1" ref="Q43" ca="1">_FV(RTData[[#This Row],[Company Name]],"Volume average",TRUE)</f>
        <v>8342700</v>
      </c>
      <c r="R43" s="28" cm="1">
        <f t="array" aca="1" ref="R43" ca="1">_FV(RTData[[#This Row],[Company Name]],"Beta")</f>
        <v>1.5262</v>
      </c>
      <c r="T43" t="s">
        <v>20</v>
      </c>
      <c r="U43" t="str" cm="1">
        <f t="array" aca="1" ref="U43" ca="1">_FV(RTData[[#This Row],[Company Name]],"Exchange abbreviation",TRUE)</f>
        <v>OTCM</v>
      </c>
      <c r="V43" s="24">
        <f ca="1">IFERROR(RTData[[#This Row],[Volume]]/RTData[[#This Row],[Volume average]],1)</f>
        <v>6.1078787442914166E-2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0.85572479890467223</v>
      </c>
      <c r="C44" t="e" vm="43">
        <v>#VALUE!</v>
      </c>
      <c r="D44" s="17" t="str" cm="1">
        <f t="array" aca="1" ref="D44" ca="1">_FV(RTData[[#This Row],[Company Name]],"Currency")</f>
        <v>USD</v>
      </c>
      <c r="E44" s="18" cm="1">
        <f t="array" aca="1" ref="E44" ca="1">_FV(RTData[[#This Row],[Company Name]],"Last trade time",TRUE)</f>
        <v>45946.866149582813</v>
      </c>
      <c r="F44" s="19" cm="1">
        <f t="array" aca="1" ref="F44" ca="1">_FV(RTData[[#This Row],[Company Name]],"Previous close",TRUE)</f>
        <v>11.54</v>
      </c>
      <c r="G44" s="19" cm="1">
        <f t="array" aca="1" ref="G44" ca="1">_FV(RTData[[#This Row],[Company Name]],"Open")</f>
        <v>11.93</v>
      </c>
      <c r="H44" s="19" cm="1">
        <f t="array" aca="1" ref="H44" ca="1">_FV(RTData[[#This Row],[Company Name]],"Price")</f>
        <v>11.48</v>
      </c>
      <c r="I44" s="19" cm="1">
        <f t="array" aca="1" ref="I44" ca="1">_FV(RTData[[#This Row],[Company Name]],"Low")</f>
        <v>11.4</v>
      </c>
      <c r="J44" s="19" cm="1">
        <f t="array" aca="1" ref="J44" ca="1">_FV(RTData[[#This Row],[Company Name]],"High")</f>
        <v>12.2674</v>
      </c>
      <c r="K44" s="20" cm="1">
        <f t="array" aca="1" ref="K44" ca="1">IFERROR(_FV(RTData[[#This Row],[Company Name]],"P/E",TRUE),99)</f>
        <v>0</v>
      </c>
      <c r="L44" s="21" cm="1">
        <f t="array" aca="1" ref="L44" ca="1">_FV(RTData[[#This Row],[Company Name]],"Change")</f>
        <v>-0.06</v>
      </c>
      <c r="M44" s="22" cm="1">
        <f t="array" aca="1" ref="M44" ca="1">_FV(RTData[[#This Row],[Company Name]],"Change (%)",TRUE)</f>
        <v>-5.1990000000000005E-3</v>
      </c>
      <c r="N44" s="19" cm="1">
        <f t="array" aca="1" ref="N44" ca="1">_FV(RTData[[#This Row],[Company Name]],"52 week low",TRUE)</f>
        <v>6.92</v>
      </c>
      <c r="O44" s="19" cm="1">
        <f t="array" aca="1" ref="O44" ca="1">_FV(RTData[[#This Row],[Company Name]],"52 week high",TRUE)</f>
        <v>12.88</v>
      </c>
      <c r="P44" s="23" cm="1">
        <f t="array" aca="1" ref="P44" ca="1">_FV(RTData[[#This Row],[Company Name]],"Volume")</f>
        <v>1090816</v>
      </c>
      <c r="Q44" s="23" cm="1">
        <f t="array" aca="1" ref="Q44" ca="1">_FV(RTData[[#This Row],[Company Name]],"Volume average",TRUE)</f>
        <v>980928</v>
      </c>
      <c r="R44" s="19" cm="1">
        <f t="array" aca="1" ref="R44" ca="1">_FV(RTData[[#This Row],[Company Name]],"Beta")</f>
        <v>1.6106</v>
      </c>
      <c r="T44" t="s">
        <v>20</v>
      </c>
      <c r="U44" t="str" cm="1">
        <f t="array" aca="1" ref="U44" ca="1">_FV(RTData[[#This Row],[Company Name]],"Exchange abbreviation",TRUE)</f>
        <v>XNAS</v>
      </c>
      <c r="V44" s="24">
        <f ca="1">IFERROR(RTData[[#This Row],[Volume]]/RTData[[#This Row],[Volume average]],1)</f>
        <v>1.11202453187186</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0.85572479890467223</v>
      </c>
      <c r="C45" t="e" vm="44">
        <v>#VALUE!</v>
      </c>
      <c r="D45" s="17" t="str" cm="1">
        <f t="array" aca="1" ref="D45" ca="1">_FV(RTData[[#This Row],[Company Name]],"Currency")</f>
        <v>USD</v>
      </c>
      <c r="E45" s="18" cm="1">
        <f t="array" aca="1" ref="E45" ca="1">_FV(RTData[[#This Row],[Company Name]],"Last trade time",TRUE)</f>
        <v>45946.870176782031</v>
      </c>
      <c r="F45" s="19" cm="1">
        <f t="array" aca="1" ref="F45" ca="1">_FV(RTData[[#This Row],[Company Name]],"Previous close",TRUE)</f>
        <v>435.15</v>
      </c>
      <c r="G45" s="19" cm="1">
        <f t="array" aca="1" ref="G45" ca="1">_FV(RTData[[#This Row],[Company Name]],"Open")</f>
        <v>434.73</v>
      </c>
      <c r="H45" s="19" cm="1">
        <f t="array" aca="1" ref="H45" ca="1">_FV(RTData[[#This Row],[Company Name]],"Price")</f>
        <v>428.75</v>
      </c>
      <c r="I45" s="19" cm="1">
        <f t="array" aca="1" ref="I45" ca="1">_FV(RTData[[#This Row],[Company Name]],"Low")</f>
        <v>421.31009999999998</v>
      </c>
      <c r="J45" s="19" cm="1">
        <f t="array" aca="1" ref="J45" ca="1">_FV(RTData[[#This Row],[Company Name]],"High")</f>
        <v>439.35</v>
      </c>
      <c r="K45" s="20" cm="1">
        <f t="array" aca="1" ref="K45" ca="1">IFERROR(_FV(RTData[[#This Row],[Company Name]],"P/E",TRUE),99)</f>
        <v>242.49629999999999</v>
      </c>
      <c r="L45" s="21" cm="1">
        <f t="array" aca="1" ref="L45" ca="1">_FV(RTData[[#This Row],[Company Name]],"Change")</f>
        <v>-6.4</v>
      </c>
      <c r="M45" s="22" cm="1">
        <f t="array" aca="1" ref="M45" ca="1">_FV(RTData[[#This Row],[Company Name]],"Change (%)",TRUE)</f>
        <v>-1.4708000000000001E-2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76569539</v>
      </c>
      <c r="Q45" s="23" cm="1">
        <f t="array" aca="1" ref="Q45" ca="1">_FV(RTData[[#This Row],[Company Name]],"Volume average",TRUE)</f>
        <v>99519627</v>
      </c>
      <c r="R45" s="19" cm="1">
        <f t="array" aca="1" ref="R45" ca="1">_FV(RTData[[#This Row],[Company Name]],"Beta")</f>
        <v>2.0739000000000001</v>
      </c>
      <c r="T45" t="s">
        <v>20</v>
      </c>
      <c r="U45" t="str" cm="1">
        <f t="array" aca="1" ref="U45" ca="1">_FV(RTData[[#This Row],[Company Name]],"Exchange abbreviation",TRUE)</f>
        <v>XNAS</v>
      </c>
      <c r="V45" s="24">
        <f ca="1">IFERROR(RTData[[#This Row],[Volume]]/RTData[[#This Row],[Volume average]],1)</f>
        <v>0.76939133825330752</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0.85572479890467223</v>
      </c>
      <c r="C46" t="e" vm="45">
        <v>#VALUE!</v>
      </c>
      <c r="D46" s="17" t="str" cm="1">
        <f t="array" aca="1" ref="D46" ca="1">_FV(RTData[[#This Row],[Company Name]],"Currency")</f>
        <v>USD</v>
      </c>
      <c r="E46" s="18" cm="1">
        <f t="array" aca="1" ref="E46" ca="1">_FV(RTData[[#This Row],[Company Name]],"Last trade time",TRUE)</f>
        <v>45946.870302765623</v>
      </c>
      <c r="F46" s="19" cm="1">
        <f t="array" aca="1" ref="F46" ca="1">_FV(RTData[[#This Row],[Company Name]],"Previous close",TRUE)</f>
        <v>304.70999999999998</v>
      </c>
      <c r="G46" s="19" cm="1">
        <f t="array" aca="1" ref="G46" ca="1">_FV(RTData[[#This Row],[Company Name]],"Open")</f>
        <v>310.93</v>
      </c>
      <c r="H46" s="19" cm="1">
        <f t="array" aca="1" ref="H46" ca="1">_FV(RTData[[#This Row],[Company Name]],"Price")</f>
        <v>299.97000000000003</v>
      </c>
      <c r="I46" s="19" cm="1">
        <f t="array" aca="1" ref="I46" ca="1">_FV(RTData[[#This Row],[Company Name]],"Low")</f>
        <v>296.69</v>
      </c>
      <c r="J46" s="19" cm="1">
        <f t="array" aca="1" ref="J46" ca="1">_FV(RTData[[#This Row],[Company Name]],"High")</f>
        <v>311.36849999999998</v>
      </c>
      <c r="K46" s="20" cm="1">
        <f t="array" aca="1" ref="K46" ca="1">IFERROR(_FV(RTData[[#This Row],[Company Name]],"P/E",TRUE),99)</f>
        <v>31.0959</v>
      </c>
      <c r="L46" s="21" cm="1">
        <f t="array" aca="1" ref="L46" ca="1">_FV(RTData[[#This Row],[Company Name]],"Change")</f>
        <v>-4.74</v>
      </c>
      <c r="M46" s="22" cm="1">
        <f t="array" aca="1" ref="M46" ca="1">_FV(RTData[[#This Row],[Company Name]],"Change (%)",TRUE)</f>
        <v>-1.5556E-2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26212410</v>
      </c>
      <c r="Q46" s="23" cm="1">
        <f t="array" aca="1" ref="Q46" ca="1">_FV(RTData[[#This Row],[Company Name]],"Volume average",TRUE)</f>
        <v>13312896</v>
      </c>
      <c r="R46" s="19" cm="1">
        <f t="array" aca="1" ref="R46" ca="1">_FV(RTData[[#This Row],[Company Name]],"Beta")</f>
        <v>1.2997000000000001</v>
      </c>
      <c r="T46" t="s">
        <v>20</v>
      </c>
      <c r="U46" t="str" cm="1">
        <f t="array" aca="1" ref="U46" ca="1">_FV(RTData[[#This Row],[Company Name]],"Exchange abbreviation",TRUE)</f>
        <v>XNYS</v>
      </c>
      <c r="V46" s="24">
        <f ca="1">IFERROR(RTData[[#This Row],[Volume]]/RTData[[#This Row],[Volume average]],1)</f>
        <v>1.9689487546511293</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0.85572479890467223</v>
      </c>
      <c r="C47" t="e" vm="46">
        <v>#VALUE!</v>
      </c>
      <c r="D47" s="17" t="str" cm="1">
        <f t="array" aca="1" ref="D47" ca="1">_FV(RTData[[#This Row],[Company Name]],"Currency")</f>
        <v>EUR</v>
      </c>
      <c r="E47" s="18" cm="1">
        <f t="array" aca="1" ref="E47" ca="1">_FV(RTData[[#This Row],[Company Name]],"Last trade time",TRUE)</f>
        <v>45946.836805555555</v>
      </c>
      <c r="F47" s="19" cm="1">
        <f t="array" aca="1" ref="F47" ca="1">_FV(RTData[[#This Row],[Company Name]],"Previous close",TRUE)</f>
        <v>31.6</v>
      </c>
      <c r="G47" s="19" cm="1">
        <f t="array" aca="1" ref="G47" ca="1">_FV(RTData[[#This Row],[Company Name]],"Open")</f>
        <v>31.7</v>
      </c>
      <c r="H47" s="19" cm="1">
        <f t="array" aca="1" ref="H47" ca="1">_FV(RTData[[#This Row],[Company Name]],"Price")</f>
        <v>31.75</v>
      </c>
      <c r="I47" s="19" cm="1">
        <f t="array" aca="1" ref="I47" ca="1">_FV(RTData[[#This Row],[Company Name]],"Low")</f>
        <v>31.2</v>
      </c>
      <c r="J47" s="19" cm="1">
        <f t="array" aca="1" ref="J47" ca="1">_FV(RTData[[#This Row],[Company Name]],"High")</f>
        <v>31.75</v>
      </c>
      <c r="K47" s="20" cm="1">
        <f t="array" ref="K47">IFERROR(_FV(RTData[[#This Row],[Company Name]],"P/E",TRUE),99)</f>
        <v>99</v>
      </c>
      <c r="L47" s="21" cm="1">
        <f t="array" aca="1" ref="L47" ca="1">_FV(RTData[[#This Row],[Company Name]],"Change")</f>
        <v>0.15</v>
      </c>
      <c r="M47" s="22" cm="1">
        <f t="array" aca="1" ref="M47" ca="1">_FV(RTData[[#This Row],[Company Name]],"Change (%)",TRUE)</f>
        <v>4.7470000000000004E-3</v>
      </c>
      <c r="N47" s="19" cm="1">
        <f t="array" aca="1" ref="N47" ca="1">_FV(RTData[[#This Row],[Company Name]],"52 week low",TRUE)</f>
        <v>2.1</v>
      </c>
      <c r="O47" s="19" cm="1">
        <f t="array" aca="1" ref="O47" ca="1">_FV(RTData[[#This Row],[Company Name]],"52 week high",TRUE)</f>
        <v>73.5</v>
      </c>
      <c r="P47" s="23" cm="1">
        <f t="array" aca="1" ref="P47" ca="1">_FV(RTData[[#This Row],[Company Name]],"Volume")</f>
        <v>70</v>
      </c>
      <c r="Q47" s="23" cm="1">
        <f t="array" aca="1" ref="Q47" ca="1">_FV(RTData[[#This Row],[Company Name]],"Volume average",TRUE)</f>
        <v>5500</v>
      </c>
      <c r="R47" s="19" cm="1">
        <f t="array" aca="1" ref="R47" ca="1">_FV(RTData[[#This Row],[Company Name]],"Beta")</f>
        <v>1.0704</v>
      </c>
      <c r="T47" t="s">
        <v>20</v>
      </c>
      <c r="U47" t="str" cm="1">
        <f t="array" aca="1" ref="U47" ca="1">_FV(RTData[[#This Row],[Company Name]],"Exchange abbreviation",TRUE)</f>
        <v>XFRA</v>
      </c>
      <c r="V47" s="24">
        <f ca="1">IFERROR(RTData[[#This Row],[Volume]]/RTData[[#This Row],[Volume average]],1)</f>
        <v>1.2727272727272728E-2</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45946.857677881249</v>
      </c>
      <c r="F48" s="28" cm="1">
        <f t="array" aca="1" ref="F48" ca="1">_FV(RTData[[#This Row],[Company Name]],"Previous close",TRUE)</f>
        <v>5.72</v>
      </c>
      <c r="G48" s="28" cm="1">
        <f t="array" aca="1" ref="G48" ca="1">_FV(RTData[[#This Row],[Company Name]],"Open")</f>
        <v>5.75</v>
      </c>
      <c r="H48" s="28" cm="1">
        <f t="array" aca="1" ref="H48" ca="1">_FV(RTData[[#This Row],[Company Name]],"Price")</f>
        <v>5.61</v>
      </c>
      <c r="I48" s="28" cm="1">
        <f t="array" aca="1" ref="I48" ca="1">_FV(RTData[[#This Row],[Company Name]],"Low")</f>
        <v>5.48</v>
      </c>
      <c r="J48" s="28" cm="1">
        <f t="array" aca="1" ref="J48" ca="1">_FV(RTData[[#This Row],[Company Name]],"High")</f>
        <v>5.91</v>
      </c>
      <c r="K48" s="20" cm="1">
        <f t="array" aca="1" ref="K48" ca="1">IFERROR(_FV(RTData[[#This Row],[Company Name]],"P/E",TRUE),99)</f>
        <v>24.0471</v>
      </c>
      <c r="L48" s="21" cm="1">
        <f t="array" aca="1" ref="L48" ca="1">_FV(RTData[[#This Row],[Company Name]],"Change")</f>
        <v>-0.11</v>
      </c>
      <c r="M48" s="22" cm="1">
        <f t="array" aca="1" ref="M48" ca="1">_FV(RTData[[#This Row],[Company Name]],"Change (%)",TRUE)</f>
        <v>-1.9231000000000002E-2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1972159</v>
      </c>
      <c r="Q48" s="23" cm="1">
        <f t="array" aca="1" ref="Q48" ca="1">_FV(RTData[[#This Row],[Company Name]],"Volume average",TRUE)</f>
        <v>2892229</v>
      </c>
      <c r="R48" s="28" cm="1">
        <f t="array" aca="1" ref="R48" ca="1">_FV(RTData[[#This Row],[Company Name]],"Beta")</f>
        <v>1.5410999999999999</v>
      </c>
      <c r="T48" t="s">
        <v>20</v>
      </c>
      <c r="U48" t="str" cm="1">
        <f t="array" aca="1" ref="U48" ca="1">_FV(RTData[[#This Row],[Company Name]],"Exchange abbreviation",TRUE)</f>
        <v>XNAS</v>
      </c>
      <c r="V48" s="24">
        <f ca="1">IFERROR(RTData[[#This Row],[Volume]]/RTData[[#This Row],[Volume average]],1)</f>
        <v>0.68188203631178579</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0.85572479890467223</v>
      </c>
      <c r="C49" t="e" vm="48">
        <v>#VALUE!</v>
      </c>
      <c r="D49" s="17" t="str" cm="1">
        <f t="array" aca="1" ref="D49" ca="1">_FV(RTData[[#This Row],[Company Name]],"Currency")</f>
        <v>USD</v>
      </c>
      <c r="E49" s="18" cm="1">
        <f t="array" aca="1" ref="E49" ca="1">_FV(RTData[[#This Row],[Company Name]],"Last trade time",TRUE)</f>
        <v>45946.833372626563</v>
      </c>
      <c r="F49" s="19" cm="1">
        <f t="array" aca="1" ref="F49" ca="1">_FV(RTData[[#This Row],[Company Name]],"Previous close",TRUE)</f>
        <v>27.81</v>
      </c>
      <c r="G49" s="19" cm="1">
        <f t="array" aca="1" ref="G49" ca="1">_FV(RTData[[#This Row],[Company Name]],"Open")</f>
        <v>28.114999999999998</v>
      </c>
      <c r="H49" s="19" cm="1">
        <f t="array" aca="1" ref="H49" ca="1">_FV(RTData[[#This Row],[Company Name]],"Price")</f>
        <v>28.16</v>
      </c>
      <c r="I49" s="19" cm="1">
        <f t="array" aca="1" ref="I49" ca="1">_FV(RTData[[#This Row],[Company Name]],"Low")</f>
        <v>28.02</v>
      </c>
      <c r="J49" s="19" cm="1">
        <f t="array" aca="1" ref="J49" ca="1">_FV(RTData[[#This Row],[Company Name]],"High")</f>
        <v>28.44</v>
      </c>
      <c r="K49" s="20" cm="1">
        <f t="array" aca="1" ref="K49" ca="1">IFERROR(_FV(RTData[[#This Row],[Company Name]],"P/E",TRUE),99)</f>
        <v>0</v>
      </c>
      <c r="L49" s="21" cm="1">
        <f t="array" aca="1" ref="L49" ca="1">_FV(RTData[[#This Row],[Company Name]],"Change")</f>
        <v>0.35</v>
      </c>
      <c r="M49" s="22" cm="1">
        <f t="array" aca="1" ref="M49" ca="1">_FV(RTData[[#This Row],[Company Name]],"Change (%)",TRUE)</f>
        <v>1.2584999999999999E-2</v>
      </c>
      <c r="N49" s="19" cm="1">
        <f t="array" aca="1" ref="N49" ca="1">_FV(RTData[[#This Row],[Company Name]],"52 week low",TRUE)</f>
        <v>22.55</v>
      </c>
      <c r="O49" s="19" cm="1">
        <f t="array" aca="1" ref="O49" ca="1">_FV(RTData[[#This Row],[Company Name]],"52 week high",TRUE)</f>
        <v>33.33</v>
      </c>
      <c r="P49" s="23" cm="1">
        <f t="array" aca="1" ref="P49" ca="1">_FV(RTData[[#This Row],[Company Name]],"Volume")</f>
        <v>61391</v>
      </c>
      <c r="Q49" s="23" cm="1">
        <f t="array" aca="1" ref="Q49" ca="1">_FV(RTData[[#This Row],[Company Name]],"Volume average",TRUE)</f>
        <v>3223610</v>
      </c>
      <c r="R49" s="19" cm="1">
        <f t="array" aca="1" ref="R49" ca="1">_FV(RTData[[#This Row],[Company Name]],"Beta")</f>
        <v>0.9264</v>
      </c>
      <c r="T49" t="s">
        <v>20</v>
      </c>
      <c r="U49" t="str" cm="1">
        <f t="array" aca="1" ref="U49" ca="1">_FV(RTData[[#This Row],[Company Name]],"Exchange abbreviation",TRUE)</f>
        <v>OTCM</v>
      </c>
      <c r="V49" s="24">
        <f ca="1">IFERROR(RTData[[#This Row],[Volume]]/RTData[[#This Row],[Volume average]],1)</f>
        <v>1.9044177180242025E-2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1.0797969981643452</v>
      </c>
      <c r="C50" t="e" vm="49">
        <v>#VALUE!</v>
      </c>
      <c r="D50" s="17" t="str" cm="1">
        <f t="array" aca="1" ref="D50" ca="1">_FV(RTData[[#This Row],[Company Name]],"Currency")</f>
        <v>CHF</v>
      </c>
      <c r="E50" s="18" cm="1">
        <f t="array" aca="1" ref="E50" ca="1">_FV(RTData[[#This Row],[Company Name]],"Last trade time",TRUE)</f>
        <v>45946.652777777781</v>
      </c>
      <c r="F50" s="37" cm="1">
        <f t="array" aca="1" ref="F50" ca="1">_FV(RTData[[#This Row],[Company Name]],"Previous close",TRUE)</f>
        <v>60.2</v>
      </c>
      <c r="G50" s="37" cm="1">
        <f t="array" aca="1" ref="G50" ca="1">_FV(RTData[[#This Row],[Company Name]],"Open")</f>
        <v>60.5</v>
      </c>
      <c r="H50" s="37" cm="1">
        <f t="array" aca="1" ref="H50" ca="1">_FV(RTData[[#This Row],[Company Name]],"Price")</f>
        <v>59.8</v>
      </c>
      <c r="I50" s="38" cm="1">
        <f t="array" aca="1" ref="I50" ca="1">_FV(RTData[[#This Row],[Company Name]],"Low")</f>
        <v>59.6</v>
      </c>
      <c r="J50" s="38" cm="1">
        <f t="array" aca="1" ref="J50" ca="1">_FV(RTData[[#This Row],[Company Name]],"High")</f>
        <v>60.5</v>
      </c>
      <c r="K50" s="20" cm="1">
        <f t="array" aca="1" ref="K50" ca="1">IFERROR(_FV(RTData[[#This Row],[Company Name]],"P/E",TRUE),99)</f>
        <v>13.498900000000001</v>
      </c>
      <c r="L50" s="21" cm="1">
        <f t="array" aca="1" ref="L50" ca="1">_FV(RTData[[#This Row],[Company Name]],"Change")</f>
        <v>-0.4</v>
      </c>
      <c r="M50" s="39" cm="1">
        <f t="array" aca="1" ref="M50" ca="1">_FV(RTData[[#This Row],[Company Name]],"Change (%)",TRUE)</f>
        <v>-6.6449999999999999E-3</v>
      </c>
      <c r="N50" s="38" cm="1">
        <f t="array" aca="1" ref="N50" ca="1">_FV(RTData[[#This Row],[Company Name]],"52 week low",TRUE)</f>
        <v>51.1</v>
      </c>
      <c r="O50" s="38" cm="1">
        <f t="array" aca="1" ref="O50" ca="1">_FV(RTData[[#This Row],[Company Name]],"52 week high",TRUE)</f>
        <v>69.5</v>
      </c>
      <c r="P50" s="23" cm="1">
        <f t="array" aca="1" ref="P50" ca="1">_FV(RTData[[#This Row],[Company Name]],"Volume")</f>
        <v>21698</v>
      </c>
      <c r="Q50" s="23" cm="1">
        <f t="array" aca="1" ref="Q50" ca="1">_FV(RTData[[#This Row],[Company Name]],"Volume average",TRUE)</f>
        <v>36860</v>
      </c>
      <c r="R50" s="19" cm="1">
        <f t="array" aca="1" ref="R50" ca="1">_FV(RTData[[#This Row],[Company Name]],"Beta")</f>
        <v>1.0192000000000001</v>
      </c>
      <c r="T50" t="s">
        <v>20</v>
      </c>
      <c r="U50" t="str" cm="1">
        <f t="array" aca="1" ref="U50" ca="1">_FV(RTData[[#This Row],[Company Name]],"Exchange abbreviation",TRUE)</f>
        <v>XSWX</v>
      </c>
      <c r="V50" s="24">
        <f ca="1">IFERROR(RTData[[#This Row],[Volume]]/RTData[[#This Row],[Volume average]],1)</f>
        <v>0.58865979381443301</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0.85572479890467223</v>
      </c>
      <c r="C51" t="e" vm="50">
        <v>#VALUE!</v>
      </c>
      <c r="D51" s="17" t="str" cm="1">
        <f t="array" aca="1" ref="D51" ca="1">_FV(RTData[[#This Row],[Company Name]],"Currency")</f>
        <v>USD</v>
      </c>
      <c r="E51" s="18" cm="1">
        <f t="array" aca="1" ref="E51" ca="1">_FV(RTData[[#This Row],[Company Name]],"Last trade time",TRUE)</f>
        <v>45946.859749791409</v>
      </c>
      <c r="F51" s="19" cm="1">
        <f t="array" aca="1" ref="F51" ca="1">_FV(RTData[[#This Row],[Company Name]],"Previous close",TRUE)</f>
        <v>9.98</v>
      </c>
      <c r="G51" s="19" cm="1">
        <f t="array" aca="1" ref="G51" ca="1">_FV(RTData[[#This Row],[Company Name]],"Open")</f>
        <v>10.08</v>
      </c>
      <c r="H51" s="19" cm="1">
        <f t="array" aca="1" ref="H51" ca="1">_FV(RTData[[#This Row],[Company Name]],"Price")</f>
        <v>10.1</v>
      </c>
      <c r="I51" s="19" cm="1">
        <f t="array" aca="1" ref="I51" ca="1">_FV(RTData[[#This Row],[Company Name]],"Low")</f>
        <v>10.0137</v>
      </c>
      <c r="J51" s="19" cm="1">
        <f t="array" aca="1" ref="J51" ca="1">_FV(RTData[[#This Row],[Company Name]],"High")</f>
        <v>10.199999999999999</v>
      </c>
      <c r="K51" s="20" cm="1">
        <f t="array" aca="1" ref="K51" ca="1">IFERROR(_FV(RTData[[#This Row],[Company Name]],"P/E",TRUE),99)</f>
        <v>0</v>
      </c>
      <c r="L51" s="21" cm="1">
        <f t="array" aca="1" ref="L51" ca="1">_FV(RTData[[#This Row],[Company Name]],"Change")</f>
        <v>0.12</v>
      </c>
      <c r="M51" s="22" cm="1">
        <f t="array" aca="1" ref="M51" ca="1">_FV(RTData[[#This Row],[Company Name]],"Change (%)",TRUE)</f>
        <v>1.2024E-2</v>
      </c>
      <c r="N51" s="19" cm="1">
        <f t="array" aca="1" ref="N51" ca="1">_FV(RTData[[#This Row],[Company Name]],"52 week low",TRUE)</f>
        <v>6.85</v>
      </c>
      <c r="O51" s="19" cm="1">
        <f t="array" aca="1" ref="O51" ca="1">_FV(RTData[[#This Row],[Company Name]],"52 week high",TRUE)</f>
        <v>13.55</v>
      </c>
      <c r="P51" s="23" cm="1">
        <f t="array" aca="1" ref="P51" ca="1">_FV(RTData[[#This Row],[Company Name]],"Volume")</f>
        <v>6147785</v>
      </c>
      <c r="Q51" s="23" cm="1">
        <f t="array" aca="1" ref="Q51" ca="1">_FV(RTData[[#This Row],[Company Name]],"Volume average",TRUE)</f>
        <v>10787470</v>
      </c>
      <c r="R51" s="19" cm="1">
        <f t="array" aca="1" ref="R51" ca="1">_FV(RTData[[#This Row],[Company Name]],"Beta")</f>
        <v>0.89259999999999995</v>
      </c>
      <c r="T51" t="s">
        <v>20</v>
      </c>
      <c r="U51" t="str" cm="1">
        <f t="array" aca="1" ref="U51" ca="1">_FV(RTData[[#This Row],[Company Name]],"Exchange abbreviation",TRUE)</f>
        <v>XNAS</v>
      </c>
      <c r="V51" s="24">
        <f ca="1">IFERROR(RTData[[#This Row],[Volume]]/RTData[[#This Row],[Volume average]],1)</f>
        <v>0.56990054201772988</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0.85572479890467223</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0.85572479890467223</v>
      </c>
      <c r="C53" t="e" vm="52">
        <v>#VALUE!</v>
      </c>
      <c r="D53" s="17" t="str" cm="1">
        <f t="array" aca="1" ref="D53" ca="1">_FV(RTData[[#This Row],[Company Name]],"Currency")</f>
        <v>USD</v>
      </c>
      <c r="E53" s="18" cm="1">
        <f t="array" aca="1" ref="E53" ca="1">_FV(RTData[[#This Row],[Company Name]],"Last trade time",TRUE)</f>
        <v>45946.869549397656</v>
      </c>
      <c r="F53" s="19" cm="1">
        <f t="array" aca="1" ref="F53" ca="1">_FV(RTData[[#This Row],[Company Name]],"Previous close",TRUE)</f>
        <v>111.61</v>
      </c>
      <c r="G53" s="19" cm="1">
        <f t="array" aca="1" ref="G53" ca="1">_FV(RTData[[#This Row],[Company Name]],"Open")</f>
        <v>111.88</v>
      </c>
      <c r="H53" s="19" cm="1">
        <f t="array" aca="1" ref="H53" ca="1">_FV(RTData[[#This Row],[Company Name]],"Price")</f>
        <v>110.64</v>
      </c>
      <c r="I53" s="19" cm="1">
        <f t="array" aca="1" ref="I53" ca="1">_FV(RTData[[#This Row],[Company Name]],"Low")</f>
        <v>110.38500000000001</v>
      </c>
      <c r="J53" s="19" cm="1">
        <f t="array" aca="1" ref="J53" ca="1">_FV(RTData[[#This Row],[Company Name]],"High")</f>
        <v>112.19</v>
      </c>
      <c r="K53" s="20" cm="1">
        <f t="array" aca="1" ref="K53" ca="1">IFERROR(_FV(RTData[[#This Row],[Company Name]],"P/E",TRUE),99)</f>
        <v>15.8368</v>
      </c>
      <c r="L53" s="21" cm="1">
        <f t="array" aca="1" ref="L53" ca="1">_FV(RTData[[#This Row],[Company Name]],"Change")</f>
        <v>-0.97</v>
      </c>
      <c r="M53" s="22" cm="1">
        <f t="array" aca="1" ref="M53" ca="1">_FV(RTData[[#This Row],[Company Name]],"Change (%)",TRUE)</f>
        <v>-8.6909999999999991E-3</v>
      </c>
      <c r="N53" s="19" cm="1">
        <f t="array" aca="1" ref="N53" ca="1">_FV(RTData[[#This Row],[Company Name]],"52 week low",TRUE)</f>
        <v>97.8</v>
      </c>
      <c r="O53" s="19" cm="1">
        <f t="array" aca="1" ref="O53" ca="1">_FV(RTData[[#This Row],[Company Name]],"52 week high",TRUE)</f>
        <v>123.21</v>
      </c>
      <c r="P53" s="23" cm="1">
        <f t="array" aca="1" ref="P53" ca="1">_FV(RTData[[#This Row],[Company Name]],"Volume")</f>
        <v>11766090</v>
      </c>
      <c r="Q53" s="23" cm="1">
        <f t="array" aca="1" ref="Q53" ca="1">_FV(RTData[[#This Row],[Company Name]],"Volume average",TRUE)</f>
        <v>15333339</v>
      </c>
      <c r="R53" s="19" cm="1">
        <f t="array" aca="1" ref="R53" ca="1">_FV(RTData[[#This Row],[Company Name]],"Beta")</f>
        <v>0.46949999999999997</v>
      </c>
      <c r="T53" t="s">
        <v>20</v>
      </c>
      <c r="U53" t="str" cm="1">
        <f t="array" aca="1" ref="U53" ca="1">_FV(RTData[[#This Row],[Company Name]],"Exchange abbreviation",TRUE)</f>
        <v>XNYS</v>
      </c>
      <c r="V53" s="24">
        <f ca="1">IFERROR(RTData[[#This Row],[Volume]]/RTData[[#This Row],[Volume average]],1)</f>
        <v>0.76735341206504337</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0.85572479890467223</v>
      </c>
      <c r="C54" t="e" vm="53">
        <v>#VALUE!</v>
      </c>
      <c r="D54" s="17" t="str" cm="1">
        <f t="array" aca="1" ref="D54" ca="1">_FV(RTData[[#This Row],[Company Name]],"Currency")</f>
        <v>USD</v>
      </c>
      <c r="E54" s="18" cm="1">
        <f t="array" aca="1" ref="E54" ca="1">_FV(RTData[[#This Row],[Company Name]],"Last trade time",TRUE)</f>
        <v>45946.840336921094</v>
      </c>
      <c r="F54" s="19" cm="1">
        <f t="array" aca="1" ref="F54" ca="1">_FV(RTData[[#This Row],[Company Name]],"Previous close",TRUE)</f>
        <v>6.76</v>
      </c>
      <c r="G54" s="19" cm="1">
        <f t="array" aca="1" ref="G54" ca="1">_FV(RTData[[#This Row],[Company Name]],"Open")</f>
        <v>6.78</v>
      </c>
      <c r="H54" s="19" cm="1">
        <f t="array" aca="1" ref="H54" ca="1">_FV(RTData[[#This Row],[Company Name]],"Price")</f>
        <v>6.72</v>
      </c>
      <c r="I54" s="19" cm="1">
        <f t="array" aca="1" ref="I54" ca="1">_FV(RTData[[#This Row],[Company Name]],"Low")</f>
        <v>6.67</v>
      </c>
      <c r="J54" s="19" cm="1">
        <f t="array" aca="1" ref="J54" ca="1">_FV(RTData[[#This Row],[Company Name]],"High")</f>
        <v>6.9</v>
      </c>
      <c r="K54" s="20" cm="1">
        <f t="array" ref="K54">IFERROR(_FV(RTData[[#This Row],[Company Name]],"P/E",TRUE),99)</f>
        <v>99</v>
      </c>
      <c r="L54" s="21" cm="1">
        <f t="array" aca="1" ref="L54" ca="1">_FV(RTData[[#This Row],[Company Name]],"Change")</f>
        <v>-0.04</v>
      </c>
      <c r="M54" s="22" cm="1">
        <f t="array" aca="1" ref="M54" ca="1">_FV(RTData[[#This Row],[Company Name]],"Change (%)",TRUE)</f>
        <v>-5.9170000000000004E-3</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460679</v>
      </c>
      <c r="Q54" s="23" cm="1">
        <f t="array" aca="1" ref="Q54" ca="1">_FV(RTData[[#This Row],[Company Name]],"Volume average",TRUE)</f>
        <v>502694</v>
      </c>
      <c r="R54" s="19" cm="1">
        <f t="array" aca="1" ref="R54" ca="1">_FV(RTData[[#This Row],[Company Name]],"Beta")</f>
        <v>1.1379999999999999</v>
      </c>
      <c r="T54" t="s">
        <v>20</v>
      </c>
      <c r="U54" t="str" cm="1">
        <f t="array" aca="1" ref="U54" ca="1">_FV(RTData[[#This Row],[Company Name]],"Exchange abbreviation",TRUE)</f>
        <v>XNYS</v>
      </c>
      <c r="V54" s="24">
        <f ca="1">IFERROR(RTData[[#This Row],[Volume]]/RTData[[#This Row],[Volume average]],1)</f>
        <v>0.91642032727663347</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45946.666666666664</v>
      </c>
      <c r="F55" s="68" cm="1">
        <f t="array" aca="1" ref="F55" ca="1">_FV(RTData[[#This Row],[Company Name]],"Previous close",TRUE)</f>
        <v>0.83799999999999997</v>
      </c>
      <c r="G55" s="68" cm="1">
        <f t="array" aca="1" ref="G55" ca="1">_FV(RTData[[#This Row],[Company Name]],"Open")</f>
        <v>0.82</v>
      </c>
      <c r="H55" s="68" cm="1">
        <f t="array" aca="1" ref="H55" ca="1">_FV(RTData[[#This Row],[Company Name]],"Price")</f>
        <v>0.83</v>
      </c>
      <c r="I55" s="68" cm="1">
        <f t="array" aca="1" ref="I55" ca="1">_FV(RTData[[#This Row],[Company Name]],"Low")</f>
        <v>0.81</v>
      </c>
      <c r="J55" s="68" cm="1">
        <f t="array" aca="1" ref="J55" ca="1">_FV(RTData[[#This Row],[Company Name]],"High")</f>
        <v>0.83399999999999996</v>
      </c>
      <c r="K55" s="63" cm="1">
        <f t="array" aca="1" ref="K55" ca="1">IFERROR(_FV(RTData[[#This Row],[Company Name]],"P/E",TRUE),99)</f>
        <v>0</v>
      </c>
      <c r="L55" s="64" cm="1">
        <f t="array" aca="1" ref="L55" ca="1">_FV(RTData[[#This Row],[Company Name]],"Change")</f>
        <v>-8.0000000000000002E-3</v>
      </c>
      <c r="M55" s="65" cm="1">
        <f t="array" aca="1" ref="M55" ca="1">_FV(RTData[[#This Row],[Company Name]],"Change (%)",TRUE)</f>
        <v>-9.5469999999999999E-3</v>
      </c>
      <c r="N55" s="68" cm="1">
        <f t="array" aca="1" ref="N55" ca="1">_FV(RTData[[#This Row],[Company Name]],"52 week low",TRUE)</f>
        <v>0.65</v>
      </c>
      <c r="O55" s="68" cm="1">
        <f t="array" aca="1" ref="O55" ca="1">_FV(RTData[[#This Row],[Company Name]],"52 week high",TRUE)</f>
        <v>1.53</v>
      </c>
      <c r="P55" s="66" cm="1">
        <f t="array" aca="1" ref="P55" ca="1">_FV(RTData[[#This Row],[Company Name]],"Volume")</f>
        <v>1032</v>
      </c>
      <c r="Q55" s="66" cm="1">
        <f t="array" aca="1" ref="Q55" ca="1">_FV(RTData[[#This Row],[Company Name]],"Volume average",TRUE)</f>
        <v>2690</v>
      </c>
      <c r="R55" s="61" cm="1">
        <f t="array" aca="1" ref="R55" ca="1">_FV(RTData[[#This Row],[Company Name]],"Beta")</f>
        <v>1.0415000000000001</v>
      </c>
      <c r="S55" s="67" t="s">
        <v>23</v>
      </c>
      <c r="T55" s="67" t="s">
        <v>20</v>
      </c>
      <c r="U55" s="67" t="str" cm="1">
        <f t="array" aca="1" ref="U55" ca="1">_FV(RTData[[#This Row],[Company Name]],"Exchange abbreviation",TRUE)</f>
        <v>XPAR</v>
      </c>
      <c r="V55" s="94">
        <f ca="1">IFERROR(RTData[[#This Row],[Volume]]/RTData[[#This Row],[Volume average]],1)</f>
        <v>0.38364312267657991</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0.85572479890467223</v>
      </c>
      <c r="C56" t="e" vm="15">
        <v>#VALUE!</v>
      </c>
      <c r="D56" s="61" t="str" cm="1">
        <f t="array" aca="1" ref="D56" ca="1">_FV(RTData[[#This Row],[Company Name]],"Currency")</f>
        <v>USD</v>
      </c>
      <c r="E56" s="62" cm="1">
        <f t="array" aca="1" ref="E56" ca="1">_FV(RTData[[#This Row],[Company Name]],"Last trade time",TRUE)</f>
        <v>45946.855090300778</v>
      </c>
      <c r="F56" s="61" cm="1">
        <f t="array" aca="1" ref="F56" ca="1">_FV(RTData[[#This Row],[Company Name]],"Previous close",TRUE)</f>
        <v>3.27</v>
      </c>
      <c r="G56" s="61" cm="1">
        <f t="array" aca="1" ref="G56" ca="1">_FV(RTData[[#This Row],[Company Name]],"Open")</f>
        <v>3.31</v>
      </c>
      <c r="H56" s="61" cm="1">
        <f t="array" aca="1" ref="H56" ca="1">_FV(RTData[[#This Row],[Company Name]],"Price")</f>
        <v>3.26</v>
      </c>
      <c r="I56" s="61" cm="1">
        <f t="array" aca="1" ref="I56" ca="1">_FV(RTData[[#This Row],[Company Name]],"Low")</f>
        <v>3.23</v>
      </c>
      <c r="J56" s="61" cm="1">
        <f t="array" aca="1" ref="J56" ca="1">_FV(RTData[[#This Row],[Company Name]],"High")</f>
        <v>3.5497000000000001</v>
      </c>
      <c r="K56" s="63" cm="1">
        <f t="array" ref="K56">IFERROR(_FV(RTData[[#This Row],[Company Name]],"P/E",TRUE),99)</f>
        <v>99</v>
      </c>
      <c r="L56" s="64" cm="1">
        <f t="array" aca="1" ref="L56" ca="1">_FV(RTData[[#This Row],[Company Name]],"Change")</f>
        <v>-0.01</v>
      </c>
      <c r="M56" s="65" cm="1">
        <f t="array" aca="1" ref="M56" ca="1">_FV(RTData[[#This Row],[Company Name]],"Change (%)",TRUE)</f>
        <v>-3.058E-3</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4907524</v>
      </c>
      <c r="Q56" s="66" cm="1">
        <f t="array" aca="1" ref="Q56" ca="1">_FV(RTData[[#This Row],[Company Name]],"Volume average",TRUE)</f>
        <v>4484637</v>
      </c>
      <c r="R56" s="61" cm="1">
        <f t="array" aca="1" ref="R56" ca="1">_FV(RTData[[#This Row],[Company Name]],"Beta")</f>
        <v>2.1697000000000002</v>
      </c>
      <c r="S56" s="67" t="s">
        <v>23</v>
      </c>
      <c r="T56" s="67" t="s">
        <v>24</v>
      </c>
      <c r="U56" s="67" t="str" cm="1">
        <f t="array" aca="1" ref="U56" ca="1">_FV(RTData[[#This Row],[Company Name]],"Exchange abbreviation",TRUE)</f>
        <v>XNYS</v>
      </c>
      <c r="V56" s="94">
        <f ca="1">IFERROR(RTData[[#This Row],[Volume]]/RTData[[#This Row],[Volume average]],1)</f>
        <v>1.0942968182263135</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45946.666666666664</v>
      </c>
      <c r="F57" s="68" cm="1">
        <f t="array" aca="1" ref="F57" ca="1">_FV(RTData[[#This Row],[Company Name]],"Previous close",TRUE)</f>
        <v>28.88</v>
      </c>
      <c r="G57" s="68" cm="1">
        <f t="array" aca="1" ref="G57" ca="1">_FV(RTData[[#This Row],[Company Name]],"Open")</f>
        <v>28.83</v>
      </c>
      <c r="H57" s="68" cm="1">
        <f t="array" aca="1" ref="H57" ca="1">_FV(RTData[[#This Row],[Company Name]],"Price")</f>
        <v>29.38</v>
      </c>
      <c r="I57" s="68" cm="1">
        <f t="array" aca="1" ref="I57" ca="1">_FV(RTData[[#This Row],[Company Name]],"Low")</f>
        <v>28.72</v>
      </c>
      <c r="J57" s="68" cm="1">
        <f t="array" aca="1" ref="J57" ca="1">_FV(RTData[[#This Row],[Company Name]],"High")</f>
        <v>29.44</v>
      </c>
      <c r="K57" s="63" cm="1">
        <f t="array" aca="1" ref="K57" ca="1">IFERROR(_FV(RTData[[#This Row],[Company Name]],"P/E",TRUE),99)</f>
        <v>33.758499999999998</v>
      </c>
      <c r="L57" s="64" cm="1">
        <f t="array" aca="1" ref="L57" ca="1">_FV(RTData[[#This Row],[Company Name]],"Change")</f>
        <v>0.5</v>
      </c>
      <c r="M57" s="65" cm="1">
        <f t="array" aca="1" ref="M57" ca="1">_FV(RTData[[#This Row],[Company Name]],"Change (%)",TRUE)</f>
        <v>1.7313000000000002E-2</v>
      </c>
      <c r="N57" s="68" cm="1">
        <f t="array" aca="1" ref="N57" ca="1">_FV(RTData[[#This Row],[Company Name]],"52 week low",TRUE)</f>
        <v>26.25</v>
      </c>
      <c r="O57" s="68" cm="1">
        <f t="array" aca="1" ref="O57" ca="1">_FV(RTData[[#This Row],[Company Name]],"52 week high",TRUE)</f>
        <v>41.17</v>
      </c>
      <c r="P57" s="66" cm="1">
        <f t="array" aca="1" ref="P57" ca="1">_FV(RTData[[#This Row],[Company Name]],"Volume")</f>
        <v>1427587</v>
      </c>
      <c r="Q57" s="66" cm="1">
        <f t="array" aca="1" ref="Q57" ca="1">_FV(RTData[[#This Row],[Company Name]],"Volume average",TRUE)</f>
        <v>1461880</v>
      </c>
      <c r="R57" s="61" cm="1">
        <f t="array" aca="1" ref="R57" ca="1">_FV(RTData[[#This Row],[Company Name]],"Beta")</f>
        <v>0.67320000000000002</v>
      </c>
      <c r="S57" s="67" t="s">
        <v>23</v>
      </c>
      <c r="T57" s="67" t="s">
        <v>24</v>
      </c>
      <c r="U57" s="67" t="str" cm="1">
        <f t="array" aca="1" ref="U57" ca="1">_FV(RTData[[#This Row],[Company Name]],"Exchange abbreviation",TRUE)</f>
        <v>XPAR</v>
      </c>
      <c r="V57" s="94">
        <f ca="1">IFERROR(RTData[[#This Row],[Volume]]/RTData[[#This Row],[Volume average]],1)</f>
        <v>0.9765418502202643</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45946.836805555555</v>
      </c>
      <c r="F58" s="68" cm="1">
        <f t="array" aca="1" ref="F58" ca="1">_FV(RTData[[#This Row],[Company Name]],"Previous close",TRUE)</f>
        <v>16.2</v>
      </c>
      <c r="G58" s="68" cm="1">
        <f t="array" aca="1" ref="G58" ca="1">_FV(RTData[[#This Row],[Company Name]],"Open")</f>
        <v>16.239999999999998</v>
      </c>
      <c r="H58" s="68" cm="1">
        <f t="array" aca="1" ref="H58" ca="1">_FV(RTData[[#This Row],[Company Name]],"Price")</f>
        <v>16.25</v>
      </c>
      <c r="I58" s="68" cm="1">
        <f t="array" aca="1" ref="I58" ca="1">_FV(RTData[[#This Row],[Company Name]],"Low")</f>
        <v>16.13</v>
      </c>
      <c r="J58" s="68" cm="1">
        <f t="array" aca="1" ref="J58" ca="1">_FV(RTData[[#This Row],[Company Name]],"High")</f>
        <v>16.305</v>
      </c>
      <c r="K58" s="63" cm="1">
        <f t="array" aca="1" ref="K58" ca="1">IFERROR(_FV(RTData[[#This Row],[Company Name]],"P/E",TRUE),99)</f>
        <v>13.4298</v>
      </c>
      <c r="L58" s="64" cm="1">
        <f t="array" aca="1" ref="L58" ca="1">_FV(RTData[[#This Row],[Company Name]],"Change")</f>
        <v>0.05</v>
      </c>
      <c r="M58" s="65" cm="1">
        <f t="array" aca="1" ref="M58" ca="1">_FV(RTData[[#This Row],[Company Name]],"Change (%)",TRUE)</f>
        <v>3.0859999999999998E-3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7915</v>
      </c>
      <c r="Q58" s="66" cm="1">
        <f t="array" aca="1" ref="Q58" ca="1">_FV(RTData[[#This Row],[Company Name]],"Volume average",TRUE)</f>
        <v>3019760</v>
      </c>
      <c r="R58" s="61" cm="1">
        <f t="array" aca="1" ref="R58" ca="1">_FV(RTData[[#This Row],[Company Name]],"Beta")</f>
        <v>0.72060000000000002</v>
      </c>
      <c r="S58" s="67" t="s">
        <v>23</v>
      </c>
      <c r="T58" s="67" t="s">
        <v>24</v>
      </c>
      <c r="U58" s="67" t="str" cm="1">
        <f t="array" aca="1" ref="U58" ca="1">_FV(RTData[[#This Row],[Company Name]],"Exchange abbreviation",TRUE)</f>
        <v>XFRA</v>
      </c>
      <c r="V58" s="94">
        <f ca="1">IFERROR(RTData[[#This Row],[Volume]]/RTData[[#This Row],[Volume average]],1)</f>
        <v>2.621069224044295E-3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45946.666666666664</v>
      </c>
      <c r="F59" s="68" cm="1">
        <f t="array" aca="1" ref="F59" ca="1">_FV(RTData[[#This Row],[Company Name]],"Previous close",TRUE)</f>
        <v>14.722</v>
      </c>
      <c r="G59" s="68" cm="1">
        <f t="array" aca="1" ref="G59" ca="1">_FV(RTData[[#This Row],[Company Name]],"Open")</f>
        <v>14.78</v>
      </c>
      <c r="H59" s="68" cm="1">
        <f t="array" aca="1" ref="H59" ca="1">_FV(RTData[[#This Row],[Company Name]],"Price")</f>
        <v>14.766</v>
      </c>
      <c r="I59" s="68" cm="1">
        <f t="array" aca="1" ref="I59" ca="1">_FV(RTData[[#This Row],[Company Name]],"Low")</f>
        <v>14.747999999999999</v>
      </c>
      <c r="J59" s="68" cm="1">
        <f t="array" aca="1" ref="J59" ca="1">_FV(RTData[[#This Row],[Company Name]],"High")</f>
        <v>14.846</v>
      </c>
      <c r="K59" s="63" cm="1">
        <f t="array" aca="1" ref="K59" ca="1">IFERROR(_FV(RTData[[#This Row],[Company Name]],"P/E",TRUE),99)</f>
        <v>18.4483</v>
      </c>
      <c r="L59" s="64" cm="1">
        <f t="array" aca="1" ref="L59" ca="1">_FV(RTData[[#This Row],[Company Name]],"Change")</f>
        <v>4.3999999999999997E-2</v>
      </c>
      <c r="M59" s="65" cm="1">
        <f t="array" aca="1" ref="M59" ca="1">_FV(RTData[[#This Row],[Company Name]],"Change (%)",TRUE)</f>
        <v>2.9889999999999999E-3</v>
      </c>
      <c r="N59" s="68" cm="1">
        <f t="array" aca="1" ref="N59" ca="1">_FV(RTData[[#This Row],[Company Name]],"52 week low",TRUE)</f>
        <v>11.01</v>
      </c>
      <c r="O59" s="68" cm="1">
        <f t="array" aca="1" ref="O59" ca="1">_FV(RTData[[#This Row],[Company Name]],"52 week high",TRUE)</f>
        <v>15.53</v>
      </c>
      <c r="P59" s="66" cm="1">
        <f t="array" aca="1" ref="P59" ca="1">_FV(RTData[[#This Row],[Company Name]],"Volume")</f>
        <v>6870097</v>
      </c>
      <c r="Q59" s="66" cm="1">
        <f t="array" aca="1" ref="Q59" ca="1">_FV(RTData[[#This Row],[Company Name]],"Volume average",TRUE)</f>
        <v>11073440</v>
      </c>
      <c r="R59" s="61" cm="1">
        <f t="array" aca="1" ref="R59" ca="1">_FV(RTData[[#This Row],[Company Name]],"Beta")</f>
        <v>1.0819000000000001</v>
      </c>
      <c r="S59" s="67" t="s">
        <v>23</v>
      </c>
      <c r="T59" s="67" t="s">
        <v>24</v>
      </c>
      <c r="U59" s="67" t="str" cm="1">
        <f t="array" aca="1" ref="U59" ca="1">_FV(RTData[[#This Row],[Company Name]],"Exchange abbreviation",TRUE)</f>
        <v>XMIL</v>
      </c>
      <c r="V59" s="94">
        <f ca="1">IFERROR(RTData[[#This Row],[Volume]]/RTData[[#This Row],[Volume average]],1)</f>
        <v>0.62041217543961047</v>
      </c>
      <c r="W59" s="94"/>
      <c r="X59" s="108">
        <f ca="1">_xlfn.XLOOKUP(RTData[[#This Row],[Ticker symbol]],[2]Sheet2!$B$2:$B$95,[2]Sheet2!$E$2:$E$95)</f>
        <v>15.5</v>
      </c>
      <c r="Y59" s="101">
        <f>_xlfn.LET(_xlpm.date,[2]Sheet2!F58,IF(_xlpm.date=0,"",_xlpm.date))</f>
        <v>45985</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0.85572479890467223</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45946.666666666664</v>
      </c>
      <c r="F61" s="68" cm="1">
        <f t="array" aca="1" ref="F61" ca="1">_FV(RTData[[#This Row],[Company Name]],"Previous close",TRUE)</f>
        <v>55.56</v>
      </c>
      <c r="G61" s="68" cm="1">
        <f t="array" aca="1" ref="G61" ca="1">_FV(RTData[[#This Row],[Company Name]],"Open")</f>
        <v>55.42</v>
      </c>
      <c r="H61" s="68" cm="1">
        <f t="array" aca="1" ref="H61" ca="1">_FV(RTData[[#This Row],[Company Name]],"Price")</f>
        <v>56.52</v>
      </c>
      <c r="I61" s="68" cm="1">
        <f t="array" aca="1" ref="I61" ca="1">_FV(RTData[[#This Row],[Company Name]],"Low")</f>
        <v>54.88</v>
      </c>
      <c r="J61" s="68" cm="1">
        <f t="array" aca="1" ref="J61" ca="1">_FV(RTData[[#This Row],[Company Name]],"High")</f>
        <v>56.74</v>
      </c>
      <c r="K61" s="63" cm="1">
        <f t="array" aca="1" ref="K61" ca="1">IFERROR(_FV(RTData[[#This Row],[Company Name]],"P/E",TRUE),99)</f>
        <v>9.4662000000000006</v>
      </c>
      <c r="L61" s="64" cm="1">
        <f t="array" aca="1" ref="L61" ca="1">_FV(RTData[[#This Row],[Company Name]],"Change")</f>
        <v>0.96</v>
      </c>
      <c r="M61" s="65" cm="1">
        <f t="array" aca="1" ref="M61" ca="1">_FV(RTData[[#This Row],[Company Name]],"Change (%)",TRUE)</f>
        <v>1.7278999999999999E-2</v>
      </c>
      <c r="N61" s="68" cm="1">
        <f t="array" aca="1" ref="N61" ca="1">_FV(RTData[[#This Row],[Company Name]],"52 week low",TRUE)</f>
        <v>22.87</v>
      </c>
      <c r="O61" s="68" cm="1">
        <f t="array" aca="1" ref="O61" ca="1">_FV(RTData[[#This Row],[Company Name]],"52 week high",TRUE)</f>
        <v>59.42</v>
      </c>
      <c r="P61" s="66" cm="1">
        <f t="array" aca="1" ref="P61" ca="1">_FV(RTData[[#This Row],[Company Name]],"Volume")</f>
        <v>2290116</v>
      </c>
      <c r="Q61" s="66" cm="1">
        <f t="array" aca="1" ref="Q61" ca="1">_FV(RTData[[#This Row],[Company Name]],"Volume average",TRUE)</f>
        <v>2105370</v>
      </c>
      <c r="R61" s="61" cm="1">
        <f t="array" aca="1" ref="R61" ca="1">_FV(RTData[[#This Row],[Company Name]],"Beta")</f>
        <v>1.5998000000000001</v>
      </c>
      <c r="S61" s="67" t="s">
        <v>23</v>
      </c>
      <c r="T61" s="67" t="s">
        <v>24</v>
      </c>
      <c r="U61" s="67" t="str" cm="1">
        <f t="array" aca="1" ref="U61" ca="1">_FV(RTData[[#This Row],[Company Name]],"Exchange abbreviation",TRUE)</f>
        <v>XPAR</v>
      </c>
      <c r="V61" s="94">
        <f ca="1">IFERROR(RTData[[#This Row],[Volume]]/RTData[[#This Row],[Volume average]],1)</f>
        <v>1.0877498966927428</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45946.666666666664</v>
      </c>
      <c r="F62" s="68" cm="1">
        <f t="array" aca="1" ref="F62" ca="1">_FV(RTData[[#This Row],[Company Name]],"Previous close",TRUE)</f>
        <v>14.015000000000001</v>
      </c>
      <c r="G62" s="68" cm="1">
        <f t="array" aca="1" ref="G62" ca="1">_FV(RTData[[#This Row],[Company Name]],"Open")</f>
        <v>13.98</v>
      </c>
      <c r="H62" s="68" cm="1">
        <f t="array" aca="1" ref="H62" ca="1">_FV(RTData[[#This Row],[Company Name]],"Price")</f>
        <v>14.085000000000001</v>
      </c>
      <c r="I62" s="68" cm="1">
        <f t="array" aca="1" ref="I62" ca="1">_FV(RTData[[#This Row],[Company Name]],"Low")</f>
        <v>13.815</v>
      </c>
      <c r="J62" s="68" cm="1">
        <f t="array" aca="1" ref="J62" ca="1">_FV(RTData[[#This Row],[Company Name]],"High")</f>
        <v>14.135</v>
      </c>
      <c r="K62" s="63" cm="1">
        <f t="array" aca="1" ref="K62" ca="1">IFERROR(_FV(RTData[[#This Row],[Company Name]],"P/E",TRUE),99)</f>
        <v>44.488300000000002</v>
      </c>
      <c r="L62" s="64" cm="1">
        <f t="array" aca="1" ref="L62" ca="1">_FV(RTData[[#This Row],[Company Name]],"Change")</f>
        <v>7.0000000000000007E-2</v>
      </c>
      <c r="M62" s="65" cm="1">
        <f t="array" aca="1" ref="M62" ca="1">_FV(RTData[[#This Row],[Company Name]],"Change (%)",TRUE)</f>
        <v>4.9950000000000003E-3</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3147289</v>
      </c>
      <c r="Q62" s="66" cm="1">
        <f t="array" aca="1" ref="Q62" ca="1">_FV(RTData[[#This Row],[Company Name]],"Volume average",TRUE)</f>
        <v>3786590</v>
      </c>
      <c r="R62" s="61" cm="1">
        <f t="array" aca="1" ref="R62" ca="1">_FV(RTData[[#This Row],[Company Name]],"Beta")</f>
        <v>0.30769999999999997</v>
      </c>
      <c r="S62" s="67" t="s">
        <v>23</v>
      </c>
      <c r="T62" s="67" t="s">
        <v>24</v>
      </c>
      <c r="U62" s="67" t="str" cm="1">
        <f t="array" aca="1" ref="U62" ca="1">_FV(RTData[[#This Row],[Company Name]],"Exchange abbreviation",TRUE)</f>
        <v>XPAR</v>
      </c>
      <c r="V62" s="94">
        <f ca="1">IFERROR(RTData[[#This Row],[Volume]]/RTData[[#This Row],[Volume average]],1)</f>
        <v>0.83116709229148122</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45946.836805555555</v>
      </c>
      <c r="F63" s="68" cm="1">
        <f t="array" aca="1" ref="F63" ca="1">_FV(RTData[[#This Row],[Company Name]],"Previous close",TRUE)</f>
        <v>40.770000000000003</v>
      </c>
      <c r="G63" s="68" cm="1">
        <f t="array" aca="1" ref="G63" ca="1">_FV(RTData[[#This Row],[Company Name]],"Open")</f>
        <v>40.85</v>
      </c>
      <c r="H63" s="68" cm="1">
        <f t="array" aca="1" ref="H63" ca="1">_FV(RTData[[#This Row],[Company Name]],"Price")</f>
        <v>41.38</v>
      </c>
      <c r="I63" s="68" cm="1">
        <f t="array" aca="1" ref="I63" ca="1">_FV(RTData[[#This Row],[Company Name]],"Low")</f>
        <v>40.85</v>
      </c>
      <c r="J63" s="68" cm="1">
        <f t="array" aca="1" ref="J63" ca="1">_FV(RTData[[#This Row],[Company Name]],"High")</f>
        <v>41.5</v>
      </c>
      <c r="K63" s="63" cm="1">
        <f t="array" aca="1" ref="K63" ca="1">IFERROR(_FV(RTData[[#This Row],[Company Name]],"P/E",TRUE),99)</f>
        <v>11.8567</v>
      </c>
      <c r="L63" s="64" cm="1">
        <f t="array" aca="1" ref="L63" ca="1">_FV(RTData[[#This Row],[Company Name]],"Change")</f>
        <v>0.61</v>
      </c>
      <c r="M63" s="65" cm="1">
        <f t="array" aca="1" ref="M63" ca="1">_FV(RTData[[#This Row],[Company Name]],"Change (%)",TRUE)</f>
        <v>1.4962E-2</v>
      </c>
      <c r="N63" s="68" cm="1">
        <f t="array" aca="1" ref="N63" ca="1">_FV(RTData[[#This Row],[Company Name]],"52 week low",TRUE)</f>
        <v>14.231</v>
      </c>
      <c r="O63" s="68" cm="1">
        <f t="array" aca="1" ref="O63" ca="1">_FV(RTData[[#This Row],[Company Name]],"52 week high",TRUE)</f>
        <v>44.03</v>
      </c>
      <c r="P63" s="66" cm="1">
        <f t="array" aca="1" ref="P63" ca="1">_FV(RTData[[#This Row],[Company Name]],"Volume")</f>
        <v>6785</v>
      </c>
      <c r="Q63" s="66" cm="1">
        <f t="array" aca="1" ref="Q63" ca="1">_FV(RTData[[#This Row],[Company Name]],"Volume average",TRUE)</f>
        <v>1950430</v>
      </c>
      <c r="R63" s="61" cm="1">
        <f t="array" aca="1" ref="R63" ca="1">_FV(RTData[[#This Row],[Company Name]],"Beta")</f>
        <v>0.51549999999999996</v>
      </c>
      <c r="S63" s="67" t="s">
        <v>23</v>
      </c>
      <c r="T63" s="67" t="s">
        <v>24</v>
      </c>
      <c r="U63" s="67" t="str" cm="1">
        <f t="array" aca="1" ref="U63" ca="1">_FV(RTData[[#This Row],[Company Name]],"Exchange abbreviation",TRUE)</f>
        <v>XFRA</v>
      </c>
      <c r="V63" s="94">
        <f ca="1">IFERROR(RTData[[#This Row],[Volume]]/RTData[[#This Row],[Volume average]],1)</f>
        <v>3.4787200771112009E-3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45946.770833333336</v>
      </c>
      <c r="F64" s="68" cm="1">
        <f t="array" aca="1" ref="F64" ca="1">_FV(RTData[[#This Row],[Company Name]],"Previous close",TRUE)</f>
        <v>234.2</v>
      </c>
      <c r="G64" s="68" cm="1">
        <f t="array" aca="1" ref="G64" ca="1">_FV(RTData[[#This Row],[Company Name]],"Open")</f>
        <v>231.2</v>
      </c>
      <c r="H64" s="68" cm="1">
        <f t="array" aca="1" ref="H64" ca="1">_FV(RTData[[#This Row],[Company Name]],"Price")</f>
        <v>233.2</v>
      </c>
      <c r="I64" s="68" cm="1">
        <f t="array" aca="1" ref="I64" ca="1">_FV(RTData[[#This Row],[Company Name]],"Low")</f>
        <v>230.35</v>
      </c>
      <c r="J64" s="68" cm="1">
        <f t="array" aca="1" ref="J64" ca="1">_FV(RTData[[#This Row],[Company Name]],"High")</f>
        <v>237.1</v>
      </c>
      <c r="K64" s="63" cm="1">
        <f t="array" aca="1" ref="K64" ca="1">IFERROR(_FV(RTData[[#This Row],[Company Name]],"P/E",TRUE),99)</f>
        <v>41.636899999999997</v>
      </c>
      <c r="L64" s="64" cm="1">
        <f t="array" aca="1" ref="L64" ca="1">_FV(RTData[[#This Row],[Company Name]],"Change")</f>
        <v>-1</v>
      </c>
      <c r="M64" s="65" cm="1">
        <f t="array" aca="1" ref="M64" ca="1">_FV(RTData[[#This Row],[Company Name]],"Change (%)",TRUE)</f>
        <v>-4.2699999999999995E-3</v>
      </c>
      <c r="N64" s="68" cm="1">
        <f t="array" aca="1" ref="N64" ca="1">_FV(RTData[[#This Row],[Company Name]],"52 week low",TRUE)</f>
        <v>208.7</v>
      </c>
      <c r="O64" s="68" cm="1">
        <f t="array" aca="1" ref="O64" ca="1">_FV(RTData[[#This Row],[Company Name]],"52 week high",TRUE)</f>
        <v>283.5</v>
      </c>
      <c r="P64" s="66" cm="1">
        <f t="array" aca="1" ref="P64" ca="1">_FV(RTData[[#This Row],[Company Name]],"Volume")</f>
        <v>1149922</v>
      </c>
      <c r="Q64" s="66" cm="1">
        <f t="array" aca="1" ref="Q64" ca="1">_FV(RTData[[#This Row],[Company Name]],"Volume average",TRUE)</f>
        <v>1110590</v>
      </c>
      <c r="R64" s="68" cm="1">
        <f t="array" aca="1" ref="R64" ca="1">_FV(RTData[[#This Row],[Company Name]],"Beta")</f>
        <v>0.99129999999999996</v>
      </c>
      <c r="S64" s="67" t="s">
        <v>23</v>
      </c>
      <c r="T64" s="67" t="s">
        <v>24</v>
      </c>
      <c r="U64" s="67" t="str" cm="1">
        <f t="array" aca="1" ref="U64" ca="1">_FV(RTData[[#This Row],[Company Name]],"Exchange abbreviation",TRUE)</f>
        <v>XETR</v>
      </c>
      <c r="V64" s="94">
        <f ca="1">IFERROR(RTData[[#This Row],[Volume]]/RTData[[#This Row],[Volume average]],1)</f>
        <v>1.035415409827209</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45946.836805555555</v>
      </c>
      <c r="F65" s="68" cm="1">
        <f t="array" aca="1" ref="F65" ca="1">_FV(RTData[[#This Row],[Company Name]],"Previous close",TRUE)</f>
        <v>31.6</v>
      </c>
      <c r="G65" s="68" cm="1">
        <f t="array" aca="1" ref="G65" ca="1">_FV(RTData[[#This Row],[Company Name]],"Open")</f>
        <v>31.7</v>
      </c>
      <c r="H65" s="68" cm="1">
        <f t="array" aca="1" ref="H65" ca="1">_FV(RTData[[#This Row],[Company Name]],"Price")</f>
        <v>31.75</v>
      </c>
      <c r="I65" s="68" cm="1">
        <f t="array" aca="1" ref="I65" ca="1">_FV(RTData[[#This Row],[Company Name]],"Low")</f>
        <v>31.2</v>
      </c>
      <c r="J65" s="68" cm="1">
        <f t="array" aca="1" ref="J65" ca="1">_FV(RTData[[#This Row],[Company Name]],"High")</f>
        <v>31.75</v>
      </c>
      <c r="K65" s="63" cm="1">
        <f t="array" ref="K65">IFERROR(_FV(RTData[[#This Row],[Company Name]],"P/E",TRUE),99)</f>
        <v>99</v>
      </c>
      <c r="L65" s="64" cm="1">
        <f t="array" aca="1" ref="L65" ca="1">_FV(RTData[[#This Row],[Company Name]],"Change")</f>
        <v>0.15</v>
      </c>
      <c r="M65" s="65" cm="1">
        <f t="array" aca="1" ref="M65" ca="1">_FV(RTData[[#This Row],[Company Name]],"Change (%)",TRUE)</f>
        <v>4.7470000000000004E-3</v>
      </c>
      <c r="N65" s="68" cm="1">
        <f t="array" aca="1" ref="N65" ca="1">_FV(RTData[[#This Row],[Company Name]],"52 week low",TRUE)</f>
        <v>2.1</v>
      </c>
      <c r="O65" s="68" cm="1">
        <f t="array" aca="1" ref="O65" ca="1">_FV(RTData[[#This Row],[Company Name]],"52 week high",TRUE)</f>
        <v>73.5</v>
      </c>
      <c r="P65" s="66" cm="1">
        <f t="array" aca="1" ref="P65" ca="1">_FV(RTData[[#This Row],[Company Name]],"Volume")</f>
        <v>70</v>
      </c>
      <c r="Q65" s="66" cm="1">
        <f t="array" aca="1" ref="Q65" ca="1">_FV(RTData[[#This Row],[Company Name]],"Volume average",TRUE)</f>
        <v>5500</v>
      </c>
      <c r="R65" s="61" cm="1">
        <f t="array" aca="1" ref="R65" ca="1">_FV(RTData[[#This Row],[Company Name]],"Beta")</f>
        <v>1.0704</v>
      </c>
      <c r="S65" s="67" t="s">
        <v>23</v>
      </c>
      <c r="T65" s="67" t="s">
        <v>24</v>
      </c>
      <c r="U65" s="67" t="str" cm="1">
        <f t="array" aca="1" ref="U65" ca="1">_FV(RTData[[#This Row],[Company Name]],"Exchange abbreviation",TRUE)</f>
        <v>XFRA</v>
      </c>
      <c r="V65" s="94">
        <f ca="1">IFERROR(RTData[[#This Row],[Volume]]/RTData[[#This Row],[Volume average]],1)</f>
        <v>1.2727272727272728E-2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0.85572479890467223</v>
      </c>
      <c r="C66" t="e" vm="1">
        <v>#VALUE!</v>
      </c>
      <c r="D66" s="17" t="str" cm="1">
        <f t="array" aca="1" ref="D66" ca="1">_FV(RTData[[#This Row],[Company Name]],"Currency")</f>
        <v>USD</v>
      </c>
      <c r="E66" s="18" cm="1">
        <f t="array" aca="1" ref="E66" ca="1">_FV(RTData[[#This Row],[Company Name]],"Last trade time",TRUE)</f>
        <v>45946.869938645315</v>
      </c>
      <c r="F66" s="19" cm="1">
        <f t="array" aca="1" ref="F66" ca="1">_FV(RTData[[#This Row],[Company Name]],"Previous close",TRUE)</f>
        <v>249.34</v>
      </c>
      <c r="G66" s="19" cm="1">
        <f t="array" aca="1" ref="G66" ca="1">_FV(RTData[[#This Row],[Company Name]],"Open")</f>
        <v>248.25</v>
      </c>
      <c r="H66" s="19" cm="1">
        <f t="array" aca="1" ref="H66" ca="1">_FV(RTData[[#This Row],[Company Name]],"Price")</f>
        <v>247.45</v>
      </c>
      <c r="I66" s="19" cm="1">
        <f t="array" aca="1" ref="I66" ca="1">_FV(RTData[[#This Row],[Company Name]],"Low")</f>
        <v>245.13</v>
      </c>
      <c r="J66" s="19" cm="1">
        <f t="array" aca="1" ref="J66" ca="1">_FV(RTData[[#This Row],[Company Name]],"High")</f>
        <v>249.04</v>
      </c>
      <c r="K66" s="20" cm="1">
        <f t="array" aca="1" ref="K66" ca="1">IFERROR(_FV(RTData[[#This Row],[Company Name]],"P/E",TRUE),99)</f>
        <v>34.129600000000003</v>
      </c>
      <c r="L66" s="21" cm="1">
        <f t="array" aca="1" ref="L66" ca="1">_FV(RTData[[#This Row],[Company Name]],"Change")</f>
        <v>-1.89</v>
      </c>
      <c r="M66" s="22" cm="1">
        <f t="array" aca="1" ref="M66" ca="1">_FV(RTData[[#This Row],[Company Name]],"Change (%)",TRUE)</f>
        <v>-7.5799999999999999E-3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39642645</v>
      </c>
      <c r="Q66" s="23" cm="1">
        <f t="array" aca="1" ref="Q66" ca="1">_FV(RTData[[#This Row],[Company Name]],"Volume average",TRUE)</f>
        <v>52612446</v>
      </c>
      <c r="R66" s="19" cm="1">
        <f t="array" aca="1" ref="R66" ca="1">_FV(RTData[[#This Row],[Company Name]],"Beta")</f>
        <v>1.0864</v>
      </c>
      <c r="S66" t="s">
        <v>25</v>
      </c>
      <c r="T66" t="s">
        <v>26</v>
      </c>
      <c r="U66" t="str" cm="1">
        <f t="array" aca="1" ref="U66" ca="1">_FV(RTData[[#This Row],[Company Name]],"Exchange abbreviation",TRUE)</f>
        <v>XNAS</v>
      </c>
      <c r="V66" s="24">
        <f ca="1">IFERROR(RTData[[#This Row],[Volume]]/RTData[[#This Row],[Volume average]],1)</f>
        <v>0.75348416608496016</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0.85572479890467223</v>
      </c>
      <c r="C67" t="e" vm="4">
        <v>#VALUE!</v>
      </c>
      <c r="D67" s="17" t="str" cm="1">
        <f t="array" aca="1" ref="D67" ca="1">_FV(RTData[[#This Row],[Company Name]],"Currency")</f>
        <v>USD</v>
      </c>
      <c r="E67" s="18" cm="1">
        <f t="array" aca="1" ref="E67" ca="1">_FV(RTData[[#This Row],[Company Name]],"Last trade time",TRUE)</f>
        <v>45946.870295925779</v>
      </c>
      <c r="F67" s="19" cm="1">
        <f t="array" aca="1" ref="F67" ca="1">_FV(RTData[[#This Row],[Company Name]],"Previous close",TRUE)</f>
        <v>215.57</v>
      </c>
      <c r="G67" s="19" cm="1">
        <f t="array" aca="1" ref="G67" ca="1">_FV(RTData[[#This Row],[Company Name]],"Open")</f>
        <v>215.67</v>
      </c>
      <c r="H67" s="19" cm="1">
        <f t="array" aca="1" ref="H67" ca="1">_FV(RTData[[#This Row],[Company Name]],"Price")</f>
        <v>214.47</v>
      </c>
      <c r="I67" s="19" cm="1">
        <f t="array" aca="1" ref="I67" ca="1">_FV(RTData[[#This Row],[Company Name]],"Low")</f>
        <v>212.81010000000001</v>
      </c>
      <c r="J67" s="19" cm="1">
        <f t="array" aca="1" ref="J67" ca="1">_FV(RTData[[#This Row],[Company Name]],"High")</f>
        <v>218.59</v>
      </c>
      <c r="K67" s="20" cm="1">
        <f t="array" aca="1" ref="K67" ca="1">IFERROR(_FV(RTData[[#This Row],[Company Name]],"P/E",TRUE),99)</f>
        <v>32.727499999999999</v>
      </c>
      <c r="L67" s="21" cm="1">
        <f t="array" aca="1" ref="L67" ca="1">_FV(RTData[[#This Row],[Company Name]],"Change")</f>
        <v>-1.1000000000000001</v>
      </c>
      <c r="M67" s="22" cm="1">
        <f t="array" aca="1" ref="M67" ca="1">_FV(RTData[[#This Row],[Company Name]],"Change (%)",TRUE)</f>
        <v>-5.1029999999999999E-3</v>
      </c>
      <c r="N67" s="19" cm="1">
        <f t="array" aca="1" ref="N67" ca="1">_FV(RTData[[#This Row],[Company Name]],"52 week low",TRUE)</f>
        <v>161.38</v>
      </c>
      <c r="O67" s="19" cm="1">
        <f t="array" aca="1" ref="O67" ca="1">_FV(RTData[[#This Row],[Company Name]],"52 week high",TRUE)</f>
        <v>242.52</v>
      </c>
      <c r="P67" s="23" cm="1">
        <f t="array" aca="1" ref="P67" ca="1">_FV(RTData[[#This Row],[Company Name]],"Volume")</f>
        <v>42177812</v>
      </c>
      <c r="Q67" s="23" cm="1">
        <f t="array" aca="1" ref="Q67" ca="1">_FV(RTData[[#This Row],[Company Name]],"Volume average",TRUE)</f>
        <v>47103929</v>
      </c>
      <c r="R67" s="19" cm="1">
        <f t="array" aca="1" ref="R67" ca="1">_FV(RTData[[#This Row],[Company Name]],"Beta")</f>
        <v>1.2847</v>
      </c>
      <c r="S67" t="s">
        <v>25</v>
      </c>
      <c r="T67" t="s">
        <v>26</v>
      </c>
      <c r="U67" t="str" cm="1">
        <f t="array" aca="1" ref="U67" ca="1">_FV(RTData[[#This Row],[Company Name]],"Exchange abbreviation",TRUE)</f>
        <v>XNAS</v>
      </c>
      <c r="V67" s="24">
        <f ca="1">IFERROR(RTData[[#This Row],[Volume]]/RTData[[#This Row],[Volume average]],1)</f>
        <v>0.89542025252288404</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45946.666666666664</v>
      </c>
      <c r="F68" s="28" cm="1">
        <f t="array" aca="1" ref="F68" ca="1">_FV(RTData[[#This Row],[Company Name]],"Previous close",TRUE)</f>
        <v>873</v>
      </c>
      <c r="G68" s="28" cm="1">
        <f t="array" aca="1" ref="G68" ca="1">_FV(RTData[[#This Row],[Company Name]],"Open")</f>
        <v>883.7</v>
      </c>
      <c r="H68" s="28" cm="1">
        <f t="array" aca="1" ref="H68" ca="1">_FV(RTData[[#This Row],[Company Name]],"Price")</f>
        <v>877.4</v>
      </c>
      <c r="I68" s="28" cm="1">
        <f t="array" aca="1" ref="I68" ca="1">_FV(RTData[[#This Row],[Company Name]],"Low")</f>
        <v>874</v>
      </c>
      <c r="J68" s="28" cm="1">
        <f t="array" aca="1" ref="J68" ca="1">_FV(RTData[[#This Row],[Company Name]],"High")</f>
        <v>900.5</v>
      </c>
      <c r="K68" s="20" cm="1">
        <f t="array" aca="1" ref="K68" ca="1">IFERROR(_FV(RTData[[#This Row],[Company Name]],"P/E",TRUE),99)</f>
        <v>33.689</v>
      </c>
      <c r="L68" s="21" cm="1">
        <f t="array" aca="1" ref="L68" ca="1">_FV(RTData[[#This Row],[Company Name]],"Change")</f>
        <v>4.4000000000000004</v>
      </c>
      <c r="M68" s="22" cm="1">
        <f t="array" aca="1" ref="M68" ca="1">_FV(RTData[[#This Row],[Company Name]],"Change (%)",TRUE)</f>
        <v>5.0400000000000002E-3</v>
      </c>
      <c r="N68" s="28" cm="1">
        <f t="array" aca="1" ref="N68" ca="1">_FV(RTData[[#This Row],[Company Name]],"52 week low",TRUE)</f>
        <v>508.4</v>
      </c>
      <c r="O68" s="28" cm="1">
        <f t="array" aca="1" ref="O68" ca="1">_FV(RTData[[#This Row],[Company Name]],"52 week high",TRUE)</f>
        <v>905.1</v>
      </c>
      <c r="P68" s="23" cm="1">
        <f t="array" aca="1" ref="P68" ca="1">_FV(RTData[[#This Row],[Company Name]],"Volume")</f>
        <v>703225</v>
      </c>
      <c r="Q68" s="23" cm="1">
        <f t="array" aca="1" ref="Q68" ca="1">_FV(RTData[[#This Row],[Company Name]],"Volume average",TRUE)</f>
        <v>804760</v>
      </c>
      <c r="R68" s="19" cm="1">
        <f t="array" aca="1" ref="R68" ca="1">_FV(RTData[[#This Row],[Company Name]],"Beta")</f>
        <v>1.9593</v>
      </c>
      <c r="S68" t="s">
        <v>25</v>
      </c>
      <c r="T68" t="s">
        <v>26</v>
      </c>
      <c r="U68" t="str" cm="1">
        <f t="array" aca="1" ref="U68" ca="1">_FV(RTData[[#This Row],[Company Name]],"Exchange abbreviation",TRUE)</f>
        <v>XAMS</v>
      </c>
      <c r="V68" s="24">
        <f ca="1">IFERROR(RTData[[#This Row],[Volume]]/RTData[[#This Row],[Volume average]],1)</f>
        <v>0.87383194989810631</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0.85572479890467223</v>
      </c>
      <c r="C69" t="e" vm="15">
        <v>#VALUE!</v>
      </c>
      <c r="D69" s="17" t="str" cm="1">
        <f t="array" aca="1" ref="D69" ca="1">_FV(RTData[[#This Row],[Company Name]],"Currency")</f>
        <v>USD</v>
      </c>
      <c r="E69" s="18" cm="1">
        <f t="array" aca="1" ref="E69" ca="1">_FV(RTData[[#This Row],[Company Name]],"Last trade time",TRUE)</f>
        <v>45946.855090300778</v>
      </c>
      <c r="F69" s="19" cm="1">
        <f t="array" aca="1" ref="F69" ca="1">_FV(RTData[[#This Row],[Company Name]],"Previous close",TRUE)</f>
        <v>3.27</v>
      </c>
      <c r="G69" s="19" cm="1">
        <f t="array" aca="1" ref="G69" ca="1">_FV(RTData[[#This Row],[Company Name]],"Open")</f>
        <v>3.31</v>
      </c>
      <c r="H69" s="19" cm="1">
        <f t="array" aca="1" ref="H69" ca="1">_FV(RTData[[#This Row],[Company Name]],"Price")</f>
        <v>3.26</v>
      </c>
      <c r="I69" s="19" cm="1">
        <f t="array" aca="1" ref="I69" ca="1">_FV(RTData[[#This Row],[Company Name]],"Low")</f>
        <v>3.23</v>
      </c>
      <c r="J69" s="19" cm="1">
        <f t="array" aca="1" ref="J69" ca="1">_FV(RTData[[#This Row],[Company Name]],"High")</f>
        <v>3.5497000000000001</v>
      </c>
      <c r="K69" s="20" cm="1">
        <f t="array" ref="K69">IFERROR(_FV(RTData[[#This Row],[Company Name]],"P/E",TRUE),99)</f>
        <v>99</v>
      </c>
      <c r="L69" s="21" cm="1">
        <f t="array" aca="1" ref="L69" ca="1">_FV(RTData[[#This Row],[Company Name]],"Change")</f>
        <v>-0.01</v>
      </c>
      <c r="M69" s="22" cm="1">
        <f t="array" aca="1" ref="M69" ca="1">_FV(RTData[[#This Row],[Company Name]],"Change (%)",TRUE)</f>
        <v>-3.058E-3</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4907524</v>
      </c>
      <c r="Q69" s="23" cm="1">
        <f t="array" aca="1" ref="Q69" ca="1">_FV(RTData[[#This Row],[Company Name]],"Volume average",TRUE)</f>
        <v>4484637</v>
      </c>
      <c r="R69" s="19" cm="1">
        <f t="array" aca="1" ref="R69" ca="1">_FV(RTData[[#This Row],[Company Name]],"Beta")</f>
        <v>2.1697000000000002</v>
      </c>
      <c r="S69" t="s">
        <v>25</v>
      </c>
      <c r="T69" t="s">
        <v>26</v>
      </c>
      <c r="U69" t="str" cm="1">
        <f t="array" aca="1" ref="U69" ca="1">_FV(RTData[[#This Row],[Company Name]],"Exchange abbreviation",TRUE)</f>
        <v>XNYS</v>
      </c>
      <c r="V69" s="24">
        <f ca="1">IFERROR(RTData[[#This Row],[Volume]]/RTData[[#This Row],[Volume average]],1)</f>
        <v>1.0942968182263135</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0.85572479890467223</v>
      </c>
      <c r="C70" t="e" vm="16">
        <v>#VALUE!</v>
      </c>
      <c r="D70" s="17" t="str" cm="1">
        <f t="array" aca="1" ref="D70" ca="1">_FV(RTData[[#This Row],[Company Name]],"Currency")</f>
        <v>USD</v>
      </c>
      <c r="E70" s="18" cm="1">
        <f t="array" aca="1" ref="E70" ca="1">_FV(RTData[[#This Row],[Company Name]],"Last trade time",TRUE)</f>
        <v>45946.870246863284</v>
      </c>
      <c r="F70" s="19" cm="1">
        <f t="array" aca="1" ref="F70" ca="1">_FV(RTData[[#This Row],[Company Name]],"Previous close",TRUE)</f>
        <v>111.71</v>
      </c>
      <c r="G70" s="19" cm="1">
        <f t="array" aca="1" ref="G70" ca="1">_FV(RTData[[#This Row],[Company Name]],"Open")</f>
        <v>111.79</v>
      </c>
      <c r="H70" s="19" cm="1">
        <f t="array" aca="1" ref="H70" ca="1">_FV(RTData[[#This Row],[Company Name]],"Price")</f>
        <v>109.895</v>
      </c>
      <c r="I70" s="19" cm="1">
        <f t="array" aca="1" ref="I70" ca="1">_FV(RTData[[#This Row],[Company Name]],"Low")</f>
        <v>108.51</v>
      </c>
      <c r="J70" s="19" cm="1">
        <f t="array" aca="1" ref="J70" ca="1">_FV(RTData[[#This Row],[Company Name]],"High")</f>
        <v>112.08499999999999</v>
      </c>
      <c r="K70" s="20" cm="1">
        <f t="array" aca="1" ref="K70" ca="1">IFERROR(_FV(RTData[[#This Row],[Company Name]],"P/E",TRUE),99)</f>
        <v>17.229199999999999</v>
      </c>
      <c r="L70" s="21" cm="1">
        <f t="array" aca="1" ref="L70" ca="1">_FV(RTData[[#This Row],[Company Name]],"Change")</f>
        <v>-1.8149999999999999</v>
      </c>
      <c r="M70" s="22" cm="1">
        <f t="array" aca="1" ref="M70" ca="1">_FV(RTData[[#This Row],[Company Name]],"Change (%)",TRUE)</f>
        <v>-1.6247000000000001E-2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7497798</v>
      </c>
      <c r="Q70" s="23" cm="1">
        <f t="array" aca="1" ref="Q70" ca="1">_FV(RTData[[#This Row],[Company Name]],"Volume average",TRUE)</f>
        <v>8856647</v>
      </c>
      <c r="R70" s="19" cm="1">
        <f t="array" aca="1" ref="R70" ca="1">_FV(RTData[[#This Row],[Company Name]],"Beta")</f>
        <v>1.5543</v>
      </c>
      <c r="S70" t="s">
        <v>25</v>
      </c>
      <c r="T70" t="s">
        <v>26</v>
      </c>
      <c r="U70" t="str" cm="1">
        <f t="array" aca="1" ref="U70" ca="1">_FV(RTData[[#This Row],[Company Name]],"Exchange abbreviation",TRUE)</f>
        <v>XNYS</v>
      </c>
      <c r="V70" s="24">
        <f ca="1">IFERROR(RTData[[#This Row],[Volume]]/RTData[[#This Row],[Volume average]],1)</f>
        <v>0.84657297507736284</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0.85572479890467223</v>
      </c>
      <c r="C71" t="e" vm="22">
        <v>#VALUE!</v>
      </c>
      <c r="D71" s="17" t="str" cm="1">
        <f t="array" aca="1" ref="D71" ca="1">_FV(RTData[[#This Row],[Company Name]],"Currency")</f>
        <v>USD</v>
      </c>
      <c r="E71" s="18" cm="1">
        <f t="array" aca="1" ref="E71" ca="1">_FV(RTData[[#This Row],[Company Name]],"Last trade time",TRUE)</f>
        <v>45946.865264606247</v>
      </c>
      <c r="F71" s="19" cm="1">
        <f t="array" aca="1" ref="F71" ca="1">_FV(RTData[[#This Row],[Company Name]],"Previous close",TRUE)</f>
        <v>57.8</v>
      </c>
      <c r="G71" s="19" cm="1">
        <f t="array" aca="1" ref="G71" ca="1">_FV(RTData[[#This Row],[Company Name]],"Open")</f>
        <v>57.884999999999998</v>
      </c>
      <c r="H71" s="19" cm="1">
        <f t="array" aca="1" ref="H71" ca="1">_FV(RTData[[#This Row],[Company Name]],"Price")</f>
        <v>57.34</v>
      </c>
      <c r="I71" s="19" cm="1">
        <f t="array" aca="1" ref="I71" ca="1">_FV(RTData[[#This Row],[Company Name]],"Low")</f>
        <v>56.81</v>
      </c>
      <c r="J71" s="19" cm="1">
        <f t="array" aca="1" ref="J71" ca="1">_FV(RTData[[#This Row],[Company Name]],"High")</f>
        <v>58.4</v>
      </c>
      <c r="K71" s="20" cm="1">
        <f t="array" aca="1" ref="K71" ca="1">IFERROR(_FV(RTData[[#This Row],[Company Name]],"P/E",TRUE),99)</f>
        <v>8.2651000000000003</v>
      </c>
      <c r="L71" s="21" cm="1">
        <f t="array" aca="1" ref="L71" ca="1">_FV(RTData[[#This Row],[Company Name]],"Change")</f>
        <v>-0.46</v>
      </c>
      <c r="M71" s="22" cm="1">
        <f t="array" aca="1" ref="M71" ca="1">_FV(RTData[[#This Row],[Company Name]],"Change (%)",TRUE)</f>
        <v>-7.9579999999999998E-3</v>
      </c>
      <c r="N71" s="19" cm="1">
        <f t="array" aca="1" ref="N71" ca="1">_FV(RTData[[#This Row],[Company Name]],"52 week low",TRUE)</f>
        <v>41.6</v>
      </c>
      <c r="O71" s="19" cm="1">
        <f t="array" aca="1" ref="O71" ca="1">_FV(RTData[[#This Row],[Company Name]],"52 week high",TRUE)</f>
        <v>62.14</v>
      </c>
      <c r="P71" s="23" cm="1">
        <f t="array" aca="1" ref="P71" ca="1">_FV(RTData[[#This Row],[Company Name]],"Volume")</f>
        <v>6028033</v>
      </c>
      <c r="Q71" s="23" cm="1">
        <f t="array" aca="1" ref="Q71" ca="1">_FV(RTData[[#This Row],[Company Name]],"Volume average",TRUE)</f>
        <v>7992644</v>
      </c>
      <c r="R71" s="19" cm="1">
        <f t="array" aca="1" ref="R71" ca="1">_FV(RTData[[#This Row],[Company Name]],"Beta")</f>
        <v>1.4107000000000001</v>
      </c>
      <c r="S71" t="s">
        <v>25</v>
      </c>
      <c r="T71" t="s">
        <v>26</v>
      </c>
      <c r="U71" t="str" cm="1">
        <f t="array" aca="1" ref="U71" ca="1">_FV(RTData[[#This Row],[Company Name]],"Exchange abbreviation",TRUE)</f>
        <v>XNYS</v>
      </c>
      <c r="V71" s="24">
        <f ca="1">IFERROR(RTData[[#This Row],[Volume]]/RTData[[#This Row],[Volume average]],1)</f>
        <v>0.75419760970212113</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1.1499540018399264E-2</v>
      </c>
      <c r="C72" t="e" vm="25">
        <v>#VALUE!</v>
      </c>
      <c r="D72" s="17" t="str" cm="1">
        <f t="array" aca="1" ref="D72" ca="1">_FV(RTData[[#This Row],[Company Name]],"Currency")</f>
        <v>GBp</v>
      </c>
      <c r="E72" s="18" cm="1">
        <f t="array" aca="1" ref="E72" ca="1">_FV(RTData[[#This Row],[Company Name]],"Last trade time",TRUE)</f>
        <v>45946.644671214846</v>
      </c>
      <c r="F72" s="19" cm="1">
        <f t="array" aca="1" ref="F72" ca="1">_FV(RTData[[#This Row],[Company Name]],"Previous close",TRUE)</f>
        <v>407.5</v>
      </c>
      <c r="G72" s="19" cm="1">
        <f t="array" aca="1" ref="G72" ca="1">_FV(RTData[[#This Row],[Company Name]],"Open")</f>
        <v>409.9</v>
      </c>
      <c r="H72" s="19" cm="1">
        <f t="array" aca="1" ref="H72" ca="1">_FV(RTData[[#This Row],[Company Name]],"Price")</f>
        <v>406.3</v>
      </c>
      <c r="I72" s="19" cm="1">
        <f t="array" aca="1" ref="I72" ca="1">_FV(RTData[[#This Row],[Company Name]],"Low")</f>
        <v>398.9</v>
      </c>
      <c r="J72" s="19" cm="1">
        <f t="array" aca="1" ref="J72" ca="1">_FV(RTData[[#This Row],[Company Name]],"High")</f>
        <v>411.9</v>
      </c>
      <c r="K72" s="20" cm="1">
        <f t="array" aca="1" ref="K72" ca="1">IFERROR(_FV(RTData[[#This Row],[Company Name]],"P/E",TRUE),99)</f>
        <v>7.3266</v>
      </c>
      <c r="L72" s="21" cm="1">
        <f t="array" aca="1" ref="L72" ca="1">_FV(RTData[[#This Row],[Company Name]],"Change")</f>
        <v>-1.2</v>
      </c>
      <c r="M72" s="22" cm="1">
        <f t="array" aca="1" ref="M72" ca="1">_FV(RTData[[#This Row],[Company Name]],"Change (%)",TRUE)</f>
        <v>-2.9449999999999997E-3</v>
      </c>
      <c r="N72" s="19" cm="1">
        <f t="array" aca="1" ref="N72" ca="1">_FV(RTData[[#This Row],[Company Name]],"52 week low",TRUE)</f>
        <v>195.738</v>
      </c>
      <c r="O72" s="19" cm="1">
        <f t="array" aca="1" ref="O72" ca="1">_FV(RTData[[#This Row],[Company Name]],"52 week high",TRUE)</f>
        <v>416</v>
      </c>
      <c r="P72" s="23" cm="1">
        <f t="array" aca="1" ref="P72" ca="1">_FV(RTData[[#This Row],[Company Name]],"Volume")</f>
        <v>9228094</v>
      </c>
      <c r="Q72" s="23" cm="1">
        <f t="array" aca="1" ref="Q72" ca="1">_FV(RTData[[#This Row],[Company Name]],"Volume average",TRUE)</f>
        <v>13923050</v>
      </c>
      <c r="R72" s="19" cm="1">
        <f t="array" aca="1" ref="R72" ca="1">_FV(RTData[[#This Row],[Company Name]],"Beta")</f>
        <v>2.8873000000000002</v>
      </c>
      <c r="S72" t="s">
        <v>25</v>
      </c>
      <c r="T72" t="s">
        <v>26</v>
      </c>
      <c r="U72" t="str" cm="1">
        <f t="array" aca="1" ref="U72" ca="1">_FV(RTData[[#This Row],[Company Name]],"Exchange abbreviation",TRUE)</f>
        <v>XLON</v>
      </c>
      <c r="V72" s="24">
        <f ca="1">IFERROR(RTData[[#This Row],[Volume]]/RTData[[#This Row],[Volume average]],1)</f>
        <v>0.66279256341103421</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0.85572479890467223</v>
      </c>
      <c r="C73" t="e" vm="29">
        <v>#VALUE!</v>
      </c>
      <c r="D73" s="17" t="str" cm="1">
        <f t="array" aca="1" ref="D73" ca="1">_FV(RTData[[#This Row],[Company Name]],"Currency")</f>
        <v>USD</v>
      </c>
      <c r="E73" s="18" cm="1">
        <f t="array" aca="1" ref="E73" ca="1">_FV(RTData[[#This Row],[Company Name]],"Last trade time",TRUE)</f>
        <v>45946.869848575778</v>
      </c>
      <c r="F73" s="19" cm="1">
        <f t="array" aca="1" ref="F73" ca="1">_FV(RTData[[#This Row],[Company Name]],"Previous close",TRUE)</f>
        <v>27.72</v>
      </c>
      <c r="G73" s="19" cm="1">
        <f t="array" aca="1" ref="G73" ca="1">_FV(RTData[[#This Row],[Company Name]],"Open")</f>
        <v>27.844999999999999</v>
      </c>
      <c r="H73" s="19" cm="1">
        <f t="array" aca="1" ref="H73" ca="1">_FV(RTData[[#This Row],[Company Name]],"Price")</f>
        <v>27.14</v>
      </c>
      <c r="I73" s="19" cm="1">
        <f t="array" aca="1" ref="I73" ca="1">_FV(RTData[[#This Row],[Company Name]],"Low")</f>
        <v>27.11</v>
      </c>
      <c r="J73" s="19" cm="1">
        <f t="array" aca="1" ref="J73" ca="1">_FV(RTData[[#This Row],[Company Name]],"High")</f>
        <v>28.48</v>
      </c>
      <c r="K73" s="20" cm="1">
        <f t="array" aca="1" ref="K73" ca="1">IFERROR(_FV(RTData[[#This Row],[Company Name]],"P/E",TRUE),99)</f>
        <v>0</v>
      </c>
      <c r="L73" s="21" cm="1">
        <f t="array" aca="1" ref="L73" ca="1">_FV(RTData[[#This Row],[Company Name]],"Change")</f>
        <v>-0.57999999999999996</v>
      </c>
      <c r="M73" s="22" cm="1">
        <f t="array" aca="1" ref="M73" ca="1">_FV(RTData[[#This Row],[Company Name]],"Change (%)",TRUE)</f>
        <v>-2.0924000000000002E-2</v>
      </c>
      <c r="N73" s="19" cm="1">
        <f t="array" aca="1" ref="N73" ca="1">_FV(RTData[[#This Row],[Company Name]],"52 week low",TRUE)</f>
        <v>23.15</v>
      </c>
      <c r="O73" s="19" cm="1">
        <f t="array" aca="1" ref="O73" ca="1">_FV(RTData[[#This Row],[Company Name]],"52 week high",TRUE)</f>
        <v>58.45</v>
      </c>
      <c r="P73" s="23" cm="1">
        <f t="array" aca="1" ref="P73" ca="1">_FV(RTData[[#This Row],[Company Name]],"Volume")</f>
        <v>7847664</v>
      </c>
      <c r="Q73" s="23" cm="1">
        <f t="array" aca="1" ref="Q73" ca="1">_FV(RTData[[#This Row],[Company Name]],"Volume average",TRUE)</f>
        <v>11519986</v>
      </c>
      <c r="R73" s="19" cm="1">
        <f t="array" aca="1" ref="R73" ca="1">_FV(RTData[[#This Row],[Company Name]],"Beta")</f>
        <v>2.0034000000000001</v>
      </c>
      <c r="S73" t="s">
        <v>25</v>
      </c>
      <c r="T73" t="s">
        <v>26</v>
      </c>
      <c r="U73" t="str" cm="1">
        <f t="array" aca="1" ref="U73" ca="1">_FV(RTData[[#This Row],[Company Name]],"Exchange abbreviation",TRUE)</f>
        <v>XNAS</v>
      </c>
      <c r="V73" s="24">
        <f ca="1">IFERROR(RTData[[#This Row],[Volume]]/RTData[[#This Row],[Volume average]],1)</f>
        <v>0.68122166120687999</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0.85572479890467223</v>
      </c>
      <c r="C74" t="e" vm="57">
        <v>#VALUE!</v>
      </c>
      <c r="D74" s="17" t="str" cm="1">
        <f t="array" aca="1" ref="D74" ca="1">_FV(RTData[[#This Row],[Company Name]],"Currency")</f>
        <v>USD</v>
      </c>
      <c r="E74" s="18" cm="1">
        <f t="array" aca="1" ref="E74" ca="1">_FV(RTData[[#This Row],[Company Name]],"Last trade time",TRUE)</f>
        <v>45946.869818842184</v>
      </c>
      <c r="F74" s="19" cm="1">
        <f t="array" aca="1" ref="F74" ca="1">_FV(RTData[[#This Row],[Company Name]],"Previous close",TRUE)</f>
        <v>2.16</v>
      </c>
      <c r="G74" s="19" cm="1">
        <f t="array" aca="1" ref="G74" ca="1">_FV(RTData[[#This Row],[Company Name]],"Open")</f>
        <v>2.13</v>
      </c>
      <c r="H74" s="19" cm="1">
        <f t="array" aca="1" ref="H74" ca="1">_FV(RTData[[#This Row],[Company Name]],"Price")</f>
        <v>1.91</v>
      </c>
      <c r="I74" s="19" cm="1">
        <f t="array" aca="1" ref="I74" ca="1">_FV(RTData[[#This Row],[Company Name]],"Low")</f>
        <v>1.89</v>
      </c>
      <c r="J74" s="19" cm="1">
        <f t="array" aca="1" ref="J74" ca="1">_FV(RTData[[#This Row],[Company Name]],"High")</f>
        <v>2.1549999999999998</v>
      </c>
      <c r="K74" s="20" cm="1">
        <f t="array" aca="1" ref="K74" ca="1">IFERROR(_FV(RTData[[#This Row],[Company Name]],"P/E",TRUE),99)</f>
        <v>0</v>
      </c>
      <c r="L74" s="21" cm="1">
        <f t="array" aca="1" ref="L74" ca="1">_FV(RTData[[#This Row],[Company Name]],"Change")</f>
        <v>-0.25</v>
      </c>
      <c r="M74" s="22" cm="1">
        <f t="array" aca="1" ref="M74" ca="1">_FV(RTData[[#This Row],[Company Name]],"Change (%)",TRUE)</f>
        <v>-0.115741</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6620104</v>
      </c>
      <c r="Q74" s="23" cm="1">
        <f t="array" aca="1" ref="Q74" ca="1">_FV(RTData[[#This Row],[Company Name]],"Volume average",TRUE)</f>
        <v>6746214</v>
      </c>
      <c r="R74" s="19" cm="1">
        <f t="array" aca="1" ref="R74" ca="1">_FV(RTData[[#This Row],[Company Name]],"Beta")</f>
        <v>3.4558</v>
      </c>
      <c r="T74" t="s">
        <v>26</v>
      </c>
      <c r="U74" t="str" cm="1">
        <f t="array" aca="1" ref="U74" ca="1">_FV(RTData[[#This Row],[Company Name]],"Exchange abbreviation",TRUE)</f>
        <v>XNAS</v>
      </c>
      <c r="V74" s="24">
        <f ca="1">IFERROR(RTData[[#This Row],[Volume]]/RTData[[#This Row],[Volume average]],1)</f>
        <v>0.98130655208980921</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45946.666666666664</v>
      </c>
      <c r="F75" s="28" cm="1">
        <f t="array" aca="1" ref="F75" ca="1">_FV(RTData[[#This Row],[Company Name]],"Previous close",TRUE)</f>
        <v>14.722</v>
      </c>
      <c r="G75" s="28" cm="1">
        <f t="array" aca="1" ref="G75" ca="1">_FV(RTData[[#This Row],[Company Name]],"Open")</f>
        <v>14.78</v>
      </c>
      <c r="H75" s="28" cm="1">
        <f t="array" aca="1" ref="H75" ca="1">_FV(RTData[[#This Row],[Company Name]],"Price")</f>
        <v>14.766</v>
      </c>
      <c r="I75" s="28" cm="1">
        <f t="array" aca="1" ref="I75" ca="1">_FV(RTData[[#This Row],[Company Name]],"Low")</f>
        <v>14.747999999999999</v>
      </c>
      <c r="J75" s="28" cm="1">
        <f t="array" aca="1" ref="J75" ca="1">_FV(RTData[[#This Row],[Company Name]],"High")</f>
        <v>14.846</v>
      </c>
      <c r="K75" s="20" cm="1">
        <f t="array" aca="1" ref="K75" ca="1">IFERROR(_FV(RTData[[#This Row],[Company Name]],"P/E",TRUE),99)</f>
        <v>18.4483</v>
      </c>
      <c r="L75" s="21" cm="1">
        <f t="array" aca="1" ref="L75" ca="1">_FV(RTData[[#This Row],[Company Name]],"Change")</f>
        <v>4.3999999999999997E-2</v>
      </c>
      <c r="M75" s="22" cm="1">
        <f t="array" aca="1" ref="M75" ca="1">_FV(RTData[[#This Row],[Company Name]],"Change (%)",TRUE)</f>
        <v>2.9889999999999999E-3</v>
      </c>
      <c r="N75" s="28" cm="1">
        <f t="array" aca="1" ref="N75" ca="1">_FV(RTData[[#This Row],[Company Name]],"52 week low",TRUE)</f>
        <v>11.01</v>
      </c>
      <c r="O75" s="28" cm="1">
        <f t="array" aca="1" ref="O75" ca="1">_FV(RTData[[#This Row],[Company Name]],"52 week high",TRUE)</f>
        <v>15.53</v>
      </c>
      <c r="P75" s="23" cm="1">
        <f t="array" aca="1" ref="P75" ca="1">_FV(RTData[[#This Row],[Company Name]],"Volume")</f>
        <v>6870097</v>
      </c>
      <c r="Q75" s="23" cm="1">
        <f t="array" aca="1" ref="Q75" ca="1">_FV(RTData[[#This Row],[Company Name]],"Volume average",TRUE)</f>
        <v>11073440</v>
      </c>
      <c r="R75" s="19" cm="1">
        <f t="array" aca="1" ref="R75" ca="1">_FV(RTData[[#This Row],[Company Name]],"Beta")</f>
        <v>1.0819000000000001</v>
      </c>
      <c r="T75" t="s">
        <v>26</v>
      </c>
      <c r="U75" t="str" cm="1">
        <f t="array" aca="1" ref="U75" ca="1">_FV(RTData[[#This Row],[Company Name]],"Exchange abbreviation",TRUE)</f>
        <v>XMIL</v>
      </c>
      <c r="V75" s="24">
        <f ca="1">IFERROR(RTData[[#This Row],[Volume]]/RTData[[#This Row],[Volume average]],1)</f>
        <v>0.62041217543961047</v>
      </c>
      <c r="W75" s="24"/>
      <c r="X75" s="108">
        <f ca="1">_xlfn.XLOOKUP(RTData[[#This Row],[Ticker symbol]],[2]Sheet2!$B$2:$B$95,[2]Sheet2!$E$2:$E$95)</f>
        <v>15.5</v>
      </c>
      <c r="Y75" s="101">
        <f>_xlfn.LET(_xlpm.date,[2]Sheet2!F74,IF(_xlpm.date=0,"",_xlpm.date))</f>
        <v>45985</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1.1499540018399264E-2</v>
      </c>
      <c r="C76" t="e" vm="58">
        <v>#VALUE!</v>
      </c>
      <c r="D76" s="17" t="str" cm="1">
        <f t="array" aca="1" ref="D76" ca="1">_FV(RTData[[#This Row],[Company Name]],"Currency")</f>
        <v>GBp</v>
      </c>
      <c r="E76" s="18" cm="1">
        <f t="array" aca="1" ref="E76" ca="1">_FV(RTData[[#This Row],[Company Name]],"Last trade time",TRUE)</f>
        <v>45946.64326038125</v>
      </c>
      <c r="F76" s="19" cm="1">
        <f t="array" aca="1" ref="F76" ca="1">_FV(RTData[[#This Row],[Company Name]],"Previous close",TRUE)</f>
        <v>480.7</v>
      </c>
      <c r="G76" s="19" cm="1">
        <f t="array" aca="1" ref="G76" ca="1">_FV(RTData[[#This Row],[Company Name]],"Open")</f>
        <v>481.3</v>
      </c>
      <c r="H76" s="19" cm="1">
        <f t="array" aca="1" ref="H76" ca="1">_FV(RTData[[#This Row],[Company Name]],"Price")</f>
        <v>489.7</v>
      </c>
      <c r="I76" s="19" cm="1">
        <f t="array" aca="1" ref="I76" ca="1">_FV(RTData[[#This Row],[Company Name]],"Low")</f>
        <v>478.2</v>
      </c>
      <c r="J76" s="19" cm="1">
        <f t="array" aca="1" ref="J76" ca="1">_FV(RTData[[#This Row],[Company Name]],"High")</f>
        <v>490.7</v>
      </c>
      <c r="K76" s="20" cm="1">
        <f t="array" aca="1" ref="K76" ca="1">IFERROR(_FV(RTData[[#This Row],[Company Name]],"P/E",TRUE),99)</f>
        <v>8.8678000000000008</v>
      </c>
      <c r="L76" s="21" cm="1">
        <f t="array" aca="1" ref="L76" ca="1">_FV(RTData[[#This Row],[Company Name]],"Change")</f>
        <v>9</v>
      </c>
      <c r="M76" s="22" cm="1">
        <f t="array" aca="1" ref="M76" ca="1">_FV(RTData[[#This Row],[Company Name]],"Change (%)",TRUE)</f>
        <v>1.8723E-2</v>
      </c>
      <c r="N76" s="19" cm="1">
        <f t="array" aca="1" ref="N76" ca="1">_FV(RTData[[#This Row],[Company Name]],"52 week low",TRUE)</f>
        <v>401.05</v>
      </c>
      <c r="O76" s="19" cm="1">
        <f t="array" aca="1" ref="O76" ca="1">_FV(RTData[[#This Row],[Company Name]],"52 week high",TRUE)</f>
        <v>594</v>
      </c>
      <c r="P76" s="23" cm="1">
        <f t="array" aca="1" ref="P76" ca="1">_FV(RTData[[#This Row],[Company Name]],"Volume")</f>
        <v>4237034</v>
      </c>
      <c r="Q76" s="23" cm="1">
        <f t="array" aca="1" ref="Q76" ca="1">_FV(RTData[[#This Row],[Company Name]],"Volume average",TRUE)</f>
        <v>3717970</v>
      </c>
      <c r="R76" s="19" cm="1">
        <f t="array" aca="1" ref="R76" ca="1">_FV(RTData[[#This Row],[Company Name]],"Beta")</f>
        <v>2.8778999999999999</v>
      </c>
      <c r="T76" t="s">
        <v>26</v>
      </c>
      <c r="U76" t="str" cm="1">
        <f t="array" aca="1" ref="U76" ca="1">_FV(RTData[[#This Row],[Company Name]],"Exchange abbreviation",TRUE)</f>
        <v>XLON</v>
      </c>
      <c r="V76" s="24">
        <f ca="1">IFERROR(RTData[[#This Row],[Volume]]/RTData[[#This Row],[Volume average]],1)</f>
        <v>1.1396095180972412</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0.85572479890467223</v>
      </c>
      <c r="C77" t="e" vm="59">
        <v>#VALUE!</v>
      </c>
      <c r="D77" s="17" t="str" cm="1">
        <f t="array" aca="1" ref="D77" ca="1">_FV(RTData[[#This Row],[Company Name]],"Currency")</f>
        <v>USD</v>
      </c>
      <c r="E77" s="18" cm="1">
        <f t="array" aca="1" ref="E77" ca="1">_FV(RTData[[#This Row],[Company Name]],"Last trade time",TRUE)</f>
        <v>45946.870062198439</v>
      </c>
      <c r="F77" s="19" cm="1">
        <f t="array" aca="1" ref="F77" ca="1">_FV(RTData[[#This Row],[Company Name]],"Previous close",TRUE)</f>
        <v>11.76</v>
      </c>
      <c r="G77" s="19" cm="1">
        <f t="array" aca="1" ref="G77" ca="1">_FV(RTData[[#This Row],[Company Name]],"Open")</f>
        <v>11.74</v>
      </c>
      <c r="H77" s="19" cm="1">
        <f t="array" aca="1" ref="H77" ca="1">_FV(RTData[[#This Row],[Company Name]],"Price")</f>
        <v>11.744999999999999</v>
      </c>
      <c r="I77" s="19" cm="1">
        <f t="array" aca="1" ref="I77" ca="1">_FV(RTData[[#This Row],[Company Name]],"Low")</f>
        <v>11.64</v>
      </c>
      <c r="J77" s="19" cm="1">
        <f t="array" aca="1" ref="J77" ca="1">_FV(RTData[[#This Row],[Company Name]],"High")</f>
        <v>11.79</v>
      </c>
      <c r="K77" s="20" cm="1">
        <f t="array" aca="1" ref="K77" ca="1">IFERROR(_FV(RTData[[#This Row],[Company Name]],"P/E",TRUE),99)</f>
        <v>15.0192</v>
      </c>
      <c r="L77" s="21" cm="1">
        <f t="array" aca="1" ref="L77" ca="1">_FV(RTData[[#This Row],[Company Name]],"Change")</f>
        <v>-1.4999999999999999E-2</v>
      </c>
      <c r="M77" s="22" cm="1">
        <f t="array" aca="1" ref="M77" ca="1">_FV(RTData[[#This Row],[Company Name]],"Change (%)",TRUE)</f>
        <v>-1.276E-3</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107799845</v>
      </c>
      <c r="Q77" s="23" cm="1">
        <f t="array" aca="1" ref="Q77" ca="1">_FV(RTData[[#This Row],[Company Name]],"Volume average",TRUE)</f>
        <v>76342207</v>
      </c>
      <c r="R77" s="19" cm="1">
        <f t="array" aca="1" ref="R77" ca="1">_FV(RTData[[#This Row],[Company Name]],"Beta")</f>
        <v>1.6032999999999999</v>
      </c>
      <c r="T77" t="s">
        <v>26</v>
      </c>
      <c r="U77" t="str" cm="1">
        <f t="array" aca="1" ref="U77" ca="1">_FV(RTData[[#This Row],[Company Name]],"Exchange abbreviation",TRUE)</f>
        <v>XNYS</v>
      </c>
      <c r="V77" s="24">
        <f ca="1">IFERROR(RTData[[#This Row],[Volume]]/RTData[[#This Row],[Volume average]],1)</f>
        <v>1.4120608931308469</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45946.666666666664</v>
      </c>
      <c r="F78" s="28" cm="1">
        <f t="array" aca="1" ref="F78" ca="1">_FV(RTData[[#This Row],[Company Name]],"Previous close",TRUE)</f>
        <v>55.56</v>
      </c>
      <c r="G78" s="28" cm="1">
        <f t="array" aca="1" ref="G78" ca="1">_FV(RTData[[#This Row],[Company Name]],"Open")</f>
        <v>55.42</v>
      </c>
      <c r="H78" s="28" cm="1">
        <f t="array" aca="1" ref="H78" ca="1">_FV(RTData[[#This Row],[Company Name]],"Price")</f>
        <v>56.52</v>
      </c>
      <c r="I78" s="28" cm="1">
        <f t="array" aca="1" ref="I78" ca="1">_FV(RTData[[#This Row],[Company Name]],"Low")</f>
        <v>54.88</v>
      </c>
      <c r="J78" s="28" cm="1">
        <f t="array" aca="1" ref="J78" ca="1">_FV(RTData[[#This Row],[Company Name]],"High")</f>
        <v>56.74</v>
      </c>
      <c r="K78" s="20" cm="1">
        <f t="array" aca="1" ref="K78" ca="1">IFERROR(_FV(RTData[[#This Row],[Company Name]],"P/E",TRUE),99)</f>
        <v>9.4662000000000006</v>
      </c>
      <c r="L78" s="21" cm="1">
        <f t="array" aca="1" ref="L78" ca="1">_FV(RTData[[#This Row],[Company Name]],"Change")</f>
        <v>0.96</v>
      </c>
      <c r="M78" s="22" cm="1">
        <f t="array" aca="1" ref="M78" ca="1">_FV(RTData[[#This Row],[Company Name]],"Change (%)",TRUE)</f>
        <v>1.7278999999999999E-2</v>
      </c>
      <c r="N78" s="28" cm="1">
        <f t="array" aca="1" ref="N78" ca="1">_FV(RTData[[#This Row],[Company Name]],"52 week low",TRUE)</f>
        <v>22.87</v>
      </c>
      <c r="O78" s="28" cm="1">
        <f t="array" aca="1" ref="O78" ca="1">_FV(RTData[[#This Row],[Company Name]],"52 week high",TRUE)</f>
        <v>59.42</v>
      </c>
      <c r="P78" s="23" cm="1">
        <f t="array" aca="1" ref="P78" ca="1">_FV(RTData[[#This Row],[Company Name]],"Volume")</f>
        <v>2290116</v>
      </c>
      <c r="Q78" s="23" cm="1">
        <f t="array" aca="1" ref="Q78" ca="1">_FV(RTData[[#This Row],[Company Name]],"Volume average",TRUE)</f>
        <v>2105370</v>
      </c>
      <c r="R78" s="19" cm="1">
        <f t="array" aca="1" ref="R78" ca="1">_FV(RTData[[#This Row],[Company Name]],"Beta")</f>
        <v>1.5998000000000001</v>
      </c>
      <c r="T78" t="s">
        <v>26</v>
      </c>
      <c r="U78" t="str" cm="1">
        <f t="array" aca="1" ref="U78" ca="1">_FV(RTData[[#This Row],[Company Name]],"Exchange abbreviation",TRUE)</f>
        <v>XPAR</v>
      </c>
      <c r="V78" s="24">
        <f ca="1">IFERROR(RTData[[#This Row],[Volume]]/RTData[[#This Row],[Volume average]],1)</f>
        <v>1.0877498966927428</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0.85572479890467223</v>
      </c>
      <c r="C79" t="e" vm="60">
        <v>#VALUE!</v>
      </c>
      <c r="D79" s="17" t="str" cm="1">
        <f t="array" aca="1" ref="D79" ca="1">_FV(RTData[[#This Row],[Company Name]],"Currency")</f>
        <v>USD</v>
      </c>
      <c r="E79" s="18" cm="1">
        <f t="array" aca="1" ref="E79" ca="1">_FV(RTData[[#This Row],[Company Name]],"Last trade time",TRUE)</f>
        <v>45946.865222187502</v>
      </c>
      <c r="F79" s="19" cm="1">
        <f t="array" aca="1" ref="F79" ca="1">_FV(RTData[[#This Row],[Company Name]],"Previous close",TRUE)</f>
        <v>191.67</v>
      </c>
      <c r="G79" s="19" cm="1">
        <f t="array" aca="1" ref="G79" ca="1">_FV(RTData[[#This Row],[Company Name]],"Open")</f>
        <v>193.38</v>
      </c>
      <c r="H79" s="19" cm="1">
        <f t="array" aca="1" ref="H79" ca="1">_FV(RTData[[#This Row],[Company Name]],"Price")</f>
        <v>192.655</v>
      </c>
      <c r="I79" s="19" cm="1">
        <f t="array" aca="1" ref="I79" ca="1">_FV(RTData[[#This Row],[Company Name]],"Low")</f>
        <v>188.76</v>
      </c>
      <c r="J79" s="19" cm="1">
        <f t="array" aca="1" ref="J79" ca="1">_FV(RTData[[#This Row],[Company Name]],"High")</f>
        <v>194.09899999999999</v>
      </c>
      <c r="K79" s="20" cm="1">
        <f t="array" aca="1" ref="K79" ca="1">IFERROR(_FV(RTData[[#This Row],[Company Name]],"P/E",TRUE),99)</f>
        <v>31.9908</v>
      </c>
      <c r="L79" s="21" cm="1">
        <f t="array" aca="1" ref="L79" ca="1">_FV(RTData[[#This Row],[Company Name]],"Change")</f>
        <v>0.98499999999999999</v>
      </c>
      <c r="M79" s="22" cm="1">
        <f t="array" aca="1" ref="M79" ca="1">_FV(RTData[[#This Row],[Company Name]],"Change (%)",TRUE)</f>
        <v>5.1390000000000003E-3</v>
      </c>
      <c r="N79" s="19" cm="1">
        <f t="array" aca="1" ref="N79" ca="1">_FV(RTData[[#This Row],[Company Name]],"52 week low",TRUE)</f>
        <v>99.5</v>
      </c>
      <c r="O79" s="19" cm="1">
        <f t="array" aca="1" ref="O79" ca="1">_FV(RTData[[#This Row],[Company Name]],"52 week high",TRUE)</f>
        <v>203.2499</v>
      </c>
      <c r="P79" s="23" cm="1">
        <f t="array" aca="1" ref="P79" ca="1">_FV(RTData[[#This Row],[Company Name]],"Volume")</f>
        <v>1068213</v>
      </c>
      <c r="Q79" s="23" cm="1">
        <f t="array" aca="1" ref="Q79" ca="1">_FV(RTData[[#This Row],[Company Name]],"Volume average",TRUE)</f>
        <v>1077409</v>
      </c>
      <c r="R79" s="19" cm="1">
        <f t="array" aca="1" ref="R79" ca="1">_FV(RTData[[#This Row],[Company Name]],"Beta")</f>
        <v>1.6700999999999999</v>
      </c>
      <c r="T79" t="s">
        <v>26</v>
      </c>
      <c r="U79" t="str" cm="1">
        <f t="array" aca="1" ref="U79" ca="1">_FV(RTData[[#This Row],[Company Name]],"Exchange abbreviation",TRUE)</f>
        <v>XNYS</v>
      </c>
      <c r="V79" s="24">
        <f ca="1">IFERROR(RTData[[#This Row],[Volume]]/RTData[[#This Row],[Volume average]],1)</f>
        <v>0.99146470838836509</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0.85572479890467223</v>
      </c>
      <c r="C80" t="e" vm="61">
        <v>#VALUE!</v>
      </c>
      <c r="D80" s="17" t="str" cm="1">
        <f t="array" aca="1" ref="D80" ca="1">_FV(RTData[[#This Row],[Company Name]],"Currency")</f>
        <v>USD</v>
      </c>
      <c r="E80" s="18" cm="1">
        <f t="array" aca="1" ref="E80" ca="1">_FV(RTData[[#This Row],[Company Name]],"Last trade time",TRUE)</f>
        <v>45946.86950569375</v>
      </c>
      <c r="F80" s="19" cm="1">
        <f t="array" aca="1" ref="F80" ca="1">_FV(RTData[[#This Row],[Company Name]],"Previous close",TRUE)</f>
        <v>767.93</v>
      </c>
      <c r="G80" s="19" cm="1">
        <f t="array" aca="1" ref="G80" ca="1">_FV(RTData[[#This Row],[Company Name]],"Open")</f>
        <v>770.66</v>
      </c>
      <c r="H80" s="19" cm="1">
        <f t="array" aca="1" ref="H80" ca="1">_FV(RTData[[#This Row],[Company Name]],"Price")</f>
        <v>758.32</v>
      </c>
      <c r="I80" s="19" cm="1">
        <f t="array" aca="1" ref="I80" ca="1">_FV(RTData[[#This Row],[Company Name]],"Low")</f>
        <v>752.41</v>
      </c>
      <c r="J80" s="19" cm="1">
        <f t="array" aca="1" ref="J80" ca="1">_FV(RTData[[#This Row],[Company Name]],"High")</f>
        <v>781.44</v>
      </c>
      <c r="K80" s="20" cm="1">
        <f t="array" aca="1" ref="K80" ca="1">IFERROR(_FV(RTData[[#This Row],[Company Name]],"P/E",TRUE),99)</f>
        <v>15.404500000000001</v>
      </c>
      <c r="L80" s="21" cm="1">
        <f t="array" aca="1" ref="L80" ca="1">_FV(RTData[[#This Row],[Company Name]],"Change")</f>
        <v>-9.61</v>
      </c>
      <c r="M80" s="22" cm="1">
        <f t="array" aca="1" ref="M80" ca="1">_FV(RTData[[#This Row],[Company Name]],"Change (%)",TRUE)</f>
        <v>-1.2514000000000001E-2</v>
      </c>
      <c r="N80" s="19" cm="1">
        <f t="array" aca="1" ref="N80" ca="1">_FV(RTData[[#This Row],[Company Name]],"52 week low",TRUE)</f>
        <v>439.38</v>
      </c>
      <c r="O80" s="19" cm="1">
        <f t="array" aca="1" ref="O80" ca="1">_FV(RTData[[#This Row],[Company Name]],"52 week high",TRUE)</f>
        <v>825.25</v>
      </c>
      <c r="P80" s="23" cm="1">
        <f t="array" aca="1" ref="P80" ca="1">_FV(RTData[[#This Row],[Company Name]],"Volume")</f>
        <v>3157242</v>
      </c>
      <c r="Q80" s="23" cm="1">
        <f t="array" aca="1" ref="Q80" ca="1">_FV(RTData[[#This Row],[Company Name]],"Volume average",TRUE)</f>
        <v>1940779</v>
      </c>
      <c r="R80" s="19" cm="1">
        <f t="array" aca="1" ref="R80" ca="1">_FV(RTData[[#This Row],[Company Name]],"Beta")</f>
        <v>1.4108000000000001</v>
      </c>
      <c r="T80" t="s">
        <v>26</v>
      </c>
      <c r="U80" t="str" cm="1">
        <f t="array" aca="1" ref="U80" ca="1">_FV(RTData[[#This Row],[Company Name]],"Exchange abbreviation",TRUE)</f>
        <v>XNYS</v>
      </c>
      <c r="V80" s="24">
        <f ca="1">IFERROR(RTData[[#This Row],[Volume]]/RTData[[#This Row],[Volume average]],1)</f>
        <v>1.6267910978014499</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0.85572479890467223</v>
      </c>
      <c r="C81" t="e" vm="62">
        <v>#VALUE!</v>
      </c>
      <c r="D81" s="17" t="str" cm="1">
        <f t="array" aca="1" ref="D81" ca="1">_FV(RTData[[#This Row],[Company Name]],"Currency")</f>
        <v>USD</v>
      </c>
      <c r="E81" s="18" cm="1">
        <f t="array" aca="1" ref="E81" ca="1">_FV(RTData[[#This Row],[Company Name]],"Last trade time",TRUE)</f>
        <v>45946.868623553128</v>
      </c>
      <c r="F81" s="19" cm="1">
        <f t="array" aca="1" ref="F81" ca="1">_FV(RTData[[#This Row],[Company Name]],"Previous close",TRUE)</f>
        <v>2.02</v>
      </c>
      <c r="G81" s="19" cm="1">
        <f t="array" aca="1" ref="G81" ca="1">_FV(RTData[[#This Row],[Company Name]],"Open")</f>
        <v>2.06</v>
      </c>
      <c r="H81" s="19" cm="1">
        <f t="array" aca="1" ref="H81" ca="1">_FV(RTData[[#This Row],[Company Name]],"Price")</f>
        <v>1.89</v>
      </c>
      <c r="I81" s="19" cm="1">
        <f t="array" aca="1" ref="I81" ca="1">_FV(RTData[[#This Row],[Company Name]],"Low")</f>
        <v>1.87</v>
      </c>
      <c r="J81" s="19" cm="1">
        <f t="array" aca="1" ref="J81" ca="1">_FV(RTData[[#This Row],[Company Name]],"High")</f>
        <v>2.165</v>
      </c>
      <c r="K81" s="20" cm="1">
        <f t="array" aca="1" ref="K81" ca="1">IFERROR(_FV(RTData[[#This Row],[Company Name]],"P/E",TRUE),99)</f>
        <v>0</v>
      </c>
      <c r="L81" s="21" cm="1">
        <f t="array" aca="1" ref="L81" ca="1">_FV(RTData[[#This Row],[Company Name]],"Change")</f>
        <v>-0.13</v>
      </c>
      <c r="M81" s="22" cm="1">
        <f t="array" aca="1" ref="M81" ca="1">_FV(RTData[[#This Row],[Company Name]],"Change (%)",TRUE)</f>
        <v>-6.4355999999999997E-2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8401537</v>
      </c>
      <c r="Q81" s="23" cm="1">
        <f t="array" aca="1" ref="Q81" ca="1">_FV(RTData[[#This Row],[Company Name]],"Volume average",TRUE)</f>
        <v>6459071</v>
      </c>
      <c r="R81" s="19" cm="1">
        <f t="array" aca="1" ref="R81" ca="1">_FV(RTData[[#This Row],[Company Name]],"Beta")</f>
        <v>2.0381</v>
      </c>
      <c r="T81" t="s">
        <v>26</v>
      </c>
      <c r="U81" t="str" cm="1">
        <f t="array" aca="1" ref="U81" ca="1">_FV(RTData[[#This Row],[Company Name]],"Exchange abbreviation",TRUE)</f>
        <v>XNAS</v>
      </c>
      <c r="V81" s="24">
        <f ca="1">IFERROR(RTData[[#This Row],[Volume]]/RTData[[#This Row],[Volume average]],1)</f>
        <v>1.3007345793226301</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0.85572479890467223</v>
      </c>
      <c r="C82" t="e" vm="63">
        <v>#VALUE!</v>
      </c>
      <c r="D82" s="17" t="str" cm="1">
        <f t="array" aca="1" ref="D82" ca="1">_FV(RTData[[#This Row],[Company Name]],"Currency")</f>
        <v>USD</v>
      </c>
      <c r="E82" s="18" cm="1">
        <f t="array" aca="1" ref="E82" ca="1">_FV(RTData[[#This Row],[Company Name]],"Last trade time",TRUE)</f>
        <v>45946.862757071096</v>
      </c>
      <c r="F82" s="19" cm="1">
        <f t="array" aca="1" ref="F82" ca="1">_FV(RTData[[#This Row],[Company Name]],"Previous close",TRUE)</f>
        <v>33.56</v>
      </c>
      <c r="G82" s="19" cm="1">
        <f t="array" aca="1" ref="G82" ca="1">_FV(RTData[[#This Row],[Company Name]],"Open")</f>
        <v>33.67</v>
      </c>
      <c r="H82" s="19" cm="1">
        <f t="array" aca="1" ref="H82" ca="1">_FV(RTData[[#This Row],[Company Name]],"Price")</f>
        <v>33.29</v>
      </c>
      <c r="I82" s="19" cm="1">
        <f t="array" aca="1" ref="I82" ca="1">_FV(RTData[[#This Row],[Company Name]],"Low")</f>
        <v>32.840000000000003</v>
      </c>
      <c r="J82" s="19" cm="1">
        <f t="array" aca="1" ref="J82" ca="1">_FV(RTData[[#This Row],[Company Name]],"High")</f>
        <v>34.049999999999997</v>
      </c>
      <c r="K82" s="20" cm="1">
        <f t="array" aca="1" ref="K82" ca="1">IFERROR(_FV(RTData[[#This Row],[Company Name]],"P/E",TRUE),99)</f>
        <v>39.963999999999999</v>
      </c>
      <c r="L82" s="21" cm="1">
        <f t="array" aca="1" ref="L82" ca="1">_FV(RTData[[#This Row],[Company Name]],"Change")</f>
        <v>-0.27</v>
      </c>
      <c r="M82" s="22" cm="1">
        <f t="array" aca="1" ref="M82" ca="1">_FV(RTData[[#This Row],[Company Name]],"Change (%)",TRUE)</f>
        <v>-8.0450000000000001E-3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11015655</v>
      </c>
      <c r="Q82" s="23" cm="1">
        <f t="array" aca="1" ref="Q82" ca="1">_FV(RTData[[#This Row],[Company Name]],"Volume average",TRUE)</f>
        <v>9566732</v>
      </c>
      <c r="R82" s="19" cm="1">
        <f t="array" aca="1" ref="R82" ca="1">_FV(RTData[[#This Row],[Company Name]],"Beta")</f>
        <v>1.2251000000000001</v>
      </c>
      <c r="T82" t="s">
        <v>26</v>
      </c>
      <c r="U82" t="str" cm="1">
        <f t="array" aca="1" ref="U82" ca="1">_FV(RTData[[#This Row],[Company Name]],"Exchange abbreviation",TRUE)</f>
        <v>XNYS</v>
      </c>
      <c r="V82" s="24">
        <f ca="1">IFERROR(RTData[[#This Row],[Volume]]/RTData[[#This Row],[Volume average]],1)</f>
        <v>1.1514543315313943</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0.85572479890467223</v>
      </c>
      <c r="C83" t="e" vm="64">
        <v>#VALUE!</v>
      </c>
      <c r="D83" s="17" t="str" cm="1">
        <f t="array" aca="1" ref="D83" ca="1">_FV(RTData[[#This Row],[Company Name]],"Currency")</f>
        <v>USD</v>
      </c>
      <c r="E83" s="18" cm="1">
        <f t="array" aca="1" ref="E83" ca="1">_FV(RTData[[#This Row],[Company Name]],"Last trade time",TRUE)</f>
        <v>45946.870024050782</v>
      </c>
      <c r="F83" s="19" cm="1">
        <f t="array" aca="1" ref="F83" ca="1">_FV(RTData[[#This Row],[Company Name]],"Previous close",TRUE)</f>
        <v>562.80999999999995</v>
      </c>
      <c r="G83" s="19" cm="1">
        <f t="array" aca="1" ref="G83" ca="1">_FV(RTData[[#This Row],[Company Name]],"Open")</f>
        <v>562.79999999999995</v>
      </c>
      <c r="H83" s="19" cm="1">
        <f t="array" aca="1" ref="H83" ca="1">_FV(RTData[[#This Row],[Company Name]],"Price")</f>
        <v>550.08000000000004</v>
      </c>
      <c r="I83" s="19" cm="1">
        <f t="array" aca="1" ref="I83" ca="1">_FV(RTData[[#This Row],[Company Name]],"Low")</f>
        <v>547.39</v>
      </c>
      <c r="J83" s="19" cm="1">
        <f t="array" aca="1" ref="J83" ca="1">_FV(RTData[[#This Row],[Company Name]],"High")</f>
        <v>564.65</v>
      </c>
      <c r="K83" s="20" cm="1">
        <f t="array" aca="1" ref="K83" ca="1">IFERROR(_FV(RTData[[#This Row],[Company Name]],"P/E",TRUE),99)</f>
        <v>37.096899999999998</v>
      </c>
      <c r="L83" s="21" cm="1">
        <f t="array" aca="1" ref="L83" ca="1">_FV(RTData[[#This Row],[Company Name]],"Change")</f>
        <v>-12.73</v>
      </c>
      <c r="M83" s="22" cm="1">
        <f t="array" aca="1" ref="M83" ca="1">_FV(RTData[[#This Row],[Company Name]],"Change (%)",TRUE)</f>
        <v>-2.2618999999999997E-2</v>
      </c>
      <c r="N83" s="19" cm="1">
        <f t="array" aca="1" ref="N83" ca="1">_FV(RTData[[#This Row],[Company Name]],"52 week low",TRUE)</f>
        <v>465.59</v>
      </c>
      <c r="O83" s="19" cm="1">
        <f t="array" aca="1" ref="O83" ca="1">_FV(RTData[[#This Row],[Company Name]],"52 week high",TRUE)</f>
        <v>601.77</v>
      </c>
      <c r="P83" s="23" cm="1">
        <f t="array" aca="1" ref="P83" ca="1">_FV(RTData[[#This Row],[Company Name]],"Volume")</f>
        <v>3209487</v>
      </c>
      <c r="Q83" s="23" cm="1">
        <f t="array" aca="1" ref="Q83" ca="1">_FV(RTData[[#This Row],[Company Name]],"Volume average",TRUE)</f>
        <v>2826703</v>
      </c>
      <c r="R83" s="19" cm="1">
        <f t="array" aca="1" ref="R83" ca="1">_FV(RTData[[#This Row],[Company Name]],"Beta")</f>
        <v>0.92869999999999997</v>
      </c>
      <c r="T83" t="s">
        <v>26</v>
      </c>
      <c r="U83" t="str" cm="1">
        <f t="array" aca="1" ref="U83" ca="1">_FV(RTData[[#This Row],[Company Name]],"Exchange abbreviation",TRUE)</f>
        <v>XNYS</v>
      </c>
      <c r="V83" s="24">
        <f ca="1">IFERROR(RTData[[#This Row],[Volume]]/RTData[[#This Row],[Volume average]],1)</f>
        <v>1.1354171273034344</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0.85572479890467223</v>
      </c>
      <c r="C84" t="e" vm="65">
        <v>#VALUE!</v>
      </c>
      <c r="D84" s="17" t="str" cm="1">
        <f t="array" aca="1" ref="D84" ca="1">_FV(RTData[[#This Row],[Company Name]],"Currency")</f>
        <v>USD</v>
      </c>
      <c r="E84" s="18" cm="1">
        <f t="array" aca="1" ref="E84" ca="1">_FV(RTData[[#This Row],[Company Name]],"Last trade time",TRUE)</f>
        <v>45946.869813760939</v>
      </c>
      <c r="F84" s="19" cm="1">
        <f t="array" aca="1" ref="F84" ca="1">_FV(RTData[[#This Row],[Company Name]],"Previous close",TRUE)</f>
        <v>8.91</v>
      </c>
      <c r="G84" s="19" cm="1">
        <f t="array" aca="1" ref="G84" ca="1">_FV(RTData[[#This Row],[Company Name]],"Open")</f>
        <v>8.93</v>
      </c>
      <c r="H84" s="19" cm="1">
        <f t="array" aca="1" ref="H84" ca="1">_FV(RTData[[#This Row],[Company Name]],"Price")</f>
        <v>8.48</v>
      </c>
      <c r="I84" s="19" cm="1">
        <f t="array" aca="1" ref="I84" ca="1">_FV(RTData[[#This Row],[Company Name]],"Low")</f>
        <v>8.4649999999999999</v>
      </c>
      <c r="J84" s="19" cm="1">
        <f t="array" aca="1" ref="J84" ca="1">_FV(RTData[[#This Row],[Company Name]],"High")</f>
        <v>9.1</v>
      </c>
      <c r="K84" s="20" cm="1">
        <f t="array" aca="1" ref="K84" ca="1">IFERROR(_FV(RTData[[#This Row],[Company Name]],"P/E",TRUE),99)</f>
        <v>3.7075999999999998</v>
      </c>
      <c r="L84" s="21" cm="1">
        <f t="array" aca="1" ref="L84" ca="1">_FV(RTData[[#This Row],[Company Name]],"Change")</f>
        <v>-0.43</v>
      </c>
      <c r="M84" s="22" cm="1">
        <f t="array" aca="1" ref="M84" ca="1">_FV(RTData[[#This Row],[Company Name]],"Change (%)",TRUE)</f>
        <v>-4.8259999999999997E-2</v>
      </c>
      <c r="N84" s="19" cm="1">
        <f t="array" aca="1" ref="N84" ca="1">_FV(RTData[[#This Row],[Company Name]],"52 week low",TRUE)</f>
        <v>5.01</v>
      </c>
      <c r="O84" s="19" cm="1">
        <f t="array" aca="1" ref="O84" ca="1">_FV(RTData[[#This Row],[Company Name]],"52 week high",TRUE)</f>
        <v>11.55</v>
      </c>
      <c r="P84" s="23" cm="1">
        <f t="array" aca="1" ref="P84" ca="1">_FV(RTData[[#This Row],[Company Name]],"Volume")</f>
        <v>5184068</v>
      </c>
      <c r="Q84" s="23" cm="1">
        <f t="array" aca="1" ref="Q84" ca="1">_FV(RTData[[#This Row],[Company Name]],"Volume average",TRUE)</f>
        <v>4657867</v>
      </c>
      <c r="R84" s="19" cm="1">
        <f t="array" aca="1" ref="R84" ca="1">_FV(RTData[[#This Row],[Company Name]],"Beta")</f>
        <v>2.6861000000000002</v>
      </c>
      <c r="T84" t="s">
        <v>26</v>
      </c>
      <c r="U84" t="str" cm="1">
        <f t="array" aca="1" ref="U84" ca="1">_FV(RTData[[#This Row],[Company Name]],"Exchange abbreviation",TRUE)</f>
        <v>XNAS</v>
      </c>
      <c r="V84" s="24">
        <f ca="1">IFERROR(RTData[[#This Row],[Volume]]/RTData[[#This Row],[Volume average]],1)</f>
        <v>1.1129703789309571</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0.85572479890467223</v>
      </c>
      <c r="C85" t="e" vm="66">
        <v>#VALUE!</v>
      </c>
      <c r="D85" s="17" t="str" cm="1">
        <f t="array" aca="1" ref="D85" ca="1">_FV(RTData[[#This Row],[Company Name]],"Currency")</f>
        <v>USD</v>
      </c>
      <c r="E85" s="18" cm="1">
        <f t="array" aca="1" ref="E85" ca="1">_FV(RTData[[#This Row],[Company Name]],"Last trade time",TRUE)</f>
        <v>45946.863184374997</v>
      </c>
      <c r="F85" s="19" cm="1">
        <f t="array" aca="1" ref="F85" ca="1">_FV(RTData[[#This Row],[Company Name]],"Previous close",TRUE)</f>
        <v>129.97</v>
      </c>
      <c r="G85" s="19" cm="1">
        <f t="array" aca="1" ref="G85" ca="1">_FV(RTData[[#This Row],[Company Name]],"Open")</f>
        <v>129.88</v>
      </c>
      <c r="H85" s="19" cm="1">
        <f t="array" aca="1" ref="H85" ca="1">_FV(RTData[[#This Row],[Company Name]],"Price")</f>
        <v>130.72</v>
      </c>
      <c r="I85" s="19" cm="1">
        <f t="array" aca="1" ref="I85" ca="1">_FV(RTData[[#This Row],[Company Name]],"Low")</f>
        <v>129.64500000000001</v>
      </c>
      <c r="J85" s="19" cm="1">
        <f t="array" aca="1" ref="J85" ca="1">_FV(RTData[[#This Row],[Company Name]],"High")</f>
        <v>131.19</v>
      </c>
      <c r="K85" s="20" cm="1">
        <f t="array" aca="1" ref="K85" ca="1">IFERROR(_FV(RTData[[#This Row],[Company Name]],"P/E",TRUE),99)</f>
        <v>18.944700000000001</v>
      </c>
      <c r="L85" s="21" cm="1">
        <f t="array" aca="1" ref="L85" ca="1">_FV(RTData[[#This Row],[Company Name]],"Change")</f>
        <v>0.75</v>
      </c>
      <c r="M85" s="22" cm="1">
        <f t="array" aca="1" ref="M85" ca="1">_FV(RTData[[#This Row],[Company Name]],"Change (%)",TRUE)</f>
        <v>5.7709999999999992E-3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1168759</v>
      </c>
      <c r="Q85" s="23" cm="1">
        <f t="array" aca="1" ref="Q85" ca="1">_FV(RTData[[#This Row],[Company Name]],"Volume average",TRUE)</f>
        <v>1517238</v>
      </c>
      <c r="R85" s="19" cm="1">
        <f t="array" aca="1" ref="R85" ca="1">_FV(RTData[[#This Row],[Company Name]],"Beta")</f>
        <v>0.60219999999999996</v>
      </c>
      <c r="T85" t="s">
        <v>26</v>
      </c>
      <c r="U85" t="str" cm="1">
        <f t="array" aca="1" ref="U85" ca="1">_FV(RTData[[#This Row],[Company Name]],"Exchange abbreviation",TRUE)</f>
        <v>XNYS</v>
      </c>
      <c r="V85" s="24">
        <f ca="1">IFERROR(RTData[[#This Row],[Volume]]/RTData[[#This Row],[Volume average]],1)</f>
        <v>0.77032014753123768</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45946.666666666664</v>
      </c>
      <c r="F86" s="28" cm="1">
        <f t="array" aca="1" ref="F86" ca="1">_FV(RTData[[#This Row],[Company Name]],"Previous close",TRUE)</f>
        <v>14.015000000000001</v>
      </c>
      <c r="G86" s="28" cm="1">
        <f t="array" aca="1" ref="G86" ca="1">_FV(RTData[[#This Row],[Company Name]],"Open")</f>
        <v>13.98</v>
      </c>
      <c r="H86" s="28" cm="1">
        <f t="array" aca="1" ref="H86" ca="1">_FV(RTData[[#This Row],[Company Name]],"Price")</f>
        <v>14.085000000000001</v>
      </c>
      <c r="I86" s="28" cm="1">
        <f t="array" aca="1" ref="I86" ca="1">_FV(RTData[[#This Row],[Company Name]],"Low")</f>
        <v>13.815</v>
      </c>
      <c r="J86" s="28" cm="1">
        <f t="array" aca="1" ref="J86" ca="1">_FV(RTData[[#This Row],[Company Name]],"High")</f>
        <v>14.135</v>
      </c>
      <c r="K86" s="20" cm="1">
        <f t="array" aca="1" ref="K86" ca="1">IFERROR(_FV(RTData[[#This Row],[Company Name]],"P/E",TRUE),99)</f>
        <v>44.488300000000002</v>
      </c>
      <c r="L86" s="21" cm="1">
        <f t="array" aca="1" ref="L86" ca="1">_FV(RTData[[#This Row],[Company Name]],"Change")</f>
        <v>7.0000000000000007E-2</v>
      </c>
      <c r="M86" s="22" cm="1">
        <f t="array" aca="1" ref="M86" ca="1">_FV(RTData[[#This Row],[Company Name]],"Change (%)",TRUE)</f>
        <v>4.9950000000000003E-3</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3147289</v>
      </c>
      <c r="Q86" s="23" cm="1">
        <f t="array" aca="1" ref="Q86" ca="1">_FV(RTData[[#This Row],[Company Name]],"Volume average",TRUE)</f>
        <v>3786590</v>
      </c>
      <c r="R86" s="19" cm="1">
        <f t="array" aca="1" ref="R86" ca="1">_FV(RTData[[#This Row],[Company Name]],"Beta")</f>
        <v>0.30769999999999997</v>
      </c>
      <c r="T86" t="s">
        <v>26</v>
      </c>
      <c r="U86" t="str" cm="1">
        <f t="array" aca="1" ref="U86" ca="1">_FV(RTData[[#This Row],[Company Name]],"Exchange abbreviation",TRUE)</f>
        <v>XPAR</v>
      </c>
      <c r="V86" s="24">
        <f ca="1">IFERROR(RTData[[#This Row],[Volume]]/RTData[[#This Row],[Volume average]],1)</f>
        <v>0.83116709229148122</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0.85572479890467223</v>
      </c>
      <c r="C87" t="e" vm="67">
        <v>#VALUE!</v>
      </c>
      <c r="D87" s="17" t="str" cm="1">
        <f t="array" aca="1" ref="D87" ca="1">_FV(RTData[[#This Row],[Company Name]],"Currency")</f>
        <v>USD</v>
      </c>
      <c r="E87" s="18" cm="1">
        <f t="array" aca="1" ref="E87" ca="1">_FV(RTData[[#This Row],[Company Name]],"Last trade time",TRUE)</f>
        <v>45946.87024920078</v>
      </c>
      <c r="F87" s="19" cm="1">
        <f t="array" aca="1" ref="F87" ca="1">_FV(RTData[[#This Row],[Company Name]],"Previous close",TRUE)</f>
        <v>41.88</v>
      </c>
      <c r="G87" s="19" cm="1">
        <f t="array" aca="1" ref="G87" ca="1">_FV(RTData[[#This Row],[Company Name]],"Open")</f>
        <v>41.99</v>
      </c>
      <c r="H87" s="19" cm="1">
        <f t="array" aca="1" ref="H87" ca="1">_FV(RTData[[#This Row],[Company Name]],"Price")</f>
        <v>41.04</v>
      </c>
      <c r="I87" s="19" cm="1">
        <f t="array" aca="1" ref="I87" ca="1">_FV(RTData[[#This Row],[Company Name]],"Low")</f>
        <v>40.51</v>
      </c>
      <c r="J87" s="19" cm="1">
        <f t="array" aca="1" ref="J87" ca="1">_FV(RTData[[#This Row],[Company Name]],"High")</f>
        <v>42.089700000000001</v>
      </c>
      <c r="K87" s="20" cm="1">
        <f t="array" aca="1" ref="K87" ca="1">IFERROR(_FV(RTData[[#This Row],[Company Name]],"P/E",TRUE),99)</f>
        <v>24.1739</v>
      </c>
      <c r="L87" s="21" cm="1">
        <f t="array" aca="1" ref="L87" ca="1">_FV(RTData[[#This Row],[Company Name]],"Change")</f>
        <v>-0.84</v>
      </c>
      <c r="M87" s="22" cm="1">
        <f t="array" aca="1" ref="M87" ca="1">_FV(RTData[[#This Row],[Company Name]],"Change (%)",TRUE)</f>
        <v>-2.0057000000000002E-2</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10690469</v>
      </c>
      <c r="Q87" s="23" cm="1">
        <f t="array" aca="1" ref="Q87" ca="1">_FV(RTData[[#This Row],[Company Name]],"Volume average",TRUE)</f>
        <v>11856549</v>
      </c>
      <c r="R87" s="19" cm="1">
        <f t="array" aca="1" ref="R87" ca="1">_FV(RTData[[#This Row],[Company Name]],"Beta")</f>
        <v>0.93979999999999997</v>
      </c>
      <c r="T87" t="s">
        <v>26</v>
      </c>
      <c r="U87" t="str" cm="1">
        <f t="array" aca="1" ref="U87" ca="1">_FV(RTData[[#This Row],[Company Name]],"Exchange abbreviation",TRUE)</f>
        <v>XNYS</v>
      </c>
      <c r="V87" s="24">
        <f ca="1">IFERROR(RTData[[#This Row],[Volume]]/RTData[[#This Row],[Volume average]],1)</f>
        <v>0.9016509778688554</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0.85572479890467223</v>
      </c>
      <c r="C88" t="e" vm="68">
        <v>#VALUE!</v>
      </c>
      <c r="D88" s="17" t="str" cm="1">
        <f t="array" aca="1" ref="D88" ca="1">_FV(RTData[[#This Row],[Company Name]],"Currency")</f>
        <v>USD</v>
      </c>
      <c r="E88" s="18" cm="1">
        <f t="array" aca="1" ref="E88" ca="1">_FV(RTData[[#This Row],[Company Name]],"Last trade time",TRUE)</f>
        <v>45946.870233680471</v>
      </c>
      <c r="F88" s="19" cm="1">
        <f t="array" aca="1" ref="F88" ca="1">_FV(RTData[[#This Row],[Company Name]],"Previous close",TRUE)</f>
        <v>24.39</v>
      </c>
      <c r="G88" s="19" cm="1">
        <f t="array" aca="1" ref="G88" ca="1">_FV(RTData[[#This Row],[Company Name]],"Open")</f>
        <v>24.44</v>
      </c>
      <c r="H88" s="19" cm="1">
        <f t="array" aca="1" ref="H88" ca="1">_FV(RTData[[#This Row],[Company Name]],"Price")</f>
        <v>24.23</v>
      </c>
      <c r="I88" s="19" cm="1">
        <f t="array" aca="1" ref="I88" ca="1">_FV(RTData[[#This Row],[Company Name]],"Low")</f>
        <v>24.21</v>
      </c>
      <c r="J88" s="19" cm="1">
        <f t="array" aca="1" ref="J88" ca="1">_FV(RTData[[#This Row],[Company Name]],"High")</f>
        <v>24.605</v>
      </c>
      <c r="K88" s="20" cm="1">
        <f t="array" aca="1" ref="K88" ca="1">IFERROR(_FV(RTData[[#This Row],[Company Name]],"P/E",TRUE),99)</f>
        <v>17.570699999999999</v>
      </c>
      <c r="L88" s="21" cm="1">
        <f t="array" aca="1" ref="L88" ca="1">_FV(RTData[[#This Row],[Company Name]],"Change")</f>
        <v>-0.16</v>
      </c>
      <c r="M88" s="22" cm="1">
        <f t="array" aca="1" ref="M88" ca="1">_FV(RTData[[#This Row],[Company Name]],"Change (%)",TRUE)</f>
        <v>-6.5599999999999999E-3</v>
      </c>
      <c r="N88" s="19" cm="1">
        <f t="array" aca="1" ref="N88" ca="1">_FV(RTData[[#This Row],[Company Name]],"52 week low",TRUE)</f>
        <v>20.914999999999999</v>
      </c>
      <c r="O88" s="19" cm="1">
        <f t="array" aca="1" ref="O88" ca="1">_FV(RTData[[#This Row],[Company Name]],"52 week high",TRUE)</f>
        <v>29.82</v>
      </c>
      <c r="P88" s="23" cm="1">
        <f t="array" aca="1" ref="P88" ca="1">_FV(RTData[[#This Row],[Company Name]],"Volume")</f>
        <v>44218900</v>
      </c>
      <c r="Q88" s="23" cm="1">
        <f t="array" aca="1" ref="Q88" ca="1">_FV(RTData[[#This Row],[Company Name]],"Volume average",TRUE)</f>
        <v>61280444</v>
      </c>
      <c r="R88" s="19" cm="1">
        <f t="array" aca="1" ref="R88" ca="1">_FV(RTData[[#This Row],[Company Name]],"Beta")</f>
        <v>0.51200000000000001</v>
      </c>
      <c r="T88" t="s">
        <v>26</v>
      </c>
      <c r="U88" t="str" cm="1">
        <f t="array" aca="1" ref="U88" ca="1">_FV(RTData[[#This Row],[Company Name]],"Exchange abbreviation",TRUE)</f>
        <v>XNYS</v>
      </c>
      <c r="V88" s="24">
        <f ca="1">IFERROR(RTData[[#This Row],[Volume]]/RTData[[#This Row],[Volume average]],1)</f>
        <v>0.72158256555712941</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0.85572479890467223</v>
      </c>
      <c r="C89" t="e" vm="69">
        <v>#VALUE!</v>
      </c>
      <c r="D89" s="17" t="str" cm="1">
        <f t="array" aca="1" ref="D89" ca="1">_FV(RTData[[#This Row],[Company Name]],"Currency")</f>
        <v>USD</v>
      </c>
      <c r="E89" s="18" cm="1">
        <f t="array" aca="1" ref="E89" ca="1">_FV(RTData[[#This Row],[Company Name]],"Last trade time",TRUE)</f>
        <v>45946.867090185158</v>
      </c>
      <c r="F89" s="19" cm="1">
        <f t="array" aca="1" ref="F89" ca="1">_FV(RTData[[#This Row],[Company Name]],"Previous close",TRUE)</f>
        <v>3.31</v>
      </c>
      <c r="G89" s="19" cm="1">
        <f t="array" aca="1" ref="G89" ca="1">_FV(RTData[[#This Row],[Company Name]],"Open")</f>
        <v>3.33</v>
      </c>
      <c r="H89" s="19" cm="1">
        <f t="array" aca="1" ref="H89" ca="1">_FV(RTData[[#This Row],[Company Name]],"Price")</f>
        <v>3.2250000000000001</v>
      </c>
      <c r="I89" s="19" cm="1">
        <f t="array" aca="1" ref="I89" ca="1">_FV(RTData[[#This Row],[Company Name]],"Low")</f>
        <v>3.2</v>
      </c>
      <c r="J89" s="19" cm="1">
        <f t="array" aca="1" ref="J89" ca="1">_FV(RTData[[#This Row],[Company Name]],"High")</f>
        <v>3.39</v>
      </c>
      <c r="K89" s="20" cm="1">
        <f t="array" ref="K89">IFERROR(_FV(RTData[[#This Row],[Company Name]],"P/E",TRUE),99)</f>
        <v>99</v>
      </c>
      <c r="L89" s="21" cm="1">
        <f t="array" aca="1" ref="L89" ca="1">_FV(RTData[[#This Row],[Company Name]],"Change")</f>
        <v>-8.5000000000000006E-2</v>
      </c>
      <c r="M89" s="22" cm="1">
        <f t="array" aca="1" ref="M89" ca="1">_FV(RTData[[#This Row],[Company Name]],"Change (%)",TRUE)</f>
        <v>-2.5680000000000001E-2</v>
      </c>
      <c r="N89" s="19" cm="1">
        <f t="array" aca="1" ref="N89" ca="1">_FV(RTData[[#This Row],[Company Name]],"52 week low",TRUE)</f>
        <v>1.97</v>
      </c>
      <c r="O89" s="19" cm="1">
        <f t="array" aca="1" ref="O89" ca="1">_FV(RTData[[#This Row],[Company Name]],"52 week high",TRUE)</f>
        <v>4.74</v>
      </c>
      <c r="P89" s="23" cm="1">
        <f t="array" aca="1" ref="P89" ca="1">_FV(RTData[[#This Row],[Company Name]],"Volume")</f>
        <v>64113521</v>
      </c>
      <c r="Q89" s="23" cm="1">
        <f t="array" aca="1" ref="Q89" ca="1">_FV(RTData[[#This Row],[Company Name]],"Volume average",TRUE)</f>
        <v>51413296</v>
      </c>
      <c r="R89" s="19" cm="1">
        <f t="array" aca="1" ref="R89" ca="1">_FV(RTData[[#This Row],[Company Name]],"Beta")</f>
        <v>2.6307</v>
      </c>
      <c r="T89" t="s">
        <v>26</v>
      </c>
      <c r="U89" t="str" cm="1">
        <f t="array" aca="1" ref="U89" ca="1">_FV(RTData[[#This Row],[Company Name]],"Exchange abbreviation",TRUE)</f>
        <v>XNYS</v>
      </c>
      <c r="V89" s="24">
        <f ca="1">IFERROR(RTData[[#This Row],[Volume]]/RTData[[#This Row],[Volume average]],1)</f>
        <v>1.2470221905244121</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0.85572479890467223</v>
      </c>
      <c r="C90" t="e" vm="70">
        <v>#VALUE!</v>
      </c>
      <c r="D90" s="17" t="str" cm="1">
        <f t="array" aca="1" ref="D90" ca="1">_FV(RTData[[#This Row],[Company Name]],"Currency")</f>
        <v>USD</v>
      </c>
      <c r="E90" s="18" cm="1">
        <f t="array" aca="1" ref="E90" ca="1">_FV(RTData[[#This Row],[Company Name]],"Last trade time",TRUE)</f>
        <v>45946.863183575784</v>
      </c>
      <c r="F90" s="19" cm="1">
        <f t="array" aca="1" ref="F90" ca="1">_FV(RTData[[#This Row],[Company Name]],"Previous close",TRUE)</f>
        <v>37.159999999999997</v>
      </c>
      <c r="G90" s="19" cm="1">
        <f t="array" aca="1" ref="G90" ca="1">_FV(RTData[[#This Row],[Company Name]],"Open")</f>
        <v>37.340000000000003</v>
      </c>
      <c r="H90" s="19" cm="1">
        <f t="array" aca="1" ref="H90" ca="1">_FV(RTData[[#This Row],[Company Name]],"Price")</f>
        <v>35.69</v>
      </c>
      <c r="I90" s="19" cm="1">
        <f t="array" aca="1" ref="I90" ca="1">_FV(RTData[[#This Row],[Company Name]],"Low")</f>
        <v>35.380000000000003</v>
      </c>
      <c r="J90" s="19" cm="1">
        <f t="array" aca="1" ref="J90" ca="1">_FV(RTData[[#This Row],[Company Name]],"High")</f>
        <v>37.64</v>
      </c>
      <c r="K90" s="20" cm="1">
        <f t="array" aca="1" ref="K90" ca="1">IFERROR(_FV(RTData[[#This Row],[Company Name]],"P/E",TRUE),99)</f>
        <v>32.006100000000004</v>
      </c>
      <c r="L90" s="21" cm="1">
        <f t="array" aca="1" ref="L90" ca="1">_FV(RTData[[#This Row],[Company Name]],"Change")</f>
        <v>-1.47</v>
      </c>
      <c r="M90" s="22" cm="1">
        <f t="array" aca="1" ref="M90" ca="1">_FV(RTData[[#This Row],[Company Name]],"Change (%)",TRUE)</f>
        <v>-3.9559000000000004E-2</v>
      </c>
      <c r="N90" s="19" cm="1">
        <f t="array" aca="1" ref="N90" ca="1">_FV(RTData[[#This Row],[Company Name]],"52 week low",TRUE)</f>
        <v>28.99</v>
      </c>
      <c r="O90" s="19" cm="1">
        <f t="array" aca="1" ref="O90" ca="1">_FV(RTData[[#This Row],[Company Name]],"52 week high",TRUE)</f>
        <v>43.5</v>
      </c>
      <c r="P90" s="23" cm="1">
        <f t="array" aca="1" ref="P90" ca="1">_FV(RTData[[#This Row],[Company Name]],"Volume")</f>
        <v>3030986</v>
      </c>
      <c r="Q90" s="23" cm="1">
        <f t="array" aca="1" ref="Q90" ca="1">_FV(RTData[[#This Row],[Company Name]],"Volume average",TRUE)</f>
        <v>3206013</v>
      </c>
      <c r="R90" s="19" cm="1">
        <f t="array" aca="1" ref="R90" ca="1">_FV(RTData[[#This Row],[Company Name]],"Beta")</f>
        <v>0.51139999999999997</v>
      </c>
      <c r="T90" t="s">
        <v>26</v>
      </c>
      <c r="U90" t="str" cm="1">
        <f t="array" aca="1" ref="U90" ca="1">_FV(RTData[[#This Row],[Company Name]],"Exchange abbreviation",TRUE)</f>
        <v>XNYS</v>
      </c>
      <c r="V90" s="24">
        <f ca="1">IFERROR(RTData[[#This Row],[Volume]]/RTData[[#This Row],[Volume average]],1)</f>
        <v>0.9454066468227047</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0.85572479890467223</v>
      </c>
      <c r="C91" t="e" vm="71">
        <v>#VALUE!</v>
      </c>
      <c r="D91" s="17" t="str" cm="1">
        <f t="array" aca="1" ref="D91" ca="1">_FV(RTData[[#This Row],[Company Name]],"Currency")</f>
        <v>USD</v>
      </c>
      <c r="E91" s="18" cm="1">
        <f t="array" aca="1" ref="E91" ca="1">_FV(RTData[[#This Row],[Company Name]],"Last trade time",TRUE)</f>
        <v>45946.869885358596</v>
      </c>
      <c r="F91" s="19" cm="1">
        <f t="array" aca="1" ref="F91" ca="1">_FV(RTData[[#This Row],[Company Name]],"Previous close",TRUE)</f>
        <v>76.13</v>
      </c>
      <c r="G91" s="19" cm="1">
        <f t="array" aca="1" ref="G91" ca="1">_FV(RTData[[#This Row],[Company Name]],"Open")</f>
        <v>76.349999999999994</v>
      </c>
      <c r="H91" s="19" cm="1">
        <f t="array" aca="1" ref="H91" ca="1">_FV(RTData[[#This Row],[Company Name]],"Price")</f>
        <v>74.55</v>
      </c>
      <c r="I91" s="19" cm="1">
        <f t="array" aca="1" ref="I91" ca="1">_FV(RTData[[#This Row],[Company Name]],"Low")</f>
        <v>74.400000000000006</v>
      </c>
      <c r="J91" s="19" cm="1">
        <f t="array" aca="1" ref="J91" ca="1">_FV(RTData[[#This Row],[Company Name]],"High")</f>
        <v>77.69</v>
      </c>
      <c r="K91" s="20" cm="1">
        <f t="array" aca="1" ref="K91" ca="1">IFERROR(_FV(RTData[[#This Row],[Company Name]],"P/E",TRUE),99)</f>
        <v>44.957999999999998</v>
      </c>
      <c r="L91" s="21" cm="1">
        <f t="array" aca="1" ref="L91" ca="1">_FV(RTData[[#This Row],[Company Name]],"Change")</f>
        <v>-1.58</v>
      </c>
      <c r="M91" s="22" cm="1">
        <f t="array" aca="1" ref="M91" ca="1">_FV(RTData[[#This Row],[Company Name]],"Change (%)",TRUE)</f>
        <v>-2.0754000000000002E-2</v>
      </c>
      <c r="N91" s="19" cm="1">
        <f t="array" aca="1" ref="N91" ca="1">_FV(RTData[[#This Row],[Company Name]],"52 week low",TRUE)</f>
        <v>44.27</v>
      </c>
      <c r="O91" s="19" cm="1">
        <f t="array" aca="1" ref="O91" ca="1">_FV(RTData[[#This Row],[Company Name]],"52 week high",TRUE)</f>
        <v>99.26</v>
      </c>
      <c r="P91" s="23" cm="1">
        <f t="array" aca="1" ref="P91" ca="1">_FV(RTData[[#This Row],[Company Name]],"Volume")</f>
        <v>5578298</v>
      </c>
      <c r="Q91" s="23" cm="1">
        <f t="array" aca="1" ref="Q91" ca="1">_FV(RTData[[#This Row],[Company Name]],"Volume average",TRUE)</f>
        <v>6154543</v>
      </c>
      <c r="R91" s="19" cm="1">
        <f t="array" aca="1" ref="R91" ca="1">_FV(RTData[[#This Row],[Company Name]],"Beta")</f>
        <v>2.7231000000000001</v>
      </c>
      <c r="T91" t="s">
        <v>26</v>
      </c>
      <c r="U91" t="str" cm="1">
        <f t="array" aca="1" ref="U91" ca="1">_FV(RTData[[#This Row],[Company Name]],"Exchange abbreviation",TRUE)</f>
        <v>XNYS</v>
      </c>
      <c r="V91" s="24">
        <f ca="1">IFERROR(RTData[[#This Row],[Volume]]/RTData[[#This Row],[Volume average]],1)</f>
        <v>0.90637078983768571</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0.85572479890467223</v>
      </c>
      <c r="C92" t="e" vm="72">
        <v>#VALUE!</v>
      </c>
      <c r="D92" s="17" t="str" cm="1">
        <f t="array" aca="1" ref="D92" ca="1">_FV(RTData[[#This Row],[Company Name]],"Currency")</f>
        <v>USD</v>
      </c>
      <c r="E92" s="18" cm="1">
        <f t="array" aca="1" ref="E92" ca="1">_FV(RTData[[#This Row],[Company Name]],"Last trade time",TRUE)</f>
        <v>45946.857935856249</v>
      </c>
      <c r="F92" s="19" cm="1">
        <f t="array" aca="1" ref="F92" ca="1">_FV(RTData[[#This Row],[Company Name]],"Previous close",TRUE)</f>
        <v>199.23</v>
      </c>
      <c r="G92" s="19" cm="1">
        <f t="array" aca="1" ref="G92" ca="1">_FV(RTData[[#This Row],[Company Name]],"Open")</f>
        <v>199.26</v>
      </c>
      <c r="H92" s="19" cm="1">
        <f t="array" aca="1" ref="H92" ca="1">_FV(RTData[[#This Row],[Company Name]],"Price")</f>
        <v>199.13</v>
      </c>
      <c r="I92" s="19" cm="1">
        <f t="array" aca="1" ref="I92" ca="1">_FV(RTData[[#This Row],[Company Name]],"Low")</f>
        <v>197.2</v>
      </c>
      <c r="J92" s="19" cm="1">
        <f t="array" aca="1" ref="J92" ca="1">_FV(RTData[[#This Row],[Company Name]],"High")</f>
        <v>200.65</v>
      </c>
      <c r="K92" s="20" cm="1">
        <f t="array" aca="1" ref="K92" ca="1">IFERROR(_FV(RTData[[#This Row],[Company Name]],"P/E",TRUE),99)</f>
        <v>13.1661</v>
      </c>
      <c r="L92" s="21" cm="1">
        <f t="array" aca="1" ref="L92" ca="1">_FV(RTData[[#This Row],[Company Name]],"Change")</f>
        <v>-0.1</v>
      </c>
      <c r="M92" s="22" cm="1">
        <f t="array" aca="1" ref="M92" ca="1">_FV(RTData[[#This Row],[Company Name]],"Change (%)",TRUE)</f>
        <v>-5.019E-4</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733823</v>
      </c>
      <c r="Q92" s="23" cm="1">
        <f t="array" aca="1" ref="Q92" ca="1">_FV(RTData[[#This Row],[Company Name]],"Volume average",TRUE)</f>
        <v>1091796</v>
      </c>
      <c r="R92" s="19" cm="1">
        <f t="array" aca="1" ref="R92" ca="1">_FV(RTData[[#This Row],[Company Name]],"Beta")</f>
        <v>1.5347999999999999</v>
      </c>
      <c r="T92" t="s">
        <v>26</v>
      </c>
      <c r="U92" t="str" cm="1">
        <f t="array" aca="1" ref="U92" ca="1">_FV(RTData[[#This Row],[Company Name]],"Exchange abbreviation",TRUE)</f>
        <v>XNYS</v>
      </c>
      <c r="V92" s="24">
        <f ca="1">IFERROR(RTData[[#This Row],[Volume]]/RTData[[#This Row],[Volume average]],1)</f>
        <v>0.67212464599613853</v>
      </c>
      <c r="W92" s="24"/>
      <c r="X92" s="108">
        <f ca="1">_xlfn.XLOOKUP(RTData[[#This Row],[Ticker symbol]],[2]Sheet2!$B$2:$B$95,[2]Sheet2!$E$2:$E$95)</f>
        <v>201.43</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0.13667400259579029</v>
      </c>
      <c r="AF92" s="105" t="str">
        <f ca="1">TEXT(RTData[[#This Row],[1YT]],"#,#0.00")&amp;" &lt; "&amp;RTData[[#This Row],[Old1YT]]</f>
        <v>201.43 &lt; 177.21</v>
      </c>
    </row>
    <row r="93" spans="1:33" ht="22" customHeight="1" x14ac:dyDescent="0.3">
      <c r="A93" s="40" t="str" cm="1">
        <f t="array" aca="1" ref="A93" ca="1">_xlfn.SINGLE(RTData[suffix])&amp;_FV(RTData[[#This Row],[Company Name]],"Ticker symbol",TRUE)</f>
        <v>X</v>
      </c>
      <c r="B93" s="40">
        <f ca="1">D99</f>
        <v>0.85572479890467223</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45946.687511574077</v>
      </c>
      <c r="F94" s="28" cm="1">
        <f t="array" aca="1" ref="F94" ca="1">_FV(RTData[[#This Row],[Company Name]],"Previous close",TRUE)</f>
        <v>10.353999999999999</v>
      </c>
      <c r="G94" s="28" cm="1">
        <f t="array" aca="1" ref="G94" ca="1">_FV(RTData[[#This Row],[Company Name]],"Open")</f>
        <v>10.382</v>
      </c>
      <c r="H94" s="28" cm="1">
        <f t="array" aca="1" ref="H94" ca="1">_FV(RTData[[#This Row],[Company Name]],"Price")</f>
        <v>10.356</v>
      </c>
      <c r="I94" s="28" cm="1">
        <f t="array" aca="1" ref="I94" ca="1">_FV(RTData[[#This Row],[Company Name]],"Low")</f>
        <v>10.356</v>
      </c>
      <c r="J94" s="28" cm="1">
        <f t="array" aca="1" ref="J94" ca="1">_FV(RTData[[#This Row],[Company Name]],"High")</f>
        <v>10.382</v>
      </c>
      <c r="K94" s="20" cm="1">
        <f t="array" ref="K94">IFERROR(_FV(RTData[[#This Row],[Company Name]],"P/E",TRUE),99)</f>
        <v>99</v>
      </c>
      <c r="L94" s="21" cm="1">
        <f t="array" aca="1" ref="L94" ca="1">_FV(RTData[[#This Row],[Company Name]],"Change")</f>
        <v>2E-3</v>
      </c>
      <c r="M94" s="22" cm="1">
        <f t="array" aca="1" ref="M94" ca="1">_FV(RTData[[#This Row],[Company Name]],"Change (%)",TRUE)</f>
        <v>1.9320000000000001E-4</v>
      </c>
      <c r="N94" s="19" cm="1">
        <f t="array" aca="1" ref="N94" ca="1">_FV(RTData[[#This Row],[Company Name]],"52 week low",TRUE)</f>
        <v>7.4260000000000002</v>
      </c>
      <c r="O94" s="19" cm="1">
        <f t="array" aca="1" ref="O94" ca="1">_FV(RTData[[#This Row],[Company Name]],"52 week high",TRUE)</f>
        <v>10.56</v>
      </c>
      <c r="P94" s="23" cm="1">
        <f t="array" aca="1" ref="P94" ca="1">_FV(RTData[[#This Row],[Company Name]],"Volume")</f>
        <v>449</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45946.666666666664</v>
      </c>
      <c r="F95" s="28" cm="1">
        <f t="array" aca="1" ref="F95" ca="1">_FV(RTData[[#This Row],[Company Name]],"Previous close",TRUE)</f>
        <v>873</v>
      </c>
      <c r="G95" s="28" cm="1">
        <f t="array" aca="1" ref="G95" ca="1">_FV(RTData[[#This Row],[Company Name]],"Open")</f>
        <v>883.7</v>
      </c>
      <c r="H95" s="28" cm="1">
        <f t="array" aca="1" ref="H95" ca="1">_FV(RTData[[#This Row],[Company Name]],"Price")</f>
        <v>877.4</v>
      </c>
      <c r="I95" s="28" cm="1">
        <f t="array" aca="1" ref="I95" ca="1">_FV(RTData[[#This Row],[Company Name]],"Low")</f>
        <v>874</v>
      </c>
      <c r="J95" s="28" cm="1">
        <f t="array" aca="1" ref="J95" ca="1">_FV(RTData[[#This Row],[Company Name]],"High")</f>
        <v>900.5</v>
      </c>
      <c r="K95" s="20" cm="1">
        <f t="array" aca="1" ref="K95" ca="1">IFERROR(_FV(RTData[[#This Row],[Company Name]],"P/E",TRUE),99)</f>
        <v>33.689</v>
      </c>
      <c r="L95" s="21" cm="1">
        <f t="array" aca="1" ref="L95" ca="1">_FV(RTData[[#This Row],[Company Name]],"Change")</f>
        <v>4.4000000000000004</v>
      </c>
      <c r="M95" s="22" cm="1">
        <f t="array" aca="1" ref="M95" ca="1">_FV(RTData[[#This Row],[Company Name]],"Change (%)",TRUE)</f>
        <v>5.0400000000000002E-3</v>
      </c>
      <c r="N95" s="28" cm="1">
        <f t="array" aca="1" ref="N95" ca="1">_FV(RTData[[#This Row],[Company Name]],"52 week low",TRUE)</f>
        <v>508.4</v>
      </c>
      <c r="O95" s="28" cm="1">
        <f t="array" aca="1" ref="O95" ca="1">_FV(RTData[[#This Row],[Company Name]],"52 week high",TRUE)</f>
        <v>905.1</v>
      </c>
      <c r="P95" s="23" cm="1">
        <f t="array" aca="1" ref="P95" ca="1">_FV(RTData[[#This Row],[Company Name]],"Volume")</f>
        <v>703225</v>
      </c>
      <c r="Q95" s="23" cm="1">
        <f t="array" aca="1" ref="Q95" ca="1">_FV(RTData[[#This Row],[Company Name]],"Volume average",TRUE)</f>
        <v>804760</v>
      </c>
      <c r="R95" s="19" cm="1">
        <f t="array" aca="1" ref="R95" ca="1">_FV(RTData[[#This Row],[Company Name]],"Beta")</f>
        <v>1.9593</v>
      </c>
      <c r="S95" t="s">
        <v>21</v>
      </c>
      <c r="T95" t="s">
        <v>22</v>
      </c>
      <c r="U95" t="str" cm="1">
        <f t="array" aca="1" ref="U95" ca="1">_FV(RTData[[#This Row],[Company Name]],"Exchange abbreviation",TRUE)</f>
        <v>XAMS</v>
      </c>
      <c r="V95" s="24">
        <f ca="1">IFERROR(RTData[[#This Row],[Volume]]/RTData[[#This Row],[Volume average]],1)</f>
        <v>0.87383194989810631</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45946.836805555555</v>
      </c>
      <c r="F96" s="19" cm="1">
        <f t="array" aca="1" ref="F96" ca="1">_FV(RTData[[#This Row],[Company Name]],"Previous close",TRUE)</f>
        <v>16.2</v>
      </c>
      <c r="G96" s="19" cm="1">
        <f t="array" aca="1" ref="G96" ca="1">_FV(RTData[[#This Row],[Company Name]],"Open")</f>
        <v>16.239999999999998</v>
      </c>
      <c r="H96" s="19" cm="1">
        <f t="array" aca="1" ref="H96" ca="1">_FV(RTData[[#This Row],[Company Name]],"Price")</f>
        <v>16.25</v>
      </c>
      <c r="I96" s="19" cm="1">
        <f t="array" aca="1" ref="I96" ca="1">_FV(RTData[[#This Row],[Company Name]],"Low")</f>
        <v>16.13</v>
      </c>
      <c r="J96" s="19" cm="1">
        <f t="array" aca="1" ref="J96" ca="1">_FV(RTData[[#This Row],[Company Name]],"High")</f>
        <v>16.305</v>
      </c>
      <c r="K96" s="20" cm="1">
        <f t="array" aca="1" ref="K96" ca="1">IFERROR(_FV(RTData[[#This Row],[Company Name]],"P/E",TRUE),99)</f>
        <v>13.4298</v>
      </c>
      <c r="L96" s="21" cm="1">
        <f t="array" aca="1" ref="L96" ca="1">_FV(RTData[[#This Row],[Company Name]],"Change")</f>
        <v>0.05</v>
      </c>
      <c r="M96" s="22" cm="1">
        <f t="array" aca="1" ref="M96" ca="1">_FV(RTData[[#This Row],[Company Name]],"Change (%)",TRUE)</f>
        <v>3.0859999999999998E-3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7915</v>
      </c>
      <c r="Q96" s="23" cm="1">
        <f t="array" aca="1" ref="Q96" ca="1">_FV(RTData[[#This Row],[Company Name]],"Volume average",TRUE)</f>
        <v>3019760</v>
      </c>
      <c r="R96" s="19" cm="1">
        <f t="array" aca="1" ref="R96" ca="1">_FV(RTData[[#This Row],[Company Name]],"Beta")</f>
        <v>0.72060000000000002</v>
      </c>
      <c r="S96" t="s">
        <v>21</v>
      </c>
      <c r="T96" t="s">
        <v>22</v>
      </c>
      <c r="U96" t="str" cm="1">
        <f t="array" aca="1" ref="U96" ca="1">_FV(RTData[[#This Row],[Company Name]],"Exchange abbreviation",TRUE)</f>
        <v>XFRA</v>
      </c>
      <c r="V96" s="107">
        <f ca="1">IFERROR(RTData[[#This Row],[Volume]]/RTData[[#This Row],[Volume average]],1)</f>
        <v>2.621069224044295E-3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-0.56876489361702143</v>
      </c>
      <c r="M97" s="44">
        <f ca="1">SUBTOTAL(104,RTData[Change%])</f>
        <v>5.2447999999999995E-2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1.1686000000000001</v>
      </c>
      <c r="C99" s="49" cm="1">
        <f t="array" aca="1" ref="C99" ca="1">_FV(A99,"52 week high",TRUE)</f>
        <v>1.1918</v>
      </c>
      <c r="D99" s="19">
        <f ca="1">1/RTExR[[#This Row],[RT]]</f>
        <v>0.85572479890467223</v>
      </c>
      <c r="P99" s="50"/>
      <c r="R99"/>
      <c r="W99" s="71"/>
      <c r="X99" s="47"/>
    </row>
    <row r="100" spans="1:31" x14ac:dyDescent="0.3">
      <c r="A100" t="e" vm="78">
        <v>#VALUE!</v>
      </c>
      <c r="B100" s="48" cm="1">
        <f t="array" aca="1" ref="B100" ca="1">_FV(A100,"Price")</f>
        <v>0.92610000000000003</v>
      </c>
      <c r="C100" s="52" cm="1">
        <f t="array" aca="1" ref="C100" ca="1">_FV(A100,"52 week high",TRUE)</f>
        <v>0.96609999999999996</v>
      </c>
      <c r="D100" s="19">
        <f ca="1">1/RTExR[[#This Row],[RT]]</f>
        <v>1.0797969981643452</v>
      </c>
      <c r="P100" s="50"/>
      <c r="R100"/>
    </row>
    <row r="101" spans="1:31" x14ac:dyDescent="0.3">
      <c r="A101" t="e" vm="79">
        <v>#VALUE!</v>
      </c>
      <c r="B101" s="48" cm="1">
        <f t="array" aca="1" ref="B101" ca="1">_FV(A101,"Price")</f>
        <v>0.86960000000000004</v>
      </c>
      <c r="C101" s="53" cm="1">
        <f t="array" aca="1" ref="C101" ca="1">_FV(A101,"52 week high",TRUE)</f>
        <v>0.87629999999999997</v>
      </c>
      <c r="D101" s="19">
        <f ca="1">1/RTExR[[#This Row],[RT]]</f>
        <v>1.1499540018399264</v>
      </c>
      <c r="P101" s="50"/>
      <c r="R101"/>
    </row>
    <row r="102" spans="1:31" x14ac:dyDescent="0.3">
      <c r="A102" t="e" vm="80">
        <v>#VALUE!</v>
      </c>
      <c r="B102" s="48" cm="1">
        <f t="array" aca="1" ref="B102" ca="1">_FV(A102,"Price")</f>
        <v>1.8008999999999999</v>
      </c>
      <c r="C102" s="49" cm="1">
        <f t="array" aca="1" ref="C102" ca="1">_FV(A102,"52 week high",TRUE)</f>
        <v>1.8554999999999999</v>
      </c>
      <c r="D102" s="19">
        <f ca="1">1/RTExR[[#This Row],[RT]]</f>
        <v>0.55527791659725689</v>
      </c>
      <c r="P102" s="50"/>
      <c r="R102"/>
    </row>
    <row r="103" spans="1:31" x14ac:dyDescent="0.3">
      <c r="A103" t="e" vm="81">
        <v>#VALUE!</v>
      </c>
      <c r="B103" s="48" cm="1">
        <f t="array" aca="1" ref="B103" ca="1">_FV(A103,"Price")</f>
        <v>1.6415999999999999</v>
      </c>
      <c r="C103" s="49" cm="1">
        <f t="array" aca="1" ref="C103" ca="1">_FV(A103,"52 week high",TRUE)</f>
        <v>1.6435999999999999</v>
      </c>
      <c r="D103" s="19">
        <f ca="1">1/RTExR[[#This Row],[RT]]</f>
        <v>0.60916179337231968</v>
      </c>
      <c r="P103" s="50"/>
      <c r="R103"/>
    </row>
    <row r="104" spans="1:31" x14ac:dyDescent="0.3">
      <c r="A104" t="e" vm="82">
        <v>#VALUE!</v>
      </c>
      <c r="B104" s="48" cm="1">
        <f t="array" aca="1" ref="B104" ca="1">_FV(A104,"Price")</f>
        <v>150.41</v>
      </c>
      <c r="C104" s="54" cm="1">
        <f t="array" aca="1" ref="C104" ca="1">_FV(A104,"52 week high",TRUE)</f>
        <v>158.87</v>
      </c>
      <c r="D104" s="19">
        <f ca="1">1/RTExR[[#This Row],[RT]]</f>
        <v>6.6484941160827073E-3</v>
      </c>
      <c r="J104"/>
      <c r="P104" s="50"/>
      <c r="R104"/>
    </row>
    <row r="105" spans="1:31" x14ac:dyDescent="0.3">
      <c r="A105" t="e" vm="83">
        <v>#VALUE!</v>
      </c>
      <c r="B105" s="48" cm="1">
        <f t="array" aca="1" ref="B105" ca="1">_FV(A105,"Price")</f>
        <v>0.79249999999999998</v>
      </c>
      <c r="C105" s="52" cm="1">
        <f t="array" aca="1" ref="C105" ca="1">_FV(A105,"52 week high",TRUE)</f>
        <v>0.92</v>
      </c>
      <c r="D105" s="19">
        <f ca="1">1/RTExR[[#This Row],[RT]]</f>
        <v>1.2618296529968454</v>
      </c>
    </row>
    <row r="106" spans="1:31" x14ac:dyDescent="0.3">
      <c r="A106" t="e" vm="84">
        <v>#VALUE!</v>
      </c>
      <c r="B106" s="48" cm="1">
        <f t="array" aca="1" ref="B106" ca="1">_FV(A106,"Price")</f>
        <v>0.74419999999999997</v>
      </c>
      <c r="C106" s="53" cm="1">
        <f t="array" aca="1" ref="C106" ca="1">_FV(A106,"52 week high",TRUE)</f>
        <v>0.82650000000000001</v>
      </c>
      <c r="D106" s="19">
        <f ca="1">1/RTExR[[#This Row],[RT]]</f>
        <v>1.3437248051599033</v>
      </c>
    </row>
    <row r="107" spans="1:31" x14ac:dyDescent="0.3">
      <c r="C107" s="95" t="s">
        <v>39</v>
      </c>
      <c r="E107" s="99" t="s">
        <v>6</v>
      </c>
      <c r="F107" s="99" t="s">
        <v>43</v>
      </c>
    </row>
    <row r="108" spans="1:31" x14ac:dyDescent="0.3">
      <c r="A108" s="16"/>
      <c r="B108"/>
      <c r="C108" s="45" t="e" vm="37">
        <v>#VALUE!</v>
      </c>
      <c r="D108" s="98" t="s">
        <v>42</v>
      </c>
      <c r="E108" s="19" cm="1">
        <f t="array" aca="1" ref="E108" ca="1">_FV(C109,"Open")</f>
        <v>46289.09</v>
      </c>
      <c r="F108" s="19" cm="1">
        <f t="array" aca="1" ref="F108" ca="1">_FV(C109,"Price")</f>
        <v>45952.24</v>
      </c>
      <c r="X108" s="19"/>
      <c r="Y108" s="19"/>
      <c r="Z108" s="19"/>
    </row>
    <row r="109" spans="1:31" x14ac:dyDescent="0.3">
      <c r="C109" t="e" vm="85">
        <v>#VALUE!</v>
      </c>
      <c r="D109" s="19" cm="1">
        <f t="array" aca="1" ref="D109" ca="1">_FV(C109,"Previous close",TRUE)</f>
        <v>46253.31</v>
      </c>
      <c r="E109" s="19" cm="1">
        <f t="array" aca="1" ref="E109" ca="1">_FV(C110,"Open")</f>
        <v>57.51</v>
      </c>
      <c r="F109" s="19" cm="1">
        <f t="array" aca="1" ref="F109" ca="1">_FV(C110,"Price")</f>
        <v>57.53</v>
      </c>
    </row>
    <row r="110" spans="1:31" x14ac:dyDescent="0.3">
      <c r="C110" s="45" t="e" vm="86">
        <v>#VALUE!</v>
      </c>
      <c r="D110" s="19" cm="1">
        <f t="array" aca="1" ref="D110" ca="1">_FV(C110,"Previous close",TRUE)</f>
        <v>57.545000000000002</v>
      </c>
    </row>
    <row r="111" spans="1:31" x14ac:dyDescent="0.3">
      <c r="C111" s="45" t="s">
        <v>44</v>
      </c>
      <c r="D111" t="e" cm="1" vm="87">
        <f t="array" ref="D111">_FV(C111,"Instrument type",TRUE)</f>
        <v>#VALUE!</v>
      </c>
      <c r="E111" s="19" cm="1">
        <f t="array" aca="1" ref="E111" ca="1">_FV(C112,"Open")</f>
        <v>28.83</v>
      </c>
      <c r="F111" s="19" cm="1">
        <f t="array" aca="1" ref="F111" ca="1">_FV(C112,"Price")</f>
        <v>29.38</v>
      </c>
    </row>
    <row r="112" spans="1:31" x14ac:dyDescent="0.3">
      <c r="C112" s="45" t="e" vm="17">
        <v>#VALUE!</v>
      </c>
      <c r="D112" s="19" cm="1">
        <f t="array" aca="1" ref="D112" ca="1">_FV(C112,"Previous close",TRUE)</f>
        <v>28.88</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2025-10-16T20:58:02Z</dcterms:modified>
  <cp:category/>
</cp:coreProperties>
</file>