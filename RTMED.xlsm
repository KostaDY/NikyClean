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5"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78E319BF-41EF-484F-89AA-A30860AEE919}"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s>
  <externalReferences>
    <externalReference r:id="rId3"/>
  </externalReferences>
  <definedNames>
    <definedName name="_xleta.TODAY" hidden="1" xlm="1">#NAME?</definedName>
    <definedName name="_xlpm._" hidden="1" xlm="1">#NAME?</definedName>
    <definedName name="_xlpm.d" hidden="1" xlm="1">#NAME?</definedName>
    <definedName name="_xlpm.kept" hidden="1" xlm="1">#NAME?</definedName>
    <definedName name="_xlpm.MVOpen" hidden="1" xlm="1">#NAME?</definedName>
    <definedName name="_xlpm.n" hidden="1" xlm="1">#NAME?</definedName>
    <definedName name="_xlpm.New1YT" hidden="1" xlm="1">#NAME?</definedName>
    <definedName name="_xlpm.next" hidden="1" xlm="1">#NAME?</definedName>
    <definedName name="_xlpm.Old1YT" hidden="1" xlm="1">#NAME?</definedName>
    <definedName name="_xlpm.P" hidden="1" xlm="1">#NAME?</definedName>
    <definedName name="_xlpm.Pr" hidden="1" xlm="1">#NAME?</definedName>
    <definedName name="_xlpm.Pre" hidden="1" xlm="1">#NAME?</definedName>
    <definedName name="_xlpm.r" hidden="1" xlm="1">#NAME?</definedName>
    <definedName name="_xlpm.sorted" hidden="1" xlm="1">#NAME?</definedName>
    <definedName name="_xlpm.T" hidden="1" xlm="1">#NAME?</definedName>
    <definedName name="_xlpm.Ti" hidden="1" xlm="1">#NAME?</definedName>
    <definedName name="_xlpm.Tic" hidden="1" xlm="1">#NAME?</definedName>
    <definedName name="_xlpm.Tick" hidden="1" xlm="1">#NAME?</definedName>
    <definedName name="_xlpm.v" hidden="1" xlm="1">#NAME?</definedName>
    <definedName name="_xlpm.v0" hidden="1" xlm="1">#NAME?</definedName>
    <definedName name="AActTime">#REF!</definedName>
    <definedName name="AccountMVE">#REF!</definedName>
    <definedName name="Acct2">#REF!</definedName>
    <definedName name="ACET">#REF!</definedName>
    <definedName name="ACETZoneShift">#REF!</definedName>
    <definedName name="ActTime">Timing!$B$6</definedName>
    <definedName name="ACurrencyList">#REF!</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CET">Timing!$B$7</definedName>
    <definedName name="CETZoneShift">Timing!$B$3</definedName>
    <definedName name="ChartTicker">#REF!</definedName>
    <definedName name="CurrencyList">#REF!</definedName>
    <definedName name="DATAWATCH">#REF!</definedName>
    <definedName name="Eff.Price">#REF!</definedName>
    <definedName name="LastTradeHeader">#REF!</definedName>
    <definedName name="LastTradeTimeEOAN">Timing!$D$7</definedName>
    <definedName name="NONWORKINGDAYCRITERIA">Timing!$D$8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RegArray">#REF!</definedName>
    <definedName name="SummerTimeShift">Timing!$D$3</definedName>
    <definedName name="TickerList">#REF!</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5" i="1" l="1"/>
  <c r="AF12" i="1"/>
  <c r="AF17" i="1"/>
  <c r="AF20" i="1"/>
  <c r="AF23" i="1"/>
  <c r="AF34" i="1"/>
  <c r="AF39" i="1"/>
  <c r="AF45" i="1"/>
  <c r="AF50" i="1"/>
  <c r="AF74" i="1"/>
  <c r="AF75" i="1"/>
  <c r="AF76" i="1"/>
  <c r="AF77" i="1"/>
  <c r="AF78" i="1"/>
  <c r="AF81" i="1"/>
  <c r="AF86" i="1"/>
  <c r="AF89" i="1"/>
  <c r="AF90" i="1"/>
  <c r="AF91" i="1"/>
  <c r="AB61" i="1" l="1"/>
  <c r="AC61" i="1"/>
  <c r="AD61" i="1"/>
  <c r="AF61" i="1" s="1"/>
  <c r="X61" i="1"/>
  <c r="AA39" i="1" l="1"/>
  <c r="C105" i="1" l="1" a="1"/>
  <c r="C105" i="1" s="1"/>
  <c r="B105" i="1" l="1" a="1"/>
  <c r="B105" i="1" s="1"/>
  <c r="D105" i="1" s="1"/>
  <c r="Z62" i="1" l="1"/>
  <c r="AB62" i="1"/>
  <c r="AC62" i="1"/>
  <c r="AD62" i="1"/>
  <c r="X62" i="1"/>
  <c r="AB59" i="1"/>
  <c r="AC59" i="1"/>
  <c r="AD59" i="1"/>
  <c r="AF59" i="1" s="1"/>
  <c r="X59" i="1"/>
  <c r="AF62" i="1" l="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1" i="1" l="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<sst xmlns="http://schemas.openxmlformats.org/spreadsheetml/2006/main" count="225" uniqueCount="115">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</sst>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s>
  <fonts count="2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s>
  <fills count="1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56">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1.0841000000000001</v>
    <v>3.24</v>
    <v>1.4286E-2</v>
    <v>-7.0000000000000007E-2</v>
    <v>-3.0429999999999997E-4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230.45</v>
    <v>Computers, Phones &amp; Household Electronics</v>
    <v>Stock</v>
    <v>45911.836584513279</v>
    <v>0</v>
    <v>226.65</v>
    <v>3413734911700</v>
    <v>APPLE INC.</v>
    <v>APPLE INC.</v>
    <v>226.75</v>
    <v>31.727</v>
    <v>226.79</v>
    <v>230.03</v>
    <v>229.96</v>
    <v>14840390000</v>
    <v>AAPL</v>
    <v>APPLE INC. (XNAS:AAPL)</v>
    <v>49895065</v>
    <v>56244156</v>
    <v>1977</v>
  </rv>
  <rv s="2">
    <v>1</v>
  </rv>
  <rv s="0">
    <v>https://www.bing.com/financeapi/forcetrigger?t=a269vh&amp;q=XNAS%3aXPER&amp;form=skydnc</v>
    <v>Learn more on Bing</v>
  </rv>
  <rv s="1">
    <v>0</v>
    <v>ADEIA INC. (XNAS:ADEA)</v>
    <v>2</v>
    <v>3</v>
    <v>Finance</v>
    <v>4</v>
    <v>en-US</v>
    <v>a269vh</v>
    <v>268435456</v>
    <v>1</v>
    <v>Powered by Refinitiv</v>
    <v>17.46</v>
    <v>10.59</v>
    <v>2.5314000000000001</v>
    <v>0.55000000000000004</v>
    <v>3.6400000000000002E-2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15.68</v>
    <v>Software &amp; IT Services</v>
    <v>Stock</v>
    <v>45911.836292001564</v>
    <v>3</v>
    <v>15.11</v>
    <v>1712712276</v>
    <v>ADEIA INC.</v>
    <v>ADEIA INC.</v>
    <v>15.23</v>
    <v>21.119399999999999</v>
    <v>15.11</v>
    <v>15.66</v>
    <v>15.66</v>
    <v>109368600</v>
    <v>ADEA</v>
    <v>ADEIA INC. (XNAS:ADEA)</v>
    <v>454417</v>
    <v>523507</v>
    <v>2019</v>
  </rv>
  <rv s="2">
    <v>4</v>
  </rv>
  <rv s="0">
    <v>https://www.bing.com/financeapi/forcetrigger?t=aodfgh&amp;q=XLON%3aAET&amp;form=skydnc</v>
    <v>Learn more on Bing</v>
  </rv>
  <rv s="3">
    <v>5</v>
    <v>AFENTRA PLC (XLON:AET)</v>
    <v>2</v>
    <v>6</v>
    <v>Finance</v>
    <v>7</v>
    <v>en-US</v>
    <v>aodfgh</v>
    <v>268435456</v>
    <v>1</v>
    <v>Powered by Refinitiv</v>
    <v>56.2</v>
    <v>33.064999999999998</v>
    <v>1.1475</v>
    <v>-0.4</v>
    <v>-7.7520000000000002E-3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52.4</v>
    <v>Oil &amp; Gas</v>
    <v>Stock</v>
    <v>45911.649449467186</v>
    <v>6</v>
    <v>51</v>
    <v>116652300</v>
    <v>AFENTRA PLC</v>
    <v>AFENTRA PLC</v>
    <v>52.4</v>
    <v>2.7585999999999999</v>
    <v>51.6</v>
    <v>51.2</v>
    <v>226156000</v>
    <v>AET</v>
    <v>AFENTRA PLC (XLON:AET)</v>
    <v>668482</v>
    <v>1011010</v>
    <v>1983</v>
  </rv>
  <rv s="2">
    <v>7</v>
  </rv>
  <rv s="0">
    <v>https://www.bing.com/financeapi/forcetrigger?t=a1nhlh&amp;q=XNAS%3aAMZN&amp;form=skydnc</v>
    <v>Learn more on Bing</v>
  </rv>
  <rv s="1">
    <v>0</v>
    <v>AMAZON.COM, INC. (XNAS:AMZN)</v>
    <v>2</v>
    <v>3</v>
    <v>Finance</v>
    <v>4</v>
    <v>en-US</v>
    <v>a1nhlh</v>
    <v>268435456</v>
    <v>1</v>
    <v>Powered by Refinitiv</v>
    <v>242.52</v>
    <v>161.38</v>
    <v>1.2966</v>
    <v>-0.38</v>
    <v>-1.65E-3</v>
    <v>-0.33</v>
    <v>-1.4349999999999999E-3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231.53</v>
    <v>Diversified Retail</v>
    <v>Stock</v>
    <v>45911.83663319375</v>
    <v>9</v>
    <v>229.33770000000001</v>
    <v>2452396054500</v>
    <v>AMAZON.COM, INC.</v>
    <v>AMAZON.COM, INC.</v>
    <v>231.3</v>
    <v>35.089700000000001</v>
    <v>230.33</v>
    <v>229.95</v>
    <v>229.62</v>
    <v>10664910000</v>
    <v>AMZN</v>
    <v>AMAZON.COM, INC. (XNAS:AMZN)</v>
    <v>36538841</v>
    <v>36485715</v>
    <v>1996</v>
  </rv>
  <rv s="2">
    <v>10</v>
  </rv>
  <rv s="0">
    <v>https://www.bing.com/financeapi/forcetrigger?t=b125ww&amp;q=XPAR%3aALDNE&amp;form=skydnc</v>
    <v>Learn more on Bing</v>
  </rv>
  <rv s="3">
    <v>5</v>
    <v>Dont Nod Entertainment SA (XPAR:ALDNE)</v>
    <v>2</v>
    <v>8</v>
    <v>Finance</v>
    <v>9</v>
    <v>en-US</v>
    <v>b125ww</v>
    <v>268435456</v>
    <v>1</v>
    <v>Powered by Refinitiv</v>
    <v>1.91</v>
    <v>0.65</v>
    <v>0.99370000000000003</v>
    <v>-0.02</v>
    <v>-2.2026E-2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0.88800000000000001</v>
    <v>Software &amp; IT Services</v>
    <v>Stock</v>
    <v>45911.666666666664</v>
    <v>12</v>
    <v>0.86199999999999999</v>
    <v>11878240</v>
    <v>Dont Nod Entertainment SA</v>
    <v>Dont Nod Entertainment SA</v>
    <v>0.86199999999999999</v>
    <v>0</v>
    <v>0.90800000000000003</v>
    <v>0.88800000000000001</v>
    <v>13081760</v>
    <v>ALDNE</v>
    <v>Dont Nod Entertainment SA (XPAR:ALDNE)</v>
    <v>6003</v>
    <v>4110</v>
    <v>2008</v>
  </rv>
  <rv s="2">
    <v>13</v>
  </rv>
  <rv s="0">
    <v>https://www.bing.com/financeapi/forcetrigger?t=alnz5r&amp;q=XAMS%3aASML&amp;form=skydnc</v>
    <v>Learn more on Bing</v>
  </rv>
  <rv s="3">
    <v>5</v>
    <v>ASML Holding NV (XAMS:ASML)</v>
    <v>2</v>
    <v>8</v>
    <v>Finance</v>
    <v>9</v>
    <v>en-US</v>
    <v>alnz5r</v>
    <v>268435456</v>
    <v>1</v>
    <v>Powered by Refinitiv</v>
    <v>804.6</v>
    <v>508.4</v>
    <v>1.8671</v>
    <v>5.8</v>
    <v>8.5269999999999999E-3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689.2</v>
    <v>Semiconductors &amp; Semiconductor Equipment</v>
    <v>Stock</v>
    <v>45911.666666666664</v>
    <v>15</v>
    <v>674.1</v>
    <v>267883600000</v>
    <v>ASML Holding NV</v>
    <v>ASML Holding NV</v>
    <v>680.2</v>
    <v>26.3399</v>
    <v>680.2</v>
    <v>686</v>
    <v>393830700</v>
    <v>ASML</v>
    <v>ASML Holding NV (XAMS:ASML)</v>
    <v>502503</v>
    <v>555880</v>
    <v>1994</v>
  </rv>
  <rv s="2">
    <v>16</v>
  </rv>
  <rv s="0">
    <v>https://www.bing.com/financeapi/forcetrigger?t=a1o3qh&amp;q=XNAS%3aAZN&amp;form=skydnc</v>
    <v>Learn more on Bing</v>
  </rv>
  <rv s="1">
    <v>0</v>
    <v>ASTRAZENECA PLC (XNAS:AZN)</v>
    <v>2</v>
    <v>3</v>
    <v>Finance</v>
    <v>4</v>
    <v>en-US</v>
    <v>a1o3qh</v>
    <v>268435456</v>
    <v>1</v>
    <v>Powered by Refinitiv</v>
    <v>82.41</v>
    <v>61.24</v>
    <v>0.37959999999999999</v>
    <v>0.28999999999999998</v>
    <v>3.5890000000000002E-3</v>
    <v>0</v>
    <v>0</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81.305999999999997</v>
    <v>Pharmaceuticals</v>
    <v>Stock</v>
    <v>45911.836278263283</v>
    <v>18</v>
    <v>80.680000000000007</v>
    <v>249948700000</v>
    <v>ASTRAZENECA PLC</v>
    <v>ASTRAZENECA PLC</v>
    <v>80.819999999999993</v>
    <v>30.5335</v>
    <v>80.81</v>
    <v>81.099999999999994</v>
    <v>81.099999999999994</v>
    <v>3101386000</v>
    <v>AZN</v>
    <v>ASTRAZENECA PLC (XNAS:AZN)</v>
    <v>2680854</v>
    <v>3520499</v>
    <v>1992</v>
  </rv>
  <rv s="2">
    <v>19</v>
  </rv>
  <rv s="0">
    <v>https://www.bing.com/financeapi/forcetrigger?t=a1oldm&amp;q=XNAS%3aBLDP&amp;form=skydnc</v>
    <v>Learn more on Bing</v>
  </rv>
  <rv s="1">
    <v>0</v>
    <v>BALLARD POWER SYSTEMS INC. (XNAS:BLDP)</v>
    <v>2</v>
    <v>10</v>
    <v>Finance</v>
    <v>4</v>
    <v>en-US</v>
    <v>a1oldm</v>
    <v>268435456</v>
    <v>1</v>
    <v>Powered by Refinitiv</v>
    <v>2.2799999999999998</v>
    <v>1</v>
    <v>1.7774000000000001</v>
    <v>0.12</v>
    <v>6.2176000000000002E-2</v>
    <v>0</v>
    <v>0</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2.12</v>
    <v>Renewable Energy</v>
    <v>Stock</v>
    <v>45911.836282592187</v>
    <v>21</v>
    <v>1.92</v>
    <v>805548300</v>
    <v>BALLARD POWER SYSTEMS INC.</v>
    <v>BALLARD POWER SYSTEMS INC.</v>
    <v>1.93</v>
    <v>0</v>
    <v>1.93</v>
    <v>2.0499999999999998</v>
    <v>2.0499999999999998</v>
    <v>300577700</v>
    <v>BLDP</v>
    <v>BALLARD POWER SYSTEMS INC. (XNAS:BLDP)</v>
    <v>5069047</v>
    <v>3761140</v>
    <v>2016</v>
  </rv>
  <rv s="2">
    <v>22</v>
  </rv>
  <rv s="0">
    <v>https://www.bing.com/financeapi/forcetrigger?t=a1oo5r&amp;q=XNAS%3aBMRA&amp;form=skydnc</v>
    <v>Learn more on Bing</v>
  </rv>
  <rv s="1">
    <v>0</v>
    <v>BIOMERICA, INC. (XNAS:BMRA)</v>
    <v>2</v>
    <v>3</v>
    <v>Finance</v>
    <v>4</v>
    <v>en-US</v>
    <v>a1oo5r</v>
    <v>268435456</v>
    <v>1</v>
    <v>Powered by Refinitiv</v>
    <v>10.16</v>
    <v>2.08</v>
    <v>0.34970000000000001</v>
    <v>0.02</v>
    <v>6.8259999999999996E-3</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3.08</v>
    <v>Healthcare Equipment &amp; Supplies</v>
    <v>Stock</v>
    <v>45911.836152650001</v>
    <v>24</v>
    <v>2.9005000000000001</v>
    <v>8305459</v>
    <v>BIOMERICA, INC.</v>
    <v>BIOMERICA, INC.</v>
    <v>2.98</v>
    <v>0</v>
    <v>2.93</v>
    <v>2.95</v>
    <v>2.95</v>
    <v>2815410</v>
    <v>BMRA</v>
    <v>BIOMERICA, INC. (XNAS:BMRA)</v>
    <v>38685</v>
    <v>1968946</v>
    <v>1971</v>
  </rv>
  <rv s="2">
    <v>25</v>
  </rv>
  <rv s="0">
    <v>https://www.bing.com/financeapi/forcetrigger?t=a1p3ww&amp;q=XNYS%3aC&amp;form=skydnc</v>
    <v>Learn more on Bing</v>
  </rv>
  <rv s="1">
    <v>0</v>
    <v>CITIGROUP INC. (XNYS:C)</v>
    <v>2</v>
    <v>3</v>
    <v>Finance</v>
    <v>4</v>
    <v>en-US</v>
    <v>a1p3ww</v>
    <v>268435456</v>
    <v>1</v>
    <v>Powered by Refinitiv</v>
    <v>99.034999999999997</v>
    <v>55.51</v>
    <v>1.3573</v>
    <v>1.65</v>
    <v>1.6981E-2</v>
    <v>-0.12</v>
    <v>-1.214E-3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99.034999999999997</v>
    <v>Investment Banking &amp; Investment Services</v>
    <v>Stock</v>
    <v>45911.836570335159</v>
    <v>27</v>
    <v>96.89</v>
    <v>181917540360</v>
    <v>CITIGROUP INC.</v>
    <v>CITIGROUP INC.</v>
    <v>97.305000000000007</v>
    <v>14.608599999999999</v>
    <v>97.17</v>
    <v>98.82</v>
    <v>98.7</v>
    <v>1840898000</v>
    <v>C</v>
    <v>CITIGROUP INC. (XNYS:C)</v>
    <v>13299887</v>
    <v>13385613</v>
    <v>1988</v>
  </rv>
  <rv s="2">
    <v>28</v>
  </rv>
  <rv s="0">
    <v>https://www.bing.com/financeapi/forcetrigger?t=a1qe5r&amp;q=XNAS%3aCSCO&amp;form=skydnc</v>
    <v>Learn more on Bing</v>
  </rv>
  <rv s="1">
    <v>0</v>
    <v>CISCO SYSTEMS, INC. (XNAS:CSCO)</v>
    <v>2</v>
    <v>3</v>
    <v>Finance</v>
    <v>4</v>
    <v>en-US</v>
    <v>a1qe5r</v>
    <v>268435456</v>
    <v>1</v>
    <v>Powered by Refinitiv</v>
    <v>72.55</v>
    <v>47.850099999999998</v>
    <v>0.9748</v>
    <v>-0.44</v>
    <v>-6.4580000000000002E-3</v>
    <v>0</v>
    <v>0</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68.569900000000004</v>
    <v>Communications &amp; Networking</v>
    <v>Stock</v>
    <v>45911.836504629631</v>
    <v>30</v>
    <v>67.504999999999995</v>
    <v>267591904930</v>
    <v>CISCO SYSTEMS, INC.</v>
    <v>CISCO SYSTEMS, INC.</v>
    <v>68.25</v>
    <v>28.615500000000001</v>
    <v>68.13</v>
    <v>67.69</v>
    <v>67.69</v>
    <v>3953197000</v>
    <v>CSCO</v>
    <v>CISCO SYSTEMS, INC. (XNAS:CSCO)</v>
    <v>17377458</v>
    <v>20942396</v>
    <v>2021</v>
  </rv>
  <rv s="2">
    <v>31</v>
  </rv>
  <rv s="0">
    <v>https://www.bing.com/financeapi/forcetrigger?t=a1qlnm&amp;q=XNYS%3aCVS&amp;form=skydnc</v>
    <v>Learn more on Bing</v>
  </rv>
  <rv s="1">
    <v>0</v>
    <v>CVS HEALTH CORPORATION (XNYS:CVS)</v>
    <v>2</v>
    <v>3</v>
    <v>Finance</v>
    <v>4</v>
    <v>en-US</v>
    <v>a1qlnm</v>
    <v>268435456</v>
    <v>1</v>
    <v>Powered by Refinitiv</v>
    <v>74.995000000000005</v>
    <v>43.56</v>
    <v>0.60819999999999996</v>
    <v>0.7</v>
    <v>9.4630000000000009E-3</v>
    <v>0</v>
    <v>0</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74.995000000000005</v>
    <v>Healthcare Providers &amp; Services</v>
    <v>Stock</v>
    <v>45911.836359571091</v>
    <v>33</v>
    <v>73.28</v>
    <v>94705902420</v>
    <v>CVS HEALTH CORPORATION</v>
    <v>CVS HEALTH CORPORATION</v>
    <v>74.180000000000007</v>
    <v>20.838899999999999</v>
    <v>73.97</v>
    <v>74.67</v>
    <v>74.67</v>
    <v>1268326000</v>
    <v>CVS</v>
    <v>CVS HEALTH CORPORATION (XNYS:CVS)</v>
    <v>8382330</v>
    <v>6653805</v>
    <v>1996</v>
  </rv>
  <rv s="2">
    <v>34</v>
  </rv>
  <rv s="0">
    <v>https://www.bing.com/financeapi/forcetrigger?t=a1qu2w&amp;q=XNYS%3aDDD&amp;form=skydnc</v>
    <v>Learn more on Bing</v>
  </rv>
  <rv s="1">
    <v>0</v>
    <v>3D SYSTEMS CORPORATION (XNYS:DDD)</v>
    <v>2</v>
    <v>3</v>
    <v>Finance</v>
    <v>4</v>
    <v>en-US</v>
    <v>a1qu2w</v>
    <v>268435456</v>
    <v>1</v>
    <v>Powered by Refinitiv</v>
    <v>4.9991000000000003</v>
    <v>1.32</v>
    <v>2.0830000000000002</v>
    <v>0.13500000000000001</v>
    <v>6.3678999999999999E-2</v>
    <v>-4.4000000000000003E-3</v>
    <v>-1.951E-3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2.36</v>
    <v>Electronic Equipment &amp; Parts</v>
    <v>Stock</v>
    <v>45911.836288726561</v>
    <v>36</v>
    <v>2.11</v>
    <v>271895400</v>
    <v>3D SYSTEMS CORPORATION</v>
    <v>3D SYSTEMS CORPORATION</v>
    <v>2.1150000000000002</v>
    <v>0</v>
    <v>2.12</v>
    <v>2.2549999999999999</v>
    <v>2.2505999999999999</v>
    <v>128252600</v>
    <v>DDD</v>
    <v>3D SYSTEMS CORPORATION (XNYS:DDD)</v>
    <v>2933411</v>
    <v>4653734</v>
    <v>1993</v>
  </rv>
  <rv s="2">
    <v>37</v>
  </rv>
  <rv s="0">
    <v>http://en.wikipedia.org/wiki/Public_domain</v>
    <v>Public domain</v>
  </rv>
  <rv s="0">
    <v>http://en.wikipedia.org/wiki/The_Walt_Disney_Company</v>
    <v>Wikipedia</v>
  </rv>
  <rv s="4">
    <v>39</v>
    <v>40</v>
  </rv>
  <rv s="5">
    <v>15</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6">
    <v>11</v>
    <v>THE WALT DISNEY COMPANY (XNYS:DIS)</v>
    <v>13</v>
    <v>14</v>
    <v>Finance</v>
    <v>4</v>
    <v>en-US</v>
    <v>a1r2z2</v>
    <v>268435456</v>
    <v>1</v>
    <v>Powered by Refinitiv</v>
    <v>124.69</v>
    <v>80.099999999999994</v>
    <v>1.5556000000000001</v>
    <v>1.27</v>
    <v>1.0968E-2</v>
    <v>0.02</v>
    <v>1.7090000000000001E-4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117.16500000000001</v>
    <v>42</v>
    <v>Media &amp; Publishing</v>
    <v>Stock</v>
    <v>45911.836504536717</v>
    <v>43</v>
    <v>114.63</v>
    <v>210466154040</v>
    <v>THE WALT DISNEY COMPANY</v>
    <v>THE WALT DISNEY COMPANY</v>
    <v>115.83</v>
    <v>18.352599999999999</v>
    <v>115.79</v>
    <v>117.06</v>
    <v>117.08</v>
    <v>1797934000</v>
    <v>DIS</v>
    <v>THE WALT DISNEY COMPANY (XNYS:DIS)</v>
    <v>8327464</v>
    <v>7583338</v>
    <v>2018</v>
  </rv>
  <rv s="2">
    <v>44</v>
  </rv>
  <rv s="0">
    <v>https://www.bing.com/financeapi/forcetrigger?t=ae8e9c&amp;q=XPAR%3aDSY&amp;form=skydnc</v>
    <v>Learn more on Bing</v>
  </rv>
  <rv s="3">
    <v>5</v>
    <v>Dassault Systemes SE (XPAR:DSY)</v>
    <v>2</v>
    <v>8</v>
    <v>Finance</v>
    <v>9</v>
    <v>en-US</v>
    <v>ae8e9c</v>
    <v>268435456</v>
    <v>1</v>
    <v>Powered by Refinitiv</v>
    <v>41.17</v>
    <v>26.25</v>
    <v>0.68530000000000002</v>
    <v>-7.0000000000000007E-2</v>
    <v>-2.5580000000000004E-3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27.71</v>
    <v>Software &amp; IT Services</v>
    <v>Stock</v>
    <v>45911.666666666664</v>
    <v>46</v>
    <v>27.22</v>
    <v>36782230000</v>
    <v>Dassault Systemes SE</v>
    <v>Dassault Systemes SE</v>
    <v>27.33</v>
    <v>31.356999999999999</v>
    <v>27.36</v>
    <v>27.29</v>
    <v>1344380000</v>
    <v>DSY</v>
    <v>Dassault Systemes SE (XPAR:DSY)</v>
    <v>1265347</v>
    <v>1785550</v>
    <v>1981</v>
  </rv>
  <rv s="2">
    <v>47</v>
  </rv>
  <rv s="0">
    <v>https://www.bing.com/financeapi/forcetrigger?t=a1rec7&amp;q=XNYS%3aDVA&amp;form=skydnc</v>
    <v>Learn more on Bing</v>
  </rv>
  <rv s="1">
    <v>0</v>
    <v>DAVITA INC. (XNYS:DVA)</v>
    <v>2</v>
    <v>3</v>
    <v>Finance</v>
    <v>4</v>
    <v>en-US</v>
    <v>a1rec7</v>
    <v>268435456</v>
    <v>1</v>
    <v>Powered by Refinitiv</v>
    <v>179.6</v>
    <v>126.07</v>
    <v>1.1387</v>
    <v>0.94</v>
    <v>7.1069999999999996E-3</v>
    <v>0.04</v>
    <v>3.0030000000000004E-4</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134.47999999999999</v>
    <v>Healthcare Providers &amp; Services</v>
    <v>Stock</v>
    <v>45911.836267997656</v>
    <v>49</v>
    <v>132.80000000000001</v>
    <v>9523800000</v>
    <v>DAVITA INC.</v>
    <v>DAVITA INC.</v>
    <v>133.04499999999999</v>
    <v>13.088200000000001</v>
    <v>132.26</v>
    <v>133.19999999999999</v>
    <v>133.24</v>
    <v>71500000</v>
    <v>DVA</v>
    <v>DAVITA INC. (XNYS:DVA)</v>
    <v>728824</v>
    <v>843340</v>
    <v>1994</v>
  </rv>
  <rv s="2">
    <v>50</v>
  </rv>
  <rv s="0">
    <v>https://www.bing.com/financeapi/forcetrigger?t=a1rgur&amp;q=XNYS%3aDXC&amp;form=skydnc</v>
    <v>Learn more on Bing</v>
  </rv>
  <rv s="1">
    <v>0</v>
    <v>DXC TECHNOLOGY COMPANY (XNYS:DXC)</v>
    <v>2</v>
    <v>3</v>
    <v>Finance</v>
    <v>4</v>
    <v>en-US</v>
    <v>a1rgur</v>
    <v>268435456</v>
    <v>1</v>
    <v>Powered by Refinitiv</v>
    <v>24.83</v>
    <v>12.24</v>
    <v>1.1423000000000001</v>
    <v>0.32500000000000001</v>
    <v>2.2855E-2</v>
    <v>5.0000000000000001E-3</v>
    <v>3.4380000000000001E-4</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14.57</v>
    <v>Software &amp; IT Services</v>
    <v>Stock</v>
    <v>45911.836268529689</v>
    <v>52</v>
    <v>14.17</v>
    <v>2603536091</v>
    <v>DXC TECHNOLOGY COMPANY</v>
    <v>DXC TECHNOLOGY COMPANY</v>
    <v>14.265000000000001</v>
    <v>7.1021000000000001</v>
    <v>14.22</v>
    <v>14.545</v>
    <v>14.55</v>
    <v>178998700</v>
    <v>DXC</v>
    <v>DXC TECHNOLOGY COMPANY (XNYS:DXC)</v>
    <v>1826768</v>
    <v>1591045</v>
    <v>2017</v>
  </rv>
  <rv s="2">
    <v>53</v>
  </rv>
  <rv s="0">
    <v>https://www.bing.com/financeapi/forcetrigger?t=afrlyc&amp;q=XETR%3aEOAN&amp;form=skydnc</v>
    <v>Learn more on Bing</v>
  </rv>
  <rv s="3">
    <v>5</v>
    <v>E.ON SE (XETR:EOAN)</v>
    <v>2</v>
    <v>8</v>
    <v>Finance</v>
    <v>9</v>
    <v>en-US</v>
    <v>afrlyc</v>
    <v>268435456</v>
    <v>1</v>
    <v>Powered by Refinitiv</v>
    <v>16.55</v>
    <v>10.435</v>
    <v>0.71150000000000002</v>
    <v>-3.5000000000000003E-2</v>
    <v>-2.2829999999999999E-3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15.435</v>
    <v>Multiline Utilities</v>
    <v>Stock</v>
    <v>45911.770833333336</v>
    <v>55</v>
    <v>15.21</v>
    <v>40491420000</v>
    <v>E.ON SE</v>
    <v>E.ON SE</v>
    <v>15.34</v>
    <v>12.666700000000001</v>
    <v>15.33</v>
    <v>15.295</v>
    <v>2641319000</v>
    <v>EOAN</v>
    <v>E.ON SE (XETR:EOAN)</v>
    <v>2448197</v>
    <v>4102740</v>
    <v>2017</v>
  </rv>
  <rv s="2">
    <v>56</v>
  </rv>
  <rv s="0">
    <v>https://www.bing.com/financeapi/forcetrigger?t=a1s2zr&amp;q=XNAS%3aEPIX&amp;form=skydnc</v>
    <v>Learn more on Bing</v>
  </rv>
  <rv s="1">
    <v>0</v>
    <v>ESSA Pharma Inc. (XNAS:EPIX)</v>
    <v>2</v>
    <v>3</v>
    <v>Finance</v>
    <v>4</v>
    <v>en-US</v>
    <v>a1s2zr</v>
    <v>268435456</v>
    <v>1</v>
    <v>Powered by Refinitiv</v>
    <v>0.97570000000000001</v>
    <v>0.17330000000000001</v>
    <v>1.6235999999999999</v>
    <v>5.0000000000000001E-4</v>
    <v>2.4390000000000002E-3</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0.2107</v>
    <v>Holding Companies</v>
    <v>Stock</v>
    <v>45911.836140532032</v>
    <v>58</v>
    <v>0.2</v>
    <v>9721874</v>
    <v>ESSA Pharma Inc.</v>
    <v>ESSA Pharma Inc.</v>
    <v>0.2107</v>
    <v>0</v>
    <v>0.20499999999999999</v>
    <v>0.20549999999999999</v>
    <v>0.20549999999999999</v>
    <v>47308390</v>
    <v>EPIX</v>
    <v>ESSA Pharma Inc. (XNAS:EPIX)</v>
    <v>1897775</v>
    <v>14502497</v>
    <v>2009</v>
  </rv>
  <rv s="2">
    <v>59</v>
  </rv>
  <rv s="0">
    <v>https://www.bing.com/financeapi/forcetrigger?t=a1tyrw&amp;q=XNYS%3aGM&amp;form=skydnc</v>
    <v>Learn more on Bing</v>
  </rv>
  <rv s="1">
    <v>0</v>
    <v>GENERAL MOTORS COMPANY (XNYS:GM)</v>
    <v>2</v>
    <v>3</v>
    <v>Finance</v>
    <v>4</v>
    <v>en-US</v>
    <v>a1tyrw</v>
    <v>268435456</v>
    <v>1</v>
    <v>Powered by Refinitiv</v>
    <v>61.24</v>
    <v>41.6</v>
    <v>1.3381000000000001</v>
    <v>1.36</v>
    <v>2.3717999999999999E-2</v>
    <v>0.01</v>
    <v>1.7039999999999999E-4</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58.7</v>
    <v>Automobiles &amp; Auto Parts</v>
    <v>Stock</v>
    <v>45911.836376921092</v>
    <v>61</v>
    <v>57.47</v>
    <v>55886966860</v>
    <v>GENERAL MOTORS COMPANY</v>
    <v>GENERAL MOTORS COMPANY</v>
    <v>57.54</v>
    <v>8.4611000000000001</v>
    <v>57.34</v>
    <v>58.7</v>
    <v>58.71</v>
    <v>952077800</v>
    <v>GM</v>
    <v>GENERAL MOTORS COMPANY (XNYS:GM)</v>
    <v>5806035</v>
    <v>6390804</v>
    <v>2009</v>
  </rv>
  <rv s="2">
    <v>62</v>
  </rv>
  <rv s="0">
    <v>https://www.bing.com/financeapi/forcetrigger?t=a1utqh&amp;q=XNYS%3aHPE&amp;form=skydnc</v>
    <v>Learn more on Bing</v>
  </rv>
  <rv s="1">
    <v>0</v>
    <v>HEWLETT PACKARD ENTERPRISE COMPANY (XNYS:HPE)</v>
    <v>2</v>
    <v>3</v>
    <v>Finance</v>
    <v>4</v>
    <v>en-US</v>
    <v>a1utqh</v>
    <v>268435456</v>
    <v>1</v>
    <v>Powered by Refinitiv</v>
    <v>24.96</v>
    <v>11.965</v>
    <v>1.4503999999999999</v>
    <v>0.42</v>
    <v>1.7184999999999999E-2</v>
    <v>0</v>
    <v>0</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24.96</v>
    <v>Computers, Phones &amp; Household Electronics</v>
    <v>Stock</v>
    <v>45911.835842430468</v>
    <v>64</v>
    <v>24.445</v>
    <v>32801527000</v>
    <v>HEWLETT PACKARD ENTERPRISE COMPANY</v>
    <v>HEWLETT PACKARD ENTERPRISE COMPANY</v>
    <v>24.57</v>
    <v>29.818899999999999</v>
    <v>24.44</v>
    <v>24.86</v>
    <v>24.86</v>
    <v>1319450000</v>
    <v>HPE</v>
    <v>HEWLETT PACKARD ENTERPRISE COMPANY (XNYS:HPE)</v>
    <v>20740304</v>
    <v>20427674</v>
    <v>2015</v>
  </rv>
  <rv s="2">
    <v>65</v>
  </rv>
  <rv s="0">
    <v>http://en.wikipedia.org/wiki/Hewlett-Packard</v>
    <v>Wikipedia</v>
  </rv>
  <rv s="4">
    <v>39</v>
    <v>67</v>
  </rv>
  <rv s="5">
    <v>15</v>
    <v>https://www.bing.com/th?id=AMMS_98757b1e7b158827481b7c629463c21b&amp;qlt=95</v>
    <v>68</v>
    <v>0</v>
    <v>https://www.bing.com/images/search?form=xlimg&amp;q=hp+company</v>
    <v>Image of HP INC.</v>
  </rv>
  <rv s="0">
    <v>https://www.bing.com/financeapi/forcetrigger?t=a1uu5r&amp;q=XNYS%3aHPQ&amp;form=skydnc</v>
    <v>Learn more on Bing</v>
  </rv>
  <rv s="6">
    <v>11</v>
    <v>HP INC. (XNYS:HPQ)</v>
    <v>13</v>
    <v>14</v>
    <v>Finance</v>
    <v>4</v>
    <v>en-US</v>
    <v>a1uu5r</v>
    <v>268435456</v>
    <v>1</v>
    <v>Powered by Refinitiv</v>
    <v>39.795000000000002</v>
    <v>21.21</v>
    <v>1.3163</v>
    <v>-3.5000000000000003E-2</v>
    <v>-1.2339999999999999E-3</v>
    <v>5.0000000000000001E-3</v>
    <v>1.7649999999999998E-4</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28.8</v>
    <v>69</v>
    <v>Computers, Phones &amp; Household Electronics</v>
    <v>Stock</v>
    <v>45911.836247245315</v>
    <v>70</v>
    <v>28.245000000000001</v>
    <v>26484775503</v>
    <v>HP INC.</v>
    <v>HP INC.</v>
    <v>28.495000000000001</v>
    <v>10.321999999999999</v>
    <v>28.37</v>
    <v>28.335000000000001</v>
    <v>28.34</v>
    <v>934701800</v>
    <v>HPQ</v>
    <v>HP INC. (XNYS:HPQ)</v>
    <v>7998198</v>
    <v>9192520</v>
    <v>1998</v>
  </rv>
  <rv s="2">
    <v>71</v>
  </rv>
  <rv s="0">
    <v>https://www.bing.com/financeapi/forcetrigger?t=ao9wcw&amp;q=XLON%3aIAG&amp;form=skydnc</v>
    <v>Learn more on Bing</v>
  </rv>
  <rv s="3">
    <v>5</v>
    <v>International Consolidated Airlines Group SA (XLON:IAG)</v>
    <v>2</v>
    <v>6</v>
    <v>Finance</v>
    <v>7</v>
    <v>en-US</v>
    <v>ao9wcw</v>
    <v>268435456</v>
    <v>1</v>
    <v>Powered by Refinitiv</v>
    <v>398.7</v>
    <v>187</v>
    <v>2.8047</v>
    <v>0.6</v>
    <v>1.572E-3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389.5</v>
    <v>Passenger Transportation Services</v>
    <v>Stock</v>
    <v>45911.633915971877</v>
    <v>73</v>
    <v>381.8</v>
    <v>17617440000</v>
    <v>International Consolidated Airlines Group SA</v>
    <v>International Consolidated Airlines Group SA</v>
    <v>383.8</v>
    <v>6.9015000000000004</v>
    <v>381.7</v>
    <v>382.3</v>
    <v>4622402000</v>
    <v>IAG</v>
    <v>International Consolidated Airlines Group SA (XLON:IAG)</v>
    <v>18168189</v>
    <v>13300020</v>
    <v>2009</v>
  </rv>
  <rv s="2">
    <v>74</v>
  </rv>
  <rv s="0">
    <v>https://www.bing.com/financeapi/forcetrigger?t=a1wmu2&amp;q=XNYS%3aKR&amp;form=skydnc</v>
    <v>Learn more on Bing</v>
  </rv>
  <rv s="1">
    <v>0</v>
    <v>THE KROGER CO. (XNYS:KR)</v>
    <v>2</v>
    <v>3</v>
    <v>Finance</v>
    <v>4</v>
    <v>en-US</v>
    <v>a1wmu2</v>
    <v>268435456</v>
    <v>1</v>
    <v>Powered by Refinitiv</v>
    <v>74.900000000000006</v>
    <v>50.69</v>
    <v>0.57299999999999995</v>
    <v>0.17</v>
    <v>2.5360000000000001E-3</v>
    <v>0.03</v>
    <v>4.4640000000000001E-4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69.89</v>
    <v>Food &amp; Drug Retailing</v>
    <v>Stock</v>
    <v>45911.836292372653</v>
    <v>76</v>
    <v>66.16</v>
    <v>44429669760</v>
    <v>THE KROGER CO.</v>
    <v>THE KROGER CO.</v>
    <v>69.08</v>
    <v>18.281700000000001</v>
    <v>67.03</v>
    <v>67.2</v>
    <v>67.23</v>
    <v>661155800</v>
    <v>KR</v>
    <v>THE KROGER CO. (XNYS:KR)</v>
    <v>13684407</v>
    <v>6914886</v>
    <v>1902</v>
  </rv>
  <rv s="2">
    <v>77</v>
  </rv>
  <rv s="0">
    <v>https://www.bing.com/financeapi/forcetrigger?t=bvuap2&amp;q=XNAS%3aLNSR&amp;form=skydnc</v>
    <v>Learn more on Bing</v>
  </rv>
  <rv s="1">
    <v>0</v>
    <v>LENSAR, INC. (XNAS:LNSR)</v>
    <v>2</v>
    <v>3</v>
    <v>Finance</v>
    <v>4</v>
    <v>en-US</v>
    <v>bvuap2</v>
    <v>268435456</v>
    <v>1</v>
    <v>Powered by Refinitiv</v>
    <v>17.309999999999999</v>
    <v>3.8001</v>
    <v>0.4955</v>
    <v>0</v>
    <v>0</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12.15</v>
    <v>Healthcare Equipment &amp; Supplies</v>
    <v>Stock</v>
    <v>45911.836210392968</v>
    <v>79</v>
    <v>12.0489</v>
    <v>144768881</v>
    <v>LENSAR, INC.</v>
    <v>LENSAR, INC.</v>
    <v>12.08</v>
    <v>0</v>
    <v>12.13</v>
    <v>12.13</v>
    <v>12.13</v>
    <v>11934780</v>
    <v>LNSR</v>
    <v>LENSAR, INC. (XNAS:LNSR)</v>
    <v>137865</v>
    <v>66471</v>
    <v>2004</v>
  </rv>
  <rv s="2">
    <v>80</v>
  </rv>
  <rv s="0">
    <v>https://www.bing.com/financeapi/forcetrigger?t=a1qgzr&amp;q=XNYS%3aLUMN&amp;form=skydnc</v>
    <v>Learn more on Bing</v>
  </rv>
  <rv s="1">
    <v>0</v>
    <v>LUMEN TECHNOLOGIES, INC. (XNYS:LUMN)</v>
    <v>2</v>
    <v>3</v>
    <v>Finance</v>
    <v>4</v>
    <v>en-US</v>
    <v>a1qgzr</v>
    <v>268435456</v>
    <v>1</v>
    <v>Powered by Refinitiv</v>
    <v>10.33</v>
    <v>3.01</v>
    <v>1.4018999999999999</v>
    <v>-0.06</v>
    <v>-9.7719999999999994E-3</v>
    <v>1.9099999999999999E-2</v>
    <v>3.1409999999999997E-3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6.6449999999999996</v>
    <v>Telecommunications Services</v>
    <v>Stock</v>
    <v>45911.836519571094</v>
    <v>82</v>
    <v>6.0750000000000002</v>
    <v>6238937280</v>
    <v>LUMEN TECHNOLOGIES, INC.</v>
    <v>LUMEN TECHNOLOGIES, INC.</v>
    <v>6.19</v>
    <v>0</v>
    <v>6.14</v>
    <v>6.08</v>
    <v>6.0991</v>
    <v>1026141000</v>
    <v>LUMN</v>
    <v>LUMEN TECHNOLOGIES, INC. (XNYS:LUMN)</v>
    <v>23664449</v>
    <v>14306926</v>
    <v>1968</v>
  </rv>
  <rv s="2">
    <v>83</v>
  </rv>
  <rv s="0">
    <v>https://www.bing.com/financeapi/forcetrigger?t=bo5fpr&amp;q=XNAS%3aMRNA&amp;form=skydnc</v>
    <v>Learn more on Bing</v>
  </rv>
  <rv s="1">
    <v>0</v>
    <v>MODERNA, INC. (XNAS:MRNA)</v>
    <v>2</v>
    <v>3</v>
    <v>Finance</v>
    <v>4</v>
    <v>en-US</v>
    <v>bo5fpr</v>
    <v>268435456</v>
    <v>1</v>
    <v>Powered by Refinitiv</v>
    <v>79.88</v>
    <v>23.15</v>
    <v>2.0034000000000001</v>
    <v>1.08</v>
    <v>4.4425999999999993E-2</v>
    <v>0.01</v>
    <v>3.9390000000000003E-4</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25.9</v>
    <v>Pharmaceuticals</v>
    <v>Stock</v>
    <v>45911.836462372659</v>
    <v>85</v>
    <v>24.5</v>
    <v>9878736122</v>
    <v>MODERNA, INC.</v>
    <v>MODERNA, INC.</v>
    <v>24.5</v>
    <v>0</v>
    <v>24.31</v>
    <v>25.39</v>
    <v>25.4</v>
    <v>389079800</v>
    <v>MRNA</v>
    <v>MODERNA, INC. (XNAS:MRNA)</v>
    <v>11730536</v>
    <v>9733685</v>
    <v>2016</v>
  </rv>
  <rv s="2">
    <v>86</v>
  </rv>
  <rv s="0">
    <v>https://en.wikipedia.org/wiki/Microsoft</v>
    <v>Wikipedia</v>
  </rv>
  <rv s="4">
    <v>39</v>
    <v>88</v>
  </rv>
  <rv s="5">
    <v>15</v>
    <v>https://www.bing.com/th?id=AMMS_e6e837c7bf3a77408619758b7447855a&amp;qlt=95</v>
    <v>89</v>
    <v>0</v>
    <v>https://www.bing.com/images/search?form=xlimg&amp;q=microsoft</v>
    <v>Image of MICROSOFT CORPORATION</v>
  </rv>
  <rv s="0">
    <v>https://www.bing.com/financeapi/forcetrigger?t=a1xzim&amp;q=XNAS%3aMSFT&amp;form=skydnc</v>
    <v>Learn more on Bing</v>
  </rv>
  <rv s="6">
    <v>11</v>
    <v>MICROSOFT CORPORATION (XNAS:MSFT)</v>
    <v>13</v>
    <v>14</v>
    <v>Finance</v>
    <v>4</v>
    <v>en-US</v>
    <v>a1xzim</v>
    <v>268435456</v>
    <v>1</v>
    <v>Powered by Refinitiv</v>
    <v>555.45000000000005</v>
    <v>344.79</v>
    <v>1.0274000000000001</v>
    <v>0.64</v>
    <v>1.2790000000000002E-3</v>
    <v>-0.21</v>
    <v>-4.192E-4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503.17</v>
    <v>90</v>
    <v>Software &amp; IT Services</v>
    <v>Stock</v>
    <v>45911.836605983597</v>
    <v>91</v>
    <v>497.88</v>
    <v>3724090998670</v>
    <v>MICROSOFT CORPORATION</v>
    <v>MICROSOFT CORPORATION</v>
    <v>502.06</v>
    <v>36.728000000000002</v>
    <v>500.37</v>
    <v>501.01</v>
    <v>500.8</v>
    <v>7433167000</v>
    <v>MSFT</v>
    <v>MICROSOFT CORPORATION (XNAS:MSFT)</v>
    <v>17886892</v>
    <v>20647313</v>
    <v>1993</v>
  </rv>
  <rv s="2">
    <v>92</v>
  </rv>
  <rv s="0">
    <v>https://www.bing.com/financeapi/forcetrigger?t=a1ye2w&amp;q=XNYS%3aNEE&amp;form=skydnc</v>
    <v>Learn more on Bing</v>
  </rv>
  <rv s="1">
    <v>0</v>
    <v>NEXTERA ENERGY, INC. (XNYS:NEE)</v>
    <v>2</v>
    <v>3</v>
    <v>Finance</v>
    <v>4</v>
    <v>en-US</v>
    <v>a1ye2w</v>
    <v>268435456</v>
    <v>1</v>
    <v>Powered by Refinitiv</v>
    <v>86.1</v>
    <v>61.72</v>
    <v>0.64710000000000001</v>
    <v>0.36</v>
    <v>5.0680000000000005E-3</v>
    <v>-0.08</v>
    <v>-1.1200000000000001E-3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71.44</v>
    <v>Electrical Utilities &amp; IPPs</v>
    <v>Stock</v>
    <v>45911.836269108593</v>
    <v>94</v>
    <v>70.510000000000005</v>
    <v>147033448800</v>
    <v>NEXTERA ENERGY, INC.</v>
    <v>NEXTERA ENERGY, INC.</v>
    <v>70.89</v>
    <v>26.703600000000002</v>
    <v>71.040000000000006</v>
    <v>71.400000000000006</v>
    <v>71.319999999999993</v>
    <v>2059292000</v>
    <v>NEE</v>
    <v>NEXTERA ENERGY, INC. (XNYS:NEE)</v>
    <v>7411240</v>
    <v>9820541</v>
    <v>1984</v>
  </rv>
  <rv s="2">
    <v>95</v>
  </rv>
  <rv s="0">
    <v>https://www.bing.com/financeapi/forcetrigger?t=a1yeec&amp;q=XNYS%3aNEM&amp;form=skydnc</v>
    <v>Learn more on Bing</v>
  </rv>
  <rv s="1">
    <v>0</v>
    <v>NEWMONT CORPORATION (XNYS:NEM)</v>
    <v>2</v>
    <v>3</v>
    <v>Finance</v>
    <v>4</v>
    <v>en-US</v>
    <v>a1yeec</v>
    <v>268435456</v>
    <v>1</v>
    <v>Powered by Refinitiv</v>
    <v>79.77</v>
    <v>36.86</v>
    <v>0.33400000000000002</v>
    <v>1.2</v>
    <v>1.5300000000000001E-2</v>
    <v>0.02</v>
    <v>2.5119999999999998E-4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79.77</v>
    <v>Metals &amp; Mining</v>
    <v>Stock</v>
    <v>45911.836376562504</v>
    <v>97</v>
    <v>77.56</v>
    <v>87469573500</v>
    <v>NEWMONT CORPORATION</v>
    <v>NEWMONT CORPORATION</v>
    <v>77.67</v>
    <v>14.4132</v>
    <v>78.430000000000007</v>
    <v>79.63</v>
    <v>79.650000000000006</v>
    <v>1098450000</v>
    <v>NEM</v>
    <v>NEWMONT CORPORATION (XNYS:NEM)</v>
    <v>9228571</v>
    <v>8761268</v>
    <v>2001</v>
  </rv>
  <rv s="2">
    <v>98</v>
  </rv>
  <rv s="0">
    <v>https://www.bing.com/financeapi/forcetrigger?t=a1ygoc&amp;q=XNAS%3aNFLX&amp;form=skydnc</v>
    <v>Learn more on Bing</v>
  </rv>
  <rv s="1">
    <v>0</v>
    <v>NETFLIX, INC. (XNAS:NFLX)</v>
    <v>2</v>
    <v>3</v>
    <v>Finance</v>
    <v>4</v>
    <v>en-US</v>
    <v>a1ygoc</v>
    <v>268435456</v>
    <v>1</v>
    <v>Powered by Refinitiv</v>
    <v>1341.15</v>
    <v>660.8</v>
    <v>1.6057999999999999</v>
    <v>-44.21</v>
    <v>-3.5432999999999999E-2</v>
    <v>-0.33</v>
    <v>-2.742E-4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1253.4449999999999</v>
    <v>Software &amp; IT Services</v>
    <v>Stock</v>
    <v>45911.83660223359</v>
    <v>100</v>
    <v>1192.06</v>
    <v>511398922400</v>
    <v>NETFLIX, INC.</v>
    <v>NETFLIX, INC.</v>
    <v>1250.165</v>
    <v>51.284100000000002</v>
    <v>1247.71</v>
    <v>1203.5</v>
    <v>1203.17</v>
    <v>424926400</v>
    <v>NFLX</v>
    <v>NETFLIX, INC. (XNAS:NFLX)</v>
    <v>5630094</v>
    <v>2641796</v>
    <v>1997</v>
  </rv>
  <rv s="2">
    <v>101</v>
  </rv>
  <rv s="0">
    <v>https://www.bing.com/financeapi/forcetrigger?t=bwxx4c&amp;q=XNAS%3aDSAC&amp;form=skydnc</v>
    <v>Learn more on Bing</v>
  </rv>
  <rv s="1">
    <v>0</v>
    <v>FISCALNOTE HOLDINGS, INC. (XNYS:NOTE)</v>
    <v>2</v>
    <v>3</v>
    <v>Finance</v>
    <v>4</v>
    <v>en-US</v>
    <v>bwxx4c</v>
    <v>268435456</v>
    <v>1</v>
    <v>Powered by Refinitiv</v>
    <v>24.36</v>
    <v>3.8</v>
    <v>0.56659999999999999</v>
    <v>0.03</v>
    <v>5.9059999999999998E-3</v>
    <v>-0.01</v>
    <v>-1.957E-3</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5.25</v>
    <v>Software &amp; IT Services</v>
    <v>Stock</v>
    <v>45911.836291122658</v>
    <v>103</v>
    <v>5.04</v>
    <v>73328500</v>
    <v>FISCALNOTE HOLDINGS, INC.</v>
    <v>FISCALNOTE HOLDINGS, INC.</v>
    <v>5.16</v>
    <v>0</v>
    <v>5.08</v>
    <v>5.1100000000000003</v>
    <v>5.0999999999999996</v>
    <v>14350000</v>
    <v>NOTE</v>
    <v>FISCALNOTE HOLDINGS, INC. (XNYS:NOTE)</v>
    <v>219313</v>
    <v>296128</v>
    <v>2022</v>
  </rv>
  <rv s="2">
    <v>104</v>
  </rv>
  <rv s="0">
    <v>https://www.bing.com/financeapi/forcetrigger?t=a1zfec&amp;q=XNAS%3aPAAS&amp;form=skydnc</v>
    <v>Learn more on Bing</v>
  </rv>
  <rv s="1">
    <v>0</v>
    <v>Pan American Silver Corp. (XNYS:PAAS)</v>
    <v>2</v>
    <v>10</v>
    <v>Finance</v>
    <v>4</v>
    <v>en-US</v>
    <v>a1zfec</v>
    <v>268435456</v>
    <v>1</v>
    <v>Powered by Refinitiv</v>
    <v>36.869999999999997</v>
    <v>18.71</v>
    <v>0.83909999999999996</v>
    <v>0.57999999999999996</v>
    <v>1.6004000000000001E-2</v>
    <v>0</v>
    <v>0</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36.869999999999997</v>
    <v>Metals &amp; Mining</v>
    <v>Stock</v>
    <v>45911.836264328122</v>
    <v>106</v>
    <v>35.83</v>
    <v>21212730000</v>
    <v>Pan American Silver Corp.</v>
    <v>Pan American Silver Corp.</v>
    <v>36.020000000000003</v>
    <v>25.5641</v>
    <v>36.24</v>
    <v>36.82</v>
    <v>36.82</v>
    <v>421976000</v>
    <v>PAAS</v>
    <v>Pan American Silver Corp. (XNYS:PAAS)</v>
    <v>4487717</v>
    <v>5531032</v>
    <v>1979</v>
  </rv>
  <rv s="2">
    <v>107</v>
  </rv>
  <rv s="0">
    <v>https://www.bing.com/financeapi/forcetrigger?t=a2sqhw&amp;q=XNAS%3aPROF&amp;form=skydnc</v>
    <v>Learn more on Bing</v>
  </rv>
  <rv s="1">
    <v>0</v>
    <v>Profound Medical Corp. (XNAS:PROF)</v>
    <v>2</v>
    <v>10</v>
    <v>Finance</v>
    <v>4</v>
    <v>en-US</v>
    <v>a2sqhw</v>
    <v>268435456</v>
    <v>1</v>
    <v>Powered by Refinitiv</v>
    <v>9.17</v>
    <v>3.76</v>
    <v>0.30099999999999999</v>
    <v>0.09</v>
    <v>2.3256000000000002E-2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4.04</v>
    <v>Healthcare Equipment &amp; Supplies</v>
    <v>Stock</v>
    <v>45911.836189443748</v>
    <v>109</v>
    <v>3.86</v>
    <v>161148700</v>
    <v>Profound Medical Corp.</v>
    <v>Profound Medical Corp.</v>
    <v>3.89</v>
    <v>0</v>
    <v>3.87</v>
    <v>3.96</v>
    <v>3.96</v>
    <v>30121260</v>
    <v>PROF</v>
    <v>Profound Medical Corp. (XNAS:PROF)</v>
    <v>111590</v>
    <v>142723</v>
    <v>2014</v>
  </rv>
  <rv s="2">
    <v>110</v>
  </rv>
  <rv s="0">
    <v>https://www.bing.com/financeapi/forcetrigger?t=a2si9c&amp;q=XNAS%3aPOET&amp;form=skydnc</v>
    <v>Learn more on Bing</v>
  </rv>
  <rv s="1">
    <v>0</v>
    <v>POET Technologies Inc. (XNAS:POET)</v>
    <v>2</v>
    <v>3</v>
    <v>Finance</v>
    <v>4</v>
    <v>en-US</v>
    <v>a2si9c</v>
    <v>268435456</v>
    <v>1</v>
    <v>Powered by Refinitiv</v>
    <v>7.79</v>
    <v>2.83</v>
    <v>0.37819999999999998</v>
    <v>-0.27</v>
    <v>-4.8214E-2</v>
    <v>0</v>
    <v>0</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5.75</v>
    <v>Semiconductors &amp; Semiconductor Equipment</v>
    <v>Stock</v>
    <v>45911.83615504609</v>
    <v>112</v>
    <v>5.3</v>
    <v>483630608</v>
    <v>POET Technologies Inc.</v>
    <v>POET Technologies Inc.</v>
    <v>5.65</v>
    <v>0</v>
    <v>5.6</v>
    <v>5.33</v>
    <v>5.33</v>
    <v>90737450</v>
    <v>POET</v>
    <v>POET Technologies Inc. (XNAS:POET)</v>
    <v>1646829</v>
    <v>1305036</v>
    <v>2010</v>
  </rv>
  <rv s="2">
    <v>113</v>
  </rv>
  <rv s="0">
    <v>https://www.bing.com/financeapi/forcetrigger?t=a21g2w&amp;q=XNYS%3aPW&amp;form=skydnc</v>
    <v>Learn more on Bing</v>
  </rv>
  <rv s="1">
    <v>0</v>
    <v>POWER REIT (XNYS:PW)</v>
    <v>2</v>
    <v>3</v>
    <v>Finance</v>
    <v>4</v>
    <v>en-US</v>
    <v>a21g2w</v>
    <v>268435456</v>
    <v>1</v>
    <v>Powered by Refinitiv</v>
    <v>2.75</v>
    <v>0.63</v>
    <v>1.5294000000000001</v>
    <v>1.4999999999999999E-2</v>
    <v>1.5152000000000001E-2</v>
    <v>1.4999999999999999E-2</v>
    <v>1.4924999999999999E-2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1.05</v>
    <v>Residential &amp; Commercial REIT</v>
    <v>Stock</v>
    <v>45911.836235948438</v>
    <v>115</v>
    <v>0.99239999999999995</v>
    <v>3355760</v>
    <v>POWER REIT</v>
    <v>POWER REIT</v>
    <v>1.01</v>
    <v>0</v>
    <v>0.99</v>
    <v>1.0049999999999999</v>
    <v>1.02</v>
    <v>3389660</v>
    <v>PW</v>
    <v>POWER REIT (XNYS:PW)</v>
    <v>58675</v>
    <v>156176</v>
    <v>2011</v>
  </rv>
  <rv s="2">
    <v>116</v>
  </rv>
  <rv s="0">
    <v>https://www.bing.com/financeapi/forcetrigger?t=a2218m&amp;q=XNAS%3aRIGL&amp;form=skydnc</v>
    <v>Learn more on Bing</v>
  </rv>
  <rv s="1">
    <v>0</v>
    <v>RIGEL PHARMACEUTICALS, INC. (XNAS:RIGL)</v>
    <v>2</v>
    <v>3</v>
    <v>Finance</v>
    <v>4</v>
    <v>en-US</v>
    <v>a2218m</v>
    <v>268435456</v>
    <v>1</v>
    <v>Powered by Refinitiv</v>
    <v>43.7181</v>
    <v>12.66</v>
    <v>1.2625</v>
    <v>1.34</v>
    <v>3.6732000000000001E-2</v>
    <v>-0.82</v>
    <v>-2.1682E-2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37.840000000000003</v>
    <v>Pharmaceuticals</v>
    <v>Stock</v>
    <v>45911.836278147654</v>
    <v>118</v>
    <v>36.21</v>
    <v>678390198</v>
    <v>RIGEL PHARMACEUTICALS, INC.</v>
    <v>RIGEL PHARMACEUTICALS, INC.</v>
    <v>36.74</v>
    <v>6.9843000000000002</v>
    <v>36.479999999999997</v>
    <v>37.82</v>
    <v>37</v>
    <v>17937340</v>
    <v>RIGL</v>
    <v>RIGEL PHARMACEUTICALS, INC. (XNAS:RIGL)</v>
    <v>654030</v>
    <v>921449</v>
    <v>1996</v>
  </rv>
  <rv s="2">
    <v>119</v>
  </rv>
  <rv s="0">
    <v>https://www.bing.com/financeapi/forcetrigger?t=aftkm7&amp;q=XETR%3aRWE&amp;form=skydnc</v>
    <v>Learn more on Bing</v>
  </rv>
  <rv s="3">
    <v>5</v>
    <v>RWE AG (XETR:RWE)</v>
    <v>2</v>
    <v>8</v>
    <v>Finance</v>
    <v>9</v>
    <v>en-US</v>
    <v>aftkm7</v>
    <v>268435456</v>
    <v>1</v>
    <v>Powered by Refinitiv</v>
    <v>37.78</v>
    <v>27.76</v>
    <v>0.48139999999999999</v>
    <v>-0.11</v>
    <v>-3.0669999999999998E-3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36.020000000000003</v>
    <v>Multiline Utilities</v>
    <v>Stock</v>
    <v>45911.770833333336</v>
    <v>121</v>
    <v>35.58</v>
    <v>26674150000</v>
    <v>RWE AG</v>
    <v>RWE AG</v>
    <v>35.9</v>
    <v>10.231199999999999</v>
    <v>35.86</v>
    <v>35.75</v>
    <v>743841200</v>
    <v>RWE</v>
    <v>RWE AG (XETR:RWE)</v>
    <v>1361072</v>
    <v>1325210</v>
    <v>2000</v>
  </rv>
  <rv s="2">
    <v>122</v>
  </rv>
  <rv s="0">
    <v>https://www.bing.com/financeapi/forcetrigger?t=aftlr7&amp;q=XETR%3aSAP&amp;form=skydnc</v>
    <v>Learn more on Bing</v>
  </rv>
  <rv s="3">
    <v>5</v>
    <v>Sap Se (XETR:SAP)</v>
    <v>2</v>
    <v>8</v>
    <v>Finance</v>
    <v>9</v>
    <v>en-US</v>
    <v>aftlr7</v>
    <v>268435456</v>
    <v>1</v>
    <v>Powered by Refinitiv</v>
    <v>283.5</v>
    <v>191.54</v>
    <v>1.1718999999999999</v>
    <v>-3.9</v>
    <v>-1.7434000000000002E-2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222.85</v>
    <v>Software &amp; IT Services</v>
    <v>Stock</v>
    <v>45911.770833333336</v>
    <v>124</v>
    <v>218.9</v>
    <v>274816400000</v>
    <v>Sap Se</v>
    <v>Sap Se</v>
    <v>222</v>
    <v>39.244399999999999</v>
    <v>223.7</v>
    <v>219.8</v>
    <v>1228504000</v>
    <v>SAP</v>
    <v>Sap Se (XETR:SAP)</v>
    <v>1974628</v>
    <v>1182560</v>
    <v>2014</v>
  </rv>
  <rv s="2">
    <v>125</v>
  </rv>
  <rv s="0">
    <v>https://www.bing.com/financeapi/forcetrigger?t=a2vkww&amp;q=OTCM%3aSHECY&amp;form=skydnc</v>
    <v>Learn more on Bing</v>
  </rv>
  <rv s="3">
    <v>5</v>
    <v>Shin-Etsu Chemical Co., Ltd. (OTCM:SHECY)</v>
    <v>2</v>
    <v>16</v>
    <v>Finance</v>
    <v>9</v>
    <v>en-US</v>
    <v>a2vkww</v>
    <v>268435456</v>
    <v>1</v>
    <v>Powered by Refinitiv</v>
    <v>21.74</v>
    <v>11.88</v>
    <v>1.4729000000000001</v>
    <v>0.17</v>
    <v>1.1409000000000001E-2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15.11</v>
    <v>Chemicals</v>
    <v>Stock</v>
    <v>45911.826107349218</v>
    <v>127</v>
    <v>14.5</v>
    <v>8751847000000</v>
    <v>Shin-Etsu Chemical Co., Ltd.</v>
    <v>Shin-Etsu Chemical Co., Ltd.</v>
    <v>14.68</v>
    <v>0</v>
    <v>14.9</v>
    <v>15.07</v>
    <v>1984996000</v>
    <v>SHECY</v>
    <v>Shin-Etsu Chemical Co., Ltd. (OTCM:SHECY)</v>
    <v>292184</v>
    <v>5553450</v>
    <v>1926</v>
  </rv>
  <rv s="2">
    <v>128</v>
  </rv>
  <rv s="0">
    <v>https://www.bing.com/financeapi/forcetrigger?t=a23myc&amp;q=XNAS%3aSSYS&amp;form=skydnc</v>
    <v>Learn more on Bing</v>
  </rv>
  <rv s="1">
    <v>0</v>
    <v>STRATASYS LTD (XNAS:SSYS)</v>
    <v>2</v>
    <v>3</v>
    <v>Finance</v>
    <v>4</v>
    <v>en-US</v>
    <v>a23myc</v>
    <v>268435456</v>
    <v>1</v>
    <v>Powered by Refinitiv</v>
    <v>12.88</v>
    <v>6.2801</v>
    <v>1.5918000000000001</v>
    <v>0.05</v>
    <v>5.1019999999999998E-3</v>
    <v>0</v>
    <v>0</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10.01</v>
    <v>Electronic Equipment &amp; Parts</v>
    <v>Stock</v>
    <v>45911.836284722223</v>
    <v>130</v>
    <v>9.73</v>
    <v>838168808</v>
    <v>STRATASYS LTD</v>
    <v>STRATASYS LTD</v>
    <v>9.76</v>
    <v>0</v>
    <v>9.8000000000000007</v>
    <v>9.85</v>
    <v>9.85</v>
    <v>85093280</v>
    <v>SSYS</v>
    <v>STRATASYS LTD (XNAS:SSYS)</v>
    <v>587504</v>
    <v>1199311</v>
    <v>1998</v>
  </rv>
  <rv s="2">
    <v>131</v>
  </rv>
  <rv s="0">
    <v>https://www.bing.com/financeapi/forcetrigger?t=a24kar&amp;q=XNAS%3aTSLA&amp;form=skydnc</v>
    <v>Learn more on Bing</v>
  </rv>
  <rv s="1">
    <v>0</v>
    <v>TESLA, INC. (XNAS:TSLA)</v>
    <v>2</v>
    <v>3</v>
    <v>Finance</v>
    <v>4</v>
    <v>en-US</v>
    <v>a24kar</v>
    <v>268435456</v>
    <v>1</v>
    <v>Powered by Refinitiv</v>
    <v>488.53989999999999</v>
    <v>212.11</v>
    <v>2.0388999999999999</v>
    <v>21.02</v>
    <v>6.0439E-2</v>
    <v>0.4904</v>
    <v>1.33E-3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368.99</v>
    <v>Automobiles &amp; Auto Parts</v>
    <v>Stock</v>
    <v>45911.836590671097</v>
    <v>133</v>
    <v>347.6</v>
    <v>1189577845690</v>
    <v>TESLA, INC.</v>
    <v>TESLA, INC.</v>
    <v>350</v>
    <v>205.5224</v>
    <v>347.79</v>
    <v>368.81</v>
    <v>369.30040000000002</v>
    <v>3225449000</v>
    <v>TSLA</v>
    <v>TESLA, INC. (XNAS:TSLA)</v>
    <v>102077547</v>
    <v>75822753</v>
    <v>2024</v>
  </rv>
  <rv s="2">
    <v>134</v>
  </rv>
  <rv s="0">
    <v>https://www.bing.com/financeapi/forcetrigger?t=a24kjc&amp;q=XNYS%3aTSM&amp;form=skydnc</v>
    <v>Learn more on Bing</v>
  </rv>
  <rv s="1">
    <v>0</v>
    <v>Taiwan Semiconductor Manufacturing Co., Ltd. (XNYS:TSM)</v>
    <v>2</v>
    <v>3</v>
    <v>Finance</v>
    <v>4</v>
    <v>en-US</v>
    <v>a24kjc</v>
    <v>268435456</v>
    <v>1</v>
    <v>Powered by Refinitiv</v>
    <v>264.58</v>
    <v>134.25</v>
    <v>1.26</v>
    <v>-1.62</v>
    <v>-6.2199999999999998E-3</v>
    <v>0</v>
    <v>0</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261.64</v>
    <v>Semiconductors &amp; Semiconductor Equipment</v>
    <v>Stock</v>
    <v>45911.836520485936</v>
    <v>136</v>
    <v>258.23009999999999</v>
    <v>1046704000000</v>
    <v>Taiwan Semiconductor Manufacturing Co., Ltd.</v>
    <v>Taiwan Semiconductor Manufacturing Co., Ltd.</v>
    <v>260.52999999999997</v>
    <v>26.830200000000001</v>
    <v>260.44</v>
    <v>258.82</v>
    <v>258.82</v>
    <v>5186523000</v>
    <v>TSM</v>
    <v>Taiwan Semiconductor Manufacturing Co., Ltd. (XNYS:TSM)</v>
    <v>9875607</v>
    <v>10982108</v>
    <v>1987</v>
  </rv>
  <rv s="2">
    <v>137</v>
  </rv>
  <rv s="0">
    <v>https://www.bing.com/financeapi/forcetrigger?t=afn5ec&amp;q=XFRA%3aUN01&amp;form=skydnc</v>
    <v>Learn more on Bing</v>
  </rv>
  <rv s="7">
    <v>17</v>
    <v>Uniper SE (XFRA:UN0)</v>
    <v>2</v>
    <v>18</v>
    <v>Finance</v>
    <v>9</v>
    <v>en-US</v>
    <v>afn5ec</v>
    <v>268435456</v>
    <v>1</v>
    <v>Powered by Refinitiv</v>
    <v>73.5</v>
    <v>2.1</v>
    <v>1.0031000000000001</v>
    <v>-0.9</v>
    <v>-2.4828000000000003E-2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37.049999999999997</v>
    <v>Multiline Utilities</v>
    <v>Stock</v>
    <v>45911.808333333334</v>
    <v>139</v>
    <v>35.35</v>
    <v>15367940000</v>
    <v>Uniper SE</v>
    <v>Uniper SE</v>
    <v>37.049999999999997</v>
    <v>36.25</v>
    <v>35.35</v>
    <v>416475300</v>
    <v>UN0</v>
    <v>Uniper SE (XFRA:UN0)</v>
    <v>54</v>
    <v>1400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1.5786</v>
    <v>0.26</v>
    <v>3.7955999999999997E-2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7.1950000000000003</v>
    <v>Telecommunications Services</v>
    <v>Stock</v>
    <v>45911.836284825782</v>
    <v>142</v>
    <v>6.77</v>
    <v>1052165529</v>
    <v>UNITI GROUP INC.</v>
    <v>UNITI GROUP INC.</v>
    <v>6.87</v>
    <v>29.886500000000002</v>
    <v>6.85</v>
    <v>7.11</v>
    <v>7.11</v>
    <v>147983900</v>
    <v>UNIT</v>
    <v>UNITI GROUP INC. (XNAS:UNIT)</v>
    <v>2803864</v>
    <v>3344478</v>
    <v>2024</v>
  </rv>
  <rv s="2">
    <v>143</v>
  </rv>
  <rv s="0">
    <v>https://www.bing.com/financeapi/forcetrigger?t=a1nz8m&amp;q=XNAS%3aAVGO&amp;form=skydnc</v>
    <v>Learn more on Bing</v>
  </rv>
  <rv s="1">
    <v>0</v>
    <v>BROADCOM INC. (XNAS:AVGO)</v>
    <v>2</v>
    <v>3</v>
    <v>Finance</v>
    <v>4</v>
    <v>en-US</v>
    <v>a1nz8m</v>
    <v>268435456</v>
    <v>1</v>
    <v>Powered by Refinitiv</v>
    <v>374.23</v>
    <v>138.1</v>
    <v>1.1987000000000001</v>
    <v>-9.94</v>
    <v>-2.6896E-2</v>
    <v>-0.23089999999999999</v>
    <v>-6.4199999999999988E-4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374.23</v>
    <v>Semiconductors &amp; Semiconductor Equipment</v>
    <v>Stock</v>
    <v>45911.836544582809</v>
    <v>145</v>
    <v>358.7604</v>
    <v>1691509275730</v>
    <v>BROADCOM INC.</v>
    <v>BROADCOM INC.</v>
    <v>371.23</v>
    <v>92.1892</v>
    <v>369.57</v>
    <v>359.63</v>
    <v>359.39909999999998</v>
    <v>4703471000</v>
    <v>AVGO</v>
    <v>BROADCOM INC. (XNAS:AVGO)</v>
    <v>28946679</v>
    <v>23456410</v>
    <v>2018</v>
  </rv>
  <rv s="2">
    <v>146</v>
  </rv>
  <rv s="0">
    <v>http://tr.wikipedia.org/wiki/Volvo</v>
    <v>Wikipedia</v>
  </rv>
  <rv s="4">
    <v>39</v>
    <v>148</v>
  </rv>
  <rv s="5">
    <v>15</v>
    <v>https://www.bing.com/th?id=AMMS_a85eaa33bec7c64e52ade4c230f05d74&amp;qlt=95</v>
    <v>149</v>
    <v>0</v>
    <v>https://www.bing.com/images/search?form=xlimg&amp;q=ab+volvo</v>
    <v>Image of Volvo AB</v>
  </rv>
  <rv s="0">
    <v>https://www.bing.com/financeapi/forcetrigger?t=a31af2&amp;q=OTCM%3aVLVLY&amp;form=skydnc</v>
    <v>Learn more on Bing</v>
  </rv>
  <rv s="8">
    <v>19</v>
    <v>Volvo AB (OTCM:VLVLY)</v>
    <v>13</v>
    <v>20</v>
    <v>Finance</v>
    <v>9</v>
    <v>en-US</v>
    <v>a31af2</v>
    <v>268435456</v>
    <v>1</v>
    <v>Powered by Refinitiv</v>
    <v>33.33</v>
    <v>22.55</v>
    <v>0.90510000000000002</v>
    <v>0.39</v>
    <v>1.3384E-2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29.55</v>
    <v>150</v>
    <v>Machinery, Equipment &amp; Components</v>
    <v>Stock</v>
    <v>45911.825784895314</v>
    <v>151</v>
    <v>29.07</v>
    <v>554388900000</v>
    <v>Volvo AB</v>
    <v>Volvo AB</v>
    <v>29.07</v>
    <v>0</v>
    <v>29.14</v>
    <v>29.53</v>
    <v>2033452000</v>
    <v>VLVLY</v>
    <v>Volvo AB (OTCM:VLVLY)</v>
    <v>38353</v>
    <v>2486380</v>
    <v>1915</v>
  </rv>
  <rv s="2">
    <v>152</v>
  </rv>
  <rv s="0">
    <v>https://www.bing.com/financeapi/forcetrigger?t=an41hw&amp;q=XSWX%3aVONN&amp;form=skydnc</v>
    <v>Learn more on Bing</v>
  </rv>
  <rv s="3">
    <v>5</v>
    <v>Vontobel Holding Ltd (XSWX:VONN)</v>
    <v>2</v>
    <v>21</v>
    <v>Finance</v>
    <v>9</v>
    <v>en-US</v>
    <v>an41hw</v>
    <v>268435456</v>
    <v>1</v>
    <v>Powered by Refinitiv</v>
    <v>69.5</v>
    <v>51.1</v>
    <v>1.0330999999999999</v>
    <v>-0.3</v>
    <v>-4.862E-3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62.2</v>
    <v>Investment Banking &amp; Investment Services</v>
    <v>Stock</v>
    <v>45911.818599537037</v>
    <v>154</v>
    <v>61.3</v>
    <v>3509188000</v>
    <v>Vontobel Holding Ltd</v>
    <v>Vontobel Holding Ltd</v>
    <v>61.9</v>
    <v>13.86</v>
    <v>61.7</v>
    <v>61.4</v>
    <v>56875000</v>
    <v>VONN</v>
    <v>Vontobel Holding Ltd (XSWX:VONN)</v>
    <v>22083</v>
    <v>26970</v>
    <v>1936</v>
  </rv>
  <rv s="2">
    <v>155</v>
  </rv>
  <rv s="0">
    <v>https://www.bing.com/financeapi/forcetrigger?t=a1y7rw&amp;q=XNAS%3aVTRS&amp;form=skydnc</v>
    <v>Learn more on Bing</v>
  </rv>
  <rv s="1">
    <v>0</v>
    <v>VIATRIS INC. (XNAS:VTRS)</v>
    <v>2</v>
    <v>3</v>
    <v>Finance</v>
    <v>4</v>
    <v>en-US</v>
    <v>a1y7rw</v>
    <v>268435456</v>
    <v>1</v>
    <v>Powered by Refinitiv</v>
    <v>13.55</v>
    <v>6.85</v>
    <v>0.90490000000000004</v>
    <v>-7.0000000000000007E-2</v>
    <v>-6.8360000000000001E-3</v>
    <v>0</v>
    <v>0</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10.3757</v>
    <v>Pharmaceuticals</v>
    <v>Stock</v>
    <v>45911.836277626564</v>
    <v>157</v>
    <v>10.085000000000001</v>
    <v>11856918240</v>
    <v>VIATRIS INC.</v>
    <v>VIATRIS INC.</v>
    <v>10.25</v>
    <v>0</v>
    <v>10.24</v>
    <v>10.17</v>
    <v>10.17</v>
    <v>1165872000</v>
    <v>VTRS</v>
    <v>VIATRIS INC. (XNAS:VTRS)</v>
    <v>20148360</v>
    <v>9223123</v>
    <v>2019</v>
  </rv>
  <rv s="2">
    <v>158</v>
  </rv>
  <rv s="0">
    <v>https://www.bing.com/financeapi/forcetrigger?t=a25pm7&amp;q=XNAS%3aWBA&amp;form=skydnc</v>
    <v>Learn more on Bing</v>
  </rv>
  <rv s="3">
    <v>5</v>
    <v>WALGREENS BOOTS ALLIANCE, INC. (XNAS:WBA)</v>
    <v>2</v>
    <v>22</v>
    <v>Finance</v>
    <v>23</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0.49330000000000002</v>
    <v>-0.34</v>
    <v>-3.0220000000000004E-3</v>
    <v>-0.02</v>
    <v>-1.783E-4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112.765</v>
    <v>Oil &amp; Gas</v>
    <v>Stock</v>
    <v>45911.836362835158</v>
    <v>163</v>
    <v>110.87</v>
    <v>478165783520</v>
    <v>EXXON MOBIL CORPORATION</v>
    <v>EXXON MOBIL CORPORATION</v>
    <v>111.52</v>
    <v>15.914899999999999</v>
    <v>112.5</v>
    <v>112.16</v>
    <v>112.14</v>
    <v>4263247000</v>
    <v>XOM</v>
    <v>EXXON MOBIL CORPORATION (XNYS:XOM)</v>
    <v>11430929</v>
    <v>14945409</v>
    <v>1882</v>
  </rv>
  <rv s="2">
    <v>164</v>
  </rv>
  <rv s="9">
    <v>24</v>
    <v>XPERI INC. (XNYS:XPER)</v>
    <v>25</v>
    <v>3</v>
    <v>Finance</v>
    <v>4</v>
    <v>en-US</v>
    <v>c7dbfr</v>
    <v>268435456</v>
    <v>1</v>
    <v>Powered by Refinitiv</v>
    <v>11.074999999999999</v>
    <v>5.6849999999999996</v>
    <v>1.149</v>
    <v>0.1</v>
    <v>1.6834999999999999E-2</v>
    <v>0.03</v>
    <v>4.9670000000000001E-3</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6.0860000000000003</v>
    <v>Software &amp; IT Services</v>
    <v>Stock</v>
    <v>45911.836259883596</v>
    <v>5.95</v>
    <v>279411366</v>
    <v>XPERI INC.</v>
    <v>XPERI INC.</v>
    <v>5.98</v>
    <v>0</v>
    <v>5.94</v>
    <v>6.04</v>
    <v>6.07</v>
    <v>46260160</v>
    <v>XPER</v>
    <v>XPERI INC. (XNYS:XPER)</v>
    <v>422608</v>
    <v>524738</v>
    <v>2019</v>
  </rv>
  <rv s="2">
    <v>166</v>
  </rv>
  <rv s="0">
    <v>https://www.bing.com/financeapi/forcetrigger?t=ajezf2&amp;q=XMIL%3aENI&amp;form=skydnc</v>
    <v>Learn more on Bing</v>
  </rv>
  <rv s="10">
    <v>26</v>
    <v>Eni SpA (XMIL:ENI)</v>
    <v>2</v>
    <v>27</v>
    <v>Finance</v>
    <v>28</v>
    <v>en-US</v>
    <v>ajezf2</v>
    <v>268435456</v>
    <v>1</v>
    <v>Powered by Refinitiv</v>
    <v>15.39</v>
    <v>11.01</v>
    <v>1.1015999999999999</v>
    <v>-3.5999999999999997E-2</v>
    <v>-2.4069999999999999E-3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15.102</v>
    <v>Oil &amp; Gas</v>
    <v>Stock</v>
    <v>45911.666666666664</v>
    <v>168</v>
    <v>14.872</v>
    <v>47069310000</v>
    <v>Eni SpA</v>
    <v>Eni SpA</v>
    <v>15.04</v>
    <v>18.6432</v>
    <v>14.958</v>
    <v>14.922000000000001</v>
    <v>3146765000</v>
    <v>ENI</v>
    <v>Eni SpA (XMIL:ENI)</v>
    <v>8044454</v>
    <v>10101260</v>
  </rv>
  <rv s="2">
    <v>169</v>
  </rv>
  <rv s="0">
    <v>https://www.bing.com/financeapi/forcetrigger?t=ae8t4c&amp;q=XPAR%3aGLE&amp;form=skydnc</v>
    <v>Learn more on Bing</v>
  </rv>
  <rv s="10">
    <v>26</v>
    <v>Societe Generale SA (XPAR:GLE)</v>
    <v>2</v>
    <v>27</v>
    <v>Finance</v>
    <v>9</v>
    <v>en-US</v>
    <v>ae8t4c</v>
    <v>268435456</v>
    <v>1</v>
    <v>Powered by Refinitiv</v>
    <v>59.42</v>
    <v>21.55</v>
    <v>1.5643</v>
    <v>1.78</v>
    <v>3.1888E-2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57.86</v>
    <v>Banking Services</v>
    <v>Stock</v>
    <v>45911.666666666664</v>
    <v>171</v>
    <v>55.74</v>
    <v>43828770000</v>
    <v>Societe Generale SA</v>
    <v>Societe Generale SA</v>
    <v>56.18</v>
    <v>9.6471</v>
    <v>55.82</v>
    <v>57.6</v>
    <v>785180400</v>
    <v>GLE</v>
    <v>Societe Generale SA (XPAR:GLE)</v>
    <v>2275391</v>
    <v>2434900</v>
  </rv>
  <rv s="2">
    <v>172</v>
  </rv>
  <rv s="0">
    <v>https://www.bing.com/financeapi/forcetrigger?t=ae9qlh&amp;q=XPAR%3aORA&amp;form=skydnc</v>
    <v>Learn more on Bing</v>
  </rv>
  <rv s="3">
    <v>5</v>
    <v>Orange SA (XPAR:ORA)</v>
    <v>2</v>
    <v>8</v>
    <v>Finance</v>
    <v>9</v>
    <v>en-US</v>
    <v>ae9qlh</v>
    <v>268435456</v>
    <v>1</v>
    <v>Powered by Refinitiv</v>
    <v>14.56</v>
    <v>9.3699999999999992</v>
    <v>0.2747</v>
    <v>0.17</v>
    <v>1.2391000000000001E-2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13.914999999999999</v>
    <v>Telecommunications Services</v>
    <v>Stock</v>
    <v>45911.666666666664</v>
    <v>174</v>
    <v>13.69</v>
    <v>36495980000</v>
    <v>Orange SA</v>
    <v>Orange SA</v>
    <v>13.69</v>
    <v>43.3354</v>
    <v>13.72</v>
    <v>13.89</v>
    <v>2660057000</v>
    <v>ORA</v>
    <v>Orange SA (XPAR:ORA)</v>
    <v>3452995</v>
    <v>4331880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3.4847000000000001</v>
    <v>0.12</v>
    <v>0.106195</v>
    <v>0</v>
    <v>0</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1.26</v>
    <v>Electrical Utilities &amp; IPPs</v>
    <v>Stock</v>
    <v>45911.836288251565</v>
    <v>177</v>
    <v>1.1100000000000001</v>
    <v>130892875</v>
    <v>BLINK CHARGING CO.</v>
    <v>BLINK CHARGING CO.</v>
    <v>1.1100000000000001</v>
    <v>0</v>
    <v>1.1299999999999999</v>
    <v>1.25</v>
    <v>1.25</v>
    <v>104714300</v>
    <v>BLNK</v>
    <v>BLINK CHARGING CO. (XNAS:BLNK)</v>
    <v>4911809</v>
    <v>3013073</v>
    <v>2006</v>
  </rv>
  <rv s="2">
    <v>178</v>
  </rv>
  <rv s="0">
    <v>https://www.bing.com/financeapi/forcetrigger?t=ao8g3m&amp;q=XLON%3aEZJ&amp;form=skydnc</v>
    <v>Learn more on Bing</v>
  </rv>
  <rv s="3">
    <v>5</v>
    <v>EASYJET PLC (XLON:EZJ)</v>
    <v>2</v>
    <v>6</v>
    <v>Finance</v>
    <v>7</v>
    <v>en-US</v>
    <v>ao8g3m</v>
    <v>268435456</v>
    <v>1</v>
    <v>Powered by Refinitiv</v>
    <v>594</v>
    <v>401.05</v>
    <v>2.7936999999999999</v>
    <v>4.5</v>
    <v>9.7590000000000003E-3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468</v>
    <v>Passenger Transportation Services</v>
    <v>Stock</v>
    <v>45911.624976006249</v>
    <v>180</v>
    <v>462.2</v>
    <v>3495184000</v>
    <v>EASYJET PLC</v>
    <v>EASYJET PLC</v>
    <v>462.3</v>
    <v>8.4408999999999992</v>
    <v>461.1</v>
    <v>465.6</v>
    <v>758010000</v>
    <v>EZJ</v>
    <v>EASYJET PLC (XLON:EZJ)</v>
    <v>2849972</v>
    <v>4447770</v>
    <v>2000</v>
  </rv>
  <rv s="2">
    <v>181</v>
  </rv>
  <rv s="0">
    <v>http://en.wikipedia.org/wiki/Ford_Motor_Company</v>
    <v>Wikipedia</v>
  </rv>
  <rv s="4">
    <v>39</v>
    <v>183</v>
  </rv>
  <rv s="5">
    <v>15</v>
    <v>https://www.bing.com/th?id=AMMS_cf0311a5f2d2dcb3110aca1404330618&amp;qlt=95</v>
    <v>184</v>
    <v>0</v>
    <v>https://www.bing.com/images/search?form=xlimg&amp;q=ford+motor+company</v>
    <v>Image of FORD MOTOR COMPANY</v>
  </rv>
  <rv s="0">
    <v>https://www.bing.com/financeapi/forcetrigger?t=a1sjw7&amp;q=XNYS%3aF&amp;form=skydnc</v>
    <v>Learn more on Bing</v>
  </rv>
  <rv s="6">
    <v>11</v>
    <v>FORD MOTOR COMPANY (XNYS:F)</v>
    <v>13</v>
    <v>14</v>
    <v>Finance</v>
    <v>4</v>
    <v>en-US</v>
    <v>a1sjw7</v>
    <v>268435456</v>
    <v>1</v>
    <v>Powered by Refinitiv</v>
    <v>11.99</v>
    <v>8.4405999999999999</v>
    <v>1.5407999999999999</v>
    <v>0.34</v>
    <v>2.9772E-2</v>
    <v>-1.4999999999999999E-2</v>
    <v>-1.276E-3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11.79</v>
    <v>185</v>
    <v>Automobiles &amp; Auto Parts</v>
    <v>Stock</v>
    <v>45911.836411157034</v>
    <v>186</v>
    <v>11.44</v>
    <v>46803153600</v>
    <v>FORD MOTOR COMPANY</v>
    <v>FORD MOTOR COMPANY</v>
    <v>11.46</v>
    <v>15.038399999999999</v>
    <v>11.42</v>
    <v>11.76</v>
    <v>11.744999999999999</v>
    <v>3979860000</v>
    <v>F</v>
    <v>FORD MOTOR COMPANY (XNYS:F)</v>
    <v>63784065</v>
    <v>51297310</v>
    <v>1919</v>
  </rv>
  <rv s="2">
    <v>187</v>
  </rv>
  <rv s="0">
    <v>https://www.bing.com/financeapi/forcetrigger?t=a1u1z2&amp;q=XNYS%3aGNRC&amp;form=skydnc</v>
    <v>Learn more on Bing</v>
  </rv>
  <rv s="1">
    <v>0</v>
    <v>GENERAC HOLDINGS INC. (XNYS:GNRC)</v>
    <v>2</v>
    <v>3</v>
    <v>Finance</v>
    <v>4</v>
    <v>en-US</v>
    <v>a1u1z2</v>
    <v>268435456</v>
    <v>1</v>
    <v>Powered by Refinitiv</v>
    <v>203.2499</v>
    <v>99.5</v>
    <v>1.6707000000000001</v>
    <v>2.86</v>
    <v>1.5459000000000001E-2</v>
    <v>-0.01</v>
    <v>-5.3229999999999997E-5</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192.715</v>
    <v>Machinery, Equipment &amp; Components</v>
    <v>Stock</v>
    <v>45911.836361180467</v>
    <v>189</v>
    <v>185.095</v>
    <v>11023450726</v>
    <v>GENERAC HOLDINGS INC.</v>
    <v>GENERAC HOLDINGS INC.</v>
    <v>185.2</v>
    <v>31.196200000000001</v>
    <v>185.01</v>
    <v>187.87</v>
    <v>187.86</v>
    <v>58675950</v>
    <v>GNRC</v>
    <v>GENERAC HOLDINGS INC. (XNYS:GNRC)</v>
    <v>1418085</v>
    <v>820124</v>
    <v>2006</v>
  </rv>
  <rv s="2">
    <v>190</v>
  </rv>
  <rv s="0">
    <v>https://www.bing.com/financeapi/forcetrigger?t=a1u7xm&amp;q=XNYS%3aGS&amp;form=skydnc</v>
    <v>Learn more on Bing</v>
  </rv>
  <rv s="1">
    <v>0</v>
    <v>THE GOLDMAN SACHS GROUP, INC. (XNYS:GS)</v>
    <v>2</v>
    <v>3</v>
    <v>Finance</v>
    <v>4</v>
    <v>en-US</v>
    <v>a1u7xm</v>
    <v>268435456</v>
    <v>1</v>
    <v>Powered by Refinitiv</v>
    <v>793.16</v>
    <v>439.38</v>
    <v>1.4134</v>
    <v>15.09</v>
    <v>1.9608E-2</v>
    <v>0.06</v>
    <v>7.6470000000000005E-5</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793.16</v>
    <v>Investment Banking &amp; Investment Services</v>
    <v>Stock</v>
    <v>45911.836505763284</v>
    <v>192</v>
    <v>771.24</v>
    <v>237536165537</v>
    <v>THE GOLDMAN SACHS GROUP, INC.</v>
    <v>THE GOLDMAN SACHS GROUP, INC.</v>
    <v>771.24</v>
    <v>17.292200000000001</v>
    <v>769.58</v>
    <v>784.67</v>
    <v>784.73</v>
    <v>302721100</v>
    <v>GS</v>
    <v>THE GOLDMAN SACHS GROUP, INC. (XNYS:GS)</v>
    <v>2004632</v>
    <v>1656853</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2.0247999999999999</v>
    <v>0.09</v>
    <v>5.3571000000000001E-2</v>
    <v>0</v>
    <v>0</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1.85</v>
    <v>Automobiles &amp; Auto Parts</v>
    <v>Stock</v>
    <v>45911.836280532028</v>
    <v>195</v>
    <v>1.675</v>
    <v>121713094</v>
    <v>LUMINAR TECHNOLOGIES, INC.</v>
    <v>LUMINAR TECHNOLOGIES, INC.</v>
    <v>1.68</v>
    <v>0</v>
    <v>1.68</v>
    <v>1.77</v>
    <v>1.77</v>
    <v>68764460</v>
    <v>LAZR</v>
    <v>LUMINAR TECHNOLOGIES, INC. (XNAS:LAZR)</v>
    <v>4337317</v>
    <v>3894598</v>
    <v>2018</v>
  </rv>
  <rv s="2">
    <v>196</v>
  </rv>
  <rv s="0">
    <v>https://www.bing.com/financeapi/forcetrigger?t=a1x6rw&amp;q=XNYS%3aLUV&amp;form=skydnc</v>
    <v>Learn more on Bing</v>
  </rv>
  <rv s="1">
    <v>0</v>
    <v>SOUTHWEST AIRLINES CO. (XNYS:LUV)</v>
    <v>2</v>
    <v>3</v>
    <v>Finance</v>
    <v>4</v>
    <v>en-US</v>
    <v>a1x6rw</v>
    <v>268435456</v>
    <v>1</v>
    <v>Powered by Refinitiv</v>
    <v>37.96</v>
    <v>23.815000000000001</v>
    <v>1.2121999999999999</v>
    <v>0.62</v>
    <v>1.9928999999999999E-2</v>
    <v>-0.05</v>
    <v>-1.5759999999999999E-3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31.84</v>
    <v>Passenger Transportation Services</v>
    <v>Stock</v>
    <v>45911.836570196094</v>
    <v>198</v>
    <v>30.6</v>
    <v>16664205721</v>
    <v>SOUTHWEST AIRLINES CO.</v>
    <v>SOUTHWEST AIRLINES CO.</v>
    <v>31.29</v>
    <v>38.091200000000001</v>
    <v>31.11</v>
    <v>31.73</v>
    <v>31.68</v>
    <v>525187700</v>
    <v>LUV</v>
    <v>SOUTHWEST AIRLINES CO. (XNYS:LUV)</v>
    <v>11428882</v>
    <v>7193344</v>
    <v>1967</v>
  </rv>
  <rv s="2">
    <v>199</v>
  </rv>
  <rv s="0">
    <v>https://www.bing.com/financeapi/forcetrigger?t=a1x8w7&amp;q=XNYS%3aMA&amp;form=skydnc</v>
    <v>Learn more on Bing</v>
  </rv>
  <rv s="1">
    <v>0</v>
    <v>MASTERCARD INCORPORATED. (XNYS:MA)</v>
    <v>2</v>
    <v>3</v>
    <v>Finance</v>
    <v>4</v>
    <v>en-US</v>
    <v>a1x8w7</v>
    <v>268435456</v>
    <v>1</v>
    <v>Powered by Refinitiv</v>
    <v>601.77</v>
    <v>465.59</v>
    <v>0.98250000000000004</v>
    <v>9.35</v>
    <v>1.6138E-2</v>
    <v>0</v>
    <v>0</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589.97</v>
    <v>Software &amp; IT Services</v>
    <v>Stock</v>
    <v>45911.836273066408</v>
    <v>201</v>
    <v>580.01</v>
    <v>532218867014</v>
    <v>MASTERCARD INCORPORATED.</v>
    <v>MASTERCARD INCORPORATED.</v>
    <v>581.04</v>
    <v>39.703400000000002</v>
    <v>579.38</v>
    <v>588.73</v>
    <v>588.73</v>
    <v>904011800</v>
    <v>MA</v>
    <v>MASTERCARD INCORPORATED. (XNYS:MA)</v>
    <v>2396537</v>
    <v>2378562</v>
    <v>2001</v>
  </rv>
  <rv s="2">
    <v>202</v>
  </rv>
  <rv s="0">
    <v>https://www.bing.com/financeapi/forcetrigger?t=a1yuvh&amp;q=XNAS%3aNVAX&amp;form=skydnc</v>
    <v>Learn more on Bing</v>
  </rv>
  <rv s="1">
    <v>0</v>
    <v>NOVAVAX, INC. (XNAS:NVAX)</v>
    <v>2</v>
    <v>3</v>
    <v>Finance</v>
    <v>4</v>
    <v>en-US</v>
    <v>a1yuvh</v>
    <v>268435456</v>
    <v>1</v>
    <v>Powered by Refinitiv</v>
    <v>15.22</v>
    <v>5.01</v>
    <v>2.7286999999999999</v>
    <v>0.32</v>
    <v>4.0201000000000001E-2</v>
    <v>0</v>
    <v>0</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8.31</v>
    <v>Biotechnology &amp; Medical Research</v>
    <v>Stock</v>
    <v>45911.836275497655</v>
    <v>204</v>
    <v>8.01</v>
    <v>1344850848</v>
    <v>NOVAVAX, INC.</v>
    <v>NOVAVAX, INC.</v>
    <v>8.02</v>
    <v>3.6200999999999999</v>
    <v>7.96</v>
    <v>8.2799999999999994</v>
    <v>8.2799999999999994</v>
    <v>162421600</v>
    <v>NVAX</v>
    <v>NOVAVAX, INC. (XNAS:NVAX)</v>
    <v>4187341</v>
    <v>8438795</v>
    <v>1987</v>
  </rv>
  <rv s="2">
    <v>205</v>
  </rv>
  <rv s="0">
    <v>http://en.wikipedia.org/wiki/Novartis</v>
    <v>Wikipedia</v>
  </rv>
  <rv s="4">
    <v>39</v>
    <v>207</v>
  </rv>
  <rv s="5">
    <v>15</v>
    <v>https://www.bing.com/th?id=AMMS_3a4201ed5d487670c98d0ce5663b2ca7&amp;qlt=95</v>
    <v>208</v>
    <v>0</v>
    <v>https://www.bing.com/images/search?form=xlimg&amp;q=novartis</v>
    <v>Image of Novartis Inc.</v>
  </rv>
  <rv s="0">
    <v>https://www.bing.com/financeapi/forcetrigger?t=a1yw77&amp;q=XNYS%3aNVS&amp;form=skydnc</v>
    <v>Learn more on Bing</v>
  </rv>
  <rv s="6">
    <v>11</v>
    <v>Novartis Inc. (XNYS:NVS)</v>
    <v>13</v>
    <v>14</v>
    <v>Finance</v>
    <v>4</v>
    <v>en-US</v>
    <v>a1yw77</v>
    <v>268435456</v>
    <v>1</v>
    <v>Powered by Refinitiv</v>
    <v>130.46</v>
    <v>96.061999999999998</v>
    <v>0.63460000000000005</v>
    <v>1.1299999999999999</v>
    <v>8.9289999999999994E-3</v>
    <v>0.02</v>
    <v>1.5660000000000001E-4</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128.05000000000001</v>
    <v>209</v>
    <v>Pharmaceuticals</v>
    <v>Stock</v>
    <v>45911.836293935157</v>
    <v>210</v>
    <v>127.345</v>
    <v>266339700000</v>
    <v>Novartis Inc.</v>
    <v>Novartis Inc.</v>
    <v>127.53</v>
    <v>18.610900000000001</v>
    <v>126.55</v>
    <v>127.68</v>
    <v>127.7</v>
    <v>2112422000</v>
    <v>NVS</v>
    <v>Novartis Inc. (XNYS:NVS)</v>
    <v>896482</v>
    <v>1201427</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0.96350000000000002</v>
    <v>-0.3</v>
    <v>-6.4780000000000003E-3</v>
    <v>-0.16</v>
    <v>-3.4780000000000002E-3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46.26</v>
    <v>Oil &amp; Gas</v>
    <v>Stock</v>
    <v>45911.836471678122</v>
    <v>213</v>
    <v>45.59</v>
    <v>45294075198</v>
    <v>OCCIDENTAL PETROLEUM CORPORATION</v>
    <v>OCCIDENTAL PETROLEUM CORPORATION</v>
    <v>45.78</v>
    <v>27.101400000000002</v>
    <v>46.31</v>
    <v>46.01</v>
    <v>45.85</v>
    <v>984439800</v>
    <v>OXY</v>
    <v>OCCIDENTAL PETROLEUM CORPORATION (XNYS:OXY)</v>
    <v>5050047</v>
    <v>9043988</v>
    <v>1986</v>
  </rv>
  <rv s="2">
    <v>214</v>
  </rv>
  <rv s="0">
    <v>https://www.bing.com/financeapi/forcetrigger?t=a1zqnm&amp;q=XNYS%3aPFE&amp;form=skydnc</v>
    <v>Learn more on Bing</v>
  </rv>
  <rv s="1">
    <v>0</v>
    <v>PFIZER INC. (XNYS:PFE)</v>
    <v>2</v>
    <v>3</v>
    <v>Finance</v>
    <v>4</v>
    <v>en-US</v>
    <v>a1zqnm</v>
    <v>268435456</v>
    <v>1</v>
    <v>Powered by Refinitiv</v>
    <v>30.43</v>
    <v>20.914999999999999</v>
    <v>0.50729999999999997</v>
    <v>0.28000000000000003</v>
    <v>1.1396E-2</v>
    <v>-0.04</v>
    <v>-1.6100000000000001E-3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24.86</v>
    <v>Pharmaceuticals</v>
    <v>Stock</v>
    <v>45911.83648788125</v>
    <v>216</v>
    <v>24.54</v>
    <v>141285917500</v>
    <v>PFIZER INC.</v>
    <v>PFIZER INC.</v>
    <v>24.6</v>
    <v>18.020299999999999</v>
    <v>24.57</v>
    <v>24.85</v>
    <v>24.81</v>
    <v>5685550000</v>
    <v>PFE</v>
    <v>PFIZER INC. (XNYS:PFE)</v>
    <v>36659223</v>
    <v>38236759</v>
    <v>1942</v>
  </rv>
  <rv s="2">
    <v>217</v>
  </rv>
  <rv s="0">
    <v>https://www.bing.com/financeapi/forcetrigger?t=a2215r&amp;q=XNYS%3aRIG&amp;form=skydnc</v>
    <v>Learn more on Bing</v>
  </rv>
  <rv s="1">
    <v>0</v>
    <v>Transocean Ltd (XNYS:RIG)</v>
    <v>2</v>
    <v>3</v>
    <v>Finance</v>
    <v>4</v>
    <v>en-US</v>
    <v>a2215r</v>
    <v>268435456</v>
    <v>1</v>
    <v>Powered by Refinitiv</v>
    <v>4.76</v>
    <v>1.97</v>
    <v>2.6899000000000002</v>
    <v>2.5000000000000001E-2</v>
    <v>7.7159999999999998E-3</v>
    <v>-5.0000000000000001E-3</v>
    <v>-1.5310000000000002E-3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3.27</v>
    <v>Oil &amp; Gas Related Equipment and Services</v>
    <v>Stock</v>
    <v>45911.83627532344</v>
    <v>219</v>
    <v>3.2</v>
    <v>3079303125</v>
    <v>Transocean Ltd</v>
    <v>Transocean Ltd</v>
    <v>3.2050000000000001</v>
    <v>0</v>
    <v>3.24</v>
    <v>3.2650000000000001</v>
    <v>3.26</v>
    <v>943125000</v>
    <v>RIG</v>
    <v>Transocean Ltd (XNYS:RIG)</v>
    <v>19426689</v>
    <v>22368094</v>
    <v>2008</v>
  </rv>
  <rv s="2">
    <v>220</v>
  </rv>
  <rv s="0">
    <v>https://www.bing.com/financeapi/forcetrigger?t=a228w7&amp;q=XNYS%3aRRC&amp;form=skydnc</v>
    <v>Learn more on Bing</v>
  </rv>
  <rv s="1">
    <v>0</v>
    <v>RANGE RESOURCES CORPORATION (XNYS:RRC)</v>
    <v>2</v>
    <v>3</v>
    <v>Finance</v>
    <v>4</v>
    <v>en-US</v>
    <v>a228w7</v>
    <v>268435456</v>
    <v>1</v>
    <v>Powered by Refinitiv</v>
    <v>43.5</v>
    <v>28</v>
    <v>0.505</v>
    <v>0.33</v>
    <v>9.4720000000000013E-3</v>
    <v>0.01</v>
    <v>2.8430000000000003E-4</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35.19</v>
    <v>Oil &amp; Gas</v>
    <v>Stock</v>
    <v>45911.836363367969</v>
    <v>222</v>
    <v>34.340000000000003</v>
    <v>8377180987</v>
    <v>RANGE RESOURCES CORPORATION</v>
    <v>RANGE RESOURCES CORPORATION</v>
    <v>34.4</v>
    <v>31.5398</v>
    <v>34.840000000000003</v>
    <v>35.17</v>
    <v>35.18</v>
    <v>238191100</v>
    <v>RRC</v>
    <v>RANGE RESOURCES CORPORATION (XNYS:RRC)</v>
    <v>3335711</v>
    <v>2482191</v>
    <v>1980</v>
  </rv>
  <rv s="2">
    <v>223</v>
  </rv>
  <rv s="0">
    <v>https://www.bing.com/financeapi/forcetrigger?t=a23i8m&amp;q=XNYS%3aSQ&amp;form=skydnc</v>
    <v>Learn more on Bing</v>
  </rv>
  <rv s="1">
    <v>0</v>
    <v>BLOCK, INC. (XNYS:XYZ)</v>
    <v>2</v>
    <v>3</v>
    <v>Finance</v>
    <v>4</v>
    <v>en-US</v>
    <v>a23i8m</v>
    <v>268435456</v>
    <v>1</v>
    <v>Powered by Refinitiv</v>
    <v>99.26</v>
    <v>44.27</v>
    <v>2.7443</v>
    <v>0.46</v>
    <v>6.2370000000000004E-3</v>
    <v>-0.05</v>
    <v>-6.7380000000000001E-4</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74.77</v>
    <v>Professional &amp; Commercial Services</v>
    <v>Stock</v>
    <v>45911.836450775001</v>
    <v>225</v>
    <v>73.446200000000005</v>
    <v>45237228640</v>
    <v>BLOCK, INC.</v>
    <v>BLOCK, INC.</v>
    <v>73.930000000000007</v>
    <v>43.823099999999997</v>
    <v>73.75</v>
    <v>74.209999999999994</v>
    <v>74.16</v>
    <v>609584000</v>
    <v>XYZ</v>
    <v>BLOCK, INC. (XNYS:XYZ)</v>
    <v>4186464</v>
    <v>7380247</v>
    <v>2009</v>
  </rv>
  <rv s="2">
    <v>226</v>
  </rv>
  <rv s="0">
    <v>https://www.bing.com/financeapi/forcetrigger?t=a2475r&amp;q=XNYS%3aTHC&amp;form=skydnc</v>
    <v>Learn more on Bing</v>
  </rv>
  <rv s="1">
    <v>0</v>
    <v>TENET HEALTHCARE CORPORATION (XNYS:THC)</v>
    <v>2</v>
    <v>3</v>
    <v>Finance</v>
    <v>4</v>
    <v>en-US</v>
    <v>a2475r</v>
    <v>268435456</v>
    <v>1</v>
    <v>Powered by Refinitiv</v>
    <v>199.99</v>
    <v>109.82389999999999</v>
    <v>1.5188999999999999</v>
    <v>1.54</v>
    <v>8.0300000000000007E-3</v>
    <v>0.06</v>
    <v>3.1040000000000001E-4</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194.74250000000001</v>
    <v>Healthcare Providers &amp; Services</v>
    <v>Stock</v>
    <v>45911.836262522658</v>
    <v>228</v>
    <v>191.39</v>
    <v>17080015320</v>
    <v>TENET HEALTHCARE CORPORATION</v>
    <v>TENET HEALTHCARE CORPORATION</v>
    <v>192</v>
    <v>12.782</v>
    <v>191.78</v>
    <v>193.32</v>
    <v>193.38</v>
    <v>88351000</v>
    <v>THC</v>
    <v>TENET HEALTHCARE CORPORATION (XNYS:THC)</v>
    <v>1166556</v>
    <v>1012095</v>
    <v>1975</v>
  </rv>
  <rv s="2">
    <v>229</v>
  </rv>
  <rv s="0">
    <v>https://www.bing.com/financeapi/forcetrigger?t=a265bh&amp;q=XNYS%3aX&amp;form=skydnc</v>
    <v>Learn more on Bing</v>
  </rv>
  <rv s="3">
    <v>5</v>
    <v>UNITED STATES STEEL CORPORATION (XNYS:X)</v>
    <v>2</v>
    <v>22</v>
    <v>Finance</v>
    <v>23</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1">
    <v>29</v>
    <v>iShs Digtl Sec UCITS ETF USD A (XLON:LOCK)</v>
    <v>30</v>
    <v>31</v>
    <v>Finance</v>
    <v>32</v>
    <v>en-US</v>
    <v>bhz7hw</v>
    <v>268435456</v>
    <v>1</v>
    <v>Powered by Refinitiv</v>
    <v>10.398</v>
    <v>7.351</v>
    <v>0.62690000000000001</v>
    <v>0.108</v>
    <v>1.0496E-2</v>
    <v>USD</v>
    <v>London Stock Exchange</v>
    <v>XLON</v>
    <v>4.0000000000000001E-3</v>
    <v>10.398</v>
    <v>ETF</v>
    <v>45911.651458599219</v>
    <v>234</v>
    <v>10.26</v>
    <v>1682169289.8099999</v>
    <v>iShs Digtl Sec UCITS ETF USD A</v>
    <v>10.266</v>
    <v>10.29</v>
    <v>10.398</v>
    <v>LOCK</v>
    <v>iShs Digtl Sec UCITS ETF USD A (XLON:LOCK)</v>
    <v>33165</v>
  </rv>
  <rv s="2">
    <v>235</v>
  </rv>
  <rv s="12">
    <v>12</v>
    <v>Volume average</v>
    <v>0</v>
  </rv>
  <rv s="13">
    <v>12</v>
    <v>1</v>
  </rv>
  <rv s="14">
    <v>33</v>
    <v>EUR/USD</v>
    <v>34</v>
    <v>35</v>
    <v>Finance</v>
    <v>36</v>
    <v>en-US</v>
    <v>av932w</v>
    <v>268435456</v>
    <v>1</v>
    <v>Powered by Refinitiv</v>
    <v>1.1829000000000001</v>
    <v>1.0176000000000001</v>
    <v>4.4000000000000003E-3</v>
    <v>3.7630000000000003E-3</v>
    <v>USD</v>
    <v>EUR</v>
    <v>1.1745000000000001</v>
    <v>Currency Pair</v>
    <v>45911.836597222224</v>
    <v>1.1665000000000001</v>
    <v>Euro/US Dollar FX Spot Rate</v>
    <v>1.1693</v>
    <v>1.1693</v>
    <v>1.1737</v>
    <v>EURUSD</v>
    <v>EUR/USD</v>
  </rv>
  <rv s="2">
    <v>239</v>
  </rv>
  <rv s="14">
    <v>33</v>
    <v>EUR/CHF</v>
    <v>34</v>
    <v>37</v>
    <v>Finance</v>
    <v>36</v>
    <v>en-US</v>
    <v>av923m</v>
    <v>268435456</v>
    <v>1</v>
    <v>Powered by Refinitiv</v>
    <v>0.96609999999999996</v>
    <v>0.92</v>
    <v>-5.0000000000000001E-4</v>
    <v>-5.352E-4</v>
    <v>CHF</v>
    <v>EUR</v>
    <v>0.9355</v>
    <v>Currency Pair</v>
    <v>45911.836597222224</v>
    <v>0.93340000000000001</v>
    <v>Euro/Swiss Franc FX Cross Rate</v>
    <v>0.93430000000000002</v>
    <v>0.93430000000000002</v>
    <v>0.93379999999999996</v>
    <v>EURCHF</v>
    <v>EUR/CHF</v>
  </rv>
  <rv s="2">
    <v>241</v>
  </rv>
  <rv s="14">
    <v>33</v>
    <v>EUR/GBP</v>
    <v>34</v>
    <v>38</v>
    <v>Finance</v>
    <v>36</v>
    <v>en-US</v>
    <v>av92z2</v>
    <v>268435456</v>
    <v>1</v>
    <v>Powered by Refinitiv</v>
    <v>0.87629999999999997</v>
    <v>0.82189999999999996</v>
    <v>1E-4</v>
    <v>1.1570000000000001E-4</v>
    <v>GBP</v>
    <v>EUR</v>
    <v>0.86619999999999997</v>
    <v>Currency Pair</v>
    <v>45911.836585648147</v>
    <v>0.86350000000000005</v>
    <v>Euro/UK Pound Sterling FX Cross Rate</v>
    <v>0.86409999999999998</v>
    <v>0.86409999999999998</v>
    <v>0.86419999999999997</v>
    <v>EURGBP</v>
    <v>EUR/GBP</v>
  </rv>
  <rv s="2">
    <v>243</v>
  </rv>
  <rv s="14">
    <v>33</v>
    <v>EUR/AUD</v>
    <v>34</v>
    <v>39</v>
    <v>Finance</v>
    <v>36</v>
    <v>en-US</v>
    <v>av8sfr</v>
    <v>268435456</v>
    <v>1</v>
    <v>Powered by Refinitiv</v>
    <v>1.8554999999999999</v>
    <v>1.5899000000000001</v>
    <v>-6.6E-3</v>
    <v>-3.7330000000000002E-3</v>
    <v>AUD</v>
    <v>EUR</v>
    <v>1.7722</v>
    <v>Currency Pair</v>
    <v>45911.836608796293</v>
    <v>1.7611000000000001</v>
    <v>Euro/Australian Dollar FX Cross Rate</v>
    <v>1.7679</v>
    <v>1.7679</v>
    <v>1.7613000000000001</v>
    <v>EURAUD</v>
    <v>EUR/AUD</v>
  </rv>
  <rv s="2">
    <v>245</v>
  </rv>
  <rv s="14">
    <v>33</v>
    <v>EUR/CAD</v>
    <v>34</v>
    <v>40</v>
    <v>Finance</v>
    <v>36</v>
    <v>en-US</v>
    <v>av8ttc</v>
    <v>268435456</v>
    <v>1</v>
    <v>Powered by Refinitiv</v>
    <v>1.627</v>
    <v>1.4484999999999999</v>
    <v>2.5999999999999999E-3</v>
    <v>1.604E-3</v>
    <v>CAD</v>
    <v>EUR</v>
    <v>1.627</v>
    <v>Currency Pair</v>
    <v>45911.836608796293</v>
    <v>1.62</v>
    <v>Euro/Canadian Dollar FX Cross Rate</v>
    <v>1.6209</v>
    <v>1.6209</v>
    <v>1.6234999999999999</v>
    <v>EURCAD</v>
    <v>EUR/CAD</v>
  </rv>
  <rv s="2">
    <v>247</v>
  </rv>
  <rv s="14">
    <v>33</v>
    <v>USD/JPY</v>
    <v>34</v>
    <v>41</v>
    <v>Finance</v>
    <v>36</v>
    <v>en-US</v>
    <v>avyomw</v>
    <v>268435456</v>
    <v>1</v>
    <v>Powered by Refinitiv</v>
    <v>158.87</v>
    <v>139.56</v>
    <v>-0.28999999999999998</v>
    <v>-1.967E-3</v>
    <v>JPY</v>
    <v>USD</v>
    <v>147.99</v>
    <v>Currency Pair</v>
    <v>45911.836585648147</v>
    <v>146.99</v>
    <v>US Dollar/Japanese Yen FX Spot Rate</v>
    <v>147.46</v>
    <v>147.46</v>
    <v>147.16999999999999</v>
    <v>USDJPY</v>
    <v>USD/JPY</v>
  </rv>
  <rv s="2">
    <v>249</v>
  </rv>
  <rv s="14">
    <v>33</v>
    <v>USD/CHF</v>
    <v>34</v>
    <v>37</v>
    <v>Finance</v>
    <v>36</v>
    <v>en-US</v>
    <v>avyt7w</v>
    <v>268435456</v>
    <v>1</v>
    <v>Powered by Refinitiv</v>
    <v>0.92</v>
    <v>0.78690000000000004</v>
    <v>-3.3999999999999998E-3</v>
    <v>-4.2550000000000001E-3</v>
    <v>CHF</v>
    <v>USD</v>
    <v>0.8004</v>
    <v>Currency Pair</v>
    <v>45911.836574074077</v>
    <v>0.79490000000000005</v>
    <v>US Dollar/Swiss Franc FX Spot Rate</v>
    <v>0.79879999999999995</v>
    <v>0.79900000000000004</v>
    <v>0.79559999999999997</v>
    <v>USDCHF</v>
    <v>USD/CHF</v>
  </rv>
  <rv s="2">
    <v>251</v>
  </rv>
  <rv s="14">
    <v>33</v>
    <v>USD/GBP</v>
    <v>34</v>
    <v>38</v>
    <v>Finance</v>
    <v>36</v>
    <v>en-US</v>
    <v>avyu4c</v>
    <v>268435456</v>
    <v>1</v>
    <v>Powered by Refinitiv</v>
    <v>0.82650000000000001</v>
    <v>0.72509999999999997</v>
    <v>-2.7309999999999999E-3</v>
    <v>-3.6959999999999996E-3</v>
    <v>GBP</v>
    <v>USD</v>
    <v>0.74099999999999999</v>
    <v>Currency Pair</v>
    <v>45911.836527777778</v>
    <v>0.73629999999999995</v>
    <v>US Dollar/UK Pound Sterling FX Cross Rate</v>
    <v>0.73899999999999999</v>
    <v>0.73899999999999999</v>
    <v>0.73629999999999995</v>
    <v>USDGBP</v>
    <v>USD/GBP</v>
  </rv>
  <rv s="2">
    <v>253</v>
  </rv>
  <rv s="0">
    <v>https://www.bing.com/financeapi/forcetrigger?t=a6qja2&amp;q=DOW+JONES+INDU+AVERAGE+NDX&amp;form=skydnc</v>
    <v>Learn more on Bing</v>
  </rv>
  <rv s="15">
    <v>42</v>
    <v>DOW JONES INDU AVERAGE NDX</v>
    <v>30</v>
    <v>43</v>
    <v>Finance</v>
    <v>44</v>
    <v>en-US</v>
    <v>a6qja2</v>
    <v>268435456</v>
    <v>1</v>
    <v>Powered by Refinitiv</v>
    <v>46137.2</v>
    <v>36611.78</v>
    <v>617.08000000000004</v>
    <v>1.3565000000000001E-2</v>
    <v>US</v>
    <v>46137.2</v>
    <v>Index</v>
    <v>255</v>
    <v>45577.09</v>
    <v>DOW JONES INDU AVERAGE NDX</v>
    <v>45577.09</v>
    <v>45490.92</v>
    <v>46108</v>
    <v>DJI</v>
    <v>DOW JONES INDU AVERAGE NDX</v>
  </rv>
  <rv s="2">
    <v>256</v>
  </rv>
  <rv s="0">
    <v>https://www.bing.com/financeapi/forcetrigger?t=bxjpp2&amp;q=XLON%3aXNAS&amp;form=skydnc</v>
    <v>Learn more on Bing</v>
  </rv>
  <rv s="11">
    <v>29</v>
    <v>X NASDAQ 100 UCITS ETF 1C (XLON:XNAS)</v>
    <v>30</v>
    <v>31</v>
    <v>Finance</v>
    <v>32</v>
    <v>en-US</v>
    <v>bxjpp2</v>
    <v>268435456</v>
    <v>1</v>
    <v>Powered by Refinitiv</v>
    <v>55.56</v>
    <v>37.74</v>
    <v>1.1145</v>
    <v>0.26</v>
    <v>4.7020000000000005E-3</v>
    <v>USD</v>
    <v>London Stock Exchange</v>
    <v>XLON</v>
    <v>2E-3</v>
    <v>55.56</v>
    <v>ETF</v>
    <v>45911.649340277778</v>
    <v>258</v>
    <v>55.27</v>
    <v>1633405820.54</v>
    <v>X NASDAQ 100 UCITS ETF 1C</v>
    <v>55.28</v>
    <v>55.3</v>
    <v>55.56</v>
    <v>XNAS</v>
    <v>X NASDAQ 100 UCITS ETF 1C (XLON:XNAS)</v>
    <v>28115</v>
  </rv>
  <rv s="2">
    <v>259</v>
  </rv>
  <rv s="12">
    <v>12</v>
    <v>Instrument type</v>
    <v>0</v>
  </rv>
  <rv s="0">
    <v>https://www.bing.com/financeapi/forcetrigger?t=a1qqvh&amp;q=XNAS%3aDAX&amp;form=skydnc</v>
    <v>Learn more on Bing</v>
  </rv>
  <rv s="16">
    <v>45</v>
    <v>Glbl X DAX Germany (XNAS:DAX)</v>
    <v>30</v>
    <v>46</v>
    <v>Finance</v>
    <v>47</v>
    <v>en-US</v>
    <v>a1qqvh</v>
    <v>268435456</v>
    <v>1</v>
    <v>Powered by Refinitiv</v>
    <v>46.088799999999999</v>
    <v>32.33</v>
    <v>1.0944</v>
    <v>0.43</v>
    <v>9.781999999999999E-3</v>
    <v>0</v>
    <v>0</v>
    <v>USD</v>
    <v>Nasdaq Stock Market</v>
    <v>XNAS</v>
    <v>2E-3</v>
    <v>44.435000000000002</v>
    <v>ETF</v>
    <v>45911.836282303128</v>
    <v>262</v>
    <v>44.164900000000003</v>
    <v>305665362.13999999</v>
    <v>Glbl X DAX Germany</v>
    <v>44.22</v>
    <v>43.96</v>
    <v>44.39</v>
    <v>44.39</v>
    <v>DAX</v>
    <v>Glbl X DAX Germany (XNAS:DAX)</v>
    <v>66766</v>
    <v>62274</v>
  </rv>
  <rv s="2">
    <v>263</v>
  </rv>
</rvData>
</file>

<file path=xl/richData/rdrichvaluestructure.xml><?xml version="1.0" encoding="utf-8"?>
<rvStructures xmlns="http://schemas.microsoft.com/office/spreadsheetml/2017/richdata" count="17">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4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0</v>
      <v>0</v>
    </spb>
    <spb s="9">
      <v>12</v>
      <v>1</v>
      <v>1</v>
      <v>1</v>
      <v>1</v>
    </spb>
    <spb s="10">
      <v>1</v>
      <v>2</v>
      <v>2</v>
      <v>1</v>
      <v>3</v>
      <v>1</v>
      <v>15</v>
      <v>1</v>
      <v>1</v>
      <v>4</v>
      <v>4</v>
      <v>5</v>
      <v>6</v>
      <v>1</v>
      <v>1</v>
      <v>1</v>
      <v>4</v>
      <v>7</v>
      <v>8</v>
      <v>9</v>
      <v>4</v>
      <v>1</v>
      <v>1</v>
      <v>5</v>
    </spb>
    <spb s="11">
      <v>Powered by Refinitiv</v>
    </spb>
    <spb s="5">
      <v>1</v>
      <v>2</v>
      <v>2</v>
      <v>1</v>
      <v>3</v>
      <v>1</v>
      <v>1</v>
      <v>1</v>
      <v>4</v>
      <v>4</v>
      <v>5</v>
      <v>16</v>
      <v>1</v>
      <v>1</v>
      <v>1</v>
      <v>4</v>
      <v>7</v>
      <v>8</v>
      <v>9</v>
      <v>4</v>
    </spb>
    <spb s="0">
      <v>3</v>
      <v>Name</v>
      <v>LearnMoreOnLink</v>
    </spb>
    <spb s="12">
      <v>12</v>
      <v>2</v>
      <v>12</v>
      <v>3</v>
      <v>12</v>
      <v>12</v>
      <v>12</v>
      <v>4</v>
      <v>4</v>
      <v>5</v>
      <v>13</v>
      <v>12</v>
      <v>12</v>
      <v>12</v>
      <v>4</v>
      <v>7</v>
      <v>8</v>
      <v>9</v>
      <v>4</v>
    </spb>
    <spb s="0">
      <v>4</v>
      <v>Name</v>
      <v>LearnMoreOnLink</v>
    </spb>
    <spb s="13">
      <v>1</v>
      <v>2</v>
      <v>2</v>
      <v>1</v>
      <v>3</v>
      <v>1</v>
      <v>15</v>
      <v>1</v>
      <v>1</v>
      <v>4</v>
      <v>4</v>
      <v>5</v>
      <v>17</v>
      <v>1</v>
      <v>1</v>
      <v>1</v>
      <v>4</v>
      <v>7</v>
      <v>8</v>
      <v>9</v>
      <v>4</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4">
      <v>5</v>
      <v>Name</v>
    </spb>
    <spb s="15">
      <v>1</v>
      <v>1</v>
      <v>1</v>
    </spb>
    <spb s="0">
      <v>6</v>
      <v>Name</v>
      <v>LearnMoreOnLink</v>
    </spb>
    <spb s="16">
      <v>12</v>
      <v>2</v>
      <v>2</v>
      <v>12</v>
      <v>3</v>
      <v>12</v>
      <v>12</v>
      <v>12</v>
      <v>4</v>
      <v>4</v>
      <v>5</v>
      <v>13</v>
      <v>12</v>
      <v>12</v>
      <v>12</v>
      <v>4</v>
      <v>7</v>
      <v>9</v>
      <v>4</v>
    </spb>
    <spb s="6">
      <v>Delayed 15 minutes</v>
      <v>from previous close</v>
      <v>from previous close</v>
      <v>Borsa Italia</v>
      <v>GMT</v>
    </spb>
    <spb s="0">
      <v>7</v>
      <v>Name</v>
      <v>LearnMoreOnLink</v>
    </spb>
    <spb s="17">
      <v>1</v>
      <v>1</v>
      <v>1</v>
    </spb>
    <spb s="18">
      <v>1</v>
      <v>2</v>
      <v>1</v>
      <v>3</v>
      <v>1</v>
      <v>1</v>
      <v>1</v>
      <v>4</v>
      <v>5</v>
      <v>6</v>
      <v>1</v>
      <v>1</v>
      <v>5</v>
      <v>1</v>
      <v>7</v>
      <v>9</v>
    </spb>
    <spb s="19">
      <v>Delayed 15 minutes</v>
      <v>from previous close</v>
      <v>LSE</v>
      <v>from previous close</v>
      <v>GMT</v>
    </spb>
    <spb s="14">
      <v>8</v>
      <v>Name</v>
    </spb>
    <spb s="20">
      <v>1</v>
      <v>1</v>
    </spb>
    <spb s="21">
      <v>1</v>
      <v>1</v>
      <v>3</v>
      <v>1</v>
      <v>1</v>
      <v>1</v>
      <v>5</v>
      <v>1</v>
      <v>1</v>
      <v>1</v>
      <v>7</v>
      <v>9</v>
    </spb>
    <spb s="22">
      <v>GMT</v>
    </spb>
    <spb s="21">
      <v>18</v>
      <v>18</v>
      <v>3</v>
      <v>18</v>
      <v>18</v>
      <v>18</v>
      <v>5</v>
      <v>18</v>
      <v>18</v>
      <v>18</v>
      <v>7</v>
      <v>9</v>
    </spb>
    <spb s="21">
      <v>20</v>
      <v>20</v>
      <v>3</v>
      <v>20</v>
      <v>20</v>
      <v>20</v>
      <v>5</v>
      <v>20</v>
      <v>20</v>
      <v>20</v>
      <v>7</v>
      <v>9</v>
    </spb>
    <spb s="21">
      <v>21</v>
      <v>21</v>
      <v>3</v>
      <v>21</v>
      <v>21</v>
      <v>21</v>
      <v>5</v>
      <v>21</v>
      <v>21</v>
      <v>21</v>
      <v>7</v>
      <v>9</v>
    </spb>
    <spb s="21">
      <v>22</v>
      <v>22</v>
      <v>3</v>
      <v>22</v>
      <v>22</v>
      <v>22</v>
      <v>5</v>
      <v>22</v>
      <v>22</v>
      <v>22</v>
      <v>7</v>
      <v>9</v>
    </spb>
    <spb s="21">
      <v>23</v>
      <v>23</v>
      <v>3</v>
      <v>23</v>
      <v>23</v>
      <v>23</v>
      <v>5</v>
      <v>23</v>
      <v>23</v>
      <v>23</v>
      <v>7</v>
      <v>9</v>
    </spb>
    <spb s="0">
      <v>9</v>
      <v>Name</v>
      <v>LearnMoreOnLink</v>
    </spb>
    <spb s="23">
      <v>1</v>
      <v>1</v>
      <v>3</v>
      <v>1</v>
      <v>1</v>
      <v>1</v>
      <v>5</v>
      <v>1</v>
      <v>1</v>
      <v>1</v>
      <v>9</v>
    </spb>
    <spb s="24">
      <v>from previous close</v>
      <v>from previous close</v>
    </spb>
    <spb s="0">
      <v>10</v>
      <v>Name</v>
      <v>LearnMoreOnLink</v>
    </spb>
    <spb s="25">
      <v>1</v>
      <v>2</v>
      <v>1</v>
      <v>3</v>
      <v>1</v>
      <v>1</v>
      <v>1</v>
      <v>4</v>
      <v>5</v>
      <v>6</v>
      <v>1</v>
      <v>1</v>
      <v>5</v>
      <v>1</v>
      <v>4</v>
      <v>7</v>
      <v>9</v>
      <v>1</v>
      <v>1</v>
      <v>5</v>
    </spb>
    <spb s="26">
      <v>at close</v>
      <v>from previous close</v>
      <v>Source: Nasdaq Last Sale</v>
      <v>from previous close</v>
      <v>GMT</v>
      <v>Real-Time Nasdaq Last Sale</v>
      <v>from close</v>
      <v>from close</v>
    </spb>
  </spbData>
</supportingPropertyBags>
</file>

<file path=xl/richData/rdsupportingpropertybagstructure.xml><?xml version="1.0" encoding="utf-8"?>
<spbStructures xmlns="http://schemas.microsoft.com/office/spreadsheetml/2017/richdata2" count="2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calculatedColumnFormula>[1]Sheet2!$E2</calculatedColumnFormula>
    </tableColumn>
    <tableColumn id="9" xr3:uid="{82656052-4D5E-8C41-9A70-30228A467DE8}" name="Ddate" dataDxfId="13" totalsRowDxfId="12">
      <calculatedColumnFormula>[1]Sheet2!$F2</calculatedColumnFormula>
    </tableColumn>
    <tableColumn id="15" xr3:uid="{FA897C27-6E9E-4C44-A46F-4D6AD99895C6}" name="EarningDate" dataDxfId="11" totalsRowDxfId="10">
      <calculatedColumnFormula>[1]Sheet2!$G2</calculatedColumnFormula>
    </tableColumn>
    <tableColumn id="1" xr3:uid="{4849786B-34A5-AF4F-84A7-3D73882815FC}" name="RepDiv" dataDxfId="9">
      <calculatedColumnFormula>[1]Sheet2!$H2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2">
      <calculatedColumnFormula array="1">_FV(A98,"Price")</calculatedColumnFormula>
    </tableColumn>
    <tableColumn id="3" xr3:uid="{7735EDB4-8F6C-2B4F-9D87-70384666EE29}" name="52 W High" dataDxfId="1">
      <calculatedColumnFormula array="1">_FV(A98,"52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M3" activePane="bottomRight" state="frozen"/>
      <selection pane="topRight" activeCell="B1" sqref="B1"/>
      <selection pane="bottomLeft" activeCell="A3" sqref="A3"/>
      <selection pane="bottomRight"/>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45911.83663319375</v>
      </c>
      <c r="B1" s="2" t="s">
        <v>0</v>
      </c>
      <c r="C1" s="2"/>
      <c r="D1" s="3"/>
      <c r="E1" s="4" t="s">
        <v>0</v>
      </c>
      <c r="F1" s="5">
        <f ca="1">NOW()</f>
        <v>45911.920918055555</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0.85200647524921191</v>
      </c>
      <c r="C3" s="16" t="e" vm="1">
        <v>#VALUE!</v>
      </c>
      <c r="D3" s="17" t="str" cm="1">
        <f t="array" aca="1" ref="D3" ca="1">_FV(RTData[[#This Row],[Company Name]],"Currency")</f>
        <v>USD</v>
      </c>
      <c r="E3" s="18" cm="1">
        <f t="array" aca="1" ref="E3" ca="1">_FV(RTData[[#This Row],[Company Name]],"Last trade time",TRUE)</f>
        <v>45911.836584513279</v>
      </c>
      <c r="F3" s="19" cm="1">
        <f t="array" aca="1" ref="F3" ca="1">_FV(RTData[[#This Row],[Company Name]],"Previous close",TRUE)</f>
        <v>226.79</v>
      </c>
      <c r="G3" s="19" cm="1">
        <f t="array" aca="1" ref="G3" ca="1">_FV(RTData[[#This Row],[Company Name]],"Open")</f>
        <v>226.75</v>
      </c>
      <c r="H3" s="19" cm="1">
        <f t="array" aca="1" ref="H3" ca="1">_FV(RTData[[#This Row],[Company Name]],"Price")</f>
        <v>230.03</v>
      </c>
      <c r="I3" s="19" cm="1">
        <f t="array" aca="1" ref="I3" ca="1">_FV(RTData[[#This Row],[Company Name]],"Low")</f>
        <v>226.65</v>
      </c>
      <c r="J3" s="19" cm="1">
        <f t="array" aca="1" ref="J3" ca="1">_FV(RTData[[#This Row],[Company Name]],"High")</f>
        <v>230.45</v>
      </c>
      <c r="K3" s="20" cm="1">
        <f t="array" aca="1" ref="K3" ca="1">IFERROR(_FV(RTData[[#This Row],[Company Name]],"P/E",TRUE),99)</f>
        <v>31.727</v>
      </c>
      <c r="L3" s="21" cm="1">
        <f t="array" aca="1" ref="L3" ca="1">_FV(RTData[[#This Row],[Company Name]],"Change")</f>
        <v>3.24</v>
      </c>
      <c r="M3" s="22" cm="1">
        <f t="array" aca="1" ref="M3" ca="1">_FV(RTData[[#This Row],[Company Name]],"Change (%)",TRUE)</f>
        <v>1.4286E-2</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49895065</v>
      </c>
      <c r="Q3" s="23" cm="1">
        <f t="array" aca="1" ref="Q3" ca="1">_FV(RTData[[#This Row],[Company Name]],"Volume average",TRUE)</f>
        <v>56244156</v>
      </c>
      <c r="R3" s="19" cm="1">
        <f t="array" aca="1" ref="R3" ca="1">_FV(RTData[[#This Row],[Company Name]],"Beta")</f>
        <v>1.0841000000000001</v>
      </c>
      <c r="T3" t="s">
        <v>20</v>
      </c>
      <c r="U3" t="str" cm="1">
        <f t="array" aca="1" ref="U3" ca="1">_FV(RTData[[#This Row],[Company Name]],"Exchange abbreviation",TRUE)</f>
        <v>XNAS</v>
      </c>
      <c r="V3" s="24">
        <f ca="1">IFERROR(RTData[[#This Row],[Volume]]/RTData[[#This Row],[Volume average]],1)</f>
        <v>0.88711554316860941</v>
      </c>
      <c r="W3" s="24"/>
      <c r="X3" s="103">
        <f>[1]Sheet2!$E2</f>
        <v>235.52553</v>
      </c>
      <c r="Y3" s="149">
        <f>[1]Sheet2!$F2</f>
        <v>45880</v>
      </c>
      <c r="Z3" s="149" t="str">
        <f>[1]Sheet2!$G2</f>
        <v>Oct 30, 2025</v>
      </c>
      <c r="AA3" s="150">
        <f>[1]Sheet2!$H2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0.85200647524921191</v>
      </c>
      <c r="C4" s="25" t="e" vm="2">
        <v>#VALUE!</v>
      </c>
      <c r="D4" s="17" t="str" cm="1">
        <f t="array" aca="1" ref="D4" ca="1">_FV(RTData[[#This Row],[Company Name]],"Currency")</f>
        <v>USD</v>
      </c>
      <c r="E4" s="18" cm="1">
        <f t="array" aca="1" ref="E4" ca="1">_FV(RTData[[#This Row],[Company Name]],"Last trade time",TRUE)</f>
        <v>45911.836292001564</v>
      </c>
      <c r="F4" s="19" cm="1">
        <f t="array" aca="1" ref="F4" ca="1">_FV(RTData[[#This Row],[Company Name]],"Previous close",TRUE)</f>
        <v>15.11</v>
      </c>
      <c r="G4" s="19" cm="1">
        <f t="array" aca="1" ref="G4" ca="1">_FV(RTData[[#This Row],[Company Name]],"Open")</f>
        <v>15.23</v>
      </c>
      <c r="H4" s="19" cm="1">
        <f t="array" aca="1" ref="H4" ca="1">_FV(RTData[[#This Row],[Company Name]],"Price")</f>
        <v>15.66</v>
      </c>
      <c r="I4" s="19" cm="1">
        <f t="array" aca="1" ref="I4" ca="1">_FV(RTData[[#This Row],[Company Name]],"Low")</f>
        <v>15.11</v>
      </c>
      <c r="J4" s="19" cm="1">
        <f t="array" aca="1" ref="J4" ca="1">_FV(RTData[[#This Row],[Company Name]],"High")</f>
        <v>15.68</v>
      </c>
      <c r="K4" s="20" cm="1">
        <f t="array" aca="1" ref="K4" ca="1">IFERROR(_FV(RTData[[#This Row],[Company Name]],"P/E",TRUE),99)</f>
        <v>21.119399999999999</v>
      </c>
      <c r="L4" s="21" cm="1">
        <f t="array" aca="1" ref="L4" ca="1">_FV(RTData[[#This Row],[Company Name]],"Change")</f>
        <v>0.55000000000000004</v>
      </c>
      <c r="M4" s="22" cm="1">
        <f t="array" aca="1" ref="M4" ca="1">_FV(RTData[[#This Row],[Company Name]],"Change (%)",TRUE)</f>
        <v>3.6400000000000002E-2</v>
      </c>
      <c r="N4" s="19" cm="1">
        <f t="array" aca="1" ref="N4" ca="1">_FV(RTData[[#This Row],[Company Name]],"52 week low",TRUE)</f>
        <v>10.59</v>
      </c>
      <c r="O4" s="19" cm="1">
        <f t="array" aca="1" ref="O4" ca="1">_FV(RTData[[#This Row],[Company Name]],"52 week high",TRUE)</f>
        <v>17.46</v>
      </c>
      <c r="P4" s="23" cm="1">
        <f t="array" aca="1" ref="P4" ca="1">_FV(RTData[[#This Row],[Company Name]],"Volume")</f>
        <v>454417</v>
      </c>
      <c r="Q4" s="23" cm="1">
        <f t="array" aca="1" ref="Q4" ca="1">_FV(RTData[[#This Row],[Company Name]],"Volume average",TRUE)</f>
        <v>523507</v>
      </c>
      <c r="R4" s="19" cm="1">
        <f t="array" aca="1" ref="R4" ca="1">_FV(RTData[[#This Row],[Company Name]],"Beta")</f>
        <v>2.5314000000000001</v>
      </c>
      <c r="T4" t="s">
        <v>20</v>
      </c>
      <c r="U4" t="str" cm="1">
        <f t="array" aca="1" ref="U4" ca="1">_FV(RTData[[#This Row],[Company Name]],"Exchange abbreviation",TRUE)</f>
        <v>XNAS</v>
      </c>
      <c r="V4" s="24">
        <f ca="1">IFERROR(RTData[[#This Row],[Volume]]/RTData[[#This Row],[Volume average]],1)</f>
        <v>0.86802468734897531</v>
      </c>
      <c r="W4" s="24"/>
      <c r="X4" s="103">
        <f>[1]Sheet2!$E3</f>
        <v>20.66667</v>
      </c>
      <c r="Y4" s="149">
        <f>[1]Sheet2!$F3</f>
        <v>45895</v>
      </c>
      <c r="Z4" s="149">
        <f>[1]Sheet2!$G3</f>
        <v>0</v>
      </c>
      <c r="AA4" s="150">
        <f>[1]Sheet2!$H3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1.1571395510298543E-2</v>
      </c>
      <c r="C5" s="25" t="e" vm="3">
        <v>#VALUE!</v>
      </c>
      <c r="D5" s="17" t="str" cm="1">
        <f t="array" aca="1" ref="D5" ca="1">_FV(RTData[[#This Row],[Company Name]],"Currency")</f>
        <v>GBp</v>
      </c>
      <c r="E5" s="18" cm="1">
        <f t="array" aca="1" ref="E5" ca="1">_FV(RTData[[#This Row],[Company Name]],"Last trade time",TRUE)</f>
        <v>45911.649449467186</v>
      </c>
      <c r="F5" s="19" cm="1">
        <f t="array" aca="1" ref="F5" ca="1">_FV(RTData[[#This Row],[Company Name]],"Previous close",TRUE)</f>
        <v>51.6</v>
      </c>
      <c r="G5" s="19" cm="1">
        <f t="array" aca="1" ref="G5" ca="1">_FV(RTData[[#This Row],[Company Name]],"Open")</f>
        <v>52.4</v>
      </c>
      <c r="H5" s="19" cm="1">
        <f t="array" aca="1" ref="H5" ca="1">_FV(RTData[[#This Row],[Company Name]],"Price")</f>
        <v>51.2</v>
      </c>
      <c r="I5" s="19" cm="1">
        <f t="array" aca="1" ref="I5" ca="1">_FV(RTData[[#This Row],[Company Name]],"Low")</f>
        <v>51</v>
      </c>
      <c r="J5" s="19" cm="1">
        <f t="array" aca="1" ref="J5" ca="1">_FV(RTData[[#This Row],[Company Name]],"High")</f>
        <v>52.4</v>
      </c>
      <c r="K5" s="20" cm="1">
        <f t="array" aca="1" ref="K5" ca="1">IFERROR(_FV(RTData[[#This Row],[Company Name]],"P/E",TRUE),99)</f>
        <v>2.7585999999999999</v>
      </c>
      <c r="L5" s="21" cm="1">
        <f t="array" aca="1" ref="L5" ca="1">_FV(RTData[[#This Row],[Company Name]],"Change")</f>
        <v>-0.4</v>
      </c>
      <c r="M5" s="22" cm="1">
        <f t="array" aca="1" ref="M5" ca="1">_FV(RTData[[#This Row],[Company Name]],"Change (%)",TRUE)</f>
        <v>-7.7520000000000002E-3</v>
      </c>
      <c r="N5" s="26" cm="1">
        <f t="array" aca="1" ref="N5" ca="1">_FV(RTData[[#This Row],[Company Name]],"52 week low",TRUE)</f>
        <v>33.064999999999998</v>
      </c>
      <c r="O5" s="26" cm="1">
        <f t="array" aca="1" ref="O5" ca="1">_FV(RTData[[#This Row],[Company Name]],"52 week high",TRUE)</f>
        <v>56.2</v>
      </c>
      <c r="P5" s="23" cm="1">
        <f t="array" aca="1" ref="P5" ca="1">_FV(RTData[[#This Row],[Company Name]],"Volume")</f>
        <v>668482</v>
      </c>
      <c r="Q5" s="23" cm="1">
        <f t="array" aca="1" ref="Q5" ca="1">_FV(RTData[[#This Row],[Company Name]],"Volume average",TRUE)</f>
        <v>1011010</v>
      </c>
      <c r="R5" s="19" cm="1">
        <f t="array" aca="1" ref="R5" ca="1">_FV(RTData[[#This Row],[Company Name]],"Beta")</f>
        <v>1.1475</v>
      </c>
      <c r="T5" t="s">
        <v>20</v>
      </c>
      <c r="U5" t="str" cm="1">
        <f t="array" aca="1" ref="U5" ca="1">_FV(RTData[[#This Row],[Company Name]],"Exchange abbreviation",TRUE)</f>
        <v>XLON</v>
      </c>
      <c r="V5" s="24">
        <f ca="1">IFERROR(RTData[[#This Row],[Volume]]/RTData[[#This Row],[Volume average]],1)</f>
        <v>0.66120216417246125</v>
      </c>
      <c r="W5" s="24"/>
      <c r="X5" s="103">
        <v>95.06</v>
      </c>
      <c r="Y5" s="149">
        <f>[1]Sheet2!$F4</f>
        <v>0</v>
      </c>
      <c r="Z5" s="149">
        <f>[1]Sheet2!$G4</f>
        <v>0</v>
      </c>
      <c r="AA5" s="150">
        <f>[1]Sheet2!$H4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0.85200647524921191</v>
      </c>
      <c r="C6" s="25" t="e" vm="4">
        <v>#VALUE!</v>
      </c>
      <c r="D6" s="17" t="str" cm="1">
        <f t="array" aca="1" ref="D6" ca="1">_FV(RTData[[#This Row],[Company Name]],"Currency")</f>
        <v>USD</v>
      </c>
      <c r="E6" s="18" cm="1">
        <f t="array" aca="1" ref="E6" ca="1">_FV(RTData[[#This Row],[Company Name]],"Last trade time",TRUE)</f>
        <v>45911.83663319375</v>
      </c>
      <c r="F6" s="19" cm="1">
        <f t="array" aca="1" ref="F6" ca="1">_FV(RTData[[#This Row],[Company Name]],"Previous close",TRUE)</f>
        <v>230.33</v>
      </c>
      <c r="G6" s="19" cm="1">
        <f t="array" aca="1" ref="G6" ca="1">_FV(RTData[[#This Row],[Company Name]],"Open")</f>
        <v>231.3</v>
      </c>
      <c r="H6" s="19" cm="1">
        <f t="array" aca="1" ref="H6" ca="1">_FV(RTData[[#This Row],[Company Name]],"Price")</f>
        <v>229.95</v>
      </c>
      <c r="I6" s="19" cm="1">
        <f t="array" aca="1" ref="I6" ca="1">_FV(RTData[[#This Row],[Company Name]],"Low")</f>
        <v>229.33770000000001</v>
      </c>
      <c r="J6" s="19" cm="1">
        <f t="array" aca="1" ref="J6" ca="1">_FV(RTData[[#This Row],[Company Name]],"High")</f>
        <v>231.53</v>
      </c>
      <c r="K6" s="20" cm="1">
        <f t="array" aca="1" ref="K6" ca="1">IFERROR(_FV(RTData[[#This Row],[Company Name]],"P/E",TRUE),99)</f>
        <v>35.089700000000001</v>
      </c>
      <c r="L6" s="21" cm="1">
        <f t="array" aca="1" ref="L6" ca="1">_FV(RTData[[#This Row],[Company Name]],"Change")</f>
        <v>-0.38</v>
      </c>
      <c r="M6" s="22" cm="1">
        <f t="array" aca="1" ref="M6" ca="1">_FV(RTData[[#This Row],[Company Name]],"Change (%)",TRUE)</f>
        <v>-1.65E-3</v>
      </c>
      <c r="N6" s="19" cm="1">
        <f t="array" aca="1" ref="N6" ca="1">_FV(RTData[[#This Row],[Company Name]],"52 week low",TRUE)</f>
        <v>161.38</v>
      </c>
      <c r="O6" s="19" cm="1">
        <f t="array" aca="1" ref="O6" ca="1">_FV(RTData[[#This Row],[Company Name]],"52 week high",TRUE)</f>
        <v>242.52</v>
      </c>
      <c r="P6" s="23" cm="1">
        <f t="array" aca="1" ref="P6" ca="1">_FV(RTData[[#This Row],[Company Name]],"Volume")</f>
        <v>36538841</v>
      </c>
      <c r="Q6" s="23" cm="1">
        <f t="array" aca="1" ref="Q6" ca="1">_FV(RTData[[#This Row],[Company Name]],"Volume average",TRUE)</f>
        <v>36485715</v>
      </c>
      <c r="R6" s="19" cm="1">
        <f t="array" aca="1" ref="R6" ca="1">_FV(RTData[[#This Row],[Company Name]],"Beta")</f>
        <v>1.2966</v>
      </c>
      <c r="T6" t="s">
        <v>20</v>
      </c>
      <c r="U6" t="str" cm="1">
        <f t="array" aca="1" ref="U6" ca="1">_FV(RTData[[#This Row],[Company Name]],"Exchange abbreviation",TRUE)</f>
        <v>XNAS</v>
      </c>
      <c r="V6" s="24">
        <f ca="1">IFERROR(RTData[[#This Row],[Volume]]/RTData[[#This Row],[Volume average]],1)</f>
        <v>1.0014560767138592</v>
      </c>
      <c r="W6" s="24"/>
      <c r="X6" s="103">
        <f>[1]Sheet2!$E5</f>
        <v>263.18033000000003</v>
      </c>
      <c r="Y6" s="149">
        <f>[1]Sheet2!$F5</f>
        <v>0</v>
      </c>
      <c r="Z6" s="149" t="str">
        <f>[1]Sheet2!$G5</f>
        <v>Oct 30, 2025</v>
      </c>
      <c r="AA6" s="150">
        <f>[1]Sheet2!$H5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45911.666666666664</v>
      </c>
      <c r="F7" s="29" cm="1">
        <f t="array" aca="1" ref="F7" ca="1">_FV(RTData[[#This Row],[Company Name]],"Previous close",TRUE)</f>
        <v>0.90800000000000003</v>
      </c>
      <c r="G7" s="19" cm="1">
        <f t="array" aca="1" ref="G7" ca="1">_FV(RTData[[#This Row],[Company Name]],"Open")</f>
        <v>0.86199999999999999</v>
      </c>
      <c r="H7" s="29" cm="1">
        <f t="array" aca="1" ref="H7" ca="1">_FV(RTData[[#This Row],[Company Name]],"Price")</f>
        <v>0.88800000000000001</v>
      </c>
      <c r="I7" s="29" cm="1">
        <f t="array" aca="1" ref="I7" ca="1">_FV(RTData[[#This Row],[Company Name]],"Low")</f>
        <v>0.86199999999999999</v>
      </c>
      <c r="J7" s="29" cm="1">
        <f t="array" aca="1" ref="J7" ca="1">_FV(RTData[[#This Row],[Company Name]],"High")</f>
        <v>0.88800000000000001</v>
      </c>
      <c r="K7" s="20" cm="1">
        <f t="array" aca="1" ref="K7" ca="1">IFERROR(_FV(RTData[[#This Row],[Company Name]],"P/E",TRUE),99)</f>
        <v>0</v>
      </c>
      <c r="L7" s="21" cm="1">
        <f t="array" aca="1" ref="L7" ca="1">_FV(RTData[[#This Row],[Company Name]],"Change")</f>
        <v>-0.02</v>
      </c>
      <c r="M7" s="22" cm="1">
        <f t="array" aca="1" ref="M7" ca="1">_FV(RTData[[#This Row],[Company Name]],"Change (%)",TRUE)</f>
        <v>-2.2026E-2</v>
      </c>
      <c r="N7" s="29" cm="1">
        <f t="array" aca="1" ref="N7" ca="1">_FV(RTData[[#This Row],[Company Name]],"52 week low",TRUE)</f>
        <v>0.65</v>
      </c>
      <c r="O7" s="29" cm="1">
        <f t="array" aca="1" ref="O7" ca="1">_FV(RTData[[#This Row],[Company Name]],"52 week high",TRUE)</f>
        <v>1.91</v>
      </c>
      <c r="P7" s="23" cm="1">
        <f t="array" aca="1" ref="P7" ca="1">_FV(RTData[[#This Row],[Company Name]],"Volume")</f>
        <v>6003</v>
      </c>
      <c r="Q7" s="23" cm="1">
        <f t="array" aca="1" ref="Q7" ca="1">_FV(RTData[[#This Row],[Company Name]],"Volume average",TRUE)</f>
        <v>4110</v>
      </c>
      <c r="R7" s="19" cm="1">
        <f t="array" aca="1" ref="R7" ca="1">_FV(RTData[[#This Row],[Company Name]],"Beta")</f>
        <v>0.99370000000000003</v>
      </c>
      <c r="T7" t="s">
        <v>20</v>
      </c>
      <c r="U7" t="str" cm="1">
        <f t="array" aca="1" ref="U7" ca="1">_FV(RTData[[#This Row],[Company Name]],"Exchange abbreviation",TRUE)</f>
        <v>XPAR</v>
      </c>
      <c r="V7" s="24">
        <f ca="1">IFERROR(RTData[[#This Row],[Volume]]/RTData[[#This Row],[Volume average]],1)</f>
        <v>1.4605839416058395</v>
      </c>
      <c r="W7" s="24"/>
      <c r="X7" s="103">
        <f>[1]Sheet2!$E6</f>
        <v>1.5333300000000001</v>
      </c>
      <c r="Y7" s="149">
        <f>[1]Sheet2!$F6</f>
        <v>0</v>
      </c>
      <c r="Z7" s="149">
        <f>[1]Sheet2!$G6</f>
        <v>0</v>
      </c>
      <c r="AA7" s="150">
        <f>[1]Sheet2!$H6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45911.666666666664</v>
      </c>
      <c r="F8" s="29" cm="1">
        <f t="array" aca="1" ref="F8" ca="1">_FV(RTData[[#This Row],[Company Name]],"Previous close",TRUE)</f>
        <v>680.2</v>
      </c>
      <c r="G8" s="29" cm="1">
        <f t="array" aca="1" ref="G8" ca="1">_FV(RTData[[#This Row],[Company Name]],"Open")</f>
        <v>680.2</v>
      </c>
      <c r="H8" s="29" cm="1">
        <f t="array" aca="1" ref="H8" ca="1">_FV(RTData[[#This Row],[Company Name]],"Price")</f>
        <v>686</v>
      </c>
      <c r="I8" s="29" cm="1">
        <f t="array" aca="1" ref="I8" ca="1">_FV(RTData[[#This Row],[Company Name]],"Low")</f>
        <v>674.1</v>
      </c>
      <c r="J8" s="29" cm="1">
        <f t="array" aca="1" ref="J8" ca="1">_FV(RTData[[#This Row],[Company Name]],"High")</f>
        <v>689.2</v>
      </c>
      <c r="K8" s="20" cm="1">
        <f t="array" aca="1" ref="K8" ca="1">IFERROR(_FV(RTData[[#This Row],[Company Name]],"P/E",TRUE),99)</f>
        <v>26.3399</v>
      </c>
      <c r="L8" s="21" cm="1">
        <f t="array" aca="1" ref="L8" ca="1">_FV(RTData[[#This Row],[Company Name]],"Change")</f>
        <v>5.8</v>
      </c>
      <c r="M8" s="22" cm="1">
        <f t="array" aca="1" ref="M8" ca="1">_FV(RTData[[#This Row],[Company Name]],"Change (%)",TRUE)</f>
        <v>8.5269999999999999E-3</v>
      </c>
      <c r="N8" s="29" cm="1">
        <f t="array" aca="1" ref="N8" ca="1">_FV(RTData[[#This Row],[Company Name]],"52 week low",TRUE)</f>
        <v>508.4</v>
      </c>
      <c r="O8" s="29" cm="1">
        <f t="array" aca="1" ref="O8" ca="1">_FV(RTData[[#This Row],[Company Name]],"52 week high",TRUE)</f>
        <v>804.6</v>
      </c>
      <c r="P8" s="23" cm="1">
        <f t="array" aca="1" ref="P8" ca="1">_FV(RTData[[#This Row],[Company Name]],"Volume")</f>
        <v>502503</v>
      </c>
      <c r="Q8" s="23" cm="1">
        <f t="array" aca="1" ref="Q8" ca="1">_FV(RTData[[#This Row],[Company Name]],"Volume average",TRUE)</f>
        <v>555880</v>
      </c>
      <c r="R8" s="19" cm="1">
        <f t="array" aca="1" ref="R8" ca="1">_FV(RTData[[#This Row],[Company Name]],"Beta")</f>
        <v>1.8671</v>
      </c>
      <c r="T8" t="s">
        <v>20</v>
      </c>
      <c r="U8" t="str" cm="1">
        <f t="array" aca="1" ref="U8" ca="1">_FV(RTData[[#This Row],[Company Name]],"Exchange abbreviation",TRUE)</f>
        <v>XAMS</v>
      </c>
      <c r="V8" s="24">
        <f ca="1">IFERROR(RTData[[#This Row],[Volume]]/RTData[[#This Row],[Volume average]],1)</f>
        <v>0.90397747715334242</v>
      </c>
      <c r="W8" s="24"/>
      <c r="X8" s="103">
        <f>[1]Sheet2!$E7</f>
        <v>758</v>
      </c>
      <c r="Y8" s="149">
        <f>[1]Sheet2!$F7</f>
        <v>45866</v>
      </c>
      <c r="Z8" s="149">
        <f>[1]Sheet2!$G7</f>
        <v>0</v>
      </c>
      <c r="AA8" s="150">
        <f>[1]Sheet2!$H7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0.85200647524921191</v>
      </c>
      <c r="C9" s="25" t="e" vm="7">
        <v>#VALUE!</v>
      </c>
      <c r="D9" s="30" t="str" cm="1">
        <f t="array" aca="1" ref="D9" ca="1">_FV(RTData[[#This Row],[Company Name]],"Currency")</f>
        <v>USD</v>
      </c>
      <c r="E9" s="31" cm="1">
        <f t="array" aca="1" ref="E9" ca="1">_FV(RTData[[#This Row],[Company Name]],"Last trade time",TRUE)</f>
        <v>45911.836278263283</v>
      </c>
      <c r="F9" s="19" cm="1">
        <f t="array" aca="1" ref="F9" ca="1">_FV(RTData[[#This Row],[Company Name]],"Previous close",TRUE)</f>
        <v>80.81</v>
      </c>
      <c r="G9" s="19" cm="1">
        <f t="array" aca="1" ref="G9" ca="1">_FV(RTData[[#This Row],[Company Name]],"Open")</f>
        <v>80.819999999999993</v>
      </c>
      <c r="H9" s="19" cm="1">
        <f t="array" aca="1" ref="H9" ca="1">_FV(RTData[[#This Row],[Company Name]],"Price")</f>
        <v>81.099999999999994</v>
      </c>
      <c r="I9" s="32" cm="1">
        <f t="array" aca="1" ref="I9" ca="1">_FV(RTData[[#This Row],[Company Name]],"Low")</f>
        <v>80.680000000000007</v>
      </c>
      <c r="J9" s="32" cm="1">
        <f t="array" aca="1" ref="J9" ca="1">_FV(RTData[[#This Row],[Company Name]],"High")</f>
        <v>81.305999999999997</v>
      </c>
      <c r="K9" s="20" cm="1">
        <f t="array" aca="1" ref="K9" ca="1">IFERROR(_FV(RTData[[#This Row],[Company Name]],"P/E",TRUE),99)</f>
        <v>30.5335</v>
      </c>
      <c r="L9" s="33" cm="1">
        <f t="array" aca="1" ref="L9" ca="1">_FV(RTData[[#This Row],[Company Name]],"Change")</f>
        <v>0.28999999999999998</v>
      </c>
      <c r="M9" s="34" cm="1">
        <f t="array" aca="1" ref="M9" ca="1">_FV(RTData[[#This Row],[Company Name]],"Change (%)",TRUE)</f>
        <v>3.5890000000000002E-3</v>
      </c>
      <c r="N9" s="32" cm="1">
        <f t="array" aca="1" ref="N9" ca="1">_FV(RTData[[#This Row],[Company Name]],"52 week low",TRUE)</f>
        <v>61.24</v>
      </c>
      <c r="O9" s="32" cm="1">
        <f t="array" aca="1" ref="O9" ca="1">_FV(RTData[[#This Row],[Company Name]],"52 week high",TRUE)</f>
        <v>82.41</v>
      </c>
      <c r="P9" s="35" cm="1">
        <f t="array" aca="1" ref="P9" ca="1">_FV(RTData[[#This Row],[Company Name]],"Volume")</f>
        <v>2680854</v>
      </c>
      <c r="Q9" s="35" cm="1">
        <f t="array" aca="1" ref="Q9" ca="1">_FV(RTData[[#This Row],[Company Name]],"Volume average",TRUE)</f>
        <v>3520499</v>
      </c>
      <c r="R9" s="32" cm="1">
        <f t="array" aca="1" ref="R9" ca="1">_FV(RTData[[#This Row],[Company Name]],"Beta")</f>
        <v>0.37959999999999999</v>
      </c>
      <c r="T9" t="s">
        <v>20</v>
      </c>
      <c r="U9" s="36" t="str" cm="1">
        <f t="array" aca="1" ref="U9" ca="1">_FV(RTData[[#This Row],[Company Name]],"Exchange abbreviation",TRUE)</f>
        <v>XNAS</v>
      </c>
      <c r="V9" s="140">
        <f ca="1">IFERROR(RTData[[#This Row],[Volume]]/RTData[[#This Row],[Volume average]],1)</f>
        <v>0.76149829896273225</v>
      </c>
      <c r="W9" s="140"/>
      <c r="X9" s="103">
        <f>[1]Sheet2!$E8</f>
        <v>87.27</v>
      </c>
      <c r="Y9" s="149">
        <f>[1]Sheet2!$F8</f>
        <v>45877</v>
      </c>
      <c r="Z9" s="149" t="str">
        <f>[1]Sheet2!$G8</f>
        <v>Jul 29, 2025</v>
      </c>
      <c r="AA9" s="150">
        <f>[1]Sheet2!$H8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0.85200647524921191</v>
      </c>
      <c r="C10" s="25" t="e" vm="8">
        <v>#VALUE!</v>
      </c>
      <c r="D10" s="17" t="str" cm="1">
        <f t="array" aca="1" ref="D10" ca="1">_FV(RTData[[#This Row],[Company Name]],"Currency")</f>
        <v>USD</v>
      </c>
      <c r="E10" s="18" cm="1">
        <f t="array" aca="1" ref="E10" ca="1">_FV(RTData[[#This Row],[Company Name]],"Last trade time",TRUE)</f>
        <v>45911.836282592187</v>
      </c>
      <c r="F10" s="19" cm="1">
        <f t="array" aca="1" ref="F10" ca="1">_FV(RTData[[#This Row],[Company Name]],"Previous close",TRUE)</f>
        <v>1.93</v>
      </c>
      <c r="G10" s="19" cm="1">
        <f t="array" aca="1" ref="G10" ca="1">_FV(RTData[[#This Row],[Company Name]],"Open")</f>
        <v>1.93</v>
      </c>
      <c r="H10" s="19" cm="1">
        <f t="array" aca="1" ref="H10" ca="1">_FV(RTData[[#This Row],[Company Name]],"Price")</f>
        <v>2.0499999999999998</v>
      </c>
      <c r="I10" s="19" cm="1">
        <f t="array" aca="1" ref="I10" ca="1">_FV(RTData[[#This Row],[Company Name]],"Low")</f>
        <v>1.92</v>
      </c>
      <c r="J10" s="19" cm="1">
        <f t="array" aca="1" ref="J10" ca="1">_FV(RTData[[#This Row],[Company Name]],"High")</f>
        <v>2.12</v>
      </c>
      <c r="K10" s="20" cm="1">
        <f t="array" aca="1" ref="K10" ca="1">IFERROR(_FV(RTData[[#This Row],[Company Name]],"P/E",TRUE),99)</f>
        <v>0</v>
      </c>
      <c r="L10" s="21" cm="1">
        <f t="array" aca="1" ref="L10" ca="1">_FV(RTData[[#This Row],[Company Name]],"Change")</f>
        <v>0.12</v>
      </c>
      <c r="M10" s="22" cm="1">
        <f t="array" aca="1" ref="M10" ca="1">_FV(RTData[[#This Row],[Company Name]],"Change (%)",TRUE)</f>
        <v>6.2176000000000002E-2</v>
      </c>
      <c r="N10" s="19" cm="1">
        <f t="array" aca="1" ref="N10" ca="1">_FV(RTData[[#This Row],[Company Name]],"52 week low",TRUE)</f>
        <v>1</v>
      </c>
      <c r="O10" s="19" cm="1">
        <f t="array" aca="1" ref="O10" ca="1">_FV(RTData[[#This Row],[Company Name]],"52 week high",TRUE)</f>
        <v>2.2799999999999998</v>
      </c>
      <c r="P10" s="23" cm="1">
        <f t="array" aca="1" ref="P10" ca="1">_FV(RTData[[#This Row],[Company Name]],"Volume")</f>
        <v>5069047</v>
      </c>
      <c r="Q10" s="23" cm="1">
        <f t="array" aca="1" ref="Q10" ca="1">_FV(RTData[[#This Row],[Company Name]],"Volume average",TRUE)</f>
        <v>3761140</v>
      </c>
      <c r="R10" s="19" cm="1">
        <f t="array" aca="1" ref="R10" ca="1">_FV(RTData[[#This Row],[Company Name]],"Beta")</f>
        <v>1.7774000000000001</v>
      </c>
      <c r="T10" t="s">
        <v>20</v>
      </c>
      <c r="U10" t="str" cm="1">
        <f t="array" aca="1" ref="U10" ca="1">_FV(RTData[[#This Row],[Company Name]],"Exchange abbreviation",TRUE)</f>
        <v>XNAS</v>
      </c>
      <c r="V10" s="24">
        <f ca="1">IFERROR(RTData[[#This Row],[Volume]]/RTData[[#This Row],[Volume average]],1)</f>
        <v>1.3477421739153554</v>
      </c>
      <c r="W10" s="24"/>
      <c r="X10" s="103">
        <f>[1]Sheet2!$E9</f>
        <v>2.3158300000000001</v>
      </c>
      <c r="Y10" s="149">
        <f>[1]Sheet2!$F9</f>
        <v>0</v>
      </c>
      <c r="Z10" s="149" t="str">
        <f>[1]Sheet2!$G9</f>
        <v>Nov 4, 2025</v>
      </c>
      <c r="AA10" s="150">
        <f>[1]Sheet2!$H9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0.85200647524921191</v>
      </c>
      <c r="C11" s="25" t="e" vm="9">
        <v>#VALUE!</v>
      </c>
      <c r="D11" s="17" t="str" cm="1">
        <f t="array" aca="1" ref="D11" ca="1">_FV(RTData[[#This Row],[Company Name]],"Currency")</f>
        <v>USD</v>
      </c>
      <c r="E11" s="18" cm="1">
        <f t="array" aca="1" ref="E11" ca="1">_FV(RTData[[#This Row],[Company Name]],"Last trade time",TRUE)</f>
        <v>45911.836152650001</v>
      </c>
      <c r="F11" s="19" cm="1">
        <f t="array" aca="1" ref="F11" ca="1">_FV(RTData[[#This Row],[Company Name]],"Previous close",TRUE)</f>
        <v>2.93</v>
      </c>
      <c r="G11" s="19" cm="1">
        <f t="array" aca="1" ref="G11" ca="1">_FV(RTData[[#This Row],[Company Name]],"Open")</f>
        <v>2.98</v>
      </c>
      <c r="H11" s="19" cm="1">
        <f t="array" aca="1" ref="H11" ca="1">_FV(RTData[[#This Row],[Company Name]],"Price")</f>
        <v>2.95</v>
      </c>
      <c r="I11" s="19" cm="1">
        <f t="array" aca="1" ref="I11" ca="1">_FV(RTData[[#This Row],[Company Name]],"Low")</f>
        <v>2.9005000000000001</v>
      </c>
      <c r="J11" s="19" cm="1">
        <f t="array" aca="1" ref="J11" ca="1">_FV(RTData[[#This Row],[Company Name]],"High")</f>
        <v>3.08</v>
      </c>
      <c r="K11" s="20" cm="1">
        <f t="array" aca="1" ref="K11" ca="1">IFERROR(_FV(RTData[[#This Row],[Company Name]],"P/E",TRUE),99)</f>
        <v>0</v>
      </c>
      <c r="L11" s="21" cm="1">
        <f t="array" aca="1" ref="L11" ca="1">_FV(RTData[[#This Row],[Company Name]],"Change")</f>
        <v>0.02</v>
      </c>
      <c r="M11" s="22" cm="1">
        <f t="array" aca="1" ref="M11" ca="1">_FV(RTData[[#This Row],[Company Name]],"Change (%)",TRUE)</f>
        <v>6.8259999999999996E-3</v>
      </c>
      <c r="N11" s="19" cm="1">
        <f t="array" aca="1" ref="N11" ca="1">_FV(RTData[[#This Row],[Company Name]],"52 week low",TRUE)</f>
        <v>2.08</v>
      </c>
      <c r="O11" s="19" cm="1">
        <f t="array" aca="1" ref="O11" ca="1">_FV(RTData[[#This Row],[Company Name]],"52 week high",TRUE)</f>
        <v>10.16</v>
      </c>
      <c r="P11" s="23" cm="1">
        <f t="array" aca="1" ref="P11" ca="1">_FV(RTData[[#This Row],[Company Name]],"Volume")</f>
        <v>38685</v>
      </c>
      <c r="Q11" s="23" cm="1">
        <f t="array" aca="1" ref="Q11" ca="1">_FV(RTData[[#This Row],[Company Name]],"Volume average",TRUE)</f>
        <v>1968946</v>
      </c>
      <c r="R11" s="19" cm="1">
        <f t="array" aca="1" ref="R11" ca="1">_FV(RTData[[#This Row],[Company Name]],"Beta")</f>
        <v>0.34970000000000001</v>
      </c>
      <c r="T11" t="s">
        <v>20</v>
      </c>
      <c r="U11" t="str" cm="1">
        <f t="array" aca="1" ref="U11" ca="1">_FV(RTData[[#This Row],[Company Name]],"Exchange abbreviation",TRUE)</f>
        <v>XNAS</v>
      </c>
      <c r="V11" s="24">
        <f ca="1">IFERROR(RTData[[#This Row],[Volume]]/RTData[[#This Row],[Volume average]],1)</f>
        <v>1.9647567784997658E-2</v>
      </c>
      <c r="W11" s="24"/>
      <c r="X11" s="103">
        <f>[1]Sheet2!$E10</f>
        <v>0</v>
      </c>
      <c r="Y11" s="149">
        <f>[1]Sheet2!$F10</f>
        <v>0</v>
      </c>
      <c r="Z11" s="149" t="str">
        <f>[1]Sheet2!$G10</f>
        <v>Aug 26, 2025 - Sep 1, 2025</v>
      </c>
      <c r="AA11" s="150">
        <f>[1]Sheet2!$H10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0.85200647524921191</v>
      </c>
      <c r="C12" s="25" t="e" vm="10">
        <v>#VALUE!</v>
      </c>
      <c r="D12" s="17" t="str" cm="1">
        <f t="array" aca="1" ref="D12" ca="1">_FV(RTData[[#This Row],[Company Name]],"Currency")</f>
        <v>USD</v>
      </c>
      <c r="E12" s="18" cm="1">
        <f t="array" aca="1" ref="E12" ca="1">_FV(RTData[[#This Row],[Company Name]],"Last trade time",TRUE)</f>
        <v>45911.836570335159</v>
      </c>
      <c r="F12" s="19" cm="1">
        <f t="array" aca="1" ref="F12" ca="1">_FV(RTData[[#This Row],[Company Name]],"Previous close",TRUE)</f>
        <v>97.17</v>
      </c>
      <c r="G12" s="19" cm="1">
        <f t="array" aca="1" ref="G12" ca="1">_FV(RTData[[#This Row],[Company Name]],"Open")</f>
        <v>97.305000000000007</v>
      </c>
      <c r="H12" s="19" cm="1">
        <f t="array" aca="1" ref="H12" ca="1">_FV(RTData[[#This Row],[Company Name]],"Price")</f>
        <v>98.82</v>
      </c>
      <c r="I12" s="19" cm="1">
        <f t="array" aca="1" ref="I12" ca="1">_FV(RTData[[#This Row],[Company Name]],"Low")</f>
        <v>96.89</v>
      </c>
      <c r="J12" s="19" cm="1">
        <f t="array" aca="1" ref="J12" ca="1">_FV(RTData[[#This Row],[Company Name]],"High")</f>
        <v>99.034999999999997</v>
      </c>
      <c r="K12" s="20" cm="1">
        <f t="array" aca="1" ref="K12" ca="1">IFERROR(_FV(RTData[[#This Row],[Company Name]],"P/E",TRUE),99)</f>
        <v>14.608599999999999</v>
      </c>
      <c r="L12" s="21" cm="1">
        <f t="array" aca="1" ref="L12" ca="1">_FV(RTData[[#This Row],[Company Name]],"Change")</f>
        <v>1.65</v>
      </c>
      <c r="M12" s="22" cm="1">
        <f t="array" aca="1" ref="M12" ca="1">_FV(RTData[[#This Row],[Company Name]],"Change (%)",TRUE)</f>
        <v>1.6981E-2</v>
      </c>
      <c r="N12" s="19" cm="1">
        <f t="array" aca="1" ref="N12" ca="1">_FV(RTData[[#This Row],[Company Name]],"52 week low",TRUE)</f>
        <v>55.51</v>
      </c>
      <c r="O12" s="19" cm="1">
        <f t="array" aca="1" ref="O12" ca="1">_FV(RTData[[#This Row],[Company Name]],"52 week high",TRUE)</f>
        <v>99.034999999999997</v>
      </c>
      <c r="P12" s="23" cm="1">
        <f t="array" aca="1" ref="P12" ca="1">_FV(RTData[[#This Row],[Company Name]],"Volume")</f>
        <v>13299887</v>
      </c>
      <c r="Q12" s="23" cm="1">
        <f t="array" aca="1" ref="Q12" ca="1">_FV(RTData[[#This Row],[Company Name]],"Volume average",TRUE)</f>
        <v>13385613</v>
      </c>
      <c r="R12" s="19" cm="1">
        <f t="array" aca="1" ref="R12" ca="1">_FV(RTData[[#This Row],[Company Name]],"Beta")</f>
        <v>1.3573</v>
      </c>
      <c r="T12" t="s">
        <v>20</v>
      </c>
      <c r="U12" t="str" cm="1">
        <f t="array" aca="1" ref="U12" ca="1">_FV(RTData[[#This Row],[Company Name]],"Exchange abbreviation",TRUE)</f>
        <v>XNYS</v>
      </c>
      <c r="V12" s="24">
        <f ca="1">IFERROR(RTData[[#This Row],[Volume]]/RTData[[#This Row],[Volume average]],1)</f>
        <v>0.99359566125212195</v>
      </c>
      <c r="W12" s="24"/>
      <c r="X12" s="103">
        <v>99.45</v>
      </c>
      <c r="Y12" s="149">
        <f>[1]Sheet2!$F11</f>
        <v>45873</v>
      </c>
      <c r="Z12" s="149" t="str">
        <f>[1]Sheet2!$G11</f>
        <v>Oct 14, 2025</v>
      </c>
      <c r="AA12" s="150">
        <f>[1]Sheet2!$H11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0.85200647524921191</v>
      </c>
      <c r="C13" s="25" t="e" vm="11">
        <v>#VALUE!</v>
      </c>
      <c r="D13" s="17" t="str" cm="1">
        <f t="array" aca="1" ref="D13" ca="1">_FV(RTData[[#This Row],[Company Name]],"Currency")</f>
        <v>USD</v>
      </c>
      <c r="E13" s="18" cm="1">
        <f t="array" aca="1" ref="E13" ca="1">_FV(RTData[[#This Row],[Company Name]],"Last trade time",TRUE)</f>
        <v>45911.836504629631</v>
      </c>
      <c r="F13" s="19" cm="1">
        <f t="array" aca="1" ref="F13" ca="1">_FV(RTData[[#This Row],[Company Name]],"Previous close",TRUE)</f>
        <v>68.13</v>
      </c>
      <c r="G13" s="19" cm="1">
        <f t="array" aca="1" ref="G13" ca="1">_FV(RTData[[#This Row],[Company Name]],"Open")</f>
        <v>68.25</v>
      </c>
      <c r="H13" s="19" cm="1">
        <f t="array" aca="1" ref="H13" ca="1">_FV(RTData[[#This Row],[Company Name]],"Price")</f>
        <v>67.69</v>
      </c>
      <c r="I13" s="19" cm="1">
        <f t="array" aca="1" ref="I13" ca="1">_FV(RTData[[#This Row],[Company Name]],"Low")</f>
        <v>67.504999999999995</v>
      </c>
      <c r="J13" s="19" cm="1">
        <f t="array" aca="1" ref="J13" ca="1">_FV(RTData[[#This Row],[Company Name]],"High")</f>
        <v>68.569900000000004</v>
      </c>
      <c r="K13" s="20" cm="1">
        <f t="array" aca="1" ref="K13" ca="1">IFERROR(_FV(RTData[[#This Row],[Company Name]],"P/E",TRUE),99)</f>
        <v>28.615500000000001</v>
      </c>
      <c r="L13" s="21" cm="1">
        <f t="array" aca="1" ref="L13" ca="1">_FV(RTData[[#This Row],[Company Name]],"Change")</f>
        <v>-0.44</v>
      </c>
      <c r="M13" s="22" cm="1">
        <f t="array" aca="1" ref="M13" ca="1">_FV(RTData[[#This Row],[Company Name]],"Change (%)",TRUE)</f>
        <v>-6.4580000000000002E-3</v>
      </c>
      <c r="N13" s="19" cm="1">
        <f t="array" aca="1" ref="N13" ca="1">_FV(RTData[[#This Row],[Company Name]],"52 week low",TRUE)</f>
        <v>47.850099999999998</v>
      </c>
      <c r="O13" s="19" cm="1">
        <f t="array" aca="1" ref="O13" ca="1">_FV(RTData[[#This Row],[Company Name]],"52 week high",TRUE)</f>
        <v>72.55</v>
      </c>
      <c r="P13" s="23" cm="1">
        <f t="array" aca="1" ref="P13" ca="1">_FV(RTData[[#This Row],[Company Name]],"Volume")</f>
        <v>17377458</v>
      </c>
      <c r="Q13" s="23" cm="1">
        <f t="array" aca="1" ref="Q13" ca="1">_FV(RTData[[#This Row],[Company Name]],"Volume average",TRUE)</f>
        <v>20942396</v>
      </c>
      <c r="R13" s="19" cm="1">
        <f t="array" aca="1" ref="R13" ca="1">_FV(RTData[[#This Row],[Company Name]],"Beta")</f>
        <v>0.9748</v>
      </c>
      <c r="T13" t="s">
        <v>20</v>
      </c>
      <c r="U13" t="str" cm="1">
        <f t="array" aca="1" ref="U13" ca="1">_FV(RTData[[#This Row],[Company Name]],"Exchange abbreviation",TRUE)</f>
        <v>XNAS</v>
      </c>
      <c r="V13" s="24">
        <f ca="1">IFERROR(RTData[[#This Row],[Volume]]/RTData[[#This Row],[Volume average]],1)</f>
        <v>0.82977410989649891</v>
      </c>
      <c r="W13" s="24"/>
      <c r="X13" s="103">
        <f>[1]Sheet2!$E12</f>
        <v>75.814760000000007</v>
      </c>
      <c r="Y13" s="149">
        <f>[1]Sheet2!$F12</f>
        <v>45933</v>
      </c>
      <c r="Z13" s="149" t="str">
        <f>[1]Sheet2!$G12</f>
        <v>Nov 12, 2025</v>
      </c>
      <c r="AA13" s="150">
        <f>[1]Sheet2!$H12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0.85200647524921191</v>
      </c>
      <c r="C14" s="25" t="e" vm="12">
        <v>#VALUE!</v>
      </c>
      <c r="D14" s="17" t="str" cm="1">
        <f t="array" aca="1" ref="D14" ca="1">_FV(RTData[[#This Row],[Company Name]],"Currency")</f>
        <v>USD</v>
      </c>
      <c r="E14" s="18" cm="1">
        <f t="array" aca="1" ref="E14" ca="1">_FV(RTData[[#This Row],[Company Name]],"Last trade time",TRUE)</f>
        <v>45911.836359571091</v>
      </c>
      <c r="F14" s="19" cm="1">
        <f t="array" aca="1" ref="F14" ca="1">_FV(RTData[[#This Row],[Company Name]],"Previous close",TRUE)</f>
        <v>73.97</v>
      </c>
      <c r="G14" s="19" cm="1">
        <f t="array" aca="1" ref="G14" ca="1">_FV(RTData[[#This Row],[Company Name]],"Open")</f>
        <v>74.180000000000007</v>
      </c>
      <c r="H14" s="19" cm="1">
        <f t="array" aca="1" ref="H14" ca="1">_FV(RTData[[#This Row],[Company Name]],"Price")</f>
        <v>74.67</v>
      </c>
      <c r="I14" s="19" cm="1">
        <f t="array" aca="1" ref="I14" ca="1">_FV(RTData[[#This Row],[Company Name]],"Low")</f>
        <v>73.28</v>
      </c>
      <c r="J14" s="19" cm="1">
        <f t="array" aca="1" ref="J14" ca="1">_FV(RTData[[#This Row],[Company Name]],"High")</f>
        <v>74.995000000000005</v>
      </c>
      <c r="K14" s="20" cm="1">
        <f t="array" aca="1" ref="K14" ca="1">IFERROR(_FV(RTData[[#This Row],[Company Name]],"P/E",TRUE),99)</f>
        <v>20.838899999999999</v>
      </c>
      <c r="L14" s="21" cm="1">
        <f t="array" aca="1" ref="L14" ca="1">_FV(RTData[[#This Row],[Company Name]],"Change")</f>
        <v>0.7</v>
      </c>
      <c r="M14" s="22" cm="1">
        <f t="array" aca="1" ref="M14" ca="1">_FV(RTData[[#This Row],[Company Name]],"Change (%)",TRUE)</f>
        <v>9.4630000000000009E-3</v>
      </c>
      <c r="N14" s="19" cm="1">
        <f t="array" aca="1" ref="N14" ca="1">_FV(RTData[[#This Row],[Company Name]],"52 week low",TRUE)</f>
        <v>43.56</v>
      </c>
      <c r="O14" s="19" cm="1">
        <f t="array" aca="1" ref="O14" ca="1">_FV(RTData[[#This Row],[Company Name]],"52 week high",TRUE)</f>
        <v>74.995000000000005</v>
      </c>
      <c r="P14" s="23" cm="1">
        <f t="array" aca="1" ref="P14" ca="1">_FV(RTData[[#This Row],[Company Name]],"Volume")</f>
        <v>8382330</v>
      </c>
      <c r="Q14" s="23" cm="1">
        <f t="array" aca="1" ref="Q14" ca="1">_FV(RTData[[#This Row],[Company Name]],"Volume average",TRUE)</f>
        <v>6653805</v>
      </c>
      <c r="R14" s="19" cm="1">
        <f t="array" aca="1" ref="R14" ca="1">_FV(RTData[[#This Row],[Company Name]],"Beta")</f>
        <v>0.60819999999999996</v>
      </c>
      <c r="T14" t="s">
        <v>20</v>
      </c>
      <c r="U14" t="str" cm="1">
        <f t="array" aca="1" ref="U14" ca="1">_FV(RTData[[#This Row],[Company Name]],"Exchange abbreviation",TRUE)</f>
        <v>XNYS</v>
      </c>
      <c r="V14" s="24">
        <f ca="1">IFERROR(RTData[[#This Row],[Volume]]/RTData[[#This Row],[Volume average]],1)</f>
        <v>1.2597799304307835</v>
      </c>
      <c r="W14" s="24"/>
      <c r="X14" s="103">
        <f>[1]Sheet2!$E13</f>
        <v>82.072500000000005</v>
      </c>
      <c r="Y14" s="149">
        <f>[1]Sheet2!$F13</f>
        <v>45860</v>
      </c>
      <c r="Z14" s="149" t="str">
        <f>[1]Sheet2!$G13</f>
        <v>Jul 31, 2025</v>
      </c>
      <c r="AA14" s="150">
        <f>[1]Sheet2!$H13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0.85200647524921191</v>
      </c>
      <c r="C15" s="25" t="e" vm="13">
        <v>#VALUE!</v>
      </c>
      <c r="D15" s="17" t="str" cm="1">
        <f t="array" aca="1" ref="D15" ca="1">_FV(RTData[[#This Row],[Company Name]],"Currency")</f>
        <v>USD</v>
      </c>
      <c r="E15" s="18" cm="1">
        <f t="array" aca="1" ref="E15" ca="1">_FV(RTData[[#This Row],[Company Name]],"Last trade time",TRUE)</f>
        <v>45911.836288726561</v>
      </c>
      <c r="F15" s="19" cm="1">
        <f t="array" aca="1" ref="F15" ca="1">_FV(RTData[[#This Row],[Company Name]],"Previous close",TRUE)</f>
        <v>2.12</v>
      </c>
      <c r="G15" s="19" cm="1">
        <f t="array" aca="1" ref="G15" ca="1">_FV(RTData[[#This Row],[Company Name]],"Open")</f>
        <v>2.1150000000000002</v>
      </c>
      <c r="H15" s="19" cm="1">
        <f t="array" aca="1" ref="H15" ca="1">_FV(RTData[[#This Row],[Company Name]],"Price")</f>
        <v>2.2549999999999999</v>
      </c>
      <c r="I15" s="19" cm="1">
        <f t="array" aca="1" ref="I15" ca="1">_FV(RTData[[#This Row],[Company Name]],"Low")</f>
        <v>2.11</v>
      </c>
      <c r="J15" s="19" cm="1">
        <f t="array" aca="1" ref="J15" ca="1">_FV(RTData[[#This Row],[Company Name]],"High")</f>
        <v>2.36</v>
      </c>
      <c r="K15" s="20" cm="1">
        <f t="array" aca="1" ref="K15" ca="1">IFERROR(_FV(RTData[[#This Row],[Company Name]],"P/E",TRUE),99)</f>
        <v>0</v>
      </c>
      <c r="L15" s="21" cm="1">
        <f t="array" aca="1" ref="L15" ca="1">_FV(RTData[[#This Row],[Company Name]],"Change")</f>
        <v>0.13500000000000001</v>
      </c>
      <c r="M15" s="22" cm="1">
        <f t="array" aca="1" ref="M15" ca="1">_FV(RTData[[#This Row],[Company Name]],"Change (%)",TRUE)</f>
        <v>6.3678999999999999E-2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2933411</v>
      </c>
      <c r="Q15" s="23" cm="1">
        <f t="array" aca="1" ref="Q15" ca="1">_FV(RTData[[#This Row],[Company Name]],"Volume average",TRUE)</f>
        <v>4653734</v>
      </c>
      <c r="R15" s="19" cm="1">
        <f t="array" aca="1" ref="R15" ca="1">_FV(RTData[[#This Row],[Company Name]],"Beta")</f>
        <v>2.0830000000000002</v>
      </c>
      <c r="T15" t="s">
        <v>20</v>
      </c>
      <c r="U15" t="str" cm="1">
        <f t="array" aca="1" ref="U15" ca="1">_FV(RTData[[#This Row],[Company Name]],"Exchange abbreviation",TRUE)</f>
        <v>XNYS</v>
      </c>
      <c r="V15" s="24">
        <f ca="1">IFERROR(RTData[[#This Row],[Volume]]/RTData[[#This Row],[Volume average]],1)</f>
        <v>0.63033490955864691</v>
      </c>
      <c r="W15" s="24"/>
      <c r="X15" s="103">
        <f>[1]Sheet2!$E14</f>
        <v>3.25</v>
      </c>
      <c r="Y15" s="149">
        <f>[1]Sheet2!$F14</f>
        <v>0</v>
      </c>
      <c r="Z15" s="149" t="str">
        <f>[1]Sheet2!$G14</f>
        <v>Nov 10, 2025</v>
      </c>
      <c r="AA15" s="150">
        <f>[1]Sheet2!$H14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0.85200647524921191</v>
      </c>
      <c r="C16" s="25" t="e" vm="14">
        <v>#VALUE!</v>
      </c>
      <c r="D16" s="17" t="str" cm="1">
        <f t="array" aca="1" ref="D16" ca="1">_FV(RTData[[#This Row],[Company Name]],"Currency")</f>
        <v>USD</v>
      </c>
      <c r="E16" s="18" cm="1">
        <f t="array" aca="1" ref="E16" ca="1">_FV(RTData[[#This Row],[Company Name]],"Last trade time",TRUE)</f>
        <v>45911.836504536717</v>
      </c>
      <c r="F16" s="19" cm="1">
        <f t="array" aca="1" ref="F16" ca="1">_FV(RTData[[#This Row],[Company Name]],"Previous close",TRUE)</f>
        <v>115.79</v>
      </c>
      <c r="G16" s="19" cm="1">
        <f t="array" aca="1" ref="G16" ca="1">_FV(RTData[[#This Row],[Company Name]],"Open")</f>
        <v>115.83</v>
      </c>
      <c r="H16" s="19" cm="1">
        <f t="array" aca="1" ref="H16" ca="1">_FV(RTData[[#This Row],[Company Name]],"Price")</f>
        <v>117.06</v>
      </c>
      <c r="I16" s="19" cm="1">
        <f t="array" aca="1" ref="I16" ca="1">_FV(RTData[[#This Row],[Company Name]],"Low")</f>
        <v>114.63</v>
      </c>
      <c r="J16" s="19" cm="1">
        <f t="array" aca="1" ref="J16" ca="1">_FV(RTData[[#This Row],[Company Name]],"High")</f>
        <v>117.16500000000001</v>
      </c>
      <c r="K16" s="20" cm="1">
        <f t="array" aca="1" ref="K16" ca="1">IFERROR(_FV(RTData[[#This Row],[Company Name]],"P/E",TRUE),99)</f>
        <v>18.352599999999999</v>
      </c>
      <c r="L16" s="21" cm="1">
        <f t="array" aca="1" ref="L16" ca="1">_FV(RTData[[#This Row],[Company Name]],"Change")</f>
        <v>1.27</v>
      </c>
      <c r="M16" s="22" cm="1">
        <f t="array" aca="1" ref="M16" ca="1">_FV(RTData[[#This Row],[Company Name]],"Change (%)",TRUE)</f>
        <v>1.0968E-2</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8327464</v>
      </c>
      <c r="Q16" s="23" cm="1">
        <f t="array" aca="1" ref="Q16" ca="1">_FV(RTData[[#This Row],[Company Name]],"Volume average",TRUE)</f>
        <v>7583338</v>
      </c>
      <c r="R16" s="19" cm="1">
        <f t="array" aca="1" ref="R16" ca="1">_FV(RTData[[#This Row],[Company Name]],"Beta")</f>
        <v>1.5556000000000001</v>
      </c>
      <c r="T16" t="s">
        <v>20</v>
      </c>
      <c r="U16" t="str" cm="1">
        <f t="array" aca="1" ref="U16" ca="1">_FV(RTData[[#This Row],[Company Name]],"Exchange abbreviation",TRUE)</f>
        <v>XNYS</v>
      </c>
      <c r="V16" s="24">
        <f ca="1">IFERROR(RTData[[#This Row],[Volume]]/RTData[[#This Row],[Volume average]],1)</f>
        <v>1.0981264451090007</v>
      </c>
      <c r="W16" s="24"/>
      <c r="X16" s="103">
        <f>[1]Sheet2!$E15</f>
        <v>132.22594000000001</v>
      </c>
      <c r="Y16" s="149">
        <f>[1]Sheet2!$F15</f>
        <v>45832</v>
      </c>
      <c r="Z16" s="149" t="str">
        <f>[1]Sheet2!$G15</f>
        <v>Aug 6, 2025</v>
      </c>
      <c r="AA16" s="150">
        <f>[1]Sheet2!$H15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45911.666666666664</v>
      </c>
      <c r="F17" s="29" cm="1">
        <f t="array" aca="1" ref="F17" ca="1">_FV(RTData[[#This Row],[Company Name]],"Previous close",TRUE)</f>
        <v>27.36</v>
      </c>
      <c r="G17" s="29" cm="1">
        <f t="array" aca="1" ref="G17" ca="1">_FV(RTData[[#This Row],[Company Name]],"Open")</f>
        <v>27.33</v>
      </c>
      <c r="H17" s="29" cm="1">
        <f t="array" aca="1" ref="H17" ca="1">_FV(RTData[[#This Row],[Company Name]],"Price")</f>
        <v>27.29</v>
      </c>
      <c r="I17" s="29" cm="1">
        <f t="array" aca="1" ref="I17" ca="1">_FV(RTData[[#This Row],[Company Name]],"Low")</f>
        <v>27.22</v>
      </c>
      <c r="J17" s="29" cm="1">
        <f t="array" aca="1" ref="J17" ca="1">_FV(RTData[[#This Row],[Company Name]],"High")</f>
        <v>27.71</v>
      </c>
      <c r="K17" s="20" cm="1">
        <f t="array" aca="1" ref="K17" ca="1">IFERROR(_FV(RTData[[#This Row],[Company Name]],"P/E",TRUE),99)</f>
        <v>31.356999999999999</v>
      </c>
      <c r="L17" s="21" cm="1">
        <f t="array" aca="1" ref="L17" ca="1">_FV(RTData[[#This Row],[Company Name]],"Change")</f>
        <v>-7.0000000000000007E-2</v>
      </c>
      <c r="M17" s="22" cm="1">
        <f t="array" aca="1" ref="M17" ca="1">_FV(RTData[[#This Row],[Company Name]],"Change (%)",TRUE)</f>
        <v>-2.5580000000000004E-3</v>
      </c>
      <c r="N17" s="29" cm="1">
        <f t="array" aca="1" ref="N17" ca="1">_FV(RTData[[#This Row],[Company Name]],"52 week low",TRUE)</f>
        <v>26.25</v>
      </c>
      <c r="O17" s="29" cm="1">
        <f t="array" aca="1" ref="O17" ca="1">_FV(RTData[[#This Row],[Company Name]],"52 week high",TRUE)</f>
        <v>41.17</v>
      </c>
      <c r="P17" s="23" cm="1">
        <f t="array" aca="1" ref="P17" ca="1">_FV(RTData[[#This Row],[Company Name]],"Volume")</f>
        <v>1265347</v>
      </c>
      <c r="Q17" s="23" cm="1">
        <f t="array" aca="1" ref="Q17" ca="1">_FV(RTData[[#This Row],[Company Name]],"Volume average",TRUE)</f>
        <v>1785550</v>
      </c>
      <c r="R17" s="29" cm="1">
        <f t="array" aca="1" ref="R17" ca="1">_FV(RTData[[#This Row],[Company Name]],"Beta")</f>
        <v>0.68530000000000002</v>
      </c>
      <c r="T17" t="s">
        <v>20</v>
      </c>
      <c r="U17" t="str" cm="1">
        <f t="array" aca="1" ref="U17" ca="1">_FV(RTData[[#This Row],[Company Name]],"Exchange abbreviation",TRUE)</f>
        <v>XPAR</v>
      </c>
      <c r="V17" s="24">
        <f ca="1">IFERROR(RTData[[#This Row],[Volume]]/RTData[[#This Row],[Volume average]],1)</f>
        <v>0.70865951667553417</v>
      </c>
      <c r="W17" s="24"/>
      <c r="X17" s="103">
        <v>35.56</v>
      </c>
      <c r="Y17" s="149">
        <f>[1]Sheet2!$F16</f>
        <v>45803</v>
      </c>
      <c r="Z17" s="149">
        <f>[1]Sheet2!$G16</f>
        <v>0</v>
      </c>
      <c r="AA17" s="150">
        <f>[1]Sheet2!$H16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0.85200647524921191</v>
      </c>
      <c r="C18" s="25" t="e" vm="16">
        <v>#VALUE!</v>
      </c>
      <c r="D18" s="17" t="str" cm="1">
        <f t="array" aca="1" ref="D18" ca="1">_FV(RTData[[#This Row],[Company Name]],"Currency")</f>
        <v>USD</v>
      </c>
      <c r="E18" s="18" cm="1">
        <f t="array" aca="1" ref="E18" ca="1">_FV(RTData[[#This Row],[Company Name]],"Last trade time",TRUE)</f>
        <v>45911.836267997656</v>
      </c>
      <c r="F18" s="19" cm="1">
        <f t="array" aca="1" ref="F18" ca="1">_FV(RTData[[#This Row],[Company Name]],"Previous close",TRUE)</f>
        <v>132.26</v>
      </c>
      <c r="G18" s="19" cm="1">
        <f t="array" aca="1" ref="G18" ca="1">_FV(RTData[[#This Row],[Company Name]],"Open")</f>
        <v>133.04499999999999</v>
      </c>
      <c r="H18" s="19" cm="1">
        <f t="array" aca="1" ref="H18" ca="1">_FV(RTData[[#This Row],[Company Name]],"Price")</f>
        <v>133.19999999999999</v>
      </c>
      <c r="I18" s="19" cm="1">
        <f t="array" aca="1" ref="I18" ca="1">_FV(RTData[[#This Row],[Company Name]],"Low")</f>
        <v>132.80000000000001</v>
      </c>
      <c r="J18" s="19" cm="1">
        <f t="array" aca="1" ref="J18" ca="1">_FV(RTData[[#This Row],[Company Name]],"High")</f>
        <v>134.47999999999999</v>
      </c>
      <c r="K18" s="20" cm="1">
        <f t="array" aca="1" ref="K18" ca="1">IFERROR(_FV(RTData[[#This Row],[Company Name]],"P/E",TRUE),99)</f>
        <v>13.088200000000001</v>
      </c>
      <c r="L18" s="21" cm="1">
        <f t="array" aca="1" ref="L18" ca="1">_FV(RTData[[#This Row],[Company Name]],"Change")</f>
        <v>0.94</v>
      </c>
      <c r="M18" s="22" cm="1">
        <f t="array" aca="1" ref="M18" ca="1">_FV(RTData[[#This Row],[Company Name]],"Change (%)",TRUE)</f>
        <v>7.1069999999999996E-3</v>
      </c>
      <c r="N18" s="19" cm="1">
        <f t="array" aca="1" ref="N18" ca="1">_FV(RTData[[#This Row],[Company Name]],"52 week low",TRUE)</f>
        <v>126.07</v>
      </c>
      <c r="O18" s="19" cm="1">
        <f t="array" aca="1" ref="O18" ca="1">_FV(RTData[[#This Row],[Company Name]],"52 week high",TRUE)</f>
        <v>179.6</v>
      </c>
      <c r="P18" s="23" cm="1">
        <f t="array" aca="1" ref="P18" ca="1">_FV(RTData[[#This Row],[Company Name]],"Volume")</f>
        <v>728824</v>
      </c>
      <c r="Q18" s="23" cm="1">
        <f t="array" aca="1" ref="Q18" ca="1">_FV(RTData[[#This Row],[Company Name]],"Volume average",TRUE)</f>
        <v>843340</v>
      </c>
      <c r="R18" s="19" cm="1">
        <f t="array" aca="1" ref="R18" ca="1">_FV(RTData[[#This Row],[Company Name]],"Beta")</f>
        <v>1.1387</v>
      </c>
      <c r="T18" t="s">
        <v>20</v>
      </c>
      <c r="U18" t="str" cm="1">
        <f t="array" aca="1" ref="U18" ca="1">_FV(RTData[[#This Row],[Company Name]],"Exchange abbreviation",TRUE)</f>
        <v>XNYS</v>
      </c>
      <c r="V18" s="24">
        <f ca="1">IFERROR(RTData[[#This Row],[Volume]]/RTData[[#This Row],[Volume average]],1)</f>
        <v>0.86421135010790429</v>
      </c>
      <c r="W18" s="24"/>
      <c r="X18" s="103">
        <f>[1]Sheet2!$E17</f>
        <v>153.5</v>
      </c>
      <c r="Y18" s="149">
        <f>[1]Sheet2!$F17</f>
        <v>0</v>
      </c>
      <c r="Z18" s="149" t="str">
        <f>[1]Sheet2!$G17</f>
        <v>Oct 28, 2025</v>
      </c>
      <c r="AA18" s="150">
        <f>[1]Sheet2!$H17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0.85200647524921191</v>
      </c>
      <c r="C19" s="25" t="e" vm="17">
        <v>#VALUE!</v>
      </c>
      <c r="D19" s="17" t="str" cm="1">
        <f t="array" aca="1" ref="D19" ca="1">_FV(RTData[[#This Row],[Company Name]],"Currency")</f>
        <v>USD</v>
      </c>
      <c r="E19" s="18" cm="1">
        <f t="array" aca="1" ref="E19" ca="1">_FV(RTData[[#This Row],[Company Name]],"Last trade time",TRUE)</f>
        <v>45911.836268529689</v>
      </c>
      <c r="F19" s="19" cm="1">
        <f t="array" aca="1" ref="F19" ca="1">_FV(RTData[[#This Row],[Company Name]],"Previous close",TRUE)</f>
        <v>14.22</v>
      </c>
      <c r="G19" s="19" cm="1">
        <f t="array" aca="1" ref="G19" ca="1">_FV(RTData[[#This Row],[Company Name]],"Open")</f>
        <v>14.265000000000001</v>
      </c>
      <c r="H19" s="19" cm="1">
        <f t="array" aca="1" ref="H19" ca="1">_FV(RTData[[#This Row],[Company Name]],"Price")</f>
        <v>14.545</v>
      </c>
      <c r="I19" s="19" cm="1">
        <f t="array" aca="1" ref="I19" ca="1">_FV(RTData[[#This Row],[Company Name]],"Low")</f>
        <v>14.17</v>
      </c>
      <c r="J19" s="19" cm="1">
        <f t="array" aca="1" ref="J19" ca="1">_FV(RTData[[#This Row],[Company Name]],"High")</f>
        <v>14.57</v>
      </c>
      <c r="K19" s="20" cm="1">
        <f t="array" aca="1" ref="K19" ca="1">IFERROR(_FV(RTData[[#This Row],[Company Name]],"P/E",TRUE),99)</f>
        <v>7.1021000000000001</v>
      </c>
      <c r="L19" s="21" cm="1">
        <f t="array" aca="1" ref="L19" ca="1">_FV(RTData[[#This Row],[Company Name]],"Change")</f>
        <v>0.32500000000000001</v>
      </c>
      <c r="M19" s="22" cm="1">
        <f t="array" aca="1" ref="M19" ca="1">_FV(RTData[[#This Row],[Company Name]],"Change (%)",TRUE)</f>
        <v>2.2855E-2</v>
      </c>
      <c r="N19" s="19" cm="1">
        <f t="array" aca="1" ref="N19" ca="1">_FV(RTData[[#This Row],[Company Name]],"52 week low",TRUE)</f>
        <v>12.24</v>
      </c>
      <c r="O19" s="19" cm="1">
        <f t="array" aca="1" ref="O19" ca="1">_FV(RTData[[#This Row],[Company Name]],"52 week high",TRUE)</f>
        <v>24.83</v>
      </c>
      <c r="P19" s="23" cm="1">
        <f t="array" aca="1" ref="P19" ca="1">_FV(RTData[[#This Row],[Company Name]],"Volume")</f>
        <v>1826768</v>
      </c>
      <c r="Q19" s="23" cm="1">
        <f t="array" aca="1" ref="Q19" ca="1">_FV(RTData[[#This Row],[Company Name]],"Volume average",TRUE)</f>
        <v>1591045</v>
      </c>
      <c r="R19" s="19" cm="1">
        <f t="array" aca="1" ref="R19" ca="1">_FV(RTData[[#This Row],[Company Name]],"Beta")</f>
        <v>1.1423000000000001</v>
      </c>
      <c r="T19" t="s">
        <v>20</v>
      </c>
      <c r="U19" t="str" cm="1">
        <f t="array" aca="1" ref="U19" ca="1">_FV(RTData[[#This Row],[Company Name]],"Exchange abbreviation",TRUE)</f>
        <v>XNYS</v>
      </c>
      <c r="V19" s="24">
        <f ca="1">IFERROR(RTData[[#This Row],[Volume]]/RTData[[#This Row],[Volume average]],1)</f>
        <v>1.1481560860943594</v>
      </c>
      <c r="W19" s="24"/>
      <c r="X19" s="103">
        <f>[1]Sheet2!$E18</f>
        <v>15.125</v>
      </c>
      <c r="Y19" s="149">
        <f>[1]Sheet2!$F18</f>
        <v>43914</v>
      </c>
      <c r="Z19" s="149" t="str">
        <f>[1]Sheet2!$G18</f>
        <v>Jul 31, 2025</v>
      </c>
      <c r="AA19" s="150">
        <f>[1]Sheet2!$H18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45911.770833333336</v>
      </c>
      <c r="F20" s="29" cm="1">
        <f t="array" aca="1" ref="F20" ca="1">_FV(RTData[[#This Row],[Company Name]],"Previous close",TRUE)</f>
        <v>15.33</v>
      </c>
      <c r="G20" s="29" cm="1">
        <f t="array" aca="1" ref="G20" ca="1">_FV(RTData[[#This Row],[Company Name]],"Open")</f>
        <v>15.34</v>
      </c>
      <c r="H20" s="29" cm="1">
        <f t="array" aca="1" ref="H20" ca="1">_FV(RTData[[#This Row],[Company Name]],"Price")</f>
        <v>15.295</v>
      </c>
      <c r="I20" s="29" cm="1">
        <f t="array" aca="1" ref="I20" ca="1">_FV(RTData[[#This Row],[Company Name]],"Low")</f>
        <v>15.21</v>
      </c>
      <c r="J20" s="29" cm="1">
        <f t="array" aca="1" ref="J20" ca="1">_FV(RTData[[#This Row],[Company Name]],"High")</f>
        <v>15.435</v>
      </c>
      <c r="K20" s="20" cm="1">
        <f t="array" aca="1" ref="K20" ca="1">IFERROR(_FV(RTData[[#This Row],[Company Name]],"P/E",TRUE),99)</f>
        <v>12.666700000000001</v>
      </c>
      <c r="L20" s="21" cm="1">
        <f t="array" aca="1" ref="L20" ca="1">_FV(RTData[[#This Row],[Company Name]],"Change")</f>
        <v>-3.5000000000000003E-2</v>
      </c>
      <c r="M20" s="22" cm="1">
        <f t="array" aca="1" ref="M20" ca="1">_FV(RTData[[#This Row],[Company Name]],"Change (%)",TRUE)</f>
        <v>-2.2829999999999999E-3</v>
      </c>
      <c r="N20" s="29" cm="1">
        <f t="array" aca="1" ref="N20" ca="1">_FV(RTData[[#This Row],[Company Name]],"52 week low",TRUE)</f>
        <v>10.435</v>
      </c>
      <c r="O20" s="29" cm="1">
        <f t="array" aca="1" ref="O20" ca="1">_FV(RTData[[#This Row],[Company Name]],"52 week high",TRUE)</f>
        <v>16.55</v>
      </c>
      <c r="P20" s="23" cm="1">
        <f t="array" aca="1" ref="P20" ca="1">_FV(RTData[[#This Row],[Company Name]],"Volume")</f>
        <v>2448197</v>
      </c>
      <c r="Q20" s="23" cm="1">
        <f t="array" aca="1" ref="Q20" ca="1">_FV(RTData[[#This Row],[Company Name]],"Volume average",TRUE)</f>
        <v>4102740</v>
      </c>
      <c r="R20" s="29" cm="1">
        <f t="array" aca="1" ref="R20" ca="1">_FV(RTData[[#This Row],[Company Name]],"Beta")</f>
        <v>0.71150000000000002</v>
      </c>
      <c r="T20" t="s">
        <v>20</v>
      </c>
      <c r="U20" t="str" cm="1">
        <f t="array" aca="1" ref="U20" ca="1">_FV(RTData[[#This Row],[Company Name]],"Exchange abbreviation",TRUE)</f>
        <v>XETR</v>
      </c>
      <c r="V20" s="24">
        <f ca="1">IFERROR(RTData[[#This Row],[Volume]]/RTData[[#This Row],[Volume average]],1)</f>
        <v>0.59672243427563043</v>
      </c>
      <c r="W20" s="24"/>
      <c r="X20" s="103">
        <v>16.89</v>
      </c>
      <c r="Y20" s="149">
        <f>[1]Sheet2!$F19</f>
        <v>45793</v>
      </c>
      <c r="Z20" s="149">
        <f>[1]Sheet2!$G19</f>
        <v>0</v>
      </c>
      <c r="AA20" s="150">
        <f>[1]Sheet2!$H19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0.85200647524921191</v>
      </c>
      <c r="C21" s="25" t="e" vm="19">
        <v>#VALUE!</v>
      </c>
      <c r="D21" s="17" t="str" cm="1">
        <f t="array" aca="1" ref="D21" ca="1">_FV(RTData[[#This Row],[Company Name]],"Currency")</f>
        <v>USD</v>
      </c>
      <c r="E21" s="18" cm="1">
        <f t="array" aca="1" ref="E21" ca="1">_FV(RTData[[#This Row],[Company Name]],"Last trade time",TRUE)</f>
        <v>45911.836140532032</v>
      </c>
      <c r="F21" s="19" cm="1">
        <f t="array" aca="1" ref="F21" ca="1">_FV(RTData[[#This Row],[Company Name]],"Previous close",TRUE)</f>
        <v>0.20499999999999999</v>
      </c>
      <c r="G21" s="19" cm="1">
        <f t="array" aca="1" ref="G21" ca="1">_FV(RTData[[#This Row],[Company Name]],"Open")</f>
        <v>0.2107</v>
      </c>
      <c r="H21" s="19" cm="1">
        <f t="array" aca="1" ref="H21" ca="1">_FV(RTData[[#This Row],[Company Name]],"Price")</f>
        <v>0.20549999999999999</v>
      </c>
      <c r="I21" s="19" cm="1">
        <f t="array" aca="1" ref="I21" ca="1">_FV(RTData[[#This Row],[Company Name]],"Low")</f>
        <v>0.2</v>
      </c>
      <c r="J21" s="19" cm="1">
        <f t="array" aca="1" ref="J21" ca="1">_FV(RTData[[#This Row],[Company Name]],"High")</f>
        <v>0.2107</v>
      </c>
      <c r="K21" s="20" cm="1">
        <f t="array" aca="1" ref="K21" ca="1">IFERROR(_FV(RTData[[#This Row],[Company Name]],"P/E",TRUE),99)</f>
        <v>0</v>
      </c>
      <c r="L21" s="21" cm="1">
        <f t="array" aca="1" ref="L21" ca="1">_FV(RTData[[#This Row],[Company Name]],"Change")</f>
        <v>5.0000000000000001E-4</v>
      </c>
      <c r="M21" s="22" cm="1">
        <f t="array" aca="1" ref="M21" ca="1">_FV(RTData[[#This Row],[Company Name]],"Change (%)",TRUE)</f>
        <v>2.4390000000000002E-3</v>
      </c>
      <c r="N21" s="19" cm="1">
        <f t="array" aca="1" ref="N21" ca="1">_FV(RTData[[#This Row],[Company Name]],"52 week low",TRUE)</f>
        <v>0.17330000000000001</v>
      </c>
      <c r="O21" s="19" cm="1">
        <f t="array" aca="1" ref="O21" ca="1">_FV(RTData[[#This Row],[Company Name]],"52 week high",TRUE)</f>
        <v>0.97570000000000001</v>
      </c>
      <c r="P21" s="23" cm="1">
        <f t="array" aca="1" ref="P21" ca="1">_FV(RTData[[#This Row],[Company Name]],"Volume")</f>
        <v>1897775</v>
      </c>
      <c r="Q21" s="23" cm="1">
        <f t="array" aca="1" ref="Q21" ca="1">_FV(RTData[[#This Row],[Company Name]],"Volume average",TRUE)</f>
        <v>14502497</v>
      </c>
      <c r="R21" s="19" cm="1">
        <f t="array" aca="1" ref="R21" ca="1">_FV(RTData[[#This Row],[Company Name]],"Beta")</f>
        <v>1.6235999999999999</v>
      </c>
      <c r="T21" t="s">
        <v>20</v>
      </c>
      <c r="U21" t="str" cm="1">
        <f t="array" aca="1" ref="U21" ca="1">_FV(RTData[[#This Row],[Company Name]],"Exchange abbreviation",TRUE)</f>
        <v>XNAS</v>
      </c>
      <c r="V21" s="24">
        <f ca="1">IFERROR(RTData[[#This Row],[Volume]]/RTData[[#This Row],[Volume average]],1)</f>
        <v>0.13085849974662983</v>
      </c>
      <c r="W21" s="24"/>
      <c r="X21" s="103">
        <f>[1]Sheet2!$E20</f>
        <v>0</v>
      </c>
      <c r="Y21" s="149">
        <f>[1]Sheet2!$F20</f>
        <v>45894</v>
      </c>
      <c r="Z21" s="149" t="str">
        <f>[1]Sheet2!$G20</f>
        <v>Aug 7, 2025</v>
      </c>
      <c r="AA21" s="150">
        <f>[1]Sheet2!$H20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0.85200647524921191</v>
      </c>
      <c r="C22" s="25" t="e" vm="20">
        <v>#VALUE!</v>
      </c>
      <c r="D22" s="17" t="str" cm="1">
        <f t="array" aca="1" ref="D22" ca="1">_FV(RTData[[#This Row],[Company Name]],"Currency")</f>
        <v>USD</v>
      </c>
      <c r="E22" s="18" cm="1">
        <f t="array" aca="1" ref="E22" ca="1">_FV(RTData[[#This Row],[Company Name]],"Last trade time",TRUE)</f>
        <v>45911.836376921092</v>
      </c>
      <c r="F22" s="19" cm="1">
        <f t="array" aca="1" ref="F22" ca="1">_FV(RTData[[#This Row],[Company Name]],"Previous close",TRUE)</f>
        <v>57.34</v>
      </c>
      <c r="G22" s="19" cm="1">
        <f t="array" aca="1" ref="G22" ca="1">_FV(RTData[[#This Row],[Company Name]],"Open")</f>
        <v>57.54</v>
      </c>
      <c r="H22" s="19" cm="1">
        <f t="array" aca="1" ref="H22" ca="1">_FV(RTData[[#This Row],[Company Name]],"Price")</f>
        <v>58.7</v>
      </c>
      <c r="I22" s="19" cm="1">
        <f t="array" aca="1" ref="I22" ca="1">_FV(RTData[[#This Row],[Company Name]],"Low")</f>
        <v>57.47</v>
      </c>
      <c r="J22" s="19" cm="1">
        <f t="array" aca="1" ref="J22" ca="1">_FV(RTData[[#This Row],[Company Name]],"High")</f>
        <v>58.7</v>
      </c>
      <c r="K22" s="20" cm="1">
        <f t="array" aca="1" ref="K22" ca="1">IFERROR(_FV(RTData[[#This Row],[Company Name]],"P/E",TRUE),99)</f>
        <v>8.4611000000000001</v>
      </c>
      <c r="L22" s="21" cm="1">
        <f t="array" aca="1" ref="L22" ca="1">_FV(RTData[[#This Row],[Company Name]],"Change")</f>
        <v>1.36</v>
      </c>
      <c r="M22" s="22" cm="1">
        <f t="array" aca="1" ref="M22" ca="1">_FV(RTData[[#This Row],[Company Name]],"Change (%)",TRUE)</f>
        <v>2.3717999999999999E-2</v>
      </c>
      <c r="N22" s="19" cm="1">
        <f t="array" aca="1" ref="N22" ca="1">_FV(RTData[[#This Row],[Company Name]],"52 week low",TRUE)</f>
        <v>41.6</v>
      </c>
      <c r="O22" s="19" cm="1">
        <f t="array" aca="1" ref="O22" ca="1">_FV(RTData[[#This Row],[Company Name]],"52 week high",TRUE)</f>
        <v>61.24</v>
      </c>
      <c r="P22" s="23" cm="1">
        <f t="array" aca="1" ref="P22" ca="1">_FV(RTData[[#This Row],[Company Name]],"Volume")</f>
        <v>5806035</v>
      </c>
      <c r="Q22" s="23" cm="1">
        <f t="array" aca="1" ref="Q22" ca="1">_FV(RTData[[#This Row],[Company Name]],"Volume average",TRUE)</f>
        <v>6390804</v>
      </c>
      <c r="R22" s="19" cm="1">
        <f t="array" aca="1" ref="R22" ca="1">_FV(RTData[[#This Row],[Company Name]],"Beta")</f>
        <v>1.3381000000000001</v>
      </c>
      <c r="T22" t="s">
        <v>20</v>
      </c>
      <c r="U22" t="str" cm="1">
        <f t="array" aca="1" ref="U22" ca="1">_FV(RTData[[#This Row],[Company Name]],"Exchange abbreviation",TRUE)</f>
        <v>XNYS</v>
      </c>
      <c r="V22" s="24">
        <f ca="1">IFERROR(RTData[[#This Row],[Volume]]/RTData[[#This Row],[Volume average]],1)</f>
        <v>0.90849836734157396</v>
      </c>
      <c r="W22" s="24"/>
      <c r="X22" s="103">
        <f>[1]Sheet2!$E21</f>
        <v>57.2</v>
      </c>
      <c r="Y22" s="149">
        <f>[1]Sheet2!$F21</f>
        <v>45905</v>
      </c>
      <c r="Z22" s="149" t="str">
        <f>[1]Sheet2!$G21</f>
        <v>Oct 21, 2025</v>
      </c>
      <c r="AA22" s="150">
        <f>[1]Sheet2!$H21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0.85200647524921191</v>
      </c>
      <c r="C23" s="25" t="e" vm="21">
        <v>#VALUE!</v>
      </c>
      <c r="D23" s="17" t="str" cm="1">
        <f t="array" aca="1" ref="D23" ca="1">_FV(RTData[[#This Row],[Company Name]],"Currency")</f>
        <v>USD</v>
      </c>
      <c r="E23" s="18" cm="1">
        <f t="array" aca="1" ref="E23" ca="1">_FV(RTData[[#This Row],[Company Name]],"Last trade time",TRUE)</f>
        <v>45911.835842430468</v>
      </c>
      <c r="F23" s="19" cm="1">
        <f t="array" aca="1" ref="F23" ca="1">_FV(RTData[[#This Row],[Company Name]],"Previous close",TRUE)</f>
        <v>24.44</v>
      </c>
      <c r="G23" s="19" cm="1">
        <f t="array" aca="1" ref="G23" ca="1">_FV(RTData[[#This Row],[Company Name]],"Open")</f>
        <v>24.57</v>
      </c>
      <c r="H23" s="19" cm="1">
        <f t="array" aca="1" ref="H23" ca="1">_FV(RTData[[#This Row],[Company Name]],"Price")</f>
        <v>24.86</v>
      </c>
      <c r="I23" s="19" cm="1">
        <f t="array" aca="1" ref="I23" ca="1">_FV(RTData[[#This Row],[Company Name]],"Low")</f>
        <v>24.445</v>
      </c>
      <c r="J23" s="19" cm="1">
        <f t="array" aca="1" ref="J23" ca="1">_FV(RTData[[#This Row],[Company Name]],"High")</f>
        <v>24.96</v>
      </c>
      <c r="K23" s="20" cm="1">
        <f t="array" aca="1" ref="K23" ca="1">IFERROR(_FV(RTData[[#This Row],[Company Name]],"P/E",TRUE),99)</f>
        <v>29.818899999999999</v>
      </c>
      <c r="L23" s="21" cm="1">
        <f t="array" aca="1" ref="L23" ca="1">_FV(RTData[[#This Row],[Company Name]],"Change")</f>
        <v>0.42</v>
      </c>
      <c r="M23" s="22" cm="1">
        <f t="array" aca="1" ref="M23" ca="1">_FV(RTData[[#This Row],[Company Name]],"Change (%)",TRUE)</f>
        <v>1.7184999999999999E-2</v>
      </c>
      <c r="N23" s="19" cm="1">
        <f t="array" aca="1" ref="N23" ca="1">_FV(RTData[[#This Row],[Company Name]],"52 week low",TRUE)</f>
        <v>11.965</v>
      </c>
      <c r="O23" s="19" cm="1">
        <f t="array" aca="1" ref="O23" ca="1">_FV(RTData[[#This Row],[Company Name]],"52 week high",TRUE)</f>
        <v>24.96</v>
      </c>
      <c r="P23" s="23" cm="1">
        <f t="array" aca="1" ref="P23" ca="1">_FV(RTData[[#This Row],[Company Name]],"Volume")</f>
        <v>20740304</v>
      </c>
      <c r="Q23" s="23" cm="1">
        <f t="array" aca="1" ref="Q23" ca="1">_FV(RTData[[#This Row],[Company Name]],"Volume average",TRUE)</f>
        <v>20427674</v>
      </c>
      <c r="R23" s="19" cm="1">
        <f t="array" aca="1" ref="R23" ca="1">_FV(RTData[[#This Row],[Company Name]],"Beta")</f>
        <v>1.4503999999999999</v>
      </c>
      <c r="T23" t="s">
        <v>20</v>
      </c>
      <c r="U23" t="str" cm="1">
        <f t="array" aca="1" ref="U23" ca="1">_FV(RTData[[#This Row],[Company Name]],"Exchange abbreviation",TRUE)</f>
        <v>XNYS</v>
      </c>
      <c r="V23" s="24">
        <f ca="1">IFERROR(RTData[[#This Row],[Volume]]/RTData[[#This Row],[Volume average]],1)</f>
        <v>1.015304238749845</v>
      </c>
      <c r="W23" s="24"/>
      <c r="X23" s="103">
        <v>22.83</v>
      </c>
      <c r="Y23" s="149">
        <f>[1]Sheet2!$F22</f>
        <v>45918</v>
      </c>
      <c r="Z23" s="149" t="str">
        <f>[1]Sheet2!$G22</f>
        <v>Dec 4, 2025</v>
      </c>
      <c r="AA23" s="150">
        <f>[1]Sheet2!$H22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0.85200647524921191</v>
      </c>
      <c r="C24" s="25" t="e" vm="22">
        <v>#VALUE!</v>
      </c>
      <c r="D24" s="17" t="str" cm="1">
        <f t="array" aca="1" ref="D24" ca="1">_FV(RTData[[#This Row],[Company Name]],"Currency")</f>
        <v>USD</v>
      </c>
      <c r="E24" s="18" cm="1">
        <f t="array" aca="1" ref="E24" ca="1">_FV(RTData[[#This Row],[Company Name]],"Last trade time",TRUE)</f>
        <v>45911.836247245315</v>
      </c>
      <c r="F24" s="19" cm="1">
        <f t="array" aca="1" ref="F24" ca="1">_FV(RTData[[#This Row],[Company Name]],"Previous close",TRUE)</f>
        <v>28.37</v>
      </c>
      <c r="G24" s="19" cm="1">
        <f t="array" aca="1" ref="G24" ca="1">_FV(RTData[[#This Row],[Company Name]],"Open")</f>
        <v>28.495000000000001</v>
      </c>
      <c r="H24" s="19" cm="1">
        <f t="array" aca="1" ref="H24" ca="1">_FV(RTData[[#This Row],[Company Name]],"Price")</f>
        <v>28.335000000000001</v>
      </c>
      <c r="I24" s="19" cm="1">
        <f t="array" aca="1" ref="I24" ca="1">_FV(RTData[[#This Row],[Company Name]],"Low")</f>
        <v>28.245000000000001</v>
      </c>
      <c r="J24" s="19" cm="1">
        <f t="array" aca="1" ref="J24" ca="1">_FV(RTData[[#This Row],[Company Name]],"High")</f>
        <v>28.8</v>
      </c>
      <c r="K24" s="20" cm="1">
        <f t="array" aca="1" ref="K24" ca="1">IFERROR(_FV(RTData[[#This Row],[Company Name]],"P/E",TRUE),99)</f>
        <v>10.321999999999999</v>
      </c>
      <c r="L24" s="21" cm="1">
        <f t="array" aca="1" ref="L24" ca="1">_FV(RTData[[#This Row],[Company Name]],"Change")</f>
        <v>-3.5000000000000003E-2</v>
      </c>
      <c r="M24" s="22" cm="1">
        <f t="array" aca="1" ref="M24" ca="1">_FV(RTData[[#This Row],[Company Name]],"Change (%)",TRUE)</f>
        <v>-1.2339999999999999E-3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7998198</v>
      </c>
      <c r="Q24" s="23" cm="1">
        <f t="array" aca="1" ref="Q24" ca="1">_FV(RTData[[#This Row],[Company Name]],"Volume average",TRUE)</f>
        <v>9192520</v>
      </c>
      <c r="R24" s="19" cm="1">
        <f t="array" aca="1" ref="R24" ca="1">_FV(RTData[[#This Row],[Company Name]],"Beta")</f>
        <v>1.3163</v>
      </c>
      <c r="T24" t="s">
        <v>20</v>
      </c>
      <c r="U24" t="str" cm="1">
        <f t="array" aca="1" ref="U24" ca="1">_FV(RTData[[#This Row],[Company Name]],"Exchange abbreviation",TRUE)</f>
        <v>XNYS</v>
      </c>
      <c r="V24" s="24">
        <f ca="1">IFERROR(RTData[[#This Row],[Volume]]/RTData[[#This Row],[Volume average]],1)</f>
        <v>0.87007675805981388</v>
      </c>
      <c r="W24" s="24"/>
      <c r="X24" s="103">
        <f>[1]Sheet2!$E23</f>
        <v>27.968</v>
      </c>
      <c r="Y24" s="149">
        <f>[1]Sheet2!$F23</f>
        <v>45910</v>
      </c>
      <c r="Z24" s="149" t="str">
        <f>[1]Sheet2!$G23</f>
        <v>Nov 25, 2025</v>
      </c>
      <c r="AA24" s="150">
        <f>[1]Sheet2!$H23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1.1571395510298543E-2</v>
      </c>
      <c r="C25" s="25" t="e" vm="23">
        <v>#VALUE!</v>
      </c>
      <c r="D25" s="17" t="str" cm="1">
        <f t="array" aca="1" ref="D25" ca="1">_FV(RTData[[#This Row],[Company Name]],"Currency")</f>
        <v>GBp</v>
      </c>
      <c r="E25" s="18" cm="1">
        <f t="array" aca="1" ref="E25" ca="1">_FV(RTData[[#This Row],[Company Name]],"Last trade time",TRUE)</f>
        <v>45911.633915971877</v>
      </c>
      <c r="F25" s="26" cm="1">
        <f t="array" aca="1" ref="F25" ca="1">_FV(RTData[[#This Row],[Company Name]],"Previous close",TRUE)</f>
        <v>381.7</v>
      </c>
      <c r="G25" s="26" cm="1">
        <f t="array" aca="1" ref="G25" ca="1">_FV(RTData[[#This Row],[Company Name]],"Open")</f>
        <v>383.8</v>
      </c>
      <c r="H25" s="26" cm="1">
        <f t="array" aca="1" ref="H25" ca="1">_FV(RTData[[#This Row],[Company Name]],"Price")</f>
        <v>382.3</v>
      </c>
      <c r="I25" s="26" cm="1">
        <f t="array" aca="1" ref="I25" ca="1">_FV(RTData[[#This Row],[Company Name]],"Low")</f>
        <v>381.8</v>
      </c>
      <c r="J25" s="26" cm="1">
        <f t="array" aca="1" ref="J25" ca="1">_FV(RTData[[#This Row],[Company Name]],"High")</f>
        <v>389.5</v>
      </c>
      <c r="K25" s="20" cm="1">
        <f t="array" aca="1" ref="K25" ca="1">IFERROR(_FV(RTData[[#This Row],[Company Name]],"P/E",TRUE),99)</f>
        <v>6.9015000000000004</v>
      </c>
      <c r="L25" s="21" cm="1">
        <f t="array" aca="1" ref="L25" ca="1">_FV(RTData[[#This Row],[Company Name]],"Change")</f>
        <v>0.6</v>
      </c>
      <c r="M25" s="22" cm="1">
        <f t="array" aca="1" ref="M25" ca="1">_FV(RTData[[#This Row],[Company Name]],"Change (%)",TRUE)</f>
        <v>1.572E-3</v>
      </c>
      <c r="N25" s="26" cm="1">
        <f t="array" aca="1" ref="N25" ca="1">_FV(RTData[[#This Row],[Company Name]],"52 week low",TRUE)</f>
        <v>187</v>
      </c>
      <c r="O25" s="26" cm="1">
        <f t="array" aca="1" ref="O25" ca="1">_FV(RTData[[#This Row],[Company Name]],"52 week high",TRUE)</f>
        <v>398.7</v>
      </c>
      <c r="P25" s="23" cm="1">
        <f t="array" aca="1" ref="P25" ca="1">_FV(RTData[[#This Row],[Company Name]],"Volume")</f>
        <v>18168189</v>
      </c>
      <c r="Q25" s="23" cm="1">
        <f t="array" aca="1" ref="Q25" ca="1">_FV(RTData[[#This Row],[Company Name]],"Volume average",TRUE)</f>
        <v>13300020</v>
      </c>
      <c r="R25" s="19" cm="1">
        <f t="array" aca="1" ref="R25" ca="1">_FV(RTData[[#This Row],[Company Name]],"Beta")</f>
        <v>2.8047</v>
      </c>
      <c r="T25" t="s">
        <v>20</v>
      </c>
      <c r="U25" t="str" cm="1">
        <f t="array" aca="1" ref="U25" ca="1">_FV(RTData[[#This Row],[Company Name]],"Exchange abbreviation",TRUE)</f>
        <v>XLON</v>
      </c>
      <c r="V25" s="24">
        <f ca="1">IFERROR(RTData[[#This Row],[Volume]]/RTData[[#This Row],[Volume average]],1)</f>
        <v>1.3660271939440694</v>
      </c>
      <c r="W25" s="24"/>
      <c r="X25" s="103">
        <f>[1]Sheet2!$E24</f>
        <v>435.83789999999999</v>
      </c>
      <c r="Y25" s="149">
        <f>[1]Sheet2!$F24</f>
        <v>45834</v>
      </c>
      <c r="Z25" s="149">
        <f>[1]Sheet2!$G24</f>
        <v>0</v>
      </c>
      <c r="AA25" s="150">
        <f>[1]Sheet2!$H24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0.85200647524921191</v>
      </c>
      <c r="C26" s="25" t="e" vm="24">
        <v>#VALUE!</v>
      </c>
      <c r="D26" s="17" t="str" cm="1">
        <f t="array" aca="1" ref="D26" ca="1">_FV(RTData[[#This Row],[Company Name]],"Currency")</f>
        <v>USD</v>
      </c>
      <c r="E26" s="18" cm="1">
        <f t="array" aca="1" ref="E26" ca="1">_FV(RTData[[#This Row],[Company Name]],"Last trade time",TRUE)</f>
        <v>45911.836292372653</v>
      </c>
      <c r="F26" s="19" cm="1">
        <f t="array" aca="1" ref="F26" ca="1">_FV(RTData[[#This Row],[Company Name]],"Previous close",TRUE)</f>
        <v>67.03</v>
      </c>
      <c r="G26" s="19" cm="1">
        <f t="array" aca="1" ref="G26" ca="1">_FV(RTData[[#This Row],[Company Name]],"Open")</f>
        <v>69.08</v>
      </c>
      <c r="H26" s="19" cm="1">
        <f t="array" aca="1" ref="H26" ca="1">_FV(RTData[[#This Row],[Company Name]],"Price")</f>
        <v>67.2</v>
      </c>
      <c r="I26" s="19" cm="1">
        <f t="array" aca="1" ref="I26" ca="1">_FV(RTData[[#This Row],[Company Name]],"Low")</f>
        <v>66.16</v>
      </c>
      <c r="J26" s="19" cm="1">
        <f t="array" aca="1" ref="J26" ca="1">_FV(RTData[[#This Row],[Company Name]],"High")</f>
        <v>69.89</v>
      </c>
      <c r="K26" s="20" cm="1">
        <f t="array" aca="1" ref="K26" ca="1">IFERROR(_FV(RTData[[#This Row],[Company Name]],"P/E",TRUE),99)</f>
        <v>18.281700000000001</v>
      </c>
      <c r="L26" s="21" cm="1">
        <f t="array" aca="1" ref="L26" ca="1">_FV(RTData[[#This Row],[Company Name]],"Change")</f>
        <v>0.17</v>
      </c>
      <c r="M26" s="22" cm="1">
        <f t="array" aca="1" ref="M26" ca="1">_FV(RTData[[#This Row],[Company Name]],"Change (%)",TRUE)</f>
        <v>2.5360000000000001E-3</v>
      </c>
      <c r="N26" s="19" cm="1">
        <f t="array" aca="1" ref="N26" ca="1">_FV(RTData[[#This Row],[Company Name]],"52 week low",TRUE)</f>
        <v>50.69</v>
      </c>
      <c r="O26" s="19" cm="1">
        <f t="array" aca="1" ref="O26" ca="1">_FV(RTData[[#This Row],[Company Name]],"52 week high",TRUE)</f>
        <v>74.900000000000006</v>
      </c>
      <c r="P26" s="23" cm="1">
        <f t="array" aca="1" ref="P26" ca="1">_FV(RTData[[#This Row],[Company Name]],"Volume")</f>
        <v>13684407</v>
      </c>
      <c r="Q26" s="23" cm="1">
        <f t="array" aca="1" ref="Q26" ca="1">_FV(RTData[[#This Row],[Company Name]],"Volume average",TRUE)</f>
        <v>6914886</v>
      </c>
      <c r="R26" s="19" cm="1">
        <f t="array" aca="1" ref="R26" ca="1">_FV(RTData[[#This Row],[Company Name]],"Beta")</f>
        <v>0.57299999999999995</v>
      </c>
      <c r="T26" t="s">
        <v>20</v>
      </c>
      <c r="U26" t="str" cm="1">
        <f t="array" aca="1" ref="U26" ca="1">_FV(RTData[[#This Row],[Company Name]],"Exchange abbreviation",TRUE)</f>
        <v>XNYS</v>
      </c>
      <c r="V26" s="24">
        <f ca="1">IFERROR(RTData[[#This Row],[Volume]]/RTData[[#This Row],[Volume average]],1)</f>
        <v>1.9789779614588006</v>
      </c>
      <c r="W26" s="24"/>
      <c r="X26" s="103">
        <f>[1]Sheet2!$E25</f>
        <v>75.727270000000004</v>
      </c>
      <c r="Y26" s="149">
        <f>[1]Sheet2!$F25</f>
        <v>45884</v>
      </c>
      <c r="Z26" s="149" t="str">
        <f>[1]Sheet2!$G25</f>
        <v>Sep 10, 2025 - Sep 15, 2025</v>
      </c>
      <c r="AA26" s="150">
        <f>[1]Sheet2!$H25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0.85200647524921191</v>
      </c>
      <c r="C27" s="25" t="e" vm="25">
        <v>#VALUE!</v>
      </c>
      <c r="D27" s="17" t="str" cm="1">
        <f t="array" aca="1" ref="D27" ca="1">_FV(RTData[[#This Row],[Company Name]],"Currency")</f>
        <v>USD</v>
      </c>
      <c r="E27" s="18" cm="1">
        <f t="array" aca="1" ref="E27" ca="1">_FV(RTData[[#This Row],[Company Name]],"Last trade time",TRUE)</f>
        <v>45911.836210392968</v>
      </c>
      <c r="F27" s="19" cm="1">
        <f t="array" aca="1" ref="F27" ca="1">_FV(RTData[[#This Row],[Company Name]],"Previous close",TRUE)</f>
        <v>12.13</v>
      </c>
      <c r="G27" s="19" cm="1">
        <f t="array" aca="1" ref="G27" ca="1">_FV(RTData[[#This Row],[Company Name]],"Open")</f>
        <v>12.08</v>
      </c>
      <c r="H27" s="19" cm="1">
        <f t="array" aca="1" ref="H27" ca="1">_FV(RTData[[#This Row],[Company Name]],"Price")</f>
        <v>12.13</v>
      </c>
      <c r="I27" s="19" cm="1">
        <f t="array" aca="1" ref="I27" ca="1">_FV(RTData[[#This Row],[Company Name]],"Low")</f>
        <v>12.0489</v>
      </c>
      <c r="J27" s="19" cm="1">
        <f t="array" aca="1" ref="J27" ca="1">_FV(RTData[[#This Row],[Company Name]],"High")</f>
        <v>12.15</v>
      </c>
      <c r="K27" s="20" cm="1">
        <f t="array" aca="1" ref="K27" ca="1">IFERROR(_FV(RTData[[#This Row],[Company Name]],"P/E",TRUE),99)</f>
        <v>0</v>
      </c>
      <c r="L27" s="21" cm="1">
        <f t="array" aca="1" ref="L27" ca="1">_FV(RTData[[#This Row],[Company Name]],"Change")</f>
        <v>0</v>
      </c>
      <c r="M27" s="22" cm="1">
        <f t="array" aca="1" ref="M27" ca="1">_FV(RTData[[#This Row],[Company Name]],"Change (%)",TRUE)</f>
        <v>0</v>
      </c>
      <c r="N27" s="19" cm="1">
        <f t="array" aca="1" ref="N27" ca="1">_FV(RTData[[#This Row],[Company Name]],"52 week low",TRUE)</f>
        <v>3.8001</v>
      </c>
      <c r="O27" s="19" cm="1">
        <f t="array" aca="1" ref="O27" ca="1">_FV(RTData[[#This Row],[Company Name]],"52 week high",TRUE)</f>
        <v>17.309999999999999</v>
      </c>
      <c r="P27" s="23" cm="1">
        <f t="array" aca="1" ref="P27" ca="1">_FV(RTData[[#This Row],[Company Name]],"Volume")</f>
        <v>137865</v>
      </c>
      <c r="Q27" s="23" cm="1">
        <f t="array" aca="1" ref="Q27" ca="1">_FV(RTData[[#This Row],[Company Name]],"Volume average",TRUE)</f>
        <v>66471</v>
      </c>
      <c r="R27" s="19" cm="1">
        <f t="array" aca="1" ref="R27" ca="1">_FV(RTData[[#This Row],[Company Name]],"Beta")</f>
        <v>0.4955</v>
      </c>
      <c r="T27" t="s">
        <v>20</v>
      </c>
      <c r="U27" t="str" cm="1">
        <f t="array" aca="1" ref="U27" ca="1">_FV(RTData[[#This Row],[Company Name]],"Exchange abbreviation",TRUE)</f>
        <v>XNAS</v>
      </c>
      <c r="V27" s="24">
        <f ca="1">IFERROR(RTData[[#This Row],[Volume]]/RTData[[#This Row],[Volume average]],1)</f>
        <v>2.0740623730649457</v>
      </c>
      <c r="W27" s="24"/>
      <c r="X27" s="103">
        <f>[1]Sheet2!$E26</f>
        <v>15</v>
      </c>
      <c r="Y27" s="149">
        <f>[1]Sheet2!$F26</f>
        <v>0</v>
      </c>
      <c r="Z27" s="149" t="str">
        <f>[1]Sheet2!$G26</f>
        <v>Nov 6, 2025</v>
      </c>
      <c r="AA27" s="150">
        <f>[1]Sheet2!$H26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0.85200647524921191</v>
      </c>
      <c r="C28" s="25" t="e" vm="26">
        <v>#VALUE!</v>
      </c>
      <c r="D28" s="17" t="str" cm="1">
        <f t="array" aca="1" ref="D28" ca="1">_FV(RTData[[#This Row],[Company Name]],"Currency")</f>
        <v>USD</v>
      </c>
      <c r="E28" s="18" cm="1">
        <f t="array" aca="1" ref="E28" ca="1">_FV(RTData[[#This Row],[Company Name]],"Last trade time",TRUE)</f>
        <v>45911.836519571094</v>
      </c>
      <c r="F28" s="19" cm="1">
        <f t="array" aca="1" ref="F28" ca="1">_FV(RTData[[#This Row],[Company Name]],"Previous close",TRUE)</f>
        <v>6.14</v>
      </c>
      <c r="G28" s="19" cm="1">
        <f t="array" aca="1" ref="G28" ca="1">_FV(RTData[[#This Row],[Company Name]],"Open")</f>
        <v>6.19</v>
      </c>
      <c r="H28" s="19" cm="1">
        <f t="array" aca="1" ref="H28" ca="1">_FV(RTData[[#This Row],[Company Name]],"Price")</f>
        <v>6.08</v>
      </c>
      <c r="I28" s="19" cm="1">
        <f t="array" aca="1" ref="I28" ca="1">_FV(RTData[[#This Row],[Company Name]],"Low")</f>
        <v>6.0750000000000002</v>
      </c>
      <c r="J28" s="19" cm="1">
        <f t="array" aca="1" ref="J28" ca="1">_FV(RTData[[#This Row],[Company Name]],"High")</f>
        <v>6.6449999999999996</v>
      </c>
      <c r="K28" s="20" cm="1">
        <f t="array" aca="1" ref="K28" ca="1">IFERROR(_FV(RTData[[#This Row],[Company Name]],"P/E",TRUE),99)</f>
        <v>0</v>
      </c>
      <c r="L28" s="21" cm="1">
        <f t="array" aca="1" ref="L28" ca="1">_FV(RTData[[#This Row],[Company Name]],"Change")</f>
        <v>-0.06</v>
      </c>
      <c r="M28" s="22" cm="1">
        <f t="array" aca="1" ref="M28" ca="1">_FV(RTData[[#This Row],[Company Name]],"Change (%)",TRUE)</f>
        <v>-9.7719999999999994E-3</v>
      </c>
      <c r="N28" s="19" cm="1">
        <f t="array" aca="1" ref="N28" ca="1">_FV(RTData[[#This Row],[Company Name]],"52 week low",TRUE)</f>
        <v>3.01</v>
      </c>
      <c r="O28" s="19" cm="1">
        <f t="array" aca="1" ref="O28" ca="1">_FV(RTData[[#This Row],[Company Name]],"52 week high",TRUE)</f>
        <v>10.33</v>
      </c>
      <c r="P28" s="23" cm="1">
        <f t="array" aca="1" ref="P28" ca="1">_FV(RTData[[#This Row],[Company Name]],"Volume")</f>
        <v>23664449</v>
      </c>
      <c r="Q28" s="23" cm="1">
        <f t="array" aca="1" ref="Q28" ca="1">_FV(RTData[[#This Row],[Company Name]],"Volume average",TRUE)</f>
        <v>14306926</v>
      </c>
      <c r="R28" s="19" cm="1">
        <f t="array" aca="1" ref="R28" ca="1">_FV(RTData[[#This Row],[Company Name]],"Beta")</f>
        <v>1.4018999999999999</v>
      </c>
      <c r="T28" t="s">
        <v>20</v>
      </c>
      <c r="U28" t="str" cm="1">
        <f t="array" aca="1" ref="U28" ca="1">_FV(RTData[[#This Row],[Company Name]],"Exchange abbreviation",TRUE)</f>
        <v>XNYS</v>
      </c>
      <c r="V28" s="24">
        <f ca="1">IFERROR(RTData[[#This Row],[Volume]]/RTData[[#This Row],[Volume average]],1)</f>
        <v>1.6540554553787445</v>
      </c>
      <c r="W28" s="24"/>
      <c r="X28" s="103">
        <f>[1]Sheet2!$E27</f>
        <v>5.06182</v>
      </c>
      <c r="Y28" s="149">
        <f>[1]Sheet2!$F27</f>
        <v>44802</v>
      </c>
      <c r="Z28" s="149" t="str">
        <f>[1]Sheet2!$G27</f>
        <v>Jul 31, 2025</v>
      </c>
      <c r="AA28" s="150">
        <f>[1]Sheet2!$H27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0.85200647524921191</v>
      </c>
      <c r="C29" s="25" t="e" vm="27">
        <v>#VALUE!</v>
      </c>
      <c r="D29" s="17" t="str" cm="1">
        <f t="array" aca="1" ref="D29" ca="1">_FV(RTData[[#This Row],[Company Name]],"Currency")</f>
        <v>USD</v>
      </c>
      <c r="E29" s="18" cm="1">
        <f t="array" aca="1" ref="E29" ca="1">_FV(RTData[[#This Row],[Company Name]],"Last trade time",TRUE)</f>
        <v>45911.836462372659</v>
      </c>
      <c r="F29" s="19" cm="1">
        <f t="array" aca="1" ref="F29" ca="1">_FV(RTData[[#This Row],[Company Name]],"Previous close",TRUE)</f>
        <v>24.31</v>
      </c>
      <c r="G29" s="19" cm="1">
        <f t="array" aca="1" ref="G29" ca="1">_FV(RTData[[#This Row],[Company Name]],"Open")</f>
        <v>24.5</v>
      </c>
      <c r="H29" s="19" cm="1">
        <f t="array" aca="1" ref="H29" ca="1">_FV(RTData[[#This Row],[Company Name]],"Price")</f>
        <v>25.39</v>
      </c>
      <c r="I29" s="19" cm="1">
        <f t="array" aca="1" ref="I29" ca="1">_FV(RTData[[#This Row],[Company Name]],"Low")</f>
        <v>24.5</v>
      </c>
      <c r="J29" s="19" cm="1">
        <f t="array" aca="1" ref="J29" ca="1">_FV(RTData[[#This Row],[Company Name]],"High")</f>
        <v>25.9</v>
      </c>
      <c r="K29" s="20" cm="1">
        <f t="array" aca="1" ref="K29" ca="1">IFERROR(_FV(RTData[[#This Row],[Company Name]],"P/E",TRUE),99)</f>
        <v>0</v>
      </c>
      <c r="L29" s="21" cm="1">
        <f t="array" aca="1" ref="L29" ca="1">_FV(RTData[[#This Row],[Company Name]],"Change")</f>
        <v>1.08</v>
      </c>
      <c r="M29" s="22" cm="1">
        <f t="array" aca="1" ref="M29" ca="1">_FV(RTData[[#This Row],[Company Name]],"Change (%)",TRUE)</f>
        <v>4.4425999999999993E-2</v>
      </c>
      <c r="N29" s="19" cm="1">
        <f t="array" aca="1" ref="N29" ca="1">_FV(RTData[[#This Row],[Company Name]],"52 week low",TRUE)</f>
        <v>23.15</v>
      </c>
      <c r="O29" s="19" cm="1">
        <f t="array" aca="1" ref="O29" ca="1">_FV(RTData[[#This Row],[Company Name]],"52 week high",TRUE)</f>
        <v>79.88</v>
      </c>
      <c r="P29" s="23" cm="1">
        <f t="array" aca="1" ref="P29" ca="1">_FV(RTData[[#This Row],[Company Name]],"Volume")</f>
        <v>11730536</v>
      </c>
      <c r="Q29" s="23" cm="1">
        <f t="array" aca="1" ref="Q29" ca="1">_FV(RTData[[#This Row],[Company Name]],"Volume average",TRUE)</f>
        <v>9733685</v>
      </c>
      <c r="R29" s="19" cm="1">
        <f t="array" aca="1" ref="R29" ca="1">_FV(RTData[[#This Row],[Company Name]],"Beta")</f>
        <v>2.0034000000000001</v>
      </c>
      <c r="T29" t="s">
        <v>20</v>
      </c>
      <c r="U29" t="str" cm="1">
        <f t="array" aca="1" ref="U29" ca="1">_FV(RTData[[#This Row],[Company Name]],"Exchange abbreviation",TRUE)</f>
        <v>XNAS</v>
      </c>
      <c r="V29" s="24">
        <f ca="1">IFERROR(RTData[[#This Row],[Volume]]/RTData[[#This Row],[Volume average]],1)</f>
        <v>1.205148512613671</v>
      </c>
      <c r="W29" s="24"/>
      <c r="X29" s="103">
        <f>[1]Sheet2!$E28</f>
        <v>44.25</v>
      </c>
      <c r="Y29" s="149">
        <f>[1]Sheet2!$F28</f>
        <v>0</v>
      </c>
      <c r="Z29" s="149" t="str">
        <f>[1]Sheet2!$G28</f>
        <v>Aug 1, 2025</v>
      </c>
      <c r="AA29" s="150">
        <f>[1]Sheet2!$H28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0.85200647524921191</v>
      </c>
      <c r="C30" s="25" t="e" vm="28">
        <v>#VALUE!</v>
      </c>
      <c r="D30" s="17" t="str" cm="1">
        <f t="array" aca="1" ref="D30" ca="1">_FV(RTData[[#This Row],[Company Name]],"Currency")</f>
        <v>USD</v>
      </c>
      <c r="E30" s="18" cm="1">
        <f t="array" aca="1" ref="E30" ca="1">_FV(RTData[[#This Row],[Company Name]],"Last trade time",TRUE)</f>
        <v>45911.836605983597</v>
      </c>
      <c r="F30" s="19" cm="1">
        <f t="array" aca="1" ref="F30" ca="1">_FV(RTData[[#This Row],[Company Name]],"Previous close",TRUE)</f>
        <v>500.37</v>
      </c>
      <c r="G30" s="19" cm="1">
        <f t="array" aca="1" ref="G30" ca="1">_FV(RTData[[#This Row],[Company Name]],"Open")</f>
        <v>502.06</v>
      </c>
      <c r="H30" s="19" cm="1">
        <f t="array" aca="1" ref="H30" ca="1">_FV(RTData[[#This Row],[Company Name]],"Price")</f>
        <v>501.01</v>
      </c>
      <c r="I30" s="19" cm="1">
        <f t="array" aca="1" ref="I30" ca="1">_FV(RTData[[#This Row],[Company Name]],"Low")</f>
        <v>497.88</v>
      </c>
      <c r="J30" s="19" cm="1">
        <f t="array" aca="1" ref="J30" ca="1">_FV(RTData[[#This Row],[Company Name]],"High")</f>
        <v>503.17</v>
      </c>
      <c r="K30" s="20" cm="1">
        <f t="array" aca="1" ref="K30" ca="1">IFERROR(_FV(RTData[[#This Row],[Company Name]],"P/E",TRUE),99)</f>
        <v>36.728000000000002</v>
      </c>
      <c r="L30" s="21" cm="1">
        <f t="array" aca="1" ref="L30" ca="1">_FV(RTData[[#This Row],[Company Name]],"Change")</f>
        <v>0.64</v>
      </c>
      <c r="M30" s="22" cm="1">
        <f t="array" aca="1" ref="M30" ca="1">_FV(RTData[[#This Row],[Company Name]],"Change (%)",TRUE)</f>
        <v>1.2790000000000002E-3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17886892</v>
      </c>
      <c r="Q30" s="23" cm="1">
        <f t="array" aca="1" ref="Q30" ca="1">_FV(RTData[[#This Row],[Company Name]],"Volume average",TRUE)</f>
        <v>20647313</v>
      </c>
      <c r="R30" s="19" cm="1">
        <f t="array" aca="1" ref="R30" ca="1">_FV(RTData[[#This Row],[Company Name]],"Beta")</f>
        <v>1.0274000000000001</v>
      </c>
      <c r="T30" t="s">
        <v>20</v>
      </c>
      <c r="U30" t="str" cm="1">
        <f t="array" aca="1" ref="U30" ca="1">_FV(RTData[[#This Row],[Company Name]],"Exchange abbreviation",TRUE)</f>
        <v>XNAS</v>
      </c>
      <c r="V30" s="24">
        <f ca="1">IFERROR(RTData[[#This Row],[Volume]]/RTData[[#This Row],[Volume average]],1)</f>
        <v>0.86630604185639071</v>
      </c>
      <c r="W30" s="24"/>
      <c r="X30" s="103">
        <f>[1]Sheet2!$E29</f>
        <v>613.89160000000004</v>
      </c>
      <c r="Y30" s="149">
        <f>[1]Sheet2!$F29</f>
        <v>45890</v>
      </c>
      <c r="Z30" s="149" t="str">
        <f>[1]Sheet2!$G29</f>
        <v>Oct 29, 2025</v>
      </c>
      <c r="AA30" s="150">
        <f>[1]Sheet2!$H29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0.85200647524921191</v>
      </c>
      <c r="C31" s="25" t="e" vm="29">
        <v>#VALUE!</v>
      </c>
      <c r="D31" s="17" t="str" cm="1">
        <f t="array" aca="1" ref="D31" ca="1">_FV(RTData[[#This Row],[Company Name]],"Currency")</f>
        <v>USD</v>
      </c>
      <c r="E31" s="18" cm="1">
        <f t="array" aca="1" ref="E31" ca="1">_FV(RTData[[#This Row],[Company Name]],"Last trade time",TRUE)</f>
        <v>45911.836269108593</v>
      </c>
      <c r="F31" s="19" cm="1">
        <f t="array" aca="1" ref="F31" ca="1">_FV(RTData[[#This Row],[Company Name]],"Previous close",TRUE)</f>
        <v>71.040000000000006</v>
      </c>
      <c r="G31" s="19" cm="1">
        <f t="array" aca="1" ref="G31" ca="1">_FV(RTData[[#This Row],[Company Name]],"Open")</f>
        <v>70.89</v>
      </c>
      <c r="H31" s="19" cm="1">
        <f t="array" aca="1" ref="H31" ca="1">_FV(RTData[[#This Row],[Company Name]],"Price")</f>
        <v>71.400000000000006</v>
      </c>
      <c r="I31" s="19" cm="1">
        <f t="array" aca="1" ref="I31" ca="1">_FV(RTData[[#This Row],[Company Name]],"Low")</f>
        <v>70.510000000000005</v>
      </c>
      <c r="J31" s="19" cm="1">
        <f t="array" aca="1" ref="J31" ca="1">_FV(RTData[[#This Row],[Company Name]],"High")</f>
        <v>71.44</v>
      </c>
      <c r="K31" s="20" cm="1">
        <f t="array" aca="1" ref="K31" ca="1">IFERROR(_FV(RTData[[#This Row],[Company Name]],"P/E",TRUE),99)</f>
        <v>26.703600000000002</v>
      </c>
      <c r="L31" s="21" cm="1">
        <f t="array" aca="1" ref="L31" ca="1">_FV(RTData[[#This Row],[Company Name]],"Change")</f>
        <v>0.36</v>
      </c>
      <c r="M31" s="22" cm="1">
        <f t="array" aca="1" ref="M31" ca="1">_FV(RTData[[#This Row],[Company Name]],"Change (%)",TRUE)</f>
        <v>5.0680000000000005E-3</v>
      </c>
      <c r="N31" s="19" cm="1">
        <f t="array" aca="1" ref="N31" ca="1">_FV(RTData[[#This Row],[Company Name]],"52 week low",TRUE)</f>
        <v>61.72</v>
      </c>
      <c r="O31" s="19" cm="1">
        <f t="array" aca="1" ref="O31" ca="1">_FV(RTData[[#This Row],[Company Name]],"52 week high",TRUE)</f>
        <v>86.1</v>
      </c>
      <c r="P31" s="23" cm="1">
        <f t="array" aca="1" ref="P31" ca="1">_FV(RTData[[#This Row],[Company Name]],"Volume")</f>
        <v>7411240</v>
      </c>
      <c r="Q31" s="23" cm="1">
        <f t="array" aca="1" ref="Q31" ca="1">_FV(RTData[[#This Row],[Company Name]],"Volume average",TRUE)</f>
        <v>9820541</v>
      </c>
      <c r="R31" s="19" cm="1">
        <f t="array" aca="1" ref="R31" ca="1">_FV(RTData[[#This Row],[Company Name]],"Beta")</f>
        <v>0.64710000000000001</v>
      </c>
      <c r="T31" t="s">
        <v>20</v>
      </c>
      <c r="U31" t="str" cm="1">
        <f t="array" aca="1" ref="U31" ca="1">_FV(RTData[[#This Row],[Company Name]],"Exchange abbreviation",TRUE)</f>
        <v>XNYS</v>
      </c>
      <c r="V31" s="24">
        <f ca="1">IFERROR(RTData[[#This Row],[Volume]]/RTData[[#This Row],[Volume average]],1)</f>
        <v>0.75466718177746017</v>
      </c>
      <c r="W31" s="24"/>
      <c r="X31" s="103">
        <f>[1]Sheet2!$E30</f>
        <v>82.294120000000007</v>
      </c>
      <c r="Y31" s="149">
        <f>[1]Sheet2!$F30</f>
        <v>45897</v>
      </c>
      <c r="Z31" s="149" t="str">
        <f>[1]Sheet2!$G30</f>
        <v>Oct 23, 2025</v>
      </c>
      <c r="AA31" s="150">
        <f>[1]Sheet2!$H30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0.85200647524921191</v>
      </c>
      <c r="C32" s="25" t="e" vm="30">
        <v>#VALUE!</v>
      </c>
      <c r="D32" s="17" t="str" cm="1">
        <f t="array" aca="1" ref="D32" ca="1">_FV(RTData[[#This Row],[Company Name]],"Currency")</f>
        <v>USD</v>
      </c>
      <c r="E32" s="18" cm="1">
        <f t="array" aca="1" ref="E32" ca="1">_FV(RTData[[#This Row],[Company Name]],"Last trade time",TRUE)</f>
        <v>45911.836376562504</v>
      </c>
      <c r="F32" s="19" cm="1">
        <f t="array" aca="1" ref="F32" ca="1">_FV(RTData[[#This Row],[Company Name]],"Previous close",TRUE)</f>
        <v>78.430000000000007</v>
      </c>
      <c r="G32" s="19" cm="1">
        <f t="array" aca="1" ref="G32" ca="1">_FV(RTData[[#This Row],[Company Name]],"Open")</f>
        <v>77.67</v>
      </c>
      <c r="H32" s="19" cm="1">
        <f t="array" aca="1" ref="H32" ca="1">_FV(RTData[[#This Row],[Company Name]],"Price")</f>
        <v>79.63</v>
      </c>
      <c r="I32" s="19" cm="1">
        <f t="array" aca="1" ref="I32" ca="1">_FV(RTData[[#This Row],[Company Name]],"Low")</f>
        <v>77.56</v>
      </c>
      <c r="J32" s="19" cm="1">
        <f t="array" aca="1" ref="J32" ca="1">_FV(RTData[[#This Row],[Company Name]],"High")</f>
        <v>79.77</v>
      </c>
      <c r="K32" s="20" cm="1">
        <f t="array" aca="1" ref="K32" ca="1">IFERROR(_FV(RTData[[#This Row],[Company Name]],"P/E",TRUE),99)</f>
        <v>14.4132</v>
      </c>
      <c r="L32" s="21" cm="1">
        <f t="array" aca="1" ref="L32" ca="1">_FV(RTData[[#This Row],[Company Name]],"Change")</f>
        <v>1.2</v>
      </c>
      <c r="M32" s="22" cm="1">
        <f t="array" aca="1" ref="M32" ca="1">_FV(RTData[[#This Row],[Company Name]],"Change (%)",TRUE)</f>
        <v>1.5300000000000001E-2</v>
      </c>
      <c r="N32" s="19" cm="1">
        <f t="array" aca="1" ref="N32" ca="1">_FV(RTData[[#This Row],[Company Name]],"52 week low",TRUE)</f>
        <v>36.86</v>
      </c>
      <c r="O32" s="19" cm="1">
        <f t="array" aca="1" ref="O32" ca="1">_FV(RTData[[#This Row],[Company Name]],"52 week high",TRUE)</f>
        <v>79.77</v>
      </c>
      <c r="P32" s="23" cm="1">
        <f t="array" aca="1" ref="P32" ca="1">_FV(RTData[[#This Row],[Company Name]],"Volume")</f>
        <v>9228571</v>
      </c>
      <c r="Q32" s="23" cm="1">
        <f t="array" aca="1" ref="Q32" ca="1">_FV(RTData[[#This Row],[Company Name]],"Volume average",TRUE)</f>
        <v>8761268</v>
      </c>
      <c r="R32" s="19" cm="1">
        <f t="array" aca="1" ref="R32" ca="1">_FV(RTData[[#This Row],[Company Name]],"Beta")</f>
        <v>0.33400000000000002</v>
      </c>
      <c r="T32" t="s">
        <v>20</v>
      </c>
      <c r="U32" t="str" cm="1">
        <f t="array" aca="1" ref="U32" ca="1">_FV(RTData[[#This Row],[Company Name]],"Exchange abbreviation",TRUE)</f>
        <v>XNYS</v>
      </c>
      <c r="V32" s="24">
        <f ca="1">IFERROR(RTData[[#This Row],[Volume]]/RTData[[#This Row],[Volume average]],1)</f>
        <v>1.053337370800665</v>
      </c>
      <c r="W32" s="24"/>
      <c r="X32" s="103">
        <f>[1]Sheet2!$E31</f>
        <v>73.224739999999997</v>
      </c>
      <c r="Y32" s="149">
        <f>[1]Sheet2!$F31</f>
        <v>45904</v>
      </c>
      <c r="Z32" s="149" t="str">
        <f>[1]Sheet2!$G31</f>
        <v>Oct 22, 2025</v>
      </c>
      <c r="AA32" s="150">
        <f>[1]Sheet2!$H31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0.85200647524921191</v>
      </c>
      <c r="C33" s="25" t="e" vm="31">
        <v>#VALUE!</v>
      </c>
      <c r="D33" s="17" t="str" cm="1">
        <f t="array" aca="1" ref="D33" ca="1">_FV(RTData[[#This Row],[Company Name]],"Currency")</f>
        <v>USD</v>
      </c>
      <c r="E33" s="18" cm="1">
        <f t="array" aca="1" ref="E33" ca="1">_FV(RTData[[#This Row],[Company Name]],"Last trade time",TRUE)</f>
        <v>45911.83660223359</v>
      </c>
      <c r="F33" s="19" cm="1">
        <f t="array" aca="1" ref="F33" ca="1">_FV(RTData[[#This Row],[Company Name]],"Previous close",TRUE)</f>
        <v>1247.71</v>
      </c>
      <c r="G33" s="19" cm="1">
        <f t="array" aca="1" ref="G33" ca="1">_FV(RTData[[#This Row],[Company Name]],"Open")</f>
        <v>1250.165</v>
      </c>
      <c r="H33" s="19" cm="1">
        <f t="array" aca="1" ref="H33" ca="1">_FV(RTData[[#This Row],[Company Name]],"Price")</f>
        <v>1203.5</v>
      </c>
      <c r="I33" s="19" cm="1">
        <f t="array" aca="1" ref="I33" ca="1">_FV(RTData[[#This Row],[Company Name]],"Low")</f>
        <v>1192.06</v>
      </c>
      <c r="J33" s="19" cm="1">
        <f t="array" aca="1" ref="J33" ca="1">_FV(RTData[[#This Row],[Company Name]],"High")</f>
        <v>1253.4449999999999</v>
      </c>
      <c r="K33" s="20" cm="1">
        <f t="array" aca="1" ref="K33" ca="1">IFERROR(_FV(RTData[[#This Row],[Company Name]],"P/E",TRUE),99)</f>
        <v>51.284100000000002</v>
      </c>
      <c r="L33" s="21" cm="1">
        <f t="array" aca="1" ref="L33" ca="1">_FV(RTData[[#This Row],[Company Name]],"Change")</f>
        <v>-44.21</v>
      </c>
      <c r="M33" s="22" cm="1">
        <f t="array" aca="1" ref="M33" ca="1">_FV(RTData[[#This Row],[Company Name]],"Change (%)",TRUE)</f>
        <v>-3.5432999999999999E-2</v>
      </c>
      <c r="N33" s="19" cm="1">
        <f t="array" aca="1" ref="N33" ca="1">_FV(RTData[[#This Row],[Company Name]],"52 week low",TRUE)</f>
        <v>660.8</v>
      </c>
      <c r="O33" s="19" cm="1">
        <f t="array" aca="1" ref="O33" ca="1">_FV(RTData[[#This Row],[Company Name]],"52 week high",TRUE)</f>
        <v>1341.15</v>
      </c>
      <c r="P33" s="23" cm="1">
        <f t="array" aca="1" ref="P33" ca="1">_FV(RTData[[#This Row],[Company Name]],"Volume")</f>
        <v>5630094</v>
      </c>
      <c r="Q33" s="23" cm="1">
        <f t="array" aca="1" ref="Q33" ca="1">_FV(RTData[[#This Row],[Company Name]],"Volume average",TRUE)</f>
        <v>2641796</v>
      </c>
      <c r="R33" s="19" cm="1">
        <f t="array" aca="1" ref="R33" ca="1">_FV(RTData[[#This Row],[Company Name]],"Beta")</f>
        <v>1.6057999999999999</v>
      </c>
      <c r="T33" t="s">
        <v>20</v>
      </c>
      <c r="U33" t="str" cm="1">
        <f t="array" aca="1" ref="U33" ca="1">_FV(RTData[[#This Row],[Company Name]],"Exchange abbreviation",TRUE)</f>
        <v>XNAS</v>
      </c>
      <c r="V33" s="24">
        <f ca="1">IFERROR(RTData[[#This Row],[Volume]]/RTData[[#This Row],[Volume average]],1)</f>
        <v>2.1311615279908063</v>
      </c>
      <c r="W33" s="24"/>
      <c r="X33" s="103">
        <f>[1]Sheet2!$E32</f>
        <v>1350.316</v>
      </c>
      <c r="Y33" s="149">
        <f>[1]Sheet2!$F32</f>
        <v>0</v>
      </c>
      <c r="Z33" s="149" t="str">
        <f>[1]Sheet2!$G32</f>
        <v>Oct 16, 2025</v>
      </c>
      <c r="AA33" s="150">
        <f>[1]Sheet2!$H32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0.85200647524921191</v>
      </c>
      <c r="C34" s="16" t="e" vm="32">
        <v>#VALUE!</v>
      </c>
      <c r="D34" s="17" t="str" cm="1">
        <f t="array" aca="1" ref="D34" ca="1">_FV(RTData[[#This Row],[Company Name]],"Currency")</f>
        <v>USD</v>
      </c>
      <c r="E34" s="18" cm="1">
        <f t="array" aca="1" ref="E34" ca="1">_FV(RTData[[#This Row],[Company Name]],"Last trade time",TRUE)</f>
        <v>45911.836291122658</v>
      </c>
      <c r="F34" s="19" cm="1">
        <f t="array" aca="1" ref="F34" ca="1">_FV(RTData[[#This Row],[Company Name]],"Previous close",TRUE)</f>
        <v>5.08</v>
      </c>
      <c r="G34" s="19" cm="1">
        <f t="array" aca="1" ref="G34" ca="1">_FV(RTData[[#This Row],[Company Name]],"Open")</f>
        <v>5.16</v>
      </c>
      <c r="H34" s="19" cm="1">
        <f t="array" aca="1" ref="H34" ca="1">_FV(RTData[[#This Row],[Company Name]],"Price")</f>
        <v>5.1100000000000003</v>
      </c>
      <c r="I34" s="19" cm="1">
        <f t="array" aca="1" ref="I34" ca="1">_FV(RTData[[#This Row],[Company Name]],"Low")</f>
        <v>5.04</v>
      </c>
      <c r="J34" s="19" cm="1">
        <f t="array" aca="1" ref="J34" ca="1">_FV(RTData[[#This Row],[Company Name]],"High")</f>
        <v>5.25</v>
      </c>
      <c r="K34" s="20" cm="1">
        <f t="array" aca="1" ref="K34" ca="1">IFERROR(_FV(RTData[[#This Row],[Company Name]],"P/E",TRUE),99)</f>
        <v>0</v>
      </c>
      <c r="L34" s="21" cm="1">
        <f t="array" aca="1" ref="L34" ca="1">_FV(RTData[[#This Row],[Company Name]],"Change")</f>
        <v>0.03</v>
      </c>
      <c r="M34" s="22" cm="1">
        <f t="array" aca="1" ref="M34" ca="1">_FV(RTData[[#This Row],[Company Name]],"Change (%)",TRUE)</f>
        <v>5.9059999999999998E-3</v>
      </c>
      <c r="N34" s="19" cm="1">
        <f t="array" aca="1" ref="N34" ca="1">_FV(RTData[[#This Row],[Company Name]],"52 week low",TRUE)</f>
        <v>3.8</v>
      </c>
      <c r="O34" s="19" cm="1">
        <f t="array" aca="1" ref="O34" ca="1">_FV(RTData[[#This Row],[Company Name]],"52 week high",TRUE)</f>
        <v>24.36</v>
      </c>
      <c r="P34" s="23" cm="1">
        <f t="array" aca="1" ref="P34" ca="1">_FV(RTData[[#This Row],[Company Name]],"Volume")</f>
        <v>219313</v>
      </c>
      <c r="Q34" s="23" cm="1">
        <f t="array" aca="1" ref="Q34" ca="1">_FV(RTData[[#This Row],[Company Name]],"Volume average",TRUE)</f>
        <v>296128</v>
      </c>
      <c r="R34" s="19" cm="1">
        <f t="array" aca="1" ref="R34" ca="1">_FV(RTData[[#This Row],[Company Name]],"Beta")</f>
        <v>0.56659999999999999</v>
      </c>
      <c r="T34" t="s">
        <v>20</v>
      </c>
      <c r="U34" t="str" cm="1">
        <f t="array" aca="1" ref="U34" ca="1">_FV(RTData[[#This Row],[Company Name]],"Exchange abbreviation",TRUE)</f>
        <v>XNYS</v>
      </c>
      <c r="V34" s="24">
        <f ca="1">IFERROR(RTData[[#This Row],[Volume]]/RTData[[#This Row],[Volume average]],1)</f>
        <v>0.74060203695699156</v>
      </c>
      <c r="W34" s="24"/>
      <c r="X34" s="103">
        <v>31.5</v>
      </c>
      <c r="Y34" s="149">
        <f>[1]Sheet2!$F33</f>
        <v>0</v>
      </c>
      <c r="Z34" s="149">
        <v>45876</v>
      </c>
      <c r="AA34" s="150">
        <f>[1]Sheet2!$H33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0.85200647524921191</v>
      </c>
      <c r="C35" s="25" t="e" vm="33">
        <v>#VALUE!</v>
      </c>
      <c r="D35" s="17" t="str" cm="1">
        <f t="array" aca="1" ref="D35" ca="1">_FV(RTData[[#This Row],[Company Name]],"Currency")</f>
        <v>USD</v>
      </c>
      <c r="E35" s="18" cm="1">
        <f t="array" aca="1" ref="E35" ca="1">_FV(RTData[[#This Row],[Company Name]],"Last trade time",TRUE)</f>
        <v>45911.836264328122</v>
      </c>
      <c r="F35" s="19" cm="1">
        <f t="array" aca="1" ref="F35" ca="1">_FV(RTData[[#This Row],[Company Name]],"Previous close",TRUE)</f>
        <v>36.24</v>
      </c>
      <c r="G35" s="19" cm="1">
        <f t="array" aca="1" ref="G35" ca="1">_FV(RTData[[#This Row],[Company Name]],"Open")</f>
        <v>36.020000000000003</v>
      </c>
      <c r="H35" s="19" cm="1">
        <f t="array" aca="1" ref="H35" ca="1">_FV(RTData[[#This Row],[Company Name]],"Price")</f>
        <v>36.82</v>
      </c>
      <c r="I35" s="19" cm="1">
        <f t="array" aca="1" ref="I35" ca="1">_FV(RTData[[#This Row],[Company Name]],"Low")</f>
        <v>35.83</v>
      </c>
      <c r="J35" s="19" cm="1">
        <f t="array" aca="1" ref="J35" ca="1">_FV(RTData[[#This Row],[Company Name]],"High")</f>
        <v>36.869999999999997</v>
      </c>
      <c r="K35" s="20" cm="1">
        <f t="array" aca="1" ref="K35" ca="1">IFERROR(_FV(RTData[[#This Row],[Company Name]],"P/E",TRUE),99)</f>
        <v>25.5641</v>
      </c>
      <c r="L35" s="21" cm="1">
        <f t="array" aca="1" ref="L35" ca="1">_FV(RTData[[#This Row],[Company Name]],"Change")</f>
        <v>0.57999999999999996</v>
      </c>
      <c r="M35" s="22" cm="1">
        <f t="array" aca="1" ref="M35" ca="1">_FV(RTData[[#This Row],[Company Name]],"Change (%)",TRUE)</f>
        <v>1.6004000000000001E-2</v>
      </c>
      <c r="N35" s="19" cm="1">
        <f t="array" aca="1" ref="N35" ca="1">_FV(RTData[[#This Row],[Company Name]],"52 week low",TRUE)</f>
        <v>18.71</v>
      </c>
      <c r="O35" s="19" cm="1">
        <f t="array" aca="1" ref="O35" ca="1">_FV(RTData[[#This Row],[Company Name]],"52 week high",TRUE)</f>
        <v>36.869999999999997</v>
      </c>
      <c r="P35" s="23" cm="1">
        <f t="array" aca="1" ref="P35" ca="1">_FV(RTData[[#This Row],[Company Name]],"Volume")</f>
        <v>4487717</v>
      </c>
      <c r="Q35" s="23" cm="1">
        <f t="array" aca="1" ref="Q35" ca="1">_FV(RTData[[#This Row],[Company Name]],"Volume average",TRUE)</f>
        <v>5531032</v>
      </c>
      <c r="R35" s="19" cm="1">
        <f t="array" aca="1" ref="R35" ca="1">_FV(RTData[[#This Row],[Company Name]],"Beta")</f>
        <v>0.83909999999999996</v>
      </c>
      <c r="T35" t="s">
        <v>20</v>
      </c>
      <c r="U35" t="str" cm="1">
        <f t="array" aca="1" ref="U35" ca="1">_FV(RTData[[#This Row],[Company Name]],"Exchange abbreviation",TRUE)</f>
        <v>XNYS</v>
      </c>
      <c r="V35" s="24">
        <f ca="1">IFERROR(RTData[[#This Row],[Volume]]/RTData[[#This Row],[Volume average]],1)</f>
        <v>0.81137064475490284</v>
      </c>
      <c r="W35" s="24"/>
      <c r="X35" s="103">
        <f>[1]Sheet2!$E34</f>
        <v>37.375</v>
      </c>
      <c r="Y35" s="149">
        <f>[1]Sheet2!$F34</f>
        <v>45887</v>
      </c>
      <c r="Z35" s="149" t="str">
        <f>[1]Sheet2!$G34</f>
        <v>Aug 6, 2025</v>
      </c>
      <c r="AA35" s="150">
        <f>[1]Sheet2!$H34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0.85200647524921191</v>
      </c>
      <c r="C36" s="25" t="e" vm="34">
        <v>#VALUE!</v>
      </c>
      <c r="D36" s="17" t="str" cm="1">
        <f t="array" aca="1" ref="D36" ca="1">_FV(RTData[[#This Row],[Company Name]],"Currency")</f>
        <v>USD</v>
      </c>
      <c r="E36" s="18" cm="1">
        <f t="array" aca="1" ref="E36" ca="1">_FV(RTData[[#This Row],[Company Name]],"Last trade time",TRUE)</f>
        <v>45911.836189443748</v>
      </c>
      <c r="F36" s="19" cm="1">
        <f t="array" aca="1" ref="F36" ca="1">_FV(RTData[[#This Row],[Company Name]],"Previous close",TRUE)</f>
        <v>3.87</v>
      </c>
      <c r="G36" s="19" cm="1">
        <f t="array" aca="1" ref="G36" ca="1">_FV(RTData[[#This Row],[Company Name]],"Open")</f>
        <v>3.89</v>
      </c>
      <c r="H36" s="19" cm="1">
        <f t="array" aca="1" ref="H36" ca="1">_FV(RTData[[#This Row],[Company Name]],"Price")</f>
        <v>3.96</v>
      </c>
      <c r="I36" s="19" cm="1">
        <f t="array" aca="1" ref="I36" ca="1">_FV(RTData[[#This Row],[Company Name]],"Low")</f>
        <v>3.86</v>
      </c>
      <c r="J36" s="19" cm="1">
        <f t="array" aca="1" ref="J36" ca="1">_FV(RTData[[#This Row],[Company Name]],"High")</f>
        <v>4.04</v>
      </c>
      <c r="K36" s="20" cm="1">
        <f t="array" aca="1" ref="K36" ca="1">IFERROR(_FV(RTData[[#This Row],[Company Name]],"P/E",TRUE),99)</f>
        <v>0</v>
      </c>
      <c r="L36" s="21" cm="1">
        <f t="array" aca="1" ref="L36" ca="1">_FV(RTData[[#This Row],[Company Name]],"Change")</f>
        <v>0.09</v>
      </c>
      <c r="M36" s="22" cm="1">
        <f t="array" aca="1" ref="M36" ca="1">_FV(RTData[[#This Row],[Company Name]],"Change (%)",TRUE)</f>
        <v>2.3256000000000002E-2</v>
      </c>
      <c r="N36" s="19" cm="1">
        <f t="array" aca="1" ref="N36" ca="1">_FV(RTData[[#This Row],[Company Name]],"52 week low",TRUE)</f>
        <v>3.76</v>
      </c>
      <c r="O36" s="19" cm="1">
        <f t="array" aca="1" ref="O36" ca="1">_FV(RTData[[#This Row],[Company Name]],"52 week high",TRUE)</f>
        <v>9.17</v>
      </c>
      <c r="P36" s="23" cm="1">
        <f t="array" aca="1" ref="P36" ca="1">_FV(RTData[[#This Row],[Company Name]],"Volume")</f>
        <v>111590</v>
      </c>
      <c r="Q36" s="23" cm="1">
        <f t="array" aca="1" ref="Q36" ca="1">_FV(RTData[[#This Row],[Company Name]],"Volume average",TRUE)</f>
        <v>142723</v>
      </c>
      <c r="R36" s="19" cm="1">
        <f t="array" aca="1" ref="R36" ca="1">_FV(RTData[[#This Row],[Company Name]],"Beta")</f>
        <v>0.30099999999999999</v>
      </c>
      <c r="T36" t="s">
        <v>20</v>
      </c>
      <c r="U36" t="str" cm="1">
        <f t="array" aca="1" ref="U36" ca="1">_FV(RTData[[#This Row],[Company Name]],"Exchange abbreviation",TRUE)</f>
        <v>XNAS</v>
      </c>
      <c r="V36" s="24">
        <f ca="1">IFERROR(RTData[[#This Row],[Volume]]/RTData[[#This Row],[Volume average]],1)</f>
        <v>0.78186417045605827</v>
      </c>
      <c r="W36" s="24"/>
      <c r="X36" s="103">
        <f>[1]Sheet2!$E35</f>
        <v>12.1</v>
      </c>
      <c r="Y36" s="149">
        <f>[1]Sheet2!$F35</f>
        <v>0</v>
      </c>
      <c r="Z36" s="149">
        <f>[1]Sheet2!$G35</f>
        <v>0</v>
      </c>
      <c r="AA36" s="150">
        <f>[1]Sheet2!$H35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0.61595318755774564</v>
      </c>
      <c r="C37" s="113" t="e" vm="35">
        <v>#VALUE!</v>
      </c>
      <c r="D37" s="17" t="str" cm="1">
        <f t="array" aca="1" ref="D37" ca="1">_FV(RTData[[#This Row],[Company Name]],"Currency")</f>
        <v>USD</v>
      </c>
      <c r="E37" s="18" cm="1">
        <f t="array" aca="1" ref="E37" ca="1">_FV(RTData[[#This Row],[Company Name]],"Last trade time",TRUE)</f>
        <v>45911.83615504609</v>
      </c>
      <c r="F37" s="37" cm="1">
        <f t="array" aca="1" ref="F37" ca="1">_FV(RTData[[#This Row],[Company Name]],"Previous close",TRUE)</f>
        <v>5.6</v>
      </c>
      <c r="G37" s="37" cm="1">
        <f t="array" aca="1" ref="G37" ca="1">_FV(RTData[[#This Row],[Company Name]],"Open")</f>
        <v>5.65</v>
      </c>
      <c r="H37" s="37" cm="1">
        <f t="array" aca="1" ref="H37" ca="1">_FV(RTData[[#This Row],[Company Name]],"Price")</f>
        <v>5.33</v>
      </c>
      <c r="I37" s="37" cm="1">
        <f t="array" aca="1" ref="I37" ca="1">_FV(RTData[[#This Row],[Company Name]],"Low")</f>
        <v>5.3</v>
      </c>
      <c r="J37" s="37" cm="1">
        <f t="array" aca="1" ref="J37" ca="1">_FV(RTData[[#This Row],[Company Name]],"High")</f>
        <v>5.75</v>
      </c>
      <c r="K37" s="20" cm="1">
        <f t="array" aca="1" ref="K37" ca="1">IFERROR(_FV(RTData[[#This Row],[Company Name]],"P/E",TRUE),99)</f>
        <v>0</v>
      </c>
      <c r="L37" s="21" cm="1">
        <f t="array" aca="1" ref="L37" ca="1">_FV(RTData[[#This Row],[Company Name]],"Change")</f>
        <v>-0.27</v>
      </c>
      <c r="M37" s="22" cm="1">
        <f t="array" aca="1" ref="M37" ca="1">_FV(RTData[[#This Row],[Company Name]],"Change (%)",TRUE)</f>
        <v>-4.8214E-2</v>
      </c>
      <c r="N37" s="37" cm="1">
        <f t="array" aca="1" ref="N37" ca="1">_FV(RTData[[#This Row],[Company Name]],"52 week low",TRUE)</f>
        <v>2.83</v>
      </c>
      <c r="O37" s="37" cm="1">
        <f t="array" aca="1" ref="O37" ca="1">_FV(RTData[[#This Row],[Company Name]],"52 week high",TRUE)</f>
        <v>7.79</v>
      </c>
      <c r="P37" s="23" cm="1">
        <f t="array" aca="1" ref="P37" ca="1">_FV(RTData[[#This Row],[Company Name]],"Volume")</f>
        <v>1646829</v>
      </c>
      <c r="Q37" s="23" cm="1">
        <f t="array" aca="1" ref="Q37" ca="1">_FV(RTData[[#This Row],[Company Name]],"Volume average",TRUE)</f>
        <v>1305036</v>
      </c>
      <c r="R37" s="19" cm="1">
        <f t="array" aca="1" ref="R37" ca="1">_FV(RTData[[#This Row],[Company Name]],"Beta")</f>
        <v>0.37819999999999998</v>
      </c>
      <c r="T37" t="s">
        <v>20</v>
      </c>
      <c r="U37" t="str" cm="1">
        <f t="array" aca="1" ref="U37" ca="1">_FV(RTData[[#This Row],[Company Name]],"Exchange abbreviation",TRUE)</f>
        <v>XNAS</v>
      </c>
      <c r="V37" s="24">
        <f ca="1">IFERROR(RTData[[#This Row],[Volume]]/RTData[[#This Row],[Volume average]],1)</f>
        <v>1.2619031199139334</v>
      </c>
      <c r="W37" s="24"/>
      <c r="X37" s="103">
        <f>[1]Sheet2!$E36</f>
        <v>6.6333299999999999</v>
      </c>
      <c r="Y37" s="149">
        <f>[1]Sheet2!$F36</f>
        <v>0</v>
      </c>
      <c r="Z37" s="149" t="str">
        <f>[1]Sheet2!$G36</f>
        <v>Aug 14, 2025</v>
      </c>
      <c r="AA37" s="150">
        <f>[1]Sheet2!$H36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0.85200647524921191</v>
      </c>
      <c r="C38" s="25" t="e" vm="36">
        <v>#VALUE!</v>
      </c>
      <c r="D38" s="17" t="str" cm="1">
        <f t="array" aca="1" ref="D38" ca="1">_FV(RTData[[#This Row],[Company Name]],"Currency")</f>
        <v>USD</v>
      </c>
      <c r="E38" s="18" cm="1">
        <f t="array" aca="1" ref="E38" ca="1">_FV(RTData[[#This Row],[Company Name]],"Last trade time",TRUE)</f>
        <v>45911.836235948438</v>
      </c>
      <c r="F38" s="19" cm="1">
        <f t="array" aca="1" ref="F38" ca="1">_FV(RTData[[#This Row],[Company Name]],"Previous close",TRUE)</f>
        <v>0.99</v>
      </c>
      <c r="G38" s="19" cm="1">
        <f t="array" aca="1" ref="G38" ca="1">_FV(RTData[[#This Row],[Company Name]],"Open")</f>
        <v>1.01</v>
      </c>
      <c r="H38" s="19" cm="1">
        <f t="array" aca="1" ref="H38" ca="1">_FV(RTData[[#This Row],[Company Name]],"Price")</f>
        <v>1.0049999999999999</v>
      </c>
      <c r="I38" s="19" cm="1">
        <f t="array" aca="1" ref="I38" ca="1">_FV(RTData[[#This Row],[Company Name]],"Low")</f>
        <v>0.99239999999999995</v>
      </c>
      <c r="J38" s="19" cm="1">
        <f t="array" aca="1" ref="J38" ca="1">_FV(RTData[[#This Row],[Company Name]],"High")</f>
        <v>1.05</v>
      </c>
      <c r="K38" s="20" cm="1">
        <f t="array" aca="1" ref="K38" ca="1">IFERROR(_FV(RTData[[#This Row],[Company Name]],"P/E",TRUE),99)</f>
        <v>0</v>
      </c>
      <c r="L38" s="21" cm="1">
        <f t="array" aca="1" ref="L38" ca="1">_FV(RTData[[#This Row],[Company Name]],"Change")</f>
        <v>1.4999999999999999E-2</v>
      </c>
      <c r="M38" s="22" cm="1">
        <f t="array" aca="1" ref="M38" ca="1">_FV(RTData[[#This Row],[Company Name]],"Change (%)",TRUE)</f>
        <v>1.5152000000000001E-2</v>
      </c>
      <c r="N38" s="19" cm="1">
        <f t="array" aca="1" ref="N38" ca="1">_FV(RTData[[#This Row],[Company Name]],"52 week low",TRUE)</f>
        <v>0.63</v>
      </c>
      <c r="O38" s="19" cm="1">
        <f t="array" aca="1" ref="O38" ca="1">_FV(RTData[[#This Row],[Company Name]],"52 week high",TRUE)</f>
        <v>2.75</v>
      </c>
      <c r="P38" s="23" cm="1">
        <f t="array" aca="1" ref="P38" ca="1">_FV(RTData[[#This Row],[Company Name]],"Volume")</f>
        <v>58675</v>
      </c>
      <c r="Q38" s="23" cm="1">
        <f t="array" aca="1" ref="Q38" ca="1">_FV(RTData[[#This Row],[Company Name]],"Volume average",TRUE)</f>
        <v>156176</v>
      </c>
      <c r="R38" s="19" cm="1">
        <f t="array" aca="1" ref="R38" ca="1">_FV(RTData[[#This Row],[Company Name]],"Beta")</f>
        <v>1.5294000000000001</v>
      </c>
      <c r="T38" t="s">
        <v>20</v>
      </c>
      <c r="U38" t="str" cm="1">
        <f t="array" aca="1" ref="U38" ca="1">_FV(RTData[[#This Row],[Company Name]],"Exchange abbreviation",TRUE)</f>
        <v>XNYS</v>
      </c>
      <c r="V38" s="24">
        <f ca="1">IFERROR(RTData[[#This Row],[Volume]]/RTData[[#This Row],[Volume average]],1)</f>
        <v>0.37569793053990369</v>
      </c>
      <c r="W38" s="24"/>
      <c r="X38" s="103">
        <f>[1]Sheet2!$E37</f>
        <v>0</v>
      </c>
      <c r="Y38" s="149">
        <f>[1]Sheet2!$F37</f>
        <v>41284</v>
      </c>
      <c r="Z38" s="149">
        <f>[1]Sheet2!$G37</f>
        <v>0</v>
      </c>
      <c r="AA38" s="150">
        <f>[1]Sheet2!$H37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0.85200647524921191</v>
      </c>
      <c r="C39" s="25" t="e" vm="37">
        <v>#VALUE!</v>
      </c>
      <c r="D39" s="17" t="str" cm="1">
        <f t="array" aca="1" ref="D39" ca="1">_FV(RTData[[#This Row],[Company Name]],"Currency")</f>
        <v>USD</v>
      </c>
      <c r="E39" s="18" cm="1">
        <f t="array" aca="1" ref="E39" ca="1">_FV(RTData[[#This Row],[Company Name]],"Last trade time",TRUE)</f>
        <v>45911.836278147654</v>
      </c>
      <c r="F39" s="19" cm="1">
        <f t="array" aca="1" ref="F39" ca="1">_FV(RTData[[#This Row],[Company Name]],"Previous close",TRUE)</f>
        <v>36.479999999999997</v>
      </c>
      <c r="G39" s="19" cm="1">
        <f t="array" aca="1" ref="G39" ca="1">_FV(RTData[[#This Row],[Company Name]],"Open")</f>
        <v>36.74</v>
      </c>
      <c r="H39" s="19" cm="1">
        <f t="array" aca="1" ref="H39" ca="1">_FV(RTData[[#This Row],[Company Name]],"Price")</f>
        <v>37.82</v>
      </c>
      <c r="I39" s="19" cm="1">
        <f t="array" aca="1" ref="I39" ca="1">_FV(RTData[[#This Row],[Company Name]],"Low")</f>
        <v>36.21</v>
      </c>
      <c r="J39" s="19" cm="1">
        <f t="array" aca="1" ref="J39" ca="1">_FV(RTData[[#This Row],[Company Name]],"High")</f>
        <v>37.840000000000003</v>
      </c>
      <c r="K39" s="20" cm="1">
        <f t="array" aca="1" ref="K39" ca="1">IFERROR(_FV(RTData[[#This Row],[Company Name]],"P/E",TRUE),99)</f>
        <v>6.9843000000000002</v>
      </c>
      <c r="L39" s="21" cm="1">
        <f t="array" aca="1" ref="L39" ca="1">_FV(RTData[[#This Row],[Company Name]],"Change")</f>
        <v>1.34</v>
      </c>
      <c r="M39" s="22" cm="1">
        <f t="array" aca="1" ref="M39" ca="1">_FV(RTData[[#This Row],[Company Name]],"Change (%)",TRUE)</f>
        <v>3.6732000000000001E-2</v>
      </c>
      <c r="N39" s="19" cm="1">
        <f t="array" aca="1" ref="N39" ca="1">_FV(RTData[[#This Row],[Company Name]],"52 week low",TRUE)</f>
        <v>12.66</v>
      </c>
      <c r="O39" s="19" cm="1">
        <f t="array" aca="1" ref="O39" ca="1">_FV(RTData[[#This Row],[Company Name]],"52 week high",TRUE)</f>
        <v>43.7181</v>
      </c>
      <c r="P39" s="23" cm="1">
        <f t="array" aca="1" ref="P39" ca="1">_FV(RTData[[#This Row],[Company Name]],"Volume")</f>
        <v>654030</v>
      </c>
      <c r="Q39" s="23" cm="1">
        <f t="array" aca="1" ref="Q39" ca="1">_FV(RTData[[#This Row],[Company Name]],"Volume average",TRUE)</f>
        <v>921449</v>
      </c>
      <c r="R39" s="19" cm="1">
        <f t="array" aca="1" ref="R39" ca="1">_FV(RTData[[#This Row],[Company Name]],"Beta")</f>
        <v>1.2625</v>
      </c>
      <c r="T39" t="s">
        <v>20</v>
      </c>
      <c r="U39" t="str" cm="1">
        <f t="array" aca="1" ref="U39" ca="1">_FV(RTData[[#This Row],[Company Name]],"Exchange abbreviation",TRUE)</f>
        <v>XNAS</v>
      </c>
      <c r="V39" s="24">
        <f ca="1">IFERROR(RTData[[#This Row],[Volume]]/RTData[[#This Row],[Volume average]],1)</f>
        <v>0.70978426369771952</v>
      </c>
      <c r="W39" s="24"/>
      <c r="X39" s="103">
        <v>38.33</v>
      </c>
      <c r="Y39" s="149">
        <f>[1]Sheet2!$F38</f>
        <v>0</v>
      </c>
      <c r="Z39" s="149" t="str">
        <f>[1]Sheet2!$G38</f>
        <v>Nov 6, 2025</v>
      </c>
      <c r="AA39" s="150">
        <f>[1]Sheet2!$H38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45911.770833333336</v>
      </c>
      <c r="F40" s="29" cm="1">
        <f t="array" aca="1" ref="F40" ca="1">_FV(RTData[[#This Row],[Company Name]],"Previous close",TRUE)</f>
        <v>35.86</v>
      </c>
      <c r="G40" s="29" cm="1">
        <f t="array" aca="1" ref="G40" ca="1">_FV(RTData[[#This Row],[Company Name]],"Open")</f>
        <v>35.9</v>
      </c>
      <c r="H40" s="29" cm="1">
        <f t="array" aca="1" ref="H40" ca="1">_FV(RTData[[#This Row],[Company Name]],"Price")</f>
        <v>35.75</v>
      </c>
      <c r="I40" s="29" cm="1">
        <f t="array" aca="1" ref="I40" ca="1">_FV(RTData[[#This Row],[Company Name]],"Low")</f>
        <v>35.58</v>
      </c>
      <c r="J40" s="29" cm="1">
        <f t="array" aca="1" ref="J40" ca="1">_FV(RTData[[#This Row],[Company Name]],"High")</f>
        <v>36.020000000000003</v>
      </c>
      <c r="K40" s="20" cm="1">
        <f t="array" aca="1" ref="K40" ca="1">IFERROR(_FV(RTData[[#This Row],[Company Name]],"P/E",TRUE),99)</f>
        <v>10.231199999999999</v>
      </c>
      <c r="L40" s="21" cm="1">
        <f t="array" aca="1" ref="L40" ca="1">_FV(RTData[[#This Row],[Company Name]],"Change")</f>
        <v>-0.11</v>
      </c>
      <c r="M40" s="22" cm="1">
        <f t="array" aca="1" ref="M40" ca="1">_FV(RTData[[#This Row],[Company Name]],"Change (%)",TRUE)</f>
        <v>-3.0669999999999998E-3</v>
      </c>
      <c r="N40" s="29" cm="1">
        <f t="array" aca="1" ref="N40" ca="1">_FV(RTData[[#This Row],[Company Name]],"52 week low",TRUE)</f>
        <v>27.76</v>
      </c>
      <c r="O40" s="29" cm="1">
        <f t="array" aca="1" ref="O40" ca="1">_FV(RTData[[#This Row],[Company Name]],"52 week high",TRUE)</f>
        <v>37.78</v>
      </c>
      <c r="P40" s="23" cm="1">
        <f t="array" aca="1" ref="P40" ca="1">_FV(RTData[[#This Row],[Company Name]],"Volume")</f>
        <v>1361072</v>
      </c>
      <c r="Q40" s="23" cm="1">
        <f t="array" aca="1" ref="Q40" ca="1">_FV(RTData[[#This Row],[Company Name]],"Volume average",TRUE)</f>
        <v>1325210</v>
      </c>
      <c r="R40" s="19" cm="1">
        <f t="array" aca="1" ref="R40" ca="1">_FV(RTData[[#This Row],[Company Name]],"Beta")</f>
        <v>0.48139999999999999</v>
      </c>
      <c r="T40" t="s">
        <v>20</v>
      </c>
      <c r="U40" t="str" cm="1">
        <f t="array" aca="1" ref="U40" ca="1">_FV(RTData[[#This Row],[Company Name]],"Exchange abbreviation",TRUE)</f>
        <v>XETR</v>
      </c>
      <c r="V40" s="24">
        <f ca="1">IFERROR(RTData[[#This Row],[Volume]]/RTData[[#This Row],[Volume average]],1)</f>
        <v>1.0270613714052867</v>
      </c>
      <c r="W40" s="24"/>
      <c r="X40" s="103">
        <f>[1]Sheet2!$E39</f>
        <v>42.911110000000001</v>
      </c>
      <c r="Y40" s="149">
        <f>[1]Sheet2!$F39</f>
        <v>45779</v>
      </c>
      <c r="Z40" s="149">
        <f>[1]Sheet2!$G39</f>
        <v>0</v>
      </c>
      <c r="AA40" s="150">
        <f>[1]Sheet2!$H39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45911.770833333336</v>
      </c>
      <c r="F41" s="29" cm="1">
        <f t="array" aca="1" ref="F41" ca="1">_FV(RTData[[#This Row],[Company Name]],"Previous close",TRUE)</f>
        <v>223.7</v>
      </c>
      <c r="G41" s="29" cm="1">
        <f t="array" aca="1" ref="G41" ca="1">_FV(RTData[[#This Row],[Company Name]],"Open")</f>
        <v>222</v>
      </c>
      <c r="H41" s="29" cm="1">
        <f t="array" aca="1" ref="H41" ca="1">_FV(RTData[[#This Row],[Company Name]],"Price")</f>
        <v>219.8</v>
      </c>
      <c r="I41" s="29" cm="1">
        <f t="array" aca="1" ref="I41" ca="1">_FV(RTData[[#This Row],[Company Name]],"Low")</f>
        <v>218.9</v>
      </c>
      <c r="J41" s="29" cm="1">
        <f t="array" aca="1" ref="J41" ca="1">_FV(RTData[[#This Row],[Company Name]],"High")</f>
        <v>222.85</v>
      </c>
      <c r="K41" s="20" cm="1">
        <f t="array" aca="1" ref="K41" ca="1">IFERROR(_FV(RTData[[#This Row],[Company Name]],"P/E",TRUE),99)</f>
        <v>39.244399999999999</v>
      </c>
      <c r="L41" s="21" cm="1">
        <f t="array" aca="1" ref="L41" ca="1">_FV(RTData[[#This Row],[Company Name]],"Change")</f>
        <v>-3.9</v>
      </c>
      <c r="M41" s="22" cm="1">
        <f t="array" aca="1" ref="M41" ca="1">_FV(RTData[[#This Row],[Company Name]],"Change (%)",TRUE)</f>
        <v>-1.7434000000000002E-2</v>
      </c>
      <c r="N41" s="29" cm="1">
        <f t="array" aca="1" ref="N41" ca="1">_FV(RTData[[#This Row],[Company Name]],"52 week low",TRUE)</f>
        <v>191.54</v>
      </c>
      <c r="O41" s="29" cm="1">
        <f t="array" aca="1" ref="O41" ca="1">_FV(RTData[[#This Row],[Company Name]],"52 week high",TRUE)</f>
        <v>283.5</v>
      </c>
      <c r="P41" s="23" cm="1">
        <f t="array" aca="1" ref="P41" ca="1">_FV(RTData[[#This Row],[Company Name]],"Volume")</f>
        <v>1974628</v>
      </c>
      <c r="Q41" s="23" cm="1">
        <f t="array" aca="1" ref="Q41" ca="1">_FV(RTData[[#This Row],[Company Name]],"Volume average",TRUE)</f>
        <v>1182560</v>
      </c>
      <c r="R41" s="29" cm="1">
        <f t="array" aca="1" ref="R41" ca="1">_FV(RTData[[#This Row],[Company Name]],"Beta")</f>
        <v>1.1718999999999999</v>
      </c>
      <c r="T41" t="s">
        <v>20</v>
      </c>
      <c r="U41" t="str" cm="1">
        <f t="array" aca="1" ref="U41" ca="1">_FV(RTData[[#This Row],[Company Name]],"Exchange abbreviation",TRUE)</f>
        <v>XETR</v>
      </c>
      <c r="V41" s="24">
        <f ca="1">IFERROR(RTData[[#This Row],[Volume]]/RTData[[#This Row],[Volume average]],1)</f>
        <v>1.6697909619807874</v>
      </c>
      <c r="W41" s="24"/>
      <c r="X41" s="103">
        <f>[1]Sheet2!$E40</f>
        <v>291.91037</v>
      </c>
      <c r="Y41" s="149">
        <f>[1]Sheet2!$F40</f>
        <v>45791</v>
      </c>
      <c r="Z41" s="149">
        <f>[1]Sheet2!$G40</f>
        <v>0</v>
      </c>
      <c r="AA41" s="150">
        <f>[1]Sheet2!$H40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0.85200647524921191</v>
      </c>
      <c r="C42" s="25" t="e" vm="40">
        <v>#VALUE!</v>
      </c>
      <c r="D42" s="17" t="str" cm="1">
        <f t="array" aca="1" ref="D42" ca="1">_FV(RTData[[#This Row],[Company Name]],"Currency")</f>
        <v>USD</v>
      </c>
      <c r="E42" s="18" cm="1">
        <f t="array" aca="1" ref="E42" ca="1">_FV(RTData[[#This Row],[Company Name]],"Last trade time",TRUE)</f>
        <v>45911.826107349218</v>
      </c>
      <c r="F42" s="19" cm="1">
        <f t="array" aca="1" ref="F42" ca="1">_FV(RTData[[#This Row],[Company Name]],"Previous close",TRUE)</f>
        <v>14.9</v>
      </c>
      <c r="G42" s="19" cm="1">
        <f t="array" aca="1" ref="G42" ca="1">_FV(RTData[[#This Row],[Company Name]],"Open")</f>
        <v>14.68</v>
      </c>
      <c r="H42" s="19" cm="1">
        <f t="array" aca="1" ref="H42" ca="1">_FV(RTData[[#This Row],[Company Name]],"Price")</f>
        <v>15.07</v>
      </c>
      <c r="I42" s="19" cm="1">
        <f t="array" aca="1" ref="I42" ca="1">_FV(RTData[[#This Row],[Company Name]],"Low")</f>
        <v>14.5</v>
      </c>
      <c r="J42" s="19" cm="1">
        <f t="array" aca="1" ref="J42" ca="1">_FV(RTData[[#This Row],[Company Name]],"High")</f>
        <v>15.11</v>
      </c>
      <c r="K42" s="20" cm="1">
        <f t="array" aca="1" ref="K42" ca="1">IFERROR(_FV(RTData[[#This Row],[Company Name]],"P/E",TRUE),99)</f>
        <v>0</v>
      </c>
      <c r="L42" s="21" cm="1">
        <f t="array" aca="1" ref="L42" ca="1">_FV(RTData[[#This Row],[Company Name]],"Change")</f>
        <v>0.17</v>
      </c>
      <c r="M42" s="22" cm="1">
        <f t="array" aca="1" ref="M42" ca="1">_FV(RTData[[#This Row],[Company Name]],"Change (%)",TRUE)</f>
        <v>1.1409000000000001E-2</v>
      </c>
      <c r="N42" s="19" cm="1">
        <f t="array" aca="1" ref="N42" ca="1">_FV(RTData[[#This Row],[Company Name]],"52 week low",TRUE)</f>
        <v>11.88</v>
      </c>
      <c r="O42" s="19" cm="1">
        <f t="array" aca="1" ref="O42" ca="1">_FV(RTData[[#This Row],[Company Name]],"52 week high",TRUE)</f>
        <v>21.74</v>
      </c>
      <c r="P42" s="23" cm="1">
        <f t="array" aca="1" ref="P42" ca="1">_FV(RTData[[#This Row],[Company Name]],"Volume")</f>
        <v>292184</v>
      </c>
      <c r="Q42" s="23" cm="1">
        <f t="array" aca="1" ref="Q42" ca="1">_FV(RTData[[#This Row],[Company Name]],"Volume average",TRUE)</f>
        <v>5553450</v>
      </c>
      <c r="R42" s="19" cm="1">
        <f t="array" aca="1" ref="R42" ca="1">_FV(RTData[[#This Row],[Company Name]],"Beta")</f>
        <v>1.4729000000000001</v>
      </c>
      <c r="T42" t="s">
        <v>20</v>
      </c>
      <c r="U42" t="str" cm="1">
        <f t="array" aca="1" ref="U42" ca="1">_FV(RTData[[#This Row],[Company Name]],"Exchange abbreviation",TRUE)</f>
        <v>OTCM</v>
      </c>
      <c r="V42" s="24">
        <f ca="1">IFERROR(RTData[[#This Row],[Volume]]/RTData[[#This Row],[Volume average]],1)</f>
        <v>5.2613060349872599E-2</v>
      </c>
      <c r="W42" s="24"/>
      <c r="X42" s="103">
        <f>[1]Sheet2!$E41</f>
        <v>0</v>
      </c>
      <c r="Y42" s="149">
        <f>[1]Sheet2!$F41</f>
        <v>45747</v>
      </c>
      <c r="Z42" s="149">
        <f>[1]Sheet2!$G41</f>
        <v>0</v>
      </c>
      <c r="AA42" s="150">
        <f>[1]Sheet2!$H41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0.85200647524921191</v>
      </c>
      <c r="C43" s="25" t="e" vm="41">
        <v>#VALUE!</v>
      </c>
      <c r="D43" s="17" t="str" cm="1">
        <f t="array" aca="1" ref="D43" ca="1">_FV(RTData[[#This Row],[Company Name]],"Currency")</f>
        <v>USD</v>
      </c>
      <c r="E43" s="18" cm="1">
        <f t="array" aca="1" ref="E43" ca="1">_FV(RTData[[#This Row],[Company Name]],"Last trade time",TRUE)</f>
        <v>45911.836284722223</v>
      </c>
      <c r="F43" s="19" cm="1">
        <f t="array" aca="1" ref="F43" ca="1">_FV(RTData[[#This Row],[Company Name]],"Previous close",TRUE)</f>
        <v>9.8000000000000007</v>
      </c>
      <c r="G43" s="19" cm="1">
        <f t="array" aca="1" ref="G43" ca="1">_FV(RTData[[#This Row],[Company Name]],"Open")</f>
        <v>9.76</v>
      </c>
      <c r="H43" s="19" cm="1">
        <f t="array" aca="1" ref="H43" ca="1">_FV(RTData[[#This Row],[Company Name]],"Price")</f>
        <v>9.85</v>
      </c>
      <c r="I43" s="19" cm="1">
        <f t="array" aca="1" ref="I43" ca="1">_FV(RTData[[#This Row],[Company Name]],"Low")</f>
        <v>9.73</v>
      </c>
      <c r="J43" s="19" cm="1">
        <f t="array" aca="1" ref="J43" ca="1">_FV(RTData[[#This Row],[Company Name]],"High")</f>
        <v>10.01</v>
      </c>
      <c r="K43" s="20" cm="1">
        <f t="array" aca="1" ref="K43" ca="1">IFERROR(_FV(RTData[[#This Row],[Company Name]],"P/E",TRUE),99)</f>
        <v>0</v>
      </c>
      <c r="L43" s="21" cm="1">
        <f t="array" aca="1" ref="L43" ca="1">_FV(RTData[[#This Row],[Company Name]],"Change")</f>
        <v>0.05</v>
      </c>
      <c r="M43" s="22" cm="1">
        <f t="array" aca="1" ref="M43" ca="1">_FV(RTData[[#This Row],[Company Name]],"Change (%)",TRUE)</f>
        <v>5.1019999999999998E-3</v>
      </c>
      <c r="N43" s="19" cm="1">
        <f t="array" aca="1" ref="N43" ca="1">_FV(RTData[[#This Row],[Company Name]],"52 week low",TRUE)</f>
        <v>6.2801</v>
      </c>
      <c r="O43" s="19" cm="1">
        <f t="array" aca="1" ref="O43" ca="1">_FV(RTData[[#This Row],[Company Name]],"52 week high",TRUE)</f>
        <v>12.88</v>
      </c>
      <c r="P43" s="23" cm="1">
        <f t="array" aca="1" ref="P43" ca="1">_FV(RTData[[#This Row],[Company Name]],"Volume")</f>
        <v>587504</v>
      </c>
      <c r="Q43" s="23" cm="1">
        <f t="array" aca="1" ref="Q43" ca="1">_FV(RTData[[#This Row],[Company Name]],"Volume average",TRUE)</f>
        <v>1199311</v>
      </c>
      <c r="R43" s="19" cm="1">
        <f t="array" aca="1" ref="R43" ca="1">_FV(RTData[[#This Row],[Company Name]],"Beta")</f>
        <v>1.5918000000000001</v>
      </c>
      <c r="T43" t="s">
        <v>20</v>
      </c>
      <c r="U43" t="str" cm="1">
        <f t="array" aca="1" ref="U43" ca="1">_FV(RTData[[#This Row],[Company Name]],"Exchange abbreviation",TRUE)</f>
        <v>XNAS</v>
      </c>
      <c r="V43" s="24">
        <f ca="1">IFERROR(RTData[[#This Row],[Volume]]/RTData[[#This Row],[Volume average]],1)</f>
        <v>0.48986793250457972</v>
      </c>
      <c r="W43" s="24"/>
      <c r="X43" s="103">
        <f>[1]Sheet2!$E42</f>
        <v>13.33333</v>
      </c>
      <c r="Y43" s="149">
        <f>[1]Sheet2!$F42</f>
        <v>0</v>
      </c>
      <c r="Z43" s="149" t="str">
        <f>[1]Sheet2!$G42</f>
        <v>Nov 12, 2025</v>
      </c>
      <c r="AA43" s="150">
        <f>[1]Sheet2!$H42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0.85200647524921191</v>
      </c>
      <c r="C44" s="25" t="e" vm="42">
        <v>#VALUE!</v>
      </c>
      <c r="D44" s="17" t="str" cm="1">
        <f t="array" aca="1" ref="D44" ca="1">_FV(RTData[[#This Row],[Company Name]],"Currency")</f>
        <v>USD</v>
      </c>
      <c r="E44" s="18" cm="1">
        <f t="array" aca="1" ref="E44" ca="1">_FV(RTData[[#This Row],[Company Name]],"Last trade time",TRUE)</f>
        <v>45911.836590671097</v>
      </c>
      <c r="F44" s="19" cm="1">
        <f t="array" aca="1" ref="F44" ca="1">_FV(RTData[[#This Row],[Company Name]],"Previous close",TRUE)</f>
        <v>347.79</v>
      </c>
      <c r="G44" s="19" cm="1">
        <f t="array" aca="1" ref="G44" ca="1">_FV(RTData[[#This Row],[Company Name]],"Open")</f>
        <v>350</v>
      </c>
      <c r="H44" s="19" cm="1">
        <f t="array" aca="1" ref="H44" ca="1">_FV(RTData[[#This Row],[Company Name]],"Price")</f>
        <v>368.81</v>
      </c>
      <c r="I44" s="19" cm="1">
        <f t="array" aca="1" ref="I44" ca="1">_FV(RTData[[#This Row],[Company Name]],"Low")</f>
        <v>347.6</v>
      </c>
      <c r="J44" s="19" cm="1">
        <f t="array" aca="1" ref="J44" ca="1">_FV(RTData[[#This Row],[Company Name]],"High")</f>
        <v>368.99</v>
      </c>
      <c r="K44" s="20" cm="1">
        <f t="array" aca="1" ref="K44" ca="1">IFERROR(_FV(RTData[[#This Row],[Company Name]],"P/E",TRUE),99)</f>
        <v>205.5224</v>
      </c>
      <c r="L44" s="21" cm="1">
        <f t="array" aca="1" ref="L44" ca="1">_FV(RTData[[#This Row],[Company Name]],"Change")</f>
        <v>21.02</v>
      </c>
      <c r="M44" s="22" cm="1">
        <f t="array" aca="1" ref="M44" ca="1">_FV(RTData[[#This Row],[Company Name]],"Change (%)",TRUE)</f>
        <v>6.0439E-2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102077547</v>
      </c>
      <c r="Q44" s="23" cm="1">
        <f t="array" aca="1" ref="Q44" ca="1">_FV(RTData[[#This Row],[Company Name]],"Volume average",TRUE)</f>
        <v>75822753</v>
      </c>
      <c r="R44" s="19" cm="1">
        <f t="array" aca="1" ref="R44" ca="1">_FV(RTData[[#This Row],[Company Name]],"Beta")</f>
        <v>2.0388999999999999</v>
      </c>
      <c r="T44" t="s">
        <v>20</v>
      </c>
      <c r="U44" t="str" cm="1">
        <f t="array" aca="1" ref="U44" ca="1">_FV(RTData[[#This Row],[Company Name]],"Exchange abbreviation",TRUE)</f>
        <v>XNAS</v>
      </c>
      <c r="V44" s="24">
        <f ca="1">IFERROR(RTData[[#This Row],[Volume]]/RTData[[#This Row],[Volume average]],1)</f>
        <v>1.3462653749857909</v>
      </c>
      <c r="W44" s="24"/>
      <c r="X44" s="103">
        <f>[1]Sheet2!$E43</f>
        <v>310.53410000000002</v>
      </c>
      <c r="Y44" s="149">
        <f>[1]Sheet2!$F43</f>
        <v>0</v>
      </c>
      <c r="Z44" s="149" t="str">
        <f>[1]Sheet2!$G43</f>
        <v>Oct 22, 2025</v>
      </c>
      <c r="AA44" s="150">
        <f>[1]Sheet2!$H43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0.85200647524921191</v>
      </c>
      <c r="C45" s="25" t="e" vm="43">
        <v>#VALUE!</v>
      </c>
      <c r="D45" s="17" t="str" cm="1">
        <f t="array" aca="1" ref="D45" ca="1">_FV(RTData[[#This Row],[Company Name]],"Currency")</f>
        <v>USD</v>
      </c>
      <c r="E45" s="18" cm="1">
        <f t="array" aca="1" ref="E45" ca="1">_FV(RTData[[#This Row],[Company Name]],"Last trade time",TRUE)</f>
        <v>45911.836520485936</v>
      </c>
      <c r="F45" s="19" cm="1">
        <f t="array" aca="1" ref="F45" ca="1">_FV(RTData[[#This Row],[Company Name]],"Previous close",TRUE)</f>
        <v>260.44</v>
      </c>
      <c r="G45" s="19" cm="1">
        <f t="array" aca="1" ref="G45" ca="1">_FV(RTData[[#This Row],[Company Name]],"Open")</f>
        <v>260.52999999999997</v>
      </c>
      <c r="H45" s="19" cm="1">
        <f t="array" aca="1" ref="H45" ca="1">_FV(RTData[[#This Row],[Company Name]],"Price")</f>
        <v>258.82</v>
      </c>
      <c r="I45" s="19" cm="1">
        <f t="array" aca="1" ref="I45" ca="1">_FV(RTData[[#This Row],[Company Name]],"Low")</f>
        <v>258.23009999999999</v>
      </c>
      <c r="J45" s="19" cm="1">
        <f t="array" aca="1" ref="J45" ca="1">_FV(RTData[[#This Row],[Company Name]],"High")</f>
        <v>261.64</v>
      </c>
      <c r="K45" s="20" cm="1">
        <f t="array" aca="1" ref="K45" ca="1">IFERROR(_FV(RTData[[#This Row],[Company Name]],"P/E",TRUE),99)</f>
        <v>26.830200000000001</v>
      </c>
      <c r="L45" s="21" cm="1">
        <f t="array" aca="1" ref="L45" ca="1">_FV(RTData[[#This Row],[Company Name]],"Change")</f>
        <v>-1.62</v>
      </c>
      <c r="M45" s="22" cm="1">
        <f t="array" aca="1" ref="M45" ca="1">_FV(RTData[[#This Row],[Company Name]],"Change (%)",TRUE)</f>
        <v>-6.2199999999999998E-3</v>
      </c>
      <c r="N45" s="19" cm="1">
        <f t="array" aca="1" ref="N45" ca="1">_FV(RTData[[#This Row],[Company Name]],"52 week low",TRUE)</f>
        <v>134.25</v>
      </c>
      <c r="O45" s="19" cm="1">
        <f t="array" aca="1" ref="O45" ca="1">_FV(RTData[[#This Row],[Company Name]],"52 week high",TRUE)</f>
        <v>264.58</v>
      </c>
      <c r="P45" s="23" cm="1">
        <f t="array" aca="1" ref="P45" ca="1">_FV(RTData[[#This Row],[Company Name]],"Volume")</f>
        <v>9875607</v>
      </c>
      <c r="Q45" s="23" cm="1">
        <f t="array" aca="1" ref="Q45" ca="1">_FV(RTData[[#This Row],[Company Name]],"Volume average",TRUE)</f>
        <v>10982108</v>
      </c>
      <c r="R45" s="19" cm="1">
        <f t="array" aca="1" ref="R45" ca="1">_FV(RTData[[#This Row],[Company Name]],"Beta")</f>
        <v>1.26</v>
      </c>
      <c r="T45" t="s">
        <v>20</v>
      </c>
      <c r="U45" t="str" cm="1">
        <f t="array" aca="1" ref="U45" ca="1">_FV(RTData[[#This Row],[Company Name]],"Exchange abbreviation",TRUE)</f>
        <v>XNYS</v>
      </c>
      <c r="V45" s="24">
        <f ca="1">IFERROR(RTData[[#This Row],[Volume]]/RTData[[#This Row],[Volume average]],1)</f>
        <v>0.8992451176040156</v>
      </c>
      <c r="W45" s="24"/>
      <c r="X45" s="103">
        <v>269.76</v>
      </c>
      <c r="Y45" s="149">
        <f>[1]Sheet2!$F44</f>
        <v>45916</v>
      </c>
      <c r="Z45" s="149" t="str">
        <f>[1]Sheet2!$G44</f>
        <v>Oct 16, 2025</v>
      </c>
      <c r="AA45" s="150">
        <f>[1]Sheet2!$H44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45911.808333333334</v>
      </c>
      <c r="F46" s="29" cm="1">
        <f t="array" aca="1" ref="F46" ca="1">_FV(RTData[[#This Row],[Company Name]],"Previous close",TRUE)</f>
        <v>36.25</v>
      </c>
      <c r="G46" s="29" cm="1">
        <f t="array" aca="1" ref="G46" ca="1">_FV(RTData[[#This Row],[Company Name]],"Open")</f>
        <v>37.049999999999997</v>
      </c>
      <c r="H46" s="29" cm="1">
        <f t="array" aca="1" ref="H46" ca="1">_FV(RTData[[#This Row],[Company Name]],"Price")</f>
        <v>35.35</v>
      </c>
      <c r="I46" s="29" cm="1">
        <f t="array" aca="1" ref="I46" ca="1">_FV(RTData[[#This Row],[Company Name]],"Low")</f>
        <v>35.35</v>
      </c>
      <c r="J46" s="29" cm="1">
        <f t="array" aca="1" ref="J46" ca="1">_FV(RTData[[#This Row],[Company Name]],"High")</f>
        <v>37.049999999999997</v>
      </c>
      <c r="K46" s="20" cm="1">
        <f t="array" ref="K46">IFERROR(_FV(RTData[[#This Row],[Company Name]],"P/E",TRUE),99)</f>
        <v>99</v>
      </c>
      <c r="L46" s="21" cm="1">
        <f t="array" aca="1" ref="L46" ca="1">_FV(RTData[[#This Row],[Company Name]],"Change")</f>
        <v>-0.9</v>
      </c>
      <c r="M46" s="22" cm="1">
        <f t="array" aca="1" ref="M46" ca="1">_FV(RTData[[#This Row],[Company Name]],"Change (%)",TRUE)</f>
        <v>-2.4828000000000003E-2</v>
      </c>
      <c r="N46" s="29" cm="1">
        <f t="array" aca="1" ref="N46" ca="1">_FV(RTData[[#This Row],[Company Name]],"52 week low",TRUE)</f>
        <v>2.1</v>
      </c>
      <c r="O46" s="29" cm="1">
        <f t="array" aca="1" ref="O46" ca="1">_FV(RTData[[#This Row],[Company Name]],"52 week high",TRUE)</f>
        <v>73.5</v>
      </c>
      <c r="P46" s="23" cm="1">
        <f t="array" aca="1" ref="P46" ca="1">_FV(RTData[[#This Row],[Company Name]],"Volume")</f>
        <v>54</v>
      </c>
      <c r="Q46" s="23" cm="1">
        <f t="array" aca="1" ref="Q46" ca="1">_FV(RTData[[#This Row],[Company Name]],"Volume average",TRUE)</f>
        <v>1400</v>
      </c>
      <c r="R46" s="29" cm="1">
        <f t="array" aca="1" ref="R46" ca="1">_FV(RTData[[#This Row],[Company Name]],"Beta")</f>
        <v>1.0031000000000001</v>
      </c>
      <c r="T46" t="s">
        <v>20</v>
      </c>
      <c r="U46" t="str" cm="1">
        <f t="array" aca="1" ref="U46" ca="1">_FV(RTData[[#This Row],[Company Name]],"Exchange abbreviation",TRUE)</f>
        <v>XFRA</v>
      </c>
      <c r="V46" s="24">
        <f ca="1">IFERROR(RTData[[#This Row],[Volume]]/RTData[[#This Row],[Volume average]],1)</f>
        <v>3.8571428571428569E-2</v>
      </c>
      <c r="W46" s="24"/>
      <c r="X46" s="103">
        <f>[1]Sheet2!$E45</f>
        <v>0</v>
      </c>
      <c r="Y46" s="149">
        <f>[1]Sheet2!$F45</f>
        <v>0</v>
      </c>
      <c r="Z46" s="149">
        <f>[1]Sheet2!$G45</f>
        <v>0</v>
      </c>
      <c r="AA46" s="150">
        <f>[1]Sheet2!$H45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0.85200647524921191</v>
      </c>
      <c r="C47" s="25" t="e" vm="45">
        <v>#VALUE!</v>
      </c>
      <c r="D47" s="17" t="str" cm="1">
        <f t="array" aca="1" ref="D47" ca="1">_FV(RTData[[#This Row],[Company Name]],"Currency")</f>
        <v>USD</v>
      </c>
      <c r="E47" s="18" cm="1">
        <f t="array" aca="1" ref="E47" ca="1">_FV(RTData[[#This Row],[Company Name]],"Last trade time",TRUE)</f>
        <v>45911.836284825782</v>
      </c>
      <c r="F47" s="19" cm="1">
        <f t="array" aca="1" ref="F47" ca="1">_FV(RTData[[#This Row],[Company Name]],"Previous close",TRUE)</f>
        <v>6.85</v>
      </c>
      <c r="G47" s="19" cm="1">
        <f t="array" aca="1" ref="G47" ca="1">_FV(RTData[[#This Row],[Company Name]],"Open")</f>
        <v>6.87</v>
      </c>
      <c r="H47" s="19" cm="1">
        <f t="array" aca="1" ref="H47" ca="1">_FV(RTData[[#This Row],[Company Name]],"Price")</f>
        <v>7.11</v>
      </c>
      <c r="I47" s="19" cm="1">
        <f t="array" aca="1" ref="I47" ca="1">_FV(RTData[[#This Row],[Company Name]],"Low")</f>
        <v>6.77</v>
      </c>
      <c r="J47" s="19" cm="1">
        <f t="array" aca="1" ref="J47" ca="1">_FV(RTData[[#This Row],[Company Name]],"High")</f>
        <v>7.1950000000000003</v>
      </c>
      <c r="K47" s="20" cm="1">
        <f t="array" aca="1" ref="K47" ca="1">IFERROR(_FV(RTData[[#This Row],[Company Name]],"P/E",TRUE),99)</f>
        <v>29.886500000000002</v>
      </c>
      <c r="L47" s="21" cm="1">
        <f t="array" aca="1" ref="L47" ca="1">_FV(RTData[[#This Row],[Company Name]],"Change")</f>
        <v>0.26</v>
      </c>
      <c r="M47" s="22" cm="1">
        <f t="array" aca="1" ref="M47" ca="1">_FV(RTData[[#This Row],[Company Name]],"Change (%)",TRUE)</f>
        <v>3.7955999999999997E-2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2803864</v>
      </c>
      <c r="Q47" s="23" cm="1">
        <f t="array" aca="1" ref="Q47" ca="1">_FV(RTData[[#This Row],[Company Name]],"Volume average",TRUE)</f>
        <v>3344478</v>
      </c>
      <c r="R47" s="19" cm="1">
        <f t="array" aca="1" ref="R47" ca="1">_FV(RTData[[#This Row],[Company Name]],"Beta")</f>
        <v>1.5786</v>
      </c>
      <c r="T47" t="s">
        <v>20</v>
      </c>
      <c r="U47" t="str" cm="1">
        <f t="array" aca="1" ref="U47" ca="1">_FV(RTData[[#This Row],[Company Name]],"Exchange abbreviation",TRUE)</f>
        <v>XNAS</v>
      </c>
      <c r="V47" s="24">
        <f ca="1">IFERROR(RTData[[#This Row],[Volume]]/RTData[[#This Row],[Volume average]],1)</f>
        <v>0.83835623974802642</v>
      </c>
      <c r="W47" s="24"/>
      <c r="X47" s="103">
        <f>[1]Sheet2!$E46</f>
        <v>8.2502700000000004</v>
      </c>
      <c r="Y47" s="149">
        <f>[1]Sheet2!$F46</f>
        <v>45457</v>
      </c>
      <c r="Z47" s="149" t="str">
        <f>[1]Sheet2!$G46</f>
        <v>Oct 30, 2025</v>
      </c>
      <c r="AA47" s="150">
        <f>[1]Sheet2!$H46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0.85200647524921191</v>
      </c>
      <c r="C48" s="25" t="e" vm="46">
        <v>#VALUE!</v>
      </c>
      <c r="D48" s="17" t="str" cm="1">
        <f t="array" aca="1" ref="D48" ca="1">_FV(RTData[[#This Row],[Company Name]],"Currency")</f>
        <v>USD</v>
      </c>
      <c r="E48" s="18" cm="1">
        <f t="array" aca="1" ref="E48" ca="1">_FV(RTData[[#This Row],[Company Name]],"Last trade time",TRUE)</f>
        <v>45911.836544582809</v>
      </c>
      <c r="F48" s="19" cm="1">
        <f t="array" aca="1" ref="F48" ca="1">_FV(RTData[[#This Row],[Company Name]],"Previous close",TRUE)</f>
        <v>369.57</v>
      </c>
      <c r="G48" s="19" cm="1">
        <f t="array" aca="1" ref="G48" ca="1">_FV(RTData[[#This Row],[Company Name]],"Open")</f>
        <v>371.23</v>
      </c>
      <c r="H48" s="19" cm="1">
        <f t="array" aca="1" ref="H48" ca="1">_FV(RTData[[#This Row],[Company Name]],"Price")</f>
        <v>359.63</v>
      </c>
      <c r="I48" s="19" cm="1">
        <f t="array" aca="1" ref="I48" ca="1">_FV(RTData[[#This Row],[Company Name]],"Low")</f>
        <v>358.7604</v>
      </c>
      <c r="J48" s="19" cm="1">
        <f t="array" aca="1" ref="J48" ca="1">_FV(RTData[[#This Row],[Company Name]],"High")</f>
        <v>374.23</v>
      </c>
      <c r="K48" s="20" cm="1">
        <f t="array" aca="1" ref="K48" ca="1">IFERROR(_FV(RTData[[#This Row],[Company Name]],"P/E",TRUE),99)</f>
        <v>92.1892</v>
      </c>
      <c r="L48" s="21" cm="1">
        <f t="array" aca="1" ref="L48" ca="1">_FV(RTData[[#This Row],[Company Name]],"Change")</f>
        <v>-9.94</v>
      </c>
      <c r="M48" s="22" cm="1">
        <f t="array" aca="1" ref="M48" ca="1">_FV(RTData[[#This Row],[Company Name]],"Change (%)",TRUE)</f>
        <v>-2.6896E-2</v>
      </c>
      <c r="N48" s="19" cm="1">
        <f t="array" aca="1" ref="N48" ca="1">_FV(RTData[[#This Row],[Company Name]],"52 week low",TRUE)</f>
        <v>138.1</v>
      </c>
      <c r="O48" s="19" cm="1">
        <f t="array" aca="1" ref="O48" ca="1">_FV(RTData[[#This Row],[Company Name]],"52 week high",TRUE)</f>
        <v>374.23</v>
      </c>
      <c r="P48" s="23" cm="1">
        <f t="array" aca="1" ref="P48" ca="1">_FV(RTData[[#This Row],[Company Name]],"Volume")</f>
        <v>28946679</v>
      </c>
      <c r="Q48" s="23" cm="1">
        <f t="array" aca="1" ref="Q48" ca="1">_FV(RTData[[#This Row],[Company Name]],"Volume average",TRUE)</f>
        <v>23456410</v>
      </c>
      <c r="R48" s="19" cm="1">
        <f t="array" aca="1" ref="R48" ca="1">_FV(RTData[[#This Row],[Company Name]],"Beta")</f>
        <v>1.1987000000000001</v>
      </c>
      <c r="T48" t="s">
        <v>20</v>
      </c>
      <c r="U48" t="str" cm="1">
        <f t="array" aca="1" ref="U48" ca="1">_FV(RTData[[#This Row],[Company Name]],"Exchange abbreviation",TRUE)</f>
        <v>XNAS</v>
      </c>
      <c r="V48" s="24">
        <f ca="1">IFERROR(RTData[[#This Row],[Volume]]/RTData[[#This Row],[Volume average]],1)</f>
        <v>1.2340626293622938</v>
      </c>
      <c r="W48" s="24"/>
      <c r="X48" s="103">
        <f>[1]Sheet2!$E47</f>
        <v>355.06</v>
      </c>
      <c r="Y48" s="149">
        <f>[1]Sheet2!$F47</f>
        <v>45922</v>
      </c>
      <c r="Z48" s="149" t="str">
        <f>[1]Sheet2!$G47</f>
        <v>Sep 4, 2025</v>
      </c>
      <c r="AA48" s="150">
        <f>[1]Sheet2!$H47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0.85200647524921191</v>
      </c>
      <c r="C49" s="16" t="e" vm="47">
        <v>#VALUE!</v>
      </c>
      <c r="D49" s="17" t="str" cm="1">
        <f t="array" aca="1" ref="D49" ca="1">_FV(RTData[[#This Row],[Company Name]],"Currency")</f>
        <v>USD</v>
      </c>
      <c r="E49" s="18" cm="1">
        <f t="array" aca="1" ref="E49" ca="1">_FV(RTData[[#This Row],[Company Name]],"Last trade time",TRUE)</f>
        <v>45911.825784895314</v>
      </c>
      <c r="F49" s="19" cm="1">
        <f t="array" aca="1" ref="F49" ca="1">_FV(RTData[[#This Row],[Company Name]],"Previous close",TRUE)</f>
        <v>29.14</v>
      </c>
      <c r="G49" s="19" cm="1">
        <f t="array" aca="1" ref="G49" ca="1">_FV(RTData[[#This Row],[Company Name]],"Open")</f>
        <v>29.07</v>
      </c>
      <c r="H49" s="19" cm="1">
        <f t="array" aca="1" ref="H49" ca="1">_FV(RTData[[#This Row],[Company Name]],"Price")</f>
        <v>29.53</v>
      </c>
      <c r="I49" s="19" cm="1">
        <f t="array" aca="1" ref="I49" ca="1">_FV(RTData[[#This Row],[Company Name]],"Low")</f>
        <v>29.07</v>
      </c>
      <c r="J49" s="19" cm="1">
        <f t="array" aca="1" ref="J49" ca="1">_FV(RTData[[#This Row],[Company Name]],"High")</f>
        <v>29.55</v>
      </c>
      <c r="K49" s="20" cm="1">
        <f t="array" aca="1" ref="K49" ca="1">IFERROR(_FV(RTData[[#This Row],[Company Name]],"P/E",TRUE),99)</f>
        <v>0</v>
      </c>
      <c r="L49" s="21" cm="1">
        <f t="array" aca="1" ref="L49" ca="1">_FV(RTData[[#This Row],[Company Name]],"Change")</f>
        <v>0.39</v>
      </c>
      <c r="M49" s="22" cm="1">
        <f t="array" aca="1" ref="M49" ca="1">_FV(RTData[[#This Row],[Company Name]],"Change (%)",TRUE)</f>
        <v>1.3384E-2</v>
      </c>
      <c r="N49" s="19" cm="1">
        <f t="array" aca="1" ref="N49" ca="1">_FV(RTData[[#This Row],[Company Name]],"52 week low",TRUE)</f>
        <v>22.55</v>
      </c>
      <c r="O49" s="19" cm="1">
        <f t="array" aca="1" ref="O49" ca="1">_FV(RTData[[#This Row],[Company Name]],"52 week high",TRUE)</f>
        <v>33.33</v>
      </c>
      <c r="P49" s="23" cm="1">
        <f t="array" aca="1" ref="P49" ca="1">_FV(RTData[[#This Row],[Company Name]],"Volume")</f>
        <v>38353</v>
      </c>
      <c r="Q49" s="23" cm="1">
        <f t="array" aca="1" ref="Q49" ca="1">_FV(RTData[[#This Row],[Company Name]],"Volume average",TRUE)</f>
        <v>2486380</v>
      </c>
      <c r="R49" s="19" cm="1">
        <f t="array" aca="1" ref="R49" ca="1">_FV(RTData[[#This Row],[Company Name]],"Beta")</f>
        <v>0.90510000000000002</v>
      </c>
      <c r="T49" t="s">
        <v>20</v>
      </c>
      <c r="U49" t="str" cm="1">
        <f t="array" aca="1" ref="U49" ca="1">_FV(RTData[[#This Row],[Company Name]],"Exchange abbreviation",TRUE)</f>
        <v>OTCM</v>
      </c>
      <c r="V49" s="24">
        <f ca="1">IFERROR(RTData[[#This Row],[Volume]]/RTData[[#This Row],[Volume average]],1)</f>
        <v>1.542523668948431E-2</v>
      </c>
      <c r="W49" s="24"/>
      <c r="X49" s="103">
        <f>[1]Sheet2!$E48</f>
        <v>36</v>
      </c>
      <c r="Y49" s="149">
        <f>[1]Sheet2!$F48</f>
        <v>45751</v>
      </c>
      <c r="Z49" s="149">
        <f>[1]Sheet2!$G48</f>
        <v>0</v>
      </c>
      <c r="AA49" s="150">
        <f>[1]Sheet2!$H48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1.0708931248661384</v>
      </c>
      <c r="C50" s="25" t="e" vm="48">
        <v>#VALUE!</v>
      </c>
      <c r="D50" s="17" t="str" cm="1">
        <f t="array" aca="1" ref="D50" ca="1">_FV(RTData[[#This Row],[Company Name]],"Currency")</f>
        <v>CHF</v>
      </c>
      <c r="E50" s="18" cm="1">
        <f t="array" aca="1" ref="E50" ca="1">_FV(RTData[[#This Row],[Company Name]],"Last trade time",TRUE)</f>
        <v>45911.818599537037</v>
      </c>
      <c r="F50" s="38" cm="1">
        <f t="array" aca="1" ref="F50" ca="1">_FV(RTData[[#This Row],[Company Name]],"Previous close",TRUE)</f>
        <v>61.7</v>
      </c>
      <c r="G50" s="38" cm="1">
        <f t="array" aca="1" ref="G50" ca="1">_FV(RTData[[#This Row],[Company Name]],"Open")</f>
        <v>61.9</v>
      </c>
      <c r="H50" s="38" cm="1">
        <f t="array" aca="1" ref="H50" ca="1">_FV(RTData[[#This Row],[Company Name]],"Price")</f>
        <v>61.4</v>
      </c>
      <c r="I50" s="39" cm="1">
        <f t="array" aca="1" ref="I50" ca="1">_FV(RTData[[#This Row],[Company Name]],"Low")</f>
        <v>61.3</v>
      </c>
      <c r="J50" s="39" cm="1">
        <f t="array" aca="1" ref="J50" ca="1">_FV(RTData[[#This Row],[Company Name]],"High")</f>
        <v>62.2</v>
      </c>
      <c r="K50" s="20" cm="1">
        <f t="array" aca="1" ref="K50" ca="1">IFERROR(_FV(RTData[[#This Row],[Company Name]],"P/E",TRUE),99)</f>
        <v>13.86</v>
      </c>
      <c r="L50" s="21" cm="1">
        <f t="array" aca="1" ref="L50" ca="1">_FV(RTData[[#This Row],[Company Name]],"Change")</f>
        <v>-0.3</v>
      </c>
      <c r="M50" s="40" cm="1">
        <f t="array" aca="1" ref="M50" ca="1">_FV(RTData[[#This Row],[Company Name]],"Change (%)",TRUE)</f>
        <v>-4.862E-3</v>
      </c>
      <c r="N50" s="39" cm="1">
        <f t="array" aca="1" ref="N50" ca="1">_FV(RTData[[#This Row],[Company Name]],"52 week low",TRUE)</f>
        <v>51.1</v>
      </c>
      <c r="O50" s="39" cm="1">
        <f t="array" aca="1" ref="O50" ca="1">_FV(RTData[[#This Row],[Company Name]],"52 week high",TRUE)</f>
        <v>69.5</v>
      </c>
      <c r="P50" s="23" cm="1">
        <f t="array" aca="1" ref="P50" ca="1">_FV(RTData[[#This Row],[Company Name]],"Volume")</f>
        <v>22083</v>
      </c>
      <c r="Q50" s="23" cm="1">
        <f t="array" aca="1" ref="Q50" ca="1">_FV(RTData[[#This Row],[Company Name]],"Volume average",TRUE)</f>
        <v>26970</v>
      </c>
      <c r="R50" s="19" cm="1">
        <f t="array" aca="1" ref="R50" ca="1">_FV(RTData[[#This Row],[Company Name]],"Beta")</f>
        <v>1.0330999999999999</v>
      </c>
      <c r="T50" t="s">
        <v>20</v>
      </c>
      <c r="U50" t="str" cm="1">
        <f t="array" aca="1" ref="U50" ca="1">_FV(RTData[[#This Row],[Company Name]],"Exchange abbreviation",TRUE)</f>
        <v>XSWX</v>
      </c>
      <c r="V50" s="24">
        <f ca="1">IFERROR(RTData[[#This Row],[Volume]]/RTData[[#This Row],[Volume average]],1)</f>
        <v>0.81879866518353728</v>
      </c>
      <c r="W50" s="24"/>
      <c r="X50" s="103">
        <v>63.33</v>
      </c>
      <c r="Y50" s="149">
        <f>[1]Sheet2!$F49</f>
        <v>45751</v>
      </c>
      <c r="Z50" s="149" t="str">
        <f>[1]Sheet2!$G49</f>
        <v>Jul 24, 2025</v>
      </c>
      <c r="AA50" s="150">
        <f>[1]Sheet2!$H49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0.85200647524921191</v>
      </c>
      <c r="C51" s="25" t="e" vm="49">
        <v>#VALUE!</v>
      </c>
      <c r="D51" s="17" t="str" cm="1">
        <f t="array" aca="1" ref="D51" ca="1">_FV(RTData[[#This Row],[Company Name]],"Currency")</f>
        <v>USD</v>
      </c>
      <c r="E51" s="18" cm="1">
        <f t="array" aca="1" ref="E51" ca="1">_FV(RTData[[#This Row],[Company Name]],"Last trade time",TRUE)</f>
        <v>45911.836277626564</v>
      </c>
      <c r="F51" s="19" cm="1">
        <f t="array" aca="1" ref="F51" ca="1">_FV(RTData[[#This Row],[Company Name]],"Previous close",TRUE)</f>
        <v>10.24</v>
      </c>
      <c r="G51" s="19" cm="1">
        <f t="array" aca="1" ref="G51" ca="1">_FV(RTData[[#This Row],[Company Name]],"Open")</f>
        <v>10.25</v>
      </c>
      <c r="H51" s="19" cm="1">
        <f t="array" aca="1" ref="H51" ca="1">_FV(RTData[[#This Row],[Company Name]],"Price")</f>
        <v>10.17</v>
      </c>
      <c r="I51" s="19" cm="1">
        <f t="array" aca="1" ref="I51" ca="1">_FV(RTData[[#This Row],[Company Name]],"Low")</f>
        <v>10.085000000000001</v>
      </c>
      <c r="J51" s="19" cm="1">
        <f t="array" aca="1" ref="J51" ca="1">_FV(RTData[[#This Row],[Company Name]],"High")</f>
        <v>10.3757</v>
      </c>
      <c r="K51" s="20" cm="1">
        <f t="array" aca="1" ref="K51" ca="1">IFERROR(_FV(RTData[[#This Row],[Company Name]],"P/E",TRUE),99)</f>
        <v>0</v>
      </c>
      <c r="L51" s="21" cm="1">
        <f t="array" aca="1" ref="L51" ca="1">_FV(RTData[[#This Row],[Company Name]],"Change")</f>
        <v>-7.0000000000000007E-2</v>
      </c>
      <c r="M51" s="22" cm="1">
        <f t="array" aca="1" ref="M51" ca="1">_FV(RTData[[#This Row],[Company Name]],"Change (%)",TRUE)</f>
        <v>-6.8360000000000001E-3</v>
      </c>
      <c r="N51" s="19" cm="1">
        <f t="array" aca="1" ref="N51" ca="1">_FV(RTData[[#This Row],[Company Name]],"52 week low",TRUE)</f>
        <v>6.85</v>
      </c>
      <c r="O51" s="19" cm="1">
        <f t="array" aca="1" ref="O51" ca="1">_FV(RTData[[#This Row],[Company Name]],"52 week high",TRUE)</f>
        <v>13.55</v>
      </c>
      <c r="P51" s="23" cm="1">
        <f t="array" aca="1" ref="P51" ca="1">_FV(RTData[[#This Row],[Company Name]],"Volume")</f>
        <v>20148360</v>
      </c>
      <c r="Q51" s="23" cm="1">
        <f t="array" aca="1" ref="Q51" ca="1">_FV(RTData[[#This Row],[Company Name]],"Volume average",TRUE)</f>
        <v>9223123</v>
      </c>
      <c r="R51" s="19" cm="1">
        <f t="array" aca="1" ref="R51" ca="1">_FV(RTData[[#This Row],[Company Name]],"Beta")</f>
        <v>0.90490000000000004</v>
      </c>
      <c r="T51" t="s">
        <v>20</v>
      </c>
      <c r="U51" t="str" cm="1">
        <f t="array" aca="1" ref="U51" ca="1">_FV(RTData[[#This Row],[Company Name]],"Exchange abbreviation",TRUE)</f>
        <v>XNAS</v>
      </c>
      <c r="V51" s="24">
        <f ca="1">IFERROR(RTData[[#This Row],[Volume]]/RTData[[#This Row],[Volume average]],1)</f>
        <v>2.1845485525889656</v>
      </c>
      <c r="W51" s="24"/>
      <c r="X51" s="103">
        <f>[1]Sheet2!$E50</f>
        <v>11.428570000000001</v>
      </c>
      <c r="Y51" s="149">
        <f>[1]Sheet2!$F50</f>
        <v>45891</v>
      </c>
      <c r="Z51" s="149" t="str">
        <f>[1]Sheet2!$G50</f>
        <v>Nov 6, 2025</v>
      </c>
      <c r="AA51" s="150">
        <f>[1]Sheet2!$H50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0.85200647524921191</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[1]Sheet2!$E51</f>
        <v>12.11429</v>
      </c>
      <c r="Y52" s="149">
        <f>[1]Sheet2!$F51</f>
        <v>45614</v>
      </c>
      <c r="Z52" s="149">
        <f>[1]Sheet2!$G51</f>
        <v>0</v>
      </c>
      <c r="AA52" s="150">
        <f>[1]Sheet2!$H51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0.85200647524921191</v>
      </c>
      <c r="C53" s="25" t="e" vm="51">
        <v>#VALUE!</v>
      </c>
      <c r="D53" s="17" t="str" cm="1">
        <f t="array" aca="1" ref="D53" ca="1">_FV(RTData[[#This Row],[Company Name]],"Currency")</f>
        <v>USD</v>
      </c>
      <c r="E53" s="18" cm="1">
        <f t="array" aca="1" ref="E53" ca="1">_FV(RTData[[#This Row],[Company Name]],"Last trade time",TRUE)</f>
        <v>45911.836362835158</v>
      </c>
      <c r="F53" s="19" cm="1">
        <f t="array" aca="1" ref="F53" ca="1">_FV(RTData[[#This Row],[Company Name]],"Previous close",TRUE)</f>
        <v>112.5</v>
      </c>
      <c r="G53" s="19" cm="1">
        <f t="array" aca="1" ref="G53" ca="1">_FV(RTData[[#This Row],[Company Name]],"Open")</f>
        <v>111.52</v>
      </c>
      <c r="H53" s="19" cm="1">
        <f t="array" aca="1" ref="H53" ca="1">_FV(RTData[[#This Row],[Company Name]],"Price")</f>
        <v>112.16</v>
      </c>
      <c r="I53" s="19" cm="1">
        <f t="array" aca="1" ref="I53" ca="1">_FV(RTData[[#This Row],[Company Name]],"Low")</f>
        <v>110.87</v>
      </c>
      <c r="J53" s="19" cm="1">
        <f t="array" aca="1" ref="J53" ca="1">_FV(RTData[[#This Row],[Company Name]],"High")</f>
        <v>112.765</v>
      </c>
      <c r="K53" s="20" cm="1">
        <f t="array" aca="1" ref="K53" ca="1">IFERROR(_FV(RTData[[#This Row],[Company Name]],"P/E",TRUE),99)</f>
        <v>15.914899999999999</v>
      </c>
      <c r="L53" s="21" cm="1">
        <f t="array" aca="1" ref="L53" ca="1">_FV(RTData[[#This Row],[Company Name]],"Change")</f>
        <v>-0.34</v>
      </c>
      <c r="M53" s="22" cm="1">
        <f t="array" aca="1" ref="M53" ca="1">_FV(RTData[[#This Row],[Company Name]],"Change (%)",TRUE)</f>
        <v>-3.0220000000000004E-3</v>
      </c>
      <c r="N53" s="19" cm="1">
        <f t="array" aca="1" ref="N53" ca="1">_FV(RTData[[#This Row],[Company Name]],"52 week low",TRUE)</f>
        <v>97.8</v>
      </c>
      <c r="O53" s="19" cm="1">
        <f t="array" aca="1" ref="O53" ca="1">_FV(RTData[[#This Row],[Company Name]],"52 week high",TRUE)</f>
        <v>126.34</v>
      </c>
      <c r="P53" s="23" cm="1">
        <f t="array" aca="1" ref="P53" ca="1">_FV(RTData[[#This Row],[Company Name]],"Volume")</f>
        <v>11430929</v>
      </c>
      <c r="Q53" s="23" cm="1">
        <f t="array" aca="1" ref="Q53" ca="1">_FV(RTData[[#This Row],[Company Name]],"Volume average",TRUE)</f>
        <v>14945409</v>
      </c>
      <c r="R53" s="19" cm="1">
        <f t="array" aca="1" ref="R53" ca="1">_FV(RTData[[#This Row],[Company Name]],"Beta")</f>
        <v>0.49330000000000002</v>
      </c>
      <c r="T53" t="s">
        <v>20</v>
      </c>
      <c r="U53" t="str" cm="1">
        <f t="array" aca="1" ref="U53" ca="1">_FV(RTData[[#This Row],[Company Name]],"Exchange abbreviation",TRUE)</f>
        <v>XNYS</v>
      </c>
      <c r="V53" s="24">
        <f ca="1">IFERROR(RTData[[#This Row],[Volume]]/RTData[[#This Row],[Volume average]],1)</f>
        <v>0.76484551209003382</v>
      </c>
      <c r="W53" s="24"/>
      <c r="X53" s="103">
        <f>[1]Sheet2!$E52</f>
        <v>124.79167</v>
      </c>
      <c r="Y53" s="149">
        <f>[1]Sheet2!$F52</f>
        <v>45884</v>
      </c>
      <c r="Z53" s="149" t="str">
        <f>[1]Sheet2!$G52</f>
        <v>Oct 31, 2025</v>
      </c>
      <c r="AA53" s="150">
        <f>[1]Sheet2!$H52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0.85200647524921191</v>
      </c>
      <c r="C54" s="25" t="e" vm="52">
        <v>#VALUE!</v>
      </c>
      <c r="D54" s="17" t="str" cm="1">
        <f t="array" aca="1" ref="D54" ca="1">_FV(RTData[[#This Row],[Company Name]],"Currency")</f>
        <v>USD</v>
      </c>
      <c r="E54" s="18" cm="1">
        <f t="array" aca="1" ref="E54" ca="1">_FV(RTData[[#This Row],[Company Name]],"Last trade time",TRUE)</f>
        <v>45911.836259883596</v>
      </c>
      <c r="F54" s="19" cm="1">
        <f t="array" aca="1" ref="F54" ca="1">_FV(RTData[[#This Row],[Company Name]],"Previous close",TRUE)</f>
        <v>5.94</v>
      </c>
      <c r="G54" s="19" cm="1">
        <f t="array" aca="1" ref="G54" ca="1">_FV(RTData[[#This Row],[Company Name]],"Open")</f>
        <v>5.98</v>
      </c>
      <c r="H54" s="19" cm="1">
        <f t="array" aca="1" ref="H54" ca="1">_FV(RTData[[#This Row],[Company Name]],"Price")</f>
        <v>6.04</v>
      </c>
      <c r="I54" s="19" cm="1">
        <f t="array" aca="1" ref="I54" ca="1">_FV(RTData[[#This Row],[Company Name]],"Low")</f>
        <v>5.95</v>
      </c>
      <c r="J54" s="19" cm="1">
        <f t="array" aca="1" ref="J54" ca="1">_FV(RTData[[#This Row],[Company Name]],"High")</f>
        <v>6.0860000000000003</v>
      </c>
      <c r="K54" s="20" cm="1">
        <f t="array" aca="1" ref="K54" ca="1">IFERROR(_FV(RTData[[#This Row],[Company Name]],"P/E",TRUE),99)</f>
        <v>0</v>
      </c>
      <c r="L54" s="21" cm="1">
        <f t="array" aca="1" ref="L54" ca="1">_FV(RTData[[#This Row],[Company Name]],"Change")</f>
        <v>0.1</v>
      </c>
      <c r="M54" s="22" cm="1">
        <f t="array" aca="1" ref="M54" ca="1">_FV(RTData[[#This Row],[Company Name]],"Change (%)",TRUE)</f>
        <v>1.6834999999999999E-2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422608</v>
      </c>
      <c r="Q54" s="23" cm="1">
        <f t="array" aca="1" ref="Q54" ca="1">_FV(RTData[[#This Row],[Company Name]],"Volume average",TRUE)</f>
        <v>524738</v>
      </c>
      <c r="R54" s="19" cm="1">
        <f t="array" aca="1" ref="R54" ca="1">_FV(RTData[[#This Row],[Company Name]],"Beta")</f>
        <v>1.149</v>
      </c>
      <c r="T54" t="s">
        <v>20</v>
      </c>
      <c r="U54" t="str" cm="1">
        <f t="array" aca="1" ref="U54" ca="1">_FV(RTData[[#This Row],[Company Name]],"Exchange abbreviation",TRUE)</f>
        <v>XNYS</v>
      </c>
      <c r="V54" s="24">
        <f ca="1">IFERROR(RTData[[#This Row],[Volume]]/RTData[[#This Row],[Volume average]],1)</f>
        <v>0.8053695367974113</v>
      </c>
      <c r="W54" s="24"/>
      <c r="X54" s="103">
        <f>[1]Sheet2!$E53</f>
        <v>11</v>
      </c>
      <c r="Y54" s="149">
        <f>[1]Sheet2!$F53</f>
        <v>0</v>
      </c>
      <c r="Z54" s="149">
        <f>[1]Sheet2!$G53</f>
        <v>0</v>
      </c>
      <c r="AA54" s="150">
        <f>[1]Sheet2!$H53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45911.666666666664</v>
      </c>
      <c r="F55" s="81" cm="1">
        <f t="array" aca="1" ref="F55" ca="1">_FV(RTData[[#This Row],[Company Name]],"Previous close",TRUE)</f>
        <v>0.90800000000000003</v>
      </c>
      <c r="G55" s="81" cm="1">
        <f t="array" aca="1" ref="G55" ca="1">_FV(RTData[[#This Row],[Company Name]],"Open")</f>
        <v>0.86199999999999999</v>
      </c>
      <c r="H55" s="81" cm="1">
        <f t="array" aca="1" ref="H55" ca="1">_FV(RTData[[#This Row],[Company Name]],"Price")</f>
        <v>0.88800000000000001</v>
      </c>
      <c r="I55" s="81" cm="1">
        <f t="array" aca="1" ref="I55" ca="1">_FV(RTData[[#This Row],[Company Name]],"Low")</f>
        <v>0.86199999999999999</v>
      </c>
      <c r="J55" s="81" cm="1">
        <f t="array" aca="1" ref="J55" ca="1">_FV(RTData[[#This Row],[Company Name]],"High")</f>
        <v>0.88800000000000001</v>
      </c>
      <c r="K55" s="76" cm="1">
        <f t="array" aca="1" ref="K55" ca="1">IFERROR(_FV(RTData[[#This Row],[Company Name]],"P/E",TRUE),99)</f>
        <v>0</v>
      </c>
      <c r="L55" s="77" cm="1">
        <f t="array" aca="1" ref="L55" ca="1">_FV(RTData[[#This Row],[Company Name]],"Change")</f>
        <v>-0.02</v>
      </c>
      <c r="M55" s="78" cm="1">
        <f t="array" aca="1" ref="M55" ca="1">_FV(RTData[[#This Row],[Company Name]],"Change (%)",TRUE)</f>
        <v>-2.2026E-2</v>
      </c>
      <c r="N55" s="81" cm="1">
        <f t="array" aca="1" ref="N55" ca="1">_FV(RTData[[#This Row],[Company Name]],"52 week low",TRUE)</f>
        <v>0.65</v>
      </c>
      <c r="O55" s="81" cm="1">
        <f t="array" aca="1" ref="O55" ca="1">_FV(RTData[[#This Row],[Company Name]],"52 week high",TRUE)</f>
        <v>1.91</v>
      </c>
      <c r="P55" s="79" cm="1">
        <f t="array" aca="1" ref="P55" ca="1">_FV(RTData[[#This Row],[Company Name]],"Volume")</f>
        <v>6003</v>
      </c>
      <c r="Q55" s="79" cm="1">
        <f t="array" aca="1" ref="Q55" ca="1">_FV(RTData[[#This Row],[Company Name]],"Volume average",TRUE)</f>
        <v>4110</v>
      </c>
      <c r="R55" s="74" cm="1">
        <f t="array" aca="1" ref="R55" ca="1">_FV(RTData[[#This Row],[Company Name]],"Beta")</f>
        <v>0.99370000000000003</v>
      </c>
      <c r="S55" s="80" t="s">
        <v>23</v>
      </c>
      <c r="T55" s="80" t="s">
        <v>20</v>
      </c>
      <c r="U55" s="80" t="str" cm="1">
        <f t="array" aca="1" ref="U55" ca="1">_FV(RTData[[#This Row],[Company Name]],"Exchange abbreviation",TRUE)</f>
        <v>XPAR</v>
      </c>
      <c r="V55" s="141">
        <f ca="1">IFERROR(RTData[[#This Row],[Volume]]/RTData[[#This Row],[Volume average]],1)</f>
        <v>1.4605839416058395</v>
      </c>
      <c r="W55" s="141"/>
      <c r="X55" s="103">
        <f>[1]Sheet2!$E54</f>
        <v>1.5333300000000001</v>
      </c>
      <c r="Y55" s="149">
        <f>[1]Sheet2!$F54</f>
        <v>0</v>
      </c>
      <c r="Z55" s="149">
        <f>[1]Sheet2!$G54</f>
        <v>0</v>
      </c>
      <c r="AA55" s="150">
        <f>[1]Sheet2!$H54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0.85200647524921191</v>
      </c>
      <c r="C56" s="71" t="e" vm="13">
        <v>#VALUE!</v>
      </c>
      <c r="D56" s="74" t="str" cm="1">
        <f t="array" aca="1" ref="D56" ca="1">_FV(RTData[[#This Row],[Company Name]],"Currency")</f>
        <v>USD</v>
      </c>
      <c r="E56" s="75" cm="1">
        <f t="array" aca="1" ref="E56" ca="1">_FV(RTData[[#This Row],[Company Name]],"Last trade time",TRUE)</f>
        <v>45911.836288726561</v>
      </c>
      <c r="F56" s="74" cm="1">
        <f t="array" aca="1" ref="F56" ca="1">_FV(RTData[[#This Row],[Company Name]],"Previous close",TRUE)</f>
        <v>2.12</v>
      </c>
      <c r="G56" s="74" cm="1">
        <f t="array" aca="1" ref="G56" ca="1">_FV(RTData[[#This Row],[Company Name]],"Open")</f>
        <v>2.1150000000000002</v>
      </c>
      <c r="H56" s="74" cm="1">
        <f t="array" aca="1" ref="H56" ca="1">_FV(RTData[[#This Row],[Company Name]],"Price")</f>
        <v>2.2549999999999999</v>
      </c>
      <c r="I56" s="74" cm="1">
        <f t="array" aca="1" ref="I56" ca="1">_FV(RTData[[#This Row],[Company Name]],"Low")</f>
        <v>2.11</v>
      </c>
      <c r="J56" s="74" cm="1">
        <f t="array" aca="1" ref="J56" ca="1">_FV(RTData[[#This Row],[Company Name]],"High")</f>
        <v>2.36</v>
      </c>
      <c r="K56" s="76" cm="1">
        <f t="array" aca="1" ref="K56" ca="1">IFERROR(_FV(RTData[[#This Row],[Company Name]],"P/E",TRUE),99)</f>
        <v>0</v>
      </c>
      <c r="L56" s="77" cm="1">
        <f t="array" aca="1" ref="L56" ca="1">_FV(RTData[[#This Row],[Company Name]],"Change")</f>
        <v>0.13500000000000001</v>
      </c>
      <c r="M56" s="78" cm="1">
        <f t="array" aca="1" ref="M56" ca="1">_FV(RTData[[#This Row],[Company Name]],"Change (%)",TRUE)</f>
        <v>6.3678999999999999E-2</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2933411</v>
      </c>
      <c r="Q56" s="79" cm="1">
        <f t="array" aca="1" ref="Q56" ca="1">_FV(RTData[[#This Row],[Company Name]],"Volume average",TRUE)</f>
        <v>4653734</v>
      </c>
      <c r="R56" s="74" cm="1">
        <f t="array" aca="1" ref="R56" ca="1">_FV(RTData[[#This Row],[Company Name]],"Beta")</f>
        <v>2.0830000000000002</v>
      </c>
      <c r="S56" s="80" t="s">
        <v>23</v>
      </c>
      <c r="T56" s="80" t="s">
        <v>24</v>
      </c>
      <c r="U56" s="80" t="str" cm="1">
        <f t="array" aca="1" ref="U56" ca="1">_FV(RTData[[#This Row],[Company Name]],"Exchange abbreviation",TRUE)</f>
        <v>XNYS</v>
      </c>
      <c r="V56" s="141">
        <f ca="1">IFERROR(RTData[[#This Row],[Volume]]/RTData[[#This Row],[Volume average]],1)</f>
        <v>0.63033490955864691</v>
      </c>
      <c r="W56" s="141"/>
      <c r="X56" s="103">
        <f>[1]Sheet2!$E55</f>
        <v>3.25</v>
      </c>
      <c r="Y56" s="149">
        <f>[1]Sheet2!$F55</f>
        <v>0</v>
      </c>
      <c r="Z56" s="149" t="str">
        <f>[1]Sheet2!$G55</f>
        <v>Nov 10, 2025</v>
      </c>
      <c r="AA56" s="150">
        <f>[1]Sheet2!$H55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45911.666666666664</v>
      </c>
      <c r="F57" s="81" cm="1">
        <f t="array" aca="1" ref="F57" ca="1">_FV(RTData[[#This Row],[Company Name]],"Previous close",TRUE)</f>
        <v>27.36</v>
      </c>
      <c r="G57" s="81" cm="1">
        <f t="array" aca="1" ref="G57" ca="1">_FV(RTData[[#This Row],[Company Name]],"Open")</f>
        <v>27.33</v>
      </c>
      <c r="H57" s="81" cm="1">
        <f t="array" aca="1" ref="H57" ca="1">_FV(RTData[[#This Row],[Company Name]],"Price")</f>
        <v>27.29</v>
      </c>
      <c r="I57" s="81" cm="1">
        <f t="array" aca="1" ref="I57" ca="1">_FV(RTData[[#This Row],[Company Name]],"Low")</f>
        <v>27.22</v>
      </c>
      <c r="J57" s="81" cm="1">
        <f t="array" aca="1" ref="J57" ca="1">_FV(RTData[[#This Row],[Company Name]],"High")</f>
        <v>27.71</v>
      </c>
      <c r="K57" s="76" cm="1">
        <f t="array" aca="1" ref="K57" ca="1">IFERROR(_FV(RTData[[#This Row],[Company Name]],"P/E",TRUE),99)</f>
        <v>31.356999999999999</v>
      </c>
      <c r="L57" s="77" cm="1">
        <f t="array" aca="1" ref="L57" ca="1">_FV(RTData[[#This Row],[Company Name]],"Change")</f>
        <v>-7.0000000000000007E-2</v>
      </c>
      <c r="M57" s="78" cm="1">
        <f t="array" aca="1" ref="M57" ca="1">_FV(RTData[[#This Row],[Company Name]],"Change (%)",TRUE)</f>
        <v>-2.5580000000000004E-3</v>
      </c>
      <c r="N57" s="81" cm="1">
        <f t="array" aca="1" ref="N57" ca="1">_FV(RTData[[#This Row],[Company Name]],"52 week low",TRUE)</f>
        <v>26.25</v>
      </c>
      <c r="O57" s="81" cm="1">
        <f t="array" aca="1" ref="O57" ca="1">_FV(RTData[[#This Row],[Company Name]],"52 week high",TRUE)</f>
        <v>41.17</v>
      </c>
      <c r="P57" s="79" cm="1">
        <f t="array" aca="1" ref="P57" ca="1">_FV(RTData[[#This Row],[Company Name]],"Volume")</f>
        <v>1265347</v>
      </c>
      <c r="Q57" s="79" cm="1">
        <f t="array" aca="1" ref="Q57" ca="1">_FV(RTData[[#This Row],[Company Name]],"Volume average",TRUE)</f>
        <v>1785550</v>
      </c>
      <c r="R57" s="74" cm="1">
        <f t="array" aca="1" ref="R57" ca="1">_FV(RTData[[#This Row],[Company Name]],"Beta")</f>
        <v>0.68530000000000002</v>
      </c>
      <c r="S57" s="80" t="s">
        <v>23</v>
      </c>
      <c r="T57" s="80" t="s">
        <v>24</v>
      </c>
      <c r="U57" s="80" t="str" cm="1">
        <f t="array" aca="1" ref="U57" ca="1">_FV(RTData[[#This Row],[Company Name]],"Exchange abbreviation",TRUE)</f>
        <v>XPAR</v>
      </c>
      <c r="V57" s="141">
        <f ca="1">IFERROR(RTData[[#This Row],[Volume]]/RTData[[#This Row],[Volume average]],1)</f>
        <v>0.70865951667553417</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45911.770833333336</v>
      </c>
      <c r="F58" s="81" cm="1">
        <f t="array" aca="1" ref="F58" ca="1">_FV(RTData[[#This Row],[Company Name]],"Previous close",TRUE)</f>
        <v>15.33</v>
      </c>
      <c r="G58" s="81" cm="1">
        <f t="array" aca="1" ref="G58" ca="1">_FV(RTData[[#This Row],[Company Name]],"Open")</f>
        <v>15.34</v>
      </c>
      <c r="H58" s="81" cm="1">
        <f t="array" aca="1" ref="H58" ca="1">_FV(RTData[[#This Row],[Company Name]],"Price")</f>
        <v>15.295</v>
      </c>
      <c r="I58" s="81" cm="1">
        <f t="array" aca="1" ref="I58" ca="1">_FV(RTData[[#This Row],[Company Name]],"Low")</f>
        <v>15.21</v>
      </c>
      <c r="J58" s="81" cm="1">
        <f t="array" aca="1" ref="J58" ca="1">_FV(RTData[[#This Row],[Company Name]],"High")</f>
        <v>15.435</v>
      </c>
      <c r="K58" s="76" cm="1">
        <f t="array" aca="1" ref="K58" ca="1">IFERROR(_FV(RTData[[#This Row],[Company Name]],"P/E",TRUE),99)</f>
        <v>12.666700000000001</v>
      </c>
      <c r="L58" s="77" cm="1">
        <f t="array" aca="1" ref="L58" ca="1">_FV(RTData[[#This Row],[Company Name]],"Change")</f>
        <v>-3.5000000000000003E-2</v>
      </c>
      <c r="M58" s="78" cm="1">
        <f t="array" aca="1" ref="M58" ca="1">_FV(RTData[[#This Row],[Company Name]],"Change (%)",TRUE)</f>
        <v>-2.2829999999999999E-3</v>
      </c>
      <c r="N58" s="81" cm="1">
        <f t="array" aca="1" ref="N58" ca="1">_FV(RTData[[#This Row],[Company Name]],"52 week low",TRUE)</f>
        <v>10.435</v>
      </c>
      <c r="O58" s="81" cm="1">
        <f t="array" aca="1" ref="O58" ca="1">_FV(RTData[[#This Row],[Company Name]],"52 week high",TRUE)</f>
        <v>16.55</v>
      </c>
      <c r="P58" s="79" cm="1">
        <f t="array" aca="1" ref="P58" ca="1">_FV(RTData[[#This Row],[Company Name]],"Volume")</f>
        <v>2448197</v>
      </c>
      <c r="Q58" s="79" cm="1">
        <f t="array" aca="1" ref="Q58" ca="1">_FV(RTData[[#This Row],[Company Name]],"Volume average",TRUE)</f>
        <v>4102740</v>
      </c>
      <c r="R58" s="74" cm="1">
        <f t="array" aca="1" ref="R58" ca="1">_FV(RTData[[#This Row],[Company Name]],"Beta")</f>
        <v>0.71150000000000002</v>
      </c>
      <c r="S58" s="80" t="s">
        <v>23</v>
      </c>
      <c r="T58" s="80" t="s">
        <v>24</v>
      </c>
      <c r="U58" s="80" t="str" cm="1">
        <f t="array" aca="1" ref="U58" ca="1">_FV(RTData[[#This Row],[Company Name]],"Exchange abbreviation",TRUE)</f>
        <v>XETR</v>
      </c>
      <c r="V58" s="141">
        <f ca="1">IFERROR(RTData[[#This Row],[Volume]]/RTData[[#This Row],[Volume average]],1)</f>
        <v>0.59672243427563043</v>
      </c>
      <c r="W58" s="141"/>
      <c r="X58" s="103">
        <f>[1]Sheet2!$E57</f>
        <v>16.88824</v>
      </c>
      <c r="Y58" s="149">
        <f>[1]Sheet2!$F57</f>
        <v>45793</v>
      </c>
      <c r="Z58" s="149">
        <f>[1]Sheet2!$G57</f>
        <v>0</v>
      </c>
      <c r="AA58" s="150">
        <f>[1]Sheet2!$H57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45911.666666666664</v>
      </c>
      <c r="F59" s="81" cm="1">
        <f t="array" aca="1" ref="F59" ca="1">_FV(RTData[[#This Row],[Company Name]],"Previous close",TRUE)</f>
        <v>14.958</v>
      </c>
      <c r="G59" s="81" cm="1">
        <f t="array" aca="1" ref="G59" ca="1">_FV(RTData[[#This Row],[Company Name]],"Open")</f>
        <v>15.04</v>
      </c>
      <c r="H59" s="81" cm="1">
        <f t="array" aca="1" ref="H59" ca="1">_FV(RTData[[#This Row],[Company Name]],"Price")</f>
        <v>14.922000000000001</v>
      </c>
      <c r="I59" s="81" cm="1">
        <f t="array" aca="1" ref="I59" ca="1">_FV(RTData[[#This Row],[Company Name]],"Low")</f>
        <v>14.872</v>
      </c>
      <c r="J59" s="81" cm="1">
        <f t="array" aca="1" ref="J59" ca="1">_FV(RTData[[#This Row],[Company Name]],"High")</f>
        <v>15.102</v>
      </c>
      <c r="K59" s="76" cm="1">
        <f t="array" aca="1" ref="K59" ca="1">IFERROR(_FV(RTData[[#This Row],[Company Name]],"P/E",TRUE),99)</f>
        <v>18.6432</v>
      </c>
      <c r="L59" s="77" cm="1">
        <f t="array" aca="1" ref="L59" ca="1">_FV(RTData[[#This Row],[Company Name]],"Change")</f>
        <v>-3.5999999999999997E-2</v>
      </c>
      <c r="M59" s="78" cm="1">
        <f t="array" aca="1" ref="M59" ca="1">_FV(RTData[[#This Row],[Company Name]],"Change (%)",TRUE)</f>
        <v>-2.4069999999999999E-3</v>
      </c>
      <c r="N59" s="81" cm="1">
        <f t="array" aca="1" ref="N59" ca="1">_FV(RTData[[#This Row],[Company Name]],"52 week low",TRUE)</f>
        <v>11.01</v>
      </c>
      <c r="O59" s="81" cm="1">
        <f t="array" aca="1" ref="O59" ca="1">_FV(RTData[[#This Row],[Company Name]],"52 week high",TRUE)</f>
        <v>15.39</v>
      </c>
      <c r="P59" s="79" cm="1">
        <f t="array" aca="1" ref="P59" ca="1">_FV(RTData[[#This Row],[Company Name]],"Volume")</f>
        <v>8044454</v>
      </c>
      <c r="Q59" s="79" cm="1">
        <f t="array" aca="1" ref="Q59" ca="1">_FV(RTData[[#This Row],[Company Name]],"Volume average",TRUE)</f>
        <v>10101260</v>
      </c>
      <c r="R59" s="74" cm="1">
        <f t="array" aca="1" ref="R59" ca="1">_FV(RTData[[#This Row],[Company Name]],"Beta")</f>
        <v>1.1015999999999999</v>
      </c>
      <c r="S59" s="80" t="s">
        <v>23</v>
      </c>
      <c r="T59" s="80" t="s">
        <v>24</v>
      </c>
      <c r="U59" s="80" t="str" cm="1">
        <f t="array" aca="1" ref="U59" ca="1">_FV(RTData[[#This Row],[Company Name]],"Exchange abbreviation",TRUE)</f>
        <v>XMIL</v>
      </c>
      <c r="V59" s="141">
        <f ca="1">IFERROR(RTData[[#This Row],[Volume]]/RTData[[#This Row],[Volume average]],1)</f>
        <v>0.79638124352803508</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0.85200647524921191</v>
      </c>
      <c r="C60" s="71" t="e" vm="19">
        <f>C21</f>
        <v>#VALUE!</v>
      </c>
      <c r="D60" s="74" t="str" cm="1">
        <f t="array" aca="1" ref="D60" ca="1">_FV(RTData[[#This Row],[Company Name]],"Currency")</f>
        <v>USD</v>
      </c>
      <c r="E60" s="75" cm="1">
        <f t="array" aca="1" ref="E60" ca="1">_FV(RTData[[#This Row],[Company Name]],"Last trade time",TRUE)</f>
        <v>45911.836140532032</v>
      </c>
      <c r="F60" s="74" cm="1">
        <f t="array" aca="1" ref="F60" ca="1">_FV(RTData[[#This Row],[Company Name]],"Previous close",TRUE)</f>
        <v>0.20499999999999999</v>
      </c>
      <c r="G60" s="74" cm="1">
        <f t="array" aca="1" ref="G60" ca="1">_FV(RTData[[#This Row],[Company Name]],"Open")</f>
        <v>0.2107</v>
      </c>
      <c r="H60" s="74" cm="1">
        <f t="array" aca="1" ref="H60" ca="1">_FV(RTData[[#This Row],[Company Name]],"Price")</f>
        <v>0.20549999999999999</v>
      </c>
      <c r="I60" s="74" cm="1">
        <f t="array" aca="1" ref="I60" ca="1">_FV(RTData[[#This Row],[Company Name]],"Low")</f>
        <v>0.2</v>
      </c>
      <c r="J60" s="74" cm="1">
        <f t="array" aca="1" ref="J60" ca="1">_FV(RTData[[#This Row],[Company Name]],"High")</f>
        <v>0.2107</v>
      </c>
      <c r="K60" s="76" cm="1">
        <f t="array" aca="1" ref="K60" ca="1">IFERROR(_FV(RTData[[#This Row],[Company Name]],"P/E",TRUE),99)</f>
        <v>0</v>
      </c>
      <c r="L60" s="77" cm="1">
        <f t="array" aca="1" ref="L60" ca="1">_FV(RTData[[#This Row],[Company Name]],"Change")</f>
        <v>5.0000000000000001E-4</v>
      </c>
      <c r="M60" s="78" cm="1">
        <f t="array" aca="1" ref="M60" ca="1">_FV(RTData[[#This Row],[Company Name]],"Change (%)",TRUE)</f>
        <v>2.4390000000000002E-3</v>
      </c>
      <c r="N60" s="74" cm="1">
        <f t="array" aca="1" ref="N60" ca="1">_FV(RTData[[#This Row],[Company Name]],"52 week low",TRUE)</f>
        <v>0.17330000000000001</v>
      </c>
      <c r="O60" s="74" cm="1">
        <f t="array" aca="1" ref="O60" ca="1">_FV(RTData[[#This Row],[Company Name]],"52 week high",TRUE)</f>
        <v>0.97570000000000001</v>
      </c>
      <c r="P60" s="79" cm="1">
        <f t="array" aca="1" ref="P60" ca="1">_FV(RTData[[#This Row],[Company Name]],"Volume")</f>
        <v>1897775</v>
      </c>
      <c r="Q60" s="79" cm="1">
        <f t="array" aca="1" ref="Q60" ca="1">_FV(RTData[[#This Row],[Company Name]],"Volume average",TRUE)</f>
        <v>14502497</v>
      </c>
      <c r="R60" s="74" cm="1">
        <f t="array" aca="1" ref="R60" ca="1">_FV(RTData[[#This Row],[Company Name]],"Beta")</f>
        <v>1.6235999999999999</v>
      </c>
      <c r="S60" s="80" t="s">
        <v>23</v>
      </c>
      <c r="T60" s="80" t="s">
        <v>24</v>
      </c>
      <c r="U60" s="80" t="str" cm="1">
        <f t="array" aca="1" ref="U60" ca="1">_FV(RTData[[#This Row],[Company Name]],"Exchange abbreviation",TRUE)</f>
        <v>XNAS</v>
      </c>
      <c r="V60" s="141">
        <f ca="1">IFERROR(RTData[[#This Row],[Volume]]/RTData[[#This Row],[Volume average]],1)</f>
        <v>0.13085849974662983</v>
      </c>
      <c r="W60" s="141"/>
      <c r="X60" s="103">
        <f>[1]Sheet2!$E59</f>
        <v>0</v>
      </c>
      <c r="Y60" s="149">
        <f>[1]Sheet2!$F59</f>
        <v>45894</v>
      </c>
      <c r="Z60" s="149" t="str">
        <f>[1]Sheet2!$G59</f>
        <v>Aug 7, 2025</v>
      </c>
      <c r="AA60" s="150">
        <f>[1]Sheet2!$H59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45911.666666666664</v>
      </c>
      <c r="F61" s="81" cm="1">
        <f t="array" aca="1" ref="F61" ca="1">_FV(RTData[[#This Row],[Company Name]],"Previous close",TRUE)</f>
        <v>55.82</v>
      </c>
      <c r="G61" s="81" cm="1">
        <f t="array" aca="1" ref="G61" ca="1">_FV(RTData[[#This Row],[Company Name]],"Open")</f>
        <v>56.18</v>
      </c>
      <c r="H61" s="81" cm="1">
        <f t="array" aca="1" ref="H61" ca="1">_FV(RTData[[#This Row],[Company Name]],"Price")</f>
        <v>57.6</v>
      </c>
      <c r="I61" s="81" cm="1">
        <f t="array" aca="1" ref="I61" ca="1">_FV(RTData[[#This Row],[Company Name]],"Low")</f>
        <v>55.74</v>
      </c>
      <c r="J61" s="81" cm="1">
        <f t="array" aca="1" ref="J61" ca="1">_FV(RTData[[#This Row],[Company Name]],"High")</f>
        <v>57.86</v>
      </c>
      <c r="K61" s="76" cm="1">
        <f t="array" aca="1" ref="K61" ca="1">IFERROR(_FV(RTData[[#This Row],[Company Name]],"P/E",TRUE),99)</f>
        <v>9.6471</v>
      </c>
      <c r="L61" s="77" cm="1">
        <f t="array" aca="1" ref="L61" ca="1">_FV(RTData[[#This Row],[Company Name]],"Change")</f>
        <v>1.78</v>
      </c>
      <c r="M61" s="78" cm="1">
        <f t="array" aca="1" ref="M61" ca="1">_FV(RTData[[#This Row],[Company Name]],"Change (%)",TRUE)</f>
        <v>3.1888E-2</v>
      </c>
      <c r="N61" s="81" cm="1">
        <f t="array" aca="1" ref="N61" ca="1">_FV(RTData[[#This Row],[Company Name]],"52 week low",TRUE)</f>
        <v>21.55</v>
      </c>
      <c r="O61" s="81" cm="1">
        <f t="array" aca="1" ref="O61" ca="1">_FV(RTData[[#This Row],[Company Name]],"52 week high",TRUE)</f>
        <v>59.42</v>
      </c>
      <c r="P61" s="79" cm="1">
        <f t="array" aca="1" ref="P61" ca="1">_FV(RTData[[#This Row],[Company Name]],"Volume")</f>
        <v>2275391</v>
      </c>
      <c r="Q61" s="79" cm="1">
        <f t="array" aca="1" ref="Q61" ca="1">_FV(RTData[[#This Row],[Company Name]],"Volume average",TRUE)</f>
        <v>2434900</v>
      </c>
      <c r="R61" s="74" cm="1">
        <f t="array" aca="1" ref="R61" ca="1">_FV(RTData[[#This Row],[Company Name]],"Beta")</f>
        <v>1.5643</v>
      </c>
      <c r="S61" s="80" t="s">
        <v>23</v>
      </c>
      <c r="T61" s="80" t="s">
        <v>24</v>
      </c>
      <c r="U61" s="80" t="str" cm="1">
        <f t="array" aca="1" ref="U61" ca="1">_FV(RTData[[#This Row],[Company Name]],"Exchange abbreviation",TRUE)</f>
        <v>XPAR</v>
      </c>
      <c r="V61" s="141">
        <f ca="1">IFERROR(RTData[[#This Row],[Volume]]/RTData[[#This Row],[Volume average]],1)</f>
        <v>0.93449053349213518</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45911.666666666664</v>
      </c>
      <c r="F62" s="81" cm="1">
        <f t="array" aca="1" ref="F62" ca="1">_FV(RTData[[#This Row],[Company Name]],"Previous close",TRUE)</f>
        <v>13.72</v>
      </c>
      <c r="G62" s="81" cm="1">
        <f t="array" aca="1" ref="G62" ca="1">_FV(RTData[[#This Row],[Company Name]],"Open")</f>
        <v>13.69</v>
      </c>
      <c r="H62" s="81" cm="1">
        <f t="array" aca="1" ref="H62" ca="1">_FV(RTData[[#This Row],[Company Name]],"Price")</f>
        <v>13.89</v>
      </c>
      <c r="I62" s="81" cm="1">
        <f t="array" aca="1" ref="I62" ca="1">_FV(RTData[[#This Row],[Company Name]],"Low")</f>
        <v>13.69</v>
      </c>
      <c r="J62" s="81" cm="1">
        <f t="array" aca="1" ref="J62" ca="1">_FV(RTData[[#This Row],[Company Name]],"High")</f>
        <v>13.914999999999999</v>
      </c>
      <c r="K62" s="76" cm="1">
        <f t="array" aca="1" ref="K62" ca="1">IFERROR(_FV(RTData[[#This Row],[Company Name]],"P/E",TRUE),99)</f>
        <v>43.3354</v>
      </c>
      <c r="L62" s="77" cm="1">
        <f t="array" aca="1" ref="L62" ca="1">_FV(RTData[[#This Row],[Company Name]],"Change")</f>
        <v>0.17</v>
      </c>
      <c r="M62" s="78" cm="1">
        <f t="array" aca="1" ref="M62" ca="1">_FV(RTData[[#This Row],[Company Name]],"Change (%)",TRUE)</f>
        <v>1.2391000000000001E-2</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3452995</v>
      </c>
      <c r="Q62" s="79" cm="1">
        <f t="array" aca="1" ref="Q62" ca="1">_FV(RTData[[#This Row],[Company Name]],"Volume average",TRUE)</f>
        <v>4331880</v>
      </c>
      <c r="R62" s="74" cm="1">
        <f t="array" aca="1" ref="R62" ca="1">_FV(RTData[[#This Row],[Company Name]],"Beta")</f>
        <v>0.2747</v>
      </c>
      <c r="S62" s="80" t="s">
        <v>23</v>
      </c>
      <c r="T62" s="80" t="s">
        <v>24</v>
      </c>
      <c r="U62" s="80" t="str" cm="1">
        <f t="array" aca="1" ref="U62" ca="1">_FV(RTData[[#This Row],[Company Name]],"Exchange abbreviation",TRUE)</f>
        <v>XPAR</v>
      </c>
      <c r="V62" s="141">
        <f ca="1">IFERROR(RTData[[#This Row],[Volume]]/RTData[[#This Row],[Volume average]],1)</f>
        <v>0.79711233921530611</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45911.770833333336</v>
      </c>
      <c r="F63" s="81" cm="1">
        <f t="array" aca="1" ref="F63" ca="1">_FV(RTData[[#This Row],[Company Name]],"Previous close",TRUE)</f>
        <v>35.86</v>
      </c>
      <c r="G63" s="81" cm="1">
        <f t="array" aca="1" ref="G63" ca="1">_FV(RTData[[#This Row],[Company Name]],"Open")</f>
        <v>35.9</v>
      </c>
      <c r="H63" s="81" cm="1">
        <f t="array" aca="1" ref="H63" ca="1">_FV(RTData[[#This Row],[Company Name]],"Price")</f>
        <v>35.75</v>
      </c>
      <c r="I63" s="81" cm="1">
        <f t="array" aca="1" ref="I63" ca="1">_FV(RTData[[#This Row],[Company Name]],"Low")</f>
        <v>35.58</v>
      </c>
      <c r="J63" s="81" cm="1">
        <f t="array" aca="1" ref="J63" ca="1">_FV(RTData[[#This Row],[Company Name]],"High")</f>
        <v>36.020000000000003</v>
      </c>
      <c r="K63" s="76" cm="1">
        <f t="array" aca="1" ref="K63" ca="1">IFERROR(_FV(RTData[[#This Row],[Company Name]],"P/E",TRUE),99)</f>
        <v>10.231199999999999</v>
      </c>
      <c r="L63" s="77" cm="1">
        <f t="array" aca="1" ref="L63" ca="1">_FV(RTData[[#This Row],[Company Name]],"Change")</f>
        <v>-0.11</v>
      </c>
      <c r="M63" s="78" cm="1">
        <f t="array" aca="1" ref="M63" ca="1">_FV(RTData[[#This Row],[Company Name]],"Change (%)",TRUE)</f>
        <v>-3.0669999999999998E-3</v>
      </c>
      <c r="N63" s="81" cm="1">
        <f t="array" aca="1" ref="N63" ca="1">_FV(RTData[[#This Row],[Company Name]],"52 week low",TRUE)</f>
        <v>27.76</v>
      </c>
      <c r="O63" s="81" cm="1">
        <f t="array" aca="1" ref="O63" ca="1">_FV(RTData[[#This Row],[Company Name]],"52 week high",TRUE)</f>
        <v>37.78</v>
      </c>
      <c r="P63" s="79" cm="1">
        <f t="array" aca="1" ref="P63" ca="1">_FV(RTData[[#This Row],[Company Name]],"Volume")</f>
        <v>1361072</v>
      </c>
      <c r="Q63" s="79" cm="1">
        <f t="array" aca="1" ref="Q63" ca="1">_FV(RTData[[#This Row],[Company Name]],"Volume average",TRUE)</f>
        <v>1325210</v>
      </c>
      <c r="R63" s="74" cm="1">
        <f t="array" aca="1" ref="R63" ca="1">_FV(RTData[[#This Row],[Company Name]],"Beta")</f>
        <v>0.48139999999999999</v>
      </c>
      <c r="S63" s="80" t="s">
        <v>23</v>
      </c>
      <c r="T63" s="80" t="s">
        <v>24</v>
      </c>
      <c r="U63" s="80" t="str" cm="1">
        <f t="array" aca="1" ref="U63" ca="1">_FV(RTData[[#This Row],[Company Name]],"Exchange abbreviation",TRUE)</f>
        <v>XETR</v>
      </c>
      <c r="V63" s="141">
        <f ca="1">IFERROR(RTData[[#This Row],[Volume]]/RTData[[#This Row],[Volume average]],1)</f>
        <v>1.0270613714052867</v>
      </c>
      <c r="W63" s="141"/>
      <c r="X63" s="103">
        <f>[1]Sheet2!$E62</f>
        <v>42.911110000000001</v>
      </c>
      <c r="Y63" s="149">
        <f>[1]Sheet2!$F62</f>
        <v>45779</v>
      </c>
      <c r="Z63" s="149">
        <f>[1]Sheet2!$G62</f>
        <v>0</v>
      </c>
      <c r="AA63" s="150">
        <f>[1]Sheet2!$H62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45911.770833333336</v>
      </c>
      <c r="F64" s="81" cm="1">
        <f t="array" aca="1" ref="F64" ca="1">_FV(RTData[[#This Row],[Company Name]],"Previous close",TRUE)</f>
        <v>223.7</v>
      </c>
      <c r="G64" s="81" cm="1">
        <f t="array" aca="1" ref="G64" ca="1">_FV(RTData[[#This Row],[Company Name]],"Open")</f>
        <v>222</v>
      </c>
      <c r="H64" s="81" cm="1">
        <f t="array" aca="1" ref="H64" ca="1">_FV(RTData[[#This Row],[Company Name]],"Price")</f>
        <v>219.8</v>
      </c>
      <c r="I64" s="81" cm="1">
        <f t="array" aca="1" ref="I64" ca="1">_FV(RTData[[#This Row],[Company Name]],"Low")</f>
        <v>218.9</v>
      </c>
      <c r="J64" s="81" cm="1">
        <f t="array" aca="1" ref="J64" ca="1">_FV(RTData[[#This Row],[Company Name]],"High")</f>
        <v>222.85</v>
      </c>
      <c r="K64" s="76" cm="1">
        <f t="array" aca="1" ref="K64" ca="1">IFERROR(_FV(RTData[[#This Row],[Company Name]],"P/E",TRUE),99)</f>
        <v>39.244399999999999</v>
      </c>
      <c r="L64" s="77" cm="1">
        <f t="array" aca="1" ref="L64" ca="1">_FV(RTData[[#This Row],[Company Name]],"Change")</f>
        <v>-3.9</v>
      </c>
      <c r="M64" s="78" cm="1">
        <f t="array" aca="1" ref="M64" ca="1">_FV(RTData[[#This Row],[Company Name]],"Change (%)",TRUE)</f>
        <v>-1.7434000000000002E-2</v>
      </c>
      <c r="N64" s="81" cm="1">
        <f t="array" aca="1" ref="N64" ca="1">_FV(RTData[[#This Row],[Company Name]],"52 week low",TRUE)</f>
        <v>191.54</v>
      </c>
      <c r="O64" s="81" cm="1">
        <f t="array" aca="1" ref="O64" ca="1">_FV(RTData[[#This Row],[Company Name]],"52 week high",TRUE)</f>
        <v>283.5</v>
      </c>
      <c r="P64" s="79" cm="1">
        <f t="array" aca="1" ref="P64" ca="1">_FV(RTData[[#This Row],[Company Name]],"Volume")</f>
        <v>1974628</v>
      </c>
      <c r="Q64" s="79" cm="1">
        <f t="array" aca="1" ref="Q64" ca="1">_FV(RTData[[#This Row],[Company Name]],"Volume average",TRUE)</f>
        <v>1182560</v>
      </c>
      <c r="R64" s="81" cm="1">
        <f t="array" aca="1" ref="R64" ca="1">_FV(RTData[[#This Row],[Company Name]],"Beta")</f>
        <v>1.1718999999999999</v>
      </c>
      <c r="S64" s="80" t="s">
        <v>23</v>
      </c>
      <c r="T64" s="80" t="s">
        <v>24</v>
      </c>
      <c r="U64" s="80" t="str" cm="1">
        <f t="array" aca="1" ref="U64" ca="1">_FV(RTData[[#This Row],[Company Name]],"Exchange abbreviation",TRUE)</f>
        <v>XETR</v>
      </c>
      <c r="V64" s="141">
        <f ca="1">IFERROR(RTData[[#This Row],[Volume]]/RTData[[#This Row],[Volume average]],1)</f>
        <v>1.6697909619807874</v>
      </c>
      <c r="W64" s="141"/>
      <c r="X64" s="103">
        <f>[1]Sheet2!$E63</f>
        <v>291.91037</v>
      </c>
      <c r="Y64" s="149">
        <f>[1]Sheet2!$F63</f>
        <v>45791</v>
      </c>
      <c r="Z64" s="149">
        <f>[1]Sheet2!$G63</f>
        <v>0</v>
      </c>
      <c r="AA64" s="150">
        <f>[1]Sheet2!$H63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45911.808333333334</v>
      </c>
      <c r="F65" s="81" cm="1">
        <f t="array" aca="1" ref="F65" ca="1">_FV(RTData[[#This Row],[Company Name]],"Previous close",TRUE)</f>
        <v>36.25</v>
      </c>
      <c r="G65" s="81" cm="1">
        <f t="array" aca="1" ref="G65" ca="1">_FV(RTData[[#This Row],[Company Name]],"Open")</f>
        <v>37.049999999999997</v>
      </c>
      <c r="H65" s="81" cm="1">
        <f t="array" aca="1" ref="H65" ca="1">_FV(RTData[[#This Row],[Company Name]],"Price")</f>
        <v>35.35</v>
      </c>
      <c r="I65" s="81" cm="1">
        <f t="array" aca="1" ref="I65" ca="1">_FV(RTData[[#This Row],[Company Name]],"Low")</f>
        <v>35.35</v>
      </c>
      <c r="J65" s="81" cm="1">
        <f t="array" aca="1" ref="J65" ca="1">_FV(RTData[[#This Row],[Company Name]],"High")</f>
        <v>37.049999999999997</v>
      </c>
      <c r="K65" s="76" cm="1">
        <f t="array" ref="K65">IFERROR(_FV(RTData[[#This Row],[Company Name]],"P/E",TRUE),99)</f>
        <v>99</v>
      </c>
      <c r="L65" s="77" cm="1">
        <f t="array" aca="1" ref="L65" ca="1">_FV(RTData[[#This Row],[Company Name]],"Change")</f>
        <v>-0.9</v>
      </c>
      <c r="M65" s="78" cm="1">
        <f t="array" aca="1" ref="M65" ca="1">_FV(RTData[[#This Row],[Company Name]],"Change (%)",TRUE)</f>
        <v>-2.4828000000000003E-2</v>
      </c>
      <c r="N65" s="81" cm="1">
        <f t="array" aca="1" ref="N65" ca="1">_FV(RTData[[#This Row],[Company Name]],"52 week low",TRUE)</f>
        <v>2.1</v>
      </c>
      <c r="O65" s="81" cm="1">
        <f t="array" aca="1" ref="O65" ca="1">_FV(RTData[[#This Row],[Company Name]],"52 week high",TRUE)</f>
        <v>73.5</v>
      </c>
      <c r="P65" s="79" cm="1">
        <f t="array" aca="1" ref="P65" ca="1">_FV(RTData[[#This Row],[Company Name]],"Volume")</f>
        <v>54</v>
      </c>
      <c r="Q65" s="79" cm="1">
        <f t="array" aca="1" ref="Q65" ca="1">_FV(RTData[[#This Row],[Company Name]],"Volume average",TRUE)</f>
        <v>1400</v>
      </c>
      <c r="R65" s="74" cm="1">
        <f t="array" aca="1" ref="R65" ca="1">_FV(RTData[[#This Row],[Company Name]],"Beta")</f>
        <v>1.0031000000000001</v>
      </c>
      <c r="S65" s="80" t="s">
        <v>23</v>
      </c>
      <c r="T65" s="80" t="s">
        <v>24</v>
      </c>
      <c r="U65" s="80" t="str" cm="1">
        <f t="array" aca="1" ref="U65" ca="1">_FV(RTData[[#This Row],[Company Name]],"Exchange abbreviation",TRUE)</f>
        <v>XFRA</v>
      </c>
      <c r="V65" s="141">
        <f ca="1">IFERROR(RTData[[#This Row],[Volume]]/RTData[[#This Row],[Volume average]],1)</f>
        <v>3.8571428571428569E-2</v>
      </c>
      <c r="W65" s="141"/>
      <c r="X65" s="103">
        <f>[1]Sheet2!$E64</f>
        <v>0</v>
      </c>
      <c r="Y65" s="149">
        <f>[1]Sheet2!$F64</f>
        <v>0</v>
      </c>
      <c r="Z65" s="149">
        <f>[1]Sheet2!$G64</f>
        <v>0</v>
      </c>
      <c r="AA65" s="150">
        <f>[1]Sheet2!$H64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0.85200647524921191</v>
      </c>
      <c r="C66" s="43" t="e" vm="1">
        <v>#VALUE!</v>
      </c>
      <c r="D66" s="17" t="str" cm="1">
        <f t="array" aca="1" ref="D66" ca="1">_FV(RTData[[#This Row],[Company Name]],"Currency")</f>
        <v>USD</v>
      </c>
      <c r="E66" s="18" cm="1">
        <f t="array" aca="1" ref="E66" ca="1">_FV(RTData[[#This Row],[Company Name]],"Last trade time",TRUE)</f>
        <v>45911.836584513279</v>
      </c>
      <c r="F66" s="19" cm="1">
        <f t="array" aca="1" ref="F66" ca="1">_FV(RTData[[#This Row],[Company Name]],"Previous close",TRUE)</f>
        <v>226.79</v>
      </c>
      <c r="G66" s="19" cm="1">
        <f t="array" aca="1" ref="G66" ca="1">_FV(RTData[[#This Row],[Company Name]],"Open")</f>
        <v>226.75</v>
      </c>
      <c r="H66" s="19" cm="1">
        <f t="array" aca="1" ref="H66" ca="1">_FV(RTData[[#This Row],[Company Name]],"Price")</f>
        <v>230.03</v>
      </c>
      <c r="I66" s="19" cm="1">
        <f t="array" aca="1" ref="I66" ca="1">_FV(RTData[[#This Row],[Company Name]],"Low")</f>
        <v>226.65</v>
      </c>
      <c r="J66" s="19" cm="1">
        <f t="array" aca="1" ref="J66" ca="1">_FV(RTData[[#This Row],[Company Name]],"High")</f>
        <v>230.45</v>
      </c>
      <c r="K66" s="20" cm="1">
        <f t="array" aca="1" ref="K66" ca="1">IFERROR(_FV(RTData[[#This Row],[Company Name]],"P/E",TRUE),99)</f>
        <v>31.727</v>
      </c>
      <c r="L66" s="21" cm="1">
        <f t="array" aca="1" ref="L66" ca="1">_FV(RTData[[#This Row],[Company Name]],"Change")</f>
        <v>3.24</v>
      </c>
      <c r="M66" s="22" cm="1">
        <f t="array" aca="1" ref="M66" ca="1">_FV(RTData[[#This Row],[Company Name]],"Change (%)",TRUE)</f>
        <v>1.4286E-2</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49895065</v>
      </c>
      <c r="Q66" s="23" cm="1">
        <f t="array" aca="1" ref="Q66" ca="1">_FV(RTData[[#This Row],[Company Name]],"Volume average",TRUE)</f>
        <v>56244156</v>
      </c>
      <c r="R66" s="19" cm="1">
        <f t="array" aca="1" ref="R66" ca="1">_FV(RTData[[#This Row],[Company Name]],"Beta")</f>
        <v>1.0841000000000001</v>
      </c>
      <c r="S66" t="s">
        <v>25</v>
      </c>
      <c r="T66" t="s">
        <v>26</v>
      </c>
      <c r="U66" t="str" cm="1">
        <f t="array" aca="1" ref="U66" ca="1">_FV(RTData[[#This Row],[Company Name]],"Exchange abbreviation",TRUE)</f>
        <v>XNAS</v>
      </c>
      <c r="V66" s="24">
        <f ca="1">IFERROR(RTData[[#This Row],[Volume]]/RTData[[#This Row],[Volume average]],1)</f>
        <v>0.88711554316860941</v>
      </c>
      <c r="W66" s="24"/>
      <c r="X66" s="103">
        <f>[1]Sheet2!$E65</f>
        <v>235.52553</v>
      </c>
      <c r="Y66" s="149">
        <f>[1]Sheet2!$F65</f>
        <v>45880</v>
      </c>
      <c r="Z66" s="149" t="str">
        <f>[1]Sheet2!$G65</f>
        <v>Oct 30, 2025</v>
      </c>
      <c r="AA66" s="150">
        <f>[1]Sheet2!$H65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0.85200647524921191</v>
      </c>
      <c r="C67" t="e" vm="4">
        <v>#VALUE!</v>
      </c>
      <c r="D67" s="17" t="str" cm="1">
        <f t="array" aca="1" ref="D67" ca="1">_FV(RTData[[#This Row],[Company Name]],"Currency")</f>
        <v>USD</v>
      </c>
      <c r="E67" s="18" cm="1">
        <f t="array" aca="1" ref="E67" ca="1">_FV(RTData[[#This Row],[Company Name]],"Last trade time",TRUE)</f>
        <v>45911.83663319375</v>
      </c>
      <c r="F67" s="19" cm="1">
        <f t="array" aca="1" ref="F67" ca="1">_FV(RTData[[#This Row],[Company Name]],"Previous close",TRUE)</f>
        <v>230.33</v>
      </c>
      <c r="G67" s="19" cm="1">
        <f t="array" aca="1" ref="G67" ca="1">_FV(RTData[[#This Row],[Company Name]],"Open")</f>
        <v>231.3</v>
      </c>
      <c r="H67" s="19" cm="1">
        <f t="array" aca="1" ref="H67" ca="1">_FV(RTData[[#This Row],[Company Name]],"Price")</f>
        <v>229.95</v>
      </c>
      <c r="I67" s="19" cm="1">
        <f t="array" aca="1" ref="I67" ca="1">_FV(RTData[[#This Row],[Company Name]],"Low")</f>
        <v>229.33770000000001</v>
      </c>
      <c r="J67" s="19" cm="1">
        <f t="array" aca="1" ref="J67" ca="1">_FV(RTData[[#This Row],[Company Name]],"High")</f>
        <v>231.53</v>
      </c>
      <c r="K67" s="20" cm="1">
        <f t="array" aca="1" ref="K67" ca="1">IFERROR(_FV(RTData[[#This Row],[Company Name]],"P/E",TRUE),99)</f>
        <v>35.089700000000001</v>
      </c>
      <c r="L67" s="21" cm="1">
        <f t="array" aca="1" ref="L67" ca="1">_FV(RTData[[#This Row],[Company Name]],"Change")</f>
        <v>-0.38</v>
      </c>
      <c r="M67" s="22" cm="1">
        <f t="array" aca="1" ref="M67" ca="1">_FV(RTData[[#This Row],[Company Name]],"Change (%)",TRUE)</f>
        <v>-1.65E-3</v>
      </c>
      <c r="N67" s="19" cm="1">
        <f t="array" aca="1" ref="N67" ca="1">_FV(RTData[[#This Row],[Company Name]],"52 week low",TRUE)</f>
        <v>161.38</v>
      </c>
      <c r="O67" s="19" cm="1">
        <f t="array" aca="1" ref="O67" ca="1">_FV(RTData[[#This Row],[Company Name]],"52 week high",TRUE)</f>
        <v>242.52</v>
      </c>
      <c r="P67" s="23" cm="1">
        <f t="array" aca="1" ref="P67" ca="1">_FV(RTData[[#This Row],[Company Name]],"Volume")</f>
        <v>36538841</v>
      </c>
      <c r="Q67" s="23" cm="1">
        <f t="array" aca="1" ref="Q67" ca="1">_FV(RTData[[#This Row],[Company Name]],"Volume average",TRUE)</f>
        <v>36485715</v>
      </c>
      <c r="R67" s="19" cm="1">
        <f t="array" aca="1" ref="R67" ca="1">_FV(RTData[[#This Row],[Company Name]],"Beta")</f>
        <v>1.2966</v>
      </c>
      <c r="S67" t="s">
        <v>25</v>
      </c>
      <c r="T67" t="s">
        <v>26</v>
      </c>
      <c r="U67" t="str" cm="1">
        <f t="array" aca="1" ref="U67" ca="1">_FV(RTData[[#This Row],[Company Name]],"Exchange abbreviation",TRUE)</f>
        <v>XNAS</v>
      </c>
      <c r="V67" s="24">
        <f ca="1">IFERROR(RTData[[#This Row],[Volume]]/RTData[[#This Row],[Volume average]],1)</f>
        <v>1.0014560767138592</v>
      </c>
      <c r="W67" s="24"/>
      <c r="X67" s="103">
        <f>[1]Sheet2!$E66</f>
        <v>263.18033000000003</v>
      </c>
      <c r="Y67" s="149">
        <f>[1]Sheet2!$F66</f>
        <v>0</v>
      </c>
      <c r="Z67" s="149" t="str">
        <f>[1]Sheet2!$G66</f>
        <v>Oct 30, 2025</v>
      </c>
      <c r="AA67" s="150">
        <f>[1]Sheet2!$H66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45911.666666666664</v>
      </c>
      <c r="F68" s="29" cm="1">
        <f t="array" aca="1" ref="F68" ca="1">_FV(RTData[[#This Row],[Company Name]],"Previous close",TRUE)</f>
        <v>680.2</v>
      </c>
      <c r="G68" s="29" cm="1">
        <f t="array" aca="1" ref="G68" ca="1">_FV(RTData[[#This Row],[Company Name]],"Open")</f>
        <v>680.2</v>
      </c>
      <c r="H68" s="29" cm="1">
        <f t="array" aca="1" ref="H68" ca="1">_FV(RTData[[#This Row],[Company Name]],"Price")</f>
        <v>686</v>
      </c>
      <c r="I68" s="29" cm="1">
        <f t="array" aca="1" ref="I68" ca="1">_FV(RTData[[#This Row],[Company Name]],"Low")</f>
        <v>674.1</v>
      </c>
      <c r="J68" s="29" cm="1">
        <f t="array" aca="1" ref="J68" ca="1">_FV(RTData[[#This Row],[Company Name]],"High")</f>
        <v>689.2</v>
      </c>
      <c r="K68" s="20" cm="1">
        <f t="array" aca="1" ref="K68" ca="1">IFERROR(_FV(RTData[[#This Row],[Company Name]],"P/E",TRUE),99)</f>
        <v>26.3399</v>
      </c>
      <c r="L68" s="21" cm="1">
        <f t="array" aca="1" ref="L68" ca="1">_FV(RTData[[#This Row],[Company Name]],"Change")</f>
        <v>5.8</v>
      </c>
      <c r="M68" s="22" cm="1">
        <f t="array" aca="1" ref="M68" ca="1">_FV(RTData[[#This Row],[Company Name]],"Change (%)",TRUE)</f>
        <v>8.5269999999999999E-3</v>
      </c>
      <c r="N68" s="29" cm="1">
        <f t="array" aca="1" ref="N68" ca="1">_FV(RTData[[#This Row],[Company Name]],"52 week low",TRUE)</f>
        <v>508.4</v>
      </c>
      <c r="O68" s="29" cm="1">
        <f t="array" aca="1" ref="O68" ca="1">_FV(RTData[[#This Row],[Company Name]],"52 week high",TRUE)</f>
        <v>804.6</v>
      </c>
      <c r="P68" s="23" cm="1">
        <f t="array" aca="1" ref="P68" ca="1">_FV(RTData[[#This Row],[Company Name]],"Volume")</f>
        <v>502503</v>
      </c>
      <c r="Q68" s="23" cm="1">
        <f t="array" aca="1" ref="Q68" ca="1">_FV(RTData[[#This Row],[Company Name]],"Volume average",TRUE)</f>
        <v>555880</v>
      </c>
      <c r="R68" s="19" cm="1">
        <f t="array" aca="1" ref="R68" ca="1">_FV(RTData[[#This Row],[Company Name]],"Beta")</f>
        <v>1.8671</v>
      </c>
      <c r="S68" t="s">
        <v>25</v>
      </c>
      <c r="T68" t="s">
        <v>26</v>
      </c>
      <c r="U68" t="str" cm="1">
        <f t="array" aca="1" ref="U68" ca="1">_FV(RTData[[#This Row],[Company Name]],"Exchange abbreviation",TRUE)</f>
        <v>XAMS</v>
      </c>
      <c r="V68" s="24">
        <f ca="1">IFERROR(RTData[[#This Row],[Volume]]/RTData[[#This Row],[Volume average]],1)</f>
        <v>0.90397747715334242</v>
      </c>
      <c r="W68" s="24"/>
      <c r="X68" s="103">
        <f>[1]Sheet2!$E67</f>
        <v>758</v>
      </c>
      <c r="Y68" s="149">
        <f>[1]Sheet2!$F67</f>
        <v>45866</v>
      </c>
      <c r="Z68" s="149">
        <f>[1]Sheet2!$G67</f>
        <v>0</v>
      </c>
      <c r="AA68" s="150">
        <f>[1]Sheet2!$H67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0.85200647524921191</v>
      </c>
      <c r="C69" t="e" vm="13">
        <v>#VALUE!</v>
      </c>
      <c r="D69" s="17" t="str" cm="1">
        <f t="array" aca="1" ref="D69" ca="1">_FV(RTData[[#This Row],[Company Name]],"Currency")</f>
        <v>USD</v>
      </c>
      <c r="E69" s="18" cm="1">
        <f t="array" aca="1" ref="E69" ca="1">_FV(RTData[[#This Row],[Company Name]],"Last trade time",TRUE)</f>
        <v>45911.836288726561</v>
      </c>
      <c r="F69" s="19" cm="1">
        <f t="array" aca="1" ref="F69" ca="1">_FV(RTData[[#This Row],[Company Name]],"Previous close",TRUE)</f>
        <v>2.12</v>
      </c>
      <c r="G69" s="19" cm="1">
        <f t="array" aca="1" ref="G69" ca="1">_FV(RTData[[#This Row],[Company Name]],"Open")</f>
        <v>2.1150000000000002</v>
      </c>
      <c r="H69" s="19" cm="1">
        <f t="array" aca="1" ref="H69" ca="1">_FV(RTData[[#This Row],[Company Name]],"Price")</f>
        <v>2.2549999999999999</v>
      </c>
      <c r="I69" s="19" cm="1">
        <f t="array" aca="1" ref="I69" ca="1">_FV(RTData[[#This Row],[Company Name]],"Low")</f>
        <v>2.11</v>
      </c>
      <c r="J69" s="19" cm="1">
        <f t="array" aca="1" ref="J69" ca="1">_FV(RTData[[#This Row],[Company Name]],"High")</f>
        <v>2.36</v>
      </c>
      <c r="K69" s="20" cm="1">
        <f t="array" aca="1" ref="K69" ca="1">IFERROR(_FV(RTData[[#This Row],[Company Name]],"P/E",TRUE),99)</f>
        <v>0</v>
      </c>
      <c r="L69" s="21" cm="1">
        <f t="array" aca="1" ref="L69" ca="1">_FV(RTData[[#This Row],[Company Name]],"Change")</f>
        <v>0.13500000000000001</v>
      </c>
      <c r="M69" s="22" cm="1">
        <f t="array" aca="1" ref="M69" ca="1">_FV(RTData[[#This Row],[Company Name]],"Change (%)",TRUE)</f>
        <v>6.3678999999999999E-2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2933411</v>
      </c>
      <c r="Q69" s="23" cm="1">
        <f t="array" aca="1" ref="Q69" ca="1">_FV(RTData[[#This Row],[Company Name]],"Volume average",TRUE)</f>
        <v>4653734</v>
      </c>
      <c r="R69" s="19" cm="1">
        <f t="array" aca="1" ref="R69" ca="1">_FV(RTData[[#This Row],[Company Name]],"Beta")</f>
        <v>2.0830000000000002</v>
      </c>
      <c r="S69" t="s">
        <v>25</v>
      </c>
      <c r="T69" t="s">
        <v>26</v>
      </c>
      <c r="U69" t="str" cm="1">
        <f t="array" aca="1" ref="U69" ca="1">_FV(RTData[[#This Row],[Company Name]],"Exchange abbreviation",TRUE)</f>
        <v>XNYS</v>
      </c>
      <c r="V69" s="24">
        <f ca="1">IFERROR(RTData[[#This Row],[Volume]]/RTData[[#This Row],[Volume average]],1)</f>
        <v>0.63033490955864691</v>
      </c>
      <c r="W69" s="24"/>
      <c r="X69" s="103">
        <f>[1]Sheet2!$E68</f>
        <v>3.25</v>
      </c>
      <c r="Y69" s="149">
        <f>[1]Sheet2!$F68</f>
        <v>0</v>
      </c>
      <c r="Z69" s="149" t="str">
        <f>[1]Sheet2!$G68</f>
        <v>Nov 10, 2025</v>
      </c>
      <c r="AA69" s="150">
        <f>[1]Sheet2!$H68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0.85200647524921191</v>
      </c>
      <c r="C70" s="43" t="e" vm="14">
        <v>#VALUE!</v>
      </c>
      <c r="D70" s="17" t="str" cm="1">
        <f t="array" aca="1" ref="D70" ca="1">_FV(RTData[[#This Row],[Company Name]],"Currency")</f>
        <v>USD</v>
      </c>
      <c r="E70" s="18" cm="1">
        <f t="array" aca="1" ref="E70" ca="1">_FV(RTData[[#This Row],[Company Name]],"Last trade time",TRUE)</f>
        <v>45911.836504536717</v>
      </c>
      <c r="F70" s="19" cm="1">
        <f t="array" aca="1" ref="F70" ca="1">_FV(RTData[[#This Row],[Company Name]],"Previous close",TRUE)</f>
        <v>115.79</v>
      </c>
      <c r="G70" s="19" cm="1">
        <f t="array" aca="1" ref="G70" ca="1">_FV(RTData[[#This Row],[Company Name]],"Open")</f>
        <v>115.83</v>
      </c>
      <c r="H70" s="19" cm="1">
        <f t="array" aca="1" ref="H70" ca="1">_FV(RTData[[#This Row],[Company Name]],"Price")</f>
        <v>117.06</v>
      </c>
      <c r="I70" s="19" cm="1">
        <f t="array" aca="1" ref="I70" ca="1">_FV(RTData[[#This Row],[Company Name]],"Low")</f>
        <v>114.63</v>
      </c>
      <c r="J70" s="19" cm="1">
        <f t="array" aca="1" ref="J70" ca="1">_FV(RTData[[#This Row],[Company Name]],"High")</f>
        <v>117.16500000000001</v>
      </c>
      <c r="K70" s="20" cm="1">
        <f t="array" aca="1" ref="K70" ca="1">IFERROR(_FV(RTData[[#This Row],[Company Name]],"P/E",TRUE),99)</f>
        <v>18.352599999999999</v>
      </c>
      <c r="L70" s="21" cm="1">
        <f t="array" aca="1" ref="L70" ca="1">_FV(RTData[[#This Row],[Company Name]],"Change")</f>
        <v>1.27</v>
      </c>
      <c r="M70" s="22" cm="1">
        <f t="array" aca="1" ref="M70" ca="1">_FV(RTData[[#This Row],[Company Name]],"Change (%)",TRUE)</f>
        <v>1.0968E-2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8327464</v>
      </c>
      <c r="Q70" s="23" cm="1">
        <f t="array" aca="1" ref="Q70" ca="1">_FV(RTData[[#This Row],[Company Name]],"Volume average",TRUE)</f>
        <v>7583338</v>
      </c>
      <c r="R70" s="19" cm="1">
        <f t="array" aca="1" ref="R70" ca="1">_FV(RTData[[#This Row],[Company Name]],"Beta")</f>
        <v>1.5556000000000001</v>
      </c>
      <c r="S70" t="s">
        <v>25</v>
      </c>
      <c r="T70" t="s">
        <v>26</v>
      </c>
      <c r="U70" t="str" cm="1">
        <f t="array" aca="1" ref="U70" ca="1">_FV(RTData[[#This Row],[Company Name]],"Exchange abbreviation",TRUE)</f>
        <v>XNYS</v>
      </c>
      <c r="V70" s="24">
        <f ca="1">IFERROR(RTData[[#This Row],[Volume]]/RTData[[#This Row],[Volume average]],1)</f>
        <v>1.0981264451090007</v>
      </c>
      <c r="W70" s="24"/>
      <c r="X70" s="103">
        <f>[1]Sheet2!$E69</f>
        <v>132.22594000000001</v>
      </c>
      <c r="Y70" s="149">
        <f>[1]Sheet2!$F69</f>
        <v>45832</v>
      </c>
      <c r="Z70" s="149" t="str">
        <f>[1]Sheet2!$G69</f>
        <v>Aug 6, 2025</v>
      </c>
      <c r="AA70" s="150">
        <f>[1]Sheet2!$H69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0.85200647524921191</v>
      </c>
      <c r="C71" t="e" vm="20">
        <v>#VALUE!</v>
      </c>
      <c r="D71" s="17" t="str" cm="1">
        <f t="array" aca="1" ref="D71" ca="1">_FV(RTData[[#This Row],[Company Name]],"Currency")</f>
        <v>USD</v>
      </c>
      <c r="E71" s="18" cm="1">
        <f t="array" aca="1" ref="E71" ca="1">_FV(RTData[[#This Row],[Company Name]],"Last trade time",TRUE)</f>
        <v>45911.836376921092</v>
      </c>
      <c r="F71" s="19" cm="1">
        <f t="array" aca="1" ref="F71" ca="1">_FV(RTData[[#This Row],[Company Name]],"Previous close",TRUE)</f>
        <v>57.34</v>
      </c>
      <c r="G71" s="19" cm="1">
        <f t="array" aca="1" ref="G71" ca="1">_FV(RTData[[#This Row],[Company Name]],"Open")</f>
        <v>57.54</v>
      </c>
      <c r="H71" s="19" cm="1">
        <f t="array" aca="1" ref="H71" ca="1">_FV(RTData[[#This Row],[Company Name]],"Price")</f>
        <v>58.7</v>
      </c>
      <c r="I71" s="19" cm="1">
        <f t="array" aca="1" ref="I71" ca="1">_FV(RTData[[#This Row],[Company Name]],"Low")</f>
        <v>57.47</v>
      </c>
      <c r="J71" s="19" cm="1">
        <f t="array" aca="1" ref="J71" ca="1">_FV(RTData[[#This Row],[Company Name]],"High")</f>
        <v>58.7</v>
      </c>
      <c r="K71" s="20" cm="1">
        <f t="array" aca="1" ref="K71" ca="1">IFERROR(_FV(RTData[[#This Row],[Company Name]],"P/E",TRUE),99)</f>
        <v>8.4611000000000001</v>
      </c>
      <c r="L71" s="21" cm="1">
        <f t="array" aca="1" ref="L71" ca="1">_FV(RTData[[#This Row],[Company Name]],"Change")</f>
        <v>1.36</v>
      </c>
      <c r="M71" s="22" cm="1">
        <f t="array" aca="1" ref="M71" ca="1">_FV(RTData[[#This Row],[Company Name]],"Change (%)",TRUE)</f>
        <v>2.3717999999999999E-2</v>
      </c>
      <c r="N71" s="19" cm="1">
        <f t="array" aca="1" ref="N71" ca="1">_FV(RTData[[#This Row],[Company Name]],"52 week low",TRUE)</f>
        <v>41.6</v>
      </c>
      <c r="O71" s="19" cm="1">
        <f t="array" aca="1" ref="O71" ca="1">_FV(RTData[[#This Row],[Company Name]],"52 week high",TRUE)</f>
        <v>61.24</v>
      </c>
      <c r="P71" s="23" cm="1">
        <f t="array" aca="1" ref="P71" ca="1">_FV(RTData[[#This Row],[Company Name]],"Volume")</f>
        <v>5806035</v>
      </c>
      <c r="Q71" s="23" cm="1">
        <f t="array" aca="1" ref="Q71" ca="1">_FV(RTData[[#This Row],[Company Name]],"Volume average",TRUE)</f>
        <v>6390804</v>
      </c>
      <c r="R71" s="19" cm="1">
        <f t="array" aca="1" ref="R71" ca="1">_FV(RTData[[#This Row],[Company Name]],"Beta")</f>
        <v>1.3381000000000001</v>
      </c>
      <c r="S71" t="s">
        <v>25</v>
      </c>
      <c r="T71" t="s">
        <v>26</v>
      </c>
      <c r="U71" t="str" cm="1">
        <f t="array" aca="1" ref="U71" ca="1">_FV(RTData[[#This Row],[Company Name]],"Exchange abbreviation",TRUE)</f>
        <v>XNYS</v>
      </c>
      <c r="V71" s="24">
        <f ca="1">IFERROR(RTData[[#This Row],[Volume]]/RTData[[#This Row],[Volume average]],1)</f>
        <v>0.90849836734157396</v>
      </c>
      <c r="W71" s="24"/>
      <c r="X71" s="103">
        <f>[1]Sheet2!$E70</f>
        <v>57.2</v>
      </c>
      <c r="Y71" s="149">
        <f>[1]Sheet2!$F70</f>
        <v>45905</v>
      </c>
      <c r="Z71" s="149" t="str">
        <f>[1]Sheet2!$G70</f>
        <v>Oct 21, 2025</v>
      </c>
      <c r="AA71" s="150">
        <f>[1]Sheet2!$H70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1.1571395510298543E-2</v>
      </c>
      <c r="C72" s="42" t="e" vm="23">
        <v>#VALUE!</v>
      </c>
      <c r="D72" s="17" t="str" cm="1">
        <f t="array" aca="1" ref="D72" ca="1">_FV(RTData[[#This Row],[Company Name]],"Currency")</f>
        <v>GBp</v>
      </c>
      <c r="E72" s="18" cm="1">
        <f t="array" aca="1" ref="E72" ca="1">_FV(RTData[[#This Row],[Company Name]],"Last trade time",TRUE)</f>
        <v>45911.633915971877</v>
      </c>
      <c r="F72" s="19" cm="1">
        <f t="array" aca="1" ref="F72" ca="1">_FV(RTData[[#This Row],[Company Name]],"Previous close",TRUE)</f>
        <v>381.7</v>
      </c>
      <c r="G72" s="19" cm="1">
        <f t="array" aca="1" ref="G72" ca="1">_FV(RTData[[#This Row],[Company Name]],"Open")</f>
        <v>383.8</v>
      </c>
      <c r="H72" s="19" cm="1">
        <f t="array" aca="1" ref="H72" ca="1">_FV(RTData[[#This Row],[Company Name]],"Price")</f>
        <v>382.3</v>
      </c>
      <c r="I72" s="19" cm="1">
        <f t="array" aca="1" ref="I72" ca="1">_FV(RTData[[#This Row],[Company Name]],"Low")</f>
        <v>381.8</v>
      </c>
      <c r="J72" s="19" cm="1">
        <f t="array" aca="1" ref="J72" ca="1">_FV(RTData[[#This Row],[Company Name]],"High")</f>
        <v>389.5</v>
      </c>
      <c r="K72" s="20" cm="1">
        <f t="array" aca="1" ref="K72" ca="1">IFERROR(_FV(RTData[[#This Row],[Company Name]],"P/E",TRUE),99)</f>
        <v>6.9015000000000004</v>
      </c>
      <c r="L72" s="21" cm="1">
        <f t="array" aca="1" ref="L72" ca="1">_FV(RTData[[#This Row],[Company Name]],"Change")</f>
        <v>0.6</v>
      </c>
      <c r="M72" s="22" cm="1">
        <f t="array" aca="1" ref="M72" ca="1">_FV(RTData[[#This Row],[Company Name]],"Change (%)",TRUE)</f>
        <v>1.572E-3</v>
      </c>
      <c r="N72" s="19" cm="1">
        <f t="array" aca="1" ref="N72" ca="1">_FV(RTData[[#This Row],[Company Name]],"52 week low",TRUE)</f>
        <v>187</v>
      </c>
      <c r="O72" s="19" cm="1">
        <f t="array" aca="1" ref="O72" ca="1">_FV(RTData[[#This Row],[Company Name]],"52 week high",TRUE)</f>
        <v>398.7</v>
      </c>
      <c r="P72" s="23" cm="1">
        <f t="array" aca="1" ref="P72" ca="1">_FV(RTData[[#This Row],[Company Name]],"Volume")</f>
        <v>18168189</v>
      </c>
      <c r="Q72" s="23" cm="1">
        <f t="array" aca="1" ref="Q72" ca="1">_FV(RTData[[#This Row],[Company Name]],"Volume average",TRUE)</f>
        <v>13300020</v>
      </c>
      <c r="R72" s="19" cm="1">
        <f t="array" aca="1" ref="R72" ca="1">_FV(RTData[[#This Row],[Company Name]],"Beta")</f>
        <v>2.8047</v>
      </c>
      <c r="S72" t="s">
        <v>25</v>
      </c>
      <c r="T72" t="s">
        <v>26</v>
      </c>
      <c r="U72" t="str" cm="1">
        <f t="array" aca="1" ref="U72" ca="1">_FV(RTData[[#This Row],[Company Name]],"Exchange abbreviation",TRUE)</f>
        <v>XLON</v>
      </c>
      <c r="V72" s="24">
        <f ca="1">IFERROR(RTData[[#This Row],[Volume]]/RTData[[#This Row],[Volume average]],1)</f>
        <v>1.3660271939440694</v>
      </c>
      <c r="W72" s="24"/>
      <c r="X72" s="103">
        <f>[1]Sheet2!$E71</f>
        <v>435.83789999999999</v>
      </c>
      <c r="Y72" s="149">
        <f>[1]Sheet2!$F71</f>
        <v>45834</v>
      </c>
      <c r="Z72" s="149">
        <f>[1]Sheet2!$G71</f>
        <v>0</v>
      </c>
      <c r="AA72" s="150">
        <f>[1]Sheet2!$H71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0.85200647524921191</v>
      </c>
      <c r="C73" t="e" vm="27">
        <v>#VALUE!</v>
      </c>
      <c r="D73" s="17" t="str" cm="1">
        <f t="array" aca="1" ref="D73" ca="1">_FV(RTData[[#This Row],[Company Name]],"Currency")</f>
        <v>USD</v>
      </c>
      <c r="E73" s="18" cm="1">
        <f t="array" aca="1" ref="E73" ca="1">_FV(RTData[[#This Row],[Company Name]],"Last trade time",TRUE)</f>
        <v>45911.836462372659</v>
      </c>
      <c r="F73" s="19" cm="1">
        <f t="array" aca="1" ref="F73" ca="1">_FV(RTData[[#This Row],[Company Name]],"Previous close",TRUE)</f>
        <v>24.31</v>
      </c>
      <c r="G73" s="19" cm="1">
        <f t="array" aca="1" ref="G73" ca="1">_FV(RTData[[#This Row],[Company Name]],"Open")</f>
        <v>24.5</v>
      </c>
      <c r="H73" s="19" cm="1">
        <f t="array" aca="1" ref="H73" ca="1">_FV(RTData[[#This Row],[Company Name]],"Price")</f>
        <v>25.39</v>
      </c>
      <c r="I73" s="19" cm="1">
        <f t="array" aca="1" ref="I73" ca="1">_FV(RTData[[#This Row],[Company Name]],"Low")</f>
        <v>24.5</v>
      </c>
      <c r="J73" s="19" cm="1">
        <f t="array" aca="1" ref="J73" ca="1">_FV(RTData[[#This Row],[Company Name]],"High")</f>
        <v>25.9</v>
      </c>
      <c r="K73" s="20" cm="1">
        <f t="array" aca="1" ref="K73" ca="1">IFERROR(_FV(RTData[[#This Row],[Company Name]],"P/E",TRUE),99)</f>
        <v>0</v>
      </c>
      <c r="L73" s="21" cm="1">
        <f t="array" aca="1" ref="L73" ca="1">_FV(RTData[[#This Row],[Company Name]],"Change")</f>
        <v>1.08</v>
      </c>
      <c r="M73" s="22" cm="1">
        <f t="array" aca="1" ref="M73" ca="1">_FV(RTData[[#This Row],[Company Name]],"Change (%)",TRUE)</f>
        <v>4.4425999999999993E-2</v>
      </c>
      <c r="N73" s="19" cm="1">
        <f t="array" aca="1" ref="N73" ca="1">_FV(RTData[[#This Row],[Company Name]],"52 week low",TRUE)</f>
        <v>23.15</v>
      </c>
      <c r="O73" s="19" cm="1">
        <f t="array" aca="1" ref="O73" ca="1">_FV(RTData[[#This Row],[Company Name]],"52 week high",TRUE)</f>
        <v>79.88</v>
      </c>
      <c r="P73" s="23" cm="1">
        <f t="array" aca="1" ref="P73" ca="1">_FV(RTData[[#This Row],[Company Name]],"Volume")</f>
        <v>11730536</v>
      </c>
      <c r="Q73" s="23" cm="1">
        <f t="array" aca="1" ref="Q73" ca="1">_FV(RTData[[#This Row],[Company Name]],"Volume average",TRUE)</f>
        <v>9733685</v>
      </c>
      <c r="R73" s="19" cm="1">
        <f t="array" aca="1" ref="R73" ca="1">_FV(RTData[[#This Row],[Company Name]],"Beta")</f>
        <v>2.0034000000000001</v>
      </c>
      <c r="S73" t="s">
        <v>25</v>
      </c>
      <c r="T73" t="s">
        <v>26</v>
      </c>
      <c r="U73" t="str" cm="1">
        <f t="array" aca="1" ref="U73" ca="1">_FV(RTData[[#This Row],[Company Name]],"Exchange abbreviation",TRUE)</f>
        <v>XNAS</v>
      </c>
      <c r="V73" s="24">
        <f ca="1">IFERROR(RTData[[#This Row],[Volume]]/RTData[[#This Row],[Volume average]],1)</f>
        <v>1.205148512613671</v>
      </c>
      <c r="W73" s="24"/>
      <c r="X73" s="103">
        <f>[1]Sheet2!$E72</f>
        <v>44.25</v>
      </c>
      <c r="Y73" s="149">
        <f>[1]Sheet2!$F72</f>
        <v>0</v>
      </c>
      <c r="Z73" s="149" t="str">
        <f>[1]Sheet2!$G72</f>
        <v>Aug 1, 2025</v>
      </c>
      <c r="AA73" s="150">
        <f>[1]Sheet2!$H72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0.85200647524921191</v>
      </c>
      <c r="C74" s="43" t="e" vm="56">
        <v>#VALUE!</v>
      </c>
      <c r="D74" s="17" t="str" cm="1">
        <f t="array" aca="1" ref="D74" ca="1">_FV(RTData[[#This Row],[Company Name]],"Currency")</f>
        <v>USD</v>
      </c>
      <c r="E74" s="18" cm="1">
        <f t="array" aca="1" ref="E74" ca="1">_FV(RTData[[#This Row],[Company Name]],"Last trade time",TRUE)</f>
        <v>45911.836288251565</v>
      </c>
      <c r="F74" s="19" cm="1">
        <f t="array" aca="1" ref="F74" ca="1">_FV(RTData[[#This Row],[Company Name]],"Previous close",TRUE)</f>
        <v>1.1299999999999999</v>
      </c>
      <c r="G74" s="19" cm="1">
        <f t="array" aca="1" ref="G74" ca="1">_FV(RTData[[#This Row],[Company Name]],"Open")</f>
        <v>1.1100000000000001</v>
      </c>
      <c r="H74" s="19" cm="1">
        <f t="array" aca="1" ref="H74" ca="1">_FV(RTData[[#This Row],[Company Name]],"Price")</f>
        <v>1.25</v>
      </c>
      <c r="I74" s="19" cm="1">
        <f t="array" aca="1" ref="I74" ca="1">_FV(RTData[[#This Row],[Company Name]],"Low")</f>
        <v>1.1100000000000001</v>
      </c>
      <c r="J74" s="19" cm="1">
        <f t="array" aca="1" ref="J74" ca="1">_FV(RTData[[#This Row],[Company Name]],"High")</f>
        <v>1.26</v>
      </c>
      <c r="K74" s="20" cm="1">
        <f t="array" aca="1" ref="K74" ca="1">IFERROR(_FV(RTData[[#This Row],[Company Name]],"P/E",TRUE),99)</f>
        <v>0</v>
      </c>
      <c r="L74" s="21" cm="1">
        <f t="array" aca="1" ref="L74" ca="1">_FV(RTData[[#This Row],[Company Name]],"Change")</f>
        <v>0.12</v>
      </c>
      <c r="M74" s="22" cm="1">
        <f t="array" aca="1" ref="M74" ca="1">_FV(RTData[[#This Row],[Company Name]],"Change (%)",TRUE)</f>
        <v>0.106195</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4911809</v>
      </c>
      <c r="Q74" s="23" cm="1">
        <f t="array" aca="1" ref="Q74" ca="1">_FV(RTData[[#This Row],[Company Name]],"Volume average",TRUE)</f>
        <v>3013073</v>
      </c>
      <c r="R74" s="19" cm="1">
        <f t="array" aca="1" ref="R74" ca="1">_FV(RTData[[#This Row],[Company Name]],"Beta")</f>
        <v>3.4847000000000001</v>
      </c>
      <c r="T74" t="s">
        <v>26</v>
      </c>
      <c r="U74" t="str" cm="1">
        <f t="array" aca="1" ref="U74" ca="1">_FV(RTData[[#This Row],[Company Name]],"Exchange abbreviation",TRUE)</f>
        <v>XNAS</v>
      </c>
      <c r="V74" s="24">
        <f ca="1">IFERROR(RTData[[#This Row],[Volume]]/RTData[[#This Row],[Volume average]],1)</f>
        <v>1.6301659468589045</v>
      </c>
      <c r="W74" s="24"/>
      <c r="X74" s="103">
        <v>2.4</v>
      </c>
      <c r="Y74" s="149">
        <f>[1]Sheet2!$F73</f>
        <v>0</v>
      </c>
      <c r="Z74" s="149" t="str">
        <f>[1]Sheet2!$G73</f>
        <v>Nov 6, 2025</v>
      </c>
      <c r="AA74" s="150">
        <f>[1]Sheet2!$H73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45911.666666666664</v>
      </c>
      <c r="F75" s="29" cm="1">
        <f t="array" aca="1" ref="F75" ca="1">_FV(RTData[[#This Row],[Company Name]],"Previous close",TRUE)</f>
        <v>14.958</v>
      </c>
      <c r="G75" s="29" cm="1">
        <f t="array" aca="1" ref="G75" ca="1">_FV(RTData[[#This Row],[Company Name]],"Open")</f>
        <v>15.04</v>
      </c>
      <c r="H75" s="29" cm="1">
        <f t="array" aca="1" ref="H75" ca="1">_FV(RTData[[#This Row],[Company Name]],"Price")</f>
        <v>14.922000000000001</v>
      </c>
      <c r="I75" s="29" cm="1">
        <f t="array" aca="1" ref="I75" ca="1">_FV(RTData[[#This Row],[Company Name]],"Low")</f>
        <v>14.872</v>
      </c>
      <c r="J75" s="29" cm="1">
        <f t="array" aca="1" ref="J75" ca="1">_FV(RTData[[#This Row],[Company Name]],"High")</f>
        <v>15.102</v>
      </c>
      <c r="K75" s="20" cm="1">
        <f t="array" aca="1" ref="K75" ca="1">IFERROR(_FV(RTData[[#This Row],[Company Name]],"P/E",TRUE),99)</f>
        <v>18.6432</v>
      </c>
      <c r="L75" s="21" cm="1">
        <f t="array" aca="1" ref="L75" ca="1">_FV(RTData[[#This Row],[Company Name]],"Change")</f>
        <v>-3.5999999999999997E-2</v>
      </c>
      <c r="M75" s="22" cm="1">
        <f t="array" aca="1" ref="M75" ca="1">_FV(RTData[[#This Row],[Company Name]],"Change (%)",TRUE)</f>
        <v>-2.4069999999999999E-3</v>
      </c>
      <c r="N75" s="29" cm="1">
        <f t="array" aca="1" ref="N75" ca="1">_FV(RTData[[#This Row],[Company Name]],"52 week low",TRUE)</f>
        <v>11.01</v>
      </c>
      <c r="O75" s="29" cm="1">
        <f t="array" aca="1" ref="O75" ca="1">_FV(RTData[[#This Row],[Company Name]],"52 week high",TRUE)</f>
        <v>15.39</v>
      </c>
      <c r="P75" s="23" cm="1">
        <f t="array" aca="1" ref="P75" ca="1">_FV(RTData[[#This Row],[Company Name]],"Volume")</f>
        <v>8044454</v>
      </c>
      <c r="Q75" s="23" cm="1">
        <f t="array" aca="1" ref="Q75" ca="1">_FV(RTData[[#This Row],[Company Name]],"Volume average",TRUE)</f>
        <v>10101260</v>
      </c>
      <c r="R75" s="19" cm="1">
        <f t="array" aca="1" ref="R75" ca="1">_FV(RTData[[#This Row],[Company Name]],"Beta")</f>
        <v>1.1015999999999999</v>
      </c>
      <c r="T75" t="s">
        <v>26</v>
      </c>
      <c r="U75" t="str" cm="1">
        <f t="array" aca="1" ref="U75" ca="1">_FV(RTData[[#This Row],[Company Name]],"Exchange abbreviation",TRUE)</f>
        <v>XMIL</v>
      </c>
      <c r="V75" s="24">
        <f ca="1">IFERROR(RTData[[#This Row],[Volume]]/RTData[[#This Row],[Volume average]],1)</f>
        <v>0.79638124352803508</v>
      </c>
      <c r="W75" s="24"/>
      <c r="X75" s="103">
        <v>15.23</v>
      </c>
      <c r="Y75" s="149">
        <f>[1]Sheet2!$F74</f>
        <v>45922</v>
      </c>
      <c r="Z75" s="149">
        <f>[1]Sheet2!$G74</f>
        <v>0</v>
      </c>
      <c r="AA75" s="150">
        <f>[1]Sheet2!$H74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1.1571395510298543E-2</v>
      </c>
      <c r="C76" s="43" t="e" vm="57">
        <v>#VALUE!</v>
      </c>
      <c r="D76" s="17" t="str" cm="1">
        <f t="array" aca="1" ref="D76" ca="1">_FV(RTData[[#This Row],[Company Name]],"Currency")</f>
        <v>GBp</v>
      </c>
      <c r="E76" s="18" cm="1">
        <f t="array" aca="1" ref="E76" ca="1">_FV(RTData[[#This Row],[Company Name]],"Last trade time",TRUE)</f>
        <v>45911.624976006249</v>
      </c>
      <c r="F76" s="19" cm="1">
        <f t="array" aca="1" ref="F76" ca="1">_FV(RTData[[#This Row],[Company Name]],"Previous close",TRUE)</f>
        <v>461.1</v>
      </c>
      <c r="G76" s="19" cm="1">
        <f t="array" aca="1" ref="G76" ca="1">_FV(RTData[[#This Row],[Company Name]],"Open")</f>
        <v>462.3</v>
      </c>
      <c r="H76" s="19" cm="1">
        <f t="array" aca="1" ref="H76" ca="1">_FV(RTData[[#This Row],[Company Name]],"Price")</f>
        <v>465.6</v>
      </c>
      <c r="I76" s="19" cm="1">
        <f t="array" aca="1" ref="I76" ca="1">_FV(RTData[[#This Row],[Company Name]],"Low")</f>
        <v>462.2</v>
      </c>
      <c r="J76" s="19" cm="1">
        <f t="array" aca="1" ref="J76" ca="1">_FV(RTData[[#This Row],[Company Name]],"High")</f>
        <v>468</v>
      </c>
      <c r="K76" s="20" cm="1">
        <f t="array" aca="1" ref="K76" ca="1">IFERROR(_FV(RTData[[#This Row],[Company Name]],"P/E",TRUE),99)</f>
        <v>8.4408999999999992</v>
      </c>
      <c r="L76" s="21" cm="1">
        <f t="array" aca="1" ref="L76" ca="1">_FV(RTData[[#This Row],[Company Name]],"Change")</f>
        <v>4.5</v>
      </c>
      <c r="M76" s="22" cm="1">
        <f t="array" aca="1" ref="M76" ca="1">_FV(RTData[[#This Row],[Company Name]],"Change (%)",TRUE)</f>
        <v>9.7590000000000003E-3</v>
      </c>
      <c r="N76" s="19" cm="1">
        <f t="array" aca="1" ref="N76" ca="1">_FV(RTData[[#This Row],[Company Name]],"52 week low",TRUE)</f>
        <v>401.05</v>
      </c>
      <c r="O76" s="19" cm="1">
        <f t="array" aca="1" ref="O76" ca="1">_FV(RTData[[#This Row],[Company Name]],"52 week high",TRUE)</f>
        <v>594</v>
      </c>
      <c r="P76" s="23" cm="1">
        <f t="array" aca="1" ref="P76" ca="1">_FV(RTData[[#This Row],[Company Name]],"Volume")</f>
        <v>2849972</v>
      </c>
      <c r="Q76" s="23" cm="1">
        <f t="array" aca="1" ref="Q76" ca="1">_FV(RTData[[#This Row],[Company Name]],"Volume average",TRUE)</f>
        <v>4447770</v>
      </c>
      <c r="R76" s="19" cm="1">
        <f t="array" aca="1" ref="R76" ca="1">_FV(RTData[[#This Row],[Company Name]],"Beta")</f>
        <v>2.7936999999999999</v>
      </c>
      <c r="T76" t="s">
        <v>26</v>
      </c>
      <c r="U76" t="str" cm="1">
        <f t="array" aca="1" ref="U76" ca="1">_FV(RTData[[#This Row],[Company Name]],"Exchange abbreviation",TRUE)</f>
        <v>XLON</v>
      </c>
      <c r="V76" s="24">
        <f ca="1">IFERROR(RTData[[#This Row],[Volume]]/RTData[[#This Row],[Volume average]],1)</f>
        <v>0.64076424815132083</v>
      </c>
      <c r="W76" s="24"/>
      <c r="X76" s="103">
        <v>658.68</v>
      </c>
      <c r="Y76" s="149">
        <f>[1]Sheet2!$F75</f>
        <v>45708</v>
      </c>
      <c r="Z76" s="149">
        <f>[1]Sheet2!$G75</f>
        <v>0</v>
      </c>
      <c r="AA76" s="150">
        <f>[1]Sheet2!$H75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0.85200647524921191</v>
      </c>
      <c r="C77" s="43" t="e" vm="58">
        <v>#VALUE!</v>
      </c>
      <c r="D77" s="17" t="str" cm="1">
        <f t="array" aca="1" ref="D77" ca="1">_FV(RTData[[#This Row],[Company Name]],"Currency")</f>
        <v>USD</v>
      </c>
      <c r="E77" s="18" cm="1">
        <f t="array" aca="1" ref="E77" ca="1">_FV(RTData[[#This Row],[Company Name]],"Last trade time",TRUE)</f>
        <v>45911.836411157034</v>
      </c>
      <c r="F77" s="19" cm="1">
        <f t="array" aca="1" ref="F77" ca="1">_FV(RTData[[#This Row],[Company Name]],"Previous close",TRUE)</f>
        <v>11.42</v>
      </c>
      <c r="G77" s="19" cm="1">
        <f t="array" aca="1" ref="G77" ca="1">_FV(RTData[[#This Row],[Company Name]],"Open")</f>
        <v>11.46</v>
      </c>
      <c r="H77" s="19" cm="1">
        <f t="array" aca="1" ref="H77" ca="1">_FV(RTData[[#This Row],[Company Name]],"Price")</f>
        <v>11.76</v>
      </c>
      <c r="I77" s="19" cm="1">
        <f t="array" aca="1" ref="I77" ca="1">_FV(RTData[[#This Row],[Company Name]],"Low")</f>
        <v>11.44</v>
      </c>
      <c r="J77" s="19" cm="1">
        <f t="array" aca="1" ref="J77" ca="1">_FV(RTData[[#This Row],[Company Name]],"High")</f>
        <v>11.79</v>
      </c>
      <c r="K77" s="20" cm="1">
        <f t="array" aca="1" ref="K77" ca="1">IFERROR(_FV(RTData[[#This Row],[Company Name]],"P/E",TRUE),99)</f>
        <v>15.038399999999999</v>
      </c>
      <c r="L77" s="21" cm="1">
        <f t="array" aca="1" ref="L77" ca="1">_FV(RTData[[#This Row],[Company Name]],"Change")</f>
        <v>0.34</v>
      </c>
      <c r="M77" s="22" cm="1">
        <f t="array" aca="1" ref="M77" ca="1">_FV(RTData[[#This Row],[Company Name]],"Change (%)",TRUE)</f>
        <v>2.9772E-2</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63784065</v>
      </c>
      <c r="Q77" s="23" cm="1">
        <f t="array" aca="1" ref="Q77" ca="1">_FV(RTData[[#This Row],[Company Name]],"Volume average",TRUE)</f>
        <v>51297310</v>
      </c>
      <c r="R77" s="19" cm="1">
        <f t="array" aca="1" ref="R77" ca="1">_FV(RTData[[#This Row],[Company Name]],"Beta")</f>
        <v>1.5407999999999999</v>
      </c>
      <c r="T77" t="s">
        <v>26</v>
      </c>
      <c r="U77" t="str" cm="1">
        <f t="array" aca="1" ref="U77" ca="1">_FV(RTData[[#This Row],[Company Name]],"Exchange abbreviation",TRUE)</f>
        <v>XNYS</v>
      </c>
      <c r="V77" s="24">
        <f ca="1">IFERROR(RTData[[#This Row],[Volume]]/RTData[[#This Row],[Volume average]],1)</f>
        <v>1.2434192943060758</v>
      </c>
      <c r="W77" s="24"/>
      <c r="X77" s="103">
        <v>10.79</v>
      </c>
      <c r="Y77" s="149">
        <f>[1]Sheet2!$F76</f>
        <v>45880</v>
      </c>
      <c r="Z77" s="149" t="str">
        <f>[1]Sheet2!$G76</f>
        <v>Oct 29, 2025</v>
      </c>
      <c r="AA77" s="150">
        <f>[1]Sheet2!$H76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45911.666666666664</v>
      </c>
      <c r="F78" s="29" cm="1">
        <f t="array" aca="1" ref="F78" ca="1">_FV(RTData[[#This Row],[Company Name]],"Previous close",TRUE)</f>
        <v>55.82</v>
      </c>
      <c r="G78" s="29" cm="1">
        <f t="array" aca="1" ref="G78" ca="1">_FV(RTData[[#This Row],[Company Name]],"Open")</f>
        <v>56.18</v>
      </c>
      <c r="H78" s="29" cm="1">
        <f t="array" aca="1" ref="H78" ca="1">_FV(RTData[[#This Row],[Company Name]],"Price")</f>
        <v>57.6</v>
      </c>
      <c r="I78" s="29" cm="1">
        <f t="array" aca="1" ref="I78" ca="1">_FV(RTData[[#This Row],[Company Name]],"Low")</f>
        <v>55.74</v>
      </c>
      <c r="J78" s="29" cm="1">
        <f t="array" aca="1" ref="J78" ca="1">_FV(RTData[[#This Row],[Company Name]],"High")</f>
        <v>57.86</v>
      </c>
      <c r="K78" s="20" cm="1">
        <f t="array" aca="1" ref="K78" ca="1">IFERROR(_FV(RTData[[#This Row],[Company Name]],"P/E",TRUE),99)</f>
        <v>9.6471</v>
      </c>
      <c r="L78" s="21" cm="1">
        <f t="array" aca="1" ref="L78" ca="1">_FV(RTData[[#This Row],[Company Name]],"Change")</f>
        <v>1.78</v>
      </c>
      <c r="M78" s="22" cm="1">
        <f t="array" aca="1" ref="M78" ca="1">_FV(RTData[[#This Row],[Company Name]],"Change (%)",TRUE)</f>
        <v>3.1888E-2</v>
      </c>
      <c r="N78" s="29" cm="1">
        <f t="array" aca="1" ref="N78" ca="1">_FV(RTData[[#This Row],[Company Name]],"52 week low",TRUE)</f>
        <v>21.55</v>
      </c>
      <c r="O78" s="29" cm="1">
        <f t="array" aca="1" ref="O78" ca="1">_FV(RTData[[#This Row],[Company Name]],"52 week high",TRUE)</f>
        <v>59.42</v>
      </c>
      <c r="P78" s="23" cm="1">
        <f t="array" aca="1" ref="P78" ca="1">_FV(RTData[[#This Row],[Company Name]],"Volume")</f>
        <v>2275391</v>
      </c>
      <c r="Q78" s="23" cm="1">
        <f t="array" aca="1" ref="Q78" ca="1">_FV(RTData[[#This Row],[Company Name]],"Volume average",TRUE)</f>
        <v>2434900</v>
      </c>
      <c r="R78" s="19" cm="1">
        <f t="array" aca="1" ref="R78" ca="1">_FV(RTData[[#This Row],[Company Name]],"Beta")</f>
        <v>1.5643</v>
      </c>
      <c r="T78" t="s">
        <v>26</v>
      </c>
      <c r="U78" t="str" cm="1">
        <f t="array" aca="1" ref="U78" ca="1">_FV(RTData[[#This Row],[Company Name]],"Exchange abbreviation",TRUE)</f>
        <v>XPAR</v>
      </c>
      <c r="V78" s="24">
        <f ca="1">IFERROR(RTData[[#This Row],[Volume]]/RTData[[#This Row],[Volume average]],1)</f>
        <v>0.93449053349213518</v>
      </c>
      <c r="W78" s="24"/>
      <c r="X78" s="103">
        <v>60.69</v>
      </c>
      <c r="Y78" s="149">
        <f>[1]Sheet2!$F77</f>
        <v>45937</v>
      </c>
      <c r="Z78" s="149" t="str">
        <f>[1]Sheet2!$G77</f>
        <v>Oct 30, 2025</v>
      </c>
      <c r="AA78" s="150">
        <f>[1]Sheet2!$H77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0.85200647524921191</v>
      </c>
      <c r="C79" s="43" t="e" vm="59">
        <v>#VALUE!</v>
      </c>
      <c r="D79" s="17" t="str" cm="1">
        <f t="array" aca="1" ref="D79" ca="1">_FV(RTData[[#This Row],[Company Name]],"Currency")</f>
        <v>USD</v>
      </c>
      <c r="E79" s="18" cm="1">
        <f t="array" aca="1" ref="E79" ca="1">_FV(RTData[[#This Row],[Company Name]],"Last trade time",TRUE)</f>
        <v>45911.836361180467</v>
      </c>
      <c r="F79" s="19" cm="1">
        <f t="array" aca="1" ref="F79" ca="1">_FV(RTData[[#This Row],[Company Name]],"Previous close",TRUE)</f>
        <v>185.01</v>
      </c>
      <c r="G79" s="19" cm="1">
        <f t="array" aca="1" ref="G79" ca="1">_FV(RTData[[#This Row],[Company Name]],"Open")</f>
        <v>185.2</v>
      </c>
      <c r="H79" s="19" cm="1">
        <f t="array" aca="1" ref="H79" ca="1">_FV(RTData[[#This Row],[Company Name]],"Price")</f>
        <v>187.87</v>
      </c>
      <c r="I79" s="19" cm="1">
        <f t="array" aca="1" ref="I79" ca="1">_FV(RTData[[#This Row],[Company Name]],"Low")</f>
        <v>185.095</v>
      </c>
      <c r="J79" s="19" cm="1">
        <f t="array" aca="1" ref="J79" ca="1">_FV(RTData[[#This Row],[Company Name]],"High")</f>
        <v>192.715</v>
      </c>
      <c r="K79" s="20" cm="1">
        <f t="array" aca="1" ref="K79" ca="1">IFERROR(_FV(RTData[[#This Row],[Company Name]],"P/E",TRUE),99)</f>
        <v>31.196200000000001</v>
      </c>
      <c r="L79" s="21" cm="1">
        <f t="array" aca="1" ref="L79" ca="1">_FV(RTData[[#This Row],[Company Name]],"Change")</f>
        <v>2.86</v>
      </c>
      <c r="M79" s="22" cm="1">
        <f t="array" aca="1" ref="M79" ca="1">_FV(RTData[[#This Row],[Company Name]],"Change (%)",TRUE)</f>
        <v>1.5459000000000001E-2</v>
      </c>
      <c r="N79" s="19" cm="1">
        <f t="array" aca="1" ref="N79" ca="1">_FV(RTData[[#This Row],[Company Name]],"52 week low",TRUE)</f>
        <v>99.5</v>
      </c>
      <c r="O79" s="19" cm="1">
        <f t="array" aca="1" ref="O79" ca="1">_FV(RTData[[#This Row],[Company Name]],"52 week high",TRUE)</f>
        <v>203.2499</v>
      </c>
      <c r="P79" s="23" cm="1">
        <f t="array" aca="1" ref="P79" ca="1">_FV(RTData[[#This Row],[Company Name]],"Volume")</f>
        <v>1418085</v>
      </c>
      <c r="Q79" s="23" cm="1">
        <f t="array" aca="1" ref="Q79" ca="1">_FV(RTData[[#This Row],[Company Name]],"Volume average",TRUE)</f>
        <v>820124</v>
      </c>
      <c r="R79" s="19" cm="1">
        <f t="array" aca="1" ref="R79" ca="1">_FV(RTData[[#This Row],[Company Name]],"Beta")</f>
        <v>1.6707000000000001</v>
      </c>
      <c r="T79" t="s">
        <v>26</v>
      </c>
      <c r="U79" t="str" cm="1">
        <f t="array" aca="1" ref="U79" ca="1">_FV(RTData[[#This Row],[Company Name]],"Exchange abbreviation",TRUE)</f>
        <v>XNYS</v>
      </c>
      <c r="V79" s="24">
        <f ca="1">IFERROR(RTData[[#This Row],[Volume]]/RTData[[#This Row],[Volume average]],1)</f>
        <v>1.7291104759768035</v>
      </c>
      <c r="W79" s="24"/>
      <c r="X79" s="103">
        <f>[1]Sheet2!$E78</f>
        <v>204.5</v>
      </c>
      <c r="Y79" s="149">
        <f>[1]Sheet2!$F78</f>
        <v>41435</v>
      </c>
      <c r="Z79" s="149" t="str">
        <f>[1]Sheet2!$G78</f>
        <v>Oct 30, 2025</v>
      </c>
      <c r="AA79" s="150">
        <f>[1]Sheet2!$H78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0.85200647524921191</v>
      </c>
      <c r="C80" t="e" vm="60">
        <v>#VALUE!</v>
      </c>
      <c r="D80" s="17" t="str" cm="1">
        <f t="array" aca="1" ref="D80" ca="1">_FV(RTData[[#This Row],[Company Name]],"Currency")</f>
        <v>USD</v>
      </c>
      <c r="E80" s="18" cm="1">
        <f t="array" aca="1" ref="E80" ca="1">_FV(RTData[[#This Row],[Company Name]],"Last trade time",TRUE)</f>
        <v>45911.836505763284</v>
      </c>
      <c r="F80" s="19" cm="1">
        <f t="array" aca="1" ref="F80" ca="1">_FV(RTData[[#This Row],[Company Name]],"Previous close",TRUE)</f>
        <v>769.58</v>
      </c>
      <c r="G80" s="19" cm="1">
        <f t="array" aca="1" ref="G80" ca="1">_FV(RTData[[#This Row],[Company Name]],"Open")</f>
        <v>771.24</v>
      </c>
      <c r="H80" s="19" cm="1">
        <f t="array" aca="1" ref="H80" ca="1">_FV(RTData[[#This Row],[Company Name]],"Price")</f>
        <v>784.67</v>
      </c>
      <c r="I80" s="19" cm="1">
        <f t="array" aca="1" ref="I80" ca="1">_FV(RTData[[#This Row],[Company Name]],"Low")</f>
        <v>771.24</v>
      </c>
      <c r="J80" s="19" cm="1">
        <f t="array" aca="1" ref="J80" ca="1">_FV(RTData[[#This Row],[Company Name]],"High")</f>
        <v>793.16</v>
      </c>
      <c r="K80" s="20" cm="1">
        <f t="array" aca="1" ref="K80" ca="1">IFERROR(_FV(RTData[[#This Row],[Company Name]],"P/E",TRUE),99)</f>
        <v>17.292200000000001</v>
      </c>
      <c r="L80" s="21" cm="1">
        <f t="array" aca="1" ref="L80" ca="1">_FV(RTData[[#This Row],[Company Name]],"Change")</f>
        <v>15.09</v>
      </c>
      <c r="M80" s="22" cm="1">
        <f t="array" aca="1" ref="M80" ca="1">_FV(RTData[[#This Row],[Company Name]],"Change (%)",TRUE)</f>
        <v>1.9608E-2</v>
      </c>
      <c r="N80" s="19" cm="1">
        <f t="array" aca="1" ref="N80" ca="1">_FV(RTData[[#This Row],[Company Name]],"52 week low",TRUE)</f>
        <v>439.38</v>
      </c>
      <c r="O80" s="19" cm="1">
        <f t="array" aca="1" ref="O80" ca="1">_FV(RTData[[#This Row],[Company Name]],"52 week high",TRUE)</f>
        <v>793.16</v>
      </c>
      <c r="P80" s="23" cm="1">
        <f t="array" aca="1" ref="P80" ca="1">_FV(RTData[[#This Row],[Company Name]],"Volume")</f>
        <v>2004632</v>
      </c>
      <c r="Q80" s="23" cm="1">
        <f t="array" aca="1" ref="Q80" ca="1">_FV(RTData[[#This Row],[Company Name]],"Volume average",TRUE)</f>
        <v>1656853</v>
      </c>
      <c r="R80" s="19" cm="1">
        <f t="array" aca="1" ref="R80" ca="1">_FV(RTData[[#This Row],[Company Name]],"Beta")</f>
        <v>1.4134</v>
      </c>
      <c r="T80" t="s">
        <v>26</v>
      </c>
      <c r="U80" t="str" cm="1">
        <f t="array" aca="1" ref="U80" ca="1">_FV(RTData[[#This Row],[Company Name]],"Exchange abbreviation",TRUE)</f>
        <v>XNYS</v>
      </c>
      <c r="V80" s="24">
        <f ca="1">IFERROR(RTData[[#This Row],[Volume]]/RTData[[#This Row],[Volume average]],1)</f>
        <v>1.2099033529226793</v>
      </c>
      <c r="W80" s="24"/>
      <c r="X80" s="103">
        <f>[1]Sheet2!$E79</f>
        <v>710.57899999999995</v>
      </c>
      <c r="Y80" s="149">
        <f>[1]Sheet2!$F79</f>
        <v>45898</v>
      </c>
      <c r="Z80" s="149" t="str">
        <f>[1]Sheet2!$G79</f>
        <v>Oct 14, 2025</v>
      </c>
      <c r="AA80" s="150">
        <f>[1]Sheet2!$H79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0.85200647524921191</v>
      </c>
      <c r="C81" s="43" t="e" vm="61">
        <v>#VALUE!</v>
      </c>
      <c r="D81" s="17" t="str" cm="1">
        <f t="array" aca="1" ref="D81" ca="1">_FV(RTData[[#This Row],[Company Name]],"Currency")</f>
        <v>USD</v>
      </c>
      <c r="E81" s="18" cm="1">
        <f t="array" aca="1" ref="E81" ca="1">_FV(RTData[[#This Row],[Company Name]],"Last trade time",TRUE)</f>
        <v>45911.836280532028</v>
      </c>
      <c r="F81" s="19" cm="1">
        <f t="array" aca="1" ref="F81" ca="1">_FV(RTData[[#This Row],[Company Name]],"Previous close",TRUE)</f>
        <v>1.68</v>
      </c>
      <c r="G81" s="19" cm="1">
        <f t="array" aca="1" ref="G81" ca="1">_FV(RTData[[#This Row],[Company Name]],"Open")</f>
        <v>1.68</v>
      </c>
      <c r="H81" s="19" cm="1">
        <f t="array" aca="1" ref="H81" ca="1">_FV(RTData[[#This Row],[Company Name]],"Price")</f>
        <v>1.77</v>
      </c>
      <c r="I81" s="19" cm="1">
        <f t="array" aca="1" ref="I81" ca="1">_FV(RTData[[#This Row],[Company Name]],"Low")</f>
        <v>1.675</v>
      </c>
      <c r="J81" s="19" cm="1">
        <f t="array" aca="1" ref="J81" ca="1">_FV(RTData[[#This Row],[Company Name]],"High")</f>
        <v>1.85</v>
      </c>
      <c r="K81" s="20" cm="1">
        <f t="array" aca="1" ref="K81" ca="1">IFERROR(_FV(RTData[[#This Row],[Company Name]],"P/E",TRUE),99)</f>
        <v>0</v>
      </c>
      <c r="L81" s="21" cm="1">
        <f t="array" aca="1" ref="L81" ca="1">_FV(RTData[[#This Row],[Company Name]],"Change")</f>
        <v>0.09</v>
      </c>
      <c r="M81" s="22" cm="1">
        <f t="array" aca="1" ref="M81" ca="1">_FV(RTData[[#This Row],[Company Name]],"Change (%)",TRUE)</f>
        <v>5.3571000000000001E-2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4337317</v>
      </c>
      <c r="Q81" s="23" cm="1">
        <f t="array" aca="1" ref="Q81" ca="1">_FV(RTData[[#This Row],[Company Name]],"Volume average",TRUE)</f>
        <v>3894598</v>
      </c>
      <c r="R81" s="19" cm="1">
        <f t="array" aca="1" ref="R81" ca="1">_FV(RTData[[#This Row],[Company Name]],"Beta")</f>
        <v>2.0247999999999999</v>
      </c>
      <c r="T81" t="s">
        <v>26</v>
      </c>
      <c r="U81" t="str" cm="1">
        <f t="array" aca="1" ref="U81" ca="1">_FV(RTData[[#This Row],[Company Name]],"Exchange abbreviation",TRUE)</f>
        <v>XNAS</v>
      </c>
      <c r="V81" s="24">
        <f ca="1">IFERROR(RTData[[#This Row],[Volume]]/RTData[[#This Row],[Volume average]],1)</f>
        <v>1.1136751469599686</v>
      </c>
      <c r="W81" s="24"/>
      <c r="X81" s="103">
        <v>3</v>
      </c>
      <c r="Y81" s="149">
        <f>[1]Sheet2!$F80</f>
        <v>0</v>
      </c>
      <c r="Z81" s="149" t="str">
        <f>[1]Sheet2!$G80</f>
        <v>Aug 12, 2025</v>
      </c>
      <c r="AA81" s="150">
        <f>[1]Sheet2!$H80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0.85200647524921191</v>
      </c>
      <c r="C82" s="43" t="e" vm="62">
        <v>#VALUE!</v>
      </c>
      <c r="D82" s="17" t="str" cm="1">
        <f t="array" aca="1" ref="D82" ca="1">_FV(RTData[[#This Row],[Company Name]],"Currency")</f>
        <v>USD</v>
      </c>
      <c r="E82" s="18" cm="1">
        <f t="array" aca="1" ref="E82" ca="1">_FV(RTData[[#This Row],[Company Name]],"Last trade time",TRUE)</f>
        <v>45911.836570196094</v>
      </c>
      <c r="F82" s="19" cm="1">
        <f t="array" aca="1" ref="F82" ca="1">_FV(RTData[[#This Row],[Company Name]],"Previous close",TRUE)</f>
        <v>31.11</v>
      </c>
      <c r="G82" s="19" cm="1">
        <f t="array" aca="1" ref="G82" ca="1">_FV(RTData[[#This Row],[Company Name]],"Open")</f>
        <v>31.29</v>
      </c>
      <c r="H82" s="19" cm="1">
        <f t="array" aca="1" ref="H82" ca="1">_FV(RTData[[#This Row],[Company Name]],"Price")</f>
        <v>31.73</v>
      </c>
      <c r="I82" s="19" cm="1">
        <f t="array" aca="1" ref="I82" ca="1">_FV(RTData[[#This Row],[Company Name]],"Low")</f>
        <v>30.6</v>
      </c>
      <c r="J82" s="19" cm="1">
        <f t="array" aca="1" ref="J82" ca="1">_FV(RTData[[#This Row],[Company Name]],"High")</f>
        <v>31.84</v>
      </c>
      <c r="K82" s="20" cm="1">
        <f t="array" aca="1" ref="K82" ca="1">IFERROR(_FV(RTData[[#This Row],[Company Name]],"P/E",TRUE),99)</f>
        <v>38.091200000000001</v>
      </c>
      <c r="L82" s="21" cm="1">
        <f t="array" aca="1" ref="L82" ca="1">_FV(RTData[[#This Row],[Company Name]],"Change")</f>
        <v>0.62</v>
      </c>
      <c r="M82" s="22" cm="1">
        <f t="array" aca="1" ref="M82" ca="1">_FV(RTData[[#This Row],[Company Name]],"Change (%)",TRUE)</f>
        <v>1.9928999999999999E-2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11428882</v>
      </c>
      <c r="Q82" s="23" cm="1">
        <f t="array" aca="1" ref="Q82" ca="1">_FV(RTData[[#This Row],[Company Name]],"Volume average",TRUE)</f>
        <v>7193344</v>
      </c>
      <c r="R82" s="19" cm="1">
        <f t="array" aca="1" ref="R82" ca="1">_FV(RTData[[#This Row],[Company Name]],"Beta")</f>
        <v>1.2121999999999999</v>
      </c>
      <c r="T82" t="s">
        <v>26</v>
      </c>
      <c r="U82" t="str" cm="1">
        <f t="array" aca="1" ref="U82" ca="1">_FV(RTData[[#This Row],[Company Name]],"Exchange abbreviation",TRUE)</f>
        <v>XNYS</v>
      </c>
      <c r="V82" s="24">
        <f ca="1">IFERROR(RTData[[#This Row],[Volume]]/RTData[[#This Row],[Volume average]],1)</f>
        <v>1.588813492028186</v>
      </c>
      <c r="W82" s="24"/>
      <c r="X82" s="103">
        <f>[1]Sheet2!$E81</f>
        <v>32.06</v>
      </c>
      <c r="Y82" s="149">
        <f>[1]Sheet2!$F81</f>
        <v>45903</v>
      </c>
      <c r="Z82" s="149" t="str">
        <f>[1]Sheet2!$G81</f>
        <v>Oct 22, 2025</v>
      </c>
      <c r="AA82" s="150">
        <f>[1]Sheet2!$H81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0.85200647524921191</v>
      </c>
      <c r="C83" s="43" t="e" vm="63">
        <v>#VALUE!</v>
      </c>
      <c r="D83" s="17" t="str" cm="1">
        <f t="array" aca="1" ref="D83" ca="1">_FV(RTData[[#This Row],[Company Name]],"Currency")</f>
        <v>USD</v>
      </c>
      <c r="E83" s="18" cm="1">
        <f t="array" aca="1" ref="E83" ca="1">_FV(RTData[[#This Row],[Company Name]],"Last trade time",TRUE)</f>
        <v>45911.836273066408</v>
      </c>
      <c r="F83" s="19" cm="1">
        <f t="array" aca="1" ref="F83" ca="1">_FV(RTData[[#This Row],[Company Name]],"Previous close",TRUE)</f>
        <v>579.38</v>
      </c>
      <c r="G83" s="19" cm="1">
        <f t="array" aca="1" ref="G83" ca="1">_FV(RTData[[#This Row],[Company Name]],"Open")</f>
        <v>581.04</v>
      </c>
      <c r="H83" s="19" cm="1">
        <f t="array" aca="1" ref="H83" ca="1">_FV(RTData[[#This Row],[Company Name]],"Price")</f>
        <v>588.73</v>
      </c>
      <c r="I83" s="19" cm="1">
        <f t="array" aca="1" ref="I83" ca="1">_FV(RTData[[#This Row],[Company Name]],"Low")</f>
        <v>580.01</v>
      </c>
      <c r="J83" s="19" cm="1">
        <f t="array" aca="1" ref="J83" ca="1">_FV(RTData[[#This Row],[Company Name]],"High")</f>
        <v>589.97</v>
      </c>
      <c r="K83" s="20" cm="1">
        <f t="array" aca="1" ref="K83" ca="1">IFERROR(_FV(RTData[[#This Row],[Company Name]],"P/E",TRUE),99)</f>
        <v>39.703400000000002</v>
      </c>
      <c r="L83" s="21" cm="1">
        <f t="array" aca="1" ref="L83" ca="1">_FV(RTData[[#This Row],[Company Name]],"Change")</f>
        <v>9.35</v>
      </c>
      <c r="M83" s="22" cm="1">
        <f t="array" aca="1" ref="M83" ca="1">_FV(RTData[[#This Row],[Company Name]],"Change (%)",TRUE)</f>
        <v>1.6138E-2</v>
      </c>
      <c r="N83" s="19" cm="1">
        <f t="array" aca="1" ref="N83" ca="1">_FV(RTData[[#This Row],[Company Name]],"52 week low",TRUE)</f>
        <v>465.59</v>
      </c>
      <c r="O83" s="19" cm="1">
        <f t="array" aca="1" ref="O83" ca="1">_FV(RTData[[#This Row],[Company Name]],"52 week high",TRUE)</f>
        <v>601.77</v>
      </c>
      <c r="P83" s="23" cm="1">
        <f t="array" aca="1" ref="P83" ca="1">_FV(RTData[[#This Row],[Company Name]],"Volume")</f>
        <v>2396537</v>
      </c>
      <c r="Q83" s="23" cm="1">
        <f t="array" aca="1" ref="Q83" ca="1">_FV(RTData[[#This Row],[Company Name]],"Volume average",TRUE)</f>
        <v>2378562</v>
      </c>
      <c r="R83" s="19" cm="1">
        <f t="array" aca="1" ref="R83" ca="1">_FV(RTData[[#This Row],[Company Name]],"Beta")</f>
        <v>0.98250000000000004</v>
      </c>
      <c r="T83" t="s">
        <v>26</v>
      </c>
      <c r="U83" t="str" cm="1">
        <f t="array" aca="1" ref="U83" ca="1">_FV(RTData[[#This Row],[Company Name]],"Exchange abbreviation",TRUE)</f>
        <v>XNYS</v>
      </c>
      <c r="V83" s="24">
        <f ca="1">IFERROR(RTData[[#This Row],[Volume]]/RTData[[#This Row],[Volume average]],1)</f>
        <v>1.0075570870130777</v>
      </c>
      <c r="W83" s="24"/>
      <c r="X83" s="103">
        <f>[1]Sheet2!$E82</f>
        <v>644.55150000000003</v>
      </c>
      <c r="Y83" s="149">
        <f>[1]Sheet2!$F82</f>
        <v>45847</v>
      </c>
      <c r="Z83" s="149" t="str">
        <f>[1]Sheet2!$G82</f>
        <v>Oct 30, 2025</v>
      </c>
      <c r="AA83" s="150">
        <f>[1]Sheet2!$H82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0.85200647524921191</v>
      </c>
      <c r="C84" s="43" t="e" vm="64">
        <v>#VALUE!</v>
      </c>
      <c r="D84" s="17" t="str" cm="1">
        <f t="array" aca="1" ref="D84" ca="1">_FV(RTData[[#This Row],[Company Name]],"Currency")</f>
        <v>USD</v>
      </c>
      <c r="E84" s="18" cm="1">
        <f t="array" aca="1" ref="E84" ca="1">_FV(RTData[[#This Row],[Company Name]],"Last trade time",TRUE)</f>
        <v>45911.836275497655</v>
      </c>
      <c r="F84" s="19" cm="1">
        <f t="array" aca="1" ref="F84" ca="1">_FV(RTData[[#This Row],[Company Name]],"Previous close",TRUE)</f>
        <v>7.96</v>
      </c>
      <c r="G84" s="19" cm="1">
        <f t="array" aca="1" ref="G84" ca="1">_FV(RTData[[#This Row],[Company Name]],"Open")</f>
        <v>8.02</v>
      </c>
      <c r="H84" s="19" cm="1">
        <f t="array" aca="1" ref="H84" ca="1">_FV(RTData[[#This Row],[Company Name]],"Price")</f>
        <v>8.2799999999999994</v>
      </c>
      <c r="I84" s="19" cm="1">
        <f t="array" aca="1" ref="I84" ca="1">_FV(RTData[[#This Row],[Company Name]],"Low")</f>
        <v>8.01</v>
      </c>
      <c r="J84" s="19" cm="1">
        <f t="array" aca="1" ref="J84" ca="1">_FV(RTData[[#This Row],[Company Name]],"High")</f>
        <v>8.31</v>
      </c>
      <c r="K84" s="20" cm="1">
        <f t="array" aca="1" ref="K84" ca="1">IFERROR(_FV(RTData[[#This Row],[Company Name]],"P/E",TRUE),99)</f>
        <v>3.6200999999999999</v>
      </c>
      <c r="L84" s="21" cm="1">
        <f t="array" aca="1" ref="L84" ca="1">_FV(RTData[[#This Row],[Company Name]],"Change")</f>
        <v>0.32</v>
      </c>
      <c r="M84" s="22" cm="1">
        <f t="array" aca="1" ref="M84" ca="1">_FV(RTData[[#This Row],[Company Name]],"Change (%)",TRUE)</f>
        <v>4.0201000000000001E-2</v>
      </c>
      <c r="N84" s="19" cm="1">
        <f t="array" aca="1" ref="N84" ca="1">_FV(RTData[[#This Row],[Company Name]],"52 week low",TRUE)</f>
        <v>5.01</v>
      </c>
      <c r="O84" s="19" cm="1">
        <f t="array" aca="1" ref="O84" ca="1">_FV(RTData[[#This Row],[Company Name]],"52 week high",TRUE)</f>
        <v>15.22</v>
      </c>
      <c r="P84" s="23" cm="1">
        <f t="array" aca="1" ref="P84" ca="1">_FV(RTData[[#This Row],[Company Name]],"Volume")</f>
        <v>4187341</v>
      </c>
      <c r="Q84" s="23" cm="1">
        <f t="array" aca="1" ref="Q84" ca="1">_FV(RTData[[#This Row],[Company Name]],"Volume average",TRUE)</f>
        <v>8438795</v>
      </c>
      <c r="R84" s="19" cm="1">
        <f t="array" aca="1" ref="R84" ca="1">_FV(RTData[[#This Row],[Company Name]],"Beta")</f>
        <v>2.7286999999999999</v>
      </c>
      <c r="T84" t="s">
        <v>26</v>
      </c>
      <c r="U84" t="str" cm="1">
        <f t="array" aca="1" ref="U84" ca="1">_FV(RTData[[#This Row],[Company Name]],"Exchange abbreviation",TRUE)</f>
        <v>XNAS</v>
      </c>
      <c r="V84" s="24">
        <f ca="1">IFERROR(RTData[[#This Row],[Volume]]/RTData[[#This Row],[Volume average]],1)</f>
        <v>0.49620129414211389</v>
      </c>
      <c r="W84" s="24"/>
      <c r="X84" s="103">
        <f>[1]Sheet2!$E83</f>
        <v>12.5</v>
      </c>
      <c r="Y84" s="149">
        <f>[1]Sheet2!$F83</f>
        <v>0</v>
      </c>
      <c r="Z84" s="149" t="str">
        <f>[1]Sheet2!$G83</f>
        <v>Aug 6, 2025</v>
      </c>
      <c r="AA84" s="150">
        <f>[1]Sheet2!$H83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0.85200647524921191</v>
      </c>
      <c r="C85" t="e" vm="65">
        <v>#VALUE!</v>
      </c>
      <c r="D85" s="17" t="str" cm="1">
        <f t="array" aca="1" ref="D85" ca="1">_FV(RTData[[#This Row],[Company Name]],"Currency")</f>
        <v>USD</v>
      </c>
      <c r="E85" s="18" cm="1">
        <f t="array" aca="1" ref="E85" ca="1">_FV(RTData[[#This Row],[Company Name]],"Last trade time",TRUE)</f>
        <v>45911.836293935157</v>
      </c>
      <c r="F85" s="19" cm="1">
        <f t="array" aca="1" ref="F85" ca="1">_FV(RTData[[#This Row],[Company Name]],"Previous close",TRUE)</f>
        <v>126.55</v>
      </c>
      <c r="G85" s="19" cm="1">
        <f t="array" aca="1" ref="G85" ca="1">_FV(RTData[[#This Row],[Company Name]],"Open")</f>
        <v>127.53</v>
      </c>
      <c r="H85" s="19" cm="1">
        <f t="array" aca="1" ref="H85" ca="1">_FV(RTData[[#This Row],[Company Name]],"Price")</f>
        <v>127.68</v>
      </c>
      <c r="I85" s="19" cm="1">
        <f t="array" aca="1" ref="I85" ca="1">_FV(RTData[[#This Row],[Company Name]],"Low")</f>
        <v>127.345</v>
      </c>
      <c r="J85" s="19" cm="1">
        <f t="array" aca="1" ref="J85" ca="1">_FV(RTData[[#This Row],[Company Name]],"High")</f>
        <v>128.05000000000001</v>
      </c>
      <c r="K85" s="20" cm="1">
        <f t="array" aca="1" ref="K85" ca="1">IFERROR(_FV(RTData[[#This Row],[Company Name]],"P/E",TRUE),99)</f>
        <v>18.610900000000001</v>
      </c>
      <c r="L85" s="21" cm="1">
        <f t="array" aca="1" ref="L85" ca="1">_FV(RTData[[#This Row],[Company Name]],"Change")</f>
        <v>1.1299999999999999</v>
      </c>
      <c r="M85" s="22" cm="1">
        <f t="array" aca="1" ref="M85" ca="1">_FV(RTData[[#This Row],[Company Name]],"Change (%)",TRUE)</f>
        <v>8.9289999999999994E-3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896482</v>
      </c>
      <c r="Q85" s="23" cm="1">
        <f t="array" aca="1" ref="Q85" ca="1">_FV(RTData[[#This Row],[Company Name]],"Volume average",TRUE)</f>
        <v>1201427</v>
      </c>
      <c r="R85" s="19" cm="1">
        <f t="array" aca="1" ref="R85" ca="1">_FV(RTData[[#This Row],[Company Name]],"Beta")</f>
        <v>0.63460000000000005</v>
      </c>
      <c r="T85" t="s">
        <v>26</v>
      </c>
      <c r="U85" t="str" cm="1">
        <f t="array" aca="1" ref="U85" ca="1">_FV(RTData[[#This Row],[Company Name]],"Exchange abbreviation",TRUE)</f>
        <v>XNYS</v>
      </c>
      <c r="V85" s="24">
        <f ca="1">IFERROR(RTData[[#This Row],[Volume]]/RTData[[#This Row],[Volume average]],1)</f>
        <v>0.7461809997611174</v>
      </c>
      <c r="W85" s="24"/>
      <c r="X85" s="103">
        <f>[1]Sheet2!$E84</f>
        <v>118.545</v>
      </c>
      <c r="Y85" s="149">
        <f>[1]Sheet2!$F84</f>
        <v>45728</v>
      </c>
      <c r="Z85" s="149" t="str">
        <f>[1]Sheet2!$G84</f>
        <v>Jul 17, 2025</v>
      </c>
      <c r="AA85" s="150">
        <f>[1]Sheet2!$H84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45911.666666666664</v>
      </c>
      <c r="F86" s="29" cm="1">
        <f t="array" aca="1" ref="F86" ca="1">_FV(RTData[[#This Row],[Company Name]],"Previous close",TRUE)</f>
        <v>13.72</v>
      </c>
      <c r="G86" s="29" cm="1">
        <f t="array" aca="1" ref="G86" ca="1">_FV(RTData[[#This Row],[Company Name]],"Open")</f>
        <v>13.69</v>
      </c>
      <c r="H86" s="29" cm="1">
        <f t="array" aca="1" ref="H86" ca="1">_FV(RTData[[#This Row],[Company Name]],"Price")</f>
        <v>13.89</v>
      </c>
      <c r="I86" s="29" cm="1">
        <f t="array" aca="1" ref="I86" ca="1">_FV(RTData[[#This Row],[Company Name]],"Low")</f>
        <v>13.69</v>
      </c>
      <c r="J86" s="29" cm="1">
        <f t="array" aca="1" ref="J86" ca="1">_FV(RTData[[#This Row],[Company Name]],"High")</f>
        <v>13.914999999999999</v>
      </c>
      <c r="K86" s="20" cm="1">
        <f t="array" aca="1" ref="K86" ca="1">IFERROR(_FV(RTData[[#This Row],[Company Name]],"P/E",TRUE),99)</f>
        <v>43.3354</v>
      </c>
      <c r="L86" s="21" cm="1">
        <f t="array" aca="1" ref="L86" ca="1">_FV(RTData[[#This Row],[Company Name]],"Change")</f>
        <v>0.17</v>
      </c>
      <c r="M86" s="22" cm="1">
        <f t="array" aca="1" ref="M86" ca="1">_FV(RTData[[#This Row],[Company Name]],"Change (%)",TRUE)</f>
        <v>1.2391000000000001E-2</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3452995</v>
      </c>
      <c r="Q86" s="23" cm="1">
        <f t="array" aca="1" ref="Q86" ca="1">_FV(RTData[[#This Row],[Company Name]],"Volume average",TRUE)</f>
        <v>4331880</v>
      </c>
      <c r="R86" s="19" cm="1">
        <f t="array" aca="1" ref="R86" ca="1">_FV(RTData[[#This Row],[Company Name]],"Beta")</f>
        <v>0.2747</v>
      </c>
      <c r="T86" t="s">
        <v>26</v>
      </c>
      <c r="U86" t="str" cm="1">
        <f t="array" aca="1" ref="U86" ca="1">_FV(RTData[[#This Row],[Company Name]],"Exchange abbreviation",TRUE)</f>
        <v>XPAR</v>
      </c>
      <c r="V86" s="24">
        <f ca="1">IFERROR(RTData[[#This Row],[Volume]]/RTData[[#This Row],[Volume average]],1)</f>
        <v>0.79711233921530611</v>
      </c>
      <c r="W86" s="24"/>
      <c r="X86" s="103">
        <v>14.92</v>
      </c>
      <c r="Y86" s="149">
        <f>[1]Sheet2!$F85</f>
        <v>45993</v>
      </c>
      <c r="Z86" s="149">
        <v>45953</v>
      </c>
      <c r="AA86" s="150">
        <f>[1]Sheet2!$H85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0.85200647524921191</v>
      </c>
      <c r="C87" s="43" t="e" vm="66">
        <v>#VALUE!</v>
      </c>
      <c r="D87" s="17" t="str" cm="1">
        <f t="array" aca="1" ref="D87" ca="1">_FV(RTData[[#This Row],[Company Name]],"Currency")</f>
        <v>USD</v>
      </c>
      <c r="E87" s="18" cm="1">
        <f t="array" aca="1" ref="E87" ca="1">_FV(RTData[[#This Row],[Company Name]],"Last trade time",TRUE)</f>
        <v>45911.836471678122</v>
      </c>
      <c r="F87" s="19" cm="1">
        <f t="array" aca="1" ref="F87" ca="1">_FV(RTData[[#This Row],[Company Name]],"Previous close",TRUE)</f>
        <v>46.31</v>
      </c>
      <c r="G87" s="19" cm="1">
        <f t="array" aca="1" ref="G87" ca="1">_FV(RTData[[#This Row],[Company Name]],"Open")</f>
        <v>45.78</v>
      </c>
      <c r="H87" s="19" cm="1">
        <f t="array" aca="1" ref="H87" ca="1">_FV(RTData[[#This Row],[Company Name]],"Price")</f>
        <v>46.01</v>
      </c>
      <c r="I87" s="19" cm="1">
        <f t="array" aca="1" ref="I87" ca="1">_FV(RTData[[#This Row],[Company Name]],"Low")</f>
        <v>45.59</v>
      </c>
      <c r="J87" s="19" cm="1">
        <f t="array" aca="1" ref="J87" ca="1">_FV(RTData[[#This Row],[Company Name]],"High")</f>
        <v>46.26</v>
      </c>
      <c r="K87" s="20" cm="1">
        <f t="array" aca="1" ref="K87" ca="1">IFERROR(_FV(RTData[[#This Row],[Company Name]],"P/E",TRUE),99)</f>
        <v>27.101400000000002</v>
      </c>
      <c r="L87" s="21" cm="1">
        <f t="array" aca="1" ref="L87" ca="1">_FV(RTData[[#This Row],[Company Name]],"Change")</f>
        <v>-0.3</v>
      </c>
      <c r="M87" s="22" cm="1">
        <f t="array" aca="1" ref="M87" ca="1">_FV(RTData[[#This Row],[Company Name]],"Change (%)",TRUE)</f>
        <v>-6.4780000000000003E-3</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5050047</v>
      </c>
      <c r="Q87" s="23" cm="1">
        <f t="array" aca="1" ref="Q87" ca="1">_FV(RTData[[#This Row],[Company Name]],"Volume average",TRUE)</f>
        <v>9043988</v>
      </c>
      <c r="R87" s="19" cm="1">
        <f t="array" aca="1" ref="R87" ca="1">_FV(RTData[[#This Row],[Company Name]],"Beta")</f>
        <v>0.96350000000000002</v>
      </c>
      <c r="T87" t="s">
        <v>26</v>
      </c>
      <c r="U87" t="str" cm="1">
        <f t="array" aca="1" ref="U87" ca="1">_FV(RTData[[#This Row],[Company Name]],"Exchange abbreviation",TRUE)</f>
        <v>XNYS</v>
      </c>
      <c r="V87" s="24">
        <f ca="1">IFERROR(RTData[[#This Row],[Volume]]/RTData[[#This Row],[Volume average]],1)</f>
        <v>0.5583871849454024</v>
      </c>
      <c r="W87" s="24"/>
      <c r="X87" s="103">
        <f>[1]Sheet2!$E86</f>
        <v>50.652169999999998</v>
      </c>
      <c r="Y87" s="149">
        <f>[1]Sheet2!$F86</f>
        <v>45910</v>
      </c>
      <c r="Z87" s="149" t="str">
        <f>[1]Sheet2!$G86</f>
        <v>Aug 6, 2025</v>
      </c>
      <c r="AA87" s="150">
        <f>[1]Sheet2!$H86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0.85200647524921191</v>
      </c>
      <c r="C88" s="43" t="e" vm="67">
        <v>#VALUE!</v>
      </c>
      <c r="D88" s="17" t="str" cm="1">
        <f t="array" aca="1" ref="D88" ca="1">_FV(RTData[[#This Row],[Company Name]],"Currency")</f>
        <v>USD</v>
      </c>
      <c r="E88" s="18" cm="1">
        <f t="array" aca="1" ref="E88" ca="1">_FV(RTData[[#This Row],[Company Name]],"Last trade time",TRUE)</f>
        <v>45911.83648788125</v>
      </c>
      <c r="F88" s="19" cm="1">
        <f t="array" aca="1" ref="F88" ca="1">_FV(RTData[[#This Row],[Company Name]],"Previous close",TRUE)</f>
        <v>24.57</v>
      </c>
      <c r="G88" s="19" cm="1">
        <f t="array" aca="1" ref="G88" ca="1">_FV(RTData[[#This Row],[Company Name]],"Open")</f>
        <v>24.6</v>
      </c>
      <c r="H88" s="19" cm="1">
        <f t="array" aca="1" ref="H88" ca="1">_FV(RTData[[#This Row],[Company Name]],"Price")</f>
        <v>24.85</v>
      </c>
      <c r="I88" s="19" cm="1">
        <f t="array" aca="1" ref="I88" ca="1">_FV(RTData[[#This Row],[Company Name]],"Low")</f>
        <v>24.54</v>
      </c>
      <c r="J88" s="19" cm="1">
        <f t="array" aca="1" ref="J88" ca="1">_FV(RTData[[#This Row],[Company Name]],"High")</f>
        <v>24.86</v>
      </c>
      <c r="K88" s="20" cm="1">
        <f t="array" aca="1" ref="K88" ca="1">IFERROR(_FV(RTData[[#This Row],[Company Name]],"P/E",TRUE),99)</f>
        <v>18.020299999999999</v>
      </c>
      <c r="L88" s="21" cm="1">
        <f t="array" aca="1" ref="L88" ca="1">_FV(RTData[[#This Row],[Company Name]],"Change")</f>
        <v>0.28000000000000003</v>
      </c>
      <c r="M88" s="22" cm="1">
        <f t="array" aca="1" ref="M88" ca="1">_FV(RTData[[#This Row],[Company Name]],"Change (%)",TRUE)</f>
        <v>1.1396E-2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36659223</v>
      </c>
      <c r="Q88" s="23" cm="1">
        <f t="array" aca="1" ref="Q88" ca="1">_FV(RTData[[#This Row],[Company Name]],"Volume average",TRUE)</f>
        <v>38236759</v>
      </c>
      <c r="R88" s="19" cm="1">
        <f t="array" aca="1" ref="R88" ca="1">_FV(RTData[[#This Row],[Company Name]],"Beta")</f>
        <v>0.50729999999999997</v>
      </c>
      <c r="T88" t="s">
        <v>26</v>
      </c>
      <c r="U88" t="str" cm="1">
        <f t="array" aca="1" ref="U88" ca="1">_FV(RTData[[#This Row],[Company Name]],"Exchange abbreviation",TRUE)</f>
        <v>XNYS</v>
      </c>
      <c r="V88" s="24">
        <f ca="1">IFERROR(RTData[[#This Row],[Volume]]/RTData[[#This Row],[Volume average]],1)</f>
        <v>0.95874294680676253</v>
      </c>
      <c r="W88" s="24"/>
      <c r="X88" s="103">
        <f>[1]Sheet2!$E87</f>
        <v>28.857140000000001</v>
      </c>
      <c r="Y88" s="149">
        <f>[1]Sheet2!$F87</f>
        <v>45863</v>
      </c>
      <c r="Z88" s="149" t="str">
        <f>[1]Sheet2!$G87</f>
        <v>Nov 4, 2025</v>
      </c>
      <c r="AA88" s="150">
        <f>[1]Sheet2!$H87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0.85200647524921191</v>
      </c>
      <c r="C89" s="44" t="e" vm="68">
        <v>#VALUE!</v>
      </c>
      <c r="D89" s="17" t="str" cm="1">
        <f t="array" aca="1" ref="D89" ca="1">_FV(RTData[[#This Row],[Company Name]],"Currency")</f>
        <v>USD</v>
      </c>
      <c r="E89" s="18" cm="1">
        <f t="array" aca="1" ref="E89" ca="1">_FV(RTData[[#This Row],[Company Name]],"Last trade time",TRUE)</f>
        <v>45911.83627532344</v>
      </c>
      <c r="F89" s="19" cm="1">
        <f t="array" aca="1" ref="F89" ca="1">_FV(RTData[[#This Row],[Company Name]],"Previous close",TRUE)</f>
        <v>3.24</v>
      </c>
      <c r="G89" s="19" cm="1">
        <f t="array" aca="1" ref="G89" ca="1">_FV(RTData[[#This Row],[Company Name]],"Open")</f>
        <v>3.2050000000000001</v>
      </c>
      <c r="H89" s="19" cm="1">
        <f t="array" aca="1" ref="H89" ca="1">_FV(RTData[[#This Row],[Company Name]],"Price")</f>
        <v>3.2650000000000001</v>
      </c>
      <c r="I89" s="19" cm="1">
        <f t="array" aca="1" ref="I89" ca="1">_FV(RTData[[#This Row],[Company Name]],"Low")</f>
        <v>3.2</v>
      </c>
      <c r="J89" s="19" cm="1">
        <f t="array" aca="1" ref="J89" ca="1">_FV(RTData[[#This Row],[Company Name]],"High")</f>
        <v>3.27</v>
      </c>
      <c r="K89" s="20" cm="1">
        <f t="array" aca="1" ref="K89" ca="1">IFERROR(_FV(RTData[[#This Row],[Company Name]],"P/E",TRUE),99)</f>
        <v>0</v>
      </c>
      <c r="L89" s="21" cm="1">
        <f t="array" aca="1" ref="L89" ca="1">_FV(RTData[[#This Row],[Company Name]],"Change")</f>
        <v>2.5000000000000001E-2</v>
      </c>
      <c r="M89" s="22" cm="1">
        <f t="array" aca="1" ref="M89" ca="1">_FV(RTData[[#This Row],[Company Name]],"Change (%)",TRUE)</f>
        <v>7.7159999999999998E-3</v>
      </c>
      <c r="N89" s="19" cm="1">
        <f t="array" aca="1" ref="N89" ca="1">_FV(RTData[[#This Row],[Company Name]],"52 week low",TRUE)</f>
        <v>1.97</v>
      </c>
      <c r="O89" s="19" cm="1">
        <f t="array" aca="1" ref="O89" ca="1">_FV(RTData[[#This Row],[Company Name]],"52 week high",TRUE)</f>
        <v>4.76</v>
      </c>
      <c r="P89" s="23" cm="1">
        <f t="array" aca="1" ref="P89" ca="1">_FV(RTData[[#This Row],[Company Name]],"Volume")</f>
        <v>19426689</v>
      </c>
      <c r="Q89" s="23" cm="1">
        <f t="array" aca="1" ref="Q89" ca="1">_FV(RTData[[#This Row],[Company Name]],"Volume average",TRUE)</f>
        <v>22368094</v>
      </c>
      <c r="R89" s="19" cm="1">
        <f t="array" aca="1" ref="R89" ca="1">_FV(RTData[[#This Row],[Company Name]],"Beta")</f>
        <v>2.6899000000000002</v>
      </c>
      <c r="T89" t="s">
        <v>26</v>
      </c>
      <c r="U89" t="str" cm="1">
        <f t="array" aca="1" ref="U89" ca="1">_FV(RTData[[#This Row],[Company Name]],"Exchange abbreviation",TRUE)</f>
        <v>XNYS</v>
      </c>
      <c r="V89" s="24">
        <f ca="1">IFERROR(RTData[[#This Row],[Volume]]/RTData[[#This Row],[Volume average]],1)</f>
        <v>0.86849997143252344</v>
      </c>
      <c r="W89" s="24"/>
      <c r="X89" s="103">
        <v>3.89</v>
      </c>
      <c r="Y89" s="149">
        <f>[1]Sheet2!$F88</f>
        <v>42237</v>
      </c>
      <c r="Z89" s="149" t="str">
        <f>[1]Sheet2!$G88</f>
        <v>Nov 3, 2025</v>
      </c>
      <c r="AA89" s="150">
        <f>[1]Sheet2!$H88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0.85200647524921191</v>
      </c>
      <c r="C90" s="43" t="e" vm="69">
        <v>#VALUE!</v>
      </c>
      <c r="D90" s="17" t="str" cm="1">
        <f t="array" aca="1" ref="D90" ca="1">_FV(RTData[[#This Row],[Company Name]],"Currency")</f>
        <v>USD</v>
      </c>
      <c r="E90" s="18" cm="1">
        <f t="array" aca="1" ref="E90" ca="1">_FV(RTData[[#This Row],[Company Name]],"Last trade time",TRUE)</f>
        <v>45911.836363367969</v>
      </c>
      <c r="F90" s="19" cm="1">
        <f t="array" aca="1" ref="F90" ca="1">_FV(RTData[[#This Row],[Company Name]],"Previous close",TRUE)</f>
        <v>34.840000000000003</v>
      </c>
      <c r="G90" s="19" cm="1">
        <f t="array" aca="1" ref="G90" ca="1">_FV(RTData[[#This Row],[Company Name]],"Open")</f>
        <v>34.4</v>
      </c>
      <c r="H90" s="19" cm="1">
        <f t="array" aca="1" ref="H90" ca="1">_FV(RTData[[#This Row],[Company Name]],"Price")</f>
        <v>35.17</v>
      </c>
      <c r="I90" s="19" cm="1">
        <f t="array" aca="1" ref="I90" ca="1">_FV(RTData[[#This Row],[Company Name]],"Low")</f>
        <v>34.340000000000003</v>
      </c>
      <c r="J90" s="19" cm="1">
        <f t="array" aca="1" ref="J90" ca="1">_FV(RTData[[#This Row],[Company Name]],"High")</f>
        <v>35.19</v>
      </c>
      <c r="K90" s="20" cm="1">
        <f t="array" aca="1" ref="K90" ca="1">IFERROR(_FV(RTData[[#This Row],[Company Name]],"P/E",TRUE),99)</f>
        <v>31.5398</v>
      </c>
      <c r="L90" s="21" cm="1">
        <f t="array" aca="1" ref="L90" ca="1">_FV(RTData[[#This Row],[Company Name]],"Change")</f>
        <v>0.33</v>
      </c>
      <c r="M90" s="22" cm="1">
        <f t="array" aca="1" ref="M90" ca="1">_FV(RTData[[#This Row],[Company Name]],"Change (%)",TRUE)</f>
        <v>9.4720000000000013E-3</v>
      </c>
      <c r="N90" s="19" cm="1">
        <f t="array" aca="1" ref="N90" ca="1">_FV(RTData[[#This Row],[Company Name]],"52 week low",TRUE)</f>
        <v>28</v>
      </c>
      <c r="O90" s="19" cm="1">
        <f t="array" aca="1" ref="O90" ca="1">_FV(RTData[[#This Row],[Company Name]],"52 week high",TRUE)</f>
        <v>43.5</v>
      </c>
      <c r="P90" s="23" cm="1">
        <f t="array" aca="1" ref="P90" ca="1">_FV(RTData[[#This Row],[Company Name]],"Volume")</f>
        <v>3335711</v>
      </c>
      <c r="Q90" s="23" cm="1">
        <f t="array" aca="1" ref="Q90" ca="1">_FV(RTData[[#This Row],[Company Name]],"Volume average",TRUE)</f>
        <v>2482191</v>
      </c>
      <c r="R90" s="19" cm="1">
        <f t="array" aca="1" ref="R90" ca="1">_FV(RTData[[#This Row],[Company Name]],"Beta")</f>
        <v>0.505</v>
      </c>
      <c r="T90" t="s">
        <v>26</v>
      </c>
      <c r="U90" t="str" cm="1">
        <f t="array" aca="1" ref="U90" ca="1">_FV(RTData[[#This Row],[Company Name]],"Exchange abbreviation",TRUE)</f>
        <v>XNYS</v>
      </c>
      <c r="V90" s="24">
        <f ca="1">IFERROR(RTData[[#This Row],[Volume]]/RTData[[#This Row],[Volume average]],1)</f>
        <v>1.3438575033105833</v>
      </c>
      <c r="W90" s="24"/>
      <c r="X90" s="103">
        <v>43.21</v>
      </c>
      <c r="Y90" s="149">
        <f>[1]Sheet2!$F89</f>
        <v>45912</v>
      </c>
      <c r="Z90" s="149" t="str">
        <f>[1]Sheet2!$G89</f>
        <v>Oct 21, 2025</v>
      </c>
      <c r="AA90" s="150">
        <f>[1]Sheet2!$H89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0.85200647524921191</v>
      </c>
      <c r="C91" s="43" t="e" vm="70">
        <v>#VALUE!</v>
      </c>
      <c r="D91" s="17" t="str" cm="1">
        <f t="array" aca="1" ref="D91" ca="1">_FV(RTData[[#This Row],[Company Name]],"Currency")</f>
        <v>USD</v>
      </c>
      <c r="E91" s="18" cm="1">
        <f t="array" aca="1" ref="E91" ca="1">_FV(RTData[[#This Row],[Company Name]],"Last trade time",TRUE)</f>
        <v>45911.836450775001</v>
      </c>
      <c r="F91" s="19" cm="1">
        <f t="array" aca="1" ref="F91" ca="1">_FV(RTData[[#This Row],[Company Name]],"Previous close",TRUE)</f>
        <v>73.75</v>
      </c>
      <c r="G91" s="19" cm="1">
        <f t="array" aca="1" ref="G91" ca="1">_FV(RTData[[#This Row],[Company Name]],"Open")</f>
        <v>73.930000000000007</v>
      </c>
      <c r="H91" s="19" cm="1">
        <f t="array" aca="1" ref="H91" ca="1">_FV(RTData[[#This Row],[Company Name]],"Price")</f>
        <v>74.209999999999994</v>
      </c>
      <c r="I91" s="19" cm="1">
        <f t="array" aca="1" ref="I91" ca="1">_FV(RTData[[#This Row],[Company Name]],"Low")</f>
        <v>73.446200000000005</v>
      </c>
      <c r="J91" s="19" cm="1">
        <f t="array" aca="1" ref="J91" ca="1">_FV(RTData[[#This Row],[Company Name]],"High")</f>
        <v>74.77</v>
      </c>
      <c r="K91" s="20" cm="1">
        <f t="array" aca="1" ref="K91" ca="1">IFERROR(_FV(RTData[[#This Row],[Company Name]],"P/E",TRUE),99)</f>
        <v>43.823099999999997</v>
      </c>
      <c r="L91" s="21" cm="1">
        <f t="array" aca="1" ref="L91" ca="1">_FV(RTData[[#This Row],[Company Name]],"Change")</f>
        <v>0.46</v>
      </c>
      <c r="M91" s="22" cm="1">
        <f t="array" aca="1" ref="M91" ca="1">_FV(RTData[[#This Row],[Company Name]],"Change (%)",TRUE)</f>
        <v>6.2370000000000004E-3</v>
      </c>
      <c r="N91" s="19" cm="1">
        <f t="array" aca="1" ref="N91" ca="1">_FV(RTData[[#This Row],[Company Name]],"52 week low",TRUE)</f>
        <v>44.27</v>
      </c>
      <c r="O91" s="19" cm="1">
        <f t="array" aca="1" ref="O91" ca="1">_FV(RTData[[#This Row],[Company Name]],"52 week high",TRUE)</f>
        <v>99.26</v>
      </c>
      <c r="P91" s="23" cm="1">
        <f t="array" aca="1" ref="P91" ca="1">_FV(RTData[[#This Row],[Company Name]],"Volume")</f>
        <v>4186464</v>
      </c>
      <c r="Q91" s="23" cm="1">
        <f t="array" aca="1" ref="Q91" ca="1">_FV(RTData[[#This Row],[Company Name]],"Volume average",TRUE)</f>
        <v>7380247</v>
      </c>
      <c r="R91" s="19" cm="1">
        <f t="array" aca="1" ref="R91" ca="1">_FV(RTData[[#This Row],[Company Name]],"Beta")</f>
        <v>2.7443</v>
      </c>
      <c r="T91" t="s">
        <v>26</v>
      </c>
      <c r="U91" t="str" cm="1">
        <f t="array" aca="1" ref="U91" ca="1">_FV(RTData[[#This Row],[Company Name]],"Exchange abbreviation",TRUE)</f>
        <v>XNYS</v>
      </c>
      <c r="V91" s="24">
        <f ca="1">IFERROR(RTData[[#This Row],[Volume]]/RTData[[#This Row],[Volume average]],1)</f>
        <v>0.56725255943330899</v>
      </c>
      <c r="W91" s="24"/>
      <c r="X91" s="103">
        <v>85.42</v>
      </c>
      <c r="Y91" s="149">
        <f>[1]Sheet2!$F90</f>
        <v>0</v>
      </c>
      <c r="Z91" s="149" t="str">
        <f>[1]Sheet2!$G90</f>
        <v>Nov 6, 2025</v>
      </c>
      <c r="AA91" s="150">
        <f>[1]Sheet2!$H90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0.85200647524921191</v>
      </c>
      <c r="C92" s="43" t="e" vm="71">
        <v>#VALUE!</v>
      </c>
      <c r="D92" s="17" t="str" cm="1">
        <f t="array" aca="1" ref="D92" ca="1">_FV(RTData[[#This Row],[Company Name]],"Currency")</f>
        <v>USD</v>
      </c>
      <c r="E92" s="18" cm="1">
        <f t="array" aca="1" ref="E92" ca="1">_FV(RTData[[#This Row],[Company Name]],"Last trade time",TRUE)</f>
        <v>45911.836262522658</v>
      </c>
      <c r="F92" s="19" cm="1">
        <f t="array" aca="1" ref="F92" ca="1">_FV(RTData[[#This Row],[Company Name]],"Previous close",TRUE)</f>
        <v>191.78</v>
      </c>
      <c r="G92" s="19" cm="1">
        <f t="array" aca="1" ref="G92" ca="1">_FV(RTData[[#This Row],[Company Name]],"Open")</f>
        <v>192</v>
      </c>
      <c r="H92" s="19" cm="1">
        <f t="array" aca="1" ref="H92" ca="1">_FV(RTData[[#This Row],[Company Name]],"Price")</f>
        <v>193.32</v>
      </c>
      <c r="I92" s="19" cm="1">
        <f t="array" aca="1" ref="I92" ca="1">_FV(RTData[[#This Row],[Company Name]],"Low")</f>
        <v>191.39</v>
      </c>
      <c r="J92" s="19" cm="1">
        <f t="array" aca="1" ref="J92" ca="1">_FV(RTData[[#This Row],[Company Name]],"High")</f>
        <v>194.74250000000001</v>
      </c>
      <c r="K92" s="20" cm="1">
        <f t="array" aca="1" ref="K92" ca="1">IFERROR(_FV(RTData[[#This Row],[Company Name]],"P/E",TRUE),99)</f>
        <v>12.782</v>
      </c>
      <c r="L92" s="21" cm="1">
        <f t="array" aca="1" ref="L92" ca="1">_FV(RTData[[#This Row],[Company Name]],"Change")</f>
        <v>1.54</v>
      </c>
      <c r="M92" s="22" cm="1">
        <f t="array" aca="1" ref="M92" ca="1">_FV(RTData[[#This Row],[Company Name]],"Change (%)",TRUE)</f>
        <v>8.0300000000000007E-3</v>
      </c>
      <c r="N92" s="19" cm="1">
        <f t="array" aca="1" ref="N92" ca="1">_FV(RTData[[#This Row],[Company Name]],"52 week low",TRUE)</f>
        <v>109.82389999999999</v>
      </c>
      <c r="O92" s="19" cm="1">
        <f t="array" aca="1" ref="O92" ca="1">_FV(RTData[[#This Row],[Company Name]],"52 week high",TRUE)</f>
        <v>199.99</v>
      </c>
      <c r="P92" s="23" cm="1">
        <f t="array" aca="1" ref="P92" ca="1">_FV(RTData[[#This Row],[Company Name]],"Volume")</f>
        <v>1166556</v>
      </c>
      <c r="Q92" s="23" cm="1">
        <f t="array" aca="1" ref="Q92" ca="1">_FV(RTData[[#This Row],[Company Name]],"Volume average",TRUE)</f>
        <v>1012095</v>
      </c>
      <c r="R92" s="19" cm="1">
        <f t="array" aca="1" ref="R92" ca="1">_FV(RTData[[#This Row],[Company Name]],"Beta")</f>
        <v>1.5188999999999999</v>
      </c>
      <c r="T92" t="s">
        <v>26</v>
      </c>
      <c r="U92" t="str" cm="1">
        <f t="array" aca="1" ref="U92" ca="1">_FV(RTData[[#This Row],[Company Name]],"Exchange abbreviation",TRUE)</f>
        <v>XNYS</v>
      </c>
      <c r="V92" s="24">
        <f ca="1">IFERROR(RTData[[#This Row],[Volume]]/RTData[[#This Row],[Volume average]],1)</f>
        <v>1.1526151201221229</v>
      </c>
      <c r="W92" s="24"/>
      <c r="X92" s="103">
        <f>[1]Sheet2!$E91</f>
        <v>197.52379999999999</v>
      </c>
      <c r="Y92" s="149">
        <f>[1]Sheet2!$F91</f>
        <v>36598</v>
      </c>
      <c r="Z92" s="149" t="str">
        <f>[1]Sheet2!$G91</f>
        <v>Jul 22, 2025</v>
      </c>
      <c r="AA92" s="150">
        <f>[1]Sheet2!$H91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0.85200647524921191</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[1]Sheet2!$E92</f>
        <v>0</v>
      </c>
      <c r="Y93" s="149">
        <f>[1]Sheet2!$F92</f>
        <v>0</v>
      </c>
      <c r="Z93" s="149">
        <f>[1]Sheet2!$G92</f>
        <v>0</v>
      </c>
      <c r="AA93" s="150">
        <f>[1]Sheet2!$H92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45911.770833333336</v>
      </c>
      <c r="F94" s="138" cm="1">
        <f t="array" aca="1" ref="F94" ca="1">_FV(RTData[[#This Row],[Company Name]],"Previous close",TRUE)</f>
        <v>15.33</v>
      </c>
      <c r="G94" s="138" cm="1">
        <f t="array" aca="1" ref="G94" ca="1">_FV(RTData[[#This Row],[Company Name]],"Open")</f>
        <v>15.34</v>
      </c>
      <c r="H94" s="138" cm="1">
        <f t="array" aca="1" ref="H94" ca="1">_FV(RTData[[#This Row],[Company Name]],"Price")</f>
        <v>15.295</v>
      </c>
      <c r="I94" s="138" cm="1">
        <f t="array" aca="1" ref="I94" ca="1">_FV(RTData[[#This Row],[Company Name]],"Low")</f>
        <v>15.21</v>
      </c>
      <c r="J94" s="138" cm="1">
        <f t="array" aca="1" ref="J94" ca="1">_FV(RTData[[#This Row],[Company Name]],"High")</f>
        <v>15.435</v>
      </c>
      <c r="K94" s="62" cm="1">
        <f t="array" aca="1" ref="K94" ca="1">IFERROR(_FV(RTData[[#This Row],[Company Name]],"P/E",TRUE),99)</f>
        <v>12.666700000000001</v>
      </c>
      <c r="L94" s="63" cm="1">
        <f t="array" aca="1" ref="L94" ca="1">_FV(RTData[[#This Row],[Company Name]],"Change")</f>
        <v>-3.5000000000000003E-2</v>
      </c>
      <c r="M94" s="64" cm="1">
        <f t="array" aca="1" ref="M94" ca="1">_FV(RTData[[#This Row],[Company Name]],"Change (%)",TRUE)</f>
        <v>-2.2829999999999999E-3</v>
      </c>
      <c r="N94" s="138" cm="1">
        <f t="array" aca="1" ref="N94" ca="1">_FV(RTData[[#This Row],[Company Name]],"52 week low",TRUE)</f>
        <v>10.435</v>
      </c>
      <c r="O94" s="138" cm="1">
        <f t="array" aca="1" ref="O94" ca="1">_FV(RTData[[#This Row],[Company Name]],"52 week high",TRUE)</f>
        <v>16.55</v>
      </c>
      <c r="P94" s="65" cm="1">
        <f t="array" aca="1" ref="P94" ca="1">_FV(RTData[[#This Row],[Company Name]],"Volume")</f>
        <v>2448197</v>
      </c>
      <c r="Q94" s="65" cm="1">
        <f t="array" aca="1" ref="Q94" ca="1">_FV(RTData[[#This Row],[Company Name]],"Volume average",TRUE)</f>
        <v>4102740</v>
      </c>
      <c r="R94" s="60" cm="1">
        <f t="array" aca="1" ref="R94" ca="1">_FV(RTData[[#This Row],[Company Name]],"Beta")</f>
        <v>0.71150000000000002</v>
      </c>
      <c r="S94" s="66" t="s">
        <v>21</v>
      </c>
      <c r="T94" s="66" t="s">
        <v>22</v>
      </c>
      <c r="U94" s="66" t="str" cm="1">
        <f t="array" aca="1" ref="U94" ca="1">_FV(RTData[[#This Row],[Company Name]],"Exchange abbreviation",TRUE)</f>
        <v>XETR</v>
      </c>
      <c r="V94" s="142">
        <f ca="1">IFERROR(RTData[[#This Row],[Volume]]/RTData[[#This Row],[Volume average]],1)</f>
        <v>0.59672243427563043</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45911.651458599219</v>
      </c>
      <c r="F95" s="29" cm="1">
        <f t="array" aca="1" ref="F95" ca="1">_FV(RTData[[#This Row],[Company Name]],"Previous close",TRUE)</f>
        <v>10.29</v>
      </c>
      <c r="G95" s="29" cm="1">
        <f t="array" aca="1" ref="G95" ca="1">_FV(RTData[[#This Row],[Company Name]],"Open")</f>
        <v>10.266</v>
      </c>
      <c r="H95" s="29" cm="1">
        <f t="array" aca="1" ref="H95" ca="1">_FV(RTData[[#This Row],[Company Name]],"Price")</f>
        <v>10.398</v>
      </c>
      <c r="I95" s="29" cm="1">
        <f t="array" aca="1" ref="I95" ca="1">_FV(RTData[[#This Row],[Company Name]],"Low")</f>
        <v>10.26</v>
      </c>
      <c r="J95" s="29" cm="1">
        <f t="array" aca="1" ref="J95" ca="1">_FV(RTData[[#This Row],[Company Name]],"High")</f>
        <v>10.398</v>
      </c>
      <c r="K95" s="20" cm="1">
        <f t="array" ref="K95">IFERROR(_FV(RTData[[#This Row],[Company Name]],"P/E",TRUE),99)</f>
        <v>99</v>
      </c>
      <c r="L95" s="21" cm="1">
        <f t="array" aca="1" ref="L95" ca="1">_FV(RTData[[#This Row],[Company Name]],"Change")</f>
        <v>0.108</v>
      </c>
      <c r="M95" s="22" cm="1">
        <f t="array" aca="1" ref="M95" ca="1">_FV(RTData[[#This Row],[Company Name]],"Change (%)",TRUE)</f>
        <v>1.0496E-2</v>
      </c>
      <c r="N95" s="29" cm="1">
        <f t="array" aca="1" ref="N95" ca="1">_FV(RTData[[#This Row],[Company Name]],"52 week low",TRUE)</f>
        <v>7.351</v>
      </c>
      <c r="O95" s="29" cm="1">
        <f t="array" aca="1" ref="O95" ca="1">_FV(RTData[[#This Row],[Company Name]],"52 week high",TRUE)</f>
        <v>10.398</v>
      </c>
      <c r="P95" s="23" cm="1">
        <f t="array" aca="1" ref="P95" ca="1">_FV(RTData[[#This Row],[Company Name]],"Volume")</f>
        <v>33165</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[1]Sheet2!$E94</f>
        <v>0</v>
      </c>
      <c r="Y95" s="149">
        <f>[1]Sheet2!$F94</f>
        <v>0</v>
      </c>
      <c r="Z95" s="149">
        <f>[1]Sheet2!$G94</f>
        <v>0</v>
      </c>
      <c r="AA95" s="150">
        <f>[1]Sheet2!$H94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0.32986021505376351</v>
      </c>
      <c r="M96" s="48">
        <f ca="1">SUBTOTAL(104,RTData[Change%])</f>
        <v>0.106195</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1.1737</v>
      </c>
      <c r="C98" s="53" cm="1">
        <f t="array" aca="1" ref="C98" ca="1">_FV(A98,"52 week high",TRUE)</f>
        <v>1.1829000000000001</v>
      </c>
      <c r="D98" s="19">
        <f ca="1">1/RTExR[[#This Row],[RT]]</f>
        <v>0.85200647524921191</v>
      </c>
      <c r="P98" s="54"/>
      <c r="R98"/>
      <c r="W98" s="84"/>
      <c r="X98" s="51"/>
    </row>
    <row r="99" spans="1:26" x14ac:dyDescent="0.3">
      <c r="A99" t="e" vm="77">
        <v>#VALUE!</v>
      </c>
      <c r="B99" s="52" cm="1">
        <f t="array" aca="1" ref="B99" ca="1">_FV(A99,"Price")</f>
        <v>0.93379999999999996</v>
      </c>
      <c r="C99" s="56" cm="1">
        <f t="array" aca="1" ref="C99" ca="1">_FV(A99,"52 week high",TRUE)</f>
        <v>0.96609999999999996</v>
      </c>
      <c r="D99" s="19">
        <f ca="1">1/RTExR[[#This Row],[RT]]</f>
        <v>1.0708931248661384</v>
      </c>
      <c r="P99" s="54"/>
      <c r="R99"/>
    </row>
    <row r="100" spans="1:26" x14ac:dyDescent="0.3">
      <c r="A100" t="e" vm="78">
        <v>#VALUE!</v>
      </c>
      <c r="B100" s="52" cm="1">
        <f t="array" aca="1" ref="B100" ca="1">_FV(A100,"Price")</f>
        <v>0.86419999999999997</v>
      </c>
      <c r="C100" s="57" cm="1">
        <f t="array" aca="1" ref="C100" ca="1">_FV(A100,"52 week high",TRUE)</f>
        <v>0.87629999999999997</v>
      </c>
      <c r="D100" s="19">
        <f ca="1">1/RTExR[[#This Row],[RT]]</f>
        <v>1.1571395510298543</v>
      </c>
      <c r="P100" s="54"/>
      <c r="R100"/>
    </row>
    <row r="101" spans="1:26" x14ac:dyDescent="0.3">
      <c r="A101" t="e" vm="79">
        <v>#VALUE!</v>
      </c>
      <c r="B101" s="52" cm="1">
        <f t="array" aca="1" ref="B101" ca="1">_FV(A101,"Price")</f>
        <v>1.7613000000000001</v>
      </c>
      <c r="C101" s="53" cm="1">
        <f t="array" aca="1" ref="C101" ca="1">_FV(A101,"52 week high",TRUE)</f>
        <v>1.8554999999999999</v>
      </c>
      <c r="D101" s="19">
        <f ca="1">1/RTExR[[#This Row],[RT]]</f>
        <v>0.56776244819167654</v>
      </c>
      <c r="P101" s="54"/>
      <c r="R101"/>
    </row>
    <row r="102" spans="1:26" x14ac:dyDescent="0.3">
      <c r="A102" t="e" vm="80">
        <v>#VALUE!</v>
      </c>
      <c r="B102" s="52" cm="1">
        <f t="array" aca="1" ref="B102" ca="1">_FV(A102,"Price")</f>
        <v>1.6234999999999999</v>
      </c>
      <c r="C102" s="53" cm="1">
        <f t="array" aca="1" ref="C102" ca="1">_FV(A102,"52 week high",TRUE)</f>
        <v>1.627</v>
      </c>
      <c r="D102" s="19">
        <f ca="1">1/RTExR[[#This Row],[RT]]</f>
        <v>0.61595318755774564</v>
      </c>
      <c r="P102" s="54"/>
      <c r="R102"/>
    </row>
    <row r="103" spans="1:26" x14ac:dyDescent="0.3">
      <c r="A103" t="e" vm="81">
        <v>#VALUE!</v>
      </c>
      <c r="B103" s="52" cm="1">
        <f t="array" aca="1" ref="B103" ca="1">_FV(A103,"Price")</f>
        <v>147.16999999999999</v>
      </c>
      <c r="C103" s="58" cm="1">
        <f t="array" aca="1" ref="C103" ca="1">_FV(A103,"52 week high",TRUE)</f>
        <v>158.87</v>
      </c>
      <c r="D103" s="19">
        <f ca="1">1/RTExR[[#This Row],[RT]]</f>
        <v>6.7948630835088682E-3</v>
      </c>
      <c r="P103" s="54"/>
      <c r="R103"/>
    </row>
    <row r="104" spans="1:26" x14ac:dyDescent="0.3">
      <c r="A104" t="e" vm="82">
        <v>#VALUE!</v>
      </c>
      <c r="B104" s="52" cm="1">
        <f t="array" aca="1" ref="B104" ca="1">_FV(A104,"Price")</f>
        <v>0.79559999999999997</v>
      </c>
      <c r="C104" s="56" cm="1">
        <f t="array" aca="1" ref="C104" ca="1">_FV(A104,"52 week high",TRUE)</f>
        <v>0.92</v>
      </c>
      <c r="D104" s="19">
        <f ca="1">1/RTExR[[#This Row],[RT]]</f>
        <v>1.2569130216189039</v>
      </c>
    </row>
    <row r="105" spans="1:26" x14ac:dyDescent="0.3">
      <c r="A105" t="e" vm="83">
        <v>#VALUE!</v>
      </c>
      <c r="B105" s="52" cm="1">
        <f t="array" aca="1" ref="B105" ca="1">_FV(A105,"Price")</f>
        <v>0.73629999999999995</v>
      </c>
      <c r="C105" s="57" cm="1">
        <f t="array" aca="1" ref="C105" ca="1">_FV(A105,"52 week high",TRUE)</f>
        <v>0.82650000000000001</v>
      </c>
      <c r="D105" s="19">
        <f ca="1">1/RTExR[[#This Row],[RT]]</f>
        <v>1.3581420616596498</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45577.09</v>
      </c>
      <c r="F107" s="19" cm="1">
        <f t="array" aca="1" ref="F107" ca="1">_FV(C108,"Price")</f>
        <v>46108</v>
      </c>
      <c r="X107" s="19"/>
      <c r="Y107" s="19"/>
      <c r="Z107" s="19"/>
    </row>
    <row r="108" spans="1:26" x14ac:dyDescent="0.3">
      <c r="C108" t="e" vm="84">
        <v>#VALUE!</v>
      </c>
      <c r="D108" s="19" cm="1">
        <f t="array" aca="1" ref="D108" ca="1">_FV(C108,"Previous close",TRUE)</f>
        <v>45490.92</v>
      </c>
      <c r="E108" s="19" cm="1">
        <f t="array" aca="1" ref="E108" ca="1">_FV(C109,"Open")</f>
        <v>55.28</v>
      </c>
      <c r="F108" s="19" cm="1">
        <f t="array" aca="1" ref="F108" ca="1">_FV(C109,"Price")</f>
        <v>55.56</v>
      </c>
    </row>
    <row r="109" spans="1:26" x14ac:dyDescent="0.3">
      <c r="C109" s="49" t="e" vm="85">
        <v>#VALUE!</v>
      </c>
      <c r="D109" s="19" cm="1">
        <f t="array" aca="1" ref="D109" ca="1">_FV(C109,"Previous close",TRUE)</f>
        <v>55.3</v>
      </c>
    </row>
    <row r="110" spans="1:26" x14ac:dyDescent="0.3">
      <c r="C110" s="49" t="s">
        <v>85</v>
      </c>
      <c r="D110" t="e" cm="1" vm="86">
        <f t="array" ref="D110">_FV(C110,"Instrument type",TRUE)</f>
        <v>#VALUE!</v>
      </c>
      <c r="E110" s="19" cm="1">
        <f t="array" aca="1" ref="E110" ca="1">_FV(C111,"Open")</f>
        <v>44.22</v>
      </c>
      <c r="F110" s="19" cm="1">
        <f t="array" aca="1" ref="F110" ca="1">_FV(C111,"Price")</f>
        <v>44.39</v>
      </c>
    </row>
    <row r="111" spans="1:26" x14ac:dyDescent="0.3">
      <c r="C111" s="49" t="e" vm="87">
        <v>#VALUE!</v>
      </c>
      <c r="D111" s="19" cm="1">
        <f t="array" aca="1" ref="D111" ca="1">_FV(C111,"Previous close",TRUE)</f>
        <v>43.96</v>
      </c>
    </row>
    <row r="112" spans="1:26" x14ac:dyDescent="0.3">
      <c r="A112" s="49"/>
      <c r="C112" s="49" t="s">
        <v>86</v>
      </c>
    </row>
    <row r="113" spans="4:4" x14ac:dyDescent="0.3">
      <c r="D113" s="49"/>
    </row>
  </sheetData>
  <phoneticPr fontId="19" type="noConversion"/>
  <conditionalFormatting sqref="AA3:AA95">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45911.920918055555</v>
      </c>
      <c r="D4" s="51"/>
      <c r="F4" s="106"/>
    </row>
    <row r="5" spans="1:8" x14ac:dyDescent="0.3">
      <c r="A5" t="s">
        <v>40</v>
      </c>
      <c r="B5" s="107">
        <f ca="1">TODAY()</f>
        <v>45911</v>
      </c>
      <c r="F5" s="108" t="s">
        <v>41</v>
      </c>
      <c r="G5" s="108" t="str">
        <f ca="1">IF((NOW()-TODAY()-TIME(9,0,0))-CETZoneShift&lt;0,"Yesterday",NOW()-TODAY()-TIME(9,0,0)-CETZoneShift)&amp;" CET"</f>
        <v>0.504251388888709 CET</v>
      </c>
    </row>
    <row r="6" spans="1:8" ht="23" thickBot="1" x14ac:dyDescent="0.35">
      <c r="A6" t="s">
        <v>42</v>
      </c>
      <c r="B6" s="109">
        <f ca="1">NOW()-TODAY()</f>
        <v>0.92091805555537576</v>
      </c>
      <c r="C6" t="s">
        <v>43</v>
      </c>
      <c r="E6" t="s">
        <v>44</v>
      </c>
      <c r="F6" s="110">
        <f ca="1">NOW()</f>
        <v>45911.920918055555</v>
      </c>
      <c r="G6" s="110">
        <f ca="1">NOW()-TODAY()-CETZoneShift+1</f>
        <v>1.8792513888887092</v>
      </c>
    </row>
    <row r="7" spans="1:8" x14ac:dyDescent="0.3">
      <c r="A7" t="s">
        <v>45</v>
      </c>
      <c r="B7" s="109">
        <f ca="1">IF(NOW()-TODAY()-CETZoneShift&lt;0,NOW()-TODAY()-CETZoneShift+1,NOW()-TODAY()-CETZoneShift)</f>
        <v>0.87925138888870913</v>
      </c>
      <c r="C7" t="s">
        <v>46</v>
      </c>
      <c r="D7" s="111">
        <f ca="1">ExtEntry!E20</f>
        <v>45911.770833333336</v>
      </c>
      <c r="E7"/>
      <c r="F7" s="106"/>
    </row>
    <row r="8" spans="1:8" x14ac:dyDescent="0.3">
      <c r="A8" t="s">
        <v>47</v>
      </c>
      <c r="B8" s="109">
        <f ca="1">IF(CET-TIME(1,0,0)&lt;0,CET-TIME(1,0,0)+TIME(23,0,0),CET-TIME(1,0,0))</f>
        <v>0.8375847222220425</v>
      </c>
      <c r="C8" t="s">
        <v>48</v>
      </c>
      <c r="D8" s="111">
        <f ca="1">NOW()-LastTradeTimeEOAN-CETZoneShift</f>
        <v>0.10841805555295045</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45911.375</v>
      </c>
      <c r="E11" s="117"/>
      <c r="F11" s="108"/>
      <c r="G11" s="117"/>
      <c r="H11" s="115"/>
    </row>
    <row r="12" spans="1:8" x14ac:dyDescent="0.3">
      <c r="A12" s="118" t="s">
        <v>52</v>
      </c>
      <c r="B12" s="109"/>
      <c r="C12" t="s">
        <v>53</v>
      </c>
      <c r="D12" s="119">
        <f ca="1">B4-D11</f>
        <v>0.54591805555537576</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0.87925138888870913</v>
      </c>
    </row>
    <row r="17" spans="1:8" x14ac:dyDescent="0.3">
      <c r="A17" s="114" t="s">
        <v>56</v>
      </c>
      <c r="B17" s="115"/>
      <c r="C17" s="115" t="s">
        <v>57</v>
      </c>
      <c r="D17" s="116">
        <f ca="1">TODAY()+TIME(9,0,0)</f>
        <v>45911.375</v>
      </c>
      <c r="E17" s="117"/>
      <c r="F17" s="108"/>
      <c r="G17" s="117"/>
      <c r="H17" s="115"/>
    </row>
    <row r="18" spans="1:8" x14ac:dyDescent="0.3">
      <c r="A18" s="118" t="s">
        <v>58</v>
      </c>
      <c r="C18" t="s">
        <v>53</v>
      </c>
      <c r="D18" s="119">
        <f ca="1">D12</f>
        <v>0.54591805555537576</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4.2513888911344111E-3</v>
      </c>
      <c r="F20" s="108" t="s">
        <v>60</v>
      </c>
      <c r="H20" s="128">
        <f ca="1">ABS(NOW()-F22)</f>
        <v>45911.27508472222</v>
      </c>
    </row>
    <row r="21" spans="1:8" ht="23" thickBot="1" x14ac:dyDescent="0.35">
      <c r="A21" s="129" t="s">
        <v>74</v>
      </c>
      <c r="B21" s="136">
        <f ca="1">F23-OpenTrade</f>
        <v>0.2750847222220425</v>
      </c>
      <c r="C21" s="129"/>
      <c r="D21" s="137">
        <f ca="1">F23-OpenTrade</f>
        <v>0.2750847222220425</v>
      </c>
      <c r="E21" s="130" t="s">
        <v>61</v>
      </c>
      <c r="F21" s="131">
        <f ca="1">IF(ActTime-CETZoneShift&lt;0,ActTime-TIME(6,0,0)-CETZoneShift+1,ActTime-TIME(6,0,0)-CETZoneShift)</f>
        <v>0.62925138888870913</v>
      </c>
      <c r="G21" s="130" t="s">
        <v>62</v>
      </c>
      <c r="H21" s="125" t="str">
        <f ca="1">TEXT(H20,"HH:MM")</f>
        <v>06:36</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45911.916666666664</v>
      </c>
      <c r="H22" s="115"/>
    </row>
    <row r="23" spans="1:8" x14ac:dyDescent="0.3">
      <c r="A23" s="118" t="s">
        <v>66</v>
      </c>
      <c r="C23" t="s">
        <v>67</v>
      </c>
      <c r="D23" t="s">
        <v>68</v>
      </c>
      <c r="E23" s="133">
        <f ca="1">ActTime</f>
        <v>0.92091805555537576</v>
      </c>
      <c r="F23" s="133">
        <f ca="1">ActTime</f>
        <v>0.92091805555537576</v>
      </c>
      <c r="G23" s="133">
        <f ca="1">ActTime</f>
        <v>0.92091805555537576</v>
      </c>
    </row>
    <row r="24" spans="1:8" ht="23" thickBot="1" x14ac:dyDescent="0.35">
      <c r="A24" s="118"/>
      <c r="B24" s="112" t="s">
        <v>69</v>
      </c>
      <c r="C24" s="122" t="s">
        <v>70</v>
      </c>
      <c r="D24" t="s">
        <v>71</v>
      </c>
      <c r="E24" s="119">
        <f>TIME(15,30,0)</f>
        <v>0.64583333333333337</v>
      </c>
      <c r="F24" s="119">
        <f>TIME(22,0,0)</f>
        <v>0.91666666666666663</v>
      </c>
      <c r="G24" s="119">
        <f ca="1">TODAY()+1+OpenPost+TIME(4,0,0)</f>
        <v>91824.083333333328</v>
      </c>
    </row>
    <row r="25" spans="1:8" ht="23" thickBot="1" x14ac:dyDescent="0.35">
      <c r="A25" s="121" t="s">
        <v>72</v>
      </c>
      <c r="B25" s="122"/>
      <c r="C25" s="122"/>
      <c r="D25" s="122" t="s">
        <v>73</v>
      </c>
      <c r="E25" s="134">
        <f>E24-OpenPre</f>
        <v>0.22916666666666669</v>
      </c>
      <c r="F25" s="134">
        <f>F24-OpenTrade</f>
        <v>0.27083333333333337</v>
      </c>
      <c r="G25" s="134">
        <f ca="1">G24-OpenPost</f>
        <v>45912.166666666664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ExtEntry</vt:lpstr>
      <vt:lpstr>Timing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2025-09-11T20:06:25Z</dcterms:modified>
  <cp:category/>
</cp:coreProperties>
</file>