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74A1BA73-8133-814F-988D-CA4B9AEDF8BE}" xr6:coauthVersionLast="47" xr6:coauthVersionMax="47" xr10:uidLastSave="{00000000-0000-0000-0000-000000000000}"/>
  <bookViews>
    <workbookView xWindow="400" yWindow="1160" windowWidth="29840" windowHeight="184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E42" i="1" l="1"/>
  <c r="AF29" i="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1"/>
        </ext>
      </extLst>
    </bk>
    <bk>
      <extLst>
        <ext uri="{3e2802c4-a4d2-4d8b-9148-e3be6c30e623}">
          <xlrd:rvb i="243"/>
        </ext>
      </extLst>
    </bk>
    <bk>
      <extLst>
        <ext uri="{3e2802c4-a4d2-4d8b-9148-e3be6c30e623}">
          <xlrd:rvb i="245"/>
        </ext>
      </extLst>
    </bk>
    <bk>
      <extLst>
        <ext uri="{3e2802c4-a4d2-4d8b-9148-e3be6c30e623}">
          <xlrd:rvb i="247"/>
        </ext>
      </extLst>
    </bk>
    <bk>
      <extLst>
        <ext uri="{3e2802c4-a4d2-4d8b-9148-e3be6c30e623}">
          <xlrd:rvb i="249"/>
        </ext>
      </extLst>
    </bk>
    <bk>
      <extLst>
        <ext uri="{3e2802c4-a4d2-4d8b-9148-e3be6c30e623}">
          <xlrd:rvb i="251"/>
        </ext>
      </extLst>
    </bk>
    <bk>
      <extLst>
        <ext uri="{3e2802c4-a4d2-4d8b-9148-e3be6c30e623}">
          <xlrd:rvb i="253"/>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2"/>
        </ext>
      </extLst>
    </bk>
    <bk>
      <extLst>
        <ext uri="{3e2802c4-a4d2-4d8b-9148-e3be6c30e623}">
          <xlrd:rvb i="265"/>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futureMetadata>
  <cellMetadata count="1">
    <bk>
      <rc t="1" v="0"/>
    </bk>
  </cellMetadata>
  <valueMetadata count="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<sst xmlns="http://schemas.openxmlformats.org/spreadsheetml/2006/main" count="183" uniqueCount="75">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</sst>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B2" t="str">
            <v>AAPL</v>
          </cell>
          <cell r="E2">
            <v>248.17128</v>
          </cell>
          <cell r="F2">
            <v>45880</v>
          </cell>
          <cell r="G2" t="str">
            <v>Oct 30, 2025</v>
          </cell>
          <cell r="H2">
            <v>4.1999999999999997E-3</v>
          </cell>
        </row>
        <row r="3">
          <cell r="B3" t="str">
            <v>ADEA</v>
          </cell>
          <cell r="E3">
            <v>20.66667</v>
          </cell>
          <cell r="F3">
            <v>45895</v>
          </cell>
          <cell r="G3">
            <v>0</v>
          </cell>
          <cell r="H3">
            <v>1.2699999999999999E-2</v>
          </cell>
        </row>
        <row r="4">
          <cell r="B4" t="str">
            <v>AET</v>
          </cell>
          <cell r="E4">
            <v>96.66</v>
          </cell>
          <cell r="F4">
            <v>0</v>
          </cell>
          <cell r="G4">
            <v>0</v>
          </cell>
          <cell r="H4">
            <v>0</v>
          </cell>
        </row>
        <row r="5">
          <cell r="B5" t="str">
            <v>AMZN</v>
          </cell>
          <cell r="E5">
            <v>266.56450000000001</v>
          </cell>
          <cell r="F5">
            <v>0</v>
          </cell>
          <cell r="G5" t="str">
            <v>Oct 30, 2025</v>
          </cell>
          <cell r="H5">
            <v>0</v>
          </cell>
        </row>
        <row r="6">
          <cell r="B6" t="str">
            <v>ALDNE</v>
          </cell>
          <cell r="E6">
            <v>1.5333300000000001</v>
          </cell>
          <cell r="F6">
            <v>0</v>
          </cell>
          <cell r="G6" t="str">
            <v>--</v>
          </cell>
          <cell r="H6">
            <v>0</v>
          </cell>
        </row>
        <row r="7">
          <cell r="B7" t="str">
            <v>ASML</v>
          </cell>
          <cell r="E7">
            <v>873.90326000000005</v>
          </cell>
          <cell r="F7">
            <v>45866</v>
          </cell>
          <cell r="G7">
            <v>0</v>
          </cell>
          <cell r="H7">
            <v>8.0000000000000002E-3</v>
          </cell>
        </row>
        <row r="8">
          <cell r="B8" t="str">
            <v>AZN</v>
          </cell>
          <cell r="E8">
            <v>89.77</v>
          </cell>
          <cell r="F8">
            <v>45877</v>
          </cell>
          <cell r="G8" t="str">
            <v>Nov 6, 2025</v>
          </cell>
          <cell r="H8">
            <v>1.8499999999999999E-2</v>
          </cell>
        </row>
        <row r="9">
          <cell r="B9" t="str">
            <v>BLDP</v>
          </cell>
          <cell r="E9">
            <v>2.4325000000000001</v>
          </cell>
          <cell r="F9">
            <v>0</v>
          </cell>
          <cell r="G9" t="str">
            <v>Nov 4, 2025</v>
          </cell>
          <cell r="H9">
            <v>0</v>
          </cell>
        </row>
        <row r="10">
          <cell r="B10" t="str">
            <v>BMRA</v>
          </cell>
          <cell r="E10">
            <v>0</v>
          </cell>
          <cell r="F10">
            <v>0</v>
          </cell>
          <cell r="G10">
            <v>0</v>
          </cell>
          <cell r="H10">
            <v>0</v>
          </cell>
        </row>
        <row r="11">
          <cell r="B11" t="str">
            <v>C</v>
          </cell>
          <cell r="E11">
            <v>110.64286</v>
          </cell>
          <cell r="F11">
            <v>45873</v>
          </cell>
          <cell r="G11" t="str">
            <v>Oct 14, 2025</v>
          </cell>
          <cell r="H11">
            <v>2.5600000000000001E-2</v>
          </cell>
        </row>
        <row r="12">
          <cell r="B12" t="str">
            <v>CSCO</v>
          </cell>
          <cell r="E12">
            <v>76.290949999999995</v>
          </cell>
          <cell r="F12">
            <v>45933</v>
          </cell>
          <cell r="G12" t="str">
            <v>Nov 12, 2025</v>
          </cell>
          <cell r="H12">
            <v>2.41E-2</v>
          </cell>
        </row>
        <row r="13">
          <cell r="B13" t="str">
            <v>CVS</v>
          </cell>
          <cell r="E13">
            <v>83.791669999999996</v>
          </cell>
          <cell r="F13">
            <v>45953</v>
          </cell>
          <cell r="G13" t="str">
            <v>Oct 29, 2025</v>
          </cell>
          <cell r="H13">
            <v>3.4099999999999998E-2</v>
          </cell>
        </row>
        <row r="14">
          <cell r="B14" t="str">
            <v>DDD</v>
          </cell>
          <cell r="E14">
            <v>3.25</v>
          </cell>
          <cell r="F14">
            <v>0</v>
          </cell>
          <cell r="G14" t="str">
            <v>Nov 10, 2025</v>
          </cell>
          <cell r="H14">
            <v>0</v>
          </cell>
        </row>
        <row r="15">
          <cell r="B15" t="str">
            <v>DIS</v>
          </cell>
          <cell r="E15">
            <v>133.96896000000001</v>
          </cell>
          <cell r="F15">
            <v>45832</v>
          </cell>
          <cell r="G15">
            <v>0</v>
          </cell>
          <cell r="H15">
            <v>9.1999999999999998E-3</v>
          </cell>
        </row>
        <row r="16">
          <cell r="B16" t="str">
            <v>DSY</v>
          </cell>
          <cell r="E16">
            <v>35.352780000000003</v>
          </cell>
          <cell r="F16">
            <v>45803</v>
          </cell>
          <cell r="G16">
            <v>0</v>
          </cell>
          <cell r="H16">
            <v>9.1000000000000004E-3</v>
          </cell>
        </row>
        <row r="17">
          <cell r="B17" t="str">
            <v>DVA</v>
          </cell>
          <cell r="E17">
            <v>151.5</v>
          </cell>
          <cell r="F17">
            <v>0</v>
          </cell>
          <cell r="G17" t="str">
            <v>Oct 28, 2025</v>
          </cell>
          <cell r="H17">
            <v>0</v>
          </cell>
        </row>
        <row r="18">
          <cell r="B18" t="str">
            <v>DXC</v>
          </cell>
          <cell r="E18">
            <v>15.125</v>
          </cell>
          <cell r="F18">
            <v>43914</v>
          </cell>
          <cell r="G18" t="str">
            <v>Oct 30, 2025</v>
          </cell>
          <cell r="H18">
            <v>0</v>
          </cell>
        </row>
        <row r="19">
          <cell r="B19" t="str">
            <v>EOAN</v>
          </cell>
          <cell r="E19">
            <v>16.882349999999999</v>
          </cell>
          <cell r="F19">
            <v>45793</v>
          </cell>
          <cell r="G19">
            <v>0</v>
          </cell>
          <cell r="H19">
            <v>3.4200000000000001E-2</v>
          </cell>
        </row>
        <row r="20">
          <cell r="B20" t="str">
            <v>EPIX</v>
          </cell>
          <cell r="E20">
            <v>0</v>
          </cell>
          <cell r="F20">
            <v>45894</v>
          </cell>
          <cell r="G20" t="str">
            <v>Dec 16, 2025</v>
          </cell>
          <cell r="H20">
            <v>0</v>
          </cell>
        </row>
        <row r="21">
          <cell r="B21" t="str">
            <v>GM</v>
          </cell>
          <cell r="E21">
            <v>63.8</v>
          </cell>
          <cell r="F21">
            <v>45905</v>
          </cell>
          <cell r="G21" t="str">
            <v>Oct 21, 2025</v>
          </cell>
          <cell r="H21">
            <v>1.0800000000000001E-2</v>
          </cell>
        </row>
        <row r="22">
          <cell r="B22" t="str">
            <v>HPE</v>
          </cell>
          <cell r="E22">
            <v>26.040559999999999</v>
          </cell>
          <cell r="F22">
            <v>45918</v>
          </cell>
          <cell r="G22" t="str">
            <v>Dec 4, 2025</v>
          </cell>
          <cell r="H22">
            <v>2.1300000999999999E-2</v>
          </cell>
        </row>
        <row r="23">
          <cell r="B23" t="str">
            <v>HPQ</v>
          </cell>
          <cell r="E23">
            <v>28.16375</v>
          </cell>
          <cell r="F23">
            <v>45910</v>
          </cell>
          <cell r="G23" t="str">
            <v>Nov 25, 2025</v>
          </cell>
          <cell r="H23">
            <v>4.5300002999999998E-2</v>
          </cell>
        </row>
        <row r="24">
          <cell r="B24" t="str">
            <v>IAG</v>
          </cell>
          <cell r="E24">
            <v>438.45612</v>
          </cell>
          <cell r="F24">
            <v>45834</v>
          </cell>
          <cell r="G24">
            <v>0</v>
          </cell>
          <cell r="H24">
            <v>1.8800000000000001E-2</v>
          </cell>
        </row>
        <row r="25">
          <cell r="B25" t="str">
            <v>KR</v>
          </cell>
          <cell r="E25">
            <v>76.272729999999996</v>
          </cell>
          <cell r="F25">
            <v>45975</v>
          </cell>
          <cell r="G25" t="str">
            <v>Dec 4, 2025</v>
          </cell>
          <cell r="H25">
            <v>2.07E-2</v>
          </cell>
        </row>
        <row r="26">
          <cell r="B26" t="str">
            <v>LNSR</v>
          </cell>
          <cell r="E26">
            <v>15</v>
          </cell>
          <cell r="F26">
            <v>0</v>
          </cell>
          <cell r="G26">
            <v>0</v>
          </cell>
          <cell r="H26">
            <v>0</v>
          </cell>
        </row>
        <row r="27">
          <cell r="B27" t="str">
            <v>LUMN</v>
          </cell>
          <cell r="E27">
            <v>5.2436400000000001</v>
          </cell>
          <cell r="F27">
            <v>44802</v>
          </cell>
          <cell r="G27" t="str">
            <v>Jul 31, 2025</v>
          </cell>
          <cell r="H27">
            <v>0</v>
          </cell>
        </row>
        <row r="28">
          <cell r="B28" t="str">
            <v>MRNA</v>
          </cell>
          <cell r="E28">
            <v>44.3</v>
          </cell>
          <cell r="F28">
            <v>0</v>
          </cell>
          <cell r="G28" t="str">
            <v>Nov 6, 2025</v>
          </cell>
          <cell r="H28">
            <v>0</v>
          </cell>
        </row>
        <row r="29">
          <cell r="B29" t="str">
            <v>MSFT</v>
          </cell>
          <cell r="E29">
            <v>620.73689999999999</v>
          </cell>
          <cell r="F29">
            <v>45981</v>
          </cell>
          <cell r="G29" t="str">
            <v>Oct 29, 2025</v>
          </cell>
          <cell r="H29">
            <v>7.0999996000000003E-3</v>
          </cell>
        </row>
        <row r="30">
          <cell r="B30" t="str">
            <v>NEE</v>
          </cell>
          <cell r="E30">
            <v>84.722219999999993</v>
          </cell>
          <cell r="F30">
            <v>45897</v>
          </cell>
          <cell r="G30" t="str">
            <v>Oct 23, 2025</v>
          </cell>
          <cell r="H30">
            <v>2.7199999999999998E-2</v>
          </cell>
        </row>
        <row r="31">
          <cell r="B31" t="str">
            <v>NEM</v>
          </cell>
          <cell r="E31">
            <v>91.209500000000006</v>
          </cell>
          <cell r="F31">
            <v>45904</v>
          </cell>
          <cell r="G31" t="str">
            <v>Oct 23, 2025</v>
          </cell>
          <cell r="H31">
            <v>1.17E-2</v>
          </cell>
        </row>
        <row r="32">
          <cell r="B32" t="str">
            <v>NFLX</v>
          </cell>
          <cell r="E32">
            <v>1358.6105</v>
          </cell>
          <cell r="F32">
            <v>0</v>
          </cell>
          <cell r="G32" t="str">
            <v>Oct 21, 2025</v>
          </cell>
          <cell r="H32">
            <v>0</v>
          </cell>
        </row>
        <row r="33">
          <cell r="B33" t="str">
            <v>NOTE</v>
          </cell>
          <cell r="E33">
            <v>31.501080000000002</v>
          </cell>
          <cell r="F33">
            <v>0</v>
          </cell>
          <cell r="G33">
            <v>0</v>
          </cell>
          <cell r="H33">
            <v>0</v>
          </cell>
        </row>
        <row r="34">
          <cell r="B34" t="str">
            <v>PAAS</v>
          </cell>
          <cell r="E34">
            <v>44.5</v>
          </cell>
          <cell r="F34">
            <v>45887</v>
          </cell>
          <cell r="G34" t="str">
            <v>Nov 12, 2025</v>
          </cell>
          <cell r="H34">
            <v>1.2500000000000001E-2</v>
          </cell>
        </row>
        <row r="35">
          <cell r="B35" t="str">
            <v>PROF</v>
          </cell>
          <cell r="E35">
            <v>12.1</v>
          </cell>
          <cell r="F35">
            <v>0</v>
          </cell>
          <cell r="G35">
            <v>0</v>
          </cell>
          <cell r="H35">
            <v>0</v>
          </cell>
        </row>
        <row r="36">
          <cell r="B36" t="str">
            <v>POET</v>
          </cell>
          <cell r="E36">
            <v>6.6333299999999999</v>
          </cell>
          <cell r="F36">
            <v>0</v>
          </cell>
          <cell r="G36" t="str">
            <v>Nov 13, 2025</v>
          </cell>
          <cell r="H36">
            <v>0</v>
          </cell>
        </row>
        <row r="37">
          <cell r="B37" t="str">
            <v>PW</v>
          </cell>
          <cell r="E37">
            <v>0</v>
          </cell>
          <cell r="F37">
            <v>41284</v>
          </cell>
          <cell r="G37">
            <v>0</v>
          </cell>
          <cell r="H37">
            <v>0</v>
          </cell>
        </row>
        <row r="38">
          <cell r="B38" t="str">
            <v>RIGL</v>
          </cell>
          <cell r="E38">
            <v>38.333329999999997</v>
          </cell>
          <cell r="F38">
            <v>0</v>
          </cell>
          <cell r="G38" t="str">
            <v>Nov 6, 2025</v>
          </cell>
          <cell r="H38">
            <v>0</v>
          </cell>
        </row>
        <row r="39">
          <cell r="B39" t="str">
            <v>RWE</v>
          </cell>
          <cell r="E39">
            <v>43.982349999999997</v>
          </cell>
          <cell r="F39">
            <v>45779</v>
          </cell>
          <cell r="G39">
            <v>0</v>
          </cell>
          <cell r="H39">
            <v>2.7199999999999998E-2</v>
          </cell>
        </row>
        <row r="40">
          <cell r="B40" t="str">
            <v>SAP</v>
          </cell>
          <cell r="E40">
            <v>287.60270000000003</v>
          </cell>
          <cell r="F40">
            <v>45791</v>
          </cell>
          <cell r="G40">
            <v>0</v>
          </cell>
          <cell r="H40">
            <v>1.0199999E-2</v>
          </cell>
        </row>
        <row r="41">
          <cell r="B41" t="str">
            <v>SHECY</v>
          </cell>
          <cell r="E41">
            <v>0</v>
          </cell>
          <cell r="F41">
            <v>45747</v>
          </cell>
          <cell r="G41">
            <v>0</v>
          </cell>
          <cell r="H41">
            <v>2.3199999999999998E-2</v>
          </cell>
        </row>
        <row r="42">
          <cell r="B42" t="str">
            <v>SSYS</v>
          </cell>
          <cell r="E42">
            <v>13.33333</v>
          </cell>
          <cell r="F42">
            <v>0</v>
          </cell>
          <cell r="G42" t="str">
            <v>Nov 12, 2025</v>
          </cell>
          <cell r="H42">
            <v>0</v>
          </cell>
        </row>
        <row r="43">
          <cell r="B43" t="str">
            <v>TSLA</v>
          </cell>
          <cell r="E43">
            <v>360.62945999999999</v>
          </cell>
          <cell r="F43">
            <v>0</v>
          </cell>
          <cell r="G43" t="str">
            <v>Oct 22, 2025</v>
          </cell>
          <cell r="H43">
            <v>0</v>
          </cell>
        </row>
        <row r="44">
          <cell r="B44" t="str">
            <v>TSM</v>
          </cell>
          <cell r="E44">
            <v>307.64688000000001</v>
          </cell>
          <cell r="F44">
            <v>46002</v>
          </cell>
          <cell r="G44" t="str">
            <v>Oct 16, 2025</v>
          </cell>
          <cell r="H44">
            <v>1.1900000000000001E-2</v>
          </cell>
        </row>
        <row r="45">
          <cell r="B45" t="str">
            <v>UN0</v>
          </cell>
          <cell r="E45">
            <v>0</v>
          </cell>
          <cell r="F45">
            <v>0</v>
          </cell>
          <cell r="G45">
            <v>0</v>
          </cell>
          <cell r="H45">
            <v>0</v>
          </cell>
        </row>
        <row r="46">
          <cell r="B46" t="str">
            <v>UNIT</v>
          </cell>
          <cell r="E46">
            <v>7.4749999999999996</v>
          </cell>
        </row>
        <row r="47">
          <cell r="B47" t="str">
            <v>AVGO</v>
          </cell>
          <cell r="E47">
            <v>370.36489999999998</v>
          </cell>
        </row>
        <row r="48">
          <cell r="B48" t="str">
            <v>VLVLY</v>
          </cell>
          <cell r="E48">
            <v>36</v>
          </cell>
          <cell r="F48">
            <v>45751</v>
          </cell>
          <cell r="G48">
            <v>0</v>
          </cell>
          <cell r="H48">
            <v>2.8800000999999999E-2</v>
          </cell>
        </row>
        <row r="49">
          <cell r="B49" t="str">
            <v>VONN</v>
          </cell>
          <cell r="E49">
            <v>61.1</v>
          </cell>
          <cell r="F49">
            <v>45751</v>
          </cell>
          <cell r="G49" t="str">
            <v>Jul 24, 2025</v>
          </cell>
          <cell r="H49">
            <v>4.9299999999999997E-2</v>
          </cell>
        </row>
        <row r="50">
          <cell r="B50" t="str">
            <v>VTRS</v>
          </cell>
          <cell r="E50">
            <v>11.428570000000001</v>
          </cell>
          <cell r="F50">
            <v>45891</v>
          </cell>
          <cell r="G50" t="str">
            <v>Nov 6, 2025</v>
          </cell>
          <cell r="H50">
            <v>4.9299999999999997E-2</v>
          </cell>
        </row>
        <row r="51">
          <cell r="B51" t="str">
            <v>WBA</v>
          </cell>
          <cell r="E51">
            <v>12.11429</v>
          </cell>
          <cell r="F51">
            <v>45614</v>
          </cell>
          <cell r="G51">
            <v>0</v>
          </cell>
          <cell r="H51">
            <v>8.3500005000000002E-2</v>
          </cell>
        </row>
        <row r="52">
          <cell r="B52" t="str">
            <v>XOM</v>
          </cell>
          <cell r="E52">
            <v>124.4512</v>
          </cell>
          <cell r="F52">
            <v>45884</v>
          </cell>
          <cell r="G52" t="str">
            <v>Oct 31, 2025</v>
          </cell>
          <cell r="H52">
            <v>3.5799999999999998E-2</v>
          </cell>
        </row>
        <row r="53">
          <cell r="B53" t="str">
            <v>XPER</v>
          </cell>
          <cell r="E53">
            <v>11.4</v>
          </cell>
          <cell r="F53">
            <v>0</v>
          </cell>
          <cell r="G53">
            <v>0</v>
          </cell>
          <cell r="H53">
            <v>0</v>
          </cell>
        </row>
        <row r="54">
          <cell r="B54" t="str">
            <v>MVEALDNE</v>
          </cell>
          <cell r="E54">
            <v>1.5333300000000001</v>
          </cell>
          <cell r="F54">
            <v>0</v>
          </cell>
          <cell r="G54" t="str">
            <v>--</v>
          </cell>
          <cell r="H54">
            <v>0</v>
          </cell>
        </row>
        <row r="55">
          <cell r="B55" t="str">
            <v>MVEDDD</v>
          </cell>
          <cell r="E55">
            <v>3.25</v>
          </cell>
          <cell r="F55">
            <v>0</v>
          </cell>
          <cell r="G55" t="str">
            <v>Nov 10, 2025</v>
          </cell>
          <cell r="H55">
            <v>0</v>
          </cell>
        </row>
        <row r="56">
          <cell r="B56" t="str">
            <v>MVEDSY</v>
          </cell>
          <cell r="E56">
            <v>35.352780000000003</v>
          </cell>
          <cell r="F56">
            <v>45803</v>
          </cell>
          <cell r="G56">
            <v>0</v>
          </cell>
        </row>
        <row r="57">
          <cell r="B57" t="str">
            <v>MVEEOAN</v>
          </cell>
          <cell r="E57">
            <v>16.882349999999999</v>
          </cell>
          <cell r="F57">
            <v>45793</v>
          </cell>
          <cell r="G57">
            <v>0</v>
          </cell>
          <cell r="H57">
            <v>3.4200000000000001E-2</v>
          </cell>
        </row>
        <row r="58">
          <cell r="B58" t="str">
            <v>MVEENI</v>
          </cell>
          <cell r="E58">
            <v>15.586360000000001</v>
          </cell>
          <cell r="F58">
            <v>45985</v>
          </cell>
          <cell r="G58">
            <v>0</v>
          </cell>
        </row>
        <row r="59">
          <cell r="B59" t="str">
            <v>MVEEPIX</v>
          </cell>
          <cell r="E59">
            <v>0</v>
          </cell>
          <cell r="F59">
            <v>45894</v>
          </cell>
          <cell r="G59" t="str">
            <v>Dec 16, 2025</v>
          </cell>
          <cell r="H59">
            <v>0</v>
          </cell>
        </row>
        <row r="60">
          <cell r="B60" t="str">
            <v>MVEGLE</v>
          </cell>
          <cell r="E60">
            <v>63.157220000000002</v>
          </cell>
          <cell r="F60">
            <v>45937</v>
          </cell>
          <cell r="G60" t="str">
            <v>Oct 30, 2025</v>
          </cell>
        </row>
        <row r="61">
          <cell r="B61" t="str">
            <v>MVEORA</v>
          </cell>
          <cell r="E61">
            <v>15.28889</v>
          </cell>
          <cell r="F61">
            <v>45993</v>
          </cell>
          <cell r="G61">
            <v>0</v>
          </cell>
        </row>
        <row r="62">
          <cell r="B62" t="str">
            <v>MVERWE</v>
          </cell>
          <cell r="E62">
            <v>43.982349999999997</v>
          </cell>
          <cell r="F62">
            <v>45779</v>
          </cell>
          <cell r="G62">
            <v>0</v>
          </cell>
          <cell r="H62">
            <v>2.7199999999999998E-2</v>
          </cell>
        </row>
        <row r="63">
          <cell r="B63" t="str">
            <v>MVESAP</v>
          </cell>
          <cell r="E63">
            <v>287.60270000000003</v>
          </cell>
          <cell r="F63">
            <v>45791</v>
          </cell>
          <cell r="G63">
            <v>0</v>
          </cell>
          <cell r="H63">
            <v>1.0199999E-2</v>
          </cell>
        </row>
        <row r="64">
          <cell r="B64" t="str">
            <v>MVEUN0</v>
          </cell>
          <cell r="E64">
            <v>0</v>
          </cell>
          <cell r="F64">
            <v>0</v>
          </cell>
          <cell r="G64">
            <v>0</v>
          </cell>
          <cell r="H64">
            <v>0</v>
          </cell>
        </row>
        <row r="65">
          <cell r="B65" t="str">
            <v>SAFAAPL</v>
          </cell>
          <cell r="E65">
            <v>248.17128</v>
          </cell>
          <cell r="F65">
            <v>45880</v>
          </cell>
          <cell r="G65" t="str">
            <v>Oct 30, 2025</v>
          </cell>
          <cell r="H65">
            <v>4.1999999999999997E-3</v>
          </cell>
        </row>
        <row r="66">
          <cell r="B66" t="str">
            <v>SAFAMZN</v>
          </cell>
          <cell r="E66">
            <v>266.56450000000001</v>
          </cell>
          <cell r="F66">
            <v>0</v>
          </cell>
          <cell r="G66" t="str">
            <v>Oct 30, 2025</v>
          </cell>
          <cell r="H66">
            <v>0</v>
          </cell>
        </row>
        <row r="67">
          <cell r="B67" t="str">
            <v>SAFASML</v>
          </cell>
          <cell r="E67">
            <v>873.90326000000005</v>
          </cell>
          <cell r="F67">
            <v>45866</v>
          </cell>
          <cell r="G67">
            <v>0</v>
          </cell>
          <cell r="H67">
            <v>8.0000000000000002E-3</v>
          </cell>
        </row>
        <row r="68">
          <cell r="B68" t="str">
            <v>SAFDDD</v>
          </cell>
          <cell r="E68">
            <v>3.25</v>
          </cell>
          <cell r="F68">
            <v>0</v>
          </cell>
          <cell r="G68" t="str">
            <v>Nov 10, 2025</v>
          </cell>
          <cell r="H68">
            <v>0</v>
          </cell>
        </row>
        <row r="69">
          <cell r="B69" t="str">
            <v>SAFDIS</v>
          </cell>
          <cell r="E69">
            <v>133.96896000000001</v>
          </cell>
          <cell r="F69">
            <v>45832</v>
          </cell>
          <cell r="G69">
            <v>0</v>
          </cell>
          <cell r="H69">
            <v>9.1999999999999998E-3</v>
          </cell>
        </row>
        <row r="70">
          <cell r="B70" t="str">
            <v>SAFGM</v>
          </cell>
          <cell r="E70">
            <v>63.8</v>
          </cell>
          <cell r="F70">
            <v>45905</v>
          </cell>
          <cell r="G70" t="str">
            <v>Oct 21, 2025</v>
          </cell>
          <cell r="H70">
            <v>1.0800000000000001E-2</v>
          </cell>
        </row>
        <row r="71">
          <cell r="B71" t="str">
            <v>SAFIAG</v>
          </cell>
          <cell r="E71">
            <v>438.45612</v>
          </cell>
          <cell r="F71">
            <v>45834</v>
          </cell>
          <cell r="G71">
            <v>0</v>
          </cell>
          <cell r="H71">
            <v>1.8800000000000001E-2</v>
          </cell>
        </row>
        <row r="72">
          <cell r="B72" t="str">
            <v>SAFMRNA</v>
          </cell>
          <cell r="E72">
            <v>44.3</v>
          </cell>
          <cell r="F72">
            <v>0</v>
          </cell>
          <cell r="G72" t="str">
            <v>Nov 6, 2025</v>
          </cell>
          <cell r="H72">
            <v>0</v>
          </cell>
        </row>
        <row r="73">
          <cell r="B73" t="str">
            <v>BLNK</v>
          </cell>
          <cell r="E73">
            <v>2.4</v>
          </cell>
          <cell r="F73">
            <v>0</v>
          </cell>
          <cell r="G73" t="str">
            <v>Nov 6, 2025</v>
          </cell>
          <cell r="H73">
            <v>0</v>
          </cell>
        </row>
        <row r="74">
          <cell r="B74" t="str">
            <v>ENI</v>
          </cell>
          <cell r="E74">
            <v>15.586360000000001</v>
          </cell>
          <cell r="F74">
            <v>45985</v>
          </cell>
          <cell r="G74">
            <v>0</v>
          </cell>
          <cell r="H74">
            <v>6.9500000000000006E-2</v>
          </cell>
        </row>
        <row r="75">
          <cell r="B75" t="str">
            <v>EZJ</v>
          </cell>
          <cell r="E75">
            <v>643.68399999999997</v>
          </cell>
          <cell r="F75">
            <v>45708</v>
          </cell>
          <cell r="G75">
            <v>0</v>
          </cell>
          <cell r="H75">
            <v>2.6099998999999999E-2</v>
          </cell>
        </row>
        <row r="76">
          <cell r="B76" t="str">
            <v>F</v>
          </cell>
          <cell r="E76">
            <v>11.475</v>
          </cell>
          <cell r="F76">
            <v>45880</v>
          </cell>
          <cell r="G76" t="str">
            <v>Oct 23, 2025</v>
          </cell>
          <cell r="H76">
            <v>5.2600003999999999E-2</v>
          </cell>
        </row>
        <row r="77">
          <cell r="B77" t="str">
            <v>GLE</v>
          </cell>
          <cell r="E77">
            <v>63.157220000000002</v>
          </cell>
          <cell r="F77">
            <v>45937</v>
          </cell>
          <cell r="G77" t="str">
            <v>Oct 30, 2025</v>
          </cell>
          <cell r="H77">
            <v>3.1600002000000002E-2</v>
          </cell>
        </row>
        <row r="78">
          <cell r="B78" t="str">
            <v>GNRC</v>
          </cell>
          <cell r="E78">
            <v>203.375</v>
          </cell>
          <cell r="F78">
            <v>41435</v>
          </cell>
          <cell r="G78" t="str">
            <v>Oct 30, 2025</v>
          </cell>
          <cell r="H78">
            <v>0</v>
          </cell>
        </row>
        <row r="79">
          <cell r="B79" t="str">
            <v>GS</v>
          </cell>
          <cell r="E79">
            <v>764.68420000000003</v>
          </cell>
          <cell r="F79">
            <v>45898</v>
          </cell>
          <cell r="G79" t="str">
            <v>Oct 14, 2025</v>
          </cell>
          <cell r="H79">
            <v>2.0899999999999998E-2</v>
          </cell>
        </row>
        <row r="80">
          <cell r="B80" t="str">
            <v>LAZR</v>
          </cell>
          <cell r="E80">
            <v>2.6666699999999999</v>
          </cell>
          <cell r="F80">
            <v>0</v>
          </cell>
          <cell r="G80" t="str">
            <v>Nov 14, 2025</v>
          </cell>
          <cell r="H80">
            <v>0</v>
          </cell>
        </row>
        <row r="81">
          <cell r="B81" t="str">
            <v>LUV</v>
          </cell>
          <cell r="E81">
            <v>33.06</v>
          </cell>
          <cell r="F81">
            <v>45903</v>
          </cell>
          <cell r="G81" t="str">
            <v>Oct 22, 2025</v>
          </cell>
          <cell r="H81">
            <v>2.3E-2</v>
          </cell>
        </row>
        <row r="82">
          <cell r="B82" t="str">
            <v>MA</v>
          </cell>
          <cell r="E82">
            <v>648.43029999999999</v>
          </cell>
          <cell r="F82">
            <v>45939</v>
          </cell>
          <cell r="G82" t="str">
            <v>Oct 30, 2025</v>
          </cell>
          <cell r="H82">
            <v>5.4999999999999997E-3</v>
          </cell>
        </row>
        <row r="83">
          <cell r="B83" t="str">
            <v>NVAX</v>
          </cell>
          <cell r="E83">
            <v>12.5</v>
          </cell>
          <cell r="F83">
            <v>0</v>
          </cell>
          <cell r="G83" t="str">
            <v>Aug 6, 2025</v>
          </cell>
          <cell r="H83">
            <v>0</v>
          </cell>
        </row>
        <row r="84">
          <cell r="B84" t="str">
            <v>NVS</v>
          </cell>
          <cell r="E84">
            <v>122.054</v>
          </cell>
          <cell r="F84">
            <v>45728</v>
          </cell>
          <cell r="G84" t="str">
            <v>Oct 28, 2025</v>
          </cell>
          <cell r="H84">
            <v>3.0700000000000002E-2</v>
          </cell>
        </row>
        <row r="85">
          <cell r="B85" t="str">
            <v>ORA</v>
          </cell>
          <cell r="E85">
            <v>15.28889</v>
          </cell>
          <cell r="F85">
            <v>45993</v>
          </cell>
          <cell r="G85">
            <v>0</v>
          </cell>
          <cell r="H85">
            <v>5.5199999999999999E-2</v>
          </cell>
        </row>
        <row r="86">
          <cell r="B86" t="str">
            <v>OXY</v>
          </cell>
          <cell r="E86">
            <v>51.545450000000002</v>
          </cell>
          <cell r="F86">
            <v>45910</v>
          </cell>
          <cell r="G86" t="str">
            <v>Aug 6, 2025</v>
          </cell>
          <cell r="H86">
            <v>2.2800000000000001E-2</v>
          </cell>
        </row>
        <row r="87">
          <cell r="B87" t="str">
            <v>PFE</v>
          </cell>
          <cell r="E87">
            <v>28.80864</v>
          </cell>
          <cell r="F87">
            <v>45968</v>
          </cell>
          <cell r="G87" t="str">
            <v>Nov 4, 2025</v>
          </cell>
          <cell r="H87">
            <v>6.9400000000000003E-2</v>
          </cell>
        </row>
        <row r="88">
          <cell r="B88" t="str">
            <v>RIG</v>
          </cell>
          <cell r="E88">
            <v>3.8769200000000001</v>
          </cell>
          <cell r="F88">
            <v>42237</v>
          </cell>
          <cell r="G88" t="str">
            <v>Nov 3, 2025</v>
          </cell>
          <cell r="H88">
            <v>0</v>
          </cell>
        </row>
        <row r="89">
          <cell r="B89" t="str">
            <v>RRC</v>
          </cell>
          <cell r="E89">
            <v>42.25</v>
          </cell>
          <cell r="F89">
            <v>45912</v>
          </cell>
          <cell r="G89" t="str">
            <v>Oct 28, 2025</v>
          </cell>
          <cell r="H89">
            <v>9.9000000000000008E-3</v>
          </cell>
        </row>
        <row r="90">
          <cell r="B90" t="str">
            <v>XYZ</v>
          </cell>
          <cell r="E90">
            <v>88.005560000000003</v>
          </cell>
          <cell r="F90">
            <v>0</v>
          </cell>
          <cell r="G90" t="str">
            <v>Nov 6, 2025</v>
          </cell>
          <cell r="H90">
            <v>0</v>
          </cell>
        </row>
        <row r="91">
          <cell r="B91" t="str">
            <v>THC</v>
          </cell>
          <cell r="E91">
            <v>204.90475000000001</v>
          </cell>
          <cell r="F91">
            <v>36598</v>
          </cell>
          <cell r="G91" t="str">
            <v>Oct 28, 2025</v>
          </cell>
          <cell r="H91">
            <v>0</v>
          </cell>
        </row>
        <row r="92">
          <cell r="B92" t="str">
            <v>X</v>
          </cell>
          <cell r="E92">
            <v>0</v>
          </cell>
          <cell r="F92">
            <v>0</v>
          </cell>
          <cell r="G92">
            <v>0</v>
          </cell>
          <cell r="H92">
            <v>0</v>
          </cell>
        </row>
        <row r="93">
          <cell r="B93" t="str">
            <v>LOCK</v>
          </cell>
          <cell r="E93">
            <v>0</v>
          </cell>
          <cell r="F93">
            <v>0</v>
          </cell>
          <cell r="G93">
            <v>0</v>
          </cell>
          <cell r="H93">
            <v>0</v>
          </cell>
        </row>
        <row r="94">
          <cell r="B94" t="str">
            <v>JBASML</v>
          </cell>
          <cell r="E94">
            <v>873.90326000000005</v>
          </cell>
          <cell r="F94">
            <v>45866</v>
          </cell>
          <cell r="G94">
            <v>0</v>
          </cell>
          <cell r="H94">
            <v>8.0000000000000002E-3</v>
          </cell>
        </row>
        <row r="95">
          <cell r="B95" t="str">
            <v>JBEOAN</v>
          </cell>
          <cell r="E95">
            <v>16.882349999999999</v>
          </cell>
          <cell r="F95">
            <v>45793</v>
          </cell>
          <cell r="G95">
            <v>0</v>
          </cell>
          <cell r="H95">
            <v>3.4200000000000001E-2</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0">
  <rv s="0">
    <v>https://www.bing.com/financeapi/forcetrigger?t=a1mou2&amp;q=XNAS%3aAAPL&amp;form=skydnc</v>
    <v>Learn more on Bing</v>
  </rv>
  <rv s="1">
    <v>0</v>
    <v>APPLE INC. (XNAS:AAPL)</v>
    <v>2</v>
    <v>3</v>
    <v>Finance</v>
    <v>4</v>
    <v>en-US</v>
    <v>a1mou2</v>
    <v>268435456</v>
    <v>1</v>
    <v>Powered by Refinitiv</v>
    <v>271.41000000000003</v>
    <v>169.21010000000001</v>
    <v>1.0866</v>
    <v>0.7</v>
    <v>2.6019999999999997E-3</v>
    <v>0.55120000000000002</v>
    <v>2.0439999999999998E-3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271.41000000000003</v>
    <v>Computers, Phones &amp; Household Electronics</v>
    <v>Stock</v>
    <v>45959.983823089846</v>
    <v>0</v>
    <v>267.11</v>
    <v>4002453183000</v>
    <v>APPLE INC.</v>
    <v>APPLE INC.</v>
    <v>269.27499999999998</v>
    <v>37.198500000000003</v>
    <v>269</v>
    <v>269.7</v>
    <v>270.25119999999998</v>
    <v>14840390000</v>
    <v>AAPL</v>
    <v>APPLE INC. (XNAS:AAPL)</v>
    <v>51048449</v>
    <v>44456638</v>
    <v>1977</v>
  </rv>
  <rv s="2">
    <v>1</v>
  </rv>
  <rv s="0">
    <v>https://www.bing.com/financeapi/forcetrigger?t=a269vh&amp;q=XNAS%3aXPER&amp;form=skydnc</v>
    <v>Learn more on Bing</v>
  </rv>
  <rv s="1">
    <v>0</v>
    <v>ADEIA INC. (XNAS:ADEA)</v>
    <v>2</v>
    <v>3</v>
    <v>Finance</v>
    <v>5</v>
    <v>en-US</v>
    <v>a269vh</v>
    <v>268435456</v>
    <v>1</v>
    <v>Powered by Refinitiv</v>
    <v>18.25</v>
    <v>10.59</v>
    <v>2.57</v>
    <v>-0.13</v>
    <v>-7.332E-3</v>
    <v>0.36</v>
    <v>2.0455000000000001E-2</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18.065000000000001</v>
    <v>Software &amp; IT Services</v>
    <v>Stock</v>
    <v>45959.930761909374</v>
    <v>3</v>
    <v>17.3245</v>
    <v>1924887360</v>
    <v>ADEIA INC.</v>
    <v>ADEIA INC.</v>
    <v>17.559999999999999</v>
    <v>23.735700000000001</v>
    <v>17.73</v>
    <v>17.600000000000001</v>
    <v>17.96</v>
    <v>109368600</v>
    <v>ADEA</v>
    <v>ADEIA INC. (XNAS:ADEA)</v>
    <v>624489</v>
    <v>528356</v>
    <v>2019</v>
  </rv>
  <rv s="2">
    <v>4</v>
  </rv>
  <rv s="0">
    <v>https://www.bing.com/financeapi/forcetrigger?t=aodfgh&amp;q=XLON%3aAET&amp;form=skydnc</v>
    <v>Learn more on Bing</v>
  </rv>
  <rv s="3">
    <v>6</v>
    <v>AFENTRA PLC (XLON:AET)</v>
    <v>2</v>
    <v>7</v>
    <v>Finance</v>
    <v>8</v>
    <v>en-US</v>
    <v>aodfgh</v>
    <v>268435456</v>
    <v>1</v>
    <v>Powered by Refinitiv</v>
    <v>56.2</v>
    <v>33.064999999999998</v>
    <v>1.0665</v>
    <v>0.5</v>
    <v>1.1415999999999999E-2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45</v>
    <v>Oil &amp; Gas</v>
    <v>Stock</v>
    <v>45959.691165890625</v>
    <v>6</v>
    <v>43.8</v>
    <v>99541100</v>
    <v>AFENTRA PLC</v>
    <v>AFENTRA PLC</v>
    <v>44.8</v>
    <v>3.8454999999999999</v>
    <v>43.8</v>
    <v>44.3</v>
    <v>226156000</v>
    <v>AET</v>
    <v>AFENTRA PLC (XLON:AET)</v>
    <v>182455</v>
    <v>835990</v>
    <v>1983</v>
  </rv>
  <rv s="2">
    <v>7</v>
  </rv>
  <rv s="0">
    <v>https://www.bing.com/financeapi/forcetrigger?t=a1nhlh&amp;q=XNAS%3aAMZN&amp;form=skydnc</v>
    <v>Learn more on Bing</v>
  </rv>
  <rv s="1">
    <v>0</v>
    <v>AMAZON.COM, INC. (XNAS:AMZN)</v>
    <v>2</v>
    <v>3</v>
    <v>Finance</v>
    <v>4</v>
    <v>en-US</v>
    <v>a1nhlh</v>
    <v>268435456</v>
    <v>1</v>
    <v>Powered by Refinitiv</v>
    <v>242.52</v>
    <v>161.38</v>
    <v>1.2853000000000001</v>
    <v>1.05</v>
    <v>4.5799999999999999E-3</v>
    <v>-1.78</v>
    <v>-7.7290000000000006E-3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232.82</v>
    <v>Diversified Retail</v>
    <v>Stock</v>
    <v>45959.983861214845</v>
    <v>9</v>
    <v>227.76</v>
    <v>2456128773000</v>
    <v>AMAZON.COM, INC.</v>
    <v>AMAZON.COM, INC.</v>
    <v>231.672</v>
    <v>35.143099999999997</v>
    <v>229.25</v>
    <v>230.3</v>
    <v>228.52</v>
    <v>10664910000</v>
    <v>AMZN</v>
    <v>AMAZON.COM, INC. (XNAS:AMZN)</v>
    <v>51990540</v>
    <v>44491514</v>
    <v>1996</v>
  </rv>
  <rv s="2">
    <v>10</v>
  </rv>
  <rv s="0">
    <v>https://www.bing.com/financeapi/forcetrigger?t=b125ww&amp;q=XPAR%3aALDNE&amp;form=skydnc</v>
    <v>Learn more on Bing</v>
  </rv>
  <rv s="3">
    <v>6</v>
    <v>Dont Nod Entertainment SA (XPAR:ALDNE)</v>
    <v>2</v>
    <v>9</v>
    <v>Finance</v>
    <v>10</v>
    <v>en-US</v>
    <v>b125ww</v>
    <v>268435456</v>
    <v>1</v>
    <v>Powered by Refinitiv</v>
    <v>1.53</v>
    <v>0.65</v>
    <v>1.0288999999999999</v>
    <v>-3.4000000000000002E-2</v>
    <v>-4.1463E-2</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0.81</v>
    <v>Software &amp; IT Services</v>
    <v>Stock</v>
    <v>45959.708333333336</v>
    <v>12</v>
    <v>0.77</v>
    <v>10727040</v>
    <v>Dont Nod Entertainment SA</v>
    <v>Dont Nod Entertainment SA</v>
    <v>0.8</v>
    <v>0</v>
    <v>0.82</v>
    <v>0.78600000000000003</v>
    <v>13081760</v>
    <v>ALDNE</v>
    <v>Dont Nod Entertainment SA (XPAR:ALDNE)</v>
    <v>24428</v>
    <v>6760</v>
    <v>2008</v>
  </rv>
  <rv s="2">
    <v>13</v>
  </rv>
  <rv s="0">
    <v>https://www.bing.com/financeapi/forcetrigger?t=alnz5r&amp;q=XAMS%3aASML&amp;form=skydnc</v>
    <v>Learn more on Bing</v>
  </rv>
  <rv s="3">
    <v>6</v>
    <v>ASML Holding NV (XAMS:ASML)</v>
    <v>2</v>
    <v>9</v>
    <v>Finance</v>
    <v>10</v>
    <v>en-US</v>
    <v>alnz5r</v>
    <v>268435456</v>
    <v>1</v>
    <v>Powered by Refinitiv</v>
    <v>928.4</v>
    <v>508.4</v>
    <v>1.9643999999999999</v>
    <v>12</v>
    <v>1.3225000000000001E-2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928.4</v>
    <v>Semiconductors &amp; Semiconductor Equipment</v>
    <v>Stock</v>
    <v>45959.708333333336</v>
    <v>15</v>
    <v>902.3</v>
    <v>352205200000</v>
    <v>ASML Holding NV</v>
    <v>ASML Holding NV</v>
    <v>904</v>
    <v>34.840899999999998</v>
    <v>907.4</v>
    <v>919.4</v>
    <v>388147700</v>
    <v>ASML</v>
    <v>ASML Holding NV (XAMS:ASML)</v>
    <v>694357</v>
    <v>645470</v>
    <v>1994</v>
  </rv>
  <rv s="2">
    <v>16</v>
  </rv>
  <rv s="0">
    <v>https://www.bing.com/financeapi/forcetrigger?t=a1nz8m&amp;q=XNAS%3aAVGO&amp;form=skydnc</v>
    <v>Learn more on Bing</v>
  </rv>
  <rv s="1">
    <v>0</v>
    <v>BROADCOM INC. (XNAS:AVGO)</v>
    <v>2</v>
    <v>3</v>
    <v>Finance</v>
    <v>4</v>
    <v>en-US</v>
    <v>a1nz8m</v>
    <v>268435456</v>
    <v>1</v>
    <v>Powered by Refinitiv</v>
    <v>386.48</v>
    <v>138.1</v>
    <v>1.2053</v>
    <v>13.01</v>
    <v>3.4881999999999996E-2</v>
    <v>0.33</v>
    <v>8.5500000000000007E-4</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386.48</v>
    <v>Semiconductors &amp; Semiconductor Equipment</v>
    <v>Stock</v>
    <v>45959.983828668752</v>
    <v>18</v>
    <v>373.19</v>
    <v>1822738442700</v>
    <v>BROADCOM INC.</v>
    <v>BROADCOM INC.</v>
    <v>373.19</v>
    <v>98.943899999999999</v>
    <v>372.97</v>
    <v>385.98</v>
    <v>386.31</v>
    <v>4722365000</v>
    <v>AVGO</v>
    <v>BROADCOM INC. (XNAS:AVGO)</v>
    <v>24947730</v>
    <v>20521315</v>
    <v>2018</v>
  </rv>
  <rv s="2">
    <v>19</v>
  </rv>
  <rv s="4">
    <v>12</v>
    <v>Expense ratio</v>
    <v>0</v>
  </rv>
  <rv s="0">
    <v>https://www.bing.com/financeapi/forcetrigger?t=a1o3qh&amp;q=XNAS%3aAZN&amp;form=skydnc</v>
    <v>Learn more on Bing</v>
  </rv>
  <rv s="1">
    <v>0</v>
    <v>ASTRAZENECA PLC (XNAS:AZN)</v>
    <v>2</v>
    <v>3</v>
    <v>Finance</v>
    <v>4</v>
    <v>en-US</v>
    <v>a1o3qh</v>
    <v>268435456</v>
    <v>1</v>
    <v>Powered by Refinitiv</v>
    <v>86.57</v>
    <v>61.24</v>
    <v>0.35160000000000002</v>
    <v>-0.38</v>
    <v>-4.5999999999999999E-3</v>
    <v>0</v>
    <v>0</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83.46</v>
    <v>Pharmaceuticals</v>
    <v>Stock</v>
    <v>45959.981860532032</v>
    <v>22</v>
    <v>81.64</v>
    <v>256537600000</v>
    <v>ASTRAZENECA PLC</v>
    <v>ASTRAZENECA PLC</v>
    <v>83.39</v>
    <v>31.101700000000001</v>
    <v>82.61</v>
    <v>82.23</v>
    <v>82.23</v>
    <v>3101404000</v>
    <v>AZN</v>
    <v>ASTRAZENECA PLC (XNAS:AZN)</v>
    <v>3570041</v>
    <v>5710296</v>
    <v>1992</v>
  </rv>
  <rv s="2">
    <v>23</v>
  </rv>
  <rv s="0">
    <v>https://www.bing.com/financeapi/forcetrigger?t=a1oldm&amp;q=XNAS%3aBLDP&amp;form=skydnc</v>
    <v>Learn more on Bing</v>
  </rv>
  <rv s="1">
    <v>0</v>
    <v>BALLARD POWER SYSTEMS INC. (XNAS:BLDP)</v>
    <v>2</v>
    <v>11</v>
    <v>Finance</v>
    <v>4</v>
    <v>en-US</v>
    <v>a1oldm</v>
    <v>268435456</v>
    <v>1</v>
    <v>Powered by Refinitiv</v>
    <v>4.0999999999999996</v>
    <v>1</v>
    <v>1.9686999999999999</v>
    <v>0.1</v>
    <v>2.9069999999999999E-2</v>
    <v>0.04</v>
    <v>1.1298999999999998E-2</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3.73</v>
    <v>Renewable Energy</v>
    <v>Stock</v>
    <v>45959.975477453125</v>
    <v>25</v>
    <v>3.3912</v>
    <v>1435239000</v>
    <v>BALLARD POWER SYSTEMS INC.</v>
    <v>BALLARD POWER SYSTEMS INC.</v>
    <v>3.4249999999999998</v>
    <v>0</v>
    <v>3.44</v>
    <v>3.54</v>
    <v>3.58</v>
    <v>300577700</v>
    <v>BLDP</v>
    <v>BALLARD POWER SYSTEMS INC. (XNAS:BLDP)</v>
    <v>7998657</v>
    <v>9086758</v>
    <v>2016</v>
  </rv>
  <rv s="2">
    <v>26</v>
  </rv>
  <rv s="0">
    <v>https://www.bing.com/financeapi/forcetrigger?t=a1oo5r&amp;q=XNAS%3aBMRA&amp;form=skydnc</v>
    <v>Learn more on Bing</v>
  </rv>
  <rv s="1">
    <v>0</v>
    <v>BIOMERICA, INC. (XNAS:BMRA)</v>
    <v>2</v>
    <v>3</v>
    <v>Finance</v>
    <v>4</v>
    <v>en-US</v>
    <v>a1oo5r</v>
    <v>268435456</v>
    <v>1</v>
    <v>Powered by Refinitiv</v>
    <v>10.16</v>
    <v>2.08</v>
    <v>0.28499999999999998</v>
    <v>-0.14000000000000001</v>
    <v>-4.7781999999999998E-2</v>
    <v>0.13</v>
    <v>4.6595000000000004E-2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2.96</v>
    <v>Healthcare Equipment &amp; Supplies</v>
    <v>Stock</v>
    <v>45959.973460103909</v>
    <v>28</v>
    <v>2.78</v>
    <v>8637540</v>
    <v>BIOMERICA, INC.</v>
    <v>BIOMERICA, INC.</v>
    <v>2.96</v>
    <v>0</v>
    <v>2.93</v>
    <v>2.79</v>
    <v>2.92</v>
    <v>2947970</v>
    <v>BMRA</v>
    <v>BIOMERICA, INC. (XNAS:BMRA)</v>
    <v>23362</v>
    <v>203951</v>
    <v>1971</v>
  </rv>
  <rv s="2">
    <v>29</v>
  </rv>
  <rv s="0">
    <v>https://www.bing.com/financeapi/forcetrigger?t=a1p3ww&amp;q=XNYS%3aC&amp;form=skydnc</v>
    <v>Learn more on Bing</v>
  </rv>
  <rv s="1">
    <v>0</v>
    <v>CITIGROUP INC. (XNYS:C)</v>
    <v>2</v>
    <v>3</v>
    <v>Finance</v>
    <v>4</v>
    <v>en-US</v>
    <v>a1p3ww</v>
    <v>268435456</v>
    <v>1</v>
    <v>Powered by Refinitiv</v>
    <v>105.59</v>
    <v>55.51</v>
    <v>1.3505</v>
    <v>-2.2000000000000002</v>
    <v>-2.1697999999999999E-2</v>
    <v>0.13</v>
    <v>1.312E-3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227000</v>
    <v>New York Stock Exchange</v>
    <v>XNYS</v>
    <v>XNYS</v>
    <v>388 Greenwich Street, 17th Floor, NEW YORK, NY, 10013 US</v>
    <v>101.94</v>
    <v>Investment Banking &amp; Investment Services</v>
    <v>Stock</v>
    <v>45959.982216053126</v>
    <v>31</v>
    <v>99.03</v>
    <v>177480667000</v>
    <v>CITIGROUP INC.</v>
    <v>CITIGROUP INC.</v>
    <v>101.29</v>
    <v>13.9437</v>
    <v>101.39</v>
    <v>99.19</v>
    <v>99.25</v>
    <v>1789300000</v>
    <v>C</v>
    <v>CITIGROUP INC. (XNYS:C)</v>
    <v>11878320</v>
    <v>13664170</v>
    <v>1988</v>
  </rv>
  <rv s="2">
    <v>32</v>
  </rv>
  <rv s="0">
    <v>https://www.bing.com/financeapi/forcetrigger?t=a1qe5r&amp;q=XNAS%3aCSCO&amp;form=skydnc</v>
    <v>Learn more on Bing</v>
  </rv>
  <rv s="1">
    <v>0</v>
    <v>CISCO SYSTEMS, INC. (XNAS:CSCO)</v>
    <v>2</v>
    <v>3</v>
    <v>Finance</v>
    <v>4</v>
    <v>en-US</v>
    <v>a1qe5r</v>
    <v>268435456</v>
    <v>1</v>
    <v>Powered by Refinitiv</v>
    <v>72.819999999999993</v>
    <v>52.11</v>
    <v>0.95020000000000004</v>
    <v>-1.29</v>
    <v>-1.7763999999999999E-2</v>
    <v>0.04</v>
    <v>5.6079999999999997E-4</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72.819999999999993</v>
    <v>Communications &amp; Networking</v>
    <v>Stock</v>
    <v>45959.982685404684</v>
    <v>34</v>
    <v>70.915000000000006</v>
    <v>281981542010</v>
    <v>CISCO SYSTEMS, INC.</v>
    <v>CISCO SYSTEMS, INC.</v>
    <v>72.680000000000007</v>
    <v>30.154299999999999</v>
    <v>72.62</v>
    <v>71.33</v>
    <v>71.37</v>
    <v>3953197000</v>
    <v>CSCO</v>
    <v>CISCO SYSTEMS, INC. (XNAS:CSCO)</v>
    <v>18019771</v>
    <v>17178005</v>
    <v>2021</v>
  </rv>
  <rv s="2">
    <v>35</v>
  </rv>
  <rv s="0">
    <v>https://www.bing.com/financeapi/forcetrigger?t=a1qlnm&amp;q=XNYS%3aCVS&amp;form=skydnc</v>
    <v>Learn more on Bing</v>
  </rv>
  <rv s="1">
    <v>0</v>
    <v>CVS HEALTH CORPORATION (XNYS:CVS)</v>
    <v>2</v>
    <v>3</v>
    <v>Finance</v>
    <v>4</v>
    <v>en-US</v>
    <v>a1qlnm</v>
    <v>268435456</v>
    <v>1</v>
    <v>Powered by Refinitiv</v>
    <v>85.15</v>
    <v>43.56</v>
    <v>0.61180000000000001</v>
    <v>-1.5149999999999999</v>
    <v>-1.8430999999999999E-2</v>
    <v>-0.04</v>
    <v>-4.9629999999999997E-4</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85.15</v>
    <v>Healthcare Providers &amp; Services</v>
    <v>Stock</v>
    <v>45959.976257256247</v>
    <v>37</v>
    <v>80.33</v>
    <v>102334883310</v>
    <v>CVS HEALTH CORPORATION</v>
    <v>CVS HEALTH CORPORATION</v>
    <v>82.5</v>
    <v>22.517600000000002</v>
    <v>82.2</v>
    <v>80.685000000000002</v>
    <v>80.56</v>
    <v>1268326000</v>
    <v>CVS</v>
    <v>CVS HEALTH CORPORATION (XNYS:CVS)</v>
    <v>14782807</v>
    <v>7147293</v>
    <v>1996</v>
  </rv>
  <rv s="2">
    <v>38</v>
  </rv>
  <rv s="0">
    <v>https://www.bing.com/financeapi/forcetrigger?t=a1qu2w&amp;q=XNYS%3aDDD&amp;form=skydnc</v>
    <v>Learn more on Bing</v>
  </rv>
  <rv s="5">
    <v>12</v>
    <v>3D SYSTEMS CORPORATION (XNYS:DDD)</v>
    <v>2</v>
    <v>13</v>
    <v>Finance</v>
    <v>4</v>
    <v>en-US</v>
    <v>a1qu2w</v>
    <v>268435456</v>
    <v>1</v>
    <v>Powered by Refinitiv</v>
    <v>4.9991000000000003</v>
    <v>1.32</v>
    <v>2.1903999999999999</v>
    <v>-0.16500000000000001</v>
    <v>-5.1723999999999999E-2</v>
    <v>2.01E-2</v>
    <v>6.6340000000000001E-3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3.1999</v>
    <v>Electronic Equipment &amp; Parts</v>
    <v>Stock</v>
    <v>45959.983289166405</v>
    <v>40</v>
    <v>3.0150000000000001</v>
    <v>409125600</v>
    <v>3D SYSTEMS CORPORATION</v>
    <v>3D SYSTEMS CORPORATION</v>
    <v>3.19</v>
    <v>3.19</v>
    <v>3.0249999999999999</v>
    <v>3.0501</v>
    <v>128252600</v>
    <v>DDD</v>
    <v>3D SYSTEMS CORPORATION (XNYS:DDD)</v>
    <v>3178293</v>
    <v>4882643</v>
    <v>1993</v>
  </rv>
  <rv s="2">
    <v>41</v>
  </rv>
  <rv s="0">
    <v>http://en.wikipedia.org/wiki/Public_domain</v>
    <v>Public domain</v>
  </rv>
  <rv s="0">
    <v>http://en.wikipedia.org/wiki/The_Walt_Disney_Company</v>
    <v>Wikipedia</v>
  </rv>
  <rv s="6">
    <v>43</v>
    <v>44</v>
  </rv>
  <rv s="7">
    <v>18</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8">
    <v>14</v>
    <v>THE WALT DISNEY COMPANY (XNYS:DIS)</v>
    <v>16</v>
    <v>17</v>
    <v>Finance</v>
    <v>4</v>
    <v>en-US</v>
    <v>a1r2z2</v>
    <v>268435456</v>
    <v>1</v>
    <v>Powered by Refinitiv</v>
    <v>124.69</v>
    <v>80.099999999999994</v>
    <v>1.5461</v>
    <v>-1.37</v>
    <v>-1.2270000000000001E-2</v>
    <v>5.9900000000000002E-2</v>
    <v>5.4339999999999998E-4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111.53</v>
    <v>46</v>
    <v>Media &amp; Publishing</v>
    <v>Stock</v>
    <v>45959.983463286721</v>
    <v>47</v>
    <v>110.01</v>
    <v>198276161520</v>
    <v>THE WALT DISNEY COMPANY</v>
    <v>THE WALT DISNEY COMPANY</v>
    <v>111.18</v>
    <v>17.2896</v>
    <v>111.65</v>
    <v>110.28</v>
    <v>110.29989999999999</v>
    <v>1797934000</v>
    <v>DIS</v>
    <v>THE WALT DISNEY COMPANY (XNYS:DIS)</v>
    <v>7096039</v>
    <v>7600556</v>
    <v>2018</v>
  </rv>
  <rv s="2">
    <v>48</v>
  </rv>
  <rv s="0">
    <v>https://www.bing.com/financeapi/forcetrigger?t=ae8e9c&amp;q=XPAR%3aDSY&amp;form=skydnc</v>
    <v>Learn more on Bing</v>
  </rv>
  <rv s="3">
    <v>6</v>
    <v>Dassault Systemes SE (XPAR:DSY)</v>
    <v>2</v>
    <v>9</v>
    <v>Finance</v>
    <v>10</v>
    <v>en-US</v>
    <v>ae8e9c</v>
    <v>268435456</v>
    <v>1</v>
    <v>Powered by Refinitiv</v>
    <v>41.17</v>
    <v>24.42</v>
    <v>0.63790000000000002</v>
    <v>-0.44</v>
    <v>-1.7621000000000001E-2</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26070</v>
    <v>Euronext Paris</v>
    <v>XPAR</v>
    <v>XPAR</v>
    <v>10, rue Marcel Dassault, Paris Campus, VELIZY VILLACOUBLAY, ILE-DE-FRANCE, 78140 FR</v>
    <v>24.9</v>
    <v>Software &amp; IT Services</v>
    <v>Stock</v>
    <v>45959.708333333336</v>
    <v>50</v>
    <v>24.42</v>
    <v>33496160000</v>
    <v>Dassault Systemes SE</v>
    <v>Dassault Systemes SE</v>
    <v>24.89</v>
    <v>27.8994</v>
    <v>24.97</v>
    <v>24.53</v>
    <v>1341456000</v>
    <v>DSY</v>
    <v>Dassault Systemes SE (XPAR:DSY)</v>
    <v>2114780</v>
    <v>2471550</v>
    <v>1981</v>
  </rv>
  <rv s="2">
    <v>51</v>
  </rv>
  <rv s="0">
    <v>https://www.bing.com/financeapi/forcetrigger?t=a1rec7&amp;q=XNYS%3aDVA&amp;form=skydnc</v>
    <v>Learn more on Bing</v>
  </rv>
  <rv s="1">
    <v>0</v>
    <v>DAVITA INC. (XNYS:DVA)</v>
    <v>2</v>
    <v>3</v>
    <v>Finance</v>
    <v>4</v>
    <v>en-US</v>
    <v>a1rec7</v>
    <v>268435456</v>
    <v>1</v>
    <v>Powered by Refinitiv</v>
    <v>179.6</v>
    <v>122.925</v>
    <v>1.1301000000000001</v>
    <v>-3.19</v>
    <v>-2.4611999999999998E-2</v>
    <v>-3.06</v>
    <v>-2.4178000000000002E-2</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130.82</v>
    <v>Healthcare Providers &amp; Services</v>
    <v>Stock</v>
    <v>45959.983280439061</v>
    <v>53</v>
    <v>126.04</v>
    <v>9039030000</v>
    <v>DAVITA INC.</v>
    <v>DAVITA INC.</v>
    <v>129.07</v>
    <v>12.422000000000001</v>
    <v>129.61000000000001</v>
    <v>126.42</v>
    <v>123.5</v>
    <v>71500000</v>
    <v>DVA</v>
    <v>DAVITA INC. (XNYS:DVA)</v>
    <v>1567529</v>
    <v>600929</v>
    <v>1994</v>
  </rv>
  <rv s="2">
    <v>54</v>
  </rv>
  <rv s="0">
    <v>https://www.bing.com/financeapi/forcetrigger?t=a1rgur&amp;q=XNYS%3aDXC&amp;form=skydnc</v>
    <v>Learn more on Bing</v>
  </rv>
  <rv s="1">
    <v>0</v>
    <v>DXC TECHNOLOGY COMPANY (XNYS:DXC)</v>
    <v>2</v>
    <v>3</v>
    <v>Finance</v>
    <v>5</v>
    <v>en-US</v>
    <v>a1rgur</v>
    <v>268435456</v>
    <v>1</v>
    <v>Powered by Refinitiv</v>
    <v>24.83</v>
    <v>12.24</v>
    <v>1.1463000000000001</v>
    <v>-0.19</v>
    <v>-1.4221999999999999E-2</v>
    <v>0.11</v>
    <v>8.352E-3</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13.565</v>
    <v>Software &amp; IT Services</v>
    <v>Stock</v>
    <v>45959.958333356248</v>
    <v>56</v>
    <v>13.1</v>
    <v>2357412879</v>
    <v>DXC TECHNOLOGY COMPANY</v>
    <v>DXC TECHNOLOGY COMPANY</v>
    <v>13.46</v>
    <v>6.4306999999999999</v>
    <v>13.36</v>
    <v>13.17</v>
    <v>13.28</v>
    <v>178998700</v>
    <v>DXC</v>
    <v>DXC TECHNOLOGY COMPANY (XNYS:DXC)</v>
    <v>1965197</v>
    <v>1722859</v>
    <v>2017</v>
  </rv>
  <rv s="2">
    <v>57</v>
  </rv>
  <rv s="0">
    <v>https://www.bing.com/financeapi/forcetrigger?t=af9doc&amp;q=XFRA%3aEOAN&amp;form=skydnc</v>
    <v>Learn more on Bing</v>
  </rv>
  <rv s="3">
    <v>6</v>
    <v>E.ON SE (XFRA:EOAN)</v>
    <v>2</v>
    <v>9</v>
    <v>Finance</v>
    <v>10</v>
    <v>en-US</v>
    <v>af9doc</v>
    <v>268435456</v>
    <v>1</v>
    <v>Powered by Refinitiv</v>
    <v>16.515000000000001</v>
    <v>7.3</v>
    <v>0.72050000000000003</v>
    <v>6.5000000000000002E-2</v>
    <v>4.0020000000000003E-3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16.305</v>
    <v>Multiline Utilities</v>
    <v>Stock</v>
    <v>45959.878472222219</v>
    <v>59</v>
    <v>16.18</v>
    <v>42921430000</v>
    <v>E.ON SE</v>
    <v>E.ON SE</v>
    <v>16.184999999999999</v>
    <v>13.475199999999999</v>
    <v>16.239999999999998</v>
    <v>16.305</v>
    <v>2641319000</v>
    <v>EOAN</v>
    <v>E.ON SE (XFRA:EOAN)</v>
    <v>3642</v>
    <v>3076200</v>
    <v>2017</v>
  </rv>
  <rv s="2">
    <v>60</v>
  </rv>
  <rv s="0">
    <v>https://www.bing.com/financeapi/forcetrigger?t=a1s2zr&amp;q=XNAS%3aEPIX&amp;form=skydnc</v>
    <v>Learn more on Bing</v>
  </rv>
  <rv s="3">
    <v>6</v>
    <v>ESSA Pharma Inc. (XNAS:EPIX)</v>
    <v>2</v>
    <v>19</v>
    <v>Finance</v>
    <v>20</v>
    <v>en-US</v>
    <v>a1s2zr</v>
    <v>268435456</v>
    <v>1</v>
    <v>Powered by Refinitiv</v>
    <v>0.82499999999999996</v>
    <v>0.17330000000000001</v>
    <v>1.5513999999999999</v>
    <v>0</v>
    <v>0</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0.20699999999999999</v>
    <v>Holding Companies</v>
    <v>Stock</v>
    <v>45938.992447279685</v>
    <v>62</v>
    <v>0.18990000000000001</v>
    <v>9518448</v>
    <v>ESSA Pharma Inc.</v>
    <v>ESSA Pharma Inc.</v>
    <v>0.2</v>
    <v>0</v>
    <v>0.20499999999999999</v>
    <v>0.20119999999999999</v>
    <v>47308390</v>
    <v>EPIX</v>
    <v>ESSA Pharma Inc. (XNAS:EPIX)</v>
    <v>5945141</v>
    <v>3209641</v>
    <v>2009</v>
  </rv>
  <rv s="2">
    <v>63</v>
  </rv>
  <rv s="0">
    <v>https://www.bing.com/financeapi/forcetrigger?t=a1tyrw&amp;q=XNYS%3aGM&amp;form=skydnc</v>
    <v>Learn more on Bing</v>
  </rv>
  <rv s="1">
    <v>0</v>
    <v>GENERAL MOTORS COMPANY (XNYS:GM)</v>
    <v>2</v>
    <v>3</v>
    <v>Finance</v>
    <v>4</v>
    <v>en-US</v>
    <v>a1tyrw</v>
    <v>268435456</v>
    <v>1</v>
    <v>Powered by Refinitiv</v>
    <v>70.239999999999995</v>
    <v>41.6</v>
    <v>1.4197</v>
    <v>-0.73</v>
    <v>-1.0447999999999999E-2</v>
    <v>0.1232</v>
    <v>1.7819999999999999E-3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70.239999999999995</v>
    <v>Automobiles &amp; Auto Parts</v>
    <v>Stock</v>
    <v>45959.978605346878</v>
    <v>65</v>
    <v>68.59</v>
    <v>64498030282</v>
    <v>GENERAL MOTORS COMPANY</v>
    <v>GENERAL MOTORS COMPANY</v>
    <v>69.61</v>
    <v>13.2982</v>
    <v>69.87</v>
    <v>69.14</v>
    <v>69.253200000000007</v>
    <v>932861300</v>
    <v>GM</v>
    <v>GENERAL MOTORS COMPANY (XNYS:GM)</v>
    <v>10575757</v>
    <v>10652543</v>
    <v>2009</v>
  </rv>
  <rv s="2">
    <v>66</v>
  </rv>
  <rv s="0">
    <v>https://www.bing.com/financeapi/forcetrigger?t=a1utqh&amp;q=XNYS%3aHPE&amp;form=skydnc</v>
    <v>Learn more on Bing</v>
  </rv>
  <rv s="1">
    <v>0</v>
    <v>HEWLETT PACKARD ENTERPRISE COMPANY (XNYS:HPE)</v>
    <v>2</v>
    <v>3</v>
    <v>Finance</v>
    <v>4</v>
    <v>en-US</v>
    <v>a1utqh</v>
    <v>268435456</v>
    <v>1</v>
    <v>Powered by Refinitiv</v>
    <v>26.44</v>
    <v>11.965</v>
    <v>1.4359</v>
    <v>0.05</v>
    <v>2.062E-3</v>
    <v>-0.16930000000000001</v>
    <v>-6.9759999999999996E-3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24.59</v>
    <v>Computers, Phones &amp; Household Electronics</v>
    <v>Stock</v>
    <v>45959.983063714841</v>
    <v>68</v>
    <v>24.08</v>
    <v>32062635000</v>
    <v>HEWLETT PACKARD ENTERPRISE COMPANY</v>
    <v>HEWLETT PACKARD ENTERPRISE COMPANY</v>
    <v>24.55</v>
    <v>29.0869</v>
    <v>24.25</v>
    <v>24.3</v>
    <v>24.1007</v>
    <v>1319450000</v>
    <v>HPE</v>
    <v>HEWLETT PACKARD ENTERPRISE COMPANY (XNYS:HPE)</v>
    <v>35119928</v>
    <v>35648453</v>
    <v>2015</v>
  </rv>
  <rv s="2">
    <v>69</v>
  </rv>
  <rv s="0">
    <v>http://en.wikipedia.org/wiki/Hewlett-Packard</v>
    <v>Wikipedia</v>
  </rv>
  <rv s="6">
    <v>43</v>
    <v>71</v>
  </rv>
  <rv s="7">
    <v>18</v>
    <v>https://www.bing.com/th?id=AMMS_98757b1e7b158827481b7c629463c21b&amp;qlt=95</v>
    <v>72</v>
    <v>0</v>
    <v>https://www.bing.com/images/search?form=xlimg&amp;q=hp+company</v>
    <v>Image of HP INC.</v>
  </rv>
  <rv s="0">
    <v>https://www.bing.com/financeapi/forcetrigger?t=a1uu5r&amp;q=XNYS%3aHPQ&amp;form=skydnc</v>
    <v>Learn more on Bing</v>
  </rv>
  <rv s="8">
    <v>14</v>
    <v>HP INC. (XNYS:HPQ)</v>
    <v>16</v>
    <v>17</v>
    <v>Finance</v>
    <v>4</v>
    <v>en-US</v>
    <v>a1uu5r</v>
    <v>268435456</v>
    <v>1</v>
    <v>Powered by Refinitiv</v>
    <v>39.795000000000002</v>
    <v>21.21</v>
    <v>1.2955000000000001</v>
    <v>-0.36499999999999999</v>
    <v>-1.3003000000000001E-2</v>
    <v>-0.15</v>
    <v>-5.4149999999999997E-3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28.25</v>
    <v>73</v>
    <v>Computers, Phones &amp; Household Electronics</v>
    <v>Stock</v>
    <v>45959.983537557811</v>
    <v>74</v>
    <v>27.57</v>
    <v>25895913369</v>
    <v>HP INC.</v>
    <v>HP INC.</v>
    <v>27.88</v>
    <v>10.092499999999999</v>
    <v>28.07</v>
    <v>27.704999999999998</v>
    <v>27.55</v>
    <v>934701800</v>
    <v>HPQ</v>
    <v>HP INC. (XNYS:HPQ)</v>
    <v>8931261</v>
    <v>12117229</v>
    <v>1998</v>
  </rv>
  <rv s="2">
    <v>75</v>
  </rv>
  <rv s="0">
    <v>https://www.bing.com/financeapi/forcetrigger?t=ao9wcw&amp;q=XLON%3aIAG&amp;form=skydnc</v>
    <v>Learn more on Bing</v>
  </rv>
  <rv s="3">
    <v>6</v>
    <v>International Consolidated Airlines Group SA (XLON:IAG)</v>
    <v>2</v>
    <v>7</v>
    <v>Finance</v>
    <v>8</v>
    <v>en-US</v>
    <v>ao9wcw</v>
    <v>268435456</v>
    <v>1</v>
    <v>Powered by Refinitiv</v>
    <v>416</v>
    <v>207.2</v>
    <v>2.8702999999999999</v>
    <v>-4.5999999999999996</v>
    <v>-1.1156999999999999E-2</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413.5</v>
    <v>Passenger Transportation Services</v>
    <v>Stock</v>
    <v>45959.737644363282</v>
    <v>77</v>
    <v>404.6</v>
    <v>19033870000</v>
    <v>International Consolidated Airlines Group SA</v>
    <v>International Consolidated Airlines Group SA</v>
    <v>412</v>
    <v>7.3391999999999999</v>
    <v>412.3</v>
    <v>407.7</v>
    <v>4591245000</v>
    <v>IAG</v>
    <v>International Consolidated Airlines Group SA (XLON:IAG)</v>
    <v>9962416</v>
    <v>10911480</v>
    <v>2009</v>
  </rv>
  <rv s="2">
    <v>78</v>
  </rv>
  <rv s="0">
    <v>https://www.bing.com/financeapi/forcetrigger?t=a1wmu2&amp;q=XNYS%3aKR&amp;form=skydnc</v>
    <v>Learn more on Bing</v>
  </rv>
  <rv s="1">
    <v>0</v>
    <v>THE KROGER CO. (XNYS:KR)</v>
    <v>2</v>
    <v>3</v>
    <v>Finance</v>
    <v>5</v>
    <v>en-US</v>
    <v>a1wmu2</v>
    <v>268435456</v>
    <v>1</v>
    <v>Powered by Refinitiv</v>
    <v>74.900000000000006</v>
    <v>55.6</v>
    <v>0.54990000000000006</v>
    <v>-1.65</v>
    <v>-2.4376000000000002E-2</v>
    <v>-0.04</v>
    <v>-6.0570000000000003E-4</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67.430000000000007</v>
    <v>Food &amp; Drug Retailing</v>
    <v>Stock</v>
    <v>45959.967732985941</v>
    <v>80</v>
    <v>65.790000000000006</v>
    <v>43763268328</v>
    <v>THE KROGER CO.</v>
    <v>THE KROGER CO.</v>
    <v>67.400000000000006</v>
    <v>16.730799999999999</v>
    <v>67.69</v>
    <v>66.040000000000006</v>
    <v>66</v>
    <v>662678200</v>
    <v>KR</v>
    <v>THE KROGER CO. (XNYS:KR)</v>
    <v>6339391</v>
    <v>5846279</v>
    <v>1902</v>
  </rv>
  <rv s="2">
    <v>81</v>
  </rv>
  <rv s="0">
    <v>https://www.bing.com/financeapi/forcetrigger?t=bvuap2&amp;q=XNAS%3aLNSR&amp;form=skydnc</v>
    <v>Learn more on Bing</v>
  </rv>
  <rv s="1">
    <v>0</v>
    <v>LENSAR, INC. (XNAS:LNSR)</v>
    <v>2</v>
    <v>3</v>
    <v>Finance</v>
    <v>5</v>
    <v>en-US</v>
    <v>bvuap2</v>
    <v>268435456</v>
    <v>1</v>
    <v>Powered by Refinitiv</v>
    <v>17.309999999999999</v>
    <v>5.28</v>
    <v>0.48209999999999997</v>
    <v>0.03</v>
    <v>2.5269999999999997E-3</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12.13</v>
    <v>Healthcare Equipment &amp; Supplies</v>
    <v>Stock</v>
    <v>45959.889376145315</v>
    <v>83</v>
    <v>11.850899999999999</v>
    <v>141665900</v>
    <v>LENSAR, INC.</v>
    <v>LENSAR, INC.</v>
    <v>11.86</v>
    <v>0</v>
    <v>11.87</v>
    <v>11.9</v>
    <v>11.9</v>
    <v>11934780</v>
    <v>LNSR</v>
    <v>LENSAR, INC. (XNAS:LNSR)</v>
    <v>36439</v>
    <v>42968</v>
    <v>2004</v>
  </rv>
  <rv s="2">
    <v>84</v>
  </rv>
  <rv s="0">
    <v>https://www.bing.com/financeapi/forcetrigger?t=a1qgzr&amp;q=XNYS%3aLUMN&amp;form=skydnc</v>
    <v>Learn more on Bing</v>
  </rv>
  <rv s="1">
    <v>0</v>
    <v>LUMEN TECHNOLOGIES, INC. (XNYS:LUMN)</v>
    <v>2</v>
    <v>3</v>
    <v>Finance</v>
    <v>4</v>
    <v>en-US</v>
    <v>a1qgzr</v>
    <v>268435456</v>
    <v>1</v>
    <v>Powered by Refinitiv</v>
    <v>11.32</v>
    <v>3.01</v>
    <v>1.4823999999999999</v>
    <v>0.95499999999999996</v>
    <v>9.5024999999999998E-2</v>
    <v>2.9100000000000001E-2</v>
    <v>2.6450000000000002E-3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11.32</v>
    <v>Telecommunications Services</v>
    <v>Stock</v>
    <v>45959.983632175783</v>
    <v>86</v>
    <v>9.92</v>
    <v>11292681705</v>
    <v>LUMEN TECHNOLOGIES, INC.</v>
    <v>LUMEN TECHNOLOGIES, INC.</v>
    <v>10.039999999999999</v>
    <v>0</v>
    <v>10.050000000000001</v>
    <v>11.005000000000001</v>
    <v>11.0291</v>
    <v>1026141000</v>
    <v>LUMN</v>
    <v>LUMEN TECHNOLOGIES, INC. (XNYS:LUMN)</v>
    <v>61711236</v>
    <v>15639043</v>
    <v>1968</v>
  </rv>
  <rv s="2">
    <v>87</v>
  </rv>
  <rv s="0">
    <v>https://www.bing.com/financeapi/forcetrigger?t=bo5fpr&amp;q=XNAS%3aMRNA&amp;form=skydnc</v>
    <v>Learn more on Bing</v>
  </rv>
  <rv s="1">
    <v>0</v>
    <v>MODERNA, INC. (XNAS:MRNA)</v>
    <v>2</v>
    <v>3</v>
    <v>Finance</v>
    <v>4</v>
    <v>en-US</v>
    <v>bo5fpr</v>
    <v>268435456</v>
    <v>1</v>
    <v>Powered by Refinitiv</v>
    <v>57.69</v>
    <v>23.15</v>
    <v>2.0070999999999999</v>
    <v>-0.65</v>
    <v>-2.5640999999999997E-2</v>
    <v>0.08</v>
    <v>3.2390000000000001E-3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25.55</v>
    <v>Pharmaceuticals</v>
    <v>Stock</v>
    <v>45959.983818171095</v>
    <v>89</v>
    <v>24.41</v>
    <v>9647345760</v>
    <v>MODERNA, INC.</v>
    <v>MODERNA, INC.</v>
    <v>25.44</v>
    <v>0</v>
    <v>25.35</v>
    <v>24.7</v>
    <v>24.78</v>
    <v>390580800</v>
    <v>MRNA</v>
    <v>MODERNA, INC. (XNAS:MRNA)</v>
    <v>8744947</v>
    <v>8984507</v>
    <v>2016</v>
  </rv>
  <rv s="2">
    <v>90</v>
  </rv>
  <rv s="0">
    <v>https://en.wikipedia.org/wiki/Microsoft</v>
    <v>Wikipedia</v>
  </rv>
  <rv s="6">
    <v>43</v>
    <v>92</v>
  </rv>
  <rv s="7">
    <v>18</v>
    <v>https://www.bing.com/th?id=AMMS_e6e837c7bf3a77408619758b7447855a&amp;qlt=95</v>
    <v>93</v>
    <v>0</v>
    <v>https://www.bing.com/images/search?form=xlimg&amp;q=microsoft</v>
    <v>Image of MICROSOFT CORPORATION</v>
  </rv>
  <rv s="0">
    <v>https://www.bing.com/financeapi/forcetrigger?t=a1xzim&amp;q=XNAS%3aMSFT&amp;form=skydnc</v>
    <v>Learn more on Bing</v>
  </rv>
  <rv s="8">
    <v>14</v>
    <v>MICROSOFT CORPORATION (XNAS:MSFT)</v>
    <v>16</v>
    <v>17</v>
    <v>Finance</v>
    <v>4</v>
    <v>en-US</v>
    <v>a1xzim</v>
    <v>268435456</v>
    <v>1</v>
    <v>Powered by Refinitiv</v>
    <v>555.45000000000005</v>
    <v>344.79</v>
    <v>1.0207999999999999</v>
    <v>-0.52</v>
    <v>-9.5930000000000006E-4</v>
    <v>-20.309999999999999</v>
    <v>-3.7503000000000002E-2</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546.27</v>
    <v>94</v>
    <v>Software &amp; IT Services</v>
    <v>Stock</v>
    <v>45959.983865115624</v>
    <v>95</v>
    <v>536.7287</v>
    <v>4025388264849</v>
    <v>MICROSOFT CORPORATION</v>
    <v>MICROSOFT CORPORATION</v>
    <v>544.94000000000005</v>
    <v>39.738100000000003</v>
    <v>542.07000000000005</v>
    <v>541.54999999999995</v>
    <v>521.24</v>
    <v>7433087000</v>
    <v>MSFT</v>
    <v>MICROSOFT CORPORATION (XNAS:MSFT)</v>
    <v>35902364</v>
    <v>17610955</v>
    <v>1993</v>
  </rv>
  <rv s="2">
    <v>96</v>
  </rv>
  <rv s="0">
    <v>https://www.bing.com/financeapi/forcetrigger?t=a1ye2w&amp;q=XNYS%3aNEE&amp;form=skydnc</v>
    <v>Learn more on Bing</v>
  </rv>
  <rv s="1">
    <v>0</v>
    <v>NEXTERA ENERGY, INC. (XNYS:NEE)</v>
    <v>2</v>
    <v>3</v>
    <v>Finance</v>
    <v>4</v>
    <v>en-US</v>
    <v>a1ye2w</v>
    <v>268435456</v>
    <v>1</v>
    <v>Powered by Refinitiv</v>
    <v>87.53</v>
    <v>61.72</v>
    <v>0.69130000000000003</v>
    <v>-1.8049999999999999</v>
    <v>-2.1599E-2</v>
    <v>0.04</v>
    <v>4.8919999999999996E-4</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83.791200000000003</v>
    <v>Electrical Utilities &amp; IPPs</v>
    <v>Stock</v>
    <v>45959.983580474218</v>
    <v>98</v>
    <v>81.045000000000002</v>
    <v>172095100000</v>
    <v>NEXTERA ENERGY, INC.</v>
    <v>NEXTERA ENERGY, INC.</v>
    <v>83.3</v>
    <v>25.968699999999998</v>
    <v>83.57</v>
    <v>81.765000000000001</v>
    <v>81.8</v>
    <v>2059292000</v>
    <v>NEE</v>
    <v>NEXTERA ENERGY, INC. (XNYS:NEE)</v>
    <v>11680567</v>
    <v>10499972</v>
    <v>1984</v>
  </rv>
  <rv s="2">
    <v>99</v>
  </rv>
  <rv s="0">
    <v>https://www.bing.com/financeapi/forcetrigger?t=a1yeec&amp;q=XNYS%3aNEM&amp;form=skydnc</v>
    <v>Learn more on Bing</v>
  </rv>
  <rv s="1">
    <v>0</v>
    <v>NEWMONT CORPORATION (XNYS:NEM)</v>
    <v>2</v>
    <v>3</v>
    <v>Finance</v>
    <v>4</v>
    <v>en-US</v>
    <v>a1yeec</v>
    <v>268435456</v>
    <v>1</v>
    <v>Powered by Refinitiv</v>
    <v>98.578000000000003</v>
    <v>36.86</v>
    <v>0.34399999999999997</v>
    <v>0.32500000000000001</v>
    <v>4.0959999999999998E-3</v>
    <v>-0.27</v>
    <v>-3.3889999999999997E-3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81.84</v>
    <v>Metals &amp; Mining</v>
    <v>Stock</v>
    <v>45959.982056399997</v>
    <v>101</v>
    <v>79.31</v>
    <v>86935466895</v>
    <v>NEWMONT CORPORATION</v>
    <v>NEWMONT CORPORATION</v>
    <v>81.319999999999993</v>
    <v>12.38</v>
    <v>79.34</v>
    <v>79.665000000000006</v>
    <v>79.400000000000006</v>
    <v>1091263000</v>
    <v>NEM</v>
    <v>NEWMONT CORPORATION (XNYS:NEM)</v>
    <v>10810907</v>
    <v>12446231</v>
    <v>2001</v>
  </rv>
  <rv s="2">
    <v>102</v>
  </rv>
  <rv s="0">
    <v>https://www.bing.com/financeapi/forcetrigger?t=a1ygoc&amp;q=XNAS%3aNFLX&amp;form=skydnc</v>
    <v>Learn more on Bing</v>
  </rv>
  <rv s="1">
    <v>0</v>
    <v>NETFLIX, INC. (XNAS:NFLX)</v>
    <v>2</v>
    <v>3</v>
    <v>Finance</v>
    <v>4</v>
    <v>en-US</v>
    <v>a1ygoc</v>
    <v>268435456</v>
    <v>1</v>
    <v>Powered by Refinitiv</v>
    <v>1341.15</v>
    <v>747.77</v>
    <v>1.5724</v>
    <v>-2.09</v>
    <v>-1.8959999999999999E-3</v>
    <v>-3.89</v>
    <v>-3.5349999999999999E-3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1108.55</v>
    <v>Software &amp; IT Services</v>
    <v>Stock</v>
    <v>45959.983667615626</v>
    <v>104</v>
    <v>1096</v>
    <v>466279260243</v>
    <v>NETFLIX, INC.</v>
    <v>NETFLIX, INC.</v>
    <v>1099.8399999999999</v>
    <v>45.9696</v>
    <v>1102.5</v>
    <v>1100.4100000000001</v>
    <v>1096.52</v>
    <v>423732300</v>
    <v>NFLX</v>
    <v>NETFLIX, INC. (XNAS:NFLX)</v>
    <v>3397049</v>
    <v>4050268</v>
    <v>1997</v>
  </rv>
  <rv s="2">
    <v>105</v>
  </rv>
  <rv s="0">
    <v>https://www.bing.com/financeapi/forcetrigger?t=bwxx4c&amp;q=XNAS%3aDSAC&amp;form=skydnc</v>
    <v>Learn more on Bing</v>
  </rv>
  <rv s="5">
    <v>12</v>
    <v>FISCALNOTE HOLDINGS, INC. (XNYS:NOTE)</v>
    <v>2</v>
    <v>13</v>
    <v>Finance</v>
    <v>5</v>
    <v>en-US</v>
    <v>bwxx4c</v>
    <v>268435456</v>
    <v>1</v>
    <v>Powered by Refinitiv</v>
    <v>24.36</v>
    <v>3.8</v>
    <v>0.53900000000000003</v>
    <v>-0.15</v>
    <v>-3.6145000000000004E-2</v>
    <v>0.1</v>
    <v>2.5000000000000001E-2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4.24</v>
    <v>Software &amp; IT Services</v>
    <v>Stock</v>
    <v>45959.958333356248</v>
    <v>107</v>
    <v>3.98</v>
    <v>57466840</v>
    <v>FISCALNOTE HOLDINGS, INC.</v>
    <v>FISCALNOTE HOLDINGS, INC.</v>
    <v>4.1399999999999997</v>
    <v>4.1500000000000004</v>
    <v>4</v>
    <v>4.0999999999999996</v>
    <v>14366710</v>
    <v>NOTE</v>
    <v>FISCALNOTE HOLDINGS, INC. (XNYS:NOTE)</v>
    <v>226293</v>
    <v>241560</v>
    <v>2022</v>
  </rv>
  <rv s="2">
    <v>108</v>
  </rv>
  <rv s="0">
    <v>https://www.bing.com/financeapi/forcetrigger?t=a1zfec&amp;q=XNAS%3aPAAS&amp;form=skydnc</v>
    <v>Learn more on Bing</v>
  </rv>
  <rv s="1">
    <v>0</v>
    <v>Pan American Silver Corp. (XNYS:PAAS)</v>
    <v>2</v>
    <v>11</v>
    <v>Finance</v>
    <v>4</v>
    <v>en-US</v>
    <v>a1zfec</v>
    <v>268435456</v>
    <v>1</v>
    <v>Powered by Refinitiv</v>
    <v>42.57</v>
    <v>19.8017</v>
    <v>0.9052</v>
    <v>-0.15</v>
    <v>-4.2570000000000004E-3</v>
    <v>0.01</v>
    <v>2.8499999999999999E-4</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36.24</v>
    <v>Metals &amp; Mining</v>
    <v>Stock</v>
    <v>45959.983089930465</v>
    <v>110</v>
    <v>34.880000000000003</v>
    <v>20653860000</v>
    <v>Pan American Silver Corp.</v>
    <v>Pan American Silver Corp.</v>
    <v>36.24</v>
    <v>24.363</v>
    <v>35.24</v>
    <v>35.090000000000003</v>
    <v>35.1</v>
    <v>421976000</v>
    <v>PAAS</v>
    <v>Pan American Silver Corp. (XNYS:PAAS)</v>
    <v>5232477</v>
    <v>6552995</v>
    <v>1979</v>
  </rv>
  <rv s="2">
    <v>111</v>
  </rv>
  <rv s="0">
    <v>https://www.bing.com/financeapi/forcetrigger?t=a2sqhw&amp;q=XNAS%3aPROF&amp;form=skydnc</v>
    <v>Learn more on Bing</v>
  </rv>
  <rv s="1">
    <v>0</v>
    <v>Profound Medical Corp. (XNAS:PROF)</v>
    <v>2</v>
    <v>11</v>
    <v>Finance</v>
    <v>5</v>
    <v>en-US</v>
    <v>a2sqhw</v>
    <v>268435456</v>
    <v>1</v>
    <v>Powered by Refinitiv</v>
    <v>9.17</v>
    <v>3.76</v>
    <v>0.3397</v>
    <v>-7.0000000000000007E-2</v>
    <v>-1.129E-2</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6.2788000000000004</v>
    <v>Healthcare Equipment &amp; Supplies</v>
    <v>Stock</v>
    <v>45959.836233911716</v>
    <v>113</v>
    <v>5.77</v>
    <v>260353100</v>
    <v>Profound Medical Corp.</v>
    <v>Profound Medical Corp.</v>
    <v>6.18</v>
    <v>0</v>
    <v>6.2</v>
    <v>6.13</v>
    <v>6.13</v>
    <v>30193590</v>
    <v>PROF</v>
    <v>Profound Medical Corp. (XNAS:PROF)</v>
    <v>55905</v>
    <v>76386</v>
    <v>2014</v>
  </rv>
  <rv s="2">
    <v>114</v>
  </rv>
  <rv s="0">
    <v>https://www.bing.com/financeapi/forcetrigger?t=a2si9c&amp;q=XNAS%3aPOET&amp;form=skydnc</v>
    <v>Learn more on Bing</v>
  </rv>
  <rv s="1">
    <v>0</v>
    <v>POET Technologies Inc. (XNAS:POET)</v>
    <v>2</v>
    <v>3</v>
    <v>Finance</v>
    <v>4</v>
    <v>en-US</v>
    <v>a2si9c</v>
    <v>268435456</v>
    <v>1</v>
    <v>Powered by Refinitiv</v>
    <v>9.41</v>
    <v>3.09</v>
    <v>0.40920000000000001</v>
    <v>-0.44</v>
    <v>-6.2234999999999999E-2</v>
    <v>0.05</v>
    <v>7.541E-3</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7.12</v>
    <v>Semiconductors &amp; Semiconductor Equipment</v>
    <v>Stock</v>
    <v>45959.983808818753</v>
    <v>116</v>
    <v>6.5</v>
    <v>691998294</v>
    <v>POET Technologies Inc.</v>
    <v>POET Technologies Inc.</v>
    <v>7.12</v>
    <v>0</v>
    <v>7.07</v>
    <v>6.63</v>
    <v>6.68</v>
    <v>104373800</v>
    <v>POET</v>
    <v>POET Technologies Inc. (XNAS:POET)</v>
    <v>17376250</v>
    <v>16183720</v>
    <v>2010</v>
  </rv>
  <rv s="2">
    <v>117</v>
  </rv>
  <rv s="0">
    <v>https://www.bing.com/financeapi/forcetrigger?t=a21g2w&amp;q=XNYS%3aPW&amp;form=skydnc</v>
    <v>Learn more on Bing</v>
  </rv>
  <rv s="5">
    <v>12</v>
    <v>POWER REIT (XNYS:PW)</v>
    <v>2</v>
    <v>13</v>
    <v>Finance</v>
    <v>5</v>
    <v>en-US</v>
    <v>a21g2w</v>
    <v>268435456</v>
    <v>1</v>
    <v>Powered by Refinitiv</v>
    <v>2.59</v>
    <v>0.62429999999999997</v>
    <v>1.5583</v>
    <v>-7.0699999999999999E-2</v>
    <v>-9.2940999999999996E-2</v>
    <v>0</v>
    <v>0</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0.78</v>
    <v>Residential &amp; Commercial REIT</v>
    <v>Stock</v>
    <v>45959.937500010936</v>
    <v>119</v>
    <v>0.62429999999999997</v>
    <v>2578520</v>
    <v>POWER REIT</v>
    <v>POWER REIT</v>
    <v>0.78</v>
    <v>0.76070000000000004</v>
    <v>0.69</v>
    <v>0.69</v>
    <v>3389660</v>
    <v>PW</v>
    <v>POWER REIT (XNYS:PW)</v>
    <v>137138</v>
    <v>77329</v>
    <v>2011</v>
  </rv>
  <rv s="2">
    <v>120</v>
  </rv>
  <rv s="0">
    <v>https://www.bing.com/financeapi/forcetrigger?t=a2218m&amp;q=XNAS%3aRIGL&amp;form=skydnc</v>
    <v>Learn more on Bing</v>
  </rv>
  <rv s="1">
    <v>0</v>
    <v>RIGEL PHARMACEUTICALS, INC. (XNAS:RIGL)</v>
    <v>2</v>
    <v>3</v>
    <v>Finance</v>
    <v>5</v>
    <v>en-US</v>
    <v>a2218m</v>
    <v>268435456</v>
    <v>1</v>
    <v>Powered by Refinitiv</v>
    <v>43.7181</v>
    <v>13.570499999999999</v>
    <v>1.2118</v>
    <v>-0.28999999999999998</v>
    <v>-9.7680000000000006E-3</v>
    <v>0</v>
    <v>0</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30.2</v>
    <v>Pharmaceuticals</v>
    <v>Stock</v>
    <v>45959.953844478907</v>
    <v>122</v>
    <v>29.164999999999999</v>
    <v>527357796</v>
    <v>RIGEL PHARMACEUTICALS, INC.</v>
    <v>RIGEL PHARMACEUTICALS, INC.</v>
    <v>29.7</v>
    <v>5.4828999999999999</v>
    <v>29.69</v>
    <v>29.4</v>
    <v>29.4</v>
    <v>17937340</v>
    <v>RIGL</v>
    <v>RIGEL PHARMACEUTICALS, INC. (XNAS:RIGL)</v>
    <v>261647</v>
    <v>529461</v>
    <v>1996</v>
  </rv>
  <rv s="2">
    <v>123</v>
  </rv>
  <rv s="0">
    <v>https://www.bing.com/financeapi/forcetrigger?t=afjzfr&amp;q=XFRA%3aRWE&amp;form=skydnc</v>
    <v>Learn more on Bing</v>
  </rv>
  <rv s="3">
    <v>6</v>
    <v>RWE AG (XFRA:RWE)</v>
    <v>2</v>
    <v>9</v>
    <v>Finance</v>
    <v>10</v>
    <v>en-US</v>
    <v>afjzfr</v>
    <v>268435456</v>
    <v>1</v>
    <v>Powered by Refinitiv</v>
    <v>44.03</v>
    <v>14.231</v>
    <v>0.51749999999999996</v>
    <v>1.2</v>
    <v>2.9197000000000001E-2</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42.38</v>
    <v>Multiline Utilities</v>
    <v>Stock</v>
    <v>45959.878472222219</v>
    <v>125</v>
    <v>41.02</v>
    <v>30601630000</v>
    <v>RWE AG</v>
    <v>RWE AG</v>
    <v>41.02</v>
    <v>12.1203</v>
    <v>41.1</v>
    <v>42.3</v>
    <v>743841200</v>
    <v>RWE</v>
    <v>RWE AG (XFRA:RWE)</v>
    <v>18717</v>
    <v>1687800</v>
    <v>2000</v>
  </rv>
  <rv s="2">
    <v>126</v>
  </rv>
  <rv s="0">
    <v>https://www.bing.com/financeapi/forcetrigger?t=aftlr7&amp;q=XETR%3aSAP&amp;form=skydnc</v>
    <v>Learn more on Bing</v>
  </rv>
  <rv s="3">
    <v>6</v>
    <v>Sap Se (XETR:SAP)</v>
    <v>2</v>
    <v>9</v>
    <v>Finance</v>
    <v>10</v>
    <v>en-US</v>
    <v>aftlr7</v>
    <v>268435456</v>
    <v>1</v>
    <v>Powered by Refinitiv</v>
    <v>283.5</v>
    <v>209.7</v>
    <v>0.99139999999999995</v>
    <v>-9.8000000000000007</v>
    <v>-4.1862000000000003E-2</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110730</v>
    <v>Xetra</v>
    <v>XETR</v>
    <v>XETR</v>
    <v>Dietmar-Hopp-Allee 16, WALLDORF, BADEN-WUERTTEMBERG, 69190 DE</v>
    <v>232.2</v>
    <v>Software &amp; IT Services</v>
    <v>Stock</v>
    <v>45959.930289351854</v>
    <v>128</v>
    <v>223.3</v>
    <v>287592800000</v>
    <v>Sap Se</v>
    <v>Sap Se</v>
    <v>231.7</v>
    <v>36.947400000000002</v>
    <v>234.1</v>
    <v>224.3</v>
    <v>1228504000</v>
    <v>SAP</v>
    <v>Sap Se (XETR:SAP)</v>
    <v>1934365</v>
    <v>1527610</v>
    <v>2014</v>
  </rv>
  <rv s="2">
    <v>129</v>
  </rv>
  <rv s="0">
    <v>https://www.bing.com/financeapi/forcetrigger?t=a2vkww&amp;q=OTCM%3aSHECY&amp;form=skydnc</v>
    <v>Learn more on Bing</v>
  </rv>
  <rv s="1">
    <v>0</v>
    <v>Shin-Etsu Chemical Co., Ltd. (OTCM:SHECY)</v>
    <v>2</v>
    <v>21</v>
    <v>Finance</v>
    <v>22</v>
    <v>en-US</v>
    <v>a2vkww</v>
    <v>268435456</v>
    <v>1</v>
    <v>Powered by Refinitiv</v>
    <v>19.86</v>
    <v>11.88</v>
    <v>1.4718</v>
    <v>-0.37</v>
    <v>-2.3995000000000002E-2</v>
    <v>0.01</v>
    <v>6.6449999999999994E-4</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15.35</v>
    <v>Chemicals</v>
    <v>Stock</v>
    <v>45959.888888888891</v>
    <v>131</v>
    <v>14.89</v>
    <v>9273901000000</v>
    <v>Shin-Etsu Chemical Co., Ltd.</v>
    <v>Shin-Etsu Chemical Co., Ltd.</v>
    <v>14.89</v>
    <v>0</v>
    <v>15.42</v>
    <v>15.05</v>
    <v>15.06</v>
    <v>1984996000</v>
    <v>SHECY</v>
    <v>Shin-Etsu Chemical Co., Ltd. (OTCM:SHECY)</v>
    <v>309348</v>
    <v>6674650</v>
    <v>1926</v>
  </rv>
  <rv s="2">
    <v>132</v>
  </rv>
  <rv s="0">
    <v>https://www.bing.com/financeapi/forcetrigger?t=a23myc&amp;q=XNAS%3aSSYS&amp;form=skydnc</v>
    <v>Learn more on Bing</v>
  </rv>
  <rv s="1">
    <v>0</v>
    <v>STRATASYS LTD (XNAS:SSYS)</v>
    <v>2</v>
    <v>3</v>
    <v>Finance</v>
    <v>4</v>
    <v>en-US</v>
    <v>a23myc</v>
    <v>268435456</v>
    <v>1</v>
    <v>Powered by Refinitiv</v>
    <v>12.88</v>
    <v>7.07</v>
    <v>1.6141000000000001</v>
    <v>-0.43</v>
    <v>-3.7294000000000001E-2</v>
    <v>0.06</v>
    <v>5.4050000000000001E-3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11.66</v>
    <v>Electronic Equipment &amp; Parts</v>
    <v>Stock</v>
    <v>45959.981793066407</v>
    <v>134</v>
    <v>11.08</v>
    <v>944535408</v>
    <v>STRATASYS LTD</v>
    <v>STRATASYS LTD</v>
    <v>11.5</v>
    <v>0</v>
    <v>11.53</v>
    <v>11.1</v>
    <v>11.16</v>
    <v>85093280</v>
    <v>SSYS</v>
    <v>STRATASYS LTD (XNAS:SSYS)</v>
    <v>652924</v>
    <v>1059445</v>
    <v>1998</v>
  </rv>
  <rv s="2">
    <v>135</v>
  </rv>
  <rv s="0">
    <v>https://www.bing.com/financeapi/forcetrigger?t=a24kar&amp;q=XNAS%3aTSLA&amp;form=skydnc</v>
    <v>Learn more on Bing</v>
  </rv>
  <rv s="1">
    <v>0</v>
    <v>TESLA, INC. (XNAS:TSLA)</v>
    <v>2</v>
    <v>3</v>
    <v>Finance</v>
    <v>4</v>
    <v>en-US</v>
    <v>a24kar</v>
    <v>268435456</v>
    <v>1</v>
    <v>Powered by Refinitiv</v>
    <v>488.53989999999999</v>
    <v>214.25</v>
    <v>2.0655000000000001</v>
    <v>0.9</v>
    <v>1.954E-3</v>
    <v>-2.5099999999999998</v>
    <v>-5.4390000000000003E-3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465.7</v>
    <v>Automobiles &amp; Auto Parts</v>
    <v>Stock</v>
    <v>45959.983865647657</v>
    <v>137</v>
    <v>452.65</v>
    <v>1534699177550</v>
    <v>TESLA, INC.</v>
    <v>TESLA, INC.</v>
    <v>462.5</v>
    <v>319.94040000000001</v>
    <v>460.55</v>
    <v>461.45</v>
    <v>459</v>
    <v>3325819000</v>
    <v>TSLA</v>
    <v>TESLA, INC. (XNAS:TSLA)</v>
    <v>67939163</v>
    <v>90155409</v>
    <v>2024</v>
  </rv>
  <rv s="2">
    <v>138</v>
  </rv>
  <rv s="0">
    <v>https://www.bing.com/financeapi/forcetrigger?t=a24kjc&amp;q=XNYS%3aTSM&amp;form=skydnc</v>
    <v>Learn more on Bing</v>
  </rv>
  <rv s="1">
    <v>0</v>
    <v>Taiwan Semiconductor Manufacturing Co., Ltd. (XNYS:TSM)</v>
    <v>2</v>
    <v>3</v>
    <v>Finance</v>
    <v>4</v>
    <v>en-US</v>
    <v>a24kjc</v>
    <v>268435456</v>
    <v>1</v>
    <v>Powered by Refinitiv</v>
    <v>311.36849999999998</v>
    <v>134.25</v>
    <v>1.3150999999999999</v>
    <v>3.57</v>
    <v>1.184E-2</v>
    <v>-1.34</v>
    <v>-4.3920000000000001E-3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307.95999999999998</v>
    <v>Semiconductors &amp; Semiconductor Equipment</v>
    <v>Stock</v>
    <v>45959.983780381248</v>
    <v>140</v>
    <v>302.38</v>
    <v>1249979000000</v>
    <v>Taiwan Semiconductor Manufacturing Co., Ltd.</v>
    <v>Taiwan Semiconductor Manufacturing Co., Ltd.</v>
    <v>305.8</v>
    <v>30.359400000000001</v>
    <v>301.52999999999997</v>
    <v>305.10000000000002</v>
    <v>303.75</v>
    <v>5186523000</v>
    <v>TSM</v>
    <v>Taiwan Semiconductor Manufacturing Co., Ltd. (XNYS:TSM)</v>
    <v>16166852</v>
    <v>13834527</v>
    <v>1987</v>
  </rv>
  <rv s="2">
    <v>141</v>
  </rv>
  <rv s="0">
    <v>https://www.bing.com/financeapi/forcetrigger?t=afn5ec&amp;q=XFRA%3aUN01&amp;form=skydnc</v>
    <v>Learn more on Bing</v>
  </rv>
  <rv s="9">
    <v>23</v>
    <v>Uniper SE (XFRA:UN0)</v>
    <v>2</v>
    <v>24</v>
    <v>Finance</v>
    <v>10</v>
    <v>en-US</v>
    <v>afn5ec</v>
    <v>268435456</v>
    <v>1</v>
    <v>Powered by Refinitiv</v>
    <v>73.5</v>
    <v>2.1</v>
    <v>1.0677000000000001</v>
    <v>0.25</v>
    <v>8.2640000000000005E-3</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30.5</v>
    <v>Multiline Utilities</v>
    <v>Stock</v>
    <v>45959.878472222219</v>
    <v>143</v>
    <v>30.1</v>
    <v>12723320000</v>
    <v>Uniper SE</v>
    <v>Uniper SE</v>
    <v>30.2</v>
    <v>30.25</v>
    <v>30.5</v>
    <v>416475300</v>
    <v>UN0</v>
    <v>Uniper SE (XFRA:UN0)</v>
    <v>75</v>
    <v>6150</v>
    <v>2016</v>
  </rv>
  <rv s="2">
    <v>144</v>
  </rv>
  <rv s="0">
    <v>https://www.bing.com/financeapi/forcetrigger?t=a24xoc&amp;q=XNAS%3aUNIT&amp;form=skydnc</v>
    <v>Learn more on Bing</v>
  </rv>
  <rv s="1">
    <v>0</v>
    <v>UNITI GROUP INC. (XNAS:UNIT)</v>
    <v>2</v>
    <v>3</v>
    <v>Finance</v>
    <v>5</v>
    <v>en-US</v>
    <v>a24xoc</v>
    <v>268435456</v>
    <v>1</v>
    <v>Powered by Refinitiv</v>
    <v>10.466100000000001</v>
    <v>5.3</v>
    <v>1.5309999999999999</v>
    <v>-0.2</v>
    <v>-3.3113000000000004E-2</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6.23</v>
    <v>Telecommunications Services</v>
    <v>Stock</v>
    <v>45959.910158807812</v>
    <v>146</v>
    <v>5.81</v>
    <v>864225976</v>
    <v>UNITI GROUP INC.</v>
    <v>UNITI GROUP INC.</v>
    <v>6</v>
    <v>24.548100000000002</v>
    <v>6.04</v>
    <v>5.84</v>
    <v>5.84</v>
    <v>147983900</v>
    <v>UNIT</v>
    <v>UNITI GROUP INC. (XNAS:UNIT)</v>
    <v>1680064</v>
    <v>2434038</v>
    <v>2024</v>
  </rv>
  <rv s="2">
    <v>147</v>
  </rv>
  <rv s="0">
    <v>http://tr.wikipedia.org/wiki/Volvo</v>
    <v>Wikipedia</v>
  </rv>
  <rv s="6">
    <v>43</v>
    <v>149</v>
  </rv>
  <rv s="7">
    <v>18</v>
    <v>https://www.bing.com/th?id=AMMS_a85eaa33bec7c64e52ade4c230f05d74&amp;qlt=95</v>
    <v>150</v>
    <v>0</v>
    <v>https://www.bing.com/images/search?form=xlimg&amp;q=ab+volvo</v>
    <v>Image of Volvo AB</v>
  </rv>
  <rv s="0">
    <v>https://www.bing.com/financeapi/forcetrigger?t=a31af2&amp;q=OTCM%3aVLVLY&amp;form=skydnc</v>
    <v>Learn more on Bing</v>
  </rv>
  <rv s="8">
    <v>14</v>
    <v>Volvo AB (OTCM:VLVLY)</v>
    <v>16</v>
    <v>25</v>
    <v>Finance</v>
    <v>22</v>
    <v>en-US</v>
    <v>a31af2</v>
    <v>268435456</v>
    <v>1</v>
    <v>Powered by Refinitiv</v>
    <v>33.33</v>
    <v>22.55</v>
    <v>0.90229999999999999</v>
    <v>0.03</v>
    <v>1.083E-3</v>
    <v>-0.01</v>
    <v>-3.6060000000000004E-4</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88191</v>
    <v>OTC Markets</v>
    <v>OTCM</v>
    <v>OTCM</v>
    <v>Gropegardsgatan 2, GOETEBORG, VASTRA GOTALANDS, 417 15 SE</v>
    <v>28.169899999999998</v>
    <v>151</v>
    <v>Machinery, Equipment &amp; Components</v>
    <v>Stock</v>
    <v>45959.888888888891</v>
    <v>152</v>
    <v>27.65</v>
    <v>530165400000</v>
    <v>Volvo AB</v>
    <v>Volvo AB</v>
    <v>27.914999999999999</v>
    <v>0</v>
    <v>27.7</v>
    <v>27.73</v>
    <v>27.72</v>
    <v>2033452000</v>
    <v>VLVLY</v>
    <v>Volvo AB (OTCM:VLVLY)</v>
    <v>51808</v>
    <v>4516180</v>
    <v>1915</v>
  </rv>
  <rv s="2">
    <v>153</v>
  </rv>
  <rv s="0">
    <v>https://www.bing.com/financeapi/forcetrigger?t=an41hw&amp;q=XSWX%3aVONN&amp;form=skydnc</v>
    <v>Learn more on Bing</v>
  </rv>
  <rv s="3">
    <v>6</v>
    <v>Vontobel Holding Ltd (XSWX:VONN)</v>
    <v>2</v>
    <v>26</v>
    <v>Finance</v>
    <v>10</v>
    <v>en-US</v>
    <v>an41hw</v>
    <v>268435456</v>
    <v>1</v>
    <v>Powered by Refinitiv</v>
    <v>69.5</v>
    <v>51.1</v>
    <v>1.0155000000000001</v>
    <v>-0.2</v>
    <v>-3.3110000000000001E-3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60.7</v>
    <v>Investment Banking &amp; Investment Services</v>
    <v>Stock</v>
    <v>45959.694444444445</v>
    <v>155</v>
    <v>60</v>
    <v>3435250000</v>
    <v>Vontobel Holding Ltd</v>
    <v>Vontobel Holding Ltd</v>
    <v>60.4</v>
    <v>13.5892</v>
    <v>60.4</v>
    <v>60.2</v>
    <v>56875000</v>
    <v>VONN</v>
    <v>Vontobel Holding Ltd (XSWX:VONN)</v>
    <v>35506</v>
    <v>35070</v>
    <v>1936</v>
  </rv>
  <rv s="2">
    <v>156</v>
  </rv>
  <rv s="0">
    <v>https://www.bing.com/financeapi/forcetrigger?t=a1y7rw&amp;q=XNAS%3aVTRS&amp;form=skydnc</v>
    <v>Learn more on Bing</v>
  </rv>
  <rv s="1">
    <v>0</v>
    <v>VIATRIS INC. (XNAS:VTRS)</v>
    <v>2</v>
    <v>3</v>
    <v>Finance</v>
    <v>5</v>
    <v>en-US</v>
    <v>a1y7rw</v>
    <v>268435456</v>
    <v>1</v>
    <v>Powered by Refinitiv</v>
    <v>13.55</v>
    <v>6.85</v>
    <v>0.89929999999999999</v>
    <v>-0.02</v>
    <v>-1.944E-3</v>
    <v>0.03</v>
    <v>2.9210000000000004E-3</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10.42</v>
    <v>Pharmaceuticals</v>
    <v>Stock</v>
    <v>45959.953183321093</v>
    <v>158</v>
    <v>10.220000000000001</v>
    <v>11878127950</v>
    <v>VIATRIS INC.</v>
    <v>VIATRIS INC.</v>
    <v>10.24</v>
    <v>0</v>
    <v>10.29</v>
    <v>10.27</v>
    <v>10.3</v>
    <v>1156585000</v>
    <v>VTRS</v>
    <v>VIATRIS INC. (XNAS:VTRS)</v>
    <v>9644033</v>
    <v>7134137</v>
    <v>2019</v>
  </rv>
  <rv s="2">
    <v>159</v>
  </rv>
  <rv s="0">
    <v>https://www.bing.com/financeapi/forcetrigger?t=a25pm7&amp;q=XNAS%3aWBA&amp;form=skydnc</v>
    <v>Learn more on Bing</v>
  </rv>
  <rv s="3">
    <v>6</v>
    <v>WALGREENS BOOTS ALLIANCE, INC. (XNAS:WBA)</v>
    <v>2</v>
    <v>19</v>
    <v>Finance</v>
    <v>20</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123.21</v>
    <v>97.8</v>
    <v>0.46429999999999999</v>
    <v>1.48</v>
    <v>1.2865999999999999E-2</v>
    <v>9.9299999999999999E-2</v>
    <v>8.5269999999999996E-4</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117.05</v>
    <v>Oil &amp; Gas</v>
    <v>Stock</v>
    <v>45959.983806631251</v>
    <v>164</v>
    <v>114.81</v>
    <v>496710907970</v>
    <v>EXXON MOBIL CORPORATION</v>
    <v>EXXON MOBIL CORPORATION</v>
    <v>114.92</v>
    <v>16.5321</v>
    <v>115.03</v>
    <v>116.51</v>
    <v>116.5493</v>
    <v>4263247000</v>
    <v>XOM</v>
    <v>EXXON MOBIL CORPORATION (XNYS:XOM)</v>
    <v>12570208</v>
    <v>13011401</v>
    <v>1882</v>
  </rv>
  <rv s="2">
    <v>165</v>
  </rv>
  <rv s="10">
    <v>27</v>
    <v>XPERI INC. (XNYS:XPER)</v>
    <v>28</v>
    <v>13</v>
    <v>Finance</v>
    <v>5</v>
    <v>en-US</v>
    <v>c7dbfr</v>
    <v>268435456</v>
    <v>1</v>
    <v>Powered by Refinitiv</v>
    <v>11.074999999999999</v>
    <v>5.6849999999999996</v>
    <v>1.1459999999999999</v>
    <v>-0.09</v>
    <v>-1.3352999999999999E-2</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6.8650000000000002</v>
    <v>Software &amp; IT Services</v>
    <v>Stock</v>
    <v>45959.958333356248</v>
    <v>6.56</v>
    <v>307630064</v>
    <v>XPERI INC.</v>
    <v>XPERI INC.</v>
    <v>6.75</v>
    <v>6.74</v>
    <v>6.65</v>
    <v>6.65</v>
    <v>46260160</v>
    <v>XPER</v>
    <v>XPERI INC. (XNYS:XPER)</v>
    <v>486406</v>
    <v>462139</v>
    <v>2019</v>
  </rv>
  <rv s="2">
    <v>167</v>
  </rv>
  <rv s="0">
    <v>https://www.bing.com/financeapi/forcetrigger?t=ajezf2&amp;q=XMIL%3aENI&amp;form=skydnc</v>
    <v>Learn more on Bing</v>
  </rv>
  <rv s="11">
    <v>29</v>
    <v>Eni SpA (XMIL:ENI)</v>
    <v>2</v>
    <v>30</v>
    <v>Finance</v>
    <v>31</v>
    <v>en-US</v>
    <v>ajezf2</v>
    <v>268435456</v>
    <v>1</v>
    <v>Powered by Refinitiv</v>
    <v>16.03</v>
    <v>11.01</v>
    <v>1.0817000000000001</v>
    <v>7.5999999999999998E-2</v>
    <v>4.7840000000000001E-3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16.03</v>
    <v>Oil &amp; Gas</v>
    <v>Stock</v>
    <v>45959.708333333336</v>
    <v>169</v>
    <v>15.874000000000001</v>
    <v>49989510000</v>
    <v>Eni SpA</v>
    <v>Eni SpA</v>
    <v>15.904</v>
    <v>17.543900000000001</v>
    <v>15.885999999999999</v>
    <v>15.962</v>
    <v>3146765000</v>
    <v>ENI</v>
    <v>Eni SpA (XMIL:ENI)</v>
    <v>8775537</v>
    <v>12654190</v>
  </rv>
  <rv s="2">
    <v>170</v>
  </rv>
  <rv s="0">
    <v>https://www.bing.com/financeapi/forcetrigger?t=ae8t4c&amp;q=XPAR%3aGLE&amp;form=skydnc</v>
    <v>Learn more on Bing</v>
  </rv>
  <rv s="11">
    <v>29</v>
    <v>Societe Generale SA (XPAR:GLE)</v>
    <v>2</v>
    <v>30</v>
    <v>Finance</v>
    <v>10</v>
    <v>en-US</v>
    <v>ae8t4c</v>
    <v>268435456</v>
    <v>1</v>
    <v>Powered by Refinitiv</v>
    <v>59.42</v>
    <v>23.35</v>
    <v>1.5678000000000001</v>
    <v>0.7</v>
    <v>1.2901000000000001E-2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55.6</v>
    <v>Banking Services</v>
    <v>Stock</v>
    <v>45959.708333333336</v>
    <v>172</v>
    <v>54.06</v>
    <v>42603880000</v>
    <v>Societe Generale SA</v>
    <v>Societe Generale SA</v>
    <v>54.34</v>
    <v>9.0876999999999999</v>
    <v>54.26</v>
    <v>54.96</v>
    <v>785180400</v>
    <v>GLE</v>
    <v>Societe Generale SA (XPAR:GLE)</v>
    <v>2170272</v>
    <v>1987110</v>
  </rv>
  <rv s="2">
    <v>173</v>
  </rv>
  <rv s="0">
    <v>https://www.bing.com/financeapi/forcetrigger?t=ae9qlh&amp;q=XPAR%3aORA&amp;form=skydnc</v>
    <v>Learn more on Bing</v>
  </rv>
  <rv s="3">
    <v>6</v>
    <v>Orange SA (XPAR:ORA)</v>
    <v>2</v>
    <v>9</v>
    <v>Finance</v>
    <v>10</v>
    <v>en-US</v>
    <v>ae9qlh</v>
    <v>268435456</v>
    <v>1</v>
    <v>Powered by Refinitiv</v>
    <v>14.56</v>
    <v>9.3699999999999992</v>
    <v>0.30530000000000002</v>
    <v>-0.17499999999999999</v>
    <v>-1.2599000000000001E-2</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13.86</v>
    <v>Telecommunications Services</v>
    <v>Stock</v>
    <v>45959.708333333336</v>
    <v>175</v>
    <v>13.69</v>
    <v>36948190000</v>
    <v>Orange SA</v>
    <v>Orange SA</v>
    <v>13.85</v>
    <v>43.872399999999999</v>
    <v>13.89</v>
    <v>13.715</v>
    <v>2660057000</v>
    <v>ORA</v>
    <v>Orange SA (XPAR:ORA)</v>
    <v>4304841</v>
    <v>4207060</v>
    <v>1991</v>
  </rv>
  <rv s="2">
    <v>176</v>
  </rv>
  <rv s="0">
    <v>https://www.bing.com/financeapi/forcetrigger?t=ayz4u2&amp;q=XNAS%3aBLNK&amp;form=skydnc</v>
    <v>Learn more on Bing</v>
  </rv>
  <rv s="1">
    <v>0</v>
    <v>BLINK CHARGING CO. (XNAS:BLNK)</v>
    <v>2</v>
    <v>3</v>
    <v>Finance</v>
    <v>4</v>
    <v>en-US</v>
    <v>ayz4u2</v>
    <v>268435456</v>
    <v>1</v>
    <v>Powered by Refinitiv</v>
    <v>2.6499000000000001</v>
    <v>0.63009999999999999</v>
    <v>3.4979</v>
    <v>-0.03</v>
    <v>-1.7441999999999999E-2</v>
    <v>9.9000000000000008E-3</v>
    <v>5.8579999999999995E-3</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1.7799</v>
    <v>Electrical Utilities &amp; IPPs</v>
    <v>Stock</v>
    <v>45959.983563807815</v>
    <v>178</v>
    <v>1.66</v>
    <v>176967167</v>
    <v>BLINK CHARGING CO.</v>
    <v>BLINK CHARGING CO.</v>
    <v>1.71</v>
    <v>0</v>
    <v>1.72</v>
    <v>1.69</v>
    <v>1.6999</v>
    <v>104714300</v>
    <v>BLNK</v>
    <v>BLINK CHARGING CO. (XNAS:BLNK)</v>
    <v>3553687</v>
    <v>6340159</v>
    <v>2006</v>
  </rv>
  <rv s="2">
    <v>179</v>
  </rv>
  <rv s="0">
    <v>https://www.bing.com/financeapi/forcetrigger?t=ao8g3m&amp;q=XLON%3aEZJ&amp;form=skydnc</v>
    <v>Learn more on Bing</v>
  </rv>
  <rv s="3">
    <v>6</v>
    <v>EASYJET PLC (XLON:EZJ)</v>
    <v>2</v>
    <v>7</v>
    <v>Finance</v>
    <v>8</v>
    <v>en-US</v>
    <v>ao8g3m</v>
    <v>268435456</v>
    <v>1</v>
    <v>Powered by Refinitiv</v>
    <v>594</v>
    <v>401.05</v>
    <v>2.8580000000000001</v>
    <v>-5.6</v>
    <v>-1.1616E-2</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486.2</v>
    <v>Passenger Transportation Services</v>
    <v>Stock</v>
    <v>45959.737270740625</v>
    <v>181</v>
    <v>475.9</v>
    <v>3654366000</v>
    <v>EASYJET PLC</v>
    <v>EASYJET PLC</v>
    <v>481.9</v>
    <v>8.6626999999999992</v>
    <v>482.1</v>
    <v>476.5</v>
    <v>758010000</v>
    <v>EZJ</v>
    <v>EASYJET PLC (XLON:EZJ)</v>
    <v>3450008</v>
    <v>5188640</v>
    <v>2000</v>
  </rv>
  <rv s="2">
    <v>182</v>
  </rv>
  <rv s="0">
    <v>http://en.wikipedia.org/wiki/Ford_Motor_Company</v>
    <v>Wikipedia</v>
  </rv>
  <rv s="6">
    <v>43</v>
    <v>184</v>
  </rv>
  <rv s="7">
    <v>18</v>
    <v>https://www.bing.com/th?id=AMMS_cf0311a5f2d2dcb3110aca1404330618&amp;qlt=95</v>
    <v>185</v>
    <v>0</v>
    <v>https://www.bing.com/images/search?form=xlimg&amp;q=ford+motor+company</v>
    <v>Image of FORD MOTOR COMPANY</v>
  </rv>
  <rv s="0">
    <v>https://www.bing.com/financeapi/forcetrigger?t=a1sjw7&amp;q=XNYS%3aF&amp;form=skydnc</v>
    <v>Learn more on Bing</v>
  </rv>
  <rv s="8">
    <v>14</v>
    <v>FORD MOTOR COMPANY (XNYS:F)</v>
    <v>16</v>
    <v>17</v>
    <v>Finance</v>
    <v>4</v>
    <v>en-US</v>
    <v>a1sjw7</v>
    <v>268435456</v>
    <v>1</v>
    <v>Powered by Refinitiv</v>
    <v>13.97</v>
    <v>8.4405999999999999</v>
    <v>1.61</v>
    <v>0.115</v>
    <v>8.7589999999999994E-3</v>
    <v>-1.9800000000000002E-2</v>
    <v>-1.495E-3</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13.39</v>
    <v>186</v>
    <v>Automobiles &amp; Auto Parts</v>
    <v>Stock</v>
    <v>45959.983859606247</v>
    <v>187</v>
    <v>13.07</v>
    <v>52774689255</v>
    <v>FORD MOTOR COMPANY</v>
    <v>FORD MOTOR COMPANY</v>
    <v>13.1</v>
    <v>11.374000000000001</v>
    <v>13.13</v>
    <v>13.244999999999999</v>
    <v>13.2202</v>
    <v>3984499000</v>
    <v>F</v>
    <v>FORD MOTOR COMPANY (XNYS:F)</v>
    <v>127421965</v>
    <v>136043274</v>
    <v>1919</v>
  </rv>
  <rv s="2">
    <v>188</v>
  </rv>
  <rv s="0">
    <v>https://www.bing.com/financeapi/forcetrigger?t=a1u1z2&amp;q=XNYS%3aGNRC&amp;form=skydnc</v>
    <v>Learn more on Bing</v>
  </rv>
  <rv s="1">
    <v>0</v>
    <v>GENERAC HOLDINGS INC. (XNYS:GNRC)</v>
    <v>2</v>
    <v>3</v>
    <v>Finance</v>
    <v>5</v>
    <v>en-US</v>
    <v>a1u1z2</v>
    <v>268435456</v>
    <v>1</v>
    <v>Powered by Refinitiv</v>
    <v>203.2499</v>
    <v>99.5</v>
    <v>1.7044999999999999</v>
    <v>-9.2899999999999991</v>
    <v>-4.8856000000000004E-2</v>
    <v>1.69</v>
    <v>9.3439999999999999E-3</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200.6</v>
    <v>Machinery, Equipment &amp; Components</v>
    <v>Stock</v>
    <v>45959.968620126565</v>
    <v>190</v>
    <v>167.29499999999999</v>
    <v>10612132317</v>
    <v>GENERAC HOLDINGS INC.</v>
    <v>GENERAC HOLDINGS INC.</v>
    <v>169.4</v>
    <v>30.0322</v>
    <v>190.15</v>
    <v>180.86</v>
    <v>182.55</v>
    <v>58675950</v>
    <v>GNRC</v>
    <v>GENERAC HOLDINGS INC. (XNYS:GNRC)</v>
    <v>5015497</v>
    <v>1003245</v>
    <v>2006</v>
  </rv>
  <rv s="2">
    <v>191</v>
  </rv>
  <rv s="0">
    <v>https://www.bing.com/financeapi/forcetrigger?t=a1u7xm&amp;q=XNYS%3aGS&amp;form=skydnc</v>
    <v>Learn more on Bing</v>
  </rv>
  <rv s="1">
    <v>0</v>
    <v>THE GOLDMAN SACHS GROUP, INC. (XNYS:GS)</v>
    <v>2</v>
    <v>3</v>
    <v>Finance</v>
    <v>4</v>
    <v>en-US</v>
    <v>a1u7xm</v>
    <v>268435456</v>
    <v>1</v>
    <v>Powered by Refinitiv</v>
    <v>825.25</v>
    <v>439.38</v>
    <v>1.3975</v>
    <v>-8.98</v>
    <v>-1.1337E-2</v>
    <v>1.1299999999999999</v>
    <v>1.4430000000000001E-3</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48300</v>
    <v>New York Stock Exchange</v>
    <v>XNYS</v>
    <v>XNYS</v>
    <v>200 West St, NEW YORK, NY, 10282 US</v>
    <v>800.49</v>
    <v>Investment Banking &amp; Investment Services</v>
    <v>Stock</v>
    <v>45959.978648193748</v>
    <v>193</v>
    <v>778.82</v>
    <v>237063920621</v>
    <v>THE GOLDMAN SACHS GROUP, INC.</v>
    <v>THE GOLDMAN SACHS GROUP, INC.</v>
    <v>788</v>
    <v>15.908099999999999</v>
    <v>792.09</v>
    <v>783.11</v>
    <v>784.19</v>
    <v>302721100</v>
    <v>GS</v>
    <v>THE GOLDMAN SACHS GROUP, INC. (XNYS:GS)</v>
    <v>2251230</v>
    <v>2051111</v>
    <v>1998</v>
  </rv>
  <rv s="2">
    <v>194</v>
  </rv>
  <rv s="0">
    <v>https://www.bing.com/financeapi/forcetrigger?t=bplbur&amp;q=XNAS%3aLAZR&amp;form=skydnc</v>
    <v>Learn more on Bing</v>
  </rv>
  <rv s="1">
    <v>0</v>
    <v>LUMINAR TECHNOLOGIES, INC. (XNAS:LAZR)</v>
    <v>2</v>
    <v>3</v>
    <v>Finance</v>
    <v>4</v>
    <v>en-US</v>
    <v>bplbur</v>
    <v>268435456</v>
    <v>1</v>
    <v>Powered by Refinitiv</v>
    <v>18.600000000000001</v>
    <v>1.58</v>
    <v>2.0674999999999999</v>
    <v>0.03</v>
    <v>1.4563E-2</v>
    <v>0.03</v>
    <v>1.4354E-2</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2.23</v>
    <v>Automobiles &amp; Auto Parts</v>
    <v>Stock</v>
    <v>45959.981593113283</v>
    <v>196</v>
    <v>2.0499999999999998</v>
    <v>143717721</v>
    <v>LUMINAR TECHNOLOGIES, INC.</v>
    <v>LUMINAR TECHNOLOGIES, INC.</v>
    <v>2.09</v>
    <v>0</v>
    <v>2.06</v>
    <v>2.09</v>
    <v>2.12</v>
    <v>68764460</v>
    <v>LAZR</v>
    <v>LUMINAR TECHNOLOGIES, INC. (XNAS:LAZR)</v>
    <v>6096893</v>
    <v>7575454</v>
    <v>2018</v>
  </rv>
  <rv s="2">
    <v>197</v>
  </rv>
  <rv s="0">
    <v>https://www.bing.com/financeapi/forcetrigger?t=a1x6rw&amp;q=XNYS%3aLUV&amp;form=skydnc</v>
    <v>Learn more on Bing</v>
  </rv>
  <rv s="1">
    <v>0</v>
    <v>SOUTHWEST AIRLINES CO. (XNYS:LUV)</v>
    <v>2</v>
    <v>3</v>
    <v>Finance</v>
    <v>4</v>
    <v>en-US</v>
    <v>a1x6rw</v>
    <v>268435456</v>
    <v>1</v>
    <v>Powered by Refinitiv</v>
    <v>37.96</v>
    <v>23.815000000000001</v>
    <v>1.2273000000000001</v>
    <v>-0.42499999999999999</v>
    <v>-1.367E-2</v>
    <v>-0.01</v>
    <v>-3.2620000000000001E-4</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72223</v>
    <v>New York Stock Exchange</v>
    <v>XNYS</v>
    <v>XNYS</v>
    <v>2702 Love Field Dr, Po Box 36611, DALLAS, TX, 75235 US</v>
    <v>31.13</v>
    <v>Passenger Transportation Services</v>
    <v>Stock</v>
    <v>45959.982571110937</v>
    <v>199</v>
    <v>30.454999999999998</v>
    <v>15858561141</v>
    <v>SOUTHWEST AIRLINES CO.</v>
    <v>SOUTHWEST AIRLINES CO.</v>
    <v>31.02</v>
    <v>45.830199999999998</v>
    <v>31.09</v>
    <v>30.664999999999999</v>
    <v>30.65</v>
    <v>517155100</v>
    <v>LUV</v>
    <v>SOUTHWEST AIRLINES CO. (XNYS:LUV)</v>
    <v>10919370</v>
    <v>9811602</v>
    <v>1967</v>
  </rv>
  <rv s="2">
    <v>200</v>
  </rv>
  <rv s="0">
    <v>https://www.bing.com/financeapi/forcetrigger?t=a1x8w7&amp;q=XNYS%3aMA&amp;form=skydnc</v>
    <v>Learn more on Bing</v>
  </rv>
  <rv s="1">
    <v>0</v>
    <v>MASTERCARD INCORPORATED. (XNYS:MA)</v>
    <v>2</v>
    <v>3</v>
    <v>Finance</v>
    <v>4</v>
    <v>en-US</v>
    <v>a1x8w7</v>
    <v>268435456</v>
    <v>1</v>
    <v>Powered by Refinitiv</v>
    <v>601.77</v>
    <v>465.59</v>
    <v>0.92269999999999996</v>
    <v>-11.09</v>
    <v>-1.9595999999999999E-2</v>
    <v>0.42</v>
    <v>7.5730000000000003E-4</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566.80989999999997</v>
    <v>Software &amp; IT Services</v>
    <v>Stock</v>
    <v>45959.98177942109</v>
    <v>202</v>
    <v>551.23</v>
    <v>501581907112</v>
    <v>MASTERCARD INCORPORATED.</v>
    <v>MASTERCARD INCORPORATED.</v>
    <v>561.63</v>
    <v>37.417900000000003</v>
    <v>565.92999999999995</v>
    <v>554.84</v>
    <v>555</v>
    <v>904011800</v>
    <v>MA</v>
    <v>MASTERCARD INCORPORATED. (XNYS:MA)</v>
    <v>3762374</v>
    <v>2572109</v>
    <v>2001</v>
  </rv>
  <rv s="2">
    <v>203</v>
  </rv>
  <rv s="0">
    <v>https://www.bing.com/financeapi/forcetrigger?t=a1yuvh&amp;q=XNAS%3aNVAX&amp;form=skydnc</v>
    <v>Learn more on Bing</v>
  </rv>
  <rv s="1">
    <v>0</v>
    <v>NOVAVAX, INC. (XNAS:NVAX)</v>
    <v>2</v>
    <v>3</v>
    <v>Finance</v>
    <v>4</v>
    <v>en-US</v>
    <v>a1yuvh</v>
    <v>268435456</v>
    <v>1</v>
    <v>Powered by Refinitiv</v>
    <v>11.55</v>
    <v>5.01</v>
    <v>2.6821999999999999</v>
    <v>-0.14000000000000001</v>
    <v>-1.6431999999999999E-2</v>
    <v>-0.02</v>
    <v>-2.3869999999999998E-3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8.58</v>
    <v>Biotechnology &amp; Medical Research</v>
    <v>Stock</v>
    <v>45959.978908483594</v>
    <v>205</v>
    <v>8.2799999999999994</v>
    <v>1361093008</v>
    <v>NOVAVAX, INC.</v>
    <v>NOVAVAX, INC.</v>
    <v>8.5</v>
    <v>3.6638999999999999</v>
    <v>8.52</v>
    <v>8.3800000000000008</v>
    <v>8.36</v>
    <v>162421600</v>
    <v>NVAX</v>
    <v>NOVAVAX, INC. (XNAS:NVAX)</v>
    <v>2658985</v>
    <v>4349181</v>
    <v>1987</v>
  </rv>
  <rv s="2">
    <v>206</v>
  </rv>
  <rv s="0">
    <v>http://en.wikipedia.org/wiki/Novartis</v>
    <v>Wikipedia</v>
  </rv>
  <rv s="6">
    <v>43</v>
    <v>208</v>
  </rv>
  <rv s="7">
    <v>18</v>
    <v>https://www.bing.com/th?id=AMMS_3a4201ed5d487670c98d0ce5663b2ca7&amp;qlt=95</v>
    <v>209</v>
    <v>0</v>
    <v>https://www.bing.com/images/search?form=xlimg&amp;q=novartis</v>
    <v>Image of Novartis Inc.</v>
  </rv>
  <rv s="0">
    <v>https://www.bing.com/financeapi/forcetrigger?t=a1yw77&amp;q=XNYS%3aNVS&amp;form=skydnc</v>
    <v>Learn more on Bing</v>
  </rv>
  <rv s="8">
    <v>14</v>
    <v>Novartis Inc. (XNYS:NVS)</v>
    <v>16</v>
    <v>17</v>
    <v>Finance</v>
    <v>5</v>
    <v>en-US</v>
    <v>a1yw77</v>
    <v>268435456</v>
    <v>1</v>
    <v>Powered by Refinitiv</v>
    <v>133.55000000000001</v>
    <v>96.061999999999998</v>
    <v>0.59570000000000001</v>
    <v>-1.63</v>
    <v>-1.3206000000000001E-2</v>
    <v>2.48</v>
    <v>2.0360999999999997E-2</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123.925</v>
    <v>210</v>
    <v>Pharmaceuticals</v>
    <v>Stock</v>
    <v>45959.958333344533</v>
    <v>211</v>
    <v>121.57</v>
    <v>262644800000</v>
    <v>Novartis Inc.</v>
    <v>Novartis Inc.</v>
    <v>123.29</v>
    <v>16.657499999999999</v>
    <v>123.43</v>
    <v>121.8</v>
    <v>124.28</v>
    <v>2112422000</v>
    <v>NVS</v>
    <v>Novartis Inc. (XNYS:NVS)</v>
    <v>2582630</v>
    <v>1722418</v>
    <v>1996</v>
  </rv>
  <rv s="2">
    <v>212</v>
  </rv>
  <rv s="0">
    <v>https://www.bing.com/financeapi/forcetrigger?t=a1zez2&amp;q=XNYS%3aOXY&amp;form=skydnc</v>
    <v>Learn more on Bing</v>
  </rv>
  <rv s="1">
    <v>0</v>
    <v>OCCIDENTAL PETROLEUM CORPORATION (XNYS:OXY)</v>
    <v>2</v>
    <v>3</v>
    <v>Finance</v>
    <v>4</v>
    <v>en-US</v>
    <v>a1zez2</v>
    <v>268435456</v>
    <v>1</v>
    <v>Powered by Refinitiv</v>
    <v>53.2</v>
    <v>34.784999999999997</v>
    <v>0.89639999999999997</v>
    <v>-0.245</v>
    <v>-6.0000000000000001E-3</v>
    <v>-0.03</v>
    <v>-7.3929999999999992E-4</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41.12</v>
    <v>Oil &amp; Gas</v>
    <v>Stock</v>
    <v>45959.982787615627</v>
    <v>214</v>
    <v>40.470999999999997</v>
    <v>39953489283</v>
    <v>OCCIDENTAL PETROLEUM CORPORATION</v>
    <v>OCCIDENTAL PETROLEUM CORPORATION</v>
    <v>40.799999999999997</v>
    <v>24.050799999999999</v>
    <v>40.83</v>
    <v>40.585000000000001</v>
    <v>40.549999999999997</v>
    <v>984439800</v>
    <v>OXY</v>
    <v>OCCIDENTAL PETROLEUM CORPORATION (XNYS:OXY)</v>
    <v>10866262</v>
    <v>12266584</v>
    <v>1986</v>
  </rv>
  <rv s="2">
    <v>215</v>
  </rv>
  <rv s="0">
    <v>https://www.bing.com/financeapi/forcetrigger?t=a1zqnm&amp;q=XNYS%3aPFE&amp;form=skydnc</v>
    <v>Learn more on Bing</v>
  </rv>
  <rv s="1">
    <v>0</v>
    <v>PFIZER INC. (XNYS:PFE)</v>
    <v>2</v>
    <v>3</v>
    <v>Finance</v>
    <v>4</v>
    <v>en-US</v>
    <v>a1zqnm</v>
    <v>268435456</v>
    <v>1</v>
    <v>Powered by Refinitiv</v>
    <v>29.17</v>
    <v>20.914999999999999</v>
    <v>0.50170000000000003</v>
    <v>-0.19</v>
    <v>-7.7549999999999997E-3</v>
    <v>1E-4</v>
    <v>4.1169999999999997E-6</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24.625</v>
    <v>Pharmaceuticals</v>
    <v>Stock</v>
    <v>45959.983848356249</v>
    <v>217</v>
    <v>24.23</v>
    <v>138215720500</v>
    <v>PFIZER INC.</v>
    <v>PFIZER INC.</v>
    <v>24.53</v>
    <v>17.628699999999998</v>
    <v>24.5</v>
    <v>24.31</v>
    <v>24.290099999999999</v>
    <v>5685550000</v>
    <v>PFE</v>
    <v>PFIZER INC. (XNYS:PFE)</v>
    <v>65423200</v>
    <v>55537035</v>
    <v>1942</v>
  </rv>
  <rv s="2">
    <v>218</v>
  </rv>
  <rv s="0">
    <v>https://www.bing.com/financeapi/forcetrigger?t=a2215r&amp;q=XNYS%3aRIG&amp;form=skydnc</v>
    <v>Learn more on Bing</v>
  </rv>
  <rv s="1">
    <v>0</v>
    <v>Transocean Ltd (XNYS:RIG)</v>
    <v>2</v>
    <v>3</v>
    <v>Finance</v>
    <v>4</v>
    <v>en-US</v>
    <v>a2215r</v>
    <v>268435456</v>
    <v>1</v>
    <v>Powered by Refinitiv</v>
    <v>4.74</v>
    <v>1.97</v>
    <v>2.6511999999999998</v>
    <v>8.5000000000000006E-2</v>
    <v>2.2667000000000003E-2</v>
    <v>0.04</v>
    <v>1.0444E-2</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3.9</v>
    <v>Oil &amp; Gas Related Equipment and Services</v>
    <v>Stock</v>
    <v>45959.981788818754</v>
    <v>220</v>
    <v>3.73</v>
    <v>4222304320</v>
    <v>Transocean Ltd</v>
    <v>Transocean Ltd</v>
    <v>3.75</v>
    <v>0</v>
    <v>3.75</v>
    <v>3.835</v>
    <v>3.87</v>
    <v>1100992000</v>
    <v>RIG</v>
    <v>Transocean Ltd (XNYS:RIG)</v>
    <v>64211909</v>
    <v>64309068</v>
    <v>2008</v>
  </rv>
  <rv s="2">
    <v>221</v>
  </rv>
  <rv s="0">
    <v>https://www.bing.com/financeapi/forcetrigger?t=a228w7&amp;q=XNYS%3aRRC&amp;form=skydnc</v>
    <v>Learn more on Bing</v>
  </rv>
  <rv s="1">
    <v>0</v>
    <v>RANGE RESOURCES CORPORATION (XNYS:RRC)</v>
    <v>2</v>
    <v>3</v>
    <v>Finance</v>
    <v>5</v>
    <v>en-US</v>
    <v>a228w7</v>
    <v>268435456</v>
    <v>1</v>
    <v>Powered by Refinitiv</v>
    <v>43.5</v>
    <v>29.48</v>
    <v>0.49659999999999999</v>
    <v>-1.98</v>
    <v>-5.3556999999999994E-2</v>
    <v>0.4</v>
    <v>1.1431999999999999E-2</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36.53</v>
    <v>Oil &amp; Gas</v>
    <v>Stock</v>
    <v>45959.962167916405</v>
    <v>223</v>
    <v>34.405000000000001</v>
    <v>8334306589</v>
    <v>RANGE RESOURCES CORPORATION</v>
    <v>RANGE RESOURCES CORPORATION</v>
    <v>35</v>
    <v>14.6937</v>
    <v>36.97</v>
    <v>34.99</v>
    <v>35.39</v>
    <v>238191100</v>
    <v>RRC</v>
    <v>RANGE RESOURCES CORPORATION (XNYS:RRC)</v>
    <v>5864807</v>
    <v>2960104</v>
    <v>1980</v>
  </rv>
  <rv s="2">
    <v>224</v>
  </rv>
  <rv s="0">
    <v>https://www.bing.com/financeapi/forcetrigger?t=a23i8m&amp;q=XNYS%3aSQ&amp;form=skydnc</v>
    <v>Learn more on Bing</v>
  </rv>
  <rv s="1">
    <v>0</v>
    <v>BLOCK, INC. (XNYS:XYZ)</v>
    <v>2</v>
    <v>3</v>
    <v>Finance</v>
    <v>4</v>
    <v>en-US</v>
    <v>a23i8m</v>
    <v>268435456</v>
    <v>1</v>
    <v>Powered by Refinitiv</v>
    <v>99.26</v>
    <v>44.27</v>
    <v>2.7439</v>
    <v>-3.67</v>
    <v>-4.5772000000000007E-2</v>
    <v>-0.67</v>
    <v>-8.7570000000000009E-3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78.150000000000006</v>
    <v>Professional &amp; Commercial Services</v>
    <v>Stock</v>
    <v>45959.983744953126</v>
    <v>226</v>
    <v>75.069999999999993</v>
    <v>46639271840</v>
    <v>BLOCK, INC.</v>
    <v>BLOCK, INC.</v>
    <v>77.805000000000007</v>
    <v>45.1813</v>
    <v>80.180000000000007</v>
    <v>76.510000000000005</v>
    <v>75.84</v>
    <v>609584000</v>
    <v>XYZ</v>
    <v>BLOCK, INC. (XNYS:XYZ)</v>
    <v>8018694</v>
    <v>5587510</v>
    <v>2009</v>
  </rv>
  <rv s="2">
    <v>227</v>
  </rv>
  <rv s="0">
    <v>https://www.bing.com/financeapi/forcetrigger?t=a2475r&amp;q=XNYS%3aTHC&amp;form=skydnc</v>
    <v>Learn more on Bing</v>
  </rv>
  <rv s="1">
    <v>0</v>
    <v>TENET HEALTHCARE CORPORATION (XNYS:THC)</v>
    <v>2</v>
    <v>3</v>
    <v>Finance</v>
    <v>5</v>
    <v>en-US</v>
    <v>a2475r</v>
    <v>268435456</v>
    <v>1</v>
    <v>Powered by Refinitiv</v>
    <v>217.42500000000001</v>
    <v>109.82389999999999</v>
    <v>1.5214000000000001</v>
    <v>4.5199999999999996</v>
    <v>2.2090000000000002E-2</v>
    <v>0.01</v>
    <v>4.7809999999999998E-5</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212.22</v>
    <v>Healthcare Providers &amp; Services</v>
    <v>Stock</v>
    <v>45959.958333344533</v>
    <v>229</v>
    <v>203.54</v>
    <v>18477728140</v>
    <v>TENET HEALTHCARE CORPORATION</v>
    <v>TENET HEALTHCARE CORPORATION</v>
    <v>205.34</v>
    <v>13.9003</v>
    <v>204.62</v>
    <v>209.14</v>
    <v>209.15</v>
    <v>88351000</v>
    <v>THC</v>
    <v>TENET HEALTHCARE CORPORATION (XNYS:THC)</v>
    <v>1422483</v>
    <v>994962</v>
    <v>1975</v>
  </rv>
  <rv s="2">
    <v>230</v>
  </rv>
  <rv s="0">
    <v>https://www.bing.com/financeapi/forcetrigger?t=a265bh&amp;q=XNYS%3aX&amp;form=skydnc</v>
    <v>Learn more on Bing</v>
  </rv>
  <rv s="3">
    <v>6</v>
    <v>UNITED STATES STEEL CORPORATION (XNYS:X)</v>
    <v>2</v>
    <v>19</v>
    <v>Finance</v>
    <v>20</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232</v>
    <v>54.78</v>
    <v>12416823444</v>
    <v>UNITED STATES STEEL CORPORATION</v>
    <v>UNITED STATES STEEL CORPORATION</v>
    <v>54.83</v>
    <v>186.1634</v>
    <v>54.85</v>
    <v>54.84</v>
    <v>226419100</v>
    <v>X</v>
    <v>UNITED STATES STEEL CORPORATION (XNYS:X)</v>
    <v>876</v>
    <v>12153533</v>
    <v>2001</v>
  </rv>
  <rv s="2">
    <v>233</v>
  </rv>
  <rv s="0">
    <v>https://www.bing.com/financeapi/forcetrigger?t=bnyaur&amp;q=XSWX%3aLOCK&amp;form=skydnc</v>
    <v>Learn more on Bing</v>
  </rv>
  <rv s="12">
    <v>32</v>
    <v>iShs Digtl Sec UCITS ETF USD A (XSWX:LOCK)</v>
    <v>33</v>
    <v>34</v>
    <v>Finance</v>
    <v>10</v>
    <v>en-US</v>
    <v>bnyaur</v>
    <v>268435456</v>
    <v>1</v>
    <v>Powered by Refinitiv</v>
    <v>10.672000000000001</v>
    <v>7.4260000000000002</v>
    <v>0.58640000000000003</v>
    <v>-0.14599999999999999</v>
    <v>-1.3755E-2</v>
    <v>USD</v>
    <v>SIX Swiss Exchange</v>
    <v>XSWX</v>
    <v>4.0000000000000001E-3</v>
    <v>10.612</v>
    <v>ETF</v>
    <v>45959.729189814818</v>
    <v>235</v>
    <v>10.468</v>
    <v>1707250070.21</v>
    <v>iShs Digtl Sec UCITS ETF USD A</v>
    <v>10.612</v>
    <v>10.614000000000001</v>
    <v>10.468</v>
    <v>LOCK</v>
    <v>iShs Digtl Sec UCITS ETF USD A (XSWX:LOCK)</v>
    <v>25777</v>
  </rv>
  <rv s="2">
    <v>236</v>
  </rv>
  <rv s="4">
    <v>12</v>
    <v>Volume average</v>
    <v>0</v>
  </rv>
  <rv s="13">
    <v>12</v>
    <v>1</v>
  </rv>
  <rv s="14">
    <v>35</v>
    <v>EUR/USD</v>
    <v>36</v>
    <v>37</v>
    <v>Finance</v>
    <v>38</v>
    <v>en-US</v>
    <v>av932w</v>
    <v>268435456</v>
    <v>1</v>
    <v>Powered by Refinitiv</v>
    <v>1.1918</v>
    <v>1.0176000000000001</v>
    <v>2.9999999999999997E-4</v>
    <v>2.586E-4</v>
    <v>USD</v>
    <v>EUR</v>
    <v>1.1605000000000001</v>
    <v>Currency Pair</v>
    <v>45959.983842592592</v>
    <v>1.1600999999999999</v>
    <v>Euro/US Dollar FX Spot Rate</v>
    <v>1.1599999999999999</v>
    <v>1.1598999999999999</v>
    <v>1.1601999999999999</v>
    <v>EURUSD</v>
    <v>EUR/USD</v>
  </rv>
  <rv s="2">
    <v>240</v>
  </rv>
  <rv s="14">
    <v>35</v>
    <v>EUR/CHF</v>
    <v>36</v>
    <v>39</v>
    <v>Finance</v>
    <v>38</v>
    <v>en-US</v>
    <v>av923m</v>
    <v>268435456</v>
    <v>1</v>
    <v>Powered by Refinitiv</v>
    <v>0.96609999999999996</v>
    <v>0.92</v>
    <v>4.0000000000000002E-4</v>
    <v>4.3130000000000002E-4</v>
    <v>CHF</v>
    <v>EUR</v>
    <v>0.92849999999999999</v>
    <v>Currency Pair</v>
    <v>45959.983842592592</v>
    <v>0.92749999999999999</v>
    <v>Euro/Swiss Franc FX Cross Rate</v>
    <v>0.92749999999999999</v>
    <v>0.92749999999999999</v>
    <v>0.92789999999999995</v>
    <v>EURCHF</v>
    <v>EUR/CHF</v>
  </rv>
  <rv s="2">
    <v>242</v>
  </rv>
  <rv s="14">
    <v>35</v>
    <v>EUR/GBP</v>
    <v>36</v>
    <v>40</v>
    <v>Finance</v>
    <v>38</v>
    <v>en-US</v>
    <v>av92z2</v>
    <v>268435456</v>
    <v>1</v>
    <v>Powered by Refinitiv</v>
    <v>0.88009999999999999</v>
    <v>0.82189999999999996</v>
    <v>-1E-4</v>
    <v>-1.138E-4</v>
    <v>GBP</v>
    <v>EUR</v>
    <v>0.88009999999999999</v>
    <v>Currency Pair</v>
    <v>45959.983865740738</v>
    <v>0.879</v>
    <v>Euro/UK Pound Sterling FX Cross Rate</v>
    <v>0.87890000000000001</v>
    <v>0.879</v>
    <v>0.87890000000000001</v>
    <v>EURGBP</v>
    <v>EUR/GBP</v>
  </rv>
  <rv s="2">
    <v>244</v>
  </rv>
  <rv s="14">
    <v>35</v>
    <v>EUR/AUD</v>
    <v>36</v>
    <v>41</v>
    <v>Finance</v>
    <v>38</v>
    <v>en-US</v>
    <v>av8sfr</v>
    <v>268435456</v>
    <v>1</v>
    <v>Powered by Refinitiv</v>
    <v>1.8554999999999999</v>
    <v>1.5899000000000001</v>
    <v>1.8E-3</v>
    <v>1.021E-3</v>
    <v>AUD</v>
    <v>EUR</v>
    <v>1.7665</v>
    <v>Currency Pair</v>
    <v>45959.983842592592</v>
    <v>1.7648999999999999</v>
    <v>Euro/Australian Dollar FX Cross Rate</v>
    <v>1.7637</v>
    <v>1.7636000000000001</v>
    <v>1.7654000000000001</v>
    <v>EURAUD</v>
    <v>EUR/AUD</v>
  </rv>
  <rv s="2">
    <v>246</v>
  </rv>
  <rv s="14">
    <v>35</v>
    <v>EUR/CAD</v>
    <v>36</v>
    <v>42</v>
    <v>Finance</v>
    <v>38</v>
    <v>en-US</v>
    <v>av8ttc</v>
    <v>268435456</v>
    <v>1</v>
    <v>Powered by Refinitiv</v>
    <v>1.6468</v>
    <v>1.4484999999999999</v>
    <v>5.9999999999999995E-4</v>
    <v>3.7100000000000002E-4</v>
    <v>CAD</v>
    <v>EUR</v>
    <v>1.6182000000000001</v>
    <v>Currency Pair</v>
    <v>45959.983842592592</v>
    <v>1.6173999999999999</v>
    <v>Euro/Canadian Dollar FX Cross Rate</v>
    <v>1.6173</v>
    <v>1.6171</v>
    <v>1.6176999999999999</v>
    <v>EURCAD</v>
    <v>EUR/CAD</v>
  </rv>
  <rv s="2">
    <v>248</v>
  </rv>
  <rv s="14">
    <v>35</v>
    <v>USD/JPY</v>
    <v>36</v>
    <v>43</v>
    <v>Finance</v>
    <v>38</v>
    <v>en-US</v>
    <v>avyomw</v>
    <v>268435456</v>
    <v>1</v>
    <v>Powered by Refinitiv</v>
    <v>158.87</v>
    <v>139.86000000000001</v>
    <v>-0.03</v>
    <v>-1.9650000000000001E-4</v>
    <v>JPY</v>
    <v>USD</v>
    <v>152.72999999999999</v>
    <v>Currency Pair</v>
    <v>45959.983877314815</v>
    <v>152.63</v>
    <v>US Dollar/Japanese Yen FX Spot Rate</v>
    <v>152.72</v>
    <v>152.71</v>
    <v>152.68</v>
    <v>USDJPY</v>
    <v>USD/JPY</v>
  </rv>
  <rv s="2">
    <v>250</v>
  </rv>
  <rv s="14">
    <v>35</v>
    <v>USD/CHF</v>
    <v>36</v>
    <v>39</v>
    <v>Finance</v>
    <v>38</v>
    <v>en-US</v>
    <v>avyt7w</v>
    <v>268435456</v>
    <v>1</v>
    <v>Powered by Refinitiv</v>
    <v>0.92</v>
    <v>0.78269999999999995</v>
    <v>2.0000000000000001E-4</v>
    <v>2.5010000000000001E-4</v>
    <v>CHF</v>
    <v>USD</v>
    <v>0.80030000000000001</v>
    <v>Currency Pair</v>
    <v>45959.983784722222</v>
    <v>0.79930000000000001</v>
    <v>US Dollar/Swiss Franc FX Spot Rate</v>
    <v>0.80010000000000003</v>
    <v>0.79959999999999998</v>
    <v>0.79979999999999996</v>
    <v>USDCHF</v>
    <v>USD/CHF</v>
  </rv>
  <rv s="2">
    <v>252</v>
  </rv>
  <rv s="14">
    <v>35</v>
    <v>USD/GBP</v>
    <v>36</v>
    <v>40</v>
    <v>Finance</v>
    <v>38</v>
    <v>en-US</v>
    <v>avyu4c</v>
    <v>268435456</v>
    <v>1</v>
    <v>Powered by Refinitiv</v>
    <v>0.82650000000000001</v>
    <v>0.72509999999999997</v>
    <v>-1.7200000000000001E-4</v>
    <v>-2.2700000000000002E-4</v>
    <v>GBP</v>
    <v>USD</v>
    <v>0.75860000000000005</v>
    <v>Currency Pair</v>
    <v>45959.983784722222</v>
    <v>0.75749999999999995</v>
    <v>US Dollar/UK Pound Sterling FX Cross Rate</v>
    <v>0.75770000000000004</v>
    <v>0.75790000000000002</v>
    <v>0.75770000000000004</v>
    <v>USDGBP</v>
    <v>USD/GBP</v>
  </rv>
  <rv s="2">
    <v>254</v>
  </rv>
  <rv s="0">
    <v>https://www.bing.com/financeapi/forcetrigger?t=a6qja2&amp;q=DOW+JONES+INDU+AVERAGE+NDX&amp;form=skydnc</v>
    <v>Learn more on Bing</v>
  </rv>
  <rv s="15">
    <v>44</v>
    <v>DOW JONES INDU AVERAGE NDX</v>
    <v>33</v>
    <v>45</v>
    <v>Finance</v>
    <v>46</v>
    <v>en-US</v>
    <v>a6qja2</v>
    <v>268435456</v>
    <v>1</v>
    <v>Powered by Refinitiv</v>
    <v>48040.639999999999</v>
    <v>36611.78</v>
    <v>-74.37</v>
    <v>-1.5590000000000001E-3</v>
    <v>US</v>
    <v>48040.639999999999</v>
    <v>Index</v>
    <v>256</v>
    <v>47448.59</v>
    <v>DOW JONES INDU AVERAGE NDX</v>
    <v>47746.79</v>
    <v>47706.37</v>
    <v>47632</v>
    <v>DJI</v>
    <v>DOW JONES INDU AVERAGE NDX</v>
  </rv>
  <rv s="2">
    <v>257</v>
  </rv>
  <rv s="0">
    <v>https://www.bing.com/financeapi/forcetrigger?t=bxjpp2&amp;q=XLON%3aXNAS&amp;form=skydnc</v>
    <v>Learn more on Bing</v>
  </rv>
  <rv s="12">
    <v>32</v>
    <v>X NASDAQ 100 UCITS ETF 1C (XLON:XNAS)</v>
    <v>33</v>
    <v>34</v>
    <v>Finance</v>
    <v>47</v>
    <v>en-US</v>
    <v>bxjpp2</v>
    <v>268435456</v>
    <v>1</v>
    <v>Powered by Refinitiv</v>
    <v>60.52</v>
    <v>37.74</v>
    <v>1.1051</v>
    <v>0.36</v>
    <v>5.9969999999999997E-3</v>
    <v>USD</v>
    <v>London Stock Exchange</v>
    <v>XLON</v>
    <v>2E-3</v>
    <v>60.52</v>
    <v>ETF</v>
    <v>45959.683046029684</v>
    <v>259</v>
    <v>60.35</v>
    <v>1860372611.6900001</v>
    <v>X NASDAQ 100 UCITS ETF 1C</v>
    <v>60.52</v>
    <v>60.03</v>
    <v>60.39</v>
    <v>XNAS</v>
    <v>X NASDAQ 100 UCITS ETF 1C (XLON:XNAS)</v>
    <v>16610</v>
  </rv>
  <rv s="2">
    <v>260</v>
  </rv>
  <rv s="4">
    <v>12</v>
    <v>Instrument type</v>
    <v>0</v>
  </rv>
  <rv s="0">
    <v>https://www.bing.com/financeapi/forcetrigger?t=a1ntlh&amp;q=XNAS%3aASML&amp;form=skydnc</v>
    <v>Learn more on Bing</v>
  </rv>
  <rv s="1">
    <v>0</v>
    <v>ASML Holding NV (XNAS:ASML)</v>
    <v>2</v>
    <v>3</v>
    <v>Finance</v>
    <v>4</v>
    <v>en-US</v>
    <v>a1ntlh</v>
    <v>268435456</v>
    <v>1</v>
    <v>Powered by Refinitiv</v>
    <v>1077.76</v>
    <v>578.51</v>
    <v>1.8819999999999999</v>
    <v>20.216999999999999</v>
    <v>1.9243E-2</v>
    <v>-2.35</v>
    <v>-2.1949999999999999E-3</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43461</v>
    <v>Nasdaq Stock Market</v>
    <v>XNAS</v>
    <v>XNAS</v>
    <v>De Run 6501, VELDHOVEN, NOORD-BRABANT, 5504 DR NL</v>
    <v>1077.76</v>
    <v>Semiconductors &amp; Semiconductor Equipment</v>
    <v>Stock</v>
    <v>45959.983397488279</v>
    <v>263</v>
    <v>1064.835</v>
    <v>410070200000</v>
    <v>ASML Holding NV</v>
    <v>ASML Holding NV</v>
    <v>1070.655</v>
    <v>37.784300000000002</v>
    <v>1050.623</v>
    <v>1070.8399999999999</v>
    <v>1068.49</v>
    <v>388147700</v>
    <v>ASML</v>
    <v>ASML Holding NV (XNAS:ASML)</v>
    <v>1529953</v>
    <v>1595013</v>
    <v>1994</v>
  </rv>
  <rv s="2">
    <v>264</v>
  </rv>
  <rv s="16">
    <v>48</v>
    <v>Big Tree Cloud Holdings Limited (XNAS:DSY)</v>
    <v>28</v>
    <v>49</v>
    <v>Finance</v>
    <v>4</v>
    <v>en-US</v>
    <v>c8kfk2</v>
    <v>268435456</v>
    <v>1</v>
    <v>Powered by Refinitiv</v>
    <v>7.33</v>
    <v>0.6</v>
    <v>-7.2999999999999995E-2</v>
    <v>-0.10488500000000001</v>
    <v>-2.1999999999999999E-2</v>
    <v>-3.5369999999999999E-2</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0.71</v>
    <v>Personal &amp; Household Products &amp; Services</v>
    <v>Stock</v>
    <v>45959.982622117968</v>
    <v>0.60019999999999996</v>
    <v>67476590</v>
    <v>Big Tree Cloud Holdings Limited</v>
    <v>Big Tree Cloud Holdings Limited</v>
    <v>0.71</v>
    <v>55.625</v>
    <v>0.69599999999999995</v>
    <v>0.623</v>
    <v>0.6</v>
    <v>95037440</v>
    <v>DSY</v>
    <v>Big Tree Cloud Holdings Limited (XNAS:DSY)</v>
    <v>617797</v>
    <v>285680</v>
  </rv>
  <rv s="2">
    <v>266</v>
  </rv>
  <rv s="0">
    <v>https://www.bing.com/financeapi/forcetrigger?t=a1v3sm&amp;q=XNYS%3aIAG&amp;form=skydnc</v>
    <v>Learn more on Bing</v>
  </rv>
  <rv s="1">
    <v>0</v>
    <v>IAMGOLD CORPORATION (XNYS:IAG)</v>
    <v>2</v>
    <v>11</v>
    <v>Finance</v>
    <v>4</v>
    <v>en-US</v>
    <v>a1v3sm</v>
    <v>268435456</v>
    <v>1</v>
    <v>Powered by Refinitiv</v>
    <v>14.67</v>
    <v>4.8899999999999997</v>
    <v>1.4490000000000001</v>
    <v>-0.1</v>
    <v>-8.6280000000000003E-3</v>
    <v>0.05</v>
    <v>4.352E-3</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11.95</v>
    <v>Metals &amp; Mining</v>
    <v>Stock</v>
    <v>45959.982697719533</v>
    <v>268</v>
    <v>11.404999999999999</v>
    <v>9308873000</v>
    <v>IAMGOLD CORPORATION</v>
    <v>IAMGOLD CORPORATION</v>
    <v>11.95</v>
    <v>8.3109999999999999</v>
    <v>11.59</v>
    <v>11.49</v>
    <v>11.54</v>
    <v>575332100</v>
    <v>IAG</v>
    <v>IAMGOLD CORPORATION (XNYS:IAG)</v>
    <v>11842443</v>
    <v>15226797</v>
    <v>2017</v>
  </rv>
  <rv s="2">
    <v>269</v>
  </rv>
  <rv s="0">
    <v>https://www.bing.com/financeapi/forcetrigger?t=bvct77&amp;q=XFRA%3aNQA&amp;form=skydnc</v>
    <v>Learn more on Bing</v>
  </rv>
  <rv s="17">
    <v>50</v>
    <v>Note AB (publ) (XFRA:NQA)</v>
    <v>2</v>
    <v>51</v>
    <v>Finance</v>
    <v>10</v>
    <v>en-US</v>
    <v>bvct77</v>
    <v>268435456</v>
    <v>1</v>
    <v>Powered by Refinitiv</v>
    <v>0.89900000000000002</v>
    <v>0.4</v>
    <v>2.4287E-2</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1468</v>
    <v>Deutsche Boerse AG</v>
    <v>XFRA</v>
    <v>XFRA</v>
    <v>Sveavagen 52, STOCKHOLM, STOCKHOLM, 111 34 SE</v>
    <v>16.87</v>
    <v>Semiconductors &amp; Semiconductor Equipment</v>
    <v>Stock</v>
    <v>45959.878472222219</v>
    <v>271</v>
    <v>16.87</v>
    <v>5402543000</v>
    <v>Note AB (publ)</v>
    <v>Note AB (publ)</v>
    <v>16.87</v>
    <v>19.847100000000001</v>
    <v>16.47</v>
    <v>16.87</v>
    <v>28983600</v>
    <v>NQA</v>
    <v>Note AB (publ) (XFRA:NQA)</v>
    <v>90</v>
    <v>83510</v>
    <v>1990</v>
  </rv>
  <rv s="2">
    <v>272</v>
  </rv>
  <rv s="0">
    <v>https://www.bing.com/financeapi/forcetrigger?t=a1rjbh&amp;q=XNYS%3aE&amp;form=skydnc</v>
    <v>Learn more on Bing</v>
  </rv>
  <rv s="18">
    <v>52</v>
    <v>Eni SpA (XNYS:E)</v>
    <v>2</v>
    <v>53</v>
    <v>Finance</v>
    <v>5</v>
    <v>en-US</v>
    <v>a1rjbh</v>
    <v>268435456</v>
    <v>1</v>
    <v>Powered by Refinitiv</v>
    <v>37.25</v>
    <v>24.65</v>
    <v>0.88970000000000005</v>
    <v>0.02</v>
    <v>5.3879999999999998E-4</v>
    <v>-0.19</v>
    <v>-5.1160000000000008E-3</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New York Stock Exchange</v>
    <v>XNYS</v>
    <v>XNYS</v>
    <v>Piazza Ezio Vanoni, 1, SAN DONATO MILANESE, MILANO, 20097 IT</v>
    <v>37.25</v>
    <v>Oil &amp; Gas</v>
    <v>Stock</v>
    <v>45959.958333344533</v>
    <v>274</v>
    <v>36.93</v>
    <v>58202460000</v>
    <v>Eni SpA</v>
    <v>Eni SpA</v>
    <v>37.130000000000003</v>
    <v>17.841200000000001</v>
    <v>37.119999999999997</v>
    <v>37.14</v>
    <v>36.950000000000003</v>
    <v>1573383000</v>
    <v>E</v>
    <v>Eni SpA (XNYS:E)</v>
    <v>298319</v>
    <v>233776</v>
  </rv>
  <rv s="2">
    <v>275</v>
  </rv>
  <rv s="0">
    <v>https://www.bing.com/financeapi/forcetrigger?t=aazgim&amp;q=XTSE%3aORA&amp;form=skydnc</v>
    <v>Learn more on Bing</v>
  </rv>
  <rv s="18">
    <v>52</v>
    <v>Aura Minerals Inc. (XTSE:ORA)</v>
    <v>2</v>
    <v>54</v>
    <v>Finance</v>
    <v>55</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277</v>
    <v>45.87</v>
    <v>3972179000</v>
    <v>Aura Minerals Inc.</v>
    <v>Aura Minerals Inc.</v>
    <v>48.11</v>
    <v>0</v>
    <v>47.86</v>
    <v>45.97</v>
    <v>45.97</v>
    <v>82637370</v>
    <v>ORA</v>
    <v>Aura Minerals Inc. (XTSE:ORA)</v>
    <v>251753</v>
    <v>95870</v>
  </rv>
  <rv s="2">
    <v>278</v>
  </rv>
</rvData>
</file>

<file path=xl/richData/rdrichvaluestructure.xml><?xml version="1.0" encoding="utf-8"?>
<rvStructures xmlns="http://schemas.microsoft.com/office/spreadsheetml/2017/richdata" count="19">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3">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56">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15</v>
      <v>1</v>
      <v>1</v>
      <v>1</v>
      <v>1</v>
    </spb>
    <spb s="11">
      <v>1</v>
      <v>2</v>
      <v>2</v>
      <v>1</v>
      <v>3</v>
      <v>1</v>
      <v>15</v>
      <v>1</v>
      <v>1</v>
      <v>4</v>
      <v>4</v>
      <v>5</v>
      <v>6</v>
      <v>1</v>
      <v>1</v>
      <v>1</v>
      <v>4</v>
      <v>7</v>
      <v>8</v>
      <v>9</v>
      <v>4</v>
      <v>1</v>
      <v>1</v>
      <v>5</v>
    </spb>
    <spb s="12">
      <v>Powered by Refinitiv</v>
    </spb>
    <spb s="5">
      <v>1</v>
      <v>2</v>
      <v>2</v>
      <v>1</v>
      <v>3</v>
      <v>1</v>
      <v>1</v>
      <v>1</v>
      <v>4</v>
      <v>4</v>
      <v>5</v>
      <v>6</v>
      <v>1</v>
      <v>1</v>
      <v>1</v>
      <v>4</v>
      <v>7</v>
      <v>8</v>
      <v>9</v>
      <v>4</v>
    </spb>
    <spb s="6">
      <v>Delayed 15 minutes</v>
      <v>from previous close</v>
      <v>from previous close</v>
      <v>Source: Nasdaq</v>
      <v>GMT</v>
    </spb>
    <spb s="3">
      <v>1</v>
      <v>2</v>
      <v>2</v>
      <v>1</v>
      <v>3</v>
      <v>1</v>
      <v>1</v>
      <v>1</v>
      <v>4</v>
      <v>4</v>
      <v>5</v>
      <v>16</v>
      <v>1</v>
      <v>1</v>
      <v>1</v>
      <v>4</v>
      <v>7</v>
      <v>8</v>
      <v>9</v>
      <v>4</v>
      <v>1</v>
      <v>1</v>
      <v>5</v>
    </spb>
    <spb s="13">
      <v>at close</v>
      <v>from previous close</v>
      <v>from previous close</v>
      <v>GMT</v>
      <v>Delayed 15 minutes</v>
      <v>from close</v>
      <v>from close</v>
    </spb>
    <spb s="0">
      <v>4</v>
      <v>Name</v>
      <v>LearnMoreOnLink</v>
    </spb>
    <spb s="14">
      <v>12</v>
      <v>2</v>
      <v>12</v>
      <v>3</v>
      <v>12</v>
      <v>12</v>
      <v>12</v>
      <v>4</v>
      <v>4</v>
      <v>5</v>
      <v>13</v>
      <v>12</v>
      <v>12</v>
      <v>12</v>
      <v>4</v>
      <v>7</v>
      <v>8</v>
      <v>9</v>
      <v>4</v>
    </spb>
    <spb s="11">
      <v>1</v>
      <v>2</v>
      <v>2</v>
      <v>1</v>
      <v>3</v>
      <v>1</v>
      <v>15</v>
      <v>1</v>
      <v>1</v>
      <v>4</v>
      <v>4</v>
      <v>5</v>
      <v>17</v>
      <v>1</v>
      <v>1</v>
      <v>1</v>
      <v>4</v>
      <v>7</v>
      <v>8</v>
      <v>9</v>
      <v>4</v>
      <v>1</v>
      <v>1</v>
      <v>5</v>
    </spb>
    <spb s="5">
      <v>18</v>
      <v>2</v>
      <v>2</v>
      <v>18</v>
      <v>3</v>
      <v>18</v>
      <v>18</v>
      <v>18</v>
      <v>4</v>
      <v>4</v>
      <v>5</v>
      <v>19</v>
      <v>18</v>
      <v>18</v>
      <v>18</v>
      <v>4</v>
      <v>7</v>
      <v>8</v>
      <v>9</v>
      <v>4</v>
    </spb>
    <spb s="15">
      <v>5</v>
      <v>Name</v>
    </spb>
    <spb s="16">
      <v>1</v>
      <v>1</v>
      <v>1</v>
    </spb>
    <spb s="0">
      <v>6</v>
      <v>Name</v>
      <v>LearnMoreOnLink</v>
    </spb>
    <spb s="17">
      <v>12</v>
      <v>2</v>
      <v>2</v>
      <v>12</v>
      <v>3</v>
      <v>12</v>
      <v>12</v>
      <v>12</v>
      <v>4</v>
      <v>4</v>
      <v>5</v>
      <v>13</v>
      <v>12</v>
      <v>12</v>
      <v>12</v>
      <v>4</v>
      <v>7</v>
      <v>9</v>
      <v>4</v>
    </spb>
    <spb s="6">
      <v>Delayed 15 minutes</v>
      <v>from previous close</v>
      <v>from previous close</v>
      <v>Borsa Italia</v>
      <v>GMT</v>
    </spb>
    <spb s="0">
      <v>7</v>
      <v>Name</v>
      <v>LearnMoreOnLink</v>
    </spb>
    <spb s="18">
      <v>1</v>
      <v>1</v>
      <v>1</v>
    </spb>
    <spb s="19">
      <v>1</v>
      <v>2</v>
      <v>1</v>
      <v>3</v>
      <v>1</v>
      <v>1</v>
      <v>1</v>
      <v>4</v>
      <v>5</v>
      <v>6</v>
      <v>1</v>
      <v>1</v>
      <v>5</v>
      <v>1</v>
      <v>7</v>
      <v>9</v>
    </spb>
    <spb s="15">
      <v>8</v>
      <v>Name</v>
    </spb>
    <spb s="20">
      <v>1</v>
      <v>1</v>
    </spb>
    <spb s="21">
      <v>1</v>
      <v>1</v>
      <v>3</v>
      <v>1</v>
      <v>1</v>
      <v>1</v>
      <v>5</v>
      <v>1</v>
      <v>1</v>
      <v>1</v>
      <v>7</v>
      <v>9</v>
    </spb>
    <spb s="22">
      <v>GMT</v>
    </spb>
    <spb s="21">
      <v>18</v>
      <v>18</v>
      <v>3</v>
      <v>18</v>
      <v>18</v>
      <v>18</v>
      <v>5</v>
      <v>18</v>
      <v>18</v>
      <v>18</v>
      <v>7</v>
      <v>9</v>
    </spb>
    <spb s="21">
      <v>20</v>
      <v>20</v>
      <v>3</v>
      <v>20</v>
      <v>20</v>
      <v>20</v>
      <v>5</v>
      <v>20</v>
      <v>20</v>
      <v>20</v>
      <v>7</v>
      <v>9</v>
    </spb>
    <spb s="21">
      <v>21</v>
      <v>21</v>
      <v>3</v>
      <v>21</v>
      <v>21</v>
      <v>21</v>
      <v>5</v>
      <v>21</v>
      <v>21</v>
      <v>21</v>
      <v>7</v>
      <v>9</v>
    </spb>
    <spb s="21">
      <v>22</v>
      <v>22</v>
      <v>3</v>
      <v>22</v>
      <v>22</v>
      <v>22</v>
      <v>5</v>
      <v>22</v>
      <v>22</v>
      <v>22</v>
      <v>7</v>
      <v>9</v>
    </spb>
    <spb s="21">
      <v>23</v>
      <v>23</v>
      <v>3</v>
      <v>23</v>
      <v>23</v>
      <v>23</v>
      <v>5</v>
      <v>23</v>
      <v>23</v>
      <v>23</v>
      <v>7</v>
      <v>9</v>
    </spb>
    <spb s="0">
      <v>9</v>
      <v>Name</v>
      <v>LearnMoreOnLink</v>
    </spb>
    <spb s="23">
      <v>1</v>
      <v>1</v>
      <v>3</v>
      <v>1</v>
      <v>1</v>
      <v>1</v>
      <v>5</v>
      <v>1</v>
      <v>1</v>
      <v>1</v>
      <v>9</v>
    </spb>
    <spb s="24">
      <v>from previous close</v>
      <v>from previous close</v>
    </spb>
    <spb s="25">
      <v>Delayed 15 minutes</v>
      <v>from previous close</v>
      <v>LSE</v>
      <v>from previous close</v>
      <v>GMT</v>
    </spb>
    <spb s="15">
      <v>10</v>
      <v>Name</v>
    </spb>
    <spb s="26">
      <v>1</v>
      <v>2</v>
      <v>1</v>
      <v>3</v>
      <v>1</v>
      <v>1</v>
      <v>1</v>
      <v>4</v>
      <v>4</v>
      <v>5</v>
      <v>6</v>
      <v>1</v>
      <v>1</v>
      <v>1</v>
      <v>4</v>
      <v>7</v>
      <v>9</v>
      <v>4</v>
      <v>1</v>
      <v>1</v>
      <v>5</v>
    </spb>
    <spb s="0">
      <v>11</v>
      <v>Name</v>
      <v>LearnMoreOnLink</v>
    </spb>
    <spb s="27">
      <v>12</v>
      <v>2</v>
      <v>2</v>
      <v>12</v>
      <v>3</v>
      <v>12</v>
      <v>12</v>
      <v>12</v>
      <v>4</v>
      <v>4</v>
      <v>5</v>
      <v>17</v>
      <v>12</v>
      <v>4</v>
      <v>7</v>
      <v>8</v>
      <v>9</v>
      <v>4</v>
    </spb>
    <spb s="0">
      <v>12</v>
      <v>Name</v>
      <v>LearnMoreOnLink</v>
    </spb>
    <spb s="28">
      <v>1</v>
      <v>2</v>
      <v>2</v>
      <v>1</v>
      <v>3</v>
      <v>1</v>
      <v>1</v>
      <v>1</v>
      <v>4</v>
      <v>4</v>
      <v>5</v>
      <v>6</v>
      <v>1</v>
      <v>1</v>
      <v>1</v>
      <v>4</v>
      <v>7</v>
      <v>9</v>
      <v>4</v>
      <v>1</v>
      <v>1</v>
      <v>5</v>
    </spb>
    <spb s="28">
      <v>22</v>
      <v>2</v>
      <v>2</v>
      <v>22</v>
      <v>3</v>
      <v>22</v>
      <v>22</v>
      <v>22</v>
      <v>4</v>
      <v>4</v>
      <v>5</v>
      <v>14</v>
      <v>22</v>
      <v>22</v>
      <v>22</v>
      <v>4</v>
      <v>7</v>
      <v>9</v>
      <v>4</v>
      <v>22</v>
      <v>22</v>
      <v>5</v>
    </spb>
    <spb s="13">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2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_xlfn.XLOOKUP(RTData[[#This Row],[Ticker symbol]],[2]Sheet2!$B$2:$B$95,[2]Sheet2!$E$2:$E$95)</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10"/>
  <sheetViews>
    <sheetView tabSelected="1" workbookViewId="0">
      <pane xSplit="1" ySplit="2" topLeftCell="B28" activePane="bottomRight" state="frozen"/>
      <selection pane="topRight" activeCell="B1" sqref="B1"/>
      <selection pane="bottomLeft" activeCell="A3" sqref="A3"/>
      <selection pane="bottomRight" activeCell="A22" sqref="A22:XFD22"/>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45959.983865647657</v>
      </c>
      <c r="B1" s="2" t="s">
        <v>0</v>
      </c>
      <c r="C1" s="2"/>
      <c r="D1" s="3"/>
      <c r="E1" s="4" t="s">
        <v>0</v>
      </c>
      <c r="F1" s="5">
        <f ca="1">NOW()</f>
        <v>45960.025609143515</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0.86192035855886928</v>
      </c>
      <c r="C3" s="16" t="e" vm="1">
        <v>#VALUE!</v>
      </c>
      <c r="D3" s="17" t="str" cm="1">
        <f t="array" aca="1" ref="D3" ca="1">_FV(RTData[[#This Row],[Company Name]],"Currency")</f>
        <v>USD</v>
      </c>
      <c r="E3" s="18" cm="1">
        <f t="array" aca="1" ref="E3" ca="1">_FV(RTData[[#This Row],[Company Name]],"Last trade time",TRUE)</f>
        <v>45959.983823089846</v>
      </c>
      <c r="F3" s="19" cm="1">
        <f t="array" aca="1" ref="F3" ca="1">_FV(RTData[[#This Row],[Company Name]],"Previous close",TRUE)</f>
        <v>269</v>
      </c>
      <c r="G3" s="19" cm="1">
        <f t="array" aca="1" ref="G3" ca="1">_FV(RTData[[#This Row],[Company Name]],"Open")</f>
        <v>269.27499999999998</v>
      </c>
      <c r="H3" s="19" cm="1">
        <f t="array" aca="1" ref="H3" ca="1">_FV(RTData[[#This Row],[Company Name]],"Price")</f>
        <v>269.7</v>
      </c>
      <c r="I3" s="19" cm="1">
        <f t="array" aca="1" ref="I3" ca="1">_FV(RTData[[#This Row],[Company Name]],"Low")</f>
        <v>267.11</v>
      </c>
      <c r="J3" s="19" cm="1">
        <f t="array" aca="1" ref="J3" ca="1">_FV(RTData[[#This Row],[Company Name]],"High")</f>
        <v>271.41000000000003</v>
      </c>
      <c r="K3" s="20" cm="1">
        <f t="array" aca="1" ref="K3" ca="1">IFERROR(_FV(RTData[[#This Row],[Company Name]],"P/E",TRUE),99)</f>
        <v>37.198500000000003</v>
      </c>
      <c r="L3" s="21" cm="1">
        <f t="array" aca="1" ref="L3" ca="1">_FV(RTData[[#This Row],[Company Name]],"Change")</f>
        <v>0.7</v>
      </c>
      <c r="M3" s="22" cm="1">
        <f t="array" aca="1" ref="M3" ca="1">_FV(RTData[[#This Row],[Company Name]],"Change (%)",TRUE)</f>
        <v>2.6019999999999997E-3</v>
      </c>
      <c r="N3" s="19" cm="1">
        <f t="array" aca="1" ref="N3" ca="1">_FV(RTData[[#This Row],[Company Name]],"52 week low",TRUE)</f>
        <v>169.21010000000001</v>
      </c>
      <c r="O3" s="19" cm="1">
        <f t="array" aca="1" ref="O3" ca="1">_FV(RTData[[#This Row],[Company Name]],"52 week high",TRUE)</f>
        <v>271.41000000000003</v>
      </c>
      <c r="P3" s="23" cm="1">
        <f t="array" aca="1" ref="P3" ca="1">_FV(RTData[[#This Row],[Company Name]],"Volume")</f>
        <v>51048449</v>
      </c>
      <c r="Q3" s="23" cm="1">
        <f t="array" aca="1" ref="Q3" ca="1">_FV(RTData[[#This Row],[Company Name]],"Volume average",TRUE)</f>
        <v>44456638</v>
      </c>
      <c r="R3" s="19" cm="1">
        <f t="array" aca="1" ref="R3" ca="1">_FV(RTData[[#This Row],[Company Name]],"Beta")</f>
        <v>1.0866</v>
      </c>
      <c r="T3" t="s">
        <v>20</v>
      </c>
      <c r="U3" t="str" cm="1">
        <f t="array" aca="1" ref="U3" ca="1">_FV(RTData[[#This Row],[Company Name]],"Exchange abbreviation",TRUE)</f>
        <v>XNAS</v>
      </c>
      <c r="V3" s="24">
        <f ca="1">IFERROR(RTData[[#This Row],[Volume]]/RTData[[#This Row],[Volume average]],1)</f>
        <v>1.1482750674938578</v>
      </c>
      <c r="W3" s="24"/>
      <c r="X3" s="108">
        <f ca="1">_xlfn.XLOOKUP(RTData[[#This Row],[Ticker symbol]],[2]Sheet2!$B$2:$B$95,[2]Sheet2!$E$2:$E$95)</f>
        <v>248.17128</v>
      </c>
      <c r="Y3" s="101">
        <f>_xlfn.LET(_xlpm.date,[2]Sheet2!F2,IF(_xlpm.date=0,"",_xlpm.date))</f>
        <v>45880</v>
      </c>
      <c r="Z3" s="101" t="str">
        <f>_xlfn.LET(_xlpm.date,[2]Sheet2!G2,IF(_xlpm.date=0,"",_xlpm.date))</f>
        <v>Oct 30, 2025</v>
      </c>
      <c r="AA3" s="102">
        <f>[2]Sheet2!$H2</f>
        <v>4.1999999999999997E-3</v>
      </c>
      <c r="AB3" s="103">
        <v>1E-4</v>
      </c>
      <c r="AC3" s="104">
        <v>3.0000000000000001E-3</v>
      </c>
      <c r="AD3" s="90">
        <v>245.31</v>
      </c>
      <c r="AE3" s="105">
        <f ca="1">_xlfn.LET(_xlpm.New1YT,RTData[[#This Row],[1YT]],        _xlpm.Old1YT,IF(ISNUMBER(RTData[[#This Row],[Old1YT]]),RTData[[#This Row],[Old1YT]],VALUE(LEFT(RTData[[#This Row],[Old1YT]],FIND("/",RTData[[#This Row],[Old1YT]],1)-1))),       IF(OR(RTData[[#This Row],[1YT]]=0,_xlpm.Old1YT=0),0,(_xlpm.New1YT-_xlpm.Old1YT)/_xlpm.Old1YT))</f>
        <v>1.1663935428641284E-2</v>
      </c>
      <c r="AF3" s="105" t="str">
        <f ca="1">TEXT(RTData[[#This Row],[1YT]],"#,#0.00")&amp;" &lt; "&amp;RTData[[#This Row],[Old1YT]]</f>
        <v>248.17 &lt; 245.31</v>
      </c>
    </row>
    <row r="4" spans="1:32" x14ac:dyDescent="0.3">
      <c r="A4" s="15" t="str" cm="1">
        <f t="array" aca="1" ref="A4" ca="1">_xlfn.SINGLE(RTData[suffix])&amp;_FV(RTData[[#This Row],[Company Name]],"Ticker symbol",TRUE)</f>
        <v>ADEA</v>
      </c>
      <c r="B4" s="15">
        <f ca="1">D99</f>
        <v>0.86192035855886928</v>
      </c>
      <c r="C4" s="25" t="e" vm="2">
        <v>#VALUE!</v>
      </c>
      <c r="D4" s="17" t="str" cm="1">
        <f t="array" aca="1" ref="D4" ca="1">_FV(RTData[[#This Row],[Company Name]],"Currency")</f>
        <v>USD</v>
      </c>
      <c r="E4" s="18" cm="1">
        <f t="array" aca="1" ref="E4" ca="1">_FV(RTData[[#This Row],[Company Name]],"Last trade time",TRUE)</f>
        <v>45959.930761909374</v>
      </c>
      <c r="F4" s="19" cm="1">
        <f t="array" aca="1" ref="F4" ca="1">_FV(RTData[[#This Row],[Company Name]],"Previous close",TRUE)</f>
        <v>17.73</v>
      </c>
      <c r="G4" s="19" cm="1">
        <f t="array" aca="1" ref="G4" ca="1">_FV(RTData[[#This Row],[Company Name]],"Open")</f>
        <v>17.559999999999999</v>
      </c>
      <c r="H4" s="19" cm="1">
        <f t="array" aca="1" ref="H4" ca="1">_FV(RTData[[#This Row],[Company Name]],"Price")</f>
        <v>17.600000000000001</v>
      </c>
      <c r="I4" s="19" cm="1">
        <f t="array" aca="1" ref="I4" ca="1">_FV(RTData[[#This Row],[Company Name]],"Low")</f>
        <v>17.3245</v>
      </c>
      <c r="J4" s="19" cm="1">
        <f t="array" aca="1" ref="J4" ca="1">_FV(RTData[[#This Row],[Company Name]],"High")</f>
        <v>18.065000000000001</v>
      </c>
      <c r="K4" s="20" cm="1">
        <f t="array" aca="1" ref="K4" ca="1">IFERROR(_FV(RTData[[#This Row],[Company Name]],"P/E",TRUE),99)</f>
        <v>23.735700000000001</v>
      </c>
      <c r="L4" s="21" cm="1">
        <f t="array" aca="1" ref="L4" ca="1">_FV(RTData[[#This Row],[Company Name]],"Change")</f>
        <v>-0.13</v>
      </c>
      <c r="M4" s="22" cm="1">
        <f t="array" aca="1" ref="M4" ca="1">_FV(RTData[[#This Row],[Company Name]],"Change (%)",TRUE)</f>
        <v>-7.332E-3</v>
      </c>
      <c r="N4" s="19" cm="1">
        <f t="array" aca="1" ref="N4" ca="1">_FV(RTData[[#This Row],[Company Name]],"52 week low",TRUE)</f>
        <v>10.59</v>
      </c>
      <c r="O4" s="19" cm="1">
        <f t="array" aca="1" ref="O4" ca="1">_FV(RTData[[#This Row],[Company Name]],"52 week high",TRUE)</f>
        <v>18.25</v>
      </c>
      <c r="P4" s="23" cm="1">
        <f t="array" aca="1" ref="P4" ca="1">_FV(RTData[[#This Row],[Company Name]],"Volume")</f>
        <v>624489</v>
      </c>
      <c r="Q4" s="23" cm="1">
        <f t="array" aca="1" ref="Q4" ca="1">_FV(RTData[[#This Row],[Company Name]],"Volume average",TRUE)</f>
        <v>528356</v>
      </c>
      <c r="R4" s="19" cm="1">
        <f t="array" aca="1" ref="R4" ca="1">_FV(RTData[[#This Row],[Company Name]],"Beta")</f>
        <v>2.57</v>
      </c>
      <c r="T4" t="s">
        <v>20</v>
      </c>
      <c r="U4" t="str" cm="1">
        <f t="array" aca="1" ref="U4" ca="1">_FV(RTData[[#This Row],[Company Name]],"Exchange abbreviation",TRUE)</f>
        <v>XNAS</v>
      </c>
      <c r="V4" s="24">
        <f ca="1">IFERROR(RTData[[#This Row],[Volume]]/RTData[[#This Row],[Volume average]],1)</f>
        <v>1.1819473991021205</v>
      </c>
      <c r="W4" s="24"/>
      <c r="X4" s="108">
        <f ca="1">_xlfn.XLOOKUP(RTData[[#This Row],[Ticker symbol]],[2]Sheet2!$B$2:$B$95,[2]Sheet2!$E$2:$E$95)</f>
        <v>20.66667</v>
      </c>
      <c r="Y4" s="101">
        <f>_xlfn.LET(_xlpm.date,[2]Sheet2!F3,IF(_xlpm.date=0,"",_xlpm.date))</f>
        <v>45895</v>
      </c>
      <c r="Z4" s="101" t="str">
        <f>_xlfn.LET(_xlpm.date,[2]Sheet2!G3,IF(_xlpm.date=0,"",_xlpm.date))</f>
        <v/>
      </c>
      <c r="AA4" s="102">
        <f>[2]Sheet2!$H3</f>
        <v>1.2699999999999999E-2</v>
      </c>
      <c r="AB4" s="103">
        <v>1E-4</v>
      </c>
      <c r="AC4" s="104">
        <v>3.0000000000000001E-3</v>
      </c>
      <c r="AD4" s="90">
        <v>15.33</v>
      </c>
      <c r="AE4" s="105">
        <f ca="1">_xlfn.LET(_xlpm.New1YT,RTData[[#This Row],[1YT]],        _xlpm.Old1YT,IF(ISNUMBER(RTData[[#This Row],[Old1YT]]),RTData[[#This Row],[Old1YT]],VALUE(LEFT(RTData[[#This Row],[Old1YT]],FIND("/",RTData[[#This Row],[Old1YT]],1)-1))),       IF(OR(RTData[[#This Row],[1YT]]=0,_xlpm.Old1YT=0),0,(_xlpm.New1YT-_xlpm.Old1YT)/_xlpm.Old1YT))</f>
        <v>0.34811937377690799</v>
      </c>
      <c r="AF4" s="105" t="str">
        <f ca="1">TEXT(RTData[[#This Row],[1YT]],"#,#0.00")&amp;" &lt; "&amp;RTData[[#This Row],[Old1YT]]</f>
        <v>20.67 &lt; 15.33</v>
      </c>
    </row>
    <row r="5" spans="1:32" ht="23" customHeight="1" x14ac:dyDescent="0.3">
      <c r="A5" s="15" t="str" cm="1">
        <f t="array" aca="1" ref="A5" ca="1">_xlfn.SINGLE(RTData[suffix])&amp;_FV(RTData[[#This Row],[Company Name]],"Ticker symbol",TRUE)</f>
        <v>AET</v>
      </c>
      <c r="B5" s="15">
        <f ca="1">D101/100</f>
        <v>1.1377858686995108E-2</v>
      </c>
      <c r="C5" s="25" t="e" vm="3">
        <v>#VALUE!</v>
      </c>
      <c r="D5" s="17" t="str" cm="1">
        <f t="array" aca="1" ref="D5" ca="1">_FV(RTData[[#This Row],[Company Name]],"Currency")</f>
        <v>GBp</v>
      </c>
      <c r="E5" s="18" cm="1">
        <f t="array" aca="1" ref="E5" ca="1">_FV(RTData[[#This Row],[Company Name]],"Last trade time",TRUE)</f>
        <v>45959.691165890625</v>
      </c>
      <c r="F5" s="19" cm="1">
        <f t="array" aca="1" ref="F5" ca="1">_FV(RTData[[#This Row],[Company Name]],"Previous close",TRUE)</f>
        <v>43.8</v>
      </c>
      <c r="G5" s="19" cm="1">
        <f t="array" aca="1" ref="G5" ca="1">_FV(RTData[[#This Row],[Company Name]],"Open")</f>
        <v>44.8</v>
      </c>
      <c r="H5" s="19" cm="1">
        <f t="array" aca="1" ref="H5" ca="1">_FV(RTData[[#This Row],[Company Name]],"Price")</f>
        <v>44.3</v>
      </c>
      <c r="I5" s="19" cm="1">
        <f t="array" aca="1" ref="I5" ca="1">_FV(RTData[[#This Row],[Company Name]],"Low")</f>
        <v>43.8</v>
      </c>
      <c r="J5" s="19" cm="1">
        <f t="array" aca="1" ref="J5" ca="1">_FV(RTData[[#This Row],[Company Name]],"High")</f>
        <v>45</v>
      </c>
      <c r="K5" s="20" cm="1">
        <f t="array" aca="1" ref="K5" ca="1">IFERROR(_FV(RTData[[#This Row],[Company Name]],"P/E",TRUE),99)</f>
        <v>3.8454999999999999</v>
      </c>
      <c r="L5" s="21" cm="1">
        <f t="array" aca="1" ref="L5" ca="1">_FV(RTData[[#This Row],[Company Name]],"Change")</f>
        <v>0.5</v>
      </c>
      <c r="M5" s="22" cm="1">
        <f t="array" aca="1" ref="M5" ca="1">_FV(RTData[[#This Row],[Company Name]],"Change (%)",TRUE)</f>
        <v>1.1415999999999999E-2</v>
      </c>
      <c r="N5" s="26" cm="1">
        <f t="array" aca="1" ref="N5" ca="1">_FV(RTData[[#This Row],[Company Name]],"52 week low",TRUE)</f>
        <v>33.064999999999998</v>
      </c>
      <c r="O5" s="26" cm="1">
        <f t="array" aca="1" ref="O5" ca="1">_FV(RTData[[#This Row],[Company Name]],"52 week high",TRUE)</f>
        <v>56.2</v>
      </c>
      <c r="P5" s="23" cm="1">
        <f t="array" aca="1" ref="P5" ca="1">_FV(RTData[[#This Row],[Company Name]],"Volume")</f>
        <v>182455</v>
      </c>
      <c r="Q5" s="23" cm="1">
        <f t="array" aca="1" ref="Q5" ca="1">_FV(RTData[[#This Row],[Company Name]],"Volume average",TRUE)</f>
        <v>835990</v>
      </c>
      <c r="R5" s="19" cm="1">
        <f t="array" aca="1" ref="R5" ca="1">_FV(RTData[[#This Row],[Company Name]],"Beta")</f>
        <v>1.0665</v>
      </c>
      <c r="T5" t="s">
        <v>20</v>
      </c>
      <c r="U5" t="str" cm="1">
        <f t="array" aca="1" ref="U5" ca="1">_FV(RTData[[#This Row],[Company Name]],"Exchange abbreviation",TRUE)</f>
        <v>XLON</v>
      </c>
      <c r="V5" s="24">
        <f ca="1">IFERROR(RTData[[#This Row],[Volume]]/RTData[[#This Row],[Volume average]],1)</f>
        <v>0.2182502183040467</v>
      </c>
      <c r="W5" s="24"/>
      <c r="X5" s="108">
        <f ca="1">_xlfn.XLOOKUP(RTData[[#This Row],[Ticker symbol]],[2]Sheet2!$B$2:$B$95,[2]Sheet2!$E$2:$E$95)</f>
        <v>96.66</v>
      </c>
      <c r="Y5" s="101" t="str">
        <f>_xlfn.LET(_xlpm.date,[2]Sheet2!F4,IF(_xlpm.date=0,"",_xlpm.date))</f>
        <v/>
      </c>
      <c r="Z5" s="101" t="str">
        <f>_xlfn.LET(_xlpm.date,[2]Sheet2!G4,IF(_xlpm.date=0,"",_xlpm.date))</f>
        <v/>
      </c>
      <c r="AA5" s="102">
        <f>[2]Sheet2!$H4</f>
        <v>0</v>
      </c>
      <c r="AB5" s="103"/>
      <c r="AC5" s="104">
        <v>3.0000000000000001E-3</v>
      </c>
      <c r="AD5" s="90" t="s">
        <v>56</v>
      </c>
      <c r="AE5" s="105">
        <f ca="1">_xlfn.LET(_xlpm.New1YT,RTData[[#This Row],[1YT]],        _xlpm.Old1YT,IF(ISNUMBER(RTData[[#This Row],[Old1YT]]),RTData[[#This Row],[Old1YT]],VALUE(LEFT(RTData[[#This Row],[Old1YT]],FIND("/",RTData[[#This Row],[Old1YT]],1)-1))),       IF(OR(RTData[[#This Row],[1YT]]=0,_xlpm.Old1YT=0),0,(_xlpm.New1YT-_xlpm.Old1YT)/_xlpm.Old1YT))</f>
        <v>5.1109177903436311E-2</v>
      </c>
      <c r="AF5" s="105" t="str">
        <f ca="1">TEXT(RTData[[#This Row],[1YT]],"#,#0.00")&amp;" &lt; "&amp;RTData[[#This Row],[Old1YT]]</f>
        <v>96.66 &lt; 91.96/86.78</v>
      </c>
    </row>
    <row r="6" spans="1:32" x14ac:dyDescent="0.3">
      <c r="A6" s="15" t="str" cm="1">
        <f t="array" aca="1" ref="A6" ca="1">_xlfn.SINGLE(RTData[suffix])&amp;_FV(RTData[[#This Row],[Company Name]],"Ticker symbol",TRUE)</f>
        <v>AMZN</v>
      </c>
      <c r="B6" s="15">
        <f ca="1">D99</f>
        <v>0.86192035855886928</v>
      </c>
      <c r="C6" t="e" vm="4">
        <v>#VALUE!</v>
      </c>
      <c r="D6" s="17" t="str" cm="1">
        <f t="array" aca="1" ref="D6" ca="1">_FV(RTData[[#This Row],[Company Name]],"Currency")</f>
        <v>USD</v>
      </c>
      <c r="E6" s="18" cm="1">
        <f t="array" aca="1" ref="E6" ca="1">_FV(RTData[[#This Row],[Company Name]],"Last trade time",TRUE)</f>
        <v>45959.983861214845</v>
      </c>
      <c r="F6" s="19" cm="1">
        <f t="array" aca="1" ref="F6" ca="1">_FV(RTData[[#This Row],[Company Name]],"Previous close",TRUE)</f>
        <v>229.25</v>
      </c>
      <c r="G6" s="19" cm="1">
        <f t="array" aca="1" ref="G6" ca="1">_FV(RTData[[#This Row],[Company Name]],"Open")</f>
        <v>231.672</v>
      </c>
      <c r="H6" s="19" cm="1">
        <f t="array" aca="1" ref="H6" ca="1">_FV(RTData[[#This Row],[Company Name]],"Price")</f>
        <v>230.3</v>
      </c>
      <c r="I6" s="19" cm="1">
        <f t="array" aca="1" ref="I6" ca="1">_FV(RTData[[#This Row],[Company Name]],"Low")</f>
        <v>227.76</v>
      </c>
      <c r="J6" s="19" cm="1">
        <f t="array" aca="1" ref="J6" ca="1">_FV(RTData[[#This Row],[Company Name]],"High")</f>
        <v>232.82</v>
      </c>
      <c r="K6" s="20" cm="1">
        <f t="array" aca="1" ref="K6" ca="1">IFERROR(_FV(RTData[[#This Row],[Company Name]],"P/E",TRUE),99)</f>
        <v>35.143099999999997</v>
      </c>
      <c r="L6" s="21" cm="1">
        <f t="array" aca="1" ref="L6" ca="1">_FV(RTData[[#This Row],[Company Name]],"Change")</f>
        <v>1.05</v>
      </c>
      <c r="M6" s="22" cm="1">
        <f t="array" aca="1" ref="M6" ca="1">_FV(RTData[[#This Row],[Company Name]],"Change (%)",TRUE)</f>
        <v>4.5799999999999999E-3</v>
      </c>
      <c r="N6" s="19" cm="1">
        <f t="array" aca="1" ref="N6" ca="1">_FV(RTData[[#This Row],[Company Name]],"52 week low",TRUE)</f>
        <v>161.38</v>
      </c>
      <c r="O6" s="19" cm="1">
        <f t="array" aca="1" ref="O6" ca="1">_FV(RTData[[#This Row],[Company Name]],"52 week high",TRUE)</f>
        <v>242.52</v>
      </c>
      <c r="P6" s="23" cm="1">
        <f t="array" aca="1" ref="P6" ca="1">_FV(RTData[[#This Row],[Company Name]],"Volume")</f>
        <v>51990540</v>
      </c>
      <c r="Q6" s="23" cm="1">
        <f t="array" aca="1" ref="Q6" ca="1">_FV(RTData[[#This Row],[Company Name]],"Volume average",TRUE)</f>
        <v>44491514</v>
      </c>
      <c r="R6" s="19" cm="1">
        <f t="array" aca="1" ref="R6" ca="1">_FV(RTData[[#This Row],[Company Name]],"Beta")</f>
        <v>1.2853000000000001</v>
      </c>
      <c r="T6" t="s">
        <v>20</v>
      </c>
      <c r="U6" t="str" cm="1">
        <f t="array" aca="1" ref="U6" ca="1">_FV(RTData[[#This Row],[Company Name]],"Exchange abbreviation",TRUE)</f>
        <v>XNAS</v>
      </c>
      <c r="V6" s="24">
        <f ca="1">IFERROR(RTData[[#This Row],[Volume]]/RTData[[#This Row],[Volume average]],1)</f>
        <v>1.168549580039016</v>
      </c>
      <c r="W6" s="24"/>
      <c r="X6" s="108">
        <f ca="1">_xlfn.XLOOKUP(RTData[[#This Row],[Ticker symbol]],[2]Sheet2!$B$2:$B$95,[2]Sheet2!$E$2:$E$95)</f>
        <v>266.56450000000001</v>
      </c>
      <c r="Y6" s="101" t="str">
        <f>_xlfn.LET(_xlpm.date,[2]Sheet2!F5,IF(_xlpm.date=0,"",_xlpm.date))</f>
        <v/>
      </c>
      <c r="Z6" s="101" t="str">
        <f>_xlfn.LET(_xlpm.date,[2]Sheet2!G5,IF(_xlpm.date=0,"",_xlpm.date))</f>
        <v>Oct 30, 2025</v>
      </c>
      <c r="AA6" s="102">
        <f>[2]Sheet2!$H5</f>
        <v>0</v>
      </c>
      <c r="AB6" s="103">
        <v>1E-4</v>
      </c>
      <c r="AC6" s="104">
        <v>3.0000000000000001E-3</v>
      </c>
      <c r="AD6" s="90" t="s">
        <v>48</v>
      </c>
      <c r="AE6" s="105">
        <f ca="1">_xlfn.LET(_xlpm.New1YT,RTData[[#This Row],[1YT]],        _xlpm.Old1YT,IF(ISNUMBER(RTData[[#This Row],[Old1YT]]),RTData[[#This Row],[Old1YT]],VALUE(LEFT(RTData[[#This Row],[Old1YT]],FIND("/",RTData[[#This Row],[Old1YT]],1)-1))),       IF(OR(RTData[[#This Row],[1YT]]=0,_xlpm.Old1YT=0),0,(_xlpm.New1YT-_xlpm.Old1YT)/_xlpm.Old1YT))</f>
        <v>0.11551933377971209</v>
      </c>
      <c r="AF6" s="105" t="str">
        <f ca="1">TEXT(RTData[[#This Row],[1YT]],"#,#0.00")&amp;" &lt; "&amp;RTData[[#This Row],[Old1YT]]</f>
        <v>266.56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45959.708333333336</v>
      </c>
      <c r="F7" s="28" cm="1">
        <f t="array" aca="1" ref="F7" ca="1">_FV(RTData[[#This Row],[Company Name]],"Previous close",TRUE)</f>
        <v>0.82</v>
      </c>
      <c r="G7" s="19" cm="1">
        <f t="array" aca="1" ref="G7" ca="1">_FV(RTData[[#This Row],[Company Name]],"Open")</f>
        <v>0.8</v>
      </c>
      <c r="H7" s="28" cm="1">
        <f t="array" aca="1" ref="H7" ca="1">_FV(RTData[[#This Row],[Company Name]],"Price")</f>
        <v>0.78600000000000003</v>
      </c>
      <c r="I7" s="28" cm="1">
        <f t="array" aca="1" ref="I7" ca="1">_FV(RTData[[#This Row],[Company Name]],"Low")</f>
        <v>0.77</v>
      </c>
      <c r="J7" s="28" cm="1">
        <f t="array" aca="1" ref="J7" ca="1">_FV(RTData[[#This Row],[Company Name]],"High")</f>
        <v>0.81</v>
      </c>
      <c r="K7" s="20" cm="1">
        <f t="array" aca="1" ref="K7" ca="1">IFERROR(_FV(RTData[[#This Row],[Company Name]],"P/E",TRUE),99)</f>
        <v>0</v>
      </c>
      <c r="L7" s="21" cm="1">
        <f t="array" aca="1" ref="L7" ca="1">_FV(RTData[[#This Row],[Company Name]],"Change")</f>
        <v>-3.4000000000000002E-2</v>
      </c>
      <c r="M7" s="22" cm="1">
        <f t="array" aca="1" ref="M7" ca="1">_FV(RTData[[#This Row],[Company Name]],"Change (%)",TRUE)</f>
        <v>-4.1463E-2</v>
      </c>
      <c r="N7" s="28" cm="1">
        <f t="array" aca="1" ref="N7" ca="1">_FV(RTData[[#This Row],[Company Name]],"52 week low",TRUE)</f>
        <v>0.65</v>
      </c>
      <c r="O7" s="28" cm="1">
        <f t="array" aca="1" ref="O7" ca="1">_FV(RTData[[#This Row],[Company Name]],"52 week high",TRUE)</f>
        <v>1.53</v>
      </c>
      <c r="P7" s="23" cm="1">
        <f t="array" aca="1" ref="P7" ca="1">_FV(RTData[[#This Row],[Company Name]],"Volume")</f>
        <v>24428</v>
      </c>
      <c r="Q7" s="23" cm="1">
        <f t="array" aca="1" ref="Q7" ca="1">_FV(RTData[[#This Row],[Company Name]],"Volume average",TRUE)</f>
        <v>6760</v>
      </c>
      <c r="R7" s="19" cm="1">
        <f t="array" aca="1" ref="R7" ca="1">_FV(RTData[[#This Row],[Company Name]],"Beta")</f>
        <v>1.0288999999999999</v>
      </c>
      <c r="T7" t="s">
        <v>20</v>
      </c>
      <c r="U7" t="str" cm="1">
        <f t="array" aca="1" ref="U7" ca="1">_FV(RTData[[#This Row],[Company Name]],"Exchange abbreviation",TRUE)</f>
        <v>XPAR</v>
      </c>
      <c r="V7" s="24">
        <f ca="1">IFERROR(RTData[[#This Row],[Volume]]/RTData[[#This Row],[Volume average]],1)</f>
        <v>3.6136094674556212</v>
      </c>
      <c r="W7" s="24"/>
      <c r="X7" s="108">
        <f ca="1">_xlfn.XLOOKUP(RTData[[#This Row],[Ticker symbol]],[2]Sheet2!$B$2:$B$95,[2]Sheet2!$E$2:$E$95)</f>
        <v>1.5333300000000001</v>
      </c>
      <c r="Y7" s="101" t="str">
        <f>_xlfn.LET(_xlpm.date,[2]Sheet2!F6,IF(_xlpm.date=0,"",_xlpm.date))</f>
        <v/>
      </c>
      <c r="Z7" s="101" t="str">
        <f>_xlfn.LET(_xlpm.date,[2]Sheet2!G6,IF(_xlpm.date=0,"",_xlpm.date))</f>
        <v>--</v>
      </c>
      <c r="AA7" s="102">
        <f>[2]Sheet2!$H6</f>
        <v>0</v>
      </c>
      <c r="AB7" s="103"/>
      <c r="AC7" s="104">
        <v>3.0000000000000001E-3</v>
      </c>
      <c r="AD7" s="90">
        <v>3.87</v>
      </c>
      <c r="AE7" s="105">
        <f ca="1">_xlfn.LET(_xlpm.New1YT,RTData[[#This Row],[1YT]],        _xlpm.Old1YT,IF(ISNUMBER(RTData[[#This Row],[Old1YT]]),RTData[[#This Row],[Old1YT]],VALUE(LEFT(RTData[[#This Row],[Old1YT]],FIND("/",RTData[[#This Row],[Old1YT]],1)-1))),       IF(OR(RTData[[#This Row],[1YT]]=0,_xlpm.Old1YT=0),0,(_xlpm.New1YT-_xlpm.Old1YT)/_xlpm.Old1YT))</f>
        <v>-0.60379069767441851</v>
      </c>
      <c r="AF7" s="105" t="str">
        <f ca="1">TEXT(RTData[[#This Row],[1YT]],"#,#0.00")&amp;" &lt; "&amp;RTData[[#This Row],[Old1YT]]</f>
        <v>1.53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45959.708333333336</v>
      </c>
      <c r="F8" s="28" cm="1">
        <f t="array" aca="1" ref="F8" ca="1">_FV(RTData[[#This Row],[Company Name]],"Previous close",TRUE)</f>
        <v>907.4</v>
      </c>
      <c r="G8" s="28" cm="1">
        <f t="array" aca="1" ref="G8" ca="1">_FV(RTData[[#This Row],[Company Name]],"Open")</f>
        <v>904</v>
      </c>
      <c r="H8" s="28" cm="1">
        <f t="array" aca="1" ref="H8" ca="1">_FV(RTData[[#This Row],[Company Name]],"Price")</f>
        <v>919.4</v>
      </c>
      <c r="I8" s="28" cm="1">
        <f t="array" aca="1" ref="I8" ca="1">_FV(RTData[[#This Row],[Company Name]],"Low")</f>
        <v>902.3</v>
      </c>
      <c r="J8" s="28" cm="1">
        <f t="array" aca="1" ref="J8" ca="1">_FV(RTData[[#This Row],[Company Name]],"High")</f>
        <v>928.4</v>
      </c>
      <c r="K8" s="20" cm="1">
        <f t="array" aca="1" ref="K8" ca="1">IFERROR(_FV(RTData[[#This Row],[Company Name]],"P/E",TRUE),99)</f>
        <v>34.840899999999998</v>
      </c>
      <c r="L8" s="21" cm="1">
        <f t="array" aca="1" ref="L8" ca="1">_FV(RTData[[#This Row],[Company Name]],"Change")</f>
        <v>12</v>
      </c>
      <c r="M8" s="22" cm="1">
        <f t="array" aca="1" ref="M8" ca="1">_FV(RTData[[#This Row],[Company Name]],"Change (%)",TRUE)</f>
        <v>1.3225000000000001E-2</v>
      </c>
      <c r="N8" s="28" cm="1">
        <f t="array" aca="1" ref="N8" ca="1">_FV(RTData[[#This Row],[Company Name]],"52 week low",TRUE)</f>
        <v>508.4</v>
      </c>
      <c r="O8" s="28" cm="1">
        <f t="array" aca="1" ref="O8" ca="1">_FV(RTData[[#This Row],[Company Name]],"52 week high",TRUE)</f>
        <v>928.4</v>
      </c>
      <c r="P8" s="23" cm="1">
        <f t="array" aca="1" ref="P8" ca="1">_FV(RTData[[#This Row],[Company Name]],"Volume")</f>
        <v>694357</v>
      </c>
      <c r="Q8" s="23" cm="1">
        <f t="array" aca="1" ref="Q8" ca="1">_FV(RTData[[#This Row],[Company Name]],"Volume average",TRUE)</f>
        <v>645470</v>
      </c>
      <c r="R8" s="19" cm="1">
        <f t="array" aca="1" ref="R8" ca="1">_FV(RTData[[#This Row],[Company Name]],"Beta")</f>
        <v>1.9643999999999999</v>
      </c>
      <c r="T8" t="s">
        <v>20</v>
      </c>
      <c r="U8" t="str" cm="1">
        <f t="array" aca="1" ref="U8" ca="1">_FV(RTData[[#This Row],[Company Name]],"Exchange abbreviation",TRUE)</f>
        <v>XAMS</v>
      </c>
      <c r="V8" s="24">
        <f ca="1">IFERROR(RTData[[#This Row],[Volume]]/RTData[[#This Row],[Volume average]],1)</f>
        <v>1.0757386090755574</v>
      </c>
      <c r="W8" s="24"/>
      <c r="X8" s="108">
        <f ca="1">_xlfn.XLOOKUP(RTData[[#This Row],[Ticker symbol]],[2]Sheet2!$B$2:$B$95,[2]Sheet2!$E$2:$E$95)</f>
        <v>873.90326000000005</v>
      </c>
      <c r="Y8" s="101">
        <f>_xlfn.LET(_xlpm.date,[2]Sheet2!F7,IF(_xlpm.date=0,"",_xlpm.date))</f>
        <v>45866</v>
      </c>
      <c r="Z8" s="101" t="str">
        <f>_xlfn.LET(_xlpm.date,[2]Sheet2!G7,IF(_xlpm.date=0,"",_xlpm.date))</f>
        <v/>
      </c>
      <c r="AA8" s="102">
        <f>[2]Sheet2!$H7</f>
        <v>8.0000000000000002E-3</v>
      </c>
      <c r="AB8" s="103"/>
      <c r="AC8" s="104">
        <v>3.0000000000000001E-3</v>
      </c>
      <c r="AD8" s="90">
        <v>847.58</v>
      </c>
      <c r="AE8" s="105">
        <f ca="1">_xlfn.LET(_xlpm.New1YT,RTData[[#This Row],[1YT]],        _xlpm.Old1YT,IF(ISNUMBER(RTData[[#This Row],[Old1YT]]),RTData[[#This Row],[Old1YT]],VALUE(LEFT(RTData[[#This Row],[Old1YT]],FIND("/",RTData[[#This Row],[Old1YT]],1)-1))),       IF(OR(RTData[[#This Row],[1YT]]=0,_xlpm.Old1YT=0),0,(_xlpm.New1YT-_xlpm.Old1YT)/_xlpm.Old1YT))</f>
        <v>3.1056962174661983E-2</v>
      </c>
      <c r="AF8" s="105" t="str">
        <f ca="1">TEXT(RTData[[#This Row],[1YT]],"#,#0.00")&amp;" &lt; "&amp;RTData[[#This Row],[Old1YT]]</f>
        <v>873.90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45959.983828668752</v>
      </c>
      <c r="F9" s="19" cm="1">
        <f t="array" aca="1" ref="F9" ca="1">_FV(RTData[[#This Row],[Company Name]],"Previous close",TRUE)</f>
        <v>372.97</v>
      </c>
      <c r="G9" s="19" cm="1">
        <f t="array" aca="1" ref="G9" ca="1">_FV(RTData[[#This Row],[Company Name]],"Open")</f>
        <v>373.19</v>
      </c>
      <c r="H9" s="19" cm="1">
        <f t="array" aca="1" ref="H9" ca="1">_FV(RTData[[#This Row],[Company Name]],"Price")</f>
        <v>385.98</v>
      </c>
      <c r="I9" s="19" cm="1">
        <f t="array" aca="1" ref="I9" ca="1">_FV(RTData[[#This Row],[Company Name]],"Low")</f>
        <v>373.19</v>
      </c>
      <c r="J9" s="19" cm="1">
        <f t="array" aca="1" ref="J9" ca="1">_FV(RTData[[#This Row],[Company Name]],"High")</f>
        <v>386.48</v>
      </c>
      <c r="K9" s="20" cm="1">
        <f t="array" aca="1" ref="K9" ca="1">IFERROR(_FV(RTData[[#This Row],[Company Name]],"P/E",TRUE),99)</f>
        <v>98.943899999999999</v>
      </c>
      <c r="L9" s="21" cm="1">
        <f t="array" aca="1" ref="L9" ca="1">_FV(RTData[[#This Row],[Company Name]],"Change")</f>
        <v>13.01</v>
      </c>
      <c r="M9" s="22" cm="1">
        <f t="array" aca="1" ref="M9" ca="1">_FV(RTData[[#This Row],[Company Name]],"Change (%)",TRUE)</f>
        <v>3.4881999999999996E-2</v>
      </c>
      <c r="N9" s="19" cm="1">
        <f t="array" aca="1" ref="N9" ca="1">_FV(RTData[[#This Row],[Company Name]],"52 week low",TRUE)</f>
        <v>138.1</v>
      </c>
      <c r="O9" s="19" cm="1">
        <f t="array" aca="1" ref="O9" ca="1">_FV(RTData[[#This Row],[Company Name]],"52 week high",TRUE)</f>
        <v>386.48</v>
      </c>
      <c r="P9" s="23" cm="1">
        <f t="array" aca="1" ref="P9" ca="1">_FV(RTData[[#This Row],[Company Name]],"Volume")</f>
        <v>24947730</v>
      </c>
      <c r="Q9" s="23" cm="1">
        <f t="array" aca="1" ref="Q9" ca="1">_FV(RTData[[#This Row],[Company Name]],"Volume average",TRUE)</f>
        <v>20521315</v>
      </c>
      <c r="R9" s="19" cm="1">
        <f t="array" aca="1" ref="R9" ca="1">_FV(RTData[[#This Row],[Company Name]],"Beta")</f>
        <v>1.2053</v>
      </c>
      <c r="S9"/>
      <c r="T9"/>
      <c r="U9" t="str" cm="1">
        <f t="array" aca="1" ref="U9" ca="1">_FV(RTData[[#This Row],[Company Name]],"Exchange abbreviation",TRUE)</f>
        <v>XNAS</v>
      </c>
      <c r="V9" s="107">
        <f ca="1">IFERROR(RTData[[#This Row],[Volume]]/RTData[[#This Row],[Volume average]],1)</f>
        <v>1.2156984091906391</v>
      </c>
      <c r="W9" s="107"/>
      <c r="X9" s="108">
        <f ca="1">_xlfn.XLOOKUP(RTData[[#This Row],[Ticker symbol]],[2]Sheet2!$B$2:$B$95,[2]Sheet2!$E$2:$E$95)</f>
        <v>370.36489999999998</v>
      </c>
      <c r="Y9" s="109">
        <f>_xlfn.LET(_xlpm.date,[2]Sheet2!F8,IF(_xlpm.date=0,"",_xlpm.date))</f>
        <v>45877</v>
      </c>
      <c r="Z9" s="110" t="str">
        <f>_xlfn.LET(_xlpm.date,[2]Sheet2!G8,IF(_xlpm.date=0,"",_xlpm.date))</f>
        <v>Nov 6, 2025</v>
      </c>
      <c r="AA9" s="111">
        <f>[2]Sheet2!$H8</f>
        <v>1.8499999999999999E-2</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#VALUE!</v>
      </c>
      <c r="AF9" s="105" t="str">
        <f ca="1">TEXT(RTData[[#This Row],[1YT]],"#,#0.00")&amp;" &lt; "&amp;RTData[[#This Row],[Old1YT]]</f>
        <v xml:space="preserve">370.36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45959.981860532032</v>
      </c>
      <c r="F10" s="19" cm="1">
        <f t="array" aca="1" ref="F10" ca="1">_FV(RTData[[#This Row],[Company Name]],"Previous close",TRUE)</f>
        <v>82.61</v>
      </c>
      <c r="G10" s="19" cm="1">
        <f t="array" aca="1" ref="G10" ca="1">_FV(RTData[[#This Row],[Company Name]],"Open")</f>
        <v>83.39</v>
      </c>
      <c r="H10" s="19" cm="1">
        <f t="array" aca="1" ref="H10" ca="1">_FV(RTData[[#This Row],[Company Name]],"Price")</f>
        <v>82.23</v>
      </c>
      <c r="I10" s="19" cm="1">
        <f t="array" aca="1" ref="I10" ca="1">_FV(RTData[[#This Row],[Company Name]],"Low")</f>
        <v>81.64</v>
      </c>
      <c r="J10" s="19" cm="1">
        <f t="array" aca="1" ref="J10" ca="1">_FV(RTData[[#This Row],[Company Name]],"High")</f>
        <v>83.46</v>
      </c>
      <c r="K10" s="20" cm="1">
        <f t="array" aca="1" ref="K10" ca="1">IFERROR(_FV(RTData[[#This Row],[Company Name]],"P/E",TRUE),99)</f>
        <v>31.101700000000001</v>
      </c>
      <c r="L10" s="21" cm="1">
        <f t="array" aca="1" ref="L10" ca="1">_FV(RTData[[#This Row],[Company Name]],"Change")</f>
        <v>-0.38</v>
      </c>
      <c r="M10" s="22" cm="1">
        <f t="array" aca="1" ref="M10" ca="1">_FV(RTData[[#This Row],[Company Name]],"Change (%)",TRUE)</f>
        <v>-4.5999999999999999E-3</v>
      </c>
      <c r="N10" s="19" cm="1">
        <f t="array" aca="1" ref="N10" ca="1">_FV(RTData[[#This Row],[Company Name]],"52 week low",TRUE)</f>
        <v>61.24</v>
      </c>
      <c r="O10" s="19" cm="1">
        <f t="array" aca="1" ref="O10" ca="1">_FV(RTData[[#This Row],[Company Name]],"52 week high",TRUE)</f>
        <v>86.57</v>
      </c>
      <c r="P10" s="23" cm="1">
        <f t="array" aca="1" ref="P10" ca="1">_FV(RTData[[#This Row],[Company Name]],"Volume")</f>
        <v>3570041</v>
      </c>
      <c r="Q10" s="23" cm="1">
        <f t="array" aca="1" ref="Q10" ca="1">_FV(RTData[[#This Row],[Company Name]],"Volume average",TRUE)</f>
        <v>5710296</v>
      </c>
      <c r="R10" s="19" cm="1">
        <f t="array" aca="1" ref="R10" ca="1">_FV(RTData[[#This Row],[Company Name]],"Beta")</f>
        <v>0.35160000000000002</v>
      </c>
      <c r="U10" t="str" cm="1">
        <f t="array" aca="1" ref="U10" ca="1">_FV(RTData[[#This Row],[Company Name]],"Exchange abbreviation",TRUE)</f>
        <v>XNAS</v>
      </c>
      <c r="V10" s="107">
        <f ca="1">IFERROR(RTData[[#This Row],[Volume]]/RTData[[#This Row],[Volume average]],1)</f>
        <v>0.62519368523102825</v>
      </c>
      <c r="W10" s="107"/>
      <c r="X10" s="108">
        <f ca="1">_xlfn.XLOOKUP(RTData[[#This Row],[Ticker symbol]],[2]Sheet2!$B$2:$B$95,[2]Sheet2!$E$2:$E$95)</f>
        <v>89.77</v>
      </c>
      <c r="Y10" s="109">
        <f>_xlfn.LET(_xlpm.date,[2]Sheet2!F8,IF(_xlpm.date=0,"",_xlpm.date))</f>
        <v>45877</v>
      </c>
      <c r="Z10" s="110" t="str">
        <f>_xlfn.LET(_xlpm.date,[2]Sheet2!G8,IF(_xlpm.date=0,"",_xlpm.date))</f>
        <v>Nov 6, 2025</v>
      </c>
      <c r="AA10" s="111">
        <f>[2]Sheet2!$H8</f>
        <v>1.8499999999999999E-2</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#VALUE!</v>
      </c>
      <c r="AF10" s="105" t="str">
        <f ca="1">TEXT(RTData[[#This Row],[1YT]],"#,#0.00")&amp;" &lt; "&amp;RTData[[#This Row],[Old1YT]]</f>
        <v xml:space="preserve">89.77 &lt; </v>
      </c>
    </row>
    <row r="11" spans="1:32" x14ac:dyDescent="0.3">
      <c r="A11" s="15" t="str" cm="1">
        <f t="array" aca="1" ref="A11" ca="1">_xlfn.SINGLE(RTData[suffix])&amp;_FV(RTData[[#This Row],[Company Name]],"Ticker symbol",TRUE)</f>
        <v>BLDP</v>
      </c>
      <c r="B11" s="15">
        <f ca="1">D99</f>
        <v>0.86192035855886928</v>
      </c>
      <c r="C11" t="e" vm="10">
        <v>#VALUE!</v>
      </c>
      <c r="D11" s="29" t="str" cm="1">
        <f t="array" aca="1" ref="D11" ca="1">_FV(RTData[[#This Row],[Company Name]],"Currency")</f>
        <v>USD</v>
      </c>
      <c r="E11" s="30" cm="1">
        <f t="array" aca="1" ref="E11" ca="1">_FV(RTData[[#This Row],[Company Name]],"Last trade time",TRUE)</f>
        <v>45959.975477453125</v>
      </c>
      <c r="F11" s="19" cm="1">
        <f t="array" aca="1" ref="F11" ca="1">_FV(RTData[[#This Row],[Company Name]],"Previous close",TRUE)</f>
        <v>3.44</v>
      </c>
      <c r="G11" s="19" cm="1">
        <f t="array" aca="1" ref="G11" ca="1">_FV(RTData[[#This Row],[Company Name]],"Open")</f>
        <v>3.4249999999999998</v>
      </c>
      <c r="H11" s="19" cm="1">
        <f t="array" aca="1" ref="H11" ca="1">_FV(RTData[[#This Row],[Company Name]],"Price")</f>
        <v>3.54</v>
      </c>
      <c r="I11" s="31" cm="1">
        <f t="array" aca="1" ref="I11" ca="1">_FV(RTData[[#This Row],[Company Name]],"Low")</f>
        <v>3.3912</v>
      </c>
      <c r="J11" s="31" cm="1">
        <f t="array" aca="1" ref="J11" ca="1">_FV(RTData[[#This Row],[Company Name]],"High")</f>
        <v>3.73</v>
      </c>
      <c r="K11" s="20" cm="1">
        <f t="array" aca="1" ref="K11" ca="1">IFERROR(_FV(RTData[[#This Row],[Company Name]],"P/E",TRUE),99)</f>
        <v>0</v>
      </c>
      <c r="L11" s="32" cm="1">
        <f t="array" aca="1" ref="L11" ca="1">_FV(RTData[[#This Row],[Company Name]],"Change")</f>
        <v>0.1</v>
      </c>
      <c r="M11" s="33" cm="1">
        <f t="array" aca="1" ref="M11" ca="1">_FV(RTData[[#This Row],[Company Name]],"Change (%)",TRUE)</f>
        <v>2.9069999999999999E-2</v>
      </c>
      <c r="N11" s="31" cm="1">
        <f t="array" aca="1" ref="N11" ca="1">_FV(RTData[[#This Row],[Company Name]],"52 week low",TRUE)</f>
        <v>1</v>
      </c>
      <c r="O11" s="31" cm="1">
        <f t="array" aca="1" ref="O11" ca="1">_FV(RTData[[#This Row],[Company Name]],"52 week high",TRUE)</f>
        <v>4.0999999999999996</v>
      </c>
      <c r="P11" s="34" cm="1">
        <f t="array" aca="1" ref="P11" ca="1">_FV(RTData[[#This Row],[Company Name]],"Volume")</f>
        <v>7998657</v>
      </c>
      <c r="Q11" s="34" cm="1">
        <f t="array" aca="1" ref="Q11" ca="1">_FV(RTData[[#This Row],[Company Name]],"Volume average",TRUE)</f>
        <v>9086758</v>
      </c>
      <c r="R11" s="31" cm="1">
        <f t="array" aca="1" ref="R11" ca="1">_FV(RTData[[#This Row],[Company Name]],"Beta")</f>
        <v>1.9686999999999999</v>
      </c>
      <c r="S11" s="35"/>
      <c r="T11" t="s">
        <v>20</v>
      </c>
      <c r="U11" s="35" t="str" cm="1">
        <f t="array" aca="1" ref="U11" ca="1">_FV(RTData[[#This Row],[Company Name]],"Exchange abbreviation",TRUE)</f>
        <v>XNAS</v>
      </c>
      <c r="V11" s="93">
        <f ca="1">IFERROR(RTData[[#This Row],[Volume]]/RTData[[#This Row],[Volume average]],1)</f>
        <v>0.88025421167813644</v>
      </c>
      <c r="W11" s="93"/>
      <c r="X11" s="108">
        <f ca="1">_xlfn.XLOOKUP(RTData[[#This Row],[Ticker symbol]],[2]Sheet2!$B$2:$B$95,[2]Sheet2!$E$2:$E$95)</f>
        <v>2.4325000000000001</v>
      </c>
      <c r="Y11" s="101">
        <f>_xlfn.LET(_xlpm.date,[2]Sheet2!F8,IF(_xlpm.date=0,"",_xlpm.date))</f>
        <v>45877</v>
      </c>
      <c r="Z11" s="101" t="str">
        <f>_xlfn.LET(_xlpm.date,[2]Sheet2!G8,IF(_xlpm.date=0,"",_xlpm.date))</f>
        <v>Nov 6, 2025</v>
      </c>
      <c r="AA11" s="102">
        <f>[2]Sheet2!$H8</f>
        <v>1.8499999999999999E-2</v>
      </c>
      <c r="AB11" s="103">
        <v>1E-4</v>
      </c>
      <c r="AC11" s="104">
        <v>3.0000000000000001E-3</v>
      </c>
      <c r="AD11" s="90">
        <v>90.46</v>
      </c>
      <c r="AE11" s="105">
        <f ca="1">_xlfn.LET(_xlpm.New1YT,RTData[[#This Row],[1YT]],        _xlpm.Old1YT,IF(ISNUMBER(RTData[[#This Row],[Old1YT]]),RTData[[#This Row],[Old1YT]],VALUE(LEFT(RTData[[#This Row],[Old1YT]],FIND("/",RTData[[#This Row],[Old1YT]],1)-1))),       IF(OR(RTData[[#This Row],[1YT]]=0,_xlpm.Old1YT=0),0,(_xlpm.New1YT-_xlpm.Old1YT)/_xlpm.Old1YT))</f>
        <v>-0.97310966172894087</v>
      </c>
      <c r="AF11" s="105" t="str">
        <f ca="1">TEXT(RTData[[#This Row],[1YT]],"#,#0.00")&amp;" &lt; "&amp;RTData[[#This Row],[Old1YT]]</f>
        <v>2.43 &lt; 90.46</v>
      </c>
    </row>
    <row r="12" spans="1:32" x14ac:dyDescent="0.3">
      <c r="A12" s="15" t="str" cm="1">
        <f t="array" aca="1" ref="A12" ca="1">_xlfn.SINGLE(RTData[suffix])&amp;_FV(RTData[[#This Row],[Company Name]],"Ticker symbol",TRUE)</f>
        <v>BMRA</v>
      </c>
      <c r="B12" s="15">
        <f ca="1">D99</f>
        <v>0.86192035855886928</v>
      </c>
      <c r="C12" t="e" vm="11">
        <v>#VALUE!</v>
      </c>
      <c r="D12" s="17" t="str" cm="1">
        <f t="array" aca="1" ref="D12" ca="1">_FV(RTData[[#This Row],[Company Name]],"Currency")</f>
        <v>USD</v>
      </c>
      <c r="E12" s="18" cm="1">
        <f t="array" aca="1" ref="E12" ca="1">_FV(RTData[[#This Row],[Company Name]],"Last trade time",TRUE)</f>
        <v>45959.973460103909</v>
      </c>
      <c r="F12" s="19" cm="1">
        <f t="array" aca="1" ref="F12" ca="1">_FV(RTData[[#This Row],[Company Name]],"Previous close",TRUE)</f>
        <v>2.93</v>
      </c>
      <c r="G12" s="19" cm="1">
        <f t="array" aca="1" ref="G12" ca="1">_FV(RTData[[#This Row],[Company Name]],"Open")</f>
        <v>2.96</v>
      </c>
      <c r="H12" s="19" cm="1">
        <f t="array" aca="1" ref="H12" ca="1">_FV(RTData[[#This Row],[Company Name]],"Price")</f>
        <v>2.79</v>
      </c>
      <c r="I12" s="19" cm="1">
        <f t="array" aca="1" ref="I12" ca="1">_FV(RTData[[#This Row],[Company Name]],"Low")</f>
        <v>2.78</v>
      </c>
      <c r="J12" s="19" cm="1">
        <f t="array" aca="1" ref="J12" ca="1">_FV(RTData[[#This Row],[Company Name]],"High")</f>
        <v>2.96</v>
      </c>
      <c r="K12" s="20" cm="1">
        <f t="array" aca="1" ref="K12" ca="1">IFERROR(_FV(RTData[[#This Row],[Company Name]],"P/E",TRUE),99)</f>
        <v>0</v>
      </c>
      <c r="L12" s="21" cm="1">
        <f t="array" aca="1" ref="L12" ca="1">_FV(RTData[[#This Row],[Company Name]],"Change")</f>
        <v>-0.14000000000000001</v>
      </c>
      <c r="M12" s="22" cm="1">
        <f t="array" aca="1" ref="M12" ca="1">_FV(RTData[[#This Row],[Company Name]],"Change (%)",TRUE)</f>
        <v>-4.7781999999999998E-2</v>
      </c>
      <c r="N12" s="19" cm="1">
        <f t="array" aca="1" ref="N12" ca="1">_FV(RTData[[#This Row],[Company Name]],"52 week low",TRUE)</f>
        <v>2.08</v>
      </c>
      <c r="O12" s="19" cm="1">
        <f t="array" aca="1" ref="O12" ca="1">_FV(RTData[[#This Row],[Company Name]],"52 week high",TRUE)</f>
        <v>10.16</v>
      </c>
      <c r="P12" s="23" cm="1">
        <f t="array" aca="1" ref="P12" ca="1">_FV(RTData[[#This Row],[Company Name]],"Volume")</f>
        <v>23362</v>
      </c>
      <c r="Q12" s="23" cm="1">
        <f t="array" aca="1" ref="Q12" ca="1">_FV(RTData[[#This Row],[Company Name]],"Volume average",TRUE)</f>
        <v>203951</v>
      </c>
      <c r="R12" s="19" cm="1">
        <f t="array" aca="1" ref="R12" ca="1">_FV(RTData[[#This Row],[Company Name]],"Beta")</f>
        <v>0.28499999999999998</v>
      </c>
      <c r="T12" t="s">
        <v>20</v>
      </c>
      <c r="U12" t="str" cm="1">
        <f t="array" aca="1" ref="U12" ca="1">_FV(RTData[[#This Row],[Company Name]],"Exchange abbreviation",TRUE)</f>
        <v>XNAS</v>
      </c>
      <c r="V12" s="24">
        <f ca="1">IFERROR(RTData[[#This Row],[Volume]]/RTData[[#This Row],[Volume average]],1)</f>
        <v>0.11454712161254418</v>
      </c>
      <c r="W12" s="24"/>
      <c r="X12" s="108">
        <f ca="1">_xlfn.XLOOKUP(RTData[[#This Row],[Ticker symbol]],[2]Sheet2!$B$2:$B$95,[2]Sheet2!$E$2:$E$95)</f>
        <v>0</v>
      </c>
      <c r="Y12" s="101" t="str">
        <f>_xlfn.LET(_xlpm.date,[2]Sheet2!F9,IF(_xlpm.date=0,"",_xlpm.date))</f>
        <v/>
      </c>
      <c r="Z12" s="101" t="str">
        <f>_xlfn.LET(_xlpm.date,[2]Sheet2!G9,IF(_xlpm.date=0,"",_xlpm.date))</f>
        <v>Nov 4, 2025</v>
      </c>
      <c r="AA12" s="102">
        <f>[2]Sheet2!$H9</f>
        <v>0</v>
      </c>
      <c r="AB12" s="103">
        <v>1E-4</v>
      </c>
      <c r="AC12" s="104">
        <v>3.0000000000000001E-3</v>
      </c>
      <c r="AD12" s="90">
        <v>2.73</v>
      </c>
      <c r="AE12" s="105">
        <f ca="1">_xlfn.LET(_xlpm.New1YT,RTData[[#This Row],[1YT]],        _xlpm.Old1YT,IF(ISNUMBER(RTData[[#This Row],[Old1YT]]),RTData[[#This Row],[Old1YT]],VALUE(LEFT(RTData[[#This Row],[Old1YT]],FIND("/",RTData[[#This Row],[Old1YT]],1)-1))),       IF(OR(RTData[[#This Row],[1YT]]=0,_xlpm.Old1YT=0),0,(_xlpm.New1YT-_xlpm.Old1YT)/_xlpm.Old1YT))</f>
        <v>0</v>
      </c>
      <c r="AF12" s="105" t="str">
        <f ca="1">TEXT(RTData[[#This Row],[1YT]],"#,#0.00")&amp;" &lt; "&amp;RTData[[#This Row],[Old1YT]]</f>
        <v>0.00 &lt; 2.73</v>
      </c>
    </row>
    <row r="13" spans="1:32" x14ac:dyDescent="0.3">
      <c r="A13" s="15" t="str" cm="1">
        <f t="array" aca="1" ref="A13" ca="1">_xlfn.SINGLE(RTData[suffix])&amp;_FV(RTData[[#This Row],[Company Name]],"Ticker symbol",TRUE)</f>
        <v>C</v>
      </c>
      <c r="B13" s="15">
        <f ca="1">D99</f>
        <v>0.86192035855886928</v>
      </c>
      <c r="C13" t="e" vm="12">
        <v>#VALUE!</v>
      </c>
      <c r="D13" s="17" t="str" cm="1">
        <f t="array" aca="1" ref="D13" ca="1">_FV(RTData[[#This Row],[Company Name]],"Currency")</f>
        <v>USD</v>
      </c>
      <c r="E13" s="18" cm="1">
        <f t="array" aca="1" ref="E13" ca="1">_FV(RTData[[#This Row],[Company Name]],"Last trade time",TRUE)</f>
        <v>45959.982216053126</v>
      </c>
      <c r="F13" s="19" cm="1">
        <f t="array" aca="1" ref="F13" ca="1">_FV(RTData[[#This Row],[Company Name]],"Previous close",TRUE)</f>
        <v>101.39</v>
      </c>
      <c r="G13" s="19" cm="1">
        <f t="array" aca="1" ref="G13" ca="1">_FV(RTData[[#This Row],[Company Name]],"Open")</f>
        <v>101.29</v>
      </c>
      <c r="H13" s="19" cm="1">
        <f t="array" aca="1" ref="H13" ca="1">_FV(RTData[[#This Row],[Company Name]],"Price")</f>
        <v>99.19</v>
      </c>
      <c r="I13" s="19" cm="1">
        <f t="array" aca="1" ref="I13" ca="1">_FV(RTData[[#This Row],[Company Name]],"Low")</f>
        <v>99.03</v>
      </c>
      <c r="J13" s="19" cm="1">
        <f t="array" aca="1" ref="J13" ca="1">_FV(RTData[[#This Row],[Company Name]],"High")</f>
        <v>101.94</v>
      </c>
      <c r="K13" s="20" cm="1">
        <f t="array" aca="1" ref="K13" ca="1">IFERROR(_FV(RTData[[#This Row],[Company Name]],"P/E",TRUE),99)</f>
        <v>13.9437</v>
      </c>
      <c r="L13" s="21" cm="1">
        <f t="array" aca="1" ref="L13" ca="1">_FV(RTData[[#This Row],[Company Name]],"Change")</f>
        <v>-2.2000000000000002</v>
      </c>
      <c r="M13" s="22" cm="1">
        <f t="array" aca="1" ref="M13" ca="1">_FV(RTData[[#This Row],[Company Name]],"Change (%)",TRUE)</f>
        <v>-2.1697999999999999E-2</v>
      </c>
      <c r="N13" s="19" cm="1">
        <f t="array" aca="1" ref="N13" ca="1">_FV(RTData[[#This Row],[Company Name]],"52 week low",TRUE)</f>
        <v>55.51</v>
      </c>
      <c r="O13" s="19" cm="1">
        <f t="array" aca="1" ref="O13" ca="1">_FV(RTData[[#This Row],[Company Name]],"52 week high",TRUE)</f>
        <v>105.59</v>
      </c>
      <c r="P13" s="23" cm="1">
        <f t="array" aca="1" ref="P13" ca="1">_FV(RTData[[#This Row],[Company Name]],"Volume")</f>
        <v>11878320</v>
      </c>
      <c r="Q13" s="23" cm="1">
        <f t="array" aca="1" ref="Q13" ca="1">_FV(RTData[[#This Row],[Company Name]],"Volume average",TRUE)</f>
        <v>13664170</v>
      </c>
      <c r="R13" s="19" cm="1">
        <f t="array" aca="1" ref="R13" ca="1">_FV(RTData[[#This Row],[Company Name]],"Beta")</f>
        <v>1.3505</v>
      </c>
      <c r="T13" t="s">
        <v>20</v>
      </c>
      <c r="U13" t="str" cm="1">
        <f t="array" aca="1" ref="U13" ca="1">_FV(RTData[[#This Row],[Company Name]],"Exchange abbreviation",TRUE)</f>
        <v>XNYS</v>
      </c>
      <c r="V13" s="24">
        <f ca="1">IFERROR(RTData[[#This Row],[Volume]]/RTData[[#This Row],[Volume average]],1)</f>
        <v>0.86930417288426598</v>
      </c>
      <c r="W13" s="24"/>
      <c r="X13" s="108">
        <f ca="1">_xlfn.XLOOKUP(RTData[[#This Row],[Ticker symbol]],[2]Sheet2!$B$2:$B$95,[2]Sheet2!$E$2:$E$95)</f>
        <v>110.64286</v>
      </c>
      <c r="Y13" s="101" t="str">
        <f>_xlfn.LET(_xlpm.date,[2]Sheet2!F10,IF(_xlpm.date=0,"",_xlpm.date))</f>
        <v/>
      </c>
      <c r="Z13" s="101" t="str">
        <f>_xlfn.LET(_xlpm.date,[2]Sheet2!G10,IF(_xlpm.date=0,"",_xlpm.date))</f>
        <v/>
      </c>
      <c r="AA13" s="102">
        <f>[2]Sheet2!$H10</f>
        <v>0</v>
      </c>
      <c r="AB13" s="103">
        <v>1E-4</v>
      </c>
      <c r="AC13" s="104">
        <v>3.0000000000000001E-3</v>
      </c>
      <c r="AD13" s="90">
        <v>13.26</v>
      </c>
      <c r="AE13" s="105">
        <f ca="1">_xlfn.LET(_xlpm.New1YT,RTData[[#This Row],[1YT]],        _xlpm.Old1YT,IF(ISNUMBER(RTData[[#This Row],[Old1YT]]),RTData[[#This Row],[Old1YT]],VALUE(LEFT(RTData[[#This Row],[Old1YT]],FIND("/",RTData[[#This Row],[Old1YT]],1)-1))),       IF(OR(RTData[[#This Row],[1YT]]=0,_xlpm.Old1YT=0),0,(_xlpm.New1YT-_xlpm.Old1YT)/_xlpm.Old1YT))</f>
        <v>7.3441070889894418</v>
      </c>
      <c r="AF13" s="105" t="str">
        <f ca="1">TEXT(RTData[[#This Row],[1YT]],"#,#0.00")&amp;" &lt; "&amp;RTData[[#This Row],[Old1YT]]</f>
        <v>110.64 &lt; 13.26</v>
      </c>
    </row>
    <row r="14" spans="1:32" x14ac:dyDescent="0.3">
      <c r="A14" s="15" t="str" cm="1">
        <f t="array" aca="1" ref="A14" ca="1">_xlfn.SINGLE(RTData[suffix])&amp;_FV(RTData[[#This Row],[Company Name]],"Ticker symbol",TRUE)</f>
        <v>CSCO</v>
      </c>
      <c r="B14" s="15">
        <f ca="1">D99</f>
        <v>0.86192035855886928</v>
      </c>
      <c r="C14" t="e" vm="13">
        <v>#VALUE!</v>
      </c>
      <c r="D14" s="17" t="str" cm="1">
        <f t="array" aca="1" ref="D14" ca="1">_FV(RTData[[#This Row],[Company Name]],"Currency")</f>
        <v>USD</v>
      </c>
      <c r="E14" s="18" cm="1">
        <f t="array" aca="1" ref="E14" ca="1">_FV(RTData[[#This Row],[Company Name]],"Last trade time",TRUE)</f>
        <v>45959.982685404684</v>
      </c>
      <c r="F14" s="19" cm="1">
        <f t="array" aca="1" ref="F14" ca="1">_FV(RTData[[#This Row],[Company Name]],"Previous close",TRUE)</f>
        <v>72.62</v>
      </c>
      <c r="G14" s="19" cm="1">
        <f t="array" aca="1" ref="G14" ca="1">_FV(RTData[[#This Row],[Company Name]],"Open")</f>
        <v>72.680000000000007</v>
      </c>
      <c r="H14" s="19" cm="1">
        <f t="array" aca="1" ref="H14" ca="1">_FV(RTData[[#This Row],[Company Name]],"Price")</f>
        <v>71.33</v>
      </c>
      <c r="I14" s="19" cm="1">
        <f t="array" aca="1" ref="I14" ca="1">_FV(RTData[[#This Row],[Company Name]],"Low")</f>
        <v>70.915000000000006</v>
      </c>
      <c r="J14" s="19" cm="1">
        <f t="array" aca="1" ref="J14" ca="1">_FV(RTData[[#This Row],[Company Name]],"High")</f>
        <v>72.819999999999993</v>
      </c>
      <c r="K14" s="20" cm="1">
        <f t="array" aca="1" ref="K14" ca="1">IFERROR(_FV(RTData[[#This Row],[Company Name]],"P/E",TRUE),99)</f>
        <v>30.154299999999999</v>
      </c>
      <c r="L14" s="21" cm="1">
        <f t="array" aca="1" ref="L14" ca="1">_FV(RTData[[#This Row],[Company Name]],"Change")</f>
        <v>-1.29</v>
      </c>
      <c r="M14" s="22" cm="1">
        <f t="array" aca="1" ref="M14" ca="1">_FV(RTData[[#This Row],[Company Name]],"Change (%)",TRUE)</f>
        <v>-1.7763999999999999E-2</v>
      </c>
      <c r="N14" s="19" cm="1">
        <f t="array" aca="1" ref="N14" ca="1">_FV(RTData[[#This Row],[Company Name]],"52 week low",TRUE)</f>
        <v>52.11</v>
      </c>
      <c r="O14" s="19" cm="1">
        <f t="array" aca="1" ref="O14" ca="1">_FV(RTData[[#This Row],[Company Name]],"52 week high",TRUE)</f>
        <v>72.819999999999993</v>
      </c>
      <c r="P14" s="23" cm="1">
        <f t="array" aca="1" ref="P14" ca="1">_FV(RTData[[#This Row],[Company Name]],"Volume")</f>
        <v>18019771</v>
      </c>
      <c r="Q14" s="23" cm="1">
        <f t="array" aca="1" ref="Q14" ca="1">_FV(RTData[[#This Row],[Company Name]],"Volume average",TRUE)</f>
        <v>17178005</v>
      </c>
      <c r="R14" s="19" cm="1">
        <f t="array" aca="1" ref="R14" ca="1">_FV(RTData[[#This Row],[Company Name]],"Beta")</f>
        <v>0.95020000000000004</v>
      </c>
      <c r="T14" t="s">
        <v>20</v>
      </c>
      <c r="U14" t="str" cm="1">
        <f t="array" aca="1" ref="U14" ca="1">_FV(RTData[[#This Row],[Company Name]],"Exchange abbreviation",TRUE)</f>
        <v>XNAS</v>
      </c>
      <c r="V14" s="24">
        <f ca="1">IFERROR(RTData[[#This Row],[Volume]]/RTData[[#This Row],[Volume average]],1)</f>
        <v>1.0490025471525943</v>
      </c>
      <c r="W14" s="24"/>
      <c r="X14" s="108">
        <f ca="1">_xlfn.XLOOKUP(RTData[[#This Row],[Ticker symbol]],[2]Sheet2!$B$2:$B$95,[2]Sheet2!$E$2:$E$95)</f>
        <v>76.290949999999995</v>
      </c>
      <c r="Y14" s="101">
        <f>_xlfn.LET(_xlpm.date,[2]Sheet2!F11,IF(_xlpm.date=0,"",_xlpm.date))</f>
        <v>45873</v>
      </c>
      <c r="Z14" s="101" t="str">
        <f>_xlfn.LET(_xlpm.date,[2]Sheet2!G11,IF(_xlpm.date=0,"",_xlpm.date))</f>
        <v>Oct 14, 2025</v>
      </c>
      <c r="AA14" s="102">
        <f>[2]Sheet2!$H11</f>
        <v>2.5600000000000001E-2</v>
      </c>
      <c r="AB14" s="103">
        <v>1E-4</v>
      </c>
      <c r="AC14" s="104">
        <v>3.0000000000000001E-3</v>
      </c>
      <c r="AD14" s="90" t="s">
        <v>51</v>
      </c>
      <c r="AE14" s="105">
        <f ca="1">_xlfn.LET(_xlpm.New1YT,RTData[[#This Row],[1YT]],        _xlpm.Old1YT,IF(ISNUMBER(RTData[[#This Row],[Old1YT]]),RTData[[#This Row],[Old1YT]],VALUE(LEFT(RTData[[#This Row],[Old1YT]],FIND("/",RTData[[#This Row],[Old1YT]],1)-1))),       IF(OR(RTData[[#This Row],[1YT]]=0,_xlpm.Old1YT=0),0,(_xlpm.New1YT-_xlpm.Old1YT)/_xlpm.Old1YT))</f>
        <v>-0.1269060425726711</v>
      </c>
      <c r="AF14" s="105" t="str">
        <f ca="1">TEXT(RTData[[#This Row],[1YT]],"#,#0.00")&amp;" &lt; "&amp;RTData[[#This Row],[Old1YT]]</f>
        <v>76.29 &lt; 87.38/72.32</v>
      </c>
    </row>
    <row r="15" spans="1:32" x14ac:dyDescent="0.3">
      <c r="A15" s="15" t="str" cm="1">
        <f t="array" aca="1" ref="A15" ca="1">_xlfn.SINGLE(RTData[suffix])&amp;_FV(RTData[[#This Row],[Company Name]],"Ticker symbol",TRUE)</f>
        <v>CVS</v>
      </c>
      <c r="B15" s="15">
        <f ca="1">D99</f>
        <v>0.86192035855886928</v>
      </c>
      <c r="C15" t="e" vm="14">
        <v>#VALUE!</v>
      </c>
      <c r="D15" s="17" t="str" cm="1">
        <f t="array" aca="1" ref="D15" ca="1">_FV(RTData[[#This Row],[Company Name]],"Currency")</f>
        <v>USD</v>
      </c>
      <c r="E15" s="18" cm="1">
        <f t="array" aca="1" ref="E15" ca="1">_FV(RTData[[#This Row],[Company Name]],"Last trade time",TRUE)</f>
        <v>45959.976257256247</v>
      </c>
      <c r="F15" s="19" cm="1">
        <f t="array" aca="1" ref="F15" ca="1">_FV(RTData[[#This Row],[Company Name]],"Previous close",TRUE)</f>
        <v>82.2</v>
      </c>
      <c r="G15" s="19" cm="1">
        <f t="array" aca="1" ref="G15" ca="1">_FV(RTData[[#This Row],[Company Name]],"Open")</f>
        <v>82.5</v>
      </c>
      <c r="H15" s="19" cm="1">
        <f t="array" aca="1" ref="H15" ca="1">_FV(RTData[[#This Row],[Company Name]],"Price")</f>
        <v>80.685000000000002</v>
      </c>
      <c r="I15" s="19" cm="1">
        <f t="array" aca="1" ref="I15" ca="1">_FV(RTData[[#This Row],[Company Name]],"Low")</f>
        <v>80.33</v>
      </c>
      <c r="J15" s="19" cm="1">
        <f t="array" aca="1" ref="J15" ca="1">_FV(RTData[[#This Row],[Company Name]],"High")</f>
        <v>85.15</v>
      </c>
      <c r="K15" s="20" cm="1">
        <f t="array" aca="1" ref="K15" ca="1">IFERROR(_FV(RTData[[#This Row],[Company Name]],"P/E",TRUE),99)</f>
        <v>22.517600000000002</v>
      </c>
      <c r="L15" s="21" cm="1">
        <f t="array" aca="1" ref="L15" ca="1">_FV(RTData[[#This Row],[Company Name]],"Change")</f>
        <v>-1.5149999999999999</v>
      </c>
      <c r="M15" s="22" cm="1">
        <f t="array" aca="1" ref="M15" ca="1">_FV(RTData[[#This Row],[Company Name]],"Change (%)",TRUE)</f>
        <v>-1.8430999999999999E-2</v>
      </c>
      <c r="N15" s="19" cm="1">
        <f t="array" aca="1" ref="N15" ca="1">_FV(RTData[[#This Row],[Company Name]],"52 week low",TRUE)</f>
        <v>43.56</v>
      </c>
      <c r="O15" s="19" cm="1">
        <f t="array" aca="1" ref="O15" ca="1">_FV(RTData[[#This Row],[Company Name]],"52 week high",TRUE)</f>
        <v>85.15</v>
      </c>
      <c r="P15" s="23" cm="1">
        <f t="array" aca="1" ref="P15" ca="1">_FV(RTData[[#This Row],[Company Name]],"Volume")</f>
        <v>14782807</v>
      </c>
      <c r="Q15" s="23" cm="1">
        <f t="array" aca="1" ref="Q15" ca="1">_FV(RTData[[#This Row],[Company Name]],"Volume average",TRUE)</f>
        <v>7147293</v>
      </c>
      <c r="R15" s="19" cm="1">
        <f t="array" aca="1" ref="R15" ca="1">_FV(RTData[[#This Row],[Company Name]],"Beta")</f>
        <v>0.61180000000000001</v>
      </c>
      <c r="T15" t="s">
        <v>20</v>
      </c>
      <c r="U15" t="str" cm="1">
        <f t="array" aca="1" ref="U15" ca="1">_FV(RTData[[#This Row],[Company Name]],"Exchange abbreviation",TRUE)</f>
        <v>XNYS</v>
      </c>
      <c r="V15" s="24">
        <f ca="1">IFERROR(RTData[[#This Row],[Volume]]/RTData[[#This Row],[Volume average]],1)</f>
        <v>2.0683085190435038</v>
      </c>
      <c r="W15" s="24"/>
      <c r="X15" s="108">
        <f ca="1">_xlfn.XLOOKUP(RTData[[#This Row],[Ticker symbol]],[2]Sheet2!$B$2:$B$95,[2]Sheet2!$E$2:$E$95)</f>
        <v>83.791669999999996</v>
      </c>
      <c r="Y15" s="101">
        <f>_xlfn.LET(_xlpm.date,[2]Sheet2!F12,IF(_xlpm.date=0,"",_xlpm.date))</f>
        <v>45933</v>
      </c>
      <c r="Z15" s="101" t="str">
        <f>_xlfn.LET(_xlpm.date,[2]Sheet2!G12,IF(_xlpm.date=0,"",_xlpm.date))</f>
        <v>Nov 12, 2025</v>
      </c>
      <c r="AA15" s="102">
        <f>[2]Sheet2!$H12</f>
        <v>2.41E-2</v>
      </c>
      <c r="AB15" s="103">
        <v>1E-4</v>
      </c>
      <c r="AC15" s="104">
        <v>3.0000000000000001E-3</v>
      </c>
      <c r="AD15" s="90" t="s">
        <v>74</v>
      </c>
      <c r="AE15" s="105">
        <f ca="1">_xlfn.LET(_xlpm.New1YT,RTData[[#This Row],[1YT]],        _xlpm.Old1YT,IF(ISNUMBER(RTData[[#This Row],[Old1YT]]),RTData[[#This Row],[Old1YT]],VALUE(LEFT(RTData[[#This Row],[Old1YT]],FIND("/",RTData[[#This Row],[Old1YT]],1)-1))),       IF(OR(RTData[[#This Row],[1YT]]=0,_xlpm.Old1YT=0),0,(_xlpm.New1YT-_xlpm.Old1YT)/_xlpm.Old1YT))</f>
        <v>0.10521579175347899</v>
      </c>
      <c r="AF15" s="105" t="str">
        <f ca="1">TEXT(RTData[[#This Row],[1YT]],"#,#0.00")&amp;" &lt; "&amp;RTData[[#This Row],[Old1YT]]</f>
        <v>83.79 &lt; 75.81476/55.04</v>
      </c>
    </row>
    <row r="16" spans="1:32" x14ac:dyDescent="0.3">
      <c r="A16" s="15" t="str" cm="1">
        <f t="array" aca="1" ref="A16" ca="1">_xlfn.SINGLE(RTData[suffix])&amp;_FV(RTData[[#This Row],[Company Name]],"Ticker symbol",TRUE)</f>
        <v>DDD</v>
      </c>
      <c r="B16" s="15">
        <f ca="1">D99</f>
        <v>0.86192035855886928</v>
      </c>
      <c r="C16" t="e" vm="15">
        <v>#VALUE!</v>
      </c>
      <c r="D16" s="17" t="str" cm="1">
        <f t="array" aca="1" ref="D16" ca="1">_FV(RTData[[#This Row],[Company Name]],"Currency")</f>
        <v>USD</v>
      </c>
      <c r="E16" s="18" cm="1">
        <f t="array" aca="1" ref="E16" ca="1">_FV(RTData[[#This Row],[Company Name]],"Last trade time",TRUE)</f>
        <v>45959.983289166405</v>
      </c>
      <c r="F16" s="19" cm="1">
        <f t="array" aca="1" ref="F16" ca="1">_FV(RTData[[#This Row],[Company Name]],"Previous close",TRUE)</f>
        <v>3.19</v>
      </c>
      <c r="G16" s="19" cm="1">
        <f t="array" aca="1" ref="G16" ca="1">_FV(RTData[[#This Row],[Company Name]],"Open")</f>
        <v>3.19</v>
      </c>
      <c r="H16" s="19" cm="1">
        <f t="array" aca="1" ref="H16" ca="1">_FV(RTData[[#This Row],[Company Name]],"Price")</f>
        <v>3.0249999999999999</v>
      </c>
      <c r="I16" s="19" cm="1">
        <f t="array" aca="1" ref="I16" ca="1">_FV(RTData[[#This Row],[Company Name]],"Low")</f>
        <v>3.0150000000000001</v>
      </c>
      <c r="J16" s="19" cm="1">
        <f t="array" aca="1" ref="J16" ca="1">_FV(RTData[[#This Row],[Company Name]],"High")</f>
        <v>3.1999</v>
      </c>
      <c r="K16" s="20" cm="1">
        <f t="array" ref="K16">IFERROR(_FV(RTData[[#This Row],[Company Name]],"P/E",TRUE),99)</f>
        <v>99</v>
      </c>
      <c r="L16" s="21" cm="1">
        <f t="array" aca="1" ref="L16" ca="1">_FV(RTData[[#This Row],[Company Name]],"Change")</f>
        <v>-0.16500000000000001</v>
      </c>
      <c r="M16" s="22" cm="1">
        <f t="array" aca="1" ref="M16" ca="1">_FV(RTData[[#This Row],[Company Name]],"Change (%)",TRUE)</f>
        <v>-5.1723999999999999E-2</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3178293</v>
      </c>
      <c r="Q16" s="23" cm="1">
        <f t="array" aca="1" ref="Q16" ca="1">_FV(RTData[[#This Row],[Company Name]],"Volume average",TRUE)</f>
        <v>4882643</v>
      </c>
      <c r="R16" s="19" cm="1">
        <f t="array" aca="1" ref="R16" ca="1">_FV(RTData[[#This Row],[Company Name]],"Beta")</f>
        <v>2.1903999999999999</v>
      </c>
      <c r="T16" t="s">
        <v>20</v>
      </c>
      <c r="U16" t="str" cm="1">
        <f t="array" aca="1" ref="U16" ca="1">_FV(RTData[[#This Row],[Company Name]],"Exchange abbreviation",TRUE)</f>
        <v>XNYS</v>
      </c>
      <c r="V16" s="24">
        <f ca="1">IFERROR(RTData[[#This Row],[Volume]]/RTData[[#This Row],[Volume average]],1)</f>
        <v>0.65093700276673927</v>
      </c>
      <c r="W16" s="24"/>
      <c r="X16" s="108">
        <f ca="1">_xlfn.XLOOKUP(RTData[[#This Row],[Ticker symbol]],[2]Sheet2!$B$2:$B$95,[2]Sheet2!$E$2:$E$95)</f>
        <v>3.25</v>
      </c>
      <c r="Y16" s="101">
        <f>_xlfn.LET(_xlpm.date,[2]Sheet2!F13,IF(_xlpm.date=0,"",_xlpm.date))</f>
        <v>45953</v>
      </c>
      <c r="Z16" s="101" t="str">
        <f>_xlfn.LET(_xlpm.date,[2]Sheet2!G13,IF(_xlpm.date=0,"",_xlpm.date))</f>
        <v>Oct 29, 2025</v>
      </c>
      <c r="AA16" s="102">
        <f>[2]Sheet2!$H13</f>
        <v>3.4099999999999998E-2</v>
      </c>
      <c r="AB16" s="103">
        <v>1E-4</v>
      </c>
      <c r="AC16" s="104">
        <v>3.0000000000000001E-3</v>
      </c>
      <c r="AD16" s="90">
        <v>72.3</v>
      </c>
      <c r="AE16" s="105">
        <f ca="1">_xlfn.LET(_xlpm.New1YT,RTData[[#This Row],[1YT]],        _xlpm.Old1YT,IF(ISNUMBER(RTData[[#This Row],[Old1YT]]),RTData[[#This Row],[Old1YT]],VALUE(LEFT(RTData[[#This Row],[Old1YT]],FIND("/",RTData[[#This Row],[Old1YT]],1)-1))),       IF(OR(RTData[[#This Row],[1YT]]=0,_xlpm.Old1YT=0),0,(_xlpm.New1YT-_xlpm.Old1YT)/_xlpm.Old1YT))</f>
        <v>-0.95504840940525593</v>
      </c>
      <c r="AF16" s="105" t="str">
        <f ca="1">TEXT(RTData[[#This Row],[1YT]],"#,#0.00")&amp;" &lt; "&amp;RTData[[#This Row],[Old1YT]]</f>
        <v>3.25 &lt; 72.3</v>
      </c>
    </row>
    <row r="17" spans="1:32" x14ac:dyDescent="0.3">
      <c r="A17" s="15" t="str" cm="1">
        <f t="array" aca="1" ref="A17" ca="1">_xlfn.SINGLE(RTData[suffix])&amp;_FV(RTData[[#This Row],[Company Name]],"Ticker symbol",TRUE)</f>
        <v>DIS</v>
      </c>
      <c r="B17" s="15">
        <f ca="1">D99</f>
        <v>0.86192035855886928</v>
      </c>
      <c r="C17" t="e" vm="16">
        <v>#VALUE!</v>
      </c>
      <c r="D17" s="17" t="str" cm="1">
        <f t="array" aca="1" ref="D17" ca="1">_FV(RTData[[#This Row],[Company Name]],"Currency")</f>
        <v>USD</v>
      </c>
      <c r="E17" s="18" cm="1">
        <f t="array" aca="1" ref="E17" ca="1">_FV(RTData[[#This Row],[Company Name]],"Last trade time",TRUE)</f>
        <v>45959.983463286721</v>
      </c>
      <c r="F17" s="19" cm="1">
        <f t="array" aca="1" ref="F17" ca="1">_FV(RTData[[#This Row],[Company Name]],"Previous close",TRUE)</f>
        <v>111.65</v>
      </c>
      <c r="G17" s="19" cm="1">
        <f t="array" aca="1" ref="G17" ca="1">_FV(RTData[[#This Row],[Company Name]],"Open")</f>
        <v>111.18</v>
      </c>
      <c r="H17" s="19" cm="1">
        <f t="array" aca="1" ref="H17" ca="1">_FV(RTData[[#This Row],[Company Name]],"Price")</f>
        <v>110.28</v>
      </c>
      <c r="I17" s="19" cm="1">
        <f t="array" aca="1" ref="I17" ca="1">_FV(RTData[[#This Row],[Company Name]],"Low")</f>
        <v>110.01</v>
      </c>
      <c r="J17" s="19" cm="1">
        <f t="array" aca="1" ref="J17" ca="1">_FV(RTData[[#This Row],[Company Name]],"High")</f>
        <v>111.53</v>
      </c>
      <c r="K17" s="20" cm="1">
        <f t="array" aca="1" ref="K17" ca="1">IFERROR(_FV(RTData[[#This Row],[Company Name]],"P/E",TRUE),99)</f>
        <v>17.2896</v>
      </c>
      <c r="L17" s="21" cm="1">
        <f t="array" aca="1" ref="L17" ca="1">_FV(RTData[[#This Row],[Company Name]],"Change")</f>
        <v>-1.37</v>
      </c>
      <c r="M17" s="22" cm="1">
        <f t="array" aca="1" ref="M17" ca="1">_FV(RTData[[#This Row],[Company Name]],"Change (%)",TRUE)</f>
        <v>-1.2270000000000001E-2</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7096039</v>
      </c>
      <c r="Q17" s="23" cm="1">
        <f t="array" aca="1" ref="Q17" ca="1">_FV(RTData[[#This Row],[Company Name]],"Volume average",TRUE)</f>
        <v>7600556</v>
      </c>
      <c r="R17" s="19" cm="1">
        <f t="array" aca="1" ref="R17" ca="1">_FV(RTData[[#This Row],[Company Name]],"Beta")</f>
        <v>1.5461</v>
      </c>
      <c r="T17" t="s">
        <v>20</v>
      </c>
      <c r="U17" t="str" cm="1">
        <f t="array" aca="1" ref="U17" ca="1">_FV(RTData[[#This Row],[Company Name]],"Exchange abbreviation",TRUE)</f>
        <v>XNYS</v>
      </c>
      <c r="V17" s="24">
        <f ca="1">IFERROR(RTData[[#This Row],[Volume]]/RTData[[#This Row],[Volume average]],1)</f>
        <v>0.93362104035546878</v>
      </c>
      <c r="W17" s="24"/>
      <c r="X17" s="108">
        <f ca="1">_xlfn.XLOOKUP(RTData[[#This Row],[Ticker symbol]],[2]Sheet2!$B$2:$B$95,[2]Sheet2!$E$2:$E$95)</f>
        <v>133.96896000000001</v>
      </c>
      <c r="Y17" s="101" t="str">
        <f>_xlfn.LET(_xlpm.date,[2]Sheet2!F14,IF(_xlpm.date=0,"",_xlpm.date))</f>
        <v/>
      </c>
      <c r="Z17" s="101" t="str">
        <f>_xlfn.LET(_xlpm.date,[2]Sheet2!G14,IF(_xlpm.date=0,"",_xlpm.date))</f>
        <v>Nov 10, 2025</v>
      </c>
      <c r="AA17" s="102">
        <f>[2]Sheet2!$H14</f>
        <v>0</v>
      </c>
      <c r="AB17" s="103">
        <v>1E-4</v>
      </c>
      <c r="AC17" s="104">
        <v>3.0000000000000001E-3</v>
      </c>
      <c r="AD17" s="90">
        <v>3.94</v>
      </c>
      <c r="AE17" s="105">
        <f ca="1">_xlfn.LET(_xlpm.New1YT,RTData[[#This Row],[1YT]],        _xlpm.Old1YT,IF(ISNUMBER(RTData[[#This Row],[Old1YT]]),RTData[[#This Row],[Old1YT]],VALUE(LEFT(RTData[[#This Row],[Old1YT]],FIND("/",RTData[[#This Row],[Old1YT]],1)-1))),       IF(OR(RTData[[#This Row],[1YT]]=0,_xlpm.Old1YT=0),0,(_xlpm.New1YT-_xlpm.Old1YT)/_xlpm.Old1YT))</f>
        <v>33.002274111675128</v>
      </c>
      <c r="AF17" s="105" t="str">
        <f ca="1">TEXT(RTData[[#This Row],[1YT]],"#,#0.00")&amp;" &lt; "&amp;RTData[[#This Row],[Old1YT]]</f>
        <v>133.97 &lt; 3.94</v>
      </c>
    </row>
    <row r="18" spans="1:32" x14ac:dyDescent="0.3">
      <c r="A18" s="15" t="str" cm="1">
        <f t="array" aca="1" ref="A18" ca="1">_xlfn.SINGLE(RTData[suffix])&amp;_FV(RTData[[#This Row],[Company Name]],"Ticker symbol",TRUE)</f>
        <v>DSY</v>
      </c>
      <c r="B18" s="15">
        <f ca="1">D99</f>
        <v>0.86192035855886928</v>
      </c>
      <c r="C18" t="e" vm="17">
        <v>#VALUE!</v>
      </c>
      <c r="D18" s="17" t="str" cm="1">
        <f t="array" aca="1" ref="D18" ca="1">_FV(RTData[[#This Row],[Company Name]],"Currency")</f>
        <v>EUR</v>
      </c>
      <c r="E18" s="18" cm="1">
        <f t="array" aca="1" ref="E18" ca="1">_FV(RTData[[#This Row],[Company Name]],"Last trade time",TRUE)</f>
        <v>45959.708333333336</v>
      </c>
      <c r="F18" s="19" cm="1">
        <f t="array" aca="1" ref="F18" ca="1">_FV(RTData[[#This Row],[Company Name]],"Previous close",TRUE)</f>
        <v>24.97</v>
      </c>
      <c r="G18" s="19" cm="1">
        <f t="array" aca="1" ref="G18" ca="1">_FV(RTData[[#This Row],[Company Name]],"Open")</f>
        <v>24.89</v>
      </c>
      <c r="H18" s="19" cm="1">
        <f t="array" aca="1" ref="H18" ca="1">_FV(RTData[[#This Row],[Company Name]],"Price")</f>
        <v>24.53</v>
      </c>
      <c r="I18" s="19" cm="1">
        <f t="array" aca="1" ref="I18" ca="1">_FV(RTData[[#This Row],[Company Name]],"Low")</f>
        <v>24.42</v>
      </c>
      <c r="J18" s="19" cm="1">
        <f t="array" aca="1" ref="J18" ca="1">_FV(RTData[[#This Row],[Company Name]],"High")</f>
        <v>24.9</v>
      </c>
      <c r="K18" s="20" cm="1">
        <f t="array" aca="1" ref="K18" ca="1">IFERROR(_FV(RTData[[#This Row],[Company Name]],"P/E",TRUE),99)</f>
        <v>27.8994</v>
      </c>
      <c r="L18" s="21" cm="1">
        <f t="array" aca="1" ref="L18" ca="1">_FV(RTData[[#This Row],[Company Name]],"Change")</f>
        <v>-0.44</v>
      </c>
      <c r="M18" s="22" cm="1">
        <f t="array" aca="1" ref="M18" ca="1">_FV(RTData[[#This Row],[Company Name]],"Change (%)",TRUE)</f>
        <v>-1.7621000000000001E-2</v>
      </c>
      <c r="N18" s="19" cm="1">
        <f t="array" aca="1" ref="N18" ca="1">_FV(RTData[[#This Row],[Company Name]],"52 week low",TRUE)</f>
        <v>24.42</v>
      </c>
      <c r="O18" s="19" cm="1">
        <f t="array" aca="1" ref="O18" ca="1">_FV(RTData[[#This Row],[Company Name]],"52 week high",TRUE)</f>
        <v>41.17</v>
      </c>
      <c r="P18" s="23" cm="1">
        <f t="array" aca="1" ref="P18" ca="1">_FV(RTData[[#This Row],[Company Name]],"Volume")</f>
        <v>2114780</v>
      </c>
      <c r="Q18" s="23" cm="1">
        <f t="array" aca="1" ref="Q18" ca="1">_FV(RTData[[#This Row],[Company Name]],"Volume average",TRUE)</f>
        <v>2471550</v>
      </c>
      <c r="R18" s="19" cm="1">
        <f t="array" aca="1" ref="R18" ca="1">_FV(RTData[[#This Row],[Company Name]],"Beta")</f>
        <v>0.63790000000000002</v>
      </c>
      <c r="T18" t="s">
        <v>20</v>
      </c>
      <c r="U18" t="str" cm="1">
        <f t="array" aca="1" ref="U18" ca="1">_FV(RTData[[#This Row],[Company Name]],"Exchange abbreviation",TRUE)</f>
        <v>XPAR</v>
      </c>
      <c r="V18" s="24">
        <f ca="1">IFERROR(RTData[[#This Row],[Volume]]/RTData[[#This Row],[Volume average]],1)</f>
        <v>0.85564928890777048</v>
      </c>
      <c r="W18" s="24"/>
      <c r="X18" s="108">
        <f ca="1">_xlfn.XLOOKUP(RTData[[#This Row],[Ticker symbol]],[2]Sheet2!$B$2:$B$95,[2]Sheet2!$E$2:$E$95)</f>
        <v>35.352780000000003</v>
      </c>
      <c r="Y18" s="101">
        <f>_xlfn.LET(_xlpm.date,[2]Sheet2!F15,IF(_xlpm.date=0,"",_xlpm.date))</f>
        <v>45832</v>
      </c>
      <c r="Z18" s="101" t="str">
        <f>_xlfn.LET(_xlpm.date,[2]Sheet2!G15,IF(_xlpm.date=0,"",_xlpm.date))</f>
        <v/>
      </c>
      <c r="AA18" s="102">
        <f>[2]Sheet2!$H15</f>
        <v>9.1999999999999998E-3</v>
      </c>
      <c r="AB18" s="103">
        <v>1E-4</v>
      </c>
      <c r="AC18" s="104">
        <v>3.0000000000000001E-3</v>
      </c>
      <c r="AD18" s="90">
        <v>111.22</v>
      </c>
      <c r="AE18" s="105">
        <f ca="1">_xlfn.LET(_xlpm.New1YT,RTData[[#This Row],[1YT]],        _xlpm.Old1YT,IF(ISNUMBER(RTData[[#This Row],[Old1YT]]),RTData[[#This Row],[Old1YT]],VALUE(LEFT(RTData[[#This Row],[Old1YT]],FIND("/",RTData[[#This Row],[Old1YT]],1)-1))),       IF(OR(RTData[[#This Row],[1YT]]=0,_xlpm.Old1YT=0),0,(_xlpm.New1YT-_xlpm.Old1YT)/_xlpm.Old1YT))</f>
        <v>-0.68213648624348144</v>
      </c>
      <c r="AF18" s="105" t="str">
        <f ca="1">TEXT(RTData[[#This Row],[1YT]],"#,#0.00")&amp;" &lt; "&amp;RTData[[#This Row],[Old1YT]]</f>
        <v>35.35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45959.983280439061</v>
      </c>
      <c r="F19" s="28" cm="1">
        <f t="array" aca="1" ref="F19" ca="1">_FV(RTData[[#This Row],[Company Name]],"Previous close",TRUE)</f>
        <v>129.61000000000001</v>
      </c>
      <c r="G19" s="28" cm="1">
        <f t="array" aca="1" ref="G19" ca="1">_FV(RTData[[#This Row],[Company Name]],"Open")</f>
        <v>129.07</v>
      </c>
      <c r="H19" s="28" cm="1">
        <f t="array" aca="1" ref="H19" ca="1">_FV(RTData[[#This Row],[Company Name]],"Price")</f>
        <v>126.42</v>
      </c>
      <c r="I19" s="28" cm="1">
        <f t="array" aca="1" ref="I19" ca="1">_FV(RTData[[#This Row],[Company Name]],"Low")</f>
        <v>126.04</v>
      </c>
      <c r="J19" s="28" cm="1">
        <f t="array" aca="1" ref="J19" ca="1">_FV(RTData[[#This Row],[Company Name]],"High")</f>
        <v>130.82</v>
      </c>
      <c r="K19" s="20" cm="1">
        <f t="array" aca="1" ref="K19" ca="1">IFERROR(_FV(RTData[[#This Row],[Company Name]],"P/E",TRUE),99)</f>
        <v>12.422000000000001</v>
      </c>
      <c r="L19" s="21" cm="1">
        <f t="array" aca="1" ref="L19" ca="1">_FV(RTData[[#This Row],[Company Name]],"Change")</f>
        <v>-3.19</v>
      </c>
      <c r="M19" s="22" cm="1">
        <f t="array" aca="1" ref="M19" ca="1">_FV(RTData[[#This Row],[Company Name]],"Change (%)",TRUE)</f>
        <v>-2.4611999999999998E-2</v>
      </c>
      <c r="N19" s="28" cm="1">
        <f t="array" aca="1" ref="N19" ca="1">_FV(RTData[[#This Row],[Company Name]],"52 week low",TRUE)</f>
        <v>122.925</v>
      </c>
      <c r="O19" s="28" cm="1">
        <f t="array" aca="1" ref="O19" ca="1">_FV(RTData[[#This Row],[Company Name]],"52 week high",TRUE)</f>
        <v>179.6</v>
      </c>
      <c r="P19" s="23" cm="1">
        <f t="array" aca="1" ref="P19" ca="1">_FV(RTData[[#This Row],[Company Name]],"Volume")</f>
        <v>1567529</v>
      </c>
      <c r="Q19" s="23" cm="1">
        <f t="array" aca="1" ref="Q19" ca="1">_FV(RTData[[#This Row],[Company Name]],"Volume average",TRUE)</f>
        <v>600929</v>
      </c>
      <c r="R19" s="28" cm="1">
        <f t="array" aca="1" ref="R19" ca="1">_FV(RTData[[#This Row],[Company Name]],"Beta")</f>
        <v>1.1301000000000001</v>
      </c>
      <c r="T19" t="s">
        <v>20</v>
      </c>
      <c r="U19" t="str" cm="1">
        <f t="array" aca="1" ref="U19" ca="1">_FV(RTData[[#This Row],[Company Name]],"Exchange abbreviation",TRUE)</f>
        <v>XNYS</v>
      </c>
      <c r="V19" s="24">
        <f ca="1">IFERROR(RTData[[#This Row],[Volume]]/RTData[[#This Row],[Volume average]],1)</f>
        <v>2.6085094911378883</v>
      </c>
      <c r="W19" s="24"/>
      <c r="X19" s="108">
        <f ca="1">_xlfn.XLOOKUP(RTData[[#This Row],[Ticker symbol]],[2]Sheet2!$B$2:$B$95,[2]Sheet2!$E$2:$E$95)</f>
        <v>151.5</v>
      </c>
      <c r="Y19" s="101">
        <f>_xlfn.LET(_xlpm.date,[2]Sheet2!F16,IF(_xlpm.date=0,"",_xlpm.date))</f>
        <v>45803</v>
      </c>
      <c r="Z19" s="101" t="str">
        <f>_xlfn.LET(_xlpm.date,[2]Sheet2!G16,IF(_xlpm.date=0,"",_xlpm.date))</f>
        <v/>
      </c>
      <c r="AA19" s="102">
        <f>[2]Sheet2!$H16</f>
        <v>9.1000000000000004E-3</v>
      </c>
      <c r="AB19" s="103"/>
      <c r="AC19" s="104">
        <v>3.0000000000000001E-3</v>
      </c>
      <c r="AD19" s="90" t="s">
        <v>63</v>
      </c>
      <c r="AE19" s="105">
        <f ca="1">_xlfn.LET(_xlpm.New1YT,RTData[[#This Row],[1YT]],        _xlpm.Old1YT,IF(ISNUMBER(RTData[[#This Row],[Old1YT]]),RTData[[#This Row],[Old1YT]],VALUE(LEFT(RTData[[#This Row],[Old1YT]],FIND("/",RTData[[#This Row],[Old1YT]],1)-1))),       IF(OR(RTData[[#This Row],[1YT]]=0,_xlpm.Old1YT=0),0,(_xlpm.New1YT-_xlpm.Old1YT)/_xlpm.Old1YT))</f>
        <v>2.9899920990255464</v>
      </c>
      <c r="AF19" s="105" t="str">
        <f ca="1">TEXT(RTData[[#This Row],[1YT]],"#,#0.00")&amp;" &lt; "&amp;RTData[[#This Row],[Old1YT]]</f>
        <v>151.50 &lt; 37.97/38.13/38.23</v>
      </c>
    </row>
    <row r="20" spans="1:32" x14ac:dyDescent="0.3">
      <c r="A20" s="15" t="str" cm="1">
        <f t="array" aca="1" ref="A20" ca="1">_xlfn.SINGLE(RTData[suffix])&amp;_FV(RTData[[#This Row],[Company Name]],"Ticker symbol",TRUE)</f>
        <v>DXC</v>
      </c>
      <c r="B20" s="15">
        <f ca="1">D99</f>
        <v>0.86192035855886928</v>
      </c>
      <c r="C20" t="e" vm="19">
        <v>#VALUE!</v>
      </c>
      <c r="D20" s="17" t="str" cm="1">
        <f t="array" aca="1" ref="D20" ca="1">_FV(RTData[[#This Row],[Company Name]],"Currency")</f>
        <v>USD</v>
      </c>
      <c r="E20" s="18" cm="1">
        <f t="array" aca="1" ref="E20" ca="1">_FV(RTData[[#This Row],[Company Name]],"Last trade time",TRUE)</f>
        <v>45959.958333356248</v>
      </c>
      <c r="F20" s="19" cm="1">
        <f t="array" aca="1" ref="F20" ca="1">_FV(RTData[[#This Row],[Company Name]],"Previous close",TRUE)</f>
        <v>13.36</v>
      </c>
      <c r="G20" s="19" cm="1">
        <f t="array" aca="1" ref="G20" ca="1">_FV(RTData[[#This Row],[Company Name]],"Open")</f>
        <v>13.46</v>
      </c>
      <c r="H20" s="19" cm="1">
        <f t="array" aca="1" ref="H20" ca="1">_FV(RTData[[#This Row],[Company Name]],"Price")</f>
        <v>13.17</v>
      </c>
      <c r="I20" s="19" cm="1">
        <f t="array" aca="1" ref="I20" ca="1">_FV(RTData[[#This Row],[Company Name]],"Low")</f>
        <v>13.1</v>
      </c>
      <c r="J20" s="19" cm="1">
        <f t="array" aca="1" ref="J20" ca="1">_FV(RTData[[#This Row],[Company Name]],"High")</f>
        <v>13.565</v>
      </c>
      <c r="K20" s="20" cm="1">
        <f t="array" aca="1" ref="K20" ca="1">IFERROR(_FV(RTData[[#This Row],[Company Name]],"P/E",TRUE),99)</f>
        <v>6.4306999999999999</v>
      </c>
      <c r="L20" s="21" cm="1">
        <f t="array" aca="1" ref="L20" ca="1">_FV(RTData[[#This Row],[Company Name]],"Change")</f>
        <v>-0.19</v>
      </c>
      <c r="M20" s="22" cm="1">
        <f t="array" aca="1" ref="M20" ca="1">_FV(RTData[[#This Row],[Company Name]],"Change (%)",TRUE)</f>
        <v>-1.4221999999999999E-2</v>
      </c>
      <c r="N20" s="19" cm="1">
        <f t="array" aca="1" ref="N20" ca="1">_FV(RTData[[#This Row],[Company Name]],"52 week low",TRUE)</f>
        <v>12.24</v>
      </c>
      <c r="O20" s="19" cm="1">
        <f t="array" aca="1" ref="O20" ca="1">_FV(RTData[[#This Row],[Company Name]],"52 week high",TRUE)</f>
        <v>24.83</v>
      </c>
      <c r="P20" s="23" cm="1">
        <f t="array" aca="1" ref="P20" ca="1">_FV(RTData[[#This Row],[Company Name]],"Volume")</f>
        <v>1965197</v>
      </c>
      <c r="Q20" s="23" cm="1">
        <f t="array" aca="1" ref="Q20" ca="1">_FV(RTData[[#This Row],[Company Name]],"Volume average",TRUE)</f>
        <v>1722859</v>
      </c>
      <c r="R20" s="19" cm="1">
        <f t="array" aca="1" ref="R20" ca="1">_FV(RTData[[#This Row],[Company Name]],"Beta")</f>
        <v>1.1463000000000001</v>
      </c>
      <c r="T20" t="s">
        <v>20</v>
      </c>
      <c r="U20" t="str" cm="1">
        <f t="array" aca="1" ref="U20" ca="1">_FV(RTData[[#This Row],[Company Name]],"Exchange abbreviation",TRUE)</f>
        <v>XNYS</v>
      </c>
      <c r="V20" s="24">
        <f ca="1">IFERROR(RTData[[#This Row],[Volume]]/RTData[[#This Row],[Volume average]],1)</f>
        <v>1.1406603790559762</v>
      </c>
      <c r="W20" s="24"/>
      <c r="X20" s="108">
        <f ca="1">_xlfn.XLOOKUP(RTData[[#This Row],[Ticker symbol]],[2]Sheet2!$B$2:$B$95,[2]Sheet2!$E$2:$E$95)</f>
        <v>15.125</v>
      </c>
      <c r="Y20" s="101" t="str">
        <f>_xlfn.LET(_xlpm.date,[2]Sheet2!F17,IF(_xlpm.date=0,"",_xlpm.date))</f>
        <v/>
      </c>
      <c r="Z20" s="101" t="str">
        <f>_xlfn.LET(_xlpm.date,[2]Sheet2!G17,IF(_xlpm.date=0,"",_xlpm.date))</f>
        <v>Oct 28, 2025</v>
      </c>
      <c r="AA20" s="102">
        <f>[2]Sheet2!$H17</f>
        <v>0</v>
      </c>
      <c r="AB20" s="103">
        <v>1E-4</v>
      </c>
      <c r="AC20" s="104">
        <v>3.0000000000000001E-3</v>
      </c>
      <c r="AD20" s="90">
        <v>157.9</v>
      </c>
      <c r="AE20" s="105">
        <f ca="1">_xlfn.LET(_xlpm.New1YT,RTData[[#This Row],[1YT]],        _xlpm.Old1YT,IF(ISNUMBER(RTData[[#This Row],[Old1YT]]),RTData[[#This Row],[Old1YT]],VALUE(LEFT(RTData[[#This Row],[Old1YT]],FIND("/",RTData[[#This Row],[Old1YT]],1)-1))),       IF(OR(RTData[[#This Row],[1YT]]=0,_xlpm.Old1YT=0),0,(_xlpm.New1YT-_xlpm.Old1YT)/_xlpm.Old1YT))</f>
        <v>-0.90421152628245727</v>
      </c>
      <c r="AF20" s="105" t="str">
        <f ca="1">TEXT(RTData[[#This Row],[1YT]],"#,#0.00")&amp;" &lt; "&amp;RTData[[#This Row],[Old1YT]]</f>
        <v>15.13 &lt; 157.9</v>
      </c>
    </row>
    <row r="21" spans="1:32" x14ac:dyDescent="0.3">
      <c r="A21" s="15" t="str" cm="1">
        <f t="array" aca="1" ref="A21" ca="1">_xlfn.SINGLE(RTData[suffix])&amp;_FV(RTData[[#This Row],[Company Name]],"Ticker symbol",TRUE)</f>
        <v>EOAN</v>
      </c>
      <c r="B21" s="15">
        <f ca="1">D99</f>
        <v>0.86192035855886928</v>
      </c>
      <c r="C21" t="e" vm="20">
        <v>#VALUE!</v>
      </c>
      <c r="D21" s="17" t="str" cm="1">
        <f t="array" aca="1" ref="D21" ca="1">_FV(RTData[[#This Row],[Company Name]],"Currency")</f>
        <v>EUR</v>
      </c>
      <c r="E21" s="18" cm="1">
        <f t="array" aca="1" ref="E21" ca="1">_FV(RTData[[#This Row],[Company Name]],"Last trade time",TRUE)</f>
        <v>45959.878472222219</v>
      </c>
      <c r="F21" s="19" cm="1">
        <f t="array" aca="1" ref="F21" ca="1">_FV(RTData[[#This Row],[Company Name]],"Previous close",TRUE)</f>
        <v>16.239999999999998</v>
      </c>
      <c r="G21" s="19" cm="1">
        <f t="array" aca="1" ref="G21" ca="1">_FV(RTData[[#This Row],[Company Name]],"Open")</f>
        <v>16.184999999999999</v>
      </c>
      <c r="H21" s="19" cm="1">
        <f t="array" aca="1" ref="H21" ca="1">_FV(RTData[[#This Row],[Company Name]],"Price")</f>
        <v>16.305</v>
      </c>
      <c r="I21" s="19" cm="1">
        <f t="array" aca="1" ref="I21" ca="1">_FV(RTData[[#This Row],[Company Name]],"Low")</f>
        <v>16.18</v>
      </c>
      <c r="J21" s="19" cm="1">
        <f t="array" aca="1" ref="J21" ca="1">_FV(RTData[[#This Row],[Company Name]],"High")</f>
        <v>16.305</v>
      </c>
      <c r="K21" s="20" cm="1">
        <f t="array" aca="1" ref="K21" ca="1">IFERROR(_FV(RTData[[#This Row],[Company Name]],"P/E",TRUE),99)</f>
        <v>13.475199999999999</v>
      </c>
      <c r="L21" s="21" cm="1">
        <f t="array" aca="1" ref="L21" ca="1">_FV(RTData[[#This Row],[Company Name]],"Change")</f>
        <v>6.5000000000000002E-2</v>
      </c>
      <c r="M21" s="22" cm="1">
        <f t="array" aca="1" ref="M21" ca="1">_FV(RTData[[#This Row],[Company Name]],"Change (%)",TRUE)</f>
        <v>4.0020000000000003E-3</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3642</v>
      </c>
      <c r="Q21" s="23" cm="1">
        <f t="array" aca="1" ref="Q21" ca="1">_FV(RTData[[#This Row],[Company Name]],"Volume average",TRUE)</f>
        <v>3076200</v>
      </c>
      <c r="R21" s="19" cm="1">
        <f t="array" aca="1" ref="R21" ca="1">_FV(RTData[[#This Row],[Company Name]],"Beta")</f>
        <v>0.72050000000000003</v>
      </c>
      <c r="T21" t="s">
        <v>20</v>
      </c>
      <c r="U21" t="str" cm="1">
        <f t="array" aca="1" ref="U21" ca="1">_FV(RTData[[#This Row],[Company Name]],"Exchange abbreviation",TRUE)</f>
        <v>XFRA</v>
      </c>
      <c r="V21" s="24">
        <f ca="1">IFERROR(RTData[[#This Row],[Volume]]/RTData[[#This Row],[Volume average]],1)</f>
        <v>1.183928223132436E-3</v>
      </c>
      <c r="W21" s="24"/>
      <c r="X21" s="108">
        <f ca="1">_xlfn.XLOOKUP(RTData[[#This Row],[Ticker symbol]],[2]Sheet2!$B$2:$B$95,[2]Sheet2!$E$2:$E$95)</f>
        <v>16.882349999999999</v>
      </c>
      <c r="Y21" s="101">
        <f>_xlfn.LET(_xlpm.date,[2]Sheet2!F18,IF(_xlpm.date=0,"",_xlpm.date))</f>
        <v>43914</v>
      </c>
      <c r="Z21" s="101" t="str">
        <f>_xlfn.LET(_xlpm.date,[2]Sheet2!G18,IF(_xlpm.date=0,"",_xlpm.date))</f>
        <v>Oct 30, 2025</v>
      </c>
      <c r="AA21" s="102">
        <f>[2]Sheet2!$H18</f>
        <v>0</v>
      </c>
      <c r="AB21" s="103">
        <v>1E-4</v>
      </c>
      <c r="AC21" s="104">
        <v>3.0000000000000001E-3</v>
      </c>
      <c r="AD21" s="90">
        <v>19.77</v>
      </c>
      <c r="AE21" s="105">
        <f ca="1">_xlfn.LET(_xlpm.New1YT,RTData[[#This Row],[1YT]],        _xlpm.Old1YT,IF(ISNUMBER(RTData[[#This Row],[Old1YT]]),RTData[[#This Row],[Old1YT]],VALUE(LEFT(RTData[[#This Row],[Old1YT]],FIND("/",RTData[[#This Row],[Old1YT]],1)-1))),       IF(OR(RTData[[#This Row],[1YT]]=0,_xlpm.Old1YT=0),0,(_xlpm.New1YT-_xlpm.Old1YT)/_xlpm.Old1YT))</f>
        <v>-0.146062215477997</v>
      </c>
      <c r="AF21" s="105" t="str">
        <f ca="1">TEXT(RTData[[#This Row],[1YT]],"#,#0.00")&amp;" &lt; "&amp;RTData[[#This Row],[Old1YT]]</f>
        <v>16.88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45938.992447279685</v>
      </c>
      <c r="F22" s="28" cm="1">
        <f t="array" aca="1" ref="F22" ca="1">_FV(RTData[[#This Row],[Company Name]],"Previous close",TRUE)</f>
        <v>0.20499999999999999</v>
      </c>
      <c r="G22" s="28" cm="1">
        <f t="array" aca="1" ref="G22" ca="1">_FV(RTData[[#This Row],[Company Name]],"Open")</f>
        <v>0.2</v>
      </c>
      <c r="H22" s="28" cm="1">
        <f t="array" aca="1" ref="H22" ca="1">_FV(RTData[[#This Row],[Company Name]],"Price")</f>
        <v>0.20119999999999999</v>
      </c>
      <c r="I22" s="28" cm="1">
        <f t="array" aca="1" ref="I22" ca="1">_FV(RTData[[#This Row],[Company Name]],"Low")</f>
        <v>0.18990000000000001</v>
      </c>
      <c r="J22" s="28" cm="1">
        <f t="array" aca="1" ref="J22" ca="1">_FV(RTData[[#This Row],[Company Name]],"High")</f>
        <v>0.20699999999999999</v>
      </c>
      <c r="K22" s="20" cm="1">
        <f t="array" aca="1" ref="K22" ca="1">IFERROR(_FV(RTData[[#This Row],[Company Name]],"P/E",TRUE),99)</f>
        <v>0</v>
      </c>
      <c r="L22" s="21" cm="1">
        <f t="array" aca="1" ref="L22" ca="1">_FV(RTData[[#This Row],[Company Name]],"Change")</f>
        <v>0</v>
      </c>
      <c r="M22" s="22" cm="1">
        <f t="array" aca="1" ref="M22" ca="1">_FV(RTData[[#This Row],[Company Name]],"Change (%)",TRUE)</f>
        <v>0</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5945141</v>
      </c>
      <c r="Q22" s="23" cm="1">
        <f t="array" aca="1" ref="Q22" ca="1">_FV(RTData[[#This Row],[Company Name]],"Volume average",TRUE)</f>
        <v>3209641</v>
      </c>
      <c r="R22" s="28" cm="1">
        <f t="array" aca="1" ref="R22" ca="1">_FV(RTData[[#This Row],[Company Name]],"Beta")</f>
        <v>1.5513999999999999</v>
      </c>
      <c r="T22" t="s">
        <v>20</v>
      </c>
      <c r="U22" t="str" cm="1">
        <f t="array" aca="1" ref="U22" ca="1">_FV(RTData[[#This Row],[Company Name]],"Exchange abbreviation",TRUE)</f>
        <v>XNAS</v>
      </c>
      <c r="V22" s="24">
        <f ca="1">IFERROR(RTData[[#This Row],[Volume]]/RTData[[#This Row],[Volume average]],1)</f>
        <v>1.8522760022071003</v>
      </c>
      <c r="W22" s="24"/>
      <c r="X22" s="108">
        <f ca="1">_xlfn.XLOOKUP(RTData[[#This Row],[Ticker symbol]],[2]Sheet2!$B$2:$B$95,[2]Sheet2!$E$2:$E$95)</f>
        <v>0</v>
      </c>
      <c r="Y22" s="101">
        <f>_xlfn.LET(_xlpm.date,[2]Sheet2!F19,IF(_xlpm.date=0,"",_xlpm.date))</f>
        <v>45793</v>
      </c>
      <c r="Z22" s="101" t="str">
        <f>_xlfn.LET(_xlpm.date,[2]Sheet2!G19,IF(_xlpm.date=0,"",_xlpm.date))</f>
        <v/>
      </c>
      <c r="AA22" s="102">
        <f>[2]Sheet2!$H19</f>
        <v>3.4200000000000001E-2</v>
      </c>
      <c r="AB22" s="103"/>
      <c r="AC22" s="104">
        <v>3.0000000000000001E-3</v>
      </c>
      <c r="AD22" s="90" t="s">
        <v>64</v>
      </c>
      <c r="AE22" s="105">
        <f ca="1">_xlfn.LET(_xlpm.New1YT,RTData[[#This Row],[1YT]],        _xlpm.Old1YT,IF(ISNUMBER(RTData[[#This Row],[Old1YT]]),RTData[[#This Row],[Old1YT]],VALUE(LEFT(RTData[[#This Row],[Old1YT]],FIND("/",RTData[[#This Row],[Old1YT]],1)-1))),       IF(OR(RTData[[#This Row],[1YT]]=0,_xlpm.Old1YT=0),0,(_xlpm.New1YT-_xlpm.Old1YT)/_xlpm.Old1YT))</f>
        <v>0</v>
      </c>
      <c r="AF22" s="105" t="str">
        <f ca="1">TEXT(RTData[[#This Row],[1YT]],"#,#0.00")&amp;" &lt; "&amp;RTData[[#This Row],[Old1YT]]</f>
        <v>0.00 &lt; 16.71/16.47/14.8</v>
      </c>
    </row>
    <row r="23" spans="1:32" x14ac:dyDescent="0.3">
      <c r="A23" s="15" t="str" cm="1">
        <f t="array" aca="1" ref="A23" ca="1">_xlfn.SINGLE(RTData[suffix])&amp;_FV(RTData[[#This Row],[Company Name]],"Ticker symbol",TRUE)</f>
        <v>GM</v>
      </c>
      <c r="B23" s="15">
        <f ca="1">D99</f>
        <v>0.86192035855886928</v>
      </c>
      <c r="C23" t="e" vm="22">
        <v>#VALUE!</v>
      </c>
      <c r="D23" s="17" t="str" cm="1">
        <f t="array" aca="1" ref="D23" ca="1">_FV(RTData[[#This Row],[Company Name]],"Currency")</f>
        <v>USD</v>
      </c>
      <c r="E23" s="18" cm="1">
        <f t="array" aca="1" ref="E23" ca="1">_FV(RTData[[#This Row],[Company Name]],"Last trade time",TRUE)</f>
        <v>45959.978605346878</v>
      </c>
      <c r="F23" s="19" cm="1">
        <f t="array" aca="1" ref="F23" ca="1">_FV(RTData[[#This Row],[Company Name]],"Previous close",TRUE)</f>
        <v>69.87</v>
      </c>
      <c r="G23" s="19" cm="1">
        <f t="array" aca="1" ref="G23" ca="1">_FV(RTData[[#This Row],[Company Name]],"Open")</f>
        <v>69.61</v>
      </c>
      <c r="H23" s="19" cm="1">
        <f t="array" aca="1" ref="H23" ca="1">_FV(RTData[[#This Row],[Company Name]],"Price")</f>
        <v>69.14</v>
      </c>
      <c r="I23" s="19" cm="1">
        <f t="array" aca="1" ref="I23" ca="1">_FV(RTData[[#This Row],[Company Name]],"Low")</f>
        <v>68.59</v>
      </c>
      <c r="J23" s="19" cm="1">
        <f t="array" aca="1" ref="J23" ca="1">_FV(RTData[[#This Row],[Company Name]],"High")</f>
        <v>70.239999999999995</v>
      </c>
      <c r="K23" s="20" cm="1">
        <f t="array" aca="1" ref="K23" ca="1">IFERROR(_FV(RTData[[#This Row],[Company Name]],"P/E",TRUE),99)</f>
        <v>13.2982</v>
      </c>
      <c r="L23" s="21" cm="1">
        <f t="array" aca="1" ref="L23" ca="1">_FV(RTData[[#This Row],[Company Name]],"Change")</f>
        <v>-0.73</v>
      </c>
      <c r="M23" s="22" cm="1">
        <f t="array" aca="1" ref="M23" ca="1">_FV(RTData[[#This Row],[Company Name]],"Change (%)",TRUE)</f>
        <v>-1.0447999999999999E-2</v>
      </c>
      <c r="N23" s="19" cm="1">
        <f t="array" aca="1" ref="N23" ca="1">_FV(RTData[[#This Row],[Company Name]],"52 week low",TRUE)</f>
        <v>41.6</v>
      </c>
      <c r="O23" s="19" cm="1">
        <f t="array" aca="1" ref="O23" ca="1">_FV(RTData[[#This Row],[Company Name]],"52 week high",TRUE)</f>
        <v>70.239999999999995</v>
      </c>
      <c r="P23" s="23" cm="1">
        <f t="array" aca="1" ref="P23" ca="1">_FV(RTData[[#This Row],[Company Name]],"Volume")</f>
        <v>10575757</v>
      </c>
      <c r="Q23" s="23" cm="1">
        <f t="array" aca="1" ref="Q23" ca="1">_FV(RTData[[#This Row],[Company Name]],"Volume average",TRUE)</f>
        <v>10652543</v>
      </c>
      <c r="R23" s="19" cm="1">
        <f t="array" aca="1" ref="R23" ca="1">_FV(RTData[[#This Row],[Company Name]],"Beta")</f>
        <v>1.4197</v>
      </c>
      <c r="T23" t="s">
        <v>20</v>
      </c>
      <c r="U23" t="str" cm="1">
        <f t="array" aca="1" ref="U23" ca="1">_FV(RTData[[#This Row],[Company Name]],"Exchange abbreviation",TRUE)</f>
        <v>XNYS</v>
      </c>
      <c r="V23" s="24">
        <f ca="1">IFERROR(RTData[[#This Row],[Volume]]/RTData[[#This Row],[Volume average]],1)</f>
        <v>0.99279176812522607</v>
      </c>
      <c r="W23" s="24"/>
      <c r="X23" s="108">
        <f ca="1">_xlfn.XLOOKUP(RTData[[#This Row],[Ticker symbol]],[2]Sheet2!$B$2:$B$95,[2]Sheet2!$E$2:$E$95)</f>
        <v>63.8</v>
      </c>
      <c r="Y23" s="101">
        <f>_xlfn.LET(_xlpm.date,[2]Sheet2!F20,IF(_xlpm.date=0,"",_xlpm.date))</f>
        <v>45894</v>
      </c>
      <c r="Z23" s="101" t="str">
        <f>_xlfn.LET(_xlpm.date,[2]Sheet2!G20,IF(_xlpm.date=0,"",_xlpm.date))</f>
        <v>Dec 16, 2025</v>
      </c>
      <c r="AA23" s="102">
        <f>[2]Sheet2!$H20</f>
        <v>0</v>
      </c>
      <c r="AB23" s="103">
        <v>1E-4</v>
      </c>
      <c r="AC23" s="104">
        <v>3.0000000000000001E-3</v>
      </c>
      <c r="AD23" s="90">
        <v>9.32</v>
      </c>
      <c r="AE23" s="105">
        <f ca="1">_xlfn.LET(_xlpm.New1YT,RTData[[#This Row],[1YT]],        _xlpm.Old1YT,IF(ISNUMBER(RTData[[#This Row],[Old1YT]]),RTData[[#This Row],[Old1YT]],VALUE(LEFT(RTData[[#This Row],[Old1YT]],FIND("/",RTData[[#This Row],[Old1YT]],1)-1))),       IF(OR(RTData[[#This Row],[1YT]]=0,_xlpm.Old1YT=0),0,(_xlpm.New1YT-_xlpm.Old1YT)/_xlpm.Old1YT))</f>
        <v>5.8454935622317592</v>
      </c>
      <c r="AF23" s="105" t="str">
        <f ca="1">TEXT(RTData[[#This Row],[1YT]],"#,#0.00")&amp;" &lt; "&amp;RTData[[#This Row],[Old1YT]]</f>
        <v>63.80 &lt; 9.32</v>
      </c>
    </row>
    <row r="24" spans="1:32" x14ac:dyDescent="0.3">
      <c r="A24" s="15" t="str" cm="1">
        <f t="array" aca="1" ref="A24" ca="1">_xlfn.SINGLE(RTData[suffix])&amp;_FV(RTData[[#This Row],[Company Name]],"Ticker symbol",TRUE)</f>
        <v>HPE</v>
      </c>
      <c r="B24" s="15">
        <f ca="1">D99</f>
        <v>0.86192035855886928</v>
      </c>
      <c r="C24" t="e" vm="23">
        <v>#VALUE!</v>
      </c>
      <c r="D24" s="17" t="str" cm="1">
        <f t="array" aca="1" ref="D24" ca="1">_FV(RTData[[#This Row],[Company Name]],"Currency")</f>
        <v>USD</v>
      </c>
      <c r="E24" s="18" cm="1">
        <f t="array" aca="1" ref="E24" ca="1">_FV(RTData[[#This Row],[Company Name]],"Last trade time",TRUE)</f>
        <v>45959.983063714841</v>
      </c>
      <c r="F24" s="19" cm="1">
        <f t="array" aca="1" ref="F24" ca="1">_FV(RTData[[#This Row],[Company Name]],"Previous close",TRUE)</f>
        <v>24.25</v>
      </c>
      <c r="G24" s="19" cm="1">
        <f t="array" aca="1" ref="G24" ca="1">_FV(RTData[[#This Row],[Company Name]],"Open")</f>
        <v>24.55</v>
      </c>
      <c r="H24" s="19" cm="1">
        <f t="array" aca="1" ref="H24" ca="1">_FV(RTData[[#This Row],[Company Name]],"Price")</f>
        <v>24.3</v>
      </c>
      <c r="I24" s="19" cm="1">
        <f t="array" aca="1" ref="I24" ca="1">_FV(RTData[[#This Row],[Company Name]],"Low")</f>
        <v>24.08</v>
      </c>
      <c r="J24" s="19" cm="1">
        <f t="array" aca="1" ref="J24" ca="1">_FV(RTData[[#This Row],[Company Name]],"High")</f>
        <v>24.59</v>
      </c>
      <c r="K24" s="20" cm="1">
        <f t="array" aca="1" ref="K24" ca="1">IFERROR(_FV(RTData[[#This Row],[Company Name]],"P/E",TRUE),99)</f>
        <v>29.0869</v>
      </c>
      <c r="L24" s="21" cm="1">
        <f t="array" aca="1" ref="L24" ca="1">_FV(RTData[[#This Row],[Company Name]],"Change")</f>
        <v>0.05</v>
      </c>
      <c r="M24" s="22" cm="1">
        <f t="array" aca="1" ref="M24" ca="1">_FV(RTData[[#This Row],[Company Name]],"Change (%)",TRUE)</f>
        <v>2.062E-3</v>
      </c>
      <c r="N24" s="19" cm="1">
        <f t="array" aca="1" ref="N24" ca="1">_FV(RTData[[#This Row],[Company Name]],"52 week low",TRUE)</f>
        <v>11.965</v>
      </c>
      <c r="O24" s="19" cm="1">
        <f t="array" aca="1" ref="O24" ca="1">_FV(RTData[[#This Row],[Company Name]],"52 week high",TRUE)</f>
        <v>26.44</v>
      </c>
      <c r="P24" s="23" cm="1">
        <f t="array" aca="1" ref="P24" ca="1">_FV(RTData[[#This Row],[Company Name]],"Volume")</f>
        <v>35119928</v>
      </c>
      <c r="Q24" s="23" cm="1">
        <f t="array" aca="1" ref="Q24" ca="1">_FV(RTData[[#This Row],[Company Name]],"Volume average",TRUE)</f>
        <v>35648453</v>
      </c>
      <c r="R24" s="19" cm="1">
        <f t="array" aca="1" ref="R24" ca="1">_FV(RTData[[#This Row],[Company Name]],"Beta")</f>
        <v>1.4359</v>
      </c>
      <c r="T24" t="s">
        <v>20</v>
      </c>
      <c r="U24" t="str" cm="1">
        <f t="array" aca="1" ref="U24" ca="1">_FV(RTData[[#This Row],[Company Name]],"Exchange abbreviation",TRUE)</f>
        <v>XNYS</v>
      </c>
      <c r="V24" s="24">
        <f ca="1">IFERROR(RTData[[#This Row],[Volume]]/RTData[[#This Row],[Volume average]],1)</f>
        <v>0.98517397094342352</v>
      </c>
      <c r="W24" s="24"/>
      <c r="X24" s="108">
        <f ca="1">_xlfn.XLOOKUP(RTData[[#This Row],[Ticker symbol]],[2]Sheet2!$B$2:$B$95,[2]Sheet2!$E$2:$E$95)</f>
        <v>26.040559999999999</v>
      </c>
      <c r="Y24" s="101">
        <f>_xlfn.LET(_xlpm.date,[2]Sheet2!F21,IF(_xlpm.date=0,"",_xlpm.date))</f>
        <v>45905</v>
      </c>
      <c r="Z24" s="101" t="str">
        <f>_xlfn.LET(_xlpm.date,[2]Sheet2!G21,IF(_xlpm.date=0,"",_xlpm.date))</f>
        <v>Oct 21, 2025</v>
      </c>
      <c r="AA24" s="102">
        <f>[2]Sheet2!$H21</f>
        <v>1.0800000000000001E-2</v>
      </c>
      <c r="AB24" s="103">
        <v>1E-4</v>
      </c>
      <c r="AC24" s="104">
        <v>3.0000000000000001E-3</v>
      </c>
      <c r="AD24" s="90">
        <v>56.25</v>
      </c>
      <c r="AE24" s="105">
        <f ca="1">_xlfn.LET(_xlpm.New1YT,RTData[[#This Row],[1YT]],        _xlpm.Old1YT,IF(ISNUMBER(RTData[[#This Row],[Old1YT]]),RTData[[#This Row],[Old1YT]],VALUE(LEFT(RTData[[#This Row],[Old1YT]],FIND("/",RTData[[#This Row],[Old1YT]],1)-1))),       IF(OR(RTData[[#This Row],[1YT]]=0,_xlpm.Old1YT=0),0,(_xlpm.New1YT-_xlpm.Old1YT)/_xlpm.Old1YT))</f>
        <v>-0.53705671111111108</v>
      </c>
      <c r="AF24" s="105" t="str">
        <f ca="1">TEXT(RTData[[#This Row],[1YT]],"#,#0.00")&amp;" &lt; "&amp;RTData[[#This Row],[Old1YT]]</f>
        <v>26.04 &lt; 56.25</v>
      </c>
    </row>
    <row r="25" spans="1:32" x14ac:dyDescent="0.3">
      <c r="A25" s="15" t="str" cm="1">
        <f t="array" aca="1" ref="A25" ca="1">_xlfn.SINGLE(RTData[suffix])&amp;_FV(RTData[[#This Row],[Company Name]],"Ticker symbol",TRUE)</f>
        <v>HPQ</v>
      </c>
      <c r="B25" s="15">
        <f ca="1">D99</f>
        <v>0.86192035855886928</v>
      </c>
      <c r="C25" t="e" vm="24">
        <v>#VALUE!</v>
      </c>
      <c r="D25" s="17" t="str" cm="1">
        <f t="array" aca="1" ref="D25" ca="1">_FV(RTData[[#This Row],[Company Name]],"Currency")</f>
        <v>USD</v>
      </c>
      <c r="E25" s="18" cm="1">
        <f t="array" aca="1" ref="E25" ca="1">_FV(RTData[[#This Row],[Company Name]],"Last trade time",TRUE)</f>
        <v>45959.983537557811</v>
      </c>
      <c r="F25" s="19" cm="1">
        <f t="array" aca="1" ref="F25" ca="1">_FV(RTData[[#This Row],[Company Name]],"Previous close",TRUE)</f>
        <v>28.07</v>
      </c>
      <c r="G25" s="19" cm="1">
        <f t="array" aca="1" ref="G25" ca="1">_FV(RTData[[#This Row],[Company Name]],"Open")</f>
        <v>27.88</v>
      </c>
      <c r="H25" s="19" cm="1">
        <f t="array" aca="1" ref="H25" ca="1">_FV(RTData[[#This Row],[Company Name]],"Price")</f>
        <v>27.704999999999998</v>
      </c>
      <c r="I25" s="19" cm="1">
        <f t="array" aca="1" ref="I25" ca="1">_FV(RTData[[#This Row],[Company Name]],"Low")</f>
        <v>27.57</v>
      </c>
      <c r="J25" s="19" cm="1">
        <f t="array" aca="1" ref="J25" ca="1">_FV(RTData[[#This Row],[Company Name]],"High")</f>
        <v>28.25</v>
      </c>
      <c r="K25" s="20" cm="1">
        <f t="array" aca="1" ref="K25" ca="1">IFERROR(_FV(RTData[[#This Row],[Company Name]],"P/E",TRUE),99)</f>
        <v>10.092499999999999</v>
      </c>
      <c r="L25" s="21" cm="1">
        <f t="array" aca="1" ref="L25" ca="1">_FV(RTData[[#This Row],[Company Name]],"Change")</f>
        <v>-0.36499999999999999</v>
      </c>
      <c r="M25" s="22" cm="1">
        <f t="array" aca="1" ref="M25" ca="1">_FV(RTData[[#This Row],[Company Name]],"Change (%)",TRUE)</f>
        <v>-1.3003000000000001E-2</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8931261</v>
      </c>
      <c r="Q25" s="23" cm="1">
        <f t="array" aca="1" ref="Q25" ca="1">_FV(RTData[[#This Row],[Company Name]],"Volume average",TRUE)</f>
        <v>12117229</v>
      </c>
      <c r="R25" s="19" cm="1">
        <f t="array" aca="1" ref="R25" ca="1">_FV(RTData[[#This Row],[Company Name]],"Beta")</f>
        <v>1.2955000000000001</v>
      </c>
      <c r="T25" t="s">
        <v>20</v>
      </c>
      <c r="U25" t="str" cm="1">
        <f t="array" aca="1" ref="U25" ca="1">_FV(RTData[[#This Row],[Company Name]],"Exchange abbreviation",TRUE)</f>
        <v>XNYS</v>
      </c>
      <c r="V25" s="24">
        <f ca="1">IFERROR(RTData[[#This Row],[Volume]]/RTData[[#This Row],[Volume average]],1)</f>
        <v>0.73707123963737919</v>
      </c>
      <c r="W25" s="24"/>
      <c r="X25" s="108">
        <f ca="1">_xlfn.XLOOKUP(RTData[[#This Row],[Ticker symbol]],[2]Sheet2!$B$2:$B$95,[2]Sheet2!$E$2:$E$95)</f>
        <v>28.16375</v>
      </c>
      <c r="Y25" s="101">
        <f>_xlfn.LET(_xlpm.date,[2]Sheet2!F22,IF(_xlpm.date=0,"",_xlpm.date))</f>
        <v>45918</v>
      </c>
      <c r="Z25" s="101" t="str">
        <f>_xlfn.LET(_xlpm.date,[2]Sheet2!G22,IF(_xlpm.date=0,"",_xlpm.date))</f>
        <v>Dec 4, 2025</v>
      </c>
      <c r="AA25" s="102">
        <f>[2]Sheet2!$H22</f>
        <v>2.1300000999999999E-2</v>
      </c>
      <c r="AB25" s="103">
        <v>1E-4</v>
      </c>
      <c r="AC25" s="104">
        <v>3.0000000000000001E-3</v>
      </c>
      <c r="AD25" s="90" t="s">
        <v>50</v>
      </c>
      <c r="AE25" s="105">
        <f ca="1">_xlfn.LET(_xlpm.New1YT,RTData[[#This Row],[1YT]],        _xlpm.Old1YT,IF(ISNUMBER(RTData[[#This Row],[Old1YT]]),RTData[[#This Row],[Old1YT]],VALUE(LEFT(RTData[[#This Row],[Old1YT]],FIND("/",RTData[[#This Row],[Old1YT]],1)-1))),       IF(OR(RTData[[#This Row],[1YT]]=0,_xlpm.Old1YT=0),0,(_xlpm.New1YT-_xlpm.Old1YT)/_xlpm.Old1YT))</f>
        <v>0.31177224033535172</v>
      </c>
      <c r="AF25" s="105" t="str">
        <f ca="1">TEXT(RTData[[#This Row],[1YT]],"#,#0.00")&amp;" &lt; "&amp;RTData[[#This Row],[Old1YT]]</f>
        <v>28.16 &lt; 21.47/20.14</v>
      </c>
    </row>
    <row r="26" spans="1:32" x14ac:dyDescent="0.3">
      <c r="A26" s="15" t="str" cm="1">
        <f t="array" aca="1" ref="A26" ca="1">_xlfn.SINGLE(RTData[suffix])&amp;_FV(RTData[[#This Row],[Company Name]],"Ticker symbol",TRUE)</f>
        <v>IAG</v>
      </c>
      <c r="B26" s="15">
        <f ca="1">D99</f>
        <v>0.86192035855886928</v>
      </c>
      <c r="C26" t="e" vm="25">
        <v>#VALUE!</v>
      </c>
      <c r="D26" s="17" t="str" cm="1">
        <f t="array" aca="1" ref="D26" ca="1">_FV(RTData[[#This Row],[Company Name]],"Currency")</f>
        <v>GBp</v>
      </c>
      <c r="E26" s="18" cm="1">
        <f t="array" aca="1" ref="E26" ca="1">_FV(RTData[[#This Row],[Company Name]],"Last trade time",TRUE)</f>
        <v>45959.737644363282</v>
      </c>
      <c r="F26" s="19" cm="1">
        <f t="array" aca="1" ref="F26" ca="1">_FV(RTData[[#This Row],[Company Name]],"Previous close",TRUE)</f>
        <v>412.3</v>
      </c>
      <c r="G26" s="19" cm="1">
        <f t="array" aca="1" ref="G26" ca="1">_FV(RTData[[#This Row],[Company Name]],"Open")</f>
        <v>412</v>
      </c>
      <c r="H26" s="19" cm="1">
        <f t="array" aca="1" ref="H26" ca="1">_FV(RTData[[#This Row],[Company Name]],"Price")</f>
        <v>407.7</v>
      </c>
      <c r="I26" s="19" cm="1">
        <f t="array" aca="1" ref="I26" ca="1">_FV(RTData[[#This Row],[Company Name]],"Low")</f>
        <v>404.6</v>
      </c>
      <c r="J26" s="19" cm="1">
        <f t="array" aca="1" ref="J26" ca="1">_FV(RTData[[#This Row],[Company Name]],"High")</f>
        <v>413.5</v>
      </c>
      <c r="K26" s="20" cm="1">
        <f t="array" aca="1" ref="K26" ca="1">IFERROR(_FV(RTData[[#This Row],[Company Name]],"P/E",TRUE),99)</f>
        <v>7.3391999999999999</v>
      </c>
      <c r="L26" s="21" cm="1">
        <f t="array" aca="1" ref="L26" ca="1">_FV(RTData[[#This Row],[Company Name]],"Change")</f>
        <v>-4.5999999999999996</v>
      </c>
      <c r="M26" s="22" cm="1">
        <f t="array" aca="1" ref="M26" ca="1">_FV(RTData[[#This Row],[Company Name]],"Change (%)",TRUE)</f>
        <v>-1.1156999999999999E-2</v>
      </c>
      <c r="N26" s="19" cm="1">
        <f t="array" aca="1" ref="N26" ca="1">_FV(RTData[[#This Row],[Company Name]],"52 week low",TRUE)</f>
        <v>207.2</v>
      </c>
      <c r="O26" s="19" cm="1">
        <f t="array" aca="1" ref="O26" ca="1">_FV(RTData[[#This Row],[Company Name]],"52 week high",TRUE)</f>
        <v>416</v>
      </c>
      <c r="P26" s="23" cm="1">
        <f t="array" aca="1" ref="P26" ca="1">_FV(RTData[[#This Row],[Company Name]],"Volume")</f>
        <v>9962416</v>
      </c>
      <c r="Q26" s="23" cm="1">
        <f t="array" aca="1" ref="Q26" ca="1">_FV(RTData[[#This Row],[Company Name]],"Volume average",TRUE)</f>
        <v>10911480</v>
      </c>
      <c r="R26" s="19" cm="1">
        <f t="array" aca="1" ref="R26" ca="1">_FV(RTData[[#This Row],[Company Name]],"Beta")</f>
        <v>2.8702999999999999</v>
      </c>
      <c r="T26" t="s">
        <v>20</v>
      </c>
      <c r="U26" t="str" cm="1">
        <f t="array" aca="1" ref="U26" ca="1">_FV(RTData[[#This Row],[Company Name]],"Exchange abbreviation",TRUE)</f>
        <v>XLON</v>
      </c>
      <c r="V26" s="24">
        <f ca="1">IFERROR(RTData[[#This Row],[Volume]]/RTData[[#This Row],[Volume average]],1)</f>
        <v>0.91302151495489159</v>
      </c>
      <c r="W26" s="24"/>
      <c r="X26" s="108">
        <f ca="1">_xlfn.XLOOKUP(RTData[[#This Row],[Ticker symbol]],[2]Sheet2!$B$2:$B$95,[2]Sheet2!$E$2:$E$95)</f>
        <v>438.45612</v>
      </c>
      <c r="Y26" s="101">
        <f>_xlfn.LET(_xlpm.date,[2]Sheet2!F23,IF(_xlpm.date=0,"",_xlpm.date))</f>
        <v>45910</v>
      </c>
      <c r="Z26" s="101" t="str">
        <f>_xlfn.LET(_xlpm.date,[2]Sheet2!G23,IF(_xlpm.date=0,"",_xlpm.date))</f>
        <v>Nov 25, 2025</v>
      </c>
      <c r="AA26" s="102">
        <f>[2]Sheet2!$H23</f>
        <v>4.5300002999999998E-2</v>
      </c>
      <c r="AB26" s="103">
        <v>1E-4</v>
      </c>
      <c r="AC26" s="104">
        <v>3.0000000000000001E-3</v>
      </c>
      <c r="AD26" s="90">
        <v>36.26</v>
      </c>
      <c r="AE26" s="105">
        <f ca="1">_xlfn.LET(_xlpm.New1YT,RTData[[#This Row],[1YT]],        _xlpm.Old1YT,IF(ISNUMBER(RTData[[#This Row],[Old1YT]]),RTData[[#This Row],[Old1YT]],VALUE(LEFT(RTData[[#This Row],[Old1YT]],FIND("/",RTData[[#This Row],[Old1YT]],1)-1))),       IF(OR(RTData[[#This Row],[1YT]]=0,_xlpm.Old1YT=0),0,(_xlpm.New1YT-_xlpm.Old1YT)/_xlpm.Old1YT))</f>
        <v>11.092005515719801</v>
      </c>
      <c r="AF26" s="105" t="str">
        <f ca="1">TEXT(RTData[[#This Row],[1YT]],"#,#0.00")&amp;" &lt; "&amp;RTData[[#This Row],[Old1YT]]</f>
        <v>438.46 &lt; 36.26</v>
      </c>
    </row>
    <row r="27" spans="1:32" x14ac:dyDescent="0.3">
      <c r="A27" s="15" t="str" cm="1">
        <f t="array" aca="1" ref="A27" ca="1">_xlfn.SINGLE(RTData[suffix])&amp;_FV(RTData[[#This Row],[Company Name]],"Ticker symbol",TRUE)</f>
        <v>KR</v>
      </c>
      <c r="B27" s="15">
        <f ca="1">D101/100</f>
        <v>1.1377858686995108E-2</v>
      </c>
      <c r="C27" t="e" vm="26">
        <v>#VALUE!</v>
      </c>
      <c r="D27" s="17" t="str" cm="1">
        <f t="array" aca="1" ref="D27" ca="1">_FV(RTData[[#This Row],[Company Name]],"Currency")</f>
        <v>USD</v>
      </c>
      <c r="E27" s="18" cm="1">
        <f t="array" aca="1" ref="E27" ca="1">_FV(RTData[[#This Row],[Company Name]],"Last trade time",TRUE)</f>
        <v>45959.967732985941</v>
      </c>
      <c r="F27" s="26" cm="1">
        <f t="array" aca="1" ref="F27" ca="1">_FV(RTData[[#This Row],[Company Name]],"Previous close",TRUE)</f>
        <v>67.69</v>
      </c>
      <c r="G27" s="26" cm="1">
        <f t="array" aca="1" ref="G27" ca="1">_FV(RTData[[#This Row],[Company Name]],"Open")</f>
        <v>67.400000000000006</v>
      </c>
      <c r="H27" s="26" cm="1">
        <f t="array" aca="1" ref="H27" ca="1">_FV(RTData[[#This Row],[Company Name]],"Price")</f>
        <v>66.040000000000006</v>
      </c>
      <c r="I27" s="26" cm="1">
        <f t="array" aca="1" ref="I27" ca="1">_FV(RTData[[#This Row],[Company Name]],"Low")</f>
        <v>65.790000000000006</v>
      </c>
      <c r="J27" s="26" cm="1">
        <f t="array" aca="1" ref="J27" ca="1">_FV(RTData[[#This Row],[Company Name]],"High")</f>
        <v>67.430000000000007</v>
      </c>
      <c r="K27" s="20" cm="1">
        <f t="array" aca="1" ref="K27" ca="1">IFERROR(_FV(RTData[[#This Row],[Company Name]],"P/E",TRUE),99)</f>
        <v>16.730799999999999</v>
      </c>
      <c r="L27" s="21" cm="1">
        <f t="array" aca="1" ref="L27" ca="1">_FV(RTData[[#This Row],[Company Name]],"Change")</f>
        <v>-1.65</v>
      </c>
      <c r="M27" s="22" cm="1">
        <f t="array" aca="1" ref="M27" ca="1">_FV(RTData[[#This Row],[Company Name]],"Change (%)",TRUE)</f>
        <v>-2.4376000000000002E-2</v>
      </c>
      <c r="N27" s="26" cm="1">
        <f t="array" aca="1" ref="N27" ca="1">_FV(RTData[[#This Row],[Company Name]],"52 week low",TRUE)</f>
        <v>55.6</v>
      </c>
      <c r="O27" s="26" cm="1">
        <f t="array" aca="1" ref="O27" ca="1">_FV(RTData[[#This Row],[Company Name]],"52 week high",TRUE)</f>
        <v>74.900000000000006</v>
      </c>
      <c r="P27" s="23" cm="1">
        <f t="array" aca="1" ref="P27" ca="1">_FV(RTData[[#This Row],[Company Name]],"Volume")</f>
        <v>6339391</v>
      </c>
      <c r="Q27" s="23" cm="1">
        <f t="array" aca="1" ref="Q27" ca="1">_FV(RTData[[#This Row],[Company Name]],"Volume average",TRUE)</f>
        <v>5846279</v>
      </c>
      <c r="R27" s="19" cm="1">
        <f t="array" aca="1" ref="R27" ca="1">_FV(RTData[[#This Row],[Company Name]],"Beta")</f>
        <v>0.54990000000000006</v>
      </c>
      <c r="T27" t="s">
        <v>20</v>
      </c>
      <c r="U27" t="str" cm="1">
        <f t="array" aca="1" ref="U27" ca="1">_FV(RTData[[#This Row],[Company Name]],"Exchange abbreviation",TRUE)</f>
        <v>XNYS</v>
      </c>
      <c r="V27" s="24">
        <f ca="1">IFERROR(RTData[[#This Row],[Volume]]/RTData[[#This Row],[Volume average]],1)</f>
        <v>1.084346299586455</v>
      </c>
      <c r="W27" s="24"/>
      <c r="X27" s="108">
        <f ca="1">_xlfn.XLOOKUP(RTData[[#This Row],[Ticker symbol]],[2]Sheet2!$B$2:$B$95,[2]Sheet2!$E$2:$E$95)</f>
        <v>76.272729999999996</v>
      </c>
      <c r="Y27" s="101">
        <f>_xlfn.LET(_xlpm.date,[2]Sheet2!F24,IF(_xlpm.date=0,"",_xlpm.date))</f>
        <v>45834</v>
      </c>
      <c r="Z27" s="101" t="str">
        <f>_xlfn.LET(_xlpm.date,[2]Sheet2!G24,IF(_xlpm.date=0,"",_xlpm.date))</f>
        <v/>
      </c>
      <c r="AA27" s="102">
        <f>[2]Sheet2!$H24</f>
        <v>1.8800000000000001E-2</v>
      </c>
      <c r="AB27" s="103"/>
      <c r="AC27" s="104">
        <v>3.0000000000000001E-3</v>
      </c>
      <c r="AD27" s="90">
        <v>393.1</v>
      </c>
      <c r="AE27" s="105">
        <f ca="1">_xlfn.LET(_xlpm.New1YT,RTData[[#This Row],[1YT]],        _xlpm.Old1YT,IF(ISNUMBER(RTData[[#This Row],[Old1YT]]),RTData[[#This Row],[Old1YT]],VALUE(LEFT(RTData[[#This Row],[Old1YT]],FIND("/",RTData[[#This Row],[Old1YT]],1)-1))),       IF(OR(RTData[[#This Row],[1YT]]=0,_xlpm.Old1YT=0),0,(_xlpm.New1YT-_xlpm.Old1YT)/_xlpm.Old1YT))</f>
        <v>-0.80597117781734917</v>
      </c>
      <c r="AF27" s="105" t="str">
        <f ca="1">TEXT(RTData[[#This Row],[1YT]],"#,#0.00")&amp;" &lt; "&amp;RTData[[#This Row],[Old1YT]]</f>
        <v>76.27 &lt; 393.1</v>
      </c>
    </row>
    <row r="28" spans="1:32" x14ac:dyDescent="0.3">
      <c r="A28" s="15" t="str" cm="1">
        <f t="array" aca="1" ref="A28" ca="1">_xlfn.SINGLE(RTData[suffix])&amp;_FV(RTData[[#This Row],[Company Name]],"Ticker symbol",TRUE)</f>
        <v>LNSR</v>
      </c>
      <c r="B28" s="15">
        <f ca="1">D99</f>
        <v>0.86192035855886928</v>
      </c>
      <c r="C28" t="e" vm="27">
        <v>#VALUE!</v>
      </c>
      <c r="D28" s="17" t="str" cm="1">
        <f t="array" aca="1" ref="D28" ca="1">_FV(RTData[[#This Row],[Company Name]],"Currency")</f>
        <v>USD</v>
      </c>
      <c r="E28" s="18" cm="1">
        <f t="array" aca="1" ref="E28" ca="1">_FV(RTData[[#This Row],[Company Name]],"Last trade time",TRUE)</f>
        <v>45959.889376145315</v>
      </c>
      <c r="F28" s="19" cm="1">
        <f t="array" aca="1" ref="F28" ca="1">_FV(RTData[[#This Row],[Company Name]],"Previous close",TRUE)</f>
        <v>11.87</v>
      </c>
      <c r="G28" s="19" cm="1">
        <f t="array" aca="1" ref="G28" ca="1">_FV(RTData[[#This Row],[Company Name]],"Open")</f>
        <v>11.86</v>
      </c>
      <c r="H28" s="19" cm="1">
        <f t="array" aca="1" ref="H28" ca="1">_FV(RTData[[#This Row],[Company Name]],"Price")</f>
        <v>11.9</v>
      </c>
      <c r="I28" s="19" cm="1">
        <f t="array" aca="1" ref="I28" ca="1">_FV(RTData[[#This Row],[Company Name]],"Low")</f>
        <v>11.850899999999999</v>
      </c>
      <c r="J28" s="19" cm="1">
        <f t="array" aca="1" ref="J28" ca="1">_FV(RTData[[#This Row],[Company Name]],"High")</f>
        <v>12.13</v>
      </c>
      <c r="K28" s="20" cm="1">
        <f t="array" aca="1" ref="K28" ca="1">IFERROR(_FV(RTData[[#This Row],[Company Name]],"P/E",TRUE),99)</f>
        <v>0</v>
      </c>
      <c r="L28" s="21" cm="1">
        <f t="array" aca="1" ref="L28" ca="1">_FV(RTData[[#This Row],[Company Name]],"Change")</f>
        <v>0.03</v>
      </c>
      <c r="M28" s="22" cm="1">
        <f t="array" aca="1" ref="M28" ca="1">_FV(RTData[[#This Row],[Company Name]],"Change (%)",TRUE)</f>
        <v>2.5269999999999997E-3</v>
      </c>
      <c r="N28" s="19" cm="1">
        <f t="array" aca="1" ref="N28" ca="1">_FV(RTData[[#This Row],[Company Name]],"52 week low",TRUE)</f>
        <v>5.28</v>
      </c>
      <c r="O28" s="19" cm="1">
        <f t="array" aca="1" ref="O28" ca="1">_FV(RTData[[#This Row],[Company Name]],"52 week high",TRUE)</f>
        <v>17.309999999999999</v>
      </c>
      <c r="P28" s="23" cm="1">
        <f t="array" aca="1" ref="P28" ca="1">_FV(RTData[[#This Row],[Company Name]],"Volume")</f>
        <v>36439</v>
      </c>
      <c r="Q28" s="23" cm="1">
        <f t="array" aca="1" ref="Q28" ca="1">_FV(RTData[[#This Row],[Company Name]],"Volume average",TRUE)</f>
        <v>42968</v>
      </c>
      <c r="R28" s="19" cm="1">
        <f t="array" aca="1" ref="R28" ca="1">_FV(RTData[[#This Row],[Company Name]],"Beta")</f>
        <v>0.48209999999999997</v>
      </c>
      <c r="T28" t="s">
        <v>20</v>
      </c>
      <c r="U28" t="str" cm="1">
        <f t="array" aca="1" ref="U28" ca="1">_FV(RTData[[#This Row],[Company Name]],"Exchange abbreviation",TRUE)</f>
        <v>XNAS</v>
      </c>
      <c r="V28" s="24">
        <f ca="1">IFERROR(RTData[[#This Row],[Volume]]/RTData[[#This Row],[Volume average]],1)</f>
        <v>0.84804971141314467</v>
      </c>
      <c r="W28" s="24"/>
      <c r="X28" s="108">
        <f ca="1">_xlfn.XLOOKUP(RTData[[#This Row],[Ticker symbol]],[2]Sheet2!$B$2:$B$95,[2]Sheet2!$E$2:$E$95)</f>
        <v>15</v>
      </c>
      <c r="Y28" s="101">
        <f>_xlfn.LET(_xlpm.date,[2]Sheet2!F25,IF(_xlpm.date=0,"",_xlpm.date))</f>
        <v>45975</v>
      </c>
      <c r="Z28" s="101" t="str">
        <f>_xlfn.LET(_xlpm.date,[2]Sheet2!G25,IF(_xlpm.date=0,"",_xlpm.date))</f>
        <v>Dec 4, 2025</v>
      </c>
      <c r="AA28" s="102">
        <f>[2]Sheet2!$H25</f>
        <v>2.07E-2</v>
      </c>
      <c r="AB28" s="103">
        <v>1E-4</v>
      </c>
      <c r="AC28" s="104">
        <v>3.0000000000000001E-3</v>
      </c>
      <c r="AD28" s="90">
        <v>66.5</v>
      </c>
      <c r="AE28" s="105">
        <f ca="1">_xlfn.LET(_xlpm.New1YT,RTData[[#This Row],[1YT]],        _xlpm.Old1YT,IF(ISNUMBER(RTData[[#This Row],[Old1YT]]),RTData[[#This Row],[Old1YT]],VALUE(LEFT(RTData[[#This Row],[Old1YT]],FIND("/",RTData[[#This Row],[Old1YT]],1)-1))),       IF(OR(RTData[[#This Row],[1YT]]=0,_xlpm.Old1YT=0),0,(_xlpm.New1YT-_xlpm.Old1YT)/_xlpm.Old1YT))</f>
        <v>-0.77443609022556392</v>
      </c>
      <c r="AF28" s="105" t="str">
        <f ca="1">TEXT(RTData[[#This Row],[1YT]],"#,#0.00")&amp;" &lt; "&amp;RTData[[#This Row],[Old1YT]]</f>
        <v>15.00 &lt; 66.5</v>
      </c>
    </row>
    <row r="29" spans="1:32" x14ac:dyDescent="0.3">
      <c r="A29" s="15" t="str" cm="1">
        <f t="array" aca="1" ref="A29" ca="1">_xlfn.SINGLE(RTData[suffix])&amp;_FV(RTData[[#This Row],[Company Name]],"Ticker symbol",TRUE)</f>
        <v>LUMN</v>
      </c>
      <c r="B29" s="15">
        <f ca="1">D99</f>
        <v>0.86192035855886928</v>
      </c>
      <c r="C29" t="e" vm="28">
        <v>#VALUE!</v>
      </c>
      <c r="D29" s="17" t="str" cm="1">
        <f t="array" aca="1" ref="D29" ca="1">_FV(RTData[[#This Row],[Company Name]],"Currency")</f>
        <v>USD</v>
      </c>
      <c r="E29" s="18" cm="1">
        <f t="array" aca="1" ref="E29" ca="1">_FV(RTData[[#This Row],[Company Name]],"Last trade time",TRUE)</f>
        <v>45959.983632175783</v>
      </c>
      <c r="F29" s="19" cm="1">
        <f t="array" aca="1" ref="F29" ca="1">_FV(RTData[[#This Row],[Company Name]],"Previous close",TRUE)</f>
        <v>10.050000000000001</v>
      </c>
      <c r="G29" s="19" cm="1">
        <f t="array" aca="1" ref="G29" ca="1">_FV(RTData[[#This Row],[Company Name]],"Open")</f>
        <v>10.039999999999999</v>
      </c>
      <c r="H29" s="19" cm="1">
        <f t="array" aca="1" ref="H29" ca="1">_FV(RTData[[#This Row],[Company Name]],"Price")</f>
        <v>11.005000000000001</v>
      </c>
      <c r="I29" s="19" cm="1">
        <f t="array" aca="1" ref="I29" ca="1">_FV(RTData[[#This Row],[Company Name]],"Low")</f>
        <v>9.92</v>
      </c>
      <c r="J29" s="19" cm="1">
        <f t="array" aca="1" ref="J29" ca="1">_FV(RTData[[#This Row],[Company Name]],"High")</f>
        <v>11.32</v>
      </c>
      <c r="K29" s="20" cm="1">
        <f t="array" aca="1" ref="K29" ca="1">IFERROR(_FV(RTData[[#This Row],[Company Name]],"P/E",TRUE),99)</f>
        <v>0</v>
      </c>
      <c r="L29" s="21" cm="1">
        <f t="array" aca="1" ref="L29" ca="1">_FV(RTData[[#This Row],[Company Name]],"Change")</f>
        <v>0.95499999999999996</v>
      </c>
      <c r="M29" s="22" cm="1">
        <f t="array" aca="1" ref="M29" ca="1">_FV(RTData[[#This Row],[Company Name]],"Change (%)",TRUE)</f>
        <v>9.5024999999999998E-2</v>
      </c>
      <c r="N29" s="19" cm="1">
        <f t="array" aca="1" ref="N29" ca="1">_FV(RTData[[#This Row],[Company Name]],"52 week low",TRUE)</f>
        <v>3.01</v>
      </c>
      <c r="O29" s="19" cm="1">
        <f t="array" aca="1" ref="O29" ca="1">_FV(RTData[[#This Row],[Company Name]],"52 week high",TRUE)</f>
        <v>11.32</v>
      </c>
      <c r="P29" s="23" cm="1">
        <f t="array" aca="1" ref="P29" ca="1">_FV(RTData[[#This Row],[Company Name]],"Volume")</f>
        <v>61711236</v>
      </c>
      <c r="Q29" s="23" cm="1">
        <f t="array" aca="1" ref="Q29" ca="1">_FV(RTData[[#This Row],[Company Name]],"Volume average",TRUE)</f>
        <v>15639043</v>
      </c>
      <c r="R29" s="19" cm="1">
        <f t="array" aca="1" ref="R29" ca="1">_FV(RTData[[#This Row],[Company Name]],"Beta")</f>
        <v>1.4823999999999999</v>
      </c>
      <c r="T29" t="s">
        <v>20</v>
      </c>
      <c r="U29" t="str" cm="1">
        <f t="array" aca="1" ref="U29" ca="1">_FV(RTData[[#This Row],[Company Name]],"Exchange abbreviation",TRUE)</f>
        <v>XNYS</v>
      </c>
      <c r="V29" s="24">
        <f ca="1">IFERROR(RTData[[#This Row],[Volume]]/RTData[[#This Row],[Volume average]],1)</f>
        <v>3.9459726531860038</v>
      </c>
      <c r="W29" s="24"/>
      <c r="X29" s="108">
        <f ca="1">_xlfn.XLOOKUP(RTData[[#This Row],[Ticker symbol]],[2]Sheet2!$B$2:$B$95,[2]Sheet2!$E$2:$E$95)</f>
        <v>5.2436400000000001</v>
      </c>
      <c r="Y29" s="101" t="str">
        <f>_xlfn.LET(_xlpm.date,[2]Sheet2!F26,IF(_xlpm.date=0,"",_xlpm.date))</f>
        <v/>
      </c>
      <c r="Z29" s="101" t="str">
        <f>_xlfn.LET(_xlpm.date,[2]Sheet2!G26,IF(_xlpm.date=0,"",_xlpm.date))</f>
        <v/>
      </c>
      <c r="AA29" s="102">
        <f>[2]Sheet2!$H26</f>
        <v>0</v>
      </c>
      <c r="AB29" s="103">
        <v>1E-4</v>
      </c>
      <c r="AC29" s="104">
        <v>3.0000000000000001E-3</v>
      </c>
      <c r="AD29" s="90">
        <v>15.5</v>
      </c>
      <c r="AE29" s="105">
        <f ca="1">_xlfn.LET(_xlpm.New1YT,RTData[[#This Row],[1YT]],        _xlpm.Old1YT,IF(ISNUMBER(RTData[[#This Row],[Old1YT]]),RTData[[#This Row],[Old1YT]],VALUE(LEFT(RTData[[#This Row],[Old1YT]],FIND("/",RTData[[#This Row],[Old1YT]],1)-1))),       IF(OR(RTData[[#This Row],[1YT]]=0,_xlpm.Old1YT=0),0,(_xlpm.New1YT-_xlpm.Old1YT)/_xlpm.Old1YT))</f>
        <v>-0.66170064516129035</v>
      </c>
      <c r="AF29" s="105" t="str">
        <f ca="1">TEXT(RTData[[#This Row],[1YT]],"#,#0.00")&amp;" &lt; "&amp;RTData[[#This Row],[Old1YT]]</f>
        <v>5.24 &lt; 15.5</v>
      </c>
    </row>
    <row r="30" spans="1:32" x14ac:dyDescent="0.3">
      <c r="A30" s="15" t="str" cm="1">
        <f t="array" aca="1" ref="A30" ca="1">_xlfn.SINGLE(RTData[suffix])&amp;_FV(RTData[[#This Row],[Company Name]],"Ticker symbol",TRUE)</f>
        <v>MRNA</v>
      </c>
      <c r="B30" s="15">
        <f ca="1">D99</f>
        <v>0.86192035855886928</v>
      </c>
      <c r="C30" t="e" vm="29">
        <v>#VALUE!</v>
      </c>
      <c r="D30" s="17" t="str" cm="1">
        <f t="array" aca="1" ref="D30" ca="1">_FV(RTData[[#This Row],[Company Name]],"Currency")</f>
        <v>USD</v>
      </c>
      <c r="E30" s="18" cm="1">
        <f t="array" aca="1" ref="E30" ca="1">_FV(RTData[[#This Row],[Company Name]],"Last trade time",TRUE)</f>
        <v>45959.983818171095</v>
      </c>
      <c r="F30" s="19" cm="1">
        <f t="array" aca="1" ref="F30" ca="1">_FV(RTData[[#This Row],[Company Name]],"Previous close",TRUE)</f>
        <v>25.35</v>
      </c>
      <c r="G30" s="19" cm="1">
        <f t="array" aca="1" ref="G30" ca="1">_FV(RTData[[#This Row],[Company Name]],"Open")</f>
        <v>25.44</v>
      </c>
      <c r="H30" s="19" cm="1">
        <f t="array" aca="1" ref="H30" ca="1">_FV(RTData[[#This Row],[Company Name]],"Price")</f>
        <v>24.7</v>
      </c>
      <c r="I30" s="19" cm="1">
        <f t="array" aca="1" ref="I30" ca="1">_FV(RTData[[#This Row],[Company Name]],"Low")</f>
        <v>24.41</v>
      </c>
      <c r="J30" s="19" cm="1">
        <f t="array" aca="1" ref="J30" ca="1">_FV(RTData[[#This Row],[Company Name]],"High")</f>
        <v>25.55</v>
      </c>
      <c r="K30" s="20" cm="1">
        <f t="array" aca="1" ref="K30" ca="1">IFERROR(_FV(RTData[[#This Row],[Company Name]],"P/E",TRUE),99)</f>
        <v>0</v>
      </c>
      <c r="L30" s="21" cm="1">
        <f t="array" aca="1" ref="L30" ca="1">_FV(RTData[[#This Row],[Company Name]],"Change")</f>
        <v>-0.65</v>
      </c>
      <c r="M30" s="22" cm="1">
        <f t="array" aca="1" ref="M30" ca="1">_FV(RTData[[#This Row],[Company Name]],"Change (%)",TRUE)</f>
        <v>-2.5640999999999997E-2</v>
      </c>
      <c r="N30" s="19" cm="1">
        <f t="array" aca="1" ref="N30" ca="1">_FV(RTData[[#This Row],[Company Name]],"52 week low",TRUE)</f>
        <v>23.15</v>
      </c>
      <c r="O30" s="19" cm="1">
        <f t="array" aca="1" ref="O30" ca="1">_FV(RTData[[#This Row],[Company Name]],"52 week high",TRUE)</f>
        <v>57.69</v>
      </c>
      <c r="P30" s="23" cm="1">
        <f t="array" aca="1" ref="P30" ca="1">_FV(RTData[[#This Row],[Company Name]],"Volume")</f>
        <v>8744947</v>
      </c>
      <c r="Q30" s="23" cm="1">
        <f t="array" aca="1" ref="Q30" ca="1">_FV(RTData[[#This Row],[Company Name]],"Volume average",TRUE)</f>
        <v>8984507</v>
      </c>
      <c r="R30" s="19" cm="1">
        <f t="array" aca="1" ref="R30" ca="1">_FV(RTData[[#This Row],[Company Name]],"Beta")</f>
        <v>2.0070999999999999</v>
      </c>
      <c r="T30" t="s">
        <v>20</v>
      </c>
      <c r="U30" t="str" cm="1">
        <f t="array" aca="1" ref="U30" ca="1">_FV(RTData[[#This Row],[Company Name]],"Exchange abbreviation",TRUE)</f>
        <v>XNAS</v>
      </c>
      <c r="V30" s="24">
        <f ca="1">IFERROR(RTData[[#This Row],[Volume]]/RTData[[#This Row],[Volume average]],1)</f>
        <v>0.97333632218217425</v>
      </c>
      <c r="W30" s="24"/>
      <c r="X30" s="108">
        <f ca="1">_xlfn.XLOOKUP(RTData[[#This Row],[Ticker symbol]],[2]Sheet2!$B$2:$B$95,[2]Sheet2!$E$2:$E$95)</f>
        <v>44.3</v>
      </c>
      <c r="Y30" s="101">
        <f>_xlfn.LET(_xlpm.date,[2]Sheet2!F27,IF(_xlpm.date=0,"",_xlpm.date))</f>
        <v>44802</v>
      </c>
      <c r="Z30" s="101" t="str">
        <f>_xlfn.LET(_xlpm.date,[2]Sheet2!G27,IF(_xlpm.date=0,"",_xlpm.date))</f>
        <v>Jul 31, 2025</v>
      </c>
      <c r="AA30" s="102">
        <f>[2]Sheet2!$H27</f>
        <v>0</v>
      </c>
      <c r="AB30" s="103">
        <v>1E-4</v>
      </c>
      <c r="AC30" s="104">
        <v>3.0000000000000001E-3</v>
      </c>
      <c r="AD30" s="90">
        <v>4.62</v>
      </c>
      <c r="AE30" s="105">
        <f ca="1">_xlfn.LET(_xlpm.New1YT,RTData[[#This Row],[1YT]],        _xlpm.Old1YT,IF(ISNUMBER(RTData[[#This Row],[Old1YT]]),RTData[[#This Row],[Old1YT]],VALUE(LEFT(RTData[[#This Row],[Old1YT]],FIND("/",RTData[[#This Row],[Old1YT]],1)-1))),       IF(OR(RTData[[#This Row],[1YT]]=0,_xlpm.Old1YT=0),0,(_xlpm.New1YT-_xlpm.Old1YT)/_xlpm.Old1YT))</f>
        <v>8.5887445887445892</v>
      </c>
      <c r="AF30" s="105" t="str">
        <f ca="1">TEXT(RTData[[#This Row],[1YT]],"#,#0.00")&amp;" &lt; "&amp;RTData[[#This Row],[Old1YT]]</f>
        <v>44.30 &lt; 4.62</v>
      </c>
    </row>
    <row r="31" spans="1:32" x14ac:dyDescent="0.3">
      <c r="A31" s="15" t="str" cm="1">
        <f t="array" aca="1" ref="A31" ca="1">_xlfn.SINGLE(RTData[suffix])&amp;_FV(RTData[[#This Row],[Company Name]],"Ticker symbol",TRUE)</f>
        <v>MSFT</v>
      </c>
      <c r="B31" s="15">
        <f ca="1">D99</f>
        <v>0.86192035855886928</v>
      </c>
      <c r="C31" t="e" vm="30">
        <v>#VALUE!</v>
      </c>
      <c r="D31" s="17" t="str" cm="1">
        <f t="array" aca="1" ref="D31" ca="1">_FV(RTData[[#This Row],[Company Name]],"Currency")</f>
        <v>USD</v>
      </c>
      <c r="E31" s="18" cm="1">
        <f t="array" aca="1" ref="E31" ca="1">_FV(RTData[[#This Row],[Company Name]],"Last trade time",TRUE)</f>
        <v>45959.983865115624</v>
      </c>
      <c r="F31" s="19" cm="1">
        <f t="array" aca="1" ref="F31" ca="1">_FV(RTData[[#This Row],[Company Name]],"Previous close",TRUE)</f>
        <v>542.07000000000005</v>
      </c>
      <c r="G31" s="19" cm="1">
        <f t="array" aca="1" ref="G31" ca="1">_FV(RTData[[#This Row],[Company Name]],"Open")</f>
        <v>544.94000000000005</v>
      </c>
      <c r="H31" s="19" cm="1">
        <f t="array" aca="1" ref="H31" ca="1">_FV(RTData[[#This Row],[Company Name]],"Price")</f>
        <v>541.54999999999995</v>
      </c>
      <c r="I31" s="19" cm="1">
        <f t="array" aca="1" ref="I31" ca="1">_FV(RTData[[#This Row],[Company Name]],"Low")</f>
        <v>536.7287</v>
      </c>
      <c r="J31" s="19" cm="1">
        <f t="array" aca="1" ref="J31" ca="1">_FV(RTData[[#This Row],[Company Name]],"High")</f>
        <v>546.27</v>
      </c>
      <c r="K31" s="20" cm="1">
        <f t="array" aca="1" ref="K31" ca="1">IFERROR(_FV(RTData[[#This Row],[Company Name]],"P/E",TRUE),99)</f>
        <v>39.738100000000003</v>
      </c>
      <c r="L31" s="21" cm="1">
        <f t="array" aca="1" ref="L31" ca="1">_FV(RTData[[#This Row],[Company Name]],"Change")</f>
        <v>-0.52</v>
      </c>
      <c r="M31" s="22" cm="1">
        <f t="array" aca="1" ref="M31" ca="1">_FV(RTData[[#This Row],[Company Name]],"Change (%)",TRUE)</f>
        <v>-9.5930000000000006E-4</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35902364</v>
      </c>
      <c r="Q31" s="23" cm="1">
        <f t="array" aca="1" ref="Q31" ca="1">_FV(RTData[[#This Row],[Company Name]],"Volume average",TRUE)</f>
        <v>17610955</v>
      </c>
      <c r="R31" s="19" cm="1">
        <f t="array" aca="1" ref="R31" ca="1">_FV(RTData[[#This Row],[Company Name]],"Beta")</f>
        <v>1.0207999999999999</v>
      </c>
      <c r="T31" t="s">
        <v>20</v>
      </c>
      <c r="U31" t="str" cm="1">
        <f t="array" aca="1" ref="U31" ca="1">_FV(RTData[[#This Row],[Company Name]],"Exchange abbreviation",TRUE)</f>
        <v>XNAS</v>
      </c>
      <c r="V31" s="24">
        <f ca="1">IFERROR(RTData[[#This Row],[Volume]]/RTData[[#This Row],[Volume average]],1)</f>
        <v>2.0386381090633643</v>
      </c>
      <c r="W31" s="24"/>
      <c r="X31" s="108">
        <f ca="1">_xlfn.XLOOKUP(RTData[[#This Row],[Ticker symbol]],[2]Sheet2!$B$2:$B$95,[2]Sheet2!$E$2:$E$95)</f>
        <v>620.73689999999999</v>
      </c>
      <c r="Y31" s="101" t="str">
        <f>_xlfn.LET(_xlpm.date,[2]Sheet2!F28,IF(_xlpm.date=0,"",_xlpm.date))</f>
        <v/>
      </c>
      <c r="Z31" s="101" t="str">
        <f>_xlfn.LET(_xlpm.date,[2]Sheet2!G28,IF(_xlpm.date=0,"",_xlpm.date))</f>
        <v>Nov 6, 2025</v>
      </c>
      <c r="AA31" s="102">
        <f>[2]Sheet2!$H28</f>
        <v>0</v>
      </c>
      <c r="AB31" s="103">
        <v>1E-4</v>
      </c>
      <c r="AC31" s="104">
        <v>3.0000000000000001E-3</v>
      </c>
      <c r="AD31" s="90">
        <v>99.83</v>
      </c>
      <c r="AE31" s="105">
        <f ca="1">_xlfn.LET(_xlpm.New1YT,RTData[[#This Row],[1YT]],        _xlpm.Old1YT,IF(ISNUMBER(RTData[[#This Row],[Old1YT]]),RTData[[#This Row],[Old1YT]],VALUE(LEFT(RTData[[#This Row],[Old1YT]],FIND("/",RTData[[#This Row],[Old1YT]],1)-1))),       IF(OR(RTData[[#This Row],[1YT]]=0,_xlpm.Old1YT=0),0,(_xlpm.New1YT-_xlpm.Old1YT)/_xlpm.Old1YT))</f>
        <v>5.2179394971451467</v>
      </c>
      <c r="AF31" s="105" t="str">
        <f ca="1">TEXT(RTData[[#This Row],[1YT]],"#,#0.00")&amp;" &lt; "&amp;RTData[[#This Row],[Old1YT]]</f>
        <v>620.74 &lt; 99.83</v>
      </c>
    </row>
    <row r="32" spans="1:32" x14ac:dyDescent="0.3">
      <c r="A32" s="15" t="str" cm="1">
        <f t="array" aca="1" ref="A32" ca="1">_xlfn.SINGLE(RTData[suffix])&amp;_FV(RTData[[#This Row],[Company Name]],"Ticker symbol",TRUE)</f>
        <v>NEE</v>
      </c>
      <c r="B32" s="15">
        <f ca="1">D99</f>
        <v>0.86192035855886928</v>
      </c>
      <c r="C32" t="e" vm="31">
        <v>#VALUE!</v>
      </c>
      <c r="D32" s="17" t="str" cm="1">
        <f t="array" aca="1" ref="D32" ca="1">_FV(RTData[[#This Row],[Company Name]],"Currency")</f>
        <v>USD</v>
      </c>
      <c r="E32" s="18" cm="1">
        <f t="array" aca="1" ref="E32" ca="1">_FV(RTData[[#This Row],[Company Name]],"Last trade time",TRUE)</f>
        <v>45959.983580474218</v>
      </c>
      <c r="F32" s="19" cm="1">
        <f t="array" aca="1" ref="F32" ca="1">_FV(RTData[[#This Row],[Company Name]],"Previous close",TRUE)</f>
        <v>83.57</v>
      </c>
      <c r="G32" s="19" cm="1">
        <f t="array" aca="1" ref="G32" ca="1">_FV(RTData[[#This Row],[Company Name]],"Open")</f>
        <v>83.3</v>
      </c>
      <c r="H32" s="19" cm="1">
        <f t="array" aca="1" ref="H32" ca="1">_FV(RTData[[#This Row],[Company Name]],"Price")</f>
        <v>81.765000000000001</v>
      </c>
      <c r="I32" s="19" cm="1">
        <f t="array" aca="1" ref="I32" ca="1">_FV(RTData[[#This Row],[Company Name]],"Low")</f>
        <v>81.045000000000002</v>
      </c>
      <c r="J32" s="19" cm="1">
        <f t="array" aca="1" ref="J32" ca="1">_FV(RTData[[#This Row],[Company Name]],"High")</f>
        <v>83.791200000000003</v>
      </c>
      <c r="K32" s="20" cm="1">
        <f t="array" aca="1" ref="K32" ca="1">IFERROR(_FV(RTData[[#This Row],[Company Name]],"P/E",TRUE),99)</f>
        <v>25.968699999999998</v>
      </c>
      <c r="L32" s="21" cm="1">
        <f t="array" aca="1" ref="L32" ca="1">_FV(RTData[[#This Row],[Company Name]],"Change")</f>
        <v>-1.8049999999999999</v>
      </c>
      <c r="M32" s="22" cm="1">
        <f t="array" aca="1" ref="M32" ca="1">_FV(RTData[[#This Row],[Company Name]],"Change (%)",TRUE)</f>
        <v>-2.1599E-2</v>
      </c>
      <c r="N32" s="19" cm="1">
        <f t="array" aca="1" ref="N32" ca="1">_FV(RTData[[#This Row],[Company Name]],"52 week low",TRUE)</f>
        <v>61.72</v>
      </c>
      <c r="O32" s="19" cm="1">
        <f t="array" aca="1" ref="O32" ca="1">_FV(RTData[[#This Row],[Company Name]],"52 week high",TRUE)</f>
        <v>87.53</v>
      </c>
      <c r="P32" s="23" cm="1">
        <f t="array" aca="1" ref="P32" ca="1">_FV(RTData[[#This Row],[Company Name]],"Volume")</f>
        <v>11680567</v>
      </c>
      <c r="Q32" s="23" cm="1">
        <f t="array" aca="1" ref="Q32" ca="1">_FV(RTData[[#This Row],[Company Name]],"Volume average",TRUE)</f>
        <v>10499972</v>
      </c>
      <c r="R32" s="19" cm="1">
        <f t="array" aca="1" ref="R32" ca="1">_FV(RTData[[#This Row],[Company Name]],"Beta")</f>
        <v>0.69130000000000003</v>
      </c>
      <c r="T32" t="s">
        <v>20</v>
      </c>
      <c r="U32" t="str" cm="1">
        <f t="array" aca="1" ref="U32" ca="1">_FV(RTData[[#This Row],[Company Name]],"Exchange abbreviation",TRUE)</f>
        <v>XNYS</v>
      </c>
      <c r="V32" s="24">
        <f ca="1">IFERROR(RTData[[#This Row],[Volume]]/RTData[[#This Row],[Volume average]],1)</f>
        <v>1.1124379188820694</v>
      </c>
      <c r="W32" s="24"/>
      <c r="X32" s="108">
        <f ca="1">_xlfn.XLOOKUP(RTData[[#This Row],[Ticker symbol]],[2]Sheet2!$B$2:$B$95,[2]Sheet2!$E$2:$E$95)</f>
        <v>84.722219999999993</v>
      </c>
      <c r="Y32" s="101">
        <f>_xlfn.LET(_xlpm.date,[2]Sheet2!F29,IF(_xlpm.date=0,"",_xlpm.date))</f>
        <v>45981</v>
      </c>
      <c r="Z32" s="101" t="str">
        <f>_xlfn.LET(_xlpm.date,[2]Sheet2!G29,IF(_xlpm.date=0,"",_xlpm.date))</f>
        <v>Oct 29, 2025</v>
      </c>
      <c r="AA32" s="102">
        <f>[2]Sheet2!$H29</f>
        <v>7.0999996000000003E-3</v>
      </c>
      <c r="AB32" s="103">
        <v>1E-4</v>
      </c>
      <c r="AC32" s="104">
        <v>3.0000000000000001E-3</v>
      </c>
      <c r="AD32" s="90">
        <v>505.94</v>
      </c>
      <c r="AE32" s="105">
        <f ca="1">_xlfn.LET(_xlpm.New1YT,RTData[[#This Row],[1YT]],        _xlpm.Old1YT,IF(ISNUMBER(RTData[[#This Row],[Old1YT]]),RTData[[#This Row],[Old1YT]],VALUE(LEFT(RTData[[#This Row],[Old1YT]],FIND("/",RTData[[#This Row],[Old1YT]],1)-1))),       IF(OR(RTData[[#This Row],[1YT]]=0,_xlpm.Old1YT=0),0,(_xlpm.New1YT-_xlpm.Old1YT)/_xlpm.Old1YT))</f>
        <v>-0.83254492627584298</v>
      </c>
      <c r="AF32" s="105" t="str">
        <f ca="1">TEXT(RTData[[#This Row],[1YT]],"#,#0.00")&amp;" &lt; "&amp;RTData[[#This Row],[Old1YT]]</f>
        <v>84.72 &lt; 505.94</v>
      </c>
    </row>
    <row r="33" spans="1:33" x14ac:dyDescent="0.3">
      <c r="A33" s="15" t="str" cm="1">
        <f t="array" aca="1" ref="A33" ca="1">_xlfn.SINGLE(RTData[suffix])&amp;_FV(RTData[[#This Row],[Company Name]],"Ticker symbol",TRUE)</f>
        <v>NEM</v>
      </c>
      <c r="B33" s="15">
        <f ca="1">D99</f>
        <v>0.86192035855886928</v>
      </c>
      <c r="C33" t="e" vm="32">
        <v>#VALUE!</v>
      </c>
      <c r="D33" s="17" t="str" cm="1">
        <f t="array" aca="1" ref="D33" ca="1">_FV(RTData[[#This Row],[Company Name]],"Currency")</f>
        <v>USD</v>
      </c>
      <c r="E33" s="18" cm="1">
        <f t="array" aca="1" ref="E33" ca="1">_FV(RTData[[#This Row],[Company Name]],"Last trade time",TRUE)</f>
        <v>45959.982056399997</v>
      </c>
      <c r="F33" s="19" cm="1">
        <f t="array" aca="1" ref="F33" ca="1">_FV(RTData[[#This Row],[Company Name]],"Previous close",TRUE)</f>
        <v>79.34</v>
      </c>
      <c r="G33" s="19" cm="1">
        <f t="array" aca="1" ref="G33" ca="1">_FV(RTData[[#This Row],[Company Name]],"Open")</f>
        <v>81.319999999999993</v>
      </c>
      <c r="H33" s="19" cm="1">
        <f t="array" aca="1" ref="H33" ca="1">_FV(RTData[[#This Row],[Company Name]],"Price")</f>
        <v>79.665000000000006</v>
      </c>
      <c r="I33" s="19" cm="1">
        <f t="array" aca="1" ref="I33" ca="1">_FV(RTData[[#This Row],[Company Name]],"Low")</f>
        <v>79.31</v>
      </c>
      <c r="J33" s="19" cm="1">
        <f t="array" aca="1" ref="J33" ca="1">_FV(RTData[[#This Row],[Company Name]],"High")</f>
        <v>81.84</v>
      </c>
      <c r="K33" s="20" cm="1">
        <f t="array" aca="1" ref="K33" ca="1">IFERROR(_FV(RTData[[#This Row],[Company Name]],"P/E",TRUE),99)</f>
        <v>12.38</v>
      </c>
      <c r="L33" s="21" cm="1">
        <f t="array" aca="1" ref="L33" ca="1">_FV(RTData[[#This Row],[Company Name]],"Change")</f>
        <v>0.32500000000000001</v>
      </c>
      <c r="M33" s="22" cm="1">
        <f t="array" aca="1" ref="M33" ca="1">_FV(RTData[[#This Row],[Company Name]],"Change (%)",TRUE)</f>
        <v>4.0959999999999998E-3</v>
      </c>
      <c r="N33" s="19" cm="1">
        <f t="array" aca="1" ref="N33" ca="1">_FV(RTData[[#This Row],[Company Name]],"52 week low",TRUE)</f>
        <v>36.86</v>
      </c>
      <c r="O33" s="19" cm="1">
        <f t="array" aca="1" ref="O33" ca="1">_FV(RTData[[#This Row],[Company Name]],"52 week high",TRUE)</f>
        <v>98.578000000000003</v>
      </c>
      <c r="P33" s="23" cm="1">
        <f t="array" aca="1" ref="P33" ca="1">_FV(RTData[[#This Row],[Company Name]],"Volume")</f>
        <v>10810907</v>
      </c>
      <c r="Q33" s="23" cm="1">
        <f t="array" aca="1" ref="Q33" ca="1">_FV(RTData[[#This Row],[Company Name]],"Volume average",TRUE)</f>
        <v>12446231</v>
      </c>
      <c r="R33" s="19" cm="1">
        <f t="array" aca="1" ref="R33" ca="1">_FV(RTData[[#This Row],[Company Name]],"Beta")</f>
        <v>0.34399999999999997</v>
      </c>
      <c r="T33" t="s">
        <v>20</v>
      </c>
      <c r="U33" t="str" cm="1">
        <f t="array" aca="1" ref="U33" ca="1">_FV(RTData[[#This Row],[Company Name]],"Exchange abbreviation",TRUE)</f>
        <v>XNYS</v>
      </c>
      <c r="V33" s="24">
        <f ca="1">IFERROR(RTData[[#This Row],[Volume]]/RTData[[#This Row],[Volume average]],1)</f>
        <v>0.86860889854928769</v>
      </c>
      <c r="W33" s="24"/>
      <c r="X33" s="108">
        <f ca="1">_xlfn.XLOOKUP(RTData[[#This Row],[Ticker symbol]],[2]Sheet2!$B$2:$B$95,[2]Sheet2!$E$2:$E$95)</f>
        <v>91.209500000000006</v>
      </c>
      <c r="Y33" s="101">
        <f>_xlfn.LET(_xlpm.date,[2]Sheet2!F30,IF(_xlpm.date=0,"",_xlpm.date))</f>
        <v>45897</v>
      </c>
      <c r="Z33" s="101" t="str">
        <f>_xlfn.LET(_xlpm.date,[2]Sheet2!G30,IF(_xlpm.date=0,"",_xlpm.date))</f>
        <v>Oct 23, 2025</v>
      </c>
      <c r="AA33" s="102">
        <f>[2]Sheet2!$H30</f>
        <v>2.7199999999999998E-2</v>
      </c>
      <c r="AB33" s="103">
        <v>1E-4</v>
      </c>
      <c r="AC33" s="104">
        <v>3.0000000000000001E-3</v>
      </c>
      <c r="AD33" s="90" t="s">
        <v>54</v>
      </c>
      <c r="AE33" s="105">
        <f ca="1">_xlfn.LET(_xlpm.New1YT,RTData[[#This Row],[1YT]],        _xlpm.Old1YT,IF(ISNUMBER(RTData[[#This Row],[Old1YT]]),RTData[[#This Row],[Old1YT]],VALUE(LEFT(RTData[[#This Row],[Old1YT]],FIND("/",RTData[[#This Row],[Old1YT]],1)-1))),       IF(OR(RTData[[#This Row],[1YT]]=0,_xlpm.Old1YT=0),0,(_xlpm.New1YT-_xlpm.Old1YT)/_xlpm.Old1YT))</f>
        <v>0.1246547472256475</v>
      </c>
      <c r="AF33" s="105" t="str">
        <f ca="1">TEXT(RTData[[#This Row],[1YT]],"#,#0.00")&amp;" &lt; "&amp;RTData[[#This Row],[Old1YT]]</f>
        <v>91.21 &lt; 81.10/84.6</v>
      </c>
    </row>
    <row r="34" spans="1:33" x14ac:dyDescent="0.3">
      <c r="A34" s="15" t="str" cm="1">
        <f t="array" aca="1" ref="A34" ca="1">_xlfn.SINGLE(RTData[suffix])&amp;_FV(RTData[[#This Row],[Company Name]],"Ticker symbol",TRUE)</f>
        <v>NFLX</v>
      </c>
      <c r="B34" s="15">
        <f ca="1">D99</f>
        <v>0.86192035855886928</v>
      </c>
      <c r="C34" t="e" vm="33">
        <v>#VALUE!</v>
      </c>
      <c r="D34" s="17" t="str" cm="1">
        <f t="array" aca="1" ref="D34" ca="1">_FV(RTData[[#This Row],[Company Name]],"Currency")</f>
        <v>USD</v>
      </c>
      <c r="E34" s="18" cm="1">
        <f t="array" aca="1" ref="E34" ca="1">_FV(RTData[[#This Row],[Company Name]],"Last trade time",TRUE)</f>
        <v>45959.983667615626</v>
      </c>
      <c r="F34" s="19" cm="1">
        <f t="array" aca="1" ref="F34" ca="1">_FV(RTData[[#This Row],[Company Name]],"Previous close",TRUE)</f>
        <v>1102.5</v>
      </c>
      <c r="G34" s="19" cm="1">
        <f t="array" aca="1" ref="G34" ca="1">_FV(RTData[[#This Row],[Company Name]],"Open")</f>
        <v>1099.8399999999999</v>
      </c>
      <c r="H34" s="19" cm="1">
        <f t="array" aca="1" ref="H34" ca="1">_FV(RTData[[#This Row],[Company Name]],"Price")</f>
        <v>1100.4100000000001</v>
      </c>
      <c r="I34" s="19" cm="1">
        <f t="array" aca="1" ref="I34" ca="1">_FV(RTData[[#This Row],[Company Name]],"Low")</f>
        <v>1096</v>
      </c>
      <c r="J34" s="19" cm="1">
        <f t="array" aca="1" ref="J34" ca="1">_FV(RTData[[#This Row],[Company Name]],"High")</f>
        <v>1108.55</v>
      </c>
      <c r="K34" s="20" cm="1">
        <f t="array" aca="1" ref="K34" ca="1">IFERROR(_FV(RTData[[#This Row],[Company Name]],"P/E",TRUE),99)</f>
        <v>45.9696</v>
      </c>
      <c r="L34" s="21" cm="1">
        <f t="array" aca="1" ref="L34" ca="1">_FV(RTData[[#This Row],[Company Name]],"Change")</f>
        <v>-2.09</v>
      </c>
      <c r="M34" s="22" cm="1">
        <f t="array" aca="1" ref="M34" ca="1">_FV(RTData[[#This Row],[Company Name]],"Change (%)",TRUE)</f>
        <v>-1.8959999999999999E-3</v>
      </c>
      <c r="N34" s="19" cm="1">
        <f t="array" aca="1" ref="N34" ca="1">_FV(RTData[[#This Row],[Company Name]],"52 week low",TRUE)</f>
        <v>747.77</v>
      </c>
      <c r="O34" s="19" cm="1">
        <f t="array" aca="1" ref="O34" ca="1">_FV(RTData[[#This Row],[Company Name]],"52 week high",TRUE)</f>
        <v>1341.15</v>
      </c>
      <c r="P34" s="23" cm="1">
        <f t="array" aca="1" ref="P34" ca="1">_FV(RTData[[#This Row],[Company Name]],"Volume")</f>
        <v>3397049</v>
      </c>
      <c r="Q34" s="23" cm="1">
        <f t="array" aca="1" ref="Q34" ca="1">_FV(RTData[[#This Row],[Company Name]],"Volume average",TRUE)</f>
        <v>4050268</v>
      </c>
      <c r="R34" s="19" cm="1">
        <f t="array" aca="1" ref="R34" ca="1">_FV(RTData[[#This Row],[Company Name]],"Beta")</f>
        <v>1.5724</v>
      </c>
      <c r="T34" t="s">
        <v>20</v>
      </c>
      <c r="U34" t="str" cm="1">
        <f t="array" aca="1" ref="U34" ca="1">_FV(RTData[[#This Row],[Company Name]],"Exchange abbreviation",TRUE)</f>
        <v>XNAS</v>
      </c>
      <c r="V34" s="24">
        <f ca="1">IFERROR(RTData[[#This Row],[Volume]]/RTData[[#This Row],[Volume average]],1)</f>
        <v>0.83872203024589975</v>
      </c>
      <c r="W34" s="24"/>
      <c r="X34" s="108">
        <f ca="1">_xlfn.XLOOKUP(RTData[[#This Row],[Ticker symbol]],[2]Sheet2!$B$2:$B$95,[2]Sheet2!$E$2:$E$95)</f>
        <v>1358.6105</v>
      </c>
      <c r="Y34" s="101">
        <f>_xlfn.LET(_xlpm.date,[2]Sheet2!F31,IF(_xlpm.date=0,"",_xlpm.date))</f>
        <v>45904</v>
      </c>
      <c r="Z34" s="101" t="str">
        <f>_xlfn.LET(_xlpm.date,[2]Sheet2!G31,IF(_xlpm.date=0,"",_xlpm.date))</f>
        <v>Oct 23, 2025</v>
      </c>
      <c r="AA34" s="102">
        <f>[2]Sheet2!$H31</f>
        <v>1.17E-2</v>
      </c>
      <c r="AB34" s="103">
        <v>1E-4</v>
      </c>
      <c r="AC34" s="104">
        <v>3.0000000000000001E-3</v>
      </c>
      <c r="AD34" s="90">
        <v>59.51</v>
      </c>
      <c r="AE34" s="105">
        <f ca="1">_xlfn.LET(_xlpm.New1YT,RTData[[#This Row],[1YT]],        _xlpm.Old1YT,IF(ISNUMBER(RTData[[#This Row],[Old1YT]]),RTData[[#This Row],[Old1YT]],VALUE(LEFT(RTData[[#This Row],[Old1YT]],FIND("/",RTData[[#This Row],[Old1YT]],1)-1))),       IF(OR(RTData[[#This Row],[1YT]]=0,_xlpm.Old1YT=0),0,(_xlpm.New1YT-_xlpm.Old1YT)/_xlpm.Old1YT))</f>
        <v>21.829952949084188</v>
      </c>
      <c r="AF34" s="105" t="str">
        <f ca="1">TEXT(RTData[[#This Row],[1YT]],"#,#0.00")&amp;" &lt; "&amp;RTData[[#This Row],[Old1YT]]</f>
        <v>1,358.61 &lt; 59.51</v>
      </c>
    </row>
    <row r="35" spans="1:33" x14ac:dyDescent="0.3">
      <c r="A35" s="15" t="str" cm="1">
        <f t="array" aca="1" ref="A35" ca="1">_xlfn.SINGLE(RTData[suffix])&amp;_FV(RTData[[#This Row],[Company Name]],"Ticker symbol",TRUE)</f>
        <v>NOTE</v>
      </c>
      <c r="B35" s="15">
        <f ca="1">D99</f>
        <v>0.86192035855886928</v>
      </c>
      <c r="C35" t="e" vm="34">
        <v>#VALUE!</v>
      </c>
      <c r="D35" s="17" t="str" cm="1">
        <f t="array" aca="1" ref="D35" ca="1">_FV(RTData[[#This Row],[Company Name]],"Currency")</f>
        <v>USD</v>
      </c>
      <c r="E35" s="18" cm="1">
        <f t="array" aca="1" ref="E35" ca="1">_FV(RTData[[#This Row],[Company Name]],"Last trade time",TRUE)</f>
        <v>45959.958333356248</v>
      </c>
      <c r="F35" s="19" cm="1">
        <f t="array" aca="1" ref="F35" ca="1">_FV(RTData[[#This Row],[Company Name]],"Previous close",TRUE)</f>
        <v>4.1500000000000004</v>
      </c>
      <c r="G35" s="19" cm="1">
        <f t="array" aca="1" ref="G35" ca="1">_FV(RTData[[#This Row],[Company Name]],"Open")</f>
        <v>4.1399999999999997</v>
      </c>
      <c r="H35" s="19" cm="1">
        <f t="array" aca="1" ref="H35" ca="1">_FV(RTData[[#This Row],[Company Name]],"Price")</f>
        <v>4</v>
      </c>
      <c r="I35" s="19" cm="1">
        <f t="array" aca="1" ref="I35" ca="1">_FV(RTData[[#This Row],[Company Name]],"Low")</f>
        <v>3.98</v>
      </c>
      <c r="J35" s="19" cm="1">
        <f t="array" aca="1" ref="J35" ca="1">_FV(RTData[[#This Row],[Company Name]],"High")</f>
        <v>4.24</v>
      </c>
      <c r="K35" s="20" cm="1">
        <f t="array" ref="K35">IFERROR(_FV(RTData[[#This Row],[Company Name]],"P/E",TRUE),99)</f>
        <v>99</v>
      </c>
      <c r="L35" s="21" cm="1">
        <f t="array" aca="1" ref="L35" ca="1">_FV(RTData[[#This Row],[Company Name]],"Change")</f>
        <v>-0.15</v>
      </c>
      <c r="M35" s="22" cm="1">
        <f t="array" aca="1" ref="M35" ca="1">_FV(RTData[[#This Row],[Company Name]],"Change (%)",TRUE)</f>
        <v>-3.6145000000000004E-2</v>
      </c>
      <c r="N35" s="19" cm="1">
        <f t="array" aca="1" ref="N35" ca="1">_FV(RTData[[#This Row],[Company Name]],"52 week low",TRUE)</f>
        <v>3.8</v>
      </c>
      <c r="O35" s="19" cm="1">
        <f t="array" aca="1" ref="O35" ca="1">_FV(RTData[[#This Row],[Company Name]],"52 week high",TRUE)</f>
        <v>24.36</v>
      </c>
      <c r="P35" s="23" cm="1">
        <f t="array" aca="1" ref="P35" ca="1">_FV(RTData[[#This Row],[Company Name]],"Volume")</f>
        <v>226293</v>
      </c>
      <c r="Q35" s="23" cm="1">
        <f t="array" aca="1" ref="Q35" ca="1">_FV(RTData[[#This Row],[Company Name]],"Volume average",TRUE)</f>
        <v>241560</v>
      </c>
      <c r="R35" s="19" cm="1">
        <f t="array" aca="1" ref="R35" ca="1">_FV(RTData[[#This Row],[Company Name]],"Beta")</f>
        <v>0.53900000000000003</v>
      </c>
      <c r="T35" t="s">
        <v>20</v>
      </c>
      <c r="U35" t="str" cm="1">
        <f t="array" aca="1" ref="U35" ca="1">_FV(RTData[[#This Row],[Company Name]],"Exchange abbreviation",TRUE)</f>
        <v>XNYS</v>
      </c>
      <c r="V35" s="24">
        <f ca="1">IFERROR(RTData[[#This Row],[Volume]]/RTData[[#This Row],[Volume average]],1)</f>
        <v>0.93679831097863886</v>
      </c>
      <c r="W35" s="24"/>
      <c r="X35" s="108">
        <f ca="1">_xlfn.XLOOKUP(RTData[[#This Row],[Ticker symbol]],[2]Sheet2!$B$2:$B$95,[2]Sheet2!$E$2:$E$95)</f>
        <v>31.501080000000002</v>
      </c>
      <c r="Y35" s="101" t="str">
        <f>_xlfn.LET(_xlpm.date,[2]Sheet2!F32,IF(_xlpm.date=0,"",_xlpm.date))</f>
        <v/>
      </c>
      <c r="Z35" s="101" t="str">
        <f>_xlfn.LET(_xlpm.date,[2]Sheet2!G32,IF(_xlpm.date=0,"",_xlpm.date))</f>
        <v>Oct 21, 2025</v>
      </c>
      <c r="AA35" s="102">
        <f>[2]Sheet2!$H32</f>
        <v>0</v>
      </c>
      <c r="AB35" s="103">
        <v>1E-4</v>
      </c>
      <c r="AC35" s="104">
        <v>3.0000000000000001E-3</v>
      </c>
      <c r="AD35" s="90">
        <v>764.34</v>
      </c>
      <c r="AE35" s="105">
        <f ca="1">_xlfn.LET(_xlpm.New1YT,RTData[[#This Row],[1YT]],        _xlpm.Old1YT,IF(ISNUMBER(RTData[[#This Row],[Old1YT]]),RTData[[#This Row],[Old1YT]],VALUE(LEFT(RTData[[#This Row],[Old1YT]],FIND("/",RTData[[#This Row],[Old1YT]],1)-1))),       IF(OR(RTData[[#This Row],[1YT]]=0,_xlpm.Old1YT=0),0,(_xlpm.New1YT-_xlpm.Old1YT)/_xlpm.Old1YT))</f>
        <v>-0.95878656095454906</v>
      </c>
      <c r="AF35" s="105" t="str">
        <f ca="1">TEXT(RTData[[#This Row],[1YT]],"#,#0.00")&amp;" &lt; "&amp;RTData[[#This Row],[Old1YT]]</f>
        <v>31.50 &lt; 764.34</v>
      </c>
    </row>
    <row r="36" spans="1:33" x14ac:dyDescent="0.3">
      <c r="A36" s="40" t="str" cm="1">
        <f t="array" aca="1" ref="A36" ca="1">_xlfn.SINGLE(RTData[suffix])&amp;_FV(RTData[[#This Row],[Company Name]],"Ticker symbol",TRUE)</f>
        <v>PAAS</v>
      </c>
      <c r="B36" s="40">
        <f ca="1">D99</f>
        <v>0.86192035855886928</v>
      </c>
      <c r="C36" t="e" vm="35">
        <v>#VALUE!</v>
      </c>
      <c r="D36" s="17" t="str" cm="1">
        <f t="array" aca="1" ref="D36" ca="1">_FV(RTData[[#This Row],[Company Name]],"Currency")</f>
        <v>USD</v>
      </c>
      <c r="E36" s="18" cm="1">
        <f t="array" aca="1" ref="E36" ca="1">_FV(RTData[[#This Row],[Company Name]],"Last trade time",TRUE)</f>
        <v>45959.983089930465</v>
      </c>
      <c r="F36" s="19" cm="1">
        <f t="array" aca="1" ref="F36" ca="1">_FV(RTData[[#This Row],[Company Name]],"Previous close",TRUE)</f>
        <v>35.24</v>
      </c>
      <c r="G36" s="19" cm="1">
        <f t="array" aca="1" ref="G36" ca="1">_FV(RTData[[#This Row],[Company Name]],"Open")</f>
        <v>36.24</v>
      </c>
      <c r="H36" s="19" cm="1">
        <f t="array" aca="1" ref="H36" ca="1">_FV(RTData[[#This Row],[Company Name]],"Price")</f>
        <v>35.090000000000003</v>
      </c>
      <c r="I36" s="19" cm="1">
        <f t="array" aca="1" ref="I36" ca="1">_FV(RTData[[#This Row],[Company Name]],"Low")</f>
        <v>34.880000000000003</v>
      </c>
      <c r="J36" s="19" cm="1">
        <f t="array" aca="1" ref="J36" ca="1">_FV(RTData[[#This Row],[Company Name]],"High")</f>
        <v>36.24</v>
      </c>
      <c r="K36" s="20" cm="1">
        <f t="array" aca="1" ref="K36" ca="1">IFERROR(_FV(RTData[[#This Row],[Company Name]],"P/E",TRUE),99)</f>
        <v>24.363</v>
      </c>
      <c r="L36" s="21" cm="1">
        <f t="array" aca="1" ref="L36" ca="1">_FV(RTData[[#This Row],[Company Name]],"Change")</f>
        <v>-0.15</v>
      </c>
      <c r="M36" s="22" cm="1">
        <f t="array" aca="1" ref="M36" ca="1">_FV(RTData[[#This Row],[Company Name]],"Change (%)",TRUE)</f>
        <v>-4.2570000000000004E-3</v>
      </c>
      <c r="N36" s="19" cm="1">
        <f t="array" aca="1" ref="N36" ca="1">_FV(RTData[[#This Row],[Company Name]],"52 week low",TRUE)</f>
        <v>19.8017</v>
      </c>
      <c r="O36" s="19" cm="1">
        <f t="array" aca="1" ref="O36" ca="1">_FV(RTData[[#This Row],[Company Name]],"52 week high",TRUE)</f>
        <v>42.57</v>
      </c>
      <c r="P36" s="23" cm="1">
        <f t="array" aca="1" ref="P36" ca="1">_FV(RTData[[#This Row],[Company Name]],"Volume")</f>
        <v>5232477</v>
      </c>
      <c r="Q36" s="23" cm="1">
        <f t="array" aca="1" ref="Q36" ca="1">_FV(RTData[[#This Row],[Company Name]],"Volume average",TRUE)</f>
        <v>6552995</v>
      </c>
      <c r="R36" s="19" cm="1">
        <f t="array" aca="1" ref="R36" ca="1">_FV(RTData[[#This Row],[Company Name]],"Beta")</f>
        <v>0.9052</v>
      </c>
      <c r="T36" t="s">
        <v>20</v>
      </c>
      <c r="U36" t="str" cm="1">
        <f t="array" aca="1" ref="U36" ca="1">_FV(RTData[[#This Row],[Company Name]],"Exchange abbreviation",TRUE)</f>
        <v>XNYS</v>
      </c>
      <c r="V36" s="24">
        <f ca="1">IFERROR(RTData[[#This Row],[Volume]]/RTData[[#This Row],[Volume average]],1)</f>
        <v>0.79848634097843807</v>
      </c>
      <c r="W36" s="24"/>
      <c r="X36" s="108">
        <f ca="1">_xlfn.XLOOKUP(RTData[[#This Row],[Ticker symbol]],[2]Sheet2!$B$2:$B$95,[2]Sheet2!$E$2:$E$95)</f>
        <v>44.5</v>
      </c>
      <c r="Y36" s="101" t="str">
        <f>_xlfn.LET(_xlpm.date,[2]Sheet2!F33,IF(_xlpm.date=0,"",_xlpm.date))</f>
        <v/>
      </c>
      <c r="Z36" s="101" t="str">
        <f>_xlfn.LET(_xlpm.date,[2]Sheet2!G33,IF(_xlpm.date=0,"",_xlpm.date))</f>
        <v/>
      </c>
      <c r="AA36" s="102">
        <f>[2]Sheet2!$H33</f>
        <v>0</v>
      </c>
      <c r="AB36" s="103">
        <v>1E-4</v>
      </c>
      <c r="AC36" s="104">
        <v>3.0000000000000001E-3</v>
      </c>
      <c r="AD36" s="90">
        <v>31.5</v>
      </c>
      <c r="AE36" s="105">
        <f ca="1">_xlfn.LET(_xlpm.New1YT,RTData[[#This Row],[1YT]],        _xlpm.Old1YT,IF(ISNUMBER(RTData[[#This Row],[Old1YT]]),RTData[[#This Row],[Old1YT]],VALUE(LEFT(RTData[[#This Row],[Old1YT]],FIND("/",RTData[[#This Row],[Old1YT]],1)-1))),       IF(OR(RTData[[#This Row],[1YT]]=0,_xlpm.Old1YT=0),0,(_xlpm.New1YT-_xlpm.Old1YT)/_xlpm.Old1YT))</f>
        <v>0.41269841269841268</v>
      </c>
      <c r="AF36" s="105" t="str">
        <f ca="1">TEXT(RTData[[#This Row],[1YT]],"#,#0.00")&amp;" &lt; "&amp;RTData[[#This Row],[Old1YT]]</f>
        <v>44.50 &lt; 31.5</v>
      </c>
    </row>
    <row r="37" spans="1:33" x14ac:dyDescent="0.3">
      <c r="A37" s="15" t="str" cm="1">
        <f t="array" aca="1" ref="A37" ca="1">_xlfn.SINGLE(RTData[suffix])&amp;_FV(RTData[[#This Row],[Company Name]],"Ticker symbol",TRUE)</f>
        <v>PROF</v>
      </c>
      <c r="B37" s="15">
        <f ca="1">D99</f>
        <v>0.86192035855886928</v>
      </c>
      <c r="C37" t="e" vm="36">
        <v>#VALUE!</v>
      </c>
      <c r="D37" s="17" t="str" cm="1">
        <f t="array" aca="1" ref="D37" ca="1">_FV(RTData[[#This Row],[Company Name]],"Currency")</f>
        <v>USD</v>
      </c>
      <c r="E37" s="18" cm="1">
        <f t="array" aca="1" ref="E37" ca="1">_FV(RTData[[#This Row],[Company Name]],"Last trade time",TRUE)</f>
        <v>45959.836233911716</v>
      </c>
      <c r="F37" s="19" cm="1">
        <f t="array" aca="1" ref="F37" ca="1">_FV(RTData[[#This Row],[Company Name]],"Previous close",TRUE)</f>
        <v>6.2</v>
      </c>
      <c r="G37" s="19" cm="1">
        <f t="array" aca="1" ref="G37" ca="1">_FV(RTData[[#This Row],[Company Name]],"Open")</f>
        <v>6.18</v>
      </c>
      <c r="H37" s="19" cm="1">
        <f t="array" aca="1" ref="H37" ca="1">_FV(RTData[[#This Row],[Company Name]],"Price")</f>
        <v>6.13</v>
      </c>
      <c r="I37" s="19" cm="1">
        <f t="array" aca="1" ref="I37" ca="1">_FV(RTData[[#This Row],[Company Name]],"Low")</f>
        <v>5.77</v>
      </c>
      <c r="J37" s="19" cm="1">
        <f t="array" aca="1" ref="J37" ca="1">_FV(RTData[[#This Row],[Company Name]],"High")</f>
        <v>6.2788000000000004</v>
      </c>
      <c r="K37" s="20" cm="1">
        <f t="array" aca="1" ref="K37" ca="1">IFERROR(_FV(RTData[[#This Row],[Company Name]],"P/E",TRUE),99)</f>
        <v>0</v>
      </c>
      <c r="L37" s="21" cm="1">
        <f t="array" aca="1" ref="L37" ca="1">_FV(RTData[[#This Row],[Company Name]],"Change")</f>
        <v>-7.0000000000000007E-2</v>
      </c>
      <c r="M37" s="22" cm="1">
        <f t="array" aca="1" ref="M37" ca="1">_FV(RTData[[#This Row],[Company Name]],"Change (%)",TRUE)</f>
        <v>-1.129E-2</v>
      </c>
      <c r="N37" s="19" cm="1">
        <f t="array" aca="1" ref="N37" ca="1">_FV(RTData[[#This Row],[Company Name]],"52 week low",TRUE)</f>
        <v>3.76</v>
      </c>
      <c r="O37" s="19" cm="1">
        <f t="array" aca="1" ref="O37" ca="1">_FV(RTData[[#This Row],[Company Name]],"52 week high",TRUE)</f>
        <v>9.17</v>
      </c>
      <c r="P37" s="23" cm="1">
        <f t="array" aca="1" ref="P37" ca="1">_FV(RTData[[#This Row],[Company Name]],"Volume")</f>
        <v>55905</v>
      </c>
      <c r="Q37" s="23" cm="1">
        <f t="array" aca="1" ref="Q37" ca="1">_FV(RTData[[#This Row],[Company Name]],"Volume average",TRUE)</f>
        <v>76386</v>
      </c>
      <c r="R37" s="19" cm="1">
        <f t="array" aca="1" ref="R37" ca="1">_FV(RTData[[#This Row],[Company Name]],"Beta")</f>
        <v>0.3397</v>
      </c>
      <c r="T37" t="s">
        <v>20</v>
      </c>
      <c r="U37" t="str" cm="1">
        <f t="array" aca="1" ref="U37" ca="1">_FV(RTData[[#This Row],[Company Name]],"Exchange abbreviation",TRUE)</f>
        <v>XNAS</v>
      </c>
      <c r="V37" s="24">
        <f ca="1">IFERROR(RTData[[#This Row],[Volume]]/RTData[[#This Row],[Volume average]],1)</f>
        <v>0.73187495090723431</v>
      </c>
      <c r="W37" s="24"/>
      <c r="X37" s="108">
        <f ca="1">_xlfn.XLOOKUP(RTData[[#This Row],[Ticker symbol]],[2]Sheet2!$B$2:$B$95,[2]Sheet2!$E$2:$E$95)</f>
        <v>12.1</v>
      </c>
      <c r="Y37" s="101">
        <f>_xlfn.LET(_xlpm.date,[2]Sheet2!F34,IF(_xlpm.date=0,"",_xlpm.date))</f>
        <v>45887</v>
      </c>
      <c r="Z37" s="101" t="str">
        <f>_xlfn.LET(_xlpm.date,[2]Sheet2!G34,IF(_xlpm.date=0,"",_xlpm.date))</f>
        <v>Nov 12, 2025</v>
      </c>
      <c r="AA37" s="102">
        <f>[2]Sheet2!$H34</f>
        <v>1.2500000000000001E-2</v>
      </c>
      <c r="AB37" s="103">
        <v>1E-4</v>
      </c>
      <c r="AC37" s="104">
        <v>3.0000000000000001E-3</v>
      </c>
      <c r="AD37" s="90">
        <v>36.49</v>
      </c>
      <c r="AE37" s="105">
        <f ca="1">_xlfn.LET(_xlpm.New1YT,RTData[[#This Row],[1YT]],        _xlpm.Old1YT,IF(ISNUMBER(RTData[[#This Row],[Old1YT]]),RTData[[#This Row],[Old1YT]],VALUE(LEFT(RTData[[#This Row],[Old1YT]],FIND("/",RTData[[#This Row],[Old1YT]],1)-1))),       IF(OR(RTData[[#This Row],[1YT]]=0,_xlpm.Old1YT=0),0,(_xlpm.New1YT-_xlpm.Old1YT)/_xlpm.Old1YT))</f>
        <v>-0.66840230200054807</v>
      </c>
      <c r="AF37" s="105" t="str">
        <f ca="1">TEXT(RTData[[#This Row],[1YT]],"#,#0.00")&amp;" &lt; "&amp;RTData[[#This Row],[Old1YT]]</f>
        <v>12.10 &lt; 36.49</v>
      </c>
    </row>
    <row r="38" spans="1:33" x14ac:dyDescent="0.3">
      <c r="A38" s="15" t="str" cm="1">
        <f t="array" aca="1" ref="A38" ca="1">_xlfn.SINGLE(RTData[suffix])&amp;_FV(RTData[[#This Row],[Company Name]],"Ticker symbol",TRUE)</f>
        <v>POET</v>
      </c>
      <c r="B38" s="15">
        <f ca="1">D99</f>
        <v>0.86192035855886928</v>
      </c>
      <c r="C38" t="e" vm="37">
        <v>#VALUE!</v>
      </c>
      <c r="D38" s="17" t="str" cm="1">
        <f t="array" aca="1" ref="D38" ca="1">_FV(RTData[[#This Row],[Company Name]],"Currency")</f>
        <v>USD</v>
      </c>
      <c r="E38" s="18" cm="1">
        <f t="array" aca="1" ref="E38" ca="1">_FV(RTData[[#This Row],[Company Name]],"Last trade time",TRUE)</f>
        <v>45959.983808818753</v>
      </c>
      <c r="F38" s="19" cm="1">
        <f t="array" aca="1" ref="F38" ca="1">_FV(RTData[[#This Row],[Company Name]],"Previous close",TRUE)</f>
        <v>7.07</v>
      </c>
      <c r="G38" s="19" cm="1">
        <f t="array" aca="1" ref="G38" ca="1">_FV(RTData[[#This Row],[Company Name]],"Open")</f>
        <v>7.12</v>
      </c>
      <c r="H38" s="19" cm="1">
        <f t="array" aca="1" ref="H38" ca="1">_FV(RTData[[#This Row],[Company Name]],"Price")</f>
        <v>6.63</v>
      </c>
      <c r="I38" s="19" cm="1">
        <f t="array" aca="1" ref="I38" ca="1">_FV(RTData[[#This Row],[Company Name]],"Low")</f>
        <v>6.5</v>
      </c>
      <c r="J38" s="19" cm="1">
        <f t="array" aca="1" ref="J38" ca="1">_FV(RTData[[#This Row],[Company Name]],"High")</f>
        <v>7.12</v>
      </c>
      <c r="K38" s="20" cm="1">
        <f t="array" aca="1" ref="K38" ca="1">IFERROR(_FV(RTData[[#This Row],[Company Name]],"P/E",TRUE),99)</f>
        <v>0</v>
      </c>
      <c r="L38" s="21" cm="1">
        <f t="array" aca="1" ref="L38" ca="1">_FV(RTData[[#This Row],[Company Name]],"Change")</f>
        <v>-0.44</v>
      </c>
      <c r="M38" s="22" cm="1">
        <f t="array" aca="1" ref="M38" ca="1">_FV(RTData[[#This Row],[Company Name]],"Change (%)",TRUE)</f>
        <v>-6.2234999999999999E-2</v>
      </c>
      <c r="N38" s="19" cm="1">
        <f t="array" aca="1" ref="N38" ca="1">_FV(RTData[[#This Row],[Company Name]],"52 week low",TRUE)</f>
        <v>3.09</v>
      </c>
      <c r="O38" s="19" cm="1">
        <f t="array" aca="1" ref="O38" ca="1">_FV(RTData[[#This Row],[Company Name]],"52 week high",TRUE)</f>
        <v>9.41</v>
      </c>
      <c r="P38" s="23" cm="1">
        <f t="array" aca="1" ref="P38" ca="1">_FV(RTData[[#This Row],[Company Name]],"Volume")</f>
        <v>17376250</v>
      </c>
      <c r="Q38" s="23" cm="1">
        <f t="array" aca="1" ref="Q38" ca="1">_FV(RTData[[#This Row],[Company Name]],"Volume average",TRUE)</f>
        <v>16183720</v>
      </c>
      <c r="R38" s="19" cm="1">
        <f t="array" aca="1" ref="R38" ca="1">_FV(RTData[[#This Row],[Company Name]],"Beta")</f>
        <v>0.40920000000000001</v>
      </c>
      <c r="T38" t="s">
        <v>20</v>
      </c>
      <c r="U38" t="str" cm="1">
        <f t="array" aca="1" ref="U38" ca="1">_FV(RTData[[#This Row],[Company Name]],"Exchange abbreviation",TRUE)</f>
        <v>XNAS</v>
      </c>
      <c r="V38" s="24">
        <f ca="1">IFERROR(RTData[[#This Row],[Volume]]/RTData[[#This Row],[Volume average]],1)</f>
        <v>1.0736870138633146</v>
      </c>
      <c r="W38" s="24"/>
      <c r="X38" s="108">
        <f ca="1">_xlfn.XLOOKUP(RTData[[#This Row],[Ticker symbol]],[2]Sheet2!$B$2:$B$95,[2]Sheet2!$E$2:$E$95)</f>
        <v>6.6333299999999999</v>
      </c>
      <c r="Y38" s="101" t="str">
        <f>_xlfn.LET(_xlpm.date,[2]Sheet2!F35,IF(_xlpm.date=0,"",_xlpm.date))</f>
        <v/>
      </c>
      <c r="Z38" s="101" t="str">
        <f>_xlfn.LET(_xlpm.date,[2]Sheet2!G35,IF(_xlpm.date=0,"",_xlpm.date))</f>
        <v/>
      </c>
      <c r="AA38" s="102">
        <f>[2]Sheet2!$H35</f>
        <v>0</v>
      </c>
      <c r="AB38" s="103">
        <v>1E-4</v>
      </c>
      <c r="AC38" s="104">
        <v>3.0000000000000001E-3</v>
      </c>
      <c r="AD38" s="90">
        <v>15.17</v>
      </c>
      <c r="AE38" s="105">
        <f ca="1">_xlfn.LET(_xlpm.New1YT,RTData[[#This Row],[1YT]],        _xlpm.Old1YT,IF(ISNUMBER(RTData[[#This Row],[Old1YT]]),RTData[[#This Row],[Old1YT]],VALUE(LEFT(RTData[[#This Row],[Old1YT]],FIND("/",RTData[[#This Row],[Old1YT]],1)-1))),       IF(OR(RTData[[#This Row],[1YT]]=0,_xlpm.Old1YT=0),0,(_xlpm.New1YT-_xlpm.Old1YT)/_xlpm.Old1YT))</f>
        <v>-0.56273368490441666</v>
      </c>
      <c r="AF38" s="105" t="str">
        <f ca="1">TEXT(RTData[[#This Row],[1YT]],"#,#0.00")&amp;" &lt; "&amp;RTData[[#This Row],[Old1YT]]</f>
        <v>6.63 &lt; 15.17</v>
      </c>
    </row>
    <row r="39" spans="1:33" x14ac:dyDescent="0.3">
      <c r="A39" s="15" t="str" cm="1">
        <f t="array" aca="1" ref="A39" ca="1">_xlfn.SINGLE(RTData[suffix])&amp;_FV(RTData[[#This Row],[Company Name]],"Ticker symbol",TRUE)</f>
        <v>PW</v>
      </c>
      <c r="B39" s="15">
        <f ca="1">D103</f>
        <v>0.61816158743895655</v>
      </c>
      <c r="C39" t="e" vm="38">
        <v>#VALUE!</v>
      </c>
      <c r="D39" s="17" t="str" cm="1">
        <f t="array" aca="1" ref="D39" ca="1">_FV(RTData[[#This Row],[Company Name]],"Currency")</f>
        <v>USD</v>
      </c>
      <c r="E39" s="18" cm="1">
        <f t="array" aca="1" ref="E39" ca="1">_FV(RTData[[#This Row],[Company Name]],"Last trade time",TRUE)</f>
        <v>45959.937500010936</v>
      </c>
      <c r="F39" s="36" cm="1">
        <f t="array" aca="1" ref="F39" ca="1">_FV(RTData[[#This Row],[Company Name]],"Previous close",TRUE)</f>
        <v>0.76070000000000004</v>
      </c>
      <c r="G39" s="36" cm="1">
        <f t="array" aca="1" ref="G39" ca="1">_FV(RTData[[#This Row],[Company Name]],"Open")</f>
        <v>0.78</v>
      </c>
      <c r="H39" s="36" cm="1">
        <f t="array" aca="1" ref="H39" ca="1">_FV(RTData[[#This Row],[Company Name]],"Price")</f>
        <v>0.69</v>
      </c>
      <c r="I39" s="36" cm="1">
        <f t="array" aca="1" ref="I39" ca="1">_FV(RTData[[#This Row],[Company Name]],"Low")</f>
        <v>0.62429999999999997</v>
      </c>
      <c r="J39" s="36" cm="1">
        <f t="array" aca="1" ref="J39" ca="1">_FV(RTData[[#This Row],[Company Name]],"High")</f>
        <v>0.78</v>
      </c>
      <c r="K39" s="20" cm="1">
        <f t="array" ref="K39">IFERROR(_FV(RTData[[#This Row],[Company Name]],"P/E",TRUE),99)</f>
        <v>99</v>
      </c>
      <c r="L39" s="21" cm="1">
        <f t="array" aca="1" ref="L39" ca="1">_FV(RTData[[#This Row],[Company Name]],"Change")</f>
        <v>-7.0699999999999999E-2</v>
      </c>
      <c r="M39" s="22" cm="1">
        <f t="array" aca="1" ref="M39" ca="1">_FV(RTData[[#This Row],[Company Name]],"Change (%)",TRUE)</f>
        <v>-9.2940999999999996E-2</v>
      </c>
      <c r="N39" s="36" cm="1">
        <f t="array" aca="1" ref="N39" ca="1">_FV(RTData[[#This Row],[Company Name]],"52 week low",TRUE)</f>
        <v>0.62429999999999997</v>
      </c>
      <c r="O39" s="36" cm="1">
        <f t="array" aca="1" ref="O39" ca="1">_FV(RTData[[#This Row],[Company Name]],"52 week high",TRUE)</f>
        <v>2.59</v>
      </c>
      <c r="P39" s="23" cm="1">
        <f t="array" aca="1" ref="P39" ca="1">_FV(RTData[[#This Row],[Company Name]],"Volume")</f>
        <v>137138</v>
      </c>
      <c r="Q39" s="23" cm="1">
        <f t="array" aca="1" ref="Q39" ca="1">_FV(RTData[[#This Row],[Company Name]],"Volume average",TRUE)</f>
        <v>77329</v>
      </c>
      <c r="R39" s="19" cm="1">
        <f t="array" aca="1" ref="R39" ca="1">_FV(RTData[[#This Row],[Company Name]],"Beta")</f>
        <v>1.5583</v>
      </c>
      <c r="T39" t="s">
        <v>20</v>
      </c>
      <c r="U39" t="str" cm="1">
        <f t="array" aca="1" ref="U39" ca="1">_FV(RTData[[#This Row],[Company Name]],"Exchange abbreviation",TRUE)</f>
        <v>XNYS</v>
      </c>
      <c r="V39" s="24">
        <f ca="1">IFERROR(RTData[[#This Row],[Volume]]/RTData[[#This Row],[Volume average]],1)</f>
        <v>1.7734355804420074</v>
      </c>
      <c r="W39" s="24"/>
      <c r="X39" s="108">
        <f ca="1">_xlfn.XLOOKUP(RTData[[#This Row],[Ticker symbol]],[2]Sheet2!$B$2:$B$95,[2]Sheet2!$E$2:$E$95)</f>
        <v>0</v>
      </c>
      <c r="Y39" s="101" t="str">
        <f>_xlfn.LET(_xlpm.date,[2]Sheet2!F36,IF(_xlpm.date=0,"",_xlpm.date))</f>
        <v/>
      </c>
      <c r="Z39" s="101" t="str">
        <f>_xlfn.LET(_xlpm.date,[2]Sheet2!G36,IF(_xlpm.date=0,"",_xlpm.date))</f>
        <v>Nov 13, 2025</v>
      </c>
      <c r="AA39" s="102">
        <f>[2]Sheet2!$H36</f>
        <v>0</v>
      </c>
      <c r="AB39" s="103">
        <v>1E-4</v>
      </c>
      <c r="AC39" s="104">
        <v>3.0000000000000001E-3</v>
      </c>
      <c r="AD39" s="90">
        <v>4.3</v>
      </c>
      <c r="AE39" s="105">
        <f ca="1">_xlfn.LET(_xlpm.New1YT,RTData[[#This Row],[1YT]],        _xlpm.Old1YT,IF(ISNUMBER(RTData[[#This Row],[Old1YT]]),RTData[[#This Row],[Old1YT]],VALUE(LEFT(RTData[[#This Row],[Old1YT]],FIND("/",RTData[[#This Row],[Old1YT]],1)-1))),       IF(OR(RTData[[#This Row],[1YT]]=0,_xlpm.Old1YT=0),0,(_xlpm.New1YT-_xlpm.Old1YT)/_xlpm.Old1YT))</f>
        <v>0</v>
      </c>
      <c r="AF39" s="105" t="str">
        <f ca="1">TEXT(RTData[[#This Row],[1YT]],"#,#0.00")&amp;" &lt; "&amp;RTData[[#This Row],[Old1YT]]</f>
        <v>0.00 &lt; 4.3</v>
      </c>
    </row>
    <row r="40" spans="1:33" x14ac:dyDescent="0.3">
      <c r="A40" s="15" t="str" cm="1">
        <f t="array" aca="1" ref="A40" ca="1">_xlfn.SINGLE(RTData[suffix])&amp;_FV(RTData[[#This Row],[Company Name]],"Ticker symbol",TRUE)</f>
        <v>RIGL</v>
      </c>
      <c r="B40" s="15">
        <f ca="1">D99</f>
        <v>0.86192035855886928</v>
      </c>
      <c r="C40" t="e" vm="39">
        <v>#VALUE!</v>
      </c>
      <c r="D40" s="17" t="str" cm="1">
        <f t="array" aca="1" ref="D40" ca="1">_FV(RTData[[#This Row],[Company Name]],"Currency")</f>
        <v>USD</v>
      </c>
      <c r="E40" s="18" cm="1">
        <f t="array" aca="1" ref="E40" ca="1">_FV(RTData[[#This Row],[Company Name]],"Last trade time",TRUE)</f>
        <v>45959.953844478907</v>
      </c>
      <c r="F40" s="19" cm="1">
        <f t="array" aca="1" ref="F40" ca="1">_FV(RTData[[#This Row],[Company Name]],"Previous close",TRUE)</f>
        <v>29.69</v>
      </c>
      <c r="G40" s="19" cm="1">
        <f t="array" aca="1" ref="G40" ca="1">_FV(RTData[[#This Row],[Company Name]],"Open")</f>
        <v>29.7</v>
      </c>
      <c r="H40" s="19" cm="1">
        <f t="array" aca="1" ref="H40" ca="1">_FV(RTData[[#This Row],[Company Name]],"Price")</f>
        <v>29.4</v>
      </c>
      <c r="I40" s="19" cm="1">
        <f t="array" aca="1" ref="I40" ca="1">_FV(RTData[[#This Row],[Company Name]],"Low")</f>
        <v>29.164999999999999</v>
      </c>
      <c r="J40" s="19" cm="1">
        <f t="array" aca="1" ref="J40" ca="1">_FV(RTData[[#This Row],[Company Name]],"High")</f>
        <v>30.2</v>
      </c>
      <c r="K40" s="20" cm="1">
        <f t="array" aca="1" ref="K40" ca="1">IFERROR(_FV(RTData[[#This Row],[Company Name]],"P/E",TRUE),99)</f>
        <v>5.4828999999999999</v>
      </c>
      <c r="L40" s="21" cm="1">
        <f t="array" aca="1" ref="L40" ca="1">_FV(RTData[[#This Row],[Company Name]],"Change")</f>
        <v>-0.28999999999999998</v>
      </c>
      <c r="M40" s="22" cm="1">
        <f t="array" aca="1" ref="M40" ca="1">_FV(RTData[[#This Row],[Company Name]],"Change (%)",TRUE)</f>
        <v>-9.7680000000000006E-3</v>
      </c>
      <c r="N40" s="19" cm="1">
        <f t="array" aca="1" ref="N40" ca="1">_FV(RTData[[#This Row],[Company Name]],"52 week low",TRUE)</f>
        <v>13.570499999999999</v>
      </c>
      <c r="O40" s="19" cm="1">
        <f t="array" aca="1" ref="O40" ca="1">_FV(RTData[[#This Row],[Company Name]],"52 week high",TRUE)</f>
        <v>43.7181</v>
      </c>
      <c r="P40" s="23" cm="1">
        <f t="array" aca="1" ref="P40" ca="1">_FV(RTData[[#This Row],[Company Name]],"Volume")</f>
        <v>261647</v>
      </c>
      <c r="Q40" s="23" cm="1">
        <f t="array" aca="1" ref="Q40" ca="1">_FV(RTData[[#This Row],[Company Name]],"Volume average",TRUE)</f>
        <v>529461</v>
      </c>
      <c r="R40" s="19" cm="1">
        <f t="array" aca="1" ref="R40" ca="1">_FV(RTData[[#This Row],[Company Name]],"Beta")</f>
        <v>1.2118</v>
      </c>
      <c r="T40" t="s">
        <v>20</v>
      </c>
      <c r="U40" t="str" cm="1">
        <f t="array" aca="1" ref="U40" ca="1">_FV(RTData[[#This Row],[Company Name]],"Exchange abbreviation",TRUE)</f>
        <v>XNAS</v>
      </c>
      <c r="V40" s="24">
        <f ca="1">IFERROR(RTData[[#This Row],[Volume]]/RTData[[#This Row],[Volume average]],1)</f>
        <v>0.4941761527289073</v>
      </c>
      <c r="W40" s="24"/>
      <c r="X40" s="108">
        <f ca="1">_xlfn.XLOOKUP(RTData[[#This Row],[Ticker symbol]],[2]Sheet2!$B$2:$B$95,[2]Sheet2!$E$2:$E$95)</f>
        <v>38.333329999999997</v>
      </c>
      <c r="Y40" s="101">
        <f>_xlfn.LET(_xlpm.date,[2]Sheet2!F37,IF(_xlpm.date=0,"",_xlpm.date))</f>
        <v>41284</v>
      </c>
      <c r="Z40" s="101" t="str">
        <f>_xlfn.LET(_xlpm.date,[2]Sheet2!G37,IF(_xlpm.date=0,"",_xlpm.date))</f>
        <v/>
      </c>
      <c r="AA40" s="102">
        <f>[2]Sheet2!$H37</f>
        <v>0</v>
      </c>
      <c r="AB40" s="103">
        <v>1E-4</v>
      </c>
      <c r="AC40" s="104">
        <v>3.0000000000000001E-3</v>
      </c>
      <c r="AD40" s="90">
        <v>0.56000000000000005</v>
      </c>
      <c r="AE40" s="105">
        <f ca="1">_xlfn.LET(_xlpm.New1YT,RTData[[#This Row],[1YT]],        _xlpm.Old1YT,IF(ISNUMBER(RTData[[#This Row],[Old1YT]]),RTData[[#This Row],[Old1YT]],VALUE(LEFT(RTData[[#This Row],[Old1YT]],FIND("/",RTData[[#This Row],[Old1YT]],1)-1))),       IF(OR(RTData[[#This Row],[1YT]]=0,_xlpm.Old1YT=0),0,(_xlpm.New1YT-_xlpm.Old1YT)/_xlpm.Old1YT))</f>
        <v>67.452374999999989</v>
      </c>
      <c r="AF40" s="105" t="str">
        <f ca="1">TEXT(RTData[[#This Row],[1YT]],"#,#0.00")&amp;" &lt; "&amp;RTData[[#This Row],[Old1YT]]</f>
        <v>38.33 &lt; 0.56</v>
      </c>
    </row>
    <row r="41" spans="1:33" x14ac:dyDescent="0.3">
      <c r="A41" s="15" t="str" cm="1">
        <f t="array" aca="1" ref="A41" ca="1">_xlfn.SINGLE(RTData[suffix])&amp;_FV(RTData[[#This Row],[Company Name]],"Ticker symbol",TRUE)</f>
        <v>RWE</v>
      </c>
      <c r="B41" s="15">
        <f ca="1">D99</f>
        <v>0.86192035855886928</v>
      </c>
      <c r="C41" t="e" vm="40">
        <v>#VALUE!</v>
      </c>
      <c r="D41" s="17" t="str" cm="1">
        <f t="array" aca="1" ref="D41" ca="1">_FV(RTData[[#This Row],[Company Name]],"Currency")</f>
        <v>EUR</v>
      </c>
      <c r="E41" s="18" cm="1">
        <f t="array" aca="1" ref="E41" ca="1">_FV(RTData[[#This Row],[Company Name]],"Last trade time",TRUE)</f>
        <v>45959.878472222219</v>
      </c>
      <c r="F41" s="19" cm="1">
        <f t="array" aca="1" ref="F41" ca="1">_FV(RTData[[#This Row],[Company Name]],"Previous close",TRUE)</f>
        <v>41.1</v>
      </c>
      <c r="G41" s="19" cm="1">
        <f t="array" aca="1" ref="G41" ca="1">_FV(RTData[[#This Row],[Company Name]],"Open")</f>
        <v>41.02</v>
      </c>
      <c r="H41" s="19" cm="1">
        <f t="array" aca="1" ref="H41" ca="1">_FV(RTData[[#This Row],[Company Name]],"Price")</f>
        <v>42.3</v>
      </c>
      <c r="I41" s="19" cm="1">
        <f t="array" aca="1" ref="I41" ca="1">_FV(RTData[[#This Row],[Company Name]],"Low")</f>
        <v>41.02</v>
      </c>
      <c r="J41" s="19" cm="1">
        <f t="array" aca="1" ref="J41" ca="1">_FV(RTData[[#This Row],[Company Name]],"High")</f>
        <v>42.38</v>
      </c>
      <c r="K41" s="20" cm="1">
        <f t="array" aca="1" ref="K41" ca="1">IFERROR(_FV(RTData[[#This Row],[Company Name]],"P/E",TRUE),99)</f>
        <v>12.1203</v>
      </c>
      <c r="L41" s="21" cm="1">
        <f t="array" aca="1" ref="L41" ca="1">_FV(RTData[[#This Row],[Company Name]],"Change")</f>
        <v>1.2</v>
      </c>
      <c r="M41" s="22" cm="1">
        <f t="array" aca="1" ref="M41" ca="1">_FV(RTData[[#This Row],[Company Name]],"Change (%)",TRUE)</f>
        <v>2.9197000000000001E-2</v>
      </c>
      <c r="N41" s="19" cm="1">
        <f t="array" aca="1" ref="N41" ca="1">_FV(RTData[[#This Row],[Company Name]],"52 week low",TRUE)</f>
        <v>14.231</v>
      </c>
      <c r="O41" s="19" cm="1">
        <f t="array" aca="1" ref="O41" ca="1">_FV(RTData[[#This Row],[Company Name]],"52 week high",TRUE)</f>
        <v>44.03</v>
      </c>
      <c r="P41" s="23" cm="1">
        <f t="array" aca="1" ref="P41" ca="1">_FV(RTData[[#This Row],[Company Name]],"Volume")</f>
        <v>18717</v>
      </c>
      <c r="Q41" s="23" cm="1">
        <f t="array" aca="1" ref="Q41" ca="1">_FV(RTData[[#This Row],[Company Name]],"Volume average",TRUE)</f>
        <v>1687800</v>
      </c>
      <c r="R41" s="19" cm="1">
        <f t="array" aca="1" ref="R41" ca="1">_FV(RTData[[#This Row],[Company Name]],"Beta")</f>
        <v>0.51749999999999996</v>
      </c>
      <c r="T41" t="s">
        <v>20</v>
      </c>
      <c r="U41" t="str" cm="1">
        <f t="array" aca="1" ref="U41" ca="1">_FV(RTData[[#This Row],[Company Name]],"Exchange abbreviation",TRUE)</f>
        <v>XFRA</v>
      </c>
      <c r="V41" s="24">
        <f ca="1">IFERROR(RTData[[#This Row],[Volume]]/RTData[[#This Row],[Volume average]],1)</f>
        <v>1.1089584073942411E-2</v>
      </c>
      <c r="W41" s="24"/>
      <c r="X41" s="108">
        <f ca="1">_xlfn.XLOOKUP(RTData[[#This Row],[Ticker symbol]],[2]Sheet2!$B$2:$B$95,[2]Sheet2!$E$2:$E$95)</f>
        <v>43.982349999999997</v>
      </c>
      <c r="Y41" s="101" t="str">
        <f>_xlfn.LET(_xlpm.date,[2]Sheet2!F38,IF(_xlpm.date=0,"",_xlpm.date))</f>
        <v/>
      </c>
      <c r="Z41" s="101" t="str">
        <f>_xlfn.LET(_xlpm.date,[2]Sheet2!G38,IF(_xlpm.date=0,"",_xlpm.date))</f>
        <v>Nov 6, 2025</v>
      </c>
      <c r="AA41" s="102">
        <f>[2]Sheet2!$H38</f>
        <v>0</v>
      </c>
      <c r="AB41" s="103">
        <v>1E-4</v>
      </c>
      <c r="AC41" s="104">
        <v>3.0000000000000001E-3</v>
      </c>
      <c r="AD41" s="90" t="s">
        <v>65</v>
      </c>
      <c r="AE41" s="105">
        <f ca="1">_xlfn.LET(_xlpm.New1YT,RTData[[#This Row],[1YT]],        _xlpm.Old1YT,IF(ISNUMBER(RTData[[#This Row],[Old1YT]]),RTData[[#This Row],[Old1YT]],VALUE(LEFT(RTData[[#This Row],[Old1YT]],FIND("/",RTData[[#This Row],[Old1YT]],1)-1))),       IF(OR(RTData[[#This Row],[1YT]]=0,_xlpm.Old1YT=0),0,(_xlpm.New1YT-_xlpm.Old1YT)/_xlpm.Old1YT))</f>
        <v>0.30356698280972122</v>
      </c>
      <c r="AF41" s="105" t="str">
        <f ca="1">TEXT(RTData[[#This Row],[1YT]],"#,#0.00")&amp;" &lt; "&amp;RTData[[#This Row],[Old1YT]]</f>
        <v>43.98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45959.930289351854</v>
      </c>
      <c r="F42" s="28" cm="1">
        <f t="array" aca="1" ref="F42" ca="1">_FV(RTData[[#This Row],[Company Name]],"Previous close",TRUE)</f>
        <v>234.1</v>
      </c>
      <c r="G42" s="28" cm="1">
        <f t="array" aca="1" ref="G42" ca="1">_FV(RTData[[#This Row],[Company Name]],"Open")</f>
        <v>231.7</v>
      </c>
      <c r="H42" s="28" cm="1">
        <f t="array" aca="1" ref="H42" ca="1">_FV(RTData[[#This Row],[Company Name]],"Price")</f>
        <v>224.3</v>
      </c>
      <c r="I42" s="28" cm="1">
        <f t="array" aca="1" ref="I42" ca="1">_FV(RTData[[#This Row],[Company Name]],"Low")</f>
        <v>223.3</v>
      </c>
      <c r="J42" s="28" cm="1">
        <f t="array" aca="1" ref="J42" ca="1">_FV(RTData[[#This Row],[Company Name]],"High")</f>
        <v>232.2</v>
      </c>
      <c r="K42" s="20" cm="1">
        <f t="array" aca="1" ref="K42" ca="1">IFERROR(_FV(RTData[[#This Row],[Company Name]],"P/E",TRUE),99)</f>
        <v>36.947400000000002</v>
      </c>
      <c r="L42" s="21" cm="1">
        <f t="array" aca="1" ref="L42" ca="1">_FV(RTData[[#This Row],[Company Name]],"Change")</f>
        <v>-9.8000000000000007</v>
      </c>
      <c r="M42" s="22" cm="1">
        <f t="array" aca="1" ref="M42" ca="1">_FV(RTData[[#This Row],[Company Name]],"Change (%)",TRUE)</f>
        <v>-4.1862000000000003E-2</v>
      </c>
      <c r="N42" s="28" cm="1">
        <f t="array" aca="1" ref="N42" ca="1">_FV(RTData[[#This Row],[Company Name]],"52 week low",TRUE)</f>
        <v>209.7</v>
      </c>
      <c r="O42" s="28" cm="1">
        <f t="array" aca="1" ref="O42" ca="1">_FV(RTData[[#This Row],[Company Name]],"52 week high",TRUE)</f>
        <v>283.5</v>
      </c>
      <c r="P42" s="23" cm="1">
        <f t="array" aca="1" ref="P42" ca="1">_FV(RTData[[#This Row],[Company Name]],"Volume")</f>
        <v>1934365</v>
      </c>
      <c r="Q42" s="23" cm="1">
        <f t="array" aca="1" ref="Q42" ca="1">_FV(RTData[[#This Row],[Company Name]],"Volume average",TRUE)</f>
        <v>1527610</v>
      </c>
      <c r="R42" s="19" cm="1">
        <f t="array" aca="1" ref="R42" ca="1">_FV(RTData[[#This Row],[Company Name]],"Beta")</f>
        <v>0.99139999999999995</v>
      </c>
      <c r="T42" t="s">
        <v>20</v>
      </c>
      <c r="U42" t="str" cm="1">
        <f t="array" aca="1" ref="U42" ca="1">_FV(RTData[[#This Row],[Company Name]],"Exchange abbreviation",TRUE)</f>
        <v>XETR</v>
      </c>
      <c r="V42" s="24">
        <f ca="1">IFERROR(RTData[[#This Row],[Volume]]/RTData[[#This Row],[Volume average]],1)</f>
        <v>1.2662688775276412</v>
      </c>
      <c r="W42" s="24"/>
      <c r="X42" s="108">
        <f ca="1">_xlfn.XLOOKUP(RTData[[#This Row],[Ticker symbol]],[2]Sheet2!$B$2:$B$95,[2]Sheet2!$E$2:$E$95)</f>
        <v>287.60270000000003</v>
      </c>
      <c r="Y42" s="101">
        <f>_xlfn.LET(_xlpm.date,[2]Sheet2!F39,IF(_xlpm.date=0,"",_xlpm.date))</f>
        <v>45779</v>
      </c>
      <c r="Z42" s="101" t="str">
        <f>_xlfn.LET(_xlpm.date,[2]Sheet2!G39,IF(_xlpm.date=0,"",_xlpm.date))</f>
        <v/>
      </c>
      <c r="AA42" s="102">
        <f>[2]Sheet2!$H39</f>
        <v>2.7199999999999998E-2</v>
      </c>
      <c r="AB42" s="103"/>
      <c r="AC42" s="104">
        <v>3.0000000000000001E-3</v>
      </c>
      <c r="AD42" s="90">
        <v>290</v>
      </c>
      <c r="AE42" s="105">
        <f ca="1">_xlfn.LET(_xlpm.New1YT,RTData[[#This Row],[1YT]],        _xlpm.Old1YT,IF(ISNUMBER(RTData[[#This Row],[Old1YT]]),RTData[[#This Row],[Old1YT]],VALUE(LEFT(RTData[[#This Row],[Old1YT]],FIND("/",RTData[[#This Row],[Old1YT]],1)-1))),       IF(OR(RTData[[#This Row],[1YT]]=0,_xlpm.Old1YT=0),0,(_xlpm.New1YT-_xlpm.Old1YT)/_xlpm.Old1YT))</f>
        <v>-8.266551724137837E-3</v>
      </c>
      <c r="AF42" s="105" t="str">
        <f ca="1">TEXT(RTData[[#This Row],[1YT]],"#,#0.00")&amp;" &lt; "&amp;RTData[[#This Row],[Old1YT]]</f>
        <v>287.60 &lt; 290</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45959.888888888891</v>
      </c>
      <c r="F43" s="28" cm="1">
        <f t="array" aca="1" ref="F43" ca="1">_FV(RTData[[#This Row],[Company Name]],"Previous close",TRUE)</f>
        <v>15.42</v>
      </c>
      <c r="G43" s="28" cm="1">
        <f t="array" aca="1" ref="G43" ca="1">_FV(RTData[[#This Row],[Company Name]],"Open")</f>
        <v>14.89</v>
      </c>
      <c r="H43" s="28" cm="1">
        <f t="array" aca="1" ref="H43" ca="1">_FV(RTData[[#This Row],[Company Name]],"Price")</f>
        <v>15.05</v>
      </c>
      <c r="I43" s="28" cm="1">
        <f t="array" aca="1" ref="I43" ca="1">_FV(RTData[[#This Row],[Company Name]],"Low")</f>
        <v>14.89</v>
      </c>
      <c r="J43" s="28" cm="1">
        <f t="array" aca="1" ref="J43" ca="1">_FV(RTData[[#This Row],[Company Name]],"High")</f>
        <v>15.35</v>
      </c>
      <c r="K43" s="20" cm="1">
        <f t="array" aca="1" ref="K43" ca="1">IFERROR(_FV(RTData[[#This Row],[Company Name]],"P/E",TRUE),99)</f>
        <v>0</v>
      </c>
      <c r="L43" s="21" cm="1">
        <f t="array" aca="1" ref="L43" ca="1">_FV(RTData[[#This Row],[Company Name]],"Change")</f>
        <v>-0.37</v>
      </c>
      <c r="M43" s="22" cm="1">
        <f t="array" aca="1" ref="M43" ca="1">_FV(RTData[[#This Row],[Company Name]],"Change (%)",TRUE)</f>
        <v>-2.3995000000000002E-2</v>
      </c>
      <c r="N43" s="28" cm="1">
        <f t="array" aca="1" ref="N43" ca="1">_FV(RTData[[#This Row],[Company Name]],"52 week low",TRUE)</f>
        <v>11.88</v>
      </c>
      <c r="O43" s="28" cm="1">
        <f t="array" aca="1" ref="O43" ca="1">_FV(RTData[[#This Row],[Company Name]],"52 week high",TRUE)</f>
        <v>19.86</v>
      </c>
      <c r="P43" s="23" cm="1">
        <f t="array" aca="1" ref="P43" ca="1">_FV(RTData[[#This Row],[Company Name]],"Volume")</f>
        <v>309348</v>
      </c>
      <c r="Q43" s="23" cm="1">
        <f t="array" aca="1" ref="Q43" ca="1">_FV(RTData[[#This Row],[Company Name]],"Volume average",TRUE)</f>
        <v>6674650</v>
      </c>
      <c r="R43" s="28" cm="1">
        <f t="array" aca="1" ref="R43" ca="1">_FV(RTData[[#This Row],[Company Name]],"Beta")</f>
        <v>1.4718</v>
      </c>
      <c r="T43" t="s">
        <v>20</v>
      </c>
      <c r="U43" t="str" cm="1">
        <f t="array" aca="1" ref="U43" ca="1">_FV(RTData[[#This Row],[Company Name]],"Exchange abbreviation",TRUE)</f>
        <v>OTCM</v>
      </c>
      <c r="V43" s="24">
        <f ca="1">IFERROR(RTData[[#This Row],[Volume]]/RTData[[#This Row],[Volume average]],1)</f>
        <v>4.6346699826957216E-2</v>
      </c>
      <c r="W43" s="24"/>
      <c r="X43" s="108">
        <f ca="1">_xlfn.XLOOKUP(RTData[[#This Row],[Ticker symbol]],[2]Sheet2!$B$2:$B$95,[2]Sheet2!$E$2:$E$95)</f>
        <v>0</v>
      </c>
      <c r="Y43" s="101">
        <f>_xlfn.LET(_xlpm.date,[2]Sheet2!F40,IF(_xlpm.date=0,"",_xlpm.date))</f>
        <v>45791</v>
      </c>
      <c r="Z43" s="101" t="str">
        <f>_xlfn.LET(_xlpm.date,[2]Sheet2!G40,IF(_xlpm.date=0,"",_xlpm.date))</f>
        <v/>
      </c>
      <c r="AA43" s="102">
        <f>[2]Sheet2!$H40</f>
        <v>1.0199999E-2</v>
      </c>
      <c r="AB43" s="103"/>
      <c r="AC43" s="104">
        <v>3.0000000000000001E-3</v>
      </c>
      <c r="AD43" s="90" t="s">
        <v>49</v>
      </c>
      <c r="AE43" s="105">
        <f ca="1">_xlfn.LET(_xlpm.New1YT,RTData[[#This Row],[1YT]],        _xlpm.Old1YT,IF(ISNUMBER(RTData[[#This Row],[Old1YT]]),RTData[[#This Row],[Old1YT]],VALUE(LEFT(RTData[[#This Row],[Old1YT]],FIND("/",RTData[[#This Row],[Old1YT]],1)-1))),       IF(OR(RTData[[#This Row],[1YT]]=0,_xlpm.Old1YT=0),0,(_xlpm.New1YT-_xlpm.Old1YT)/_xlpm.Old1YT))</f>
        <v>0</v>
      </c>
      <c r="AF43" s="105" t="str">
        <f ca="1">TEXT(RTData[[#This Row],[1YT]],"#,#0.00")&amp;" &lt; "&amp;RTData[[#This Row],[Old1YT]]</f>
        <v>0.00 &lt; 331.33/312.72</v>
      </c>
    </row>
    <row r="44" spans="1:33" x14ac:dyDescent="0.3">
      <c r="A44" s="15" t="str" cm="1">
        <f t="array" aca="1" ref="A44" ca="1">_xlfn.SINGLE(RTData[suffix])&amp;_FV(RTData[[#This Row],[Company Name]],"Ticker symbol",TRUE)</f>
        <v>SSYS</v>
      </c>
      <c r="B44" s="15">
        <f ca="1">D99</f>
        <v>0.86192035855886928</v>
      </c>
      <c r="C44" t="e" vm="43">
        <v>#VALUE!</v>
      </c>
      <c r="D44" s="17" t="str" cm="1">
        <f t="array" aca="1" ref="D44" ca="1">_FV(RTData[[#This Row],[Company Name]],"Currency")</f>
        <v>USD</v>
      </c>
      <c r="E44" s="18" cm="1">
        <f t="array" aca="1" ref="E44" ca="1">_FV(RTData[[#This Row],[Company Name]],"Last trade time",TRUE)</f>
        <v>45959.981793066407</v>
      </c>
      <c r="F44" s="19" cm="1">
        <f t="array" aca="1" ref="F44" ca="1">_FV(RTData[[#This Row],[Company Name]],"Previous close",TRUE)</f>
        <v>11.53</v>
      </c>
      <c r="G44" s="19" cm="1">
        <f t="array" aca="1" ref="G44" ca="1">_FV(RTData[[#This Row],[Company Name]],"Open")</f>
        <v>11.5</v>
      </c>
      <c r="H44" s="19" cm="1">
        <f t="array" aca="1" ref="H44" ca="1">_FV(RTData[[#This Row],[Company Name]],"Price")</f>
        <v>11.1</v>
      </c>
      <c r="I44" s="19" cm="1">
        <f t="array" aca="1" ref="I44" ca="1">_FV(RTData[[#This Row],[Company Name]],"Low")</f>
        <v>11.08</v>
      </c>
      <c r="J44" s="19" cm="1">
        <f t="array" aca="1" ref="J44" ca="1">_FV(RTData[[#This Row],[Company Name]],"High")</f>
        <v>11.66</v>
      </c>
      <c r="K44" s="20" cm="1">
        <f t="array" aca="1" ref="K44" ca="1">IFERROR(_FV(RTData[[#This Row],[Company Name]],"P/E",TRUE),99)</f>
        <v>0</v>
      </c>
      <c r="L44" s="21" cm="1">
        <f t="array" aca="1" ref="L44" ca="1">_FV(RTData[[#This Row],[Company Name]],"Change")</f>
        <v>-0.43</v>
      </c>
      <c r="M44" s="22" cm="1">
        <f t="array" aca="1" ref="M44" ca="1">_FV(RTData[[#This Row],[Company Name]],"Change (%)",TRUE)</f>
        <v>-3.7294000000000001E-2</v>
      </c>
      <c r="N44" s="19" cm="1">
        <f t="array" aca="1" ref="N44" ca="1">_FV(RTData[[#This Row],[Company Name]],"52 week low",TRUE)</f>
        <v>7.07</v>
      </c>
      <c r="O44" s="19" cm="1">
        <f t="array" aca="1" ref="O44" ca="1">_FV(RTData[[#This Row],[Company Name]],"52 week high",TRUE)</f>
        <v>12.88</v>
      </c>
      <c r="P44" s="23" cm="1">
        <f t="array" aca="1" ref="P44" ca="1">_FV(RTData[[#This Row],[Company Name]],"Volume")</f>
        <v>652924</v>
      </c>
      <c r="Q44" s="23" cm="1">
        <f t="array" aca="1" ref="Q44" ca="1">_FV(RTData[[#This Row],[Company Name]],"Volume average",TRUE)</f>
        <v>1059445</v>
      </c>
      <c r="R44" s="19" cm="1">
        <f t="array" aca="1" ref="R44" ca="1">_FV(RTData[[#This Row],[Company Name]],"Beta")</f>
        <v>1.6141000000000001</v>
      </c>
      <c r="T44" t="s">
        <v>20</v>
      </c>
      <c r="U44" t="str" cm="1">
        <f t="array" aca="1" ref="U44" ca="1">_FV(RTData[[#This Row],[Company Name]],"Exchange abbreviation",TRUE)</f>
        <v>XNAS</v>
      </c>
      <c r="V44" s="24">
        <f ca="1">IFERROR(RTData[[#This Row],[Volume]]/RTData[[#This Row],[Volume average]],1)</f>
        <v>0.61628871720570677</v>
      </c>
      <c r="W44" s="24"/>
      <c r="X44" s="108">
        <f ca="1">_xlfn.XLOOKUP(RTData[[#This Row],[Ticker symbol]],[2]Sheet2!$B$2:$B$95,[2]Sheet2!$E$2:$E$95)</f>
        <v>13.33333</v>
      </c>
      <c r="Y44" s="101">
        <f>_xlfn.LET(_xlpm.date,[2]Sheet2!F41,IF(_xlpm.date=0,"",_xlpm.date))</f>
        <v>45747</v>
      </c>
      <c r="Z44" s="101" t="str">
        <f>_xlfn.LET(_xlpm.date,[2]Sheet2!G41,IF(_xlpm.date=0,"",_xlpm.date))</f>
        <v/>
      </c>
      <c r="AA44" s="102">
        <f>[2]Sheet2!$H41</f>
        <v>2.3199999999999998E-2</v>
      </c>
      <c r="AB44" s="103">
        <v>1E-4</v>
      </c>
      <c r="AC44" s="104">
        <v>3.0000000000000001E-3</v>
      </c>
      <c r="AD44" s="90">
        <v>42.6</v>
      </c>
      <c r="AE44" s="105">
        <f ca="1">_xlfn.LET(_xlpm.New1YT,RTData[[#This Row],[1YT]],        _xlpm.Old1YT,IF(ISNUMBER(RTData[[#This Row],[Old1YT]]),RTData[[#This Row],[Old1YT]],VALUE(LEFT(RTData[[#This Row],[Old1YT]],FIND("/",RTData[[#This Row],[Old1YT]],1)-1))),       IF(OR(RTData[[#This Row],[1YT]]=0,_xlpm.Old1YT=0),0,(_xlpm.New1YT-_xlpm.Old1YT)/_xlpm.Old1YT))</f>
        <v>-0.68701103286384979</v>
      </c>
      <c r="AF44" s="105" t="str">
        <f ca="1">TEXT(RTData[[#This Row],[1YT]],"#,#0.00")&amp;" &lt; "&amp;RTData[[#This Row],[Old1YT]]</f>
        <v>13.33 &lt; 42.6</v>
      </c>
    </row>
    <row r="45" spans="1:33" x14ac:dyDescent="0.3">
      <c r="A45" s="15" t="str" cm="1">
        <f t="array" aca="1" ref="A45" ca="1">_xlfn.SINGLE(RTData[suffix])&amp;_FV(RTData[[#This Row],[Company Name]],"Ticker symbol",TRUE)</f>
        <v>TSLA</v>
      </c>
      <c r="B45" s="15">
        <f ca="1">D99</f>
        <v>0.86192035855886928</v>
      </c>
      <c r="C45" t="e" vm="44">
        <v>#VALUE!</v>
      </c>
      <c r="D45" s="17" t="str" cm="1">
        <f t="array" aca="1" ref="D45" ca="1">_FV(RTData[[#This Row],[Company Name]],"Currency")</f>
        <v>USD</v>
      </c>
      <c r="E45" s="18" cm="1">
        <f t="array" aca="1" ref="E45" ca="1">_FV(RTData[[#This Row],[Company Name]],"Last trade time",TRUE)</f>
        <v>45959.983865647657</v>
      </c>
      <c r="F45" s="19" cm="1">
        <f t="array" aca="1" ref="F45" ca="1">_FV(RTData[[#This Row],[Company Name]],"Previous close",TRUE)</f>
        <v>460.55</v>
      </c>
      <c r="G45" s="19" cm="1">
        <f t="array" aca="1" ref="G45" ca="1">_FV(RTData[[#This Row],[Company Name]],"Open")</f>
        <v>462.5</v>
      </c>
      <c r="H45" s="19" cm="1">
        <f t="array" aca="1" ref="H45" ca="1">_FV(RTData[[#This Row],[Company Name]],"Price")</f>
        <v>461.45</v>
      </c>
      <c r="I45" s="19" cm="1">
        <f t="array" aca="1" ref="I45" ca="1">_FV(RTData[[#This Row],[Company Name]],"Low")</f>
        <v>452.65</v>
      </c>
      <c r="J45" s="19" cm="1">
        <f t="array" aca="1" ref="J45" ca="1">_FV(RTData[[#This Row],[Company Name]],"High")</f>
        <v>465.7</v>
      </c>
      <c r="K45" s="20" cm="1">
        <f t="array" aca="1" ref="K45" ca="1">IFERROR(_FV(RTData[[#This Row],[Company Name]],"P/E",TRUE),99)</f>
        <v>319.94040000000001</v>
      </c>
      <c r="L45" s="21" cm="1">
        <f t="array" aca="1" ref="L45" ca="1">_FV(RTData[[#This Row],[Company Name]],"Change")</f>
        <v>0.9</v>
      </c>
      <c r="M45" s="22" cm="1">
        <f t="array" aca="1" ref="M45" ca="1">_FV(RTData[[#This Row],[Company Name]],"Change (%)",TRUE)</f>
        <v>1.954E-3</v>
      </c>
      <c r="N45" s="19" cm="1">
        <f t="array" aca="1" ref="N45" ca="1">_FV(RTData[[#This Row],[Company Name]],"52 week low",TRUE)</f>
        <v>214.25</v>
      </c>
      <c r="O45" s="19" cm="1">
        <f t="array" aca="1" ref="O45" ca="1">_FV(RTData[[#This Row],[Company Name]],"52 week high",TRUE)</f>
        <v>488.53989999999999</v>
      </c>
      <c r="P45" s="23" cm="1">
        <f t="array" aca="1" ref="P45" ca="1">_FV(RTData[[#This Row],[Company Name]],"Volume")</f>
        <v>67939163</v>
      </c>
      <c r="Q45" s="23" cm="1">
        <f t="array" aca="1" ref="Q45" ca="1">_FV(RTData[[#This Row],[Company Name]],"Volume average",TRUE)</f>
        <v>90155409</v>
      </c>
      <c r="R45" s="19" cm="1">
        <f t="array" aca="1" ref="R45" ca="1">_FV(RTData[[#This Row],[Company Name]],"Beta")</f>
        <v>2.0655000000000001</v>
      </c>
      <c r="T45" t="s">
        <v>20</v>
      </c>
      <c r="U45" t="str" cm="1">
        <f t="array" aca="1" ref="U45" ca="1">_FV(RTData[[#This Row],[Company Name]],"Exchange abbreviation",TRUE)</f>
        <v>XNAS</v>
      </c>
      <c r="V45" s="24">
        <f ca="1">IFERROR(RTData[[#This Row],[Volume]]/RTData[[#This Row],[Volume average]],1)</f>
        <v>0.75357833493939341</v>
      </c>
      <c r="W45" s="24"/>
      <c r="X45" s="108">
        <f ca="1">_xlfn.XLOOKUP(RTData[[#This Row],[Ticker symbol]],[2]Sheet2!$B$2:$B$95,[2]Sheet2!$E$2:$E$95)</f>
        <v>360.62945999999999</v>
      </c>
      <c r="Y45" s="101" t="str">
        <f>_xlfn.LET(_xlpm.date,[2]Sheet2!F42,IF(_xlpm.date=0,"",_xlpm.date))</f>
        <v/>
      </c>
      <c r="Z45" s="101" t="str">
        <f>_xlfn.LET(_xlpm.date,[2]Sheet2!G42,IF(_xlpm.date=0,"",_xlpm.date))</f>
        <v>Nov 12, 2025</v>
      </c>
      <c r="AA45" s="102">
        <f>[2]Sheet2!$H42</f>
        <v>0</v>
      </c>
      <c r="AB45" s="103">
        <v>1E-4</v>
      </c>
      <c r="AC45" s="104">
        <v>3.0000000000000001E-3</v>
      </c>
      <c r="AD45" s="90">
        <v>11.8</v>
      </c>
      <c r="AE45" s="105">
        <f ca="1">_xlfn.LET(_xlpm.New1YT,RTData[[#This Row],[1YT]],        _xlpm.Old1YT,IF(ISNUMBER(RTData[[#This Row],[Old1YT]]),RTData[[#This Row],[Old1YT]],VALUE(LEFT(RTData[[#This Row],[Old1YT]],FIND("/",RTData[[#This Row],[Old1YT]],1)-1))),       IF(OR(RTData[[#This Row],[1YT]]=0,_xlpm.Old1YT=0),0,(_xlpm.New1YT-_xlpm.Old1YT)/_xlpm.Old1YT))</f>
        <v>29.561818644067792</v>
      </c>
      <c r="AF45" s="105" t="str">
        <f ca="1">TEXT(RTData[[#This Row],[1YT]],"#,#0.00")&amp;" &lt; "&amp;RTData[[#This Row],[Old1YT]]</f>
        <v>360.63 &lt; 11.8</v>
      </c>
      <c r="AG45" s="51"/>
    </row>
    <row r="46" spans="1:33" x14ac:dyDescent="0.3">
      <c r="A46" s="15" t="str" cm="1">
        <f t="array" aca="1" ref="A46" ca="1">_xlfn.SINGLE(RTData[suffix])&amp;_FV(RTData[[#This Row],[Company Name]],"Ticker symbol",TRUE)</f>
        <v>TSM</v>
      </c>
      <c r="B46" s="15">
        <f ca="1">D99</f>
        <v>0.86192035855886928</v>
      </c>
      <c r="C46" t="e" vm="45">
        <v>#VALUE!</v>
      </c>
      <c r="D46" s="17" t="str" cm="1">
        <f t="array" aca="1" ref="D46" ca="1">_FV(RTData[[#This Row],[Company Name]],"Currency")</f>
        <v>USD</v>
      </c>
      <c r="E46" s="18" cm="1">
        <f t="array" aca="1" ref="E46" ca="1">_FV(RTData[[#This Row],[Company Name]],"Last trade time",TRUE)</f>
        <v>45959.983780381248</v>
      </c>
      <c r="F46" s="19" cm="1">
        <f t="array" aca="1" ref="F46" ca="1">_FV(RTData[[#This Row],[Company Name]],"Previous close",TRUE)</f>
        <v>301.52999999999997</v>
      </c>
      <c r="G46" s="19" cm="1">
        <f t="array" aca="1" ref="G46" ca="1">_FV(RTData[[#This Row],[Company Name]],"Open")</f>
        <v>305.8</v>
      </c>
      <c r="H46" s="19" cm="1">
        <f t="array" aca="1" ref="H46" ca="1">_FV(RTData[[#This Row],[Company Name]],"Price")</f>
        <v>305.10000000000002</v>
      </c>
      <c r="I46" s="19" cm="1">
        <f t="array" aca="1" ref="I46" ca="1">_FV(RTData[[#This Row],[Company Name]],"Low")</f>
        <v>302.38</v>
      </c>
      <c r="J46" s="19" cm="1">
        <f t="array" aca="1" ref="J46" ca="1">_FV(RTData[[#This Row],[Company Name]],"High")</f>
        <v>307.95999999999998</v>
      </c>
      <c r="K46" s="20" cm="1">
        <f t="array" aca="1" ref="K46" ca="1">IFERROR(_FV(RTData[[#This Row],[Company Name]],"P/E",TRUE),99)</f>
        <v>30.359400000000001</v>
      </c>
      <c r="L46" s="21" cm="1">
        <f t="array" aca="1" ref="L46" ca="1">_FV(RTData[[#This Row],[Company Name]],"Change")</f>
        <v>3.57</v>
      </c>
      <c r="M46" s="22" cm="1">
        <f t="array" aca="1" ref="M46" ca="1">_FV(RTData[[#This Row],[Company Name]],"Change (%)",TRUE)</f>
        <v>1.184E-2</v>
      </c>
      <c r="N46" s="19" cm="1">
        <f t="array" aca="1" ref="N46" ca="1">_FV(RTData[[#This Row],[Company Name]],"52 week low",TRUE)</f>
        <v>134.25</v>
      </c>
      <c r="O46" s="19" cm="1">
        <f t="array" aca="1" ref="O46" ca="1">_FV(RTData[[#This Row],[Company Name]],"52 week high",TRUE)</f>
        <v>311.36849999999998</v>
      </c>
      <c r="P46" s="23" cm="1">
        <f t="array" aca="1" ref="P46" ca="1">_FV(RTData[[#This Row],[Company Name]],"Volume")</f>
        <v>16166852</v>
      </c>
      <c r="Q46" s="23" cm="1">
        <f t="array" aca="1" ref="Q46" ca="1">_FV(RTData[[#This Row],[Company Name]],"Volume average",TRUE)</f>
        <v>13834527</v>
      </c>
      <c r="R46" s="19" cm="1">
        <f t="array" aca="1" ref="R46" ca="1">_FV(RTData[[#This Row],[Company Name]],"Beta")</f>
        <v>1.3150999999999999</v>
      </c>
      <c r="T46" t="s">
        <v>20</v>
      </c>
      <c r="U46" t="str" cm="1">
        <f t="array" aca="1" ref="U46" ca="1">_FV(RTData[[#This Row],[Company Name]],"Exchange abbreviation",TRUE)</f>
        <v>XNYS</v>
      </c>
      <c r="V46" s="24">
        <f ca="1">IFERROR(RTData[[#This Row],[Volume]]/RTData[[#This Row],[Volume average]],1)</f>
        <v>1.1685872599764344</v>
      </c>
      <c r="W46" s="24"/>
      <c r="X46" s="108">
        <f ca="1">_xlfn.XLOOKUP(RTData[[#This Row],[Ticker symbol]],[2]Sheet2!$B$2:$B$95,[2]Sheet2!$E$2:$E$95)</f>
        <v>307.64688000000001</v>
      </c>
      <c r="Y46" s="101" t="str">
        <f>_xlfn.LET(_xlpm.date,[2]Sheet2!F43,IF(_xlpm.date=0,"",_xlpm.date))</f>
        <v/>
      </c>
      <c r="Z46" s="101" t="str">
        <f>_xlfn.LET(_xlpm.date,[2]Sheet2!G43,IF(_xlpm.date=0,"",_xlpm.date))</f>
        <v>Oct 22, 2025</v>
      </c>
      <c r="AA46" s="102">
        <f>[2]Sheet2!$H43</f>
        <v>0</v>
      </c>
      <c r="AB46" s="103">
        <v>1E-4</v>
      </c>
      <c r="AC46" s="104">
        <v>3.0000000000000001E-3</v>
      </c>
      <c r="AD46" s="90">
        <v>209.14</v>
      </c>
      <c r="AE46" s="105">
        <f ca="1">_xlfn.LET(_xlpm.New1YT,RTData[[#This Row],[1YT]],        _xlpm.Old1YT,IF(ISNUMBER(RTData[[#This Row],[Old1YT]]),RTData[[#This Row],[Old1YT]],VALUE(LEFT(RTData[[#This Row],[Old1YT]],FIND("/",RTData[[#This Row],[Old1YT]],1)-1))),       IF(OR(RTData[[#This Row],[1YT]]=0,_xlpm.Old1YT=0),0,(_xlpm.New1YT-_xlpm.Old1YT)/_xlpm.Old1YT))</f>
        <v>0.47100927608300674</v>
      </c>
      <c r="AF46" s="105" t="str">
        <f ca="1">TEXT(RTData[[#This Row],[1YT]],"#,#0.00")&amp;" &lt; "&amp;RTData[[#This Row],[Old1YT]]</f>
        <v>307.65 &lt; 209.14</v>
      </c>
    </row>
    <row r="47" spans="1:33" x14ac:dyDescent="0.3">
      <c r="A47" s="15" t="str" cm="1">
        <f t="array" aca="1" ref="A47" ca="1">_xlfn.SINGLE(RTData[suffix])&amp;_FV(RTData[[#This Row],[Company Name]],"Ticker symbol",TRUE)</f>
        <v>UN0</v>
      </c>
      <c r="B47" s="15">
        <f ca="1">D99</f>
        <v>0.86192035855886928</v>
      </c>
      <c r="C47" t="e" vm="46">
        <v>#VALUE!</v>
      </c>
      <c r="D47" s="17" t="str" cm="1">
        <f t="array" aca="1" ref="D47" ca="1">_FV(RTData[[#This Row],[Company Name]],"Currency")</f>
        <v>EUR</v>
      </c>
      <c r="E47" s="18" cm="1">
        <f t="array" aca="1" ref="E47" ca="1">_FV(RTData[[#This Row],[Company Name]],"Last trade time",TRUE)</f>
        <v>45959.878472222219</v>
      </c>
      <c r="F47" s="19" cm="1">
        <f t="array" aca="1" ref="F47" ca="1">_FV(RTData[[#This Row],[Company Name]],"Previous close",TRUE)</f>
        <v>30.25</v>
      </c>
      <c r="G47" s="19" cm="1">
        <f t="array" aca="1" ref="G47" ca="1">_FV(RTData[[#This Row],[Company Name]],"Open")</f>
        <v>30.2</v>
      </c>
      <c r="H47" s="19" cm="1">
        <f t="array" aca="1" ref="H47" ca="1">_FV(RTData[[#This Row],[Company Name]],"Price")</f>
        <v>30.5</v>
      </c>
      <c r="I47" s="19" cm="1">
        <f t="array" aca="1" ref="I47" ca="1">_FV(RTData[[#This Row],[Company Name]],"Low")</f>
        <v>30.1</v>
      </c>
      <c r="J47" s="19" cm="1">
        <f t="array" aca="1" ref="J47" ca="1">_FV(RTData[[#This Row],[Company Name]],"High")</f>
        <v>30.5</v>
      </c>
      <c r="K47" s="20" cm="1">
        <f t="array" ref="K47">IFERROR(_FV(RTData[[#This Row],[Company Name]],"P/E",TRUE),99)</f>
        <v>99</v>
      </c>
      <c r="L47" s="21" cm="1">
        <f t="array" aca="1" ref="L47" ca="1">_FV(RTData[[#This Row],[Company Name]],"Change")</f>
        <v>0.25</v>
      </c>
      <c r="M47" s="22" cm="1">
        <f t="array" aca="1" ref="M47" ca="1">_FV(RTData[[#This Row],[Company Name]],"Change (%)",TRUE)</f>
        <v>8.2640000000000005E-3</v>
      </c>
      <c r="N47" s="19" cm="1">
        <f t="array" aca="1" ref="N47" ca="1">_FV(RTData[[#This Row],[Company Name]],"52 week low",TRUE)</f>
        <v>2.1</v>
      </c>
      <c r="O47" s="19" cm="1">
        <f t="array" aca="1" ref="O47" ca="1">_FV(RTData[[#This Row],[Company Name]],"52 week high",TRUE)</f>
        <v>73.5</v>
      </c>
      <c r="P47" s="23" cm="1">
        <f t="array" aca="1" ref="P47" ca="1">_FV(RTData[[#This Row],[Company Name]],"Volume")</f>
        <v>75</v>
      </c>
      <c r="Q47" s="23" cm="1">
        <f t="array" aca="1" ref="Q47" ca="1">_FV(RTData[[#This Row],[Company Name]],"Volume average",TRUE)</f>
        <v>6150</v>
      </c>
      <c r="R47" s="19" cm="1">
        <f t="array" aca="1" ref="R47" ca="1">_FV(RTData[[#This Row],[Company Name]],"Beta")</f>
        <v>1.0677000000000001</v>
      </c>
      <c r="T47" t="s">
        <v>20</v>
      </c>
      <c r="U47" t="str" cm="1">
        <f t="array" aca="1" ref="U47" ca="1">_FV(RTData[[#This Row],[Company Name]],"Exchange abbreviation",TRUE)</f>
        <v>XFRA</v>
      </c>
      <c r="V47" s="24">
        <f ca="1">IFERROR(RTData[[#This Row],[Volume]]/RTData[[#This Row],[Volume average]],1)</f>
        <v>1.2195121951219513E-2</v>
      </c>
      <c r="W47" s="24"/>
      <c r="X47" s="108">
        <f ca="1">_xlfn.XLOOKUP(RTData[[#This Row],[Ticker symbol]],[2]Sheet2!$B$2:$B$95,[2]Sheet2!$E$2:$E$95)</f>
        <v>0</v>
      </c>
      <c r="Y47" s="101">
        <f>_xlfn.LET(_xlpm.date,[2]Sheet2!F44,IF(_xlpm.date=0,"",_xlpm.date))</f>
        <v>46002</v>
      </c>
      <c r="Z47" s="101" t="str">
        <f>_xlfn.LET(_xlpm.date,[2]Sheet2!G44,IF(_xlpm.date=0,"",_xlpm.date))</f>
        <v>Oct 16, 2025</v>
      </c>
      <c r="AA47" s="102">
        <f>[2]Sheet2!$H44</f>
        <v>1.1900000000000001E-2</v>
      </c>
      <c r="AB47" s="103">
        <v>1E-4</v>
      </c>
      <c r="AC47" s="104">
        <v>3.0000000000000001E-3</v>
      </c>
      <c r="AD47" s="90" t="s">
        <v>66</v>
      </c>
      <c r="AE47" s="105">
        <f ca="1">_xlfn.LET(_xlpm.New1YT,RTData[[#This Row],[1YT]],        _xlpm.Old1YT,IF(ISNUMBER(RTData[[#This Row],[Old1YT]]),RTData[[#This Row],[Old1YT]],VALUE(LEFT(RTData[[#This Row],[Old1YT]],FIND("/",RTData[[#This Row],[Old1YT]],1)-1))),       IF(OR(RTData[[#This Row],[1YT]]=0,_xlpm.Old1YT=0),0,(_xlpm.New1YT-_xlpm.Old1YT)/_xlpm.Old1YT))</f>
        <v>0</v>
      </c>
      <c r="AF47" s="105" t="str">
        <f ca="1">TEXT(RTData[[#This Row],[1YT]],"#,#0.00")&amp;" &lt; "&amp;RTData[[#This Row],[Old1YT]]</f>
        <v>0.00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45959.910158807812</v>
      </c>
      <c r="F48" s="28" cm="1">
        <f t="array" aca="1" ref="F48" ca="1">_FV(RTData[[#This Row],[Company Name]],"Previous close",TRUE)</f>
        <v>6.04</v>
      </c>
      <c r="G48" s="28" cm="1">
        <f t="array" aca="1" ref="G48" ca="1">_FV(RTData[[#This Row],[Company Name]],"Open")</f>
        <v>6</v>
      </c>
      <c r="H48" s="28" cm="1">
        <f t="array" aca="1" ref="H48" ca="1">_FV(RTData[[#This Row],[Company Name]],"Price")</f>
        <v>5.84</v>
      </c>
      <c r="I48" s="28" cm="1">
        <f t="array" aca="1" ref="I48" ca="1">_FV(RTData[[#This Row],[Company Name]],"Low")</f>
        <v>5.81</v>
      </c>
      <c r="J48" s="28" cm="1">
        <f t="array" aca="1" ref="J48" ca="1">_FV(RTData[[#This Row],[Company Name]],"High")</f>
        <v>6.23</v>
      </c>
      <c r="K48" s="20" cm="1">
        <f t="array" aca="1" ref="K48" ca="1">IFERROR(_FV(RTData[[#This Row],[Company Name]],"P/E",TRUE),99)</f>
        <v>24.548100000000002</v>
      </c>
      <c r="L48" s="21" cm="1">
        <f t="array" aca="1" ref="L48" ca="1">_FV(RTData[[#This Row],[Company Name]],"Change")</f>
        <v>-0.2</v>
      </c>
      <c r="M48" s="22" cm="1">
        <f t="array" aca="1" ref="M48" ca="1">_FV(RTData[[#This Row],[Company Name]],"Change (%)",TRUE)</f>
        <v>-3.3113000000000004E-2</v>
      </c>
      <c r="N48" s="28" cm="1">
        <f t="array" aca="1" ref="N48" ca="1">_FV(RTData[[#This Row],[Company Name]],"52 week low",TRUE)</f>
        <v>5.3</v>
      </c>
      <c r="O48" s="28" cm="1">
        <f t="array" aca="1" ref="O48" ca="1">_FV(RTData[[#This Row],[Company Name]],"52 week high",TRUE)</f>
        <v>10.466100000000001</v>
      </c>
      <c r="P48" s="23" cm="1">
        <f t="array" aca="1" ref="P48" ca="1">_FV(RTData[[#This Row],[Company Name]],"Volume")</f>
        <v>1680064</v>
      </c>
      <c r="Q48" s="23" cm="1">
        <f t="array" aca="1" ref="Q48" ca="1">_FV(RTData[[#This Row],[Company Name]],"Volume average",TRUE)</f>
        <v>2434038</v>
      </c>
      <c r="R48" s="28" cm="1">
        <f t="array" aca="1" ref="R48" ca="1">_FV(RTData[[#This Row],[Company Name]],"Beta")</f>
        <v>1.5309999999999999</v>
      </c>
      <c r="T48" t="s">
        <v>20</v>
      </c>
      <c r="U48" t="str" cm="1">
        <f t="array" aca="1" ref="U48" ca="1">_FV(RTData[[#This Row],[Company Name]],"Exchange abbreviation",TRUE)</f>
        <v>XNAS</v>
      </c>
      <c r="V48" s="24">
        <f ca="1">IFERROR(RTData[[#This Row],[Volume]]/RTData[[#This Row],[Volume average]],1)</f>
        <v>0.69023737509439043</v>
      </c>
      <c r="W48" s="24"/>
      <c r="X48" s="108">
        <f ca="1">_xlfn.XLOOKUP(RTData[[#This Row],[Ticker symbol]],[2]Sheet2!$B$2:$B$95,[2]Sheet2!$E$2:$E$95)</f>
        <v>7.4749999999999996</v>
      </c>
      <c r="Y48" s="101" t="str">
        <f>_xlfn.LET(_xlpm.date,[2]Sheet2!F45,IF(_xlpm.date=0,"",_xlpm.date))</f>
        <v/>
      </c>
      <c r="Z48" s="101" t="str">
        <f>_xlfn.LET(_xlpm.date,[2]Sheet2!G45,IF(_xlpm.date=0,"",_xlpm.date))</f>
        <v/>
      </c>
      <c r="AA48" s="102">
        <f>[2]Sheet2!$H45</f>
        <v>0</v>
      </c>
      <c r="AB48" s="103"/>
      <c r="AC48" s="104">
        <v>3.0000000000000001E-3</v>
      </c>
      <c r="AD48" s="90">
        <v>42.3</v>
      </c>
      <c r="AE48" s="105">
        <f ca="1">_xlfn.LET(_xlpm.New1YT,RTData[[#This Row],[1YT]],        _xlpm.Old1YT,IF(ISNUMBER(RTData[[#This Row],[Old1YT]]),RTData[[#This Row],[Old1YT]],VALUE(LEFT(RTData[[#This Row],[Old1YT]],FIND("/",RTData[[#This Row],[Old1YT]],1)-1))),       IF(OR(RTData[[#This Row],[1YT]]=0,_xlpm.Old1YT=0),0,(_xlpm.New1YT-_xlpm.Old1YT)/_xlpm.Old1YT))</f>
        <v>-0.82328605200945626</v>
      </c>
      <c r="AF48" s="105" t="str">
        <f ca="1">TEXT(RTData[[#This Row],[1YT]],"#,#0.00")&amp;" &lt; "&amp;RTData[[#This Row],[Old1YT]]</f>
        <v>7.48 &lt; 42.3</v>
      </c>
    </row>
    <row r="49" spans="1:34" x14ac:dyDescent="0.3">
      <c r="A49" s="15" t="str" cm="1">
        <f t="array" aca="1" ref="A49" ca="1">_xlfn.SINGLE(RTData[suffix])&amp;_FV(RTData[[#This Row],[Company Name]],"Ticker symbol",TRUE)</f>
        <v>VLVLY</v>
      </c>
      <c r="B49" s="15">
        <f ca="1">D99</f>
        <v>0.86192035855886928</v>
      </c>
      <c r="C49" t="e" vm="48">
        <v>#VALUE!</v>
      </c>
      <c r="D49" s="17" t="str" cm="1">
        <f t="array" aca="1" ref="D49" ca="1">_FV(RTData[[#This Row],[Company Name]],"Currency")</f>
        <v>USD</v>
      </c>
      <c r="E49" s="18" cm="1">
        <f t="array" aca="1" ref="E49" ca="1">_FV(RTData[[#This Row],[Company Name]],"Last trade time",TRUE)</f>
        <v>45959.888888888891</v>
      </c>
      <c r="F49" s="19" cm="1">
        <f t="array" aca="1" ref="F49" ca="1">_FV(RTData[[#This Row],[Company Name]],"Previous close",TRUE)</f>
        <v>27.7</v>
      </c>
      <c r="G49" s="19" cm="1">
        <f t="array" aca="1" ref="G49" ca="1">_FV(RTData[[#This Row],[Company Name]],"Open")</f>
        <v>27.914999999999999</v>
      </c>
      <c r="H49" s="19" cm="1">
        <f t="array" aca="1" ref="H49" ca="1">_FV(RTData[[#This Row],[Company Name]],"Price")</f>
        <v>27.73</v>
      </c>
      <c r="I49" s="19" cm="1">
        <f t="array" aca="1" ref="I49" ca="1">_FV(RTData[[#This Row],[Company Name]],"Low")</f>
        <v>27.65</v>
      </c>
      <c r="J49" s="19" cm="1">
        <f t="array" aca="1" ref="J49" ca="1">_FV(RTData[[#This Row],[Company Name]],"High")</f>
        <v>28.169899999999998</v>
      </c>
      <c r="K49" s="20" cm="1">
        <f t="array" aca="1" ref="K49" ca="1">IFERROR(_FV(RTData[[#This Row],[Company Name]],"P/E",TRUE),99)</f>
        <v>0</v>
      </c>
      <c r="L49" s="21" cm="1">
        <f t="array" aca="1" ref="L49" ca="1">_FV(RTData[[#This Row],[Company Name]],"Change")</f>
        <v>0.03</v>
      </c>
      <c r="M49" s="22" cm="1">
        <f t="array" aca="1" ref="M49" ca="1">_FV(RTData[[#This Row],[Company Name]],"Change (%)",TRUE)</f>
        <v>1.083E-3</v>
      </c>
      <c r="N49" s="19" cm="1">
        <f t="array" aca="1" ref="N49" ca="1">_FV(RTData[[#This Row],[Company Name]],"52 week low",TRUE)</f>
        <v>22.55</v>
      </c>
      <c r="O49" s="19" cm="1">
        <f t="array" aca="1" ref="O49" ca="1">_FV(RTData[[#This Row],[Company Name]],"52 week high",TRUE)</f>
        <v>33.33</v>
      </c>
      <c r="P49" s="23" cm="1">
        <f t="array" aca="1" ref="P49" ca="1">_FV(RTData[[#This Row],[Company Name]],"Volume")</f>
        <v>51808</v>
      </c>
      <c r="Q49" s="23" cm="1">
        <f t="array" aca="1" ref="Q49" ca="1">_FV(RTData[[#This Row],[Company Name]],"Volume average",TRUE)</f>
        <v>4516180</v>
      </c>
      <c r="R49" s="19" cm="1">
        <f t="array" aca="1" ref="R49" ca="1">_FV(RTData[[#This Row],[Company Name]],"Beta")</f>
        <v>0.90229999999999999</v>
      </c>
      <c r="T49" t="s">
        <v>20</v>
      </c>
      <c r="U49" t="str" cm="1">
        <f t="array" aca="1" ref="U49" ca="1">_FV(RTData[[#This Row],[Company Name]],"Exchange abbreviation",TRUE)</f>
        <v>OTCM</v>
      </c>
      <c r="V49" s="24">
        <f ca="1">IFERROR(RTData[[#This Row],[Volume]]/RTData[[#This Row],[Volume average]],1)</f>
        <v>1.1471641962897848E-2</v>
      </c>
      <c r="W49" s="24"/>
      <c r="X49" s="108">
        <f ca="1">_xlfn.XLOOKUP(RTData[[#This Row],[Ticker symbol]],[2]Sheet2!$B$2:$B$95,[2]Sheet2!$E$2:$E$95)</f>
        <v>36</v>
      </c>
      <c r="Y49" s="101">
        <f>_xlfn.LET(_xlpm.date,[2]Sheet2!F48,IF(_xlpm.date=0,"",_xlpm.date))</f>
        <v>45751</v>
      </c>
      <c r="Z49" s="101" t="str">
        <f>_xlfn.LET(_xlpm.date,[2]Sheet2!G48,IF(_xlpm.date=0,"",_xlpm.date))</f>
        <v/>
      </c>
      <c r="AA49" s="102">
        <f>[2]Sheet2!$H48</f>
        <v>2.8800000999999999E-2</v>
      </c>
      <c r="AB49" s="103">
        <v>1E-4</v>
      </c>
      <c r="AC49" s="104">
        <v>3.0000000000000001E-3</v>
      </c>
      <c r="AD49" s="90">
        <v>29.73</v>
      </c>
      <c r="AE49" s="105">
        <f ca="1">_xlfn.LET(_xlpm.New1YT,RTData[[#This Row],[1YT]],        _xlpm.Old1YT,IF(ISNUMBER(RTData[[#This Row],[Old1YT]]),RTData[[#This Row],[Old1YT]],VALUE(LEFT(RTData[[#This Row],[Old1YT]],FIND("/",RTData[[#This Row],[Old1YT]],1)-1))),       IF(OR(RTData[[#This Row],[1YT]]=0,_xlpm.Old1YT=0),0,(_xlpm.New1YT-_xlpm.Old1YT)/_xlpm.Old1YT))</f>
        <v>0.21089808274470231</v>
      </c>
      <c r="AF49" s="105" t="str">
        <f ca="1">TEXT(RTData[[#This Row],[1YT]],"#,#0.00")&amp;" &lt; "&amp;RTData[[#This Row],[Old1YT]]</f>
        <v>36.00 &lt; 29.73</v>
      </c>
    </row>
    <row r="50" spans="1:34" x14ac:dyDescent="0.3">
      <c r="A50" s="15" t="str" cm="1">
        <f t="array" aca="1" ref="A50" ca="1">_xlfn.SINGLE(RTData[suffix])&amp;_FV(RTData[[#This Row],[Company Name]],"Ticker symbol",TRUE)</f>
        <v>VONN</v>
      </c>
      <c r="B50" s="15">
        <f ca="1">D100</f>
        <v>1.0777023386140749</v>
      </c>
      <c r="C50" t="e" vm="49">
        <v>#VALUE!</v>
      </c>
      <c r="D50" s="17" t="str" cm="1">
        <f t="array" aca="1" ref="D50" ca="1">_FV(RTData[[#This Row],[Company Name]],"Currency")</f>
        <v>CHF</v>
      </c>
      <c r="E50" s="18" cm="1">
        <f t="array" aca="1" ref="E50" ca="1">_FV(RTData[[#This Row],[Company Name]],"Last trade time",TRUE)</f>
        <v>45959.694444444445</v>
      </c>
      <c r="F50" s="37" cm="1">
        <f t="array" aca="1" ref="F50" ca="1">_FV(RTData[[#This Row],[Company Name]],"Previous close",TRUE)</f>
        <v>60.4</v>
      </c>
      <c r="G50" s="37" cm="1">
        <f t="array" aca="1" ref="G50" ca="1">_FV(RTData[[#This Row],[Company Name]],"Open")</f>
        <v>60.4</v>
      </c>
      <c r="H50" s="37" cm="1">
        <f t="array" aca="1" ref="H50" ca="1">_FV(RTData[[#This Row],[Company Name]],"Price")</f>
        <v>60.2</v>
      </c>
      <c r="I50" s="38" cm="1">
        <f t="array" aca="1" ref="I50" ca="1">_FV(RTData[[#This Row],[Company Name]],"Low")</f>
        <v>60</v>
      </c>
      <c r="J50" s="38" cm="1">
        <f t="array" aca="1" ref="J50" ca="1">_FV(RTData[[#This Row],[Company Name]],"High")</f>
        <v>60.7</v>
      </c>
      <c r="K50" s="20" cm="1">
        <f t="array" aca="1" ref="K50" ca="1">IFERROR(_FV(RTData[[#This Row],[Company Name]],"P/E",TRUE),99)</f>
        <v>13.5892</v>
      </c>
      <c r="L50" s="21" cm="1">
        <f t="array" aca="1" ref="L50" ca="1">_FV(RTData[[#This Row],[Company Name]],"Change")</f>
        <v>-0.2</v>
      </c>
      <c r="M50" s="39" cm="1">
        <f t="array" aca="1" ref="M50" ca="1">_FV(RTData[[#This Row],[Company Name]],"Change (%)",TRUE)</f>
        <v>-3.3110000000000001E-3</v>
      </c>
      <c r="N50" s="38" cm="1">
        <f t="array" aca="1" ref="N50" ca="1">_FV(RTData[[#This Row],[Company Name]],"52 week low",TRUE)</f>
        <v>51.1</v>
      </c>
      <c r="O50" s="38" cm="1">
        <f t="array" aca="1" ref="O50" ca="1">_FV(RTData[[#This Row],[Company Name]],"52 week high",TRUE)</f>
        <v>69.5</v>
      </c>
      <c r="P50" s="23" cm="1">
        <f t="array" aca="1" ref="P50" ca="1">_FV(RTData[[#This Row],[Company Name]],"Volume")</f>
        <v>35506</v>
      </c>
      <c r="Q50" s="23" cm="1">
        <f t="array" aca="1" ref="Q50" ca="1">_FV(RTData[[#This Row],[Company Name]],"Volume average",TRUE)</f>
        <v>35070</v>
      </c>
      <c r="R50" s="19" cm="1">
        <f t="array" aca="1" ref="R50" ca="1">_FV(RTData[[#This Row],[Company Name]],"Beta")</f>
        <v>1.0155000000000001</v>
      </c>
      <c r="T50" t="s">
        <v>20</v>
      </c>
      <c r="U50" t="str" cm="1">
        <f t="array" aca="1" ref="U50" ca="1">_FV(RTData[[#This Row],[Company Name]],"Exchange abbreviation",TRUE)</f>
        <v>XSWX</v>
      </c>
      <c r="V50" s="24">
        <f ca="1">IFERROR(RTData[[#This Row],[Volume]]/RTData[[#This Row],[Volume average]],1)</f>
        <v>1.0124322783005417</v>
      </c>
      <c r="W50" s="24"/>
      <c r="X50" s="108">
        <f ca="1">_xlfn.XLOOKUP(RTData[[#This Row],[Ticker symbol]],[2]Sheet2!$B$2:$B$95,[2]Sheet2!$E$2:$E$95)</f>
        <v>61.1</v>
      </c>
      <c r="Y50" s="101">
        <f>_xlfn.LET(_xlpm.date,[2]Sheet2!F49,IF(_xlpm.date=0,"",_xlpm.date))</f>
        <v>45751</v>
      </c>
      <c r="Z50" s="101" t="str">
        <f>_xlfn.LET(_xlpm.date,[2]Sheet2!G49,IF(_xlpm.date=0,"",_xlpm.date))</f>
        <v>Jul 24, 2025</v>
      </c>
      <c r="AA50" s="102">
        <f>[2]Sheet2!$H49</f>
        <v>4.9299999999999997E-2</v>
      </c>
      <c r="AB50" s="103"/>
      <c r="AC50" s="104">
        <v>3.0000000000000001E-3</v>
      </c>
      <c r="AD50" s="90" t="s">
        <v>57</v>
      </c>
      <c r="AE50" s="105">
        <f ca="1">_xlfn.LET(_xlpm.New1YT,RTData[[#This Row],[1YT]],        _xlpm.Old1YT,IF(ISNUMBER(RTData[[#This Row],[Old1YT]]),RTData[[#This Row],[Old1YT]],VALUE(LEFT(RTData[[#This Row],[Old1YT]],FIND("/",RTData[[#This Row],[Old1YT]],1)-1))),       IF(OR(RTData[[#This Row],[1YT]]=0,_xlpm.Old1YT=0),0,(_xlpm.New1YT-_xlpm.Old1YT)/_xlpm.Old1YT))</f>
        <v>1.6393442622951052E-3</v>
      </c>
      <c r="AF50" s="105" t="str">
        <f ca="1">TEXT(RTData[[#This Row],[1YT]],"#,#0.00")&amp;" &lt; "&amp;RTData[[#This Row],[Old1YT]]</f>
        <v>61.10 &lt; 61/57</v>
      </c>
    </row>
    <row r="51" spans="1:34" x14ac:dyDescent="0.3">
      <c r="A51" s="15" t="str" cm="1">
        <f t="array" aca="1" ref="A51" ca="1">_xlfn.SINGLE(RTData[suffix])&amp;_FV(RTData[[#This Row],[Company Name]],"Ticker symbol",TRUE)</f>
        <v>VTRS</v>
      </c>
      <c r="B51" s="15">
        <f ca="1">D99</f>
        <v>0.86192035855886928</v>
      </c>
      <c r="C51" t="e" vm="50">
        <v>#VALUE!</v>
      </c>
      <c r="D51" s="17" t="str" cm="1">
        <f t="array" aca="1" ref="D51" ca="1">_FV(RTData[[#This Row],[Company Name]],"Currency")</f>
        <v>USD</v>
      </c>
      <c r="E51" s="18" cm="1">
        <f t="array" aca="1" ref="E51" ca="1">_FV(RTData[[#This Row],[Company Name]],"Last trade time",TRUE)</f>
        <v>45959.953183321093</v>
      </c>
      <c r="F51" s="19" cm="1">
        <f t="array" aca="1" ref="F51" ca="1">_FV(RTData[[#This Row],[Company Name]],"Previous close",TRUE)</f>
        <v>10.29</v>
      </c>
      <c r="G51" s="19" cm="1">
        <f t="array" aca="1" ref="G51" ca="1">_FV(RTData[[#This Row],[Company Name]],"Open")</f>
        <v>10.24</v>
      </c>
      <c r="H51" s="19" cm="1">
        <f t="array" aca="1" ref="H51" ca="1">_FV(RTData[[#This Row],[Company Name]],"Price")</f>
        <v>10.27</v>
      </c>
      <c r="I51" s="19" cm="1">
        <f t="array" aca="1" ref="I51" ca="1">_FV(RTData[[#This Row],[Company Name]],"Low")</f>
        <v>10.220000000000001</v>
      </c>
      <c r="J51" s="19" cm="1">
        <f t="array" aca="1" ref="J51" ca="1">_FV(RTData[[#This Row],[Company Name]],"High")</f>
        <v>10.42</v>
      </c>
      <c r="K51" s="20" cm="1">
        <f t="array" aca="1" ref="K51" ca="1">IFERROR(_FV(RTData[[#This Row],[Company Name]],"P/E",TRUE),99)</f>
        <v>0</v>
      </c>
      <c r="L51" s="21" cm="1">
        <f t="array" aca="1" ref="L51" ca="1">_FV(RTData[[#This Row],[Company Name]],"Change")</f>
        <v>-0.02</v>
      </c>
      <c r="M51" s="22" cm="1">
        <f t="array" aca="1" ref="M51" ca="1">_FV(RTData[[#This Row],[Company Name]],"Change (%)",TRUE)</f>
        <v>-1.944E-3</v>
      </c>
      <c r="N51" s="19" cm="1">
        <f t="array" aca="1" ref="N51" ca="1">_FV(RTData[[#This Row],[Company Name]],"52 week low",TRUE)</f>
        <v>6.85</v>
      </c>
      <c r="O51" s="19" cm="1">
        <f t="array" aca="1" ref="O51" ca="1">_FV(RTData[[#This Row],[Company Name]],"52 week high",TRUE)</f>
        <v>13.55</v>
      </c>
      <c r="P51" s="23" cm="1">
        <f t="array" aca="1" ref="P51" ca="1">_FV(RTData[[#This Row],[Company Name]],"Volume")</f>
        <v>9644033</v>
      </c>
      <c r="Q51" s="23" cm="1">
        <f t="array" aca="1" ref="Q51" ca="1">_FV(RTData[[#This Row],[Company Name]],"Volume average",TRUE)</f>
        <v>7134137</v>
      </c>
      <c r="R51" s="19" cm="1">
        <f t="array" aca="1" ref="R51" ca="1">_FV(RTData[[#This Row],[Company Name]],"Beta")</f>
        <v>0.89929999999999999</v>
      </c>
      <c r="T51" t="s">
        <v>20</v>
      </c>
      <c r="U51" t="str" cm="1">
        <f t="array" aca="1" ref="U51" ca="1">_FV(RTData[[#This Row],[Company Name]],"Exchange abbreviation",TRUE)</f>
        <v>XNAS</v>
      </c>
      <c r="V51" s="24">
        <f ca="1">IFERROR(RTData[[#This Row],[Volume]]/RTData[[#This Row],[Volume average]],1)</f>
        <v>1.3518149427183694</v>
      </c>
      <c r="W51" s="24"/>
      <c r="X51" s="108">
        <f ca="1">_xlfn.XLOOKUP(RTData[[#This Row],[Ticker symbol]],[2]Sheet2!$B$2:$B$95,[2]Sheet2!$E$2:$E$95)</f>
        <v>11.428570000000001</v>
      </c>
      <c r="Y51" s="101">
        <f>_xlfn.LET(_xlpm.date,[2]Sheet2!F50,IF(_xlpm.date=0,"",_xlpm.date))</f>
        <v>45891</v>
      </c>
      <c r="Z51" s="101" t="str">
        <f>_xlfn.LET(_xlpm.date,[2]Sheet2!G50,IF(_xlpm.date=0,"",_xlpm.date))</f>
        <v>Nov 6, 2025</v>
      </c>
      <c r="AA51" s="102">
        <f>[2]Sheet2!$H50</f>
        <v>4.9299999999999997E-2</v>
      </c>
      <c r="AB51" s="103">
        <v>1E-4</v>
      </c>
      <c r="AC51" s="104">
        <v>3.0000000000000001E-3</v>
      </c>
      <c r="AD51" s="90" t="s">
        <v>67</v>
      </c>
      <c r="AE51" s="105">
        <f ca="1">_xlfn.LET(_xlpm.New1YT,RTData[[#This Row],[1YT]],        _xlpm.Old1YT,IF(ISNUMBER(RTData[[#This Row],[Old1YT]]),RTData[[#This Row],[Old1YT]],VALUE(LEFT(RTData[[#This Row],[Old1YT]],FIND("/",RTData[[#This Row],[Old1YT]],1)-1))),       IF(OR(RTData[[#This Row],[1YT]]=0,_xlpm.Old1YT=0),0,(_xlpm.New1YT-_xlpm.Old1YT)/_xlpm.Old1YT))</f>
        <v>4.268014059753935E-3</v>
      </c>
      <c r="AF51" s="105" t="str">
        <f ca="1">TEXT(RTData[[#This Row],[1YT]],"#,#0.00")&amp;" &lt; "&amp;RTData[[#This Row],[Old1YT]]</f>
        <v>11.43 &lt; 11.38/11.59/15.57</v>
      </c>
    </row>
    <row r="52" spans="1:34" x14ac:dyDescent="0.3">
      <c r="A52" s="15" t="str" cm="1">
        <f t="array" aca="1" ref="A52" ca="1">_xlfn.SINGLE(RTData[suffix])&amp;_FV(RTData[[#This Row],[Company Name]],"Ticker symbol",TRUE)</f>
        <v>WBA</v>
      </c>
      <c r="B52" s="15">
        <f ca="1">D99</f>
        <v>0.86192035855886928</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 ca="1">_xlfn.XLOOKUP(RTData[[#This Row],[Ticker symbol]],[2]Sheet2!$B$2:$B$95,[2]Sheet2!$E$2:$E$95)</f>
        <v>12.11429</v>
      </c>
      <c r="Y52" s="101">
        <f>_xlfn.LET(_xlpm.date,[2]Sheet2!F51,IF(_xlpm.date=0,"",_xlpm.date))</f>
        <v>45614</v>
      </c>
      <c r="Z52" s="101" t="str">
        <f>_xlfn.LET(_xlpm.date,[2]Sheet2!G51,IF(_xlpm.date=0,"",_xlpm.date))</f>
        <v/>
      </c>
      <c r="AA52" s="102">
        <f>[2]Sheet2!$H51</f>
        <v>8.3500005000000002E-2</v>
      </c>
      <c r="AB52" s="103">
        <v>1E-4</v>
      </c>
      <c r="AC52" s="104">
        <v>3.0000000000000001E-3</v>
      </c>
      <c r="AD52" s="90">
        <v>21.58</v>
      </c>
      <c r="AE52" s="105">
        <f ca="1">_xlfn.LET(_xlpm.New1YT,RTData[[#This Row],[1YT]],        _xlpm.Old1YT,IF(ISNUMBER(RTData[[#This Row],[Old1YT]]),RTData[[#This Row],[Old1YT]],VALUE(LEFT(RTData[[#This Row],[Old1YT]],FIND("/",RTData[[#This Row],[Old1YT]],1)-1))),       IF(OR(RTData[[#This Row],[1YT]]=0,_xlpm.Old1YT=0),0,(_xlpm.New1YT-_xlpm.Old1YT)/_xlpm.Old1YT))</f>
        <v>-0.4386334569045412</v>
      </c>
      <c r="AF52" s="105" t="str">
        <f ca="1">TEXT(RTData[[#This Row],[1YT]],"#,#0.00")&amp;" &lt; "&amp;RTData[[#This Row],[Old1YT]]</f>
        <v>12.11 &lt; 21.58</v>
      </c>
    </row>
    <row r="53" spans="1:34" x14ac:dyDescent="0.3">
      <c r="A53" s="15" t="str" cm="1">
        <f t="array" aca="1" ref="A53" ca="1">_xlfn.SINGLE(RTData[suffix])&amp;_FV(RTData[[#This Row],[Company Name]],"Ticker symbol",TRUE)</f>
        <v>XOM</v>
      </c>
      <c r="B53" s="15">
        <f ca="1">D99</f>
        <v>0.86192035855886928</v>
      </c>
      <c r="C53" t="e" vm="52">
        <v>#VALUE!</v>
      </c>
      <c r="D53" s="17" t="str" cm="1">
        <f t="array" aca="1" ref="D53" ca="1">_FV(RTData[[#This Row],[Company Name]],"Currency")</f>
        <v>USD</v>
      </c>
      <c r="E53" s="18" cm="1">
        <f t="array" aca="1" ref="E53" ca="1">_FV(RTData[[#This Row],[Company Name]],"Last trade time",TRUE)</f>
        <v>45959.983806631251</v>
      </c>
      <c r="F53" s="19" cm="1">
        <f t="array" aca="1" ref="F53" ca="1">_FV(RTData[[#This Row],[Company Name]],"Previous close",TRUE)</f>
        <v>115.03</v>
      </c>
      <c r="G53" s="19" cm="1">
        <f t="array" aca="1" ref="G53" ca="1">_FV(RTData[[#This Row],[Company Name]],"Open")</f>
        <v>114.92</v>
      </c>
      <c r="H53" s="19" cm="1">
        <f t="array" aca="1" ref="H53" ca="1">_FV(RTData[[#This Row],[Company Name]],"Price")</f>
        <v>116.51</v>
      </c>
      <c r="I53" s="19" cm="1">
        <f t="array" aca="1" ref="I53" ca="1">_FV(RTData[[#This Row],[Company Name]],"Low")</f>
        <v>114.81</v>
      </c>
      <c r="J53" s="19" cm="1">
        <f t="array" aca="1" ref="J53" ca="1">_FV(RTData[[#This Row],[Company Name]],"High")</f>
        <v>117.05</v>
      </c>
      <c r="K53" s="20" cm="1">
        <f t="array" aca="1" ref="K53" ca="1">IFERROR(_FV(RTData[[#This Row],[Company Name]],"P/E",TRUE),99)</f>
        <v>16.5321</v>
      </c>
      <c r="L53" s="21" cm="1">
        <f t="array" aca="1" ref="L53" ca="1">_FV(RTData[[#This Row],[Company Name]],"Change")</f>
        <v>1.48</v>
      </c>
      <c r="M53" s="22" cm="1">
        <f t="array" aca="1" ref="M53" ca="1">_FV(RTData[[#This Row],[Company Name]],"Change (%)",TRUE)</f>
        <v>1.2865999999999999E-2</v>
      </c>
      <c r="N53" s="19" cm="1">
        <f t="array" aca="1" ref="N53" ca="1">_FV(RTData[[#This Row],[Company Name]],"52 week low",TRUE)</f>
        <v>97.8</v>
      </c>
      <c r="O53" s="19" cm="1">
        <f t="array" aca="1" ref="O53" ca="1">_FV(RTData[[#This Row],[Company Name]],"52 week high",TRUE)</f>
        <v>123.21</v>
      </c>
      <c r="P53" s="23" cm="1">
        <f t="array" aca="1" ref="P53" ca="1">_FV(RTData[[#This Row],[Company Name]],"Volume")</f>
        <v>12570208</v>
      </c>
      <c r="Q53" s="23" cm="1">
        <f t="array" aca="1" ref="Q53" ca="1">_FV(RTData[[#This Row],[Company Name]],"Volume average",TRUE)</f>
        <v>13011401</v>
      </c>
      <c r="R53" s="19" cm="1">
        <f t="array" aca="1" ref="R53" ca="1">_FV(RTData[[#This Row],[Company Name]],"Beta")</f>
        <v>0.46429999999999999</v>
      </c>
      <c r="T53" t="s">
        <v>20</v>
      </c>
      <c r="U53" t="str" cm="1">
        <f t="array" aca="1" ref="U53" ca="1">_FV(RTData[[#This Row],[Company Name]],"Exchange abbreviation",TRUE)</f>
        <v>XNYS</v>
      </c>
      <c r="V53" s="24">
        <f ca="1">IFERROR(RTData[[#This Row],[Volume]]/RTData[[#This Row],[Volume average]],1)</f>
        <v>0.96609181440184655</v>
      </c>
      <c r="W53" s="24"/>
      <c r="X53" s="108">
        <f ca="1">_xlfn.XLOOKUP(RTData[[#This Row],[Ticker symbol]],[2]Sheet2!$B$2:$B$95,[2]Sheet2!$E$2:$E$95)</f>
        <v>124.4512</v>
      </c>
      <c r="Y53" s="101">
        <f>_xlfn.LET(_xlpm.date,[2]Sheet2!F52,IF(_xlpm.date=0,"",_xlpm.date))</f>
        <v>45884</v>
      </c>
      <c r="Z53" s="101" t="str">
        <f>_xlfn.LET(_xlpm.date,[2]Sheet2!G52,IF(_xlpm.date=0,"",_xlpm.date))</f>
        <v>Oct 31, 2025</v>
      </c>
      <c r="AA53" s="102">
        <f>[2]Sheet2!$H52</f>
        <v>3.5799999999999998E-2</v>
      </c>
      <c r="AB53" s="103">
        <v>1E-4</v>
      </c>
      <c r="AC53" s="104">
        <v>3.0000000000000001E-3</v>
      </c>
      <c r="AD53" s="90">
        <v>132.88</v>
      </c>
      <c r="AE53" s="105">
        <f ca="1">_xlfn.LET(_xlpm.New1YT,RTData[[#This Row],[1YT]],        _xlpm.Old1YT,IF(ISNUMBER(RTData[[#This Row],[Old1YT]]),RTData[[#This Row],[Old1YT]],VALUE(LEFT(RTData[[#This Row],[Old1YT]],FIND("/",RTData[[#This Row],[Old1YT]],1)-1))),       IF(OR(RTData[[#This Row],[1YT]]=0,_xlpm.Old1YT=0),0,(_xlpm.New1YT-_xlpm.Old1YT)/_xlpm.Old1YT))</f>
        <v>-6.343166767007824E-2</v>
      </c>
      <c r="AF53" s="105" t="str">
        <f ca="1">TEXT(RTData[[#This Row],[1YT]],"#,#0.00")&amp;" &lt; "&amp;RTData[[#This Row],[Old1YT]]</f>
        <v>124.45 &lt; 132.88</v>
      </c>
    </row>
    <row r="54" spans="1:34" x14ac:dyDescent="0.3">
      <c r="A54" s="15" t="str" cm="1">
        <f t="array" aca="1" ref="A54" ca="1">_xlfn.SINGLE(RTData[suffix])&amp;_FV(RTData[[#This Row],[Company Name]],"Ticker symbol",TRUE)</f>
        <v>XPER</v>
      </c>
      <c r="B54" s="15">
        <f ca="1">D99</f>
        <v>0.86192035855886928</v>
      </c>
      <c r="C54" t="e" vm="53">
        <v>#VALUE!</v>
      </c>
      <c r="D54" s="17" t="str" cm="1">
        <f t="array" aca="1" ref="D54" ca="1">_FV(RTData[[#This Row],[Company Name]],"Currency")</f>
        <v>USD</v>
      </c>
      <c r="E54" s="18" cm="1">
        <f t="array" aca="1" ref="E54" ca="1">_FV(RTData[[#This Row],[Company Name]],"Last trade time",TRUE)</f>
        <v>45959.958333356248</v>
      </c>
      <c r="F54" s="19" cm="1">
        <f t="array" aca="1" ref="F54" ca="1">_FV(RTData[[#This Row],[Company Name]],"Previous close",TRUE)</f>
        <v>6.74</v>
      </c>
      <c r="G54" s="19" cm="1">
        <f t="array" aca="1" ref="G54" ca="1">_FV(RTData[[#This Row],[Company Name]],"Open")</f>
        <v>6.75</v>
      </c>
      <c r="H54" s="19" cm="1">
        <f t="array" aca="1" ref="H54" ca="1">_FV(RTData[[#This Row],[Company Name]],"Price")</f>
        <v>6.65</v>
      </c>
      <c r="I54" s="19" cm="1">
        <f t="array" aca="1" ref="I54" ca="1">_FV(RTData[[#This Row],[Company Name]],"Low")</f>
        <v>6.56</v>
      </c>
      <c r="J54" s="19" cm="1">
        <f t="array" aca="1" ref="J54" ca="1">_FV(RTData[[#This Row],[Company Name]],"High")</f>
        <v>6.8650000000000002</v>
      </c>
      <c r="K54" s="20" cm="1">
        <f t="array" ref="K54">IFERROR(_FV(RTData[[#This Row],[Company Name]],"P/E",TRUE),99)</f>
        <v>99</v>
      </c>
      <c r="L54" s="21" cm="1">
        <f t="array" aca="1" ref="L54" ca="1">_FV(RTData[[#This Row],[Company Name]],"Change")</f>
        <v>-0.09</v>
      </c>
      <c r="M54" s="22" cm="1">
        <f t="array" aca="1" ref="M54" ca="1">_FV(RTData[[#This Row],[Company Name]],"Change (%)",TRUE)</f>
        <v>-1.3352999999999999E-2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486406</v>
      </c>
      <c r="Q54" s="23" cm="1">
        <f t="array" aca="1" ref="Q54" ca="1">_FV(RTData[[#This Row],[Company Name]],"Volume average",TRUE)</f>
        <v>462139</v>
      </c>
      <c r="R54" s="19" cm="1">
        <f t="array" aca="1" ref="R54" ca="1">_FV(RTData[[#This Row],[Company Name]],"Beta")</f>
        <v>1.1459999999999999</v>
      </c>
      <c r="T54" t="s">
        <v>20</v>
      </c>
      <c r="U54" t="str" cm="1">
        <f t="array" aca="1" ref="U54" ca="1">_FV(RTData[[#This Row],[Company Name]],"Exchange abbreviation",TRUE)</f>
        <v>XNYS</v>
      </c>
      <c r="V54" s="24">
        <f ca="1">IFERROR(RTData[[#This Row],[Volume]]/RTData[[#This Row],[Volume average]],1)</f>
        <v>1.0525101755099655</v>
      </c>
      <c r="W54" s="24"/>
      <c r="X54" s="108">
        <f ca="1">_xlfn.XLOOKUP(RTData[[#This Row],[Ticker symbol]],[2]Sheet2!$B$2:$B$95,[2]Sheet2!$E$2:$E$95)</f>
        <v>11.4</v>
      </c>
      <c r="Y54" s="101" t="str">
        <f>_xlfn.LET(_xlpm.date,[2]Sheet2!F53,IF(_xlpm.date=0,"",_xlpm.date))</f>
        <v/>
      </c>
      <c r="Z54" s="101" t="str">
        <f>_xlfn.LET(_xlpm.date,[2]Sheet2!G53,IF(_xlpm.date=0,"",_xlpm.date))</f>
        <v/>
      </c>
      <c r="AA54" s="102">
        <f>[2]Sheet2!$H53</f>
        <v>0</v>
      </c>
      <c r="AB54" s="103">
        <v>1E-4</v>
      </c>
      <c r="AC54" s="104">
        <v>3.0000000000000001E-3</v>
      </c>
      <c r="AD54" s="90">
        <v>18.75</v>
      </c>
      <c r="AE54" s="105">
        <f ca="1">_xlfn.LET(_xlpm.New1YT,RTData[[#This Row],[1YT]],        _xlpm.Old1YT,IF(ISNUMBER(RTData[[#This Row],[Old1YT]]),RTData[[#This Row],[Old1YT]],VALUE(LEFT(RTData[[#This Row],[Old1YT]],FIND("/",RTData[[#This Row],[Old1YT]],1)-1))),       IF(OR(RTData[[#This Row],[1YT]]=0,_xlpm.Old1YT=0),0,(_xlpm.New1YT-_xlpm.Old1YT)/_xlpm.Old1YT))</f>
        <v>-0.39199999999999996</v>
      </c>
      <c r="AF54" s="105" t="str">
        <f ca="1">TEXT(RTData[[#This Row],[1YT]],"#,#0.00")&amp;" &lt; "&amp;RTData[[#This Row],[Old1YT]]</f>
        <v>11.40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45959.708333333336</v>
      </c>
      <c r="F55" s="68" cm="1">
        <f t="array" aca="1" ref="F55" ca="1">_FV(RTData[[#This Row],[Company Name]],"Previous close",TRUE)</f>
        <v>0.82</v>
      </c>
      <c r="G55" s="68" cm="1">
        <f t="array" aca="1" ref="G55" ca="1">_FV(RTData[[#This Row],[Company Name]],"Open")</f>
        <v>0.8</v>
      </c>
      <c r="H55" s="68" cm="1">
        <f t="array" aca="1" ref="H55" ca="1">_FV(RTData[[#This Row],[Company Name]],"Price")</f>
        <v>0.78600000000000003</v>
      </c>
      <c r="I55" s="68" cm="1">
        <f t="array" aca="1" ref="I55" ca="1">_FV(RTData[[#This Row],[Company Name]],"Low")</f>
        <v>0.77</v>
      </c>
      <c r="J55" s="68" cm="1">
        <f t="array" aca="1" ref="J55" ca="1">_FV(RTData[[#This Row],[Company Name]],"High")</f>
        <v>0.81</v>
      </c>
      <c r="K55" s="63" cm="1">
        <f t="array" aca="1" ref="K55" ca="1">IFERROR(_FV(RTData[[#This Row],[Company Name]],"P/E",TRUE),99)</f>
        <v>0</v>
      </c>
      <c r="L55" s="64" cm="1">
        <f t="array" aca="1" ref="L55" ca="1">_FV(RTData[[#This Row],[Company Name]],"Change")</f>
        <v>-3.4000000000000002E-2</v>
      </c>
      <c r="M55" s="65" cm="1">
        <f t="array" aca="1" ref="M55" ca="1">_FV(RTData[[#This Row],[Company Name]],"Change (%)",TRUE)</f>
        <v>-4.1463E-2</v>
      </c>
      <c r="N55" s="68" cm="1">
        <f t="array" aca="1" ref="N55" ca="1">_FV(RTData[[#This Row],[Company Name]],"52 week low",TRUE)</f>
        <v>0.65</v>
      </c>
      <c r="O55" s="68" cm="1">
        <f t="array" aca="1" ref="O55" ca="1">_FV(RTData[[#This Row],[Company Name]],"52 week high",TRUE)</f>
        <v>1.53</v>
      </c>
      <c r="P55" s="66" cm="1">
        <f t="array" aca="1" ref="P55" ca="1">_FV(RTData[[#This Row],[Company Name]],"Volume")</f>
        <v>24428</v>
      </c>
      <c r="Q55" s="66" cm="1">
        <f t="array" aca="1" ref="Q55" ca="1">_FV(RTData[[#This Row],[Company Name]],"Volume average",TRUE)</f>
        <v>6760</v>
      </c>
      <c r="R55" s="61" cm="1">
        <f t="array" aca="1" ref="R55" ca="1">_FV(RTData[[#This Row],[Company Name]],"Beta")</f>
        <v>1.0288999999999999</v>
      </c>
      <c r="S55" s="67" t="s">
        <v>23</v>
      </c>
      <c r="T55" s="67" t="s">
        <v>20</v>
      </c>
      <c r="U55" s="67" t="str" cm="1">
        <f t="array" aca="1" ref="U55" ca="1">_FV(RTData[[#This Row],[Company Name]],"Exchange abbreviation",TRUE)</f>
        <v>XPAR</v>
      </c>
      <c r="V55" s="94">
        <f ca="1">IFERROR(RTData[[#This Row],[Volume]]/RTData[[#This Row],[Volume average]],1)</f>
        <v>3.6136094674556212</v>
      </c>
      <c r="W55" s="94"/>
      <c r="X55" s="108">
        <f ca="1">_xlfn.XLOOKUP(RTData[[#This Row],[Ticker symbol]],[2]Sheet2!$B$2:$B$95,[2]Sheet2!$E$2:$E$95)</f>
        <v>1.5333300000000001</v>
      </c>
      <c r="Y55" s="101" t="str">
        <f>_xlfn.LET(_xlpm.date,[2]Sheet2!F54,IF(_xlpm.date=0,"",_xlpm.date))</f>
        <v/>
      </c>
      <c r="Z55" s="101" t="str">
        <f>_xlfn.LET(_xlpm.date,[2]Sheet2!G54,IF(_xlpm.date=0,"",_xlpm.date))</f>
        <v>--</v>
      </c>
      <c r="AA55" s="102">
        <f>[2]Sheet2!$H54</f>
        <v>0</v>
      </c>
      <c r="AB55" s="103"/>
      <c r="AC55" s="104">
        <v>3.0000000000000001E-3</v>
      </c>
      <c r="AD55" s="90">
        <v>3.87</v>
      </c>
      <c r="AE55" s="105">
        <f ca="1">_xlfn.LET(_xlpm.New1YT,RTData[[#This Row],[1YT]],        _xlpm.Old1YT,IF(ISNUMBER(RTData[[#This Row],[Old1YT]]),RTData[[#This Row],[Old1YT]],VALUE(LEFT(RTData[[#This Row],[Old1YT]],FIND("/",RTData[[#This Row],[Old1YT]],1)-1))),       IF(OR(RTData[[#This Row],[1YT]]=0,_xlpm.Old1YT=0),0,(_xlpm.New1YT-_xlpm.Old1YT)/_xlpm.Old1YT))</f>
        <v>-0.60379069767441851</v>
      </c>
      <c r="AF55" s="105" t="str">
        <f ca="1">TEXT(RTData[[#This Row],[1YT]],"#,#0.00")&amp;" &lt; "&amp;RTData[[#This Row],[Old1YT]]</f>
        <v>1.53 &lt; 3.87</v>
      </c>
      <c r="AG55" s="24"/>
      <c r="AH55" s="51"/>
    </row>
    <row r="56" spans="1:34" x14ac:dyDescent="0.3">
      <c r="A56" s="58" t="str" cm="1">
        <f t="array" aca="1" ref="A56" ca="1">_xlfn.SINGLE(RTData[suffix])&amp;_FV(RTData[[#This Row],[Company Name]],"Ticker symbol",TRUE)</f>
        <v>MVEDDD</v>
      </c>
      <c r="B56" s="58">
        <f ca="1">D99</f>
        <v>0.86192035855886928</v>
      </c>
      <c r="C56" t="e" vm="15">
        <v>#VALUE!</v>
      </c>
      <c r="D56" s="61" t="str" cm="1">
        <f t="array" aca="1" ref="D56" ca="1">_FV(RTData[[#This Row],[Company Name]],"Currency")</f>
        <v>USD</v>
      </c>
      <c r="E56" s="62" cm="1">
        <f t="array" aca="1" ref="E56" ca="1">_FV(RTData[[#This Row],[Company Name]],"Last trade time",TRUE)</f>
        <v>45959.983289166405</v>
      </c>
      <c r="F56" s="61" cm="1">
        <f t="array" aca="1" ref="F56" ca="1">_FV(RTData[[#This Row],[Company Name]],"Previous close",TRUE)</f>
        <v>3.19</v>
      </c>
      <c r="G56" s="61" cm="1">
        <f t="array" aca="1" ref="G56" ca="1">_FV(RTData[[#This Row],[Company Name]],"Open")</f>
        <v>3.19</v>
      </c>
      <c r="H56" s="61" cm="1">
        <f t="array" aca="1" ref="H56" ca="1">_FV(RTData[[#This Row],[Company Name]],"Price")</f>
        <v>3.0249999999999999</v>
      </c>
      <c r="I56" s="61" cm="1">
        <f t="array" aca="1" ref="I56" ca="1">_FV(RTData[[#This Row],[Company Name]],"Low")</f>
        <v>3.0150000000000001</v>
      </c>
      <c r="J56" s="61" cm="1">
        <f t="array" aca="1" ref="J56" ca="1">_FV(RTData[[#This Row],[Company Name]],"High")</f>
        <v>3.1999</v>
      </c>
      <c r="K56" s="63" cm="1">
        <f t="array" ref="K56">IFERROR(_FV(RTData[[#This Row],[Company Name]],"P/E",TRUE),99)</f>
        <v>99</v>
      </c>
      <c r="L56" s="64" cm="1">
        <f t="array" aca="1" ref="L56" ca="1">_FV(RTData[[#This Row],[Company Name]],"Change")</f>
        <v>-0.16500000000000001</v>
      </c>
      <c r="M56" s="65" cm="1">
        <f t="array" aca="1" ref="M56" ca="1">_FV(RTData[[#This Row],[Company Name]],"Change (%)",TRUE)</f>
        <v>-5.1723999999999999E-2</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3178293</v>
      </c>
      <c r="Q56" s="66" cm="1">
        <f t="array" aca="1" ref="Q56" ca="1">_FV(RTData[[#This Row],[Company Name]],"Volume average",TRUE)</f>
        <v>4882643</v>
      </c>
      <c r="R56" s="61" cm="1">
        <f t="array" aca="1" ref="R56" ca="1">_FV(RTData[[#This Row],[Company Name]],"Beta")</f>
        <v>2.1903999999999999</v>
      </c>
      <c r="S56" s="67" t="s">
        <v>23</v>
      </c>
      <c r="T56" s="67" t="s">
        <v>24</v>
      </c>
      <c r="U56" s="67" t="str" cm="1">
        <f t="array" aca="1" ref="U56" ca="1">_FV(RTData[[#This Row],[Company Name]],"Exchange abbreviation",TRUE)</f>
        <v>XNYS</v>
      </c>
      <c r="V56" s="94">
        <f ca="1">IFERROR(RTData[[#This Row],[Volume]]/RTData[[#This Row],[Volume average]],1)</f>
        <v>0.65093700276673927</v>
      </c>
      <c r="W56" s="94"/>
      <c r="X56" s="108">
        <f ca="1">_xlfn.XLOOKUP(RTData[[#This Row],[Ticker symbol]],[2]Sheet2!$B$2:$B$95,[2]Sheet2!$E$2:$E$95)</f>
        <v>3.25</v>
      </c>
      <c r="Y56" s="101" t="str">
        <f>_xlfn.LET(_xlpm.date,[2]Sheet2!F55,IF(_xlpm.date=0,"",_xlpm.date))</f>
        <v/>
      </c>
      <c r="Z56" s="101" t="str">
        <f>_xlfn.LET(_xlpm.date,[2]Sheet2!G55,IF(_xlpm.date=0,"",_xlpm.date))</f>
        <v>Nov 10, 2025</v>
      </c>
      <c r="AA56" s="102">
        <f>[2]Sheet2!$H55</f>
        <v>0</v>
      </c>
      <c r="AB56" s="103">
        <v>1E-4</v>
      </c>
      <c r="AC56" s="104">
        <v>3.0000000000000001E-3</v>
      </c>
      <c r="AD56" s="90">
        <v>3.94</v>
      </c>
      <c r="AE56" s="105">
        <f ca="1">_xlfn.LET(_xlpm.New1YT,RTData[[#This Row],[1YT]],        _xlpm.Old1YT,IF(ISNUMBER(RTData[[#This Row],[Old1YT]]),RTData[[#This Row],[Old1YT]],VALUE(LEFT(RTData[[#This Row],[Old1YT]],FIND("/",RTData[[#This Row],[Old1YT]],1)-1))),       IF(OR(RTData[[#This Row],[1YT]]=0,_xlpm.Old1YT=0),0,(_xlpm.New1YT-_xlpm.Old1YT)/_xlpm.Old1YT))</f>
        <v>-0.17512690355329949</v>
      </c>
      <c r="AF56" s="105" t="str">
        <f ca="1">TEXT(RTData[[#This Row],[1YT]],"#,#0.00")&amp;" &lt; "&amp;RTData[[#This Row],[Old1YT]]</f>
        <v>3.25 &lt; 3.94</v>
      </c>
      <c r="AG56" s="51"/>
    </row>
    <row r="57" spans="1:34" x14ac:dyDescent="0.3">
      <c r="A57" s="58" t="str" cm="1">
        <f t="array" aca="1" ref="A57" ca="1">_xlfn.SINGLE(RTData[suffix])&amp;_FV(RTData[[#This Row],[Company Name]],"Ticker symbol",TRUE)</f>
        <v>MVEDSY</v>
      </c>
      <c r="B57" s="58">
        <v>1</v>
      </c>
      <c r="C57" t="e" vm="17">
        <v>#VALUE!</v>
      </c>
      <c r="D57" s="61" t="str" cm="1">
        <f t="array" aca="1" ref="D57" ca="1">_FV(RTData[[#This Row],[Company Name]],"Currency")</f>
        <v>EUR</v>
      </c>
      <c r="E57" s="62" cm="1">
        <f t="array" aca="1" ref="E57" ca="1">_FV(RTData[[#This Row],[Company Name]],"Last trade time",TRUE)</f>
        <v>45959.708333333336</v>
      </c>
      <c r="F57" s="68" cm="1">
        <f t="array" aca="1" ref="F57" ca="1">_FV(RTData[[#This Row],[Company Name]],"Previous close",TRUE)</f>
        <v>24.97</v>
      </c>
      <c r="G57" s="68" cm="1">
        <f t="array" aca="1" ref="G57" ca="1">_FV(RTData[[#This Row],[Company Name]],"Open")</f>
        <v>24.89</v>
      </c>
      <c r="H57" s="68" cm="1">
        <f t="array" aca="1" ref="H57" ca="1">_FV(RTData[[#This Row],[Company Name]],"Price")</f>
        <v>24.53</v>
      </c>
      <c r="I57" s="68" cm="1">
        <f t="array" aca="1" ref="I57" ca="1">_FV(RTData[[#This Row],[Company Name]],"Low")</f>
        <v>24.42</v>
      </c>
      <c r="J57" s="68" cm="1">
        <f t="array" aca="1" ref="J57" ca="1">_FV(RTData[[#This Row],[Company Name]],"High")</f>
        <v>24.9</v>
      </c>
      <c r="K57" s="63" cm="1">
        <f t="array" aca="1" ref="K57" ca="1">IFERROR(_FV(RTData[[#This Row],[Company Name]],"P/E",TRUE),99)</f>
        <v>27.8994</v>
      </c>
      <c r="L57" s="64" cm="1">
        <f t="array" aca="1" ref="L57" ca="1">_FV(RTData[[#This Row],[Company Name]],"Change")</f>
        <v>-0.44</v>
      </c>
      <c r="M57" s="65" cm="1">
        <f t="array" aca="1" ref="M57" ca="1">_FV(RTData[[#This Row],[Company Name]],"Change (%)",TRUE)</f>
        <v>-1.7621000000000001E-2</v>
      </c>
      <c r="N57" s="68" cm="1">
        <f t="array" aca="1" ref="N57" ca="1">_FV(RTData[[#This Row],[Company Name]],"52 week low",TRUE)</f>
        <v>24.42</v>
      </c>
      <c r="O57" s="68" cm="1">
        <f t="array" aca="1" ref="O57" ca="1">_FV(RTData[[#This Row],[Company Name]],"52 week high",TRUE)</f>
        <v>41.17</v>
      </c>
      <c r="P57" s="66" cm="1">
        <f t="array" aca="1" ref="P57" ca="1">_FV(RTData[[#This Row],[Company Name]],"Volume")</f>
        <v>2114780</v>
      </c>
      <c r="Q57" s="66" cm="1">
        <f t="array" aca="1" ref="Q57" ca="1">_FV(RTData[[#This Row],[Company Name]],"Volume average",TRUE)</f>
        <v>2471550</v>
      </c>
      <c r="R57" s="61" cm="1">
        <f t="array" aca="1" ref="R57" ca="1">_FV(RTData[[#This Row],[Company Name]],"Beta")</f>
        <v>0.63790000000000002</v>
      </c>
      <c r="S57" s="67" t="s">
        <v>23</v>
      </c>
      <c r="T57" s="67" t="s">
        <v>24</v>
      </c>
      <c r="U57" s="67" t="str" cm="1">
        <f t="array" aca="1" ref="U57" ca="1">_FV(RTData[[#This Row],[Company Name]],"Exchange abbreviation",TRUE)</f>
        <v>XPAR</v>
      </c>
      <c r="V57" s="94">
        <f ca="1">IFERROR(RTData[[#This Row],[Volume]]/RTData[[#This Row],[Volume average]],1)</f>
        <v>0.85564928890777048</v>
      </c>
      <c r="W57" s="94"/>
      <c r="X57" s="108">
        <f ca="1">_xlfn.XLOOKUP(RTData[[#This Row],[Ticker symbol]],[2]Sheet2!$B$2:$B$95,[2]Sheet2!$E$2:$E$95)</f>
        <v>35.352780000000003</v>
      </c>
      <c r="Y57" s="101">
        <f>_xlfn.LET(_xlpm.date,[2]Sheet2!F56,IF(_xlpm.date=0,"",_xlpm.date))</f>
        <v>45803</v>
      </c>
      <c r="Z57" s="101" t="str">
        <f>_xlfn.LET(_xlpm.date,[2]Sheet2!G56,IF(_xlpm.date=0,"",_xlpm.date))</f>
        <v/>
      </c>
      <c r="AA57" s="102">
        <f>AA19</f>
        <v>9.1000000000000004E-3</v>
      </c>
      <c r="AB57" s="103">
        <f>AB19</f>
        <v>0</v>
      </c>
      <c r="AC57" s="104">
        <f>AC19</f>
        <v>3.0000000000000001E-3</v>
      </c>
      <c r="AD57" s="90" t="str">
        <f>AD19</f>
        <v>37.97/38.13/38.23</v>
      </c>
      <c r="AE57" s="105">
        <f ca="1">AE19</f>
        <v>2.9899920990255464</v>
      </c>
      <c r="AF57" s="105" t="str">
        <f ca="1">TEXT(RTData[[#This Row],[1YT]],"#,#0.00")&amp;" &lt; "&amp;RTData[[#This Row],[Old1YT]]</f>
        <v>35.35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45959.878472222219</v>
      </c>
      <c r="F58" s="68" cm="1">
        <f t="array" aca="1" ref="F58" ca="1">_FV(RTData[[#This Row],[Company Name]],"Previous close",TRUE)</f>
        <v>16.239999999999998</v>
      </c>
      <c r="G58" s="68" cm="1">
        <f t="array" aca="1" ref="G58" ca="1">_FV(RTData[[#This Row],[Company Name]],"Open")</f>
        <v>16.184999999999999</v>
      </c>
      <c r="H58" s="68" cm="1">
        <f t="array" aca="1" ref="H58" ca="1">_FV(RTData[[#This Row],[Company Name]],"Price")</f>
        <v>16.305</v>
      </c>
      <c r="I58" s="68" cm="1">
        <f t="array" aca="1" ref="I58" ca="1">_FV(RTData[[#This Row],[Company Name]],"Low")</f>
        <v>16.18</v>
      </c>
      <c r="J58" s="68" cm="1">
        <f t="array" aca="1" ref="J58" ca="1">_FV(RTData[[#This Row],[Company Name]],"High")</f>
        <v>16.305</v>
      </c>
      <c r="K58" s="63" cm="1">
        <f t="array" aca="1" ref="K58" ca="1">IFERROR(_FV(RTData[[#This Row],[Company Name]],"P/E",TRUE),99)</f>
        <v>13.475199999999999</v>
      </c>
      <c r="L58" s="64" cm="1">
        <f t="array" aca="1" ref="L58" ca="1">_FV(RTData[[#This Row],[Company Name]],"Change")</f>
        <v>6.5000000000000002E-2</v>
      </c>
      <c r="M58" s="65" cm="1">
        <f t="array" aca="1" ref="M58" ca="1">_FV(RTData[[#This Row],[Company Name]],"Change (%)",TRUE)</f>
        <v>4.0020000000000003E-3</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3642</v>
      </c>
      <c r="Q58" s="66" cm="1">
        <f t="array" aca="1" ref="Q58" ca="1">_FV(RTData[[#This Row],[Company Name]],"Volume average",TRUE)</f>
        <v>3076200</v>
      </c>
      <c r="R58" s="61" cm="1">
        <f t="array" aca="1" ref="R58" ca="1">_FV(RTData[[#This Row],[Company Name]],"Beta")</f>
        <v>0.72050000000000003</v>
      </c>
      <c r="S58" s="67" t="s">
        <v>23</v>
      </c>
      <c r="T58" s="67" t="s">
        <v>24</v>
      </c>
      <c r="U58" s="67" t="str" cm="1">
        <f t="array" aca="1" ref="U58" ca="1">_FV(RTData[[#This Row],[Company Name]],"Exchange abbreviation",TRUE)</f>
        <v>XFRA</v>
      </c>
      <c r="V58" s="94">
        <f ca="1">IFERROR(RTData[[#This Row],[Volume]]/RTData[[#This Row],[Volume average]],1)</f>
        <v>1.183928223132436E-3</v>
      </c>
      <c r="W58" s="94"/>
      <c r="X58" s="108">
        <f ca="1">_xlfn.XLOOKUP(RTData[[#This Row],[Ticker symbol]],[2]Sheet2!$B$2:$B$95,[2]Sheet2!$E$2:$E$95)</f>
        <v>16.882349999999999</v>
      </c>
      <c r="Y58" s="101">
        <f>_xlfn.LET(_xlpm.date,[2]Sheet2!F57,IF(_xlpm.date=0,"",_xlpm.date))</f>
        <v>45793</v>
      </c>
      <c r="Z58" s="101" t="str">
        <f>_xlfn.LET(_xlpm.date,[2]Sheet2!G57,IF(_xlpm.date=0,"",_xlpm.date))</f>
        <v/>
      </c>
      <c r="AA58" s="102">
        <f>[2]Sheet2!$H57</f>
        <v>3.4200000000000001E-2</v>
      </c>
      <c r="AB58" s="103"/>
      <c r="AC58" s="104">
        <v>3.0000000000000001E-3</v>
      </c>
      <c r="AD58" s="90">
        <v>14.8</v>
      </c>
      <c r="AE58" s="105">
        <f ca="1">_xlfn.LET(_xlpm.New1YT,RTData[[#This Row],[1YT]],        _xlpm.Old1YT,IF(ISNUMBER(RTData[[#This Row],[Old1YT]]),RTData[[#This Row],[Old1YT]],VALUE(LEFT(RTData[[#This Row],[Old1YT]],FIND("/",RTData[[#This Row],[Old1YT]],1)-1))),       IF(OR(RTData[[#This Row],[1YT]]=0,_xlpm.Old1YT=0),0,(_xlpm.New1YT-_xlpm.Old1YT)/_xlpm.Old1YT))</f>
        <v>0.14069932432432419</v>
      </c>
      <c r="AF58" s="105" t="str">
        <f ca="1">TEXT(RTData[[#This Row],[1YT]],"#,#0.00")&amp;" &lt; "&amp;RTData[[#This Row],[Old1YT]]</f>
        <v>16.88 &lt; 14.8</v>
      </c>
    </row>
    <row r="59" spans="1:34" x14ac:dyDescent="0.3">
      <c r="A59" s="57" t="str" cm="1">
        <f t="array" aca="1" ref="A59" ca="1">_xlfn.SINGLE(RTData[suffix])&amp;_FV(RTData[[#This Row],[Company Name]],"Ticker symbol",TRUE)</f>
        <v>MVEENI</v>
      </c>
      <c r="B59" s="58">
        <v>1</v>
      </c>
      <c r="C59" t="e" vm="54">
        <v>#VALUE!</v>
      </c>
      <c r="D59" s="61" t="str" cm="1">
        <f t="array" aca="1" ref="D59" ca="1">_FV(RTData[[#This Row],[Company Name]],"Currency")</f>
        <v>EUR</v>
      </c>
      <c r="E59" s="62" cm="1">
        <f t="array" aca="1" ref="E59" ca="1">_FV(RTData[[#This Row],[Company Name]],"Last trade time",TRUE)</f>
        <v>45959.708333333336</v>
      </c>
      <c r="F59" s="68" cm="1">
        <f t="array" aca="1" ref="F59" ca="1">_FV(RTData[[#This Row],[Company Name]],"Previous close",TRUE)</f>
        <v>15.885999999999999</v>
      </c>
      <c r="G59" s="68" cm="1">
        <f t="array" aca="1" ref="G59" ca="1">_FV(RTData[[#This Row],[Company Name]],"Open")</f>
        <v>15.904</v>
      </c>
      <c r="H59" s="68" cm="1">
        <f t="array" aca="1" ref="H59" ca="1">_FV(RTData[[#This Row],[Company Name]],"Price")</f>
        <v>15.962</v>
      </c>
      <c r="I59" s="68" cm="1">
        <f t="array" aca="1" ref="I59" ca="1">_FV(RTData[[#This Row],[Company Name]],"Low")</f>
        <v>15.874000000000001</v>
      </c>
      <c r="J59" s="68" cm="1">
        <f t="array" aca="1" ref="J59" ca="1">_FV(RTData[[#This Row],[Company Name]],"High")</f>
        <v>16.03</v>
      </c>
      <c r="K59" s="63" cm="1">
        <f t="array" aca="1" ref="K59" ca="1">IFERROR(_FV(RTData[[#This Row],[Company Name]],"P/E",TRUE),99)</f>
        <v>17.543900000000001</v>
      </c>
      <c r="L59" s="64" cm="1">
        <f t="array" aca="1" ref="L59" ca="1">_FV(RTData[[#This Row],[Company Name]],"Change")</f>
        <v>7.5999999999999998E-2</v>
      </c>
      <c r="M59" s="65" cm="1">
        <f t="array" aca="1" ref="M59" ca="1">_FV(RTData[[#This Row],[Company Name]],"Change (%)",TRUE)</f>
        <v>4.7840000000000001E-3</v>
      </c>
      <c r="N59" s="68" cm="1">
        <f t="array" aca="1" ref="N59" ca="1">_FV(RTData[[#This Row],[Company Name]],"52 week low",TRUE)</f>
        <v>11.01</v>
      </c>
      <c r="O59" s="68" cm="1">
        <f t="array" aca="1" ref="O59" ca="1">_FV(RTData[[#This Row],[Company Name]],"52 week high",TRUE)</f>
        <v>16.03</v>
      </c>
      <c r="P59" s="66" cm="1">
        <f t="array" aca="1" ref="P59" ca="1">_FV(RTData[[#This Row],[Company Name]],"Volume")</f>
        <v>8775537</v>
      </c>
      <c r="Q59" s="66" cm="1">
        <f t="array" aca="1" ref="Q59" ca="1">_FV(RTData[[#This Row],[Company Name]],"Volume average",TRUE)</f>
        <v>12654190</v>
      </c>
      <c r="R59" s="61" cm="1">
        <f t="array" aca="1" ref="R59" ca="1">_FV(RTData[[#This Row],[Company Name]],"Beta")</f>
        <v>1.0817000000000001</v>
      </c>
      <c r="S59" s="67" t="s">
        <v>23</v>
      </c>
      <c r="T59" s="67" t="s">
        <v>24</v>
      </c>
      <c r="U59" s="67" t="str" cm="1">
        <f t="array" aca="1" ref="U59" ca="1">_FV(RTData[[#This Row],[Company Name]],"Exchange abbreviation",TRUE)</f>
        <v>XMIL</v>
      </c>
      <c r="V59" s="94">
        <f ca="1">IFERROR(RTData[[#This Row],[Volume]]/RTData[[#This Row],[Volume average]],1)</f>
        <v>0.69348863894093582</v>
      </c>
      <c r="W59" s="94"/>
      <c r="X59" s="108">
        <f ca="1">_xlfn.XLOOKUP(RTData[[#This Row],[Ticker symbol]],[2]Sheet2!$B$2:$B$95,[2]Sheet2!$E$2:$E$95)</f>
        <v>15.586360000000001</v>
      </c>
      <c r="Y59" s="101">
        <f>_xlfn.LET(_xlpm.date,[2]Sheet2!F58,IF(_xlpm.date=0,"",_xlpm.date))</f>
        <v>45985</v>
      </c>
      <c r="Z59" s="101" t="str">
        <f>_xlfn.LET(_xlpm.date,[2]Sheet2!G58,IF(_xlpm.date=0,"",_xlpm.date))</f>
        <v/>
      </c>
      <c r="AA59" s="102">
        <f t="shared" ref="AA59:AD59" si="0">AA75</f>
        <v>6.9500000000000006E-2</v>
      </c>
      <c r="AB59" s="103">
        <f t="shared" si="0"/>
        <v>0</v>
      </c>
      <c r="AC59" s="104">
        <f t="shared" si="0"/>
        <v>3.0000000000000001E-3</v>
      </c>
      <c r="AD59" s="90" t="str">
        <f t="shared" si="0"/>
        <v>14.71/14.81/16.46</v>
      </c>
      <c r="AE59" s="105">
        <f ca="1">_xlfn.LET(_xlpm.New1YT,RTData[[#This Row],[1YT]],        _xlpm.Old1YT,IF(ISNUMBER(RTData[[#This Row],[Old1YT]]),RTData[[#This Row],[Old1YT]],VALUE(LEFT(RTData[[#This Row],[Old1YT]],FIND("/",RTData[[#This Row],[Old1YT]],1)-1))),       IF(OR(RTData[[#This Row],[1YT]]=0,_xlpm.Old1YT=0),0,(_xlpm.New1YT-_xlpm.Old1YT)/_xlpm.Old1YT))</f>
        <v>5.9575798776342621E-2</v>
      </c>
      <c r="AF59" s="105" t="str">
        <f ca="1">TEXT(RTData[[#This Row],[1YT]],"#,#0.00")&amp;" &lt; "&amp;RTData[[#This Row],[Old1YT]]</f>
        <v>15.59 &lt; 14.71/14.81/16.46</v>
      </c>
    </row>
    <row r="60" spans="1:34" x14ac:dyDescent="0.3">
      <c r="A60" s="58" t="str" cm="1">
        <f t="array" aca="1" ref="A60" ca="1">_xlfn.SINGLE(RTData[suffix])&amp;_FV(RTData[[#This Row],[Company Name]],"Ticker symbol",TRUE)</f>
        <v>MVEEPIX</v>
      </c>
      <c r="B60" s="58">
        <f ca="1">D99</f>
        <v>0.86192035855886928</v>
      </c>
      <c r="C60" t="e" vm="21">
        <v>#VALUE!</v>
      </c>
      <c r="D60" s="61" t="str" cm="1">
        <f t="array" aca="1" ref="D60" ca="1">_FV(RTData[[#This Row],[Company Name]],"Currency")</f>
        <v>USD</v>
      </c>
      <c r="E60" s="62" cm="1">
        <f t="array" aca="1" ref="E60" ca="1">_FV(RTData[[#This Row],[Company Name]],"Last trade time",TRUE)</f>
        <v>45938.992447279685</v>
      </c>
      <c r="F60" s="61" cm="1">
        <f t="array" aca="1" ref="F60" ca="1">_FV(RTData[[#This Row],[Company Name]],"Previous close",TRUE)</f>
        <v>0.20499999999999999</v>
      </c>
      <c r="G60" s="61" cm="1">
        <f t="array" aca="1" ref="G60" ca="1">_FV(RTData[[#This Row],[Company Name]],"Open")</f>
        <v>0.2</v>
      </c>
      <c r="H60" s="61" cm="1">
        <f t="array" aca="1" ref="H60" ca="1">_FV(RTData[[#This Row],[Company Name]],"Price")</f>
        <v>0.20119999999999999</v>
      </c>
      <c r="I60" s="61" cm="1">
        <f t="array" aca="1" ref="I60" ca="1">_FV(RTData[[#This Row],[Company Name]],"Low")</f>
        <v>0.18990000000000001</v>
      </c>
      <c r="J60" s="61" cm="1">
        <f t="array" aca="1" ref="J60" ca="1">_FV(RTData[[#This Row],[Company Name]],"High")</f>
        <v>0.20699999999999999</v>
      </c>
      <c r="K60" s="63" cm="1">
        <f t="array" aca="1" ref="K60" ca="1">IFERROR(_FV(RTData[[#This Row],[Company Name]],"P/E",TRUE),99)</f>
        <v>0</v>
      </c>
      <c r="L60" s="64" cm="1">
        <f t="array" aca="1" ref="L60" ca="1">_FV(RTData[[#This Row],[Company Name]],"Change")</f>
        <v>0</v>
      </c>
      <c r="M60" s="65" cm="1">
        <f t="array" aca="1" ref="M60" ca="1">_FV(RTData[[#This Row],[Company Name]],"Change (%)",TRUE)</f>
        <v>0</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5945141</v>
      </c>
      <c r="Q60" s="66" cm="1">
        <f t="array" aca="1" ref="Q60" ca="1">_FV(RTData[[#This Row],[Company Name]],"Volume average",TRUE)</f>
        <v>3209641</v>
      </c>
      <c r="R60" s="61" cm="1">
        <f t="array" aca="1" ref="R60" ca="1">_FV(RTData[[#This Row],[Company Name]],"Beta")</f>
        <v>1.5513999999999999</v>
      </c>
      <c r="S60" s="67" t="s">
        <v>23</v>
      </c>
      <c r="T60" s="67" t="s">
        <v>24</v>
      </c>
      <c r="U60" s="67" t="str" cm="1">
        <f t="array" aca="1" ref="U60" ca="1">_FV(RTData[[#This Row],[Company Name]],"Exchange abbreviation",TRUE)</f>
        <v>XNAS</v>
      </c>
      <c r="V60" s="94">
        <f ca="1">IFERROR(RTData[[#This Row],[Volume]]/RTData[[#This Row],[Volume average]],1)</f>
        <v>1.8522760022071003</v>
      </c>
      <c r="W60" s="94"/>
      <c r="X60" s="108">
        <f ca="1">_xlfn.XLOOKUP(RTData[[#This Row],[Ticker symbol]],[2]Sheet2!$B$2:$B$95,[2]Sheet2!$E$2:$E$95)</f>
        <v>0</v>
      </c>
      <c r="Y60" s="101">
        <f>_xlfn.LET(_xlpm.date,[2]Sheet2!F59,IF(_xlpm.date=0,"",_xlpm.date))</f>
        <v>45894</v>
      </c>
      <c r="Z60" s="101" t="str">
        <f>_xlfn.LET(_xlpm.date,[2]Sheet2!G59,IF(_xlpm.date=0,"",_xlpm.date))</f>
        <v>Dec 16, 2025</v>
      </c>
      <c r="AA60" s="102">
        <f>[2]Sheet2!$H59</f>
        <v>0</v>
      </c>
      <c r="AB60" s="103">
        <v>1E-4</v>
      </c>
      <c r="AC60" s="104">
        <v>3.0000000000000001E-3</v>
      </c>
      <c r="AD60" s="90">
        <v>9.32</v>
      </c>
      <c r="AE60" s="105">
        <f ca="1">_xlfn.LET(_xlpm.New1YT,RTData[[#This Row],[1YT]],        _xlpm.Old1YT,IF(ISNUMBER(RTData[[#This Row],[Old1YT]]),RTData[[#This Row],[Old1YT]],VALUE(LEFT(RTData[[#This Row],[Old1YT]],FIND("/",RTData[[#This Row],[Old1YT]],1)-1))),       IF(OR(RTData[[#This Row],[1YT]]=0,_xlpm.Old1YT=0),0,(_xlpm.New1YT-_xlpm.Old1YT)/_xlpm.Old1YT))</f>
        <v>0</v>
      </c>
      <c r="AF60" s="105" t="str">
        <f ca="1">TEXT(RTData[[#This Row],[1YT]],"#,#0.00")&amp;" &lt; "&amp;RTData[[#This Row],[Old1YT]]</f>
        <v>0.00 &lt; 9.32</v>
      </c>
    </row>
    <row r="61" spans="1:34" x14ac:dyDescent="0.3">
      <c r="A61" s="58" t="str" cm="1">
        <f t="array" aca="1" ref="A61" ca="1">_xlfn.SINGLE(RTData[suffix])&amp;_FV(RTData[[#This Row],[Company Name]],"Ticker symbol",TRUE)</f>
        <v>MVEGLE</v>
      </c>
      <c r="B61" s="58">
        <v>1</v>
      </c>
      <c r="C61" t="e" vm="55">
        <v>#VALUE!</v>
      </c>
      <c r="D61" s="61" t="str" cm="1">
        <f t="array" aca="1" ref="D61" ca="1">_FV(RTData[[#This Row],[Company Name]],"Currency")</f>
        <v>EUR</v>
      </c>
      <c r="E61" s="62" cm="1">
        <f t="array" aca="1" ref="E61" ca="1">_FV(RTData[[#This Row],[Company Name]],"Last trade time",TRUE)</f>
        <v>45959.708333333336</v>
      </c>
      <c r="F61" s="68" cm="1">
        <f t="array" aca="1" ref="F61" ca="1">_FV(RTData[[#This Row],[Company Name]],"Previous close",TRUE)</f>
        <v>54.26</v>
      </c>
      <c r="G61" s="68" cm="1">
        <f t="array" aca="1" ref="G61" ca="1">_FV(RTData[[#This Row],[Company Name]],"Open")</f>
        <v>54.34</v>
      </c>
      <c r="H61" s="68" cm="1">
        <f t="array" aca="1" ref="H61" ca="1">_FV(RTData[[#This Row],[Company Name]],"Price")</f>
        <v>54.96</v>
      </c>
      <c r="I61" s="68" cm="1">
        <f t="array" aca="1" ref="I61" ca="1">_FV(RTData[[#This Row],[Company Name]],"Low")</f>
        <v>54.06</v>
      </c>
      <c r="J61" s="68" cm="1">
        <f t="array" aca="1" ref="J61" ca="1">_FV(RTData[[#This Row],[Company Name]],"High")</f>
        <v>55.6</v>
      </c>
      <c r="K61" s="63" cm="1">
        <f t="array" aca="1" ref="K61" ca="1">IFERROR(_FV(RTData[[#This Row],[Company Name]],"P/E",TRUE),99)</f>
        <v>9.0876999999999999</v>
      </c>
      <c r="L61" s="64" cm="1">
        <f t="array" aca="1" ref="L61" ca="1">_FV(RTData[[#This Row],[Company Name]],"Change")</f>
        <v>0.7</v>
      </c>
      <c r="M61" s="65" cm="1">
        <f t="array" aca="1" ref="M61" ca="1">_FV(RTData[[#This Row],[Company Name]],"Change (%)",TRUE)</f>
        <v>1.2901000000000001E-2</v>
      </c>
      <c r="N61" s="68" cm="1">
        <f t="array" aca="1" ref="N61" ca="1">_FV(RTData[[#This Row],[Company Name]],"52 week low",TRUE)</f>
        <v>23.35</v>
      </c>
      <c r="O61" s="68" cm="1">
        <f t="array" aca="1" ref="O61" ca="1">_FV(RTData[[#This Row],[Company Name]],"52 week high",TRUE)</f>
        <v>59.42</v>
      </c>
      <c r="P61" s="66" cm="1">
        <f t="array" aca="1" ref="P61" ca="1">_FV(RTData[[#This Row],[Company Name]],"Volume")</f>
        <v>2170272</v>
      </c>
      <c r="Q61" s="66" cm="1">
        <f t="array" aca="1" ref="Q61" ca="1">_FV(RTData[[#This Row],[Company Name]],"Volume average",TRUE)</f>
        <v>1987110</v>
      </c>
      <c r="R61" s="61" cm="1">
        <f t="array" aca="1" ref="R61" ca="1">_FV(RTData[[#This Row],[Company Name]],"Beta")</f>
        <v>1.5678000000000001</v>
      </c>
      <c r="S61" s="67" t="s">
        <v>23</v>
      </c>
      <c r="T61" s="67" t="s">
        <v>24</v>
      </c>
      <c r="U61" s="67" t="str" cm="1">
        <f t="array" aca="1" ref="U61" ca="1">_FV(RTData[[#This Row],[Company Name]],"Exchange abbreviation",TRUE)</f>
        <v>XPAR</v>
      </c>
      <c r="V61" s="94">
        <f ca="1">IFERROR(RTData[[#This Row],[Volume]]/RTData[[#This Row],[Volume average]],1)</f>
        <v>1.092175068315292</v>
      </c>
      <c r="W61" s="94"/>
      <c r="X61" s="108">
        <f ca="1">_xlfn.XLOOKUP(RTData[[#This Row],[Ticker symbol]],[2]Sheet2!$B$2:$B$95,[2]Sheet2!$E$2:$E$95)</f>
        <v>63.157220000000002</v>
      </c>
      <c r="Y61" s="101">
        <f>_xlfn.LET(_xlpm.date,[2]Sheet2!F60,IF(_xlpm.date=0,"",_xlpm.date))</f>
        <v>45937</v>
      </c>
      <c r="Z61" s="101" t="str">
        <f>_xlfn.LET(_xlpm.date,[2]Sheet2!G60,IF(_xlpm.date=0,"",_xlpm.date))</f>
        <v>Oct 30, 2025</v>
      </c>
      <c r="AA61" s="102">
        <f t="shared" ref="AA61:AD61" si="1">AA78</f>
        <v>3.1600002000000002E-2</v>
      </c>
      <c r="AB61" s="103">
        <f t="shared" si="1"/>
        <v>0</v>
      </c>
      <c r="AC61" s="104">
        <f t="shared" si="1"/>
        <v>3.0000000000000001E-3</v>
      </c>
      <c r="AD61" s="90" t="str">
        <f t="shared" si="1"/>
        <v>59.77/51.92/30.4</v>
      </c>
      <c r="AE61" s="105">
        <f ca="1">_xlfn.LET(_xlpm.New1YT,RTData[[#This Row],[1YT]],        _xlpm.Old1YT,IF(ISNUMBER(RTData[[#This Row],[Old1YT]]),RTData[[#This Row],[Old1YT]],VALUE(LEFT(RTData[[#This Row],[Old1YT]],FIND("/",RTData[[#This Row],[Old1YT]],1)-1))),       IF(OR(RTData[[#This Row],[1YT]]=0,_xlpm.Old1YT=0),0,(_xlpm.New1YT-_xlpm.Old1YT)/_xlpm.Old1YT))</f>
        <v>5.6670905136356017E-2</v>
      </c>
      <c r="AF61" s="105" t="str">
        <f ca="1">TEXT(RTData[[#This Row],[1YT]],"#,#0.00")&amp;" &lt; "&amp;RTData[[#This Row],[Old1YT]]</f>
        <v>63.16 &lt; 59.77/51.92/30.4</v>
      </c>
    </row>
    <row r="62" spans="1:34" x14ac:dyDescent="0.3">
      <c r="A62" s="58" t="str" cm="1">
        <f t="array" aca="1" ref="A62" ca="1">_xlfn.SINGLE(RTData[suffix])&amp;_FV(RTData[[#This Row],[Company Name]],"Ticker symbol",TRUE)</f>
        <v>MVEORA</v>
      </c>
      <c r="B62" s="58">
        <v>1</v>
      </c>
      <c r="C62" t="e" vm="56">
        <v>#VALUE!</v>
      </c>
      <c r="D62" s="61" t="str" cm="1">
        <f t="array" aca="1" ref="D62" ca="1">_FV(RTData[[#This Row],[Company Name]],"Currency")</f>
        <v>EUR</v>
      </c>
      <c r="E62" s="62" cm="1">
        <f t="array" aca="1" ref="E62" ca="1">_FV(RTData[[#This Row],[Company Name]],"Last trade time",TRUE)</f>
        <v>45959.708333333336</v>
      </c>
      <c r="F62" s="68" cm="1">
        <f t="array" aca="1" ref="F62" ca="1">_FV(RTData[[#This Row],[Company Name]],"Previous close",TRUE)</f>
        <v>13.89</v>
      </c>
      <c r="G62" s="68" cm="1">
        <f t="array" aca="1" ref="G62" ca="1">_FV(RTData[[#This Row],[Company Name]],"Open")</f>
        <v>13.85</v>
      </c>
      <c r="H62" s="68" cm="1">
        <f t="array" aca="1" ref="H62" ca="1">_FV(RTData[[#This Row],[Company Name]],"Price")</f>
        <v>13.715</v>
      </c>
      <c r="I62" s="68" cm="1">
        <f t="array" aca="1" ref="I62" ca="1">_FV(RTData[[#This Row],[Company Name]],"Low")</f>
        <v>13.69</v>
      </c>
      <c r="J62" s="68" cm="1">
        <f t="array" aca="1" ref="J62" ca="1">_FV(RTData[[#This Row],[Company Name]],"High")</f>
        <v>13.86</v>
      </c>
      <c r="K62" s="63" cm="1">
        <f t="array" aca="1" ref="K62" ca="1">IFERROR(_FV(RTData[[#This Row],[Company Name]],"P/E",TRUE),99)</f>
        <v>43.872399999999999</v>
      </c>
      <c r="L62" s="64" cm="1">
        <f t="array" aca="1" ref="L62" ca="1">_FV(RTData[[#This Row],[Company Name]],"Change")</f>
        <v>-0.17499999999999999</v>
      </c>
      <c r="M62" s="65" cm="1">
        <f t="array" aca="1" ref="M62" ca="1">_FV(RTData[[#This Row],[Company Name]],"Change (%)",TRUE)</f>
        <v>-1.2599000000000001E-2</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4304841</v>
      </c>
      <c r="Q62" s="66" cm="1">
        <f t="array" aca="1" ref="Q62" ca="1">_FV(RTData[[#This Row],[Company Name]],"Volume average",TRUE)</f>
        <v>4207060</v>
      </c>
      <c r="R62" s="61" cm="1">
        <f t="array" aca="1" ref="R62" ca="1">_FV(RTData[[#This Row],[Company Name]],"Beta")</f>
        <v>0.30530000000000002</v>
      </c>
      <c r="S62" s="67" t="s">
        <v>23</v>
      </c>
      <c r="T62" s="67" t="s">
        <v>24</v>
      </c>
      <c r="U62" s="67" t="str" cm="1">
        <f t="array" aca="1" ref="U62" ca="1">_FV(RTData[[#This Row],[Company Name]],"Exchange abbreviation",TRUE)</f>
        <v>XPAR</v>
      </c>
      <c r="V62" s="94">
        <f ca="1">IFERROR(RTData[[#This Row],[Volume]]/RTData[[#This Row],[Volume average]],1)</f>
        <v>1.0232421215765879</v>
      </c>
      <c r="W62" s="94"/>
      <c r="X62" s="108">
        <f ca="1">_xlfn.XLOOKUP(RTData[[#This Row],[Ticker symbol]],[2]Sheet2!$B$2:$B$95,[2]Sheet2!$E$2:$E$95)</f>
        <v>15.28889</v>
      </c>
      <c r="Y62" s="101">
        <f>_xlfn.LET(_xlpm.date,[2]Sheet2!F61,IF(_xlpm.date=0,"",_xlpm.date))</f>
        <v>45993</v>
      </c>
      <c r="Z62" s="101" t="str">
        <f>_xlfn.LET(_xlpm.date,[2]Sheet2!G61,IF(_xlpm.date=0,"",_xlpm.date))</f>
        <v/>
      </c>
      <c r="AA62" s="102">
        <f t="shared" ref="AA62:AD62" si="2">AA86</f>
        <v>5.5199999999999999E-2</v>
      </c>
      <c r="AB62" s="103">
        <f t="shared" si="2"/>
        <v>0</v>
      </c>
      <c r="AC62" s="104">
        <f t="shared" si="2"/>
        <v>3.0000000000000001E-3</v>
      </c>
      <c r="AD62" s="90" t="str">
        <f t="shared" si="2"/>
        <v>14.83/14/12.94</v>
      </c>
      <c r="AE62" s="105">
        <f ca="1">_xlfn.LET(_xlpm.New1YT,RTData[[#This Row],[1YT]],        _xlpm.Old1YT,IF(ISNUMBER(RTData[[#This Row],[Old1YT]]),RTData[[#This Row],[Old1YT]],VALUE(LEFT(RTData[[#This Row],[Old1YT]],FIND("/",RTData[[#This Row],[Old1YT]],1)-1))),       IF(OR(RTData[[#This Row],[1YT]]=0,_xlpm.Old1YT=0),0,(_xlpm.New1YT-_xlpm.Old1YT)/_xlpm.Old1YT))</f>
        <v>3.0943358057990575E-2</v>
      </c>
      <c r="AF62" s="105" t="str">
        <f ca="1">TEXT(RTData[[#This Row],[1YT]],"#,#0.00")&amp;" &lt; "&amp;RTData[[#This Row],[Old1YT]]</f>
        <v>15.29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45959.878472222219</v>
      </c>
      <c r="F63" s="68" cm="1">
        <f t="array" aca="1" ref="F63" ca="1">_FV(RTData[[#This Row],[Company Name]],"Previous close",TRUE)</f>
        <v>41.1</v>
      </c>
      <c r="G63" s="68" cm="1">
        <f t="array" aca="1" ref="G63" ca="1">_FV(RTData[[#This Row],[Company Name]],"Open")</f>
        <v>41.02</v>
      </c>
      <c r="H63" s="68" cm="1">
        <f t="array" aca="1" ref="H63" ca="1">_FV(RTData[[#This Row],[Company Name]],"Price")</f>
        <v>42.3</v>
      </c>
      <c r="I63" s="68" cm="1">
        <f t="array" aca="1" ref="I63" ca="1">_FV(RTData[[#This Row],[Company Name]],"Low")</f>
        <v>41.02</v>
      </c>
      <c r="J63" s="68" cm="1">
        <f t="array" aca="1" ref="J63" ca="1">_FV(RTData[[#This Row],[Company Name]],"High")</f>
        <v>42.38</v>
      </c>
      <c r="K63" s="63" cm="1">
        <f t="array" aca="1" ref="K63" ca="1">IFERROR(_FV(RTData[[#This Row],[Company Name]],"P/E",TRUE),99)</f>
        <v>12.1203</v>
      </c>
      <c r="L63" s="64" cm="1">
        <f t="array" aca="1" ref="L63" ca="1">_FV(RTData[[#This Row],[Company Name]],"Change")</f>
        <v>1.2</v>
      </c>
      <c r="M63" s="65" cm="1">
        <f t="array" aca="1" ref="M63" ca="1">_FV(RTData[[#This Row],[Company Name]],"Change (%)",TRUE)</f>
        <v>2.9197000000000001E-2</v>
      </c>
      <c r="N63" s="68" cm="1">
        <f t="array" aca="1" ref="N63" ca="1">_FV(RTData[[#This Row],[Company Name]],"52 week low",TRUE)</f>
        <v>14.231</v>
      </c>
      <c r="O63" s="68" cm="1">
        <f t="array" aca="1" ref="O63" ca="1">_FV(RTData[[#This Row],[Company Name]],"52 week high",TRUE)</f>
        <v>44.03</v>
      </c>
      <c r="P63" s="66" cm="1">
        <f t="array" aca="1" ref="P63" ca="1">_FV(RTData[[#This Row],[Company Name]],"Volume")</f>
        <v>18717</v>
      </c>
      <c r="Q63" s="66" cm="1">
        <f t="array" aca="1" ref="Q63" ca="1">_FV(RTData[[#This Row],[Company Name]],"Volume average",TRUE)</f>
        <v>1687800</v>
      </c>
      <c r="R63" s="61" cm="1">
        <f t="array" aca="1" ref="R63" ca="1">_FV(RTData[[#This Row],[Company Name]],"Beta")</f>
        <v>0.51749999999999996</v>
      </c>
      <c r="S63" s="67" t="s">
        <v>23</v>
      </c>
      <c r="T63" s="67" t="s">
        <v>24</v>
      </c>
      <c r="U63" s="67" t="str" cm="1">
        <f t="array" aca="1" ref="U63" ca="1">_FV(RTData[[#This Row],[Company Name]],"Exchange abbreviation",TRUE)</f>
        <v>XFRA</v>
      </c>
      <c r="V63" s="94">
        <f ca="1">IFERROR(RTData[[#This Row],[Volume]]/RTData[[#This Row],[Volume average]],1)</f>
        <v>1.1089584073942411E-2</v>
      </c>
      <c r="W63" s="94"/>
      <c r="X63" s="108">
        <f ca="1">_xlfn.XLOOKUP(RTData[[#This Row],[Ticker symbol]],[2]Sheet2!$B$2:$B$95,[2]Sheet2!$E$2:$E$95)</f>
        <v>43.982349999999997</v>
      </c>
      <c r="Y63" s="101">
        <f>_xlfn.LET(_xlpm.date,[2]Sheet2!F62,IF(_xlpm.date=0,"",_xlpm.date))</f>
        <v>45779</v>
      </c>
      <c r="Z63" s="101" t="str">
        <f>_xlfn.LET(_xlpm.date,[2]Sheet2!G62,IF(_xlpm.date=0,"",_xlpm.date))</f>
        <v/>
      </c>
      <c r="AA63" s="102">
        <f>[2]Sheet2!$H62</f>
        <v>2.7199999999999998E-2</v>
      </c>
      <c r="AB63" s="103"/>
      <c r="AC63" s="104">
        <v>3.0000000000000001E-3</v>
      </c>
      <c r="AD63" s="90">
        <v>44.4</v>
      </c>
      <c r="AE63" s="105">
        <f ca="1">_xlfn.LET(_xlpm.New1YT,RTData[[#This Row],[1YT]],        _xlpm.Old1YT,IF(ISNUMBER(RTData[[#This Row],[Old1YT]]),RTData[[#This Row],[Old1YT]],VALUE(LEFT(RTData[[#This Row],[Old1YT]],FIND("/",RTData[[#This Row],[Old1YT]],1)-1))),       IF(OR(RTData[[#This Row],[1YT]]=0,_xlpm.Old1YT=0),0,(_xlpm.New1YT-_xlpm.Old1YT)/_xlpm.Old1YT))</f>
        <v>-9.4065315315315732E-3</v>
      </c>
      <c r="AF63" s="105" t="str">
        <f ca="1">TEXT(RTData[[#This Row],[1YT]],"#,#0.00")&amp;" &lt; "&amp;RTData[[#This Row],[Old1YT]]</f>
        <v>43.98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45959.930289351854</v>
      </c>
      <c r="F64" s="68" cm="1">
        <f t="array" aca="1" ref="F64" ca="1">_FV(RTData[[#This Row],[Company Name]],"Previous close",TRUE)</f>
        <v>234.1</v>
      </c>
      <c r="G64" s="68" cm="1">
        <f t="array" aca="1" ref="G64" ca="1">_FV(RTData[[#This Row],[Company Name]],"Open")</f>
        <v>231.7</v>
      </c>
      <c r="H64" s="68" cm="1">
        <f t="array" aca="1" ref="H64" ca="1">_FV(RTData[[#This Row],[Company Name]],"Price")</f>
        <v>224.3</v>
      </c>
      <c r="I64" s="68" cm="1">
        <f t="array" aca="1" ref="I64" ca="1">_FV(RTData[[#This Row],[Company Name]],"Low")</f>
        <v>223.3</v>
      </c>
      <c r="J64" s="68" cm="1">
        <f t="array" aca="1" ref="J64" ca="1">_FV(RTData[[#This Row],[Company Name]],"High")</f>
        <v>232.2</v>
      </c>
      <c r="K64" s="63" cm="1">
        <f t="array" aca="1" ref="K64" ca="1">IFERROR(_FV(RTData[[#This Row],[Company Name]],"P/E",TRUE),99)</f>
        <v>36.947400000000002</v>
      </c>
      <c r="L64" s="64" cm="1">
        <f t="array" aca="1" ref="L64" ca="1">_FV(RTData[[#This Row],[Company Name]],"Change")</f>
        <v>-9.8000000000000007</v>
      </c>
      <c r="M64" s="65" cm="1">
        <f t="array" aca="1" ref="M64" ca="1">_FV(RTData[[#This Row],[Company Name]],"Change (%)",TRUE)</f>
        <v>-4.1862000000000003E-2</v>
      </c>
      <c r="N64" s="68" cm="1">
        <f t="array" aca="1" ref="N64" ca="1">_FV(RTData[[#This Row],[Company Name]],"52 week low",TRUE)</f>
        <v>209.7</v>
      </c>
      <c r="O64" s="68" cm="1">
        <f t="array" aca="1" ref="O64" ca="1">_FV(RTData[[#This Row],[Company Name]],"52 week high",TRUE)</f>
        <v>283.5</v>
      </c>
      <c r="P64" s="66" cm="1">
        <f t="array" aca="1" ref="P64" ca="1">_FV(RTData[[#This Row],[Company Name]],"Volume")</f>
        <v>1934365</v>
      </c>
      <c r="Q64" s="66" cm="1">
        <f t="array" aca="1" ref="Q64" ca="1">_FV(RTData[[#This Row],[Company Name]],"Volume average",TRUE)</f>
        <v>1527610</v>
      </c>
      <c r="R64" s="68" cm="1">
        <f t="array" aca="1" ref="R64" ca="1">_FV(RTData[[#This Row],[Company Name]],"Beta")</f>
        <v>0.99139999999999995</v>
      </c>
      <c r="S64" s="67" t="s">
        <v>23</v>
      </c>
      <c r="T64" s="67" t="s">
        <v>24</v>
      </c>
      <c r="U64" s="67" t="str" cm="1">
        <f t="array" aca="1" ref="U64" ca="1">_FV(RTData[[#This Row],[Company Name]],"Exchange abbreviation",TRUE)</f>
        <v>XETR</v>
      </c>
      <c r="V64" s="94">
        <f ca="1">IFERROR(RTData[[#This Row],[Volume]]/RTData[[#This Row],[Volume average]],1)</f>
        <v>1.2662688775276412</v>
      </c>
      <c r="W64" s="94"/>
      <c r="X64" s="108">
        <f ca="1">_xlfn.XLOOKUP(RTData[[#This Row],[Ticker symbol]],[2]Sheet2!$B$2:$B$95,[2]Sheet2!$E$2:$E$95)</f>
        <v>287.60270000000003</v>
      </c>
      <c r="Y64" s="101">
        <f>_xlfn.LET(_xlpm.date,[2]Sheet2!F63,IF(_xlpm.date=0,"",_xlpm.date))</f>
        <v>45791</v>
      </c>
      <c r="Z64" s="101" t="str">
        <f>_xlfn.LET(_xlpm.date,[2]Sheet2!G63,IF(_xlpm.date=0,"",_xlpm.date))</f>
        <v/>
      </c>
      <c r="AA64" s="102">
        <f>[2]Sheet2!$H63</f>
        <v>1.0199999E-2</v>
      </c>
      <c r="AB64" s="103"/>
      <c r="AC64" s="104">
        <v>3.0000000000000001E-3</v>
      </c>
      <c r="AD64" s="90">
        <v>312.72000000000003</v>
      </c>
      <c r="AE64" s="105">
        <f ca="1">_xlfn.LET(_xlpm.New1YT,RTData[[#This Row],[1YT]],        _xlpm.Old1YT,IF(ISNUMBER(RTData[[#This Row],[Old1YT]]),RTData[[#This Row],[Old1YT]],VALUE(LEFT(RTData[[#This Row],[Old1YT]],FIND("/",RTData[[#This Row],[Old1YT]],1)-1))),       IF(OR(RTData[[#This Row],[1YT]]=0,_xlpm.Old1YT=0),0,(_xlpm.New1YT-_xlpm.Old1YT)/_xlpm.Old1YT))</f>
        <v>-8.0318815553850079E-2</v>
      </c>
      <c r="AF64" s="105" t="str">
        <f ca="1">TEXT(RTData[[#This Row],[1YT]],"#,#0.00")&amp;" &lt; "&amp;RTData[[#This Row],[Old1YT]]</f>
        <v>287.60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45959.878472222219</v>
      </c>
      <c r="F65" s="68" cm="1">
        <f t="array" aca="1" ref="F65" ca="1">_FV(RTData[[#This Row],[Company Name]],"Previous close",TRUE)</f>
        <v>30.25</v>
      </c>
      <c r="G65" s="68" cm="1">
        <f t="array" aca="1" ref="G65" ca="1">_FV(RTData[[#This Row],[Company Name]],"Open")</f>
        <v>30.2</v>
      </c>
      <c r="H65" s="68" cm="1">
        <f t="array" aca="1" ref="H65" ca="1">_FV(RTData[[#This Row],[Company Name]],"Price")</f>
        <v>30.5</v>
      </c>
      <c r="I65" s="68" cm="1">
        <f t="array" aca="1" ref="I65" ca="1">_FV(RTData[[#This Row],[Company Name]],"Low")</f>
        <v>30.1</v>
      </c>
      <c r="J65" s="68" cm="1">
        <f t="array" aca="1" ref="J65" ca="1">_FV(RTData[[#This Row],[Company Name]],"High")</f>
        <v>30.5</v>
      </c>
      <c r="K65" s="63" cm="1">
        <f t="array" ref="K65">IFERROR(_FV(RTData[[#This Row],[Company Name]],"P/E",TRUE),99)</f>
        <v>99</v>
      </c>
      <c r="L65" s="64" cm="1">
        <f t="array" aca="1" ref="L65" ca="1">_FV(RTData[[#This Row],[Company Name]],"Change")</f>
        <v>0.25</v>
      </c>
      <c r="M65" s="65" cm="1">
        <f t="array" aca="1" ref="M65" ca="1">_FV(RTData[[#This Row],[Company Name]],"Change (%)",TRUE)</f>
        <v>8.2640000000000005E-3</v>
      </c>
      <c r="N65" s="68" cm="1">
        <f t="array" aca="1" ref="N65" ca="1">_FV(RTData[[#This Row],[Company Name]],"52 week low",TRUE)</f>
        <v>2.1</v>
      </c>
      <c r="O65" s="68" cm="1">
        <f t="array" aca="1" ref="O65" ca="1">_FV(RTData[[#This Row],[Company Name]],"52 week high",TRUE)</f>
        <v>73.5</v>
      </c>
      <c r="P65" s="66" cm="1">
        <f t="array" aca="1" ref="P65" ca="1">_FV(RTData[[#This Row],[Company Name]],"Volume")</f>
        <v>75</v>
      </c>
      <c r="Q65" s="66" cm="1">
        <f t="array" aca="1" ref="Q65" ca="1">_FV(RTData[[#This Row],[Company Name]],"Volume average",TRUE)</f>
        <v>6150</v>
      </c>
      <c r="R65" s="61" cm="1">
        <f t="array" aca="1" ref="R65" ca="1">_FV(RTData[[#This Row],[Company Name]],"Beta")</f>
        <v>1.0677000000000001</v>
      </c>
      <c r="S65" s="67" t="s">
        <v>23</v>
      </c>
      <c r="T65" s="67" t="s">
        <v>24</v>
      </c>
      <c r="U65" s="67" t="str" cm="1">
        <f t="array" aca="1" ref="U65" ca="1">_FV(RTData[[#This Row],[Company Name]],"Exchange abbreviation",TRUE)</f>
        <v>XFRA</v>
      </c>
      <c r="V65" s="94">
        <f ca="1">IFERROR(RTData[[#This Row],[Volume]]/RTData[[#This Row],[Volume average]],1)</f>
        <v>1.2195121951219513E-2</v>
      </c>
      <c r="W65" s="94"/>
      <c r="X65" s="108">
        <f ca="1">_xlfn.XLOOKUP(RTData[[#This Row],[Ticker symbol]],[2]Sheet2!$B$2:$B$95,[2]Sheet2!$E$2:$E$95)</f>
        <v>0</v>
      </c>
      <c r="Y65" s="101" t="str">
        <f>_xlfn.LET(_xlpm.date,[2]Sheet2!F64,IF(_xlpm.date=0,"",_xlpm.date))</f>
        <v/>
      </c>
      <c r="Z65" s="101" t="str">
        <f>_xlfn.LET(_xlpm.date,[2]Sheet2!G64,IF(_xlpm.date=0,"",_xlpm.date))</f>
        <v/>
      </c>
      <c r="AA65" s="102">
        <f>[2]Sheet2!$H64</f>
        <v>0</v>
      </c>
      <c r="AB65" s="103">
        <f t="shared" ref="AB65:AC65" si="3">AB48</f>
        <v>0</v>
      </c>
      <c r="AC65" s="104">
        <f t="shared" si="3"/>
        <v>3.0000000000000001E-3</v>
      </c>
      <c r="AD65" s="90">
        <v>45.9</v>
      </c>
      <c r="AE65" s="105">
        <f ca="1">_xlfn.LET(_xlpm.New1YT,RTData[[#This Row],[1YT]],        _xlpm.Old1YT,IF(ISNUMBER(RTData[[#This Row],[Old1YT]]),RTData[[#This Row],[Old1YT]],VALUE(LEFT(RTData[[#This Row],[Old1YT]],FIND("/",RTData[[#This Row],[Old1YT]],1)-1))),       IF(OR(RTData[[#This Row],[1YT]]=0,_xlpm.Old1YT=0),0,(_xlpm.New1YT-_xlpm.Old1YT)/_xlpm.Old1YT))</f>
        <v>0</v>
      </c>
      <c r="AF65" s="105" t="str">
        <f ca="1">TEXT(RTData[[#This Row],[1YT]],"#,#0.00")&amp;" &lt; "&amp;RTData[[#This Row],[Old1YT]]</f>
        <v>0.00 &lt; 45.9</v>
      </c>
    </row>
    <row r="66" spans="1:32" x14ac:dyDescent="0.3">
      <c r="A66" s="40" t="str" cm="1">
        <f t="array" aca="1" ref="A66" ca="1">_xlfn.SINGLE(RTData[suffix])&amp;_FV(RTData[[#This Row],[Company Name]],"Ticker symbol",TRUE)</f>
        <v>SAFAAPL</v>
      </c>
      <c r="B66" s="40">
        <f ca="1">D99</f>
        <v>0.86192035855886928</v>
      </c>
      <c r="C66" t="e" vm="1">
        <v>#VALUE!</v>
      </c>
      <c r="D66" s="17" t="str" cm="1">
        <f t="array" aca="1" ref="D66" ca="1">_FV(RTData[[#This Row],[Company Name]],"Currency")</f>
        <v>USD</v>
      </c>
      <c r="E66" s="18" cm="1">
        <f t="array" aca="1" ref="E66" ca="1">_FV(RTData[[#This Row],[Company Name]],"Last trade time",TRUE)</f>
        <v>45959.983823089846</v>
      </c>
      <c r="F66" s="19" cm="1">
        <f t="array" aca="1" ref="F66" ca="1">_FV(RTData[[#This Row],[Company Name]],"Previous close",TRUE)</f>
        <v>269</v>
      </c>
      <c r="G66" s="19" cm="1">
        <f t="array" aca="1" ref="G66" ca="1">_FV(RTData[[#This Row],[Company Name]],"Open")</f>
        <v>269.27499999999998</v>
      </c>
      <c r="H66" s="19" cm="1">
        <f t="array" aca="1" ref="H66" ca="1">_FV(RTData[[#This Row],[Company Name]],"Price")</f>
        <v>269.7</v>
      </c>
      <c r="I66" s="19" cm="1">
        <f t="array" aca="1" ref="I66" ca="1">_FV(RTData[[#This Row],[Company Name]],"Low")</f>
        <v>267.11</v>
      </c>
      <c r="J66" s="19" cm="1">
        <f t="array" aca="1" ref="J66" ca="1">_FV(RTData[[#This Row],[Company Name]],"High")</f>
        <v>271.41000000000003</v>
      </c>
      <c r="K66" s="20" cm="1">
        <f t="array" aca="1" ref="K66" ca="1">IFERROR(_FV(RTData[[#This Row],[Company Name]],"P/E",TRUE),99)</f>
        <v>37.198500000000003</v>
      </c>
      <c r="L66" s="21" cm="1">
        <f t="array" aca="1" ref="L66" ca="1">_FV(RTData[[#This Row],[Company Name]],"Change")</f>
        <v>0.7</v>
      </c>
      <c r="M66" s="22" cm="1">
        <f t="array" aca="1" ref="M66" ca="1">_FV(RTData[[#This Row],[Company Name]],"Change (%)",TRUE)</f>
        <v>2.6019999999999997E-3</v>
      </c>
      <c r="N66" s="19" cm="1">
        <f t="array" aca="1" ref="N66" ca="1">_FV(RTData[[#This Row],[Company Name]],"52 week low",TRUE)</f>
        <v>169.21010000000001</v>
      </c>
      <c r="O66" s="19" cm="1">
        <f t="array" aca="1" ref="O66" ca="1">_FV(RTData[[#This Row],[Company Name]],"52 week high",TRUE)</f>
        <v>271.41000000000003</v>
      </c>
      <c r="P66" s="23" cm="1">
        <f t="array" aca="1" ref="P66" ca="1">_FV(RTData[[#This Row],[Company Name]],"Volume")</f>
        <v>51048449</v>
      </c>
      <c r="Q66" s="23" cm="1">
        <f t="array" aca="1" ref="Q66" ca="1">_FV(RTData[[#This Row],[Company Name]],"Volume average",TRUE)</f>
        <v>44456638</v>
      </c>
      <c r="R66" s="19" cm="1">
        <f t="array" aca="1" ref="R66" ca="1">_FV(RTData[[#This Row],[Company Name]],"Beta")</f>
        <v>1.0866</v>
      </c>
      <c r="S66" t="s">
        <v>25</v>
      </c>
      <c r="T66" t="s">
        <v>26</v>
      </c>
      <c r="U66" t="str" cm="1">
        <f t="array" aca="1" ref="U66" ca="1">_FV(RTData[[#This Row],[Company Name]],"Exchange abbreviation",TRUE)</f>
        <v>XNAS</v>
      </c>
      <c r="V66" s="24">
        <f ca="1">IFERROR(RTData[[#This Row],[Volume]]/RTData[[#This Row],[Volume average]],1)</f>
        <v>1.1482750674938578</v>
      </c>
      <c r="W66" s="24"/>
      <c r="X66" s="108">
        <f ca="1">_xlfn.XLOOKUP(RTData[[#This Row],[Ticker symbol]],[2]Sheet2!$B$2:$B$95,[2]Sheet2!$E$2:$E$95)</f>
        <v>248.17128</v>
      </c>
      <c r="Y66" s="101">
        <f>_xlfn.LET(_xlpm.date,[2]Sheet2!F65,IF(_xlpm.date=0,"",_xlpm.date))</f>
        <v>45880</v>
      </c>
      <c r="Z66" s="101" t="str">
        <f>_xlfn.LET(_xlpm.date,[2]Sheet2!G65,IF(_xlpm.date=0,"",_xlpm.date))</f>
        <v>Oct 30, 2025</v>
      </c>
      <c r="AA66" s="102">
        <f>[2]Sheet2!$H65</f>
        <v>4.1999999999999997E-3</v>
      </c>
      <c r="AB66" s="103">
        <v>1E-4</v>
      </c>
      <c r="AC66" s="104">
        <v>3.0000000000000001E-3</v>
      </c>
      <c r="AD66" s="90">
        <v>207.58</v>
      </c>
      <c r="AE66" s="105">
        <f ca="1">_xlfn.LET(_xlpm.New1YT,RTData[[#This Row],[1YT]],        _xlpm.Old1YT,IF(ISNUMBER(RTData[[#This Row],[Old1YT]]),RTData[[#This Row],[Old1YT]],VALUE(LEFT(RTData[[#This Row],[Old1YT]],FIND("/",RTData[[#This Row],[Old1YT]],1)-1))),       IF(OR(RTData[[#This Row],[1YT]]=0,_xlpm.Old1YT=0),0,(_xlpm.New1YT-_xlpm.Old1YT)/_xlpm.Old1YT))</f>
        <v>0.19554523557182762</v>
      </c>
      <c r="AF66" s="105" t="str">
        <f ca="1">TEXT(RTData[[#This Row],[1YT]],"#,#0.00")&amp;" &lt; "&amp;RTData[[#This Row],[Old1YT]]</f>
        <v>248.17 &lt; 207.58</v>
      </c>
    </row>
    <row r="67" spans="1:32" x14ac:dyDescent="0.3">
      <c r="A67" s="40" t="str" cm="1">
        <f t="array" aca="1" ref="A67" ca="1">_xlfn.SINGLE(RTData[suffix])&amp;_FV(RTData[[#This Row],[Company Name]],"Ticker symbol",TRUE)</f>
        <v>SAFAMZN</v>
      </c>
      <c r="B67" s="40">
        <f ca="1">D99</f>
        <v>0.86192035855886928</v>
      </c>
      <c r="C67" t="e" vm="4">
        <v>#VALUE!</v>
      </c>
      <c r="D67" s="17" t="str" cm="1">
        <f t="array" aca="1" ref="D67" ca="1">_FV(RTData[[#This Row],[Company Name]],"Currency")</f>
        <v>USD</v>
      </c>
      <c r="E67" s="18" cm="1">
        <f t="array" aca="1" ref="E67" ca="1">_FV(RTData[[#This Row],[Company Name]],"Last trade time",TRUE)</f>
        <v>45959.983861214845</v>
      </c>
      <c r="F67" s="19" cm="1">
        <f t="array" aca="1" ref="F67" ca="1">_FV(RTData[[#This Row],[Company Name]],"Previous close",TRUE)</f>
        <v>229.25</v>
      </c>
      <c r="G67" s="19" cm="1">
        <f t="array" aca="1" ref="G67" ca="1">_FV(RTData[[#This Row],[Company Name]],"Open")</f>
        <v>231.672</v>
      </c>
      <c r="H67" s="19" cm="1">
        <f t="array" aca="1" ref="H67" ca="1">_FV(RTData[[#This Row],[Company Name]],"Price")</f>
        <v>230.3</v>
      </c>
      <c r="I67" s="19" cm="1">
        <f t="array" aca="1" ref="I67" ca="1">_FV(RTData[[#This Row],[Company Name]],"Low")</f>
        <v>227.76</v>
      </c>
      <c r="J67" s="19" cm="1">
        <f t="array" aca="1" ref="J67" ca="1">_FV(RTData[[#This Row],[Company Name]],"High")</f>
        <v>232.82</v>
      </c>
      <c r="K67" s="20" cm="1">
        <f t="array" aca="1" ref="K67" ca="1">IFERROR(_FV(RTData[[#This Row],[Company Name]],"P/E",TRUE),99)</f>
        <v>35.143099999999997</v>
      </c>
      <c r="L67" s="21" cm="1">
        <f t="array" aca="1" ref="L67" ca="1">_FV(RTData[[#This Row],[Company Name]],"Change")</f>
        <v>1.05</v>
      </c>
      <c r="M67" s="22" cm="1">
        <f t="array" aca="1" ref="M67" ca="1">_FV(RTData[[#This Row],[Company Name]],"Change (%)",TRUE)</f>
        <v>4.5799999999999999E-3</v>
      </c>
      <c r="N67" s="19" cm="1">
        <f t="array" aca="1" ref="N67" ca="1">_FV(RTData[[#This Row],[Company Name]],"52 week low",TRUE)</f>
        <v>161.38</v>
      </c>
      <c r="O67" s="19" cm="1">
        <f t="array" aca="1" ref="O67" ca="1">_FV(RTData[[#This Row],[Company Name]],"52 week high",TRUE)</f>
        <v>242.52</v>
      </c>
      <c r="P67" s="23" cm="1">
        <f t="array" aca="1" ref="P67" ca="1">_FV(RTData[[#This Row],[Company Name]],"Volume")</f>
        <v>51990540</v>
      </c>
      <c r="Q67" s="23" cm="1">
        <f t="array" aca="1" ref="Q67" ca="1">_FV(RTData[[#This Row],[Company Name]],"Volume average",TRUE)</f>
        <v>44491514</v>
      </c>
      <c r="R67" s="19" cm="1">
        <f t="array" aca="1" ref="R67" ca="1">_FV(RTData[[#This Row],[Company Name]],"Beta")</f>
        <v>1.2853000000000001</v>
      </c>
      <c r="S67" t="s">
        <v>25</v>
      </c>
      <c r="T67" t="s">
        <v>26</v>
      </c>
      <c r="U67" t="str" cm="1">
        <f t="array" aca="1" ref="U67" ca="1">_FV(RTData[[#This Row],[Company Name]],"Exchange abbreviation",TRUE)</f>
        <v>XNAS</v>
      </c>
      <c r="V67" s="24">
        <f ca="1">IFERROR(RTData[[#This Row],[Volume]]/RTData[[#This Row],[Volume average]],1)</f>
        <v>1.168549580039016</v>
      </c>
      <c r="W67" s="24"/>
      <c r="X67" s="108">
        <f ca="1">_xlfn.XLOOKUP(RTData[[#This Row],[Ticker symbol]],[2]Sheet2!$B$2:$B$95,[2]Sheet2!$E$2:$E$95)</f>
        <v>266.56450000000001</v>
      </c>
      <c r="Y67" s="101" t="str">
        <f>_xlfn.LET(_xlpm.date,[2]Sheet2!F66,IF(_xlpm.date=0,"",_xlpm.date))</f>
        <v/>
      </c>
      <c r="Z67" s="101" t="str">
        <f>_xlfn.LET(_xlpm.date,[2]Sheet2!G66,IF(_xlpm.date=0,"",_xlpm.date))</f>
        <v>Oct 30, 2025</v>
      </c>
      <c r="AA67" s="102">
        <f>[2]Sheet2!$H66</f>
        <v>0</v>
      </c>
      <c r="AB67" s="103">
        <v>1E-4</v>
      </c>
      <c r="AC67" s="104">
        <v>3.0000000000000001E-3</v>
      </c>
      <c r="AD67" s="90">
        <v>227.1</v>
      </c>
      <c r="AE67" s="105">
        <f ca="1">_xlfn.LET(_xlpm.New1YT,RTData[[#This Row],[1YT]],        _xlpm.Old1YT,IF(ISNUMBER(RTData[[#This Row],[Old1YT]]),RTData[[#This Row],[Old1YT]],VALUE(LEFT(RTData[[#This Row],[Old1YT]],FIND("/",RTData[[#This Row],[Old1YT]],1)-1))),       IF(OR(RTData[[#This Row],[1YT]]=0,_xlpm.Old1YT=0),0,(_xlpm.New1YT-_xlpm.Old1YT)/_xlpm.Old1YT))</f>
        <v>0.17377586966094238</v>
      </c>
      <c r="AF67" s="105" t="str">
        <f ca="1">TEXT(RTData[[#This Row],[1YT]],"#,#0.00")&amp;" &lt; "&amp;RTData[[#This Row],[Old1YT]]</f>
        <v>266.56 &lt; 227.1</v>
      </c>
    </row>
    <row r="68" spans="1:32" x14ac:dyDescent="0.3">
      <c r="A68" s="40" t="str" cm="1">
        <f t="array" aca="1" ref="A68" ca="1">_xlfn.SINGLE(RTData[suffix])&amp;_FV(RTData[[#This Row],[Company Name]],"Ticker symbol",TRUE)</f>
        <v>SAFASML</v>
      </c>
      <c r="B68" s="40">
        <v>1</v>
      </c>
      <c r="C68" t="e" vm="6">
        <v>#VALUE!</v>
      </c>
      <c r="D68" s="17" t="str" cm="1">
        <f t="array" aca="1" ref="D68" ca="1">_FV(RTData[[#This Row],[Company Name]],"Currency")</f>
        <v>EUR</v>
      </c>
      <c r="E68" s="18" cm="1">
        <f t="array" aca="1" ref="E68" ca="1">_FV(RTData[[#This Row],[Company Name]],"Last trade time",TRUE)</f>
        <v>45959.708333333336</v>
      </c>
      <c r="F68" s="28" cm="1">
        <f t="array" aca="1" ref="F68" ca="1">_FV(RTData[[#This Row],[Company Name]],"Previous close",TRUE)</f>
        <v>907.4</v>
      </c>
      <c r="G68" s="28" cm="1">
        <f t="array" aca="1" ref="G68" ca="1">_FV(RTData[[#This Row],[Company Name]],"Open")</f>
        <v>904</v>
      </c>
      <c r="H68" s="28" cm="1">
        <f t="array" aca="1" ref="H68" ca="1">_FV(RTData[[#This Row],[Company Name]],"Price")</f>
        <v>919.4</v>
      </c>
      <c r="I68" s="28" cm="1">
        <f t="array" aca="1" ref="I68" ca="1">_FV(RTData[[#This Row],[Company Name]],"Low")</f>
        <v>902.3</v>
      </c>
      <c r="J68" s="28" cm="1">
        <f t="array" aca="1" ref="J68" ca="1">_FV(RTData[[#This Row],[Company Name]],"High")</f>
        <v>928.4</v>
      </c>
      <c r="K68" s="20" cm="1">
        <f t="array" aca="1" ref="K68" ca="1">IFERROR(_FV(RTData[[#This Row],[Company Name]],"P/E",TRUE),99)</f>
        <v>34.840899999999998</v>
      </c>
      <c r="L68" s="21" cm="1">
        <f t="array" aca="1" ref="L68" ca="1">_FV(RTData[[#This Row],[Company Name]],"Change")</f>
        <v>12</v>
      </c>
      <c r="M68" s="22" cm="1">
        <f t="array" aca="1" ref="M68" ca="1">_FV(RTData[[#This Row],[Company Name]],"Change (%)",TRUE)</f>
        <v>1.3225000000000001E-2</v>
      </c>
      <c r="N68" s="28" cm="1">
        <f t="array" aca="1" ref="N68" ca="1">_FV(RTData[[#This Row],[Company Name]],"52 week low",TRUE)</f>
        <v>508.4</v>
      </c>
      <c r="O68" s="28" cm="1">
        <f t="array" aca="1" ref="O68" ca="1">_FV(RTData[[#This Row],[Company Name]],"52 week high",TRUE)</f>
        <v>928.4</v>
      </c>
      <c r="P68" s="23" cm="1">
        <f t="array" aca="1" ref="P68" ca="1">_FV(RTData[[#This Row],[Company Name]],"Volume")</f>
        <v>694357</v>
      </c>
      <c r="Q68" s="23" cm="1">
        <f t="array" aca="1" ref="Q68" ca="1">_FV(RTData[[#This Row],[Company Name]],"Volume average",TRUE)</f>
        <v>645470</v>
      </c>
      <c r="R68" s="19" cm="1">
        <f t="array" aca="1" ref="R68" ca="1">_FV(RTData[[#This Row],[Company Name]],"Beta")</f>
        <v>1.9643999999999999</v>
      </c>
      <c r="S68" t="s">
        <v>25</v>
      </c>
      <c r="T68" t="s">
        <v>26</v>
      </c>
      <c r="U68" t="str" cm="1">
        <f t="array" aca="1" ref="U68" ca="1">_FV(RTData[[#This Row],[Company Name]],"Exchange abbreviation",TRUE)</f>
        <v>XAMS</v>
      </c>
      <c r="V68" s="24">
        <f ca="1">IFERROR(RTData[[#This Row],[Volume]]/RTData[[#This Row],[Volume average]],1)</f>
        <v>1.0757386090755574</v>
      </c>
      <c r="W68" s="24"/>
      <c r="X68" s="108">
        <f ca="1">_xlfn.XLOOKUP(RTData[[#This Row],[Ticker symbol]],[2]Sheet2!$B$2:$B$95,[2]Sheet2!$E$2:$E$95)</f>
        <v>873.90326000000005</v>
      </c>
      <c r="Y68" s="101">
        <f>_xlfn.LET(_xlpm.date,[2]Sheet2!F67,IF(_xlpm.date=0,"",_xlpm.date))</f>
        <v>45866</v>
      </c>
      <c r="Z68" s="101" t="str">
        <f>_xlfn.LET(_xlpm.date,[2]Sheet2!G67,IF(_xlpm.date=0,"",_xlpm.date))</f>
        <v/>
      </c>
      <c r="AA68" s="102">
        <f>[2]Sheet2!$H67</f>
        <v>8.0000000000000002E-3</v>
      </c>
      <c r="AB68" s="103">
        <v>1E-4</v>
      </c>
      <c r="AC68" s="104">
        <v>3.0000000000000001E-3</v>
      </c>
      <c r="AD68" s="90">
        <v>1053.3</v>
      </c>
      <c r="AE68" s="105">
        <f ca="1">_xlfn.LET(_xlpm.New1YT,RTData[[#This Row],[1YT]],        _xlpm.Old1YT,IF(ISNUMBER(RTData[[#This Row],[Old1YT]]),RTData[[#This Row],[Old1YT]],VALUE(LEFT(RTData[[#This Row],[Old1YT]],FIND("/",RTData[[#This Row],[Old1YT]],1)-1))),       IF(OR(RTData[[#This Row],[1YT]]=0,_xlpm.Old1YT=0),0,(_xlpm.New1YT-_xlpm.Old1YT)/_xlpm.Old1YT))</f>
        <v>-0.17031875059337312</v>
      </c>
      <c r="AF68" s="105" t="str">
        <f ca="1">TEXT(RTData[[#This Row],[1YT]],"#,#0.00")&amp;" &lt; "&amp;RTData[[#This Row],[Old1YT]]</f>
        <v>873.90 &lt; 1053.3</v>
      </c>
    </row>
    <row r="69" spans="1:32" ht="22" customHeight="1" x14ac:dyDescent="0.3">
      <c r="A69" s="40" t="str" cm="1">
        <f t="array" aca="1" ref="A69" ca="1">_xlfn.SINGLE(RTData[suffix])&amp;_FV(RTData[[#This Row],[Company Name]],"Ticker symbol",TRUE)</f>
        <v>SAFDDD</v>
      </c>
      <c r="B69" s="40">
        <f ca="1">D99</f>
        <v>0.86192035855886928</v>
      </c>
      <c r="C69" t="e" vm="15">
        <v>#VALUE!</v>
      </c>
      <c r="D69" s="17" t="str" cm="1">
        <f t="array" aca="1" ref="D69" ca="1">_FV(RTData[[#This Row],[Company Name]],"Currency")</f>
        <v>USD</v>
      </c>
      <c r="E69" s="18" cm="1">
        <f t="array" aca="1" ref="E69" ca="1">_FV(RTData[[#This Row],[Company Name]],"Last trade time",TRUE)</f>
        <v>45959.983289166405</v>
      </c>
      <c r="F69" s="19" cm="1">
        <f t="array" aca="1" ref="F69" ca="1">_FV(RTData[[#This Row],[Company Name]],"Previous close",TRUE)</f>
        <v>3.19</v>
      </c>
      <c r="G69" s="19" cm="1">
        <f t="array" aca="1" ref="G69" ca="1">_FV(RTData[[#This Row],[Company Name]],"Open")</f>
        <v>3.19</v>
      </c>
      <c r="H69" s="19" cm="1">
        <f t="array" aca="1" ref="H69" ca="1">_FV(RTData[[#This Row],[Company Name]],"Price")</f>
        <v>3.0249999999999999</v>
      </c>
      <c r="I69" s="19" cm="1">
        <f t="array" aca="1" ref="I69" ca="1">_FV(RTData[[#This Row],[Company Name]],"Low")</f>
        <v>3.0150000000000001</v>
      </c>
      <c r="J69" s="19" cm="1">
        <f t="array" aca="1" ref="J69" ca="1">_FV(RTData[[#This Row],[Company Name]],"High")</f>
        <v>3.1999</v>
      </c>
      <c r="K69" s="20" cm="1">
        <f t="array" ref="K69">IFERROR(_FV(RTData[[#This Row],[Company Name]],"P/E",TRUE),99)</f>
        <v>99</v>
      </c>
      <c r="L69" s="21" cm="1">
        <f t="array" aca="1" ref="L69" ca="1">_FV(RTData[[#This Row],[Company Name]],"Change")</f>
        <v>-0.16500000000000001</v>
      </c>
      <c r="M69" s="22" cm="1">
        <f t="array" aca="1" ref="M69" ca="1">_FV(RTData[[#This Row],[Company Name]],"Change (%)",TRUE)</f>
        <v>-5.1723999999999999E-2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3178293</v>
      </c>
      <c r="Q69" s="23" cm="1">
        <f t="array" aca="1" ref="Q69" ca="1">_FV(RTData[[#This Row],[Company Name]],"Volume average",TRUE)</f>
        <v>4882643</v>
      </c>
      <c r="R69" s="19" cm="1">
        <f t="array" aca="1" ref="R69" ca="1">_FV(RTData[[#This Row],[Company Name]],"Beta")</f>
        <v>2.1903999999999999</v>
      </c>
      <c r="S69" t="s">
        <v>25</v>
      </c>
      <c r="T69" t="s">
        <v>26</v>
      </c>
      <c r="U69" t="str" cm="1">
        <f t="array" aca="1" ref="U69" ca="1">_FV(RTData[[#This Row],[Company Name]],"Exchange abbreviation",TRUE)</f>
        <v>XNYS</v>
      </c>
      <c r="V69" s="24">
        <f ca="1">IFERROR(RTData[[#This Row],[Volume]]/RTData[[#This Row],[Volume average]],1)</f>
        <v>0.65093700276673927</v>
      </c>
      <c r="W69" s="24"/>
      <c r="X69" s="108">
        <f ca="1">_xlfn.XLOOKUP(RTData[[#This Row],[Ticker symbol]],[2]Sheet2!$B$2:$B$95,[2]Sheet2!$E$2:$E$95)</f>
        <v>3.25</v>
      </c>
      <c r="Y69" s="101" t="str">
        <f>_xlfn.LET(_xlpm.date,[2]Sheet2!F68,IF(_xlpm.date=0,"",_xlpm.date))</f>
        <v/>
      </c>
      <c r="Z69" s="101" t="str">
        <f>_xlfn.LET(_xlpm.date,[2]Sheet2!G68,IF(_xlpm.date=0,"",_xlpm.date))</f>
        <v>Nov 10, 2025</v>
      </c>
      <c r="AA69" s="102">
        <f>[2]Sheet2!$H68</f>
        <v>0</v>
      </c>
      <c r="AB69" s="103">
        <v>1E-4</v>
      </c>
      <c r="AC69" s="104">
        <v>3.0000000000000001E-3</v>
      </c>
      <c r="AD69" s="90">
        <v>5.45</v>
      </c>
      <c r="AE69" s="105">
        <f ca="1">_xlfn.LET(_xlpm.New1YT,RTData[[#This Row],[1YT]],        _xlpm.Old1YT,IF(ISNUMBER(RTData[[#This Row],[Old1YT]]),RTData[[#This Row],[Old1YT]],VALUE(LEFT(RTData[[#This Row],[Old1YT]],FIND("/",RTData[[#This Row],[Old1YT]],1)-1))),       IF(OR(RTData[[#This Row],[1YT]]=0,_xlpm.Old1YT=0),0,(_xlpm.New1YT-_xlpm.Old1YT)/_xlpm.Old1YT))</f>
        <v>-0.40366972477064222</v>
      </c>
      <c r="AF69" s="105" t="str">
        <f ca="1">TEXT(RTData[[#This Row],[1YT]],"#,#0.00")&amp;" &lt; "&amp;RTData[[#This Row],[Old1YT]]</f>
        <v>3.25 &lt; 5.45</v>
      </c>
    </row>
    <row r="70" spans="1:32" x14ac:dyDescent="0.3">
      <c r="A70" s="40" t="str" cm="1">
        <f t="array" aca="1" ref="A70" ca="1">_xlfn.SINGLE(RTData[suffix])&amp;_FV(RTData[[#This Row],[Company Name]],"Ticker symbol",TRUE)</f>
        <v>SAFDIS</v>
      </c>
      <c r="B70" s="40">
        <f ca="1">D99</f>
        <v>0.86192035855886928</v>
      </c>
      <c r="C70" t="e" vm="16">
        <v>#VALUE!</v>
      </c>
      <c r="D70" s="17" t="str" cm="1">
        <f t="array" aca="1" ref="D70" ca="1">_FV(RTData[[#This Row],[Company Name]],"Currency")</f>
        <v>USD</v>
      </c>
      <c r="E70" s="18" cm="1">
        <f t="array" aca="1" ref="E70" ca="1">_FV(RTData[[#This Row],[Company Name]],"Last trade time",TRUE)</f>
        <v>45959.983463286721</v>
      </c>
      <c r="F70" s="19" cm="1">
        <f t="array" aca="1" ref="F70" ca="1">_FV(RTData[[#This Row],[Company Name]],"Previous close",TRUE)</f>
        <v>111.65</v>
      </c>
      <c r="G70" s="19" cm="1">
        <f t="array" aca="1" ref="G70" ca="1">_FV(RTData[[#This Row],[Company Name]],"Open")</f>
        <v>111.18</v>
      </c>
      <c r="H70" s="19" cm="1">
        <f t="array" aca="1" ref="H70" ca="1">_FV(RTData[[#This Row],[Company Name]],"Price")</f>
        <v>110.28</v>
      </c>
      <c r="I70" s="19" cm="1">
        <f t="array" aca="1" ref="I70" ca="1">_FV(RTData[[#This Row],[Company Name]],"Low")</f>
        <v>110.01</v>
      </c>
      <c r="J70" s="19" cm="1">
        <f t="array" aca="1" ref="J70" ca="1">_FV(RTData[[#This Row],[Company Name]],"High")</f>
        <v>111.53</v>
      </c>
      <c r="K70" s="20" cm="1">
        <f t="array" aca="1" ref="K70" ca="1">IFERROR(_FV(RTData[[#This Row],[Company Name]],"P/E",TRUE),99)</f>
        <v>17.2896</v>
      </c>
      <c r="L70" s="21" cm="1">
        <f t="array" aca="1" ref="L70" ca="1">_FV(RTData[[#This Row],[Company Name]],"Change")</f>
        <v>-1.37</v>
      </c>
      <c r="M70" s="22" cm="1">
        <f t="array" aca="1" ref="M70" ca="1">_FV(RTData[[#This Row],[Company Name]],"Change (%)",TRUE)</f>
        <v>-1.2270000000000001E-2</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7096039</v>
      </c>
      <c r="Q70" s="23" cm="1">
        <f t="array" aca="1" ref="Q70" ca="1">_FV(RTData[[#This Row],[Company Name]],"Volume average",TRUE)</f>
        <v>7600556</v>
      </c>
      <c r="R70" s="19" cm="1">
        <f t="array" aca="1" ref="R70" ca="1">_FV(RTData[[#This Row],[Company Name]],"Beta")</f>
        <v>1.5461</v>
      </c>
      <c r="S70" t="s">
        <v>25</v>
      </c>
      <c r="T70" t="s">
        <v>26</v>
      </c>
      <c r="U70" t="str" cm="1">
        <f t="array" aca="1" ref="U70" ca="1">_FV(RTData[[#This Row],[Company Name]],"Exchange abbreviation",TRUE)</f>
        <v>XNYS</v>
      </c>
      <c r="V70" s="24">
        <f ca="1">IFERROR(RTData[[#This Row],[Volume]]/RTData[[#This Row],[Volume average]],1)</f>
        <v>0.93362104035546878</v>
      </c>
      <c r="W70" s="24"/>
      <c r="X70" s="108">
        <f ca="1">_xlfn.XLOOKUP(RTData[[#This Row],[Ticker symbol]],[2]Sheet2!$B$2:$B$95,[2]Sheet2!$E$2:$E$95)</f>
        <v>133.96896000000001</v>
      </c>
      <c r="Y70" s="101">
        <f>_xlfn.LET(_xlpm.date,[2]Sheet2!F69,IF(_xlpm.date=0,"",_xlpm.date))</f>
        <v>45832</v>
      </c>
      <c r="Z70" s="101" t="str">
        <f>_xlfn.LET(_xlpm.date,[2]Sheet2!G69,IF(_xlpm.date=0,"",_xlpm.date))</f>
        <v/>
      </c>
      <c r="AA70" s="102">
        <f>[2]Sheet2!$H69</f>
        <v>9.1999999999999998E-3</v>
      </c>
      <c r="AB70" s="103">
        <v>1E-4</v>
      </c>
      <c r="AC70" s="104">
        <v>3.0000000000000001E-3</v>
      </c>
      <c r="AD70" s="90">
        <v>124.75</v>
      </c>
      <c r="AE70" s="105">
        <f ca="1">_xlfn.LET(_xlpm.New1YT,RTData[[#This Row],[1YT]],        _xlpm.Old1YT,IF(ISNUMBER(RTData[[#This Row],[Old1YT]]),RTData[[#This Row],[Old1YT]],VALUE(LEFT(RTData[[#This Row],[Old1YT]],FIND("/",RTData[[#This Row],[Old1YT]],1)-1))),       IF(OR(RTData[[#This Row],[1YT]]=0,_xlpm.Old1YT=0),0,(_xlpm.New1YT-_xlpm.Old1YT)/_xlpm.Old1YT))</f>
        <v>7.3899478957915904E-2</v>
      </c>
      <c r="AF70" s="105" t="str">
        <f ca="1">TEXT(RTData[[#This Row],[1YT]],"#,#0.00")&amp;" &lt; "&amp;RTData[[#This Row],[Old1YT]]</f>
        <v>133.97 &lt; 124.75</v>
      </c>
    </row>
    <row r="71" spans="1:32" x14ac:dyDescent="0.3">
      <c r="A71" s="40" t="str" cm="1">
        <f t="array" aca="1" ref="A71" ca="1">_xlfn.SINGLE(RTData[suffix])&amp;_FV(RTData[[#This Row],[Company Name]],"Ticker symbol",TRUE)</f>
        <v>SAFGM</v>
      </c>
      <c r="B71" s="40">
        <f ca="1">D99</f>
        <v>0.86192035855886928</v>
      </c>
      <c r="C71" t="e" vm="22">
        <v>#VALUE!</v>
      </c>
      <c r="D71" s="17" t="str" cm="1">
        <f t="array" aca="1" ref="D71" ca="1">_FV(RTData[[#This Row],[Company Name]],"Currency")</f>
        <v>USD</v>
      </c>
      <c r="E71" s="18" cm="1">
        <f t="array" aca="1" ref="E71" ca="1">_FV(RTData[[#This Row],[Company Name]],"Last trade time",TRUE)</f>
        <v>45959.978605346878</v>
      </c>
      <c r="F71" s="19" cm="1">
        <f t="array" aca="1" ref="F71" ca="1">_FV(RTData[[#This Row],[Company Name]],"Previous close",TRUE)</f>
        <v>69.87</v>
      </c>
      <c r="G71" s="19" cm="1">
        <f t="array" aca="1" ref="G71" ca="1">_FV(RTData[[#This Row],[Company Name]],"Open")</f>
        <v>69.61</v>
      </c>
      <c r="H71" s="19" cm="1">
        <f t="array" aca="1" ref="H71" ca="1">_FV(RTData[[#This Row],[Company Name]],"Price")</f>
        <v>69.14</v>
      </c>
      <c r="I71" s="19" cm="1">
        <f t="array" aca="1" ref="I71" ca="1">_FV(RTData[[#This Row],[Company Name]],"Low")</f>
        <v>68.59</v>
      </c>
      <c r="J71" s="19" cm="1">
        <f t="array" aca="1" ref="J71" ca="1">_FV(RTData[[#This Row],[Company Name]],"High")</f>
        <v>70.239999999999995</v>
      </c>
      <c r="K71" s="20" cm="1">
        <f t="array" aca="1" ref="K71" ca="1">IFERROR(_FV(RTData[[#This Row],[Company Name]],"P/E",TRUE),99)</f>
        <v>13.2982</v>
      </c>
      <c r="L71" s="21" cm="1">
        <f t="array" aca="1" ref="L71" ca="1">_FV(RTData[[#This Row],[Company Name]],"Change")</f>
        <v>-0.73</v>
      </c>
      <c r="M71" s="22" cm="1">
        <f t="array" aca="1" ref="M71" ca="1">_FV(RTData[[#This Row],[Company Name]],"Change (%)",TRUE)</f>
        <v>-1.0447999999999999E-2</v>
      </c>
      <c r="N71" s="19" cm="1">
        <f t="array" aca="1" ref="N71" ca="1">_FV(RTData[[#This Row],[Company Name]],"52 week low",TRUE)</f>
        <v>41.6</v>
      </c>
      <c r="O71" s="19" cm="1">
        <f t="array" aca="1" ref="O71" ca="1">_FV(RTData[[#This Row],[Company Name]],"52 week high",TRUE)</f>
        <v>70.239999999999995</v>
      </c>
      <c r="P71" s="23" cm="1">
        <f t="array" aca="1" ref="P71" ca="1">_FV(RTData[[#This Row],[Company Name]],"Volume")</f>
        <v>10575757</v>
      </c>
      <c r="Q71" s="23" cm="1">
        <f t="array" aca="1" ref="Q71" ca="1">_FV(RTData[[#This Row],[Company Name]],"Volume average",TRUE)</f>
        <v>10652543</v>
      </c>
      <c r="R71" s="19" cm="1">
        <f t="array" aca="1" ref="R71" ca="1">_FV(RTData[[#This Row],[Company Name]],"Beta")</f>
        <v>1.4197</v>
      </c>
      <c r="S71" t="s">
        <v>25</v>
      </c>
      <c r="T71" t="s">
        <v>26</v>
      </c>
      <c r="U71" t="str" cm="1">
        <f t="array" aca="1" ref="U71" ca="1">_FV(RTData[[#This Row],[Company Name]],"Exchange abbreviation",TRUE)</f>
        <v>XNYS</v>
      </c>
      <c r="V71" s="24">
        <f ca="1">IFERROR(RTData[[#This Row],[Volume]]/RTData[[#This Row],[Volume average]],1)</f>
        <v>0.99279176812522607</v>
      </c>
      <c r="W71" s="24"/>
      <c r="X71" s="108">
        <f ca="1">_xlfn.XLOOKUP(RTData[[#This Row],[Ticker symbol]],[2]Sheet2!$B$2:$B$95,[2]Sheet2!$E$2:$E$95)</f>
        <v>63.8</v>
      </c>
      <c r="Y71" s="101">
        <f>_xlfn.LET(_xlpm.date,[2]Sheet2!F70,IF(_xlpm.date=0,"",_xlpm.date))</f>
        <v>45905</v>
      </c>
      <c r="Z71" s="101" t="str">
        <f>_xlfn.LET(_xlpm.date,[2]Sheet2!G70,IF(_xlpm.date=0,"",_xlpm.date))</f>
        <v>Oct 21, 2025</v>
      </c>
      <c r="AA71" s="102">
        <f>[2]Sheet2!$H70</f>
        <v>1.0800000000000001E-2</v>
      </c>
      <c r="AB71" s="103">
        <v>1E-4</v>
      </c>
      <c r="AC71" s="104">
        <v>3.0000000000000001E-3</v>
      </c>
      <c r="AD71" s="90">
        <v>54.06</v>
      </c>
      <c r="AE71" s="105">
        <f ca="1">_xlfn.LET(_xlpm.New1YT,RTData[[#This Row],[1YT]],        _xlpm.Old1YT,IF(ISNUMBER(RTData[[#This Row],[Old1YT]]),RTData[[#This Row],[Old1YT]],VALUE(LEFT(RTData[[#This Row],[Old1YT]],FIND("/",RTData[[#This Row],[Old1YT]],1)-1))),       IF(OR(RTData[[#This Row],[1YT]]=0,_xlpm.Old1YT=0),0,(_xlpm.New1YT-_xlpm.Old1YT)/_xlpm.Old1YT))</f>
        <v>0.1801701812800591</v>
      </c>
      <c r="AF71" s="105" t="str">
        <f ca="1">TEXT(RTData[[#This Row],[1YT]],"#,#0.00")&amp;" &lt; "&amp;RTData[[#This Row],[Old1YT]]</f>
        <v>63.80 &lt; 54.06</v>
      </c>
    </row>
    <row r="72" spans="1:32" x14ac:dyDescent="0.3">
      <c r="A72" s="40" t="str" cm="1">
        <f t="array" aca="1" ref="A72" ca="1">_xlfn.SINGLE(RTData[suffix])&amp;_FV(RTData[[#This Row],[Company Name]],"Ticker symbol",TRUE)</f>
        <v>SAFIAG</v>
      </c>
      <c r="B72" s="40">
        <f ca="1">D101/100</f>
        <v>1.1377858686995108E-2</v>
      </c>
      <c r="C72" t="e" vm="25">
        <v>#VALUE!</v>
      </c>
      <c r="D72" s="17" t="str" cm="1">
        <f t="array" aca="1" ref="D72" ca="1">_FV(RTData[[#This Row],[Company Name]],"Currency")</f>
        <v>GBp</v>
      </c>
      <c r="E72" s="18" cm="1">
        <f t="array" aca="1" ref="E72" ca="1">_FV(RTData[[#This Row],[Company Name]],"Last trade time",TRUE)</f>
        <v>45959.737644363282</v>
      </c>
      <c r="F72" s="19" cm="1">
        <f t="array" aca="1" ref="F72" ca="1">_FV(RTData[[#This Row],[Company Name]],"Previous close",TRUE)</f>
        <v>412.3</v>
      </c>
      <c r="G72" s="19" cm="1">
        <f t="array" aca="1" ref="G72" ca="1">_FV(RTData[[#This Row],[Company Name]],"Open")</f>
        <v>412</v>
      </c>
      <c r="H72" s="19" cm="1">
        <f t="array" aca="1" ref="H72" ca="1">_FV(RTData[[#This Row],[Company Name]],"Price")</f>
        <v>407.7</v>
      </c>
      <c r="I72" s="19" cm="1">
        <f t="array" aca="1" ref="I72" ca="1">_FV(RTData[[#This Row],[Company Name]],"Low")</f>
        <v>404.6</v>
      </c>
      <c r="J72" s="19" cm="1">
        <f t="array" aca="1" ref="J72" ca="1">_FV(RTData[[#This Row],[Company Name]],"High")</f>
        <v>413.5</v>
      </c>
      <c r="K72" s="20" cm="1">
        <f t="array" aca="1" ref="K72" ca="1">IFERROR(_FV(RTData[[#This Row],[Company Name]],"P/E",TRUE),99)</f>
        <v>7.3391999999999999</v>
      </c>
      <c r="L72" s="21" cm="1">
        <f t="array" aca="1" ref="L72" ca="1">_FV(RTData[[#This Row],[Company Name]],"Change")</f>
        <v>-4.5999999999999996</v>
      </c>
      <c r="M72" s="22" cm="1">
        <f t="array" aca="1" ref="M72" ca="1">_FV(RTData[[#This Row],[Company Name]],"Change (%)",TRUE)</f>
        <v>-1.1156999999999999E-2</v>
      </c>
      <c r="N72" s="19" cm="1">
        <f t="array" aca="1" ref="N72" ca="1">_FV(RTData[[#This Row],[Company Name]],"52 week low",TRUE)</f>
        <v>207.2</v>
      </c>
      <c r="O72" s="19" cm="1">
        <f t="array" aca="1" ref="O72" ca="1">_FV(RTData[[#This Row],[Company Name]],"52 week high",TRUE)</f>
        <v>416</v>
      </c>
      <c r="P72" s="23" cm="1">
        <f t="array" aca="1" ref="P72" ca="1">_FV(RTData[[#This Row],[Company Name]],"Volume")</f>
        <v>9962416</v>
      </c>
      <c r="Q72" s="23" cm="1">
        <f t="array" aca="1" ref="Q72" ca="1">_FV(RTData[[#This Row],[Company Name]],"Volume average",TRUE)</f>
        <v>10911480</v>
      </c>
      <c r="R72" s="19" cm="1">
        <f t="array" aca="1" ref="R72" ca="1">_FV(RTData[[#This Row],[Company Name]],"Beta")</f>
        <v>2.8702999999999999</v>
      </c>
      <c r="S72" t="s">
        <v>25</v>
      </c>
      <c r="T72" t="s">
        <v>26</v>
      </c>
      <c r="U72" t="str" cm="1">
        <f t="array" aca="1" ref="U72" ca="1">_FV(RTData[[#This Row],[Company Name]],"Exchange abbreviation",TRUE)</f>
        <v>XLON</v>
      </c>
      <c r="V72" s="24">
        <f ca="1">IFERROR(RTData[[#This Row],[Volume]]/RTData[[#This Row],[Volume average]],1)</f>
        <v>0.91302151495489159</v>
      </c>
      <c r="W72" s="24"/>
      <c r="X72" s="108">
        <f ca="1">_xlfn.XLOOKUP(RTData[[#This Row],[Ticker symbol]],[2]Sheet2!$B$2:$B$95,[2]Sheet2!$E$2:$E$95)</f>
        <v>438.45612</v>
      </c>
      <c r="Y72" s="101">
        <f>_xlfn.LET(_xlpm.date,[2]Sheet2!F71,IF(_xlpm.date=0,"",_xlpm.date))</f>
        <v>45834</v>
      </c>
      <c r="Z72" s="101" t="str">
        <f>_xlfn.LET(_xlpm.date,[2]Sheet2!G71,IF(_xlpm.date=0,"",_xlpm.date))</f>
        <v/>
      </c>
      <c r="AA72" s="102">
        <f>[2]Sheet2!$H71</f>
        <v>1.8800000000000001E-2</v>
      </c>
      <c r="AB72" s="103">
        <v>1E-4</v>
      </c>
      <c r="AC72" s="104">
        <v>3.0000000000000001E-3</v>
      </c>
      <c r="AD72" s="90">
        <v>293.75</v>
      </c>
      <c r="AE72" s="105">
        <f ca="1">_xlfn.LET(_xlpm.New1YT,RTData[[#This Row],[1YT]],        _xlpm.Old1YT,IF(ISNUMBER(RTData[[#This Row],[Old1YT]]),RTData[[#This Row],[Old1YT]],VALUE(LEFT(RTData[[#This Row],[Old1YT]],FIND("/",RTData[[#This Row],[Old1YT]],1)-1))),       IF(OR(RTData[[#This Row],[1YT]]=0,_xlpm.Old1YT=0),0,(_xlpm.New1YT-_xlpm.Old1YT)/_xlpm.Old1YT))</f>
        <v>0.49261657872340425</v>
      </c>
      <c r="AF72" s="105" t="str">
        <f ca="1">TEXT(RTData[[#This Row],[1YT]],"#,#0.00")&amp;" &lt; "&amp;RTData[[#This Row],[Old1YT]]</f>
        <v>438.46 &lt; 293.75</v>
      </c>
    </row>
    <row r="73" spans="1:32" x14ac:dyDescent="0.3">
      <c r="A73" s="40" t="str" cm="1">
        <f t="array" aca="1" ref="A73" ca="1">_xlfn.SINGLE(RTData[suffix])&amp;_FV(RTData[[#This Row],[Company Name]],"Ticker symbol",TRUE)</f>
        <v>SAFMRNA</v>
      </c>
      <c r="B73" s="40">
        <f ca="1">D99</f>
        <v>0.86192035855886928</v>
      </c>
      <c r="C73" t="e" vm="29">
        <v>#VALUE!</v>
      </c>
      <c r="D73" s="17" t="str" cm="1">
        <f t="array" aca="1" ref="D73" ca="1">_FV(RTData[[#This Row],[Company Name]],"Currency")</f>
        <v>USD</v>
      </c>
      <c r="E73" s="18" cm="1">
        <f t="array" aca="1" ref="E73" ca="1">_FV(RTData[[#This Row],[Company Name]],"Last trade time",TRUE)</f>
        <v>45959.983818171095</v>
      </c>
      <c r="F73" s="19" cm="1">
        <f t="array" aca="1" ref="F73" ca="1">_FV(RTData[[#This Row],[Company Name]],"Previous close",TRUE)</f>
        <v>25.35</v>
      </c>
      <c r="G73" s="19" cm="1">
        <f t="array" aca="1" ref="G73" ca="1">_FV(RTData[[#This Row],[Company Name]],"Open")</f>
        <v>25.44</v>
      </c>
      <c r="H73" s="19" cm="1">
        <f t="array" aca="1" ref="H73" ca="1">_FV(RTData[[#This Row],[Company Name]],"Price")</f>
        <v>24.7</v>
      </c>
      <c r="I73" s="19" cm="1">
        <f t="array" aca="1" ref="I73" ca="1">_FV(RTData[[#This Row],[Company Name]],"Low")</f>
        <v>24.41</v>
      </c>
      <c r="J73" s="19" cm="1">
        <f t="array" aca="1" ref="J73" ca="1">_FV(RTData[[#This Row],[Company Name]],"High")</f>
        <v>25.55</v>
      </c>
      <c r="K73" s="20" cm="1">
        <f t="array" aca="1" ref="K73" ca="1">IFERROR(_FV(RTData[[#This Row],[Company Name]],"P/E",TRUE),99)</f>
        <v>0</v>
      </c>
      <c r="L73" s="21" cm="1">
        <f t="array" aca="1" ref="L73" ca="1">_FV(RTData[[#This Row],[Company Name]],"Change")</f>
        <v>-0.65</v>
      </c>
      <c r="M73" s="22" cm="1">
        <f t="array" aca="1" ref="M73" ca="1">_FV(RTData[[#This Row],[Company Name]],"Change (%)",TRUE)</f>
        <v>-2.5640999999999997E-2</v>
      </c>
      <c r="N73" s="19" cm="1">
        <f t="array" aca="1" ref="N73" ca="1">_FV(RTData[[#This Row],[Company Name]],"52 week low",TRUE)</f>
        <v>23.15</v>
      </c>
      <c r="O73" s="19" cm="1">
        <f t="array" aca="1" ref="O73" ca="1">_FV(RTData[[#This Row],[Company Name]],"52 week high",TRUE)</f>
        <v>57.69</v>
      </c>
      <c r="P73" s="23" cm="1">
        <f t="array" aca="1" ref="P73" ca="1">_FV(RTData[[#This Row],[Company Name]],"Volume")</f>
        <v>8744947</v>
      </c>
      <c r="Q73" s="23" cm="1">
        <f t="array" aca="1" ref="Q73" ca="1">_FV(RTData[[#This Row],[Company Name]],"Volume average",TRUE)</f>
        <v>8984507</v>
      </c>
      <c r="R73" s="19" cm="1">
        <f t="array" aca="1" ref="R73" ca="1">_FV(RTData[[#This Row],[Company Name]],"Beta")</f>
        <v>2.0070999999999999</v>
      </c>
      <c r="S73" t="s">
        <v>25</v>
      </c>
      <c r="T73" t="s">
        <v>26</v>
      </c>
      <c r="U73" t="str" cm="1">
        <f t="array" aca="1" ref="U73" ca="1">_FV(RTData[[#This Row],[Company Name]],"Exchange abbreviation",TRUE)</f>
        <v>XNAS</v>
      </c>
      <c r="V73" s="24">
        <f ca="1">IFERROR(RTData[[#This Row],[Volume]]/RTData[[#This Row],[Volume average]],1)</f>
        <v>0.97333632218217425</v>
      </c>
      <c r="W73" s="24"/>
      <c r="X73" s="108">
        <f ca="1">_xlfn.XLOOKUP(RTData[[#This Row],[Ticker symbol]],[2]Sheet2!$B$2:$B$95,[2]Sheet2!$E$2:$E$95)</f>
        <v>44.3</v>
      </c>
      <c r="Y73" s="101" t="str">
        <f>_xlfn.LET(_xlpm.date,[2]Sheet2!F72,IF(_xlpm.date=0,"",_xlpm.date))</f>
        <v/>
      </c>
      <c r="Z73" s="101" t="str">
        <f>_xlfn.LET(_xlpm.date,[2]Sheet2!G72,IF(_xlpm.date=0,"",_xlpm.date))</f>
        <v>Nov 6, 2025</v>
      </c>
      <c r="AA73" s="102">
        <f>[2]Sheet2!$H72</f>
        <v>0</v>
      </c>
      <c r="AB73" s="103">
        <v>1E-4</v>
      </c>
      <c r="AC73" s="104">
        <v>3.0000000000000001E-3</v>
      </c>
      <c r="AD73" s="90">
        <v>99.83</v>
      </c>
      <c r="AE73" s="105">
        <f ca="1">_xlfn.LET(_xlpm.New1YT,RTData[[#This Row],[1YT]],        _xlpm.Old1YT,IF(ISNUMBER(RTData[[#This Row],[Old1YT]]),RTData[[#This Row],[Old1YT]],VALUE(LEFT(RTData[[#This Row],[Old1YT]],FIND("/",RTData[[#This Row],[Old1YT]],1)-1))),       IF(OR(RTData[[#This Row],[1YT]]=0,_xlpm.Old1YT=0),0,(_xlpm.New1YT-_xlpm.Old1YT)/_xlpm.Old1YT))</f>
        <v>-0.5562456175498347</v>
      </c>
      <c r="AF73" s="105" t="str">
        <f ca="1">TEXT(RTData[[#This Row],[1YT]],"#,#0.00")&amp;" &lt; "&amp;RTData[[#This Row],[Old1YT]]</f>
        <v>44.30 &lt; 99.83</v>
      </c>
    </row>
    <row r="74" spans="1:32" x14ac:dyDescent="0.3">
      <c r="A74" s="40" t="str" cm="1">
        <f t="array" aca="1" ref="A74" ca="1">_xlfn.SINGLE(RTData[suffix])&amp;_FV(RTData[[#This Row],[Company Name]],"Ticker symbol",TRUE)</f>
        <v>BLNK</v>
      </c>
      <c r="B74" s="40">
        <f ca="1">D99</f>
        <v>0.86192035855886928</v>
      </c>
      <c r="C74" t="e" vm="57">
        <v>#VALUE!</v>
      </c>
      <c r="D74" s="17" t="str" cm="1">
        <f t="array" aca="1" ref="D74" ca="1">_FV(RTData[[#This Row],[Company Name]],"Currency")</f>
        <v>USD</v>
      </c>
      <c r="E74" s="18" cm="1">
        <f t="array" aca="1" ref="E74" ca="1">_FV(RTData[[#This Row],[Company Name]],"Last trade time",TRUE)</f>
        <v>45959.983563807815</v>
      </c>
      <c r="F74" s="19" cm="1">
        <f t="array" aca="1" ref="F74" ca="1">_FV(RTData[[#This Row],[Company Name]],"Previous close",TRUE)</f>
        <v>1.72</v>
      </c>
      <c r="G74" s="19" cm="1">
        <f t="array" aca="1" ref="G74" ca="1">_FV(RTData[[#This Row],[Company Name]],"Open")</f>
        <v>1.71</v>
      </c>
      <c r="H74" s="19" cm="1">
        <f t="array" aca="1" ref="H74" ca="1">_FV(RTData[[#This Row],[Company Name]],"Price")</f>
        <v>1.69</v>
      </c>
      <c r="I74" s="19" cm="1">
        <f t="array" aca="1" ref="I74" ca="1">_FV(RTData[[#This Row],[Company Name]],"Low")</f>
        <v>1.66</v>
      </c>
      <c r="J74" s="19" cm="1">
        <f t="array" aca="1" ref="J74" ca="1">_FV(RTData[[#This Row],[Company Name]],"High")</f>
        <v>1.7799</v>
      </c>
      <c r="K74" s="20" cm="1">
        <f t="array" aca="1" ref="K74" ca="1">IFERROR(_FV(RTData[[#This Row],[Company Name]],"P/E",TRUE),99)</f>
        <v>0</v>
      </c>
      <c r="L74" s="21" cm="1">
        <f t="array" aca="1" ref="L74" ca="1">_FV(RTData[[#This Row],[Company Name]],"Change")</f>
        <v>-0.03</v>
      </c>
      <c r="M74" s="22" cm="1">
        <f t="array" aca="1" ref="M74" ca="1">_FV(RTData[[#This Row],[Company Name]],"Change (%)",TRUE)</f>
        <v>-1.7441999999999999E-2</v>
      </c>
      <c r="N74" s="19" cm="1">
        <f t="array" aca="1" ref="N74" ca="1">_FV(RTData[[#This Row],[Company Name]],"52 week low",TRUE)</f>
        <v>0.63009999999999999</v>
      </c>
      <c r="O74" s="19" cm="1">
        <f t="array" aca="1" ref="O74" ca="1">_FV(RTData[[#This Row],[Company Name]],"52 week high",TRUE)</f>
        <v>2.6499000000000001</v>
      </c>
      <c r="P74" s="23" cm="1">
        <f t="array" aca="1" ref="P74" ca="1">_FV(RTData[[#This Row],[Company Name]],"Volume")</f>
        <v>3553687</v>
      </c>
      <c r="Q74" s="23" cm="1">
        <f t="array" aca="1" ref="Q74" ca="1">_FV(RTData[[#This Row],[Company Name]],"Volume average",TRUE)</f>
        <v>6340159</v>
      </c>
      <c r="R74" s="19" cm="1">
        <f t="array" aca="1" ref="R74" ca="1">_FV(RTData[[#This Row],[Company Name]],"Beta")</f>
        <v>3.4979</v>
      </c>
      <c r="T74" t="s">
        <v>26</v>
      </c>
      <c r="U74" t="str" cm="1">
        <f t="array" aca="1" ref="U74" ca="1">_FV(RTData[[#This Row],[Company Name]],"Exchange abbreviation",TRUE)</f>
        <v>XNAS</v>
      </c>
      <c r="V74" s="24">
        <f ca="1">IFERROR(RTData[[#This Row],[Volume]]/RTData[[#This Row],[Volume average]],1)</f>
        <v>0.56050439744492209</v>
      </c>
      <c r="W74" s="24"/>
      <c r="X74" s="108">
        <f ca="1">_xlfn.XLOOKUP(RTData[[#This Row],[Ticker symbol]],[2]Sheet2!$B$2:$B$95,[2]Sheet2!$E$2:$E$95)</f>
        <v>2.4</v>
      </c>
      <c r="Y74" s="101" t="str">
        <f>_xlfn.LET(_xlpm.date,[2]Sheet2!F73,IF(_xlpm.date=0,"",_xlpm.date))</f>
        <v/>
      </c>
      <c r="Z74" s="101" t="str">
        <f>_xlfn.LET(_xlpm.date,[2]Sheet2!G73,IF(_xlpm.date=0,"",_xlpm.date))</f>
        <v>Nov 6, 2025</v>
      </c>
      <c r="AA74" s="102">
        <f>[2]Sheet2!$H73</f>
        <v>0</v>
      </c>
      <c r="AB74" s="103">
        <v>1E-4</v>
      </c>
      <c r="AC74" s="104">
        <v>3.0000000000000001E-3</v>
      </c>
      <c r="AD74" s="90" t="s">
        <v>61</v>
      </c>
      <c r="AE74" s="105">
        <f ca="1">_xlfn.LET(_xlpm.New1YT,RTData[[#This Row],[1YT]],        _xlpm.Old1YT,IF(ISNUMBER(RTData[[#This Row],[Old1YT]]),RTData[[#This Row],[Old1YT]],VALUE(LEFT(RTData[[#This Row],[Old1YT]],FIND("/",RTData[[#This Row],[Old1YT]],1)-1))),       IF(OR(RTData[[#This Row],[1YT]]=0,_xlpm.Old1YT=0),0,(_xlpm.New1YT-_xlpm.Old1YT)/_xlpm.Old1YT))</f>
        <v>6.6666666666666624E-2</v>
      </c>
      <c r="AF74" s="105" t="str">
        <f ca="1">TEXT(RTData[[#This Row],[1YT]],"#,#0.00")&amp;" &lt; "&amp;RTData[[#This Row],[Old1YT]]</f>
        <v>2.40 &lt; 2.25/3.94</v>
      </c>
    </row>
    <row r="75" spans="1:32" ht="22" customHeight="1" x14ac:dyDescent="0.3">
      <c r="A75" s="40" t="str" cm="1">
        <f t="array" aca="1" ref="A75" ca="1">_xlfn.SINGLE(RTData[suffix])&amp;_FV(RTData[[#This Row],[Company Name]],"Ticker symbol",TRUE)</f>
        <v>ENI</v>
      </c>
      <c r="B75" s="40">
        <v>1</v>
      </c>
      <c r="C75" t="e" vm="54">
        <v>#VALUE!</v>
      </c>
      <c r="D75" s="17" t="str" cm="1">
        <f t="array" aca="1" ref="D75" ca="1">_FV(RTData[[#This Row],[Company Name]],"Currency")</f>
        <v>EUR</v>
      </c>
      <c r="E75" s="18" cm="1">
        <f t="array" aca="1" ref="E75" ca="1">_FV(RTData[[#This Row],[Company Name]],"Last trade time",TRUE)</f>
        <v>45959.708333333336</v>
      </c>
      <c r="F75" s="28" cm="1">
        <f t="array" aca="1" ref="F75" ca="1">_FV(RTData[[#This Row],[Company Name]],"Previous close",TRUE)</f>
        <v>15.885999999999999</v>
      </c>
      <c r="G75" s="28" cm="1">
        <f t="array" aca="1" ref="G75" ca="1">_FV(RTData[[#This Row],[Company Name]],"Open")</f>
        <v>15.904</v>
      </c>
      <c r="H75" s="28" cm="1">
        <f t="array" aca="1" ref="H75" ca="1">_FV(RTData[[#This Row],[Company Name]],"Price")</f>
        <v>15.962</v>
      </c>
      <c r="I75" s="28" cm="1">
        <f t="array" aca="1" ref="I75" ca="1">_FV(RTData[[#This Row],[Company Name]],"Low")</f>
        <v>15.874000000000001</v>
      </c>
      <c r="J75" s="28" cm="1">
        <f t="array" aca="1" ref="J75" ca="1">_FV(RTData[[#This Row],[Company Name]],"High")</f>
        <v>16.03</v>
      </c>
      <c r="K75" s="20" cm="1">
        <f t="array" aca="1" ref="K75" ca="1">IFERROR(_FV(RTData[[#This Row],[Company Name]],"P/E",TRUE),99)</f>
        <v>17.543900000000001</v>
      </c>
      <c r="L75" s="21" cm="1">
        <f t="array" aca="1" ref="L75" ca="1">_FV(RTData[[#This Row],[Company Name]],"Change")</f>
        <v>7.5999999999999998E-2</v>
      </c>
      <c r="M75" s="22" cm="1">
        <f t="array" aca="1" ref="M75" ca="1">_FV(RTData[[#This Row],[Company Name]],"Change (%)",TRUE)</f>
        <v>4.7840000000000001E-3</v>
      </c>
      <c r="N75" s="28" cm="1">
        <f t="array" aca="1" ref="N75" ca="1">_FV(RTData[[#This Row],[Company Name]],"52 week low",TRUE)</f>
        <v>11.01</v>
      </c>
      <c r="O75" s="28" cm="1">
        <f t="array" aca="1" ref="O75" ca="1">_FV(RTData[[#This Row],[Company Name]],"52 week high",TRUE)</f>
        <v>16.03</v>
      </c>
      <c r="P75" s="23" cm="1">
        <f t="array" aca="1" ref="P75" ca="1">_FV(RTData[[#This Row],[Company Name]],"Volume")</f>
        <v>8775537</v>
      </c>
      <c r="Q75" s="23" cm="1">
        <f t="array" aca="1" ref="Q75" ca="1">_FV(RTData[[#This Row],[Company Name]],"Volume average",TRUE)</f>
        <v>12654190</v>
      </c>
      <c r="R75" s="19" cm="1">
        <f t="array" aca="1" ref="R75" ca="1">_FV(RTData[[#This Row],[Company Name]],"Beta")</f>
        <v>1.0817000000000001</v>
      </c>
      <c r="T75" t="s">
        <v>26</v>
      </c>
      <c r="U75" t="str" cm="1">
        <f t="array" aca="1" ref="U75" ca="1">_FV(RTData[[#This Row],[Company Name]],"Exchange abbreviation",TRUE)</f>
        <v>XMIL</v>
      </c>
      <c r="V75" s="24">
        <f ca="1">IFERROR(RTData[[#This Row],[Volume]]/RTData[[#This Row],[Volume average]],1)</f>
        <v>0.69348863894093582</v>
      </c>
      <c r="W75" s="24"/>
      <c r="X75" s="108">
        <f ca="1">_xlfn.XLOOKUP(RTData[[#This Row],[Ticker symbol]],[2]Sheet2!$B$2:$B$95,[2]Sheet2!$E$2:$E$95)</f>
        <v>15.586360000000001</v>
      </c>
      <c r="Y75" s="101">
        <f>_xlfn.LET(_xlpm.date,[2]Sheet2!F74,IF(_xlpm.date=0,"",_xlpm.date))</f>
        <v>45985</v>
      </c>
      <c r="Z75" s="101" t="str">
        <f>_xlfn.LET(_xlpm.date,[2]Sheet2!G74,IF(_xlpm.date=0,"",_xlpm.date))</f>
        <v/>
      </c>
      <c r="AA75" s="102">
        <f>[2]Sheet2!$H74</f>
        <v>6.9500000000000006E-2</v>
      </c>
      <c r="AB75" s="103"/>
      <c r="AC75" s="104">
        <v>3.0000000000000001E-3</v>
      </c>
      <c r="AD75" s="90" t="s">
        <v>68</v>
      </c>
      <c r="AE75" s="105">
        <f ca="1">_xlfn.LET(_xlpm.New1YT,RTData[[#This Row],[1YT]],        _xlpm.Old1YT,IF(ISNUMBER(RTData[[#This Row],[Old1YT]]),RTData[[#This Row],[Old1YT]],VALUE(LEFT(RTData[[#This Row],[Old1YT]],FIND("/",RTData[[#This Row],[Old1YT]],1)-1))),       IF(OR(RTData[[#This Row],[1YT]]=0,_xlpm.Old1YT=0),0,(_xlpm.New1YT-_xlpm.Old1YT)/_xlpm.Old1YT))</f>
        <v>5.9575798776342621E-2</v>
      </c>
      <c r="AF75" s="105" t="str">
        <f ca="1">TEXT(RTData[[#This Row],[1YT]],"#,#0.00")&amp;" &lt; "&amp;RTData[[#This Row],[Old1YT]]</f>
        <v>15.59 &lt; 14.71/14.81/16.46</v>
      </c>
    </row>
    <row r="76" spans="1:32" ht="22" customHeight="1" x14ac:dyDescent="0.3">
      <c r="A76" s="40" t="str" cm="1">
        <f t="array" aca="1" ref="A76" ca="1">_xlfn.SINGLE(RTData[suffix])&amp;_FV(RTData[[#This Row],[Company Name]],"Ticker symbol",TRUE)</f>
        <v>EZJ</v>
      </c>
      <c r="B76" s="15">
        <f ca="1">D101/100</f>
        <v>1.1377858686995108E-2</v>
      </c>
      <c r="C76" t="e" vm="58">
        <v>#VALUE!</v>
      </c>
      <c r="D76" s="17" t="str" cm="1">
        <f t="array" aca="1" ref="D76" ca="1">_FV(RTData[[#This Row],[Company Name]],"Currency")</f>
        <v>GBp</v>
      </c>
      <c r="E76" s="18" cm="1">
        <f t="array" aca="1" ref="E76" ca="1">_FV(RTData[[#This Row],[Company Name]],"Last trade time",TRUE)</f>
        <v>45959.737270740625</v>
      </c>
      <c r="F76" s="19" cm="1">
        <f t="array" aca="1" ref="F76" ca="1">_FV(RTData[[#This Row],[Company Name]],"Previous close",TRUE)</f>
        <v>482.1</v>
      </c>
      <c r="G76" s="19" cm="1">
        <f t="array" aca="1" ref="G76" ca="1">_FV(RTData[[#This Row],[Company Name]],"Open")</f>
        <v>481.9</v>
      </c>
      <c r="H76" s="19" cm="1">
        <f t="array" aca="1" ref="H76" ca="1">_FV(RTData[[#This Row],[Company Name]],"Price")</f>
        <v>476.5</v>
      </c>
      <c r="I76" s="19" cm="1">
        <f t="array" aca="1" ref="I76" ca="1">_FV(RTData[[#This Row],[Company Name]],"Low")</f>
        <v>475.9</v>
      </c>
      <c r="J76" s="19" cm="1">
        <f t="array" aca="1" ref="J76" ca="1">_FV(RTData[[#This Row],[Company Name]],"High")</f>
        <v>486.2</v>
      </c>
      <c r="K76" s="20" cm="1">
        <f t="array" aca="1" ref="K76" ca="1">IFERROR(_FV(RTData[[#This Row],[Company Name]],"P/E",TRUE),99)</f>
        <v>8.6626999999999992</v>
      </c>
      <c r="L76" s="21" cm="1">
        <f t="array" aca="1" ref="L76" ca="1">_FV(RTData[[#This Row],[Company Name]],"Change")</f>
        <v>-5.6</v>
      </c>
      <c r="M76" s="22" cm="1">
        <f t="array" aca="1" ref="M76" ca="1">_FV(RTData[[#This Row],[Company Name]],"Change (%)",TRUE)</f>
        <v>-1.1616E-2</v>
      </c>
      <c r="N76" s="19" cm="1">
        <f t="array" aca="1" ref="N76" ca="1">_FV(RTData[[#This Row],[Company Name]],"52 week low",TRUE)</f>
        <v>401.05</v>
      </c>
      <c r="O76" s="19" cm="1">
        <f t="array" aca="1" ref="O76" ca="1">_FV(RTData[[#This Row],[Company Name]],"52 week high",TRUE)</f>
        <v>594</v>
      </c>
      <c r="P76" s="23" cm="1">
        <f t="array" aca="1" ref="P76" ca="1">_FV(RTData[[#This Row],[Company Name]],"Volume")</f>
        <v>3450008</v>
      </c>
      <c r="Q76" s="23" cm="1">
        <f t="array" aca="1" ref="Q76" ca="1">_FV(RTData[[#This Row],[Company Name]],"Volume average",TRUE)</f>
        <v>5188640</v>
      </c>
      <c r="R76" s="19" cm="1">
        <f t="array" aca="1" ref="R76" ca="1">_FV(RTData[[#This Row],[Company Name]],"Beta")</f>
        <v>2.8580000000000001</v>
      </c>
      <c r="T76" t="s">
        <v>26</v>
      </c>
      <c r="U76" t="str" cm="1">
        <f t="array" aca="1" ref="U76" ca="1">_FV(RTData[[#This Row],[Company Name]],"Exchange abbreviation",TRUE)</f>
        <v>XLON</v>
      </c>
      <c r="V76" s="24">
        <f ca="1">IFERROR(RTData[[#This Row],[Volume]]/RTData[[#This Row],[Volume average]],1)</f>
        <v>0.66491566190755191</v>
      </c>
      <c r="W76" s="24"/>
      <c r="X76" s="108">
        <f ca="1">_xlfn.XLOOKUP(RTData[[#This Row],[Ticker symbol]],[2]Sheet2!$B$2:$B$95,[2]Sheet2!$E$2:$E$95)</f>
        <v>643.68399999999997</v>
      </c>
      <c r="Y76" s="101">
        <f>_xlfn.LET(_xlpm.date,[2]Sheet2!F75,IF(_xlpm.date=0,"",_xlpm.date))</f>
        <v>45708</v>
      </c>
      <c r="Z76" s="101" t="str">
        <f>_xlfn.LET(_xlpm.date,[2]Sheet2!G75,IF(_xlpm.date=0,"",_xlpm.date))</f>
        <v/>
      </c>
      <c r="AA76" s="102">
        <f>[2]Sheet2!$H75</f>
        <v>2.6099998999999999E-2</v>
      </c>
      <c r="AB76" s="103"/>
      <c r="AC76" s="104">
        <v>3.0000000000000001E-3</v>
      </c>
      <c r="AD76" s="90" t="s">
        <v>69</v>
      </c>
      <c r="AE76" s="105">
        <f ca="1">_xlfn.LET(_xlpm.New1YT,RTData[[#This Row],[1YT]],        _xlpm.Old1YT,IF(ISNUMBER(RTData[[#This Row],[Old1YT]]),RTData[[#This Row],[Old1YT]],VALUE(LEFT(RTData[[#This Row],[Old1YT]],FIND("/",RTData[[#This Row],[Old1YT]],1)-1))),       IF(OR(RTData[[#This Row],[1YT]]=0,_xlpm.Old1YT=0),0,(_xlpm.New1YT-_xlpm.Old1YT)/_xlpm.Old1YT))</f>
        <v>-7.6904102909753164E-2</v>
      </c>
      <c r="AF76" s="105" t="str">
        <f ca="1">TEXT(RTData[[#This Row],[1YT]],"#,#0.00")&amp;" &lt; "&amp;RTData[[#This Row],[Old1YT]]</f>
        <v>643.68 &lt; 697.31/682.94</v>
      </c>
    </row>
    <row r="77" spans="1:32" ht="22" customHeight="1" x14ac:dyDescent="0.3">
      <c r="A77" s="40" t="str" cm="1">
        <f t="array" aca="1" ref="A77" ca="1">_xlfn.SINGLE(RTData[suffix])&amp;_FV(RTData[[#This Row],[Company Name]],"Ticker symbol",TRUE)</f>
        <v>F</v>
      </c>
      <c r="B77" s="40">
        <f ca="1">D99</f>
        <v>0.86192035855886928</v>
      </c>
      <c r="C77" t="e" vm="59">
        <v>#VALUE!</v>
      </c>
      <c r="D77" s="17" t="str" cm="1">
        <f t="array" aca="1" ref="D77" ca="1">_FV(RTData[[#This Row],[Company Name]],"Currency")</f>
        <v>USD</v>
      </c>
      <c r="E77" s="18" cm="1">
        <f t="array" aca="1" ref="E77" ca="1">_FV(RTData[[#This Row],[Company Name]],"Last trade time",TRUE)</f>
        <v>45959.983859606247</v>
      </c>
      <c r="F77" s="19" cm="1">
        <f t="array" aca="1" ref="F77" ca="1">_FV(RTData[[#This Row],[Company Name]],"Previous close",TRUE)</f>
        <v>13.13</v>
      </c>
      <c r="G77" s="19" cm="1">
        <f t="array" aca="1" ref="G77" ca="1">_FV(RTData[[#This Row],[Company Name]],"Open")</f>
        <v>13.1</v>
      </c>
      <c r="H77" s="19" cm="1">
        <f t="array" aca="1" ref="H77" ca="1">_FV(RTData[[#This Row],[Company Name]],"Price")</f>
        <v>13.244999999999999</v>
      </c>
      <c r="I77" s="19" cm="1">
        <f t="array" aca="1" ref="I77" ca="1">_FV(RTData[[#This Row],[Company Name]],"Low")</f>
        <v>13.07</v>
      </c>
      <c r="J77" s="19" cm="1">
        <f t="array" aca="1" ref="J77" ca="1">_FV(RTData[[#This Row],[Company Name]],"High")</f>
        <v>13.39</v>
      </c>
      <c r="K77" s="20" cm="1">
        <f t="array" aca="1" ref="K77" ca="1">IFERROR(_FV(RTData[[#This Row],[Company Name]],"P/E",TRUE),99)</f>
        <v>11.374000000000001</v>
      </c>
      <c r="L77" s="21" cm="1">
        <f t="array" aca="1" ref="L77" ca="1">_FV(RTData[[#This Row],[Company Name]],"Change")</f>
        <v>0.115</v>
      </c>
      <c r="M77" s="22" cm="1">
        <f t="array" aca="1" ref="M77" ca="1">_FV(RTData[[#This Row],[Company Name]],"Change (%)",TRUE)</f>
        <v>8.7589999999999994E-3</v>
      </c>
      <c r="N77" s="19" cm="1">
        <f t="array" aca="1" ref="N77" ca="1">_FV(RTData[[#This Row],[Company Name]],"52 week low",TRUE)</f>
        <v>8.4405999999999999</v>
      </c>
      <c r="O77" s="19" cm="1">
        <f t="array" aca="1" ref="O77" ca="1">_FV(RTData[[#This Row],[Company Name]],"52 week high",TRUE)</f>
        <v>13.97</v>
      </c>
      <c r="P77" s="23" cm="1">
        <f t="array" aca="1" ref="P77" ca="1">_FV(RTData[[#This Row],[Company Name]],"Volume")</f>
        <v>127421965</v>
      </c>
      <c r="Q77" s="23" cm="1">
        <f t="array" aca="1" ref="Q77" ca="1">_FV(RTData[[#This Row],[Company Name]],"Volume average",TRUE)</f>
        <v>136043274</v>
      </c>
      <c r="R77" s="19" cm="1">
        <f t="array" aca="1" ref="R77" ca="1">_FV(RTData[[#This Row],[Company Name]],"Beta")</f>
        <v>1.61</v>
      </c>
      <c r="T77" t="s">
        <v>26</v>
      </c>
      <c r="U77" t="str" cm="1">
        <f t="array" aca="1" ref="U77" ca="1">_FV(RTData[[#This Row],[Company Name]],"Exchange abbreviation",TRUE)</f>
        <v>XNYS</v>
      </c>
      <c r="V77" s="24">
        <f ca="1">IFERROR(RTData[[#This Row],[Volume]]/RTData[[#This Row],[Volume average]],1)</f>
        <v>0.93662818641074452</v>
      </c>
      <c r="W77" s="24"/>
      <c r="X77" s="108">
        <f ca="1">_xlfn.XLOOKUP(RTData[[#This Row],[Ticker symbol]],[2]Sheet2!$B$2:$B$95,[2]Sheet2!$E$2:$E$95)</f>
        <v>11.475</v>
      </c>
      <c r="Y77" s="101">
        <f>_xlfn.LET(_xlpm.date,[2]Sheet2!F76,IF(_xlpm.date=0,"",_xlpm.date))</f>
        <v>45880</v>
      </c>
      <c r="Z77" s="101" t="str">
        <f>_xlfn.LET(_xlpm.date,[2]Sheet2!G76,IF(_xlpm.date=0,"",_xlpm.date))</f>
        <v>Oct 23, 2025</v>
      </c>
      <c r="AA77" s="102">
        <f>[2]Sheet2!$H76</f>
        <v>5.2600003999999999E-2</v>
      </c>
      <c r="AB77" s="103">
        <v>1E-4</v>
      </c>
      <c r="AC77" s="104">
        <v>3.0000000000000001E-3</v>
      </c>
      <c r="AD77" s="90" t="s">
        <v>70</v>
      </c>
      <c r="AE77" s="105">
        <f ca="1">_xlfn.LET(_xlpm.New1YT,RTData[[#This Row],[1YT]],        _xlpm.Old1YT,IF(ISNUMBER(RTData[[#This Row],[Old1YT]]),RTData[[#This Row],[Old1YT]],VALUE(LEFT(RTData[[#This Row],[Old1YT]],FIND("/",RTData[[#This Row],[Old1YT]],1)-1))),       IF(OR(RTData[[#This Row],[1YT]]=0,_xlpm.Old1YT=0),0,(_xlpm.New1YT-_xlpm.Old1YT)/_xlpm.Old1YT))</f>
        <v>0.10655737704918038</v>
      </c>
      <c r="AF77" s="105" t="str">
        <f ca="1">TEXT(RTData[[#This Row],[1YT]],"#,#0.00")&amp;" &lt; "&amp;RTData[[#This Row],[Old1YT]]</f>
        <v>11.48 &lt; 10.37/12.18</v>
      </c>
    </row>
    <row r="78" spans="1:32" ht="22" customHeight="1" x14ac:dyDescent="0.3">
      <c r="A78" s="40" t="str" cm="1">
        <f t="array" aca="1" ref="A78" ca="1">_xlfn.SINGLE(RTData[suffix])&amp;_FV(RTData[[#This Row],[Company Name]],"Ticker symbol",TRUE)</f>
        <v>GLE</v>
      </c>
      <c r="B78" s="40">
        <v>1</v>
      </c>
      <c r="C78" t="e" vm="55">
        <v>#VALUE!</v>
      </c>
      <c r="D78" s="17" t="str" cm="1">
        <f t="array" aca="1" ref="D78" ca="1">_FV(RTData[[#This Row],[Company Name]],"Currency")</f>
        <v>EUR</v>
      </c>
      <c r="E78" s="18" cm="1">
        <f t="array" aca="1" ref="E78" ca="1">_FV(RTData[[#This Row],[Company Name]],"Last trade time",TRUE)</f>
        <v>45959.708333333336</v>
      </c>
      <c r="F78" s="28" cm="1">
        <f t="array" aca="1" ref="F78" ca="1">_FV(RTData[[#This Row],[Company Name]],"Previous close",TRUE)</f>
        <v>54.26</v>
      </c>
      <c r="G78" s="28" cm="1">
        <f t="array" aca="1" ref="G78" ca="1">_FV(RTData[[#This Row],[Company Name]],"Open")</f>
        <v>54.34</v>
      </c>
      <c r="H78" s="28" cm="1">
        <f t="array" aca="1" ref="H78" ca="1">_FV(RTData[[#This Row],[Company Name]],"Price")</f>
        <v>54.96</v>
      </c>
      <c r="I78" s="28" cm="1">
        <f t="array" aca="1" ref="I78" ca="1">_FV(RTData[[#This Row],[Company Name]],"Low")</f>
        <v>54.06</v>
      </c>
      <c r="J78" s="28" cm="1">
        <f t="array" aca="1" ref="J78" ca="1">_FV(RTData[[#This Row],[Company Name]],"High")</f>
        <v>55.6</v>
      </c>
      <c r="K78" s="20" cm="1">
        <f t="array" aca="1" ref="K78" ca="1">IFERROR(_FV(RTData[[#This Row],[Company Name]],"P/E",TRUE),99)</f>
        <v>9.0876999999999999</v>
      </c>
      <c r="L78" s="21" cm="1">
        <f t="array" aca="1" ref="L78" ca="1">_FV(RTData[[#This Row],[Company Name]],"Change")</f>
        <v>0.7</v>
      </c>
      <c r="M78" s="22" cm="1">
        <f t="array" aca="1" ref="M78" ca="1">_FV(RTData[[#This Row],[Company Name]],"Change (%)",TRUE)</f>
        <v>1.2901000000000001E-2</v>
      </c>
      <c r="N78" s="28" cm="1">
        <f t="array" aca="1" ref="N78" ca="1">_FV(RTData[[#This Row],[Company Name]],"52 week low",TRUE)</f>
        <v>23.35</v>
      </c>
      <c r="O78" s="28" cm="1">
        <f t="array" aca="1" ref="O78" ca="1">_FV(RTData[[#This Row],[Company Name]],"52 week high",TRUE)</f>
        <v>59.42</v>
      </c>
      <c r="P78" s="23" cm="1">
        <f t="array" aca="1" ref="P78" ca="1">_FV(RTData[[#This Row],[Company Name]],"Volume")</f>
        <v>2170272</v>
      </c>
      <c r="Q78" s="23" cm="1">
        <f t="array" aca="1" ref="Q78" ca="1">_FV(RTData[[#This Row],[Company Name]],"Volume average",TRUE)</f>
        <v>1987110</v>
      </c>
      <c r="R78" s="19" cm="1">
        <f t="array" aca="1" ref="R78" ca="1">_FV(RTData[[#This Row],[Company Name]],"Beta")</f>
        <v>1.5678000000000001</v>
      </c>
      <c r="T78" t="s">
        <v>26</v>
      </c>
      <c r="U78" t="str" cm="1">
        <f t="array" aca="1" ref="U78" ca="1">_FV(RTData[[#This Row],[Company Name]],"Exchange abbreviation",TRUE)</f>
        <v>XPAR</v>
      </c>
      <c r="V78" s="24">
        <f ca="1">IFERROR(RTData[[#This Row],[Volume]]/RTData[[#This Row],[Volume average]],1)</f>
        <v>1.092175068315292</v>
      </c>
      <c r="W78" s="24"/>
      <c r="X78" s="108">
        <f ca="1">_xlfn.XLOOKUP(RTData[[#This Row],[Ticker symbol]],[2]Sheet2!$B$2:$B$95,[2]Sheet2!$E$2:$E$95)</f>
        <v>63.157220000000002</v>
      </c>
      <c r="Y78" s="101">
        <f>_xlfn.LET(_xlpm.date,[2]Sheet2!F77,IF(_xlpm.date=0,"",_xlpm.date))</f>
        <v>45937</v>
      </c>
      <c r="Z78" s="101" t="str">
        <f>_xlfn.LET(_xlpm.date,[2]Sheet2!G77,IF(_xlpm.date=0,"",_xlpm.date))</f>
        <v>Oct 30, 2025</v>
      </c>
      <c r="AA78" s="102">
        <f>[2]Sheet2!$H77</f>
        <v>3.1600002000000002E-2</v>
      </c>
      <c r="AB78" s="103"/>
      <c r="AC78" s="104">
        <v>3.0000000000000001E-3</v>
      </c>
      <c r="AD78" s="90" t="s">
        <v>71</v>
      </c>
      <c r="AE78" s="105">
        <f ca="1">_xlfn.LET(_xlpm.New1YT,RTData[[#This Row],[1YT]],        _xlpm.Old1YT,IF(ISNUMBER(RTData[[#This Row],[Old1YT]]),RTData[[#This Row],[Old1YT]],VALUE(LEFT(RTData[[#This Row],[Old1YT]],FIND("/",RTData[[#This Row],[Old1YT]],1)-1))),       IF(OR(RTData[[#This Row],[1YT]]=0,_xlpm.Old1YT=0),0,(_xlpm.New1YT-_xlpm.Old1YT)/_xlpm.Old1YT))</f>
        <v>5.6670905136356017E-2</v>
      </c>
      <c r="AF78" s="105" t="str">
        <f ca="1">TEXT(RTData[[#This Row],[1YT]],"#,#0.00")&amp;" &lt; "&amp;RTData[[#This Row],[Old1YT]]</f>
        <v>63.16 &lt; 59.77/51.92/30.4</v>
      </c>
    </row>
    <row r="79" spans="1:32" ht="22" customHeight="1" x14ac:dyDescent="0.3">
      <c r="A79" s="40" t="str" cm="1">
        <f t="array" aca="1" ref="A79" ca="1">_xlfn.SINGLE(RTData[suffix])&amp;_FV(RTData[[#This Row],[Company Name]],"Ticker symbol",TRUE)</f>
        <v>GNRC</v>
      </c>
      <c r="B79" s="40">
        <f ca="1">D99</f>
        <v>0.86192035855886928</v>
      </c>
      <c r="C79" t="e" vm="60">
        <v>#VALUE!</v>
      </c>
      <c r="D79" s="17" t="str" cm="1">
        <f t="array" aca="1" ref="D79" ca="1">_FV(RTData[[#This Row],[Company Name]],"Currency")</f>
        <v>USD</v>
      </c>
      <c r="E79" s="18" cm="1">
        <f t="array" aca="1" ref="E79" ca="1">_FV(RTData[[#This Row],[Company Name]],"Last trade time",TRUE)</f>
        <v>45959.968620126565</v>
      </c>
      <c r="F79" s="19" cm="1">
        <f t="array" aca="1" ref="F79" ca="1">_FV(RTData[[#This Row],[Company Name]],"Previous close",TRUE)</f>
        <v>190.15</v>
      </c>
      <c r="G79" s="19" cm="1">
        <f t="array" aca="1" ref="G79" ca="1">_FV(RTData[[#This Row],[Company Name]],"Open")</f>
        <v>169.4</v>
      </c>
      <c r="H79" s="19" cm="1">
        <f t="array" aca="1" ref="H79" ca="1">_FV(RTData[[#This Row],[Company Name]],"Price")</f>
        <v>180.86</v>
      </c>
      <c r="I79" s="19" cm="1">
        <f t="array" aca="1" ref="I79" ca="1">_FV(RTData[[#This Row],[Company Name]],"Low")</f>
        <v>167.29499999999999</v>
      </c>
      <c r="J79" s="19" cm="1">
        <f t="array" aca="1" ref="J79" ca="1">_FV(RTData[[#This Row],[Company Name]],"High")</f>
        <v>200.6</v>
      </c>
      <c r="K79" s="20" cm="1">
        <f t="array" aca="1" ref="K79" ca="1">IFERROR(_FV(RTData[[#This Row],[Company Name]],"P/E",TRUE),99)</f>
        <v>30.0322</v>
      </c>
      <c r="L79" s="21" cm="1">
        <f t="array" aca="1" ref="L79" ca="1">_FV(RTData[[#This Row],[Company Name]],"Change")</f>
        <v>-9.2899999999999991</v>
      </c>
      <c r="M79" s="22" cm="1">
        <f t="array" aca="1" ref="M79" ca="1">_FV(RTData[[#This Row],[Company Name]],"Change (%)",TRUE)</f>
        <v>-4.8856000000000004E-2</v>
      </c>
      <c r="N79" s="19" cm="1">
        <f t="array" aca="1" ref="N79" ca="1">_FV(RTData[[#This Row],[Company Name]],"52 week low",TRUE)</f>
        <v>99.5</v>
      </c>
      <c r="O79" s="19" cm="1">
        <f t="array" aca="1" ref="O79" ca="1">_FV(RTData[[#This Row],[Company Name]],"52 week high",TRUE)</f>
        <v>203.2499</v>
      </c>
      <c r="P79" s="23" cm="1">
        <f t="array" aca="1" ref="P79" ca="1">_FV(RTData[[#This Row],[Company Name]],"Volume")</f>
        <v>5015497</v>
      </c>
      <c r="Q79" s="23" cm="1">
        <f t="array" aca="1" ref="Q79" ca="1">_FV(RTData[[#This Row],[Company Name]],"Volume average",TRUE)</f>
        <v>1003245</v>
      </c>
      <c r="R79" s="19" cm="1">
        <f t="array" aca="1" ref="R79" ca="1">_FV(RTData[[#This Row],[Company Name]],"Beta")</f>
        <v>1.7044999999999999</v>
      </c>
      <c r="T79" t="s">
        <v>26</v>
      </c>
      <c r="U79" t="str" cm="1">
        <f t="array" aca="1" ref="U79" ca="1">_FV(RTData[[#This Row],[Company Name]],"Exchange abbreviation",TRUE)</f>
        <v>XNYS</v>
      </c>
      <c r="V79" s="24">
        <f ca="1">IFERROR(RTData[[#This Row],[Volume]]/RTData[[#This Row],[Volume average]],1)</f>
        <v>4.9992743547189367</v>
      </c>
      <c r="W79" s="24"/>
      <c r="X79" s="108">
        <f ca="1">_xlfn.XLOOKUP(RTData[[#This Row],[Ticker symbol]],[2]Sheet2!$B$2:$B$95,[2]Sheet2!$E$2:$E$95)</f>
        <v>203.375</v>
      </c>
      <c r="Y79" s="101">
        <f>_xlfn.LET(_xlpm.date,[2]Sheet2!F78,IF(_xlpm.date=0,"",_xlpm.date))</f>
        <v>41435</v>
      </c>
      <c r="Z79" s="101" t="str">
        <f>_xlfn.LET(_xlpm.date,[2]Sheet2!G78,IF(_xlpm.date=0,"",_xlpm.date))</f>
        <v>Oct 30, 2025</v>
      </c>
      <c r="AA79" s="102">
        <f>[2]Sheet2!$H78</f>
        <v>0</v>
      </c>
      <c r="AB79" s="103">
        <v>1E-4</v>
      </c>
      <c r="AC79" s="104">
        <v>3.0000000000000001E-3</v>
      </c>
      <c r="AD79" s="90">
        <v>157.18</v>
      </c>
      <c r="AE79" s="105">
        <f ca="1">_xlfn.LET(_xlpm.New1YT,RTData[[#This Row],[1YT]],        _xlpm.Old1YT,IF(ISNUMBER(RTData[[#This Row],[Old1YT]]),RTData[[#This Row],[Old1YT]],VALUE(LEFT(RTData[[#This Row],[Old1YT]],FIND("/",RTData[[#This Row],[Old1YT]],1)-1))),       IF(OR(RTData[[#This Row],[1YT]]=0,_xlpm.Old1YT=0),0,(_xlpm.New1YT-_xlpm.Old1YT)/_xlpm.Old1YT))</f>
        <v>0.29389871484921742</v>
      </c>
      <c r="AF79" s="105" t="str">
        <f ca="1">TEXT(RTData[[#This Row],[1YT]],"#,#0.00")&amp;" &lt; "&amp;RTData[[#This Row],[Old1YT]]</f>
        <v>203.38 &lt; 157.18</v>
      </c>
    </row>
    <row r="80" spans="1:32" ht="22" customHeight="1" x14ac:dyDescent="0.3">
      <c r="A80" s="40" t="str" cm="1">
        <f t="array" aca="1" ref="A80" ca="1">_xlfn.SINGLE(RTData[suffix])&amp;_FV(RTData[[#This Row],[Company Name]],"Ticker symbol",TRUE)</f>
        <v>GS</v>
      </c>
      <c r="B80" s="40">
        <f ca="1">D99</f>
        <v>0.86192035855886928</v>
      </c>
      <c r="C80" t="e" vm="61">
        <v>#VALUE!</v>
      </c>
      <c r="D80" s="17" t="str" cm="1">
        <f t="array" aca="1" ref="D80" ca="1">_FV(RTData[[#This Row],[Company Name]],"Currency")</f>
        <v>USD</v>
      </c>
      <c r="E80" s="18" cm="1">
        <f t="array" aca="1" ref="E80" ca="1">_FV(RTData[[#This Row],[Company Name]],"Last trade time",TRUE)</f>
        <v>45959.978648193748</v>
      </c>
      <c r="F80" s="19" cm="1">
        <f t="array" aca="1" ref="F80" ca="1">_FV(RTData[[#This Row],[Company Name]],"Previous close",TRUE)</f>
        <v>792.09</v>
      </c>
      <c r="G80" s="19" cm="1">
        <f t="array" aca="1" ref="G80" ca="1">_FV(RTData[[#This Row],[Company Name]],"Open")</f>
        <v>788</v>
      </c>
      <c r="H80" s="19" cm="1">
        <f t="array" aca="1" ref="H80" ca="1">_FV(RTData[[#This Row],[Company Name]],"Price")</f>
        <v>783.11</v>
      </c>
      <c r="I80" s="19" cm="1">
        <f t="array" aca="1" ref="I80" ca="1">_FV(RTData[[#This Row],[Company Name]],"Low")</f>
        <v>778.82</v>
      </c>
      <c r="J80" s="19" cm="1">
        <f t="array" aca="1" ref="J80" ca="1">_FV(RTData[[#This Row],[Company Name]],"High")</f>
        <v>800.49</v>
      </c>
      <c r="K80" s="20" cm="1">
        <f t="array" aca="1" ref="K80" ca="1">IFERROR(_FV(RTData[[#This Row],[Company Name]],"P/E",TRUE),99)</f>
        <v>15.908099999999999</v>
      </c>
      <c r="L80" s="21" cm="1">
        <f t="array" aca="1" ref="L80" ca="1">_FV(RTData[[#This Row],[Company Name]],"Change")</f>
        <v>-8.98</v>
      </c>
      <c r="M80" s="22" cm="1">
        <f t="array" aca="1" ref="M80" ca="1">_FV(RTData[[#This Row],[Company Name]],"Change (%)",TRUE)</f>
        <v>-1.1337E-2</v>
      </c>
      <c r="N80" s="19" cm="1">
        <f t="array" aca="1" ref="N80" ca="1">_FV(RTData[[#This Row],[Company Name]],"52 week low",TRUE)</f>
        <v>439.38</v>
      </c>
      <c r="O80" s="19" cm="1">
        <f t="array" aca="1" ref="O80" ca="1">_FV(RTData[[#This Row],[Company Name]],"52 week high",TRUE)</f>
        <v>825.25</v>
      </c>
      <c r="P80" s="23" cm="1">
        <f t="array" aca="1" ref="P80" ca="1">_FV(RTData[[#This Row],[Company Name]],"Volume")</f>
        <v>2251230</v>
      </c>
      <c r="Q80" s="23" cm="1">
        <f t="array" aca="1" ref="Q80" ca="1">_FV(RTData[[#This Row],[Company Name]],"Volume average",TRUE)</f>
        <v>2051111</v>
      </c>
      <c r="R80" s="19" cm="1">
        <f t="array" aca="1" ref="R80" ca="1">_FV(RTData[[#This Row],[Company Name]],"Beta")</f>
        <v>1.3975</v>
      </c>
      <c r="T80" t="s">
        <v>26</v>
      </c>
      <c r="U80" t="str" cm="1">
        <f t="array" aca="1" ref="U80" ca="1">_FV(RTData[[#This Row],[Company Name]],"Exchange abbreviation",TRUE)</f>
        <v>XNYS</v>
      </c>
      <c r="V80" s="24">
        <f ca="1">IFERROR(RTData[[#This Row],[Volume]]/RTData[[#This Row],[Volume average]],1)</f>
        <v>1.0975661482971912</v>
      </c>
      <c r="W80" s="24"/>
      <c r="X80" s="108">
        <f ca="1">_xlfn.XLOOKUP(RTData[[#This Row],[Ticker symbol]],[2]Sheet2!$B$2:$B$95,[2]Sheet2!$E$2:$E$95)</f>
        <v>764.68420000000003</v>
      </c>
      <c r="Y80" s="101">
        <f>_xlfn.LET(_xlpm.date,[2]Sheet2!F79,IF(_xlpm.date=0,"",_xlpm.date))</f>
        <v>45898</v>
      </c>
      <c r="Z80" s="101" t="str">
        <f>_xlfn.LET(_xlpm.date,[2]Sheet2!G79,IF(_xlpm.date=0,"",_xlpm.date))</f>
        <v>Oct 14, 2025</v>
      </c>
      <c r="AA80" s="102">
        <f>[2]Sheet2!$H79</f>
        <v>2.0899999999999998E-2</v>
      </c>
      <c r="AB80" s="103">
        <v>1E-4</v>
      </c>
      <c r="AC80" s="104">
        <v>3.0000000000000001E-3</v>
      </c>
      <c r="AD80" s="90">
        <v>453.91</v>
      </c>
      <c r="AE80" s="105">
        <f ca="1">_xlfn.LET(_xlpm.New1YT,RTData[[#This Row],[1YT]],        _xlpm.Old1YT,IF(ISNUMBER(RTData[[#This Row],[Old1YT]]),RTData[[#This Row],[Old1YT]],VALUE(LEFT(RTData[[#This Row],[Old1YT]],FIND("/",RTData[[#This Row],[Old1YT]],1)-1))),       IF(OR(RTData[[#This Row],[1YT]]=0,_xlpm.Old1YT=0),0,(_xlpm.New1YT-_xlpm.Old1YT)/_xlpm.Old1YT))</f>
        <v>0.68466039523253508</v>
      </c>
      <c r="AF80" s="105" t="str">
        <f ca="1">TEXT(RTData[[#This Row],[1YT]],"#,#0.00")&amp;" &lt; "&amp;RTData[[#This Row],[Old1YT]]</f>
        <v>764.68 &lt; 453.91</v>
      </c>
    </row>
    <row r="81" spans="1:33" x14ac:dyDescent="0.3">
      <c r="A81" s="40" t="str" cm="1">
        <f t="array" aca="1" ref="A81" ca="1">_xlfn.SINGLE(RTData[suffix])&amp;_FV(RTData[[#This Row],[Company Name]],"Ticker symbol",TRUE)</f>
        <v>LAZR</v>
      </c>
      <c r="B81" s="40">
        <f ca="1">D99</f>
        <v>0.86192035855886928</v>
      </c>
      <c r="C81" t="e" vm="62">
        <v>#VALUE!</v>
      </c>
      <c r="D81" s="17" t="str" cm="1">
        <f t="array" aca="1" ref="D81" ca="1">_FV(RTData[[#This Row],[Company Name]],"Currency")</f>
        <v>USD</v>
      </c>
      <c r="E81" s="18" cm="1">
        <f t="array" aca="1" ref="E81" ca="1">_FV(RTData[[#This Row],[Company Name]],"Last trade time",TRUE)</f>
        <v>45959.981593113283</v>
      </c>
      <c r="F81" s="19" cm="1">
        <f t="array" aca="1" ref="F81" ca="1">_FV(RTData[[#This Row],[Company Name]],"Previous close",TRUE)</f>
        <v>2.06</v>
      </c>
      <c r="G81" s="19" cm="1">
        <f t="array" aca="1" ref="G81" ca="1">_FV(RTData[[#This Row],[Company Name]],"Open")</f>
        <v>2.09</v>
      </c>
      <c r="H81" s="19" cm="1">
        <f t="array" aca="1" ref="H81" ca="1">_FV(RTData[[#This Row],[Company Name]],"Price")</f>
        <v>2.09</v>
      </c>
      <c r="I81" s="19" cm="1">
        <f t="array" aca="1" ref="I81" ca="1">_FV(RTData[[#This Row],[Company Name]],"Low")</f>
        <v>2.0499999999999998</v>
      </c>
      <c r="J81" s="19" cm="1">
        <f t="array" aca="1" ref="J81" ca="1">_FV(RTData[[#This Row],[Company Name]],"High")</f>
        <v>2.23</v>
      </c>
      <c r="K81" s="20" cm="1">
        <f t="array" aca="1" ref="K81" ca="1">IFERROR(_FV(RTData[[#This Row],[Company Name]],"P/E",TRUE),99)</f>
        <v>0</v>
      </c>
      <c r="L81" s="21" cm="1">
        <f t="array" aca="1" ref="L81" ca="1">_FV(RTData[[#This Row],[Company Name]],"Change")</f>
        <v>0.03</v>
      </c>
      <c r="M81" s="22" cm="1">
        <f t="array" aca="1" ref="M81" ca="1">_FV(RTData[[#This Row],[Company Name]],"Change (%)",TRUE)</f>
        <v>1.4563E-2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6096893</v>
      </c>
      <c r="Q81" s="23" cm="1">
        <f t="array" aca="1" ref="Q81" ca="1">_FV(RTData[[#This Row],[Company Name]],"Volume average",TRUE)</f>
        <v>7575454</v>
      </c>
      <c r="R81" s="19" cm="1">
        <f t="array" aca="1" ref="R81" ca="1">_FV(RTData[[#This Row],[Company Name]],"Beta")</f>
        <v>2.0674999999999999</v>
      </c>
      <c r="T81" t="s">
        <v>26</v>
      </c>
      <c r="U81" t="str" cm="1">
        <f t="array" aca="1" ref="U81" ca="1">_FV(RTData[[#This Row],[Company Name]],"Exchange abbreviation",TRUE)</f>
        <v>XNAS</v>
      </c>
      <c r="V81" s="24">
        <f ca="1">IFERROR(RTData[[#This Row],[Volume]]/RTData[[#This Row],[Volume average]],1)</f>
        <v>0.80482212683226639</v>
      </c>
      <c r="W81" s="24"/>
      <c r="X81" s="108">
        <f ca="1">_xlfn.XLOOKUP(RTData[[#This Row],[Ticker symbol]],[2]Sheet2!$B$2:$B$95,[2]Sheet2!$E$2:$E$95)</f>
        <v>2.6666699999999999</v>
      </c>
      <c r="Y81" s="101" t="str">
        <f>_xlfn.LET(_xlpm.date,[2]Sheet2!F80,IF(_xlpm.date=0,"",_xlpm.date))</f>
        <v/>
      </c>
      <c r="Z81" s="101" t="str">
        <f>_xlfn.LET(_xlpm.date,[2]Sheet2!G80,IF(_xlpm.date=0,"",_xlpm.date))</f>
        <v>Nov 14, 2025</v>
      </c>
      <c r="AA81" s="102">
        <f>[2]Sheet2!$H80</f>
        <v>0</v>
      </c>
      <c r="AB81" s="103">
        <v>1E-4</v>
      </c>
      <c r="AC81" s="104">
        <v>3.0000000000000001E-3</v>
      </c>
      <c r="AD81" s="90" t="s">
        <v>55</v>
      </c>
      <c r="AE81" s="105">
        <f ca="1">_xlfn.LET(_xlpm.New1YT,RTData[[#This Row],[1YT]],        _xlpm.Old1YT,IF(ISNUMBER(RTData[[#This Row],[Old1YT]]),RTData[[#This Row],[Old1YT]],VALUE(LEFT(RTData[[#This Row],[Old1YT]],FIND("/",RTData[[#This Row],[Old1YT]],1)-1))),       IF(OR(RTData[[#This Row],[1YT]]=0,_xlpm.Old1YT=0),0,(_xlpm.New1YT-_xlpm.Old1YT)/_xlpm.Old1YT))</f>
        <v>-0.38271527777777786</v>
      </c>
      <c r="AF81" s="105" t="str">
        <f ca="1">TEXT(RTData[[#This Row],[1YT]],"#,#0.00")&amp;" &lt; "&amp;RTData[[#This Row],[Old1YT]]</f>
        <v>2.67 &lt; 4.32/2.59</v>
      </c>
    </row>
    <row r="82" spans="1:33" ht="22" customHeight="1" x14ac:dyDescent="0.3">
      <c r="A82" s="40" t="str" cm="1">
        <f t="array" aca="1" ref="A82" ca="1">_xlfn.SINGLE(RTData[suffix])&amp;_FV(RTData[[#This Row],[Company Name]],"Ticker symbol",TRUE)</f>
        <v>LUV</v>
      </c>
      <c r="B82" s="40">
        <f ca="1">D99</f>
        <v>0.86192035855886928</v>
      </c>
      <c r="C82" t="e" vm="63">
        <v>#VALUE!</v>
      </c>
      <c r="D82" s="17" t="str" cm="1">
        <f t="array" aca="1" ref="D82" ca="1">_FV(RTData[[#This Row],[Company Name]],"Currency")</f>
        <v>USD</v>
      </c>
      <c r="E82" s="18" cm="1">
        <f t="array" aca="1" ref="E82" ca="1">_FV(RTData[[#This Row],[Company Name]],"Last trade time",TRUE)</f>
        <v>45959.982571110937</v>
      </c>
      <c r="F82" s="19" cm="1">
        <f t="array" aca="1" ref="F82" ca="1">_FV(RTData[[#This Row],[Company Name]],"Previous close",TRUE)</f>
        <v>31.09</v>
      </c>
      <c r="G82" s="19" cm="1">
        <f t="array" aca="1" ref="G82" ca="1">_FV(RTData[[#This Row],[Company Name]],"Open")</f>
        <v>31.02</v>
      </c>
      <c r="H82" s="19" cm="1">
        <f t="array" aca="1" ref="H82" ca="1">_FV(RTData[[#This Row],[Company Name]],"Price")</f>
        <v>30.664999999999999</v>
      </c>
      <c r="I82" s="19" cm="1">
        <f t="array" aca="1" ref="I82" ca="1">_FV(RTData[[#This Row],[Company Name]],"Low")</f>
        <v>30.454999999999998</v>
      </c>
      <c r="J82" s="19" cm="1">
        <f t="array" aca="1" ref="J82" ca="1">_FV(RTData[[#This Row],[Company Name]],"High")</f>
        <v>31.13</v>
      </c>
      <c r="K82" s="20" cm="1">
        <f t="array" aca="1" ref="K82" ca="1">IFERROR(_FV(RTData[[#This Row],[Company Name]],"P/E",TRUE),99)</f>
        <v>45.830199999999998</v>
      </c>
      <c r="L82" s="21" cm="1">
        <f t="array" aca="1" ref="L82" ca="1">_FV(RTData[[#This Row],[Company Name]],"Change")</f>
        <v>-0.42499999999999999</v>
      </c>
      <c r="M82" s="22" cm="1">
        <f t="array" aca="1" ref="M82" ca="1">_FV(RTData[[#This Row],[Company Name]],"Change (%)",TRUE)</f>
        <v>-1.367E-2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10919370</v>
      </c>
      <c r="Q82" s="23" cm="1">
        <f t="array" aca="1" ref="Q82" ca="1">_FV(RTData[[#This Row],[Company Name]],"Volume average",TRUE)</f>
        <v>9811602</v>
      </c>
      <c r="R82" s="19" cm="1">
        <f t="array" aca="1" ref="R82" ca="1">_FV(RTData[[#This Row],[Company Name]],"Beta")</f>
        <v>1.2273000000000001</v>
      </c>
      <c r="T82" t="s">
        <v>26</v>
      </c>
      <c r="U82" t="str" cm="1">
        <f t="array" aca="1" ref="U82" ca="1">_FV(RTData[[#This Row],[Company Name]],"Exchange abbreviation",TRUE)</f>
        <v>XNYS</v>
      </c>
      <c r="V82" s="24">
        <f ca="1">IFERROR(RTData[[#This Row],[Volume]]/RTData[[#This Row],[Volume average]],1)</f>
        <v>1.1129038866435879</v>
      </c>
      <c r="W82" s="24"/>
      <c r="X82" s="108">
        <f ca="1">_xlfn.XLOOKUP(RTData[[#This Row],[Ticker symbol]],[2]Sheet2!$B$2:$B$95,[2]Sheet2!$E$2:$E$95)</f>
        <v>33.06</v>
      </c>
      <c r="Y82" s="101">
        <f>_xlfn.LET(_xlpm.date,[2]Sheet2!F81,IF(_xlpm.date=0,"",_xlpm.date))</f>
        <v>45903</v>
      </c>
      <c r="Z82" s="101" t="str">
        <f>_xlfn.LET(_xlpm.date,[2]Sheet2!G81,IF(_xlpm.date=0,"",_xlpm.date))</f>
        <v>Oct 22, 2025</v>
      </c>
      <c r="AA82" s="102">
        <f>[2]Sheet2!$H81</f>
        <v>2.3E-2</v>
      </c>
      <c r="AB82" s="103">
        <v>1E-4</v>
      </c>
      <c r="AC82" s="104">
        <v>3.0000000000000001E-3</v>
      </c>
      <c r="AD82" s="90">
        <v>28.04</v>
      </c>
      <c r="AE82" s="105">
        <f ca="1">_xlfn.LET(_xlpm.New1YT,RTData[[#This Row],[1YT]],        _xlpm.Old1YT,IF(ISNUMBER(RTData[[#This Row],[Old1YT]]),RTData[[#This Row],[Old1YT]],VALUE(LEFT(RTData[[#This Row],[Old1YT]],FIND("/",RTData[[#This Row],[Old1YT]],1)-1))),       IF(OR(RTData[[#This Row],[1YT]]=0,_xlpm.Old1YT=0),0,(_xlpm.New1YT-_xlpm.Old1YT)/_xlpm.Old1YT))</f>
        <v>0.17902995720399442</v>
      </c>
      <c r="AF82" s="105" t="str">
        <f ca="1">TEXT(RTData[[#This Row],[1YT]],"#,#0.00")&amp;" &lt; "&amp;RTData[[#This Row],[Old1YT]]</f>
        <v>33.06 &lt; 28.04</v>
      </c>
    </row>
    <row r="83" spans="1:33" ht="22" customHeight="1" x14ac:dyDescent="0.3">
      <c r="A83" s="40" t="str" cm="1">
        <f t="array" aca="1" ref="A83" ca="1">_xlfn.SINGLE(RTData[suffix])&amp;_FV(RTData[[#This Row],[Company Name]],"Ticker symbol",TRUE)</f>
        <v>MA</v>
      </c>
      <c r="B83" s="40">
        <f ca="1">D99</f>
        <v>0.86192035855886928</v>
      </c>
      <c r="C83" t="e" vm="64">
        <v>#VALUE!</v>
      </c>
      <c r="D83" s="17" t="str" cm="1">
        <f t="array" aca="1" ref="D83" ca="1">_FV(RTData[[#This Row],[Company Name]],"Currency")</f>
        <v>USD</v>
      </c>
      <c r="E83" s="18" cm="1">
        <f t="array" aca="1" ref="E83" ca="1">_FV(RTData[[#This Row],[Company Name]],"Last trade time",TRUE)</f>
        <v>45959.98177942109</v>
      </c>
      <c r="F83" s="19" cm="1">
        <f t="array" aca="1" ref="F83" ca="1">_FV(RTData[[#This Row],[Company Name]],"Previous close",TRUE)</f>
        <v>565.92999999999995</v>
      </c>
      <c r="G83" s="19" cm="1">
        <f t="array" aca="1" ref="G83" ca="1">_FV(RTData[[#This Row],[Company Name]],"Open")</f>
        <v>561.63</v>
      </c>
      <c r="H83" s="19" cm="1">
        <f t="array" aca="1" ref="H83" ca="1">_FV(RTData[[#This Row],[Company Name]],"Price")</f>
        <v>554.84</v>
      </c>
      <c r="I83" s="19" cm="1">
        <f t="array" aca="1" ref="I83" ca="1">_FV(RTData[[#This Row],[Company Name]],"Low")</f>
        <v>551.23</v>
      </c>
      <c r="J83" s="19" cm="1">
        <f t="array" aca="1" ref="J83" ca="1">_FV(RTData[[#This Row],[Company Name]],"High")</f>
        <v>566.80989999999997</v>
      </c>
      <c r="K83" s="20" cm="1">
        <f t="array" aca="1" ref="K83" ca="1">IFERROR(_FV(RTData[[#This Row],[Company Name]],"P/E",TRUE),99)</f>
        <v>37.417900000000003</v>
      </c>
      <c r="L83" s="21" cm="1">
        <f t="array" aca="1" ref="L83" ca="1">_FV(RTData[[#This Row],[Company Name]],"Change")</f>
        <v>-11.09</v>
      </c>
      <c r="M83" s="22" cm="1">
        <f t="array" aca="1" ref="M83" ca="1">_FV(RTData[[#This Row],[Company Name]],"Change (%)",TRUE)</f>
        <v>-1.9595999999999999E-2</v>
      </c>
      <c r="N83" s="19" cm="1">
        <f t="array" aca="1" ref="N83" ca="1">_FV(RTData[[#This Row],[Company Name]],"52 week low",TRUE)</f>
        <v>465.59</v>
      </c>
      <c r="O83" s="19" cm="1">
        <f t="array" aca="1" ref="O83" ca="1">_FV(RTData[[#This Row],[Company Name]],"52 week high",TRUE)</f>
        <v>601.77</v>
      </c>
      <c r="P83" s="23" cm="1">
        <f t="array" aca="1" ref="P83" ca="1">_FV(RTData[[#This Row],[Company Name]],"Volume")</f>
        <v>3762374</v>
      </c>
      <c r="Q83" s="23" cm="1">
        <f t="array" aca="1" ref="Q83" ca="1">_FV(RTData[[#This Row],[Company Name]],"Volume average",TRUE)</f>
        <v>2572109</v>
      </c>
      <c r="R83" s="19" cm="1">
        <f t="array" aca="1" ref="R83" ca="1">_FV(RTData[[#This Row],[Company Name]],"Beta")</f>
        <v>0.92269999999999996</v>
      </c>
      <c r="T83" t="s">
        <v>26</v>
      </c>
      <c r="U83" t="str" cm="1">
        <f t="array" aca="1" ref="U83" ca="1">_FV(RTData[[#This Row],[Company Name]],"Exchange abbreviation",TRUE)</f>
        <v>XNYS</v>
      </c>
      <c r="V83" s="24">
        <f ca="1">IFERROR(RTData[[#This Row],[Volume]]/RTData[[#This Row],[Volume average]],1)</f>
        <v>1.4627583823236108</v>
      </c>
      <c r="W83" s="24"/>
      <c r="X83" s="108">
        <f ca="1">_xlfn.XLOOKUP(RTData[[#This Row],[Ticker symbol]],[2]Sheet2!$B$2:$B$95,[2]Sheet2!$E$2:$E$95)</f>
        <v>648.43029999999999</v>
      </c>
      <c r="Y83" s="101">
        <f>_xlfn.LET(_xlpm.date,[2]Sheet2!F82,IF(_xlpm.date=0,"",_xlpm.date))</f>
        <v>45939</v>
      </c>
      <c r="Z83" s="101" t="str">
        <f>_xlfn.LET(_xlpm.date,[2]Sheet2!G82,IF(_xlpm.date=0,"",_xlpm.date))</f>
        <v>Oct 30, 2025</v>
      </c>
      <c r="AA83" s="102">
        <f>[2]Sheet2!$H82</f>
        <v>5.4999999999999997E-3</v>
      </c>
      <c r="AB83" s="103">
        <v>1E-4</v>
      </c>
      <c r="AC83" s="104">
        <v>3.0000000000000001E-3</v>
      </c>
      <c r="AD83" s="90">
        <v>549.30999999999995</v>
      </c>
      <c r="AE83" s="105">
        <f ca="1">_xlfn.LET(_xlpm.New1YT,RTData[[#This Row],[1YT]],        _xlpm.Old1YT,IF(ISNUMBER(RTData[[#This Row],[Old1YT]]),RTData[[#This Row],[Old1YT]],VALUE(LEFT(RTData[[#This Row],[Old1YT]],FIND("/",RTData[[#This Row],[Old1YT]],1)-1))),       IF(OR(RTData[[#This Row],[1YT]]=0,_xlpm.Old1YT=0),0,(_xlpm.New1YT-_xlpm.Old1YT)/_xlpm.Old1YT))</f>
        <v>0.18044510385756687</v>
      </c>
      <c r="AF83" s="105" t="str">
        <f ca="1">TEXT(RTData[[#This Row],[1YT]],"#,#0.00")&amp;" &lt; "&amp;RTData[[#This Row],[Old1YT]]</f>
        <v>648.43 &lt; 549.31</v>
      </c>
    </row>
    <row r="84" spans="1:33" ht="22" customHeight="1" x14ac:dyDescent="0.3">
      <c r="A84" s="40" t="str" cm="1">
        <f t="array" aca="1" ref="A84" ca="1">_xlfn.SINGLE(RTData[suffix])&amp;_FV(RTData[[#This Row],[Company Name]],"Ticker symbol",TRUE)</f>
        <v>NVAX</v>
      </c>
      <c r="B84" s="40">
        <f ca="1">D99</f>
        <v>0.86192035855886928</v>
      </c>
      <c r="C84" t="e" vm="65">
        <v>#VALUE!</v>
      </c>
      <c r="D84" s="17" t="str" cm="1">
        <f t="array" aca="1" ref="D84" ca="1">_FV(RTData[[#This Row],[Company Name]],"Currency")</f>
        <v>USD</v>
      </c>
      <c r="E84" s="18" cm="1">
        <f t="array" aca="1" ref="E84" ca="1">_FV(RTData[[#This Row],[Company Name]],"Last trade time",TRUE)</f>
        <v>45959.978908483594</v>
      </c>
      <c r="F84" s="19" cm="1">
        <f t="array" aca="1" ref="F84" ca="1">_FV(RTData[[#This Row],[Company Name]],"Previous close",TRUE)</f>
        <v>8.52</v>
      </c>
      <c r="G84" s="19" cm="1">
        <f t="array" aca="1" ref="G84" ca="1">_FV(RTData[[#This Row],[Company Name]],"Open")</f>
        <v>8.5</v>
      </c>
      <c r="H84" s="19" cm="1">
        <f t="array" aca="1" ref="H84" ca="1">_FV(RTData[[#This Row],[Company Name]],"Price")</f>
        <v>8.3800000000000008</v>
      </c>
      <c r="I84" s="19" cm="1">
        <f t="array" aca="1" ref="I84" ca="1">_FV(RTData[[#This Row],[Company Name]],"Low")</f>
        <v>8.2799999999999994</v>
      </c>
      <c r="J84" s="19" cm="1">
        <f t="array" aca="1" ref="J84" ca="1">_FV(RTData[[#This Row],[Company Name]],"High")</f>
        <v>8.58</v>
      </c>
      <c r="K84" s="20" cm="1">
        <f t="array" aca="1" ref="K84" ca="1">IFERROR(_FV(RTData[[#This Row],[Company Name]],"P/E",TRUE),99)</f>
        <v>3.6638999999999999</v>
      </c>
      <c r="L84" s="21" cm="1">
        <f t="array" aca="1" ref="L84" ca="1">_FV(RTData[[#This Row],[Company Name]],"Change")</f>
        <v>-0.14000000000000001</v>
      </c>
      <c r="M84" s="22" cm="1">
        <f t="array" aca="1" ref="M84" ca="1">_FV(RTData[[#This Row],[Company Name]],"Change (%)",TRUE)</f>
        <v>-1.6431999999999999E-2</v>
      </c>
      <c r="N84" s="19" cm="1">
        <f t="array" aca="1" ref="N84" ca="1">_FV(RTData[[#This Row],[Company Name]],"52 week low",TRUE)</f>
        <v>5.01</v>
      </c>
      <c r="O84" s="19" cm="1">
        <f t="array" aca="1" ref="O84" ca="1">_FV(RTData[[#This Row],[Company Name]],"52 week high",TRUE)</f>
        <v>11.55</v>
      </c>
      <c r="P84" s="23" cm="1">
        <f t="array" aca="1" ref="P84" ca="1">_FV(RTData[[#This Row],[Company Name]],"Volume")</f>
        <v>2658985</v>
      </c>
      <c r="Q84" s="23" cm="1">
        <f t="array" aca="1" ref="Q84" ca="1">_FV(RTData[[#This Row],[Company Name]],"Volume average",TRUE)</f>
        <v>4349181</v>
      </c>
      <c r="R84" s="19" cm="1">
        <f t="array" aca="1" ref="R84" ca="1">_FV(RTData[[#This Row],[Company Name]],"Beta")</f>
        <v>2.6821999999999999</v>
      </c>
      <c r="T84" t="s">
        <v>26</v>
      </c>
      <c r="U84" t="str" cm="1">
        <f t="array" aca="1" ref="U84" ca="1">_FV(RTData[[#This Row],[Company Name]],"Exchange abbreviation",TRUE)</f>
        <v>XNAS</v>
      </c>
      <c r="V84" s="24">
        <f ca="1">IFERROR(RTData[[#This Row],[Volume]]/RTData[[#This Row],[Volume average]],1)</f>
        <v>0.61137602688874071</v>
      </c>
      <c r="W84" s="24"/>
      <c r="X84" s="108">
        <f ca="1">_xlfn.XLOOKUP(RTData[[#This Row],[Ticker symbol]],[2]Sheet2!$B$2:$B$95,[2]Sheet2!$E$2:$E$95)</f>
        <v>12.5</v>
      </c>
      <c r="Y84" s="101" t="str">
        <f>_xlfn.LET(_xlpm.date,[2]Sheet2!F83,IF(_xlpm.date=0,"",_xlpm.date))</f>
        <v/>
      </c>
      <c r="Z84" s="101" t="str">
        <f>_xlfn.LET(_xlpm.date,[2]Sheet2!G83,IF(_xlpm.date=0,"",_xlpm.date))</f>
        <v>Aug 6, 2025</v>
      </c>
      <c r="AA84" s="102">
        <f>[2]Sheet2!$H83</f>
        <v>0</v>
      </c>
      <c r="AB84" s="103">
        <v>1E-4</v>
      </c>
      <c r="AC84" s="104">
        <v>3.0000000000000001E-3</v>
      </c>
      <c r="AD84" s="90" t="s">
        <v>47</v>
      </c>
      <c r="AE84" s="105">
        <f ca="1">_xlfn.LET(_xlpm.New1YT,RTData[[#This Row],[1YT]],        _xlpm.Old1YT,IF(ISNUMBER(RTData[[#This Row],[Old1YT]]),RTData[[#This Row],[Old1YT]],VALUE(LEFT(RTData[[#This Row],[Old1YT]],FIND("/",RTData[[#This Row],[Old1YT]],1)-1))),       IF(OR(RTData[[#This Row],[1YT]]=0,_xlpm.Old1YT=0),0,(_xlpm.New1YT-_xlpm.Old1YT)/_xlpm.Old1YT))</f>
        <v>-0.14792092706203136</v>
      </c>
      <c r="AF84" s="105" t="str">
        <f ca="1">TEXT(RTData[[#This Row],[1YT]],"#,#0.00")&amp;" &lt; "&amp;RTData[[#This Row],[Old1YT]]</f>
        <v>12.50 &lt; 14.67/16.14/20.8</v>
      </c>
    </row>
    <row r="85" spans="1:33" ht="22" customHeight="1" x14ac:dyDescent="0.3">
      <c r="A85" s="40" t="str" cm="1">
        <f t="array" aca="1" ref="A85" ca="1">_xlfn.SINGLE(RTData[suffix])&amp;_FV(RTData[[#This Row],[Company Name]],"Ticker symbol",TRUE)</f>
        <v>NVS</v>
      </c>
      <c r="B85" s="40">
        <f ca="1">D99</f>
        <v>0.86192035855886928</v>
      </c>
      <c r="C85" t="e" vm="66">
        <v>#VALUE!</v>
      </c>
      <c r="D85" s="17" t="str" cm="1">
        <f t="array" aca="1" ref="D85" ca="1">_FV(RTData[[#This Row],[Company Name]],"Currency")</f>
        <v>USD</v>
      </c>
      <c r="E85" s="18" cm="1">
        <f t="array" aca="1" ref="E85" ca="1">_FV(RTData[[#This Row],[Company Name]],"Last trade time",TRUE)</f>
        <v>45959.958333344533</v>
      </c>
      <c r="F85" s="19" cm="1">
        <f t="array" aca="1" ref="F85" ca="1">_FV(RTData[[#This Row],[Company Name]],"Previous close",TRUE)</f>
        <v>123.43</v>
      </c>
      <c r="G85" s="19" cm="1">
        <f t="array" aca="1" ref="G85" ca="1">_FV(RTData[[#This Row],[Company Name]],"Open")</f>
        <v>123.29</v>
      </c>
      <c r="H85" s="19" cm="1">
        <f t="array" aca="1" ref="H85" ca="1">_FV(RTData[[#This Row],[Company Name]],"Price")</f>
        <v>121.8</v>
      </c>
      <c r="I85" s="19" cm="1">
        <f t="array" aca="1" ref="I85" ca="1">_FV(RTData[[#This Row],[Company Name]],"Low")</f>
        <v>121.57</v>
      </c>
      <c r="J85" s="19" cm="1">
        <f t="array" aca="1" ref="J85" ca="1">_FV(RTData[[#This Row],[Company Name]],"High")</f>
        <v>123.925</v>
      </c>
      <c r="K85" s="20" cm="1">
        <f t="array" aca="1" ref="K85" ca="1">IFERROR(_FV(RTData[[#This Row],[Company Name]],"P/E",TRUE),99)</f>
        <v>16.657499999999999</v>
      </c>
      <c r="L85" s="21" cm="1">
        <f t="array" aca="1" ref="L85" ca="1">_FV(RTData[[#This Row],[Company Name]],"Change")</f>
        <v>-1.63</v>
      </c>
      <c r="M85" s="22" cm="1">
        <f t="array" aca="1" ref="M85" ca="1">_FV(RTData[[#This Row],[Company Name]],"Change (%)",TRUE)</f>
        <v>-1.3206000000000001E-2</v>
      </c>
      <c r="N85" s="19" cm="1">
        <f t="array" aca="1" ref="N85" ca="1">_FV(RTData[[#This Row],[Company Name]],"52 week low",TRUE)</f>
        <v>96.061999999999998</v>
      </c>
      <c r="O85" s="19" cm="1">
        <f t="array" aca="1" ref="O85" ca="1">_FV(RTData[[#This Row],[Company Name]],"52 week high",TRUE)</f>
        <v>133.55000000000001</v>
      </c>
      <c r="P85" s="23" cm="1">
        <f t="array" aca="1" ref="P85" ca="1">_FV(RTData[[#This Row],[Company Name]],"Volume")</f>
        <v>2582630</v>
      </c>
      <c r="Q85" s="23" cm="1">
        <f t="array" aca="1" ref="Q85" ca="1">_FV(RTData[[#This Row],[Company Name]],"Volume average",TRUE)</f>
        <v>1722418</v>
      </c>
      <c r="R85" s="19" cm="1">
        <f t="array" aca="1" ref="R85" ca="1">_FV(RTData[[#This Row],[Company Name]],"Beta")</f>
        <v>0.59570000000000001</v>
      </c>
      <c r="T85" t="s">
        <v>26</v>
      </c>
      <c r="U85" t="str" cm="1">
        <f t="array" aca="1" ref="U85" ca="1">_FV(RTData[[#This Row],[Company Name]],"Exchange abbreviation",TRUE)</f>
        <v>XNYS</v>
      </c>
      <c r="V85" s="24">
        <f ca="1">IFERROR(RTData[[#This Row],[Volume]]/RTData[[#This Row],[Volume average]],1)</f>
        <v>1.4994211625749383</v>
      </c>
      <c r="W85" s="24"/>
      <c r="X85" s="108">
        <f ca="1">_xlfn.XLOOKUP(RTData[[#This Row],[Ticker symbol]],[2]Sheet2!$B$2:$B$95,[2]Sheet2!$E$2:$E$95)</f>
        <v>122.054</v>
      </c>
      <c r="Y85" s="101">
        <f>_xlfn.LET(_xlpm.date,[2]Sheet2!F84,IF(_xlpm.date=0,"",_xlpm.date))</f>
        <v>45728</v>
      </c>
      <c r="Z85" s="101" t="str">
        <f>_xlfn.LET(_xlpm.date,[2]Sheet2!G84,IF(_xlpm.date=0,"",_xlpm.date))</f>
        <v>Oct 28, 2025</v>
      </c>
      <c r="AA85" s="102">
        <f>[2]Sheet2!$H84</f>
        <v>3.0700000000000002E-2</v>
      </c>
      <c r="AB85" s="103">
        <v>1E-4</v>
      </c>
      <c r="AC85" s="104">
        <v>3.0000000000000001E-3</v>
      </c>
      <c r="AD85" s="90">
        <v>115.66</v>
      </c>
      <c r="AE85" s="105">
        <f ca="1">_xlfn.LET(_xlpm.New1YT,RTData[[#This Row],[1YT]],        _xlpm.Old1YT,IF(ISNUMBER(RTData[[#This Row],[Old1YT]]),RTData[[#This Row],[Old1YT]],VALUE(LEFT(RTData[[#This Row],[Old1YT]],FIND("/",RTData[[#This Row],[Old1YT]],1)-1))),       IF(OR(RTData[[#This Row],[1YT]]=0,_xlpm.Old1YT=0),0,(_xlpm.New1YT-_xlpm.Old1YT)/_xlpm.Old1YT))</f>
        <v>5.5282725229119881E-2</v>
      </c>
      <c r="AF85" s="105" t="str">
        <f ca="1">TEXT(RTData[[#This Row],[1YT]],"#,#0.00")&amp;" &lt; "&amp;RTData[[#This Row],[Old1YT]]</f>
        <v>122.05 &lt; 115.66</v>
      </c>
    </row>
    <row r="86" spans="1:33" x14ac:dyDescent="0.3">
      <c r="A86" s="40" t="str" cm="1">
        <f t="array" aca="1" ref="A86" ca="1">_xlfn.SINGLE(RTData[suffix])&amp;_FV(RTData[[#This Row],[Company Name]],"Ticker symbol",TRUE)</f>
        <v>ORA</v>
      </c>
      <c r="B86" s="40">
        <v>1</v>
      </c>
      <c r="C86" t="e" vm="56">
        <v>#VALUE!</v>
      </c>
      <c r="D86" s="17" t="str" cm="1">
        <f t="array" aca="1" ref="D86" ca="1">_FV(RTData[[#This Row],[Company Name]],"Currency")</f>
        <v>EUR</v>
      </c>
      <c r="E86" s="18" cm="1">
        <f t="array" aca="1" ref="E86" ca="1">_FV(RTData[[#This Row],[Company Name]],"Last trade time",TRUE)</f>
        <v>45959.708333333336</v>
      </c>
      <c r="F86" s="28" cm="1">
        <f t="array" aca="1" ref="F86" ca="1">_FV(RTData[[#This Row],[Company Name]],"Previous close",TRUE)</f>
        <v>13.89</v>
      </c>
      <c r="G86" s="28" cm="1">
        <f t="array" aca="1" ref="G86" ca="1">_FV(RTData[[#This Row],[Company Name]],"Open")</f>
        <v>13.85</v>
      </c>
      <c r="H86" s="28" cm="1">
        <f t="array" aca="1" ref="H86" ca="1">_FV(RTData[[#This Row],[Company Name]],"Price")</f>
        <v>13.715</v>
      </c>
      <c r="I86" s="28" cm="1">
        <f t="array" aca="1" ref="I86" ca="1">_FV(RTData[[#This Row],[Company Name]],"Low")</f>
        <v>13.69</v>
      </c>
      <c r="J86" s="28" cm="1">
        <f t="array" aca="1" ref="J86" ca="1">_FV(RTData[[#This Row],[Company Name]],"High")</f>
        <v>13.86</v>
      </c>
      <c r="K86" s="20" cm="1">
        <f t="array" aca="1" ref="K86" ca="1">IFERROR(_FV(RTData[[#This Row],[Company Name]],"P/E",TRUE),99)</f>
        <v>43.872399999999999</v>
      </c>
      <c r="L86" s="21" cm="1">
        <f t="array" aca="1" ref="L86" ca="1">_FV(RTData[[#This Row],[Company Name]],"Change")</f>
        <v>-0.17499999999999999</v>
      </c>
      <c r="M86" s="22" cm="1">
        <f t="array" aca="1" ref="M86" ca="1">_FV(RTData[[#This Row],[Company Name]],"Change (%)",TRUE)</f>
        <v>-1.2599000000000001E-2</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4304841</v>
      </c>
      <c r="Q86" s="23" cm="1">
        <f t="array" aca="1" ref="Q86" ca="1">_FV(RTData[[#This Row],[Company Name]],"Volume average",TRUE)</f>
        <v>4207060</v>
      </c>
      <c r="R86" s="19" cm="1">
        <f t="array" aca="1" ref="R86" ca="1">_FV(RTData[[#This Row],[Company Name]],"Beta")</f>
        <v>0.30530000000000002</v>
      </c>
      <c r="T86" t="s">
        <v>26</v>
      </c>
      <c r="U86" t="str" cm="1">
        <f t="array" aca="1" ref="U86" ca="1">_FV(RTData[[#This Row],[Company Name]],"Exchange abbreviation",TRUE)</f>
        <v>XPAR</v>
      </c>
      <c r="V86" s="24">
        <f ca="1">IFERROR(RTData[[#This Row],[Volume]]/RTData[[#This Row],[Volume average]],1)</f>
        <v>1.0232421215765879</v>
      </c>
      <c r="W86" s="24"/>
      <c r="X86" s="108">
        <f ca="1">_xlfn.XLOOKUP(RTData[[#This Row],[Ticker symbol]],[2]Sheet2!$B$2:$B$95,[2]Sheet2!$E$2:$E$95)</f>
        <v>15.28889</v>
      </c>
      <c r="Y86" s="101">
        <f>_xlfn.LET(_xlpm.date,[2]Sheet2!F85,IF(_xlpm.date=0,"",_xlpm.date))</f>
        <v>45993</v>
      </c>
      <c r="Z86" s="101" t="str">
        <f>_xlfn.LET(_xlpm.date,[2]Sheet2!G85,IF(_xlpm.date=0,"",_xlpm.date))</f>
        <v/>
      </c>
      <c r="AA86" s="102">
        <f>[2]Sheet2!$H85</f>
        <v>5.5199999999999999E-2</v>
      </c>
      <c r="AB86" s="103"/>
      <c r="AC86" s="104">
        <v>3.0000000000000001E-3</v>
      </c>
      <c r="AD86" s="90" t="s">
        <v>59</v>
      </c>
      <c r="AE86" s="105">
        <f ca="1">_xlfn.LET(_xlpm.New1YT,RTData[[#This Row],[1YT]],        _xlpm.Old1YT,IF(ISNUMBER(RTData[[#This Row],[Old1YT]]),RTData[[#This Row],[Old1YT]],VALUE(LEFT(RTData[[#This Row],[Old1YT]],FIND("/",RTData[[#This Row],[Old1YT]],1)-1))),       IF(OR(RTData[[#This Row],[1YT]]=0,_xlpm.Old1YT=0),0,(_xlpm.New1YT-_xlpm.Old1YT)/_xlpm.Old1YT))</f>
        <v>3.0943358057990575E-2</v>
      </c>
      <c r="AF86" s="105" t="str">
        <f ca="1">TEXT(RTData[[#This Row],[1YT]],"#,#0.00")&amp;" &lt; "&amp;RTData[[#This Row],[Old1YT]]</f>
        <v>15.29 &lt; 14.83/14/12.94</v>
      </c>
    </row>
    <row r="87" spans="1:33" ht="22" customHeight="1" x14ac:dyDescent="0.3">
      <c r="A87" s="40" t="str" cm="1">
        <f t="array" aca="1" ref="A87" ca="1">_xlfn.SINGLE(RTData[suffix])&amp;_FV(RTData[[#This Row],[Company Name]],"Ticker symbol",TRUE)</f>
        <v>OXY</v>
      </c>
      <c r="B87" s="40">
        <f ca="1">D99</f>
        <v>0.86192035855886928</v>
      </c>
      <c r="C87" t="e" vm="67">
        <v>#VALUE!</v>
      </c>
      <c r="D87" s="17" t="str" cm="1">
        <f t="array" aca="1" ref="D87" ca="1">_FV(RTData[[#This Row],[Company Name]],"Currency")</f>
        <v>USD</v>
      </c>
      <c r="E87" s="18" cm="1">
        <f t="array" aca="1" ref="E87" ca="1">_FV(RTData[[#This Row],[Company Name]],"Last trade time",TRUE)</f>
        <v>45959.982787615627</v>
      </c>
      <c r="F87" s="19" cm="1">
        <f t="array" aca="1" ref="F87" ca="1">_FV(RTData[[#This Row],[Company Name]],"Previous close",TRUE)</f>
        <v>40.83</v>
      </c>
      <c r="G87" s="19" cm="1">
        <f t="array" aca="1" ref="G87" ca="1">_FV(RTData[[#This Row],[Company Name]],"Open")</f>
        <v>40.799999999999997</v>
      </c>
      <c r="H87" s="19" cm="1">
        <f t="array" aca="1" ref="H87" ca="1">_FV(RTData[[#This Row],[Company Name]],"Price")</f>
        <v>40.585000000000001</v>
      </c>
      <c r="I87" s="19" cm="1">
        <f t="array" aca="1" ref="I87" ca="1">_FV(RTData[[#This Row],[Company Name]],"Low")</f>
        <v>40.470999999999997</v>
      </c>
      <c r="J87" s="19" cm="1">
        <f t="array" aca="1" ref="J87" ca="1">_FV(RTData[[#This Row],[Company Name]],"High")</f>
        <v>41.12</v>
      </c>
      <c r="K87" s="20" cm="1">
        <f t="array" aca="1" ref="K87" ca="1">IFERROR(_FV(RTData[[#This Row],[Company Name]],"P/E",TRUE),99)</f>
        <v>24.050799999999999</v>
      </c>
      <c r="L87" s="21" cm="1">
        <f t="array" aca="1" ref="L87" ca="1">_FV(RTData[[#This Row],[Company Name]],"Change")</f>
        <v>-0.245</v>
      </c>
      <c r="M87" s="22" cm="1">
        <f t="array" aca="1" ref="M87" ca="1">_FV(RTData[[#This Row],[Company Name]],"Change (%)",TRUE)</f>
        <v>-6.0000000000000001E-3</v>
      </c>
      <c r="N87" s="19" cm="1">
        <f t="array" aca="1" ref="N87" ca="1">_FV(RTData[[#This Row],[Company Name]],"52 week low",TRUE)</f>
        <v>34.784999999999997</v>
      </c>
      <c r="O87" s="19" cm="1">
        <f t="array" aca="1" ref="O87" ca="1">_FV(RTData[[#This Row],[Company Name]],"52 week high",TRUE)</f>
        <v>53.2</v>
      </c>
      <c r="P87" s="23" cm="1">
        <f t="array" aca="1" ref="P87" ca="1">_FV(RTData[[#This Row],[Company Name]],"Volume")</f>
        <v>10866262</v>
      </c>
      <c r="Q87" s="23" cm="1">
        <f t="array" aca="1" ref="Q87" ca="1">_FV(RTData[[#This Row],[Company Name]],"Volume average",TRUE)</f>
        <v>12266584</v>
      </c>
      <c r="R87" s="19" cm="1">
        <f t="array" aca="1" ref="R87" ca="1">_FV(RTData[[#This Row],[Company Name]],"Beta")</f>
        <v>0.89639999999999997</v>
      </c>
      <c r="T87" t="s">
        <v>26</v>
      </c>
      <c r="U87" t="str" cm="1">
        <f t="array" aca="1" ref="U87" ca="1">_FV(RTData[[#This Row],[Company Name]],"Exchange abbreviation",TRUE)</f>
        <v>XNYS</v>
      </c>
      <c r="V87" s="24">
        <f ca="1">IFERROR(RTData[[#This Row],[Volume]]/RTData[[#This Row],[Volume average]],1)</f>
        <v>0.885842545895418</v>
      </c>
      <c r="W87" s="24"/>
      <c r="X87" s="108">
        <f ca="1">_xlfn.XLOOKUP(RTData[[#This Row],[Ticker symbol]],[2]Sheet2!$B$2:$B$95,[2]Sheet2!$E$2:$E$95)</f>
        <v>51.545450000000002</v>
      </c>
      <c r="Y87" s="101">
        <f>_xlfn.LET(_xlpm.date,[2]Sheet2!F86,IF(_xlpm.date=0,"",_xlpm.date))</f>
        <v>45910</v>
      </c>
      <c r="Z87" s="101" t="str">
        <f>_xlfn.LET(_xlpm.date,[2]Sheet2!G86,IF(_xlpm.date=0,"",_xlpm.date))</f>
        <v>Aug 6, 2025</v>
      </c>
      <c r="AA87" s="102">
        <f>[2]Sheet2!$H86</f>
        <v>2.2800000000000001E-2</v>
      </c>
      <c r="AB87" s="103">
        <v>1E-4</v>
      </c>
      <c r="AC87" s="104">
        <v>3.0000000000000001E-3</v>
      </c>
      <c r="AD87" s="90">
        <v>71.72</v>
      </c>
      <c r="AE87" s="105">
        <f ca="1">_xlfn.LET(_xlpm.New1YT,RTData[[#This Row],[1YT]],        _xlpm.Old1YT,IF(ISNUMBER(RTData[[#This Row],[Old1YT]]),RTData[[#This Row],[Old1YT]],VALUE(LEFT(RTData[[#This Row],[Old1YT]],FIND("/",RTData[[#This Row],[Old1YT]],1)-1))),       IF(OR(RTData[[#This Row],[1YT]]=0,_xlpm.Old1YT=0),0,(_xlpm.New1YT-_xlpm.Old1YT)/_xlpm.Old1YT))</f>
        <v>-0.28129601226993861</v>
      </c>
      <c r="AF87" s="105" t="str">
        <f ca="1">TEXT(RTData[[#This Row],[1YT]],"#,#0.00")&amp;" &lt; "&amp;RTData[[#This Row],[Old1YT]]</f>
        <v>51.55 &lt; 71.72</v>
      </c>
    </row>
    <row r="88" spans="1:33" ht="22" customHeight="1" x14ac:dyDescent="0.3">
      <c r="A88" s="40" t="str" cm="1">
        <f t="array" aca="1" ref="A88" ca="1">_xlfn.SINGLE(RTData[suffix])&amp;_FV(RTData[[#This Row],[Company Name]],"Ticker symbol",TRUE)</f>
        <v>PFE</v>
      </c>
      <c r="B88" s="40">
        <f ca="1">D99</f>
        <v>0.86192035855886928</v>
      </c>
      <c r="C88" t="e" vm="68">
        <v>#VALUE!</v>
      </c>
      <c r="D88" s="17" t="str" cm="1">
        <f t="array" aca="1" ref="D88" ca="1">_FV(RTData[[#This Row],[Company Name]],"Currency")</f>
        <v>USD</v>
      </c>
      <c r="E88" s="18" cm="1">
        <f t="array" aca="1" ref="E88" ca="1">_FV(RTData[[#This Row],[Company Name]],"Last trade time",TRUE)</f>
        <v>45959.983848356249</v>
      </c>
      <c r="F88" s="19" cm="1">
        <f t="array" aca="1" ref="F88" ca="1">_FV(RTData[[#This Row],[Company Name]],"Previous close",TRUE)</f>
        <v>24.5</v>
      </c>
      <c r="G88" s="19" cm="1">
        <f t="array" aca="1" ref="G88" ca="1">_FV(RTData[[#This Row],[Company Name]],"Open")</f>
        <v>24.53</v>
      </c>
      <c r="H88" s="19" cm="1">
        <f t="array" aca="1" ref="H88" ca="1">_FV(RTData[[#This Row],[Company Name]],"Price")</f>
        <v>24.31</v>
      </c>
      <c r="I88" s="19" cm="1">
        <f t="array" aca="1" ref="I88" ca="1">_FV(RTData[[#This Row],[Company Name]],"Low")</f>
        <v>24.23</v>
      </c>
      <c r="J88" s="19" cm="1">
        <f t="array" aca="1" ref="J88" ca="1">_FV(RTData[[#This Row],[Company Name]],"High")</f>
        <v>24.625</v>
      </c>
      <c r="K88" s="20" cm="1">
        <f t="array" aca="1" ref="K88" ca="1">IFERROR(_FV(RTData[[#This Row],[Company Name]],"P/E",TRUE),99)</f>
        <v>17.628699999999998</v>
      </c>
      <c r="L88" s="21" cm="1">
        <f t="array" aca="1" ref="L88" ca="1">_FV(RTData[[#This Row],[Company Name]],"Change")</f>
        <v>-0.19</v>
      </c>
      <c r="M88" s="22" cm="1">
        <f t="array" aca="1" ref="M88" ca="1">_FV(RTData[[#This Row],[Company Name]],"Change (%)",TRUE)</f>
        <v>-7.7549999999999997E-3</v>
      </c>
      <c r="N88" s="19" cm="1">
        <f t="array" aca="1" ref="N88" ca="1">_FV(RTData[[#This Row],[Company Name]],"52 week low",TRUE)</f>
        <v>20.914999999999999</v>
      </c>
      <c r="O88" s="19" cm="1">
        <f t="array" aca="1" ref="O88" ca="1">_FV(RTData[[#This Row],[Company Name]],"52 week high",TRUE)</f>
        <v>29.17</v>
      </c>
      <c r="P88" s="23" cm="1">
        <f t="array" aca="1" ref="P88" ca="1">_FV(RTData[[#This Row],[Company Name]],"Volume")</f>
        <v>65423200</v>
      </c>
      <c r="Q88" s="23" cm="1">
        <f t="array" aca="1" ref="Q88" ca="1">_FV(RTData[[#This Row],[Company Name]],"Volume average",TRUE)</f>
        <v>55537035</v>
      </c>
      <c r="R88" s="19" cm="1">
        <f t="array" aca="1" ref="R88" ca="1">_FV(RTData[[#This Row],[Company Name]],"Beta")</f>
        <v>0.50170000000000003</v>
      </c>
      <c r="T88" t="s">
        <v>26</v>
      </c>
      <c r="U88" t="str" cm="1">
        <f t="array" aca="1" ref="U88" ca="1">_FV(RTData[[#This Row],[Company Name]],"Exchange abbreviation",TRUE)</f>
        <v>XNYS</v>
      </c>
      <c r="V88" s="24">
        <f ca="1">IFERROR(RTData[[#This Row],[Volume]]/RTData[[#This Row],[Volume average]],1)</f>
        <v>1.1780103132981441</v>
      </c>
      <c r="W88" s="24"/>
      <c r="X88" s="108">
        <f ca="1">_xlfn.XLOOKUP(RTData[[#This Row],[Ticker symbol]],[2]Sheet2!$B$2:$B$95,[2]Sheet2!$E$2:$E$95)</f>
        <v>28.80864</v>
      </c>
      <c r="Y88" s="101">
        <f>_xlfn.LET(_xlpm.date,[2]Sheet2!F87,IF(_xlpm.date=0,"",_xlpm.date))</f>
        <v>45968</v>
      </c>
      <c r="Z88" s="101" t="str">
        <f>_xlfn.LET(_xlpm.date,[2]Sheet2!G87,IF(_xlpm.date=0,"",_xlpm.date))</f>
        <v>Nov 4, 2025</v>
      </c>
      <c r="AA88" s="102">
        <f>[2]Sheet2!$H87</f>
        <v>6.9400000000000003E-2</v>
      </c>
      <c r="AB88" s="103">
        <v>1E-4</v>
      </c>
      <c r="AC88" s="104">
        <v>3.0000000000000001E-3</v>
      </c>
      <c r="AD88" s="90">
        <v>33.15</v>
      </c>
      <c r="AE88" s="105">
        <f ca="1">_xlfn.LET(_xlpm.New1YT,RTData[[#This Row],[1YT]],        _xlpm.Old1YT,IF(ISNUMBER(RTData[[#This Row],[Old1YT]]),RTData[[#This Row],[Old1YT]],VALUE(LEFT(RTData[[#This Row],[Old1YT]],FIND("/",RTData[[#This Row],[Old1YT]],1)-1))),       IF(OR(RTData[[#This Row],[1YT]]=0,_xlpm.Old1YT=0),0,(_xlpm.New1YT-_xlpm.Old1YT)/_xlpm.Old1YT))</f>
        <v>-0.13096108597285064</v>
      </c>
      <c r="AF88" s="105" t="str">
        <f ca="1">TEXT(RTData[[#This Row],[1YT]],"#,#0.00")&amp;" &lt; "&amp;RTData[[#This Row],[Old1YT]]</f>
        <v>28.81 &lt; 33.15</v>
      </c>
    </row>
    <row r="89" spans="1:33" ht="22" customHeight="1" x14ac:dyDescent="0.3">
      <c r="A89" s="40" t="str" cm="1">
        <f t="array" aca="1" ref="A89" ca="1">_xlfn.SINGLE(RTData[suffix])&amp;_FV(RTData[[#This Row],[Company Name]],"Ticker symbol",TRUE)</f>
        <v>RIG</v>
      </c>
      <c r="B89" s="40">
        <f ca="1">D99</f>
        <v>0.86192035855886928</v>
      </c>
      <c r="C89" t="e" vm="69">
        <v>#VALUE!</v>
      </c>
      <c r="D89" s="17" t="str" cm="1">
        <f t="array" aca="1" ref="D89" ca="1">_FV(RTData[[#This Row],[Company Name]],"Currency")</f>
        <v>USD</v>
      </c>
      <c r="E89" s="18" cm="1">
        <f t="array" aca="1" ref="E89" ca="1">_FV(RTData[[#This Row],[Company Name]],"Last trade time",TRUE)</f>
        <v>45959.981788818754</v>
      </c>
      <c r="F89" s="19" cm="1">
        <f t="array" aca="1" ref="F89" ca="1">_FV(RTData[[#This Row],[Company Name]],"Previous close",TRUE)</f>
        <v>3.75</v>
      </c>
      <c r="G89" s="19" cm="1">
        <f t="array" aca="1" ref="G89" ca="1">_FV(RTData[[#This Row],[Company Name]],"Open")</f>
        <v>3.75</v>
      </c>
      <c r="H89" s="19" cm="1">
        <f t="array" aca="1" ref="H89" ca="1">_FV(RTData[[#This Row],[Company Name]],"Price")</f>
        <v>3.835</v>
      </c>
      <c r="I89" s="19" cm="1">
        <f t="array" aca="1" ref="I89" ca="1">_FV(RTData[[#This Row],[Company Name]],"Low")</f>
        <v>3.73</v>
      </c>
      <c r="J89" s="19" cm="1">
        <f t="array" aca="1" ref="J89" ca="1">_FV(RTData[[#This Row],[Company Name]],"High")</f>
        <v>3.9</v>
      </c>
      <c r="K89" s="20" cm="1">
        <f t="array" aca="1" ref="K89" ca="1">IFERROR(_FV(RTData[[#This Row],[Company Name]],"P/E",TRUE),99)</f>
        <v>0</v>
      </c>
      <c r="L89" s="21" cm="1">
        <f t="array" aca="1" ref="L89" ca="1">_FV(RTData[[#This Row],[Company Name]],"Change")</f>
        <v>8.5000000000000006E-2</v>
      </c>
      <c r="M89" s="22" cm="1">
        <f t="array" aca="1" ref="M89" ca="1">_FV(RTData[[#This Row],[Company Name]],"Change (%)",TRUE)</f>
        <v>2.2667000000000003E-2</v>
      </c>
      <c r="N89" s="19" cm="1">
        <f t="array" aca="1" ref="N89" ca="1">_FV(RTData[[#This Row],[Company Name]],"52 week low",TRUE)</f>
        <v>1.97</v>
      </c>
      <c r="O89" s="19" cm="1">
        <f t="array" aca="1" ref="O89" ca="1">_FV(RTData[[#This Row],[Company Name]],"52 week high",TRUE)</f>
        <v>4.74</v>
      </c>
      <c r="P89" s="23" cm="1">
        <f t="array" aca="1" ref="P89" ca="1">_FV(RTData[[#This Row],[Company Name]],"Volume")</f>
        <v>64211909</v>
      </c>
      <c r="Q89" s="23" cm="1">
        <f t="array" aca="1" ref="Q89" ca="1">_FV(RTData[[#This Row],[Company Name]],"Volume average",TRUE)</f>
        <v>64309068</v>
      </c>
      <c r="R89" s="19" cm="1">
        <f t="array" aca="1" ref="R89" ca="1">_FV(RTData[[#This Row],[Company Name]],"Beta")</f>
        <v>2.6511999999999998</v>
      </c>
      <c r="T89" t="s">
        <v>26</v>
      </c>
      <c r="U89" t="str" cm="1">
        <f t="array" aca="1" ref="U89" ca="1">_FV(RTData[[#This Row],[Company Name]],"Exchange abbreviation",TRUE)</f>
        <v>XNYS</v>
      </c>
      <c r="V89" s="24">
        <f ca="1">IFERROR(RTData[[#This Row],[Volume]]/RTData[[#This Row],[Volume average]],1)</f>
        <v>0.99848918662606023</v>
      </c>
      <c r="W89" s="24"/>
      <c r="X89" s="108">
        <f ca="1">_xlfn.XLOOKUP(RTData[[#This Row],[Ticker symbol]],[2]Sheet2!$B$2:$B$95,[2]Sheet2!$E$2:$E$95)</f>
        <v>3.8769200000000001</v>
      </c>
      <c r="Y89" s="101">
        <f>_xlfn.LET(_xlpm.date,[2]Sheet2!F88,IF(_xlpm.date=0,"",_xlpm.date))</f>
        <v>42237</v>
      </c>
      <c r="Z89" s="101" t="str">
        <f>_xlfn.LET(_xlpm.date,[2]Sheet2!G88,IF(_xlpm.date=0,"",_xlpm.date))</f>
        <v>Nov 3, 2025</v>
      </c>
      <c r="AA89" s="102">
        <f>[2]Sheet2!$H88</f>
        <v>0</v>
      </c>
      <c r="AB89" s="103">
        <v>1E-4</v>
      </c>
      <c r="AC89" s="104">
        <v>3.0000000000000001E-3</v>
      </c>
      <c r="AD89" s="90" t="s">
        <v>72</v>
      </c>
      <c r="AE89" s="105">
        <f ca="1">_xlfn.LET(_xlpm.New1YT,RTData[[#This Row],[1YT]],        _xlpm.Old1YT,IF(ISNUMBER(RTData[[#This Row],[Old1YT]]),RTData[[#This Row],[Old1YT]],VALUE(LEFT(RTData[[#This Row],[Old1YT]],FIND("/",RTData[[#This Row],[Old1YT]],1)-1))),       IF(OR(RTData[[#This Row],[1YT]]=0,_xlpm.Old1YT=0),0,(_xlpm.New1YT-_xlpm.Old1YT)/_xlpm.Old1YT))</f>
        <v>-4.9774509803921549E-2</v>
      </c>
      <c r="AF89" s="105" t="str">
        <f ca="1">TEXT(RTData[[#This Row],[1YT]],"#,#0.00")&amp;" &lt; "&amp;RTData[[#This Row],[Old1YT]]</f>
        <v>3.88 &lt; 4.08/5.31</v>
      </c>
    </row>
    <row r="90" spans="1:33" x14ac:dyDescent="0.3">
      <c r="A90" s="40" t="str" cm="1">
        <f t="array" aca="1" ref="A90" ca="1">_xlfn.SINGLE(RTData[suffix])&amp;_FV(RTData[[#This Row],[Company Name]],"Ticker symbol",TRUE)</f>
        <v>RRC</v>
      </c>
      <c r="B90" s="40">
        <f ca="1">D99</f>
        <v>0.86192035855886928</v>
      </c>
      <c r="C90" t="e" vm="70">
        <v>#VALUE!</v>
      </c>
      <c r="D90" s="17" t="str" cm="1">
        <f t="array" aca="1" ref="D90" ca="1">_FV(RTData[[#This Row],[Company Name]],"Currency")</f>
        <v>USD</v>
      </c>
      <c r="E90" s="18" cm="1">
        <f t="array" aca="1" ref="E90" ca="1">_FV(RTData[[#This Row],[Company Name]],"Last trade time",TRUE)</f>
        <v>45959.962167916405</v>
      </c>
      <c r="F90" s="19" cm="1">
        <f t="array" aca="1" ref="F90" ca="1">_FV(RTData[[#This Row],[Company Name]],"Previous close",TRUE)</f>
        <v>36.97</v>
      </c>
      <c r="G90" s="19" cm="1">
        <f t="array" aca="1" ref="G90" ca="1">_FV(RTData[[#This Row],[Company Name]],"Open")</f>
        <v>35</v>
      </c>
      <c r="H90" s="19" cm="1">
        <f t="array" aca="1" ref="H90" ca="1">_FV(RTData[[#This Row],[Company Name]],"Price")</f>
        <v>34.99</v>
      </c>
      <c r="I90" s="19" cm="1">
        <f t="array" aca="1" ref="I90" ca="1">_FV(RTData[[#This Row],[Company Name]],"Low")</f>
        <v>34.405000000000001</v>
      </c>
      <c r="J90" s="19" cm="1">
        <f t="array" aca="1" ref="J90" ca="1">_FV(RTData[[#This Row],[Company Name]],"High")</f>
        <v>36.53</v>
      </c>
      <c r="K90" s="20" cm="1">
        <f t="array" aca="1" ref="K90" ca="1">IFERROR(_FV(RTData[[#This Row],[Company Name]],"P/E",TRUE),99)</f>
        <v>14.6937</v>
      </c>
      <c r="L90" s="21" cm="1">
        <f t="array" aca="1" ref="L90" ca="1">_FV(RTData[[#This Row],[Company Name]],"Change")</f>
        <v>-1.98</v>
      </c>
      <c r="M90" s="22" cm="1">
        <f t="array" aca="1" ref="M90" ca="1">_FV(RTData[[#This Row],[Company Name]],"Change (%)",TRUE)</f>
        <v>-5.3556999999999994E-2</v>
      </c>
      <c r="N90" s="19" cm="1">
        <f t="array" aca="1" ref="N90" ca="1">_FV(RTData[[#This Row],[Company Name]],"52 week low",TRUE)</f>
        <v>29.48</v>
      </c>
      <c r="O90" s="19" cm="1">
        <f t="array" aca="1" ref="O90" ca="1">_FV(RTData[[#This Row],[Company Name]],"52 week high",TRUE)</f>
        <v>43.5</v>
      </c>
      <c r="P90" s="23" cm="1">
        <f t="array" aca="1" ref="P90" ca="1">_FV(RTData[[#This Row],[Company Name]],"Volume")</f>
        <v>5864807</v>
      </c>
      <c r="Q90" s="23" cm="1">
        <f t="array" aca="1" ref="Q90" ca="1">_FV(RTData[[#This Row],[Company Name]],"Volume average",TRUE)</f>
        <v>2960104</v>
      </c>
      <c r="R90" s="19" cm="1">
        <f t="array" aca="1" ref="R90" ca="1">_FV(RTData[[#This Row],[Company Name]],"Beta")</f>
        <v>0.49659999999999999</v>
      </c>
      <c r="T90" t="s">
        <v>26</v>
      </c>
      <c r="U90" t="str" cm="1">
        <f t="array" aca="1" ref="U90" ca="1">_FV(RTData[[#This Row],[Company Name]],"Exchange abbreviation",TRUE)</f>
        <v>XNYS</v>
      </c>
      <c r="V90" s="24">
        <f ca="1">IFERROR(RTData[[#This Row],[Volume]]/RTData[[#This Row],[Volume average]],1)</f>
        <v>1.9812841035314976</v>
      </c>
      <c r="W90" s="24"/>
      <c r="X90" s="108">
        <f ca="1">_xlfn.XLOOKUP(RTData[[#This Row],[Ticker symbol]],[2]Sheet2!$B$2:$B$95,[2]Sheet2!$E$2:$E$95)</f>
        <v>42.25</v>
      </c>
      <c r="Y90" s="101">
        <f>_xlfn.LET(_xlpm.date,[2]Sheet2!F89,IF(_xlpm.date=0,"",_xlpm.date))</f>
        <v>45912</v>
      </c>
      <c r="Z90" s="101" t="str">
        <f>_xlfn.LET(_xlpm.date,[2]Sheet2!G89,IF(_xlpm.date=0,"",_xlpm.date))</f>
        <v>Oct 28, 2025</v>
      </c>
      <c r="AA90" s="102">
        <f>[2]Sheet2!$H89</f>
        <v>9.9000000000000008E-3</v>
      </c>
      <c r="AB90" s="103">
        <v>1E-4</v>
      </c>
      <c r="AC90" s="104">
        <v>3.0000000000000001E-3</v>
      </c>
      <c r="AD90" s="90" t="s">
        <v>60</v>
      </c>
      <c r="AE90" s="105">
        <f ca="1">_xlfn.LET(_xlpm.New1YT,RTData[[#This Row],[1YT]],        _xlpm.Old1YT,IF(ISNUMBER(RTData[[#This Row],[Old1YT]]),RTData[[#This Row],[Old1YT]],VALUE(LEFT(RTData[[#This Row],[Old1YT]],FIND("/",RTData[[#This Row],[Old1YT]],1)-1))),       IF(OR(RTData[[#This Row],[1YT]]=0,_xlpm.Old1YT=0),0,(_xlpm.New1YT-_xlpm.Old1YT)/_xlpm.Old1YT))</f>
        <v>2.793051433020299E-2</v>
      </c>
      <c r="AF90" s="105" t="str">
        <f ca="1">TEXT(RTData[[#This Row],[1YT]],"#,#0.00")&amp;" &lt; "&amp;RTData[[#This Row],[Old1YT]]</f>
        <v>42.25 &lt; 41.102/38.77</v>
      </c>
    </row>
    <row r="91" spans="1:33" ht="22" customHeight="1" x14ac:dyDescent="0.3">
      <c r="A91" s="40" t="str" cm="1">
        <f t="array" aca="1" ref="A91" ca="1">_xlfn.SINGLE(RTData[suffix])&amp;_FV(RTData[[#This Row],[Company Name]],"Ticker symbol",TRUE)</f>
        <v>XYZ</v>
      </c>
      <c r="B91" s="40">
        <f ca="1">D99</f>
        <v>0.86192035855886928</v>
      </c>
      <c r="C91" t="e" vm="71">
        <v>#VALUE!</v>
      </c>
      <c r="D91" s="17" t="str" cm="1">
        <f t="array" aca="1" ref="D91" ca="1">_FV(RTData[[#This Row],[Company Name]],"Currency")</f>
        <v>USD</v>
      </c>
      <c r="E91" s="18" cm="1">
        <f t="array" aca="1" ref="E91" ca="1">_FV(RTData[[#This Row],[Company Name]],"Last trade time",TRUE)</f>
        <v>45959.983744953126</v>
      </c>
      <c r="F91" s="19" cm="1">
        <f t="array" aca="1" ref="F91" ca="1">_FV(RTData[[#This Row],[Company Name]],"Previous close",TRUE)</f>
        <v>80.180000000000007</v>
      </c>
      <c r="G91" s="19" cm="1">
        <f t="array" aca="1" ref="G91" ca="1">_FV(RTData[[#This Row],[Company Name]],"Open")</f>
        <v>77.805000000000007</v>
      </c>
      <c r="H91" s="19" cm="1">
        <f t="array" aca="1" ref="H91" ca="1">_FV(RTData[[#This Row],[Company Name]],"Price")</f>
        <v>76.510000000000005</v>
      </c>
      <c r="I91" s="19" cm="1">
        <f t="array" aca="1" ref="I91" ca="1">_FV(RTData[[#This Row],[Company Name]],"Low")</f>
        <v>75.069999999999993</v>
      </c>
      <c r="J91" s="19" cm="1">
        <f t="array" aca="1" ref="J91" ca="1">_FV(RTData[[#This Row],[Company Name]],"High")</f>
        <v>78.150000000000006</v>
      </c>
      <c r="K91" s="20" cm="1">
        <f t="array" aca="1" ref="K91" ca="1">IFERROR(_FV(RTData[[#This Row],[Company Name]],"P/E",TRUE),99)</f>
        <v>45.1813</v>
      </c>
      <c r="L91" s="21" cm="1">
        <f t="array" aca="1" ref="L91" ca="1">_FV(RTData[[#This Row],[Company Name]],"Change")</f>
        <v>-3.67</v>
      </c>
      <c r="M91" s="22" cm="1">
        <f t="array" aca="1" ref="M91" ca="1">_FV(RTData[[#This Row],[Company Name]],"Change (%)",TRUE)</f>
        <v>-4.5772000000000007E-2</v>
      </c>
      <c r="N91" s="19" cm="1">
        <f t="array" aca="1" ref="N91" ca="1">_FV(RTData[[#This Row],[Company Name]],"52 week low",TRUE)</f>
        <v>44.27</v>
      </c>
      <c r="O91" s="19" cm="1">
        <f t="array" aca="1" ref="O91" ca="1">_FV(RTData[[#This Row],[Company Name]],"52 week high",TRUE)</f>
        <v>99.26</v>
      </c>
      <c r="P91" s="23" cm="1">
        <f t="array" aca="1" ref="P91" ca="1">_FV(RTData[[#This Row],[Company Name]],"Volume")</f>
        <v>8018694</v>
      </c>
      <c r="Q91" s="23" cm="1">
        <f t="array" aca="1" ref="Q91" ca="1">_FV(RTData[[#This Row],[Company Name]],"Volume average",TRUE)</f>
        <v>5587510</v>
      </c>
      <c r="R91" s="19" cm="1">
        <f t="array" aca="1" ref="R91" ca="1">_FV(RTData[[#This Row],[Company Name]],"Beta")</f>
        <v>2.7439</v>
      </c>
      <c r="T91" t="s">
        <v>26</v>
      </c>
      <c r="U91" t="str" cm="1">
        <f t="array" aca="1" ref="U91" ca="1">_FV(RTData[[#This Row],[Company Name]],"Exchange abbreviation",TRUE)</f>
        <v>XNYS</v>
      </c>
      <c r="V91" s="24">
        <f ca="1">IFERROR(RTData[[#This Row],[Volume]]/RTData[[#This Row],[Volume average]],1)</f>
        <v>1.4351104517038895</v>
      </c>
      <c r="W91" s="24"/>
      <c r="X91" s="108">
        <f ca="1">_xlfn.XLOOKUP(RTData[[#This Row],[Ticker symbol]],[2]Sheet2!$B$2:$B$95,[2]Sheet2!$E$2:$E$95)</f>
        <v>88.005560000000003</v>
      </c>
      <c r="Y91" s="101" t="str">
        <f>_xlfn.LET(_xlpm.date,[2]Sheet2!F90,IF(_xlpm.date=0,"",_xlpm.date))</f>
        <v/>
      </c>
      <c r="Z91" s="101" t="str">
        <f>_xlfn.LET(_xlpm.date,[2]Sheet2!G90,IF(_xlpm.date=0,"",_xlpm.date))</f>
        <v>Nov 6, 2025</v>
      </c>
      <c r="AA91" s="102">
        <f>[2]Sheet2!$H90</f>
        <v>0</v>
      </c>
      <c r="AB91" s="103">
        <v>1E-4</v>
      </c>
      <c r="AC91" s="104">
        <v>3.0000000000000001E-3</v>
      </c>
      <c r="AD91" s="90" t="s">
        <v>73</v>
      </c>
      <c r="AE91" s="105">
        <f ca="1">_xlfn.LET(_xlpm.New1YT,RTData[[#This Row],[1YT]],        _xlpm.Old1YT,IF(ISNUMBER(RTData[[#This Row],[Old1YT]]),RTData[[#This Row],[Old1YT]],VALUE(LEFT(RTData[[#This Row],[Old1YT]],FIND("/",RTData[[#This Row],[Old1YT]],1)-1))),       IF(OR(RTData[[#This Row],[1YT]]=0,_xlpm.Old1YT=0),0,(_xlpm.New1YT-_xlpm.Old1YT)/_xlpm.Old1YT))</f>
        <v>0.16332531394580299</v>
      </c>
      <c r="AF91" s="105" t="str">
        <f ca="1">TEXT(RTData[[#This Row],[1YT]],"#,#0.00")&amp;" &lt; "&amp;RTData[[#This Row],[Old1YT]]</f>
        <v>88.01 &lt; 75.65/69.81/87.12</v>
      </c>
    </row>
    <row r="92" spans="1:33" ht="22" customHeight="1" x14ac:dyDescent="0.3">
      <c r="A92" s="40" t="str" cm="1">
        <f t="array" aca="1" ref="A92" ca="1">_xlfn.SINGLE(RTData[suffix])&amp;_FV(RTData[[#This Row],[Company Name]],"Ticker symbol",TRUE)</f>
        <v>THC</v>
      </c>
      <c r="B92" s="40">
        <f ca="1">D99</f>
        <v>0.86192035855886928</v>
      </c>
      <c r="C92" t="e" vm="72">
        <v>#VALUE!</v>
      </c>
      <c r="D92" s="17" t="str" cm="1">
        <f t="array" aca="1" ref="D92" ca="1">_FV(RTData[[#This Row],[Company Name]],"Currency")</f>
        <v>USD</v>
      </c>
      <c r="E92" s="18" cm="1">
        <f t="array" aca="1" ref="E92" ca="1">_FV(RTData[[#This Row],[Company Name]],"Last trade time",TRUE)</f>
        <v>45959.958333344533</v>
      </c>
      <c r="F92" s="19" cm="1">
        <f t="array" aca="1" ref="F92" ca="1">_FV(RTData[[#This Row],[Company Name]],"Previous close",TRUE)</f>
        <v>204.62</v>
      </c>
      <c r="G92" s="19" cm="1">
        <f t="array" aca="1" ref="G92" ca="1">_FV(RTData[[#This Row],[Company Name]],"Open")</f>
        <v>205.34</v>
      </c>
      <c r="H92" s="19" cm="1">
        <f t="array" aca="1" ref="H92" ca="1">_FV(RTData[[#This Row],[Company Name]],"Price")</f>
        <v>209.14</v>
      </c>
      <c r="I92" s="19" cm="1">
        <f t="array" aca="1" ref="I92" ca="1">_FV(RTData[[#This Row],[Company Name]],"Low")</f>
        <v>203.54</v>
      </c>
      <c r="J92" s="19" cm="1">
        <f t="array" aca="1" ref="J92" ca="1">_FV(RTData[[#This Row],[Company Name]],"High")</f>
        <v>212.22</v>
      </c>
      <c r="K92" s="20" cm="1">
        <f t="array" aca="1" ref="K92" ca="1">IFERROR(_FV(RTData[[#This Row],[Company Name]],"P/E",TRUE),99)</f>
        <v>13.9003</v>
      </c>
      <c r="L92" s="21" cm="1">
        <f t="array" aca="1" ref="L92" ca="1">_FV(RTData[[#This Row],[Company Name]],"Change")</f>
        <v>4.5199999999999996</v>
      </c>
      <c r="M92" s="22" cm="1">
        <f t="array" aca="1" ref="M92" ca="1">_FV(RTData[[#This Row],[Company Name]],"Change (%)",TRUE)</f>
        <v>2.2090000000000002E-2</v>
      </c>
      <c r="N92" s="19" cm="1">
        <f t="array" aca="1" ref="N92" ca="1">_FV(RTData[[#This Row],[Company Name]],"52 week low",TRUE)</f>
        <v>109.82389999999999</v>
      </c>
      <c r="O92" s="19" cm="1">
        <f t="array" aca="1" ref="O92" ca="1">_FV(RTData[[#This Row],[Company Name]],"52 week high",TRUE)</f>
        <v>217.42500000000001</v>
      </c>
      <c r="P92" s="23" cm="1">
        <f t="array" aca="1" ref="P92" ca="1">_FV(RTData[[#This Row],[Company Name]],"Volume")</f>
        <v>1422483</v>
      </c>
      <c r="Q92" s="23" cm="1">
        <f t="array" aca="1" ref="Q92" ca="1">_FV(RTData[[#This Row],[Company Name]],"Volume average",TRUE)</f>
        <v>994962</v>
      </c>
      <c r="R92" s="19" cm="1">
        <f t="array" aca="1" ref="R92" ca="1">_FV(RTData[[#This Row],[Company Name]],"Beta")</f>
        <v>1.5214000000000001</v>
      </c>
      <c r="T92" t="s">
        <v>26</v>
      </c>
      <c r="U92" t="str" cm="1">
        <f t="array" aca="1" ref="U92" ca="1">_FV(RTData[[#This Row],[Company Name]],"Exchange abbreviation",TRUE)</f>
        <v>XNYS</v>
      </c>
      <c r="V92" s="24">
        <f ca="1">IFERROR(RTData[[#This Row],[Volume]]/RTData[[#This Row],[Volume average]],1)</f>
        <v>1.4296857568429748</v>
      </c>
      <c r="W92" s="24"/>
      <c r="X92" s="108">
        <f ca="1">_xlfn.XLOOKUP(RTData[[#This Row],[Ticker symbol]],[2]Sheet2!$B$2:$B$95,[2]Sheet2!$E$2:$E$95)</f>
        <v>204.90475000000001</v>
      </c>
      <c r="Y92" s="101">
        <f>_xlfn.LET(_xlpm.date,[2]Sheet2!F91,IF(_xlpm.date=0,"",_xlpm.date))</f>
        <v>36598</v>
      </c>
      <c r="Z92" s="101" t="str">
        <f>_xlfn.LET(_xlpm.date,[2]Sheet2!G91,IF(_xlpm.date=0,"",_xlpm.date))</f>
        <v>Oct 28, 2025</v>
      </c>
      <c r="AA92" s="102">
        <f>[2]Sheet2!$H91</f>
        <v>0</v>
      </c>
      <c r="AB92" s="103">
        <v>1E-4</v>
      </c>
      <c r="AC92" s="104">
        <v>3.0000000000000001E-3</v>
      </c>
      <c r="AD92" s="90">
        <v>177.21</v>
      </c>
      <c r="AE92" s="105">
        <f ca="1">_xlfn.LET(_xlpm.New1YT,RTData[[#This Row],[1YT]],        _xlpm.Old1YT,IF(ISNUMBER(RTData[[#This Row],[Old1YT]]),RTData[[#This Row],[Old1YT]],VALUE(LEFT(RTData[[#This Row],[Old1YT]],FIND("/",RTData[[#This Row],[Old1YT]],1)-1))),       IF(OR(RTData[[#This Row],[1YT]]=0,_xlpm.Old1YT=0),0,(_xlpm.New1YT-_xlpm.Old1YT)/_xlpm.Old1YT))</f>
        <v>0.15628209468991591</v>
      </c>
      <c r="AF92" s="105" t="str">
        <f ca="1">TEXT(RTData[[#This Row],[1YT]],"#,#0.00")&amp;" &lt; "&amp;RTData[[#This Row],[Old1YT]]</f>
        <v>204.90 &lt; 177.21</v>
      </c>
    </row>
    <row r="93" spans="1:33" ht="22" customHeight="1" x14ac:dyDescent="0.3">
      <c r="A93" s="40" t="str" cm="1">
        <f t="array" aca="1" ref="A93" ca="1">_xlfn.SINGLE(RTData[suffix])&amp;_FV(RTData[[#This Row],[Company Name]],"Ticker symbol",TRUE)</f>
        <v>X</v>
      </c>
      <c r="B93" s="40">
        <f ca="1">D99</f>
        <v>0.86192035855886928</v>
      </c>
      <c r="C93" t="e" vm="73">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 ca="1">_xlfn.XLOOKUP(RTData[[#This Row],[Ticker symbol]],[2]Sheet2!$B$2:$B$95,[2]Sheet2!$E$2:$E$95)</f>
        <v>0</v>
      </c>
      <c r="Y93" s="101" t="str">
        <f>_xlfn.LET(_xlpm.date,[2]Sheet2!F92,IF(_xlpm.date=0,"",_xlpm.date))</f>
        <v/>
      </c>
      <c r="Z93" s="101" t="str">
        <f>_xlfn.LET(_xlpm.date,[2]Sheet2!G92,IF(_xlpm.date=0,"",_xlpm.date))</f>
        <v/>
      </c>
      <c r="AA93" s="102">
        <f>[2]Sheet2!$H92</f>
        <v>0</v>
      </c>
      <c r="AB93" s="103">
        <v>1E-4</v>
      </c>
      <c r="AC93" s="104">
        <v>3.0000000000000001E-3</v>
      </c>
      <c r="AD93" s="90">
        <v>39.130000000000003</v>
      </c>
      <c r="AE93" s="105">
        <f ca="1">_xlfn.LET(_xlpm.New1YT,RTData[[#This Row],[1YT]],        _xlpm.Old1YT,IF(ISNUMBER(RTData[[#This Row],[Old1YT]]),RTData[[#This Row],[Old1YT]],VALUE(LEFT(RTData[[#This Row],[Old1YT]],FIND("/",RTData[[#This Row],[Old1YT]],1)-1))),       IF(OR(RTData[[#This Row],[1YT]]=0,_xlpm.Old1YT=0),0,(_xlpm.New1YT-_xlpm.Old1YT)/_xlpm.Old1YT))</f>
        <v>0</v>
      </c>
      <c r="AF93" s="105" t="str">
        <f ca="1">TEXT(RTData[[#This Row],[1YT]],"#,#0.00")&amp;" &lt; "&amp;RTData[[#This Row],[Old1YT]]</f>
        <v>0.00 &lt; 39.13</v>
      </c>
    </row>
    <row r="94" spans="1:33" x14ac:dyDescent="0.3">
      <c r="A94" s="40" t="str" cm="1">
        <f t="array" aca="1" ref="A94" ca="1">_xlfn.SINGLE(RTData[suffix])&amp;_FV(RTData[[#This Row],[Company Name]],"Ticker symbol",TRUE)</f>
        <v>LOCK</v>
      </c>
      <c r="B94" s="56">
        <v>1</v>
      </c>
      <c r="C94" t="e" vm="74">
        <v>#VALUE!</v>
      </c>
      <c r="D94" s="17" t="str" cm="1">
        <f t="array" aca="1" ref="D94" ca="1">_FV(RTData[[#This Row],[Company Name]],"Currency")</f>
        <v>USD</v>
      </c>
      <c r="E94" s="18" cm="1">
        <f t="array" aca="1" ref="E94" ca="1">_FV(RTData[[#This Row],[Company Name]],"Last trade time",TRUE)</f>
        <v>45959.729189814818</v>
      </c>
      <c r="F94" s="28" cm="1">
        <f t="array" aca="1" ref="F94" ca="1">_FV(RTData[[#This Row],[Company Name]],"Previous close",TRUE)</f>
        <v>10.614000000000001</v>
      </c>
      <c r="G94" s="28" cm="1">
        <f t="array" aca="1" ref="G94" ca="1">_FV(RTData[[#This Row],[Company Name]],"Open")</f>
        <v>10.612</v>
      </c>
      <c r="H94" s="28" cm="1">
        <f t="array" aca="1" ref="H94" ca="1">_FV(RTData[[#This Row],[Company Name]],"Price")</f>
        <v>10.468</v>
      </c>
      <c r="I94" s="28" cm="1">
        <f t="array" aca="1" ref="I94" ca="1">_FV(RTData[[#This Row],[Company Name]],"Low")</f>
        <v>10.468</v>
      </c>
      <c r="J94" s="28" cm="1">
        <f t="array" aca="1" ref="J94" ca="1">_FV(RTData[[#This Row],[Company Name]],"High")</f>
        <v>10.612</v>
      </c>
      <c r="K94" s="20" cm="1">
        <f t="array" ref="K94">IFERROR(_FV(RTData[[#This Row],[Company Name]],"P/E",TRUE),99)</f>
        <v>99</v>
      </c>
      <c r="L94" s="21" cm="1">
        <f t="array" aca="1" ref="L94" ca="1">_FV(RTData[[#This Row],[Company Name]],"Change")</f>
        <v>-0.14599999999999999</v>
      </c>
      <c r="M94" s="22" cm="1">
        <f t="array" aca="1" ref="M94" ca="1">_FV(RTData[[#This Row],[Company Name]],"Change (%)",TRUE)</f>
        <v>-1.3755E-2</v>
      </c>
      <c r="N94" s="19" cm="1">
        <f t="array" aca="1" ref="N94" ca="1">_FV(RTData[[#This Row],[Company Name]],"52 week low",TRUE)</f>
        <v>7.4260000000000002</v>
      </c>
      <c r="O94" s="19" cm="1">
        <f t="array" aca="1" ref="O94" ca="1">_FV(RTData[[#This Row],[Company Name]],"52 week high",TRUE)</f>
        <v>10.672000000000001</v>
      </c>
      <c r="P94" s="23" cm="1">
        <f t="array" aca="1" ref="P94" ca="1">_FV(RTData[[#This Row],[Company Name]],"Volume")</f>
        <v>25777</v>
      </c>
      <c r="Q94" s="23" t="e" cm="1" vm="75">
        <f t="array" ref="Q94">_FV(RTData[[#This Row],[Company Name]],"Volume average",TRUE)</f>
        <v>#VALUE!</v>
      </c>
      <c r="R94" s="19" cm="1">
        <f t="array" aca="1" ref="R94" ca="1">_FV(RTData[[#This Row],[Company Name]],"Beta")</f>
        <v>0.58640000000000003</v>
      </c>
      <c r="T94" t="s">
        <v>26</v>
      </c>
      <c r="U94" t="str" cm="1">
        <f t="array" aca="1" ref="U94" ca="1">_FV(RTData[[#This Row],[Company Name]],"Exchange abbreviation",TRUE)</f>
        <v>XSWX</v>
      </c>
      <c r="V94" s="24">
        <f ca="1">IFERROR(RTData[[#This Row],[Volume]]/RTData[[#This Row],[Volume average]],1)</f>
        <v>1</v>
      </c>
      <c r="W94" s="24"/>
      <c r="X94" s="108">
        <f ca="1">_xlfn.XLOOKUP(RTData[[#This Row],[Ticker symbol]],[2]Sheet2!$B$2:$B$95,[2]Sheet2!$E$2:$E$95)</f>
        <v>0</v>
      </c>
      <c r="Y94" s="101" t="str">
        <f>_xlfn.LET(_xlpm.date,[2]Sheet2!F93,IF(_xlpm.date=0,"",_xlpm.date))</f>
        <v/>
      </c>
      <c r="Z94" s="101" t="str">
        <f>_xlfn.LET(_xlpm.date,[2]Sheet2!G93,IF(_xlpm.date=0,"",_xlpm.date))</f>
        <v/>
      </c>
      <c r="AA94" s="102">
        <f>[2]Sheet2!H93</f>
        <v>0</v>
      </c>
      <c r="AB94" s="103">
        <f>[2]Sheet2!I93</f>
        <v>0</v>
      </c>
      <c r="AC94" s="104">
        <f>[2]Sheet2!J93</f>
        <v>0</v>
      </c>
      <c r="AD94" s="90">
        <v>10.58</v>
      </c>
      <c r="AE94" s="105">
        <f ca="1">_xlfn.LET(_xlpm.New1YT,RTData[[#This Row],[1YT]],        _xlpm.Old1YT,IF(ISNUMBER(RTData[[#This Row],[Old1YT]]),RTData[[#This Row],[Old1YT]],VALUE(LEFT(RTData[[#This Row],[Old1YT]],FIND("/",RTData[[#This Row],[Old1YT]],1)-1))),       IF(OR(RTData[[#This Row],[1YT]]=0,_xlpm.Old1YT=0),0,(_xlpm.New1YT-_xlpm.Old1YT)/_xlpm.Old1YT))</f>
        <v>0</v>
      </c>
      <c r="AF94" s="105" t="str">
        <f ca="1">TEXT(RTData[[#This Row],[1YT]],"#,#0.00")&amp;" &lt; "&amp;RTData[[#This Row],[Old1YT]]</f>
        <v>0.00 &lt; 10.58</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45959.708333333336</v>
      </c>
      <c r="F95" s="28" cm="1">
        <f t="array" aca="1" ref="F95" ca="1">_FV(RTData[[#This Row],[Company Name]],"Previous close",TRUE)</f>
        <v>907.4</v>
      </c>
      <c r="G95" s="28" cm="1">
        <f t="array" aca="1" ref="G95" ca="1">_FV(RTData[[#This Row],[Company Name]],"Open")</f>
        <v>904</v>
      </c>
      <c r="H95" s="28" cm="1">
        <f t="array" aca="1" ref="H95" ca="1">_FV(RTData[[#This Row],[Company Name]],"Price")</f>
        <v>919.4</v>
      </c>
      <c r="I95" s="28" cm="1">
        <f t="array" aca="1" ref="I95" ca="1">_FV(RTData[[#This Row],[Company Name]],"Low")</f>
        <v>902.3</v>
      </c>
      <c r="J95" s="28" cm="1">
        <f t="array" aca="1" ref="J95" ca="1">_FV(RTData[[#This Row],[Company Name]],"High")</f>
        <v>928.4</v>
      </c>
      <c r="K95" s="20" cm="1">
        <f t="array" aca="1" ref="K95" ca="1">IFERROR(_FV(RTData[[#This Row],[Company Name]],"P/E",TRUE),99)</f>
        <v>34.840899999999998</v>
      </c>
      <c r="L95" s="21" cm="1">
        <f t="array" aca="1" ref="L95" ca="1">_FV(RTData[[#This Row],[Company Name]],"Change")</f>
        <v>12</v>
      </c>
      <c r="M95" s="22" cm="1">
        <f t="array" aca="1" ref="M95" ca="1">_FV(RTData[[#This Row],[Company Name]],"Change (%)",TRUE)</f>
        <v>1.3225000000000001E-2</v>
      </c>
      <c r="N95" s="28" cm="1">
        <f t="array" aca="1" ref="N95" ca="1">_FV(RTData[[#This Row],[Company Name]],"52 week low",TRUE)</f>
        <v>508.4</v>
      </c>
      <c r="O95" s="28" cm="1">
        <f t="array" aca="1" ref="O95" ca="1">_FV(RTData[[#This Row],[Company Name]],"52 week high",TRUE)</f>
        <v>928.4</v>
      </c>
      <c r="P95" s="23" cm="1">
        <f t="array" aca="1" ref="P95" ca="1">_FV(RTData[[#This Row],[Company Name]],"Volume")</f>
        <v>694357</v>
      </c>
      <c r="Q95" s="23" cm="1">
        <f t="array" aca="1" ref="Q95" ca="1">_FV(RTData[[#This Row],[Company Name]],"Volume average",TRUE)</f>
        <v>645470</v>
      </c>
      <c r="R95" s="19" cm="1">
        <f t="array" aca="1" ref="R95" ca="1">_FV(RTData[[#This Row],[Company Name]],"Beta")</f>
        <v>1.9643999999999999</v>
      </c>
      <c r="S95" t="s">
        <v>21</v>
      </c>
      <c r="T95" t="s">
        <v>22</v>
      </c>
      <c r="U95" t="str" cm="1">
        <f t="array" aca="1" ref="U95" ca="1">_FV(RTData[[#This Row],[Company Name]],"Exchange abbreviation",TRUE)</f>
        <v>XAMS</v>
      </c>
      <c r="V95" s="24">
        <f ca="1">IFERROR(RTData[[#This Row],[Volume]]/RTData[[#This Row],[Volume average]],1)</f>
        <v>1.0757386090755574</v>
      </c>
      <c r="W95" s="24"/>
      <c r="X95" s="108">
        <f ca="1">_xlfn.XLOOKUP(RTData[[#This Row],[Ticker symbol]],[2]Sheet2!$B$2:$B$95,[2]Sheet2!$E$2:$E$95)</f>
        <v>873.90326000000005</v>
      </c>
      <c r="Y95" s="101">
        <f>_xlfn.LET(_xlpm.date,[2]Sheet2!F94,IF(_xlpm.date=0,"",_xlpm.date))</f>
        <v>45866</v>
      </c>
      <c r="Z95" s="101" t="str">
        <f>_xlfn.LET(_xlpm.date,[2]Sheet2!G94,IF(_xlpm.date=0,"",_xlpm.date))</f>
        <v/>
      </c>
      <c r="AA95" s="102">
        <f>[2]Sheet2!H94</f>
        <v>8.0000000000000002E-3</v>
      </c>
      <c r="AB95" s="103">
        <f>[2]Sheet2!I94</f>
        <v>0</v>
      </c>
      <c r="AC95" s="104">
        <f>[2]Sheet2!J94</f>
        <v>0</v>
      </c>
      <c r="AD95" s="90">
        <v>847.58</v>
      </c>
      <c r="AE95" s="105">
        <f ca="1">_xlfn.LET(_xlpm.New1YT,RTData[[#This Row],[1YT]],        _xlpm.Old1YT,IF(ISNUMBER(RTData[[#This Row],[Old1YT]]),RTData[[#This Row],[Old1YT]],VALUE(LEFT(RTData[[#This Row],[Old1YT]],FIND("/",RTData[[#This Row],[Old1YT]],1)-1))),       IF(OR(RTData[[#This Row],[1YT]]=0,_xlpm.Old1YT=0),0,(_xlpm.New1YT-_xlpm.Old1YT)/_xlpm.Old1YT))</f>
        <v>3.1056962174661983E-2</v>
      </c>
      <c r="AF95" s="105" t="str">
        <f ca="1">TEXT(RTData[[#This Row],[1YT]],"#,#0.00")&amp;" &lt; "&amp;RTData[[#This Row],[Old1YT]]</f>
        <v>873.90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45959.878472222219</v>
      </c>
      <c r="F96" s="19" cm="1">
        <f t="array" aca="1" ref="F96" ca="1">_FV(RTData[[#This Row],[Company Name]],"Previous close",TRUE)</f>
        <v>16.239999999999998</v>
      </c>
      <c r="G96" s="19" cm="1">
        <f t="array" aca="1" ref="G96" ca="1">_FV(RTData[[#This Row],[Company Name]],"Open")</f>
        <v>16.184999999999999</v>
      </c>
      <c r="H96" s="19" cm="1">
        <f t="array" aca="1" ref="H96" ca="1">_FV(RTData[[#This Row],[Company Name]],"Price")</f>
        <v>16.305</v>
      </c>
      <c r="I96" s="19" cm="1">
        <f t="array" aca="1" ref="I96" ca="1">_FV(RTData[[#This Row],[Company Name]],"Low")</f>
        <v>16.18</v>
      </c>
      <c r="J96" s="19" cm="1">
        <f t="array" aca="1" ref="J96" ca="1">_FV(RTData[[#This Row],[Company Name]],"High")</f>
        <v>16.305</v>
      </c>
      <c r="K96" s="20" cm="1">
        <f t="array" aca="1" ref="K96" ca="1">IFERROR(_FV(RTData[[#This Row],[Company Name]],"P/E",TRUE),99)</f>
        <v>13.475199999999999</v>
      </c>
      <c r="L96" s="21" cm="1">
        <f t="array" aca="1" ref="L96" ca="1">_FV(RTData[[#This Row],[Company Name]],"Change")</f>
        <v>6.5000000000000002E-2</v>
      </c>
      <c r="M96" s="22" cm="1">
        <f t="array" aca="1" ref="M96" ca="1">_FV(RTData[[#This Row],[Company Name]],"Change (%)",TRUE)</f>
        <v>4.0020000000000003E-3</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3642</v>
      </c>
      <c r="Q96" s="23" cm="1">
        <f t="array" aca="1" ref="Q96" ca="1">_FV(RTData[[#This Row],[Company Name]],"Volume average",TRUE)</f>
        <v>3076200</v>
      </c>
      <c r="R96" s="19" cm="1">
        <f t="array" aca="1" ref="R96" ca="1">_FV(RTData[[#This Row],[Company Name]],"Beta")</f>
        <v>0.72050000000000003</v>
      </c>
      <c r="S96" t="s">
        <v>21</v>
      </c>
      <c r="T96" t="s">
        <v>22</v>
      </c>
      <c r="U96" t="str" cm="1">
        <f t="array" aca="1" ref="U96" ca="1">_FV(RTData[[#This Row],[Company Name]],"Exchange abbreviation",TRUE)</f>
        <v>XFRA</v>
      </c>
      <c r="V96" s="107">
        <f ca="1">IFERROR(RTData[[#This Row],[Volume]]/RTData[[#This Row],[Volume average]],1)</f>
        <v>1.183928223132436E-3</v>
      </c>
      <c r="W96" s="107"/>
      <c r="X96" s="108">
        <f ca="1">_xlfn.XLOOKUP(RTData[[#This Row],[Ticker symbol]],[2]Sheet2!$B$2:$B$95,[2]Sheet2!$E$2:$E$95)</f>
        <v>16.882349999999999</v>
      </c>
      <c r="Y96" s="101">
        <f>_xlfn.LET(_xlpm.date,[2]Sheet2!F95,IF(_xlpm.date=0,"",_xlpm.date))</f>
        <v>45793</v>
      </c>
      <c r="Z96" s="101" t="str">
        <f>_xlfn.LET(_xlpm.date,[2]Sheet2!G95,IF(_xlpm.date=0,"",_xlpm.date))</f>
        <v/>
      </c>
      <c r="AA96" s="102">
        <f>[2]Sheet2!H95</f>
        <v>3.4200000000000001E-2</v>
      </c>
      <c r="AB96" s="103">
        <f>[2]Sheet2!I95</f>
        <v>0</v>
      </c>
      <c r="AC96" s="104">
        <f>[2]Sheet2!J95</f>
        <v>0</v>
      </c>
      <c r="AD96" s="108">
        <v>16.3</v>
      </c>
      <c r="AE96" s="105">
        <f ca="1">_xlfn.LET(_xlpm.New1YT,RTData[[#This Row],[1YT]],        _xlpm.Old1YT,IF(ISNUMBER(RTData[[#This Row],[Old1YT]]),RTData[[#This Row],[Old1YT]],VALUE(LEFT(RTData[[#This Row],[Old1YT]],FIND("/",RTData[[#This Row],[Old1YT]],1)-1))),       IF(OR(RTData[[#This Row],[1YT]]=0,_xlpm.Old1YT=0),0,(_xlpm.New1YT-_xlpm.Old1YT)/_xlpm.Old1YT))</f>
        <v>3.572699386503056E-2</v>
      </c>
      <c r="AF96" s="105" t="str">
        <f ca="1">TEXT(RTData[[#This Row],[1YT]],"#,#0.00")&amp;" &lt; "&amp;RTData[[#This Row],[Old1YT]]</f>
        <v>16.88 &lt; 16.3</v>
      </c>
    </row>
    <row r="97" spans="1:31" x14ac:dyDescent="0.3">
      <c r="A97" s="41" t="s">
        <v>27</v>
      </c>
      <c r="B97" s="41"/>
      <c r="C97" s="42"/>
      <c r="D97" s="25"/>
      <c r="J97" s="43"/>
      <c r="K97"/>
      <c r="L97" s="21">
        <f ca="1">SUBTOTAL(101,RTData[Change])</f>
        <v>-0.29369893617021264</v>
      </c>
      <c r="M97" s="44">
        <f ca="1">SUBTOTAL(104,RTData[Change%])</f>
        <v>9.5024999999999998E-2</v>
      </c>
      <c r="O97"/>
      <c r="P97" s="23">
        <f ca="1">SUBTOTAL(104,RTData[Volume])</f>
        <v>452081061</v>
      </c>
      <c r="Q97" s="23" t="e" vm="76">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77">
        <v>#VALUE!</v>
      </c>
      <c r="B99" s="48" cm="1">
        <f t="array" aca="1" ref="B99" ca="1">_FV(A99,"Price")</f>
        <v>1.1601999999999999</v>
      </c>
      <c r="C99" s="49" cm="1">
        <f t="array" aca="1" ref="C99" ca="1">_FV(A99,"52 week high",TRUE)</f>
        <v>1.1918</v>
      </c>
      <c r="D99" s="19">
        <f ca="1">1/RTExR[[#This Row],[RT]]</f>
        <v>0.86192035855886928</v>
      </c>
      <c r="P99" s="50"/>
      <c r="R99"/>
      <c r="W99" s="71"/>
      <c r="X99" s="47"/>
    </row>
    <row r="100" spans="1:31" x14ac:dyDescent="0.3">
      <c r="A100" t="e" vm="78">
        <v>#VALUE!</v>
      </c>
      <c r="B100" s="48" cm="1">
        <f t="array" aca="1" ref="B100" ca="1">_FV(A100,"Price")</f>
        <v>0.92789999999999995</v>
      </c>
      <c r="C100" s="52" cm="1">
        <f t="array" aca="1" ref="C100" ca="1">_FV(A100,"52 week high",TRUE)</f>
        <v>0.96609999999999996</v>
      </c>
      <c r="D100" s="19">
        <f ca="1">1/RTExR[[#This Row],[RT]]</f>
        <v>1.0777023386140749</v>
      </c>
      <c r="P100" s="50"/>
      <c r="R100"/>
    </row>
    <row r="101" spans="1:31" x14ac:dyDescent="0.3">
      <c r="A101" t="e" vm="79">
        <v>#VALUE!</v>
      </c>
      <c r="B101" s="48" cm="1">
        <f t="array" aca="1" ref="B101" ca="1">_FV(A101,"Price")</f>
        <v>0.87890000000000001</v>
      </c>
      <c r="C101" s="53" cm="1">
        <f t="array" aca="1" ref="C101" ca="1">_FV(A101,"52 week high",TRUE)</f>
        <v>0.88009999999999999</v>
      </c>
      <c r="D101" s="19">
        <f ca="1">1/RTExR[[#This Row],[RT]]</f>
        <v>1.1377858686995108</v>
      </c>
      <c r="P101" s="50"/>
      <c r="R101"/>
    </row>
    <row r="102" spans="1:31" x14ac:dyDescent="0.3">
      <c r="A102" t="e" vm="80">
        <v>#VALUE!</v>
      </c>
      <c r="B102" s="48" cm="1">
        <f t="array" aca="1" ref="B102" ca="1">_FV(A102,"Price")</f>
        <v>1.7654000000000001</v>
      </c>
      <c r="C102" s="49" cm="1">
        <f t="array" aca="1" ref="C102" ca="1">_FV(A102,"52 week high",TRUE)</f>
        <v>1.8554999999999999</v>
      </c>
      <c r="D102" s="19">
        <f ca="1">1/RTExR[[#This Row],[RT]]</f>
        <v>0.56644386541293756</v>
      </c>
      <c r="P102" s="50"/>
      <c r="R102"/>
    </row>
    <row r="103" spans="1:31" x14ac:dyDescent="0.3">
      <c r="A103" t="e" vm="81">
        <v>#VALUE!</v>
      </c>
      <c r="B103" s="48" cm="1">
        <f t="array" aca="1" ref="B103" ca="1">_FV(A103,"Price")</f>
        <v>1.6176999999999999</v>
      </c>
      <c r="C103" s="49" cm="1">
        <f t="array" aca="1" ref="C103" ca="1">_FV(A103,"52 week high",TRUE)</f>
        <v>1.6468</v>
      </c>
      <c r="D103" s="19">
        <f ca="1">1/RTExR[[#This Row],[RT]]</f>
        <v>0.61816158743895655</v>
      </c>
      <c r="P103" s="50"/>
      <c r="R103"/>
    </row>
    <row r="104" spans="1:31" x14ac:dyDescent="0.3">
      <c r="A104" t="e" vm="82">
        <v>#VALUE!</v>
      </c>
      <c r="B104" s="48" cm="1">
        <f t="array" aca="1" ref="B104" ca="1">_FV(A104,"Price")</f>
        <v>152.68</v>
      </c>
      <c r="C104" s="54" cm="1">
        <f t="array" aca="1" ref="C104" ca="1">_FV(A104,"52 week high",TRUE)</f>
        <v>158.87</v>
      </c>
      <c r="D104" s="19">
        <f ca="1">1/RTExR[[#This Row],[RT]]</f>
        <v>6.5496463190987684E-3</v>
      </c>
      <c r="J104"/>
      <c r="P104" s="50"/>
      <c r="R104"/>
    </row>
    <row r="105" spans="1:31" x14ac:dyDescent="0.3">
      <c r="A105" t="e" vm="83">
        <v>#VALUE!</v>
      </c>
      <c r="B105" s="48" cm="1">
        <f t="array" aca="1" ref="B105" ca="1">_FV(A105,"Price")</f>
        <v>0.79979999999999996</v>
      </c>
      <c r="C105" s="52" cm="1">
        <f t="array" aca="1" ref="C105" ca="1">_FV(A105,"52 week high",TRUE)</f>
        <v>0.92</v>
      </c>
      <c r="D105" s="19">
        <f ca="1">1/RTExR[[#This Row],[RT]]</f>
        <v>1.2503125781445361</v>
      </c>
    </row>
    <row r="106" spans="1:31" x14ac:dyDescent="0.3">
      <c r="A106" t="e" vm="84">
        <v>#VALUE!</v>
      </c>
      <c r="B106" s="48" cm="1">
        <f t="array" aca="1" ref="B106" ca="1">_FV(A106,"Price")</f>
        <v>0.75770000000000004</v>
      </c>
      <c r="C106" s="53" cm="1">
        <f t="array" aca="1" ref="C106" ca="1">_FV(A106,"52 week high",TRUE)</f>
        <v>0.82650000000000001</v>
      </c>
      <c r="D106" s="19">
        <f ca="1">1/RTExR[[#This Row],[RT]]</f>
        <v>1.3197835554968984</v>
      </c>
    </row>
    <row r="107" spans="1:31" x14ac:dyDescent="0.3">
      <c r="C107" s="95" t="s">
        <v>39</v>
      </c>
      <c r="E107" s="99" t="s">
        <v>6</v>
      </c>
      <c r="F107" s="99" t="s">
        <v>43</v>
      </c>
    </row>
    <row r="108" spans="1:31" x14ac:dyDescent="0.3">
      <c r="A108" s="16"/>
      <c r="B108"/>
      <c r="C108" s="45" t="e" vm="37">
        <v>#VALUE!</v>
      </c>
      <c r="D108" s="98" t="s">
        <v>42</v>
      </c>
      <c r="E108" s="19" cm="1">
        <f t="array" aca="1" ref="E108" ca="1">_FV(C109,"Open")</f>
        <v>47746.79</v>
      </c>
      <c r="F108" s="19" cm="1">
        <f t="array" aca="1" ref="F108" ca="1">_FV(C109,"Price")</f>
        <v>47632</v>
      </c>
      <c r="X108" s="19"/>
      <c r="Y108" s="19"/>
      <c r="Z108" s="19"/>
    </row>
    <row r="109" spans="1:31" x14ac:dyDescent="0.3">
      <c r="C109" t="e" vm="85">
        <v>#VALUE!</v>
      </c>
      <c r="D109" s="19" cm="1">
        <f t="array" aca="1" ref="D109" ca="1">_FV(C109,"Previous close",TRUE)</f>
        <v>47706.37</v>
      </c>
      <c r="E109" s="19" cm="1">
        <f t="array" aca="1" ref="E109" ca="1">_FV(C110,"Open")</f>
        <v>60.52</v>
      </c>
      <c r="F109" s="19" cm="1">
        <f t="array" aca="1" ref="F109" ca="1">_FV(C110,"Price")</f>
        <v>60.39</v>
      </c>
    </row>
    <row r="110" spans="1:31" x14ac:dyDescent="0.3">
      <c r="C110" s="45" t="e" vm="86">
        <v>#VALUE!</v>
      </c>
      <c r="D110" s="19" cm="1">
        <f t="array" aca="1" ref="D110" ca="1">_FV(C110,"Previous close",TRUE)</f>
        <v>60.03</v>
      </c>
    </row>
    <row r="111" spans="1:31" x14ac:dyDescent="0.3">
      <c r="C111" s="45" t="s">
        <v>44</v>
      </c>
      <c r="D111" t="e" cm="1" vm="87">
        <f t="array" ref="D111">_FV(C111,"Instrument type",TRUE)</f>
        <v>#VALUE!</v>
      </c>
      <c r="E111" s="19" cm="1">
        <f t="array" aca="1" ref="E111" ca="1">_FV(C112,"Open")</f>
        <v>24.89</v>
      </c>
      <c r="F111" s="19" cm="1">
        <f t="array" aca="1" ref="F111" ca="1">_FV(C112,"Price")</f>
        <v>24.53</v>
      </c>
    </row>
    <row r="112" spans="1:31" x14ac:dyDescent="0.3">
      <c r="C112" s="45" t="e" vm="17">
        <v>#VALUE!</v>
      </c>
      <c r="D112" s="19" cm="1">
        <f t="array" aca="1" ref="D112" ca="1">_FV(C112,"Previous close",TRUE)</f>
        <v>24.97</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88">
        <v>#VALUE!</v>
      </c>
      <c r="C120" s="45" t="e" vm="88">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89">
        <v>#VALUE!</v>
      </c>
      <c r="C129" s="45" t="e" vm="89">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0">
        <v>#VALUE!</v>
      </c>
      <c r="C137" s="45" t="e" vm="90">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1">
        <v>#VALUE!</v>
      </c>
      <c r="C146" s="45" t="e" vm="91">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89">
        <v>#VALUE!</v>
      </c>
      <c r="C169" s="45" t="e" vm="89">
        <v>#VALUE!</v>
      </c>
    </row>
    <row r="170" spans="1:3" x14ac:dyDescent="0.3">
      <c r="A170" s="113" t="e" vm="20">
        <v>#VALUE!</v>
      </c>
      <c r="C170" s="45" t="e" vm="20">
        <v>#VALUE!</v>
      </c>
    </row>
    <row r="171" spans="1:3" x14ac:dyDescent="0.3">
      <c r="A171" s="113" t="e" vm="92">
        <v>#VALUE!</v>
      </c>
      <c r="C171" s="45" t="e" vm="92">
        <v>#VALUE!</v>
      </c>
    </row>
    <row r="172" spans="1:3" x14ac:dyDescent="0.3">
      <c r="A172" s="113" t="e" vm="21">
        <v>#VALUE!</v>
      </c>
      <c r="C172" s="45" t="e" vm="21">
        <v>#VALUE!</v>
      </c>
    </row>
    <row r="173" spans="1:3" x14ac:dyDescent="0.3">
      <c r="A173" s="113" t="e" vm="55">
        <v>#VALUE!</v>
      </c>
      <c r="C173" s="45" t="e" vm="55">
        <v>#VALUE!</v>
      </c>
    </row>
    <row r="174" spans="1:3" x14ac:dyDescent="0.3">
      <c r="A174" s="113" t="e" vm="93">
        <v>#VALUE!</v>
      </c>
      <c r="C174" s="45" t="e" vm="93">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88">
        <v>#VALUE!</v>
      </c>
      <c r="C180" s="45" t="e" vm="88">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57">
        <v>#VALUE!</v>
      </c>
      <c r="C186" s="45" t="e" vm="57">
        <v>#VALUE!</v>
      </c>
    </row>
    <row r="187" spans="1:3" x14ac:dyDescent="0.3">
      <c r="A187" s="113" t="e" vm="92">
        <v>#VALUE!</v>
      </c>
      <c r="C187" s="45" t="e" vm="92">
        <v>#VALUE!</v>
      </c>
    </row>
    <row r="188" spans="1:3" x14ac:dyDescent="0.3">
      <c r="A188" s="113" t="e" vm="58">
        <v>#VALUE!</v>
      </c>
      <c r="C188" s="45" t="e" vm="58">
        <v>#VALUE!</v>
      </c>
    </row>
    <row r="189" spans="1:3" x14ac:dyDescent="0.3">
      <c r="A189" s="113" t="e" vm="59">
        <v>#VALUE!</v>
      </c>
      <c r="C189" s="45" t="e" vm="59">
        <v>#VALUE!</v>
      </c>
    </row>
    <row r="190" spans="1:3" x14ac:dyDescent="0.3">
      <c r="A190" s="113" t="e" vm="55">
        <v>#VALUE!</v>
      </c>
      <c r="C190" s="45" t="e" vm="55">
        <v>#VALUE!</v>
      </c>
    </row>
    <row r="191" spans="1:3" x14ac:dyDescent="0.3">
      <c r="A191" s="113" t="e" vm="60">
        <v>#VALUE!</v>
      </c>
      <c r="C191" s="45" t="e" vm="60">
        <v>#VALUE!</v>
      </c>
    </row>
    <row r="192" spans="1:3" x14ac:dyDescent="0.3">
      <c r="A192" s="113" t="e" vm="61">
        <v>#VALUE!</v>
      </c>
      <c r="C192" s="45" t="e" vm="61">
        <v>#VALUE!</v>
      </c>
    </row>
    <row r="193" spans="1:3" x14ac:dyDescent="0.3">
      <c r="A193" s="113" t="e" vm="62">
        <v>#VALUE!</v>
      </c>
      <c r="C193" s="45" t="e" vm="62">
        <v>#VALUE!</v>
      </c>
    </row>
    <row r="194" spans="1:3" x14ac:dyDescent="0.3">
      <c r="A194" s="113" t="e" vm="63">
        <v>#VALUE!</v>
      </c>
      <c r="C194" s="45" t="e" vm="63">
        <v>#VALUE!</v>
      </c>
    </row>
    <row r="195" spans="1:3" x14ac:dyDescent="0.3">
      <c r="A195" s="113" t="e" vm="64">
        <v>#VALUE!</v>
      </c>
      <c r="C195" s="45" t="e" vm="64">
        <v>#VALUE!</v>
      </c>
    </row>
    <row r="196" spans="1:3" x14ac:dyDescent="0.3">
      <c r="A196" s="113" t="e" vm="65">
        <v>#VALUE!</v>
      </c>
      <c r="C196" s="45" t="e" vm="65">
        <v>#VALUE!</v>
      </c>
    </row>
    <row r="197" spans="1:3" x14ac:dyDescent="0.3">
      <c r="A197" s="113" t="e" vm="66">
        <v>#VALUE!</v>
      </c>
      <c r="C197" s="45" t="e" vm="66">
        <v>#VALUE!</v>
      </c>
    </row>
    <row r="198" spans="1:3" x14ac:dyDescent="0.3">
      <c r="A198" s="113" t="e" vm="93">
        <v>#VALUE!</v>
      </c>
      <c r="C198" s="45" t="e" vm="93">
        <v>#VALUE!</v>
      </c>
    </row>
    <row r="199" spans="1:3" x14ac:dyDescent="0.3">
      <c r="A199" s="113" t="e" vm="67">
        <v>#VALUE!</v>
      </c>
      <c r="C199" s="45" t="e" vm="67">
        <v>#VALUE!</v>
      </c>
    </row>
    <row r="200" spans="1:3" x14ac:dyDescent="0.3">
      <c r="A200" s="113" t="e" vm="68">
        <v>#VALUE!</v>
      </c>
      <c r="C200" s="45" t="e" vm="68">
        <v>#VALUE!</v>
      </c>
    </row>
    <row r="201" spans="1:3" x14ac:dyDescent="0.3">
      <c r="A201" s="113" t="e" vm="69">
        <v>#VALUE!</v>
      </c>
      <c r="C201" s="45" t="e" vm="69">
        <v>#VALUE!</v>
      </c>
    </row>
    <row r="202" spans="1:3" x14ac:dyDescent="0.3">
      <c r="A202" s="113" t="e" vm="70">
        <v>#VALUE!</v>
      </c>
      <c r="C202" s="45" t="e" vm="70">
        <v>#VALUE!</v>
      </c>
    </row>
    <row r="203" spans="1:3" x14ac:dyDescent="0.3">
      <c r="A203" s="113" t="e" vm="71">
        <v>#VALUE!</v>
      </c>
      <c r="C203" s="45" t="e" vm="71">
        <v>#VALUE!</v>
      </c>
    </row>
    <row r="204" spans="1:3" x14ac:dyDescent="0.3">
      <c r="A204" s="113" t="e" vm="72">
        <v>#VALUE!</v>
      </c>
      <c r="C204" s="45" t="e" vm="72">
        <v>#VALUE!</v>
      </c>
    </row>
    <row r="205" spans="1:3" x14ac:dyDescent="0.3">
      <c r="A205" s="113" t="e" vm="73">
        <v>#VALUE!</v>
      </c>
      <c r="C205" s="45" t="e" vm="73">
        <v>#VALUE!</v>
      </c>
    </row>
    <row r="206" spans="1:3" x14ac:dyDescent="0.3">
      <c r="A206" s="113" t="e" vm="74">
        <v>#VALUE!</v>
      </c>
      <c r="C206" s="45" t="e" vm="74">
        <v>#VALUE!</v>
      </c>
    </row>
    <row r="207" spans="1:3" x14ac:dyDescent="0.3">
      <c r="A207" s="113" t="e" vm="88">
        <v>#VALUE!</v>
      </c>
      <c r="C207" s="45" t="e" vm="88">
        <v>#VALUE!</v>
      </c>
    </row>
    <row r="208" spans="1:3" x14ac:dyDescent="0.3">
      <c r="A208" s="113" t="e" vm="20">
        <v>#VALUE!</v>
      </c>
      <c r="C208" s="45" t="e" vm="20">
        <v>#VALUE!</v>
      </c>
    </row>
    <row r="210" spans="3:3" x14ac:dyDescent="0.3">
      <c r="C210" s="45" t="e" vm="6">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2025-10-29T23:38:21Z</dcterms:modified>
  <cp:category/>
</cp:coreProperties>
</file>